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2025/DICIEMBRE/LIQUIDACIONES REDEBAN/"/>
    </mc:Choice>
  </mc:AlternateContent>
  <xr:revisionPtr revIDLastSave="6" documentId="8_{4CB6DE4A-CF9B-4E57-8B7D-D976D0D3464C}" xr6:coauthVersionLast="47" xr6:coauthVersionMax="47" xr10:uidLastSave="{C313F228-BAD4-4788-8E12-A4F9F3589BFB}"/>
  <bookViews>
    <workbookView xWindow="28680" yWindow="-120" windowWidth="29040" windowHeight="15720" tabRatio="903" activeTab="3" xr2:uid="{00000000-000D-0000-FFFF-FFFF00000000}"/>
  </bookViews>
  <sheets>
    <sheet name="RESUMEN LIQUIDACIÓN" sheetId="4" r:id="rId1"/>
    <sheet name="BASE FACTURACION 2025" sheetId="1" r:id="rId2"/>
    <sheet name="CENTRO DE COSTOS" sheetId="2" state="hidden" r:id="rId3"/>
    <sheet name="Hoja1" sheetId="5" r:id="rId4"/>
    <sheet name="CAPACITACIONES_APERTURAS" sheetId="3"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4" hidden="1">CAPACITACIONES_APERTURAS!$A$1:$AC$74</definedName>
    <definedName name="_xlnm._FilterDatabase" localSheetId="2" hidden="1">'CENTRO DE COSTOS'!$A$1:$D$23</definedName>
    <definedName name="A" localSheetId="2">#REF!</definedName>
    <definedName name="A">#REF!</definedName>
    <definedName name="ACTIVIDAD" localSheetId="2">[1]Hoja2!$P$2:$P$30</definedName>
    <definedName name="Actividad">[2]Formulas!$H$2:$H$5000</definedName>
    <definedName name="Analistas">'[3]Listas Desplegables'!$T$2:$T$7</definedName>
    <definedName name="arearesponsable">'[4]Listas desplegables'!$BB$2:$BB$100</definedName>
    <definedName name="CCO" localSheetId="2">[5]Tecnicos!$A$2:$A$1000</definedName>
    <definedName name="CCO">[6]Tecnicos!$A$2:$A$1000</definedName>
    <definedName name="Clientes" localSheetId="2">[7]Clientes!$A$2:$A$100</definedName>
    <definedName name="Clientes">[2]Clientes!$A$2:$A$100</definedName>
    <definedName name="COORDINADOR">[1]Hoja2!$D$2:$D$30</definedName>
    <definedName name="Coordinadores" localSheetId="2">[8]Coordinadores!$A$2:$A$1000</definedName>
    <definedName name="Coordinadores">[2]Coordinadores!$A$2:$A$1000</definedName>
    <definedName name="DOCUMENTADOR">[1]Hoja2!$A$2:$A$30</definedName>
    <definedName name="ES">[1]Hoja2!$K$2:$K$30</definedName>
    <definedName name="ESS">[1]Hoja2!$K$2:$K$30</definedName>
    <definedName name="Estado" localSheetId="2">[7]Formulas!$K$2:$K$5000</definedName>
    <definedName name="Estado">[2]Formulas!$K$2:$K$5000</definedName>
    <definedName name="ESTADOACTIVIDAD">[1]Hoja2!$M$2:$M$30</definedName>
    <definedName name="ESTADOS" localSheetId="2">'[9]Listas desplegables'!$B$1:$D$1</definedName>
    <definedName name="ESTADOS">'[10]Listas desplegables'!$B$1:$D$1</definedName>
    <definedName name="ESTADOSCIERRES">'[11]lista desplegable'!$CX$1:$DA$1</definedName>
    <definedName name="Facturacion">'[12]Listas desplegables'!$AO$1:$AR$1</definedName>
    <definedName name="FACTURACIÓN" localSheetId="2">'[9]Listas desplegables'!$Y$1:$AB$1</definedName>
    <definedName name="FACTURACIÓN">'[10]Listas desplegables'!$Y$1:$AB$1</definedName>
    <definedName name="falla">#REF!</definedName>
    <definedName name="Fallas" localSheetId="2">'[13]Listas desplegables'!$F$2:$L$2</definedName>
    <definedName name="Fallas">'[14]Listas desplegables'!$F$2:$L$2</definedName>
    <definedName name="Grupo_Falla" localSheetId="2">'[15]Listas Desplegables'!$CH$2:$CH$5</definedName>
    <definedName name="Grupo_Falla">'[16]Listas Desplegables'!$CH$2:$CH$5</definedName>
    <definedName name="inconservmanager" localSheetId="2">'[17]Listas desplegables'!$BC$2:$BC$100</definedName>
    <definedName name="inconservmanager">'[4]Listas desplegables'!$BC$2:$BC$100</definedName>
    <definedName name="INCUMPLIMIENTO" localSheetId="2">'[4]Listas desplegables'!$AK$1:$AN$1</definedName>
    <definedName name="INCUMPLIMIENTO">'[18]Listas desplegables'!$AT$1:$AX$1</definedName>
    <definedName name="LISTA" localSheetId="2">[19]Dptos!$A$1139:$A$1171</definedName>
    <definedName name="LISTA">[19]Dptos!$A$1139:$A$1171</definedName>
    <definedName name="LISTA2" localSheetId="2">#REF!</definedName>
    <definedName name="LISTA2" localSheetId="0">[20]Hoja3!$A$1:$A$26</definedName>
    <definedName name="LISTA2">[21]Hoja3!$A$1:$A$26</definedName>
    <definedName name="LOLO">[22]Coordinadores!$A$2:$A$1000</definedName>
    <definedName name="solicitudes" localSheetId="2">'[12]Listas desplegables'!$U$1:$AF$1</definedName>
    <definedName name="solicitudes">'[23]Listas desplegables'!$U$1:$AF$1</definedName>
    <definedName name="Tecnicos" localSheetId="2">[7]Tecnicos!$A$2:$A$1000</definedName>
    <definedName name="Tecnicos">[2]Tecnicos!$A$2:$A$1000</definedName>
    <definedName name="Version" localSheetId="2">[24]Formulas!$I$2:$I$3</definedName>
    <definedName name="Version">[2]Formulas!$I$2:$I$3</definedName>
  </definedNames>
  <calcPr calcId="191029"/>
  <pivotCaches>
    <pivotCache cacheId="454" r:id="rId31"/>
  </pivotCaches>
</workbook>
</file>

<file path=xl/calcChain.xml><?xml version="1.0" encoding="utf-8"?>
<calcChain xmlns="http://schemas.openxmlformats.org/spreadsheetml/2006/main">
  <c r="F2" i="4" l="1"/>
  <c r="H2" i="4" s="1"/>
  <c r="H3" i="4"/>
  <c r="I3" i="4" s="1"/>
  <c r="A3" i="4"/>
  <c r="H4" i="4" l="1"/>
  <c r="I2" i="4"/>
  <c r="I4" i="4" s="1"/>
  <c r="F4" i="4"/>
  <c r="D17" i="1" l="1"/>
  <c r="C17" i="1"/>
  <c r="D16" i="1"/>
  <c r="C16" i="1"/>
  <c r="D15" i="1"/>
  <c r="C15" i="1"/>
  <c r="D14" i="1"/>
  <c r="C14" i="1"/>
  <c r="D13" i="1"/>
  <c r="C13" i="1"/>
  <c r="F7" i="1"/>
  <c r="E7" i="1"/>
  <c r="D7" i="1"/>
  <c r="C7" i="1"/>
  <c r="F6" i="1"/>
  <c r="E6" i="1"/>
  <c r="D6" i="1"/>
  <c r="C6" i="1"/>
  <c r="F5" i="1"/>
  <c r="E5" i="1"/>
  <c r="D5" i="1"/>
  <c r="C5" i="1"/>
  <c r="F4" i="1"/>
  <c r="E4" i="1"/>
  <c r="D4" i="1"/>
  <c r="C4" i="1"/>
  <c r="F3" i="1"/>
  <c r="E3" i="1"/>
  <c r="D3" i="1"/>
  <c r="C3" i="1"/>
</calcChain>
</file>

<file path=xl/sharedStrings.xml><?xml version="1.0" encoding="utf-8"?>
<sst xmlns="http://schemas.openxmlformats.org/spreadsheetml/2006/main" count="1795" uniqueCount="734">
  <si>
    <t>Incidentes, Aperturas y Gestion de campo 2025</t>
  </si>
  <si>
    <t>Incremento 2025</t>
  </si>
  <si>
    <t xml:space="preserve">Tipificación </t>
  </si>
  <si>
    <t>Descripción</t>
  </si>
  <si>
    <t>Capacitacion - Apertura</t>
  </si>
  <si>
    <t xml:space="preserve">Capacitacion OC  </t>
  </si>
  <si>
    <t>Gestión Telefónica</t>
  </si>
  <si>
    <t>Capacitación especifica Cambio de red</t>
  </si>
  <si>
    <t>Tipo I</t>
  </si>
  <si>
    <t>Metropolitano</t>
  </si>
  <si>
    <t>Tipo II</t>
  </si>
  <si>
    <t>Hasta 3 horas</t>
  </si>
  <si>
    <t>Tipo III</t>
  </si>
  <si>
    <t>De 3 a 5 horas</t>
  </si>
  <si>
    <t>Tipo IV</t>
  </si>
  <si>
    <t>Más de 5 horas</t>
  </si>
  <si>
    <t>Destino Aereo*</t>
  </si>
  <si>
    <t>Viajes en Avión</t>
  </si>
  <si>
    <t xml:space="preserve">* Tener presente que se cobrara el valor del tiquete de avion mas un porcentaje </t>
  </si>
  <si>
    <t>**Para  la capacitacion de datafono adicional se cobrara la mitad de una actividad normal, para este caso $70.053</t>
  </si>
  <si>
    <t>TARIFAS 2025</t>
  </si>
  <si>
    <t>Dia actividad Exitosa</t>
  </si>
  <si>
    <t>Dia actividad Fallida</t>
  </si>
  <si>
    <t>Destino aereo</t>
  </si>
  <si>
    <t>No incluye valor del Tiquete</t>
  </si>
  <si>
    <t>*Donde se requiera transporte aéreo o fluvial se factura adicional a tarifa TIPO IV el valor del tiquete + el 12% de admon.</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</si>
  <si>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</si>
  <si>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</si>
  <si>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</si>
  <si>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</si>
  <si>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</si>
  <si>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</si>
  <si>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</si>
  <si>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</si>
  <si>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</si>
  <si>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</si>
  <si>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</si>
  <si>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</si>
  <si>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</si>
  <si>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</si>
  <si>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</si>
  <si>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</si>
  <si>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</si>
  <si>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</si>
  <si>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</si>
  <si>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</si>
  <si>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</si>
  <si>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</si>
  <si>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</si>
  <si>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</si>
  <si>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</si>
  <si>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</si>
  <si>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</si>
  <si>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</si>
  <si>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</si>
  <si>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</si>
  <si>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</si>
  <si>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</si>
  <si>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</si>
  <si>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</si>
  <si>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</si>
  <si>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</si>
  <si>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</si>
  <si>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</si>
  <si>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</si>
  <si>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</si>
  <si>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</si>
  <si>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</si>
  <si>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</si>
  <si>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</si>
  <si>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</si>
  <si>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</si>
  <si>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CIUDAD SEDE</t>
  </si>
  <si>
    <t>ZONA</t>
  </si>
  <si>
    <t>CENTRO DE COSTOS LINEACOM</t>
  </si>
  <si>
    <t>CODIGO DANE</t>
  </si>
  <si>
    <t>TA/CODIGO ACTIVIDAD</t>
  </si>
  <si>
    <t>CODIGO CB</t>
  </si>
  <si>
    <t>ACTIVIDAD</t>
  </si>
  <si>
    <t>TIPO DE APERTURA</t>
  </si>
  <si>
    <t>DEPARTAMENTO</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</si>
  <si>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</si>
  <si>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</si>
  <si>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</si>
  <si>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</si>
  <si>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</si>
  <si>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</si>
  <si>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</si>
  <si>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</si>
  <si>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</si>
  <si>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</si>
  <si>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</si>
  <si>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</si>
  <si>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</si>
  <si>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</si>
  <si>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CAPACITACION COMPLETA</t>
  </si>
  <si>
    <t>CAPACITACION ESPECIFICA</t>
  </si>
  <si>
    <t>VALOR DIAS ACTIVIDAD FACTURABLES</t>
  </si>
  <si>
    <t>VALOR DIAS ACOMPAÑAMIENTO FACTURABLES</t>
  </si>
  <si>
    <t>VALOR TOTAL</t>
  </si>
  <si>
    <t>SUROCCIDENTE Y EJE CAFETERO</t>
  </si>
  <si>
    <t>86865</t>
  </si>
  <si>
    <t>TA-25-1330515</t>
  </si>
  <si>
    <t>3007082070</t>
  </si>
  <si>
    <t>APERTURA</t>
  </si>
  <si>
    <t>CB CRECIMIENTO ALIANZA - OTRAS LISTAS</t>
  </si>
  <si>
    <t>PUTUMAYO</t>
  </si>
  <si>
    <t>VALLE DEL GUAMUEZ</t>
  </si>
  <si>
    <t>DISTRICOL ESTILO REAL</t>
  </si>
  <si>
    <t>REDEBAN</t>
  </si>
  <si>
    <t>FO-25-1884068</t>
  </si>
  <si>
    <t>AGREGADOR</t>
  </si>
  <si>
    <t>DISTRICOL</t>
  </si>
  <si>
    <t>EJECUTADO</t>
  </si>
  <si>
    <t>26/11/2025 26-11 PROGRAMACION REALIZADA POR LA ALIANZA| INSTALACIÓN PROGRAMADA PARA EL 2025-11-28 | 30/11/2025 SE REALIZARA DESPLAZAMIENTO EL DIA 1 DE DICIEMBRE YA QUE POR CIERRE DE VIA HACIA PUTUMAYO NO SE HA PODIDO REALIZAR | 22/12/2025 SE LLEGA A SITIO A REALIZAR INSTALACIÓN DE CORRESPONSAL BANCARIO SE CONFIGURA EQUIPO SE INICIALIZA SE REALIZA PRUEBAS DE FUNCIONAMIENTO FALLIDAS EQUIPO EN RECHAZO GENERAL SE REALIZA CAMBIO DE EQUIPO FALLA PERSISTE SE ESCALA A RBM MAIRA ALEJANDRO AUTORIZA CERRAR ORDEN POR POSIBLE BLOQUEO POR PARTE DE LA ENTIDAD SE LE INFORMA A CLIENTE QUE SE ESTÁ ALA ESPERA RESPUESTA PARA QUE PUEDA EMPEZAR A OPERAR  INSTALACION DE  PUBLICIDAD OK CAPACITACIÓN OK</t>
  </si>
  <si>
    <t>VISITA TECNICA</t>
  </si>
  <si>
    <t>OB004867</t>
  </si>
  <si>
    <t>TIPO IV</t>
  </si>
  <si>
    <t>TERRESTRE</t>
  </si>
  <si>
    <t>BRAVO MADROÑERO OSCAR ESTEBAN</t>
  </si>
  <si>
    <t>17001</t>
  </si>
  <si>
    <t>TA-25-1382428</t>
  </si>
  <si>
    <t>3007082464</t>
  </si>
  <si>
    <t>CB CRECIMIENTO ALIANZA - NUEVO</t>
  </si>
  <si>
    <t>CALDAS</t>
  </si>
  <si>
    <t>DISTRICOL DROGUERIA GENERIK</t>
  </si>
  <si>
    <t>FO-25-1949034</t>
  </si>
  <si>
    <t>09/12/2025 09-12 PROGRAMACION REALIZADA POR LA ALIANZA| INSTALACIÓN PROGRAMADA PARA EL 2025-12-11 | 11/12/2025 SE REALIZA INSTALACIÓN DE DATAFONO Y ACCESORIOS BASE LECTOR 40 ROLLOS Y PUBLICIDAD SE CAPACITA AL COMERCIO SE CREAN USUARIOS SE HACEN PRUEBAS DE CONSULTA DE SALDO SOLAMENTE YA QUE USUARIO NO CUENTA CON HERRAMIENTAS PARA REALIZAR RETIRO RECAUDO NI CONSIGNACIÓN SERVICIO OK</t>
  </si>
  <si>
    <t>DA006233</t>
  </si>
  <si>
    <t>TIPO I</t>
  </si>
  <si>
    <t>AGUIRRE HENAO RAUL EDUARDO</t>
  </si>
  <si>
    <t>COSTA</t>
  </si>
  <si>
    <t>20011</t>
  </si>
  <si>
    <t>TA-25-1382429</t>
  </si>
  <si>
    <t>3007082460</t>
  </si>
  <si>
    <t>CESAR</t>
  </si>
  <si>
    <t>AGUACHICA</t>
  </si>
  <si>
    <t>DISTRIOL PAPELERIA PERF ZAMI</t>
  </si>
  <si>
    <t>FO-25-1949036</t>
  </si>
  <si>
    <t>09/12/2025 09-12 PROGRAMACION REALIZADA POR LA ALIANZA| INSTALACIÓN PROGRAMADA PARA EL 2025-12-11 | 11/12/2025 SE REALIZA APERTURA DE CB, SE INSTALA DATAFONO, LECTOR Y PINPAD, YA QUE CLIENTE CONTABA CON VIDRIO DE SEGURIDAD, SE INSTALA PUBLICIDAD, SE ENTREGAN 40 ROLLOS, SE BRINDA CAPACITACIÓN, SE REALIZAN PRUEBAS DE TRANSACCIONES, DEJANDO SERVICIO FUNCIONAL AL 100 %</t>
  </si>
  <si>
    <t>DA006234</t>
  </si>
  <si>
    <t>MONTES DIAZ JOHN FRED</t>
  </si>
  <si>
    <t>52001</t>
  </si>
  <si>
    <t>TA-25-1382430</t>
  </si>
  <si>
    <t>3007082466</t>
  </si>
  <si>
    <t>NARIÑO</t>
  </si>
  <si>
    <t>DISTRICOL CENTROMARKET</t>
  </si>
  <si>
    <t>FO-25-1949039</t>
  </si>
  <si>
    <t>09/12/2025 09-12 PROGRAMACION REALIZADA POR LA ALIANZA| INSTALACIÓN PROGRAMADA PARA EL 2025-12-11 | 11/12/2025 SE REALIZÓ LA INSTALACIÓN DE EQUIPOS PUBLICIDAD Y ACCESORIOS PARA APERTURA CB BANCOLOMBIA SE DIO CAPACITACIÓN MANEJO DE DATÁFONO CB Y SOMOS BANCOLOMBIA SE EJECUTAN PRUEBAS TX EXITOSAS QUEDA OPERATIVO.</t>
  </si>
  <si>
    <t>DA006235</t>
  </si>
  <si>
    <t>REMICIO AMADO JOHN HEBER</t>
  </si>
  <si>
    <t>NOROCCIDENTE</t>
  </si>
  <si>
    <t>5001</t>
  </si>
  <si>
    <t>TA-25-1393484</t>
  </si>
  <si>
    <t>3007082483</t>
  </si>
  <si>
    <t>ANTIOQUIA</t>
  </si>
  <si>
    <t>PTM MEDELLIN PLANET SHOPPING</t>
  </si>
  <si>
    <t>FO-25-1959628</t>
  </si>
  <si>
    <t>COMCARD - PTM</t>
  </si>
  <si>
    <t>11/12/2025 11-12 PROGRAMACION REALIZADA POR LA ALIANZA| INSTALACIÓN PROGRAMADA PARA EL 2025-12-12 | 12/12/2025 INSTALACIÓN DE CB MIXTO OK PUBLICIDAD Y CAPACITACIÓN OK PRUEBAS SOLO CONSULTA DE SALDO NO HAY PARA MÁS CUBRE CLAVE OK NO TELECARGA</t>
  </si>
  <si>
    <t>DA007308</t>
  </si>
  <si>
    <t>PAREJA ECHAVARRIA JHON DAVID</t>
  </si>
  <si>
    <t>TA-25-1393485</t>
  </si>
  <si>
    <t>3007082484</t>
  </si>
  <si>
    <t>PTM MEDELLIN SURTIBELLEZA LOS</t>
  </si>
  <si>
    <t>FO-25-1959631</t>
  </si>
  <si>
    <t>11/12/2025 11-12 PROGRAMACION REALIZADA POR LA ALIANZA| INSTALACIÓN PROGRAMADA PARA EL 2025-12-12 | 15/12/2025 INSTALACIÓN DE CB MIXTO OK PUBLICIDAD Y CAPACITACIÓN OK PRUEBAS SOLO CONSULTA SALDO NO HAY MAS CUBRE CLAVE OK NO TELECARGA</t>
  </si>
  <si>
    <t>DA007309</t>
  </si>
  <si>
    <t>TA-25-1393486</t>
  </si>
  <si>
    <t>3007082485</t>
  </si>
  <si>
    <t>PTM MEDELLIN MINIMERCADO EL MA</t>
  </si>
  <si>
    <t>FO-25-1959633</t>
  </si>
  <si>
    <t>11/12/2025 11-12 PROGRAMACION REALIZADA POR LA ALIANZA| INSTALACIÓN PROGRAMADA PARA EL 2025-12-12 | 12/12/2025 SE HACE APERTURA DE CB EXITOSAMENTE</t>
  </si>
  <si>
    <t>DA007310</t>
  </si>
  <si>
    <t>RUA ALVAREZ RICHARD ANDRES</t>
  </si>
  <si>
    <t>SANTANDERES</t>
  </si>
  <si>
    <t>15516</t>
  </si>
  <si>
    <t>TA-25-1393487</t>
  </si>
  <si>
    <t>3007082475</t>
  </si>
  <si>
    <t>BOYACA</t>
  </si>
  <si>
    <t>PAIPA</t>
  </si>
  <si>
    <t>PTM PAIPA FARMA DIAZ MAS</t>
  </si>
  <si>
    <t>FO-25-1959638</t>
  </si>
  <si>
    <t>11/12/2025 11-12 PROGRAMACION REALIZADA POR LA ALIANZA| INSTALACIÓN PROGRAMADA PARA EL 2025-12-15 | 15/12/2025 SE REALIZA VISITA AL COMERCIO, SE INSTALAN EQUIPOS Y ACCESORIOS, SE CAPACITA AL CLIENTE Y SE HACEN PRUEBAS OK.</t>
  </si>
  <si>
    <t>DA007311</t>
  </si>
  <si>
    <t>TIPO II</t>
  </si>
  <si>
    <t>SOLER HOYOS CRISTIAN LEONARDO</t>
  </si>
  <si>
    <t>CENTRO</t>
  </si>
  <si>
    <t>25269</t>
  </si>
  <si>
    <t>TA-25-1393489</t>
  </si>
  <si>
    <t>3007082472</t>
  </si>
  <si>
    <t>CUNDINAMARCA</t>
  </si>
  <si>
    <t>FACATATIVA</t>
  </si>
  <si>
    <t>PTM FACATATIVA AUTO SERVICIO E</t>
  </si>
  <si>
    <t>FO-25-1959649</t>
  </si>
  <si>
    <t>11/12/2025 11-12 PROGRAMACION REALIZADA POR LA ALIANZA| INSTALACIÓN PROGRAMADA PARA EL 2025-12-12 | 12/12/2025 APERTURA BANCOLOMBIA OK CAPACITACIÓN OK PUBLICIDAD OK SERVICIO OPERATIVO SE REALIZA PRUEBAS CON INFORMACIÓN QUE NOS SUMINISTRO EL CLIENTE</t>
  </si>
  <si>
    <t>DA007314 - DA007184</t>
  </si>
  <si>
    <t>HERNANDEZ NARANJO OSCAR EDUARDO</t>
  </si>
  <si>
    <t>25473</t>
  </si>
  <si>
    <t>TA-25-1393490</t>
  </si>
  <si>
    <t>3007082474</t>
  </si>
  <si>
    <t>MOSQUERA</t>
  </si>
  <si>
    <t>PTM MOSQUERA PAPELERIA LISETTE</t>
  </si>
  <si>
    <t>FO-25-1959655</t>
  </si>
  <si>
    <t>11/12/2025 11-12 PROGRAMACION REALIZADA POR LA ALIANZA| INSTALACIÓN PROGRAMADA PARA EL 2025-12-12 | 12/12/2025 SE REALIZA INSTALACIÓN DE DATAFONO LECTOR BASE PUBLICIDAD COMPLETA SE CAPACITA COMERCIO SE REALIZAN PRUEBAS OK NO SE TIENE TARJETA DE BANCOLOMBIA</t>
  </si>
  <si>
    <t>DA007315</t>
  </si>
  <si>
    <t>SOTO LONDOÑO FREDY ALEXANDER</t>
  </si>
  <si>
    <t>25817</t>
  </si>
  <si>
    <t>TA-25-1393492</t>
  </si>
  <si>
    <t>3007082480</t>
  </si>
  <si>
    <t>TOCANCIPA</t>
  </si>
  <si>
    <t>PTM TOCANCIPA LOKYAN DIVERTPAR</t>
  </si>
  <si>
    <t>FO-25-1959661</t>
  </si>
  <si>
    <t>11/12/2025 11-12 PROGRAMACION REALIZADA POR LA ALIANZA| INSTALACIÓN PROGRAMADA PARA EL 2025-12-12 | 12/12/2025 INSTALACIÓN BANCOLOMBIA CON PUBLICIDAD DATAFONO LECTORA ROLLOS BASE FUENTE DATOS SERVICIO OPERATIVO PRUEBAS OK CON UNA CONSULTA DE SALDO NO HAY VINO HACER CONSIGNACION O RETIRO TRNA RBM SE INSTALA CUBRE TECLADO</t>
  </si>
  <si>
    <t>DA007316</t>
  </si>
  <si>
    <t>BUSTOS MORA DIEGO MANUEL</t>
  </si>
  <si>
    <t>27361</t>
  </si>
  <si>
    <t>TA-25-1393494</t>
  </si>
  <si>
    <t>3007082473</t>
  </si>
  <si>
    <t>CHOCO</t>
  </si>
  <si>
    <t>ISTMINA</t>
  </si>
  <si>
    <t>PTM ISTMINA TIENDA Y VARIEDADE</t>
  </si>
  <si>
    <t>FO-25-1959664</t>
  </si>
  <si>
    <t>11/12/2025 11-12 PROGRAMACION REALIZADA POR LA ALIANZA| INSTALACIÓN PROGRAMADA PARA EL 2025-12-18 | 19/12/2025 SE REALIZA INSTALACIÓN, CAPACITACION Y PRUEBAS CON EL CLIENTE YBEL CB QUEDA OPERATIVO</t>
  </si>
  <si>
    <t>DA007188 - DA007317</t>
  </si>
  <si>
    <t>TIPO V</t>
  </si>
  <si>
    <t>AEREO</t>
  </si>
  <si>
    <t>ROBLEDO DIAZ ANDRES FELIPE</t>
  </si>
  <si>
    <t>ORIENTE</t>
  </si>
  <si>
    <t>50573</t>
  </si>
  <si>
    <t>TA-25-1393495</t>
  </si>
  <si>
    <t>3007082479</t>
  </si>
  <si>
    <t>META</t>
  </si>
  <si>
    <t>PUERTO LOPEZ</t>
  </si>
  <si>
    <t>PTM META VARIEDADES JOBAP</t>
  </si>
  <si>
    <t>FO-25-1959667</t>
  </si>
  <si>
    <t>11/12/2025 11-12 PROGRAMACION REALIZADA POR LA ALIANZA| INSTALACIÓN PROGRAMADA PARA EL 2025-12-15 | 17/12/2025 SE REALIZA INSTALACION  CORRESPONSAL BANCOLOMBIA, SE REALIZAN PRUEBAS Y CAPACITACIÓN TODO OK</t>
  </si>
  <si>
    <t>DA007318 - DA007189</t>
  </si>
  <si>
    <t>PEDREROS CONTRERAS MICHAEL STEVENS</t>
  </si>
  <si>
    <t>SUROCCIDENTE</t>
  </si>
  <si>
    <t>76520</t>
  </si>
  <si>
    <t>TA-25-1393496</t>
  </si>
  <si>
    <t>3007082476</t>
  </si>
  <si>
    <t>VALLE DEL CAUCA</t>
  </si>
  <si>
    <t>PALMIRA</t>
  </si>
  <si>
    <t>PTM PALMIRA TIENDA Y VARIEDADE</t>
  </si>
  <si>
    <t>FO-25-1959673</t>
  </si>
  <si>
    <t>11/12/2025 11-12 PROGRAMACION REALIZADA POR LA ALIANZA| INSTALACIÓN PROGRAMADA PARA EL 2025-12-15 | 15/12/2025 SE REALIZÓ LA INSTALACIÓN DE EL CORRESPONSAL BANCOLOMBIA MIXTO, DATÁFONO, LECTOR, MAGIC BOX 2600 BASE SOPORTE DE EL DATÁFONO Y SE IMPLEMENTARON LOS ROLLOS Y LA PUBLICIDAD DE BANCOLOMBIA,SE BRINDA CAPACITACIÓN Y SE REALIZARON LAS PRUEBAS CON EL CLIENTE DEJANDO EL SERVICIO OPERANDO SIN FALLAS Y SIN NOVEDAD.</t>
  </si>
  <si>
    <t>DA007320 -DA007190</t>
  </si>
  <si>
    <t>SANCHEZ URREGO ROBINSON DAVID</t>
  </si>
  <si>
    <t>11001</t>
  </si>
  <si>
    <t>TA-25-1393497</t>
  </si>
  <si>
    <t>3007082470</t>
  </si>
  <si>
    <t>PTM BOGOTA PAGAYA</t>
  </si>
  <si>
    <t>FO-25-1959679</t>
  </si>
  <si>
    <t>11/12/2025 11-12 PROGRAMACION REALIZADA POR LA ALIANZA| INSTALACIÓN PROGRAMADA PARA EL 2025-12-12 | 12/12/2025 INSTALACIÓN DE CORRESPONSAL OK PRUEBA OK CAPACITACIÓN SOMOS BANCOLOMBIA OK CAPACITACIÓN IVA OK CAPACITACIÓN DATAFONO OK PAPELERÍA OK NO SE CUENTA CON TARJETA DE PRUEBA NI POR PARTE DE CLIENTE NO DEL TÉCNICO PARA REALIZAR PRUEBAS</t>
  </si>
  <si>
    <t>DA007322 - AE006288</t>
  </si>
  <si>
    <t>GOMEZ VEGA DAVID SNEYDER</t>
  </si>
  <si>
    <t>23555</t>
  </si>
  <si>
    <t>TA-25-1393501</t>
  </si>
  <si>
    <t>3007082477</t>
  </si>
  <si>
    <t>CORDOBA</t>
  </si>
  <si>
    <t>PLANETA RICA</t>
  </si>
  <si>
    <t>DISTRICOL BARBERIA MR MONKEY</t>
  </si>
  <si>
    <t>FO-25-1959695</t>
  </si>
  <si>
    <t>11/12/2025 11-12 PROGRAMACION REALIZADA POR LA ALIANZA| INSTALACIÓN PROGRAMADA PARA EL 2025-12-12 | 12/12/2025 SE REALIZA APERTURA DE CB, SE DEJA INSTALADO DATAFONO PLACA 1196644, LECTOR ÓPTICO PLACA 114348, AVISO EXTERIOR, FLANGGER, DISPLAY HORARIO, OTROS LUGARES, CUBRE CLAVES Y ACCESORIOS, SE REALIZAN PRUEBAS Y SE DEJA EL CB LISTO PARA OPERACIONES.</t>
  </si>
  <si>
    <t>DA007312</t>
  </si>
  <si>
    <t>CASSIANI PEREZ RAUL RAMIRO</t>
  </si>
  <si>
    <t>23855</t>
  </si>
  <si>
    <t>TA-25-1393502</t>
  </si>
  <si>
    <t>3007082481</t>
  </si>
  <si>
    <t>VALENCIA</t>
  </si>
  <si>
    <t>DISTRICOL ABARROTES Y LEGUMBRE</t>
  </si>
  <si>
    <t>FO-25-1959698</t>
  </si>
  <si>
    <t>11/12/2025 11-12 PROGRAMACION REALIZADA POR LA ALIANZA| INSTALACIÓN PROGRAMADA PARA EL 2025-12-15 | 15/12/2025 SE REALIZA VISITA TÉCNICA PARA APERTURA DE CB, SE INSTALA DATAFONO PLACA 1192218, LECTORA SYMBOL PLACA 892689, AVISO EXTERIOR, FLANGGER, DISPLAY HORARIO, OTROS LUGARES, CUBRE CLAVES Y ACCESORIOS, SE REALIZA CAPACITACIÓN Y PRUEBAS DEJANDO CB LISTOS PARA OPERACIONES.</t>
  </si>
  <si>
    <t>DA007313</t>
  </si>
  <si>
    <t>TIPO III</t>
  </si>
  <si>
    <t>54001</t>
  </si>
  <si>
    <t>TA-25-1393503</t>
  </si>
  <si>
    <t>3007082471</t>
  </si>
  <si>
    <t>NORTE DE SANTANDER</t>
  </si>
  <si>
    <t>DISTRICOL SURTI RINCON S</t>
  </si>
  <si>
    <t>FO-25-1959702</t>
  </si>
  <si>
    <t>11/12/2025 11-12 PROGRAMACION REALIZADA POR LA ALIANZA| INSTALACIÓN PROGRAMADA PARA EL 2025-12-15 | 15/12/2025 SE REALIZA LLAMADA TELEFÓNICA AL NÚMERO 3028227979 SE HABLÓ CON EL SR ISLANDER, MANIFIESTA DISPONIBILIDAD, INTERNET TODO OK, SE PROCEDE A REALIZAR VISITA TÉCNICA | 15/12/2025 SE REALIZA VISITA AL COMERCIO Y SE REALIZA INSTALACIÓN DE DATAFONO, LECTORA, CABLEADO, IDENTIFICADOR DE PUNTO, CAPACITACIÓN SOMOS BANCOLOMBIA OK, PUBLICIDAD BANCOLOMBIA INSTALADA OK, PRUEBAS EXITOSAS</t>
  </si>
  <si>
    <t>DA007319</t>
  </si>
  <si>
    <t>MORA VEGA JEAMPIER</t>
  </si>
  <si>
    <t>86568</t>
  </si>
  <si>
    <t>TA-25-1393504</t>
  </si>
  <si>
    <t>3007082478</t>
  </si>
  <si>
    <t>PUERTO ASIS</t>
  </si>
  <si>
    <t>DISTRICOL ESTACION AVENIDA PAP</t>
  </si>
  <si>
    <t>FO-25-1959706</t>
  </si>
  <si>
    <t>11/12/2025 11-12 PROGRAMACION REALIZADA POR LA ALIANZA| INSTALACIÓN PROGRAMADA PARA EL 2025-12-15 | 16/12/2025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</si>
  <si>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DA007321</t>
  </si>
  <si>
    <t>CASTILLO HERRERA ALEX RICARDO</t>
  </si>
  <si>
    <t>TA-25-1429935</t>
  </si>
  <si>
    <t>3007082514</t>
  </si>
  <si>
    <t>DISTRICOL SUPERMERCADO EL PLAN</t>
  </si>
  <si>
    <t>FO-25-1989973</t>
  </si>
  <si>
    <t>17/12/2025 17-12 PROGRAMACION REALIZADA POR LA ALIANZA| INSTALACIÓN PROGRAMADA PARA EL 2025-12-19 | 19/12/2025 INSTALACIÓN DE CB PURO OK PUBLICIDAD Y CAPACITACIÓN OK PRUEBAS SOLO DEPOSITO NO HAY MAS CUBRE CLAVE OK NO TELECARGA</t>
  </si>
  <si>
    <t>FB007684</t>
  </si>
  <si>
    <t>5615</t>
  </si>
  <si>
    <t>TA-25-1429940</t>
  </si>
  <si>
    <t>3007082503</t>
  </si>
  <si>
    <t>RIONEGRO</t>
  </si>
  <si>
    <t>PTM RIONEGRO LA MEJOR ESQUINA</t>
  </si>
  <si>
    <t>FO-25-1989979</t>
  </si>
  <si>
    <t>17/12/2025 17-12 PROGRAMACION REALIZADA POR LA ALIANZA| INSTALACIÓN PROGRAMADA PARA EL 2025-12-19 | 19/12/2025 SE INSTALA CORRESPONSAL BANCARIO, PRUEBAS OK, SE REALIZA CAPACITACIÓN SOMOS BANCOLOMBIA Y DATAFONO</t>
  </si>
  <si>
    <t>FB007686</t>
  </si>
  <si>
    <t>BADEL ACUÑA LUIS ALBERTO</t>
  </si>
  <si>
    <t>5642</t>
  </si>
  <si>
    <t>TA-25-1429942</t>
  </si>
  <si>
    <t>3007082504</t>
  </si>
  <si>
    <t>SALGAR</t>
  </si>
  <si>
    <t>DISTRICOL ACCESORIOS 30</t>
  </si>
  <si>
    <t>FO-25-1989982</t>
  </si>
  <si>
    <t>17/12/2025 17-12 PROGRAMACION REALIZADA POR LA ALIANZA| INSTALACIÓN PROGRAMADA PARA EL 2025-12-18 | 18/12/2025 SE REALIZA INSTALACIÓN DE EQUIPO, SE CAPACITA Y SE INSTALA PUBLICIDAD PRUEBAS EXITOSAS SERVICIO OPERATIVO OK</t>
  </si>
  <si>
    <t>FB007687</t>
  </si>
  <si>
    <t>ZAPATA LOPEZ EDWARD ASDRUBAL</t>
  </si>
  <si>
    <t>5674</t>
  </si>
  <si>
    <t>TA-25-1429944</t>
  </si>
  <si>
    <t>3007082511</t>
  </si>
  <si>
    <t>SAN VICENTE</t>
  </si>
  <si>
    <t>DISTRICOL BENDITA BELLEZA</t>
  </si>
  <si>
    <t>FO-25-1989985</t>
  </si>
  <si>
    <t>17/12/2025 17-12 PROGRAMACION REALIZADA POR LA ALIANZA| INSTALACIÓN PROGRAMADA PARA EL 2025-12-19 | 19/12/2025 SE EJECUTA VISITA TÉCNICA PARA LA INSTALACIÓN DEL CORRESPONSAL BANCOLOMBIA EL USUARIO VALIDA SU IDENTIDAD Y DEFINE EL ÁREA DESTINADA PARA LA UBICACIÓN DEL EQUIPO SE VERIFICA QUE EL ESTABLECIMIENTO CUMPLA CON LOS REQUISITOS DE INFRAESTRUCTURA ELÉCTRICA DE RED Y DE SEGURIDAD CONFIRMANDO QUE TODO SE ENCUENTRA CONFORME EL USUARIO INFORMA QUE NO ES VIABLE INSTALAR EL AVISO EXTERIOR EN LA FACHADA DEBIDO A RESTRICCIONES DE DIMENSIONES MATERIAL DE LA SUPERFICIE Y DISPOSICIONES DE INSPECCIÓN MUNICIPAL POR LO CUAL SE PROCEDE A INSTALAR EL AVISO EN ÁREA INTERNA SE REALIZA LA CONFIGURACIÓN COMPLETA DEL TERMINAL INCLUYENDO PARÁMETROS DE RED PERIFÉRICOS Y PRUEBAS DE CONECTIVIDAD POSTERIORMENTE SE DESARROLLA CAPACITACIÓN AL USUARIO SOBRE LA PLATAFORMA SOMOS BANCOLOMBIA OPERACIÓN DE LOS DISPOSITIVOS Y FLUJO DE TRANSACCIONES FINALMENTE SE VALIDAN OPERACIONES DE PRUEBA CON RESULTADOS EXITOSOS DEJANDO EL PUNTO OPERATIVO EN CONDICIONES ÓPTIMAS</t>
  </si>
  <si>
    <t>FB007688</t>
  </si>
  <si>
    <t>MARTINEZ TOVAR OSCAR DAVID</t>
  </si>
  <si>
    <t>5679</t>
  </si>
  <si>
    <t>TA-25-1429946</t>
  </si>
  <si>
    <t>3007082506</t>
  </si>
  <si>
    <t>SANTA BARBARA</t>
  </si>
  <si>
    <t>PTM CORREGIMIENTO DE VERSALLES</t>
  </si>
  <si>
    <t>FO-25-1989991</t>
  </si>
  <si>
    <t>17/12/2025 17-12 PROGRAMACION REALIZADA POR LA ALIANZA| INSTALACIÓN PROGRAMADA PARA EL 2025-12-19 | 19/12/2025 SE INSTALAN EQUIPOS OK</t>
  </si>
  <si>
    <t>FB007689</t>
  </si>
  <si>
    <t>QUINTERO SANCHEZ JUAN SEBASTIAN</t>
  </si>
  <si>
    <t>15238</t>
  </si>
  <si>
    <t>TA-25-1429950</t>
  </si>
  <si>
    <t>3007082505</t>
  </si>
  <si>
    <t>DUITAMA</t>
  </si>
  <si>
    <t>DISTRICOL GRAN MERKA EXITO</t>
  </si>
  <si>
    <t>FO-25-1989994</t>
  </si>
  <si>
    <t>17/12/2025 17-12 PROGRAMACION REALIZADA POR LA ALIANZA| INSTALACIÓN PROGRAMADA PARA EL 2025-12-18 | 18/12/2025 SE LOGRA COMUNICACION CON EL CLIENTE, CLIENTE CONFIRMA VISITA, CONFIRMA ALTURA DE 2 METROS PARA EL AVISO EXTERIOR Y PUNTO DE RED. | 18/12/2025 SE REALIZA VISITA AL COMERCIO, SE INSTALAN EQUIPOS Y PUBLICIDAD, SE CAPACITA AL CLIENTE Y SE HACEN PRUEBAS OK.</t>
  </si>
  <si>
    <t>FB007690</t>
  </si>
  <si>
    <t>20770</t>
  </si>
  <si>
    <t>TA-25-1429953</t>
  </si>
  <si>
    <t>3007082512</t>
  </si>
  <si>
    <t>SAN MARTIN</t>
  </si>
  <si>
    <t>PTM SAN MARTIN THE BARBER SHOP</t>
  </si>
  <si>
    <t>FO-25-1989998</t>
  </si>
  <si>
    <t>17/12/2025 17-12 PROGRAMACION REALIZADA POR LA ALIANZA| INSTALACIÓN PROGRAMADA PARA EL 2025-12-18 | 18/12/2025 CLIENTE CONTACTADO AL NÚMERO DE TELÉFONO 3184486559 , LA SEÑORITA YOHANA INDICA TENER DISPONIBILIDAD PARA HORAS DE LA TARDE | 19/12/2025 SE REALIZA APERTURA DE CB BANCOLOMBIA MIXTO , SE INSTALA DATAFONO LECTOR DE BARRAS BASE DE DATÁFONO USUARIO CAPACITACIÓN PUBLICIDAD COMPLETA PRUEBAS OK CUBRE CLAVE OK</t>
  </si>
  <si>
    <t>FB007691 - FB007426</t>
  </si>
  <si>
    <t>HERRERA LUQUE SAUL JAVIER</t>
  </si>
  <si>
    <t>25307</t>
  </si>
  <si>
    <t>TA-25-1429955</t>
  </si>
  <si>
    <t>3007082507</t>
  </si>
  <si>
    <t>GIRARDOT</t>
  </si>
  <si>
    <t>PTM GIRARDOT MISCELANEA YAPAME</t>
  </si>
  <si>
    <t>FO-25-1990000</t>
  </si>
  <si>
    <t>17/12/2025 17-12 PROGRAMACION REALIZADA POR LA ALIANZA| INSTALACIÓN PROGRAMADA PARA EL 2025-12-19 | 19/12/2025 SE LLEGA A COMERCIO, SE REALIZA INSTALACIÓN APERTURA BANCOLOMBIA, CREANDO USUARIOS,BASE-DATAFONO-ROLLOS, AVISO EXTERIOR, PRUEBAS EXITOSAS.</t>
  </si>
  <si>
    <t>FB007692 - FB007424</t>
  </si>
  <si>
    <t>ARIAS QUILINDO JULIAN</t>
  </si>
  <si>
    <t>50313</t>
  </si>
  <si>
    <t>TA-25-1429957</t>
  </si>
  <si>
    <t>3007082509</t>
  </si>
  <si>
    <t>GRANADA</t>
  </si>
  <si>
    <t>DISTRICOL MERCA AHORRO J Y S</t>
  </si>
  <si>
    <t>FO-25-1990007</t>
  </si>
  <si>
    <t>17/12/2025 17-12 PROGRAMACION REALIZADA POR LA ALIANZA| INSTALACIÓN PROGRAMADA PARA EL 2025-12-18 | 18/12/2025 SE REALIZA IMPLEMENTACIÓN DE CORRESPONSAL REALIZANDO CAPACITACIONE ENTREGA DE PUBLICIDAD SE REALIZA TRANZACION DE ENTREGANDO OPERATIVO SIN NOVEDAD</t>
  </si>
  <si>
    <t>FB007693</t>
  </si>
  <si>
    <t>ROZO JIMENEZ EDGAR ARMANDO</t>
  </si>
  <si>
    <t>TA-25-1429959</t>
  </si>
  <si>
    <t>3007082502</t>
  </si>
  <si>
    <t>DISTRICOL TUCOLPAGOS</t>
  </si>
  <si>
    <t>FO-25-1990011</t>
  </si>
  <si>
    <t>17/12/2025 17-12 PROGRAMACION REALIZADA POR LA ALIANZA| INSTALACIÓN PROGRAMADA PARA EL 2025-12-19 | 19/12/2025 SE COMUNICA CON LA CLIENTE GRECIA YECENIA AL # 3238162180, NOS CONFIRMA VISITA OK, INSTALACIONES DEL COMERCIO OK, SE PROGRAMA VISITA EN SITIO. | 19/12/2025 SE REALIZA APERTURA, SE INSTALA DATAFONO, BASE, SCANNER, AVISO, PUBLICIDAD DEL BANCO, SE REALIZA CAPACITACION, PRUEBAS Y CIERRES OK, CB OPERATIVO.</t>
  </si>
  <si>
    <t>FB007694</t>
  </si>
  <si>
    <t>NARANJO AFANADOR RUBEN JESUS</t>
  </si>
  <si>
    <t>68001</t>
  </si>
  <si>
    <t>TA-25-1429961</t>
  </si>
  <si>
    <t>3007082499</t>
  </si>
  <si>
    <t>SANTANDER</t>
  </si>
  <si>
    <t>DISTRICOL PAPELERIA ESDANY</t>
  </si>
  <si>
    <t>FO-25-1990014</t>
  </si>
  <si>
    <t>17/12/2025 17-12 PROGRAMACION REALIZADA POR LA ALIANZA| INSTALACIÓN PROGRAMADA PARA EL 2025-12-18 | 18/12/2025 SE ESTABLECE COMUNICACIÓN CON LA SEÑORA JENNY AL NÚMERO 3178841399 SE CONFIRMA PUERTO DE RED Y TOMA CORRIENTE DISPONIBLE PARA LA ACTIVIDAD SE PROCEDE CON EL DESPLAZAMIENTO | 18/12/2025 SE HACE PRESENCIA EN COMERCIO SE REALIZA INSTALACIÓN DE 1 DATÁFONO CON SU RESPECTIVO LECTOR DE BARRAS FUENTE Y CABLE DE PODER Y BRAZO DE SOPORTE SE CAPACITA PERSONAL PARA EL MANEJO DEL POS, SE REALIZA INSTALACIÓN DE 1 AVISO EXTERIOR 1 FLANGER Y 1 DISPLAY DE HORARIO 
SEE REALIZAN PRUEBAS CONSULTA DE SALDO, RETIRO Y DEPÓSITO OK</t>
  </si>
  <si>
    <t>FB007695</t>
  </si>
  <si>
    <t>BARRERA ORTEGA MARLON STWAR</t>
  </si>
  <si>
    <t>68307</t>
  </si>
  <si>
    <t>TA-25-1429963</t>
  </si>
  <si>
    <t>3007082508</t>
  </si>
  <si>
    <t>GIRON</t>
  </si>
  <si>
    <t>DISTRICOL BOMBASTIC MIX</t>
  </si>
  <si>
    <t>FO-25-1990021</t>
  </si>
  <si>
    <t>17/12/2025 17-12 PROGRAMACION REALIZADA POR LA ALIANZA| INSTALACIÓN PROGRAMADA PARA EL 2025-12-18 | 18/12/2025 SE INSTALA DATAFONO, LECTOR, CABLES Y FUENTE DE PODER, SE INSTALA PUBLICIDAD COMPLETA, SE CAPACITA MANEJO CORRESPONSAL, CIERRES, CUADRO DIARIO COMPENSACIÓN, MANEJO DATAFONO OK, PRUEBAS OK, INSTALACIÓN EXITOSA, PÁGINA SOMOS BANCOLOMBIA PRUEBA OK</t>
  </si>
  <si>
    <t>FB007696</t>
  </si>
  <si>
    <t>GELVEZ MOGOLLON JOSE ELISEO</t>
  </si>
  <si>
    <t>68547</t>
  </si>
  <si>
    <t>TA-25-1429966</t>
  </si>
  <si>
    <t>3007082510</t>
  </si>
  <si>
    <t>PIEDECUESTA</t>
  </si>
  <si>
    <t>PTM PIEDECUESTA DROGUERIA Y PA</t>
  </si>
  <si>
    <t>FO-25-1990025</t>
  </si>
  <si>
    <t>17/12/2025 17-12 PROGRAMACION REALIZADA POR LA ALIANZA| INSTALACIÓN PROGRAMADA PARA EL 2025-12-18 | 18/12/2025 INSTALACIÓN, CONFIGURACIÓN Y CAPACITACIÓN DE MANEJO DE TERMINAL, PRUEBAS EXITOSA</t>
  </si>
  <si>
    <t>FB007697</t>
  </si>
  <si>
    <t>PEÑA DIAZ IVAN YESID</t>
  </si>
  <si>
    <t>76001</t>
  </si>
  <si>
    <t>TA-25-1429969</t>
  </si>
  <si>
    <t>3007082500</t>
  </si>
  <si>
    <t>PTM CALI MISCELANEA Y PAPELERI</t>
  </si>
  <si>
    <t>FO-25-1990033</t>
  </si>
  <si>
    <t>17/12/2025 17-12 PROGRAMACION REALIZADA POR LA ALIANZA| INSTALACIÓN PROGRAMADA PARA EL 2025-12-18 | 18/12/2025 SE LLAMA AL CLIENTE, SE VALIDA LA VISITA DE LA INSTALACION, DIRECCION Y DISPONIBILIDAD, SE VISITA EL COMERCIO, SE INSTALA DATAFONO, LECTORA, ACCESORIOS EN APERTURA CB BANCOLOMBIA MIXTO, INSTALÓ PUBLICIDAD, SE CAPACITA, PRUEBAS OK, TELECARGA TRNA</t>
  </si>
  <si>
    <t>FB007698</t>
  </si>
  <si>
    <t>HERRERA MONAR GEOVANNY</t>
  </si>
  <si>
    <t>76834</t>
  </si>
  <si>
    <t>TA-25-1429972</t>
  </si>
  <si>
    <t>3007082513</t>
  </si>
  <si>
    <t>TULUA</t>
  </si>
  <si>
    <t>PTM TULUA CORREO Y DOMICILIOS</t>
  </si>
  <si>
    <t>FO-25-1999658 | FO-25-1990037</t>
  </si>
  <si>
    <t>[FO-25-1999658] 19/12/2025 SE VISITA CORRESPONSAL Y SE PROCEDE A REALIZA INSTALACIÓN DE PIN PAD. TRANSACCIONES DE PRUEBA EXITOSAS || [FO-25-1990037] 17/12/2025 17-12 PROGRAMACION REALIZADA POR LA ALIANZA| INSTALACIÓN PROGRAMADA PARA EL 2025-12-18 | 18/12/2025 SE VISITA ESTABLECIMIENTO, SE REALIZA INSTALACIÓN CORRESPONSAL BANCOLOMBIA. TRANSACCIONES DE PRUEBA EXITOSAS SOLO CON LAS QUE DISPONE EL CLIENTE Y SE REALIZARON PRUEBAS CON TARJETA DE OTRO BANCO PARA SIMULAR PROCESO . SE INSTALA PUBLICIDAD COMPLETA Y SE CAPACITA.</t>
  </si>
  <si>
    <t>BOLAÑOS TABORDA JORGE ENRIQUE</t>
  </si>
  <si>
    <t>85001</t>
  </si>
  <si>
    <t>TA-25-1429974</t>
  </si>
  <si>
    <t>3007082515</t>
  </si>
  <si>
    <t>CASANARE</t>
  </si>
  <si>
    <t>DISTRICOL MISCELANEA LAVADERO</t>
  </si>
  <si>
    <t>FO-25-1990041</t>
  </si>
  <si>
    <t>17/12/2025 17-12 PROGRAMACION REALIZADA POR LA ALIANZA| INSTALACIÓN PROGRAMADA PARA EL 2025-12-18 | 18/12/2025 SE VISITA COMERCIO, SE INSTALA DATÁFONO LECTOR BASE Y CUBRE TECLADO. PRUEBAS OK. OPERATIVO EL SERVICIO. SOMOS BANCOLOMBIA OK. SE CAPACITA CLIENTE. NO SE REALIZA PRUEBA DE TRANSFERENCIA NO SE CUENTA CON TARJETA</t>
  </si>
  <si>
    <t>FB007700</t>
  </si>
  <si>
    <t>BERNAL ELAICA EDGAR ALEXIS</t>
  </si>
  <si>
    <t>TA-25-1429976</t>
  </si>
  <si>
    <t>3007082516</t>
  </si>
  <si>
    <t>DISTRICOL CASFARMA YOPAL</t>
  </si>
  <si>
    <t>FO-25-1990045</t>
  </si>
  <si>
    <t>17/12/2025 17-12 PROGRAMACION REALIZADA POR LA ALIANZA| INSTALACIÓN PROGRAMADA PARA EL 2025-12-19 | 20/12/2025 SE VISITA COMERCIO, SE INSTALA DATÁFONO LECTOR BASE Y CUBRE TECLADO. PRUEBAS OK. OPERATIVO EL SERVICIO. SE CAPACITA CLIENTE SOMOS BANCOLOMBIA OK. NO SE REALIZA PRUEBA DE TRANSFERENCIA NO SE CUENTA CON TARJETA</t>
  </si>
  <si>
    <t>FB007701</t>
  </si>
  <si>
    <t>TA-25-1429979</t>
  </si>
  <si>
    <t>3007082498</t>
  </si>
  <si>
    <t>PTM BOGOTA MTG PRINCIPAL</t>
  </si>
  <si>
    <t>FO-25-1990054</t>
  </si>
  <si>
    <t>17/12/2025 17-12 PROGRAMACION REALIZADA POR LA ALIANZA| INSTALACIÓN PROGRAMADA PARA EL 2025-12-19 | 26/12/2025 SE REALIZA APERTURA DE CORRESPONSAL BANCOLOMBIA, SE INSTALA PUBLICIDAD, EQUIPOS . SE REALIZA CAPACITACIÓN AL RESPONSABLE DEL CB Y SE ENTREGAN LOS ROLLOS PARA EL PUNTO</t>
  </si>
  <si>
    <t>FB007702</t>
  </si>
  <si>
    <t>ALARCON AREVALO JOHAN STIVEN</t>
  </si>
  <si>
    <t>TA-25-1429983</t>
  </si>
  <si>
    <t>3007082496</t>
  </si>
  <si>
    <t>PTM BOGOTA COMPU EMI</t>
  </si>
  <si>
    <t>FO-25-1990059</t>
  </si>
  <si>
    <t>17/12/2025 17-12 PROGRAMACION REALIZADA POR LA ALIANZA| INSTALACIÓN PROGRAMADA PARA EL 2025-12-19 | 19/12/2025 APERTURA BANCOLOMBIA OK CAPACITACIÓN OK PUBLICIDAD OK SERVICIO OPERATIVO</t>
  </si>
  <si>
    <t>FB007703</t>
  </si>
  <si>
    <t>5631</t>
  </si>
  <si>
    <t>TA-25-1429995</t>
  </si>
  <si>
    <t>3007082468</t>
  </si>
  <si>
    <t>SABANETA</t>
  </si>
  <si>
    <t>DISTRICOL PARENTESIS A&amp;C</t>
  </si>
  <si>
    <t>FO-25-1990081</t>
  </si>
  <si>
    <t>17/12/2025 17-12 PROGRAMACION REALIZADA POR LA ALIANZA| INSTALACIÓN PROGRAMADA PARA EL 2025-12-18 | 18/12/2025 SE HACE IMPLEMENTACION OK EQUIPOS OPERATIVOS PRUEBAS EXITOSAS SOMOS BANCOLOMBIA ACTIVO, CAPACITACIÓN Y PUBLICIDAD OK</t>
  </si>
  <si>
    <t>FB007708</t>
  </si>
  <si>
    <t>DIAZ ZABALA FRANCIS DUBAN</t>
  </si>
  <si>
    <t>TA-25-1446312</t>
  </si>
  <si>
    <t>3007082585</t>
  </si>
  <si>
    <t>DISTRICOL DROGUERIA SIRDALUD</t>
  </si>
  <si>
    <t>FO-25-2024417</t>
  </si>
  <si>
    <t>23/12/2025 23-12 PROGRAMACION REALIZADA POR LA ALIANZA| INSTALACIÓN PROGRAMADA PARA EL 2025-12-24 | 24/12/2025 INSTALACIÓN DE CB PURO OK PUBLICIDAD Y CAPACITACIÓN OK PRUEBAS SOLO CONSULTA DE SALDO NO HAY PARA MÁS CUBRE CLAVE OK NO TELECARGA</t>
  </si>
  <si>
    <t>OB007835</t>
  </si>
  <si>
    <t>TA-25-1446314</t>
  </si>
  <si>
    <t>3007082586</t>
  </si>
  <si>
    <t>DISTRICOL TIENDA DEL PELUQUERO</t>
  </si>
  <si>
    <t>FO-25-2024424</t>
  </si>
  <si>
    <t>23/12/2025 23-12 PROGRAMACION REALIZADA POR LA ALIANZA| INSTALACIÓN PROGRAMADA PARA EL 2025-12-24 | 24/12/2025 SE INSTALAN EQUIPOS OK</t>
  </si>
  <si>
    <t>OB007836</t>
  </si>
  <si>
    <t>TA-25-1446315</t>
  </si>
  <si>
    <t>3007082587</t>
  </si>
  <si>
    <t>DISTRICOL COMERCIALIZADORA KTE</t>
  </si>
  <si>
    <t>FO-25-2024425</t>
  </si>
  <si>
    <t>23/12/2025 23-12 PROGRAMACION REALIZADA POR LA ALIANZA| INSTALACIÓN PROGRAMADA PARA EL 2025-12-24 | 24/12/2025 INSTALACIÓN CB OK</t>
  </si>
  <si>
    <t>OB007837</t>
  </si>
  <si>
    <t>5148</t>
  </si>
  <si>
    <t>TA-25-1446316</t>
  </si>
  <si>
    <t>3007082555</t>
  </si>
  <si>
    <t>EL CARMEN DE VIBORAL</t>
  </si>
  <si>
    <t>DISTRICOL SOLOACEITES</t>
  </si>
  <si>
    <t>FO-25-2024427</t>
  </si>
  <si>
    <t>23/12/2025 23-12 PROGRAMACION REALIZADA POR LA ALIANZA| INSTALACIÓN PROGRAMADA PARA EL 2025-12-26 | 26/12/2025 SE INSTALAN EQUIPOS OK</t>
  </si>
  <si>
    <t>OB007838</t>
  </si>
  <si>
    <t>5212</t>
  </si>
  <si>
    <t>TA-25-1446317</t>
  </si>
  <si>
    <t>3007082566</t>
  </si>
  <si>
    <t>COPACABANA</t>
  </si>
  <si>
    <t>DISTRICOL HAPPY PETS</t>
  </si>
  <si>
    <t>FO-25-2024436</t>
  </si>
  <si>
    <t>23/12/2025 23-12 PROGRAMACION REALIZADA POR LA ALIANZA| INSTALACIÓN PROGRAMADA PARA EL 2025-12-24 | 24/12/2025 SE REALIZA VISITA TÉCNICA PARA LA INSTALACIÓN DEL CORRESPONSAL BANCOLOMBIA EL USUARIO CONFIRMA SU IDENTIFICACIÓN Y PRESENTA EL LUGAR DONDE SE LLEVARÁ A CABO LA INSTALACIÓN DEL EQUIPO MOSTRANDO TAMBIÉN LA FACHADA DONDE IRÁ EL AVISO SE VALIDA QUE EL SITIO CUENTE CON LAS CONDICIONES NECESARIAS SE PROCEDE CON LA INSTALACIÓN Y CONFIGURACIÓN DEL EQUIPO PERO ESTE PRESENTA FALLA EN EL PUERTO USB DONDE SE CONECTA EL LECTOR POR LO CUAL SE REALIZA CAMBIO DE EQUIPO DEBIDO AL DAÑO EN LA USB EL NUEVO EQUIPO SE CONFIGURA Y QUEDA OPERATIVO SE LLEVA A CABO LA CAPACITACIÓN SOBRE LA PLATAFORMA SOMOS BANCOLOMBIA Y POSTERIORMENTE EL MANEJO DEL EQUIPO Y LA FORMA DE REALIZAR LAS TRANSACCIONES EL USUARIO QUEDA CON CONOCIMIENTO DEL TEMA LUEGO SE PROCEDE A LA INSTALACIÓN DE LOS AVISOS LOS CUALES SE COLOCAN EN LOS LUGARES INDICADOS POR EL CLIENTE Y FINALMENTE TODO QUEDA OPERATIVO</t>
  </si>
  <si>
    <t>OB007839</t>
  </si>
  <si>
    <t>5308</t>
  </si>
  <si>
    <t>TA-25-1446319</t>
  </si>
  <si>
    <t>3007082543</t>
  </si>
  <si>
    <t>GIRARDOTA</t>
  </si>
  <si>
    <t>DISTRICOL MARKET FACIL</t>
  </si>
  <si>
    <t>FO-25-2024438</t>
  </si>
  <si>
    <t>23/12/2025 23-12 PROGRAMACION REALIZADA POR LA ALIANZA| INSTALACIÓN PROGRAMADA PARA EL 2025-12-24 | 24/12/2025 SE REALIZA INSTALACIÓN Y CONFIGURACIÓN DEL EQUIPO, SE REALIZA CAPACITACIÓN DEL CORRESPONSAL BANCARIO Y SE INSTALA PUBLICIDAD SE REALIZAN PRUEBAS EXITOSAS SERVICIO OPERATIVO</t>
  </si>
  <si>
    <t>OB007840</t>
  </si>
  <si>
    <t>5440</t>
  </si>
  <si>
    <t>TA-25-1446321</t>
  </si>
  <si>
    <t>3007082584</t>
  </si>
  <si>
    <t>MARINILLA</t>
  </si>
  <si>
    <t>DISTRICOL SEX SHOP TIA SEXY</t>
  </si>
  <si>
    <t>FO-25-2024447</t>
  </si>
  <si>
    <t>23/12/2025 23-12 PROGRAMACION REALIZADA POR LA ALIANZA| INSTALACIÓN PROGRAMADA PARA EL 2025-12-26 | 26/12/2025 SE REALIZA VISITA TÉCNICA PARA LA INSTALACIÓN DEL CORRESPONSAL BANCOLOMBIA EL USUARIO CONFIRMA SU IDENTIFICACIÓN Y PRESENTA EL LUGAR DONDE SE LLEVARÁ A CABO LA INSTALACIÓN DEL EQUIPO MOSTRANDO TAMBIÉN LA FACHADA DONDE IRÁ EL AVISO SE VALIDA QUE EL SITIO CUENTE CON LAS CONDICIONES NECESARIAS SE PROCEDE CON LA INSTALACIÓN Y CONFIGURACIÓN DEL EQUIPO  SE LLEVA A CABO LA CAPACITACIÓN SOBRE LA PLATAFORMA SOMOS BANCOLOMBIA Y POSTERIORMENTE EL MANEJO DEL EQUIPO Y LA FORMA DE REALIZAR LAS TRANSACCIONES EL USUARIO QUEDA CON CONOCIMIENTO DEL TEMA LUEGO SE PROCEDE A LA INSTALACIÓN DE LOS AVISOS LOS CUALES SE COLOCAN EN LOS LUGARES INDICADOS POR EL CLIENTE Y FINALMENTE TODO QUEDA OPERATIVO</t>
  </si>
  <si>
    <t>OB007842</t>
  </si>
  <si>
    <t>5736</t>
  </si>
  <si>
    <t>TA-25-1446323</t>
  </si>
  <si>
    <t>3007082552</t>
  </si>
  <si>
    <t>SEGOVIA</t>
  </si>
  <si>
    <t>DISTRICOL MAYRA SEGOVIA</t>
  </si>
  <si>
    <t>FO-25-2050073 | FO-25-2024451</t>
  </si>
  <si>
    <t>EJECUTADO | EJECUTADO/CANCELADO</t>
  </si>
  <si>
    <t>[FO-25-2050073] 30/12/2025 SE TERMINA DE HACER IMPLEMENTACION OK SE INSTALAS PUBLICIDAD OK PRUEBAS EXITOSAS || [FO-25-2024451] 23/12/2025 23-12 PROGRAMACION REALIZADA POR LA ALIANZA| INSTALACIÓN PROGRAMADA PARA EL 2025-12-26 | 26/12/2025 NO SE ENCUENTRA TIQUETE EN TÉRMINAL POR ALTO FLUJO DE PASAJERO. EN TAQUILLA INFORMAN QUE YA ESTÁN SOBRE VENDIDOS SE LE INFORMA AL USUARIO | 29/12/2025 SE ATIENDE IMPLEMENTACION OK, SE CAPACITA EN MENÚ OPERATIVO, SOMOS BANCOLOMBIA OK, SE INICIALIZA EQUIPOS OK. NO SE INSTALA PUBLICIDAD YA QUE SE ENVIÓ DESDE EL DÍA VIERNES Y HOY LUNES LA OFICINA ESTÁ CERRADA. NOS INDICAN QUE PARA EL DÍA DE MAÑANA ABREN NUEVAMENTE. SE DEJA VISITA PARA MAÑANA INSTALAR PUBLICIDAD</t>
  </si>
  <si>
    <t>OB007843</t>
  </si>
  <si>
    <t>TA-25-1446324</t>
  </si>
  <si>
    <t>3007082577</t>
  </si>
  <si>
    <t>DISTRICOL PLANETARIO 2000</t>
  </si>
  <si>
    <t>FO-25-2024454</t>
  </si>
  <si>
    <t>23/12/2025 23-12 PROGRAMACION REALIZADA POR LA ALIANZA| INSTALACIÓN PROGRAMADA PARA EL 2025-12-26 | 26/12/2025 NO SE ENCUENTRA TIQUETE EN TÉRMINAL POR ALTO FLUJO DE PASAJERO. EN TAQUILLA INFORMAN QUE YA ESTÁN SOBRE VENDIDOS SE LE INFORMA AL USUARIO | 30/12/2025 SE HACE IMPLEMENTACION OK EQUIPOS OPERATIVOS PRUEBAS EXITOSAS SOMOS BANCOLOMBIA ACTIVO PUBLICIDAD OK EQUIPOS OPERATIVOS SE DA CAPACITACIÓN DEL MENÚS DEL DATAFONO Y SOMOS BANCOLOMBIA OK</t>
  </si>
  <si>
    <t>OB007844</t>
  </si>
  <si>
    <t>5790</t>
  </si>
  <si>
    <t>TA-25-1446325</t>
  </si>
  <si>
    <t>3007082578</t>
  </si>
  <si>
    <t>TARAZA</t>
  </si>
  <si>
    <t>DISTRICOL COSTILLAS AHUMADAS</t>
  </si>
  <si>
    <t>FO-25-2024456</t>
  </si>
  <si>
    <t>23/12/2025 23-12 PROGRAMACION REALIZADA POR LA ALIANZA| INSTALACIÓN PROGRAMADA PARA EL 2025-12-26 | 26/12/2025 SE LLEGA A TERMINAR A COMPRAR PASAJE A TARAZA Y EN LAS FLOTAS  Y POR LA AFLUENCIA DE PASAJEROS INDICAN QUE NO HAY CUPO, SE LLAMA A CLIENTE Y SE LE COMENTA LA SITUACIÓN DE LOS PASAJES, SE CONVERSA CON EL SEÑLOR JHON COLORADO E INDICA QUE SE PODRIA HACER EL LUNES | 29/12/2025 INSTALACIÓN CB OK</t>
  </si>
  <si>
    <t>OB007845</t>
  </si>
  <si>
    <t>13001</t>
  </si>
  <si>
    <t>TA-25-1446326</t>
  </si>
  <si>
    <t>3007082564</t>
  </si>
  <si>
    <t>BOLIVAR</t>
  </si>
  <si>
    <t>DISTRICOL TIENDA LOS RECUERDOS</t>
  </si>
  <si>
    <t>FO-25-2024462</t>
  </si>
  <si>
    <t>23/12/2025 23-12 PROGRAMACION REALIZADA POR LA ALIANZA| INSTALACIÓN PROGRAMADA PARA EL 2025-12-26 | 26/12/2025 SE INTENTO REALIZAR COMUNICACION CON EL PUNTO EN VARIAS OCACIONES Y NO FUE POSIBLE OBTENER RESPUESTA | 26/12/2025 SE LLEGO AL SITIO Y SE PRESENTÓ NOVEDAD CON EL NOMBRE DEL COMERCIO EL SEÑOR EDINSON SAMBONY AUTORIZA LA INSTALACIÓN | 26/12/2025 SE REALIZA INSTALACIÓN DE CORRESPONSAL SE ESCALO NOVEDAD POR NOMBRE DE COMERCIO E INFORMAN AUTORIZADO PARA REALIZAR LA INSTALACIÓN SE INSTALA DATAFONO SE CAPACITA SE REALIZAN PRUEBAS DE RETIRO Y CONSIGNACIÓN Y SE PRUEBA LECTOR DE BARRAS TODO QUEDA OK</t>
  </si>
  <si>
    <t>OB007846</t>
  </si>
  <si>
    <t>MARTINEZ SALGUEDO ANDRES AUGUSTO</t>
  </si>
  <si>
    <t>13442</t>
  </si>
  <si>
    <t>TA-25-1446327</t>
  </si>
  <si>
    <t>3007082570</t>
  </si>
  <si>
    <t>MARIA LA BAJA</t>
  </si>
  <si>
    <t>DISTRICOL ALMACEN LA NACIONAL</t>
  </si>
  <si>
    <t>FO-25-2024464</t>
  </si>
  <si>
    <t>23/12/2025 23-12 PROGRAMACION REALIZADA POR LA ALIANZA| INSTALACIÓN PROGRAMADA PARA EL 2025-12-24 | 24/12/2025 SE MARCA AL NÚMERO 3013367090 CONTESTA EL ESPOSO DE LA SEÑORA FLOR MARÍA SE VALIDA CON EL REAGENDA POR TEMAS DE PROBLEMAS DE TRANSPORTE EN LA VIA EL DIA DE HOY EL CUAL ESTA DE ACUERDO PARA EL DIA 29 DE DICIEMBRE | 29/12/2025 SE REALIZA INSTALACIÓN DE CORRESPONSAL EXITOSAMENTE, SE REALIZA PRUEBA DE  RETIRO Y CONSIGNACIÓN Y SE PRUEBA LECTOR DE BARRAS, SE CAPACITA, SE REALIZA INSTALACIÓN DE PUBLICIDAD Y TODO QUEDA OK</t>
  </si>
  <si>
    <t>OB007847</t>
  </si>
  <si>
    <t>15518</t>
  </si>
  <si>
    <t>TA-25-1446330</t>
  </si>
  <si>
    <t>3007082539</t>
  </si>
  <si>
    <t>PAJARITO</t>
  </si>
  <si>
    <t>DISTRICOL ALMACEN CAFETERO DOS</t>
  </si>
  <si>
    <t>FO-25-2024477</t>
  </si>
  <si>
    <t>23/12/2025 23-12 PROGRAMACION REALIZADA POR LA ALIANZA| INSTALACIÓN PROGRAMADA PARA EL 2025-12-24 | 24/12/2025 EN COMUNICACIÓN EL DIA 24-12-2025 CON LA SEÑORA ANGELA RUEDA AL NUMERO 3143771201, INFORMA NO PUEDE ATENDER LA VISITA, POR DILIGENCIAS PERSONALES, PIDE EL FAVOR SE REALIZAR LA VISITA EL DIA 29-12-2025 | 29/12/2025 SE VISITA COMERCIO, SE INSTALA DATÁFONO LECTOR BASE Y CUBRE TECLADO. PRUEBAS OK. OPERATIVO EL SERVICIO. SOMOS BANCOLOMBIA OK. NO SE REGISTRA PRUEBA DE TRANSFERENCIA NO SE CUENTA CON TARJETA</t>
  </si>
  <si>
    <t>OB007850</t>
  </si>
  <si>
    <t>19001</t>
  </si>
  <si>
    <t>TA-25-1446332</t>
  </si>
  <si>
    <t>3007082550</t>
  </si>
  <si>
    <t>CAUCA</t>
  </si>
  <si>
    <t>DISTRICOL LA TIENDA DE PATY</t>
  </si>
  <si>
    <t>FO-25-2024485</t>
  </si>
  <si>
    <t>23/12/2025 23-12 PROGRAMACION REALIZADA POR LA ALIANZA| INSTALACIÓN PROGRAMADA PARA EL 2025-12-26 | 26/12/2025 SE</t>
  </si>
  <si>
    <t>OB007852</t>
  </si>
  <si>
    <t>GIMBUEL LASSO LUIS GERMAN</t>
  </si>
  <si>
    <t>TA-25-1446333</t>
  </si>
  <si>
    <t>3007082551</t>
  </si>
  <si>
    <t>DISTRICOL DROGUERIA LA FE SA</t>
  </si>
  <si>
    <t>FO-25-2024488</t>
  </si>
  <si>
    <t>23/12/2025 23-12 PROGRAMACION REALIZADA POR LA ALIANZA| INSTALACIÓN PROGRAMADA PARA EL 2025-12-26 | 30/12/2025 SE INGRESA SE INSTALA BASE FUENTE PATCHCORD CUBRE CLAVE SE HACEN PRUEBAS OK TELECARGA DRNA CAPACITACION AL CB CREACION DE USUARIOS SE INSTALA AVISO EXTERIOR FLANGED DISPLAY LEGAL ENTREGA ROLLOS RBM MARCACION DE CODIGO DEL PUNTO</t>
  </si>
  <si>
    <t>OB007853</t>
  </si>
  <si>
    <t>19807</t>
  </si>
  <si>
    <t>TA-25-1446335</t>
  </si>
  <si>
    <t>3007082582</t>
  </si>
  <si>
    <t>TIMBIO</t>
  </si>
  <si>
    <t>DISTRICOL DROGUERIA EL ARADO</t>
  </si>
  <si>
    <t>FO-25-2024493</t>
  </si>
  <si>
    <t>23/12/2025 23-12 PROGRAMACION REALIZADA POR LA ALIANZA| INSTALACIÓN PROGRAMADA PARA EL 2025-12-26 | 26/12/2025 NO SE PUEDE REALIZAR DESPLAZMIENTO AL MUNICIPIO DE TIMBIO, YA QUE NO SE PUEDE CONSEGUIR TRANSPORTE, SE VISITARA EL DIA 29 DE DICIEMBRE | 29/12/2025 SE INGRESA SE INSTALA BASE FUENTE CUBRE CLAVE SE INSTALA SISTEMA OPERATIVO VERSION CREACION DE USUARIOS PRUEBAS OK TELECARGA DRNA CAPACITACION AL CB MARCACION DE CODIGO DEL PUNTO ENTREGA ROLLOS RBM SE INSTALA AVISO EXTERIOR FLANGED DISOLAY LEGAL</t>
  </si>
  <si>
    <t>OB007854</t>
  </si>
  <si>
    <t>TA-25-1446339</t>
  </si>
  <si>
    <t>3007082547</t>
  </si>
  <si>
    <t>DISTRICOL TIENDA YISETH</t>
  </si>
  <si>
    <t>FO-25-2024508</t>
  </si>
  <si>
    <t>23/12/2025 23-12 PROGRAMACION REALIZADA POR LA ALIANZA| INSTALACIÓN PROGRAMADA PARA EL 2025-12-26 | 26/12/2025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</si>
  <si>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OB007857</t>
  </si>
  <si>
    <t>TA-25-1446345</t>
  </si>
  <si>
    <t>3007082573</t>
  </si>
  <si>
    <t>DISTRICOL PAPY VAR SAN IGNACIO</t>
  </si>
  <si>
    <t>FO-25-2024518</t>
  </si>
  <si>
    <t>23/12/2025 23-12 PROGRAMACION REALIZADA POR LA ALIANZA| INSTALACIÓN PROGRAMADA PARA EL 2025-12-24 | 24/12/2025 SE REALIZÓ LA INSTALACIÓN DE EQUIPOS PUBLICIDAD Y ACCESORIOS PARA APERTURA CB BANCOLOMBIA SE DIO CAPACITACIÓN MANEJO DE DATÁFONO CB Y SOMOS BANCOLOMBIA SE EJECUTAN PRUEBAS TX EXITOSAS QUEDA OPERATIVO</t>
  </si>
  <si>
    <t>OB007858</t>
  </si>
  <si>
    <t>TA-25-1446349</t>
  </si>
  <si>
    <t>3007082574</t>
  </si>
  <si>
    <t>DISTRICOL ALM EL KOMPRADERO</t>
  </si>
  <si>
    <t>FO-25-2024520</t>
  </si>
  <si>
    <t>OB007859</t>
  </si>
  <si>
    <t>TA-25-1446350</t>
  </si>
  <si>
    <t>3007082544</t>
  </si>
  <si>
    <t>DISTRICOL BREYCAR</t>
  </si>
  <si>
    <t>FO-25-2024524</t>
  </si>
  <si>
    <t>23/12/2025 23-12 PROGRAMACION REALIZADA POR LA ALIANZA| INSTALACIÓN PROGRAMADA PARA EL 2025-12-26 | 26/12/2025 SE REALIZÓ LLAMADA TELEFÓNICA AL NÚMERO 3105209230 SE HABLÓ CON LA SRA YEIMI CL MANIFIESTA QUE REALICEMOS LA VISITA EN HORAS DE LA TARDE YA QUE NO SE ENCUENTRA DISPONIBLE EN HORAS AM, SE PROGRAMA VISITA A LAS 2PM POR DISPONIBILIDAD DEL CLIENTE | 26/12/2025 SE REALIZA VISITA AL COMERCIO Y SE HIZO INSTALACIÓN DE DATAFONO LECTORA CABLEADO PUBLICIDAD BANCOLOMBIA INSTALADA OK, CAPACITACIÓN SOMOS BANCOLOMBIA, PRUEBAS EXITOSAS</t>
  </si>
  <si>
    <t>OB007860</t>
  </si>
  <si>
    <t>54498</t>
  </si>
  <si>
    <t>TA-25-1446351</t>
  </si>
  <si>
    <t>3007082546</t>
  </si>
  <si>
    <t>OCAÑA</t>
  </si>
  <si>
    <t>DISTRICOL DROGUERIA AUXILIADOR</t>
  </si>
  <si>
    <t>FO-25-2024526</t>
  </si>
  <si>
    <t>23/12/2025 23-12 PROGRAMACION REALIZADA POR LA ALIANZA| INSTALACIÓN PROGRAMADA PARA EL 2025-12-26 | 29/12/2025 SE CONTACTA TELEFÓNICAMENTE AL CLIENTE, LA SEÑORA LUZ MARINA LÁZARO CONFIRMA DATOS OK. SE LE INFORMA AL CLIENTE QUE EL DÍA DE HOY SE REALIZA EL DESPLAZAMIENTO AL MUNICIPIO DE OCAÑA Y LA INSTALACIÓN SE REALIZARÁ EL DÍA DE MAÑANA 30/12.
3160420157 | 31/12/2025 SE REALIZA VISITA, SE REALIZA APERTURA DE CB, SE INSTALA DATAFONO CON ACCESORIOS, SE INSTALA ÚLTIMA VERSIÓN, SE CREAN USUARIOS OK, SE CAPACITA COMERCIO, SE REALIZAN PRUEBAS Y CIERRES OK. SE INSTALA PUBLICIDAD Y AVISO EXTERIOR.</t>
  </si>
  <si>
    <t>OB007861</t>
  </si>
  <si>
    <t>PACHECO BUITRAGO JAVIER ALONSO</t>
  </si>
  <si>
    <t>EJE CAFETERO</t>
  </si>
  <si>
    <t>63001</t>
  </si>
  <si>
    <t>TA-25-1446352</t>
  </si>
  <si>
    <t>3007082562</t>
  </si>
  <si>
    <t>QUINDIO</t>
  </si>
  <si>
    <t>ARMENIA</t>
  </si>
  <si>
    <t>DISTRICOL MISCELANEA MAS LICOR</t>
  </si>
  <si>
    <t>FO-25-2024528</t>
  </si>
  <si>
    <t>23/12/2025 23-12 PROGRAMACION REALIZADA POR LA ALIANZA| INSTALACIÓN PROGRAMADA PARA EL 2025-12-26 | 26/12/2025 VISITAMOS COMERCIO REALIZAMOS INSTALACIÓN DE DATÁFONO CON LECTOR DE BARRAS, BRAZO DATÁFONO LO CONFIGURAMOS Y REALIZAMOS PRUEBAS OK, INSTALAMOS TODA LA PUBLICIDAD.</t>
  </si>
  <si>
    <t>OB007862</t>
  </si>
  <si>
    <t>ARROYAVE CANO MANUEL GUILLERMO</t>
  </si>
  <si>
    <t>66001</t>
  </si>
  <si>
    <t>TA-25-1446353</t>
  </si>
  <si>
    <t>3007082548</t>
  </si>
  <si>
    <t>RISARALDA</t>
  </si>
  <si>
    <t>DISTRICOL VARIEDADES EL GOCHO</t>
  </si>
  <si>
    <t>FO-25-2024531</t>
  </si>
  <si>
    <t>23/12/2025 23-12 PROGRAMACION REALIZADA POR LA ALIANZA| INSTALACIÓN PROGRAMADA PARA EL 2025-12-24 | 27/12/2025 SE VISITA COMERCIO SE REALIZA APERTURA CB RBM SE INSTALA PUBLICIDAD DATÁFONO BASE MAGIC BOX Y LECTORA SE REALIZA CAPACITACIÓN SE REALIZA PRUEBAS OK</t>
  </si>
  <si>
    <t>OB007863</t>
  </si>
  <si>
    <t>LOAIZA LOPEZ JHON FREDDY</t>
  </si>
  <si>
    <t>TA-25-1446354</t>
  </si>
  <si>
    <t>3007082575</t>
  </si>
  <si>
    <t>DISTRICOL SERVIREPUESTOS 2023</t>
  </si>
  <si>
    <t>FO-25-2024537</t>
  </si>
  <si>
    <t>23/12/2025 23-12 PROGRAMACION REALIZADA POR LA ALIANZA| INSTALACIÓN PROGRAMADA PARA EL 2025-12-26 | 02/01/2026 SE VISITA COMERCIO SE REALIZA APERTURA CB RBM SE INSTALA PUBLICIDAD DATÁFONO BASE Y LECTORA SE REALIZA CAPACITACIÓN SE REALIZA PRUEBAS OK</t>
  </si>
  <si>
    <t>OB007864</t>
  </si>
  <si>
    <t>68276</t>
  </si>
  <si>
    <t>TA-25-1446356</t>
  </si>
  <si>
    <t>3007082545</t>
  </si>
  <si>
    <t>FLORIDABLANCA</t>
  </si>
  <si>
    <t>DISTRICOL LEON MORALES SAS</t>
  </si>
  <si>
    <t>FO-25-2024543</t>
  </si>
  <si>
    <t>23/12/2025 23-12 PROGRAMACION REALIZADA POR LA ALIANZA| INSTALACIÓN PROGRAMADA PARA EL 2025-12-26 | 26/12/2025 EN COMUNICACIÓN CON EL ADMINISTRADOR AL CELULAR CB, INFORMA TENER DISPONIBILIDAD DESPUÉS DE LAS 11:00 AM YA QUE EN ESTOS MOMENTOS SE ENCUENTRA REALIZANDO UNAS DILIGENCIAS PERSONALES. | 26/12/2025 SE REALIZA INSTALACIÓN DE DATÁFONO, LECTOR DE BARRAS, MAGI BOX, PINPAD BASE DATÁFONO, PASCORD, CUBRE CLAVE, 40 ROLLOS, SE CAPACITA CORRESPONSAL, SOMOS BANCOLOMBIA, PRUEBAS EXITOSA.</t>
  </si>
  <si>
    <t>OB007866</t>
  </si>
  <si>
    <t>MARTINEZ FLOREZ DONIS ALBERTO</t>
  </si>
  <si>
    <t>TA-25-1446358</t>
  </si>
  <si>
    <t>3007082549</t>
  </si>
  <si>
    <t>DISTRICOL T Y M MUNDO EXPRESS</t>
  </si>
  <si>
    <t>FO-25-2024551</t>
  </si>
  <si>
    <t>23/12/2025 23-12 PROGRAMACION REALIZADA POR LA ALIANZA| INSTALACIÓN PROGRAMADA PARA EL 2025-12-26 | 26/12/2025 SE ESTABLECE COMUNICACIÓN CON EL SR JULIAN ORTIZ AL NÚMERO DE CONTACTO 3163494081, QUIEN COMENTA QUE TIENE LA DISPONIBILIDAD PARA ATENDER LA VISITA TÉCNICA A PARTIR DE LAS 10 AM | 26/12/2025 SE REALIZA VISITA AL COMERCIO SE HACE APERTURA CB BANCOLOMBIA PURO, SE INSTALA AVISO EXTERIOR, FLANGED, DISPLAY, BASE, DATÁFONO, LECTOR DE BARRAS, MÁGIC BOX, PINPAD POR MÓDULO DE VIDRIO,CUBRE CLAVES, SE DEJAN USUARIO CREADOS A GUSTO DEL CLIENTE, SE HACEN PRUEBAS OK, SOMOS BANCOLOMBIA OK, CAPACITACIÓN GENERAL COMPLETA, MANEJO DEL DATÁFONO OK</t>
  </si>
  <si>
    <t>OB007868</t>
  </si>
  <si>
    <t>GONZALEZ ESTUPIÑAN YEISON WALTER ANTONIO</t>
  </si>
  <si>
    <t>73411</t>
  </si>
  <si>
    <t>TA-25-1446359</t>
  </si>
  <si>
    <t>3007082567</t>
  </si>
  <si>
    <t>TOLIMA</t>
  </si>
  <si>
    <t>LIBANO</t>
  </si>
  <si>
    <t>DISTRICOL MEDICLINICAL DROGUER</t>
  </si>
  <si>
    <t>FO-25-2024557</t>
  </si>
  <si>
    <t>23/12/2025 23-12 PROGRAMACION REALIZADA POR LA ALIANZA| INSTALACIÓN PROGRAMADA PARA EL 2025-12-26 | 26/12/2025 SE INSTALA CB BANCOLOMBIA SIN NOVEDAD. SE CAPACITA A LA SEÑORA LEIDY VELOZA, EN EL MANEJO DEL DATÁFONO, SOMOS BANCOLOMBIA, Y PROCESO DE COMPENSACIÓN. SE HACEN LAS PRUEBAS DE TRANSACCIONES TODO OK</t>
  </si>
  <si>
    <t>OB007869</t>
  </si>
  <si>
    <t>VARGAS HERRERA JHON JAIRO</t>
  </si>
  <si>
    <t>TA-25-1446360</t>
  </si>
  <si>
    <t>3007082541</t>
  </si>
  <si>
    <t>DISTRICOL C.I.A. SALOMIA</t>
  </si>
  <si>
    <t>FO-25-2024559</t>
  </si>
  <si>
    <t>23/12/2025 23-12 PROGRAMACION REALIZADA POR LA ALIANZA| INSTALACIÓN PROGRAMADA PARA EL 2025-12-24 | 24/12/2025 SE LLAMA AL CLIENTE, SE VÁLIDA INSTALACIÓN, DIRECCIÓN Y DISPONIBILIDAD, SE VISITA EL COMERCIO INSTALO DATAFONO, LECTORA, ACCESORIOS, PUBLICIDAD, SE CAPACITA, PRUEBAS OK, TELECARGA TRNA</t>
  </si>
  <si>
    <t>OB007870</t>
  </si>
  <si>
    <t>TA-25-1446361</t>
  </si>
  <si>
    <t>3007082571</t>
  </si>
  <si>
    <t>DISTRICOL RAPITRAMITE PAISAS 2</t>
  </si>
  <si>
    <t>FO-25-2024561</t>
  </si>
  <si>
    <t>23/12/2025 23-12 PROGRAMACION REALIZADA POR LA ALIANZA| INSTALACIÓN PROGRAMADA PARA EL 2025-12-24 | 24/12/2025 EN LA VISITA TÉCNICA SE REALIZÓ LA INSTALACIÓN DE CORRESPONSAL BANCOLOMBIA PURO,SE INSTALA DATÁFONO,MAGIC BOX 2600, LECTOR,BASE SOPORTE DE DATÁFONO,SE INSTALA PINPAD DESK 1600 YA QUE CONTABA CON VENTANILLA DE SEGURIDAD CON VIDRIO,SE INSTALA LA PUBLICIDAD Y SE IMPLEMENTARON LOS ROLLOS DE REDEBAN,SE REALIZÓ LA CAPACITACIÓN CON LA PERSONA ENCARGADA DE MANEJAR EL CORRESPONSAL, CREACIÓN DE USUARIOS SISTEMA OPERATIVO Y MENU OPERATIVO DEL DATÁFONO, TRANSACCIONES,MALQS PRÁCTICAS SEGURIDAD Y ATENCIÓN AL CLIENTE,EL SERVICIO QUEDÓ OPERANDO SIN FALLAS Y SIN NOVEDAD.</t>
  </si>
  <si>
    <t>OB007871</t>
  </si>
  <si>
    <t>TA-25-1446362</t>
  </si>
  <si>
    <t>3007082572</t>
  </si>
  <si>
    <t>DISTRICOL CDA TECNO-ROZO</t>
  </si>
  <si>
    <t>FO-25-2024565</t>
  </si>
  <si>
    <t>23/12/2025 23-12 PROGRAMACION REALIZADA POR LA ALIANZA| INSTALACIÓN PROGRAMADA PARA EL 2025-12-26 | 26/12/2025 SE VISITA ESTABLECIMIENTO, SE REALIZA INSTALACIÓN CORRESPONSAL BANCOLOMBIA PURO. TRANSACCIONES DE PRUEBA EXITOSAS. SE CAPACITA Y SE INSTALA PUBLICIDAD COMPLETA.</t>
  </si>
  <si>
    <t>OB007872</t>
  </si>
  <si>
    <t>76563</t>
  </si>
  <si>
    <t>TA-25-1446363</t>
  </si>
  <si>
    <t>3007082576</t>
  </si>
  <si>
    <t>PRADERA</t>
  </si>
  <si>
    <t>DISTRICOL COMBUSTIBLES Y LUBRI</t>
  </si>
  <si>
    <t>FO-25-2024570</t>
  </si>
  <si>
    <t>23/12/2025 23-12 PROGRAMACION REALIZADA POR LA ALIANZA| INSTALACIÓN PROGRAMADA PARA EL 2025-12-26 | 26/12/2025 SE REALIZA APERTURA DE CB BANCOLOMBIA PURO, SE INSTALA EQUIPO, ACCESORIOS Y PUBLICIDAD, SE REALIZAN PRUEBAS OK. NO SÉ REALIZAN TODAS LAS PRUEBAS YA QUE EL CLIENTE NO CUENTA CON LOS MEDIOS, SE ENTREGAN 40 ROLLOS TERMICOS REDEBAN.</t>
  </si>
  <si>
    <t>OB007873</t>
  </si>
  <si>
    <t>MONTERO MUESES GIAN CARLO</t>
  </si>
  <si>
    <t>76828</t>
  </si>
  <si>
    <t>TA-25-1446364</t>
  </si>
  <si>
    <t>3007082553</t>
  </si>
  <si>
    <t>TRUJILLO</t>
  </si>
  <si>
    <t>DISTRICOL DROG MARIA LILIA</t>
  </si>
  <si>
    <t>FO-25-2024571</t>
  </si>
  <si>
    <t>23/12/2025 23-12 PROGRAMACION REALIZADA POR LA ALIANZA| INSTALACIÓN PROGRAMADA PARA EL 2025-12-26 | 27/12/2025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‎SE DEJAN 40 ROLLOS TÉRMICOS EN EL CB.
‎CB QUEDA OKEY.</t>
  </si>
  <si>
    <t>OB007874</t>
  </si>
  <si>
    <t>TORRES GARCIA JENDRY JOSE</t>
  </si>
  <si>
    <t>TA-25-1446365</t>
  </si>
  <si>
    <t>3007082554</t>
  </si>
  <si>
    <t>DISTRICOL VARIEDADES MELY .SA</t>
  </si>
  <si>
    <t>FO-25-2024574</t>
  </si>
  <si>
    <t>23/12/2025 23-12 PROGRAMACION REALIZADA POR LA ALIANZA| INSTALACIÓN PROGRAMADA PARA EL 2025-12-26 | 26/12/2025 SE REALIZÓ GESTION TELÉFONO PARA CONFIRMAR LA VISITA CON EL CLIENTE,PERO NO HUBO RESPUESTA,SE REALIZÓ EL DESPLAZAMIENTO AL SITIO YA QUE NO HUBO CONTACTO CON EL CLIENTE. | 26/12/2025 EN LA VISITA TÉCNICA SE REALIZÓ LA INSTALACIÓN DE EL CB BANCOLOMBIA PURO,SE INSTALA DATÁFONO, LECTOR, MAGIC BOX 2600,BASE SOPORTE DE DATÁFONO,SE REALIZÓ LA CAPACITACIÓN, INSTALACIÓN DE PUBLICIDAD Y SE IMPLEMENTARON LOS ROLLOS DE REDEBAN,SE REALIZARON TODAS LAS PRUEBAS DURANTE LA CAPACITACIÓN OPERATIVA DEJANDO EL SERVICIO OPERANDO SIN FALLAS Y SIN NOVEDAD.</t>
  </si>
  <si>
    <t>OB007876</t>
  </si>
  <si>
    <t>85410</t>
  </si>
  <si>
    <t>TA-25-1446366</t>
  </si>
  <si>
    <t>3007082581</t>
  </si>
  <si>
    <t>TAURAMENA</t>
  </si>
  <si>
    <t>DISTRICOL CM CORPORATIVO</t>
  </si>
  <si>
    <t>FO-25-2024579</t>
  </si>
  <si>
    <t>23/12/2025 23-12 PROGRAMACION REALIZADA POR LA ALIANZA| INSTALACIÓN PROGRAMADA PARA EL 2025-12-26 | 27/12/2025 SE REALIZA APERTURA CB BANCOLOMBIA PRUEBAS OK SE INSTALA PUBLICIDAD SE INGRESA A SOMOS OK SIN NOVEDAD</t>
  </si>
  <si>
    <t>OB007877</t>
  </si>
  <si>
    <t>CASTRILLON URREA LONDIER LEANDRO</t>
  </si>
  <si>
    <t>MES</t>
  </si>
  <si>
    <t>NIT Proveedor</t>
  </si>
  <si>
    <t>Nombre Proveedor (el proveedor ya debe estar creado para el Grupo Bancolombia)</t>
  </si>
  <si>
    <t>Concepto Facturación</t>
  </si>
  <si>
    <t>Público que se capacitó</t>
  </si>
  <si>
    <t>No. personas impactadas</t>
  </si>
  <si>
    <t>Valor Servicio Unitario</t>
  </si>
  <si>
    <t>Valor a Facturar sin IVA</t>
  </si>
  <si>
    <t>Valor a Facturar con IVA</t>
  </si>
  <si>
    <t>811013990-5</t>
  </si>
  <si>
    <t>LINEA COMUNICACIONES</t>
  </si>
  <si>
    <t>CAPACITACION CORRESPONSALES BANCARIOS APERTURAS</t>
  </si>
  <si>
    <t>CAPACITACION CORRESPONSALES BANCARIOS</t>
  </si>
  <si>
    <t>CAPACITACION CORRESPONSALES BANCARIOS OC</t>
  </si>
  <si>
    <t>TOTAL</t>
  </si>
  <si>
    <t>DICIEMBRE DE 2025</t>
  </si>
  <si>
    <t>Etiquetas de fila</t>
  </si>
  <si>
    <t>Total general</t>
  </si>
  <si>
    <t>Suma de VALOR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</si>
</sst>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 #,##0.00;[Red]\-&quot;$&quot;\ #,##0.00"/>
    <numFmt numFmtId="43" formatCode="_-* #,##0.00_-;\-* #,##0.00_-;_-* &quot;-&quot;??_-;_-@_-"/>
    <numFmt numFmtId="164" formatCode="_(&quot;$&quot;\ * #,##0_);_(&quot;$&quot;\ * \(#,##0\);_(&quot;$&quot;\ * &quot;-&quot;??_);_(@_)"/>
    <numFmt numFmtId="165" formatCode="_(&quot;$&quot;\ * #,##0.00_);_(&quot;$&quot;\ * \(#,##0.00\);_(&quot;$&quot;\ * &quot;-&quot;??_);_(@_)"/>
    <numFmt numFmtId="166" formatCode="[$-409]d\-m\-yy\ h:mm\ AM/PM;@"/>
    <numFmt numFmtId="167" formatCode="_ * #,##0.00_ ;_ * \-#,##0.00_ ;_ * &quot;-&quot;??_ ;_ @_ "/>
    <numFmt numFmtId="168" formatCode="[$-240A]dddd\,\ dd&quot; de &quot;mmmm&quot; de &quot;yyyy"/>
    <numFmt numFmtId="169" formatCode="_ &quot;$&quot;\ * #,##0_ ;_ &quot;$&quot;\ * \-#,##0_ ;_ &quot;$&quot;\ * &quot;-&quot;??_ ;_ @_ "/>
    <numFmt numFmtId="170" formatCode="_ [$€-2]\ * #,##0.00_ ;_ [$€-2]\ * \-#,##0.00_ ;_ [$€-2]\ * &quot;-&quot;??_ "/>
    <numFmt numFmtId="171" formatCode="[$-C0A]d\-mmm\-yy;@"/>
    <numFmt numFmtId="172" formatCode="[$-240A]General"/>
    <numFmt numFmtId="173" formatCode="_-* #,##0.00\ _€_-;\-* #,##0.00\ _€_-;_-* &quot;-&quot;??\ _€_-;_-@_-"/>
    <numFmt numFmtId="174" formatCode="0.000%"/>
    <numFmt numFmtId="175" formatCode="_ * #,##0.00_ ;_ * \-#,##0.00_ ;_ * \-??_ ;_ @_ "/>
    <numFmt numFmtId="176" formatCode="_ &quot;$&quot;\ * #,##0.00_ ;_ &quot;$&quot;\ * \-#,##0.00_ ;_ &quot;$&quot;\ * &quot;-&quot;??_ ;_ @_ "/>
    <numFmt numFmtId="177" formatCode="_-&quot;$&quot;* #,##0.00_-;\-&quot;$&quot;* #,##0.00_-;_-&quot;$&quot;* &quot;-&quot;??_-;_-@_-"/>
    <numFmt numFmtId="178" formatCode="dd/mm/yyyy"/>
    <numFmt numFmtId="179" formatCode="_-&quot;$&quot;* #,##0_-;\-&quot;$&quot;* #,##0_-;_-&quot;$&quot;* &quot;-&quot;??_-;_-@_-"/>
  </numFmts>
  <fonts count="8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sz val="11"/>
      <color indexed="8"/>
      <name val="Calibri"/>
      <family val="2"/>
    </font>
    <font>
      <sz val="10"/>
      <color rgb="FF00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1"/>
      <color theme="10"/>
      <name val="Calibri"/>
      <family val="2"/>
      <scheme val="minor"/>
    </font>
    <font>
      <u/>
      <sz val="12.1"/>
      <color theme="10"/>
      <name val="Calibri"/>
      <family val="2"/>
    </font>
    <font>
      <sz val="11"/>
      <color indexed="20"/>
      <name val="Calibri"/>
      <family val="2"/>
    </font>
    <font>
      <sz val="12"/>
      <color theme="1"/>
      <name val="Trebuchet MS"/>
      <family val="2"/>
    </font>
    <font>
      <sz val="11"/>
      <color indexed="60"/>
      <name val="Calibri"/>
      <family val="2"/>
    </font>
    <font>
      <sz val="11"/>
      <color theme="1"/>
      <name val="ApexSansBookT"/>
      <family val="2"/>
    </font>
    <font>
      <sz val="10"/>
      <color indexed="64"/>
      <name val="Arial"/>
      <family val="2"/>
    </font>
    <font>
      <sz val="10"/>
      <color theme="1"/>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Apex"/>
      <family val="2"/>
    </font>
    <font>
      <b/>
      <sz val="8"/>
      <name val="Gelion Thin"/>
    </font>
    <font>
      <sz val="8"/>
      <color theme="1"/>
      <name val="Gelion Thin"/>
    </font>
    <font>
      <sz val="11"/>
      <color theme="1"/>
      <name val="Gelion Thin"/>
    </font>
    <font>
      <b/>
      <sz val="10"/>
      <name val="Gelion Thin"/>
    </font>
    <font>
      <sz val="10"/>
      <name val="Gelion Thin"/>
    </font>
    <font>
      <sz val="10"/>
      <color rgb="FF000000"/>
      <name val="Gelion Thin"/>
    </font>
    <font>
      <sz val="8"/>
      <color rgb="FF000000"/>
      <name val="Gelion Thin"/>
    </font>
    <font>
      <b/>
      <sz val="11"/>
      <color theme="1"/>
      <name val="Gelion Thin"/>
    </font>
    <font>
      <sz val="10"/>
      <name val="Century Gothic"/>
      <family val="2"/>
    </font>
    <font>
      <sz val="11"/>
      <color rgb="FF000000"/>
      <name val="Gelion Thin"/>
    </font>
    <font>
      <b/>
      <sz val="11"/>
      <color rgb="FFFFFFFF"/>
      <name val="Calibri"/>
      <family val="2"/>
    </font>
    <font>
      <b/>
      <u/>
      <sz val="10"/>
      <name val="Gelion Thin"/>
    </font>
  </fonts>
  <fills count="8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92D050"/>
        <bgColor indexed="64"/>
      </patternFill>
    </fill>
    <fill>
      <patternFill patternType="solid">
        <fgColor rgb="FF001D62"/>
        <bgColor rgb="FF001D62"/>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39124">
    <xf numFmtId="0" fontId="0" fillId="0" borderId="0"/>
    <xf numFmtId="0" fontId="4" fillId="0" borderId="0"/>
    <xf numFmtId="0" fontId="4" fillId="0" borderId="0"/>
    <xf numFmtId="43" fontId="4" fillId="0" borderId="0"/>
    <xf numFmtId="0" fontId="5" fillId="0" borderId="0"/>
    <xf numFmtId="165" fontId="4" fillId="0" borderId="0"/>
    <xf numFmtId="166" fontId="1" fillId="0" borderId="0"/>
    <xf numFmtId="0" fontId="1" fillId="0" borderId="0"/>
    <xf numFmtId="0" fontId="4" fillId="0" borderId="0"/>
    <xf numFmtId="167" fontId="4" fillId="0" borderId="0"/>
    <xf numFmtId="0" fontId="1" fillId="0" borderId="0"/>
    <xf numFmtId="0" fontId="1" fillId="0" borderId="0"/>
    <xf numFmtId="166" fontId="1" fillId="0" borderId="0"/>
    <xf numFmtId="168" fontId="4" fillId="0" borderId="0"/>
    <xf numFmtId="0" fontId="1" fillId="0" borderId="0"/>
    <xf numFmtId="166" fontId="4" fillId="0" borderId="0"/>
    <xf numFmtId="0" fontId="4" fillId="0" borderId="0"/>
    <xf numFmtId="0" fontId="1" fillId="0" borderId="0"/>
    <xf numFmtId="0" fontId="6" fillId="0" borderId="0"/>
    <xf numFmtId="166" fontId="4" fillId="0" borderId="0"/>
    <xf numFmtId="0" fontId="6" fillId="0" borderId="0"/>
    <xf numFmtId="0" fontId="1" fillId="0" borderId="0"/>
    <xf numFmtId="0" fontId="4" fillId="0" borderId="0"/>
    <xf numFmtId="169" fontId="4" fillId="0" borderId="0"/>
    <xf numFmtId="0" fontId="4" fillId="0" borderId="0"/>
    <xf numFmtId="165" fontId="1" fillId="0" borderId="0"/>
    <xf numFmtId="0" fontId="1" fillId="10" borderId="0"/>
    <xf numFmtId="0" fontId="1" fillId="10" borderId="0"/>
    <xf numFmtId="0" fontId="1" fillId="10" borderId="0"/>
    <xf numFmtId="0" fontId="1" fillId="10" borderId="0"/>
    <xf numFmtId="0" fontId="1" fillId="10" borderId="0"/>
    <xf numFmtId="0" fontId="1" fillId="14" borderId="0"/>
    <xf numFmtId="0" fontId="1" fillId="14" borderId="0"/>
    <xf numFmtId="0" fontId="1" fillId="14" borderId="0"/>
    <xf numFmtId="0" fontId="1" fillId="14" borderId="0"/>
    <xf numFmtId="0" fontId="1" fillId="14" borderId="0"/>
    <xf numFmtId="0" fontId="1" fillId="18" borderId="0"/>
    <xf numFmtId="0" fontId="1" fillId="18" borderId="0"/>
    <xf numFmtId="0" fontId="1" fillId="18" borderId="0"/>
    <xf numFmtId="0" fontId="1" fillId="18" borderId="0"/>
    <xf numFmtId="0" fontId="1" fillId="18" borderId="0"/>
    <xf numFmtId="0" fontId="1" fillId="22" borderId="0"/>
    <xf numFmtId="0" fontId="1" fillId="22" borderId="0"/>
    <xf numFmtId="0" fontId="1" fillId="22" borderId="0"/>
    <xf numFmtId="0" fontId="1" fillId="22" borderId="0"/>
    <xf numFmtId="0" fontId="1" fillId="22" borderId="0"/>
    <xf numFmtId="0" fontId="1" fillId="26" borderId="0"/>
    <xf numFmtId="0" fontId="1" fillId="26" borderId="0"/>
    <xf numFmtId="0" fontId="1" fillId="26" borderId="0"/>
    <xf numFmtId="0" fontId="1" fillId="26" borderId="0"/>
    <xf numFmtId="0" fontId="1" fillId="26" borderId="0"/>
    <xf numFmtId="0" fontId="1" fillId="30" borderId="0"/>
    <xf numFmtId="0" fontId="1" fillId="30" borderId="0"/>
    <xf numFmtId="0" fontId="1" fillId="30" borderId="0"/>
    <xf numFmtId="0" fontId="1" fillId="30" borderId="0"/>
    <xf numFmtId="0" fontId="1" fillId="30" borderId="0"/>
    <xf numFmtId="0" fontId="5" fillId="33" borderId="0"/>
    <xf numFmtId="0" fontId="1" fillId="10" borderId="0"/>
    <xf numFmtId="0" fontId="5" fillId="33" borderId="0"/>
    <xf numFmtId="0" fontId="5" fillId="33" borderId="0"/>
    <xf numFmtId="0" fontId="1" fillId="10" borderId="0"/>
    <xf numFmtId="0" fontId="1" fillId="10" borderId="0"/>
    <xf numFmtId="0" fontId="1" fillId="10" borderId="0"/>
    <xf numFmtId="0" fontId="1" fillId="10" borderId="0"/>
    <xf numFmtId="0" fontId="5" fillId="34" borderId="0"/>
    <xf numFmtId="0" fontId="1" fillId="14" borderId="0"/>
    <xf numFmtId="0" fontId="5" fillId="34" borderId="0"/>
    <xf numFmtId="0" fontId="5" fillId="34" borderId="0"/>
    <xf numFmtId="0" fontId="1" fillId="14" borderId="0"/>
    <xf numFmtId="0" fontId="1" fillId="14" borderId="0"/>
    <xf numFmtId="0" fontId="1" fillId="14" borderId="0"/>
    <xf numFmtId="0" fontId="1" fillId="14" borderId="0"/>
    <xf numFmtId="0" fontId="5" fillId="35" borderId="0"/>
    <xf numFmtId="0" fontId="1" fillId="18" borderId="0"/>
    <xf numFmtId="0" fontId="5" fillId="35" borderId="0"/>
    <xf numFmtId="0" fontId="5" fillId="35" borderId="0"/>
    <xf numFmtId="0" fontId="1" fillId="18" borderId="0"/>
    <xf numFmtId="0" fontId="1" fillId="18" borderId="0"/>
    <xf numFmtId="0" fontId="1" fillId="18" borderId="0"/>
    <xf numFmtId="0" fontId="1" fillId="18" borderId="0"/>
    <xf numFmtId="0" fontId="5" fillId="36" borderId="0"/>
    <xf numFmtId="0" fontId="1" fillId="22" borderId="0"/>
    <xf numFmtId="0" fontId="5" fillId="36" borderId="0"/>
    <xf numFmtId="0" fontId="5" fillId="36" borderId="0"/>
    <xf numFmtId="0" fontId="1" fillId="22" borderId="0"/>
    <xf numFmtId="0" fontId="1" fillId="22" borderId="0"/>
    <xf numFmtId="0" fontId="1" fillId="22" borderId="0"/>
    <xf numFmtId="0" fontId="1" fillId="22" borderId="0"/>
    <xf numFmtId="0" fontId="5" fillId="37" borderId="0"/>
    <xf numFmtId="0" fontId="1" fillId="26" borderId="0"/>
    <xf numFmtId="0" fontId="5" fillId="37" borderId="0"/>
    <xf numFmtId="0" fontId="5" fillId="37" borderId="0"/>
    <xf numFmtId="0" fontId="1" fillId="26" borderId="0"/>
    <xf numFmtId="0" fontId="1" fillId="26" borderId="0"/>
    <xf numFmtId="0" fontId="1" fillId="26" borderId="0"/>
    <xf numFmtId="0" fontId="1" fillId="26" borderId="0"/>
    <xf numFmtId="0" fontId="5" fillId="38" borderId="0"/>
    <xf numFmtId="0" fontId="1" fillId="30" borderId="0"/>
    <xf numFmtId="0" fontId="5" fillId="38" borderId="0"/>
    <xf numFmtId="0" fontId="5" fillId="38" borderId="0"/>
    <xf numFmtId="0" fontId="1" fillId="30" borderId="0"/>
    <xf numFmtId="0" fontId="1" fillId="30" borderId="0"/>
    <xf numFmtId="0" fontId="1" fillId="30" borderId="0"/>
    <xf numFmtId="0" fontId="1" fillId="30" borderId="0"/>
    <xf numFmtId="0" fontId="21" fillId="39" borderId="0"/>
    <xf numFmtId="0" fontId="21" fillId="40" borderId="0"/>
    <xf numFmtId="0" fontId="21" fillId="41" borderId="0"/>
    <xf numFmtId="0" fontId="21" fillId="42" borderId="0"/>
    <xf numFmtId="0" fontId="21" fillId="43" borderId="0"/>
    <xf numFmtId="0" fontId="21" fillId="44" borderId="0"/>
    <xf numFmtId="0" fontId="1" fillId="11" borderId="0"/>
    <xf numFmtId="0" fontId="1" fillId="11" borderId="0"/>
    <xf numFmtId="0" fontId="1" fillId="11" borderId="0"/>
    <xf numFmtId="0" fontId="1" fillId="11" borderId="0"/>
    <xf numFmtId="0" fontId="1" fillId="11" borderId="0"/>
    <xf numFmtId="0" fontId="1" fillId="15" borderId="0"/>
    <xf numFmtId="0" fontId="1" fillId="15" borderId="0"/>
    <xf numFmtId="0" fontId="1" fillId="15" borderId="0"/>
    <xf numFmtId="0" fontId="1" fillId="15" borderId="0"/>
    <xf numFmtId="0" fontId="1" fillId="15" borderId="0"/>
    <xf numFmtId="0" fontId="1" fillId="19" borderId="0"/>
    <xf numFmtId="0" fontId="1" fillId="19" borderId="0"/>
    <xf numFmtId="0" fontId="1" fillId="19" borderId="0"/>
    <xf numFmtId="0" fontId="1" fillId="19" borderId="0"/>
    <xf numFmtId="0" fontId="1" fillId="19" borderId="0"/>
    <xf numFmtId="0" fontId="1" fillId="23" borderId="0"/>
    <xf numFmtId="0" fontId="1" fillId="23" borderId="0"/>
    <xf numFmtId="0" fontId="1" fillId="23" borderId="0"/>
    <xf numFmtId="0" fontId="1" fillId="23" borderId="0"/>
    <xf numFmtId="0" fontId="1" fillId="23" borderId="0"/>
    <xf numFmtId="0" fontId="1" fillId="27" borderId="0"/>
    <xf numFmtId="0" fontId="1" fillId="27" borderId="0"/>
    <xf numFmtId="0" fontId="1" fillId="27" borderId="0"/>
    <xf numFmtId="0" fontId="1" fillId="27" borderId="0"/>
    <xf numFmtId="0" fontId="1" fillId="27" borderId="0"/>
    <xf numFmtId="0" fontId="1" fillId="31" borderId="0"/>
    <xf numFmtId="0" fontId="1" fillId="31" borderId="0"/>
    <xf numFmtId="0" fontId="1" fillId="31" borderId="0"/>
    <xf numFmtId="0" fontId="1" fillId="31" borderId="0"/>
    <xf numFmtId="0" fontId="1" fillId="31" borderId="0"/>
    <xf numFmtId="0" fontId="5" fillId="45" borderId="0"/>
    <xf numFmtId="0" fontId="1" fillId="11" borderId="0"/>
    <xf numFmtId="0" fontId="5" fillId="45" borderId="0"/>
    <xf numFmtId="0" fontId="5" fillId="45" borderId="0"/>
    <xf numFmtId="0" fontId="1" fillId="11" borderId="0"/>
    <xf numFmtId="0" fontId="1" fillId="11" borderId="0"/>
    <xf numFmtId="0" fontId="1" fillId="11" borderId="0"/>
    <xf numFmtId="0" fontId="1" fillId="11" borderId="0"/>
    <xf numFmtId="0" fontId="5" fillId="46" borderId="0"/>
    <xf numFmtId="0" fontId="1" fillId="15" borderId="0"/>
    <xf numFmtId="0" fontId="5" fillId="46" borderId="0"/>
    <xf numFmtId="0" fontId="5" fillId="46" borderId="0"/>
    <xf numFmtId="0" fontId="1" fillId="15" borderId="0"/>
    <xf numFmtId="0" fontId="1" fillId="15" borderId="0"/>
    <xf numFmtId="0" fontId="1" fillId="15" borderId="0"/>
    <xf numFmtId="0" fontId="1" fillId="15" borderId="0"/>
    <xf numFmtId="0" fontId="5" fillId="47" borderId="0"/>
    <xf numFmtId="0" fontId="1" fillId="19" borderId="0"/>
    <xf numFmtId="0" fontId="5" fillId="47" borderId="0"/>
    <xf numFmtId="0" fontId="5" fillId="47" borderId="0"/>
    <xf numFmtId="0" fontId="1" fillId="19" borderId="0"/>
    <xf numFmtId="0" fontId="1" fillId="19" borderId="0"/>
    <xf numFmtId="0" fontId="1" fillId="19" borderId="0"/>
    <xf numFmtId="0" fontId="1" fillId="19" borderId="0"/>
    <xf numFmtId="0" fontId="5" fillId="36" borderId="0"/>
    <xf numFmtId="0" fontId="1" fillId="23" borderId="0"/>
    <xf numFmtId="0" fontId="5" fillId="36" borderId="0"/>
    <xf numFmtId="0" fontId="5" fillId="36" borderId="0"/>
    <xf numFmtId="0" fontId="1" fillId="23" borderId="0"/>
    <xf numFmtId="0" fontId="1" fillId="23" borderId="0"/>
    <xf numFmtId="0" fontId="1" fillId="23" borderId="0"/>
    <xf numFmtId="0" fontId="1" fillId="23" borderId="0"/>
    <xf numFmtId="0" fontId="5" fillId="45" borderId="0"/>
    <xf numFmtId="0" fontId="1" fillId="27" borderId="0"/>
    <xf numFmtId="0" fontId="5" fillId="45" borderId="0"/>
    <xf numFmtId="0" fontId="5" fillId="45" borderId="0"/>
    <xf numFmtId="0" fontId="1" fillId="27" borderId="0"/>
    <xf numFmtId="0" fontId="1" fillId="27" borderId="0"/>
    <xf numFmtId="0" fontId="1" fillId="27" borderId="0"/>
    <xf numFmtId="0" fontId="1" fillId="27" borderId="0"/>
    <xf numFmtId="0" fontId="5" fillId="48" borderId="0"/>
    <xf numFmtId="0" fontId="1" fillId="31" borderId="0"/>
    <xf numFmtId="0" fontId="5" fillId="48" borderId="0"/>
    <xf numFmtId="0" fontId="5" fillId="48" borderId="0"/>
    <xf numFmtId="0" fontId="1" fillId="31" borderId="0"/>
    <xf numFmtId="0" fontId="1" fillId="31" borderId="0"/>
    <xf numFmtId="0" fontId="1" fillId="31" borderId="0"/>
    <xf numFmtId="0" fontId="1" fillId="31" borderId="0"/>
    <xf numFmtId="0" fontId="21" fillId="49" borderId="0"/>
    <xf numFmtId="0" fontId="21" fillId="50" borderId="0"/>
    <xf numFmtId="0" fontId="21" fillId="51" borderId="0"/>
    <xf numFmtId="0" fontId="21" fillId="52" borderId="0"/>
    <xf numFmtId="0" fontId="21" fillId="53" borderId="0"/>
    <xf numFmtId="0" fontId="21" fillId="54" borderId="0"/>
    <xf numFmtId="0" fontId="20" fillId="12" borderId="0"/>
    <xf numFmtId="0" fontId="20" fillId="12" borderId="0"/>
    <xf numFmtId="0" fontId="20" fillId="12" borderId="0"/>
    <xf numFmtId="0" fontId="20" fillId="12" borderId="0"/>
    <xf numFmtId="0" fontId="20" fillId="12" borderId="0"/>
    <xf numFmtId="0" fontId="20" fillId="16" borderId="0"/>
    <xf numFmtId="0" fontId="20" fillId="16" borderId="0"/>
    <xf numFmtId="0" fontId="20" fillId="16" borderId="0"/>
    <xf numFmtId="0" fontId="20" fillId="16" borderId="0"/>
    <xf numFmtId="0" fontId="20" fillId="16" borderId="0"/>
    <xf numFmtId="0" fontId="20" fillId="20" borderId="0"/>
    <xf numFmtId="0" fontId="20" fillId="20" borderId="0"/>
    <xf numFmtId="0" fontId="20" fillId="20" borderId="0"/>
    <xf numFmtId="0" fontId="20" fillId="20" borderId="0"/>
    <xf numFmtId="0" fontId="20" fillId="20" borderId="0"/>
    <xf numFmtId="0" fontId="20" fillId="24" borderId="0"/>
    <xf numFmtId="0" fontId="20" fillId="24" borderId="0"/>
    <xf numFmtId="0" fontId="20" fillId="24" borderId="0"/>
    <xf numFmtId="0" fontId="20" fillId="24" borderId="0"/>
    <xf numFmtId="0" fontId="20" fillId="24" borderId="0"/>
    <xf numFmtId="0" fontId="20" fillId="28" borderId="0"/>
    <xf numFmtId="0" fontId="20" fillId="28" borderId="0"/>
    <xf numFmtId="0" fontId="20" fillId="28" borderId="0"/>
    <xf numFmtId="0" fontId="20" fillId="28" borderId="0"/>
    <xf numFmtId="0" fontId="20" fillId="28" borderId="0"/>
    <xf numFmtId="0" fontId="20" fillId="32" borderId="0"/>
    <xf numFmtId="0" fontId="20" fillId="32" borderId="0"/>
    <xf numFmtId="0" fontId="20" fillId="32" borderId="0"/>
    <xf numFmtId="0" fontId="20" fillId="32" borderId="0"/>
    <xf numFmtId="0" fontId="20" fillId="32" borderId="0"/>
    <xf numFmtId="0" fontId="22" fillId="55" borderId="0"/>
    <xf numFmtId="0" fontId="20" fillId="12" borderId="0"/>
    <xf numFmtId="0" fontId="22" fillId="55" borderId="0"/>
    <xf numFmtId="0" fontId="22" fillId="55" borderId="0"/>
    <xf numFmtId="0" fontId="20" fillId="12" borderId="0"/>
    <xf numFmtId="0" fontId="20" fillId="12" borderId="0"/>
    <xf numFmtId="0" fontId="20" fillId="12" borderId="0"/>
    <xf numFmtId="0" fontId="20" fillId="12" borderId="0"/>
    <xf numFmtId="0" fontId="22" fillId="46" borderId="0"/>
    <xf numFmtId="0" fontId="20" fillId="16" borderId="0"/>
    <xf numFmtId="0" fontId="22" fillId="46" borderId="0"/>
    <xf numFmtId="0" fontId="22" fillId="46" borderId="0"/>
    <xf numFmtId="0" fontId="20" fillId="16" borderId="0"/>
    <xf numFmtId="0" fontId="20" fillId="16" borderId="0"/>
    <xf numFmtId="0" fontId="20" fillId="16" borderId="0"/>
    <xf numFmtId="0" fontId="20" fillId="16" borderId="0"/>
    <xf numFmtId="0" fontId="22" fillId="47" borderId="0"/>
    <xf numFmtId="0" fontId="20" fillId="20" borderId="0"/>
    <xf numFmtId="0" fontId="22" fillId="47" borderId="0"/>
    <xf numFmtId="0" fontId="22" fillId="47" borderId="0"/>
    <xf numFmtId="0" fontId="20" fillId="20" borderId="0"/>
    <xf numFmtId="0" fontId="20" fillId="20" borderId="0"/>
    <xf numFmtId="0" fontId="20" fillId="20" borderId="0"/>
    <xf numFmtId="0" fontId="20" fillId="20" borderId="0"/>
    <xf numFmtId="0" fontId="22" fillId="56" borderId="0"/>
    <xf numFmtId="0" fontId="20" fillId="24" borderId="0"/>
    <xf numFmtId="0" fontId="22" fillId="56" borderId="0"/>
    <xf numFmtId="0" fontId="22" fillId="56" borderId="0"/>
    <xf numFmtId="0" fontId="20" fillId="24" borderId="0"/>
    <xf numFmtId="0" fontId="20" fillId="24" borderId="0"/>
    <xf numFmtId="0" fontId="20" fillId="24" borderId="0"/>
    <xf numFmtId="0" fontId="20" fillId="24" borderId="0"/>
    <xf numFmtId="0" fontId="22" fillId="57" borderId="0"/>
    <xf numFmtId="0" fontId="20" fillId="28" borderId="0"/>
    <xf numFmtId="0" fontId="22" fillId="57" borderId="0"/>
    <xf numFmtId="0" fontId="22" fillId="57" borderId="0"/>
    <xf numFmtId="0" fontId="20" fillId="28" borderId="0"/>
    <xf numFmtId="0" fontId="20" fillId="28" borderId="0"/>
    <xf numFmtId="0" fontId="20" fillId="28" borderId="0"/>
    <xf numFmtId="0" fontId="20" fillId="28" borderId="0"/>
    <xf numFmtId="0" fontId="22" fillId="58" borderId="0"/>
    <xf numFmtId="0" fontId="20" fillId="32" borderId="0"/>
    <xf numFmtId="0" fontId="22" fillId="58" borderId="0"/>
    <xf numFmtId="0" fontId="22" fillId="58" borderId="0"/>
    <xf numFmtId="0" fontId="20" fillId="32" borderId="0"/>
    <xf numFmtId="0" fontId="20" fillId="32" borderId="0"/>
    <xf numFmtId="0" fontId="20" fillId="32" borderId="0"/>
    <xf numFmtId="0" fontId="20" fillId="32" borderId="0"/>
    <xf numFmtId="0" fontId="23" fillId="59" borderId="0"/>
    <xf numFmtId="0" fontId="23" fillId="60" borderId="0"/>
    <xf numFmtId="0" fontId="23" fillId="61" borderId="0"/>
    <xf numFmtId="0" fontId="23" fillId="62" borderId="0"/>
    <xf numFmtId="0" fontId="23" fillId="63" borderId="0"/>
    <xf numFmtId="0" fontId="23" fillId="64" borderId="0"/>
    <xf numFmtId="0" fontId="20" fillId="9" borderId="0"/>
    <xf numFmtId="0" fontId="20" fillId="9" borderId="0"/>
    <xf numFmtId="0" fontId="20" fillId="9" borderId="0"/>
    <xf numFmtId="0" fontId="20" fillId="9" borderId="0"/>
    <xf numFmtId="0" fontId="20" fillId="9" borderId="0"/>
    <xf numFmtId="0" fontId="20" fillId="13" borderId="0"/>
    <xf numFmtId="0" fontId="20" fillId="13" borderId="0"/>
    <xf numFmtId="0" fontId="20" fillId="13" borderId="0"/>
    <xf numFmtId="0" fontId="20" fillId="13" borderId="0"/>
    <xf numFmtId="0" fontId="20" fillId="13" borderId="0"/>
    <xf numFmtId="0" fontId="20" fillId="17" borderId="0"/>
    <xf numFmtId="0" fontId="20" fillId="17" borderId="0"/>
    <xf numFmtId="0" fontId="20" fillId="17" borderId="0"/>
    <xf numFmtId="0" fontId="20" fillId="17" borderId="0"/>
    <xf numFmtId="0" fontId="20" fillId="17" borderId="0"/>
    <xf numFmtId="0" fontId="20" fillId="21" borderId="0"/>
    <xf numFmtId="0" fontId="20" fillId="21" borderId="0"/>
    <xf numFmtId="0" fontId="20" fillId="21" borderId="0"/>
    <xf numFmtId="0" fontId="20" fillId="21" borderId="0"/>
    <xf numFmtId="0" fontId="20" fillId="21" borderId="0"/>
    <xf numFmtId="0" fontId="20" fillId="25" borderId="0"/>
    <xf numFmtId="0" fontId="20" fillId="25" borderId="0"/>
    <xf numFmtId="0" fontId="20" fillId="25" borderId="0"/>
    <xf numFmtId="0" fontId="20" fillId="25" borderId="0"/>
    <xf numFmtId="0" fontId="20" fillId="25" borderId="0"/>
    <xf numFmtId="0" fontId="20" fillId="29" borderId="0"/>
    <xf numFmtId="0" fontId="20" fillId="29" borderId="0"/>
    <xf numFmtId="0" fontId="20" fillId="29" borderId="0"/>
    <xf numFmtId="0" fontId="20" fillId="29" borderId="0"/>
    <xf numFmtId="0" fontId="20" fillId="29" borderId="0"/>
    <xf numFmtId="0" fontId="12" fillId="3" borderId="0"/>
    <xf numFmtId="0" fontId="12" fillId="3" borderId="0"/>
    <xf numFmtId="0" fontId="12" fillId="3" borderId="0"/>
    <xf numFmtId="0" fontId="12" fillId="3" borderId="0"/>
    <xf numFmtId="0" fontId="12" fillId="3" borderId="0"/>
    <xf numFmtId="0" fontId="24" fillId="35" borderId="0"/>
    <xf numFmtId="0" fontId="11" fillId="2" borderId="0"/>
    <xf numFmtId="0" fontId="24" fillId="35" borderId="0"/>
    <xf numFmtId="0" fontId="11" fillId="2" borderId="0"/>
    <xf numFmtId="0" fontId="24" fillId="35" borderId="0"/>
    <xf numFmtId="0" fontId="24" fillId="35" borderId="0"/>
    <xf numFmtId="0" fontId="24" fillId="35" borderId="0"/>
    <xf numFmtId="0" fontId="11" fillId="2" borderId="0"/>
    <xf numFmtId="0" fontId="11" fillId="2" borderId="0"/>
    <xf numFmtId="0" fontId="24" fillId="35" borderId="0"/>
    <xf numFmtId="0" fontId="24" fillId="35" borderId="0"/>
    <xf numFmtId="0" fontId="11" fillId="2" borderId="0"/>
    <xf numFmtId="0" fontId="11" fillId="2" borderId="0"/>
    <xf numFmtId="0" fontId="11" fillId="2" borderId="0"/>
    <xf numFmtId="0" fontId="11" fillId="2" borderId="0"/>
    <xf numFmtId="0" fontId="11" fillId="2" borderId="0"/>
    <xf numFmtId="0" fontId="15" fillId="6" borderId="5"/>
    <xf numFmtId="0" fontId="15" fillId="6" borderId="5"/>
    <xf numFmtId="0" fontId="15" fillId="6" borderId="5"/>
    <xf numFmtId="0" fontId="15" fillId="6" borderId="5"/>
    <xf numFmtId="0" fontId="15" fillId="6" borderId="5"/>
    <xf numFmtId="0" fontId="25" fillId="65" borderId="11"/>
    <xf numFmtId="0" fontId="15" fillId="6" borderId="5"/>
    <xf numFmtId="0" fontId="25" fillId="65" borderId="11"/>
    <xf numFmtId="0" fontId="25" fillId="65" borderId="11"/>
    <xf numFmtId="0" fontId="15" fillId="6" borderId="5"/>
    <xf numFmtId="0" fontId="15" fillId="6" borderId="5"/>
    <xf numFmtId="0" fontId="15" fillId="6" borderId="5"/>
    <xf numFmtId="0" fontId="15" fillId="6" borderId="5"/>
    <xf numFmtId="0" fontId="26" fillId="66" borderId="12"/>
    <xf numFmtId="0" fontId="17" fillId="7" borderId="8"/>
    <xf numFmtId="0" fontId="26" fillId="66" borderId="12"/>
    <xf numFmtId="0" fontId="17" fillId="7" borderId="8"/>
    <xf numFmtId="0" fontId="26" fillId="66" borderId="12"/>
    <xf numFmtId="0" fontId="26" fillId="66" borderId="12"/>
    <xf numFmtId="0" fontId="26" fillId="66" borderId="12"/>
    <xf numFmtId="0" fontId="17" fillId="7" borderId="8"/>
    <xf numFmtId="0" fontId="17" fillId="7" borderId="8"/>
    <xf numFmtId="0" fontId="26" fillId="66" borderId="12"/>
    <xf numFmtId="0" fontId="26" fillId="66" borderId="12"/>
    <xf numFmtId="0" fontId="17" fillId="7" borderId="8"/>
    <xf numFmtId="0" fontId="17" fillId="7" borderId="8"/>
    <xf numFmtId="0" fontId="17" fillId="7" borderId="8"/>
    <xf numFmtId="0" fontId="17" fillId="7" borderId="8"/>
    <xf numFmtId="0" fontId="17" fillId="7" borderId="8"/>
    <xf numFmtId="0" fontId="27" fillId="0" borderId="13"/>
    <xf numFmtId="0" fontId="16" fillId="0" borderId="7"/>
    <xf numFmtId="0" fontId="27" fillId="0" borderId="13"/>
    <xf numFmtId="0" fontId="16" fillId="0" borderId="7"/>
    <xf numFmtId="0" fontId="27" fillId="0" borderId="13"/>
    <xf numFmtId="0" fontId="27" fillId="0" borderId="13"/>
    <xf numFmtId="0" fontId="27" fillId="0" borderId="13"/>
    <xf numFmtId="0" fontId="16" fillId="0" borderId="7"/>
    <xf numFmtId="0" fontId="16" fillId="0" borderId="7"/>
    <xf numFmtId="0" fontId="27" fillId="0" borderId="13"/>
    <xf numFmtId="0" fontId="27" fillId="0" borderId="13"/>
    <xf numFmtId="0" fontId="16" fillId="0" borderId="7"/>
    <xf numFmtId="0" fontId="16" fillId="0" borderId="7"/>
    <xf numFmtId="0" fontId="16" fillId="0" borderId="7"/>
    <xf numFmtId="0" fontId="16" fillId="0" borderId="7"/>
    <xf numFmtId="0" fontId="16" fillId="0" borderId="7"/>
    <xf numFmtId="0" fontId="17" fillId="7" borderId="8"/>
    <xf numFmtId="0" fontId="17" fillId="7" borderId="8"/>
    <xf numFmtId="0" fontId="17" fillId="7" borderId="8"/>
    <xf numFmtId="0" fontId="17" fillId="7" borderId="8"/>
    <xf numFmtId="0" fontId="17" fillId="7" borderId="8"/>
    <xf numFmtId="43" fontId="4" fillId="0" borderId="0"/>
    <xf numFmtId="0" fontId="28" fillId="0" borderId="0"/>
    <xf numFmtId="0" fontId="10" fillId="0" borderId="0"/>
    <xf numFmtId="0" fontId="28" fillId="0" borderId="0"/>
    <xf numFmtId="0" fontId="10" fillId="0" borderId="0"/>
    <xf numFmtId="0" fontId="28" fillId="0" borderId="0"/>
    <xf numFmtId="0" fontId="28" fillId="0" borderId="0"/>
    <xf numFmtId="0" fontId="28" fillId="0" borderId="0"/>
    <xf numFmtId="0" fontId="10" fillId="0" borderId="0"/>
    <xf numFmtId="0" fontId="10" fillId="0" borderId="0"/>
    <xf numFmtId="0" fontId="28" fillId="0" borderId="0"/>
    <xf numFmtId="0" fontId="28" fillId="0" borderId="0"/>
    <xf numFmtId="0" fontId="10" fillId="0" borderId="0"/>
    <xf numFmtId="0" fontId="10" fillId="0" borderId="0"/>
    <xf numFmtId="0" fontId="10" fillId="0" borderId="0"/>
    <xf numFmtId="0" fontId="10" fillId="0" borderId="0"/>
    <xf numFmtId="0" fontId="10" fillId="0" borderId="0"/>
    <xf numFmtId="0" fontId="22" fillId="67" borderId="0"/>
    <xf numFmtId="0" fontId="20" fillId="9" borderId="0"/>
    <xf numFmtId="0" fontId="22" fillId="67" borderId="0"/>
    <xf numFmtId="0" fontId="22" fillId="67" borderId="0"/>
    <xf numFmtId="0" fontId="20" fillId="9" borderId="0"/>
    <xf numFmtId="0" fontId="20" fillId="9" borderId="0"/>
    <xf numFmtId="0" fontId="20" fillId="9" borderId="0"/>
    <xf numFmtId="0" fontId="20" fillId="9" borderId="0"/>
    <xf numFmtId="0" fontId="22" fillId="68" borderId="0"/>
    <xf numFmtId="0" fontId="20" fillId="13" borderId="0"/>
    <xf numFmtId="0" fontId="22" fillId="68" borderId="0"/>
    <xf numFmtId="0" fontId="22" fillId="68" borderId="0"/>
    <xf numFmtId="0" fontId="20" fillId="13" borderId="0"/>
    <xf numFmtId="0" fontId="20" fillId="13" borderId="0"/>
    <xf numFmtId="0" fontId="20" fillId="13" borderId="0"/>
    <xf numFmtId="0" fontId="20" fillId="13" borderId="0"/>
    <xf numFmtId="0" fontId="22" fillId="69" borderId="0"/>
    <xf numFmtId="0" fontId="20" fillId="17" borderId="0"/>
    <xf numFmtId="0" fontId="22" fillId="69" borderId="0"/>
    <xf numFmtId="0" fontId="22" fillId="69" borderId="0"/>
    <xf numFmtId="0" fontId="20" fillId="17" borderId="0"/>
    <xf numFmtId="0" fontId="20" fillId="17" borderId="0"/>
    <xf numFmtId="0" fontId="20" fillId="17" borderId="0"/>
    <xf numFmtId="0" fontId="20" fillId="17" borderId="0"/>
    <xf numFmtId="0" fontId="22" fillId="56" borderId="0"/>
    <xf numFmtId="0" fontId="20" fillId="21" borderId="0"/>
    <xf numFmtId="0" fontId="22" fillId="56" borderId="0"/>
    <xf numFmtId="0" fontId="22" fillId="56" borderId="0"/>
    <xf numFmtId="0" fontId="20" fillId="21" borderId="0"/>
    <xf numFmtId="0" fontId="20" fillId="21" borderId="0"/>
    <xf numFmtId="0" fontId="20" fillId="21" borderId="0"/>
    <xf numFmtId="0" fontId="20" fillId="21" borderId="0"/>
    <xf numFmtId="0" fontId="22" fillId="57" borderId="0"/>
    <xf numFmtId="0" fontId="20" fillId="25" borderId="0"/>
    <xf numFmtId="0" fontId="22" fillId="57" borderId="0"/>
    <xf numFmtId="0" fontId="22" fillId="57" borderId="0"/>
    <xf numFmtId="0" fontId="20" fillId="25" borderId="0"/>
    <xf numFmtId="0" fontId="20" fillId="25" borderId="0"/>
    <xf numFmtId="0" fontId="20" fillId="25" borderId="0"/>
    <xf numFmtId="0" fontId="20" fillId="25" borderId="0"/>
    <xf numFmtId="0" fontId="22" fillId="70" borderId="0"/>
    <xf numFmtId="0" fontId="20" fillId="29" borderId="0"/>
    <xf numFmtId="0" fontId="22" fillId="70" borderId="0"/>
    <xf numFmtId="0" fontId="22" fillId="70" borderId="0"/>
    <xf numFmtId="0" fontId="20" fillId="29" borderId="0"/>
    <xf numFmtId="0" fontId="20" fillId="29" borderId="0"/>
    <xf numFmtId="0" fontId="20" fillId="29" borderId="0"/>
    <xf numFmtId="0" fontId="20" fillId="29" borderId="0"/>
    <xf numFmtId="0" fontId="29" fillId="38" borderId="11"/>
    <xf numFmtId="0" fontId="13" fillId="5" borderId="5"/>
    <xf numFmtId="0" fontId="29" fillId="38" borderId="11"/>
    <xf numFmtId="0" fontId="13" fillId="5" borderId="5"/>
    <xf numFmtId="0" fontId="29" fillId="38" borderId="11"/>
    <xf numFmtId="0" fontId="29" fillId="38" borderId="11"/>
    <xf numFmtId="0" fontId="29" fillId="38" borderId="11"/>
    <xf numFmtId="0" fontId="13" fillId="5" borderId="5"/>
    <xf numFmtId="0" fontId="13" fillId="5" borderId="5"/>
    <xf numFmtId="0" fontId="29" fillId="38" borderId="11"/>
    <xf numFmtId="0" fontId="29" fillId="38" borderId="11"/>
    <xf numFmtId="0" fontId="13" fillId="5" borderId="5"/>
    <xf numFmtId="0" fontId="13" fillId="5" borderId="5"/>
    <xf numFmtId="0" fontId="13" fillId="5" borderId="5"/>
    <xf numFmtId="0" fontId="13" fillId="5" borderId="5"/>
    <xf numFmtId="0" fontId="13" fillId="5" borderId="5"/>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171" fontId="5" fillId="0" borderId="0"/>
    <xf numFmtId="172" fontId="30" fillId="0" borderId="0"/>
    <xf numFmtId="0" fontId="19" fillId="0" borderId="0"/>
    <xf numFmtId="0" fontId="19" fillId="0" borderId="0"/>
    <xf numFmtId="0" fontId="19" fillId="0" borderId="0"/>
    <xf numFmtId="0" fontId="19" fillId="0" borderId="0"/>
    <xf numFmtId="0" fontId="19" fillId="0" borderId="0"/>
    <xf numFmtId="0" fontId="11" fillId="2" borderId="0"/>
    <xf numFmtId="0" fontId="11" fillId="2" borderId="0"/>
    <xf numFmtId="0" fontId="11" fillId="2" borderId="0"/>
    <xf numFmtId="0" fontId="11" fillId="2" borderId="0"/>
    <xf numFmtId="0" fontId="11" fillId="2" borderId="0"/>
    <xf numFmtId="0" fontId="8" fillId="0" borderId="2"/>
    <xf numFmtId="0" fontId="8" fillId="0" borderId="2"/>
    <xf numFmtId="0" fontId="8" fillId="0" borderId="2"/>
    <xf numFmtId="0" fontId="8" fillId="0" borderId="2"/>
    <xf numFmtId="0" fontId="8" fillId="0" borderId="2"/>
    <xf numFmtId="0" fontId="9" fillId="0" borderId="3"/>
    <xf numFmtId="0" fontId="9" fillId="0" borderId="3"/>
    <xf numFmtId="0" fontId="9" fillId="0" borderId="3"/>
    <xf numFmtId="0" fontId="9" fillId="0" borderId="3"/>
    <xf numFmtId="0" fontId="9" fillId="0" borderId="3"/>
    <xf numFmtId="0" fontId="10" fillId="0" borderId="4"/>
    <xf numFmtId="0" fontId="10" fillId="0" borderId="4"/>
    <xf numFmtId="0" fontId="10" fillId="0" borderId="4"/>
    <xf numFmtId="0" fontId="10" fillId="0" borderId="4"/>
    <xf numFmtId="0" fontId="10" fillId="0" borderId="4"/>
    <xf numFmtId="0" fontId="10" fillId="0" borderId="0"/>
    <xf numFmtId="0" fontId="10" fillId="0" borderId="0"/>
    <xf numFmtId="0" fontId="10" fillId="0" borderId="0"/>
    <xf numFmtId="0" fontId="10" fillId="0" borderId="0"/>
    <xf numFmtId="0" fontId="10" fillId="0" borderId="0"/>
    <xf numFmtId="0" fontId="31" fillId="0" borderId="0">
      <alignment vertical="top"/>
      <protection locked="0"/>
    </xf>
    <xf numFmtId="0" fontId="31" fillId="0" borderId="0"/>
    <xf numFmtId="0" fontId="32" fillId="0" borderId="0">
      <alignment vertical="top"/>
      <protection locked="0"/>
    </xf>
    <xf numFmtId="0" fontId="33" fillId="0" borderId="0"/>
    <xf numFmtId="0" fontId="32" fillId="0" borderId="0">
      <alignment vertical="top"/>
      <protection locked="0"/>
    </xf>
    <xf numFmtId="0" fontId="34" fillId="0" borderId="0">
      <alignment vertical="top"/>
      <protection locked="0"/>
    </xf>
    <xf numFmtId="171" fontId="33" fillId="0" borderId="0"/>
    <xf numFmtId="0" fontId="35" fillId="34" borderId="0"/>
    <xf numFmtId="0" fontId="12" fillId="3" borderId="0"/>
    <xf numFmtId="0" fontId="35" fillId="34" borderId="0"/>
    <xf numFmtId="0" fontId="35" fillId="34" borderId="0"/>
    <xf numFmtId="0" fontId="12" fillId="3" borderId="0"/>
    <xf numFmtId="0" fontId="12" fillId="3" borderId="0"/>
    <xf numFmtId="0" fontId="12" fillId="3" borderId="0"/>
    <xf numFmtId="0" fontId="12" fillId="3" borderId="0"/>
    <xf numFmtId="0" fontId="13" fillId="5" borderId="5"/>
    <xf numFmtId="0" fontId="13" fillId="5" borderId="5"/>
    <xf numFmtId="0" fontId="13" fillId="5" borderId="5"/>
    <xf numFmtId="0" fontId="13" fillId="5" borderId="5"/>
    <xf numFmtId="0" fontId="13" fillId="5" borderId="5"/>
    <xf numFmtId="0" fontId="16" fillId="0" borderId="7"/>
    <xf numFmtId="0" fontId="16" fillId="0" borderId="7"/>
    <xf numFmtId="0" fontId="16" fillId="0" borderId="7"/>
    <xf numFmtId="0" fontId="16" fillId="0" borderId="7"/>
    <xf numFmtId="0" fontId="16" fillId="0" borderId="7"/>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43" fontId="36" fillId="0" borderId="0"/>
    <xf numFmtId="167" fontId="4" fillId="0" borderId="0"/>
    <xf numFmtId="167" fontId="4" fillId="0" borderId="0"/>
    <xf numFmtId="167" fontId="4" fillId="0" borderId="0"/>
    <xf numFmtId="174" fontId="4" fillId="0" borderId="0"/>
    <xf numFmtId="167" fontId="4" fillId="0" borderId="0"/>
    <xf numFmtId="43" fontId="1" fillId="0" borderId="0"/>
    <xf numFmtId="167" fontId="4" fillId="0" borderId="0"/>
    <xf numFmtId="167" fontId="4" fillId="0" borderId="0"/>
    <xf numFmtId="4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36"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5"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75"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36" fillId="0" borderId="0"/>
    <xf numFmtId="167" fontId="4" fillId="0" borderId="0"/>
    <xf numFmtId="167" fontId="4" fillId="0" borderId="0"/>
    <xf numFmtId="173" fontId="1" fillId="0" borderId="0"/>
    <xf numFmtId="167" fontId="4" fillId="0" borderId="0"/>
    <xf numFmtId="167" fontId="4" fillId="0" borderId="0"/>
    <xf numFmtId="43" fontId="36" fillId="0" borderId="0"/>
    <xf numFmtId="167" fontId="4" fillId="0" borderId="0"/>
    <xf numFmtId="167" fontId="4" fillId="0" borderId="0"/>
    <xf numFmtId="43" fontId="36" fillId="0" borderId="0"/>
    <xf numFmtId="167" fontId="4" fillId="0" borderId="0"/>
    <xf numFmtId="167" fontId="4" fillId="0" borderId="0"/>
    <xf numFmtId="43" fontId="36" fillId="0" borderId="0"/>
    <xf numFmtId="167" fontId="4" fillId="0" borderId="0"/>
    <xf numFmtId="167" fontId="4" fillId="0" borderId="0"/>
    <xf numFmtId="167" fontId="4" fillId="0" borderId="0"/>
    <xf numFmtId="167" fontId="4" fillId="0" borderId="0"/>
    <xf numFmtId="4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73" fontId="1" fillId="0" borderId="0"/>
    <xf numFmtId="173" fontId="1"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73" fontId="1" fillId="0" borderId="0"/>
    <xf numFmtId="173" fontId="1"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73" fontId="1" fillId="0" borderId="0"/>
    <xf numFmtId="167" fontId="4" fillId="0" borderId="0"/>
    <xf numFmtId="173" fontId="1" fillId="0" borderId="0"/>
    <xf numFmtId="167" fontId="4" fillId="0" borderId="0"/>
    <xf numFmtId="173" fontId="1" fillId="0" borderId="0"/>
    <xf numFmtId="173" fontId="1" fillId="0" borderId="0"/>
    <xf numFmtId="167" fontId="4" fillId="0" borderId="0"/>
    <xf numFmtId="173" fontId="1" fillId="0" borderId="0"/>
    <xf numFmtId="173" fontId="1" fillId="0" borderId="0"/>
    <xf numFmtId="173" fontId="1"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5" fontId="4" fillId="0" borderId="0"/>
    <xf numFmtId="176" fontId="4" fillId="0" borderId="0"/>
    <xf numFmtId="165" fontId="1" fillId="0" borderId="0"/>
    <xf numFmtId="165" fontId="1" fillId="0" borderId="0"/>
    <xf numFmtId="176" fontId="4" fillId="0" borderId="0"/>
    <xf numFmtId="165" fontId="1" fillId="0" borderId="0"/>
    <xf numFmtId="176" fontId="4" fillId="0" borderId="0"/>
    <xf numFmtId="165" fontId="1" fillId="0" borderId="0"/>
    <xf numFmtId="176" fontId="4" fillId="0" borderId="0"/>
    <xf numFmtId="165" fontId="1" fillId="0" borderId="0"/>
    <xf numFmtId="176" fontId="4" fillId="0" borderId="0"/>
    <xf numFmtId="176" fontId="4" fillId="0" borderId="0"/>
    <xf numFmtId="176" fontId="4" fillId="0" borderId="0"/>
    <xf numFmtId="176" fontId="4" fillId="0" borderId="0"/>
    <xf numFmtId="176" fontId="4" fillId="0" borderId="0"/>
    <xf numFmtId="165" fontId="4" fillId="0" borderId="0"/>
    <xf numFmtId="165"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7" fontId="1" fillId="0" borderId="0"/>
    <xf numFmtId="177" fontId="1" fillId="0" borderId="0"/>
    <xf numFmtId="165" fontId="1" fillId="0" borderId="0"/>
    <xf numFmtId="0" fontId="37" fillId="71" borderId="0"/>
    <xf numFmtId="0" fontId="37" fillId="71" borderId="0"/>
    <xf numFmtId="0" fontId="37" fillId="71"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166" fontId="4" fillId="0" borderId="0"/>
    <xf numFmtId="0" fontId="1" fillId="0" borderId="0"/>
    <xf numFmtId="0" fontId="4" fillId="0" borderId="0">
      <alignment vertical="top"/>
    </xf>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71"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36"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3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166"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166"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166"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66" fontId="4"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66" fontId="4"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66" fontId="4" fillId="0" borderId="0"/>
    <xf numFmtId="166" fontId="4" fillId="0" borderId="0"/>
    <xf numFmtId="166" fontId="4"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0" fontId="1"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0" fontId="4" fillId="0" borderId="0">
      <alignment vertical="top"/>
    </xf>
    <xf numFmtId="166" fontId="4" fillId="0" borderId="0"/>
    <xf numFmtId="171" fontId="1" fillId="0" borderId="0"/>
    <xf numFmtId="166" fontId="4" fillId="0" borderId="0"/>
    <xf numFmtId="171" fontId="1" fillId="0" borderId="0"/>
    <xf numFmtId="166"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66" fontId="4"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0"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0" fontId="1" fillId="0" borderId="0"/>
    <xf numFmtId="0" fontId="4" fillId="0" borderId="0"/>
    <xf numFmtId="171" fontId="4" fillId="0" borderId="0"/>
    <xf numFmtId="0"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4"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4"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0" fontId="1" fillId="0" borderId="0"/>
    <xf numFmtId="171" fontId="1"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alignment vertical="top"/>
    </xf>
    <xf numFmtId="0" fontId="4" fillId="0" borderId="0">
      <alignment vertical="top"/>
    </xf>
    <xf numFmtId="0" fontId="4" fillId="0" borderId="0"/>
    <xf numFmtId="171" fontId="36" fillId="0" borderId="0"/>
    <xf numFmtId="0" fontId="4" fillId="0" borderId="0"/>
    <xf numFmtId="0" fontId="4" fillId="0" borderId="0"/>
    <xf numFmtId="171" fontId="4" fillId="0" borderId="0"/>
    <xf numFmtId="0" fontId="4" fillId="0" borderId="0"/>
    <xf numFmtId="0" fontId="4" fillId="0" borderId="0"/>
    <xf numFmtId="171" fontId="36" fillId="0" borderId="0"/>
    <xf numFmtId="0" fontId="4" fillId="0" borderId="0"/>
    <xf numFmtId="0" fontId="4" fillId="0" borderId="0"/>
    <xf numFmtId="171" fontId="4" fillId="0" borderId="0"/>
    <xf numFmtId="0" fontId="4" fillId="0" borderId="0"/>
    <xf numFmtId="0" fontId="4" fillId="0" borderId="0"/>
    <xf numFmtId="171" fontId="36" fillId="0" borderId="0"/>
    <xf numFmtId="0" fontId="4" fillId="0" borderId="0"/>
    <xf numFmtId="0" fontId="4" fillId="0" borderId="0"/>
    <xf numFmtId="171" fontId="4" fillId="0" borderId="0"/>
    <xf numFmtId="0" fontId="4" fillId="0" borderId="0"/>
    <xf numFmtId="0" fontId="4" fillId="0" borderId="0"/>
    <xf numFmtId="171" fontId="36"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0" fontId="4"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0"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0" fontId="4" fillId="0" borderId="0"/>
    <xf numFmtId="171" fontId="4" fillId="0" borderId="0"/>
    <xf numFmtId="0" fontId="4" fillId="0" borderId="0"/>
    <xf numFmtId="0" fontId="4" fillId="0" borderId="0"/>
    <xf numFmtId="0" fontId="21" fillId="0" borderId="0"/>
    <xf numFmtId="171" fontId="36" fillId="0" borderId="0"/>
    <xf numFmtId="0" fontId="4" fillId="0" borderId="0"/>
    <xf numFmtId="0" fontId="4" fillId="0" borderId="0"/>
    <xf numFmtId="0" fontId="21" fillId="0" borderId="0"/>
    <xf numFmtId="171" fontId="36" fillId="0" borderId="0"/>
    <xf numFmtId="0" fontId="4" fillId="0" borderId="0"/>
    <xf numFmtId="0" fontId="4" fillId="0" borderId="0"/>
    <xf numFmtId="0" fontId="39" fillId="0" borderId="0"/>
    <xf numFmtId="0" fontId="21" fillId="0" borderId="0"/>
    <xf numFmtId="0" fontId="39" fillId="0" borderId="0"/>
    <xf numFmtId="0" fontId="39" fillId="0" borderId="0"/>
    <xf numFmtId="0" fontId="21" fillId="0" borderId="0"/>
    <xf numFmtId="171" fontId="36" fillId="0" borderId="0"/>
    <xf numFmtId="0" fontId="39" fillId="0" borderId="0"/>
    <xf numFmtId="0" fontId="21" fillId="0" borderId="0"/>
    <xf numFmtId="0" fontId="39" fillId="0" borderId="0"/>
    <xf numFmtId="0" fontId="4" fillId="0" borderId="0"/>
    <xf numFmtId="0" fontId="4" fillId="0" borderId="0"/>
    <xf numFmtId="0" fontId="21" fillId="0" borderId="0"/>
    <xf numFmtId="171" fontId="4" fillId="0" borderId="0"/>
    <xf numFmtId="0" fontId="4" fillId="0" borderId="0"/>
    <xf numFmtId="0" fontId="4" fillId="0" borderId="0"/>
    <xf numFmtId="0" fontId="21" fillId="0" borderId="0"/>
    <xf numFmtId="171" fontId="36" fillId="0" borderId="0"/>
    <xf numFmtId="0" fontId="4" fillId="0" borderId="0"/>
    <xf numFmtId="0" fontId="4" fillId="0" borderId="0"/>
    <xf numFmtId="0" fontId="39" fillId="0" borderId="0"/>
    <xf numFmtId="171"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21" fillId="0" borderId="0"/>
    <xf numFmtId="0" fontId="4" fillId="0" borderId="0"/>
    <xf numFmtId="0" fontId="21" fillId="0" borderId="0"/>
    <xf numFmtId="0" fontId="21" fillId="0" borderId="0"/>
    <xf numFmtId="0" fontId="4" fillId="0" borderId="0"/>
    <xf numFmtId="0" fontId="21" fillId="0" borderId="0"/>
    <xf numFmtId="0" fontId="4" fillId="0" borderId="0"/>
    <xf numFmtId="166" fontId="36"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36" fillId="0" borderId="0"/>
    <xf numFmtId="0" fontId="36" fillId="0" borderId="0"/>
    <xf numFmtId="0" fontId="4" fillId="0" borderId="0"/>
    <xf numFmtId="166" fontId="36" fillId="0" borderId="0"/>
    <xf numFmtId="0" fontId="4" fillId="0" borderId="0"/>
    <xf numFmtId="0" fontId="21" fillId="0" borderId="0"/>
    <xf numFmtId="171" fontId="36" fillId="0" borderId="0"/>
    <xf numFmtId="0" fontId="21" fillId="0" borderId="0"/>
    <xf numFmtId="166" fontId="36" fillId="0" borderId="0"/>
    <xf numFmtId="0" fontId="21" fillId="0" borderId="0"/>
    <xf numFmtId="0" fontId="21" fillId="0" borderId="0"/>
    <xf numFmtId="0" fontId="21" fillId="0" borderId="0"/>
    <xf numFmtId="0" fontId="21" fillId="0" borderId="0"/>
    <xf numFmtId="0" fontId="4" fillId="0" borderId="0"/>
    <xf numFmtId="0" fontId="4" fillId="0" borderId="0"/>
    <xf numFmtId="171"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166" fontId="4" fillId="0" borderId="0"/>
    <xf numFmtId="171"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4" fillId="0" borderId="0"/>
    <xf numFmtId="171" fontId="36" fillId="0" borderId="0"/>
    <xf numFmtId="0" fontId="4" fillId="0" borderId="0"/>
    <xf numFmtId="0" fontId="4" fillId="0" borderId="0"/>
    <xf numFmtId="171" fontId="4" fillId="0" borderId="0"/>
    <xf numFmtId="0"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0" fontId="4"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36" fillId="0" borderId="0"/>
    <xf numFmtId="0" fontId="4" fillId="0" borderId="0"/>
    <xf numFmtId="171" fontId="4" fillId="0" borderId="0"/>
    <xf numFmtId="0" fontId="21"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1" fillId="0" borderId="0"/>
    <xf numFmtId="166" fontId="1" fillId="0" borderId="0"/>
    <xf numFmtId="171" fontId="4" fillId="0" borderId="0"/>
    <xf numFmtId="0" fontId="39" fillId="0" borderId="0"/>
    <xf numFmtId="171" fontId="4" fillId="0" borderId="0"/>
    <xf numFmtId="171" fontId="4" fillId="0" borderId="0"/>
    <xf numFmtId="171" fontId="4" fillId="0" borderId="0"/>
    <xf numFmtId="171" fontId="4" fillId="0" borderId="0"/>
    <xf numFmtId="0" fontId="4" fillId="0" borderId="0"/>
    <xf numFmtId="171" fontId="36" fillId="0" borderId="0"/>
    <xf numFmtId="171" fontId="4" fillId="0" borderId="0"/>
    <xf numFmtId="0" fontId="4" fillId="0" borderId="0"/>
    <xf numFmtId="171" fontId="4" fillId="0" borderId="0"/>
    <xf numFmtId="0" fontId="21" fillId="0" borderId="0"/>
    <xf numFmtId="171" fontId="4" fillId="0" borderId="0"/>
    <xf numFmtId="0" fontId="39" fillId="0" borderId="0"/>
    <xf numFmtId="171" fontId="4" fillId="0" borderId="0"/>
    <xf numFmtId="0" fontId="39" fillId="0" borderId="0"/>
    <xf numFmtId="171" fontId="4" fillId="0" borderId="0"/>
    <xf numFmtId="171"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171" fontId="4" fillId="0" borderId="0"/>
    <xf numFmtId="0"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0" fontId="4"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4" fillId="0" borderId="0"/>
    <xf numFmtId="0" fontId="4" fillId="0" borderId="0"/>
    <xf numFmtId="171" fontId="36"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171" fontId="4" fillId="0" borderId="0"/>
    <xf numFmtId="0" fontId="4" fillId="0" borderId="0"/>
    <xf numFmtId="0" fontId="4" fillId="0" borderId="0"/>
    <xf numFmtId="166" fontId="4" fillId="0" borderId="0"/>
    <xf numFmtId="0" fontId="4" fillId="0" borderId="0"/>
    <xf numFmtId="166" fontId="4" fillId="0" borderId="0"/>
    <xf numFmtId="0" fontId="4" fillId="0" borderId="0"/>
    <xf numFmtId="0" fontId="4" fillId="0" borderId="0"/>
    <xf numFmtId="0" fontId="4" fillId="0" borderId="0"/>
    <xf numFmtId="171"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38" fillId="0" borderId="0"/>
    <xf numFmtId="0" fontId="4" fillId="0" borderId="0"/>
    <xf numFmtId="0" fontId="4" fillId="0" borderId="0"/>
    <xf numFmtId="171" fontId="4" fillId="0" borderId="0"/>
    <xf numFmtId="0" fontId="4" fillId="0" borderId="0"/>
    <xf numFmtId="0" fontId="38" fillId="0" borderId="0"/>
    <xf numFmtId="171"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166"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171" fontId="4" fillId="0" borderId="0"/>
    <xf numFmtId="0" fontId="4" fillId="0" borderId="0"/>
    <xf numFmtId="0" fontId="4" fillId="0" borderId="0"/>
    <xf numFmtId="0" fontId="1"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1" fillId="0" borderId="0"/>
    <xf numFmtId="0" fontId="4" fillId="0" borderId="0"/>
    <xf numFmtId="0" fontId="4" fillId="0" borderId="0"/>
    <xf numFmtId="0" fontId="41" fillId="0" borderId="0"/>
    <xf numFmtId="0" fontId="4" fillId="0" borderId="0"/>
    <xf numFmtId="0" fontId="4" fillId="0" borderId="0"/>
    <xf numFmtId="0" fontId="41" fillId="0" borderId="0"/>
    <xf numFmtId="0" fontId="4" fillId="0" borderId="0"/>
    <xf numFmtId="0" fontId="4" fillId="0" borderId="0"/>
    <xf numFmtId="0" fontId="41" fillId="0" borderId="0"/>
    <xf numFmtId="0" fontId="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 fillId="0" borderId="0"/>
    <xf numFmtId="0" fontId="4" fillId="0" borderId="0"/>
    <xf numFmtId="0" fontId="4" fillId="0" borderId="0"/>
    <xf numFmtId="0" fontId="4" fillId="0" borderId="0"/>
    <xf numFmtId="171" fontId="36" fillId="0" borderId="0"/>
    <xf numFmtId="0" fontId="4"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 fillId="0" borderId="0"/>
    <xf numFmtId="0" fontId="4" fillId="0" borderId="0"/>
    <xf numFmtId="0" fontId="4" fillId="0" borderId="0"/>
    <xf numFmtId="0" fontId="4" fillId="0" borderId="0"/>
    <xf numFmtId="171" fontId="36" fillId="0" borderId="0"/>
    <xf numFmtId="0" fontId="4" fillId="0" borderId="0"/>
    <xf numFmtId="0" fontId="41" fillId="0" borderId="0"/>
    <xf numFmtId="0" fontId="41"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xf numFmtId="0" fontId="4" fillId="0" borderId="0">
      <alignment vertical="top"/>
    </xf>
    <xf numFmtId="0" fontId="4" fillId="0" borderId="0">
      <alignment vertical="top"/>
    </xf>
    <xf numFmtId="0" fontId="4"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1" fillId="0" borderId="0"/>
    <xf numFmtId="0" fontId="4" fillId="0" borderId="0">
      <alignment vertical="top"/>
    </xf>
    <xf numFmtId="171" fontId="36" fillId="0" borderId="0"/>
    <xf numFmtId="0" fontId="4" fillId="0" borderId="0">
      <alignment vertical="top"/>
    </xf>
    <xf numFmtId="0" fontId="4"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4" fillId="0" borderId="0"/>
    <xf numFmtId="0" fontId="4" fillId="0" borderId="0"/>
    <xf numFmtId="171" fontId="36"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alignment vertical="top"/>
    </xf>
    <xf numFmtId="166" fontId="4" fillId="0" borderId="0"/>
    <xf numFmtId="0" fontId="4" fillId="0" borderId="0">
      <alignment vertical="top"/>
    </xf>
    <xf numFmtId="171" fontId="36" fillId="0" borderId="0"/>
    <xf numFmtId="0" fontId="4" fillId="0" borderId="0"/>
    <xf numFmtId="0" fontId="4" fillId="0" borderId="0"/>
    <xf numFmtId="0" fontId="4" fillId="0" borderId="0"/>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alignment vertical="top"/>
    </xf>
    <xf numFmtId="0" fontId="4" fillId="0" borderId="0">
      <alignment vertical="top"/>
    </xf>
    <xf numFmtId="0" fontId="1"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171"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171" fontId="36"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171" fontId="36"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171" fontId="4" fillId="0" borderId="0"/>
    <xf numFmtId="0" fontId="38" fillId="0" borderId="0"/>
    <xf numFmtId="0" fontId="1" fillId="0" borderId="0"/>
    <xf numFmtId="0" fontId="42" fillId="0" borderId="0"/>
    <xf numFmtId="0" fontId="38" fillId="0" borderId="0"/>
    <xf numFmtId="0" fontId="42" fillId="0" borderId="0"/>
    <xf numFmtId="166" fontId="1" fillId="0" borderId="0"/>
    <xf numFmtId="0" fontId="42" fillId="0" borderId="0"/>
    <xf numFmtId="0" fontId="38" fillId="0" borderId="0"/>
    <xf numFmtId="0" fontId="1" fillId="0" borderId="0"/>
    <xf numFmtId="0" fontId="1" fillId="0" borderId="0"/>
    <xf numFmtId="0" fontId="42" fillId="0" borderId="0"/>
    <xf numFmtId="0" fontId="38" fillId="0" borderId="0"/>
    <xf numFmtId="0" fontId="42" fillId="0" borderId="0"/>
    <xf numFmtId="0" fontId="42" fillId="0" borderId="0"/>
    <xf numFmtId="0" fontId="38" fillId="0" borderId="0"/>
    <xf numFmtId="0" fontId="42" fillId="0" borderId="0"/>
    <xf numFmtId="0" fontId="42" fillId="0" borderId="0"/>
    <xf numFmtId="0" fontId="38" fillId="0" borderId="0"/>
    <xf numFmtId="0" fontId="43" fillId="0" borderId="0"/>
    <xf numFmtId="0" fontId="38" fillId="0" borderId="0"/>
    <xf numFmtId="0" fontId="43" fillId="0" borderId="0"/>
    <xf numFmtId="0" fontId="38" fillId="0" borderId="0"/>
    <xf numFmtId="0" fontId="42" fillId="0" borderId="0"/>
    <xf numFmtId="0" fontId="4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166" fontId="4" fillId="0" borderId="0"/>
    <xf numFmtId="171"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0" fontId="44" fillId="0" borderId="0"/>
    <xf numFmtId="0" fontId="1" fillId="0" borderId="0"/>
    <xf numFmtId="0" fontId="4" fillId="0" borderId="0"/>
    <xf numFmtId="0" fontId="4" fillId="0" borderId="0"/>
    <xf numFmtId="0" fontId="4" fillId="0" borderId="0"/>
    <xf numFmtId="0" fontId="4" fillId="0" borderId="0"/>
    <xf numFmtId="169" fontId="4" fillId="0" borderId="0"/>
    <xf numFmtId="171"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4" fillId="0" borderId="0"/>
    <xf numFmtId="0" fontId="1" fillId="0" borderId="0"/>
    <xf numFmtId="166" fontId="4" fillId="0" borderId="0"/>
    <xf numFmtId="166" fontId="4" fillId="0" borderId="0"/>
    <xf numFmtId="166" fontId="4" fillId="0" borderId="0"/>
    <xf numFmtId="0" fontId="1" fillId="0" borderId="0"/>
    <xf numFmtId="0" fontId="1" fillId="0" borderId="0"/>
    <xf numFmtId="166"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5" fillId="72" borderId="14"/>
    <xf numFmtId="0" fontId="4" fillId="72" borderId="14"/>
    <xf numFmtId="0" fontId="5" fillId="8" borderId="9"/>
    <xf numFmtId="0" fontId="4" fillId="72" borderId="14"/>
    <xf numFmtId="0" fontId="5" fillId="8" borderId="9"/>
    <xf numFmtId="0" fontId="4" fillId="72" borderId="14"/>
    <xf numFmtId="0" fontId="4" fillId="72" borderId="14"/>
    <xf numFmtId="0" fontId="4" fillId="72" borderId="14"/>
    <xf numFmtId="0" fontId="1" fillId="0" borderId="0"/>
    <xf numFmtId="0" fontId="1" fillId="0" borderId="0"/>
    <xf numFmtId="0" fontId="4" fillId="72" borderId="14"/>
    <xf numFmtId="0" fontId="5" fillId="8" borderId="9"/>
    <xf numFmtId="0" fontId="5" fillId="8" borderId="9"/>
    <xf numFmtId="0" fontId="1" fillId="0" borderId="0"/>
    <xf numFmtId="0" fontId="1" fillId="0" borderId="0"/>
    <xf numFmtId="0" fontId="5" fillId="8" borderId="9"/>
    <xf numFmtId="0" fontId="4" fillId="72" borderId="14"/>
    <xf numFmtId="0" fontId="4" fillId="72" borderId="14"/>
    <xf numFmtId="0" fontId="1" fillId="0" borderId="0"/>
    <xf numFmtId="0" fontId="1" fillId="0" borderId="0"/>
    <xf numFmtId="0" fontId="4" fillId="72" borderId="14"/>
    <xf numFmtId="0" fontId="4" fillId="72" borderId="14"/>
    <xf numFmtId="0" fontId="4" fillId="72" borderId="14"/>
    <xf numFmtId="0" fontId="4" fillId="72" borderId="14"/>
    <xf numFmtId="0" fontId="1" fillId="0" borderId="0"/>
    <xf numFmtId="0" fontId="1" fillId="0" borderId="0"/>
    <xf numFmtId="0" fontId="4" fillId="72" borderId="14"/>
    <xf numFmtId="0" fontId="4" fillId="72" borderId="14"/>
    <xf numFmtId="0" fontId="4" fillId="72" borderId="14"/>
    <xf numFmtId="0" fontId="4" fillId="72" borderId="14"/>
    <xf numFmtId="0" fontId="1" fillId="0" borderId="0"/>
    <xf numFmtId="0" fontId="1" fillId="0" borderId="0"/>
    <xf numFmtId="0" fontId="4" fillId="72" borderId="14"/>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1" fillId="8" borderId="9"/>
    <xf numFmtId="0" fontId="1" fillId="8" borderId="9"/>
    <xf numFmtId="0" fontId="1" fillId="8" borderId="9"/>
    <xf numFmtId="0" fontId="1" fillId="0" borderId="0"/>
    <xf numFmtId="0" fontId="1" fillId="0" borderId="0"/>
    <xf numFmtId="0" fontId="1" fillId="8" borderId="9"/>
    <xf numFmtId="0" fontId="4" fillId="72" borderId="14"/>
    <xf numFmtId="0" fontId="4" fillId="72" borderId="14"/>
    <xf numFmtId="0" fontId="1" fillId="0" borderId="0"/>
    <xf numFmtId="0" fontId="1" fillId="0" borderId="0"/>
    <xf numFmtId="0" fontId="4" fillId="72" borderId="14"/>
    <xf numFmtId="0" fontId="4" fillId="72" borderId="14"/>
    <xf numFmtId="0" fontId="1" fillId="8" borderId="9"/>
    <xf numFmtId="0" fontId="1" fillId="8" borderId="9"/>
    <xf numFmtId="0" fontId="1" fillId="8" borderId="9"/>
    <xf numFmtId="0" fontId="1" fillId="0" borderId="0"/>
    <xf numFmtId="0" fontId="1" fillId="0" borderId="0"/>
    <xf numFmtId="0" fontId="1" fillId="8" borderId="9"/>
    <xf numFmtId="0" fontId="5" fillId="72" borderId="14"/>
    <xf numFmtId="0" fontId="4" fillId="72" borderId="14"/>
    <xf numFmtId="0" fontId="4" fillId="72" borderId="14"/>
    <xf numFmtId="0" fontId="1" fillId="0" borderId="0"/>
    <xf numFmtId="0" fontId="1" fillId="0" borderId="0"/>
    <xf numFmtId="0" fontId="4" fillId="72" borderId="14"/>
    <xf numFmtId="0" fontId="4" fillId="72" borderId="14"/>
    <xf numFmtId="0" fontId="4" fillId="72" borderId="14"/>
    <xf numFmtId="0" fontId="4" fillId="72" borderId="14"/>
    <xf numFmtId="0" fontId="1" fillId="0" borderId="0"/>
    <xf numFmtId="0" fontId="1" fillId="0" borderId="0"/>
    <xf numFmtId="0" fontId="4" fillId="72" borderId="14"/>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1" fillId="0" borderId="0"/>
    <xf numFmtId="0" fontId="5" fillId="8" borderId="9"/>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 fillId="0" borderId="0"/>
    <xf numFmtId="0" fontId="1" fillId="0" borderId="0"/>
    <xf numFmtId="0" fontId="14" fillId="6" borderId="6"/>
    <xf numFmtId="9" fontId="4"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0" fontId="1" fillId="0" borderId="0"/>
    <xf numFmtId="0" fontId="14" fillId="6" borderId="6"/>
    <xf numFmtId="0" fontId="45" fillId="65" borderId="15"/>
    <xf numFmtId="0" fontId="45" fillId="65" borderId="15"/>
    <xf numFmtId="0" fontId="45" fillId="65" borderId="15"/>
    <xf numFmtId="0" fontId="1" fillId="0" borderId="0"/>
    <xf numFmtId="0" fontId="14" fillId="6" borderId="6"/>
    <xf numFmtId="0" fontId="1" fillId="0" borderId="0"/>
    <xf numFmtId="0" fontId="45" fillId="65" borderId="15"/>
    <xf numFmtId="0" fontId="45" fillId="65" borderId="15"/>
    <xf numFmtId="0" fontId="45" fillId="65" borderId="15"/>
    <xf numFmtId="0" fontId="45" fillId="65" borderId="15"/>
    <xf numFmtId="0" fontId="1" fillId="0" borderId="0"/>
    <xf numFmtId="0" fontId="1" fillId="0" borderId="0"/>
    <xf numFmtId="0" fontId="45" fillId="65" borderId="15"/>
    <xf numFmtId="0" fontId="45" fillId="65" borderId="15"/>
    <xf numFmtId="0" fontId="45" fillId="65" borderId="15"/>
    <xf numFmtId="0" fontId="45" fillId="65" borderId="15"/>
    <xf numFmtId="0" fontId="1" fillId="0" borderId="0"/>
    <xf numFmtId="0" fontId="1" fillId="0" borderId="0"/>
    <xf numFmtId="0" fontId="45" fillId="65" borderId="15"/>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 fillId="0" borderId="0"/>
    <xf numFmtId="0" fontId="46" fillId="0" borderId="0"/>
    <xf numFmtId="0" fontId="46" fillId="0" borderId="0"/>
    <xf numFmtId="0" fontId="46" fillId="0" borderId="0"/>
    <xf numFmtId="0" fontId="1" fillId="0" borderId="0"/>
    <xf numFmtId="0" fontId="1" fillId="0" borderId="0"/>
    <xf numFmtId="0" fontId="46" fillId="0" borderId="0"/>
    <xf numFmtId="0" fontId="18" fillId="0" borderId="0"/>
    <xf numFmtId="0" fontId="18" fillId="0" borderId="0"/>
    <xf numFmtId="0" fontId="1" fillId="0" borderId="0"/>
    <xf numFmtId="0" fontId="1" fillId="0" borderId="0"/>
    <xf numFmtId="0" fontId="18" fillId="0" borderId="0"/>
    <xf numFmtId="0" fontId="47" fillId="0" borderId="0"/>
    <xf numFmtId="0" fontId="18" fillId="0" borderId="0"/>
    <xf numFmtId="0" fontId="47" fillId="0" borderId="0"/>
    <xf numFmtId="0" fontId="18" fillId="0" borderId="0"/>
    <xf numFmtId="0" fontId="47" fillId="0" borderId="0"/>
    <xf numFmtId="0" fontId="47" fillId="0" borderId="0"/>
    <xf numFmtId="0" fontId="47" fillId="0" borderId="0"/>
    <xf numFmtId="0" fontId="1" fillId="0" borderId="0"/>
    <xf numFmtId="0" fontId="1" fillId="0" borderId="0"/>
    <xf numFmtId="0" fontId="47" fillId="0" borderId="0"/>
    <xf numFmtId="0" fontId="18" fillId="0" borderId="0"/>
    <xf numFmtId="0" fontId="18" fillId="0" borderId="0"/>
    <xf numFmtId="0" fontId="1" fillId="0" borderId="0"/>
    <xf numFmtId="0" fontId="1" fillId="0" borderId="0"/>
    <xf numFmtId="0" fontId="18" fillId="0" borderId="0"/>
    <xf numFmtId="0" fontId="47" fillId="0" borderId="0"/>
    <xf numFmtId="0" fontId="47" fillId="0" borderId="0"/>
    <xf numFmtId="0" fontId="1" fillId="0" borderId="0"/>
    <xf numFmtId="0" fontId="1" fillId="0" borderId="0"/>
    <xf numFmtId="0" fontId="47" fillId="0" borderId="0"/>
    <xf numFmtId="0" fontId="47" fillId="0" borderId="0"/>
    <xf numFmtId="0" fontId="47" fillId="0" borderId="0"/>
    <xf numFmtId="0" fontId="47" fillId="0" borderId="0"/>
    <xf numFmtId="0" fontId="1" fillId="0" borderId="0"/>
    <xf numFmtId="0" fontId="1" fillId="0" borderId="0"/>
    <xf numFmtId="0" fontId="47" fillId="0" borderId="0"/>
    <xf numFmtId="0" fontId="47" fillId="0" borderId="0"/>
    <xf numFmtId="0" fontId="47" fillId="0" borderId="0"/>
    <xf numFmtId="0" fontId="47" fillId="0" borderId="0"/>
    <xf numFmtId="0" fontId="1" fillId="0" borderId="0"/>
    <xf numFmtId="0" fontId="1" fillId="0" borderId="0"/>
    <xf numFmtId="0" fontId="47"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47" fillId="0" borderId="0"/>
    <xf numFmtId="0" fontId="47" fillId="0" borderId="0"/>
    <xf numFmtId="0" fontId="1" fillId="0" borderId="0"/>
    <xf numFmtId="0" fontId="1" fillId="0" borderId="0"/>
    <xf numFmtId="0" fontId="47" fillId="0" borderId="0"/>
    <xf numFmtId="0" fontId="47" fillId="0" borderId="0"/>
    <xf numFmtId="0" fontId="47" fillId="0" borderId="0"/>
    <xf numFmtId="0" fontId="47" fillId="0" borderId="0"/>
    <xf numFmtId="0" fontId="1" fillId="0" borderId="0"/>
    <xf numFmtId="0" fontId="1" fillId="0" borderId="0"/>
    <xf numFmtId="0" fontId="47" fillId="0" borderId="0"/>
    <xf numFmtId="0" fontId="47" fillId="0" borderId="0"/>
    <xf numFmtId="0" fontId="47" fillId="0" borderId="0"/>
    <xf numFmtId="0" fontId="47" fillId="0" borderId="0"/>
    <xf numFmtId="0" fontId="1" fillId="0" borderId="0"/>
    <xf numFmtId="0" fontId="1" fillId="0" borderId="0"/>
    <xf numFmtId="0" fontId="47"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 fillId="0" borderId="0"/>
    <xf numFmtId="0" fontId="19" fillId="0" borderId="0"/>
    <xf numFmtId="0" fontId="48" fillId="0" borderId="0"/>
    <xf numFmtId="0" fontId="48" fillId="0" borderId="0"/>
    <xf numFmtId="0" fontId="48" fillId="0" borderId="0"/>
    <xf numFmtId="0" fontId="1" fillId="0" borderId="0"/>
    <xf numFmtId="0" fontId="19" fillId="0" borderId="0"/>
    <xf numFmtId="0" fontId="1" fillId="0" borderId="0"/>
    <xf numFmtId="0" fontId="48" fillId="0" borderId="0"/>
    <xf numFmtId="0" fontId="48" fillId="0" borderId="0"/>
    <xf numFmtId="0" fontId="48" fillId="0" borderId="0"/>
    <xf numFmtId="0" fontId="48" fillId="0" borderId="0"/>
    <xf numFmtId="0" fontId="1" fillId="0" borderId="0"/>
    <xf numFmtId="0" fontId="1" fillId="0" borderId="0"/>
    <xf numFmtId="0" fontId="48" fillId="0" borderId="0"/>
    <xf numFmtId="0" fontId="48" fillId="0" borderId="0"/>
    <xf numFmtId="0" fontId="48" fillId="0" borderId="0"/>
    <xf numFmtId="0" fontId="48" fillId="0" borderId="0"/>
    <xf numFmtId="0" fontId="1" fillId="0" borderId="0"/>
    <xf numFmtId="0" fontId="1" fillId="0" borderId="0"/>
    <xf numFmtId="0" fontId="48"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1" fillId="0" borderId="0"/>
    <xf numFmtId="0" fontId="8" fillId="0" borderId="2"/>
    <xf numFmtId="0" fontId="49" fillId="0" borderId="16"/>
    <xf numFmtId="0" fontId="49" fillId="0" borderId="16"/>
    <xf numFmtId="0" fontId="49" fillId="0" borderId="16"/>
    <xf numFmtId="0" fontId="1" fillId="0" borderId="0"/>
    <xf numFmtId="0" fontId="1" fillId="0" borderId="0"/>
    <xf numFmtId="0" fontId="49" fillId="0" borderId="16"/>
    <xf numFmtId="0" fontId="49" fillId="0" borderId="16"/>
    <xf numFmtId="0" fontId="49" fillId="0" borderId="16"/>
    <xf numFmtId="0" fontId="49" fillId="0" borderId="16"/>
    <xf numFmtId="0" fontId="1" fillId="0" borderId="0"/>
    <xf numFmtId="0" fontId="1" fillId="0" borderId="0"/>
    <xf numFmtId="0" fontId="49" fillId="0" borderId="16"/>
    <xf numFmtId="0" fontId="49" fillId="0" borderId="16"/>
    <xf numFmtId="0" fontId="49" fillId="0" borderId="16"/>
    <xf numFmtId="0" fontId="49" fillId="0" borderId="16"/>
    <xf numFmtId="0" fontId="1" fillId="0" borderId="0"/>
    <xf numFmtId="0" fontId="1" fillId="0" borderId="0"/>
    <xf numFmtId="0" fontId="49" fillId="0" borderId="16"/>
    <xf numFmtId="0" fontId="8" fillId="0" borderId="2"/>
    <xf numFmtId="0" fontId="8" fillId="0" borderId="2"/>
    <xf numFmtId="0" fontId="8" fillId="0" borderId="2"/>
    <xf numFmtId="0" fontId="1" fillId="0" borderId="0"/>
    <xf numFmtId="0" fontId="1" fillId="0" borderId="0"/>
    <xf numFmtId="0" fontId="8" fillId="0" borderId="2"/>
    <xf numFmtId="0" fontId="8" fillId="0" borderId="2"/>
    <xf numFmtId="0" fontId="8" fillId="0" borderId="2"/>
    <xf numFmtId="0" fontId="8" fillId="0" borderId="2"/>
    <xf numFmtId="0" fontId="1" fillId="0" borderId="0"/>
    <xf numFmtId="0" fontId="1" fillId="0" borderId="0"/>
    <xf numFmtId="0" fontId="8" fillId="0" borderId="2"/>
    <xf numFmtId="0" fontId="8" fillId="0" borderId="2"/>
    <xf numFmtId="0" fontId="8" fillId="0" borderId="2"/>
    <xf numFmtId="0" fontId="8" fillId="0" borderId="2"/>
    <xf numFmtId="0" fontId="1" fillId="0" borderId="0"/>
    <xf numFmtId="0" fontId="1" fillId="0" borderId="0"/>
    <xf numFmtId="0" fontId="8" fillId="0" borderId="2"/>
    <xf numFmtId="0" fontId="8" fillId="0" borderId="2"/>
    <xf numFmtId="0" fontId="8" fillId="0" borderId="2"/>
    <xf numFmtId="0" fontId="8" fillId="0" borderId="2"/>
    <xf numFmtId="0" fontId="1" fillId="0" borderId="0"/>
    <xf numFmtId="0" fontId="1" fillId="0" borderId="0"/>
    <xf numFmtId="0" fontId="8" fillId="0" borderId="2"/>
    <xf numFmtId="0" fontId="8" fillId="0" borderId="2"/>
    <xf numFmtId="0" fontId="8" fillId="0" borderId="2"/>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1" fillId="0" borderId="0"/>
    <xf numFmtId="0" fontId="9" fillId="0" borderId="3"/>
    <xf numFmtId="0" fontId="50" fillId="0" borderId="17"/>
    <xf numFmtId="0" fontId="50" fillId="0" borderId="17"/>
    <xf numFmtId="0" fontId="50" fillId="0" borderId="17"/>
    <xf numFmtId="0" fontId="1" fillId="0" borderId="0"/>
    <xf numFmtId="0" fontId="9" fillId="0" borderId="3"/>
    <xf numFmtId="0" fontId="1" fillId="0" borderId="0"/>
    <xf numFmtId="0" fontId="50" fillId="0" borderId="17"/>
    <xf numFmtId="0" fontId="50" fillId="0" borderId="17"/>
    <xf numFmtId="0" fontId="50" fillId="0" borderId="17"/>
    <xf numFmtId="0" fontId="50" fillId="0" borderId="17"/>
    <xf numFmtId="0" fontId="1" fillId="0" borderId="0"/>
    <xf numFmtId="0" fontId="1" fillId="0" borderId="0"/>
    <xf numFmtId="0" fontId="50" fillId="0" borderId="17"/>
    <xf numFmtId="0" fontId="50" fillId="0" borderId="17"/>
    <xf numFmtId="0" fontId="50" fillId="0" borderId="17"/>
    <xf numFmtId="0" fontId="50" fillId="0" borderId="17"/>
    <xf numFmtId="0" fontId="1" fillId="0" borderId="0"/>
    <xf numFmtId="0" fontId="1" fillId="0" borderId="0"/>
    <xf numFmtId="0" fontId="50" fillId="0" borderId="17"/>
    <xf numFmtId="0" fontId="9" fillId="0" borderId="3"/>
    <xf numFmtId="0" fontId="9" fillId="0" borderId="3"/>
    <xf numFmtId="0" fontId="9" fillId="0" borderId="3"/>
    <xf numFmtId="0" fontId="1" fillId="0" borderId="0"/>
    <xf numFmtId="0" fontId="1" fillId="0" borderId="0"/>
    <xf numFmtId="0" fontId="9" fillId="0" borderId="3"/>
    <xf numFmtId="0" fontId="9" fillId="0" borderId="3"/>
    <xf numFmtId="0" fontId="9" fillId="0" borderId="3"/>
    <xf numFmtId="0" fontId="9" fillId="0" borderId="3"/>
    <xf numFmtId="0" fontId="1" fillId="0" borderId="0"/>
    <xf numFmtId="0" fontId="1" fillId="0" borderId="0"/>
    <xf numFmtId="0" fontId="9" fillId="0" borderId="3"/>
    <xf numFmtId="0" fontId="9" fillId="0" borderId="3"/>
    <xf numFmtId="0" fontId="9" fillId="0" borderId="3"/>
    <xf numFmtId="0" fontId="9" fillId="0" borderId="3"/>
    <xf numFmtId="0" fontId="1" fillId="0" borderId="0"/>
    <xf numFmtId="0" fontId="1" fillId="0" borderId="0"/>
    <xf numFmtId="0" fontId="9" fillId="0" borderId="3"/>
    <xf numFmtId="0" fontId="9" fillId="0" borderId="3"/>
    <xf numFmtId="0" fontId="9" fillId="0" borderId="3"/>
    <xf numFmtId="0" fontId="9" fillId="0" borderId="3"/>
    <xf numFmtId="0" fontId="1" fillId="0" borderId="0"/>
    <xf numFmtId="0" fontId="1" fillId="0" borderId="0"/>
    <xf numFmtId="0" fontId="9" fillId="0" borderId="3"/>
    <xf numFmtId="0" fontId="9" fillId="0" borderId="3"/>
    <xf numFmtId="0" fontId="9" fillId="0" borderId="3"/>
    <xf numFmtId="0" fontId="1" fillId="0" borderId="0"/>
    <xf numFmtId="0" fontId="1" fillId="0" borderId="0"/>
    <xf numFmtId="0" fontId="10" fillId="0" borderId="4"/>
    <xf numFmtId="0" fontId="28" fillId="0" borderId="18"/>
    <xf numFmtId="0" fontId="28" fillId="0" borderId="18"/>
    <xf numFmtId="0" fontId="28" fillId="0" borderId="18"/>
    <xf numFmtId="0" fontId="1" fillId="0" borderId="0"/>
    <xf numFmtId="0" fontId="10" fillId="0" borderId="4"/>
    <xf numFmtId="0" fontId="1" fillId="0" borderId="0"/>
    <xf numFmtId="0" fontId="28" fillId="0" borderId="18"/>
    <xf numFmtId="0" fontId="28" fillId="0" borderId="18"/>
    <xf numFmtId="0" fontId="28" fillId="0" borderId="18"/>
    <xf numFmtId="0" fontId="28" fillId="0" borderId="18"/>
    <xf numFmtId="0" fontId="1" fillId="0" borderId="0"/>
    <xf numFmtId="0" fontId="1" fillId="0" borderId="0"/>
    <xf numFmtId="0" fontId="28" fillId="0" borderId="18"/>
    <xf numFmtId="0" fontId="28" fillId="0" borderId="18"/>
    <xf numFmtId="0" fontId="28" fillId="0" borderId="18"/>
    <xf numFmtId="0" fontId="28" fillId="0" borderId="18"/>
    <xf numFmtId="0" fontId="1" fillId="0" borderId="0"/>
    <xf numFmtId="0" fontId="1" fillId="0" borderId="0"/>
    <xf numFmtId="0" fontId="28" fillId="0" borderId="18"/>
    <xf numFmtId="0" fontId="10" fillId="0" borderId="4"/>
    <xf numFmtId="0" fontId="10" fillId="0" borderId="4"/>
    <xf numFmtId="0" fontId="10" fillId="0" borderId="4"/>
    <xf numFmtId="0" fontId="1" fillId="0" borderId="0"/>
    <xf numFmtId="0" fontId="1" fillId="0" borderId="0"/>
    <xf numFmtId="0" fontId="10" fillId="0" borderId="4"/>
    <xf numFmtId="0" fontId="10" fillId="0" borderId="4"/>
    <xf numFmtId="0" fontId="10" fillId="0" borderId="4"/>
    <xf numFmtId="0" fontId="10" fillId="0" borderId="4"/>
    <xf numFmtId="0" fontId="1" fillId="0" borderId="0"/>
    <xf numFmtId="0" fontId="1" fillId="0" borderId="0"/>
    <xf numFmtId="0" fontId="10" fillId="0" borderId="4"/>
    <xf numFmtId="0" fontId="10" fillId="0" borderId="4"/>
    <xf numFmtId="0" fontId="10" fillId="0" borderId="4"/>
    <xf numFmtId="0" fontId="10" fillId="0" borderId="4"/>
    <xf numFmtId="0" fontId="1" fillId="0" borderId="0"/>
    <xf numFmtId="0" fontId="1" fillId="0" borderId="0"/>
    <xf numFmtId="0" fontId="10" fillId="0" borderId="4"/>
    <xf numFmtId="0" fontId="10" fillId="0" borderId="4"/>
    <xf numFmtId="0" fontId="10" fillId="0" borderId="4"/>
    <xf numFmtId="0" fontId="10" fillId="0" borderId="4"/>
    <xf numFmtId="0" fontId="1" fillId="0" borderId="0"/>
    <xf numFmtId="0" fontId="1" fillId="0" borderId="0"/>
    <xf numFmtId="0" fontId="10" fillId="0" borderId="4"/>
    <xf numFmtId="0" fontId="10" fillId="0" borderId="4"/>
    <xf numFmtId="0" fontId="10" fillId="0" borderId="4"/>
    <xf numFmtId="0" fontId="1" fillId="0" borderId="0"/>
    <xf numFmtId="0" fontId="51" fillId="0" borderId="0"/>
    <xf numFmtId="0" fontId="51" fillId="0" borderId="0"/>
    <xf numFmtId="0" fontId="51" fillId="0" borderId="0"/>
    <xf numFmtId="0" fontId="1" fillId="0" borderId="0"/>
    <xf numFmtId="0" fontId="7" fillId="0" borderId="0"/>
    <xf numFmtId="0" fontId="1" fillId="0" borderId="0"/>
    <xf numFmtId="0" fontId="51" fillId="0" borderId="0"/>
    <xf numFmtId="0" fontId="51" fillId="0" borderId="0"/>
    <xf numFmtId="0" fontId="51" fillId="0" borderId="0"/>
    <xf numFmtId="0" fontId="51" fillId="0" borderId="0"/>
    <xf numFmtId="0" fontId="1" fillId="0" borderId="0"/>
    <xf numFmtId="0" fontId="7" fillId="0" borderId="0"/>
    <xf numFmtId="0" fontId="1" fillId="0" borderId="0"/>
    <xf numFmtId="0" fontId="51" fillId="0" borderId="0"/>
    <xf numFmtId="0" fontId="51" fillId="0" borderId="0"/>
    <xf numFmtId="0" fontId="51" fillId="0" borderId="0"/>
    <xf numFmtId="0" fontId="51" fillId="0" borderId="0"/>
    <xf numFmtId="0" fontId="1" fillId="0" borderId="0"/>
    <xf numFmtId="0" fontId="1" fillId="0" borderId="0"/>
    <xf numFmtId="0" fontId="51"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52" fillId="0" borderId="19"/>
    <xf numFmtId="0" fontId="52" fillId="0" borderId="19"/>
    <xf numFmtId="0" fontId="52" fillId="0" borderId="19"/>
    <xf numFmtId="0" fontId="1" fillId="0" borderId="0"/>
    <xf numFmtId="0" fontId="1" fillId="0" borderId="0"/>
    <xf numFmtId="0" fontId="52" fillId="0" borderId="19"/>
    <xf numFmtId="0" fontId="52" fillId="0" borderId="19"/>
    <xf numFmtId="0" fontId="52" fillId="0" borderId="19"/>
    <xf numFmtId="0" fontId="52" fillId="0" borderId="19"/>
    <xf numFmtId="0" fontId="1" fillId="0" borderId="0"/>
    <xf numFmtId="0" fontId="1" fillId="0" borderId="0"/>
    <xf numFmtId="0" fontId="52" fillId="0" borderId="19"/>
    <xf numFmtId="0" fontId="52" fillId="0" borderId="19"/>
    <xf numFmtId="0" fontId="52" fillId="0" borderId="19"/>
    <xf numFmtId="0" fontId="52" fillId="0" borderId="19"/>
    <xf numFmtId="0" fontId="1" fillId="0" borderId="0"/>
    <xf numFmtId="0" fontId="1" fillId="0" borderId="0"/>
    <xf numFmtId="0" fontId="52" fillId="0" borderId="19"/>
    <xf numFmtId="0" fontId="2" fillId="0" borderId="10"/>
    <xf numFmtId="0" fontId="2" fillId="0" borderId="10"/>
    <xf numFmtId="0" fontId="1" fillId="0" borderId="0"/>
    <xf numFmtId="0" fontId="1" fillId="0" borderId="0"/>
    <xf numFmtId="0" fontId="2" fillId="0" borderId="1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 fillId="0" borderId="0"/>
    <xf numFmtId="0" fontId="1" fillId="0" borderId="0"/>
    <xf numFmtId="0" fontId="18" fillId="0" borderId="0"/>
    <xf numFmtId="0" fontId="53" fillId="2" borderId="0"/>
    <xf numFmtId="0" fontId="54" fillId="3" borderId="0"/>
    <xf numFmtId="0" fontId="23" fillId="73" borderId="0"/>
    <xf numFmtId="0" fontId="23" fillId="74" borderId="0"/>
    <xf numFmtId="0" fontId="23" fillId="75" borderId="0"/>
    <xf numFmtId="0" fontId="23" fillId="76" borderId="0"/>
    <xf numFmtId="0" fontId="23" fillId="77" borderId="0"/>
    <xf numFmtId="0" fontId="23" fillId="78" borderId="0"/>
    <xf numFmtId="0" fontId="55" fillId="0" borderId="0"/>
    <xf numFmtId="0" fontId="56" fillId="0" borderId="20"/>
    <xf numFmtId="0" fontId="57" fillId="0" borderId="21"/>
    <xf numFmtId="0" fontId="58" fillId="0" borderId="22"/>
    <xf numFmtId="0" fontId="58" fillId="0" borderId="0"/>
    <xf numFmtId="0" fontId="59" fillId="7" borderId="8"/>
    <xf numFmtId="0" fontId="60" fillId="0" borderId="23"/>
    <xf numFmtId="0" fontId="21" fillId="8" borderId="9"/>
    <xf numFmtId="0" fontId="61" fillId="0" borderId="0"/>
    <xf numFmtId="0" fontId="62" fillId="0" borderId="0"/>
    <xf numFmtId="0" fontId="63" fillId="6" borderId="5"/>
    <xf numFmtId="0" fontId="64" fillId="5" borderId="5"/>
    <xf numFmtId="0" fontId="65" fillId="6" borderId="6"/>
    <xf numFmtId="0" fontId="66" fillId="4" borderId="0"/>
    <xf numFmtId="0" fontId="67" fillId="0" borderId="7"/>
    <xf numFmtId="0" fontId="68" fillId="0" borderId="0"/>
    <xf numFmtId="0" fontId="1" fillId="0" borderId="0"/>
  </cellStyleXfs>
  <cellXfs count="46">
    <xf numFmtId="0" fontId="0" fillId="0" borderId="0" xfId="0"/>
    <xf numFmtId="0" fontId="71" fillId="0" borderId="0" xfId="0" applyFont="1"/>
    <xf numFmtId="164" fontId="71" fillId="0" borderId="0" xfId="0" applyNumberFormat="1" applyFont="1"/>
    <xf numFmtId="0" fontId="76" fillId="0" borderId="1" xfId="39123" applyFont="1" applyBorder="1"/>
    <xf numFmtId="0" fontId="1" fillId="0" borderId="0" xfId="39123"/>
    <xf numFmtId="0" fontId="72" fillId="79" borderId="1" xfId="0" applyFont="1" applyFill="1" applyBorder="1" applyAlignment="1">
      <alignment horizontal="center" vertical="center"/>
    </xf>
    <xf numFmtId="0" fontId="72" fillId="79" borderId="1" xfId="0" applyFont="1" applyFill="1" applyBorder="1" applyAlignment="1">
      <alignment horizontal="center" vertical="center" wrapText="1"/>
    </xf>
    <xf numFmtId="165" fontId="69" fillId="79" borderId="1" xfId="2144" applyFont="1" applyFill="1" applyBorder="1" applyAlignment="1">
      <alignment horizontal="center" vertical="center"/>
    </xf>
    <xf numFmtId="0" fontId="75" fillId="0" borderId="1" xfId="0" applyFont="1" applyBorder="1" applyAlignment="1">
      <alignment vertical="center"/>
    </xf>
    <xf numFmtId="0" fontId="3" fillId="0" borderId="0" xfId="0" applyFont="1"/>
    <xf numFmtId="0" fontId="77" fillId="0" borderId="0" xfId="0" applyFont="1"/>
    <xf numFmtId="8" fontId="71" fillId="0" borderId="0" xfId="0" applyNumberFormat="1" applyFont="1"/>
    <xf numFmtId="0" fontId="78" fillId="0" borderId="1" xfId="0" applyFont="1" applyBorder="1"/>
    <xf numFmtId="0" fontId="78" fillId="0" borderId="25" xfId="0" applyFont="1" applyBorder="1"/>
    <xf numFmtId="0" fontId="78" fillId="0" borderId="26" xfId="0" applyFont="1" applyBorder="1"/>
    <xf numFmtId="0" fontId="78" fillId="0" borderId="27" xfId="0" applyFont="1" applyBorder="1"/>
    <xf numFmtId="10" fontId="71" fillId="80" borderId="0" xfId="0" applyNumberFormat="1" applyFont="1" applyFill="1" applyAlignment="1">
      <alignment horizontal="center" vertical="center"/>
    </xf>
    <xf numFmtId="0" fontId="74" fillId="0" borderId="1" xfId="0" applyFont="1" applyBorder="1" applyAlignment="1">
      <alignment horizontal="left" vertical="center"/>
    </xf>
    <xf numFmtId="164" fontId="73" fillId="0" borderId="1" xfId="2144" applyNumberFormat="1" applyFont="1" applyBorder="1" applyAlignment="1">
      <alignment vertical="center"/>
    </xf>
    <xf numFmtId="164" fontId="70" fillId="0" borderId="1" xfId="2144" applyNumberFormat="1" applyFont="1" applyBorder="1" applyAlignment="1">
      <alignment horizontal="center" vertical="center"/>
    </xf>
    <xf numFmtId="0" fontId="79" fillId="81" borderId="0" xfId="0" applyFont="1" applyFill="1" applyAlignment="1">
      <alignment horizontal="center" vertical="center" wrapText="1"/>
    </xf>
    <xf numFmtId="178" fontId="0" fillId="0" borderId="0" xfId="0" applyNumberFormat="1"/>
    <xf numFmtId="1" fontId="0" fillId="0" borderId="0" xfId="0" applyNumberFormat="1"/>
    <xf numFmtId="0" fontId="72" fillId="79" borderId="28" xfId="0" applyFont="1" applyFill="1" applyBorder="1" applyAlignment="1">
      <alignment horizontal="center" vertical="center"/>
    </xf>
    <xf numFmtId="0" fontId="72" fillId="79" borderId="29" xfId="0" applyFont="1" applyFill="1" applyBorder="1" applyAlignment="1">
      <alignment horizontal="center" vertical="center"/>
    </xf>
    <xf numFmtId="17" fontId="74" fillId="0" borderId="30" xfId="0" applyNumberFormat="1" applyFont="1" applyBorder="1" applyAlignment="1">
      <alignment vertical="center"/>
    </xf>
    <xf numFmtId="0" fontId="74" fillId="0" borderId="31" xfId="0" applyFont="1" applyBorder="1" applyAlignment="1">
      <alignment vertical="center"/>
    </xf>
    <xf numFmtId="0" fontId="74" fillId="0" borderId="31" xfId="0" applyFont="1" applyBorder="1" applyAlignment="1">
      <alignment horizontal="center" vertical="center"/>
    </xf>
    <xf numFmtId="179" fontId="74" fillId="0" borderId="31" xfId="0" applyNumberFormat="1" applyFont="1" applyBorder="1" applyAlignment="1">
      <alignment vertical="center"/>
    </xf>
    <xf numFmtId="0" fontId="80" fillId="79" borderId="31" xfId="0" applyFont="1" applyFill="1" applyBorder="1" applyAlignment="1">
      <alignment vertical="center"/>
    </xf>
    <xf numFmtId="0" fontId="80" fillId="79" borderId="31" xfId="0" applyFont="1" applyFill="1" applyBorder="1" applyAlignment="1">
      <alignment horizontal="center" vertical="center"/>
    </xf>
    <xf numFmtId="179" fontId="80" fillId="79" borderId="31" xfId="0" applyNumberFormat="1" applyFont="1" applyFill="1" applyBorder="1" applyAlignment="1">
      <alignment vertical="center"/>
    </xf>
    <xf numFmtId="179" fontId="72" fillId="79" borderId="31" xfId="0" applyNumberFormat="1" applyFont="1" applyFill="1" applyBorder="1" applyAlignment="1">
      <alignment vertical="center"/>
    </xf>
    <xf numFmtId="17" fontId="80" fillId="79" borderId="32" xfId="0" applyNumberFormat="1" applyFont="1" applyFill="1" applyBorder="1" applyAlignment="1">
      <alignment horizontal="center" vertical="center"/>
    </xf>
    <xf numFmtId="17" fontId="80" fillId="79" borderId="33" xfId="0" applyNumberFormat="1" applyFont="1" applyFill="1" applyBorder="1" applyAlignment="1">
      <alignment horizontal="center" vertical="center"/>
    </xf>
    <xf numFmtId="17" fontId="80" fillId="79" borderId="29" xfId="0" applyNumberFormat="1" applyFont="1" applyFill="1" applyBorder="1" applyAlignment="1">
      <alignment horizontal="center" vertical="center"/>
    </xf>
    <xf numFmtId="0" fontId="75" fillId="0" borderId="1" xfId="0" applyFont="1" applyBorder="1" applyAlignment="1">
      <alignment horizontal="left" vertical="center" wrapText="1"/>
    </xf>
    <xf numFmtId="0" fontId="0" fillId="0" borderId="24" xfId="0" applyBorder="1"/>
    <xf numFmtId="0" fontId="0" fillId="0" borderId="25" xfId="0" applyBorder="1"/>
    <xf numFmtId="0" fontId="72" fillId="79" borderId="1" xfId="0" applyFont="1" applyFill="1" applyBorder="1" applyAlignment="1">
      <alignment horizontal="center" vertical="center"/>
    </xf>
    <xf numFmtId="0" fontId="74" fillId="0" borderId="1" xfId="0" applyFont="1" applyBorder="1" applyAlignment="1">
      <alignment horizontal="left" vertical="center"/>
    </xf>
    <xf numFmtId="0" fontId="72" fillId="79" borderId="1"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39124">
    <cellStyle name="20% - Accent1" xfId="26" xr:uid="{00000000-0005-0000-0000-00001A000000}"/>
    <cellStyle name="20% - Accent1 2" xfId="27" xr:uid="{00000000-0005-0000-0000-00001B000000}"/>
    <cellStyle name="20% - Accent1 3" xfId="28" xr:uid="{00000000-0005-0000-0000-00001C000000}"/>
    <cellStyle name="20% - Accent1 4" xfId="29" xr:uid="{00000000-0005-0000-0000-00001D000000}"/>
    <cellStyle name="20% - Accent1 5" xfId="30" xr:uid="{00000000-0005-0000-0000-00001E000000}"/>
    <cellStyle name="20% - Accent2" xfId="31" xr:uid="{00000000-0005-0000-0000-00001F000000}"/>
    <cellStyle name="20% - Accent2 2" xfId="32" xr:uid="{00000000-0005-0000-0000-000020000000}"/>
    <cellStyle name="20% - Accent2 3" xfId="33" xr:uid="{00000000-0005-0000-0000-000021000000}"/>
    <cellStyle name="20% - Accent2 4" xfId="34" xr:uid="{00000000-0005-0000-0000-000022000000}"/>
    <cellStyle name="20% - Accent2 5" xfId="35" xr:uid="{00000000-0005-0000-0000-000023000000}"/>
    <cellStyle name="20% - Accent3" xfId="36" xr:uid="{00000000-0005-0000-0000-000024000000}"/>
    <cellStyle name="20% - Accent3 2" xfId="37" xr:uid="{00000000-0005-0000-0000-000025000000}"/>
    <cellStyle name="20% - Accent3 3" xfId="38" xr:uid="{00000000-0005-0000-0000-000026000000}"/>
    <cellStyle name="20% - Accent3 4" xfId="39" xr:uid="{00000000-0005-0000-0000-000027000000}"/>
    <cellStyle name="20% - Accent3 5" xfId="40" xr:uid="{00000000-0005-0000-0000-000028000000}"/>
    <cellStyle name="20% - Accent4" xfId="41" xr:uid="{00000000-0005-0000-0000-000029000000}"/>
    <cellStyle name="20% - Accent4 2" xfId="42" xr:uid="{00000000-0005-0000-0000-00002A000000}"/>
    <cellStyle name="20% - Accent4 3" xfId="43" xr:uid="{00000000-0005-0000-0000-00002B000000}"/>
    <cellStyle name="20% - Accent4 4" xfId="44" xr:uid="{00000000-0005-0000-0000-00002C000000}"/>
    <cellStyle name="20% - Accent4 5" xfId="45" xr:uid="{00000000-0005-0000-0000-00002D000000}"/>
    <cellStyle name="20% - Accent5" xfId="46" xr:uid="{00000000-0005-0000-0000-00002E000000}"/>
    <cellStyle name="20% - Accent5 2" xfId="47" xr:uid="{00000000-0005-0000-0000-00002F000000}"/>
    <cellStyle name="20% - Accent5 3" xfId="48" xr:uid="{00000000-0005-0000-0000-000030000000}"/>
    <cellStyle name="20% - Accent5 4" xfId="49" xr:uid="{00000000-0005-0000-0000-000031000000}"/>
    <cellStyle name="20% - Accent5 5" xfId="50" xr:uid="{00000000-0005-0000-0000-000032000000}"/>
    <cellStyle name="20% - Accent6" xfId="51" xr:uid="{00000000-0005-0000-0000-000033000000}"/>
    <cellStyle name="20% - Accent6 2" xfId="52" xr:uid="{00000000-0005-0000-0000-000034000000}"/>
    <cellStyle name="20% - Accent6 3" xfId="53" xr:uid="{00000000-0005-0000-0000-000035000000}"/>
    <cellStyle name="20% - Accent6 4" xfId="54" xr:uid="{00000000-0005-0000-0000-000036000000}"/>
    <cellStyle name="20% - Accent6 5" xfId="55" xr:uid="{00000000-0005-0000-0000-000037000000}"/>
    <cellStyle name="20% - Énfasis1 2" xfId="56" xr:uid="{00000000-0005-0000-0000-000038000000}"/>
    <cellStyle name="20% - Énfasis1 2 2" xfId="57" xr:uid="{00000000-0005-0000-0000-000039000000}"/>
    <cellStyle name="20% - Énfasis1 3" xfId="58" xr:uid="{00000000-0005-0000-0000-00003A000000}"/>
    <cellStyle name="20% - Énfasis1 4" xfId="59" xr:uid="{00000000-0005-0000-0000-00003B000000}"/>
    <cellStyle name="20% - Énfasis1 5" xfId="60" xr:uid="{00000000-0005-0000-0000-00003C000000}"/>
    <cellStyle name="20% - Énfasis1 6" xfId="61" xr:uid="{00000000-0005-0000-0000-00003D000000}"/>
    <cellStyle name="20% - Énfasis1 7" xfId="62" xr:uid="{00000000-0005-0000-0000-00003E000000}"/>
    <cellStyle name="20% - Énfasis1 8" xfId="63" xr:uid="{00000000-0005-0000-0000-00003F000000}"/>
    <cellStyle name="20% - Énfasis2 2" xfId="64" xr:uid="{00000000-0005-0000-0000-000040000000}"/>
    <cellStyle name="20% - Énfasis2 2 2" xfId="65" xr:uid="{00000000-0005-0000-0000-000041000000}"/>
    <cellStyle name="20% - Énfasis2 3" xfId="66" xr:uid="{00000000-0005-0000-0000-000042000000}"/>
    <cellStyle name="20% - Énfasis2 4" xfId="67" xr:uid="{00000000-0005-0000-0000-000043000000}"/>
    <cellStyle name="20% - Énfasis2 5" xfId="68" xr:uid="{00000000-0005-0000-0000-000044000000}"/>
    <cellStyle name="20% - Énfasis2 6" xfId="69" xr:uid="{00000000-0005-0000-0000-000045000000}"/>
    <cellStyle name="20% - Énfasis2 7" xfId="70" xr:uid="{00000000-0005-0000-0000-000046000000}"/>
    <cellStyle name="20% - Énfasis2 8" xfId="71" xr:uid="{00000000-0005-0000-0000-000047000000}"/>
    <cellStyle name="20% - Énfasis3 2" xfId="72" xr:uid="{00000000-0005-0000-0000-000048000000}"/>
    <cellStyle name="20% - Énfasis3 2 2" xfId="73" xr:uid="{00000000-0005-0000-0000-000049000000}"/>
    <cellStyle name="20% - Énfasis3 3" xfId="74" xr:uid="{00000000-0005-0000-0000-00004A000000}"/>
    <cellStyle name="20% - Énfasis3 4" xfId="75" xr:uid="{00000000-0005-0000-0000-00004B000000}"/>
    <cellStyle name="20% - Énfasis3 5" xfId="76" xr:uid="{00000000-0005-0000-0000-00004C000000}"/>
    <cellStyle name="20% - Énfasis3 6" xfId="77" xr:uid="{00000000-0005-0000-0000-00004D000000}"/>
    <cellStyle name="20% - Énfasis3 7" xfId="78" xr:uid="{00000000-0005-0000-0000-00004E000000}"/>
    <cellStyle name="20% - Énfasis3 8" xfId="79" xr:uid="{00000000-0005-0000-0000-00004F000000}"/>
    <cellStyle name="20% - Énfasis4 2" xfId="80" xr:uid="{00000000-0005-0000-0000-000050000000}"/>
    <cellStyle name="20% - Énfasis4 2 2" xfId="81" xr:uid="{00000000-0005-0000-0000-000051000000}"/>
    <cellStyle name="20% - Énfasis4 3" xfId="82" xr:uid="{00000000-0005-0000-0000-000052000000}"/>
    <cellStyle name="20% - Énfasis4 4" xfId="83" xr:uid="{00000000-0005-0000-0000-000053000000}"/>
    <cellStyle name="20% - Énfasis4 5" xfId="84" xr:uid="{00000000-0005-0000-0000-000054000000}"/>
    <cellStyle name="20% - Énfasis4 6" xfId="85" xr:uid="{00000000-0005-0000-0000-000055000000}"/>
    <cellStyle name="20% - Énfasis4 7" xfId="86" xr:uid="{00000000-0005-0000-0000-000056000000}"/>
    <cellStyle name="20% - Énfasis4 8" xfId="87" xr:uid="{00000000-0005-0000-0000-000057000000}"/>
    <cellStyle name="20% - Énfasis5 2" xfId="88" xr:uid="{00000000-0005-0000-0000-000058000000}"/>
    <cellStyle name="20% - Énfasis5 2 2" xfId="89" xr:uid="{00000000-0005-0000-0000-000059000000}"/>
    <cellStyle name="20% - Énfasis5 3" xfId="90" xr:uid="{00000000-0005-0000-0000-00005A000000}"/>
    <cellStyle name="20% - Énfasis5 4" xfId="91" xr:uid="{00000000-0005-0000-0000-00005B000000}"/>
    <cellStyle name="20% - Énfasis5 5" xfId="92" xr:uid="{00000000-0005-0000-0000-00005C000000}"/>
    <cellStyle name="20% - Énfasis5 6" xfId="93" xr:uid="{00000000-0005-0000-0000-00005D000000}"/>
    <cellStyle name="20% - Énfasis5 7" xfId="94" xr:uid="{00000000-0005-0000-0000-00005E000000}"/>
    <cellStyle name="20% - Énfasis5 8" xfId="95" xr:uid="{00000000-0005-0000-0000-00005F000000}"/>
    <cellStyle name="20% - Énfasis6 2" xfId="96" xr:uid="{00000000-0005-0000-0000-000060000000}"/>
    <cellStyle name="20% - Énfasis6 2 2" xfId="97" xr:uid="{00000000-0005-0000-0000-000061000000}"/>
    <cellStyle name="20% - Énfasis6 3" xfId="98" xr:uid="{00000000-0005-0000-0000-000062000000}"/>
    <cellStyle name="20% - Énfasis6 4" xfId="99" xr:uid="{00000000-0005-0000-0000-000063000000}"/>
    <cellStyle name="20% - Énfasis6 5" xfId="100" xr:uid="{00000000-0005-0000-0000-000064000000}"/>
    <cellStyle name="20% - Énfasis6 6" xfId="101" xr:uid="{00000000-0005-0000-0000-000065000000}"/>
    <cellStyle name="20% - Énfasis6 7" xfId="102" xr:uid="{00000000-0005-0000-0000-000066000000}"/>
    <cellStyle name="20% - Énfasis6 8" xfId="103" xr:uid="{00000000-0005-0000-0000-000067000000}"/>
    <cellStyle name="20% - 强调文字颜色 1" xfId="104" xr:uid="{00000000-0005-0000-0000-000068000000}"/>
    <cellStyle name="20% - 强调文字颜色 2" xfId="105" xr:uid="{00000000-0005-0000-0000-000069000000}"/>
    <cellStyle name="20% - 强调文字颜色 3" xfId="106" xr:uid="{00000000-0005-0000-0000-00006A000000}"/>
    <cellStyle name="20% - 强调文字颜色 4" xfId="107" xr:uid="{00000000-0005-0000-0000-00006B000000}"/>
    <cellStyle name="20% - 强调文字颜色 5" xfId="108" xr:uid="{00000000-0005-0000-0000-00006C000000}"/>
    <cellStyle name="20% - 强调文字颜色 6" xfId="109" xr:uid="{00000000-0005-0000-0000-00006D000000}"/>
    <cellStyle name="40% - Accent1" xfId="110" xr:uid="{00000000-0005-0000-0000-00006E000000}"/>
    <cellStyle name="40% - Accent1 2" xfId="111" xr:uid="{00000000-0005-0000-0000-00006F000000}"/>
    <cellStyle name="40% - Accent1 3" xfId="112" xr:uid="{00000000-0005-0000-0000-000070000000}"/>
    <cellStyle name="40% - Accent1 4" xfId="113" xr:uid="{00000000-0005-0000-0000-000071000000}"/>
    <cellStyle name="40% - Accent1 5" xfId="114" xr:uid="{00000000-0005-0000-0000-000072000000}"/>
    <cellStyle name="40% - Accent2" xfId="115" xr:uid="{00000000-0005-0000-0000-000073000000}"/>
    <cellStyle name="40% - Accent2 2" xfId="116" xr:uid="{00000000-0005-0000-0000-000074000000}"/>
    <cellStyle name="40% - Accent2 3" xfId="117" xr:uid="{00000000-0005-0000-0000-000075000000}"/>
    <cellStyle name="40% - Accent2 4" xfId="118" xr:uid="{00000000-0005-0000-0000-000076000000}"/>
    <cellStyle name="40% - Accent2 5" xfId="119" xr:uid="{00000000-0005-0000-0000-000077000000}"/>
    <cellStyle name="40% - Accent3" xfId="120" xr:uid="{00000000-0005-0000-0000-000078000000}"/>
    <cellStyle name="40% - Accent3 2" xfId="121" xr:uid="{00000000-0005-0000-0000-000079000000}"/>
    <cellStyle name="40% - Accent3 3" xfId="122" xr:uid="{00000000-0005-0000-0000-00007A000000}"/>
    <cellStyle name="40% - Accent3 4" xfId="123" xr:uid="{00000000-0005-0000-0000-00007B000000}"/>
    <cellStyle name="40% - Accent3 5" xfId="124" xr:uid="{00000000-0005-0000-0000-00007C000000}"/>
    <cellStyle name="40% - Accent4" xfId="125" xr:uid="{00000000-0005-0000-0000-00007D000000}"/>
    <cellStyle name="40% - Accent4 2" xfId="126" xr:uid="{00000000-0005-0000-0000-00007E000000}"/>
    <cellStyle name="40% - Accent4 3" xfId="127" xr:uid="{00000000-0005-0000-0000-00007F000000}"/>
    <cellStyle name="40% - Accent4 4" xfId="128" xr:uid="{00000000-0005-0000-0000-000080000000}"/>
    <cellStyle name="40% - Accent4 5" xfId="129" xr:uid="{00000000-0005-0000-0000-000081000000}"/>
    <cellStyle name="40% - Accent5" xfId="130" xr:uid="{00000000-0005-0000-0000-000082000000}"/>
    <cellStyle name="40% - Accent5 2" xfId="131" xr:uid="{00000000-0005-0000-0000-000083000000}"/>
    <cellStyle name="40% - Accent5 3" xfId="132" xr:uid="{00000000-0005-0000-0000-000084000000}"/>
    <cellStyle name="40% - Accent5 4" xfId="133" xr:uid="{00000000-0005-0000-0000-000085000000}"/>
    <cellStyle name="40% - Accent5 5" xfId="134" xr:uid="{00000000-0005-0000-0000-000086000000}"/>
    <cellStyle name="40% - Accent6" xfId="135" xr:uid="{00000000-0005-0000-0000-000087000000}"/>
    <cellStyle name="40% - Accent6 2" xfId="136" xr:uid="{00000000-0005-0000-0000-000088000000}"/>
    <cellStyle name="40% - Accent6 3" xfId="137" xr:uid="{00000000-0005-0000-0000-000089000000}"/>
    <cellStyle name="40% - Accent6 4" xfId="138" xr:uid="{00000000-0005-0000-0000-00008A000000}"/>
    <cellStyle name="40% - Accent6 5" xfId="139" xr:uid="{00000000-0005-0000-0000-00008B000000}"/>
    <cellStyle name="40% - Énfasis1 2" xfId="140" xr:uid="{00000000-0005-0000-0000-00008C000000}"/>
    <cellStyle name="40% - Énfasis1 2 2" xfId="141" xr:uid="{00000000-0005-0000-0000-00008D000000}"/>
    <cellStyle name="40% - Énfasis1 3" xfId="142" xr:uid="{00000000-0005-0000-0000-00008E000000}"/>
    <cellStyle name="40% - Énfasis1 4" xfId="143" xr:uid="{00000000-0005-0000-0000-00008F000000}"/>
    <cellStyle name="40% - Énfasis1 5" xfId="144" xr:uid="{00000000-0005-0000-0000-000090000000}"/>
    <cellStyle name="40% - Énfasis1 6" xfId="145" xr:uid="{00000000-0005-0000-0000-000091000000}"/>
    <cellStyle name="40% - Énfasis1 7" xfId="146" xr:uid="{00000000-0005-0000-0000-000092000000}"/>
    <cellStyle name="40% - Énfasis1 8" xfId="147" xr:uid="{00000000-0005-0000-0000-000093000000}"/>
    <cellStyle name="40% - Énfasis2 2" xfId="148" xr:uid="{00000000-0005-0000-0000-000094000000}"/>
    <cellStyle name="40% - Énfasis2 2 2" xfId="149" xr:uid="{00000000-0005-0000-0000-000095000000}"/>
    <cellStyle name="40% - Énfasis2 3" xfId="150" xr:uid="{00000000-0005-0000-0000-000096000000}"/>
    <cellStyle name="40% - Énfasis2 4" xfId="151" xr:uid="{00000000-0005-0000-0000-000097000000}"/>
    <cellStyle name="40% - Énfasis2 5" xfId="152" xr:uid="{00000000-0005-0000-0000-000098000000}"/>
    <cellStyle name="40% - Énfasis2 6" xfId="153" xr:uid="{00000000-0005-0000-0000-000099000000}"/>
    <cellStyle name="40% - Énfasis2 7" xfId="154" xr:uid="{00000000-0005-0000-0000-00009A000000}"/>
    <cellStyle name="40% - Énfasis2 8" xfId="155" xr:uid="{00000000-0005-0000-0000-00009B000000}"/>
    <cellStyle name="40% - Énfasis3 2" xfId="156" xr:uid="{00000000-0005-0000-0000-00009C000000}"/>
    <cellStyle name="40% - Énfasis3 2 2" xfId="157" xr:uid="{00000000-0005-0000-0000-00009D000000}"/>
    <cellStyle name="40% - Énfasis3 3" xfId="158" xr:uid="{00000000-0005-0000-0000-00009E000000}"/>
    <cellStyle name="40% - Énfasis3 4" xfId="159" xr:uid="{00000000-0005-0000-0000-00009F000000}"/>
    <cellStyle name="40% - Énfasis3 5" xfId="160" xr:uid="{00000000-0005-0000-0000-0000A0000000}"/>
    <cellStyle name="40% - Énfasis3 6" xfId="161" xr:uid="{00000000-0005-0000-0000-0000A1000000}"/>
    <cellStyle name="40% - Énfasis3 7" xfId="162" xr:uid="{00000000-0005-0000-0000-0000A2000000}"/>
    <cellStyle name="40% - Énfasis3 8" xfId="163" xr:uid="{00000000-0005-0000-0000-0000A3000000}"/>
    <cellStyle name="40% - Énfasis4 2" xfId="164" xr:uid="{00000000-0005-0000-0000-0000A4000000}"/>
    <cellStyle name="40% - Énfasis4 2 2" xfId="165" xr:uid="{00000000-0005-0000-0000-0000A5000000}"/>
    <cellStyle name="40% - Énfasis4 3" xfId="166" xr:uid="{00000000-0005-0000-0000-0000A6000000}"/>
    <cellStyle name="40% - Énfasis4 4" xfId="167" xr:uid="{00000000-0005-0000-0000-0000A7000000}"/>
    <cellStyle name="40% - Énfasis4 5" xfId="168" xr:uid="{00000000-0005-0000-0000-0000A8000000}"/>
    <cellStyle name="40% - Énfasis4 6" xfId="169" xr:uid="{00000000-0005-0000-0000-0000A9000000}"/>
    <cellStyle name="40% - Énfasis4 7" xfId="170" xr:uid="{00000000-0005-0000-0000-0000AA000000}"/>
    <cellStyle name="40% - Énfasis4 8" xfId="171" xr:uid="{00000000-0005-0000-0000-0000AB000000}"/>
    <cellStyle name="40% - Énfasis5 2" xfId="172" xr:uid="{00000000-0005-0000-0000-0000AC000000}"/>
    <cellStyle name="40% - Énfasis5 2 2" xfId="173" xr:uid="{00000000-0005-0000-0000-0000AD000000}"/>
    <cellStyle name="40% - Énfasis5 3" xfId="174" xr:uid="{00000000-0005-0000-0000-0000AE000000}"/>
    <cellStyle name="40% - Énfasis5 4" xfId="175" xr:uid="{00000000-0005-0000-0000-0000AF000000}"/>
    <cellStyle name="40% - Énfasis5 5" xfId="176" xr:uid="{00000000-0005-0000-0000-0000B0000000}"/>
    <cellStyle name="40% - Énfasis5 6" xfId="177" xr:uid="{00000000-0005-0000-0000-0000B1000000}"/>
    <cellStyle name="40% - Énfasis5 7" xfId="178" xr:uid="{00000000-0005-0000-0000-0000B2000000}"/>
    <cellStyle name="40% - Énfasis5 8" xfId="179" xr:uid="{00000000-0005-0000-0000-0000B3000000}"/>
    <cellStyle name="40% - Énfasis6 2" xfId="180" xr:uid="{00000000-0005-0000-0000-0000B4000000}"/>
    <cellStyle name="40% - Énfasis6 2 2" xfId="181" xr:uid="{00000000-0005-0000-0000-0000B5000000}"/>
    <cellStyle name="40% - Énfasis6 3" xfId="182" xr:uid="{00000000-0005-0000-0000-0000B6000000}"/>
    <cellStyle name="40% - Énfasis6 4" xfId="183" xr:uid="{00000000-0005-0000-0000-0000B7000000}"/>
    <cellStyle name="40% - Énfasis6 5" xfId="184" xr:uid="{00000000-0005-0000-0000-0000B8000000}"/>
    <cellStyle name="40% - Énfasis6 6" xfId="185" xr:uid="{00000000-0005-0000-0000-0000B9000000}"/>
    <cellStyle name="40% - Énfasis6 7" xfId="186" xr:uid="{00000000-0005-0000-0000-0000BA000000}"/>
    <cellStyle name="40% - Énfasis6 8" xfId="187" xr:uid="{00000000-0005-0000-0000-0000BB000000}"/>
    <cellStyle name="40% - 强调文字颜色 1" xfId="188" xr:uid="{00000000-0005-0000-0000-0000BC000000}"/>
    <cellStyle name="40% - 强调文字颜色 2" xfId="189" xr:uid="{00000000-0005-0000-0000-0000BD000000}"/>
    <cellStyle name="40% - 强调文字颜色 3" xfId="190" xr:uid="{00000000-0005-0000-0000-0000BE000000}"/>
    <cellStyle name="40% - 强调文字颜色 4" xfId="191" xr:uid="{00000000-0005-0000-0000-0000BF000000}"/>
    <cellStyle name="40% - 强调文字颜色 5" xfId="192" xr:uid="{00000000-0005-0000-0000-0000C0000000}"/>
    <cellStyle name="40% - 强调文字颜色 6" xfId="193" xr:uid="{00000000-0005-0000-0000-0000C1000000}"/>
    <cellStyle name="60% - Accent1" xfId="194" xr:uid="{00000000-0005-0000-0000-0000C2000000}"/>
    <cellStyle name="60% - Accent1 2" xfId="195" xr:uid="{00000000-0005-0000-0000-0000C3000000}"/>
    <cellStyle name="60% - Accent1 3" xfId="196" xr:uid="{00000000-0005-0000-0000-0000C4000000}"/>
    <cellStyle name="60% - Accent1 4" xfId="197" xr:uid="{00000000-0005-0000-0000-0000C5000000}"/>
    <cellStyle name="60% - Accent1 5" xfId="198" xr:uid="{00000000-0005-0000-0000-0000C6000000}"/>
    <cellStyle name="60% - Accent2" xfId="199" xr:uid="{00000000-0005-0000-0000-0000C7000000}"/>
    <cellStyle name="60% - Accent2 2" xfId="200" xr:uid="{00000000-0005-0000-0000-0000C8000000}"/>
    <cellStyle name="60% - Accent2 3" xfId="201" xr:uid="{00000000-0005-0000-0000-0000C9000000}"/>
    <cellStyle name="60% - Accent2 4" xfId="202" xr:uid="{00000000-0005-0000-0000-0000CA000000}"/>
    <cellStyle name="60% - Accent2 5" xfId="203" xr:uid="{00000000-0005-0000-0000-0000CB000000}"/>
    <cellStyle name="60% - Accent3" xfId="204" xr:uid="{00000000-0005-0000-0000-0000CC000000}"/>
    <cellStyle name="60% - Accent3 2" xfId="205" xr:uid="{00000000-0005-0000-0000-0000CD000000}"/>
    <cellStyle name="60% - Accent3 3" xfId="206" xr:uid="{00000000-0005-0000-0000-0000CE000000}"/>
    <cellStyle name="60% - Accent3 4" xfId="207" xr:uid="{00000000-0005-0000-0000-0000CF000000}"/>
    <cellStyle name="60% - Accent3 5" xfId="208" xr:uid="{00000000-0005-0000-0000-0000D0000000}"/>
    <cellStyle name="60% - Accent4" xfId="209" xr:uid="{00000000-0005-0000-0000-0000D1000000}"/>
    <cellStyle name="60% - Accent4 2" xfId="210" xr:uid="{00000000-0005-0000-0000-0000D2000000}"/>
    <cellStyle name="60% - Accent4 3" xfId="211" xr:uid="{00000000-0005-0000-0000-0000D3000000}"/>
    <cellStyle name="60% - Accent4 4" xfId="212" xr:uid="{00000000-0005-0000-0000-0000D4000000}"/>
    <cellStyle name="60% - Accent4 5" xfId="213" xr:uid="{00000000-0005-0000-0000-0000D5000000}"/>
    <cellStyle name="60% - Accent5" xfId="214" xr:uid="{00000000-0005-0000-0000-0000D6000000}"/>
    <cellStyle name="60% - Accent5 2" xfId="215" xr:uid="{00000000-0005-0000-0000-0000D7000000}"/>
    <cellStyle name="60% - Accent5 3" xfId="216" xr:uid="{00000000-0005-0000-0000-0000D8000000}"/>
    <cellStyle name="60% - Accent5 4" xfId="217" xr:uid="{00000000-0005-0000-0000-0000D9000000}"/>
    <cellStyle name="60% - Accent5 5" xfId="218" xr:uid="{00000000-0005-0000-0000-0000DA000000}"/>
    <cellStyle name="60% - Accent6" xfId="219" xr:uid="{00000000-0005-0000-0000-0000DB000000}"/>
    <cellStyle name="60% - Accent6 2" xfId="220" xr:uid="{00000000-0005-0000-0000-0000DC000000}"/>
    <cellStyle name="60% - Accent6 3" xfId="221" xr:uid="{00000000-0005-0000-0000-0000DD000000}"/>
    <cellStyle name="60% - Accent6 4" xfId="222" xr:uid="{00000000-0005-0000-0000-0000DE000000}"/>
    <cellStyle name="60% - Accent6 5" xfId="223" xr:uid="{00000000-0005-0000-0000-0000DF000000}"/>
    <cellStyle name="60% - Énfasis1 2" xfId="224" xr:uid="{00000000-0005-0000-0000-0000E0000000}"/>
    <cellStyle name="60% - Énfasis1 2 2" xfId="225" xr:uid="{00000000-0005-0000-0000-0000E1000000}"/>
    <cellStyle name="60% - Énfasis1 3" xfId="226" xr:uid="{00000000-0005-0000-0000-0000E2000000}"/>
    <cellStyle name="60% - Énfasis1 4" xfId="227" xr:uid="{00000000-0005-0000-0000-0000E3000000}"/>
    <cellStyle name="60% - Énfasis1 5" xfId="228" xr:uid="{00000000-0005-0000-0000-0000E4000000}"/>
    <cellStyle name="60% - Énfasis1 6" xfId="229" xr:uid="{00000000-0005-0000-0000-0000E5000000}"/>
    <cellStyle name="60% - Énfasis1 7" xfId="230" xr:uid="{00000000-0005-0000-0000-0000E6000000}"/>
    <cellStyle name="60% - Énfasis1 8" xfId="231" xr:uid="{00000000-0005-0000-0000-0000E7000000}"/>
    <cellStyle name="60% - Énfasis2 2" xfId="232" xr:uid="{00000000-0005-0000-0000-0000E8000000}"/>
    <cellStyle name="60% - Énfasis2 2 2" xfId="233" xr:uid="{00000000-0005-0000-0000-0000E9000000}"/>
    <cellStyle name="60% - Énfasis2 3" xfId="234" xr:uid="{00000000-0005-0000-0000-0000EA000000}"/>
    <cellStyle name="60% - Énfasis2 4" xfId="235" xr:uid="{00000000-0005-0000-0000-0000EB000000}"/>
    <cellStyle name="60% - Énfasis2 5" xfId="236" xr:uid="{00000000-0005-0000-0000-0000EC000000}"/>
    <cellStyle name="60% - Énfasis2 6" xfId="237" xr:uid="{00000000-0005-0000-0000-0000ED000000}"/>
    <cellStyle name="60% - Énfasis2 7" xfId="238" xr:uid="{00000000-0005-0000-0000-0000EE000000}"/>
    <cellStyle name="60% - Énfasis2 8" xfId="239" xr:uid="{00000000-0005-0000-0000-0000EF000000}"/>
    <cellStyle name="60% - Énfasis3 2" xfId="240" xr:uid="{00000000-0005-0000-0000-0000F0000000}"/>
    <cellStyle name="60% - Énfasis3 2 2" xfId="241" xr:uid="{00000000-0005-0000-0000-0000F1000000}"/>
    <cellStyle name="60% - Énfasis3 3" xfId="242" xr:uid="{00000000-0005-0000-0000-0000F2000000}"/>
    <cellStyle name="60% - Énfasis3 4" xfId="243" xr:uid="{00000000-0005-0000-0000-0000F3000000}"/>
    <cellStyle name="60% - Énfasis3 5" xfId="244" xr:uid="{00000000-0005-0000-0000-0000F4000000}"/>
    <cellStyle name="60% - Énfasis3 6" xfId="245" xr:uid="{00000000-0005-0000-0000-0000F5000000}"/>
    <cellStyle name="60% - Énfasis3 7" xfId="246" xr:uid="{00000000-0005-0000-0000-0000F6000000}"/>
    <cellStyle name="60% - Énfasis3 8" xfId="247" xr:uid="{00000000-0005-0000-0000-0000F7000000}"/>
    <cellStyle name="60% - Énfasis4 2" xfId="248" xr:uid="{00000000-0005-0000-0000-0000F8000000}"/>
    <cellStyle name="60% - Énfasis4 2 2" xfId="249" xr:uid="{00000000-0005-0000-0000-0000F9000000}"/>
    <cellStyle name="60% - Énfasis4 3" xfId="250" xr:uid="{00000000-0005-0000-0000-0000FA000000}"/>
    <cellStyle name="60% - Énfasis4 4" xfId="251" xr:uid="{00000000-0005-0000-0000-0000FB000000}"/>
    <cellStyle name="60% - Énfasis4 5" xfId="252" xr:uid="{00000000-0005-0000-0000-0000FC000000}"/>
    <cellStyle name="60% - Énfasis4 6" xfId="253" xr:uid="{00000000-0005-0000-0000-0000FD000000}"/>
    <cellStyle name="60% - Énfasis4 7" xfId="254" xr:uid="{00000000-0005-0000-0000-0000FE000000}"/>
    <cellStyle name="60% - Énfasis4 8" xfId="255" xr:uid="{00000000-0005-0000-0000-0000FF000000}"/>
    <cellStyle name="60% - Énfasis5 2" xfId="256" xr:uid="{00000000-0005-0000-0000-000000010000}"/>
    <cellStyle name="60% - Énfasis5 2 2" xfId="257" xr:uid="{00000000-0005-0000-0000-000001010000}"/>
    <cellStyle name="60% - Énfasis5 3" xfId="258" xr:uid="{00000000-0005-0000-0000-000002010000}"/>
    <cellStyle name="60% - Énfasis5 4" xfId="259" xr:uid="{00000000-0005-0000-0000-000003010000}"/>
    <cellStyle name="60% - Énfasis5 5" xfId="260" xr:uid="{00000000-0005-0000-0000-000004010000}"/>
    <cellStyle name="60% - Énfasis5 6" xfId="261" xr:uid="{00000000-0005-0000-0000-000005010000}"/>
    <cellStyle name="60% - Énfasis5 7" xfId="262" xr:uid="{00000000-0005-0000-0000-000006010000}"/>
    <cellStyle name="60% - Énfasis5 8" xfId="263" xr:uid="{00000000-0005-0000-0000-000007010000}"/>
    <cellStyle name="60% - Énfasis6 2" xfId="264" xr:uid="{00000000-0005-0000-0000-000008010000}"/>
    <cellStyle name="60% - Énfasis6 2 2" xfId="265" xr:uid="{00000000-0005-0000-0000-000009010000}"/>
    <cellStyle name="60% - Énfasis6 3" xfId="266" xr:uid="{00000000-0005-0000-0000-00000A010000}"/>
    <cellStyle name="60% - Énfasis6 4" xfId="267" xr:uid="{00000000-0005-0000-0000-00000B010000}"/>
    <cellStyle name="60% - Énfasis6 5" xfId="268" xr:uid="{00000000-0005-0000-0000-00000C010000}"/>
    <cellStyle name="60% - Énfasis6 6" xfId="269" xr:uid="{00000000-0005-0000-0000-00000D010000}"/>
    <cellStyle name="60% - Énfasis6 7" xfId="270" xr:uid="{00000000-0005-0000-0000-00000E010000}"/>
    <cellStyle name="60% - Énfasis6 8" xfId="271" xr:uid="{00000000-0005-0000-0000-00000F010000}"/>
    <cellStyle name="60% - 强调文字颜色 1" xfId="272" xr:uid="{00000000-0005-0000-0000-000010010000}"/>
    <cellStyle name="60% - 强调文字颜色 2" xfId="273" xr:uid="{00000000-0005-0000-0000-000011010000}"/>
    <cellStyle name="60% - 强调文字颜色 3" xfId="274" xr:uid="{00000000-0005-0000-0000-000012010000}"/>
    <cellStyle name="60% - 强调文字颜色 4" xfId="275" xr:uid="{00000000-0005-0000-0000-000013010000}"/>
    <cellStyle name="60% - 强调文字颜色 5" xfId="276" xr:uid="{00000000-0005-0000-0000-000014010000}"/>
    <cellStyle name="60% - 强调文字颜色 6" xfId="277" xr:uid="{00000000-0005-0000-0000-000015010000}"/>
    <cellStyle name="Accent1" xfId="278" xr:uid="{00000000-0005-0000-0000-000016010000}"/>
    <cellStyle name="Accent1 2" xfId="279" xr:uid="{00000000-0005-0000-0000-000017010000}"/>
    <cellStyle name="Accent1 3" xfId="280" xr:uid="{00000000-0005-0000-0000-000018010000}"/>
    <cellStyle name="Accent1 4" xfId="281" xr:uid="{00000000-0005-0000-0000-000019010000}"/>
    <cellStyle name="Accent1 5" xfId="282" xr:uid="{00000000-0005-0000-0000-00001A010000}"/>
    <cellStyle name="Accent2" xfId="283" xr:uid="{00000000-0005-0000-0000-00001B010000}"/>
    <cellStyle name="Accent2 2" xfId="284" xr:uid="{00000000-0005-0000-0000-00001C010000}"/>
    <cellStyle name="Accent2 3" xfId="285" xr:uid="{00000000-0005-0000-0000-00001D010000}"/>
    <cellStyle name="Accent2 4" xfId="286" xr:uid="{00000000-0005-0000-0000-00001E010000}"/>
    <cellStyle name="Accent2 5" xfId="287" xr:uid="{00000000-0005-0000-0000-00001F010000}"/>
    <cellStyle name="Accent3" xfId="288" xr:uid="{00000000-0005-0000-0000-000020010000}"/>
    <cellStyle name="Accent3 2" xfId="289" xr:uid="{00000000-0005-0000-0000-000021010000}"/>
    <cellStyle name="Accent3 3" xfId="290" xr:uid="{00000000-0005-0000-0000-000022010000}"/>
    <cellStyle name="Accent3 4" xfId="291" xr:uid="{00000000-0005-0000-0000-000023010000}"/>
    <cellStyle name="Accent3 5" xfId="292" xr:uid="{00000000-0005-0000-0000-000024010000}"/>
    <cellStyle name="Accent4" xfId="293" xr:uid="{00000000-0005-0000-0000-000025010000}"/>
    <cellStyle name="Accent4 2" xfId="294" xr:uid="{00000000-0005-0000-0000-000026010000}"/>
    <cellStyle name="Accent4 3" xfId="295" xr:uid="{00000000-0005-0000-0000-000027010000}"/>
    <cellStyle name="Accent4 4" xfId="296" xr:uid="{00000000-0005-0000-0000-000028010000}"/>
    <cellStyle name="Accent4 5" xfId="297" xr:uid="{00000000-0005-0000-0000-000029010000}"/>
    <cellStyle name="Accent5" xfId="298" xr:uid="{00000000-0005-0000-0000-00002A010000}"/>
    <cellStyle name="Accent5 2" xfId="299" xr:uid="{00000000-0005-0000-0000-00002B010000}"/>
    <cellStyle name="Accent5 3" xfId="300" xr:uid="{00000000-0005-0000-0000-00002C010000}"/>
    <cellStyle name="Accent5 4" xfId="301" xr:uid="{00000000-0005-0000-0000-00002D010000}"/>
    <cellStyle name="Accent5 5" xfId="302" xr:uid="{00000000-0005-0000-0000-00002E010000}"/>
    <cellStyle name="Accent6" xfId="303" xr:uid="{00000000-0005-0000-0000-00002F010000}"/>
    <cellStyle name="Accent6 2" xfId="304" xr:uid="{00000000-0005-0000-0000-000030010000}"/>
    <cellStyle name="Accent6 3" xfId="305" xr:uid="{00000000-0005-0000-0000-000031010000}"/>
    <cellStyle name="Accent6 4" xfId="306" xr:uid="{00000000-0005-0000-0000-000032010000}"/>
    <cellStyle name="Accent6 5" xfId="307" xr:uid="{00000000-0005-0000-0000-000033010000}"/>
    <cellStyle name="Bad" xfId="308" xr:uid="{00000000-0005-0000-0000-000034010000}"/>
    <cellStyle name="Bad 2" xfId="309" xr:uid="{00000000-0005-0000-0000-000035010000}"/>
    <cellStyle name="Bad 3" xfId="310" xr:uid="{00000000-0005-0000-0000-000036010000}"/>
    <cellStyle name="Bad 4" xfId="311" xr:uid="{00000000-0005-0000-0000-000037010000}"/>
    <cellStyle name="Bad 5" xfId="312" xr:uid="{00000000-0005-0000-0000-000038010000}"/>
    <cellStyle name="Buena 2" xfId="313" xr:uid="{00000000-0005-0000-0000-000039010000}"/>
    <cellStyle name="Buena 2 2" xfId="314" xr:uid="{00000000-0005-0000-0000-00003A010000}"/>
    <cellStyle name="Buena 2 2 2" xfId="315" xr:uid="{00000000-0005-0000-0000-00003B010000}"/>
    <cellStyle name="Buena 2 2 2 2" xfId="316" xr:uid="{00000000-0005-0000-0000-00003C010000}"/>
    <cellStyle name="Buena 2 2 2 2 2" xfId="317" xr:uid="{00000000-0005-0000-0000-00003D010000}"/>
    <cellStyle name="Buena 2 2 3" xfId="318" xr:uid="{00000000-0005-0000-0000-00003E010000}"/>
    <cellStyle name="Buena 2 2 4" xfId="319" xr:uid="{00000000-0005-0000-0000-00003F010000}"/>
    <cellStyle name="Buena 2 3" xfId="320" xr:uid="{00000000-0005-0000-0000-000040010000}"/>
    <cellStyle name="Buena 2 4" xfId="321" xr:uid="{00000000-0005-0000-0000-000041010000}"/>
    <cellStyle name="Buena 3" xfId="322" xr:uid="{00000000-0005-0000-0000-000042010000}"/>
    <cellStyle name="Buena 4" xfId="323" xr:uid="{00000000-0005-0000-0000-000043010000}"/>
    <cellStyle name="Buena 5" xfId="324" xr:uid="{00000000-0005-0000-0000-000044010000}"/>
    <cellStyle name="Buena 6" xfId="325" xr:uid="{00000000-0005-0000-0000-000045010000}"/>
    <cellStyle name="Buena 7" xfId="326" xr:uid="{00000000-0005-0000-0000-000046010000}"/>
    <cellStyle name="Buena 8" xfId="327" xr:uid="{00000000-0005-0000-0000-000047010000}"/>
    <cellStyle name="Buena 9" xfId="328" xr:uid="{00000000-0005-0000-0000-000048010000}"/>
    <cellStyle name="Calculation" xfId="329" xr:uid="{00000000-0005-0000-0000-000049010000}"/>
    <cellStyle name="Calculation 2" xfId="330" xr:uid="{00000000-0005-0000-0000-00004A010000}"/>
    <cellStyle name="Calculation 3" xfId="331" xr:uid="{00000000-0005-0000-0000-00004B010000}"/>
    <cellStyle name="Calculation 4" xfId="332" xr:uid="{00000000-0005-0000-0000-00004C010000}"/>
    <cellStyle name="Calculation 5" xfId="333" xr:uid="{00000000-0005-0000-0000-00004D010000}"/>
    <cellStyle name="Cálculo 2" xfId="334" xr:uid="{00000000-0005-0000-0000-00004E010000}"/>
    <cellStyle name="Cálculo 2 2" xfId="335" xr:uid="{00000000-0005-0000-0000-00004F010000}"/>
    <cellStyle name="Cálculo 3" xfId="336" xr:uid="{00000000-0005-0000-0000-000050010000}"/>
    <cellStyle name="Cálculo 4" xfId="337" xr:uid="{00000000-0005-0000-0000-000051010000}"/>
    <cellStyle name="Cálculo 5" xfId="338" xr:uid="{00000000-0005-0000-0000-000052010000}"/>
    <cellStyle name="Cálculo 6" xfId="339" xr:uid="{00000000-0005-0000-0000-000053010000}"/>
    <cellStyle name="Cálculo 7" xfId="340" xr:uid="{00000000-0005-0000-0000-000054010000}"/>
    <cellStyle name="Cálculo 8" xfId="341" xr:uid="{00000000-0005-0000-0000-000055010000}"/>
    <cellStyle name="Celda de comprobación 2" xfId="342" xr:uid="{00000000-0005-0000-0000-000056010000}"/>
    <cellStyle name="Celda de comprobación 2 2" xfId="343" xr:uid="{00000000-0005-0000-0000-000057010000}"/>
    <cellStyle name="Celda de comprobación 2 2 2" xfId="344" xr:uid="{00000000-0005-0000-0000-000058010000}"/>
    <cellStyle name="Celda de comprobación 2 2 2 2" xfId="345" xr:uid="{00000000-0005-0000-0000-000059010000}"/>
    <cellStyle name="Celda de comprobación 2 2 2 2 2" xfId="346" xr:uid="{00000000-0005-0000-0000-00005A010000}"/>
    <cellStyle name="Celda de comprobación 2 2 3" xfId="347" xr:uid="{00000000-0005-0000-0000-00005B010000}"/>
    <cellStyle name="Celda de comprobación 2 2 4" xfId="348" xr:uid="{00000000-0005-0000-0000-00005C010000}"/>
    <cellStyle name="Celda de comprobación 2 3" xfId="349" xr:uid="{00000000-0005-0000-0000-00005D010000}"/>
    <cellStyle name="Celda de comprobación 2 4" xfId="350" xr:uid="{00000000-0005-0000-0000-00005E010000}"/>
    <cellStyle name="Celda de comprobación 3" xfId="351" xr:uid="{00000000-0005-0000-0000-00005F010000}"/>
    <cellStyle name="Celda de comprobación 4" xfId="352" xr:uid="{00000000-0005-0000-0000-000060010000}"/>
    <cellStyle name="Celda de comprobación 5" xfId="353" xr:uid="{00000000-0005-0000-0000-000061010000}"/>
    <cellStyle name="Celda de comprobación 6" xfId="354" xr:uid="{00000000-0005-0000-0000-000062010000}"/>
    <cellStyle name="Celda de comprobación 7" xfId="355" xr:uid="{00000000-0005-0000-0000-000063010000}"/>
    <cellStyle name="Celda de comprobación 8" xfId="356" xr:uid="{00000000-0005-0000-0000-000064010000}"/>
    <cellStyle name="Celda de comprobación 9" xfId="357" xr:uid="{00000000-0005-0000-0000-000065010000}"/>
    <cellStyle name="Celda vinculada 2" xfId="358" xr:uid="{00000000-0005-0000-0000-000066010000}"/>
    <cellStyle name="Celda vinculada 2 2" xfId="359" xr:uid="{00000000-0005-0000-0000-000067010000}"/>
    <cellStyle name="Celda vinculada 2 2 2" xfId="360" xr:uid="{00000000-0005-0000-0000-000068010000}"/>
    <cellStyle name="Celda vinculada 2 2 2 2" xfId="361" xr:uid="{00000000-0005-0000-0000-000069010000}"/>
    <cellStyle name="Celda vinculada 2 2 2 2 2" xfId="362" xr:uid="{00000000-0005-0000-0000-00006A010000}"/>
    <cellStyle name="Celda vinculada 2 2 3" xfId="363" xr:uid="{00000000-0005-0000-0000-00006B010000}"/>
    <cellStyle name="Celda vinculada 2 2 4" xfId="364" xr:uid="{00000000-0005-0000-0000-00006C010000}"/>
    <cellStyle name="Celda vinculada 2 3" xfId="365" xr:uid="{00000000-0005-0000-0000-00006D010000}"/>
    <cellStyle name="Celda vinculada 2 4" xfId="366" xr:uid="{00000000-0005-0000-0000-00006E010000}"/>
    <cellStyle name="Celda vinculada 3" xfId="367" xr:uid="{00000000-0005-0000-0000-00006F010000}"/>
    <cellStyle name="Celda vinculada 4" xfId="368" xr:uid="{00000000-0005-0000-0000-000070010000}"/>
    <cellStyle name="Celda vinculada 5" xfId="369" xr:uid="{00000000-0005-0000-0000-000071010000}"/>
    <cellStyle name="Celda vinculada 6" xfId="370" xr:uid="{00000000-0005-0000-0000-000072010000}"/>
    <cellStyle name="Celda vinculada 7" xfId="371" xr:uid="{00000000-0005-0000-0000-000073010000}"/>
    <cellStyle name="Celda vinculada 8" xfId="372" xr:uid="{00000000-0005-0000-0000-000074010000}"/>
    <cellStyle name="Celda vinculada 9" xfId="373" xr:uid="{00000000-0005-0000-0000-000075010000}"/>
    <cellStyle name="Check Cell" xfId="374" xr:uid="{00000000-0005-0000-0000-000076010000}"/>
    <cellStyle name="Check Cell 2" xfId="375" xr:uid="{00000000-0005-0000-0000-000077010000}"/>
    <cellStyle name="Check Cell 3" xfId="376" xr:uid="{00000000-0005-0000-0000-000078010000}"/>
    <cellStyle name="Check Cell 4" xfId="377" xr:uid="{00000000-0005-0000-0000-000079010000}"/>
    <cellStyle name="Check Cell 5" xfId="378" xr:uid="{00000000-0005-0000-0000-00007A010000}"/>
    <cellStyle name="Coma 2" xfId="379" xr:uid="{00000000-0005-0000-0000-00007B010000}"/>
    <cellStyle name="Encabezado 4 2" xfId="380" xr:uid="{00000000-0005-0000-0000-00007C010000}"/>
    <cellStyle name="Encabezado 4 2 2" xfId="381" xr:uid="{00000000-0005-0000-0000-00007D010000}"/>
    <cellStyle name="Encabezado 4 2 2 2" xfId="382" xr:uid="{00000000-0005-0000-0000-00007E010000}"/>
    <cellStyle name="Encabezado 4 2 2 2 2" xfId="383" xr:uid="{00000000-0005-0000-0000-00007F010000}"/>
    <cellStyle name="Encabezado 4 2 2 2 2 2" xfId="384" xr:uid="{00000000-0005-0000-0000-000080010000}"/>
    <cellStyle name="Encabezado 4 2 2 3" xfId="385" xr:uid="{00000000-0005-0000-0000-000081010000}"/>
    <cellStyle name="Encabezado 4 2 2 4" xfId="386" xr:uid="{00000000-0005-0000-0000-000082010000}"/>
    <cellStyle name="Encabezado 4 2 3" xfId="387" xr:uid="{00000000-0005-0000-0000-000083010000}"/>
    <cellStyle name="Encabezado 4 2 4" xfId="388" xr:uid="{00000000-0005-0000-0000-000084010000}"/>
    <cellStyle name="Encabezado 4 3" xfId="389" xr:uid="{00000000-0005-0000-0000-000085010000}"/>
    <cellStyle name="Encabezado 4 4" xfId="390" xr:uid="{00000000-0005-0000-0000-000086010000}"/>
    <cellStyle name="Encabezado 4 5" xfId="391" xr:uid="{00000000-0005-0000-0000-000087010000}"/>
    <cellStyle name="Encabezado 4 6" xfId="392" xr:uid="{00000000-0005-0000-0000-000088010000}"/>
    <cellStyle name="Encabezado 4 7" xfId="393" xr:uid="{00000000-0005-0000-0000-000089010000}"/>
    <cellStyle name="Encabezado 4 8" xfId="394" xr:uid="{00000000-0005-0000-0000-00008A010000}"/>
    <cellStyle name="Encabezado 4 9" xfId="395" xr:uid="{00000000-0005-0000-0000-00008B010000}"/>
    <cellStyle name="Énfasis1 2" xfId="396" xr:uid="{00000000-0005-0000-0000-00008C010000}"/>
    <cellStyle name="Énfasis1 2 2" xfId="397" xr:uid="{00000000-0005-0000-0000-00008D010000}"/>
    <cellStyle name="Énfasis1 3" xfId="398" xr:uid="{00000000-0005-0000-0000-00008E010000}"/>
    <cellStyle name="Énfasis1 4" xfId="399" xr:uid="{00000000-0005-0000-0000-00008F010000}"/>
    <cellStyle name="Énfasis1 5" xfId="400" xr:uid="{00000000-0005-0000-0000-000090010000}"/>
    <cellStyle name="Énfasis1 6" xfId="401" xr:uid="{00000000-0005-0000-0000-000091010000}"/>
    <cellStyle name="Énfasis1 7" xfId="402" xr:uid="{00000000-0005-0000-0000-000092010000}"/>
    <cellStyle name="Énfasis1 8" xfId="403" xr:uid="{00000000-0005-0000-0000-000093010000}"/>
    <cellStyle name="Énfasis2 2" xfId="404" xr:uid="{00000000-0005-0000-0000-000094010000}"/>
    <cellStyle name="Énfasis2 2 2" xfId="405" xr:uid="{00000000-0005-0000-0000-000095010000}"/>
    <cellStyle name="Énfasis2 3" xfId="406" xr:uid="{00000000-0005-0000-0000-000096010000}"/>
    <cellStyle name="Énfasis2 4" xfId="407" xr:uid="{00000000-0005-0000-0000-000097010000}"/>
    <cellStyle name="Énfasis2 5" xfId="408" xr:uid="{00000000-0005-0000-0000-000098010000}"/>
    <cellStyle name="Énfasis2 6" xfId="409" xr:uid="{00000000-0005-0000-0000-000099010000}"/>
    <cellStyle name="Énfasis2 7" xfId="410" xr:uid="{00000000-0005-0000-0000-00009A010000}"/>
    <cellStyle name="Énfasis2 8" xfId="411" xr:uid="{00000000-0005-0000-0000-00009B010000}"/>
    <cellStyle name="Énfasis3 2" xfId="412" xr:uid="{00000000-0005-0000-0000-00009C010000}"/>
    <cellStyle name="Énfasis3 2 2" xfId="413" xr:uid="{00000000-0005-0000-0000-00009D010000}"/>
    <cellStyle name="Énfasis3 3" xfId="414" xr:uid="{00000000-0005-0000-0000-00009E010000}"/>
    <cellStyle name="Énfasis3 4" xfId="415" xr:uid="{00000000-0005-0000-0000-00009F010000}"/>
    <cellStyle name="Énfasis3 5" xfId="416" xr:uid="{00000000-0005-0000-0000-0000A0010000}"/>
    <cellStyle name="Énfasis3 6" xfId="417" xr:uid="{00000000-0005-0000-0000-0000A1010000}"/>
    <cellStyle name="Énfasis3 7" xfId="418" xr:uid="{00000000-0005-0000-0000-0000A2010000}"/>
    <cellStyle name="Énfasis3 8" xfId="419" xr:uid="{00000000-0005-0000-0000-0000A3010000}"/>
    <cellStyle name="Énfasis4 2" xfId="420" xr:uid="{00000000-0005-0000-0000-0000A4010000}"/>
    <cellStyle name="Énfasis4 2 2" xfId="421" xr:uid="{00000000-0005-0000-0000-0000A5010000}"/>
    <cellStyle name="Énfasis4 3" xfId="422" xr:uid="{00000000-0005-0000-0000-0000A6010000}"/>
    <cellStyle name="Énfasis4 4" xfId="423" xr:uid="{00000000-0005-0000-0000-0000A7010000}"/>
    <cellStyle name="Énfasis4 5" xfId="424" xr:uid="{00000000-0005-0000-0000-0000A8010000}"/>
    <cellStyle name="Énfasis4 6" xfId="425" xr:uid="{00000000-0005-0000-0000-0000A9010000}"/>
    <cellStyle name="Énfasis4 7" xfId="426" xr:uid="{00000000-0005-0000-0000-0000AA010000}"/>
    <cellStyle name="Énfasis4 8" xfId="427" xr:uid="{00000000-0005-0000-0000-0000AB010000}"/>
    <cellStyle name="Énfasis5 2" xfId="428" xr:uid="{00000000-0005-0000-0000-0000AC010000}"/>
    <cellStyle name="Énfasis5 2 2" xfId="429" xr:uid="{00000000-0005-0000-0000-0000AD010000}"/>
    <cellStyle name="Énfasis5 3" xfId="430" xr:uid="{00000000-0005-0000-0000-0000AE010000}"/>
    <cellStyle name="Énfasis5 4" xfId="431" xr:uid="{00000000-0005-0000-0000-0000AF010000}"/>
    <cellStyle name="Énfasis5 5" xfId="432" xr:uid="{00000000-0005-0000-0000-0000B0010000}"/>
    <cellStyle name="Énfasis5 6" xfId="433" xr:uid="{00000000-0005-0000-0000-0000B1010000}"/>
    <cellStyle name="Énfasis5 7" xfId="434" xr:uid="{00000000-0005-0000-0000-0000B2010000}"/>
    <cellStyle name="Énfasis5 8" xfId="435" xr:uid="{00000000-0005-0000-0000-0000B3010000}"/>
    <cellStyle name="Énfasis6 2" xfId="436" xr:uid="{00000000-0005-0000-0000-0000B4010000}"/>
    <cellStyle name="Énfasis6 2 2" xfId="437" xr:uid="{00000000-0005-0000-0000-0000B5010000}"/>
    <cellStyle name="Énfasis6 3" xfId="438" xr:uid="{00000000-0005-0000-0000-0000B6010000}"/>
    <cellStyle name="Énfasis6 4" xfId="439" xr:uid="{00000000-0005-0000-0000-0000B7010000}"/>
    <cellStyle name="Énfasis6 5" xfId="440" xr:uid="{00000000-0005-0000-0000-0000B8010000}"/>
    <cellStyle name="Énfasis6 6" xfId="441" xr:uid="{00000000-0005-0000-0000-0000B9010000}"/>
    <cellStyle name="Énfasis6 7" xfId="442" xr:uid="{00000000-0005-0000-0000-0000BA010000}"/>
    <cellStyle name="Énfasis6 8" xfId="443" xr:uid="{00000000-0005-0000-0000-0000BB010000}"/>
    <cellStyle name="Entrada 2" xfId="444" xr:uid="{00000000-0005-0000-0000-0000BC010000}"/>
    <cellStyle name="Entrada 2 2" xfId="445" xr:uid="{00000000-0005-0000-0000-0000BD010000}"/>
    <cellStyle name="Entrada 2 2 2" xfId="446" xr:uid="{00000000-0005-0000-0000-0000BE010000}"/>
    <cellStyle name="Entrada 2 2 2 2" xfId="447" xr:uid="{00000000-0005-0000-0000-0000BF010000}"/>
    <cellStyle name="Entrada 2 2 2 2 2" xfId="448" xr:uid="{00000000-0005-0000-0000-0000C0010000}"/>
    <cellStyle name="Entrada 2 2 3" xfId="449" xr:uid="{00000000-0005-0000-0000-0000C1010000}"/>
    <cellStyle name="Entrada 2 2 4" xfId="450" xr:uid="{00000000-0005-0000-0000-0000C2010000}"/>
    <cellStyle name="Entrada 2 3" xfId="451" xr:uid="{00000000-0005-0000-0000-0000C3010000}"/>
    <cellStyle name="Entrada 2 4" xfId="452" xr:uid="{00000000-0005-0000-0000-0000C4010000}"/>
    <cellStyle name="Entrada 3" xfId="453" xr:uid="{00000000-0005-0000-0000-0000C5010000}"/>
    <cellStyle name="Entrada 4" xfId="454" xr:uid="{00000000-0005-0000-0000-0000C6010000}"/>
    <cellStyle name="Entrada 5" xfId="455" xr:uid="{00000000-0005-0000-0000-0000C7010000}"/>
    <cellStyle name="Entrada 6" xfId="456" xr:uid="{00000000-0005-0000-0000-0000C8010000}"/>
    <cellStyle name="Entrada 7" xfId="457" xr:uid="{00000000-0005-0000-0000-0000C9010000}"/>
    <cellStyle name="Entrada 8" xfId="458" xr:uid="{00000000-0005-0000-0000-0000CA010000}"/>
    <cellStyle name="Entrada 9" xfId="459" xr:uid="{00000000-0005-0000-0000-0000CB010000}"/>
    <cellStyle name="Estilo 1" xfId="460" xr:uid="{00000000-0005-0000-0000-0000CC010000}"/>
    <cellStyle name="Estilo 1 10" xfId="461" xr:uid="{00000000-0005-0000-0000-0000CD010000}"/>
    <cellStyle name="Estilo 1 10 2" xfId="462" xr:uid="{00000000-0005-0000-0000-0000CE010000}"/>
    <cellStyle name="Estilo 1 10 3" xfId="463" xr:uid="{00000000-0005-0000-0000-0000CF010000}"/>
    <cellStyle name="Estilo 1 10_Enlaces" xfId="464" xr:uid="{00000000-0005-0000-0000-0000D0010000}"/>
    <cellStyle name="Estilo 1 100" xfId="465" xr:uid="{00000000-0005-0000-0000-0000D1010000}"/>
    <cellStyle name="Estilo 1 100 2" xfId="466" xr:uid="{00000000-0005-0000-0000-0000D2010000}"/>
    <cellStyle name="Estilo 1 101" xfId="467" xr:uid="{00000000-0005-0000-0000-0000D3010000}"/>
    <cellStyle name="Estilo 1 101 2" xfId="468" xr:uid="{00000000-0005-0000-0000-0000D4010000}"/>
    <cellStyle name="Estilo 1 102" xfId="469" xr:uid="{00000000-0005-0000-0000-0000D5010000}"/>
    <cellStyle name="Estilo 1 102 2" xfId="470" xr:uid="{00000000-0005-0000-0000-0000D6010000}"/>
    <cellStyle name="Estilo 1 103" xfId="471" xr:uid="{00000000-0005-0000-0000-0000D7010000}"/>
    <cellStyle name="Estilo 1 103 2" xfId="472" xr:uid="{00000000-0005-0000-0000-0000D8010000}"/>
    <cellStyle name="Estilo 1 104" xfId="473" xr:uid="{00000000-0005-0000-0000-0000D9010000}"/>
    <cellStyle name="Estilo 1 104 2" xfId="474" xr:uid="{00000000-0005-0000-0000-0000DA010000}"/>
    <cellStyle name="Estilo 1 105" xfId="475" xr:uid="{00000000-0005-0000-0000-0000DB010000}"/>
    <cellStyle name="Estilo 1 105 2" xfId="476" xr:uid="{00000000-0005-0000-0000-0000DC010000}"/>
    <cellStyle name="Estilo 1 106" xfId="477" xr:uid="{00000000-0005-0000-0000-0000DD010000}"/>
    <cellStyle name="Estilo 1 106 2" xfId="478" xr:uid="{00000000-0005-0000-0000-0000DE010000}"/>
    <cellStyle name="Estilo 1 107" xfId="479" xr:uid="{00000000-0005-0000-0000-0000DF010000}"/>
    <cellStyle name="Estilo 1 107 2" xfId="480" xr:uid="{00000000-0005-0000-0000-0000E0010000}"/>
    <cellStyle name="Estilo 1 108" xfId="481" xr:uid="{00000000-0005-0000-0000-0000E1010000}"/>
    <cellStyle name="Estilo 1 108 2" xfId="482" xr:uid="{00000000-0005-0000-0000-0000E2010000}"/>
    <cellStyle name="Estilo 1 109" xfId="483" xr:uid="{00000000-0005-0000-0000-0000E3010000}"/>
    <cellStyle name="Estilo 1 109 2" xfId="484" xr:uid="{00000000-0005-0000-0000-0000E4010000}"/>
    <cellStyle name="Estilo 1 11" xfId="485" xr:uid="{00000000-0005-0000-0000-0000E5010000}"/>
    <cellStyle name="Estilo 1 11 2" xfId="486" xr:uid="{00000000-0005-0000-0000-0000E6010000}"/>
    <cellStyle name="Estilo 1 11 3" xfId="487" xr:uid="{00000000-0005-0000-0000-0000E7010000}"/>
    <cellStyle name="Estilo 1 11_Enlaces" xfId="488" xr:uid="{00000000-0005-0000-0000-0000E8010000}"/>
    <cellStyle name="Estilo 1 110" xfId="489" xr:uid="{00000000-0005-0000-0000-0000E9010000}"/>
    <cellStyle name="Estilo 1 110 2" xfId="490" xr:uid="{00000000-0005-0000-0000-0000EA010000}"/>
    <cellStyle name="Estilo 1 111" xfId="491" xr:uid="{00000000-0005-0000-0000-0000EB010000}"/>
    <cellStyle name="Estilo 1 111 2" xfId="492" xr:uid="{00000000-0005-0000-0000-0000EC010000}"/>
    <cellStyle name="Estilo 1 112" xfId="493" xr:uid="{00000000-0005-0000-0000-0000ED010000}"/>
    <cellStyle name="Estilo 1 112 2" xfId="494" xr:uid="{00000000-0005-0000-0000-0000EE010000}"/>
    <cellStyle name="Estilo 1 113" xfId="495" xr:uid="{00000000-0005-0000-0000-0000EF010000}"/>
    <cellStyle name="Estilo 1 113 2" xfId="496" xr:uid="{00000000-0005-0000-0000-0000F0010000}"/>
    <cellStyle name="Estilo 1 114" xfId="497" xr:uid="{00000000-0005-0000-0000-0000F1010000}"/>
    <cellStyle name="Estilo 1 114 2" xfId="498" xr:uid="{00000000-0005-0000-0000-0000F2010000}"/>
    <cellStyle name="Estilo 1 115" xfId="499" xr:uid="{00000000-0005-0000-0000-0000F3010000}"/>
    <cellStyle name="Estilo 1 115 2" xfId="500" xr:uid="{00000000-0005-0000-0000-0000F4010000}"/>
    <cellStyle name="Estilo 1 116" xfId="501" xr:uid="{00000000-0005-0000-0000-0000F5010000}"/>
    <cellStyle name="Estilo 1 116 2" xfId="502" xr:uid="{00000000-0005-0000-0000-0000F6010000}"/>
    <cellStyle name="Estilo 1 117" xfId="503" xr:uid="{00000000-0005-0000-0000-0000F7010000}"/>
    <cellStyle name="Estilo 1 117 2" xfId="504" xr:uid="{00000000-0005-0000-0000-0000F8010000}"/>
    <cellStyle name="Estilo 1 118" xfId="505" xr:uid="{00000000-0005-0000-0000-0000F9010000}"/>
    <cellStyle name="Estilo 1 118 2" xfId="506" xr:uid="{00000000-0005-0000-0000-0000FA010000}"/>
    <cellStyle name="Estilo 1 119" xfId="507" xr:uid="{00000000-0005-0000-0000-0000FB010000}"/>
    <cellStyle name="Estilo 1 119 2" xfId="508" xr:uid="{00000000-0005-0000-0000-0000FC010000}"/>
    <cellStyle name="Estilo 1 12" xfId="509" xr:uid="{00000000-0005-0000-0000-0000FD010000}"/>
    <cellStyle name="Estilo 1 12 2" xfId="510" xr:uid="{00000000-0005-0000-0000-0000FE010000}"/>
    <cellStyle name="Estilo 1 12 3" xfId="511" xr:uid="{00000000-0005-0000-0000-0000FF010000}"/>
    <cellStyle name="Estilo 1 12_Enlaces" xfId="512" xr:uid="{00000000-0005-0000-0000-000000020000}"/>
    <cellStyle name="Estilo 1 120" xfId="513" xr:uid="{00000000-0005-0000-0000-000001020000}"/>
    <cellStyle name="Estilo 1 120 2" xfId="514" xr:uid="{00000000-0005-0000-0000-000002020000}"/>
    <cellStyle name="Estilo 1 121" xfId="515" xr:uid="{00000000-0005-0000-0000-000003020000}"/>
    <cellStyle name="Estilo 1 121 2" xfId="516" xr:uid="{00000000-0005-0000-0000-000004020000}"/>
    <cellStyle name="Estilo 1 122" xfId="517" xr:uid="{00000000-0005-0000-0000-000005020000}"/>
    <cellStyle name="Estilo 1 122 2" xfId="518" xr:uid="{00000000-0005-0000-0000-000006020000}"/>
    <cellStyle name="Estilo 1 123" xfId="519" xr:uid="{00000000-0005-0000-0000-000007020000}"/>
    <cellStyle name="Estilo 1 123 2" xfId="520" xr:uid="{00000000-0005-0000-0000-000008020000}"/>
    <cellStyle name="Estilo 1 124" xfId="521" xr:uid="{00000000-0005-0000-0000-000009020000}"/>
    <cellStyle name="Estilo 1 124 2" xfId="522" xr:uid="{00000000-0005-0000-0000-00000A020000}"/>
    <cellStyle name="Estilo 1 125" xfId="523" xr:uid="{00000000-0005-0000-0000-00000B020000}"/>
    <cellStyle name="Estilo 1 125 2" xfId="524" xr:uid="{00000000-0005-0000-0000-00000C020000}"/>
    <cellStyle name="Estilo 1 126" xfId="525" xr:uid="{00000000-0005-0000-0000-00000D020000}"/>
    <cellStyle name="Estilo 1 126 2" xfId="526" xr:uid="{00000000-0005-0000-0000-00000E020000}"/>
    <cellStyle name="Estilo 1 127" xfId="527" xr:uid="{00000000-0005-0000-0000-00000F020000}"/>
    <cellStyle name="Estilo 1 127 2" xfId="528" xr:uid="{00000000-0005-0000-0000-000010020000}"/>
    <cellStyle name="Estilo 1 128" xfId="529" xr:uid="{00000000-0005-0000-0000-000011020000}"/>
    <cellStyle name="Estilo 1 128 2" xfId="530" xr:uid="{00000000-0005-0000-0000-000012020000}"/>
    <cellStyle name="Estilo 1 129" xfId="531" xr:uid="{00000000-0005-0000-0000-000013020000}"/>
    <cellStyle name="Estilo 1 129 2" xfId="532" xr:uid="{00000000-0005-0000-0000-000014020000}"/>
    <cellStyle name="Estilo 1 13" xfId="533" xr:uid="{00000000-0005-0000-0000-000015020000}"/>
    <cellStyle name="Estilo 1 13 2" xfId="534" xr:uid="{00000000-0005-0000-0000-000016020000}"/>
    <cellStyle name="Estilo 1 13 3" xfId="535" xr:uid="{00000000-0005-0000-0000-000017020000}"/>
    <cellStyle name="Estilo 1 13_Enlaces" xfId="536" xr:uid="{00000000-0005-0000-0000-000018020000}"/>
    <cellStyle name="Estilo 1 130" xfId="537" xr:uid="{00000000-0005-0000-0000-000019020000}"/>
    <cellStyle name="Estilo 1 130 2" xfId="538" xr:uid="{00000000-0005-0000-0000-00001A020000}"/>
    <cellStyle name="Estilo 1 131" xfId="539" xr:uid="{00000000-0005-0000-0000-00001B020000}"/>
    <cellStyle name="Estilo 1 131 2" xfId="540" xr:uid="{00000000-0005-0000-0000-00001C020000}"/>
    <cellStyle name="Estilo 1 132" xfId="541" xr:uid="{00000000-0005-0000-0000-00001D020000}"/>
    <cellStyle name="Estilo 1 132 2" xfId="542" xr:uid="{00000000-0005-0000-0000-00001E020000}"/>
    <cellStyle name="Estilo 1 133" xfId="543" xr:uid="{00000000-0005-0000-0000-00001F020000}"/>
    <cellStyle name="Estilo 1 133 2" xfId="544" xr:uid="{00000000-0005-0000-0000-000020020000}"/>
    <cellStyle name="Estilo 1 134" xfId="545" xr:uid="{00000000-0005-0000-0000-000021020000}"/>
    <cellStyle name="Estilo 1 134 2" xfId="546" xr:uid="{00000000-0005-0000-0000-000022020000}"/>
    <cellStyle name="Estilo 1 135" xfId="547" xr:uid="{00000000-0005-0000-0000-000023020000}"/>
    <cellStyle name="Estilo 1 135 2" xfId="548" xr:uid="{00000000-0005-0000-0000-000024020000}"/>
    <cellStyle name="Estilo 1 136" xfId="549" xr:uid="{00000000-0005-0000-0000-000025020000}"/>
    <cellStyle name="Estilo 1 136 2" xfId="550" xr:uid="{00000000-0005-0000-0000-000026020000}"/>
    <cellStyle name="Estilo 1 137" xfId="551" xr:uid="{00000000-0005-0000-0000-000027020000}"/>
    <cellStyle name="Estilo 1 137 2" xfId="552" xr:uid="{00000000-0005-0000-0000-000028020000}"/>
    <cellStyle name="Estilo 1 138" xfId="553" xr:uid="{00000000-0005-0000-0000-000029020000}"/>
    <cellStyle name="Estilo 1 138 2" xfId="554" xr:uid="{00000000-0005-0000-0000-00002A020000}"/>
    <cellStyle name="Estilo 1 139" xfId="555" xr:uid="{00000000-0005-0000-0000-00002B020000}"/>
    <cellStyle name="Estilo 1 139 2" xfId="556" xr:uid="{00000000-0005-0000-0000-00002C020000}"/>
    <cellStyle name="Estilo 1 14" xfId="557" xr:uid="{00000000-0005-0000-0000-00002D020000}"/>
    <cellStyle name="Estilo 1 14 2" xfId="558" xr:uid="{00000000-0005-0000-0000-00002E020000}"/>
    <cellStyle name="Estilo 1 14 3" xfId="559" xr:uid="{00000000-0005-0000-0000-00002F020000}"/>
    <cellStyle name="Estilo 1 14_Enlaces" xfId="560" xr:uid="{00000000-0005-0000-0000-000030020000}"/>
    <cellStyle name="Estilo 1 140" xfId="561" xr:uid="{00000000-0005-0000-0000-000031020000}"/>
    <cellStyle name="Estilo 1 140 2" xfId="562" xr:uid="{00000000-0005-0000-0000-000032020000}"/>
    <cellStyle name="Estilo 1 141" xfId="563" xr:uid="{00000000-0005-0000-0000-000033020000}"/>
    <cellStyle name="Estilo 1 141 2" xfId="564" xr:uid="{00000000-0005-0000-0000-000034020000}"/>
    <cellStyle name="Estilo 1 142" xfId="565" xr:uid="{00000000-0005-0000-0000-000035020000}"/>
    <cellStyle name="Estilo 1 142 2" xfId="566" xr:uid="{00000000-0005-0000-0000-000036020000}"/>
    <cellStyle name="Estilo 1 143" xfId="567" xr:uid="{00000000-0005-0000-0000-000037020000}"/>
    <cellStyle name="Estilo 1 143 2" xfId="568" xr:uid="{00000000-0005-0000-0000-000038020000}"/>
    <cellStyle name="Estilo 1 144" xfId="569" xr:uid="{00000000-0005-0000-0000-000039020000}"/>
    <cellStyle name="Estilo 1 144 2" xfId="570" xr:uid="{00000000-0005-0000-0000-00003A020000}"/>
    <cellStyle name="Estilo 1 145" xfId="571" xr:uid="{00000000-0005-0000-0000-00003B020000}"/>
    <cellStyle name="Estilo 1 145 2" xfId="572" xr:uid="{00000000-0005-0000-0000-00003C020000}"/>
    <cellStyle name="Estilo 1 146" xfId="573" xr:uid="{00000000-0005-0000-0000-00003D020000}"/>
    <cellStyle name="Estilo 1 146 2" xfId="574" xr:uid="{00000000-0005-0000-0000-00003E020000}"/>
    <cellStyle name="Estilo 1 147" xfId="575" xr:uid="{00000000-0005-0000-0000-00003F020000}"/>
    <cellStyle name="Estilo 1 147 2" xfId="576" xr:uid="{00000000-0005-0000-0000-000040020000}"/>
    <cellStyle name="Estilo 1 148" xfId="577" xr:uid="{00000000-0005-0000-0000-000041020000}"/>
    <cellStyle name="Estilo 1 148 2" xfId="578" xr:uid="{00000000-0005-0000-0000-000042020000}"/>
    <cellStyle name="Estilo 1 149" xfId="579" xr:uid="{00000000-0005-0000-0000-000043020000}"/>
    <cellStyle name="Estilo 1 149 2" xfId="580" xr:uid="{00000000-0005-0000-0000-000044020000}"/>
    <cellStyle name="Estilo 1 15" xfId="581" xr:uid="{00000000-0005-0000-0000-000045020000}"/>
    <cellStyle name="Estilo 1 15 2" xfId="582" xr:uid="{00000000-0005-0000-0000-000046020000}"/>
    <cellStyle name="Estilo 1 15 3" xfId="583" xr:uid="{00000000-0005-0000-0000-000047020000}"/>
    <cellStyle name="Estilo 1 15_Enlaces" xfId="584" xr:uid="{00000000-0005-0000-0000-000048020000}"/>
    <cellStyle name="Estilo 1 150" xfId="585" xr:uid="{00000000-0005-0000-0000-000049020000}"/>
    <cellStyle name="Estilo 1 150 2" xfId="586" xr:uid="{00000000-0005-0000-0000-00004A020000}"/>
    <cellStyle name="Estilo 1 151" xfId="587" xr:uid="{00000000-0005-0000-0000-00004B020000}"/>
    <cellStyle name="Estilo 1 151 2" xfId="588" xr:uid="{00000000-0005-0000-0000-00004C020000}"/>
    <cellStyle name="Estilo 1 152" xfId="589" xr:uid="{00000000-0005-0000-0000-00004D020000}"/>
    <cellStyle name="Estilo 1 152 2" xfId="590" xr:uid="{00000000-0005-0000-0000-00004E020000}"/>
    <cellStyle name="Estilo 1 153" xfId="591" xr:uid="{00000000-0005-0000-0000-00004F020000}"/>
    <cellStyle name="Estilo 1 153 2" xfId="592" xr:uid="{00000000-0005-0000-0000-000050020000}"/>
    <cellStyle name="Estilo 1 154" xfId="593" xr:uid="{00000000-0005-0000-0000-000051020000}"/>
    <cellStyle name="Estilo 1 154 2" xfId="594" xr:uid="{00000000-0005-0000-0000-000052020000}"/>
    <cellStyle name="Estilo 1 155" xfId="595" xr:uid="{00000000-0005-0000-0000-000053020000}"/>
    <cellStyle name="Estilo 1 155 2" xfId="596" xr:uid="{00000000-0005-0000-0000-000054020000}"/>
    <cellStyle name="Estilo 1 156" xfId="597" xr:uid="{00000000-0005-0000-0000-000055020000}"/>
    <cellStyle name="Estilo 1 156 2" xfId="598" xr:uid="{00000000-0005-0000-0000-000056020000}"/>
    <cellStyle name="Estilo 1 157" xfId="599" xr:uid="{00000000-0005-0000-0000-000057020000}"/>
    <cellStyle name="Estilo 1 157 2" xfId="600" xr:uid="{00000000-0005-0000-0000-000058020000}"/>
    <cellStyle name="Estilo 1 158" xfId="601" xr:uid="{00000000-0005-0000-0000-000059020000}"/>
    <cellStyle name="Estilo 1 158 2" xfId="602" xr:uid="{00000000-0005-0000-0000-00005A020000}"/>
    <cellStyle name="Estilo 1 159" xfId="603" xr:uid="{00000000-0005-0000-0000-00005B020000}"/>
    <cellStyle name="Estilo 1 159 2" xfId="604" xr:uid="{00000000-0005-0000-0000-00005C020000}"/>
    <cellStyle name="Estilo 1 16" xfId="605" xr:uid="{00000000-0005-0000-0000-00005D020000}"/>
    <cellStyle name="Estilo 1 16 2" xfId="606" xr:uid="{00000000-0005-0000-0000-00005E020000}"/>
    <cellStyle name="Estilo 1 16 3" xfId="607" xr:uid="{00000000-0005-0000-0000-00005F020000}"/>
    <cellStyle name="Estilo 1 16_Enlaces" xfId="608" xr:uid="{00000000-0005-0000-0000-000060020000}"/>
    <cellStyle name="Estilo 1 160" xfId="609" xr:uid="{00000000-0005-0000-0000-000061020000}"/>
    <cellStyle name="Estilo 1 160 2" xfId="610" xr:uid="{00000000-0005-0000-0000-000062020000}"/>
    <cellStyle name="Estilo 1 161" xfId="611" xr:uid="{00000000-0005-0000-0000-000063020000}"/>
    <cellStyle name="Estilo 1 161 2" xfId="612" xr:uid="{00000000-0005-0000-0000-000064020000}"/>
    <cellStyle name="Estilo 1 162" xfId="613" xr:uid="{00000000-0005-0000-0000-000065020000}"/>
    <cellStyle name="Estilo 1 162 2" xfId="614" xr:uid="{00000000-0005-0000-0000-000066020000}"/>
    <cellStyle name="Estilo 1 163" xfId="615" xr:uid="{00000000-0005-0000-0000-000067020000}"/>
    <cellStyle name="Estilo 1 163 2" xfId="616" xr:uid="{00000000-0005-0000-0000-000068020000}"/>
    <cellStyle name="Estilo 1 164" xfId="617" xr:uid="{00000000-0005-0000-0000-000069020000}"/>
    <cellStyle name="Estilo 1 164 2" xfId="618" xr:uid="{00000000-0005-0000-0000-00006A020000}"/>
    <cellStyle name="Estilo 1 165" xfId="619" xr:uid="{00000000-0005-0000-0000-00006B020000}"/>
    <cellStyle name="Estilo 1 165 2" xfId="620" xr:uid="{00000000-0005-0000-0000-00006C020000}"/>
    <cellStyle name="Estilo 1 166" xfId="621" xr:uid="{00000000-0005-0000-0000-00006D020000}"/>
    <cellStyle name="Estilo 1 166 2" xfId="622" xr:uid="{00000000-0005-0000-0000-00006E020000}"/>
    <cellStyle name="Estilo 1 167" xfId="623" xr:uid="{00000000-0005-0000-0000-00006F020000}"/>
    <cellStyle name="Estilo 1 167 2" xfId="624" xr:uid="{00000000-0005-0000-0000-000070020000}"/>
    <cellStyle name="Estilo 1 168" xfId="625" xr:uid="{00000000-0005-0000-0000-000071020000}"/>
    <cellStyle name="Estilo 1 168 2" xfId="626" xr:uid="{00000000-0005-0000-0000-000072020000}"/>
    <cellStyle name="Estilo 1 169" xfId="627" xr:uid="{00000000-0005-0000-0000-000073020000}"/>
    <cellStyle name="Estilo 1 169 2" xfId="628" xr:uid="{00000000-0005-0000-0000-000074020000}"/>
    <cellStyle name="Estilo 1 17" xfId="629" xr:uid="{00000000-0005-0000-0000-000075020000}"/>
    <cellStyle name="Estilo 1 17 2" xfId="630" xr:uid="{00000000-0005-0000-0000-000076020000}"/>
    <cellStyle name="Estilo 1 17 3" xfId="631" xr:uid="{00000000-0005-0000-0000-000077020000}"/>
    <cellStyle name="Estilo 1 17_Enlaces" xfId="632" xr:uid="{00000000-0005-0000-0000-000078020000}"/>
    <cellStyle name="Estilo 1 170" xfId="633" xr:uid="{00000000-0005-0000-0000-000079020000}"/>
    <cellStyle name="Estilo 1 170 2" xfId="634" xr:uid="{00000000-0005-0000-0000-00007A020000}"/>
    <cellStyle name="Estilo 1 171" xfId="635" xr:uid="{00000000-0005-0000-0000-00007B020000}"/>
    <cellStyle name="Estilo 1 171 2" xfId="636" xr:uid="{00000000-0005-0000-0000-00007C020000}"/>
    <cellStyle name="Estilo 1 172" xfId="637" xr:uid="{00000000-0005-0000-0000-00007D020000}"/>
    <cellStyle name="Estilo 1 172 2" xfId="638" xr:uid="{00000000-0005-0000-0000-00007E020000}"/>
    <cellStyle name="Estilo 1 173" xfId="639" xr:uid="{00000000-0005-0000-0000-00007F020000}"/>
    <cellStyle name="Estilo 1 173 2" xfId="640" xr:uid="{00000000-0005-0000-0000-000080020000}"/>
    <cellStyle name="Estilo 1 174" xfId="641" xr:uid="{00000000-0005-0000-0000-000081020000}"/>
    <cellStyle name="Estilo 1 174 2" xfId="642" xr:uid="{00000000-0005-0000-0000-000082020000}"/>
    <cellStyle name="Estilo 1 175" xfId="643" xr:uid="{00000000-0005-0000-0000-000083020000}"/>
    <cellStyle name="Estilo 1 175 2" xfId="644" xr:uid="{00000000-0005-0000-0000-000084020000}"/>
    <cellStyle name="Estilo 1 176" xfId="645" xr:uid="{00000000-0005-0000-0000-000085020000}"/>
    <cellStyle name="Estilo 1 176 2" xfId="646" xr:uid="{00000000-0005-0000-0000-000086020000}"/>
    <cellStyle name="Estilo 1 177" xfId="647" xr:uid="{00000000-0005-0000-0000-000087020000}"/>
    <cellStyle name="Estilo 1 177 2" xfId="648" xr:uid="{00000000-0005-0000-0000-000088020000}"/>
    <cellStyle name="Estilo 1 178" xfId="649" xr:uid="{00000000-0005-0000-0000-000089020000}"/>
    <cellStyle name="Estilo 1 178 2" xfId="650" xr:uid="{00000000-0005-0000-0000-00008A020000}"/>
    <cellStyle name="Estilo 1 179" xfId="651" xr:uid="{00000000-0005-0000-0000-00008B020000}"/>
    <cellStyle name="Estilo 1 179 2" xfId="652" xr:uid="{00000000-0005-0000-0000-00008C020000}"/>
    <cellStyle name="Estilo 1 18" xfId="653" xr:uid="{00000000-0005-0000-0000-00008D020000}"/>
    <cellStyle name="Estilo 1 18 2" xfId="654" xr:uid="{00000000-0005-0000-0000-00008E020000}"/>
    <cellStyle name="Estilo 1 18 3" xfId="655" xr:uid="{00000000-0005-0000-0000-00008F020000}"/>
    <cellStyle name="Estilo 1 18_Enlaces" xfId="656" xr:uid="{00000000-0005-0000-0000-000090020000}"/>
    <cellStyle name="Estilo 1 180" xfId="657" xr:uid="{00000000-0005-0000-0000-000091020000}"/>
    <cellStyle name="Estilo 1 180 2" xfId="658" xr:uid="{00000000-0005-0000-0000-000092020000}"/>
    <cellStyle name="Estilo 1 181" xfId="659" xr:uid="{00000000-0005-0000-0000-000093020000}"/>
    <cellStyle name="Estilo 1 181 2" xfId="660" xr:uid="{00000000-0005-0000-0000-000094020000}"/>
    <cellStyle name="Estilo 1 182" xfId="661" xr:uid="{00000000-0005-0000-0000-000095020000}"/>
    <cellStyle name="Estilo 1 182 2" xfId="662" xr:uid="{00000000-0005-0000-0000-000096020000}"/>
    <cellStyle name="Estilo 1 183" xfId="663" xr:uid="{00000000-0005-0000-0000-000097020000}"/>
    <cellStyle name="Estilo 1 183 2" xfId="664" xr:uid="{00000000-0005-0000-0000-000098020000}"/>
    <cellStyle name="Estilo 1 184" xfId="665" xr:uid="{00000000-0005-0000-0000-000099020000}"/>
    <cellStyle name="Estilo 1 184 2" xfId="666" xr:uid="{00000000-0005-0000-0000-00009A020000}"/>
    <cellStyle name="Estilo 1 185" xfId="667" xr:uid="{00000000-0005-0000-0000-00009B020000}"/>
    <cellStyle name="Estilo 1 185 2" xfId="668" xr:uid="{00000000-0005-0000-0000-00009C020000}"/>
    <cellStyle name="Estilo 1 186" xfId="669" xr:uid="{00000000-0005-0000-0000-00009D020000}"/>
    <cellStyle name="Estilo 1 186 2" xfId="670" xr:uid="{00000000-0005-0000-0000-00009E020000}"/>
    <cellStyle name="Estilo 1 187" xfId="671" xr:uid="{00000000-0005-0000-0000-00009F020000}"/>
    <cellStyle name="Estilo 1 187 2" xfId="672" xr:uid="{00000000-0005-0000-0000-0000A0020000}"/>
    <cellStyle name="Estilo 1 188" xfId="673" xr:uid="{00000000-0005-0000-0000-0000A1020000}"/>
    <cellStyle name="Estilo 1 188 2" xfId="674" xr:uid="{00000000-0005-0000-0000-0000A2020000}"/>
    <cellStyle name="Estilo 1 189" xfId="675" xr:uid="{00000000-0005-0000-0000-0000A3020000}"/>
    <cellStyle name="Estilo 1 189 2" xfId="676" xr:uid="{00000000-0005-0000-0000-0000A4020000}"/>
    <cellStyle name="Estilo 1 19" xfId="677" xr:uid="{00000000-0005-0000-0000-0000A5020000}"/>
    <cellStyle name="Estilo 1 19 2" xfId="678" xr:uid="{00000000-0005-0000-0000-0000A6020000}"/>
    <cellStyle name="Estilo 1 19 3" xfId="679" xr:uid="{00000000-0005-0000-0000-0000A7020000}"/>
    <cellStyle name="Estilo 1 19_Enlaces" xfId="680" xr:uid="{00000000-0005-0000-0000-0000A8020000}"/>
    <cellStyle name="Estilo 1 190" xfId="681" xr:uid="{00000000-0005-0000-0000-0000A9020000}"/>
    <cellStyle name="Estilo 1 190 2" xfId="682" xr:uid="{00000000-0005-0000-0000-0000AA020000}"/>
    <cellStyle name="Estilo 1 191" xfId="683" xr:uid="{00000000-0005-0000-0000-0000AB020000}"/>
    <cellStyle name="Estilo 1 191 2" xfId="684" xr:uid="{00000000-0005-0000-0000-0000AC020000}"/>
    <cellStyle name="Estilo 1 192" xfId="685" xr:uid="{00000000-0005-0000-0000-0000AD020000}"/>
    <cellStyle name="Estilo 1 192 2" xfId="686" xr:uid="{00000000-0005-0000-0000-0000AE020000}"/>
    <cellStyle name="Estilo 1 193" xfId="687" xr:uid="{00000000-0005-0000-0000-0000AF020000}"/>
    <cellStyle name="Estilo 1 193 2" xfId="688" xr:uid="{00000000-0005-0000-0000-0000B0020000}"/>
    <cellStyle name="Estilo 1 194" xfId="689" xr:uid="{00000000-0005-0000-0000-0000B1020000}"/>
    <cellStyle name="Estilo 1 194 2" xfId="690" xr:uid="{00000000-0005-0000-0000-0000B2020000}"/>
    <cellStyle name="Estilo 1 195" xfId="691" xr:uid="{00000000-0005-0000-0000-0000B3020000}"/>
    <cellStyle name="Estilo 1 195 2" xfId="692" xr:uid="{00000000-0005-0000-0000-0000B4020000}"/>
    <cellStyle name="Estilo 1 196" xfId="693" xr:uid="{00000000-0005-0000-0000-0000B5020000}"/>
    <cellStyle name="Estilo 1 196 2" xfId="694" xr:uid="{00000000-0005-0000-0000-0000B6020000}"/>
    <cellStyle name="Estilo 1 197" xfId="695" xr:uid="{00000000-0005-0000-0000-0000B7020000}"/>
    <cellStyle name="Estilo 1 197 2" xfId="696" xr:uid="{00000000-0005-0000-0000-0000B8020000}"/>
    <cellStyle name="Estilo 1 198" xfId="697" xr:uid="{00000000-0005-0000-0000-0000B9020000}"/>
    <cellStyle name="Estilo 1 198 2" xfId="698" xr:uid="{00000000-0005-0000-0000-0000BA020000}"/>
    <cellStyle name="Estilo 1 199" xfId="699" xr:uid="{00000000-0005-0000-0000-0000BB020000}"/>
    <cellStyle name="Estilo 1 199 2" xfId="700" xr:uid="{00000000-0005-0000-0000-0000BC020000}"/>
    <cellStyle name="Estilo 1 2" xfId="701" xr:uid="{00000000-0005-0000-0000-0000BD020000}"/>
    <cellStyle name="Estilo 1 2 2" xfId="702" xr:uid="{00000000-0005-0000-0000-0000BE020000}"/>
    <cellStyle name="Estilo 1 2 2 2" xfId="703" xr:uid="{00000000-0005-0000-0000-0000BF020000}"/>
    <cellStyle name="Estilo 1 2 3" xfId="704" xr:uid="{00000000-0005-0000-0000-0000C0020000}"/>
    <cellStyle name="Estilo 1 2 3 2" xfId="705" xr:uid="{00000000-0005-0000-0000-0000C1020000}"/>
    <cellStyle name="Estilo 1 2 4" xfId="706" xr:uid="{00000000-0005-0000-0000-0000C2020000}"/>
    <cellStyle name="Estilo 1 2 4 2" xfId="707" xr:uid="{00000000-0005-0000-0000-0000C3020000}"/>
    <cellStyle name="Estilo 1 2 5" xfId="708" xr:uid="{00000000-0005-0000-0000-0000C4020000}"/>
    <cellStyle name="Estilo 1 2 6" xfId="709" xr:uid="{00000000-0005-0000-0000-0000C5020000}"/>
    <cellStyle name="Estilo 1 2 7" xfId="710" xr:uid="{00000000-0005-0000-0000-0000C6020000}"/>
    <cellStyle name="Estilo 1 2 7 2" xfId="711" xr:uid="{00000000-0005-0000-0000-0000C7020000}"/>
    <cellStyle name="Estilo 1 2_Enlaces" xfId="712" xr:uid="{00000000-0005-0000-0000-0000C8020000}"/>
    <cellStyle name="Estilo 1 20" xfId="713" xr:uid="{00000000-0005-0000-0000-0000C9020000}"/>
    <cellStyle name="Estilo 1 20 2" xfId="714" xr:uid="{00000000-0005-0000-0000-0000CA020000}"/>
    <cellStyle name="Estilo 1 20 3" xfId="715" xr:uid="{00000000-0005-0000-0000-0000CB020000}"/>
    <cellStyle name="Estilo 1 20_Enlaces" xfId="716" xr:uid="{00000000-0005-0000-0000-0000CC020000}"/>
    <cellStyle name="Estilo 1 200" xfId="717" xr:uid="{00000000-0005-0000-0000-0000CD020000}"/>
    <cellStyle name="Estilo 1 200 2" xfId="718" xr:uid="{00000000-0005-0000-0000-0000CE020000}"/>
    <cellStyle name="Estilo 1 21" xfId="719" xr:uid="{00000000-0005-0000-0000-0000CF020000}"/>
    <cellStyle name="Estilo 1 21 2" xfId="720" xr:uid="{00000000-0005-0000-0000-0000D0020000}"/>
    <cellStyle name="Estilo 1 21_Enlaces" xfId="721" xr:uid="{00000000-0005-0000-0000-0000D1020000}"/>
    <cellStyle name="Estilo 1 22" xfId="722" xr:uid="{00000000-0005-0000-0000-0000D2020000}"/>
    <cellStyle name="Estilo 1 22 2" xfId="723" xr:uid="{00000000-0005-0000-0000-0000D3020000}"/>
    <cellStyle name="Estilo 1 22_Enlaces" xfId="724" xr:uid="{00000000-0005-0000-0000-0000D4020000}"/>
    <cellStyle name="Estilo 1 23" xfId="725" xr:uid="{00000000-0005-0000-0000-0000D5020000}"/>
    <cellStyle name="Estilo 1 23 2" xfId="726" xr:uid="{00000000-0005-0000-0000-0000D6020000}"/>
    <cellStyle name="Estilo 1 23_Enlaces" xfId="727" xr:uid="{00000000-0005-0000-0000-0000D7020000}"/>
    <cellStyle name="Estilo 1 24" xfId="728" xr:uid="{00000000-0005-0000-0000-0000D8020000}"/>
    <cellStyle name="Estilo 1 24 2" xfId="729" xr:uid="{00000000-0005-0000-0000-0000D9020000}"/>
    <cellStyle name="Estilo 1 24_Enlaces" xfId="730" xr:uid="{00000000-0005-0000-0000-0000DA020000}"/>
    <cellStyle name="Estilo 1 25" xfId="731" xr:uid="{00000000-0005-0000-0000-0000DB020000}"/>
    <cellStyle name="Estilo 1 25 2" xfId="732" xr:uid="{00000000-0005-0000-0000-0000DC020000}"/>
    <cellStyle name="Estilo 1 25_Enlaces" xfId="733" xr:uid="{00000000-0005-0000-0000-0000DD020000}"/>
    <cellStyle name="Estilo 1 26" xfId="734" xr:uid="{00000000-0005-0000-0000-0000DE020000}"/>
    <cellStyle name="Estilo 1 26 2" xfId="735" xr:uid="{00000000-0005-0000-0000-0000DF020000}"/>
    <cellStyle name="Estilo 1 26_Enlaces" xfId="736" xr:uid="{00000000-0005-0000-0000-0000E0020000}"/>
    <cellStyle name="Estilo 1 27" xfId="737" xr:uid="{00000000-0005-0000-0000-0000E1020000}"/>
    <cellStyle name="Estilo 1 27 2" xfId="738" xr:uid="{00000000-0005-0000-0000-0000E2020000}"/>
    <cellStyle name="Estilo 1 27_Enlaces" xfId="739" xr:uid="{00000000-0005-0000-0000-0000E3020000}"/>
    <cellStyle name="Estilo 1 28" xfId="740" xr:uid="{00000000-0005-0000-0000-0000E4020000}"/>
    <cellStyle name="Estilo 1 29" xfId="741" xr:uid="{00000000-0005-0000-0000-0000E5020000}"/>
    <cellStyle name="Estilo 1 3" xfId="742" xr:uid="{00000000-0005-0000-0000-0000E6020000}"/>
    <cellStyle name="Estilo 1 3 2" xfId="743" xr:uid="{00000000-0005-0000-0000-0000E7020000}"/>
    <cellStyle name="Estilo 1 3 3" xfId="744" xr:uid="{00000000-0005-0000-0000-0000E8020000}"/>
    <cellStyle name="Estilo 1 3_Enlaces" xfId="745" xr:uid="{00000000-0005-0000-0000-0000E9020000}"/>
    <cellStyle name="Estilo 1 30" xfId="746" xr:uid="{00000000-0005-0000-0000-0000EA020000}"/>
    <cellStyle name="Estilo 1 31" xfId="747" xr:uid="{00000000-0005-0000-0000-0000EB020000}"/>
    <cellStyle name="Estilo 1 32" xfId="748" xr:uid="{00000000-0005-0000-0000-0000EC020000}"/>
    <cellStyle name="Estilo 1 33" xfId="749" xr:uid="{00000000-0005-0000-0000-0000ED020000}"/>
    <cellStyle name="Estilo 1 34" xfId="750" xr:uid="{00000000-0005-0000-0000-0000EE020000}"/>
    <cellStyle name="Estilo 1 35" xfId="751" xr:uid="{00000000-0005-0000-0000-0000EF020000}"/>
    <cellStyle name="Estilo 1 36" xfId="752" xr:uid="{00000000-0005-0000-0000-0000F0020000}"/>
    <cellStyle name="Estilo 1 37" xfId="753" xr:uid="{00000000-0005-0000-0000-0000F1020000}"/>
    <cellStyle name="Estilo 1 38" xfId="754" xr:uid="{00000000-0005-0000-0000-0000F2020000}"/>
    <cellStyle name="Estilo 1 39" xfId="755" xr:uid="{00000000-0005-0000-0000-0000F3020000}"/>
    <cellStyle name="Estilo 1 4" xfId="756" xr:uid="{00000000-0005-0000-0000-0000F4020000}"/>
    <cellStyle name="Estilo 1 4 2" xfId="757" xr:uid="{00000000-0005-0000-0000-0000F5020000}"/>
    <cellStyle name="Estilo 1 4 3" xfId="758" xr:uid="{00000000-0005-0000-0000-0000F6020000}"/>
    <cellStyle name="Estilo 1 4_Enlaces" xfId="759" xr:uid="{00000000-0005-0000-0000-0000F7020000}"/>
    <cellStyle name="Estilo 1 40" xfId="760" xr:uid="{00000000-0005-0000-0000-0000F8020000}"/>
    <cellStyle name="Estilo 1 41" xfId="761" xr:uid="{00000000-0005-0000-0000-0000F9020000}"/>
    <cellStyle name="Estilo 1 42" xfId="762" xr:uid="{00000000-0005-0000-0000-0000FA020000}"/>
    <cellStyle name="Estilo 1 43" xfId="763" xr:uid="{00000000-0005-0000-0000-0000FB020000}"/>
    <cellStyle name="Estilo 1 44" xfId="764" xr:uid="{00000000-0005-0000-0000-0000FC020000}"/>
    <cellStyle name="Estilo 1 45" xfId="765" xr:uid="{00000000-0005-0000-0000-0000FD020000}"/>
    <cellStyle name="Estilo 1 46" xfId="766" xr:uid="{00000000-0005-0000-0000-0000FE020000}"/>
    <cellStyle name="Estilo 1 47" xfId="767" xr:uid="{00000000-0005-0000-0000-0000FF020000}"/>
    <cellStyle name="Estilo 1 48" xfId="768" xr:uid="{00000000-0005-0000-0000-000000030000}"/>
    <cellStyle name="Estilo 1 49" xfId="769" xr:uid="{00000000-0005-0000-0000-000001030000}"/>
    <cellStyle name="Estilo 1 5" xfId="770" xr:uid="{00000000-0005-0000-0000-000002030000}"/>
    <cellStyle name="Estilo 1 5 2" xfId="771" xr:uid="{00000000-0005-0000-0000-000003030000}"/>
    <cellStyle name="Estilo 1 5 3" xfId="772" xr:uid="{00000000-0005-0000-0000-000004030000}"/>
    <cellStyle name="Estilo 1 5_Enlaces" xfId="773" xr:uid="{00000000-0005-0000-0000-000005030000}"/>
    <cellStyle name="Estilo 1 50" xfId="774" xr:uid="{00000000-0005-0000-0000-000006030000}"/>
    <cellStyle name="Estilo 1 51" xfId="775" xr:uid="{00000000-0005-0000-0000-000007030000}"/>
    <cellStyle name="Estilo 1 52" xfId="776" xr:uid="{00000000-0005-0000-0000-000008030000}"/>
    <cellStyle name="Estilo 1 53" xfId="777" xr:uid="{00000000-0005-0000-0000-000009030000}"/>
    <cellStyle name="Estilo 1 54" xfId="778" xr:uid="{00000000-0005-0000-0000-00000A030000}"/>
    <cellStyle name="Estilo 1 55" xfId="779" xr:uid="{00000000-0005-0000-0000-00000B030000}"/>
    <cellStyle name="Estilo 1 56" xfId="780" xr:uid="{00000000-0005-0000-0000-00000C030000}"/>
    <cellStyle name="Estilo 1 57" xfId="781" xr:uid="{00000000-0005-0000-0000-00000D030000}"/>
    <cellStyle name="Estilo 1 57 2" xfId="782" xr:uid="{00000000-0005-0000-0000-00000E030000}"/>
    <cellStyle name="Estilo 1 57 3" xfId="783" xr:uid="{00000000-0005-0000-0000-00000F030000}"/>
    <cellStyle name="Estilo 1 57 4" xfId="784" xr:uid="{00000000-0005-0000-0000-000010030000}"/>
    <cellStyle name="Estilo 1 57 5" xfId="785" xr:uid="{00000000-0005-0000-0000-000011030000}"/>
    <cellStyle name="Estilo 1 57 6" xfId="786" xr:uid="{00000000-0005-0000-0000-000012030000}"/>
    <cellStyle name="Estilo 1 58" xfId="787" xr:uid="{00000000-0005-0000-0000-000013030000}"/>
    <cellStyle name="Estilo 1 58 2" xfId="788" xr:uid="{00000000-0005-0000-0000-000014030000}"/>
    <cellStyle name="Estilo 1 58 3" xfId="789" xr:uid="{00000000-0005-0000-0000-000015030000}"/>
    <cellStyle name="Estilo 1 58 4" xfId="790" xr:uid="{00000000-0005-0000-0000-000016030000}"/>
    <cellStyle name="Estilo 1 58 5" xfId="791" xr:uid="{00000000-0005-0000-0000-000017030000}"/>
    <cellStyle name="Estilo 1 58 6" xfId="792" xr:uid="{00000000-0005-0000-0000-000018030000}"/>
    <cellStyle name="Estilo 1 59" xfId="793" xr:uid="{00000000-0005-0000-0000-000019030000}"/>
    <cellStyle name="Estilo 1 59 2" xfId="794" xr:uid="{00000000-0005-0000-0000-00001A030000}"/>
    <cellStyle name="Estilo 1 59 3" xfId="795" xr:uid="{00000000-0005-0000-0000-00001B030000}"/>
    <cellStyle name="Estilo 1 6" xfId="796" xr:uid="{00000000-0005-0000-0000-00001C030000}"/>
    <cellStyle name="Estilo 1 6 2" xfId="797" xr:uid="{00000000-0005-0000-0000-00001D030000}"/>
    <cellStyle name="Estilo 1 6 3" xfId="798" xr:uid="{00000000-0005-0000-0000-00001E030000}"/>
    <cellStyle name="Estilo 1 6_Enlaces" xfId="799" xr:uid="{00000000-0005-0000-0000-00001F030000}"/>
    <cellStyle name="Estilo 1 60" xfId="800" xr:uid="{00000000-0005-0000-0000-000020030000}"/>
    <cellStyle name="Estilo 1 60 2" xfId="801" xr:uid="{00000000-0005-0000-0000-000021030000}"/>
    <cellStyle name="Estilo 1 60 3" xfId="802" xr:uid="{00000000-0005-0000-0000-000022030000}"/>
    <cellStyle name="Estilo 1 61" xfId="803" xr:uid="{00000000-0005-0000-0000-000023030000}"/>
    <cellStyle name="Estilo 1 61 2" xfId="804" xr:uid="{00000000-0005-0000-0000-000024030000}"/>
    <cellStyle name="Estilo 1 61 3" xfId="805" xr:uid="{00000000-0005-0000-0000-000025030000}"/>
    <cellStyle name="Estilo 1 62" xfId="806" xr:uid="{00000000-0005-0000-0000-000026030000}"/>
    <cellStyle name="Estilo 1 62 2" xfId="807" xr:uid="{00000000-0005-0000-0000-000027030000}"/>
    <cellStyle name="Estilo 1 62 3" xfId="808" xr:uid="{00000000-0005-0000-0000-000028030000}"/>
    <cellStyle name="Estilo 1 63" xfId="809" xr:uid="{00000000-0005-0000-0000-000029030000}"/>
    <cellStyle name="Estilo 1 63 2" xfId="810" xr:uid="{00000000-0005-0000-0000-00002A030000}"/>
    <cellStyle name="Estilo 1 63 3" xfId="811" xr:uid="{00000000-0005-0000-0000-00002B030000}"/>
    <cellStyle name="Estilo 1 64" xfId="812" xr:uid="{00000000-0005-0000-0000-00002C030000}"/>
    <cellStyle name="Estilo 1 64 2" xfId="813" xr:uid="{00000000-0005-0000-0000-00002D030000}"/>
    <cellStyle name="Estilo 1 64 3" xfId="814" xr:uid="{00000000-0005-0000-0000-00002E030000}"/>
    <cellStyle name="Estilo 1 65" xfId="815" xr:uid="{00000000-0005-0000-0000-00002F030000}"/>
    <cellStyle name="Estilo 1 65 2" xfId="816" xr:uid="{00000000-0005-0000-0000-000030030000}"/>
    <cellStyle name="Estilo 1 65 3" xfId="817" xr:uid="{00000000-0005-0000-0000-000031030000}"/>
    <cellStyle name="Estilo 1 66" xfId="818" xr:uid="{00000000-0005-0000-0000-000032030000}"/>
    <cellStyle name="Estilo 1 66 2" xfId="819" xr:uid="{00000000-0005-0000-0000-000033030000}"/>
    <cellStyle name="Estilo 1 66 3" xfId="820" xr:uid="{00000000-0005-0000-0000-000034030000}"/>
    <cellStyle name="Estilo 1 67" xfId="821" xr:uid="{00000000-0005-0000-0000-000035030000}"/>
    <cellStyle name="Estilo 1 67 2" xfId="822" xr:uid="{00000000-0005-0000-0000-000036030000}"/>
    <cellStyle name="Estilo 1 67 3" xfId="823" xr:uid="{00000000-0005-0000-0000-000037030000}"/>
    <cellStyle name="Estilo 1 68" xfId="824" xr:uid="{00000000-0005-0000-0000-000038030000}"/>
    <cellStyle name="Estilo 1 68 2" xfId="825" xr:uid="{00000000-0005-0000-0000-000039030000}"/>
    <cellStyle name="Estilo 1 68 3" xfId="826" xr:uid="{00000000-0005-0000-0000-00003A030000}"/>
    <cellStyle name="Estilo 1 69" xfId="827" xr:uid="{00000000-0005-0000-0000-00003B030000}"/>
    <cellStyle name="Estilo 1 69 2" xfId="828" xr:uid="{00000000-0005-0000-0000-00003C030000}"/>
    <cellStyle name="Estilo 1 69 3" xfId="829" xr:uid="{00000000-0005-0000-0000-00003D030000}"/>
    <cellStyle name="Estilo 1 7" xfId="830" xr:uid="{00000000-0005-0000-0000-00003E030000}"/>
    <cellStyle name="Estilo 1 7 2" xfId="831" xr:uid="{00000000-0005-0000-0000-00003F030000}"/>
    <cellStyle name="Estilo 1 7 3" xfId="832" xr:uid="{00000000-0005-0000-0000-000040030000}"/>
    <cellStyle name="Estilo 1 7_Enlaces" xfId="833" xr:uid="{00000000-0005-0000-0000-000041030000}"/>
    <cellStyle name="Estilo 1 70" xfId="834" xr:uid="{00000000-0005-0000-0000-000042030000}"/>
    <cellStyle name="Estilo 1 70 2" xfId="835" xr:uid="{00000000-0005-0000-0000-000043030000}"/>
    <cellStyle name="Estilo 1 70 3" xfId="836" xr:uid="{00000000-0005-0000-0000-000044030000}"/>
    <cellStyle name="Estilo 1 71" xfId="837" xr:uid="{00000000-0005-0000-0000-000045030000}"/>
    <cellStyle name="Estilo 1 71 2" xfId="838" xr:uid="{00000000-0005-0000-0000-000046030000}"/>
    <cellStyle name="Estilo 1 71 3" xfId="839" xr:uid="{00000000-0005-0000-0000-000047030000}"/>
    <cellStyle name="Estilo 1 72" xfId="840" xr:uid="{00000000-0005-0000-0000-000048030000}"/>
    <cellStyle name="Estilo 1 72 2" xfId="841" xr:uid="{00000000-0005-0000-0000-000049030000}"/>
    <cellStyle name="Estilo 1 72 3" xfId="842" xr:uid="{00000000-0005-0000-0000-00004A030000}"/>
    <cellStyle name="Estilo 1 73" xfId="843" xr:uid="{00000000-0005-0000-0000-00004B030000}"/>
    <cellStyle name="Estilo 1 73 2" xfId="844" xr:uid="{00000000-0005-0000-0000-00004C030000}"/>
    <cellStyle name="Estilo 1 73 3" xfId="845" xr:uid="{00000000-0005-0000-0000-00004D030000}"/>
    <cellStyle name="Estilo 1 74" xfId="846" xr:uid="{00000000-0005-0000-0000-00004E030000}"/>
    <cellStyle name="Estilo 1 74 2" xfId="847" xr:uid="{00000000-0005-0000-0000-00004F030000}"/>
    <cellStyle name="Estilo 1 74 3" xfId="848" xr:uid="{00000000-0005-0000-0000-000050030000}"/>
    <cellStyle name="Estilo 1 75" xfId="849" xr:uid="{00000000-0005-0000-0000-000051030000}"/>
    <cellStyle name="Estilo 1 75 2" xfId="850" xr:uid="{00000000-0005-0000-0000-000052030000}"/>
    <cellStyle name="Estilo 1 75 3" xfId="851" xr:uid="{00000000-0005-0000-0000-000053030000}"/>
    <cellStyle name="Estilo 1 76" xfId="852" xr:uid="{00000000-0005-0000-0000-000054030000}"/>
    <cellStyle name="Estilo 1 76 2" xfId="853" xr:uid="{00000000-0005-0000-0000-000055030000}"/>
    <cellStyle name="Estilo 1 76 3" xfId="854" xr:uid="{00000000-0005-0000-0000-000056030000}"/>
    <cellStyle name="Estilo 1 77" xfId="855" xr:uid="{00000000-0005-0000-0000-000057030000}"/>
    <cellStyle name="Estilo 1 77 2" xfId="856" xr:uid="{00000000-0005-0000-0000-000058030000}"/>
    <cellStyle name="Estilo 1 77 3" xfId="857" xr:uid="{00000000-0005-0000-0000-000059030000}"/>
    <cellStyle name="Estilo 1 78" xfId="858" xr:uid="{00000000-0005-0000-0000-00005A030000}"/>
    <cellStyle name="Estilo 1 78 2" xfId="859" xr:uid="{00000000-0005-0000-0000-00005B030000}"/>
    <cellStyle name="Estilo 1 78 3" xfId="860" xr:uid="{00000000-0005-0000-0000-00005C030000}"/>
    <cellStyle name="Estilo 1 79" xfId="861" xr:uid="{00000000-0005-0000-0000-00005D030000}"/>
    <cellStyle name="Estilo 1 79 2" xfId="862" xr:uid="{00000000-0005-0000-0000-00005E030000}"/>
    <cellStyle name="Estilo 1 79 3" xfId="863" xr:uid="{00000000-0005-0000-0000-00005F030000}"/>
    <cellStyle name="Estilo 1 8" xfId="864" xr:uid="{00000000-0005-0000-0000-000060030000}"/>
    <cellStyle name="Estilo 1 8 2" xfId="865" xr:uid="{00000000-0005-0000-0000-000061030000}"/>
    <cellStyle name="Estilo 1 8 3" xfId="866" xr:uid="{00000000-0005-0000-0000-000062030000}"/>
    <cellStyle name="Estilo 1 8_Enlaces" xfId="867" xr:uid="{00000000-0005-0000-0000-000063030000}"/>
    <cellStyle name="Estilo 1 80" xfId="868" xr:uid="{00000000-0005-0000-0000-000064030000}"/>
    <cellStyle name="Estilo 1 80 2" xfId="869" xr:uid="{00000000-0005-0000-0000-000065030000}"/>
    <cellStyle name="Estilo 1 80 3" xfId="870" xr:uid="{00000000-0005-0000-0000-000066030000}"/>
    <cellStyle name="Estilo 1 81" xfId="871" xr:uid="{00000000-0005-0000-0000-000067030000}"/>
    <cellStyle name="Estilo 1 81 2" xfId="872" xr:uid="{00000000-0005-0000-0000-000068030000}"/>
    <cellStyle name="Estilo 1 81 3" xfId="873" xr:uid="{00000000-0005-0000-0000-000069030000}"/>
    <cellStyle name="Estilo 1 82" xfId="874" xr:uid="{00000000-0005-0000-0000-00006A030000}"/>
    <cellStyle name="Estilo 1 82 2" xfId="875" xr:uid="{00000000-0005-0000-0000-00006B030000}"/>
    <cellStyle name="Estilo 1 82 3" xfId="876" xr:uid="{00000000-0005-0000-0000-00006C030000}"/>
    <cellStyle name="Estilo 1 83" xfId="877" xr:uid="{00000000-0005-0000-0000-00006D030000}"/>
    <cellStyle name="Estilo 1 84" xfId="878" xr:uid="{00000000-0005-0000-0000-00006E030000}"/>
    <cellStyle name="Estilo 1 85" xfId="879" xr:uid="{00000000-0005-0000-0000-00006F030000}"/>
    <cellStyle name="Estilo 1 86" xfId="880" xr:uid="{00000000-0005-0000-0000-000070030000}"/>
    <cellStyle name="Estilo 1 87" xfId="881" xr:uid="{00000000-0005-0000-0000-000071030000}"/>
    <cellStyle name="Estilo 1 88" xfId="882" xr:uid="{00000000-0005-0000-0000-000072030000}"/>
    <cellStyle name="Estilo 1 89" xfId="883" xr:uid="{00000000-0005-0000-0000-000073030000}"/>
    <cellStyle name="Estilo 1 9" xfId="884" xr:uid="{00000000-0005-0000-0000-000074030000}"/>
    <cellStyle name="Estilo 1 9 2" xfId="885" xr:uid="{00000000-0005-0000-0000-000075030000}"/>
    <cellStyle name="Estilo 1 9 3" xfId="886" xr:uid="{00000000-0005-0000-0000-000076030000}"/>
    <cellStyle name="Estilo 1 9_Enlaces" xfId="887" xr:uid="{00000000-0005-0000-0000-000077030000}"/>
    <cellStyle name="Estilo 1 90" xfId="888" xr:uid="{00000000-0005-0000-0000-000078030000}"/>
    <cellStyle name="Estilo 1 90 2" xfId="889" xr:uid="{00000000-0005-0000-0000-000079030000}"/>
    <cellStyle name="Estilo 1 91" xfId="890" xr:uid="{00000000-0005-0000-0000-00007A030000}"/>
    <cellStyle name="Estilo 1 91 2" xfId="891" xr:uid="{00000000-0005-0000-0000-00007B030000}"/>
    <cellStyle name="Estilo 1 92" xfId="892" xr:uid="{00000000-0005-0000-0000-00007C030000}"/>
    <cellStyle name="Estilo 1 92 2" xfId="893" xr:uid="{00000000-0005-0000-0000-00007D030000}"/>
    <cellStyle name="Estilo 1 93" xfId="894" xr:uid="{00000000-0005-0000-0000-00007E030000}"/>
    <cellStyle name="Estilo 1 93 2" xfId="895" xr:uid="{00000000-0005-0000-0000-00007F030000}"/>
    <cellStyle name="Estilo 1 94" xfId="896" xr:uid="{00000000-0005-0000-0000-000080030000}"/>
    <cellStyle name="Estilo 1 94 2" xfId="897" xr:uid="{00000000-0005-0000-0000-000081030000}"/>
    <cellStyle name="Estilo 1 95" xfId="898" xr:uid="{00000000-0005-0000-0000-000082030000}"/>
    <cellStyle name="Estilo 1 95 2" xfId="899" xr:uid="{00000000-0005-0000-0000-000083030000}"/>
    <cellStyle name="Estilo 1 96" xfId="900" xr:uid="{00000000-0005-0000-0000-000084030000}"/>
    <cellStyle name="Estilo 1 96 2" xfId="901" xr:uid="{00000000-0005-0000-0000-000085030000}"/>
    <cellStyle name="Estilo 1 97" xfId="902" xr:uid="{00000000-0005-0000-0000-000086030000}"/>
    <cellStyle name="Estilo 1 97 2" xfId="903" xr:uid="{00000000-0005-0000-0000-000087030000}"/>
    <cellStyle name="Estilo 1 98" xfId="904" xr:uid="{00000000-0005-0000-0000-000088030000}"/>
    <cellStyle name="Estilo 1 98 2" xfId="905" xr:uid="{00000000-0005-0000-0000-000089030000}"/>
    <cellStyle name="Estilo 1 99" xfId="906" xr:uid="{00000000-0005-0000-0000-00008A030000}"/>
    <cellStyle name="Estilo 1 99 2" xfId="907" xr:uid="{00000000-0005-0000-0000-00008B030000}"/>
    <cellStyle name="Estilo 1_Enlaces" xfId="908" xr:uid="{00000000-0005-0000-0000-00008C030000}"/>
    <cellStyle name="Euro" xfId="909" xr:uid="{00000000-0005-0000-0000-00008D030000}"/>
    <cellStyle name="Euro 10" xfId="910" xr:uid="{00000000-0005-0000-0000-00008E030000}"/>
    <cellStyle name="Euro 11" xfId="911" xr:uid="{00000000-0005-0000-0000-00008F030000}"/>
    <cellStyle name="Euro 12" xfId="912" xr:uid="{00000000-0005-0000-0000-000090030000}"/>
    <cellStyle name="Euro 13" xfId="913" xr:uid="{00000000-0005-0000-0000-000091030000}"/>
    <cellStyle name="Euro 14" xfId="914" xr:uid="{00000000-0005-0000-0000-000092030000}"/>
    <cellStyle name="Euro 15" xfId="915" xr:uid="{00000000-0005-0000-0000-000093030000}"/>
    <cellStyle name="Euro 16" xfId="916" xr:uid="{00000000-0005-0000-0000-000094030000}"/>
    <cellStyle name="Euro 17" xfId="917" xr:uid="{00000000-0005-0000-0000-000095030000}"/>
    <cellStyle name="Euro 18" xfId="918" xr:uid="{00000000-0005-0000-0000-000096030000}"/>
    <cellStyle name="Euro 19" xfId="919" xr:uid="{00000000-0005-0000-0000-000097030000}"/>
    <cellStyle name="Euro 2" xfId="920" xr:uid="{00000000-0005-0000-0000-000098030000}"/>
    <cellStyle name="Euro 2 2" xfId="921" xr:uid="{00000000-0005-0000-0000-000099030000}"/>
    <cellStyle name="Euro 20" xfId="922" xr:uid="{00000000-0005-0000-0000-00009A030000}"/>
    <cellStyle name="Euro 21" xfId="923" xr:uid="{00000000-0005-0000-0000-00009B030000}"/>
    <cellStyle name="Euro 3" xfId="924" xr:uid="{00000000-0005-0000-0000-00009C030000}"/>
    <cellStyle name="Euro 4" xfId="925" xr:uid="{00000000-0005-0000-0000-00009D030000}"/>
    <cellStyle name="Euro 5" xfId="926" xr:uid="{00000000-0005-0000-0000-00009E030000}"/>
    <cellStyle name="Euro 6" xfId="927" xr:uid="{00000000-0005-0000-0000-00009F030000}"/>
    <cellStyle name="Euro 7" xfId="928" xr:uid="{00000000-0005-0000-0000-0000A0030000}"/>
    <cellStyle name="Euro 8" xfId="929" xr:uid="{00000000-0005-0000-0000-0000A1030000}"/>
    <cellStyle name="Euro 9" xfId="930" xr:uid="{00000000-0005-0000-0000-0000A2030000}"/>
    <cellStyle name="Excel Built-in Normal" xfId="4" xr:uid="{00000000-0005-0000-0000-000004000000}"/>
    <cellStyle name="Excel Built-in Normal 2" xfId="931" xr:uid="{00000000-0005-0000-0000-0000A3030000}"/>
    <cellStyle name="Excel Built-in Normal 2 2" xfId="932" xr:uid="{00000000-0005-0000-0000-0000A4030000}"/>
    <cellStyle name="Excel Built-in Normal 3" xfId="933" xr:uid="{00000000-0005-0000-0000-0000A5030000}"/>
    <cellStyle name="Explanatory Text" xfId="934" xr:uid="{00000000-0005-0000-0000-0000A6030000}"/>
    <cellStyle name="Explanatory Text 2" xfId="935" xr:uid="{00000000-0005-0000-0000-0000A7030000}"/>
    <cellStyle name="Explanatory Text 3" xfId="936" xr:uid="{00000000-0005-0000-0000-0000A8030000}"/>
    <cellStyle name="Explanatory Text 4" xfId="937" xr:uid="{00000000-0005-0000-0000-0000A9030000}"/>
    <cellStyle name="Explanatory Text 5" xfId="938" xr:uid="{00000000-0005-0000-0000-0000AA030000}"/>
    <cellStyle name="Good" xfId="939" xr:uid="{00000000-0005-0000-0000-0000AB030000}"/>
    <cellStyle name="Good 2" xfId="940" xr:uid="{00000000-0005-0000-0000-0000AC030000}"/>
    <cellStyle name="Good 3" xfId="941" xr:uid="{00000000-0005-0000-0000-0000AD030000}"/>
    <cellStyle name="Good 4" xfId="942" xr:uid="{00000000-0005-0000-0000-0000AE030000}"/>
    <cellStyle name="Good 5" xfId="943" xr:uid="{00000000-0005-0000-0000-0000AF030000}"/>
    <cellStyle name="Heading 1" xfId="944" xr:uid="{00000000-0005-0000-0000-0000B0030000}"/>
    <cellStyle name="Heading 1 2" xfId="945" xr:uid="{00000000-0005-0000-0000-0000B1030000}"/>
    <cellStyle name="Heading 1 3" xfId="946" xr:uid="{00000000-0005-0000-0000-0000B2030000}"/>
    <cellStyle name="Heading 1 4" xfId="947" xr:uid="{00000000-0005-0000-0000-0000B3030000}"/>
    <cellStyle name="Heading 1 5" xfId="948" xr:uid="{00000000-0005-0000-0000-0000B4030000}"/>
    <cellStyle name="Heading 2" xfId="949" xr:uid="{00000000-0005-0000-0000-0000B5030000}"/>
    <cellStyle name="Heading 2 2" xfId="950" xr:uid="{00000000-0005-0000-0000-0000B6030000}"/>
    <cellStyle name="Heading 2 3" xfId="951" xr:uid="{00000000-0005-0000-0000-0000B7030000}"/>
    <cellStyle name="Heading 2 4" xfId="952" xr:uid="{00000000-0005-0000-0000-0000B8030000}"/>
    <cellStyle name="Heading 2 5" xfId="953" xr:uid="{00000000-0005-0000-0000-0000B9030000}"/>
    <cellStyle name="Heading 3" xfId="954" xr:uid="{00000000-0005-0000-0000-0000BA030000}"/>
    <cellStyle name="Heading 3 2" xfId="955" xr:uid="{00000000-0005-0000-0000-0000BB030000}"/>
    <cellStyle name="Heading 3 3" xfId="956" xr:uid="{00000000-0005-0000-0000-0000BC030000}"/>
    <cellStyle name="Heading 3 4" xfId="957" xr:uid="{00000000-0005-0000-0000-0000BD030000}"/>
    <cellStyle name="Heading 3 5" xfId="958" xr:uid="{00000000-0005-0000-0000-0000BE030000}"/>
    <cellStyle name="Heading 4" xfId="959" xr:uid="{00000000-0005-0000-0000-0000BF030000}"/>
    <cellStyle name="Heading 4 2" xfId="960" xr:uid="{00000000-0005-0000-0000-0000C0030000}"/>
    <cellStyle name="Heading 4 3" xfId="961" xr:uid="{00000000-0005-0000-0000-0000C1030000}"/>
    <cellStyle name="Heading 4 4" xfId="962" xr:uid="{00000000-0005-0000-0000-0000C2030000}"/>
    <cellStyle name="Heading 4 5" xfId="963" xr:uid="{00000000-0005-0000-0000-0000C3030000}"/>
    <cellStyle name="Hipervínculo 2" xfId="964" xr:uid="{00000000-0005-0000-0000-0000C4030000}"/>
    <cellStyle name="Hipervínculo 2 2" xfId="965" xr:uid="{00000000-0005-0000-0000-0000C5030000}"/>
    <cellStyle name="Hipervínculo 3" xfId="966" xr:uid="{00000000-0005-0000-0000-0000C6030000}"/>
    <cellStyle name="Hipervínculo 3 2" xfId="967" xr:uid="{00000000-0005-0000-0000-0000C7030000}"/>
    <cellStyle name="Hipervínculo 4" xfId="968" xr:uid="{00000000-0005-0000-0000-0000C8030000}"/>
    <cellStyle name="Hipervínculo 5" xfId="969" xr:uid="{00000000-0005-0000-0000-0000C9030000}"/>
    <cellStyle name="Hipervínculo 6" xfId="970" xr:uid="{00000000-0005-0000-0000-0000CA030000}"/>
    <cellStyle name="Incorrecto 2" xfId="971" xr:uid="{00000000-0005-0000-0000-0000CB030000}"/>
    <cellStyle name="Incorrecto 2 2" xfId="972" xr:uid="{00000000-0005-0000-0000-0000CC030000}"/>
    <cellStyle name="Incorrecto 3" xfId="973" xr:uid="{00000000-0005-0000-0000-0000CD030000}"/>
    <cellStyle name="Incorrecto 4" xfId="974" xr:uid="{00000000-0005-0000-0000-0000CE030000}"/>
    <cellStyle name="Incorrecto 5" xfId="975" xr:uid="{00000000-0005-0000-0000-0000CF030000}"/>
    <cellStyle name="Incorrecto 6" xfId="976" xr:uid="{00000000-0005-0000-0000-0000D0030000}"/>
    <cellStyle name="Incorrecto 7" xfId="977" xr:uid="{00000000-0005-0000-0000-0000D1030000}"/>
    <cellStyle name="Incorrecto 8" xfId="978" xr:uid="{00000000-0005-0000-0000-0000D2030000}"/>
    <cellStyle name="Input" xfId="979" xr:uid="{00000000-0005-0000-0000-0000D3030000}"/>
    <cellStyle name="Input 2" xfId="980" xr:uid="{00000000-0005-0000-0000-0000D4030000}"/>
    <cellStyle name="Input 3" xfId="981" xr:uid="{00000000-0005-0000-0000-0000D5030000}"/>
    <cellStyle name="Input 4" xfId="982" xr:uid="{00000000-0005-0000-0000-0000D6030000}"/>
    <cellStyle name="Input 5" xfId="983" xr:uid="{00000000-0005-0000-0000-0000D7030000}"/>
    <cellStyle name="Linked Cell" xfId="984" xr:uid="{00000000-0005-0000-0000-0000D8030000}"/>
    <cellStyle name="Linked Cell 2" xfId="985" xr:uid="{00000000-0005-0000-0000-0000D9030000}"/>
    <cellStyle name="Linked Cell 3" xfId="986" xr:uid="{00000000-0005-0000-0000-0000DA030000}"/>
    <cellStyle name="Linked Cell 4" xfId="987" xr:uid="{00000000-0005-0000-0000-0000DB030000}"/>
    <cellStyle name="Linked Cell 5" xfId="988" xr:uid="{00000000-0005-0000-0000-0000DC030000}"/>
    <cellStyle name="Millares 10" xfId="989" xr:uid="{00000000-0005-0000-0000-0000DD030000}"/>
    <cellStyle name="Millares 10 10" xfId="990" xr:uid="{00000000-0005-0000-0000-0000DE030000}"/>
    <cellStyle name="Millares 10 11" xfId="991" xr:uid="{00000000-0005-0000-0000-0000DF030000}"/>
    <cellStyle name="Millares 10 12" xfId="992" xr:uid="{00000000-0005-0000-0000-0000E0030000}"/>
    <cellStyle name="Millares 10 13" xfId="993" xr:uid="{00000000-0005-0000-0000-0000E1030000}"/>
    <cellStyle name="Millares 10 14" xfId="994" xr:uid="{00000000-0005-0000-0000-0000E2030000}"/>
    <cellStyle name="Millares 10 15" xfId="995" xr:uid="{00000000-0005-0000-0000-0000E3030000}"/>
    <cellStyle name="Millares 10 16" xfId="996" xr:uid="{00000000-0005-0000-0000-0000E4030000}"/>
    <cellStyle name="Millares 10 17" xfId="997" xr:uid="{00000000-0005-0000-0000-0000E5030000}"/>
    <cellStyle name="Millares 10 18" xfId="998" xr:uid="{00000000-0005-0000-0000-0000E6030000}"/>
    <cellStyle name="Millares 10 19" xfId="999" xr:uid="{00000000-0005-0000-0000-0000E7030000}"/>
    <cellStyle name="Millares 10 2" xfId="1000" xr:uid="{00000000-0005-0000-0000-0000E8030000}"/>
    <cellStyle name="Millares 10 2 2" xfId="1001" xr:uid="{00000000-0005-0000-0000-0000E9030000}"/>
    <cellStyle name="Millares 10 2 3" xfId="1002" xr:uid="{00000000-0005-0000-0000-0000EA030000}"/>
    <cellStyle name="Millares 10 20" xfId="1003" xr:uid="{00000000-0005-0000-0000-0000EB030000}"/>
    <cellStyle name="Millares 10 21" xfId="1004" xr:uid="{00000000-0005-0000-0000-0000EC030000}"/>
    <cellStyle name="Millares 10 22" xfId="1005" xr:uid="{00000000-0005-0000-0000-0000ED030000}"/>
    <cellStyle name="Millares 10 23" xfId="1006" xr:uid="{00000000-0005-0000-0000-0000EE030000}"/>
    <cellStyle name="Millares 10 24" xfId="1007" xr:uid="{00000000-0005-0000-0000-0000EF030000}"/>
    <cellStyle name="Millares 10 25" xfId="1008" xr:uid="{00000000-0005-0000-0000-0000F0030000}"/>
    <cellStyle name="Millares 10 3" xfId="1009" xr:uid="{00000000-0005-0000-0000-0000F1030000}"/>
    <cellStyle name="Millares 10 3 2" xfId="1010" xr:uid="{00000000-0005-0000-0000-0000F2030000}"/>
    <cellStyle name="Millares 10 3 3" xfId="1011" xr:uid="{00000000-0005-0000-0000-0000F3030000}"/>
    <cellStyle name="Millares 10 4" xfId="1012" xr:uid="{00000000-0005-0000-0000-0000F4030000}"/>
    <cellStyle name="Millares 10 5" xfId="1013" xr:uid="{00000000-0005-0000-0000-0000F5030000}"/>
    <cellStyle name="Millares 10 6" xfId="1014" xr:uid="{00000000-0005-0000-0000-0000F6030000}"/>
    <cellStyle name="Millares 10 7" xfId="1015" xr:uid="{00000000-0005-0000-0000-0000F7030000}"/>
    <cellStyle name="Millares 10 8" xfId="1016" xr:uid="{00000000-0005-0000-0000-0000F8030000}"/>
    <cellStyle name="Millares 10 9" xfId="1017" xr:uid="{00000000-0005-0000-0000-0000F9030000}"/>
    <cellStyle name="Millares 11" xfId="1018" xr:uid="{00000000-0005-0000-0000-0000FA030000}"/>
    <cellStyle name="Millares 11 2" xfId="1019" xr:uid="{00000000-0005-0000-0000-0000FB030000}"/>
    <cellStyle name="Millares 12" xfId="1020" xr:uid="{00000000-0005-0000-0000-0000FC030000}"/>
    <cellStyle name="Millares 12 2" xfId="1021" xr:uid="{00000000-0005-0000-0000-0000FD030000}"/>
    <cellStyle name="Millares 13" xfId="1022" xr:uid="{00000000-0005-0000-0000-0000FE030000}"/>
    <cellStyle name="Millares 13 2" xfId="1023" xr:uid="{00000000-0005-0000-0000-0000FF030000}"/>
    <cellStyle name="Millares 14" xfId="1024" xr:uid="{00000000-0005-0000-0000-000000040000}"/>
    <cellStyle name="Millares 15" xfId="1025" xr:uid="{00000000-0005-0000-0000-000001040000}"/>
    <cellStyle name="Millares 15 2" xfId="1026" xr:uid="{00000000-0005-0000-0000-000002040000}"/>
    <cellStyle name="Millares 16" xfId="1027" xr:uid="{00000000-0005-0000-0000-000003040000}"/>
    <cellStyle name="Millares 16 2" xfId="1028" xr:uid="{00000000-0005-0000-0000-000004040000}"/>
    <cellStyle name="Millares 17" xfId="1029" xr:uid="{00000000-0005-0000-0000-000005040000}"/>
    <cellStyle name="Millares 17 2" xfId="1030" xr:uid="{00000000-0005-0000-0000-000006040000}"/>
    <cellStyle name="Millares 18" xfId="1031" xr:uid="{00000000-0005-0000-0000-000007040000}"/>
    <cellStyle name="Millares 19" xfId="1032" xr:uid="{00000000-0005-0000-0000-000008040000}"/>
    <cellStyle name="Millares 19 2" xfId="1033" xr:uid="{00000000-0005-0000-0000-000009040000}"/>
    <cellStyle name="Millares 19 3" xfId="1034" xr:uid="{00000000-0005-0000-0000-00000A040000}"/>
    <cellStyle name="Millares 2" xfId="3" xr:uid="{00000000-0005-0000-0000-000003000000}"/>
    <cellStyle name="Millares 2 10" xfId="1035" xr:uid="{00000000-0005-0000-0000-00000B040000}"/>
    <cellStyle name="Millares 2 10 2" xfId="1036" xr:uid="{00000000-0005-0000-0000-00000C040000}"/>
    <cellStyle name="Millares 2 10 3" xfId="1037" xr:uid="{00000000-0005-0000-0000-00000D040000}"/>
    <cellStyle name="Millares 2 11" xfId="1038" xr:uid="{00000000-0005-0000-0000-00000E040000}"/>
    <cellStyle name="Millares 2 12" xfId="1039" xr:uid="{00000000-0005-0000-0000-00000F040000}"/>
    <cellStyle name="Millares 2 13" xfId="1040" xr:uid="{00000000-0005-0000-0000-000010040000}"/>
    <cellStyle name="Millares 2 13 2" xfId="1041" xr:uid="{00000000-0005-0000-0000-000011040000}"/>
    <cellStyle name="Millares 2 13 2 2" xfId="1042" xr:uid="{00000000-0005-0000-0000-000012040000}"/>
    <cellStyle name="Millares 2 14" xfId="1043" xr:uid="{00000000-0005-0000-0000-000013040000}"/>
    <cellStyle name="Millares 2 14 2" xfId="1044" xr:uid="{00000000-0005-0000-0000-000014040000}"/>
    <cellStyle name="Millares 2 14 3" xfId="1045" xr:uid="{00000000-0005-0000-0000-000015040000}"/>
    <cellStyle name="Millares 2 15" xfId="1046" xr:uid="{00000000-0005-0000-0000-000016040000}"/>
    <cellStyle name="Millares 2 15 2" xfId="1047" xr:uid="{00000000-0005-0000-0000-000017040000}"/>
    <cellStyle name="Millares 2 15 3" xfId="1048" xr:uid="{00000000-0005-0000-0000-000018040000}"/>
    <cellStyle name="Millares 2 16" xfId="1049" xr:uid="{00000000-0005-0000-0000-000019040000}"/>
    <cellStyle name="Millares 2 16 2" xfId="1050" xr:uid="{00000000-0005-0000-0000-00001A040000}"/>
    <cellStyle name="Millares 2 17" xfId="1051" xr:uid="{00000000-0005-0000-0000-00001B040000}"/>
    <cellStyle name="Millares 2 17 2" xfId="1052" xr:uid="{00000000-0005-0000-0000-00001C040000}"/>
    <cellStyle name="Millares 2 18" xfId="1053" xr:uid="{00000000-0005-0000-0000-00001D040000}"/>
    <cellStyle name="Millares 2 19" xfId="1054" xr:uid="{00000000-0005-0000-0000-00001E040000}"/>
    <cellStyle name="Millares 2 2" xfId="1055" xr:uid="{00000000-0005-0000-0000-00001F040000}"/>
    <cellStyle name="Millares 2 2 10" xfId="1056" xr:uid="{00000000-0005-0000-0000-000020040000}"/>
    <cellStyle name="Millares 2 2 11" xfId="1057" xr:uid="{00000000-0005-0000-0000-000021040000}"/>
    <cellStyle name="Millares 2 2 12" xfId="1058" xr:uid="{00000000-0005-0000-0000-000022040000}"/>
    <cellStyle name="Millares 2 2 13" xfId="1059" xr:uid="{00000000-0005-0000-0000-000023040000}"/>
    <cellStyle name="Millares 2 2 14" xfId="1060" xr:uid="{00000000-0005-0000-0000-000024040000}"/>
    <cellStyle name="Millares 2 2 15" xfId="1061" xr:uid="{00000000-0005-0000-0000-000025040000}"/>
    <cellStyle name="Millares 2 2 16" xfId="1062" xr:uid="{00000000-0005-0000-0000-000026040000}"/>
    <cellStyle name="Millares 2 2 17" xfId="1063" xr:uid="{00000000-0005-0000-0000-000027040000}"/>
    <cellStyle name="Millares 2 2 18" xfId="1064" xr:uid="{00000000-0005-0000-0000-000028040000}"/>
    <cellStyle name="Millares 2 2 19" xfId="1065" xr:uid="{00000000-0005-0000-0000-000029040000}"/>
    <cellStyle name="Millares 2 2 2" xfId="1066" xr:uid="{00000000-0005-0000-0000-00002A040000}"/>
    <cellStyle name="Millares 2 2 2 10" xfId="1067" xr:uid="{00000000-0005-0000-0000-00002B040000}"/>
    <cellStyle name="Millares 2 2 2 11" xfId="1068" xr:uid="{00000000-0005-0000-0000-00002C040000}"/>
    <cellStyle name="Millares 2 2 2 12" xfId="1069" xr:uid="{00000000-0005-0000-0000-00002D040000}"/>
    <cellStyle name="Millares 2 2 2 13" xfId="1070" xr:uid="{00000000-0005-0000-0000-00002E040000}"/>
    <cellStyle name="Millares 2 2 2 14" xfId="1071" xr:uid="{00000000-0005-0000-0000-00002F040000}"/>
    <cellStyle name="Millares 2 2 2 15" xfId="1072" xr:uid="{00000000-0005-0000-0000-000030040000}"/>
    <cellStyle name="Millares 2 2 2 16" xfId="1073" xr:uid="{00000000-0005-0000-0000-000031040000}"/>
    <cellStyle name="Millares 2 2 2 17" xfId="1074" xr:uid="{00000000-0005-0000-0000-000032040000}"/>
    <cellStyle name="Millares 2 2 2 18" xfId="1075" xr:uid="{00000000-0005-0000-0000-000033040000}"/>
    <cellStyle name="Millares 2 2 2 19" xfId="1076" xr:uid="{00000000-0005-0000-0000-000034040000}"/>
    <cellStyle name="Millares 2 2 2 2" xfId="1077" xr:uid="{00000000-0005-0000-0000-000035040000}"/>
    <cellStyle name="Millares 2 2 2 2 10" xfId="1078" xr:uid="{00000000-0005-0000-0000-000036040000}"/>
    <cellStyle name="Millares 2 2 2 2 11" xfId="1079" xr:uid="{00000000-0005-0000-0000-000037040000}"/>
    <cellStyle name="Millares 2 2 2 2 12" xfId="1080" xr:uid="{00000000-0005-0000-0000-000038040000}"/>
    <cellStyle name="Millares 2 2 2 2 13" xfId="1081" xr:uid="{00000000-0005-0000-0000-000039040000}"/>
    <cellStyle name="Millares 2 2 2 2 14" xfId="1082" xr:uid="{00000000-0005-0000-0000-00003A040000}"/>
    <cellStyle name="Millares 2 2 2 2 15" xfId="1083" xr:uid="{00000000-0005-0000-0000-00003B040000}"/>
    <cellStyle name="Millares 2 2 2 2 16" xfId="1084" xr:uid="{00000000-0005-0000-0000-00003C040000}"/>
    <cellStyle name="Millares 2 2 2 2 17" xfId="1085" xr:uid="{00000000-0005-0000-0000-00003D040000}"/>
    <cellStyle name="Millares 2 2 2 2 18" xfId="1086" xr:uid="{00000000-0005-0000-0000-00003E040000}"/>
    <cellStyle name="Millares 2 2 2 2 19" xfId="1087" xr:uid="{00000000-0005-0000-0000-00003F040000}"/>
    <cellStyle name="Millares 2 2 2 2 2" xfId="1088" xr:uid="{00000000-0005-0000-0000-000040040000}"/>
    <cellStyle name="Millares 2 2 2 2 2 10" xfId="1089" xr:uid="{00000000-0005-0000-0000-000041040000}"/>
    <cellStyle name="Millares 2 2 2 2 2 11" xfId="1090" xr:uid="{00000000-0005-0000-0000-000042040000}"/>
    <cellStyle name="Millares 2 2 2 2 2 12" xfId="1091" xr:uid="{00000000-0005-0000-0000-000043040000}"/>
    <cellStyle name="Millares 2 2 2 2 2 13" xfId="1092" xr:uid="{00000000-0005-0000-0000-000044040000}"/>
    <cellStyle name="Millares 2 2 2 2 2 14" xfId="1093" xr:uid="{00000000-0005-0000-0000-000045040000}"/>
    <cellStyle name="Millares 2 2 2 2 2 15" xfId="1094" xr:uid="{00000000-0005-0000-0000-000046040000}"/>
    <cellStyle name="Millares 2 2 2 2 2 16" xfId="1095" xr:uid="{00000000-0005-0000-0000-000047040000}"/>
    <cellStyle name="Millares 2 2 2 2 2 17" xfId="1096" xr:uid="{00000000-0005-0000-0000-000048040000}"/>
    <cellStyle name="Millares 2 2 2 2 2 18" xfId="1097" xr:uid="{00000000-0005-0000-0000-000049040000}"/>
    <cellStyle name="Millares 2 2 2 2 2 19" xfId="1098" xr:uid="{00000000-0005-0000-0000-00004A040000}"/>
    <cellStyle name="Millares 2 2 2 2 2 2" xfId="1099" xr:uid="{00000000-0005-0000-0000-00004B040000}"/>
    <cellStyle name="Millares 2 2 2 2 2 2 10" xfId="1100" xr:uid="{00000000-0005-0000-0000-00004C040000}"/>
    <cellStyle name="Millares 2 2 2 2 2 2 11" xfId="1101" xr:uid="{00000000-0005-0000-0000-00004D040000}"/>
    <cellStyle name="Millares 2 2 2 2 2 2 12" xfId="1102" xr:uid="{00000000-0005-0000-0000-00004E040000}"/>
    <cellStyle name="Millares 2 2 2 2 2 2 13" xfId="1103" xr:uid="{00000000-0005-0000-0000-00004F040000}"/>
    <cellStyle name="Millares 2 2 2 2 2 2 14" xfId="1104" xr:uid="{00000000-0005-0000-0000-000050040000}"/>
    <cellStyle name="Millares 2 2 2 2 2 2 15" xfId="1105" xr:uid="{00000000-0005-0000-0000-000051040000}"/>
    <cellStyle name="Millares 2 2 2 2 2 2 16" xfId="1106" xr:uid="{00000000-0005-0000-0000-000052040000}"/>
    <cellStyle name="Millares 2 2 2 2 2 2 17" xfId="1107" xr:uid="{00000000-0005-0000-0000-000053040000}"/>
    <cellStyle name="Millares 2 2 2 2 2 2 18" xfId="1108" xr:uid="{00000000-0005-0000-0000-000054040000}"/>
    <cellStyle name="Millares 2 2 2 2 2 2 19" xfId="1109" xr:uid="{00000000-0005-0000-0000-000055040000}"/>
    <cellStyle name="Millares 2 2 2 2 2 2 2" xfId="1110" xr:uid="{00000000-0005-0000-0000-000056040000}"/>
    <cellStyle name="Millares 2 2 2 2 2 2 2 10" xfId="1111" xr:uid="{00000000-0005-0000-0000-000057040000}"/>
    <cellStyle name="Millares 2 2 2 2 2 2 2 11" xfId="1112" xr:uid="{00000000-0005-0000-0000-000058040000}"/>
    <cellStyle name="Millares 2 2 2 2 2 2 2 12" xfId="1113" xr:uid="{00000000-0005-0000-0000-000059040000}"/>
    <cellStyle name="Millares 2 2 2 2 2 2 2 13" xfId="1114" xr:uid="{00000000-0005-0000-0000-00005A040000}"/>
    <cellStyle name="Millares 2 2 2 2 2 2 2 14" xfId="1115" xr:uid="{00000000-0005-0000-0000-00005B040000}"/>
    <cellStyle name="Millares 2 2 2 2 2 2 2 15" xfId="1116" xr:uid="{00000000-0005-0000-0000-00005C040000}"/>
    <cellStyle name="Millares 2 2 2 2 2 2 2 16" xfId="1117" xr:uid="{00000000-0005-0000-0000-00005D040000}"/>
    <cellStyle name="Millares 2 2 2 2 2 2 2 17" xfId="1118" xr:uid="{00000000-0005-0000-0000-00005E040000}"/>
    <cellStyle name="Millares 2 2 2 2 2 2 2 18" xfId="1119" xr:uid="{00000000-0005-0000-0000-00005F040000}"/>
    <cellStyle name="Millares 2 2 2 2 2 2 2 19" xfId="1120" xr:uid="{00000000-0005-0000-0000-000060040000}"/>
    <cellStyle name="Millares 2 2 2 2 2 2 2 2" xfId="1121" xr:uid="{00000000-0005-0000-0000-000061040000}"/>
    <cellStyle name="Millares 2 2 2 2 2 2 2 2 10" xfId="1122" xr:uid="{00000000-0005-0000-0000-000062040000}"/>
    <cellStyle name="Millares 2 2 2 2 2 2 2 2 11" xfId="1123" xr:uid="{00000000-0005-0000-0000-000063040000}"/>
    <cellStyle name="Millares 2 2 2 2 2 2 2 2 12" xfId="1124" xr:uid="{00000000-0005-0000-0000-000064040000}"/>
    <cellStyle name="Millares 2 2 2 2 2 2 2 2 13" xfId="1125" xr:uid="{00000000-0005-0000-0000-000065040000}"/>
    <cellStyle name="Millares 2 2 2 2 2 2 2 2 14" xfId="1126" xr:uid="{00000000-0005-0000-0000-000066040000}"/>
    <cellStyle name="Millares 2 2 2 2 2 2 2 2 15" xfId="1127" xr:uid="{00000000-0005-0000-0000-000067040000}"/>
    <cellStyle name="Millares 2 2 2 2 2 2 2 2 2" xfId="1128" xr:uid="{00000000-0005-0000-0000-000068040000}"/>
    <cellStyle name="Millares 2 2 2 2 2 2 2 2 2 10" xfId="1129" xr:uid="{00000000-0005-0000-0000-000069040000}"/>
    <cellStyle name="Millares 2 2 2 2 2 2 2 2 2 11" xfId="1130" xr:uid="{00000000-0005-0000-0000-00006A040000}"/>
    <cellStyle name="Millares 2 2 2 2 2 2 2 2 2 12" xfId="1131" xr:uid="{00000000-0005-0000-0000-00006B040000}"/>
    <cellStyle name="Millares 2 2 2 2 2 2 2 2 2 13" xfId="1132" xr:uid="{00000000-0005-0000-0000-00006C040000}"/>
    <cellStyle name="Millares 2 2 2 2 2 2 2 2 2 14" xfId="1133" xr:uid="{00000000-0005-0000-0000-00006D040000}"/>
    <cellStyle name="Millares 2 2 2 2 2 2 2 2 2 15" xfId="1134" xr:uid="{00000000-0005-0000-0000-00006E040000}"/>
    <cellStyle name="Millares 2 2 2 2 2 2 2 2 2 2" xfId="1135" xr:uid="{00000000-0005-0000-0000-00006F040000}"/>
    <cellStyle name="Millares 2 2 2 2 2 2 2 2 2 2 10" xfId="1136" xr:uid="{00000000-0005-0000-0000-000070040000}"/>
    <cellStyle name="Millares 2 2 2 2 2 2 2 2 2 2 11" xfId="1137" xr:uid="{00000000-0005-0000-0000-000071040000}"/>
    <cellStyle name="Millares 2 2 2 2 2 2 2 2 2 2 12" xfId="1138" xr:uid="{00000000-0005-0000-0000-000072040000}"/>
    <cellStyle name="Millares 2 2 2 2 2 2 2 2 2 2 2" xfId="1139" xr:uid="{00000000-0005-0000-0000-000073040000}"/>
    <cellStyle name="Millares 2 2 2 2 2 2 2 2 2 2 2 10" xfId="1140" xr:uid="{00000000-0005-0000-0000-000074040000}"/>
    <cellStyle name="Millares 2 2 2 2 2 2 2 2 2 2 2 2" xfId="1141" xr:uid="{00000000-0005-0000-0000-000075040000}"/>
    <cellStyle name="Millares 2 2 2 2 2 2 2 2 2 2 2 3" xfId="1142" xr:uid="{00000000-0005-0000-0000-000076040000}"/>
    <cellStyle name="Millares 2 2 2 2 2 2 2 2 2 2 2 4" xfId="1143" xr:uid="{00000000-0005-0000-0000-000077040000}"/>
    <cellStyle name="Millares 2 2 2 2 2 2 2 2 2 2 2 5" xfId="1144" xr:uid="{00000000-0005-0000-0000-000078040000}"/>
    <cellStyle name="Millares 2 2 2 2 2 2 2 2 2 2 2 6" xfId="1145" xr:uid="{00000000-0005-0000-0000-000079040000}"/>
    <cellStyle name="Millares 2 2 2 2 2 2 2 2 2 2 2 7" xfId="1146" xr:uid="{00000000-0005-0000-0000-00007A040000}"/>
    <cellStyle name="Millares 2 2 2 2 2 2 2 2 2 2 2 8" xfId="1147" xr:uid="{00000000-0005-0000-0000-00007B040000}"/>
    <cellStyle name="Millares 2 2 2 2 2 2 2 2 2 2 2 9" xfId="1148" xr:uid="{00000000-0005-0000-0000-00007C040000}"/>
    <cellStyle name="Millares 2 2 2 2 2 2 2 2 2 2 3" xfId="1149" xr:uid="{00000000-0005-0000-0000-00007D040000}"/>
    <cellStyle name="Millares 2 2 2 2 2 2 2 2 2 2 4" xfId="1150" xr:uid="{00000000-0005-0000-0000-00007E040000}"/>
    <cellStyle name="Millares 2 2 2 2 2 2 2 2 2 2 5" xfId="1151" xr:uid="{00000000-0005-0000-0000-00007F040000}"/>
    <cellStyle name="Millares 2 2 2 2 2 2 2 2 2 2 6" xfId="1152" xr:uid="{00000000-0005-0000-0000-000080040000}"/>
    <cellStyle name="Millares 2 2 2 2 2 2 2 2 2 2 7" xfId="1153" xr:uid="{00000000-0005-0000-0000-000081040000}"/>
    <cellStyle name="Millares 2 2 2 2 2 2 2 2 2 2 8" xfId="1154" xr:uid="{00000000-0005-0000-0000-000082040000}"/>
    <cellStyle name="Millares 2 2 2 2 2 2 2 2 2 2 9" xfId="1155" xr:uid="{00000000-0005-0000-0000-000083040000}"/>
    <cellStyle name="Millares 2 2 2 2 2 2 2 2 2 3" xfId="1156" xr:uid="{00000000-0005-0000-0000-000084040000}"/>
    <cellStyle name="Millares 2 2 2 2 2 2 2 2 2 4" xfId="1157" xr:uid="{00000000-0005-0000-0000-000085040000}"/>
    <cellStyle name="Millares 2 2 2 2 2 2 2 2 2 5" xfId="1158" xr:uid="{00000000-0005-0000-0000-000086040000}"/>
    <cellStyle name="Millares 2 2 2 2 2 2 2 2 2 6" xfId="1159" xr:uid="{00000000-0005-0000-0000-000087040000}"/>
    <cellStyle name="Millares 2 2 2 2 2 2 2 2 2 6 10" xfId="1160" xr:uid="{00000000-0005-0000-0000-000088040000}"/>
    <cellStyle name="Millares 2 2 2 2 2 2 2 2 2 6 2" xfId="1161" xr:uid="{00000000-0005-0000-0000-000089040000}"/>
    <cellStyle name="Millares 2 2 2 2 2 2 2 2 2 6 3" xfId="1162" xr:uid="{00000000-0005-0000-0000-00008A040000}"/>
    <cellStyle name="Millares 2 2 2 2 2 2 2 2 2 6 4" xfId="1163" xr:uid="{00000000-0005-0000-0000-00008B040000}"/>
    <cellStyle name="Millares 2 2 2 2 2 2 2 2 2 6 5" xfId="1164" xr:uid="{00000000-0005-0000-0000-00008C040000}"/>
    <cellStyle name="Millares 2 2 2 2 2 2 2 2 2 6 6" xfId="1165" xr:uid="{00000000-0005-0000-0000-00008D040000}"/>
    <cellStyle name="Millares 2 2 2 2 2 2 2 2 2 6 7" xfId="1166" xr:uid="{00000000-0005-0000-0000-00008E040000}"/>
    <cellStyle name="Millares 2 2 2 2 2 2 2 2 2 6 8" xfId="1167" xr:uid="{00000000-0005-0000-0000-00008F040000}"/>
    <cellStyle name="Millares 2 2 2 2 2 2 2 2 2 6 9" xfId="1168" xr:uid="{00000000-0005-0000-0000-000090040000}"/>
    <cellStyle name="Millares 2 2 2 2 2 2 2 2 2 7" xfId="1169" xr:uid="{00000000-0005-0000-0000-000091040000}"/>
    <cellStyle name="Millares 2 2 2 2 2 2 2 2 2 8" xfId="1170" xr:uid="{00000000-0005-0000-0000-000092040000}"/>
    <cellStyle name="Millares 2 2 2 2 2 2 2 2 2 9" xfId="1171" xr:uid="{00000000-0005-0000-0000-000093040000}"/>
    <cellStyle name="Millares 2 2 2 2 2 2 2 2 3" xfId="1172" xr:uid="{00000000-0005-0000-0000-000094040000}"/>
    <cellStyle name="Millares 2 2 2 2 2 2 2 2 4" xfId="1173" xr:uid="{00000000-0005-0000-0000-000095040000}"/>
    <cellStyle name="Millares 2 2 2 2 2 2 2 2 5" xfId="1174" xr:uid="{00000000-0005-0000-0000-000096040000}"/>
    <cellStyle name="Millares 2 2 2 2 2 2 2 2 6" xfId="1175" xr:uid="{00000000-0005-0000-0000-000097040000}"/>
    <cellStyle name="Millares 2 2 2 2 2 2 2 2 6 10" xfId="1176" xr:uid="{00000000-0005-0000-0000-000098040000}"/>
    <cellStyle name="Millares 2 2 2 2 2 2 2 2 6 2" xfId="1177" xr:uid="{00000000-0005-0000-0000-000099040000}"/>
    <cellStyle name="Millares 2 2 2 2 2 2 2 2 6 3" xfId="1178" xr:uid="{00000000-0005-0000-0000-00009A040000}"/>
    <cellStyle name="Millares 2 2 2 2 2 2 2 2 6 4" xfId="1179" xr:uid="{00000000-0005-0000-0000-00009B040000}"/>
    <cellStyle name="Millares 2 2 2 2 2 2 2 2 6 5" xfId="1180" xr:uid="{00000000-0005-0000-0000-00009C040000}"/>
    <cellStyle name="Millares 2 2 2 2 2 2 2 2 6 6" xfId="1181" xr:uid="{00000000-0005-0000-0000-00009D040000}"/>
    <cellStyle name="Millares 2 2 2 2 2 2 2 2 6 7" xfId="1182" xr:uid="{00000000-0005-0000-0000-00009E040000}"/>
    <cellStyle name="Millares 2 2 2 2 2 2 2 2 6 8" xfId="1183" xr:uid="{00000000-0005-0000-0000-00009F040000}"/>
    <cellStyle name="Millares 2 2 2 2 2 2 2 2 6 9" xfId="1184" xr:uid="{00000000-0005-0000-0000-0000A0040000}"/>
    <cellStyle name="Millares 2 2 2 2 2 2 2 2 7" xfId="1185" xr:uid="{00000000-0005-0000-0000-0000A1040000}"/>
    <cellStyle name="Millares 2 2 2 2 2 2 2 2 8" xfId="1186" xr:uid="{00000000-0005-0000-0000-0000A2040000}"/>
    <cellStyle name="Millares 2 2 2 2 2 2 2 2 9" xfId="1187" xr:uid="{00000000-0005-0000-0000-0000A3040000}"/>
    <cellStyle name="Millares 2 2 2 2 2 2 2 20" xfId="1188" xr:uid="{00000000-0005-0000-0000-0000A4040000}"/>
    <cellStyle name="Millares 2 2 2 2 2 2 2 21" xfId="1189" xr:uid="{00000000-0005-0000-0000-0000A5040000}"/>
    <cellStyle name="Millares 2 2 2 2 2 2 2 22" xfId="1190" xr:uid="{00000000-0005-0000-0000-0000A6040000}"/>
    <cellStyle name="Millares 2 2 2 2 2 2 2 23" xfId="1191" xr:uid="{00000000-0005-0000-0000-0000A7040000}"/>
    <cellStyle name="Millares 2 2 2 2 2 2 2 24" xfId="1192" xr:uid="{00000000-0005-0000-0000-0000A8040000}"/>
    <cellStyle name="Millares 2 2 2 2 2 2 2 25" xfId="1193" xr:uid="{00000000-0005-0000-0000-0000A9040000}"/>
    <cellStyle name="Millares 2 2 2 2 2 2 2 25 10" xfId="1194" xr:uid="{00000000-0005-0000-0000-0000AA040000}"/>
    <cellStyle name="Millares 2 2 2 2 2 2 2 25 2" xfId="1195" xr:uid="{00000000-0005-0000-0000-0000AB040000}"/>
    <cellStyle name="Millares 2 2 2 2 2 2 2 25 3" xfId="1196" xr:uid="{00000000-0005-0000-0000-0000AC040000}"/>
    <cellStyle name="Millares 2 2 2 2 2 2 2 25 4" xfId="1197" xr:uid="{00000000-0005-0000-0000-0000AD040000}"/>
    <cellStyle name="Millares 2 2 2 2 2 2 2 25 5" xfId="1198" xr:uid="{00000000-0005-0000-0000-0000AE040000}"/>
    <cellStyle name="Millares 2 2 2 2 2 2 2 25 6" xfId="1199" xr:uid="{00000000-0005-0000-0000-0000AF040000}"/>
    <cellStyle name="Millares 2 2 2 2 2 2 2 25 7" xfId="1200" xr:uid="{00000000-0005-0000-0000-0000B0040000}"/>
    <cellStyle name="Millares 2 2 2 2 2 2 2 25 8" xfId="1201" xr:uid="{00000000-0005-0000-0000-0000B1040000}"/>
    <cellStyle name="Millares 2 2 2 2 2 2 2 25 9" xfId="1202" xr:uid="{00000000-0005-0000-0000-0000B2040000}"/>
    <cellStyle name="Millares 2 2 2 2 2 2 2 26" xfId="1203" xr:uid="{00000000-0005-0000-0000-0000B3040000}"/>
    <cellStyle name="Millares 2 2 2 2 2 2 2 27" xfId="1204" xr:uid="{00000000-0005-0000-0000-0000B4040000}"/>
    <cellStyle name="Millares 2 2 2 2 2 2 2 28" xfId="1205" xr:uid="{00000000-0005-0000-0000-0000B5040000}"/>
    <cellStyle name="Millares 2 2 2 2 2 2 2 29" xfId="1206" xr:uid="{00000000-0005-0000-0000-0000B6040000}"/>
    <cellStyle name="Millares 2 2 2 2 2 2 2 3" xfId="1207" xr:uid="{00000000-0005-0000-0000-0000B7040000}"/>
    <cellStyle name="Millares 2 2 2 2 2 2 2 30" xfId="1208" xr:uid="{00000000-0005-0000-0000-0000B8040000}"/>
    <cellStyle name="Millares 2 2 2 2 2 2 2 31" xfId="1209" xr:uid="{00000000-0005-0000-0000-0000B9040000}"/>
    <cellStyle name="Millares 2 2 2 2 2 2 2 32" xfId="1210" xr:uid="{00000000-0005-0000-0000-0000BA040000}"/>
    <cellStyle name="Millares 2 2 2 2 2 2 2 33" xfId="1211" xr:uid="{00000000-0005-0000-0000-0000BB040000}"/>
    <cellStyle name="Millares 2 2 2 2 2 2 2 34" xfId="1212" xr:uid="{00000000-0005-0000-0000-0000BC040000}"/>
    <cellStyle name="Millares 2 2 2 2 2 2 2 4" xfId="1213" xr:uid="{00000000-0005-0000-0000-0000BD040000}"/>
    <cellStyle name="Millares 2 2 2 2 2 2 2 5" xfId="1214" xr:uid="{00000000-0005-0000-0000-0000BE040000}"/>
    <cellStyle name="Millares 2 2 2 2 2 2 2 6" xfId="1215" xr:uid="{00000000-0005-0000-0000-0000BF040000}"/>
    <cellStyle name="Millares 2 2 2 2 2 2 2 7" xfId="1216" xr:uid="{00000000-0005-0000-0000-0000C0040000}"/>
    <cellStyle name="Millares 2 2 2 2 2 2 2 8" xfId="1217" xr:uid="{00000000-0005-0000-0000-0000C1040000}"/>
    <cellStyle name="Millares 2 2 2 2 2 2 2 9" xfId="1218" xr:uid="{00000000-0005-0000-0000-0000C2040000}"/>
    <cellStyle name="Millares 2 2 2 2 2 2 20" xfId="1219" xr:uid="{00000000-0005-0000-0000-0000C3040000}"/>
    <cellStyle name="Millares 2 2 2 2 2 2 21" xfId="1220" xr:uid="{00000000-0005-0000-0000-0000C4040000}"/>
    <cellStyle name="Millares 2 2 2 2 2 2 22" xfId="1221" xr:uid="{00000000-0005-0000-0000-0000C5040000}"/>
    <cellStyle name="Millares 2 2 2 2 2 2 23" xfId="1222" xr:uid="{00000000-0005-0000-0000-0000C6040000}"/>
    <cellStyle name="Millares 2 2 2 2 2 2 24" xfId="1223" xr:uid="{00000000-0005-0000-0000-0000C7040000}"/>
    <cellStyle name="Millares 2 2 2 2 2 2 25" xfId="1224" xr:uid="{00000000-0005-0000-0000-0000C8040000}"/>
    <cellStyle name="Millares 2 2 2 2 2 2 25 10" xfId="1225" xr:uid="{00000000-0005-0000-0000-0000C9040000}"/>
    <cellStyle name="Millares 2 2 2 2 2 2 25 2" xfId="1226" xr:uid="{00000000-0005-0000-0000-0000CA040000}"/>
    <cellStyle name="Millares 2 2 2 2 2 2 25 3" xfId="1227" xr:uid="{00000000-0005-0000-0000-0000CB040000}"/>
    <cellStyle name="Millares 2 2 2 2 2 2 25 4" xfId="1228" xr:uid="{00000000-0005-0000-0000-0000CC040000}"/>
    <cellStyle name="Millares 2 2 2 2 2 2 25 5" xfId="1229" xr:uid="{00000000-0005-0000-0000-0000CD040000}"/>
    <cellStyle name="Millares 2 2 2 2 2 2 25 6" xfId="1230" xr:uid="{00000000-0005-0000-0000-0000CE040000}"/>
    <cellStyle name="Millares 2 2 2 2 2 2 25 7" xfId="1231" xr:uid="{00000000-0005-0000-0000-0000CF040000}"/>
    <cellStyle name="Millares 2 2 2 2 2 2 25 8" xfId="1232" xr:uid="{00000000-0005-0000-0000-0000D0040000}"/>
    <cellStyle name="Millares 2 2 2 2 2 2 25 9" xfId="1233" xr:uid="{00000000-0005-0000-0000-0000D1040000}"/>
    <cellStyle name="Millares 2 2 2 2 2 2 26" xfId="1234" xr:uid="{00000000-0005-0000-0000-0000D2040000}"/>
    <cellStyle name="Millares 2 2 2 2 2 2 27" xfId="1235" xr:uid="{00000000-0005-0000-0000-0000D3040000}"/>
    <cellStyle name="Millares 2 2 2 2 2 2 28" xfId="1236" xr:uid="{00000000-0005-0000-0000-0000D4040000}"/>
    <cellStyle name="Millares 2 2 2 2 2 2 29" xfId="1237" xr:uid="{00000000-0005-0000-0000-0000D5040000}"/>
    <cellStyle name="Millares 2 2 2 2 2 2 3" xfId="1238" xr:uid="{00000000-0005-0000-0000-0000D6040000}"/>
    <cellStyle name="Millares 2 2 2 2 2 2 30" xfId="1239" xr:uid="{00000000-0005-0000-0000-0000D7040000}"/>
    <cellStyle name="Millares 2 2 2 2 2 2 31" xfId="1240" xr:uid="{00000000-0005-0000-0000-0000D8040000}"/>
    <cellStyle name="Millares 2 2 2 2 2 2 32" xfId="1241" xr:uid="{00000000-0005-0000-0000-0000D9040000}"/>
    <cellStyle name="Millares 2 2 2 2 2 2 33" xfId="1242" xr:uid="{00000000-0005-0000-0000-0000DA040000}"/>
    <cellStyle name="Millares 2 2 2 2 2 2 34" xfId="1243" xr:uid="{00000000-0005-0000-0000-0000DB040000}"/>
    <cellStyle name="Millares 2 2 2 2 2 2 35" xfId="1244" xr:uid="{00000000-0005-0000-0000-0000DC040000}"/>
    <cellStyle name="Millares 2 2 2 2 2 2 4" xfId="1245" xr:uid="{00000000-0005-0000-0000-0000DD040000}"/>
    <cellStyle name="Millares 2 2 2 2 2 2 5" xfId="1246" xr:uid="{00000000-0005-0000-0000-0000DE040000}"/>
    <cellStyle name="Millares 2 2 2 2 2 2 6" xfId="1247" xr:uid="{00000000-0005-0000-0000-0000DF040000}"/>
    <cellStyle name="Millares 2 2 2 2 2 2 7" xfId="1248" xr:uid="{00000000-0005-0000-0000-0000E0040000}"/>
    <cellStyle name="Millares 2 2 2 2 2 2 8" xfId="1249" xr:uid="{00000000-0005-0000-0000-0000E1040000}"/>
    <cellStyle name="Millares 2 2 2 2 2 2 9" xfId="1250" xr:uid="{00000000-0005-0000-0000-0000E2040000}"/>
    <cellStyle name="Millares 2 2 2 2 2 20" xfId="1251" xr:uid="{00000000-0005-0000-0000-0000E3040000}"/>
    <cellStyle name="Millares 2 2 2 2 2 21" xfId="1252" xr:uid="{00000000-0005-0000-0000-0000E4040000}"/>
    <cellStyle name="Millares 2 2 2 2 2 22" xfId="1253" xr:uid="{00000000-0005-0000-0000-0000E5040000}"/>
    <cellStyle name="Millares 2 2 2 2 2 23" xfId="1254" xr:uid="{00000000-0005-0000-0000-0000E6040000}"/>
    <cellStyle name="Millares 2 2 2 2 2 24" xfId="1255" xr:uid="{00000000-0005-0000-0000-0000E7040000}"/>
    <cellStyle name="Millares 2 2 2 2 2 25" xfId="1256" xr:uid="{00000000-0005-0000-0000-0000E8040000}"/>
    <cellStyle name="Millares 2 2 2 2 2 26" xfId="1257" xr:uid="{00000000-0005-0000-0000-0000E9040000}"/>
    <cellStyle name="Millares 2 2 2 2 2 27" xfId="1258" xr:uid="{00000000-0005-0000-0000-0000EA040000}"/>
    <cellStyle name="Millares 2 2 2 2 2 28" xfId="1259" xr:uid="{00000000-0005-0000-0000-0000EB040000}"/>
    <cellStyle name="Millares 2 2 2 2 2 29" xfId="1260" xr:uid="{00000000-0005-0000-0000-0000EC040000}"/>
    <cellStyle name="Millares 2 2 2 2 2 3" xfId="1261" xr:uid="{00000000-0005-0000-0000-0000ED040000}"/>
    <cellStyle name="Millares 2 2 2 2 2 30" xfId="1262" xr:uid="{00000000-0005-0000-0000-0000EE040000}"/>
    <cellStyle name="Millares 2 2 2 2 2 31" xfId="1263" xr:uid="{00000000-0005-0000-0000-0000EF040000}"/>
    <cellStyle name="Millares 2 2 2 2 2 32" xfId="1264" xr:uid="{00000000-0005-0000-0000-0000F0040000}"/>
    <cellStyle name="Millares 2 2 2 2 2 33" xfId="1265" xr:uid="{00000000-0005-0000-0000-0000F1040000}"/>
    <cellStyle name="Millares 2 2 2 2 2 34" xfId="1266" xr:uid="{00000000-0005-0000-0000-0000F2040000}"/>
    <cellStyle name="Millares 2 2 2 2 2 35" xfId="1267" xr:uid="{00000000-0005-0000-0000-0000F3040000}"/>
    <cellStyle name="Millares 2 2 2 2 2 36" xfId="1268" xr:uid="{00000000-0005-0000-0000-0000F4040000}"/>
    <cellStyle name="Millares 2 2 2 2 2 37" xfId="1269" xr:uid="{00000000-0005-0000-0000-0000F5040000}"/>
    <cellStyle name="Millares 2 2 2 2 2 38" xfId="1270" xr:uid="{00000000-0005-0000-0000-0000F6040000}"/>
    <cellStyle name="Millares 2 2 2 2 2 38 10" xfId="1271" xr:uid="{00000000-0005-0000-0000-0000F7040000}"/>
    <cellStyle name="Millares 2 2 2 2 2 38 2" xfId="1272" xr:uid="{00000000-0005-0000-0000-0000F8040000}"/>
    <cellStyle name="Millares 2 2 2 2 2 38 3" xfId="1273" xr:uid="{00000000-0005-0000-0000-0000F9040000}"/>
    <cellStyle name="Millares 2 2 2 2 2 38 4" xfId="1274" xr:uid="{00000000-0005-0000-0000-0000FA040000}"/>
    <cellStyle name="Millares 2 2 2 2 2 38 5" xfId="1275" xr:uid="{00000000-0005-0000-0000-0000FB040000}"/>
    <cellStyle name="Millares 2 2 2 2 2 38 6" xfId="1276" xr:uid="{00000000-0005-0000-0000-0000FC040000}"/>
    <cellStyle name="Millares 2 2 2 2 2 38 7" xfId="1277" xr:uid="{00000000-0005-0000-0000-0000FD040000}"/>
    <cellStyle name="Millares 2 2 2 2 2 38 8" xfId="1278" xr:uid="{00000000-0005-0000-0000-0000FE040000}"/>
    <cellStyle name="Millares 2 2 2 2 2 38 9" xfId="1279" xr:uid="{00000000-0005-0000-0000-0000FF040000}"/>
    <cellStyle name="Millares 2 2 2 2 2 39" xfId="1280" xr:uid="{00000000-0005-0000-0000-000000050000}"/>
    <cellStyle name="Millares 2 2 2 2 2 4" xfId="1281" xr:uid="{00000000-0005-0000-0000-000001050000}"/>
    <cellStyle name="Millares 2 2 2 2 2 40" xfId="1282" xr:uid="{00000000-0005-0000-0000-000002050000}"/>
    <cellStyle name="Millares 2 2 2 2 2 41" xfId="1283" xr:uid="{00000000-0005-0000-0000-000003050000}"/>
    <cellStyle name="Millares 2 2 2 2 2 42" xfId="1284" xr:uid="{00000000-0005-0000-0000-000004050000}"/>
    <cellStyle name="Millares 2 2 2 2 2 43" xfId="1285" xr:uid="{00000000-0005-0000-0000-000005050000}"/>
    <cellStyle name="Millares 2 2 2 2 2 44" xfId="1286" xr:uid="{00000000-0005-0000-0000-000006050000}"/>
    <cellStyle name="Millares 2 2 2 2 2 45" xfId="1287" xr:uid="{00000000-0005-0000-0000-000007050000}"/>
    <cellStyle name="Millares 2 2 2 2 2 46" xfId="1288" xr:uid="{00000000-0005-0000-0000-000008050000}"/>
    <cellStyle name="Millares 2 2 2 2 2 47" xfId="1289" xr:uid="{00000000-0005-0000-0000-000009050000}"/>
    <cellStyle name="Millares 2 2 2 2 2 48" xfId="1290" xr:uid="{00000000-0005-0000-0000-00000A050000}"/>
    <cellStyle name="Millares 2 2 2 2 2 5" xfId="1291" xr:uid="{00000000-0005-0000-0000-00000B050000}"/>
    <cellStyle name="Millares 2 2 2 2 2 6" xfId="1292" xr:uid="{00000000-0005-0000-0000-00000C050000}"/>
    <cellStyle name="Millares 2 2 2 2 2 7" xfId="1293" xr:uid="{00000000-0005-0000-0000-00000D050000}"/>
    <cellStyle name="Millares 2 2 2 2 2 8" xfId="1294" xr:uid="{00000000-0005-0000-0000-00000E050000}"/>
    <cellStyle name="Millares 2 2 2 2 2 9" xfId="1295" xr:uid="{00000000-0005-0000-0000-00000F050000}"/>
    <cellStyle name="Millares 2 2 2 2 20" xfId="1296" xr:uid="{00000000-0005-0000-0000-000010050000}"/>
    <cellStyle name="Millares 2 2 2 2 21" xfId="1297" xr:uid="{00000000-0005-0000-0000-000011050000}"/>
    <cellStyle name="Millares 2 2 2 2 22" xfId="1298" xr:uid="{00000000-0005-0000-0000-000012050000}"/>
    <cellStyle name="Millares 2 2 2 2 23" xfId="1299" xr:uid="{00000000-0005-0000-0000-000013050000}"/>
    <cellStyle name="Millares 2 2 2 2 24" xfId="1300" xr:uid="{00000000-0005-0000-0000-000014050000}"/>
    <cellStyle name="Millares 2 2 2 2 25" xfId="1301" xr:uid="{00000000-0005-0000-0000-000015050000}"/>
    <cellStyle name="Millares 2 2 2 2 26" xfId="1302" xr:uid="{00000000-0005-0000-0000-000016050000}"/>
    <cellStyle name="Millares 2 2 2 2 27" xfId="1303" xr:uid="{00000000-0005-0000-0000-000017050000}"/>
    <cellStyle name="Millares 2 2 2 2 28" xfId="1304" xr:uid="{00000000-0005-0000-0000-000018050000}"/>
    <cellStyle name="Millares 2 2 2 2 29" xfId="1305" xr:uid="{00000000-0005-0000-0000-000019050000}"/>
    <cellStyle name="Millares 2 2 2 2 3" xfId="1306" xr:uid="{00000000-0005-0000-0000-00001A050000}"/>
    <cellStyle name="Millares 2 2 2 2 30" xfId="1307" xr:uid="{00000000-0005-0000-0000-00001B050000}"/>
    <cellStyle name="Millares 2 2 2 2 31" xfId="1308" xr:uid="{00000000-0005-0000-0000-00001C050000}"/>
    <cellStyle name="Millares 2 2 2 2 32" xfId="1309" xr:uid="{00000000-0005-0000-0000-00001D050000}"/>
    <cellStyle name="Millares 2 2 2 2 33" xfId="1310" xr:uid="{00000000-0005-0000-0000-00001E050000}"/>
    <cellStyle name="Millares 2 2 2 2 34" xfId="1311" xr:uid="{00000000-0005-0000-0000-00001F050000}"/>
    <cellStyle name="Millares 2 2 2 2 35" xfId="1312" xr:uid="{00000000-0005-0000-0000-000020050000}"/>
    <cellStyle name="Millares 2 2 2 2 36" xfId="1313" xr:uid="{00000000-0005-0000-0000-000021050000}"/>
    <cellStyle name="Millares 2 2 2 2 37" xfId="1314" xr:uid="{00000000-0005-0000-0000-000022050000}"/>
    <cellStyle name="Millares 2 2 2 2 38" xfId="1315" xr:uid="{00000000-0005-0000-0000-000023050000}"/>
    <cellStyle name="Millares 2 2 2 2 39" xfId="1316" xr:uid="{00000000-0005-0000-0000-000024050000}"/>
    <cellStyle name="Millares 2 2 2 2 39 10" xfId="1317" xr:uid="{00000000-0005-0000-0000-000025050000}"/>
    <cellStyle name="Millares 2 2 2 2 39 2" xfId="1318" xr:uid="{00000000-0005-0000-0000-000026050000}"/>
    <cellStyle name="Millares 2 2 2 2 39 3" xfId="1319" xr:uid="{00000000-0005-0000-0000-000027050000}"/>
    <cellStyle name="Millares 2 2 2 2 39 4" xfId="1320" xr:uid="{00000000-0005-0000-0000-000028050000}"/>
    <cellStyle name="Millares 2 2 2 2 39 5" xfId="1321" xr:uid="{00000000-0005-0000-0000-000029050000}"/>
    <cellStyle name="Millares 2 2 2 2 39 6" xfId="1322" xr:uid="{00000000-0005-0000-0000-00002A050000}"/>
    <cellStyle name="Millares 2 2 2 2 39 7" xfId="1323" xr:uid="{00000000-0005-0000-0000-00002B050000}"/>
    <cellStyle name="Millares 2 2 2 2 39 8" xfId="1324" xr:uid="{00000000-0005-0000-0000-00002C050000}"/>
    <cellStyle name="Millares 2 2 2 2 39 9" xfId="1325" xr:uid="{00000000-0005-0000-0000-00002D050000}"/>
    <cellStyle name="Millares 2 2 2 2 4" xfId="1326" xr:uid="{00000000-0005-0000-0000-00002E050000}"/>
    <cellStyle name="Millares 2 2 2 2 4 10" xfId="1327" xr:uid="{00000000-0005-0000-0000-00002F050000}"/>
    <cellStyle name="Millares 2 2 2 2 4 11" xfId="1328" xr:uid="{00000000-0005-0000-0000-000030050000}"/>
    <cellStyle name="Millares 2 2 2 2 4 12" xfId="1329" xr:uid="{00000000-0005-0000-0000-000031050000}"/>
    <cellStyle name="Millares 2 2 2 2 4 13" xfId="1330" xr:uid="{00000000-0005-0000-0000-000032050000}"/>
    <cellStyle name="Millares 2 2 2 2 4 14" xfId="1331" xr:uid="{00000000-0005-0000-0000-000033050000}"/>
    <cellStyle name="Millares 2 2 2 2 4 15" xfId="1332" xr:uid="{00000000-0005-0000-0000-000034050000}"/>
    <cellStyle name="Millares 2 2 2 2 4 16" xfId="1333" xr:uid="{00000000-0005-0000-0000-000035050000}"/>
    <cellStyle name="Millares 2 2 2 2 4 17" xfId="1334" xr:uid="{00000000-0005-0000-0000-000036050000}"/>
    <cellStyle name="Millares 2 2 2 2 4 18" xfId="1335" xr:uid="{00000000-0005-0000-0000-000037050000}"/>
    <cellStyle name="Millares 2 2 2 2 4 19" xfId="1336" xr:uid="{00000000-0005-0000-0000-000038050000}"/>
    <cellStyle name="Millares 2 2 2 2 4 2" xfId="1337" xr:uid="{00000000-0005-0000-0000-000039050000}"/>
    <cellStyle name="Millares 2 2 2 2 4 2 10" xfId="1338" xr:uid="{00000000-0005-0000-0000-00003A050000}"/>
    <cellStyle name="Millares 2 2 2 2 4 2 11" xfId="1339" xr:uid="{00000000-0005-0000-0000-00003B050000}"/>
    <cellStyle name="Millares 2 2 2 2 4 2 12" xfId="1340" xr:uid="{00000000-0005-0000-0000-00003C050000}"/>
    <cellStyle name="Millares 2 2 2 2 4 2 13" xfId="1341" xr:uid="{00000000-0005-0000-0000-00003D050000}"/>
    <cellStyle name="Millares 2 2 2 2 4 2 14" xfId="1342" xr:uid="{00000000-0005-0000-0000-00003E050000}"/>
    <cellStyle name="Millares 2 2 2 2 4 2 15" xfId="1343" xr:uid="{00000000-0005-0000-0000-00003F050000}"/>
    <cellStyle name="Millares 2 2 2 2 4 2 16" xfId="1344" xr:uid="{00000000-0005-0000-0000-000040050000}"/>
    <cellStyle name="Millares 2 2 2 2 4 2 17" xfId="1345" xr:uid="{00000000-0005-0000-0000-000041050000}"/>
    <cellStyle name="Millares 2 2 2 2 4 2 18" xfId="1346" xr:uid="{00000000-0005-0000-0000-000042050000}"/>
    <cellStyle name="Millares 2 2 2 2 4 2 19" xfId="1347" xr:uid="{00000000-0005-0000-0000-000043050000}"/>
    <cellStyle name="Millares 2 2 2 2 4 2 2" xfId="1348" xr:uid="{00000000-0005-0000-0000-000044050000}"/>
    <cellStyle name="Millares 2 2 2 2 4 2 20" xfId="1349" xr:uid="{00000000-0005-0000-0000-000045050000}"/>
    <cellStyle name="Millares 2 2 2 2 4 2 3" xfId="1350" xr:uid="{00000000-0005-0000-0000-000046050000}"/>
    <cellStyle name="Millares 2 2 2 2 4 2 4" xfId="1351" xr:uid="{00000000-0005-0000-0000-000047050000}"/>
    <cellStyle name="Millares 2 2 2 2 4 2 5" xfId="1352" xr:uid="{00000000-0005-0000-0000-000048050000}"/>
    <cellStyle name="Millares 2 2 2 2 4 2 6" xfId="1353" xr:uid="{00000000-0005-0000-0000-000049050000}"/>
    <cellStyle name="Millares 2 2 2 2 4 2 7" xfId="1354" xr:uid="{00000000-0005-0000-0000-00004A050000}"/>
    <cellStyle name="Millares 2 2 2 2 4 2 8" xfId="1355" xr:uid="{00000000-0005-0000-0000-00004B050000}"/>
    <cellStyle name="Millares 2 2 2 2 4 2 9" xfId="1356" xr:uid="{00000000-0005-0000-0000-00004C050000}"/>
    <cellStyle name="Millares 2 2 2 2 4 20" xfId="1357" xr:uid="{00000000-0005-0000-0000-00004D050000}"/>
    <cellStyle name="Millares 2 2 2 2 4 3" xfId="1358" xr:uid="{00000000-0005-0000-0000-00004E050000}"/>
    <cellStyle name="Millares 2 2 2 2 4 4" xfId="1359" xr:uid="{00000000-0005-0000-0000-00004F050000}"/>
    <cellStyle name="Millares 2 2 2 2 4 5" xfId="1360" xr:uid="{00000000-0005-0000-0000-000050050000}"/>
    <cellStyle name="Millares 2 2 2 2 4 6" xfId="1361" xr:uid="{00000000-0005-0000-0000-000051050000}"/>
    <cellStyle name="Millares 2 2 2 2 4 7" xfId="1362" xr:uid="{00000000-0005-0000-0000-000052050000}"/>
    <cellStyle name="Millares 2 2 2 2 4 8" xfId="1363" xr:uid="{00000000-0005-0000-0000-000053050000}"/>
    <cellStyle name="Millares 2 2 2 2 4 9" xfId="1364" xr:uid="{00000000-0005-0000-0000-000054050000}"/>
    <cellStyle name="Millares 2 2 2 2 40" xfId="1365" xr:uid="{00000000-0005-0000-0000-000055050000}"/>
    <cellStyle name="Millares 2 2 2 2 41" xfId="1366" xr:uid="{00000000-0005-0000-0000-000056050000}"/>
    <cellStyle name="Millares 2 2 2 2 42" xfId="1367" xr:uid="{00000000-0005-0000-0000-000057050000}"/>
    <cellStyle name="Millares 2 2 2 2 43" xfId="1368" xr:uid="{00000000-0005-0000-0000-000058050000}"/>
    <cellStyle name="Millares 2 2 2 2 44" xfId="1369" xr:uid="{00000000-0005-0000-0000-000059050000}"/>
    <cellStyle name="Millares 2 2 2 2 45" xfId="1370" xr:uid="{00000000-0005-0000-0000-00005A050000}"/>
    <cellStyle name="Millares 2 2 2 2 46" xfId="1371" xr:uid="{00000000-0005-0000-0000-00005B050000}"/>
    <cellStyle name="Millares 2 2 2 2 47" xfId="1372" xr:uid="{00000000-0005-0000-0000-00005C050000}"/>
    <cellStyle name="Millares 2 2 2 2 48" xfId="1373" xr:uid="{00000000-0005-0000-0000-00005D050000}"/>
    <cellStyle name="Millares 2 2 2 2 5" xfId="1374" xr:uid="{00000000-0005-0000-0000-00005E050000}"/>
    <cellStyle name="Millares 2 2 2 2 6" xfId="1375" xr:uid="{00000000-0005-0000-0000-00005F050000}"/>
    <cellStyle name="Millares 2 2 2 2 7" xfId="1376" xr:uid="{00000000-0005-0000-0000-000060050000}"/>
    <cellStyle name="Millares 2 2 2 2 8" xfId="1377" xr:uid="{00000000-0005-0000-0000-000061050000}"/>
    <cellStyle name="Millares 2 2 2 2 9" xfId="1378" xr:uid="{00000000-0005-0000-0000-000062050000}"/>
    <cellStyle name="Millares 2 2 2 20" xfId="1379" xr:uid="{00000000-0005-0000-0000-000063050000}"/>
    <cellStyle name="Millares 2 2 2 21" xfId="1380" xr:uid="{00000000-0005-0000-0000-000064050000}"/>
    <cellStyle name="Millares 2 2 2 22" xfId="1381" xr:uid="{00000000-0005-0000-0000-000065050000}"/>
    <cellStyle name="Millares 2 2 2 23" xfId="1382" xr:uid="{00000000-0005-0000-0000-000066050000}"/>
    <cellStyle name="Millares 2 2 2 24" xfId="1383" xr:uid="{00000000-0005-0000-0000-000067050000}"/>
    <cellStyle name="Millares 2 2 2 25" xfId="1384" xr:uid="{00000000-0005-0000-0000-000068050000}"/>
    <cellStyle name="Millares 2 2 2 26" xfId="1385" xr:uid="{00000000-0005-0000-0000-000069050000}"/>
    <cellStyle name="Millares 2 2 2 27" xfId="1386" xr:uid="{00000000-0005-0000-0000-00006A050000}"/>
    <cellStyle name="Millares 2 2 2 28" xfId="1387" xr:uid="{00000000-0005-0000-0000-00006B050000}"/>
    <cellStyle name="Millares 2 2 2 29" xfId="1388" xr:uid="{00000000-0005-0000-0000-00006C050000}"/>
    <cellStyle name="Millares 2 2 2 3" xfId="1389" xr:uid="{00000000-0005-0000-0000-00006D050000}"/>
    <cellStyle name="Millares 2 2 2 3 10" xfId="1390" xr:uid="{00000000-0005-0000-0000-00006E050000}"/>
    <cellStyle name="Millares 2 2 2 3 11" xfId="1391" xr:uid="{00000000-0005-0000-0000-00006F050000}"/>
    <cellStyle name="Millares 2 2 2 3 12" xfId="1392" xr:uid="{00000000-0005-0000-0000-000070050000}"/>
    <cellStyle name="Millares 2 2 2 3 13" xfId="1393" xr:uid="{00000000-0005-0000-0000-000071050000}"/>
    <cellStyle name="Millares 2 2 2 3 14" xfId="1394" xr:uid="{00000000-0005-0000-0000-000072050000}"/>
    <cellStyle name="Millares 2 2 2 3 15" xfId="1395" xr:uid="{00000000-0005-0000-0000-000073050000}"/>
    <cellStyle name="Millares 2 2 2 3 16" xfId="1396" xr:uid="{00000000-0005-0000-0000-000074050000}"/>
    <cellStyle name="Millares 2 2 2 3 17" xfId="1397" xr:uid="{00000000-0005-0000-0000-000075050000}"/>
    <cellStyle name="Millares 2 2 2 3 18" xfId="1398" xr:uid="{00000000-0005-0000-0000-000076050000}"/>
    <cellStyle name="Millares 2 2 2 3 19" xfId="1399" xr:uid="{00000000-0005-0000-0000-000077050000}"/>
    <cellStyle name="Millares 2 2 2 3 2" xfId="1400" xr:uid="{00000000-0005-0000-0000-000078050000}"/>
    <cellStyle name="Millares 2 2 2 3 2 10" xfId="1401" xr:uid="{00000000-0005-0000-0000-000079050000}"/>
    <cellStyle name="Millares 2 2 2 3 2 11" xfId="1402" xr:uid="{00000000-0005-0000-0000-00007A050000}"/>
    <cellStyle name="Millares 2 2 2 3 2 12" xfId="1403" xr:uid="{00000000-0005-0000-0000-00007B050000}"/>
    <cellStyle name="Millares 2 2 2 3 2 13" xfId="1404" xr:uid="{00000000-0005-0000-0000-00007C050000}"/>
    <cellStyle name="Millares 2 2 2 3 2 14" xfId="1405" xr:uid="{00000000-0005-0000-0000-00007D050000}"/>
    <cellStyle name="Millares 2 2 2 3 2 15" xfId="1406" xr:uid="{00000000-0005-0000-0000-00007E050000}"/>
    <cellStyle name="Millares 2 2 2 3 2 16" xfId="1407" xr:uid="{00000000-0005-0000-0000-00007F050000}"/>
    <cellStyle name="Millares 2 2 2 3 2 17" xfId="1408" xr:uid="{00000000-0005-0000-0000-000080050000}"/>
    <cellStyle name="Millares 2 2 2 3 2 18" xfId="1409" xr:uid="{00000000-0005-0000-0000-000081050000}"/>
    <cellStyle name="Millares 2 2 2 3 2 19" xfId="1410" xr:uid="{00000000-0005-0000-0000-000082050000}"/>
    <cellStyle name="Millares 2 2 2 3 2 2" xfId="1411" xr:uid="{00000000-0005-0000-0000-000083050000}"/>
    <cellStyle name="Millares 2 2 2 3 2 2 10" xfId="1412" xr:uid="{00000000-0005-0000-0000-000084050000}"/>
    <cellStyle name="Millares 2 2 2 3 2 2 11" xfId="1413" xr:uid="{00000000-0005-0000-0000-000085050000}"/>
    <cellStyle name="Millares 2 2 2 3 2 2 12" xfId="1414" xr:uid="{00000000-0005-0000-0000-000086050000}"/>
    <cellStyle name="Millares 2 2 2 3 2 2 13" xfId="1415" xr:uid="{00000000-0005-0000-0000-000087050000}"/>
    <cellStyle name="Millares 2 2 2 3 2 2 14" xfId="1416" xr:uid="{00000000-0005-0000-0000-000088050000}"/>
    <cellStyle name="Millares 2 2 2 3 2 2 15" xfId="1417" xr:uid="{00000000-0005-0000-0000-000089050000}"/>
    <cellStyle name="Millares 2 2 2 3 2 2 16" xfId="1418" xr:uid="{00000000-0005-0000-0000-00008A050000}"/>
    <cellStyle name="Millares 2 2 2 3 2 2 17" xfId="1419" xr:uid="{00000000-0005-0000-0000-00008B050000}"/>
    <cellStyle name="Millares 2 2 2 3 2 2 18" xfId="1420" xr:uid="{00000000-0005-0000-0000-00008C050000}"/>
    <cellStyle name="Millares 2 2 2 3 2 2 19" xfId="1421" xr:uid="{00000000-0005-0000-0000-00008D050000}"/>
    <cellStyle name="Millares 2 2 2 3 2 2 2" xfId="1422" xr:uid="{00000000-0005-0000-0000-00008E050000}"/>
    <cellStyle name="Millares 2 2 2 3 2 2 20" xfId="1423" xr:uid="{00000000-0005-0000-0000-00008F050000}"/>
    <cellStyle name="Millares 2 2 2 3 2 2 3" xfId="1424" xr:uid="{00000000-0005-0000-0000-000090050000}"/>
    <cellStyle name="Millares 2 2 2 3 2 2 4" xfId="1425" xr:uid="{00000000-0005-0000-0000-000091050000}"/>
    <cellStyle name="Millares 2 2 2 3 2 2 5" xfId="1426" xr:uid="{00000000-0005-0000-0000-000092050000}"/>
    <cellStyle name="Millares 2 2 2 3 2 2 6" xfId="1427" xr:uid="{00000000-0005-0000-0000-000093050000}"/>
    <cellStyle name="Millares 2 2 2 3 2 2 7" xfId="1428" xr:uid="{00000000-0005-0000-0000-000094050000}"/>
    <cellStyle name="Millares 2 2 2 3 2 2 8" xfId="1429" xr:uid="{00000000-0005-0000-0000-000095050000}"/>
    <cellStyle name="Millares 2 2 2 3 2 2 9" xfId="1430" xr:uid="{00000000-0005-0000-0000-000096050000}"/>
    <cellStyle name="Millares 2 2 2 3 2 20" xfId="1431" xr:uid="{00000000-0005-0000-0000-000097050000}"/>
    <cellStyle name="Millares 2 2 2 3 2 3" xfId="1432" xr:uid="{00000000-0005-0000-0000-000098050000}"/>
    <cellStyle name="Millares 2 2 2 3 2 4" xfId="1433" xr:uid="{00000000-0005-0000-0000-000099050000}"/>
    <cellStyle name="Millares 2 2 2 3 2 5" xfId="1434" xr:uid="{00000000-0005-0000-0000-00009A050000}"/>
    <cellStyle name="Millares 2 2 2 3 2 6" xfId="1435" xr:uid="{00000000-0005-0000-0000-00009B050000}"/>
    <cellStyle name="Millares 2 2 2 3 2 7" xfId="1436" xr:uid="{00000000-0005-0000-0000-00009C050000}"/>
    <cellStyle name="Millares 2 2 2 3 2 8" xfId="1437" xr:uid="{00000000-0005-0000-0000-00009D050000}"/>
    <cellStyle name="Millares 2 2 2 3 2 9" xfId="1438" xr:uid="{00000000-0005-0000-0000-00009E050000}"/>
    <cellStyle name="Millares 2 2 2 3 20" xfId="1439" xr:uid="{00000000-0005-0000-0000-00009F050000}"/>
    <cellStyle name="Millares 2 2 2 3 21" xfId="1440" xr:uid="{00000000-0005-0000-0000-0000A0050000}"/>
    <cellStyle name="Millares 2 2 2 3 22" xfId="1441" xr:uid="{00000000-0005-0000-0000-0000A1050000}"/>
    <cellStyle name="Millares 2 2 2 3 23" xfId="1442" xr:uid="{00000000-0005-0000-0000-0000A2050000}"/>
    <cellStyle name="Millares 2 2 2 3 24" xfId="1443" xr:uid="{00000000-0005-0000-0000-0000A3050000}"/>
    <cellStyle name="Millares 2 2 2 3 25" xfId="1444" xr:uid="{00000000-0005-0000-0000-0000A4050000}"/>
    <cellStyle name="Millares 2 2 2 3 26" xfId="1445" xr:uid="{00000000-0005-0000-0000-0000A5050000}"/>
    <cellStyle name="Millares 2 2 2 3 27" xfId="1446" xr:uid="{00000000-0005-0000-0000-0000A6050000}"/>
    <cellStyle name="Millares 2 2 2 3 28" xfId="1447" xr:uid="{00000000-0005-0000-0000-0000A7050000}"/>
    <cellStyle name="Millares 2 2 2 3 29" xfId="1448" xr:uid="{00000000-0005-0000-0000-0000A8050000}"/>
    <cellStyle name="Millares 2 2 2 3 3" xfId="1449" xr:uid="{00000000-0005-0000-0000-0000A9050000}"/>
    <cellStyle name="Millares 2 2 2 3 30" xfId="1450" xr:uid="{00000000-0005-0000-0000-0000AA050000}"/>
    <cellStyle name="Millares 2 2 2 3 31" xfId="1451" xr:uid="{00000000-0005-0000-0000-0000AB050000}"/>
    <cellStyle name="Millares 2 2 2 3 32" xfId="1452" xr:uid="{00000000-0005-0000-0000-0000AC050000}"/>
    <cellStyle name="Millares 2 2 2 3 33" xfId="1453" xr:uid="{00000000-0005-0000-0000-0000AD050000}"/>
    <cellStyle name="Millares 2 2 2 3 4" xfId="1454" xr:uid="{00000000-0005-0000-0000-0000AE050000}"/>
    <cellStyle name="Millares 2 2 2 3 5" xfId="1455" xr:uid="{00000000-0005-0000-0000-0000AF050000}"/>
    <cellStyle name="Millares 2 2 2 3 6" xfId="1456" xr:uid="{00000000-0005-0000-0000-0000B0050000}"/>
    <cellStyle name="Millares 2 2 2 3 7" xfId="1457" xr:uid="{00000000-0005-0000-0000-0000B1050000}"/>
    <cellStyle name="Millares 2 2 2 3 8" xfId="1458" xr:uid="{00000000-0005-0000-0000-0000B2050000}"/>
    <cellStyle name="Millares 2 2 2 3 9" xfId="1459" xr:uid="{00000000-0005-0000-0000-0000B3050000}"/>
    <cellStyle name="Millares 2 2 2 30" xfId="1460" xr:uid="{00000000-0005-0000-0000-0000B4050000}"/>
    <cellStyle name="Millares 2 2 2 31" xfId="1461" xr:uid="{00000000-0005-0000-0000-0000B5050000}"/>
    <cellStyle name="Millares 2 2 2 32" xfId="1462" xr:uid="{00000000-0005-0000-0000-0000B6050000}"/>
    <cellStyle name="Millares 2 2 2 33" xfId="1463" xr:uid="{00000000-0005-0000-0000-0000B7050000}"/>
    <cellStyle name="Millares 2 2 2 34" xfId="1464" xr:uid="{00000000-0005-0000-0000-0000B8050000}"/>
    <cellStyle name="Millares 2 2 2 35" xfId="1465" xr:uid="{00000000-0005-0000-0000-0000B9050000}"/>
    <cellStyle name="Millares 2 2 2 36" xfId="1466" xr:uid="{00000000-0005-0000-0000-0000BA050000}"/>
    <cellStyle name="Millares 2 2 2 37" xfId="1467" xr:uid="{00000000-0005-0000-0000-0000BB050000}"/>
    <cellStyle name="Millares 2 2 2 38" xfId="1468" xr:uid="{00000000-0005-0000-0000-0000BC050000}"/>
    <cellStyle name="Millares 2 2 2 39" xfId="1469" xr:uid="{00000000-0005-0000-0000-0000BD050000}"/>
    <cellStyle name="Millares 2 2 2 39 10" xfId="1470" xr:uid="{00000000-0005-0000-0000-0000BE050000}"/>
    <cellStyle name="Millares 2 2 2 39 2" xfId="1471" xr:uid="{00000000-0005-0000-0000-0000BF050000}"/>
    <cellStyle name="Millares 2 2 2 39 3" xfId="1472" xr:uid="{00000000-0005-0000-0000-0000C0050000}"/>
    <cellStyle name="Millares 2 2 2 39 4" xfId="1473" xr:uid="{00000000-0005-0000-0000-0000C1050000}"/>
    <cellStyle name="Millares 2 2 2 39 5" xfId="1474" xr:uid="{00000000-0005-0000-0000-0000C2050000}"/>
    <cellStyle name="Millares 2 2 2 39 6" xfId="1475" xr:uid="{00000000-0005-0000-0000-0000C3050000}"/>
    <cellStyle name="Millares 2 2 2 39 7" xfId="1476" xr:uid="{00000000-0005-0000-0000-0000C4050000}"/>
    <cellStyle name="Millares 2 2 2 39 8" xfId="1477" xr:uid="{00000000-0005-0000-0000-0000C5050000}"/>
    <cellStyle name="Millares 2 2 2 39 9" xfId="1478" xr:uid="{00000000-0005-0000-0000-0000C6050000}"/>
    <cellStyle name="Millares 2 2 2 4" xfId="1479" xr:uid="{00000000-0005-0000-0000-0000C7050000}"/>
    <cellStyle name="Millares 2 2 2 4 10" xfId="1480" xr:uid="{00000000-0005-0000-0000-0000C8050000}"/>
    <cellStyle name="Millares 2 2 2 4 11" xfId="1481" xr:uid="{00000000-0005-0000-0000-0000C9050000}"/>
    <cellStyle name="Millares 2 2 2 4 12" xfId="1482" xr:uid="{00000000-0005-0000-0000-0000CA050000}"/>
    <cellStyle name="Millares 2 2 2 4 13" xfId="1483" xr:uid="{00000000-0005-0000-0000-0000CB050000}"/>
    <cellStyle name="Millares 2 2 2 4 14" xfId="1484" xr:uid="{00000000-0005-0000-0000-0000CC050000}"/>
    <cellStyle name="Millares 2 2 2 4 15" xfId="1485" xr:uid="{00000000-0005-0000-0000-0000CD050000}"/>
    <cellStyle name="Millares 2 2 2 4 16" xfId="1486" xr:uid="{00000000-0005-0000-0000-0000CE050000}"/>
    <cellStyle name="Millares 2 2 2 4 17" xfId="1487" xr:uid="{00000000-0005-0000-0000-0000CF050000}"/>
    <cellStyle name="Millares 2 2 2 4 18" xfId="1488" xr:uid="{00000000-0005-0000-0000-0000D0050000}"/>
    <cellStyle name="Millares 2 2 2 4 19" xfId="1489" xr:uid="{00000000-0005-0000-0000-0000D1050000}"/>
    <cellStyle name="Millares 2 2 2 4 2" xfId="1490" xr:uid="{00000000-0005-0000-0000-0000D2050000}"/>
    <cellStyle name="Millares 2 2 2 4 2 10" xfId="1491" xr:uid="{00000000-0005-0000-0000-0000D3050000}"/>
    <cellStyle name="Millares 2 2 2 4 2 11" xfId="1492" xr:uid="{00000000-0005-0000-0000-0000D4050000}"/>
    <cellStyle name="Millares 2 2 2 4 2 12" xfId="1493" xr:uid="{00000000-0005-0000-0000-0000D5050000}"/>
    <cellStyle name="Millares 2 2 2 4 2 13" xfId="1494" xr:uid="{00000000-0005-0000-0000-0000D6050000}"/>
    <cellStyle name="Millares 2 2 2 4 2 14" xfId="1495" xr:uid="{00000000-0005-0000-0000-0000D7050000}"/>
    <cellStyle name="Millares 2 2 2 4 2 15" xfId="1496" xr:uid="{00000000-0005-0000-0000-0000D8050000}"/>
    <cellStyle name="Millares 2 2 2 4 2 16" xfId="1497" xr:uid="{00000000-0005-0000-0000-0000D9050000}"/>
    <cellStyle name="Millares 2 2 2 4 2 17" xfId="1498" xr:uid="{00000000-0005-0000-0000-0000DA050000}"/>
    <cellStyle name="Millares 2 2 2 4 2 18" xfId="1499" xr:uid="{00000000-0005-0000-0000-0000DB050000}"/>
    <cellStyle name="Millares 2 2 2 4 2 19" xfId="1500" xr:uid="{00000000-0005-0000-0000-0000DC050000}"/>
    <cellStyle name="Millares 2 2 2 4 2 2" xfId="1501" xr:uid="{00000000-0005-0000-0000-0000DD050000}"/>
    <cellStyle name="Millares 2 2 2 4 2 20" xfId="1502" xr:uid="{00000000-0005-0000-0000-0000DE050000}"/>
    <cellStyle name="Millares 2 2 2 4 2 3" xfId="1503" xr:uid="{00000000-0005-0000-0000-0000DF050000}"/>
    <cellStyle name="Millares 2 2 2 4 2 4" xfId="1504" xr:uid="{00000000-0005-0000-0000-0000E0050000}"/>
    <cellStyle name="Millares 2 2 2 4 2 5" xfId="1505" xr:uid="{00000000-0005-0000-0000-0000E1050000}"/>
    <cellStyle name="Millares 2 2 2 4 2 6" xfId="1506" xr:uid="{00000000-0005-0000-0000-0000E2050000}"/>
    <cellStyle name="Millares 2 2 2 4 2 7" xfId="1507" xr:uid="{00000000-0005-0000-0000-0000E3050000}"/>
    <cellStyle name="Millares 2 2 2 4 2 8" xfId="1508" xr:uid="{00000000-0005-0000-0000-0000E4050000}"/>
    <cellStyle name="Millares 2 2 2 4 2 9" xfId="1509" xr:uid="{00000000-0005-0000-0000-0000E5050000}"/>
    <cellStyle name="Millares 2 2 2 4 20" xfId="1510" xr:uid="{00000000-0005-0000-0000-0000E6050000}"/>
    <cellStyle name="Millares 2 2 2 4 3" xfId="1511" xr:uid="{00000000-0005-0000-0000-0000E7050000}"/>
    <cellStyle name="Millares 2 2 2 4 4" xfId="1512" xr:uid="{00000000-0005-0000-0000-0000E8050000}"/>
    <cellStyle name="Millares 2 2 2 4 5" xfId="1513" xr:uid="{00000000-0005-0000-0000-0000E9050000}"/>
    <cellStyle name="Millares 2 2 2 4 6" xfId="1514" xr:uid="{00000000-0005-0000-0000-0000EA050000}"/>
    <cellStyle name="Millares 2 2 2 4 7" xfId="1515" xr:uid="{00000000-0005-0000-0000-0000EB050000}"/>
    <cellStyle name="Millares 2 2 2 4 8" xfId="1516" xr:uid="{00000000-0005-0000-0000-0000EC050000}"/>
    <cellStyle name="Millares 2 2 2 4 9" xfId="1517" xr:uid="{00000000-0005-0000-0000-0000ED050000}"/>
    <cellStyle name="Millares 2 2 2 40" xfId="1518" xr:uid="{00000000-0005-0000-0000-0000EE050000}"/>
    <cellStyle name="Millares 2 2 2 41" xfId="1519" xr:uid="{00000000-0005-0000-0000-0000EF050000}"/>
    <cellStyle name="Millares 2 2 2 42" xfId="1520" xr:uid="{00000000-0005-0000-0000-0000F0050000}"/>
    <cellStyle name="Millares 2 2 2 43" xfId="1521" xr:uid="{00000000-0005-0000-0000-0000F1050000}"/>
    <cellStyle name="Millares 2 2 2 44" xfId="1522" xr:uid="{00000000-0005-0000-0000-0000F2050000}"/>
    <cellStyle name="Millares 2 2 2 45" xfId="1523" xr:uid="{00000000-0005-0000-0000-0000F3050000}"/>
    <cellStyle name="Millares 2 2 2 46" xfId="1524" xr:uid="{00000000-0005-0000-0000-0000F4050000}"/>
    <cellStyle name="Millares 2 2 2 47" xfId="1525" xr:uid="{00000000-0005-0000-0000-0000F5050000}"/>
    <cellStyle name="Millares 2 2 2 48" xfId="1526" xr:uid="{00000000-0005-0000-0000-0000F6050000}"/>
    <cellStyle name="Millares 2 2 2 49" xfId="1527" xr:uid="{00000000-0005-0000-0000-0000F7050000}"/>
    <cellStyle name="Millares 2 2 2 5" xfId="1528" xr:uid="{00000000-0005-0000-0000-0000F8050000}"/>
    <cellStyle name="Millares 2 2 2 6" xfId="1529" xr:uid="{00000000-0005-0000-0000-0000F9050000}"/>
    <cellStyle name="Millares 2 2 2 7" xfId="1530" xr:uid="{00000000-0005-0000-0000-0000FA050000}"/>
    <cellStyle name="Millares 2 2 2 8" xfId="1531" xr:uid="{00000000-0005-0000-0000-0000FB050000}"/>
    <cellStyle name="Millares 2 2 2 9" xfId="1532" xr:uid="{00000000-0005-0000-0000-0000FC050000}"/>
    <cellStyle name="Millares 2 2 20" xfId="1533" xr:uid="{00000000-0005-0000-0000-0000FD050000}"/>
    <cellStyle name="Millares 2 2 21" xfId="1534" xr:uid="{00000000-0005-0000-0000-0000FE050000}"/>
    <cellStyle name="Millares 2 2 22" xfId="1535" xr:uid="{00000000-0005-0000-0000-0000FF050000}"/>
    <cellStyle name="Millares 2 2 23" xfId="1536" xr:uid="{00000000-0005-0000-0000-000000060000}"/>
    <cellStyle name="Millares 2 2 24" xfId="1537" xr:uid="{00000000-0005-0000-0000-000001060000}"/>
    <cellStyle name="Millares 2 2 25" xfId="1538" xr:uid="{00000000-0005-0000-0000-000002060000}"/>
    <cellStyle name="Millares 2 2 26" xfId="1539" xr:uid="{00000000-0005-0000-0000-000003060000}"/>
    <cellStyle name="Millares 2 2 27" xfId="1540" xr:uid="{00000000-0005-0000-0000-000004060000}"/>
    <cellStyle name="Millares 2 2 28" xfId="1541" xr:uid="{00000000-0005-0000-0000-000005060000}"/>
    <cellStyle name="Millares 2 2 29" xfId="1542" xr:uid="{00000000-0005-0000-0000-000006060000}"/>
    <cellStyle name="Millares 2 2 3" xfId="1543" xr:uid="{00000000-0005-0000-0000-000007060000}"/>
    <cellStyle name="Millares 2 2 3 10" xfId="1544" xr:uid="{00000000-0005-0000-0000-000008060000}"/>
    <cellStyle name="Millares 2 2 3 11" xfId="1545" xr:uid="{00000000-0005-0000-0000-000009060000}"/>
    <cellStyle name="Millares 2 2 3 12" xfId="1546" xr:uid="{00000000-0005-0000-0000-00000A060000}"/>
    <cellStyle name="Millares 2 2 3 13" xfId="1547" xr:uid="{00000000-0005-0000-0000-00000B060000}"/>
    <cellStyle name="Millares 2 2 3 14" xfId="1548" xr:uid="{00000000-0005-0000-0000-00000C060000}"/>
    <cellStyle name="Millares 2 2 3 15" xfId="1549" xr:uid="{00000000-0005-0000-0000-00000D060000}"/>
    <cellStyle name="Millares 2 2 3 16" xfId="1550" xr:uid="{00000000-0005-0000-0000-00000E060000}"/>
    <cellStyle name="Millares 2 2 3 17" xfId="1551" xr:uid="{00000000-0005-0000-0000-00000F060000}"/>
    <cellStyle name="Millares 2 2 3 18" xfId="1552" xr:uid="{00000000-0005-0000-0000-000010060000}"/>
    <cellStyle name="Millares 2 2 3 19" xfId="1553" xr:uid="{00000000-0005-0000-0000-000011060000}"/>
    <cellStyle name="Millares 2 2 3 2" xfId="1554" xr:uid="{00000000-0005-0000-0000-000012060000}"/>
    <cellStyle name="Millares 2 2 3 2 10" xfId="1555" xr:uid="{00000000-0005-0000-0000-000013060000}"/>
    <cellStyle name="Millares 2 2 3 2 11" xfId="1556" xr:uid="{00000000-0005-0000-0000-000014060000}"/>
    <cellStyle name="Millares 2 2 3 2 12" xfId="1557" xr:uid="{00000000-0005-0000-0000-000015060000}"/>
    <cellStyle name="Millares 2 2 3 2 13" xfId="1558" xr:uid="{00000000-0005-0000-0000-000016060000}"/>
    <cellStyle name="Millares 2 2 3 2 14" xfId="1559" xr:uid="{00000000-0005-0000-0000-000017060000}"/>
    <cellStyle name="Millares 2 2 3 2 15" xfId="1560" xr:uid="{00000000-0005-0000-0000-000018060000}"/>
    <cellStyle name="Millares 2 2 3 2 16" xfId="1561" xr:uid="{00000000-0005-0000-0000-000019060000}"/>
    <cellStyle name="Millares 2 2 3 2 17" xfId="1562" xr:uid="{00000000-0005-0000-0000-00001A060000}"/>
    <cellStyle name="Millares 2 2 3 2 18" xfId="1563" xr:uid="{00000000-0005-0000-0000-00001B060000}"/>
    <cellStyle name="Millares 2 2 3 2 19" xfId="1564" xr:uid="{00000000-0005-0000-0000-00001C060000}"/>
    <cellStyle name="Millares 2 2 3 2 2" xfId="1565" xr:uid="{00000000-0005-0000-0000-00001D060000}"/>
    <cellStyle name="Millares 2 2 3 2 2 10" xfId="1566" xr:uid="{00000000-0005-0000-0000-00001E060000}"/>
    <cellStyle name="Millares 2 2 3 2 2 11" xfId="1567" xr:uid="{00000000-0005-0000-0000-00001F060000}"/>
    <cellStyle name="Millares 2 2 3 2 2 12" xfId="1568" xr:uid="{00000000-0005-0000-0000-000020060000}"/>
    <cellStyle name="Millares 2 2 3 2 2 13" xfId="1569" xr:uid="{00000000-0005-0000-0000-000021060000}"/>
    <cellStyle name="Millares 2 2 3 2 2 14" xfId="1570" xr:uid="{00000000-0005-0000-0000-000022060000}"/>
    <cellStyle name="Millares 2 2 3 2 2 15" xfId="1571" xr:uid="{00000000-0005-0000-0000-000023060000}"/>
    <cellStyle name="Millares 2 2 3 2 2 16" xfId="1572" xr:uid="{00000000-0005-0000-0000-000024060000}"/>
    <cellStyle name="Millares 2 2 3 2 2 17" xfId="1573" xr:uid="{00000000-0005-0000-0000-000025060000}"/>
    <cellStyle name="Millares 2 2 3 2 2 18" xfId="1574" xr:uid="{00000000-0005-0000-0000-000026060000}"/>
    <cellStyle name="Millares 2 2 3 2 2 19" xfId="1575" xr:uid="{00000000-0005-0000-0000-000027060000}"/>
    <cellStyle name="Millares 2 2 3 2 2 2" xfId="1576" xr:uid="{00000000-0005-0000-0000-000028060000}"/>
    <cellStyle name="Millares 2 2 3 2 2 20" xfId="1577" xr:uid="{00000000-0005-0000-0000-000029060000}"/>
    <cellStyle name="Millares 2 2 3 2 2 3" xfId="1578" xr:uid="{00000000-0005-0000-0000-00002A060000}"/>
    <cellStyle name="Millares 2 2 3 2 2 4" xfId="1579" xr:uid="{00000000-0005-0000-0000-00002B060000}"/>
    <cellStyle name="Millares 2 2 3 2 2 5" xfId="1580" xr:uid="{00000000-0005-0000-0000-00002C060000}"/>
    <cellStyle name="Millares 2 2 3 2 2 6" xfId="1581" xr:uid="{00000000-0005-0000-0000-00002D060000}"/>
    <cellStyle name="Millares 2 2 3 2 2 7" xfId="1582" xr:uid="{00000000-0005-0000-0000-00002E060000}"/>
    <cellStyle name="Millares 2 2 3 2 2 8" xfId="1583" xr:uid="{00000000-0005-0000-0000-00002F060000}"/>
    <cellStyle name="Millares 2 2 3 2 2 9" xfId="1584" xr:uid="{00000000-0005-0000-0000-000030060000}"/>
    <cellStyle name="Millares 2 2 3 2 20" xfId="1585" xr:uid="{00000000-0005-0000-0000-000031060000}"/>
    <cellStyle name="Millares 2 2 3 2 3" xfId="1586" xr:uid="{00000000-0005-0000-0000-000032060000}"/>
    <cellStyle name="Millares 2 2 3 2 4" xfId="1587" xr:uid="{00000000-0005-0000-0000-000033060000}"/>
    <cellStyle name="Millares 2 2 3 2 5" xfId="1588" xr:uid="{00000000-0005-0000-0000-000034060000}"/>
    <cellStyle name="Millares 2 2 3 2 6" xfId="1589" xr:uid="{00000000-0005-0000-0000-000035060000}"/>
    <cellStyle name="Millares 2 2 3 2 7" xfId="1590" xr:uid="{00000000-0005-0000-0000-000036060000}"/>
    <cellStyle name="Millares 2 2 3 2 8" xfId="1591" xr:uid="{00000000-0005-0000-0000-000037060000}"/>
    <cellStyle name="Millares 2 2 3 2 9" xfId="1592" xr:uid="{00000000-0005-0000-0000-000038060000}"/>
    <cellStyle name="Millares 2 2 3 20" xfId="1593" xr:uid="{00000000-0005-0000-0000-000039060000}"/>
    <cellStyle name="Millares 2 2 3 21" xfId="1594" xr:uid="{00000000-0005-0000-0000-00003A060000}"/>
    <cellStyle name="Millares 2 2 3 22" xfId="1595" xr:uid="{00000000-0005-0000-0000-00003B060000}"/>
    <cellStyle name="Millares 2 2 3 23" xfId="1596" xr:uid="{00000000-0005-0000-0000-00003C060000}"/>
    <cellStyle name="Millares 2 2 3 24" xfId="1597" xr:uid="{00000000-0005-0000-0000-00003D060000}"/>
    <cellStyle name="Millares 2 2 3 25" xfId="1598" xr:uid="{00000000-0005-0000-0000-00003E060000}"/>
    <cellStyle name="Millares 2 2 3 26" xfId="1599" xr:uid="{00000000-0005-0000-0000-00003F060000}"/>
    <cellStyle name="Millares 2 2 3 27" xfId="1600" xr:uid="{00000000-0005-0000-0000-000040060000}"/>
    <cellStyle name="Millares 2 2 3 28" xfId="1601" xr:uid="{00000000-0005-0000-0000-000041060000}"/>
    <cellStyle name="Millares 2 2 3 29" xfId="1602" xr:uid="{00000000-0005-0000-0000-000042060000}"/>
    <cellStyle name="Millares 2 2 3 3" xfId="1603" xr:uid="{00000000-0005-0000-0000-000043060000}"/>
    <cellStyle name="Millares 2 2 3 30" xfId="1604" xr:uid="{00000000-0005-0000-0000-000044060000}"/>
    <cellStyle name="Millares 2 2 3 31" xfId="1605" xr:uid="{00000000-0005-0000-0000-000045060000}"/>
    <cellStyle name="Millares 2 2 3 32" xfId="1606" xr:uid="{00000000-0005-0000-0000-000046060000}"/>
    <cellStyle name="Millares 2 2 3 33" xfId="1607" xr:uid="{00000000-0005-0000-0000-000047060000}"/>
    <cellStyle name="Millares 2 2 3 34" xfId="1608" xr:uid="{00000000-0005-0000-0000-000048060000}"/>
    <cellStyle name="Millares 2 2 3 35" xfId="1609" xr:uid="{00000000-0005-0000-0000-000049060000}"/>
    <cellStyle name="Millares 2 2 3 4" xfId="1610" xr:uid="{00000000-0005-0000-0000-00004A060000}"/>
    <cellStyle name="Millares 2 2 3 5" xfId="1611" xr:uid="{00000000-0005-0000-0000-00004B060000}"/>
    <cellStyle name="Millares 2 2 3 6" xfId="1612" xr:uid="{00000000-0005-0000-0000-00004C060000}"/>
    <cellStyle name="Millares 2 2 3 7" xfId="1613" xr:uid="{00000000-0005-0000-0000-00004D060000}"/>
    <cellStyle name="Millares 2 2 3 8" xfId="1614" xr:uid="{00000000-0005-0000-0000-00004E060000}"/>
    <cellStyle name="Millares 2 2 3 9" xfId="1615" xr:uid="{00000000-0005-0000-0000-00004F060000}"/>
    <cellStyle name="Millares 2 2 30" xfId="1616" xr:uid="{00000000-0005-0000-0000-000050060000}"/>
    <cellStyle name="Millares 2 2 31" xfId="1617" xr:uid="{00000000-0005-0000-0000-000051060000}"/>
    <cellStyle name="Millares 2 2 32" xfId="1618" xr:uid="{00000000-0005-0000-0000-000052060000}"/>
    <cellStyle name="Millares 2 2 33" xfId="1619" xr:uid="{00000000-0005-0000-0000-000053060000}"/>
    <cellStyle name="Millares 2 2 34" xfId="1620" xr:uid="{00000000-0005-0000-0000-000054060000}"/>
    <cellStyle name="Millares 2 2 35" xfId="1621" xr:uid="{00000000-0005-0000-0000-000055060000}"/>
    <cellStyle name="Millares 2 2 36" xfId="1622" xr:uid="{00000000-0005-0000-0000-000056060000}"/>
    <cellStyle name="Millares 2 2 37" xfId="1623" xr:uid="{00000000-0005-0000-0000-000057060000}"/>
    <cellStyle name="Millares 2 2 38" xfId="1624" xr:uid="{00000000-0005-0000-0000-000058060000}"/>
    <cellStyle name="Millares 2 2 39" xfId="1625" xr:uid="{00000000-0005-0000-0000-000059060000}"/>
    <cellStyle name="Millares 2 2 39 10" xfId="1626" xr:uid="{00000000-0005-0000-0000-00005A060000}"/>
    <cellStyle name="Millares 2 2 39 2" xfId="1627" xr:uid="{00000000-0005-0000-0000-00005B060000}"/>
    <cellStyle name="Millares 2 2 39 3" xfId="1628" xr:uid="{00000000-0005-0000-0000-00005C060000}"/>
    <cellStyle name="Millares 2 2 39 4" xfId="1629" xr:uid="{00000000-0005-0000-0000-00005D060000}"/>
    <cellStyle name="Millares 2 2 39 5" xfId="1630" xr:uid="{00000000-0005-0000-0000-00005E060000}"/>
    <cellStyle name="Millares 2 2 39 6" xfId="1631" xr:uid="{00000000-0005-0000-0000-00005F060000}"/>
    <cellStyle name="Millares 2 2 39 7" xfId="1632" xr:uid="{00000000-0005-0000-0000-000060060000}"/>
    <cellStyle name="Millares 2 2 39 8" xfId="1633" xr:uid="{00000000-0005-0000-0000-000061060000}"/>
    <cellStyle name="Millares 2 2 39 9" xfId="1634" xr:uid="{00000000-0005-0000-0000-000062060000}"/>
    <cellStyle name="Millares 2 2 4" xfId="1635" xr:uid="{00000000-0005-0000-0000-000063060000}"/>
    <cellStyle name="Millares 2 2 4 10" xfId="1636" xr:uid="{00000000-0005-0000-0000-000064060000}"/>
    <cellStyle name="Millares 2 2 4 11" xfId="1637" xr:uid="{00000000-0005-0000-0000-000065060000}"/>
    <cellStyle name="Millares 2 2 4 12" xfId="1638" xr:uid="{00000000-0005-0000-0000-000066060000}"/>
    <cellStyle name="Millares 2 2 4 13" xfId="1639" xr:uid="{00000000-0005-0000-0000-000067060000}"/>
    <cellStyle name="Millares 2 2 4 14" xfId="1640" xr:uid="{00000000-0005-0000-0000-000068060000}"/>
    <cellStyle name="Millares 2 2 4 15" xfId="1641" xr:uid="{00000000-0005-0000-0000-000069060000}"/>
    <cellStyle name="Millares 2 2 4 16" xfId="1642" xr:uid="{00000000-0005-0000-0000-00006A060000}"/>
    <cellStyle name="Millares 2 2 4 17" xfId="1643" xr:uid="{00000000-0005-0000-0000-00006B060000}"/>
    <cellStyle name="Millares 2 2 4 18" xfId="1644" xr:uid="{00000000-0005-0000-0000-00006C060000}"/>
    <cellStyle name="Millares 2 2 4 19" xfId="1645" xr:uid="{00000000-0005-0000-0000-00006D060000}"/>
    <cellStyle name="Millares 2 2 4 2" xfId="1646" xr:uid="{00000000-0005-0000-0000-00006E060000}"/>
    <cellStyle name="Millares 2 2 4 2 10" xfId="1647" xr:uid="{00000000-0005-0000-0000-00006F060000}"/>
    <cellStyle name="Millares 2 2 4 2 11" xfId="1648" xr:uid="{00000000-0005-0000-0000-000070060000}"/>
    <cellStyle name="Millares 2 2 4 2 12" xfId="1649" xr:uid="{00000000-0005-0000-0000-000071060000}"/>
    <cellStyle name="Millares 2 2 4 2 13" xfId="1650" xr:uid="{00000000-0005-0000-0000-000072060000}"/>
    <cellStyle name="Millares 2 2 4 2 14" xfId="1651" xr:uid="{00000000-0005-0000-0000-000073060000}"/>
    <cellStyle name="Millares 2 2 4 2 15" xfId="1652" xr:uid="{00000000-0005-0000-0000-000074060000}"/>
    <cellStyle name="Millares 2 2 4 2 16" xfId="1653" xr:uid="{00000000-0005-0000-0000-000075060000}"/>
    <cellStyle name="Millares 2 2 4 2 17" xfId="1654" xr:uid="{00000000-0005-0000-0000-000076060000}"/>
    <cellStyle name="Millares 2 2 4 2 18" xfId="1655" xr:uid="{00000000-0005-0000-0000-000077060000}"/>
    <cellStyle name="Millares 2 2 4 2 19" xfId="1656" xr:uid="{00000000-0005-0000-0000-000078060000}"/>
    <cellStyle name="Millares 2 2 4 2 2" xfId="1657" xr:uid="{00000000-0005-0000-0000-000079060000}"/>
    <cellStyle name="Millares 2 2 4 2 20" xfId="1658" xr:uid="{00000000-0005-0000-0000-00007A060000}"/>
    <cellStyle name="Millares 2 2 4 2 3" xfId="1659" xr:uid="{00000000-0005-0000-0000-00007B060000}"/>
    <cellStyle name="Millares 2 2 4 2 4" xfId="1660" xr:uid="{00000000-0005-0000-0000-00007C060000}"/>
    <cellStyle name="Millares 2 2 4 2 5" xfId="1661" xr:uid="{00000000-0005-0000-0000-00007D060000}"/>
    <cellStyle name="Millares 2 2 4 2 6" xfId="1662" xr:uid="{00000000-0005-0000-0000-00007E060000}"/>
    <cellStyle name="Millares 2 2 4 2 7" xfId="1663" xr:uid="{00000000-0005-0000-0000-00007F060000}"/>
    <cellStyle name="Millares 2 2 4 2 8" xfId="1664" xr:uid="{00000000-0005-0000-0000-000080060000}"/>
    <cellStyle name="Millares 2 2 4 2 9" xfId="1665" xr:uid="{00000000-0005-0000-0000-000081060000}"/>
    <cellStyle name="Millares 2 2 4 20" xfId="1666" xr:uid="{00000000-0005-0000-0000-000082060000}"/>
    <cellStyle name="Millares 2 2 4 3" xfId="1667" xr:uid="{00000000-0005-0000-0000-000083060000}"/>
    <cellStyle name="Millares 2 2 4 4" xfId="1668" xr:uid="{00000000-0005-0000-0000-000084060000}"/>
    <cellStyle name="Millares 2 2 4 5" xfId="1669" xr:uid="{00000000-0005-0000-0000-000085060000}"/>
    <cellStyle name="Millares 2 2 4 6" xfId="1670" xr:uid="{00000000-0005-0000-0000-000086060000}"/>
    <cellStyle name="Millares 2 2 4 7" xfId="1671" xr:uid="{00000000-0005-0000-0000-000087060000}"/>
    <cellStyle name="Millares 2 2 4 8" xfId="1672" xr:uid="{00000000-0005-0000-0000-000088060000}"/>
    <cellStyle name="Millares 2 2 4 9" xfId="1673" xr:uid="{00000000-0005-0000-0000-000089060000}"/>
    <cellStyle name="Millares 2 2 40" xfId="1674" xr:uid="{00000000-0005-0000-0000-00008A060000}"/>
    <cellStyle name="Millares 2 2 41" xfId="1675" xr:uid="{00000000-0005-0000-0000-00008B060000}"/>
    <cellStyle name="Millares 2 2 42" xfId="1676" xr:uid="{00000000-0005-0000-0000-00008C060000}"/>
    <cellStyle name="Millares 2 2 43" xfId="1677" xr:uid="{00000000-0005-0000-0000-00008D060000}"/>
    <cellStyle name="Millares 2 2 44" xfId="1678" xr:uid="{00000000-0005-0000-0000-00008E060000}"/>
    <cellStyle name="Millares 2 2 45" xfId="1679" xr:uid="{00000000-0005-0000-0000-00008F060000}"/>
    <cellStyle name="Millares 2 2 46" xfId="1680" xr:uid="{00000000-0005-0000-0000-000090060000}"/>
    <cellStyle name="Millares 2 2 47" xfId="1681" xr:uid="{00000000-0005-0000-0000-000091060000}"/>
    <cellStyle name="Millares 2 2 48" xfId="1682" xr:uid="{00000000-0005-0000-0000-000092060000}"/>
    <cellStyle name="Millares 2 2 5" xfId="1683" xr:uid="{00000000-0005-0000-0000-000093060000}"/>
    <cellStyle name="Millares 2 2 6" xfId="1684" xr:uid="{00000000-0005-0000-0000-000094060000}"/>
    <cellStyle name="Millares 2 2 7" xfId="1685" xr:uid="{00000000-0005-0000-0000-000095060000}"/>
    <cellStyle name="Millares 2 2 8" xfId="1686" xr:uid="{00000000-0005-0000-0000-000096060000}"/>
    <cellStyle name="Millares 2 2 9" xfId="1687" xr:uid="{00000000-0005-0000-0000-000097060000}"/>
    <cellStyle name="Millares 2 20" xfId="1688" xr:uid="{00000000-0005-0000-0000-000098060000}"/>
    <cellStyle name="Millares 2 22" xfId="1689" xr:uid="{00000000-0005-0000-0000-000099060000}"/>
    <cellStyle name="Millares 2 24" xfId="1690" xr:uid="{00000000-0005-0000-0000-00009A060000}"/>
    <cellStyle name="Millares 2 26" xfId="1691" xr:uid="{00000000-0005-0000-0000-00009B060000}"/>
    <cellStyle name="Millares 2 28" xfId="1692" xr:uid="{00000000-0005-0000-0000-00009C060000}"/>
    <cellStyle name="Millares 2 3" xfId="1693" xr:uid="{00000000-0005-0000-0000-00009D060000}"/>
    <cellStyle name="Millares 2 3 2" xfId="1694" xr:uid="{00000000-0005-0000-0000-00009E060000}"/>
    <cellStyle name="Millares 2 3 3" xfId="1695" xr:uid="{00000000-0005-0000-0000-00009F060000}"/>
    <cellStyle name="Millares 2 3 4" xfId="1696" xr:uid="{00000000-0005-0000-0000-0000A0060000}"/>
    <cellStyle name="Millares 2 3 5" xfId="1697" xr:uid="{00000000-0005-0000-0000-0000A1060000}"/>
    <cellStyle name="Millares 2 3 6" xfId="1698" xr:uid="{00000000-0005-0000-0000-0000A2060000}"/>
    <cellStyle name="Millares 2 30" xfId="1699" xr:uid="{00000000-0005-0000-0000-0000A3060000}"/>
    <cellStyle name="Millares 2 32" xfId="1700" xr:uid="{00000000-0005-0000-0000-0000A4060000}"/>
    <cellStyle name="Millares 2 34" xfId="1701" xr:uid="{00000000-0005-0000-0000-0000A5060000}"/>
    <cellStyle name="Millares 2 36" xfId="1702" xr:uid="{00000000-0005-0000-0000-0000A6060000}"/>
    <cellStyle name="Millares 2 4" xfId="1703" xr:uid="{00000000-0005-0000-0000-0000A7060000}"/>
    <cellStyle name="Millares 2 4 2" xfId="1704" xr:uid="{00000000-0005-0000-0000-0000A8060000}"/>
    <cellStyle name="Millares 2 4 3" xfId="1705" xr:uid="{00000000-0005-0000-0000-0000A9060000}"/>
    <cellStyle name="Millares 2 4 4" xfId="1706" xr:uid="{00000000-0005-0000-0000-0000AA060000}"/>
    <cellStyle name="Millares 2 4 5" xfId="1707" xr:uid="{00000000-0005-0000-0000-0000AB060000}"/>
    <cellStyle name="Millares 2 4 6" xfId="1708" xr:uid="{00000000-0005-0000-0000-0000AC060000}"/>
    <cellStyle name="Millares 2 4 7" xfId="1709" xr:uid="{00000000-0005-0000-0000-0000AD060000}"/>
    <cellStyle name="Millares 2 4 8" xfId="1710" xr:uid="{00000000-0005-0000-0000-0000AE060000}"/>
    <cellStyle name="Millares 2 5" xfId="1711" xr:uid="{00000000-0005-0000-0000-0000AF060000}"/>
    <cellStyle name="Millares 2 6" xfId="1712" xr:uid="{00000000-0005-0000-0000-0000B0060000}"/>
    <cellStyle name="Millares 2 6 2" xfId="1713" xr:uid="{00000000-0005-0000-0000-0000B1060000}"/>
    <cellStyle name="Millares 2 7" xfId="1714" xr:uid="{00000000-0005-0000-0000-0000B2060000}"/>
    <cellStyle name="Millares 2 7 2" xfId="1715" xr:uid="{00000000-0005-0000-0000-0000B3060000}"/>
    <cellStyle name="Millares 2 7 3" xfId="1716" xr:uid="{00000000-0005-0000-0000-0000B4060000}"/>
    <cellStyle name="Millares 2 8" xfId="1717" xr:uid="{00000000-0005-0000-0000-0000B5060000}"/>
    <cellStyle name="Millares 2 8 2" xfId="1718" xr:uid="{00000000-0005-0000-0000-0000B6060000}"/>
    <cellStyle name="Millares 2 8 3" xfId="1719" xr:uid="{00000000-0005-0000-0000-0000B7060000}"/>
    <cellStyle name="Millares 2 9" xfId="1720" xr:uid="{00000000-0005-0000-0000-0000B8060000}"/>
    <cellStyle name="Millares 2 9 2" xfId="1721" xr:uid="{00000000-0005-0000-0000-0000B9060000}"/>
    <cellStyle name="Millares 2 9 3" xfId="1722" xr:uid="{00000000-0005-0000-0000-0000BA060000}"/>
    <cellStyle name="Millares 20" xfId="1723" xr:uid="{00000000-0005-0000-0000-0000BB060000}"/>
    <cellStyle name="Millares 20 2" xfId="1724" xr:uid="{00000000-0005-0000-0000-0000BC060000}"/>
    <cellStyle name="Millares 21" xfId="1725" xr:uid="{00000000-0005-0000-0000-0000BD060000}"/>
    <cellStyle name="Millares 21 2" xfId="1726" xr:uid="{00000000-0005-0000-0000-0000BE060000}"/>
    <cellStyle name="Millares 22" xfId="1727" xr:uid="{00000000-0005-0000-0000-0000BF060000}"/>
    <cellStyle name="Millares 28" xfId="1728" xr:uid="{00000000-0005-0000-0000-0000C0060000}"/>
    <cellStyle name="Millares 28 10" xfId="1729" xr:uid="{00000000-0005-0000-0000-0000C1060000}"/>
    <cellStyle name="Millares 28 11" xfId="1730" xr:uid="{00000000-0005-0000-0000-0000C2060000}"/>
    <cellStyle name="Millares 28 12" xfId="1731" xr:uid="{00000000-0005-0000-0000-0000C3060000}"/>
    <cellStyle name="Millares 28 13" xfId="1732" xr:uid="{00000000-0005-0000-0000-0000C4060000}"/>
    <cellStyle name="Millares 28 14" xfId="1733" xr:uid="{00000000-0005-0000-0000-0000C5060000}"/>
    <cellStyle name="Millares 28 15" xfId="1734" xr:uid="{00000000-0005-0000-0000-0000C6060000}"/>
    <cellStyle name="Millares 28 16" xfId="1735" xr:uid="{00000000-0005-0000-0000-0000C7060000}"/>
    <cellStyle name="Millares 28 17" xfId="1736" xr:uid="{00000000-0005-0000-0000-0000C8060000}"/>
    <cellStyle name="Millares 28 18" xfId="1737" xr:uid="{00000000-0005-0000-0000-0000C9060000}"/>
    <cellStyle name="Millares 28 19" xfId="1738" xr:uid="{00000000-0005-0000-0000-0000CA060000}"/>
    <cellStyle name="Millares 28 2" xfId="1739" xr:uid="{00000000-0005-0000-0000-0000CB060000}"/>
    <cellStyle name="Millares 28 2 2" xfId="1740" xr:uid="{00000000-0005-0000-0000-0000CC060000}"/>
    <cellStyle name="Millares 28 2 3" xfId="1741" xr:uid="{00000000-0005-0000-0000-0000CD060000}"/>
    <cellStyle name="Millares 28 20" xfId="1742" xr:uid="{00000000-0005-0000-0000-0000CE060000}"/>
    <cellStyle name="Millares 28 21" xfId="1743" xr:uid="{00000000-0005-0000-0000-0000CF060000}"/>
    <cellStyle name="Millares 28 22" xfId="1744" xr:uid="{00000000-0005-0000-0000-0000D0060000}"/>
    <cellStyle name="Millares 28 23" xfId="1745" xr:uid="{00000000-0005-0000-0000-0000D1060000}"/>
    <cellStyle name="Millares 28 24" xfId="1746" xr:uid="{00000000-0005-0000-0000-0000D2060000}"/>
    <cellStyle name="Millares 28 25" xfId="1747" xr:uid="{00000000-0005-0000-0000-0000D3060000}"/>
    <cellStyle name="Millares 28 3" xfId="1748" xr:uid="{00000000-0005-0000-0000-0000D4060000}"/>
    <cellStyle name="Millares 28 3 2" xfId="1749" xr:uid="{00000000-0005-0000-0000-0000D5060000}"/>
    <cellStyle name="Millares 28 3 3" xfId="1750" xr:uid="{00000000-0005-0000-0000-0000D6060000}"/>
    <cellStyle name="Millares 28 4" xfId="1751" xr:uid="{00000000-0005-0000-0000-0000D7060000}"/>
    <cellStyle name="Millares 28 5" xfId="1752" xr:uid="{00000000-0005-0000-0000-0000D8060000}"/>
    <cellStyle name="Millares 28 6" xfId="1753" xr:uid="{00000000-0005-0000-0000-0000D9060000}"/>
    <cellStyle name="Millares 28 7" xfId="1754" xr:uid="{00000000-0005-0000-0000-0000DA060000}"/>
    <cellStyle name="Millares 28 8" xfId="1755" xr:uid="{00000000-0005-0000-0000-0000DB060000}"/>
    <cellStyle name="Millares 28 9" xfId="1756" xr:uid="{00000000-0005-0000-0000-0000DC060000}"/>
    <cellStyle name="Millares 29" xfId="1757" xr:uid="{00000000-0005-0000-0000-0000DD060000}"/>
    <cellStyle name="Millares 29 10" xfId="1758" xr:uid="{00000000-0005-0000-0000-0000DE060000}"/>
    <cellStyle name="Millares 29 11" xfId="1759" xr:uid="{00000000-0005-0000-0000-0000DF060000}"/>
    <cellStyle name="Millares 29 12" xfId="1760" xr:uid="{00000000-0005-0000-0000-0000E0060000}"/>
    <cellStyle name="Millares 29 13" xfId="1761" xr:uid="{00000000-0005-0000-0000-0000E1060000}"/>
    <cellStyle name="Millares 29 14" xfId="1762" xr:uid="{00000000-0005-0000-0000-0000E2060000}"/>
    <cellStyle name="Millares 29 15" xfId="1763" xr:uid="{00000000-0005-0000-0000-0000E3060000}"/>
    <cellStyle name="Millares 29 16" xfId="1764" xr:uid="{00000000-0005-0000-0000-0000E4060000}"/>
    <cellStyle name="Millares 29 17" xfId="1765" xr:uid="{00000000-0005-0000-0000-0000E5060000}"/>
    <cellStyle name="Millares 29 18" xfId="1766" xr:uid="{00000000-0005-0000-0000-0000E6060000}"/>
    <cellStyle name="Millares 29 19" xfId="1767" xr:uid="{00000000-0005-0000-0000-0000E7060000}"/>
    <cellStyle name="Millares 29 2" xfId="1768" xr:uid="{00000000-0005-0000-0000-0000E8060000}"/>
    <cellStyle name="Millares 29 2 2" xfId="1769" xr:uid="{00000000-0005-0000-0000-0000E9060000}"/>
    <cellStyle name="Millares 29 2 3" xfId="1770" xr:uid="{00000000-0005-0000-0000-0000EA060000}"/>
    <cellStyle name="Millares 29 20" xfId="1771" xr:uid="{00000000-0005-0000-0000-0000EB060000}"/>
    <cellStyle name="Millares 29 21" xfId="1772" xr:uid="{00000000-0005-0000-0000-0000EC060000}"/>
    <cellStyle name="Millares 29 22" xfId="1773" xr:uid="{00000000-0005-0000-0000-0000ED060000}"/>
    <cellStyle name="Millares 29 23" xfId="1774" xr:uid="{00000000-0005-0000-0000-0000EE060000}"/>
    <cellStyle name="Millares 29 24" xfId="1775" xr:uid="{00000000-0005-0000-0000-0000EF060000}"/>
    <cellStyle name="Millares 29 25" xfId="1776" xr:uid="{00000000-0005-0000-0000-0000F0060000}"/>
    <cellStyle name="Millares 29 3" xfId="1777" xr:uid="{00000000-0005-0000-0000-0000F1060000}"/>
    <cellStyle name="Millares 29 3 2" xfId="1778" xr:uid="{00000000-0005-0000-0000-0000F2060000}"/>
    <cellStyle name="Millares 29 3 3" xfId="1779" xr:uid="{00000000-0005-0000-0000-0000F3060000}"/>
    <cellStyle name="Millares 29 4" xfId="1780" xr:uid="{00000000-0005-0000-0000-0000F4060000}"/>
    <cellStyle name="Millares 29 5" xfId="1781" xr:uid="{00000000-0005-0000-0000-0000F5060000}"/>
    <cellStyle name="Millares 29 6" xfId="1782" xr:uid="{00000000-0005-0000-0000-0000F6060000}"/>
    <cellStyle name="Millares 29 7" xfId="1783" xr:uid="{00000000-0005-0000-0000-0000F7060000}"/>
    <cellStyle name="Millares 29 8" xfId="1784" xr:uid="{00000000-0005-0000-0000-0000F8060000}"/>
    <cellStyle name="Millares 29 9" xfId="1785" xr:uid="{00000000-0005-0000-0000-0000F9060000}"/>
    <cellStyle name="Millares 3" xfId="1786" xr:uid="{00000000-0005-0000-0000-0000FA060000}"/>
    <cellStyle name="Millares 3 10" xfId="1787" xr:uid="{00000000-0005-0000-0000-0000FB060000}"/>
    <cellStyle name="Millares 3 10 10" xfId="1788" xr:uid="{00000000-0005-0000-0000-0000FC060000}"/>
    <cellStyle name="Millares 3 10 11" xfId="1789" xr:uid="{00000000-0005-0000-0000-0000FD060000}"/>
    <cellStyle name="Millares 3 10 12" xfId="1790" xr:uid="{00000000-0005-0000-0000-0000FE060000}"/>
    <cellStyle name="Millares 3 10 13" xfId="1791" xr:uid="{00000000-0005-0000-0000-0000FF060000}"/>
    <cellStyle name="Millares 3 10 14" xfId="1792" xr:uid="{00000000-0005-0000-0000-000000070000}"/>
    <cellStyle name="Millares 3 10 15" xfId="1793" xr:uid="{00000000-0005-0000-0000-000001070000}"/>
    <cellStyle name="Millares 3 10 16" xfId="1794" xr:uid="{00000000-0005-0000-0000-000002070000}"/>
    <cellStyle name="Millares 3 10 17" xfId="1795" xr:uid="{00000000-0005-0000-0000-000003070000}"/>
    <cellStyle name="Millares 3 10 18" xfId="1796" xr:uid="{00000000-0005-0000-0000-000004070000}"/>
    <cellStyle name="Millares 3 10 19" xfId="1797" xr:uid="{00000000-0005-0000-0000-000005070000}"/>
    <cellStyle name="Millares 3 10 2" xfId="1798" xr:uid="{00000000-0005-0000-0000-000006070000}"/>
    <cellStyle name="Millares 3 10 2 10" xfId="1799" xr:uid="{00000000-0005-0000-0000-000007070000}"/>
    <cellStyle name="Millares 3 10 2 11" xfId="1800" xr:uid="{00000000-0005-0000-0000-000008070000}"/>
    <cellStyle name="Millares 3 10 2 12" xfId="1801" xr:uid="{00000000-0005-0000-0000-000009070000}"/>
    <cellStyle name="Millares 3 10 2 13" xfId="1802" xr:uid="{00000000-0005-0000-0000-00000A070000}"/>
    <cellStyle name="Millares 3 10 2 14" xfId="1803" xr:uid="{00000000-0005-0000-0000-00000B070000}"/>
    <cellStyle name="Millares 3 10 2 15" xfId="1804" xr:uid="{00000000-0005-0000-0000-00000C070000}"/>
    <cellStyle name="Millares 3 10 2 16" xfId="1805" xr:uid="{00000000-0005-0000-0000-00000D070000}"/>
    <cellStyle name="Millares 3 10 2 17" xfId="1806" xr:uid="{00000000-0005-0000-0000-00000E070000}"/>
    <cellStyle name="Millares 3 10 2 2" xfId="1807" xr:uid="{00000000-0005-0000-0000-00000F070000}"/>
    <cellStyle name="Millares 3 10 2 3" xfId="1808" xr:uid="{00000000-0005-0000-0000-000010070000}"/>
    <cellStyle name="Millares 3 10 2 3 2" xfId="1809" xr:uid="{00000000-0005-0000-0000-000011070000}"/>
    <cellStyle name="Millares 3 10 2 4" xfId="1810" xr:uid="{00000000-0005-0000-0000-000012070000}"/>
    <cellStyle name="Millares 3 10 2 5" xfId="1811" xr:uid="{00000000-0005-0000-0000-000013070000}"/>
    <cellStyle name="Millares 3 10 2 6" xfId="1812" xr:uid="{00000000-0005-0000-0000-000014070000}"/>
    <cellStyle name="Millares 3 10 2 7" xfId="1813" xr:uid="{00000000-0005-0000-0000-000015070000}"/>
    <cellStyle name="Millares 3 10 2 8" xfId="1814" xr:uid="{00000000-0005-0000-0000-000016070000}"/>
    <cellStyle name="Millares 3 10 2 9" xfId="1815" xr:uid="{00000000-0005-0000-0000-000017070000}"/>
    <cellStyle name="Millares 3 10 3" xfId="1816" xr:uid="{00000000-0005-0000-0000-000018070000}"/>
    <cellStyle name="Millares 3 10 4" xfId="1817" xr:uid="{00000000-0005-0000-0000-000019070000}"/>
    <cellStyle name="Millares 3 10 5" xfId="1818" xr:uid="{00000000-0005-0000-0000-00001A070000}"/>
    <cellStyle name="Millares 3 10 6" xfId="1819" xr:uid="{00000000-0005-0000-0000-00001B070000}"/>
    <cellStyle name="Millares 3 10 7" xfId="1820" xr:uid="{00000000-0005-0000-0000-00001C070000}"/>
    <cellStyle name="Millares 3 10 8" xfId="1821" xr:uid="{00000000-0005-0000-0000-00001D070000}"/>
    <cellStyle name="Millares 3 10 9" xfId="1822" xr:uid="{00000000-0005-0000-0000-00001E070000}"/>
    <cellStyle name="Millares 3 11" xfId="1823" xr:uid="{00000000-0005-0000-0000-00001F070000}"/>
    <cellStyle name="Millares 3 11 10" xfId="1824" xr:uid="{00000000-0005-0000-0000-000020070000}"/>
    <cellStyle name="Millares 3 11 11" xfId="1825" xr:uid="{00000000-0005-0000-0000-000021070000}"/>
    <cellStyle name="Millares 3 11 12" xfId="1826" xr:uid="{00000000-0005-0000-0000-000022070000}"/>
    <cellStyle name="Millares 3 11 13" xfId="1827" xr:uid="{00000000-0005-0000-0000-000023070000}"/>
    <cellStyle name="Millares 3 11 14" xfId="1828" xr:uid="{00000000-0005-0000-0000-000024070000}"/>
    <cellStyle name="Millares 3 11 15" xfId="1829" xr:uid="{00000000-0005-0000-0000-000025070000}"/>
    <cellStyle name="Millares 3 11 16" xfId="1830" xr:uid="{00000000-0005-0000-0000-000026070000}"/>
    <cellStyle name="Millares 3 11 17" xfId="1831" xr:uid="{00000000-0005-0000-0000-000027070000}"/>
    <cellStyle name="Millares 3 11 18" xfId="1832" xr:uid="{00000000-0005-0000-0000-000028070000}"/>
    <cellStyle name="Millares 3 11 19" xfId="1833" xr:uid="{00000000-0005-0000-0000-000029070000}"/>
    <cellStyle name="Millares 3 11 2" xfId="1834" xr:uid="{00000000-0005-0000-0000-00002A070000}"/>
    <cellStyle name="Millares 3 11 2 10" xfId="1835" xr:uid="{00000000-0005-0000-0000-00002B070000}"/>
    <cellStyle name="Millares 3 11 2 11" xfId="1836" xr:uid="{00000000-0005-0000-0000-00002C070000}"/>
    <cellStyle name="Millares 3 11 2 12" xfId="1837" xr:uid="{00000000-0005-0000-0000-00002D070000}"/>
    <cellStyle name="Millares 3 11 2 13" xfId="1838" xr:uid="{00000000-0005-0000-0000-00002E070000}"/>
    <cellStyle name="Millares 3 11 2 14" xfId="1839" xr:uid="{00000000-0005-0000-0000-00002F070000}"/>
    <cellStyle name="Millares 3 11 2 15" xfId="1840" xr:uid="{00000000-0005-0000-0000-000030070000}"/>
    <cellStyle name="Millares 3 11 2 16" xfId="1841" xr:uid="{00000000-0005-0000-0000-000031070000}"/>
    <cellStyle name="Millares 3 11 2 17" xfId="1842" xr:uid="{00000000-0005-0000-0000-000032070000}"/>
    <cellStyle name="Millares 3 11 2 2" xfId="1843" xr:uid="{00000000-0005-0000-0000-000033070000}"/>
    <cellStyle name="Millares 3 11 2 3" xfId="1844" xr:uid="{00000000-0005-0000-0000-000034070000}"/>
    <cellStyle name="Millares 3 11 2 3 2" xfId="1845" xr:uid="{00000000-0005-0000-0000-000035070000}"/>
    <cellStyle name="Millares 3 11 2 4" xfId="1846" xr:uid="{00000000-0005-0000-0000-000036070000}"/>
    <cellStyle name="Millares 3 11 2 5" xfId="1847" xr:uid="{00000000-0005-0000-0000-000037070000}"/>
    <cellStyle name="Millares 3 11 2 6" xfId="1848" xr:uid="{00000000-0005-0000-0000-000038070000}"/>
    <cellStyle name="Millares 3 11 2 7" xfId="1849" xr:uid="{00000000-0005-0000-0000-000039070000}"/>
    <cellStyle name="Millares 3 11 2 8" xfId="1850" xr:uid="{00000000-0005-0000-0000-00003A070000}"/>
    <cellStyle name="Millares 3 11 2 9" xfId="1851" xr:uid="{00000000-0005-0000-0000-00003B070000}"/>
    <cellStyle name="Millares 3 11 3" xfId="1852" xr:uid="{00000000-0005-0000-0000-00003C070000}"/>
    <cellStyle name="Millares 3 11 4" xfId="1853" xr:uid="{00000000-0005-0000-0000-00003D070000}"/>
    <cellStyle name="Millares 3 11 5" xfId="1854" xr:uid="{00000000-0005-0000-0000-00003E070000}"/>
    <cellStyle name="Millares 3 11 6" xfId="1855" xr:uid="{00000000-0005-0000-0000-00003F070000}"/>
    <cellStyle name="Millares 3 11 7" xfId="1856" xr:uid="{00000000-0005-0000-0000-000040070000}"/>
    <cellStyle name="Millares 3 11 8" xfId="1857" xr:uid="{00000000-0005-0000-0000-000041070000}"/>
    <cellStyle name="Millares 3 11 9" xfId="1858" xr:uid="{00000000-0005-0000-0000-000042070000}"/>
    <cellStyle name="Millares 3 12" xfId="1859" xr:uid="{00000000-0005-0000-0000-000043070000}"/>
    <cellStyle name="Millares 3 12 10" xfId="1860" xr:uid="{00000000-0005-0000-0000-000044070000}"/>
    <cellStyle name="Millares 3 12 11" xfId="1861" xr:uid="{00000000-0005-0000-0000-000045070000}"/>
    <cellStyle name="Millares 3 12 12" xfId="1862" xr:uid="{00000000-0005-0000-0000-000046070000}"/>
    <cellStyle name="Millares 3 12 13" xfId="1863" xr:uid="{00000000-0005-0000-0000-000047070000}"/>
    <cellStyle name="Millares 3 12 14" xfId="1864" xr:uid="{00000000-0005-0000-0000-000048070000}"/>
    <cellStyle name="Millares 3 12 15" xfId="1865" xr:uid="{00000000-0005-0000-0000-000049070000}"/>
    <cellStyle name="Millares 3 12 16" xfId="1866" xr:uid="{00000000-0005-0000-0000-00004A070000}"/>
    <cellStyle name="Millares 3 12 17" xfId="1867" xr:uid="{00000000-0005-0000-0000-00004B070000}"/>
    <cellStyle name="Millares 3 12 2" xfId="1868" xr:uid="{00000000-0005-0000-0000-00004C070000}"/>
    <cellStyle name="Millares 3 12 3" xfId="1869" xr:uid="{00000000-0005-0000-0000-00004D070000}"/>
    <cellStyle name="Millares 3 12 3 2" xfId="1870" xr:uid="{00000000-0005-0000-0000-00004E070000}"/>
    <cellStyle name="Millares 3 12 4" xfId="1871" xr:uid="{00000000-0005-0000-0000-00004F070000}"/>
    <cellStyle name="Millares 3 12 5" xfId="1872" xr:uid="{00000000-0005-0000-0000-000050070000}"/>
    <cellStyle name="Millares 3 12 6" xfId="1873" xr:uid="{00000000-0005-0000-0000-000051070000}"/>
    <cellStyle name="Millares 3 12 7" xfId="1874" xr:uid="{00000000-0005-0000-0000-000052070000}"/>
    <cellStyle name="Millares 3 12 8" xfId="1875" xr:uid="{00000000-0005-0000-0000-000053070000}"/>
    <cellStyle name="Millares 3 12 9" xfId="1876" xr:uid="{00000000-0005-0000-0000-000054070000}"/>
    <cellStyle name="Millares 3 13" xfId="1877" xr:uid="{00000000-0005-0000-0000-000055070000}"/>
    <cellStyle name="Millares 3 13 10" xfId="1878" xr:uid="{00000000-0005-0000-0000-000056070000}"/>
    <cellStyle name="Millares 3 13 11" xfId="1879" xr:uid="{00000000-0005-0000-0000-000057070000}"/>
    <cellStyle name="Millares 3 13 12" xfId="1880" xr:uid="{00000000-0005-0000-0000-000058070000}"/>
    <cellStyle name="Millares 3 13 13" xfId="1881" xr:uid="{00000000-0005-0000-0000-000059070000}"/>
    <cellStyle name="Millares 3 13 14" xfId="1882" xr:uid="{00000000-0005-0000-0000-00005A070000}"/>
    <cellStyle name="Millares 3 13 15" xfId="1883" xr:uid="{00000000-0005-0000-0000-00005B070000}"/>
    <cellStyle name="Millares 3 13 16" xfId="1884" xr:uid="{00000000-0005-0000-0000-00005C070000}"/>
    <cellStyle name="Millares 3 13 17" xfId="1885" xr:uid="{00000000-0005-0000-0000-00005D070000}"/>
    <cellStyle name="Millares 3 13 2" xfId="1886" xr:uid="{00000000-0005-0000-0000-00005E070000}"/>
    <cellStyle name="Millares 3 13 3" xfId="1887" xr:uid="{00000000-0005-0000-0000-00005F070000}"/>
    <cellStyle name="Millares 3 13 3 2" xfId="1888" xr:uid="{00000000-0005-0000-0000-000060070000}"/>
    <cellStyle name="Millares 3 13 4" xfId="1889" xr:uid="{00000000-0005-0000-0000-000061070000}"/>
    <cellStyle name="Millares 3 13 5" xfId="1890" xr:uid="{00000000-0005-0000-0000-000062070000}"/>
    <cellStyle name="Millares 3 13 6" xfId="1891" xr:uid="{00000000-0005-0000-0000-000063070000}"/>
    <cellStyle name="Millares 3 13 7" xfId="1892" xr:uid="{00000000-0005-0000-0000-000064070000}"/>
    <cellStyle name="Millares 3 13 8" xfId="1893" xr:uid="{00000000-0005-0000-0000-000065070000}"/>
    <cellStyle name="Millares 3 13 9" xfId="1894" xr:uid="{00000000-0005-0000-0000-000066070000}"/>
    <cellStyle name="Millares 3 14" xfId="1895" xr:uid="{00000000-0005-0000-0000-000067070000}"/>
    <cellStyle name="Millares 3 14 10" xfId="1896" xr:uid="{00000000-0005-0000-0000-000068070000}"/>
    <cellStyle name="Millares 3 14 11" xfId="1897" xr:uid="{00000000-0005-0000-0000-000069070000}"/>
    <cellStyle name="Millares 3 14 12" xfId="1898" xr:uid="{00000000-0005-0000-0000-00006A070000}"/>
    <cellStyle name="Millares 3 14 13" xfId="1899" xr:uid="{00000000-0005-0000-0000-00006B070000}"/>
    <cellStyle name="Millares 3 14 14" xfId="1900" xr:uid="{00000000-0005-0000-0000-00006C070000}"/>
    <cellStyle name="Millares 3 14 15" xfId="1901" xr:uid="{00000000-0005-0000-0000-00006D070000}"/>
    <cellStyle name="Millares 3 14 16" xfId="1902" xr:uid="{00000000-0005-0000-0000-00006E070000}"/>
    <cellStyle name="Millares 3 14 17" xfId="1903" xr:uid="{00000000-0005-0000-0000-00006F070000}"/>
    <cellStyle name="Millares 3 14 2" xfId="1904" xr:uid="{00000000-0005-0000-0000-000070070000}"/>
    <cellStyle name="Millares 3 14 3" xfId="1905" xr:uid="{00000000-0005-0000-0000-000071070000}"/>
    <cellStyle name="Millares 3 14 3 2" xfId="1906" xr:uid="{00000000-0005-0000-0000-000072070000}"/>
    <cellStyle name="Millares 3 14 4" xfId="1907" xr:uid="{00000000-0005-0000-0000-000073070000}"/>
    <cellStyle name="Millares 3 14 5" xfId="1908" xr:uid="{00000000-0005-0000-0000-000074070000}"/>
    <cellStyle name="Millares 3 14 6" xfId="1909" xr:uid="{00000000-0005-0000-0000-000075070000}"/>
    <cellStyle name="Millares 3 14 7" xfId="1910" xr:uid="{00000000-0005-0000-0000-000076070000}"/>
    <cellStyle name="Millares 3 14 8" xfId="1911" xr:uid="{00000000-0005-0000-0000-000077070000}"/>
    <cellStyle name="Millares 3 14 9" xfId="1912" xr:uid="{00000000-0005-0000-0000-000078070000}"/>
    <cellStyle name="Millares 3 15" xfId="1913" xr:uid="{00000000-0005-0000-0000-000079070000}"/>
    <cellStyle name="Millares 3 16" xfId="1914" xr:uid="{00000000-0005-0000-0000-00007A070000}"/>
    <cellStyle name="Millares 3 17" xfId="1915" xr:uid="{00000000-0005-0000-0000-00007B070000}"/>
    <cellStyle name="Millares 3 18" xfId="1916" xr:uid="{00000000-0005-0000-0000-00007C070000}"/>
    <cellStyle name="Millares 3 19" xfId="1917" xr:uid="{00000000-0005-0000-0000-00007D070000}"/>
    <cellStyle name="Millares 3 2" xfId="1918" xr:uid="{00000000-0005-0000-0000-00007E070000}"/>
    <cellStyle name="Millares 3 2 10" xfId="1919" xr:uid="{00000000-0005-0000-0000-00007F070000}"/>
    <cellStyle name="Millares 3 2 11" xfId="1920" xr:uid="{00000000-0005-0000-0000-000080070000}"/>
    <cellStyle name="Millares 3 2 12" xfId="1921" xr:uid="{00000000-0005-0000-0000-000081070000}"/>
    <cellStyle name="Millares 3 2 13" xfId="1922" xr:uid="{00000000-0005-0000-0000-000082070000}"/>
    <cellStyle name="Millares 3 2 14" xfId="1923" xr:uid="{00000000-0005-0000-0000-000083070000}"/>
    <cellStyle name="Millares 3 2 15" xfId="1924" xr:uid="{00000000-0005-0000-0000-000084070000}"/>
    <cellStyle name="Millares 3 2 16" xfId="1925" xr:uid="{00000000-0005-0000-0000-000085070000}"/>
    <cellStyle name="Millares 3 2 17" xfId="1926" xr:uid="{00000000-0005-0000-0000-000086070000}"/>
    <cellStyle name="Millares 3 2 18" xfId="1927" xr:uid="{00000000-0005-0000-0000-000087070000}"/>
    <cellStyle name="Millares 3 2 19" xfId="1928" xr:uid="{00000000-0005-0000-0000-000088070000}"/>
    <cellStyle name="Millares 3 2 2" xfId="1929" xr:uid="{00000000-0005-0000-0000-000089070000}"/>
    <cellStyle name="Millares 3 2 2 10" xfId="1930" xr:uid="{00000000-0005-0000-0000-00008A070000}"/>
    <cellStyle name="Millares 3 2 2 11" xfId="1931" xr:uid="{00000000-0005-0000-0000-00008B070000}"/>
    <cellStyle name="Millares 3 2 2 12" xfId="1932" xr:uid="{00000000-0005-0000-0000-00008C070000}"/>
    <cellStyle name="Millares 3 2 2 13" xfId="1933" xr:uid="{00000000-0005-0000-0000-00008D070000}"/>
    <cellStyle name="Millares 3 2 2 14" xfId="1934" xr:uid="{00000000-0005-0000-0000-00008E070000}"/>
    <cellStyle name="Millares 3 2 2 15" xfId="1935" xr:uid="{00000000-0005-0000-0000-00008F070000}"/>
    <cellStyle name="Millares 3 2 2 16" xfId="1936" xr:uid="{00000000-0005-0000-0000-000090070000}"/>
    <cellStyle name="Millares 3 2 2 17" xfId="1937" xr:uid="{00000000-0005-0000-0000-000091070000}"/>
    <cellStyle name="Millares 3 2 2 18" xfId="1938" xr:uid="{00000000-0005-0000-0000-000092070000}"/>
    <cellStyle name="Millares 3 2 2 2" xfId="1939" xr:uid="{00000000-0005-0000-0000-000093070000}"/>
    <cellStyle name="Millares 3 2 2 2 2" xfId="1940" xr:uid="{00000000-0005-0000-0000-000094070000}"/>
    <cellStyle name="Millares 3 2 2 2 2 2" xfId="1941" xr:uid="{00000000-0005-0000-0000-000095070000}"/>
    <cellStyle name="Millares 3 2 2 2 2 2 2" xfId="1942" xr:uid="{00000000-0005-0000-0000-000096070000}"/>
    <cellStyle name="Millares 3 2 2 2 2 2 2 2" xfId="1943" xr:uid="{00000000-0005-0000-0000-000097070000}"/>
    <cellStyle name="Millares 3 2 2 2 2 2 2 3" xfId="1944" xr:uid="{00000000-0005-0000-0000-000098070000}"/>
    <cellStyle name="Millares 3 2 2 2 2 2 3" xfId="1945" xr:uid="{00000000-0005-0000-0000-000099070000}"/>
    <cellStyle name="Millares 3 2 2 2 2 3" xfId="1946" xr:uid="{00000000-0005-0000-0000-00009A070000}"/>
    <cellStyle name="Millares 3 2 2 2 2 4" xfId="1947" xr:uid="{00000000-0005-0000-0000-00009B070000}"/>
    <cellStyle name="Millares 3 2 2 2 2 5" xfId="1948" xr:uid="{00000000-0005-0000-0000-00009C070000}"/>
    <cellStyle name="Millares 3 2 2 2 3" xfId="1949" xr:uid="{00000000-0005-0000-0000-00009D070000}"/>
    <cellStyle name="Millares 3 2 2 2 4" xfId="1950" xr:uid="{00000000-0005-0000-0000-00009E070000}"/>
    <cellStyle name="Millares 3 2 2 2 5" xfId="1951" xr:uid="{00000000-0005-0000-0000-00009F070000}"/>
    <cellStyle name="Millares 3 2 2 3" xfId="1952" xr:uid="{00000000-0005-0000-0000-0000A0070000}"/>
    <cellStyle name="Millares 3 2 2 4" xfId="1953" xr:uid="{00000000-0005-0000-0000-0000A1070000}"/>
    <cellStyle name="Millares 3 2 2 5" xfId="1954" xr:uid="{00000000-0005-0000-0000-0000A2070000}"/>
    <cellStyle name="Millares 3 2 2 5 10" xfId="1955" xr:uid="{00000000-0005-0000-0000-0000A3070000}"/>
    <cellStyle name="Millares 3 2 2 5 11" xfId="1956" xr:uid="{00000000-0005-0000-0000-0000A4070000}"/>
    <cellStyle name="Millares 3 2 2 5 12" xfId="1957" xr:uid="{00000000-0005-0000-0000-0000A5070000}"/>
    <cellStyle name="Millares 3 2 2 5 13" xfId="1958" xr:uid="{00000000-0005-0000-0000-0000A6070000}"/>
    <cellStyle name="Millares 3 2 2 5 14" xfId="1959" xr:uid="{00000000-0005-0000-0000-0000A7070000}"/>
    <cellStyle name="Millares 3 2 2 5 15" xfId="1960" xr:uid="{00000000-0005-0000-0000-0000A8070000}"/>
    <cellStyle name="Millares 3 2 2 5 16" xfId="1961" xr:uid="{00000000-0005-0000-0000-0000A9070000}"/>
    <cellStyle name="Millares 3 2 2 5 17" xfId="1962" xr:uid="{00000000-0005-0000-0000-0000AA070000}"/>
    <cellStyle name="Millares 3 2 2 5 18" xfId="1963" xr:uid="{00000000-0005-0000-0000-0000AB070000}"/>
    <cellStyle name="Millares 3 2 2 5 2" xfId="1964" xr:uid="{00000000-0005-0000-0000-0000AC070000}"/>
    <cellStyle name="Millares 3 2 2 5 2 10" xfId="1965" xr:uid="{00000000-0005-0000-0000-0000AD070000}"/>
    <cellStyle name="Millares 3 2 2 5 2 11" xfId="1966" xr:uid="{00000000-0005-0000-0000-0000AE070000}"/>
    <cellStyle name="Millares 3 2 2 5 2 12" xfId="1967" xr:uid="{00000000-0005-0000-0000-0000AF070000}"/>
    <cellStyle name="Millares 3 2 2 5 2 13" xfId="1968" xr:uid="{00000000-0005-0000-0000-0000B0070000}"/>
    <cellStyle name="Millares 3 2 2 5 2 14" xfId="1969" xr:uid="{00000000-0005-0000-0000-0000B1070000}"/>
    <cellStyle name="Millares 3 2 2 5 2 15" xfId="1970" xr:uid="{00000000-0005-0000-0000-0000B2070000}"/>
    <cellStyle name="Millares 3 2 2 5 2 2" xfId="1971" xr:uid="{00000000-0005-0000-0000-0000B3070000}"/>
    <cellStyle name="Millares 3 2 2 5 2 2 2" xfId="1972" xr:uid="{00000000-0005-0000-0000-0000B4070000}"/>
    <cellStyle name="Millares 3 2 2 5 2 2 3" xfId="1973" xr:uid="{00000000-0005-0000-0000-0000B5070000}"/>
    <cellStyle name="Millares 3 2 2 5 2 2 4" xfId="1974" xr:uid="{00000000-0005-0000-0000-0000B6070000}"/>
    <cellStyle name="Millares 3 2 2 5 2 2 5" xfId="1975" xr:uid="{00000000-0005-0000-0000-0000B7070000}"/>
    <cellStyle name="Millares 3 2 2 5 2 2 6" xfId="1976" xr:uid="{00000000-0005-0000-0000-0000B8070000}"/>
    <cellStyle name="Millares 3 2 2 5 2 3" xfId="1977" xr:uid="{00000000-0005-0000-0000-0000B9070000}"/>
    <cellStyle name="Millares 3 2 2 5 2 4" xfId="1978" xr:uid="{00000000-0005-0000-0000-0000BA070000}"/>
    <cellStyle name="Millares 3 2 2 5 2 5" xfId="1979" xr:uid="{00000000-0005-0000-0000-0000BB070000}"/>
    <cellStyle name="Millares 3 2 2 5 2 6" xfId="1980" xr:uid="{00000000-0005-0000-0000-0000BC070000}"/>
    <cellStyle name="Millares 3 2 2 5 2 7" xfId="1981" xr:uid="{00000000-0005-0000-0000-0000BD070000}"/>
    <cellStyle name="Millares 3 2 2 5 2 8" xfId="1982" xr:uid="{00000000-0005-0000-0000-0000BE070000}"/>
    <cellStyle name="Millares 3 2 2 5 2 9" xfId="1983" xr:uid="{00000000-0005-0000-0000-0000BF070000}"/>
    <cellStyle name="Millares 3 2 2 5 3" xfId="1984" xr:uid="{00000000-0005-0000-0000-0000C0070000}"/>
    <cellStyle name="Millares 3 2 2 5 3 10" xfId="1985" xr:uid="{00000000-0005-0000-0000-0000C1070000}"/>
    <cellStyle name="Millares 3 2 2 5 3 2" xfId="1986" xr:uid="{00000000-0005-0000-0000-0000C2070000}"/>
    <cellStyle name="Millares 3 2 2 5 3 3" xfId="1987" xr:uid="{00000000-0005-0000-0000-0000C3070000}"/>
    <cellStyle name="Millares 3 2 2 5 3 4" xfId="1988" xr:uid="{00000000-0005-0000-0000-0000C4070000}"/>
    <cellStyle name="Millares 3 2 2 5 3 5" xfId="1989" xr:uid="{00000000-0005-0000-0000-0000C5070000}"/>
    <cellStyle name="Millares 3 2 2 5 3 6" xfId="1990" xr:uid="{00000000-0005-0000-0000-0000C6070000}"/>
    <cellStyle name="Millares 3 2 2 5 3 7" xfId="1991" xr:uid="{00000000-0005-0000-0000-0000C7070000}"/>
    <cellStyle name="Millares 3 2 2 5 3 8" xfId="1992" xr:uid="{00000000-0005-0000-0000-0000C8070000}"/>
    <cellStyle name="Millares 3 2 2 5 3 9" xfId="1993" xr:uid="{00000000-0005-0000-0000-0000C9070000}"/>
    <cellStyle name="Millares 3 2 2 5 4" xfId="1994" xr:uid="{00000000-0005-0000-0000-0000CA070000}"/>
    <cellStyle name="Millares 3 2 2 5 5" xfId="1995" xr:uid="{00000000-0005-0000-0000-0000CB070000}"/>
    <cellStyle name="Millares 3 2 2 5 6" xfId="1996" xr:uid="{00000000-0005-0000-0000-0000CC070000}"/>
    <cellStyle name="Millares 3 2 2 5 7" xfId="1997" xr:uid="{00000000-0005-0000-0000-0000CD070000}"/>
    <cellStyle name="Millares 3 2 2 5 8" xfId="1998" xr:uid="{00000000-0005-0000-0000-0000CE070000}"/>
    <cellStyle name="Millares 3 2 2 5 9" xfId="1999" xr:uid="{00000000-0005-0000-0000-0000CF070000}"/>
    <cellStyle name="Millares 3 2 2 6" xfId="2000" xr:uid="{00000000-0005-0000-0000-0000D0070000}"/>
    <cellStyle name="Millares 3 2 2 7" xfId="2001" xr:uid="{00000000-0005-0000-0000-0000D1070000}"/>
    <cellStyle name="Millares 3 2 2 8" xfId="2002" xr:uid="{00000000-0005-0000-0000-0000D2070000}"/>
    <cellStyle name="Millares 3 2 2 9" xfId="2003" xr:uid="{00000000-0005-0000-0000-0000D3070000}"/>
    <cellStyle name="Millares 3 2 20" xfId="2004" xr:uid="{00000000-0005-0000-0000-0000D4070000}"/>
    <cellStyle name="Millares 3 2 21" xfId="2005" xr:uid="{00000000-0005-0000-0000-0000D5070000}"/>
    <cellStyle name="Millares 3 2 22" xfId="2006" xr:uid="{00000000-0005-0000-0000-0000D6070000}"/>
    <cellStyle name="Millares 3 2 23" xfId="2007" xr:uid="{00000000-0005-0000-0000-0000D7070000}"/>
    <cellStyle name="Millares 3 2 24" xfId="2008" xr:uid="{00000000-0005-0000-0000-0000D8070000}"/>
    <cellStyle name="Millares 3 2 3" xfId="2009" xr:uid="{00000000-0005-0000-0000-0000D9070000}"/>
    <cellStyle name="Millares 3 2 4" xfId="2010" xr:uid="{00000000-0005-0000-0000-0000DA070000}"/>
    <cellStyle name="Millares 3 2 5" xfId="2011" xr:uid="{00000000-0005-0000-0000-0000DB070000}"/>
    <cellStyle name="Millares 3 2 6" xfId="2012" xr:uid="{00000000-0005-0000-0000-0000DC070000}"/>
    <cellStyle name="Millares 3 2 7" xfId="2013" xr:uid="{00000000-0005-0000-0000-0000DD070000}"/>
    <cellStyle name="Millares 3 2 8" xfId="2014" xr:uid="{00000000-0005-0000-0000-0000DE070000}"/>
    <cellStyle name="Millares 3 2 9" xfId="2015" xr:uid="{00000000-0005-0000-0000-0000DF070000}"/>
    <cellStyle name="Millares 3 20" xfId="2016" xr:uid="{00000000-0005-0000-0000-0000E0070000}"/>
    <cellStyle name="Millares 3 21" xfId="2017" xr:uid="{00000000-0005-0000-0000-0000E1070000}"/>
    <cellStyle name="Millares 3 22" xfId="2018" xr:uid="{00000000-0005-0000-0000-0000E2070000}"/>
    <cellStyle name="Millares 3 23" xfId="2019" xr:uid="{00000000-0005-0000-0000-0000E3070000}"/>
    <cellStyle name="Millares 3 24" xfId="2020" xr:uid="{00000000-0005-0000-0000-0000E4070000}"/>
    <cellStyle name="Millares 3 25" xfId="2021" xr:uid="{00000000-0005-0000-0000-0000E5070000}"/>
    <cellStyle name="Millares 3 26" xfId="2022" xr:uid="{00000000-0005-0000-0000-0000E6070000}"/>
    <cellStyle name="Millares 3 27" xfId="2023" xr:uid="{00000000-0005-0000-0000-0000E7070000}"/>
    <cellStyle name="Millares 3 28" xfId="2024" xr:uid="{00000000-0005-0000-0000-0000E8070000}"/>
    <cellStyle name="Millares 3 29" xfId="2025" xr:uid="{00000000-0005-0000-0000-0000E9070000}"/>
    <cellStyle name="Millares 3 3" xfId="2026" xr:uid="{00000000-0005-0000-0000-0000EA070000}"/>
    <cellStyle name="Millares 3 30" xfId="2027" xr:uid="{00000000-0005-0000-0000-0000EB070000}"/>
    <cellStyle name="Millares 3 4" xfId="2028" xr:uid="{00000000-0005-0000-0000-0000EC070000}"/>
    <cellStyle name="Millares 3 5" xfId="2029" xr:uid="{00000000-0005-0000-0000-0000ED070000}"/>
    <cellStyle name="Millares 3 6" xfId="2030" xr:uid="{00000000-0005-0000-0000-0000EE070000}"/>
    <cellStyle name="Millares 3 7" xfId="2031" xr:uid="{00000000-0005-0000-0000-0000EF070000}"/>
    <cellStyle name="Millares 3 8" xfId="2032" xr:uid="{00000000-0005-0000-0000-0000F0070000}"/>
    <cellStyle name="Millares 3 9" xfId="2033" xr:uid="{00000000-0005-0000-0000-0000F1070000}"/>
    <cellStyle name="Millares 30" xfId="2034" xr:uid="{00000000-0005-0000-0000-0000F2070000}"/>
    <cellStyle name="Millares 30 10" xfId="2035" xr:uid="{00000000-0005-0000-0000-0000F3070000}"/>
    <cellStyle name="Millares 30 11" xfId="2036" xr:uid="{00000000-0005-0000-0000-0000F4070000}"/>
    <cellStyle name="Millares 30 12" xfId="2037" xr:uid="{00000000-0005-0000-0000-0000F5070000}"/>
    <cellStyle name="Millares 30 13" xfId="2038" xr:uid="{00000000-0005-0000-0000-0000F6070000}"/>
    <cellStyle name="Millares 30 14" xfId="2039" xr:uid="{00000000-0005-0000-0000-0000F7070000}"/>
    <cellStyle name="Millares 30 15" xfId="2040" xr:uid="{00000000-0005-0000-0000-0000F8070000}"/>
    <cellStyle name="Millares 30 16" xfId="2041" xr:uid="{00000000-0005-0000-0000-0000F9070000}"/>
    <cellStyle name="Millares 30 17" xfId="2042" xr:uid="{00000000-0005-0000-0000-0000FA070000}"/>
    <cellStyle name="Millares 30 18" xfId="2043" xr:uid="{00000000-0005-0000-0000-0000FB070000}"/>
    <cellStyle name="Millares 30 19" xfId="2044" xr:uid="{00000000-0005-0000-0000-0000FC070000}"/>
    <cellStyle name="Millares 30 2" xfId="2045" xr:uid="{00000000-0005-0000-0000-0000FD070000}"/>
    <cellStyle name="Millares 30 2 2" xfId="2046" xr:uid="{00000000-0005-0000-0000-0000FE070000}"/>
    <cellStyle name="Millares 30 2 3" xfId="2047" xr:uid="{00000000-0005-0000-0000-0000FF070000}"/>
    <cellStyle name="Millares 30 20" xfId="2048" xr:uid="{00000000-0005-0000-0000-000000080000}"/>
    <cellStyle name="Millares 30 21" xfId="2049" xr:uid="{00000000-0005-0000-0000-000001080000}"/>
    <cellStyle name="Millares 30 22" xfId="2050" xr:uid="{00000000-0005-0000-0000-000002080000}"/>
    <cellStyle name="Millares 30 23" xfId="2051" xr:uid="{00000000-0005-0000-0000-000003080000}"/>
    <cellStyle name="Millares 30 24" xfId="2052" xr:uid="{00000000-0005-0000-0000-000004080000}"/>
    <cellStyle name="Millares 30 25" xfId="2053" xr:uid="{00000000-0005-0000-0000-000005080000}"/>
    <cellStyle name="Millares 30 3" xfId="2054" xr:uid="{00000000-0005-0000-0000-000006080000}"/>
    <cellStyle name="Millares 30 3 2" xfId="2055" xr:uid="{00000000-0005-0000-0000-000007080000}"/>
    <cellStyle name="Millares 30 3 3" xfId="2056" xr:uid="{00000000-0005-0000-0000-000008080000}"/>
    <cellStyle name="Millares 30 4" xfId="2057" xr:uid="{00000000-0005-0000-0000-000009080000}"/>
    <cellStyle name="Millares 30 5" xfId="2058" xr:uid="{00000000-0005-0000-0000-00000A080000}"/>
    <cellStyle name="Millares 30 6" xfId="2059" xr:uid="{00000000-0005-0000-0000-00000B080000}"/>
    <cellStyle name="Millares 30 7" xfId="2060" xr:uid="{00000000-0005-0000-0000-00000C080000}"/>
    <cellStyle name="Millares 30 8" xfId="2061" xr:uid="{00000000-0005-0000-0000-00000D080000}"/>
    <cellStyle name="Millares 30 9" xfId="2062" xr:uid="{00000000-0005-0000-0000-00000E080000}"/>
    <cellStyle name="Millares 4" xfId="2063" xr:uid="{00000000-0005-0000-0000-00000F080000}"/>
    <cellStyle name="Millares 4 2" xfId="2064" xr:uid="{00000000-0005-0000-0000-000010080000}"/>
    <cellStyle name="Millares 4 3" xfId="2065" xr:uid="{00000000-0005-0000-0000-000011080000}"/>
    <cellStyle name="Millares 5" xfId="2066" xr:uid="{00000000-0005-0000-0000-000012080000}"/>
    <cellStyle name="Millares 5 10" xfId="2067" xr:uid="{00000000-0005-0000-0000-000013080000}"/>
    <cellStyle name="Millares 5 11" xfId="2068" xr:uid="{00000000-0005-0000-0000-000014080000}"/>
    <cellStyle name="Millares 5 12" xfId="2069" xr:uid="{00000000-0005-0000-0000-000015080000}"/>
    <cellStyle name="Millares 5 13" xfId="2070" xr:uid="{00000000-0005-0000-0000-000016080000}"/>
    <cellStyle name="Millares 5 14" xfId="2071" xr:uid="{00000000-0005-0000-0000-000017080000}"/>
    <cellStyle name="Millares 5 15" xfId="2072" xr:uid="{00000000-0005-0000-0000-000018080000}"/>
    <cellStyle name="Millares 5 16" xfId="2073" xr:uid="{00000000-0005-0000-0000-000019080000}"/>
    <cellStyle name="Millares 5 17" xfId="2074" xr:uid="{00000000-0005-0000-0000-00001A080000}"/>
    <cellStyle name="Millares 5 18" xfId="2075" xr:uid="{00000000-0005-0000-0000-00001B080000}"/>
    <cellStyle name="Millares 5 19" xfId="2076" xr:uid="{00000000-0005-0000-0000-00001C080000}"/>
    <cellStyle name="Millares 5 2" xfId="2077" xr:uid="{00000000-0005-0000-0000-00001D080000}"/>
    <cellStyle name="Millares 5 2 2" xfId="2078" xr:uid="{00000000-0005-0000-0000-00001E080000}"/>
    <cellStyle name="Millares 5 20" xfId="2079" xr:uid="{00000000-0005-0000-0000-00001F080000}"/>
    <cellStyle name="Millares 5 21" xfId="2080" xr:uid="{00000000-0005-0000-0000-000020080000}"/>
    <cellStyle name="Millares 5 22" xfId="2081" xr:uid="{00000000-0005-0000-0000-000021080000}"/>
    <cellStyle name="Millares 5 23" xfId="2082" xr:uid="{00000000-0005-0000-0000-000022080000}"/>
    <cellStyle name="Millares 5 24" xfId="2083" xr:uid="{00000000-0005-0000-0000-000023080000}"/>
    <cellStyle name="Millares 5 25" xfId="2084" xr:uid="{00000000-0005-0000-0000-000024080000}"/>
    <cellStyle name="Millares 5 26" xfId="2085" xr:uid="{00000000-0005-0000-0000-000025080000}"/>
    <cellStyle name="Millares 5 3" xfId="2086" xr:uid="{00000000-0005-0000-0000-000026080000}"/>
    <cellStyle name="Millares 5 4" xfId="2087" xr:uid="{00000000-0005-0000-0000-000027080000}"/>
    <cellStyle name="Millares 5 5" xfId="2088" xr:uid="{00000000-0005-0000-0000-000028080000}"/>
    <cellStyle name="Millares 5 6" xfId="2089" xr:uid="{00000000-0005-0000-0000-000029080000}"/>
    <cellStyle name="Millares 5 7" xfId="2090" xr:uid="{00000000-0005-0000-0000-00002A080000}"/>
    <cellStyle name="Millares 5 8" xfId="2091" xr:uid="{00000000-0005-0000-0000-00002B080000}"/>
    <cellStyle name="Millares 5 9" xfId="2092" xr:uid="{00000000-0005-0000-0000-00002C080000}"/>
    <cellStyle name="Millares 6" xfId="2093" xr:uid="{00000000-0005-0000-0000-00002D080000}"/>
    <cellStyle name="Millares 6 2" xfId="2094" xr:uid="{00000000-0005-0000-0000-00002E080000}"/>
    <cellStyle name="Millares 7" xfId="2095" xr:uid="{00000000-0005-0000-0000-00002F080000}"/>
    <cellStyle name="Millares 7 10" xfId="2096" xr:uid="{00000000-0005-0000-0000-000030080000}"/>
    <cellStyle name="Millares 7 11" xfId="2097" xr:uid="{00000000-0005-0000-0000-000031080000}"/>
    <cellStyle name="Millares 7 12" xfId="2098" xr:uid="{00000000-0005-0000-0000-000032080000}"/>
    <cellStyle name="Millares 7 13" xfId="2099" xr:uid="{00000000-0005-0000-0000-000033080000}"/>
    <cellStyle name="Millares 7 14" xfId="2100" xr:uid="{00000000-0005-0000-0000-000034080000}"/>
    <cellStyle name="Millares 7 15" xfId="2101" xr:uid="{00000000-0005-0000-0000-000035080000}"/>
    <cellStyle name="Millares 7 16" xfId="2102" xr:uid="{00000000-0005-0000-0000-000036080000}"/>
    <cellStyle name="Millares 7 17" xfId="2103" xr:uid="{00000000-0005-0000-0000-000037080000}"/>
    <cellStyle name="Millares 7 18" xfId="2104" xr:uid="{00000000-0005-0000-0000-000038080000}"/>
    <cellStyle name="Millares 7 19" xfId="2105" xr:uid="{00000000-0005-0000-0000-000039080000}"/>
    <cellStyle name="Millares 7 2" xfId="2106" xr:uid="{00000000-0005-0000-0000-00003A080000}"/>
    <cellStyle name="Millares 7 20" xfId="2107" xr:uid="{00000000-0005-0000-0000-00003B080000}"/>
    <cellStyle name="Millares 7 21" xfId="2108" xr:uid="{00000000-0005-0000-0000-00003C080000}"/>
    <cellStyle name="Millares 7 22" xfId="2109" xr:uid="{00000000-0005-0000-0000-00003D080000}"/>
    <cellStyle name="Millares 7 23" xfId="2110" xr:uid="{00000000-0005-0000-0000-00003E080000}"/>
    <cellStyle name="Millares 7 24" xfId="2111" xr:uid="{00000000-0005-0000-0000-00003F080000}"/>
    <cellStyle name="Millares 7 3" xfId="2112" xr:uid="{00000000-0005-0000-0000-000040080000}"/>
    <cellStyle name="Millares 7 4" xfId="2113" xr:uid="{00000000-0005-0000-0000-000041080000}"/>
    <cellStyle name="Millares 7 5" xfId="2114" xr:uid="{00000000-0005-0000-0000-000042080000}"/>
    <cellStyle name="Millares 7 6" xfId="2115" xr:uid="{00000000-0005-0000-0000-000043080000}"/>
    <cellStyle name="Millares 7 7" xfId="2116" xr:uid="{00000000-0005-0000-0000-000044080000}"/>
    <cellStyle name="Millares 7 8" xfId="2117" xr:uid="{00000000-0005-0000-0000-000045080000}"/>
    <cellStyle name="Millares 7 9" xfId="2118" xr:uid="{00000000-0005-0000-0000-000046080000}"/>
    <cellStyle name="Millares 8" xfId="2119" xr:uid="{00000000-0005-0000-0000-000047080000}"/>
    <cellStyle name="Millares 8 10" xfId="2120" xr:uid="{00000000-0005-0000-0000-000048080000}"/>
    <cellStyle name="Millares 8 11" xfId="2121" xr:uid="{00000000-0005-0000-0000-000049080000}"/>
    <cellStyle name="Millares 8 12" xfId="2122" xr:uid="{00000000-0005-0000-0000-00004A080000}"/>
    <cellStyle name="Millares 8 13" xfId="2123" xr:uid="{00000000-0005-0000-0000-00004B080000}"/>
    <cellStyle name="Millares 8 14" xfId="2124" xr:uid="{00000000-0005-0000-0000-00004C080000}"/>
    <cellStyle name="Millares 8 15" xfId="2125" xr:uid="{00000000-0005-0000-0000-00004D080000}"/>
    <cellStyle name="Millares 8 16" xfId="2126" xr:uid="{00000000-0005-0000-0000-00004E080000}"/>
    <cellStyle name="Millares 8 17" xfId="2127" xr:uid="{00000000-0005-0000-0000-00004F080000}"/>
    <cellStyle name="Millares 8 18" xfId="2128" xr:uid="{00000000-0005-0000-0000-000050080000}"/>
    <cellStyle name="Millares 8 19" xfId="2129" xr:uid="{00000000-0005-0000-0000-000051080000}"/>
    <cellStyle name="Millares 8 2" xfId="2130" xr:uid="{00000000-0005-0000-0000-000052080000}"/>
    <cellStyle name="Millares 8 20" xfId="2131" xr:uid="{00000000-0005-0000-0000-000053080000}"/>
    <cellStyle name="Millares 8 21" xfId="2132" xr:uid="{00000000-0005-0000-0000-000054080000}"/>
    <cellStyle name="Millares 8 22" xfId="2133" xr:uid="{00000000-0005-0000-0000-000055080000}"/>
    <cellStyle name="Millares 8 23" xfId="2134" xr:uid="{00000000-0005-0000-0000-000056080000}"/>
    <cellStyle name="Millares 8 24" xfId="2135" xr:uid="{00000000-0005-0000-0000-000057080000}"/>
    <cellStyle name="Millares 8 3" xfId="2136" xr:uid="{00000000-0005-0000-0000-000058080000}"/>
    <cellStyle name="Millares 8 4" xfId="2137" xr:uid="{00000000-0005-0000-0000-000059080000}"/>
    <cellStyle name="Millares 8 5" xfId="2138" xr:uid="{00000000-0005-0000-0000-00005A080000}"/>
    <cellStyle name="Millares 8 6" xfId="2139" xr:uid="{00000000-0005-0000-0000-00005B080000}"/>
    <cellStyle name="Millares 8 7" xfId="2140" xr:uid="{00000000-0005-0000-0000-00005C080000}"/>
    <cellStyle name="Millares 8 8" xfId="2141" xr:uid="{00000000-0005-0000-0000-00005D080000}"/>
    <cellStyle name="Millares 8 9" xfId="2142" xr:uid="{00000000-0005-0000-0000-00005E080000}"/>
    <cellStyle name="Millares 9" xfId="2143" xr:uid="{00000000-0005-0000-0000-00005F080000}"/>
    <cellStyle name="Moneda 2" xfId="5" xr:uid="{00000000-0005-0000-0000-000005000000}"/>
    <cellStyle name="Moneda 2 10" xfId="2144" xr:uid="{00000000-0005-0000-0000-000060080000}"/>
    <cellStyle name="Moneda 2 2" xfId="2145" xr:uid="{00000000-0005-0000-0000-000061080000}"/>
    <cellStyle name="Moneda 2 2 2" xfId="2146" xr:uid="{00000000-0005-0000-0000-000062080000}"/>
    <cellStyle name="Moneda 2 2 3" xfId="2147" xr:uid="{00000000-0005-0000-0000-000063080000}"/>
    <cellStyle name="Moneda 2 3" xfId="2148" xr:uid="{00000000-0005-0000-0000-000064080000}"/>
    <cellStyle name="Moneda 2 3 2" xfId="2149" xr:uid="{00000000-0005-0000-0000-000065080000}"/>
    <cellStyle name="Moneda 2 4" xfId="2150" xr:uid="{00000000-0005-0000-0000-000066080000}"/>
    <cellStyle name="Moneda 2 4 2" xfId="2151" xr:uid="{00000000-0005-0000-0000-000067080000}"/>
    <cellStyle name="Moneda 2 5" xfId="2152" xr:uid="{00000000-0005-0000-0000-000068080000}"/>
    <cellStyle name="Moneda 2 5 2" xfId="2153" xr:uid="{00000000-0005-0000-0000-000069080000}"/>
    <cellStyle name="Moneda 2 6" xfId="2154" xr:uid="{00000000-0005-0000-0000-00006A080000}"/>
    <cellStyle name="Moneda 2 6 2" xfId="2155" xr:uid="{00000000-0005-0000-0000-00006B080000}"/>
    <cellStyle name="Moneda 2 7" xfId="2156" xr:uid="{00000000-0005-0000-0000-00006C080000}"/>
    <cellStyle name="Moneda 2 7 2" xfId="2157" xr:uid="{00000000-0005-0000-0000-00006D080000}"/>
    <cellStyle name="Moneda 2 8" xfId="2158" xr:uid="{00000000-0005-0000-0000-00006E080000}"/>
    <cellStyle name="Moneda 2 8 2" xfId="2159" xr:uid="{00000000-0005-0000-0000-00006F080000}"/>
    <cellStyle name="Moneda 2 9" xfId="2160" xr:uid="{00000000-0005-0000-0000-000070080000}"/>
    <cellStyle name="Moneda 26" xfId="2161" xr:uid="{00000000-0005-0000-0000-000071080000}"/>
    <cellStyle name="Moneda 26 2" xfId="2162" xr:uid="{00000000-0005-0000-0000-000072080000}"/>
    <cellStyle name="Moneda 26 2 2" xfId="2163" xr:uid="{00000000-0005-0000-0000-000073080000}"/>
    <cellStyle name="Moneda 26 2 3" xfId="2164" xr:uid="{00000000-0005-0000-0000-000074080000}"/>
    <cellStyle name="Moneda 26 3" xfId="2165" xr:uid="{00000000-0005-0000-0000-000075080000}"/>
    <cellStyle name="Moneda 26 3 2" xfId="2166" xr:uid="{00000000-0005-0000-0000-000076080000}"/>
    <cellStyle name="Moneda 26 3 3" xfId="2167" xr:uid="{00000000-0005-0000-0000-000077080000}"/>
    <cellStyle name="Moneda 26 4" xfId="2168" xr:uid="{00000000-0005-0000-0000-000078080000}"/>
    <cellStyle name="Moneda 3" xfId="25" xr:uid="{00000000-0005-0000-0000-000019000000}"/>
    <cellStyle name="Moneda 3 2" xfId="2169" xr:uid="{00000000-0005-0000-0000-000079080000}"/>
    <cellStyle name="Moneda 3 3" xfId="2170" xr:uid="{00000000-0005-0000-0000-00007A080000}"/>
    <cellStyle name="Moneda 3 4" xfId="2171" xr:uid="{00000000-0005-0000-0000-00007B080000}"/>
    <cellStyle name="Moneda 3 5" xfId="2172" xr:uid="{00000000-0005-0000-0000-00007C080000}"/>
    <cellStyle name="Moneda 3 6" xfId="2173" xr:uid="{00000000-0005-0000-0000-00007D080000}"/>
    <cellStyle name="Moneda 3 7" xfId="2174" xr:uid="{00000000-0005-0000-0000-00007E080000}"/>
    <cellStyle name="Moneda 3 8" xfId="2175" xr:uid="{00000000-0005-0000-0000-00007F080000}"/>
    <cellStyle name="Moneda 4" xfId="2176" xr:uid="{00000000-0005-0000-0000-000080080000}"/>
    <cellStyle name="Neutral 2" xfId="2177" xr:uid="{00000000-0005-0000-0000-000081080000}"/>
    <cellStyle name="Neutral 3" xfId="2178" xr:uid="{00000000-0005-0000-0000-000082080000}"/>
    <cellStyle name="Neutral 4" xfId="2179" xr:uid="{00000000-0005-0000-0000-000083080000}"/>
    <cellStyle name="Normal" xfId="0" builtinId="0"/>
    <cellStyle name="Normal 10" xfId="2180" xr:uid="{00000000-0005-0000-0000-000084080000}"/>
    <cellStyle name="Normal 10 10" xfId="2181" xr:uid="{00000000-0005-0000-0000-000085080000}"/>
    <cellStyle name="Normal 10 11" xfId="2182" xr:uid="{00000000-0005-0000-0000-000086080000}"/>
    <cellStyle name="Normal 10 12" xfId="2183" xr:uid="{00000000-0005-0000-0000-000087080000}"/>
    <cellStyle name="Normal 10 13" xfId="2184" xr:uid="{00000000-0005-0000-0000-000088080000}"/>
    <cellStyle name="Normal 10 14" xfId="2185" xr:uid="{00000000-0005-0000-0000-000089080000}"/>
    <cellStyle name="Normal 10 15" xfId="2186" xr:uid="{00000000-0005-0000-0000-00008A080000}"/>
    <cellStyle name="Normal 10 16" xfId="2187" xr:uid="{00000000-0005-0000-0000-00008B080000}"/>
    <cellStyle name="Normal 10 17" xfId="2188" xr:uid="{00000000-0005-0000-0000-00008C080000}"/>
    <cellStyle name="Normal 10 18" xfId="2189" xr:uid="{00000000-0005-0000-0000-00008D080000}"/>
    <cellStyle name="Normal 10 19" xfId="2190" xr:uid="{00000000-0005-0000-0000-00008E080000}"/>
    <cellStyle name="Normal 10 2" xfId="2191" xr:uid="{00000000-0005-0000-0000-00008F080000}"/>
    <cellStyle name="Normal 10 2 10" xfId="6" xr:uid="{00000000-0005-0000-0000-000006000000}"/>
    <cellStyle name="Normal 10 2 10 10" xfId="2192" xr:uid="{00000000-0005-0000-0000-000090080000}"/>
    <cellStyle name="Normal 10 2 10 10 10" xfId="2193" xr:uid="{00000000-0005-0000-0000-000091080000}"/>
    <cellStyle name="Normal 10 2 10 10 11" xfId="2194" xr:uid="{00000000-0005-0000-0000-000092080000}"/>
    <cellStyle name="Normal 10 2 10 10 12" xfId="2195" xr:uid="{00000000-0005-0000-0000-000093080000}"/>
    <cellStyle name="Normal 10 2 10 10 13" xfId="2196" xr:uid="{00000000-0005-0000-0000-000094080000}"/>
    <cellStyle name="Normal 10 2 10 10 14" xfId="2197" xr:uid="{00000000-0005-0000-0000-000095080000}"/>
    <cellStyle name="Normal 10 2 10 10 2" xfId="2198" xr:uid="{00000000-0005-0000-0000-000096080000}"/>
    <cellStyle name="Normal 10 2 10 10 2 10" xfId="2199" xr:uid="{00000000-0005-0000-0000-000097080000}"/>
    <cellStyle name="Normal 10 2 10 10 2 2" xfId="2200" xr:uid="{00000000-0005-0000-0000-000098080000}"/>
    <cellStyle name="Normal 10 2 10 10 2 3" xfId="2201" xr:uid="{00000000-0005-0000-0000-000099080000}"/>
    <cellStyle name="Normal 10 2 10 10 2 4" xfId="2202" xr:uid="{00000000-0005-0000-0000-00009A080000}"/>
    <cellStyle name="Normal 10 2 10 10 2 5" xfId="2203" xr:uid="{00000000-0005-0000-0000-00009B080000}"/>
    <cellStyle name="Normal 10 2 10 10 2 6" xfId="2204" xr:uid="{00000000-0005-0000-0000-00009C080000}"/>
    <cellStyle name="Normal 10 2 10 10 2 7" xfId="2205" xr:uid="{00000000-0005-0000-0000-00009D080000}"/>
    <cellStyle name="Normal 10 2 10 10 2 8" xfId="2206" xr:uid="{00000000-0005-0000-0000-00009E080000}"/>
    <cellStyle name="Normal 10 2 10 10 2 9" xfId="2207" xr:uid="{00000000-0005-0000-0000-00009F080000}"/>
    <cellStyle name="Normal 10 2 10 10 3" xfId="2208" xr:uid="{00000000-0005-0000-0000-0000A0080000}"/>
    <cellStyle name="Normal 10 2 10 10 3 10" xfId="2209" xr:uid="{00000000-0005-0000-0000-0000A1080000}"/>
    <cellStyle name="Normal 10 2 10 10 3 2" xfId="2210" xr:uid="{00000000-0005-0000-0000-0000A2080000}"/>
    <cellStyle name="Normal 10 2 10 10 3 3" xfId="2211" xr:uid="{00000000-0005-0000-0000-0000A3080000}"/>
    <cellStyle name="Normal 10 2 10 10 3 4" xfId="2212" xr:uid="{00000000-0005-0000-0000-0000A4080000}"/>
    <cellStyle name="Normal 10 2 10 10 3 5" xfId="2213" xr:uid="{00000000-0005-0000-0000-0000A5080000}"/>
    <cellStyle name="Normal 10 2 10 10 3 6" xfId="2214" xr:uid="{00000000-0005-0000-0000-0000A6080000}"/>
    <cellStyle name="Normal 10 2 10 10 3 7" xfId="2215" xr:uid="{00000000-0005-0000-0000-0000A7080000}"/>
    <cellStyle name="Normal 10 2 10 10 3 8" xfId="2216" xr:uid="{00000000-0005-0000-0000-0000A8080000}"/>
    <cellStyle name="Normal 10 2 10 10 3 9" xfId="2217" xr:uid="{00000000-0005-0000-0000-0000A9080000}"/>
    <cellStyle name="Normal 10 2 10 10 4" xfId="2218" xr:uid="{00000000-0005-0000-0000-0000AA080000}"/>
    <cellStyle name="Normal 10 2 10 10 4 10" xfId="2219" xr:uid="{00000000-0005-0000-0000-0000AB080000}"/>
    <cellStyle name="Normal 10 2 10 10 4 2" xfId="2220" xr:uid="{00000000-0005-0000-0000-0000AC080000}"/>
    <cellStyle name="Normal 10 2 10 10 4 3" xfId="2221" xr:uid="{00000000-0005-0000-0000-0000AD080000}"/>
    <cellStyle name="Normal 10 2 10 10 4 4" xfId="2222" xr:uid="{00000000-0005-0000-0000-0000AE080000}"/>
    <cellStyle name="Normal 10 2 10 10 4 5" xfId="2223" xr:uid="{00000000-0005-0000-0000-0000AF080000}"/>
    <cellStyle name="Normal 10 2 10 10 4 6" xfId="2224" xr:uid="{00000000-0005-0000-0000-0000B0080000}"/>
    <cellStyle name="Normal 10 2 10 10 4 7" xfId="2225" xr:uid="{00000000-0005-0000-0000-0000B1080000}"/>
    <cellStyle name="Normal 10 2 10 10 4 8" xfId="2226" xr:uid="{00000000-0005-0000-0000-0000B2080000}"/>
    <cellStyle name="Normal 10 2 10 10 4 9" xfId="2227" xr:uid="{00000000-0005-0000-0000-0000B3080000}"/>
    <cellStyle name="Normal 10 2 10 10 5" xfId="2228" xr:uid="{00000000-0005-0000-0000-0000B4080000}"/>
    <cellStyle name="Normal 10 2 10 10 5 10" xfId="2229" xr:uid="{00000000-0005-0000-0000-0000B5080000}"/>
    <cellStyle name="Normal 10 2 10 10 5 2" xfId="2230" xr:uid="{00000000-0005-0000-0000-0000B6080000}"/>
    <cellStyle name="Normal 10 2 10 10 5 3" xfId="2231" xr:uid="{00000000-0005-0000-0000-0000B7080000}"/>
    <cellStyle name="Normal 10 2 10 10 5 4" xfId="2232" xr:uid="{00000000-0005-0000-0000-0000B8080000}"/>
    <cellStyle name="Normal 10 2 10 10 5 5" xfId="2233" xr:uid="{00000000-0005-0000-0000-0000B9080000}"/>
    <cellStyle name="Normal 10 2 10 10 5 6" xfId="2234" xr:uid="{00000000-0005-0000-0000-0000BA080000}"/>
    <cellStyle name="Normal 10 2 10 10 5 7" xfId="2235" xr:uid="{00000000-0005-0000-0000-0000BB080000}"/>
    <cellStyle name="Normal 10 2 10 10 5 8" xfId="2236" xr:uid="{00000000-0005-0000-0000-0000BC080000}"/>
    <cellStyle name="Normal 10 2 10 10 5 9" xfId="2237" xr:uid="{00000000-0005-0000-0000-0000BD080000}"/>
    <cellStyle name="Normal 10 2 10 10 6" xfId="2238" xr:uid="{00000000-0005-0000-0000-0000BE080000}"/>
    <cellStyle name="Normal 10 2 10 10 7" xfId="2239" xr:uid="{00000000-0005-0000-0000-0000BF080000}"/>
    <cellStyle name="Normal 10 2 10 10 8" xfId="2240" xr:uid="{00000000-0005-0000-0000-0000C0080000}"/>
    <cellStyle name="Normal 10 2 10 10 9" xfId="2241" xr:uid="{00000000-0005-0000-0000-0000C1080000}"/>
    <cellStyle name="Normal 10 2 10 11" xfId="2242" xr:uid="{00000000-0005-0000-0000-0000C2080000}"/>
    <cellStyle name="Normal 10 2 10 11 10" xfId="2243" xr:uid="{00000000-0005-0000-0000-0000C3080000}"/>
    <cellStyle name="Normal 10 2 10 11 11" xfId="2244" xr:uid="{00000000-0005-0000-0000-0000C4080000}"/>
    <cellStyle name="Normal 10 2 10 11 12" xfId="2245" xr:uid="{00000000-0005-0000-0000-0000C5080000}"/>
    <cellStyle name="Normal 10 2 10 11 13" xfId="2246" xr:uid="{00000000-0005-0000-0000-0000C6080000}"/>
    <cellStyle name="Normal 10 2 10 11 14" xfId="2247" xr:uid="{00000000-0005-0000-0000-0000C7080000}"/>
    <cellStyle name="Normal 10 2 10 11 2" xfId="2248" xr:uid="{00000000-0005-0000-0000-0000C8080000}"/>
    <cellStyle name="Normal 10 2 10 11 2 10" xfId="2249" xr:uid="{00000000-0005-0000-0000-0000C9080000}"/>
    <cellStyle name="Normal 10 2 10 11 2 2" xfId="2250" xr:uid="{00000000-0005-0000-0000-0000CA080000}"/>
    <cellStyle name="Normal 10 2 10 11 2 3" xfId="2251" xr:uid="{00000000-0005-0000-0000-0000CB080000}"/>
    <cellStyle name="Normal 10 2 10 11 2 4" xfId="2252" xr:uid="{00000000-0005-0000-0000-0000CC080000}"/>
    <cellStyle name="Normal 10 2 10 11 2 5" xfId="2253" xr:uid="{00000000-0005-0000-0000-0000CD080000}"/>
    <cellStyle name="Normal 10 2 10 11 2 6" xfId="2254" xr:uid="{00000000-0005-0000-0000-0000CE080000}"/>
    <cellStyle name="Normal 10 2 10 11 2 7" xfId="2255" xr:uid="{00000000-0005-0000-0000-0000CF080000}"/>
    <cellStyle name="Normal 10 2 10 11 2 8" xfId="2256" xr:uid="{00000000-0005-0000-0000-0000D0080000}"/>
    <cellStyle name="Normal 10 2 10 11 2 9" xfId="2257" xr:uid="{00000000-0005-0000-0000-0000D1080000}"/>
    <cellStyle name="Normal 10 2 10 11 3" xfId="2258" xr:uid="{00000000-0005-0000-0000-0000D2080000}"/>
    <cellStyle name="Normal 10 2 10 11 3 10" xfId="2259" xr:uid="{00000000-0005-0000-0000-0000D3080000}"/>
    <cellStyle name="Normal 10 2 10 11 3 2" xfId="2260" xr:uid="{00000000-0005-0000-0000-0000D4080000}"/>
    <cellStyle name="Normal 10 2 10 11 3 3" xfId="2261" xr:uid="{00000000-0005-0000-0000-0000D5080000}"/>
    <cellStyle name="Normal 10 2 10 11 3 4" xfId="2262" xr:uid="{00000000-0005-0000-0000-0000D6080000}"/>
    <cellStyle name="Normal 10 2 10 11 3 5" xfId="2263" xr:uid="{00000000-0005-0000-0000-0000D7080000}"/>
    <cellStyle name="Normal 10 2 10 11 3 6" xfId="2264" xr:uid="{00000000-0005-0000-0000-0000D8080000}"/>
    <cellStyle name="Normal 10 2 10 11 3 7" xfId="2265" xr:uid="{00000000-0005-0000-0000-0000D9080000}"/>
    <cellStyle name="Normal 10 2 10 11 3 8" xfId="2266" xr:uid="{00000000-0005-0000-0000-0000DA080000}"/>
    <cellStyle name="Normal 10 2 10 11 3 9" xfId="2267" xr:uid="{00000000-0005-0000-0000-0000DB080000}"/>
    <cellStyle name="Normal 10 2 10 11 4" xfId="2268" xr:uid="{00000000-0005-0000-0000-0000DC080000}"/>
    <cellStyle name="Normal 10 2 10 11 4 10" xfId="2269" xr:uid="{00000000-0005-0000-0000-0000DD080000}"/>
    <cellStyle name="Normal 10 2 10 11 4 2" xfId="2270" xr:uid="{00000000-0005-0000-0000-0000DE080000}"/>
    <cellStyle name="Normal 10 2 10 11 4 3" xfId="2271" xr:uid="{00000000-0005-0000-0000-0000DF080000}"/>
    <cellStyle name="Normal 10 2 10 11 4 4" xfId="2272" xr:uid="{00000000-0005-0000-0000-0000E0080000}"/>
    <cellStyle name="Normal 10 2 10 11 4 5" xfId="2273" xr:uid="{00000000-0005-0000-0000-0000E1080000}"/>
    <cellStyle name="Normal 10 2 10 11 4 6" xfId="2274" xr:uid="{00000000-0005-0000-0000-0000E2080000}"/>
    <cellStyle name="Normal 10 2 10 11 4 7" xfId="2275" xr:uid="{00000000-0005-0000-0000-0000E3080000}"/>
    <cellStyle name="Normal 10 2 10 11 4 8" xfId="2276" xr:uid="{00000000-0005-0000-0000-0000E4080000}"/>
    <cellStyle name="Normal 10 2 10 11 4 9" xfId="2277" xr:uid="{00000000-0005-0000-0000-0000E5080000}"/>
    <cellStyle name="Normal 10 2 10 11 5" xfId="2278" xr:uid="{00000000-0005-0000-0000-0000E6080000}"/>
    <cellStyle name="Normal 10 2 10 11 5 10" xfId="2279" xr:uid="{00000000-0005-0000-0000-0000E7080000}"/>
    <cellStyle name="Normal 10 2 10 11 5 2" xfId="2280" xr:uid="{00000000-0005-0000-0000-0000E8080000}"/>
    <cellStyle name="Normal 10 2 10 11 5 3" xfId="2281" xr:uid="{00000000-0005-0000-0000-0000E9080000}"/>
    <cellStyle name="Normal 10 2 10 11 5 4" xfId="2282" xr:uid="{00000000-0005-0000-0000-0000EA080000}"/>
    <cellStyle name="Normal 10 2 10 11 5 5" xfId="2283" xr:uid="{00000000-0005-0000-0000-0000EB080000}"/>
    <cellStyle name="Normal 10 2 10 11 5 6" xfId="2284" xr:uid="{00000000-0005-0000-0000-0000EC080000}"/>
    <cellStyle name="Normal 10 2 10 11 5 7" xfId="2285" xr:uid="{00000000-0005-0000-0000-0000ED080000}"/>
    <cellStyle name="Normal 10 2 10 11 5 8" xfId="2286" xr:uid="{00000000-0005-0000-0000-0000EE080000}"/>
    <cellStyle name="Normal 10 2 10 11 5 9" xfId="2287" xr:uid="{00000000-0005-0000-0000-0000EF080000}"/>
    <cellStyle name="Normal 10 2 10 11 6" xfId="2288" xr:uid="{00000000-0005-0000-0000-0000F0080000}"/>
    <cellStyle name="Normal 10 2 10 11 7" xfId="2289" xr:uid="{00000000-0005-0000-0000-0000F1080000}"/>
    <cellStyle name="Normal 10 2 10 11 8" xfId="2290" xr:uid="{00000000-0005-0000-0000-0000F2080000}"/>
    <cellStyle name="Normal 10 2 10 11 9" xfId="2291" xr:uid="{00000000-0005-0000-0000-0000F3080000}"/>
    <cellStyle name="Normal 10 2 10 12" xfId="2292" xr:uid="{00000000-0005-0000-0000-0000F4080000}"/>
    <cellStyle name="Normal 10 2 10 12 10" xfId="2293" xr:uid="{00000000-0005-0000-0000-0000F5080000}"/>
    <cellStyle name="Normal 10 2 10 12 11" xfId="2294" xr:uid="{00000000-0005-0000-0000-0000F6080000}"/>
    <cellStyle name="Normal 10 2 10 12 12" xfId="2295" xr:uid="{00000000-0005-0000-0000-0000F7080000}"/>
    <cellStyle name="Normal 10 2 10 12 13" xfId="2296" xr:uid="{00000000-0005-0000-0000-0000F8080000}"/>
    <cellStyle name="Normal 10 2 10 12 14" xfId="2297" xr:uid="{00000000-0005-0000-0000-0000F9080000}"/>
    <cellStyle name="Normal 10 2 10 12 2" xfId="2298" xr:uid="{00000000-0005-0000-0000-0000FA080000}"/>
    <cellStyle name="Normal 10 2 10 12 2 10" xfId="2299" xr:uid="{00000000-0005-0000-0000-0000FB080000}"/>
    <cellStyle name="Normal 10 2 10 12 2 2" xfId="2300" xr:uid="{00000000-0005-0000-0000-0000FC080000}"/>
    <cellStyle name="Normal 10 2 10 12 2 3" xfId="2301" xr:uid="{00000000-0005-0000-0000-0000FD080000}"/>
    <cellStyle name="Normal 10 2 10 12 2 4" xfId="2302" xr:uid="{00000000-0005-0000-0000-0000FE080000}"/>
    <cellStyle name="Normal 10 2 10 12 2 5" xfId="2303" xr:uid="{00000000-0005-0000-0000-0000FF080000}"/>
    <cellStyle name="Normal 10 2 10 12 2 6" xfId="2304" xr:uid="{00000000-0005-0000-0000-000000090000}"/>
    <cellStyle name="Normal 10 2 10 12 2 7" xfId="2305" xr:uid="{00000000-0005-0000-0000-000001090000}"/>
    <cellStyle name="Normal 10 2 10 12 2 8" xfId="2306" xr:uid="{00000000-0005-0000-0000-000002090000}"/>
    <cellStyle name="Normal 10 2 10 12 2 9" xfId="2307" xr:uid="{00000000-0005-0000-0000-000003090000}"/>
    <cellStyle name="Normal 10 2 10 12 3" xfId="2308" xr:uid="{00000000-0005-0000-0000-000004090000}"/>
    <cellStyle name="Normal 10 2 10 12 3 10" xfId="2309" xr:uid="{00000000-0005-0000-0000-000005090000}"/>
    <cellStyle name="Normal 10 2 10 12 3 2" xfId="2310" xr:uid="{00000000-0005-0000-0000-000006090000}"/>
    <cellStyle name="Normal 10 2 10 12 3 3" xfId="2311" xr:uid="{00000000-0005-0000-0000-000007090000}"/>
    <cellStyle name="Normal 10 2 10 12 3 4" xfId="2312" xr:uid="{00000000-0005-0000-0000-000008090000}"/>
    <cellStyle name="Normal 10 2 10 12 3 5" xfId="2313" xr:uid="{00000000-0005-0000-0000-000009090000}"/>
    <cellStyle name="Normal 10 2 10 12 3 6" xfId="2314" xr:uid="{00000000-0005-0000-0000-00000A090000}"/>
    <cellStyle name="Normal 10 2 10 12 3 7" xfId="2315" xr:uid="{00000000-0005-0000-0000-00000B090000}"/>
    <cellStyle name="Normal 10 2 10 12 3 8" xfId="2316" xr:uid="{00000000-0005-0000-0000-00000C090000}"/>
    <cellStyle name="Normal 10 2 10 12 3 9" xfId="2317" xr:uid="{00000000-0005-0000-0000-00000D090000}"/>
    <cellStyle name="Normal 10 2 10 12 4" xfId="2318" xr:uid="{00000000-0005-0000-0000-00000E090000}"/>
    <cellStyle name="Normal 10 2 10 12 4 10" xfId="2319" xr:uid="{00000000-0005-0000-0000-00000F090000}"/>
    <cellStyle name="Normal 10 2 10 12 4 2" xfId="2320" xr:uid="{00000000-0005-0000-0000-000010090000}"/>
    <cellStyle name="Normal 10 2 10 12 4 3" xfId="2321" xr:uid="{00000000-0005-0000-0000-000011090000}"/>
    <cellStyle name="Normal 10 2 10 12 4 4" xfId="2322" xr:uid="{00000000-0005-0000-0000-000012090000}"/>
    <cellStyle name="Normal 10 2 10 12 4 5" xfId="2323" xr:uid="{00000000-0005-0000-0000-000013090000}"/>
    <cellStyle name="Normal 10 2 10 12 4 6" xfId="2324" xr:uid="{00000000-0005-0000-0000-000014090000}"/>
    <cellStyle name="Normal 10 2 10 12 4 7" xfId="2325" xr:uid="{00000000-0005-0000-0000-000015090000}"/>
    <cellStyle name="Normal 10 2 10 12 4 8" xfId="2326" xr:uid="{00000000-0005-0000-0000-000016090000}"/>
    <cellStyle name="Normal 10 2 10 12 4 9" xfId="2327" xr:uid="{00000000-0005-0000-0000-000017090000}"/>
    <cellStyle name="Normal 10 2 10 12 5" xfId="2328" xr:uid="{00000000-0005-0000-0000-000018090000}"/>
    <cellStyle name="Normal 10 2 10 12 5 10" xfId="2329" xr:uid="{00000000-0005-0000-0000-000019090000}"/>
    <cellStyle name="Normal 10 2 10 12 5 2" xfId="2330" xr:uid="{00000000-0005-0000-0000-00001A090000}"/>
    <cellStyle name="Normal 10 2 10 12 5 3" xfId="2331" xr:uid="{00000000-0005-0000-0000-00001B090000}"/>
    <cellStyle name="Normal 10 2 10 12 5 4" xfId="2332" xr:uid="{00000000-0005-0000-0000-00001C090000}"/>
    <cellStyle name="Normal 10 2 10 12 5 5" xfId="2333" xr:uid="{00000000-0005-0000-0000-00001D090000}"/>
    <cellStyle name="Normal 10 2 10 12 5 6" xfId="2334" xr:uid="{00000000-0005-0000-0000-00001E090000}"/>
    <cellStyle name="Normal 10 2 10 12 5 7" xfId="2335" xr:uid="{00000000-0005-0000-0000-00001F090000}"/>
    <cellStyle name="Normal 10 2 10 12 5 8" xfId="2336" xr:uid="{00000000-0005-0000-0000-000020090000}"/>
    <cellStyle name="Normal 10 2 10 12 5 9" xfId="2337" xr:uid="{00000000-0005-0000-0000-000021090000}"/>
    <cellStyle name="Normal 10 2 10 12 6" xfId="2338" xr:uid="{00000000-0005-0000-0000-000022090000}"/>
    <cellStyle name="Normal 10 2 10 12 7" xfId="2339" xr:uid="{00000000-0005-0000-0000-000023090000}"/>
    <cellStyle name="Normal 10 2 10 12 8" xfId="2340" xr:uid="{00000000-0005-0000-0000-000024090000}"/>
    <cellStyle name="Normal 10 2 10 12 9" xfId="2341" xr:uid="{00000000-0005-0000-0000-000025090000}"/>
    <cellStyle name="Normal 10 2 10 13" xfId="2342" xr:uid="{00000000-0005-0000-0000-000026090000}"/>
    <cellStyle name="Normal 10 2 10 13 10" xfId="2343" xr:uid="{00000000-0005-0000-0000-000027090000}"/>
    <cellStyle name="Normal 10 2 10 13 11" xfId="2344" xr:uid="{00000000-0005-0000-0000-000028090000}"/>
    <cellStyle name="Normal 10 2 10 13 12" xfId="2345" xr:uid="{00000000-0005-0000-0000-000029090000}"/>
    <cellStyle name="Normal 10 2 10 13 13" xfId="2346" xr:uid="{00000000-0005-0000-0000-00002A090000}"/>
    <cellStyle name="Normal 10 2 10 13 14" xfId="2347" xr:uid="{00000000-0005-0000-0000-00002B090000}"/>
    <cellStyle name="Normal 10 2 10 13 2" xfId="2348" xr:uid="{00000000-0005-0000-0000-00002C090000}"/>
    <cellStyle name="Normal 10 2 10 13 2 10" xfId="2349" xr:uid="{00000000-0005-0000-0000-00002D090000}"/>
    <cellStyle name="Normal 10 2 10 13 2 2" xfId="2350" xr:uid="{00000000-0005-0000-0000-00002E090000}"/>
    <cellStyle name="Normal 10 2 10 13 2 3" xfId="2351" xr:uid="{00000000-0005-0000-0000-00002F090000}"/>
    <cellStyle name="Normal 10 2 10 13 2 4" xfId="2352" xr:uid="{00000000-0005-0000-0000-000030090000}"/>
    <cellStyle name="Normal 10 2 10 13 2 5" xfId="2353" xr:uid="{00000000-0005-0000-0000-000031090000}"/>
    <cellStyle name="Normal 10 2 10 13 2 6" xfId="2354" xr:uid="{00000000-0005-0000-0000-000032090000}"/>
    <cellStyle name="Normal 10 2 10 13 2 7" xfId="2355" xr:uid="{00000000-0005-0000-0000-000033090000}"/>
    <cellStyle name="Normal 10 2 10 13 2 8" xfId="2356" xr:uid="{00000000-0005-0000-0000-000034090000}"/>
    <cellStyle name="Normal 10 2 10 13 2 9" xfId="2357" xr:uid="{00000000-0005-0000-0000-000035090000}"/>
    <cellStyle name="Normal 10 2 10 13 3" xfId="2358" xr:uid="{00000000-0005-0000-0000-000036090000}"/>
    <cellStyle name="Normal 10 2 10 13 3 10" xfId="2359" xr:uid="{00000000-0005-0000-0000-000037090000}"/>
    <cellStyle name="Normal 10 2 10 13 3 2" xfId="2360" xr:uid="{00000000-0005-0000-0000-000038090000}"/>
    <cellStyle name="Normal 10 2 10 13 3 3" xfId="2361" xr:uid="{00000000-0005-0000-0000-000039090000}"/>
    <cellStyle name="Normal 10 2 10 13 3 4" xfId="2362" xr:uid="{00000000-0005-0000-0000-00003A090000}"/>
    <cellStyle name="Normal 10 2 10 13 3 5" xfId="2363" xr:uid="{00000000-0005-0000-0000-00003B090000}"/>
    <cellStyle name="Normal 10 2 10 13 3 6" xfId="2364" xr:uid="{00000000-0005-0000-0000-00003C090000}"/>
    <cellStyle name="Normal 10 2 10 13 3 7" xfId="2365" xr:uid="{00000000-0005-0000-0000-00003D090000}"/>
    <cellStyle name="Normal 10 2 10 13 3 8" xfId="2366" xr:uid="{00000000-0005-0000-0000-00003E090000}"/>
    <cellStyle name="Normal 10 2 10 13 3 9" xfId="2367" xr:uid="{00000000-0005-0000-0000-00003F090000}"/>
    <cellStyle name="Normal 10 2 10 13 4" xfId="2368" xr:uid="{00000000-0005-0000-0000-000040090000}"/>
    <cellStyle name="Normal 10 2 10 13 4 10" xfId="2369" xr:uid="{00000000-0005-0000-0000-000041090000}"/>
    <cellStyle name="Normal 10 2 10 13 4 2" xfId="2370" xr:uid="{00000000-0005-0000-0000-000042090000}"/>
    <cellStyle name="Normal 10 2 10 13 4 3" xfId="2371" xr:uid="{00000000-0005-0000-0000-000043090000}"/>
    <cellStyle name="Normal 10 2 10 13 4 4" xfId="2372" xr:uid="{00000000-0005-0000-0000-000044090000}"/>
    <cellStyle name="Normal 10 2 10 13 4 5" xfId="2373" xr:uid="{00000000-0005-0000-0000-000045090000}"/>
    <cellStyle name="Normal 10 2 10 13 4 6" xfId="2374" xr:uid="{00000000-0005-0000-0000-000046090000}"/>
    <cellStyle name="Normal 10 2 10 13 4 7" xfId="2375" xr:uid="{00000000-0005-0000-0000-000047090000}"/>
    <cellStyle name="Normal 10 2 10 13 4 8" xfId="2376" xr:uid="{00000000-0005-0000-0000-000048090000}"/>
    <cellStyle name="Normal 10 2 10 13 4 9" xfId="2377" xr:uid="{00000000-0005-0000-0000-000049090000}"/>
    <cellStyle name="Normal 10 2 10 13 5" xfId="2378" xr:uid="{00000000-0005-0000-0000-00004A090000}"/>
    <cellStyle name="Normal 10 2 10 13 5 10" xfId="2379" xr:uid="{00000000-0005-0000-0000-00004B090000}"/>
    <cellStyle name="Normal 10 2 10 13 5 2" xfId="2380" xr:uid="{00000000-0005-0000-0000-00004C090000}"/>
    <cellStyle name="Normal 10 2 10 13 5 3" xfId="2381" xr:uid="{00000000-0005-0000-0000-00004D090000}"/>
    <cellStyle name="Normal 10 2 10 13 5 4" xfId="2382" xr:uid="{00000000-0005-0000-0000-00004E090000}"/>
    <cellStyle name="Normal 10 2 10 13 5 5" xfId="2383" xr:uid="{00000000-0005-0000-0000-00004F090000}"/>
    <cellStyle name="Normal 10 2 10 13 5 6" xfId="2384" xr:uid="{00000000-0005-0000-0000-000050090000}"/>
    <cellStyle name="Normal 10 2 10 13 5 7" xfId="2385" xr:uid="{00000000-0005-0000-0000-000051090000}"/>
    <cellStyle name="Normal 10 2 10 13 5 8" xfId="2386" xr:uid="{00000000-0005-0000-0000-000052090000}"/>
    <cellStyle name="Normal 10 2 10 13 5 9" xfId="2387" xr:uid="{00000000-0005-0000-0000-000053090000}"/>
    <cellStyle name="Normal 10 2 10 13 6" xfId="2388" xr:uid="{00000000-0005-0000-0000-000054090000}"/>
    <cellStyle name="Normal 10 2 10 13 7" xfId="2389" xr:uid="{00000000-0005-0000-0000-000055090000}"/>
    <cellStyle name="Normal 10 2 10 13 8" xfId="2390" xr:uid="{00000000-0005-0000-0000-000056090000}"/>
    <cellStyle name="Normal 10 2 10 13 9" xfId="2391" xr:uid="{00000000-0005-0000-0000-000057090000}"/>
    <cellStyle name="Normal 10 2 10 14" xfId="2392" xr:uid="{00000000-0005-0000-0000-000058090000}"/>
    <cellStyle name="Normal 10 2 10 14 10" xfId="2393" xr:uid="{00000000-0005-0000-0000-000059090000}"/>
    <cellStyle name="Normal 10 2 10 14 11" xfId="2394" xr:uid="{00000000-0005-0000-0000-00005A090000}"/>
    <cellStyle name="Normal 10 2 10 14 12" xfId="2395" xr:uid="{00000000-0005-0000-0000-00005B090000}"/>
    <cellStyle name="Normal 10 2 10 14 13" xfId="2396" xr:uid="{00000000-0005-0000-0000-00005C090000}"/>
    <cellStyle name="Normal 10 2 10 14 14" xfId="2397" xr:uid="{00000000-0005-0000-0000-00005D090000}"/>
    <cellStyle name="Normal 10 2 10 14 2" xfId="2398" xr:uid="{00000000-0005-0000-0000-00005E090000}"/>
    <cellStyle name="Normal 10 2 10 14 2 10" xfId="2399" xr:uid="{00000000-0005-0000-0000-00005F090000}"/>
    <cellStyle name="Normal 10 2 10 14 2 2" xfId="2400" xr:uid="{00000000-0005-0000-0000-000060090000}"/>
    <cellStyle name="Normal 10 2 10 14 2 3" xfId="2401" xr:uid="{00000000-0005-0000-0000-000061090000}"/>
    <cellStyle name="Normal 10 2 10 14 2 4" xfId="2402" xr:uid="{00000000-0005-0000-0000-000062090000}"/>
    <cellStyle name="Normal 10 2 10 14 2 5" xfId="2403" xr:uid="{00000000-0005-0000-0000-000063090000}"/>
    <cellStyle name="Normal 10 2 10 14 2 6" xfId="2404" xr:uid="{00000000-0005-0000-0000-000064090000}"/>
    <cellStyle name="Normal 10 2 10 14 2 7" xfId="2405" xr:uid="{00000000-0005-0000-0000-000065090000}"/>
    <cellStyle name="Normal 10 2 10 14 2 8" xfId="2406" xr:uid="{00000000-0005-0000-0000-000066090000}"/>
    <cellStyle name="Normal 10 2 10 14 2 9" xfId="2407" xr:uid="{00000000-0005-0000-0000-000067090000}"/>
    <cellStyle name="Normal 10 2 10 14 3" xfId="2408" xr:uid="{00000000-0005-0000-0000-000068090000}"/>
    <cellStyle name="Normal 10 2 10 14 3 10" xfId="2409" xr:uid="{00000000-0005-0000-0000-000069090000}"/>
    <cellStyle name="Normal 10 2 10 14 3 2" xfId="2410" xr:uid="{00000000-0005-0000-0000-00006A090000}"/>
    <cellStyle name="Normal 10 2 10 14 3 3" xfId="2411" xr:uid="{00000000-0005-0000-0000-00006B090000}"/>
    <cellStyle name="Normal 10 2 10 14 3 4" xfId="2412" xr:uid="{00000000-0005-0000-0000-00006C090000}"/>
    <cellStyle name="Normal 10 2 10 14 3 5" xfId="2413" xr:uid="{00000000-0005-0000-0000-00006D090000}"/>
    <cellStyle name="Normal 10 2 10 14 3 6" xfId="2414" xr:uid="{00000000-0005-0000-0000-00006E090000}"/>
    <cellStyle name="Normal 10 2 10 14 3 7" xfId="2415" xr:uid="{00000000-0005-0000-0000-00006F090000}"/>
    <cellStyle name="Normal 10 2 10 14 3 8" xfId="2416" xr:uid="{00000000-0005-0000-0000-000070090000}"/>
    <cellStyle name="Normal 10 2 10 14 3 9" xfId="2417" xr:uid="{00000000-0005-0000-0000-000071090000}"/>
    <cellStyle name="Normal 10 2 10 14 4" xfId="2418" xr:uid="{00000000-0005-0000-0000-000072090000}"/>
    <cellStyle name="Normal 10 2 10 14 4 10" xfId="2419" xr:uid="{00000000-0005-0000-0000-000073090000}"/>
    <cellStyle name="Normal 10 2 10 14 4 2" xfId="2420" xr:uid="{00000000-0005-0000-0000-000074090000}"/>
    <cellStyle name="Normal 10 2 10 14 4 3" xfId="2421" xr:uid="{00000000-0005-0000-0000-000075090000}"/>
    <cellStyle name="Normal 10 2 10 14 4 4" xfId="2422" xr:uid="{00000000-0005-0000-0000-000076090000}"/>
    <cellStyle name="Normal 10 2 10 14 4 5" xfId="2423" xr:uid="{00000000-0005-0000-0000-000077090000}"/>
    <cellStyle name="Normal 10 2 10 14 4 6" xfId="2424" xr:uid="{00000000-0005-0000-0000-000078090000}"/>
    <cellStyle name="Normal 10 2 10 14 4 7" xfId="2425" xr:uid="{00000000-0005-0000-0000-000079090000}"/>
    <cellStyle name="Normal 10 2 10 14 4 8" xfId="2426" xr:uid="{00000000-0005-0000-0000-00007A090000}"/>
    <cellStyle name="Normal 10 2 10 14 4 9" xfId="2427" xr:uid="{00000000-0005-0000-0000-00007B090000}"/>
    <cellStyle name="Normal 10 2 10 14 5" xfId="2428" xr:uid="{00000000-0005-0000-0000-00007C090000}"/>
    <cellStyle name="Normal 10 2 10 14 5 10" xfId="2429" xr:uid="{00000000-0005-0000-0000-00007D090000}"/>
    <cellStyle name="Normal 10 2 10 14 5 2" xfId="2430" xr:uid="{00000000-0005-0000-0000-00007E090000}"/>
    <cellStyle name="Normal 10 2 10 14 5 3" xfId="2431" xr:uid="{00000000-0005-0000-0000-00007F090000}"/>
    <cellStyle name="Normal 10 2 10 14 5 4" xfId="2432" xr:uid="{00000000-0005-0000-0000-000080090000}"/>
    <cellStyle name="Normal 10 2 10 14 5 5" xfId="2433" xr:uid="{00000000-0005-0000-0000-000081090000}"/>
    <cellStyle name="Normal 10 2 10 14 5 6" xfId="2434" xr:uid="{00000000-0005-0000-0000-000082090000}"/>
    <cellStyle name="Normal 10 2 10 14 5 7" xfId="2435" xr:uid="{00000000-0005-0000-0000-000083090000}"/>
    <cellStyle name="Normal 10 2 10 14 5 8" xfId="2436" xr:uid="{00000000-0005-0000-0000-000084090000}"/>
    <cellStyle name="Normal 10 2 10 14 5 9" xfId="2437" xr:uid="{00000000-0005-0000-0000-000085090000}"/>
    <cellStyle name="Normal 10 2 10 14 6" xfId="2438" xr:uid="{00000000-0005-0000-0000-000086090000}"/>
    <cellStyle name="Normal 10 2 10 14 7" xfId="2439" xr:uid="{00000000-0005-0000-0000-000087090000}"/>
    <cellStyle name="Normal 10 2 10 14 8" xfId="2440" xr:uid="{00000000-0005-0000-0000-000088090000}"/>
    <cellStyle name="Normal 10 2 10 14 9" xfId="2441" xr:uid="{00000000-0005-0000-0000-000089090000}"/>
    <cellStyle name="Normal 10 2 10 15" xfId="2442" xr:uid="{00000000-0005-0000-0000-00008A090000}"/>
    <cellStyle name="Normal 10 2 10 15 10" xfId="2443" xr:uid="{00000000-0005-0000-0000-00008B090000}"/>
    <cellStyle name="Normal 10 2 10 15 11" xfId="2444" xr:uid="{00000000-0005-0000-0000-00008C090000}"/>
    <cellStyle name="Normal 10 2 10 15 12" xfId="2445" xr:uid="{00000000-0005-0000-0000-00008D090000}"/>
    <cellStyle name="Normal 10 2 10 15 13" xfId="2446" xr:uid="{00000000-0005-0000-0000-00008E090000}"/>
    <cellStyle name="Normal 10 2 10 15 14" xfId="2447" xr:uid="{00000000-0005-0000-0000-00008F090000}"/>
    <cellStyle name="Normal 10 2 10 15 2" xfId="2448" xr:uid="{00000000-0005-0000-0000-000090090000}"/>
    <cellStyle name="Normal 10 2 10 15 2 10" xfId="2449" xr:uid="{00000000-0005-0000-0000-000091090000}"/>
    <cellStyle name="Normal 10 2 10 15 2 2" xfId="2450" xr:uid="{00000000-0005-0000-0000-000092090000}"/>
    <cellStyle name="Normal 10 2 10 15 2 3" xfId="2451" xr:uid="{00000000-0005-0000-0000-000093090000}"/>
    <cellStyle name="Normal 10 2 10 15 2 4" xfId="2452" xr:uid="{00000000-0005-0000-0000-000094090000}"/>
    <cellStyle name="Normal 10 2 10 15 2 5" xfId="2453" xr:uid="{00000000-0005-0000-0000-000095090000}"/>
    <cellStyle name="Normal 10 2 10 15 2 6" xfId="2454" xr:uid="{00000000-0005-0000-0000-000096090000}"/>
    <cellStyle name="Normal 10 2 10 15 2 7" xfId="2455" xr:uid="{00000000-0005-0000-0000-000097090000}"/>
    <cellStyle name="Normal 10 2 10 15 2 8" xfId="2456" xr:uid="{00000000-0005-0000-0000-000098090000}"/>
    <cellStyle name="Normal 10 2 10 15 2 9" xfId="2457" xr:uid="{00000000-0005-0000-0000-000099090000}"/>
    <cellStyle name="Normal 10 2 10 15 3" xfId="2458" xr:uid="{00000000-0005-0000-0000-00009A090000}"/>
    <cellStyle name="Normal 10 2 10 15 3 10" xfId="2459" xr:uid="{00000000-0005-0000-0000-00009B090000}"/>
    <cellStyle name="Normal 10 2 10 15 3 2" xfId="2460" xr:uid="{00000000-0005-0000-0000-00009C090000}"/>
    <cellStyle name="Normal 10 2 10 15 3 3" xfId="2461" xr:uid="{00000000-0005-0000-0000-00009D090000}"/>
    <cellStyle name="Normal 10 2 10 15 3 4" xfId="2462" xr:uid="{00000000-0005-0000-0000-00009E090000}"/>
    <cellStyle name="Normal 10 2 10 15 3 5" xfId="2463" xr:uid="{00000000-0005-0000-0000-00009F090000}"/>
    <cellStyle name="Normal 10 2 10 15 3 6" xfId="2464" xr:uid="{00000000-0005-0000-0000-0000A0090000}"/>
    <cellStyle name="Normal 10 2 10 15 3 7" xfId="2465" xr:uid="{00000000-0005-0000-0000-0000A1090000}"/>
    <cellStyle name="Normal 10 2 10 15 3 8" xfId="2466" xr:uid="{00000000-0005-0000-0000-0000A2090000}"/>
    <cellStyle name="Normal 10 2 10 15 3 9" xfId="2467" xr:uid="{00000000-0005-0000-0000-0000A3090000}"/>
    <cellStyle name="Normal 10 2 10 15 4" xfId="2468" xr:uid="{00000000-0005-0000-0000-0000A4090000}"/>
    <cellStyle name="Normal 10 2 10 15 4 10" xfId="2469" xr:uid="{00000000-0005-0000-0000-0000A5090000}"/>
    <cellStyle name="Normal 10 2 10 15 4 2" xfId="2470" xr:uid="{00000000-0005-0000-0000-0000A6090000}"/>
    <cellStyle name="Normal 10 2 10 15 4 3" xfId="2471" xr:uid="{00000000-0005-0000-0000-0000A7090000}"/>
    <cellStyle name="Normal 10 2 10 15 4 4" xfId="2472" xr:uid="{00000000-0005-0000-0000-0000A8090000}"/>
    <cellStyle name="Normal 10 2 10 15 4 5" xfId="2473" xr:uid="{00000000-0005-0000-0000-0000A9090000}"/>
    <cellStyle name="Normal 10 2 10 15 4 6" xfId="2474" xr:uid="{00000000-0005-0000-0000-0000AA090000}"/>
    <cellStyle name="Normal 10 2 10 15 4 7" xfId="2475" xr:uid="{00000000-0005-0000-0000-0000AB090000}"/>
    <cellStyle name="Normal 10 2 10 15 4 8" xfId="2476" xr:uid="{00000000-0005-0000-0000-0000AC090000}"/>
    <cellStyle name="Normal 10 2 10 15 4 9" xfId="2477" xr:uid="{00000000-0005-0000-0000-0000AD090000}"/>
    <cellStyle name="Normal 10 2 10 15 5" xfId="2478" xr:uid="{00000000-0005-0000-0000-0000AE090000}"/>
    <cellStyle name="Normal 10 2 10 15 5 10" xfId="2479" xr:uid="{00000000-0005-0000-0000-0000AF090000}"/>
    <cellStyle name="Normal 10 2 10 15 5 2" xfId="2480" xr:uid="{00000000-0005-0000-0000-0000B0090000}"/>
    <cellStyle name="Normal 10 2 10 15 5 3" xfId="2481" xr:uid="{00000000-0005-0000-0000-0000B1090000}"/>
    <cellStyle name="Normal 10 2 10 15 5 4" xfId="2482" xr:uid="{00000000-0005-0000-0000-0000B2090000}"/>
    <cellStyle name="Normal 10 2 10 15 5 5" xfId="2483" xr:uid="{00000000-0005-0000-0000-0000B3090000}"/>
    <cellStyle name="Normal 10 2 10 15 5 6" xfId="2484" xr:uid="{00000000-0005-0000-0000-0000B4090000}"/>
    <cellStyle name="Normal 10 2 10 15 5 7" xfId="2485" xr:uid="{00000000-0005-0000-0000-0000B5090000}"/>
    <cellStyle name="Normal 10 2 10 15 5 8" xfId="2486" xr:uid="{00000000-0005-0000-0000-0000B6090000}"/>
    <cellStyle name="Normal 10 2 10 15 5 9" xfId="2487" xr:uid="{00000000-0005-0000-0000-0000B7090000}"/>
    <cellStyle name="Normal 10 2 10 15 6" xfId="2488" xr:uid="{00000000-0005-0000-0000-0000B8090000}"/>
    <cellStyle name="Normal 10 2 10 15 7" xfId="2489" xr:uid="{00000000-0005-0000-0000-0000B9090000}"/>
    <cellStyle name="Normal 10 2 10 15 8" xfId="2490" xr:uid="{00000000-0005-0000-0000-0000BA090000}"/>
    <cellStyle name="Normal 10 2 10 15 9" xfId="2491" xr:uid="{00000000-0005-0000-0000-0000BB090000}"/>
    <cellStyle name="Normal 10 2 10 16" xfId="2492" xr:uid="{00000000-0005-0000-0000-0000BC090000}"/>
    <cellStyle name="Normal 10 2 10 16 10" xfId="2493" xr:uid="{00000000-0005-0000-0000-0000BD090000}"/>
    <cellStyle name="Normal 10 2 10 16 11" xfId="2494" xr:uid="{00000000-0005-0000-0000-0000BE090000}"/>
    <cellStyle name="Normal 10 2 10 16 12" xfId="2495" xr:uid="{00000000-0005-0000-0000-0000BF090000}"/>
    <cellStyle name="Normal 10 2 10 16 13" xfId="2496" xr:uid="{00000000-0005-0000-0000-0000C0090000}"/>
    <cellStyle name="Normal 10 2 10 16 14" xfId="2497" xr:uid="{00000000-0005-0000-0000-0000C1090000}"/>
    <cellStyle name="Normal 10 2 10 16 2" xfId="2498" xr:uid="{00000000-0005-0000-0000-0000C2090000}"/>
    <cellStyle name="Normal 10 2 10 16 2 10" xfId="2499" xr:uid="{00000000-0005-0000-0000-0000C3090000}"/>
    <cellStyle name="Normal 10 2 10 16 2 2" xfId="2500" xr:uid="{00000000-0005-0000-0000-0000C4090000}"/>
    <cellStyle name="Normal 10 2 10 16 2 3" xfId="2501" xr:uid="{00000000-0005-0000-0000-0000C5090000}"/>
    <cellStyle name="Normal 10 2 10 16 2 4" xfId="2502" xr:uid="{00000000-0005-0000-0000-0000C6090000}"/>
    <cellStyle name="Normal 10 2 10 16 2 5" xfId="2503" xr:uid="{00000000-0005-0000-0000-0000C7090000}"/>
    <cellStyle name="Normal 10 2 10 16 2 6" xfId="2504" xr:uid="{00000000-0005-0000-0000-0000C8090000}"/>
    <cellStyle name="Normal 10 2 10 16 2 7" xfId="2505" xr:uid="{00000000-0005-0000-0000-0000C9090000}"/>
    <cellStyle name="Normal 10 2 10 16 2 8" xfId="2506" xr:uid="{00000000-0005-0000-0000-0000CA090000}"/>
    <cellStyle name="Normal 10 2 10 16 2 9" xfId="2507" xr:uid="{00000000-0005-0000-0000-0000CB090000}"/>
    <cellStyle name="Normal 10 2 10 16 3" xfId="2508" xr:uid="{00000000-0005-0000-0000-0000CC090000}"/>
    <cellStyle name="Normal 10 2 10 16 3 10" xfId="2509" xr:uid="{00000000-0005-0000-0000-0000CD090000}"/>
    <cellStyle name="Normal 10 2 10 16 3 2" xfId="2510" xr:uid="{00000000-0005-0000-0000-0000CE090000}"/>
    <cellStyle name="Normal 10 2 10 16 3 3" xfId="2511" xr:uid="{00000000-0005-0000-0000-0000CF090000}"/>
    <cellStyle name="Normal 10 2 10 16 3 4" xfId="2512" xr:uid="{00000000-0005-0000-0000-0000D0090000}"/>
    <cellStyle name="Normal 10 2 10 16 3 5" xfId="2513" xr:uid="{00000000-0005-0000-0000-0000D1090000}"/>
    <cellStyle name="Normal 10 2 10 16 3 6" xfId="2514" xr:uid="{00000000-0005-0000-0000-0000D2090000}"/>
    <cellStyle name="Normal 10 2 10 16 3 7" xfId="2515" xr:uid="{00000000-0005-0000-0000-0000D3090000}"/>
    <cellStyle name="Normal 10 2 10 16 3 8" xfId="2516" xr:uid="{00000000-0005-0000-0000-0000D4090000}"/>
    <cellStyle name="Normal 10 2 10 16 3 9" xfId="2517" xr:uid="{00000000-0005-0000-0000-0000D5090000}"/>
    <cellStyle name="Normal 10 2 10 16 4" xfId="2518" xr:uid="{00000000-0005-0000-0000-0000D6090000}"/>
    <cellStyle name="Normal 10 2 10 16 4 10" xfId="2519" xr:uid="{00000000-0005-0000-0000-0000D7090000}"/>
    <cellStyle name="Normal 10 2 10 16 4 2" xfId="2520" xr:uid="{00000000-0005-0000-0000-0000D8090000}"/>
    <cellStyle name="Normal 10 2 10 16 4 3" xfId="2521" xr:uid="{00000000-0005-0000-0000-0000D9090000}"/>
    <cellStyle name="Normal 10 2 10 16 4 4" xfId="2522" xr:uid="{00000000-0005-0000-0000-0000DA090000}"/>
    <cellStyle name="Normal 10 2 10 16 4 5" xfId="2523" xr:uid="{00000000-0005-0000-0000-0000DB090000}"/>
    <cellStyle name="Normal 10 2 10 16 4 6" xfId="2524" xr:uid="{00000000-0005-0000-0000-0000DC090000}"/>
    <cellStyle name="Normal 10 2 10 16 4 7" xfId="2525" xr:uid="{00000000-0005-0000-0000-0000DD090000}"/>
    <cellStyle name="Normal 10 2 10 16 4 8" xfId="2526" xr:uid="{00000000-0005-0000-0000-0000DE090000}"/>
    <cellStyle name="Normal 10 2 10 16 4 9" xfId="2527" xr:uid="{00000000-0005-0000-0000-0000DF090000}"/>
    <cellStyle name="Normal 10 2 10 16 5" xfId="2528" xr:uid="{00000000-0005-0000-0000-0000E0090000}"/>
    <cellStyle name="Normal 10 2 10 16 5 10" xfId="2529" xr:uid="{00000000-0005-0000-0000-0000E1090000}"/>
    <cellStyle name="Normal 10 2 10 16 5 2" xfId="2530" xr:uid="{00000000-0005-0000-0000-0000E2090000}"/>
    <cellStyle name="Normal 10 2 10 16 5 3" xfId="2531" xr:uid="{00000000-0005-0000-0000-0000E3090000}"/>
    <cellStyle name="Normal 10 2 10 16 5 4" xfId="2532" xr:uid="{00000000-0005-0000-0000-0000E4090000}"/>
    <cellStyle name="Normal 10 2 10 16 5 5" xfId="2533" xr:uid="{00000000-0005-0000-0000-0000E5090000}"/>
    <cellStyle name="Normal 10 2 10 16 5 6" xfId="2534" xr:uid="{00000000-0005-0000-0000-0000E6090000}"/>
    <cellStyle name="Normal 10 2 10 16 5 7" xfId="2535" xr:uid="{00000000-0005-0000-0000-0000E7090000}"/>
    <cellStyle name="Normal 10 2 10 16 5 8" xfId="2536" xr:uid="{00000000-0005-0000-0000-0000E8090000}"/>
    <cellStyle name="Normal 10 2 10 16 5 9" xfId="2537" xr:uid="{00000000-0005-0000-0000-0000E9090000}"/>
    <cellStyle name="Normal 10 2 10 16 6" xfId="2538" xr:uid="{00000000-0005-0000-0000-0000EA090000}"/>
    <cellStyle name="Normal 10 2 10 16 7" xfId="2539" xr:uid="{00000000-0005-0000-0000-0000EB090000}"/>
    <cellStyle name="Normal 10 2 10 16 8" xfId="2540" xr:uid="{00000000-0005-0000-0000-0000EC090000}"/>
    <cellStyle name="Normal 10 2 10 16 9" xfId="2541" xr:uid="{00000000-0005-0000-0000-0000ED090000}"/>
    <cellStyle name="Normal 10 2 10 17" xfId="2542" xr:uid="{00000000-0005-0000-0000-0000EE090000}"/>
    <cellStyle name="Normal 10 2 10 17 10" xfId="2543" xr:uid="{00000000-0005-0000-0000-0000EF090000}"/>
    <cellStyle name="Normal 10 2 10 17 11" xfId="2544" xr:uid="{00000000-0005-0000-0000-0000F0090000}"/>
    <cellStyle name="Normal 10 2 10 17 12" xfId="2545" xr:uid="{00000000-0005-0000-0000-0000F1090000}"/>
    <cellStyle name="Normal 10 2 10 17 13" xfId="2546" xr:uid="{00000000-0005-0000-0000-0000F2090000}"/>
    <cellStyle name="Normal 10 2 10 17 14" xfId="2547" xr:uid="{00000000-0005-0000-0000-0000F3090000}"/>
    <cellStyle name="Normal 10 2 10 17 2" xfId="2548" xr:uid="{00000000-0005-0000-0000-0000F4090000}"/>
    <cellStyle name="Normal 10 2 10 17 2 10" xfId="2549" xr:uid="{00000000-0005-0000-0000-0000F5090000}"/>
    <cellStyle name="Normal 10 2 10 17 2 2" xfId="2550" xr:uid="{00000000-0005-0000-0000-0000F6090000}"/>
    <cellStyle name="Normal 10 2 10 17 2 3" xfId="2551" xr:uid="{00000000-0005-0000-0000-0000F7090000}"/>
    <cellStyle name="Normal 10 2 10 17 2 4" xfId="2552" xr:uid="{00000000-0005-0000-0000-0000F8090000}"/>
    <cellStyle name="Normal 10 2 10 17 2 5" xfId="2553" xr:uid="{00000000-0005-0000-0000-0000F9090000}"/>
    <cellStyle name="Normal 10 2 10 17 2 6" xfId="2554" xr:uid="{00000000-0005-0000-0000-0000FA090000}"/>
    <cellStyle name="Normal 10 2 10 17 2 7" xfId="2555" xr:uid="{00000000-0005-0000-0000-0000FB090000}"/>
    <cellStyle name="Normal 10 2 10 17 2 8" xfId="2556" xr:uid="{00000000-0005-0000-0000-0000FC090000}"/>
    <cellStyle name="Normal 10 2 10 17 2 9" xfId="2557" xr:uid="{00000000-0005-0000-0000-0000FD090000}"/>
    <cellStyle name="Normal 10 2 10 17 3" xfId="2558" xr:uid="{00000000-0005-0000-0000-0000FE090000}"/>
    <cellStyle name="Normal 10 2 10 17 3 10" xfId="2559" xr:uid="{00000000-0005-0000-0000-0000FF090000}"/>
    <cellStyle name="Normal 10 2 10 17 3 2" xfId="2560" xr:uid="{00000000-0005-0000-0000-0000000A0000}"/>
    <cellStyle name="Normal 10 2 10 17 3 3" xfId="2561" xr:uid="{00000000-0005-0000-0000-0000010A0000}"/>
    <cellStyle name="Normal 10 2 10 17 3 4" xfId="2562" xr:uid="{00000000-0005-0000-0000-0000020A0000}"/>
    <cellStyle name="Normal 10 2 10 17 3 5" xfId="2563" xr:uid="{00000000-0005-0000-0000-0000030A0000}"/>
    <cellStyle name="Normal 10 2 10 17 3 6" xfId="2564" xr:uid="{00000000-0005-0000-0000-0000040A0000}"/>
    <cellStyle name="Normal 10 2 10 17 3 7" xfId="2565" xr:uid="{00000000-0005-0000-0000-0000050A0000}"/>
    <cellStyle name="Normal 10 2 10 17 3 8" xfId="2566" xr:uid="{00000000-0005-0000-0000-0000060A0000}"/>
    <cellStyle name="Normal 10 2 10 17 3 9" xfId="2567" xr:uid="{00000000-0005-0000-0000-0000070A0000}"/>
    <cellStyle name="Normal 10 2 10 17 4" xfId="2568" xr:uid="{00000000-0005-0000-0000-0000080A0000}"/>
    <cellStyle name="Normal 10 2 10 17 4 10" xfId="2569" xr:uid="{00000000-0005-0000-0000-0000090A0000}"/>
    <cellStyle name="Normal 10 2 10 17 4 2" xfId="2570" xr:uid="{00000000-0005-0000-0000-00000A0A0000}"/>
    <cellStyle name="Normal 10 2 10 17 4 3" xfId="2571" xr:uid="{00000000-0005-0000-0000-00000B0A0000}"/>
    <cellStyle name="Normal 10 2 10 17 4 4" xfId="2572" xr:uid="{00000000-0005-0000-0000-00000C0A0000}"/>
    <cellStyle name="Normal 10 2 10 17 4 5" xfId="2573" xr:uid="{00000000-0005-0000-0000-00000D0A0000}"/>
    <cellStyle name="Normal 10 2 10 17 4 6" xfId="2574" xr:uid="{00000000-0005-0000-0000-00000E0A0000}"/>
    <cellStyle name="Normal 10 2 10 17 4 7" xfId="2575" xr:uid="{00000000-0005-0000-0000-00000F0A0000}"/>
    <cellStyle name="Normal 10 2 10 17 4 8" xfId="2576" xr:uid="{00000000-0005-0000-0000-0000100A0000}"/>
    <cellStyle name="Normal 10 2 10 17 4 9" xfId="2577" xr:uid="{00000000-0005-0000-0000-0000110A0000}"/>
    <cellStyle name="Normal 10 2 10 17 5" xfId="2578" xr:uid="{00000000-0005-0000-0000-0000120A0000}"/>
    <cellStyle name="Normal 10 2 10 17 5 10" xfId="2579" xr:uid="{00000000-0005-0000-0000-0000130A0000}"/>
    <cellStyle name="Normal 10 2 10 17 5 2" xfId="2580" xr:uid="{00000000-0005-0000-0000-0000140A0000}"/>
    <cellStyle name="Normal 10 2 10 17 5 3" xfId="2581" xr:uid="{00000000-0005-0000-0000-0000150A0000}"/>
    <cellStyle name="Normal 10 2 10 17 5 4" xfId="2582" xr:uid="{00000000-0005-0000-0000-0000160A0000}"/>
    <cellStyle name="Normal 10 2 10 17 5 5" xfId="2583" xr:uid="{00000000-0005-0000-0000-0000170A0000}"/>
    <cellStyle name="Normal 10 2 10 17 5 6" xfId="2584" xr:uid="{00000000-0005-0000-0000-0000180A0000}"/>
    <cellStyle name="Normal 10 2 10 17 5 7" xfId="2585" xr:uid="{00000000-0005-0000-0000-0000190A0000}"/>
    <cellStyle name="Normal 10 2 10 17 5 8" xfId="2586" xr:uid="{00000000-0005-0000-0000-00001A0A0000}"/>
    <cellStyle name="Normal 10 2 10 17 5 9" xfId="2587" xr:uid="{00000000-0005-0000-0000-00001B0A0000}"/>
    <cellStyle name="Normal 10 2 10 17 6" xfId="2588" xr:uid="{00000000-0005-0000-0000-00001C0A0000}"/>
    <cellStyle name="Normal 10 2 10 17 7" xfId="2589" xr:uid="{00000000-0005-0000-0000-00001D0A0000}"/>
    <cellStyle name="Normal 10 2 10 17 8" xfId="2590" xr:uid="{00000000-0005-0000-0000-00001E0A0000}"/>
    <cellStyle name="Normal 10 2 10 17 9" xfId="2591" xr:uid="{00000000-0005-0000-0000-00001F0A0000}"/>
    <cellStyle name="Normal 10 2 10 18" xfId="2592" xr:uid="{00000000-0005-0000-0000-0000200A0000}"/>
    <cellStyle name="Normal 10 2 10 18 10" xfId="2593" xr:uid="{00000000-0005-0000-0000-0000210A0000}"/>
    <cellStyle name="Normal 10 2 10 18 11" xfId="2594" xr:uid="{00000000-0005-0000-0000-0000220A0000}"/>
    <cellStyle name="Normal 10 2 10 18 12" xfId="2595" xr:uid="{00000000-0005-0000-0000-0000230A0000}"/>
    <cellStyle name="Normal 10 2 10 18 13" xfId="2596" xr:uid="{00000000-0005-0000-0000-0000240A0000}"/>
    <cellStyle name="Normal 10 2 10 18 14" xfId="2597" xr:uid="{00000000-0005-0000-0000-0000250A0000}"/>
    <cellStyle name="Normal 10 2 10 18 2" xfId="2598" xr:uid="{00000000-0005-0000-0000-0000260A0000}"/>
    <cellStyle name="Normal 10 2 10 18 2 10" xfId="2599" xr:uid="{00000000-0005-0000-0000-0000270A0000}"/>
    <cellStyle name="Normal 10 2 10 18 2 2" xfId="2600" xr:uid="{00000000-0005-0000-0000-0000280A0000}"/>
    <cellStyle name="Normal 10 2 10 18 2 3" xfId="2601" xr:uid="{00000000-0005-0000-0000-0000290A0000}"/>
    <cellStyle name="Normal 10 2 10 18 2 4" xfId="2602" xr:uid="{00000000-0005-0000-0000-00002A0A0000}"/>
    <cellStyle name="Normal 10 2 10 18 2 5" xfId="2603" xr:uid="{00000000-0005-0000-0000-00002B0A0000}"/>
    <cellStyle name="Normal 10 2 10 18 2 6" xfId="2604" xr:uid="{00000000-0005-0000-0000-00002C0A0000}"/>
    <cellStyle name="Normal 10 2 10 18 2 7" xfId="2605" xr:uid="{00000000-0005-0000-0000-00002D0A0000}"/>
    <cellStyle name="Normal 10 2 10 18 2 8" xfId="2606" xr:uid="{00000000-0005-0000-0000-00002E0A0000}"/>
    <cellStyle name="Normal 10 2 10 18 2 9" xfId="2607" xr:uid="{00000000-0005-0000-0000-00002F0A0000}"/>
    <cellStyle name="Normal 10 2 10 18 3" xfId="2608" xr:uid="{00000000-0005-0000-0000-0000300A0000}"/>
    <cellStyle name="Normal 10 2 10 18 3 10" xfId="2609" xr:uid="{00000000-0005-0000-0000-0000310A0000}"/>
    <cellStyle name="Normal 10 2 10 18 3 2" xfId="2610" xr:uid="{00000000-0005-0000-0000-0000320A0000}"/>
    <cellStyle name="Normal 10 2 10 18 3 3" xfId="2611" xr:uid="{00000000-0005-0000-0000-0000330A0000}"/>
    <cellStyle name="Normal 10 2 10 18 3 4" xfId="2612" xr:uid="{00000000-0005-0000-0000-0000340A0000}"/>
    <cellStyle name="Normal 10 2 10 18 3 5" xfId="2613" xr:uid="{00000000-0005-0000-0000-0000350A0000}"/>
    <cellStyle name="Normal 10 2 10 18 3 6" xfId="2614" xr:uid="{00000000-0005-0000-0000-0000360A0000}"/>
    <cellStyle name="Normal 10 2 10 18 3 7" xfId="2615" xr:uid="{00000000-0005-0000-0000-0000370A0000}"/>
    <cellStyle name="Normal 10 2 10 18 3 8" xfId="2616" xr:uid="{00000000-0005-0000-0000-0000380A0000}"/>
    <cellStyle name="Normal 10 2 10 18 3 9" xfId="2617" xr:uid="{00000000-0005-0000-0000-0000390A0000}"/>
    <cellStyle name="Normal 10 2 10 18 4" xfId="2618" xr:uid="{00000000-0005-0000-0000-00003A0A0000}"/>
    <cellStyle name="Normal 10 2 10 18 4 10" xfId="2619" xr:uid="{00000000-0005-0000-0000-00003B0A0000}"/>
    <cellStyle name="Normal 10 2 10 18 4 2" xfId="2620" xr:uid="{00000000-0005-0000-0000-00003C0A0000}"/>
    <cellStyle name="Normal 10 2 10 18 4 3" xfId="2621" xr:uid="{00000000-0005-0000-0000-00003D0A0000}"/>
    <cellStyle name="Normal 10 2 10 18 4 4" xfId="2622" xr:uid="{00000000-0005-0000-0000-00003E0A0000}"/>
    <cellStyle name="Normal 10 2 10 18 4 5" xfId="2623" xr:uid="{00000000-0005-0000-0000-00003F0A0000}"/>
    <cellStyle name="Normal 10 2 10 18 4 6" xfId="2624" xr:uid="{00000000-0005-0000-0000-0000400A0000}"/>
    <cellStyle name="Normal 10 2 10 18 4 7" xfId="2625" xr:uid="{00000000-0005-0000-0000-0000410A0000}"/>
    <cellStyle name="Normal 10 2 10 18 4 8" xfId="2626" xr:uid="{00000000-0005-0000-0000-0000420A0000}"/>
    <cellStyle name="Normal 10 2 10 18 4 9" xfId="2627" xr:uid="{00000000-0005-0000-0000-0000430A0000}"/>
    <cellStyle name="Normal 10 2 10 18 5" xfId="2628" xr:uid="{00000000-0005-0000-0000-0000440A0000}"/>
    <cellStyle name="Normal 10 2 10 18 5 10" xfId="2629" xr:uid="{00000000-0005-0000-0000-0000450A0000}"/>
    <cellStyle name="Normal 10 2 10 18 5 2" xfId="2630" xr:uid="{00000000-0005-0000-0000-0000460A0000}"/>
    <cellStyle name="Normal 10 2 10 18 5 3" xfId="2631" xr:uid="{00000000-0005-0000-0000-0000470A0000}"/>
    <cellStyle name="Normal 10 2 10 18 5 4" xfId="2632" xr:uid="{00000000-0005-0000-0000-0000480A0000}"/>
    <cellStyle name="Normal 10 2 10 18 5 5" xfId="2633" xr:uid="{00000000-0005-0000-0000-0000490A0000}"/>
    <cellStyle name="Normal 10 2 10 18 5 6" xfId="2634" xr:uid="{00000000-0005-0000-0000-00004A0A0000}"/>
    <cellStyle name="Normal 10 2 10 18 5 7" xfId="2635" xr:uid="{00000000-0005-0000-0000-00004B0A0000}"/>
    <cellStyle name="Normal 10 2 10 18 5 8" xfId="2636" xr:uid="{00000000-0005-0000-0000-00004C0A0000}"/>
    <cellStyle name="Normal 10 2 10 18 5 9" xfId="2637" xr:uid="{00000000-0005-0000-0000-00004D0A0000}"/>
    <cellStyle name="Normal 10 2 10 18 6" xfId="2638" xr:uid="{00000000-0005-0000-0000-00004E0A0000}"/>
    <cellStyle name="Normal 10 2 10 18 7" xfId="2639" xr:uid="{00000000-0005-0000-0000-00004F0A0000}"/>
    <cellStyle name="Normal 10 2 10 18 8" xfId="2640" xr:uid="{00000000-0005-0000-0000-0000500A0000}"/>
    <cellStyle name="Normal 10 2 10 18 9" xfId="2641" xr:uid="{00000000-0005-0000-0000-0000510A0000}"/>
    <cellStyle name="Normal 10 2 10 19" xfId="2642" xr:uid="{00000000-0005-0000-0000-0000520A0000}"/>
    <cellStyle name="Normal 10 2 10 19 10" xfId="2643" xr:uid="{00000000-0005-0000-0000-0000530A0000}"/>
    <cellStyle name="Normal 10 2 10 19 11" xfId="2644" xr:uid="{00000000-0005-0000-0000-0000540A0000}"/>
    <cellStyle name="Normal 10 2 10 19 12" xfId="2645" xr:uid="{00000000-0005-0000-0000-0000550A0000}"/>
    <cellStyle name="Normal 10 2 10 19 13" xfId="2646" xr:uid="{00000000-0005-0000-0000-0000560A0000}"/>
    <cellStyle name="Normal 10 2 10 19 14" xfId="2647" xr:uid="{00000000-0005-0000-0000-0000570A0000}"/>
    <cellStyle name="Normal 10 2 10 19 2" xfId="2648" xr:uid="{00000000-0005-0000-0000-0000580A0000}"/>
    <cellStyle name="Normal 10 2 10 19 2 10" xfId="2649" xr:uid="{00000000-0005-0000-0000-0000590A0000}"/>
    <cellStyle name="Normal 10 2 10 19 2 2" xfId="2650" xr:uid="{00000000-0005-0000-0000-00005A0A0000}"/>
    <cellStyle name="Normal 10 2 10 19 2 3" xfId="2651" xr:uid="{00000000-0005-0000-0000-00005B0A0000}"/>
    <cellStyle name="Normal 10 2 10 19 2 4" xfId="2652" xr:uid="{00000000-0005-0000-0000-00005C0A0000}"/>
    <cellStyle name="Normal 10 2 10 19 2 5" xfId="2653" xr:uid="{00000000-0005-0000-0000-00005D0A0000}"/>
    <cellStyle name="Normal 10 2 10 19 2 6" xfId="2654" xr:uid="{00000000-0005-0000-0000-00005E0A0000}"/>
    <cellStyle name="Normal 10 2 10 19 2 7" xfId="2655" xr:uid="{00000000-0005-0000-0000-00005F0A0000}"/>
    <cellStyle name="Normal 10 2 10 19 2 8" xfId="2656" xr:uid="{00000000-0005-0000-0000-0000600A0000}"/>
    <cellStyle name="Normal 10 2 10 19 2 9" xfId="2657" xr:uid="{00000000-0005-0000-0000-0000610A0000}"/>
    <cellStyle name="Normal 10 2 10 19 3" xfId="2658" xr:uid="{00000000-0005-0000-0000-0000620A0000}"/>
    <cellStyle name="Normal 10 2 10 19 3 10" xfId="2659" xr:uid="{00000000-0005-0000-0000-0000630A0000}"/>
    <cellStyle name="Normal 10 2 10 19 3 2" xfId="2660" xr:uid="{00000000-0005-0000-0000-0000640A0000}"/>
    <cellStyle name="Normal 10 2 10 19 3 3" xfId="2661" xr:uid="{00000000-0005-0000-0000-0000650A0000}"/>
    <cellStyle name="Normal 10 2 10 19 3 4" xfId="2662" xr:uid="{00000000-0005-0000-0000-0000660A0000}"/>
    <cellStyle name="Normal 10 2 10 19 3 5" xfId="2663" xr:uid="{00000000-0005-0000-0000-0000670A0000}"/>
    <cellStyle name="Normal 10 2 10 19 3 6" xfId="2664" xr:uid="{00000000-0005-0000-0000-0000680A0000}"/>
    <cellStyle name="Normal 10 2 10 19 3 7" xfId="2665" xr:uid="{00000000-0005-0000-0000-0000690A0000}"/>
    <cellStyle name="Normal 10 2 10 19 3 8" xfId="2666" xr:uid="{00000000-0005-0000-0000-00006A0A0000}"/>
    <cellStyle name="Normal 10 2 10 19 3 9" xfId="2667" xr:uid="{00000000-0005-0000-0000-00006B0A0000}"/>
    <cellStyle name="Normal 10 2 10 19 4" xfId="2668" xr:uid="{00000000-0005-0000-0000-00006C0A0000}"/>
    <cellStyle name="Normal 10 2 10 19 4 10" xfId="2669" xr:uid="{00000000-0005-0000-0000-00006D0A0000}"/>
    <cellStyle name="Normal 10 2 10 19 4 2" xfId="2670" xr:uid="{00000000-0005-0000-0000-00006E0A0000}"/>
    <cellStyle name="Normal 10 2 10 19 4 3" xfId="2671" xr:uid="{00000000-0005-0000-0000-00006F0A0000}"/>
    <cellStyle name="Normal 10 2 10 19 4 4" xfId="2672" xr:uid="{00000000-0005-0000-0000-0000700A0000}"/>
    <cellStyle name="Normal 10 2 10 19 4 5" xfId="2673" xr:uid="{00000000-0005-0000-0000-0000710A0000}"/>
    <cellStyle name="Normal 10 2 10 19 4 6" xfId="2674" xr:uid="{00000000-0005-0000-0000-0000720A0000}"/>
    <cellStyle name="Normal 10 2 10 19 4 7" xfId="2675" xr:uid="{00000000-0005-0000-0000-0000730A0000}"/>
    <cellStyle name="Normal 10 2 10 19 4 8" xfId="2676" xr:uid="{00000000-0005-0000-0000-0000740A0000}"/>
    <cellStyle name="Normal 10 2 10 19 4 9" xfId="2677" xr:uid="{00000000-0005-0000-0000-0000750A0000}"/>
    <cellStyle name="Normal 10 2 10 19 5" xfId="2678" xr:uid="{00000000-0005-0000-0000-0000760A0000}"/>
    <cellStyle name="Normal 10 2 10 19 5 10" xfId="2679" xr:uid="{00000000-0005-0000-0000-0000770A0000}"/>
    <cellStyle name="Normal 10 2 10 19 5 2" xfId="2680" xr:uid="{00000000-0005-0000-0000-0000780A0000}"/>
    <cellStyle name="Normal 10 2 10 19 5 3" xfId="2681" xr:uid="{00000000-0005-0000-0000-0000790A0000}"/>
    <cellStyle name="Normal 10 2 10 19 5 4" xfId="2682" xr:uid="{00000000-0005-0000-0000-00007A0A0000}"/>
    <cellStyle name="Normal 10 2 10 19 5 5" xfId="2683" xr:uid="{00000000-0005-0000-0000-00007B0A0000}"/>
    <cellStyle name="Normal 10 2 10 19 5 6" xfId="2684" xr:uid="{00000000-0005-0000-0000-00007C0A0000}"/>
    <cellStyle name="Normal 10 2 10 19 5 7" xfId="2685" xr:uid="{00000000-0005-0000-0000-00007D0A0000}"/>
    <cellStyle name="Normal 10 2 10 19 5 8" xfId="2686" xr:uid="{00000000-0005-0000-0000-00007E0A0000}"/>
    <cellStyle name="Normal 10 2 10 19 5 9" xfId="2687" xr:uid="{00000000-0005-0000-0000-00007F0A0000}"/>
    <cellStyle name="Normal 10 2 10 19 6" xfId="2688" xr:uid="{00000000-0005-0000-0000-0000800A0000}"/>
    <cellStyle name="Normal 10 2 10 19 7" xfId="2689" xr:uid="{00000000-0005-0000-0000-0000810A0000}"/>
    <cellStyle name="Normal 10 2 10 19 8" xfId="2690" xr:uid="{00000000-0005-0000-0000-0000820A0000}"/>
    <cellStyle name="Normal 10 2 10 19 9" xfId="2691" xr:uid="{00000000-0005-0000-0000-0000830A0000}"/>
    <cellStyle name="Normal 10 2 10 2" xfId="2692" xr:uid="{00000000-0005-0000-0000-0000840A0000}"/>
    <cellStyle name="Normal 10 2 10 2 10" xfId="2693" xr:uid="{00000000-0005-0000-0000-0000850A0000}"/>
    <cellStyle name="Normal 10 2 10 2 10 10" xfId="2694" xr:uid="{00000000-0005-0000-0000-0000860A0000}"/>
    <cellStyle name="Normal 10 2 10 2 10 11" xfId="2695" xr:uid="{00000000-0005-0000-0000-0000870A0000}"/>
    <cellStyle name="Normal 10 2 10 2 10 12" xfId="2696" xr:uid="{00000000-0005-0000-0000-0000880A0000}"/>
    <cellStyle name="Normal 10 2 10 2 10 13" xfId="2697" xr:uid="{00000000-0005-0000-0000-0000890A0000}"/>
    <cellStyle name="Normal 10 2 10 2 10 14" xfId="2698" xr:uid="{00000000-0005-0000-0000-00008A0A0000}"/>
    <cellStyle name="Normal 10 2 10 2 10 2" xfId="2699" xr:uid="{00000000-0005-0000-0000-00008B0A0000}"/>
    <cellStyle name="Normal 10 2 10 2 10 2 10" xfId="2700" xr:uid="{00000000-0005-0000-0000-00008C0A0000}"/>
    <cellStyle name="Normal 10 2 10 2 10 2 2" xfId="2701" xr:uid="{00000000-0005-0000-0000-00008D0A0000}"/>
    <cellStyle name="Normal 10 2 10 2 10 2 3" xfId="2702" xr:uid="{00000000-0005-0000-0000-00008E0A0000}"/>
    <cellStyle name="Normal 10 2 10 2 10 2 4" xfId="2703" xr:uid="{00000000-0005-0000-0000-00008F0A0000}"/>
    <cellStyle name="Normal 10 2 10 2 10 2 5" xfId="2704" xr:uid="{00000000-0005-0000-0000-0000900A0000}"/>
    <cellStyle name="Normal 10 2 10 2 10 2 6" xfId="2705" xr:uid="{00000000-0005-0000-0000-0000910A0000}"/>
    <cellStyle name="Normal 10 2 10 2 10 2 7" xfId="2706" xr:uid="{00000000-0005-0000-0000-0000920A0000}"/>
    <cellStyle name="Normal 10 2 10 2 10 2 8" xfId="2707" xr:uid="{00000000-0005-0000-0000-0000930A0000}"/>
    <cellStyle name="Normal 10 2 10 2 10 2 9" xfId="2708" xr:uid="{00000000-0005-0000-0000-0000940A0000}"/>
    <cellStyle name="Normal 10 2 10 2 10 3" xfId="2709" xr:uid="{00000000-0005-0000-0000-0000950A0000}"/>
    <cellStyle name="Normal 10 2 10 2 10 3 10" xfId="2710" xr:uid="{00000000-0005-0000-0000-0000960A0000}"/>
    <cellStyle name="Normal 10 2 10 2 10 3 2" xfId="2711" xr:uid="{00000000-0005-0000-0000-0000970A0000}"/>
    <cellStyle name="Normal 10 2 10 2 10 3 3" xfId="2712" xr:uid="{00000000-0005-0000-0000-0000980A0000}"/>
    <cellStyle name="Normal 10 2 10 2 10 3 4" xfId="2713" xr:uid="{00000000-0005-0000-0000-0000990A0000}"/>
    <cellStyle name="Normal 10 2 10 2 10 3 5" xfId="2714" xr:uid="{00000000-0005-0000-0000-00009A0A0000}"/>
    <cellStyle name="Normal 10 2 10 2 10 3 6" xfId="2715" xr:uid="{00000000-0005-0000-0000-00009B0A0000}"/>
    <cellStyle name="Normal 10 2 10 2 10 3 7" xfId="2716" xr:uid="{00000000-0005-0000-0000-00009C0A0000}"/>
    <cellStyle name="Normal 10 2 10 2 10 3 8" xfId="2717" xr:uid="{00000000-0005-0000-0000-00009D0A0000}"/>
    <cellStyle name="Normal 10 2 10 2 10 3 9" xfId="2718" xr:uid="{00000000-0005-0000-0000-00009E0A0000}"/>
    <cellStyle name="Normal 10 2 10 2 10 4" xfId="2719" xr:uid="{00000000-0005-0000-0000-00009F0A0000}"/>
    <cellStyle name="Normal 10 2 10 2 10 4 10" xfId="2720" xr:uid="{00000000-0005-0000-0000-0000A00A0000}"/>
    <cellStyle name="Normal 10 2 10 2 10 4 2" xfId="2721" xr:uid="{00000000-0005-0000-0000-0000A10A0000}"/>
    <cellStyle name="Normal 10 2 10 2 10 4 3" xfId="2722" xr:uid="{00000000-0005-0000-0000-0000A20A0000}"/>
    <cellStyle name="Normal 10 2 10 2 10 4 4" xfId="2723" xr:uid="{00000000-0005-0000-0000-0000A30A0000}"/>
    <cellStyle name="Normal 10 2 10 2 10 4 5" xfId="2724" xr:uid="{00000000-0005-0000-0000-0000A40A0000}"/>
    <cellStyle name="Normal 10 2 10 2 10 4 6" xfId="2725" xr:uid="{00000000-0005-0000-0000-0000A50A0000}"/>
    <cellStyle name="Normal 10 2 10 2 10 4 7" xfId="2726" xr:uid="{00000000-0005-0000-0000-0000A60A0000}"/>
    <cellStyle name="Normal 10 2 10 2 10 4 8" xfId="2727" xr:uid="{00000000-0005-0000-0000-0000A70A0000}"/>
    <cellStyle name="Normal 10 2 10 2 10 4 9" xfId="2728" xr:uid="{00000000-0005-0000-0000-0000A80A0000}"/>
    <cellStyle name="Normal 10 2 10 2 10 5" xfId="2729" xr:uid="{00000000-0005-0000-0000-0000A90A0000}"/>
    <cellStyle name="Normal 10 2 10 2 10 5 10" xfId="2730" xr:uid="{00000000-0005-0000-0000-0000AA0A0000}"/>
    <cellStyle name="Normal 10 2 10 2 10 5 2" xfId="2731" xr:uid="{00000000-0005-0000-0000-0000AB0A0000}"/>
    <cellStyle name="Normal 10 2 10 2 10 5 3" xfId="2732" xr:uid="{00000000-0005-0000-0000-0000AC0A0000}"/>
    <cellStyle name="Normal 10 2 10 2 10 5 4" xfId="2733" xr:uid="{00000000-0005-0000-0000-0000AD0A0000}"/>
    <cellStyle name="Normal 10 2 10 2 10 5 5" xfId="2734" xr:uid="{00000000-0005-0000-0000-0000AE0A0000}"/>
    <cellStyle name="Normal 10 2 10 2 10 5 6" xfId="2735" xr:uid="{00000000-0005-0000-0000-0000AF0A0000}"/>
    <cellStyle name="Normal 10 2 10 2 10 5 7" xfId="2736" xr:uid="{00000000-0005-0000-0000-0000B00A0000}"/>
    <cellStyle name="Normal 10 2 10 2 10 5 8" xfId="2737" xr:uid="{00000000-0005-0000-0000-0000B10A0000}"/>
    <cellStyle name="Normal 10 2 10 2 10 5 9" xfId="2738" xr:uid="{00000000-0005-0000-0000-0000B20A0000}"/>
    <cellStyle name="Normal 10 2 10 2 10 6" xfId="2739" xr:uid="{00000000-0005-0000-0000-0000B30A0000}"/>
    <cellStyle name="Normal 10 2 10 2 10 7" xfId="2740" xr:uid="{00000000-0005-0000-0000-0000B40A0000}"/>
    <cellStyle name="Normal 10 2 10 2 10 8" xfId="2741" xr:uid="{00000000-0005-0000-0000-0000B50A0000}"/>
    <cellStyle name="Normal 10 2 10 2 10 9" xfId="2742" xr:uid="{00000000-0005-0000-0000-0000B60A0000}"/>
    <cellStyle name="Normal 10 2 10 2 11" xfId="2743" xr:uid="{00000000-0005-0000-0000-0000B70A0000}"/>
    <cellStyle name="Normal 10 2 10 2 11 10" xfId="2744" xr:uid="{00000000-0005-0000-0000-0000B80A0000}"/>
    <cellStyle name="Normal 10 2 10 2 11 11" xfId="2745" xr:uid="{00000000-0005-0000-0000-0000B90A0000}"/>
    <cellStyle name="Normal 10 2 10 2 11 12" xfId="2746" xr:uid="{00000000-0005-0000-0000-0000BA0A0000}"/>
    <cellStyle name="Normal 10 2 10 2 11 13" xfId="2747" xr:uid="{00000000-0005-0000-0000-0000BB0A0000}"/>
    <cellStyle name="Normal 10 2 10 2 11 14" xfId="2748" xr:uid="{00000000-0005-0000-0000-0000BC0A0000}"/>
    <cellStyle name="Normal 10 2 10 2 11 2" xfId="2749" xr:uid="{00000000-0005-0000-0000-0000BD0A0000}"/>
    <cellStyle name="Normal 10 2 10 2 11 2 10" xfId="2750" xr:uid="{00000000-0005-0000-0000-0000BE0A0000}"/>
    <cellStyle name="Normal 10 2 10 2 11 2 2" xfId="2751" xr:uid="{00000000-0005-0000-0000-0000BF0A0000}"/>
    <cellStyle name="Normal 10 2 10 2 11 2 3" xfId="2752" xr:uid="{00000000-0005-0000-0000-0000C00A0000}"/>
    <cellStyle name="Normal 10 2 10 2 11 2 4" xfId="2753" xr:uid="{00000000-0005-0000-0000-0000C10A0000}"/>
    <cellStyle name="Normal 10 2 10 2 11 2 5" xfId="2754" xr:uid="{00000000-0005-0000-0000-0000C20A0000}"/>
    <cellStyle name="Normal 10 2 10 2 11 2 6" xfId="2755" xr:uid="{00000000-0005-0000-0000-0000C30A0000}"/>
    <cellStyle name="Normal 10 2 10 2 11 2 7" xfId="2756" xr:uid="{00000000-0005-0000-0000-0000C40A0000}"/>
    <cellStyle name="Normal 10 2 10 2 11 2 8" xfId="2757" xr:uid="{00000000-0005-0000-0000-0000C50A0000}"/>
    <cellStyle name="Normal 10 2 10 2 11 2 9" xfId="2758" xr:uid="{00000000-0005-0000-0000-0000C60A0000}"/>
    <cellStyle name="Normal 10 2 10 2 11 3" xfId="2759" xr:uid="{00000000-0005-0000-0000-0000C70A0000}"/>
    <cellStyle name="Normal 10 2 10 2 11 3 10" xfId="2760" xr:uid="{00000000-0005-0000-0000-0000C80A0000}"/>
    <cellStyle name="Normal 10 2 10 2 11 3 2" xfId="2761" xr:uid="{00000000-0005-0000-0000-0000C90A0000}"/>
    <cellStyle name="Normal 10 2 10 2 11 3 3" xfId="2762" xr:uid="{00000000-0005-0000-0000-0000CA0A0000}"/>
    <cellStyle name="Normal 10 2 10 2 11 3 4" xfId="2763" xr:uid="{00000000-0005-0000-0000-0000CB0A0000}"/>
    <cellStyle name="Normal 10 2 10 2 11 3 5" xfId="2764" xr:uid="{00000000-0005-0000-0000-0000CC0A0000}"/>
    <cellStyle name="Normal 10 2 10 2 11 3 6" xfId="2765" xr:uid="{00000000-0005-0000-0000-0000CD0A0000}"/>
    <cellStyle name="Normal 10 2 10 2 11 3 7" xfId="2766" xr:uid="{00000000-0005-0000-0000-0000CE0A0000}"/>
    <cellStyle name="Normal 10 2 10 2 11 3 8" xfId="2767" xr:uid="{00000000-0005-0000-0000-0000CF0A0000}"/>
    <cellStyle name="Normal 10 2 10 2 11 3 9" xfId="2768" xr:uid="{00000000-0005-0000-0000-0000D00A0000}"/>
    <cellStyle name="Normal 10 2 10 2 11 4" xfId="2769" xr:uid="{00000000-0005-0000-0000-0000D10A0000}"/>
    <cellStyle name="Normal 10 2 10 2 11 4 10" xfId="2770" xr:uid="{00000000-0005-0000-0000-0000D20A0000}"/>
    <cellStyle name="Normal 10 2 10 2 11 4 2" xfId="2771" xr:uid="{00000000-0005-0000-0000-0000D30A0000}"/>
    <cellStyle name="Normal 10 2 10 2 11 4 3" xfId="2772" xr:uid="{00000000-0005-0000-0000-0000D40A0000}"/>
    <cellStyle name="Normal 10 2 10 2 11 4 4" xfId="2773" xr:uid="{00000000-0005-0000-0000-0000D50A0000}"/>
    <cellStyle name="Normal 10 2 10 2 11 4 5" xfId="2774" xr:uid="{00000000-0005-0000-0000-0000D60A0000}"/>
    <cellStyle name="Normal 10 2 10 2 11 4 6" xfId="2775" xr:uid="{00000000-0005-0000-0000-0000D70A0000}"/>
    <cellStyle name="Normal 10 2 10 2 11 4 7" xfId="2776" xr:uid="{00000000-0005-0000-0000-0000D80A0000}"/>
    <cellStyle name="Normal 10 2 10 2 11 4 8" xfId="2777" xr:uid="{00000000-0005-0000-0000-0000D90A0000}"/>
    <cellStyle name="Normal 10 2 10 2 11 4 9" xfId="2778" xr:uid="{00000000-0005-0000-0000-0000DA0A0000}"/>
    <cellStyle name="Normal 10 2 10 2 11 5" xfId="2779" xr:uid="{00000000-0005-0000-0000-0000DB0A0000}"/>
    <cellStyle name="Normal 10 2 10 2 11 5 10" xfId="2780" xr:uid="{00000000-0005-0000-0000-0000DC0A0000}"/>
    <cellStyle name="Normal 10 2 10 2 11 5 2" xfId="2781" xr:uid="{00000000-0005-0000-0000-0000DD0A0000}"/>
    <cellStyle name="Normal 10 2 10 2 11 5 3" xfId="2782" xr:uid="{00000000-0005-0000-0000-0000DE0A0000}"/>
    <cellStyle name="Normal 10 2 10 2 11 5 4" xfId="2783" xr:uid="{00000000-0005-0000-0000-0000DF0A0000}"/>
    <cellStyle name="Normal 10 2 10 2 11 5 5" xfId="2784" xr:uid="{00000000-0005-0000-0000-0000E00A0000}"/>
    <cellStyle name="Normal 10 2 10 2 11 5 6" xfId="2785" xr:uid="{00000000-0005-0000-0000-0000E10A0000}"/>
    <cellStyle name="Normal 10 2 10 2 11 5 7" xfId="2786" xr:uid="{00000000-0005-0000-0000-0000E20A0000}"/>
    <cellStyle name="Normal 10 2 10 2 11 5 8" xfId="2787" xr:uid="{00000000-0005-0000-0000-0000E30A0000}"/>
    <cellStyle name="Normal 10 2 10 2 11 5 9" xfId="2788" xr:uid="{00000000-0005-0000-0000-0000E40A0000}"/>
    <cellStyle name="Normal 10 2 10 2 11 6" xfId="2789" xr:uid="{00000000-0005-0000-0000-0000E50A0000}"/>
    <cellStyle name="Normal 10 2 10 2 11 7" xfId="2790" xr:uid="{00000000-0005-0000-0000-0000E60A0000}"/>
    <cellStyle name="Normal 10 2 10 2 11 8" xfId="2791" xr:uid="{00000000-0005-0000-0000-0000E70A0000}"/>
    <cellStyle name="Normal 10 2 10 2 11 9" xfId="2792" xr:uid="{00000000-0005-0000-0000-0000E80A0000}"/>
    <cellStyle name="Normal 10 2 10 2 12" xfId="2793" xr:uid="{00000000-0005-0000-0000-0000E90A0000}"/>
    <cellStyle name="Normal 10 2 10 2 12 10" xfId="2794" xr:uid="{00000000-0005-0000-0000-0000EA0A0000}"/>
    <cellStyle name="Normal 10 2 10 2 12 11" xfId="2795" xr:uid="{00000000-0005-0000-0000-0000EB0A0000}"/>
    <cellStyle name="Normal 10 2 10 2 12 12" xfId="2796" xr:uid="{00000000-0005-0000-0000-0000EC0A0000}"/>
    <cellStyle name="Normal 10 2 10 2 12 13" xfId="2797" xr:uid="{00000000-0005-0000-0000-0000ED0A0000}"/>
    <cellStyle name="Normal 10 2 10 2 12 14" xfId="2798" xr:uid="{00000000-0005-0000-0000-0000EE0A0000}"/>
    <cellStyle name="Normal 10 2 10 2 12 2" xfId="2799" xr:uid="{00000000-0005-0000-0000-0000EF0A0000}"/>
    <cellStyle name="Normal 10 2 10 2 12 2 10" xfId="2800" xr:uid="{00000000-0005-0000-0000-0000F00A0000}"/>
    <cellStyle name="Normal 10 2 10 2 12 2 2" xfId="2801" xr:uid="{00000000-0005-0000-0000-0000F10A0000}"/>
    <cellStyle name="Normal 10 2 10 2 12 2 3" xfId="2802" xr:uid="{00000000-0005-0000-0000-0000F20A0000}"/>
    <cellStyle name="Normal 10 2 10 2 12 2 4" xfId="2803" xr:uid="{00000000-0005-0000-0000-0000F30A0000}"/>
    <cellStyle name="Normal 10 2 10 2 12 2 5" xfId="2804" xr:uid="{00000000-0005-0000-0000-0000F40A0000}"/>
    <cellStyle name="Normal 10 2 10 2 12 2 6" xfId="2805" xr:uid="{00000000-0005-0000-0000-0000F50A0000}"/>
    <cellStyle name="Normal 10 2 10 2 12 2 7" xfId="2806" xr:uid="{00000000-0005-0000-0000-0000F60A0000}"/>
    <cellStyle name="Normal 10 2 10 2 12 2 8" xfId="2807" xr:uid="{00000000-0005-0000-0000-0000F70A0000}"/>
    <cellStyle name="Normal 10 2 10 2 12 2 9" xfId="2808" xr:uid="{00000000-0005-0000-0000-0000F80A0000}"/>
    <cellStyle name="Normal 10 2 10 2 12 3" xfId="2809" xr:uid="{00000000-0005-0000-0000-0000F90A0000}"/>
    <cellStyle name="Normal 10 2 10 2 12 3 10" xfId="2810" xr:uid="{00000000-0005-0000-0000-0000FA0A0000}"/>
    <cellStyle name="Normal 10 2 10 2 12 3 2" xfId="2811" xr:uid="{00000000-0005-0000-0000-0000FB0A0000}"/>
    <cellStyle name="Normal 10 2 10 2 12 3 3" xfId="2812" xr:uid="{00000000-0005-0000-0000-0000FC0A0000}"/>
    <cellStyle name="Normal 10 2 10 2 12 3 4" xfId="2813" xr:uid="{00000000-0005-0000-0000-0000FD0A0000}"/>
    <cellStyle name="Normal 10 2 10 2 12 3 5" xfId="2814" xr:uid="{00000000-0005-0000-0000-0000FE0A0000}"/>
    <cellStyle name="Normal 10 2 10 2 12 3 6" xfId="2815" xr:uid="{00000000-0005-0000-0000-0000FF0A0000}"/>
    <cellStyle name="Normal 10 2 10 2 12 3 7" xfId="2816" xr:uid="{00000000-0005-0000-0000-0000000B0000}"/>
    <cellStyle name="Normal 10 2 10 2 12 3 8" xfId="2817" xr:uid="{00000000-0005-0000-0000-0000010B0000}"/>
    <cellStyle name="Normal 10 2 10 2 12 3 9" xfId="2818" xr:uid="{00000000-0005-0000-0000-0000020B0000}"/>
    <cellStyle name="Normal 10 2 10 2 12 4" xfId="2819" xr:uid="{00000000-0005-0000-0000-0000030B0000}"/>
    <cellStyle name="Normal 10 2 10 2 12 4 10" xfId="2820" xr:uid="{00000000-0005-0000-0000-0000040B0000}"/>
    <cellStyle name="Normal 10 2 10 2 12 4 2" xfId="2821" xr:uid="{00000000-0005-0000-0000-0000050B0000}"/>
    <cellStyle name="Normal 10 2 10 2 12 4 3" xfId="2822" xr:uid="{00000000-0005-0000-0000-0000060B0000}"/>
    <cellStyle name="Normal 10 2 10 2 12 4 4" xfId="2823" xr:uid="{00000000-0005-0000-0000-0000070B0000}"/>
    <cellStyle name="Normal 10 2 10 2 12 4 5" xfId="2824" xr:uid="{00000000-0005-0000-0000-0000080B0000}"/>
    <cellStyle name="Normal 10 2 10 2 12 4 6" xfId="2825" xr:uid="{00000000-0005-0000-0000-0000090B0000}"/>
    <cellStyle name="Normal 10 2 10 2 12 4 7" xfId="2826" xr:uid="{00000000-0005-0000-0000-00000A0B0000}"/>
    <cellStyle name="Normal 10 2 10 2 12 4 8" xfId="2827" xr:uid="{00000000-0005-0000-0000-00000B0B0000}"/>
    <cellStyle name="Normal 10 2 10 2 12 4 9" xfId="2828" xr:uid="{00000000-0005-0000-0000-00000C0B0000}"/>
    <cellStyle name="Normal 10 2 10 2 12 5" xfId="2829" xr:uid="{00000000-0005-0000-0000-00000D0B0000}"/>
    <cellStyle name="Normal 10 2 10 2 12 5 10" xfId="2830" xr:uid="{00000000-0005-0000-0000-00000E0B0000}"/>
    <cellStyle name="Normal 10 2 10 2 12 5 2" xfId="2831" xr:uid="{00000000-0005-0000-0000-00000F0B0000}"/>
    <cellStyle name="Normal 10 2 10 2 12 5 3" xfId="2832" xr:uid="{00000000-0005-0000-0000-0000100B0000}"/>
    <cellStyle name="Normal 10 2 10 2 12 5 4" xfId="2833" xr:uid="{00000000-0005-0000-0000-0000110B0000}"/>
    <cellStyle name="Normal 10 2 10 2 12 5 5" xfId="2834" xr:uid="{00000000-0005-0000-0000-0000120B0000}"/>
    <cellStyle name="Normal 10 2 10 2 12 5 6" xfId="2835" xr:uid="{00000000-0005-0000-0000-0000130B0000}"/>
    <cellStyle name="Normal 10 2 10 2 12 5 7" xfId="2836" xr:uid="{00000000-0005-0000-0000-0000140B0000}"/>
    <cellStyle name="Normal 10 2 10 2 12 5 8" xfId="2837" xr:uid="{00000000-0005-0000-0000-0000150B0000}"/>
    <cellStyle name="Normal 10 2 10 2 12 5 9" xfId="2838" xr:uid="{00000000-0005-0000-0000-0000160B0000}"/>
    <cellStyle name="Normal 10 2 10 2 12 6" xfId="2839" xr:uid="{00000000-0005-0000-0000-0000170B0000}"/>
    <cellStyle name="Normal 10 2 10 2 12 7" xfId="2840" xr:uid="{00000000-0005-0000-0000-0000180B0000}"/>
    <cellStyle name="Normal 10 2 10 2 12 8" xfId="2841" xr:uid="{00000000-0005-0000-0000-0000190B0000}"/>
    <cellStyle name="Normal 10 2 10 2 12 9" xfId="2842" xr:uid="{00000000-0005-0000-0000-00001A0B0000}"/>
    <cellStyle name="Normal 10 2 10 2 13" xfId="2843" xr:uid="{00000000-0005-0000-0000-00001B0B0000}"/>
    <cellStyle name="Normal 10 2 10 2 13 10" xfId="2844" xr:uid="{00000000-0005-0000-0000-00001C0B0000}"/>
    <cellStyle name="Normal 10 2 10 2 13 11" xfId="2845" xr:uid="{00000000-0005-0000-0000-00001D0B0000}"/>
    <cellStyle name="Normal 10 2 10 2 13 12" xfId="2846" xr:uid="{00000000-0005-0000-0000-00001E0B0000}"/>
    <cellStyle name="Normal 10 2 10 2 13 13" xfId="2847" xr:uid="{00000000-0005-0000-0000-00001F0B0000}"/>
    <cellStyle name="Normal 10 2 10 2 13 14" xfId="2848" xr:uid="{00000000-0005-0000-0000-0000200B0000}"/>
    <cellStyle name="Normal 10 2 10 2 13 2" xfId="2849" xr:uid="{00000000-0005-0000-0000-0000210B0000}"/>
    <cellStyle name="Normal 10 2 10 2 13 2 10" xfId="2850" xr:uid="{00000000-0005-0000-0000-0000220B0000}"/>
    <cellStyle name="Normal 10 2 10 2 13 2 2" xfId="2851" xr:uid="{00000000-0005-0000-0000-0000230B0000}"/>
    <cellStyle name="Normal 10 2 10 2 13 2 3" xfId="2852" xr:uid="{00000000-0005-0000-0000-0000240B0000}"/>
    <cellStyle name="Normal 10 2 10 2 13 2 4" xfId="2853" xr:uid="{00000000-0005-0000-0000-0000250B0000}"/>
    <cellStyle name="Normal 10 2 10 2 13 2 5" xfId="2854" xr:uid="{00000000-0005-0000-0000-0000260B0000}"/>
    <cellStyle name="Normal 10 2 10 2 13 2 6" xfId="2855" xr:uid="{00000000-0005-0000-0000-0000270B0000}"/>
    <cellStyle name="Normal 10 2 10 2 13 2 7" xfId="2856" xr:uid="{00000000-0005-0000-0000-0000280B0000}"/>
    <cellStyle name="Normal 10 2 10 2 13 2 8" xfId="2857" xr:uid="{00000000-0005-0000-0000-0000290B0000}"/>
    <cellStyle name="Normal 10 2 10 2 13 2 9" xfId="2858" xr:uid="{00000000-0005-0000-0000-00002A0B0000}"/>
    <cellStyle name="Normal 10 2 10 2 13 3" xfId="2859" xr:uid="{00000000-0005-0000-0000-00002B0B0000}"/>
    <cellStyle name="Normal 10 2 10 2 13 3 10" xfId="2860" xr:uid="{00000000-0005-0000-0000-00002C0B0000}"/>
    <cellStyle name="Normal 10 2 10 2 13 3 2" xfId="2861" xr:uid="{00000000-0005-0000-0000-00002D0B0000}"/>
    <cellStyle name="Normal 10 2 10 2 13 3 3" xfId="2862" xr:uid="{00000000-0005-0000-0000-00002E0B0000}"/>
    <cellStyle name="Normal 10 2 10 2 13 3 4" xfId="2863" xr:uid="{00000000-0005-0000-0000-00002F0B0000}"/>
    <cellStyle name="Normal 10 2 10 2 13 3 5" xfId="2864" xr:uid="{00000000-0005-0000-0000-0000300B0000}"/>
    <cellStyle name="Normal 10 2 10 2 13 3 6" xfId="2865" xr:uid="{00000000-0005-0000-0000-0000310B0000}"/>
    <cellStyle name="Normal 10 2 10 2 13 3 7" xfId="2866" xr:uid="{00000000-0005-0000-0000-0000320B0000}"/>
    <cellStyle name="Normal 10 2 10 2 13 3 8" xfId="2867" xr:uid="{00000000-0005-0000-0000-0000330B0000}"/>
    <cellStyle name="Normal 10 2 10 2 13 3 9" xfId="2868" xr:uid="{00000000-0005-0000-0000-0000340B0000}"/>
    <cellStyle name="Normal 10 2 10 2 13 4" xfId="2869" xr:uid="{00000000-0005-0000-0000-0000350B0000}"/>
    <cellStyle name="Normal 10 2 10 2 13 4 10" xfId="2870" xr:uid="{00000000-0005-0000-0000-0000360B0000}"/>
    <cellStyle name="Normal 10 2 10 2 13 4 2" xfId="2871" xr:uid="{00000000-0005-0000-0000-0000370B0000}"/>
    <cellStyle name="Normal 10 2 10 2 13 4 3" xfId="2872" xr:uid="{00000000-0005-0000-0000-0000380B0000}"/>
    <cellStyle name="Normal 10 2 10 2 13 4 4" xfId="2873" xr:uid="{00000000-0005-0000-0000-0000390B0000}"/>
    <cellStyle name="Normal 10 2 10 2 13 4 5" xfId="2874" xr:uid="{00000000-0005-0000-0000-00003A0B0000}"/>
    <cellStyle name="Normal 10 2 10 2 13 4 6" xfId="2875" xr:uid="{00000000-0005-0000-0000-00003B0B0000}"/>
    <cellStyle name="Normal 10 2 10 2 13 4 7" xfId="2876" xr:uid="{00000000-0005-0000-0000-00003C0B0000}"/>
    <cellStyle name="Normal 10 2 10 2 13 4 8" xfId="2877" xr:uid="{00000000-0005-0000-0000-00003D0B0000}"/>
    <cellStyle name="Normal 10 2 10 2 13 4 9" xfId="2878" xr:uid="{00000000-0005-0000-0000-00003E0B0000}"/>
    <cellStyle name="Normal 10 2 10 2 13 5" xfId="2879" xr:uid="{00000000-0005-0000-0000-00003F0B0000}"/>
    <cellStyle name="Normal 10 2 10 2 13 5 10" xfId="2880" xr:uid="{00000000-0005-0000-0000-0000400B0000}"/>
    <cellStyle name="Normal 10 2 10 2 13 5 2" xfId="2881" xr:uid="{00000000-0005-0000-0000-0000410B0000}"/>
    <cellStyle name="Normal 10 2 10 2 13 5 3" xfId="2882" xr:uid="{00000000-0005-0000-0000-0000420B0000}"/>
    <cellStyle name="Normal 10 2 10 2 13 5 4" xfId="2883" xr:uid="{00000000-0005-0000-0000-0000430B0000}"/>
    <cellStyle name="Normal 10 2 10 2 13 5 5" xfId="2884" xr:uid="{00000000-0005-0000-0000-0000440B0000}"/>
    <cellStyle name="Normal 10 2 10 2 13 5 6" xfId="2885" xr:uid="{00000000-0005-0000-0000-0000450B0000}"/>
    <cellStyle name="Normal 10 2 10 2 13 5 7" xfId="2886" xr:uid="{00000000-0005-0000-0000-0000460B0000}"/>
    <cellStyle name="Normal 10 2 10 2 13 5 8" xfId="2887" xr:uid="{00000000-0005-0000-0000-0000470B0000}"/>
    <cellStyle name="Normal 10 2 10 2 13 5 9" xfId="2888" xr:uid="{00000000-0005-0000-0000-0000480B0000}"/>
    <cellStyle name="Normal 10 2 10 2 13 6" xfId="2889" xr:uid="{00000000-0005-0000-0000-0000490B0000}"/>
    <cellStyle name="Normal 10 2 10 2 13 7" xfId="2890" xr:uid="{00000000-0005-0000-0000-00004A0B0000}"/>
    <cellStyle name="Normal 10 2 10 2 13 8" xfId="2891" xr:uid="{00000000-0005-0000-0000-00004B0B0000}"/>
    <cellStyle name="Normal 10 2 10 2 13 9" xfId="2892" xr:uid="{00000000-0005-0000-0000-00004C0B0000}"/>
    <cellStyle name="Normal 10 2 10 2 14" xfId="2893" xr:uid="{00000000-0005-0000-0000-00004D0B0000}"/>
    <cellStyle name="Normal 10 2 10 2 14 10" xfId="2894" xr:uid="{00000000-0005-0000-0000-00004E0B0000}"/>
    <cellStyle name="Normal 10 2 10 2 14 11" xfId="2895" xr:uid="{00000000-0005-0000-0000-00004F0B0000}"/>
    <cellStyle name="Normal 10 2 10 2 14 12" xfId="2896" xr:uid="{00000000-0005-0000-0000-0000500B0000}"/>
    <cellStyle name="Normal 10 2 10 2 14 13" xfId="2897" xr:uid="{00000000-0005-0000-0000-0000510B0000}"/>
    <cellStyle name="Normal 10 2 10 2 14 14" xfId="2898" xr:uid="{00000000-0005-0000-0000-0000520B0000}"/>
    <cellStyle name="Normal 10 2 10 2 14 2" xfId="2899" xr:uid="{00000000-0005-0000-0000-0000530B0000}"/>
    <cellStyle name="Normal 10 2 10 2 14 2 10" xfId="2900" xr:uid="{00000000-0005-0000-0000-0000540B0000}"/>
    <cellStyle name="Normal 10 2 10 2 14 2 2" xfId="2901" xr:uid="{00000000-0005-0000-0000-0000550B0000}"/>
    <cellStyle name="Normal 10 2 10 2 14 2 3" xfId="2902" xr:uid="{00000000-0005-0000-0000-0000560B0000}"/>
    <cellStyle name="Normal 10 2 10 2 14 2 4" xfId="2903" xr:uid="{00000000-0005-0000-0000-0000570B0000}"/>
    <cellStyle name="Normal 10 2 10 2 14 2 5" xfId="2904" xr:uid="{00000000-0005-0000-0000-0000580B0000}"/>
    <cellStyle name="Normal 10 2 10 2 14 2 6" xfId="2905" xr:uid="{00000000-0005-0000-0000-0000590B0000}"/>
    <cellStyle name="Normal 10 2 10 2 14 2 7" xfId="2906" xr:uid="{00000000-0005-0000-0000-00005A0B0000}"/>
    <cellStyle name="Normal 10 2 10 2 14 2 8" xfId="2907" xr:uid="{00000000-0005-0000-0000-00005B0B0000}"/>
    <cellStyle name="Normal 10 2 10 2 14 2 9" xfId="2908" xr:uid="{00000000-0005-0000-0000-00005C0B0000}"/>
    <cellStyle name="Normal 10 2 10 2 14 3" xfId="2909" xr:uid="{00000000-0005-0000-0000-00005D0B0000}"/>
    <cellStyle name="Normal 10 2 10 2 14 3 10" xfId="2910" xr:uid="{00000000-0005-0000-0000-00005E0B0000}"/>
    <cellStyle name="Normal 10 2 10 2 14 3 2" xfId="2911" xr:uid="{00000000-0005-0000-0000-00005F0B0000}"/>
    <cellStyle name="Normal 10 2 10 2 14 3 3" xfId="2912" xr:uid="{00000000-0005-0000-0000-0000600B0000}"/>
    <cellStyle name="Normal 10 2 10 2 14 3 4" xfId="2913" xr:uid="{00000000-0005-0000-0000-0000610B0000}"/>
    <cellStyle name="Normal 10 2 10 2 14 3 5" xfId="2914" xr:uid="{00000000-0005-0000-0000-0000620B0000}"/>
    <cellStyle name="Normal 10 2 10 2 14 3 6" xfId="2915" xr:uid="{00000000-0005-0000-0000-0000630B0000}"/>
    <cellStyle name="Normal 10 2 10 2 14 3 7" xfId="2916" xr:uid="{00000000-0005-0000-0000-0000640B0000}"/>
    <cellStyle name="Normal 10 2 10 2 14 3 8" xfId="2917" xr:uid="{00000000-0005-0000-0000-0000650B0000}"/>
    <cellStyle name="Normal 10 2 10 2 14 3 9" xfId="2918" xr:uid="{00000000-0005-0000-0000-0000660B0000}"/>
    <cellStyle name="Normal 10 2 10 2 14 4" xfId="2919" xr:uid="{00000000-0005-0000-0000-0000670B0000}"/>
    <cellStyle name="Normal 10 2 10 2 14 4 10" xfId="2920" xr:uid="{00000000-0005-0000-0000-0000680B0000}"/>
    <cellStyle name="Normal 10 2 10 2 14 4 2" xfId="2921" xr:uid="{00000000-0005-0000-0000-0000690B0000}"/>
    <cellStyle name="Normal 10 2 10 2 14 4 3" xfId="2922" xr:uid="{00000000-0005-0000-0000-00006A0B0000}"/>
    <cellStyle name="Normal 10 2 10 2 14 4 4" xfId="2923" xr:uid="{00000000-0005-0000-0000-00006B0B0000}"/>
    <cellStyle name="Normal 10 2 10 2 14 4 5" xfId="2924" xr:uid="{00000000-0005-0000-0000-00006C0B0000}"/>
    <cellStyle name="Normal 10 2 10 2 14 4 6" xfId="2925" xr:uid="{00000000-0005-0000-0000-00006D0B0000}"/>
    <cellStyle name="Normal 10 2 10 2 14 4 7" xfId="2926" xr:uid="{00000000-0005-0000-0000-00006E0B0000}"/>
    <cellStyle name="Normal 10 2 10 2 14 4 8" xfId="2927" xr:uid="{00000000-0005-0000-0000-00006F0B0000}"/>
    <cellStyle name="Normal 10 2 10 2 14 4 9" xfId="2928" xr:uid="{00000000-0005-0000-0000-0000700B0000}"/>
    <cellStyle name="Normal 10 2 10 2 14 5" xfId="2929" xr:uid="{00000000-0005-0000-0000-0000710B0000}"/>
    <cellStyle name="Normal 10 2 10 2 14 5 10" xfId="2930" xr:uid="{00000000-0005-0000-0000-0000720B0000}"/>
    <cellStyle name="Normal 10 2 10 2 14 5 2" xfId="2931" xr:uid="{00000000-0005-0000-0000-0000730B0000}"/>
    <cellStyle name="Normal 10 2 10 2 14 5 3" xfId="2932" xr:uid="{00000000-0005-0000-0000-0000740B0000}"/>
    <cellStyle name="Normal 10 2 10 2 14 5 4" xfId="2933" xr:uid="{00000000-0005-0000-0000-0000750B0000}"/>
    <cellStyle name="Normal 10 2 10 2 14 5 5" xfId="2934" xr:uid="{00000000-0005-0000-0000-0000760B0000}"/>
    <cellStyle name="Normal 10 2 10 2 14 5 6" xfId="2935" xr:uid="{00000000-0005-0000-0000-0000770B0000}"/>
    <cellStyle name="Normal 10 2 10 2 14 5 7" xfId="2936" xr:uid="{00000000-0005-0000-0000-0000780B0000}"/>
    <cellStyle name="Normal 10 2 10 2 14 5 8" xfId="2937" xr:uid="{00000000-0005-0000-0000-0000790B0000}"/>
    <cellStyle name="Normal 10 2 10 2 14 5 9" xfId="2938" xr:uid="{00000000-0005-0000-0000-00007A0B0000}"/>
    <cellStyle name="Normal 10 2 10 2 14 6" xfId="2939" xr:uid="{00000000-0005-0000-0000-00007B0B0000}"/>
    <cellStyle name="Normal 10 2 10 2 14 7" xfId="2940" xr:uid="{00000000-0005-0000-0000-00007C0B0000}"/>
    <cellStyle name="Normal 10 2 10 2 14 8" xfId="2941" xr:uid="{00000000-0005-0000-0000-00007D0B0000}"/>
    <cellStyle name="Normal 10 2 10 2 14 9" xfId="2942" xr:uid="{00000000-0005-0000-0000-00007E0B0000}"/>
    <cellStyle name="Normal 10 2 10 2 15" xfId="2943" xr:uid="{00000000-0005-0000-0000-00007F0B0000}"/>
    <cellStyle name="Normal 10 2 10 2 15 10" xfId="2944" xr:uid="{00000000-0005-0000-0000-0000800B0000}"/>
    <cellStyle name="Normal 10 2 10 2 15 11" xfId="2945" xr:uid="{00000000-0005-0000-0000-0000810B0000}"/>
    <cellStyle name="Normal 10 2 10 2 15 12" xfId="2946" xr:uid="{00000000-0005-0000-0000-0000820B0000}"/>
    <cellStyle name="Normal 10 2 10 2 15 13" xfId="2947" xr:uid="{00000000-0005-0000-0000-0000830B0000}"/>
    <cellStyle name="Normal 10 2 10 2 15 14" xfId="2948" xr:uid="{00000000-0005-0000-0000-0000840B0000}"/>
    <cellStyle name="Normal 10 2 10 2 15 2" xfId="2949" xr:uid="{00000000-0005-0000-0000-0000850B0000}"/>
    <cellStyle name="Normal 10 2 10 2 15 2 10" xfId="2950" xr:uid="{00000000-0005-0000-0000-0000860B0000}"/>
    <cellStyle name="Normal 10 2 10 2 15 2 2" xfId="2951" xr:uid="{00000000-0005-0000-0000-0000870B0000}"/>
    <cellStyle name="Normal 10 2 10 2 15 2 3" xfId="2952" xr:uid="{00000000-0005-0000-0000-0000880B0000}"/>
    <cellStyle name="Normal 10 2 10 2 15 2 4" xfId="2953" xr:uid="{00000000-0005-0000-0000-0000890B0000}"/>
    <cellStyle name="Normal 10 2 10 2 15 2 5" xfId="2954" xr:uid="{00000000-0005-0000-0000-00008A0B0000}"/>
    <cellStyle name="Normal 10 2 10 2 15 2 6" xfId="2955" xr:uid="{00000000-0005-0000-0000-00008B0B0000}"/>
    <cellStyle name="Normal 10 2 10 2 15 2 7" xfId="2956" xr:uid="{00000000-0005-0000-0000-00008C0B0000}"/>
    <cellStyle name="Normal 10 2 10 2 15 2 8" xfId="2957" xr:uid="{00000000-0005-0000-0000-00008D0B0000}"/>
    <cellStyle name="Normal 10 2 10 2 15 2 9" xfId="2958" xr:uid="{00000000-0005-0000-0000-00008E0B0000}"/>
    <cellStyle name="Normal 10 2 10 2 15 3" xfId="2959" xr:uid="{00000000-0005-0000-0000-00008F0B0000}"/>
    <cellStyle name="Normal 10 2 10 2 15 3 10" xfId="2960" xr:uid="{00000000-0005-0000-0000-0000900B0000}"/>
    <cellStyle name="Normal 10 2 10 2 15 3 2" xfId="2961" xr:uid="{00000000-0005-0000-0000-0000910B0000}"/>
    <cellStyle name="Normal 10 2 10 2 15 3 3" xfId="2962" xr:uid="{00000000-0005-0000-0000-0000920B0000}"/>
    <cellStyle name="Normal 10 2 10 2 15 3 4" xfId="2963" xr:uid="{00000000-0005-0000-0000-0000930B0000}"/>
    <cellStyle name="Normal 10 2 10 2 15 3 5" xfId="2964" xr:uid="{00000000-0005-0000-0000-0000940B0000}"/>
    <cellStyle name="Normal 10 2 10 2 15 3 6" xfId="2965" xr:uid="{00000000-0005-0000-0000-0000950B0000}"/>
    <cellStyle name="Normal 10 2 10 2 15 3 7" xfId="2966" xr:uid="{00000000-0005-0000-0000-0000960B0000}"/>
    <cellStyle name="Normal 10 2 10 2 15 3 8" xfId="2967" xr:uid="{00000000-0005-0000-0000-0000970B0000}"/>
    <cellStyle name="Normal 10 2 10 2 15 3 9" xfId="2968" xr:uid="{00000000-0005-0000-0000-0000980B0000}"/>
    <cellStyle name="Normal 10 2 10 2 15 4" xfId="2969" xr:uid="{00000000-0005-0000-0000-0000990B0000}"/>
    <cellStyle name="Normal 10 2 10 2 15 4 10" xfId="2970" xr:uid="{00000000-0005-0000-0000-00009A0B0000}"/>
    <cellStyle name="Normal 10 2 10 2 15 4 2" xfId="2971" xr:uid="{00000000-0005-0000-0000-00009B0B0000}"/>
    <cellStyle name="Normal 10 2 10 2 15 4 3" xfId="2972" xr:uid="{00000000-0005-0000-0000-00009C0B0000}"/>
    <cellStyle name="Normal 10 2 10 2 15 4 4" xfId="2973" xr:uid="{00000000-0005-0000-0000-00009D0B0000}"/>
    <cellStyle name="Normal 10 2 10 2 15 4 5" xfId="2974" xr:uid="{00000000-0005-0000-0000-00009E0B0000}"/>
    <cellStyle name="Normal 10 2 10 2 15 4 6" xfId="2975" xr:uid="{00000000-0005-0000-0000-00009F0B0000}"/>
    <cellStyle name="Normal 10 2 10 2 15 4 7" xfId="2976" xr:uid="{00000000-0005-0000-0000-0000A00B0000}"/>
    <cellStyle name="Normal 10 2 10 2 15 4 8" xfId="2977" xr:uid="{00000000-0005-0000-0000-0000A10B0000}"/>
    <cellStyle name="Normal 10 2 10 2 15 4 9" xfId="2978" xr:uid="{00000000-0005-0000-0000-0000A20B0000}"/>
    <cellStyle name="Normal 10 2 10 2 15 5" xfId="2979" xr:uid="{00000000-0005-0000-0000-0000A30B0000}"/>
    <cellStyle name="Normal 10 2 10 2 15 5 10" xfId="2980" xr:uid="{00000000-0005-0000-0000-0000A40B0000}"/>
    <cellStyle name="Normal 10 2 10 2 15 5 2" xfId="2981" xr:uid="{00000000-0005-0000-0000-0000A50B0000}"/>
    <cellStyle name="Normal 10 2 10 2 15 5 3" xfId="2982" xr:uid="{00000000-0005-0000-0000-0000A60B0000}"/>
    <cellStyle name="Normal 10 2 10 2 15 5 4" xfId="2983" xr:uid="{00000000-0005-0000-0000-0000A70B0000}"/>
    <cellStyle name="Normal 10 2 10 2 15 5 5" xfId="2984" xr:uid="{00000000-0005-0000-0000-0000A80B0000}"/>
    <cellStyle name="Normal 10 2 10 2 15 5 6" xfId="2985" xr:uid="{00000000-0005-0000-0000-0000A90B0000}"/>
    <cellStyle name="Normal 10 2 10 2 15 5 7" xfId="2986" xr:uid="{00000000-0005-0000-0000-0000AA0B0000}"/>
    <cellStyle name="Normal 10 2 10 2 15 5 8" xfId="2987" xr:uid="{00000000-0005-0000-0000-0000AB0B0000}"/>
    <cellStyle name="Normal 10 2 10 2 15 5 9" xfId="2988" xr:uid="{00000000-0005-0000-0000-0000AC0B0000}"/>
    <cellStyle name="Normal 10 2 10 2 15 6" xfId="2989" xr:uid="{00000000-0005-0000-0000-0000AD0B0000}"/>
    <cellStyle name="Normal 10 2 10 2 15 7" xfId="2990" xr:uid="{00000000-0005-0000-0000-0000AE0B0000}"/>
    <cellStyle name="Normal 10 2 10 2 15 8" xfId="2991" xr:uid="{00000000-0005-0000-0000-0000AF0B0000}"/>
    <cellStyle name="Normal 10 2 10 2 15 9" xfId="2992" xr:uid="{00000000-0005-0000-0000-0000B00B0000}"/>
    <cellStyle name="Normal 10 2 10 2 16" xfId="2993" xr:uid="{00000000-0005-0000-0000-0000B10B0000}"/>
    <cellStyle name="Normal 10 2 10 2 16 10" xfId="2994" xr:uid="{00000000-0005-0000-0000-0000B20B0000}"/>
    <cellStyle name="Normal 10 2 10 2 16 11" xfId="2995" xr:uid="{00000000-0005-0000-0000-0000B30B0000}"/>
    <cellStyle name="Normal 10 2 10 2 16 12" xfId="2996" xr:uid="{00000000-0005-0000-0000-0000B40B0000}"/>
    <cellStyle name="Normal 10 2 10 2 16 13" xfId="2997" xr:uid="{00000000-0005-0000-0000-0000B50B0000}"/>
    <cellStyle name="Normal 10 2 10 2 16 14" xfId="2998" xr:uid="{00000000-0005-0000-0000-0000B60B0000}"/>
    <cellStyle name="Normal 10 2 10 2 16 2" xfId="2999" xr:uid="{00000000-0005-0000-0000-0000B70B0000}"/>
    <cellStyle name="Normal 10 2 10 2 16 2 10" xfId="3000" xr:uid="{00000000-0005-0000-0000-0000B80B0000}"/>
    <cellStyle name="Normal 10 2 10 2 16 2 2" xfId="3001" xr:uid="{00000000-0005-0000-0000-0000B90B0000}"/>
    <cellStyle name="Normal 10 2 10 2 16 2 3" xfId="3002" xr:uid="{00000000-0005-0000-0000-0000BA0B0000}"/>
    <cellStyle name="Normal 10 2 10 2 16 2 4" xfId="3003" xr:uid="{00000000-0005-0000-0000-0000BB0B0000}"/>
    <cellStyle name="Normal 10 2 10 2 16 2 5" xfId="3004" xr:uid="{00000000-0005-0000-0000-0000BC0B0000}"/>
    <cellStyle name="Normal 10 2 10 2 16 2 6" xfId="3005" xr:uid="{00000000-0005-0000-0000-0000BD0B0000}"/>
    <cellStyle name="Normal 10 2 10 2 16 2 7" xfId="3006" xr:uid="{00000000-0005-0000-0000-0000BE0B0000}"/>
    <cellStyle name="Normal 10 2 10 2 16 2 8" xfId="3007" xr:uid="{00000000-0005-0000-0000-0000BF0B0000}"/>
    <cellStyle name="Normal 10 2 10 2 16 2 9" xfId="3008" xr:uid="{00000000-0005-0000-0000-0000C00B0000}"/>
    <cellStyle name="Normal 10 2 10 2 16 3" xfId="3009" xr:uid="{00000000-0005-0000-0000-0000C10B0000}"/>
    <cellStyle name="Normal 10 2 10 2 16 3 10" xfId="3010" xr:uid="{00000000-0005-0000-0000-0000C20B0000}"/>
    <cellStyle name="Normal 10 2 10 2 16 3 2" xfId="3011" xr:uid="{00000000-0005-0000-0000-0000C30B0000}"/>
    <cellStyle name="Normal 10 2 10 2 16 3 3" xfId="3012" xr:uid="{00000000-0005-0000-0000-0000C40B0000}"/>
    <cellStyle name="Normal 10 2 10 2 16 3 4" xfId="3013" xr:uid="{00000000-0005-0000-0000-0000C50B0000}"/>
    <cellStyle name="Normal 10 2 10 2 16 3 5" xfId="3014" xr:uid="{00000000-0005-0000-0000-0000C60B0000}"/>
    <cellStyle name="Normal 10 2 10 2 16 3 6" xfId="3015" xr:uid="{00000000-0005-0000-0000-0000C70B0000}"/>
    <cellStyle name="Normal 10 2 10 2 16 3 7" xfId="3016" xr:uid="{00000000-0005-0000-0000-0000C80B0000}"/>
    <cellStyle name="Normal 10 2 10 2 16 3 8" xfId="3017" xr:uid="{00000000-0005-0000-0000-0000C90B0000}"/>
    <cellStyle name="Normal 10 2 10 2 16 3 9" xfId="3018" xr:uid="{00000000-0005-0000-0000-0000CA0B0000}"/>
    <cellStyle name="Normal 10 2 10 2 16 4" xfId="3019" xr:uid="{00000000-0005-0000-0000-0000CB0B0000}"/>
    <cellStyle name="Normal 10 2 10 2 16 4 10" xfId="3020" xr:uid="{00000000-0005-0000-0000-0000CC0B0000}"/>
    <cellStyle name="Normal 10 2 10 2 16 4 2" xfId="3021" xr:uid="{00000000-0005-0000-0000-0000CD0B0000}"/>
    <cellStyle name="Normal 10 2 10 2 16 4 3" xfId="3022" xr:uid="{00000000-0005-0000-0000-0000CE0B0000}"/>
    <cellStyle name="Normal 10 2 10 2 16 4 4" xfId="3023" xr:uid="{00000000-0005-0000-0000-0000CF0B0000}"/>
    <cellStyle name="Normal 10 2 10 2 16 4 5" xfId="3024" xr:uid="{00000000-0005-0000-0000-0000D00B0000}"/>
    <cellStyle name="Normal 10 2 10 2 16 4 6" xfId="3025" xr:uid="{00000000-0005-0000-0000-0000D10B0000}"/>
    <cellStyle name="Normal 10 2 10 2 16 4 7" xfId="3026" xr:uid="{00000000-0005-0000-0000-0000D20B0000}"/>
    <cellStyle name="Normal 10 2 10 2 16 4 8" xfId="3027" xr:uid="{00000000-0005-0000-0000-0000D30B0000}"/>
    <cellStyle name="Normal 10 2 10 2 16 4 9" xfId="3028" xr:uid="{00000000-0005-0000-0000-0000D40B0000}"/>
    <cellStyle name="Normal 10 2 10 2 16 5" xfId="3029" xr:uid="{00000000-0005-0000-0000-0000D50B0000}"/>
    <cellStyle name="Normal 10 2 10 2 16 5 10" xfId="3030" xr:uid="{00000000-0005-0000-0000-0000D60B0000}"/>
    <cellStyle name="Normal 10 2 10 2 16 5 2" xfId="3031" xr:uid="{00000000-0005-0000-0000-0000D70B0000}"/>
    <cellStyle name="Normal 10 2 10 2 16 5 3" xfId="3032" xr:uid="{00000000-0005-0000-0000-0000D80B0000}"/>
    <cellStyle name="Normal 10 2 10 2 16 5 4" xfId="3033" xr:uid="{00000000-0005-0000-0000-0000D90B0000}"/>
    <cellStyle name="Normal 10 2 10 2 16 5 5" xfId="3034" xr:uid="{00000000-0005-0000-0000-0000DA0B0000}"/>
    <cellStyle name="Normal 10 2 10 2 16 5 6" xfId="3035" xr:uid="{00000000-0005-0000-0000-0000DB0B0000}"/>
    <cellStyle name="Normal 10 2 10 2 16 5 7" xfId="3036" xr:uid="{00000000-0005-0000-0000-0000DC0B0000}"/>
    <cellStyle name="Normal 10 2 10 2 16 5 8" xfId="3037" xr:uid="{00000000-0005-0000-0000-0000DD0B0000}"/>
    <cellStyle name="Normal 10 2 10 2 16 5 9" xfId="3038" xr:uid="{00000000-0005-0000-0000-0000DE0B0000}"/>
    <cellStyle name="Normal 10 2 10 2 16 6" xfId="3039" xr:uid="{00000000-0005-0000-0000-0000DF0B0000}"/>
    <cellStyle name="Normal 10 2 10 2 16 7" xfId="3040" xr:uid="{00000000-0005-0000-0000-0000E00B0000}"/>
    <cellStyle name="Normal 10 2 10 2 16 8" xfId="3041" xr:uid="{00000000-0005-0000-0000-0000E10B0000}"/>
    <cellStyle name="Normal 10 2 10 2 16 9" xfId="3042" xr:uid="{00000000-0005-0000-0000-0000E20B0000}"/>
    <cellStyle name="Normal 10 2 10 2 17" xfId="3043" xr:uid="{00000000-0005-0000-0000-0000E30B0000}"/>
    <cellStyle name="Normal 10 2 10 2 17 10" xfId="3044" xr:uid="{00000000-0005-0000-0000-0000E40B0000}"/>
    <cellStyle name="Normal 10 2 10 2 17 11" xfId="3045" xr:uid="{00000000-0005-0000-0000-0000E50B0000}"/>
    <cellStyle name="Normal 10 2 10 2 17 12" xfId="3046" xr:uid="{00000000-0005-0000-0000-0000E60B0000}"/>
    <cellStyle name="Normal 10 2 10 2 17 13" xfId="3047" xr:uid="{00000000-0005-0000-0000-0000E70B0000}"/>
    <cellStyle name="Normal 10 2 10 2 17 14" xfId="3048" xr:uid="{00000000-0005-0000-0000-0000E80B0000}"/>
    <cellStyle name="Normal 10 2 10 2 17 2" xfId="3049" xr:uid="{00000000-0005-0000-0000-0000E90B0000}"/>
    <cellStyle name="Normal 10 2 10 2 17 2 10" xfId="3050" xr:uid="{00000000-0005-0000-0000-0000EA0B0000}"/>
    <cellStyle name="Normal 10 2 10 2 17 2 2" xfId="3051" xr:uid="{00000000-0005-0000-0000-0000EB0B0000}"/>
    <cellStyle name="Normal 10 2 10 2 17 2 3" xfId="3052" xr:uid="{00000000-0005-0000-0000-0000EC0B0000}"/>
    <cellStyle name="Normal 10 2 10 2 17 2 4" xfId="3053" xr:uid="{00000000-0005-0000-0000-0000ED0B0000}"/>
    <cellStyle name="Normal 10 2 10 2 17 2 5" xfId="3054" xr:uid="{00000000-0005-0000-0000-0000EE0B0000}"/>
    <cellStyle name="Normal 10 2 10 2 17 2 6" xfId="3055" xr:uid="{00000000-0005-0000-0000-0000EF0B0000}"/>
    <cellStyle name="Normal 10 2 10 2 17 2 7" xfId="3056" xr:uid="{00000000-0005-0000-0000-0000F00B0000}"/>
    <cellStyle name="Normal 10 2 10 2 17 2 8" xfId="3057" xr:uid="{00000000-0005-0000-0000-0000F10B0000}"/>
    <cellStyle name="Normal 10 2 10 2 17 2 9" xfId="3058" xr:uid="{00000000-0005-0000-0000-0000F20B0000}"/>
    <cellStyle name="Normal 10 2 10 2 17 3" xfId="3059" xr:uid="{00000000-0005-0000-0000-0000F30B0000}"/>
    <cellStyle name="Normal 10 2 10 2 17 3 10" xfId="3060" xr:uid="{00000000-0005-0000-0000-0000F40B0000}"/>
    <cellStyle name="Normal 10 2 10 2 17 3 2" xfId="3061" xr:uid="{00000000-0005-0000-0000-0000F50B0000}"/>
    <cellStyle name="Normal 10 2 10 2 17 3 3" xfId="3062" xr:uid="{00000000-0005-0000-0000-0000F60B0000}"/>
    <cellStyle name="Normal 10 2 10 2 17 3 4" xfId="3063" xr:uid="{00000000-0005-0000-0000-0000F70B0000}"/>
    <cellStyle name="Normal 10 2 10 2 17 3 5" xfId="3064" xr:uid="{00000000-0005-0000-0000-0000F80B0000}"/>
    <cellStyle name="Normal 10 2 10 2 17 3 6" xfId="3065" xr:uid="{00000000-0005-0000-0000-0000F90B0000}"/>
    <cellStyle name="Normal 10 2 10 2 17 3 7" xfId="3066" xr:uid="{00000000-0005-0000-0000-0000FA0B0000}"/>
    <cellStyle name="Normal 10 2 10 2 17 3 8" xfId="3067" xr:uid="{00000000-0005-0000-0000-0000FB0B0000}"/>
    <cellStyle name="Normal 10 2 10 2 17 3 9" xfId="3068" xr:uid="{00000000-0005-0000-0000-0000FC0B0000}"/>
    <cellStyle name="Normal 10 2 10 2 17 4" xfId="3069" xr:uid="{00000000-0005-0000-0000-0000FD0B0000}"/>
    <cellStyle name="Normal 10 2 10 2 17 4 10" xfId="3070" xr:uid="{00000000-0005-0000-0000-0000FE0B0000}"/>
    <cellStyle name="Normal 10 2 10 2 17 4 2" xfId="3071" xr:uid="{00000000-0005-0000-0000-0000FF0B0000}"/>
    <cellStyle name="Normal 10 2 10 2 17 4 3" xfId="3072" xr:uid="{00000000-0005-0000-0000-0000000C0000}"/>
    <cellStyle name="Normal 10 2 10 2 17 4 4" xfId="3073" xr:uid="{00000000-0005-0000-0000-0000010C0000}"/>
    <cellStyle name="Normal 10 2 10 2 17 4 5" xfId="3074" xr:uid="{00000000-0005-0000-0000-0000020C0000}"/>
    <cellStyle name="Normal 10 2 10 2 17 4 6" xfId="3075" xr:uid="{00000000-0005-0000-0000-0000030C0000}"/>
    <cellStyle name="Normal 10 2 10 2 17 4 7" xfId="3076" xr:uid="{00000000-0005-0000-0000-0000040C0000}"/>
    <cellStyle name="Normal 10 2 10 2 17 4 8" xfId="3077" xr:uid="{00000000-0005-0000-0000-0000050C0000}"/>
    <cellStyle name="Normal 10 2 10 2 17 4 9" xfId="3078" xr:uid="{00000000-0005-0000-0000-0000060C0000}"/>
    <cellStyle name="Normal 10 2 10 2 17 5" xfId="3079" xr:uid="{00000000-0005-0000-0000-0000070C0000}"/>
    <cellStyle name="Normal 10 2 10 2 17 5 10" xfId="3080" xr:uid="{00000000-0005-0000-0000-0000080C0000}"/>
    <cellStyle name="Normal 10 2 10 2 17 5 2" xfId="3081" xr:uid="{00000000-0005-0000-0000-0000090C0000}"/>
    <cellStyle name="Normal 10 2 10 2 17 5 3" xfId="3082" xr:uid="{00000000-0005-0000-0000-00000A0C0000}"/>
    <cellStyle name="Normal 10 2 10 2 17 5 4" xfId="3083" xr:uid="{00000000-0005-0000-0000-00000B0C0000}"/>
    <cellStyle name="Normal 10 2 10 2 17 5 5" xfId="3084" xr:uid="{00000000-0005-0000-0000-00000C0C0000}"/>
    <cellStyle name="Normal 10 2 10 2 17 5 6" xfId="3085" xr:uid="{00000000-0005-0000-0000-00000D0C0000}"/>
    <cellStyle name="Normal 10 2 10 2 17 5 7" xfId="3086" xr:uid="{00000000-0005-0000-0000-00000E0C0000}"/>
    <cellStyle name="Normal 10 2 10 2 17 5 8" xfId="3087" xr:uid="{00000000-0005-0000-0000-00000F0C0000}"/>
    <cellStyle name="Normal 10 2 10 2 17 5 9" xfId="3088" xr:uid="{00000000-0005-0000-0000-0000100C0000}"/>
    <cellStyle name="Normal 10 2 10 2 17 6" xfId="3089" xr:uid="{00000000-0005-0000-0000-0000110C0000}"/>
    <cellStyle name="Normal 10 2 10 2 17 7" xfId="3090" xr:uid="{00000000-0005-0000-0000-0000120C0000}"/>
    <cellStyle name="Normal 10 2 10 2 17 8" xfId="3091" xr:uid="{00000000-0005-0000-0000-0000130C0000}"/>
    <cellStyle name="Normal 10 2 10 2 17 9" xfId="3092" xr:uid="{00000000-0005-0000-0000-0000140C0000}"/>
    <cellStyle name="Normal 10 2 10 2 18" xfId="3093" xr:uid="{00000000-0005-0000-0000-0000150C0000}"/>
    <cellStyle name="Normal 10 2 10 2 18 10" xfId="3094" xr:uid="{00000000-0005-0000-0000-0000160C0000}"/>
    <cellStyle name="Normal 10 2 10 2 18 11" xfId="3095" xr:uid="{00000000-0005-0000-0000-0000170C0000}"/>
    <cellStyle name="Normal 10 2 10 2 18 12" xfId="3096" xr:uid="{00000000-0005-0000-0000-0000180C0000}"/>
    <cellStyle name="Normal 10 2 10 2 18 13" xfId="3097" xr:uid="{00000000-0005-0000-0000-0000190C0000}"/>
    <cellStyle name="Normal 10 2 10 2 18 14" xfId="3098" xr:uid="{00000000-0005-0000-0000-00001A0C0000}"/>
    <cellStyle name="Normal 10 2 10 2 18 2" xfId="3099" xr:uid="{00000000-0005-0000-0000-00001B0C0000}"/>
    <cellStyle name="Normal 10 2 10 2 18 2 10" xfId="3100" xr:uid="{00000000-0005-0000-0000-00001C0C0000}"/>
    <cellStyle name="Normal 10 2 10 2 18 2 2" xfId="3101" xr:uid="{00000000-0005-0000-0000-00001D0C0000}"/>
    <cellStyle name="Normal 10 2 10 2 18 2 3" xfId="3102" xr:uid="{00000000-0005-0000-0000-00001E0C0000}"/>
    <cellStyle name="Normal 10 2 10 2 18 2 4" xfId="3103" xr:uid="{00000000-0005-0000-0000-00001F0C0000}"/>
    <cellStyle name="Normal 10 2 10 2 18 2 5" xfId="3104" xr:uid="{00000000-0005-0000-0000-0000200C0000}"/>
    <cellStyle name="Normal 10 2 10 2 18 2 6" xfId="3105" xr:uid="{00000000-0005-0000-0000-0000210C0000}"/>
    <cellStyle name="Normal 10 2 10 2 18 2 7" xfId="3106" xr:uid="{00000000-0005-0000-0000-0000220C0000}"/>
    <cellStyle name="Normal 10 2 10 2 18 2 8" xfId="3107" xr:uid="{00000000-0005-0000-0000-0000230C0000}"/>
    <cellStyle name="Normal 10 2 10 2 18 2 9" xfId="3108" xr:uid="{00000000-0005-0000-0000-0000240C0000}"/>
    <cellStyle name="Normal 10 2 10 2 18 3" xfId="3109" xr:uid="{00000000-0005-0000-0000-0000250C0000}"/>
    <cellStyle name="Normal 10 2 10 2 18 3 10" xfId="3110" xr:uid="{00000000-0005-0000-0000-0000260C0000}"/>
    <cellStyle name="Normal 10 2 10 2 18 3 2" xfId="3111" xr:uid="{00000000-0005-0000-0000-0000270C0000}"/>
    <cellStyle name="Normal 10 2 10 2 18 3 3" xfId="3112" xr:uid="{00000000-0005-0000-0000-0000280C0000}"/>
    <cellStyle name="Normal 10 2 10 2 18 3 4" xfId="3113" xr:uid="{00000000-0005-0000-0000-0000290C0000}"/>
    <cellStyle name="Normal 10 2 10 2 18 3 5" xfId="3114" xr:uid="{00000000-0005-0000-0000-00002A0C0000}"/>
    <cellStyle name="Normal 10 2 10 2 18 3 6" xfId="3115" xr:uid="{00000000-0005-0000-0000-00002B0C0000}"/>
    <cellStyle name="Normal 10 2 10 2 18 3 7" xfId="3116" xr:uid="{00000000-0005-0000-0000-00002C0C0000}"/>
    <cellStyle name="Normal 10 2 10 2 18 3 8" xfId="3117" xr:uid="{00000000-0005-0000-0000-00002D0C0000}"/>
    <cellStyle name="Normal 10 2 10 2 18 3 9" xfId="3118" xr:uid="{00000000-0005-0000-0000-00002E0C0000}"/>
    <cellStyle name="Normal 10 2 10 2 18 4" xfId="3119" xr:uid="{00000000-0005-0000-0000-00002F0C0000}"/>
    <cellStyle name="Normal 10 2 10 2 18 4 10" xfId="3120" xr:uid="{00000000-0005-0000-0000-0000300C0000}"/>
    <cellStyle name="Normal 10 2 10 2 18 4 2" xfId="3121" xr:uid="{00000000-0005-0000-0000-0000310C0000}"/>
    <cellStyle name="Normal 10 2 10 2 18 4 3" xfId="3122" xr:uid="{00000000-0005-0000-0000-0000320C0000}"/>
    <cellStyle name="Normal 10 2 10 2 18 4 4" xfId="3123" xr:uid="{00000000-0005-0000-0000-0000330C0000}"/>
    <cellStyle name="Normal 10 2 10 2 18 4 5" xfId="3124" xr:uid="{00000000-0005-0000-0000-0000340C0000}"/>
    <cellStyle name="Normal 10 2 10 2 18 4 6" xfId="3125" xr:uid="{00000000-0005-0000-0000-0000350C0000}"/>
    <cellStyle name="Normal 10 2 10 2 18 4 7" xfId="3126" xr:uid="{00000000-0005-0000-0000-0000360C0000}"/>
    <cellStyle name="Normal 10 2 10 2 18 4 8" xfId="3127" xr:uid="{00000000-0005-0000-0000-0000370C0000}"/>
    <cellStyle name="Normal 10 2 10 2 18 4 9" xfId="3128" xr:uid="{00000000-0005-0000-0000-0000380C0000}"/>
    <cellStyle name="Normal 10 2 10 2 18 5" xfId="3129" xr:uid="{00000000-0005-0000-0000-0000390C0000}"/>
    <cellStyle name="Normal 10 2 10 2 18 5 10" xfId="3130" xr:uid="{00000000-0005-0000-0000-00003A0C0000}"/>
    <cellStyle name="Normal 10 2 10 2 18 5 2" xfId="3131" xr:uid="{00000000-0005-0000-0000-00003B0C0000}"/>
    <cellStyle name="Normal 10 2 10 2 18 5 3" xfId="3132" xr:uid="{00000000-0005-0000-0000-00003C0C0000}"/>
    <cellStyle name="Normal 10 2 10 2 18 5 4" xfId="3133" xr:uid="{00000000-0005-0000-0000-00003D0C0000}"/>
    <cellStyle name="Normal 10 2 10 2 18 5 5" xfId="3134" xr:uid="{00000000-0005-0000-0000-00003E0C0000}"/>
    <cellStyle name="Normal 10 2 10 2 18 5 6" xfId="3135" xr:uid="{00000000-0005-0000-0000-00003F0C0000}"/>
    <cellStyle name="Normal 10 2 10 2 18 5 7" xfId="3136" xr:uid="{00000000-0005-0000-0000-0000400C0000}"/>
    <cellStyle name="Normal 10 2 10 2 18 5 8" xfId="3137" xr:uid="{00000000-0005-0000-0000-0000410C0000}"/>
    <cellStyle name="Normal 10 2 10 2 18 5 9" xfId="3138" xr:uid="{00000000-0005-0000-0000-0000420C0000}"/>
    <cellStyle name="Normal 10 2 10 2 18 6" xfId="3139" xr:uid="{00000000-0005-0000-0000-0000430C0000}"/>
    <cellStyle name="Normal 10 2 10 2 18 7" xfId="3140" xr:uid="{00000000-0005-0000-0000-0000440C0000}"/>
    <cellStyle name="Normal 10 2 10 2 18 8" xfId="3141" xr:uid="{00000000-0005-0000-0000-0000450C0000}"/>
    <cellStyle name="Normal 10 2 10 2 18 9" xfId="3142" xr:uid="{00000000-0005-0000-0000-0000460C0000}"/>
    <cellStyle name="Normal 10 2 10 2 19" xfId="3143" xr:uid="{00000000-0005-0000-0000-0000470C0000}"/>
    <cellStyle name="Normal 10 2 10 2 19 10" xfId="3144" xr:uid="{00000000-0005-0000-0000-0000480C0000}"/>
    <cellStyle name="Normal 10 2 10 2 19 11" xfId="3145" xr:uid="{00000000-0005-0000-0000-0000490C0000}"/>
    <cellStyle name="Normal 10 2 10 2 19 12" xfId="3146" xr:uid="{00000000-0005-0000-0000-00004A0C0000}"/>
    <cellStyle name="Normal 10 2 10 2 19 13" xfId="3147" xr:uid="{00000000-0005-0000-0000-00004B0C0000}"/>
    <cellStyle name="Normal 10 2 10 2 19 14" xfId="3148" xr:uid="{00000000-0005-0000-0000-00004C0C0000}"/>
    <cellStyle name="Normal 10 2 10 2 19 2" xfId="3149" xr:uid="{00000000-0005-0000-0000-00004D0C0000}"/>
    <cellStyle name="Normal 10 2 10 2 19 2 10" xfId="3150" xr:uid="{00000000-0005-0000-0000-00004E0C0000}"/>
    <cellStyle name="Normal 10 2 10 2 19 2 2" xfId="3151" xr:uid="{00000000-0005-0000-0000-00004F0C0000}"/>
    <cellStyle name="Normal 10 2 10 2 19 2 3" xfId="3152" xr:uid="{00000000-0005-0000-0000-0000500C0000}"/>
    <cellStyle name="Normal 10 2 10 2 19 2 4" xfId="3153" xr:uid="{00000000-0005-0000-0000-0000510C0000}"/>
    <cellStyle name="Normal 10 2 10 2 19 2 5" xfId="3154" xr:uid="{00000000-0005-0000-0000-0000520C0000}"/>
    <cellStyle name="Normal 10 2 10 2 19 2 6" xfId="3155" xr:uid="{00000000-0005-0000-0000-0000530C0000}"/>
    <cellStyle name="Normal 10 2 10 2 19 2 7" xfId="3156" xr:uid="{00000000-0005-0000-0000-0000540C0000}"/>
    <cellStyle name="Normal 10 2 10 2 19 2 8" xfId="3157" xr:uid="{00000000-0005-0000-0000-0000550C0000}"/>
    <cellStyle name="Normal 10 2 10 2 19 2 9" xfId="3158" xr:uid="{00000000-0005-0000-0000-0000560C0000}"/>
    <cellStyle name="Normal 10 2 10 2 19 3" xfId="3159" xr:uid="{00000000-0005-0000-0000-0000570C0000}"/>
    <cellStyle name="Normal 10 2 10 2 19 3 10" xfId="3160" xr:uid="{00000000-0005-0000-0000-0000580C0000}"/>
    <cellStyle name="Normal 10 2 10 2 19 3 2" xfId="3161" xr:uid="{00000000-0005-0000-0000-0000590C0000}"/>
    <cellStyle name="Normal 10 2 10 2 19 3 3" xfId="3162" xr:uid="{00000000-0005-0000-0000-00005A0C0000}"/>
    <cellStyle name="Normal 10 2 10 2 19 3 4" xfId="3163" xr:uid="{00000000-0005-0000-0000-00005B0C0000}"/>
    <cellStyle name="Normal 10 2 10 2 19 3 5" xfId="3164" xr:uid="{00000000-0005-0000-0000-00005C0C0000}"/>
    <cellStyle name="Normal 10 2 10 2 19 3 6" xfId="3165" xr:uid="{00000000-0005-0000-0000-00005D0C0000}"/>
    <cellStyle name="Normal 10 2 10 2 19 3 7" xfId="3166" xr:uid="{00000000-0005-0000-0000-00005E0C0000}"/>
    <cellStyle name="Normal 10 2 10 2 19 3 8" xfId="3167" xr:uid="{00000000-0005-0000-0000-00005F0C0000}"/>
    <cellStyle name="Normal 10 2 10 2 19 3 9" xfId="3168" xr:uid="{00000000-0005-0000-0000-0000600C0000}"/>
    <cellStyle name="Normal 10 2 10 2 19 4" xfId="3169" xr:uid="{00000000-0005-0000-0000-0000610C0000}"/>
    <cellStyle name="Normal 10 2 10 2 19 4 10" xfId="3170" xr:uid="{00000000-0005-0000-0000-0000620C0000}"/>
    <cellStyle name="Normal 10 2 10 2 19 4 2" xfId="3171" xr:uid="{00000000-0005-0000-0000-0000630C0000}"/>
    <cellStyle name="Normal 10 2 10 2 19 4 3" xfId="3172" xr:uid="{00000000-0005-0000-0000-0000640C0000}"/>
    <cellStyle name="Normal 10 2 10 2 19 4 4" xfId="3173" xr:uid="{00000000-0005-0000-0000-0000650C0000}"/>
    <cellStyle name="Normal 10 2 10 2 19 4 5" xfId="3174" xr:uid="{00000000-0005-0000-0000-0000660C0000}"/>
    <cellStyle name="Normal 10 2 10 2 19 4 6" xfId="3175" xr:uid="{00000000-0005-0000-0000-0000670C0000}"/>
    <cellStyle name="Normal 10 2 10 2 19 4 7" xfId="3176" xr:uid="{00000000-0005-0000-0000-0000680C0000}"/>
    <cellStyle name="Normal 10 2 10 2 19 4 8" xfId="3177" xr:uid="{00000000-0005-0000-0000-0000690C0000}"/>
    <cellStyle name="Normal 10 2 10 2 19 4 9" xfId="3178" xr:uid="{00000000-0005-0000-0000-00006A0C0000}"/>
    <cellStyle name="Normal 10 2 10 2 19 5" xfId="3179" xr:uid="{00000000-0005-0000-0000-00006B0C0000}"/>
    <cellStyle name="Normal 10 2 10 2 19 5 10" xfId="3180" xr:uid="{00000000-0005-0000-0000-00006C0C0000}"/>
    <cellStyle name="Normal 10 2 10 2 19 5 2" xfId="3181" xr:uid="{00000000-0005-0000-0000-00006D0C0000}"/>
    <cellStyle name="Normal 10 2 10 2 19 5 3" xfId="3182" xr:uid="{00000000-0005-0000-0000-00006E0C0000}"/>
    <cellStyle name="Normal 10 2 10 2 19 5 4" xfId="3183" xr:uid="{00000000-0005-0000-0000-00006F0C0000}"/>
    <cellStyle name="Normal 10 2 10 2 19 5 5" xfId="3184" xr:uid="{00000000-0005-0000-0000-0000700C0000}"/>
    <cellStyle name="Normal 10 2 10 2 19 5 6" xfId="3185" xr:uid="{00000000-0005-0000-0000-0000710C0000}"/>
    <cellStyle name="Normal 10 2 10 2 19 5 7" xfId="3186" xr:uid="{00000000-0005-0000-0000-0000720C0000}"/>
    <cellStyle name="Normal 10 2 10 2 19 5 8" xfId="3187" xr:uid="{00000000-0005-0000-0000-0000730C0000}"/>
    <cellStyle name="Normal 10 2 10 2 19 5 9" xfId="3188" xr:uid="{00000000-0005-0000-0000-0000740C0000}"/>
    <cellStyle name="Normal 10 2 10 2 19 6" xfId="3189" xr:uid="{00000000-0005-0000-0000-0000750C0000}"/>
    <cellStyle name="Normal 10 2 10 2 19 7" xfId="3190" xr:uid="{00000000-0005-0000-0000-0000760C0000}"/>
    <cellStyle name="Normal 10 2 10 2 19 8" xfId="3191" xr:uid="{00000000-0005-0000-0000-0000770C0000}"/>
    <cellStyle name="Normal 10 2 10 2 19 9" xfId="3192" xr:uid="{00000000-0005-0000-0000-0000780C0000}"/>
    <cellStyle name="Normal 10 2 10 2 2" xfId="3193" xr:uid="{00000000-0005-0000-0000-0000790C0000}"/>
    <cellStyle name="Normal 10 2 10 2 2 10" xfId="3194" xr:uid="{00000000-0005-0000-0000-00007A0C0000}"/>
    <cellStyle name="Normal 10 2 10 2 2 11" xfId="3195" xr:uid="{00000000-0005-0000-0000-00007B0C0000}"/>
    <cellStyle name="Normal 10 2 10 2 2 12" xfId="3196" xr:uid="{00000000-0005-0000-0000-00007C0C0000}"/>
    <cellStyle name="Normal 10 2 10 2 2 13" xfId="3197" xr:uid="{00000000-0005-0000-0000-00007D0C0000}"/>
    <cellStyle name="Normal 10 2 10 2 2 14" xfId="3198" xr:uid="{00000000-0005-0000-0000-00007E0C0000}"/>
    <cellStyle name="Normal 10 2 10 2 2 2" xfId="3199" xr:uid="{00000000-0005-0000-0000-00007F0C0000}"/>
    <cellStyle name="Normal 10 2 10 2 2 2 10" xfId="3200" xr:uid="{00000000-0005-0000-0000-0000800C0000}"/>
    <cellStyle name="Normal 10 2 10 2 2 2 2" xfId="3201" xr:uid="{00000000-0005-0000-0000-0000810C0000}"/>
    <cellStyle name="Normal 10 2 10 2 2 2 3" xfId="3202" xr:uid="{00000000-0005-0000-0000-0000820C0000}"/>
    <cellStyle name="Normal 10 2 10 2 2 2 4" xfId="3203" xr:uid="{00000000-0005-0000-0000-0000830C0000}"/>
    <cellStyle name="Normal 10 2 10 2 2 2 5" xfId="3204" xr:uid="{00000000-0005-0000-0000-0000840C0000}"/>
    <cellStyle name="Normal 10 2 10 2 2 2 6" xfId="3205" xr:uid="{00000000-0005-0000-0000-0000850C0000}"/>
    <cellStyle name="Normal 10 2 10 2 2 2 7" xfId="3206" xr:uid="{00000000-0005-0000-0000-0000860C0000}"/>
    <cellStyle name="Normal 10 2 10 2 2 2 8" xfId="3207" xr:uid="{00000000-0005-0000-0000-0000870C0000}"/>
    <cellStyle name="Normal 10 2 10 2 2 2 9" xfId="3208" xr:uid="{00000000-0005-0000-0000-0000880C0000}"/>
    <cellStyle name="Normal 10 2 10 2 2 3" xfId="3209" xr:uid="{00000000-0005-0000-0000-0000890C0000}"/>
    <cellStyle name="Normal 10 2 10 2 2 3 10" xfId="3210" xr:uid="{00000000-0005-0000-0000-00008A0C0000}"/>
    <cellStyle name="Normal 10 2 10 2 2 3 2" xfId="3211" xr:uid="{00000000-0005-0000-0000-00008B0C0000}"/>
    <cellStyle name="Normal 10 2 10 2 2 3 3" xfId="3212" xr:uid="{00000000-0005-0000-0000-00008C0C0000}"/>
    <cellStyle name="Normal 10 2 10 2 2 3 4" xfId="3213" xr:uid="{00000000-0005-0000-0000-00008D0C0000}"/>
    <cellStyle name="Normal 10 2 10 2 2 3 5" xfId="3214" xr:uid="{00000000-0005-0000-0000-00008E0C0000}"/>
    <cellStyle name="Normal 10 2 10 2 2 3 6" xfId="3215" xr:uid="{00000000-0005-0000-0000-00008F0C0000}"/>
    <cellStyle name="Normal 10 2 10 2 2 3 7" xfId="3216" xr:uid="{00000000-0005-0000-0000-0000900C0000}"/>
    <cellStyle name="Normal 10 2 10 2 2 3 8" xfId="3217" xr:uid="{00000000-0005-0000-0000-0000910C0000}"/>
    <cellStyle name="Normal 10 2 10 2 2 3 9" xfId="3218" xr:uid="{00000000-0005-0000-0000-0000920C0000}"/>
    <cellStyle name="Normal 10 2 10 2 2 4" xfId="3219" xr:uid="{00000000-0005-0000-0000-0000930C0000}"/>
    <cellStyle name="Normal 10 2 10 2 2 4 10" xfId="3220" xr:uid="{00000000-0005-0000-0000-0000940C0000}"/>
    <cellStyle name="Normal 10 2 10 2 2 4 2" xfId="3221" xr:uid="{00000000-0005-0000-0000-0000950C0000}"/>
    <cellStyle name="Normal 10 2 10 2 2 4 3" xfId="3222" xr:uid="{00000000-0005-0000-0000-0000960C0000}"/>
    <cellStyle name="Normal 10 2 10 2 2 4 4" xfId="3223" xr:uid="{00000000-0005-0000-0000-0000970C0000}"/>
    <cellStyle name="Normal 10 2 10 2 2 4 5" xfId="3224" xr:uid="{00000000-0005-0000-0000-0000980C0000}"/>
    <cellStyle name="Normal 10 2 10 2 2 4 6" xfId="3225" xr:uid="{00000000-0005-0000-0000-0000990C0000}"/>
    <cellStyle name="Normal 10 2 10 2 2 4 7" xfId="3226" xr:uid="{00000000-0005-0000-0000-00009A0C0000}"/>
    <cellStyle name="Normal 10 2 10 2 2 4 8" xfId="3227" xr:uid="{00000000-0005-0000-0000-00009B0C0000}"/>
    <cellStyle name="Normal 10 2 10 2 2 4 9" xfId="3228" xr:uid="{00000000-0005-0000-0000-00009C0C0000}"/>
    <cellStyle name="Normal 10 2 10 2 2 5" xfId="3229" xr:uid="{00000000-0005-0000-0000-00009D0C0000}"/>
    <cellStyle name="Normal 10 2 10 2 2 5 10" xfId="3230" xr:uid="{00000000-0005-0000-0000-00009E0C0000}"/>
    <cellStyle name="Normal 10 2 10 2 2 5 2" xfId="3231" xr:uid="{00000000-0005-0000-0000-00009F0C0000}"/>
    <cellStyle name="Normal 10 2 10 2 2 5 3" xfId="3232" xr:uid="{00000000-0005-0000-0000-0000A00C0000}"/>
    <cellStyle name="Normal 10 2 10 2 2 5 4" xfId="3233" xr:uid="{00000000-0005-0000-0000-0000A10C0000}"/>
    <cellStyle name="Normal 10 2 10 2 2 5 5" xfId="3234" xr:uid="{00000000-0005-0000-0000-0000A20C0000}"/>
    <cellStyle name="Normal 10 2 10 2 2 5 6" xfId="3235" xr:uid="{00000000-0005-0000-0000-0000A30C0000}"/>
    <cellStyle name="Normal 10 2 10 2 2 5 7" xfId="3236" xr:uid="{00000000-0005-0000-0000-0000A40C0000}"/>
    <cellStyle name="Normal 10 2 10 2 2 5 8" xfId="3237" xr:uid="{00000000-0005-0000-0000-0000A50C0000}"/>
    <cellStyle name="Normal 10 2 10 2 2 5 9" xfId="3238" xr:uid="{00000000-0005-0000-0000-0000A60C0000}"/>
    <cellStyle name="Normal 10 2 10 2 2 6" xfId="3239" xr:uid="{00000000-0005-0000-0000-0000A70C0000}"/>
    <cellStyle name="Normal 10 2 10 2 2 7" xfId="3240" xr:uid="{00000000-0005-0000-0000-0000A80C0000}"/>
    <cellStyle name="Normal 10 2 10 2 2 8" xfId="3241" xr:uid="{00000000-0005-0000-0000-0000A90C0000}"/>
    <cellStyle name="Normal 10 2 10 2 2 9" xfId="3242" xr:uid="{00000000-0005-0000-0000-0000AA0C0000}"/>
    <cellStyle name="Normal 10 2 10 2 20" xfId="3243" xr:uid="{00000000-0005-0000-0000-0000AB0C0000}"/>
    <cellStyle name="Normal 10 2 10 2 20 10" xfId="3244" xr:uid="{00000000-0005-0000-0000-0000AC0C0000}"/>
    <cellStyle name="Normal 10 2 10 2 20 11" xfId="3245" xr:uid="{00000000-0005-0000-0000-0000AD0C0000}"/>
    <cellStyle name="Normal 10 2 10 2 20 12" xfId="3246" xr:uid="{00000000-0005-0000-0000-0000AE0C0000}"/>
    <cellStyle name="Normal 10 2 10 2 20 13" xfId="3247" xr:uid="{00000000-0005-0000-0000-0000AF0C0000}"/>
    <cellStyle name="Normal 10 2 10 2 20 14" xfId="3248" xr:uid="{00000000-0005-0000-0000-0000B00C0000}"/>
    <cellStyle name="Normal 10 2 10 2 20 2" xfId="3249" xr:uid="{00000000-0005-0000-0000-0000B10C0000}"/>
    <cellStyle name="Normal 10 2 10 2 20 2 10" xfId="3250" xr:uid="{00000000-0005-0000-0000-0000B20C0000}"/>
    <cellStyle name="Normal 10 2 10 2 20 2 2" xfId="3251" xr:uid="{00000000-0005-0000-0000-0000B30C0000}"/>
    <cellStyle name="Normal 10 2 10 2 20 2 3" xfId="3252" xr:uid="{00000000-0005-0000-0000-0000B40C0000}"/>
    <cellStyle name="Normal 10 2 10 2 20 2 4" xfId="3253" xr:uid="{00000000-0005-0000-0000-0000B50C0000}"/>
    <cellStyle name="Normal 10 2 10 2 20 2 5" xfId="3254" xr:uid="{00000000-0005-0000-0000-0000B60C0000}"/>
    <cellStyle name="Normal 10 2 10 2 20 2 6" xfId="3255" xr:uid="{00000000-0005-0000-0000-0000B70C0000}"/>
    <cellStyle name="Normal 10 2 10 2 20 2 7" xfId="3256" xr:uid="{00000000-0005-0000-0000-0000B80C0000}"/>
    <cellStyle name="Normal 10 2 10 2 20 2 8" xfId="3257" xr:uid="{00000000-0005-0000-0000-0000B90C0000}"/>
    <cellStyle name="Normal 10 2 10 2 20 2 9" xfId="3258" xr:uid="{00000000-0005-0000-0000-0000BA0C0000}"/>
    <cellStyle name="Normal 10 2 10 2 20 3" xfId="3259" xr:uid="{00000000-0005-0000-0000-0000BB0C0000}"/>
    <cellStyle name="Normal 10 2 10 2 20 3 10" xfId="3260" xr:uid="{00000000-0005-0000-0000-0000BC0C0000}"/>
    <cellStyle name="Normal 10 2 10 2 20 3 2" xfId="3261" xr:uid="{00000000-0005-0000-0000-0000BD0C0000}"/>
    <cellStyle name="Normal 10 2 10 2 20 3 3" xfId="3262" xr:uid="{00000000-0005-0000-0000-0000BE0C0000}"/>
    <cellStyle name="Normal 10 2 10 2 20 3 4" xfId="3263" xr:uid="{00000000-0005-0000-0000-0000BF0C0000}"/>
    <cellStyle name="Normal 10 2 10 2 20 3 5" xfId="3264" xr:uid="{00000000-0005-0000-0000-0000C00C0000}"/>
    <cellStyle name="Normal 10 2 10 2 20 3 6" xfId="3265" xr:uid="{00000000-0005-0000-0000-0000C10C0000}"/>
    <cellStyle name="Normal 10 2 10 2 20 3 7" xfId="3266" xr:uid="{00000000-0005-0000-0000-0000C20C0000}"/>
    <cellStyle name="Normal 10 2 10 2 20 3 8" xfId="3267" xr:uid="{00000000-0005-0000-0000-0000C30C0000}"/>
    <cellStyle name="Normal 10 2 10 2 20 3 9" xfId="3268" xr:uid="{00000000-0005-0000-0000-0000C40C0000}"/>
    <cellStyle name="Normal 10 2 10 2 20 4" xfId="3269" xr:uid="{00000000-0005-0000-0000-0000C50C0000}"/>
    <cellStyle name="Normal 10 2 10 2 20 4 10" xfId="3270" xr:uid="{00000000-0005-0000-0000-0000C60C0000}"/>
    <cellStyle name="Normal 10 2 10 2 20 4 2" xfId="3271" xr:uid="{00000000-0005-0000-0000-0000C70C0000}"/>
    <cellStyle name="Normal 10 2 10 2 20 4 3" xfId="3272" xr:uid="{00000000-0005-0000-0000-0000C80C0000}"/>
    <cellStyle name="Normal 10 2 10 2 20 4 4" xfId="3273" xr:uid="{00000000-0005-0000-0000-0000C90C0000}"/>
    <cellStyle name="Normal 10 2 10 2 20 4 5" xfId="3274" xr:uid="{00000000-0005-0000-0000-0000CA0C0000}"/>
    <cellStyle name="Normal 10 2 10 2 20 4 6" xfId="3275" xr:uid="{00000000-0005-0000-0000-0000CB0C0000}"/>
    <cellStyle name="Normal 10 2 10 2 20 4 7" xfId="3276" xr:uid="{00000000-0005-0000-0000-0000CC0C0000}"/>
    <cellStyle name="Normal 10 2 10 2 20 4 8" xfId="3277" xr:uid="{00000000-0005-0000-0000-0000CD0C0000}"/>
    <cellStyle name="Normal 10 2 10 2 20 4 9" xfId="3278" xr:uid="{00000000-0005-0000-0000-0000CE0C0000}"/>
    <cellStyle name="Normal 10 2 10 2 20 5" xfId="3279" xr:uid="{00000000-0005-0000-0000-0000CF0C0000}"/>
    <cellStyle name="Normal 10 2 10 2 20 5 10" xfId="3280" xr:uid="{00000000-0005-0000-0000-0000D00C0000}"/>
    <cellStyle name="Normal 10 2 10 2 20 5 2" xfId="3281" xr:uid="{00000000-0005-0000-0000-0000D10C0000}"/>
    <cellStyle name="Normal 10 2 10 2 20 5 3" xfId="3282" xr:uid="{00000000-0005-0000-0000-0000D20C0000}"/>
    <cellStyle name="Normal 10 2 10 2 20 5 4" xfId="3283" xr:uid="{00000000-0005-0000-0000-0000D30C0000}"/>
    <cellStyle name="Normal 10 2 10 2 20 5 5" xfId="3284" xr:uid="{00000000-0005-0000-0000-0000D40C0000}"/>
    <cellStyle name="Normal 10 2 10 2 20 5 6" xfId="3285" xr:uid="{00000000-0005-0000-0000-0000D50C0000}"/>
    <cellStyle name="Normal 10 2 10 2 20 5 7" xfId="3286" xr:uid="{00000000-0005-0000-0000-0000D60C0000}"/>
    <cellStyle name="Normal 10 2 10 2 20 5 8" xfId="3287" xr:uid="{00000000-0005-0000-0000-0000D70C0000}"/>
    <cellStyle name="Normal 10 2 10 2 20 5 9" xfId="3288" xr:uid="{00000000-0005-0000-0000-0000D80C0000}"/>
    <cellStyle name="Normal 10 2 10 2 20 6" xfId="3289" xr:uid="{00000000-0005-0000-0000-0000D90C0000}"/>
    <cellStyle name="Normal 10 2 10 2 20 7" xfId="3290" xr:uid="{00000000-0005-0000-0000-0000DA0C0000}"/>
    <cellStyle name="Normal 10 2 10 2 20 8" xfId="3291" xr:uid="{00000000-0005-0000-0000-0000DB0C0000}"/>
    <cellStyle name="Normal 10 2 10 2 20 9" xfId="3292" xr:uid="{00000000-0005-0000-0000-0000DC0C0000}"/>
    <cellStyle name="Normal 10 2 10 2 21" xfId="3293" xr:uid="{00000000-0005-0000-0000-0000DD0C0000}"/>
    <cellStyle name="Normal 10 2 10 2 21 10" xfId="3294" xr:uid="{00000000-0005-0000-0000-0000DE0C0000}"/>
    <cellStyle name="Normal 10 2 10 2 21 11" xfId="3295" xr:uid="{00000000-0005-0000-0000-0000DF0C0000}"/>
    <cellStyle name="Normal 10 2 10 2 21 12" xfId="3296" xr:uid="{00000000-0005-0000-0000-0000E00C0000}"/>
    <cellStyle name="Normal 10 2 10 2 21 13" xfId="3297" xr:uid="{00000000-0005-0000-0000-0000E10C0000}"/>
    <cellStyle name="Normal 10 2 10 2 21 14" xfId="3298" xr:uid="{00000000-0005-0000-0000-0000E20C0000}"/>
    <cellStyle name="Normal 10 2 10 2 21 2" xfId="3299" xr:uid="{00000000-0005-0000-0000-0000E30C0000}"/>
    <cellStyle name="Normal 10 2 10 2 21 2 10" xfId="3300" xr:uid="{00000000-0005-0000-0000-0000E40C0000}"/>
    <cellStyle name="Normal 10 2 10 2 21 2 2" xfId="3301" xr:uid="{00000000-0005-0000-0000-0000E50C0000}"/>
    <cellStyle name="Normal 10 2 10 2 21 2 3" xfId="3302" xr:uid="{00000000-0005-0000-0000-0000E60C0000}"/>
    <cellStyle name="Normal 10 2 10 2 21 2 4" xfId="3303" xr:uid="{00000000-0005-0000-0000-0000E70C0000}"/>
    <cellStyle name="Normal 10 2 10 2 21 2 5" xfId="3304" xr:uid="{00000000-0005-0000-0000-0000E80C0000}"/>
    <cellStyle name="Normal 10 2 10 2 21 2 6" xfId="3305" xr:uid="{00000000-0005-0000-0000-0000E90C0000}"/>
    <cellStyle name="Normal 10 2 10 2 21 2 7" xfId="3306" xr:uid="{00000000-0005-0000-0000-0000EA0C0000}"/>
    <cellStyle name="Normal 10 2 10 2 21 2 8" xfId="3307" xr:uid="{00000000-0005-0000-0000-0000EB0C0000}"/>
    <cellStyle name="Normal 10 2 10 2 21 2 9" xfId="3308" xr:uid="{00000000-0005-0000-0000-0000EC0C0000}"/>
    <cellStyle name="Normal 10 2 10 2 21 3" xfId="3309" xr:uid="{00000000-0005-0000-0000-0000ED0C0000}"/>
    <cellStyle name="Normal 10 2 10 2 21 3 10" xfId="3310" xr:uid="{00000000-0005-0000-0000-0000EE0C0000}"/>
    <cellStyle name="Normal 10 2 10 2 21 3 2" xfId="3311" xr:uid="{00000000-0005-0000-0000-0000EF0C0000}"/>
    <cellStyle name="Normal 10 2 10 2 21 3 3" xfId="3312" xr:uid="{00000000-0005-0000-0000-0000F00C0000}"/>
    <cellStyle name="Normal 10 2 10 2 21 3 4" xfId="3313" xr:uid="{00000000-0005-0000-0000-0000F10C0000}"/>
    <cellStyle name="Normal 10 2 10 2 21 3 5" xfId="3314" xr:uid="{00000000-0005-0000-0000-0000F20C0000}"/>
    <cellStyle name="Normal 10 2 10 2 21 3 6" xfId="3315" xr:uid="{00000000-0005-0000-0000-0000F30C0000}"/>
    <cellStyle name="Normal 10 2 10 2 21 3 7" xfId="3316" xr:uid="{00000000-0005-0000-0000-0000F40C0000}"/>
    <cellStyle name="Normal 10 2 10 2 21 3 8" xfId="3317" xr:uid="{00000000-0005-0000-0000-0000F50C0000}"/>
    <cellStyle name="Normal 10 2 10 2 21 3 9" xfId="3318" xr:uid="{00000000-0005-0000-0000-0000F60C0000}"/>
    <cellStyle name="Normal 10 2 10 2 21 4" xfId="3319" xr:uid="{00000000-0005-0000-0000-0000F70C0000}"/>
    <cellStyle name="Normal 10 2 10 2 21 4 10" xfId="3320" xr:uid="{00000000-0005-0000-0000-0000F80C0000}"/>
    <cellStyle name="Normal 10 2 10 2 21 4 2" xfId="3321" xr:uid="{00000000-0005-0000-0000-0000F90C0000}"/>
    <cellStyle name="Normal 10 2 10 2 21 4 3" xfId="3322" xr:uid="{00000000-0005-0000-0000-0000FA0C0000}"/>
    <cellStyle name="Normal 10 2 10 2 21 4 4" xfId="3323" xr:uid="{00000000-0005-0000-0000-0000FB0C0000}"/>
    <cellStyle name="Normal 10 2 10 2 21 4 5" xfId="3324" xr:uid="{00000000-0005-0000-0000-0000FC0C0000}"/>
    <cellStyle name="Normal 10 2 10 2 21 4 6" xfId="3325" xr:uid="{00000000-0005-0000-0000-0000FD0C0000}"/>
    <cellStyle name="Normal 10 2 10 2 21 4 7" xfId="3326" xr:uid="{00000000-0005-0000-0000-0000FE0C0000}"/>
    <cellStyle name="Normal 10 2 10 2 21 4 8" xfId="3327" xr:uid="{00000000-0005-0000-0000-0000FF0C0000}"/>
    <cellStyle name="Normal 10 2 10 2 21 4 9" xfId="3328" xr:uid="{00000000-0005-0000-0000-0000000D0000}"/>
    <cellStyle name="Normal 10 2 10 2 21 5" xfId="3329" xr:uid="{00000000-0005-0000-0000-0000010D0000}"/>
    <cellStyle name="Normal 10 2 10 2 21 5 10" xfId="3330" xr:uid="{00000000-0005-0000-0000-0000020D0000}"/>
    <cellStyle name="Normal 10 2 10 2 21 5 2" xfId="3331" xr:uid="{00000000-0005-0000-0000-0000030D0000}"/>
    <cellStyle name="Normal 10 2 10 2 21 5 3" xfId="3332" xr:uid="{00000000-0005-0000-0000-0000040D0000}"/>
    <cellStyle name="Normal 10 2 10 2 21 5 4" xfId="3333" xr:uid="{00000000-0005-0000-0000-0000050D0000}"/>
    <cellStyle name="Normal 10 2 10 2 21 5 5" xfId="3334" xr:uid="{00000000-0005-0000-0000-0000060D0000}"/>
    <cellStyle name="Normal 10 2 10 2 21 5 6" xfId="3335" xr:uid="{00000000-0005-0000-0000-0000070D0000}"/>
    <cellStyle name="Normal 10 2 10 2 21 5 7" xfId="3336" xr:uid="{00000000-0005-0000-0000-0000080D0000}"/>
    <cellStyle name="Normal 10 2 10 2 21 5 8" xfId="3337" xr:uid="{00000000-0005-0000-0000-0000090D0000}"/>
    <cellStyle name="Normal 10 2 10 2 21 5 9" xfId="3338" xr:uid="{00000000-0005-0000-0000-00000A0D0000}"/>
    <cellStyle name="Normal 10 2 10 2 21 6" xfId="3339" xr:uid="{00000000-0005-0000-0000-00000B0D0000}"/>
    <cellStyle name="Normal 10 2 10 2 21 7" xfId="3340" xr:uid="{00000000-0005-0000-0000-00000C0D0000}"/>
    <cellStyle name="Normal 10 2 10 2 21 8" xfId="3341" xr:uid="{00000000-0005-0000-0000-00000D0D0000}"/>
    <cellStyle name="Normal 10 2 10 2 21 9" xfId="3342" xr:uid="{00000000-0005-0000-0000-00000E0D0000}"/>
    <cellStyle name="Normal 10 2 10 2 22" xfId="3343" xr:uid="{00000000-0005-0000-0000-00000F0D0000}"/>
    <cellStyle name="Normal 10 2 10 2 22 10" xfId="3344" xr:uid="{00000000-0005-0000-0000-0000100D0000}"/>
    <cellStyle name="Normal 10 2 10 2 22 11" xfId="3345" xr:uid="{00000000-0005-0000-0000-0000110D0000}"/>
    <cellStyle name="Normal 10 2 10 2 22 12" xfId="3346" xr:uid="{00000000-0005-0000-0000-0000120D0000}"/>
    <cellStyle name="Normal 10 2 10 2 22 13" xfId="3347" xr:uid="{00000000-0005-0000-0000-0000130D0000}"/>
    <cellStyle name="Normal 10 2 10 2 22 14" xfId="3348" xr:uid="{00000000-0005-0000-0000-0000140D0000}"/>
    <cellStyle name="Normal 10 2 10 2 22 2" xfId="3349" xr:uid="{00000000-0005-0000-0000-0000150D0000}"/>
    <cellStyle name="Normal 10 2 10 2 22 2 10" xfId="3350" xr:uid="{00000000-0005-0000-0000-0000160D0000}"/>
    <cellStyle name="Normal 10 2 10 2 22 2 2" xfId="3351" xr:uid="{00000000-0005-0000-0000-0000170D0000}"/>
    <cellStyle name="Normal 10 2 10 2 22 2 3" xfId="3352" xr:uid="{00000000-0005-0000-0000-0000180D0000}"/>
    <cellStyle name="Normal 10 2 10 2 22 2 4" xfId="3353" xr:uid="{00000000-0005-0000-0000-0000190D0000}"/>
    <cellStyle name="Normal 10 2 10 2 22 2 5" xfId="3354" xr:uid="{00000000-0005-0000-0000-00001A0D0000}"/>
    <cellStyle name="Normal 10 2 10 2 22 2 6" xfId="3355" xr:uid="{00000000-0005-0000-0000-00001B0D0000}"/>
    <cellStyle name="Normal 10 2 10 2 22 2 7" xfId="3356" xr:uid="{00000000-0005-0000-0000-00001C0D0000}"/>
    <cellStyle name="Normal 10 2 10 2 22 2 8" xfId="3357" xr:uid="{00000000-0005-0000-0000-00001D0D0000}"/>
    <cellStyle name="Normal 10 2 10 2 22 2 9" xfId="3358" xr:uid="{00000000-0005-0000-0000-00001E0D0000}"/>
    <cellStyle name="Normal 10 2 10 2 22 3" xfId="3359" xr:uid="{00000000-0005-0000-0000-00001F0D0000}"/>
    <cellStyle name="Normal 10 2 10 2 22 3 10" xfId="3360" xr:uid="{00000000-0005-0000-0000-0000200D0000}"/>
    <cellStyle name="Normal 10 2 10 2 22 3 2" xfId="3361" xr:uid="{00000000-0005-0000-0000-0000210D0000}"/>
    <cellStyle name="Normal 10 2 10 2 22 3 3" xfId="3362" xr:uid="{00000000-0005-0000-0000-0000220D0000}"/>
    <cellStyle name="Normal 10 2 10 2 22 3 4" xfId="3363" xr:uid="{00000000-0005-0000-0000-0000230D0000}"/>
    <cellStyle name="Normal 10 2 10 2 22 3 5" xfId="3364" xr:uid="{00000000-0005-0000-0000-0000240D0000}"/>
    <cellStyle name="Normal 10 2 10 2 22 3 6" xfId="3365" xr:uid="{00000000-0005-0000-0000-0000250D0000}"/>
    <cellStyle name="Normal 10 2 10 2 22 3 7" xfId="3366" xr:uid="{00000000-0005-0000-0000-0000260D0000}"/>
    <cellStyle name="Normal 10 2 10 2 22 3 8" xfId="3367" xr:uid="{00000000-0005-0000-0000-0000270D0000}"/>
    <cellStyle name="Normal 10 2 10 2 22 3 9" xfId="3368" xr:uid="{00000000-0005-0000-0000-0000280D0000}"/>
    <cellStyle name="Normal 10 2 10 2 22 4" xfId="3369" xr:uid="{00000000-0005-0000-0000-0000290D0000}"/>
    <cellStyle name="Normal 10 2 10 2 22 4 10" xfId="3370" xr:uid="{00000000-0005-0000-0000-00002A0D0000}"/>
    <cellStyle name="Normal 10 2 10 2 22 4 2" xfId="3371" xr:uid="{00000000-0005-0000-0000-00002B0D0000}"/>
    <cellStyle name="Normal 10 2 10 2 22 4 3" xfId="3372" xr:uid="{00000000-0005-0000-0000-00002C0D0000}"/>
    <cellStyle name="Normal 10 2 10 2 22 4 4" xfId="3373" xr:uid="{00000000-0005-0000-0000-00002D0D0000}"/>
    <cellStyle name="Normal 10 2 10 2 22 4 5" xfId="3374" xr:uid="{00000000-0005-0000-0000-00002E0D0000}"/>
    <cellStyle name="Normal 10 2 10 2 22 4 6" xfId="3375" xr:uid="{00000000-0005-0000-0000-00002F0D0000}"/>
    <cellStyle name="Normal 10 2 10 2 22 4 7" xfId="3376" xr:uid="{00000000-0005-0000-0000-0000300D0000}"/>
    <cellStyle name="Normal 10 2 10 2 22 4 8" xfId="3377" xr:uid="{00000000-0005-0000-0000-0000310D0000}"/>
    <cellStyle name="Normal 10 2 10 2 22 4 9" xfId="3378" xr:uid="{00000000-0005-0000-0000-0000320D0000}"/>
    <cellStyle name="Normal 10 2 10 2 22 5" xfId="3379" xr:uid="{00000000-0005-0000-0000-0000330D0000}"/>
    <cellStyle name="Normal 10 2 10 2 22 5 10" xfId="3380" xr:uid="{00000000-0005-0000-0000-0000340D0000}"/>
    <cellStyle name="Normal 10 2 10 2 22 5 2" xfId="3381" xr:uid="{00000000-0005-0000-0000-0000350D0000}"/>
    <cellStyle name="Normal 10 2 10 2 22 5 3" xfId="3382" xr:uid="{00000000-0005-0000-0000-0000360D0000}"/>
    <cellStyle name="Normal 10 2 10 2 22 5 4" xfId="3383" xr:uid="{00000000-0005-0000-0000-0000370D0000}"/>
    <cellStyle name="Normal 10 2 10 2 22 5 5" xfId="3384" xr:uid="{00000000-0005-0000-0000-0000380D0000}"/>
    <cellStyle name="Normal 10 2 10 2 22 5 6" xfId="3385" xr:uid="{00000000-0005-0000-0000-0000390D0000}"/>
    <cellStyle name="Normal 10 2 10 2 22 5 7" xfId="3386" xr:uid="{00000000-0005-0000-0000-00003A0D0000}"/>
    <cellStyle name="Normal 10 2 10 2 22 5 8" xfId="3387" xr:uid="{00000000-0005-0000-0000-00003B0D0000}"/>
    <cellStyle name="Normal 10 2 10 2 22 5 9" xfId="3388" xr:uid="{00000000-0005-0000-0000-00003C0D0000}"/>
    <cellStyle name="Normal 10 2 10 2 22 6" xfId="3389" xr:uid="{00000000-0005-0000-0000-00003D0D0000}"/>
    <cellStyle name="Normal 10 2 10 2 22 7" xfId="3390" xr:uid="{00000000-0005-0000-0000-00003E0D0000}"/>
    <cellStyle name="Normal 10 2 10 2 22 8" xfId="3391" xr:uid="{00000000-0005-0000-0000-00003F0D0000}"/>
    <cellStyle name="Normal 10 2 10 2 22 9" xfId="3392" xr:uid="{00000000-0005-0000-0000-0000400D0000}"/>
    <cellStyle name="Normal 10 2 10 2 23" xfId="3393" xr:uid="{00000000-0005-0000-0000-0000410D0000}"/>
    <cellStyle name="Normal 10 2 10 2 23 10" xfId="3394" xr:uid="{00000000-0005-0000-0000-0000420D0000}"/>
    <cellStyle name="Normal 10 2 10 2 23 11" xfId="3395" xr:uid="{00000000-0005-0000-0000-0000430D0000}"/>
    <cellStyle name="Normal 10 2 10 2 23 12" xfId="3396" xr:uid="{00000000-0005-0000-0000-0000440D0000}"/>
    <cellStyle name="Normal 10 2 10 2 23 13" xfId="3397" xr:uid="{00000000-0005-0000-0000-0000450D0000}"/>
    <cellStyle name="Normal 10 2 10 2 23 14" xfId="3398" xr:uid="{00000000-0005-0000-0000-0000460D0000}"/>
    <cellStyle name="Normal 10 2 10 2 23 2" xfId="3399" xr:uid="{00000000-0005-0000-0000-0000470D0000}"/>
    <cellStyle name="Normal 10 2 10 2 23 2 10" xfId="3400" xr:uid="{00000000-0005-0000-0000-0000480D0000}"/>
    <cellStyle name="Normal 10 2 10 2 23 2 2" xfId="3401" xr:uid="{00000000-0005-0000-0000-0000490D0000}"/>
    <cellStyle name="Normal 10 2 10 2 23 2 3" xfId="3402" xr:uid="{00000000-0005-0000-0000-00004A0D0000}"/>
    <cellStyle name="Normal 10 2 10 2 23 2 4" xfId="3403" xr:uid="{00000000-0005-0000-0000-00004B0D0000}"/>
    <cellStyle name="Normal 10 2 10 2 23 2 5" xfId="3404" xr:uid="{00000000-0005-0000-0000-00004C0D0000}"/>
    <cellStyle name="Normal 10 2 10 2 23 2 6" xfId="3405" xr:uid="{00000000-0005-0000-0000-00004D0D0000}"/>
    <cellStyle name="Normal 10 2 10 2 23 2 7" xfId="3406" xr:uid="{00000000-0005-0000-0000-00004E0D0000}"/>
    <cellStyle name="Normal 10 2 10 2 23 2 8" xfId="3407" xr:uid="{00000000-0005-0000-0000-00004F0D0000}"/>
    <cellStyle name="Normal 10 2 10 2 23 2 9" xfId="3408" xr:uid="{00000000-0005-0000-0000-0000500D0000}"/>
    <cellStyle name="Normal 10 2 10 2 23 3" xfId="3409" xr:uid="{00000000-0005-0000-0000-0000510D0000}"/>
    <cellStyle name="Normal 10 2 10 2 23 3 10" xfId="3410" xr:uid="{00000000-0005-0000-0000-0000520D0000}"/>
    <cellStyle name="Normal 10 2 10 2 23 3 2" xfId="3411" xr:uid="{00000000-0005-0000-0000-0000530D0000}"/>
    <cellStyle name="Normal 10 2 10 2 23 3 3" xfId="3412" xr:uid="{00000000-0005-0000-0000-0000540D0000}"/>
    <cellStyle name="Normal 10 2 10 2 23 3 4" xfId="3413" xr:uid="{00000000-0005-0000-0000-0000550D0000}"/>
    <cellStyle name="Normal 10 2 10 2 23 3 5" xfId="3414" xr:uid="{00000000-0005-0000-0000-0000560D0000}"/>
    <cellStyle name="Normal 10 2 10 2 23 3 6" xfId="3415" xr:uid="{00000000-0005-0000-0000-0000570D0000}"/>
    <cellStyle name="Normal 10 2 10 2 23 3 7" xfId="3416" xr:uid="{00000000-0005-0000-0000-0000580D0000}"/>
    <cellStyle name="Normal 10 2 10 2 23 3 8" xfId="3417" xr:uid="{00000000-0005-0000-0000-0000590D0000}"/>
    <cellStyle name="Normal 10 2 10 2 23 3 9" xfId="3418" xr:uid="{00000000-0005-0000-0000-00005A0D0000}"/>
    <cellStyle name="Normal 10 2 10 2 23 4" xfId="3419" xr:uid="{00000000-0005-0000-0000-00005B0D0000}"/>
    <cellStyle name="Normal 10 2 10 2 23 4 10" xfId="3420" xr:uid="{00000000-0005-0000-0000-00005C0D0000}"/>
    <cellStyle name="Normal 10 2 10 2 23 4 2" xfId="3421" xr:uid="{00000000-0005-0000-0000-00005D0D0000}"/>
    <cellStyle name="Normal 10 2 10 2 23 4 3" xfId="3422" xr:uid="{00000000-0005-0000-0000-00005E0D0000}"/>
    <cellStyle name="Normal 10 2 10 2 23 4 4" xfId="3423" xr:uid="{00000000-0005-0000-0000-00005F0D0000}"/>
    <cellStyle name="Normal 10 2 10 2 23 4 5" xfId="3424" xr:uid="{00000000-0005-0000-0000-0000600D0000}"/>
    <cellStyle name="Normal 10 2 10 2 23 4 6" xfId="3425" xr:uid="{00000000-0005-0000-0000-0000610D0000}"/>
    <cellStyle name="Normal 10 2 10 2 23 4 7" xfId="3426" xr:uid="{00000000-0005-0000-0000-0000620D0000}"/>
    <cellStyle name="Normal 10 2 10 2 23 4 8" xfId="3427" xr:uid="{00000000-0005-0000-0000-0000630D0000}"/>
    <cellStyle name="Normal 10 2 10 2 23 4 9" xfId="3428" xr:uid="{00000000-0005-0000-0000-0000640D0000}"/>
    <cellStyle name="Normal 10 2 10 2 23 5" xfId="3429" xr:uid="{00000000-0005-0000-0000-0000650D0000}"/>
    <cellStyle name="Normal 10 2 10 2 23 5 10" xfId="3430" xr:uid="{00000000-0005-0000-0000-0000660D0000}"/>
    <cellStyle name="Normal 10 2 10 2 23 5 2" xfId="3431" xr:uid="{00000000-0005-0000-0000-0000670D0000}"/>
    <cellStyle name="Normal 10 2 10 2 23 5 3" xfId="3432" xr:uid="{00000000-0005-0000-0000-0000680D0000}"/>
    <cellStyle name="Normal 10 2 10 2 23 5 4" xfId="3433" xr:uid="{00000000-0005-0000-0000-0000690D0000}"/>
    <cellStyle name="Normal 10 2 10 2 23 5 5" xfId="3434" xr:uid="{00000000-0005-0000-0000-00006A0D0000}"/>
    <cellStyle name="Normal 10 2 10 2 23 5 6" xfId="3435" xr:uid="{00000000-0005-0000-0000-00006B0D0000}"/>
    <cellStyle name="Normal 10 2 10 2 23 5 7" xfId="3436" xr:uid="{00000000-0005-0000-0000-00006C0D0000}"/>
    <cellStyle name="Normal 10 2 10 2 23 5 8" xfId="3437" xr:uid="{00000000-0005-0000-0000-00006D0D0000}"/>
    <cellStyle name="Normal 10 2 10 2 23 5 9" xfId="3438" xr:uid="{00000000-0005-0000-0000-00006E0D0000}"/>
    <cellStyle name="Normal 10 2 10 2 23 6" xfId="3439" xr:uid="{00000000-0005-0000-0000-00006F0D0000}"/>
    <cellStyle name="Normal 10 2 10 2 23 7" xfId="3440" xr:uid="{00000000-0005-0000-0000-0000700D0000}"/>
    <cellStyle name="Normal 10 2 10 2 23 8" xfId="3441" xr:uid="{00000000-0005-0000-0000-0000710D0000}"/>
    <cellStyle name="Normal 10 2 10 2 23 9" xfId="3442" xr:uid="{00000000-0005-0000-0000-0000720D0000}"/>
    <cellStyle name="Normal 10 2 10 2 24" xfId="3443" xr:uid="{00000000-0005-0000-0000-0000730D0000}"/>
    <cellStyle name="Normal 10 2 10 2 24 10" xfId="3444" xr:uid="{00000000-0005-0000-0000-0000740D0000}"/>
    <cellStyle name="Normal 10 2 10 2 24 11" xfId="3445" xr:uid="{00000000-0005-0000-0000-0000750D0000}"/>
    <cellStyle name="Normal 10 2 10 2 24 12" xfId="3446" xr:uid="{00000000-0005-0000-0000-0000760D0000}"/>
    <cellStyle name="Normal 10 2 10 2 24 13" xfId="3447" xr:uid="{00000000-0005-0000-0000-0000770D0000}"/>
    <cellStyle name="Normal 10 2 10 2 24 14" xfId="3448" xr:uid="{00000000-0005-0000-0000-0000780D0000}"/>
    <cellStyle name="Normal 10 2 10 2 24 2" xfId="3449" xr:uid="{00000000-0005-0000-0000-0000790D0000}"/>
    <cellStyle name="Normal 10 2 10 2 24 2 10" xfId="3450" xr:uid="{00000000-0005-0000-0000-00007A0D0000}"/>
    <cellStyle name="Normal 10 2 10 2 24 2 2" xfId="3451" xr:uid="{00000000-0005-0000-0000-00007B0D0000}"/>
    <cellStyle name="Normal 10 2 10 2 24 2 3" xfId="3452" xr:uid="{00000000-0005-0000-0000-00007C0D0000}"/>
    <cellStyle name="Normal 10 2 10 2 24 2 4" xfId="3453" xr:uid="{00000000-0005-0000-0000-00007D0D0000}"/>
    <cellStyle name="Normal 10 2 10 2 24 2 5" xfId="3454" xr:uid="{00000000-0005-0000-0000-00007E0D0000}"/>
    <cellStyle name="Normal 10 2 10 2 24 2 6" xfId="3455" xr:uid="{00000000-0005-0000-0000-00007F0D0000}"/>
    <cellStyle name="Normal 10 2 10 2 24 2 7" xfId="3456" xr:uid="{00000000-0005-0000-0000-0000800D0000}"/>
    <cellStyle name="Normal 10 2 10 2 24 2 8" xfId="3457" xr:uid="{00000000-0005-0000-0000-0000810D0000}"/>
    <cellStyle name="Normal 10 2 10 2 24 2 9" xfId="3458" xr:uid="{00000000-0005-0000-0000-0000820D0000}"/>
    <cellStyle name="Normal 10 2 10 2 24 3" xfId="3459" xr:uid="{00000000-0005-0000-0000-0000830D0000}"/>
    <cellStyle name="Normal 10 2 10 2 24 3 10" xfId="3460" xr:uid="{00000000-0005-0000-0000-0000840D0000}"/>
    <cellStyle name="Normal 10 2 10 2 24 3 2" xfId="3461" xr:uid="{00000000-0005-0000-0000-0000850D0000}"/>
    <cellStyle name="Normal 10 2 10 2 24 3 3" xfId="3462" xr:uid="{00000000-0005-0000-0000-0000860D0000}"/>
    <cellStyle name="Normal 10 2 10 2 24 3 4" xfId="3463" xr:uid="{00000000-0005-0000-0000-0000870D0000}"/>
    <cellStyle name="Normal 10 2 10 2 24 3 5" xfId="3464" xr:uid="{00000000-0005-0000-0000-0000880D0000}"/>
    <cellStyle name="Normal 10 2 10 2 24 3 6" xfId="3465" xr:uid="{00000000-0005-0000-0000-0000890D0000}"/>
    <cellStyle name="Normal 10 2 10 2 24 3 7" xfId="3466" xr:uid="{00000000-0005-0000-0000-00008A0D0000}"/>
    <cellStyle name="Normal 10 2 10 2 24 3 8" xfId="3467" xr:uid="{00000000-0005-0000-0000-00008B0D0000}"/>
    <cellStyle name="Normal 10 2 10 2 24 3 9" xfId="3468" xr:uid="{00000000-0005-0000-0000-00008C0D0000}"/>
    <cellStyle name="Normal 10 2 10 2 24 4" xfId="3469" xr:uid="{00000000-0005-0000-0000-00008D0D0000}"/>
    <cellStyle name="Normal 10 2 10 2 24 4 10" xfId="3470" xr:uid="{00000000-0005-0000-0000-00008E0D0000}"/>
    <cellStyle name="Normal 10 2 10 2 24 4 2" xfId="3471" xr:uid="{00000000-0005-0000-0000-00008F0D0000}"/>
    <cellStyle name="Normal 10 2 10 2 24 4 3" xfId="3472" xr:uid="{00000000-0005-0000-0000-0000900D0000}"/>
    <cellStyle name="Normal 10 2 10 2 24 4 4" xfId="3473" xr:uid="{00000000-0005-0000-0000-0000910D0000}"/>
    <cellStyle name="Normal 10 2 10 2 24 4 5" xfId="3474" xr:uid="{00000000-0005-0000-0000-0000920D0000}"/>
    <cellStyle name="Normal 10 2 10 2 24 4 6" xfId="3475" xr:uid="{00000000-0005-0000-0000-0000930D0000}"/>
    <cellStyle name="Normal 10 2 10 2 24 4 7" xfId="3476" xr:uid="{00000000-0005-0000-0000-0000940D0000}"/>
    <cellStyle name="Normal 10 2 10 2 24 4 8" xfId="3477" xr:uid="{00000000-0005-0000-0000-0000950D0000}"/>
    <cellStyle name="Normal 10 2 10 2 24 4 9" xfId="3478" xr:uid="{00000000-0005-0000-0000-0000960D0000}"/>
    <cellStyle name="Normal 10 2 10 2 24 5" xfId="3479" xr:uid="{00000000-0005-0000-0000-0000970D0000}"/>
    <cellStyle name="Normal 10 2 10 2 24 5 10" xfId="3480" xr:uid="{00000000-0005-0000-0000-0000980D0000}"/>
    <cellStyle name="Normal 10 2 10 2 24 5 2" xfId="3481" xr:uid="{00000000-0005-0000-0000-0000990D0000}"/>
    <cellStyle name="Normal 10 2 10 2 24 5 3" xfId="3482" xr:uid="{00000000-0005-0000-0000-00009A0D0000}"/>
    <cellStyle name="Normal 10 2 10 2 24 5 4" xfId="3483" xr:uid="{00000000-0005-0000-0000-00009B0D0000}"/>
    <cellStyle name="Normal 10 2 10 2 24 5 5" xfId="3484" xr:uid="{00000000-0005-0000-0000-00009C0D0000}"/>
    <cellStyle name="Normal 10 2 10 2 24 5 6" xfId="3485" xr:uid="{00000000-0005-0000-0000-00009D0D0000}"/>
    <cellStyle name="Normal 10 2 10 2 24 5 7" xfId="3486" xr:uid="{00000000-0005-0000-0000-00009E0D0000}"/>
    <cellStyle name="Normal 10 2 10 2 24 5 8" xfId="3487" xr:uid="{00000000-0005-0000-0000-00009F0D0000}"/>
    <cellStyle name="Normal 10 2 10 2 24 5 9" xfId="3488" xr:uid="{00000000-0005-0000-0000-0000A00D0000}"/>
    <cellStyle name="Normal 10 2 10 2 24 6" xfId="3489" xr:uid="{00000000-0005-0000-0000-0000A10D0000}"/>
    <cellStyle name="Normal 10 2 10 2 24 7" xfId="3490" xr:uid="{00000000-0005-0000-0000-0000A20D0000}"/>
    <cellStyle name="Normal 10 2 10 2 24 8" xfId="3491" xr:uid="{00000000-0005-0000-0000-0000A30D0000}"/>
    <cellStyle name="Normal 10 2 10 2 24 9" xfId="3492" xr:uid="{00000000-0005-0000-0000-0000A40D0000}"/>
    <cellStyle name="Normal 10 2 10 2 25" xfId="3493" xr:uid="{00000000-0005-0000-0000-0000A50D0000}"/>
    <cellStyle name="Normal 10 2 10 2 25 10" xfId="3494" xr:uid="{00000000-0005-0000-0000-0000A60D0000}"/>
    <cellStyle name="Normal 10 2 10 2 25 11" xfId="3495" xr:uid="{00000000-0005-0000-0000-0000A70D0000}"/>
    <cellStyle name="Normal 10 2 10 2 25 12" xfId="3496" xr:uid="{00000000-0005-0000-0000-0000A80D0000}"/>
    <cellStyle name="Normal 10 2 10 2 25 13" xfId="3497" xr:uid="{00000000-0005-0000-0000-0000A90D0000}"/>
    <cellStyle name="Normal 10 2 10 2 25 14" xfId="3498" xr:uid="{00000000-0005-0000-0000-0000AA0D0000}"/>
    <cellStyle name="Normal 10 2 10 2 25 2" xfId="3499" xr:uid="{00000000-0005-0000-0000-0000AB0D0000}"/>
    <cellStyle name="Normal 10 2 10 2 25 2 10" xfId="3500" xr:uid="{00000000-0005-0000-0000-0000AC0D0000}"/>
    <cellStyle name="Normal 10 2 10 2 25 2 2" xfId="3501" xr:uid="{00000000-0005-0000-0000-0000AD0D0000}"/>
    <cellStyle name="Normal 10 2 10 2 25 2 3" xfId="3502" xr:uid="{00000000-0005-0000-0000-0000AE0D0000}"/>
    <cellStyle name="Normal 10 2 10 2 25 2 4" xfId="3503" xr:uid="{00000000-0005-0000-0000-0000AF0D0000}"/>
    <cellStyle name="Normal 10 2 10 2 25 2 5" xfId="3504" xr:uid="{00000000-0005-0000-0000-0000B00D0000}"/>
    <cellStyle name="Normal 10 2 10 2 25 2 6" xfId="3505" xr:uid="{00000000-0005-0000-0000-0000B10D0000}"/>
    <cellStyle name="Normal 10 2 10 2 25 2 7" xfId="3506" xr:uid="{00000000-0005-0000-0000-0000B20D0000}"/>
    <cellStyle name="Normal 10 2 10 2 25 2 8" xfId="3507" xr:uid="{00000000-0005-0000-0000-0000B30D0000}"/>
    <cellStyle name="Normal 10 2 10 2 25 2 9" xfId="3508" xr:uid="{00000000-0005-0000-0000-0000B40D0000}"/>
    <cellStyle name="Normal 10 2 10 2 25 3" xfId="3509" xr:uid="{00000000-0005-0000-0000-0000B50D0000}"/>
    <cellStyle name="Normal 10 2 10 2 25 3 10" xfId="3510" xr:uid="{00000000-0005-0000-0000-0000B60D0000}"/>
    <cellStyle name="Normal 10 2 10 2 25 3 2" xfId="3511" xr:uid="{00000000-0005-0000-0000-0000B70D0000}"/>
    <cellStyle name="Normal 10 2 10 2 25 3 3" xfId="3512" xr:uid="{00000000-0005-0000-0000-0000B80D0000}"/>
    <cellStyle name="Normal 10 2 10 2 25 3 4" xfId="3513" xr:uid="{00000000-0005-0000-0000-0000B90D0000}"/>
    <cellStyle name="Normal 10 2 10 2 25 3 5" xfId="3514" xr:uid="{00000000-0005-0000-0000-0000BA0D0000}"/>
    <cellStyle name="Normal 10 2 10 2 25 3 6" xfId="3515" xr:uid="{00000000-0005-0000-0000-0000BB0D0000}"/>
    <cellStyle name="Normal 10 2 10 2 25 3 7" xfId="3516" xr:uid="{00000000-0005-0000-0000-0000BC0D0000}"/>
    <cellStyle name="Normal 10 2 10 2 25 3 8" xfId="3517" xr:uid="{00000000-0005-0000-0000-0000BD0D0000}"/>
    <cellStyle name="Normal 10 2 10 2 25 3 9" xfId="3518" xr:uid="{00000000-0005-0000-0000-0000BE0D0000}"/>
    <cellStyle name="Normal 10 2 10 2 25 4" xfId="3519" xr:uid="{00000000-0005-0000-0000-0000BF0D0000}"/>
    <cellStyle name="Normal 10 2 10 2 25 4 10" xfId="3520" xr:uid="{00000000-0005-0000-0000-0000C00D0000}"/>
    <cellStyle name="Normal 10 2 10 2 25 4 2" xfId="3521" xr:uid="{00000000-0005-0000-0000-0000C10D0000}"/>
    <cellStyle name="Normal 10 2 10 2 25 4 3" xfId="3522" xr:uid="{00000000-0005-0000-0000-0000C20D0000}"/>
    <cellStyle name="Normal 10 2 10 2 25 4 4" xfId="3523" xr:uid="{00000000-0005-0000-0000-0000C30D0000}"/>
    <cellStyle name="Normal 10 2 10 2 25 4 5" xfId="3524" xr:uid="{00000000-0005-0000-0000-0000C40D0000}"/>
    <cellStyle name="Normal 10 2 10 2 25 4 6" xfId="3525" xr:uid="{00000000-0005-0000-0000-0000C50D0000}"/>
    <cellStyle name="Normal 10 2 10 2 25 4 7" xfId="3526" xr:uid="{00000000-0005-0000-0000-0000C60D0000}"/>
    <cellStyle name="Normal 10 2 10 2 25 4 8" xfId="3527" xr:uid="{00000000-0005-0000-0000-0000C70D0000}"/>
    <cellStyle name="Normal 10 2 10 2 25 4 9" xfId="3528" xr:uid="{00000000-0005-0000-0000-0000C80D0000}"/>
    <cellStyle name="Normal 10 2 10 2 25 5" xfId="3529" xr:uid="{00000000-0005-0000-0000-0000C90D0000}"/>
    <cellStyle name="Normal 10 2 10 2 25 5 10" xfId="3530" xr:uid="{00000000-0005-0000-0000-0000CA0D0000}"/>
    <cellStyle name="Normal 10 2 10 2 25 5 2" xfId="3531" xr:uid="{00000000-0005-0000-0000-0000CB0D0000}"/>
    <cellStyle name="Normal 10 2 10 2 25 5 3" xfId="3532" xr:uid="{00000000-0005-0000-0000-0000CC0D0000}"/>
    <cellStyle name="Normal 10 2 10 2 25 5 4" xfId="3533" xr:uid="{00000000-0005-0000-0000-0000CD0D0000}"/>
    <cellStyle name="Normal 10 2 10 2 25 5 5" xfId="3534" xr:uid="{00000000-0005-0000-0000-0000CE0D0000}"/>
    <cellStyle name="Normal 10 2 10 2 25 5 6" xfId="3535" xr:uid="{00000000-0005-0000-0000-0000CF0D0000}"/>
    <cellStyle name="Normal 10 2 10 2 25 5 7" xfId="3536" xr:uid="{00000000-0005-0000-0000-0000D00D0000}"/>
    <cellStyle name="Normal 10 2 10 2 25 5 8" xfId="3537" xr:uid="{00000000-0005-0000-0000-0000D10D0000}"/>
    <cellStyle name="Normal 10 2 10 2 25 5 9" xfId="3538" xr:uid="{00000000-0005-0000-0000-0000D20D0000}"/>
    <cellStyle name="Normal 10 2 10 2 25 6" xfId="3539" xr:uid="{00000000-0005-0000-0000-0000D30D0000}"/>
    <cellStyle name="Normal 10 2 10 2 25 7" xfId="3540" xr:uid="{00000000-0005-0000-0000-0000D40D0000}"/>
    <cellStyle name="Normal 10 2 10 2 25 8" xfId="3541" xr:uid="{00000000-0005-0000-0000-0000D50D0000}"/>
    <cellStyle name="Normal 10 2 10 2 25 9" xfId="3542" xr:uid="{00000000-0005-0000-0000-0000D60D0000}"/>
    <cellStyle name="Normal 10 2 10 2 26" xfId="3543" xr:uid="{00000000-0005-0000-0000-0000D70D0000}"/>
    <cellStyle name="Normal 10 2 10 2 26 10" xfId="3544" xr:uid="{00000000-0005-0000-0000-0000D80D0000}"/>
    <cellStyle name="Normal 10 2 10 2 26 11" xfId="3545" xr:uid="{00000000-0005-0000-0000-0000D90D0000}"/>
    <cellStyle name="Normal 10 2 10 2 26 12" xfId="3546" xr:uid="{00000000-0005-0000-0000-0000DA0D0000}"/>
    <cellStyle name="Normal 10 2 10 2 26 13" xfId="3547" xr:uid="{00000000-0005-0000-0000-0000DB0D0000}"/>
    <cellStyle name="Normal 10 2 10 2 26 14" xfId="3548" xr:uid="{00000000-0005-0000-0000-0000DC0D0000}"/>
    <cellStyle name="Normal 10 2 10 2 26 2" xfId="3549" xr:uid="{00000000-0005-0000-0000-0000DD0D0000}"/>
    <cellStyle name="Normal 10 2 10 2 26 2 10" xfId="3550" xr:uid="{00000000-0005-0000-0000-0000DE0D0000}"/>
    <cellStyle name="Normal 10 2 10 2 26 2 2" xfId="3551" xr:uid="{00000000-0005-0000-0000-0000DF0D0000}"/>
    <cellStyle name="Normal 10 2 10 2 26 2 3" xfId="3552" xr:uid="{00000000-0005-0000-0000-0000E00D0000}"/>
    <cellStyle name="Normal 10 2 10 2 26 2 4" xfId="3553" xr:uid="{00000000-0005-0000-0000-0000E10D0000}"/>
    <cellStyle name="Normal 10 2 10 2 26 2 5" xfId="3554" xr:uid="{00000000-0005-0000-0000-0000E20D0000}"/>
    <cellStyle name="Normal 10 2 10 2 26 2 6" xfId="3555" xr:uid="{00000000-0005-0000-0000-0000E30D0000}"/>
    <cellStyle name="Normal 10 2 10 2 26 2 7" xfId="3556" xr:uid="{00000000-0005-0000-0000-0000E40D0000}"/>
    <cellStyle name="Normal 10 2 10 2 26 2 8" xfId="3557" xr:uid="{00000000-0005-0000-0000-0000E50D0000}"/>
    <cellStyle name="Normal 10 2 10 2 26 2 9" xfId="3558" xr:uid="{00000000-0005-0000-0000-0000E60D0000}"/>
    <cellStyle name="Normal 10 2 10 2 26 3" xfId="3559" xr:uid="{00000000-0005-0000-0000-0000E70D0000}"/>
    <cellStyle name="Normal 10 2 10 2 26 3 10" xfId="3560" xr:uid="{00000000-0005-0000-0000-0000E80D0000}"/>
    <cellStyle name="Normal 10 2 10 2 26 3 2" xfId="3561" xr:uid="{00000000-0005-0000-0000-0000E90D0000}"/>
    <cellStyle name="Normal 10 2 10 2 26 3 3" xfId="3562" xr:uid="{00000000-0005-0000-0000-0000EA0D0000}"/>
    <cellStyle name="Normal 10 2 10 2 26 3 4" xfId="3563" xr:uid="{00000000-0005-0000-0000-0000EB0D0000}"/>
    <cellStyle name="Normal 10 2 10 2 26 3 5" xfId="3564" xr:uid="{00000000-0005-0000-0000-0000EC0D0000}"/>
    <cellStyle name="Normal 10 2 10 2 26 3 6" xfId="3565" xr:uid="{00000000-0005-0000-0000-0000ED0D0000}"/>
    <cellStyle name="Normal 10 2 10 2 26 3 7" xfId="3566" xr:uid="{00000000-0005-0000-0000-0000EE0D0000}"/>
    <cellStyle name="Normal 10 2 10 2 26 3 8" xfId="3567" xr:uid="{00000000-0005-0000-0000-0000EF0D0000}"/>
    <cellStyle name="Normal 10 2 10 2 26 3 9" xfId="3568" xr:uid="{00000000-0005-0000-0000-0000F00D0000}"/>
    <cellStyle name="Normal 10 2 10 2 26 4" xfId="3569" xr:uid="{00000000-0005-0000-0000-0000F10D0000}"/>
    <cellStyle name="Normal 10 2 10 2 26 4 10" xfId="3570" xr:uid="{00000000-0005-0000-0000-0000F20D0000}"/>
    <cellStyle name="Normal 10 2 10 2 26 4 2" xfId="3571" xr:uid="{00000000-0005-0000-0000-0000F30D0000}"/>
    <cellStyle name="Normal 10 2 10 2 26 4 3" xfId="3572" xr:uid="{00000000-0005-0000-0000-0000F40D0000}"/>
    <cellStyle name="Normal 10 2 10 2 26 4 4" xfId="3573" xr:uid="{00000000-0005-0000-0000-0000F50D0000}"/>
    <cellStyle name="Normal 10 2 10 2 26 4 5" xfId="3574" xr:uid="{00000000-0005-0000-0000-0000F60D0000}"/>
    <cellStyle name="Normal 10 2 10 2 26 4 6" xfId="3575" xr:uid="{00000000-0005-0000-0000-0000F70D0000}"/>
    <cellStyle name="Normal 10 2 10 2 26 4 7" xfId="3576" xr:uid="{00000000-0005-0000-0000-0000F80D0000}"/>
    <cellStyle name="Normal 10 2 10 2 26 4 8" xfId="3577" xr:uid="{00000000-0005-0000-0000-0000F90D0000}"/>
    <cellStyle name="Normal 10 2 10 2 26 4 9" xfId="3578" xr:uid="{00000000-0005-0000-0000-0000FA0D0000}"/>
    <cellStyle name="Normal 10 2 10 2 26 5" xfId="3579" xr:uid="{00000000-0005-0000-0000-0000FB0D0000}"/>
    <cellStyle name="Normal 10 2 10 2 26 5 10" xfId="3580" xr:uid="{00000000-0005-0000-0000-0000FC0D0000}"/>
    <cellStyle name="Normal 10 2 10 2 26 5 2" xfId="3581" xr:uid="{00000000-0005-0000-0000-0000FD0D0000}"/>
    <cellStyle name="Normal 10 2 10 2 26 5 3" xfId="3582" xr:uid="{00000000-0005-0000-0000-0000FE0D0000}"/>
    <cellStyle name="Normal 10 2 10 2 26 5 4" xfId="3583" xr:uid="{00000000-0005-0000-0000-0000FF0D0000}"/>
    <cellStyle name="Normal 10 2 10 2 26 5 5" xfId="3584" xr:uid="{00000000-0005-0000-0000-0000000E0000}"/>
    <cellStyle name="Normal 10 2 10 2 26 5 6" xfId="3585" xr:uid="{00000000-0005-0000-0000-0000010E0000}"/>
    <cellStyle name="Normal 10 2 10 2 26 5 7" xfId="3586" xr:uid="{00000000-0005-0000-0000-0000020E0000}"/>
    <cellStyle name="Normal 10 2 10 2 26 5 8" xfId="3587" xr:uid="{00000000-0005-0000-0000-0000030E0000}"/>
    <cellStyle name="Normal 10 2 10 2 26 5 9" xfId="3588" xr:uid="{00000000-0005-0000-0000-0000040E0000}"/>
    <cellStyle name="Normal 10 2 10 2 26 6" xfId="3589" xr:uid="{00000000-0005-0000-0000-0000050E0000}"/>
    <cellStyle name="Normal 10 2 10 2 26 7" xfId="3590" xr:uid="{00000000-0005-0000-0000-0000060E0000}"/>
    <cellStyle name="Normal 10 2 10 2 26 8" xfId="3591" xr:uid="{00000000-0005-0000-0000-0000070E0000}"/>
    <cellStyle name="Normal 10 2 10 2 26 9" xfId="3592" xr:uid="{00000000-0005-0000-0000-0000080E0000}"/>
    <cellStyle name="Normal 10 2 10 2 27" xfId="3593" xr:uid="{00000000-0005-0000-0000-0000090E0000}"/>
    <cellStyle name="Normal 10 2 10 2 27 10" xfId="3594" xr:uid="{00000000-0005-0000-0000-00000A0E0000}"/>
    <cellStyle name="Normal 10 2 10 2 27 11" xfId="3595" xr:uid="{00000000-0005-0000-0000-00000B0E0000}"/>
    <cellStyle name="Normal 10 2 10 2 27 12" xfId="3596" xr:uid="{00000000-0005-0000-0000-00000C0E0000}"/>
    <cellStyle name="Normal 10 2 10 2 27 13" xfId="3597" xr:uid="{00000000-0005-0000-0000-00000D0E0000}"/>
    <cellStyle name="Normal 10 2 10 2 27 14" xfId="3598" xr:uid="{00000000-0005-0000-0000-00000E0E0000}"/>
    <cellStyle name="Normal 10 2 10 2 27 2" xfId="3599" xr:uid="{00000000-0005-0000-0000-00000F0E0000}"/>
    <cellStyle name="Normal 10 2 10 2 27 2 10" xfId="3600" xr:uid="{00000000-0005-0000-0000-0000100E0000}"/>
    <cellStyle name="Normal 10 2 10 2 27 2 2" xfId="3601" xr:uid="{00000000-0005-0000-0000-0000110E0000}"/>
    <cellStyle name="Normal 10 2 10 2 27 2 3" xfId="3602" xr:uid="{00000000-0005-0000-0000-0000120E0000}"/>
    <cellStyle name="Normal 10 2 10 2 27 2 4" xfId="3603" xr:uid="{00000000-0005-0000-0000-0000130E0000}"/>
    <cellStyle name="Normal 10 2 10 2 27 2 5" xfId="3604" xr:uid="{00000000-0005-0000-0000-0000140E0000}"/>
    <cellStyle name="Normal 10 2 10 2 27 2 6" xfId="3605" xr:uid="{00000000-0005-0000-0000-0000150E0000}"/>
    <cellStyle name="Normal 10 2 10 2 27 2 7" xfId="3606" xr:uid="{00000000-0005-0000-0000-0000160E0000}"/>
    <cellStyle name="Normal 10 2 10 2 27 2 8" xfId="3607" xr:uid="{00000000-0005-0000-0000-0000170E0000}"/>
    <cellStyle name="Normal 10 2 10 2 27 2 9" xfId="3608" xr:uid="{00000000-0005-0000-0000-0000180E0000}"/>
    <cellStyle name="Normal 10 2 10 2 27 3" xfId="3609" xr:uid="{00000000-0005-0000-0000-0000190E0000}"/>
    <cellStyle name="Normal 10 2 10 2 27 3 10" xfId="3610" xr:uid="{00000000-0005-0000-0000-00001A0E0000}"/>
    <cellStyle name="Normal 10 2 10 2 27 3 2" xfId="3611" xr:uid="{00000000-0005-0000-0000-00001B0E0000}"/>
    <cellStyle name="Normal 10 2 10 2 27 3 3" xfId="3612" xr:uid="{00000000-0005-0000-0000-00001C0E0000}"/>
    <cellStyle name="Normal 10 2 10 2 27 3 4" xfId="3613" xr:uid="{00000000-0005-0000-0000-00001D0E0000}"/>
    <cellStyle name="Normal 10 2 10 2 27 3 5" xfId="3614" xr:uid="{00000000-0005-0000-0000-00001E0E0000}"/>
    <cellStyle name="Normal 10 2 10 2 27 3 6" xfId="3615" xr:uid="{00000000-0005-0000-0000-00001F0E0000}"/>
    <cellStyle name="Normal 10 2 10 2 27 3 7" xfId="3616" xr:uid="{00000000-0005-0000-0000-0000200E0000}"/>
    <cellStyle name="Normal 10 2 10 2 27 3 8" xfId="3617" xr:uid="{00000000-0005-0000-0000-0000210E0000}"/>
    <cellStyle name="Normal 10 2 10 2 27 3 9" xfId="3618" xr:uid="{00000000-0005-0000-0000-0000220E0000}"/>
    <cellStyle name="Normal 10 2 10 2 27 4" xfId="3619" xr:uid="{00000000-0005-0000-0000-0000230E0000}"/>
    <cellStyle name="Normal 10 2 10 2 27 4 10" xfId="3620" xr:uid="{00000000-0005-0000-0000-0000240E0000}"/>
    <cellStyle name="Normal 10 2 10 2 27 4 2" xfId="3621" xr:uid="{00000000-0005-0000-0000-0000250E0000}"/>
    <cellStyle name="Normal 10 2 10 2 27 4 3" xfId="3622" xr:uid="{00000000-0005-0000-0000-0000260E0000}"/>
    <cellStyle name="Normal 10 2 10 2 27 4 4" xfId="3623" xr:uid="{00000000-0005-0000-0000-0000270E0000}"/>
    <cellStyle name="Normal 10 2 10 2 27 4 5" xfId="3624" xr:uid="{00000000-0005-0000-0000-0000280E0000}"/>
    <cellStyle name="Normal 10 2 10 2 27 4 6" xfId="3625" xr:uid="{00000000-0005-0000-0000-0000290E0000}"/>
    <cellStyle name="Normal 10 2 10 2 27 4 7" xfId="3626" xr:uid="{00000000-0005-0000-0000-00002A0E0000}"/>
    <cellStyle name="Normal 10 2 10 2 27 4 8" xfId="3627" xr:uid="{00000000-0005-0000-0000-00002B0E0000}"/>
    <cellStyle name="Normal 10 2 10 2 27 4 9" xfId="3628" xr:uid="{00000000-0005-0000-0000-00002C0E0000}"/>
    <cellStyle name="Normal 10 2 10 2 27 5" xfId="3629" xr:uid="{00000000-0005-0000-0000-00002D0E0000}"/>
    <cellStyle name="Normal 10 2 10 2 27 5 10" xfId="3630" xr:uid="{00000000-0005-0000-0000-00002E0E0000}"/>
    <cellStyle name="Normal 10 2 10 2 27 5 2" xfId="3631" xr:uid="{00000000-0005-0000-0000-00002F0E0000}"/>
    <cellStyle name="Normal 10 2 10 2 27 5 3" xfId="3632" xr:uid="{00000000-0005-0000-0000-0000300E0000}"/>
    <cellStyle name="Normal 10 2 10 2 27 5 4" xfId="3633" xr:uid="{00000000-0005-0000-0000-0000310E0000}"/>
    <cellStyle name="Normal 10 2 10 2 27 5 5" xfId="3634" xr:uid="{00000000-0005-0000-0000-0000320E0000}"/>
    <cellStyle name="Normal 10 2 10 2 27 5 6" xfId="3635" xr:uid="{00000000-0005-0000-0000-0000330E0000}"/>
    <cellStyle name="Normal 10 2 10 2 27 5 7" xfId="3636" xr:uid="{00000000-0005-0000-0000-0000340E0000}"/>
    <cellStyle name="Normal 10 2 10 2 27 5 8" xfId="3637" xr:uid="{00000000-0005-0000-0000-0000350E0000}"/>
    <cellStyle name="Normal 10 2 10 2 27 5 9" xfId="3638" xr:uid="{00000000-0005-0000-0000-0000360E0000}"/>
    <cellStyle name="Normal 10 2 10 2 27 6" xfId="3639" xr:uid="{00000000-0005-0000-0000-0000370E0000}"/>
    <cellStyle name="Normal 10 2 10 2 27 7" xfId="3640" xr:uid="{00000000-0005-0000-0000-0000380E0000}"/>
    <cellStyle name="Normal 10 2 10 2 27 8" xfId="3641" xr:uid="{00000000-0005-0000-0000-0000390E0000}"/>
    <cellStyle name="Normal 10 2 10 2 27 9" xfId="3642" xr:uid="{00000000-0005-0000-0000-00003A0E0000}"/>
    <cellStyle name="Normal 10 2 10 2 28" xfId="3643" xr:uid="{00000000-0005-0000-0000-00003B0E0000}"/>
    <cellStyle name="Normal 10 2 10 2 28 10" xfId="3644" xr:uid="{00000000-0005-0000-0000-00003C0E0000}"/>
    <cellStyle name="Normal 10 2 10 2 28 11" xfId="3645" xr:uid="{00000000-0005-0000-0000-00003D0E0000}"/>
    <cellStyle name="Normal 10 2 10 2 28 12" xfId="3646" xr:uid="{00000000-0005-0000-0000-00003E0E0000}"/>
    <cellStyle name="Normal 10 2 10 2 28 13" xfId="3647" xr:uid="{00000000-0005-0000-0000-00003F0E0000}"/>
    <cellStyle name="Normal 10 2 10 2 28 14" xfId="3648" xr:uid="{00000000-0005-0000-0000-0000400E0000}"/>
    <cellStyle name="Normal 10 2 10 2 28 2" xfId="3649" xr:uid="{00000000-0005-0000-0000-0000410E0000}"/>
    <cellStyle name="Normal 10 2 10 2 28 2 10" xfId="3650" xr:uid="{00000000-0005-0000-0000-0000420E0000}"/>
    <cellStyle name="Normal 10 2 10 2 28 2 2" xfId="3651" xr:uid="{00000000-0005-0000-0000-0000430E0000}"/>
    <cellStyle name="Normal 10 2 10 2 28 2 3" xfId="3652" xr:uid="{00000000-0005-0000-0000-0000440E0000}"/>
    <cellStyle name="Normal 10 2 10 2 28 2 4" xfId="3653" xr:uid="{00000000-0005-0000-0000-0000450E0000}"/>
    <cellStyle name="Normal 10 2 10 2 28 2 5" xfId="3654" xr:uid="{00000000-0005-0000-0000-0000460E0000}"/>
    <cellStyle name="Normal 10 2 10 2 28 2 6" xfId="3655" xr:uid="{00000000-0005-0000-0000-0000470E0000}"/>
    <cellStyle name="Normal 10 2 10 2 28 2 7" xfId="3656" xr:uid="{00000000-0005-0000-0000-0000480E0000}"/>
    <cellStyle name="Normal 10 2 10 2 28 2 8" xfId="3657" xr:uid="{00000000-0005-0000-0000-0000490E0000}"/>
    <cellStyle name="Normal 10 2 10 2 28 2 9" xfId="3658" xr:uid="{00000000-0005-0000-0000-00004A0E0000}"/>
    <cellStyle name="Normal 10 2 10 2 28 3" xfId="3659" xr:uid="{00000000-0005-0000-0000-00004B0E0000}"/>
    <cellStyle name="Normal 10 2 10 2 28 3 10" xfId="3660" xr:uid="{00000000-0005-0000-0000-00004C0E0000}"/>
    <cellStyle name="Normal 10 2 10 2 28 3 2" xfId="3661" xr:uid="{00000000-0005-0000-0000-00004D0E0000}"/>
    <cellStyle name="Normal 10 2 10 2 28 3 3" xfId="3662" xr:uid="{00000000-0005-0000-0000-00004E0E0000}"/>
    <cellStyle name="Normal 10 2 10 2 28 3 4" xfId="3663" xr:uid="{00000000-0005-0000-0000-00004F0E0000}"/>
    <cellStyle name="Normal 10 2 10 2 28 3 5" xfId="3664" xr:uid="{00000000-0005-0000-0000-0000500E0000}"/>
    <cellStyle name="Normal 10 2 10 2 28 3 6" xfId="3665" xr:uid="{00000000-0005-0000-0000-0000510E0000}"/>
    <cellStyle name="Normal 10 2 10 2 28 3 7" xfId="3666" xr:uid="{00000000-0005-0000-0000-0000520E0000}"/>
    <cellStyle name="Normal 10 2 10 2 28 3 8" xfId="3667" xr:uid="{00000000-0005-0000-0000-0000530E0000}"/>
    <cellStyle name="Normal 10 2 10 2 28 3 9" xfId="3668" xr:uid="{00000000-0005-0000-0000-0000540E0000}"/>
    <cellStyle name="Normal 10 2 10 2 28 4" xfId="3669" xr:uid="{00000000-0005-0000-0000-0000550E0000}"/>
    <cellStyle name="Normal 10 2 10 2 28 4 10" xfId="3670" xr:uid="{00000000-0005-0000-0000-0000560E0000}"/>
    <cellStyle name="Normal 10 2 10 2 28 4 2" xfId="3671" xr:uid="{00000000-0005-0000-0000-0000570E0000}"/>
    <cellStyle name="Normal 10 2 10 2 28 4 3" xfId="3672" xr:uid="{00000000-0005-0000-0000-0000580E0000}"/>
    <cellStyle name="Normal 10 2 10 2 28 4 4" xfId="3673" xr:uid="{00000000-0005-0000-0000-0000590E0000}"/>
    <cellStyle name="Normal 10 2 10 2 28 4 5" xfId="3674" xr:uid="{00000000-0005-0000-0000-00005A0E0000}"/>
    <cellStyle name="Normal 10 2 10 2 28 4 6" xfId="3675" xr:uid="{00000000-0005-0000-0000-00005B0E0000}"/>
    <cellStyle name="Normal 10 2 10 2 28 4 7" xfId="3676" xr:uid="{00000000-0005-0000-0000-00005C0E0000}"/>
    <cellStyle name="Normal 10 2 10 2 28 4 8" xfId="3677" xr:uid="{00000000-0005-0000-0000-00005D0E0000}"/>
    <cellStyle name="Normal 10 2 10 2 28 4 9" xfId="3678" xr:uid="{00000000-0005-0000-0000-00005E0E0000}"/>
    <cellStyle name="Normal 10 2 10 2 28 5" xfId="3679" xr:uid="{00000000-0005-0000-0000-00005F0E0000}"/>
    <cellStyle name="Normal 10 2 10 2 28 5 10" xfId="3680" xr:uid="{00000000-0005-0000-0000-0000600E0000}"/>
    <cellStyle name="Normal 10 2 10 2 28 5 2" xfId="3681" xr:uid="{00000000-0005-0000-0000-0000610E0000}"/>
    <cellStyle name="Normal 10 2 10 2 28 5 3" xfId="3682" xr:uid="{00000000-0005-0000-0000-0000620E0000}"/>
    <cellStyle name="Normal 10 2 10 2 28 5 4" xfId="3683" xr:uid="{00000000-0005-0000-0000-0000630E0000}"/>
    <cellStyle name="Normal 10 2 10 2 28 5 5" xfId="3684" xr:uid="{00000000-0005-0000-0000-0000640E0000}"/>
    <cellStyle name="Normal 10 2 10 2 28 5 6" xfId="3685" xr:uid="{00000000-0005-0000-0000-0000650E0000}"/>
    <cellStyle name="Normal 10 2 10 2 28 5 7" xfId="3686" xr:uid="{00000000-0005-0000-0000-0000660E0000}"/>
    <cellStyle name="Normal 10 2 10 2 28 5 8" xfId="3687" xr:uid="{00000000-0005-0000-0000-0000670E0000}"/>
    <cellStyle name="Normal 10 2 10 2 28 5 9" xfId="3688" xr:uid="{00000000-0005-0000-0000-0000680E0000}"/>
    <cellStyle name="Normal 10 2 10 2 28 6" xfId="3689" xr:uid="{00000000-0005-0000-0000-0000690E0000}"/>
    <cellStyle name="Normal 10 2 10 2 28 7" xfId="3690" xr:uid="{00000000-0005-0000-0000-00006A0E0000}"/>
    <cellStyle name="Normal 10 2 10 2 28 8" xfId="3691" xr:uid="{00000000-0005-0000-0000-00006B0E0000}"/>
    <cellStyle name="Normal 10 2 10 2 28 9" xfId="3692" xr:uid="{00000000-0005-0000-0000-00006C0E0000}"/>
    <cellStyle name="Normal 10 2 10 2 29" xfId="3693" xr:uid="{00000000-0005-0000-0000-00006D0E0000}"/>
    <cellStyle name="Normal 10 2 10 2 29 10" xfId="3694" xr:uid="{00000000-0005-0000-0000-00006E0E0000}"/>
    <cellStyle name="Normal 10 2 10 2 29 11" xfId="3695" xr:uid="{00000000-0005-0000-0000-00006F0E0000}"/>
    <cellStyle name="Normal 10 2 10 2 29 12" xfId="3696" xr:uid="{00000000-0005-0000-0000-0000700E0000}"/>
    <cellStyle name="Normal 10 2 10 2 29 13" xfId="3697" xr:uid="{00000000-0005-0000-0000-0000710E0000}"/>
    <cellStyle name="Normal 10 2 10 2 29 14" xfId="3698" xr:uid="{00000000-0005-0000-0000-0000720E0000}"/>
    <cellStyle name="Normal 10 2 10 2 29 2" xfId="3699" xr:uid="{00000000-0005-0000-0000-0000730E0000}"/>
    <cellStyle name="Normal 10 2 10 2 29 2 10" xfId="3700" xr:uid="{00000000-0005-0000-0000-0000740E0000}"/>
    <cellStyle name="Normal 10 2 10 2 29 2 2" xfId="3701" xr:uid="{00000000-0005-0000-0000-0000750E0000}"/>
    <cellStyle name="Normal 10 2 10 2 29 2 3" xfId="3702" xr:uid="{00000000-0005-0000-0000-0000760E0000}"/>
    <cellStyle name="Normal 10 2 10 2 29 2 4" xfId="3703" xr:uid="{00000000-0005-0000-0000-0000770E0000}"/>
    <cellStyle name="Normal 10 2 10 2 29 2 5" xfId="3704" xr:uid="{00000000-0005-0000-0000-0000780E0000}"/>
    <cellStyle name="Normal 10 2 10 2 29 2 6" xfId="3705" xr:uid="{00000000-0005-0000-0000-0000790E0000}"/>
    <cellStyle name="Normal 10 2 10 2 29 2 7" xfId="3706" xr:uid="{00000000-0005-0000-0000-00007A0E0000}"/>
    <cellStyle name="Normal 10 2 10 2 29 2 8" xfId="3707" xr:uid="{00000000-0005-0000-0000-00007B0E0000}"/>
    <cellStyle name="Normal 10 2 10 2 29 2 9" xfId="3708" xr:uid="{00000000-0005-0000-0000-00007C0E0000}"/>
    <cellStyle name="Normal 10 2 10 2 29 3" xfId="3709" xr:uid="{00000000-0005-0000-0000-00007D0E0000}"/>
    <cellStyle name="Normal 10 2 10 2 29 3 10" xfId="3710" xr:uid="{00000000-0005-0000-0000-00007E0E0000}"/>
    <cellStyle name="Normal 10 2 10 2 29 3 2" xfId="3711" xr:uid="{00000000-0005-0000-0000-00007F0E0000}"/>
    <cellStyle name="Normal 10 2 10 2 29 3 3" xfId="3712" xr:uid="{00000000-0005-0000-0000-0000800E0000}"/>
    <cellStyle name="Normal 10 2 10 2 29 3 4" xfId="3713" xr:uid="{00000000-0005-0000-0000-0000810E0000}"/>
    <cellStyle name="Normal 10 2 10 2 29 3 5" xfId="3714" xr:uid="{00000000-0005-0000-0000-0000820E0000}"/>
    <cellStyle name="Normal 10 2 10 2 29 3 6" xfId="3715" xr:uid="{00000000-0005-0000-0000-0000830E0000}"/>
    <cellStyle name="Normal 10 2 10 2 29 3 7" xfId="3716" xr:uid="{00000000-0005-0000-0000-0000840E0000}"/>
    <cellStyle name="Normal 10 2 10 2 29 3 8" xfId="3717" xr:uid="{00000000-0005-0000-0000-0000850E0000}"/>
    <cellStyle name="Normal 10 2 10 2 29 3 9" xfId="3718" xr:uid="{00000000-0005-0000-0000-0000860E0000}"/>
    <cellStyle name="Normal 10 2 10 2 29 4" xfId="3719" xr:uid="{00000000-0005-0000-0000-0000870E0000}"/>
    <cellStyle name="Normal 10 2 10 2 29 4 10" xfId="3720" xr:uid="{00000000-0005-0000-0000-0000880E0000}"/>
    <cellStyle name="Normal 10 2 10 2 29 4 2" xfId="3721" xr:uid="{00000000-0005-0000-0000-0000890E0000}"/>
    <cellStyle name="Normal 10 2 10 2 29 4 3" xfId="3722" xr:uid="{00000000-0005-0000-0000-00008A0E0000}"/>
    <cellStyle name="Normal 10 2 10 2 29 4 4" xfId="3723" xr:uid="{00000000-0005-0000-0000-00008B0E0000}"/>
    <cellStyle name="Normal 10 2 10 2 29 4 5" xfId="3724" xr:uid="{00000000-0005-0000-0000-00008C0E0000}"/>
    <cellStyle name="Normal 10 2 10 2 29 4 6" xfId="3725" xr:uid="{00000000-0005-0000-0000-00008D0E0000}"/>
    <cellStyle name="Normal 10 2 10 2 29 4 7" xfId="3726" xr:uid="{00000000-0005-0000-0000-00008E0E0000}"/>
    <cellStyle name="Normal 10 2 10 2 29 4 8" xfId="3727" xr:uid="{00000000-0005-0000-0000-00008F0E0000}"/>
    <cellStyle name="Normal 10 2 10 2 29 4 9" xfId="3728" xr:uid="{00000000-0005-0000-0000-0000900E0000}"/>
    <cellStyle name="Normal 10 2 10 2 29 5" xfId="3729" xr:uid="{00000000-0005-0000-0000-0000910E0000}"/>
    <cellStyle name="Normal 10 2 10 2 29 5 10" xfId="3730" xr:uid="{00000000-0005-0000-0000-0000920E0000}"/>
    <cellStyle name="Normal 10 2 10 2 29 5 2" xfId="3731" xr:uid="{00000000-0005-0000-0000-0000930E0000}"/>
    <cellStyle name="Normal 10 2 10 2 29 5 3" xfId="3732" xr:uid="{00000000-0005-0000-0000-0000940E0000}"/>
    <cellStyle name="Normal 10 2 10 2 29 5 4" xfId="3733" xr:uid="{00000000-0005-0000-0000-0000950E0000}"/>
    <cellStyle name="Normal 10 2 10 2 29 5 5" xfId="3734" xr:uid="{00000000-0005-0000-0000-0000960E0000}"/>
    <cellStyle name="Normal 10 2 10 2 29 5 6" xfId="3735" xr:uid="{00000000-0005-0000-0000-0000970E0000}"/>
    <cellStyle name="Normal 10 2 10 2 29 5 7" xfId="3736" xr:uid="{00000000-0005-0000-0000-0000980E0000}"/>
    <cellStyle name="Normal 10 2 10 2 29 5 8" xfId="3737" xr:uid="{00000000-0005-0000-0000-0000990E0000}"/>
    <cellStyle name="Normal 10 2 10 2 29 5 9" xfId="3738" xr:uid="{00000000-0005-0000-0000-00009A0E0000}"/>
    <cellStyle name="Normal 10 2 10 2 29 6" xfId="3739" xr:uid="{00000000-0005-0000-0000-00009B0E0000}"/>
    <cellStyle name="Normal 10 2 10 2 29 7" xfId="3740" xr:uid="{00000000-0005-0000-0000-00009C0E0000}"/>
    <cellStyle name="Normal 10 2 10 2 29 8" xfId="3741" xr:uid="{00000000-0005-0000-0000-00009D0E0000}"/>
    <cellStyle name="Normal 10 2 10 2 29 9" xfId="3742" xr:uid="{00000000-0005-0000-0000-00009E0E0000}"/>
    <cellStyle name="Normal 10 2 10 2 3" xfId="3743" xr:uid="{00000000-0005-0000-0000-00009F0E0000}"/>
    <cellStyle name="Normal 10 2 10 2 3 10" xfId="3744" xr:uid="{00000000-0005-0000-0000-0000A00E0000}"/>
    <cellStyle name="Normal 10 2 10 2 3 11" xfId="3745" xr:uid="{00000000-0005-0000-0000-0000A10E0000}"/>
    <cellStyle name="Normal 10 2 10 2 3 12" xfId="3746" xr:uid="{00000000-0005-0000-0000-0000A20E0000}"/>
    <cellStyle name="Normal 10 2 10 2 3 13" xfId="3747" xr:uid="{00000000-0005-0000-0000-0000A30E0000}"/>
    <cellStyle name="Normal 10 2 10 2 3 14" xfId="3748" xr:uid="{00000000-0005-0000-0000-0000A40E0000}"/>
    <cellStyle name="Normal 10 2 10 2 3 2" xfId="3749" xr:uid="{00000000-0005-0000-0000-0000A50E0000}"/>
    <cellStyle name="Normal 10 2 10 2 3 2 10" xfId="3750" xr:uid="{00000000-0005-0000-0000-0000A60E0000}"/>
    <cellStyle name="Normal 10 2 10 2 3 2 2" xfId="3751" xr:uid="{00000000-0005-0000-0000-0000A70E0000}"/>
    <cellStyle name="Normal 10 2 10 2 3 2 3" xfId="3752" xr:uid="{00000000-0005-0000-0000-0000A80E0000}"/>
    <cellStyle name="Normal 10 2 10 2 3 2 4" xfId="3753" xr:uid="{00000000-0005-0000-0000-0000A90E0000}"/>
    <cellStyle name="Normal 10 2 10 2 3 2 5" xfId="3754" xr:uid="{00000000-0005-0000-0000-0000AA0E0000}"/>
    <cellStyle name="Normal 10 2 10 2 3 2 6" xfId="3755" xr:uid="{00000000-0005-0000-0000-0000AB0E0000}"/>
    <cellStyle name="Normal 10 2 10 2 3 2 7" xfId="3756" xr:uid="{00000000-0005-0000-0000-0000AC0E0000}"/>
    <cellStyle name="Normal 10 2 10 2 3 2 8" xfId="3757" xr:uid="{00000000-0005-0000-0000-0000AD0E0000}"/>
    <cellStyle name="Normal 10 2 10 2 3 2 9" xfId="3758" xr:uid="{00000000-0005-0000-0000-0000AE0E0000}"/>
    <cellStyle name="Normal 10 2 10 2 3 3" xfId="3759" xr:uid="{00000000-0005-0000-0000-0000AF0E0000}"/>
    <cellStyle name="Normal 10 2 10 2 3 3 10" xfId="3760" xr:uid="{00000000-0005-0000-0000-0000B00E0000}"/>
    <cellStyle name="Normal 10 2 10 2 3 3 2" xfId="3761" xr:uid="{00000000-0005-0000-0000-0000B10E0000}"/>
    <cellStyle name="Normal 10 2 10 2 3 3 3" xfId="3762" xr:uid="{00000000-0005-0000-0000-0000B20E0000}"/>
    <cellStyle name="Normal 10 2 10 2 3 3 4" xfId="3763" xr:uid="{00000000-0005-0000-0000-0000B30E0000}"/>
    <cellStyle name="Normal 10 2 10 2 3 3 5" xfId="3764" xr:uid="{00000000-0005-0000-0000-0000B40E0000}"/>
    <cellStyle name="Normal 10 2 10 2 3 3 6" xfId="3765" xr:uid="{00000000-0005-0000-0000-0000B50E0000}"/>
    <cellStyle name="Normal 10 2 10 2 3 3 7" xfId="3766" xr:uid="{00000000-0005-0000-0000-0000B60E0000}"/>
    <cellStyle name="Normal 10 2 10 2 3 3 8" xfId="3767" xr:uid="{00000000-0005-0000-0000-0000B70E0000}"/>
    <cellStyle name="Normal 10 2 10 2 3 3 9" xfId="3768" xr:uid="{00000000-0005-0000-0000-0000B80E0000}"/>
    <cellStyle name="Normal 10 2 10 2 3 4" xfId="3769" xr:uid="{00000000-0005-0000-0000-0000B90E0000}"/>
    <cellStyle name="Normal 10 2 10 2 3 4 10" xfId="3770" xr:uid="{00000000-0005-0000-0000-0000BA0E0000}"/>
    <cellStyle name="Normal 10 2 10 2 3 4 2" xfId="3771" xr:uid="{00000000-0005-0000-0000-0000BB0E0000}"/>
    <cellStyle name="Normal 10 2 10 2 3 4 3" xfId="3772" xr:uid="{00000000-0005-0000-0000-0000BC0E0000}"/>
    <cellStyle name="Normal 10 2 10 2 3 4 4" xfId="3773" xr:uid="{00000000-0005-0000-0000-0000BD0E0000}"/>
    <cellStyle name="Normal 10 2 10 2 3 4 5" xfId="3774" xr:uid="{00000000-0005-0000-0000-0000BE0E0000}"/>
    <cellStyle name="Normal 10 2 10 2 3 4 6" xfId="3775" xr:uid="{00000000-0005-0000-0000-0000BF0E0000}"/>
    <cellStyle name="Normal 10 2 10 2 3 4 7" xfId="3776" xr:uid="{00000000-0005-0000-0000-0000C00E0000}"/>
    <cellStyle name="Normal 10 2 10 2 3 4 8" xfId="3777" xr:uid="{00000000-0005-0000-0000-0000C10E0000}"/>
    <cellStyle name="Normal 10 2 10 2 3 4 9" xfId="3778" xr:uid="{00000000-0005-0000-0000-0000C20E0000}"/>
    <cellStyle name="Normal 10 2 10 2 3 5" xfId="3779" xr:uid="{00000000-0005-0000-0000-0000C30E0000}"/>
    <cellStyle name="Normal 10 2 10 2 3 5 10" xfId="3780" xr:uid="{00000000-0005-0000-0000-0000C40E0000}"/>
    <cellStyle name="Normal 10 2 10 2 3 5 2" xfId="3781" xr:uid="{00000000-0005-0000-0000-0000C50E0000}"/>
    <cellStyle name="Normal 10 2 10 2 3 5 3" xfId="3782" xr:uid="{00000000-0005-0000-0000-0000C60E0000}"/>
    <cellStyle name="Normal 10 2 10 2 3 5 4" xfId="3783" xr:uid="{00000000-0005-0000-0000-0000C70E0000}"/>
    <cellStyle name="Normal 10 2 10 2 3 5 5" xfId="3784" xr:uid="{00000000-0005-0000-0000-0000C80E0000}"/>
    <cellStyle name="Normal 10 2 10 2 3 5 6" xfId="3785" xr:uid="{00000000-0005-0000-0000-0000C90E0000}"/>
    <cellStyle name="Normal 10 2 10 2 3 5 7" xfId="3786" xr:uid="{00000000-0005-0000-0000-0000CA0E0000}"/>
    <cellStyle name="Normal 10 2 10 2 3 5 8" xfId="3787" xr:uid="{00000000-0005-0000-0000-0000CB0E0000}"/>
    <cellStyle name="Normal 10 2 10 2 3 5 9" xfId="3788" xr:uid="{00000000-0005-0000-0000-0000CC0E0000}"/>
    <cellStyle name="Normal 10 2 10 2 3 6" xfId="3789" xr:uid="{00000000-0005-0000-0000-0000CD0E0000}"/>
    <cellStyle name="Normal 10 2 10 2 3 7" xfId="3790" xr:uid="{00000000-0005-0000-0000-0000CE0E0000}"/>
    <cellStyle name="Normal 10 2 10 2 3 8" xfId="3791" xr:uid="{00000000-0005-0000-0000-0000CF0E0000}"/>
    <cellStyle name="Normal 10 2 10 2 3 9" xfId="3792" xr:uid="{00000000-0005-0000-0000-0000D00E0000}"/>
    <cellStyle name="Normal 10 2 10 2 30" xfId="3793" xr:uid="{00000000-0005-0000-0000-0000D10E0000}"/>
    <cellStyle name="Normal 10 2 10 2 30 10" xfId="3794" xr:uid="{00000000-0005-0000-0000-0000D20E0000}"/>
    <cellStyle name="Normal 10 2 10 2 30 11" xfId="3795" xr:uid="{00000000-0005-0000-0000-0000D30E0000}"/>
    <cellStyle name="Normal 10 2 10 2 30 12" xfId="3796" xr:uid="{00000000-0005-0000-0000-0000D40E0000}"/>
    <cellStyle name="Normal 10 2 10 2 30 13" xfId="3797" xr:uid="{00000000-0005-0000-0000-0000D50E0000}"/>
    <cellStyle name="Normal 10 2 10 2 30 14" xfId="3798" xr:uid="{00000000-0005-0000-0000-0000D60E0000}"/>
    <cellStyle name="Normal 10 2 10 2 30 2" xfId="3799" xr:uid="{00000000-0005-0000-0000-0000D70E0000}"/>
    <cellStyle name="Normal 10 2 10 2 30 2 10" xfId="3800" xr:uid="{00000000-0005-0000-0000-0000D80E0000}"/>
    <cellStyle name="Normal 10 2 10 2 30 2 2" xfId="3801" xr:uid="{00000000-0005-0000-0000-0000D90E0000}"/>
    <cellStyle name="Normal 10 2 10 2 30 2 3" xfId="3802" xr:uid="{00000000-0005-0000-0000-0000DA0E0000}"/>
    <cellStyle name="Normal 10 2 10 2 30 2 4" xfId="3803" xr:uid="{00000000-0005-0000-0000-0000DB0E0000}"/>
    <cellStyle name="Normal 10 2 10 2 30 2 5" xfId="3804" xr:uid="{00000000-0005-0000-0000-0000DC0E0000}"/>
    <cellStyle name="Normal 10 2 10 2 30 2 6" xfId="3805" xr:uid="{00000000-0005-0000-0000-0000DD0E0000}"/>
    <cellStyle name="Normal 10 2 10 2 30 2 7" xfId="3806" xr:uid="{00000000-0005-0000-0000-0000DE0E0000}"/>
    <cellStyle name="Normal 10 2 10 2 30 2 8" xfId="3807" xr:uid="{00000000-0005-0000-0000-0000DF0E0000}"/>
    <cellStyle name="Normal 10 2 10 2 30 2 9" xfId="3808" xr:uid="{00000000-0005-0000-0000-0000E00E0000}"/>
    <cellStyle name="Normal 10 2 10 2 30 3" xfId="3809" xr:uid="{00000000-0005-0000-0000-0000E10E0000}"/>
    <cellStyle name="Normal 10 2 10 2 30 3 10" xfId="3810" xr:uid="{00000000-0005-0000-0000-0000E20E0000}"/>
    <cellStyle name="Normal 10 2 10 2 30 3 2" xfId="3811" xr:uid="{00000000-0005-0000-0000-0000E30E0000}"/>
    <cellStyle name="Normal 10 2 10 2 30 3 3" xfId="3812" xr:uid="{00000000-0005-0000-0000-0000E40E0000}"/>
    <cellStyle name="Normal 10 2 10 2 30 3 4" xfId="3813" xr:uid="{00000000-0005-0000-0000-0000E50E0000}"/>
    <cellStyle name="Normal 10 2 10 2 30 3 5" xfId="3814" xr:uid="{00000000-0005-0000-0000-0000E60E0000}"/>
    <cellStyle name="Normal 10 2 10 2 30 3 6" xfId="3815" xr:uid="{00000000-0005-0000-0000-0000E70E0000}"/>
    <cellStyle name="Normal 10 2 10 2 30 3 7" xfId="3816" xr:uid="{00000000-0005-0000-0000-0000E80E0000}"/>
    <cellStyle name="Normal 10 2 10 2 30 3 8" xfId="3817" xr:uid="{00000000-0005-0000-0000-0000E90E0000}"/>
    <cellStyle name="Normal 10 2 10 2 30 3 9" xfId="3818" xr:uid="{00000000-0005-0000-0000-0000EA0E0000}"/>
    <cellStyle name="Normal 10 2 10 2 30 4" xfId="3819" xr:uid="{00000000-0005-0000-0000-0000EB0E0000}"/>
    <cellStyle name="Normal 10 2 10 2 30 4 10" xfId="3820" xr:uid="{00000000-0005-0000-0000-0000EC0E0000}"/>
    <cellStyle name="Normal 10 2 10 2 30 4 2" xfId="3821" xr:uid="{00000000-0005-0000-0000-0000ED0E0000}"/>
    <cellStyle name="Normal 10 2 10 2 30 4 3" xfId="3822" xr:uid="{00000000-0005-0000-0000-0000EE0E0000}"/>
    <cellStyle name="Normal 10 2 10 2 30 4 4" xfId="3823" xr:uid="{00000000-0005-0000-0000-0000EF0E0000}"/>
    <cellStyle name="Normal 10 2 10 2 30 4 5" xfId="3824" xr:uid="{00000000-0005-0000-0000-0000F00E0000}"/>
    <cellStyle name="Normal 10 2 10 2 30 4 6" xfId="3825" xr:uid="{00000000-0005-0000-0000-0000F10E0000}"/>
    <cellStyle name="Normal 10 2 10 2 30 4 7" xfId="3826" xr:uid="{00000000-0005-0000-0000-0000F20E0000}"/>
    <cellStyle name="Normal 10 2 10 2 30 4 8" xfId="3827" xr:uid="{00000000-0005-0000-0000-0000F30E0000}"/>
    <cellStyle name="Normal 10 2 10 2 30 4 9" xfId="3828" xr:uid="{00000000-0005-0000-0000-0000F40E0000}"/>
    <cellStyle name="Normal 10 2 10 2 30 5" xfId="3829" xr:uid="{00000000-0005-0000-0000-0000F50E0000}"/>
    <cellStyle name="Normal 10 2 10 2 30 5 10" xfId="3830" xr:uid="{00000000-0005-0000-0000-0000F60E0000}"/>
    <cellStyle name="Normal 10 2 10 2 30 5 2" xfId="3831" xr:uid="{00000000-0005-0000-0000-0000F70E0000}"/>
    <cellStyle name="Normal 10 2 10 2 30 5 3" xfId="3832" xr:uid="{00000000-0005-0000-0000-0000F80E0000}"/>
    <cellStyle name="Normal 10 2 10 2 30 5 4" xfId="3833" xr:uid="{00000000-0005-0000-0000-0000F90E0000}"/>
    <cellStyle name="Normal 10 2 10 2 30 5 5" xfId="3834" xr:uid="{00000000-0005-0000-0000-0000FA0E0000}"/>
    <cellStyle name="Normal 10 2 10 2 30 5 6" xfId="3835" xr:uid="{00000000-0005-0000-0000-0000FB0E0000}"/>
    <cellStyle name="Normal 10 2 10 2 30 5 7" xfId="3836" xr:uid="{00000000-0005-0000-0000-0000FC0E0000}"/>
    <cellStyle name="Normal 10 2 10 2 30 5 8" xfId="3837" xr:uid="{00000000-0005-0000-0000-0000FD0E0000}"/>
    <cellStyle name="Normal 10 2 10 2 30 5 9" xfId="3838" xr:uid="{00000000-0005-0000-0000-0000FE0E0000}"/>
    <cellStyle name="Normal 10 2 10 2 30 6" xfId="3839" xr:uid="{00000000-0005-0000-0000-0000FF0E0000}"/>
    <cellStyle name="Normal 10 2 10 2 30 7" xfId="3840" xr:uid="{00000000-0005-0000-0000-0000000F0000}"/>
    <cellStyle name="Normal 10 2 10 2 30 8" xfId="3841" xr:uid="{00000000-0005-0000-0000-0000010F0000}"/>
    <cellStyle name="Normal 10 2 10 2 30 9" xfId="3842" xr:uid="{00000000-0005-0000-0000-0000020F0000}"/>
    <cellStyle name="Normal 10 2 10 2 31" xfId="3843" xr:uid="{00000000-0005-0000-0000-0000030F0000}"/>
    <cellStyle name="Normal 10 2 10 2 31 10" xfId="3844" xr:uid="{00000000-0005-0000-0000-0000040F0000}"/>
    <cellStyle name="Normal 10 2 10 2 31 11" xfId="3845" xr:uid="{00000000-0005-0000-0000-0000050F0000}"/>
    <cellStyle name="Normal 10 2 10 2 31 12" xfId="3846" xr:uid="{00000000-0005-0000-0000-0000060F0000}"/>
    <cellStyle name="Normal 10 2 10 2 31 13" xfId="3847" xr:uid="{00000000-0005-0000-0000-0000070F0000}"/>
    <cellStyle name="Normal 10 2 10 2 31 14" xfId="3848" xr:uid="{00000000-0005-0000-0000-0000080F0000}"/>
    <cellStyle name="Normal 10 2 10 2 31 2" xfId="3849" xr:uid="{00000000-0005-0000-0000-0000090F0000}"/>
    <cellStyle name="Normal 10 2 10 2 31 2 10" xfId="3850" xr:uid="{00000000-0005-0000-0000-00000A0F0000}"/>
    <cellStyle name="Normal 10 2 10 2 31 2 2" xfId="3851" xr:uid="{00000000-0005-0000-0000-00000B0F0000}"/>
    <cellStyle name="Normal 10 2 10 2 31 2 3" xfId="3852" xr:uid="{00000000-0005-0000-0000-00000C0F0000}"/>
    <cellStyle name="Normal 10 2 10 2 31 2 4" xfId="3853" xr:uid="{00000000-0005-0000-0000-00000D0F0000}"/>
    <cellStyle name="Normal 10 2 10 2 31 2 5" xfId="3854" xr:uid="{00000000-0005-0000-0000-00000E0F0000}"/>
    <cellStyle name="Normal 10 2 10 2 31 2 6" xfId="3855" xr:uid="{00000000-0005-0000-0000-00000F0F0000}"/>
    <cellStyle name="Normal 10 2 10 2 31 2 7" xfId="3856" xr:uid="{00000000-0005-0000-0000-0000100F0000}"/>
    <cellStyle name="Normal 10 2 10 2 31 2 8" xfId="3857" xr:uid="{00000000-0005-0000-0000-0000110F0000}"/>
    <cellStyle name="Normal 10 2 10 2 31 2 9" xfId="3858" xr:uid="{00000000-0005-0000-0000-0000120F0000}"/>
    <cellStyle name="Normal 10 2 10 2 31 3" xfId="3859" xr:uid="{00000000-0005-0000-0000-0000130F0000}"/>
    <cellStyle name="Normal 10 2 10 2 31 3 10" xfId="3860" xr:uid="{00000000-0005-0000-0000-0000140F0000}"/>
    <cellStyle name="Normal 10 2 10 2 31 3 2" xfId="3861" xr:uid="{00000000-0005-0000-0000-0000150F0000}"/>
    <cellStyle name="Normal 10 2 10 2 31 3 3" xfId="3862" xr:uid="{00000000-0005-0000-0000-0000160F0000}"/>
    <cellStyle name="Normal 10 2 10 2 31 3 4" xfId="3863" xr:uid="{00000000-0005-0000-0000-0000170F0000}"/>
    <cellStyle name="Normal 10 2 10 2 31 3 5" xfId="3864" xr:uid="{00000000-0005-0000-0000-0000180F0000}"/>
    <cellStyle name="Normal 10 2 10 2 31 3 6" xfId="3865" xr:uid="{00000000-0005-0000-0000-0000190F0000}"/>
    <cellStyle name="Normal 10 2 10 2 31 3 7" xfId="3866" xr:uid="{00000000-0005-0000-0000-00001A0F0000}"/>
    <cellStyle name="Normal 10 2 10 2 31 3 8" xfId="3867" xr:uid="{00000000-0005-0000-0000-00001B0F0000}"/>
    <cellStyle name="Normal 10 2 10 2 31 3 9" xfId="3868" xr:uid="{00000000-0005-0000-0000-00001C0F0000}"/>
    <cellStyle name="Normal 10 2 10 2 31 4" xfId="3869" xr:uid="{00000000-0005-0000-0000-00001D0F0000}"/>
    <cellStyle name="Normal 10 2 10 2 31 4 10" xfId="3870" xr:uid="{00000000-0005-0000-0000-00001E0F0000}"/>
    <cellStyle name="Normal 10 2 10 2 31 4 2" xfId="3871" xr:uid="{00000000-0005-0000-0000-00001F0F0000}"/>
    <cellStyle name="Normal 10 2 10 2 31 4 3" xfId="3872" xr:uid="{00000000-0005-0000-0000-0000200F0000}"/>
    <cellStyle name="Normal 10 2 10 2 31 4 4" xfId="3873" xr:uid="{00000000-0005-0000-0000-0000210F0000}"/>
    <cellStyle name="Normal 10 2 10 2 31 4 5" xfId="3874" xr:uid="{00000000-0005-0000-0000-0000220F0000}"/>
    <cellStyle name="Normal 10 2 10 2 31 4 6" xfId="3875" xr:uid="{00000000-0005-0000-0000-0000230F0000}"/>
    <cellStyle name="Normal 10 2 10 2 31 4 7" xfId="3876" xr:uid="{00000000-0005-0000-0000-0000240F0000}"/>
    <cellStyle name="Normal 10 2 10 2 31 4 8" xfId="3877" xr:uid="{00000000-0005-0000-0000-0000250F0000}"/>
    <cellStyle name="Normal 10 2 10 2 31 4 9" xfId="3878" xr:uid="{00000000-0005-0000-0000-0000260F0000}"/>
    <cellStyle name="Normal 10 2 10 2 31 5" xfId="3879" xr:uid="{00000000-0005-0000-0000-0000270F0000}"/>
    <cellStyle name="Normal 10 2 10 2 31 5 10" xfId="3880" xr:uid="{00000000-0005-0000-0000-0000280F0000}"/>
    <cellStyle name="Normal 10 2 10 2 31 5 2" xfId="3881" xr:uid="{00000000-0005-0000-0000-0000290F0000}"/>
    <cellStyle name="Normal 10 2 10 2 31 5 3" xfId="3882" xr:uid="{00000000-0005-0000-0000-00002A0F0000}"/>
    <cellStyle name="Normal 10 2 10 2 31 5 4" xfId="3883" xr:uid="{00000000-0005-0000-0000-00002B0F0000}"/>
    <cellStyle name="Normal 10 2 10 2 31 5 5" xfId="3884" xr:uid="{00000000-0005-0000-0000-00002C0F0000}"/>
    <cellStyle name="Normal 10 2 10 2 31 5 6" xfId="3885" xr:uid="{00000000-0005-0000-0000-00002D0F0000}"/>
    <cellStyle name="Normal 10 2 10 2 31 5 7" xfId="3886" xr:uid="{00000000-0005-0000-0000-00002E0F0000}"/>
    <cellStyle name="Normal 10 2 10 2 31 5 8" xfId="3887" xr:uid="{00000000-0005-0000-0000-00002F0F0000}"/>
    <cellStyle name="Normal 10 2 10 2 31 5 9" xfId="3888" xr:uid="{00000000-0005-0000-0000-0000300F0000}"/>
    <cellStyle name="Normal 10 2 10 2 31 6" xfId="3889" xr:uid="{00000000-0005-0000-0000-0000310F0000}"/>
    <cellStyle name="Normal 10 2 10 2 31 7" xfId="3890" xr:uid="{00000000-0005-0000-0000-0000320F0000}"/>
    <cellStyle name="Normal 10 2 10 2 31 8" xfId="3891" xr:uid="{00000000-0005-0000-0000-0000330F0000}"/>
    <cellStyle name="Normal 10 2 10 2 31 9" xfId="3892" xr:uid="{00000000-0005-0000-0000-0000340F0000}"/>
    <cellStyle name="Normal 10 2 10 2 32" xfId="3893" xr:uid="{00000000-0005-0000-0000-0000350F0000}"/>
    <cellStyle name="Normal 10 2 10 2 32 10" xfId="3894" xr:uid="{00000000-0005-0000-0000-0000360F0000}"/>
    <cellStyle name="Normal 10 2 10 2 32 11" xfId="3895" xr:uid="{00000000-0005-0000-0000-0000370F0000}"/>
    <cellStyle name="Normal 10 2 10 2 32 12" xfId="3896" xr:uid="{00000000-0005-0000-0000-0000380F0000}"/>
    <cellStyle name="Normal 10 2 10 2 32 13" xfId="3897" xr:uid="{00000000-0005-0000-0000-0000390F0000}"/>
    <cellStyle name="Normal 10 2 10 2 32 14" xfId="3898" xr:uid="{00000000-0005-0000-0000-00003A0F0000}"/>
    <cellStyle name="Normal 10 2 10 2 32 2" xfId="3899" xr:uid="{00000000-0005-0000-0000-00003B0F0000}"/>
    <cellStyle name="Normal 10 2 10 2 32 2 10" xfId="3900" xr:uid="{00000000-0005-0000-0000-00003C0F0000}"/>
    <cellStyle name="Normal 10 2 10 2 32 2 2" xfId="3901" xr:uid="{00000000-0005-0000-0000-00003D0F0000}"/>
    <cellStyle name="Normal 10 2 10 2 32 2 3" xfId="3902" xr:uid="{00000000-0005-0000-0000-00003E0F0000}"/>
    <cellStyle name="Normal 10 2 10 2 32 2 4" xfId="3903" xr:uid="{00000000-0005-0000-0000-00003F0F0000}"/>
    <cellStyle name="Normal 10 2 10 2 32 2 5" xfId="3904" xr:uid="{00000000-0005-0000-0000-0000400F0000}"/>
    <cellStyle name="Normal 10 2 10 2 32 2 6" xfId="3905" xr:uid="{00000000-0005-0000-0000-0000410F0000}"/>
    <cellStyle name="Normal 10 2 10 2 32 2 7" xfId="3906" xr:uid="{00000000-0005-0000-0000-0000420F0000}"/>
    <cellStyle name="Normal 10 2 10 2 32 2 8" xfId="3907" xr:uid="{00000000-0005-0000-0000-0000430F0000}"/>
    <cellStyle name="Normal 10 2 10 2 32 2 9" xfId="3908" xr:uid="{00000000-0005-0000-0000-0000440F0000}"/>
    <cellStyle name="Normal 10 2 10 2 32 3" xfId="3909" xr:uid="{00000000-0005-0000-0000-0000450F0000}"/>
    <cellStyle name="Normal 10 2 10 2 32 3 10" xfId="3910" xr:uid="{00000000-0005-0000-0000-0000460F0000}"/>
    <cellStyle name="Normal 10 2 10 2 32 3 2" xfId="3911" xr:uid="{00000000-0005-0000-0000-0000470F0000}"/>
    <cellStyle name="Normal 10 2 10 2 32 3 3" xfId="3912" xr:uid="{00000000-0005-0000-0000-0000480F0000}"/>
    <cellStyle name="Normal 10 2 10 2 32 3 4" xfId="3913" xr:uid="{00000000-0005-0000-0000-0000490F0000}"/>
    <cellStyle name="Normal 10 2 10 2 32 3 5" xfId="3914" xr:uid="{00000000-0005-0000-0000-00004A0F0000}"/>
    <cellStyle name="Normal 10 2 10 2 32 3 6" xfId="3915" xr:uid="{00000000-0005-0000-0000-00004B0F0000}"/>
    <cellStyle name="Normal 10 2 10 2 32 3 7" xfId="3916" xr:uid="{00000000-0005-0000-0000-00004C0F0000}"/>
    <cellStyle name="Normal 10 2 10 2 32 3 8" xfId="3917" xr:uid="{00000000-0005-0000-0000-00004D0F0000}"/>
    <cellStyle name="Normal 10 2 10 2 32 3 9" xfId="3918" xr:uid="{00000000-0005-0000-0000-00004E0F0000}"/>
    <cellStyle name="Normal 10 2 10 2 32 4" xfId="3919" xr:uid="{00000000-0005-0000-0000-00004F0F0000}"/>
    <cellStyle name="Normal 10 2 10 2 32 4 10" xfId="3920" xr:uid="{00000000-0005-0000-0000-0000500F0000}"/>
    <cellStyle name="Normal 10 2 10 2 32 4 2" xfId="3921" xr:uid="{00000000-0005-0000-0000-0000510F0000}"/>
    <cellStyle name="Normal 10 2 10 2 32 4 3" xfId="3922" xr:uid="{00000000-0005-0000-0000-0000520F0000}"/>
    <cellStyle name="Normal 10 2 10 2 32 4 4" xfId="3923" xr:uid="{00000000-0005-0000-0000-0000530F0000}"/>
    <cellStyle name="Normal 10 2 10 2 32 4 5" xfId="3924" xr:uid="{00000000-0005-0000-0000-0000540F0000}"/>
    <cellStyle name="Normal 10 2 10 2 32 4 6" xfId="3925" xr:uid="{00000000-0005-0000-0000-0000550F0000}"/>
    <cellStyle name="Normal 10 2 10 2 32 4 7" xfId="3926" xr:uid="{00000000-0005-0000-0000-0000560F0000}"/>
    <cellStyle name="Normal 10 2 10 2 32 4 8" xfId="3927" xr:uid="{00000000-0005-0000-0000-0000570F0000}"/>
    <cellStyle name="Normal 10 2 10 2 32 4 9" xfId="3928" xr:uid="{00000000-0005-0000-0000-0000580F0000}"/>
    <cellStyle name="Normal 10 2 10 2 32 5" xfId="3929" xr:uid="{00000000-0005-0000-0000-0000590F0000}"/>
    <cellStyle name="Normal 10 2 10 2 32 5 10" xfId="3930" xr:uid="{00000000-0005-0000-0000-00005A0F0000}"/>
    <cellStyle name="Normal 10 2 10 2 32 5 2" xfId="3931" xr:uid="{00000000-0005-0000-0000-00005B0F0000}"/>
    <cellStyle name="Normal 10 2 10 2 32 5 3" xfId="3932" xr:uid="{00000000-0005-0000-0000-00005C0F0000}"/>
    <cellStyle name="Normal 10 2 10 2 32 5 4" xfId="3933" xr:uid="{00000000-0005-0000-0000-00005D0F0000}"/>
    <cellStyle name="Normal 10 2 10 2 32 5 5" xfId="3934" xr:uid="{00000000-0005-0000-0000-00005E0F0000}"/>
    <cellStyle name="Normal 10 2 10 2 32 5 6" xfId="3935" xr:uid="{00000000-0005-0000-0000-00005F0F0000}"/>
    <cellStyle name="Normal 10 2 10 2 32 5 7" xfId="3936" xr:uid="{00000000-0005-0000-0000-0000600F0000}"/>
    <cellStyle name="Normal 10 2 10 2 32 5 8" xfId="3937" xr:uid="{00000000-0005-0000-0000-0000610F0000}"/>
    <cellStyle name="Normal 10 2 10 2 32 5 9" xfId="3938" xr:uid="{00000000-0005-0000-0000-0000620F0000}"/>
    <cellStyle name="Normal 10 2 10 2 32 6" xfId="3939" xr:uid="{00000000-0005-0000-0000-0000630F0000}"/>
    <cellStyle name="Normal 10 2 10 2 32 7" xfId="3940" xr:uid="{00000000-0005-0000-0000-0000640F0000}"/>
    <cellStyle name="Normal 10 2 10 2 32 8" xfId="3941" xr:uid="{00000000-0005-0000-0000-0000650F0000}"/>
    <cellStyle name="Normal 10 2 10 2 32 9" xfId="3942" xr:uid="{00000000-0005-0000-0000-0000660F0000}"/>
    <cellStyle name="Normal 10 2 10 2 33" xfId="3943" xr:uid="{00000000-0005-0000-0000-0000670F0000}"/>
    <cellStyle name="Normal 10 2 10 2 33 10" xfId="3944" xr:uid="{00000000-0005-0000-0000-0000680F0000}"/>
    <cellStyle name="Normal 10 2 10 2 33 11" xfId="3945" xr:uid="{00000000-0005-0000-0000-0000690F0000}"/>
    <cellStyle name="Normal 10 2 10 2 33 12" xfId="3946" xr:uid="{00000000-0005-0000-0000-00006A0F0000}"/>
    <cellStyle name="Normal 10 2 10 2 33 13" xfId="3947" xr:uid="{00000000-0005-0000-0000-00006B0F0000}"/>
    <cellStyle name="Normal 10 2 10 2 33 14" xfId="3948" xr:uid="{00000000-0005-0000-0000-00006C0F0000}"/>
    <cellStyle name="Normal 10 2 10 2 33 2" xfId="3949" xr:uid="{00000000-0005-0000-0000-00006D0F0000}"/>
    <cellStyle name="Normal 10 2 10 2 33 2 10" xfId="3950" xr:uid="{00000000-0005-0000-0000-00006E0F0000}"/>
    <cellStyle name="Normal 10 2 10 2 33 2 2" xfId="3951" xr:uid="{00000000-0005-0000-0000-00006F0F0000}"/>
    <cellStyle name="Normal 10 2 10 2 33 2 3" xfId="3952" xr:uid="{00000000-0005-0000-0000-0000700F0000}"/>
    <cellStyle name="Normal 10 2 10 2 33 2 4" xfId="3953" xr:uid="{00000000-0005-0000-0000-0000710F0000}"/>
    <cellStyle name="Normal 10 2 10 2 33 2 5" xfId="3954" xr:uid="{00000000-0005-0000-0000-0000720F0000}"/>
    <cellStyle name="Normal 10 2 10 2 33 2 6" xfId="3955" xr:uid="{00000000-0005-0000-0000-0000730F0000}"/>
    <cellStyle name="Normal 10 2 10 2 33 2 7" xfId="3956" xr:uid="{00000000-0005-0000-0000-0000740F0000}"/>
    <cellStyle name="Normal 10 2 10 2 33 2 8" xfId="3957" xr:uid="{00000000-0005-0000-0000-0000750F0000}"/>
    <cellStyle name="Normal 10 2 10 2 33 2 9" xfId="3958" xr:uid="{00000000-0005-0000-0000-0000760F0000}"/>
    <cellStyle name="Normal 10 2 10 2 33 3" xfId="3959" xr:uid="{00000000-0005-0000-0000-0000770F0000}"/>
    <cellStyle name="Normal 10 2 10 2 33 3 10" xfId="3960" xr:uid="{00000000-0005-0000-0000-0000780F0000}"/>
    <cellStyle name="Normal 10 2 10 2 33 3 2" xfId="3961" xr:uid="{00000000-0005-0000-0000-0000790F0000}"/>
    <cellStyle name="Normal 10 2 10 2 33 3 3" xfId="3962" xr:uid="{00000000-0005-0000-0000-00007A0F0000}"/>
    <cellStyle name="Normal 10 2 10 2 33 3 4" xfId="3963" xr:uid="{00000000-0005-0000-0000-00007B0F0000}"/>
    <cellStyle name="Normal 10 2 10 2 33 3 5" xfId="3964" xr:uid="{00000000-0005-0000-0000-00007C0F0000}"/>
    <cellStyle name="Normal 10 2 10 2 33 3 6" xfId="3965" xr:uid="{00000000-0005-0000-0000-00007D0F0000}"/>
    <cellStyle name="Normal 10 2 10 2 33 3 7" xfId="3966" xr:uid="{00000000-0005-0000-0000-00007E0F0000}"/>
    <cellStyle name="Normal 10 2 10 2 33 3 8" xfId="3967" xr:uid="{00000000-0005-0000-0000-00007F0F0000}"/>
    <cellStyle name="Normal 10 2 10 2 33 3 9" xfId="3968" xr:uid="{00000000-0005-0000-0000-0000800F0000}"/>
    <cellStyle name="Normal 10 2 10 2 33 4" xfId="3969" xr:uid="{00000000-0005-0000-0000-0000810F0000}"/>
    <cellStyle name="Normal 10 2 10 2 33 4 10" xfId="3970" xr:uid="{00000000-0005-0000-0000-0000820F0000}"/>
    <cellStyle name="Normal 10 2 10 2 33 4 2" xfId="3971" xr:uid="{00000000-0005-0000-0000-0000830F0000}"/>
    <cellStyle name="Normal 10 2 10 2 33 4 3" xfId="3972" xr:uid="{00000000-0005-0000-0000-0000840F0000}"/>
    <cellStyle name="Normal 10 2 10 2 33 4 4" xfId="3973" xr:uid="{00000000-0005-0000-0000-0000850F0000}"/>
    <cellStyle name="Normal 10 2 10 2 33 4 5" xfId="3974" xr:uid="{00000000-0005-0000-0000-0000860F0000}"/>
    <cellStyle name="Normal 10 2 10 2 33 4 6" xfId="3975" xr:uid="{00000000-0005-0000-0000-0000870F0000}"/>
    <cellStyle name="Normal 10 2 10 2 33 4 7" xfId="3976" xr:uid="{00000000-0005-0000-0000-0000880F0000}"/>
    <cellStyle name="Normal 10 2 10 2 33 4 8" xfId="3977" xr:uid="{00000000-0005-0000-0000-0000890F0000}"/>
    <cellStyle name="Normal 10 2 10 2 33 4 9" xfId="3978" xr:uid="{00000000-0005-0000-0000-00008A0F0000}"/>
    <cellStyle name="Normal 10 2 10 2 33 5" xfId="3979" xr:uid="{00000000-0005-0000-0000-00008B0F0000}"/>
    <cellStyle name="Normal 10 2 10 2 33 5 10" xfId="3980" xr:uid="{00000000-0005-0000-0000-00008C0F0000}"/>
    <cellStyle name="Normal 10 2 10 2 33 5 2" xfId="3981" xr:uid="{00000000-0005-0000-0000-00008D0F0000}"/>
    <cellStyle name="Normal 10 2 10 2 33 5 3" xfId="3982" xr:uid="{00000000-0005-0000-0000-00008E0F0000}"/>
    <cellStyle name="Normal 10 2 10 2 33 5 4" xfId="3983" xr:uid="{00000000-0005-0000-0000-00008F0F0000}"/>
    <cellStyle name="Normal 10 2 10 2 33 5 5" xfId="3984" xr:uid="{00000000-0005-0000-0000-0000900F0000}"/>
    <cellStyle name="Normal 10 2 10 2 33 5 6" xfId="3985" xr:uid="{00000000-0005-0000-0000-0000910F0000}"/>
    <cellStyle name="Normal 10 2 10 2 33 5 7" xfId="3986" xr:uid="{00000000-0005-0000-0000-0000920F0000}"/>
    <cellStyle name="Normal 10 2 10 2 33 5 8" xfId="3987" xr:uid="{00000000-0005-0000-0000-0000930F0000}"/>
    <cellStyle name="Normal 10 2 10 2 33 5 9" xfId="3988" xr:uid="{00000000-0005-0000-0000-0000940F0000}"/>
    <cellStyle name="Normal 10 2 10 2 33 6" xfId="3989" xr:uid="{00000000-0005-0000-0000-0000950F0000}"/>
    <cellStyle name="Normal 10 2 10 2 33 7" xfId="3990" xr:uid="{00000000-0005-0000-0000-0000960F0000}"/>
    <cellStyle name="Normal 10 2 10 2 33 8" xfId="3991" xr:uid="{00000000-0005-0000-0000-0000970F0000}"/>
    <cellStyle name="Normal 10 2 10 2 33 9" xfId="3992" xr:uid="{00000000-0005-0000-0000-0000980F0000}"/>
    <cellStyle name="Normal 10 2 10 2 34" xfId="3993" xr:uid="{00000000-0005-0000-0000-0000990F0000}"/>
    <cellStyle name="Normal 10 2 10 2 34 10" xfId="3994" xr:uid="{00000000-0005-0000-0000-00009A0F0000}"/>
    <cellStyle name="Normal 10 2 10 2 34 2" xfId="3995" xr:uid="{00000000-0005-0000-0000-00009B0F0000}"/>
    <cellStyle name="Normal 10 2 10 2 34 3" xfId="3996" xr:uid="{00000000-0005-0000-0000-00009C0F0000}"/>
    <cellStyle name="Normal 10 2 10 2 34 4" xfId="3997" xr:uid="{00000000-0005-0000-0000-00009D0F0000}"/>
    <cellStyle name="Normal 10 2 10 2 34 5" xfId="3998" xr:uid="{00000000-0005-0000-0000-00009E0F0000}"/>
    <cellStyle name="Normal 10 2 10 2 34 6" xfId="3999" xr:uid="{00000000-0005-0000-0000-00009F0F0000}"/>
    <cellStyle name="Normal 10 2 10 2 34 7" xfId="4000" xr:uid="{00000000-0005-0000-0000-0000A00F0000}"/>
    <cellStyle name="Normal 10 2 10 2 34 8" xfId="4001" xr:uid="{00000000-0005-0000-0000-0000A10F0000}"/>
    <cellStyle name="Normal 10 2 10 2 34 9" xfId="4002" xr:uid="{00000000-0005-0000-0000-0000A20F0000}"/>
    <cellStyle name="Normal 10 2 10 2 35" xfId="4003" xr:uid="{00000000-0005-0000-0000-0000A30F0000}"/>
    <cellStyle name="Normal 10 2 10 2 35 10" xfId="4004" xr:uid="{00000000-0005-0000-0000-0000A40F0000}"/>
    <cellStyle name="Normal 10 2 10 2 35 2" xfId="4005" xr:uid="{00000000-0005-0000-0000-0000A50F0000}"/>
    <cellStyle name="Normal 10 2 10 2 35 3" xfId="4006" xr:uid="{00000000-0005-0000-0000-0000A60F0000}"/>
    <cellStyle name="Normal 10 2 10 2 35 4" xfId="4007" xr:uid="{00000000-0005-0000-0000-0000A70F0000}"/>
    <cellStyle name="Normal 10 2 10 2 35 5" xfId="4008" xr:uid="{00000000-0005-0000-0000-0000A80F0000}"/>
    <cellStyle name="Normal 10 2 10 2 35 6" xfId="4009" xr:uid="{00000000-0005-0000-0000-0000A90F0000}"/>
    <cellStyle name="Normal 10 2 10 2 35 7" xfId="4010" xr:uid="{00000000-0005-0000-0000-0000AA0F0000}"/>
    <cellStyle name="Normal 10 2 10 2 35 8" xfId="4011" xr:uid="{00000000-0005-0000-0000-0000AB0F0000}"/>
    <cellStyle name="Normal 10 2 10 2 35 9" xfId="4012" xr:uid="{00000000-0005-0000-0000-0000AC0F0000}"/>
    <cellStyle name="Normal 10 2 10 2 36" xfId="4013" xr:uid="{00000000-0005-0000-0000-0000AD0F0000}"/>
    <cellStyle name="Normal 10 2 10 2 36 10" xfId="4014" xr:uid="{00000000-0005-0000-0000-0000AE0F0000}"/>
    <cellStyle name="Normal 10 2 10 2 36 2" xfId="4015" xr:uid="{00000000-0005-0000-0000-0000AF0F0000}"/>
    <cellStyle name="Normal 10 2 10 2 36 3" xfId="4016" xr:uid="{00000000-0005-0000-0000-0000B00F0000}"/>
    <cellStyle name="Normal 10 2 10 2 36 4" xfId="4017" xr:uid="{00000000-0005-0000-0000-0000B10F0000}"/>
    <cellStyle name="Normal 10 2 10 2 36 5" xfId="4018" xr:uid="{00000000-0005-0000-0000-0000B20F0000}"/>
    <cellStyle name="Normal 10 2 10 2 36 6" xfId="4019" xr:uid="{00000000-0005-0000-0000-0000B30F0000}"/>
    <cellStyle name="Normal 10 2 10 2 36 7" xfId="4020" xr:uid="{00000000-0005-0000-0000-0000B40F0000}"/>
    <cellStyle name="Normal 10 2 10 2 36 8" xfId="4021" xr:uid="{00000000-0005-0000-0000-0000B50F0000}"/>
    <cellStyle name="Normal 10 2 10 2 36 9" xfId="4022" xr:uid="{00000000-0005-0000-0000-0000B60F0000}"/>
    <cellStyle name="Normal 10 2 10 2 37" xfId="4023" xr:uid="{00000000-0005-0000-0000-0000B70F0000}"/>
    <cellStyle name="Normal 10 2 10 2 37 10" xfId="4024" xr:uid="{00000000-0005-0000-0000-0000B80F0000}"/>
    <cellStyle name="Normal 10 2 10 2 37 2" xfId="4025" xr:uid="{00000000-0005-0000-0000-0000B90F0000}"/>
    <cellStyle name="Normal 10 2 10 2 37 3" xfId="4026" xr:uid="{00000000-0005-0000-0000-0000BA0F0000}"/>
    <cellStyle name="Normal 10 2 10 2 37 4" xfId="4027" xr:uid="{00000000-0005-0000-0000-0000BB0F0000}"/>
    <cellStyle name="Normal 10 2 10 2 37 5" xfId="4028" xr:uid="{00000000-0005-0000-0000-0000BC0F0000}"/>
    <cellStyle name="Normal 10 2 10 2 37 6" xfId="4029" xr:uid="{00000000-0005-0000-0000-0000BD0F0000}"/>
    <cellStyle name="Normal 10 2 10 2 37 7" xfId="4030" xr:uid="{00000000-0005-0000-0000-0000BE0F0000}"/>
    <cellStyle name="Normal 10 2 10 2 37 8" xfId="4031" xr:uid="{00000000-0005-0000-0000-0000BF0F0000}"/>
    <cellStyle name="Normal 10 2 10 2 37 9" xfId="4032" xr:uid="{00000000-0005-0000-0000-0000C00F0000}"/>
    <cellStyle name="Normal 10 2 10 2 38" xfId="4033" xr:uid="{00000000-0005-0000-0000-0000C10F0000}"/>
    <cellStyle name="Normal 10 2 10 2 39" xfId="4034" xr:uid="{00000000-0005-0000-0000-0000C20F0000}"/>
    <cellStyle name="Normal 10 2 10 2 4" xfId="4035" xr:uid="{00000000-0005-0000-0000-0000C30F0000}"/>
    <cellStyle name="Normal 10 2 10 2 4 10" xfId="4036" xr:uid="{00000000-0005-0000-0000-0000C40F0000}"/>
    <cellStyle name="Normal 10 2 10 2 4 11" xfId="4037" xr:uid="{00000000-0005-0000-0000-0000C50F0000}"/>
    <cellStyle name="Normal 10 2 10 2 4 12" xfId="4038" xr:uid="{00000000-0005-0000-0000-0000C60F0000}"/>
    <cellStyle name="Normal 10 2 10 2 4 13" xfId="4039" xr:uid="{00000000-0005-0000-0000-0000C70F0000}"/>
    <cellStyle name="Normal 10 2 10 2 4 14" xfId="4040" xr:uid="{00000000-0005-0000-0000-0000C80F0000}"/>
    <cellStyle name="Normal 10 2 10 2 4 2" xfId="4041" xr:uid="{00000000-0005-0000-0000-0000C90F0000}"/>
    <cellStyle name="Normal 10 2 10 2 4 2 10" xfId="4042" xr:uid="{00000000-0005-0000-0000-0000CA0F0000}"/>
    <cellStyle name="Normal 10 2 10 2 4 2 2" xfId="4043" xr:uid="{00000000-0005-0000-0000-0000CB0F0000}"/>
    <cellStyle name="Normal 10 2 10 2 4 2 3" xfId="4044" xr:uid="{00000000-0005-0000-0000-0000CC0F0000}"/>
    <cellStyle name="Normal 10 2 10 2 4 2 4" xfId="4045" xr:uid="{00000000-0005-0000-0000-0000CD0F0000}"/>
    <cellStyle name="Normal 10 2 10 2 4 2 5" xfId="4046" xr:uid="{00000000-0005-0000-0000-0000CE0F0000}"/>
    <cellStyle name="Normal 10 2 10 2 4 2 6" xfId="4047" xr:uid="{00000000-0005-0000-0000-0000CF0F0000}"/>
    <cellStyle name="Normal 10 2 10 2 4 2 7" xfId="4048" xr:uid="{00000000-0005-0000-0000-0000D00F0000}"/>
    <cellStyle name="Normal 10 2 10 2 4 2 8" xfId="4049" xr:uid="{00000000-0005-0000-0000-0000D10F0000}"/>
    <cellStyle name="Normal 10 2 10 2 4 2 9" xfId="4050" xr:uid="{00000000-0005-0000-0000-0000D20F0000}"/>
    <cellStyle name="Normal 10 2 10 2 4 3" xfId="4051" xr:uid="{00000000-0005-0000-0000-0000D30F0000}"/>
    <cellStyle name="Normal 10 2 10 2 4 3 10" xfId="4052" xr:uid="{00000000-0005-0000-0000-0000D40F0000}"/>
    <cellStyle name="Normal 10 2 10 2 4 3 2" xfId="4053" xr:uid="{00000000-0005-0000-0000-0000D50F0000}"/>
    <cellStyle name="Normal 10 2 10 2 4 3 3" xfId="4054" xr:uid="{00000000-0005-0000-0000-0000D60F0000}"/>
    <cellStyle name="Normal 10 2 10 2 4 3 4" xfId="4055" xr:uid="{00000000-0005-0000-0000-0000D70F0000}"/>
    <cellStyle name="Normal 10 2 10 2 4 3 5" xfId="4056" xr:uid="{00000000-0005-0000-0000-0000D80F0000}"/>
    <cellStyle name="Normal 10 2 10 2 4 3 6" xfId="4057" xr:uid="{00000000-0005-0000-0000-0000D90F0000}"/>
    <cellStyle name="Normal 10 2 10 2 4 3 7" xfId="4058" xr:uid="{00000000-0005-0000-0000-0000DA0F0000}"/>
    <cellStyle name="Normal 10 2 10 2 4 3 8" xfId="4059" xr:uid="{00000000-0005-0000-0000-0000DB0F0000}"/>
    <cellStyle name="Normal 10 2 10 2 4 3 9" xfId="4060" xr:uid="{00000000-0005-0000-0000-0000DC0F0000}"/>
    <cellStyle name="Normal 10 2 10 2 4 4" xfId="4061" xr:uid="{00000000-0005-0000-0000-0000DD0F0000}"/>
    <cellStyle name="Normal 10 2 10 2 4 4 10" xfId="4062" xr:uid="{00000000-0005-0000-0000-0000DE0F0000}"/>
    <cellStyle name="Normal 10 2 10 2 4 4 2" xfId="4063" xr:uid="{00000000-0005-0000-0000-0000DF0F0000}"/>
    <cellStyle name="Normal 10 2 10 2 4 4 3" xfId="4064" xr:uid="{00000000-0005-0000-0000-0000E00F0000}"/>
    <cellStyle name="Normal 10 2 10 2 4 4 4" xfId="4065" xr:uid="{00000000-0005-0000-0000-0000E10F0000}"/>
    <cellStyle name="Normal 10 2 10 2 4 4 5" xfId="4066" xr:uid="{00000000-0005-0000-0000-0000E20F0000}"/>
    <cellStyle name="Normal 10 2 10 2 4 4 6" xfId="4067" xr:uid="{00000000-0005-0000-0000-0000E30F0000}"/>
    <cellStyle name="Normal 10 2 10 2 4 4 7" xfId="4068" xr:uid="{00000000-0005-0000-0000-0000E40F0000}"/>
    <cellStyle name="Normal 10 2 10 2 4 4 8" xfId="4069" xr:uid="{00000000-0005-0000-0000-0000E50F0000}"/>
    <cellStyle name="Normal 10 2 10 2 4 4 9" xfId="4070" xr:uid="{00000000-0005-0000-0000-0000E60F0000}"/>
    <cellStyle name="Normal 10 2 10 2 4 5" xfId="4071" xr:uid="{00000000-0005-0000-0000-0000E70F0000}"/>
    <cellStyle name="Normal 10 2 10 2 4 5 10" xfId="4072" xr:uid="{00000000-0005-0000-0000-0000E80F0000}"/>
    <cellStyle name="Normal 10 2 10 2 4 5 2" xfId="4073" xr:uid="{00000000-0005-0000-0000-0000E90F0000}"/>
    <cellStyle name="Normal 10 2 10 2 4 5 3" xfId="4074" xr:uid="{00000000-0005-0000-0000-0000EA0F0000}"/>
    <cellStyle name="Normal 10 2 10 2 4 5 4" xfId="4075" xr:uid="{00000000-0005-0000-0000-0000EB0F0000}"/>
    <cellStyle name="Normal 10 2 10 2 4 5 5" xfId="4076" xr:uid="{00000000-0005-0000-0000-0000EC0F0000}"/>
    <cellStyle name="Normal 10 2 10 2 4 5 6" xfId="4077" xr:uid="{00000000-0005-0000-0000-0000ED0F0000}"/>
    <cellStyle name="Normal 10 2 10 2 4 5 7" xfId="4078" xr:uid="{00000000-0005-0000-0000-0000EE0F0000}"/>
    <cellStyle name="Normal 10 2 10 2 4 5 8" xfId="4079" xr:uid="{00000000-0005-0000-0000-0000EF0F0000}"/>
    <cellStyle name="Normal 10 2 10 2 4 5 9" xfId="4080" xr:uid="{00000000-0005-0000-0000-0000F00F0000}"/>
    <cellStyle name="Normal 10 2 10 2 4 6" xfId="4081" xr:uid="{00000000-0005-0000-0000-0000F10F0000}"/>
    <cellStyle name="Normal 10 2 10 2 4 7" xfId="4082" xr:uid="{00000000-0005-0000-0000-0000F20F0000}"/>
    <cellStyle name="Normal 10 2 10 2 4 8" xfId="4083" xr:uid="{00000000-0005-0000-0000-0000F30F0000}"/>
    <cellStyle name="Normal 10 2 10 2 4 9" xfId="4084" xr:uid="{00000000-0005-0000-0000-0000F40F0000}"/>
    <cellStyle name="Normal 10 2 10 2 40" xfId="4085" xr:uid="{00000000-0005-0000-0000-0000F50F0000}"/>
    <cellStyle name="Normal 10 2 10 2 41" xfId="4086" xr:uid="{00000000-0005-0000-0000-0000F60F0000}"/>
    <cellStyle name="Normal 10 2 10 2 42" xfId="4087" xr:uid="{00000000-0005-0000-0000-0000F70F0000}"/>
    <cellStyle name="Normal 10 2 10 2 43" xfId="4088" xr:uid="{00000000-0005-0000-0000-0000F80F0000}"/>
    <cellStyle name="Normal 10 2 10 2 44" xfId="4089" xr:uid="{00000000-0005-0000-0000-0000F90F0000}"/>
    <cellStyle name="Normal 10 2 10 2 45" xfId="4090" xr:uid="{00000000-0005-0000-0000-0000FA0F0000}"/>
    <cellStyle name="Normal 10 2 10 2 46" xfId="4091" xr:uid="{00000000-0005-0000-0000-0000FB0F0000}"/>
    <cellStyle name="Normal 10 2 10 2 47" xfId="4092" xr:uid="{00000000-0005-0000-0000-0000FC0F0000}"/>
    <cellStyle name="Normal 10 2 10 2 48" xfId="4093" xr:uid="{00000000-0005-0000-0000-0000FD0F0000}"/>
    <cellStyle name="Normal 10 2 10 2 5" xfId="4094" xr:uid="{00000000-0005-0000-0000-0000FE0F0000}"/>
    <cellStyle name="Normal 10 2 10 2 5 10" xfId="4095" xr:uid="{00000000-0005-0000-0000-0000FF0F0000}"/>
    <cellStyle name="Normal 10 2 10 2 5 11" xfId="4096" xr:uid="{00000000-0005-0000-0000-000000100000}"/>
    <cellStyle name="Normal 10 2 10 2 5 12" xfId="4097" xr:uid="{00000000-0005-0000-0000-000001100000}"/>
    <cellStyle name="Normal 10 2 10 2 5 13" xfId="4098" xr:uid="{00000000-0005-0000-0000-000002100000}"/>
    <cellStyle name="Normal 10 2 10 2 5 14" xfId="4099" xr:uid="{00000000-0005-0000-0000-000003100000}"/>
    <cellStyle name="Normal 10 2 10 2 5 2" xfId="4100" xr:uid="{00000000-0005-0000-0000-000004100000}"/>
    <cellStyle name="Normal 10 2 10 2 5 2 10" xfId="4101" xr:uid="{00000000-0005-0000-0000-000005100000}"/>
    <cellStyle name="Normal 10 2 10 2 5 2 2" xfId="4102" xr:uid="{00000000-0005-0000-0000-000006100000}"/>
    <cellStyle name="Normal 10 2 10 2 5 2 3" xfId="4103" xr:uid="{00000000-0005-0000-0000-000007100000}"/>
    <cellStyle name="Normal 10 2 10 2 5 2 4" xfId="4104" xr:uid="{00000000-0005-0000-0000-000008100000}"/>
    <cellStyle name="Normal 10 2 10 2 5 2 5" xfId="4105" xr:uid="{00000000-0005-0000-0000-000009100000}"/>
    <cellStyle name="Normal 10 2 10 2 5 2 6" xfId="4106" xr:uid="{00000000-0005-0000-0000-00000A100000}"/>
    <cellStyle name="Normal 10 2 10 2 5 2 7" xfId="4107" xr:uid="{00000000-0005-0000-0000-00000B100000}"/>
    <cellStyle name="Normal 10 2 10 2 5 2 8" xfId="4108" xr:uid="{00000000-0005-0000-0000-00000C100000}"/>
    <cellStyle name="Normal 10 2 10 2 5 2 9" xfId="4109" xr:uid="{00000000-0005-0000-0000-00000D100000}"/>
    <cellStyle name="Normal 10 2 10 2 5 3" xfId="4110" xr:uid="{00000000-0005-0000-0000-00000E100000}"/>
    <cellStyle name="Normal 10 2 10 2 5 3 10" xfId="4111" xr:uid="{00000000-0005-0000-0000-00000F100000}"/>
    <cellStyle name="Normal 10 2 10 2 5 3 2" xfId="4112" xr:uid="{00000000-0005-0000-0000-000010100000}"/>
    <cellStyle name="Normal 10 2 10 2 5 3 3" xfId="4113" xr:uid="{00000000-0005-0000-0000-000011100000}"/>
    <cellStyle name="Normal 10 2 10 2 5 3 4" xfId="4114" xr:uid="{00000000-0005-0000-0000-000012100000}"/>
    <cellStyle name="Normal 10 2 10 2 5 3 5" xfId="4115" xr:uid="{00000000-0005-0000-0000-000013100000}"/>
    <cellStyle name="Normal 10 2 10 2 5 3 6" xfId="4116" xr:uid="{00000000-0005-0000-0000-000014100000}"/>
    <cellStyle name="Normal 10 2 10 2 5 3 7" xfId="4117" xr:uid="{00000000-0005-0000-0000-000015100000}"/>
    <cellStyle name="Normal 10 2 10 2 5 3 8" xfId="4118" xr:uid="{00000000-0005-0000-0000-000016100000}"/>
    <cellStyle name="Normal 10 2 10 2 5 3 9" xfId="4119" xr:uid="{00000000-0005-0000-0000-000017100000}"/>
    <cellStyle name="Normal 10 2 10 2 5 4" xfId="4120" xr:uid="{00000000-0005-0000-0000-000018100000}"/>
    <cellStyle name="Normal 10 2 10 2 5 4 10" xfId="4121" xr:uid="{00000000-0005-0000-0000-000019100000}"/>
    <cellStyle name="Normal 10 2 10 2 5 4 2" xfId="4122" xr:uid="{00000000-0005-0000-0000-00001A100000}"/>
    <cellStyle name="Normal 10 2 10 2 5 4 3" xfId="4123" xr:uid="{00000000-0005-0000-0000-00001B100000}"/>
    <cellStyle name="Normal 10 2 10 2 5 4 4" xfId="4124" xr:uid="{00000000-0005-0000-0000-00001C100000}"/>
    <cellStyle name="Normal 10 2 10 2 5 4 5" xfId="4125" xr:uid="{00000000-0005-0000-0000-00001D100000}"/>
    <cellStyle name="Normal 10 2 10 2 5 4 6" xfId="4126" xr:uid="{00000000-0005-0000-0000-00001E100000}"/>
    <cellStyle name="Normal 10 2 10 2 5 4 7" xfId="4127" xr:uid="{00000000-0005-0000-0000-00001F100000}"/>
    <cellStyle name="Normal 10 2 10 2 5 4 8" xfId="4128" xr:uid="{00000000-0005-0000-0000-000020100000}"/>
    <cellStyle name="Normal 10 2 10 2 5 4 9" xfId="4129" xr:uid="{00000000-0005-0000-0000-000021100000}"/>
    <cellStyle name="Normal 10 2 10 2 5 5" xfId="4130" xr:uid="{00000000-0005-0000-0000-000022100000}"/>
    <cellStyle name="Normal 10 2 10 2 5 5 10" xfId="4131" xr:uid="{00000000-0005-0000-0000-000023100000}"/>
    <cellStyle name="Normal 10 2 10 2 5 5 2" xfId="4132" xr:uid="{00000000-0005-0000-0000-000024100000}"/>
    <cellStyle name="Normal 10 2 10 2 5 5 3" xfId="4133" xr:uid="{00000000-0005-0000-0000-000025100000}"/>
    <cellStyle name="Normal 10 2 10 2 5 5 4" xfId="4134" xr:uid="{00000000-0005-0000-0000-000026100000}"/>
    <cellStyle name="Normal 10 2 10 2 5 5 5" xfId="4135" xr:uid="{00000000-0005-0000-0000-000027100000}"/>
    <cellStyle name="Normal 10 2 10 2 5 5 6" xfId="4136" xr:uid="{00000000-0005-0000-0000-000028100000}"/>
    <cellStyle name="Normal 10 2 10 2 5 5 7" xfId="4137" xr:uid="{00000000-0005-0000-0000-000029100000}"/>
    <cellStyle name="Normal 10 2 10 2 5 5 8" xfId="4138" xr:uid="{00000000-0005-0000-0000-00002A100000}"/>
    <cellStyle name="Normal 10 2 10 2 5 5 9" xfId="4139" xr:uid="{00000000-0005-0000-0000-00002B100000}"/>
    <cellStyle name="Normal 10 2 10 2 5 6" xfId="4140" xr:uid="{00000000-0005-0000-0000-00002C100000}"/>
    <cellStyle name="Normal 10 2 10 2 5 7" xfId="4141" xr:uid="{00000000-0005-0000-0000-00002D100000}"/>
    <cellStyle name="Normal 10 2 10 2 5 8" xfId="4142" xr:uid="{00000000-0005-0000-0000-00002E100000}"/>
    <cellStyle name="Normal 10 2 10 2 5 9" xfId="4143" xr:uid="{00000000-0005-0000-0000-00002F100000}"/>
    <cellStyle name="Normal 10 2 10 2 6" xfId="4144" xr:uid="{00000000-0005-0000-0000-000030100000}"/>
    <cellStyle name="Normal 10 2 10 2 6 10" xfId="4145" xr:uid="{00000000-0005-0000-0000-000031100000}"/>
    <cellStyle name="Normal 10 2 10 2 6 11" xfId="4146" xr:uid="{00000000-0005-0000-0000-000032100000}"/>
    <cellStyle name="Normal 10 2 10 2 6 12" xfId="4147" xr:uid="{00000000-0005-0000-0000-000033100000}"/>
    <cellStyle name="Normal 10 2 10 2 6 13" xfId="4148" xr:uid="{00000000-0005-0000-0000-000034100000}"/>
    <cellStyle name="Normal 10 2 10 2 6 14" xfId="4149" xr:uid="{00000000-0005-0000-0000-000035100000}"/>
    <cellStyle name="Normal 10 2 10 2 6 2" xfId="4150" xr:uid="{00000000-0005-0000-0000-000036100000}"/>
    <cellStyle name="Normal 10 2 10 2 6 2 10" xfId="4151" xr:uid="{00000000-0005-0000-0000-000037100000}"/>
    <cellStyle name="Normal 10 2 10 2 6 2 2" xfId="4152" xr:uid="{00000000-0005-0000-0000-000038100000}"/>
    <cellStyle name="Normal 10 2 10 2 6 2 3" xfId="4153" xr:uid="{00000000-0005-0000-0000-000039100000}"/>
    <cellStyle name="Normal 10 2 10 2 6 2 4" xfId="4154" xr:uid="{00000000-0005-0000-0000-00003A100000}"/>
    <cellStyle name="Normal 10 2 10 2 6 2 5" xfId="4155" xr:uid="{00000000-0005-0000-0000-00003B100000}"/>
    <cellStyle name="Normal 10 2 10 2 6 2 6" xfId="4156" xr:uid="{00000000-0005-0000-0000-00003C100000}"/>
    <cellStyle name="Normal 10 2 10 2 6 2 7" xfId="4157" xr:uid="{00000000-0005-0000-0000-00003D100000}"/>
    <cellStyle name="Normal 10 2 10 2 6 2 8" xfId="4158" xr:uid="{00000000-0005-0000-0000-00003E100000}"/>
    <cellStyle name="Normal 10 2 10 2 6 2 9" xfId="4159" xr:uid="{00000000-0005-0000-0000-00003F100000}"/>
    <cellStyle name="Normal 10 2 10 2 6 3" xfId="4160" xr:uid="{00000000-0005-0000-0000-000040100000}"/>
    <cellStyle name="Normal 10 2 10 2 6 3 10" xfId="4161" xr:uid="{00000000-0005-0000-0000-000041100000}"/>
    <cellStyle name="Normal 10 2 10 2 6 3 2" xfId="4162" xr:uid="{00000000-0005-0000-0000-000042100000}"/>
    <cellStyle name="Normal 10 2 10 2 6 3 3" xfId="4163" xr:uid="{00000000-0005-0000-0000-000043100000}"/>
    <cellStyle name="Normal 10 2 10 2 6 3 4" xfId="4164" xr:uid="{00000000-0005-0000-0000-000044100000}"/>
    <cellStyle name="Normal 10 2 10 2 6 3 5" xfId="4165" xr:uid="{00000000-0005-0000-0000-000045100000}"/>
    <cellStyle name="Normal 10 2 10 2 6 3 6" xfId="4166" xr:uid="{00000000-0005-0000-0000-000046100000}"/>
    <cellStyle name="Normal 10 2 10 2 6 3 7" xfId="4167" xr:uid="{00000000-0005-0000-0000-000047100000}"/>
    <cellStyle name="Normal 10 2 10 2 6 3 8" xfId="4168" xr:uid="{00000000-0005-0000-0000-000048100000}"/>
    <cellStyle name="Normal 10 2 10 2 6 3 9" xfId="4169" xr:uid="{00000000-0005-0000-0000-000049100000}"/>
    <cellStyle name="Normal 10 2 10 2 6 4" xfId="4170" xr:uid="{00000000-0005-0000-0000-00004A100000}"/>
    <cellStyle name="Normal 10 2 10 2 6 4 10" xfId="4171" xr:uid="{00000000-0005-0000-0000-00004B100000}"/>
    <cellStyle name="Normal 10 2 10 2 6 4 2" xfId="4172" xr:uid="{00000000-0005-0000-0000-00004C100000}"/>
    <cellStyle name="Normal 10 2 10 2 6 4 3" xfId="4173" xr:uid="{00000000-0005-0000-0000-00004D100000}"/>
    <cellStyle name="Normal 10 2 10 2 6 4 4" xfId="4174" xr:uid="{00000000-0005-0000-0000-00004E100000}"/>
    <cellStyle name="Normal 10 2 10 2 6 4 5" xfId="4175" xr:uid="{00000000-0005-0000-0000-00004F100000}"/>
    <cellStyle name="Normal 10 2 10 2 6 4 6" xfId="4176" xr:uid="{00000000-0005-0000-0000-000050100000}"/>
    <cellStyle name="Normal 10 2 10 2 6 4 7" xfId="4177" xr:uid="{00000000-0005-0000-0000-000051100000}"/>
    <cellStyle name="Normal 10 2 10 2 6 4 8" xfId="4178" xr:uid="{00000000-0005-0000-0000-000052100000}"/>
    <cellStyle name="Normal 10 2 10 2 6 4 9" xfId="4179" xr:uid="{00000000-0005-0000-0000-000053100000}"/>
    <cellStyle name="Normal 10 2 10 2 6 5" xfId="4180" xr:uid="{00000000-0005-0000-0000-000054100000}"/>
    <cellStyle name="Normal 10 2 10 2 6 5 10" xfId="4181" xr:uid="{00000000-0005-0000-0000-000055100000}"/>
    <cellStyle name="Normal 10 2 10 2 6 5 2" xfId="4182" xr:uid="{00000000-0005-0000-0000-000056100000}"/>
    <cellStyle name="Normal 10 2 10 2 6 5 3" xfId="4183" xr:uid="{00000000-0005-0000-0000-000057100000}"/>
    <cellStyle name="Normal 10 2 10 2 6 5 4" xfId="4184" xr:uid="{00000000-0005-0000-0000-000058100000}"/>
    <cellStyle name="Normal 10 2 10 2 6 5 5" xfId="4185" xr:uid="{00000000-0005-0000-0000-000059100000}"/>
    <cellStyle name="Normal 10 2 10 2 6 5 6" xfId="4186" xr:uid="{00000000-0005-0000-0000-00005A100000}"/>
    <cellStyle name="Normal 10 2 10 2 6 5 7" xfId="4187" xr:uid="{00000000-0005-0000-0000-00005B100000}"/>
    <cellStyle name="Normal 10 2 10 2 6 5 8" xfId="4188" xr:uid="{00000000-0005-0000-0000-00005C100000}"/>
    <cellStyle name="Normal 10 2 10 2 6 5 9" xfId="4189" xr:uid="{00000000-0005-0000-0000-00005D100000}"/>
    <cellStyle name="Normal 10 2 10 2 6 6" xfId="4190" xr:uid="{00000000-0005-0000-0000-00005E100000}"/>
    <cellStyle name="Normal 10 2 10 2 6 7" xfId="4191" xr:uid="{00000000-0005-0000-0000-00005F100000}"/>
    <cellStyle name="Normal 10 2 10 2 6 8" xfId="4192" xr:uid="{00000000-0005-0000-0000-000060100000}"/>
    <cellStyle name="Normal 10 2 10 2 6 9" xfId="4193" xr:uid="{00000000-0005-0000-0000-000061100000}"/>
    <cellStyle name="Normal 10 2 10 2 7" xfId="4194" xr:uid="{00000000-0005-0000-0000-000062100000}"/>
    <cellStyle name="Normal 10 2 10 2 7 10" xfId="4195" xr:uid="{00000000-0005-0000-0000-000063100000}"/>
    <cellStyle name="Normal 10 2 10 2 7 11" xfId="4196" xr:uid="{00000000-0005-0000-0000-000064100000}"/>
    <cellStyle name="Normal 10 2 10 2 7 12" xfId="4197" xr:uid="{00000000-0005-0000-0000-000065100000}"/>
    <cellStyle name="Normal 10 2 10 2 7 13" xfId="4198" xr:uid="{00000000-0005-0000-0000-000066100000}"/>
    <cellStyle name="Normal 10 2 10 2 7 14" xfId="4199" xr:uid="{00000000-0005-0000-0000-000067100000}"/>
    <cellStyle name="Normal 10 2 10 2 7 2" xfId="4200" xr:uid="{00000000-0005-0000-0000-000068100000}"/>
    <cellStyle name="Normal 10 2 10 2 7 2 10" xfId="4201" xr:uid="{00000000-0005-0000-0000-000069100000}"/>
    <cellStyle name="Normal 10 2 10 2 7 2 2" xfId="4202" xr:uid="{00000000-0005-0000-0000-00006A100000}"/>
    <cellStyle name="Normal 10 2 10 2 7 2 3" xfId="4203" xr:uid="{00000000-0005-0000-0000-00006B100000}"/>
    <cellStyle name="Normal 10 2 10 2 7 2 4" xfId="4204" xr:uid="{00000000-0005-0000-0000-00006C100000}"/>
    <cellStyle name="Normal 10 2 10 2 7 2 5" xfId="4205" xr:uid="{00000000-0005-0000-0000-00006D100000}"/>
    <cellStyle name="Normal 10 2 10 2 7 2 6" xfId="4206" xr:uid="{00000000-0005-0000-0000-00006E100000}"/>
    <cellStyle name="Normal 10 2 10 2 7 2 7" xfId="4207" xr:uid="{00000000-0005-0000-0000-00006F100000}"/>
    <cellStyle name="Normal 10 2 10 2 7 2 8" xfId="4208" xr:uid="{00000000-0005-0000-0000-000070100000}"/>
    <cellStyle name="Normal 10 2 10 2 7 2 9" xfId="4209" xr:uid="{00000000-0005-0000-0000-000071100000}"/>
    <cellStyle name="Normal 10 2 10 2 7 3" xfId="4210" xr:uid="{00000000-0005-0000-0000-000072100000}"/>
    <cellStyle name="Normal 10 2 10 2 7 3 10" xfId="4211" xr:uid="{00000000-0005-0000-0000-000073100000}"/>
    <cellStyle name="Normal 10 2 10 2 7 3 2" xfId="4212" xr:uid="{00000000-0005-0000-0000-000074100000}"/>
    <cellStyle name="Normal 10 2 10 2 7 3 3" xfId="4213" xr:uid="{00000000-0005-0000-0000-000075100000}"/>
    <cellStyle name="Normal 10 2 10 2 7 3 4" xfId="4214" xr:uid="{00000000-0005-0000-0000-000076100000}"/>
    <cellStyle name="Normal 10 2 10 2 7 3 5" xfId="4215" xr:uid="{00000000-0005-0000-0000-000077100000}"/>
    <cellStyle name="Normal 10 2 10 2 7 3 6" xfId="4216" xr:uid="{00000000-0005-0000-0000-000078100000}"/>
    <cellStyle name="Normal 10 2 10 2 7 3 7" xfId="4217" xr:uid="{00000000-0005-0000-0000-000079100000}"/>
    <cellStyle name="Normal 10 2 10 2 7 3 8" xfId="4218" xr:uid="{00000000-0005-0000-0000-00007A100000}"/>
    <cellStyle name="Normal 10 2 10 2 7 3 9" xfId="4219" xr:uid="{00000000-0005-0000-0000-00007B100000}"/>
    <cellStyle name="Normal 10 2 10 2 7 4" xfId="4220" xr:uid="{00000000-0005-0000-0000-00007C100000}"/>
    <cellStyle name="Normal 10 2 10 2 7 4 10" xfId="4221" xr:uid="{00000000-0005-0000-0000-00007D100000}"/>
    <cellStyle name="Normal 10 2 10 2 7 4 2" xfId="4222" xr:uid="{00000000-0005-0000-0000-00007E100000}"/>
    <cellStyle name="Normal 10 2 10 2 7 4 3" xfId="4223" xr:uid="{00000000-0005-0000-0000-00007F100000}"/>
    <cellStyle name="Normal 10 2 10 2 7 4 4" xfId="4224" xr:uid="{00000000-0005-0000-0000-000080100000}"/>
    <cellStyle name="Normal 10 2 10 2 7 4 5" xfId="4225" xr:uid="{00000000-0005-0000-0000-000081100000}"/>
    <cellStyle name="Normal 10 2 10 2 7 4 6" xfId="4226" xr:uid="{00000000-0005-0000-0000-000082100000}"/>
    <cellStyle name="Normal 10 2 10 2 7 4 7" xfId="4227" xr:uid="{00000000-0005-0000-0000-000083100000}"/>
    <cellStyle name="Normal 10 2 10 2 7 4 8" xfId="4228" xr:uid="{00000000-0005-0000-0000-000084100000}"/>
    <cellStyle name="Normal 10 2 10 2 7 4 9" xfId="4229" xr:uid="{00000000-0005-0000-0000-000085100000}"/>
    <cellStyle name="Normal 10 2 10 2 7 5" xfId="4230" xr:uid="{00000000-0005-0000-0000-000086100000}"/>
    <cellStyle name="Normal 10 2 10 2 7 5 10" xfId="4231" xr:uid="{00000000-0005-0000-0000-000087100000}"/>
    <cellStyle name="Normal 10 2 10 2 7 5 2" xfId="4232" xr:uid="{00000000-0005-0000-0000-000088100000}"/>
    <cellStyle name="Normal 10 2 10 2 7 5 3" xfId="4233" xr:uid="{00000000-0005-0000-0000-000089100000}"/>
    <cellStyle name="Normal 10 2 10 2 7 5 4" xfId="4234" xr:uid="{00000000-0005-0000-0000-00008A100000}"/>
    <cellStyle name="Normal 10 2 10 2 7 5 5" xfId="4235" xr:uid="{00000000-0005-0000-0000-00008B100000}"/>
    <cellStyle name="Normal 10 2 10 2 7 5 6" xfId="4236" xr:uid="{00000000-0005-0000-0000-00008C100000}"/>
    <cellStyle name="Normal 10 2 10 2 7 5 7" xfId="4237" xr:uid="{00000000-0005-0000-0000-00008D100000}"/>
    <cellStyle name="Normal 10 2 10 2 7 5 8" xfId="4238" xr:uid="{00000000-0005-0000-0000-00008E100000}"/>
    <cellStyle name="Normal 10 2 10 2 7 5 9" xfId="4239" xr:uid="{00000000-0005-0000-0000-00008F100000}"/>
    <cellStyle name="Normal 10 2 10 2 7 6" xfId="4240" xr:uid="{00000000-0005-0000-0000-000090100000}"/>
    <cellStyle name="Normal 10 2 10 2 7 7" xfId="4241" xr:uid="{00000000-0005-0000-0000-000091100000}"/>
    <cellStyle name="Normal 10 2 10 2 7 8" xfId="4242" xr:uid="{00000000-0005-0000-0000-000092100000}"/>
    <cellStyle name="Normal 10 2 10 2 7 9" xfId="4243" xr:uid="{00000000-0005-0000-0000-000093100000}"/>
    <cellStyle name="Normal 10 2 10 2 8" xfId="4244" xr:uid="{00000000-0005-0000-0000-000094100000}"/>
    <cellStyle name="Normal 10 2 10 2 8 10" xfId="4245" xr:uid="{00000000-0005-0000-0000-000095100000}"/>
    <cellStyle name="Normal 10 2 10 2 8 11" xfId="4246" xr:uid="{00000000-0005-0000-0000-000096100000}"/>
    <cellStyle name="Normal 10 2 10 2 8 12" xfId="4247" xr:uid="{00000000-0005-0000-0000-000097100000}"/>
    <cellStyle name="Normal 10 2 10 2 8 13" xfId="4248" xr:uid="{00000000-0005-0000-0000-000098100000}"/>
    <cellStyle name="Normal 10 2 10 2 8 14" xfId="4249" xr:uid="{00000000-0005-0000-0000-000099100000}"/>
    <cellStyle name="Normal 10 2 10 2 8 2" xfId="4250" xr:uid="{00000000-0005-0000-0000-00009A100000}"/>
    <cellStyle name="Normal 10 2 10 2 8 2 10" xfId="4251" xr:uid="{00000000-0005-0000-0000-00009B100000}"/>
    <cellStyle name="Normal 10 2 10 2 8 2 2" xfId="4252" xr:uid="{00000000-0005-0000-0000-00009C100000}"/>
    <cellStyle name="Normal 10 2 10 2 8 2 3" xfId="4253" xr:uid="{00000000-0005-0000-0000-00009D100000}"/>
    <cellStyle name="Normal 10 2 10 2 8 2 4" xfId="4254" xr:uid="{00000000-0005-0000-0000-00009E100000}"/>
    <cellStyle name="Normal 10 2 10 2 8 2 5" xfId="4255" xr:uid="{00000000-0005-0000-0000-00009F100000}"/>
    <cellStyle name="Normal 10 2 10 2 8 2 6" xfId="4256" xr:uid="{00000000-0005-0000-0000-0000A0100000}"/>
    <cellStyle name="Normal 10 2 10 2 8 2 7" xfId="4257" xr:uid="{00000000-0005-0000-0000-0000A1100000}"/>
    <cellStyle name="Normal 10 2 10 2 8 2 8" xfId="4258" xr:uid="{00000000-0005-0000-0000-0000A2100000}"/>
    <cellStyle name="Normal 10 2 10 2 8 2 9" xfId="4259" xr:uid="{00000000-0005-0000-0000-0000A3100000}"/>
    <cellStyle name="Normal 10 2 10 2 8 3" xfId="4260" xr:uid="{00000000-0005-0000-0000-0000A4100000}"/>
    <cellStyle name="Normal 10 2 10 2 8 3 10" xfId="4261" xr:uid="{00000000-0005-0000-0000-0000A5100000}"/>
    <cellStyle name="Normal 10 2 10 2 8 3 2" xfId="4262" xr:uid="{00000000-0005-0000-0000-0000A6100000}"/>
    <cellStyle name="Normal 10 2 10 2 8 3 3" xfId="4263" xr:uid="{00000000-0005-0000-0000-0000A7100000}"/>
    <cellStyle name="Normal 10 2 10 2 8 3 4" xfId="4264" xr:uid="{00000000-0005-0000-0000-0000A8100000}"/>
    <cellStyle name="Normal 10 2 10 2 8 3 5" xfId="4265" xr:uid="{00000000-0005-0000-0000-0000A9100000}"/>
    <cellStyle name="Normal 10 2 10 2 8 3 6" xfId="4266" xr:uid="{00000000-0005-0000-0000-0000AA100000}"/>
    <cellStyle name="Normal 10 2 10 2 8 3 7" xfId="4267" xr:uid="{00000000-0005-0000-0000-0000AB100000}"/>
    <cellStyle name="Normal 10 2 10 2 8 3 8" xfId="4268" xr:uid="{00000000-0005-0000-0000-0000AC100000}"/>
    <cellStyle name="Normal 10 2 10 2 8 3 9" xfId="4269" xr:uid="{00000000-0005-0000-0000-0000AD100000}"/>
    <cellStyle name="Normal 10 2 10 2 8 4" xfId="4270" xr:uid="{00000000-0005-0000-0000-0000AE100000}"/>
    <cellStyle name="Normal 10 2 10 2 8 4 10" xfId="4271" xr:uid="{00000000-0005-0000-0000-0000AF100000}"/>
    <cellStyle name="Normal 10 2 10 2 8 4 2" xfId="4272" xr:uid="{00000000-0005-0000-0000-0000B0100000}"/>
    <cellStyle name="Normal 10 2 10 2 8 4 3" xfId="4273" xr:uid="{00000000-0005-0000-0000-0000B1100000}"/>
    <cellStyle name="Normal 10 2 10 2 8 4 4" xfId="4274" xr:uid="{00000000-0005-0000-0000-0000B2100000}"/>
    <cellStyle name="Normal 10 2 10 2 8 4 5" xfId="4275" xr:uid="{00000000-0005-0000-0000-0000B3100000}"/>
    <cellStyle name="Normal 10 2 10 2 8 4 6" xfId="4276" xr:uid="{00000000-0005-0000-0000-0000B4100000}"/>
    <cellStyle name="Normal 10 2 10 2 8 4 7" xfId="4277" xr:uid="{00000000-0005-0000-0000-0000B5100000}"/>
    <cellStyle name="Normal 10 2 10 2 8 4 8" xfId="4278" xr:uid="{00000000-0005-0000-0000-0000B6100000}"/>
    <cellStyle name="Normal 10 2 10 2 8 4 9" xfId="4279" xr:uid="{00000000-0005-0000-0000-0000B7100000}"/>
    <cellStyle name="Normal 10 2 10 2 8 5" xfId="4280" xr:uid="{00000000-0005-0000-0000-0000B8100000}"/>
    <cellStyle name="Normal 10 2 10 2 8 5 10" xfId="4281" xr:uid="{00000000-0005-0000-0000-0000B9100000}"/>
    <cellStyle name="Normal 10 2 10 2 8 5 2" xfId="4282" xr:uid="{00000000-0005-0000-0000-0000BA100000}"/>
    <cellStyle name="Normal 10 2 10 2 8 5 3" xfId="4283" xr:uid="{00000000-0005-0000-0000-0000BB100000}"/>
    <cellStyle name="Normal 10 2 10 2 8 5 4" xfId="4284" xr:uid="{00000000-0005-0000-0000-0000BC100000}"/>
    <cellStyle name="Normal 10 2 10 2 8 5 5" xfId="4285" xr:uid="{00000000-0005-0000-0000-0000BD100000}"/>
    <cellStyle name="Normal 10 2 10 2 8 5 6" xfId="4286" xr:uid="{00000000-0005-0000-0000-0000BE100000}"/>
    <cellStyle name="Normal 10 2 10 2 8 5 7" xfId="4287" xr:uid="{00000000-0005-0000-0000-0000BF100000}"/>
    <cellStyle name="Normal 10 2 10 2 8 5 8" xfId="4288" xr:uid="{00000000-0005-0000-0000-0000C0100000}"/>
    <cellStyle name="Normal 10 2 10 2 8 5 9" xfId="4289" xr:uid="{00000000-0005-0000-0000-0000C1100000}"/>
    <cellStyle name="Normal 10 2 10 2 8 6" xfId="4290" xr:uid="{00000000-0005-0000-0000-0000C2100000}"/>
    <cellStyle name="Normal 10 2 10 2 8 7" xfId="4291" xr:uid="{00000000-0005-0000-0000-0000C3100000}"/>
    <cellStyle name="Normal 10 2 10 2 8 8" xfId="4292" xr:uid="{00000000-0005-0000-0000-0000C4100000}"/>
    <cellStyle name="Normal 10 2 10 2 8 9" xfId="4293" xr:uid="{00000000-0005-0000-0000-0000C5100000}"/>
    <cellStyle name="Normal 10 2 10 2 9" xfId="4294" xr:uid="{00000000-0005-0000-0000-0000C6100000}"/>
    <cellStyle name="Normal 10 2 10 2 9 10" xfId="4295" xr:uid="{00000000-0005-0000-0000-0000C7100000}"/>
    <cellStyle name="Normal 10 2 10 2 9 11" xfId="4296" xr:uid="{00000000-0005-0000-0000-0000C8100000}"/>
    <cellStyle name="Normal 10 2 10 2 9 12" xfId="4297" xr:uid="{00000000-0005-0000-0000-0000C9100000}"/>
    <cellStyle name="Normal 10 2 10 2 9 13" xfId="4298" xr:uid="{00000000-0005-0000-0000-0000CA100000}"/>
    <cellStyle name="Normal 10 2 10 2 9 14" xfId="4299" xr:uid="{00000000-0005-0000-0000-0000CB100000}"/>
    <cellStyle name="Normal 10 2 10 2 9 2" xfId="4300" xr:uid="{00000000-0005-0000-0000-0000CC100000}"/>
    <cellStyle name="Normal 10 2 10 2 9 2 10" xfId="4301" xr:uid="{00000000-0005-0000-0000-0000CD100000}"/>
    <cellStyle name="Normal 10 2 10 2 9 2 2" xfId="4302" xr:uid="{00000000-0005-0000-0000-0000CE100000}"/>
    <cellStyle name="Normal 10 2 10 2 9 2 3" xfId="4303" xr:uid="{00000000-0005-0000-0000-0000CF100000}"/>
    <cellStyle name="Normal 10 2 10 2 9 2 4" xfId="4304" xr:uid="{00000000-0005-0000-0000-0000D0100000}"/>
    <cellStyle name="Normal 10 2 10 2 9 2 5" xfId="4305" xr:uid="{00000000-0005-0000-0000-0000D1100000}"/>
    <cellStyle name="Normal 10 2 10 2 9 2 6" xfId="4306" xr:uid="{00000000-0005-0000-0000-0000D2100000}"/>
    <cellStyle name="Normal 10 2 10 2 9 2 7" xfId="4307" xr:uid="{00000000-0005-0000-0000-0000D3100000}"/>
    <cellStyle name="Normal 10 2 10 2 9 2 8" xfId="4308" xr:uid="{00000000-0005-0000-0000-0000D4100000}"/>
    <cellStyle name="Normal 10 2 10 2 9 2 9" xfId="4309" xr:uid="{00000000-0005-0000-0000-0000D5100000}"/>
    <cellStyle name="Normal 10 2 10 2 9 3" xfId="4310" xr:uid="{00000000-0005-0000-0000-0000D6100000}"/>
    <cellStyle name="Normal 10 2 10 2 9 3 10" xfId="4311" xr:uid="{00000000-0005-0000-0000-0000D7100000}"/>
    <cellStyle name="Normal 10 2 10 2 9 3 2" xfId="4312" xr:uid="{00000000-0005-0000-0000-0000D8100000}"/>
    <cellStyle name="Normal 10 2 10 2 9 3 3" xfId="4313" xr:uid="{00000000-0005-0000-0000-0000D9100000}"/>
    <cellStyle name="Normal 10 2 10 2 9 3 4" xfId="4314" xr:uid="{00000000-0005-0000-0000-0000DA100000}"/>
    <cellStyle name="Normal 10 2 10 2 9 3 5" xfId="4315" xr:uid="{00000000-0005-0000-0000-0000DB100000}"/>
    <cellStyle name="Normal 10 2 10 2 9 3 6" xfId="4316" xr:uid="{00000000-0005-0000-0000-0000DC100000}"/>
    <cellStyle name="Normal 10 2 10 2 9 3 7" xfId="4317" xr:uid="{00000000-0005-0000-0000-0000DD100000}"/>
    <cellStyle name="Normal 10 2 10 2 9 3 8" xfId="4318" xr:uid="{00000000-0005-0000-0000-0000DE100000}"/>
    <cellStyle name="Normal 10 2 10 2 9 3 9" xfId="4319" xr:uid="{00000000-0005-0000-0000-0000DF100000}"/>
    <cellStyle name="Normal 10 2 10 2 9 4" xfId="4320" xr:uid="{00000000-0005-0000-0000-0000E0100000}"/>
    <cellStyle name="Normal 10 2 10 2 9 4 10" xfId="4321" xr:uid="{00000000-0005-0000-0000-0000E1100000}"/>
    <cellStyle name="Normal 10 2 10 2 9 4 2" xfId="4322" xr:uid="{00000000-0005-0000-0000-0000E2100000}"/>
    <cellStyle name="Normal 10 2 10 2 9 4 3" xfId="4323" xr:uid="{00000000-0005-0000-0000-0000E3100000}"/>
    <cellStyle name="Normal 10 2 10 2 9 4 4" xfId="4324" xr:uid="{00000000-0005-0000-0000-0000E4100000}"/>
    <cellStyle name="Normal 10 2 10 2 9 4 5" xfId="4325" xr:uid="{00000000-0005-0000-0000-0000E5100000}"/>
    <cellStyle name="Normal 10 2 10 2 9 4 6" xfId="4326" xr:uid="{00000000-0005-0000-0000-0000E6100000}"/>
    <cellStyle name="Normal 10 2 10 2 9 4 7" xfId="4327" xr:uid="{00000000-0005-0000-0000-0000E7100000}"/>
    <cellStyle name="Normal 10 2 10 2 9 4 8" xfId="4328" xr:uid="{00000000-0005-0000-0000-0000E8100000}"/>
    <cellStyle name="Normal 10 2 10 2 9 4 9" xfId="4329" xr:uid="{00000000-0005-0000-0000-0000E9100000}"/>
    <cellStyle name="Normal 10 2 10 2 9 5" xfId="4330" xr:uid="{00000000-0005-0000-0000-0000EA100000}"/>
    <cellStyle name="Normal 10 2 10 2 9 5 10" xfId="4331" xr:uid="{00000000-0005-0000-0000-0000EB100000}"/>
    <cellStyle name="Normal 10 2 10 2 9 5 2" xfId="4332" xr:uid="{00000000-0005-0000-0000-0000EC100000}"/>
    <cellStyle name="Normal 10 2 10 2 9 5 3" xfId="4333" xr:uid="{00000000-0005-0000-0000-0000ED100000}"/>
    <cellStyle name="Normal 10 2 10 2 9 5 4" xfId="4334" xr:uid="{00000000-0005-0000-0000-0000EE100000}"/>
    <cellStyle name="Normal 10 2 10 2 9 5 5" xfId="4335" xr:uid="{00000000-0005-0000-0000-0000EF100000}"/>
    <cellStyle name="Normal 10 2 10 2 9 5 6" xfId="4336" xr:uid="{00000000-0005-0000-0000-0000F0100000}"/>
    <cellStyle name="Normal 10 2 10 2 9 5 7" xfId="4337" xr:uid="{00000000-0005-0000-0000-0000F1100000}"/>
    <cellStyle name="Normal 10 2 10 2 9 5 8" xfId="4338" xr:uid="{00000000-0005-0000-0000-0000F2100000}"/>
    <cellStyle name="Normal 10 2 10 2 9 5 9" xfId="4339" xr:uid="{00000000-0005-0000-0000-0000F3100000}"/>
    <cellStyle name="Normal 10 2 10 2 9 6" xfId="4340" xr:uid="{00000000-0005-0000-0000-0000F4100000}"/>
    <cellStyle name="Normal 10 2 10 2 9 7" xfId="4341" xr:uid="{00000000-0005-0000-0000-0000F5100000}"/>
    <cellStyle name="Normal 10 2 10 2 9 8" xfId="4342" xr:uid="{00000000-0005-0000-0000-0000F6100000}"/>
    <cellStyle name="Normal 10 2 10 2 9 9" xfId="4343" xr:uid="{00000000-0005-0000-0000-0000F7100000}"/>
    <cellStyle name="Normal 10 2 10 20" xfId="4344" xr:uid="{00000000-0005-0000-0000-0000F8100000}"/>
    <cellStyle name="Normal 10 2 10 20 10" xfId="4345" xr:uid="{00000000-0005-0000-0000-0000F9100000}"/>
    <cellStyle name="Normal 10 2 10 20 11" xfId="4346" xr:uid="{00000000-0005-0000-0000-0000FA100000}"/>
    <cellStyle name="Normal 10 2 10 20 12" xfId="4347" xr:uid="{00000000-0005-0000-0000-0000FB100000}"/>
    <cellStyle name="Normal 10 2 10 20 13" xfId="4348" xr:uid="{00000000-0005-0000-0000-0000FC100000}"/>
    <cellStyle name="Normal 10 2 10 20 14" xfId="4349" xr:uid="{00000000-0005-0000-0000-0000FD100000}"/>
    <cellStyle name="Normal 10 2 10 20 2" xfId="4350" xr:uid="{00000000-0005-0000-0000-0000FE100000}"/>
    <cellStyle name="Normal 10 2 10 20 2 10" xfId="4351" xr:uid="{00000000-0005-0000-0000-0000FF100000}"/>
    <cellStyle name="Normal 10 2 10 20 2 2" xfId="4352" xr:uid="{00000000-0005-0000-0000-000000110000}"/>
    <cellStyle name="Normal 10 2 10 20 2 3" xfId="4353" xr:uid="{00000000-0005-0000-0000-000001110000}"/>
    <cellStyle name="Normal 10 2 10 20 2 4" xfId="4354" xr:uid="{00000000-0005-0000-0000-000002110000}"/>
    <cellStyle name="Normal 10 2 10 20 2 5" xfId="4355" xr:uid="{00000000-0005-0000-0000-000003110000}"/>
    <cellStyle name="Normal 10 2 10 20 2 6" xfId="4356" xr:uid="{00000000-0005-0000-0000-000004110000}"/>
    <cellStyle name="Normal 10 2 10 20 2 7" xfId="4357" xr:uid="{00000000-0005-0000-0000-000005110000}"/>
    <cellStyle name="Normal 10 2 10 20 2 8" xfId="4358" xr:uid="{00000000-0005-0000-0000-000006110000}"/>
    <cellStyle name="Normal 10 2 10 20 2 9" xfId="4359" xr:uid="{00000000-0005-0000-0000-000007110000}"/>
    <cellStyle name="Normal 10 2 10 20 3" xfId="4360" xr:uid="{00000000-0005-0000-0000-000008110000}"/>
    <cellStyle name="Normal 10 2 10 20 3 10" xfId="4361" xr:uid="{00000000-0005-0000-0000-000009110000}"/>
    <cellStyle name="Normal 10 2 10 20 3 2" xfId="4362" xr:uid="{00000000-0005-0000-0000-00000A110000}"/>
    <cellStyle name="Normal 10 2 10 20 3 3" xfId="4363" xr:uid="{00000000-0005-0000-0000-00000B110000}"/>
    <cellStyle name="Normal 10 2 10 20 3 4" xfId="4364" xr:uid="{00000000-0005-0000-0000-00000C110000}"/>
    <cellStyle name="Normal 10 2 10 20 3 5" xfId="4365" xr:uid="{00000000-0005-0000-0000-00000D110000}"/>
    <cellStyle name="Normal 10 2 10 20 3 6" xfId="4366" xr:uid="{00000000-0005-0000-0000-00000E110000}"/>
    <cellStyle name="Normal 10 2 10 20 3 7" xfId="4367" xr:uid="{00000000-0005-0000-0000-00000F110000}"/>
    <cellStyle name="Normal 10 2 10 20 3 8" xfId="4368" xr:uid="{00000000-0005-0000-0000-000010110000}"/>
    <cellStyle name="Normal 10 2 10 20 3 9" xfId="4369" xr:uid="{00000000-0005-0000-0000-000011110000}"/>
    <cellStyle name="Normal 10 2 10 20 4" xfId="4370" xr:uid="{00000000-0005-0000-0000-000012110000}"/>
    <cellStyle name="Normal 10 2 10 20 4 10" xfId="4371" xr:uid="{00000000-0005-0000-0000-000013110000}"/>
    <cellStyle name="Normal 10 2 10 20 4 2" xfId="4372" xr:uid="{00000000-0005-0000-0000-000014110000}"/>
    <cellStyle name="Normal 10 2 10 20 4 3" xfId="4373" xr:uid="{00000000-0005-0000-0000-000015110000}"/>
    <cellStyle name="Normal 10 2 10 20 4 4" xfId="4374" xr:uid="{00000000-0005-0000-0000-000016110000}"/>
    <cellStyle name="Normal 10 2 10 20 4 5" xfId="4375" xr:uid="{00000000-0005-0000-0000-000017110000}"/>
    <cellStyle name="Normal 10 2 10 20 4 6" xfId="4376" xr:uid="{00000000-0005-0000-0000-000018110000}"/>
    <cellStyle name="Normal 10 2 10 20 4 7" xfId="4377" xr:uid="{00000000-0005-0000-0000-000019110000}"/>
    <cellStyle name="Normal 10 2 10 20 4 8" xfId="4378" xr:uid="{00000000-0005-0000-0000-00001A110000}"/>
    <cellStyle name="Normal 10 2 10 20 4 9" xfId="4379" xr:uid="{00000000-0005-0000-0000-00001B110000}"/>
    <cellStyle name="Normal 10 2 10 20 5" xfId="4380" xr:uid="{00000000-0005-0000-0000-00001C110000}"/>
    <cellStyle name="Normal 10 2 10 20 5 10" xfId="4381" xr:uid="{00000000-0005-0000-0000-00001D110000}"/>
    <cellStyle name="Normal 10 2 10 20 5 2" xfId="4382" xr:uid="{00000000-0005-0000-0000-00001E110000}"/>
    <cellStyle name="Normal 10 2 10 20 5 3" xfId="4383" xr:uid="{00000000-0005-0000-0000-00001F110000}"/>
    <cellStyle name="Normal 10 2 10 20 5 4" xfId="4384" xr:uid="{00000000-0005-0000-0000-000020110000}"/>
    <cellStyle name="Normal 10 2 10 20 5 5" xfId="4385" xr:uid="{00000000-0005-0000-0000-000021110000}"/>
    <cellStyle name="Normal 10 2 10 20 5 6" xfId="4386" xr:uid="{00000000-0005-0000-0000-000022110000}"/>
    <cellStyle name="Normal 10 2 10 20 5 7" xfId="4387" xr:uid="{00000000-0005-0000-0000-000023110000}"/>
    <cellStyle name="Normal 10 2 10 20 5 8" xfId="4388" xr:uid="{00000000-0005-0000-0000-000024110000}"/>
    <cellStyle name="Normal 10 2 10 20 5 9" xfId="4389" xr:uid="{00000000-0005-0000-0000-000025110000}"/>
    <cellStyle name="Normal 10 2 10 20 6" xfId="4390" xr:uid="{00000000-0005-0000-0000-000026110000}"/>
    <cellStyle name="Normal 10 2 10 20 7" xfId="4391" xr:uid="{00000000-0005-0000-0000-000027110000}"/>
    <cellStyle name="Normal 10 2 10 20 8" xfId="4392" xr:uid="{00000000-0005-0000-0000-000028110000}"/>
    <cellStyle name="Normal 10 2 10 20 9" xfId="4393" xr:uid="{00000000-0005-0000-0000-000029110000}"/>
    <cellStyle name="Normal 10 2 10 21" xfId="4394" xr:uid="{00000000-0005-0000-0000-00002A110000}"/>
    <cellStyle name="Normal 10 2 10 21 10" xfId="4395" xr:uid="{00000000-0005-0000-0000-00002B110000}"/>
    <cellStyle name="Normal 10 2 10 21 11" xfId="4396" xr:uid="{00000000-0005-0000-0000-00002C110000}"/>
    <cellStyle name="Normal 10 2 10 21 12" xfId="4397" xr:uid="{00000000-0005-0000-0000-00002D110000}"/>
    <cellStyle name="Normal 10 2 10 21 13" xfId="4398" xr:uid="{00000000-0005-0000-0000-00002E110000}"/>
    <cellStyle name="Normal 10 2 10 21 14" xfId="4399" xr:uid="{00000000-0005-0000-0000-00002F110000}"/>
    <cellStyle name="Normal 10 2 10 21 2" xfId="4400" xr:uid="{00000000-0005-0000-0000-000030110000}"/>
    <cellStyle name="Normal 10 2 10 21 2 10" xfId="4401" xr:uid="{00000000-0005-0000-0000-000031110000}"/>
    <cellStyle name="Normal 10 2 10 21 2 2" xfId="4402" xr:uid="{00000000-0005-0000-0000-000032110000}"/>
    <cellStyle name="Normal 10 2 10 21 2 3" xfId="4403" xr:uid="{00000000-0005-0000-0000-000033110000}"/>
    <cellStyle name="Normal 10 2 10 21 2 4" xfId="4404" xr:uid="{00000000-0005-0000-0000-000034110000}"/>
    <cellStyle name="Normal 10 2 10 21 2 5" xfId="4405" xr:uid="{00000000-0005-0000-0000-000035110000}"/>
    <cellStyle name="Normal 10 2 10 21 2 6" xfId="4406" xr:uid="{00000000-0005-0000-0000-000036110000}"/>
    <cellStyle name="Normal 10 2 10 21 2 7" xfId="4407" xr:uid="{00000000-0005-0000-0000-000037110000}"/>
    <cellStyle name="Normal 10 2 10 21 2 8" xfId="4408" xr:uid="{00000000-0005-0000-0000-000038110000}"/>
    <cellStyle name="Normal 10 2 10 21 2 9" xfId="4409" xr:uid="{00000000-0005-0000-0000-000039110000}"/>
    <cellStyle name="Normal 10 2 10 21 3" xfId="4410" xr:uid="{00000000-0005-0000-0000-00003A110000}"/>
    <cellStyle name="Normal 10 2 10 21 3 10" xfId="4411" xr:uid="{00000000-0005-0000-0000-00003B110000}"/>
    <cellStyle name="Normal 10 2 10 21 3 2" xfId="4412" xr:uid="{00000000-0005-0000-0000-00003C110000}"/>
    <cellStyle name="Normal 10 2 10 21 3 3" xfId="4413" xr:uid="{00000000-0005-0000-0000-00003D110000}"/>
    <cellStyle name="Normal 10 2 10 21 3 4" xfId="4414" xr:uid="{00000000-0005-0000-0000-00003E110000}"/>
    <cellStyle name="Normal 10 2 10 21 3 5" xfId="4415" xr:uid="{00000000-0005-0000-0000-00003F110000}"/>
    <cellStyle name="Normal 10 2 10 21 3 6" xfId="4416" xr:uid="{00000000-0005-0000-0000-000040110000}"/>
    <cellStyle name="Normal 10 2 10 21 3 7" xfId="4417" xr:uid="{00000000-0005-0000-0000-000041110000}"/>
    <cellStyle name="Normal 10 2 10 21 3 8" xfId="4418" xr:uid="{00000000-0005-0000-0000-000042110000}"/>
    <cellStyle name="Normal 10 2 10 21 3 9" xfId="4419" xr:uid="{00000000-0005-0000-0000-000043110000}"/>
    <cellStyle name="Normal 10 2 10 21 4" xfId="4420" xr:uid="{00000000-0005-0000-0000-000044110000}"/>
    <cellStyle name="Normal 10 2 10 21 4 10" xfId="4421" xr:uid="{00000000-0005-0000-0000-000045110000}"/>
    <cellStyle name="Normal 10 2 10 21 4 2" xfId="4422" xr:uid="{00000000-0005-0000-0000-000046110000}"/>
    <cellStyle name="Normal 10 2 10 21 4 3" xfId="4423" xr:uid="{00000000-0005-0000-0000-000047110000}"/>
    <cellStyle name="Normal 10 2 10 21 4 4" xfId="4424" xr:uid="{00000000-0005-0000-0000-000048110000}"/>
    <cellStyle name="Normal 10 2 10 21 4 5" xfId="4425" xr:uid="{00000000-0005-0000-0000-000049110000}"/>
    <cellStyle name="Normal 10 2 10 21 4 6" xfId="4426" xr:uid="{00000000-0005-0000-0000-00004A110000}"/>
    <cellStyle name="Normal 10 2 10 21 4 7" xfId="4427" xr:uid="{00000000-0005-0000-0000-00004B110000}"/>
    <cellStyle name="Normal 10 2 10 21 4 8" xfId="4428" xr:uid="{00000000-0005-0000-0000-00004C110000}"/>
    <cellStyle name="Normal 10 2 10 21 4 9" xfId="4429" xr:uid="{00000000-0005-0000-0000-00004D110000}"/>
    <cellStyle name="Normal 10 2 10 21 5" xfId="4430" xr:uid="{00000000-0005-0000-0000-00004E110000}"/>
    <cellStyle name="Normal 10 2 10 21 5 10" xfId="4431" xr:uid="{00000000-0005-0000-0000-00004F110000}"/>
    <cellStyle name="Normal 10 2 10 21 5 2" xfId="4432" xr:uid="{00000000-0005-0000-0000-000050110000}"/>
    <cellStyle name="Normal 10 2 10 21 5 3" xfId="4433" xr:uid="{00000000-0005-0000-0000-000051110000}"/>
    <cellStyle name="Normal 10 2 10 21 5 4" xfId="4434" xr:uid="{00000000-0005-0000-0000-000052110000}"/>
    <cellStyle name="Normal 10 2 10 21 5 5" xfId="4435" xr:uid="{00000000-0005-0000-0000-000053110000}"/>
    <cellStyle name="Normal 10 2 10 21 5 6" xfId="4436" xr:uid="{00000000-0005-0000-0000-000054110000}"/>
    <cellStyle name="Normal 10 2 10 21 5 7" xfId="4437" xr:uid="{00000000-0005-0000-0000-000055110000}"/>
    <cellStyle name="Normal 10 2 10 21 5 8" xfId="4438" xr:uid="{00000000-0005-0000-0000-000056110000}"/>
    <cellStyle name="Normal 10 2 10 21 5 9" xfId="4439" xr:uid="{00000000-0005-0000-0000-000057110000}"/>
    <cellStyle name="Normal 10 2 10 21 6" xfId="4440" xr:uid="{00000000-0005-0000-0000-000058110000}"/>
    <cellStyle name="Normal 10 2 10 21 7" xfId="4441" xr:uid="{00000000-0005-0000-0000-000059110000}"/>
    <cellStyle name="Normal 10 2 10 21 8" xfId="4442" xr:uid="{00000000-0005-0000-0000-00005A110000}"/>
    <cellStyle name="Normal 10 2 10 21 9" xfId="4443" xr:uid="{00000000-0005-0000-0000-00005B110000}"/>
    <cellStyle name="Normal 10 2 10 22" xfId="4444" xr:uid="{00000000-0005-0000-0000-00005C110000}"/>
    <cellStyle name="Normal 10 2 10 22 10" xfId="4445" xr:uid="{00000000-0005-0000-0000-00005D110000}"/>
    <cellStyle name="Normal 10 2 10 22 11" xfId="4446" xr:uid="{00000000-0005-0000-0000-00005E110000}"/>
    <cellStyle name="Normal 10 2 10 22 12" xfId="4447" xr:uid="{00000000-0005-0000-0000-00005F110000}"/>
    <cellStyle name="Normal 10 2 10 22 13" xfId="4448" xr:uid="{00000000-0005-0000-0000-000060110000}"/>
    <cellStyle name="Normal 10 2 10 22 14" xfId="4449" xr:uid="{00000000-0005-0000-0000-000061110000}"/>
    <cellStyle name="Normal 10 2 10 22 2" xfId="4450" xr:uid="{00000000-0005-0000-0000-000062110000}"/>
    <cellStyle name="Normal 10 2 10 22 2 10" xfId="4451" xr:uid="{00000000-0005-0000-0000-000063110000}"/>
    <cellStyle name="Normal 10 2 10 22 2 2" xfId="4452" xr:uid="{00000000-0005-0000-0000-000064110000}"/>
    <cellStyle name="Normal 10 2 10 22 2 3" xfId="4453" xr:uid="{00000000-0005-0000-0000-000065110000}"/>
    <cellStyle name="Normal 10 2 10 22 2 4" xfId="4454" xr:uid="{00000000-0005-0000-0000-000066110000}"/>
    <cellStyle name="Normal 10 2 10 22 2 5" xfId="4455" xr:uid="{00000000-0005-0000-0000-000067110000}"/>
    <cellStyle name="Normal 10 2 10 22 2 6" xfId="4456" xr:uid="{00000000-0005-0000-0000-000068110000}"/>
    <cellStyle name="Normal 10 2 10 22 2 7" xfId="4457" xr:uid="{00000000-0005-0000-0000-000069110000}"/>
    <cellStyle name="Normal 10 2 10 22 2 8" xfId="4458" xr:uid="{00000000-0005-0000-0000-00006A110000}"/>
    <cellStyle name="Normal 10 2 10 22 2 9" xfId="4459" xr:uid="{00000000-0005-0000-0000-00006B110000}"/>
    <cellStyle name="Normal 10 2 10 22 3" xfId="4460" xr:uid="{00000000-0005-0000-0000-00006C110000}"/>
    <cellStyle name="Normal 10 2 10 22 3 10" xfId="4461" xr:uid="{00000000-0005-0000-0000-00006D110000}"/>
    <cellStyle name="Normal 10 2 10 22 3 2" xfId="4462" xr:uid="{00000000-0005-0000-0000-00006E110000}"/>
    <cellStyle name="Normal 10 2 10 22 3 3" xfId="4463" xr:uid="{00000000-0005-0000-0000-00006F110000}"/>
    <cellStyle name="Normal 10 2 10 22 3 4" xfId="4464" xr:uid="{00000000-0005-0000-0000-000070110000}"/>
    <cellStyle name="Normal 10 2 10 22 3 5" xfId="4465" xr:uid="{00000000-0005-0000-0000-000071110000}"/>
    <cellStyle name="Normal 10 2 10 22 3 6" xfId="4466" xr:uid="{00000000-0005-0000-0000-000072110000}"/>
    <cellStyle name="Normal 10 2 10 22 3 7" xfId="4467" xr:uid="{00000000-0005-0000-0000-000073110000}"/>
    <cellStyle name="Normal 10 2 10 22 3 8" xfId="4468" xr:uid="{00000000-0005-0000-0000-000074110000}"/>
    <cellStyle name="Normal 10 2 10 22 3 9" xfId="4469" xr:uid="{00000000-0005-0000-0000-000075110000}"/>
    <cellStyle name="Normal 10 2 10 22 4" xfId="4470" xr:uid="{00000000-0005-0000-0000-000076110000}"/>
    <cellStyle name="Normal 10 2 10 22 4 10" xfId="4471" xr:uid="{00000000-0005-0000-0000-000077110000}"/>
    <cellStyle name="Normal 10 2 10 22 4 2" xfId="4472" xr:uid="{00000000-0005-0000-0000-000078110000}"/>
    <cellStyle name="Normal 10 2 10 22 4 3" xfId="4473" xr:uid="{00000000-0005-0000-0000-000079110000}"/>
    <cellStyle name="Normal 10 2 10 22 4 4" xfId="4474" xr:uid="{00000000-0005-0000-0000-00007A110000}"/>
    <cellStyle name="Normal 10 2 10 22 4 5" xfId="4475" xr:uid="{00000000-0005-0000-0000-00007B110000}"/>
    <cellStyle name="Normal 10 2 10 22 4 6" xfId="4476" xr:uid="{00000000-0005-0000-0000-00007C110000}"/>
    <cellStyle name="Normal 10 2 10 22 4 7" xfId="4477" xr:uid="{00000000-0005-0000-0000-00007D110000}"/>
    <cellStyle name="Normal 10 2 10 22 4 8" xfId="4478" xr:uid="{00000000-0005-0000-0000-00007E110000}"/>
    <cellStyle name="Normal 10 2 10 22 4 9" xfId="4479" xr:uid="{00000000-0005-0000-0000-00007F110000}"/>
    <cellStyle name="Normal 10 2 10 22 5" xfId="4480" xr:uid="{00000000-0005-0000-0000-000080110000}"/>
    <cellStyle name="Normal 10 2 10 22 5 10" xfId="4481" xr:uid="{00000000-0005-0000-0000-000081110000}"/>
    <cellStyle name="Normal 10 2 10 22 5 2" xfId="4482" xr:uid="{00000000-0005-0000-0000-000082110000}"/>
    <cellStyle name="Normal 10 2 10 22 5 3" xfId="4483" xr:uid="{00000000-0005-0000-0000-000083110000}"/>
    <cellStyle name="Normal 10 2 10 22 5 4" xfId="4484" xr:uid="{00000000-0005-0000-0000-000084110000}"/>
    <cellStyle name="Normal 10 2 10 22 5 5" xfId="4485" xr:uid="{00000000-0005-0000-0000-000085110000}"/>
    <cellStyle name="Normal 10 2 10 22 5 6" xfId="4486" xr:uid="{00000000-0005-0000-0000-000086110000}"/>
    <cellStyle name="Normal 10 2 10 22 5 7" xfId="4487" xr:uid="{00000000-0005-0000-0000-000087110000}"/>
    <cellStyle name="Normal 10 2 10 22 5 8" xfId="4488" xr:uid="{00000000-0005-0000-0000-000088110000}"/>
    <cellStyle name="Normal 10 2 10 22 5 9" xfId="4489" xr:uid="{00000000-0005-0000-0000-000089110000}"/>
    <cellStyle name="Normal 10 2 10 22 6" xfId="4490" xr:uid="{00000000-0005-0000-0000-00008A110000}"/>
    <cellStyle name="Normal 10 2 10 22 7" xfId="4491" xr:uid="{00000000-0005-0000-0000-00008B110000}"/>
    <cellStyle name="Normal 10 2 10 22 8" xfId="4492" xr:uid="{00000000-0005-0000-0000-00008C110000}"/>
    <cellStyle name="Normal 10 2 10 22 9" xfId="4493" xr:uid="{00000000-0005-0000-0000-00008D110000}"/>
    <cellStyle name="Normal 10 2 10 23" xfId="4494" xr:uid="{00000000-0005-0000-0000-00008E110000}"/>
    <cellStyle name="Normal 10 2 10 23 10" xfId="4495" xr:uid="{00000000-0005-0000-0000-00008F110000}"/>
    <cellStyle name="Normal 10 2 10 23 11" xfId="4496" xr:uid="{00000000-0005-0000-0000-000090110000}"/>
    <cellStyle name="Normal 10 2 10 23 12" xfId="4497" xr:uid="{00000000-0005-0000-0000-000091110000}"/>
    <cellStyle name="Normal 10 2 10 23 13" xfId="4498" xr:uid="{00000000-0005-0000-0000-000092110000}"/>
    <cellStyle name="Normal 10 2 10 23 14" xfId="4499" xr:uid="{00000000-0005-0000-0000-000093110000}"/>
    <cellStyle name="Normal 10 2 10 23 2" xfId="4500" xr:uid="{00000000-0005-0000-0000-000094110000}"/>
    <cellStyle name="Normal 10 2 10 23 2 10" xfId="4501" xr:uid="{00000000-0005-0000-0000-000095110000}"/>
    <cellStyle name="Normal 10 2 10 23 2 2" xfId="4502" xr:uid="{00000000-0005-0000-0000-000096110000}"/>
    <cellStyle name="Normal 10 2 10 23 2 3" xfId="4503" xr:uid="{00000000-0005-0000-0000-000097110000}"/>
    <cellStyle name="Normal 10 2 10 23 2 4" xfId="4504" xr:uid="{00000000-0005-0000-0000-000098110000}"/>
    <cellStyle name="Normal 10 2 10 23 2 5" xfId="4505" xr:uid="{00000000-0005-0000-0000-000099110000}"/>
    <cellStyle name="Normal 10 2 10 23 2 6" xfId="4506" xr:uid="{00000000-0005-0000-0000-00009A110000}"/>
    <cellStyle name="Normal 10 2 10 23 2 7" xfId="4507" xr:uid="{00000000-0005-0000-0000-00009B110000}"/>
    <cellStyle name="Normal 10 2 10 23 2 8" xfId="4508" xr:uid="{00000000-0005-0000-0000-00009C110000}"/>
    <cellStyle name="Normal 10 2 10 23 2 9" xfId="4509" xr:uid="{00000000-0005-0000-0000-00009D110000}"/>
    <cellStyle name="Normal 10 2 10 23 3" xfId="4510" xr:uid="{00000000-0005-0000-0000-00009E110000}"/>
    <cellStyle name="Normal 10 2 10 23 3 10" xfId="4511" xr:uid="{00000000-0005-0000-0000-00009F110000}"/>
    <cellStyle name="Normal 10 2 10 23 3 2" xfId="4512" xr:uid="{00000000-0005-0000-0000-0000A0110000}"/>
    <cellStyle name="Normal 10 2 10 23 3 3" xfId="4513" xr:uid="{00000000-0005-0000-0000-0000A1110000}"/>
    <cellStyle name="Normal 10 2 10 23 3 4" xfId="4514" xr:uid="{00000000-0005-0000-0000-0000A2110000}"/>
    <cellStyle name="Normal 10 2 10 23 3 5" xfId="4515" xr:uid="{00000000-0005-0000-0000-0000A3110000}"/>
    <cellStyle name="Normal 10 2 10 23 3 6" xfId="4516" xr:uid="{00000000-0005-0000-0000-0000A4110000}"/>
    <cellStyle name="Normal 10 2 10 23 3 7" xfId="4517" xr:uid="{00000000-0005-0000-0000-0000A5110000}"/>
    <cellStyle name="Normal 10 2 10 23 3 8" xfId="4518" xr:uid="{00000000-0005-0000-0000-0000A6110000}"/>
    <cellStyle name="Normal 10 2 10 23 3 9" xfId="4519" xr:uid="{00000000-0005-0000-0000-0000A7110000}"/>
    <cellStyle name="Normal 10 2 10 23 4" xfId="4520" xr:uid="{00000000-0005-0000-0000-0000A8110000}"/>
    <cellStyle name="Normal 10 2 10 23 4 10" xfId="4521" xr:uid="{00000000-0005-0000-0000-0000A9110000}"/>
    <cellStyle name="Normal 10 2 10 23 4 2" xfId="4522" xr:uid="{00000000-0005-0000-0000-0000AA110000}"/>
    <cellStyle name="Normal 10 2 10 23 4 3" xfId="4523" xr:uid="{00000000-0005-0000-0000-0000AB110000}"/>
    <cellStyle name="Normal 10 2 10 23 4 4" xfId="4524" xr:uid="{00000000-0005-0000-0000-0000AC110000}"/>
    <cellStyle name="Normal 10 2 10 23 4 5" xfId="4525" xr:uid="{00000000-0005-0000-0000-0000AD110000}"/>
    <cellStyle name="Normal 10 2 10 23 4 6" xfId="4526" xr:uid="{00000000-0005-0000-0000-0000AE110000}"/>
    <cellStyle name="Normal 10 2 10 23 4 7" xfId="4527" xr:uid="{00000000-0005-0000-0000-0000AF110000}"/>
    <cellStyle name="Normal 10 2 10 23 4 8" xfId="4528" xr:uid="{00000000-0005-0000-0000-0000B0110000}"/>
    <cellStyle name="Normal 10 2 10 23 4 9" xfId="4529" xr:uid="{00000000-0005-0000-0000-0000B1110000}"/>
    <cellStyle name="Normal 10 2 10 23 5" xfId="4530" xr:uid="{00000000-0005-0000-0000-0000B2110000}"/>
    <cellStyle name="Normal 10 2 10 23 5 10" xfId="4531" xr:uid="{00000000-0005-0000-0000-0000B3110000}"/>
    <cellStyle name="Normal 10 2 10 23 5 2" xfId="4532" xr:uid="{00000000-0005-0000-0000-0000B4110000}"/>
    <cellStyle name="Normal 10 2 10 23 5 3" xfId="4533" xr:uid="{00000000-0005-0000-0000-0000B5110000}"/>
    <cellStyle name="Normal 10 2 10 23 5 4" xfId="4534" xr:uid="{00000000-0005-0000-0000-0000B6110000}"/>
    <cellStyle name="Normal 10 2 10 23 5 5" xfId="4535" xr:uid="{00000000-0005-0000-0000-0000B7110000}"/>
    <cellStyle name="Normal 10 2 10 23 5 6" xfId="4536" xr:uid="{00000000-0005-0000-0000-0000B8110000}"/>
    <cellStyle name="Normal 10 2 10 23 5 7" xfId="4537" xr:uid="{00000000-0005-0000-0000-0000B9110000}"/>
    <cellStyle name="Normal 10 2 10 23 5 8" xfId="4538" xr:uid="{00000000-0005-0000-0000-0000BA110000}"/>
    <cellStyle name="Normal 10 2 10 23 5 9" xfId="4539" xr:uid="{00000000-0005-0000-0000-0000BB110000}"/>
    <cellStyle name="Normal 10 2 10 23 6" xfId="4540" xr:uid="{00000000-0005-0000-0000-0000BC110000}"/>
    <cellStyle name="Normal 10 2 10 23 7" xfId="4541" xr:uid="{00000000-0005-0000-0000-0000BD110000}"/>
    <cellStyle name="Normal 10 2 10 23 8" xfId="4542" xr:uid="{00000000-0005-0000-0000-0000BE110000}"/>
    <cellStyle name="Normal 10 2 10 23 9" xfId="4543" xr:uid="{00000000-0005-0000-0000-0000BF110000}"/>
    <cellStyle name="Normal 10 2 10 24" xfId="4544" xr:uid="{00000000-0005-0000-0000-0000C0110000}"/>
    <cellStyle name="Normal 10 2 10 24 10" xfId="4545" xr:uid="{00000000-0005-0000-0000-0000C1110000}"/>
    <cellStyle name="Normal 10 2 10 24 11" xfId="4546" xr:uid="{00000000-0005-0000-0000-0000C2110000}"/>
    <cellStyle name="Normal 10 2 10 24 12" xfId="4547" xr:uid="{00000000-0005-0000-0000-0000C3110000}"/>
    <cellStyle name="Normal 10 2 10 24 13" xfId="4548" xr:uid="{00000000-0005-0000-0000-0000C4110000}"/>
    <cellStyle name="Normal 10 2 10 24 14" xfId="4549" xr:uid="{00000000-0005-0000-0000-0000C5110000}"/>
    <cellStyle name="Normal 10 2 10 24 2" xfId="4550" xr:uid="{00000000-0005-0000-0000-0000C6110000}"/>
    <cellStyle name="Normal 10 2 10 24 2 10" xfId="4551" xr:uid="{00000000-0005-0000-0000-0000C7110000}"/>
    <cellStyle name="Normal 10 2 10 24 2 2" xfId="4552" xr:uid="{00000000-0005-0000-0000-0000C8110000}"/>
    <cellStyle name="Normal 10 2 10 24 2 3" xfId="4553" xr:uid="{00000000-0005-0000-0000-0000C9110000}"/>
    <cellStyle name="Normal 10 2 10 24 2 4" xfId="4554" xr:uid="{00000000-0005-0000-0000-0000CA110000}"/>
    <cellStyle name="Normal 10 2 10 24 2 5" xfId="4555" xr:uid="{00000000-0005-0000-0000-0000CB110000}"/>
    <cellStyle name="Normal 10 2 10 24 2 6" xfId="4556" xr:uid="{00000000-0005-0000-0000-0000CC110000}"/>
    <cellStyle name="Normal 10 2 10 24 2 7" xfId="4557" xr:uid="{00000000-0005-0000-0000-0000CD110000}"/>
    <cellStyle name="Normal 10 2 10 24 2 8" xfId="4558" xr:uid="{00000000-0005-0000-0000-0000CE110000}"/>
    <cellStyle name="Normal 10 2 10 24 2 9" xfId="4559" xr:uid="{00000000-0005-0000-0000-0000CF110000}"/>
    <cellStyle name="Normal 10 2 10 24 3" xfId="4560" xr:uid="{00000000-0005-0000-0000-0000D0110000}"/>
    <cellStyle name="Normal 10 2 10 24 3 10" xfId="4561" xr:uid="{00000000-0005-0000-0000-0000D1110000}"/>
    <cellStyle name="Normal 10 2 10 24 3 2" xfId="4562" xr:uid="{00000000-0005-0000-0000-0000D2110000}"/>
    <cellStyle name="Normal 10 2 10 24 3 3" xfId="4563" xr:uid="{00000000-0005-0000-0000-0000D3110000}"/>
    <cellStyle name="Normal 10 2 10 24 3 4" xfId="4564" xr:uid="{00000000-0005-0000-0000-0000D4110000}"/>
    <cellStyle name="Normal 10 2 10 24 3 5" xfId="4565" xr:uid="{00000000-0005-0000-0000-0000D5110000}"/>
    <cellStyle name="Normal 10 2 10 24 3 6" xfId="4566" xr:uid="{00000000-0005-0000-0000-0000D6110000}"/>
    <cellStyle name="Normal 10 2 10 24 3 7" xfId="4567" xr:uid="{00000000-0005-0000-0000-0000D7110000}"/>
    <cellStyle name="Normal 10 2 10 24 3 8" xfId="4568" xr:uid="{00000000-0005-0000-0000-0000D8110000}"/>
    <cellStyle name="Normal 10 2 10 24 3 9" xfId="4569" xr:uid="{00000000-0005-0000-0000-0000D9110000}"/>
    <cellStyle name="Normal 10 2 10 24 4" xfId="4570" xr:uid="{00000000-0005-0000-0000-0000DA110000}"/>
    <cellStyle name="Normal 10 2 10 24 4 10" xfId="4571" xr:uid="{00000000-0005-0000-0000-0000DB110000}"/>
    <cellStyle name="Normal 10 2 10 24 4 2" xfId="4572" xr:uid="{00000000-0005-0000-0000-0000DC110000}"/>
    <cellStyle name="Normal 10 2 10 24 4 3" xfId="4573" xr:uid="{00000000-0005-0000-0000-0000DD110000}"/>
    <cellStyle name="Normal 10 2 10 24 4 4" xfId="4574" xr:uid="{00000000-0005-0000-0000-0000DE110000}"/>
    <cellStyle name="Normal 10 2 10 24 4 5" xfId="4575" xr:uid="{00000000-0005-0000-0000-0000DF110000}"/>
    <cellStyle name="Normal 10 2 10 24 4 6" xfId="4576" xr:uid="{00000000-0005-0000-0000-0000E0110000}"/>
    <cellStyle name="Normal 10 2 10 24 4 7" xfId="4577" xr:uid="{00000000-0005-0000-0000-0000E1110000}"/>
    <cellStyle name="Normal 10 2 10 24 4 8" xfId="4578" xr:uid="{00000000-0005-0000-0000-0000E2110000}"/>
    <cellStyle name="Normal 10 2 10 24 4 9" xfId="4579" xr:uid="{00000000-0005-0000-0000-0000E3110000}"/>
    <cellStyle name="Normal 10 2 10 24 5" xfId="4580" xr:uid="{00000000-0005-0000-0000-0000E4110000}"/>
    <cellStyle name="Normal 10 2 10 24 5 10" xfId="4581" xr:uid="{00000000-0005-0000-0000-0000E5110000}"/>
    <cellStyle name="Normal 10 2 10 24 5 2" xfId="4582" xr:uid="{00000000-0005-0000-0000-0000E6110000}"/>
    <cellStyle name="Normal 10 2 10 24 5 3" xfId="4583" xr:uid="{00000000-0005-0000-0000-0000E7110000}"/>
    <cellStyle name="Normal 10 2 10 24 5 4" xfId="4584" xr:uid="{00000000-0005-0000-0000-0000E8110000}"/>
    <cellStyle name="Normal 10 2 10 24 5 5" xfId="4585" xr:uid="{00000000-0005-0000-0000-0000E9110000}"/>
    <cellStyle name="Normal 10 2 10 24 5 6" xfId="4586" xr:uid="{00000000-0005-0000-0000-0000EA110000}"/>
    <cellStyle name="Normal 10 2 10 24 5 7" xfId="4587" xr:uid="{00000000-0005-0000-0000-0000EB110000}"/>
    <cellStyle name="Normal 10 2 10 24 5 8" xfId="4588" xr:uid="{00000000-0005-0000-0000-0000EC110000}"/>
    <cellStyle name="Normal 10 2 10 24 5 9" xfId="4589" xr:uid="{00000000-0005-0000-0000-0000ED110000}"/>
    <cellStyle name="Normal 10 2 10 24 6" xfId="4590" xr:uid="{00000000-0005-0000-0000-0000EE110000}"/>
    <cellStyle name="Normal 10 2 10 24 7" xfId="4591" xr:uid="{00000000-0005-0000-0000-0000EF110000}"/>
    <cellStyle name="Normal 10 2 10 24 8" xfId="4592" xr:uid="{00000000-0005-0000-0000-0000F0110000}"/>
    <cellStyle name="Normal 10 2 10 24 9" xfId="4593" xr:uid="{00000000-0005-0000-0000-0000F1110000}"/>
    <cellStyle name="Normal 10 2 10 25" xfId="4594" xr:uid="{00000000-0005-0000-0000-0000F2110000}"/>
    <cellStyle name="Normal 10 2 10 25 10" xfId="4595" xr:uid="{00000000-0005-0000-0000-0000F3110000}"/>
    <cellStyle name="Normal 10 2 10 25 11" xfId="4596" xr:uid="{00000000-0005-0000-0000-0000F4110000}"/>
    <cellStyle name="Normal 10 2 10 25 12" xfId="4597" xr:uid="{00000000-0005-0000-0000-0000F5110000}"/>
    <cellStyle name="Normal 10 2 10 25 13" xfId="4598" xr:uid="{00000000-0005-0000-0000-0000F6110000}"/>
    <cellStyle name="Normal 10 2 10 25 14" xfId="4599" xr:uid="{00000000-0005-0000-0000-0000F7110000}"/>
    <cellStyle name="Normal 10 2 10 25 2" xfId="4600" xr:uid="{00000000-0005-0000-0000-0000F8110000}"/>
    <cellStyle name="Normal 10 2 10 25 2 10" xfId="4601" xr:uid="{00000000-0005-0000-0000-0000F9110000}"/>
    <cellStyle name="Normal 10 2 10 25 2 2" xfId="4602" xr:uid="{00000000-0005-0000-0000-0000FA110000}"/>
    <cellStyle name="Normal 10 2 10 25 2 3" xfId="4603" xr:uid="{00000000-0005-0000-0000-0000FB110000}"/>
    <cellStyle name="Normal 10 2 10 25 2 4" xfId="4604" xr:uid="{00000000-0005-0000-0000-0000FC110000}"/>
    <cellStyle name="Normal 10 2 10 25 2 5" xfId="4605" xr:uid="{00000000-0005-0000-0000-0000FD110000}"/>
    <cellStyle name="Normal 10 2 10 25 2 6" xfId="4606" xr:uid="{00000000-0005-0000-0000-0000FE110000}"/>
    <cellStyle name="Normal 10 2 10 25 2 7" xfId="4607" xr:uid="{00000000-0005-0000-0000-0000FF110000}"/>
    <cellStyle name="Normal 10 2 10 25 2 8" xfId="4608" xr:uid="{00000000-0005-0000-0000-000000120000}"/>
    <cellStyle name="Normal 10 2 10 25 2 9" xfId="4609" xr:uid="{00000000-0005-0000-0000-000001120000}"/>
    <cellStyle name="Normal 10 2 10 25 3" xfId="4610" xr:uid="{00000000-0005-0000-0000-000002120000}"/>
    <cellStyle name="Normal 10 2 10 25 3 10" xfId="4611" xr:uid="{00000000-0005-0000-0000-000003120000}"/>
    <cellStyle name="Normal 10 2 10 25 3 2" xfId="4612" xr:uid="{00000000-0005-0000-0000-000004120000}"/>
    <cellStyle name="Normal 10 2 10 25 3 3" xfId="4613" xr:uid="{00000000-0005-0000-0000-000005120000}"/>
    <cellStyle name="Normal 10 2 10 25 3 4" xfId="4614" xr:uid="{00000000-0005-0000-0000-000006120000}"/>
    <cellStyle name="Normal 10 2 10 25 3 5" xfId="4615" xr:uid="{00000000-0005-0000-0000-000007120000}"/>
    <cellStyle name="Normal 10 2 10 25 3 6" xfId="4616" xr:uid="{00000000-0005-0000-0000-000008120000}"/>
    <cellStyle name="Normal 10 2 10 25 3 7" xfId="4617" xr:uid="{00000000-0005-0000-0000-000009120000}"/>
    <cellStyle name="Normal 10 2 10 25 3 8" xfId="4618" xr:uid="{00000000-0005-0000-0000-00000A120000}"/>
    <cellStyle name="Normal 10 2 10 25 3 9" xfId="4619" xr:uid="{00000000-0005-0000-0000-00000B120000}"/>
    <cellStyle name="Normal 10 2 10 25 4" xfId="4620" xr:uid="{00000000-0005-0000-0000-00000C120000}"/>
    <cellStyle name="Normal 10 2 10 25 4 10" xfId="4621" xr:uid="{00000000-0005-0000-0000-00000D120000}"/>
    <cellStyle name="Normal 10 2 10 25 4 2" xfId="4622" xr:uid="{00000000-0005-0000-0000-00000E120000}"/>
    <cellStyle name="Normal 10 2 10 25 4 3" xfId="4623" xr:uid="{00000000-0005-0000-0000-00000F120000}"/>
    <cellStyle name="Normal 10 2 10 25 4 4" xfId="4624" xr:uid="{00000000-0005-0000-0000-000010120000}"/>
    <cellStyle name="Normal 10 2 10 25 4 5" xfId="4625" xr:uid="{00000000-0005-0000-0000-000011120000}"/>
    <cellStyle name="Normal 10 2 10 25 4 6" xfId="4626" xr:uid="{00000000-0005-0000-0000-000012120000}"/>
    <cellStyle name="Normal 10 2 10 25 4 7" xfId="4627" xr:uid="{00000000-0005-0000-0000-000013120000}"/>
    <cellStyle name="Normal 10 2 10 25 4 8" xfId="4628" xr:uid="{00000000-0005-0000-0000-000014120000}"/>
    <cellStyle name="Normal 10 2 10 25 4 9" xfId="4629" xr:uid="{00000000-0005-0000-0000-000015120000}"/>
    <cellStyle name="Normal 10 2 10 25 5" xfId="4630" xr:uid="{00000000-0005-0000-0000-000016120000}"/>
    <cellStyle name="Normal 10 2 10 25 5 10" xfId="4631" xr:uid="{00000000-0005-0000-0000-000017120000}"/>
    <cellStyle name="Normal 10 2 10 25 5 2" xfId="4632" xr:uid="{00000000-0005-0000-0000-000018120000}"/>
    <cellStyle name="Normal 10 2 10 25 5 3" xfId="4633" xr:uid="{00000000-0005-0000-0000-000019120000}"/>
    <cellStyle name="Normal 10 2 10 25 5 4" xfId="4634" xr:uid="{00000000-0005-0000-0000-00001A120000}"/>
    <cellStyle name="Normal 10 2 10 25 5 5" xfId="4635" xr:uid="{00000000-0005-0000-0000-00001B120000}"/>
    <cellStyle name="Normal 10 2 10 25 5 6" xfId="4636" xr:uid="{00000000-0005-0000-0000-00001C120000}"/>
    <cellStyle name="Normal 10 2 10 25 5 7" xfId="4637" xr:uid="{00000000-0005-0000-0000-00001D120000}"/>
    <cellStyle name="Normal 10 2 10 25 5 8" xfId="4638" xr:uid="{00000000-0005-0000-0000-00001E120000}"/>
    <cellStyle name="Normal 10 2 10 25 5 9" xfId="4639" xr:uid="{00000000-0005-0000-0000-00001F120000}"/>
    <cellStyle name="Normal 10 2 10 25 6" xfId="4640" xr:uid="{00000000-0005-0000-0000-000020120000}"/>
    <cellStyle name="Normal 10 2 10 25 7" xfId="4641" xr:uid="{00000000-0005-0000-0000-000021120000}"/>
    <cellStyle name="Normal 10 2 10 25 8" xfId="4642" xr:uid="{00000000-0005-0000-0000-000022120000}"/>
    <cellStyle name="Normal 10 2 10 25 9" xfId="4643" xr:uid="{00000000-0005-0000-0000-000023120000}"/>
    <cellStyle name="Normal 10 2 10 26" xfId="4644" xr:uid="{00000000-0005-0000-0000-000024120000}"/>
    <cellStyle name="Normal 10 2 10 26 10" xfId="4645" xr:uid="{00000000-0005-0000-0000-000025120000}"/>
    <cellStyle name="Normal 10 2 10 26 11" xfId="4646" xr:uid="{00000000-0005-0000-0000-000026120000}"/>
    <cellStyle name="Normal 10 2 10 26 12" xfId="4647" xr:uid="{00000000-0005-0000-0000-000027120000}"/>
    <cellStyle name="Normal 10 2 10 26 13" xfId="4648" xr:uid="{00000000-0005-0000-0000-000028120000}"/>
    <cellStyle name="Normal 10 2 10 26 14" xfId="4649" xr:uid="{00000000-0005-0000-0000-000029120000}"/>
    <cellStyle name="Normal 10 2 10 26 2" xfId="4650" xr:uid="{00000000-0005-0000-0000-00002A120000}"/>
    <cellStyle name="Normal 10 2 10 26 2 10" xfId="4651" xr:uid="{00000000-0005-0000-0000-00002B120000}"/>
    <cellStyle name="Normal 10 2 10 26 2 2" xfId="4652" xr:uid="{00000000-0005-0000-0000-00002C120000}"/>
    <cellStyle name="Normal 10 2 10 26 2 3" xfId="4653" xr:uid="{00000000-0005-0000-0000-00002D120000}"/>
    <cellStyle name="Normal 10 2 10 26 2 4" xfId="4654" xr:uid="{00000000-0005-0000-0000-00002E120000}"/>
    <cellStyle name="Normal 10 2 10 26 2 5" xfId="4655" xr:uid="{00000000-0005-0000-0000-00002F120000}"/>
    <cellStyle name="Normal 10 2 10 26 2 6" xfId="4656" xr:uid="{00000000-0005-0000-0000-000030120000}"/>
    <cellStyle name="Normal 10 2 10 26 2 7" xfId="4657" xr:uid="{00000000-0005-0000-0000-000031120000}"/>
    <cellStyle name="Normal 10 2 10 26 2 8" xfId="4658" xr:uid="{00000000-0005-0000-0000-000032120000}"/>
    <cellStyle name="Normal 10 2 10 26 2 9" xfId="4659" xr:uid="{00000000-0005-0000-0000-000033120000}"/>
    <cellStyle name="Normal 10 2 10 26 3" xfId="4660" xr:uid="{00000000-0005-0000-0000-000034120000}"/>
    <cellStyle name="Normal 10 2 10 26 3 10" xfId="4661" xr:uid="{00000000-0005-0000-0000-000035120000}"/>
    <cellStyle name="Normal 10 2 10 26 3 2" xfId="4662" xr:uid="{00000000-0005-0000-0000-000036120000}"/>
    <cellStyle name="Normal 10 2 10 26 3 3" xfId="4663" xr:uid="{00000000-0005-0000-0000-000037120000}"/>
    <cellStyle name="Normal 10 2 10 26 3 4" xfId="4664" xr:uid="{00000000-0005-0000-0000-000038120000}"/>
    <cellStyle name="Normal 10 2 10 26 3 5" xfId="4665" xr:uid="{00000000-0005-0000-0000-000039120000}"/>
    <cellStyle name="Normal 10 2 10 26 3 6" xfId="4666" xr:uid="{00000000-0005-0000-0000-00003A120000}"/>
    <cellStyle name="Normal 10 2 10 26 3 7" xfId="4667" xr:uid="{00000000-0005-0000-0000-00003B120000}"/>
    <cellStyle name="Normal 10 2 10 26 3 8" xfId="4668" xr:uid="{00000000-0005-0000-0000-00003C120000}"/>
    <cellStyle name="Normal 10 2 10 26 3 9" xfId="4669" xr:uid="{00000000-0005-0000-0000-00003D120000}"/>
    <cellStyle name="Normal 10 2 10 26 4" xfId="4670" xr:uid="{00000000-0005-0000-0000-00003E120000}"/>
    <cellStyle name="Normal 10 2 10 26 4 10" xfId="4671" xr:uid="{00000000-0005-0000-0000-00003F120000}"/>
    <cellStyle name="Normal 10 2 10 26 4 2" xfId="4672" xr:uid="{00000000-0005-0000-0000-000040120000}"/>
    <cellStyle name="Normal 10 2 10 26 4 3" xfId="4673" xr:uid="{00000000-0005-0000-0000-000041120000}"/>
    <cellStyle name="Normal 10 2 10 26 4 4" xfId="4674" xr:uid="{00000000-0005-0000-0000-000042120000}"/>
    <cellStyle name="Normal 10 2 10 26 4 5" xfId="4675" xr:uid="{00000000-0005-0000-0000-000043120000}"/>
    <cellStyle name="Normal 10 2 10 26 4 6" xfId="4676" xr:uid="{00000000-0005-0000-0000-000044120000}"/>
    <cellStyle name="Normal 10 2 10 26 4 7" xfId="4677" xr:uid="{00000000-0005-0000-0000-000045120000}"/>
    <cellStyle name="Normal 10 2 10 26 4 8" xfId="4678" xr:uid="{00000000-0005-0000-0000-000046120000}"/>
    <cellStyle name="Normal 10 2 10 26 4 9" xfId="4679" xr:uid="{00000000-0005-0000-0000-000047120000}"/>
    <cellStyle name="Normal 10 2 10 26 5" xfId="4680" xr:uid="{00000000-0005-0000-0000-000048120000}"/>
    <cellStyle name="Normal 10 2 10 26 5 10" xfId="4681" xr:uid="{00000000-0005-0000-0000-000049120000}"/>
    <cellStyle name="Normal 10 2 10 26 5 2" xfId="4682" xr:uid="{00000000-0005-0000-0000-00004A120000}"/>
    <cellStyle name="Normal 10 2 10 26 5 3" xfId="4683" xr:uid="{00000000-0005-0000-0000-00004B120000}"/>
    <cellStyle name="Normal 10 2 10 26 5 4" xfId="4684" xr:uid="{00000000-0005-0000-0000-00004C120000}"/>
    <cellStyle name="Normal 10 2 10 26 5 5" xfId="4685" xr:uid="{00000000-0005-0000-0000-00004D120000}"/>
    <cellStyle name="Normal 10 2 10 26 5 6" xfId="4686" xr:uid="{00000000-0005-0000-0000-00004E120000}"/>
    <cellStyle name="Normal 10 2 10 26 5 7" xfId="4687" xr:uid="{00000000-0005-0000-0000-00004F120000}"/>
    <cellStyle name="Normal 10 2 10 26 5 8" xfId="4688" xr:uid="{00000000-0005-0000-0000-000050120000}"/>
    <cellStyle name="Normal 10 2 10 26 5 9" xfId="4689" xr:uid="{00000000-0005-0000-0000-000051120000}"/>
    <cellStyle name="Normal 10 2 10 26 6" xfId="4690" xr:uid="{00000000-0005-0000-0000-000052120000}"/>
    <cellStyle name="Normal 10 2 10 26 7" xfId="4691" xr:uid="{00000000-0005-0000-0000-000053120000}"/>
    <cellStyle name="Normal 10 2 10 26 8" xfId="4692" xr:uid="{00000000-0005-0000-0000-000054120000}"/>
    <cellStyle name="Normal 10 2 10 26 9" xfId="4693" xr:uid="{00000000-0005-0000-0000-000055120000}"/>
    <cellStyle name="Normal 10 2 10 27" xfId="4694" xr:uid="{00000000-0005-0000-0000-000056120000}"/>
    <cellStyle name="Normal 10 2 10 27 10" xfId="4695" xr:uid="{00000000-0005-0000-0000-000057120000}"/>
    <cellStyle name="Normal 10 2 10 27 11" xfId="4696" xr:uid="{00000000-0005-0000-0000-000058120000}"/>
    <cellStyle name="Normal 10 2 10 27 12" xfId="4697" xr:uid="{00000000-0005-0000-0000-000059120000}"/>
    <cellStyle name="Normal 10 2 10 27 13" xfId="4698" xr:uid="{00000000-0005-0000-0000-00005A120000}"/>
    <cellStyle name="Normal 10 2 10 27 14" xfId="4699" xr:uid="{00000000-0005-0000-0000-00005B120000}"/>
    <cellStyle name="Normal 10 2 10 27 2" xfId="4700" xr:uid="{00000000-0005-0000-0000-00005C120000}"/>
    <cellStyle name="Normal 10 2 10 27 2 10" xfId="4701" xr:uid="{00000000-0005-0000-0000-00005D120000}"/>
    <cellStyle name="Normal 10 2 10 27 2 2" xfId="4702" xr:uid="{00000000-0005-0000-0000-00005E120000}"/>
    <cellStyle name="Normal 10 2 10 27 2 3" xfId="4703" xr:uid="{00000000-0005-0000-0000-00005F120000}"/>
    <cellStyle name="Normal 10 2 10 27 2 4" xfId="4704" xr:uid="{00000000-0005-0000-0000-000060120000}"/>
    <cellStyle name="Normal 10 2 10 27 2 5" xfId="4705" xr:uid="{00000000-0005-0000-0000-000061120000}"/>
    <cellStyle name="Normal 10 2 10 27 2 6" xfId="4706" xr:uid="{00000000-0005-0000-0000-000062120000}"/>
    <cellStyle name="Normal 10 2 10 27 2 7" xfId="4707" xr:uid="{00000000-0005-0000-0000-000063120000}"/>
    <cellStyle name="Normal 10 2 10 27 2 8" xfId="4708" xr:uid="{00000000-0005-0000-0000-000064120000}"/>
    <cellStyle name="Normal 10 2 10 27 2 9" xfId="4709" xr:uid="{00000000-0005-0000-0000-000065120000}"/>
    <cellStyle name="Normal 10 2 10 27 3" xfId="4710" xr:uid="{00000000-0005-0000-0000-000066120000}"/>
    <cellStyle name="Normal 10 2 10 27 3 10" xfId="4711" xr:uid="{00000000-0005-0000-0000-000067120000}"/>
    <cellStyle name="Normal 10 2 10 27 3 2" xfId="4712" xr:uid="{00000000-0005-0000-0000-000068120000}"/>
    <cellStyle name="Normal 10 2 10 27 3 3" xfId="4713" xr:uid="{00000000-0005-0000-0000-000069120000}"/>
    <cellStyle name="Normal 10 2 10 27 3 4" xfId="4714" xr:uid="{00000000-0005-0000-0000-00006A120000}"/>
    <cellStyle name="Normal 10 2 10 27 3 5" xfId="4715" xr:uid="{00000000-0005-0000-0000-00006B120000}"/>
    <cellStyle name="Normal 10 2 10 27 3 6" xfId="4716" xr:uid="{00000000-0005-0000-0000-00006C120000}"/>
    <cellStyle name="Normal 10 2 10 27 3 7" xfId="4717" xr:uid="{00000000-0005-0000-0000-00006D120000}"/>
    <cellStyle name="Normal 10 2 10 27 3 8" xfId="4718" xr:uid="{00000000-0005-0000-0000-00006E120000}"/>
    <cellStyle name="Normal 10 2 10 27 3 9" xfId="4719" xr:uid="{00000000-0005-0000-0000-00006F120000}"/>
    <cellStyle name="Normal 10 2 10 27 4" xfId="4720" xr:uid="{00000000-0005-0000-0000-000070120000}"/>
    <cellStyle name="Normal 10 2 10 27 4 10" xfId="4721" xr:uid="{00000000-0005-0000-0000-000071120000}"/>
    <cellStyle name="Normal 10 2 10 27 4 2" xfId="4722" xr:uid="{00000000-0005-0000-0000-000072120000}"/>
    <cellStyle name="Normal 10 2 10 27 4 3" xfId="4723" xr:uid="{00000000-0005-0000-0000-000073120000}"/>
    <cellStyle name="Normal 10 2 10 27 4 4" xfId="4724" xr:uid="{00000000-0005-0000-0000-000074120000}"/>
    <cellStyle name="Normal 10 2 10 27 4 5" xfId="4725" xr:uid="{00000000-0005-0000-0000-000075120000}"/>
    <cellStyle name="Normal 10 2 10 27 4 6" xfId="4726" xr:uid="{00000000-0005-0000-0000-000076120000}"/>
    <cellStyle name="Normal 10 2 10 27 4 7" xfId="4727" xr:uid="{00000000-0005-0000-0000-000077120000}"/>
    <cellStyle name="Normal 10 2 10 27 4 8" xfId="4728" xr:uid="{00000000-0005-0000-0000-000078120000}"/>
    <cellStyle name="Normal 10 2 10 27 4 9" xfId="4729" xr:uid="{00000000-0005-0000-0000-000079120000}"/>
    <cellStyle name="Normal 10 2 10 27 5" xfId="4730" xr:uid="{00000000-0005-0000-0000-00007A120000}"/>
    <cellStyle name="Normal 10 2 10 27 5 10" xfId="4731" xr:uid="{00000000-0005-0000-0000-00007B120000}"/>
    <cellStyle name="Normal 10 2 10 27 5 2" xfId="4732" xr:uid="{00000000-0005-0000-0000-00007C120000}"/>
    <cellStyle name="Normal 10 2 10 27 5 3" xfId="4733" xr:uid="{00000000-0005-0000-0000-00007D120000}"/>
    <cellStyle name="Normal 10 2 10 27 5 4" xfId="4734" xr:uid="{00000000-0005-0000-0000-00007E120000}"/>
    <cellStyle name="Normal 10 2 10 27 5 5" xfId="4735" xr:uid="{00000000-0005-0000-0000-00007F120000}"/>
    <cellStyle name="Normal 10 2 10 27 5 6" xfId="4736" xr:uid="{00000000-0005-0000-0000-000080120000}"/>
    <cellStyle name="Normal 10 2 10 27 5 7" xfId="4737" xr:uid="{00000000-0005-0000-0000-000081120000}"/>
    <cellStyle name="Normal 10 2 10 27 5 8" xfId="4738" xr:uid="{00000000-0005-0000-0000-000082120000}"/>
    <cellStyle name="Normal 10 2 10 27 5 9" xfId="4739" xr:uid="{00000000-0005-0000-0000-000083120000}"/>
    <cellStyle name="Normal 10 2 10 27 6" xfId="4740" xr:uid="{00000000-0005-0000-0000-000084120000}"/>
    <cellStyle name="Normal 10 2 10 27 7" xfId="4741" xr:uid="{00000000-0005-0000-0000-000085120000}"/>
    <cellStyle name="Normal 10 2 10 27 8" xfId="4742" xr:uid="{00000000-0005-0000-0000-000086120000}"/>
    <cellStyle name="Normal 10 2 10 27 9" xfId="4743" xr:uid="{00000000-0005-0000-0000-000087120000}"/>
    <cellStyle name="Normal 10 2 10 28" xfId="4744" xr:uid="{00000000-0005-0000-0000-000088120000}"/>
    <cellStyle name="Normal 10 2 10 28 10" xfId="4745" xr:uid="{00000000-0005-0000-0000-000089120000}"/>
    <cellStyle name="Normal 10 2 10 28 11" xfId="4746" xr:uid="{00000000-0005-0000-0000-00008A120000}"/>
    <cellStyle name="Normal 10 2 10 28 12" xfId="4747" xr:uid="{00000000-0005-0000-0000-00008B120000}"/>
    <cellStyle name="Normal 10 2 10 28 13" xfId="4748" xr:uid="{00000000-0005-0000-0000-00008C120000}"/>
    <cellStyle name="Normal 10 2 10 28 14" xfId="4749" xr:uid="{00000000-0005-0000-0000-00008D120000}"/>
    <cellStyle name="Normal 10 2 10 28 2" xfId="4750" xr:uid="{00000000-0005-0000-0000-00008E120000}"/>
    <cellStyle name="Normal 10 2 10 28 2 10" xfId="4751" xr:uid="{00000000-0005-0000-0000-00008F120000}"/>
    <cellStyle name="Normal 10 2 10 28 2 2" xfId="4752" xr:uid="{00000000-0005-0000-0000-000090120000}"/>
    <cellStyle name="Normal 10 2 10 28 2 3" xfId="4753" xr:uid="{00000000-0005-0000-0000-000091120000}"/>
    <cellStyle name="Normal 10 2 10 28 2 4" xfId="4754" xr:uid="{00000000-0005-0000-0000-000092120000}"/>
    <cellStyle name="Normal 10 2 10 28 2 5" xfId="4755" xr:uid="{00000000-0005-0000-0000-000093120000}"/>
    <cellStyle name="Normal 10 2 10 28 2 6" xfId="4756" xr:uid="{00000000-0005-0000-0000-000094120000}"/>
    <cellStyle name="Normal 10 2 10 28 2 7" xfId="4757" xr:uid="{00000000-0005-0000-0000-000095120000}"/>
    <cellStyle name="Normal 10 2 10 28 2 8" xfId="4758" xr:uid="{00000000-0005-0000-0000-000096120000}"/>
    <cellStyle name="Normal 10 2 10 28 2 9" xfId="4759" xr:uid="{00000000-0005-0000-0000-000097120000}"/>
    <cellStyle name="Normal 10 2 10 28 3" xfId="4760" xr:uid="{00000000-0005-0000-0000-000098120000}"/>
    <cellStyle name="Normal 10 2 10 28 3 10" xfId="4761" xr:uid="{00000000-0005-0000-0000-000099120000}"/>
    <cellStyle name="Normal 10 2 10 28 3 2" xfId="4762" xr:uid="{00000000-0005-0000-0000-00009A120000}"/>
    <cellStyle name="Normal 10 2 10 28 3 3" xfId="4763" xr:uid="{00000000-0005-0000-0000-00009B120000}"/>
    <cellStyle name="Normal 10 2 10 28 3 4" xfId="4764" xr:uid="{00000000-0005-0000-0000-00009C120000}"/>
    <cellStyle name="Normal 10 2 10 28 3 5" xfId="4765" xr:uid="{00000000-0005-0000-0000-00009D120000}"/>
    <cellStyle name="Normal 10 2 10 28 3 6" xfId="4766" xr:uid="{00000000-0005-0000-0000-00009E120000}"/>
    <cellStyle name="Normal 10 2 10 28 3 7" xfId="4767" xr:uid="{00000000-0005-0000-0000-00009F120000}"/>
    <cellStyle name="Normal 10 2 10 28 3 8" xfId="4768" xr:uid="{00000000-0005-0000-0000-0000A0120000}"/>
    <cellStyle name="Normal 10 2 10 28 3 9" xfId="4769" xr:uid="{00000000-0005-0000-0000-0000A1120000}"/>
    <cellStyle name="Normal 10 2 10 28 4" xfId="4770" xr:uid="{00000000-0005-0000-0000-0000A2120000}"/>
    <cellStyle name="Normal 10 2 10 28 4 10" xfId="4771" xr:uid="{00000000-0005-0000-0000-0000A3120000}"/>
    <cellStyle name="Normal 10 2 10 28 4 2" xfId="4772" xr:uid="{00000000-0005-0000-0000-0000A4120000}"/>
    <cellStyle name="Normal 10 2 10 28 4 3" xfId="4773" xr:uid="{00000000-0005-0000-0000-0000A5120000}"/>
    <cellStyle name="Normal 10 2 10 28 4 4" xfId="4774" xr:uid="{00000000-0005-0000-0000-0000A6120000}"/>
    <cellStyle name="Normal 10 2 10 28 4 5" xfId="4775" xr:uid="{00000000-0005-0000-0000-0000A7120000}"/>
    <cellStyle name="Normal 10 2 10 28 4 6" xfId="4776" xr:uid="{00000000-0005-0000-0000-0000A8120000}"/>
    <cellStyle name="Normal 10 2 10 28 4 7" xfId="4777" xr:uid="{00000000-0005-0000-0000-0000A9120000}"/>
    <cellStyle name="Normal 10 2 10 28 4 8" xfId="4778" xr:uid="{00000000-0005-0000-0000-0000AA120000}"/>
    <cellStyle name="Normal 10 2 10 28 4 9" xfId="4779" xr:uid="{00000000-0005-0000-0000-0000AB120000}"/>
    <cellStyle name="Normal 10 2 10 28 5" xfId="4780" xr:uid="{00000000-0005-0000-0000-0000AC120000}"/>
    <cellStyle name="Normal 10 2 10 28 5 10" xfId="4781" xr:uid="{00000000-0005-0000-0000-0000AD120000}"/>
    <cellStyle name="Normal 10 2 10 28 5 2" xfId="4782" xr:uid="{00000000-0005-0000-0000-0000AE120000}"/>
    <cellStyle name="Normal 10 2 10 28 5 3" xfId="4783" xr:uid="{00000000-0005-0000-0000-0000AF120000}"/>
    <cellStyle name="Normal 10 2 10 28 5 4" xfId="4784" xr:uid="{00000000-0005-0000-0000-0000B0120000}"/>
    <cellStyle name="Normal 10 2 10 28 5 5" xfId="4785" xr:uid="{00000000-0005-0000-0000-0000B1120000}"/>
    <cellStyle name="Normal 10 2 10 28 5 6" xfId="4786" xr:uid="{00000000-0005-0000-0000-0000B2120000}"/>
    <cellStyle name="Normal 10 2 10 28 5 7" xfId="4787" xr:uid="{00000000-0005-0000-0000-0000B3120000}"/>
    <cellStyle name="Normal 10 2 10 28 5 8" xfId="4788" xr:uid="{00000000-0005-0000-0000-0000B4120000}"/>
    <cellStyle name="Normal 10 2 10 28 5 9" xfId="4789" xr:uid="{00000000-0005-0000-0000-0000B5120000}"/>
    <cellStyle name="Normal 10 2 10 28 6" xfId="4790" xr:uid="{00000000-0005-0000-0000-0000B6120000}"/>
    <cellStyle name="Normal 10 2 10 28 7" xfId="4791" xr:uid="{00000000-0005-0000-0000-0000B7120000}"/>
    <cellStyle name="Normal 10 2 10 28 8" xfId="4792" xr:uid="{00000000-0005-0000-0000-0000B8120000}"/>
    <cellStyle name="Normal 10 2 10 28 9" xfId="4793" xr:uid="{00000000-0005-0000-0000-0000B9120000}"/>
    <cellStyle name="Normal 10 2 10 29" xfId="4794" xr:uid="{00000000-0005-0000-0000-0000BA120000}"/>
    <cellStyle name="Normal 10 2 10 29 10" xfId="4795" xr:uid="{00000000-0005-0000-0000-0000BB120000}"/>
    <cellStyle name="Normal 10 2 10 29 11" xfId="4796" xr:uid="{00000000-0005-0000-0000-0000BC120000}"/>
    <cellStyle name="Normal 10 2 10 29 12" xfId="4797" xr:uid="{00000000-0005-0000-0000-0000BD120000}"/>
    <cellStyle name="Normal 10 2 10 29 13" xfId="4798" xr:uid="{00000000-0005-0000-0000-0000BE120000}"/>
    <cellStyle name="Normal 10 2 10 29 14" xfId="4799" xr:uid="{00000000-0005-0000-0000-0000BF120000}"/>
    <cellStyle name="Normal 10 2 10 29 2" xfId="4800" xr:uid="{00000000-0005-0000-0000-0000C0120000}"/>
    <cellStyle name="Normal 10 2 10 29 2 10" xfId="4801" xr:uid="{00000000-0005-0000-0000-0000C1120000}"/>
    <cellStyle name="Normal 10 2 10 29 2 2" xfId="4802" xr:uid="{00000000-0005-0000-0000-0000C2120000}"/>
    <cellStyle name="Normal 10 2 10 29 2 3" xfId="4803" xr:uid="{00000000-0005-0000-0000-0000C3120000}"/>
    <cellStyle name="Normal 10 2 10 29 2 4" xfId="4804" xr:uid="{00000000-0005-0000-0000-0000C4120000}"/>
    <cellStyle name="Normal 10 2 10 29 2 5" xfId="4805" xr:uid="{00000000-0005-0000-0000-0000C5120000}"/>
    <cellStyle name="Normal 10 2 10 29 2 6" xfId="4806" xr:uid="{00000000-0005-0000-0000-0000C6120000}"/>
    <cellStyle name="Normal 10 2 10 29 2 7" xfId="4807" xr:uid="{00000000-0005-0000-0000-0000C7120000}"/>
    <cellStyle name="Normal 10 2 10 29 2 8" xfId="4808" xr:uid="{00000000-0005-0000-0000-0000C8120000}"/>
    <cellStyle name="Normal 10 2 10 29 2 9" xfId="4809" xr:uid="{00000000-0005-0000-0000-0000C9120000}"/>
    <cellStyle name="Normal 10 2 10 29 3" xfId="4810" xr:uid="{00000000-0005-0000-0000-0000CA120000}"/>
    <cellStyle name="Normal 10 2 10 29 3 10" xfId="4811" xr:uid="{00000000-0005-0000-0000-0000CB120000}"/>
    <cellStyle name="Normal 10 2 10 29 3 2" xfId="4812" xr:uid="{00000000-0005-0000-0000-0000CC120000}"/>
    <cellStyle name="Normal 10 2 10 29 3 3" xfId="4813" xr:uid="{00000000-0005-0000-0000-0000CD120000}"/>
    <cellStyle name="Normal 10 2 10 29 3 4" xfId="4814" xr:uid="{00000000-0005-0000-0000-0000CE120000}"/>
    <cellStyle name="Normal 10 2 10 29 3 5" xfId="4815" xr:uid="{00000000-0005-0000-0000-0000CF120000}"/>
    <cellStyle name="Normal 10 2 10 29 3 6" xfId="4816" xr:uid="{00000000-0005-0000-0000-0000D0120000}"/>
    <cellStyle name="Normal 10 2 10 29 3 7" xfId="4817" xr:uid="{00000000-0005-0000-0000-0000D1120000}"/>
    <cellStyle name="Normal 10 2 10 29 3 8" xfId="4818" xr:uid="{00000000-0005-0000-0000-0000D2120000}"/>
    <cellStyle name="Normal 10 2 10 29 3 9" xfId="4819" xr:uid="{00000000-0005-0000-0000-0000D3120000}"/>
    <cellStyle name="Normal 10 2 10 29 4" xfId="4820" xr:uid="{00000000-0005-0000-0000-0000D4120000}"/>
    <cellStyle name="Normal 10 2 10 29 4 10" xfId="4821" xr:uid="{00000000-0005-0000-0000-0000D5120000}"/>
    <cellStyle name="Normal 10 2 10 29 4 2" xfId="4822" xr:uid="{00000000-0005-0000-0000-0000D6120000}"/>
    <cellStyle name="Normal 10 2 10 29 4 3" xfId="4823" xr:uid="{00000000-0005-0000-0000-0000D7120000}"/>
    <cellStyle name="Normal 10 2 10 29 4 4" xfId="4824" xr:uid="{00000000-0005-0000-0000-0000D8120000}"/>
    <cellStyle name="Normal 10 2 10 29 4 5" xfId="4825" xr:uid="{00000000-0005-0000-0000-0000D9120000}"/>
    <cellStyle name="Normal 10 2 10 29 4 6" xfId="4826" xr:uid="{00000000-0005-0000-0000-0000DA120000}"/>
    <cellStyle name="Normal 10 2 10 29 4 7" xfId="4827" xr:uid="{00000000-0005-0000-0000-0000DB120000}"/>
    <cellStyle name="Normal 10 2 10 29 4 8" xfId="4828" xr:uid="{00000000-0005-0000-0000-0000DC120000}"/>
    <cellStyle name="Normal 10 2 10 29 4 9" xfId="4829" xr:uid="{00000000-0005-0000-0000-0000DD120000}"/>
    <cellStyle name="Normal 10 2 10 29 5" xfId="4830" xr:uid="{00000000-0005-0000-0000-0000DE120000}"/>
    <cellStyle name="Normal 10 2 10 29 5 10" xfId="4831" xr:uid="{00000000-0005-0000-0000-0000DF120000}"/>
    <cellStyle name="Normal 10 2 10 29 5 2" xfId="4832" xr:uid="{00000000-0005-0000-0000-0000E0120000}"/>
    <cellStyle name="Normal 10 2 10 29 5 3" xfId="4833" xr:uid="{00000000-0005-0000-0000-0000E1120000}"/>
    <cellStyle name="Normal 10 2 10 29 5 4" xfId="4834" xr:uid="{00000000-0005-0000-0000-0000E2120000}"/>
    <cellStyle name="Normal 10 2 10 29 5 5" xfId="4835" xr:uid="{00000000-0005-0000-0000-0000E3120000}"/>
    <cellStyle name="Normal 10 2 10 29 5 6" xfId="4836" xr:uid="{00000000-0005-0000-0000-0000E4120000}"/>
    <cellStyle name="Normal 10 2 10 29 5 7" xfId="4837" xr:uid="{00000000-0005-0000-0000-0000E5120000}"/>
    <cellStyle name="Normal 10 2 10 29 5 8" xfId="4838" xr:uid="{00000000-0005-0000-0000-0000E6120000}"/>
    <cellStyle name="Normal 10 2 10 29 5 9" xfId="4839" xr:uid="{00000000-0005-0000-0000-0000E7120000}"/>
    <cellStyle name="Normal 10 2 10 29 6" xfId="4840" xr:uid="{00000000-0005-0000-0000-0000E8120000}"/>
    <cellStyle name="Normal 10 2 10 29 7" xfId="4841" xr:uid="{00000000-0005-0000-0000-0000E9120000}"/>
    <cellStyle name="Normal 10 2 10 29 8" xfId="4842" xr:uid="{00000000-0005-0000-0000-0000EA120000}"/>
    <cellStyle name="Normal 10 2 10 29 9" xfId="4843" xr:uid="{00000000-0005-0000-0000-0000EB120000}"/>
    <cellStyle name="Normal 10 2 10 3" xfId="4844" xr:uid="{00000000-0005-0000-0000-0000EC120000}"/>
    <cellStyle name="Normal 10 2 10 3 10" xfId="4845" xr:uid="{00000000-0005-0000-0000-0000ED120000}"/>
    <cellStyle name="Normal 10 2 10 3 11" xfId="4846" xr:uid="{00000000-0005-0000-0000-0000EE120000}"/>
    <cellStyle name="Normal 10 2 10 3 12" xfId="4847" xr:uid="{00000000-0005-0000-0000-0000EF120000}"/>
    <cellStyle name="Normal 10 2 10 3 13" xfId="4848" xr:uid="{00000000-0005-0000-0000-0000F0120000}"/>
    <cellStyle name="Normal 10 2 10 3 14" xfId="4849" xr:uid="{00000000-0005-0000-0000-0000F1120000}"/>
    <cellStyle name="Normal 10 2 10 3 15" xfId="4850" xr:uid="{00000000-0005-0000-0000-0000F2120000}"/>
    <cellStyle name="Normal 10 2 10 3 2" xfId="4851" xr:uid="{00000000-0005-0000-0000-0000F3120000}"/>
    <cellStyle name="Normal 10 2 10 3 2 10" xfId="4852" xr:uid="{00000000-0005-0000-0000-0000F4120000}"/>
    <cellStyle name="Normal 10 2 10 3 2 2" xfId="4853" xr:uid="{00000000-0005-0000-0000-0000F5120000}"/>
    <cellStyle name="Normal 10 2 10 3 2 3" xfId="4854" xr:uid="{00000000-0005-0000-0000-0000F6120000}"/>
    <cellStyle name="Normal 10 2 10 3 2 4" xfId="4855" xr:uid="{00000000-0005-0000-0000-0000F7120000}"/>
    <cellStyle name="Normal 10 2 10 3 2 5" xfId="4856" xr:uid="{00000000-0005-0000-0000-0000F8120000}"/>
    <cellStyle name="Normal 10 2 10 3 2 6" xfId="4857" xr:uid="{00000000-0005-0000-0000-0000F9120000}"/>
    <cellStyle name="Normal 10 2 10 3 2 7" xfId="4858" xr:uid="{00000000-0005-0000-0000-0000FA120000}"/>
    <cellStyle name="Normal 10 2 10 3 2 8" xfId="4859" xr:uid="{00000000-0005-0000-0000-0000FB120000}"/>
    <cellStyle name="Normal 10 2 10 3 2 9" xfId="4860" xr:uid="{00000000-0005-0000-0000-0000FC120000}"/>
    <cellStyle name="Normal 10 2 10 3 3" xfId="4861" xr:uid="{00000000-0005-0000-0000-0000FD120000}"/>
    <cellStyle name="Normal 10 2 10 3 3 10" xfId="4862" xr:uid="{00000000-0005-0000-0000-0000FE120000}"/>
    <cellStyle name="Normal 10 2 10 3 3 2" xfId="4863" xr:uid="{00000000-0005-0000-0000-0000FF120000}"/>
    <cellStyle name="Normal 10 2 10 3 3 3" xfId="4864" xr:uid="{00000000-0005-0000-0000-000000130000}"/>
    <cellStyle name="Normal 10 2 10 3 3 4" xfId="4865" xr:uid="{00000000-0005-0000-0000-000001130000}"/>
    <cellStyle name="Normal 10 2 10 3 3 5" xfId="4866" xr:uid="{00000000-0005-0000-0000-000002130000}"/>
    <cellStyle name="Normal 10 2 10 3 3 6" xfId="4867" xr:uid="{00000000-0005-0000-0000-000003130000}"/>
    <cellStyle name="Normal 10 2 10 3 3 7" xfId="4868" xr:uid="{00000000-0005-0000-0000-000004130000}"/>
    <cellStyle name="Normal 10 2 10 3 3 8" xfId="4869" xr:uid="{00000000-0005-0000-0000-000005130000}"/>
    <cellStyle name="Normal 10 2 10 3 3 9" xfId="4870" xr:uid="{00000000-0005-0000-0000-000006130000}"/>
    <cellStyle name="Normal 10 2 10 3 4" xfId="4871" xr:uid="{00000000-0005-0000-0000-000007130000}"/>
    <cellStyle name="Normal 10 2 10 3 4 10" xfId="4872" xr:uid="{00000000-0005-0000-0000-000008130000}"/>
    <cellStyle name="Normal 10 2 10 3 4 2" xfId="4873" xr:uid="{00000000-0005-0000-0000-000009130000}"/>
    <cellStyle name="Normal 10 2 10 3 4 3" xfId="4874" xr:uid="{00000000-0005-0000-0000-00000A130000}"/>
    <cellStyle name="Normal 10 2 10 3 4 4" xfId="4875" xr:uid="{00000000-0005-0000-0000-00000B130000}"/>
    <cellStyle name="Normal 10 2 10 3 4 5" xfId="4876" xr:uid="{00000000-0005-0000-0000-00000C130000}"/>
    <cellStyle name="Normal 10 2 10 3 4 6" xfId="4877" xr:uid="{00000000-0005-0000-0000-00000D130000}"/>
    <cellStyle name="Normal 10 2 10 3 4 7" xfId="4878" xr:uid="{00000000-0005-0000-0000-00000E130000}"/>
    <cellStyle name="Normal 10 2 10 3 4 8" xfId="4879" xr:uid="{00000000-0005-0000-0000-00000F130000}"/>
    <cellStyle name="Normal 10 2 10 3 4 9" xfId="4880" xr:uid="{00000000-0005-0000-0000-000010130000}"/>
    <cellStyle name="Normal 10 2 10 3 5" xfId="4881" xr:uid="{00000000-0005-0000-0000-000011130000}"/>
    <cellStyle name="Normal 10 2 10 3 5 10" xfId="4882" xr:uid="{00000000-0005-0000-0000-000012130000}"/>
    <cellStyle name="Normal 10 2 10 3 5 2" xfId="4883" xr:uid="{00000000-0005-0000-0000-000013130000}"/>
    <cellStyle name="Normal 10 2 10 3 5 3" xfId="4884" xr:uid="{00000000-0005-0000-0000-000014130000}"/>
    <cellStyle name="Normal 10 2 10 3 5 4" xfId="4885" xr:uid="{00000000-0005-0000-0000-000015130000}"/>
    <cellStyle name="Normal 10 2 10 3 5 5" xfId="4886" xr:uid="{00000000-0005-0000-0000-000016130000}"/>
    <cellStyle name="Normal 10 2 10 3 5 6" xfId="4887" xr:uid="{00000000-0005-0000-0000-000017130000}"/>
    <cellStyle name="Normal 10 2 10 3 5 7" xfId="4888" xr:uid="{00000000-0005-0000-0000-000018130000}"/>
    <cellStyle name="Normal 10 2 10 3 5 8" xfId="4889" xr:uid="{00000000-0005-0000-0000-000019130000}"/>
    <cellStyle name="Normal 10 2 10 3 5 9" xfId="4890" xr:uid="{00000000-0005-0000-0000-00001A130000}"/>
    <cellStyle name="Normal 10 2 10 3 6" xfId="4891" xr:uid="{00000000-0005-0000-0000-00001B130000}"/>
    <cellStyle name="Normal 10 2 10 3 7" xfId="4892" xr:uid="{00000000-0005-0000-0000-00001C130000}"/>
    <cellStyle name="Normal 10 2 10 3 8" xfId="4893" xr:uid="{00000000-0005-0000-0000-00001D130000}"/>
    <cellStyle name="Normal 10 2 10 3 9" xfId="4894" xr:uid="{00000000-0005-0000-0000-00001E130000}"/>
    <cellStyle name="Normal 10 2 10 30" xfId="4895" xr:uid="{00000000-0005-0000-0000-00001F130000}"/>
    <cellStyle name="Normal 10 2 10 30 10" xfId="4896" xr:uid="{00000000-0005-0000-0000-000020130000}"/>
    <cellStyle name="Normal 10 2 10 30 11" xfId="4897" xr:uid="{00000000-0005-0000-0000-000021130000}"/>
    <cellStyle name="Normal 10 2 10 30 12" xfId="4898" xr:uid="{00000000-0005-0000-0000-000022130000}"/>
    <cellStyle name="Normal 10 2 10 30 13" xfId="4899" xr:uid="{00000000-0005-0000-0000-000023130000}"/>
    <cellStyle name="Normal 10 2 10 30 14" xfId="4900" xr:uid="{00000000-0005-0000-0000-000024130000}"/>
    <cellStyle name="Normal 10 2 10 30 2" xfId="4901" xr:uid="{00000000-0005-0000-0000-000025130000}"/>
    <cellStyle name="Normal 10 2 10 30 2 10" xfId="4902" xr:uid="{00000000-0005-0000-0000-000026130000}"/>
    <cellStyle name="Normal 10 2 10 30 2 2" xfId="4903" xr:uid="{00000000-0005-0000-0000-000027130000}"/>
    <cellStyle name="Normal 10 2 10 30 2 3" xfId="4904" xr:uid="{00000000-0005-0000-0000-000028130000}"/>
    <cellStyle name="Normal 10 2 10 30 2 4" xfId="4905" xr:uid="{00000000-0005-0000-0000-000029130000}"/>
    <cellStyle name="Normal 10 2 10 30 2 5" xfId="4906" xr:uid="{00000000-0005-0000-0000-00002A130000}"/>
    <cellStyle name="Normal 10 2 10 30 2 6" xfId="4907" xr:uid="{00000000-0005-0000-0000-00002B130000}"/>
    <cellStyle name="Normal 10 2 10 30 2 7" xfId="4908" xr:uid="{00000000-0005-0000-0000-00002C130000}"/>
    <cellStyle name="Normal 10 2 10 30 2 8" xfId="4909" xr:uid="{00000000-0005-0000-0000-00002D130000}"/>
    <cellStyle name="Normal 10 2 10 30 2 9" xfId="4910" xr:uid="{00000000-0005-0000-0000-00002E130000}"/>
    <cellStyle name="Normal 10 2 10 30 3" xfId="4911" xr:uid="{00000000-0005-0000-0000-00002F130000}"/>
    <cellStyle name="Normal 10 2 10 30 3 10" xfId="4912" xr:uid="{00000000-0005-0000-0000-000030130000}"/>
    <cellStyle name="Normal 10 2 10 30 3 2" xfId="4913" xr:uid="{00000000-0005-0000-0000-000031130000}"/>
    <cellStyle name="Normal 10 2 10 30 3 3" xfId="4914" xr:uid="{00000000-0005-0000-0000-000032130000}"/>
    <cellStyle name="Normal 10 2 10 30 3 4" xfId="4915" xr:uid="{00000000-0005-0000-0000-000033130000}"/>
    <cellStyle name="Normal 10 2 10 30 3 5" xfId="4916" xr:uid="{00000000-0005-0000-0000-000034130000}"/>
    <cellStyle name="Normal 10 2 10 30 3 6" xfId="4917" xr:uid="{00000000-0005-0000-0000-000035130000}"/>
    <cellStyle name="Normal 10 2 10 30 3 7" xfId="4918" xr:uid="{00000000-0005-0000-0000-000036130000}"/>
    <cellStyle name="Normal 10 2 10 30 3 8" xfId="4919" xr:uid="{00000000-0005-0000-0000-000037130000}"/>
    <cellStyle name="Normal 10 2 10 30 3 9" xfId="4920" xr:uid="{00000000-0005-0000-0000-000038130000}"/>
    <cellStyle name="Normal 10 2 10 30 4" xfId="4921" xr:uid="{00000000-0005-0000-0000-000039130000}"/>
    <cellStyle name="Normal 10 2 10 30 4 10" xfId="4922" xr:uid="{00000000-0005-0000-0000-00003A130000}"/>
    <cellStyle name="Normal 10 2 10 30 4 2" xfId="4923" xr:uid="{00000000-0005-0000-0000-00003B130000}"/>
    <cellStyle name="Normal 10 2 10 30 4 3" xfId="4924" xr:uid="{00000000-0005-0000-0000-00003C130000}"/>
    <cellStyle name="Normal 10 2 10 30 4 4" xfId="4925" xr:uid="{00000000-0005-0000-0000-00003D130000}"/>
    <cellStyle name="Normal 10 2 10 30 4 5" xfId="4926" xr:uid="{00000000-0005-0000-0000-00003E130000}"/>
    <cellStyle name="Normal 10 2 10 30 4 6" xfId="4927" xr:uid="{00000000-0005-0000-0000-00003F130000}"/>
    <cellStyle name="Normal 10 2 10 30 4 7" xfId="4928" xr:uid="{00000000-0005-0000-0000-000040130000}"/>
    <cellStyle name="Normal 10 2 10 30 4 8" xfId="4929" xr:uid="{00000000-0005-0000-0000-000041130000}"/>
    <cellStyle name="Normal 10 2 10 30 4 9" xfId="4930" xr:uid="{00000000-0005-0000-0000-000042130000}"/>
    <cellStyle name="Normal 10 2 10 30 5" xfId="4931" xr:uid="{00000000-0005-0000-0000-000043130000}"/>
    <cellStyle name="Normal 10 2 10 30 5 10" xfId="4932" xr:uid="{00000000-0005-0000-0000-000044130000}"/>
    <cellStyle name="Normal 10 2 10 30 5 2" xfId="4933" xr:uid="{00000000-0005-0000-0000-000045130000}"/>
    <cellStyle name="Normal 10 2 10 30 5 3" xfId="4934" xr:uid="{00000000-0005-0000-0000-000046130000}"/>
    <cellStyle name="Normal 10 2 10 30 5 4" xfId="4935" xr:uid="{00000000-0005-0000-0000-000047130000}"/>
    <cellStyle name="Normal 10 2 10 30 5 5" xfId="4936" xr:uid="{00000000-0005-0000-0000-000048130000}"/>
    <cellStyle name="Normal 10 2 10 30 5 6" xfId="4937" xr:uid="{00000000-0005-0000-0000-000049130000}"/>
    <cellStyle name="Normal 10 2 10 30 5 7" xfId="4938" xr:uid="{00000000-0005-0000-0000-00004A130000}"/>
    <cellStyle name="Normal 10 2 10 30 5 8" xfId="4939" xr:uid="{00000000-0005-0000-0000-00004B130000}"/>
    <cellStyle name="Normal 10 2 10 30 5 9" xfId="4940" xr:uid="{00000000-0005-0000-0000-00004C130000}"/>
    <cellStyle name="Normal 10 2 10 30 6" xfId="4941" xr:uid="{00000000-0005-0000-0000-00004D130000}"/>
    <cellStyle name="Normal 10 2 10 30 7" xfId="4942" xr:uid="{00000000-0005-0000-0000-00004E130000}"/>
    <cellStyle name="Normal 10 2 10 30 8" xfId="4943" xr:uid="{00000000-0005-0000-0000-00004F130000}"/>
    <cellStyle name="Normal 10 2 10 30 9" xfId="4944" xr:uid="{00000000-0005-0000-0000-000050130000}"/>
    <cellStyle name="Normal 10 2 10 31" xfId="4945" xr:uid="{00000000-0005-0000-0000-000051130000}"/>
    <cellStyle name="Normal 10 2 10 31 10" xfId="4946" xr:uid="{00000000-0005-0000-0000-000052130000}"/>
    <cellStyle name="Normal 10 2 10 31 11" xfId="4947" xr:uid="{00000000-0005-0000-0000-000053130000}"/>
    <cellStyle name="Normal 10 2 10 31 12" xfId="4948" xr:uid="{00000000-0005-0000-0000-000054130000}"/>
    <cellStyle name="Normal 10 2 10 31 13" xfId="4949" xr:uid="{00000000-0005-0000-0000-000055130000}"/>
    <cellStyle name="Normal 10 2 10 31 14" xfId="4950" xr:uid="{00000000-0005-0000-0000-000056130000}"/>
    <cellStyle name="Normal 10 2 10 31 2" xfId="4951" xr:uid="{00000000-0005-0000-0000-000057130000}"/>
    <cellStyle name="Normal 10 2 10 31 2 10" xfId="4952" xr:uid="{00000000-0005-0000-0000-000058130000}"/>
    <cellStyle name="Normal 10 2 10 31 2 2" xfId="4953" xr:uid="{00000000-0005-0000-0000-000059130000}"/>
    <cellStyle name="Normal 10 2 10 31 2 3" xfId="4954" xr:uid="{00000000-0005-0000-0000-00005A130000}"/>
    <cellStyle name="Normal 10 2 10 31 2 4" xfId="4955" xr:uid="{00000000-0005-0000-0000-00005B130000}"/>
    <cellStyle name="Normal 10 2 10 31 2 5" xfId="4956" xr:uid="{00000000-0005-0000-0000-00005C130000}"/>
    <cellStyle name="Normal 10 2 10 31 2 6" xfId="4957" xr:uid="{00000000-0005-0000-0000-00005D130000}"/>
    <cellStyle name="Normal 10 2 10 31 2 7" xfId="4958" xr:uid="{00000000-0005-0000-0000-00005E130000}"/>
    <cellStyle name="Normal 10 2 10 31 2 8" xfId="4959" xr:uid="{00000000-0005-0000-0000-00005F130000}"/>
    <cellStyle name="Normal 10 2 10 31 2 9" xfId="4960" xr:uid="{00000000-0005-0000-0000-000060130000}"/>
    <cellStyle name="Normal 10 2 10 31 3" xfId="4961" xr:uid="{00000000-0005-0000-0000-000061130000}"/>
    <cellStyle name="Normal 10 2 10 31 3 10" xfId="4962" xr:uid="{00000000-0005-0000-0000-000062130000}"/>
    <cellStyle name="Normal 10 2 10 31 3 2" xfId="4963" xr:uid="{00000000-0005-0000-0000-000063130000}"/>
    <cellStyle name="Normal 10 2 10 31 3 3" xfId="4964" xr:uid="{00000000-0005-0000-0000-000064130000}"/>
    <cellStyle name="Normal 10 2 10 31 3 4" xfId="4965" xr:uid="{00000000-0005-0000-0000-000065130000}"/>
    <cellStyle name="Normal 10 2 10 31 3 5" xfId="4966" xr:uid="{00000000-0005-0000-0000-000066130000}"/>
    <cellStyle name="Normal 10 2 10 31 3 6" xfId="4967" xr:uid="{00000000-0005-0000-0000-000067130000}"/>
    <cellStyle name="Normal 10 2 10 31 3 7" xfId="4968" xr:uid="{00000000-0005-0000-0000-000068130000}"/>
    <cellStyle name="Normal 10 2 10 31 3 8" xfId="4969" xr:uid="{00000000-0005-0000-0000-000069130000}"/>
    <cellStyle name="Normal 10 2 10 31 3 9" xfId="4970" xr:uid="{00000000-0005-0000-0000-00006A130000}"/>
    <cellStyle name="Normal 10 2 10 31 4" xfId="4971" xr:uid="{00000000-0005-0000-0000-00006B130000}"/>
    <cellStyle name="Normal 10 2 10 31 4 10" xfId="4972" xr:uid="{00000000-0005-0000-0000-00006C130000}"/>
    <cellStyle name="Normal 10 2 10 31 4 2" xfId="4973" xr:uid="{00000000-0005-0000-0000-00006D130000}"/>
    <cellStyle name="Normal 10 2 10 31 4 3" xfId="4974" xr:uid="{00000000-0005-0000-0000-00006E130000}"/>
    <cellStyle name="Normal 10 2 10 31 4 4" xfId="4975" xr:uid="{00000000-0005-0000-0000-00006F130000}"/>
    <cellStyle name="Normal 10 2 10 31 4 5" xfId="4976" xr:uid="{00000000-0005-0000-0000-000070130000}"/>
    <cellStyle name="Normal 10 2 10 31 4 6" xfId="4977" xr:uid="{00000000-0005-0000-0000-000071130000}"/>
    <cellStyle name="Normal 10 2 10 31 4 7" xfId="4978" xr:uid="{00000000-0005-0000-0000-000072130000}"/>
    <cellStyle name="Normal 10 2 10 31 4 8" xfId="4979" xr:uid="{00000000-0005-0000-0000-000073130000}"/>
    <cellStyle name="Normal 10 2 10 31 4 9" xfId="4980" xr:uid="{00000000-0005-0000-0000-000074130000}"/>
    <cellStyle name="Normal 10 2 10 31 5" xfId="4981" xr:uid="{00000000-0005-0000-0000-000075130000}"/>
    <cellStyle name="Normal 10 2 10 31 5 10" xfId="4982" xr:uid="{00000000-0005-0000-0000-000076130000}"/>
    <cellStyle name="Normal 10 2 10 31 5 2" xfId="4983" xr:uid="{00000000-0005-0000-0000-000077130000}"/>
    <cellStyle name="Normal 10 2 10 31 5 3" xfId="4984" xr:uid="{00000000-0005-0000-0000-000078130000}"/>
    <cellStyle name="Normal 10 2 10 31 5 4" xfId="4985" xr:uid="{00000000-0005-0000-0000-000079130000}"/>
    <cellStyle name="Normal 10 2 10 31 5 5" xfId="4986" xr:uid="{00000000-0005-0000-0000-00007A130000}"/>
    <cellStyle name="Normal 10 2 10 31 5 6" xfId="4987" xr:uid="{00000000-0005-0000-0000-00007B130000}"/>
    <cellStyle name="Normal 10 2 10 31 5 7" xfId="4988" xr:uid="{00000000-0005-0000-0000-00007C130000}"/>
    <cellStyle name="Normal 10 2 10 31 5 8" xfId="4989" xr:uid="{00000000-0005-0000-0000-00007D130000}"/>
    <cellStyle name="Normal 10 2 10 31 5 9" xfId="4990" xr:uid="{00000000-0005-0000-0000-00007E130000}"/>
    <cellStyle name="Normal 10 2 10 31 6" xfId="4991" xr:uid="{00000000-0005-0000-0000-00007F130000}"/>
    <cellStyle name="Normal 10 2 10 31 7" xfId="4992" xr:uid="{00000000-0005-0000-0000-000080130000}"/>
    <cellStyle name="Normal 10 2 10 31 8" xfId="4993" xr:uid="{00000000-0005-0000-0000-000081130000}"/>
    <cellStyle name="Normal 10 2 10 31 9" xfId="4994" xr:uid="{00000000-0005-0000-0000-000082130000}"/>
    <cellStyle name="Normal 10 2 10 32" xfId="4995" xr:uid="{00000000-0005-0000-0000-000083130000}"/>
    <cellStyle name="Normal 10 2 10 32 10" xfId="4996" xr:uid="{00000000-0005-0000-0000-000084130000}"/>
    <cellStyle name="Normal 10 2 10 32 11" xfId="4997" xr:uid="{00000000-0005-0000-0000-000085130000}"/>
    <cellStyle name="Normal 10 2 10 32 12" xfId="4998" xr:uid="{00000000-0005-0000-0000-000086130000}"/>
    <cellStyle name="Normal 10 2 10 32 13" xfId="4999" xr:uid="{00000000-0005-0000-0000-000087130000}"/>
    <cellStyle name="Normal 10 2 10 32 14" xfId="5000" xr:uid="{00000000-0005-0000-0000-000088130000}"/>
    <cellStyle name="Normal 10 2 10 32 2" xfId="5001" xr:uid="{00000000-0005-0000-0000-000089130000}"/>
    <cellStyle name="Normal 10 2 10 32 2 10" xfId="5002" xr:uid="{00000000-0005-0000-0000-00008A130000}"/>
    <cellStyle name="Normal 10 2 10 32 2 2" xfId="5003" xr:uid="{00000000-0005-0000-0000-00008B130000}"/>
    <cellStyle name="Normal 10 2 10 32 2 3" xfId="5004" xr:uid="{00000000-0005-0000-0000-00008C130000}"/>
    <cellStyle name="Normal 10 2 10 32 2 4" xfId="5005" xr:uid="{00000000-0005-0000-0000-00008D130000}"/>
    <cellStyle name="Normal 10 2 10 32 2 5" xfId="5006" xr:uid="{00000000-0005-0000-0000-00008E130000}"/>
    <cellStyle name="Normal 10 2 10 32 2 6" xfId="5007" xr:uid="{00000000-0005-0000-0000-00008F130000}"/>
    <cellStyle name="Normal 10 2 10 32 2 7" xfId="5008" xr:uid="{00000000-0005-0000-0000-000090130000}"/>
    <cellStyle name="Normal 10 2 10 32 2 8" xfId="5009" xr:uid="{00000000-0005-0000-0000-000091130000}"/>
    <cellStyle name="Normal 10 2 10 32 2 9" xfId="5010" xr:uid="{00000000-0005-0000-0000-000092130000}"/>
    <cellStyle name="Normal 10 2 10 32 3" xfId="5011" xr:uid="{00000000-0005-0000-0000-000093130000}"/>
    <cellStyle name="Normal 10 2 10 32 3 10" xfId="5012" xr:uid="{00000000-0005-0000-0000-000094130000}"/>
    <cellStyle name="Normal 10 2 10 32 3 2" xfId="5013" xr:uid="{00000000-0005-0000-0000-000095130000}"/>
    <cellStyle name="Normal 10 2 10 32 3 3" xfId="5014" xr:uid="{00000000-0005-0000-0000-000096130000}"/>
    <cellStyle name="Normal 10 2 10 32 3 4" xfId="5015" xr:uid="{00000000-0005-0000-0000-000097130000}"/>
    <cellStyle name="Normal 10 2 10 32 3 5" xfId="5016" xr:uid="{00000000-0005-0000-0000-000098130000}"/>
    <cellStyle name="Normal 10 2 10 32 3 6" xfId="5017" xr:uid="{00000000-0005-0000-0000-000099130000}"/>
    <cellStyle name="Normal 10 2 10 32 3 7" xfId="5018" xr:uid="{00000000-0005-0000-0000-00009A130000}"/>
    <cellStyle name="Normal 10 2 10 32 3 8" xfId="5019" xr:uid="{00000000-0005-0000-0000-00009B130000}"/>
    <cellStyle name="Normal 10 2 10 32 3 9" xfId="5020" xr:uid="{00000000-0005-0000-0000-00009C130000}"/>
    <cellStyle name="Normal 10 2 10 32 4" xfId="5021" xr:uid="{00000000-0005-0000-0000-00009D130000}"/>
    <cellStyle name="Normal 10 2 10 32 4 10" xfId="5022" xr:uid="{00000000-0005-0000-0000-00009E130000}"/>
    <cellStyle name="Normal 10 2 10 32 4 2" xfId="5023" xr:uid="{00000000-0005-0000-0000-00009F130000}"/>
    <cellStyle name="Normal 10 2 10 32 4 3" xfId="5024" xr:uid="{00000000-0005-0000-0000-0000A0130000}"/>
    <cellStyle name="Normal 10 2 10 32 4 4" xfId="5025" xr:uid="{00000000-0005-0000-0000-0000A1130000}"/>
    <cellStyle name="Normal 10 2 10 32 4 5" xfId="5026" xr:uid="{00000000-0005-0000-0000-0000A2130000}"/>
    <cellStyle name="Normal 10 2 10 32 4 6" xfId="5027" xr:uid="{00000000-0005-0000-0000-0000A3130000}"/>
    <cellStyle name="Normal 10 2 10 32 4 7" xfId="5028" xr:uid="{00000000-0005-0000-0000-0000A4130000}"/>
    <cellStyle name="Normal 10 2 10 32 4 8" xfId="5029" xr:uid="{00000000-0005-0000-0000-0000A5130000}"/>
    <cellStyle name="Normal 10 2 10 32 4 9" xfId="5030" xr:uid="{00000000-0005-0000-0000-0000A6130000}"/>
    <cellStyle name="Normal 10 2 10 32 5" xfId="5031" xr:uid="{00000000-0005-0000-0000-0000A7130000}"/>
    <cellStyle name="Normal 10 2 10 32 5 10" xfId="5032" xr:uid="{00000000-0005-0000-0000-0000A8130000}"/>
    <cellStyle name="Normal 10 2 10 32 5 2" xfId="5033" xr:uid="{00000000-0005-0000-0000-0000A9130000}"/>
    <cellStyle name="Normal 10 2 10 32 5 3" xfId="5034" xr:uid="{00000000-0005-0000-0000-0000AA130000}"/>
    <cellStyle name="Normal 10 2 10 32 5 4" xfId="5035" xr:uid="{00000000-0005-0000-0000-0000AB130000}"/>
    <cellStyle name="Normal 10 2 10 32 5 5" xfId="5036" xr:uid="{00000000-0005-0000-0000-0000AC130000}"/>
    <cellStyle name="Normal 10 2 10 32 5 6" xfId="5037" xr:uid="{00000000-0005-0000-0000-0000AD130000}"/>
    <cellStyle name="Normal 10 2 10 32 5 7" xfId="5038" xr:uid="{00000000-0005-0000-0000-0000AE130000}"/>
    <cellStyle name="Normal 10 2 10 32 5 8" xfId="5039" xr:uid="{00000000-0005-0000-0000-0000AF130000}"/>
    <cellStyle name="Normal 10 2 10 32 5 9" xfId="5040" xr:uid="{00000000-0005-0000-0000-0000B0130000}"/>
    <cellStyle name="Normal 10 2 10 32 6" xfId="5041" xr:uid="{00000000-0005-0000-0000-0000B1130000}"/>
    <cellStyle name="Normal 10 2 10 32 7" xfId="5042" xr:uid="{00000000-0005-0000-0000-0000B2130000}"/>
    <cellStyle name="Normal 10 2 10 32 8" xfId="5043" xr:uid="{00000000-0005-0000-0000-0000B3130000}"/>
    <cellStyle name="Normal 10 2 10 32 9" xfId="5044" xr:uid="{00000000-0005-0000-0000-0000B4130000}"/>
    <cellStyle name="Normal 10 2 10 33" xfId="5045" xr:uid="{00000000-0005-0000-0000-0000B5130000}"/>
    <cellStyle name="Normal 10 2 10 33 10" xfId="5046" xr:uid="{00000000-0005-0000-0000-0000B6130000}"/>
    <cellStyle name="Normal 10 2 10 33 11" xfId="5047" xr:uid="{00000000-0005-0000-0000-0000B7130000}"/>
    <cellStyle name="Normal 10 2 10 33 12" xfId="5048" xr:uid="{00000000-0005-0000-0000-0000B8130000}"/>
    <cellStyle name="Normal 10 2 10 33 13" xfId="5049" xr:uid="{00000000-0005-0000-0000-0000B9130000}"/>
    <cellStyle name="Normal 10 2 10 33 14" xfId="5050" xr:uid="{00000000-0005-0000-0000-0000BA130000}"/>
    <cellStyle name="Normal 10 2 10 33 2" xfId="5051" xr:uid="{00000000-0005-0000-0000-0000BB130000}"/>
    <cellStyle name="Normal 10 2 10 33 2 10" xfId="5052" xr:uid="{00000000-0005-0000-0000-0000BC130000}"/>
    <cellStyle name="Normal 10 2 10 33 2 2" xfId="5053" xr:uid="{00000000-0005-0000-0000-0000BD130000}"/>
    <cellStyle name="Normal 10 2 10 33 2 3" xfId="5054" xr:uid="{00000000-0005-0000-0000-0000BE130000}"/>
    <cellStyle name="Normal 10 2 10 33 2 4" xfId="5055" xr:uid="{00000000-0005-0000-0000-0000BF130000}"/>
    <cellStyle name="Normal 10 2 10 33 2 5" xfId="5056" xr:uid="{00000000-0005-0000-0000-0000C0130000}"/>
    <cellStyle name="Normal 10 2 10 33 2 6" xfId="5057" xr:uid="{00000000-0005-0000-0000-0000C1130000}"/>
    <cellStyle name="Normal 10 2 10 33 2 7" xfId="5058" xr:uid="{00000000-0005-0000-0000-0000C2130000}"/>
    <cellStyle name="Normal 10 2 10 33 2 8" xfId="5059" xr:uid="{00000000-0005-0000-0000-0000C3130000}"/>
    <cellStyle name="Normal 10 2 10 33 2 9" xfId="5060" xr:uid="{00000000-0005-0000-0000-0000C4130000}"/>
    <cellStyle name="Normal 10 2 10 33 3" xfId="5061" xr:uid="{00000000-0005-0000-0000-0000C5130000}"/>
    <cellStyle name="Normal 10 2 10 33 3 10" xfId="5062" xr:uid="{00000000-0005-0000-0000-0000C6130000}"/>
    <cellStyle name="Normal 10 2 10 33 3 2" xfId="5063" xr:uid="{00000000-0005-0000-0000-0000C7130000}"/>
    <cellStyle name="Normal 10 2 10 33 3 3" xfId="5064" xr:uid="{00000000-0005-0000-0000-0000C8130000}"/>
    <cellStyle name="Normal 10 2 10 33 3 4" xfId="5065" xr:uid="{00000000-0005-0000-0000-0000C9130000}"/>
    <cellStyle name="Normal 10 2 10 33 3 5" xfId="5066" xr:uid="{00000000-0005-0000-0000-0000CA130000}"/>
    <cellStyle name="Normal 10 2 10 33 3 6" xfId="5067" xr:uid="{00000000-0005-0000-0000-0000CB130000}"/>
    <cellStyle name="Normal 10 2 10 33 3 7" xfId="5068" xr:uid="{00000000-0005-0000-0000-0000CC130000}"/>
    <cellStyle name="Normal 10 2 10 33 3 8" xfId="5069" xr:uid="{00000000-0005-0000-0000-0000CD130000}"/>
    <cellStyle name="Normal 10 2 10 33 3 9" xfId="5070" xr:uid="{00000000-0005-0000-0000-0000CE130000}"/>
    <cellStyle name="Normal 10 2 10 33 4" xfId="5071" xr:uid="{00000000-0005-0000-0000-0000CF130000}"/>
    <cellStyle name="Normal 10 2 10 33 4 10" xfId="5072" xr:uid="{00000000-0005-0000-0000-0000D0130000}"/>
    <cellStyle name="Normal 10 2 10 33 4 2" xfId="5073" xr:uid="{00000000-0005-0000-0000-0000D1130000}"/>
    <cellStyle name="Normal 10 2 10 33 4 3" xfId="5074" xr:uid="{00000000-0005-0000-0000-0000D2130000}"/>
    <cellStyle name="Normal 10 2 10 33 4 4" xfId="5075" xr:uid="{00000000-0005-0000-0000-0000D3130000}"/>
    <cellStyle name="Normal 10 2 10 33 4 5" xfId="5076" xr:uid="{00000000-0005-0000-0000-0000D4130000}"/>
    <cellStyle name="Normal 10 2 10 33 4 6" xfId="5077" xr:uid="{00000000-0005-0000-0000-0000D5130000}"/>
    <cellStyle name="Normal 10 2 10 33 4 7" xfId="5078" xr:uid="{00000000-0005-0000-0000-0000D6130000}"/>
    <cellStyle name="Normal 10 2 10 33 4 8" xfId="5079" xr:uid="{00000000-0005-0000-0000-0000D7130000}"/>
    <cellStyle name="Normal 10 2 10 33 4 9" xfId="5080" xr:uid="{00000000-0005-0000-0000-0000D8130000}"/>
    <cellStyle name="Normal 10 2 10 33 5" xfId="5081" xr:uid="{00000000-0005-0000-0000-0000D9130000}"/>
    <cellStyle name="Normal 10 2 10 33 5 10" xfId="5082" xr:uid="{00000000-0005-0000-0000-0000DA130000}"/>
    <cellStyle name="Normal 10 2 10 33 5 2" xfId="5083" xr:uid="{00000000-0005-0000-0000-0000DB130000}"/>
    <cellStyle name="Normal 10 2 10 33 5 3" xfId="5084" xr:uid="{00000000-0005-0000-0000-0000DC130000}"/>
    <cellStyle name="Normal 10 2 10 33 5 4" xfId="5085" xr:uid="{00000000-0005-0000-0000-0000DD130000}"/>
    <cellStyle name="Normal 10 2 10 33 5 5" xfId="5086" xr:uid="{00000000-0005-0000-0000-0000DE130000}"/>
    <cellStyle name="Normal 10 2 10 33 5 6" xfId="5087" xr:uid="{00000000-0005-0000-0000-0000DF130000}"/>
    <cellStyle name="Normal 10 2 10 33 5 7" xfId="5088" xr:uid="{00000000-0005-0000-0000-0000E0130000}"/>
    <cellStyle name="Normal 10 2 10 33 5 8" xfId="5089" xr:uid="{00000000-0005-0000-0000-0000E1130000}"/>
    <cellStyle name="Normal 10 2 10 33 5 9" xfId="5090" xr:uid="{00000000-0005-0000-0000-0000E2130000}"/>
    <cellStyle name="Normal 10 2 10 33 6" xfId="5091" xr:uid="{00000000-0005-0000-0000-0000E3130000}"/>
    <cellStyle name="Normal 10 2 10 33 7" xfId="5092" xr:uid="{00000000-0005-0000-0000-0000E4130000}"/>
    <cellStyle name="Normal 10 2 10 33 8" xfId="5093" xr:uid="{00000000-0005-0000-0000-0000E5130000}"/>
    <cellStyle name="Normal 10 2 10 33 9" xfId="5094" xr:uid="{00000000-0005-0000-0000-0000E6130000}"/>
    <cellStyle name="Normal 10 2 10 34" xfId="5095" xr:uid="{00000000-0005-0000-0000-0000E7130000}"/>
    <cellStyle name="Normal 10 2 10 34 10" xfId="5096" xr:uid="{00000000-0005-0000-0000-0000E8130000}"/>
    <cellStyle name="Normal 10 2 10 34 11" xfId="5097" xr:uid="{00000000-0005-0000-0000-0000E9130000}"/>
    <cellStyle name="Normal 10 2 10 34 12" xfId="5098" xr:uid="{00000000-0005-0000-0000-0000EA130000}"/>
    <cellStyle name="Normal 10 2 10 34 13" xfId="5099" xr:uid="{00000000-0005-0000-0000-0000EB130000}"/>
    <cellStyle name="Normal 10 2 10 34 14" xfId="5100" xr:uid="{00000000-0005-0000-0000-0000EC130000}"/>
    <cellStyle name="Normal 10 2 10 34 2" xfId="5101" xr:uid="{00000000-0005-0000-0000-0000ED130000}"/>
    <cellStyle name="Normal 10 2 10 34 2 10" xfId="5102" xr:uid="{00000000-0005-0000-0000-0000EE130000}"/>
    <cellStyle name="Normal 10 2 10 34 2 2" xfId="5103" xr:uid="{00000000-0005-0000-0000-0000EF130000}"/>
    <cellStyle name="Normal 10 2 10 34 2 3" xfId="5104" xr:uid="{00000000-0005-0000-0000-0000F0130000}"/>
    <cellStyle name="Normal 10 2 10 34 2 4" xfId="5105" xr:uid="{00000000-0005-0000-0000-0000F1130000}"/>
    <cellStyle name="Normal 10 2 10 34 2 5" xfId="5106" xr:uid="{00000000-0005-0000-0000-0000F2130000}"/>
    <cellStyle name="Normal 10 2 10 34 2 6" xfId="5107" xr:uid="{00000000-0005-0000-0000-0000F3130000}"/>
    <cellStyle name="Normal 10 2 10 34 2 7" xfId="5108" xr:uid="{00000000-0005-0000-0000-0000F4130000}"/>
    <cellStyle name="Normal 10 2 10 34 2 8" xfId="5109" xr:uid="{00000000-0005-0000-0000-0000F5130000}"/>
    <cellStyle name="Normal 10 2 10 34 2 9" xfId="5110" xr:uid="{00000000-0005-0000-0000-0000F6130000}"/>
    <cellStyle name="Normal 10 2 10 34 3" xfId="5111" xr:uid="{00000000-0005-0000-0000-0000F7130000}"/>
    <cellStyle name="Normal 10 2 10 34 3 10" xfId="5112" xr:uid="{00000000-0005-0000-0000-0000F8130000}"/>
    <cellStyle name="Normal 10 2 10 34 3 2" xfId="5113" xr:uid="{00000000-0005-0000-0000-0000F9130000}"/>
    <cellStyle name="Normal 10 2 10 34 3 3" xfId="5114" xr:uid="{00000000-0005-0000-0000-0000FA130000}"/>
    <cellStyle name="Normal 10 2 10 34 3 4" xfId="5115" xr:uid="{00000000-0005-0000-0000-0000FB130000}"/>
    <cellStyle name="Normal 10 2 10 34 3 5" xfId="5116" xr:uid="{00000000-0005-0000-0000-0000FC130000}"/>
    <cellStyle name="Normal 10 2 10 34 3 6" xfId="5117" xr:uid="{00000000-0005-0000-0000-0000FD130000}"/>
    <cellStyle name="Normal 10 2 10 34 3 7" xfId="5118" xr:uid="{00000000-0005-0000-0000-0000FE130000}"/>
    <cellStyle name="Normal 10 2 10 34 3 8" xfId="5119" xr:uid="{00000000-0005-0000-0000-0000FF130000}"/>
    <cellStyle name="Normal 10 2 10 34 3 9" xfId="5120" xr:uid="{00000000-0005-0000-0000-000000140000}"/>
    <cellStyle name="Normal 10 2 10 34 4" xfId="5121" xr:uid="{00000000-0005-0000-0000-000001140000}"/>
    <cellStyle name="Normal 10 2 10 34 4 10" xfId="5122" xr:uid="{00000000-0005-0000-0000-000002140000}"/>
    <cellStyle name="Normal 10 2 10 34 4 2" xfId="5123" xr:uid="{00000000-0005-0000-0000-000003140000}"/>
    <cellStyle name="Normal 10 2 10 34 4 3" xfId="5124" xr:uid="{00000000-0005-0000-0000-000004140000}"/>
    <cellStyle name="Normal 10 2 10 34 4 4" xfId="5125" xr:uid="{00000000-0005-0000-0000-000005140000}"/>
    <cellStyle name="Normal 10 2 10 34 4 5" xfId="5126" xr:uid="{00000000-0005-0000-0000-000006140000}"/>
    <cellStyle name="Normal 10 2 10 34 4 6" xfId="5127" xr:uid="{00000000-0005-0000-0000-000007140000}"/>
    <cellStyle name="Normal 10 2 10 34 4 7" xfId="5128" xr:uid="{00000000-0005-0000-0000-000008140000}"/>
    <cellStyle name="Normal 10 2 10 34 4 8" xfId="5129" xr:uid="{00000000-0005-0000-0000-000009140000}"/>
    <cellStyle name="Normal 10 2 10 34 4 9" xfId="5130" xr:uid="{00000000-0005-0000-0000-00000A140000}"/>
    <cellStyle name="Normal 10 2 10 34 5" xfId="5131" xr:uid="{00000000-0005-0000-0000-00000B140000}"/>
    <cellStyle name="Normal 10 2 10 34 5 10" xfId="5132" xr:uid="{00000000-0005-0000-0000-00000C140000}"/>
    <cellStyle name="Normal 10 2 10 34 5 2" xfId="5133" xr:uid="{00000000-0005-0000-0000-00000D140000}"/>
    <cellStyle name="Normal 10 2 10 34 5 3" xfId="5134" xr:uid="{00000000-0005-0000-0000-00000E140000}"/>
    <cellStyle name="Normal 10 2 10 34 5 4" xfId="5135" xr:uid="{00000000-0005-0000-0000-00000F140000}"/>
    <cellStyle name="Normal 10 2 10 34 5 5" xfId="5136" xr:uid="{00000000-0005-0000-0000-000010140000}"/>
    <cellStyle name="Normal 10 2 10 34 5 6" xfId="5137" xr:uid="{00000000-0005-0000-0000-000011140000}"/>
    <cellStyle name="Normal 10 2 10 34 5 7" xfId="5138" xr:uid="{00000000-0005-0000-0000-000012140000}"/>
    <cellStyle name="Normal 10 2 10 34 5 8" xfId="5139" xr:uid="{00000000-0005-0000-0000-000013140000}"/>
    <cellStyle name="Normal 10 2 10 34 5 9" xfId="5140" xr:uid="{00000000-0005-0000-0000-000014140000}"/>
    <cellStyle name="Normal 10 2 10 34 6" xfId="5141" xr:uid="{00000000-0005-0000-0000-000015140000}"/>
    <cellStyle name="Normal 10 2 10 34 7" xfId="5142" xr:uid="{00000000-0005-0000-0000-000016140000}"/>
    <cellStyle name="Normal 10 2 10 34 8" xfId="5143" xr:uid="{00000000-0005-0000-0000-000017140000}"/>
    <cellStyle name="Normal 10 2 10 34 9" xfId="5144" xr:uid="{00000000-0005-0000-0000-000018140000}"/>
    <cellStyle name="Normal 10 2 10 35" xfId="5145" xr:uid="{00000000-0005-0000-0000-000019140000}"/>
    <cellStyle name="Normal 10 2 10 35 10" xfId="5146" xr:uid="{00000000-0005-0000-0000-00001A140000}"/>
    <cellStyle name="Normal 10 2 10 35 2" xfId="5147" xr:uid="{00000000-0005-0000-0000-00001B140000}"/>
    <cellStyle name="Normal 10 2 10 35 3" xfId="5148" xr:uid="{00000000-0005-0000-0000-00001C140000}"/>
    <cellStyle name="Normal 10 2 10 35 4" xfId="5149" xr:uid="{00000000-0005-0000-0000-00001D140000}"/>
    <cellStyle name="Normal 10 2 10 35 5" xfId="5150" xr:uid="{00000000-0005-0000-0000-00001E140000}"/>
    <cellStyle name="Normal 10 2 10 35 6" xfId="5151" xr:uid="{00000000-0005-0000-0000-00001F140000}"/>
    <cellStyle name="Normal 10 2 10 35 7" xfId="5152" xr:uid="{00000000-0005-0000-0000-000020140000}"/>
    <cellStyle name="Normal 10 2 10 35 8" xfId="5153" xr:uid="{00000000-0005-0000-0000-000021140000}"/>
    <cellStyle name="Normal 10 2 10 35 9" xfId="5154" xr:uid="{00000000-0005-0000-0000-000022140000}"/>
    <cellStyle name="Normal 10 2 10 36" xfId="5155" xr:uid="{00000000-0005-0000-0000-000023140000}"/>
    <cellStyle name="Normal 10 2 10 36 10" xfId="5156" xr:uid="{00000000-0005-0000-0000-000024140000}"/>
    <cellStyle name="Normal 10 2 10 36 2" xfId="5157" xr:uid="{00000000-0005-0000-0000-000025140000}"/>
    <cellStyle name="Normal 10 2 10 36 3" xfId="5158" xr:uid="{00000000-0005-0000-0000-000026140000}"/>
    <cellStyle name="Normal 10 2 10 36 4" xfId="5159" xr:uid="{00000000-0005-0000-0000-000027140000}"/>
    <cellStyle name="Normal 10 2 10 36 5" xfId="5160" xr:uid="{00000000-0005-0000-0000-000028140000}"/>
    <cellStyle name="Normal 10 2 10 36 6" xfId="5161" xr:uid="{00000000-0005-0000-0000-000029140000}"/>
    <cellStyle name="Normal 10 2 10 36 7" xfId="5162" xr:uid="{00000000-0005-0000-0000-00002A140000}"/>
    <cellStyle name="Normal 10 2 10 36 8" xfId="5163" xr:uid="{00000000-0005-0000-0000-00002B140000}"/>
    <cellStyle name="Normal 10 2 10 36 9" xfId="5164" xr:uid="{00000000-0005-0000-0000-00002C140000}"/>
    <cellStyle name="Normal 10 2 10 37" xfId="5165" xr:uid="{00000000-0005-0000-0000-00002D140000}"/>
    <cellStyle name="Normal 10 2 10 37 10" xfId="5166" xr:uid="{00000000-0005-0000-0000-00002E140000}"/>
    <cellStyle name="Normal 10 2 10 37 2" xfId="5167" xr:uid="{00000000-0005-0000-0000-00002F140000}"/>
    <cellStyle name="Normal 10 2 10 37 3" xfId="5168" xr:uid="{00000000-0005-0000-0000-000030140000}"/>
    <cellStyle name="Normal 10 2 10 37 4" xfId="5169" xr:uid="{00000000-0005-0000-0000-000031140000}"/>
    <cellStyle name="Normal 10 2 10 37 5" xfId="5170" xr:uid="{00000000-0005-0000-0000-000032140000}"/>
    <cellStyle name="Normal 10 2 10 37 6" xfId="5171" xr:uid="{00000000-0005-0000-0000-000033140000}"/>
    <cellStyle name="Normal 10 2 10 37 7" xfId="5172" xr:uid="{00000000-0005-0000-0000-000034140000}"/>
    <cellStyle name="Normal 10 2 10 37 8" xfId="5173" xr:uid="{00000000-0005-0000-0000-000035140000}"/>
    <cellStyle name="Normal 10 2 10 37 9" xfId="5174" xr:uid="{00000000-0005-0000-0000-000036140000}"/>
    <cellStyle name="Normal 10 2 10 38" xfId="5175" xr:uid="{00000000-0005-0000-0000-000037140000}"/>
    <cellStyle name="Normal 10 2 10 38 10" xfId="5176" xr:uid="{00000000-0005-0000-0000-000038140000}"/>
    <cellStyle name="Normal 10 2 10 38 2" xfId="5177" xr:uid="{00000000-0005-0000-0000-000039140000}"/>
    <cellStyle name="Normal 10 2 10 38 3" xfId="5178" xr:uid="{00000000-0005-0000-0000-00003A140000}"/>
    <cellStyle name="Normal 10 2 10 38 4" xfId="5179" xr:uid="{00000000-0005-0000-0000-00003B140000}"/>
    <cellStyle name="Normal 10 2 10 38 5" xfId="5180" xr:uid="{00000000-0005-0000-0000-00003C140000}"/>
    <cellStyle name="Normal 10 2 10 38 6" xfId="5181" xr:uid="{00000000-0005-0000-0000-00003D140000}"/>
    <cellStyle name="Normal 10 2 10 38 7" xfId="5182" xr:uid="{00000000-0005-0000-0000-00003E140000}"/>
    <cellStyle name="Normal 10 2 10 38 8" xfId="5183" xr:uid="{00000000-0005-0000-0000-00003F140000}"/>
    <cellStyle name="Normal 10 2 10 38 9" xfId="5184" xr:uid="{00000000-0005-0000-0000-000040140000}"/>
    <cellStyle name="Normal 10 2 10 39" xfId="5185" xr:uid="{00000000-0005-0000-0000-000041140000}"/>
    <cellStyle name="Normal 10 2 10 4" xfId="5186" xr:uid="{00000000-0005-0000-0000-000042140000}"/>
    <cellStyle name="Normal 10 2 10 4 10" xfId="5187" xr:uid="{00000000-0005-0000-0000-000043140000}"/>
    <cellStyle name="Normal 10 2 10 4 11" xfId="5188" xr:uid="{00000000-0005-0000-0000-000044140000}"/>
    <cellStyle name="Normal 10 2 10 4 12" xfId="5189" xr:uid="{00000000-0005-0000-0000-000045140000}"/>
    <cellStyle name="Normal 10 2 10 4 13" xfId="5190" xr:uid="{00000000-0005-0000-0000-000046140000}"/>
    <cellStyle name="Normal 10 2 10 4 14" xfId="5191" xr:uid="{00000000-0005-0000-0000-000047140000}"/>
    <cellStyle name="Normal 10 2 10 4 2" xfId="5192" xr:uid="{00000000-0005-0000-0000-000048140000}"/>
    <cellStyle name="Normal 10 2 10 4 2 10" xfId="5193" xr:uid="{00000000-0005-0000-0000-000049140000}"/>
    <cellStyle name="Normal 10 2 10 4 2 2" xfId="5194" xr:uid="{00000000-0005-0000-0000-00004A140000}"/>
    <cellStyle name="Normal 10 2 10 4 2 3" xfId="5195" xr:uid="{00000000-0005-0000-0000-00004B140000}"/>
    <cellStyle name="Normal 10 2 10 4 2 4" xfId="5196" xr:uid="{00000000-0005-0000-0000-00004C140000}"/>
    <cellStyle name="Normal 10 2 10 4 2 5" xfId="5197" xr:uid="{00000000-0005-0000-0000-00004D140000}"/>
    <cellStyle name="Normal 10 2 10 4 2 6" xfId="5198" xr:uid="{00000000-0005-0000-0000-00004E140000}"/>
    <cellStyle name="Normal 10 2 10 4 2 7" xfId="5199" xr:uid="{00000000-0005-0000-0000-00004F140000}"/>
    <cellStyle name="Normal 10 2 10 4 2 8" xfId="5200" xr:uid="{00000000-0005-0000-0000-000050140000}"/>
    <cellStyle name="Normal 10 2 10 4 2 9" xfId="5201" xr:uid="{00000000-0005-0000-0000-000051140000}"/>
    <cellStyle name="Normal 10 2 10 4 3" xfId="5202" xr:uid="{00000000-0005-0000-0000-000052140000}"/>
    <cellStyle name="Normal 10 2 10 4 3 10" xfId="5203" xr:uid="{00000000-0005-0000-0000-000053140000}"/>
    <cellStyle name="Normal 10 2 10 4 3 2" xfId="5204" xr:uid="{00000000-0005-0000-0000-000054140000}"/>
    <cellStyle name="Normal 10 2 10 4 3 3" xfId="5205" xr:uid="{00000000-0005-0000-0000-000055140000}"/>
    <cellStyle name="Normal 10 2 10 4 3 4" xfId="5206" xr:uid="{00000000-0005-0000-0000-000056140000}"/>
    <cellStyle name="Normal 10 2 10 4 3 5" xfId="5207" xr:uid="{00000000-0005-0000-0000-000057140000}"/>
    <cellStyle name="Normal 10 2 10 4 3 6" xfId="5208" xr:uid="{00000000-0005-0000-0000-000058140000}"/>
    <cellStyle name="Normal 10 2 10 4 3 7" xfId="5209" xr:uid="{00000000-0005-0000-0000-000059140000}"/>
    <cellStyle name="Normal 10 2 10 4 3 8" xfId="5210" xr:uid="{00000000-0005-0000-0000-00005A140000}"/>
    <cellStyle name="Normal 10 2 10 4 3 9" xfId="5211" xr:uid="{00000000-0005-0000-0000-00005B140000}"/>
    <cellStyle name="Normal 10 2 10 4 4" xfId="5212" xr:uid="{00000000-0005-0000-0000-00005C140000}"/>
    <cellStyle name="Normal 10 2 10 4 4 10" xfId="5213" xr:uid="{00000000-0005-0000-0000-00005D140000}"/>
    <cellStyle name="Normal 10 2 10 4 4 2" xfId="5214" xr:uid="{00000000-0005-0000-0000-00005E140000}"/>
    <cellStyle name="Normal 10 2 10 4 4 3" xfId="5215" xr:uid="{00000000-0005-0000-0000-00005F140000}"/>
    <cellStyle name="Normal 10 2 10 4 4 4" xfId="5216" xr:uid="{00000000-0005-0000-0000-000060140000}"/>
    <cellStyle name="Normal 10 2 10 4 4 5" xfId="5217" xr:uid="{00000000-0005-0000-0000-000061140000}"/>
    <cellStyle name="Normal 10 2 10 4 4 6" xfId="5218" xr:uid="{00000000-0005-0000-0000-000062140000}"/>
    <cellStyle name="Normal 10 2 10 4 4 7" xfId="5219" xr:uid="{00000000-0005-0000-0000-000063140000}"/>
    <cellStyle name="Normal 10 2 10 4 4 8" xfId="5220" xr:uid="{00000000-0005-0000-0000-000064140000}"/>
    <cellStyle name="Normal 10 2 10 4 4 9" xfId="5221" xr:uid="{00000000-0005-0000-0000-000065140000}"/>
    <cellStyle name="Normal 10 2 10 4 5" xfId="5222" xr:uid="{00000000-0005-0000-0000-000066140000}"/>
    <cellStyle name="Normal 10 2 10 4 5 10" xfId="5223" xr:uid="{00000000-0005-0000-0000-000067140000}"/>
    <cellStyle name="Normal 10 2 10 4 5 2" xfId="5224" xr:uid="{00000000-0005-0000-0000-000068140000}"/>
    <cellStyle name="Normal 10 2 10 4 5 3" xfId="5225" xr:uid="{00000000-0005-0000-0000-000069140000}"/>
    <cellStyle name="Normal 10 2 10 4 5 4" xfId="5226" xr:uid="{00000000-0005-0000-0000-00006A140000}"/>
    <cellStyle name="Normal 10 2 10 4 5 5" xfId="5227" xr:uid="{00000000-0005-0000-0000-00006B140000}"/>
    <cellStyle name="Normal 10 2 10 4 5 6" xfId="5228" xr:uid="{00000000-0005-0000-0000-00006C140000}"/>
    <cellStyle name="Normal 10 2 10 4 5 7" xfId="5229" xr:uid="{00000000-0005-0000-0000-00006D140000}"/>
    <cellStyle name="Normal 10 2 10 4 5 8" xfId="5230" xr:uid="{00000000-0005-0000-0000-00006E140000}"/>
    <cellStyle name="Normal 10 2 10 4 5 9" xfId="5231" xr:uid="{00000000-0005-0000-0000-00006F140000}"/>
    <cellStyle name="Normal 10 2 10 4 6" xfId="5232" xr:uid="{00000000-0005-0000-0000-000070140000}"/>
    <cellStyle name="Normal 10 2 10 4 7" xfId="5233" xr:uid="{00000000-0005-0000-0000-000071140000}"/>
    <cellStyle name="Normal 10 2 10 4 8" xfId="5234" xr:uid="{00000000-0005-0000-0000-000072140000}"/>
    <cellStyle name="Normal 10 2 10 4 9" xfId="5235" xr:uid="{00000000-0005-0000-0000-000073140000}"/>
    <cellStyle name="Normal 10 2 10 40" xfId="5236" xr:uid="{00000000-0005-0000-0000-000074140000}"/>
    <cellStyle name="Normal 10 2 10 41" xfId="5237" xr:uid="{00000000-0005-0000-0000-000075140000}"/>
    <cellStyle name="Normal 10 2 10 42" xfId="5238" xr:uid="{00000000-0005-0000-0000-000076140000}"/>
    <cellStyle name="Normal 10 2 10 43" xfId="5239" xr:uid="{00000000-0005-0000-0000-000077140000}"/>
    <cellStyle name="Normal 10 2 10 44" xfId="5240" xr:uid="{00000000-0005-0000-0000-000078140000}"/>
    <cellStyle name="Normal 10 2 10 45" xfId="5241" xr:uid="{00000000-0005-0000-0000-000079140000}"/>
    <cellStyle name="Normal 10 2 10 46" xfId="5242" xr:uid="{00000000-0005-0000-0000-00007A140000}"/>
    <cellStyle name="Normal 10 2 10 47" xfId="5243" xr:uid="{00000000-0005-0000-0000-00007B140000}"/>
    <cellStyle name="Normal 10 2 10 48" xfId="5244" xr:uid="{00000000-0005-0000-0000-00007C140000}"/>
    <cellStyle name="Normal 10 2 10 49" xfId="5245" xr:uid="{00000000-0005-0000-0000-00007D140000}"/>
    <cellStyle name="Normal 10 2 10 5" xfId="5246" xr:uid="{00000000-0005-0000-0000-00007E140000}"/>
    <cellStyle name="Normal 10 2 10 5 10" xfId="5247" xr:uid="{00000000-0005-0000-0000-00007F140000}"/>
    <cellStyle name="Normal 10 2 10 5 11" xfId="5248" xr:uid="{00000000-0005-0000-0000-000080140000}"/>
    <cellStyle name="Normal 10 2 10 5 12" xfId="5249" xr:uid="{00000000-0005-0000-0000-000081140000}"/>
    <cellStyle name="Normal 10 2 10 5 13" xfId="5250" xr:uid="{00000000-0005-0000-0000-000082140000}"/>
    <cellStyle name="Normal 10 2 10 5 14" xfId="5251" xr:uid="{00000000-0005-0000-0000-000083140000}"/>
    <cellStyle name="Normal 10 2 10 5 2" xfId="5252" xr:uid="{00000000-0005-0000-0000-000084140000}"/>
    <cellStyle name="Normal 10 2 10 5 2 10" xfId="5253" xr:uid="{00000000-0005-0000-0000-000085140000}"/>
    <cellStyle name="Normal 10 2 10 5 2 2" xfId="5254" xr:uid="{00000000-0005-0000-0000-000086140000}"/>
    <cellStyle name="Normal 10 2 10 5 2 3" xfId="5255" xr:uid="{00000000-0005-0000-0000-000087140000}"/>
    <cellStyle name="Normal 10 2 10 5 2 4" xfId="5256" xr:uid="{00000000-0005-0000-0000-000088140000}"/>
    <cellStyle name="Normal 10 2 10 5 2 5" xfId="5257" xr:uid="{00000000-0005-0000-0000-000089140000}"/>
    <cellStyle name="Normal 10 2 10 5 2 6" xfId="5258" xr:uid="{00000000-0005-0000-0000-00008A140000}"/>
    <cellStyle name="Normal 10 2 10 5 2 7" xfId="5259" xr:uid="{00000000-0005-0000-0000-00008B140000}"/>
    <cellStyle name="Normal 10 2 10 5 2 8" xfId="5260" xr:uid="{00000000-0005-0000-0000-00008C140000}"/>
    <cellStyle name="Normal 10 2 10 5 2 9" xfId="5261" xr:uid="{00000000-0005-0000-0000-00008D140000}"/>
    <cellStyle name="Normal 10 2 10 5 3" xfId="5262" xr:uid="{00000000-0005-0000-0000-00008E140000}"/>
    <cellStyle name="Normal 10 2 10 5 3 10" xfId="5263" xr:uid="{00000000-0005-0000-0000-00008F140000}"/>
    <cellStyle name="Normal 10 2 10 5 3 2" xfId="5264" xr:uid="{00000000-0005-0000-0000-000090140000}"/>
    <cellStyle name="Normal 10 2 10 5 3 3" xfId="5265" xr:uid="{00000000-0005-0000-0000-000091140000}"/>
    <cellStyle name="Normal 10 2 10 5 3 4" xfId="5266" xr:uid="{00000000-0005-0000-0000-000092140000}"/>
    <cellStyle name="Normal 10 2 10 5 3 5" xfId="5267" xr:uid="{00000000-0005-0000-0000-000093140000}"/>
    <cellStyle name="Normal 10 2 10 5 3 6" xfId="5268" xr:uid="{00000000-0005-0000-0000-000094140000}"/>
    <cellStyle name="Normal 10 2 10 5 3 7" xfId="5269" xr:uid="{00000000-0005-0000-0000-000095140000}"/>
    <cellStyle name="Normal 10 2 10 5 3 8" xfId="5270" xr:uid="{00000000-0005-0000-0000-000096140000}"/>
    <cellStyle name="Normal 10 2 10 5 3 9" xfId="5271" xr:uid="{00000000-0005-0000-0000-000097140000}"/>
    <cellStyle name="Normal 10 2 10 5 4" xfId="5272" xr:uid="{00000000-0005-0000-0000-000098140000}"/>
    <cellStyle name="Normal 10 2 10 5 4 10" xfId="5273" xr:uid="{00000000-0005-0000-0000-000099140000}"/>
    <cellStyle name="Normal 10 2 10 5 4 2" xfId="5274" xr:uid="{00000000-0005-0000-0000-00009A140000}"/>
    <cellStyle name="Normal 10 2 10 5 4 3" xfId="5275" xr:uid="{00000000-0005-0000-0000-00009B140000}"/>
    <cellStyle name="Normal 10 2 10 5 4 4" xfId="5276" xr:uid="{00000000-0005-0000-0000-00009C140000}"/>
    <cellStyle name="Normal 10 2 10 5 4 5" xfId="5277" xr:uid="{00000000-0005-0000-0000-00009D140000}"/>
    <cellStyle name="Normal 10 2 10 5 4 6" xfId="5278" xr:uid="{00000000-0005-0000-0000-00009E140000}"/>
    <cellStyle name="Normal 10 2 10 5 4 7" xfId="5279" xr:uid="{00000000-0005-0000-0000-00009F140000}"/>
    <cellStyle name="Normal 10 2 10 5 4 8" xfId="5280" xr:uid="{00000000-0005-0000-0000-0000A0140000}"/>
    <cellStyle name="Normal 10 2 10 5 4 9" xfId="5281" xr:uid="{00000000-0005-0000-0000-0000A1140000}"/>
    <cellStyle name="Normal 10 2 10 5 5" xfId="5282" xr:uid="{00000000-0005-0000-0000-0000A2140000}"/>
    <cellStyle name="Normal 10 2 10 5 5 10" xfId="5283" xr:uid="{00000000-0005-0000-0000-0000A3140000}"/>
    <cellStyle name="Normal 10 2 10 5 5 2" xfId="5284" xr:uid="{00000000-0005-0000-0000-0000A4140000}"/>
    <cellStyle name="Normal 10 2 10 5 5 3" xfId="5285" xr:uid="{00000000-0005-0000-0000-0000A5140000}"/>
    <cellStyle name="Normal 10 2 10 5 5 4" xfId="5286" xr:uid="{00000000-0005-0000-0000-0000A6140000}"/>
    <cellStyle name="Normal 10 2 10 5 5 5" xfId="5287" xr:uid="{00000000-0005-0000-0000-0000A7140000}"/>
    <cellStyle name="Normal 10 2 10 5 5 6" xfId="5288" xr:uid="{00000000-0005-0000-0000-0000A8140000}"/>
    <cellStyle name="Normal 10 2 10 5 5 7" xfId="5289" xr:uid="{00000000-0005-0000-0000-0000A9140000}"/>
    <cellStyle name="Normal 10 2 10 5 5 8" xfId="5290" xr:uid="{00000000-0005-0000-0000-0000AA140000}"/>
    <cellStyle name="Normal 10 2 10 5 5 9" xfId="5291" xr:uid="{00000000-0005-0000-0000-0000AB140000}"/>
    <cellStyle name="Normal 10 2 10 5 6" xfId="5292" xr:uid="{00000000-0005-0000-0000-0000AC140000}"/>
    <cellStyle name="Normal 10 2 10 5 7" xfId="5293" xr:uid="{00000000-0005-0000-0000-0000AD140000}"/>
    <cellStyle name="Normal 10 2 10 5 8" xfId="5294" xr:uid="{00000000-0005-0000-0000-0000AE140000}"/>
    <cellStyle name="Normal 10 2 10 5 9" xfId="5295" xr:uid="{00000000-0005-0000-0000-0000AF140000}"/>
    <cellStyle name="Normal 10 2 10 50" xfId="7" xr:uid="{00000000-0005-0000-0000-000007000000}"/>
    <cellStyle name="Normal 10 2 10 6" xfId="5296" xr:uid="{00000000-0005-0000-0000-0000B0140000}"/>
    <cellStyle name="Normal 10 2 10 6 10" xfId="5297" xr:uid="{00000000-0005-0000-0000-0000B1140000}"/>
    <cellStyle name="Normal 10 2 10 6 11" xfId="5298" xr:uid="{00000000-0005-0000-0000-0000B2140000}"/>
    <cellStyle name="Normal 10 2 10 6 12" xfId="5299" xr:uid="{00000000-0005-0000-0000-0000B3140000}"/>
    <cellStyle name="Normal 10 2 10 6 13" xfId="5300" xr:uid="{00000000-0005-0000-0000-0000B4140000}"/>
    <cellStyle name="Normal 10 2 10 6 14" xfId="5301" xr:uid="{00000000-0005-0000-0000-0000B5140000}"/>
    <cellStyle name="Normal 10 2 10 6 2" xfId="5302" xr:uid="{00000000-0005-0000-0000-0000B6140000}"/>
    <cellStyle name="Normal 10 2 10 6 2 10" xfId="5303" xr:uid="{00000000-0005-0000-0000-0000B7140000}"/>
    <cellStyle name="Normal 10 2 10 6 2 2" xfId="5304" xr:uid="{00000000-0005-0000-0000-0000B8140000}"/>
    <cellStyle name="Normal 10 2 10 6 2 3" xfId="5305" xr:uid="{00000000-0005-0000-0000-0000B9140000}"/>
    <cellStyle name="Normal 10 2 10 6 2 4" xfId="5306" xr:uid="{00000000-0005-0000-0000-0000BA140000}"/>
    <cellStyle name="Normal 10 2 10 6 2 5" xfId="5307" xr:uid="{00000000-0005-0000-0000-0000BB140000}"/>
    <cellStyle name="Normal 10 2 10 6 2 6" xfId="5308" xr:uid="{00000000-0005-0000-0000-0000BC140000}"/>
    <cellStyle name="Normal 10 2 10 6 2 7" xfId="5309" xr:uid="{00000000-0005-0000-0000-0000BD140000}"/>
    <cellStyle name="Normal 10 2 10 6 2 8" xfId="5310" xr:uid="{00000000-0005-0000-0000-0000BE140000}"/>
    <cellStyle name="Normal 10 2 10 6 2 9" xfId="5311" xr:uid="{00000000-0005-0000-0000-0000BF140000}"/>
    <cellStyle name="Normal 10 2 10 6 3" xfId="5312" xr:uid="{00000000-0005-0000-0000-0000C0140000}"/>
    <cellStyle name="Normal 10 2 10 6 3 10" xfId="5313" xr:uid="{00000000-0005-0000-0000-0000C1140000}"/>
    <cellStyle name="Normal 10 2 10 6 3 2" xfId="5314" xr:uid="{00000000-0005-0000-0000-0000C2140000}"/>
    <cellStyle name="Normal 10 2 10 6 3 3" xfId="5315" xr:uid="{00000000-0005-0000-0000-0000C3140000}"/>
    <cellStyle name="Normal 10 2 10 6 3 4" xfId="5316" xr:uid="{00000000-0005-0000-0000-0000C4140000}"/>
    <cellStyle name="Normal 10 2 10 6 3 5" xfId="5317" xr:uid="{00000000-0005-0000-0000-0000C5140000}"/>
    <cellStyle name="Normal 10 2 10 6 3 6" xfId="5318" xr:uid="{00000000-0005-0000-0000-0000C6140000}"/>
    <cellStyle name="Normal 10 2 10 6 3 7" xfId="5319" xr:uid="{00000000-0005-0000-0000-0000C7140000}"/>
    <cellStyle name="Normal 10 2 10 6 3 8" xfId="5320" xr:uid="{00000000-0005-0000-0000-0000C8140000}"/>
    <cellStyle name="Normal 10 2 10 6 3 9" xfId="5321" xr:uid="{00000000-0005-0000-0000-0000C9140000}"/>
    <cellStyle name="Normal 10 2 10 6 4" xfId="5322" xr:uid="{00000000-0005-0000-0000-0000CA140000}"/>
    <cellStyle name="Normal 10 2 10 6 4 10" xfId="5323" xr:uid="{00000000-0005-0000-0000-0000CB140000}"/>
    <cellStyle name="Normal 10 2 10 6 4 2" xfId="5324" xr:uid="{00000000-0005-0000-0000-0000CC140000}"/>
    <cellStyle name="Normal 10 2 10 6 4 3" xfId="5325" xr:uid="{00000000-0005-0000-0000-0000CD140000}"/>
    <cellStyle name="Normal 10 2 10 6 4 4" xfId="5326" xr:uid="{00000000-0005-0000-0000-0000CE140000}"/>
    <cellStyle name="Normal 10 2 10 6 4 5" xfId="5327" xr:uid="{00000000-0005-0000-0000-0000CF140000}"/>
    <cellStyle name="Normal 10 2 10 6 4 6" xfId="5328" xr:uid="{00000000-0005-0000-0000-0000D0140000}"/>
    <cellStyle name="Normal 10 2 10 6 4 7" xfId="5329" xr:uid="{00000000-0005-0000-0000-0000D1140000}"/>
    <cellStyle name="Normal 10 2 10 6 4 8" xfId="5330" xr:uid="{00000000-0005-0000-0000-0000D2140000}"/>
    <cellStyle name="Normal 10 2 10 6 4 9" xfId="5331" xr:uid="{00000000-0005-0000-0000-0000D3140000}"/>
    <cellStyle name="Normal 10 2 10 6 5" xfId="5332" xr:uid="{00000000-0005-0000-0000-0000D4140000}"/>
    <cellStyle name="Normal 10 2 10 6 5 10" xfId="5333" xr:uid="{00000000-0005-0000-0000-0000D5140000}"/>
    <cellStyle name="Normal 10 2 10 6 5 2" xfId="5334" xr:uid="{00000000-0005-0000-0000-0000D6140000}"/>
    <cellStyle name="Normal 10 2 10 6 5 3" xfId="5335" xr:uid="{00000000-0005-0000-0000-0000D7140000}"/>
    <cellStyle name="Normal 10 2 10 6 5 4" xfId="5336" xr:uid="{00000000-0005-0000-0000-0000D8140000}"/>
    <cellStyle name="Normal 10 2 10 6 5 5" xfId="5337" xr:uid="{00000000-0005-0000-0000-0000D9140000}"/>
    <cellStyle name="Normal 10 2 10 6 5 6" xfId="5338" xr:uid="{00000000-0005-0000-0000-0000DA140000}"/>
    <cellStyle name="Normal 10 2 10 6 5 7" xfId="5339" xr:uid="{00000000-0005-0000-0000-0000DB140000}"/>
    <cellStyle name="Normal 10 2 10 6 5 8" xfId="5340" xr:uid="{00000000-0005-0000-0000-0000DC140000}"/>
    <cellStyle name="Normal 10 2 10 6 5 9" xfId="5341" xr:uid="{00000000-0005-0000-0000-0000DD140000}"/>
    <cellStyle name="Normal 10 2 10 6 6" xfId="5342" xr:uid="{00000000-0005-0000-0000-0000DE140000}"/>
    <cellStyle name="Normal 10 2 10 6 7" xfId="5343" xr:uid="{00000000-0005-0000-0000-0000DF140000}"/>
    <cellStyle name="Normal 10 2 10 6 8" xfId="5344" xr:uid="{00000000-0005-0000-0000-0000E0140000}"/>
    <cellStyle name="Normal 10 2 10 6 9" xfId="5345" xr:uid="{00000000-0005-0000-0000-0000E1140000}"/>
    <cellStyle name="Normal 10 2 10 7" xfId="5346" xr:uid="{00000000-0005-0000-0000-0000E2140000}"/>
    <cellStyle name="Normal 10 2 10 7 10" xfId="5347" xr:uid="{00000000-0005-0000-0000-0000E3140000}"/>
    <cellStyle name="Normal 10 2 10 7 11" xfId="5348" xr:uid="{00000000-0005-0000-0000-0000E4140000}"/>
    <cellStyle name="Normal 10 2 10 7 12" xfId="5349" xr:uid="{00000000-0005-0000-0000-0000E5140000}"/>
    <cellStyle name="Normal 10 2 10 7 13" xfId="5350" xr:uid="{00000000-0005-0000-0000-0000E6140000}"/>
    <cellStyle name="Normal 10 2 10 7 14" xfId="5351" xr:uid="{00000000-0005-0000-0000-0000E7140000}"/>
    <cellStyle name="Normal 10 2 10 7 2" xfId="5352" xr:uid="{00000000-0005-0000-0000-0000E8140000}"/>
    <cellStyle name="Normal 10 2 10 7 2 10" xfId="5353" xr:uid="{00000000-0005-0000-0000-0000E9140000}"/>
    <cellStyle name="Normal 10 2 10 7 2 2" xfId="5354" xr:uid="{00000000-0005-0000-0000-0000EA140000}"/>
    <cellStyle name="Normal 10 2 10 7 2 3" xfId="5355" xr:uid="{00000000-0005-0000-0000-0000EB140000}"/>
    <cellStyle name="Normal 10 2 10 7 2 4" xfId="5356" xr:uid="{00000000-0005-0000-0000-0000EC140000}"/>
    <cellStyle name="Normal 10 2 10 7 2 5" xfId="5357" xr:uid="{00000000-0005-0000-0000-0000ED140000}"/>
    <cellStyle name="Normal 10 2 10 7 2 6" xfId="5358" xr:uid="{00000000-0005-0000-0000-0000EE140000}"/>
    <cellStyle name="Normal 10 2 10 7 2 7" xfId="5359" xr:uid="{00000000-0005-0000-0000-0000EF140000}"/>
    <cellStyle name="Normal 10 2 10 7 2 8" xfId="5360" xr:uid="{00000000-0005-0000-0000-0000F0140000}"/>
    <cellStyle name="Normal 10 2 10 7 2 9" xfId="5361" xr:uid="{00000000-0005-0000-0000-0000F1140000}"/>
    <cellStyle name="Normal 10 2 10 7 3" xfId="5362" xr:uid="{00000000-0005-0000-0000-0000F2140000}"/>
    <cellStyle name="Normal 10 2 10 7 3 10" xfId="5363" xr:uid="{00000000-0005-0000-0000-0000F3140000}"/>
    <cellStyle name="Normal 10 2 10 7 3 2" xfId="5364" xr:uid="{00000000-0005-0000-0000-0000F4140000}"/>
    <cellStyle name="Normal 10 2 10 7 3 3" xfId="5365" xr:uid="{00000000-0005-0000-0000-0000F5140000}"/>
    <cellStyle name="Normal 10 2 10 7 3 4" xfId="5366" xr:uid="{00000000-0005-0000-0000-0000F6140000}"/>
    <cellStyle name="Normal 10 2 10 7 3 5" xfId="5367" xr:uid="{00000000-0005-0000-0000-0000F7140000}"/>
    <cellStyle name="Normal 10 2 10 7 3 6" xfId="5368" xr:uid="{00000000-0005-0000-0000-0000F8140000}"/>
    <cellStyle name="Normal 10 2 10 7 3 7" xfId="5369" xr:uid="{00000000-0005-0000-0000-0000F9140000}"/>
    <cellStyle name="Normal 10 2 10 7 3 8" xfId="5370" xr:uid="{00000000-0005-0000-0000-0000FA140000}"/>
    <cellStyle name="Normal 10 2 10 7 3 9" xfId="5371" xr:uid="{00000000-0005-0000-0000-0000FB140000}"/>
    <cellStyle name="Normal 10 2 10 7 4" xfId="5372" xr:uid="{00000000-0005-0000-0000-0000FC140000}"/>
    <cellStyle name="Normal 10 2 10 7 4 10" xfId="5373" xr:uid="{00000000-0005-0000-0000-0000FD140000}"/>
    <cellStyle name="Normal 10 2 10 7 4 2" xfId="5374" xr:uid="{00000000-0005-0000-0000-0000FE140000}"/>
    <cellStyle name="Normal 10 2 10 7 4 3" xfId="5375" xr:uid="{00000000-0005-0000-0000-0000FF140000}"/>
    <cellStyle name="Normal 10 2 10 7 4 4" xfId="5376" xr:uid="{00000000-0005-0000-0000-000000150000}"/>
    <cellStyle name="Normal 10 2 10 7 4 5" xfId="5377" xr:uid="{00000000-0005-0000-0000-000001150000}"/>
    <cellStyle name="Normal 10 2 10 7 4 6" xfId="5378" xr:uid="{00000000-0005-0000-0000-000002150000}"/>
    <cellStyle name="Normal 10 2 10 7 4 7" xfId="5379" xr:uid="{00000000-0005-0000-0000-000003150000}"/>
    <cellStyle name="Normal 10 2 10 7 4 8" xfId="5380" xr:uid="{00000000-0005-0000-0000-000004150000}"/>
    <cellStyle name="Normal 10 2 10 7 4 9" xfId="5381" xr:uid="{00000000-0005-0000-0000-000005150000}"/>
    <cellStyle name="Normal 10 2 10 7 5" xfId="5382" xr:uid="{00000000-0005-0000-0000-000006150000}"/>
    <cellStyle name="Normal 10 2 10 7 5 10" xfId="5383" xr:uid="{00000000-0005-0000-0000-000007150000}"/>
    <cellStyle name="Normal 10 2 10 7 5 2" xfId="5384" xr:uid="{00000000-0005-0000-0000-000008150000}"/>
    <cellStyle name="Normal 10 2 10 7 5 3" xfId="5385" xr:uid="{00000000-0005-0000-0000-000009150000}"/>
    <cellStyle name="Normal 10 2 10 7 5 4" xfId="5386" xr:uid="{00000000-0005-0000-0000-00000A150000}"/>
    <cellStyle name="Normal 10 2 10 7 5 5" xfId="5387" xr:uid="{00000000-0005-0000-0000-00000B150000}"/>
    <cellStyle name="Normal 10 2 10 7 5 6" xfId="5388" xr:uid="{00000000-0005-0000-0000-00000C150000}"/>
    <cellStyle name="Normal 10 2 10 7 5 7" xfId="5389" xr:uid="{00000000-0005-0000-0000-00000D150000}"/>
    <cellStyle name="Normal 10 2 10 7 5 8" xfId="5390" xr:uid="{00000000-0005-0000-0000-00000E150000}"/>
    <cellStyle name="Normal 10 2 10 7 5 9" xfId="5391" xr:uid="{00000000-0005-0000-0000-00000F150000}"/>
    <cellStyle name="Normal 10 2 10 7 6" xfId="5392" xr:uid="{00000000-0005-0000-0000-000010150000}"/>
    <cellStyle name="Normal 10 2 10 7 7" xfId="5393" xr:uid="{00000000-0005-0000-0000-000011150000}"/>
    <cellStyle name="Normal 10 2 10 7 8" xfId="5394" xr:uid="{00000000-0005-0000-0000-000012150000}"/>
    <cellStyle name="Normal 10 2 10 7 9" xfId="5395" xr:uid="{00000000-0005-0000-0000-000013150000}"/>
    <cellStyle name="Normal 10 2 10 8" xfId="5396" xr:uid="{00000000-0005-0000-0000-000014150000}"/>
    <cellStyle name="Normal 10 2 10 8 10" xfId="5397" xr:uid="{00000000-0005-0000-0000-000015150000}"/>
    <cellStyle name="Normal 10 2 10 8 11" xfId="5398" xr:uid="{00000000-0005-0000-0000-000016150000}"/>
    <cellStyle name="Normal 10 2 10 8 12" xfId="5399" xr:uid="{00000000-0005-0000-0000-000017150000}"/>
    <cellStyle name="Normal 10 2 10 8 13" xfId="5400" xr:uid="{00000000-0005-0000-0000-000018150000}"/>
    <cellStyle name="Normal 10 2 10 8 14" xfId="5401" xr:uid="{00000000-0005-0000-0000-000019150000}"/>
    <cellStyle name="Normal 10 2 10 8 2" xfId="5402" xr:uid="{00000000-0005-0000-0000-00001A150000}"/>
    <cellStyle name="Normal 10 2 10 8 2 10" xfId="5403" xr:uid="{00000000-0005-0000-0000-00001B150000}"/>
    <cellStyle name="Normal 10 2 10 8 2 2" xfId="5404" xr:uid="{00000000-0005-0000-0000-00001C150000}"/>
    <cellStyle name="Normal 10 2 10 8 2 3" xfId="5405" xr:uid="{00000000-0005-0000-0000-00001D150000}"/>
    <cellStyle name="Normal 10 2 10 8 2 4" xfId="5406" xr:uid="{00000000-0005-0000-0000-00001E150000}"/>
    <cellStyle name="Normal 10 2 10 8 2 5" xfId="5407" xr:uid="{00000000-0005-0000-0000-00001F150000}"/>
    <cellStyle name="Normal 10 2 10 8 2 6" xfId="5408" xr:uid="{00000000-0005-0000-0000-000020150000}"/>
    <cellStyle name="Normal 10 2 10 8 2 7" xfId="5409" xr:uid="{00000000-0005-0000-0000-000021150000}"/>
    <cellStyle name="Normal 10 2 10 8 2 8" xfId="5410" xr:uid="{00000000-0005-0000-0000-000022150000}"/>
    <cellStyle name="Normal 10 2 10 8 2 9" xfId="5411" xr:uid="{00000000-0005-0000-0000-000023150000}"/>
    <cellStyle name="Normal 10 2 10 8 3" xfId="5412" xr:uid="{00000000-0005-0000-0000-000024150000}"/>
    <cellStyle name="Normal 10 2 10 8 3 10" xfId="5413" xr:uid="{00000000-0005-0000-0000-000025150000}"/>
    <cellStyle name="Normal 10 2 10 8 3 2" xfId="5414" xr:uid="{00000000-0005-0000-0000-000026150000}"/>
    <cellStyle name="Normal 10 2 10 8 3 3" xfId="5415" xr:uid="{00000000-0005-0000-0000-000027150000}"/>
    <cellStyle name="Normal 10 2 10 8 3 4" xfId="5416" xr:uid="{00000000-0005-0000-0000-000028150000}"/>
    <cellStyle name="Normal 10 2 10 8 3 5" xfId="5417" xr:uid="{00000000-0005-0000-0000-000029150000}"/>
    <cellStyle name="Normal 10 2 10 8 3 6" xfId="5418" xr:uid="{00000000-0005-0000-0000-00002A150000}"/>
    <cellStyle name="Normal 10 2 10 8 3 7" xfId="5419" xr:uid="{00000000-0005-0000-0000-00002B150000}"/>
    <cellStyle name="Normal 10 2 10 8 3 8" xfId="5420" xr:uid="{00000000-0005-0000-0000-00002C150000}"/>
    <cellStyle name="Normal 10 2 10 8 3 9" xfId="5421" xr:uid="{00000000-0005-0000-0000-00002D150000}"/>
    <cellStyle name="Normal 10 2 10 8 4" xfId="5422" xr:uid="{00000000-0005-0000-0000-00002E150000}"/>
    <cellStyle name="Normal 10 2 10 8 4 10" xfId="5423" xr:uid="{00000000-0005-0000-0000-00002F150000}"/>
    <cellStyle name="Normal 10 2 10 8 4 2" xfId="5424" xr:uid="{00000000-0005-0000-0000-000030150000}"/>
    <cellStyle name="Normal 10 2 10 8 4 3" xfId="5425" xr:uid="{00000000-0005-0000-0000-000031150000}"/>
    <cellStyle name="Normal 10 2 10 8 4 4" xfId="5426" xr:uid="{00000000-0005-0000-0000-000032150000}"/>
    <cellStyle name="Normal 10 2 10 8 4 5" xfId="5427" xr:uid="{00000000-0005-0000-0000-000033150000}"/>
    <cellStyle name="Normal 10 2 10 8 4 6" xfId="5428" xr:uid="{00000000-0005-0000-0000-000034150000}"/>
    <cellStyle name="Normal 10 2 10 8 4 7" xfId="5429" xr:uid="{00000000-0005-0000-0000-000035150000}"/>
    <cellStyle name="Normal 10 2 10 8 4 8" xfId="5430" xr:uid="{00000000-0005-0000-0000-000036150000}"/>
    <cellStyle name="Normal 10 2 10 8 4 9" xfId="5431" xr:uid="{00000000-0005-0000-0000-000037150000}"/>
    <cellStyle name="Normal 10 2 10 8 5" xfId="5432" xr:uid="{00000000-0005-0000-0000-000038150000}"/>
    <cellStyle name="Normal 10 2 10 8 5 10" xfId="5433" xr:uid="{00000000-0005-0000-0000-000039150000}"/>
    <cellStyle name="Normal 10 2 10 8 5 2" xfId="5434" xr:uid="{00000000-0005-0000-0000-00003A150000}"/>
    <cellStyle name="Normal 10 2 10 8 5 3" xfId="5435" xr:uid="{00000000-0005-0000-0000-00003B150000}"/>
    <cellStyle name="Normal 10 2 10 8 5 4" xfId="5436" xr:uid="{00000000-0005-0000-0000-00003C150000}"/>
    <cellStyle name="Normal 10 2 10 8 5 5" xfId="5437" xr:uid="{00000000-0005-0000-0000-00003D150000}"/>
    <cellStyle name="Normal 10 2 10 8 5 6" xfId="5438" xr:uid="{00000000-0005-0000-0000-00003E150000}"/>
    <cellStyle name="Normal 10 2 10 8 5 7" xfId="5439" xr:uid="{00000000-0005-0000-0000-00003F150000}"/>
    <cellStyle name="Normal 10 2 10 8 5 8" xfId="5440" xr:uid="{00000000-0005-0000-0000-000040150000}"/>
    <cellStyle name="Normal 10 2 10 8 5 9" xfId="5441" xr:uid="{00000000-0005-0000-0000-000041150000}"/>
    <cellStyle name="Normal 10 2 10 8 6" xfId="5442" xr:uid="{00000000-0005-0000-0000-000042150000}"/>
    <cellStyle name="Normal 10 2 10 8 7" xfId="5443" xr:uid="{00000000-0005-0000-0000-000043150000}"/>
    <cellStyle name="Normal 10 2 10 8 8" xfId="5444" xr:uid="{00000000-0005-0000-0000-000044150000}"/>
    <cellStyle name="Normal 10 2 10 8 9" xfId="5445" xr:uid="{00000000-0005-0000-0000-000045150000}"/>
    <cellStyle name="Normal 10 2 10 9" xfId="5446" xr:uid="{00000000-0005-0000-0000-000046150000}"/>
    <cellStyle name="Normal 10 2 10 9 10" xfId="5447" xr:uid="{00000000-0005-0000-0000-000047150000}"/>
    <cellStyle name="Normal 10 2 10 9 11" xfId="5448" xr:uid="{00000000-0005-0000-0000-000048150000}"/>
    <cellStyle name="Normal 10 2 10 9 12" xfId="5449" xr:uid="{00000000-0005-0000-0000-000049150000}"/>
    <cellStyle name="Normal 10 2 10 9 13" xfId="5450" xr:uid="{00000000-0005-0000-0000-00004A150000}"/>
    <cellStyle name="Normal 10 2 10 9 14" xfId="5451" xr:uid="{00000000-0005-0000-0000-00004B150000}"/>
    <cellStyle name="Normal 10 2 10 9 2" xfId="5452" xr:uid="{00000000-0005-0000-0000-00004C150000}"/>
    <cellStyle name="Normal 10 2 10 9 2 10" xfId="5453" xr:uid="{00000000-0005-0000-0000-00004D150000}"/>
    <cellStyle name="Normal 10 2 10 9 2 2" xfId="5454" xr:uid="{00000000-0005-0000-0000-00004E150000}"/>
    <cellStyle name="Normal 10 2 10 9 2 3" xfId="5455" xr:uid="{00000000-0005-0000-0000-00004F150000}"/>
    <cellStyle name="Normal 10 2 10 9 2 4" xfId="5456" xr:uid="{00000000-0005-0000-0000-000050150000}"/>
    <cellStyle name="Normal 10 2 10 9 2 5" xfId="5457" xr:uid="{00000000-0005-0000-0000-000051150000}"/>
    <cellStyle name="Normal 10 2 10 9 2 6" xfId="5458" xr:uid="{00000000-0005-0000-0000-000052150000}"/>
    <cellStyle name="Normal 10 2 10 9 2 7" xfId="5459" xr:uid="{00000000-0005-0000-0000-000053150000}"/>
    <cellStyle name="Normal 10 2 10 9 2 8" xfId="5460" xr:uid="{00000000-0005-0000-0000-000054150000}"/>
    <cellStyle name="Normal 10 2 10 9 2 9" xfId="5461" xr:uid="{00000000-0005-0000-0000-000055150000}"/>
    <cellStyle name="Normal 10 2 10 9 3" xfId="5462" xr:uid="{00000000-0005-0000-0000-000056150000}"/>
    <cellStyle name="Normal 10 2 10 9 3 10" xfId="5463" xr:uid="{00000000-0005-0000-0000-000057150000}"/>
    <cellStyle name="Normal 10 2 10 9 3 2" xfId="5464" xr:uid="{00000000-0005-0000-0000-000058150000}"/>
    <cellStyle name="Normal 10 2 10 9 3 3" xfId="5465" xr:uid="{00000000-0005-0000-0000-000059150000}"/>
    <cellStyle name="Normal 10 2 10 9 3 4" xfId="5466" xr:uid="{00000000-0005-0000-0000-00005A150000}"/>
    <cellStyle name="Normal 10 2 10 9 3 5" xfId="5467" xr:uid="{00000000-0005-0000-0000-00005B150000}"/>
    <cellStyle name="Normal 10 2 10 9 3 6" xfId="5468" xr:uid="{00000000-0005-0000-0000-00005C150000}"/>
    <cellStyle name="Normal 10 2 10 9 3 7" xfId="5469" xr:uid="{00000000-0005-0000-0000-00005D150000}"/>
    <cellStyle name="Normal 10 2 10 9 3 8" xfId="5470" xr:uid="{00000000-0005-0000-0000-00005E150000}"/>
    <cellStyle name="Normal 10 2 10 9 3 9" xfId="5471" xr:uid="{00000000-0005-0000-0000-00005F150000}"/>
    <cellStyle name="Normal 10 2 10 9 4" xfId="5472" xr:uid="{00000000-0005-0000-0000-000060150000}"/>
    <cellStyle name="Normal 10 2 10 9 4 10" xfId="5473" xr:uid="{00000000-0005-0000-0000-000061150000}"/>
    <cellStyle name="Normal 10 2 10 9 4 2" xfId="5474" xr:uid="{00000000-0005-0000-0000-000062150000}"/>
    <cellStyle name="Normal 10 2 10 9 4 3" xfId="5475" xr:uid="{00000000-0005-0000-0000-000063150000}"/>
    <cellStyle name="Normal 10 2 10 9 4 4" xfId="5476" xr:uid="{00000000-0005-0000-0000-000064150000}"/>
    <cellStyle name="Normal 10 2 10 9 4 5" xfId="5477" xr:uid="{00000000-0005-0000-0000-000065150000}"/>
    <cellStyle name="Normal 10 2 10 9 4 6" xfId="5478" xr:uid="{00000000-0005-0000-0000-000066150000}"/>
    <cellStyle name="Normal 10 2 10 9 4 7" xfId="5479" xr:uid="{00000000-0005-0000-0000-000067150000}"/>
    <cellStyle name="Normal 10 2 10 9 4 8" xfId="5480" xr:uid="{00000000-0005-0000-0000-000068150000}"/>
    <cellStyle name="Normal 10 2 10 9 4 9" xfId="5481" xr:uid="{00000000-0005-0000-0000-000069150000}"/>
    <cellStyle name="Normal 10 2 10 9 5" xfId="5482" xr:uid="{00000000-0005-0000-0000-00006A150000}"/>
    <cellStyle name="Normal 10 2 10 9 5 10" xfId="5483" xr:uid="{00000000-0005-0000-0000-00006B150000}"/>
    <cellStyle name="Normal 10 2 10 9 5 2" xfId="5484" xr:uid="{00000000-0005-0000-0000-00006C150000}"/>
    <cellStyle name="Normal 10 2 10 9 5 3" xfId="5485" xr:uid="{00000000-0005-0000-0000-00006D150000}"/>
    <cellStyle name="Normal 10 2 10 9 5 4" xfId="5486" xr:uid="{00000000-0005-0000-0000-00006E150000}"/>
    <cellStyle name="Normal 10 2 10 9 5 5" xfId="5487" xr:uid="{00000000-0005-0000-0000-00006F150000}"/>
    <cellStyle name="Normal 10 2 10 9 5 6" xfId="5488" xr:uid="{00000000-0005-0000-0000-000070150000}"/>
    <cellStyle name="Normal 10 2 10 9 5 7" xfId="5489" xr:uid="{00000000-0005-0000-0000-000071150000}"/>
    <cellStyle name="Normal 10 2 10 9 5 8" xfId="5490" xr:uid="{00000000-0005-0000-0000-000072150000}"/>
    <cellStyle name="Normal 10 2 10 9 5 9" xfId="5491" xr:uid="{00000000-0005-0000-0000-000073150000}"/>
    <cellStyle name="Normal 10 2 10 9 6" xfId="5492" xr:uid="{00000000-0005-0000-0000-000074150000}"/>
    <cellStyle name="Normal 10 2 10 9 7" xfId="5493" xr:uid="{00000000-0005-0000-0000-000075150000}"/>
    <cellStyle name="Normal 10 2 10 9 8" xfId="5494" xr:uid="{00000000-0005-0000-0000-000076150000}"/>
    <cellStyle name="Normal 10 2 10 9 9" xfId="5495" xr:uid="{00000000-0005-0000-0000-000077150000}"/>
    <cellStyle name="Normal 10 2 11" xfId="5496" xr:uid="{00000000-0005-0000-0000-000078150000}"/>
    <cellStyle name="Normal 10 2 12" xfId="5497" xr:uid="{00000000-0005-0000-0000-000079150000}"/>
    <cellStyle name="Normal 10 2 13" xfId="5498" xr:uid="{00000000-0005-0000-0000-00007A150000}"/>
    <cellStyle name="Normal 10 2 14" xfId="5499" xr:uid="{00000000-0005-0000-0000-00007B150000}"/>
    <cellStyle name="Normal 10 2 15" xfId="5500" xr:uid="{00000000-0005-0000-0000-00007C150000}"/>
    <cellStyle name="Normal 10 2 16" xfId="5501" xr:uid="{00000000-0005-0000-0000-00007D150000}"/>
    <cellStyle name="Normal 10 2 17" xfId="5502" xr:uid="{00000000-0005-0000-0000-00007E150000}"/>
    <cellStyle name="Normal 10 2 18" xfId="5503" xr:uid="{00000000-0005-0000-0000-00007F150000}"/>
    <cellStyle name="Normal 10 2 19" xfId="5504" xr:uid="{00000000-0005-0000-0000-000080150000}"/>
    <cellStyle name="Normal 10 2 2" xfId="5505" xr:uid="{00000000-0005-0000-0000-000081150000}"/>
    <cellStyle name="Normal 10 2 2 2" xfId="5506" xr:uid="{00000000-0005-0000-0000-000082150000}"/>
    <cellStyle name="Normal 10 2 2 2 2" xfId="5507" xr:uid="{00000000-0005-0000-0000-000083150000}"/>
    <cellStyle name="Normal 10 2 20" xfId="5508" xr:uid="{00000000-0005-0000-0000-000084150000}"/>
    <cellStyle name="Normal 10 2 21" xfId="5509" xr:uid="{00000000-0005-0000-0000-000085150000}"/>
    <cellStyle name="Normal 10 2 22" xfId="5510" xr:uid="{00000000-0005-0000-0000-000086150000}"/>
    <cellStyle name="Normal 10 2 23" xfId="5511" xr:uid="{00000000-0005-0000-0000-000087150000}"/>
    <cellStyle name="Normal 10 2 24" xfId="5512" xr:uid="{00000000-0005-0000-0000-000088150000}"/>
    <cellStyle name="Normal 10 2 25" xfId="5513" xr:uid="{00000000-0005-0000-0000-000089150000}"/>
    <cellStyle name="Normal 10 2 26" xfId="5514" xr:uid="{00000000-0005-0000-0000-00008A150000}"/>
    <cellStyle name="Normal 10 2 27" xfId="5515" xr:uid="{00000000-0005-0000-0000-00008B150000}"/>
    <cellStyle name="Normal 10 2 28" xfId="5516" xr:uid="{00000000-0005-0000-0000-00008C150000}"/>
    <cellStyle name="Normal 10 2 29" xfId="5517" xr:uid="{00000000-0005-0000-0000-00008D150000}"/>
    <cellStyle name="Normal 10 2 3" xfId="5518" xr:uid="{00000000-0005-0000-0000-00008E150000}"/>
    <cellStyle name="Normal 10 2 30" xfId="5519" xr:uid="{00000000-0005-0000-0000-00008F150000}"/>
    <cellStyle name="Normal 10 2 31" xfId="5520" xr:uid="{00000000-0005-0000-0000-000090150000}"/>
    <cellStyle name="Normal 10 2 32" xfId="5521" xr:uid="{00000000-0005-0000-0000-000091150000}"/>
    <cellStyle name="Normal 10 2 33" xfId="5522" xr:uid="{00000000-0005-0000-0000-000092150000}"/>
    <cellStyle name="Normal 10 2 34" xfId="5523" xr:uid="{00000000-0005-0000-0000-000093150000}"/>
    <cellStyle name="Normal 10 2 35" xfId="5524" xr:uid="{00000000-0005-0000-0000-000094150000}"/>
    <cellStyle name="Normal 10 2 36" xfId="5525" xr:uid="{00000000-0005-0000-0000-000095150000}"/>
    <cellStyle name="Normal 10 2 37" xfId="5526" xr:uid="{00000000-0005-0000-0000-000096150000}"/>
    <cellStyle name="Normal 10 2 38" xfId="5527" xr:uid="{00000000-0005-0000-0000-000097150000}"/>
    <cellStyle name="Normal 10 2 39" xfId="5528" xr:uid="{00000000-0005-0000-0000-000098150000}"/>
    <cellStyle name="Normal 10 2 4" xfId="5529" xr:uid="{00000000-0005-0000-0000-000099150000}"/>
    <cellStyle name="Normal 10 2 40" xfId="5530" xr:uid="{00000000-0005-0000-0000-00009A150000}"/>
    <cellStyle name="Normal 10 2 41" xfId="5531" xr:uid="{00000000-0005-0000-0000-00009B150000}"/>
    <cellStyle name="Normal 10 2 42" xfId="5532" xr:uid="{00000000-0005-0000-0000-00009C150000}"/>
    <cellStyle name="Normal 10 2 43" xfId="5533" xr:uid="{00000000-0005-0000-0000-00009D150000}"/>
    <cellStyle name="Normal 10 2 44" xfId="5534" xr:uid="{00000000-0005-0000-0000-00009E150000}"/>
    <cellStyle name="Normal 10 2 45" xfId="5535" xr:uid="{00000000-0005-0000-0000-00009F150000}"/>
    <cellStyle name="Normal 10 2 46" xfId="5536" xr:uid="{00000000-0005-0000-0000-0000A0150000}"/>
    <cellStyle name="Normal 10 2 47" xfId="5537" xr:uid="{00000000-0005-0000-0000-0000A1150000}"/>
    <cellStyle name="Normal 10 2 48" xfId="5538" xr:uid="{00000000-0005-0000-0000-0000A2150000}"/>
    <cellStyle name="Normal 10 2 49" xfId="5539" xr:uid="{00000000-0005-0000-0000-0000A3150000}"/>
    <cellStyle name="Normal 10 2 5" xfId="5540" xr:uid="{00000000-0005-0000-0000-0000A4150000}"/>
    <cellStyle name="Normal 10 2 50" xfId="5541" xr:uid="{00000000-0005-0000-0000-0000A5150000}"/>
    <cellStyle name="Normal 10 2 51" xfId="5542" xr:uid="{00000000-0005-0000-0000-0000A6150000}"/>
    <cellStyle name="Normal 10 2 52" xfId="5543" xr:uid="{00000000-0005-0000-0000-0000A7150000}"/>
    <cellStyle name="Normal 10 2 53" xfId="5544" xr:uid="{00000000-0005-0000-0000-0000A8150000}"/>
    <cellStyle name="Normal 10 2 54" xfId="5545" xr:uid="{00000000-0005-0000-0000-0000A9150000}"/>
    <cellStyle name="Normal 10 2 55" xfId="5546" xr:uid="{00000000-0005-0000-0000-0000AA150000}"/>
    <cellStyle name="Normal 10 2 56" xfId="5547" xr:uid="{00000000-0005-0000-0000-0000AB150000}"/>
    <cellStyle name="Normal 10 2 57" xfId="5548" xr:uid="{00000000-0005-0000-0000-0000AC150000}"/>
    <cellStyle name="Normal 10 2 58" xfId="5549" xr:uid="{00000000-0005-0000-0000-0000AD150000}"/>
    <cellStyle name="Normal 10 2 59" xfId="5550" xr:uid="{00000000-0005-0000-0000-0000AE150000}"/>
    <cellStyle name="Normal 10 2 6" xfId="5551" xr:uid="{00000000-0005-0000-0000-0000AF150000}"/>
    <cellStyle name="Normal 10 2 60" xfId="5552" xr:uid="{00000000-0005-0000-0000-0000B0150000}"/>
    <cellStyle name="Normal 10 2 61" xfId="5553" xr:uid="{00000000-0005-0000-0000-0000B1150000}"/>
    <cellStyle name="Normal 10 2 62" xfId="5554" xr:uid="{00000000-0005-0000-0000-0000B2150000}"/>
    <cellStyle name="Normal 10 2 63" xfId="5555" xr:uid="{00000000-0005-0000-0000-0000B3150000}"/>
    <cellStyle name="Normal 10 2 64" xfId="5556" xr:uid="{00000000-0005-0000-0000-0000B4150000}"/>
    <cellStyle name="Normal 10 2 65" xfId="5557" xr:uid="{00000000-0005-0000-0000-0000B5150000}"/>
    <cellStyle name="Normal 10 2 66" xfId="5558" xr:uid="{00000000-0005-0000-0000-0000B6150000}"/>
    <cellStyle name="Normal 10 2 67" xfId="5559" xr:uid="{00000000-0005-0000-0000-0000B7150000}"/>
    <cellStyle name="Normal 10 2 68" xfId="5560" xr:uid="{00000000-0005-0000-0000-0000B8150000}"/>
    <cellStyle name="Normal 10 2 69" xfId="5561" xr:uid="{00000000-0005-0000-0000-0000B9150000}"/>
    <cellStyle name="Normal 10 2 7" xfId="5562" xr:uid="{00000000-0005-0000-0000-0000BA150000}"/>
    <cellStyle name="Normal 10 2 70" xfId="5563" xr:uid="{00000000-0005-0000-0000-0000BB150000}"/>
    <cellStyle name="Normal 10 2 71" xfId="5564" xr:uid="{00000000-0005-0000-0000-0000BC150000}"/>
    <cellStyle name="Normal 10 2 72" xfId="5565" xr:uid="{00000000-0005-0000-0000-0000BD150000}"/>
    <cellStyle name="Normal 10 2 73" xfId="5566" xr:uid="{00000000-0005-0000-0000-0000BE150000}"/>
    <cellStyle name="Normal 10 2 74" xfId="5567" xr:uid="{00000000-0005-0000-0000-0000BF150000}"/>
    <cellStyle name="Normal 10 2 75" xfId="5568" xr:uid="{00000000-0005-0000-0000-0000C0150000}"/>
    <cellStyle name="Normal 10 2 76" xfId="5569" xr:uid="{00000000-0005-0000-0000-0000C1150000}"/>
    <cellStyle name="Normal 10 2 77" xfId="5570" xr:uid="{00000000-0005-0000-0000-0000C2150000}"/>
    <cellStyle name="Normal 10 2 78" xfId="5571" xr:uid="{00000000-0005-0000-0000-0000C3150000}"/>
    <cellStyle name="Normal 10 2 79" xfId="5572" xr:uid="{00000000-0005-0000-0000-0000C4150000}"/>
    <cellStyle name="Normal 10 2 8" xfId="5573" xr:uid="{00000000-0005-0000-0000-0000C5150000}"/>
    <cellStyle name="Normal 10 2 9" xfId="5574" xr:uid="{00000000-0005-0000-0000-0000C6150000}"/>
    <cellStyle name="Normal 10 2_Enlaces" xfId="5575" xr:uid="{00000000-0005-0000-0000-0000C7150000}"/>
    <cellStyle name="Normal 10 20" xfId="5576" xr:uid="{00000000-0005-0000-0000-0000C8150000}"/>
    <cellStyle name="Normal 10 21" xfId="5577" xr:uid="{00000000-0005-0000-0000-0000C9150000}"/>
    <cellStyle name="Normal 10 22" xfId="5578" xr:uid="{00000000-0005-0000-0000-0000CA150000}"/>
    <cellStyle name="Normal 10 23" xfId="5579" xr:uid="{00000000-0005-0000-0000-0000CB150000}"/>
    <cellStyle name="Normal 10 24" xfId="5580" xr:uid="{00000000-0005-0000-0000-0000CC150000}"/>
    <cellStyle name="Normal 10 25" xfId="5581" xr:uid="{00000000-0005-0000-0000-0000CD150000}"/>
    <cellStyle name="Normal 10 26" xfId="5582" xr:uid="{00000000-0005-0000-0000-0000CE150000}"/>
    <cellStyle name="Normal 10 27" xfId="5583" xr:uid="{00000000-0005-0000-0000-0000CF150000}"/>
    <cellStyle name="Normal 10 28" xfId="5584" xr:uid="{00000000-0005-0000-0000-0000D0150000}"/>
    <cellStyle name="Normal 10 29" xfId="5585" xr:uid="{00000000-0005-0000-0000-0000D1150000}"/>
    <cellStyle name="Normal 10 3" xfId="5586" xr:uid="{00000000-0005-0000-0000-0000D2150000}"/>
    <cellStyle name="Normal 10 3 2" xfId="5587" xr:uid="{00000000-0005-0000-0000-0000D3150000}"/>
    <cellStyle name="Normal 10 3 3" xfId="5588" xr:uid="{00000000-0005-0000-0000-0000D4150000}"/>
    <cellStyle name="Normal 10 3 4" xfId="5589" xr:uid="{00000000-0005-0000-0000-0000D5150000}"/>
    <cellStyle name="Normal 10 3 4 2" xfId="5590" xr:uid="{00000000-0005-0000-0000-0000D6150000}"/>
    <cellStyle name="Normal 10 3 4 2 2" xfId="5591" xr:uid="{00000000-0005-0000-0000-0000D7150000}"/>
    <cellStyle name="Normal 10 3 4 3" xfId="5592" xr:uid="{00000000-0005-0000-0000-0000D8150000}"/>
    <cellStyle name="Normal 10 3 5" xfId="5593" xr:uid="{00000000-0005-0000-0000-0000D9150000}"/>
    <cellStyle name="Normal 10 3 6" xfId="5594" xr:uid="{00000000-0005-0000-0000-0000DA150000}"/>
    <cellStyle name="Normal 10 3 7" xfId="5595" xr:uid="{00000000-0005-0000-0000-0000DB150000}"/>
    <cellStyle name="Normal 10 3 7 2" xfId="5596" xr:uid="{00000000-0005-0000-0000-0000DC150000}"/>
    <cellStyle name="Normal 10 3 8" xfId="5597" xr:uid="{00000000-0005-0000-0000-0000DD150000}"/>
    <cellStyle name="Normal 10 3 9" xfId="5598" xr:uid="{00000000-0005-0000-0000-0000DE150000}"/>
    <cellStyle name="Normal 10 3_Implem" xfId="5599" xr:uid="{00000000-0005-0000-0000-0000DF150000}"/>
    <cellStyle name="Normal 10 30" xfId="5600" xr:uid="{00000000-0005-0000-0000-0000E0150000}"/>
    <cellStyle name="Normal 10 31" xfId="5601" xr:uid="{00000000-0005-0000-0000-0000E1150000}"/>
    <cellStyle name="Normal 10 4" xfId="5602" xr:uid="{00000000-0005-0000-0000-0000E2150000}"/>
    <cellStyle name="Normal 10 5" xfId="5603" xr:uid="{00000000-0005-0000-0000-0000E3150000}"/>
    <cellStyle name="Normal 10 6" xfId="5604" xr:uid="{00000000-0005-0000-0000-0000E4150000}"/>
    <cellStyle name="Normal 10 7" xfId="5605" xr:uid="{00000000-0005-0000-0000-0000E5150000}"/>
    <cellStyle name="Normal 10 8" xfId="5606" xr:uid="{00000000-0005-0000-0000-0000E6150000}"/>
    <cellStyle name="Normal 10 9" xfId="5607" xr:uid="{00000000-0005-0000-0000-0000E7150000}"/>
    <cellStyle name="Normal 100" xfId="5608" xr:uid="{00000000-0005-0000-0000-0000E8150000}"/>
    <cellStyle name="Normal 100 2" xfId="5609" xr:uid="{00000000-0005-0000-0000-0000E9150000}"/>
    <cellStyle name="Normal 100 3" xfId="5610" xr:uid="{00000000-0005-0000-0000-0000EA150000}"/>
    <cellStyle name="Normal 101" xfId="5611" xr:uid="{00000000-0005-0000-0000-0000EB150000}"/>
    <cellStyle name="Normal 101 2" xfId="5612" xr:uid="{00000000-0005-0000-0000-0000EC150000}"/>
    <cellStyle name="Normal 101 3" xfId="5613" xr:uid="{00000000-0005-0000-0000-0000ED150000}"/>
    <cellStyle name="Normal 102" xfId="5614" xr:uid="{00000000-0005-0000-0000-0000EE150000}"/>
    <cellStyle name="Normal 102 2" xfId="5615" xr:uid="{00000000-0005-0000-0000-0000EF150000}"/>
    <cellStyle name="Normal 102 3" xfId="5616" xr:uid="{00000000-0005-0000-0000-0000F0150000}"/>
    <cellStyle name="Normal 103" xfId="5617" xr:uid="{00000000-0005-0000-0000-0000F1150000}"/>
    <cellStyle name="Normal 103 2" xfId="5618" xr:uid="{00000000-0005-0000-0000-0000F2150000}"/>
    <cellStyle name="Normal 104" xfId="5619" xr:uid="{00000000-0005-0000-0000-0000F3150000}"/>
    <cellStyle name="Normal 104 2" xfId="5620" xr:uid="{00000000-0005-0000-0000-0000F4150000}"/>
    <cellStyle name="Normal 105" xfId="5621" xr:uid="{00000000-0005-0000-0000-0000F5150000}"/>
    <cellStyle name="Normal 105 2" xfId="5622" xr:uid="{00000000-0005-0000-0000-0000F6150000}"/>
    <cellStyle name="Normal 106" xfId="5623" xr:uid="{00000000-0005-0000-0000-0000F7150000}"/>
    <cellStyle name="Normal 106 2" xfId="5624" xr:uid="{00000000-0005-0000-0000-0000F8150000}"/>
    <cellStyle name="Normal 107" xfId="5625" xr:uid="{00000000-0005-0000-0000-0000F9150000}"/>
    <cellStyle name="Normal 107 2" xfId="5626" xr:uid="{00000000-0005-0000-0000-0000FA150000}"/>
    <cellStyle name="Normal 108" xfId="5627" xr:uid="{00000000-0005-0000-0000-0000FB150000}"/>
    <cellStyle name="Normal 108 2" xfId="5628" xr:uid="{00000000-0005-0000-0000-0000FC150000}"/>
    <cellStyle name="Normal 109" xfId="5629" xr:uid="{00000000-0005-0000-0000-0000FD150000}"/>
    <cellStyle name="Normal 109 2" xfId="5630" xr:uid="{00000000-0005-0000-0000-0000FE150000}"/>
    <cellStyle name="Normal 11" xfId="5631" xr:uid="{00000000-0005-0000-0000-0000FF150000}"/>
    <cellStyle name="Normal 11 10" xfId="5632" xr:uid="{00000000-0005-0000-0000-000000160000}"/>
    <cellStyle name="Normal 11 11" xfId="5633" xr:uid="{00000000-0005-0000-0000-000001160000}"/>
    <cellStyle name="Normal 11 12" xfId="5634" xr:uid="{00000000-0005-0000-0000-000002160000}"/>
    <cellStyle name="Normal 11 13" xfId="5635" xr:uid="{00000000-0005-0000-0000-000003160000}"/>
    <cellStyle name="Normal 11 14" xfId="5636" xr:uid="{00000000-0005-0000-0000-000004160000}"/>
    <cellStyle name="Normal 11 15" xfId="5637" xr:uid="{00000000-0005-0000-0000-000005160000}"/>
    <cellStyle name="Normal 11 16" xfId="5638" xr:uid="{00000000-0005-0000-0000-000006160000}"/>
    <cellStyle name="Normal 11 17" xfId="5639" xr:uid="{00000000-0005-0000-0000-000007160000}"/>
    <cellStyle name="Normal 11 18" xfId="5640" xr:uid="{00000000-0005-0000-0000-000008160000}"/>
    <cellStyle name="Normal 11 19" xfId="5641" xr:uid="{00000000-0005-0000-0000-000009160000}"/>
    <cellStyle name="Normal 11 2" xfId="5642" xr:uid="{00000000-0005-0000-0000-00000A160000}"/>
    <cellStyle name="Normal 11 2 2" xfId="5643" xr:uid="{00000000-0005-0000-0000-00000B160000}"/>
    <cellStyle name="Normal 11 2 3" xfId="5644" xr:uid="{00000000-0005-0000-0000-00000C160000}"/>
    <cellStyle name="Normal 11 20" xfId="5645" xr:uid="{00000000-0005-0000-0000-00000D160000}"/>
    <cellStyle name="Normal 11 21" xfId="5646" xr:uid="{00000000-0005-0000-0000-00000E160000}"/>
    <cellStyle name="Normal 11 22" xfId="5647" xr:uid="{00000000-0005-0000-0000-00000F160000}"/>
    <cellStyle name="Normal 11 23" xfId="5648" xr:uid="{00000000-0005-0000-0000-000010160000}"/>
    <cellStyle name="Normal 11 24" xfId="5649" xr:uid="{00000000-0005-0000-0000-000011160000}"/>
    <cellStyle name="Normal 11 25" xfId="5650" xr:uid="{00000000-0005-0000-0000-000012160000}"/>
    <cellStyle name="Normal 11 3" xfId="5651" xr:uid="{00000000-0005-0000-0000-000013160000}"/>
    <cellStyle name="Normal 11 3 2" xfId="5652" xr:uid="{00000000-0005-0000-0000-000014160000}"/>
    <cellStyle name="Normal 11 3 3" xfId="5653" xr:uid="{00000000-0005-0000-0000-000015160000}"/>
    <cellStyle name="Normal 11 4" xfId="5654" xr:uid="{00000000-0005-0000-0000-000016160000}"/>
    <cellStyle name="Normal 11 5" xfId="5655" xr:uid="{00000000-0005-0000-0000-000017160000}"/>
    <cellStyle name="Normal 11 6" xfId="5656" xr:uid="{00000000-0005-0000-0000-000018160000}"/>
    <cellStyle name="Normal 11 7" xfId="5657" xr:uid="{00000000-0005-0000-0000-000019160000}"/>
    <cellStyle name="Normal 11 8" xfId="5658" xr:uid="{00000000-0005-0000-0000-00001A160000}"/>
    <cellStyle name="Normal 11 9" xfId="5659" xr:uid="{00000000-0005-0000-0000-00001B160000}"/>
    <cellStyle name="Normal 110" xfId="5660" xr:uid="{00000000-0005-0000-0000-00001C160000}"/>
    <cellStyle name="Normal 110 2" xfId="5661" xr:uid="{00000000-0005-0000-0000-00001D160000}"/>
    <cellStyle name="Normal 111" xfId="5662" xr:uid="{00000000-0005-0000-0000-00001E160000}"/>
    <cellStyle name="Normal 111 2" xfId="5663" xr:uid="{00000000-0005-0000-0000-00001F160000}"/>
    <cellStyle name="Normal 112" xfId="5664" xr:uid="{00000000-0005-0000-0000-000020160000}"/>
    <cellStyle name="Normal 112 2" xfId="5665" xr:uid="{00000000-0005-0000-0000-000021160000}"/>
    <cellStyle name="Normal 113" xfId="5666" xr:uid="{00000000-0005-0000-0000-000022160000}"/>
    <cellStyle name="Normal 113 2" xfId="5667" xr:uid="{00000000-0005-0000-0000-000023160000}"/>
    <cellStyle name="Normal 114" xfId="5668" xr:uid="{00000000-0005-0000-0000-000024160000}"/>
    <cellStyle name="Normal 114 2" xfId="5669" xr:uid="{00000000-0005-0000-0000-000025160000}"/>
    <cellStyle name="Normal 115" xfId="5670" xr:uid="{00000000-0005-0000-0000-000026160000}"/>
    <cellStyle name="Normal 115 2" xfId="5671" xr:uid="{00000000-0005-0000-0000-000027160000}"/>
    <cellStyle name="Normal 116" xfId="5672" xr:uid="{00000000-0005-0000-0000-000028160000}"/>
    <cellStyle name="Normal 116 2" xfId="5673" xr:uid="{00000000-0005-0000-0000-000029160000}"/>
    <cellStyle name="Normal 117" xfId="5674" xr:uid="{00000000-0005-0000-0000-00002A160000}"/>
    <cellStyle name="Normal 117 2" xfId="5675" xr:uid="{00000000-0005-0000-0000-00002B160000}"/>
    <cellStyle name="Normal 118" xfId="5676" xr:uid="{00000000-0005-0000-0000-00002C160000}"/>
    <cellStyle name="Normal 118 2" xfId="5677" xr:uid="{00000000-0005-0000-0000-00002D160000}"/>
    <cellStyle name="Normal 119" xfId="5678" xr:uid="{00000000-0005-0000-0000-00002E160000}"/>
    <cellStyle name="Normal 119 2" xfId="5679" xr:uid="{00000000-0005-0000-0000-00002F160000}"/>
    <cellStyle name="Normal 12" xfId="5680" xr:uid="{00000000-0005-0000-0000-000030160000}"/>
    <cellStyle name="Normal 12 10" xfId="5681" xr:uid="{00000000-0005-0000-0000-000031160000}"/>
    <cellStyle name="Normal 12 11" xfId="5682" xr:uid="{00000000-0005-0000-0000-000032160000}"/>
    <cellStyle name="Normal 12 12" xfId="5683" xr:uid="{00000000-0005-0000-0000-000033160000}"/>
    <cellStyle name="Normal 12 13" xfId="5684" xr:uid="{00000000-0005-0000-0000-000034160000}"/>
    <cellStyle name="Normal 12 14" xfId="5685" xr:uid="{00000000-0005-0000-0000-000035160000}"/>
    <cellStyle name="Normal 12 15" xfId="5686" xr:uid="{00000000-0005-0000-0000-000036160000}"/>
    <cellStyle name="Normal 12 16" xfId="5687" xr:uid="{00000000-0005-0000-0000-000037160000}"/>
    <cellStyle name="Normal 12 17" xfId="5688" xr:uid="{00000000-0005-0000-0000-000038160000}"/>
    <cellStyle name="Normal 12 18" xfId="5689" xr:uid="{00000000-0005-0000-0000-000039160000}"/>
    <cellStyle name="Normal 12 19" xfId="5690" xr:uid="{00000000-0005-0000-0000-00003A160000}"/>
    <cellStyle name="Normal 12 2" xfId="5691" xr:uid="{00000000-0005-0000-0000-00003B160000}"/>
    <cellStyle name="Normal 12 2 2" xfId="5692" xr:uid="{00000000-0005-0000-0000-00003C160000}"/>
    <cellStyle name="Normal 12 2 3" xfId="5693" xr:uid="{00000000-0005-0000-0000-00003D160000}"/>
    <cellStyle name="Normal 12 20" xfId="5694" xr:uid="{00000000-0005-0000-0000-00003E160000}"/>
    <cellStyle name="Normal 12 21" xfId="5695" xr:uid="{00000000-0005-0000-0000-00003F160000}"/>
    <cellStyle name="Normal 12 22" xfId="5696" xr:uid="{00000000-0005-0000-0000-000040160000}"/>
    <cellStyle name="Normal 12 23" xfId="5697" xr:uid="{00000000-0005-0000-0000-000041160000}"/>
    <cellStyle name="Normal 12 24" xfId="5698" xr:uid="{00000000-0005-0000-0000-000042160000}"/>
    <cellStyle name="Normal 12 25" xfId="5699" xr:uid="{00000000-0005-0000-0000-000043160000}"/>
    <cellStyle name="Normal 12 3" xfId="5700" xr:uid="{00000000-0005-0000-0000-000044160000}"/>
    <cellStyle name="Normal 12 3 2" xfId="5701" xr:uid="{00000000-0005-0000-0000-000045160000}"/>
    <cellStyle name="Normal 12 3 3" xfId="5702" xr:uid="{00000000-0005-0000-0000-000046160000}"/>
    <cellStyle name="Normal 12 4" xfId="5703" xr:uid="{00000000-0005-0000-0000-000047160000}"/>
    <cellStyle name="Normal 12 5" xfId="5704" xr:uid="{00000000-0005-0000-0000-000048160000}"/>
    <cellStyle name="Normal 12 6" xfId="5705" xr:uid="{00000000-0005-0000-0000-000049160000}"/>
    <cellStyle name="Normal 12 7" xfId="5706" xr:uid="{00000000-0005-0000-0000-00004A160000}"/>
    <cellStyle name="Normal 12 8" xfId="5707" xr:uid="{00000000-0005-0000-0000-00004B160000}"/>
    <cellStyle name="Normal 12 9" xfId="5708" xr:uid="{00000000-0005-0000-0000-00004C160000}"/>
    <cellStyle name="Normal 120" xfId="5709" xr:uid="{00000000-0005-0000-0000-00004D160000}"/>
    <cellStyle name="Normal 120 2" xfId="5710" xr:uid="{00000000-0005-0000-0000-00004E160000}"/>
    <cellStyle name="Normal 121" xfId="5711" xr:uid="{00000000-0005-0000-0000-00004F160000}"/>
    <cellStyle name="Normal 121 2" xfId="5712" xr:uid="{00000000-0005-0000-0000-000050160000}"/>
    <cellStyle name="Normal 122" xfId="5713" xr:uid="{00000000-0005-0000-0000-000051160000}"/>
    <cellStyle name="Normal 122 2" xfId="5714" xr:uid="{00000000-0005-0000-0000-000052160000}"/>
    <cellStyle name="Normal 123" xfId="5715" xr:uid="{00000000-0005-0000-0000-000053160000}"/>
    <cellStyle name="Normal 123 2" xfId="5716" xr:uid="{00000000-0005-0000-0000-000054160000}"/>
    <cellStyle name="Normal 124" xfId="5717" xr:uid="{00000000-0005-0000-0000-000055160000}"/>
    <cellStyle name="Normal 124 2" xfId="5718" xr:uid="{00000000-0005-0000-0000-000056160000}"/>
    <cellStyle name="Normal 125" xfId="5719" xr:uid="{00000000-0005-0000-0000-000057160000}"/>
    <cellStyle name="Normal 125 2" xfId="5720" xr:uid="{00000000-0005-0000-0000-000058160000}"/>
    <cellStyle name="Normal 126" xfId="5721" xr:uid="{00000000-0005-0000-0000-000059160000}"/>
    <cellStyle name="Normal 126 2" xfId="5722" xr:uid="{00000000-0005-0000-0000-00005A160000}"/>
    <cellStyle name="Normal 127" xfId="5723" xr:uid="{00000000-0005-0000-0000-00005B160000}"/>
    <cellStyle name="Normal 127 2" xfId="5724" xr:uid="{00000000-0005-0000-0000-00005C160000}"/>
    <cellStyle name="Normal 128" xfId="5725" xr:uid="{00000000-0005-0000-0000-00005D160000}"/>
    <cellStyle name="Normal 128 2" xfId="5726" xr:uid="{00000000-0005-0000-0000-00005E160000}"/>
    <cellStyle name="Normal 129" xfId="5727" xr:uid="{00000000-0005-0000-0000-00005F160000}"/>
    <cellStyle name="Normal 129 2" xfId="5728" xr:uid="{00000000-0005-0000-0000-000060160000}"/>
    <cellStyle name="Normal 13" xfId="5729" xr:uid="{00000000-0005-0000-0000-000061160000}"/>
    <cellStyle name="Normal 13 10" xfId="5730" xr:uid="{00000000-0005-0000-0000-000062160000}"/>
    <cellStyle name="Normal 13 11" xfId="5731" xr:uid="{00000000-0005-0000-0000-000063160000}"/>
    <cellStyle name="Normal 13 12" xfId="5732" xr:uid="{00000000-0005-0000-0000-000064160000}"/>
    <cellStyle name="Normal 13 13" xfId="5733" xr:uid="{00000000-0005-0000-0000-000065160000}"/>
    <cellStyle name="Normal 13 14" xfId="5734" xr:uid="{00000000-0005-0000-0000-000066160000}"/>
    <cellStyle name="Normal 13 15" xfId="5735" xr:uid="{00000000-0005-0000-0000-000067160000}"/>
    <cellStyle name="Normal 13 16" xfId="5736" xr:uid="{00000000-0005-0000-0000-000068160000}"/>
    <cellStyle name="Normal 13 17" xfId="5737" xr:uid="{00000000-0005-0000-0000-000069160000}"/>
    <cellStyle name="Normal 13 18" xfId="5738" xr:uid="{00000000-0005-0000-0000-00006A160000}"/>
    <cellStyle name="Normal 13 19" xfId="5739" xr:uid="{00000000-0005-0000-0000-00006B160000}"/>
    <cellStyle name="Normal 13 2" xfId="5740" xr:uid="{00000000-0005-0000-0000-00006C160000}"/>
    <cellStyle name="Normal 13 2 2" xfId="5741" xr:uid="{00000000-0005-0000-0000-00006D160000}"/>
    <cellStyle name="Normal 13 2 3" xfId="5742" xr:uid="{00000000-0005-0000-0000-00006E160000}"/>
    <cellStyle name="Normal 13 20" xfId="5743" xr:uid="{00000000-0005-0000-0000-00006F160000}"/>
    <cellStyle name="Normal 13 21" xfId="5744" xr:uid="{00000000-0005-0000-0000-000070160000}"/>
    <cellStyle name="Normal 13 22" xfId="5745" xr:uid="{00000000-0005-0000-0000-000071160000}"/>
    <cellStyle name="Normal 13 23" xfId="5746" xr:uid="{00000000-0005-0000-0000-000072160000}"/>
    <cellStyle name="Normal 13 24" xfId="5747" xr:uid="{00000000-0005-0000-0000-000073160000}"/>
    <cellStyle name="Normal 13 25" xfId="5748" xr:uid="{00000000-0005-0000-0000-000074160000}"/>
    <cellStyle name="Normal 13 26" xfId="5749" xr:uid="{00000000-0005-0000-0000-000075160000}"/>
    <cellStyle name="Normal 13 3" xfId="5750" xr:uid="{00000000-0005-0000-0000-000076160000}"/>
    <cellStyle name="Normal 13 3 2" xfId="5751" xr:uid="{00000000-0005-0000-0000-000077160000}"/>
    <cellStyle name="Normal 13 3 3" xfId="5752" xr:uid="{00000000-0005-0000-0000-000078160000}"/>
    <cellStyle name="Normal 13 4" xfId="5753" xr:uid="{00000000-0005-0000-0000-000079160000}"/>
    <cellStyle name="Normal 13 5" xfId="5754" xr:uid="{00000000-0005-0000-0000-00007A160000}"/>
    <cellStyle name="Normal 13 6" xfId="5755" xr:uid="{00000000-0005-0000-0000-00007B160000}"/>
    <cellStyle name="Normal 13 7" xfId="5756" xr:uid="{00000000-0005-0000-0000-00007C160000}"/>
    <cellStyle name="Normal 13 8" xfId="5757" xr:uid="{00000000-0005-0000-0000-00007D160000}"/>
    <cellStyle name="Normal 13 9" xfId="5758" xr:uid="{00000000-0005-0000-0000-00007E160000}"/>
    <cellStyle name="Normal 130" xfId="5759" xr:uid="{00000000-0005-0000-0000-00007F160000}"/>
    <cellStyle name="Normal 130 2" xfId="5760" xr:uid="{00000000-0005-0000-0000-000080160000}"/>
    <cellStyle name="Normal 131" xfId="5761" xr:uid="{00000000-0005-0000-0000-000081160000}"/>
    <cellStyle name="Normal 131 2" xfId="5762" xr:uid="{00000000-0005-0000-0000-000082160000}"/>
    <cellStyle name="Normal 132" xfId="5763" xr:uid="{00000000-0005-0000-0000-000083160000}"/>
    <cellStyle name="Normal 132 2" xfId="5764" xr:uid="{00000000-0005-0000-0000-000084160000}"/>
    <cellStyle name="Normal 133" xfId="5765" xr:uid="{00000000-0005-0000-0000-000085160000}"/>
    <cellStyle name="Normal 133 2" xfId="5766" xr:uid="{00000000-0005-0000-0000-000086160000}"/>
    <cellStyle name="Normal 134" xfId="5767" xr:uid="{00000000-0005-0000-0000-000087160000}"/>
    <cellStyle name="Normal 134 2" xfId="5768" xr:uid="{00000000-0005-0000-0000-000088160000}"/>
    <cellStyle name="Normal 135" xfId="5769" xr:uid="{00000000-0005-0000-0000-000089160000}"/>
    <cellStyle name="Normal 135 2" xfId="5770" xr:uid="{00000000-0005-0000-0000-00008A160000}"/>
    <cellStyle name="Normal 136" xfId="5771" xr:uid="{00000000-0005-0000-0000-00008B160000}"/>
    <cellStyle name="Normal 136 2" xfId="5772" xr:uid="{00000000-0005-0000-0000-00008C160000}"/>
    <cellStyle name="Normal 137" xfId="5773" xr:uid="{00000000-0005-0000-0000-00008D160000}"/>
    <cellStyle name="Normal 137 2" xfId="5774" xr:uid="{00000000-0005-0000-0000-00008E160000}"/>
    <cellStyle name="Normal 138" xfId="5775" xr:uid="{00000000-0005-0000-0000-00008F160000}"/>
    <cellStyle name="Normal 138 2" xfId="5776" xr:uid="{00000000-0005-0000-0000-000090160000}"/>
    <cellStyle name="Normal 139" xfId="5777" xr:uid="{00000000-0005-0000-0000-000091160000}"/>
    <cellStyle name="Normal 139 2" xfId="5778" xr:uid="{00000000-0005-0000-0000-000092160000}"/>
    <cellStyle name="Normal 14" xfId="5779" xr:uid="{00000000-0005-0000-0000-000093160000}"/>
    <cellStyle name="Normal 14 2" xfId="5780" xr:uid="{00000000-0005-0000-0000-000094160000}"/>
    <cellStyle name="Normal 14 3" xfId="5781" xr:uid="{00000000-0005-0000-0000-000095160000}"/>
    <cellStyle name="Normal 14 3 2" xfId="5782" xr:uid="{00000000-0005-0000-0000-000096160000}"/>
    <cellStyle name="Normal 14 4" xfId="5783" xr:uid="{00000000-0005-0000-0000-000097160000}"/>
    <cellStyle name="Normal 14 5" xfId="5784" xr:uid="{00000000-0005-0000-0000-000098160000}"/>
    <cellStyle name="Normal 140" xfId="5785" xr:uid="{00000000-0005-0000-0000-000099160000}"/>
    <cellStyle name="Normal 140 2" xfId="5786" xr:uid="{00000000-0005-0000-0000-00009A160000}"/>
    <cellStyle name="Normal 141" xfId="5787" xr:uid="{00000000-0005-0000-0000-00009B160000}"/>
    <cellStyle name="Normal 141 2" xfId="5788" xr:uid="{00000000-0005-0000-0000-00009C160000}"/>
    <cellStyle name="Normal 142" xfId="5789" xr:uid="{00000000-0005-0000-0000-00009D160000}"/>
    <cellStyle name="Normal 142 2" xfId="5790" xr:uid="{00000000-0005-0000-0000-00009E160000}"/>
    <cellStyle name="Normal 143" xfId="5791" xr:uid="{00000000-0005-0000-0000-00009F160000}"/>
    <cellStyle name="Normal 143 2" xfId="5792" xr:uid="{00000000-0005-0000-0000-0000A0160000}"/>
    <cellStyle name="Normal 144" xfId="5793" xr:uid="{00000000-0005-0000-0000-0000A1160000}"/>
    <cellStyle name="Normal 144 2" xfId="5794" xr:uid="{00000000-0005-0000-0000-0000A2160000}"/>
    <cellStyle name="Normal 145" xfId="5795" xr:uid="{00000000-0005-0000-0000-0000A3160000}"/>
    <cellStyle name="Normal 145 2" xfId="5796" xr:uid="{00000000-0005-0000-0000-0000A4160000}"/>
    <cellStyle name="Normal 146" xfId="5797" xr:uid="{00000000-0005-0000-0000-0000A5160000}"/>
    <cellStyle name="Normal 146 2" xfId="5798" xr:uid="{00000000-0005-0000-0000-0000A6160000}"/>
    <cellStyle name="Normal 147" xfId="5799" xr:uid="{00000000-0005-0000-0000-0000A7160000}"/>
    <cellStyle name="Normal 147 2" xfId="5800" xr:uid="{00000000-0005-0000-0000-0000A8160000}"/>
    <cellStyle name="Normal 148" xfId="5801" xr:uid="{00000000-0005-0000-0000-0000A9160000}"/>
    <cellStyle name="Normal 148 2" xfId="5802" xr:uid="{00000000-0005-0000-0000-0000AA160000}"/>
    <cellStyle name="Normal 149" xfId="5803" xr:uid="{00000000-0005-0000-0000-0000AB160000}"/>
    <cellStyle name="Normal 149 2" xfId="5804" xr:uid="{00000000-0005-0000-0000-0000AC160000}"/>
    <cellStyle name="Normal 15" xfId="8" xr:uid="{00000000-0005-0000-0000-000008000000}"/>
    <cellStyle name="Normal 15 10" xfId="5805" xr:uid="{00000000-0005-0000-0000-0000AD160000}"/>
    <cellStyle name="Normal 15 11" xfId="5806" xr:uid="{00000000-0005-0000-0000-0000AE160000}"/>
    <cellStyle name="Normal 15 12" xfId="5807" xr:uid="{00000000-0005-0000-0000-0000AF160000}"/>
    <cellStyle name="Normal 15 13" xfId="5808" xr:uid="{00000000-0005-0000-0000-0000B0160000}"/>
    <cellStyle name="Normal 15 14" xfId="5809" xr:uid="{00000000-0005-0000-0000-0000B1160000}"/>
    <cellStyle name="Normal 15 15" xfId="5810" xr:uid="{00000000-0005-0000-0000-0000B2160000}"/>
    <cellStyle name="Normal 15 16" xfId="5811" xr:uid="{00000000-0005-0000-0000-0000B3160000}"/>
    <cellStyle name="Normal 15 17" xfId="5812" xr:uid="{00000000-0005-0000-0000-0000B4160000}"/>
    <cellStyle name="Normal 15 18" xfId="5813" xr:uid="{00000000-0005-0000-0000-0000B5160000}"/>
    <cellStyle name="Normal 15 19" xfId="5814" xr:uid="{00000000-0005-0000-0000-0000B6160000}"/>
    <cellStyle name="Normal 15 2" xfId="5815" xr:uid="{00000000-0005-0000-0000-0000B7160000}"/>
    <cellStyle name="Normal 15 2 2" xfId="5816" xr:uid="{00000000-0005-0000-0000-0000B8160000}"/>
    <cellStyle name="Normal 15 2 3" xfId="5817" xr:uid="{00000000-0005-0000-0000-0000B9160000}"/>
    <cellStyle name="Normal 15 20" xfId="5818" xr:uid="{00000000-0005-0000-0000-0000BA160000}"/>
    <cellStyle name="Normal 15 21" xfId="5819" xr:uid="{00000000-0005-0000-0000-0000BB160000}"/>
    <cellStyle name="Normal 15 22" xfId="5820" xr:uid="{00000000-0005-0000-0000-0000BC160000}"/>
    <cellStyle name="Normal 15 23" xfId="5821" xr:uid="{00000000-0005-0000-0000-0000BD160000}"/>
    <cellStyle name="Normal 15 24" xfId="5822" xr:uid="{00000000-0005-0000-0000-0000BE160000}"/>
    <cellStyle name="Normal 15 25" xfId="5823" xr:uid="{00000000-0005-0000-0000-0000BF160000}"/>
    <cellStyle name="Normal 15 3" xfId="5824" xr:uid="{00000000-0005-0000-0000-0000C0160000}"/>
    <cellStyle name="Normal 15 3 2" xfId="5825" xr:uid="{00000000-0005-0000-0000-0000C1160000}"/>
    <cellStyle name="Normal 15 3 3" xfId="5826" xr:uid="{00000000-0005-0000-0000-0000C2160000}"/>
    <cellStyle name="Normal 15 4" xfId="5827" xr:uid="{00000000-0005-0000-0000-0000C3160000}"/>
    <cellStyle name="Normal 15 5" xfId="5828" xr:uid="{00000000-0005-0000-0000-0000C4160000}"/>
    <cellStyle name="Normal 15 6" xfId="5829" xr:uid="{00000000-0005-0000-0000-0000C5160000}"/>
    <cellStyle name="Normal 15 7" xfId="5830" xr:uid="{00000000-0005-0000-0000-0000C6160000}"/>
    <cellStyle name="Normal 15 8" xfId="5831" xr:uid="{00000000-0005-0000-0000-0000C7160000}"/>
    <cellStyle name="Normal 15 9" xfId="5832" xr:uid="{00000000-0005-0000-0000-0000C8160000}"/>
    <cellStyle name="Normal 150" xfId="5833" xr:uid="{00000000-0005-0000-0000-0000C9160000}"/>
    <cellStyle name="Normal 150 2" xfId="5834" xr:uid="{00000000-0005-0000-0000-0000CA160000}"/>
    <cellStyle name="Normal 151" xfId="5835" xr:uid="{00000000-0005-0000-0000-0000CB160000}"/>
    <cellStyle name="Normal 151 2" xfId="5836" xr:uid="{00000000-0005-0000-0000-0000CC160000}"/>
    <cellStyle name="Normal 152" xfId="5837" xr:uid="{00000000-0005-0000-0000-0000CD160000}"/>
    <cellStyle name="Normal 152 2" xfId="5838" xr:uid="{00000000-0005-0000-0000-0000CE160000}"/>
    <cellStyle name="Normal 153" xfId="5839" xr:uid="{00000000-0005-0000-0000-0000CF160000}"/>
    <cellStyle name="Normal 153 2" xfId="5840" xr:uid="{00000000-0005-0000-0000-0000D0160000}"/>
    <cellStyle name="Normal 154" xfId="5841" xr:uid="{00000000-0005-0000-0000-0000D1160000}"/>
    <cellStyle name="Normal 154 2" xfId="5842" xr:uid="{00000000-0005-0000-0000-0000D2160000}"/>
    <cellStyle name="Normal 155" xfId="5843" xr:uid="{00000000-0005-0000-0000-0000D3160000}"/>
    <cellStyle name="Normal 155 2" xfId="5844" xr:uid="{00000000-0005-0000-0000-0000D4160000}"/>
    <cellStyle name="Normal 156" xfId="5845" xr:uid="{00000000-0005-0000-0000-0000D5160000}"/>
    <cellStyle name="Normal 156 2" xfId="5846" xr:uid="{00000000-0005-0000-0000-0000D6160000}"/>
    <cellStyle name="Normal 157" xfId="5847" xr:uid="{00000000-0005-0000-0000-0000D7160000}"/>
    <cellStyle name="Normal 157 2" xfId="5848" xr:uid="{00000000-0005-0000-0000-0000D8160000}"/>
    <cellStyle name="Normal 158" xfId="5849" xr:uid="{00000000-0005-0000-0000-0000D9160000}"/>
    <cellStyle name="Normal 158 2" xfId="5850" xr:uid="{00000000-0005-0000-0000-0000DA160000}"/>
    <cellStyle name="Normal 159" xfId="5851" xr:uid="{00000000-0005-0000-0000-0000DB160000}"/>
    <cellStyle name="Normal 159 2" xfId="5852" xr:uid="{00000000-0005-0000-0000-0000DC160000}"/>
    <cellStyle name="Normal 16" xfId="5853" xr:uid="{00000000-0005-0000-0000-0000DD160000}"/>
    <cellStyle name="Normal 16 10" xfId="5854" xr:uid="{00000000-0005-0000-0000-0000DE160000}"/>
    <cellStyle name="Normal 16 11" xfId="5855" xr:uid="{00000000-0005-0000-0000-0000DF160000}"/>
    <cellStyle name="Normal 16 12" xfId="5856" xr:uid="{00000000-0005-0000-0000-0000E0160000}"/>
    <cellStyle name="Normal 16 13" xfId="5857" xr:uid="{00000000-0005-0000-0000-0000E1160000}"/>
    <cellStyle name="Normal 16 14" xfId="5858" xr:uid="{00000000-0005-0000-0000-0000E2160000}"/>
    <cellStyle name="Normal 16 15" xfId="5859" xr:uid="{00000000-0005-0000-0000-0000E3160000}"/>
    <cellStyle name="Normal 16 16" xfId="5860" xr:uid="{00000000-0005-0000-0000-0000E4160000}"/>
    <cellStyle name="Normal 16 17" xfId="5861" xr:uid="{00000000-0005-0000-0000-0000E5160000}"/>
    <cellStyle name="Normal 16 18" xfId="5862" xr:uid="{00000000-0005-0000-0000-0000E6160000}"/>
    <cellStyle name="Normal 16 19" xfId="5863" xr:uid="{00000000-0005-0000-0000-0000E7160000}"/>
    <cellStyle name="Normal 16 2" xfId="5864" xr:uid="{00000000-0005-0000-0000-0000E8160000}"/>
    <cellStyle name="Normal 16 2 2" xfId="5865" xr:uid="{00000000-0005-0000-0000-0000E9160000}"/>
    <cellStyle name="Normal 16 2 3" xfId="5866" xr:uid="{00000000-0005-0000-0000-0000EA160000}"/>
    <cellStyle name="Normal 16 20" xfId="5867" xr:uid="{00000000-0005-0000-0000-0000EB160000}"/>
    <cellStyle name="Normal 16 21" xfId="5868" xr:uid="{00000000-0005-0000-0000-0000EC160000}"/>
    <cellStyle name="Normal 16 22" xfId="5869" xr:uid="{00000000-0005-0000-0000-0000ED160000}"/>
    <cellStyle name="Normal 16 23" xfId="5870" xr:uid="{00000000-0005-0000-0000-0000EE160000}"/>
    <cellStyle name="Normal 16 24" xfId="5871" xr:uid="{00000000-0005-0000-0000-0000EF160000}"/>
    <cellStyle name="Normal 16 25" xfId="5872" xr:uid="{00000000-0005-0000-0000-0000F0160000}"/>
    <cellStyle name="Normal 16 26" xfId="5873" xr:uid="{00000000-0005-0000-0000-0000F1160000}"/>
    <cellStyle name="Normal 16 3" xfId="5874" xr:uid="{00000000-0005-0000-0000-0000F2160000}"/>
    <cellStyle name="Normal 16 3 2" xfId="5875" xr:uid="{00000000-0005-0000-0000-0000F3160000}"/>
    <cellStyle name="Normal 16 3 3" xfId="5876" xr:uid="{00000000-0005-0000-0000-0000F4160000}"/>
    <cellStyle name="Normal 16 4" xfId="5877" xr:uid="{00000000-0005-0000-0000-0000F5160000}"/>
    <cellStyle name="Normal 16 5" xfId="5878" xr:uid="{00000000-0005-0000-0000-0000F6160000}"/>
    <cellStyle name="Normal 16 6" xfId="5879" xr:uid="{00000000-0005-0000-0000-0000F7160000}"/>
    <cellStyle name="Normal 16 7" xfId="5880" xr:uid="{00000000-0005-0000-0000-0000F8160000}"/>
    <cellStyle name="Normal 16 8" xfId="5881" xr:uid="{00000000-0005-0000-0000-0000F9160000}"/>
    <cellStyle name="Normal 16 9" xfId="5882" xr:uid="{00000000-0005-0000-0000-0000FA160000}"/>
    <cellStyle name="Normal 160" xfId="5883" xr:uid="{00000000-0005-0000-0000-0000FB160000}"/>
    <cellStyle name="Normal 160 2" xfId="5884" xr:uid="{00000000-0005-0000-0000-0000FC160000}"/>
    <cellStyle name="Normal 161" xfId="5885" xr:uid="{00000000-0005-0000-0000-0000FD160000}"/>
    <cellStyle name="Normal 161 2" xfId="5886" xr:uid="{00000000-0005-0000-0000-0000FE160000}"/>
    <cellStyle name="Normal 162" xfId="5887" xr:uid="{00000000-0005-0000-0000-0000FF160000}"/>
    <cellStyle name="Normal 162 2" xfId="5888" xr:uid="{00000000-0005-0000-0000-000000170000}"/>
    <cellStyle name="Normal 163" xfId="5889" xr:uid="{00000000-0005-0000-0000-000001170000}"/>
    <cellStyle name="Normal 163 2" xfId="5890" xr:uid="{00000000-0005-0000-0000-000002170000}"/>
    <cellStyle name="Normal 164" xfId="5891" xr:uid="{00000000-0005-0000-0000-000003170000}"/>
    <cellStyle name="Normal 164 2" xfId="5892" xr:uid="{00000000-0005-0000-0000-000004170000}"/>
    <cellStyle name="Normal 165" xfId="5893" xr:uid="{00000000-0005-0000-0000-000005170000}"/>
    <cellStyle name="Normal 165 2" xfId="5894" xr:uid="{00000000-0005-0000-0000-000006170000}"/>
    <cellStyle name="Normal 166" xfId="5895" xr:uid="{00000000-0005-0000-0000-000007170000}"/>
    <cellStyle name="Normal 166 2" xfId="5896" xr:uid="{00000000-0005-0000-0000-000008170000}"/>
    <cellStyle name="Normal 167" xfId="5897" xr:uid="{00000000-0005-0000-0000-000009170000}"/>
    <cellStyle name="Normal 167 2" xfId="5898" xr:uid="{00000000-0005-0000-0000-00000A170000}"/>
    <cellStyle name="Normal 168" xfId="5899" xr:uid="{00000000-0005-0000-0000-00000B170000}"/>
    <cellStyle name="Normal 168 2" xfId="5900" xr:uid="{00000000-0005-0000-0000-00000C170000}"/>
    <cellStyle name="Normal 169" xfId="5901" xr:uid="{00000000-0005-0000-0000-00000D170000}"/>
    <cellStyle name="Normal 169 2" xfId="5902" xr:uid="{00000000-0005-0000-0000-00000E170000}"/>
    <cellStyle name="Normal 17" xfId="9" xr:uid="{00000000-0005-0000-0000-000009000000}"/>
    <cellStyle name="Normal 17 10" xfId="5903" xr:uid="{00000000-0005-0000-0000-00000F170000}"/>
    <cellStyle name="Normal 17 11" xfId="5904" xr:uid="{00000000-0005-0000-0000-000010170000}"/>
    <cellStyle name="Normal 17 12" xfId="5905" xr:uid="{00000000-0005-0000-0000-000011170000}"/>
    <cellStyle name="Normal 17 13" xfId="5906" xr:uid="{00000000-0005-0000-0000-000012170000}"/>
    <cellStyle name="Normal 17 14" xfId="5907" xr:uid="{00000000-0005-0000-0000-000013170000}"/>
    <cellStyle name="Normal 17 15" xfId="5908" xr:uid="{00000000-0005-0000-0000-000014170000}"/>
    <cellStyle name="Normal 17 16" xfId="5909" xr:uid="{00000000-0005-0000-0000-000015170000}"/>
    <cellStyle name="Normal 17 17" xfId="5910" xr:uid="{00000000-0005-0000-0000-000016170000}"/>
    <cellStyle name="Normal 17 18" xfId="5911" xr:uid="{00000000-0005-0000-0000-000017170000}"/>
    <cellStyle name="Normal 17 19" xfId="5912" xr:uid="{00000000-0005-0000-0000-000018170000}"/>
    <cellStyle name="Normal 17 2" xfId="5913" xr:uid="{00000000-0005-0000-0000-000019170000}"/>
    <cellStyle name="Normal 17 2 2" xfId="5914" xr:uid="{00000000-0005-0000-0000-00001A170000}"/>
    <cellStyle name="Normal 17 2 3" xfId="5915" xr:uid="{00000000-0005-0000-0000-00001B170000}"/>
    <cellStyle name="Normal 17 20" xfId="5916" xr:uid="{00000000-0005-0000-0000-00001C170000}"/>
    <cellStyle name="Normal 17 21" xfId="5917" xr:uid="{00000000-0005-0000-0000-00001D170000}"/>
    <cellStyle name="Normal 17 22" xfId="5918" xr:uid="{00000000-0005-0000-0000-00001E170000}"/>
    <cellStyle name="Normal 17 23" xfId="5919" xr:uid="{00000000-0005-0000-0000-00001F170000}"/>
    <cellStyle name="Normal 17 24" xfId="5920" xr:uid="{00000000-0005-0000-0000-000020170000}"/>
    <cellStyle name="Normal 17 25" xfId="5921" xr:uid="{00000000-0005-0000-0000-000021170000}"/>
    <cellStyle name="Normal 17 26" xfId="5922" xr:uid="{00000000-0005-0000-0000-000022170000}"/>
    <cellStyle name="Normal 17 27" xfId="5923" xr:uid="{00000000-0005-0000-0000-000023170000}"/>
    <cellStyle name="Normal 17 28" xfId="5924" xr:uid="{00000000-0005-0000-0000-000024170000}"/>
    <cellStyle name="Normal 17 29" xfId="5925" xr:uid="{00000000-0005-0000-0000-000025170000}"/>
    <cellStyle name="Normal 17 3" xfId="5926" xr:uid="{00000000-0005-0000-0000-000026170000}"/>
    <cellStyle name="Normal 17 3 2" xfId="5927" xr:uid="{00000000-0005-0000-0000-000027170000}"/>
    <cellStyle name="Normal 17 3 3" xfId="5928" xr:uid="{00000000-0005-0000-0000-000028170000}"/>
    <cellStyle name="Normal 17 3 4" xfId="5929" xr:uid="{00000000-0005-0000-0000-000029170000}"/>
    <cellStyle name="Normal 17 3 5" xfId="5930" xr:uid="{00000000-0005-0000-0000-00002A170000}"/>
    <cellStyle name="Normal 17 4" xfId="5931" xr:uid="{00000000-0005-0000-0000-00002B170000}"/>
    <cellStyle name="Normal 17 5" xfId="5932" xr:uid="{00000000-0005-0000-0000-00002C170000}"/>
    <cellStyle name="Normal 17 6" xfId="5933" xr:uid="{00000000-0005-0000-0000-00002D170000}"/>
    <cellStyle name="Normal 17 7" xfId="5934" xr:uid="{00000000-0005-0000-0000-00002E170000}"/>
    <cellStyle name="Normal 17 8" xfId="5935" xr:uid="{00000000-0005-0000-0000-00002F170000}"/>
    <cellStyle name="Normal 17 9" xfId="5936" xr:uid="{00000000-0005-0000-0000-000030170000}"/>
    <cellStyle name="Normal 170" xfId="5937" xr:uid="{00000000-0005-0000-0000-000031170000}"/>
    <cellStyle name="Normal 171" xfId="5938" xr:uid="{00000000-0005-0000-0000-000032170000}"/>
    <cellStyle name="Normal 172" xfId="39122" xr:uid="{00000000-0005-0000-0000-0000D2980000}"/>
    <cellStyle name="Normal 177" xfId="39123" xr:uid="{00000000-0005-0000-0000-0000D3980000}"/>
    <cellStyle name="Normal 18" xfId="5939" xr:uid="{00000000-0005-0000-0000-000033170000}"/>
    <cellStyle name="Normal 18 10" xfId="5940" xr:uid="{00000000-0005-0000-0000-000034170000}"/>
    <cellStyle name="Normal 18 11" xfId="5941" xr:uid="{00000000-0005-0000-0000-000035170000}"/>
    <cellStyle name="Normal 18 12" xfId="5942" xr:uid="{00000000-0005-0000-0000-000036170000}"/>
    <cellStyle name="Normal 18 13" xfId="5943" xr:uid="{00000000-0005-0000-0000-000037170000}"/>
    <cellStyle name="Normal 18 14" xfId="5944" xr:uid="{00000000-0005-0000-0000-000038170000}"/>
    <cellStyle name="Normal 18 15" xfId="5945" xr:uid="{00000000-0005-0000-0000-000039170000}"/>
    <cellStyle name="Normal 18 16" xfId="5946" xr:uid="{00000000-0005-0000-0000-00003A170000}"/>
    <cellStyle name="Normal 18 17" xfId="5947" xr:uid="{00000000-0005-0000-0000-00003B170000}"/>
    <cellStyle name="Normal 18 18" xfId="5948" xr:uid="{00000000-0005-0000-0000-00003C170000}"/>
    <cellStyle name="Normal 18 19" xfId="5949" xr:uid="{00000000-0005-0000-0000-00003D170000}"/>
    <cellStyle name="Normal 18 2" xfId="5950" xr:uid="{00000000-0005-0000-0000-00003E170000}"/>
    <cellStyle name="Normal 18 2 2" xfId="5951" xr:uid="{00000000-0005-0000-0000-00003F170000}"/>
    <cellStyle name="Normal 18 2 3" xfId="5952" xr:uid="{00000000-0005-0000-0000-000040170000}"/>
    <cellStyle name="Normal 18 20" xfId="5953" xr:uid="{00000000-0005-0000-0000-000041170000}"/>
    <cellStyle name="Normal 18 21" xfId="5954" xr:uid="{00000000-0005-0000-0000-000042170000}"/>
    <cellStyle name="Normal 18 22" xfId="5955" xr:uid="{00000000-0005-0000-0000-000043170000}"/>
    <cellStyle name="Normal 18 23" xfId="5956" xr:uid="{00000000-0005-0000-0000-000044170000}"/>
    <cellStyle name="Normal 18 24" xfId="5957" xr:uid="{00000000-0005-0000-0000-000045170000}"/>
    <cellStyle name="Normal 18 25" xfId="5958" xr:uid="{00000000-0005-0000-0000-000046170000}"/>
    <cellStyle name="Normal 18 3" xfId="5959" xr:uid="{00000000-0005-0000-0000-000047170000}"/>
    <cellStyle name="Normal 18 3 2" xfId="5960" xr:uid="{00000000-0005-0000-0000-000048170000}"/>
    <cellStyle name="Normal 18 3 3" xfId="5961" xr:uid="{00000000-0005-0000-0000-000049170000}"/>
    <cellStyle name="Normal 18 3 4" xfId="5962" xr:uid="{00000000-0005-0000-0000-00004A170000}"/>
    <cellStyle name="Normal 18 3 5" xfId="5963" xr:uid="{00000000-0005-0000-0000-00004B170000}"/>
    <cellStyle name="Normal 18 4" xfId="5964" xr:uid="{00000000-0005-0000-0000-00004C170000}"/>
    <cellStyle name="Normal 18 5" xfId="5965" xr:uid="{00000000-0005-0000-0000-00004D170000}"/>
    <cellStyle name="Normal 18 6" xfId="5966" xr:uid="{00000000-0005-0000-0000-00004E170000}"/>
    <cellStyle name="Normal 18 7" xfId="5967" xr:uid="{00000000-0005-0000-0000-00004F170000}"/>
    <cellStyle name="Normal 18 8" xfId="5968" xr:uid="{00000000-0005-0000-0000-000050170000}"/>
    <cellStyle name="Normal 18 9" xfId="5969" xr:uid="{00000000-0005-0000-0000-000051170000}"/>
    <cellStyle name="Normal 19" xfId="5970" xr:uid="{00000000-0005-0000-0000-000052170000}"/>
    <cellStyle name="Normal 19 10" xfId="5971" xr:uid="{00000000-0005-0000-0000-000053170000}"/>
    <cellStyle name="Normal 19 11" xfId="5972" xr:uid="{00000000-0005-0000-0000-000054170000}"/>
    <cellStyle name="Normal 19 12" xfId="5973" xr:uid="{00000000-0005-0000-0000-000055170000}"/>
    <cellStyle name="Normal 19 13" xfId="5974" xr:uid="{00000000-0005-0000-0000-000056170000}"/>
    <cellStyle name="Normal 19 14" xfId="5975" xr:uid="{00000000-0005-0000-0000-000057170000}"/>
    <cellStyle name="Normal 19 15" xfId="5976" xr:uid="{00000000-0005-0000-0000-000058170000}"/>
    <cellStyle name="Normal 19 16" xfId="5977" xr:uid="{00000000-0005-0000-0000-000059170000}"/>
    <cellStyle name="Normal 19 17" xfId="5978" xr:uid="{00000000-0005-0000-0000-00005A170000}"/>
    <cellStyle name="Normal 19 18" xfId="5979" xr:uid="{00000000-0005-0000-0000-00005B170000}"/>
    <cellStyle name="Normal 19 19" xfId="5980" xr:uid="{00000000-0005-0000-0000-00005C170000}"/>
    <cellStyle name="Normal 19 2" xfId="5981" xr:uid="{00000000-0005-0000-0000-00005D170000}"/>
    <cellStyle name="Normal 19 2 2" xfId="5982" xr:uid="{00000000-0005-0000-0000-00005E170000}"/>
    <cellStyle name="Normal 19 2 3" xfId="5983" xr:uid="{00000000-0005-0000-0000-00005F170000}"/>
    <cellStyle name="Normal 19 20" xfId="5984" xr:uid="{00000000-0005-0000-0000-000060170000}"/>
    <cellStyle name="Normal 19 21" xfId="5985" xr:uid="{00000000-0005-0000-0000-000061170000}"/>
    <cellStyle name="Normal 19 22" xfId="5986" xr:uid="{00000000-0005-0000-0000-000062170000}"/>
    <cellStyle name="Normal 19 23" xfId="5987" xr:uid="{00000000-0005-0000-0000-000063170000}"/>
    <cellStyle name="Normal 19 24" xfId="5988" xr:uid="{00000000-0005-0000-0000-000064170000}"/>
    <cellStyle name="Normal 19 25" xfId="5989" xr:uid="{00000000-0005-0000-0000-000065170000}"/>
    <cellStyle name="Normal 19 3" xfId="5990" xr:uid="{00000000-0005-0000-0000-000066170000}"/>
    <cellStyle name="Normal 19 3 2" xfId="5991" xr:uid="{00000000-0005-0000-0000-000067170000}"/>
    <cellStyle name="Normal 19 3 3" xfId="5992" xr:uid="{00000000-0005-0000-0000-000068170000}"/>
    <cellStyle name="Normal 19 3 4" xfId="5993" xr:uid="{00000000-0005-0000-0000-000069170000}"/>
    <cellStyle name="Normal 19 3 5" xfId="5994" xr:uid="{00000000-0005-0000-0000-00006A170000}"/>
    <cellStyle name="Normal 19 4" xfId="5995" xr:uid="{00000000-0005-0000-0000-00006B170000}"/>
    <cellStyle name="Normal 19 5" xfId="5996" xr:uid="{00000000-0005-0000-0000-00006C170000}"/>
    <cellStyle name="Normal 19 6" xfId="5997" xr:uid="{00000000-0005-0000-0000-00006D170000}"/>
    <cellStyle name="Normal 19 7" xfId="5998" xr:uid="{00000000-0005-0000-0000-00006E170000}"/>
    <cellStyle name="Normal 19 8" xfId="5999" xr:uid="{00000000-0005-0000-0000-00006F170000}"/>
    <cellStyle name="Normal 19 9" xfId="6000" xr:uid="{00000000-0005-0000-0000-000070170000}"/>
    <cellStyle name="Normal 2" xfId="10" xr:uid="{00000000-0005-0000-0000-00000A000000}"/>
    <cellStyle name="Normal 2 10" xfId="11" xr:uid="{00000000-0005-0000-0000-00000B000000}"/>
    <cellStyle name="Normal 2 10 10" xfId="6001" xr:uid="{00000000-0005-0000-0000-000071170000}"/>
    <cellStyle name="Normal 2 10 2" xfId="6002" xr:uid="{00000000-0005-0000-0000-000072170000}"/>
    <cellStyle name="Normal 2 10 3" xfId="6003" xr:uid="{00000000-0005-0000-0000-000073170000}"/>
    <cellStyle name="Normal 2 10 4" xfId="6004" xr:uid="{00000000-0005-0000-0000-000074170000}"/>
    <cellStyle name="Normal 2 10_Enlaces" xfId="6005" xr:uid="{00000000-0005-0000-0000-000075170000}"/>
    <cellStyle name="Normal 2 100" xfId="6006" xr:uid="{00000000-0005-0000-0000-000076170000}"/>
    <cellStyle name="Normal 2 100 2" xfId="6007" xr:uid="{00000000-0005-0000-0000-000077170000}"/>
    <cellStyle name="Normal 2 101" xfId="6008" xr:uid="{00000000-0005-0000-0000-000078170000}"/>
    <cellStyle name="Normal 2 101 2" xfId="6009" xr:uid="{00000000-0005-0000-0000-000079170000}"/>
    <cellStyle name="Normal 2 102" xfId="6010" xr:uid="{00000000-0005-0000-0000-00007A170000}"/>
    <cellStyle name="Normal 2 102 2" xfId="6011" xr:uid="{00000000-0005-0000-0000-00007B170000}"/>
    <cellStyle name="Normal 2 103" xfId="6012" xr:uid="{00000000-0005-0000-0000-00007C170000}"/>
    <cellStyle name="Normal 2 103 2" xfId="6013" xr:uid="{00000000-0005-0000-0000-00007D170000}"/>
    <cellStyle name="Normal 2 104" xfId="6014" xr:uid="{00000000-0005-0000-0000-00007E170000}"/>
    <cellStyle name="Normal 2 104 2" xfId="6015" xr:uid="{00000000-0005-0000-0000-00007F170000}"/>
    <cellStyle name="Normal 2 105" xfId="6016" xr:uid="{00000000-0005-0000-0000-000080170000}"/>
    <cellStyle name="Normal 2 106" xfId="6017" xr:uid="{00000000-0005-0000-0000-000081170000}"/>
    <cellStyle name="Normal 2 107" xfId="6018" xr:uid="{00000000-0005-0000-0000-000082170000}"/>
    <cellStyle name="Normal 2 108" xfId="6019" xr:uid="{00000000-0005-0000-0000-000083170000}"/>
    <cellStyle name="Normal 2 109" xfId="6020" xr:uid="{00000000-0005-0000-0000-000084170000}"/>
    <cellStyle name="Normal 2 11" xfId="6021" xr:uid="{00000000-0005-0000-0000-000085170000}"/>
    <cellStyle name="Normal 2 11 2" xfId="6022" xr:uid="{00000000-0005-0000-0000-000086170000}"/>
    <cellStyle name="Normal 2 11 3" xfId="6023" xr:uid="{00000000-0005-0000-0000-000087170000}"/>
    <cellStyle name="Normal 2 11 4" xfId="6024" xr:uid="{00000000-0005-0000-0000-000088170000}"/>
    <cellStyle name="Normal 2 11 5" xfId="6025" xr:uid="{00000000-0005-0000-0000-000089170000}"/>
    <cellStyle name="Normal 2 110" xfId="6026" xr:uid="{00000000-0005-0000-0000-00008A170000}"/>
    <cellStyle name="Normal 2 111" xfId="6027" xr:uid="{00000000-0005-0000-0000-00008B170000}"/>
    <cellStyle name="Normal 2 112" xfId="6028" xr:uid="{00000000-0005-0000-0000-00008C170000}"/>
    <cellStyle name="Normal 2 113" xfId="6029" xr:uid="{00000000-0005-0000-0000-00008D170000}"/>
    <cellStyle name="Normal 2 114" xfId="6030" xr:uid="{00000000-0005-0000-0000-00008E170000}"/>
    <cellStyle name="Normal 2 115" xfId="6031" xr:uid="{00000000-0005-0000-0000-00008F170000}"/>
    <cellStyle name="Normal 2 116" xfId="6032" xr:uid="{00000000-0005-0000-0000-000090170000}"/>
    <cellStyle name="Normal 2 117" xfId="6033" xr:uid="{00000000-0005-0000-0000-000091170000}"/>
    <cellStyle name="Normal 2 118" xfId="6034" xr:uid="{00000000-0005-0000-0000-000092170000}"/>
    <cellStyle name="Normal 2 119" xfId="6035" xr:uid="{00000000-0005-0000-0000-000093170000}"/>
    <cellStyle name="Normal 2 12" xfId="6036" xr:uid="{00000000-0005-0000-0000-000094170000}"/>
    <cellStyle name="Normal 2 12 2" xfId="6037" xr:uid="{00000000-0005-0000-0000-000095170000}"/>
    <cellStyle name="Normal 2 12 3" xfId="6038" xr:uid="{00000000-0005-0000-0000-000096170000}"/>
    <cellStyle name="Normal 2 12 4" xfId="6039" xr:uid="{00000000-0005-0000-0000-000097170000}"/>
    <cellStyle name="Normal 2 12 5" xfId="6040" xr:uid="{00000000-0005-0000-0000-000098170000}"/>
    <cellStyle name="Normal 2 12 6" xfId="6041" xr:uid="{00000000-0005-0000-0000-000099170000}"/>
    <cellStyle name="Normal 2 120" xfId="6042" xr:uid="{00000000-0005-0000-0000-00009A170000}"/>
    <cellStyle name="Normal 2 121" xfId="6043" xr:uid="{00000000-0005-0000-0000-00009B170000}"/>
    <cellStyle name="Normal 2 122" xfId="6044" xr:uid="{00000000-0005-0000-0000-00009C170000}"/>
    <cellStyle name="Normal 2 123" xfId="6045" xr:uid="{00000000-0005-0000-0000-00009D170000}"/>
    <cellStyle name="Normal 2 124" xfId="6046" xr:uid="{00000000-0005-0000-0000-00009E170000}"/>
    <cellStyle name="Normal 2 125" xfId="6047" xr:uid="{00000000-0005-0000-0000-00009F170000}"/>
    <cellStyle name="Normal 2 126" xfId="6048" xr:uid="{00000000-0005-0000-0000-0000A0170000}"/>
    <cellStyle name="Normal 2 127" xfId="6049" xr:uid="{00000000-0005-0000-0000-0000A1170000}"/>
    <cellStyle name="Normal 2 128" xfId="6050" xr:uid="{00000000-0005-0000-0000-0000A2170000}"/>
    <cellStyle name="Normal 2 129" xfId="6051" xr:uid="{00000000-0005-0000-0000-0000A3170000}"/>
    <cellStyle name="Normal 2 13" xfId="6052" xr:uid="{00000000-0005-0000-0000-0000A4170000}"/>
    <cellStyle name="Normal 2 13 2" xfId="6053" xr:uid="{00000000-0005-0000-0000-0000A5170000}"/>
    <cellStyle name="Normal 2 13 3" xfId="6054" xr:uid="{00000000-0005-0000-0000-0000A6170000}"/>
    <cellStyle name="Normal 2 13 4" xfId="6055" xr:uid="{00000000-0005-0000-0000-0000A7170000}"/>
    <cellStyle name="Normal 2 13 5" xfId="6056" xr:uid="{00000000-0005-0000-0000-0000A8170000}"/>
    <cellStyle name="Normal 2 13 6" xfId="6057" xr:uid="{00000000-0005-0000-0000-0000A9170000}"/>
    <cellStyle name="Normal 2 130" xfId="6058" xr:uid="{00000000-0005-0000-0000-0000AA170000}"/>
    <cellStyle name="Normal 2 131" xfId="6059" xr:uid="{00000000-0005-0000-0000-0000AB170000}"/>
    <cellStyle name="Normal 2 132" xfId="6060" xr:uid="{00000000-0005-0000-0000-0000AC170000}"/>
    <cellStyle name="Normal 2 133" xfId="6061" xr:uid="{00000000-0005-0000-0000-0000AD170000}"/>
    <cellStyle name="Normal 2 134" xfId="6062" xr:uid="{00000000-0005-0000-0000-0000AE170000}"/>
    <cellStyle name="Normal 2 135" xfId="6063" xr:uid="{00000000-0005-0000-0000-0000AF170000}"/>
    <cellStyle name="Normal 2 136" xfId="6064" xr:uid="{00000000-0005-0000-0000-0000B0170000}"/>
    <cellStyle name="Normal 2 137" xfId="6065" xr:uid="{00000000-0005-0000-0000-0000B1170000}"/>
    <cellStyle name="Normal 2 138" xfId="6066" xr:uid="{00000000-0005-0000-0000-0000B2170000}"/>
    <cellStyle name="Normal 2 139" xfId="6067" xr:uid="{00000000-0005-0000-0000-0000B3170000}"/>
    <cellStyle name="Normal 2 14" xfId="6068" xr:uid="{00000000-0005-0000-0000-0000B4170000}"/>
    <cellStyle name="Normal 2 14 2" xfId="6069" xr:uid="{00000000-0005-0000-0000-0000B5170000}"/>
    <cellStyle name="Normal 2 14 3" xfId="6070" xr:uid="{00000000-0005-0000-0000-0000B6170000}"/>
    <cellStyle name="Normal 2 14 4" xfId="6071" xr:uid="{00000000-0005-0000-0000-0000B7170000}"/>
    <cellStyle name="Normal 2 14 5" xfId="6072" xr:uid="{00000000-0005-0000-0000-0000B8170000}"/>
    <cellStyle name="Normal 2 140" xfId="6073" xr:uid="{00000000-0005-0000-0000-0000B9170000}"/>
    <cellStyle name="Normal 2 141" xfId="6074" xr:uid="{00000000-0005-0000-0000-0000BA170000}"/>
    <cellStyle name="Normal 2 142" xfId="6075" xr:uid="{00000000-0005-0000-0000-0000BB170000}"/>
    <cellStyle name="Normal 2 143" xfId="6076" xr:uid="{00000000-0005-0000-0000-0000BC170000}"/>
    <cellStyle name="Normal 2 144" xfId="6077" xr:uid="{00000000-0005-0000-0000-0000BD170000}"/>
    <cellStyle name="Normal 2 145" xfId="6078" xr:uid="{00000000-0005-0000-0000-0000BE170000}"/>
    <cellStyle name="Normal 2 146" xfId="6079" xr:uid="{00000000-0005-0000-0000-0000BF170000}"/>
    <cellStyle name="Normal 2 147" xfId="6080" xr:uid="{00000000-0005-0000-0000-0000C0170000}"/>
    <cellStyle name="Normal 2 148" xfId="6081" xr:uid="{00000000-0005-0000-0000-0000C1170000}"/>
    <cellStyle name="Normal 2 149" xfId="6082" xr:uid="{00000000-0005-0000-0000-0000C2170000}"/>
    <cellStyle name="Normal 2 15" xfId="6083" xr:uid="{00000000-0005-0000-0000-0000C3170000}"/>
    <cellStyle name="Normal 2 15 2" xfId="6084" xr:uid="{00000000-0005-0000-0000-0000C4170000}"/>
    <cellStyle name="Normal 2 15 3" xfId="6085" xr:uid="{00000000-0005-0000-0000-0000C5170000}"/>
    <cellStyle name="Normal 2 15 4" xfId="6086" xr:uid="{00000000-0005-0000-0000-0000C6170000}"/>
    <cellStyle name="Normal 2 15 5" xfId="6087" xr:uid="{00000000-0005-0000-0000-0000C7170000}"/>
    <cellStyle name="Normal 2 15 6" xfId="6088" xr:uid="{00000000-0005-0000-0000-0000C8170000}"/>
    <cellStyle name="Normal 2 150" xfId="6089" xr:uid="{00000000-0005-0000-0000-0000C9170000}"/>
    <cellStyle name="Normal 2 151" xfId="6090" xr:uid="{00000000-0005-0000-0000-0000CA170000}"/>
    <cellStyle name="Normal 2 152" xfId="6091" xr:uid="{00000000-0005-0000-0000-0000CB170000}"/>
    <cellStyle name="Normal 2 153" xfId="6092" xr:uid="{00000000-0005-0000-0000-0000CC170000}"/>
    <cellStyle name="Normal 2 154" xfId="6093" xr:uid="{00000000-0005-0000-0000-0000CD170000}"/>
    <cellStyle name="Normal 2 155" xfId="6094" xr:uid="{00000000-0005-0000-0000-0000CE170000}"/>
    <cellStyle name="Normal 2 156" xfId="6095" xr:uid="{00000000-0005-0000-0000-0000CF170000}"/>
    <cellStyle name="Normal 2 157" xfId="6096" xr:uid="{00000000-0005-0000-0000-0000D0170000}"/>
    <cellStyle name="Normal 2 158" xfId="6097" xr:uid="{00000000-0005-0000-0000-0000D1170000}"/>
    <cellStyle name="Normal 2 159" xfId="6098" xr:uid="{00000000-0005-0000-0000-0000D2170000}"/>
    <cellStyle name="Normal 2 16" xfId="6099" xr:uid="{00000000-0005-0000-0000-0000D3170000}"/>
    <cellStyle name="Normal 2 16 2" xfId="6100" xr:uid="{00000000-0005-0000-0000-0000D4170000}"/>
    <cellStyle name="Normal 2 16 3" xfId="6101" xr:uid="{00000000-0005-0000-0000-0000D5170000}"/>
    <cellStyle name="Normal 2 16 4" xfId="6102" xr:uid="{00000000-0005-0000-0000-0000D6170000}"/>
    <cellStyle name="Normal 2 16 5" xfId="6103" xr:uid="{00000000-0005-0000-0000-0000D7170000}"/>
    <cellStyle name="Normal 2 160" xfId="6104" xr:uid="{00000000-0005-0000-0000-0000D8170000}"/>
    <cellStyle name="Normal 2 161" xfId="6105" xr:uid="{00000000-0005-0000-0000-0000D9170000}"/>
    <cellStyle name="Normal 2 162" xfId="6106" xr:uid="{00000000-0005-0000-0000-0000DA170000}"/>
    <cellStyle name="Normal 2 163" xfId="6107" xr:uid="{00000000-0005-0000-0000-0000DB170000}"/>
    <cellStyle name="Normal 2 164" xfId="6108" xr:uid="{00000000-0005-0000-0000-0000DC170000}"/>
    <cellStyle name="Normal 2 165" xfId="6109" xr:uid="{00000000-0005-0000-0000-0000DD170000}"/>
    <cellStyle name="Normal 2 166" xfId="6110" xr:uid="{00000000-0005-0000-0000-0000DE170000}"/>
    <cellStyle name="Normal 2 167" xfId="6111" xr:uid="{00000000-0005-0000-0000-0000DF170000}"/>
    <cellStyle name="Normal 2 168" xfId="6112" xr:uid="{00000000-0005-0000-0000-0000E0170000}"/>
    <cellStyle name="Normal 2 169" xfId="6113" xr:uid="{00000000-0005-0000-0000-0000E1170000}"/>
    <cellStyle name="Normal 2 17" xfId="6114" xr:uid="{00000000-0005-0000-0000-0000E2170000}"/>
    <cellStyle name="Normal 2 17 2" xfId="6115" xr:uid="{00000000-0005-0000-0000-0000E3170000}"/>
    <cellStyle name="Normal 2 17 3" xfId="6116" xr:uid="{00000000-0005-0000-0000-0000E4170000}"/>
    <cellStyle name="Normal 2 17 4" xfId="6117" xr:uid="{00000000-0005-0000-0000-0000E5170000}"/>
    <cellStyle name="Normal 2 17 5" xfId="6118" xr:uid="{00000000-0005-0000-0000-0000E6170000}"/>
    <cellStyle name="Normal 2 170" xfId="6119" xr:uid="{00000000-0005-0000-0000-0000E7170000}"/>
    <cellStyle name="Normal 2 171" xfId="6120" xr:uid="{00000000-0005-0000-0000-0000E8170000}"/>
    <cellStyle name="Normal 2 172" xfId="6121" xr:uid="{00000000-0005-0000-0000-0000E9170000}"/>
    <cellStyle name="Normal 2 173" xfId="6122" xr:uid="{00000000-0005-0000-0000-0000EA170000}"/>
    <cellStyle name="Normal 2 174" xfId="6123" xr:uid="{00000000-0005-0000-0000-0000EB170000}"/>
    <cellStyle name="Normal 2 175" xfId="6124" xr:uid="{00000000-0005-0000-0000-0000EC170000}"/>
    <cellStyle name="Normal 2 176" xfId="6125" xr:uid="{00000000-0005-0000-0000-0000ED170000}"/>
    <cellStyle name="Normal 2 177" xfId="6126" xr:uid="{00000000-0005-0000-0000-0000EE170000}"/>
    <cellStyle name="Normal 2 178" xfId="6127" xr:uid="{00000000-0005-0000-0000-0000EF170000}"/>
    <cellStyle name="Normal 2 179" xfId="6128" xr:uid="{00000000-0005-0000-0000-0000F0170000}"/>
    <cellStyle name="Normal 2 18" xfId="6129" xr:uid="{00000000-0005-0000-0000-0000F1170000}"/>
    <cellStyle name="Normal 2 18 2" xfId="6130" xr:uid="{00000000-0005-0000-0000-0000F2170000}"/>
    <cellStyle name="Normal 2 18 3" xfId="6131" xr:uid="{00000000-0005-0000-0000-0000F3170000}"/>
    <cellStyle name="Normal 2 18 4" xfId="6132" xr:uid="{00000000-0005-0000-0000-0000F4170000}"/>
    <cellStyle name="Normal 2 18 5" xfId="6133" xr:uid="{00000000-0005-0000-0000-0000F5170000}"/>
    <cellStyle name="Normal 2 19" xfId="6134" xr:uid="{00000000-0005-0000-0000-0000F6170000}"/>
    <cellStyle name="Normal 2 19 2" xfId="6135" xr:uid="{00000000-0005-0000-0000-0000F7170000}"/>
    <cellStyle name="Normal 2 19 3" xfId="6136" xr:uid="{00000000-0005-0000-0000-0000F8170000}"/>
    <cellStyle name="Normal 2 19 4" xfId="6137" xr:uid="{00000000-0005-0000-0000-0000F9170000}"/>
    <cellStyle name="Normal 2 19 5" xfId="6138" xr:uid="{00000000-0005-0000-0000-0000FA170000}"/>
    <cellStyle name="Normal 2 2" xfId="12" xr:uid="{00000000-0005-0000-0000-00000C000000}"/>
    <cellStyle name="Normal 2 2 10" xfId="6139" xr:uid="{00000000-0005-0000-0000-0000FB170000}"/>
    <cellStyle name="Normal 2 2 10 10" xfId="6140" xr:uid="{00000000-0005-0000-0000-0000FC170000}"/>
    <cellStyle name="Normal 2 2 10 10 10" xfId="6141" xr:uid="{00000000-0005-0000-0000-0000FD170000}"/>
    <cellStyle name="Normal 2 2 10 10 11" xfId="6142" xr:uid="{00000000-0005-0000-0000-0000FE170000}"/>
    <cellStyle name="Normal 2 2 10 10 12" xfId="6143" xr:uid="{00000000-0005-0000-0000-0000FF170000}"/>
    <cellStyle name="Normal 2 2 10 10 13" xfId="6144" xr:uid="{00000000-0005-0000-0000-000000180000}"/>
    <cellStyle name="Normal 2 2 10 10 14" xfId="6145" xr:uid="{00000000-0005-0000-0000-000001180000}"/>
    <cellStyle name="Normal 2 2 10 10 2" xfId="6146" xr:uid="{00000000-0005-0000-0000-000002180000}"/>
    <cellStyle name="Normal 2 2 10 10 2 10" xfId="6147" xr:uid="{00000000-0005-0000-0000-000003180000}"/>
    <cellStyle name="Normal 2 2 10 10 2 2" xfId="6148" xr:uid="{00000000-0005-0000-0000-000004180000}"/>
    <cellStyle name="Normal 2 2 10 10 2 3" xfId="6149" xr:uid="{00000000-0005-0000-0000-000005180000}"/>
    <cellStyle name="Normal 2 2 10 10 2 4" xfId="6150" xr:uid="{00000000-0005-0000-0000-000006180000}"/>
    <cellStyle name="Normal 2 2 10 10 2 5" xfId="6151" xr:uid="{00000000-0005-0000-0000-000007180000}"/>
    <cellStyle name="Normal 2 2 10 10 2 6" xfId="6152" xr:uid="{00000000-0005-0000-0000-000008180000}"/>
    <cellStyle name="Normal 2 2 10 10 2 7" xfId="6153" xr:uid="{00000000-0005-0000-0000-000009180000}"/>
    <cellStyle name="Normal 2 2 10 10 2 8" xfId="6154" xr:uid="{00000000-0005-0000-0000-00000A180000}"/>
    <cellStyle name="Normal 2 2 10 10 2 9" xfId="6155" xr:uid="{00000000-0005-0000-0000-00000B180000}"/>
    <cellStyle name="Normal 2 2 10 10 3" xfId="6156" xr:uid="{00000000-0005-0000-0000-00000C180000}"/>
    <cellStyle name="Normal 2 2 10 10 3 10" xfId="6157" xr:uid="{00000000-0005-0000-0000-00000D180000}"/>
    <cellStyle name="Normal 2 2 10 10 3 2" xfId="6158" xr:uid="{00000000-0005-0000-0000-00000E180000}"/>
    <cellStyle name="Normal 2 2 10 10 3 3" xfId="6159" xr:uid="{00000000-0005-0000-0000-00000F180000}"/>
    <cellStyle name="Normal 2 2 10 10 3 4" xfId="6160" xr:uid="{00000000-0005-0000-0000-000010180000}"/>
    <cellStyle name="Normal 2 2 10 10 3 5" xfId="6161" xr:uid="{00000000-0005-0000-0000-000011180000}"/>
    <cellStyle name="Normal 2 2 10 10 3 6" xfId="6162" xr:uid="{00000000-0005-0000-0000-000012180000}"/>
    <cellStyle name="Normal 2 2 10 10 3 7" xfId="6163" xr:uid="{00000000-0005-0000-0000-000013180000}"/>
    <cellStyle name="Normal 2 2 10 10 3 8" xfId="6164" xr:uid="{00000000-0005-0000-0000-000014180000}"/>
    <cellStyle name="Normal 2 2 10 10 3 9" xfId="6165" xr:uid="{00000000-0005-0000-0000-000015180000}"/>
    <cellStyle name="Normal 2 2 10 10 4" xfId="6166" xr:uid="{00000000-0005-0000-0000-000016180000}"/>
    <cellStyle name="Normal 2 2 10 10 4 10" xfId="6167" xr:uid="{00000000-0005-0000-0000-000017180000}"/>
    <cellStyle name="Normal 2 2 10 10 4 2" xfId="6168" xr:uid="{00000000-0005-0000-0000-000018180000}"/>
    <cellStyle name="Normal 2 2 10 10 4 3" xfId="6169" xr:uid="{00000000-0005-0000-0000-000019180000}"/>
    <cellStyle name="Normal 2 2 10 10 4 4" xfId="6170" xr:uid="{00000000-0005-0000-0000-00001A180000}"/>
    <cellStyle name="Normal 2 2 10 10 4 5" xfId="6171" xr:uid="{00000000-0005-0000-0000-00001B180000}"/>
    <cellStyle name="Normal 2 2 10 10 4 6" xfId="6172" xr:uid="{00000000-0005-0000-0000-00001C180000}"/>
    <cellStyle name="Normal 2 2 10 10 4 7" xfId="6173" xr:uid="{00000000-0005-0000-0000-00001D180000}"/>
    <cellStyle name="Normal 2 2 10 10 4 8" xfId="6174" xr:uid="{00000000-0005-0000-0000-00001E180000}"/>
    <cellStyle name="Normal 2 2 10 10 4 9" xfId="6175" xr:uid="{00000000-0005-0000-0000-00001F180000}"/>
    <cellStyle name="Normal 2 2 10 10 5" xfId="6176" xr:uid="{00000000-0005-0000-0000-000020180000}"/>
    <cellStyle name="Normal 2 2 10 10 5 10" xfId="6177" xr:uid="{00000000-0005-0000-0000-000021180000}"/>
    <cellStyle name="Normal 2 2 10 10 5 2" xfId="6178" xr:uid="{00000000-0005-0000-0000-000022180000}"/>
    <cellStyle name="Normal 2 2 10 10 5 3" xfId="6179" xr:uid="{00000000-0005-0000-0000-000023180000}"/>
    <cellStyle name="Normal 2 2 10 10 5 4" xfId="6180" xr:uid="{00000000-0005-0000-0000-000024180000}"/>
    <cellStyle name="Normal 2 2 10 10 5 5" xfId="6181" xr:uid="{00000000-0005-0000-0000-000025180000}"/>
    <cellStyle name="Normal 2 2 10 10 5 6" xfId="6182" xr:uid="{00000000-0005-0000-0000-000026180000}"/>
    <cellStyle name="Normal 2 2 10 10 5 7" xfId="6183" xr:uid="{00000000-0005-0000-0000-000027180000}"/>
    <cellStyle name="Normal 2 2 10 10 5 8" xfId="6184" xr:uid="{00000000-0005-0000-0000-000028180000}"/>
    <cellStyle name="Normal 2 2 10 10 5 9" xfId="6185" xr:uid="{00000000-0005-0000-0000-000029180000}"/>
    <cellStyle name="Normal 2 2 10 10 6" xfId="6186" xr:uid="{00000000-0005-0000-0000-00002A180000}"/>
    <cellStyle name="Normal 2 2 10 10 7" xfId="6187" xr:uid="{00000000-0005-0000-0000-00002B180000}"/>
    <cellStyle name="Normal 2 2 10 10 8" xfId="6188" xr:uid="{00000000-0005-0000-0000-00002C180000}"/>
    <cellStyle name="Normal 2 2 10 10 9" xfId="6189" xr:uid="{00000000-0005-0000-0000-00002D180000}"/>
    <cellStyle name="Normal 2 2 10 11" xfId="6190" xr:uid="{00000000-0005-0000-0000-00002E180000}"/>
    <cellStyle name="Normal 2 2 10 11 10" xfId="6191" xr:uid="{00000000-0005-0000-0000-00002F180000}"/>
    <cellStyle name="Normal 2 2 10 11 11" xfId="6192" xr:uid="{00000000-0005-0000-0000-000030180000}"/>
    <cellStyle name="Normal 2 2 10 11 12" xfId="6193" xr:uid="{00000000-0005-0000-0000-000031180000}"/>
    <cellStyle name="Normal 2 2 10 11 13" xfId="6194" xr:uid="{00000000-0005-0000-0000-000032180000}"/>
    <cellStyle name="Normal 2 2 10 11 14" xfId="6195" xr:uid="{00000000-0005-0000-0000-000033180000}"/>
    <cellStyle name="Normal 2 2 10 11 2" xfId="6196" xr:uid="{00000000-0005-0000-0000-000034180000}"/>
    <cellStyle name="Normal 2 2 10 11 2 10" xfId="6197" xr:uid="{00000000-0005-0000-0000-000035180000}"/>
    <cellStyle name="Normal 2 2 10 11 2 2" xfId="6198" xr:uid="{00000000-0005-0000-0000-000036180000}"/>
    <cellStyle name="Normal 2 2 10 11 2 3" xfId="6199" xr:uid="{00000000-0005-0000-0000-000037180000}"/>
    <cellStyle name="Normal 2 2 10 11 2 4" xfId="6200" xr:uid="{00000000-0005-0000-0000-000038180000}"/>
    <cellStyle name="Normal 2 2 10 11 2 5" xfId="6201" xr:uid="{00000000-0005-0000-0000-000039180000}"/>
    <cellStyle name="Normal 2 2 10 11 2 6" xfId="6202" xr:uid="{00000000-0005-0000-0000-00003A180000}"/>
    <cellStyle name="Normal 2 2 10 11 2 7" xfId="6203" xr:uid="{00000000-0005-0000-0000-00003B180000}"/>
    <cellStyle name="Normal 2 2 10 11 2 8" xfId="6204" xr:uid="{00000000-0005-0000-0000-00003C180000}"/>
    <cellStyle name="Normal 2 2 10 11 2 9" xfId="6205" xr:uid="{00000000-0005-0000-0000-00003D180000}"/>
    <cellStyle name="Normal 2 2 10 11 3" xfId="6206" xr:uid="{00000000-0005-0000-0000-00003E180000}"/>
    <cellStyle name="Normal 2 2 10 11 3 10" xfId="6207" xr:uid="{00000000-0005-0000-0000-00003F180000}"/>
    <cellStyle name="Normal 2 2 10 11 3 2" xfId="6208" xr:uid="{00000000-0005-0000-0000-000040180000}"/>
    <cellStyle name="Normal 2 2 10 11 3 3" xfId="6209" xr:uid="{00000000-0005-0000-0000-000041180000}"/>
    <cellStyle name="Normal 2 2 10 11 3 4" xfId="6210" xr:uid="{00000000-0005-0000-0000-000042180000}"/>
    <cellStyle name="Normal 2 2 10 11 3 5" xfId="6211" xr:uid="{00000000-0005-0000-0000-000043180000}"/>
    <cellStyle name="Normal 2 2 10 11 3 6" xfId="6212" xr:uid="{00000000-0005-0000-0000-000044180000}"/>
    <cellStyle name="Normal 2 2 10 11 3 7" xfId="6213" xr:uid="{00000000-0005-0000-0000-000045180000}"/>
    <cellStyle name="Normal 2 2 10 11 3 8" xfId="6214" xr:uid="{00000000-0005-0000-0000-000046180000}"/>
    <cellStyle name="Normal 2 2 10 11 3 9" xfId="6215" xr:uid="{00000000-0005-0000-0000-000047180000}"/>
    <cellStyle name="Normal 2 2 10 11 4" xfId="6216" xr:uid="{00000000-0005-0000-0000-000048180000}"/>
    <cellStyle name="Normal 2 2 10 11 4 10" xfId="6217" xr:uid="{00000000-0005-0000-0000-000049180000}"/>
    <cellStyle name="Normal 2 2 10 11 4 2" xfId="6218" xr:uid="{00000000-0005-0000-0000-00004A180000}"/>
    <cellStyle name="Normal 2 2 10 11 4 3" xfId="6219" xr:uid="{00000000-0005-0000-0000-00004B180000}"/>
    <cellStyle name="Normal 2 2 10 11 4 4" xfId="6220" xr:uid="{00000000-0005-0000-0000-00004C180000}"/>
    <cellStyle name="Normal 2 2 10 11 4 5" xfId="6221" xr:uid="{00000000-0005-0000-0000-00004D180000}"/>
    <cellStyle name="Normal 2 2 10 11 4 6" xfId="6222" xr:uid="{00000000-0005-0000-0000-00004E180000}"/>
    <cellStyle name="Normal 2 2 10 11 4 7" xfId="6223" xr:uid="{00000000-0005-0000-0000-00004F180000}"/>
    <cellStyle name="Normal 2 2 10 11 4 8" xfId="6224" xr:uid="{00000000-0005-0000-0000-000050180000}"/>
    <cellStyle name="Normal 2 2 10 11 4 9" xfId="6225" xr:uid="{00000000-0005-0000-0000-000051180000}"/>
    <cellStyle name="Normal 2 2 10 11 5" xfId="6226" xr:uid="{00000000-0005-0000-0000-000052180000}"/>
    <cellStyle name="Normal 2 2 10 11 5 10" xfId="6227" xr:uid="{00000000-0005-0000-0000-000053180000}"/>
    <cellStyle name="Normal 2 2 10 11 5 2" xfId="6228" xr:uid="{00000000-0005-0000-0000-000054180000}"/>
    <cellStyle name="Normal 2 2 10 11 5 3" xfId="6229" xr:uid="{00000000-0005-0000-0000-000055180000}"/>
    <cellStyle name="Normal 2 2 10 11 5 4" xfId="6230" xr:uid="{00000000-0005-0000-0000-000056180000}"/>
    <cellStyle name="Normal 2 2 10 11 5 5" xfId="6231" xr:uid="{00000000-0005-0000-0000-000057180000}"/>
    <cellStyle name="Normal 2 2 10 11 5 6" xfId="6232" xr:uid="{00000000-0005-0000-0000-000058180000}"/>
    <cellStyle name="Normal 2 2 10 11 5 7" xfId="6233" xr:uid="{00000000-0005-0000-0000-000059180000}"/>
    <cellStyle name="Normal 2 2 10 11 5 8" xfId="6234" xr:uid="{00000000-0005-0000-0000-00005A180000}"/>
    <cellStyle name="Normal 2 2 10 11 5 9" xfId="6235" xr:uid="{00000000-0005-0000-0000-00005B180000}"/>
    <cellStyle name="Normal 2 2 10 11 6" xfId="6236" xr:uid="{00000000-0005-0000-0000-00005C180000}"/>
    <cellStyle name="Normal 2 2 10 11 7" xfId="6237" xr:uid="{00000000-0005-0000-0000-00005D180000}"/>
    <cellStyle name="Normal 2 2 10 11 8" xfId="6238" xr:uid="{00000000-0005-0000-0000-00005E180000}"/>
    <cellStyle name="Normal 2 2 10 11 9" xfId="6239" xr:uid="{00000000-0005-0000-0000-00005F180000}"/>
    <cellStyle name="Normal 2 2 10 12" xfId="6240" xr:uid="{00000000-0005-0000-0000-000060180000}"/>
    <cellStyle name="Normal 2 2 10 12 10" xfId="6241" xr:uid="{00000000-0005-0000-0000-000061180000}"/>
    <cellStyle name="Normal 2 2 10 12 11" xfId="6242" xr:uid="{00000000-0005-0000-0000-000062180000}"/>
    <cellStyle name="Normal 2 2 10 12 12" xfId="6243" xr:uid="{00000000-0005-0000-0000-000063180000}"/>
    <cellStyle name="Normal 2 2 10 12 13" xfId="6244" xr:uid="{00000000-0005-0000-0000-000064180000}"/>
    <cellStyle name="Normal 2 2 10 12 14" xfId="6245" xr:uid="{00000000-0005-0000-0000-000065180000}"/>
    <cellStyle name="Normal 2 2 10 12 2" xfId="6246" xr:uid="{00000000-0005-0000-0000-000066180000}"/>
    <cellStyle name="Normal 2 2 10 12 2 10" xfId="6247" xr:uid="{00000000-0005-0000-0000-000067180000}"/>
    <cellStyle name="Normal 2 2 10 12 2 2" xfId="6248" xr:uid="{00000000-0005-0000-0000-000068180000}"/>
    <cellStyle name="Normal 2 2 10 12 2 3" xfId="6249" xr:uid="{00000000-0005-0000-0000-000069180000}"/>
    <cellStyle name="Normal 2 2 10 12 2 4" xfId="6250" xr:uid="{00000000-0005-0000-0000-00006A180000}"/>
    <cellStyle name="Normal 2 2 10 12 2 5" xfId="6251" xr:uid="{00000000-0005-0000-0000-00006B180000}"/>
    <cellStyle name="Normal 2 2 10 12 2 6" xfId="6252" xr:uid="{00000000-0005-0000-0000-00006C180000}"/>
    <cellStyle name="Normal 2 2 10 12 2 7" xfId="6253" xr:uid="{00000000-0005-0000-0000-00006D180000}"/>
    <cellStyle name="Normal 2 2 10 12 2 8" xfId="6254" xr:uid="{00000000-0005-0000-0000-00006E180000}"/>
    <cellStyle name="Normal 2 2 10 12 2 9" xfId="6255" xr:uid="{00000000-0005-0000-0000-00006F180000}"/>
    <cellStyle name="Normal 2 2 10 12 3" xfId="6256" xr:uid="{00000000-0005-0000-0000-000070180000}"/>
    <cellStyle name="Normal 2 2 10 12 3 10" xfId="6257" xr:uid="{00000000-0005-0000-0000-000071180000}"/>
    <cellStyle name="Normal 2 2 10 12 3 2" xfId="6258" xr:uid="{00000000-0005-0000-0000-000072180000}"/>
    <cellStyle name="Normal 2 2 10 12 3 3" xfId="6259" xr:uid="{00000000-0005-0000-0000-000073180000}"/>
    <cellStyle name="Normal 2 2 10 12 3 4" xfId="6260" xr:uid="{00000000-0005-0000-0000-000074180000}"/>
    <cellStyle name="Normal 2 2 10 12 3 5" xfId="6261" xr:uid="{00000000-0005-0000-0000-000075180000}"/>
    <cellStyle name="Normal 2 2 10 12 3 6" xfId="6262" xr:uid="{00000000-0005-0000-0000-000076180000}"/>
    <cellStyle name="Normal 2 2 10 12 3 7" xfId="6263" xr:uid="{00000000-0005-0000-0000-000077180000}"/>
    <cellStyle name="Normal 2 2 10 12 3 8" xfId="6264" xr:uid="{00000000-0005-0000-0000-000078180000}"/>
    <cellStyle name="Normal 2 2 10 12 3 9" xfId="6265" xr:uid="{00000000-0005-0000-0000-000079180000}"/>
    <cellStyle name="Normal 2 2 10 12 4" xfId="6266" xr:uid="{00000000-0005-0000-0000-00007A180000}"/>
    <cellStyle name="Normal 2 2 10 12 4 10" xfId="6267" xr:uid="{00000000-0005-0000-0000-00007B180000}"/>
    <cellStyle name="Normal 2 2 10 12 4 2" xfId="6268" xr:uid="{00000000-0005-0000-0000-00007C180000}"/>
    <cellStyle name="Normal 2 2 10 12 4 3" xfId="6269" xr:uid="{00000000-0005-0000-0000-00007D180000}"/>
    <cellStyle name="Normal 2 2 10 12 4 4" xfId="6270" xr:uid="{00000000-0005-0000-0000-00007E180000}"/>
    <cellStyle name="Normal 2 2 10 12 4 5" xfId="6271" xr:uid="{00000000-0005-0000-0000-00007F180000}"/>
    <cellStyle name="Normal 2 2 10 12 4 6" xfId="6272" xr:uid="{00000000-0005-0000-0000-000080180000}"/>
    <cellStyle name="Normal 2 2 10 12 4 7" xfId="6273" xr:uid="{00000000-0005-0000-0000-000081180000}"/>
    <cellStyle name="Normal 2 2 10 12 4 8" xfId="6274" xr:uid="{00000000-0005-0000-0000-000082180000}"/>
    <cellStyle name="Normal 2 2 10 12 4 9" xfId="6275" xr:uid="{00000000-0005-0000-0000-000083180000}"/>
    <cellStyle name="Normal 2 2 10 12 5" xfId="6276" xr:uid="{00000000-0005-0000-0000-000084180000}"/>
    <cellStyle name="Normal 2 2 10 12 5 10" xfId="6277" xr:uid="{00000000-0005-0000-0000-000085180000}"/>
    <cellStyle name="Normal 2 2 10 12 5 2" xfId="6278" xr:uid="{00000000-0005-0000-0000-000086180000}"/>
    <cellStyle name="Normal 2 2 10 12 5 3" xfId="6279" xr:uid="{00000000-0005-0000-0000-000087180000}"/>
    <cellStyle name="Normal 2 2 10 12 5 4" xfId="6280" xr:uid="{00000000-0005-0000-0000-000088180000}"/>
    <cellStyle name="Normal 2 2 10 12 5 5" xfId="6281" xr:uid="{00000000-0005-0000-0000-000089180000}"/>
    <cellStyle name="Normal 2 2 10 12 5 6" xfId="6282" xr:uid="{00000000-0005-0000-0000-00008A180000}"/>
    <cellStyle name="Normal 2 2 10 12 5 7" xfId="6283" xr:uid="{00000000-0005-0000-0000-00008B180000}"/>
    <cellStyle name="Normal 2 2 10 12 5 8" xfId="6284" xr:uid="{00000000-0005-0000-0000-00008C180000}"/>
    <cellStyle name="Normal 2 2 10 12 5 9" xfId="6285" xr:uid="{00000000-0005-0000-0000-00008D180000}"/>
    <cellStyle name="Normal 2 2 10 12 6" xfId="6286" xr:uid="{00000000-0005-0000-0000-00008E180000}"/>
    <cellStyle name="Normal 2 2 10 12 7" xfId="6287" xr:uid="{00000000-0005-0000-0000-00008F180000}"/>
    <cellStyle name="Normal 2 2 10 12 8" xfId="6288" xr:uid="{00000000-0005-0000-0000-000090180000}"/>
    <cellStyle name="Normal 2 2 10 12 9" xfId="6289" xr:uid="{00000000-0005-0000-0000-000091180000}"/>
    <cellStyle name="Normal 2 2 10 13" xfId="6290" xr:uid="{00000000-0005-0000-0000-000092180000}"/>
    <cellStyle name="Normal 2 2 10 13 10" xfId="6291" xr:uid="{00000000-0005-0000-0000-000093180000}"/>
    <cellStyle name="Normal 2 2 10 13 11" xfId="6292" xr:uid="{00000000-0005-0000-0000-000094180000}"/>
    <cellStyle name="Normal 2 2 10 13 12" xfId="6293" xr:uid="{00000000-0005-0000-0000-000095180000}"/>
    <cellStyle name="Normal 2 2 10 13 13" xfId="6294" xr:uid="{00000000-0005-0000-0000-000096180000}"/>
    <cellStyle name="Normal 2 2 10 13 14" xfId="6295" xr:uid="{00000000-0005-0000-0000-000097180000}"/>
    <cellStyle name="Normal 2 2 10 13 2" xfId="6296" xr:uid="{00000000-0005-0000-0000-000098180000}"/>
    <cellStyle name="Normal 2 2 10 13 2 10" xfId="6297" xr:uid="{00000000-0005-0000-0000-000099180000}"/>
    <cellStyle name="Normal 2 2 10 13 2 2" xfId="6298" xr:uid="{00000000-0005-0000-0000-00009A180000}"/>
    <cellStyle name="Normal 2 2 10 13 2 3" xfId="6299" xr:uid="{00000000-0005-0000-0000-00009B180000}"/>
    <cellStyle name="Normal 2 2 10 13 2 4" xfId="6300" xr:uid="{00000000-0005-0000-0000-00009C180000}"/>
    <cellStyle name="Normal 2 2 10 13 2 5" xfId="6301" xr:uid="{00000000-0005-0000-0000-00009D180000}"/>
    <cellStyle name="Normal 2 2 10 13 2 6" xfId="6302" xr:uid="{00000000-0005-0000-0000-00009E180000}"/>
    <cellStyle name="Normal 2 2 10 13 2 7" xfId="6303" xr:uid="{00000000-0005-0000-0000-00009F180000}"/>
    <cellStyle name="Normal 2 2 10 13 2 8" xfId="6304" xr:uid="{00000000-0005-0000-0000-0000A0180000}"/>
    <cellStyle name="Normal 2 2 10 13 2 9" xfId="6305" xr:uid="{00000000-0005-0000-0000-0000A1180000}"/>
    <cellStyle name="Normal 2 2 10 13 3" xfId="6306" xr:uid="{00000000-0005-0000-0000-0000A2180000}"/>
    <cellStyle name="Normal 2 2 10 13 3 10" xfId="6307" xr:uid="{00000000-0005-0000-0000-0000A3180000}"/>
    <cellStyle name="Normal 2 2 10 13 3 2" xfId="6308" xr:uid="{00000000-0005-0000-0000-0000A4180000}"/>
    <cellStyle name="Normal 2 2 10 13 3 3" xfId="6309" xr:uid="{00000000-0005-0000-0000-0000A5180000}"/>
    <cellStyle name="Normal 2 2 10 13 3 4" xfId="6310" xr:uid="{00000000-0005-0000-0000-0000A6180000}"/>
    <cellStyle name="Normal 2 2 10 13 3 5" xfId="6311" xr:uid="{00000000-0005-0000-0000-0000A7180000}"/>
    <cellStyle name="Normal 2 2 10 13 3 6" xfId="6312" xr:uid="{00000000-0005-0000-0000-0000A8180000}"/>
    <cellStyle name="Normal 2 2 10 13 3 7" xfId="6313" xr:uid="{00000000-0005-0000-0000-0000A9180000}"/>
    <cellStyle name="Normal 2 2 10 13 3 8" xfId="6314" xr:uid="{00000000-0005-0000-0000-0000AA180000}"/>
    <cellStyle name="Normal 2 2 10 13 3 9" xfId="6315" xr:uid="{00000000-0005-0000-0000-0000AB180000}"/>
    <cellStyle name="Normal 2 2 10 13 4" xfId="6316" xr:uid="{00000000-0005-0000-0000-0000AC180000}"/>
    <cellStyle name="Normal 2 2 10 13 4 10" xfId="6317" xr:uid="{00000000-0005-0000-0000-0000AD180000}"/>
    <cellStyle name="Normal 2 2 10 13 4 2" xfId="6318" xr:uid="{00000000-0005-0000-0000-0000AE180000}"/>
    <cellStyle name="Normal 2 2 10 13 4 3" xfId="6319" xr:uid="{00000000-0005-0000-0000-0000AF180000}"/>
    <cellStyle name="Normal 2 2 10 13 4 4" xfId="6320" xr:uid="{00000000-0005-0000-0000-0000B0180000}"/>
    <cellStyle name="Normal 2 2 10 13 4 5" xfId="6321" xr:uid="{00000000-0005-0000-0000-0000B1180000}"/>
    <cellStyle name="Normal 2 2 10 13 4 6" xfId="6322" xr:uid="{00000000-0005-0000-0000-0000B2180000}"/>
    <cellStyle name="Normal 2 2 10 13 4 7" xfId="6323" xr:uid="{00000000-0005-0000-0000-0000B3180000}"/>
    <cellStyle name="Normal 2 2 10 13 4 8" xfId="6324" xr:uid="{00000000-0005-0000-0000-0000B4180000}"/>
    <cellStyle name="Normal 2 2 10 13 4 9" xfId="6325" xr:uid="{00000000-0005-0000-0000-0000B5180000}"/>
    <cellStyle name="Normal 2 2 10 13 5" xfId="6326" xr:uid="{00000000-0005-0000-0000-0000B6180000}"/>
    <cellStyle name="Normal 2 2 10 13 5 10" xfId="6327" xr:uid="{00000000-0005-0000-0000-0000B7180000}"/>
    <cellStyle name="Normal 2 2 10 13 5 2" xfId="6328" xr:uid="{00000000-0005-0000-0000-0000B8180000}"/>
    <cellStyle name="Normal 2 2 10 13 5 3" xfId="6329" xr:uid="{00000000-0005-0000-0000-0000B9180000}"/>
    <cellStyle name="Normal 2 2 10 13 5 4" xfId="6330" xr:uid="{00000000-0005-0000-0000-0000BA180000}"/>
    <cellStyle name="Normal 2 2 10 13 5 5" xfId="6331" xr:uid="{00000000-0005-0000-0000-0000BB180000}"/>
    <cellStyle name="Normal 2 2 10 13 5 6" xfId="6332" xr:uid="{00000000-0005-0000-0000-0000BC180000}"/>
    <cellStyle name="Normal 2 2 10 13 5 7" xfId="6333" xr:uid="{00000000-0005-0000-0000-0000BD180000}"/>
    <cellStyle name="Normal 2 2 10 13 5 8" xfId="6334" xr:uid="{00000000-0005-0000-0000-0000BE180000}"/>
    <cellStyle name="Normal 2 2 10 13 5 9" xfId="6335" xr:uid="{00000000-0005-0000-0000-0000BF180000}"/>
    <cellStyle name="Normal 2 2 10 13 6" xfId="6336" xr:uid="{00000000-0005-0000-0000-0000C0180000}"/>
    <cellStyle name="Normal 2 2 10 13 7" xfId="6337" xr:uid="{00000000-0005-0000-0000-0000C1180000}"/>
    <cellStyle name="Normal 2 2 10 13 8" xfId="6338" xr:uid="{00000000-0005-0000-0000-0000C2180000}"/>
    <cellStyle name="Normal 2 2 10 13 9" xfId="6339" xr:uid="{00000000-0005-0000-0000-0000C3180000}"/>
    <cellStyle name="Normal 2 2 10 14" xfId="6340" xr:uid="{00000000-0005-0000-0000-0000C4180000}"/>
    <cellStyle name="Normal 2 2 10 14 10" xfId="6341" xr:uid="{00000000-0005-0000-0000-0000C5180000}"/>
    <cellStyle name="Normal 2 2 10 14 11" xfId="6342" xr:uid="{00000000-0005-0000-0000-0000C6180000}"/>
    <cellStyle name="Normal 2 2 10 14 12" xfId="6343" xr:uid="{00000000-0005-0000-0000-0000C7180000}"/>
    <cellStyle name="Normal 2 2 10 14 13" xfId="6344" xr:uid="{00000000-0005-0000-0000-0000C8180000}"/>
    <cellStyle name="Normal 2 2 10 14 14" xfId="6345" xr:uid="{00000000-0005-0000-0000-0000C9180000}"/>
    <cellStyle name="Normal 2 2 10 14 2" xfId="6346" xr:uid="{00000000-0005-0000-0000-0000CA180000}"/>
    <cellStyle name="Normal 2 2 10 14 2 10" xfId="6347" xr:uid="{00000000-0005-0000-0000-0000CB180000}"/>
    <cellStyle name="Normal 2 2 10 14 2 2" xfId="6348" xr:uid="{00000000-0005-0000-0000-0000CC180000}"/>
    <cellStyle name="Normal 2 2 10 14 2 3" xfId="6349" xr:uid="{00000000-0005-0000-0000-0000CD180000}"/>
    <cellStyle name="Normal 2 2 10 14 2 4" xfId="6350" xr:uid="{00000000-0005-0000-0000-0000CE180000}"/>
    <cellStyle name="Normal 2 2 10 14 2 5" xfId="6351" xr:uid="{00000000-0005-0000-0000-0000CF180000}"/>
    <cellStyle name="Normal 2 2 10 14 2 6" xfId="6352" xr:uid="{00000000-0005-0000-0000-0000D0180000}"/>
    <cellStyle name="Normal 2 2 10 14 2 7" xfId="6353" xr:uid="{00000000-0005-0000-0000-0000D1180000}"/>
    <cellStyle name="Normal 2 2 10 14 2 8" xfId="6354" xr:uid="{00000000-0005-0000-0000-0000D2180000}"/>
    <cellStyle name="Normal 2 2 10 14 2 9" xfId="6355" xr:uid="{00000000-0005-0000-0000-0000D3180000}"/>
    <cellStyle name="Normal 2 2 10 14 3" xfId="6356" xr:uid="{00000000-0005-0000-0000-0000D4180000}"/>
    <cellStyle name="Normal 2 2 10 14 3 10" xfId="6357" xr:uid="{00000000-0005-0000-0000-0000D5180000}"/>
    <cellStyle name="Normal 2 2 10 14 3 2" xfId="6358" xr:uid="{00000000-0005-0000-0000-0000D6180000}"/>
    <cellStyle name="Normal 2 2 10 14 3 3" xfId="6359" xr:uid="{00000000-0005-0000-0000-0000D7180000}"/>
    <cellStyle name="Normal 2 2 10 14 3 4" xfId="6360" xr:uid="{00000000-0005-0000-0000-0000D8180000}"/>
    <cellStyle name="Normal 2 2 10 14 3 5" xfId="6361" xr:uid="{00000000-0005-0000-0000-0000D9180000}"/>
    <cellStyle name="Normal 2 2 10 14 3 6" xfId="6362" xr:uid="{00000000-0005-0000-0000-0000DA180000}"/>
    <cellStyle name="Normal 2 2 10 14 3 7" xfId="6363" xr:uid="{00000000-0005-0000-0000-0000DB180000}"/>
    <cellStyle name="Normal 2 2 10 14 3 8" xfId="6364" xr:uid="{00000000-0005-0000-0000-0000DC180000}"/>
    <cellStyle name="Normal 2 2 10 14 3 9" xfId="6365" xr:uid="{00000000-0005-0000-0000-0000DD180000}"/>
    <cellStyle name="Normal 2 2 10 14 4" xfId="6366" xr:uid="{00000000-0005-0000-0000-0000DE180000}"/>
    <cellStyle name="Normal 2 2 10 14 4 10" xfId="6367" xr:uid="{00000000-0005-0000-0000-0000DF180000}"/>
    <cellStyle name="Normal 2 2 10 14 4 2" xfId="6368" xr:uid="{00000000-0005-0000-0000-0000E0180000}"/>
    <cellStyle name="Normal 2 2 10 14 4 3" xfId="6369" xr:uid="{00000000-0005-0000-0000-0000E1180000}"/>
    <cellStyle name="Normal 2 2 10 14 4 4" xfId="6370" xr:uid="{00000000-0005-0000-0000-0000E2180000}"/>
    <cellStyle name="Normal 2 2 10 14 4 5" xfId="6371" xr:uid="{00000000-0005-0000-0000-0000E3180000}"/>
    <cellStyle name="Normal 2 2 10 14 4 6" xfId="6372" xr:uid="{00000000-0005-0000-0000-0000E4180000}"/>
    <cellStyle name="Normal 2 2 10 14 4 7" xfId="6373" xr:uid="{00000000-0005-0000-0000-0000E5180000}"/>
    <cellStyle name="Normal 2 2 10 14 4 8" xfId="6374" xr:uid="{00000000-0005-0000-0000-0000E6180000}"/>
    <cellStyle name="Normal 2 2 10 14 4 9" xfId="6375" xr:uid="{00000000-0005-0000-0000-0000E7180000}"/>
    <cellStyle name="Normal 2 2 10 14 5" xfId="6376" xr:uid="{00000000-0005-0000-0000-0000E8180000}"/>
    <cellStyle name="Normal 2 2 10 14 5 10" xfId="6377" xr:uid="{00000000-0005-0000-0000-0000E9180000}"/>
    <cellStyle name="Normal 2 2 10 14 5 2" xfId="6378" xr:uid="{00000000-0005-0000-0000-0000EA180000}"/>
    <cellStyle name="Normal 2 2 10 14 5 3" xfId="6379" xr:uid="{00000000-0005-0000-0000-0000EB180000}"/>
    <cellStyle name="Normal 2 2 10 14 5 4" xfId="6380" xr:uid="{00000000-0005-0000-0000-0000EC180000}"/>
    <cellStyle name="Normal 2 2 10 14 5 5" xfId="6381" xr:uid="{00000000-0005-0000-0000-0000ED180000}"/>
    <cellStyle name="Normal 2 2 10 14 5 6" xfId="6382" xr:uid="{00000000-0005-0000-0000-0000EE180000}"/>
    <cellStyle name="Normal 2 2 10 14 5 7" xfId="6383" xr:uid="{00000000-0005-0000-0000-0000EF180000}"/>
    <cellStyle name="Normal 2 2 10 14 5 8" xfId="6384" xr:uid="{00000000-0005-0000-0000-0000F0180000}"/>
    <cellStyle name="Normal 2 2 10 14 5 9" xfId="6385" xr:uid="{00000000-0005-0000-0000-0000F1180000}"/>
    <cellStyle name="Normal 2 2 10 14 6" xfId="6386" xr:uid="{00000000-0005-0000-0000-0000F2180000}"/>
    <cellStyle name="Normal 2 2 10 14 7" xfId="6387" xr:uid="{00000000-0005-0000-0000-0000F3180000}"/>
    <cellStyle name="Normal 2 2 10 14 8" xfId="6388" xr:uid="{00000000-0005-0000-0000-0000F4180000}"/>
    <cellStyle name="Normal 2 2 10 14 9" xfId="6389" xr:uid="{00000000-0005-0000-0000-0000F5180000}"/>
    <cellStyle name="Normal 2 2 10 15" xfId="6390" xr:uid="{00000000-0005-0000-0000-0000F6180000}"/>
    <cellStyle name="Normal 2 2 10 15 10" xfId="6391" xr:uid="{00000000-0005-0000-0000-0000F7180000}"/>
    <cellStyle name="Normal 2 2 10 15 11" xfId="6392" xr:uid="{00000000-0005-0000-0000-0000F8180000}"/>
    <cellStyle name="Normal 2 2 10 15 12" xfId="6393" xr:uid="{00000000-0005-0000-0000-0000F9180000}"/>
    <cellStyle name="Normal 2 2 10 15 13" xfId="6394" xr:uid="{00000000-0005-0000-0000-0000FA180000}"/>
    <cellStyle name="Normal 2 2 10 15 14" xfId="6395" xr:uid="{00000000-0005-0000-0000-0000FB180000}"/>
    <cellStyle name="Normal 2 2 10 15 2" xfId="6396" xr:uid="{00000000-0005-0000-0000-0000FC180000}"/>
    <cellStyle name="Normal 2 2 10 15 2 10" xfId="6397" xr:uid="{00000000-0005-0000-0000-0000FD180000}"/>
    <cellStyle name="Normal 2 2 10 15 2 2" xfId="6398" xr:uid="{00000000-0005-0000-0000-0000FE180000}"/>
    <cellStyle name="Normal 2 2 10 15 2 3" xfId="6399" xr:uid="{00000000-0005-0000-0000-0000FF180000}"/>
    <cellStyle name="Normal 2 2 10 15 2 4" xfId="6400" xr:uid="{00000000-0005-0000-0000-000000190000}"/>
    <cellStyle name="Normal 2 2 10 15 2 5" xfId="6401" xr:uid="{00000000-0005-0000-0000-000001190000}"/>
    <cellStyle name="Normal 2 2 10 15 2 6" xfId="6402" xr:uid="{00000000-0005-0000-0000-000002190000}"/>
    <cellStyle name="Normal 2 2 10 15 2 7" xfId="6403" xr:uid="{00000000-0005-0000-0000-000003190000}"/>
    <cellStyle name="Normal 2 2 10 15 2 8" xfId="6404" xr:uid="{00000000-0005-0000-0000-000004190000}"/>
    <cellStyle name="Normal 2 2 10 15 2 9" xfId="6405" xr:uid="{00000000-0005-0000-0000-000005190000}"/>
    <cellStyle name="Normal 2 2 10 15 3" xfId="6406" xr:uid="{00000000-0005-0000-0000-000006190000}"/>
    <cellStyle name="Normal 2 2 10 15 3 10" xfId="6407" xr:uid="{00000000-0005-0000-0000-000007190000}"/>
    <cellStyle name="Normal 2 2 10 15 3 2" xfId="6408" xr:uid="{00000000-0005-0000-0000-000008190000}"/>
    <cellStyle name="Normal 2 2 10 15 3 3" xfId="6409" xr:uid="{00000000-0005-0000-0000-000009190000}"/>
    <cellStyle name="Normal 2 2 10 15 3 4" xfId="6410" xr:uid="{00000000-0005-0000-0000-00000A190000}"/>
    <cellStyle name="Normal 2 2 10 15 3 5" xfId="6411" xr:uid="{00000000-0005-0000-0000-00000B190000}"/>
    <cellStyle name="Normal 2 2 10 15 3 6" xfId="6412" xr:uid="{00000000-0005-0000-0000-00000C190000}"/>
    <cellStyle name="Normal 2 2 10 15 3 7" xfId="6413" xr:uid="{00000000-0005-0000-0000-00000D190000}"/>
    <cellStyle name="Normal 2 2 10 15 3 8" xfId="6414" xr:uid="{00000000-0005-0000-0000-00000E190000}"/>
    <cellStyle name="Normal 2 2 10 15 3 9" xfId="6415" xr:uid="{00000000-0005-0000-0000-00000F190000}"/>
    <cellStyle name="Normal 2 2 10 15 4" xfId="6416" xr:uid="{00000000-0005-0000-0000-000010190000}"/>
    <cellStyle name="Normal 2 2 10 15 4 10" xfId="6417" xr:uid="{00000000-0005-0000-0000-000011190000}"/>
    <cellStyle name="Normal 2 2 10 15 4 2" xfId="6418" xr:uid="{00000000-0005-0000-0000-000012190000}"/>
    <cellStyle name="Normal 2 2 10 15 4 3" xfId="6419" xr:uid="{00000000-0005-0000-0000-000013190000}"/>
    <cellStyle name="Normal 2 2 10 15 4 4" xfId="6420" xr:uid="{00000000-0005-0000-0000-000014190000}"/>
    <cellStyle name="Normal 2 2 10 15 4 5" xfId="6421" xr:uid="{00000000-0005-0000-0000-000015190000}"/>
    <cellStyle name="Normal 2 2 10 15 4 6" xfId="6422" xr:uid="{00000000-0005-0000-0000-000016190000}"/>
    <cellStyle name="Normal 2 2 10 15 4 7" xfId="6423" xr:uid="{00000000-0005-0000-0000-000017190000}"/>
    <cellStyle name="Normal 2 2 10 15 4 8" xfId="6424" xr:uid="{00000000-0005-0000-0000-000018190000}"/>
    <cellStyle name="Normal 2 2 10 15 4 9" xfId="6425" xr:uid="{00000000-0005-0000-0000-000019190000}"/>
    <cellStyle name="Normal 2 2 10 15 5" xfId="6426" xr:uid="{00000000-0005-0000-0000-00001A190000}"/>
    <cellStyle name="Normal 2 2 10 15 5 10" xfId="6427" xr:uid="{00000000-0005-0000-0000-00001B190000}"/>
    <cellStyle name="Normal 2 2 10 15 5 2" xfId="6428" xr:uid="{00000000-0005-0000-0000-00001C190000}"/>
    <cellStyle name="Normal 2 2 10 15 5 3" xfId="6429" xr:uid="{00000000-0005-0000-0000-00001D190000}"/>
    <cellStyle name="Normal 2 2 10 15 5 4" xfId="6430" xr:uid="{00000000-0005-0000-0000-00001E190000}"/>
    <cellStyle name="Normal 2 2 10 15 5 5" xfId="6431" xr:uid="{00000000-0005-0000-0000-00001F190000}"/>
    <cellStyle name="Normal 2 2 10 15 5 6" xfId="6432" xr:uid="{00000000-0005-0000-0000-000020190000}"/>
    <cellStyle name="Normal 2 2 10 15 5 7" xfId="6433" xr:uid="{00000000-0005-0000-0000-000021190000}"/>
    <cellStyle name="Normal 2 2 10 15 5 8" xfId="6434" xr:uid="{00000000-0005-0000-0000-000022190000}"/>
    <cellStyle name="Normal 2 2 10 15 5 9" xfId="6435" xr:uid="{00000000-0005-0000-0000-000023190000}"/>
    <cellStyle name="Normal 2 2 10 15 6" xfId="6436" xr:uid="{00000000-0005-0000-0000-000024190000}"/>
    <cellStyle name="Normal 2 2 10 15 7" xfId="6437" xr:uid="{00000000-0005-0000-0000-000025190000}"/>
    <cellStyle name="Normal 2 2 10 15 8" xfId="6438" xr:uid="{00000000-0005-0000-0000-000026190000}"/>
    <cellStyle name="Normal 2 2 10 15 9" xfId="6439" xr:uid="{00000000-0005-0000-0000-000027190000}"/>
    <cellStyle name="Normal 2 2 10 16" xfId="6440" xr:uid="{00000000-0005-0000-0000-000028190000}"/>
    <cellStyle name="Normal 2 2 10 16 10" xfId="6441" xr:uid="{00000000-0005-0000-0000-000029190000}"/>
    <cellStyle name="Normal 2 2 10 16 11" xfId="6442" xr:uid="{00000000-0005-0000-0000-00002A190000}"/>
    <cellStyle name="Normal 2 2 10 16 12" xfId="6443" xr:uid="{00000000-0005-0000-0000-00002B190000}"/>
    <cellStyle name="Normal 2 2 10 16 13" xfId="6444" xr:uid="{00000000-0005-0000-0000-00002C190000}"/>
    <cellStyle name="Normal 2 2 10 16 14" xfId="6445" xr:uid="{00000000-0005-0000-0000-00002D190000}"/>
    <cellStyle name="Normal 2 2 10 16 2" xfId="6446" xr:uid="{00000000-0005-0000-0000-00002E190000}"/>
    <cellStyle name="Normal 2 2 10 16 2 10" xfId="6447" xr:uid="{00000000-0005-0000-0000-00002F190000}"/>
    <cellStyle name="Normal 2 2 10 16 2 2" xfId="6448" xr:uid="{00000000-0005-0000-0000-000030190000}"/>
    <cellStyle name="Normal 2 2 10 16 2 3" xfId="6449" xr:uid="{00000000-0005-0000-0000-000031190000}"/>
    <cellStyle name="Normal 2 2 10 16 2 4" xfId="6450" xr:uid="{00000000-0005-0000-0000-000032190000}"/>
    <cellStyle name="Normal 2 2 10 16 2 5" xfId="6451" xr:uid="{00000000-0005-0000-0000-000033190000}"/>
    <cellStyle name="Normal 2 2 10 16 2 6" xfId="6452" xr:uid="{00000000-0005-0000-0000-000034190000}"/>
    <cellStyle name="Normal 2 2 10 16 2 7" xfId="6453" xr:uid="{00000000-0005-0000-0000-000035190000}"/>
    <cellStyle name="Normal 2 2 10 16 2 8" xfId="6454" xr:uid="{00000000-0005-0000-0000-000036190000}"/>
    <cellStyle name="Normal 2 2 10 16 2 9" xfId="6455" xr:uid="{00000000-0005-0000-0000-000037190000}"/>
    <cellStyle name="Normal 2 2 10 16 3" xfId="6456" xr:uid="{00000000-0005-0000-0000-000038190000}"/>
    <cellStyle name="Normal 2 2 10 16 3 10" xfId="6457" xr:uid="{00000000-0005-0000-0000-000039190000}"/>
    <cellStyle name="Normal 2 2 10 16 3 2" xfId="6458" xr:uid="{00000000-0005-0000-0000-00003A190000}"/>
    <cellStyle name="Normal 2 2 10 16 3 3" xfId="6459" xr:uid="{00000000-0005-0000-0000-00003B190000}"/>
    <cellStyle name="Normal 2 2 10 16 3 4" xfId="6460" xr:uid="{00000000-0005-0000-0000-00003C190000}"/>
    <cellStyle name="Normal 2 2 10 16 3 5" xfId="6461" xr:uid="{00000000-0005-0000-0000-00003D190000}"/>
    <cellStyle name="Normal 2 2 10 16 3 6" xfId="6462" xr:uid="{00000000-0005-0000-0000-00003E190000}"/>
    <cellStyle name="Normal 2 2 10 16 3 7" xfId="6463" xr:uid="{00000000-0005-0000-0000-00003F190000}"/>
    <cellStyle name="Normal 2 2 10 16 3 8" xfId="6464" xr:uid="{00000000-0005-0000-0000-000040190000}"/>
    <cellStyle name="Normal 2 2 10 16 3 9" xfId="6465" xr:uid="{00000000-0005-0000-0000-000041190000}"/>
    <cellStyle name="Normal 2 2 10 16 4" xfId="6466" xr:uid="{00000000-0005-0000-0000-000042190000}"/>
    <cellStyle name="Normal 2 2 10 16 4 10" xfId="6467" xr:uid="{00000000-0005-0000-0000-000043190000}"/>
    <cellStyle name="Normal 2 2 10 16 4 2" xfId="6468" xr:uid="{00000000-0005-0000-0000-000044190000}"/>
    <cellStyle name="Normal 2 2 10 16 4 3" xfId="6469" xr:uid="{00000000-0005-0000-0000-000045190000}"/>
    <cellStyle name="Normal 2 2 10 16 4 4" xfId="6470" xr:uid="{00000000-0005-0000-0000-000046190000}"/>
    <cellStyle name="Normal 2 2 10 16 4 5" xfId="6471" xr:uid="{00000000-0005-0000-0000-000047190000}"/>
    <cellStyle name="Normal 2 2 10 16 4 6" xfId="6472" xr:uid="{00000000-0005-0000-0000-000048190000}"/>
    <cellStyle name="Normal 2 2 10 16 4 7" xfId="6473" xr:uid="{00000000-0005-0000-0000-000049190000}"/>
    <cellStyle name="Normal 2 2 10 16 4 8" xfId="6474" xr:uid="{00000000-0005-0000-0000-00004A190000}"/>
    <cellStyle name="Normal 2 2 10 16 4 9" xfId="6475" xr:uid="{00000000-0005-0000-0000-00004B190000}"/>
    <cellStyle name="Normal 2 2 10 16 5" xfId="6476" xr:uid="{00000000-0005-0000-0000-00004C190000}"/>
    <cellStyle name="Normal 2 2 10 16 5 10" xfId="6477" xr:uid="{00000000-0005-0000-0000-00004D190000}"/>
    <cellStyle name="Normal 2 2 10 16 5 2" xfId="6478" xr:uid="{00000000-0005-0000-0000-00004E190000}"/>
    <cellStyle name="Normal 2 2 10 16 5 3" xfId="6479" xr:uid="{00000000-0005-0000-0000-00004F190000}"/>
    <cellStyle name="Normal 2 2 10 16 5 4" xfId="6480" xr:uid="{00000000-0005-0000-0000-000050190000}"/>
    <cellStyle name="Normal 2 2 10 16 5 5" xfId="6481" xr:uid="{00000000-0005-0000-0000-000051190000}"/>
    <cellStyle name="Normal 2 2 10 16 5 6" xfId="6482" xr:uid="{00000000-0005-0000-0000-000052190000}"/>
    <cellStyle name="Normal 2 2 10 16 5 7" xfId="6483" xr:uid="{00000000-0005-0000-0000-000053190000}"/>
    <cellStyle name="Normal 2 2 10 16 5 8" xfId="6484" xr:uid="{00000000-0005-0000-0000-000054190000}"/>
    <cellStyle name="Normal 2 2 10 16 5 9" xfId="6485" xr:uid="{00000000-0005-0000-0000-000055190000}"/>
    <cellStyle name="Normal 2 2 10 16 6" xfId="6486" xr:uid="{00000000-0005-0000-0000-000056190000}"/>
    <cellStyle name="Normal 2 2 10 16 7" xfId="6487" xr:uid="{00000000-0005-0000-0000-000057190000}"/>
    <cellStyle name="Normal 2 2 10 16 8" xfId="6488" xr:uid="{00000000-0005-0000-0000-000058190000}"/>
    <cellStyle name="Normal 2 2 10 16 9" xfId="6489" xr:uid="{00000000-0005-0000-0000-000059190000}"/>
    <cellStyle name="Normal 2 2 10 17" xfId="6490" xr:uid="{00000000-0005-0000-0000-00005A190000}"/>
    <cellStyle name="Normal 2 2 10 17 10" xfId="6491" xr:uid="{00000000-0005-0000-0000-00005B190000}"/>
    <cellStyle name="Normal 2 2 10 17 11" xfId="6492" xr:uid="{00000000-0005-0000-0000-00005C190000}"/>
    <cellStyle name="Normal 2 2 10 17 12" xfId="6493" xr:uid="{00000000-0005-0000-0000-00005D190000}"/>
    <cellStyle name="Normal 2 2 10 17 13" xfId="6494" xr:uid="{00000000-0005-0000-0000-00005E190000}"/>
    <cellStyle name="Normal 2 2 10 17 14" xfId="6495" xr:uid="{00000000-0005-0000-0000-00005F190000}"/>
    <cellStyle name="Normal 2 2 10 17 2" xfId="6496" xr:uid="{00000000-0005-0000-0000-000060190000}"/>
    <cellStyle name="Normal 2 2 10 17 2 10" xfId="6497" xr:uid="{00000000-0005-0000-0000-000061190000}"/>
    <cellStyle name="Normal 2 2 10 17 2 2" xfId="6498" xr:uid="{00000000-0005-0000-0000-000062190000}"/>
    <cellStyle name="Normal 2 2 10 17 2 3" xfId="6499" xr:uid="{00000000-0005-0000-0000-000063190000}"/>
    <cellStyle name="Normal 2 2 10 17 2 4" xfId="6500" xr:uid="{00000000-0005-0000-0000-000064190000}"/>
    <cellStyle name="Normal 2 2 10 17 2 5" xfId="6501" xr:uid="{00000000-0005-0000-0000-000065190000}"/>
    <cellStyle name="Normal 2 2 10 17 2 6" xfId="6502" xr:uid="{00000000-0005-0000-0000-000066190000}"/>
    <cellStyle name="Normal 2 2 10 17 2 7" xfId="6503" xr:uid="{00000000-0005-0000-0000-000067190000}"/>
    <cellStyle name="Normal 2 2 10 17 2 8" xfId="6504" xr:uid="{00000000-0005-0000-0000-000068190000}"/>
    <cellStyle name="Normal 2 2 10 17 2 9" xfId="6505" xr:uid="{00000000-0005-0000-0000-000069190000}"/>
    <cellStyle name="Normal 2 2 10 17 3" xfId="6506" xr:uid="{00000000-0005-0000-0000-00006A190000}"/>
    <cellStyle name="Normal 2 2 10 17 3 10" xfId="6507" xr:uid="{00000000-0005-0000-0000-00006B190000}"/>
    <cellStyle name="Normal 2 2 10 17 3 2" xfId="6508" xr:uid="{00000000-0005-0000-0000-00006C190000}"/>
    <cellStyle name="Normal 2 2 10 17 3 3" xfId="6509" xr:uid="{00000000-0005-0000-0000-00006D190000}"/>
    <cellStyle name="Normal 2 2 10 17 3 4" xfId="6510" xr:uid="{00000000-0005-0000-0000-00006E190000}"/>
    <cellStyle name="Normal 2 2 10 17 3 5" xfId="6511" xr:uid="{00000000-0005-0000-0000-00006F190000}"/>
    <cellStyle name="Normal 2 2 10 17 3 6" xfId="6512" xr:uid="{00000000-0005-0000-0000-000070190000}"/>
    <cellStyle name="Normal 2 2 10 17 3 7" xfId="6513" xr:uid="{00000000-0005-0000-0000-000071190000}"/>
    <cellStyle name="Normal 2 2 10 17 3 8" xfId="6514" xr:uid="{00000000-0005-0000-0000-000072190000}"/>
    <cellStyle name="Normal 2 2 10 17 3 9" xfId="6515" xr:uid="{00000000-0005-0000-0000-000073190000}"/>
    <cellStyle name="Normal 2 2 10 17 4" xfId="6516" xr:uid="{00000000-0005-0000-0000-000074190000}"/>
    <cellStyle name="Normal 2 2 10 17 4 10" xfId="6517" xr:uid="{00000000-0005-0000-0000-000075190000}"/>
    <cellStyle name="Normal 2 2 10 17 4 2" xfId="6518" xr:uid="{00000000-0005-0000-0000-000076190000}"/>
    <cellStyle name="Normal 2 2 10 17 4 3" xfId="6519" xr:uid="{00000000-0005-0000-0000-000077190000}"/>
    <cellStyle name="Normal 2 2 10 17 4 4" xfId="6520" xr:uid="{00000000-0005-0000-0000-000078190000}"/>
    <cellStyle name="Normal 2 2 10 17 4 5" xfId="6521" xr:uid="{00000000-0005-0000-0000-000079190000}"/>
    <cellStyle name="Normal 2 2 10 17 4 6" xfId="6522" xr:uid="{00000000-0005-0000-0000-00007A190000}"/>
    <cellStyle name="Normal 2 2 10 17 4 7" xfId="6523" xr:uid="{00000000-0005-0000-0000-00007B190000}"/>
    <cellStyle name="Normal 2 2 10 17 4 8" xfId="6524" xr:uid="{00000000-0005-0000-0000-00007C190000}"/>
    <cellStyle name="Normal 2 2 10 17 4 9" xfId="6525" xr:uid="{00000000-0005-0000-0000-00007D190000}"/>
    <cellStyle name="Normal 2 2 10 17 5" xfId="6526" xr:uid="{00000000-0005-0000-0000-00007E190000}"/>
    <cellStyle name="Normal 2 2 10 17 5 10" xfId="6527" xr:uid="{00000000-0005-0000-0000-00007F190000}"/>
    <cellStyle name="Normal 2 2 10 17 5 2" xfId="6528" xr:uid="{00000000-0005-0000-0000-000080190000}"/>
    <cellStyle name="Normal 2 2 10 17 5 3" xfId="6529" xr:uid="{00000000-0005-0000-0000-000081190000}"/>
    <cellStyle name="Normal 2 2 10 17 5 4" xfId="6530" xr:uid="{00000000-0005-0000-0000-000082190000}"/>
    <cellStyle name="Normal 2 2 10 17 5 5" xfId="6531" xr:uid="{00000000-0005-0000-0000-000083190000}"/>
    <cellStyle name="Normal 2 2 10 17 5 6" xfId="6532" xr:uid="{00000000-0005-0000-0000-000084190000}"/>
    <cellStyle name="Normal 2 2 10 17 5 7" xfId="6533" xr:uid="{00000000-0005-0000-0000-000085190000}"/>
    <cellStyle name="Normal 2 2 10 17 5 8" xfId="6534" xr:uid="{00000000-0005-0000-0000-000086190000}"/>
    <cellStyle name="Normal 2 2 10 17 5 9" xfId="6535" xr:uid="{00000000-0005-0000-0000-000087190000}"/>
    <cellStyle name="Normal 2 2 10 17 6" xfId="6536" xr:uid="{00000000-0005-0000-0000-000088190000}"/>
    <cellStyle name="Normal 2 2 10 17 7" xfId="6537" xr:uid="{00000000-0005-0000-0000-000089190000}"/>
    <cellStyle name="Normal 2 2 10 17 8" xfId="6538" xr:uid="{00000000-0005-0000-0000-00008A190000}"/>
    <cellStyle name="Normal 2 2 10 17 9" xfId="6539" xr:uid="{00000000-0005-0000-0000-00008B190000}"/>
    <cellStyle name="Normal 2 2 10 18" xfId="6540" xr:uid="{00000000-0005-0000-0000-00008C190000}"/>
    <cellStyle name="Normal 2 2 10 18 10" xfId="6541" xr:uid="{00000000-0005-0000-0000-00008D190000}"/>
    <cellStyle name="Normal 2 2 10 18 11" xfId="6542" xr:uid="{00000000-0005-0000-0000-00008E190000}"/>
    <cellStyle name="Normal 2 2 10 18 12" xfId="6543" xr:uid="{00000000-0005-0000-0000-00008F190000}"/>
    <cellStyle name="Normal 2 2 10 18 13" xfId="6544" xr:uid="{00000000-0005-0000-0000-000090190000}"/>
    <cellStyle name="Normal 2 2 10 18 14" xfId="6545" xr:uid="{00000000-0005-0000-0000-000091190000}"/>
    <cellStyle name="Normal 2 2 10 18 2" xfId="6546" xr:uid="{00000000-0005-0000-0000-000092190000}"/>
    <cellStyle name="Normal 2 2 10 18 2 10" xfId="6547" xr:uid="{00000000-0005-0000-0000-000093190000}"/>
    <cellStyle name="Normal 2 2 10 18 2 2" xfId="6548" xr:uid="{00000000-0005-0000-0000-000094190000}"/>
    <cellStyle name="Normal 2 2 10 18 2 3" xfId="6549" xr:uid="{00000000-0005-0000-0000-000095190000}"/>
    <cellStyle name="Normal 2 2 10 18 2 4" xfId="6550" xr:uid="{00000000-0005-0000-0000-000096190000}"/>
    <cellStyle name="Normal 2 2 10 18 2 5" xfId="6551" xr:uid="{00000000-0005-0000-0000-000097190000}"/>
    <cellStyle name="Normal 2 2 10 18 2 6" xfId="6552" xr:uid="{00000000-0005-0000-0000-000098190000}"/>
    <cellStyle name="Normal 2 2 10 18 2 7" xfId="6553" xr:uid="{00000000-0005-0000-0000-000099190000}"/>
    <cellStyle name="Normal 2 2 10 18 2 8" xfId="6554" xr:uid="{00000000-0005-0000-0000-00009A190000}"/>
    <cellStyle name="Normal 2 2 10 18 2 9" xfId="6555" xr:uid="{00000000-0005-0000-0000-00009B190000}"/>
    <cellStyle name="Normal 2 2 10 18 3" xfId="6556" xr:uid="{00000000-0005-0000-0000-00009C190000}"/>
    <cellStyle name="Normal 2 2 10 18 3 10" xfId="6557" xr:uid="{00000000-0005-0000-0000-00009D190000}"/>
    <cellStyle name="Normal 2 2 10 18 3 2" xfId="6558" xr:uid="{00000000-0005-0000-0000-00009E190000}"/>
    <cellStyle name="Normal 2 2 10 18 3 3" xfId="6559" xr:uid="{00000000-0005-0000-0000-00009F190000}"/>
    <cellStyle name="Normal 2 2 10 18 3 4" xfId="6560" xr:uid="{00000000-0005-0000-0000-0000A0190000}"/>
    <cellStyle name="Normal 2 2 10 18 3 5" xfId="6561" xr:uid="{00000000-0005-0000-0000-0000A1190000}"/>
    <cellStyle name="Normal 2 2 10 18 3 6" xfId="6562" xr:uid="{00000000-0005-0000-0000-0000A2190000}"/>
    <cellStyle name="Normal 2 2 10 18 3 7" xfId="6563" xr:uid="{00000000-0005-0000-0000-0000A3190000}"/>
    <cellStyle name="Normal 2 2 10 18 3 8" xfId="6564" xr:uid="{00000000-0005-0000-0000-0000A4190000}"/>
    <cellStyle name="Normal 2 2 10 18 3 9" xfId="6565" xr:uid="{00000000-0005-0000-0000-0000A5190000}"/>
    <cellStyle name="Normal 2 2 10 18 4" xfId="6566" xr:uid="{00000000-0005-0000-0000-0000A6190000}"/>
    <cellStyle name="Normal 2 2 10 18 4 10" xfId="6567" xr:uid="{00000000-0005-0000-0000-0000A7190000}"/>
    <cellStyle name="Normal 2 2 10 18 4 2" xfId="6568" xr:uid="{00000000-0005-0000-0000-0000A8190000}"/>
    <cellStyle name="Normal 2 2 10 18 4 3" xfId="6569" xr:uid="{00000000-0005-0000-0000-0000A9190000}"/>
    <cellStyle name="Normal 2 2 10 18 4 4" xfId="6570" xr:uid="{00000000-0005-0000-0000-0000AA190000}"/>
    <cellStyle name="Normal 2 2 10 18 4 5" xfId="6571" xr:uid="{00000000-0005-0000-0000-0000AB190000}"/>
    <cellStyle name="Normal 2 2 10 18 4 6" xfId="6572" xr:uid="{00000000-0005-0000-0000-0000AC190000}"/>
    <cellStyle name="Normal 2 2 10 18 4 7" xfId="6573" xr:uid="{00000000-0005-0000-0000-0000AD190000}"/>
    <cellStyle name="Normal 2 2 10 18 4 8" xfId="6574" xr:uid="{00000000-0005-0000-0000-0000AE190000}"/>
    <cellStyle name="Normal 2 2 10 18 4 9" xfId="6575" xr:uid="{00000000-0005-0000-0000-0000AF190000}"/>
    <cellStyle name="Normal 2 2 10 18 5" xfId="6576" xr:uid="{00000000-0005-0000-0000-0000B0190000}"/>
    <cellStyle name="Normal 2 2 10 18 5 10" xfId="6577" xr:uid="{00000000-0005-0000-0000-0000B1190000}"/>
    <cellStyle name="Normal 2 2 10 18 5 2" xfId="6578" xr:uid="{00000000-0005-0000-0000-0000B2190000}"/>
    <cellStyle name="Normal 2 2 10 18 5 3" xfId="6579" xr:uid="{00000000-0005-0000-0000-0000B3190000}"/>
    <cellStyle name="Normal 2 2 10 18 5 4" xfId="6580" xr:uid="{00000000-0005-0000-0000-0000B4190000}"/>
    <cellStyle name="Normal 2 2 10 18 5 5" xfId="6581" xr:uid="{00000000-0005-0000-0000-0000B5190000}"/>
    <cellStyle name="Normal 2 2 10 18 5 6" xfId="6582" xr:uid="{00000000-0005-0000-0000-0000B6190000}"/>
    <cellStyle name="Normal 2 2 10 18 5 7" xfId="6583" xr:uid="{00000000-0005-0000-0000-0000B7190000}"/>
    <cellStyle name="Normal 2 2 10 18 5 8" xfId="6584" xr:uid="{00000000-0005-0000-0000-0000B8190000}"/>
    <cellStyle name="Normal 2 2 10 18 5 9" xfId="6585" xr:uid="{00000000-0005-0000-0000-0000B9190000}"/>
    <cellStyle name="Normal 2 2 10 18 6" xfId="6586" xr:uid="{00000000-0005-0000-0000-0000BA190000}"/>
    <cellStyle name="Normal 2 2 10 18 7" xfId="6587" xr:uid="{00000000-0005-0000-0000-0000BB190000}"/>
    <cellStyle name="Normal 2 2 10 18 8" xfId="6588" xr:uid="{00000000-0005-0000-0000-0000BC190000}"/>
    <cellStyle name="Normal 2 2 10 18 9" xfId="6589" xr:uid="{00000000-0005-0000-0000-0000BD190000}"/>
    <cellStyle name="Normal 2 2 10 19" xfId="6590" xr:uid="{00000000-0005-0000-0000-0000BE190000}"/>
    <cellStyle name="Normal 2 2 10 19 10" xfId="6591" xr:uid="{00000000-0005-0000-0000-0000BF190000}"/>
    <cellStyle name="Normal 2 2 10 19 11" xfId="6592" xr:uid="{00000000-0005-0000-0000-0000C0190000}"/>
    <cellStyle name="Normal 2 2 10 19 12" xfId="6593" xr:uid="{00000000-0005-0000-0000-0000C1190000}"/>
    <cellStyle name="Normal 2 2 10 19 13" xfId="6594" xr:uid="{00000000-0005-0000-0000-0000C2190000}"/>
    <cellStyle name="Normal 2 2 10 19 14" xfId="6595" xr:uid="{00000000-0005-0000-0000-0000C3190000}"/>
    <cellStyle name="Normal 2 2 10 19 2" xfId="6596" xr:uid="{00000000-0005-0000-0000-0000C4190000}"/>
    <cellStyle name="Normal 2 2 10 19 2 10" xfId="6597" xr:uid="{00000000-0005-0000-0000-0000C5190000}"/>
    <cellStyle name="Normal 2 2 10 19 2 2" xfId="6598" xr:uid="{00000000-0005-0000-0000-0000C6190000}"/>
    <cellStyle name="Normal 2 2 10 19 2 3" xfId="6599" xr:uid="{00000000-0005-0000-0000-0000C7190000}"/>
    <cellStyle name="Normal 2 2 10 19 2 4" xfId="6600" xr:uid="{00000000-0005-0000-0000-0000C8190000}"/>
    <cellStyle name="Normal 2 2 10 19 2 5" xfId="6601" xr:uid="{00000000-0005-0000-0000-0000C9190000}"/>
    <cellStyle name="Normal 2 2 10 19 2 6" xfId="6602" xr:uid="{00000000-0005-0000-0000-0000CA190000}"/>
    <cellStyle name="Normal 2 2 10 19 2 7" xfId="6603" xr:uid="{00000000-0005-0000-0000-0000CB190000}"/>
    <cellStyle name="Normal 2 2 10 19 2 8" xfId="6604" xr:uid="{00000000-0005-0000-0000-0000CC190000}"/>
    <cellStyle name="Normal 2 2 10 19 2 9" xfId="6605" xr:uid="{00000000-0005-0000-0000-0000CD190000}"/>
    <cellStyle name="Normal 2 2 10 19 3" xfId="6606" xr:uid="{00000000-0005-0000-0000-0000CE190000}"/>
    <cellStyle name="Normal 2 2 10 19 3 10" xfId="6607" xr:uid="{00000000-0005-0000-0000-0000CF190000}"/>
    <cellStyle name="Normal 2 2 10 19 3 2" xfId="6608" xr:uid="{00000000-0005-0000-0000-0000D0190000}"/>
    <cellStyle name="Normal 2 2 10 19 3 3" xfId="6609" xr:uid="{00000000-0005-0000-0000-0000D1190000}"/>
    <cellStyle name="Normal 2 2 10 19 3 4" xfId="6610" xr:uid="{00000000-0005-0000-0000-0000D2190000}"/>
    <cellStyle name="Normal 2 2 10 19 3 5" xfId="6611" xr:uid="{00000000-0005-0000-0000-0000D3190000}"/>
    <cellStyle name="Normal 2 2 10 19 3 6" xfId="6612" xr:uid="{00000000-0005-0000-0000-0000D4190000}"/>
    <cellStyle name="Normal 2 2 10 19 3 7" xfId="6613" xr:uid="{00000000-0005-0000-0000-0000D5190000}"/>
    <cellStyle name="Normal 2 2 10 19 3 8" xfId="6614" xr:uid="{00000000-0005-0000-0000-0000D6190000}"/>
    <cellStyle name="Normal 2 2 10 19 3 9" xfId="6615" xr:uid="{00000000-0005-0000-0000-0000D7190000}"/>
    <cellStyle name="Normal 2 2 10 19 4" xfId="6616" xr:uid="{00000000-0005-0000-0000-0000D8190000}"/>
    <cellStyle name="Normal 2 2 10 19 4 10" xfId="6617" xr:uid="{00000000-0005-0000-0000-0000D9190000}"/>
    <cellStyle name="Normal 2 2 10 19 4 2" xfId="6618" xr:uid="{00000000-0005-0000-0000-0000DA190000}"/>
    <cellStyle name="Normal 2 2 10 19 4 3" xfId="6619" xr:uid="{00000000-0005-0000-0000-0000DB190000}"/>
    <cellStyle name="Normal 2 2 10 19 4 4" xfId="6620" xr:uid="{00000000-0005-0000-0000-0000DC190000}"/>
    <cellStyle name="Normal 2 2 10 19 4 5" xfId="6621" xr:uid="{00000000-0005-0000-0000-0000DD190000}"/>
    <cellStyle name="Normal 2 2 10 19 4 6" xfId="6622" xr:uid="{00000000-0005-0000-0000-0000DE190000}"/>
    <cellStyle name="Normal 2 2 10 19 4 7" xfId="6623" xr:uid="{00000000-0005-0000-0000-0000DF190000}"/>
    <cellStyle name="Normal 2 2 10 19 4 8" xfId="6624" xr:uid="{00000000-0005-0000-0000-0000E0190000}"/>
    <cellStyle name="Normal 2 2 10 19 4 9" xfId="6625" xr:uid="{00000000-0005-0000-0000-0000E1190000}"/>
    <cellStyle name="Normal 2 2 10 19 5" xfId="6626" xr:uid="{00000000-0005-0000-0000-0000E2190000}"/>
    <cellStyle name="Normal 2 2 10 19 5 10" xfId="6627" xr:uid="{00000000-0005-0000-0000-0000E3190000}"/>
    <cellStyle name="Normal 2 2 10 19 5 2" xfId="6628" xr:uid="{00000000-0005-0000-0000-0000E4190000}"/>
    <cellStyle name="Normal 2 2 10 19 5 3" xfId="6629" xr:uid="{00000000-0005-0000-0000-0000E5190000}"/>
    <cellStyle name="Normal 2 2 10 19 5 4" xfId="6630" xr:uid="{00000000-0005-0000-0000-0000E6190000}"/>
    <cellStyle name="Normal 2 2 10 19 5 5" xfId="6631" xr:uid="{00000000-0005-0000-0000-0000E7190000}"/>
    <cellStyle name="Normal 2 2 10 19 5 6" xfId="6632" xr:uid="{00000000-0005-0000-0000-0000E8190000}"/>
    <cellStyle name="Normal 2 2 10 19 5 7" xfId="6633" xr:uid="{00000000-0005-0000-0000-0000E9190000}"/>
    <cellStyle name="Normal 2 2 10 19 5 8" xfId="6634" xr:uid="{00000000-0005-0000-0000-0000EA190000}"/>
    <cellStyle name="Normal 2 2 10 19 5 9" xfId="6635" xr:uid="{00000000-0005-0000-0000-0000EB190000}"/>
    <cellStyle name="Normal 2 2 10 19 6" xfId="6636" xr:uid="{00000000-0005-0000-0000-0000EC190000}"/>
    <cellStyle name="Normal 2 2 10 19 7" xfId="6637" xr:uid="{00000000-0005-0000-0000-0000ED190000}"/>
    <cellStyle name="Normal 2 2 10 19 8" xfId="6638" xr:uid="{00000000-0005-0000-0000-0000EE190000}"/>
    <cellStyle name="Normal 2 2 10 19 9" xfId="6639" xr:uid="{00000000-0005-0000-0000-0000EF190000}"/>
    <cellStyle name="Normal 2 2 10 2" xfId="6640" xr:uid="{00000000-0005-0000-0000-0000F0190000}"/>
    <cellStyle name="Normal 2 2 10 2 10" xfId="6641" xr:uid="{00000000-0005-0000-0000-0000F1190000}"/>
    <cellStyle name="Normal 2 2 10 2 10 10" xfId="6642" xr:uid="{00000000-0005-0000-0000-0000F2190000}"/>
    <cellStyle name="Normal 2 2 10 2 10 11" xfId="6643" xr:uid="{00000000-0005-0000-0000-0000F3190000}"/>
    <cellStyle name="Normal 2 2 10 2 10 12" xfId="6644" xr:uid="{00000000-0005-0000-0000-0000F4190000}"/>
    <cellStyle name="Normal 2 2 10 2 10 13" xfId="6645" xr:uid="{00000000-0005-0000-0000-0000F5190000}"/>
    <cellStyle name="Normal 2 2 10 2 10 14" xfId="6646" xr:uid="{00000000-0005-0000-0000-0000F6190000}"/>
    <cellStyle name="Normal 2 2 10 2 10 2" xfId="6647" xr:uid="{00000000-0005-0000-0000-0000F7190000}"/>
    <cellStyle name="Normal 2 2 10 2 10 2 10" xfId="6648" xr:uid="{00000000-0005-0000-0000-0000F8190000}"/>
    <cellStyle name="Normal 2 2 10 2 10 2 2" xfId="6649" xr:uid="{00000000-0005-0000-0000-0000F9190000}"/>
    <cellStyle name="Normal 2 2 10 2 10 2 3" xfId="6650" xr:uid="{00000000-0005-0000-0000-0000FA190000}"/>
    <cellStyle name="Normal 2 2 10 2 10 2 4" xfId="6651" xr:uid="{00000000-0005-0000-0000-0000FB190000}"/>
    <cellStyle name="Normal 2 2 10 2 10 2 5" xfId="6652" xr:uid="{00000000-0005-0000-0000-0000FC190000}"/>
    <cellStyle name="Normal 2 2 10 2 10 2 6" xfId="6653" xr:uid="{00000000-0005-0000-0000-0000FD190000}"/>
    <cellStyle name="Normal 2 2 10 2 10 2 7" xfId="6654" xr:uid="{00000000-0005-0000-0000-0000FE190000}"/>
    <cellStyle name="Normal 2 2 10 2 10 2 8" xfId="6655" xr:uid="{00000000-0005-0000-0000-0000FF190000}"/>
    <cellStyle name="Normal 2 2 10 2 10 2 9" xfId="6656" xr:uid="{00000000-0005-0000-0000-0000001A0000}"/>
    <cellStyle name="Normal 2 2 10 2 10 3" xfId="6657" xr:uid="{00000000-0005-0000-0000-0000011A0000}"/>
    <cellStyle name="Normal 2 2 10 2 10 3 10" xfId="6658" xr:uid="{00000000-0005-0000-0000-0000021A0000}"/>
    <cellStyle name="Normal 2 2 10 2 10 3 2" xfId="6659" xr:uid="{00000000-0005-0000-0000-0000031A0000}"/>
    <cellStyle name="Normal 2 2 10 2 10 3 3" xfId="6660" xr:uid="{00000000-0005-0000-0000-0000041A0000}"/>
    <cellStyle name="Normal 2 2 10 2 10 3 4" xfId="6661" xr:uid="{00000000-0005-0000-0000-0000051A0000}"/>
    <cellStyle name="Normal 2 2 10 2 10 3 5" xfId="6662" xr:uid="{00000000-0005-0000-0000-0000061A0000}"/>
    <cellStyle name="Normal 2 2 10 2 10 3 6" xfId="6663" xr:uid="{00000000-0005-0000-0000-0000071A0000}"/>
    <cellStyle name="Normal 2 2 10 2 10 3 7" xfId="6664" xr:uid="{00000000-0005-0000-0000-0000081A0000}"/>
    <cellStyle name="Normal 2 2 10 2 10 3 8" xfId="6665" xr:uid="{00000000-0005-0000-0000-0000091A0000}"/>
    <cellStyle name="Normal 2 2 10 2 10 3 9" xfId="6666" xr:uid="{00000000-0005-0000-0000-00000A1A0000}"/>
    <cellStyle name="Normal 2 2 10 2 10 4" xfId="6667" xr:uid="{00000000-0005-0000-0000-00000B1A0000}"/>
    <cellStyle name="Normal 2 2 10 2 10 4 10" xfId="6668" xr:uid="{00000000-0005-0000-0000-00000C1A0000}"/>
    <cellStyle name="Normal 2 2 10 2 10 4 2" xfId="6669" xr:uid="{00000000-0005-0000-0000-00000D1A0000}"/>
    <cellStyle name="Normal 2 2 10 2 10 4 3" xfId="6670" xr:uid="{00000000-0005-0000-0000-00000E1A0000}"/>
    <cellStyle name="Normal 2 2 10 2 10 4 4" xfId="6671" xr:uid="{00000000-0005-0000-0000-00000F1A0000}"/>
    <cellStyle name="Normal 2 2 10 2 10 4 5" xfId="6672" xr:uid="{00000000-0005-0000-0000-0000101A0000}"/>
    <cellStyle name="Normal 2 2 10 2 10 4 6" xfId="6673" xr:uid="{00000000-0005-0000-0000-0000111A0000}"/>
    <cellStyle name="Normal 2 2 10 2 10 4 7" xfId="6674" xr:uid="{00000000-0005-0000-0000-0000121A0000}"/>
    <cellStyle name="Normal 2 2 10 2 10 4 8" xfId="6675" xr:uid="{00000000-0005-0000-0000-0000131A0000}"/>
    <cellStyle name="Normal 2 2 10 2 10 4 9" xfId="6676" xr:uid="{00000000-0005-0000-0000-0000141A0000}"/>
    <cellStyle name="Normal 2 2 10 2 10 5" xfId="6677" xr:uid="{00000000-0005-0000-0000-0000151A0000}"/>
    <cellStyle name="Normal 2 2 10 2 10 5 10" xfId="6678" xr:uid="{00000000-0005-0000-0000-0000161A0000}"/>
    <cellStyle name="Normal 2 2 10 2 10 5 2" xfId="6679" xr:uid="{00000000-0005-0000-0000-0000171A0000}"/>
    <cellStyle name="Normal 2 2 10 2 10 5 3" xfId="6680" xr:uid="{00000000-0005-0000-0000-0000181A0000}"/>
    <cellStyle name="Normal 2 2 10 2 10 5 4" xfId="6681" xr:uid="{00000000-0005-0000-0000-0000191A0000}"/>
    <cellStyle name="Normal 2 2 10 2 10 5 5" xfId="6682" xr:uid="{00000000-0005-0000-0000-00001A1A0000}"/>
    <cellStyle name="Normal 2 2 10 2 10 5 6" xfId="6683" xr:uid="{00000000-0005-0000-0000-00001B1A0000}"/>
    <cellStyle name="Normal 2 2 10 2 10 5 7" xfId="6684" xr:uid="{00000000-0005-0000-0000-00001C1A0000}"/>
    <cellStyle name="Normal 2 2 10 2 10 5 8" xfId="6685" xr:uid="{00000000-0005-0000-0000-00001D1A0000}"/>
    <cellStyle name="Normal 2 2 10 2 10 5 9" xfId="6686" xr:uid="{00000000-0005-0000-0000-00001E1A0000}"/>
    <cellStyle name="Normal 2 2 10 2 10 6" xfId="6687" xr:uid="{00000000-0005-0000-0000-00001F1A0000}"/>
    <cellStyle name="Normal 2 2 10 2 10 7" xfId="6688" xr:uid="{00000000-0005-0000-0000-0000201A0000}"/>
    <cellStyle name="Normal 2 2 10 2 10 8" xfId="6689" xr:uid="{00000000-0005-0000-0000-0000211A0000}"/>
    <cellStyle name="Normal 2 2 10 2 10 9" xfId="6690" xr:uid="{00000000-0005-0000-0000-0000221A0000}"/>
    <cellStyle name="Normal 2 2 10 2 11" xfId="6691" xr:uid="{00000000-0005-0000-0000-0000231A0000}"/>
    <cellStyle name="Normal 2 2 10 2 11 10" xfId="6692" xr:uid="{00000000-0005-0000-0000-0000241A0000}"/>
    <cellStyle name="Normal 2 2 10 2 11 11" xfId="6693" xr:uid="{00000000-0005-0000-0000-0000251A0000}"/>
    <cellStyle name="Normal 2 2 10 2 11 12" xfId="6694" xr:uid="{00000000-0005-0000-0000-0000261A0000}"/>
    <cellStyle name="Normal 2 2 10 2 11 13" xfId="6695" xr:uid="{00000000-0005-0000-0000-0000271A0000}"/>
    <cellStyle name="Normal 2 2 10 2 11 14" xfId="6696" xr:uid="{00000000-0005-0000-0000-0000281A0000}"/>
    <cellStyle name="Normal 2 2 10 2 11 2" xfId="6697" xr:uid="{00000000-0005-0000-0000-0000291A0000}"/>
    <cellStyle name="Normal 2 2 10 2 11 2 10" xfId="6698" xr:uid="{00000000-0005-0000-0000-00002A1A0000}"/>
    <cellStyle name="Normal 2 2 10 2 11 2 2" xfId="6699" xr:uid="{00000000-0005-0000-0000-00002B1A0000}"/>
    <cellStyle name="Normal 2 2 10 2 11 2 3" xfId="6700" xr:uid="{00000000-0005-0000-0000-00002C1A0000}"/>
    <cellStyle name="Normal 2 2 10 2 11 2 4" xfId="6701" xr:uid="{00000000-0005-0000-0000-00002D1A0000}"/>
    <cellStyle name="Normal 2 2 10 2 11 2 5" xfId="6702" xr:uid="{00000000-0005-0000-0000-00002E1A0000}"/>
    <cellStyle name="Normal 2 2 10 2 11 2 6" xfId="6703" xr:uid="{00000000-0005-0000-0000-00002F1A0000}"/>
    <cellStyle name="Normal 2 2 10 2 11 2 7" xfId="6704" xr:uid="{00000000-0005-0000-0000-0000301A0000}"/>
    <cellStyle name="Normal 2 2 10 2 11 2 8" xfId="6705" xr:uid="{00000000-0005-0000-0000-0000311A0000}"/>
    <cellStyle name="Normal 2 2 10 2 11 2 9" xfId="6706" xr:uid="{00000000-0005-0000-0000-0000321A0000}"/>
    <cellStyle name="Normal 2 2 10 2 11 3" xfId="6707" xr:uid="{00000000-0005-0000-0000-0000331A0000}"/>
    <cellStyle name="Normal 2 2 10 2 11 3 10" xfId="6708" xr:uid="{00000000-0005-0000-0000-0000341A0000}"/>
    <cellStyle name="Normal 2 2 10 2 11 3 2" xfId="6709" xr:uid="{00000000-0005-0000-0000-0000351A0000}"/>
    <cellStyle name="Normal 2 2 10 2 11 3 3" xfId="6710" xr:uid="{00000000-0005-0000-0000-0000361A0000}"/>
    <cellStyle name="Normal 2 2 10 2 11 3 4" xfId="6711" xr:uid="{00000000-0005-0000-0000-0000371A0000}"/>
    <cellStyle name="Normal 2 2 10 2 11 3 5" xfId="6712" xr:uid="{00000000-0005-0000-0000-0000381A0000}"/>
    <cellStyle name="Normal 2 2 10 2 11 3 6" xfId="6713" xr:uid="{00000000-0005-0000-0000-0000391A0000}"/>
    <cellStyle name="Normal 2 2 10 2 11 3 7" xfId="6714" xr:uid="{00000000-0005-0000-0000-00003A1A0000}"/>
    <cellStyle name="Normal 2 2 10 2 11 3 8" xfId="6715" xr:uid="{00000000-0005-0000-0000-00003B1A0000}"/>
    <cellStyle name="Normal 2 2 10 2 11 3 9" xfId="6716" xr:uid="{00000000-0005-0000-0000-00003C1A0000}"/>
    <cellStyle name="Normal 2 2 10 2 11 4" xfId="6717" xr:uid="{00000000-0005-0000-0000-00003D1A0000}"/>
    <cellStyle name="Normal 2 2 10 2 11 4 10" xfId="6718" xr:uid="{00000000-0005-0000-0000-00003E1A0000}"/>
    <cellStyle name="Normal 2 2 10 2 11 4 2" xfId="6719" xr:uid="{00000000-0005-0000-0000-00003F1A0000}"/>
    <cellStyle name="Normal 2 2 10 2 11 4 3" xfId="6720" xr:uid="{00000000-0005-0000-0000-0000401A0000}"/>
    <cellStyle name="Normal 2 2 10 2 11 4 4" xfId="6721" xr:uid="{00000000-0005-0000-0000-0000411A0000}"/>
    <cellStyle name="Normal 2 2 10 2 11 4 5" xfId="6722" xr:uid="{00000000-0005-0000-0000-0000421A0000}"/>
    <cellStyle name="Normal 2 2 10 2 11 4 6" xfId="6723" xr:uid="{00000000-0005-0000-0000-0000431A0000}"/>
    <cellStyle name="Normal 2 2 10 2 11 4 7" xfId="6724" xr:uid="{00000000-0005-0000-0000-0000441A0000}"/>
    <cellStyle name="Normal 2 2 10 2 11 4 8" xfId="6725" xr:uid="{00000000-0005-0000-0000-0000451A0000}"/>
    <cellStyle name="Normal 2 2 10 2 11 4 9" xfId="6726" xr:uid="{00000000-0005-0000-0000-0000461A0000}"/>
    <cellStyle name="Normal 2 2 10 2 11 5" xfId="6727" xr:uid="{00000000-0005-0000-0000-0000471A0000}"/>
    <cellStyle name="Normal 2 2 10 2 11 5 10" xfId="6728" xr:uid="{00000000-0005-0000-0000-0000481A0000}"/>
    <cellStyle name="Normal 2 2 10 2 11 5 2" xfId="6729" xr:uid="{00000000-0005-0000-0000-0000491A0000}"/>
    <cellStyle name="Normal 2 2 10 2 11 5 3" xfId="6730" xr:uid="{00000000-0005-0000-0000-00004A1A0000}"/>
    <cellStyle name="Normal 2 2 10 2 11 5 4" xfId="6731" xr:uid="{00000000-0005-0000-0000-00004B1A0000}"/>
    <cellStyle name="Normal 2 2 10 2 11 5 5" xfId="6732" xr:uid="{00000000-0005-0000-0000-00004C1A0000}"/>
    <cellStyle name="Normal 2 2 10 2 11 5 6" xfId="6733" xr:uid="{00000000-0005-0000-0000-00004D1A0000}"/>
    <cellStyle name="Normal 2 2 10 2 11 5 7" xfId="6734" xr:uid="{00000000-0005-0000-0000-00004E1A0000}"/>
    <cellStyle name="Normal 2 2 10 2 11 5 8" xfId="6735" xr:uid="{00000000-0005-0000-0000-00004F1A0000}"/>
    <cellStyle name="Normal 2 2 10 2 11 5 9" xfId="6736" xr:uid="{00000000-0005-0000-0000-0000501A0000}"/>
    <cellStyle name="Normal 2 2 10 2 11 6" xfId="6737" xr:uid="{00000000-0005-0000-0000-0000511A0000}"/>
    <cellStyle name="Normal 2 2 10 2 11 7" xfId="6738" xr:uid="{00000000-0005-0000-0000-0000521A0000}"/>
    <cellStyle name="Normal 2 2 10 2 11 8" xfId="6739" xr:uid="{00000000-0005-0000-0000-0000531A0000}"/>
    <cellStyle name="Normal 2 2 10 2 11 9" xfId="6740" xr:uid="{00000000-0005-0000-0000-0000541A0000}"/>
    <cellStyle name="Normal 2 2 10 2 12" xfId="6741" xr:uid="{00000000-0005-0000-0000-0000551A0000}"/>
    <cellStyle name="Normal 2 2 10 2 12 10" xfId="6742" xr:uid="{00000000-0005-0000-0000-0000561A0000}"/>
    <cellStyle name="Normal 2 2 10 2 12 11" xfId="6743" xr:uid="{00000000-0005-0000-0000-0000571A0000}"/>
    <cellStyle name="Normal 2 2 10 2 12 12" xfId="6744" xr:uid="{00000000-0005-0000-0000-0000581A0000}"/>
    <cellStyle name="Normal 2 2 10 2 12 13" xfId="6745" xr:uid="{00000000-0005-0000-0000-0000591A0000}"/>
    <cellStyle name="Normal 2 2 10 2 12 14" xfId="6746" xr:uid="{00000000-0005-0000-0000-00005A1A0000}"/>
    <cellStyle name="Normal 2 2 10 2 12 2" xfId="6747" xr:uid="{00000000-0005-0000-0000-00005B1A0000}"/>
    <cellStyle name="Normal 2 2 10 2 12 2 10" xfId="6748" xr:uid="{00000000-0005-0000-0000-00005C1A0000}"/>
    <cellStyle name="Normal 2 2 10 2 12 2 2" xfId="6749" xr:uid="{00000000-0005-0000-0000-00005D1A0000}"/>
    <cellStyle name="Normal 2 2 10 2 12 2 3" xfId="6750" xr:uid="{00000000-0005-0000-0000-00005E1A0000}"/>
    <cellStyle name="Normal 2 2 10 2 12 2 4" xfId="6751" xr:uid="{00000000-0005-0000-0000-00005F1A0000}"/>
    <cellStyle name="Normal 2 2 10 2 12 2 5" xfId="6752" xr:uid="{00000000-0005-0000-0000-0000601A0000}"/>
    <cellStyle name="Normal 2 2 10 2 12 2 6" xfId="6753" xr:uid="{00000000-0005-0000-0000-0000611A0000}"/>
    <cellStyle name="Normal 2 2 10 2 12 2 7" xfId="6754" xr:uid="{00000000-0005-0000-0000-0000621A0000}"/>
    <cellStyle name="Normal 2 2 10 2 12 2 8" xfId="6755" xr:uid="{00000000-0005-0000-0000-0000631A0000}"/>
    <cellStyle name="Normal 2 2 10 2 12 2 9" xfId="6756" xr:uid="{00000000-0005-0000-0000-0000641A0000}"/>
    <cellStyle name="Normal 2 2 10 2 12 3" xfId="6757" xr:uid="{00000000-0005-0000-0000-0000651A0000}"/>
    <cellStyle name="Normal 2 2 10 2 12 3 10" xfId="6758" xr:uid="{00000000-0005-0000-0000-0000661A0000}"/>
    <cellStyle name="Normal 2 2 10 2 12 3 2" xfId="6759" xr:uid="{00000000-0005-0000-0000-0000671A0000}"/>
    <cellStyle name="Normal 2 2 10 2 12 3 3" xfId="6760" xr:uid="{00000000-0005-0000-0000-0000681A0000}"/>
    <cellStyle name="Normal 2 2 10 2 12 3 4" xfId="6761" xr:uid="{00000000-0005-0000-0000-0000691A0000}"/>
    <cellStyle name="Normal 2 2 10 2 12 3 5" xfId="6762" xr:uid="{00000000-0005-0000-0000-00006A1A0000}"/>
    <cellStyle name="Normal 2 2 10 2 12 3 6" xfId="6763" xr:uid="{00000000-0005-0000-0000-00006B1A0000}"/>
    <cellStyle name="Normal 2 2 10 2 12 3 7" xfId="6764" xr:uid="{00000000-0005-0000-0000-00006C1A0000}"/>
    <cellStyle name="Normal 2 2 10 2 12 3 8" xfId="6765" xr:uid="{00000000-0005-0000-0000-00006D1A0000}"/>
    <cellStyle name="Normal 2 2 10 2 12 3 9" xfId="6766" xr:uid="{00000000-0005-0000-0000-00006E1A0000}"/>
    <cellStyle name="Normal 2 2 10 2 12 4" xfId="6767" xr:uid="{00000000-0005-0000-0000-00006F1A0000}"/>
    <cellStyle name="Normal 2 2 10 2 12 4 10" xfId="6768" xr:uid="{00000000-0005-0000-0000-0000701A0000}"/>
    <cellStyle name="Normal 2 2 10 2 12 4 2" xfId="6769" xr:uid="{00000000-0005-0000-0000-0000711A0000}"/>
    <cellStyle name="Normal 2 2 10 2 12 4 3" xfId="6770" xr:uid="{00000000-0005-0000-0000-0000721A0000}"/>
    <cellStyle name="Normal 2 2 10 2 12 4 4" xfId="6771" xr:uid="{00000000-0005-0000-0000-0000731A0000}"/>
    <cellStyle name="Normal 2 2 10 2 12 4 5" xfId="6772" xr:uid="{00000000-0005-0000-0000-0000741A0000}"/>
    <cellStyle name="Normal 2 2 10 2 12 4 6" xfId="6773" xr:uid="{00000000-0005-0000-0000-0000751A0000}"/>
    <cellStyle name="Normal 2 2 10 2 12 4 7" xfId="6774" xr:uid="{00000000-0005-0000-0000-0000761A0000}"/>
    <cellStyle name="Normal 2 2 10 2 12 4 8" xfId="6775" xr:uid="{00000000-0005-0000-0000-0000771A0000}"/>
    <cellStyle name="Normal 2 2 10 2 12 4 9" xfId="6776" xr:uid="{00000000-0005-0000-0000-0000781A0000}"/>
    <cellStyle name="Normal 2 2 10 2 12 5" xfId="6777" xr:uid="{00000000-0005-0000-0000-0000791A0000}"/>
    <cellStyle name="Normal 2 2 10 2 12 5 10" xfId="6778" xr:uid="{00000000-0005-0000-0000-00007A1A0000}"/>
    <cellStyle name="Normal 2 2 10 2 12 5 2" xfId="6779" xr:uid="{00000000-0005-0000-0000-00007B1A0000}"/>
    <cellStyle name="Normal 2 2 10 2 12 5 3" xfId="6780" xr:uid="{00000000-0005-0000-0000-00007C1A0000}"/>
    <cellStyle name="Normal 2 2 10 2 12 5 4" xfId="6781" xr:uid="{00000000-0005-0000-0000-00007D1A0000}"/>
    <cellStyle name="Normal 2 2 10 2 12 5 5" xfId="6782" xr:uid="{00000000-0005-0000-0000-00007E1A0000}"/>
    <cellStyle name="Normal 2 2 10 2 12 5 6" xfId="6783" xr:uid="{00000000-0005-0000-0000-00007F1A0000}"/>
    <cellStyle name="Normal 2 2 10 2 12 5 7" xfId="6784" xr:uid="{00000000-0005-0000-0000-0000801A0000}"/>
    <cellStyle name="Normal 2 2 10 2 12 5 8" xfId="6785" xr:uid="{00000000-0005-0000-0000-0000811A0000}"/>
    <cellStyle name="Normal 2 2 10 2 12 5 9" xfId="6786" xr:uid="{00000000-0005-0000-0000-0000821A0000}"/>
    <cellStyle name="Normal 2 2 10 2 12 6" xfId="6787" xr:uid="{00000000-0005-0000-0000-0000831A0000}"/>
    <cellStyle name="Normal 2 2 10 2 12 7" xfId="6788" xr:uid="{00000000-0005-0000-0000-0000841A0000}"/>
    <cellStyle name="Normal 2 2 10 2 12 8" xfId="6789" xr:uid="{00000000-0005-0000-0000-0000851A0000}"/>
    <cellStyle name="Normal 2 2 10 2 12 9" xfId="6790" xr:uid="{00000000-0005-0000-0000-0000861A0000}"/>
    <cellStyle name="Normal 2 2 10 2 13" xfId="6791" xr:uid="{00000000-0005-0000-0000-0000871A0000}"/>
    <cellStyle name="Normal 2 2 10 2 13 10" xfId="6792" xr:uid="{00000000-0005-0000-0000-0000881A0000}"/>
    <cellStyle name="Normal 2 2 10 2 13 11" xfId="6793" xr:uid="{00000000-0005-0000-0000-0000891A0000}"/>
    <cellStyle name="Normal 2 2 10 2 13 12" xfId="6794" xr:uid="{00000000-0005-0000-0000-00008A1A0000}"/>
    <cellStyle name="Normal 2 2 10 2 13 13" xfId="6795" xr:uid="{00000000-0005-0000-0000-00008B1A0000}"/>
    <cellStyle name="Normal 2 2 10 2 13 14" xfId="6796" xr:uid="{00000000-0005-0000-0000-00008C1A0000}"/>
    <cellStyle name="Normal 2 2 10 2 13 2" xfId="6797" xr:uid="{00000000-0005-0000-0000-00008D1A0000}"/>
    <cellStyle name="Normal 2 2 10 2 13 2 10" xfId="6798" xr:uid="{00000000-0005-0000-0000-00008E1A0000}"/>
    <cellStyle name="Normal 2 2 10 2 13 2 2" xfId="6799" xr:uid="{00000000-0005-0000-0000-00008F1A0000}"/>
    <cellStyle name="Normal 2 2 10 2 13 2 3" xfId="6800" xr:uid="{00000000-0005-0000-0000-0000901A0000}"/>
    <cellStyle name="Normal 2 2 10 2 13 2 4" xfId="6801" xr:uid="{00000000-0005-0000-0000-0000911A0000}"/>
    <cellStyle name="Normal 2 2 10 2 13 2 5" xfId="6802" xr:uid="{00000000-0005-0000-0000-0000921A0000}"/>
    <cellStyle name="Normal 2 2 10 2 13 2 6" xfId="6803" xr:uid="{00000000-0005-0000-0000-0000931A0000}"/>
    <cellStyle name="Normal 2 2 10 2 13 2 7" xfId="6804" xr:uid="{00000000-0005-0000-0000-0000941A0000}"/>
    <cellStyle name="Normal 2 2 10 2 13 2 8" xfId="6805" xr:uid="{00000000-0005-0000-0000-0000951A0000}"/>
    <cellStyle name="Normal 2 2 10 2 13 2 9" xfId="6806" xr:uid="{00000000-0005-0000-0000-0000961A0000}"/>
    <cellStyle name="Normal 2 2 10 2 13 3" xfId="6807" xr:uid="{00000000-0005-0000-0000-0000971A0000}"/>
    <cellStyle name="Normal 2 2 10 2 13 3 10" xfId="6808" xr:uid="{00000000-0005-0000-0000-0000981A0000}"/>
    <cellStyle name="Normal 2 2 10 2 13 3 2" xfId="6809" xr:uid="{00000000-0005-0000-0000-0000991A0000}"/>
    <cellStyle name="Normal 2 2 10 2 13 3 3" xfId="6810" xr:uid="{00000000-0005-0000-0000-00009A1A0000}"/>
    <cellStyle name="Normal 2 2 10 2 13 3 4" xfId="6811" xr:uid="{00000000-0005-0000-0000-00009B1A0000}"/>
    <cellStyle name="Normal 2 2 10 2 13 3 5" xfId="6812" xr:uid="{00000000-0005-0000-0000-00009C1A0000}"/>
    <cellStyle name="Normal 2 2 10 2 13 3 6" xfId="6813" xr:uid="{00000000-0005-0000-0000-00009D1A0000}"/>
    <cellStyle name="Normal 2 2 10 2 13 3 7" xfId="6814" xr:uid="{00000000-0005-0000-0000-00009E1A0000}"/>
    <cellStyle name="Normal 2 2 10 2 13 3 8" xfId="6815" xr:uid="{00000000-0005-0000-0000-00009F1A0000}"/>
    <cellStyle name="Normal 2 2 10 2 13 3 9" xfId="6816" xr:uid="{00000000-0005-0000-0000-0000A01A0000}"/>
    <cellStyle name="Normal 2 2 10 2 13 4" xfId="6817" xr:uid="{00000000-0005-0000-0000-0000A11A0000}"/>
    <cellStyle name="Normal 2 2 10 2 13 4 10" xfId="6818" xr:uid="{00000000-0005-0000-0000-0000A21A0000}"/>
    <cellStyle name="Normal 2 2 10 2 13 4 2" xfId="6819" xr:uid="{00000000-0005-0000-0000-0000A31A0000}"/>
    <cellStyle name="Normal 2 2 10 2 13 4 3" xfId="6820" xr:uid="{00000000-0005-0000-0000-0000A41A0000}"/>
    <cellStyle name="Normal 2 2 10 2 13 4 4" xfId="6821" xr:uid="{00000000-0005-0000-0000-0000A51A0000}"/>
    <cellStyle name="Normal 2 2 10 2 13 4 5" xfId="6822" xr:uid="{00000000-0005-0000-0000-0000A61A0000}"/>
    <cellStyle name="Normal 2 2 10 2 13 4 6" xfId="6823" xr:uid="{00000000-0005-0000-0000-0000A71A0000}"/>
    <cellStyle name="Normal 2 2 10 2 13 4 7" xfId="6824" xr:uid="{00000000-0005-0000-0000-0000A81A0000}"/>
    <cellStyle name="Normal 2 2 10 2 13 4 8" xfId="6825" xr:uid="{00000000-0005-0000-0000-0000A91A0000}"/>
    <cellStyle name="Normal 2 2 10 2 13 4 9" xfId="6826" xr:uid="{00000000-0005-0000-0000-0000AA1A0000}"/>
    <cellStyle name="Normal 2 2 10 2 13 5" xfId="6827" xr:uid="{00000000-0005-0000-0000-0000AB1A0000}"/>
    <cellStyle name="Normal 2 2 10 2 13 5 10" xfId="6828" xr:uid="{00000000-0005-0000-0000-0000AC1A0000}"/>
    <cellStyle name="Normal 2 2 10 2 13 5 2" xfId="6829" xr:uid="{00000000-0005-0000-0000-0000AD1A0000}"/>
    <cellStyle name="Normal 2 2 10 2 13 5 3" xfId="6830" xr:uid="{00000000-0005-0000-0000-0000AE1A0000}"/>
    <cellStyle name="Normal 2 2 10 2 13 5 4" xfId="6831" xr:uid="{00000000-0005-0000-0000-0000AF1A0000}"/>
    <cellStyle name="Normal 2 2 10 2 13 5 5" xfId="6832" xr:uid="{00000000-0005-0000-0000-0000B01A0000}"/>
    <cellStyle name="Normal 2 2 10 2 13 5 6" xfId="6833" xr:uid="{00000000-0005-0000-0000-0000B11A0000}"/>
    <cellStyle name="Normal 2 2 10 2 13 5 7" xfId="6834" xr:uid="{00000000-0005-0000-0000-0000B21A0000}"/>
    <cellStyle name="Normal 2 2 10 2 13 5 8" xfId="6835" xr:uid="{00000000-0005-0000-0000-0000B31A0000}"/>
    <cellStyle name="Normal 2 2 10 2 13 5 9" xfId="6836" xr:uid="{00000000-0005-0000-0000-0000B41A0000}"/>
    <cellStyle name="Normal 2 2 10 2 13 6" xfId="6837" xr:uid="{00000000-0005-0000-0000-0000B51A0000}"/>
    <cellStyle name="Normal 2 2 10 2 13 7" xfId="6838" xr:uid="{00000000-0005-0000-0000-0000B61A0000}"/>
    <cellStyle name="Normal 2 2 10 2 13 8" xfId="6839" xr:uid="{00000000-0005-0000-0000-0000B71A0000}"/>
    <cellStyle name="Normal 2 2 10 2 13 9" xfId="6840" xr:uid="{00000000-0005-0000-0000-0000B81A0000}"/>
    <cellStyle name="Normal 2 2 10 2 14" xfId="6841" xr:uid="{00000000-0005-0000-0000-0000B91A0000}"/>
    <cellStyle name="Normal 2 2 10 2 14 10" xfId="6842" xr:uid="{00000000-0005-0000-0000-0000BA1A0000}"/>
    <cellStyle name="Normal 2 2 10 2 14 11" xfId="6843" xr:uid="{00000000-0005-0000-0000-0000BB1A0000}"/>
    <cellStyle name="Normal 2 2 10 2 14 12" xfId="6844" xr:uid="{00000000-0005-0000-0000-0000BC1A0000}"/>
    <cellStyle name="Normal 2 2 10 2 14 13" xfId="6845" xr:uid="{00000000-0005-0000-0000-0000BD1A0000}"/>
    <cellStyle name="Normal 2 2 10 2 14 14" xfId="6846" xr:uid="{00000000-0005-0000-0000-0000BE1A0000}"/>
    <cellStyle name="Normal 2 2 10 2 14 2" xfId="6847" xr:uid="{00000000-0005-0000-0000-0000BF1A0000}"/>
    <cellStyle name="Normal 2 2 10 2 14 2 10" xfId="6848" xr:uid="{00000000-0005-0000-0000-0000C01A0000}"/>
    <cellStyle name="Normal 2 2 10 2 14 2 2" xfId="6849" xr:uid="{00000000-0005-0000-0000-0000C11A0000}"/>
    <cellStyle name="Normal 2 2 10 2 14 2 3" xfId="6850" xr:uid="{00000000-0005-0000-0000-0000C21A0000}"/>
    <cellStyle name="Normal 2 2 10 2 14 2 4" xfId="6851" xr:uid="{00000000-0005-0000-0000-0000C31A0000}"/>
    <cellStyle name="Normal 2 2 10 2 14 2 5" xfId="6852" xr:uid="{00000000-0005-0000-0000-0000C41A0000}"/>
    <cellStyle name="Normal 2 2 10 2 14 2 6" xfId="6853" xr:uid="{00000000-0005-0000-0000-0000C51A0000}"/>
    <cellStyle name="Normal 2 2 10 2 14 2 7" xfId="6854" xr:uid="{00000000-0005-0000-0000-0000C61A0000}"/>
    <cellStyle name="Normal 2 2 10 2 14 2 8" xfId="6855" xr:uid="{00000000-0005-0000-0000-0000C71A0000}"/>
    <cellStyle name="Normal 2 2 10 2 14 2 9" xfId="6856" xr:uid="{00000000-0005-0000-0000-0000C81A0000}"/>
    <cellStyle name="Normal 2 2 10 2 14 3" xfId="6857" xr:uid="{00000000-0005-0000-0000-0000C91A0000}"/>
    <cellStyle name="Normal 2 2 10 2 14 3 10" xfId="6858" xr:uid="{00000000-0005-0000-0000-0000CA1A0000}"/>
    <cellStyle name="Normal 2 2 10 2 14 3 2" xfId="6859" xr:uid="{00000000-0005-0000-0000-0000CB1A0000}"/>
    <cellStyle name="Normal 2 2 10 2 14 3 3" xfId="6860" xr:uid="{00000000-0005-0000-0000-0000CC1A0000}"/>
    <cellStyle name="Normal 2 2 10 2 14 3 4" xfId="6861" xr:uid="{00000000-0005-0000-0000-0000CD1A0000}"/>
    <cellStyle name="Normal 2 2 10 2 14 3 5" xfId="6862" xr:uid="{00000000-0005-0000-0000-0000CE1A0000}"/>
    <cellStyle name="Normal 2 2 10 2 14 3 6" xfId="6863" xr:uid="{00000000-0005-0000-0000-0000CF1A0000}"/>
    <cellStyle name="Normal 2 2 10 2 14 3 7" xfId="6864" xr:uid="{00000000-0005-0000-0000-0000D01A0000}"/>
    <cellStyle name="Normal 2 2 10 2 14 3 8" xfId="6865" xr:uid="{00000000-0005-0000-0000-0000D11A0000}"/>
    <cellStyle name="Normal 2 2 10 2 14 3 9" xfId="6866" xr:uid="{00000000-0005-0000-0000-0000D21A0000}"/>
    <cellStyle name="Normal 2 2 10 2 14 4" xfId="6867" xr:uid="{00000000-0005-0000-0000-0000D31A0000}"/>
    <cellStyle name="Normal 2 2 10 2 14 4 10" xfId="6868" xr:uid="{00000000-0005-0000-0000-0000D41A0000}"/>
    <cellStyle name="Normal 2 2 10 2 14 4 2" xfId="6869" xr:uid="{00000000-0005-0000-0000-0000D51A0000}"/>
    <cellStyle name="Normal 2 2 10 2 14 4 3" xfId="6870" xr:uid="{00000000-0005-0000-0000-0000D61A0000}"/>
    <cellStyle name="Normal 2 2 10 2 14 4 4" xfId="6871" xr:uid="{00000000-0005-0000-0000-0000D71A0000}"/>
    <cellStyle name="Normal 2 2 10 2 14 4 5" xfId="6872" xr:uid="{00000000-0005-0000-0000-0000D81A0000}"/>
    <cellStyle name="Normal 2 2 10 2 14 4 6" xfId="6873" xr:uid="{00000000-0005-0000-0000-0000D91A0000}"/>
    <cellStyle name="Normal 2 2 10 2 14 4 7" xfId="6874" xr:uid="{00000000-0005-0000-0000-0000DA1A0000}"/>
    <cellStyle name="Normal 2 2 10 2 14 4 8" xfId="6875" xr:uid="{00000000-0005-0000-0000-0000DB1A0000}"/>
    <cellStyle name="Normal 2 2 10 2 14 4 9" xfId="6876" xr:uid="{00000000-0005-0000-0000-0000DC1A0000}"/>
    <cellStyle name="Normal 2 2 10 2 14 5" xfId="6877" xr:uid="{00000000-0005-0000-0000-0000DD1A0000}"/>
    <cellStyle name="Normal 2 2 10 2 14 5 10" xfId="6878" xr:uid="{00000000-0005-0000-0000-0000DE1A0000}"/>
    <cellStyle name="Normal 2 2 10 2 14 5 2" xfId="6879" xr:uid="{00000000-0005-0000-0000-0000DF1A0000}"/>
    <cellStyle name="Normal 2 2 10 2 14 5 3" xfId="6880" xr:uid="{00000000-0005-0000-0000-0000E01A0000}"/>
    <cellStyle name="Normal 2 2 10 2 14 5 4" xfId="6881" xr:uid="{00000000-0005-0000-0000-0000E11A0000}"/>
    <cellStyle name="Normal 2 2 10 2 14 5 5" xfId="6882" xr:uid="{00000000-0005-0000-0000-0000E21A0000}"/>
    <cellStyle name="Normal 2 2 10 2 14 5 6" xfId="6883" xr:uid="{00000000-0005-0000-0000-0000E31A0000}"/>
    <cellStyle name="Normal 2 2 10 2 14 5 7" xfId="6884" xr:uid="{00000000-0005-0000-0000-0000E41A0000}"/>
    <cellStyle name="Normal 2 2 10 2 14 5 8" xfId="6885" xr:uid="{00000000-0005-0000-0000-0000E51A0000}"/>
    <cellStyle name="Normal 2 2 10 2 14 5 9" xfId="6886" xr:uid="{00000000-0005-0000-0000-0000E61A0000}"/>
    <cellStyle name="Normal 2 2 10 2 14 6" xfId="6887" xr:uid="{00000000-0005-0000-0000-0000E71A0000}"/>
    <cellStyle name="Normal 2 2 10 2 14 7" xfId="6888" xr:uid="{00000000-0005-0000-0000-0000E81A0000}"/>
    <cellStyle name="Normal 2 2 10 2 14 8" xfId="6889" xr:uid="{00000000-0005-0000-0000-0000E91A0000}"/>
    <cellStyle name="Normal 2 2 10 2 14 9" xfId="6890" xr:uid="{00000000-0005-0000-0000-0000EA1A0000}"/>
    <cellStyle name="Normal 2 2 10 2 15" xfId="6891" xr:uid="{00000000-0005-0000-0000-0000EB1A0000}"/>
    <cellStyle name="Normal 2 2 10 2 15 10" xfId="6892" xr:uid="{00000000-0005-0000-0000-0000EC1A0000}"/>
    <cellStyle name="Normal 2 2 10 2 15 11" xfId="6893" xr:uid="{00000000-0005-0000-0000-0000ED1A0000}"/>
    <cellStyle name="Normal 2 2 10 2 15 12" xfId="6894" xr:uid="{00000000-0005-0000-0000-0000EE1A0000}"/>
    <cellStyle name="Normal 2 2 10 2 15 13" xfId="6895" xr:uid="{00000000-0005-0000-0000-0000EF1A0000}"/>
    <cellStyle name="Normal 2 2 10 2 15 14" xfId="6896" xr:uid="{00000000-0005-0000-0000-0000F01A0000}"/>
    <cellStyle name="Normal 2 2 10 2 15 2" xfId="6897" xr:uid="{00000000-0005-0000-0000-0000F11A0000}"/>
    <cellStyle name="Normal 2 2 10 2 15 2 10" xfId="6898" xr:uid="{00000000-0005-0000-0000-0000F21A0000}"/>
    <cellStyle name="Normal 2 2 10 2 15 2 2" xfId="6899" xr:uid="{00000000-0005-0000-0000-0000F31A0000}"/>
    <cellStyle name="Normal 2 2 10 2 15 2 3" xfId="6900" xr:uid="{00000000-0005-0000-0000-0000F41A0000}"/>
    <cellStyle name="Normal 2 2 10 2 15 2 4" xfId="6901" xr:uid="{00000000-0005-0000-0000-0000F51A0000}"/>
    <cellStyle name="Normal 2 2 10 2 15 2 5" xfId="6902" xr:uid="{00000000-0005-0000-0000-0000F61A0000}"/>
    <cellStyle name="Normal 2 2 10 2 15 2 6" xfId="6903" xr:uid="{00000000-0005-0000-0000-0000F71A0000}"/>
    <cellStyle name="Normal 2 2 10 2 15 2 7" xfId="6904" xr:uid="{00000000-0005-0000-0000-0000F81A0000}"/>
    <cellStyle name="Normal 2 2 10 2 15 2 8" xfId="6905" xr:uid="{00000000-0005-0000-0000-0000F91A0000}"/>
    <cellStyle name="Normal 2 2 10 2 15 2 9" xfId="6906" xr:uid="{00000000-0005-0000-0000-0000FA1A0000}"/>
    <cellStyle name="Normal 2 2 10 2 15 3" xfId="6907" xr:uid="{00000000-0005-0000-0000-0000FB1A0000}"/>
    <cellStyle name="Normal 2 2 10 2 15 3 10" xfId="6908" xr:uid="{00000000-0005-0000-0000-0000FC1A0000}"/>
    <cellStyle name="Normal 2 2 10 2 15 3 2" xfId="6909" xr:uid="{00000000-0005-0000-0000-0000FD1A0000}"/>
    <cellStyle name="Normal 2 2 10 2 15 3 3" xfId="6910" xr:uid="{00000000-0005-0000-0000-0000FE1A0000}"/>
    <cellStyle name="Normal 2 2 10 2 15 3 4" xfId="6911" xr:uid="{00000000-0005-0000-0000-0000FF1A0000}"/>
    <cellStyle name="Normal 2 2 10 2 15 3 5" xfId="6912" xr:uid="{00000000-0005-0000-0000-0000001B0000}"/>
    <cellStyle name="Normal 2 2 10 2 15 3 6" xfId="6913" xr:uid="{00000000-0005-0000-0000-0000011B0000}"/>
    <cellStyle name="Normal 2 2 10 2 15 3 7" xfId="6914" xr:uid="{00000000-0005-0000-0000-0000021B0000}"/>
    <cellStyle name="Normal 2 2 10 2 15 3 8" xfId="6915" xr:uid="{00000000-0005-0000-0000-0000031B0000}"/>
    <cellStyle name="Normal 2 2 10 2 15 3 9" xfId="6916" xr:uid="{00000000-0005-0000-0000-0000041B0000}"/>
    <cellStyle name="Normal 2 2 10 2 15 4" xfId="6917" xr:uid="{00000000-0005-0000-0000-0000051B0000}"/>
    <cellStyle name="Normal 2 2 10 2 15 4 10" xfId="6918" xr:uid="{00000000-0005-0000-0000-0000061B0000}"/>
    <cellStyle name="Normal 2 2 10 2 15 4 2" xfId="6919" xr:uid="{00000000-0005-0000-0000-0000071B0000}"/>
    <cellStyle name="Normal 2 2 10 2 15 4 3" xfId="6920" xr:uid="{00000000-0005-0000-0000-0000081B0000}"/>
    <cellStyle name="Normal 2 2 10 2 15 4 4" xfId="6921" xr:uid="{00000000-0005-0000-0000-0000091B0000}"/>
    <cellStyle name="Normal 2 2 10 2 15 4 5" xfId="6922" xr:uid="{00000000-0005-0000-0000-00000A1B0000}"/>
    <cellStyle name="Normal 2 2 10 2 15 4 6" xfId="6923" xr:uid="{00000000-0005-0000-0000-00000B1B0000}"/>
    <cellStyle name="Normal 2 2 10 2 15 4 7" xfId="6924" xr:uid="{00000000-0005-0000-0000-00000C1B0000}"/>
    <cellStyle name="Normal 2 2 10 2 15 4 8" xfId="6925" xr:uid="{00000000-0005-0000-0000-00000D1B0000}"/>
    <cellStyle name="Normal 2 2 10 2 15 4 9" xfId="6926" xr:uid="{00000000-0005-0000-0000-00000E1B0000}"/>
    <cellStyle name="Normal 2 2 10 2 15 5" xfId="6927" xr:uid="{00000000-0005-0000-0000-00000F1B0000}"/>
    <cellStyle name="Normal 2 2 10 2 15 5 10" xfId="6928" xr:uid="{00000000-0005-0000-0000-0000101B0000}"/>
    <cellStyle name="Normal 2 2 10 2 15 5 2" xfId="6929" xr:uid="{00000000-0005-0000-0000-0000111B0000}"/>
    <cellStyle name="Normal 2 2 10 2 15 5 3" xfId="6930" xr:uid="{00000000-0005-0000-0000-0000121B0000}"/>
    <cellStyle name="Normal 2 2 10 2 15 5 4" xfId="6931" xr:uid="{00000000-0005-0000-0000-0000131B0000}"/>
    <cellStyle name="Normal 2 2 10 2 15 5 5" xfId="6932" xr:uid="{00000000-0005-0000-0000-0000141B0000}"/>
    <cellStyle name="Normal 2 2 10 2 15 5 6" xfId="6933" xr:uid="{00000000-0005-0000-0000-0000151B0000}"/>
    <cellStyle name="Normal 2 2 10 2 15 5 7" xfId="6934" xr:uid="{00000000-0005-0000-0000-0000161B0000}"/>
    <cellStyle name="Normal 2 2 10 2 15 5 8" xfId="6935" xr:uid="{00000000-0005-0000-0000-0000171B0000}"/>
    <cellStyle name="Normal 2 2 10 2 15 5 9" xfId="6936" xr:uid="{00000000-0005-0000-0000-0000181B0000}"/>
    <cellStyle name="Normal 2 2 10 2 15 6" xfId="6937" xr:uid="{00000000-0005-0000-0000-0000191B0000}"/>
    <cellStyle name="Normal 2 2 10 2 15 7" xfId="6938" xr:uid="{00000000-0005-0000-0000-00001A1B0000}"/>
    <cellStyle name="Normal 2 2 10 2 15 8" xfId="6939" xr:uid="{00000000-0005-0000-0000-00001B1B0000}"/>
    <cellStyle name="Normal 2 2 10 2 15 9" xfId="6940" xr:uid="{00000000-0005-0000-0000-00001C1B0000}"/>
    <cellStyle name="Normal 2 2 10 2 16" xfId="6941" xr:uid="{00000000-0005-0000-0000-00001D1B0000}"/>
    <cellStyle name="Normal 2 2 10 2 16 10" xfId="6942" xr:uid="{00000000-0005-0000-0000-00001E1B0000}"/>
    <cellStyle name="Normal 2 2 10 2 16 11" xfId="6943" xr:uid="{00000000-0005-0000-0000-00001F1B0000}"/>
    <cellStyle name="Normal 2 2 10 2 16 12" xfId="6944" xr:uid="{00000000-0005-0000-0000-0000201B0000}"/>
    <cellStyle name="Normal 2 2 10 2 16 13" xfId="6945" xr:uid="{00000000-0005-0000-0000-0000211B0000}"/>
    <cellStyle name="Normal 2 2 10 2 16 14" xfId="6946" xr:uid="{00000000-0005-0000-0000-0000221B0000}"/>
    <cellStyle name="Normal 2 2 10 2 16 2" xfId="6947" xr:uid="{00000000-0005-0000-0000-0000231B0000}"/>
    <cellStyle name="Normal 2 2 10 2 16 2 10" xfId="6948" xr:uid="{00000000-0005-0000-0000-0000241B0000}"/>
    <cellStyle name="Normal 2 2 10 2 16 2 2" xfId="6949" xr:uid="{00000000-0005-0000-0000-0000251B0000}"/>
    <cellStyle name="Normal 2 2 10 2 16 2 3" xfId="6950" xr:uid="{00000000-0005-0000-0000-0000261B0000}"/>
    <cellStyle name="Normal 2 2 10 2 16 2 4" xfId="6951" xr:uid="{00000000-0005-0000-0000-0000271B0000}"/>
    <cellStyle name="Normal 2 2 10 2 16 2 5" xfId="6952" xr:uid="{00000000-0005-0000-0000-0000281B0000}"/>
    <cellStyle name="Normal 2 2 10 2 16 2 6" xfId="6953" xr:uid="{00000000-0005-0000-0000-0000291B0000}"/>
    <cellStyle name="Normal 2 2 10 2 16 2 7" xfId="6954" xr:uid="{00000000-0005-0000-0000-00002A1B0000}"/>
    <cellStyle name="Normal 2 2 10 2 16 2 8" xfId="6955" xr:uid="{00000000-0005-0000-0000-00002B1B0000}"/>
    <cellStyle name="Normal 2 2 10 2 16 2 9" xfId="6956" xr:uid="{00000000-0005-0000-0000-00002C1B0000}"/>
    <cellStyle name="Normal 2 2 10 2 16 3" xfId="6957" xr:uid="{00000000-0005-0000-0000-00002D1B0000}"/>
    <cellStyle name="Normal 2 2 10 2 16 3 10" xfId="6958" xr:uid="{00000000-0005-0000-0000-00002E1B0000}"/>
    <cellStyle name="Normal 2 2 10 2 16 3 2" xfId="6959" xr:uid="{00000000-0005-0000-0000-00002F1B0000}"/>
    <cellStyle name="Normal 2 2 10 2 16 3 3" xfId="6960" xr:uid="{00000000-0005-0000-0000-0000301B0000}"/>
    <cellStyle name="Normal 2 2 10 2 16 3 4" xfId="6961" xr:uid="{00000000-0005-0000-0000-0000311B0000}"/>
    <cellStyle name="Normal 2 2 10 2 16 3 5" xfId="6962" xr:uid="{00000000-0005-0000-0000-0000321B0000}"/>
    <cellStyle name="Normal 2 2 10 2 16 3 6" xfId="6963" xr:uid="{00000000-0005-0000-0000-0000331B0000}"/>
    <cellStyle name="Normal 2 2 10 2 16 3 7" xfId="6964" xr:uid="{00000000-0005-0000-0000-0000341B0000}"/>
    <cellStyle name="Normal 2 2 10 2 16 3 8" xfId="6965" xr:uid="{00000000-0005-0000-0000-0000351B0000}"/>
    <cellStyle name="Normal 2 2 10 2 16 3 9" xfId="6966" xr:uid="{00000000-0005-0000-0000-0000361B0000}"/>
    <cellStyle name="Normal 2 2 10 2 16 4" xfId="6967" xr:uid="{00000000-0005-0000-0000-0000371B0000}"/>
    <cellStyle name="Normal 2 2 10 2 16 4 10" xfId="6968" xr:uid="{00000000-0005-0000-0000-0000381B0000}"/>
    <cellStyle name="Normal 2 2 10 2 16 4 2" xfId="6969" xr:uid="{00000000-0005-0000-0000-0000391B0000}"/>
    <cellStyle name="Normal 2 2 10 2 16 4 3" xfId="6970" xr:uid="{00000000-0005-0000-0000-00003A1B0000}"/>
    <cellStyle name="Normal 2 2 10 2 16 4 4" xfId="6971" xr:uid="{00000000-0005-0000-0000-00003B1B0000}"/>
    <cellStyle name="Normal 2 2 10 2 16 4 5" xfId="6972" xr:uid="{00000000-0005-0000-0000-00003C1B0000}"/>
    <cellStyle name="Normal 2 2 10 2 16 4 6" xfId="6973" xr:uid="{00000000-0005-0000-0000-00003D1B0000}"/>
    <cellStyle name="Normal 2 2 10 2 16 4 7" xfId="6974" xr:uid="{00000000-0005-0000-0000-00003E1B0000}"/>
    <cellStyle name="Normal 2 2 10 2 16 4 8" xfId="6975" xr:uid="{00000000-0005-0000-0000-00003F1B0000}"/>
    <cellStyle name="Normal 2 2 10 2 16 4 9" xfId="6976" xr:uid="{00000000-0005-0000-0000-0000401B0000}"/>
    <cellStyle name="Normal 2 2 10 2 16 5" xfId="6977" xr:uid="{00000000-0005-0000-0000-0000411B0000}"/>
    <cellStyle name="Normal 2 2 10 2 16 5 10" xfId="6978" xr:uid="{00000000-0005-0000-0000-0000421B0000}"/>
    <cellStyle name="Normal 2 2 10 2 16 5 2" xfId="6979" xr:uid="{00000000-0005-0000-0000-0000431B0000}"/>
    <cellStyle name="Normal 2 2 10 2 16 5 3" xfId="6980" xr:uid="{00000000-0005-0000-0000-0000441B0000}"/>
    <cellStyle name="Normal 2 2 10 2 16 5 4" xfId="6981" xr:uid="{00000000-0005-0000-0000-0000451B0000}"/>
    <cellStyle name="Normal 2 2 10 2 16 5 5" xfId="6982" xr:uid="{00000000-0005-0000-0000-0000461B0000}"/>
    <cellStyle name="Normal 2 2 10 2 16 5 6" xfId="6983" xr:uid="{00000000-0005-0000-0000-0000471B0000}"/>
    <cellStyle name="Normal 2 2 10 2 16 5 7" xfId="6984" xr:uid="{00000000-0005-0000-0000-0000481B0000}"/>
    <cellStyle name="Normal 2 2 10 2 16 5 8" xfId="6985" xr:uid="{00000000-0005-0000-0000-0000491B0000}"/>
    <cellStyle name="Normal 2 2 10 2 16 5 9" xfId="6986" xr:uid="{00000000-0005-0000-0000-00004A1B0000}"/>
    <cellStyle name="Normal 2 2 10 2 16 6" xfId="6987" xr:uid="{00000000-0005-0000-0000-00004B1B0000}"/>
    <cellStyle name="Normal 2 2 10 2 16 7" xfId="6988" xr:uid="{00000000-0005-0000-0000-00004C1B0000}"/>
    <cellStyle name="Normal 2 2 10 2 16 8" xfId="6989" xr:uid="{00000000-0005-0000-0000-00004D1B0000}"/>
    <cellStyle name="Normal 2 2 10 2 16 9" xfId="6990" xr:uid="{00000000-0005-0000-0000-00004E1B0000}"/>
    <cellStyle name="Normal 2 2 10 2 17" xfId="6991" xr:uid="{00000000-0005-0000-0000-00004F1B0000}"/>
    <cellStyle name="Normal 2 2 10 2 17 10" xfId="6992" xr:uid="{00000000-0005-0000-0000-0000501B0000}"/>
    <cellStyle name="Normal 2 2 10 2 17 11" xfId="6993" xr:uid="{00000000-0005-0000-0000-0000511B0000}"/>
    <cellStyle name="Normal 2 2 10 2 17 12" xfId="6994" xr:uid="{00000000-0005-0000-0000-0000521B0000}"/>
    <cellStyle name="Normal 2 2 10 2 17 13" xfId="6995" xr:uid="{00000000-0005-0000-0000-0000531B0000}"/>
    <cellStyle name="Normal 2 2 10 2 17 14" xfId="6996" xr:uid="{00000000-0005-0000-0000-0000541B0000}"/>
    <cellStyle name="Normal 2 2 10 2 17 2" xfId="6997" xr:uid="{00000000-0005-0000-0000-0000551B0000}"/>
    <cellStyle name="Normal 2 2 10 2 17 2 10" xfId="6998" xr:uid="{00000000-0005-0000-0000-0000561B0000}"/>
    <cellStyle name="Normal 2 2 10 2 17 2 2" xfId="6999" xr:uid="{00000000-0005-0000-0000-0000571B0000}"/>
    <cellStyle name="Normal 2 2 10 2 17 2 3" xfId="7000" xr:uid="{00000000-0005-0000-0000-0000581B0000}"/>
    <cellStyle name="Normal 2 2 10 2 17 2 4" xfId="7001" xr:uid="{00000000-0005-0000-0000-0000591B0000}"/>
    <cellStyle name="Normal 2 2 10 2 17 2 5" xfId="7002" xr:uid="{00000000-0005-0000-0000-00005A1B0000}"/>
    <cellStyle name="Normal 2 2 10 2 17 2 6" xfId="7003" xr:uid="{00000000-0005-0000-0000-00005B1B0000}"/>
    <cellStyle name="Normal 2 2 10 2 17 2 7" xfId="7004" xr:uid="{00000000-0005-0000-0000-00005C1B0000}"/>
    <cellStyle name="Normal 2 2 10 2 17 2 8" xfId="7005" xr:uid="{00000000-0005-0000-0000-00005D1B0000}"/>
    <cellStyle name="Normal 2 2 10 2 17 2 9" xfId="7006" xr:uid="{00000000-0005-0000-0000-00005E1B0000}"/>
    <cellStyle name="Normal 2 2 10 2 17 3" xfId="7007" xr:uid="{00000000-0005-0000-0000-00005F1B0000}"/>
    <cellStyle name="Normal 2 2 10 2 17 3 10" xfId="7008" xr:uid="{00000000-0005-0000-0000-0000601B0000}"/>
    <cellStyle name="Normal 2 2 10 2 17 3 2" xfId="7009" xr:uid="{00000000-0005-0000-0000-0000611B0000}"/>
    <cellStyle name="Normal 2 2 10 2 17 3 3" xfId="7010" xr:uid="{00000000-0005-0000-0000-0000621B0000}"/>
    <cellStyle name="Normal 2 2 10 2 17 3 4" xfId="7011" xr:uid="{00000000-0005-0000-0000-0000631B0000}"/>
    <cellStyle name="Normal 2 2 10 2 17 3 5" xfId="7012" xr:uid="{00000000-0005-0000-0000-0000641B0000}"/>
    <cellStyle name="Normal 2 2 10 2 17 3 6" xfId="7013" xr:uid="{00000000-0005-0000-0000-0000651B0000}"/>
    <cellStyle name="Normal 2 2 10 2 17 3 7" xfId="7014" xr:uid="{00000000-0005-0000-0000-0000661B0000}"/>
    <cellStyle name="Normal 2 2 10 2 17 3 8" xfId="7015" xr:uid="{00000000-0005-0000-0000-0000671B0000}"/>
    <cellStyle name="Normal 2 2 10 2 17 3 9" xfId="7016" xr:uid="{00000000-0005-0000-0000-0000681B0000}"/>
    <cellStyle name="Normal 2 2 10 2 17 4" xfId="7017" xr:uid="{00000000-0005-0000-0000-0000691B0000}"/>
    <cellStyle name="Normal 2 2 10 2 17 4 10" xfId="7018" xr:uid="{00000000-0005-0000-0000-00006A1B0000}"/>
    <cellStyle name="Normal 2 2 10 2 17 4 2" xfId="7019" xr:uid="{00000000-0005-0000-0000-00006B1B0000}"/>
    <cellStyle name="Normal 2 2 10 2 17 4 3" xfId="7020" xr:uid="{00000000-0005-0000-0000-00006C1B0000}"/>
    <cellStyle name="Normal 2 2 10 2 17 4 4" xfId="7021" xr:uid="{00000000-0005-0000-0000-00006D1B0000}"/>
    <cellStyle name="Normal 2 2 10 2 17 4 5" xfId="7022" xr:uid="{00000000-0005-0000-0000-00006E1B0000}"/>
    <cellStyle name="Normal 2 2 10 2 17 4 6" xfId="7023" xr:uid="{00000000-0005-0000-0000-00006F1B0000}"/>
    <cellStyle name="Normal 2 2 10 2 17 4 7" xfId="7024" xr:uid="{00000000-0005-0000-0000-0000701B0000}"/>
    <cellStyle name="Normal 2 2 10 2 17 4 8" xfId="7025" xr:uid="{00000000-0005-0000-0000-0000711B0000}"/>
    <cellStyle name="Normal 2 2 10 2 17 4 9" xfId="7026" xr:uid="{00000000-0005-0000-0000-0000721B0000}"/>
    <cellStyle name="Normal 2 2 10 2 17 5" xfId="7027" xr:uid="{00000000-0005-0000-0000-0000731B0000}"/>
    <cellStyle name="Normal 2 2 10 2 17 5 10" xfId="7028" xr:uid="{00000000-0005-0000-0000-0000741B0000}"/>
    <cellStyle name="Normal 2 2 10 2 17 5 2" xfId="7029" xr:uid="{00000000-0005-0000-0000-0000751B0000}"/>
    <cellStyle name="Normal 2 2 10 2 17 5 3" xfId="7030" xr:uid="{00000000-0005-0000-0000-0000761B0000}"/>
    <cellStyle name="Normal 2 2 10 2 17 5 4" xfId="7031" xr:uid="{00000000-0005-0000-0000-0000771B0000}"/>
    <cellStyle name="Normal 2 2 10 2 17 5 5" xfId="7032" xr:uid="{00000000-0005-0000-0000-0000781B0000}"/>
    <cellStyle name="Normal 2 2 10 2 17 5 6" xfId="7033" xr:uid="{00000000-0005-0000-0000-0000791B0000}"/>
    <cellStyle name="Normal 2 2 10 2 17 5 7" xfId="7034" xr:uid="{00000000-0005-0000-0000-00007A1B0000}"/>
    <cellStyle name="Normal 2 2 10 2 17 5 8" xfId="7035" xr:uid="{00000000-0005-0000-0000-00007B1B0000}"/>
    <cellStyle name="Normal 2 2 10 2 17 5 9" xfId="7036" xr:uid="{00000000-0005-0000-0000-00007C1B0000}"/>
    <cellStyle name="Normal 2 2 10 2 17 6" xfId="7037" xr:uid="{00000000-0005-0000-0000-00007D1B0000}"/>
    <cellStyle name="Normal 2 2 10 2 17 7" xfId="7038" xr:uid="{00000000-0005-0000-0000-00007E1B0000}"/>
    <cellStyle name="Normal 2 2 10 2 17 8" xfId="7039" xr:uid="{00000000-0005-0000-0000-00007F1B0000}"/>
    <cellStyle name="Normal 2 2 10 2 17 9" xfId="7040" xr:uid="{00000000-0005-0000-0000-0000801B0000}"/>
    <cellStyle name="Normal 2 2 10 2 18" xfId="7041" xr:uid="{00000000-0005-0000-0000-0000811B0000}"/>
    <cellStyle name="Normal 2 2 10 2 18 10" xfId="7042" xr:uid="{00000000-0005-0000-0000-0000821B0000}"/>
    <cellStyle name="Normal 2 2 10 2 18 11" xfId="7043" xr:uid="{00000000-0005-0000-0000-0000831B0000}"/>
    <cellStyle name="Normal 2 2 10 2 18 12" xfId="7044" xr:uid="{00000000-0005-0000-0000-0000841B0000}"/>
    <cellStyle name="Normal 2 2 10 2 18 13" xfId="7045" xr:uid="{00000000-0005-0000-0000-0000851B0000}"/>
    <cellStyle name="Normal 2 2 10 2 18 14" xfId="7046" xr:uid="{00000000-0005-0000-0000-0000861B0000}"/>
    <cellStyle name="Normal 2 2 10 2 18 2" xfId="7047" xr:uid="{00000000-0005-0000-0000-0000871B0000}"/>
    <cellStyle name="Normal 2 2 10 2 18 2 10" xfId="7048" xr:uid="{00000000-0005-0000-0000-0000881B0000}"/>
    <cellStyle name="Normal 2 2 10 2 18 2 2" xfId="7049" xr:uid="{00000000-0005-0000-0000-0000891B0000}"/>
    <cellStyle name="Normal 2 2 10 2 18 2 3" xfId="7050" xr:uid="{00000000-0005-0000-0000-00008A1B0000}"/>
    <cellStyle name="Normal 2 2 10 2 18 2 4" xfId="7051" xr:uid="{00000000-0005-0000-0000-00008B1B0000}"/>
    <cellStyle name="Normal 2 2 10 2 18 2 5" xfId="7052" xr:uid="{00000000-0005-0000-0000-00008C1B0000}"/>
    <cellStyle name="Normal 2 2 10 2 18 2 6" xfId="7053" xr:uid="{00000000-0005-0000-0000-00008D1B0000}"/>
    <cellStyle name="Normal 2 2 10 2 18 2 7" xfId="7054" xr:uid="{00000000-0005-0000-0000-00008E1B0000}"/>
    <cellStyle name="Normal 2 2 10 2 18 2 8" xfId="7055" xr:uid="{00000000-0005-0000-0000-00008F1B0000}"/>
    <cellStyle name="Normal 2 2 10 2 18 2 9" xfId="7056" xr:uid="{00000000-0005-0000-0000-0000901B0000}"/>
    <cellStyle name="Normal 2 2 10 2 18 3" xfId="7057" xr:uid="{00000000-0005-0000-0000-0000911B0000}"/>
    <cellStyle name="Normal 2 2 10 2 18 3 10" xfId="7058" xr:uid="{00000000-0005-0000-0000-0000921B0000}"/>
    <cellStyle name="Normal 2 2 10 2 18 3 2" xfId="7059" xr:uid="{00000000-0005-0000-0000-0000931B0000}"/>
    <cellStyle name="Normal 2 2 10 2 18 3 3" xfId="7060" xr:uid="{00000000-0005-0000-0000-0000941B0000}"/>
    <cellStyle name="Normal 2 2 10 2 18 3 4" xfId="7061" xr:uid="{00000000-0005-0000-0000-0000951B0000}"/>
    <cellStyle name="Normal 2 2 10 2 18 3 5" xfId="7062" xr:uid="{00000000-0005-0000-0000-0000961B0000}"/>
    <cellStyle name="Normal 2 2 10 2 18 3 6" xfId="7063" xr:uid="{00000000-0005-0000-0000-0000971B0000}"/>
    <cellStyle name="Normal 2 2 10 2 18 3 7" xfId="7064" xr:uid="{00000000-0005-0000-0000-0000981B0000}"/>
    <cellStyle name="Normal 2 2 10 2 18 3 8" xfId="7065" xr:uid="{00000000-0005-0000-0000-0000991B0000}"/>
    <cellStyle name="Normal 2 2 10 2 18 3 9" xfId="7066" xr:uid="{00000000-0005-0000-0000-00009A1B0000}"/>
    <cellStyle name="Normal 2 2 10 2 18 4" xfId="7067" xr:uid="{00000000-0005-0000-0000-00009B1B0000}"/>
    <cellStyle name="Normal 2 2 10 2 18 4 10" xfId="7068" xr:uid="{00000000-0005-0000-0000-00009C1B0000}"/>
    <cellStyle name="Normal 2 2 10 2 18 4 2" xfId="7069" xr:uid="{00000000-0005-0000-0000-00009D1B0000}"/>
    <cellStyle name="Normal 2 2 10 2 18 4 3" xfId="7070" xr:uid="{00000000-0005-0000-0000-00009E1B0000}"/>
    <cellStyle name="Normal 2 2 10 2 18 4 4" xfId="7071" xr:uid="{00000000-0005-0000-0000-00009F1B0000}"/>
    <cellStyle name="Normal 2 2 10 2 18 4 5" xfId="7072" xr:uid="{00000000-0005-0000-0000-0000A01B0000}"/>
    <cellStyle name="Normal 2 2 10 2 18 4 6" xfId="7073" xr:uid="{00000000-0005-0000-0000-0000A11B0000}"/>
    <cellStyle name="Normal 2 2 10 2 18 4 7" xfId="7074" xr:uid="{00000000-0005-0000-0000-0000A21B0000}"/>
    <cellStyle name="Normal 2 2 10 2 18 4 8" xfId="7075" xr:uid="{00000000-0005-0000-0000-0000A31B0000}"/>
    <cellStyle name="Normal 2 2 10 2 18 4 9" xfId="7076" xr:uid="{00000000-0005-0000-0000-0000A41B0000}"/>
    <cellStyle name="Normal 2 2 10 2 18 5" xfId="7077" xr:uid="{00000000-0005-0000-0000-0000A51B0000}"/>
    <cellStyle name="Normal 2 2 10 2 18 5 10" xfId="7078" xr:uid="{00000000-0005-0000-0000-0000A61B0000}"/>
    <cellStyle name="Normal 2 2 10 2 18 5 2" xfId="7079" xr:uid="{00000000-0005-0000-0000-0000A71B0000}"/>
    <cellStyle name="Normal 2 2 10 2 18 5 3" xfId="7080" xr:uid="{00000000-0005-0000-0000-0000A81B0000}"/>
    <cellStyle name="Normal 2 2 10 2 18 5 4" xfId="7081" xr:uid="{00000000-0005-0000-0000-0000A91B0000}"/>
    <cellStyle name="Normal 2 2 10 2 18 5 5" xfId="7082" xr:uid="{00000000-0005-0000-0000-0000AA1B0000}"/>
    <cellStyle name="Normal 2 2 10 2 18 5 6" xfId="7083" xr:uid="{00000000-0005-0000-0000-0000AB1B0000}"/>
    <cellStyle name="Normal 2 2 10 2 18 5 7" xfId="7084" xr:uid="{00000000-0005-0000-0000-0000AC1B0000}"/>
    <cellStyle name="Normal 2 2 10 2 18 5 8" xfId="7085" xr:uid="{00000000-0005-0000-0000-0000AD1B0000}"/>
    <cellStyle name="Normal 2 2 10 2 18 5 9" xfId="7086" xr:uid="{00000000-0005-0000-0000-0000AE1B0000}"/>
    <cellStyle name="Normal 2 2 10 2 18 6" xfId="7087" xr:uid="{00000000-0005-0000-0000-0000AF1B0000}"/>
    <cellStyle name="Normal 2 2 10 2 18 7" xfId="7088" xr:uid="{00000000-0005-0000-0000-0000B01B0000}"/>
    <cellStyle name="Normal 2 2 10 2 18 8" xfId="7089" xr:uid="{00000000-0005-0000-0000-0000B11B0000}"/>
    <cellStyle name="Normal 2 2 10 2 18 9" xfId="7090" xr:uid="{00000000-0005-0000-0000-0000B21B0000}"/>
    <cellStyle name="Normal 2 2 10 2 19" xfId="7091" xr:uid="{00000000-0005-0000-0000-0000B31B0000}"/>
    <cellStyle name="Normal 2 2 10 2 19 10" xfId="7092" xr:uid="{00000000-0005-0000-0000-0000B41B0000}"/>
    <cellStyle name="Normal 2 2 10 2 19 11" xfId="7093" xr:uid="{00000000-0005-0000-0000-0000B51B0000}"/>
    <cellStyle name="Normal 2 2 10 2 19 12" xfId="7094" xr:uid="{00000000-0005-0000-0000-0000B61B0000}"/>
    <cellStyle name="Normal 2 2 10 2 19 13" xfId="7095" xr:uid="{00000000-0005-0000-0000-0000B71B0000}"/>
    <cellStyle name="Normal 2 2 10 2 19 14" xfId="7096" xr:uid="{00000000-0005-0000-0000-0000B81B0000}"/>
    <cellStyle name="Normal 2 2 10 2 19 2" xfId="7097" xr:uid="{00000000-0005-0000-0000-0000B91B0000}"/>
    <cellStyle name="Normal 2 2 10 2 19 2 10" xfId="7098" xr:uid="{00000000-0005-0000-0000-0000BA1B0000}"/>
    <cellStyle name="Normal 2 2 10 2 19 2 2" xfId="7099" xr:uid="{00000000-0005-0000-0000-0000BB1B0000}"/>
    <cellStyle name="Normal 2 2 10 2 19 2 3" xfId="7100" xr:uid="{00000000-0005-0000-0000-0000BC1B0000}"/>
    <cellStyle name="Normal 2 2 10 2 19 2 4" xfId="7101" xr:uid="{00000000-0005-0000-0000-0000BD1B0000}"/>
    <cellStyle name="Normal 2 2 10 2 19 2 5" xfId="7102" xr:uid="{00000000-0005-0000-0000-0000BE1B0000}"/>
    <cellStyle name="Normal 2 2 10 2 19 2 6" xfId="7103" xr:uid="{00000000-0005-0000-0000-0000BF1B0000}"/>
    <cellStyle name="Normal 2 2 10 2 19 2 7" xfId="7104" xr:uid="{00000000-0005-0000-0000-0000C01B0000}"/>
    <cellStyle name="Normal 2 2 10 2 19 2 8" xfId="7105" xr:uid="{00000000-0005-0000-0000-0000C11B0000}"/>
    <cellStyle name="Normal 2 2 10 2 19 2 9" xfId="7106" xr:uid="{00000000-0005-0000-0000-0000C21B0000}"/>
    <cellStyle name="Normal 2 2 10 2 19 3" xfId="7107" xr:uid="{00000000-0005-0000-0000-0000C31B0000}"/>
    <cellStyle name="Normal 2 2 10 2 19 3 10" xfId="7108" xr:uid="{00000000-0005-0000-0000-0000C41B0000}"/>
    <cellStyle name="Normal 2 2 10 2 19 3 2" xfId="7109" xr:uid="{00000000-0005-0000-0000-0000C51B0000}"/>
    <cellStyle name="Normal 2 2 10 2 19 3 3" xfId="7110" xr:uid="{00000000-0005-0000-0000-0000C61B0000}"/>
    <cellStyle name="Normal 2 2 10 2 19 3 4" xfId="7111" xr:uid="{00000000-0005-0000-0000-0000C71B0000}"/>
    <cellStyle name="Normal 2 2 10 2 19 3 5" xfId="7112" xr:uid="{00000000-0005-0000-0000-0000C81B0000}"/>
    <cellStyle name="Normal 2 2 10 2 19 3 6" xfId="7113" xr:uid="{00000000-0005-0000-0000-0000C91B0000}"/>
    <cellStyle name="Normal 2 2 10 2 19 3 7" xfId="7114" xr:uid="{00000000-0005-0000-0000-0000CA1B0000}"/>
    <cellStyle name="Normal 2 2 10 2 19 3 8" xfId="7115" xr:uid="{00000000-0005-0000-0000-0000CB1B0000}"/>
    <cellStyle name="Normal 2 2 10 2 19 3 9" xfId="7116" xr:uid="{00000000-0005-0000-0000-0000CC1B0000}"/>
    <cellStyle name="Normal 2 2 10 2 19 4" xfId="7117" xr:uid="{00000000-0005-0000-0000-0000CD1B0000}"/>
    <cellStyle name="Normal 2 2 10 2 19 4 10" xfId="7118" xr:uid="{00000000-0005-0000-0000-0000CE1B0000}"/>
    <cellStyle name="Normal 2 2 10 2 19 4 2" xfId="7119" xr:uid="{00000000-0005-0000-0000-0000CF1B0000}"/>
    <cellStyle name="Normal 2 2 10 2 19 4 3" xfId="7120" xr:uid="{00000000-0005-0000-0000-0000D01B0000}"/>
    <cellStyle name="Normal 2 2 10 2 19 4 4" xfId="7121" xr:uid="{00000000-0005-0000-0000-0000D11B0000}"/>
    <cellStyle name="Normal 2 2 10 2 19 4 5" xfId="7122" xr:uid="{00000000-0005-0000-0000-0000D21B0000}"/>
    <cellStyle name="Normal 2 2 10 2 19 4 6" xfId="7123" xr:uid="{00000000-0005-0000-0000-0000D31B0000}"/>
    <cellStyle name="Normal 2 2 10 2 19 4 7" xfId="7124" xr:uid="{00000000-0005-0000-0000-0000D41B0000}"/>
    <cellStyle name="Normal 2 2 10 2 19 4 8" xfId="7125" xr:uid="{00000000-0005-0000-0000-0000D51B0000}"/>
    <cellStyle name="Normal 2 2 10 2 19 4 9" xfId="7126" xr:uid="{00000000-0005-0000-0000-0000D61B0000}"/>
    <cellStyle name="Normal 2 2 10 2 19 5" xfId="7127" xr:uid="{00000000-0005-0000-0000-0000D71B0000}"/>
    <cellStyle name="Normal 2 2 10 2 19 5 10" xfId="7128" xr:uid="{00000000-0005-0000-0000-0000D81B0000}"/>
    <cellStyle name="Normal 2 2 10 2 19 5 2" xfId="7129" xr:uid="{00000000-0005-0000-0000-0000D91B0000}"/>
    <cellStyle name="Normal 2 2 10 2 19 5 3" xfId="7130" xr:uid="{00000000-0005-0000-0000-0000DA1B0000}"/>
    <cellStyle name="Normal 2 2 10 2 19 5 4" xfId="7131" xr:uid="{00000000-0005-0000-0000-0000DB1B0000}"/>
    <cellStyle name="Normal 2 2 10 2 19 5 5" xfId="7132" xr:uid="{00000000-0005-0000-0000-0000DC1B0000}"/>
    <cellStyle name="Normal 2 2 10 2 19 5 6" xfId="7133" xr:uid="{00000000-0005-0000-0000-0000DD1B0000}"/>
    <cellStyle name="Normal 2 2 10 2 19 5 7" xfId="7134" xr:uid="{00000000-0005-0000-0000-0000DE1B0000}"/>
    <cellStyle name="Normal 2 2 10 2 19 5 8" xfId="7135" xr:uid="{00000000-0005-0000-0000-0000DF1B0000}"/>
    <cellStyle name="Normal 2 2 10 2 19 5 9" xfId="7136" xr:uid="{00000000-0005-0000-0000-0000E01B0000}"/>
    <cellStyle name="Normal 2 2 10 2 19 6" xfId="7137" xr:uid="{00000000-0005-0000-0000-0000E11B0000}"/>
    <cellStyle name="Normal 2 2 10 2 19 7" xfId="7138" xr:uid="{00000000-0005-0000-0000-0000E21B0000}"/>
    <cellStyle name="Normal 2 2 10 2 19 8" xfId="7139" xr:uid="{00000000-0005-0000-0000-0000E31B0000}"/>
    <cellStyle name="Normal 2 2 10 2 19 9" xfId="7140" xr:uid="{00000000-0005-0000-0000-0000E41B0000}"/>
    <cellStyle name="Normal 2 2 10 2 2" xfId="7141" xr:uid="{00000000-0005-0000-0000-0000E51B0000}"/>
    <cellStyle name="Normal 2 2 10 2 2 10" xfId="7142" xr:uid="{00000000-0005-0000-0000-0000E61B0000}"/>
    <cellStyle name="Normal 2 2 10 2 2 11" xfId="7143" xr:uid="{00000000-0005-0000-0000-0000E71B0000}"/>
    <cellStyle name="Normal 2 2 10 2 2 12" xfId="7144" xr:uid="{00000000-0005-0000-0000-0000E81B0000}"/>
    <cellStyle name="Normal 2 2 10 2 2 13" xfId="7145" xr:uid="{00000000-0005-0000-0000-0000E91B0000}"/>
    <cellStyle name="Normal 2 2 10 2 2 14" xfId="7146" xr:uid="{00000000-0005-0000-0000-0000EA1B0000}"/>
    <cellStyle name="Normal 2 2 10 2 2 2" xfId="7147" xr:uid="{00000000-0005-0000-0000-0000EB1B0000}"/>
    <cellStyle name="Normal 2 2 10 2 2 2 10" xfId="7148" xr:uid="{00000000-0005-0000-0000-0000EC1B0000}"/>
    <cellStyle name="Normal 2 2 10 2 2 2 2" xfId="7149" xr:uid="{00000000-0005-0000-0000-0000ED1B0000}"/>
    <cellStyle name="Normal 2 2 10 2 2 2 3" xfId="7150" xr:uid="{00000000-0005-0000-0000-0000EE1B0000}"/>
    <cellStyle name="Normal 2 2 10 2 2 2 4" xfId="7151" xr:uid="{00000000-0005-0000-0000-0000EF1B0000}"/>
    <cellStyle name="Normal 2 2 10 2 2 2 5" xfId="7152" xr:uid="{00000000-0005-0000-0000-0000F01B0000}"/>
    <cellStyle name="Normal 2 2 10 2 2 2 6" xfId="7153" xr:uid="{00000000-0005-0000-0000-0000F11B0000}"/>
    <cellStyle name="Normal 2 2 10 2 2 2 7" xfId="7154" xr:uid="{00000000-0005-0000-0000-0000F21B0000}"/>
    <cellStyle name="Normal 2 2 10 2 2 2 8" xfId="7155" xr:uid="{00000000-0005-0000-0000-0000F31B0000}"/>
    <cellStyle name="Normal 2 2 10 2 2 2 9" xfId="7156" xr:uid="{00000000-0005-0000-0000-0000F41B0000}"/>
    <cellStyle name="Normal 2 2 10 2 2 3" xfId="7157" xr:uid="{00000000-0005-0000-0000-0000F51B0000}"/>
    <cellStyle name="Normal 2 2 10 2 2 3 10" xfId="7158" xr:uid="{00000000-0005-0000-0000-0000F61B0000}"/>
    <cellStyle name="Normal 2 2 10 2 2 3 2" xfId="7159" xr:uid="{00000000-0005-0000-0000-0000F71B0000}"/>
    <cellStyle name="Normal 2 2 10 2 2 3 3" xfId="7160" xr:uid="{00000000-0005-0000-0000-0000F81B0000}"/>
    <cellStyle name="Normal 2 2 10 2 2 3 4" xfId="7161" xr:uid="{00000000-0005-0000-0000-0000F91B0000}"/>
    <cellStyle name="Normal 2 2 10 2 2 3 5" xfId="7162" xr:uid="{00000000-0005-0000-0000-0000FA1B0000}"/>
    <cellStyle name="Normal 2 2 10 2 2 3 6" xfId="7163" xr:uid="{00000000-0005-0000-0000-0000FB1B0000}"/>
    <cellStyle name="Normal 2 2 10 2 2 3 7" xfId="7164" xr:uid="{00000000-0005-0000-0000-0000FC1B0000}"/>
    <cellStyle name="Normal 2 2 10 2 2 3 8" xfId="7165" xr:uid="{00000000-0005-0000-0000-0000FD1B0000}"/>
    <cellStyle name="Normal 2 2 10 2 2 3 9" xfId="7166" xr:uid="{00000000-0005-0000-0000-0000FE1B0000}"/>
    <cellStyle name="Normal 2 2 10 2 2 4" xfId="7167" xr:uid="{00000000-0005-0000-0000-0000FF1B0000}"/>
    <cellStyle name="Normal 2 2 10 2 2 4 10" xfId="7168" xr:uid="{00000000-0005-0000-0000-0000001C0000}"/>
    <cellStyle name="Normal 2 2 10 2 2 4 2" xfId="7169" xr:uid="{00000000-0005-0000-0000-0000011C0000}"/>
    <cellStyle name="Normal 2 2 10 2 2 4 3" xfId="7170" xr:uid="{00000000-0005-0000-0000-0000021C0000}"/>
    <cellStyle name="Normal 2 2 10 2 2 4 4" xfId="7171" xr:uid="{00000000-0005-0000-0000-0000031C0000}"/>
    <cellStyle name="Normal 2 2 10 2 2 4 5" xfId="7172" xr:uid="{00000000-0005-0000-0000-0000041C0000}"/>
    <cellStyle name="Normal 2 2 10 2 2 4 6" xfId="7173" xr:uid="{00000000-0005-0000-0000-0000051C0000}"/>
    <cellStyle name="Normal 2 2 10 2 2 4 7" xfId="7174" xr:uid="{00000000-0005-0000-0000-0000061C0000}"/>
    <cellStyle name="Normal 2 2 10 2 2 4 8" xfId="7175" xr:uid="{00000000-0005-0000-0000-0000071C0000}"/>
    <cellStyle name="Normal 2 2 10 2 2 4 9" xfId="7176" xr:uid="{00000000-0005-0000-0000-0000081C0000}"/>
    <cellStyle name="Normal 2 2 10 2 2 5" xfId="7177" xr:uid="{00000000-0005-0000-0000-0000091C0000}"/>
    <cellStyle name="Normal 2 2 10 2 2 5 10" xfId="7178" xr:uid="{00000000-0005-0000-0000-00000A1C0000}"/>
    <cellStyle name="Normal 2 2 10 2 2 5 2" xfId="7179" xr:uid="{00000000-0005-0000-0000-00000B1C0000}"/>
    <cellStyle name="Normal 2 2 10 2 2 5 3" xfId="7180" xr:uid="{00000000-0005-0000-0000-00000C1C0000}"/>
    <cellStyle name="Normal 2 2 10 2 2 5 4" xfId="7181" xr:uid="{00000000-0005-0000-0000-00000D1C0000}"/>
    <cellStyle name="Normal 2 2 10 2 2 5 5" xfId="7182" xr:uid="{00000000-0005-0000-0000-00000E1C0000}"/>
    <cellStyle name="Normal 2 2 10 2 2 5 6" xfId="7183" xr:uid="{00000000-0005-0000-0000-00000F1C0000}"/>
    <cellStyle name="Normal 2 2 10 2 2 5 7" xfId="7184" xr:uid="{00000000-0005-0000-0000-0000101C0000}"/>
    <cellStyle name="Normal 2 2 10 2 2 5 8" xfId="7185" xr:uid="{00000000-0005-0000-0000-0000111C0000}"/>
    <cellStyle name="Normal 2 2 10 2 2 5 9" xfId="7186" xr:uid="{00000000-0005-0000-0000-0000121C0000}"/>
    <cellStyle name="Normal 2 2 10 2 2 6" xfId="7187" xr:uid="{00000000-0005-0000-0000-0000131C0000}"/>
    <cellStyle name="Normal 2 2 10 2 2 7" xfId="7188" xr:uid="{00000000-0005-0000-0000-0000141C0000}"/>
    <cellStyle name="Normal 2 2 10 2 2 8" xfId="7189" xr:uid="{00000000-0005-0000-0000-0000151C0000}"/>
    <cellStyle name="Normal 2 2 10 2 2 9" xfId="7190" xr:uid="{00000000-0005-0000-0000-0000161C0000}"/>
    <cellStyle name="Normal 2 2 10 2 20" xfId="7191" xr:uid="{00000000-0005-0000-0000-0000171C0000}"/>
    <cellStyle name="Normal 2 2 10 2 20 10" xfId="7192" xr:uid="{00000000-0005-0000-0000-0000181C0000}"/>
    <cellStyle name="Normal 2 2 10 2 20 11" xfId="7193" xr:uid="{00000000-0005-0000-0000-0000191C0000}"/>
    <cellStyle name="Normal 2 2 10 2 20 12" xfId="7194" xr:uid="{00000000-0005-0000-0000-00001A1C0000}"/>
    <cellStyle name="Normal 2 2 10 2 20 13" xfId="7195" xr:uid="{00000000-0005-0000-0000-00001B1C0000}"/>
    <cellStyle name="Normal 2 2 10 2 20 14" xfId="7196" xr:uid="{00000000-0005-0000-0000-00001C1C0000}"/>
    <cellStyle name="Normal 2 2 10 2 20 2" xfId="7197" xr:uid="{00000000-0005-0000-0000-00001D1C0000}"/>
    <cellStyle name="Normal 2 2 10 2 20 2 10" xfId="7198" xr:uid="{00000000-0005-0000-0000-00001E1C0000}"/>
    <cellStyle name="Normal 2 2 10 2 20 2 2" xfId="7199" xr:uid="{00000000-0005-0000-0000-00001F1C0000}"/>
    <cellStyle name="Normal 2 2 10 2 20 2 3" xfId="7200" xr:uid="{00000000-0005-0000-0000-0000201C0000}"/>
    <cellStyle name="Normal 2 2 10 2 20 2 4" xfId="7201" xr:uid="{00000000-0005-0000-0000-0000211C0000}"/>
    <cellStyle name="Normal 2 2 10 2 20 2 5" xfId="7202" xr:uid="{00000000-0005-0000-0000-0000221C0000}"/>
    <cellStyle name="Normal 2 2 10 2 20 2 6" xfId="7203" xr:uid="{00000000-0005-0000-0000-0000231C0000}"/>
    <cellStyle name="Normal 2 2 10 2 20 2 7" xfId="7204" xr:uid="{00000000-0005-0000-0000-0000241C0000}"/>
    <cellStyle name="Normal 2 2 10 2 20 2 8" xfId="7205" xr:uid="{00000000-0005-0000-0000-0000251C0000}"/>
    <cellStyle name="Normal 2 2 10 2 20 2 9" xfId="7206" xr:uid="{00000000-0005-0000-0000-0000261C0000}"/>
    <cellStyle name="Normal 2 2 10 2 20 3" xfId="7207" xr:uid="{00000000-0005-0000-0000-0000271C0000}"/>
    <cellStyle name="Normal 2 2 10 2 20 3 10" xfId="7208" xr:uid="{00000000-0005-0000-0000-0000281C0000}"/>
    <cellStyle name="Normal 2 2 10 2 20 3 2" xfId="7209" xr:uid="{00000000-0005-0000-0000-0000291C0000}"/>
    <cellStyle name="Normal 2 2 10 2 20 3 3" xfId="7210" xr:uid="{00000000-0005-0000-0000-00002A1C0000}"/>
    <cellStyle name="Normal 2 2 10 2 20 3 4" xfId="7211" xr:uid="{00000000-0005-0000-0000-00002B1C0000}"/>
    <cellStyle name="Normal 2 2 10 2 20 3 5" xfId="7212" xr:uid="{00000000-0005-0000-0000-00002C1C0000}"/>
    <cellStyle name="Normal 2 2 10 2 20 3 6" xfId="7213" xr:uid="{00000000-0005-0000-0000-00002D1C0000}"/>
    <cellStyle name="Normal 2 2 10 2 20 3 7" xfId="7214" xr:uid="{00000000-0005-0000-0000-00002E1C0000}"/>
    <cellStyle name="Normal 2 2 10 2 20 3 8" xfId="7215" xr:uid="{00000000-0005-0000-0000-00002F1C0000}"/>
    <cellStyle name="Normal 2 2 10 2 20 3 9" xfId="7216" xr:uid="{00000000-0005-0000-0000-0000301C0000}"/>
    <cellStyle name="Normal 2 2 10 2 20 4" xfId="7217" xr:uid="{00000000-0005-0000-0000-0000311C0000}"/>
    <cellStyle name="Normal 2 2 10 2 20 4 10" xfId="7218" xr:uid="{00000000-0005-0000-0000-0000321C0000}"/>
    <cellStyle name="Normal 2 2 10 2 20 4 2" xfId="7219" xr:uid="{00000000-0005-0000-0000-0000331C0000}"/>
    <cellStyle name="Normal 2 2 10 2 20 4 3" xfId="7220" xr:uid="{00000000-0005-0000-0000-0000341C0000}"/>
    <cellStyle name="Normal 2 2 10 2 20 4 4" xfId="7221" xr:uid="{00000000-0005-0000-0000-0000351C0000}"/>
    <cellStyle name="Normal 2 2 10 2 20 4 5" xfId="7222" xr:uid="{00000000-0005-0000-0000-0000361C0000}"/>
    <cellStyle name="Normal 2 2 10 2 20 4 6" xfId="7223" xr:uid="{00000000-0005-0000-0000-0000371C0000}"/>
    <cellStyle name="Normal 2 2 10 2 20 4 7" xfId="7224" xr:uid="{00000000-0005-0000-0000-0000381C0000}"/>
    <cellStyle name="Normal 2 2 10 2 20 4 8" xfId="7225" xr:uid="{00000000-0005-0000-0000-0000391C0000}"/>
    <cellStyle name="Normal 2 2 10 2 20 4 9" xfId="7226" xr:uid="{00000000-0005-0000-0000-00003A1C0000}"/>
    <cellStyle name="Normal 2 2 10 2 20 5" xfId="7227" xr:uid="{00000000-0005-0000-0000-00003B1C0000}"/>
    <cellStyle name="Normal 2 2 10 2 20 5 10" xfId="7228" xr:uid="{00000000-0005-0000-0000-00003C1C0000}"/>
    <cellStyle name="Normal 2 2 10 2 20 5 2" xfId="7229" xr:uid="{00000000-0005-0000-0000-00003D1C0000}"/>
    <cellStyle name="Normal 2 2 10 2 20 5 3" xfId="7230" xr:uid="{00000000-0005-0000-0000-00003E1C0000}"/>
    <cellStyle name="Normal 2 2 10 2 20 5 4" xfId="7231" xr:uid="{00000000-0005-0000-0000-00003F1C0000}"/>
    <cellStyle name="Normal 2 2 10 2 20 5 5" xfId="7232" xr:uid="{00000000-0005-0000-0000-0000401C0000}"/>
    <cellStyle name="Normal 2 2 10 2 20 5 6" xfId="7233" xr:uid="{00000000-0005-0000-0000-0000411C0000}"/>
    <cellStyle name="Normal 2 2 10 2 20 5 7" xfId="7234" xr:uid="{00000000-0005-0000-0000-0000421C0000}"/>
    <cellStyle name="Normal 2 2 10 2 20 5 8" xfId="7235" xr:uid="{00000000-0005-0000-0000-0000431C0000}"/>
    <cellStyle name="Normal 2 2 10 2 20 5 9" xfId="7236" xr:uid="{00000000-0005-0000-0000-0000441C0000}"/>
    <cellStyle name="Normal 2 2 10 2 20 6" xfId="7237" xr:uid="{00000000-0005-0000-0000-0000451C0000}"/>
    <cellStyle name="Normal 2 2 10 2 20 7" xfId="7238" xr:uid="{00000000-0005-0000-0000-0000461C0000}"/>
    <cellStyle name="Normal 2 2 10 2 20 8" xfId="7239" xr:uid="{00000000-0005-0000-0000-0000471C0000}"/>
    <cellStyle name="Normal 2 2 10 2 20 9" xfId="7240" xr:uid="{00000000-0005-0000-0000-0000481C0000}"/>
    <cellStyle name="Normal 2 2 10 2 21" xfId="7241" xr:uid="{00000000-0005-0000-0000-0000491C0000}"/>
    <cellStyle name="Normal 2 2 10 2 21 10" xfId="7242" xr:uid="{00000000-0005-0000-0000-00004A1C0000}"/>
    <cellStyle name="Normal 2 2 10 2 21 11" xfId="7243" xr:uid="{00000000-0005-0000-0000-00004B1C0000}"/>
    <cellStyle name="Normal 2 2 10 2 21 12" xfId="7244" xr:uid="{00000000-0005-0000-0000-00004C1C0000}"/>
    <cellStyle name="Normal 2 2 10 2 21 13" xfId="7245" xr:uid="{00000000-0005-0000-0000-00004D1C0000}"/>
    <cellStyle name="Normal 2 2 10 2 21 14" xfId="7246" xr:uid="{00000000-0005-0000-0000-00004E1C0000}"/>
    <cellStyle name="Normal 2 2 10 2 21 2" xfId="7247" xr:uid="{00000000-0005-0000-0000-00004F1C0000}"/>
    <cellStyle name="Normal 2 2 10 2 21 2 10" xfId="7248" xr:uid="{00000000-0005-0000-0000-0000501C0000}"/>
    <cellStyle name="Normal 2 2 10 2 21 2 2" xfId="7249" xr:uid="{00000000-0005-0000-0000-0000511C0000}"/>
    <cellStyle name="Normal 2 2 10 2 21 2 3" xfId="7250" xr:uid="{00000000-0005-0000-0000-0000521C0000}"/>
    <cellStyle name="Normal 2 2 10 2 21 2 4" xfId="7251" xr:uid="{00000000-0005-0000-0000-0000531C0000}"/>
    <cellStyle name="Normal 2 2 10 2 21 2 5" xfId="7252" xr:uid="{00000000-0005-0000-0000-0000541C0000}"/>
    <cellStyle name="Normal 2 2 10 2 21 2 6" xfId="7253" xr:uid="{00000000-0005-0000-0000-0000551C0000}"/>
    <cellStyle name="Normal 2 2 10 2 21 2 7" xfId="7254" xr:uid="{00000000-0005-0000-0000-0000561C0000}"/>
    <cellStyle name="Normal 2 2 10 2 21 2 8" xfId="7255" xr:uid="{00000000-0005-0000-0000-0000571C0000}"/>
    <cellStyle name="Normal 2 2 10 2 21 2 9" xfId="7256" xr:uid="{00000000-0005-0000-0000-0000581C0000}"/>
    <cellStyle name="Normal 2 2 10 2 21 3" xfId="7257" xr:uid="{00000000-0005-0000-0000-0000591C0000}"/>
    <cellStyle name="Normal 2 2 10 2 21 3 10" xfId="7258" xr:uid="{00000000-0005-0000-0000-00005A1C0000}"/>
    <cellStyle name="Normal 2 2 10 2 21 3 2" xfId="7259" xr:uid="{00000000-0005-0000-0000-00005B1C0000}"/>
    <cellStyle name="Normal 2 2 10 2 21 3 3" xfId="7260" xr:uid="{00000000-0005-0000-0000-00005C1C0000}"/>
    <cellStyle name="Normal 2 2 10 2 21 3 4" xfId="7261" xr:uid="{00000000-0005-0000-0000-00005D1C0000}"/>
    <cellStyle name="Normal 2 2 10 2 21 3 5" xfId="7262" xr:uid="{00000000-0005-0000-0000-00005E1C0000}"/>
    <cellStyle name="Normal 2 2 10 2 21 3 6" xfId="7263" xr:uid="{00000000-0005-0000-0000-00005F1C0000}"/>
    <cellStyle name="Normal 2 2 10 2 21 3 7" xfId="7264" xr:uid="{00000000-0005-0000-0000-0000601C0000}"/>
    <cellStyle name="Normal 2 2 10 2 21 3 8" xfId="7265" xr:uid="{00000000-0005-0000-0000-0000611C0000}"/>
    <cellStyle name="Normal 2 2 10 2 21 3 9" xfId="7266" xr:uid="{00000000-0005-0000-0000-0000621C0000}"/>
    <cellStyle name="Normal 2 2 10 2 21 4" xfId="7267" xr:uid="{00000000-0005-0000-0000-0000631C0000}"/>
    <cellStyle name="Normal 2 2 10 2 21 4 10" xfId="7268" xr:uid="{00000000-0005-0000-0000-0000641C0000}"/>
    <cellStyle name="Normal 2 2 10 2 21 4 2" xfId="7269" xr:uid="{00000000-0005-0000-0000-0000651C0000}"/>
    <cellStyle name="Normal 2 2 10 2 21 4 3" xfId="7270" xr:uid="{00000000-0005-0000-0000-0000661C0000}"/>
    <cellStyle name="Normal 2 2 10 2 21 4 4" xfId="7271" xr:uid="{00000000-0005-0000-0000-0000671C0000}"/>
    <cellStyle name="Normal 2 2 10 2 21 4 5" xfId="7272" xr:uid="{00000000-0005-0000-0000-0000681C0000}"/>
    <cellStyle name="Normal 2 2 10 2 21 4 6" xfId="7273" xr:uid="{00000000-0005-0000-0000-0000691C0000}"/>
    <cellStyle name="Normal 2 2 10 2 21 4 7" xfId="7274" xr:uid="{00000000-0005-0000-0000-00006A1C0000}"/>
    <cellStyle name="Normal 2 2 10 2 21 4 8" xfId="7275" xr:uid="{00000000-0005-0000-0000-00006B1C0000}"/>
    <cellStyle name="Normal 2 2 10 2 21 4 9" xfId="7276" xr:uid="{00000000-0005-0000-0000-00006C1C0000}"/>
    <cellStyle name="Normal 2 2 10 2 21 5" xfId="7277" xr:uid="{00000000-0005-0000-0000-00006D1C0000}"/>
    <cellStyle name="Normal 2 2 10 2 21 5 10" xfId="7278" xr:uid="{00000000-0005-0000-0000-00006E1C0000}"/>
    <cellStyle name="Normal 2 2 10 2 21 5 2" xfId="7279" xr:uid="{00000000-0005-0000-0000-00006F1C0000}"/>
    <cellStyle name="Normal 2 2 10 2 21 5 3" xfId="7280" xr:uid="{00000000-0005-0000-0000-0000701C0000}"/>
    <cellStyle name="Normal 2 2 10 2 21 5 4" xfId="7281" xr:uid="{00000000-0005-0000-0000-0000711C0000}"/>
    <cellStyle name="Normal 2 2 10 2 21 5 5" xfId="7282" xr:uid="{00000000-0005-0000-0000-0000721C0000}"/>
    <cellStyle name="Normal 2 2 10 2 21 5 6" xfId="7283" xr:uid="{00000000-0005-0000-0000-0000731C0000}"/>
    <cellStyle name="Normal 2 2 10 2 21 5 7" xfId="7284" xr:uid="{00000000-0005-0000-0000-0000741C0000}"/>
    <cellStyle name="Normal 2 2 10 2 21 5 8" xfId="7285" xr:uid="{00000000-0005-0000-0000-0000751C0000}"/>
    <cellStyle name="Normal 2 2 10 2 21 5 9" xfId="7286" xr:uid="{00000000-0005-0000-0000-0000761C0000}"/>
    <cellStyle name="Normal 2 2 10 2 21 6" xfId="7287" xr:uid="{00000000-0005-0000-0000-0000771C0000}"/>
    <cellStyle name="Normal 2 2 10 2 21 7" xfId="7288" xr:uid="{00000000-0005-0000-0000-0000781C0000}"/>
    <cellStyle name="Normal 2 2 10 2 21 8" xfId="7289" xr:uid="{00000000-0005-0000-0000-0000791C0000}"/>
    <cellStyle name="Normal 2 2 10 2 21 9" xfId="7290" xr:uid="{00000000-0005-0000-0000-00007A1C0000}"/>
    <cellStyle name="Normal 2 2 10 2 22" xfId="7291" xr:uid="{00000000-0005-0000-0000-00007B1C0000}"/>
    <cellStyle name="Normal 2 2 10 2 22 10" xfId="7292" xr:uid="{00000000-0005-0000-0000-00007C1C0000}"/>
    <cellStyle name="Normal 2 2 10 2 22 11" xfId="7293" xr:uid="{00000000-0005-0000-0000-00007D1C0000}"/>
    <cellStyle name="Normal 2 2 10 2 22 12" xfId="7294" xr:uid="{00000000-0005-0000-0000-00007E1C0000}"/>
    <cellStyle name="Normal 2 2 10 2 22 13" xfId="7295" xr:uid="{00000000-0005-0000-0000-00007F1C0000}"/>
    <cellStyle name="Normal 2 2 10 2 22 14" xfId="7296" xr:uid="{00000000-0005-0000-0000-0000801C0000}"/>
    <cellStyle name="Normal 2 2 10 2 22 2" xfId="7297" xr:uid="{00000000-0005-0000-0000-0000811C0000}"/>
    <cellStyle name="Normal 2 2 10 2 22 2 10" xfId="7298" xr:uid="{00000000-0005-0000-0000-0000821C0000}"/>
    <cellStyle name="Normal 2 2 10 2 22 2 2" xfId="7299" xr:uid="{00000000-0005-0000-0000-0000831C0000}"/>
    <cellStyle name="Normal 2 2 10 2 22 2 3" xfId="7300" xr:uid="{00000000-0005-0000-0000-0000841C0000}"/>
    <cellStyle name="Normal 2 2 10 2 22 2 4" xfId="7301" xr:uid="{00000000-0005-0000-0000-0000851C0000}"/>
    <cellStyle name="Normal 2 2 10 2 22 2 5" xfId="7302" xr:uid="{00000000-0005-0000-0000-0000861C0000}"/>
    <cellStyle name="Normal 2 2 10 2 22 2 6" xfId="7303" xr:uid="{00000000-0005-0000-0000-0000871C0000}"/>
    <cellStyle name="Normal 2 2 10 2 22 2 7" xfId="7304" xr:uid="{00000000-0005-0000-0000-0000881C0000}"/>
    <cellStyle name="Normal 2 2 10 2 22 2 8" xfId="7305" xr:uid="{00000000-0005-0000-0000-0000891C0000}"/>
    <cellStyle name="Normal 2 2 10 2 22 2 9" xfId="7306" xr:uid="{00000000-0005-0000-0000-00008A1C0000}"/>
    <cellStyle name="Normal 2 2 10 2 22 3" xfId="7307" xr:uid="{00000000-0005-0000-0000-00008B1C0000}"/>
    <cellStyle name="Normal 2 2 10 2 22 3 10" xfId="7308" xr:uid="{00000000-0005-0000-0000-00008C1C0000}"/>
    <cellStyle name="Normal 2 2 10 2 22 3 2" xfId="7309" xr:uid="{00000000-0005-0000-0000-00008D1C0000}"/>
    <cellStyle name="Normal 2 2 10 2 22 3 3" xfId="7310" xr:uid="{00000000-0005-0000-0000-00008E1C0000}"/>
    <cellStyle name="Normal 2 2 10 2 22 3 4" xfId="7311" xr:uid="{00000000-0005-0000-0000-00008F1C0000}"/>
    <cellStyle name="Normal 2 2 10 2 22 3 5" xfId="7312" xr:uid="{00000000-0005-0000-0000-0000901C0000}"/>
    <cellStyle name="Normal 2 2 10 2 22 3 6" xfId="7313" xr:uid="{00000000-0005-0000-0000-0000911C0000}"/>
    <cellStyle name="Normal 2 2 10 2 22 3 7" xfId="7314" xr:uid="{00000000-0005-0000-0000-0000921C0000}"/>
    <cellStyle name="Normal 2 2 10 2 22 3 8" xfId="7315" xr:uid="{00000000-0005-0000-0000-0000931C0000}"/>
    <cellStyle name="Normal 2 2 10 2 22 3 9" xfId="7316" xr:uid="{00000000-0005-0000-0000-0000941C0000}"/>
    <cellStyle name="Normal 2 2 10 2 22 4" xfId="7317" xr:uid="{00000000-0005-0000-0000-0000951C0000}"/>
    <cellStyle name="Normal 2 2 10 2 22 4 10" xfId="7318" xr:uid="{00000000-0005-0000-0000-0000961C0000}"/>
    <cellStyle name="Normal 2 2 10 2 22 4 2" xfId="7319" xr:uid="{00000000-0005-0000-0000-0000971C0000}"/>
    <cellStyle name="Normal 2 2 10 2 22 4 3" xfId="7320" xr:uid="{00000000-0005-0000-0000-0000981C0000}"/>
    <cellStyle name="Normal 2 2 10 2 22 4 4" xfId="7321" xr:uid="{00000000-0005-0000-0000-0000991C0000}"/>
    <cellStyle name="Normal 2 2 10 2 22 4 5" xfId="7322" xr:uid="{00000000-0005-0000-0000-00009A1C0000}"/>
    <cellStyle name="Normal 2 2 10 2 22 4 6" xfId="7323" xr:uid="{00000000-0005-0000-0000-00009B1C0000}"/>
    <cellStyle name="Normal 2 2 10 2 22 4 7" xfId="7324" xr:uid="{00000000-0005-0000-0000-00009C1C0000}"/>
    <cellStyle name="Normal 2 2 10 2 22 4 8" xfId="7325" xr:uid="{00000000-0005-0000-0000-00009D1C0000}"/>
    <cellStyle name="Normal 2 2 10 2 22 4 9" xfId="7326" xr:uid="{00000000-0005-0000-0000-00009E1C0000}"/>
    <cellStyle name="Normal 2 2 10 2 22 5" xfId="7327" xr:uid="{00000000-0005-0000-0000-00009F1C0000}"/>
    <cellStyle name="Normal 2 2 10 2 22 5 10" xfId="7328" xr:uid="{00000000-0005-0000-0000-0000A01C0000}"/>
    <cellStyle name="Normal 2 2 10 2 22 5 2" xfId="7329" xr:uid="{00000000-0005-0000-0000-0000A11C0000}"/>
    <cellStyle name="Normal 2 2 10 2 22 5 3" xfId="7330" xr:uid="{00000000-0005-0000-0000-0000A21C0000}"/>
    <cellStyle name="Normal 2 2 10 2 22 5 4" xfId="7331" xr:uid="{00000000-0005-0000-0000-0000A31C0000}"/>
    <cellStyle name="Normal 2 2 10 2 22 5 5" xfId="7332" xr:uid="{00000000-0005-0000-0000-0000A41C0000}"/>
    <cellStyle name="Normal 2 2 10 2 22 5 6" xfId="7333" xr:uid="{00000000-0005-0000-0000-0000A51C0000}"/>
    <cellStyle name="Normal 2 2 10 2 22 5 7" xfId="7334" xr:uid="{00000000-0005-0000-0000-0000A61C0000}"/>
    <cellStyle name="Normal 2 2 10 2 22 5 8" xfId="7335" xr:uid="{00000000-0005-0000-0000-0000A71C0000}"/>
    <cellStyle name="Normal 2 2 10 2 22 5 9" xfId="7336" xr:uid="{00000000-0005-0000-0000-0000A81C0000}"/>
    <cellStyle name="Normal 2 2 10 2 22 6" xfId="7337" xr:uid="{00000000-0005-0000-0000-0000A91C0000}"/>
    <cellStyle name="Normal 2 2 10 2 22 7" xfId="7338" xr:uid="{00000000-0005-0000-0000-0000AA1C0000}"/>
    <cellStyle name="Normal 2 2 10 2 22 8" xfId="7339" xr:uid="{00000000-0005-0000-0000-0000AB1C0000}"/>
    <cellStyle name="Normal 2 2 10 2 22 9" xfId="7340" xr:uid="{00000000-0005-0000-0000-0000AC1C0000}"/>
    <cellStyle name="Normal 2 2 10 2 23" xfId="7341" xr:uid="{00000000-0005-0000-0000-0000AD1C0000}"/>
    <cellStyle name="Normal 2 2 10 2 23 10" xfId="7342" xr:uid="{00000000-0005-0000-0000-0000AE1C0000}"/>
    <cellStyle name="Normal 2 2 10 2 23 11" xfId="7343" xr:uid="{00000000-0005-0000-0000-0000AF1C0000}"/>
    <cellStyle name="Normal 2 2 10 2 23 12" xfId="7344" xr:uid="{00000000-0005-0000-0000-0000B01C0000}"/>
    <cellStyle name="Normal 2 2 10 2 23 13" xfId="7345" xr:uid="{00000000-0005-0000-0000-0000B11C0000}"/>
    <cellStyle name="Normal 2 2 10 2 23 14" xfId="7346" xr:uid="{00000000-0005-0000-0000-0000B21C0000}"/>
    <cellStyle name="Normal 2 2 10 2 23 2" xfId="7347" xr:uid="{00000000-0005-0000-0000-0000B31C0000}"/>
    <cellStyle name="Normal 2 2 10 2 23 2 10" xfId="7348" xr:uid="{00000000-0005-0000-0000-0000B41C0000}"/>
    <cellStyle name="Normal 2 2 10 2 23 2 2" xfId="7349" xr:uid="{00000000-0005-0000-0000-0000B51C0000}"/>
    <cellStyle name="Normal 2 2 10 2 23 2 3" xfId="7350" xr:uid="{00000000-0005-0000-0000-0000B61C0000}"/>
    <cellStyle name="Normal 2 2 10 2 23 2 4" xfId="7351" xr:uid="{00000000-0005-0000-0000-0000B71C0000}"/>
    <cellStyle name="Normal 2 2 10 2 23 2 5" xfId="7352" xr:uid="{00000000-0005-0000-0000-0000B81C0000}"/>
    <cellStyle name="Normal 2 2 10 2 23 2 6" xfId="7353" xr:uid="{00000000-0005-0000-0000-0000B91C0000}"/>
    <cellStyle name="Normal 2 2 10 2 23 2 7" xfId="7354" xr:uid="{00000000-0005-0000-0000-0000BA1C0000}"/>
    <cellStyle name="Normal 2 2 10 2 23 2 8" xfId="7355" xr:uid="{00000000-0005-0000-0000-0000BB1C0000}"/>
    <cellStyle name="Normal 2 2 10 2 23 2 9" xfId="7356" xr:uid="{00000000-0005-0000-0000-0000BC1C0000}"/>
    <cellStyle name="Normal 2 2 10 2 23 3" xfId="7357" xr:uid="{00000000-0005-0000-0000-0000BD1C0000}"/>
    <cellStyle name="Normal 2 2 10 2 23 3 10" xfId="7358" xr:uid="{00000000-0005-0000-0000-0000BE1C0000}"/>
    <cellStyle name="Normal 2 2 10 2 23 3 2" xfId="7359" xr:uid="{00000000-0005-0000-0000-0000BF1C0000}"/>
    <cellStyle name="Normal 2 2 10 2 23 3 3" xfId="7360" xr:uid="{00000000-0005-0000-0000-0000C01C0000}"/>
    <cellStyle name="Normal 2 2 10 2 23 3 4" xfId="7361" xr:uid="{00000000-0005-0000-0000-0000C11C0000}"/>
    <cellStyle name="Normal 2 2 10 2 23 3 5" xfId="7362" xr:uid="{00000000-0005-0000-0000-0000C21C0000}"/>
    <cellStyle name="Normal 2 2 10 2 23 3 6" xfId="7363" xr:uid="{00000000-0005-0000-0000-0000C31C0000}"/>
    <cellStyle name="Normal 2 2 10 2 23 3 7" xfId="7364" xr:uid="{00000000-0005-0000-0000-0000C41C0000}"/>
    <cellStyle name="Normal 2 2 10 2 23 3 8" xfId="7365" xr:uid="{00000000-0005-0000-0000-0000C51C0000}"/>
    <cellStyle name="Normal 2 2 10 2 23 3 9" xfId="7366" xr:uid="{00000000-0005-0000-0000-0000C61C0000}"/>
    <cellStyle name="Normal 2 2 10 2 23 4" xfId="7367" xr:uid="{00000000-0005-0000-0000-0000C71C0000}"/>
    <cellStyle name="Normal 2 2 10 2 23 4 10" xfId="7368" xr:uid="{00000000-0005-0000-0000-0000C81C0000}"/>
    <cellStyle name="Normal 2 2 10 2 23 4 2" xfId="7369" xr:uid="{00000000-0005-0000-0000-0000C91C0000}"/>
    <cellStyle name="Normal 2 2 10 2 23 4 3" xfId="7370" xr:uid="{00000000-0005-0000-0000-0000CA1C0000}"/>
    <cellStyle name="Normal 2 2 10 2 23 4 4" xfId="7371" xr:uid="{00000000-0005-0000-0000-0000CB1C0000}"/>
    <cellStyle name="Normal 2 2 10 2 23 4 5" xfId="7372" xr:uid="{00000000-0005-0000-0000-0000CC1C0000}"/>
    <cellStyle name="Normal 2 2 10 2 23 4 6" xfId="7373" xr:uid="{00000000-0005-0000-0000-0000CD1C0000}"/>
    <cellStyle name="Normal 2 2 10 2 23 4 7" xfId="7374" xr:uid="{00000000-0005-0000-0000-0000CE1C0000}"/>
    <cellStyle name="Normal 2 2 10 2 23 4 8" xfId="7375" xr:uid="{00000000-0005-0000-0000-0000CF1C0000}"/>
    <cellStyle name="Normal 2 2 10 2 23 4 9" xfId="7376" xr:uid="{00000000-0005-0000-0000-0000D01C0000}"/>
    <cellStyle name="Normal 2 2 10 2 23 5" xfId="7377" xr:uid="{00000000-0005-0000-0000-0000D11C0000}"/>
    <cellStyle name="Normal 2 2 10 2 23 5 10" xfId="7378" xr:uid="{00000000-0005-0000-0000-0000D21C0000}"/>
    <cellStyle name="Normal 2 2 10 2 23 5 2" xfId="7379" xr:uid="{00000000-0005-0000-0000-0000D31C0000}"/>
    <cellStyle name="Normal 2 2 10 2 23 5 3" xfId="7380" xr:uid="{00000000-0005-0000-0000-0000D41C0000}"/>
    <cellStyle name="Normal 2 2 10 2 23 5 4" xfId="7381" xr:uid="{00000000-0005-0000-0000-0000D51C0000}"/>
    <cellStyle name="Normal 2 2 10 2 23 5 5" xfId="7382" xr:uid="{00000000-0005-0000-0000-0000D61C0000}"/>
    <cellStyle name="Normal 2 2 10 2 23 5 6" xfId="7383" xr:uid="{00000000-0005-0000-0000-0000D71C0000}"/>
    <cellStyle name="Normal 2 2 10 2 23 5 7" xfId="7384" xr:uid="{00000000-0005-0000-0000-0000D81C0000}"/>
    <cellStyle name="Normal 2 2 10 2 23 5 8" xfId="7385" xr:uid="{00000000-0005-0000-0000-0000D91C0000}"/>
    <cellStyle name="Normal 2 2 10 2 23 5 9" xfId="7386" xr:uid="{00000000-0005-0000-0000-0000DA1C0000}"/>
    <cellStyle name="Normal 2 2 10 2 23 6" xfId="7387" xr:uid="{00000000-0005-0000-0000-0000DB1C0000}"/>
    <cellStyle name="Normal 2 2 10 2 23 7" xfId="7388" xr:uid="{00000000-0005-0000-0000-0000DC1C0000}"/>
    <cellStyle name="Normal 2 2 10 2 23 8" xfId="7389" xr:uid="{00000000-0005-0000-0000-0000DD1C0000}"/>
    <cellStyle name="Normal 2 2 10 2 23 9" xfId="7390" xr:uid="{00000000-0005-0000-0000-0000DE1C0000}"/>
    <cellStyle name="Normal 2 2 10 2 24" xfId="7391" xr:uid="{00000000-0005-0000-0000-0000DF1C0000}"/>
    <cellStyle name="Normal 2 2 10 2 24 10" xfId="7392" xr:uid="{00000000-0005-0000-0000-0000E01C0000}"/>
    <cellStyle name="Normal 2 2 10 2 24 11" xfId="7393" xr:uid="{00000000-0005-0000-0000-0000E11C0000}"/>
    <cellStyle name="Normal 2 2 10 2 24 12" xfId="7394" xr:uid="{00000000-0005-0000-0000-0000E21C0000}"/>
    <cellStyle name="Normal 2 2 10 2 24 13" xfId="7395" xr:uid="{00000000-0005-0000-0000-0000E31C0000}"/>
    <cellStyle name="Normal 2 2 10 2 24 14" xfId="7396" xr:uid="{00000000-0005-0000-0000-0000E41C0000}"/>
    <cellStyle name="Normal 2 2 10 2 24 2" xfId="7397" xr:uid="{00000000-0005-0000-0000-0000E51C0000}"/>
    <cellStyle name="Normal 2 2 10 2 24 2 10" xfId="7398" xr:uid="{00000000-0005-0000-0000-0000E61C0000}"/>
    <cellStyle name="Normal 2 2 10 2 24 2 2" xfId="7399" xr:uid="{00000000-0005-0000-0000-0000E71C0000}"/>
    <cellStyle name="Normal 2 2 10 2 24 2 3" xfId="7400" xr:uid="{00000000-0005-0000-0000-0000E81C0000}"/>
    <cellStyle name="Normal 2 2 10 2 24 2 4" xfId="7401" xr:uid="{00000000-0005-0000-0000-0000E91C0000}"/>
    <cellStyle name="Normal 2 2 10 2 24 2 5" xfId="7402" xr:uid="{00000000-0005-0000-0000-0000EA1C0000}"/>
    <cellStyle name="Normal 2 2 10 2 24 2 6" xfId="7403" xr:uid="{00000000-0005-0000-0000-0000EB1C0000}"/>
    <cellStyle name="Normal 2 2 10 2 24 2 7" xfId="7404" xr:uid="{00000000-0005-0000-0000-0000EC1C0000}"/>
    <cellStyle name="Normal 2 2 10 2 24 2 8" xfId="7405" xr:uid="{00000000-0005-0000-0000-0000ED1C0000}"/>
    <cellStyle name="Normal 2 2 10 2 24 2 9" xfId="7406" xr:uid="{00000000-0005-0000-0000-0000EE1C0000}"/>
    <cellStyle name="Normal 2 2 10 2 24 3" xfId="7407" xr:uid="{00000000-0005-0000-0000-0000EF1C0000}"/>
    <cellStyle name="Normal 2 2 10 2 24 3 10" xfId="7408" xr:uid="{00000000-0005-0000-0000-0000F01C0000}"/>
    <cellStyle name="Normal 2 2 10 2 24 3 2" xfId="7409" xr:uid="{00000000-0005-0000-0000-0000F11C0000}"/>
    <cellStyle name="Normal 2 2 10 2 24 3 3" xfId="7410" xr:uid="{00000000-0005-0000-0000-0000F21C0000}"/>
    <cellStyle name="Normal 2 2 10 2 24 3 4" xfId="7411" xr:uid="{00000000-0005-0000-0000-0000F31C0000}"/>
    <cellStyle name="Normal 2 2 10 2 24 3 5" xfId="7412" xr:uid="{00000000-0005-0000-0000-0000F41C0000}"/>
    <cellStyle name="Normal 2 2 10 2 24 3 6" xfId="7413" xr:uid="{00000000-0005-0000-0000-0000F51C0000}"/>
    <cellStyle name="Normal 2 2 10 2 24 3 7" xfId="7414" xr:uid="{00000000-0005-0000-0000-0000F61C0000}"/>
    <cellStyle name="Normal 2 2 10 2 24 3 8" xfId="7415" xr:uid="{00000000-0005-0000-0000-0000F71C0000}"/>
    <cellStyle name="Normal 2 2 10 2 24 3 9" xfId="7416" xr:uid="{00000000-0005-0000-0000-0000F81C0000}"/>
    <cellStyle name="Normal 2 2 10 2 24 4" xfId="7417" xr:uid="{00000000-0005-0000-0000-0000F91C0000}"/>
    <cellStyle name="Normal 2 2 10 2 24 4 10" xfId="7418" xr:uid="{00000000-0005-0000-0000-0000FA1C0000}"/>
    <cellStyle name="Normal 2 2 10 2 24 4 2" xfId="7419" xr:uid="{00000000-0005-0000-0000-0000FB1C0000}"/>
    <cellStyle name="Normal 2 2 10 2 24 4 3" xfId="7420" xr:uid="{00000000-0005-0000-0000-0000FC1C0000}"/>
    <cellStyle name="Normal 2 2 10 2 24 4 4" xfId="7421" xr:uid="{00000000-0005-0000-0000-0000FD1C0000}"/>
    <cellStyle name="Normal 2 2 10 2 24 4 5" xfId="7422" xr:uid="{00000000-0005-0000-0000-0000FE1C0000}"/>
    <cellStyle name="Normal 2 2 10 2 24 4 6" xfId="7423" xr:uid="{00000000-0005-0000-0000-0000FF1C0000}"/>
    <cellStyle name="Normal 2 2 10 2 24 4 7" xfId="7424" xr:uid="{00000000-0005-0000-0000-0000001D0000}"/>
    <cellStyle name="Normal 2 2 10 2 24 4 8" xfId="7425" xr:uid="{00000000-0005-0000-0000-0000011D0000}"/>
    <cellStyle name="Normal 2 2 10 2 24 4 9" xfId="7426" xr:uid="{00000000-0005-0000-0000-0000021D0000}"/>
    <cellStyle name="Normal 2 2 10 2 24 5" xfId="7427" xr:uid="{00000000-0005-0000-0000-0000031D0000}"/>
    <cellStyle name="Normal 2 2 10 2 24 5 10" xfId="7428" xr:uid="{00000000-0005-0000-0000-0000041D0000}"/>
    <cellStyle name="Normal 2 2 10 2 24 5 2" xfId="7429" xr:uid="{00000000-0005-0000-0000-0000051D0000}"/>
    <cellStyle name="Normal 2 2 10 2 24 5 3" xfId="7430" xr:uid="{00000000-0005-0000-0000-0000061D0000}"/>
    <cellStyle name="Normal 2 2 10 2 24 5 4" xfId="7431" xr:uid="{00000000-0005-0000-0000-0000071D0000}"/>
    <cellStyle name="Normal 2 2 10 2 24 5 5" xfId="7432" xr:uid="{00000000-0005-0000-0000-0000081D0000}"/>
    <cellStyle name="Normal 2 2 10 2 24 5 6" xfId="7433" xr:uid="{00000000-0005-0000-0000-0000091D0000}"/>
    <cellStyle name="Normal 2 2 10 2 24 5 7" xfId="7434" xr:uid="{00000000-0005-0000-0000-00000A1D0000}"/>
    <cellStyle name="Normal 2 2 10 2 24 5 8" xfId="7435" xr:uid="{00000000-0005-0000-0000-00000B1D0000}"/>
    <cellStyle name="Normal 2 2 10 2 24 5 9" xfId="7436" xr:uid="{00000000-0005-0000-0000-00000C1D0000}"/>
    <cellStyle name="Normal 2 2 10 2 24 6" xfId="7437" xr:uid="{00000000-0005-0000-0000-00000D1D0000}"/>
    <cellStyle name="Normal 2 2 10 2 24 7" xfId="7438" xr:uid="{00000000-0005-0000-0000-00000E1D0000}"/>
    <cellStyle name="Normal 2 2 10 2 24 8" xfId="7439" xr:uid="{00000000-0005-0000-0000-00000F1D0000}"/>
    <cellStyle name="Normal 2 2 10 2 24 9" xfId="7440" xr:uid="{00000000-0005-0000-0000-0000101D0000}"/>
    <cellStyle name="Normal 2 2 10 2 25" xfId="7441" xr:uid="{00000000-0005-0000-0000-0000111D0000}"/>
    <cellStyle name="Normal 2 2 10 2 25 10" xfId="7442" xr:uid="{00000000-0005-0000-0000-0000121D0000}"/>
    <cellStyle name="Normal 2 2 10 2 25 11" xfId="7443" xr:uid="{00000000-0005-0000-0000-0000131D0000}"/>
    <cellStyle name="Normal 2 2 10 2 25 12" xfId="7444" xr:uid="{00000000-0005-0000-0000-0000141D0000}"/>
    <cellStyle name="Normal 2 2 10 2 25 13" xfId="7445" xr:uid="{00000000-0005-0000-0000-0000151D0000}"/>
    <cellStyle name="Normal 2 2 10 2 25 14" xfId="7446" xr:uid="{00000000-0005-0000-0000-0000161D0000}"/>
    <cellStyle name="Normal 2 2 10 2 25 2" xfId="7447" xr:uid="{00000000-0005-0000-0000-0000171D0000}"/>
    <cellStyle name="Normal 2 2 10 2 25 2 10" xfId="7448" xr:uid="{00000000-0005-0000-0000-0000181D0000}"/>
    <cellStyle name="Normal 2 2 10 2 25 2 2" xfId="7449" xr:uid="{00000000-0005-0000-0000-0000191D0000}"/>
    <cellStyle name="Normal 2 2 10 2 25 2 3" xfId="7450" xr:uid="{00000000-0005-0000-0000-00001A1D0000}"/>
    <cellStyle name="Normal 2 2 10 2 25 2 4" xfId="7451" xr:uid="{00000000-0005-0000-0000-00001B1D0000}"/>
    <cellStyle name="Normal 2 2 10 2 25 2 5" xfId="7452" xr:uid="{00000000-0005-0000-0000-00001C1D0000}"/>
    <cellStyle name="Normal 2 2 10 2 25 2 6" xfId="7453" xr:uid="{00000000-0005-0000-0000-00001D1D0000}"/>
    <cellStyle name="Normal 2 2 10 2 25 2 7" xfId="7454" xr:uid="{00000000-0005-0000-0000-00001E1D0000}"/>
    <cellStyle name="Normal 2 2 10 2 25 2 8" xfId="7455" xr:uid="{00000000-0005-0000-0000-00001F1D0000}"/>
    <cellStyle name="Normal 2 2 10 2 25 2 9" xfId="7456" xr:uid="{00000000-0005-0000-0000-0000201D0000}"/>
    <cellStyle name="Normal 2 2 10 2 25 3" xfId="7457" xr:uid="{00000000-0005-0000-0000-0000211D0000}"/>
    <cellStyle name="Normal 2 2 10 2 25 3 10" xfId="7458" xr:uid="{00000000-0005-0000-0000-0000221D0000}"/>
    <cellStyle name="Normal 2 2 10 2 25 3 2" xfId="7459" xr:uid="{00000000-0005-0000-0000-0000231D0000}"/>
    <cellStyle name="Normal 2 2 10 2 25 3 3" xfId="7460" xr:uid="{00000000-0005-0000-0000-0000241D0000}"/>
    <cellStyle name="Normal 2 2 10 2 25 3 4" xfId="7461" xr:uid="{00000000-0005-0000-0000-0000251D0000}"/>
    <cellStyle name="Normal 2 2 10 2 25 3 5" xfId="7462" xr:uid="{00000000-0005-0000-0000-0000261D0000}"/>
    <cellStyle name="Normal 2 2 10 2 25 3 6" xfId="7463" xr:uid="{00000000-0005-0000-0000-0000271D0000}"/>
    <cellStyle name="Normal 2 2 10 2 25 3 7" xfId="7464" xr:uid="{00000000-0005-0000-0000-0000281D0000}"/>
    <cellStyle name="Normal 2 2 10 2 25 3 8" xfId="7465" xr:uid="{00000000-0005-0000-0000-0000291D0000}"/>
    <cellStyle name="Normal 2 2 10 2 25 3 9" xfId="7466" xr:uid="{00000000-0005-0000-0000-00002A1D0000}"/>
    <cellStyle name="Normal 2 2 10 2 25 4" xfId="7467" xr:uid="{00000000-0005-0000-0000-00002B1D0000}"/>
    <cellStyle name="Normal 2 2 10 2 25 4 10" xfId="7468" xr:uid="{00000000-0005-0000-0000-00002C1D0000}"/>
    <cellStyle name="Normal 2 2 10 2 25 4 2" xfId="7469" xr:uid="{00000000-0005-0000-0000-00002D1D0000}"/>
    <cellStyle name="Normal 2 2 10 2 25 4 3" xfId="7470" xr:uid="{00000000-0005-0000-0000-00002E1D0000}"/>
    <cellStyle name="Normal 2 2 10 2 25 4 4" xfId="7471" xr:uid="{00000000-0005-0000-0000-00002F1D0000}"/>
    <cellStyle name="Normal 2 2 10 2 25 4 5" xfId="7472" xr:uid="{00000000-0005-0000-0000-0000301D0000}"/>
    <cellStyle name="Normal 2 2 10 2 25 4 6" xfId="7473" xr:uid="{00000000-0005-0000-0000-0000311D0000}"/>
    <cellStyle name="Normal 2 2 10 2 25 4 7" xfId="7474" xr:uid="{00000000-0005-0000-0000-0000321D0000}"/>
    <cellStyle name="Normal 2 2 10 2 25 4 8" xfId="7475" xr:uid="{00000000-0005-0000-0000-0000331D0000}"/>
    <cellStyle name="Normal 2 2 10 2 25 4 9" xfId="7476" xr:uid="{00000000-0005-0000-0000-0000341D0000}"/>
    <cellStyle name="Normal 2 2 10 2 25 5" xfId="7477" xr:uid="{00000000-0005-0000-0000-0000351D0000}"/>
    <cellStyle name="Normal 2 2 10 2 25 5 10" xfId="7478" xr:uid="{00000000-0005-0000-0000-0000361D0000}"/>
    <cellStyle name="Normal 2 2 10 2 25 5 2" xfId="7479" xr:uid="{00000000-0005-0000-0000-0000371D0000}"/>
    <cellStyle name="Normal 2 2 10 2 25 5 3" xfId="7480" xr:uid="{00000000-0005-0000-0000-0000381D0000}"/>
    <cellStyle name="Normal 2 2 10 2 25 5 4" xfId="7481" xr:uid="{00000000-0005-0000-0000-0000391D0000}"/>
    <cellStyle name="Normal 2 2 10 2 25 5 5" xfId="7482" xr:uid="{00000000-0005-0000-0000-00003A1D0000}"/>
    <cellStyle name="Normal 2 2 10 2 25 5 6" xfId="7483" xr:uid="{00000000-0005-0000-0000-00003B1D0000}"/>
    <cellStyle name="Normal 2 2 10 2 25 5 7" xfId="7484" xr:uid="{00000000-0005-0000-0000-00003C1D0000}"/>
    <cellStyle name="Normal 2 2 10 2 25 5 8" xfId="7485" xr:uid="{00000000-0005-0000-0000-00003D1D0000}"/>
    <cellStyle name="Normal 2 2 10 2 25 5 9" xfId="7486" xr:uid="{00000000-0005-0000-0000-00003E1D0000}"/>
    <cellStyle name="Normal 2 2 10 2 25 6" xfId="7487" xr:uid="{00000000-0005-0000-0000-00003F1D0000}"/>
    <cellStyle name="Normal 2 2 10 2 25 7" xfId="7488" xr:uid="{00000000-0005-0000-0000-0000401D0000}"/>
    <cellStyle name="Normal 2 2 10 2 25 8" xfId="7489" xr:uid="{00000000-0005-0000-0000-0000411D0000}"/>
    <cellStyle name="Normal 2 2 10 2 25 9" xfId="7490" xr:uid="{00000000-0005-0000-0000-0000421D0000}"/>
    <cellStyle name="Normal 2 2 10 2 26" xfId="7491" xr:uid="{00000000-0005-0000-0000-0000431D0000}"/>
    <cellStyle name="Normal 2 2 10 2 26 10" xfId="7492" xr:uid="{00000000-0005-0000-0000-0000441D0000}"/>
    <cellStyle name="Normal 2 2 10 2 26 11" xfId="7493" xr:uid="{00000000-0005-0000-0000-0000451D0000}"/>
    <cellStyle name="Normal 2 2 10 2 26 12" xfId="7494" xr:uid="{00000000-0005-0000-0000-0000461D0000}"/>
    <cellStyle name="Normal 2 2 10 2 26 13" xfId="7495" xr:uid="{00000000-0005-0000-0000-0000471D0000}"/>
    <cellStyle name="Normal 2 2 10 2 26 14" xfId="7496" xr:uid="{00000000-0005-0000-0000-0000481D0000}"/>
    <cellStyle name="Normal 2 2 10 2 26 2" xfId="7497" xr:uid="{00000000-0005-0000-0000-0000491D0000}"/>
    <cellStyle name="Normal 2 2 10 2 26 2 10" xfId="7498" xr:uid="{00000000-0005-0000-0000-00004A1D0000}"/>
    <cellStyle name="Normal 2 2 10 2 26 2 2" xfId="7499" xr:uid="{00000000-0005-0000-0000-00004B1D0000}"/>
    <cellStyle name="Normal 2 2 10 2 26 2 3" xfId="7500" xr:uid="{00000000-0005-0000-0000-00004C1D0000}"/>
    <cellStyle name="Normal 2 2 10 2 26 2 4" xfId="7501" xr:uid="{00000000-0005-0000-0000-00004D1D0000}"/>
    <cellStyle name="Normal 2 2 10 2 26 2 5" xfId="7502" xr:uid="{00000000-0005-0000-0000-00004E1D0000}"/>
    <cellStyle name="Normal 2 2 10 2 26 2 6" xfId="7503" xr:uid="{00000000-0005-0000-0000-00004F1D0000}"/>
    <cellStyle name="Normal 2 2 10 2 26 2 7" xfId="7504" xr:uid="{00000000-0005-0000-0000-0000501D0000}"/>
    <cellStyle name="Normal 2 2 10 2 26 2 8" xfId="7505" xr:uid="{00000000-0005-0000-0000-0000511D0000}"/>
    <cellStyle name="Normal 2 2 10 2 26 2 9" xfId="7506" xr:uid="{00000000-0005-0000-0000-0000521D0000}"/>
    <cellStyle name="Normal 2 2 10 2 26 3" xfId="7507" xr:uid="{00000000-0005-0000-0000-0000531D0000}"/>
    <cellStyle name="Normal 2 2 10 2 26 3 10" xfId="7508" xr:uid="{00000000-0005-0000-0000-0000541D0000}"/>
    <cellStyle name="Normal 2 2 10 2 26 3 2" xfId="7509" xr:uid="{00000000-0005-0000-0000-0000551D0000}"/>
    <cellStyle name="Normal 2 2 10 2 26 3 3" xfId="7510" xr:uid="{00000000-0005-0000-0000-0000561D0000}"/>
    <cellStyle name="Normal 2 2 10 2 26 3 4" xfId="7511" xr:uid="{00000000-0005-0000-0000-0000571D0000}"/>
    <cellStyle name="Normal 2 2 10 2 26 3 5" xfId="7512" xr:uid="{00000000-0005-0000-0000-0000581D0000}"/>
    <cellStyle name="Normal 2 2 10 2 26 3 6" xfId="7513" xr:uid="{00000000-0005-0000-0000-0000591D0000}"/>
    <cellStyle name="Normal 2 2 10 2 26 3 7" xfId="7514" xr:uid="{00000000-0005-0000-0000-00005A1D0000}"/>
    <cellStyle name="Normal 2 2 10 2 26 3 8" xfId="7515" xr:uid="{00000000-0005-0000-0000-00005B1D0000}"/>
    <cellStyle name="Normal 2 2 10 2 26 3 9" xfId="7516" xr:uid="{00000000-0005-0000-0000-00005C1D0000}"/>
    <cellStyle name="Normal 2 2 10 2 26 4" xfId="7517" xr:uid="{00000000-0005-0000-0000-00005D1D0000}"/>
    <cellStyle name="Normal 2 2 10 2 26 4 10" xfId="7518" xr:uid="{00000000-0005-0000-0000-00005E1D0000}"/>
    <cellStyle name="Normal 2 2 10 2 26 4 2" xfId="7519" xr:uid="{00000000-0005-0000-0000-00005F1D0000}"/>
    <cellStyle name="Normal 2 2 10 2 26 4 3" xfId="7520" xr:uid="{00000000-0005-0000-0000-0000601D0000}"/>
    <cellStyle name="Normal 2 2 10 2 26 4 4" xfId="7521" xr:uid="{00000000-0005-0000-0000-0000611D0000}"/>
    <cellStyle name="Normal 2 2 10 2 26 4 5" xfId="7522" xr:uid="{00000000-0005-0000-0000-0000621D0000}"/>
    <cellStyle name="Normal 2 2 10 2 26 4 6" xfId="7523" xr:uid="{00000000-0005-0000-0000-0000631D0000}"/>
    <cellStyle name="Normal 2 2 10 2 26 4 7" xfId="7524" xr:uid="{00000000-0005-0000-0000-0000641D0000}"/>
    <cellStyle name="Normal 2 2 10 2 26 4 8" xfId="7525" xr:uid="{00000000-0005-0000-0000-0000651D0000}"/>
    <cellStyle name="Normal 2 2 10 2 26 4 9" xfId="7526" xr:uid="{00000000-0005-0000-0000-0000661D0000}"/>
    <cellStyle name="Normal 2 2 10 2 26 5" xfId="7527" xr:uid="{00000000-0005-0000-0000-0000671D0000}"/>
    <cellStyle name="Normal 2 2 10 2 26 5 10" xfId="7528" xr:uid="{00000000-0005-0000-0000-0000681D0000}"/>
    <cellStyle name="Normal 2 2 10 2 26 5 2" xfId="7529" xr:uid="{00000000-0005-0000-0000-0000691D0000}"/>
    <cellStyle name="Normal 2 2 10 2 26 5 3" xfId="7530" xr:uid="{00000000-0005-0000-0000-00006A1D0000}"/>
    <cellStyle name="Normal 2 2 10 2 26 5 4" xfId="7531" xr:uid="{00000000-0005-0000-0000-00006B1D0000}"/>
    <cellStyle name="Normal 2 2 10 2 26 5 5" xfId="7532" xr:uid="{00000000-0005-0000-0000-00006C1D0000}"/>
    <cellStyle name="Normal 2 2 10 2 26 5 6" xfId="7533" xr:uid="{00000000-0005-0000-0000-00006D1D0000}"/>
    <cellStyle name="Normal 2 2 10 2 26 5 7" xfId="7534" xr:uid="{00000000-0005-0000-0000-00006E1D0000}"/>
    <cellStyle name="Normal 2 2 10 2 26 5 8" xfId="7535" xr:uid="{00000000-0005-0000-0000-00006F1D0000}"/>
    <cellStyle name="Normal 2 2 10 2 26 5 9" xfId="7536" xr:uid="{00000000-0005-0000-0000-0000701D0000}"/>
    <cellStyle name="Normal 2 2 10 2 26 6" xfId="7537" xr:uid="{00000000-0005-0000-0000-0000711D0000}"/>
    <cellStyle name="Normal 2 2 10 2 26 7" xfId="7538" xr:uid="{00000000-0005-0000-0000-0000721D0000}"/>
    <cellStyle name="Normal 2 2 10 2 26 8" xfId="7539" xr:uid="{00000000-0005-0000-0000-0000731D0000}"/>
    <cellStyle name="Normal 2 2 10 2 26 9" xfId="7540" xr:uid="{00000000-0005-0000-0000-0000741D0000}"/>
    <cellStyle name="Normal 2 2 10 2 27" xfId="7541" xr:uid="{00000000-0005-0000-0000-0000751D0000}"/>
    <cellStyle name="Normal 2 2 10 2 27 10" xfId="7542" xr:uid="{00000000-0005-0000-0000-0000761D0000}"/>
    <cellStyle name="Normal 2 2 10 2 27 11" xfId="7543" xr:uid="{00000000-0005-0000-0000-0000771D0000}"/>
    <cellStyle name="Normal 2 2 10 2 27 12" xfId="7544" xr:uid="{00000000-0005-0000-0000-0000781D0000}"/>
    <cellStyle name="Normal 2 2 10 2 27 13" xfId="7545" xr:uid="{00000000-0005-0000-0000-0000791D0000}"/>
    <cellStyle name="Normal 2 2 10 2 27 14" xfId="7546" xr:uid="{00000000-0005-0000-0000-00007A1D0000}"/>
    <cellStyle name="Normal 2 2 10 2 27 2" xfId="7547" xr:uid="{00000000-0005-0000-0000-00007B1D0000}"/>
    <cellStyle name="Normal 2 2 10 2 27 2 10" xfId="7548" xr:uid="{00000000-0005-0000-0000-00007C1D0000}"/>
    <cellStyle name="Normal 2 2 10 2 27 2 2" xfId="7549" xr:uid="{00000000-0005-0000-0000-00007D1D0000}"/>
    <cellStyle name="Normal 2 2 10 2 27 2 3" xfId="7550" xr:uid="{00000000-0005-0000-0000-00007E1D0000}"/>
    <cellStyle name="Normal 2 2 10 2 27 2 4" xfId="7551" xr:uid="{00000000-0005-0000-0000-00007F1D0000}"/>
    <cellStyle name="Normal 2 2 10 2 27 2 5" xfId="7552" xr:uid="{00000000-0005-0000-0000-0000801D0000}"/>
    <cellStyle name="Normal 2 2 10 2 27 2 6" xfId="7553" xr:uid="{00000000-0005-0000-0000-0000811D0000}"/>
    <cellStyle name="Normal 2 2 10 2 27 2 7" xfId="7554" xr:uid="{00000000-0005-0000-0000-0000821D0000}"/>
    <cellStyle name="Normal 2 2 10 2 27 2 8" xfId="7555" xr:uid="{00000000-0005-0000-0000-0000831D0000}"/>
    <cellStyle name="Normal 2 2 10 2 27 2 9" xfId="7556" xr:uid="{00000000-0005-0000-0000-0000841D0000}"/>
    <cellStyle name="Normal 2 2 10 2 27 3" xfId="7557" xr:uid="{00000000-0005-0000-0000-0000851D0000}"/>
    <cellStyle name="Normal 2 2 10 2 27 3 10" xfId="7558" xr:uid="{00000000-0005-0000-0000-0000861D0000}"/>
    <cellStyle name="Normal 2 2 10 2 27 3 2" xfId="7559" xr:uid="{00000000-0005-0000-0000-0000871D0000}"/>
    <cellStyle name="Normal 2 2 10 2 27 3 3" xfId="7560" xr:uid="{00000000-0005-0000-0000-0000881D0000}"/>
    <cellStyle name="Normal 2 2 10 2 27 3 4" xfId="7561" xr:uid="{00000000-0005-0000-0000-0000891D0000}"/>
    <cellStyle name="Normal 2 2 10 2 27 3 5" xfId="7562" xr:uid="{00000000-0005-0000-0000-00008A1D0000}"/>
    <cellStyle name="Normal 2 2 10 2 27 3 6" xfId="7563" xr:uid="{00000000-0005-0000-0000-00008B1D0000}"/>
    <cellStyle name="Normal 2 2 10 2 27 3 7" xfId="7564" xr:uid="{00000000-0005-0000-0000-00008C1D0000}"/>
    <cellStyle name="Normal 2 2 10 2 27 3 8" xfId="7565" xr:uid="{00000000-0005-0000-0000-00008D1D0000}"/>
    <cellStyle name="Normal 2 2 10 2 27 3 9" xfId="7566" xr:uid="{00000000-0005-0000-0000-00008E1D0000}"/>
    <cellStyle name="Normal 2 2 10 2 27 4" xfId="7567" xr:uid="{00000000-0005-0000-0000-00008F1D0000}"/>
    <cellStyle name="Normal 2 2 10 2 27 4 10" xfId="7568" xr:uid="{00000000-0005-0000-0000-0000901D0000}"/>
    <cellStyle name="Normal 2 2 10 2 27 4 2" xfId="7569" xr:uid="{00000000-0005-0000-0000-0000911D0000}"/>
    <cellStyle name="Normal 2 2 10 2 27 4 3" xfId="7570" xr:uid="{00000000-0005-0000-0000-0000921D0000}"/>
    <cellStyle name="Normal 2 2 10 2 27 4 4" xfId="7571" xr:uid="{00000000-0005-0000-0000-0000931D0000}"/>
    <cellStyle name="Normal 2 2 10 2 27 4 5" xfId="7572" xr:uid="{00000000-0005-0000-0000-0000941D0000}"/>
    <cellStyle name="Normal 2 2 10 2 27 4 6" xfId="7573" xr:uid="{00000000-0005-0000-0000-0000951D0000}"/>
    <cellStyle name="Normal 2 2 10 2 27 4 7" xfId="7574" xr:uid="{00000000-0005-0000-0000-0000961D0000}"/>
    <cellStyle name="Normal 2 2 10 2 27 4 8" xfId="7575" xr:uid="{00000000-0005-0000-0000-0000971D0000}"/>
    <cellStyle name="Normal 2 2 10 2 27 4 9" xfId="7576" xr:uid="{00000000-0005-0000-0000-0000981D0000}"/>
    <cellStyle name="Normal 2 2 10 2 27 5" xfId="7577" xr:uid="{00000000-0005-0000-0000-0000991D0000}"/>
    <cellStyle name="Normal 2 2 10 2 27 5 10" xfId="7578" xr:uid="{00000000-0005-0000-0000-00009A1D0000}"/>
    <cellStyle name="Normal 2 2 10 2 27 5 2" xfId="7579" xr:uid="{00000000-0005-0000-0000-00009B1D0000}"/>
    <cellStyle name="Normal 2 2 10 2 27 5 3" xfId="7580" xr:uid="{00000000-0005-0000-0000-00009C1D0000}"/>
    <cellStyle name="Normal 2 2 10 2 27 5 4" xfId="7581" xr:uid="{00000000-0005-0000-0000-00009D1D0000}"/>
    <cellStyle name="Normal 2 2 10 2 27 5 5" xfId="7582" xr:uid="{00000000-0005-0000-0000-00009E1D0000}"/>
    <cellStyle name="Normal 2 2 10 2 27 5 6" xfId="7583" xr:uid="{00000000-0005-0000-0000-00009F1D0000}"/>
    <cellStyle name="Normal 2 2 10 2 27 5 7" xfId="7584" xr:uid="{00000000-0005-0000-0000-0000A01D0000}"/>
    <cellStyle name="Normal 2 2 10 2 27 5 8" xfId="7585" xr:uid="{00000000-0005-0000-0000-0000A11D0000}"/>
    <cellStyle name="Normal 2 2 10 2 27 5 9" xfId="7586" xr:uid="{00000000-0005-0000-0000-0000A21D0000}"/>
    <cellStyle name="Normal 2 2 10 2 27 6" xfId="7587" xr:uid="{00000000-0005-0000-0000-0000A31D0000}"/>
    <cellStyle name="Normal 2 2 10 2 27 7" xfId="7588" xr:uid="{00000000-0005-0000-0000-0000A41D0000}"/>
    <cellStyle name="Normal 2 2 10 2 27 8" xfId="7589" xr:uid="{00000000-0005-0000-0000-0000A51D0000}"/>
    <cellStyle name="Normal 2 2 10 2 27 9" xfId="7590" xr:uid="{00000000-0005-0000-0000-0000A61D0000}"/>
    <cellStyle name="Normal 2 2 10 2 28" xfId="7591" xr:uid="{00000000-0005-0000-0000-0000A71D0000}"/>
    <cellStyle name="Normal 2 2 10 2 28 10" xfId="7592" xr:uid="{00000000-0005-0000-0000-0000A81D0000}"/>
    <cellStyle name="Normal 2 2 10 2 28 11" xfId="7593" xr:uid="{00000000-0005-0000-0000-0000A91D0000}"/>
    <cellStyle name="Normal 2 2 10 2 28 12" xfId="7594" xr:uid="{00000000-0005-0000-0000-0000AA1D0000}"/>
    <cellStyle name="Normal 2 2 10 2 28 13" xfId="7595" xr:uid="{00000000-0005-0000-0000-0000AB1D0000}"/>
    <cellStyle name="Normal 2 2 10 2 28 14" xfId="7596" xr:uid="{00000000-0005-0000-0000-0000AC1D0000}"/>
    <cellStyle name="Normal 2 2 10 2 28 2" xfId="7597" xr:uid="{00000000-0005-0000-0000-0000AD1D0000}"/>
    <cellStyle name="Normal 2 2 10 2 28 2 10" xfId="7598" xr:uid="{00000000-0005-0000-0000-0000AE1D0000}"/>
    <cellStyle name="Normal 2 2 10 2 28 2 2" xfId="7599" xr:uid="{00000000-0005-0000-0000-0000AF1D0000}"/>
    <cellStyle name="Normal 2 2 10 2 28 2 3" xfId="7600" xr:uid="{00000000-0005-0000-0000-0000B01D0000}"/>
    <cellStyle name="Normal 2 2 10 2 28 2 4" xfId="7601" xr:uid="{00000000-0005-0000-0000-0000B11D0000}"/>
    <cellStyle name="Normal 2 2 10 2 28 2 5" xfId="7602" xr:uid="{00000000-0005-0000-0000-0000B21D0000}"/>
    <cellStyle name="Normal 2 2 10 2 28 2 6" xfId="7603" xr:uid="{00000000-0005-0000-0000-0000B31D0000}"/>
    <cellStyle name="Normal 2 2 10 2 28 2 7" xfId="7604" xr:uid="{00000000-0005-0000-0000-0000B41D0000}"/>
    <cellStyle name="Normal 2 2 10 2 28 2 8" xfId="7605" xr:uid="{00000000-0005-0000-0000-0000B51D0000}"/>
    <cellStyle name="Normal 2 2 10 2 28 2 9" xfId="7606" xr:uid="{00000000-0005-0000-0000-0000B61D0000}"/>
    <cellStyle name="Normal 2 2 10 2 28 3" xfId="7607" xr:uid="{00000000-0005-0000-0000-0000B71D0000}"/>
    <cellStyle name="Normal 2 2 10 2 28 3 10" xfId="7608" xr:uid="{00000000-0005-0000-0000-0000B81D0000}"/>
    <cellStyle name="Normal 2 2 10 2 28 3 2" xfId="7609" xr:uid="{00000000-0005-0000-0000-0000B91D0000}"/>
    <cellStyle name="Normal 2 2 10 2 28 3 3" xfId="7610" xr:uid="{00000000-0005-0000-0000-0000BA1D0000}"/>
    <cellStyle name="Normal 2 2 10 2 28 3 4" xfId="7611" xr:uid="{00000000-0005-0000-0000-0000BB1D0000}"/>
    <cellStyle name="Normal 2 2 10 2 28 3 5" xfId="7612" xr:uid="{00000000-0005-0000-0000-0000BC1D0000}"/>
    <cellStyle name="Normal 2 2 10 2 28 3 6" xfId="7613" xr:uid="{00000000-0005-0000-0000-0000BD1D0000}"/>
    <cellStyle name="Normal 2 2 10 2 28 3 7" xfId="7614" xr:uid="{00000000-0005-0000-0000-0000BE1D0000}"/>
    <cellStyle name="Normal 2 2 10 2 28 3 8" xfId="7615" xr:uid="{00000000-0005-0000-0000-0000BF1D0000}"/>
    <cellStyle name="Normal 2 2 10 2 28 3 9" xfId="7616" xr:uid="{00000000-0005-0000-0000-0000C01D0000}"/>
    <cellStyle name="Normal 2 2 10 2 28 4" xfId="7617" xr:uid="{00000000-0005-0000-0000-0000C11D0000}"/>
    <cellStyle name="Normal 2 2 10 2 28 4 10" xfId="7618" xr:uid="{00000000-0005-0000-0000-0000C21D0000}"/>
    <cellStyle name="Normal 2 2 10 2 28 4 2" xfId="7619" xr:uid="{00000000-0005-0000-0000-0000C31D0000}"/>
    <cellStyle name="Normal 2 2 10 2 28 4 3" xfId="7620" xr:uid="{00000000-0005-0000-0000-0000C41D0000}"/>
    <cellStyle name="Normal 2 2 10 2 28 4 4" xfId="7621" xr:uid="{00000000-0005-0000-0000-0000C51D0000}"/>
    <cellStyle name="Normal 2 2 10 2 28 4 5" xfId="7622" xr:uid="{00000000-0005-0000-0000-0000C61D0000}"/>
    <cellStyle name="Normal 2 2 10 2 28 4 6" xfId="7623" xr:uid="{00000000-0005-0000-0000-0000C71D0000}"/>
    <cellStyle name="Normal 2 2 10 2 28 4 7" xfId="7624" xr:uid="{00000000-0005-0000-0000-0000C81D0000}"/>
    <cellStyle name="Normal 2 2 10 2 28 4 8" xfId="7625" xr:uid="{00000000-0005-0000-0000-0000C91D0000}"/>
    <cellStyle name="Normal 2 2 10 2 28 4 9" xfId="7626" xr:uid="{00000000-0005-0000-0000-0000CA1D0000}"/>
    <cellStyle name="Normal 2 2 10 2 28 5" xfId="7627" xr:uid="{00000000-0005-0000-0000-0000CB1D0000}"/>
    <cellStyle name="Normal 2 2 10 2 28 5 10" xfId="7628" xr:uid="{00000000-0005-0000-0000-0000CC1D0000}"/>
    <cellStyle name="Normal 2 2 10 2 28 5 2" xfId="7629" xr:uid="{00000000-0005-0000-0000-0000CD1D0000}"/>
    <cellStyle name="Normal 2 2 10 2 28 5 3" xfId="7630" xr:uid="{00000000-0005-0000-0000-0000CE1D0000}"/>
    <cellStyle name="Normal 2 2 10 2 28 5 4" xfId="7631" xr:uid="{00000000-0005-0000-0000-0000CF1D0000}"/>
    <cellStyle name="Normal 2 2 10 2 28 5 5" xfId="7632" xr:uid="{00000000-0005-0000-0000-0000D01D0000}"/>
    <cellStyle name="Normal 2 2 10 2 28 5 6" xfId="7633" xr:uid="{00000000-0005-0000-0000-0000D11D0000}"/>
    <cellStyle name="Normal 2 2 10 2 28 5 7" xfId="7634" xr:uid="{00000000-0005-0000-0000-0000D21D0000}"/>
    <cellStyle name="Normal 2 2 10 2 28 5 8" xfId="7635" xr:uid="{00000000-0005-0000-0000-0000D31D0000}"/>
    <cellStyle name="Normal 2 2 10 2 28 5 9" xfId="7636" xr:uid="{00000000-0005-0000-0000-0000D41D0000}"/>
    <cellStyle name="Normal 2 2 10 2 28 6" xfId="7637" xr:uid="{00000000-0005-0000-0000-0000D51D0000}"/>
    <cellStyle name="Normal 2 2 10 2 28 7" xfId="7638" xr:uid="{00000000-0005-0000-0000-0000D61D0000}"/>
    <cellStyle name="Normal 2 2 10 2 28 8" xfId="7639" xr:uid="{00000000-0005-0000-0000-0000D71D0000}"/>
    <cellStyle name="Normal 2 2 10 2 28 9" xfId="7640" xr:uid="{00000000-0005-0000-0000-0000D81D0000}"/>
    <cellStyle name="Normal 2 2 10 2 29" xfId="7641" xr:uid="{00000000-0005-0000-0000-0000D91D0000}"/>
    <cellStyle name="Normal 2 2 10 2 29 10" xfId="7642" xr:uid="{00000000-0005-0000-0000-0000DA1D0000}"/>
    <cellStyle name="Normal 2 2 10 2 29 11" xfId="7643" xr:uid="{00000000-0005-0000-0000-0000DB1D0000}"/>
    <cellStyle name="Normal 2 2 10 2 29 12" xfId="7644" xr:uid="{00000000-0005-0000-0000-0000DC1D0000}"/>
    <cellStyle name="Normal 2 2 10 2 29 13" xfId="7645" xr:uid="{00000000-0005-0000-0000-0000DD1D0000}"/>
    <cellStyle name="Normal 2 2 10 2 29 14" xfId="7646" xr:uid="{00000000-0005-0000-0000-0000DE1D0000}"/>
    <cellStyle name="Normal 2 2 10 2 29 2" xfId="7647" xr:uid="{00000000-0005-0000-0000-0000DF1D0000}"/>
    <cellStyle name="Normal 2 2 10 2 29 2 10" xfId="7648" xr:uid="{00000000-0005-0000-0000-0000E01D0000}"/>
    <cellStyle name="Normal 2 2 10 2 29 2 2" xfId="7649" xr:uid="{00000000-0005-0000-0000-0000E11D0000}"/>
    <cellStyle name="Normal 2 2 10 2 29 2 3" xfId="7650" xr:uid="{00000000-0005-0000-0000-0000E21D0000}"/>
    <cellStyle name="Normal 2 2 10 2 29 2 4" xfId="7651" xr:uid="{00000000-0005-0000-0000-0000E31D0000}"/>
    <cellStyle name="Normal 2 2 10 2 29 2 5" xfId="7652" xr:uid="{00000000-0005-0000-0000-0000E41D0000}"/>
    <cellStyle name="Normal 2 2 10 2 29 2 6" xfId="7653" xr:uid="{00000000-0005-0000-0000-0000E51D0000}"/>
    <cellStyle name="Normal 2 2 10 2 29 2 7" xfId="7654" xr:uid="{00000000-0005-0000-0000-0000E61D0000}"/>
    <cellStyle name="Normal 2 2 10 2 29 2 8" xfId="7655" xr:uid="{00000000-0005-0000-0000-0000E71D0000}"/>
    <cellStyle name="Normal 2 2 10 2 29 2 9" xfId="7656" xr:uid="{00000000-0005-0000-0000-0000E81D0000}"/>
    <cellStyle name="Normal 2 2 10 2 29 3" xfId="7657" xr:uid="{00000000-0005-0000-0000-0000E91D0000}"/>
    <cellStyle name="Normal 2 2 10 2 29 3 10" xfId="7658" xr:uid="{00000000-0005-0000-0000-0000EA1D0000}"/>
    <cellStyle name="Normal 2 2 10 2 29 3 2" xfId="7659" xr:uid="{00000000-0005-0000-0000-0000EB1D0000}"/>
    <cellStyle name="Normal 2 2 10 2 29 3 3" xfId="7660" xr:uid="{00000000-0005-0000-0000-0000EC1D0000}"/>
    <cellStyle name="Normal 2 2 10 2 29 3 4" xfId="7661" xr:uid="{00000000-0005-0000-0000-0000ED1D0000}"/>
    <cellStyle name="Normal 2 2 10 2 29 3 5" xfId="7662" xr:uid="{00000000-0005-0000-0000-0000EE1D0000}"/>
    <cellStyle name="Normal 2 2 10 2 29 3 6" xfId="7663" xr:uid="{00000000-0005-0000-0000-0000EF1D0000}"/>
    <cellStyle name="Normal 2 2 10 2 29 3 7" xfId="7664" xr:uid="{00000000-0005-0000-0000-0000F01D0000}"/>
    <cellStyle name="Normal 2 2 10 2 29 3 8" xfId="7665" xr:uid="{00000000-0005-0000-0000-0000F11D0000}"/>
    <cellStyle name="Normal 2 2 10 2 29 3 9" xfId="7666" xr:uid="{00000000-0005-0000-0000-0000F21D0000}"/>
    <cellStyle name="Normal 2 2 10 2 29 4" xfId="7667" xr:uid="{00000000-0005-0000-0000-0000F31D0000}"/>
    <cellStyle name="Normal 2 2 10 2 29 4 10" xfId="7668" xr:uid="{00000000-0005-0000-0000-0000F41D0000}"/>
    <cellStyle name="Normal 2 2 10 2 29 4 2" xfId="7669" xr:uid="{00000000-0005-0000-0000-0000F51D0000}"/>
    <cellStyle name="Normal 2 2 10 2 29 4 3" xfId="7670" xr:uid="{00000000-0005-0000-0000-0000F61D0000}"/>
    <cellStyle name="Normal 2 2 10 2 29 4 4" xfId="7671" xr:uid="{00000000-0005-0000-0000-0000F71D0000}"/>
    <cellStyle name="Normal 2 2 10 2 29 4 5" xfId="7672" xr:uid="{00000000-0005-0000-0000-0000F81D0000}"/>
    <cellStyle name="Normal 2 2 10 2 29 4 6" xfId="7673" xr:uid="{00000000-0005-0000-0000-0000F91D0000}"/>
    <cellStyle name="Normal 2 2 10 2 29 4 7" xfId="7674" xr:uid="{00000000-0005-0000-0000-0000FA1D0000}"/>
    <cellStyle name="Normal 2 2 10 2 29 4 8" xfId="7675" xr:uid="{00000000-0005-0000-0000-0000FB1D0000}"/>
    <cellStyle name="Normal 2 2 10 2 29 4 9" xfId="7676" xr:uid="{00000000-0005-0000-0000-0000FC1D0000}"/>
    <cellStyle name="Normal 2 2 10 2 29 5" xfId="7677" xr:uid="{00000000-0005-0000-0000-0000FD1D0000}"/>
    <cellStyle name="Normal 2 2 10 2 29 5 10" xfId="7678" xr:uid="{00000000-0005-0000-0000-0000FE1D0000}"/>
    <cellStyle name="Normal 2 2 10 2 29 5 2" xfId="7679" xr:uid="{00000000-0005-0000-0000-0000FF1D0000}"/>
    <cellStyle name="Normal 2 2 10 2 29 5 3" xfId="7680" xr:uid="{00000000-0005-0000-0000-0000001E0000}"/>
    <cellStyle name="Normal 2 2 10 2 29 5 4" xfId="7681" xr:uid="{00000000-0005-0000-0000-0000011E0000}"/>
    <cellStyle name="Normal 2 2 10 2 29 5 5" xfId="7682" xr:uid="{00000000-0005-0000-0000-0000021E0000}"/>
    <cellStyle name="Normal 2 2 10 2 29 5 6" xfId="7683" xr:uid="{00000000-0005-0000-0000-0000031E0000}"/>
    <cellStyle name="Normal 2 2 10 2 29 5 7" xfId="7684" xr:uid="{00000000-0005-0000-0000-0000041E0000}"/>
    <cellStyle name="Normal 2 2 10 2 29 5 8" xfId="7685" xr:uid="{00000000-0005-0000-0000-0000051E0000}"/>
    <cellStyle name="Normal 2 2 10 2 29 5 9" xfId="7686" xr:uid="{00000000-0005-0000-0000-0000061E0000}"/>
    <cellStyle name="Normal 2 2 10 2 29 6" xfId="7687" xr:uid="{00000000-0005-0000-0000-0000071E0000}"/>
    <cellStyle name="Normal 2 2 10 2 29 7" xfId="7688" xr:uid="{00000000-0005-0000-0000-0000081E0000}"/>
    <cellStyle name="Normal 2 2 10 2 29 8" xfId="7689" xr:uid="{00000000-0005-0000-0000-0000091E0000}"/>
    <cellStyle name="Normal 2 2 10 2 29 9" xfId="7690" xr:uid="{00000000-0005-0000-0000-00000A1E0000}"/>
    <cellStyle name="Normal 2 2 10 2 3" xfId="7691" xr:uid="{00000000-0005-0000-0000-00000B1E0000}"/>
    <cellStyle name="Normal 2 2 10 2 3 10" xfId="7692" xr:uid="{00000000-0005-0000-0000-00000C1E0000}"/>
    <cellStyle name="Normal 2 2 10 2 3 11" xfId="7693" xr:uid="{00000000-0005-0000-0000-00000D1E0000}"/>
    <cellStyle name="Normal 2 2 10 2 3 12" xfId="7694" xr:uid="{00000000-0005-0000-0000-00000E1E0000}"/>
    <cellStyle name="Normal 2 2 10 2 3 13" xfId="7695" xr:uid="{00000000-0005-0000-0000-00000F1E0000}"/>
    <cellStyle name="Normal 2 2 10 2 3 14" xfId="7696" xr:uid="{00000000-0005-0000-0000-0000101E0000}"/>
    <cellStyle name="Normal 2 2 10 2 3 2" xfId="7697" xr:uid="{00000000-0005-0000-0000-0000111E0000}"/>
    <cellStyle name="Normal 2 2 10 2 3 2 10" xfId="7698" xr:uid="{00000000-0005-0000-0000-0000121E0000}"/>
    <cellStyle name="Normal 2 2 10 2 3 2 2" xfId="7699" xr:uid="{00000000-0005-0000-0000-0000131E0000}"/>
    <cellStyle name="Normal 2 2 10 2 3 2 3" xfId="7700" xr:uid="{00000000-0005-0000-0000-0000141E0000}"/>
    <cellStyle name="Normal 2 2 10 2 3 2 4" xfId="7701" xr:uid="{00000000-0005-0000-0000-0000151E0000}"/>
    <cellStyle name="Normal 2 2 10 2 3 2 5" xfId="7702" xr:uid="{00000000-0005-0000-0000-0000161E0000}"/>
    <cellStyle name="Normal 2 2 10 2 3 2 6" xfId="7703" xr:uid="{00000000-0005-0000-0000-0000171E0000}"/>
    <cellStyle name="Normal 2 2 10 2 3 2 7" xfId="7704" xr:uid="{00000000-0005-0000-0000-0000181E0000}"/>
    <cellStyle name="Normal 2 2 10 2 3 2 8" xfId="7705" xr:uid="{00000000-0005-0000-0000-0000191E0000}"/>
    <cellStyle name="Normal 2 2 10 2 3 2 9" xfId="7706" xr:uid="{00000000-0005-0000-0000-00001A1E0000}"/>
    <cellStyle name="Normal 2 2 10 2 3 3" xfId="7707" xr:uid="{00000000-0005-0000-0000-00001B1E0000}"/>
    <cellStyle name="Normal 2 2 10 2 3 3 10" xfId="7708" xr:uid="{00000000-0005-0000-0000-00001C1E0000}"/>
    <cellStyle name="Normal 2 2 10 2 3 3 2" xfId="7709" xr:uid="{00000000-0005-0000-0000-00001D1E0000}"/>
    <cellStyle name="Normal 2 2 10 2 3 3 3" xfId="7710" xr:uid="{00000000-0005-0000-0000-00001E1E0000}"/>
    <cellStyle name="Normal 2 2 10 2 3 3 4" xfId="7711" xr:uid="{00000000-0005-0000-0000-00001F1E0000}"/>
    <cellStyle name="Normal 2 2 10 2 3 3 5" xfId="7712" xr:uid="{00000000-0005-0000-0000-0000201E0000}"/>
    <cellStyle name="Normal 2 2 10 2 3 3 6" xfId="7713" xr:uid="{00000000-0005-0000-0000-0000211E0000}"/>
    <cellStyle name="Normal 2 2 10 2 3 3 7" xfId="7714" xr:uid="{00000000-0005-0000-0000-0000221E0000}"/>
    <cellStyle name="Normal 2 2 10 2 3 3 8" xfId="7715" xr:uid="{00000000-0005-0000-0000-0000231E0000}"/>
    <cellStyle name="Normal 2 2 10 2 3 3 9" xfId="7716" xr:uid="{00000000-0005-0000-0000-0000241E0000}"/>
    <cellStyle name="Normal 2 2 10 2 3 4" xfId="7717" xr:uid="{00000000-0005-0000-0000-0000251E0000}"/>
    <cellStyle name="Normal 2 2 10 2 3 4 10" xfId="7718" xr:uid="{00000000-0005-0000-0000-0000261E0000}"/>
    <cellStyle name="Normal 2 2 10 2 3 4 2" xfId="7719" xr:uid="{00000000-0005-0000-0000-0000271E0000}"/>
    <cellStyle name="Normal 2 2 10 2 3 4 3" xfId="7720" xr:uid="{00000000-0005-0000-0000-0000281E0000}"/>
    <cellStyle name="Normal 2 2 10 2 3 4 4" xfId="7721" xr:uid="{00000000-0005-0000-0000-0000291E0000}"/>
    <cellStyle name="Normal 2 2 10 2 3 4 5" xfId="7722" xr:uid="{00000000-0005-0000-0000-00002A1E0000}"/>
    <cellStyle name="Normal 2 2 10 2 3 4 6" xfId="7723" xr:uid="{00000000-0005-0000-0000-00002B1E0000}"/>
    <cellStyle name="Normal 2 2 10 2 3 4 7" xfId="7724" xr:uid="{00000000-0005-0000-0000-00002C1E0000}"/>
    <cellStyle name="Normal 2 2 10 2 3 4 8" xfId="7725" xr:uid="{00000000-0005-0000-0000-00002D1E0000}"/>
    <cellStyle name="Normal 2 2 10 2 3 4 9" xfId="7726" xr:uid="{00000000-0005-0000-0000-00002E1E0000}"/>
    <cellStyle name="Normal 2 2 10 2 3 5" xfId="7727" xr:uid="{00000000-0005-0000-0000-00002F1E0000}"/>
    <cellStyle name="Normal 2 2 10 2 3 5 10" xfId="7728" xr:uid="{00000000-0005-0000-0000-0000301E0000}"/>
    <cellStyle name="Normal 2 2 10 2 3 5 2" xfId="7729" xr:uid="{00000000-0005-0000-0000-0000311E0000}"/>
    <cellStyle name="Normal 2 2 10 2 3 5 3" xfId="7730" xr:uid="{00000000-0005-0000-0000-0000321E0000}"/>
    <cellStyle name="Normal 2 2 10 2 3 5 4" xfId="7731" xr:uid="{00000000-0005-0000-0000-0000331E0000}"/>
    <cellStyle name="Normal 2 2 10 2 3 5 5" xfId="7732" xr:uid="{00000000-0005-0000-0000-0000341E0000}"/>
    <cellStyle name="Normal 2 2 10 2 3 5 6" xfId="7733" xr:uid="{00000000-0005-0000-0000-0000351E0000}"/>
    <cellStyle name="Normal 2 2 10 2 3 5 7" xfId="7734" xr:uid="{00000000-0005-0000-0000-0000361E0000}"/>
    <cellStyle name="Normal 2 2 10 2 3 5 8" xfId="7735" xr:uid="{00000000-0005-0000-0000-0000371E0000}"/>
    <cellStyle name="Normal 2 2 10 2 3 5 9" xfId="7736" xr:uid="{00000000-0005-0000-0000-0000381E0000}"/>
    <cellStyle name="Normal 2 2 10 2 3 6" xfId="7737" xr:uid="{00000000-0005-0000-0000-0000391E0000}"/>
    <cellStyle name="Normal 2 2 10 2 3 7" xfId="7738" xr:uid="{00000000-0005-0000-0000-00003A1E0000}"/>
    <cellStyle name="Normal 2 2 10 2 3 8" xfId="7739" xr:uid="{00000000-0005-0000-0000-00003B1E0000}"/>
    <cellStyle name="Normal 2 2 10 2 3 9" xfId="7740" xr:uid="{00000000-0005-0000-0000-00003C1E0000}"/>
    <cellStyle name="Normal 2 2 10 2 30" xfId="7741" xr:uid="{00000000-0005-0000-0000-00003D1E0000}"/>
    <cellStyle name="Normal 2 2 10 2 30 10" xfId="7742" xr:uid="{00000000-0005-0000-0000-00003E1E0000}"/>
    <cellStyle name="Normal 2 2 10 2 30 11" xfId="7743" xr:uid="{00000000-0005-0000-0000-00003F1E0000}"/>
    <cellStyle name="Normal 2 2 10 2 30 12" xfId="7744" xr:uid="{00000000-0005-0000-0000-0000401E0000}"/>
    <cellStyle name="Normal 2 2 10 2 30 13" xfId="7745" xr:uid="{00000000-0005-0000-0000-0000411E0000}"/>
    <cellStyle name="Normal 2 2 10 2 30 14" xfId="7746" xr:uid="{00000000-0005-0000-0000-0000421E0000}"/>
    <cellStyle name="Normal 2 2 10 2 30 2" xfId="7747" xr:uid="{00000000-0005-0000-0000-0000431E0000}"/>
    <cellStyle name="Normal 2 2 10 2 30 2 10" xfId="7748" xr:uid="{00000000-0005-0000-0000-0000441E0000}"/>
    <cellStyle name="Normal 2 2 10 2 30 2 2" xfId="7749" xr:uid="{00000000-0005-0000-0000-0000451E0000}"/>
    <cellStyle name="Normal 2 2 10 2 30 2 3" xfId="7750" xr:uid="{00000000-0005-0000-0000-0000461E0000}"/>
    <cellStyle name="Normal 2 2 10 2 30 2 4" xfId="7751" xr:uid="{00000000-0005-0000-0000-0000471E0000}"/>
    <cellStyle name="Normal 2 2 10 2 30 2 5" xfId="7752" xr:uid="{00000000-0005-0000-0000-0000481E0000}"/>
    <cellStyle name="Normal 2 2 10 2 30 2 6" xfId="7753" xr:uid="{00000000-0005-0000-0000-0000491E0000}"/>
    <cellStyle name="Normal 2 2 10 2 30 2 7" xfId="7754" xr:uid="{00000000-0005-0000-0000-00004A1E0000}"/>
    <cellStyle name="Normal 2 2 10 2 30 2 8" xfId="7755" xr:uid="{00000000-0005-0000-0000-00004B1E0000}"/>
    <cellStyle name="Normal 2 2 10 2 30 2 9" xfId="7756" xr:uid="{00000000-0005-0000-0000-00004C1E0000}"/>
    <cellStyle name="Normal 2 2 10 2 30 3" xfId="7757" xr:uid="{00000000-0005-0000-0000-00004D1E0000}"/>
    <cellStyle name="Normal 2 2 10 2 30 3 10" xfId="7758" xr:uid="{00000000-0005-0000-0000-00004E1E0000}"/>
    <cellStyle name="Normal 2 2 10 2 30 3 2" xfId="7759" xr:uid="{00000000-0005-0000-0000-00004F1E0000}"/>
    <cellStyle name="Normal 2 2 10 2 30 3 3" xfId="7760" xr:uid="{00000000-0005-0000-0000-0000501E0000}"/>
    <cellStyle name="Normal 2 2 10 2 30 3 4" xfId="7761" xr:uid="{00000000-0005-0000-0000-0000511E0000}"/>
    <cellStyle name="Normal 2 2 10 2 30 3 5" xfId="7762" xr:uid="{00000000-0005-0000-0000-0000521E0000}"/>
    <cellStyle name="Normal 2 2 10 2 30 3 6" xfId="7763" xr:uid="{00000000-0005-0000-0000-0000531E0000}"/>
    <cellStyle name="Normal 2 2 10 2 30 3 7" xfId="7764" xr:uid="{00000000-0005-0000-0000-0000541E0000}"/>
    <cellStyle name="Normal 2 2 10 2 30 3 8" xfId="7765" xr:uid="{00000000-0005-0000-0000-0000551E0000}"/>
    <cellStyle name="Normal 2 2 10 2 30 3 9" xfId="7766" xr:uid="{00000000-0005-0000-0000-0000561E0000}"/>
    <cellStyle name="Normal 2 2 10 2 30 4" xfId="7767" xr:uid="{00000000-0005-0000-0000-0000571E0000}"/>
    <cellStyle name="Normal 2 2 10 2 30 4 10" xfId="7768" xr:uid="{00000000-0005-0000-0000-0000581E0000}"/>
    <cellStyle name="Normal 2 2 10 2 30 4 2" xfId="7769" xr:uid="{00000000-0005-0000-0000-0000591E0000}"/>
    <cellStyle name="Normal 2 2 10 2 30 4 3" xfId="7770" xr:uid="{00000000-0005-0000-0000-00005A1E0000}"/>
    <cellStyle name="Normal 2 2 10 2 30 4 4" xfId="7771" xr:uid="{00000000-0005-0000-0000-00005B1E0000}"/>
    <cellStyle name="Normal 2 2 10 2 30 4 5" xfId="7772" xr:uid="{00000000-0005-0000-0000-00005C1E0000}"/>
    <cellStyle name="Normal 2 2 10 2 30 4 6" xfId="7773" xr:uid="{00000000-0005-0000-0000-00005D1E0000}"/>
    <cellStyle name="Normal 2 2 10 2 30 4 7" xfId="7774" xr:uid="{00000000-0005-0000-0000-00005E1E0000}"/>
    <cellStyle name="Normal 2 2 10 2 30 4 8" xfId="7775" xr:uid="{00000000-0005-0000-0000-00005F1E0000}"/>
    <cellStyle name="Normal 2 2 10 2 30 4 9" xfId="7776" xr:uid="{00000000-0005-0000-0000-0000601E0000}"/>
    <cellStyle name="Normal 2 2 10 2 30 5" xfId="7777" xr:uid="{00000000-0005-0000-0000-0000611E0000}"/>
    <cellStyle name="Normal 2 2 10 2 30 5 10" xfId="7778" xr:uid="{00000000-0005-0000-0000-0000621E0000}"/>
    <cellStyle name="Normal 2 2 10 2 30 5 2" xfId="7779" xr:uid="{00000000-0005-0000-0000-0000631E0000}"/>
    <cellStyle name="Normal 2 2 10 2 30 5 3" xfId="7780" xr:uid="{00000000-0005-0000-0000-0000641E0000}"/>
    <cellStyle name="Normal 2 2 10 2 30 5 4" xfId="7781" xr:uid="{00000000-0005-0000-0000-0000651E0000}"/>
    <cellStyle name="Normal 2 2 10 2 30 5 5" xfId="7782" xr:uid="{00000000-0005-0000-0000-0000661E0000}"/>
    <cellStyle name="Normal 2 2 10 2 30 5 6" xfId="7783" xr:uid="{00000000-0005-0000-0000-0000671E0000}"/>
    <cellStyle name="Normal 2 2 10 2 30 5 7" xfId="7784" xr:uid="{00000000-0005-0000-0000-0000681E0000}"/>
    <cellStyle name="Normal 2 2 10 2 30 5 8" xfId="7785" xr:uid="{00000000-0005-0000-0000-0000691E0000}"/>
    <cellStyle name="Normal 2 2 10 2 30 5 9" xfId="7786" xr:uid="{00000000-0005-0000-0000-00006A1E0000}"/>
    <cellStyle name="Normal 2 2 10 2 30 6" xfId="7787" xr:uid="{00000000-0005-0000-0000-00006B1E0000}"/>
    <cellStyle name="Normal 2 2 10 2 30 7" xfId="7788" xr:uid="{00000000-0005-0000-0000-00006C1E0000}"/>
    <cellStyle name="Normal 2 2 10 2 30 8" xfId="7789" xr:uid="{00000000-0005-0000-0000-00006D1E0000}"/>
    <cellStyle name="Normal 2 2 10 2 30 9" xfId="7790" xr:uid="{00000000-0005-0000-0000-00006E1E0000}"/>
    <cellStyle name="Normal 2 2 10 2 31" xfId="7791" xr:uid="{00000000-0005-0000-0000-00006F1E0000}"/>
    <cellStyle name="Normal 2 2 10 2 31 10" xfId="7792" xr:uid="{00000000-0005-0000-0000-0000701E0000}"/>
    <cellStyle name="Normal 2 2 10 2 31 11" xfId="7793" xr:uid="{00000000-0005-0000-0000-0000711E0000}"/>
    <cellStyle name="Normal 2 2 10 2 31 12" xfId="7794" xr:uid="{00000000-0005-0000-0000-0000721E0000}"/>
    <cellStyle name="Normal 2 2 10 2 31 13" xfId="7795" xr:uid="{00000000-0005-0000-0000-0000731E0000}"/>
    <cellStyle name="Normal 2 2 10 2 31 14" xfId="7796" xr:uid="{00000000-0005-0000-0000-0000741E0000}"/>
    <cellStyle name="Normal 2 2 10 2 31 2" xfId="7797" xr:uid="{00000000-0005-0000-0000-0000751E0000}"/>
    <cellStyle name="Normal 2 2 10 2 31 2 10" xfId="7798" xr:uid="{00000000-0005-0000-0000-0000761E0000}"/>
    <cellStyle name="Normal 2 2 10 2 31 2 2" xfId="7799" xr:uid="{00000000-0005-0000-0000-0000771E0000}"/>
    <cellStyle name="Normal 2 2 10 2 31 2 3" xfId="7800" xr:uid="{00000000-0005-0000-0000-0000781E0000}"/>
    <cellStyle name="Normal 2 2 10 2 31 2 4" xfId="7801" xr:uid="{00000000-0005-0000-0000-0000791E0000}"/>
    <cellStyle name="Normal 2 2 10 2 31 2 5" xfId="7802" xr:uid="{00000000-0005-0000-0000-00007A1E0000}"/>
    <cellStyle name="Normal 2 2 10 2 31 2 6" xfId="7803" xr:uid="{00000000-0005-0000-0000-00007B1E0000}"/>
    <cellStyle name="Normal 2 2 10 2 31 2 7" xfId="7804" xr:uid="{00000000-0005-0000-0000-00007C1E0000}"/>
    <cellStyle name="Normal 2 2 10 2 31 2 8" xfId="7805" xr:uid="{00000000-0005-0000-0000-00007D1E0000}"/>
    <cellStyle name="Normal 2 2 10 2 31 2 9" xfId="7806" xr:uid="{00000000-0005-0000-0000-00007E1E0000}"/>
    <cellStyle name="Normal 2 2 10 2 31 3" xfId="7807" xr:uid="{00000000-0005-0000-0000-00007F1E0000}"/>
    <cellStyle name="Normal 2 2 10 2 31 3 10" xfId="7808" xr:uid="{00000000-0005-0000-0000-0000801E0000}"/>
    <cellStyle name="Normal 2 2 10 2 31 3 2" xfId="7809" xr:uid="{00000000-0005-0000-0000-0000811E0000}"/>
    <cellStyle name="Normal 2 2 10 2 31 3 3" xfId="7810" xr:uid="{00000000-0005-0000-0000-0000821E0000}"/>
    <cellStyle name="Normal 2 2 10 2 31 3 4" xfId="7811" xr:uid="{00000000-0005-0000-0000-0000831E0000}"/>
    <cellStyle name="Normal 2 2 10 2 31 3 5" xfId="7812" xr:uid="{00000000-0005-0000-0000-0000841E0000}"/>
    <cellStyle name="Normal 2 2 10 2 31 3 6" xfId="7813" xr:uid="{00000000-0005-0000-0000-0000851E0000}"/>
    <cellStyle name="Normal 2 2 10 2 31 3 7" xfId="7814" xr:uid="{00000000-0005-0000-0000-0000861E0000}"/>
    <cellStyle name="Normal 2 2 10 2 31 3 8" xfId="7815" xr:uid="{00000000-0005-0000-0000-0000871E0000}"/>
    <cellStyle name="Normal 2 2 10 2 31 3 9" xfId="7816" xr:uid="{00000000-0005-0000-0000-0000881E0000}"/>
    <cellStyle name="Normal 2 2 10 2 31 4" xfId="7817" xr:uid="{00000000-0005-0000-0000-0000891E0000}"/>
    <cellStyle name="Normal 2 2 10 2 31 4 10" xfId="7818" xr:uid="{00000000-0005-0000-0000-00008A1E0000}"/>
    <cellStyle name="Normal 2 2 10 2 31 4 2" xfId="7819" xr:uid="{00000000-0005-0000-0000-00008B1E0000}"/>
    <cellStyle name="Normal 2 2 10 2 31 4 3" xfId="7820" xr:uid="{00000000-0005-0000-0000-00008C1E0000}"/>
    <cellStyle name="Normal 2 2 10 2 31 4 4" xfId="7821" xr:uid="{00000000-0005-0000-0000-00008D1E0000}"/>
    <cellStyle name="Normal 2 2 10 2 31 4 5" xfId="7822" xr:uid="{00000000-0005-0000-0000-00008E1E0000}"/>
    <cellStyle name="Normal 2 2 10 2 31 4 6" xfId="7823" xr:uid="{00000000-0005-0000-0000-00008F1E0000}"/>
    <cellStyle name="Normal 2 2 10 2 31 4 7" xfId="7824" xr:uid="{00000000-0005-0000-0000-0000901E0000}"/>
    <cellStyle name="Normal 2 2 10 2 31 4 8" xfId="7825" xr:uid="{00000000-0005-0000-0000-0000911E0000}"/>
    <cellStyle name="Normal 2 2 10 2 31 4 9" xfId="7826" xr:uid="{00000000-0005-0000-0000-0000921E0000}"/>
    <cellStyle name="Normal 2 2 10 2 31 5" xfId="7827" xr:uid="{00000000-0005-0000-0000-0000931E0000}"/>
    <cellStyle name="Normal 2 2 10 2 31 5 10" xfId="7828" xr:uid="{00000000-0005-0000-0000-0000941E0000}"/>
    <cellStyle name="Normal 2 2 10 2 31 5 2" xfId="7829" xr:uid="{00000000-0005-0000-0000-0000951E0000}"/>
    <cellStyle name="Normal 2 2 10 2 31 5 3" xfId="7830" xr:uid="{00000000-0005-0000-0000-0000961E0000}"/>
    <cellStyle name="Normal 2 2 10 2 31 5 4" xfId="7831" xr:uid="{00000000-0005-0000-0000-0000971E0000}"/>
    <cellStyle name="Normal 2 2 10 2 31 5 5" xfId="7832" xr:uid="{00000000-0005-0000-0000-0000981E0000}"/>
    <cellStyle name="Normal 2 2 10 2 31 5 6" xfId="7833" xr:uid="{00000000-0005-0000-0000-0000991E0000}"/>
    <cellStyle name="Normal 2 2 10 2 31 5 7" xfId="7834" xr:uid="{00000000-0005-0000-0000-00009A1E0000}"/>
    <cellStyle name="Normal 2 2 10 2 31 5 8" xfId="7835" xr:uid="{00000000-0005-0000-0000-00009B1E0000}"/>
    <cellStyle name="Normal 2 2 10 2 31 5 9" xfId="7836" xr:uid="{00000000-0005-0000-0000-00009C1E0000}"/>
    <cellStyle name="Normal 2 2 10 2 31 6" xfId="7837" xr:uid="{00000000-0005-0000-0000-00009D1E0000}"/>
    <cellStyle name="Normal 2 2 10 2 31 7" xfId="7838" xr:uid="{00000000-0005-0000-0000-00009E1E0000}"/>
    <cellStyle name="Normal 2 2 10 2 31 8" xfId="7839" xr:uid="{00000000-0005-0000-0000-00009F1E0000}"/>
    <cellStyle name="Normal 2 2 10 2 31 9" xfId="7840" xr:uid="{00000000-0005-0000-0000-0000A01E0000}"/>
    <cellStyle name="Normal 2 2 10 2 32" xfId="7841" xr:uid="{00000000-0005-0000-0000-0000A11E0000}"/>
    <cellStyle name="Normal 2 2 10 2 32 10" xfId="7842" xr:uid="{00000000-0005-0000-0000-0000A21E0000}"/>
    <cellStyle name="Normal 2 2 10 2 32 11" xfId="7843" xr:uid="{00000000-0005-0000-0000-0000A31E0000}"/>
    <cellStyle name="Normal 2 2 10 2 32 12" xfId="7844" xr:uid="{00000000-0005-0000-0000-0000A41E0000}"/>
    <cellStyle name="Normal 2 2 10 2 32 13" xfId="7845" xr:uid="{00000000-0005-0000-0000-0000A51E0000}"/>
    <cellStyle name="Normal 2 2 10 2 32 14" xfId="7846" xr:uid="{00000000-0005-0000-0000-0000A61E0000}"/>
    <cellStyle name="Normal 2 2 10 2 32 2" xfId="7847" xr:uid="{00000000-0005-0000-0000-0000A71E0000}"/>
    <cellStyle name="Normal 2 2 10 2 32 2 10" xfId="7848" xr:uid="{00000000-0005-0000-0000-0000A81E0000}"/>
    <cellStyle name="Normal 2 2 10 2 32 2 2" xfId="7849" xr:uid="{00000000-0005-0000-0000-0000A91E0000}"/>
    <cellStyle name="Normal 2 2 10 2 32 2 3" xfId="7850" xr:uid="{00000000-0005-0000-0000-0000AA1E0000}"/>
    <cellStyle name="Normal 2 2 10 2 32 2 4" xfId="7851" xr:uid="{00000000-0005-0000-0000-0000AB1E0000}"/>
    <cellStyle name="Normal 2 2 10 2 32 2 5" xfId="7852" xr:uid="{00000000-0005-0000-0000-0000AC1E0000}"/>
    <cellStyle name="Normal 2 2 10 2 32 2 6" xfId="7853" xr:uid="{00000000-0005-0000-0000-0000AD1E0000}"/>
    <cellStyle name="Normal 2 2 10 2 32 2 7" xfId="7854" xr:uid="{00000000-0005-0000-0000-0000AE1E0000}"/>
    <cellStyle name="Normal 2 2 10 2 32 2 8" xfId="7855" xr:uid="{00000000-0005-0000-0000-0000AF1E0000}"/>
    <cellStyle name="Normal 2 2 10 2 32 2 9" xfId="7856" xr:uid="{00000000-0005-0000-0000-0000B01E0000}"/>
    <cellStyle name="Normal 2 2 10 2 32 3" xfId="7857" xr:uid="{00000000-0005-0000-0000-0000B11E0000}"/>
    <cellStyle name="Normal 2 2 10 2 32 3 10" xfId="7858" xr:uid="{00000000-0005-0000-0000-0000B21E0000}"/>
    <cellStyle name="Normal 2 2 10 2 32 3 2" xfId="7859" xr:uid="{00000000-0005-0000-0000-0000B31E0000}"/>
    <cellStyle name="Normal 2 2 10 2 32 3 3" xfId="7860" xr:uid="{00000000-0005-0000-0000-0000B41E0000}"/>
    <cellStyle name="Normal 2 2 10 2 32 3 4" xfId="7861" xr:uid="{00000000-0005-0000-0000-0000B51E0000}"/>
    <cellStyle name="Normal 2 2 10 2 32 3 5" xfId="7862" xr:uid="{00000000-0005-0000-0000-0000B61E0000}"/>
    <cellStyle name="Normal 2 2 10 2 32 3 6" xfId="7863" xr:uid="{00000000-0005-0000-0000-0000B71E0000}"/>
    <cellStyle name="Normal 2 2 10 2 32 3 7" xfId="7864" xr:uid="{00000000-0005-0000-0000-0000B81E0000}"/>
    <cellStyle name="Normal 2 2 10 2 32 3 8" xfId="7865" xr:uid="{00000000-0005-0000-0000-0000B91E0000}"/>
    <cellStyle name="Normal 2 2 10 2 32 3 9" xfId="7866" xr:uid="{00000000-0005-0000-0000-0000BA1E0000}"/>
    <cellStyle name="Normal 2 2 10 2 32 4" xfId="7867" xr:uid="{00000000-0005-0000-0000-0000BB1E0000}"/>
    <cellStyle name="Normal 2 2 10 2 32 4 10" xfId="7868" xr:uid="{00000000-0005-0000-0000-0000BC1E0000}"/>
    <cellStyle name="Normal 2 2 10 2 32 4 2" xfId="7869" xr:uid="{00000000-0005-0000-0000-0000BD1E0000}"/>
    <cellStyle name="Normal 2 2 10 2 32 4 3" xfId="7870" xr:uid="{00000000-0005-0000-0000-0000BE1E0000}"/>
    <cellStyle name="Normal 2 2 10 2 32 4 4" xfId="7871" xr:uid="{00000000-0005-0000-0000-0000BF1E0000}"/>
    <cellStyle name="Normal 2 2 10 2 32 4 5" xfId="7872" xr:uid="{00000000-0005-0000-0000-0000C01E0000}"/>
    <cellStyle name="Normal 2 2 10 2 32 4 6" xfId="7873" xr:uid="{00000000-0005-0000-0000-0000C11E0000}"/>
    <cellStyle name="Normal 2 2 10 2 32 4 7" xfId="7874" xr:uid="{00000000-0005-0000-0000-0000C21E0000}"/>
    <cellStyle name="Normal 2 2 10 2 32 4 8" xfId="7875" xr:uid="{00000000-0005-0000-0000-0000C31E0000}"/>
    <cellStyle name="Normal 2 2 10 2 32 4 9" xfId="7876" xr:uid="{00000000-0005-0000-0000-0000C41E0000}"/>
    <cellStyle name="Normal 2 2 10 2 32 5" xfId="7877" xr:uid="{00000000-0005-0000-0000-0000C51E0000}"/>
    <cellStyle name="Normal 2 2 10 2 32 5 10" xfId="7878" xr:uid="{00000000-0005-0000-0000-0000C61E0000}"/>
    <cellStyle name="Normal 2 2 10 2 32 5 2" xfId="7879" xr:uid="{00000000-0005-0000-0000-0000C71E0000}"/>
    <cellStyle name="Normal 2 2 10 2 32 5 3" xfId="7880" xr:uid="{00000000-0005-0000-0000-0000C81E0000}"/>
    <cellStyle name="Normal 2 2 10 2 32 5 4" xfId="7881" xr:uid="{00000000-0005-0000-0000-0000C91E0000}"/>
    <cellStyle name="Normal 2 2 10 2 32 5 5" xfId="7882" xr:uid="{00000000-0005-0000-0000-0000CA1E0000}"/>
    <cellStyle name="Normal 2 2 10 2 32 5 6" xfId="7883" xr:uid="{00000000-0005-0000-0000-0000CB1E0000}"/>
    <cellStyle name="Normal 2 2 10 2 32 5 7" xfId="7884" xr:uid="{00000000-0005-0000-0000-0000CC1E0000}"/>
    <cellStyle name="Normal 2 2 10 2 32 5 8" xfId="7885" xr:uid="{00000000-0005-0000-0000-0000CD1E0000}"/>
    <cellStyle name="Normal 2 2 10 2 32 5 9" xfId="7886" xr:uid="{00000000-0005-0000-0000-0000CE1E0000}"/>
    <cellStyle name="Normal 2 2 10 2 32 6" xfId="7887" xr:uid="{00000000-0005-0000-0000-0000CF1E0000}"/>
    <cellStyle name="Normal 2 2 10 2 32 7" xfId="7888" xr:uid="{00000000-0005-0000-0000-0000D01E0000}"/>
    <cellStyle name="Normal 2 2 10 2 32 8" xfId="7889" xr:uid="{00000000-0005-0000-0000-0000D11E0000}"/>
    <cellStyle name="Normal 2 2 10 2 32 9" xfId="7890" xr:uid="{00000000-0005-0000-0000-0000D21E0000}"/>
    <cellStyle name="Normal 2 2 10 2 33" xfId="7891" xr:uid="{00000000-0005-0000-0000-0000D31E0000}"/>
    <cellStyle name="Normal 2 2 10 2 33 10" xfId="7892" xr:uid="{00000000-0005-0000-0000-0000D41E0000}"/>
    <cellStyle name="Normal 2 2 10 2 33 11" xfId="7893" xr:uid="{00000000-0005-0000-0000-0000D51E0000}"/>
    <cellStyle name="Normal 2 2 10 2 33 12" xfId="7894" xr:uid="{00000000-0005-0000-0000-0000D61E0000}"/>
    <cellStyle name="Normal 2 2 10 2 33 13" xfId="7895" xr:uid="{00000000-0005-0000-0000-0000D71E0000}"/>
    <cellStyle name="Normal 2 2 10 2 33 14" xfId="7896" xr:uid="{00000000-0005-0000-0000-0000D81E0000}"/>
    <cellStyle name="Normal 2 2 10 2 33 2" xfId="7897" xr:uid="{00000000-0005-0000-0000-0000D91E0000}"/>
    <cellStyle name="Normal 2 2 10 2 33 2 10" xfId="7898" xr:uid="{00000000-0005-0000-0000-0000DA1E0000}"/>
    <cellStyle name="Normal 2 2 10 2 33 2 2" xfId="7899" xr:uid="{00000000-0005-0000-0000-0000DB1E0000}"/>
    <cellStyle name="Normal 2 2 10 2 33 2 3" xfId="7900" xr:uid="{00000000-0005-0000-0000-0000DC1E0000}"/>
    <cellStyle name="Normal 2 2 10 2 33 2 4" xfId="7901" xr:uid="{00000000-0005-0000-0000-0000DD1E0000}"/>
    <cellStyle name="Normal 2 2 10 2 33 2 5" xfId="7902" xr:uid="{00000000-0005-0000-0000-0000DE1E0000}"/>
    <cellStyle name="Normal 2 2 10 2 33 2 6" xfId="7903" xr:uid="{00000000-0005-0000-0000-0000DF1E0000}"/>
    <cellStyle name="Normal 2 2 10 2 33 2 7" xfId="7904" xr:uid="{00000000-0005-0000-0000-0000E01E0000}"/>
    <cellStyle name="Normal 2 2 10 2 33 2 8" xfId="7905" xr:uid="{00000000-0005-0000-0000-0000E11E0000}"/>
    <cellStyle name="Normal 2 2 10 2 33 2 9" xfId="7906" xr:uid="{00000000-0005-0000-0000-0000E21E0000}"/>
    <cellStyle name="Normal 2 2 10 2 33 3" xfId="7907" xr:uid="{00000000-0005-0000-0000-0000E31E0000}"/>
    <cellStyle name="Normal 2 2 10 2 33 3 10" xfId="7908" xr:uid="{00000000-0005-0000-0000-0000E41E0000}"/>
    <cellStyle name="Normal 2 2 10 2 33 3 2" xfId="7909" xr:uid="{00000000-0005-0000-0000-0000E51E0000}"/>
    <cellStyle name="Normal 2 2 10 2 33 3 3" xfId="7910" xr:uid="{00000000-0005-0000-0000-0000E61E0000}"/>
    <cellStyle name="Normal 2 2 10 2 33 3 4" xfId="7911" xr:uid="{00000000-0005-0000-0000-0000E71E0000}"/>
    <cellStyle name="Normal 2 2 10 2 33 3 5" xfId="7912" xr:uid="{00000000-0005-0000-0000-0000E81E0000}"/>
    <cellStyle name="Normal 2 2 10 2 33 3 6" xfId="7913" xr:uid="{00000000-0005-0000-0000-0000E91E0000}"/>
    <cellStyle name="Normal 2 2 10 2 33 3 7" xfId="7914" xr:uid="{00000000-0005-0000-0000-0000EA1E0000}"/>
    <cellStyle name="Normal 2 2 10 2 33 3 8" xfId="7915" xr:uid="{00000000-0005-0000-0000-0000EB1E0000}"/>
    <cellStyle name="Normal 2 2 10 2 33 3 9" xfId="7916" xr:uid="{00000000-0005-0000-0000-0000EC1E0000}"/>
    <cellStyle name="Normal 2 2 10 2 33 4" xfId="7917" xr:uid="{00000000-0005-0000-0000-0000ED1E0000}"/>
    <cellStyle name="Normal 2 2 10 2 33 4 10" xfId="7918" xr:uid="{00000000-0005-0000-0000-0000EE1E0000}"/>
    <cellStyle name="Normal 2 2 10 2 33 4 2" xfId="7919" xr:uid="{00000000-0005-0000-0000-0000EF1E0000}"/>
    <cellStyle name="Normal 2 2 10 2 33 4 3" xfId="7920" xr:uid="{00000000-0005-0000-0000-0000F01E0000}"/>
    <cellStyle name="Normal 2 2 10 2 33 4 4" xfId="7921" xr:uid="{00000000-0005-0000-0000-0000F11E0000}"/>
    <cellStyle name="Normal 2 2 10 2 33 4 5" xfId="7922" xr:uid="{00000000-0005-0000-0000-0000F21E0000}"/>
    <cellStyle name="Normal 2 2 10 2 33 4 6" xfId="7923" xr:uid="{00000000-0005-0000-0000-0000F31E0000}"/>
    <cellStyle name="Normal 2 2 10 2 33 4 7" xfId="7924" xr:uid="{00000000-0005-0000-0000-0000F41E0000}"/>
    <cellStyle name="Normal 2 2 10 2 33 4 8" xfId="7925" xr:uid="{00000000-0005-0000-0000-0000F51E0000}"/>
    <cellStyle name="Normal 2 2 10 2 33 4 9" xfId="7926" xr:uid="{00000000-0005-0000-0000-0000F61E0000}"/>
    <cellStyle name="Normal 2 2 10 2 33 5" xfId="7927" xr:uid="{00000000-0005-0000-0000-0000F71E0000}"/>
    <cellStyle name="Normal 2 2 10 2 33 5 10" xfId="7928" xr:uid="{00000000-0005-0000-0000-0000F81E0000}"/>
    <cellStyle name="Normal 2 2 10 2 33 5 2" xfId="7929" xr:uid="{00000000-0005-0000-0000-0000F91E0000}"/>
    <cellStyle name="Normal 2 2 10 2 33 5 3" xfId="7930" xr:uid="{00000000-0005-0000-0000-0000FA1E0000}"/>
    <cellStyle name="Normal 2 2 10 2 33 5 4" xfId="7931" xr:uid="{00000000-0005-0000-0000-0000FB1E0000}"/>
    <cellStyle name="Normal 2 2 10 2 33 5 5" xfId="7932" xr:uid="{00000000-0005-0000-0000-0000FC1E0000}"/>
    <cellStyle name="Normal 2 2 10 2 33 5 6" xfId="7933" xr:uid="{00000000-0005-0000-0000-0000FD1E0000}"/>
    <cellStyle name="Normal 2 2 10 2 33 5 7" xfId="7934" xr:uid="{00000000-0005-0000-0000-0000FE1E0000}"/>
    <cellStyle name="Normal 2 2 10 2 33 5 8" xfId="7935" xr:uid="{00000000-0005-0000-0000-0000FF1E0000}"/>
    <cellStyle name="Normal 2 2 10 2 33 5 9" xfId="7936" xr:uid="{00000000-0005-0000-0000-0000001F0000}"/>
    <cellStyle name="Normal 2 2 10 2 33 6" xfId="7937" xr:uid="{00000000-0005-0000-0000-0000011F0000}"/>
    <cellStyle name="Normal 2 2 10 2 33 7" xfId="7938" xr:uid="{00000000-0005-0000-0000-0000021F0000}"/>
    <cellStyle name="Normal 2 2 10 2 33 8" xfId="7939" xr:uid="{00000000-0005-0000-0000-0000031F0000}"/>
    <cellStyle name="Normal 2 2 10 2 33 9" xfId="7940" xr:uid="{00000000-0005-0000-0000-0000041F0000}"/>
    <cellStyle name="Normal 2 2 10 2 34" xfId="7941" xr:uid="{00000000-0005-0000-0000-0000051F0000}"/>
    <cellStyle name="Normal 2 2 10 2 34 10" xfId="7942" xr:uid="{00000000-0005-0000-0000-0000061F0000}"/>
    <cellStyle name="Normal 2 2 10 2 34 2" xfId="7943" xr:uid="{00000000-0005-0000-0000-0000071F0000}"/>
    <cellStyle name="Normal 2 2 10 2 34 3" xfId="7944" xr:uid="{00000000-0005-0000-0000-0000081F0000}"/>
    <cellStyle name="Normal 2 2 10 2 34 4" xfId="7945" xr:uid="{00000000-0005-0000-0000-0000091F0000}"/>
    <cellStyle name="Normal 2 2 10 2 34 5" xfId="7946" xr:uid="{00000000-0005-0000-0000-00000A1F0000}"/>
    <cellStyle name="Normal 2 2 10 2 34 6" xfId="7947" xr:uid="{00000000-0005-0000-0000-00000B1F0000}"/>
    <cellStyle name="Normal 2 2 10 2 34 7" xfId="7948" xr:uid="{00000000-0005-0000-0000-00000C1F0000}"/>
    <cellStyle name="Normal 2 2 10 2 34 8" xfId="7949" xr:uid="{00000000-0005-0000-0000-00000D1F0000}"/>
    <cellStyle name="Normal 2 2 10 2 34 9" xfId="7950" xr:uid="{00000000-0005-0000-0000-00000E1F0000}"/>
    <cellStyle name="Normal 2 2 10 2 35" xfId="7951" xr:uid="{00000000-0005-0000-0000-00000F1F0000}"/>
    <cellStyle name="Normal 2 2 10 2 35 10" xfId="7952" xr:uid="{00000000-0005-0000-0000-0000101F0000}"/>
    <cellStyle name="Normal 2 2 10 2 35 2" xfId="7953" xr:uid="{00000000-0005-0000-0000-0000111F0000}"/>
    <cellStyle name="Normal 2 2 10 2 35 3" xfId="7954" xr:uid="{00000000-0005-0000-0000-0000121F0000}"/>
    <cellStyle name="Normal 2 2 10 2 35 4" xfId="7955" xr:uid="{00000000-0005-0000-0000-0000131F0000}"/>
    <cellStyle name="Normal 2 2 10 2 35 5" xfId="7956" xr:uid="{00000000-0005-0000-0000-0000141F0000}"/>
    <cellStyle name="Normal 2 2 10 2 35 6" xfId="7957" xr:uid="{00000000-0005-0000-0000-0000151F0000}"/>
    <cellStyle name="Normal 2 2 10 2 35 7" xfId="7958" xr:uid="{00000000-0005-0000-0000-0000161F0000}"/>
    <cellStyle name="Normal 2 2 10 2 35 8" xfId="7959" xr:uid="{00000000-0005-0000-0000-0000171F0000}"/>
    <cellStyle name="Normal 2 2 10 2 35 9" xfId="7960" xr:uid="{00000000-0005-0000-0000-0000181F0000}"/>
    <cellStyle name="Normal 2 2 10 2 36" xfId="7961" xr:uid="{00000000-0005-0000-0000-0000191F0000}"/>
    <cellStyle name="Normal 2 2 10 2 36 10" xfId="7962" xr:uid="{00000000-0005-0000-0000-00001A1F0000}"/>
    <cellStyle name="Normal 2 2 10 2 36 2" xfId="7963" xr:uid="{00000000-0005-0000-0000-00001B1F0000}"/>
    <cellStyle name="Normal 2 2 10 2 36 3" xfId="7964" xr:uid="{00000000-0005-0000-0000-00001C1F0000}"/>
    <cellStyle name="Normal 2 2 10 2 36 4" xfId="7965" xr:uid="{00000000-0005-0000-0000-00001D1F0000}"/>
    <cellStyle name="Normal 2 2 10 2 36 5" xfId="7966" xr:uid="{00000000-0005-0000-0000-00001E1F0000}"/>
    <cellStyle name="Normal 2 2 10 2 36 6" xfId="7967" xr:uid="{00000000-0005-0000-0000-00001F1F0000}"/>
    <cellStyle name="Normal 2 2 10 2 36 7" xfId="7968" xr:uid="{00000000-0005-0000-0000-0000201F0000}"/>
    <cellStyle name="Normal 2 2 10 2 36 8" xfId="7969" xr:uid="{00000000-0005-0000-0000-0000211F0000}"/>
    <cellStyle name="Normal 2 2 10 2 36 9" xfId="7970" xr:uid="{00000000-0005-0000-0000-0000221F0000}"/>
    <cellStyle name="Normal 2 2 10 2 37" xfId="7971" xr:uid="{00000000-0005-0000-0000-0000231F0000}"/>
    <cellStyle name="Normal 2 2 10 2 37 10" xfId="7972" xr:uid="{00000000-0005-0000-0000-0000241F0000}"/>
    <cellStyle name="Normal 2 2 10 2 37 2" xfId="7973" xr:uid="{00000000-0005-0000-0000-0000251F0000}"/>
    <cellStyle name="Normal 2 2 10 2 37 3" xfId="7974" xr:uid="{00000000-0005-0000-0000-0000261F0000}"/>
    <cellStyle name="Normal 2 2 10 2 37 4" xfId="7975" xr:uid="{00000000-0005-0000-0000-0000271F0000}"/>
    <cellStyle name="Normal 2 2 10 2 37 5" xfId="7976" xr:uid="{00000000-0005-0000-0000-0000281F0000}"/>
    <cellStyle name="Normal 2 2 10 2 37 6" xfId="7977" xr:uid="{00000000-0005-0000-0000-0000291F0000}"/>
    <cellStyle name="Normal 2 2 10 2 37 7" xfId="7978" xr:uid="{00000000-0005-0000-0000-00002A1F0000}"/>
    <cellStyle name="Normal 2 2 10 2 37 8" xfId="7979" xr:uid="{00000000-0005-0000-0000-00002B1F0000}"/>
    <cellStyle name="Normal 2 2 10 2 37 9" xfId="7980" xr:uid="{00000000-0005-0000-0000-00002C1F0000}"/>
    <cellStyle name="Normal 2 2 10 2 38" xfId="7981" xr:uid="{00000000-0005-0000-0000-00002D1F0000}"/>
    <cellStyle name="Normal 2 2 10 2 39" xfId="7982" xr:uid="{00000000-0005-0000-0000-00002E1F0000}"/>
    <cellStyle name="Normal 2 2 10 2 4" xfId="7983" xr:uid="{00000000-0005-0000-0000-00002F1F0000}"/>
    <cellStyle name="Normal 2 2 10 2 4 10" xfId="7984" xr:uid="{00000000-0005-0000-0000-0000301F0000}"/>
    <cellStyle name="Normal 2 2 10 2 4 11" xfId="7985" xr:uid="{00000000-0005-0000-0000-0000311F0000}"/>
    <cellStyle name="Normal 2 2 10 2 4 12" xfId="7986" xr:uid="{00000000-0005-0000-0000-0000321F0000}"/>
    <cellStyle name="Normal 2 2 10 2 4 13" xfId="7987" xr:uid="{00000000-0005-0000-0000-0000331F0000}"/>
    <cellStyle name="Normal 2 2 10 2 4 14" xfId="7988" xr:uid="{00000000-0005-0000-0000-0000341F0000}"/>
    <cellStyle name="Normal 2 2 10 2 4 2" xfId="7989" xr:uid="{00000000-0005-0000-0000-0000351F0000}"/>
    <cellStyle name="Normal 2 2 10 2 4 2 10" xfId="7990" xr:uid="{00000000-0005-0000-0000-0000361F0000}"/>
    <cellStyle name="Normal 2 2 10 2 4 2 2" xfId="7991" xr:uid="{00000000-0005-0000-0000-0000371F0000}"/>
    <cellStyle name="Normal 2 2 10 2 4 2 3" xfId="7992" xr:uid="{00000000-0005-0000-0000-0000381F0000}"/>
    <cellStyle name="Normal 2 2 10 2 4 2 4" xfId="7993" xr:uid="{00000000-0005-0000-0000-0000391F0000}"/>
    <cellStyle name="Normal 2 2 10 2 4 2 5" xfId="7994" xr:uid="{00000000-0005-0000-0000-00003A1F0000}"/>
    <cellStyle name="Normal 2 2 10 2 4 2 6" xfId="7995" xr:uid="{00000000-0005-0000-0000-00003B1F0000}"/>
    <cellStyle name="Normal 2 2 10 2 4 2 7" xfId="7996" xr:uid="{00000000-0005-0000-0000-00003C1F0000}"/>
    <cellStyle name="Normal 2 2 10 2 4 2 8" xfId="7997" xr:uid="{00000000-0005-0000-0000-00003D1F0000}"/>
    <cellStyle name="Normal 2 2 10 2 4 2 9" xfId="7998" xr:uid="{00000000-0005-0000-0000-00003E1F0000}"/>
    <cellStyle name="Normal 2 2 10 2 4 3" xfId="7999" xr:uid="{00000000-0005-0000-0000-00003F1F0000}"/>
    <cellStyle name="Normal 2 2 10 2 4 3 10" xfId="8000" xr:uid="{00000000-0005-0000-0000-0000401F0000}"/>
    <cellStyle name="Normal 2 2 10 2 4 3 2" xfId="8001" xr:uid="{00000000-0005-0000-0000-0000411F0000}"/>
    <cellStyle name="Normal 2 2 10 2 4 3 3" xfId="8002" xr:uid="{00000000-0005-0000-0000-0000421F0000}"/>
    <cellStyle name="Normal 2 2 10 2 4 3 4" xfId="8003" xr:uid="{00000000-0005-0000-0000-0000431F0000}"/>
    <cellStyle name="Normal 2 2 10 2 4 3 5" xfId="8004" xr:uid="{00000000-0005-0000-0000-0000441F0000}"/>
    <cellStyle name="Normal 2 2 10 2 4 3 6" xfId="8005" xr:uid="{00000000-0005-0000-0000-0000451F0000}"/>
    <cellStyle name="Normal 2 2 10 2 4 3 7" xfId="8006" xr:uid="{00000000-0005-0000-0000-0000461F0000}"/>
    <cellStyle name="Normal 2 2 10 2 4 3 8" xfId="8007" xr:uid="{00000000-0005-0000-0000-0000471F0000}"/>
    <cellStyle name="Normal 2 2 10 2 4 3 9" xfId="8008" xr:uid="{00000000-0005-0000-0000-0000481F0000}"/>
    <cellStyle name="Normal 2 2 10 2 4 4" xfId="8009" xr:uid="{00000000-0005-0000-0000-0000491F0000}"/>
    <cellStyle name="Normal 2 2 10 2 4 4 10" xfId="8010" xr:uid="{00000000-0005-0000-0000-00004A1F0000}"/>
    <cellStyle name="Normal 2 2 10 2 4 4 2" xfId="8011" xr:uid="{00000000-0005-0000-0000-00004B1F0000}"/>
    <cellStyle name="Normal 2 2 10 2 4 4 3" xfId="8012" xr:uid="{00000000-0005-0000-0000-00004C1F0000}"/>
    <cellStyle name="Normal 2 2 10 2 4 4 4" xfId="8013" xr:uid="{00000000-0005-0000-0000-00004D1F0000}"/>
    <cellStyle name="Normal 2 2 10 2 4 4 5" xfId="8014" xr:uid="{00000000-0005-0000-0000-00004E1F0000}"/>
    <cellStyle name="Normal 2 2 10 2 4 4 6" xfId="8015" xr:uid="{00000000-0005-0000-0000-00004F1F0000}"/>
    <cellStyle name="Normal 2 2 10 2 4 4 7" xfId="8016" xr:uid="{00000000-0005-0000-0000-0000501F0000}"/>
    <cellStyle name="Normal 2 2 10 2 4 4 8" xfId="8017" xr:uid="{00000000-0005-0000-0000-0000511F0000}"/>
    <cellStyle name="Normal 2 2 10 2 4 4 9" xfId="8018" xr:uid="{00000000-0005-0000-0000-0000521F0000}"/>
    <cellStyle name="Normal 2 2 10 2 4 5" xfId="8019" xr:uid="{00000000-0005-0000-0000-0000531F0000}"/>
    <cellStyle name="Normal 2 2 10 2 4 5 10" xfId="8020" xr:uid="{00000000-0005-0000-0000-0000541F0000}"/>
    <cellStyle name="Normal 2 2 10 2 4 5 2" xfId="8021" xr:uid="{00000000-0005-0000-0000-0000551F0000}"/>
    <cellStyle name="Normal 2 2 10 2 4 5 3" xfId="8022" xr:uid="{00000000-0005-0000-0000-0000561F0000}"/>
    <cellStyle name="Normal 2 2 10 2 4 5 4" xfId="8023" xr:uid="{00000000-0005-0000-0000-0000571F0000}"/>
    <cellStyle name="Normal 2 2 10 2 4 5 5" xfId="8024" xr:uid="{00000000-0005-0000-0000-0000581F0000}"/>
    <cellStyle name="Normal 2 2 10 2 4 5 6" xfId="8025" xr:uid="{00000000-0005-0000-0000-0000591F0000}"/>
    <cellStyle name="Normal 2 2 10 2 4 5 7" xfId="8026" xr:uid="{00000000-0005-0000-0000-00005A1F0000}"/>
    <cellStyle name="Normal 2 2 10 2 4 5 8" xfId="8027" xr:uid="{00000000-0005-0000-0000-00005B1F0000}"/>
    <cellStyle name="Normal 2 2 10 2 4 5 9" xfId="8028" xr:uid="{00000000-0005-0000-0000-00005C1F0000}"/>
    <cellStyle name="Normal 2 2 10 2 4 6" xfId="8029" xr:uid="{00000000-0005-0000-0000-00005D1F0000}"/>
    <cellStyle name="Normal 2 2 10 2 4 7" xfId="8030" xr:uid="{00000000-0005-0000-0000-00005E1F0000}"/>
    <cellStyle name="Normal 2 2 10 2 4 8" xfId="8031" xr:uid="{00000000-0005-0000-0000-00005F1F0000}"/>
    <cellStyle name="Normal 2 2 10 2 4 9" xfId="8032" xr:uid="{00000000-0005-0000-0000-0000601F0000}"/>
    <cellStyle name="Normal 2 2 10 2 40" xfId="8033" xr:uid="{00000000-0005-0000-0000-0000611F0000}"/>
    <cellStyle name="Normal 2 2 10 2 41" xfId="8034" xr:uid="{00000000-0005-0000-0000-0000621F0000}"/>
    <cellStyle name="Normal 2 2 10 2 42" xfId="8035" xr:uid="{00000000-0005-0000-0000-0000631F0000}"/>
    <cellStyle name="Normal 2 2 10 2 43" xfId="8036" xr:uid="{00000000-0005-0000-0000-0000641F0000}"/>
    <cellStyle name="Normal 2 2 10 2 44" xfId="8037" xr:uid="{00000000-0005-0000-0000-0000651F0000}"/>
    <cellStyle name="Normal 2 2 10 2 45" xfId="8038" xr:uid="{00000000-0005-0000-0000-0000661F0000}"/>
    <cellStyle name="Normal 2 2 10 2 46" xfId="8039" xr:uid="{00000000-0005-0000-0000-0000671F0000}"/>
    <cellStyle name="Normal 2 2 10 2 5" xfId="8040" xr:uid="{00000000-0005-0000-0000-0000681F0000}"/>
    <cellStyle name="Normal 2 2 10 2 5 10" xfId="8041" xr:uid="{00000000-0005-0000-0000-0000691F0000}"/>
    <cellStyle name="Normal 2 2 10 2 5 11" xfId="8042" xr:uid="{00000000-0005-0000-0000-00006A1F0000}"/>
    <cellStyle name="Normal 2 2 10 2 5 12" xfId="8043" xr:uid="{00000000-0005-0000-0000-00006B1F0000}"/>
    <cellStyle name="Normal 2 2 10 2 5 13" xfId="8044" xr:uid="{00000000-0005-0000-0000-00006C1F0000}"/>
    <cellStyle name="Normal 2 2 10 2 5 14" xfId="8045" xr:uid="{00000000-0005-0000-0000-00006D1F0000}"/>
    <cellStyle name="Normal 2 2 10 2 5 2" xfId="8046" xr:uid="{00000000-0005-0000-0000-00006E1F0000}"/>
    <cellStyle name="Normal 2 2 10 2 5 2 10" xfId="8047" xr:uid="{00000000-0005-0000-0000-00006F1F0000}"/>
    <cellStyle name="Normal 2 2 10 2 5 2 2" xfId="8048" xr:uid="{00000000-0005-0000-0000-0000701F0000}"/>
    <cellStyle name="Normal 2 2 10 2 5 2 3" xfId="8049" xr:uid="{00000000-0005-0000-0000-0000711F0000}"/>
    <cellStyle name="Normal 2 2 10 2 5 2 4" xfId="8050" xr:uid="{00000000-0005-0000-0000-0000721F0000}"/>
    <cellStyle name="Normal 2 2 10 2 5 2 5" xfId="8051" xr:uid="{00000000-0005-0000-0000-0000731F0000}"/>
    <cellStyle name="Normal 2 2 10 2 5 2 6" xfId="8052" xr:uid="{00000000-0005-0000-0000-0000741F0000}"/>
    <cellStyle name="Normal 2 2 10 2 5 2 7" xfId="8053" xr:uid="{00000000-0005-0000-0000-0000751F0000}"/>
    <cellStyle name="Normal 2 2 10 2 5 2 8" xfId="8054" xr:uid="{00000000-0005-0000-0000-0000761F0000}"/>
    <cellStyle name="Normal 2 2 10 2 5 2 9" xfId="8055" xr:uid="{00000000-0005-0000-0000-0000771F0000}"/>
    <cellStyle name="Normal 2 2 10 2 5 3" xfId="8056" xr:uid="{00000000-0005-0000-0000-0000781F0000}"/>
    <cellStyle name="Normal 2 2 10 2 5 3 10" xfId="8057" xr:uid="{00000000-0005-0000-0000-0000791F0000}"/>
    <cellStyle name="Normal 2 2 10 2 5 3 2" xfId="8058" xr:uid="{00000000-0005-0000-0000-00007A1F0000}"/>
    <cellStyle name="Normal 2 2 10 2 5 3 3" xfId="8059" xr:uid="{00000000-0005-0000-0000-00007B1F0000}"/>
    <cellStyle name="Normal 2 2 10 2 5 3 4" xfId="8060" xr:uid="{00000000-0005-0000-0000-00007C1F0000}"/>
    <cellStyle name="Normal 2 2 10 2 5 3 5" xfId="8061" xr:uid="{00000000-0005-0000-0000-00007D1F0000}"/>
    <cellStyle name="Normal 2 2 10 2 5 3 6" xfId="8062" xr:uid="{00000000-0005-0000-0000-00007E1F0000}"/>
    <cellStyle name="Normal 2 2 10 2 5 3 7" xfId="8063" xr:uid="{00000000-0005-0000-0000-00007F1F0000}"/>
    <cellStyle name="Normal 2 2 10 2 5 3 8" xfId="8064" xr:uid="{00000000-0005-0000-0000-0000801F0000}"/>
    <cellStyle name="Normal 2 2 10 2 5 3 9" xfId="8065" xr:uid="{00000000-0005-0000-0000-0000811F0000}"/>
    <cellStyle name="Normal 2 2 10 2 5 4" xfId="8066" xr:uid="{00000000-0005-0000-0000-0000821F0000}"/>
    <cellStyle name="Normal 2 2 10 2 5 4 10" xfId="8067" xr:uid="{00000000-0005-0000-0000-0000831F0000}"/>
    <cellStyle name="Normal 2 2 10 2 5 4 2" xfId="8068" xr:uid="{00000000-0005-0000-0000-0000841F0000}"/>
    <cellStyle name="Normal 2 2 10 2 5 4 3" xfId="8069" xr:uid="{00000000-0005-0000-0000-0000851F0000}"/>
    <cellStyle name="Normal 2 2 10 2 5 4 4" xfId="8070" xr:uid="{00000000-0005-0000-0000-0000861F0000}"/>
    <cellStyle name="Normal 2 2 10 2 5 4 5" xfId="8071" xr:uid="{00000000-0005-0000-0000-0000871F0000}"/>
    <cellStyle name="Normal 2 2 10 2 5 4 6" xfId="8072" xr:uid="{00000000-0005-0000-0000-0000881F0000}"/>
    <cellStyle name="Normal 2 2 10 2 5 4 7" xfId="8073" xr:uid="{00000000-0005-0000-0000-0000891F0000}"/>
    <cellStyle name="Normal 2 2 10 2 5 4 8" xfId="8074" xr:uid="{00000000-0005-0000-0000-00008A1F0000}"/>
    <cellStyle name="Normal 2 2 10 2 5 4 9" xfId="8075" xr:uid="{00000000-0005-0000-0000-00008B1F0000}"/>
    <cellStyle name="Normal 2 2 10 2 5 5" xfId="8076" xr:uid="{00000000-0005-0000-0000-00008C1F0000}"/>
    <cellStyle name="Normal 2 2 10 2 5 5 10" xfId="8077" xr:uid="{00000000-0005-0000-0000-00008D1F0000}"/>
    <cellStyle name="Normal 2 2 10 2 5 5 2" xfId="8078" xr:uid="{00000000-0005-0000-0000-00008E1F0000}"/>
    <cellStyle name="Normal 2 2 10 2 5 5 3" xfId="8079" xr:uid="{00000000-0005-0000-0000-00008F1F0000}"/>
    <cellStyle name="Normal 2 2 10 2 5 5 4" xfId="8080" xr:uid="{00000000-0005-0000-0000-0000901F0000}"/>
    <cellStyle name="Normal 2 2 10 2 5 5 5" xfId="8081" xr:uid="{00000000-0005-0000-0000-0000911F0000}"/>
    <cellStyle name="Normal 2 2 10 2 5 5 6" xfId="8082" xr:uid="{00000000-0005-0000-0000-0000921F0000}"/>
    <cellStyle name="Normal 2 2 10 2 5 5 7" xfId="8083" xr:uid="{00000000-0005-0000-0000-0000931F0000}"/>
    <cellStyle name="Normal 2 2 10 2 5 5 8" xfId="8084" xr:uid="{00000000-0005-0000-0000-0000941F0000}"/>
    <cellStyle name="Normal 2 2 10 2 5 5 9" xfId="8085" xr:uid="{00000000-0005-0000-0000-0000951F0000}"/>
    <cellStyle name="Normal 2 2 10 2 5 6" xfId="8086" xr:uid="{00000000-0005-0000-0000-0000961F0000}"/>
    <cellStyle name="Normal 2 2 10 2 5 7" xfId="8087" xr:uid="{00000000-0005-0000-0000-0000971F0000}"/>
    <cellStyle name="Normal 2 2 10 2 5 8" xfId="8088" xr:uid="{00000000-0005-0000-0000-0000981F0000}"/>
    <cellStyle name="Normal 2 2 10 2 5 9" xfId="8089" xr:uid="{00000000-0005-0000-0000-0000991F0000}"/>
    <cellStyle name="Normal 2 2 10 2 6" xfId="8090" xr:uid="{00000000-0005-0000-0000-00009A1F0000}"/>
    <cellStyle name="Normal 2 2 10 2 6 10" xfId="8091" xr:uid="{00000000-0005-0000-0000-00009B1F0000}"/>
    <cellStyle name="Normal 2 2 10 2 6 11" xfId="8092" xr:uid="{00000000-0005-0000-0000-00009C1F0000}"/>
    <cellStyle name="Normal 2 2 10 2 6 12" xfId="8093" xr:uid="{00000000-0005-0000-0000-00009D1F0000}"/>
    <cellStyle name="Normal 2 2 10 2 6 13" xfId="8094" xr:uid="{00000000-0005-0000-0000-00009E1F0000}"/>
    <cellStyle name="Normal 2 2 10 2 6 14" xfId="8095" xr:uid="{00000000-0005-0000-0000-00009F1F0000}"/>
    <cellStyle name="Normal 2 2 10 2 6 2" xfId="8096" xr:uid="{00000000-0005-0000-0000-0000A01F0000}"/>
    <cellStyle name="Normal 2 2 10 2 6 2 10" xfId="8097" xr:uid="{00000000-0005-0000-0000-0000A11F0000}"/>
    <cellStyle name="Normal 2 2 10 2 6 2 2" xfId="8098" xr:uid="{00000000-0005-0000-0000-0000A21F0000}"/>
    <cellStyle name="Normal 2 2 10 2 6 2 3" xfId="8099" xr:uid="{00000000-0005-0000-0000-0000A31F0000}"/>
    <cellStyle name="Normal 2 2 10 2 6 2 4" xfId="8100" xr:uid="{00000000-0005-0000-0000-0000A41F0000}"/>
    <cellStyle name="Normal 2 2 10 2 6 2 5" xfId="8101" xr:uid="{00000000-0005-0000-0000-0000A51F0000}"/>
    <cellStyle name="Normal 2 2 10 2 6 2 6" xfId="8102" xr:uid="{00000000-0005-0000-0000-0000A61F0000}"/>
    <cellStyle name="Normal 2 2 10 2 6 2 7" xfId="8103" xr:uid="{00000000-0005-0000-0000-0000A71F0000}"/>
    <cellStyle name="Normal 2 2 10 2 6 2 8" xfId="8104" xr:uid="{00000000-0005-0000-0000-0000A81F0000}"/>
    <cellStyle name="Normal 2 2 10 2 6 2 9" xfId="8105" xr:uid="{00000000-0005-0000-0000-0000A91F0000}"/>
    <cellStyle name="Normal 2 2 10 2 6 3" xfId="8106" xr:uid="{00000000-0005-0000-0000-0000AA1F0000}"/>
    <cellStyle name="Normal 2 2 10 2 6 3 10" xfId="8107" xr:uid="{00000000-0005-0000-0000-0000AB1F0000}"/>
    <cellStyle name="Normal 2 2 10 2 6 3 2" xfId="8108" xr:uid="{00000000-0005-0000-0000-0000AC1F0000}"/>
    <cellStyle name="Normal 2 2 10 2 6 3 3" xfId="8109" xr:uid="{00000000-0005-0000-0000-0000AD1F0000}"/>
    <cellStyle name="Normal 2 2 10 2 6 3 4" xfId="8110" xr:uid="{00000000-0005-0000-0000-0000AE1F0000}"/>
    <cellStyle name="Normal 2 2 10 2 6 3 5" xfId="8111" xr:uid="{00000000-0005-0000-0000-0000AF1F0000}"/>
    <cellStyle name="Normal 2 2 10 2 6 3 6" xfId="8112" xr:uid="{00000000-0005-0000-0000-0000B01F0000}"/>
    <cellStyle name="Normal 2 2 10 2 6 3 7" xfId="8113" xr:uid="{00000000-0005-0000-0000-0000B11F0000}"/>
    <cellStyle name="Normal 2 2 10 2 6 3 8" xfId="8114" xr:uid="{00000000-0005-0000-0000-0000B21F0000}"/>
    <cellStyle name="Normal 2 2 10 2 6 3 9" xfId="8115" xr:uid="{00000000-0005-0000-0000-0000B31F0000}"/>
    <cellStyle name="Normal 2 2 10 2 6 4" xfId="8116" xr:uid="{00000000-0005-0000-0000-0000B41F0000}"/>
    <cellStyle name="Normal 2 2 10 2 6 4 10" xfId="8117" xr:uid="{00000000-0005-0000-0000-0000B51F0000}"/>
    <cellStyle name="Normal 2 2 10 2 6 4 2" xfId="8118" xr:uid="{00000000-0005-0000-0000-0000B61F0000}"/>
    <cellStyle name="Normal 2 2 10 2 6 4 3" xfId="8119" xr:uid="{00000000-0005-0000-0000-0000B71F0000}"/>
    <cellStyle name="Normal 2 2 10 2 6 4 4" xfId="8120" xr:uid="{00000000-0005-0000-0000-0000B81F0000}"/>
    <cellStyle name="Normal 2 2 10 2 6 4 5" xfId="8121" xr:uid="{00000000-0005-0000-0000-0000B91F0000}"/>
    <cellStyle name="Normal 2 2 10 2 6 4 6" xfId="8122" xr:uid="{00000000-0005-0000-0000-0000BA1F0000}"/>
    <cellStyle name="Normal 2 2 10 2 6 4 7" xfId="8123" xr:uid="{00000000-0005-0000-0000-0000BB1F0000}"/>
    <cellStyle name="Normal 2 2 10 2 6 4 8" xfId="8124" xr:uid="{00000000-0005-0000-0000-0000BC1F0000}"/>
    <cellStyle name="Normal 2 2 10 2 6 4 9" xfId="8125" xr:uid="{00000000-0005-0000-0000-0000BD1F0000}"/>
    <cellStyle name="Normal 2 2 10 2 6 5" xfId="8126" xr:uid="{00000000-0005-0000-0000-0000BE1F0000}"/>
    <cellStyle name="Normal 2 2 10 2 6 5 10" xfId="8127" xr:uid="{00000000-0005-0000-0000-0000BF1F0000}"/>
    <cellStyle name="Normal 2 2 10 2 6 5 2" xfId="8128" xr:uid="{00000000-0005-0000-0000-0000C01F0000}"/>
    <cellStyle name="Normal 2 2 10 2 6 5 3" xfId="8129" xr:uid="{00000000-0005-0000-0000-0000C11F0000}"/>
    <cellStyle name="Normal 2 2 10 2 6 5 4" xfId="8130" xr:uid="{00000000-0005-0000-0000-0000C21F0000}"/>
    <cellStyle name="Normal 2 2 10 2 6 5 5" xfId="8131" xr:uid="{00000000-0005-0000-0000-0000C31F0000}"/>
    <cellStyle name="Normal 2 2 10 2 6 5 6" xfId="8132" xr:uid="{00000000-0005-0000-0000-0000C41F0000}"/>
    <cellStyle name="Normal 2 2 10 2 6 5 7" xfId="8133" xr:uid="{00000000-0005-0000-0000-0000C51F0000}"/>
    <cellStyle name="Normal 2 2 10 2 6 5 8" xfId="8134" xr:uid="{00000000-0005-0000-0000-0000C61F0000}"/>
    <cellStyle name="Normal 2 2 10 2 6 5 9" xfId="8135" xr:uid="{00000000-0005-0000-0000-0000C71F0000}"/>
    <cellStyle name="Normal 2 2 10 2 6 6" xfId="8136" xr:uid="{00000000-0005-0000-0000-0000C81F0000}"/>
    <cellStyle name="Normal 2 2 10 2 6 7" xfId="8137" xr:uid="{00000000-0005-0000-0000-0000C91F0000}"/>
    <cellStyle name="Normal 2 2 10 2 6 8" xfId="8138" xr:uid="{00000000-0005-0000-0000-0000CA1F0000}"/>
    <cellStyle name="Normal 2 2 10 2 6 9" xfId="8139" xr:uid="{00000000-0005-0000-0000-0000CB1F0000}"/>
    <cellStyle name="Normal 2 2 10 2 7" xfId="8140" xr:uid="{00000000-0005-0000-0000-0000CC1F0000}"/>
    <cellStyle name="Normal 2 2 10 2 7 10" xfId="8141" xr:uid="{00000000-0005-0000-0000-0000CD1F0000}"/>
    <cellStyle name="Normal 2 2 10 2 7 11" xfId="8142" xr:uid="{00000000-0005-0000-0000-0000CE1F0000}"/>
    <cellStyle name="Normal 2 2 10 2 7 12" xfId="8143" xr:uid="{00000000-0005-0000-0000-0000CF1F0000}"/>
    <cellStyle name="Normal 2 2 10 2 7 13" xfId="8144" xr:uid="{00000000-0005-0000-0000-0000D01F0000}"/>
    <cellStyle name="Normal 2 2 10 2 7 14" xfId="8145" xr:uid="{00000000-0005-0000-0000-0000D11F0000}"/>
    <cellStyle name="Normal 2 2 10 2 7 2" xfId="8146" xr:uid="{00000000-0005-0000-0000-0000D21F0000}"/>
    <cellStyle name="Normal 2 2 10 2 7 2 10" xfId="8147" xr:uid="{00000000-0005-0000-0000-0000D31F0000}"/>
    <cellStyle name="Normal 2 2 10 2 7 2 2" xfId="8148" xr:uid="{00000000-0005-0000-0000-0000D41F0000}"/>
    <cellStyle name="Normal 2 2 10 2 7 2 3" xfId="8149" xr:uid="{00000000-0005-0000-0000-0000D51F0000}"/>
    <cellStyle name="Normal 2 2 10 2 7 2 4" xfId="8150" xr:uid="{00000000-0005-0000-0000-0000D61F0000}"/>
    <cellStyle name="Normal 2 2 10 2 7 2 5" xfId="8151" xr:uid="{00000000-0005-0000-0000-0000D71F0000}"/>
    <cellStyle name="Normal 2 2 10 2 7 2 6" xfId="8152" xr:uid="{00000000-0005-0000-0000-0000D81F0000}"/>
    <cellStyle name="Normal 2 2 10 2 7 2 7" xfId="8153" xr:uid="{00000000-0005-0000-0000-0000D91F0000}"/>
    <cellStyle name="Normal 2 2 10 2 7 2 8" xfId="8154" xr:uid="{00000000-0005-0000-0000-0000DA1F0000}"/>
    <cellStyle name="Normal 2 2 10 2 7 2 9" xfId="8155" xr:uid="{00000000-0005-0000-0000-0000DB1F0000}"/>
    <cellStyle name="Normal 2 2 10 2 7 3" xfId="8156" xr:uid="{00000000-0005-0000-0000-0000DC1F0000}"/>
    <cellStyle name="Normal 2 2 10 2 7 3 10" xfId="8157" xr:uid="{00000000-0005-0000-0000-0000DD1F0000}"/>
    <cellStyle name="Normal 2 2 10 2 7 3 2" xfId="8158" xr:uid="{00000000-0005-0000-0000-0000DE1F0000}"/>
    <cellStyle name="Normal 2 2 10 2 7 3 3" xfId="8159" xr:uid="{00000000-0005-0000-0000-0000DF1F0000}"/>
    <cellStyle name="Normal 2 2 10 2 7 3 4" xfId="8160" xr:uid="{00000000-0005-0000-0000-0000E01F0000}"/>
    <cellStyle name="Normal 2 2 10 2 7 3 5" xfId="8161" xr:uid="{00000000-0005-0000-0000-0000E11F0000}"/>
    <cellStyle name="Normal 2 2 10 2 7 3 6" xfId="8162" xr:uid="{00000000-0005-0000-0000-0000E21F0000}"/>
    <cellStyle name="Normal 2 2 10 2 7 3 7" xfId="8163" xr:uid="{00000000-0005-0000-0000-0000E31F0000}"/>
    <cellStyle name="Normal 2 2 10 2 7 3 8" xfId="8164" xr:uid="{00000000-0005-0000-0000-0000E41F0000}"/>
    <cellStyle name="Normal 2 2 10 2 7 3 9" xfId="8165" xr:uid="{00000000-0005-0000-0000-0000E51F0000}"/>
    <cellStyle name="Normal 2 2 10 2 7 4" xfId="8166" xr:uid="{00000000-0005-0000-0000-0000E61F0000}"/>
    <cellStyle name="Normal 2 2 10 2 7 4 10" xfId="8167" xr:uid="{00000000-0005-0000-0000-0000E71F0000}"/>
    <cellStyle name="Normal 2 2 10 2 7 4 2" xfId="8168" xr:uid="{00000000-0005-0000-0000-0000E81F0000}"/>
    <cellStyle name="Normal 2 2 10 2 7 4 3" xfId="8169" xr:uid="{00000000-0005-0000-0000-0000E91F0000}"/>
    <cellStyle name="Normal 2 2 10 2 7 4 4" xfId="8170" xr:uid="{00000000-0005-0000-0000-0000EA1F0000}"/>
    <cellStyle name="Normal 2 2 10 2 7 4 5" xfId="8171" xr:uid="{00000000-0005-0000-0000-0000EB1F0000}"/>
    <cellStyle name="Normal 2 2 10 2 7 4 6" xfId="8172" xr:uid="{00000000-0005-0000-0000-0000EC1F0000}"/>
    <cellStyle name="Normal 2 2 10 2 7 4 7" xfId="8173" xr:uid="{00000000-0005-0000-0000-0000ED1F0000}"/>
    <cellStyle name="Normal 2 2 10 2 7 4 8" xfId="8174" xr:uid="{00000000-0005-0000-0000-0000EE1F0000}"/>
    <cellStyle name="Normal 2 2 10 2 7 4 9" xfId="8175" xr:uid="{00000000-0005-0000-0000-0000EF1F0000}"/>
    <cellStyle name="Normal 2 2 10 2 7 5" xfId="8176" xr:uid="{00000000-0005-0000-0000-0000F01F0000}"/>
    <cellStyle name="Normal 2 2 10 2 7 5 10" xfId="8177" xr:uid="{00000000-0005-0000-0000-0000F11F0000}"/>
    <cellStyle name="Normal 2 2 10 2 7 5 2" xfId="8178" xr:uid="{00000000-0005-0000-0000-0000F21F0000}"/>
    <cellStyle name="Normal 2 2 10 2 7 5 3" xfId="8179" xr:uid="{00000000-0005-0000-0000-0000F31F0000}"/>
    <cellStyle name="Normal 2 2 10 2 7 5 4" xfId="8180" xr:uid="{00000000-0005-0000-0000-0000F41F0000}"/>
    <cellStyle name="Normal 2 2 10 2 7 5 5" xfId="8181" xr:uid="{00000000-0005-0000-0000-0000F51F0000}"/>
    <cellStyle name="Normal 2 2 10 2 7 5 6" xfId="8182" xr:uid="{00000000-0005-0000-0000-0000F61F0000}"/>
    <cellStyle name="Normal 2 2 10 2 7 5 7" xfId="8183" xr:uid="{00000000-0005-0000-0000-0000F71F0000}"/>
    <cellStyle name="Normal 2 2 10 2 7 5 8" xfId="8184" xr:uid="{00000000-0005-0000-0000-0000F81F0000}"/>
    <cellStyle name="Normal 2 2 10 2 7 5 9" xfId="8185" xr:uid="{00000000-0005-0000-0000-0000F91F0000}"/>
    <cellStyle name="Normal 2 2 10 2 7 6" xfId="8186" xr:uid="{00000000-0005-0000-0000-0000FA1F0000}"/>
    <cellStyle name="Normal 2 2 10 2 7 7" xfId="8187" xr:uid="{00000000-0005-0000-0000-0000FB1F0000}"/>
    <cellStyle name="Normal 2 2 10 2 7 8" xfId="8188" xr:uid="{00000000-0005-0000-0000-0000FC1F0000}"/>
    <cellStyle name="Normal 2 2 10 2 7 9" xfId="8189" xr:uid="{00000000-0005-0000-0000-0000FD1F0000}"/>
    <cellStyle name="Normal 2 2 10 2 8" xfId="8190" xr:uid="{00000000-0005-0000-0000-0000FE1F0000}"/>
    <cellStyle name="Normal 2 2 10 2 8 10" xfId="8191" xr:uid="{00000000-0005-0000-0000-0000FF1F0000}"/>
    <cellStyle name="Normal 2 2 10 2 8 11" xfId="8192" xr:uid="{00000000-0005-0000-0000-000000200000}"/>
    <cellStyle name="Normal 2 2 10 2 8 12" xfId="8193" xr:uid="{00000000-0005-0000-0000-000001200000}"/>
    <cellStyle name="Normal 2 2 10 2 8 13" xfId="8194" xr:uid="{00000000-0005-0000-0000-000002200000}"/>
    <cellStyle name="Normal 2 2 10 2 8 14" xfId="8195" xr:uid="{00000000-0005-0000-0000-000003200000}"/>
    <cellStyle name="Normal 2 2 10 2 8 2" xfId="8196" xr:uid="{00000000-0005-0000-0000-000004200000}"/>
    <cellStyle name="Normal 2 2 10 2 8 2 10" xfId="8197" xr:uid="{00000000-0005-0000-0000-000005200000}"/>
    <cellStyle name="Normal 2 2 10 2 8 2 2" xfId="8198" xr:uid="{00000000-0005-0000-0000-000006200000}"/>
    <cellStyle name="Normal 2 2 10 2 8 2 3" xfId="8199" xr:uid="{00000000-0005-0000-0000-000007200000}"/>
    <cellStyle name="Normal 2 2 10 2 8 2 4" xfId="8200" xr:uid="{00000000-0005-0000-0000-000008200000}"/>
    <cellStyle name="Normal 2 2 10 2 8 2 5" xfId="8201" xr:uid="{00000000-0005-0000-0000-000009200000}"/>
    <cellStyle name="Normal 2 2 10 2 8 2 6" xfId="8202" xr:uid="{00000000-0005-0000-0000-00000A200000}"/>
    <cellStyle name="Normal 2 2 10 2 8 2 7" xfId="8203" xr:uid="{00000000-0005-0000-0000-00000B200000}"/>
    <cellStyle name="Normal 2 2 10 2 8 2 8" xfId="8204" xr:uid="{00000000-0005-0000-0000-00000C200000}"/>
    <cellStyle name="Normal 2 2 10 2 8 2 9" xfId="8205" xr:uid="{00000000-0005-0000-0000-00000D200000}"/>
    <cellStyle name="Normal 2 2 10 2 8 3" xfId="8206" xr:uid="{00000000-0005-0000-0000-00000E200000}"/>
    <cellStyle name="Normal 2 2 10 2 8 3 10" xfId="8207" xr:uid="{00000000-0005-0000-0000-00000F200000}"/>
    <cellStyle name="Normal 2 2 10 2 8 3 2" xfId="8208" xr:uid="{00000000-0005-0000-0000-000010200000}"/>
    <cellStyle name="Normal 2 2 10 2 8 3 3" xfId="8209" xr:uid="{00000000-0005-0000-0000-000011200000}"/>
    <cellStyle name="Normal 2 2 10 2 8 3 4" xfId="8210" xr:uid="{00000000-0005-0000-0000-000012200000}"/>
    <cellStyle name="Normal 2 2 10 2 8 3 5" xfId="8211" xr:uid="{00000000-0005-0000-0000-000013200000}"/>
    <cellStyle name="Normal 2 2 10 2 8 3 6" xfId="8212" xr:uid="{00000000-0005-0000-0000-000014200000}"/>
    <cellStyle name="Normal 2 2 10 2 8 3 7" xfId="8213" xr:uid="{00000000-0005-0000-0000-000015200000}"/>
    <cellStyle name="Normal 2 2 10 2 8 3 8" xfId="8214" xr:uid="{00000000-0005-0000-0000-000016200000}"/>
    <cellStyle name="Normal 2 2 10 2 8 3 9" xfId="8215" xr:uid="{00000000-0005-0000-0000-000017200000}"/>
    <cellStyle name="Normal 2 2 10 2 8 4" xfId="8216" xr:uid="{00000000-0005-0000-0000-000018200000}"/>
    <cellStyle name="Normal 2 2 10 2 8 4 10" xfId="8217" xr:uid="{00000000-0005-0000-0000-000019200000}"/>
    <cellStyle name="Normal 2 2 10 2 8 4 2" xfId="8218" xr:uid="{00000000-0005-0000-0000-00001A200000}"/>
    <cellStyle name="Normal 2 2 10 2 8 4 3" xfId="8219" xr:uid="{00000000-0005-0000-0000-00001B200000}"/>
    <cellStyle name="Normal 2 2 10 2 8 4 4" xfId="8220" xr:uid="{00000000-0005-0000-0000-00001C200000}"/>
    <cellStyle name="Normal 2 2 10 2 8 4 5" xfId="8221" xr:uid="{00000000-0005-0000-0000-00001D200000}"/>
    <cellStyle name="Normal 2 2 10 2 8 4 6" xfId="8222" xr:uid="{00000000-0005-0000-0000-00001E200000}"/>
    <cellStyle name="Normal 2 2 10 2 8 4 7" xfId="8223" xr:uid="{00000000-0005-0000-0000-00001F200000}"/>
    <cellStyle name="Normal 2 2 10 2 8 4 8" xfId="8224" xr:uid="{00000000-0005-0000-0000-000020200000}"/>
    <cellStyle name="Normal 2 2 10 2 8 4 9" xfId="8225" xr:uid="{00000000-0005-0000-0000-000021200000}"/>
    <cellStyle name="Normal 2 2 10 2 8 5" xfId="8226" xr:uid="{00000000-0005-0000-0000-000022200000}"/>
    <cellStyle name="Normal 2 2 10 2 8 5 10" xfId="8227" xr:uid="{00000000-0005-0000-0000-000023200000}"/>
    <cellStyle name="Normal 2 2 10 2 8 5 2" xfId="8228" xr:uid="{00000000-0005-0000-0000-000024200000}"/>
    <cellStyle name="Normal 2 2 10 2 8 5 3" xfId="8229" xr:uid="{00000000-0005-0000-0000-000025200000}"/>
    <cellStyle name="Normal 2 2 10 2 8 5 4" xfId="8230" xr:uid="{00000000-0005-0000-0000-000026200000}"/>
    <cellStyle name="Normal 2 2 10 2 8 5 5" xfId="8231" xr:uid="{00000000-0005-0000-0000-000027200000}"/>
    <cellStyle name="Normal 2 2 10 2 8 5 6" xfId="8232" xr:uid="{00000000-0005-0000-0000-000028200000}"/>
    <cellStyle name="Normal 2 2 10 2 8 5 7" xfId="8233" xr:uid="{00000000-0005-0000-0000-000029200000}"/>
    <cellStyle name="Normal 2 2 10 2 8 5 8" xfId="8234" xr:uid="{00000000-0005-0000-0000-00002A200000}"/>
    <cellStyle name="Normal 2 2 10 2 8 5 9" xfId="8235" xr:uid="{00000000-0005-0000-0000-00002B200000}"/>
    <cellStyle name="Normal 2 2 10 2 8 6" xfId="8236" xr:uid="{00000000-0005-0000-0000-00002C200000}"/>
    <cellStyle name="Normal 2 2 10 2 8 7" xfId="8237" xr:uid="{00000000-0005-0000-0000-00002D200000}"/>
    <cellStyle name="Normal 2 2 10 2 8 8" xfId="8238" xr:uid="{00000000-0005-0000-0000-00002E200000}"/>
    <cellStyle name="Normal 2 2 10 2 8 9" xfId="8239" xr:uid="{00000000-0005-0000-0000-00002F200000}"/>
    <cellStyle name="Normal 2 2 10 2 9" xfId="8240" xr:uid="{00000000-0005-0000-0000-000030200000}"/>
    <cellStyle name="Normal 2 2 10 2 9 10" xfId="8241" xr:uid="{00000000-0005-0000-0000-000031200000}"/>
    <cellStyle name="Normal 2 2 10 2 9 11" xfId="8242" xr:uid="{00000000-0005-0000-0000-000032200000}"/>
    <cellStyle name="Normal 2 2 10 2 9 12" xfId="8243" xr:uid="{00000000-0005-0000-0000-000033200000}"/>
    <cellStyle name="Normal 2 2 10 2 9 13" xfId="8244" xr:uid="{00000000-0005-0000-0000-000034200000}"/>
    <cellStyle name="Normal 2 2 10 2 9 14" xfId="8245" xr:uid="{00000000-0005-0000-0000-000035200000}"/>
    <cellStyle name="Normal 2 2 10 2 9 2" xfId="8246" xr:uid="{00000000-0005-0000-0000-000036200000}"/>
    <cellStyle name="Normal 2 2 10 2 9 2 10" xfId="8247" xr:uid="{00000000-0005-0000-0000-000037200000}"/>
    <cellStyle name="Normal 2 2 10 2 9 2 2" xfId="8248" xr:uid="{00000000-0005-0000-0000-000038200000}"/>
    <cellStyle name="Normal 2 2 10 2 9 2 3" xfId="8249" xr:uid="{00000000-0005-0000-0000-000039200000}"/>
    <cellStyle name="Normal 2 2 10 2 9 2 4" xfId="8250" xr:uid="{00000000-0005-0000-0000-00003A200000}"/>
    <cellStyle name="Normal 2 2 10 2 9 2 5" xfId="8251" xr:uid="{00000000-0005-0000-0000-00003B200000}"/>
    <cellStyle name="Normal 2 2 10 2 9 2 6" xfId="8252" xr:uid="{00000000-0005-0000-0000-00003C200000}"/>
    <cellStyle name="Normal 2 2 10 2 9 2 7" xfId="8253" xr:uid="{00000000-0005-0000-0000-00003D200000}"/>
    <cellStyle name="Normal 2 2 10 2 9 2 8" xfId="8254" xr:uid="{00000000-0005-0000-0000-00003E200000}"/>
    <cellStyle name="Normal 2 2 10 2 9 2 9" xfId="8255" xr:uid="{00000000-0005-0000-0000-00003F200000}"/>
    <cellStyle name="Normal 2 2 10 2 9 3" xfId="8256" xr:uid="{00000000-0005-0000-0000-000040200000}"/>
    <cellStyle name="Normal 2 2 10 2 9 3 10" xfId="8257" xr:uid="{00000000-0005-0000-0000-000041200000}"/>
    <cellStyle name="Normal 2 2 10 2 9 3 2" xfId="8258" xr:uid="{00000000-0005-0000-0000-000042200000}"/>
    <cellStyle name="Normal 2 2 10 2 9 3 3" xfId="8259" xr:uid="{00000000-0005-0000-0000-000043200000}"/>
    <cellStyle name="Normal 2 2 10 2 9 3 4" xfId="8260" xr:uid="{00000000-0005-0000-0000-000044200000}"/>
    <cellStyle name="Normal 2 2 10 2 9 3 5" xfId="8261" xr:uid="{00000000-0005-0000-0000-000045200000}"/>
    <cellStyle name="Normal 2 2 10 2 9 3 6" xfId="8262" xr:uid="{00000000-0005-0000-0000-000046200000}"/>
    <cellStyle name="Normal 2 2 10 2 9 3 7" xfId="8263" xr:uid="{00000000-0005-0000-0000-000047200000}"/>
    <cellStyle name="Normal 2 2 10 2 9 3 8" xfId="8264" xr:uid="{00000000-0005-0000-0000-000048200000}"/>
    <cellStyle name="Normal 2 2 10 2 9 3 9" xfId="8265" xr:uid="{00000000-0005-0000-0000-000049200000}"/>
    <cellStyle name="Normal 2 2 10 2 9 4" xfId="8266" xr:uid="{00000000-0005-0000-0000-00004A200000}"/>
    <cellStyle name="Normal 2 2 10 2 9 4 10" xfId="8267" xr:uid="{00000000-0005-0000-0000-00004B200000}"/>
    <cellStyle name="Normal 2 2 10 2 9 4 2" xfId="8268" xr:uid="{00000000-0005-0000-0000-00004C200000}"/>
    <cellStyle name="Normal 2 2 10 2 9 4 3" xfId="8269" xr:uid="{00000000-0005-0000-0000-00004D200000}"/>
    <cellStyle name="Normal 2 2 10 2 9 4 4" xfId="8270" xr:uid="{00000000-0005-0000-0000-00004E200000}"/>
    <cellStyle name="Normal 2 2 10 2 9 4 5" xfId="8271" xr:uid="{00000000-0005-0000-0000-00004F200000}"/>
    <cellStyle name="Normal 2 2 10 2 9 4 6" xfId="8272" xr:uid="{00000000-0005-0000-0000-000050200000}"/>
    <cellStyle name="Normal 2 2 10 2 9 4 7" xfId="8273" xr:uid="{00000000-0005-0000-0000-000051200000}"/>
    <cellStyle name="Normal 2 2 10 2 9 4 8" xfId="8274" xr:uid="{00000000-0005-0000-0000-000052200000}"/>
    <cellStyle name="Normal 2 2 10 2 9 4 9" xfId="8275" xr:uid="{00000000-0005-0000-0000-000053200000}"/>
    <cellStyle name="Normal 2 2 10 2 9 5" xfId="8276" xr:uid="{00000000-0005-0000-0000-000054200000}"/>
    <cellStyle name="Normal 2 2 10 2 9 5 10" xfId="8277" xr:uid="{00000000-0005-0000-0000-000055200000}"/>
    <cellStyle name="Normal 2 2 10 2 9 5 2" xfId="8278" xr:uid="{00000000-0005-0000-0000-000056200000}"/>
    <cellStyle name="Normal 2 2 10 2 9 5 3" xfId="8279" xr:uid="{00000000-0005-0000-0000-000057200000}"/>
    <cellStyle name="Normal 2 2 10 2 9 5 4" xfId="8280" xr:uid="{00000000-0005-0000-0000-000058200000}"/>
    <cellStyle name="Normal 2 2 10 2 9 5 5" xfId="8281" xr:uid="{00000000-0005-0000-0000-000059200000}"/>
    <cellStyle name="Normal 2 2 10 2 9 5 6" xfId="8282" xr:uid="{00000000-0005-0000-0000-00005A200000}"/>
    <cellStyle name="Normal 2 2 10 2 9 5 7" xfId="8283" xr:uid="{00000000-0005-0000-0000-00005B200000}"/>
    <cellStyle name="Normal 2 2 10 2 9 5 8" xfId="8284" xr:uid="{00000000-0005-0000-0000-00005C200000}"/>
    <cellStyle name="Normal 2 2 10 2 9 5 9" xfId="8285" xr:uid="{00000000-0005-0000-0000-00005D200000}"/>
    <cellStyle name="Normal 2 2 10 2 9 6" xfId="8286" xr:uid="{00000000-0005-0000-0000-00005E200000}"/>
    <cellStyle name="Normal 2 2 10 2 9 7" xfId="8287" xr:uid="{00000000-0005-0000-0000-00005F200000}"/>
    <cellStyle name="Normal 2 2 10 2 9 8" xfId="8288" xr:uid="{00000000-0005-0000-0000-000060200000}"/>
    <cellStyle name="Normal 2 2 10 2 9 9" xfId="8289" xr:uid="{00000000-0005-0000-0000-000061200000}"/>
    <cellStyle name="Normal 2 2 10 20" xfId="8290" xr:uid="{00000000-0005-0000-0000-000062200000}"/>
    <cellStyle name="Normal 2 2 10 20 10" xfId="8291" xr:uid="{00000000-0005-0000-0000-000063200000}"/>
    <cellStyle name="Normal 2 2 10 20 11" xfId="8292" xr:uid="{00000000-0005-0000-0000-000064200000}"/>
    <cellStyle name="Normal 2 2 10 20 12" xfId="8293" xr:uid="{00000000-0005-0000-0000-000065200000}"/>
    <cellStyle name="Normal 2 2 10 20 13" xfId="8294" xr:uid="{00000000-0005-0000-0000-000066200000}"/>
    <cellStyle name="Normal 2 2 10 20 14" xfId="8295" xr:uid="{00000000-0005-0000-0000-000067200000}"/>
    <cellStyle name="Normal 2 2 10 20 2" xfId="8296" xr:uid="{00000000-0005-0000-0000-000068200000}"/>
    <cellStyle name="Normal 2 2 10 20 2 10" xfId="8297" xr:uid="{00000000-0005-0000-0000-000069200000}"/>
    <cellStyle name="Normal 2 2 10 20 2 2" xfId="8298" xr:uid="{00000000-0005-0000-0000-00006A200000}"/>
    <cellStyle name="Normal 2 2 10 20 2 3" xfId="8299" xr:uid="{00000000-0005-0000-0000-00006B200000}"/>
    <cellStyle name="Normal 2 2 10 20 2 4" xfId="8300" xr:uid="{00000000-0005-0000-0000-00006C200000}"/>
    <cellStyle name="Normal 2 2 10 20 2 5" xfId="8301" xr:uid="{00000000-0005-0000-0000-00006D200000}"/>
    <cellStyle name="Normal 2 2 10 20 2 6" xfId="8302" xr:uid="{00000000-0005-0000-0000-00006E200000}"/>
    <cellStyle name="Normal 2 2 10 20 2 7" xfId="8303" xr:uid="{00000000-0005-0000-0000-00006F200000}"/>
    <cellStyle name="Normal 2 2 10 20 2 8" xfId="8304" xr:uid="{00000000-0005-0000-0000-000070200000}"/>
    <cellStyle name="Normal 2 2 10 20 2 9" xfId="8305" xr:uid="{00000000-0005-0000-0000-000071200000}"/>
    <cellStyle name="Normal 2 2 10 20 3" xfId="8306" xr:uid="{00000000-0005-0000-0000-000072200000}"/>
    <cellStyle name="Normal 2 2 10 20 3 10" xfId="8307" xr:uid="{00000000-0005-0000-0000-000073200000}"/>
    <cellStyle name="Normal 2 2 10 20 3 2" xfId="8308" xr:uid="{00000000-0005-0000-0000-000074200000}"/>
    <cellStyle name="Normal 2 2 10 20 3 3" xfId="8309" xr:uid="{00000000-0005-0000-0000-000075200000}"/>
    <cellStyle name="Normal 2 2 10 20 3 4" xfId="8310" xr:uid="{00000000-0005-0000-0000-000076200000}"/>
    <cellStyle name="Normal 2 2 10 20 3 5" xfId="8311" xr:uid="{00000000-0005-0000-0000-000077200000}"/>
    <cellStyle name="Normal 2 2 10 20 3 6" xfId="8312" xr:uid="{00000000-0005-0000-0000-000078200000}"/>
    <cellStyle name="Normal 2 2 10 20 3 7" xfId="8313" xr:uid="{00000000-0005-0000-0000-000079200000}"/>
    <cellStyle name="Normal 2 2 10 20 3 8" xfId="8314" xr:uid="{00000000-0005-0000-0000-00007A200000}"/>
    <cellStyle name="Normal 2 2 10 20 3 9" xfId="8315" xr:uid="{00000000-0005-0000-0000-00007B200000}"/>
    <cellStyle name="Normal 2 2 10 20 4" xfId="8316" xr:uid="{00000000-0005-0000-0000-00007C200000}"/>
    <cellStyle name="Normal 2 2 10 20 4 10" xfId="8317" xr:uid="{00000000-0005-0000-0000-00007D200000}"/>
    <cellStyle name="Normal 2 2 10 20 4 2" xfId="8318" xr:uid="{00000000-0005-0000-0000-00007E200000}"/>
    <cellStyle name="Normal 2 2 10 20 4 3" xfId="8319" xr:uid="{00000000-0005-0000-0000-00007F200000}"/>
    <cellStyle name="Normal 2 2 10 20 4 4" xfId="8320" xr:uid="{00000000-0005-0000-0000-000080200000}"/>
    <cellStyle name="Normal 2 2 10 20 4 5" xfId="8321" xr:uid="{00000000-0005-0000-0000-000081200000}"/>
    <cellStyle name="Normal 2 2 10 20 4 6" xfId="8322" xr:uid="{00000000-0005-0000-0000-000082200000}"/>
    <cellStyle name="Normal 2 2 10 20 4 7" xfId="8323" xr:uid="{00000000-0005-0000-0000-000083200000}"/>
    <cellStyle name="Normal 2 2 10 20 4 8" xfId="8324" xr:uid="{00000000-0005-0000-0000-000084200000}"/>
    <cellStyle name="Normal 2 2 10 20 4 9" xfId="8325" xr:uid="{00000000-0005-0000-0000-000085200000}"/>
    <cellStyle name="Normal 2 2 10 20 5" xfId="8326" xr:uid="{00000000-0005-0000-0000-000086200000}"/>
    <cellStyle name="Normal 2 2 10 20 5 10" xfId="8327" xr:uid="{00000000-0005-0000-0000-000087200000}"/>
    <cellStyle name="Normal 2 2 10 20 5 2" xfId="8328" xr:uid="{00000000-0005-0000-0000-000088200000}"/>
    <cellStyle name="Normal 2 2 10 20 5 3" xfId="8329" xr:uid="{00000000-0005-0000-0000-000089200000}"/>
    <cellStyle name="Normal 2 2 10 20 5 4" xfId="8330" xr:uid="{00000000-0005-0000-0000-00008A200000}"/>
    <cellStyle name="Normal 2 2 10 20 5 5" xfId="8331" xr:uid="{00000000-0005-0000-0000-00008B200000}"/>
    <cellStyle name="Normal 2 2 10 20 5 6" xfId="8332" xr:uid="{00000000-0005-0000-0000-00008C200000}"/>
    <cellStyle name="Normal 2 2 10 20 5 7" xfId="8333" xr:uid="{00000000-0005-0000-0000-00008D200000}"/>
    <cellStyle name="Normal 2 2 10 20 5 8" xfId="8334" xr:uid="{00000000-0005-0000-0000-00008E200000}"/>
    <cellStyle name="Normal 2 2 10 20 5 9" xfId="8335" xr:uid="{00000000-0005-0000-0000-00008F200000}"/>
    <cellStyle name="Normal 2 2 10 20 6" xfId="8336" xr:uid="{00000000-0005-0000-0000-000090200000}"/>
    <cellStyle name="Normal 2 2 10 20 7" xfId="8337" xr:uid="{00000000-0005-0000-0000-000091200000}"/>
    <cellStyle name="Normal 2 2 10 20 8" xfId="8338" xr:uid="{00000000-0005-0000-0000-000092200000}"/>
    <cellStyle name="Normal 2 2 10 20 9" xfId="8339" xr:uid="{00000000-0005-0000-0000-000093200000}"/>
    <cellStyle name="Normal 2 2 10 21" xfId="8340" xr:uid="{00000000-0005-0000-0000-000094200000}"/>
    <cellStyle name="Normal 2 2 10 21 10" xfId="8341" xr:uid="{00000000-0005-0000-0000-000095200000}"/>
    <cellStyle name="Normal 2 2 10 21 11" xfId="8342" xr:uid="{00000000-0005-0000-0000-000096200000}"/>
    <cellStyle name="Normal 2 2 10 21 12" xfId="8343" xr:uid="{00000000-0005-0000-0000-000097200000}"/>
    <cellStyle name="Normal 2 2 10 21 13" xfId="8344" xr:uid="{00000000-0005-0000-0000-000098200000}"/>
    <cellStyle name="Normal 2 2 10 21 14" xfId="8345" xr:uid="{00000000-0005-0000-0000-000099200000}"/>
    <cellStyle name="Normal 2 2 10 21 2" xfId="8346" xr:uid="{00000000-0005-0000-0000-00009A200000}"/>
    <cellStyle name="Normal 2 2 10 21 2 10" xfId="8347" xr:uid="{00000000-0005-0000-0000-00009B200000}"/>
    <cellStyle name="Normal 2 2 10 21 2 2" xfId="8348" xr:uid="{00000000-0005-0000-0000-00009C200000}"/>
    <cellStyle name="Normal 2 2 10 21 2 3" xfId="8349" xr:uid="{00000000-0005-0000-0000-00009D200000}"/>
    <cellStyle name="Normal 2 2 10 21 2 4" xfId="8350" xr:uid="{00000000-0005-0000-0000-00009E200000}"/>
    <cellStyle name="Normal 2 2 10 21 2 5" xfId="8351" xr:uid="{00000000-0005-0000-0000-00009F200000}"/>
    <cellStyle name="Normal 2 2 10 21 2 6" xfId="8352" xr:uid="{00000000-0005-0000-0000-0000A0200000}"/>
    <cellStyle name="Normal 2 2 10 21 2 7" xfId="8353" xr:uid="{00000000-0005-0000-0000-0000A1200000}"/>
    <cellStyle name="Normal 2 2 10 21 2 8" xfId="8354" xr:uid="{00000000-0005-0000-0000-0000A2200000}"/>
    <cellStyle name="Normal 2 2 10 21 2 9" xfId="8355" xr:uid="{00000000-0005-0000-0000-0000A3200000}"/>
    <cellStyle name="Normal 2 2 10 21 3" xfId="8356" xr:uid="{00000000-0005-0000-0000-0000A4200000}"/>
    <cellStyle name="Normal 2 2 10 21 3 10" xfId="8357" xr:uid="{00000000-0005-0000-0000-0000A5200000}"/>
    <cellStyle name="Normal 2 2 10 21 3 2" xfId="8358" xr:uid="{00000000-0005-0000-0000-0000A6200000}"/>
    <cellStyle name="Normal 2 2 10 21 3 3" xfId="8359" xr:uid="{00000000-0005-0000-0000-0000A7200000}"/>
    <cellStyle name="Normal 2 2 10 21 3 4" xfId="8360" xr:uid="{00000000-0005-0000-0000-0000A8200000}"/>
    <cellStyle name="Normal 2 2 10 21 3 5" xfId="8361" xr:uid="{00000000-0005-0000-0000-0000A9200000}"/>
    <cellStyle name="Normal 2 2 10 21 3 6" xfId="8362" xr:uid="{00000000-0005-0000-0000-0000AA200000}"/>
    <cellStyle name="Normal 2 2 10 21 3 7" xfId="8363" xr:uid="{00000000-0005-0000-0000-0000AB200000}"/>
    <cellStyle name="Normal 2 2 10 21 3 8" xfId="8364" xr:uid="{00000000-0005-0000-0000-0000AC200000}"/>
    <cellStyle name="Normal 2 2 10 21 3 9" xfId="8365" xr:uid="{00000000-0005-0000-0000-0000AD200000}"/>
    <cellStyle name="Normal 2 2 10 21 4" xfId="8366" xr:uid="{00000000-0005-0000-0000-0000AE200000}"/>
    <cellStyle name="Normal 2 2 10 21 4 10" xfId="8367" xr:uid="{00000000-0005-0000-0000-0000AF200000}"/>
    <cellStyle name="Normal 2 2 10 21 4 2" xfId="8368" xr:uid="{00000000-0005-0000-0000-0000B0200000}"/>
    <cellStyle name="Normal 2 2 10 21 4 3" xfId="8369" xr:uid="{00000000-0005-0000-0000-0000B1200000}"/>
    <cellStyle name="Normal 2 2 10 21 4 4" xfId="8370" xr:uid="{00000000-0005-0000-0000-0000B2200000}"/>
    <cellStyle name="Normal 2 2 10 21 4 5" xfId="8371" xr:uid="{00000000-0005-0000-0000-0000B3200000}"/>
    <cellStyle name="Normal 2 2 10 21 4 6" xfId="8372" xr:uid="{00000000-0005-0000-0000-0000B4200000}"/>
    <cellStyle name="Normal 2 2 10 21 4 7" xfId="8373" xr:uid="{00000000-0005-0000-0000-0000B5200000}"/>
    <cellStyle name="Normal 2 2 10 21 4 8" xfId="8374" xr:uid="{00000000-0005-0000-0000-0000B6200000}"/>
    <cellStyle name="Normal 2 2 10 21 4 9" xfId="8375" xr:uid="{00000000-0005-0000-0000-0000B7200000}"/>
    <cellStyle name="Normal 2 2 10 21 5" xfId="8376" xr:uid="{00000000-0005-0000-0000-0000B8200000}"/>
    <cellStyle name="Normal 2 2 10 21 5 10" xfId="8377" xr:uid="{00000000-0005-0000-0000-0000B9200000}"/>
    <cellStyle name="Normal 2 2 10 21 5 2" xfId="8378" xr:uid="{00000000-0005-0000-0000-0000BA200000}"/>
    <cellStyle name="Normal 2 2 10 21 5 3" xfId="8379" xr:uid="{00000000-0005-0000-0000-0000BB200000}"/>
    <cellStyle name="Normal 2 2 10 21 5 4" xfId="8380" xr:uid="{00000000-0005-0000-0000-0000BC200000}"/>
    <cellStyle name="Normal 2 2 10 21 5 5" xfId="8381" xr:uid="{00000000-0005-0000-0000-0000BD200000}"/>
    <cellStyle name="Normal 2 2 10 21 5 6" xfId="8382" xr:uid="{00000000-0005-0000-0000-0000BE200000}"/>
    <cellStyle name="Normal 2 2 10 21 5 7" xfId="8383" xr:uid="{00000000-0005-0000-0000-0000BF200000}"/>
    <cellStyle name="Normal 2 2 10 21 5 8" xfId="8384" xr:uid="{00000000-0005-0000-0000-0000C0200000}"/>
    <cellStyle name="Normal 2 2 10 21 5 9" xfId="8385" xr:uid="{00000000-0005-0000-0000-0000C1200000}"/>
    <cellStyle name="Normal 2 2 10 21 6" xfId="8386" xr:uid="{00000000-0005-0000-0000-0000C2200000}"/>
    <cellStyle name="Normal 2 2 10 21 7" xfId="8387" xr:uid="{00000000-0005-0000-0000-0000C3200000}"/>
    <cellStyle name="Normal 2 2 10 21 8" xfId="8388" xr:uid="{00000000-0005-0000-0000-0000C4200000}"/>
    <cellStyle name="Normal 2 2 10 21 9" xfId="8389" xr:uid="{00000000-0005-0000-0000-0000C5200000}"/>
    <cellStyle name="Normal 2 2 10 22" xfId="8390" xr:uid="{00000000-0005-0000-0000-0000C6200000}"/>
    <cellStyle name="Normal 2 2 10 22 10" xfId="8391" xr:uid="{00000000-0005-0000-0000-0000C7200000}"/>
    <cellStyle name="Normal 2 2 10 22 11" xfId="8392" xr:uid="{00000000-0005-0000-0000-0000C8200000}"/>
    <cellStyle name="Normal 2 2 10 22 12" xfId="8393" xr:uid="{00000000-0005-0000-0000-0000C9200000}"/>
    <cellStyle name="Normal 2 2 10 22 13" xfId="8394" xr:uid="{00000000-0005-0000-0000-0000CA200000}"/>
    <cellStyle name="Normal 2 2 10 22 14" xfId="8395" xr:uid="{00000000-0005-0000-0000-0000CB200000}"/>
    <cellStyle name="Normal 2 2 10 22 2" xfId="8396" xr:uid="{00000000-0005-0000-0000-0000CC200000}"/>
    <cellStyle name="Normal 2 2 10 22 2 10" xfId="8397" xr:uid="{00000000-0005-0000-0000-0000CD200000}"/>
    <cellStyle name="Normal 2 2 10 22 2 2" xfId="8398" xr:uid="{00000000-0005-0000-0000-0000CE200000}"/>
    <cellStyle name="Normal 2 2 10 22 2 3" xfId="8399" xr:uid="{00000000-0005-0000-0000-0000CF200000}"/>
    <cellStyle name="Normal 2 2 10 22 2 4" xfId="8400" xr:uid="{00000000-0005-0000-0000-0000D0200000}"/>
    <cellStyle name="Normal 2 2 10 22 2 5" xfId="8401" xr:uid="{00000000-0005-0000-0000-0000D1200000}"/>
    <cellStyle name="Normal 2 2 10 22 2 6" xfId="8402" xr:uid="{00000000-0005-0000-0000-0000D2200000}"/>
    <cellStyle name="Normal 2 2 10 22 2 7" xfId="8403" xr:uid="{00000000-0005-0000-0000-0000D3200000}"/>
    <cellStyle name="Normal 2 2 10 22 2 8" xfId="8404" xr:uid="{00000000-0005-0000-0000-0000D4200000}"/>
    <cellStyle name="Normal 2 2 10 22 2 9" xfId="8405" xr:uid="{00000000-0005-0000-0000-0000D5200000}"/>
    <cellStyle name="Normal 2 2 10 22 3" xfId="8406" xr:uid="{00000000-0005-0000-0000-0000D6200000}"/>
    <cellStyle name="Normal 2 2 10 22 3 10" xfId="8407" xr:uid="{00000000-0005-0000-0000-0000D7200000}"/>
    <cellStyle name="Normal 2 2 10 22 3 2" xfId="8408" xr:uid="{00000000-0005-0000-0000-0000D8200000}"/>
    <cellStyle name="Normal 2 2 10 22 3 3" xfId="8409" xr:uid="{00000000-0005-0000-0000-0000D9200000}"/>
    <cellStyle name="Normal 2 2 10 22 3 4" xfId="8410" xr:uid="{00000000-0005-0000-0000-0000DA200000}"/>
    <cellStyle name="Normal 2 2 10 22 3 5" xfId="8411" xr:uid="{00000000-0005-0000-0000-0000DB200000}"/>
    <cellStyle name="Normal 2 2 10 22 3 6" xfId="8412" xr:uid="{00000000-0005-0000-0000-0000DC200000}"/>
    <cellStyle name="Normal 2 2 10 22 3 7" xfId="8413" xr:uid="{00000000-0005-0000-0000-0000DD200000}"/>
    <cellStyle name="Normal 2 2 10 22 3 8" xfId="8414" xr:uid="{00000000-0005-0000-0000-0000DE200000}"/>
    <cellStyle name="Normal 2 2 10 22 3 9" xfId="8415" xr:uid="{00000000-0005-0000-0000-0000DF200000}"/>
    <cellStyle name="Normal 2 2 10 22 4" xfId="8416" xr:uid="{00000000-0005-0000-0000-0000E0200000}"/>
    <cellStyle name="Normal 2 2 10 22 4 10" xfId="8417" xr:uid="{00000000-0005-0000-0000-0000E1200000}"/>
    <cellStyle name="Normal 2 2 10 22 4 2" xfId="8418" xr:uid="{00000000-0005-0000-0000-0000E2200000}"/>
    <cellStyle name="Normal 2 2 10 22 4 3" xfId="8419" xr:uid="{00000000-0005-0000-0000-0000E3200000}"/>
    <cellStyle name="Normal 2 2 10 22 4 4" xfId="8420" xr:uid="{00000000-0005-0000-0000-0000E4200000}"/>
    <cellStyle name="Normal 2 2 10 22 4 5" xfId="8421" xr:uid="{00000000-0005-0000-0000-0000E5200000}"/>
    <cellStyle name="Normal 2 2 10 22 4 6" xfId="8422" xr:uid="{00000000-0005-0000-0000-0000E6200000}"/>
    <cellStyle name="Normal 2 2 10 22 4 7" xfId="8423" xr:uid="{00000000-0005-0000-0000-0000E7200000}"/>
    <cellStyle name="Normal 2 2 10 22 4 8" xfId="8424" xr:uid="{00000000-0005-0000-0000-0000E8200000}"/>
    <cellStyle name="Normal 2 2 10 22 4 9" xfId="8425" xr:uid="{00000000-0005-0000-0000-0000E9200000}"/>
    <cellStyle name="Normal 2 2 10 22 5" xfId="8426" xr:uid="{00000000-0005-0000-0000-0000EA200000}"/>
    <cellStyle name="Normal 2 2 10 22 5 10" xfId="8427" xr:uid="{00000000-0005-0000-0000-0000EB200000}"/>
    <cellStyle name="Normal 2 2 10 22 5 2" xfId="8428" xr:uid="{00000000-0005-0000-0000-0000EC200000}"/>
    <cellStyle name="Normal 2 2 10 22 5 3" xfId="8429" xr:uid="{00000000-0005-0000-0000-0000ED200000}"/>
    <cellStyle name="Normal 2 2 10 22 5 4" xfId="8430" xr:uid="{00000000-0005-0000-0000-0000EE200000}"/>
    <cellStyle name="Normal 2 2 10 22 5 5" xfId="8431" xr:uid="{00000000-0005-0000-0000-0000EF200000}"/>
    <cellStyle name="Normal 2 2 10 22 5 6" xfId="8432" xr:uid="{00000000-0005-0000-0000-0000F0200000}"/>
    <cellStyle name="Normal 2 2 10 22 5 7" xfId="8433" xr:uid="{00000000-0005-0000-0000-0000F1200000}"/>
    <cellStyle name="Normal 2 2 10 22 5 8" xfId="8434" xr:uid="{00000000-0005-0000-0000-0000F2200000}"/>
    <cellStyle name="Normal 2 2 10 22 5 9" xfId="8435" xr:uid="{00000000-0005-0000-0000-0000F3200000}"/>
    <cellStyle name="Normal 2 2 10 22 6" xfId="8436" xr:uid="{00000000-0005-0000-0000-0000F4200000}"/>
    <cellStyle name="Normal 2 2 10 22 7" xfId="8437" xr:uid="{00000000-0005-0000-0000-0000F5200000}"/>
    <cellStyle name="Normal 2 2 10 22 8" xfId="8438" xr:uid="{00000000-0005-0000-0000-0000F6200000}"/>
    <cellStyle name="Normal 2 2 10 22 9" xfId="8439" xr:uid="{00000000-0005-0000-0000-0000F7200000}"/>
    <cellStyle name="Normal 2 2 10 23" xfId="8440" xr:uid="{00000000-0005-0000-0000-0000F8200000}"/>
    <cellStyle name="Normal 2 2 10 23 10" xfId="8441" xr:uid="{00000000-0005-0000-0000-0000F9200000}"/>
    <cellStyle name="Normal 2 2 10 23 11" xfId="8442" xr:uid="{00000000-0005-0000-0000-0000FA200000}"/>
    <cellStyle name="Normal 2 2 10 23 12" xfId="8443" xr:uid="{00000000-0005-0000-0000-0000FB200000}"/>
    <cellStyle name="Normal 2 2 10 23 13" xfId="8444" xr:uid="{00000000-0005-0000-0000-0000FC200000}"/>
    <cellStyle name="Normal 2 2 10 23 14" xfId="8445" xr:uid="{00000000-0005-0000-0000-0000FD200000}"/>
    <cellStyle name="Normal 2 2 10 23 2" xfId="8446" xr:uid="{00000000-0005-0000-0000-0000FE200000}"/>
    <cellStyle name="Normal 2 2 10 23 2 10" xfId="8447" xr:uid="{00000000-0005-0000-0000-0000FF200000}"/>
    <cellStyle name="Normal 2 2 10 23 2 2" xfId="8448" xr:uid="{00000000-0005-0000-0000-000000210000}"/>
    <cellStyle name="Normal 2 2 10 23 2 3" xfId="8449" xr:uid="{00000000-0005-0000-0000-000001210000}"/>
    <cellStyle name="Normal 2 2 10 23 2 4" xfId="8450" xr:uid="{00000000-0005-0000-0000-000002210000}"/>
    <cellStyle name="Normal 2 2 10 23 2 5" xfId="8451" xr:uid="{00000000-0005-0000-0000-000003210000}"/>
    <cellStyle name="Normal 2 2 10 23 2 6" xfId="8452" xr:uid="{00000000-0005-0000-0000-000004210000}"/>
    <cellStyle name="Normal 2 2 10 23 2 7" xfId="8453" xr:uid="{00000000-0005-0000-0000-000005210000}"/>
    <cellStyle name="Normal 2 2 10 23 2 8" xfId="8454" xr:uid="{00000000-0005-0000-0000-000006210000}"/>
    <cellStyle name="Normal 2 2 10 23 2 9" xfId="8455" xr:uid="{00000000-0005-0000-0000-000007210000}"/>
    <cellStyle name="Normal 2 2 10 23 3" xfId="8456" xr:uid="{00000000-0005-0000-0000-000008210000}"/>
    <cellStyle name="Normal 2 2 10 23 3 10" xfId="8457" xr:uid="{00000000-0005-0000-0000-000009210000}"/>
    <cellStyle name="Normal 2 2 10 23 3 2" xfId="8458" xr:uid="{00000000-0005-0000-0000-00000A210000}"/>
    <cellStyle name="Normal 2 2 10 23 3 3" xfId="8459" xr:uid="{00000000-0005-0000-0000-00000B210000}"/>
    <cellStyle name="Normal 2 2 10 23 3 4" xfId="8460" xr:uid="{00000000-0005-0000-0000-00000C210000}"/>
    <cellStyle name="Normal 2 2 10 23 3 5" xfId="8461" xr:uid="{00000000-0005-0000-0000-00000D210000}"/>
    <cellStyle name="Normal 2 2 10 23 3 6" xfId="8462" xr:uid="{00000000-0005-0000-0000-00000E210000}"/>
    <cellStyle name="Normal 2 2 10 23 3 7" xfId="8463" xr:uid="{00000000-0005-0000-0000-00000F210000}"/>
    <cellStyle name="Normal 2 2 10 23 3 8" xfId="8464" xr:uid="{00000000-0005-0000-0000-000010210000}"/>
    <cellStyle name="Normal 2 2 10 23 3 9" xfId="8465" xr:uid="{00000000-0005-0000-0000-000011210000}"/>
    <cellStyle name="Normal 2 2 10 23 4" xfId="8466" xr:uid="{00000000-0005-0000-0000-000012210000}"/>
    <cellStyle name="Normal 2 2 10 23 4 10" xfId="8467" xr:uid="{00000000-0005-0000-0000-000013210000}"/>
    <cellStyle name="Normal 2 2 10 23 4 2" xfId="8468" xr:uid="{00000000-0005-0000-0000-000014210000}"/>
    <cellStyle name="Normal 2 2 10 23 4 3" xfId="8469" xr:uid="{00000000-0005-0000-0000-000015210000}"/>
    <cellStyle name="Normal 2 2 10 23 4 4" xfId="8470" xr:uid="{00000000-0005-0000-0000-000016210000}"/>
    <cellStyle name="Normal 2 2 10 23 4 5" xfId="8471" xr:uid="{00000000-0005-0000-0000-000017210000}"/>
    <cellStyle name="Normal 2 2 10 23 4 6" xfId="8472" xr:uid="{00000000-0005-0000-0000-000018210000}"/>
    <cellStyle name="Normal 2 2 10 23 4 7" xfId="8473" xr:uid="{00000000-0005-0000-0000-000019210000}"/>
    <cellStyle name="Normal 2 2 10 23 4 8" xfId="8474" xr:uid="{00000000-0005-0000-0000-00001A210000}"/>
    <cellStyle name="Normal 2 2 10 23 4 9" xfId="8475" xr:uid="{00000000-0005-0000-0000-00001B210000}"/>
    <cellStyle name="Normal 2 2 10 23 5" xfId="8476" xr:uid="{00000000-0005-0000-0000-00001C210000}"/>
    <cellStyle name="Normal 2 2 10 23 5 10" xfId="8477" xr:uid="{00000000-0005-0000-0000-00001D210000}"/>
    <cellStyle name="Normal 2 2 10 23 5 2" xfId="8478" xr:uid="{00000000-0005-0000-0000-00001E210000}"/>
    <cellStyle name="Normal 2 2 10 23 5 3" xfId="8479" xr:uid="{00000000-0005-0000-0000-00001F210000}"/>
    <cellStyle name="Normal 2 2 10 23 5 4" xfId="8480" xr:uid="{00000000-0005-0000-0000-000020210000}"/>
    <cellStyle name="Normal 2 2 10 23 5 5" xfId="8481" xr:uid="{00000000-0005-0000-0000-000021210000}"/>
    <cellStyle name="Normal 2 2 10 23 5 6" xfId="8482" xr:uid="{00000000-0005-0000-0000-000022210000}"/>
    <cellStyle name="Normal 2 2 10 23 5 7" xfId="8483" xr:uid="{00000000-0005-0000-0000-000023210000}"/>
    <cellStyle name="Normal 2 2 10 23 5 8" xfId="8484" xr:uid="{00000000-0005-0000-0000-000024210000}"/>
    <cellStyle name="Normal 2 2 10 23 5 9" xfId="8485" xr:uid="{00000000-0005-0000-0000-000025210000}"/>
    <cellStyle name="Normal 2 2 10 23 6" xfId="8486" xr:uid="{00000000-0005-0000-0000-000026210000}"/>
    <cellStyle name="Normal 2 2 10 23 7" xfId="8487" xr:uid="{00000000-0005-0000-0000-000027210000}"/>
    <cellStyle name="Normal 2 2 10 23 8" xfId="8488" xr:uid="{00000000-0005-0000-0000-000028210000}"/>
    <cellStyle name="Normal 2 2 10 23 9" xfId="8489" xr:uid="{00000000-0005-0000-0000-000029210000}"/>
    <cellStyle name="Normal 2 2 10 24" xfId="8490" xr:uid="{00000000-0005-0000-0000-00002A210000}"/>
    <cellStyle name="Normal 2 2 10 24 10" xfId="8491" xr:uid="{00000000-0005-0000-0000-00002B210000}"/>
    <cellStyle name="Normal 2 2 10 24 11" xfId="8492" xr:uid="{00000000-0005-0000-0000-00002C210000}"/>
    <cellStyle name="Normal 2 2 10 24 12" xfId="8493" xr:uid="{00000000-0005-0000-0000-00002D210000}"/>
    <cellStyle name="Normal 2 2 10 24 13" xfId="8494" xr:uid="{00000000-0005-0000-0000-00002E210000}"/>
    <cellStyle name="Normal 2 2 10 24 14" xfId="8495" xr:uid="{00000000-0005-0000-0000-00002F210000}"/>
    <cellStyle name="Normal 2 2 10 24 2" xfId="8496" xr:uid="{00000000-0005-0000-0000-000030210000}"/>
    <cellStyle name="Normal 2 2 10 24 2 10" xfId="8497" xr:uid="{00000000-0005-0000-0000-000031210000}"/>
    <cellStyle name="Normal 2 2 10 24 2 2" xfId="8498" xr:uid="{00000000-0005-0000-0000-000032210000}"/>
    <cellStyle name="Normal 2 2 10 24 2 3" xfId="8499" xr:uid="{00000000-0005-0000-0000-000033210000}"/>
    <cellStyle name="Normal 2 2 10 24 2 4" xfId="8500" xr:uid="{00000000-0005-0000-0000-000034210000}"/>
    <cellStyle name="Normal 2 2 10 24 2 5" xfId="8501" xr:uid="{00000000-0005-0000-0000-000035210000}"/>
    <cellStyle name="Normal 2 2 10 24 2 6" xfId="8502" xr:uid="{00000000-0005-0000-0000-000036210000}"/>
    <cellStyle name="Normal 2 2 10 24 2 7" xfId="8503" xr:uid="{00000000-0005-0000-0000-000037210000}"/>
    <cellStyle name="Normal 2 2 10 24 2 8" xfId="8504" xr:uid="{00000000-0005-0000-0000-000038210000}"/>
    <cellStyle name="Normal 2 2 10 24 2 9" xfId="8505" xr:uid="{00000000-0005-0000-0000-000039210000}"/>
    <cellStyle name="Normal 2 2 10 24 3" xfId="8506" xr:uid="{00000000-0005-0000-0000-00003A210000}"/>
    <cellStyle name="Normal 2 2 10 24 3 10" xfId="8507" xr:uid="{00000000-0005-0000-0000-00003B210000}"/>
    <cellStyle name="Normal 2 2 10 24 3 2" xfId="8508" xr:uid="{00000000-0005-0000-0000-00003C210000}"/>
    <cellStyle name="Normal 2 2 10 24 3 3" xfId="8509" xr:uid="{00000000-0005-0000-0000-00003D210000}"/>
    <cellStyle name="Normal 2 2 10 24 3 4" xfId="8510" xr:uid="{00000000-0005-0000-0000-00003E210000}"/>
    <cellStyle name="Normal 2 2 10 24 3 5" xfId="8511" xr:uid="{00000000-0005-0000-0000-00003F210000}"/>
    <cellStyle name="Normal 2 2 10 24 3 6" xfId="8512" xr:uid="{00000000-0005-0000-0000-000040210000}"/>
    <cellStyle name="Normal 2 2 10 24 3 7" xfId="8513" xr:uid="{00000000-0005-0000-0000-000041210000}"/>
    <cellStyle name="Normal 2 2 10 24 3 8" xfId="8514" xr:uid="{00000000-0005-0000-0000-000042210000}"/>
    <cellStyle name="Normal 2 2 10 24 3 9" xfId="8515" xr:uid="{00000000-0005-0000-0000-000043210000}"/>
    <cellStyle name="Normal 2 2 10 24 4" xfId="8516" xr:uid="{00000000-0005-0000-0000-000044210000}"/>
    <cellStyle name="Normal 2 2 10 24 4 10" xfId="8517" xr:uid="{00000000-0005-0000-0000-000045210000}"/>
    <cellStyle name="Normal 2 2 10 24 4 2" xfId="8518" xr:uid="{00000000-0005-0000-0000-000046210000}"/>
    <cellStyle name="Normal 2 2 10 24 4 3" xfId="8519" xr:uid="{00000000-0005-0000-0000-000047210000}"/>
    <cellStyle name="Normal 2 2 10 24 4 4" xfId="8520" xr:uid="{00000000-0005-0000-0000-000048210000}"/>
    <cellStyle name="Normal 2 2 10 24 4 5" xfId="8521" xr:uid="{00000000-0005-0000-0000-000049210000}"/>
    <cellStyle name="Normal 2 2 10 24 4 6" xfId="8522" xr:uid="{00000000-0005-0000-0000-00004A210000}"/>
    <cellStyle name="Normal 2 2 10 24 4 7" xfId="8523" xr:uid="{00000000-0005-0000-0000-00004B210000}"/>
    <cellStyle name="Normal 2 2 10 24 4 8" xfId="8524" xr:uid="{00000000-0005-0000-0000-00004C210000}"/>
    <cellStyle name="Normal 2 2 10 24 4 9" xfId="8525" xr:uid="{00000000-0005-0000-0000-00004D210000}"/>
    <cellStyle name="Normal 2 2 10 24 5" xfId="8526" xr:uid="{00000000-0005-0000-0000-00004E210000}"/>
    <cellStyle name="Normal 2 2 10 24 5 10" xfId="8527" xr:uid="{00000000-0005-0000-0000-00004F210000}"/>
    <cellStyle name="Normal 2 2 10 24 5 2" xfId="8528" xr:uid="{00000000-0005-0000-0000-000050210000}"/>
    <cellStyle name="Normal 2 2 10 24 5 3" xfId="8529" xr:uid="{00000000-0005-0000-0000-000051210000}"/>
    <cellStyle name="Normal 2 2 10 24 5 4" xfId="8530" xr:uid="{00000000-0005-0000-0000-000052210000}"/>
    <cellStyle name="Normal 2 2 10 24 5 5" xfId="8531" xr:uid="{00000000-0005-0000-0000-000053210000}"/>
    <cellStyle name="Normal 2 2 10 24 5 6" xfId="8532" xr:uid="{00000000-0005-0000-0000-000054210000}"/>
    <cellStyle name="Normal 2 2 10 24 5 7" xfId="8533" xr:uid="{00000000-0005-0000-0000-000055210000}"/>
    <cellStyle name="Normal 2 2 10 24 5 8" xfId="8534" xr:uid="{00000000-0005-0000-0000-000056210000}"/>
    <cellStyle name="Normal 2 2 10 24 5 9" xfId="8535" xr:uid="{00000000-0005-0000-0000-000057210000}"/>
    <cellStyle name="Normal 2 2 10 24 6" xfId="8536" xr:uid="{00000000-0005-0000-0000-000058210000}"/>
    <cellStyle name="Normal 2 2 10 24 7" xfId="8537" xr:uid="{00000000-0005-0000-0000-000059210000}"/>
    <cellStyle name="Normal 2 2 10 24 8" xfId="8538" xr:uid="{00000000-0005-0000-0000-00005A210000}"/>
    <cellStyle name="Normal 2 2 10 24 9" xfId="8539" xr:uid="{00000000-0005-0000-0000-00005B210000}"/>
    <cellStyle name="Normal 2 2 10 25" xfId="8540" xr:uid="{00000000-0005-0000-0000-00005C210000}"/>
    <cellStyle name="Normal 2 2 10 25 10" xfId="8541" xr:uid="{00000000-0005-0000-0000-00005D210000}"/>
    <cellStyle name="Normal 2 2 10 25 11" xfId="8542" xr:uid="{00000000-0005-0000-0000-00005E210000}"/>
    <cellStyle name="Normal 2 2 10 25 12" xfId="8543" xr:uid="{00000000-0005-0000-0000-00005F210000}"/>
    <cellStyle name="Normal 2 2 10 25 13" xfId="8544" xr:uid="{00000000-0005-0000-0000-000060210000}"/>
    <cellStyle name="Normal 2 2 10 25 14" xfId="8545" xr:uid="{00000000-0005-0000-0000-000061210000}"/>
    <cellStyle name="Normal 2 2 10 25 2" xfId="8546" xr:uid="{00000000-0005-0000-0000-000062210000}"/>
    <cellStyle name="Normal 2 2 10 25 2 10" xfId="8547" xr:uid="{00000000-0005-0000-0000-000063210000}"/>
    <cellStyle name="Normal 2 2 10 25 2 2" xfId="8548" xr:uid="{00000000-0005-0000-0000-000064210000}"/>
    <cellStyle name="Normal 2 2 10 25 2 3" xfId="8549" xr:uid="{00000000-0005-0000-0000-000065210000}"/>
    <cellStyle name="Normal 2 2 10 25 2 4" xfId="8550" xr:uid="{00000000-0005-0000-0000-000066210000}"/>
    <cellStyle name="Normal 2 2 10 25 2 5" xfId="8551" xr:uid="{00000000-0005-0000-0000-000067210000}"/>
    <cellStyle name="Normal 2 2 10 25 2 6" xfId="8552" xr:uid="{00000000-0005-0000-0000-000068210000}"/>
    <cellStyle name="Normal 2 2 10 25 2 7" xfId="8553" xr:uid="{00000000-0005-0000-0000-000069210000}"/>
    <cellStyle name="Normal 2 2 10 25 2 8" xfId="8554" xr:uid="{00000000-0005-0000-0000-00006A210000}"/>
    <cellStyle name="Normal 2 2 10 25 2 9" xfId="8555" xr:uid="{00000000-0005-0000-0000-00006B210000}"/>
    <cellStyle name="Normal 2 2 10 25 3" xfId="8556" xr:uid="{00000000-0005-0000-0000-00006C210000}"/>
    <cellStyle name="Normal 2 2 10 25 3 10" xfId="8557" xr:uid="{00000000-0005-0000-0000-00006D210000}"/>
    <cellStyle name="Normal 2 2 10 25 3 2" xfId="8558" xr:uid="{00000000-0005-0000-0000-00006E210000}"/>
    <cellStyle name="Normal 2 2 10 25 3 3" xfId="8559" xr:uid="{00000000-0005-0000-0000-00006F210000}"/>
    <cellStyle name="Normal 2 2 10 25 3 4" xfId="8560" xr:uid="{00000000-0005-0000-0000-000070210000}"/>
    <cellStyle name="Normal 2 2 10 25 3 5" xfId="8561" xr:uid="{00000000-0005-0000-0000-000071210000}"/>
    <cellStyle name="Normal 2 2 10 25 3 6" xfId="8562" xr:uid="{00000000-0005-0000-0000-000072210000}"/>
    <cellStyle name="Normal 2 2 10 25 3 7" xfId="8563" xr:uid="{00000000-0005-0000-0000-000073210000}"/>
    <cellStyle name="Normal 2 2 10 25 3 8" xfId="8564" xr:uid="{00000000-0005-0000-0000-000074210000}"/>
    <cellStyle name="Normal 2 2 10 25 3 9" xfId="8565" xr:uid="{00000000-0005-0000-0000-000075210000}"/>
    <cellStyle name="Normal 2 2 10 25 4" xfId="8566" xr:uid="{00000000-0005-0000-0000-000076210000}"/>
    <cellStyle name="Normal 2 2 10 25 4 10" xfId="8567" xr:uid="{00000000-0005-0000-0000-000077210000}"/>
    <cellStyle name="Normal 2 2 10 25 4 2" xfId="8568" xr:uid="{00000000-0005-0000-0000-000078210000}"/>
    <cellStyle name="Normal 2 2 10 25 4 3" xfId="8569" xr:uid="{00000000-0005-0000-0000-000079210000}"/>
    <cellStyle name="Normal 2 2 10 25 4 4" xfId="8570" xr:uid="{00000000-0005-0000-0000-00007A210000}"/>
    <cellStyle name="Normal 2 2 10 25 4 5" xfId="8571" xr:uid="{00000000-0005-0000-0000-00007B210000}"/>
    <cellStyle name="Normal 2 2 10 25 4 6" xfId="8572" xr:uid="{00000000-0005-0000-0000-00007C210000}"/>
    <cellStyle name="Normal 2 2 10 25 4 7" xfId="8573" xr:uid="{00000000-0005-0000-0000-00007D210000}"/>
    <cellStyle name="Normal 2 2 10 25 4 8" xfId="8574" xr:uid="{00000000-0005-0000-0000-00007E210000}"/>
    <cellStyle name="Normal 2 2 10 25 4 9" xfId="8575" xr:uid="{00000000-0005-0000-0000-00007F210000}"/>
    <cellStyle name="Normal 2 2 10 25 5" xfId="8576" xr:uid="{00000000-0005-0000-0000-000080210000}"/>
    <cellStyle name="Normal 2 2 10 25 5 10" xfId="8577" xr:uid="{00000000-0005-0000-0000-000081210000}"/>
    <cellStyle name="Normal 2 2 10 25 5 2" xfId="8578" xr:uid="{00000000-0005-0000-0000-000082210000}"/>
    <cellStyle name="Normal 2 2 10 25 5 3" xfId="8579" xr:uid="{00000000-0005-0000-0000-000083210000}"/>
    <cellStyle name="Normal 2 2 10 25 5 4" xfId="8580" xr:uid="{00000000-0005-0000-0000-000084210000}"/>
    <cellStyle name="Normal 2 2 10 25 5 5" xfId="8581" xr:uid="{00000000-0005-0000-0000-000085210000}"/>
    <cellStyle name="Normal 2 2 10 25 5 6" xfId="8582" xr:uid="{00000000-0005-0000-0000-000086210000}"/>
    <cellStyle name="Normal 2 2 10 25 5 7" xfId="8583" xr:uid="{00000000-0005-0000-0000-000087210000}"/>
    <cellStyle name="Normal 2 2 10 25 5 8" xfId="8584" xr:uid="{00000000-0005-0000-0000-000088210000}"/>
    <cellStyle name="Normal 2 2 10 25 5 9" xfId="8585" xr:uid="{00000000-0005-0000-0000-000089210000}"/>
    <cellStyle name="Normal 2 2 10 25 6" xfId="8586" xr:uid="{00000000-0005-0000-0000-00008A210000}"/>
    <cellStyle name="Normal 2 2 10 25 7" xfId="8587" xr:uid="{00000000-0005-0000-0000-00008B210000}"/>
    <cellStyle name="Normal 2 2 10 25 8" xfId="8588" xr:uid="{00000000-0005-0000-0000-00008C210000}"/>
    <cellStyle name="Normal 2 2 10 25 9" xfId="8589" xr:uid="{00000000-0005-0000-0000-00008D210000}"/>
    <cellStyle name="Normal 2 2 10 26" xfId="8590" xr:uid="{00000000-0005-0000-0000-00008E210000}"/>
    <cellStyle name="Normal 2 2 10 26 10" xfId="8591" xr:uid="{00000000-0005-0000-0000-00008F210000}"/>
    <cellStyle name="Normal 2 2 10 26 11" xfId="8592" xr:uid="{00000000-0005-0000-0000-000090210000}"/>
    <cellStyle name="Normal 2 2 10 26 12" xfId="8593" xr:uid="{00000000-0005-0000-0000-000091210000}"/>
    <cellStyle name="Normal 2 2 10 26 13" xfId="8594" xr:uid="{00000000-0005-0000-0000-000092210000}"/>
    <cellStyle name="Normal 2 2 10 26 14" xfId="8595" xr:uid="{00000000-0005-0000-0000-000093210000}"/>
    <cellStyle name="Normal 2 2 10 26 2" xfId="8596" xr:uid="{00000000-0005-0000-0000-000094210000}"/>
    <cellStyle name="Normal 2 2 10 26 2 10" xfId="8597" xr:uid="{00000000-0005-0000-0000-000095210000}"/>
    <cellStyle name="Normal 2 2 10 26 2 2" xfId="8598" xr:uid="{00000000-0005-0000-0000-000096210000}"/>
    <cellStyle name="Normal 2 2 10 26 2 3" xfId="8599" xr:uid="{00000000-0005-0000-0000-000097210000}"/>
    <cellStyle name="Normal 2 2 10 26 2 4" xfId="8600" xr:uid="{00000000-0005-0000-0000-000098210000}"/>
    <cellStyle name="Normal 2 2 10 26 2 5" xfId="8601" xr:uid="{00000000-0005-0000-0000-000099210000}"/>
    <cellStyle name="Normal 2 2 10 26 2 6" xfId="8602" xr:uid="{00000000-0005-0000-0000-00009A210000}"/>
    <cellStyle name="Normal 2 2 10 26 2 7" xfId="8603" xr:uid="{00000000-0005-0000-0000-00009B210000}"/>
    <cellStyle name="Normal 2 2 10 26 2 8" xfId="8604" xr:uid="{00000000-0005-0000-0000-00009C210000}"/>
    <cellStyle name="Normal 2 2 10 26 2 9" xfId="8605" xr:uid="{00000000-0005-0000-0000-00009D210000}"/>
    <cellStyle name="Normal 2 2 10 26 3" xfId="8606" xr:uid="{00000000-0005-0000-0000-00009E210000}"/>
    <cellStyle name="Normal 2 2 10 26 3 10" xfId="8607" xr:uid="{00000000-0005-0000-0000-00009F210000}"/>
    <cellStyle name="Normal 2 2 10 26 3 2" xfId="8608" xr:uid="{00000000-0005-0000-0000-0000A0210000}"/>
    <cellStyle name="Normal 2 2 10 26 3 3" xfId="8609" xr:uid="{00000000-0005-0000-0000-0000A1210000}"/>
    <cellStyle name="Normal 2 2 10 26 3 4" xfId="8610" xr:uid="{00000000-0005-0000-0000-0000A2210000}"/>
    <cellStyle name="Normal 2 2 10 26 3 5" xfId="8611" xr:uid="{00000000-0005-0000-0000-0000A3210000}"/>
    <cellStyle name="Normal 2 2 10 26 3 6" xfId="8612" xr:uid="{00000000-0005-0000-0000-0000A4210000}"/>
    <cellStyle name="Normal 2 2 10 26 3 7" xfId="8613" xr:uid="{00000000-0005-0000-0000-0000A5210000}"/>
    <cellStyle name="Normal 2 2 10 26 3 8" xfId="8614" xr:uid="{00000000-0005-0000-0000-0000A6210000}"/>
    <cellStyle name="Normal 2 2 10 26 3 9" xfId="8615" xr:uid="{00000000-0005-0000-0000-0000A7210000}"/>
    <cellStyle name="Normal 2 2 10 26 4" xfId="8616" xr:uid="{00000000-0005-0000-0000-0000A8210000}"/>
    <cellStyle name="Normal 2 2 10 26 4 10" xfId="8617" xr:uid="{00000000-0005-0000-0000-0000A9210000}"/>
    <cellStyle name="Normal 2 2 10 26 4 2" xfId="8618" xr:uid="{00000000-0005-0000-0000-0000AA210000}"/>
    <cellStyle name="Normal 2 2 10 26 4 3" xfId="8619" xr:uid="{00000000-0005-0000-0000-0000AB210000}"/>
    <cellStyle name="Normal 2 2 10 26 4 4" xfId="8620" xr:uid="{00000000-0005-0000-0000-0000AC210000}"/>
    <cellStyle name="Normal 2 2 10 26 4 5" xfId="8621" xr:uid="{00000000-0005-0000-0000-0000AD210000}"/>
    <cellStyle name="Normal 2 2 10 26 4 6" xfId="8622" xr:uid="{00000000-0005-0000-0000-0000AE210000}"/>
    <cellStyle name="Normal 2 2 10 26 4 7" xfId="8623" xr:uid="{00000000-0005-0000-0000-0000AF210000}"/>
    <cellStyle name="Normal 2 2 10 26 4 8" xfId="8624" xr:uid="{00000000-0005-0000-0000-0000B0210000}"/>
    <cellStyle name="Normal 2 2 10 26 4 9" xfId="8625" xr:uid="{00000000-0005-0000-0000-0000B1210000}"/>
    <cellStyle name="Normal 2 2 10 26 5" xfId="8626" xr:uid="{00000000-0005-0000-0000-0000B2210000}"/>
    <cellStyle name="Normal 2 2 10 26 5 10" xfId="8627" xr:uid="{00000000-0005-0000-0000-0000B3210000}"/>
    <cellStyle name="Normal 2 2 10 26 5 2" xfId="8628" xr:uid="{00000000-0005-0000-0000-0000B4210000}"/>
    <cellStyle name="Normal 2 2 10 26 5 3" xfId="8629" xr:uid="{00000000-0005-0000-0000-0000B5210000}"/>
    <cellStyle name="Normal 2 2 10 26 5 4" xfId="8630" xr:uid="{00000000-0005-0000-0000-0000B6210000}"/>
    <cellStyle name="Normal 2 2 10 26 5 5" xfId="8631" xr:uid="{00000000-0005-0000-0000-0000B7210000}"/>
    <cellStyle name="Normal 2 2 10 26 5 6" xfId="8632" xr:uid="{00000000-0005-0000-0000-0000B8210000}"/>
    <cellStyle name="Normal 2 2 10 26 5 7" xfId="8633" xr:uid="{00000000-0005-0000-0000-0000B9210000}"/>
    <cellStyle name="Normal 2 2 10 26 5 8" xfId="8634" xr:uid="{00000000-0005-0000-0000-0000BA210000}"/>
    <cellStyle name="Normal 2 2 10 26 5 9" xfId="8635" xr:uid="{00000000-0005-0000-0000-0000BB210000}"/>
    <cellStyle name="Normal 2 2 10 26 6" xfId="8636" xr:uid="{00000000-0005-0000-0000-0000BC210000}"/>
    <cellStyle name="Normal 2 2 10 26 7" xfId="8637" xr:uid="{00000000-0005-0000-0000-0000BD210000}"/>
    <cellStyle name="Normal 2 2 10 26 8" xfId="8638" xr:uid="{00000000-0005-0000-0000-0000BE210000}"/>
    <cellStyle name="Normal 2 2 10 26 9" xfId="8639" xr:uid="{00000000-0005-0000-0000-0000BF210000}"/>
    <cellStyle name="Normal 2 2 10 27" xfId="8640" xr:uid="{00000000-0005-0000-0000-0000C0210000}"/>
    <cellStyle name="Normal 2 2 10 27 10" xfId="8641" xr:uid="{00000000-0005-0000-0000-0000C1210000}"/>
    <cellStyle name="Normal 2 2 10 27 11" xfId="8642" xr:uid="{00000000-0005-0000-0000-0000C2210000}"/>
    <cellStyle name="Normal 2 2 10 27 12" xfId="8643" xr:uid="{00000000-0005-0000-0000-0000C3210000}"/>
    <cellStyle name="Normal 2 2 10 27 13" xfId="8644" xr:uid="{00000000-0005-0000-0000-0000C4210000}"/>
    <cellStyle name="Normal 2 2 10 27 14" xfId="8645" xr:uid="{00000000-0005-0000-0000-0000C5210000}"/>
    <cellStyle name="Normal 2 2 10 27 2" xfId="8646" xr:uid="{00000000-0005-0000-0000-0000C6210000}"/>
    <cellStyle name="Normal 2 2 10 27 2 10" xfId="8647" xr:uid="{00000000-0005-0000-0000-0000C7210000}"/>
    <cellStyle name="Normal 2 2 10 27 2 2" xfId="8648" xr:uid="{00000000-0005-0000-0000-0000C8210000}"/>
    <cellStyle name="Normal 2 2 10 27 2 3" xfId="8649" xr:uid="{00000000-0005-0000-0000-0000C9210000}"/>
    <cellStyle name="Normal 2 2 10 27 2 4" xfId="8650" xr:uid="{00000000-0005-0000-0000-0000CA210000}"/>
    <cellStyle name="Normal 2 2 10 27 2 5" xfId="8651" xr:uid="{00000000-0005-0000-0000-0000CB210000}"/>
    <cellStyle name="Normal 2 2 10 27 2 6" xfId="8652" xr:uid="{00000000-0005-0000-0000-0000CC210000}"/>
    <cellStyle name="Normal 2 2 10 27 2 7" xfId="8653" xr:uid="{00000000-0005-0000-0000-0000CD210000}"/>
    <cellStyle name="Normal 2 2 10 27 2 8" xfId="8654" xr:uid="{00000000-0005-0000-0000-0000CE210000}"/>
    <cellStyle name="Normal 2 2 10 27 2 9" xfId="8655" xr:uid="{00000000-0005-0000-0000-0000CF210000}"/>
    <cellStyle name="Normal 2 2 10 27 3" xfId="8656" xr:uid="{00000000-0005-0000-0000-0000D0210000}"/>
    <cellStyle name="Normal 2 2 10 27 3 10" xfId="8657" xr:uid="{00000000-0005-0000-0000-0000D1210000}"/>
    <cellStyle name="Normal 2 2 10 27 3 2" xfId="8658" xr:uid="{00000000-0005-0000-0000-0000D2210000}"/>
    <cellStyle name="Normal 2 2 10 27 3 3" xfId="8659" xr:uid="{00000000-0005-0000-0000-0000D3210000}"/>
    <cellStyle name="Normal 2 2 10 27 3 4" xfId="8660" xr:uid="{00000000-0005-0000-0000-0000D4210000}"/>
    <cellStyle name="Normal 2 2 10 27 3 5" xfId="8661" xr:uid="{00000000-0005-0000-0000-0000D5210000}"/>
    <cellStyle name="Normal 2 2 10 27 3 6" xfId="8662" xr:uid="{00000000-0005-0000-0000-0000D6210000}"/>
    <cellStyle name="Normal 2 2 10 27 3 7" xfId="8663" xr:uid="{00000000-0005-0000-0000-0000D7210000}"/>
    <cellStyle name="Normal 2 2 10 27 3 8" xfId="8664" xr:uid="{00000000-0005-0000-0000-0000D8210000}"/>
    <cellStyle name="Normal 2 2 10 27 3 9" xfId="8665" xr:uid="{00000000-0005-0000-0000-0000D9210000}"/>
    <cellStyle name="Normal 2 2 10 27 4" xfId="8666" xr:uid="{00000000-0005-0000-0000-0000DA210000}"/>
    <cellStyle name="Normal 2 2 10 27 4 10" xfId="8667" xr:uid="{00000000-0005-0000-0000-0000DB210000}"/>
    <cellStyle name="Normal 2 2 10 27 4 2" xfId="8668" xr:uid="{00000000-0005-0000-0000-0000DC210000}"/>
    <cellStyle name="Normal 2 2 10 27 4 3" xfId="8669" xr:uid="{00000000-0005-0000-0000-0000DD210000}"/>
    <cellStyle name="Normal 2 2 10 27 4 4" xfId="8670" xr:uid="{00000000-0005-0000-0000-0000DE210000}"/>
    <cellStyle name="Normal 2 2 10 27 4 5" xfId="8671" xr:uid="{00000000-0005-0000-0000-0000DF210000}"/>
    <cellStyle name="Normal 2 2 10 27 4 6" xfId="8672" xr:uid="{00000000-0005-0000-0000-0000E0210000}"/>
    <cellStyle name="Normal 2 2 10 27 4 7" xfId="8673" xr:uid="{00000000-0005-0000-0000-0000E1210000}"/>
    <cellStyle name="Normal 2 2 10 27 4 8" xfId="8674" xr:uid="{00000000-0005-0000-0000-0000E2210000}"/>
    <cellStyle name="Normal 2 2 10 27 4 9" xfId="8675" xr:uid="{00000000-0005-0000-0000-0000E3210000}"/>
    <cellStyle name="Normal 2 2 10 27 5" xfId="8676" xr:uid="{00000000-0005-0000-0000-0000E4210000}"/>
    <cellStyle name="Normal 2 2 10 27 5 10" xfId="8677" xr:uid="{00000000-0005-0000-0000-0000E5210000}"/>
    <cellStyle name="Normal 2 2 10 27 5 2" xfId="8678" xr:uid="{00000000-0005-0000-0000-0000E6210000}"/>
    <cellStyle name="Normal 2 2 10 27 5 3" xfId="8679" xr:uid="{00000000-0005-0000-0000-0000E7210000}"/>
    <cellStyle name="Normal 2 2 10 27 5 4" xfId="8680" xr:uid="{00000000-0005-0000-0000-0000E8210000}"/>
    <cellStyle name="Normal 2 2 10 27 5 5" xfId="8681" xr:uid="{00000000-0005-0000-0000-0000E9210000}"/>
    <cellStyle name="Normal 2 2 10 27 5 6" xfId="8682" xr:uid="{00000000-0005-0000-0000-0000EA210000}"/>
    <cellStyle name="Normal 2 2 10 27 5 7" xfId="8683" xr:uid="{00000000-0005-0000-0000-0000EB210000}"/>
    <cellStyle name="Normal 2 2 10 27 5 8" xfId="8684" xr:uid="{00000000-0005-0000-0000-0000EC210000}"/>
    <cellStyle name="Normal 2 2 10 27 5 9" xfId="8685" xr:uid="{00000000-0005-0000-0000-0000ED210000}"/>
    <cellStyle name="Normal 2 2 10 27 6" xfId="8686" xr:uid="{00000000-0005-0000-0000-0000EE210000}"/>
    <cellStyle name="Normal 2 2 10 27 7" xfId="8687" xr:uid="{00000000-0005-0000-0000-0000EF210000}"/>
    <cellStyle name="Normal 2 2 10 27 8" xfId="8688" xr:uid="{00000000-0005-0000-0000-0000F0210000}"/>
    <cellStyle name="Normal 2 2 10 27 9" xfId="8689" xr:uid="{00000000-0005-0000-0000-0000F1210000}"/>
    <cellStyle name="Normal 2 2 10 28" xfId="8690" xr:uid="{00000000-0005-0000-0000-0000F2210000}"/>
    <cellStyle name="Normal 2 2 10 28 10" xfId="8691" xr:uid="{00000000-0005-0000-0000-0000F3210000}"/>
    <cellStyle name="Normal 2 2 10 28 11" xfId="8692" xr:uid="{00000000-0005-0000-0000-0000F4210000}"/>
    <cellStyle name="Normal 2 2 10 28 12" xfId="8693" xr:uid="{00000000-0005-0000-0000-0000F5210000}"/>
    <cellStyle name="Normal 2 2 10 28 13" xfId="8694" xr:uid="{00000000-0005-0000-0000-0000F6210000}"/>
    <cellStyle name="Normal 2 2 10 28 14" xfId="8695" xr:uid="{00000000-0005-0000-0000-0000F7210000}"/>
    <cellStyle name="Normal 2 2 10 28 2" xfId="8696" xr:uid="{00000000-0005-0000-0000-0000F8210000}"/>
    <cellStyle name="Normal 2 2 10 28 2 10" xfId="8697" xr:uid="{00000000-0005-0000-0000-0000F9210000}"/>
    <cellStyle name="Normal 2 2 10 28 2 2" xfId="8698" xr:uid="{00000000-0005-0000-0000-0000FA210000}"/>
    <cellStyle name="Normal 2 2 10 28 2 3" xfId="8699" xr:uid="{00000000-0005-0000-0000-0000FB210000}"/>
    <cellStyle name="Normal 2 2 10 28 2 4" xfId="8700" xr:uid="{00000000-0005-0000-0000-0000FC210000}"/>
    <cellStyle name="Normal 2 2 10 28 2 5" xfId="8701" xr:uid="{00000000-0005-0000-0000-0000FD210000}"/>
    <cellStyle name="Normal 2 2 10 28 2 6" xfId="8702" xr:uid="{00000000-0005-0000-0000-0000FE210000}"/>
    <cellStyle name="Normal 2 2 10 28 2 7" xfId="8703" xr:uid="{00000000-0005-0000-0000-0000FF210000}"/>
    <cellStyle name="Normal 2 2 10 28 2 8" xfId="8704" xr:uid="{00000000-0005-0000-0000-000000220000}"/>
    <cellStyle name="Normal 2 2 10 28 2 9" xfId="8705" xr:uid="{00000000-0005-0000-0000-000001220000}"/>
    <cellStyle name="Normal 2 2 10 28 3" xfId="8706" xr:uid="{00000000-0005-0000-0000-000002220000}"/>
    <cellStyle name="Normal 2 2 10 28 3 10" xfId="8707" xr:uid="{00000000-0005-0000-0000-000003220000}"/>
    <cellStyle name="Normal 2 2 10 28 3 2" xfId="8708" xr:uid="{00000000-0005-0000-0000-000004220000}"/>
    <cellStyle name="Normal 2 2 10 28 3 3" xfId="8709" xr:uid="{00000000-0005-0000-0000-000005220000}"/>
    <cellStyle name="Normal 2 2 10 28 3 4" xfId="8710" xr:uid="{00000000-0005-0000-0000-000006220000}"/>
    <cellStyle name="Normal 2 2 10 28 3 5" xfId="8711" xr:uid="{00000000-0005-0000-0000-000007220000}"/>
    <cellStyle name="Normal 2 2 10 28 3 6" xfId="8712" xr:uid="{00000000-0005-0000-0000-000008220000}"/>
    <cellStyle name="Normal 2 2 10 28 3 7" xfId="8713" xr:uid="{00000000-0005-0000-0000-000009220000}"/>
    <cellStyle name="Normal 2 2 10 28 3 8" xfId="8714" xr:uid="{00000000-0005-0000-0000-00000A220000}"/>
    <cellStyle name="Normal 2 2 10 28 3 9" xfId="8715" xr:uid="{00000000-0005-0000-0000-00000B220000}"/>
    <cellStyle name="Normal 2 2 10 28 4" xfId="8716" xr:uid="{00000000-0005-0000-0000-00000C220000}"/>
    <cellStyle name="Normal 2 2 10 28 4 10" xfId="8717" xr:uid="{00000000-0005-0000-0000-00000D220000}"/>
    <cellStyle name="Normal 2 2 10 28 4 2" xfId="8718" xr:uid="{00000000-0005-0000-0000-00000E220000}"/>
    <cellStyle name="Normal 2 2 10 28 4 3" xfId="8719" xr:uid="{00000000-0005-0000-0000-00000F220000}"/>
    <cellStyle name="Normal 2 2 10 28 4 4" xfId="8720" xr:uid="{00000000-0005-0000-0000-000010220000}"/>
    <cellStyle name="Normal 2 2 10 28 4 5" xfId="8721" xr:uid="{00000000-0005-0000-0000-000011220000}"/>
    <cellStyle name="Normal 2 2 10 28 4 6" xfId="8722" xr:uid="{00000000-0005-0000-0000-000012220000}"/>
    <cellStyle name="Normal 2 2 10 28 4 7" xfId="8723" xr:uid="{00000000-0005-0000-0000-000013220000}"/>
    <cellStyle name="Normal 2 2 10 28 4 8" xfId="8724" xr:uid="{00000000-0005-0000-0000-000014220000}"/>
    <cellStyle name="Normal 2 2 10 28 4 9" xfId="8725" xr:uid="{00000000-0005-0000-0000-000015220000}"/>
    <cellStyle name="Normal 2 2 10 28 5" xfId="8726" xr:uid="{00000000-0005-0000-0000-000016220000}"/>
    <cellStyle name="Normal 2 2 10 28 5 10" xfId="8727" xr:uid="{00000000-0005-0000-0000-000017220000}"/>
    <cellStyle name="Normal 2 2 10 28 5 2" xfId="8728" xr:uid="{00000000-0005-0000-0000-000018220000}"/>
    <cellStyle name="Normal 2 2 10 28 5 3" xfId="8729" xr:uid="{00000000-0005-0000-0000-000019220000}"/>
    <cellStyle name="Normal 2 2 10 28 5 4" xfId="8730" xr:uid="{00000000-0005-0000-0000-00001A220000}"/>
    <cellStyle name="Normal 2 2 10 28 5 5" xfId="8731" xr:uid="{00000000-0005-0000-0000-00001B220000}"/>
    <cellStyle name="Normal 2 2 10 28 5 6" xfId="8732" xr:uid="{00000000-0005-0000-0000-00001C220000}"/>
    <cellStyle name="Normal 2 2 10 28 5 7" xfId="8733" xr:uid="{00000000-0005-0000-0000-00001D220000}"/>
    <cellStyle name="Normal 2 2 10 28 5 8" xfId="8734" xr:uid="{00000000-0005-0000-0000-00001E220000}"/>
    <cellStyle name="Normal 2 2 10 28 5 9" xfId="8735" xr:uid="{00000000-0005-0000-0000-00001F220000}"/>
    <cellStyle name="Normal 2 2 10 28 6" xfId="8736" xr:uid="{00000000-0005-0000-0000-000020220000}"/>
    <cellStyle name="Normal 2 2 10 28 7" xfId="8737" xr:uid="{00000000-0005-0000-0000-000021220000}"/>
    <cellStyle name="Normal 2 2 10 28 8" xfId="8738" xr:uid="{00000000-0005-0000-0000-000022220000}"/>
    <cellStyle name="Normal 2 2 10 28 9" xfId="8739" xr:uid="{00000000-0005-0000-0000-000023220000}"/>
    <cellStyle name="Normal 2 2 10 29" xfId="8740" xr:uid="{00000000-0005-0000-0000-000024220000}"/>
    <cellStyle name="Normal 2 2 10 29 10" xfId="8741" xr:uid="{00000000-0005-0000-0000-000025220000}"/>
    <cellStyle name="Normal 2 2 10 29 11" xfId="8742" xr:uid="{00000000-0005-0000-0000-000026220000}"/>
    <cellStyle name="Normal 2 2 10 29 12" xfId="8743" xr:uid="{00000000-0005-0000-0000-000027220000}"/>
    <cellStyle name="Normal 2 2 10 29 13" xfId="8744" xr:uid="{00000000-0005-0000-0000-000028220000}"/>
    <cellStyle name="Normal 2 2 10 29 14" xfId="8745" xr:uid="{00000000-0005-0000-0000-000029220000}"/>
    <cellStyle name="Normal 2 2 10 29 2" xfId="8746" xr:uid="{00000000-0005-0000-0000-00002A220000}"/>
    <cellStyle name="Normal 2 2 10 29 2 10" xfId="8747" xr:uid="{00000000-0005-0000-0000-00002B220000}"/>
    <cellStyle name="Normal 2 2 10 29 2 2" xfId="8748" xr:uid="{00000000-0005-0000-0000-00002C220000}"/>
    <cellStyle name="Normal 2 2 10 29 2 3" xfId="8749" xr:uid="{00000000-0005-0000-0000-00002D220000}"/>
    <cellStyle name="Normal 2 2 10 29 2 4" xfId="8750" xr:uid="{00000000-0005-0000-0000-00002E220000}"/>
    <cellStyle name="Normal 2 2 10 29 2 5" xfId="8751" xr:uid="{00000000-0005-0000-0000-00002F220000}"/>
    <cellStyle name="Normal 2 2 10 29 2 6" xfId="8752" xr:uid="{00000000-0005-0000-0000-000030220000}"/>
    <cellStyle name="Normal 2 2 10 29 2 7" xfId="8753" xr:uid="{00000000-0005-0000-0000-000031220000}"/>
    <cellStyle name="Normal 2 2 10 29 2 8" xfId="8754" xr:uid="{00000000-0005-0000-0000-000032220000}"/>
    <cellStyle name="Normal 2 2 10 29 2 9" xfId="8755" xr:uid="{00000000-0005-0000-0000-000033220000}"/>
    <cellStyle name="Normal 2 2 10 29 3" xfId="8756" xr:uid="{00000000-0005-0000-0000-000034220000}"/>
    <cellStyle name="Normal 2 2 10 29 3 10" xfId="8757" xr:uid="{00000000-0005-0000-0000-000035220000}"/>
    <cellStyle name="Normal 2 2 10 29 3 2" xfId="8758" xr:uid="{00000000-0005-0000-0000-000036220000}"/>
    <cellStyle name="Normal 2 2 10 29 3 3" xfId="8759" xr:uid="{00000000-0005-0000-0000-000037220000}"/>
    <cellStyle name="Normal 2 2 10 29 3 4" xfId="8760" xr:uid="{00000000-0005-0000-0000-000038220000}"/>
    <cellStyle name="Normal 2 2 10 29 3 5" xfId="8761" xr:uid="{00000000-0005-0000-0000-000039220000}"/>
    <cellStyle name="Normal 2 2 10 29 3 6" xfId="8762" xr:uid="{00000000-0005-0000-0000-00003A220000}"/>
    <cellStyle name="Normal 2 2 10 29 3 7" xfId="8763" xr:uid="{00000000-0005-0000-0000-00003B220000}"/>
    <cellStyle name="Normal 2 2 10 29 3 8" xfId="8764" xr:uid="{00000000-0005-0000-0000-00003C220000}"/>
    <cellStyle name="Normal 2 2 10 29 3 9" xfId="8765" xr:uid="{00000000-0005-0000-0000-00003D220000}"/>
    <cellStyle name="Normal 2 2 10 29 4" xfId="8766" xr:uid="{00000000-0005-0000-0000-00003E220000}"/>
    <cellStyle name="Normal 2 2 10 29 4 10" xfId="8767" xr:uid="{00000000-0005-0000-0000-00003F220000}"/>
    <cellStyle name="Normal 2 2 10 29 4 2" xfId="8768" xr:uid="{00000000-0005-0000-0000-000040220000}"/>
    <cellStyle name="Normal 2 2 10 29 4 3" xfId="8769" xr:uid="{00000000-0005-0000-0000-000041220000}"/>
    <cellStyle name="Normal 2 2 10 29 4 4" xfId="8770" xr:uid="{00000000-0005-0000-0000-000042220000}"/>
    <cellStyle name="Normal 2 2 10 29 4 5" xfId="8771" xr:uid="{00000000-0005-0000-0000-000043220000}"/>
    <cellStyle name="Normal 2 2 10 29 4 6" xfId="8772" xr:uid="{00000000-0005-0000-0000-000044220000}"/>
    <cellStyle name="Normal 2 2 10 29 4 7" xfId="8773" xr:uid="{00000000-0005-0000-0000-000045220000}"/>
    <cellStyle name="Normal 2 2 10 29 4 8" xfId="8774" xr:uid="{00000000-0005-0000-0000-000046220000}"/>
    <cellStyle name="Normal 2 2 10 29 4 9" xfId="8775" xr:uid="{00000000-0005-0000-0000-000047220000}"/>
    <cellStyle name="Normal 2 2 10 29 5" xfId="8776" xr:uid="{00000000-0005-0000-0000-000048220000}"/>
    <cellStyle name="Normal 2 2 10 29 5 10" xfId="8777" xr:uid="{00000000-0005-0000-0000-000049220000}"/>
    <cellStyle name="Normal 2 2 10 29 5 2" xfId="8778" xr:uid="{00000000-0005-0000-0000-00004A220000}"/>
    <cellStyle name="Normal 2 2 10 29 5 3" xfId="8779" xr:uid="{00000000-0005-0000-0000-00004B220000}"/>
    <cellStyle name="Normal 2 2 10 29 5 4" xfId="8780" xr:uid="{00000000-0005-0000-0000-00004C220000}"/>
    <cellStyle name="Normal 2 2 10 29 5 5" xfId="8781" xr:uid="{00000000-0005-0000-0000-00004D220000}"/>
    <cellStyle name="Normal 2 2 10 29 5 6" xfId="8782" xr:uid="{00000000-0005-0000-0000-00004E220000}"/>
    <cellStyle name="Normal 2 2 10 29 5 7" xfId="8783" xr:uid="{00000000-0005-0000-0000-00004F220000}"/>
    <cellStyle name="Normal 2 2 10 29 5 8" xfId="8784" xr:uid="{00000000-0005-0000-0000-000050220000}"/>
    <cellStyle name="Normal 2 2 10 29 5 9" xfId="8785" xr:uid="{00000000-0005-0000-0000-000051220000}"/>
    <cellStyle name="Normal 2 2 10 29 6" xfId="8786" xr:uid="{00000000-0005-0000-0000-000052220000}"/>
    <cellStyle name="Normal 2 2 10 29 7" xfId="8787" xr:uid="{00000000-0005-0000-0000-000053220000}"/>
    <cellStyle name="Normal 2 2 10 29 8" xfId="8788" xr:uid="{00000000-0005-0000-0000-000054220000}"/>
    <cellStyle name="Normal 2 2 10 29 9" xfId="8789" xr:uid="{00000000-0005-0000-0000-000055220000}"/>
    <cellStyle name="Normal 2 2 10 3" xfId="8790" xr:uid="{00000000-0005-0000-0000-000056220000}"/>
    <cellStyle name="Normal 2 2 10 3 10" xfId="8791" xr:uid="{00000000-0005-0000-0000-000057220000}"/>
    <cellStyle name="Normal 2 2 10 3 11" xfId="8792" xr:uid="{00000000-0005-0000-0000-000058220000}"/>
    <cellStyle name="Normal 2 2 10 3 12" xfId="8793" xr:uid="{00000000-0005-0000-0000-000059220000}"/>
    <cellStyle name="Normal 2 2 10 3 13" xfId="8794" xr:uid="{00000000-0005-0000-0000-00005A220000}"/>
    <cellStyle name="Normal 2 2 10 3 14" xfId="8795" xr:uid="{00000000-0005-0000-0000-00005B220000}"/>
    <cellStyle name="Normal 2 2 10 3 2" xfId="8796" xr:uid="{00000000-0005-0000-0000-00005C220000}"/>
    <cellStyle name="Normal 2 2 10 3 2 10" xfId="8797" xr:uid="{00000000-0005-0000-0000-00005D220000}"/>
    <cellStyle name="Normal 2 2 10 3 2 2" xfId="8798" xr:uid="{00000000-0005-0000-0000-00005E220000}"/>
    <cellStyle name="Normal 2 2 10 3 2 3" xfId="8799" xr:uid="{00000000-0005-0000-0000-00005F220000}"/>
    <cellStyle name="Normal 2 2 10 3 2 4" xfId="8800" xr:uid="{00000000-0005-0000-0000-000060220000}"/>
    <cellStyle name="Normal 2 2 10 3 2 5" xfId="8801" xr:uid="{00000000-0005-0000-0000-000061220000}"/>
    <cellStyle name="Normal 2 2 10 3 2 6" xfId="8802" xr:uid="{00000000-0005-0000-0000-000062220000}"/>
    <cellStyle name="Normal 2 2 10 3 2 7" xfId="8803" xr:uid="{00000000-0005-0000-0000-000063220000}"/>
    <cellStyle name="Normal 2 2 10 3 2 8" xfId="8804" xr:uid="{00000000-0005-0000-0000-000064220000}"/>
    <cellStyle name="Normal 2 2 10 3 2 9" xfId="8805" xr:uid="{00000000-0005-0000-0000-000065220000}"/>
    <cellStyle name="Normal 2 2 10 3 3" xfId="8806" xr:uid="{00000000-0005-0000-0000-000066220000}"/>
    <cellStyle name="Normal 2 2 10 3 3 10" xfId="8807" xr:uid="{00000000-0005-0000-0000-000067220000}"/>
    <cellStyle name="Normal 2 2 10 3 3 2" xfId="8808" xr:uid="{00000000-0005-0000-0000-000068220000}"/>
    <cellStyle name="Normal 2 2 10 3 3 3" xfId="8809" xr:uid="{00000000-0005-0000-0000-000069220000}"/>
    <cellStyle name="Normal 2 2 10 3 3 4" xfId="8810" xr:uid="{00000000-0005-0000-0000-00006A220000}"/>
    <cellStyle name="Normal 2 2 10 3 3 5" xfId="8811" xr:uid="{00000000-0005-0000-0000-00006B220000}"/>
    <cellStyle name="Normal 2 2 10 3 3 6" xfId="8812" xr:uid="{00000000-0005-0000-0000-00006C220000}"/>
    <cellStyle name="Normal 2 2 10 3 3 7" xfId="8813" xr:uid="{00000000-0005-0000-0000-00006D220000}"/>
    <cellStyle name="Normal 2 2 10 3 3 8" xfId="8814" xr:uid="{00000000-0005-0000-0000-00006E220000}"/>
    <cellStyle name="Normal 2 2 10 3 3 9" xfId="8815" xr:uid="{00000000-0005-0000-0000-00006F220000}"/>
    <cellStyle name="Normal 2 2 10 3 4" xfId="8816" xr:uid="{00000000-0005-0000-0000-000070220000}"/>
    <cellStyle name="Normal 2 2 10 3 4 10" xfId="8817" xr:uid="{00000000-0005-0000-0000-000071220000}"/>
    <cellStyle name="Normal 2 2 10 3 4 2" xfId="8818" xr:uid="{00000000-0005-0000-0000-000072220000}"/>
    <cellStyle name="Normal 2 2 10 3 4 3" xfId="8819" xr:uid="{00000000-0005-0000-0000-000073220000}"/>
    <cellStyle name="Normal 2 2 10 3 4 4" xfId="8820" xr:uid="{00000000-0005-0000-0000-000074220000}"/>
    <cellStyle name="Normal 2 2 10 3 4 5" xfId="8821" xr:uid="{00000000-0005-0000-0000-000075220000}"/>
    <cellStyle name="Normal 2 2 10 3 4 6" xfId="8822" xr:uid="{00000000-0005-0000-0000-000076220000}"/>
    <cellStyle name="Normal 2 2 10 3 4 7" xfId="8823" xr:uid="{00000000-0005-0000-0000-000077220000}"/>
    <cellStyle name="Normal 2 2 10 3 4 8" xfId="8824" xr:uid="{00000000-0005-0000-0000-000078220000}"/>
    <cellStyle name="Normal 2 2 10 3 4 9" xfId="8825" xr:uid="{00000000-0005-0000-0000-000079220000}"/>
    <cellStyle name="Normal 2 2 10 3 5" xfId="8826" xr:uid="{00000000-0005-0000-0000-00007A220000}"/>
    <cellStyle name="Normal 2 2 10 3 5 10" xfId="8827" xr:uid="{00000000-0005-0000-0000-00007B220000}"/>
    <cellStyle name="Normal 2 2 10 3 5 2" xfId="8828" xr:uid="{00000000-0005-0000-0000-00007C220000}"/>
    <cellStyle name="Normal 2 2 10 3 5 3" xfId="8829" xr:uid="{00000000-0005-0000-0000-00007D220000}"/>
    <cellStyle name="Normal 2 2 10 3 5 4" xfId="8830" xr:uid="{00000000-0005-0000-0000-00007E220000}"/>
    <cellStyle name="Normal 2 2 10 3 5 5" xfId="8831" xr:uid="{00000000-0005-0000-0000-00007F220000}"/>
    <cellStyle name="Normal 2 2 10 3 5 6" xfId="8832" xr:uid="{00000000-0005-0000-0000-000080220000}"/>
    <cellStyle name="Normal 2 2 10 3 5 7" xfId="8833" xr:uid="{00000000-0005-0000-0000-000081220000}"/>
    <cellStyle name="Normal 2 2 10 3 5 8" xfId="8834" xr:uid="{00000000-0005-0000-0000-000082220000}"/>
    <cellStyle name="Normal 2 2 10 3 5 9" xfId="8835" xr:uid="{00000000-0005-0000-0000-000083220000}"/>
    <cellStyle name="Normal 2 2 10 3 6" xfId="8836" xr:uid="{00000000-0005-0000-0000-000084220000}"/>
    <cellStyle name="Normal 2 2 10 3 7" xfId="8837" xr:uid="{00000000-0005-0000-0000-000085220000}"/>
    <cellStyle name="Normal 2 2 10 3 8" xfId="8838" xr:uid="{00000000-0005-0000-0000-000086220000}"/>
    <cellStyle name="Normal 2 2 10 3 9" xfId="8839" xr:uid="{00000000-0005-0000-0000-000087220000}"/>
    <cellStyle name="Normal 2 2 10 30" xfId="8840" xr:uid="{00000000-0005-0000-0000-000088220000}"/>
    <cellStyle name="Normal 2 2 10 30 10" xfId="8841" xr:uid="{00000000-0005-0000-0000-000089220000}"/>
    <cellStyle name="Normal 2 2 10 30 11" xfId="8842" xr:uid="{00000000-0005-0000-0000-00008A220000}"/>
    <cellStyle name="Normal 2 2 10 30 12" xfId="8843" xr:uid="{00000000-0005-0000-0000-00008B220000}"/>
    <cellStyle name="Normal 2 2 10 30 13" xfId="8844" xr:uid="{00000000-0005-0000-0000-00008C220000}"/>
    <cellStyle name="Normal 2 2 10 30 14" xfId="8845" xr:uid="{00000000-0005-0000-0000-00008D220000}"/>
    <cellStyle name="Normal 2 2 10 30 2" xfId="8846" xr:uid="{00000000-0005-0000-0000-00008E220000}"/>
    <cellStyle name="Normal 2 2 10 30 2 10" xfId="8847" xr:uid="{00000000-0005-0000-0000-00008F220000}"/>
    <cellStyle name="Normal 2 2 10 30 2 2" xfId="8848" xr:uid="{00000000-0005-0000-0000-000090220000}"/>
    <cellStyle name="Normal 2 2 10 30 2 3" xfId="8849" xr:uid="{00000000-0005-0000-0000-000091220000}"/>
    <cellStyle name="Normal 2 2 10 30 2 4" xfId="8850" xr:uid="{00000000-0005-0000-0000-000092220000}"/>
    <cellStyle name="Normal 2 2 10 30 2 5" xfId="8851" xr:uid="{00000000-0005-0000-0000-000093220000}"/>
    <cellStyle name="Normal 2 2 10 30 2 6" xfId="8852" xr:uid="{00000000-0005-0000-0000-000094220000}"/>
    <cellStyle name="Normal 2 2 10 30 2 7" xfId="8853" xr:uid="{00000000-0005-0000-0000-000095220000}"/>
    <cellStyle name="Normal 2 2 10 30 2 8" xfId="8854" xr:uid="{00000000-0005-0000-0000-000096220000}"/>
    <cellStyle name="Normal 2 2 10 30 2 9" xfId="8855" xr:uid="{00000000-0005-0000-0000-000097220000}"/>
    <cellStyle name="Normal 2 2 10 30 3" xfId="8856" xr:uid="{00000000-0005-0000-0000-000098220000}"/>
    <cellStyle name="Normal 2 2 10 30 3 10" xfId="8857" xr:uid="{00000000-0005-0000-0000-000099220000}"/>
    <cellStyle name="Normal 2 2 10 30 3 2" xfId="8858" xr:uid="{00000000-0005-0000-0000-00009A220000}"/>
    <cellStyle name="Normal 2 2 10 30 3 3" xfId="8859" xr:uid="{00000000-0005-0000-0000-00009B220000}"/>
    <cellStyle name="Normal 2 2 10 30 3 4" xfId="8860" xr:uid="{00000000-0005-0000-0000-00009C220000}"/>
    <cellStyle name="Normal 2 2 10 30 3 5" xfId="8861" xr:uid="{00000000-0005-0000-0000-00009D220000}"/>
    <cellStyle name="Normal 2 2 10 30 3 6" xfId="8862" xr:uid="{00000000-0005-0000-0000-00009E220000}"/>
    <cellStyle name="Normal 2 2 10 30 3 7" xfId="8863" xr:uid="{00000000-0005-0000-0000-00009F220000}"/>
    <cellStyle name="Normal 2 2 10 30 3 8" xfId="8864" xr:uid="{00000000-0005-0000-0000-0000A0220000}"/>
    <cellStyle name="Normal 2 2 10 30 3 9" xfId="8865" xr:uid="{00000000-0005-0000-0000-0000A1220000}"/>
    <cellStyle name="Normal 2 2 10 30 4" xfId="8866" xr:uid="{00000000-0005-0000-0000-0000A2220000}"/>
    <cellStyle name="Normal 2 2 10 30 4 10" xfId="8867" xr:uid="{00000000-0005-0000-0000-0000A3220000}"/>
    <cellStyle name="Normal 2 2 10 30 4 2" xfId="8868" xr:uid="{00000000-0005-0000-0000-0000A4220000}"/>
    <cellStyle name="Normal 2 2 10 30 4 3" xfId="8869" xr:uid="{00000000-0005-0000-0000-0000A5220000}"/>
    <cellStyle name="Normal 2 2 10 30 4 4" xfId="8870" xr:uid="{00000000-0005-0000-0000-0000A6220000}"/>
    <cellStyle name="Normal 2 2 10 30 4 5" xfId="8871" xr:uid="{00000000-0005-0000-0000-0000A7220000}"/>
    <cellStyle name="Normal 2 2 10 30 4 6" xfId="8872" xr:uid="{00000000-0005-0000-0000-0000A8220000}"/>
    <cellStyle name="Normal 2 2 10 30 4 7" xfId="8873" xr:uid="{00000000-0005-0000-0000-0000A9220000}"/>
    <cellStyle name="Normal 2 2 10 30 4 8" xfId="8874" xr:uid="{00000000-0005-0000-0000-0000AA220000}"/>
    <cellStyle name="Normal 2 2 10 30 4 9" xfId="8875" xr:uid="{00000000-0005-0000-0000-0000AB220000}"/>
    <cellStyle name="Normal 2 2 10 30 5" xfId="8876" xr:uid="{00000000-0005-0000-0000-0000AC220000}"/>
    <cellStyle name="Normal 2 2 10 30 5 10" xfId="8877" xr:uid="{00000000-0005-0000-0000-0000AD220000}"/>
    <cellStyle name="Normal 2 2 10 30 5 2" xfId="8878" xr:uid="{00000000-0005-0000-0000-0000AE220000}"/>
    <cellStyle name="Normal 2 2 10 30 5 3" xfId="8879" xr:uid="{00000000-0005-0000-0000-0000AF220000}"/>
    <cellStyle name="Normal 2 2 10 30 5 4" xfId="8880" xr:uid="{00000000-0005-0000-0000-0000B0220000}"/>
    <cellStyle name="Normal 2 2 10 30 5 5" xfId="8881" xr:uid="{00000000-0005-0000-0000-0000B1220000}"/>
    <cellStyle name="Normal 2 2 10 30 5 6" xfId="8882" xr:uid="{00000000-0005-0000-0000-0000B2220000}"/>
    <cellStyle name="Normal 2 2 10 30 5 7" xfId="8883" xr:uid="{00000000-0005-0000-0000-0000B3220000}"/>
    <cellStyle name="Normal 2 2 10 30 5 8" xfId="8884" xr:uid="{00000000-0005-0000-0000-0000B4220000}"/>
    <cellStyle name="Normal 2 2 10 30 5 9" xfId="8885" xr:uid="{00000000-0005-0000-0000-0000B5220000}"/>
    <cellStyle name="Normal 2 2 10 30 6" xfId="8886" xr:uid="{00000000-0005-0000-0000-0000B6220000}"/>
    <cellStyle name="Normal 2 2 10 30 7" xfId="8887" xr:uid="{00000000-0005-0000-0000-0000B7220000}"/>
    <cellStyle name="Normal 2 2 10 30 8" xfId="8888" xr:uid="{00000000-0005-0000-0000-0000B8220000}"/>
    <cellStyle name="Normal 2 2 10 30 9" xfId="8889" xr:uid="{00000000-0005-0000-0000-0000B9220000}"/>
    <cellStyle name="Normal 2 2 10 31" xfId="8890" xr:uid="{00000000-0005-0000-0000-0000BA220000}"/>
    <cellStyle name="Normal 2 2 10 31 10" xfId="8891" xr:uid="{00000000-0005-0000-0000-0000BB220000}"/>
    <cellStyle name="Normal 2 2 10 31 11" xfId="8892" xr:uid="{00000000-0005-0000-0000-0000BC220000}"/>
    <cellStyle name="Normal 2 2 10 31 12" xfId="8893" xr:uid="{00000000-0005-0000-0000-0000BD220000}"/>
    <cellStyle name="Normal 2 2 10 31 13" xfId="8894" xr:uid="{00000000-0005-0000-0000-0000BE220000}"/>
    <cellStyle name="Normal 2 2 10 31 14" xfId="8895" xr:uid="{00000000-0005-0000-0000-0000BF220000}"/>
    <cellStyle name="Normal 2 2 10 31 2" xfId="8896" xr:uid="{00000000-0005-0000-0000-0000C0220000}"/>
    <cellStyle name="Normal 2 2 10 31 2 10" xfId="8897" xr:uid="{00000000-0005-0000-0000-0000C1220000}"/>
    <cellStyle name="Normal 2 2 10 31 2 2" xfId="8898" xr:uid="{00000000-0005-0000-0000-0000C2220000}"/>
    <cellStyle name="Normal 2 2 10 31 2 3" xfId="8899" xr:uid="{00000000-0005-0000-0000-0000C3220000}"/>
    <cellStyle name="Normal 2 2 10 31 2 4" xfId="8900" xr:uid="{00000000-0005-0000-0000-0000C4220000}"/>
    <cellStyle name="Normal 2 2 10 31 2 5" xfId="8901" xr:uid="{00000000-0005-0000-0000-0000C5220000}"/>
    <cellStyle name="Normal 2 2 10 31 2 6" xfId="8902" xr:uid="{00000000-0005-0000-0000-0000C6220000}"/>
    <cellStyle name="Normal 2 2 10 31 2 7" xfId="8903" xr:uid="{00000000-0005-0000-0000-0000C7220000}"/>
    <cellStyle name="Normal 2 2 10 31 2 8" xfId="8904" xr:uid="{00000000-0005-0000-0000-0000C8220000}"/>
    <cellStyle name="Normal 2 2 10 31 2 9" xfId="8905" xr:uid="{00000000-0005-0000-0000-0000C9220000}"/>
    <cellStyle name="Normal 2 2 10 31 3" xfId="8906" xr:uid="{00000000-0005-0000-0000-0000CA220000}"/>
    <cellStyle name="Normal 2 2 10 31 3 10" xfId="8907" xr:uid="{00000000-0005-0000-0000-0000CB220000}"/>
    <cellStyle name="Normal 2 2 10 31 3 2" xfId="8908" xr:uid="{00000000-0005-0000-0000-0000CC220000}"/>
    <cellStyle name="Normal 2 2 10 31 3 3" xfId="8909" xr:uid="{00000000-0005-0000-0000-0000CD220000}"/>
    <cellStyle name="Normal 2 2 10 31 3 4" xfId="8910" xr:uid="{00000000-0005-0000-0000-0000CE220000}"/>
    <cellStyle name="Normal 2 2 10 31 3 5" xfId="8911" xr:uid="{00000000-0005-0000-0000-0000CF220000}"/>
    <cellStyle name="Normal 2 2 10 31 3 6" xfId="8912" xr:uid="{00000000-0005-0000-0000-0000D0220000}"/>
    <cellStyle name="Normal 2 2 10 31 3 7" xfId="8913" xr:uid="{00000000-0005-0000-0000-0000D1220000}"/>
    <cellStyle name="Normal 2 2 10 31 3 8" xfId="8914" xr:uid="{00000000-0005-0000-0000-0000D2220000}"/>
    <cellStyle name="Normal 2 2 10 31 3 9" xfId="8915" xr:uid="{00000000-0005-0000-0000-0000D3220000}"/>
    <cellStyle name="Normal 2 2 10 31 4" xfId="8916" xr:uid="{00000000-0005-0000-0000-0000D4220000}"/>
    <cellStyle name="Normal 2 2 10 31 4 10" xfId="8917" xr:uid="{00000000-0005-0000-0000-0000D5220000}"/>
    <cellStyle name="Normal 2 2 10 31 4 2" xfId="8918" xr:uid="{00000000-0005-0000-0000-0000D6220000}"/>
    <cellStyle name="Normal 2 2 10 31 4 3" xfId="8919" xr:uid="{00000000-0005-0000-0000-0000D7220000}"/>
    <cellStyle name="Normal 2 2 10 31 4 4" xfId="8920" xr:uid="{00000000-0005-0000-0000-0000D8220000}"/>
    <cellStyle name="Normal 2 2 10 31 4 5" xfId="8921" xr:uid="{00000000-0005-0000-0000-0000D9220000}"/>
    <cellStyle name="Normal 2 2 10 31 4 6" xfId="8922" xr:uid="{00000000-0005-0000-0000-0000DA220000}"/>
    <cellStyle name="Normal 2 2 10 31 4 7" xfId="8923" xr:uid="{00000000-0005-0000-0000-0000DB220000}"/>
    <cellStyle name="Normal 2 2 10 31 4 8" xfId="8924" xr:uid="{00000000-0005-0000-0000-0000DC220000}"/>
    <cellStyle name="Normal 2 2 10 31 4 9" xfId="8925" xr:uid="{00000000-0005-0000-0000-0000DD220000}"/>
    <cellStyle name="Normal 2 2 10 31 5" xfId="8926" xr:uid="{00000000-0005-0000-0000-0000DE220000}"/>
    <cellStyle name="Normal 2 2 10 31 5 10" xfId="8927" xr:uid="{00000000-0005-0000-0000-0000DF220000}"/>
    <cellStyle name="Normal 2 2 10 31 5 2" xfId="8928" xr:uid="{00000000-0005-0000-0000-0000E0220000}"/>
    <cellStyle name="Normal 2 2 10 31 5 3" xfId="8929" xr:uid="{00000000-0005-0000-0000-0000E1220000}"/>
    <cellStyle name="Normal 2 2 10 31 5 4" xfId="8930" xr:uid="{00000000-0005-0000-0000-0000E2220000}"/>
    <cellStyle name="Normal 2 2 10 31 5 5" xfId="8931" xr:uid="{00000000-0005-0000-0000-0000E3220000}"/>
    <cellStyle name="Normal 2 2 10 31 5 6" xfId="8932" xr:uid="{00000000-0005-0000-0000-0000E4220000}"/>
    <cellStyle name="Normal 2 2 10 31 5 7" xfId="8933" xr:uid="{00000000-0005-0000-0000-0000E5220000}"/>
    <cellStyle name="Normal 2 2 10 31 5 8" xfId="8934" xr:uid="{00000000-0005-0000-0000-0000E6220000}"/>
    <cellStyle name="Normal 2 2 10 31 5 9" xfId="8935" xr:uid="{00000000-0005-0000-0000-0000E7220000}"/>
    <cellStyle name="Normal 2 2 10 31 6" xfId="8936" xr:uid="{00000000-0005-0000-0000-0000E8220000}"/>
    <cellStyle name="Normal 2 2 10 31 7" xfId="8937" xr:uid="{00000000-0005-0000-0000-0000E9220000}"/>
    <cellStyle name="Normal 2 2 10 31 8" xfId="8938" xr:uid="{00000000-0005-0000-0000-0000EA220000}"/>
    <cellStyle name="Normal 2 2 10 31 9" xfId="8939" xr:uid="{00000000-0005-0000-0000-0000EB220000}"/>
    <cellStyle name="Normal 2 2 10 32" xfId="8940" xr:uid="{00000000-0005-0000-0000-0000EC220000}"/>
    <cellStyle name="Normal 2 2 10 32 10" xfId="8941" xr:uid="{00000000-0005-0000-0000-0000ED220000}"/>
    <cellStyle name="Normal 2 2 10 32 11" xfId="8942" xr:uid="{00000000-0005-0000-0000-0000EE220000}"/>
    <cellStyle name="Normal 2 2 10 32 12" xfId="8943" xr:uid="{00000000-0005-0000-0000-0000EF220000}"/>
    <cellStyle name="Normal 2 2 10 32 13" xfId="8944" xr:uid="{00000000-0005-0000-0000-0000F0220000}"/>
    <cellStyle name="Normal 2 2 10 32 14" xfId="8945" xr:uid="{00000000-0005-0000-0000-0000F1220000}"/>
    <cellStyle name="Normal 2 2 10 32 2" xfId="8946" xr:uid="{00000000-0005-0000-0000-0000F2220000}"/>
    <cellStyle name="Normal 2 2 10 32 2 10" xfId="8947" xr:uid="{00000000-0005-0000-0000-0000F3220000}"/>
    <cellStyle name="Normal 2 2 10 32 2 2" xfId="8948" xr:uid="{00000000-0005-0000-0000-0000F4220000}"/>
    <cellStyle name="Normal 2 2 10 32 2 3" xfId="8949" xr:uid="{00000000-0005-0000-0000-0000F5220000}"/>
    <cellStyle name="Normal 2 2 10 32 2 4" xfId="8950" xr:uid="{00000000-0005-0000-0000-0000F6220000}"/>
    <cellStyle name="Normal 2 2 10 32 2 5" xfId="8951" xr:uid="{00000000-0005-0000-0000-0000F7220000}"/>
    <cellStyle name="Normal 2 2 10 32 2 6" xfId="8952" xr:uid="{00000000-0005-0000-0000-0000F8220000}"/>
    <cellStyle name="Normal 2 2 10 32 2 7" xfId="8953" xr:uid="{00000000-0005-0000-0000-0000F9220000}"/>
    <cellStyle name="Normal 2 2 10 32 2 8" xfId="8954" xr:uid="{00000000-0005-0000-0000-0000FA220000}"/>
    <cellStyle name="Normal 2 2 10 32 2 9" xfId="8955" xr:uid="{00000000-0005-0000-0000-0000FB220000}"/>
    <cellStyle name="Normal 2 2 10 32 3" xfId="8956" xr:uid="{00000000-0005-0000-0000-0000FC220000}"/>
    <cellStyle name="Normal 2 2 10 32 3 10" xfId="8957" xr:uid="{00000000-0005-0000-0000-0000FD220000}"/>
    <cellStyle name="Normal 2 2 10 32 3 2" xfId="8958" xr:uid="{00000000-0005-0000-0000-0000FE220000}"/>
    <cellStyle name="Normal 2 2 10 32 3 3" xfId="8959" xr:uid="{00000000-0005-0000-0000-0000FF220000}"/>
    <cellStyle name="Normal 2 2 10 32 3 4" xfId="8960" xr:uid="{00000000-0005-0000-0000-000000230000}"/>
    <cellStyle name="Normal 2 2 10 32 3 5" xfId="8961" xr:uid="{00000000-0005-0000-0000-000001230000}"/>
    <cellStyle name="Normal 2 2 10 32 3 6" xfId="8962" xr:uid="{00000000-0005-0000-0000-000002230000}"/>
    <cellStyle name="Normal 2 2 10 32 3 7" xfId="8963" xr:uid="{00000000-0005-0000-0000-000003230000}"/>
    <cellStyle name="Normal 2 2 10 32 3 8" xfId="8964" xr:uid="{00000000-0005-0000-0000-000004230000}"/>
    <cellStyle name="Normal 2 2 10 32 3 9" xfId="8965" xr:uid="{00000000-0005-0000-0000-000005230000}"/>
    <cellStyle name="Normal 2 2 10 32 4" xfId="8966" xr:uid="{00000000-0005-0000-0000-000006230000}"/>
    <cellStyle name="Normal 2 2 10 32 4 10" xfId="8967" xr:uid="{00000000-0005-0000-0000-000007230000}"/>
    <cellStyle name="Normal 2 2 10 32 4 2" xfId="8968" xr:uid="{00000000-0005-0000-0000-000008230000}"/>
    <cellStyle name="Normal 2 2 10 32 4 3" xfId="8969" xr:uid="{00000000-0005-0000-0000-000009230000}"/>
    <cellStyle name="Normal 2 2 10 32 4 4" xfId="8970" xr:uid="{00000000-0005-0000-0000-00000A230000}"/>
    <cellStyle name="Normal 2 2 10 32 4 5" xfId="8971" xr:uid="{00000000-0005-0000-0000-00000B230000}"/>
    <cellStyle name="Normal 2 2 10 32 4 6" xfId="8972" xr:uid="{00000000-0005-0000-0000-00000C230000}"/>
    <cellStyle name="Normal 2 2 10 32 4 7" xfId="8973" xr:uid="{00000000-0005-0000-0000-00000D230000}"/>
    <cellStyle name="Normal 2 2 10 32 4 8" xfId="8974" xr:uid="{00000000-0005-0000-0000-00000E230000}"/>
    <cellStyle name="Normal 2 2 10 32 4 9" xfId="8975" xr:uid="{00000000-0005-0000-0000-00000F230000}"/>
    <cellStyle name="Normal 2 2 10 32 5" xfId="8976" xr:uid="{00000000-0005-0000-0000-000010230000}"/>
    <cellStyle name="Normal 2 2 10 32 5 10" xfId="8977" xr:uid="{00000000-0005-0000-0000-000011230000}"/>
    <cellStyle name="Normal 2 2 10 32 5 2" xfId="8978" xr:uid="{00000000-0005-0000-0000-000012230000}"/>
    <cellStyle name="Normal 2 2 10 32 5 3" xfId="8979" xr:uid="{00000000-0005-0000-0000-000013230000}"/>
    <cellStyle name="Normal 2 2 10 32 5 4" xfId="8980" xr:uid="{00000000-0005-0000-0000-000014230000}"/>
    <cellStyle name="Normal 2 2 10 32 5 5" xfId="8981" xr:uid="{00000000-0005-0000-0000-000015230000}"/>
    <cellStyle name="Normal 2 2 10 32 5 6" xfId="8982" xr:uid="{00000000-0005-0000-0000-000016230000}"/>
    <cellStyle name="Normal 2 2 10 32 5 7" xfId="8983" xr:uid="{00000000-0005-0000-0000-000017230000}"/>
    <cellStyle name="Normal 2 2 10 32 5 8" xfId="8984" xr:uid="{00000000-0005-0000-0000-000018230000}"/>
    <cellStyle name="Normal 2 2 10 32 5 9" xfId="8985" xr:uid="{00000000-0005-0000-0000-000019230000}"/>
    <cellStyle name="Normal 2 2 10 32 6" xfId="8986" xr:uid="{00000000-0005-0000-0000-00001A230000}"/>
    <cellStyle name="Normal 2 2 10 32 7" xfId="8987" xr:uid="{00000000-0005-0000-0000-00001B230000}"/>
    <cellStyle name="Normal 2 2 10 32 8" xfId="8988" xr:uid="{00000000-0005-0000-0000-00001C230000}"/>
    <cellStyle name="Normal 2 2 10 32 9" xfId="8989" xr:uid="{00000000-0005-0000-0000-00001D230000}"/>
    <cellStyle name="Normal 2 2 10 33" xfId="8990" xr:uid="{00000000-0005-0000-0000-00001E230000}"/>
    <cellStyle name="Normal 2 2 10 33 10" xfId="8991" xr:uid="{00000000-0005-0000-0000-00001F230000}"/>
    <cellStyle name="Normal 2 2 10 33 11" xfId="8992" xr:uid="{00000000-0005-0000-0000-000020230000}"/>
    <cellStyle name="Normal 2 2 10 33 12" xfId="8993" xr:uid="{00000000-0005-0000-0000-000021230000}"/>
    <cellStyle name="Normal 2 2 10 33 13" xfId="8994" xr:uid="{00000000-0005-0000-0000-000022230000}"/>
    <cellStyle name="Normal 2 2 10 33 14" xfId="8995" xr:uid="{00000000-0005-0000-0000-000023230000}"/>
    <cellStyle name="Normal 2 2 10 33 2" xfId="8996" xr:uid="{00000000-0005-0000-0000-000024230000}"/>
    <cellStyle name="Normal 2 2 10 33 2 10" xfId="8997" xr:uid="{00000000-0005-0000-0000-000025230000}"/>
    <cellStyle name="Normal 2 2 10 33 2 2" xfId="8998" xr:uid="{00000000-0005-0000-0000-000026230000}"/>
    <cellStyle name="Normal 2 2 10 33 2 3" xfId="8999" xr:uid="{00000000-0005-0000-0000-000027230000}"/>
    <cellStyle name="Normal 2 2 10 33 2 4" xfId="9000" xr:uid="{00000000-0005-0000-0000-000028230000}"/>
    <cellStyle name="Normal 2 2 10 33 2 5" xfId="9001" xr:uid="{00000000-0005-0000-0000-000029230000}"/>
    <cellStyle name="Normal 2 2 10 33 2 6" xfId="9002" xr:uid="{00000000-0005-0000-0000-00002A230000}"/>
    <cellStyle name="Normal 2 2 10 33 2 7" xfId="9003" xr:uid="{00000000-0005-0000-0000-00002B230000}"/>
    <cellStyle name="Normal 2 2 10 33 2 8" xfId="9004" xr:uid="{00000000-0005-0000-0000-00002C230000}"/>
    <cellStyle name="Normal 2 2 10 33 2 9" xfId="9005" xr:uid="{00000000-0005-0000-0000-00002D230000}"/>
    <cellStyle name="Normal 2 2 10 33 3" xfId="9006" xr:uid="{00000000-0005-0000-0000-00002E230000}"/>
    <cellStyle name="Normal 2 2 10 33 3 10" xfId="9007" xr:uid="{00000000-0005-0000-0000-00002F230000}"/>
    <cellStyle name="Normal 2 2 10 33 3 2" xfId="9008" xr:uid="{00000000-0005-0000-0000-000030230000}"/>
    <cellStyle name="Normal 2 2 10 33 3 3" xfId="9009" xr:uid="{00000000-0005-0000-0000-000031230000}"/>
    <cellStyle name="Normal 2 2 10 33 3 4" xfId="9010" xr:uid="{00000000-0005-0000-0000-000032230000}"/>
    <cellStyle name="Normal 2 2 10 33 3 5" xfId="9011" xr:uid="{00000000-0005-0000-0000-000033230000}"/>
    <cellStyle name="Normal 2 2 10 33 3 6" xfId="9012" xr:uid="{00000000-0005-0000-0000-000034230000}"/>
    <cellStyle name="Normal 2 2 10 33 3 7" xfId="9013" xr:uid="{00000000-0005-0000-0000-000035230000}"/>
    <cellStyle name="Normal 2 2 10 33 3 8" xfId="9014" xr:uid="{00000000-0005-0000-0000-000036230000}"/>
    <cellStyle name="Normal 2 2 10 33 3 9" xfId="9015" xr:uid="{00000000-0005-0000-0000-000037230000}"/>
    <cellStyle name="Normal 2 2 10 33 4" xfId="9016" xr:uid="{00000000-0005-0000-0000-000038230000}"/>
    <cellStyle name="Normal 2 2 10 33 4 10" xfId="9017" xr:uid="{00000000-0005-0000-0000-000039230000}"/>
    <cellStyle name="Normal 2 2 10 33 4 2" xfId="9018" xr:uid="{00000000-0005-0000-0000-00003A230000}"/>
    <cellStyle name="Normal 2 2 10 33 4 3" xfId="9019" xr:uid="{00000000-0005-0000-0000-00003B230000}"/>
    <cellStyle name="Normal 2 2 10 33 4 4" xfId="9020" xr:uid="{00000000-0005-0000-0000-00003C230000}"/>
    <cellStyle name="Normal 2 2 10 33 4 5" xfId="9021" xr:uid="{00000000-0005-0000-0000-00003D230000}"/>
    <cellStyle name="Normal 2 2 10 33 4 6" xfId="9022" xr:uid="{00000000-0005-0000-0000-00003E230000}"/>
    <cellStyle name="Normal 2 2 10 33 4 7" xfId="9023" xr:uid="{00000000-0005-0000-0000-00003F230000}"/>
    <cellStyle name="Normal 2 2 10 33 4 8" xfId="9024" xr:uid="{00000000-0005-0000-0000-000040230000}"/>
    <cellStyle name="Normal 2 2 10 33 4 9" xfId="9025" xr:uid="{00000000-0005-0000-0000-000041230000}"/>
    <cellStyle name="Normal 2 2 10 33 5" xfId="9026" xr:uid="{00000000-0005-0000-0000-000042230000}"/>
    <cellStyle name="Normal 2 2 10 33 5 10" xfId="9027" xr:uid="{00000000-0005-0000-0000-000043230000}"/>
    <cellStyle name="Normal 2 2 10 33 5 2" xfId="9028" xr:uid="{00000000-0005-0000-0000-000044230000}"/>
    <cellStyle name="Normal 2 2 10 33 5 3" xfId="9029" xr:uid="{00000000-0005-0000-0000-000045230000}"/>
    <cellStyle name="Normal 2 2 10 33 5 4" xfId="9030" xr:uid="{00000000-0005-0000-0000-000046230000}"/>
    <cellStyle name="Normal 2 2 10 33 5 5" xfId="9031" xr:uid="{00000000-0005-0000-0000-000047230000}"/>
    <cellStyle name="Normal 2 2 10 33 5 6" xfId="9032" xr:uid="{00000000-0005-0000-0000-000048230000}"/>
    <cellStyle name="Normal 2 2 10 33 5 7" xfId="9033" xr:uid="{00000000-0005-0000-0000-000049230000}"/>
    <cellStyle name="Normal 2 2 10 33 5 8" xfId="9034" xr:uid="{00000000-0005-0000-0000-00004A230000}"/>
    <cellStyle name="Normal 2 2 10 33 5 9" xfId="9035" xr:uid="{00000000-0005-0000-0000-00004B230000}"/>
    <cellStyle name="Normal 2 2 10 33 6" xfId="9036" xr:uid="{00000000-0005-0000-0000-00004C230000}"/>
    <cellStyle name="Normal 2 2 10 33 7" xfId="9037" xr:uid="{00000000-0005-0000-0000-00004D230000}"/>
    <cellStyle name="Normal 2 2 10 33 8" xfId="9038" xr:uid="{00000000-0005-0000-0000-00004E230000}"/>
    <cellStyle name="Normal 2 2 10 33 9" xfId="9039" xr:uid="{00000000-0005-0000-0000-00004F230000}"/>
    <cellStyle name="Normal 2 2 10 34" xfId="9040" xr:uid="{00000000-0005-0000-0000-000050230000}"/>
    <cellStyle name="Normal 2 2 10 34 10" xfId="9041" xr:uid="{00000000-0005-0000-0000-000051230000}"/>
    <cellStyle name="Normal 2 2 10 34 11" xfId="9042" xr:uid="{00000000-0005-0000-0000-000052230000}"/>
    <cellStyle name="Normal 2 2 10 34 12" xfId="9043" xr:uid="{00000000-0005-0000-0000-000053230000}"/>
    <cellStyle name="Normal 2 2 10 34 13" xfId="9044" xr:uid="{00000000-0005-0000-0000-000054230000}"/>
    <cellStyle name="Normal 2 2 10 34 14" xfId="9045" xr:uid="{00000000-0005-0000-0000-000055230000}"/>
    <cellStyle name="Normal 2 2 10 34 2" xfId="9046" xr:uid="{00000000-0005-0000-0000-000056230000}"/>
    <cellStyle name="Normal 2 2 10 34 2 10" xfId="9047" xr:uid="{00000000-0005-0000-0000-000057230000}"/>
    <cellStyle name="Normal 2 2 10 34 2 2" xfId="9048" xr:uid="{00000000-0005-0000-0000-000058230000}"/>
    <cellStyle name="Normal 2 2 10 34 2 3" xfId="9049" xr:uid="{00000000-0005-0000-0000-000059230000}"/>
    <cellStyle name="Normal 2 2 10 34 2 4" xfId="9050" xr:uid="{00000000-0005-0000-0000-00005A230000}"/>
    <cellStyle name="Normal 2 2 10 34 2 5" xfId="9051" xr:uid="{00000000-0005-0000-0000-00005B230000}"/>
    <cellStyle name="Normal 2 2 10 34 2 6" xfId="9052" xr:uid="{00000000-0005-0000-0000-00005C230000}"/>
    <cellStyle name="Normal 2 2 10 34 2 7" xfId="9053" xr:uid="{00000000-0005-0000-0000-00005D230000}"/>
    <cellStyle name="Normal 2 2 10 34 2 8" xfId="9054" xr:uid="{00000000-0005-0000-0000-00005E230000}"/>
    <cellStyle name="Normal 2 2 10 34 2 9" xfId="9055" xr:uid="{00000000-0005-0000-0000-00005F230000}"/>
    <cellStyle name="Normal 2 2 10 34 3" xfId="9056" xr:uid="{00000000-0005-0000-0000-000060230000}"/>
    <cellStyle name="Normal 2 2 10 34 3 10" xfId="9057" xr:uid="{00000000-0005-0000-0000-000061230000}"/>
    <cellStyle name="Normal 2 2 10 34 3 2" xfId="9058" xr:uid="{00000000-0005-0000-0000-000062230000}"/>
    <cellStyle name="Normal 2 2 10 34 3 3" xfId="9059" xr:uid="{00000000-0005-0000-0000-000063230000}"/>
    <cellStyle name="Normal 2 2 10 34 3 4" xfId="9060" xr:uid="{00000000-0005-0000-0000-000064230000}"/>
    <cellStyle name="Normal 2 2 10 34 3 5" xfId="9061" xr:uid="{00000000-0005-0000-0000-000065230000}"/>
    <cellStyle name="Normal 2 2 10 34 3 6" xfId="9062" xr:uid="{00000000-0005-0000-0000-000066230000}"/>
    <cellStyle name="Normal 2 2 10 34 3 7" xfId="9063" xr:uid="{00000000-0005-0000-0000-000067230000}"/>
    <cellStyle name="Normal 2 2 10 34 3 8" xfId="9064" xr:uid="{00000000-0005-0000-0000-000068230000}"/>
    <cellStyle name="Normal 2 2 10 34 3 9" xfId="9065" xr:uid="{00000000-0005-0000-0000-000069230000}"/>
    <cellStyle name="Normal 2 2 10 34 4" xfId="9066" xr:uid="{00000000-0005-0000-0000-00006A230000}"/>
    <cellStyle name="Normal 2 2 10 34 4 10" xfId="9067" xr:uid="{00000000-0005-0000-0000-00006B230000}"/>
    <cellStyle name="Normal 2 2 10 34 4 2" xfId="9068" xr:uid="{00000000-0005-0000-0000-00006C230000}"/>
    <cellStyle name="Normal 2 2 10 34 4 3" xfId="9069" xr:uid="{00000000-0005-0000-0000-00006D230000}"/>
    <cellStyle name="Normal 2 2 10 34 4 4" xfId="9070" xr:uid="{00000000-0005-0000-0000-00006E230000}"/>
    <cellStyle name="Normal 2 2 10 34 4 5" xfId="9071" xr:uid="{00000000-0005-0000-0000-00006F230000}"/>
    <cellStyle name="Normal 2 2 10 34 4 6" xfId="9072" xr:uid="{00000000-0005-0000-0000-000070230000}"/>
    <cellStyle name="Normal 2 2 10 34 4 7" xfId="9073" xr:uid="{00000000-0005-0000-0000-000071230000}"/>
    <cellStyle name="Normal 2 2 10 34 4 8" xfId="9074" xr:uid="{00000000-0005-0000-0000-000072230000}"/>
    <cellStyle name="Normal 2 2 10 34 4 9" xfId="9075" xr:uid="{00000000-0005-0000-0000-000073230000}"/>
    <cellStyle name="Normal 2 2 10 34 5" xfId="9076" xr:uid="{00000000-0005-0000-0000-000074230000}"/>
    <cellStyle name="Normal 2 2 10 34 5 10" xfId="9077" xr:uid="{00000000-0005-0000-0000-000075230000}"/>
    <cellStyle name="Normal 2 2 10 34 5 2" xfId="9078" xr:uid="{00000000-0005-0000-0000-000076230000}"/>
    <cellStyle name="Normal 2 2 10 34 5 3" xfId="9079" xr:uid="{00000000-0005-0000-0000-000077230000}"/>
    <cellStyle name="Normal 2 2 10 34 5 4" xfId="9080" xr:uid="{00000000-0005-0000-0000-000078230000}"/>
    <cellStyle name="Normal 2 2 10 34 5 5" xfId="9081" xr:uid="{00000000-0005-0000-0000-000079230000}"/>
    <cellStyle name="Normal 2 2 10 34 5 6" xfId="9082" xr:uid="{00000000-0005-0000-0000-00007A230000}"/>
    <cellStyle name="Normal 2 2 10 34 5 7" xfId="9083" xr:uid="{00000000-0005-0000-0000-00007B230000}"/>
    <cellStyle name="Normal 2 2 10 34 5 8" xfId="9084" xr:uid="{00000000-0005-0000-0000-00007C230000}"/>
    <cellStyle name="Normal 2 2 10 34 5 9" xfId="9085" xr:uid="{00000000-0005-0000-0000-00007D230000}"/>
    <cellStyle name="Normal 2 2 10 34 6" xfId="9086" xr:uid="{00000000-0005-0000-0000-00007E230000}"/>
    <cellStyle name="Normal 2 2 10 34 7" xfId="9087" xr:uid="{00000000-0005-0000-0000-00007F230000}"/>
    <cellStyle name="Normal 2 2 10 34 8" xfId="9088" xr:uid="{00000000-0005-0000-0000-000080230000}"/>
    <cellStyle name="Normal 2 2 10 34 9" xfId="9089" xr:uid="{00000000-0005-0000-0000-000081230000}"/>
    <cellStyle name="Normal 2 2 10 35" xfId="9090" xr:uid="{00000000-0005-0000-0000-000082230000}"/>
    <cellStyle name="Normal 2 2 10 35 10" xfId="9091" xr:uid="{00000000-0005-0000-0000-000083230000}"/>
    <cellStyle name="Normal 2 2 10 35 2" xfId="9092" xr:uid="{00000000-0005-0000-0000-000084230000}"/>
    <cellStyle name="Normal 2 2 10 35 3" xfId="9093" xr:uid="{00000000-0005-0000-0000-000085230000}"/>
    <cellStyle name="Normal 2 2 10 35 4" xfId="9094" xr:uid="{00000000-0005-0000-0000-000086230000}"/>
    <cellStyle name="Normal 2 2 10 35 5" xfId="9095" xr:uid="{00000000-0005-0000-0000-000087230000}"/>
    <cellStyle name="Normal 2 2 10 35 6" xfId="9096" xr:uid="{00000000-0005-0000-0000-000088230000}"/>
    <cellStyle name="Normal 2 2 10 35 7" xfId="9097" xr:uid="{00000000-0005-0000-0000-000089230000}"/>
    <cellStyle name="Normal 2 2 10 35 8" xfId="9098" xr:uid="{00000000-0005-0000-0000-00008A230000}"/>
    <cellStyle name="Normal 2 2 10 35 9" xfId="9099" xr:uid="{00000000-0005-0000-0000-00008B230000}"/>
    <cellStyle name="Normal 2 2 10 36" xfId="9100" xr:uid="{00000000-0005-0000-0000-00008C230000}"/>
    <cellStyle name="Normal 2 2 10 36 10" xfId="9101" xr:uid="{00000000-0005-0000-0000-00008D230000}"/>
    <cellStyle name="Normal 2 2 10 36 2" xfId="9102" xr:uid="{00000000-0005-0000-0000-00008E230000}"/>
    <cellStyle name="Normal 2 2 10 36 3" xfId="9103" xr:uid="{00000000-0005-0000-0000-00008F230000}"/>
    <cellStyle name="Normal 2 2 10 36 4" xfId="9104" xr:uid="{00000000-0005-0000-0000-000090230000}"/>
    <cellStyle name="Normal 2 2 10 36 5" xfId="9105" xr:uid="{00000000-0005-0000-0000-000091230000}"/>
    <cellStyle name="Normal 2 2 10 36 6" xfId="9106" xr:uid="{00000000-0005-0000-0000-000092230000}"/>
    <cellStyle name="Normal 2 2 10 36 7" xfId="9107" xr:uid="{00000000-0005-0000-0000-000093230000}"/>
    <cellStyle name="Normal 2 2 10 36 8" xfId="9108" xr:uid="{00000000-0005-0000-0000-000094230000}"/>
    <cellStyle name="Normal 2 2 10 36 9" xfId="9109" xr:uid="{00000000-0005-0000-0000-000095230000}"/>
    <cellStyle name="Normal 2 2 10 37" xfId="9110" xr:uid="{00000000-0005-0000-0000-000096230000}"/>
    <cellStyle name="Normal 2 2 10 37 10" xfId="9111" xr:uid="{00000000-0005-0000-0000-000097230000}"/>
    <cellStyle name="Normal 2 2 10 37 2" xfId="9112" xr:uid="{00000000-0005-0000-0000-000098230000}"/>
    <cellStyle name="Normal 2 2 10 37 3" xfId="9113" xr:uid="{00000000-0005-0000-0000-000099230000}"/>
    <cellStyle name="Normal 2 2 10 37 4" xfId="9114" xr:uid="{00000000-0005-0000-0000-00009A230000}"/>
    <cellStyle name="Normal 2 2 10 37 5" xfId="9115" xr:uid="{00000000-0005-0000-0000-00009B230000}"/>
    <cellStyle name="Normal 2 2 10 37 6" xfId="9116" xr:uid="{00000000-0005-0000-0000-00009C230000}"/>
    <cellStyle name="Normal 2 2 10 37 7" xfId="9117" xr:uid="{00000000-0005-0000-0000-00009D230000}"/>
    <cellStyle name="Normal 2 2 10 37 8" xfId="9118" xr:uid="{00000000-0005-0000-0000-00009E230000}"/>
    <cellStyle name="Normal 2 2 10 37 9" xfId="9119" xr:uid="{00000000-0005-0000-0000-00009F230000}"/>
    <cellStyle name="Normal 2 2 10 38" xfId="9120" xr:uid="{00000000-0005-0000-0000-0000A0230000}"/>
    <cellStyle name="Normal 2 2 10 38 10" xfId="9121" xr:uid="{00000000-0005-0000-0000-0000A1230000}"/>
    <cellStyle name="Normal 2 2 10 38 2" xfId="9122" xr:uid="{00000000-0005-0000-0000-0000A2230000}"/>
    <cellStyle name="Normal 2 2 10 38 3" xfId="9123" xr:uid="{00000000-0005-0000-0000-0000A3230000}"/>
    <cellStyle name="Normal 2 2 10 38 4" xfId="9124" xr:uid="{00000000-0005-0000-0000-0000A4230000}"/>
    <cellStyle name="Normal 2 2 10 38 5" xfId="9125" xr:uid="{00000000-0005-0000-0000-0000A5230000}"/>
    <cellStyle name="Normal 2 2 10 38 6" xfId="9126" xr:uid="{00000000-0005-0000-0000-0000A6230000}"/>
    <cellStyle name="Normal 2 2 10 38 7" xfId="9127" xr:uid="{00000000-0005-0000-0000-0000A7230000}"/>
    <cellStyle name="Normal 2 2 10 38 8" xfId="9128" xr:uid="{00000000-0005-0000-0000-0000A8230000}"/>
    <cellStyle name="Normal 2 2 10 38 9" xfId="9129" xr:uid="{00000000-0005-0000-0000-0000A9230000}"/>
    <cellStyle name="Normal 2 2 10 39" xfId="9130" xr:uid="{00000000-0005-0000-0000-0000AA230000}"/>
    <cellStyle name="Normal 2 2 10 4" xfId="9131" xr:uid="{00000000-0005-0000-0000-0000AB230000}"/>
    <cellStyle name="Normal 2 2 10 4 10" xfId="9132" xr:uid="{00000000-0005-0000-0000-0000AC230000}"/>
    <cellStyle name="Normal 2 2 10 4 11" xfId="9133" xr:uid="{00000000-0005-0000-0000-0000AD230000}"/>
    <cellStyle name="Normal 2 2 10 4 12" xfId="9134" xr:uid="{00000000-0005-0000-0000-0000AE230000}"/>
    <cellStyle name="Normal 2 2 10 4 13" xfId="9135" xr:uid="{00000000-0005-0000-0000-0000AF230000}"/>
    <cellStyle name="Normal 2 2 10 4 14" xfId="9136" xr:uid="{00000000-0005-0000-0000-0000B0230000}"/>
    <cellStyle name="Normal 2 2 10 4 2" xfId="9137" xr:uid="{00000000-0005-0000-0000-0000B1230000}"/>
    <cellStyle name="Normal 2 2 10 4 2 10" xfId="9138" xr:uid="{00000000-0005-0000-0000-0000B2230000}"/>
    <cellStyle name="Normal 2 2 10 4 2 2" xfId="9139" xr:uid="{00000000-0005-0000-0000-0000B3230000}"/>
    <cellStyle name="Normal 2 2 10 4 2 3" xfId="9140" xr:uid="{00000000-0005-0000-0000-0000B4230000}"/>
    <cellStyle name="Normal 2 2 10 4 2 4" xfId="9141" xr:uid="{00000000-0005-0000-0000-0000B5230000}"/>
    <cellStyle name="Normal 2 2 10 4 2 5" xfId="9142" xr:uid="{00000000-0005-0000-0000-0000B6230000}"/>
    <cellStyle name="Normal 2 2 10 4 2 6" xfId="9143" xr:uid="{00000000-0005-0000-0000-0000B7230000}"/>
    <cellStyle name="Normal 2 2 10 4 2 7" xfId="9144" xr:uid="{00000000-0005-0000-0000-0000B8230000}"/>
    <cellStyle name="Normal 2 2 10 4 2 8" xfId="9145" xr:uid="{00000000-0005-0000-0000-0000B9230000}"/>
    <cellStyle name="Normal 2 2 10 4 2 9" xfId="9146" xr:uid="{00000000-0005-0000-0000-0000BA230000}"/>
    <cellStyle name="Normal 2 2 10 4 3" xfId="9147" xr:uid="{00000000-0005-0000-0000-0000BB230000}"/>
    <cellStyle name="Normal 2 2 10 4 3 10" xfId="9148" xr:uid="{00000000-0005-0000-0000-0000BC230000}"/>
    <cellStyle name="Normal 2 2 10 4 3 2" xfId="9149" xr:uid="{00000000-0005-0000-0000-0000BD230000}"/>
    <cellStyle name="Normal 2 2 10 4 3 3" xfId="9150" xr:uid="{00000000-0005-0000-0000-0000BE230000}"/>
    <cellStyle name="Normal 2 2 10 4 3 4" xfId="9151" xr:uid="{00000000-0005-0000-0000-0000BF230000}"/>
    <cellStyle name="Normal 2 2 10 4 3 5" xfId="9152" xr:uid="{00000000-0005-0000-0000-0000C0230000}"/>
    <cellStyle name="Normal 2 2 10 4 3 6" xfId="9153" xr:uid="{00000000-0005-0000-0000-0000C1230000}"/>
    <cellStyle name="Normal 2 2 10 4 3 7" xfId="9154" xr:uid="{00000000-0005-0000-0000-0000C2230000}"/>
    <cellStyle name="Normal 2 2 10 4 3 8" xfId="9155" xr:uid="{00000000-0005-0000-0000-0000C3230000}"/>
    <cellStyle name="Normal 2 2 10 4 3 9" xfId="9156" xr:uid="{00000000-0005-0000-0000-0000C4230000}"/>
    <cellStyle name="Normal 2 2 10 4 4" xfId="9157" xr:uid="{00000000-0005-0000-0000-0000C5230000}"/>
    <cellStyle name="Normal 2 2 10 4 4 10" xfId="9158" xr:uid="{00000000-0005-0000-0000-0000C6230000}"/>
    <cellStyle name="Normal 2 2 10 4 4 2" xfId="9159" xr:uid="{00000000-0005-0000-0000-0000C7230000}"/>
    <cellStyle name="Normal 2 2 10 4 4 3" xfId="9160" xr:uid="{00000000-0005-0000-0000-0000C8230000}"/>
    <cellStyle name="Normal 2 2 10 4 4 4" xfId="9161" xr:uid="{00000000-0005-0000-0000-0000C9230000}"/>
    <cellStyle name="Normal 2 2 10 4 4 5" xfId="9162" xr:uid="{00000000-0005-0000-0000-0000CA230000}"/>
    <cellStyle name="Normal 2 2 10 4 4 6" xfId="9163" xr:uid="{00000000-0005-0000-0000-0000CB230000}"/>
    <cellStyle name="Normal 2 2 10 4 4 7" xfId="9164" xr:uid="{00000000-0005-0000-0000-0000CC230000}"/>
    <cellStyle name="Normal 2 2 10 4 4 8" xfId="9165" xr:uid="{00000000-0005-0000-0000-0000CD230000}"/>
    <cellStyle name="Normal 2 2 10 4 4 9" xfId="9166" xr:uid="{00000000-0005-0000-0000-0000CE230000}"/>
    <cellStyle name="Normal 2 2 10 4 5" xfId="9167" xr:uid="{00000000-0005-0000-0000-0000CF230000}"/>
    <cellStyle name="Normal 2 2 10 4 5 10" xfId="9168" xr:uid="{00000000-0005-0000-0000-0000D0230000}"/>
    <cellStyle name="Normal 2 2 10 4 5 2" xfId="9169" xr:uid="{00000000-0005-0000-0000-0000D1230000}"/>
    <cellStyle name="Normal 2 2 10 4 5 3" xfId="9170" xr:uid="{00000000-0005-0000-0000-0000D2230000}"/>
    <cellStyle name="Normal 2 2 10 4 5 4" xfId="9171" xr:uid="{00000000-0005-0000-0000-0000D3230000}"/>
    <cellStyle name="Normal 2 2 10 4 5 5" xfId="9172" xr:uid="{00000000-0005-0000-0000-0000D4230000}"/>
    <cellStyle name="Normal 2 2 10 4 5 6" xfId="9173" xr:uid="{00000000-0005-0000-0000-0000D5230000}"/>
    <cellStyle name="Normal 2 2 10 4 5 7" xfId="9174" xr:uid="{00000000-0005-0000-0000-0000D6230000}"/>
    <cellStyle name="Normal 2 2 10 4 5 8" xfId="9175" xr:uid="{00000000-0005-0000-0000-0000D7230000}"/>
    <cellStyle name="Normal 2 2 10 4 5 9" xfId="9176" xr:uid="{00000000-0005-0000-0000-0000D8230000}"/>
    <cellStyle name="Normal 2 2 10 4 6" xfId="9177" xr:uid="{00000000-0005-0000-0000-0000D9230000}"/>
    <cellStyle name="Normal 2 2 10 4 7" xfId="9178" xr:uid="{00000000-0005-0000-0000-0000DA230000}"/>
    <cellStyle name="Normal 2 2 10 4 8" xfId="9179" xr:uid="{00000000-0005-0000-0000-0000DB230000}"/>
    <cellStyle name="Normal 2 2 10 4 9" xfId="9180" xr:uid="{00000000-0005-0000-0000-0000DC230000}"/>
    <cellStyle name="Normal 2 2 10 40" xfId="9181" xr:uid="{00000000-0005-0000-0000-0000DD230000}"/>
    <cellStyle name="Normal 2 2 10 41" xfId="9182" xr:uid="{00000000-0005-0000-0000-0000DE230000}"/>
    <cellStyle name="Normal 2 2 10 42" xfId="9183" xr:uid="{00000000-0005-0000-0000-0000DF230000}"/>
    <cellStyle name="Normal 2 2 10 43" xfId="9184" xr:uid="{00000000-0005-0000-0000-0000E0230000}"/>
    <cellStyle name="Normal 2 2 10 44" xfId="9185" xr:uid="{00000000-0005-0000-0000-0000E1230000}"/>
    <cellStyle name="Normal 2 2 10 45" xfId="9186" xr:uid="{00000000-0005-0000-0000-0000E2230000}"/>
    <cellStyle name="Normal 2 2 10 46" xfId="9187" xr:uid="{00000000-0005-0000-0000-0000E3230000}"/>
    <cellStyle name="Normal 2 2 10 47" xfId="9188" xr:uid="{00000000-0005-0000-0000-0000E4230000}"/>
    <cellStyle name="Normal 2 2 10 5" xfId="9189" xr:uid="{00000000-0005-0000-0000-0000E5230000}"/>
    <cellStyle name="Normal 2 2 10 5 10" xfId="9190" xr:uid="{00000000-0005-0000-0000-0000E6230000}"/>
    <cellStyle name="Normal 2 2 10 5 11" xfId="9191" xr:uid="{00000000-0005-0000-0000-0000E7230000}"/>
    <cellStyle name="Normal 2 2 10 5 12" xfId="9192" xr:uid="{00000000-0005-0000-0000-0000E8230000}"/>
    <cellStyle name="Normal 2 2 10 5 13" xfId="9193" xr:uid="{00000000-0005-0000-0000-0000E9230000}"/>
    <cellStyle name="Normal 2 2 10 5 14" xfId="9194" xr:uid="{00000000-0005-0000-0000-0000EA230000}"/>
    <cellStyle name="Normal 2 2 10 5 2" xfId="9195" xr:uid="{00000000-0005-0000-0000-0000EB230000}"/>
    <cellStyle name="Normal 2 2 10 5 2 10" xfId="9196" xr:uid="{00000000-0005-0000-0000-0000EC230000}"/>
    <cellStyle name="Normal 2 2 10 5 2 2" xfId="9197" xr:uid="{00000000-0005-0000-0000-0000ED230000}"/>
    <cellStyle name="Normal 2 2 10 5 2 3" xfId="9198" xr:uid="{00000000-0005-0000-0000-0000EE230000}"/>
    <cellStyle name="Normal 2 2 10 5 2 4" xfId="9199" xr:uid="{00000000-0005-0000-0000-0000EF230000}"/>
    <cellStyle name="Normal 2 2 10 5 2 5" xfId="9200" xr:uid="{00000000-0005-0000-0000-0000F0230000}"/>
    <cellStyle name="Normal 2 2 10 5 2 6" xfId="9201" xr:uid="{00000000-0005-0000-0000-0000F1230000}"/>
    <cellStyle name="Normal 2 2 10 5 2 7" xfId="9202" xr:uid="{00000000-0005-0000-0000-0000F2230000}"/>
    <cellStyle name="Normal 2 2 10 5 2 8" xfId="9203" xr:uid="{00000000-0005-0000-0000-0000F3230000}"/>
    <cellStyle name="Normal 2 2 10 5 2 9" xfId="9204" xr:uid="{00000000-0005-0000-0000-0000F4230000}"/>
    <cellStyle name="Normal 2 2 10 5 3" xfId="9205" xr:uid="{00000000-0005-0000-0000-0000F5230000}"/>
    <cellStyle name="Normal 2 2 10 5 3 10" xfId="9206" xr:uid="{00000000-0005-0000-0000-0000F6230000}"/>
    <cellStyle name="Normal 2 2 10 5 3 2" xfId="9207" xr:uid="{00000000-0005-0000-0000-0000F7230000}"/>
    <cellStyle name="Normal 2 2 10 5 3 3" xfId="9208" xr:uid="{00000000-0005-0000-0000-0000F8230000}"/>
    <cellStyle name="Normal 2 2 10 5 3 4" xfId="9209" xr:uid="{00000000-0005-0000-0000-0000F9230000}"/>
    <cellStyle name="Normal 2 2 10 5 3 5" xfId="9210" xr:uid="{00000000-0005-0000-0000-0000FA230000}"/>
    <cellStyle name="Normal 2 2 10 5 3 6" xfId="9211" xr:uid="{00000000-0005-0000-0000-0000FB230000}"/>
    <cellStyle name="Normal 2 2 10 5 3 7" xfId="9212" xr:uid="{00000000-0005-0000-0000-0000FC230000}"/>
    <cellStyle name="Normal 2 2 10 5 3 8" xfId="9213" xr:uid="{00000000-0005-0000-0000-0000FD230000}"/>
    <cellStyle name="Normal 2 2 10 5 3 9" xfId="9214" xr:uid="{00000000-0005-0000-0000-0000FE230000}"/>
    <cellStyle name="Normal 2 2 10 5 4" xfId="9215" xr:uid="{00000000-0005-0000-0000-0000FF230000}"/>
    <cellStyle name="Normal 2 2 10 5 4 10" xfId="9216" xr:uid="{00000000-0005-0000-0000-000000240000}"/>
    <cellStyle name="Normal 2 2 10 5 4 2" xfId="9217" xr:uid="{00000000-0005-0000-0000-000001240000}"/>
    <cellStyle name="Normal 2 2 10 5 4 3" xfId="9218" xr:uid="{00000000-0005-0000-0000-000002240000}"/>
    <cellStyle name="Normal 2 2 10 5 4 4" xfId="9219" xr:uid="{00000000-0005-0000-0000-000003240000}"/>
    <cellStyle name="Normal 2 2 10 5 4 5" xfId="9220" xr:uid="{00000000-0005-0000-0000-000004240000}"/>
    <cellStyle name="Normal 2 2 10 5 4 6" xfId="9221" xr:uid="{00000000-0005-0000-0000-000005240000}"/>
    <cellStyle name="Normal 2 2 10 5 4 7" xfId="9222" xr:uid="{00000000-0005-0000-0000-000006240000}"/>
    <cellStyle name="Normal 2 2 10 5 4 8" xfId="9223" xr:uid="{00000000-0005-0000-0000-000007240000}"/>
    <cellStyle name="Normal 2 2 10 5 4 9" xfId="9224" xr:uid="{00000000-0005-0000-0000-000008240000}"/>
    <cellStyle name="Normal 2 2 10 5 5" xfId="9225" xr:uid="{00000000-0005-0000-0000-000009240000}"/>
    <cellStyle name="Normal 2 2 10 5 5 10" xfId="9226" xr:uid="{00000000-0005-0000-0000-00000A240000}"/>
    <cellStyle name="Normal 2 2 10 5 5 2" xfId="9227" xr:uid="{00000000-0005-0000-0000-00000B240000}"/>
    <cellStyle name="Normal 2 2 10 5 5 3" xfId="9228" xr:uid="{00000000-0005-0000-0000-00000C240000}"/>
    <cellStyle name="Normal 2 2 10 5 5 4" xfId="9229" xr:uid="{00000000-0005-0000-0000-00000D240000}"/>
    <cellStyle name="Normal 2 2 10 5 5 5" xfId="9230" xr:uid="{00000000-0005-0000-0000-00000E240000}"/>
    <cellStyle name="Normal 2 2 10 5 5 6" xfId="9231" xr:uid="{00000000-0005-0000-0000-00000F240000}"/>
    <cellStyle name="Normal 2 2 10 5 5 7" xfId="9232" xr:uid="{00000000-0005-0000-0000-000010240000}"/>
    <cellStyle name="Normal 2 2 10 5 5 8" xfId="9233" xr:uid="{00000000-0005-0000-0000-000011240000}"/>
    <cellStyle name="Normal 2 2 10 5 5 9" xfId="9234" xr:uid="{00000000-0005-0000-0000-000012240000}"/>
    <cellStyle name="Normal 2 2 10 5 6" xfId="9235" xr:uid="{00000000-0005-0000-0000-000013240000}"/>
    <cellStyle name="Normal 2 2 10 5 7" xfId="9236" xr:uid="{00000000-0005-0000-0000-000014240000}"/>
    <cellStyle name="Normal 2 2 10 5 8" xfId="9237" xr:uid="{00000000-0005-0000-0000-000015240000}"/>
    <cellStyle name="Normal 2 2 10 5 9" xfId="9238" xr:uid="{00000000-0005-0000-0000-000016240000}"/>
    <cellStyle name="Normal 2 2 10 6" xfId="9239" xr:uid="{00000000-0005-0000-0000-000017240000}"/>
    <cellStyle name="Normal 2 2 10 6 10" xfId="9240" xr:uid="{00000000-0005-0000-0000-000018240000}"/>
    <cellStyle name="Normal 2 2 10 6 11" xfId="9241" xr:uid="{00000000-0005-0000-0000-000019240000}"/>
    <cellStyle name="Normal 2 2 10 6 12" xfId="9242" xr:uid="{00000000-0005-0000-0000-00001A240000}"/>
    <cellStyle name="Normal 2 2 10 6 13" xfId="9243" xr:uid="{00000000-0005-0000-0000-00001B240000}"/>
    <cellStyle name="Normal 2 2 10 6 14" xfId="9244" xr:uid="{00000000-0005-0000-0000-00001C240000}"/>
    <cellStyle name="Normal 2 2 10 6 2" xfId="9245" xr:uid="{00000000-0005-0000-0000-00001D240000}"/>
    <cellStyle name="Normal 2 2 10 6 2 10" xfId="9246" xr:uid="{00000000-0005-0000-0000-00001E240000}"/>
    <cellStyle name="Normal 2 2 10 6 2 2" xfId="9247" xr:uid="{00000000-0005-0000-0000-00001F240000}"/>
    <cellStyle name="Normal 2 2 10 6 2 3" xfId="9248" xr:uid="{00000000-0005-0000-0000-000020240000}"/>
    <cellStyle name="Normal 2 2 10 6 2 4" xfId="9249" xr:uid="{00000000-0005-0000-0000-000021240000}"/>
    <cellStyle name="Normal 2 2 10 6 2 5" xfId="9250" xr:uid="{00000000-0005-0000-0000-000022240000}"/>
    <cellStyle name="Normal 2 2 10 6 2 6" xfId="9251" xr:uid="{00000000-0005-0000-0000-000023240000}"/>
    <cellStyle name="Normal 2 2 10 6 2 7" xfId="9252" xr:uid="{00000000-0005-0000-0000-000024240000}"/>
    <cellStyle name="Normal 2 2 10 6 2 8" xfId="9253" xr:uid="{00000000-0005-0000-0000-000025240000}"/>
    <cellStyle name="Normal 2 2 10 6 2 9" xfId="9254" xr:uid="{00000000-0005-0000-0000-000026240000}"/>
    <cellStyle name="Normal 2 2 10 6 3" xfId="9255" xr:uid="{00000000-0005-0000-0000-000027240000}"/>
    <cellStyle name="Normal 2 2 10 6 3 10" xfId="9256" xr:uid="{00000000-0005-0000-0000-000028240000}"/>
    <cellStyle name="Normal 2 2 10 6 3 2" xfId="9257" xr:uid="{00000000-0005-0000-0000-000029240000}"/>
    <cellStyle name="Normal 2 2 10 6 3 3" xfId="9258" xr:uid="{00000000-0005-0000-0000-00002A240000}"/>
    <cellStyle name="Normal 2 2 10 6 3 4" xfId="9259" xr:uid="{00000000-0005-0000-0000-00002B240000}"/>
    <cellStyle name="Normal 2 2 10 6 3 5" xfId="9260" xr:uid="{00000000-0005-0000-0000-00002C240000}"/>
    <cellStyle name="Normal 2 2 10 6 3 6" xfId="9261" xr:uid="{00000000-0005-0000-0000-00002D240000}"/>
    <cellStyle name="Normal 2 2 10 6 3 7" xfId="9262" xr:uid="{00000000-0005-0000-0000-00002E240000}"/>
    <cellStyle name="Normal 2 2 10 6 3 8" xfId="9263" xr:uid="{00000000-0005-0000-0000-00002F240000}"/>
    <cellStyle name="Normal 2 2 10 6 3 9" xfId="9264" xr:uid="{00000000-0005-0000-0000-000030240000}"/>
    <cellStyle name="Normal 2 2 10 6 4" xfId="9265" xr:uid="{00000000-0005-0000-0000-000031240000}"/>
    <cellStyle name="Normal 2 2 10 6 4 10" xfId="9266" xr:uid="{00000000-0005-0000-0000-000032240000}"/>
    <cellStyle name="Normal 2 2 10 6 4 2" xfId="9267" xr:uid="{00000000-0005-0000-0000-000033240000}"/>
    <cellStyle name="Normal 2 2 10 6 4 3" xfId="9268" xr:uid="{00000000-0005-0000-0000-000034240000}"/>
    <cellStyle name="Normal 2 2 10 6 4 4" xfId="9269" xr:uid="{00000000-0005-0000-0000-000035240000}"/>
    <cellStyle name="Normal 2 2 10 6 4 5" xfId="9270" xr:uid="{00000000-0005-0000-0000-000036240000}"/>
    <cellStyle name="Normal 2 2 10 6 4 6" xfId="9271" xr:uid="{00000000-0005-0000-0000-000037240000}"/>
    <cellStyle name="Normal 2 2 10 6 4 7" xfId="9272" xr:uid="{00000000-0005-0000-0000-000038240000}"/>
    <cellStyle name="Normal 2 2 10 6 4 8" xfId="9273" xr:uid="{00000000-0005-0000-0000-000039240000}"/>
    <cellStyle name="Normal 2 2 10 6 4 9" xfId="9274" xr:uid="{00000000-0005-0000-0000-00003A240000}"/>
    <cellStyle name="Normal 2 2 10 6 5" xfId="9275" xr:uid="{00000000-0005-0000-0000-00003B240000}"/>
    <cellStyle name="Normal 2 2 10 6 5 10" xfId="9276" xr:uid="{00000000-0005-0000-0000-00003C240000}"/>
    <cellStyle name="Normal 2 2 10 6 5 2" xfId="9277" xr:uid="{00000000-0005-0000-0000-00003D240000}"/>
    <cellStyle name="Normal 2 2 10 6 5 3" xfId="9278" xr:uid="{00000000-0005-0000-0000-00003E240000}"/>
    <cellStyle name="Normal 2 2 10 6 5 4" xfId="9279" xr:uid="{00000000-0005-0000-0000-00003F240000}"/>
    <cellStyle name="Normal 2 2 10 6 5 5" xfId="9280" xr:uid="{00000000-0005-0000-0000-000040240000}"/>
    <cellStyle name="Normal 2 2 10 6 5 6" xfId="9281" xr:uid="{00000000-0005-0000-0000-000041240000}"/>
    <cellStyle name="Normal 2 2 10 6 5 7" xfId="9282" xr:uid="{00000000-0005-0000-0000-000042240000}"/>
    <cellStyle name="Normal 2 2 10 6 5 8" xfId="9283" xr:uid="{00000000-0005-0000-0000-000043240000}"/>
    <cellStyle name="Normal 2 2 10 6 5 9" xfId="9284" xr:uid="{00000000-0005-0000-0000-000044240000}"/>
    <cellStyle name="Normal 2 2 10 6 6" xfId="9285" xr:uid="{00000000-0005-0000-0000-000045240000}"/>
    <cellStyle name="Normal 2 2 10 6 7" xfId="9286" xr:uid="{00000000-0005-0000-0000-000046240000}"/>
    <cellStyle name="Normal 2 2 10 6 8" xfId="9287" xr:uid="{00000000-0005-0000-0000-000047240000}"/>
    <cellStyle name="Normal 2 2 10 6 9" xfId="9288" xr:uid="{00000000-0005-0000-0000-000048240000}"/>
    <cellStyle name="Normal 2 2 10 7" xfId="9289" xr:uid="{00000000-0005-0000-0000-000049240000}"/>
    <cellStyle name="Normal 2 2 10 7 10" xfId="9290" xr:uid="{00000000-0005-0000-0000-00004A240000}"/>
    <cellStyle name="Normal 2 2 10 7 11" xfId="9291" xr:uid="{00000000-0005-0000-0000-00004B240000}"/>
    <cellStyle name="Normal 2 2 10 7 12" xfId="9292" xr:uid="{00000000-0005-0000-0000-00004C240000}"/>
    <cellStyle name="Normal 2 2 10 7 13" xfId="9293" xr:uid="{00000000-0005-0000-0000-00004D240000}"/>
    <cellStyle name="Normal 2 2 10 7 14" xfId="9294" xr:uid="{00000000-0005-0000-0000-00004E240000}"/>
    <cellStyle name="Normal 2 2 10 7 2" xfId="9295" xr:uid="{00000000-0005-0000-0000-00004F240000}"/>
    <cellStyle name="Normal 2 2 10 7 2 10" xfId="9296" xr:uid="{00000000-0005-0000-0000-000050240000}"/>
    <cellStyle name="Normal 2 2 10 7 2 2" xfId="9297" xr:uid="{00000000-0005-0000-0000-000051240000}"/>
    <cellStyle name="Normal 2 2 10 7 2 3" xfId="9298" xr:uid="{00000000-0005-0000-0000-000052240000}"/>
    <cellStyle name="Normal 2 2 10 7 2 4" xfId="9299" xr:uid="{00000000-0005-0000-0000-000053240000}"/>
    <cellStyle name="Normal 2 2 10 7 2 5" xfId="9300" xr:uid="{00000000-0005-0000-0000-000054240000}"/>
    <cellStyle name="Normal 2 2 10 7 2 6" xfId="9301" xr:uid="{00000000-0005-0000-0000-000055240000}"/>
    <cellStyle name="Normal 2 2 10 7 2 7" xfId="9302" xr:uid="{00000000-0005-0000-0000-000056240000}"/>
    <cellStyle name="Normal 2 2 10 7 2 8" xfId="9303" xr:uid="{00000000-0005-0000-0000-000057240000}"/>
    <cellStyle name="Normal 2 2 10 7 2 9" xfId="9304" xr:uid="{00000000-0005-0000-0000-000058240000}"/>
    <cellStyle name="Normal 2 2 10 7 3" xfId="9305" xr:uid="{00000000-0005-0000-0000-000059240000}"/>
    <cellStyle name="Normal 2 2 10 7 3 10" xfId="9306" xr:uid="{00000000-0005-0000-0000-00005A240000}"/>
    <cellStyle name="Normal 2 2 10 7 3 2" xfId="9307" xr:uid="{00000000-0005-0000-0000-00005B240000}"/>
    <cellStyle name="Normal 2 2 10 7 3 3" xfId="9308" xr:uid="{00000000-0005-0000-0000-00005C240000}"/>
    <cellStyle name="Normal 2 2 10 7 3 4" xfId="9309" xr:uid="{00000000-0005-0000-0000-00005D240000}"/>
    <cellStyle name="Normal 2 2 10 7 3 5" xfId="9310" xr:uid="{00000000-0005-0000-0000-00005E240000}"/>
    <cellStyle name="Normal 2 2 10 7 3 6" xfId="9311" xr:uid="{00000000-0005-0000-0000-00005F240000}"/>
    <cellStyle name="Normal 2 2 10 7 3 7" xfId="9312" xr:uid="{00000000-0005-0000-0000-000060240000}"/>
    <cellStyle name="Normal 2 2 10 7 3 8" xfId="9313" xr:uid="{00000000-0005-0000-0000-000061240000}"/>
    <cellStyle name="Normal 2 2 10 7 3 9" xfId="9314" xr:uid="{00000000-0005-0000-0000-000062240000}"/>
    <cellStyle name="Normal 2 2 10 7 4" xfId="9315" xr:uid="{00000000-0005-0000-0000-000063240000}"/>
    <cellStyle name="Normal 2 2 10 7 4 10" xfId="9316" xr:uid="{00000000-0005-0000-0000-000064240000}"/>
    <cellStyle name="Normal 2 2 10 7 4 2" xfId="9317" xr:uid="{00000000-0005-0000-0000-000065240000}"/>
    <cellStyle name="Normal 2 2 10 7 4 3" xfId="9318" xr:uid="{00000000-0005-0000-0000-000066240000}"/>
    <cellStyle name="Normal 2 2 10 7 4 4" xfId="9319" xr:uid="{00000000-0005-0000-0000-000067240000}"/>
    <cellStyle name="Normal 2 2 10 7 4 5" xfId="9320" xr:uid="{00000000-0005-0000-0000-000068240000}"/>
    <cellStyle name="Normal 2 2 10 7 4 6" xfId="9321" xr:uid="{00000000-0005-0000-0000-000069240000}"/>
    <cellStyle name="Normal 2 2 10 7 4 7" xfId="9322" xr:uid="{00000000-0005-0000-0000-00006A240000}"/>
    <cellStyle name="Normal 2 2 10 7 4 8" xfId="9323" xr:uid="{00000000-0005-0000-0000-00006B240000}"/>
    <cellStyle name="Normal 2 2 10 7 4 9" xfId="9324" xr:uid="{00000000-0005-0000-0000-00006C240000}"/>
    <cellStyle name="Normal 2 2 10 7 5" xfId="9325" xr:uid="{00000000-0005-0000-0000-00006D240000}"/>
    <cellStyle name="Normal 2 2 10 7 5 10" xfId="9326" xr:uid="{00000000-0005-0000-0000-00006E240000}"/>
    <cellStyle name="Normal 2 2 10 7 5 2" xfId="9327" xr:uid="{00000000-0005-0000-0000-00006F240000}"/>
    <cellStyle name="Normal 2 2 10 7 5 3" xfId="9328" xr:uid="{00000000-0005-0000-0000-000070240000}"/>
    <cellStyle name="Normal 2 2 10 7 5 4" xfId="9329" xr:uid="{00000000-0005-0000-0000-000071240000}"/>
    <cellStyle name="Normal 2 2 10 7 5 5" xfId="9330" xr:uid="{00000000-0005-0000-0000-000072240000}"/>
    <cellStyle name="Normal 2 2 10 7 5 6" xfId="9331" xr:uid="{00000000-0005-0000-0000-000073240000}"/>
    <cellStyle name="Normal 2 2 10 7 5 7" xfId="9332" xr:uid="{00000000-0005-0000-0000-000074240000}"/>
    <cellStyle name="Normal 2 2 10 7 5 8" xfId="9333" xr:uid="{00000000-0005-0000-0000-000075240000}"/>
    <cellStyle name="Normal 2 2 10 7 5 9" xfId="9334" xr:uid="{00000000-0005-0000-0000-000076240000}"/>
    <cellStyle name="Normal 2 2 10 7 6" xfId="9335" xr:uid="{00000000-0005-0000-0000-000077240000}"/>
    <cellStyle name="Normal 2 2 10 7 7" xfId="9336" xr:uid="{00000000-0005-0000-0000-000078240000}"/>
    <cellStyle name="Normal 2 2 10 7 8" xfId="9337" xr:uid="{00000000-0005-0000-0000-000079240000}"/>
    <cellStyle name="Normal 2 2 10 7 9" xfId="9338" xr:uid="{00000000-0005-0000-0000-00007A240000}"/>
    <cellStyle name="Normal 2 2 10 8" xfId="9339" xr:uid="{00000000-0005-0000-0000-00007B240000}"/>
    <cellStyle name="Normal 2 2 10 8 10" xfId="9340" xr:uid="{00000000-0005-0000-0000-00007C240000}"/>
    <cellStyle name="Normal 2 2 10 8 11" xfId="9341" xr:uid="{00000000-0005-0000-0000-00007D240000}"/>
    <cellStyle name="Normal 2 2 10 8 12" xfId="9342" xr:uid="{00000000-0005-0000-0000-00007E240000}"/>
    <cellStyle name="Normal 2 2 10 8 13" xfId="9343" xr:uid="{00000000-0005-0000-0000-00007F240000}"/>
    <cellStyle name="Normal 2 2 10 8 14" xfId="9344" xr:uid="{00000000-0005-0000-0000-000080240000}"/>
    <cellStyle name="Normal 2 2 10 8 2" xfId="9345" xr:uid="{00000000-0005-0000-0000-000081240000}"/>
    <cellStyle name="Normal 2 2 10 8 2 10" xfId="9346" xr:uid="{00000000-0005-0000-0000-000082240000}"/>
    <cellStyle name="Normal 2 2 10 8 2 2" xfId="9347" xr:uid="{00000000-0005-0000-0000-000083240000}"/>
    <cellStyle name="Normal 2 2 10 8 2 3" xfId="9348" xr:uid="{00000000-0005-0000-0000-000084240000}"/>
    <cellStyle name="Normal 2 2 10 8 2 4" xfId="9349" xr:uid="{00000000-0005-0000-0000-000085240000}"/>
    <cellStyle name="Normal 2 2 10 8 2 5" xfId="9350" xr:uid="{00000000-0005-0000-0000-000086240000}"/>
    <cellStyle name="Normal 2 2 10 8 2 6" xfId="9351" xr:uid="{00000000-0005-0000-0000-000087240000}"/>
    <cellStyle name="Normal 2 2 10 8 2 7" xfId="9352" xr:uid="{00000000-0005-0000-0000-000088240000}"/>
    <cellStyle name="Normal 2 2 10 8 2 8" xfId="9353" xr:uid="{00000000-0005-0000-0000-000089240000}"/>
    <cellStyle name="Normal 2 2 10 8 2 9" xfId="9354" xr:uid="{00000000-0005-0000-0000-00008A240000}"/>
    <cellStyle name="Normal 2 2 10 8 3" xfId="9355" xr:uid="{00000000-0005-0000-0000-00008B240000}"/>
    <cellStyle name="Normal 2 2 10 8 3 10" xfId="9356" xr:uid="{00000000-0005-0000-0000-00008C240000}"/>
    <cellStyle name="Normal 2 2 10 8 3 2" xfId="9357" xr:uid="{00000000-0005-0000-0000-00008D240000}"/>
    <cellStyle name="Normal 2 2 10 8 3 3" xfId="9358" xr:uid="{00000000-0005-0000-0000-00008E240000}"/>
    <cellStyle name="Normal 2 2 10 8 3 4" xfId="9359" xr:uid="{00000000-0005-0000-0000-00008F240000}"/>
    <cellStyle name="Normal 2 2 10 8 3 5" xfId="9360" xr:uid="{00000000-0005-0000-0000-000090240000}"/>
    <cellStyle name="Normal 2 2 10 8 3 6" xfId="9361" xr:uid="{00000000-0005-0000-0000-000091240000}"/>
    <cellStyle name="Normal 2 2 10 8 3 7" xfId="9362" xr:uid="{00000000-0005-0000-0000-000092240000}"/>
    <cellStyle name="Normal 2 2 10 8 3 8" xfId="9363" xr:uid="{00000000-0005-0000-0000-000093240000}"/>
    <cellStyle name="Normal 2 2 10 8 3 9" xfId="9364" xr:uid="{00000000-0005-0000-0000-000094240000}"/>
    <cellStyle name="Normal 2 2 10 8 4" xfId="9365" xr:uid="{00000000-0005-0000-0000-000095240000}"/>
    <cellStyle name="Normal 2 2 10 8 4 10" xfId="9366" xr:uid="{00000000-0005-0000-0000-000096240000}"/>
    <cellStyle name="Normal 2 2 10 8 4 2" xfId="9367" xr:uid="{00000000-0005-0000-0000-000097240000}"/>
    <cellStyle name="Normal 2 2 10 8 4 3" xfId="9368" xr:uid="{00000000-0005-0000-0000-000098240000}"/>
    <cellStyle name="Normal 2 2 10 8 4 4" xfId="9369" xr:uid="{00000000-0005-0000-0000-000099240000}"/>
    <cellStyle name="Normal 2 2 10 8 4 5" xfId="9370" xr:uid="{00000000-0005-0000-0000-00009A240000}"/>
    <cellStyle name="Normal 2 2 10 8 4 6" xfId="9371" xr:uid="{00000000-0005-0000-0000-00009B240000}"/>
    <cellStyle name="Normal 2 2 10 8 4 7" xfId="9372" xr:uid="{00000000-0005-0000-0000-00009C240000}"/>
    <cellStyle name="Normal 2 2 10 8 4 8" xfId="9373" xr:uid="{00000000-0005-0000-0000-00009D240000}"/>
    <cellStyle name="Normal 2 2 10 8 4 9" xfId="9374" xr:uid="{00000000-0005-0000-0000-00009E240000}"/>
    <cellStyle name="Normal 2 2 10 8 5" xfId="9375" xr:uid="{00000000-0005-0000-0000-00009F240000}"/>
    <cellStyle name="Normal 2 2 10 8 5 10" xfId="9376" xr:uid="{00000000-0005-0000-0000-0000A0240000}"/>
    <cellStyle name="Normal 2 2 10 8 5 2" xfId="9377" xr:uid="{00000000-0005-0000-0000-0000A1240000}"/>
    <cellStyle name="Normal 2 2 10 8 5 3" xfId="9378" xr:uid="{00000000-0005-0000-0000-0000A2240000}"/>
    <cellStyle name="Normal 2 2 10 8 5 4" xfId="9379" xr:uid="{00000000-0005-0000-0000-0000A3240000}"/>
    <cellStyle name="Normal 2 2 10 8 5 5" xfId="9380" xr:uid="{00000000-0005-0000-0000-0000A4240000}"/>
    <cellStyle name="Normal 2 2 10 8 5 6" xfId="9381" xr:uid="{00000000-0005-0000-0000-0000A5240000}"/>
    <cellStyle name="Normal 2 2 10 8 5 7" xfId="9382" xr:uid="{00000000-0005-0000-0000-0000A6240000}"/>
    <cellStyle name="Normal 2 2 10 8 5 8" xfId="9383" xr:uid="{00000000-0005-0000-0000-0000A7240000}"/>
    <cellStyle name="Normal 2 2 10 8 5 9" xfId="9384" xr:uid="{00000000-0005-0000-0000-0000A8240000}"/>
    <cellStyle name="Normal 2 2 10 8 6" xfId="9385" xr:uid="{00000000-0005-0000-0000-0000A9240000}"/>
    <cellStyle name="Normal 2 2 10 8 7" xfId="9386" xr:uid="{00000000-0005-0000-0000-0000AA240000}"/>
    <cellStyle name="Normal 2 2 10 8 8" xfId="9387" xr:uid="{00000000-0005-0000-0000-0000AB240000}"/>
    <cellStyle name="Normal 2 2 10 8 9" xfId="9388" xr:uid="{00000000-0005-0000-0000-0000AC240000}"/>
    <cellStyle name="Normal 2 2 10 9" xfId="9389" xr:uid="{00000000-0005-0000-0000-0000AD240000}"/>
    <cellStyle name="Normal 2 2 10 9 10" xfId="9390" xr:uid="{00000000-0005-0000-0000-0000AE240000}"/>
    <cellStyle name="Normal 2 2 10 9 11" xfId="9391" xr:uid="{00000000-0005-0000-0000-0000AF240000}"/>
    <cellStyle name="Normal 2 2 10 9 12" xfId="9392" xr:uid="{00000000-0005-0000-0000-0000B0240000}"/>
    <cellStyle name="Normal 2 2 10 9 13" xfId="9393" xr:uid="{00000000-0005-0000-0000-0000B1240000}"/>
    <cellStyle name="Normal 2 2 10 9 14" xfId="9394" xr:uid="{00000000-0005-0000-0000-0000B2240000}"/>
    <cellStyle name="Normal 2 2 10 9 2" xfId="9395" xr:uid="{00000000-0005-0000-0000-0000B3240000}"/>
    <cellStyle name="Normal 2 2 10 9 2 10" xfId="9396" xr:uid="{00000000-0005-0000-0000-0000B4240000}"/>
    <cellStyle name="Normal 2 2 10 9 2 2" xfId="9397" xr:uid="{00000000-0005-0000-0000-0000B5240000}"/>
    <cellStyle name="Normal 2 2 10 9 2 3" xfId="9398" xr:uid="{00000000-0005-0000-0000-0000B6240000}"/>
    <cellStyle name="Normal 2 2 10 9 2 4" xfId="9399" xr:uid="{00000000-0005-0000-0000-0000B7240000}"/>
    <cellStyle name="Normal 2 2 10 9 2 5" xfId="9400" xr:uid="{00000000-0005-0000-0000-0000B8240000}"/>
    <cellStyle name="Normal 2 2 10 9 2 6" xfId="9401" xr:uid="{00000000-0005-0000-0000-0000B9240000}"/>
    <cellStyle name="Normal 2 2 10 9 2 7" xfId="9402" xr:uid="{00000000-0005-0000-0000-0000BA240000}"/>
    <cellStyle name="Normal 2 2 10 9 2 8" xfId="9403" xr:uid="{00000000-0005-0000-0000-0000BB240000}"/>
    <cellStyle name="Normal 2 2 10 9 2 9" xfId="9404" xr:uid="{00000000-0005-0000-0000-0000BC240000}"/>
    <cellStyle name="Normal 2 2 10 9 3" xfId="9405" xr:uid="{00000000-0005-0000-0000-0000BD240000}"/>
    <cellStyle name="Normal 2 2 10 9 3 10" xfId="9406" xr:uid="{00000000-0005-0000-0000-0000BE240000}"/>
    <cellStyle name="Normal 2 2 10 9 3 2" xfId="9407" xr:uid="{00000000-0005-0000-0000-0000BF240000}"/>
    <cellStyle name="Normal 2 2 10 9 3 3" xfId="9408" xr:uid="{00000000-0005-0000-0000-0000C0240000}"/>
    <cellStyle name="Normal 2 2 10 9 3 4" xfId="9409" xr:uid="{00000000-0005-0000-0000-0000C1240000}"/>
    <cellStyle name="Normal 2 2 10 9 3 5" xfId="9410" xr:uid="{00000000-0005-0000-0000-0000C2240000}"/>
    <cellStyle name="Normal 2 2 10 9 3 6" xfId="9411" xr:uid="{00000000-0005-0000-0000-0000C3240000}"/>
    <cellStyle name="Normal 2 2 10 9 3 7" xfId="9412" xr:uid="{00000000-0005-0000-0000-0000C4240000}"/>
    <cellStyle name="Normal 2 2 10 9 3 8" xfId="9413" xr:uid="{00000000-0005-0000-0000-0000C5240000}"/>
    <cellStyle name="Normal 2 2 10 9 3 9" xfId="9414" xr:uid="{00000000-0005-0000-0000-0000C6240000}"/>
    <cellStyle name="Normal 2 2 10 9 4" xfId="9415" xr:uid="{00000000-0005-0000-0000-0000C7240000}"/>
    <cellStyle name="Normal 2 2 10 9 4 10" xfId="9416" xr:uid="{00000000-0005-0000-0000-0000C8240000}"/>
    <cellStyle name="Normal 2 2 10 9 4 2" xfId="9417" xr:uid="{00000000-0005-0000-0000-0000C9240000}"/>
    <cellStyle name="Normal 2 2 10 9 4 3" xfId="9418" xr:uid="{00000000-0005-0000-0000-0000CA240000}"/>
    <cellStyle name="Normal 2 2 10 9 4 4" xfId="9419" xr:uid="{00000000-0005-0000-0000-0000CB240000}"/>
    <cellStyle name="Normal 2 2 10 9 4 5" xfId="9420" xr:uid="{00000000-0005-0000-0000-0000CC240000}"/>
    <cellStyle name="Normal 2 2 10 9 4 6" xfId="9421" xr:uid="{00000000-0005-0000-0000-0000CD240000}"/>
    <cellStyle name="Normal 2 2 10 9 4 7" xfId="9422" xr:uid="{00000000-0005-0000-0000-0000CE240000}"/>
    <cellStyle name="Normal 2 2 10 9 4 8" xfId="9423" xr:uid="{00000000-0005-0000-0000-0000CF240000}"/>
    <cellStyle name="Normal 2 2 10 9 4 9" xfId="9424" xr:uid="{00000000-0005-0000-0000-0000D0240000}"/>
    <cellStyle name="Normal 2 2 10 9 5" xfId="9425" xr:uid="{00000000-0005-0000-0000-0000D1240000}"/>
    <cellStyle name="Normal 2 2 10 9 5 10" xfId="9426" xr:uid="{00000000-0005-0000-0000-0000D2240000}"/>
    <cellStyle name="Normal 2 2 10 9 5 2" xfId="9427" xr:uid="{00000000-0005-0000-0000-0000D3240000}"/>
    <cellStyle name="Normal 2 2 10 9 5 3" xfId="9428" xr:uid="{00000000-0005-0000-0000-0000D4240000}"/>
    <cellStyle name="Normal 2 2 10 9 5 4" xfId="9429" xr:uid="{00000000-0005-0000-0000-0000D5240000}"/>
    <cellStyle name="Normal 2 2 10 9 5 5" xfId="9430" xr:uid="{00000000-0005-0000-0000-0000D6240000}"/>
    <cellStyle name="Normal 2 2 10 9 5 6" xfId="9431" xr:uid="{00000000-0005-0000-0000-0000D7240000}"/>
    <cellStyle name="Normal 2 2 10 9 5 7" xfId="9432" xr:uid="{00000000-0005-0000-0000-0000D8240000}"/>
    <cellStyle name="Normal 2 2 10 9 5 8" xfId="9433" xr:uid="{00000000-0005-0000-0000-0000D9240000}"/>
    <cellStyle name="Normal 2 2 10 9 5 9" xfId="9434" xr:uid="{00000000-0005-0000-0000-0000DA240000}"/>
    <cellStyle name="Normal 2 2 10 9 6" xfId="9435" xr:uid="{00000000-0005-0000-0000-0000DB240000}"/>
    <cellStyle name="Normal 2 2 10 9 7" xfId="9436" xr:uid="{00000000-0005-0000-0000-0000DC240000}"/>
    <cellStyle name="Normal 2 2 10 9 8" xfId="9437" xr:uid="{00000000-0005-0000-0000-0000DD240000}"/>
    <cellStyle name="Normal 2 2 10 9 9" xfId="9438" xr:uid="{00000000-0005-0000-0000-0000DE240000}"/>
    <cellStyle name="Normal 2 2 11" xfId="9439" xr:uid="{00000000-0005-0000-0000-0000DF240000}"/>
    <cellStyle name="Normal 2 2 12" xfId="9440" xr:uid="{00000000-0005-0000-0000-0000E0240000}"/>
    <cellStyle name="Normal 2 2 13" xfId="9441" xr:uid="{00000000-0005-0000-0000-0000E1240000}"/>
    <cellStyle name="Normal 2 2 14" xfId="9442" xr:uid="{00000000-0005-0000-0000-0000E2240000}"/>
    <cellStyle name="Normal 2 2 15" xfId="9443" xr:uid="{00000000-0005-0000-0000-0000E3240000}"/>
    <cellStyle name="Normal 2 2 16" xfId="9444" xr:uid="{00000000-0005-0000-0000-0000E4240000}"/>
    <cellStyle name="Normal 2 2 17" xfId="9445" xr:uid="{00000000-0005-0000-0000-0000E5240000}"/>
    <cellStyle name="Normal 2 2 18" xfId="9446" xr:uid="{00000000-0005-0000-0000-0000E6240000}"/>
    <cellStyle name="Normal 2 2 19" xfId="9447" xr:uid="{00000000-0005-0000-0000-0000E7240000}"/>
    <cellStyle name="Normal 2 2 2" xfId="13" xr:uid="{00000000-0005-0000-0000-00000D000000}"/>
    <cellStyle name="Normal 2 2 2 10" xfId="9448" xr:uid="{00000000-0005-0000-0000-0000E8240000}"/>
    <cellStyle name="Normal 2 2 2 10 10" xfId="9449" xr:uid="{00000000-0005-0000-0000-0000E9240000}"/>
    <cellStyle name="Normal 2 2 2 10 11" xfId="9450" xr:uid="{00000000-0005-0000-0000-0000EA240000}"/>
    <cellStyle name="Normal 2 2 2 10 12" xfId="9451" xr:uid="{00000000-0005-0000-0000-0000EB240000}"/>
    <cellStyle name="Normal 2 2 2 10 13" xfId="9452" xr:uid="{00000000-0005-0000-0000-0000EC240000}"/>
    <cellStyle name="Normal 2 2 2 10 14" xfId="9453" xr:uid="{00000000-0005-0000-0000-0000ED240000}"/>
    <cellStyle name="Normal 2 2 2 10 2" xfId="9454" xr:uid="{00000000-0005-0000-0000-0000EE240000}"/>
    <cellStyle name="Normal 2 2 2 10 2 10" xfId="9455" xr:uid="{00000000-0005-0000-0000-0000EF240000}"/>
    <cellStyle name="Normal 2 2 2 10 2 2" xfId="9456" xr:uid="{00000000-0005-0000-0000-0000F0240000}"/>
    <cellStyle name="Normal 2 2 2 10 2 3" xfId="9457" xr:uid="{00000000-0005-0000-0000-0000F1240000}"/>
    <cellStyle name="Normal 2 2 2 10 2 4" xfId="9458" xr:uid="{00000000-0005-0000-0000-0000F2240000}"/>
    <cellStyle name="Normal 2 2 2 10 2 5" xfId="9459" xr:uid="{00000000-0005-0000-0000-0000F3240000}"/>
    <cellStyle name="Normal 2 2 2 10 2 6" xfId="9460" xr:uid="{00000000-0005-0000-0000-0000F4240000}"/>
    <cellStyle name="Normal 2 2 2 10 2 7" xfId="9461" xr:uid="{00000000-0005-0000-0000-0000F5240000}"/>
    <cellStyle name="Normal 2 2 2 10 2 8" xfId="9462" xr:uid="{00000000-0005-0000-0000-0000F6240000}"/>
    <cellStyle name="Normal 2 2 2 10 2 9" xfId="9463" xr:uid="{00000000-0005-0000-0000-0000F7240000}"/>
    <cellStyle name="Normal 2 2 2 10 3" xfId="9464" xr:uid="{00000000-0005-0000-0000-0000F8240000}"/>
    <cellStyle name="Normal 2 2 2 10 3 10" xfId="9465" xr:uid="{00000000-0005-0000-0000-0000F9240000}"/>
    <cellStyle name="Normal 2 2 2 10 3 2" xfId="9466" xr:uid="{00000000-0005-0000-0000-0000FA240000}"/>
    <cellStyle name="Normal 2 2 2 10 3 3" xfId="9467" xr:uid="{00000000-0005-0000-0000-0000FB240000}"/>
    <cellStyle name="Normal 2 2 2 10 3 4" xfId="9468" xr:uid="{00000000-0005-0000-0000-0000FC240000}"/>
    <cellStyle name="Normal 2 2 2 10 3 5" xfId="9469" xr:uid="{00000000-0005-0000-0000-0000FD240000}"/>
    <cellStyle name="Normal 2 2 2 10 3 6" xfId="9470" xr:uid="{00000000-0005-0000-0000-0000FE240000}"/>
    <cellStyle name="Normal 2 2 2 10 3 7" xfId="9471" xr:uid="{00000000-0005-0000-0000-0000FF240000}"/>
    <cellStyle name="Normal 2 2 2 10 3 8" xfId="9472" xr:uid="{00000000-0005-0000-0000-000000250000}"/>
    <cellStyle name="Normal 2 2 2 10 3 9" xfId="9473" xr:uid="{00000000-0005-0000-0000-000001250000}"/>
    <cellStyle name="Normal 2 2 2 10 4" xfId="9474" xr:uid="{00000000-0005-0000-0000-000002250000}"/>
    <cellStyle name="Normal 2 2 2 10 4 10" xfId="9475" xr:uid="{00000000-0005-0000-0000-000003250000}"/>
    <cellStyle name="Normal 2 2 2 10 4 2" xfId="9476" xr:uid="{00000000-0005-0000-0000-000004250000}"/>
    <cellStyle name="Normal 2 2 2 10 4 3" xfId="9477" xr:uid="{00000000-0005-0000-0000-000005250000}"/>
    <cellStyle name="Normal 2 2 2 10 4 4" xfId="9478" xr:uid="{00000000-0005-0000-0000-000006250000}"/>
    <cellStyle name="Normal 2 2 2 10 4 5" xfId="9479" xr:uid="{00000000-0005-0000-0000-000007250000}"/>
    <cellStyle name="Normal 2 2 2 10 4 6" xfId="9480" xr:uid="{00000000-0005-0000-0000-000008250000}"/>
    <cellStyle name="Normal 2 2 2 10 4 7" xfId="9481" xr:uid="{00000000-0005-0000-0000-000009250000}"/>
    <cellStyle name="Normal 2 2 2 10 4 8" xfId="9482" xr:uid="{00000000-0005-0000-0000-00000A250000}"/>
    <cellStyle name="Normal 2 2 2 10 4 9" xfId="9483" xr:uid="{00000000-0005-0000-0000-00000B250000}"/>
    <cellStyle name="Normal 2 2 2 10 5" xfId="9484" xr:uid="{00000000-0005-0000-0000-00000C250000}"/>
    <cellStyle name="Normal 2 2 2 10 5 10" xfId="9485" xr:uid="{00000000-0005-0000-0000-00000D250000}"/>
    <cellStyle name="Normal 2 2 2 10 5 2" xfId="9486" xr:uid="{00000000-0005-0000-0000-00000E250000}"/>
    <cellStyle name="Normal 2 2 2 10 5 3" xfId="9487" xr:uid="{00000000-0005-0000-0000-00000F250000}"/>
    <cellStyle name="Normal 2 2 2 10 5 4" xfId="9488" xr:uid="{00000000-0005-0000-0000-000010250000}"/>
    <cellStyle name="Normal 2 2 2 10 5 5" xfId="9489" xr:uid="{00000000-0005-0000-0000-000011250000}"/>
    <cellStyle name="Normal 2 2 2 10 5 6" xfId="9490" xr:uid="{00000000-0005-0000-0000-000012250000}"/>
    <cellStyle name="Normal 2 2 2 10 5 7" xfId="9491" xr:uid="{00000000-0005-0000-0000-000013250000}"/>
    <cellStyle name="Normal 2 2 2 10 5 8" xfId="9492" xr:uid="{00000000-0005-0000-0000-000014250000}"/>
    <cellStyle name="Normal 2 2 2 10 5 9" xfId="9493" xr:uid="{00000000-0005-0000-0000-000015250000}"/>
    <cellStyle name="Normal 2 2 2 10 6" xfId="9494" xr:uid="{00000000-0005-0000-0000-000016250000}"/>
    <cellStyle name="Normal 2 2 2 10 7" xfId="9495" xr:uid="{00000000-0005-0000-0000-000017250000}"/>
    <cellStyle name="Normal 2 2 2 10 8" xfId="9496" xr:uid="{00000000-0005-0000-0000-000018250000}"/>
    <cellStyle name="Normal 2 2 2 10 9" xfId="9497" xr:uid="{00000000-0005-0000-0000-000019250000}"/>
    <cellStyle name="Normal 2 2 2 11" xfId="9498" xr:uid="{00000000-0005-0000-0000-00001A250000}"/>
    <cellStyle name="Normal 2 2 2 11 10" xfId="9499" xr:uid="{00000000-0005-0000-0000-00001B250000}"/>
    <cellStyle name="Normal 2 2 2 11 11" xfId="9500" xr:uid="{00000000-0005-0000-0000-00001C250000}"/>
    <cellStyle name="Normal 2 2 2 11 12" xfId="9501" xr:uid="{00000000-0005-0000-0000-00001D250000}"/>
    <cellStyle name="Normal 2 2 2 11 13" xfId="9502" xr:uid="{00000000-0005-0000-0000-00001E250000}"/>
    <cellStyle name="Normal 2 2 2 11 14" xfId="9503" xr:uid="{00000000-0005-0000-0000-00001F250000}"/>
    <cellStyle name="Normal 2 2 2 11 2" xfId="9504" xr:uid="{00000000-0005-0000-0000-000020250000}"/>
    <cellStyle name="Normal 2 2 2 11 2 10" xfId="9505" xr:uid="{00000000-0005-0000-0000-000021250000}"/>
    <cellStyle name="Normal 2 2 2 11 2 2" xfId="9506" xr:uid="{00000000-0005-0000-0000-000022250000}"/>
    <cellStyle name="Normal 2 2 2 11 2 3" xfId="9507" xr:uid="{00000000-0005-0000-0000-000023250000}"/>
    <cellStyle name="Normal 2 2 2 11 2 4" xfId="9508" xr:uid="{00000000-0005-0000-0000-000024250000}"/>
    <cellStyle name="Normal 2 2 2 11 2 5" xfId="9509" xr:uid="{00000000-0005-0000-0000-000025250000}"/>
    <cellStyle name="Normal 2 2 2 11 2 6" xfId="9510" xr:uid="{00000000-0005-0000-0000-000026250000}"/>
    <cellStyle name="Normal 2 2 2 11 2 7" xfId="9511" xr:uid="{00000000-0005-0000-0000-000027250000}"/>
    <cellStyle name="Normal 2 2 2 11 2 8" xfId="9512" xr:uid="{00000000-0005-0000-0000-000028250000}"/>
    <cellStyle name="Normal 2 2 2 11 2 9" xfId="9513" xr:uid="{00000000-0005-0000-0000-000029250000}"/>
    <cellStyle name="Normal 2 2 2 11 3" xfId="9514" xr:uid="{00000000-0005-0000-0000-00002A250000}"/>
    <cellStyle name="Normal 2 2 2 11 3 10" xfId="9515" xr:uid="{00000000-0005-0000-0000-00002B250000}"/>
    <cellStyle name="Normal 2 2 2 11 3 2" xfId="9516" xr:uid="{00000000-0005-0000-0000-00002C250000}"/>
    <cellStyle name="Normal 2 2 2 11 3 3" xfId="9517" xr:uid="{00000000-0005-0000-0000-00002D250000}"/>
    <cellStyle name="Normal 2 2 2 11 3 4" xfId="9518" xr:uid="{00000000-0005-0000-0000-00002E250000}"/>
    <cellStyle name="Normal 2 2 2 11 3 5" xfId="9519" xr:uid="{00000000-0005-0000-0000-00002F250000}"/>
    <cellStyle name="Normal 2 2 2 11 3 6" xfId="9520" xr:uid="{00000000-0005-0000-0000-000030250000}"/>
    <cellStyle name="Normal 2 2 2 11 3 7" xfId="9521" xr:uid="{00000000-0005-0000-0000-000031250000}"/>
    <cellStyle name="Normal 2 2 2 11 3 8" xfId="9522" xr:uid="{00000000-0005-0000-0000-000032250000}"/>
    <cellStyle name="Normal 2 2 2 11 3 9" xfId="9523" xr:uid="{00000000-0005-0000-0000-000033250000}"/>
    <cellStyle name="Normal 2 2 2 11 4" xfId="9524" xr:uid="{00000000-0005-0000-0000-000034250000}"/>
    <cellStyle name="Normal 2 2 2 11 4 10" xfId="9525" xr:uid="{00000000-0005-0000-0000-000035250000}"/>
    <cellStyle name="Normal 2 2 2 11 4 2" xfId="9526" xr:uid="{00000000-0005-0000-0000-000036250000}"/>
    <cellStyle name="Normal 2 2 2 11 4 3" xfId="9527" xr:uid="{00000000-0005-0000-0000-000037250000}"/>
    <cellStyle name="Normal 2 2 2 11 4 4" xfId="9528" xr:uid="{00000000-0005-0000-0000-000038250000}"/>
    <cellStyle name="Normal 2 2 2 11 4 5" xfId="9529" xr:uid="{00000000-0005-0000-0000-000039250000}"/>
    <cellStyle name="Normal 2 2 2 11 4 6" xfId="9530" xr:uid="{00000000-0005-0000-0000-00003A250000}"/>
    <cellStyle name="Normal 2 2 2 11 4 7" xfId="9531" xr:uid="{00000000-0005-0000-0000-00003B250000}"/>
    <cellStyle name="Normal 2 2 2 11 4 8" xfId="9532" xr:uid="{00000000-0005-0000-0000-00003C250000}"/>
    <cellStyle name="Normal 2 2 2 11 4 9" xfId="9533" xr:uid="{00000000-0005-0000-0000-00003D250000}"/>
    <cellStyle name="Normal 2 2 2 11 5" xfId="9534" xr:uid="{00000000-0005-0000-0000-00003E250000}"/>
    <cellStyle name="Normal 2 2 2 11 5 10" xfId="9535" xr:uid="{00000000-0005-0000-0000-00003F250000}"/>
    <cellStyle name="Normal 2 2 2 11 5 2" xfId="9536" xr:uid="{00000000-0005-0000-0000-000040250000}"/>
    <cellStyle name="Normal 2 2 2 11 5 3" xfId="9537" xr:uid="{00000000-0005-0000-0000-000041250000}"/>
    <cellStyle name="Normal 2 2 2 11 5 4" xfId="9538" xr:uid="{00000000-0005-0000-0000-000042250000}"/>
    <cellStyle name="Normal 2 2 2 11 5 5" xfId="9539" xr:uid="{00000000-0005-0000-0000-000043250000}"/>
    <cellStyle name="Normal 2 2 2 11 5 6" xfId="9540" xr:uid="{00000000-0005-0000-0000-000044250000}"/>
    <cellStyle name="Normal 2 2 2 11 5 7" xfId="9541" xr:uid="{00000000-0005-0000-0000-000045250000}"/>
    <cellStyle name="Normal 2 2 2 11 5 8" xfId="9542" xr:uid="{00000000-0005-0000-0000-000046250000}"/>
    <cellStyle name="Normal 2 2 2 11 5 9" xfId="9543" xr:uid="{00000000-0005-0000-0000-000047250000}"/>
    <cellStyle name="Normal 2 2 2 11 6" xfId="9544" xr:uid="{00000000-0005-0000-0000-000048250000}"/>
    <cellStyle name="Normal 2 2 2 11 7" xfId="9545" xr:uid="{00000000-0005-0000-0000-000049250000}"/>
    <cellStyle name="Normal 2 2 2 11 8" xfId="9546" xr:uid="{00000000-0005-0000-0000-00004A250000}"/>
    <cellStyle name="Normal 2 2 2 11 9" xfId="9547" xr:uid="{00000000-0005-0000-0000-00004B250000}"/>
    <cellStyle name="Normal 2 2 2 12" xfId="9548" xr:uid="{00000000-0005-0000-0000-00004C250000}"/>
    <cellStyle name="Normal 2 2 2 12 10" xfId="9549" xr:uid="{00000000-0005-0000-0000-00004D250000}"/>
    <cellStyle name="Normal 2 2 2 12 11" xfId="9550" xr:uid="{00000000-0005-0000-0000-00004E250000}"/>
    <cellStyle name="Normal 2 2 2 12 12" xfId="9551" xr:uid="{00000000-0005-0000-0000-00004F250000}"/>
    <cellStyle name="Normal 2 2 2 12 13" xfId="9552" xr:uid="{00000000-0005-0000-0000-000050250000}"/>
    <cellStyle name="Normal 2 2 2 12 14" xfId="9553" xr:uid="{00000000-0005-0000-0000-000051250000}"/>
    <cellStyle name="Normal 2 2 2 12 2" xfId="9554" xr:uid="{00000000-0005-0000-0000-000052250000}"/>
    <cellStyle name="Normal 2 2 2 12 2 10" xfId="9555" xr:uid="{00000000-0005-0000-0000-000053250000}"/>
    <cellStyle name="Normal 2 2 2 12 2 2" xfId="9556" xr:uid="{00000000-0005-0000-0000-000054250000}"/>
    <cellStyle name="Normal 2 2 2 12 2 3" xfId="9557" xr:uid="{00000000-0005-0000-0000-000055250000}"/>
    <cellStyle name="Normal 2 2 2 12 2 4" xfId="9558" xr:uid="{00000000-0005-0000-0000-000056250000}"/>
    <cellStyle name="Normal 2 2 2 12 2 5" xfId="9559" xr:uid="{00000000-0005-0000-0000-000057250000}"/>
    <cellStyle name="Normal 2 2 2 12 2 6" xfId="9560" xr:uid="{00000000-0005-0000-0000-000058250000}"/>
    <cellStyle name="Normal 2 2 2 12 2 7" xfId="9561" xr:uid="{00000000-0005-0000-0000-000059250000}"/>
    <cellStyle name="Normal 2 2 2 12 2 8" xfId="9562" xr:uid="{00000000-0005-0000-0000-00005A250000}"/>
    <cellStyle name="Normal 2 2 2 12 2 9" xfId="9563" xr:uid="{00000000-0005-0000-0000-00005B250000}"/>
    <cellStyle name="Normal 2 2 2 12 3" xfId="9564" xr:uid="{00000000-0005-0000-0000-00005C250000}"/>
    <cellStyle name="Normal 2 2 2 12 3 10" xfId="9565" xr:uid="{00000000-0005-0000-0000-00005D250000}"/>
    <cellStyle name="Normal 2 2 2 12 3 2" xfId="9566" xr:uid="{00000000-0005-0000-0000-00005E250000}"/>
    <cellStyle name="Normal 2 2 2 12 3 3" xfId="9567" xr:uid="{00000000-0005-0000-0000-00005F250000}"/>
    <cellStyle name="Normal 2 2 2 12 3 4" xfId="9568" xr:uid="{00000000-0005-0000-0000-000060250000}"/>
    <cellStyle name="Normal 2 2 2 12 3 5" xfId="9569" xr:uid="{00000000-0005-0000-0000-000061250000}"/>
    <cellStyle name="Normal 2 2 2 12 3 6" xfId="9570" xr:uid="{00000000-0005-0000-0000-000062250000}"/>
    <cellStyle name="Normal 2 2 2 12 3 7" xfId="9571" xr:uid="{00000000-0005-0000-0000-000063250000}"/>
    <cellStyle name="Normal 2 2 2 12 3 8" xfId="9572" xr:uid="{00000000-0005-0000-0000-000064250000}"/>
    <cellStyle name="Normal 2 2 2 12 3 9" xfId="9573" xr:uid="{00000000-0005-0000-0000-000065250000}"/>
    <cellStyle name="Normal 2 2 2 12 4" xfId="9574" xr:uid="{00000000-0005-0000-0000-000066250000}"/>
    <cellStyle name="Normal 2 2 2 12 4 10" xfId="9575" xr:uid="{00000000-0005-0000-0000-000067250000}"/>
    <cellStyle name="Normal 2 2 2 12 4 2" xfId="9576" xr:uid="{00000000-0005-0000-0000-000068250000}"/>
    <cellStyle name="Normal 2 2 2 12 4 3" xfId="9577" xr:uid="{00000000-0005-0000-0000-000069250000}"/>
    <cellStyle name="Normal 2 2 2 12 4 4" xfId="9578" xr:uid="{00000000-0005-0000-0000-00006A250000}"/>
    <cellStyle name="Normal 2 2 2 12 4 5" xfId="9579" xr:uid="{00000000-0005-0000-0000-00006B250000}"/>
    <cellStyle name="Normal 2 2 2 12 4 6" xfId="9580" xr:uid="{00000000-0005-0000-0000-00006C250000}"/>
    <cellStyle name="Normal 2 2 2 12 4 7" xfId="9581" xr:uid="{00000000-0005-0000-0000-00006D250000}"/>
    <cellStyle name="Normal 2 2 2 12 4 8" xfId="9582" xr:uid="{00000000-0005-0000-0000-00006E250000}"/>
    <cellStyle name="Normal 2 2 2 12 4 9" xfId="9583" xr:uid="{00000000-0005-0000-0000-00006F250000}"/>
    <cellStyle name="Normal 2 2 2 12 5" xfId="9584" xr:uid="{00000000-0005-0000-0000-000070250000}"/>
    <cellStyle name="Normal 2 2 2 12 5 10" xfId="9585" xr:uid="{00000000-0005-0000-0000-000071250000}"/>
    <cellStyle name="Normal 2 2 2 12 5 2" xfId="9586" xr:uid="{00000000-0005-0000-0000-000072250000}"/>
    <cellStyle name="Normal 2 2 2 12 5 3" xfId="9587" xr:uid="{00000000-0005-0000-0000-000073250000}"/>
    <cellStyle name="Normal 2 2 2 12 5 4" xfId="9588" xr:uid="{00000000-0005-0000-0000-000074250000}"/>
    <cellStyle name="Normal 2 2 2 12 5 5" xfId="9589" xr:uid="{00000000-0005-0000-0000-000075250000}"/>
    <cellStyle name="Normal 2 2 2 12 5 6" xfId="9590" xr:uid="{00000000-0005-0000-0000-000076250000}"/>
    <cellStyle name="Normal 2 2 2 12 5 7" xfId="9591" xr:uid="{00000000-0005-0000-0000-000077250000}"/>
    <cellStyle name="Normal 2 2 2 12 5 8" xfId="9592" xr:uid="{00000000-0005-0000-0000-000078250000}"/>
    <cellStyle name="Normal 2 2 2 12 5 9" xfId="9593" xr:uid="{00000000-0005-0000-0000-000079250000}"/>
    <cellStyle name="Normal 2 2 2 12 6" xfId="9594" xr:uid="{00000000-0005-0000-0000-00007A250000}"/>
    <cellStyle name="Normal 2 2 2 12 7" xfId="9595" xr:uid="{00000000-0005-0000-0000-00007B250000}"/>
    <cellStyle name="Normal 2 2 2 12 8" xfId="9596" xr:uid="{00000000-0005-0000-0000-00007C250000}"/>
    <cellStyle name="Normal 2 2 2 12 9" xfId="9597" xr:uid="{00000000-0005-0000-0000-00007D250000}"/>
    <cellStyle name="Normal 2 2 2 13" xfId="9598" xr:uid="{00000000-0005-0000-0000-00007E250000}"/>
    <cellStyle name="Normal 2 2 2 13 10" xfId="9599" xr:uid="{00000000-0005-0000-0000-00007F250000}"/>
    <cellStyle name="Normal 2 2 2 13 11" xfId="9600" xr:uid="{00000000-0005-0000-0000-000080250000}"/>
    <cellStyle name="Normal 2 2 2 13 12" xfId="9601" xr:uid="{00000000-0005-0000-0000-000081250000}"/>
    <cellStyle name="Normal 2 2 2 13 13" xfId="9602" xr:uid="{00000000-0005-0000-0000-000082250000}"/>
    <cellStyle name="Normal 2 2 2 13 14" xfId="9603" xr:uid="{00000000-0005-0000-0000-000083250000}"/>
    <cellStyle name="Normal 2 2 2 13 2" xfId="9604" xr:uid="{00000000-0005-0000-0000-000084250000}"/>
    <cellStyle name="Normal 2 2 2 13 2 10" xfId="9605" xr:uid="{00000000-0005-0000-0000-000085250000}"/>
    <cellStyle name="Normal 2 2 2 13 2 2" xfId="9606" xr:uid="{00000000-0005-0000-0000-000086250000}"/>
    <cellStyle name="Normal 2 2 2 13 2 3" xfId="9607" xr:uid="{00000000-0005-0000-0000-000087250000}"/>
    <cellStyle name="Normal 2 2 2 13 2 4" xfId="9608" xr:uid="{00000000-0005-0000-0000-000088250000}"/>
    <cellStyle name="Normal 2 2 2 13 2 5" xfId="9609" xr:uid="{00000000-0005-0000-0000-000089250000}"/>
    <cellStyle name="Normal 2 2 2 13 2 6" xfId="9610" xr:uid="{00000000-0005-0000-0000-00008A250000}"/>
    <cellStyle name="Normal 2 2 2 13 2 7" xfId="9611" xr:uid="{00000000-0005-0000-0000-00008B250000}"/>
    <cellStyle name="Normal 2 2 2 13 2 8" xfId="9612" xr:uid="{00000000-0005-0000-0000-00008C250000}"/>
    <cellStyle name="Normal 2 2 2 13 2 9" xfId="9613" xr:uid="{00000000-0005-0000-0000-00008D250000}"/>
    <cellStyle name="Normal 2 2 2 13 3" xfId="9614" xr:uid="{00000000-0005-0000-0000-00008E250000}"/>
    <cellStyle name="Normal 2 2 2 13 3 10" xfId="9615" xr:uid="{00000000-0005-0000-0000-00008F250000}"/>
    <cellStyle name="Normal 2 2 2 13 3 2" xfId="9616" xr:uid="{00000000-0005-0000-0000-000090250000}"/>
    <cellStyle name="Normal 2 2 2 13 3 3" xfId="9617" xr:uid="{00000000-0005-0000-0000-000091250000}"/>
    <cellStyle name="Normal 2 2 2 13 3 4" xfId="9618" xr:uid="{00000000-0005-0000-0000-000092250000}"/>
    <cellStyle name="Normal 2 2 2 13 3 5" xfId="9619" xr:uid="{00000000-0005-0000-0000-000093250000}"/>
    <cellStyle name="Normal 2 2 2 13 3 6" xfId="9620" xr:uid="{00000000-0005-0000-0000-000094250000}"/>
    <cellStyle name="Normal 2 2 2 13 3 7" xfId="9621" xr:uid="{00000000-0005-0000-0000-000095250000}"/>
    <cellStyle name="Normal 2 2 2 13 3 8" xfId="9622" xr:uid="{00000000-0005-0000-0000-000096250000}"/>
    <cellStyle name="Normal 2 2 2 13 3 9" xfId="9623" xr:uid="{00000000-0005-0000-0000-000097250000}"/>
    <cellStyle name="Normal 2 2 2 13 4" xfId="9624" xr:uid="{00000000-0005-0000-0000-000098250000}"/>
    <cellStyle name="Normal 2 2 2 13 4 10" xfId="9625" xr:uid="{00000000-0005-0000-0000-000099250000}"/>
    <cellStyle name="Normal 2 2 2 13 4 2" xfId="9626" xr:uid="{00000000-0005-0000-0000-00009A250000}"/>
    <cellStyle name="Normal 2 2 2 13 4 3" xfId="9627" xr:uid="{00000000-0005-0000-0000-00009B250000}"/>
    <cellStyle name="Normal 2 2 2 13 4 4" xfId="9628" xr:uid="{00000000-0005-0000-0000-00009C250000}"/>
    <cellStyle name="Normal 2 2 2 13 4 5" xfId="9629" xr:uid="{00000000-0005-0000-0000-00009D250000}"/>
    <cellStyle name="Normal 2 2 2 13 4 6" xfId="9630" xr:uid="{00000000-0005-0000-0000-00009E250000}"/>
    <cellStyle name="Normal 2 2 2 13 4 7" xfId="9631" xr:uid="{00000000-0005-0000-0000-00009F250000}"/>
    <cellStyle name="Normal 2 2 2 13 4 8" xfId="9632" xr:uid="{00000000-0005-0000-0000-0000A0250000}"/>
    <cellStyle name="Normal 2 2 2 13 4 9" xfId="9633" xr:uid="{00000000-0005-0000-0000-0000A1250000}"/>
    <cellStyle name="Normal 2 2 2 13 5" xfId="9634" xr:uid="{00000000-0005-0000-0000-0000A2250000}"/>
    <cellStyle name="Normal 2 2 2 13 5 10" xfId="9635" xr:uid="{00000000-0005-0000-0000-0000A3250000}"/>
    <cellStyle name="Normal 2 2 2 13 5 2" xfId="9636" xr:uid="{00000000-0005-0000-0000-0000A4250000}"/>
    <cellStyle name="Normal 2 2 2 13 5 3" xfId="9637" xr:uid="{00000000-0005-0000-0000-0000A5250000}"/>
    <cellStyle name="Normal 2 2 2 13 5 4" xfId="9638" xr:uid="{00000000-0005-0000-0000-0000A6250000}"/>
    <cellStyle name="Normal 2 2 2 13 5 5" xfId="9639" xr:uid="{00000000-0005-0000-0000-0000A7250000}"/>
    <cellStyle name="Normal 2 2 2 13 5 6" xfId="9640" xr:uid="{00000000-0005-0000-0000-0000A8250000}"/>
    <cellStyle name="Normal 2 2 2 13 5 7" xfId="9641" xr:uid="{00000000-0005-0000-0000-0000A9250000}"/>
    <cellStyle name="Normal 2 2 2 13 5 8" xfId="9642" xr:uid="{00000000-0005-0000-0000-0000AA250000}"/>
    <cellStyle name="Normal 2 2 2 13 5 9" xfId="9643" xr:uid="{00000000-0005-0000-0000-0000AB250000}"/>
    <cellStyle name="Normal 2 2 2 13 6" xfId="9644" xr:uid="{00000000-0005-0000-0000-0000AC250000}"/>
    <cellStyle name="Normal 2 2 2 13 7" xfId="9645" xr:uid="{00000000-0005-0000-0000-0000AD250000}"/>
    <cellStyle name="Normal 2 2 2 13 8" xfId="9646" xr:uid="{00000000-0005-0000-0000-0000AE250000}"/>
    <cellStyle name="Normal 2 2 2 13 9" xfId="9647" xr:uid="{00000000-0005-0000-0000-0000AF250000}"/>
    <cellStyle name="Normal 2 2 2 14" xfId="9648" xr:uid="{00000000-0005-0000-0000-0000B0250000}"/>
    <cellStyle name="Normal 2 2 2 14 10" xfId="9649" xr:uid="{00000000-0005-0000-0000-0000B1250000}"/>
    <cellStyle name="Normal 2 2 2 14 11" xfId="9650" xr:uid="{00000000-0005-0000-0000-0000B2250000}"/>
    <cellStyle name="Normal 2 2 2 14 12" xfId="9651" xr:uid="{00000000-0005-0000-0000-0000B3250000}"/>
    <cellStyle name="Normal 2 2 2 14 13" xfId="9652" xr:uid="{00000000-0005-0000-0000-0000B4250000}"/>
    <cellStyle name="Normal 2 2 2 14 14" xfId="9653" xr:uid="{00000000-0005-0000-0000-0000B5250000}"/>
    <cellStyle name="Normal 2 2 2 14 2" xfId="9654" xr:uid="{00000000-0005-0000-0000-0000B6250000}"/>
    <cellStyle name="Normal 2 2 2 14 2 10" xfId="9655" xr:uid="{00000000-0005-0000-0000-0000B7250000}"/>
    <cellStyle name="Normal 2 2 2 14 2 2" xfId="9656" xr:uid="{00000000-0005-0000-0000-0000B8250000}"/>
    <cellStyle name="Normal 2 2 2 14 2 3" xfId="9657" xr:uid="{00000000-0005-0000-0000-0000B9250000}"/>
    <cellStyle name="Normal 2 2 2 14 2 4" xfId="9658" xr:uid="{00000000-0005-0000-0000-0000BA250000}"/>
    <cellStyle name="Normal 2 2 2 14 2 5" xfId="9659" xr:uid="{00000000-0005-0000-0000-0000BB250000}"/>
    <cellStyle name="Normal 2 2 2 14 2 6" xfId="9660" xr:uid="{00000000-0005-0000-0000-0000BC250000}"/>
    <cellStyle name="Normal 2 2 2 14 2 7" xfId="9661" xr:uid="{00000000-0005-0000-0000-0000BD250000}"/>
    <cellStyle name="Normal 2 2 2 14 2 8" xfId="9662" xr:uid="{00000000-0005-0000-0000-0000BE250000}"/>
    <cellStyle name="Normal 2 2 2 14 2 9" xfId="9663" xr:uid="{00000000-0005-0000-0000-0000BF250000}"/>
    <cellStyle name="Normal 2 2 2 14 3" xfId="9664" xr:uid="{00000000-0005-0000-0000-0000C0250000}"/>
    <cellStyle name="Normal 2 2 2 14 3 10" xfId="9665" xr:uid="{00000000-0005-0000-0000-0000C1250000}"/>
    <cellStyle name="Normal 2 2 2 14 3 2" xfId="9666" xr:uid="{00000000-0005-0000-0000-0000C2250000}"/>
    <cellStyle name="Normal 2 2 2 14 3 3" xfId="9667" xr:uid="{00000000-0005-0000-0000-0000C3250000}"/>
    <cellStyle name="Normal 2 2 2 14 3 4" xfId="9668" xr:uid="{00000000-0005-0000-0000-0000C4250000}"/>
    <cellStyle name="Normal 2 2 2 14 3 5" xfId="9669" xr:uid="{00000000-0005-0000-0000-0000C5250000}"/>
    <cellStyle name="Normal 2 2 2 14 3 6" xfId="9670" xr:uid="{00000000-0005-0000-0000-0000C6250000}"/>
    <cellStyle name="Normal 2 2 2 14 3 7" xfId="9671" xr:uid="{00000000-0005-0000-0000-0000C7250000}"/>
    <cellStyle name="Normal 2 2 2 14 3 8" xfId="9672" xr:uid="{00000000-0005-0000-0000-0000C8250000}"/>
    <cellStyle name="Normal 2 2 2 14 3 9" xfId="9673" xr:uid="{00000000-0005-0000-0000-0000C9250000}"/>
    <cellStyle name="Normal 2 2 2 14 4" xfId="9674" xr:uid="{00000000-0005-0000-0000-0000CA250000}"/>
    <cellStyle name="Normal 2 2 2 14 4 10" xfId="9675" xr:uid="{00000000-0005-0000-0000-0000CB250000}"/>
    <cellStyle name="Normal 2 2 2 14 4 2" xfId="9676" xr:uid="{00000000-0005-0000-0000-0000CC250000}"/>
    <cellStyle name="Normal 2 2 2 14 4 3" xfId="9677" xr:uid="{00000000-0005-0000-0000-0000CD250000}"/>
    <cellStyle name="Normal 2 2 2 14 4 4" xfId="9678" xr:uid="{00000000-0005-0000-0000-0000CE250000}"/>
    <cellStyle name="Normal 2 2 2 14 4 5" xfId="9679" xr:uid="{00000000-0005-0000-0000-0000CF250000}"/>
    <cellStyle name="Normal 2 2 2 14 4 6" xfId="9680" xr:uid="{00000000-0005-0000-0000-0000D0250000}"/>
    <cellStyle name="Normal 2 2 2 14 4 7" xfId="9681" xr:uid="{00000000-0005-0000-0000-0000D1250000}"/>
    <cellStyle name="Normal 2 2 2 14 4 8" xfId="9682" xr:uid="{00000000-0005-0000-0000-0000D2250000}"/>
    <cellStyle name="Normal 2 2 2 14 4 9" xfId="9683" xr:uid="{00000000-0005-0000-0000-0000D3250000}"/>
    <cellStyle name="Normal 2 2 2 14 5" xfId="9684" xr:uid="{00000000-0005-0000-0000-0000D4250000}"/>
    <cellStyle name="Normal 2 2 2 14 5 10" xfId="9685" xr:uid="{00000000-0005-0000-0000-0000D5250000}"/>
    <cellStyle name="Normal 2 2 2 14 5 2" xfId="9686" xr:uid="{00000000-0005-0000-0000-0000D6250000}"/>
    <cellStyle name="Normal 2 2 2 14 5 3" xfId="9687" xr:uid="{00000000-0005-0000-0000-0000D7250000}"/>
    <cellStyle name="Normal 2 2 2 14 5 4" xfId="9688" xr:uid="{00000000-0005-0000-0000-0000D8250000}"/>
    <cellStyle name="Normal 2 2 2 14 5 5" xfId="9689" xr:uid="{00000000-0005-0000-0000-0000D9250000}"/>
    <cellStyle name="Normal 2 2 2 14 5 6" xfId="9690" xr:uid="{00000000-0005-0000-0000-0000DA250000}"/>
    <cellStyle name="Normal 2 2 2 14 5 7" xfId="9691" xr:uid="{00000000-0005-0000-0000-0000DB250000}"/>
    <cellStyle name="Normal 2 2 2 14 5 8" xfId="9692" xr:uid="{00000000-0005-0000-0000-0000DC250000}"/>
    <cellStyle name="Normal 2 2 2 14 5 9" xfId="9693" xr:uid="{00000000-0005-0000-0000-0000DD250000}"/>
    <cellStyle name="Normal 2 2 2 14 6" xfId="9694" xr:uid="{00000000-0005-0000-0000-0000DE250000}"/>
    <cellStyle name="Normal 2 2 2 14 7" xfId="9695" xr:uid="{00000000-0005-0000-0000-0000DF250000}"/>
    <cellStyle name="Normal 2 2 2 14 8" xfId="9696" xr:uid="{00000000-0005-0000-0000-0000E0250000}"/>
    <cellStyle name="Normal 2 2 2 14 9" xfId="9697" xr:uid="{00000000-0005-0000-0000-0000E1250000}"/>
    <cellStyle name="Normal 2 2 2 15" xfId="9698" xr:uid="{00000000-0005-0000-0000-0000E2250000}"/>
    <cellStyle name="Normal 2 2 2 15 10" xfId="9699" xr:uid="{00000000-0005-0000-0000-0000E3250000}"/>
    <cellStyle name="Normal 2 2 2 15 11" xfId="9700" xr:uid="{00000000-0005-0000-0000-0000E4250000}"/>
    <cellStyle name="Normal 2 2 2 15 12" xfId="9701" xr:uid="{00000000-0005-0000-0000-0000E5250000}"/>
    <cellStyle name="Normal 2 2 2 15 13" xfId="9702" xr:uid="{00000000-0005-0000-0000-0000E6250000}"/>
    <cellStyle name="Normal 2 2 2 15 14" xfId="9703" xr:uid="{00000000-0005-0000-0000-0000E7250000}"/>
    <cellStyle name="Normal 2 2 2 15 2" xfId="9704" xr:uid="{00000000-0005-0000-0000-0000E8250000}"/>
    <cellStyle name="Normal 2 2 2 15 2 10" xfId="9705" xr:uid="{00000000-0005-0000-0000-0000E9250000}"/>
    <cellStyle name="Normal 2 2 2 15 2 2" xfId="9706" xr:uid="{00000000-0005-0000-0000-0000EA250000}"/>
    <cellStyle name="Normal 2 2 2 15 2 3" xfId="9707" xr:uid="{00000000-0005-0000-0000-0000EB250000}"/>
    <cellStyle name="Normal 2 2 2 15 2 4" xfId="9708" xr:uid="{00000000-0005-0000-0000-0000EC250000}"/>
    <cellStyle name="Normal 2 2 2 15 2 5" xfId="9709" xr:uid="{00000000-0005-0000-0000-0000ED250000}"/>
    <cellStyle name="Normal 2 2 2 15 2 6" xfId="9710" xr:uid="{00000000-0005-0000-0000-0000EE250000}"/>
    <cellStyle name="Normal 2 2 2 15 2 7" xfId="9711" xr:uid="{00000000-0005-0000-0000-0000EF250000}"/>
    <cellStyle name="Normal 2 2 2 15 2 8" xfId="9712" xr:uid="{00000000-0005-0000-0000-0000F0250000}"/>
    <cellStyle name="Normal 2 2 2 15 2 9" xfId="9713" xr:uid="{00000000-0005-0000-0000-0000F1250000}"/>
    <cellStyle name="Normal 2 2 2 15 3" xfId="9714" xr:uid="{00000000-0005-0000-0000-0000F2250000}"/>
    <cellStyle name="Normal 2 2 2 15 3 10" xfId="9715" xr:uid="{00000000-0005-0000-0000-0000F3250000}"/>
    <cellStyle name="Normal 2 2 2 15 3 2" xfId="9716" xr:uid="{00000000-0005-0000-0000-0000F4250000}"/>
    <cellStyle name="Normal 2 2 2 15 3 3" xfId="9717" xr:uid="{00000000-0005-0000-0000-0000F5250000}"/>
    <cellStyle name="Normal 2 2 2 15 3 4" xfId="9718" xr:uid="{00000000-0005-0000-0000-0000F6250000}"/>
    <cellStyle name="Normal 2 2 2 15 3 5" xfId="9719" xr:uid="{00000000-0005-0000-0000-0000F7250000}"/>
    <cellStyle name="Normal 2 2 2 15 3 6" xfId="9720" xr:uid="{00000000-0005-0000-0000-0000F8250000}"/>
    <cellStyle name="Normal 2 2 2 15 3 7" xfId="9721" xr:uid="{00000000-0005-0000-0000-0000F9250000}"/>
    <cellStyle name="Normal 2 2 2 15 3 8" xfId="9722" xr:uid="{00000000-0005-0000-0000-0000FA250000}"/>
    <cellStyle name="Normal 2 2 2 15 3 9" xfId="9723" xr:uid="{00000000-0005-0000-0000-0000FB250000}"/>
    <cellStyle name="Normal 2 2 2 15 4" xfId="9724" xr:uid="{00000000-0005-0000-0000-0000FC250000}"/>
    <cellStyle name="Normal 2 2 2 15 4 10" xfId="9725" xr:uid="{00000000-0005-0000-0000-0000FD250000}"/>
    <cellStyle name="Normal 2 2 2 15 4 2" xfId="9726" xr:uid="{00000000-0005-0000-0000-0000FE250000}"/>
    <cellStyle name="Normal 2 2 2 15 4 3" xfId="9727" xr:uid="{00000000-0005-0000-0000-0000FF250000}"/>
    <cellStyle name="Normal 2 2 2 15 4 4" xfId="9728" xr:uid="{00000000-0005-0000-0000-000000260000}"/>
    <cellStyle name="Normal 2 2 2 15 4 5" xfId="9729" xr:uid="{00000000-0005-0000-0000-000001260000}"/>
    <cellStyle name="Normal 2 2 2 15 4 6" xfId="9730" xr:uid="{00000000-0005-0000-0000-000002260000}"/>
    <cellStyle name="Normal 2 2 2 15 4 7" xfId="9731" xr:uid="{00000000-0005-0000-0000-000003260000}"/>
    <cellStyle name="Normal 2 2 2 15 4 8" xfId="9732" xr:uid="{00000000-0005-0000-0000-000004260000}"/>
    <cellStyle name="Normal 2 2 2 15 4 9" xfId="9733" xr:uid="{00000000-0005-0000-0000-000005260000}"/>
    <cellStyle name="Normal 2 2 2 15 5" xfId="9734" xr:uid="{00000000-0005-0000-0000-000006260000}"/>
    <cellStyle name="Normal 2 2 2 15 5 10" xfId="9735" xr:uid="{00000000-0005-0000-0000-000007260000}"/>
    <cellStyle name="Normal 2 2 2 15 5 2" xfId="9736" xr:uid="{00000000-0005-0000-0000-000008260000}"/>
    <cellStyle name="Normal 2 2 2 15 5 3" xfId="9737" xr:uid="{00000000-0005-0000-0000-000009260000}"/>
    <cellStyle name="Normal 2 2 2 15 5 4" xfId="9738" xr:uid="{00000000-0005-0000-0000-00000A260000}"/>
    <cellStyle name="Normal 2 2 2 15 5 5" xfId="9739" xr:uid="{00000000-0005-0000-0000-00000B260000}"/>
    <cellStyle name="Normal 2 2 2 15 5 6" xfId="9740" xr:uid="{00000000-0005-0000-0000-00000C260000}"/>
    <cellStyle name="Normal 2 2 2 15 5 7" xfId="9741" xr:uid="{00000000-0005-0000-0000-00000D260000}"/>
    <cellStyle name="Normal 2 2 2 15 5 8" xfId="9742" xr:uid="{00000000-0005-0000-0000-00000E260000}"/>
    <cellStyle name="Normal 2 2 2 15 5 9" xfId="9743" xr:uid="{00000000-0005-0000-0000-00000F260000}"/>
    <cellStyle name="Normal 2 2 2 15 6" xfId="9744" xr:uid="{00000000-0005-0000-0000-000010260000}"/>
    <cellStyle name="Normal 2 2 2 15 7" xfId="9745" xr:uid="{00000000-0005-0000-0000-000011260000}"/>
    <cellStyle name="Normal 2 2 2 15 8" xfId="9746" xr:uid="{00000000-0005-0000-0000-000012260000}"/>
    <cellStyle name="Normal 2 2 2 15 9" xfId="9747" xr:uid="{00000000-0005-0000-0000-000013260000}"/>
    <cellStyle name="Normal 2 2 2 16" xfId="9748" xr:uid="{00000000-0005-0000-0000-000014260000}"/>
    <cellStyle name="Normal 2 2 2 16 10" xfId="9749" xr:uid="{00000000-0005-0000-0000-000015260000}"/>
    <cellStyle name="Normal 2 2 2 16 11" xfId="9750" xr:uid="{00000000-0005-0000-0000-000016260000}"/>
    <cellStyle name="Normal 2 2 2 16 12" xfId="9751" xr:uid="{00000000-0005-0000-0000-000017260000}"/>
    <cellStyle name="Normal 2 2 2 16 13" xfId="9752" xr:uid="{00000000-0005-0000-0000-000018260000}"/>
    <cellStyle name="Normal 2 2 2 16 14" xfId="9753" xr:uid="{00000000-0005-0000-0000-000019260000}"/>
    <cellStyle name="Normal 2 2 2 16 2" xfId="9754" xr:uid="{00000000-0005-0000-0000-00001A260000}"/>
    <cellStyle name="Normal 2 2 2 16 2 10" xfId="9755" xr:uid="{00000000-0005-0000-0000-00001B260000}"/>
    <cellStyle name="Normal 2 2 2 16 2 2" xfId="9756" xr:uid="{00000000-0005-0000-0000-00001C260000}"/>
    <cellStyle name="Normal 2 2 2 16 2 3" xfId="9757" xr:uid="{00000000-0005-0000-0000-00001D260000}"/>
    <cellStyle name="Normal 2 2 2 16 2 4" xfId="9758" xr:uid="{00000000-0005-0000-0000-00001E260000}"/>
    <cellStyle name="Normal 2 2 2 16 2 5" xfId="9759" xr:uid="{00000000-0005-0000-0000-00001F260000}"/>
    <cellStyle name="Normal 2 2 2 16 2 6" xfId="9760" xr:uid="{00000000-0005-0000-0000-000020260000}"/>
    <cellStyle name="Normal 2 2 2 16 2 7" xfId="9761" xr:uid="{00000000-0005-0000-0000-000021260000}"/>
    <cellStyle name="Normal 2 2 2 16 2 8" xfId="9762" xr:uid="{00000000-0005-0000-0000-000022260000}"/>
    <cellStyle name="Normal 2 2 2 16 2 9" xfId="9763" xr:uid="{00000000-0005-0000-0000-000023260000}"/>
    <cellStyle name="Normal 2 2 2 16 3" xfId="9764" xr:uid="{00000000-0005-0000-0000-000024260000}"/>
    <cellStyle name="Normal 2 2 2 16 3 10" xfId="9765" xr:uid="{00000000-0005-0000-0000-000025260000}"/>
    <cellStyle name="Normal 2 2 2 16 3 2" xfId="9766" xr:uid="{00000000-0005-0000-0000-000026260000}"/>
    <cellStyle name="Normal 2 2 2 16 3 3" xfId="9767" xr:uid="{00000000-0005-0000-0000-000027260000}"/>
    <cellStyle name="Normal 2 2 2 16 3 4" xfId="9768" xr:uid="{00000000-0005-0000-0000-000028260000}"/>
    <cellStyle name="Normal 2 2 2 16 3 5" xfId="9769" xr:uid="{00000000-0005-0000-0000-000029260000}"/>
    <cellStyle name="Normal 2 2 2 16 3 6" xfId="9770" xr:uid="{00000000-0005-0000-0000-00002A260000}"/>
    <cellStyle name="Normal 2 2 2 16 3 7" xfId="9771" xr:uid="{00000000-0005-0000-0000-00002B260000}"/>
    <cellStyle name="Normal 2 2 2 16 3 8" xfId="9772" xr:uid="{00000000-0005-0000-0000-00002C260000}"/>
    <cellStyle name="Normal 2 2 2 16 3 9" xfId="9773" xr:uid="{00000000-0005-0000-0000-00002D260000}"/>
    <cellStyle name="Normal 2 2 2 16 4" xfId="9774" xr:uid="{00000000-0005-0000-0000-00002E260000}"/>
    <cellStyle name="Normal 2 2 2 16 4 10" xfId="9775" xr:uid="{00000000-0005-0000-0000-00002F260000}"/>
    <cellStyle name="Normal 2 2 2 16 4 2" xfId="9776" xr:uid="{00000000-0005-0000-0000-000030260000}"/>
    <cellStyle name="Normal 2 2 2 16 4 3" xfId="9777" xr:uid="{00000000-0005-0000-0000-000031260000}"/>
    <cellStyle name="Normal 2 2 2 16 4 4" xfId="9778" xr:uid="{00000000-0005-0000-0000-000032260000}"/>
    <cellStyle name="Normal 2 2 2 16 4 5" xfId="9779" xr:uid="{00000000-0005-0000-0000-000033260000}"/>
    <cellStyle name="Normal 2 2 2 16 4 6" xfId="9780" xr:uid="{00000000-0005-0000-0000-000034260000}"/>
    <cellStyle name="Normal 2 2 2 16 4 7" xfId="9781" xr:uid="{00000000-0005-0000-0000-000035260000}"/>
    <cellStyle name="Normal 2 2 2 16 4 8" xfId="9782" xr:uid="{00000000-0005-0000-0000-000036260000}"/>
    <cellStyle name="Normal 2 2 2 16 4 9" xfId="9783" xr:uid="{00000000-0005-0000-0000-000037260000}"/>
    <cellStyle name="Normal 2 2 2 16 5" xfId="9784" xr:uid="{00000000-0005-0000-0000-000038260000}"/>
    <cellStyle name="Normal 2 2 2 16 5 10" xfId="9785" xr:uid="{00000000-0005-0000-0000-000039260000}"/>
    <cellStyle name="Normal 2 2 2 16 5 2" xfId="9786" xr:uid="{00000000-0005-0000-0000-00003A260000}"/>
    <cellStyle name="Normal 2 2 2 16 5 3" xfId="9787" xr:uid="{00000000-0005-0000-0000-00003B260000}"/>
    <cellStyle name="Normal 2 2 2 16 5 4" xfId="9788" xr:uid="{00000000-0005-0000-0000-00003C260000}"/>
    <cellStyle name="Normal 2 2 2 16 5 5" xfId="9789" xr:uid="{00000000-0005-0000-0000-00003D260000}"/>
    <cellStyle name="Normal 2 2 2 16 5 6" xfId="9790" xr:uid="{00000000-0005-0000-0000-00003E260000}"/>
    <cellStyle name="Normal 2 2 2 16 5 7" xfId="9791" xr:uid="{00000000-0005-0000-0000-00003F260000}"/>
    <cellStyle name="Normal 2 2 2 16 5 8" xfId="9792" xr:uid="{00000000-0005-0000-0000-000040260000}"/>
    <cellStyle name="Normal 2 2 2 16 5 9" xfId="9793" xr:uid="{00000000-0005-0000-0000-000041260000}"/>
    <cellStyle name="Normal 2 2 2 16 6" xfId="9794" xr:uid="{00000000-0005-0000-0000-000042260000}"/>
    <cellStyle name="Normal 2 2 2 16 7" xfId="9795" xr:uid="{00000000-0005-0000-0000-000043260000}"/>
    <cellStyle name="Normal 2 2 2 16 8" xfId="9796" xr:uid="{00000000-0005-0000-0000-000044260000}"/>
    <cellStyle name="Normal 2 2 2 16 9" xfId="9797" xr:uid="{00000000-0005-0000-0000-000045260000}"/>
    <cellStyle name="Normal 2 2 2 17" xfId="9798" xr:uid="{00000000-0005-0000-0000-000046260000}"/>
    <cellStyle name="Normal 2 2 2 17 10" xfId="9799" xr:uid="{00000000-0005-0000-0000-000047260000}"/>
    <cellStyle name="Normal 2 2 2 17 11" xfId="9800" xr:uid="{00000000-0005-0000-0000-000048260000}"/>
    <cellStyle name="Normal 2 2 2 17 12" xfId="9801" xr:uid="{00000000-0005-0000-0000-000049260000}"/>
    <cellStyle name="Normal 2 2 2 17 13" xfId="9802" xr:uid="{00000000-0005-0000-0000-00004A260000}"/>
    <cellStyle name="Normal 2 2 2 17 14" xfId="9803" xr:uid="{00000000-0005-0000-0000-00004B260000}"/>
    <cellStyle name="Normal 2 2 2 17 2" xfId="9804" xr:uid="{00000000-0005-0000-0000-00004C260000}"/>
    <cellStyle name="Normal 2 2 2 17 2 10" xfId="9805" xr:uid="{00000000-0005-0000-0000-00004D260000}"/>
    <cellStyle name="Normal 2 2 2 17 2 2" xfId="9806" xr:uid="{00000000-0005-0000-0000-00004E260000}"/>
    <cellStyle name="Normal 2 2 2 17 2 3" xfId="9807" xr:uid="{00000000-0005-0000-0000-00004F260000}"/>
    <cellStyle name="Normal 2 2 2 17 2 4" xfId="9808" xr:uid="{00000000-0005-0000-0000-000050260000}"/>
    <cellStyle name="Normal 2 2 2 17 2 5" xfId="9809" xr:uid="{00000000-0005-0000-0000-000051260000}"/>
    <cellStyle name="Normal 2 2 2 17 2 6" xfId="9810" xr:uid="{00000000-0005-0000-0000-000052260000}"/>
    <cellStyle name="Normal 2 2 2 17 2 7" xfId="9811" xr:uid="{00000000-0005-0000-0000-000053260000}"/>
    <cellStyle name="Normal 2 2 2 17 2 8" xfId="9812" xr:uid="{00000000-0005-0000-0000-000054260000}"/>
    <cellStyle name="Normal 2 2 2 17 2 9" xfId="9813" xr:uid="{00000000-0005-0000-0000-000055260000}"/>
    <cellStyle name="Normal 2 2 2 17 3" xfId="9814" xr:uid="{00000000-0005-0000-0000-000056260000}"/>
    <cellStyle name="Normal 2 2 2 17 3 10" xfId="9815" xr:uid="{00000000-0005-0000-0000-000057260000}"/>
    <cellStyle name="Normal 2 2 2 17 3 2" xfId="9816" xr:uid="{00000000-0005-0000-0000-000058260000}"/>
    <cellStyle name="Normal 2 2 2 17 3 3" xfId="9817" xr:uid="{00000000-0005-0000-0000-000059260000}"/>
    <cellStyle name="Normal 2 2 2 17 3 4" xfId="9818" xr:uid="{00000000-0005-0000-0000-00005A260000}"/>
    <cellStyle name="Normal 2 2 2 17 3 5" xfId="9819" xr:uid="{00000000-0005-0000-0000-00005B260000}"/>
    <cellStyle name="Normal 2 2 2 17 3 6" xfId="9820" xr:uid="{00000000-0005-0000-0000-00005C260000}"/>
    <cellStyle name="Normal 2 2 2 17 3 7" xfId="9821" xr:uid="{00000000-0005-0000-0000-00005D260000}"/>
    <cellStyle name="Normal 2 2 2 17 3 8" xfId="9822" xr:uid="{00000000-0005-0000-0000-00005E260000}"/>
    <cellStyle name="Normal 2 2 2 17 3 9" xfId="9823" xr:uid="{00000000-0005-0000-0000-00005F260000}"/>
    <cellStyle name="Normal 2 2 2 17 4" xfId="9824" xr:uid="{00000000-0005-0000-0000-000060260000}"/>
    <cellStyle name="Normal 2 2 2 17 4 10" xfId="9825" xr:uid="{00000000-0005-0000-0000-000061260000}"/>
    <cellStyle name="Normal 2 2 2 17 4 2" xfId="9826" xr:uid="{00000000-0005-0000-0000-000062260000}"/>
    <cellStyle name="Normal 2 2 2 17 4 3" xfId="9827" xr:uid="{00000000-0005-0000-0000-000063260000}"/>
    <cellStyle name="Normal 2 2 2 17 4 4" xfId="9828" xr:uid="{00000000-0005-0000-0000-000064260000}"/>
    <cellStyle name="Normal 2 2 2 17 4 5" xfId="9829" xr:uid="{00000000-0005-0000-0000-000065260000}"/>
    <cellStyle name="Normal 2 2 2 17 4 6" xfId="9830" xr:uid="{00000000-0005-0000-0000-000066260000}"/>
    <cellStyle name="Normal 2 2 2 17 4 7" xfId="9831" xr:uid="{00000000-0005-0000-0000-000067260000}"/>
    <cellStyle name="Normal 2 2 2 17 4 8" xfId="9832" xr:uid="{00000000-0005-0000-0000-000068260000}"/>
    <cellStyle name="Normal 2 2 2 17 4 9" xfId="9833" xr:uid="{00000000-0005-0000-0000-000069260000}"/>
    <cellStyle name="Normal 2 2 2 17 5" xfId="9834" xr:uid="{00000000-0005-0000-0000-00006A260000}"/>
    <cellStyle name="Normal 2 2 2 17 5 10" xfId="9835" xr:uid="{00000000-0005-0000-0000-00006B260000}"/>
    <cellStyle name="Normal 2 2 2 17 5 2" xfId="9836" xr:uid="{00000000-0005-0000-0000-00006C260000}"/>
    <cellStyle name="Normal 2 2 2 17 5 3" xfId="9837" xr:uid="{00000000-0005-0000-0000-00006D260000}"/>
    <cellStyle name="Normal 2 2 2 17 5 4" xfId="9838" xr:uid="{00000000-0005-0000-0000-00006E260000}"/>
    <cellStyle name="Normal 2 2 2 17 5 5" xfId="9839" xr:uid="{00000000-0005-0000-0000-00006F260000}"/>
    <cellStyle name="Normal 2 2 2 17 5 6" xfId="9840" xr:uid="{00000000-0005-0000-0000-000070260000}"/>
    <cellStyle name="Normal 2 2 2 17 5 7" xfId="9841" xr:uid="{00000000-0005-0000-0000-000071260000}"/>
    <cellStyle name="Normal 2 2 2 17 5 8" xfId="9842" xr:uid="{00000000-0005-0000-0000-000072260000}"/>
    <cellStyle name="Normal 2 2 2 17 5 9" xfId="9843" xr:uid="{00000000-0005-0000-0000-000073260000}"/>
    <cellStyle name="Normal 2 2 2 17 6" xfId="9844" xr:uid="{00000000-0005-0000-0000-000074260000}"/>
    <cellStyle name="Normal 2 2 2 17 7" xfId="9845" xr:uid="{00000000-0005-0000-0000-000075260000}"/>
    <cellStyle name="Normal 2 2 2 17 8" xfId="9846" xr:uid="{00000000-0005-0000-0000-000076260000}"/>
    <cellStyle name="Normal 2 2 2 17 9" xfId="9847" xr:uid="{00000000-0005-0000-0000-000077260000}"/>
    <cellStyle name="Normal 2 2 2 18" xfId="9848" xr:uid="{00000000-0005-0000-0000-000078260000}"/>
    <cellStyle name="Normal 2 2 2 18 10" xfId="9849" xr:uid="{00000000-0005-0000-0000-000079260000}"/>
    <cellStyle name="Normal 2 2 2 18 11" xfId="9850" xr:uid="{00000000-0005-0000-0000-00007A260000}"/>
    <cellStyle name="Normal 2 2 2 18 12" xfId="9851" xr:uid="{00000000-0005-0000-0000-00007B260000}"/>
    <cellStyle name="Normal 2 2 2 18 13" xfId="9852" xr:uid="{00000000-0005-0000-0000-00007C260000}"/>
    <cellStyle name="Normal 2 2 2 18 14" xfId="9853" xr:uid="{00000000-0005-0000-0000-00007D260000}"/>
    <cellStyle name="Normal 2 2 2 18 2" xfId="9854" xr:uid="{00000000-0005-0000-0000-00007E260000}"/>
    <cellStyle name="Normal 2 2 2 18 2 10" xfId="9855" xr:uid="{00000000-0005-0000-0000-00007F260000}"/>
    <cellStyle name="Normal 2 2 2 18 2 2" xfId="9856" xr:uid="{00000000-0005-0000-0000-000080260000}"/>
    <cellStyle name="Normal 2 2 2 18 2 3" xfId="9857" xr:uid="{00000000-0005-0000-0000-000081260000}"/>
    <cellStyle name="Normal 2 2 2 18 2 4" xfId="9858" xr:uid="{00000000-0005-0000-0000-000082260000}"/>
    <cellStyle name="Normal 2 2 2 18 2 5" xfId="9859" xr:uid="{00000000-0005-0000-0000-000083260000}"/>
    <cellStyle name="Normal 2 2 2 18 2 6" xfId="9860" xr:uid="{00000000-0005-0000-0000-000084260000}"/>
    <cellStyle name="Normal 2 2 2 18 2 7" xfId="9861" xr:uid="{00000000-0005-0000-0000-000085260000}"/>
    <cellStyle name="Normal 2 2 2 18 2 8" xfId="9862" xr:uid="{00000000-0005-0000-0000-000086260000}"/>
    <cellStyle name="Normal 2 2 2 18 2 9" xfId="9863" xr:uid="{00000000-0005-0000-0000-000087260000}"/>
    <cellStyle name="Normal 2 2 2 18 3" xfId="9864" xr:uid="{00000000-0005-0000-0000-000088260000}"/>
    <cellStyle name="Normal 2 2 2 18 3 10" xfId="9865" xr:uid="{00000000-0005-0000-0000-000089260000}"/>
    <cellStyle name="Normal 2 2 2 18 3 2" xfId="9866" xr:uid="{00000000-0005-0000-0000-00008A260000}"/>
    <cellStyle name="Normal 2 2 2 18 3 3" xfId="9867" xr:uid="{00000000-0005-0000-0000-00008B260000}"/>
    <cellStyle name="Normal 2 2 2 18 3 4" xfId="9868" xr:uid="{00000000-0005-0000-0000-00008C260000}"/>
    <cellStyle name="Normal 2 2 2 18 3 5" xfId="9869" xr:uid="{00000000-0005-0000-0000-00008D260000}"/>
    <cellStyle name="Normal 2 2 2 18 3 6" xfId="9870" xr:uid="{00000000-0005-0000-0000-00008E260000}"/>
    <cellStyle name="Normal 2 2 2 18 3 7" xfId="9871" xr:uid="{00000000-0005-0000-0000-00008F260000}"/>
    <cellStyle name="Normal 2 2 2 18 3 8" xfId="9872" xr:uid="{00000000-0005-0000-0000-000090260000}"/>
    <cellStyle name="Normal 2 2 2 18 3 9" xfId="9873" xr:uid="{00000000-0005-0000-0000-000091260000}"/>
    <cellStyle name="Normal 2 2 2 18 4" xfId="9874" xr:uid="{00000000-0005-0000-0000-000092260000}"/>
    <cellStyle name="Normal 2 2 2 18 4 10" xfId="9875" xr:uid="{00000000-0005-0000-0000-000093260000}"/>
    <cellStyle name="Normal 2 2 2 18 4 2" xfId="9876" xr:uid="{00000000-0005-0000-0000-000094260000}"/>
    <cellStyle name="Normal 2 2 2 18 4 3" xfId="9877" xr:uid="{00000000-0005-0000-0000-000095260000}"/>
    <cellStyle name="Normal 2 2 2 18 4 4" xfId="9878" xr:uid="{00000000-0005-0000-0000-000096260000}"/>
    <cellStyle name="Normal 2 2 2 18 4 5" xfId="9879" xr:uid="{00000000-0005-0000-0000-000097260000}"/>
    <cellStyle name="Normal 2 2 2 18 4 6" xfId="9880" xr:uid="{00000000-0005-0000-0000-000098260000}"/>
    <cellStyle name="Normal 2 2 2 18 4 7" xfId="9881" xr:uid="{00000000-0005-0000-0000-000099260000}"/>
    <cellStyle name="Normal 2 2 2 18 4 8" xfId="9882" xr:uid="{00000000-0005-0000-0000-00009A260000}"/>
    <cellStyle name="Normal 2 2 2 18 4 9" xfId="9883" xr:uid="{00000000-0005-0000-0000-00009B260000}"/>
    <cellStyle name="Normal 2 2 2 18 5" xfId="9884" xr:uid="{00000000-0005-0000-0000-00009C260000}"/>
    <cellStyle name="Normal 2 2 2 18 5 10" xfId="9885" xr:uid="{00000000-0005-0000-0000-00009D260000}"/>
    <cellStyle name="Normal 2 2 2 18 5 2" xfId="9886" xr:uid="{00000000-0005-0000-0000-00009E260000}"/>
    <cellStyle name="Normal 2 2 2 18 5 3" xfId="9887" xr:uid="{00000000-0005-0000-0000-00009F260000}"/>
    <cellStyle name="Normal 2 2 2 18 5 4" xfId="9888" xr:uid="{00000000-0005-0000-0000-0000A0260000}"/>
    <cellStyle name="Normal 2 2 2 18 5 5" xfId="9889" xr:uid="{00000000-0005-0000-0000-0000A1260000}"/>
    <cellStyle name="Normal 2 2 2 18 5 6" xfId="9890" xr:uid="{00000000-0005-0000-0000-0000A2260000}"/>
    <cellStyle name="Normal 2 2 2 18 5 7" xfId="9891" xr:uid="{00000000-0005-0000-0000-0000A3260000}"/>
    <cellStyle name="Normal 2 2 2 18 5 8" xfId="9892" xr:uid="{00000000-0005-0000-0000-0000A4260000}"/>
    <cellStyle name="Normal 2 2 2 18 5 9" xfId="9893" xr:uid="{00000000-0005-0000-0000-0000A5260000}"/>
    <cellStyle name="Normal 2 2 2 18 6" xfId="9894" xr:uid="{00000000-0005-0000-0000-0000A6260000}"/>
    <cellStyle name="Normal 2 2 2 18 7" xfId="9895" xr:uid="{00000000-0005-0000-0000-0000A7260000}"/>
    <cellStyle name="Normal 2 2 2 18 8" xfId="9896" xr:uid="{00000000-0005-0000-0000-0000A8260000}"/>
    <cellStyle name="Normal 2 2 2 18 9" xfId="9897" xr:uid="{00000000-0005-0000-0000-0000A9260000}"/>
    <cellStyle name="Normal 2 2 2 19" xfId="9898" xr:uid="{00000000-0005-0000-0000-0000AA260000}"/>
    <cellStyle name="Normal 2 2 2 19 10" xfId="9899" xr:uid="{00000000-0005-0000-0000-0000AB260000}"/>
    <cellStyle name="Normal 2 2 2 19 11" xfId="9900" xr:uid="{00000000-0005-0000-0000-0000AC260000}"/>
    <cellStyle name="Normal 2 2 2 19 12" xfId="9901" xr:uid="{00000000-0005-0000-0000-0000AD260000}"/>
    <cellStyle name="Normal 2 2 2 19 13" xfId="9902" xr:uid="{00000000-0005-0000-0000-0000AE260000}"/>
    <cellStyle name="Normal 2 2 2 19 14" xfId="9903" xr:uid="{00000000-0005-0000-0000-0000AF260000}"/>
    <cellStyle name="Normal 2 2 2 19 2" xfId="9904" xr:uid="{00000000-0005-0000-0000-0000B0260000}"/>
    <cellStyle name="Normal 2 2 2 19 2 10" xfId="9905" xr:uid="{00000000-0005-0000-0000-0000B1260000}"/>
    <cellStyle name="Normal 2 2 2 19 2 2" xfId="9906" xr:uid="{00000000-0005-0000-0000-0000B2260000}"/>
    <cellStyle name="Normal 2 2 2 19 2 3" xfId="9907" xr:uid="{00000000-0005-0000-0000-0000B3260000}"/>
    <cellStyle name="Normal 2 2 2 19 2 4" xfId="9908" xr:uid="{00000000-0005-0000-0000-0000B4260000}"/>
    <cellStyle name="Normal 2 2 2 19 2 5" xfId="9909" xr:uid="{00000000-0005-0000-0000-0000B5260000}"/>
    <cellStyle name="Normal 2 2 2 19 2 6" xfId="9910" xr:uid="{00000000-0005-0000-0000-0000B6260000}"/>
    <cellStyle name="Normal 2 2 2 19 2 7" xfId="9911" xr:uid="{00000000-0005-0000-0000-0000B7260000}"/>
    <cellStyle name="Normal 2 2 2 19 2 8" xfId="9912" xr:uid="{00000000-0005-0000-0000-0000B8260000}"/>
    <cellStyle name="Normal 2 2 2 19 2 9" xfId="9913" xr:uid="{00000000-0005-0000-0000-0000B9260000}"/>
    <cellStyle name="Normal 2 2 2 19 3" xfId="9914" xr:uid="{00000000-0005-0000-0000-0000BA260000}"/>
    <cellStyle name="Normal 2 2 2 19 3 10" xfId="9915" xr:uid="{00000000-0005-0000-0000-0000BB260000}"/>
    <cellStyle name="Normal 2 2 2 19 3 2" xfId="9916" xr:uid="{00000000-0005-0000-0000-0000BC260000}"/>
    <cellStyle name="Normal 2 2 2 19 3 3" xfId="9917" xr:uid="{00000000-0005-0000-0000-0000BD260000}"/>
    <cellStyle name="Normal 2 2 2 19 3 4" xfId="9918" xr:uid="{00000000-0005-0000-0000-0000BE260000}"/>
    <cellStyle name="Normal 2 2 2 19 3 5" xfId="9919" xr:uid="{00000000-0005-0000-0000-0000BF260000}"/>
    <cellStyle name="Normal 2 2 2 19 3 6" xfId="9920" xr:uid="{00000000-0005-0000-0000-0000C0260000}"/>
    <cellStyle name="Normal 2 2 2 19 3 7" xfId="9921" xr:uid="{00000000-0005-0000-0000-0000C1260000}"/>
    <cellStyle name="Normal 2 2 2 19 3 8" xfId="9922" xr:uid="{00000000-0005-0000-0000-0000C2260000}"/>
    <cellStyle name="Normal 2 2 2 19 3 9" xfId="9923" xr:uid="{00000000-0005-0000-0000-0000C3260000}"/>
    <cellStyle name="Normal 2 2 2 19 4" xfId="9924" xr:uid="{00000000-0005-0000-0000-0000C4260000}"/>
    <cellStyle name="Normal 2 2 2 19 4 10" xfId="9925" xr:uid="{00000000-0005-0000-0000-0000C5260000}"/>
    <cellStyle name="Normal 2 2 2 19 4 2" xfId="9926" xr:uid="{00000000-0005-0000-0000-0000C6260000}"/>
    <cellStyle name="Normal 2 2 2 19 4 3" xfId="9927" xr:uid="{00000000-0005-0000-0000-0000C7260000}"/>
    <cellStyle name="Normal 2 2 2 19 4 4" xfId="9928" xr:uid="{00000000-0005-0000-0000-0000C8260000}"/>
    <cellStyle name="Normal 2 2 2 19 4 5" xfId="9929" xr:uid="{00000000-0005-0000-0000-0000C9260000}"/>
    <cellStyle name="Normal 2 2 2 19 4 6" xfId="9930" xr:uid="{00000000-0005-0000-0000-0000CA260000}"/>
    <cellStyle name="Normal 2 2 2 19 4 7" xfId="9931" xr:uid="{00000000-0005-0000-0000-0000CB260000}"/>
    <cellStyle name="Normal 2 2 2 19 4 8" xfId="9932" xr:uid="{00000000-0005-0000-0000-0000CC260000}"/>
    <cellStyle name="Normal 2 2 2 19 4 9" xfId="9933" xr:uid="{00000000-0005-0000-0000-0000CD260000}"/>
    <cellStyle name="Normal 2 2 2 19 5" xfId="9934" xr:uid="{00000000-0005-0000-0000-0000CE260000}"/>
    <cellStyle name="Normal 2 2 2 19 5 10" xfId="9935" xr:uid="{00000000-0005-0000-0000-0000CF260000}"/>
    <cellStyle name="Normal 2 2 2 19 5 2" xfId="9936" xr:uid="{00000000-0005-0000-0000-0000D0260000}"/>
    <cellStyle name="Normal 2 2 2 19 5 3" xfId="9937" xr:uid="{00000000-0005-0000-0000-0000D1260000}"/>
    <cellStyle name="Normal 2 2 2 19 5 4" xfId="9938" xr:uid="{00000000-0005-0000-0000-0000D2260000}"/>
    <cellStyle name="Normal 2 2 2 19 5 5" xfId="9939" xr:uid="{00000000-0005-0000-0000-0000D3260000}"/>
    <cellStyle name="Normal 2 2 2 19 5 6" xfId="9940" xr:uid="{00000000-0005-0000-0000-0000D4260000}"/>
    <cellStyle name="Normal 2 2 2 19 5 7" xfId="9941" xr:uid="{00000000-0005-0000-0000-0000D5260000}"/>
    <cellStyle name="Normal 2 2 2 19 5 8" xfId="9942" xr:uid="{00000000-0005-0000-0000-0000D6260000}"/>
    <cellStyle name="Normal 2 2 2 19 5 9" xfId="9943" xr:uid="{00000000-0005-0000-0000-0000D7260000}"/>
    <cellStyle name="Normal 2 2 2 19 6" xfId="9944" xr:uid="{00000000-0005-0000-0000-0000D8260000}"/>
    <cellStyle name="Normal 2 2 2 19 7" xfId="9945" xr:uid="{00000000-0005-0000-0000-0000D9260000}"/>
    <cellStyle name="Normal 2 2 2 19 8" xfId="9946" xr:uid="{00000000-0005-0000-0000-0000DA260000}"/>
    <cellStyle name="Normal 2 2 2 19 9" xfId="9947" xr:uid="{00000000-0005-0000-0000-0000DB260000}"/>
    <cellStyle name="Normal 2 2 2 2" xfId="14" xr:uid="{00000000-0005-0000-0000-00000E000000}"/>
    <cellStyle name="Normal 2 2 2 2 10" xfId="9948" xr:uid="{00000000-0005-0000-0000-0000DC260000}"/>
    <cellStyle name="Normal 2 2 2 2 11" xfId="9949" xr:uid="{00000000-0005-0000-0000-0000DD260000}"/>
    <cellStyle name="Normal 2 2 2 2 12" xfId="9950" xr:uid="{00000000-0005-0000-0000-0000DE260000}"/>
    <cellStyle name="Normal 2 2 2 2 13" xfId="9951" xr:uid="{00000000-0005-0000-0000-0000DF260000}"/>
    <cellStyle name="Normal 2 2 2 2 14" xfId="9952" xr:uid="{00000000-0005-0000-0000-0000E0260000}"/>
    <cellStyle name="Normal 2 2 2 2 15" xfId="9953" xr:uid="{00000000-0005-0000-0000-0000E1260000}"/>
    <cellStyle name="Normal 2 2 2 2 16" xfId="9954" xr:uid="{00000000-0005-0000-0000-0000E2260000}"/>
    <cellStyle name="Normal 2 2 2 2 17" xfId="9955" xr:uid="{00000000-0005-0000-0000-0000E3260000}"/>
    <cellStyle name="Normal 2 2 2 2 18" xfId="9956" xr:uid="{00000000-0005-0000-0000-0000E4260000}"/>
    <cellStyle name="Normal 2 2 2 2 19" xfId="9957" xr:uid="{00000000-0005-0000-0000-0000E5260000}"/>
    <cellStyle name="Normal 2 2 2 2 2" xfId="15" xr:uid="{00000000-0005-0000-0000-00000F000000}"/>
    <cellStyle name="Normal 2 2 2 2 2 10" xfId="9958" xr:uid="{00000000-0005-0000-0000-0000E6260000}"/>
    <cellStyle name="Normal 2 2 2 2 2 10 10" xfId="9959" xr:uid="{00000000-0005-0000-0000-0000E7260000}"/>
    <cellStyle name="Normal 2 2 2 2 2 10 11" xfId="9960" xr:uid="{00000000-0005-0000-0000-0000E8260000}"/>
    <cellStyle name="Normal 2 2 2 2 2 10 12" xfId="9961" xr:uid="{00000000-0005-0000-0000-0000E9260000}"/>
    <cellStyle name="Normal 2 2 2 2 2 10 13" xfId="9962" xr:uid="{00000000-0005-0000-0000-0000EA260000}"/>
    <cellStyle name="Normal 2 2 2 2 2 10 14" xfId="9963" xr:uid="{00000000-0005-0000-0000-0000EB260000}"/>
    <cellStyle name="Normal 2 2 2 2 2 10 2" xfId="9964" xr:uid="{00000000-0005-0000-0000-0000EC260000}"/>
    <cellStyle name="Normal 2 2 2 2 2 10 2 10" xfId="9965" xr:uid="{00000000-0005-0000-0000-0000ED260000}"/>
    <cellStyle name="Normal 2 2 2 2 2 10 2 2" xfId="9966" xr:uid="{00000000-0005-0000-0000-0000EE260000}"/>
    <cellStyle name="Normal 2 2 2 2 2 10 2 3" xfId="9967" xr:uid="{00000000-0005-0000-0000-0000EF260000}"/>
    <cellStyle name="Normal 2 2 2 2 2 10 2 4" xfId="9968" xr:uid="{00000000-0005-0000-0000-0000F0260000}"/>
    <cellStyle name="Normal 2 2 2 2 2 10 2 5" xfId="9969" xr:uid="{00000000-0005-0000-0000-0000F1260000}"/>
    <cellStyle name="Normal 2 2 2 2 2 10 2 6" xfId="9970" xr:uid="{00000000-0005-0000-0000-0000F2260000}"/>
    <cellStyle name="Normal 2 2 2 2 2 10 2 7" xfId="9971" xr:uid="{00000000-0005-0000-0000-0000F3260000}"/>
    <cellStyle name="Normal 2 2 2 2 2 10 2 8" xfId="9972" xr:uid="{00000000-0005-0000-0000-0000F4260000}"/>
    <cellStyle name="Normal 2 2 2 2 2 10 2 9" xfId="9973" xr:uid="{00000000-0005-0000-0000-0000F5260000}"/>
    <cellStyle name="Normal 2 2 2 2 2 10 3" xfId="9974" xr:uid="{00000000-0005-0000-0000-0000F6260000}"/>
    <cellStyle name="Normal 2 2 2 2 2 10 3 10" xfId="9975" xr:uid="{00000000-0005-0000-0000-0000F7260000}"/>
    <cellStyle name="Normal 2 2 2 2 2 10 3 2" xfId="9976" xr:uid="{00000000-0005-0000-0000-0000F8260000}"/>
    <cellStyle name="Normal 2 2 2 2 2 10 3 3" xfId="9977" xr:uid="{00000000-0005-0000-0000-0000F9260000}"/>
    <cellStyle name="Normal 2 2 2 2 2 10 3 4" xfId="9978" xr:uid="{00000000-0005-0000-0000-0000FA260000}"/>
    <cellStyle name="Normal 2 2 2 2 2 10 3 5" xfId="9979" xr:uid="{00000000-0005-0000-0000-0000FB260000}"/>
    <cellStyle name="Normal 2 2 2 2 2 10 3 6" xfId="9980" xr:uid="{00000000-0005-0000-0000-0000FC260000}"/>
    <cellStyle name="Normal 2 2 2 2 2 10 3 7" xfId="9981" xr:uid="{00000000-0005-0000-0000-0000FD260000}"/>
    <cellStyle name="Normal 2 2 2 2 2 10 3 8" xfId="9982" xr:uid="{00000000-0005-0000-0000-0000FE260000}"/>
    <cellStyle name="Normal 2 2 2 2 2 10 3 9" xfId="9983" xr:uid="{00000000-0005-0000-0000-0000FF260000}"/>
    <cellStyle name="Normal 2 2 2 2 2 10 4" xfId="9984" xr:uid="{00000000-0005-0000-0000-000000270000}"/>
    <cellStyle name="Normal 2 2 2 2 2 10 4 10" xfId="9985" xr:uid="{00000000-0005-0000-0000-000001270000}"/>
    <cellStyle name="Normal 2 2 2 2 2 10 4 2" xfId="9986" xr:uid="{00000000-0005-0000-0000-000002270000}"/>
    <cellStyle name="Normal 2 2 2 2 2 10 4 3" xfId="9987" xr:uid="{00000000-0005-0000-0000-000003270000}"/>
    <cellStyle name="Normal 2 2 2 2 2 10 4 4" xfId="9988" xr:uid="{00000000-0005-0000-0000-000004270000}"/>
    <cellStyle name="Normal 2 2 2 2 2 10 4 5" xfId="9989" xr:uid="{00000000-0005-0000-0000-000005270000}"/>
    <cellStyle name="Normal 2 2 2 2 2 10 4 6" xfId="9990" xr:uid="{00000000-0005-0000-0000-000006270000}"/>
    <cellStyle name="Normal 2 2 2 2 2 10 4 7" xfId="9991" xr:uid="{00000000-0005-0000-0000-000007270000}"/>
    <cellStyle name="Normal 2 2 2 2 2 10 4 8" xfId="9992" xr:uid="{00000000-0005-0000-0000-000008270000}"/>
    <cellStyle name="Normal 2 2 2 2 2 10 4 9" xfId="9993" xr:uid="{00000000-0005-0000-0000-000009270000}"/>
    <cellStyle name="Normal 2 2 2 2 2 10 5" xfId="9994" xr:uid="{00000000-0005-0000-0000-00000A270000}"/>
    <cellStyle name="Normal 2 2 2 2 2 10 5 10" xfId="9995" xr:uid="{00000000-0005-0000-0000-00000B270000}"/>
    <cellStyle name="Normal 2 2 2 2 2 10 5 2" xfId="9996" xr:uid="{00000000-0005-0000-0000-00000C270000}"/>
    <cellStyle name="Normal 2 2 2 2 2 10 5 3" xfId="9997" xr:uid="{00000000-0005-0000-0000-00000D270000}"/>
    <cellStyle name="Normal 2 2 2 2 2 10 5 4" xfId="9998" xr:uid="{00000000-0005-0000-0000-00000E270000}"/>
    <cellStyle name="Normal 2 2 2 2 2 10 5 5" xfId="9999" xr:uid="{00000000-0005-0000-0000-00000F270000}"/>
    <cellStyle name="Normal 2 2 2 2 2 10 5 6" xfId="10000" xr:uid="{00000000-0005-0000-0000-000010270000}"/>
    <cellStyle name="Normal 2 2 2 2 2 10 5 7" xfId="10001" xr:uid="{00000000-0005-0000-0000-000011270000}"/>
    <cellStyle name="Normal 2 2 2 2 2 10 5 8" xfId="10002" xr:uid="{00000000-0005-0000-0000-000012270000}"/>
    <cellStyle name="Normal 2 2 2 2 2 10 5 9" xfId="10003" xr:uid="{00000000-0005-0000-0000-000013270000}"/>
    <cellStyle name="Normal 2 2 2 2 2 10 6" xfId="10004" xr:uid="{00000000-0005-0000-0000-000014270000}"/>
    <cellStyle name="Normal 2 2 2 2 2 10 7" xfId="10005" xr:uid="{00000000-0005-0000-0000-000015270000}"/>
    <cellStyle name="Normal 2 2 2 2 2 10 8" xfId="10006" xr:uid="{00000000-0005-0000-0000-000016270000}"/>
    <cellStyle name="Normal 2 2 2 2 2 10 9" xfId="10007" xr:uid="{00000000-0005-0000-0000-000017270000}"/>
    <cellStyle name="Normal 2 2 2 2 2 11" xfId="10008" xr:uid="{00000000-0005-0000-0000-000018270000}"/>
    <cellStyle name="Normal 2 2 2 2 2 11 10" xfId="10009" xr:uid="{00000000-0005-0000-0000-000019270000}"/>
    <cellStyle name="Normal 2 2 2 2 2 11 11" xfId="10010" xr:uid="{00000000-0005-0000-0000-00001A270000}"/>
    <cellStyle name="Normal 2 2 2 2 2 11 12" xfId="10011" xr:uid="{00000000-0005-0000-0000-00001B270000}"/>
    <cellStyle name="Normal 2 2 2 2 2 11 13" xfId="10012" xr:uid="{00000000-0005-0000-0000-00001C270000}"/>
    <cellStyle name="Normal 2 2 2 2 2 11 14" xfId="10013" xr:uid="{00000000-0005-0000-0000-00001D270000}"/>
    <cellStyle name="Normal 2 2 2 2 2 11 2" xfId="10014" xr:uid="{00000000-0005-0000-0000-00001E270000}"/>
    <cellStyle name="Normal 2 2 2 2 2 11 2 10" xfId="10015" xr:uid="{00000000-0005-0000-0000-00001F270000}"/>
    <cellStyle name="Normal 2 2 2 2 2 11 2 2" xfId="10016" xr:uid="{00000000-0005-0000-0000-000020270000}"/>
    <cellStyle name="Normal 2 2 2 2 2 11 2 3" xfId="10017" xr:uid="{00000000-0005-0000-0000-000021270000}"/>
    <cellStyle name="Normal 2 2 2 2 2 11 2 4" xfId="10018" xr:uid="{00000000-0005-0000-0000-000022270000}"/>
    <cellStyle name="Normal 2 2 2 2 2 11 2 5" xfId="10019" xr:uid="{00000000-0005-0000-0000-000023270000}"/>
    <cellStyle name="Normal 2 2 2 2 2 11 2 6" xfId="10020" xr:uid="{00000000-0005-0000-0000-000024270000}"/>
    <cellStyle name="Normal 2 2 2 2 2 11 2 7" xfId="10021" xr:uid="{00000000-0005-0000-0000-000025270000}"/>
    <cellStyle name="Normal 2 2 2 2 2 11 2 8" xfId="10022" xr:uid="{00000000-0005-0000-0000-000026270000}"/>
    <cellStyle name="Normal 2 2 2 2 2 11 2 9" xfId="10023" xr:uid="{00000000-0005-0000-0000-000027270000}"/>
    <cellStyle name="Normal 2 2 2 2 2 11 3" xfId="10024" xr:uid="{00000000-0005-0000-0000-000028270000}"/>
    <cellStyle name="Normal 2 2 2 2 2 11 3 10" xfId="10025" xr:uid="{00000000-0005-0000-0000-000029270000}"/>
    <cellStyle name="Normal 2 2 2 2 2 11 3 2" xfId="10026" xr:uid="{00000000-0005-0000-0000-00002A270000}"/>
    <cellStyle name="Normal 2 2 2 2 2 11 3 3" xfId="10027" xr:uid="{00000000-0005-0000-0000-00002B270000}"/>
    <cellStyle name="Normal 2 2 2 2 2 11 3 4" xfId="10028" xr:uid="{00000000-0005-0000-0000-00002C270000}"/>
    <cellStyle name="Normal 2 2 2 2 2 11 3 5" xfId="10029" xr:uid="{00000000-0005-0000-0000-00002D270000}"/>
    <cellStyle name="Normal 2 2 2 2 2 11 3 6" xfId="10030" xr:uid="{00000000-0005-0000-0000-00002E270000}"/>
    <cellStyle name="Normal 2 2 2 2 2 11 3 7" xfId="10031" xr:uid="{00000000-0005-0000-0000-00002F270000}"/>
    <cellStyle name="Normal 2 2 2 2 2 11 3 8" xfId="10032" xr:uid="{00000000-0005-0000-0000-000030270000}"/>
    <cellStyle name="Normal 2 2 2 2 2 11 3 9" xfId="10033" xr:uid="{00000000-0005-0000-0000-000031270000}"/>
    <cellStyle name="Normal 2 2 2 2 2 11 4" xfId="10034" xr:uid="{00000000-0005-0000-0000-000032270000}"/>
    <cellStyle name="Normal 2 2 2 2 2 11 4 10" xfId="10035" xr:uid="{00000000-0005-0000-0000-000033270000}"/>
    <cellStyle name="Normal 2 2 2 2 2 11 4 2" xfId="10036" xr:uid="{00000000-0005-0000-0000-000034270000}"/>
    <cellStyle name="Normal 2 2 2 2 2 11 4 3" xfId="10037" xr:uid="{00000000-0005-0000-0000-000035270000}"/>
    <cellStyle name="Normal 2 2 2 2 2 11 4 4" xfId="10038" xr:uid="{00000000-0005-0000-0000-000036270000}"/>
    <cellStyle name="Normal 2 2 2 2 2 11 4 5" xfId="10039" xr:uid="{00000000-0005-0000-0000-000037270000}"/>
    <cellStyle name="Normal 2 2 2 2 2 11 4 6" xfId="10040" xr:uid="{00000000-0005-0000-0000-000038270000}"/>
    <cellStyle name="Normal 2 2 2 2 2 11 4 7" xfId="10041" xr:uid="{00000000-0005-0000-0000-000039270000}"/>
    <cellStyle name="Normal 2 2 2 2 2 11 4 8" xfId="10042" xr:uid="{00000000-0005-0000-0000-00003A270000}"/>
    <cellStyle name="Normal 2 2 2 2 2 11 4 9" xfId="10043" xr:uid="{00000000-0005-0000-0000-00003B270000}"/>
    <cellStyle name="Normal 2 2 2 2 2 11 5" xfId="10044" xr:uid="{00000000-0005-0000-0000-00003C270000}"/>
    <cellStyle name="Normal 2 2 2 2 2 11 5 10" xfId="10045" xr:uid="{00000000-0005-0000-0000-00003D270000}"/>
    <cellStyle name="Normal 2 2 2 2 2 11 5 2" xfId="10046" xr:uid="{00000000-0005-0000-0000-00003E270000}"/>
    <cellStyle name="Normal 2 2 2 2 2 11 5 3" xfId="10047" xr:uid="{00000000-0005-0000-0000-00003F270000}"/>
    <cellStyle name="Normal 2 2 2 2 2 11 5 4" xfId="10048" xr:uid="{00000000-0005-0000-0000-000040270000}"/>
    <cellStyle name="Normal 2 2 2 2 2 11 5 5" xfId="10049" xr:uid="{00000000-0005-0000-0000-000041270000}"/>
    <cellStyle name="Normal 2 2 2 2 2 11 5 6" xfId="10050" xr:uid="{00000000-0005-0000-0000-000042270000}"/>
    <cellStyle name="Normal 2 2 2 2 2 11 5 7" xfId="10051" xr:uid="{00000000-0005-0000-0000-000043270000}"/>
    <cellStyle name="Normal 2 2 2 2 2 11 5 8" xfId="10052" xr:uid="{00000000-0005-0000-0000-000044270000}"/>
    <cellStyle name="Normal 2 2 2 2 2 11 5 9" xfId="10053" xr:uid="{00000000-0005-0000-0000-000045270000}"/>
    <cellStyle name="Normal 2 2 2 2 2 11 6" xfId="10054" xr:uid="{00000000-0005-0000-0000-000046270000}"/>
    <cellStyle name="Normal 2 2 2 2 2 11 7" xfId="10055" xr:uid="{00000000-0005-0000-0000-000047270000}"/>
    <cellStyle name="Normal 2 2 2 2 2 11 8" xfId="10056" xr:uid="{00000000-0005-0000-0000-000048270000}"/>
    <cellStyle name="Normal 2 2 2 2 2 11 9" xfId="10057" xr:uid="{00000000-0005-0000-0000-000049270000}"/>
    <cellStyle name="Normal 2 2 2 2 2 12" xfId="10058" xr:uid="{00000000-0005-0000-0000-00004A270000}"/>
    <cellStyle name="Normal 2 2 2 2 2 12 10" xfId="10059" xr:uid="{00000000-0005-0000-0000-00004B270000}"/>
    <cellStyle name="Normal 2 2 2 2 2 12 11" xfId="10060" xr:uid="{00000000-0005-0000-0000-00004C270000}"/>
    <cellStyle name="Normal 2 2 2 2 2 12 12" xfId="10061" xr:uid="{00000000-0005-0000-0000-00004D270000}"/>
    <cellStyle name="Normal 2 2 2 2 2 12 13" xfId="10062" xr:uid="{00000000-0005-0000-0000-00004E270000}"/>
    <cellStyle name="Normal 2 2 2 2 2 12 14" xfId="10063" xr:uid="{00000000-0005-0000-0000-00004F270000}"/>
    <cellStyle name="Normal 2 2 2 2 2 12 2" xfId="10064" xr:uid="{00000000-0005-0000-0000-000050270000}"/>
    <cellStyle name="Normal 2 2 2 2 2 12 2 10" xfId="10065" xr:uid="{00000000-0005-0000-0000-000051270000}"/>
    <cellStyle name="Normal 2 2 2 2 2 12 2 2" xfId="10066" xr:uid="{00000000-0005-0000-0000-000052270000}"/>
    <cellStyle name="Normal 2 2 2 2 2 12 2 3" xfId="10067" xr:uid="{00000000-0005-0000-0000-000053270000}"/>
    <cellStyle name="Normal 2 2 2 2 2 12 2 4" xfId="10068" xr:uid="{00000000-0005-0000-0000-000054270000}"/>
    <cellStyle name="Normal 2 2 2 2 2 12 2 5" xfId="10069" xr:uid="{00000000-0005-0000-0000-000055270000}"/>
    <cellStyle name="Normal 2 2 2 2 2 12 2 6" xfId="10070" xr:uid="{00000000-0005-0000-0000-000056270000}"/>
    <cellStyle name="Normal 2 2 2 2 2 12 2 7" xfId="10071" xr:uid="{00000000-0005-0000-0000-000057270000}"/>
    <cellStyle name="Normal 2 2 2 2 2 12 2 8" xfId="10072" xr:uid="{00000000-0005-0000-0000-000058270000}"/>
    <cellStyle name="Normal 2 2 2 2 2 12 2 9" xfId="10073" xr:uid="{00000000-0005-0000-0000-000059270000}"/>
    <cellStyle name="Normal 2 2 2 2 2 12 3" xfId="10074" xr:uid="{00000000-0005-0000-0000-00005A270000}"/>
    <cellStyle name="Normal 2 2 2 2 2 12 3 10" xfId="10075" xr:uid="{00000000-0005-0000-0000-00005B270000}"/>
    <cellStyle name="Normal 2 2 2 2 2 12 3 2" xfId="10076" xr:uid="{00000000-0005-0000-0000-00005C270000}"/>
    <cellStyle name="Normal 2 2 2 2 2 12 3 3" xfId="10077" xr:uid="{00000000-0005-0000-0000-00005D270000}"/>
    <cellStyle name="Normal 2 2 2 2 2 12 3 4" xfId="10078" xr:uid="{00000000-0005-0000-0000-00005E270000}"/>
    <cellStyle name="Normal 2 2 2 2 2 12 3 5" xfId="10079" xr:uid="{00000000-0005-0000-0000-00005F270000}"/>
    <cellStyle name="Normal 2 2 2 2 2 12 3 6" xfId="10080" xr:uid="{00000000-0005-0000-0000-000060270000}"/>
    <cellStyle name="Normal 2 2 2 2 2 12 3 7" xfId="10081" xr:uid="{00000000-0005-0000-0000-000061270000}"/>
    <cellStyle name="Normal 2 2 2 2 2 12 3 8" xfId="10082" xr:uid="{00000000-0005-0000-0000-000062270000}"/>
    <cellStyle name="Normal 2 2 2 2 2 12 3 9" xfId="10083" xr:uid="{00000000-0005-0000-0000-000063270000}"/>
    <cellStyle name="Normal 2 2 2 2 2 12 4" xfId="10084" xr:uid="{00000000-0005-0000-0000-000064270000}"/>
    <cellStyle name="Normal 2 2 2 2 2 12 4 10" xfId="10085" xr:uid="{00000000-0005-0000-0000-000065270000}"/>
    <cellStyle name="Normal 2 2 2 2 2 12 4 2" xfId="10086" xr:uid="{00000000-0005-0000-0000-000066270000}"/>
    <cellStyle name="Normal 2 2 2 2 2 12 4 3" xfId="10087" xr:uid="{00000000-0005-0000-0000-000067270000}"/>
    <cellStyle name="Normal 2 2 2 2 2 12 4 4" xfId="10088" xr:uid="{00000000-0005-0000-0000-000068270000}"/>
    <cellStyle name="Normal 2 2 2 2 2 12 4 5" xfId="10089" xr:uid="{00000000-0005-0000-0000-000069270000}"/>
    <cellStyle name="Normal 2 2 2 2 2 12 4 6" xfId="10090" xr:uid="{00000000-0005-0000-0000-00006A270000}"/>
    <cellStyle name="Normal 2 2 2 2 2 12 4 7" xfId="10091" xr:uid="{00000000-0005-0000-0000-00006B270000}"/>
    <cellStyle name="Normal 2 2 2 2 2 12 4 8" xfId="10092" xr:uid="{00000000-0005-0000-0000-00006C270000}"/>
    <cellStyle name="Normal 2 2 2 2 2 12 4 9" xfId="10093" xr:uid="{00000000-0005-0000-0000-00006D270000}"/>
    <cellStyle name="Normal 2 2 2 2 2 12 5" xfId="10094" xr:uid="{00000000-0005-0000-0000-00006E270000}"/>
    <cellStyle name="Normal 2 2 2 2 2 12 5 10" xfId="10095" xr:uid="{00000000-0005-0000-0000-00006F270000}"/>
    <cellStyle name="Normal 2 2 2 2 2 12 5 2" xfId="10096" xr:uid="{00000000-0005-0000-0000-000070270000}"/>
    <cellStyle name="Normal 2 2 2 2 2 12 5 3" xfId="10097" xr:uid="{00000000-0005-0000-0000-000071270000}"/>
    <cellStyle name="Normal 2 2 2 2 2 12 5 4" xfId="10098" xr:uid="{00000000-0005-0000-0000-000072270000}"/>
    <cellStyle name="Normal 2 2 2 2 2 12 5 5" xfId="10099" xr:uid="{00000000-0005-0000-0000-000073270000}"/>
    <cellStyle name="Normal 2 2 2 2 2 12 5 6" xfId="10100" xr:uid="{00000000-0005-0000-0000-000074270000}"/>
    <cellStyle name="Normal 2 2 2 2 2 12 5 7" xfId="10101" xr:uid="{00000000-0005-0000-0000-000075270000}"/>
    <cellStyle name="Normal 2 2 2 2 2 12 5 8" xfId="10102" xr:uid="{00000000-0005-0000-0000-000076270000}"/>
    <cellStyle name="Normal 2 2 2 2 2 12 5 9" xfId="10103" xr:uid="{00000000-0005-0000-0000-000077270000}"/>
    <cellStyle name="Normal 2 2 2 2 2 12 6" xfId="10104" xr:uid="{00000000-0005-0000-0000-000078270000}"/>
    <cellStyle name="Normal 2 2 2 2 2 12 7" xfId="10105" xr:uid="{00000000-0005-0000-0000-000079270000}"/>
    <cellStyle name="Normal 2 2 2 2 2 12 8" xfId="10106" xr:uid="{00000000-0005-0000-0000-00007A270000}"/>
    <cellStyle name="Normal 2 2 2 2 2 12 9" xfId="10107" xr:uid="{00000000-0005-0000-0000-00007B270000}"/>
    <cellStyle name="Normal 2 2 2 2 2 13" xfId="10108" xr:uid="{00000000-0005-0000-0000-00007C270000}"/>
    <cellStyle name="Normal 2 2 2 2 2 13 10" xfId="10109" xr:uid="{00000000-0005-0000-0000-00007D270000}"/>
    <cellStyle name="Normal 2 2 2 2 2 13 11" xfId="10110" xr:uid="{00000000-0005-0000-0000-00007E270000}"/>
    <cellStyle name="Normal 2 2 2 2 2 13 12" xfId="10111" xr:uid="{00000000-0005-0000-0000-00007F270000}"/>
    <cellStyle name="Normal 2 2 2 2 2 13 13" xfId="10112" xr:uid="{00000000-0005-0000-0000-000080270000}"/>
    <cellStyle name="Normal 2 2 2 2 2 13 14" xfId="10113" xr:uid="{00000000-0005-0000-0000-000081270000}"/>
    <cellStyle name="Normal 2 2 2 2 2 13 2" xfId="10114" xr:uid="{00000000-0005-0000-0000-000082270000}"/>
    <cellStyle name="Normal 2 2 2 2 2 13 2 10" xfId="10115" xr:uid="{00000000-0005-0000-0000-000083270000}"/>
    <cellStyle name="Normal 2 2 2 2 2 13 2 2" xfId="10116" xr:uid="{00000000-0005-0000-0000-000084270000}"/>
    <cellStyle name="Normal 2 2 2 2 2 13 2 3" xfId="10117" xr:uid="{00000000-0005-0000-0000-000085270000}"/>
    <cellStyle name="Normal 2 2 2 2 2 13 2 4" xfId="10118" xr:uid="{00000000-0005-0000-0000-000086270000}"/>
    <cellStyle name="Normal 2 2 2 2 2 13 2 5" xfId="10119" xr:uid="{00000000-0005-0000-0000-000087270000}"/>
    <cellStyle name="Normal 2 2 2 2 2 13 2 6" xfId="10120" xr:uid="{00000000-0005-0000-0000-000088270000}"/>
    <cellStyle name="Normal 2 2 2 2 2 13 2 7" xfId="10121" xr:uid="{00000000-0005-0000-0000-000089270000}"/>
    <cellStyle name="Normal 2 2 2 2 2 13 2 8" xfId="10122" xr:uid="{00000000-0005-0000-0000-00008A270000}"/>
    <cellStyle name="Normal 2 2 2 2 2 13 2 9" xfId="10123" xr:uid="{00000000-0005-0000-0000-00008B270000}"/>
    <cellStyle name="Normal 2 2 2 2 2 13 3" xfId="10124" xr:uid="{00000000-0005-0000-0000-00008C270000}"/>
    <cellStyle name="Normal 2 2 2 2 2 13 3 10" xfId="10125" xr:uid="{00000000-0005-0000-0000-00008D270000}"/>
    <cellStyle name="Normal 2 2 2 2 2 13 3 2" xfId="10126" xr:uid="{00000000-0005-0000-0000-00008E270000}"/>
    <cellStyle name="Normal 2 2 2 2 2 13 3 3" xfId="10127" xr:uid="{00000000-0005-0000-0000-00008F270000}"/>
    <cellStyle name="Normal 2 2 2 2 2 13 3 4" xfId="10128" xr:uid="{00000000-0005-0000-0000-000090270000}"/>
    <cellStyle name="Normal 2 2 2 2 2 13 3 5" xfId="10129" xr:uid="{00000000-0005-0000-0000-000091270000}"/>
    <cellStyle name="Normal 2 2 2 2 2 13 3 6" xfId="10130" xr:uid="{00000000-0005-0000-0000-000092270000}"/>
    <cellStyle name="Normal 2 2 2 2 2 13 3 7" xfId="10131" xr:uid="{00000000-0005-0000-0000-000093270000}"/>
    <cellStyle name="Normal 2 2 2 2 2 13 3 8" xfId="10132" xr:uid="{00000000-0005-0000-0000-000094270000}"/>
    <cellStyle name="Normal 2 2 2 2 2 13 3 9" xfId="10133" xr:uid="{00000000-0005-0000-0000-000095270000}"/>
    <cellStyle name="Normal 2 2 2 2 2 13 4" xfId="10134" xr:uid="{00000000-0005-0000-0000-000096270000}"/>
    <cellStyle name="Normal 2 2 2 2 2 13 4 10" xfId="10135" xr:uid="{00000000-0005-0000-0000-000097270000}"/>
    <cellStyle name="Normal 2 2 2 2 2 13 4 2" xfId="10136" xr:uid="{00000000-0005-0000-0000-000098270000}"/>
    <cellStyle name="Normal 2 2 2 2 2 13 4 3" xfId="10137" xr:uid="{00000000-0005-0000-0000-000099270000}"/>
    <cellStyle name="Normal 2 2 2 2 2 13 4 4" xfId="10138" xr:uid="{00000000-0005-0000-0000-00009A270000}"/>
    <cellStyle name="Normal 2 2 2 2 2 13 4 5" xfId="10139" xr:uid="{00000000-0005-0000-0000-00009B270000}"/>
    <cellStyle name="Normal 2 2 2 2 2 13 4 6" xfId="10140" xr:uid="{00000000-0005-0000-0000-00009C270000}"/>
    <cellStyle name="Normal 2 2 2 2 2 13 4 7" xfId="10141" xr:uid="{00000000-0005-0000-0000-00009D270000}"/>
    <cellStyle name="Normal 2 2 2 2 2 13 4 8" xfId="10142" xr:uid="{00000000-0005-0000-0000-00009E270000}"/>
    <cellStyle name="Normal 2 2 2 2 2 13 4 9" xfId="10143" xr:uid="{00000000-0005-0000-0000-00009F270000}"/>
    <cellStyle name="Normal 2 2 2 2 2 13 5" xfId="10144" xr:uid="{00000000-0005-0000-0000-0000A0270000}"/>
    <cellStyle name="Normal 2 2 2 2 2 13 5 10" xfId="10145" xr:uid="{00000000-0005-0000-0000-0000A1270000}"/>
    <cellStyle name="Normal 2 2 2 2 2 13 5 2" xfId="10146" xr:uid="{00000000-0005-0000-0000-0000A2270000}"/>
    <cellStyle name="Normal 2 2 2 2 2 13 5 3" xfId="10147" xr:uid="{00000000-0005-0000-0000-0000A3270000}"/>
    <cellStyle name="Normal 2 2 2 2 2 13 5 4" xfId="10148" xr:uid="{00000000-0005-0000-0000-0000A4270000}"/>
    <cellStyle name="Normal 2 2 2 2 2 13 5 5" xfId="10149" xr:uid="{00000000-0005-0000-0000-0000A5270000}"/>
    <cellStyle name="Normal 2 2 2 2 2 13 5 6" xfId="10150" xr:uid="{00000000-0005-0000-0000-0000A6270000}"/>
    <cellStyle name="Normal 2 2 2 2 2 13 5 7" xfId="10151" xr:uid="{00000000-0005-0000-0000-0000A7270000}"/>
    <cellStyle name="Normal 2 2 2 2 2 13 5 8" xfId="10152" xr:uid="{00000000-0005-0000-0000-0000A8270000}"/>
    <cellStyle name="Normal 2 2 2 2 2 13 5 9" xfId="10153" xr:uid="{00000000-0005-0000-0000-0000A9270000}"/>
    <cellStyle name="Normal 2 2 2 2 2 13 6" xfId="10154" xr:uid="{00000000-0005-0000-0000-0000AA270000}"/>
    <cellStyle name="Normal 2 2 2 2 2 13 7" xfId="10155" xr:uid="{00000000-0005-0000-0000-0000AB270000}"/>
    <cellStyle name="Normal 2 2 2 2 2 13 8" xfId="10156" xr:uid="{00000000-0005-0000-0000-0000AC270000}"/>
    <cellStyle name="Normal 2 2 2 2 2 13 9" xfId="10157" xr:uid="{00000000-0005-0000-0000-0000AD270000}"/>
    <cellStyle name="Normal 2 2 2 2 2 14" xfId="10158" xr:uid="{00000000-0005-0000-0000-0000AE270000}"/>
    <cellStyle name="Normal 2 2 2 2 2 14 10" xfId="10159" xr:uid="{00000000-0005-0000-0000-0000AF270000}"/>
    <cellStyle name="Normal 2 2 2 2 2 14 11" xfId="10160" xr:uid="{00000000-0005-0000-0000-0000B0270000}"/>
    <cellStyle name="Normal 2 2 2 2 2 14 12" xfId="10161" xr:uid="{00000000-0005-0000-0000-0000B1270000}"/>
    <cellStyle name="Normal 2 2 2 2 2 14 13" xfId="10162" xr:uid="{00000000-0005-0000-0000-0000B2270000}"/>
    <cellStyle name="Normal 2 2 2 2 2 14 14" xfId="10163" xr:uid="{00000000-0005-0000-0000-0000B3270000}"/>
    <cellStyle name="Normal 2 2 2 2 2 14 2" xfId="10164" xr:uid="{00000000-0005-0000-0000-0000B4270000}"/>
    <cellStyle name="Normal 2 2 2 2 2 14 2 10" xfId="10165" xr:uid="{00000000-0005-0000-0000-0000B5270000}"/>
    <cellStyle name="Normal 2 2 2 2 2 14 2 2" xfId="10166" xr:uid="{00000000-0005-0000-0000-0000B6270000}"/>
    <cellStyle name="Normal 2 2 2 2 2 14 2 3" xfId="10167" xr:uid="{00000000-0005-0000-0000-0000B7270000}"/>
    <cellStyle name="Normal 2 2 2 2 2 14 2 4" xfId="10168" xr:uid="{00000000-0005-0000-0000-0000B8270000}"/>
    <cellStyle name="Normal 2 2 2 2 2 14 2 5" xfId="10169" xr:uid="{00000000-0005-0000-0000-0000B9270000}"/>
    <cellStyle name="Normal 2 2 2 2 2 14 2 6" xfId="10170" xr:uid="{00000000-0005-0000-0000-0000BA270000}"/>
    <cellStyle name="Normal 2 2 2 2 2 14 2 7" xfId="10171" xr:uid="{00000000-0005-0000-0000-0000BB270000}"/>
    <cellStyle name="Normal 2 2 2 2 2 14 2 8" xfId="10172" xr:uid="{00000000-0005-0000-0000-0000BC270000}"/>
    <cellStyle name="Normal 2 2 2 2 2 14 2 9" xfId="10173" xr:uid="{00000000-0005-0000-0000-0000BD270000}"/>
    <cellStyle name="Normal 2 2 2 2 2 14 3" xfId="10174" xr:uid="{00000000-0005-0000-0000-0000BE270000}"/>
    <cellStyle name="Normal 2 2 2 2 2 14 3 10" xfId="10175" xr:uid="{00000000-0005-0000-0000-0000BF270000}"/>
    <cellStyle name="Normal 2 2 2 2 2 14 3 2" xfId="10176" xr:uid="{00000000-0005-0000-0000-0000C0270000}"/>
    <cellStyle name="Normal 2 2 2 2 2 14 3 3" xfId="10177" xr:uid="{00000000-0005-0000-0000-0000C1270000}"/>
    <cellStyle name="Normal 2 2 2 2 2 14 3 4" xfId="10178" xr:uid="{00000000-0005-0000-0000-0000C2270000}"/>
    <cellStyle name="Normal 2 2 2 2 2 14 3 5" xfId="10179" xr:uid="{00000000-0005-0000-0000-0000C3270000}"/>
    <cellStyle name="Normal 2 2 2 2 2 14 3 6" xfId="10180" xr:uid="{00000000-0005-0000-0000-0000C4270000}"/>
    <cellStyle name="Normal 2 2 2 2 2 14 3 7" xfId="10181" xr:uid="{00000000-0005-0000-0000-0000C5270000}"/>
    <cellStyle name="Normal 2 2 2 2 2 14 3 8" xfId="10182" xr:uid="{00000000-0005-0000-0000-0000C6270000}"/>
    <cellStyle name="Normal 2 2 2 2 2 14 3 9" xfId="10183" xr:uid="{00000000-0005-0000-0000-0000C7270000}"/>
    <cellStyle name="Normal 2 2 2 2 2 14 4" xfId="10184" xr:uid="{00000000-0005-0000-0000-0000C8270000}"/>
    <cellStyle name="Normal 2 2 2 2 2 14 4 10" xfId="10185" xr:uid="{00000000-0005-0000-0000-0000C9270000}"/>
    <cellStyle name="Normal 2 2 2 2 2 14 4 2" xfId="10186" xr:uid="{00000000-0005-0000-0000-0000CA270000}"/>
    <cellStyle name="Normal 2 2 2 2 2 14 4 3" xfId="10187" xr:uid="{00000000-0005-0000-0000-0000CB270000}"/>
    <cellStyle name="Normal 2 2 2 2 2 14 4 4" xfId="10188" xr:uid="{00000000-0005-0000-0000-0000CC270000}"/>
    <cellStyle name="Normal 2 2 2 2 2 14 4 5" xfId="10189" xr:uid="{00000000-0005-0000-0000-0000CD270000}"/>
    <cellStyle name="Normal 2 2 2 2 2 14 4 6" xfId="10190" xr:uid="{00000000-0005-0000-0000-0000CE270000}"/>
    <cellStyle name="Normal 2 2 2 2 2 14 4 7" xfId="10191" xr:uid="{00000000-0005-0000-0000-0000CF270000}"/>
    <cellStyle name="Normal 2 2 2 2 2 14 4 8" xfId="10192" xr:uid="{00000000-0005-0000-0000-0000D0270000}"/>
    <cellStyle name="Normal 2 2 2 2 2 14 4 9" xfId="10193" xr:uid="{00000000-0005-0000-0000-0000D1270000}"/>
    <cellStyle name="Normal 2 2 2 2 2 14 5" xfId="10194" xr:uid="{00000000-0005-0000-0000-0000D2270000}"/>
    <cellStyle name="Normal 2 2 2 2 2 14 5 10" xfId="10195" xr:uid="{00000000-0005-0000-0000-0000D3270000}"/>
    <cellStyle name="Normal 2 2 2 2 2 14 5 2" xfId="10196" xr:uid="{00000000-0005-0000-0000-0000D4270000}"/>
    <cellStyle name="Normal 2 2 2 2 2 14 5 3" xfId="10197" xr:uid="{00000000-0005-0000-0000-0000D5270000}"/>
    <cellStyle name="Normal 2 2 2 2 2 14 5 4" xfId="10198" xr:uid="{00000000-0005-0000-0000-0000D6270000}"/>
    <cellStyle name="Normal 2 2 2 2 2 14 5 5" xfId="10199" xr:uid="{00000000-0005-0000-0000-0000D7270000}"/>
    <cellStyle name="Normal 2 2 2 2 2 14 5 6" xfId="10200" xr:uid="{00000000-0005-0000-0000-0000D8270000}"/>
    <cellStyle name="Normal 2 2 2 2 2 14 5 7" xfId="10201" xr:uid="{00000000-0005-0000-0000-0000D9270000}"/>
    <cellStyle name="Normal 2 2 2 2 2 14 5 8" xfId="10202" xr:uid="{00000000-0005-0000-0000-0000DA270000}"/>
    <cellStyle name="Normal 2 2 2 2 2 14 5 9" xfId="10203" xr:uid="{00000000-0005-0000-0000-0000DB270000}"/>
    <cellStyle name="Normal 2 2 2 2 2 14 6" xfId="10204" xr:uid="{00000000-0005-0000-0000-0000DC270000}"/>
    <cellStyle name="Normal 2 2 2 2 2 14 7" xfId="10205" xr:uid="{00000000-0005-0000-0000-0000DD270000}"/>
    <cellStyle name="Normal 2 2 2 2 2 14 8" xfId="10206" xr:uid="{00000000-0005-0000-0000-0000DE270000}"/>
    <cellStyle name="Normal 2 2 2 2 2 14 9" xfId="10207" xr:uid="{00000000-0005-0000-0000-0000DF270000}"/>
    <cellStyle name="Normal 2 2 2 2 2 15" xfId="10208" xr:uid="{00000000-0005-0000-0000-0000E0270000}"/>
    <cellStyle name="Normal 2 2 2 2 2 15 10" xfId="10209" xr:uid="{00000000-0005-0000-0000-0000E1270000}"/>
    <cellStyle name="Normal 2 2 2 2 2 15 11" xfId="10210" xr:uid="{00000000-0005-0000-0000-0000E2270000}"/>
    <cellStyle name="Normal 2 2 2 2 2 15 12" xfId="10211" xr:uid="{00000000-0005-0000-0000-0000E3270000}"/>
    <cellStyle name="Normal 2 2 2 2 2 15 13" xfId="10212" xr:uid="{00000000-0005-0000-0000-0000E4270000}"/>
    <cellStyle name="Normal 2 2 2 2 2 15 14" xfId="10213" xr:uid="{00000000-0005-0000-0000-0000E5270000}"/>
    <cellStyle name="Normal 2 2 2 2 2 15 2" xfId="10214" xr:uid="{00000000-0005-0000-0000-0000E6270000}"/>
    <cellStyle name="Normal 2 2 2 2 2 15 2 10" xfId="10215" xr:uid="{00000000-0005-0000-0000-0000E7270000}"/>
    <cellStyle name="Normal 2 2 2 2 2 15 2 2" xfId="10216" xr:uid="{00000000-0005-0000-0000-0000E8270000}"/>
    <cellStyle name="Normal 2 2 2 2 2 15 2 3" xfId="10217" xr:uid="{00000000-0005-0000-0000-0000E9270000}"/>
    <cellStyle name="Normal 2 2 2 2 2 15 2 4" xfId="10218" xr:uid="{00000000-0005-0000-0000-0000EA270000}"/>
    <cellStyle name="Normal 2 2 2 2 2 15 2 5" xfId="10219" xr:uid="{00000000-0005-0000-0000-0000EB270000}"/>
    <cellStyle name="Normal 2 2 2 2 2 15 2 6" xfId="10220" xr:uid="{00000000-0005-0000-0000-0000EC270000}"/>
    <cellStyle name="Normal 2 2 2 2 2 15 2 7" xfId="10221" xr:uid="{00000000-0005-0000-0000-0000ED270000}"/>
    <cellStyle name="Normal 2 2 2 2 2 15 2 8" xfId="10222" xr:uid="{00000000-0005-0000-0000-0000EE270000}"/>
    <cellStyle name="Normal 2 2 2 2 2 15 2 9" xfId="10223" xr:uid="{00000000-0005-0000-0000-0000EF270000}"/>
    <cellStyle name="Normal 2 2 2 2 2 15 3" xfId="10224" xr:uid="{00000000-0005-0000-0000-0000F0270000}"/>
    <cellStyle name="Normal 2 2 2 2 2 15 3 10" xfId="10225" xr:uid="{00000000-0005-0000-0000-0000F1270000}"/>
    <cellStyle name="Normal 2 2 2 2 2 15 3 2" xfId="10226" xr:uid="{00000000-0005-0000-0000-0000F2270000}"/>
    <cellStyle name="Normal 2 2 2 2 2 15 3 3" xfId="10227" xr:uid="{00000000-0005-0000-0000-0000F3270000}"/>
    <cellStyle name="Normal 2 2 2 2 2 15 3 4" xfId="10228" xr:uid="{00000000-0005-0000-0000-0000F4270000}"/>
    <cellStyle name="Normal 2 2 2 2 2 15 3 5" xfId="10229" xr:uid="{00000000-0005-0000-0000-0000F5270000}"/>
    <cellStyle name="Normal 2 2 2 2 2 15 3 6" xfId="10230" xr:uid="{00000000-0005-0000-0000-0000F6270000}"/>
    <cellStyle name="Normal 2 2 2 2 2 15 3 7" xfId="10231" xr:uid="{00000000-0005-0000-0000-0000F7270000}"/>
    <cellStyle name="Normal 2 2 2 2 2 15 3 8" xfId="10232" xr:uid="{00000000-0005-0000-0000-0000F8270000}"/>
    <cellStyle name="Normal 2 2 2 2 2 15 3 9" xfId="10233" xr:uid="{00000000-0005-0000-0000-0000F9270000}"/>
    <cellStyle name="Normal 2 2 2 2 2 15 4" xfId="10234" xr:uid="{00000000-0005-0000-0000-0000FA270000}"/>
    <cellStyle name="Normal 2 2 2 2 2 15 4 10" xfId="10235" xr:uid="{00000000-0005-0000-0000-0000FB270000}"/>
    <cellStyle name="Normal 2 2 2 2 2 15 4 2" xfId="10236" xr:uid="{00000000-0005-0000-0000-0000FC270000}"/>
    <cellStyle name="Normal 2 2 2 2 2 15 4 3" xfId="10237" xr:uid="{00000000-0005-0000-0000-0000FD270000}"/>
    <cellStyle name="Normal 2 2 2 2 2 15 4 4" xfId="10238" xr:uid="{00000000-0005-0000-0000-0000FE270000}"/>
    <cellStyle name="Normal 2 2 2 2 2 15 4 5" xfId="10239" xr:uid="{00000000-0005-0000-0000-0000FF270000}"/>
    <cellStyle name="Normal 2 2 2 2 2 15 4 6" xfId="10240" xr:uid="{00000000-0005-0000-0000-000000280000}"/>
    <cellStyle name="Normal 2 2 2 2 2 15 4 7" xfId="10241" xr:uid="{00000000-0005-0000-0000-000001280000}"/>
    <cellStyle name="Normal 2 2 2 2 2 15 4 8" xfId="10242" xr:uid="{00000000-0005-0000-0000-000002280000}"/>
    <cellStyle name="Normal 2 2 2 2 2 15 4 9" xfId="10243" xr:uid="{00000000-0005-0000-0000-000003280000}"/>
    <cellStyle name="Normal 2 2 2 2 2 15 5" xfId="10244" xr:uid="{00000000-0005-0000-0000-000004280000}"/>
    <cellStyle name="Normal 2 2 2 2 2 15 5 10" xfId="10245" xr:uid="{00000000-0005-0000-0000-000005280000}"/>
    <cellStyle name="Normal 2 2 2 2 2 15 5 2" xfId="10246" xr:uid="{00000000-0005-0000-0000-000006280000}"/>
    <cellStyle name="Normal 2 2 2 2 2 15 5 3" xfId="10247" xr:uid="{00000000-0005-0000-0000-000007280000}"/>
    <cellStyle name="Normal 2 2 2 2 2 15 5 4" xfId="10248" xr:uid="{00000000-0005-0000-0000-000008280000}"/>
    <cellStyle name="Normal 2 2 2 2 2 15 5 5" xfId="10249" xr:uid="{00000000-0005-0000-0000-000009280000}"/>
    <cellStyle name="Normal 2 2 2 2 2 15 5 6" xfId="10250" xr:uid="{00000000-0005-0000-0000-00000A280000}"/>
    <cellStyle name="Normal 2 2 2 2 2 15 5 7" xfId="10251" xr:uid="{00000000-0005-0000-0000-00000B280000}"/>
    <cellStyle name="Normal 2 2 2 2 2 15 5 8" xfId="10252" xr:uid="{00000000-0005-0000-0000-00000C280000}"/>
    <cellStyle name="Normal 2 2 2 2 2 15 5 9" xfId="10253" xr:uid="{00000000-0005-0000-0000-00000D280000}"/>
    <cellStyle name="Normal 2 2 2 2 2 15 6" xfId="10254" xr:uid="{00000000-0005-0000-0000-00000E280000}"/>
    <cellStyle name="Normal 2 2 2 2 2 15 7" xfId="10255" xr:uid="{00000000-0005-0000-0000-00000F280000}"/>
    <cellStyle name="Normal 2 2 2 2 2 15 8" xfId="10256" xr:uid="{00000000-0005-0000-0000-000010280000}"/>
    <cellStyle name="Normal 2 2 2 2 2 15 9" xfId="10257" xr:uid="{00000000-0005-0000-0000-000011280000}"/>
    <cellStyle name="Normal 2 2 2 2 2 16" xfId="10258" xr:uid="{00000000-0005-0000-0000-000012280000}"/>
    <cellStyle name="Normal 2 2 2 2 2 16 10" xfId="10259" xr:uid="{00000000-0005-0000-0000-000013280000}"/>
    <cellStyle name="Normal 2 2 2 2 2 16 11" xfId="10260" xr:uid="{00000000-0005-0000-0000-000014280000}"/>
    <cellStyle name="Normal 2 2 2 2 2 16 12" xfId="10261" xr:uid="{00000000-0005-0000-0000-000015280000}"/>
    <cellStyle name="Normal 2 2 2 2 2 16 13" xfId="10262" xr:uid="{00000000-0005-0000-0000-000016280000}"/>
    <cellStyle name="Normal 2 2 2 2 2 16 14" xfId="10263" xr:uid="{00000000-0005-0000-0000-000017280000}"/>
    <cellStyle name="Normal 2 2 2 2 2 16 2" xfId="10264" xr:uid="{00000000-0005-0000-0000-000018280000}"/>
    <cellStyle name="Normal 2 2 2 2 2 16 2 10" xfId="10265" xr:uid="{00000000-0005-0000-0000-000019280000}"/>
    <cellStyle name="Normal 2 2 2 2 2 16 2 2" xfId="10266" xr:uid="{00000000-0005-0000-0000-00001A280000}"/>
    <cellStyle name="Normal 2 2 2 2 2 16 2 3" xfId="10267" xr:uid="{00000000-0005-0000-0000-00001B280000}"/>
    <cellStyle name="Normal 2 2 2 2 2 16 2 4" xfId="10268" xr:uid="{00000000-0005-0000-0000-00001C280000}"/>
    <cellStyle name="Normal 2 2 2 2 2 16 2 5" xfId="10269" xr:uid="{00000000-0005-0000-0000-00001D280000}"/>
    <cellStyle name="Normal 2 2 2 2 2 16 2 6" xfId="10270" xr:uid="{00000000-0005-0000-0000-00001E280000}"/>
    <cellStyle name="Normal 2 2 2 2 2 16 2 7" xfId="10271" xr:uid="{00000000-0005-0000-0000-00001F280000}"/>
    <cellStyle name="Normal 2 2 2 2 2 16 2 8" xfId="10272" xr:uid="{00000000-0005-0000-0000-000020280000}"/>
    <cellStyle name="Normal 2 2 2 2 2 16 2 9" xfId="10273" xr:uid="{00000000-0005-0000-0000-000021280000}"/>
    <cellStyle name="Normal 2 2 2 2 2 16 3" xfId="10274" xr:uid="{00000000-0005-0000-0000-000022280000}"/>
    <cellStyle name="Normal 2 2 2 2 2 16 3 10" xfId="10275" xr:uid="{00000000-0005-0000-0000-000023280000}"/>
    <cellStyle name="Normal 2 2 2 2 2 16 3 2" xfId="10276" xr:uid="{00000000-0005-0000-0000-000024280000}"/>
    <cellStyle name="Normal 2 2 2 2 2 16 3 3" xfId="10277" xr:uid="{00000000-0005-0000-0000-000025280000}"/>
    <cellStyle name="Normal 2 2 2 2 2 16 3 4" xfId="10278" xr:uid="{00000000-0005-0000-0000-000026280000}"/>
    <cellStyle name="Normal 2 2 2 2 2 16 3 5" xfId="10279" xr:uid="{00000000-0005-0000-0000-000027280000}"/>
    <cellStyle name="Normal 2 2 2 2 2 16 3 6" xfId="10280" xr:uid="{00000000-0005-0000-0000-000028280000}"/>
    <cellStyle name="Normal 2 2 2 2 2 16 3 7" xfId="10281" xr:uid="{00000000-0005-0000-0000-000029280000}"/>
    <cellStyle name="Normal 2 2 2 2 2 16 3 8" xfId="10282" xr:uid="{00000000-0005-0000-0000-00002A280000}"/>
    <cellStyle name="Normal 2 2 2 2 2 16 3 9" xfId="10283" xr:uid="{00000000-0005-0000-0000-00002B280000}"/>
    <cellStyle name="Normal 2 2 2 2 2 16 4" xfId="10284" xr:uid="{00000000-0005-0000-0000-00002C280000}"/>
    <cellStyle name="Normal 2 2 2 2 2 16 4 10" xfId="10285" xr:uid="{00000000-0005-0000-0000-00002D280000}"/>
    <cellStyle name="Normal 2 2 2 2 2 16 4 2" xfId="10286" xr:uid="{00000000-0005-0000-0000-00002E280000}"/>
    <cellStyle name="Normal 2 2 2 2 2 16 4 3" xfId="10287" xr:uid="{00000000-0005-0000-0000-00002F280000}"/>
    <cellStyle name="Normal 2 2 2 2 2 16 4 4" xfId="10288" xr:uid="{00000000-0005-0000-0000-000030280000}"/>
    <cellStyle name="Normal 2 2 2 2 2 16 4 5" xfId="10289" xr:uid="{00000000-0005-0000-0000-000031280000}"/>
    <cellStyle name="Normal 2 2 2 2 2 16 4 6" xfId="10290" xr:uid="{00000000-0005-0000-0000-000032280000}"/>
    <cellStyle name="Normal 2 2 2 2 2 16 4 7" xfId="10291" xr:uid="{00000000-0005-0000-0000-000033280000}"/>
    <cellStyle name="Normal 2 2 2 2 2 16 4 8" xfId="10292" xr:uid="{00000000-0005-0000-0000-000034280000}"/>
    <cellStyle name="Normal 2 2 2 2 2 16 4 9" xfId="10293" xr:uid="{00000000-0005-0000-0000-000035280000}"/>
    <cellStyle name="Normal 2 2 2 2 2 16 5" xfId="10294" xr:uid="{00000000-0005-0000-0000-000036280000}"/>
    <cellStyle name="Normal 2 2 2 2 2 16 5 10" xfId="10295" xr:uid="{00000000-0005-0000-0000-000037280000}"/>
    <cellStyle name="Normal 2 2 2 2 2 16 5 2" xfId="10296" xr:uid="{00000000-0005-0000-0000-000038280000}"/>
    <cellStyle name="Normal 2 2 2 2 2 16 5 3" xfId="10297" xr:uid="{00000000-0005-0000-0000-000039280000}"/>
    <cellStyle name="Normal 2 2 2 2 2 16 5 4" xfId="10298" xr:uid="{00000000-0005-0000-0000-00003A280000}"/>
    <cellStyle name="Normal 2 2 2 2 2 16 5 5" xfId="10299" xr:uid="{00000000-0005-0000-0000-00003B280000}"/>
    <cellStyle name="Normal 2 2 2 2 2 16 5 6" xfId="10300" xr:uid="{00000000-0005-0000-0000-00003C280000}"/>
    <cellStyle name="Normal 2 2 2 2 2 16 5 7" xfId="10301" xr:uid="{00000000-0005-0000-0000-00003D280000}"/>
    <cellStyle name="Normal 2 2 2 2 2 16 5 8" xfId="10302" xr:uid="{00000000-0005-0000-0000-00003E280000}"/>
    <cellStyle name="Normal 2 2 2 2 2 16 5 9" xfId="10303" xr:uid="{00000000-0005-0000-0000-00003F280000}"/>
    <cellStyle name="Normal 2 2 2 2 2 16 6" xfId="10304" xr:uid="{00000000-0005-0000-0000-000040280000}"/>
    <cellStyle name="Normal 2 2 2 2 2 16 7" xfId="10305" xr:uid="{00000000-0005-0000-0000-000041280000}"/>
    <cellStyle name="Normal 2 2 2 2 2 16 8" xfId="10306" xr:uid="{00000000-0005-0000-0000-000042280000}"/>
    <cellStyle name="Normal 2 2 2 2 2 16 9" xfId="10307" xr:uid="{00000000-0005-0000-0000-000043280000}"/>
    <cellStyle name="Normal 2 2 2 2 2 17" xfId="10308" xr:uid="{00000000-0005-0000-0000-000044280000}"/>
    <cellStyle name="Normal 2 2 2 2 2 17 10" xfId="10309" xr:uid="{00000000-0005-0000-0000-000045280000}"/>
    <cellStyle name="Normal 2 2 2 2 2 17 11" xfId="10310" xr:uid="{00000000-0005-0000-0000-000046280000}"/>
    <cellStyle name="Normal 2 2 2 2 2 17 12" xfId="10311" xr:uid="{00000000-0005-0000-0000-000047280000}"/>
    <cellStyle name="Normal 2 2 2 2 2 17 13" xfId="10312" xr:uid="{00000000-0005-0000-0000-000048280000}"/>
    <cellStyle name="Normal 2 2 2 2 2 17 14" xfId="10313" xr:uid="{00000000-0005-0000-0000-000049280000}"/>
    <cellStyle name="Normal 2 2 2 2 2 17 2" xfId="10314" xr:uid="{00000000-0005-0000-0000-00004A280000}"/>
    <cellStyle name="Normal 2 2 2 2 2 17 2 10" xfId="10315" xr:uid="{00000000-0005-0000-0000-00004B280000}"/>
    <cellStyle name="Normal 2 2 2 2 2 17 2 2" xfId="10316" xr:uid="{00000000-0005-0000-0000-00004C280000}"/>
    <cellStyle name="Normal 2 2 2 2 2 17 2 3" xfId="10317" xr:uid="{00000000-0005-0000-0000-00004D280000}"/>
    <cellStyle name="Normal 2 2 2 2 2 17 2 4" xfId="10318" xr:uid="{00000000-0005-0000-0000-00004E280000}"/>
    <cellStyle name="Normal 2 2 2 2 2 17 2 5" xfId="10319" xr:uid="{00000000-0005-0000-0000-00004F280000}"/>
    <cellStyle name="Normal 2 2 2 2 2 17 2 6" xfId="10320" xr:uid="{00000000-0005-0000-0000-000050280000}"/>
    <cellStyle name="Normal 2 2 2 2 2 17 2 7" xfId="10321" xr:uid="{00000000-0005-0000-0000-000051280000}"/>
    <cellStyle name="Normal 2 2 2 2 2 17 2 8" xfId="10322" xr:uid="{00000000-0005-0000-0000-000052280000}"/>
    <cellStyle name="Normal 2 2 2 2 2 17 2 9" xfId="10323" xr:uid="{00000000-0005-0000-0000-000053280000}"/>
    <cellStyle name="Normal 2 2 2 2 2 17 3" xfId="10324" xr:uid="{00000000-0005-0000-0000-000054280000}"/>
    <cellStyle name="Normal 2 2 2 2 2 17 3 10" xfId="10325" xr:uid="{00000000-0005-0000-0000-000055280000}"/>
    <cellStyle name="Normal 2 2 2 2 2 17 3 2" xfId="10326" xr:uid="{00000000-0005-0000-0000-000056280000}"/>
    <cellStyle name="Normal 2 2 2 2 2 17 3 3" xfId="10327" xr:uid="{00000000-0005-0000-0000-000057280000}"/>
    <cellStyle name="Normal 2 2 2 2 2 17 3 4" xfId="10328" xr:uid="{00000000-0005-0000-0000-000058280000}"/>
    <cellStyle name="Normal 2 2 2 2 2 17 3 5" xfId="10329" xr:uid="{00000000-0005-0000-0000-000059280000}"/>
    <cellStyle name="Normal 2 2 2 2 2 17 3 6" xfId="10330" xr:uid="{00000000-0005-0000-0000-00005A280000}"/>
    <cellStyle name="Normal 2 2 2 2 2 17 3 7" xfId="10331" xr:uid="{00000000-0005-0000-0000-00005B280000}"/>
    <cellStyle name="Normal 2 2 2 2 2 17 3 8" xfId="10332" xr:uid="{00000000-0005-0000-0000-00005C280000}"/>
    <cellStyle name="Normal 2 2 2 2 2 17 3 9" xfId="10333" xr:uid="{00000000-0005-0000-0000-00005D280000}"/>
    <cellStyle name="Normal 2 2 2 2 2 17 4" xfId="10334" xr:uid="{00000000-0005-0000-0000-00005E280000}"/>
    <cellStyle name="Normal 2 2 2 2 2 17 4 10" xfId="10335" xr:uid="{00000000-0005-0000-0000-00005F280000}"/>
    <cellStyle name="Normal 2 2 2 2 2 17 4 2" xfId="10336" xr:uid="{00000000-0005-0000-0000-000060280000}"/>
    <cellStyle name="Normal 2 2 2 2 2 17 4 3" xfId="10337" xr:uid="{00000000-0005-0000-0000-000061280000}"/>
    <cellStyle name="Normal 2 2 2 2 2 17 4 4" xfId="10338" xr:uid="{00000000-0005-0000-0000-000062280000}"/>
    <cellStyle name="Normal 2 2 2 2 2 17 4 5" xfId="10339" xr:uid="{00000000-0005-0000-0000-000063280000}"/>
    <cellStyle name="Normal 2 2 2 2 2 17 4 6" xfId="10340" xr:uid="{00000000-0005-0000-0000-000064280000}"/>
    <cellStyle name="Normal 2 2 2 2 2 17 4 7" xfId="10341" xr:uid="{00000000-0005-0000-0000-000065280000}"/>
    <cellStyle name="Normal 2 2 2 2 2 17 4 8" xfId="10342" xr:uid="{00000000-0005-0000-0000-000066280000}"/>
    <cellStyle name="Normal 2 2 2 2 2 17 4 9" xfId="10343" xr:uid="{00000000-0005-0000-0000-000067280000}"/>
    <cellStyle name="Normal 2 2 2 2 2 17 5" xfId="10344" xr:uid="{00000000-0005-0000-0000-000068280000}"/>
    <cellStyle name="Normal 2 2 2 2 2 17 5 10" xfId="10345" xr:uid="{00000000-0005-0000-0000-000069280000}"/>
    <cellStyle name="Normal 2 2 2 2 2 17 5 2" xfId="10346" xr:uid="{00000000-0005-0000-0000-00006A280000}"/>
    <cellStyle name="Normal 2 2 2 2 2 17 5 3" xfId="10347" xr:uid="{00000000-0005-0000-0000-00006B280000}"/>
    <cellStyle name="Normal 2 2 2 2 2 17 5 4" xfId="10348" xr:uid="{00000000-0005-0000-0000-00006C280000}"/>
    <cellStyle name="Normal 2 2 2 2 2 17 5 5" xfId="10349" xr:uid="{00000000-0005-0000-0000-00006D280000}"/>
    <cellStyle name="Normal 2 2 2 2 2 17 5 6" xfId="10350" xr:uid="{00000000-0005-0000-0000-00006E280000}"/>
    <cellStyle name="Normal 2 2 2 2 2 17 5 7" xfId="10351" xr:uid="{00000000-0005-0000-0000-00006F280000}"/>
    <cellStyle name="Normal 2 2 2 2 2 17 5 8" xfId="10352" xr:uid="{00000000-0005-0000-0000-000070280000}"/>
    <cellStyle name="Normal 2 2 2 2 2 17 5 9" xfId="10353" xr:uid="{00000000-0005-0000-0000-000071280000}"/>
    <cellStyle name="Normal 2 2 2 2 2 17 6" xfId="10354" xr:uid="{00000000-0005-0000-0000-000072280000}"/>
    <cellStyle name="Normal 2 2 2 2 2 17 7" xfId="10355" xr:uid="{00000000-0005-0000-0000-000073280000}"/>
    <cellStyle name="Normal 2 2 2 2 2 17 8" xfId="10356" xr:uid="{00000000-0005-0000-0000-000074280000}"/>
    <cellStyle name="Normal 2 2 2 2 2 17 9" xfId="10357" xr:uid="{00000000-0005-0000-0000-000075280000}"/>
    <cellStyle name="Normal 2 2 2 2 2 18" xfId="10358" xr:uid="{00000000-0005-0000-0000-000076280000}"/>
    <cellStyle name="Normal 2 2 2 2 2 18 10" xfId="10359" xr:uid="{00000000-0005-0000-0000-000077280000}"/>
    <cellStyle name="Normal 2 2 2 2 2 18 11" xfId="10360" xr:uid="{00000000-0005-0000-0000-000078280000}"/>
    <cellStyle name="Normal 2 2 2 2 2 18 12" xfId="10361" xr:uid="{00000000-0005-0000-0000-000079280000}"/>
    <cellStyle name="Normal 2 2 2 2 2 18 13" xfId="10362" xr:uid="{00000000-0005-0000-0000-00007A280000}"/>
    <cellStyle name="Normal 2 2 2 2 2 18 14" xfId="10363" xr:uid="{00000000-0005-0000-0000-00007B280000}"/>
    <cellStyle name="Normal 2 2 2 2 2 18 2" xfId="10364" xr:uid="{00000000-0005-0000-0000-00007C280000}"/>
    <cellStyle name="Normal 2 2 2 2 2 18 2 10" xfId="10365" xr:uid="{00000000-0005-0000-0000-00007D280000}"/>
    <cellStyle name="Normal 2 2 2 2 2 18 2 2" xfId="10366" xr:uid="{00000000-0005-0000-0000-00007E280000}"/>
    <cellStyle name="Normal 2 2 2 2 2 18 2 3" xfId="10367" xr:uid="{00000000-0005-0000-0000-00007F280000}"/>
    <cellStyle name="Normal 2 2 2 2 2 18 2 4" xfId="10368" xr:uid="{00000000-0005-0000-0000-000080280000}"/>
    <cellStyle name="Normal 2 2 2 2 2 18 2 5" xfId="10369" xr:uid="{00000000-0005-0000-0000-000081280000}"/>
    <cellStyle name="Normal 2 2 2 2 2 18 2 6" xfId="10370" xr:uid="{00000000-0005-0000-0000-000082280000}"/>
    <cellStyle name="Normal 2 2 2 2 2 18 2 7" xfId="10371" xr:uid="{00000000-0005-0000-0000-000083280000}"/>
    <cellStyle name="Normal 2 2 2 2 2 18 2 8" xfId="10372" xr:uid="{00000000-0005-0000-0000-000084280000}"/>
    <cellStyle name="Normal 2 2 2 2 2 18 2 9" xfId="10373" xr:uid="{00000000-0005-0000-0000-000085280000}"/>
    <cellStyle name="Normal 2 2 2 2 2 18 3" xfId="10374" xr:uid="{00000000-0005-0000-0000-000086280000}"/>
    <cellStyle name="Normal 2 2 2 2 2 18 3 10" xfId="10375" xr:uid="{00000000-0005-0000-0000-000087280000}"/>
    <cellStyle name="Normal 2 2 2 2 2 18 3 2" xfId="10376" xr:uid="{00000000-0005-0000-0000-000088280000}"/>
    <cellStyle name="Normal 2 2 2 2 2 18 3 3" xfId="10377" xr:uid="{00000000-0005-0000-0000-000089280000}"/>
    <cellStyle name="Normal 2 2 2 2 2 18 3 4" xfId="10378" xr:uid="{00000000-0005-0000-0000-00008A280000}"/>
    <cellStyle name="Normal 2 2 2 2 2 18 3 5" xfId="10379" xr:uid="{00000000-0005-0000-0000-00008B280000}"/>
    <cellStyle name="Normal 2 2 2 2 2 18 3 6" xfId="10380" xr:uid="{00000000-0005-0000-0000-00008C280000}"/>
    <cellStyle name="Normal 2 2 2 2 2 18 3 7" xfId="10381" xr:uid="{00000000-0005-0000-0000-00008D280000}"/>
    <cellStyle name="Normal 2 2 2 2 2 18 3 8" xfId="10382" xr:uid="{00000000-0005-0000-0000-00008E280000}"/>
    <cellStyle name="Normal 2 2 2 2 2 18 3 9" xfId="10383" xr:uid="{00000000-0005-0000-0000-00008F280000}"/>
    <cellStyle name="Normal 2 2 2 2 2 18 4" xfId="10384" xr:uid="{00000000-0005-0000-0000-000090280000}"/>
    <cellStyle name="Normal 2 2 2 2 2 18 4 10" xfId="10385" xr:uid="{00000000-0005-0000-0000-000091280000}"/>
    <cellStyle name="Normal 2 2 2 2 2 18 4 2" xfId="10386" xr:uid="{00000000-0005-0000-0000-000092280000}"/>
    <cellStyle name="Normal 2 2 2 2 2 18 4 3" xfId="10387" xr:uid="{00000000-0005-0000-0000-000093280000}"/>
    <cellStyle name="Normal 2 2 2 2 2 18 4 4" xfId="10388" xr:uid="{00000000-0005-0000-0000-000094280000}"/>
    <cellStyle name="Normal 2 2 2 2 2 18 4 5" xfId="10389" xr:uid="{00000000-0005-0000-0000-000095280000}"/>
    <cellStyle name="Normal 2 2 2 2 2 18 4 6" xfId="10390" xr:uid="{00000000-0005-0000-0000-000096280000}"/>
    <cellStyle name="Normal 2 2 2 2 2 18 4 7" xfId="10391" xr:uid="{00000000-0005-0000-0000-000097280000}"/>
    <cellStyle name="Normal 2 2 2 2 2 18 4 8" xfId="10392" xr:uid="{00000000-0005-0000-0000-000098280000}"/>
    <cellStyle name="Normal 2 2 2 2 2 18 4 9" xfId="10393" xr:uid="{00000000-0005-0000-0000-000099280000}"/>
    <cellStyle name="Normal 2 2 2 2 2 18 5" xfId="10394" xr:uid="{00000000-0005-0000-0000-00009A280000}"/>
    <cellStyle name="Normal 2 2 2 2 2 18 5 10" xfId="10395" xr:uid="{00000000-0005-0000-0000-00009B280000}"/>
    <cellStyle name="Normal 2 2 2 2 2 18 5 2" xfId="10396" xr:uid="{00000000-0005-0000-0000-00009C280000}"/>
    <cellStyle name="Normal 2 2 2 2 2 18 5 3" xfId="10397" xr:uid="{00000000-0005-0000-0000-00009D280000}"/>
    <cellStyle name="Normal 2 2 2 2 2 18 5 4" xfId="10398" xr:uid="{00000000-0005-0000-0000-00009E280000}"/>
    <cellStyle name="Normal 2 2 2 2 2 18 5 5" xfId="10399" xr:uid="{00000000-0005-0000-0000-00009F280000}"/>
    <cellStyle name="Normal 2 2 2 2 2 18 5 6" xfId="10400" xr:uid="{00000000-0005-0000-0000-0000A0280000}"/>
    <cellStyle name="Normal 2 2 2 2 2 18 5 7" xfId="10401" xr:uid="{00000000-0005-0000-0000-0000A1280000}"/>
    <cellStyle name="Normal 2 2 2 2 2 18 5 8" xfId="10402" xr:uid="{00000000-0005-0000-0000-0000A2280000}"/>
    <cellStyle name="Normal 2 2 2 2 2 18 5 9" xfId="10403" xr:uid="{00000000-0005-0000-0000-0000A3280000}"/>
    <cellStyle name="Normal 2 2 2 2 2 18 6" xfId="10404" xr:uid="{00000000-0005-0000-0000-0000A4280000}"/>
    <cellStyle name="Normal 2 2 2 2 2 18 7" xfId="10405" xr:uid="{00000000-0005-0000-0000-0000A5280000}"/>
    <cellStyle name="Normal 2 2 2 2 2 18 8" xfId="10406" xr:uid="{00000000-0005-0000-0000-0000A6280000}"/>
    <cellStyle name="Normal 2 2 2 2 2 18 9" xfId="10407" xr:uid="{00000000-0005-0000-0000-0000A7280000}"/>
    <cellStyle name="Normal 2 2 2 2 2 19" xfId="10408" xr:uid="{00000000-0005-0000-0000-0000A8280000}"/>
    <cellStyle name="Normal 2 2 2 2 2 19 10" xfId="10409" xr:uid="{00000000-0005-0000-0000-0000A9280000}"/>
    <cellStyle name="Normal 2 2 2 2 2 19 11" xfId="10410" xr:uid="{00000000-0005-0000-0000-0000AA280000}"/>
    <cellStyle name="Normal 2 2 2 2 2 19 12" xfId="10411" xr:uid="{00000000-0005-0000-0000-0000AB280000}"/>
    <cellStyle name="Normal 2 2 2 2 2 19 13" xfId="10412" xr:uid="{00000000-0005-0000-0000-0000AC280000}"/>
    <cellStyle name="Normal 2 2 2 2 2 19 14" xfId="10413" xr:uid="{00000000-0005-0000-0000-0000AD280000}"/>
    <cellStyle name="Normal 2 2 2 2 2 19 2" xfId="10414" xr:uid="{00000000-0005-0000-0000-0000AE280000}"/>
    <cellStyle name="Normal 2 2 2 2 2 19 2 10" xfId="10415" xr:uid="{00000000-0005-0000-0000-0000AF280000}"/>
    <cellStyle name="Normal 2 2 2 2 2 19 2 2" xfId="10416" xr:uid="{00000000-0005-0000-0000-0000B0280000}"/>
    <cellStyle name="Normal 2 2 2 2 2 19 2 3" xfId="10417" xr:uid="{00000000-0005-0000-0000-0000B1280000}"/>
    <cellStyle name="Normal 2 2 2 2 2 19 2 4" xfId="10418" xr:uid="{00000000-0005-0000-0000-0000B2280000}"/>
    <cellStyle name="Normal 2 2 2 2 2 19 2 5" xfId="10419" xr:uid="{00000000-0005-0000-0000-0000B3280000}"/>
    <cellStyle name="Normal 2 2 2 2 2 19 2 6" xfId="10420" xr:uid="{00000000-0005-0000-0000-0000B4280000}"/>
    <cellStyle name="Normal 2 2 2 2 2 19 2 7" xfId="10421" xr:uid="{00000000-0005-0000-0000-0000B5280000}"/>
    <cellStyle name="Normal 2 2 2 2 2 19 2 8" xfId="10422" xr:uid="{00000000-0005-0000-0000-0000B6280000}"/>
    <cellStyle name="Normal 2 2 2 2 2 19 2 9" xfId="10423" xr:uid="{00000000-0005-0000-0000-0000B7280000}"/>
    <cellStyle name="Normal 2 2 2 2 2 19 3" xfId="10424" xr:uid="{00000000-0005-0000-0000-0000B8280000}"/>
    <cellStyle name="Normal 2 2 2 2 2 19 3 10" xfId="10425" xr:uid="{00000000-0005-0000-0000-0000B9280000}"/>
    <cellStyle name="Normal 2 2 2 2 2 19 3 2" xfId="10426" xr:uid="{00000000-0005-0000-0000-0000BA280000}"/>
    <cellStyle name="Normal 2 2 2 2 2 19 3 3" xfId="10427" xr:uid="{00000000-0005-0000-0000-0000BB280000}"/>
    <cellStyle name="Normal 2 2 2 2 2 19 3 4" xfId="10428" xr:uid="{00000000-0005-0000-0000-0000BC280000}"/>
    <cellStyle name="Normal 2 2 2 2 2 19 3 5" xfId="10429" xr:uid="{00000000-0005-0000-0000-0000BD280000}"/>
    <cellStyle name="Normal 2 2 2 2 2 19 3 6" xfId="10430" xr:uid="{00000000-0005-0000-0000-0000BE280000}"/>
    <cellStyle name="Normal 2 2 2 2 2 19 3 7" xfId="10431" xr:uid="{00000000-0005-0000-0000-0000BF280000}"/>
    <cellStyle name="Normal 2 2 2 2 2 19 3 8" xfId="10432" xr:uid="{00000000-0005-0000-0000-0000C0280000}"/>
    <cellStyle name="Normal 2 2 2 2 2 19 3 9" xfId="10433" xr:uid="{00000000-0005-0000-0000-0000C1280000}"/>
    <cellStyle name="Normal 2 2 2 2 2 19 4" xfId="10434" xr:uid="{00000000-0005-0000-0000-0000C2280000}"/>
    <cellStyle name="Normal 2 2 2 2 2 19 4 10" xfId="10435" xr:uid="{00000000-0005-0000-0000-0000C3280000}"/>
    <cellStyle name="Normal 2 2 2 2 2 19 4 2" xfId="10436" xr:uid="{00000000-0005-0000-0000-0000C4280000}"/>
    <cellStyle name="Normal 2 2 2 2 2 19 4 3" xfId="10437" xr:uid="{00000000-0005-0000-0000-0000C5280000}"/>
    <cellStyle name="Normal 2 2 2 2 2 19 4 4" xfId="10438" xr:uid="{00000000-0005-0000-0000-0000C6280000}"/>
    <cellStyle name="Normal 2 2 2 2 2 19 4 5" xfId="10439" xr:uid="{00000000-0005-0000-0000-0000C7280000}"/>
    <cellStyle name="Normal 2 2 2 2 2 19 4 6" xfId="10440" xr:uid="{00000000-0005-0000-0000-0000C8280000}"/>
    <cellStyle name="Normal 2 2 2 2 2 19 4 7" xfId="10441" xr:uid="{00000000-0005-0000-0000-0000C9280000}"/>
    <cellStyle name="Normal 2 2 2 2 2 19 4 8" xfId="10442" xr:uid="{00000000-0005-0000-0000-0000CA280000}"/>
    <cellStyle name="Normal 2 2 2 2 2 19 4 9" xfId="10443" xr:uid="{00000000-0005-0000-0000-0000CB280000}"/>
    <cellStyle name="Normal 2 2 2 2 2 19 5" xfId="10444" xr:uid="{00000000-0005-0000-0000-0000CC280000}"/>
    <cellStyle name="Normal 2 2 2 2 2 19 5 10" xfId="10445" xr:uid="{00000000-0005-0000-0000-0000CD280000}"/>
    <cellStyle name="Normal 2 2 2 2 2 19 5 2" xfId="10446" xr:uid="{00000000-0005-0000-0000-0000CE280000}"/>
    <cellStyle name="Normal 2 2 2 2 2 19 5 3" xfId="10447" xr:uid="{00000000-0005-0000-0000-0000CF280000}"/>
    <cellStyle name="Normal 2 2 2 2 2 19 5 4" xfId="10448" xr:uid="{00000000-0005-0000-0000-0000D0280000}"/>
    <cellStyle name="Normal 2 2 2 2 2 19 5 5" xfId="10449" xr:uid="{00000000-0005-0000-0000-0000D1280000}"/>
    <cellStyle name="Normal 2 2 2 2 2 19 5 6" xfId="10450" xr:uid="{00000000-0005-0000-0000-0000D2280000}"/>
    <cellStyle name="Normal 2 2 2 2 2 19 5 7" xfId="10451" xr:uid="{00000000-0005-0000-0000-0000D3280000}"/>
    <cellStyle name="Normal 2 2 2 2 2 19 5 8" xfId="10452" xr:uid="{00000000-0005-0000-0000-0000D4280000}"/>
    <cellStyle name="Normal 2 2 2 2 2 19 5 9" xfId="10453" xr:uid="{00000000-0005-0000-0000-0000D5280000}"/>
    <cellStyle name="Normal 2 2 2 2 2 19 6" xfId="10454" xr:uid="{00000000-0005-0000-0000-0000D6280000}"/>
    <cellStyle name="Normal 2 2 2 2 2 19 7" xfId="10455" xr:uid="{00000000-0005-0000-0000-0000D7280000}"/>
    <cellStyle name="Normal 2 2 2 2 2 19 8" xfId="10456" xr:uid="{00000000-0005-0000-0000-0000D8280000}"/>
    <cellStyle name="Normal 2 2 2 2 2 19 9" xfId="10457" xr:uid="{00000000-0005-0000-0000-0000D9280000}"/>
    <cellStyle name="Normal 2 2 2 2 2 2" xfId="10458" xr:uid="{00000000-0005-0000-0000-0000DA280000}"/>
    <cellStyle name="Normal 2 2 2 2 2 2 10" xfId="10459" xr:uid="{00000000-0005-0000-0000-0000DB280000}"/>
    <cellStyle name="Normal 2 2 2 2 2 2 10 10" xfId="10460" xr:uid="{00000000-0005-0000-0000-0000DC280000}"/>
    <cellStyle name="Normal 2 2 2 2 2 2 10 11" xfId="10461" xr:uid="{00000000-0005-0000-0000-0000DD280000}"/>
    <cellStyle name="Normal 2 2 2 2 2 2 10 12" xfId="10462" xr:uid="{00000000-0005-0000-0000-0000DE280000}"/>
    <cellStyle name="Normal 2 2 2 2 2 2 10 13" xfId="10463" xr:uid="{00000000-0005-0000-0000-0000DF280000}"/>
    <cellStyle name="Normal 2 2 2 2 2 2 10 14" xfId="10464" xr:uid="{00000000-0005-0000-0000-0000E0280000}"/>
    <cellStyle name="Normal 2 2 2 2 2 2 10 2" xfId="10465" xr:uid="{00000000-0005-0000-0000-0000E1280000}"/>
    <cellStyle name="Normal 2 2 2 2 2 2 10 2 10" xfId="10466" xr:uid="{00000000-0005-0000-0000-0000E2280000}"/>
    <cellStyle name="Normal 2 2 2 2 2 2 10 2 2" xfId="10467" xr:uid="{00000000-0005-0000-0000-0000E3280000}"/>
    <cellStyle name="Normal 2 2 2 2 2 2 10 2 3" xfId="10468" xr:uid="{00000000-0005-0000-0000-0000E4280000}"/>
    <cellStyle name="Normal 2 2 2 2 2 2 10 2 4" xfId="10469" xr:uid="{00000000-0005-0000-0000-0000E5280000}"/>
    <cellStyle name="Normal 2 2 2 2 2 2 10 2 5" xfId="10470" xr:uid="{00000000-0005-0000-0000-0000E6280000}"/>
    <cellStyle name="Normal 2 2 2 2 2 2 10 2 6" xfId="10471" xr:uid="{00000000-0005-0000-0000-0000E7280000}"/>
    <cellStyle name="Normal 2 2 2 2 2 2 10 2 7" xfId="10472" xr:uid="{00000000-0005-0000-0000-0000E8280000}"/>
    <cellStyle name="Normal 2 2 2 2 2 2 10 2 8" xfId="10473" xr:uid="{00000000-0005-0000-0000-0000E9280000}"/>
    <cellStyle name="Normal 2 2 2 2 2 2 10 2 9" xfId="10474" xr:uid="{00000000-0005-0000-0000-0000EA280000}"/>
    <cellStyle name="Normal 2 2 2 2 2 2 10 3" xfId="10475" xr:uid="{00000000-0005-0000-0000-0000EB280000}"/>
    <cellStyle name="Normal 2 2 2 2 2 2 10 3 10" xfId="10476" xr:uid="{00000000-0005-0000-0000-0000EC280000}"/>
    <cellStyle name="Normal 2 2 2 2 2 2 10 3 2" xfId="10477" xr:uid="{00000000-0005-0000-0000-0000ED280000}"/>
    <cellStyle name="Normal 2 2 2 2 2 2 10 3 3" xfId="10478" xr:uid="{00000000-0005-0000-0000-0000EE280000}"/>
    <cellStyle name="Normal 2 2 2 2 2 2 10 3 4" xfId="10479" xr:uid="{00000000-0005-0000-0000-0000EF280000}"/>
    <cellStyle name="Normal 2 2 2 2 2 2 10 3 5" xfId="10480" xr:uid="{00000000-0005-0000-0000-0000F0280000}"/>
    <cellStyle name="Normal 2 2 2 2 2 2 10 3 6" xfId="10481" xr:uid="{00000000-0005-0000-0000-0000F1280000}"/>
    <cellStyle name="Normal 2 2 2 2 2 2 10 3 7" xfId="10482" xr:uid="{00000000-0005-0000-0000-0000F2280000}"/>
    <cellStyle name="Normal 2 2 2 2 2 2 10 3 8" xfId="10483" xr:uid="{00000000-0005-0000-0000-0000F3280000}"/>
    <cellStyle name="Normal 2 2 2 2 2 2 10 3 9" xfId="10484" xr:uid="{00000000-0005-0000-0000-0000F4280000}"/>
    <cellStyle name="Normal 2 2 2 2 2 2 10 4" xfId="10485" xr:uid="{00000000-0005-0000-0000-0000F5280000}"/>
    <cellStyle name="Normal 2 2 2 2 2 2 10 4 10" xfId="10486" xr:uid="{00000000-0005-0000-0000-0000F6280000}"/>
    <cellStyle name="Normal 2 2 2 2 2 2 10 4 2" xfId="10487" xr:uid="{00000000-0005-0000-0000-0000F7280000}"/>
    <cellStyle name="Normal 2 2 2 2 2 2 10 4 3" xfId="10488" xr:uid="{00000000-0005-0000-0000-0000F8280000}"/>
    <cellStyle name="Normal 2 2 2 2 2 2 10 4 4" xfId="10489" xr:uid="{00000000-0005-0000-0000-0000F9280000}"/>
    <cellStyle name="Normal 2 2 2 2 2 2 10 4 5" xfId="10490" xr:uid="{00000000-0005-0000-0000-0000FA280000}"/>
    <cellStyle name="Normal 2 2 2 2 2 2 10 4 6" xfId="10491" xr:uid="{00000000-0005-0000-0000-0000FB280000}"/>
    <cellStyle name="Normal 2 2 2 2 2 2 10 4 7" xfId="10492" xr:uid="{00000000-0005-0000-0000-0000FC280000}"/>
    <cellStyle name="Normal 2 2 2 2 2 2 10 4 8" xfId="10493" xr:uid="{00000000-0005-0000-0000-0000FD280000}"/>
    <cellStyle name="Normal 2 2 2 2 2 2 10 4 9" xfId="10494" xr:uid="{00000000-0005-0000-0000-0000FE280000}"/>
    <cellStyle name="Normal 2 2 2 2 2 2 10 5" xfId="10495" xr:uid="{00000000-0005-0000-0000-0000FF280000}"/>
    <cellStyle name="Normal 2 2 2 2 2 2 10 5 10" xfId="10496" xr:uid="{00000000-0005-0000-0000-000000290000}"/>
    <cellStyle name="Normal 2 2 2 2 2 2 10 5 2" xfId="10497" xr:uid="{00000000-0005-0000-0000-000001290000}"/>
    <cellStyle name="Normal 2 2 2 2 2 2 10 5 3" xfId="10498" xr:uid="{00000000-0005-0000-0000-000002290000}"/>
    <cellStyle name="Normal 2 2 2 2 2 2 10 5 4" xfId="10499" xr:uid="{00000000-0005-0000-0000-000003290000}"/>
    <cellStyle name="Normal 2 2 2 2 2 2 10 5 5" xfId="10500" xr:uid="{00000000-0005-0000-0000-000004290000}"/>
    <cellStyle name="Normal 2 2 2 2 2 2 10 5 6" xfId="10501" xr:uid="{00000000-0005-0000-0000-000005290000}"/>
    <cellStyle name="Normal 2 2 2 2 2 2 10 5 7" xfId="10502" xr:uid="{00000000-0005-0000-0000-000006290000}"/>
    <cellStyle name="Normal 2 2 2 2 2 2 10 5 8" xfId="10503" xr:uid="{00000000-0005-0000-0000-000007290000}"/>
    <cellStyle name="Normal 2 2 2 2 2 2 10 5 9" xfId="10504" xr:uid="{00000000-0005-0000-0000-000008290000}"/>
    <cellStyle name="Normal 2 2 2 2 2 2 10 6" xfId="10505" xr:uid="{00000000-0005-0000-0000-000009290000}"/>
    <cellStyle name="Normal 2 2 2 2 2 2 10 7" xfId="10506" xr:uid="{00000000-0005-0000-0000-00000A290000}"/>
    <cellStyle name="Normal 2 2 2 2 2 2 10 8" xfId="10507" xr:uid="{00000000-0005-0000-0000-00000B290000}"/>
    <cellStyle name="Normal 2 2 2 2 2 2 10 9" xfId="10508" xr:uid="{00000000-0005-0000-0000-00000C290000}"/>
    <cellStyle name="Normal 2 2 2 2 2 2 11" xfId="10509" xr:uid="{00000000-0005-0000-0000-00000D290000}"/>
    <cellStyle name="Normal 2 2 2 2 2 2 11 10" xfId="10510" xr:uid="{00000000-0005-0000-0000-00000E290000}"/>
    <cellStyle name="Normal 2 2 2 2 2 2 11 11" xfId="10511" xr:uid="{00000000-0005-0000-0000-00000F290000}"/>
    <cellStyle name="Normal 2 2 2 2 2 2 11 12" xfId="10512" xr:uid="{00000000-0005-0000-0000-000010290000}"/>
    <cellStyle name="Normal 2 2 2 2 2 2 11 13" xfId="10513" xr:uid="{00000000-0005-0000-0000-000011290000}"/>
    <cellStyle name="Normal 2 2 2 2 2 2 11 14" xfId="10514" xr:uid="{00000000-0005-0000-0000-000012290000}"/>
    <cellStyle name="Normal 2 2 2 2 2 2 11 2" xfId="10515" xr:uid="{00000000-0005-0000-0000-000013290000}"/>
    <cellStyle name="Normal 2 2 2 2 2 2 11 2 10" xfId="10516" xr:uid="{00000000-0005-0000-0000-000014290000}"/>
    <cellStyle name="Normal 2 2 2 2 2 2 11 2 2" xfId="10517" xr:uid="{00000000-0005-0000-0000-000015290000}"/>
    <cellStyle name="Normal 2 2 2 2 2 2 11 2 3" xfId="10518" xr:uid="{00000000-0005-0000-0000-000016290000}"/>
    <cellStyle name="Normal 2 2 2 2 2 2 11 2 4" xfId="10519" xr:uid="{00000000-0005-0000-0000-000017290000}"/>
    <cellStyle name="Normal 2 2 2 2 2 2 11 2 5" xfId="10520" xr:uid="{00000000-0005-0000-0000-000018290000}"/>
    <cellStyle name="Normal 2 2 2 2 2 2 11 2 6" xfId="10521" xr:uid="{00000000-0005-0000-0000-000019290000}"/>
    <cellStyle name="Normal 2 2 2 2 2 2 11 2 7" xfId="10522" xr:uid="{00000000-0005-0000-0000-00001A290000}"/>
    <cellStyle name="Normal 2 2 2 2 2 2 11 2 8" xfId="10523" xr:uid="{00000000-0005-0000-0000-00001B290000}"/>
    <cellStyle name="Normal 2 2 2 2 2 2 11 2 9" xfId="10524" xr:uid="{00000000-0005-0000-0000-00001C290000}"/>
    <cellStyle name="Normal 2 2 2 2 2 2 11 3" xfId="10525" xr:uid="{00000000-0005-0000-0000-00001D290000}"/>
    <cellStyle name="Normal 2 2 2 2 2 2 11 3 10" xfId="10526" xr:uid="{00000000-0005-0000-0000-00001E290000}"/>
    <cellStyle name="Normal 2 2 2 2 2 2 11 3 2" xfId="10527" xr:uid="{00000000-0005-0000-0000-00001F290000}"/>
    <cellStyle name="Normal 2 2 2 2 2 2 11 3 3" xfId="10528" xr:uid="{00000000-0005-0000-0000-000020290000}"/>
    <cellStyle name="Normal 2 2 2 2 2 2 11 3 4" xfId="10529" xr:uid="{00000000-0005-0000-0000-000021290000}"/>
    <cellStyle name="Normal 2 2 2 2 2 2 11 3 5" xfId="10530" xr:uid="{00000000-0005-0000-0000-000022290000}"/>
    <cellStyle name="Normal 2 2 2 2 2 2 11 3 6" xfId="10531" xr:uid="{00000000-0005-0000-0000-000023290000}"/>
    <cellStyle name="Normal 2 2 2 2 2 2 11 3 7" xfId="10532" xr:uid="{00000000-0005-0000-0000-000024290000}"/>
    <cellStyle name="Normal 2 2 2 2 2 2 11 3 8" xfId="10533" xr:uid="{00000000-0005-0000-0000-000025290000}"/>
    <cellStyle name="Normal 2 2 2 2 2 2 11 3 9" xfId="10534" xr:uid="{00000000-0005-0000-0000-000026290000}"/>
    <cellStyle name="Normal 2 2 2 2 2 2 11 4" xfId="10535" xr:uid="{00000000-0005-0000-0000-000027290000}"/>
    <cellStyle name="Normal 2 2 2 2 2 2 11 4 10" xfId="10536" xr:uid="{00000000-0005-0000-0000-000028290000}"/>
    <cellStyle name="Normal 2 2 2 2 2 2 11 4 2" xfId="10537" xr:uid="{00000000-0005-0000-0000-000029290000}"/>
    <cellStyle name="Normal 2 2 2 2 2 2 11 4 3" xfId="10538" xr:uid="{00000000-0005-0000-0000-00002A290000}"/>
    <cellStyle name="Normal 2 2 2 2 2 2 11 4 4" xfId="10539" xr:uid="{00000000-0005-0000-0000-00002B290000}"/>
    <cellStyle name="Normal 2 2 2 2 2 2 11 4 5" xfId="10540" xr:uid="{00000000-0005-0000-0000-00002C290000}"/>
    <cellStyle name="Normal 2 2 2 2 2 2 11 4 6" xfId="10541" xr:uid="{00000000-0005-0000-0000-00002D290000}"/>
    <cellStyle name="Normal 2 2 2 2 2 2 11 4 7" xfId="10542" xr:uid="{00000000-0005-0000-0000-00002E290000}"/>
    <cellStyle name="Normal 2 2 2 2 2 2 11 4 8" xfId="10543" xr:uid="{00000000-0005-0000-0000-00002F290000}"/>
    <cellStyle name="Normal 2 2 2 2 2 2 11 4 9" xfId="10544" xr:uid="{00000000-0005-0000-0000-000030290000}"/>
    <cellStyle name="Normal 2 2 2 2 2 2 11 5" xfId="10545" xr:uid="{00000000-0005-0000-0000-000031290000}"/>
    <cellStyle name="Normal 2 2 2 2 2 2 11 5 10" xfId="10546" xr:uid="{00000000-0005-0000-0000-000032290000}"/>
    <cellStyle name="Normal 2 2 2 2 2 2 11 5 2" xfId="10547" xr:uid="{00000000-0005-0000-0000-000033290000}"/>
    <cellStyle name="Normal 2 2 2 2 2 2 11 5 3" xfId="10548" xr:uid="{00000000-0005-0000-0000-000034290000}"/>
    <cellStyle name="Normal 2 2 2 2 2 2 11 5 4" xfId="10549" xr:uid="{00000000-0005-0000-0000-000035290000}"/>
    <cellStyle name="Normal 2 2 2 2 2 2 11 5 5" xfId="10550" xr:uid="{00000000-0005-0000-0000-000036290000}"/>
    <cellStyle name="Normal 2 2 2 2 2 2 11 5 6" xfId="10551" xr:uid="{00000000-0005-0000-0000-000037290000}"/>
    <cellStyle name="Normal 2 2 2 2 2 2 11 5 7" xfId="10552" xr:uid="{00000000-0005-0000-0000-000038290000}"/>
    <cellStyle name="Normal 2 2 2 2 2 2 11 5 8" xfId="10553" xr:uid="{00000000-0005-0000-0000-000039290000}"/>
    <cellStyle name="Normal 2 2 2 2 2 2 11 5 9" xfId="10554" xr:uid="{00000000-0005-0000-0000-00003A290000}"/>
    <cellStyle name="Normal 2 2 2 2 2 2 11 6" xfId="10555" xr:uid="{00000000-0005-0000-0000-00003B290000}"/>
    <cellStyle name="Normal 2 2 2 2 2 2 11 7" xfId="10556" xr:uid="{00000000-0005-0000-0000-00003C290000}"/>
    <cellStyle name="Normal 2 2 2 2 2 2 11 8" xfId="10557" xr:uid="{00000000-0005-0000-0000-00003D290000}"/>
    <cellStyle name="Normal 2 2 2 2 2 2 11 9" xfId="10558" xr:uid="{00000000-0005-0000-0000-00003E290000}"/>
    <cellStyle name="Normal 2 2 2 2 2 2 12" xfId="10559" xr:uid="{00000000-0005-0000-0000-00003F290000}"/>
    <cellStyle name="Normal 2 2 2 2 2 2 12 10" xfId="10560" xr:uid="{00000000-0005-0000-0000-000040290000}"/>
    <cellStyle name="Normal 2 2 2 2 2 2 12 11" xfId="10561" xr:uid="{00000000-0005-0000-0000-000041290000}"/>
    <cellStyle name="Normal 2 2 2 2 2 2 12 12" xfId="10562" xr:uid="{00000000-0005-0000-0000-000042290000}"/>
    <cellStyle name="Normal 2 2 2 2 2 2 12 13" xfId="10563" xr:uid="{00000000-0005-0000-0000-000043290000}"/>
    <cellStyle name="Normal 2 2 2 2 2 2 12 14" xfId="10564" xr:uid="{00000000-0005-0000-0000-000044290000}"/>
    <cellStyle name="Normal 2 2 2 2 2 2 12 2" xfId="10565" xr:uid="{00000000-0005-0000-0000-000045290000}"/>
    <cellStyle name="Normal 2 2 2 2 2 2 12 2 10" xfId="10566" xr:uid="{00000000-0005-0000-0000-000046290000}"/>
    <cellStyle name="Normal 2 2 2 2 2 2 12 2 2" xfId="10567" xr:uid="{00000000-0005-0000-0000-000047290000}"/>
    <cellStyle name="Normal 2 2 2 2 2 2 12 2 3" xfId="10568" xr:uid="{00000000-0005-0000-0000-000048290000}"/>
    <cellStyle name="Normal 2 2 2 2 2 2 12 2 4" xfId="10569" xr:uid="{00000000-0005-0000-0000-000049290000}"/>
    <cellStyle name="Normal 2 2 2 2 2 2 12 2 5" xfId="10570" xr:uid="{00000000-0005-0000-0000-00004A290000}"/>
    <cellStyle name="Normal 2 2 2 2 2 2 12 2 6" xfId="10571" xr:uid="{00000000-0005-0000-0000-00004B290000}"/>
    <cellStyle name="Normal 2 2 2 2 2 2 12 2 7" xfId="10572" xr:uid="{00000000-0005-0000-0000-00004C290000}"/>
    <cellStyle name="Normal 2 2 2 2 2 2 12 2 8" xfId="10573" xr:uid="{00000000-0005-0000-0000-00004D290000}"/>
    <cellStyle name="Normal 2 2 2 2 2 2 12 2 9" xfId="10574" xr:uid="{00000000-0005-0000-0000-00004E290000}"/>
    <cellStyle name="Normal 2 2 2 2 2 2 12 3" xfId="10575" xr:uid="{00000000-0005-0000-0000-00004F290000}"/>
    <cellStyle name="Normal 2 2 2 2 2 2 12 3 10" xfId="10576" xr:uid="{00000000-0005-0000-0000-000050290000}"/>
    <cellStyle name="Normal 2 2 2 2 2 2 12 3 2" xfId="10577" xr:uid="{00000000-0005-0000-0000-000051290000}"/>
    <cellStyle name="Normal 2 2 2 2 2 2 12 3 3" xfId="10578" xr:uid="{00000000-0005-0000-0000-000052290000}"/>
    <cellStyle name="Normal 2 2 2 2 2 2 12 3 4" xfId="10579" xr:uid="{00000000-0005-0000-0000-000053290000}"/>
    <cellStyle name="Normal 2 2 2 2 2 2 12 3 5" xfId="10580" xr:uid="{00000000-0005-0000-0000-000054290000}"/>
    <cellStyle name="Normal 2 2 2 2 2 2 12 3 6" xfId="10581" xr:uid="{00000000-0005-0000-0000-000055290000}"/>
    <cellStyle name="Normal 2 2 2 2 2 2 12 3 7" xfId="10582" xr:uid="{00000000-0005-0000-0000-000056290000}"/>
    <cellStyle name="Normal 2 2 2 2 2 2 12 3 8" xfId="10583" xr:uid="{00000000-0005-0000-0000-000057290000}"/>
    <cellStyle name="Normal 2 2 2 2 2 2 12 3 9" xfId="10584" xr:uid="{00000000-0005-0000-0000-000058290000}"/>
    <cellStyle name="Normal 2 2 2 2 2 2 12 4" xfId="10585" xr:uid="{00000000-0005-0000-0000-000059290000}"/>
    <cellStyle name="Normal 2 2 2 2 2 2 12 4 10" xfId="10586" xr:uid="{00000000-0005-0000-0000-00005A290000}"/>
    <cellStyle name="Normal 2 2 2 2 2 2 12 4 2" xfId="10587" xr:uid="{00000000-0005-0000-0000-00005B290000}"/>
    <cellStyle name="Normal 2 2 2 2 2 2 12 4 3" xfId="10588" xr:uid="{00000000-0005-0000-0000-00005C290000}"/>
    <cellStyle name="Normal 2 2 2 2 2 2 12 4 4" xfId="10589" xr:uid="{00000000-0005-0000-0000-00005D290000}"/>
    <cellStyle name="Normal 2 2 2 2 2 2 12 4 5" xfId="10590" xr:uid="{00000000-0005-0000-0000-00005E290000}"/>
    <cellStyle name="Normal 2 2 2 2 2 2 12 4 6" xfId="10591" xr:uid="{00000000-0005-0000-0000-00005F290000}"/>
    <cellStyle name="Normal 2 2 2 2 2 2 12 4 7" xfId="10592" xr:uid="{00000000-0005-0000-0000-000060290000}"/>
    <cellStyle name="Normal 2 2 2 2 2 2 12 4 8" xfId="10593" xr:uid="{00000000-0005-0000-0000-000061290000}"/>
    <cellStyle name="Normal 2 2 2 2 2 2 12 4 9" xfId="10594" xr:uid="{00000000-0005-0000-0000-000062290000}"/>
    <cellStyle name="Normal 2 2 2 2 2 2 12 5" xfId="10595" xr:uid="{00000000-0005-0000-0000-000063290000}"/>
    <cellStyle name="Normal 2 2 2 2 2 2 12 5 10" xfId="10596" xr:uid="{00000000-0005-0000-0000-000064290000}"/>
    <cellStyle name="Normal 2 2 2 2 2 2 12 5 2" xfId="10597" xr:uid="{00000000-0005-0000-0000-000065290000}"/>
    <cellStyle name="Normal 2 2 2 2 2 2 12 5 3" xfId="10598" xr:uid="{00000000-0005-0000-0000-000066290000}"/>
    <cellStyle name="Normal 2 2 2 2 2 2 12 5 4" xfId="10599" xr:uid="{00000000-0005-0000-0000-000067290000}"/>
    <cellStyle name="Normal 2 2 2 2 2 2 12 5 5" xfId="10600" xr:uid="{00000000-0005-0000-0000-000068290000}"/>
    <cellStyle name="Normal 2 2 2 2 2 2 12 5 6" xfId="10601" xr:uid="{00000000-0005-0000-0000-000069290000}"/>
    <cellStyle name="Normal 2 2 2 2 2 2 12 5 7" xfId="10602" xr:uid="{00000000-0005-0000-0000-00006A290000}"/>
    <cellStyle name="Normal 2 2 2 2 2 2 12 5 8" xfId="10603" xr:uid="{00000000-0005-0000-0000-00006B290000}"/>
    <cellStyle name="Normal 2 2 2 2 2 2 12 5 9" xfId="10604" xr:uid="{00000000-0005-0000-0000-00006C290000}"/>
    <cellStyle name="Normal 2 2 2 2 2 2 12 6" xfId="10605" xr:uid="{00000000-0005-0000-0000-00006D290000}"/>
    <cellStyle name="Normal 2 2 2 2 2 2 12 7" xfId="10606" xr:uid="{00000000-0005-0000-0000-00006E290000}"/>
    <cellStyle name="Normal 2 2 2 2 2 2 12 8" xfId="10607" xr:uid="{00000000-0005-0000-0000-00006F290000}"/>
    <cellStyle name="Normal 2 2 2 2 2 2 12 9" xfId="10608" xr:uid="{00000000-0005-0000-0000-000070290000}"/>
    <cellStyle name="Normal 2 2 2 2 2 2 13" xfId="10609" xr:uid="{00000000-0005-0000-0000-000071290000}"/>
    <cellStyle name="Normal 2 2 2 2 2 2 13 10" xfId="10610" xr:uid="{00000000-0005-0000-0000-000072290000}"/>
    <cellStyle name="Normal 2 2 2 2 2 2 13 11" xfId="10611" xr:uid="{00000000-0005-0000-0000-000073290000}"/>
    <cellStyle name="Normal 2 2 2 2 2 2 13 12" xfId="10612" xr:uid="{00000000-0005-0000-0000-000074290000}"/>
    <cellStyle name="Normal 2 2 2 2 2 2 13 13" xfId="10613" xr:uid="{00000000-0005-0000-0000-000075290000}"/>
    <cellStyle name="Normal 2 2 2 2 2 2 13 14" xfId="10614" xr:uid="{00000000-0005-0000-0000-000076290000}"/>
    <cellStyle name="Normal 2 2 2 2 2 2 13 2" xfId="10615" xr:uid="{00000000-0005-0000-0000-000077290000}"/>
    <cellStyle name="Normal 2 2 2 2 2 2 13 2 10" xfId="10616" xr:uid="{00000000-0005-0000-0000-000078290000}"/>
    <cellStyle name="Normal 2 2 2 2 2 2 13 2 2" xfId="10617" xr:uid="{00000000-0005-0000-0000-000079290000}"/>
    <cellStyle name="Normal 2 2 2 2 2 2 13 2 3" xfId="10618" xr:uid="{00000000-0005-0000-0000-00007A290000}"/>
    <cellStyle name="Normal 2 2 2 2 2 2 13 2 4" xfId="10619" xr:uid="{00000000-0005-0000-0000-00007B290000}"/>
    <cellStyle name="Normal 2 2 2 2 2 2 13 2 5" xfId="10620" xr:uid="{00000000-0005-0000-0000-00007C290000}"/>
    <cellStyle name="Normal 2 2 2 2 2 2 13 2 6" xfId="10621" xr:uid="{00000000-0005-0000-0000-00007D290000}"/>
    <cellStyle name="Normal 2 2 2 2 2 2 13 2 7" xfId="10622" xr:uid="{00000000-0005-0000-0000-00007E290000}"/>
    <cellStyle name="Normal 2 2 2 2 2 2 13 2 8" xfId="10623" xr:uid="{00000000-0005-0000-0000-00007F290000}"/>
    <cellStyle name="Normal 2 2 2 2 2 2 13 2 9" xfId="10624" xr:uid="{00000000-0005-0000-0000-000080290000}"/>
    <cellStyle name="Normal 2 2 2 2 2 2 13 3" xfId="10625" xr:uid="{00000000-0005-0000-0000-000081290000}"/>
    <cellStyle name="Normal 2 2 2 2 2 2 13 3 10" xfId="10626" xr:uid="{00000000-0005-0000-0000-000082290000}"/>
    <cellStyle name="Normal 2 2 2 2 2 2 13 3 2" xfId="10627" xr:uid="{00000000-0005-0000-0000-000083290000}"/>
    <cellStyle name="Normal 2 2 2 2 2 2 13 3 3" xfId="10628" xr:uid="{00000000-0005-0000-0000-000084290000}"/>
    <cellStyle name="Normal 2 2 2 2 2 2 13 3 4" xfId="10629" xr:uid="{00000000-0005-0000-0000-000085290000}"/>
    <cellStyle name="Normal 2 2 2 2 2 2 13 3 5" xfId="10630" xr:uid="{00000000-0005-0000-0000-000086290000}"/>
    <cellStyle name="Normal 2 2 2 2 2 2 13 3 6" xfId="10631" xr:uid="{00000000-0005-0000-0000-000087290000}"/>
    <cellStyle name="Normal 2 2 2 2 2 2 13 3 7" xfId="10632" xr:uid="{00000000-0005-0000-0000-000088290000}"/>
    <cellStyle name="Normal 2 2 2 2 2 2 13 3 8" xfId="10633" xr:uid="{00000000-0005-0000-0000-000089290000}"/>
    <cellStyle name="Normal 2 2 2 2 2 2 13 3 9" xfId="10634" xr:uid="{00000000-0005-0000-0000-00008A290000}"/>
    <cellStyle name="Normal 2 2 2 2 2 2 13 4" xfId="10635" xr:uid="{00000000-0005-0000-0000-00008B290000}"/>
    <cellStyle name="Normal 2 2 2 2 2 2 13 4 10" xfId="10636" xr:uid="{00000000-0005-0000-0000-00008C290000}"/>
    <cellStyle name="Normal 2 2 2 2 2 2 13 4 2" xfId="10637" xr:uid="{00000000-0005-0000-0000-00008D290000}"/>
    <cellStyle name="Normal 2 2 2 2 2 2 13 4 3" xfId="10638" xr:uid="{00000000-0005-0000-0000-00008E290000}"/>
    <cellStyle name="Normal 2 2 2 2 2 2 13 4 4" xfId="10639" xr:uid="{00000000-0005-0000-0000-00008F290000}"/>
    <cellStyle name="Normal 2 2 2 2 2 2 13 4 5" xfId="10640" xr:uid="{00000000-0005-0000-0000-000090290000}"/>
    <cellStyle name="Normal 2 2 2 2 2 2 13 4 6" xfId="10641" xr:uid="{00000000-0005-0000-0000-000091290000}"/>
    <cellStyle name="Normal 2 2 2 2 2 2 13 4 7" xfId="10642" xr:uid="{00000000-0005-0000-0000-000092290000}"/>
    <cellStyle name="Normal 2 2 2 2 2 2 13 4 8" xfId="10643" xr:uid="{00000000-0005-0000-0000-000093290000}"/>
    <cellStyle name="Normal 2 2 2 2 2 2 13 4 9" xfId="10644" xr:uid="{00000000-0005-0000-0000-000094290000}"/>
    <cellStyle name="Normal 2 2 2 2 2 2 13 5" xfId="10645" xr:uid="{00000000-0005-0000-0000-000095290000}"/>
    <cellStyle name="Normal 2 2 2 2 2 2 13 5 10" xfId="10646" xr:uid="{00000000-0005-0000-0000-000096290000}"/>
    <cellStyle name="Normal 2 2 2 2 2 2 13 5 2" xfId="10647" xr:uid="{00000000-0005-0000-0000-000097290000}"/>
    <cellStyle name="Normal 2 2 2 2 2 2 13 5 3" xfId="10648" xr:uid="{00000000-0005-0000-0000-000098290000}"/>
    <cellStyle name="Normal 2 2 2 2 2 2 13 5 4" xfId="10649" xr:uid="{00000000-0005-0000-0000-000099290000}"/>
    <cellStyle name="Normal 2 2 2 2 2 2 13 5 5" xfId="10650" xr:uid="{00000000-0005-0000-0000-00009A290000}"/>
    <cellStyle name="Normal 2 2 2 2 2 2 13 5 6" xfId="10651" xr:uid="{00000000-0005-0000-0000-00009B290000}"/>
    <cellStyle name="Normal 2 2 2 2 2 2 13 5 7" xfId="10652" xr:uid="{00000000-0005-0000-0000-00009C290000}"/>
    <cellStyle name="Normal 2 2 2 2 2 2 13 5 8" xfId="10653" xr:uid="{00000000-0005-0000-0000-00009D290000}"/>
    <cellStyle name="Normal 2 2 2 2 2 2 13 5 9" xfId="10654" xr:uid="{00000000-0005-0000-0000-00009E290000}"/>
    <cellStyle name="Normal 2 2 2 2 2 2 13 6" xfId="10655" xr:uid="{00000000-0005-0000-0000-00009F290000}"/>
    <cellStyle name="Normal 2 2 2 2 2 2 13 7" xfId="10656" xr:uid="{00000000-0005-0000-0000-0000A0290000}"/>
    <cellStyle name="Normal 2 2 2 2 2 2 13 8" xfId="10657" xr:uid="{00000000-0005-0000-0000-0000A1290000}"/>
    <cellStyle name="Normal 2 2 2 2 2 2 13 9" xfId="10658" xr:uid="{00000000-0005-0000-0000-0000A2290000}"/>
    <cellStyle name="Normal 2 2 2 2 2 2 14" xfId="10659" xr:uid="{00000000-0005-0000-0000-0000A3290000}"/>
    <cellStyle name="Normal 2 2 2 2 2 2 14 10" xfId="10660" xr:uid="{00000000-0005-0000-0000-0000A4290000}"/>
    <cellStyle name="Normal 2 2 2 2 2 2 14 11" xfId="10661" xr:uid="{00000000-0005-0000-0000-0000A5290000}"/>
    <cellStyle name="Normal 2 2 2 2 2 2 14 12" xfId="10662" xr:uid="{00000000-0005-0000-0000-0000A6290000}"/>
    <cellStyle name="Normal 2 2 2 2 2 2 14 13" xfId="10663" xr:uid="{00000000-0005-0000-0000-0000A7290000}"/>
    <cellStyle name="Normal 2 2 2 2 2 2 14 14" xfId="10664" xr:uid="{00000000-0005-0000-0000-0000A8290000}"/>
    <cellStyle name="Normal 2 2 2 2 2 2 14 2" xfId="10665" xr:uid="{00000000-0005-0000-0000-0000A9290000}"/>
    <cellStyle name="Normal 2 2 2 2 2 2 14 2 10" xfId="10666" xr:uid="{00000000-0005-0000-0000-0000AA290000}"/>
    <cellStyle name="Normal 2 2 2 2 2 2 14 2 2" xfId="10667" xr:uid="{00000000-0005-0000-0000-0000AB290000}"/>
    <cellStyle name="Normal 2 2 2 2 2 2 14 2 3" xfId="10668" xr:uid="{00000000-0005-0000-0000-0000AC290000}"/>
    <cellStyle name="Normal 2 2 2 2 2 2 14 2 4" xfId="10669" xr:uid="{00000000-0005-0000-0000-0000AD290000}"/>
    <cellStyle name="Normal 2 2 2 2 2 2 14 2 5" xfId="10670" xr:uid="{00000000-0005-0000-0000-0000AE290000}"/>
    <cellStyle name="Normal 2 2 2 2 2 2 14 2 6" xfId="10671" xr:uid="{00000000-0005-0000-0000-0000AF290000}"/>
    <cellStyle name="Normal 2 2 2 2 2 2 14 2 7" xfId="10672" xr:uid="{00000000-0005-0000-0000-0000B0290000}"/>
    <cellStyle name="Normal 2 2 2 2 2 2 14 2 8" xfId="10673" xr:uid="{00000000-0005-0000-0000-0000B1290000}"/>
    <cellStyle name="Normal 2 2 2 2 2 2 14 2 9" xfId="10674" xr:uid="{00000000-0005-0000-0000-0000B2290000}"/>
    <cellStyle name="Normal 2 2 2 2 2 2 14 3" xfId="10675" xr:uid="{00000000-0005-0000-0000-0000B3290000}"/>
    <cellStyle name="Normal 2 2 2 2 2 2 14 3 10" xfId="10676" xr:uid="{00000000-0005-0000-0000-0000B4290000}"/>
    <cellStyle name="Normal 2 2 2 2 2 2 14 3 2" xfId="10677" xr:uid="{00000000-0005-0000-0000-0000B5290000}"/>
    <cellStyle name="Normal 2 2 2 2 2 2 14 3 3" xfId="10678" xr:uid="{00000000-0005-0000-0000-0000B6290000}"/>
    <cellStyle name="Normal 2 2 2 2 2 2 14 3 4" xfId="10679" xr:uid="{00000000-0005-0000-0000-0000B7290000}"/>
    <cellStyle name="Normal 2 2 2 2 2 2 14 3 5" xfId="10680" xr:uid="{00000000-0005-0000-0000-0000B8290000}"/>
    <cellStyle name="Normal 2 2 2 2 2 2 14 3 6" xfId="10681" xr:uid="{00000000-0005-0000-0000-0000B9290000}"/>
    <cellStyle name="Normal 2 2 2 2 2 2 14 3 7" xfId="10682" xr:uid="{00000000-0005-0000-0000-0000BA290000}"/>
    <cellStyle name="Normal 2 2 2 2 2 2 14 3 8" xfId="10683" xr:uid="{00000000-0005-0000-0000-0000BB290000}"/>
    <cellStyle name="Normal 2 2 2 2 2 2 14 3 9" xfId="10684" xr:uid="{00000000-0005-0000-0000-0000BC290000}"/>
    <cellStyle name="Normal 2 2 2 2 2 2 14 4" xfId="10685" xr:uid="{00000000-0005-0000-0000-0000BD290000}"/>
    <cellStyle name="Normal 2 2 2 2 2 2 14 4 10" xfId="10686" xr:uid="{00000000-0005-0000-0000-0000BE290000}"/>
    <cellStyle name="Normal 2 2 2 2 2 2 14 4 2" xfId="10687" xr:uid="{00000000-0005-0000-0000-0000BF290000}"/>
    <cellStyle name="Normal 2 2 2 2 2 2 14 4 3" xfId="10688" xr:uid="{00000000-0005-0000-0000-0000C0290000}"/>
    <cellStyle name="Normal 2 2 2 2 2 2 14 4 4" xfId="10689" xr:uid="{00000000-0005-0000-0000-0000C1290000}"/>
    <cellStyle name="Normal 2 2 2 2 2 2 14 4 5" xfId="10690" xr:uid="{00000000-0005-0000-0000-0000C2290000}"/>
    <cellStyle name="Normal 2 2 2 2 2 2 14 4 6" xfId="10691" xr:uid="{00000000-0005-0000-0000-0000C3290000}"/>
    <cellStyle name="Normal 2 2 2 2 2 2 14 4 7" xfId="10692" xr:uid="{00000000-0005-0000-0000-0000C4290000}"/>
    <cellStyle name="Normal 2 2 2 2 2 2 14 4 8" xfId="10693" xr:uid="{00000000-0005-0000-0000-0000C5290000}"/>
    <cellStyle name="Normal 2 2 2 2 2 2 14 4 9" xfId="10694" xr:uid="{00000000-0005-0000-0000-0000C6290000}"/>
    <cellStyle name="Normal 2 2 2 2 2 2 14 5" xfId="10695" xr:uid="{00000000-0005-0000-0000-0000C7290000}"/>
    <cellStyle name="Normal 2 2 2 2 2 2 14 5 10" xfId="10696" xr:uid="{00000000-0005-0000-0000-0000C8290000}"/>
    <cellStyle name="Normal 2 2 2 2 2 2 14 5 2" xfId="10697" xr:uid="{00000000-0005-0000-0000-0000C9290000}"/>
    <cellStyle name="Normal 2 2 2 2 2 2 14 5 3" xfId="10698" xr:uid="{00000000-0005-0000-0000-0000CA290000}"/>
    <cellStyle name="Normal 2 2 2 2 2 2 14 5 4" xfId="10699" xr:uid="{00000000-0005-0000-0000-0000CB290000}"/>
    <cellStyle name="Normal 2 2 2 2 2 2 14 5 5" xfId="10700" xr:uid="{00000000-0005-0000-0000-0000CC290000}"/>
    <cellStyle name="Normal 2 2 2 2 2 2 14 5 6" xfId="10701" xr:uid="{00000000-0005-0000-0000-0000CD290000}"/>
    <cellStyle name="Normal 2 2 2 2 2 2 14 5 7" xfId="10702" xr:uid="{00000000-0005-0000-0000-0000CE290000}"/>
    <cellStyle name="Normal 2 2 2 2 2 2 14 5 8" xfId="10703" xr:uid="{00000000-0005-0000-0000-0000CF290000}"/>
    <cellStyle name="Normal 2 2 2 2 2 2 14 5 9" xfId="10704" xr:uid="{00000000-0005-0000-0000-0000D0290000}"/>
    <cellStyle name="Normal 2 2 2 2 2 2 14 6" xfId="10705" xr:uid="{00000000-0005-0000-0000-0000D1290000}"/>
    <cellStyle name="Normal 2 2 2 2 2 2 14 7" xfId="10706" xr:uid="{00000000-0005-0000-0000-0000D2290000}"/>
    <cellStyle name="Normal 2 2 2 2 2 2 14 8" xfId="10707" xr:uid="{00000000-0005-0000-0000-0000D3290000}"/>
    <cellStyle name="Normal 2 2 2 2 2 2 14 9" xfId="10708" xr:uid="{00000000-0005-0000-0000-0000D4290000}"/>
    <cellStyle name="Normal 2 2 2 2 2 2 15" xfId="10709" xr:uid="{00000000-0005-0000-0000-0000D5290000}"/>
    <cellStyle name="Normal 2 2 2 2 2 2 15 10" xfId="10710" xr:uid="{00000000-0005-0000-0000-0000D6290000}"/>
    <cellStyle name="Normal 2 2 2 2 2 2 15 11" xfId="10711" xr:uid="{00000000-0005-0000-0000-0000D7290000}"/>
    <cellStyle name="Normal 2 2 2 2 2 2 15 12" xfId="10712" xr:uid="{00000000-0005-0000-0000-0000D8290000}"/>
    <cellStyle name="Normal 2 2 2 2 2 2 15 13" xfId="10713" xr:uid="{00000000-0005-0000-0000-0000D9290000}"/>
    <cellStyle name="Normal 2 2 2 2 2 2 15 14" xfId="10714" xr:uid="{00000000-0005-0000-0000-0000DA290000}"/>
    <cellStyle name="Normal 2 2 2 2 2 2 15 2" xfId="10715" xr:uid="{00000000-0005-0000-0000-0000DB290000}"/>
    <cellStyle name="Normal 2 2 2 2 2 2 15 2 10" xfId="10716" xr:uid="{00000000-0005-0000-0000-0000DC290000}"/>
    <cellStyle name="Normal 2 2 2 2 2 2 15 2 2" xfId="10717" xr:uid="{00000000-0005-0000-0000-0000DD290000}"/>
    <cellStyle name="Normal 2 2 2 2 2 2 15 2 3" xfId="10718" xr:uid="{00000000-0005-0000-0000-0000DE290000}"/>
    <cellStyle name="Normal 2 2 2 2 2 2 15 2 4" xfId="10719" xr:uid="{00000000-0005-0000-0000-0000DF290000}"/>
    <cellStyle name="Normal 2 2 2 2 2 2 15 2 5" xfId="10720" xr:uid="{00000000-0005-0000-0000-0000E0290000}"/>
    <cellStyle name="Normal 2 2 2 2 2 2 15 2 6" xfId="10721" xr:uid="{00000000-0005-0000-0000-0000E1290000}"/>
    <cellStyle name="Normal 2 2 2 2 2 2 15 2 7" xfId="10722" xr:uid="{00000000-0005-0000-0000-0000E2290000}"/>
    <cellStyle name="Normal 2 2 2 2 2 2 15 2 8" xfId="10723" xr:uid="{00000000-0005-0000-0000-0000E3290000}"/>
    <cellStyle name="Normal 2 2 2 2 2 2 15 2 9" xfId="10724" xr:uid="{00000000-0005-0000-0000-0000E4290000}"/>
    <cellStyle name="Normal 2 2 2 2 2 2 15 3" xfId="10725" xr:uid="{00000000-0005-0000-0000-0000E5290000}"/>
    <cellStyle name="Normal 2 2 2 2 2 2 15 3 10" xfId="10726" xr:uid="{00000000-0005-0000-0000-0000E6290000}"/>
    <cellStyle name="Normal 2 2 2 2 2 2 15 3 2" xfId="10727" xr:uid="{00000000-0005-0000-0000-0000E7290000}"/>
    <cellStyle name="Normal 2 2 2 2 2 2 15 3 3" xfId="10728" xr:uid="{00000000-0005-0000-0000-0000E8290000}"/>
    <cellStyle name="Normal 2 2 2 2 2 2 15 3 4" xfId="10729" xr:uid="{00000000-0005-0000-0000-0000E9290000}"/>
    <cellStyle name="Normal 2 2 2 2 2 2 15 3 5" xfId="10730" xr:uid="{00000000-0005-0000-0000-0000EA290000}"/>
    <cellStyle name="Normal 2 2 2 2 2 2 15 3 6" xfId="10731" xr:uid="{00000000-0005-0000-0000-0000EB290000}"/>
    <cellStyle name="Normal 2 2 2 2 2 2 15 3 7" xfId="10732" xr:uid="{00000000-0005-0000-0000-0000EC290000}"/>
    <cellStyle name="Normal 2 2 2 2 2 2 15 3 8" xfId="10733" xr:uid="{00000000-0005-0000-0000-0000ED290000}"/>
    <cellStyle name="Normal 2 2 2 2 2 2 15 3 9" xfId="10734" xr:uid="{00000000-0005-0000-0000-0000EE290000}"/>
    <cellStyle name="Normal 2 2 2 2 2 2 15 4" xfId="10735" xr:uid="{00000000-0005-0000-0000-0000EF290000}"/>
    <cellStyle name="Normal 2 2 2 2 2 2 15 4 10" xfId="10736" xr:uid="{00000000-0005-0000-0000-0000F0290000}"/>
    <cellStyle name="Normal 2 2 2 2 2 2 15 4 2" xfId="10737" xr:uid="{00000000-0005-0000-0000-0000F1290000}"/>
    <cellStyle name="Normal 2 2 2 2 2 2 15 4 3" xfId="10738" xr:uid="{00000000-0005-0000-0000-0000F2290000}"/>
    <cellStyle name="Normal 2 2 2 2 2 2 15 4 4" xfId="10739" xr:uid="{00000000-0005-0000-0000-0000F3290000}"/>
    <cellStyle name="Normal 2 2 2 2 2 2 15 4 5" xfId="10740" xr:uid="{00000000-0005-0000-0000-0000F4290000}"/>
    <cellStyle name="Normal 2 2 2 2 2 2 15 4 6" xfId="10741" xr:uid="{00000000-0005-0000-0000-0000F5290000}"/>
    <cellStyle name="Normal 2 2 2 2 2 2 15 4 7" xfId="10742" xr:uid="{00000000-0005-0000-0000-0000F6290000}"/>
    <cellStyle name="Normal 2 2 2 2 2 2 15 4 8" xfId="10743" xr:uid="{00000000-0005-0000-0000-0000F7290000}"/>
    <cellStyle name="Normal 2 2 2 2 2 2 15 4 9" xfId="10744" xr:uid="{00000000-0005-0000-0000-0000F8290000}"/>
    <cellStyle name="Normal 2 2 2 2 2 2 15 5" xfId="10745" xr:uid="{00000000-0005-0000-0000-0000F9290000}"/>
    <cellStyle name="Normal 2 2 2 2 2 2 15 5 10" xfId="10746" xr:uid="{00000000-0005-0000-0000-0000FA290000}"/>
    <cellStyle name="Normal 2 2 2 2 2 2 15 5 2" xfId="10747" xr:uid="{00000000-0005-0000-0000-0000FB290000}"/>
    <cellStyle name="Normal 2 2 2 2 2 2 15 5 3" xfId="10748" xr:uid="{00000000-0005-0000-0000-0000FC290000}"/>
    <cellStyle name="Normal 2 2 2 2 2 2 15 5 4" xfId="10749" xr:uid="{00000000-0005-0000-0000-0000FD290000}"/>
    <cellStyle name="Normal 2 2 2 2 2 2 15 5 5" xfId="10750" xr:uid="{00000000-0005-0000-0000-0000FE290000}"/>
    <cellStyle name="Normal 2 2 2 2 2 2 15 5 6" xfId="10751" xr:uid="{00000000-0005-0000-0000-0000FF290000}"/>
    <cellStyle name="Normal 2 2 2 2 2 2 15 5 7" xfId="10752" xr:uid="{00000000-0005-0000-0000-0000002A0000}"/>
    <cellStyle name="Normal 2 2 2 2 2 2 15 5 8" xfId="10753" xr:uid="{00000000-0005-0000-0000-0000012A0000}"/>
    <cellStyle name="Normal 2 2 2 2 2 2 15 5 9" xfId="10754" xr:uid="{00000000-0005-0000-0000-0000022A0000}"/>
    <cellStyle name="Normal 2 2 2 2 2 2 15 6" xfId="10755" xr:uid="{00000000-0005-0000-0000-0000032A0000}"/>
    <cellStyle name="Normal 2 2 2 2 2 2 15 7" xfId="10756" xr:uid="{00000000-0005-0000-0000-0000042A0000}"/>
    <cellStyle name="Normal 2 2 2 2 2 2 15 8" xfId="10757" xr:uid="{00000000-0005-0000-0000-0000052A0000}"/>
    <cellStyle name="Normal 2 2 2 2 2 2 15 9" xfId="10758" xr:uid="{00000000-0005-0000-0000-0000062A0000}"/>
    <cellStyle name="Normal 2 2 2 2 2 2 16" xfId="10759" xr:uid="{00000000-0005-0000-0000-0000072A0000}"/>
    <cellStyle name="Normal 2 2 2 2 2 2 16 10" xfId="10760" xr:uid="{00000000-0005-0000-0000-0000082A0000}"/>
    <cellStyle name="Normal 2 2 2 2 2 2 16 11" xfId="10761" xr:uid="{00000000-0005-0000-0000-0000092A0000}"/>
    <cellStyle name="Normal 2 2 2 2 2 2 16 12" xfId="10762" xr:uid="{00000000-0005-0000-0000-00000A2A0000}"/>
    <cellStyle name="Normal 2 2 2 2 2 2 16 13" xfId="10763" xr:uid="{00000000-0005-0000-0000-00000B2A0000}"/>
    <cellStyle name="Normal 2 2 2 2 2 2 16 14" xfId="10764" xr:uid="{00000000-0005-0000-0000-00000C2A0000}"/>
    <cellStyle name="Normal 2 2 2 2 2 2 16 2" xfId="10765" xr:uid="{00000000-0005-0000-0000-00000D2A0000}"/>
    <cellStyle name="Normal 2 2 2 2 2 2 16 2 10" xfId="10766" xr:uid="{00000000-0005-0000-0000-00000E2A0000}"/>
    <cellStyle name="Normal 2 2 2 2 2 2 16 2 2" xfId="10767" xr:uid="{00000000-0005-0000-0000-00000F2A0000}"/>
    <cellStyle name="Normal 2 2 2 2 2 2 16 2 3" xfId="10768" xr:uid="{00000000-0005-0000-0000-0000102A0000}"/>
    <cellStyle name="Normal 2 2 2 2 2 2 16 2 4" xfId="10769" xr:uid="{00000000-0005-0000-0000-0000112A0000}"/>
    <cellStyle name="Normal 2 2 2 2 2 2 16 2 5" xfId="10770" xr:uid="{00000000-0005-0000-0000-0000122A0000}"/>
    <cellStyle name="Normal 2 2 2 2 2 2 16 2 6" xfId="10771" xr:uid="{00000000-0005-0000-0000-0000132A0000}"/>
    <cellStyle name="Normal 2 2 2 2 2 2 16 2 7" xfId="10772" xr:uid="{00000000-0005-0000-0000-0000142A0000}"/>
    <cellStyle name="Normal 2 2 2 2 2 2 16 2 8" xfId="10773" xr:uid="{00000000-0005-0000-0000-0000152A0000}"/>
    <cellStyle name="Normal 2 2 2 2 2 2 16 2 9" xfId="10774" xr:uid="{00000000-0005-0000-0000-0000162A0000}"/>
    <cellStyle name="Normal 2 2 2 2 2 2 16 3" xfId="10775" xr:uid="{00000000-0005-0000-0000-0000172A0000}"/>
    <cellStyle name="Normal 2 2 2 2 2 2 16 3 10" xfId="10776" xr:uid="{00000000-0005-0000-0000-0000182A0000}"/>
    <cellStyle name="Normal 2 2 2 2 2 2 16 3 2" xfId="10777" xr:uid="{00000000-0005-0000-0000-0000192A0000}"/>
    <cellStyle name="Normal 2 2 2 2 2 2 16 3 3" xfId="10778" xr:uid="{00000000-0005-0000-0000-00001A2A0000}"/>
    <cellStyle name="Normal 2 2 2 2 2 2 16 3 4" xfId="10779" xr:uid="{00000000-0005-0000-0000-00001B2A0000}"/>
    <cellStyle name="Normal 2 2 2 2 2 2 16 3 5" xfId="10780" xr:uid="{00000000-0005-0000-0000-00001C2A0000}"/>
    <cellStyle name="Normal 2 2 2 2 2 2 16 3 6" xfId="10781" xr:uid="{00000000-0005-0000-0000-00001D2A0000}"/>
    <cellStyle name="Normal 2 2 2 2 2 2 16 3 7" xfId="10782" xr:uid="{00000000-0005-0000-0000-00001E2A0000}"/>
    <cellStyle name="Normal 2 2 2 2 2 2 16 3 8" xfId="10783" xr:uid="{00000000-0005-0000-0000-00001F2A0000}"/>
    <cellStyle name="Normal 2 2 2 2 2 2 16 3 9" xfId="10784" xr:uid="{00000000-0005-0000-0000-0000202A0000}"/>
    <cellStyle name="Normal 2 2 2 2 2 2 16 4" xfId="10785" xr:uid="{00000000-0005-0000-0000-0000212A0000}"/>
    <cellStyle name="Normal 2 2 2 2 2 2 16 4 10" xfId="10786" xr:uid="{00000000-0005-0000-0000-0000222A0000}"/>
    <cellStyle name="Normal 2 2 2 2 2 2 16 4 2" xfId="10787" xr:uid="{00000000-0005-0000-0000-0000232A0000}"/>
    <cellStyle name="Normal 2 2 2 2 2 2 16 4 3" xfId="10788" xr:uid="{00000000-0005-0000-0000-0000242A0000}"/>
    <cellStyle name="Normal 2 2 2 2 2 2 16 4 4" xfId="10789" xr:uid="{00000000-0005-0000-0000-0000252A0000}"/>
    <cellStyle name="Normal 2 2 2 2 2 2 16 4 5" xfId="10790" xr:uid="{00000000-0005-0000-0000-0000262A0000}"/>
    <cellStyle name="Normal 2 2 2 2 2 2 16 4 6" xfId="10791" xr:uid="{00000000-0005-0000-0000-0000272A0000}"/>
    <cellStyle name="Normal 2 2 2 2 2 2 16 4 7" xfId="10792" xr:uid="{00000000-0005-0000-0000-0000282A0000}"/>
    <cellStyle name="Normal 2 2 2 2 2 2 16 4 8" xfId="10793" xr:uid="{00000000-0005-0000-0000-0000292A0000}"/>
    <cellStyle name="Normal 2 2 2 2 2 2 16 4 9" xfId="10794" xr:uid="{00000000-0005-0000-0000-00002A2A0000}"/>
    <cellStyle name="Normal 2 2 2 2 2 2 16 5" xfId="10795" xr:uid="{00000000-0005-0000-0000-00002B2A0000}"/>
    <cellStyle name="Normal 2 2 2 2 2 2 16 5 10" xfId="10796" xr:uid="{00000000-0005-0000-0000-00002C2A0000}"/>
    <cellStyle name="Normal 2 2 2 2 2 2 16 5 2" xfId="10797" xr:uid="{00000000-0005-0000-0000-00002D2A0000}"/>
    <cellStyle name="Normal 2 2 2 2 2 2 16 5 3" xfId="10798" xr:uid="{00000000-0005-0000-0000-00002E2A0000}"/>
    <cellStyle name="Normal 2 2 2 2 2 2 16 5 4" xfId="10799" xr:uid="{00000000-0005-0000-0000-00002F2A0000}"/>
    <cellStyle name="Normal 2 2 2 2 2 2 16 5 5" xfId="10800" xr:uid="{00000000-0005-0000-0000-0000302A0000}"/>
    <cellStyle name="Normal 2 2 2 2 2 2 16 5 6" xfId="10801" xr:uid="{00000000-0005-0000-0000-0000312A0000}"/>
    <cellStyle name="Normal 2 2 2 2 2 2 16 5 7" xfId="10802" xr:uid="{00000000-0005-0000-0000-0000322A0000}"/>
    <cellStyle name="Normal 2 2 2 2 2 2 16 5 8" xfId="10803" xr:uid="{00000000-0005-0000-0000-0000332A0000}"/>
    <cellStyle name="Normal 2 2 2 2 2 2 16 5 9" xfId="10804" xr:uid="{00000000-0005-0000-0000-0000342A0000}"/>
    <cellStyle name="Normal 2 2 2 2 2 2 16 6" xfId="10805" xr:uid="{00000000-0005-0000-0000-0000352A0000}"/>
    <cellStyle name="Normal 2 2 2 2 2 2 16 7" xfId="10806" xr:uid="{00000000-0005-0000-0000-0000362A0000}"/>
    <cellStyle name="Normal 2 2 2 2 2 2 16 8" xfId="10807" xr:uid="{00000000-0005-0000-0000-0000372A0000}"/>
    <cellStyle name="Normal 2 2 2 2 2 2 16 9" xfId="10808" xr:uid="{00000000-0005-0000-0000-0000382A0000}"/>
    <cellStyle name="Normal 2 2 2 2 2 2 17" xfId="10809" xr:uid="{00000000-0005-0000-0000-0000392A0000}"/>
    <cellStyle name="Normal 2 2 2 2 2 2 17 10" xfId="10810" xr:uid="{00000000-0005-0000-0000-00003A2A0000}"/>
    <cellStyle name="Normal 2 2 2 2 2 2 17 11" xfId="10811" xr:uid="{00000000-0005-0000-0000-00003B2A0000}"/>
    <cellStyle name="Normal 2 2 2 2 2 2 17 12" xfId="10812" xr:uid="{00000000-0005-0000-0000-00003C2A0000}"/>
    <cellStyle name="Normal 2 2 2 2 2 2 17 13" xfId="10813" xr:uid="{00000000-0005-0000-0000-00003D2A0000}"/>
    <cellStyle name="Normal 2 2 2 2 2 2 17 14" xfId="10814" xr:uid="{00000000-0005-0000-0000-00003E2A0000}"/>
    <cellStyle name="Normal 2 2 2 2 2 2 17 2" xfId="10815" xr:uid="{00000000-0005-0000-0000-00003F2A0000}"/>
    <cellStyle name="Normal 2 2 2 2 2 2 17 2 10" xfId="10816" xr:uid="{00000000-0005-0000-0000-0000402A0000}"/>
    <cellStyle name="Normal 2 2 2 2 2 2 17 2 2" xfId="10817" xr:uid="{00000000-0005-0000-0000-0000412A0000}"/>
    <cellStyle name="Normal 2 2 2 2 2 2 17 2 3" xfId="10818" xr:uid="{00000000-0005-0000-0000-0000422A0000}"/>
    <cellStyle name="Normal 2 2 2 2 2 2 17 2 4" xfId="10819" xr:uid="{00000000-0005-0000-0000-0000432A0000}"/>
    <cellStyle name="Normal 2 2 2 2 2 2 17 2 5" xfId="10820" xr:uid="{00000000-0005-0000-0000-0000442A0000}"/>
    <cellStyle name="Normal 2 2 2 2 2 2 17 2 6" xfId="10821" xr:uid="{00000000-0005-0000-0000-0000452A0000}"/>
    <cellStyle name="Normal 2 2 2 2 2 2 17 2 7" xfId="10822" xr:uid="{00000000-0005-0000-0000-0000462A0000}"/>
    <cellStyle name="Normal 2 2 2 2 2 2 17 2 8" xfId="10823" xr:uid="{00000000-0005-0000-0000-0000472A0000}"/>
    <cellStyle name="Normal 2 2 2 2 2 2 17 2 9" xfId="10824" xr:uid="{00000000-0005-0000-0000-0000482A0000}"/>
    <cellStyle name="Normal 2 2 2 2 2 2 17 3" xfId="10825" xr:uid="{00000000-0005-0000-0000-0000492A0000}"/>
    <cellStyle name="Normal 2 2 2 2 2 2 17 3 10" xfId="10826" xr:uid="{00000000-0005-0000-0000-00004A2A0000}"/>
    <cellStyle name="Normal 2 2 2 2 2 2 17 3 2" xfId="10827" xr:uid="{00000000-0005-0000-0000-00004B2A0000}"/>
    <cellStyle name="Normal 2 2 2 2 2 2 17 3 3" xfId="10828" xr:uid="{00000000-0005-0000-0000-00004C2A0000}"/>
    <cellStyle name="Normal 2 2 2 2 2 2 17 3 4" xfId="10829" xr:uid="{00000000-0005-0000-0000-00004D2A0000}"/>
    <cellStyle name="Normal 2 2 2 2 2 2 17 3 5" xfId="10830" xr:uid="{00000000-0005-0000-0000-00004E2A0000}"/>
    <cellStyle name="Normal 2 2 2 2 2 2 17 3 6" xfId="10831" xr:uid="{00000000-0005-0000-0000-00004F2A0000}"/>
    <cellStyle name="Normal 2 2 2 2 2 2 17 3 7" xfId="10832" xr:uid="{00000000-0005-0000-0000-0000502A0000}"/>
    <cellStyle name="Normal 2 2 2 2 2 2 17 3 8" xfId="10833" xr:uid="{00000000-0005-0000-0000-0000512A0000}"/>
    <cellStyle name="Normal 2 2 2 2 2 2 17 3 9" xfId="10834" xr:uid="{00000000-0005-0000-0000-0000522A0000}"/>
    <cellStyle name="Normal 2 2 2 2 2 2 17 4" xfId="10835" xr:uid="{00000000-0005-0000-0000-0000532A0000}"/>
    <cellStyle name="Normal 2 2 2 2 2 2 17 4 10" xfId="10836" xr:uid="{00000000-0005-0000-0000-0000542A0000}"/>
    <cellStyle name="Normal 2 2 2 2 2 2 17 4 2" xfId="10837" xr:uid="{00000000-0005-0000-0000-0000552A0000}"/>
    <cellStyle name="Normal 2 2 2 2 2 2 17 4 3" xfId="10838" xr:uid="{00000000-0005-0000-0000-0000562A0000}"/>
    <cellStyle name="Normal 2 2 2 2 2 2 17 4 4" xfId="10839" xr:uid="{00000000-0005-0000-0000-0000572A0000}"/>
    <cellStyle name="Normal 2 2 2 2 2 2 17 4 5" xfId="10840" xr:uid="{00000000-0005-0000-0000-0000582A0000}"/>
    <cellStyle name="Normal 2 2 2 2 2 2 17 4 6" xfId="10841" xr:uid="{00000000-0005-0000-0000-0000592A0000}"/>
    <cellStyle name="Normal 2 2 2 2 2 2 17 4 7" xfId="10842" xr:uid="{00000000-0005-0000-0000-00005A2A0000}"/>
    <cellStyle name="Normal 2 2 2 2 2 2 17 4 8" xfId="10843" xr:uid="{00000000-0005-0000-0000-00005B2A0000}"/>
    <cellStyle name="Normal 2 2 2 2 2 2 17 4 9" xfId="10844" xr:uid="{00000000-0005-0000-0000-00005C2A0000}"/>
    <cellStyle name="Normal 2 2 2 2 2 2 17 5" xfId="10845" xr:uid="{00000000-0005-0000-0000-00005D2A0000}"/>
    <cellStyle name="Normal 2 2 2 2 2 2 17 5 10" xfId="10846" xr:uid="{00000000-0005-0000-0000-00005E2A0000}"/>
    <cellStyle name="Normal 2 2 2 2 2 2 17 5 2" xfId="10847" xr:uid="{00000000-0005-0000-0000-00005F2A0000}"/>
    <cellStyle name="Normal 2 2 2 2 2 2 17 5 3" xfId="10848" xr:uid="{00000000-0005-0000-0000-0000602A0000}"/>
    <cellStyle name="Normal 2 2 2 2 2 2 17 5 4" xfId="10849" xr:uid="{00000000-0005-0000-0000-0000612A0000}"/>
    <cellStyle name="Normal 2 2 2 2 2 2 17 5 5" xfId="10850" xr:uid="{00000000-0005-0000-0000-0000622A0000}"/>
    <cellStyle name="Normal 2 2 2 2 2 2 17 5 6" xfId="10851" xr:uid="{00000000-0005-0000-0000-0000632A0000}"/>
    <cellStyle name="Normal 2 2 2 2 2 2 17 5 7" xfId="10852" xr:uid="{00000000-0005-0000-0000-0000642A0000}"/>
    <cellStyle name="Normal 2 2 2 2 2 2 17 5 8" xfId="10853" xr:uid="{00000000-0005-0000-0000-0000652A0000}"/>
    <cellStyle name="Normal 2 2 2 2 2 2 17 5 9" xfId="10854" xr:uid="{00000000-0005-0000-0000-0000662A0000}"/>
    <cellStyle name="Normal 2 2 2 2 2 2 17 6" xfId="10855" xr:uid="{00000000-0005-0000-0000-0000672A0000}"/>
    <cellStyle name="Normal 2 2 2 2 2 2 17 7" xfId="10856" xr:uid="{00000000-0005-0000-0000-0000682A0000}"/>
    <cellStyle name="Normal 2 2 2 2 2 2 17 8" xfId="10857" xr:uid="{00000000-0005-0000-0000-0000692A0000}"/>
    <cellStyle name="Normal 2 2 2 2 2 2 17 9" xfId="10858" xr:uid="{00000000-0005-0000-0000-00006A2A0000}"/>
    <cellStyle name="Normal 2 2 2 2 2 2 18" xfId="10859" xr:uid="{00000000-0005-0000-0000-00006B2A0000}"/>
    <cellStyle name="Normal 2 2 2 2 2 2 18 10" xfId="10860" xr:uid="{00000000-0005-0000-0000-00006C2A0000}"/>
    <cellStyle name="Normal 2 2 2 2 2 2 18 11" xfId="10861" xr:uid="{00000000-0005-0000-0000-00006D2A0000}"/>
    <cellStyle name="Normal 2 2 2 2 2 2 18 12" xfId="10862" xr:uid="{00000000-0005-0000-0000-00006E2A0000}"/>
    <cellStyle name="Normal 2 2 2 2 2 2 18 13" xfId="10863" xr:uid="{00000000-0005-0000-0000-00006F2A0000}"/>
    <cellStyle name="Normal 2 2 2 2 2 2 18 14" xfId="10864" xr:uid="{00000000-0005-0000-0000-0000702A0000}"/>
    <cellStyle name="Normal 2 2 2 2 2 2 18 2" xfId="10865" xr:uid="{00000000-0005-0000-0000-0000712A0000}"/>
    <cellStyle name="Normal 2 2 2 2 2 2 18 2 10" xfId="10866" xr:uid="{00000000-0005-0000-0000-0000722A0000}"/>
    <cellStyle name="Normal 2 2 2 2 2 2 18 2 2" xfId="10867" xr:uid="{00000000-0005-0000-0000-0000732A0000}"/>
    <cellStyle name="Normal 2 2 2 2 2 2 18 2 3" xfId="10868" xr:uid="{00000000-0005-0000-0000-0000742A0000}"/>
    <cellStyle name="Normal 2 2 2 2 2 2 18 2 4" xfId="10869" xr:uid="{00000000-0005-0000-0000-0000752A0000}"/>
    <cellStyle name="Normal 2 2 2 2 2 2 18 2 5" xfId="10870" xr:uid="{00000000-0005-0000-0000-0000762A0000}"/>
    <cellStyle name="Normal 2 2 2 2 2 2 18 2 6" xfId="10871" xr:uid="{00000000-0005-0000-0000-0000772A0000}"/>
    <cellStyle name="Normal 2 2 2 2 2 2 18 2 7" xfId="10872" xr:uid="{00000000-0005-0000-0000-0000782A0000}"/>
    <cellStyle name="Normal 2 2 2 2 2 2 18 2 8" xfId="10873" xr:uid="{00000000-0005-0000-0000-0000792A0000}"/>
    <cellStyle name="Normal 2 2 2 2 2 2 18 2 9" xfId="10874" xr:uid="{00000000-0005-0000-0000-00007A2A0000}"/>
    <cellStyle name="Normal 2 2 2 2 2 2 18 3" xfId="10875" xr:uid="{00000000-0005-0000-0000-00007B2A0000}"/>
    <cellStyle name="Normal 2 2 2 2 2 2 18 3 10" xfId="10876" xr:uid="{00000000-0005-0000-0000-00007C2A0000}"/>
    <cellStyle name="Normal 2 2 2 2 2 2 18 3 2" xfId="10877" xr:uid="{00000000-0005-0000-0000-00007D2A0000}"/>
    <cellStyle name="Normal 2 2 2 2 2 2 18 3 3" xfId="10878" xr:uid="{00000000-0005-0000-0000-00007E2A0000}"/>
    <cellStyle name="Normal 2 2 2 2 2 2 18 3 4" xfId="10879" xr:uid="{00000000-0005-0000-0000-00007F2A0000}"/>
    <cellStyle name="Normal 2 2 2 2 2 2 18 3 5" xfId="10880" xr:uid="{00000000-0005-0000-0000-0000802A0000}"/>
    <cellStyle name="Normal 2 2 2 2 2 2 18 3 6" xfId="10881" xr:uid="{00000000-0005-0000-0000-0000812A0000}"/>
    <cellStyle name="Normal 2 2 2 2 2 2 18 3 7" xfId="10882" xr:uid="{00000000-0005-0000-0000-0000822A0000}"/>
    <cellStyle name="Normal 2 2 2 2 2 2 18 3 8" xfId="10883" xr:uid="{00000000-0005-0000-0000-0000832A0000}"/>
    <cellStyle name="Normal 2 2 2 2 2 2 18 3 9" xfId="10884" xr:uid="{00000000-0005-0000-0000-0000842A0000}"/>
    <cellStyle name="Normal 2 2 2 2 2 2 18 4" xfId="10885" xr:uid="{00000000-0005-0000-0000-0000852A0000}"/>
    <cellStyle name="Normal 2 2 2 2 2 2 18 4 10" xfId="10886" xr:uid="{00000000-0005-0000-0000-0000862A0000}"/>
    <cellStyle name="Normal 2 2 2 2 2 2 18 4 2" xfId="10887" xr:uid="{00000000-0005-0000-0000-0000872A0000}"/>
    <cellStyle name="Normal 2 2 2 2 2 2 18 4 3" xfId="10888" xr:uid="{00000000-0005-0000-0000-0000882A0000}"/>
    <cellStyle name="Normal 2 2 2 2 2 2 18 4 4" xfId="10889" xr:uid="{00000000-0005-0000-0000-0000892A0000}"/>
    <cellStyle name="Normal 2 2 2 2 2 2 18 4 5" xfId="10890" xr:uid="{00000000-0005-0000-0000-00008A2A0000}"/>
    <cellStyle name="Normal 2 2 2 2 2 2 18 4 6" xfId="10891" xr:uid="{00000000-0005-0000-0000-00008B2A0000}"/>
    <cellStyle name="Normal 2 2 2 2 2 2 18 4 7" xfId="10892" xr:uid="{00000000-0005-0000-0000-00008C2A0000}"/>
    <cellStyle name="Normal 2 2 2 2 2 2 18 4 8" xfId="10893" xr:uid="{00000000-0005-0000-0000-00008D2A0000}"/>
    <cellStyle name="Normal 2 2 2 2 2 2 18 4 9" xfId="10894" xr:uid="{00000000-0005-0000-0000-00008E2A0000}"/>
    <cellStyle name="Normal 2 2 2 2 2 2 18 5" xfId="10895" xr:uid="{00000000-0005-0000-0000-00008F2A0000}"/>
    <cellStyle name="Normal 2 2 2 2 2 2 18 5 10" xfId="10896" xr:uid="{00000000-0005-0000-0000-0000902A0000}"/>
    <cellStyle name="Normal 2 2 2 2 2 2 18 5 2" xfId="10897" xr:uid="{00000000-0005-0000-0000-0000912A0000}"/>
    <cellStyle name="Normal 2 2 2 2 2 2 18 5 3" xfId="10898" xr:uid="{00000000-0005-0000-0000-0000922A0000}"/>
    <cellStyle name="Normal 2 2 2 2 2 2 18 5 4" xfId="10899" xr:uid="{00000000-0005-0000-0000-0000932A0000}"/>
    <cellStyle name="Normal 2 2 2 2 2 2 18 5 5" xfId="10900" xr:uid="{00000000-0005-0000-0000-0000942A0000}"/>
    <cellStyle name="Normal 2 2 2 2 2 2 18 5 6" xfId="10901" xr:uid="{00000000-0005-0000-0000-0000952A0000}"/>
    <cellStyle name="Normal 2 2 2 2 2 2 18 5 7" xfId="10902" xr:uid="{00000000-0005-0000-0000-0000962A0000}"/>
    <cellStyle name="Normal 2 2 2 2 2 2 18 5 8" xfId="10903" xr:uid="{00000000-0005-0000-0000-0000972A0000}"/>
    <cellStyle name="Normal 2 2 2 2 2 2 18 5 9" xfId="10904" xr:uid="{00000000-0005-0000-0000-0000982A0000}"/>
    <cellStyle name="Normal 2 2 2 2 2 2 18 6" xfId="10905" xr:uid="{00000000-0005-0000-0000-0000992A0000}"/>
    <cellStyle name="Normal 2 2 2 2 2 2 18 7" xfId="10906" xr:uid="{00000000-0005-0000-0000-00009A2A0000}"/>
    <cellStyle name="Normal 2 2 2 2 2 2 18 8" xfId="10907" xr:uid="{00000000-0005-0000-0000-00009B2A0000}"/>
    <cellStyle name="Normal 2 2 2 2 2 2 18 9" xfId="10908" xr:uid="{00000000-0005-0000-0000-00009C2A0000}"/>
    <cellStyle name="Normal 2 2 2 2 2 2 19" xfId="10909" xr:uid="{00000000-0005-0000-0000-00009D2A0000}"/>
    <cellStyle name="Normal 2 2 2 2 2 2 19 10" xfId="10910" xr:uid="{00000000-0005-0000-0000-00009E2A0000}"/>
    <cellStyle name="Normal 2 2 2 2 2 2 19 11" xfId="10911" xr:uid="{00000000-0005-0000-0000-00009F2A0000}"/>
    <cellStyle name="Normal 2 2 2 2 2 2 19 12" xfId="10912" xr:uid="{00000000-0005-0000-0000-0000A02A0000}"/>
    <cellStyle name="Normal 2 2 2 2 2 2 19 13" xfId="10913" xr:uid="{00000000-0005-0000-0000-0000A12A0000}"/>
    <cellStyle name="Normal 2 2 2 2 2 2 19 14" xfId="10914" xr:uid="{00000000-0005-0000-0000-0000A22A0000}"/>
    <cellStyle name="Normal 2 2 2 2 2 2 19 2" xfId="10915" xr:uid="{00000000-0005-0000-0000-0000A32A0000}"/>
    <cellStyle name="Normal 2 2 2 2 2 2 19 2 10" xfId="10916" xr:uid="{00000000-0005-0000-0000-0000A42A0000}"/>
    <cellStyle name="Normal 2 2 2 2 2 2 19 2 2" xfId="10917" xr:uid="{00000000-0005-0000-0000-0000A52A0000}"/>
    <cellStyle name="Normal 2 2 2 2 2 2 19 2 3" xfId="10918" xr:uid="{00000000-0005-0000-0000-0000A62A0000}"/>
    <cellStyle name="Normal 2 2 2 2 2 2 19 2 4" xfId="10919" xr:uid="{00000000-0005-0000-0000-0000A72A0000}"/>
    <cellStyle name="Normal 2 2 2 2 2 2 19 2 5" xfId="10920" xr:uid="{00000000-0005-0000-0000-0000A82A0000}"/>
    <cellStyle name="Normal 2 2 2 2 2 2 19 2 6" xfId="10921" xr:uid="{00000000-0005-0000-0000-0000A92A0000}"/>
    <cellStyle name="Normal 2 2 2 2 2 2 19 2 7" xfId="10922" xr:uid="{00000000-0005-0000-0000-0000AA2A0000}"/>
    <cellStyle name="Normal 2 2 2 2 2 2 19 2 8" xfId="10923" xr:uid="{00000000-0005-0000-0000-0000AB2A0000}"/>
    <cellStyle name="Normal 2 2 2 2 2 2 19 2 9" xfId="10924" xr:uid="{00000000-0005-0000-0000-0000AC2A0000}"/>
    <cellStyle name="Normal 2 2 2 2 2 2 19 3" xfId="10925" xr:uid="{00000000-0005-0000-0000-0000AD2A0000}"/>
    <cellStyle name="Normal 2 2 2 2 2 2 19 3 10" xfId="10926" xr:uid="{00000000-0005-0000-0000-0000AE2A0000}"/>
    <cellStyle name="Normal 2 2 2 2 2 2 19 3 2" xfId="10927" xr:uid="{00000000-0005-0000-0000-0000AF2A0000}"/>
    <cellStyle name="Normal 2 2 2 2 2 2 19 3 3" xfId="10928" xr:uid="{00000000-0005-0000-0000-0000B02A0000}"/>
    <cellStyle name="Normal 2 2 2 2 2 2 19 3 4" xfId="10929" xr:uid="{00000000-0005-0000-0000-0000B12A0000}"/>
    <cellStyle name="Normal 2 2 2 2 2 2 19 3 5" xfId="10930" xr:uid="{00000000-0005-0000-0000-0000B22A0000}"/>
    <cellStyle name="Normal 2 2 2 2 2 2 19 3 6" xfId="10931" xr:uid="{00000000-0005-0000-0000-0000B32A0000}"/>
    <cellStyle name="Normal 2 2 2 2 2 2 19 3 7" xfId="10932" xr:uid="{00000000-0005-0000-0000-0000B42A0000}"/>
    <cellStyle name="Normal 2 2 2 2 2 2 19 3 8" xfId="10933" xr:uid="{00000000-0005-0000-0000-0000B52A0000}"/>
    <cellStyle name="Normal 2 2 2 2 2 2 19 3 9" xfId="10934" xr:uid="{00000000-0005-0000-0000-0000B62A0000}"/>
    <cellStyle name="Normal 2 2 2 2 2 2 19 4" xfId="10935" xr:uid="{00000000-0005-0000-0000-0000B72A0000}"/>
    <cellStyle name="Normal 2 2 2 2 2 2 19 4 10" xfId="10936" xr:uid="{00000000-0005-0000-0000-0000B82A0000}"/>
    <cellStyle name="Normal 2 2 2 2 2 2 19 4 2" xfId="10937" xr:uid="{00000000-0005-0000-0000-0000B92A0000}"/>
    <cellStyle name="Normal 2 2 2 2 2 2 19 4 3" xfId="10938" xr:uid="{00000000-0005-0000-0000-0000BA2A0000}"/>
    <cellStyle name="Normal 2 2 2 2 2 2 19 4 4" xfId="10939" xr:uid="{00000000-0005-0000-0000-0000BB2A0000}"/>
    <cellStyle name="Normal 2 2 2 2 2 2 19 4 5" xfId="10940" xr:uid="{00000000-0005-0000-0000-0000BC2A0000}"/>
    <cellStyle name="Normal 2 2 2 2 2 2 19 4 6" xfId="10941" xr:uid="{00000000-0005-0000-0000-0000BD2A0000}"/>
    <cellStyle name="Normal 2 2 2 2 2 2 19 4 7" xfId="10942" xr:uid="{00000000-0005-0000-0000-0000BE2A0000}"/>
    <cellStyle name="Normal 2 2 2 2 2 2 19 4 8" xfId="10943" xr:uid="{00000000-0005-0000-0000-0000BF2A0000}"/>
    <cellStyle name="Normal 2 2 2 2 2 2 19 4 9" xfId="10944" xr:uid="{00000000-0005-0000-0000-0000C02A0000}"/>
    <cellStyle name="Normal 2 2 2 2 2 2 19 5" xfId="10945" xr:uid="{00000000-0005-0000-0000-0000C12A0000}"/>
    <cellStyle name="Normal 2 2 2 2 2 2 19 5 10" xfId="10946" xr:uid="{00000000-0005-0000-0000-0000C22A0000}"/>
    <cellStyle name="Normal 2 2 2 2 2 2 19 5 2" xfId="10947" xr:uid="{00000000-0005-0000-0000-0000C32A0000}"/>
    <cellStyle name="Normal 2 2 2 2 2 2 19 5 3" xfId="10948" xr:uid="{00000000-0005-0000-0000-0000C42A0000}"/>
    <cellStyle name="Normal 2 2 2 2 2 2 19 5 4" xfId="10949" xr:uid="{00000000-0005-0000-0000-0000C52A0000}"/>
    <cellStyle name="Normal 2 2 2 2 2 2 19 5 5" xfId="10950" xr:uid="{00000000-0005-0000-0000-0000C62A0000}"/>
    <cellStyle name="Normal 2 2 2 2 2 2 19 5 6" xfId="10951" xr:uid="{00000000-0005-0000-0000-0000C72A0000}"/>
    <cellStyle name="Normal 2 2 2 2 2 2 19 5 7" xfId="10952" xr:uid="{00000000-0005-0000-0000-0000C82A0000}"/>
    <cellStyle name="Normal 2 2 2 2 2 2 19 5 8" xfId="10953" xr:uid="{00000000-0005-0000-0000-0000C92A0000}"/>
    <cellStyle name="Normal 2 2 2 2 2 2 19 5 9" xfId="10954" xr:uid="{00000000-0005-0000-0000-0000CA2A0000}"/>
    <cellStyle name="Normal 2 2 2 2 2 2 19 6" xfId="10955" xr:uid="{00000000-0005-0000-0000-0000CB2A0000}"/>
    <cellStyle name="Normal 2 2 2 2 2 2 19 7" xfId="10956" xr:uid="{00000000-0005-0000-0000-0000CC2A0000}"/>
    <cellStyle name="Normal 2 2 2 2 2 2 19 8" xfId="10957" xr:uid="{00000000-0005-0000-0000-0000CD2A0000}"/>
    <cellStyle name="Normal 2 2 2 2 2 2 19 9" xfId="10958" xr:uid="{00000000-0005-0000-0000-0000CE2A0000}"/>
    <cellStyle name="Normal 2 2 2 2 2 2 2" xfId="10959" xr:uid="{00000000-0005-0000-0000-0000CF2A0000}"/>
    <cellStyle name="Normal 2 2 2 2 2 2 2 10" xfId="10960" xr:uid="{00000000-0005-0000-0000-0000D02A0000}"/>
    <cellStyle name="Normal 2 2 2 2 2 2 2 11" xfId="10961" xr:uid="{00000000-0005-0000-0000-0000D12A0000}"/>
    <cellStyle name="Normal 2 2 2 2 2 2 2 12" xfId="10962" xr:uid="{00000000-0005-0000-0000-0000D22A0000}"/>
    <cellStyle name="Normal 2 2 2 2 2 2 2 13" xfId="10963" xr:uid="{00000000-0005-0000-0000-0000D32A0000}"/>
    <cellStyle name="Normal 2 2 2 2 2 2 2 14" xfId="10964" xr:uid="{00000000-0005-0000-0000-0000D42A0000}"/>
    <cellStyle name="Normal 2 2 2 2 2 2 2 15" xfId="10965" xr:uid="{00000000-0005-0000-0000-0000D52A0000}"/>
    <cellStyle name="Normal 2 2 2 2 2 2 2 16" xfId="10966" xr:uid="{00000000-0005-0000-0000-0000D62A0000}"/>
    <cellStyle name="Normal 2 2 2 2 2 2 2 2" xfId="10967" xr:uid="{00000000-0005-0000-0000-0000D72A0000}"/>
    <cellStyle name="Normal 2 2 2 2 2 2 2 2 10" xfId="10968" xr:uid="{00000000-0005-0000-0000-0000D82A0000}"/>
    <cellStyle name="Normal 2 2 2 2 2 2 2 2 11" xfId="10969" xr:uid="{00000000-0005-0000-0000-0000D92A0000}"/>
    <cellStyle name="Normal 2 2 2 2 2 2 2 2 12" xfId="10970" xr:uid="{00000000-0005-0000-0000-0000DA2A0000}"/>
    <cellStyle name="Normal 2 2 2 2 2 2 2 2 2" xfId="10971" xr:uid="{00000000-0005-0000-0000-0000DB2A0000}"/>
    <cellStyle name="Normal 2 2 2 2 2 2 2 2 3" xfId="10972" xr:uid="{00000000-0005-0000-0000-0000DC2A0000}"/>
    <cellStyle name="Normal 2 2 2 2 2 2 2 2 4" xfId="10973" xr:uid="{00000000-0005-0000-0000-0000DD2A0000}"/>
    <cellStyle name="Normal 2 2 2 2 2 2 2 2 5" xfId="10974" xr:uid="{00000000-0005-0000-0000-0000DE2A0000}"/>
    <cellStyle name="Normal 2 2 2 2 2 2 2 2 6" xfId="10975" xr:uid="{00000000-0005-0000-0000-0000DF2A0000}"/>
    <cellStyle name="Normal 2 2 2 2 2 2 2 2 7" xfId="10976" xr:uid="{00000000-0005-0000-0000-0000E02A0000}"/>
    <cellStyle name="Normal 2 2 2 2 2 2 2 2 8" xfId="10977" xr:uid="{00000000-0005-0000-0000-0000E12A0000}"/>
    <cellStyle name="Normal 2 2 2 2 2 2 2 2 9" xfId="10978" xr:uid="{00000000-0005-0000-0000-0000E22A0000}"/>
    <cellStyle name="Normal 2 2 2 2 2 2 2 3" xfId="10979" xr:uid="{00000000-0005-0000-0000-0000E32A0000}"/>
    <cellStyle name="Normal 2 2 2 2 2 2 2 3 10" xfId="10980" xr:uid="{00000000-0005-0000-0000-0000E42A0000}"/>
    <cellStyle name="Normal 2 2 2 2 2 2 2 3 2" xfId="10981" xr:uid="{00000000-0005-0000-0000-0000E52A0000}"/>
    <cellStyle name="Normal 2 2 2 2 2 2 2 3 3" xfId="10982" xr:uid="{00000000-0005-0000-0000-0000E62A0000}"/>
    <cellStyle name="Normal 2 2 2 2 2 2 2 3 4" xfId="10983" xr:uid="{00000000-0005-0000-0000-0000E72A0000}"/>
    <cellStyle name="Normal 2 2 2 2 2 2 2 3 5" xfId="10984" xr:uid="{00000000-0005-0000-0000-0000E82A0000}"/>
    <cellStyle name="Normal 2 2 2 2 2 2 2 3 6" xfId="10985" xr:uid="{00000000-0005-0000-0000-0000E92A0000}"/>
    <cellStyle name="Normal 2 2 2 2 2 2 2 3 7" xfId="10986" xr:uid="{00000000-0005-0000-0000-0000EA2A0000}"/>
    <cellStyle name="Normal 2 2 2 2 2 2 2 3 8" xfId="10987" xr:uid="{00000000-0005-0000-0000-0000EB2A0000}"/>
    <cellStyle name="Normal 2 2 2 2 2 2 2 3 9" xfId="10988" xr:uid="{00000000-0005-0000-0000-0000EC2A0000}"/>
    <cellStyle name="Normal 2 2 2 2 2 2 2 4" xfId="10989" xr:uid="{00000000-0005-0000-0000-0000ED2A0000}"/>
    <cellStyle name="Normal 2 2 2 2 2 2 2 4 10" xfId="10990" xr:uid="{00000000-0005-0000-0000-0000EE2A0000}"/>
    <cellStyle name="Normal 2 2 2 2 2 2 2 4 2" xfId="10991" xr:uid="{00000000-0005-0000-0000-0000EF2A0000}"/>
    <cellStyle name="Normal 2 2 2 2 2 2 2 4 3" xfId="10992" xr:uid="{00000000-0005-0000-0000-0000F02A0000}"/>
    <cellStyle name="Normal 2 2 2 2 2 2 2 4 4" xfId="10993" xr:uid="{00000000-0005-0000-0000-0000F12A0000}"/>
    <cellStyle name="Normal 2 2 2 2 2 2 2 4 5" xfId="10994" xr:uid="{00000000-0005-0000-0000-0000F22A0000}"/>
    <cellStyle name="Normal 2 2 2 2 2 2 2 4 6" xfId="10995" xr:uid="{00000000-0005-0000-0000-0000F32A0000}"/>
    <cellStyle name="Normal 2 2 2 2 2 2 2 4 7" xfId="10996" xr:uid="{00000000-0005-0000-0000-0000F42A0000}"/>
    <cellStyle name="Normal 2 2 2 2 2 2 2 4 8" xfId="10997" xr:uid="{00000000-0005-0000-0000-0000F52A0000}"/>
    <cellStyle name="Normal 2 2 2 2 2 2 2 4 9" xfId="10998" xr:uid="{00000000-0005-0000-0000-0000F62A0000}"/>
    <cellStyle name="Normal 2 2 2 2 2 2 2 5" xfId="10999" xr:uid="{00000000-0005-0000-0000-0000F72A0000}"/>
    <cellStyle name="Normal 2 2 2 2 2 2 2 5 10" xfId="11000" xr:uid="{00000000-0005-0000-0000-0000F82A0000}"/>
    <cellStyle name="Normal 2 2 2 2 2 2 2 5 2" xfId="11001" xr:uid="{00000000-0005-0000-0000-0000F92A0000}"/>
    <cellStyle name="Normal 2 2 2 2 2 2 2 5 3" xfId="11002" xr:uid="{00000000-0005-0000-0000-0000FA2A0000}"/>
    <cellStyle name="Normal 2 2 2 2 2 2 2 5 4" xfId="11003" xr:uid="{00000000-0005-0000-0000-0000FB2A0000}"/>
    <cellStyle name="Normal 2 2 2 2 2 2 2 5 5" xfId="11004" xr:uid="{00000000-0005-0000-0000-0000FC2A0000}"/>
    <cellStyle name="Normal 2 2 2 2 2 2 2 5 6" xfId="11005" xr:uid="{00000000-0005-0000-0000-0000FD2A0000}"/>
    <cellStyle name="Normal 2 2 2 2 2 2 2 5 7" xfId="11006" xr:uid="{00000000-0005-0000-0000-0000FE2A0000}"/>
    <cellStyle name="Normal 2 2 2 2 2 2 2 5 8" xfId="11007" xr:uid="{00000000-0005-0000-0000-0000FF2A0000}"/>
    <cellStyle name="Normal 2 2 2 2 2 2 2 5 9" xfId="11008" xr:uid="{00000000-0005-0000-0000-0000002B0000}"/>
    <cellStyle name="Normal 2 2 2 2 2 2 2 6" xfId="11009" xr:uid="{00000000-0005-0000-0000-0000012B0000}"/>
    <cellStyle name="Normal 2 2 2 2 2 2 2 7" xfId="11010" xr:uid="{00000000-0005-0000-0000-0000022B0000}"/>
    <cellStyle name="Normal 2 2 2 2 2 2 2 8" xfId="11011" xr:uid="{00000000-0005-0000-0000-0000032B0000}"/>
    <cellStyle name="Normal 2 2 2 2 2 2 2 9" xfId="11012" xr:uid="{00000000-0005-0000-0000-0000042B0000}"/>
    <cellStyle name="Normal 2 2 2 2 2 2 20" xfId="11013" xr:uid="{00000000-0005-0000-0000-0000052B0000}"/>
    <cellStyle name="Normal 2 2 2 2 2 2 20 10" xfId="11014" xr:uid="{00000000-0005-0000-0000-0000062B0000}"/>
    <cellStyle name="Normal 2 2 2 2 2 2 20 11" xfId="11015" xr:uid="{00000000-0005-0000-0000-0000072B0000}"/>
    <cellStyle name="Normal 2 2 2 2 2 2 20 12" xfId="11016" xr:uid="{00000000-0005-0000-0000-0000082B0000}"/>
    <cellStyle name="Normal 2 2 2 2 2 2 20 13" xfId="11017" xr:uid="{00000000-0005-0000-0000-0000092B0000}"/>
    <cellStyle name="Normal 2 2 2 2 2 2 20 14" xfId="11018" xr:uid="{00000000-0005-0000-0000-00000A2B0000}"/>
    <cellStyle name="Normal 2 2 2 2 2 2 20 2" xfId="11019" xr:uid="{00000000-0005-0000-0000-00000B2B0000}"/>
    <cellStyle name="Normal 2 2 2 2 2 2 20 2 10" xfId="11020" xr:uid="{00000000-0005-0000-0000-00000C2B0000}"/>
    <cellStyle name="Normal 2 2 2 2 2 2 20 2 2" xfId="11021" xr:uid="{00000000-0005-0000-0000-00000D2B0000}"/>
    <cellStyle name="Normal 2 2 2 2 2 2 20 2 3" xfId="11022" xr:uid="{00000000-0005-0000-0000-00000E2B0000}"/>
    <cellStyle name="Normal 2 2 2 2 2 2 20 2 4" xfId="11023" xr:uid="{00000000-0005-0000-0000-00000F2B0000}"/>
    <cellStyle name="Normal 2 2 2 2 2 2 20 2 5" xfId="11024" xr:uid="{00000000-0005-0000-0000-0000102B0000}"/>
    <cellStyle name="Normal 2 2 2 2 2 2 20 2 6" xfId="11025" xr:uid="{00000000-0005-0000-0000-0000112B0000}"/>
    <cellStyle name="Normal 2 2 2 2 2 2 20 2 7" xfId="11026" xr:uid="{00000000-0005-0000-0000-0000122B0000}"/>
    <cellStyle name="Normal 2 2 2 2 2 2 20 2 8" xfId="11027" xr:uid="{00000000-0005-0000-0000-0000132B0000}"/>
    <cellStyle name="Normal 2 2 2 2 2 2 20 2 9" xfId="11028" xr:uid="{00000000-0005-0000-0000-0000142B0000}"/>
    <cellStyle name="Normal 2 2 2 2 2 2 20 3" xfId="11029" xr:uid="{00000000-0005-0000-0000-0000152B0000}"/>
    <cellStyle name="Normal 2 2 2 2 2 2 20 3 10" xfId="11030" xr:uid="{00000000-0005-0000-0000-0000162B0000}"/>
    <cellStyle name="Normal 2 2 2 2 2 2 20 3 2" xfId="11031" xr:uid="{00000000-0005-0000-0000-0000172B0000}"/>
    <cellStyle name="Normal 2 2 2 2 2 2 20 3 3" xfId="11032" xr:uid="{00000000-0005-0000-0000-0000182B0000}"/>
    <cellStyle name="Normal 2 2 2 2 2 2 20 3 4" xfId="11033" xr:uid="{00000000-0005-0000-0000-0000192B0000}"/>
    <cellStyle name="Normal 2 2 2 2 2 2 20 3 5" xfId="11034" xr:uid="{00000000-0005-0000-0000-00001A2B0000}"/>
    <cellStyle name="Normal 2 2 2 2 2 2 20 3 6" xfId="11035" xr:uid="{00000000-0005-0000-0000-00001B2B0000}"/>
    <cellStyle name="Normal 2 2 2 2 2 2 20 3 7" xfId="11036" xr:uid="{00000000-0005-0000-0000-00001C2B0000}"/>
    <cellStyle name="Normal 2 2 2 2 2 2 20 3 8" xfId="11037" xr:uid="{00000000-0005-0000-0000-00001D2B0000}"/>
    <cellStyle name="Normal 2 2 2 2 2 2 20 3 9" xfId="11038" xr:uid="{00000000-0005-0000-0000-00001E2B0000}"/>
    <cellStyle name="Normal 2 2 2 2 2 2 20 4" xfId="11039" xr:uid="{00000000-0005-0000-0000-00001F2B0000}"/>
    <cellStyle name="Normal 2 2 2 2 2 2 20 4 10" xfId="11040" xr:uid="{00000000-0005-0000-0000-0000202B0000}"/>
    <cellStyle name="Normal 2 2 2 2 2 2 20 4 2" xfId="11041" xr:uid="{00000000-0005-0000-0000-0000212B0000}"/>
    <cellStyle name="Normal 2 2 2 2 2 2 20 4 3" xfId="11042" xr:uid="{00000000-0005-0000-0000-0000222B0000}"/>
    <cellStyle name="Normal 2 2 2 2 2 2 20 4 4" xfId="11043" xr:uid="{00000000-0005-0000-0000-0000232B0000}"/>
    <cellStyle name="Normal 2 2 2 2 2 2 20 4 5" xfId="11044" xr:uid="{00000000-0005-0000-0000-0000242B0000}"/>
    <cellStyle name="Normal 2 2 2 2 2 2 20 4 6" xfId="11045" xr:uid="{00000000-0005-0000-0000-0000252B0000}"/>
    <cellStyle name="Normal 2 2 2 2 2 2 20 4 7" xfId="11046" xr:uid="{00000000-0005-0000-0000-0000262B0000}"/>
    <cellStyle name="Normal 2 2 2 2 2 2 20 4 8" xfId="11047" xr:uid="{00000000-0005-0000-0000-0000272B0000}"/>
    <cellStyle name="Normal 2 2 2 2 2 2 20 4 9" xfId="11048" xr:uid="{00000000-0005-0000-0000-0000282B0000}"/>
    <cellStyle name="Normal 2 2 2 2 2 2 20 5" xfId="11049" xr:uid="{00000000-0005-0000-0000-0000292B0000}"/>
    <cellStyle name="Normal 2 2 2 2 2 2 20 5 10" xfId="11050" xr:uid="{00000000-0005-0000-0000-00002A2B0000}"/>
    <cellStyle name="Normal 2 2 2 2 2 2 20 5 2" xfId="11051" xr:uid="{00000000-0005-0000-0000-00002B2B0000}"/>
    <cellStyle name="Normal 2 2 2 2 2 2 20 5 3" xfId="11052" xr:uid="{00000000-0005-0000-0000-00002C2B0000}"/>
    <cellStyle name="Normal 2 2 2 2 2 2 20 5 4" xfId="11053" xr:uid="{00000000-0005-0000-0000-00002D2B0000}"/>
    <cellStyle name="Normal 2 2 2 2 2 2 20 5 5" xfId="11054" xr:uid="{00000000-0005-0000-0000-00002E2B0000}"/>
    <cellStyle name="Normal 2 2 2 2 2 2 20 5 6" xfId="11055" xr:uid="{00000000-0005-0000-0000-00002F2B0000}"/>
    <cellStyle name="Normal 2 2 2 2 2 2 20 5 7" xfId="11056" xr:uid="{00000000-0005-0000-0000-0000302B0000}"/>
    <cellStyle name="Normal 2 2 2 2 2 2 20 5 8" xfId="11057" xr:uid="{00000000-0005-0000-0000-0000312B0000}"/>
    <cellStyle name="Normal 2 2 2 2 2 2 20 5 9" xfId="11058" xr:uid="{00000000-0005-0000-0000-0000322B0000}"/>
    <cellStyle name="Normal 2 2 2 2 2 2 20 6" xfId="11059" xr:uid="{00000000-0005-0000-0000-0000332B0000}"/>
    <cellStyle name="Normal 2 2 2 2 2 2 20 7" xfId="11060" xr:uid="{00000000-0005-0000-0000-0000342B0000}"/>
    <cellStyle name="Normal 2 2 2 2 2 2 20 8" xfId="11061" xr:uid="{00000000-0005-0000-0000-0000352B0000}"/>
    <cellStyle name="Normal 2 2 2 2 2 2 20 9" xfId="11062" xr:uid="{00000000-0005-0000-0000-0000362B0000}"/>
    <cellStyle name="Normal 2 2 2 2 2 2 21" xfId="11063" xr:uid="{00000000-0005-0000-0000-0000372B0000}"/>
    <cellStyle name="Normal 2 2 2 2 2 2 21 10" xfId="11064" xr:uid="{00000000-0005-0000-0000-0000382B0000}"/>
    <cellStyle name="Normal 2 2 2 2 2 2 21 11" xfId="11065" xr:uid="{00000000-0005-0000-0000-0000392B0000}"/>
    <cellStyle name="Normal 2 2 2 2 2 2 21 12" xfId="11066" xr:uid="{00000000-0005-0000-0000-00003A2B0000}"/>
    <cellStyle name="Normal 2 2 2 2 2 2 21 13" xfId="11067" xr:uid="{00000000-0005-0000-0000-00003B2B0000}"/>
    <cellStyle name="Normal 2 2 2 2 2 2 21 14" xfId="11068" xr:uid="{00000000-0005-0000-0000-00003C2B0000}"/>
    <cellStyle name="Normal 2 2 2 2 2 2 21 2" xfId="11069" xr:uid="{00000000-0005-0000-0000-00003D2B0000}"/>
    <cellStyle name="Normal 2 2 2 2 2 2 21 2 10" xfId="11070" xr:uid="{00000000-0005-0000-0000-00003E2B0000}"/>
    <cellStyle name="Normal 2 2 2 2 2 2 21 2 2" xfId="11071" xr:uid="{00000000-0005-0000-0000-00003F2B0000}"/>
    <cellStyle name="Normal 2 2 2 2 2 2 21 2 3" xfId="11072" xr:uid="{00000000-0005-0000-0000-0000402B0000}"/>
    <cellStyle name="Normal 2 2 2 2 2 2 21 2 4" xfId="11073" xr:uid="{00000000-0005-0000-0000-0000412B0000}"/>
    <cellStyle name="Normal 2 2 2 2 2 2 21 2 5" xfId="11074" xr:uid="{00000000-0005-0000-0000-0000422B0000}"/>
    <cellStyle name="Normal 2 2 2 2 2 2 21 2 6" xfId="11075" xr:uid="{00000000-0005-0000-0000-0000432B0000}"/>
    <cellStyle name="Normal 2 2 2 2 2 2 21 2 7" xfId="11076" xr:uid="{00000000-0005-0000-0000-0000442B0000}"/>
    <cellStyle name="Normal 2 2 2 2 2 2 21 2 8" xfId="11077" xr:uid="{00000000-0005-0000-0000-0000452B0000}"/>
    <cellStyle name="Normal 2 2 2 2 2 2 21 2 9" xfId="11078" xr:uid="{00000000-0005-0000-0000-0000462B0000}"/>
    <cellStyle name="Normal 2 2 2 2 2 2 21 3" xfId="11079" xr:uid="{00000000-0005-0000-0000-0000472B0000}"/>
    <cellStyle name="Normal 2 2 2 2 2 2 21 3 10" xfId="11080" xr:uid="{00000000-0005-0000-0000-0000482B0000}"/>
    <cellStyle name="Normal 2 2 2 2 2 2 21 3 2" xfId="11081" xr:uid="{00000000-0005-0000-0000-0000492B0000}"/>
    <cellStyle name="Normal 2 2 2 2 2 2 21 3 3" xfId="11082" xr:uid="{00000000-0005-0000-0000-00004A2B0000}"/>
    <cellStyle name="Normal 2 2 2 2 2 2 21 3 4" xfId="11083" xr:uid="{00000000-0005-0000-0000-00004B2B0000}"/>
    <cellStyle name="Normal 2 2 2 2 2 2 21 3 5" xfId="11084" xr:uid="{00000000-0005-0000-0000-00004C2B0000}"/>
    <cellStyle name="Normal 2 2 2 2 2 2 21 3 6" xfId="11085" xr:uid="{00000000-0005-0000-0000-00004D2B0000}"/>
    <cellStyle name="Normal 2 2 2 2 2 2 21 3 7" xfId="11086" xr:uid="{00000000-0005-0000-0000-00004E2B0000}"/>
    <cellStyle name="Normal 2 2 2 2 2 2 21 3 8" xfId="11087" xr:uid="{00000000-0005-0000-0000-00004F2B0000}"/>
    <cellStyle name="Normal 2 2 2 2 2 2 21 3 9" xfId="11088" xr:uid="{00000000-0005-0000-0000-0000502B0000}"/>
    <cellStyle name="Normal 2 2 2 2 2 2 21 4" xfId="11089" xr:uid="{00000000-0005-0000-0000-0000512B0000}"/>
    <cellStyle name="Normal 2 2 2 2 2 2 21 4 10" xfId="11090" xr:uid="{00000000-0005-0000-0000-0000522B0000}"/>
    <cellStyle name="Normal 2 2 2 2 2 2 21 4 2" xfId="11091" xr:uid="{00000000-0005-0000-0000-0000532B0000}"/>
    <cellStyle name="Normal 2 2 2 2 2 2 21 4 3" xfId="11092" xr:uid="{00000000-0005-0000-0000-0000542B0000}"/>
    <cellStyle name="Normal 2 2 2 2 2 2 21 4 4" xfId="11093" xr:uid="{00000000-0005-0000-0000-0000552B0000}"/>
    <cellStyle name="Normal 2 2 2 2 2 2 21 4 5" xfId="11094" xr:uid="{00000000-0005-0000-0000-0000562B0000}"/>
    <cellStyle name="Normal 2 2 2 2 2 2 21 4 6" xfId="11095" xr:uid="{00000000-0005-0000-0000-0000572B0000}"/>
    <cellStyle name="Normal 2 2 2 2 2 2 21 4 7" xfId="11096" xr:uid="{00000000-0005-0000-0000-0000582B0000}"/>
    <cellStyle name="Normal 2 2 2 2 2 2 21 4 8" xfId="11097" xr:uid="{00000000-0005-0000-0000-0000592B0000}"/>
    <cellStyle name="Normal 2 2 2 2 2 2 21 4 9" xfId="11098" xr:uid="{00000000-0005-0000-0000-00005A2B0000}"/>
    <cellStyle name="Normal 2 2 2 2 2 2 21 5" xfId="11099" xr:uid="{00000000-0005-0000-0000-00005B2B0000}"/>
    <cellStyle name="Normal 2 2 2 2 2 2 21 5 10" xfId="11100" xr:uid="{00000000-0005-0000-0000-00005C2B0000}"/>
    <cellStyle name="Normal 2 2 2 2 2 2 21 5 2" xfId="11101" xr:uid="{00000000-0005-0000-0000-00005D2B0000}"/>
    <cellStyle name="Normal 2 2 2 2 2 2 21 5 3" xfId="11102" xr:uid="{00000000-0005-0000-0000-00005E2B0000}"/>
    <cellStyle name="Normal 2 2 2 2 2 2 21 5 4" xfId="11103" xr:uid="{00000000-0005-0000-0000-00005F2B0000}"/>
    <cellStyle name="Normal 2 2 2 2 2 2 21 5 5" xfId="11104" xr:uid="{00000000-0005-0000-0000-0000602B0000}"/>
    <cellStyle name="Normal 2 2 2 2 2 2 21 5 6" xfId="11105" xr:uid="{00000000-0005-0000-0000-0000612B0000}"/>
    <cellStyle name="Normal 2 2 2 2 2 2 21 5 7" xfId="11106" xr:uid="{00000000-0005-0000-0000-0000622B0000}"/>
    <cellStyle name="Normal 2 2 2 2 2 2 21 5 8" xfId="11107" xr:uid="{00000000-0005-0000-0000-0000632B0000}"/>
    <cellStyle name="Normal 2 2 2 2 2 2 21 5 9" xfId="11108" xr:uid="{00000000-0005-0000-0000-0000642B0000}"/>
    <cellStyle name="Normal 2 2 2 2 2 2 21 6" xfId="11109" xr:uid="{00000000-0005-0000-0000-0000652B0000}"/>
    <cellStyle name="Normal 2 2 2 2 2 2 21 7" xfId="11110" xr:uid="{00000000-0005-0000-0000-0000662B0000}"/>
    <cellStyle name="Normal 2 2 2 2 2 2 21 8" xfId="11111" xr:uid="{00000000-0005-0000-0000-0000672B0000}"/>
    <cellStyle name="Normal 2 2 2 2 2 2 21 9" xfId="11112" xr:uid="{00000000-0005-0000-0000-0000682B0000}"/>
    <cellStyle name="Normal 2 2 2 2 2 2 22" xfId="11113" xr:uid="{00000000-0005-0000-0000-0000692B0000}"/>
    <cellStyle name="Normal 2 2 2 2 2 2 22 10" xfId="11114" xr:uid="{00000000-0005-0000-0000-00006A2B0000}"/>
    <cellStyle name="Normal 2 2 2 2 2 2 22 11" xfId="11115" xr:uid="{00000000-0005-0000-0000-00006B2B0000}"/>
    <cellStyle name="Normal 2 2 2 2 2 2 22 12" xfId="11116" xr:uid="{00000000-0005-0000-0000-00006C2B0000}"/>
    <cellStyle name="Normal 2 2 2 2 2 2 22 13" xfId="11117" xr:uid="{00000000-0005-0000-0000-00006D2B0000}"/>
    <cellStyle name="Normal 2 2 2 2 2 2 22 14" xfId="11118" xr:uid="{00000000-0005-0000-0000-00006E2B0000}"/>
    <cellStyle name="Normal 2 2 2 2 2 2 22 2" xfId="11119" xr:uid="{00000000-0005-0000-0000-00006F2B0000}"/>
    <cellStyle name="Normal 2 2 2 2 2 2 22 2 10" xfId="11120" xr:uid="{00000000-0005-0000-0000-0000702B0000}"/>
    <cellStyle name="Normal 2 2 2 2 2 2 22 2 2" xfId="11121" xr:uid="{00000000-0005-0000-0000-0000712B0000}"/>
    <cellStyle name="Normal 2 2 2 2 2 2 22 2 3" xfId="11122" xr:uid="{00000000-0005-0000-0000-0000722B0000}"/>
    <cellStyle name="Normal 2 2 2 2 2 2 22 2 4" xfId="11123" xr:uid="{00000000-0005-0000-0000-0000732B0000}"/>
    <cellStyle name="Normal 2 2 2 2 2 2 22 2 5" xfId="11124" xr:uid="{00000000-0005-0000-0000-0000742B0000}"/>
    <cellStyle name="Normal 2 2 2 2 2 2 22 2 6" xfId="11125" xr:uid="{00000000-0005-0000-0000-0000752B0000}"/>
    <cellStyle name="Normal 2 2 2 2 2 2 22 2 7" xfId="11126" xr:uid="{00000000-0005-0000-0000-0000762B0000}"/>
    <cellStyle name="Normal 2 2 2 2 2 2 22 2 8" xfId="11127" xr:uid="{00000000-0005-0000-0000-0000772B0000}"/>
    <cellStyle name="Normal 2 2 2 2 2 2 22 2 9" xfId="11128" xr:uid="{00000000-0005-0000-0000-0000782B0000}"/>
    <cellStyle name="Normal 2 2 2 2 2 2 22 3" xfId="11129" xr:uid="{00000000-0005-0000-0000-0000792B0000}"/>
    <cellStyle name="Normal 2 2 2 2 2 2 22 3 10" xfId="11130" xr:uid="{00000000-0005-0000-0000-00007A2B0000}"/>
    <cellStyle name="Normal 2 2 2 2 2 2 22 3 2" xfId="11131" xr:uid="{00000000-0005-0000-0000-00007B2B0000}"/>
    <cellStyle name="Normal 2 2 2 2 2 2 22 3 3" xfId="11132" xr:uid="{00000000-0005-0000-0000-00007C2B0000}"/>
    <cellStyle name="Normal 2 2 2 2 2 2 22 3 4" xfId="11133" xr:uid="{00000000-0005-0000-0000-00007D2B0000}"/>
    <cellStyle name="Normal 2 2 2 2 2 2 22 3 5" xfId="11134" xr:uid="{00000000-0005-0000-0000-00007E2B0000}"/>
    <cellStyle name="Normal 2 2 2 2 2 2 22 3 6" xfId="11135" xr:uid="{00000000-0005-0000-0000-00007F2B0000}"/>
    <cellStyle name="Normal 2 2 2 2 2 2 22 3 7" xfId="11136" xr:uid="{00000000-0005-0000-0000-0000802B0000}"/>
    <cellStyle name="Normal 2 2 2 2 2 2 22 3 8" xfId="11137" xr:uid="{00000000-0005-0000-0000-0000812B0000}"/>
    <cellStyle name="Normal 2 2 2 2 2 2 22 3 9" xfId="11138" xr:uid="{00000000-0005-0000-0000-0000822B0000}"/>
    <cellStyle name="Normal 2 2 2 2 2 2 22 4" xfId="11139" xr:uid="{00000000-0005-0000-0000-0000832B0000}"/>
    <cellStyle name="Normal 2 2 2 2 2 2 22 4 10" xfId="11140" xr:uid="{00000000-0005-0000-0000-0000842B0000}"/>
    <cellStyle name="Normal 2 2 2 2 2 2 22 4 2" xfId="11141" xr:uid="{00000000-0005-0000-0000-0000852B0000}"/>
    <cellStyle name="Normal 2 2 2 2 2 2 22 4 3" xfId="11142" xr:uid="{00000000-0005-0000-0000-0000862B0000}"/>
    <cellStyle name="Normal 2 2 2 2 2 2 22 4 4" xfId="11143" xr:uid="{00000000-0005-0000-0000-0000872B0000}"/>
    <cellStyle name="Normal 2 2 2 2 2 2 22 4 5" xfId="11144" xr:uid="{00000000-0005-0000-0000-0000882B0000}"/>
    <cellStyle name="Normal 2 2 2 2 2 2 22 4 6" xfId="11145" xr:uid="{00000000-0005-0000-0000-0000892B0000}"/>
    <cellStyle name="Normal 2 2 2 2 2 2 22 4 7" xfId="11146" xr:uid="{00000000-0005-0000-0000-00008A2B0000}"/>
    <cellStyle name="Normal 2 2 2 2 2 2 22 4 8" xfId="11147" xr:uid="{00000000-0005-0000-0000-00008B2B0000}"/>
    <cellStyle name="Normal 2 2 2 2 2 2 22 4 9" xfId="11148" xr:uid="{00000000-0005-0000-0000-00008C2B0000}"/>
    <cellStyle name="Normal 2 2 2 2 2 2 22 5" xfId="11149" xr:uid="{00000000-0005-0000-0000-00008D2B0000}"/>
    <cellStyle name="Normal 2 2 2 2 2 2 22 5 10" xfId="11150" xr:uid="{00000000-0005-0000-0000-00008E2B0000}"/>
    <cellStyle name="Normal 2 2 2 2 2 2 22 5 2" xfId="11151" xr:uid="{00000000-0005-0000-0000-00008F2B0000}"/>
    <cellStyle name="Normal 2 2 2 2 2 2 22 5 3" xfId="11152" xr:uid="{00000000-0005-0000-0000-0000902B0000}"/>
    <cellStyle name="Normal 2 2 2 2 2 2 22 5 4" xfId="11153" xr:uid="{00000000-0005-0000-0000-0000912B0000}"/>
    <cellStyle name="Normal 2 2 2 2 2 2 22 5 5" xfId="11154" xr:uid="{00000000-0005-0000-0000-0000922B0000}"/>
    <cellStyle name="Normal 2 2 2 2 2 2 22 5 6" xfId="11155" xr:uid="{00000000-0005-0000-0000-0000932B0000}"/>
    <cellStyle name="Normal 2 2 2 2 2 2 22 5 7" xfId="11156" xr:uid="{00000000-0005-0000-0000-0000942B0000}"/>
    <cellStyle name="Normal 2 2 2 2 2 2 22 5 8" xfId="11157" xr:uid="{00000000-0005-0000-0000-0000952B0000}"/>
    <cellStyle name="Normal 2 2 2 2 2 2 22 5 9" xfId="11158" xr:uid="{00000000-0005-0000-0000-0000962B0000}"/>
    <cellStyle name="Normal 2 2 2 2 2 2 22 6" xfId="11159" xr:uid="{00000000-0005-0000-0000-0000972B0000}"/>
    <cellStyle name="Normal 2 2 2 2 2 2 22 7" xfId="11160" xr:uid="{00000000-0005-0000-0000-0000982B0000}"/>
    <cellStyle name="Normal 2 2 2 2 2 2 22 8" xfId="11161" xr:uid="{00000000-0005-0000-0000-0000992B0000}"/>
    <cellStyle name="Normal 2 2 2 2 2 2 22 9" xfId="11162" xr:uid="{00000000-0005-0000-0000-00009A2B0000}"/>
    <cellStyle name="Normal 2 2 2 2 2 2 23" xfId="11163" xr:uid="{00000000-0005-0000-0000-00009B2B0000}"/>
    <cellStyle name="Normal 2 2 2 2 2 2 23 10" xfId="11164" xr:uid="{00000000-0005-0000-0000-00009C2B0000}"/>
    <cellStyle name="Normal 2 2 2 2 2 2 23 11" xfId="11165" xr:uid="{00000000-0005-0000-0000-00009D2B0000}"/>
    <cellStyle name="Normal 2 2 2 2 2 2 23 12" xfId="11166" xr:uid="{00000000-0005-0000-0000-00009E2B0000}"/>
    <cellStyle name="Normal 2 2 2 2 2 2 23 13" xfId="11167" xr:uid="{00000000-0005-0000-0000-00009F2B0000}"/>
    <cellStyle name="Normal 2 2 2 2 2 2 23 14" xfId="11168" xr:uid="{00000000-0005-0000-0000-0000A02B0000}"/>
    <cellStyle name="Normal 2 2 2 2 2 2 23 2" xfId="11169" xr:uid="{00000000-0005-0000-0000-0000A12B0000}"/>
    <cellStyle name="Normal 2 2 2 2 2 2 23 2 10" xfId="11170" xr:uid="{00000000-0005-0000-0000-0000A22B0000}"/>
    <cellStyle name="Normal 2 2 2 2 2 2 23 2 2" xfId="11171" xr:uid="{00000000-0005-0000-0000-0000A32B0000}"/>
    <cellStyle name="Normal 2 2 2 2 2 2 23 2 3" xfId="11172" xr:uid="{00000000-0005-0000-0000-0000A42B0000}"/>
    <cellStyle name="Normal 2 2 2 2 2 2 23 2 4" xfId="11173" xr:uid="{00000000-0005-0000-0000-0000A52B0000}"/>
    <cellStyle name="Normal 2 2 2 2 2 2 23 2 5" xfId="11174" xr:uid="{00000000-0005-0000-0000-0000A62B0000}"/>
    <cellStyle name="Normal 2 2 2 2 2 2 23 2 6" xfId="11175" xr:uid="{00000000-0005-0000-0000-0000A72B0000}"/>
    <cellStyle name="Normal 2 2 2 2 2 2 23 2 7" xfId="11176" xr:uid="{00000000-0005-0000-0000-0000A82B0000}"/>
    <cellStyle name="Normal 2 2 2 2 2 2 23 2 8" xfId="11177" xr:uid="{00000000-0005-0000-0000-0000A92B0000}"/>
    <cellStyle name="Normal 2 2 2 2 2 2 23 2 9" xfId="11178" xr:uid="{00000000-0005-0000-0000-0000AA2B0000}"/>
    <cellStyle name="Normal 2 2 2 2 2 2 23 3" xfId="11179" xr:uid="{00000000-0005-0000-0000-0000AB2B0000}"/>
    <cellStyle name="Normal 2 2 2 2 2 2 23 3 10" xfId="11180" xr:uid="{00000000-0005-0000-0000-0000AC2B0000}"/>
    <cellStyle name="Normal 2 2 2 2 2 2 23 3 2" xfId="11181" xr:uid="{00000000-0005-0000-0000-0000AD2B0000}"/>
    <cellStyle name="Normal 2 2 2 2 2 2 23 3 3" xfId="11182" xr:uid="{00000000-0005-0000-0000-0000AE2B0000}"/>
    <cellStyle name="Normal 2 2 2 2 2 2 23 3 4" xfId="11183" xr:uid="{00000000-0005-0000-0000-0000AF2B0000}"/>
    <cellStyle name="Normal 2 2 2 2 2 2 23 3 5" xfId="11184" xr:uid="{00000000-0005-0000-0000-0000B02B0000}"/>
    <cellStyle name="Normal 2 2 2 2 2 2 23 3 6" xfId="11185" xr:uid="{00000000-0005-0000-0000-0000B12B0000}"/>
    <cellStyle name="Normal 2 2 2 2 2 2 23 3 7" xfId="11186" xr:uid="{00000000-0005-0000-0000-0000B22B0000}"/>
    <cellStyle name="Normal 2 2 2 2 2 2 23 3 8" xfId="11187" xr:uid="{00000000-0005-0000-0000-0000B32B0000}"/>
    <cellStyle name="Normal 2 2 2 2 2 2 23 3 9" xfId="11188" xr:uid="{00000000-0005-0000-0000-0000B42B0000}"/>
    <cellStyle name="Normal 2 2 2 2 2 2 23 4" xfId="11189" xr:uid="{00000000-0005-0000-0000-0000B52B0000}"/>
    <cellStyle name="Normal 2 2 2 2 2 2 23 4 10" xfId="11190" xr:uid="{00000000-0005-0000-0000-0000B62B0000}"/>
    <cellStyle name="Normal 2 2 2 2 2 2 23 4 2" xfId="11191" xr:uid="{00000000-0005-0000-0000-0000B72B0000}"/>
    <cellStyle name="Normal 2 2 2 2 2 2 23 4 3" xfId="11192" xr:uid="{00000000-0005-0000-0000-0000B82B0000}"/>
    <cellStyle name="Normal 2 2 2 2 2 2 23 4 4" xfId="11193" xr:uid="{00000000-0005-0000-0000-0000B92B0000}"/>
    <cellStyle name="Normal 2 2 2 2 2 2 23 4 5" xfId="11194" xr:uid="{00000000-0005-0000-0000-0000BA2B0000}"/>
    <cellStyle name="Normal 2 2 2 2 2 2 23 4 6" xfId="11195" xr:uid="{00000000-0005-0000-0000-0000BB2B0000}"/>
    <cellStyle name="Normal 2 2 2 2 2 2 23 4 7" xfId="11196" xr:uid="{00000000-0005-0000-0000-0000BC2B0000}"/>
    <cellStyle name="Normal 2 2 2 2 2 2 23 4 8" xfId="11197" xr:uid="{00000000-0005-0000-0000-0000BD2B0000}"/>
    <cellStyle name="Normal 2 2 2 2 2 2 23 4 9" xfId="11198" xr:uid="{00000000-0005-0000-0000-0000BE2B0000}"/>
    <cellStyle name="Normal 2 2 2 2 2 2 23 5" xfId="11199" xr:uid="{00000000-0005-0000-0000-0000BF2B0000}"/>
    <cellStyle name="Normal 2 2 2 2 2 2 23 5 10" xfId="11200" xr:uid="{00000000-0005-0000-0000-0000C02B0000}"/>
    <cellStyle name="Normal 2 2 2 2 2 2 23 5 2" xfId="11201" xr:uid="{00000000-0005-0000-0000-0000C12B0000}"/>
    <cellStyle name="Normal 2 2 2 2 2 2 23 5 3" xfId="11202" xr:uid="{00000000-0005-0000-0000-0000C22B0000}"/>
    <cellStyle name="Normal 2 2 2 2 2 2 23 5 4" xfId="11203" xr:uid="{00000000-0005-0000-0000-0000C32B0000}"/>
    <cellStyle name="Normal 2 2 2 2 2 2 23 5 5" xfId="11204" xr:uid="{00000000-0005-0000-0000-0000C42B0000}"/>
    <cellStyle name="Normal 2 2 2 2 2 2 23 5 6" xfId="11205" xr:uid="{00000000-0005-0000-0000-0000C52B0000}"/>
    <cellStyle name="Normal 2 2 2 2 2 2 23 5 7" xfId="11206" xr:uid="{00000000-0005-0000-0000-0000C62B0000}"/>
    <cellStyle name="Normal 2 2 2 2 2 2 23 5 8" xfId="11207" xr:uid="{00000000-0005-0000-0000-0000C72B0000}"/>
    <cellStyle name="Normal 2 2 2 2 2 2 23 5 9" xfId="11208" xr:uid="{00000000-0005-0000-0000-0000C82B0000}"/>
    <cellStyle name="Normal 2 2 2 2 2 2 23 6" xfId="11209" xr:uid="{00000000-0005-0000-0000-0000C92B0000}"/>
    <cellStyle name="Normal 2 2 2 2 2 2 23 7" xfId="11210" xr:uid="{00000000-0005-0000-0000-0000CA2B0000}"/>
    <cellStyle name="Normal 2 2 2 2 2 2 23 8" xfId="11211" xr:uid="{00000000-0005-0000-0000-0000CB2B0000}"/>
    <cellStyle name="Normal 2 2 2 2 2 2 23 9" xfId="11212" xr:uid="{00000000-0005-0000-0000-0000CC2B0000}"/>
    <cellStyle name="Normal 2 2 2 2 2 2 24" xfId="11213" xr:uid="{00000000-0005-0000-0000-0000CD2B0000}"/>
    <cellStyle name="Normal 2 2 2 2 2 2 24 10" xfId="11214" xr:uid="{00000000-0005-0000-0000-0000CE2B0000}"/>
    <cellStyle name="Normal 2 2 2 2 2 2 24 11" xfId="11215" xr:uid="{00000000-0005-0000-0000-0000CF2B0000}"/>
    <cellStyle name="Normal 2 2 2 2 2 2 24 12" xfId="11216" xr:uid="{00000000-0005-0000-0000-0000D02B0000}"/>
    <cellStyle name="Normal 2 2 2 2 2 2 24 13" xfId="11217" xr:uid="{00000000-0005-0000-0000-0000D12B0000}"/>
    <cellStyle name="Normal 2 2 2 2 2 2 24 14" xfId="11218" xr:uid="{00000000-0005-0000-0000-0000D22B0000}"/>
    <cellStyle name="Normal 2 2 2 2 2 2 24 2" xfId="11219" xr:uid="{00000000-0005-0000-0000-0000D32B0000}"/>
    <cellStyle name="Normal 2 2 2 2 2 2 24 2 10" xfId="11220" xr:uid="{00000000-0005-0000-0000-0000D42B0000}"/>
    <cellStyle name="Normal 2 2 2 2 2 2 24 2 2" xfId="11221" xr:uid="{00000000-0005-0000-0000-0000D52B0000}"/>
    <cellStyle name="Normal 2 2 2 2 2 2 24 2 3" xfId="11222" xr:uid="{00000000-0005-0000-0000-0000D62B0000}"/>
    <cellStyle name="Normal 2 2 2 2 2 2 24 2 4" xfId="11223" xr:uid="{00000000-0005-0000-0000-0000D72B0000}"/>
    <cellStyle name="Normal 2 2 2 2 2 2 24 2 5" xfId="11224" xr:uid="{00000000-0005-0000-0000-0000D82B0000}"/>
    <cellStyle name="Normal 2 2 2 2 2 2 24 2 6" xfId="11225" xr:uid="{00000000-0005-0000-0000-0000D92B0000}"/>
    <cellStyle name="Normal 2 2 2 2 2 2 24 2 7" xfId="11226" xr:uid="{00000000-0005-0000-0000-0000DA2B0000}"/>
    <cellStyle name="Normal 2 2 2 2 2 2 24 2 8" xfId="11227" xr:uid="{00000000-0005-0000-0000-0000DB2B0000}"/>
    <cellStyle name="Normal 2 2 2 2 2 2 24 2 9" xfId="11228" xr:uid="{00000000-0005-0000-0000-0000DC2B0000}"/>
    <cellStyle name="Normal 2 2 2 2 2 2 24 3" xfId="11229" xr:uid="{00000000-0005-0000-0000-0000DD2B0000}"/>
    <cellStyle name="Normal 2 2 2 2 2 2 24 3 10" xfId="11230" xr:uid="{00000000-0005-0000-0000-0000DE2B0000}"/>
    <cellStyle name="Normal 2 2 2 2 2 2 24 3 2" xfId="11231" xr:uid="{00000000-0005-0000-0000-0000DF2B0000}"/>
    <cellStyle name="Normal 2 2 2 2 2 2 24 3 3" xfId="11232" xr:uid="{00000000-0005-0000-0000-0000E02B0000}"/>
    <cellStyle name="Normal 2 2 2 2 2 2 24 3 4" xfId="11233" xr:uid="{00000000-0005-0000-0000-0000E12B0000}"/>
    <cellStyle name="Normal 2 2 2 2 2 2 24 3 5" xfId="11234" xr:uid="{00000000-0005-0000-0000-0000E22B0000}"/>
    <cellStyle name="Normal 2 2 2 2 2 2 24 3 6" xfId="11235" xr:uid="{00000000-0005-0000-0000-0000E32B0000}"/>
    <cellStyle name="Normal 2 2 2 2 2 2 24 3 7" xfId="11236" xr:uid="{00000000-0005-0000-0000-0000E42B0000}"/>
    <cellStyle name="Normal 2 2 2 2 2 2 24 3 8" xfId="11237" xr:uid="{00000000-0005-0000-0000-0000E52B0000}"/>
    <cellStyle name="Normal 2 2 2 2 2 2 24 3 9" xfId="11238" xr:uid="{00000000-0005-0000-0000-0000E62B0000}"/>
    <cellStyle name="Normal 2 2 2 2 2 2 24 4" xfId="11239" xr:uid="{00000000-0005-0000-0000-0000E72B0000}"/>
    <cellStyle name="Normal 2 2 2 2 2 2 24 4 10" xfId="11240" xr:uid="{00000000-0005-0000-0000-0000E82B0000}"/>
    <cellStyle name="Normal 2 2 2 2 2 2 24 4 2" xfId="11241" xr:uid="{00000000-0005-0000-0000-0000E92B0000}"/>
    <cellStyle name="Normal 2 2 2 2 2 2 24 4 3" xfId="11242" xr:uid="{00000000-0005-0000-0000-0000EA2B0000}"/>
    <cellStyle name="Normal 2 2 2 2 2 2 24 4 4" xfId="11243" xr:uid="{00000000-0005-0000-0000-0000EB2B0000}"/>
    <cellStyle name="Normal 2 2 2 2 2 2 24 4 5" xfId="11244" xr:uid="{00000000-0005-0000-0000-0000EC2B0000}"/>
    <cellStyle name="Normal 2 2 2 2 2 2 24 4 6" xfId="11245" xr:uid="{00000000-0005-0000-0000-0000ED2B0000}"/>
    <cellStyle name="Normal 2 2 2 2 2 2 24 4 7" xfId="11246" xr:uid="{00000000-0005-0000-0000-0000EE2B0000}"/>
    <cellStyle name="Normal 2 2 2 2 2 2 24 4 8" xfId="11247" xr:uid="{00000000-0005-0000-0000-0000EF2B0000}"/>
    <cellStyle name="Normal 2 2 2 2 2 2 24 4 9" xfId="11248" xr:uid="{00000000-0005-0000-0000-0000F02B0000}"/>
    <cellStyle name="Normal 2 2 2 2 2 2 24 5" xfId="11249" xr:uid="{00000000-0005-0000-0000-0000F12B0000}"/>
    <cellStyle name="Normal 2 2 2 2 2 2 24 5 10" xfId="11250" xr:uid="{00000000-0005-0000-0000-0000F22B0000}"/>
    <cellStyle name="Normal 2 2 2 2 2 2 24 5 2" xfId="11251" xr:uid="{00000000-0005-0000-0000-0000F32B0000}"/>
    <cellStyle name="Normal 2 2 2 2 2 2 24 5 3" xfId="11252" xr:uid="{00000000-0005-0000-0000-0000F42B0000}"/>
    <cellStyle name="Normal 2 2 2 2 2 2 24 5 4" xfId="11253" xr:uid="{00000000-0005-0000-0000-0000F52B0000}"/>
    <cellStyle name="Normal 2 2 2 2 2 2 24 5 5" xfId="11254" xr:uid="{00000000-0005-0000-0000-0000F62B0000}"/>
    <cellStyle name="Normal 2 2 2 2 2 2 24 5 6" xfId="11255" xr:uid="{00000000-0005-0000-0000-0000F72B0000}"/>
    <cellStyle name="Normal 2 2 2 2 2 2 24 5 7" xfId="11256" xr:uid="{00000000-0005-0000-0000-0000F82B0000}"/>
    <cellStyle name="Normal 2 2 2 2 2 2 24 5 8" xfId="11257" xr:uid="{00000000-0005-0000-0000-0000F92B0000}"/>
    <cellStyle name="Normal 2 2 2 2 2 2 24 5 9" xfId="11258" xr:uid="{00000000-0005-0000-0000-0000FA2B0000}"/>
    <cellStyle name="Normal 2 2 2 2 2 2 24 6" xfId="11259" xr:uid="{00000000-0005-0000-0000-0000FB2B0000}"/>
    <cellStyle name="Normal 2 2 2 2 2 2 24 7" xfId="11260" xr:uid="{00000000-0005-0000-0000-0000FC2B0000}"/>
    <cellStyle name="Normal 2 2 2 2 2 2 24 8" xfId="11261" xr:uid="{00000000-0005-0000-0000-0000FD2B0000}"/>
    <cellStyle name="Normal 2 2 2 2 2 2 24 9" xfId="11262" xr:uid="{00000000-0005-0000-0000-0000FE2B0000}"/>
    <cellStyle name="Normal 2 2 2 2 2 2 25" xfId="11263" xr:uid="{00000000-0005-0000-0000-0000FF2B0000}"/>
    <cellStyle name="Normal 2 2 2 2 2 2 25 10" xfId="11264" xr:uid="{00000000-0005-0000-0000-0000002C0000}"/>
    <cellStyle name="Normal 2 2 2 2 2 2 25 11" xfId="11265" xr:uid="{00000000-0005-0000-0000-0000012C0000}"/>
    <cellStyle name="Normal 2 2 2 2 2 2 25 12" xfId="11266" xr:uid="{00000000-0005-0000-0000-0000022C0000}"/>
    <cellStyle name="Normal 2 2 2 2 2 2 25 13" xfId="11267" xr:uid="{00000000-0005-0000-0000-0000032C0000}"/>
    <cellStyle name="Normal 2 2 2 2 2 2 25 14" xfId="11268" xr:uid="{00000000-0005-0000-0000-0000042C0000}"/>
    <cellStyle name="Normal 2 2 2 2 2 2 25 2" xfId="11269" xr:uid="{00000000-0005-0000-0000-0000052C0000}"/>
    <cellStyle name="Normal 2 2 2 2 2 2 25 2 10" xfId="11270" xr:uid="{00000000-0005-0000-0000-0000062C0000}"/>
    <cellStyle name="Normal 2 2 2 2 2 2 25 2 2" xfId="11271" xr:uid="{00000000-0005-0000-0000-0000072C0000}"/>
    <cellStyle name="Normal 2 2 2 2 2 2 25 2 3" xfId="11272" xr:uid="{00000000-0005-0000-0000-0000082C0000}"/>
    <cellStyle name="Normal 2 2 2 2 2 2 25 2 4" xfId="11273" xr:uid="{00000000-0005-0000-0000-0000092C0000}"/>
    <cellStyle name="Normal 2 2 2 2 2 2 25 2 5" xfId="11274" xr:uid="{00000000-0005-0000-0000-00000A2C0000}"/>
    <cellStyle name="Normal 2 2 2 2 2 2 25 2 6" xfId="11275" xr:uid="{00000000-0005-0000-0000-00000B2C0000}"/>
    <cellStyle name="Normal 2 2 2 2 2 2 25 2 7" xfId="11276" xr:uid="{00000000-0005-0000-0000-00000C2C0000}"/>
    <cellStyle name="Normal 2 2 2 2 2 2 25 2 8" xfId="11277" xr:uid="{00000000-0005-0000-0000-00000D2C0000}"/>
    <cellStyle name="Normal 2 2 2 2 2 2 25 2 9" xfId="11278" xr:uid="{00000000-0005-0000-0000-00000E2C0000}"/>
    <cellStyle name="Normal 2 2 2 2 2 2 25 3" xfId="11279" xr:uid="{00000000-0005-0000-0000-00000F2C0000}"/>
    <cellStyle name="Normal 2 2 2 2 2 2 25 3 10" xfId="11280" xr:uid="{00000000-0005-0000-0000-0000102C0000}"/>
    <cellStyle name="Normal 2 2 2 2 2 2 25 3 2" xfId="11281" xr:uid="{00000000-0005-0000-0000-0000112C0000}"/>
    <cellStyle name="Normal 2 2 2 2 2 2 25 3 3" xfId="11282" xr:uid="{00000000-0005-0000-0000-0000122C0000}"/>
    <cellStyle name="Normal 2 2 2 2 2 2 25 3 4" xfId="11283" xr:uid="{00000000-0005-0000-0000-0000132C0000}"/>
    <cellStyle name="Normal 2 2 2 2 2 2 25 3 5" xfId="11284" xr:uid="{00000000-0005-0000-0000-0000142C0000}"/>
    <cellStyle name="Normal 2 2 2 2 2 2 25 3 6" xfId="11285" xr:uid="{00000000-0005-0000-0000-0000152C0000}"/>
    <cellStyle name="Normal 2 2 2 2 2 2 25 3 7" xfId="11286" xr:uid="{00000000-0005-0000-0000-0000162C0000}"/>
    <cellStyle name="Normal 2 2 2 2 2 2 25 3 8" xfId="11287" xr:uid="{00000000-0005-0000-0000-0000172C0000}"/>
    <cellStyle name="Normal 2 2 2 2 2 2 25 3 9" xfId="11288" xr:uid="{00000000-0005-0000-0000-0000182C0000}"/>
    <cellStyle name="Normal 2 2 2 2 2 2 25 4" xfId="11289" xr:uid="{00000000-0005-0000-0000-0000192C0000}"/>
    <cellStyle name="Normal 2 2 2 2 2 2 25 4 10" xfId="11290" xr:uid="{00000000-0005-0000-0000-00001A2C0000}"/>
    <cellStyle name="Normal 2 2 2 2 2 2 25 4 2" xfId="11291" xr:uid="{00000000-0005-0000-0000-00001B2C0000}"/>
    <cellStyle name="Normal 2 2 2 2 2 2 25 4 3" xfId="11292" xr:uid="{00000000-0005-0000-0000-00001C2C0000}"/>
    <cellStyle name="Normal 2 2 2 2 2 2 25 4 4" xfId="11293" xr:uid="{00000000-0005-0000-0000-00001D2C0000}"/>
    <cellStyle name="Normal 2 2 2 2 2 2 25 4 5" xfId="11294" xr:uid="{00000000-0005-0000-0000-00001E2C0000}"/>
    <cellStyle name="Normal 2 2 2 2 2 2 25 4 6" xfId="11295" xr:uid="{00000000-0005-0000-0000-00001F2C0000}"/>
    <cellStyle name="Normal 2 2 2 2 2 2 25 4 7" xfId="11296" xr:uid="{00000000-0005-0000-0000-0000202C0000}"/>
    <cellStyle name="Normal 2 2 2 2 2 2 25 4 8" xfId="11297" xr:uid="{00000000-0005-0000-0000-0000212C0000}"/>
    <cellStyle name="Normal 2 2 2 2 2 2 25 4 9" xfId="11298" xr:uid="{00000000-0005-0000-0000-0000222C0000}"/>
    <cellStyle name="Normal 2 2 2 2 2 2 25 5" xfId="11299" xr:uid="{00000000-0005-0000-0000-0000232C0000}"/>
    <cellStyle name="Normal 2 2 2 2 2 2 25 5 10" xfId="11300" xr:uid="{00000000-0005-0000-0000-0000242C0000}"/>
    <cellStyle name="Normal 2 2 2 2 2 2 25 5 2" xfId="11301" xr:uid="{00000000-0005-0000-0000-0000252C0000}"/>
    <cellStyle name="Normal 2 2 2 2 2 2 25 5 3" xfId="11302" xr:uid="{00000000-0005-0000-0000-0000262C0000}"/>
    <cellStyle name="Normal 2 2 2 2 2 2 25 5 4" xfId="11303" xr:uid="{00000000-0005-0000-0000-0000272C0000}"/>
    <cellStyle name="Normal 2 2 2 2 2 2 25 5 5" xfId="11304" xr:uid="{00000000-0005-0000-0000-0000282C0000}"/>
    <cellStyle name="Normal 2 2 2 2 2 2 25 5 6" xfId="11305" xr:uid="{00000000-0005-0000-0000-0000292C0000}"/>
    <cellStyle name="Normal 2 2 2 2 2 2 25 5 7" xfId="11306" xr:uid="{00000000-0005-0000-0000-00002A2C0000}"/>
    <cellStyle name="Normal 2 2 2 2 2 2 25 5 8" xfId="11307" xr:uid="{00000000-0005-0000-0000-00002B2C0000}"/>
    <cellStyle name="Normal 2 2 2 2 2 2 25 5 9" xfId="11308" xr:uid="{00000000-0005-0000-0000-00002C2C0000}"/>
    <cellStyle name="Normal 2 2 2 2 2 2 25 6" xfId="11309" xr:uid="{00000000-0005-0000-0000-00002D2C0000}"/>
    <cellStyle name="Normal 2 2 2 2 2 2 25 7" xfId="11310" xr:uid="{00000000-0005-0000-0000-00002E2C0000}"/>
    <cellStyle name="Normal 2 2 2 2 2 2 25 8" xfId="11311" xr:uid="{00000000-0005-0000-0000-00002F2C0000}"/>
    <cellStyle name="Normal 2 2 2 2 2 2 25 9" xfId="11312" xr:uid="{00000000-0005-0000-0000-0000302C0000}"/>
    <cellStyle name="Normal 2 2 2 2 2 2 26" xfId="11313" xr:uid="{00000000-0005-0000-0000-0000312C0000}"/>
    <cellStyle name="Normal 2 2 2 2 2 2 26 10" xfId="11314" xr:uid="{00000000-0005-0000-0000-0000322C0000}"/>
    <cellStyle name="Normal 2 2 2 2 2 2 26 11" xfId="11315" xr:uid="{00000000-0005-0000-0000-0000332C0000}"/>
    <cellStyle name="Normal 2 2 2 2 2 2 26 12" xfId="11316" xr:uid="{00000000-0005-0000-0000-0000342C0000}"/>
    <cellStyle name="Normal 2 2 2 2 2 2 26 13" xfId="11317" xr:uid="{00000000-0005-0000-0000-0000352C0000}"/>
    <cellStyle name="Normal 2 2 2 2 2 2 26 14" xfId="11318" xr:uid="{00000000-0005-0000-0000-0000362C0000}"/>
    <cellStyle name="Normal 2 2 2 2 2 2 26 2" xfId="11319" xr:uid="{00000000-0005-0000-0000-0000372C0000}"/>
    <cellStyle name="Normal 2 2 2 2 2 2 26 2 10" xfId="11320" xr:uid="{00000000-0005-0000-0000-0000382C0000}"/>
    <cellStyle name="Normal 2 2 2 2 2 2 26 2 2" xfId="11321" xr:uid="{00000000-0005-0000-0000-0000392C0000}"/>
    <cellStyle name="Normal 2 2 2 2 2 2 26 2 3" xfId="11322" xr:uid="{00000000-0005-0000-0000-00003A2C0000}"/>
    <cellStyle name="Normal 2 2 2 2 2 2 26 2 4" xfId="11323" xr:uid="{00000000-0005-0000-0000-00003B2C0000}"/>
    <cellStyle name="Normal 2 2 2 2 2 2 26 2 5" xfId="11324" xr:uid="{00000000-0005-0000-0000-00003C2C0000}"/>
    <cellStyle name="Normal 2 2 2 2 2 2 26 2 6" xfId="11325" xr:uid="{00000000-0005-0000-0000-00003D2C0000}"/>
    <cellStyle name="Normal 2 2 2 2 2 2 26 2 7" xfId="11326" xr:uid="{00000000-0005-0000-0000-00003E2C0000}"/>
    <cellStyle name="Normal 2 2 2 2 2 2 26 2 8" xfId="11327" xr:uid="{00000000-0005-0000-0000-00003F2C0000}"/>
    <cellStyle name="Normal 2 2 2 2 2 2 26 2 9" xfId="11328" xr:uid="{00000000-0005-0000-0000-0000402C0000}"/>
    <cellStyle name="Normal 2 2 2 2 2 2 26 3" xfId="11329" xr:uid="{00000000-0005-0000-0000-0000412C0000}"/>
    <cellStyle name="Normal 2 2 2 2 2 2 26 3 10" xfId="11330" xr:uid="{00000000-0005-0000-0000-0000422C0000}"/>
    <cellStyle name="Normal 2 2 2 2 2 2 26 3 2" xfId="11331" xr:uid="{00000000-0005-0000-0000-0000432C0000}"/>
    <cellStyle name="Normal 2 2 2 2 2 2 26 3 3" xfId="11332" xr:uid="{00000000-0005-0000-0000-0000442C0000}"/>
    <cellStyle name="Normal 2 2 2 2 2 2 26 3 4" xfId="11333" xr:uid="{00000000-0005-0000-0000-0000452C0000}"/>
    <cellStyle name="Normal 2 2 2 2 2 2 26 3 5" xfId="11334" xr:uid="{00000000-0005-0000-0000-0000462C0000}"/>
    <cellStyle name="Normal 2 2 2 2 2 2 26 3 6" xfId="11335" xr:uid="{00000000-0005-0000-0000-0000472C0000}"/>
    <cellStyle name="Normal 2 2 2 2 2 2 26 3 7" xfId="11336" xr:uid="{00000000-0005-0000-0000-0000482C0000}"/>
    <cellStyle name="Normal 2 2 2 2 2 2 26 3 8" xfId="11337" xr:uid="{00000000-0005-0000-0000-0000492C0000}"/>
    <cellStyle name="Normal 2 2 2 2 2 2 26 3 9" xfId="11338" xr:uid="{00000000-0005-0000-0000-00004A2C0000}"/>
    <cellStyle name="Normal 2 2 2 2 2 2 26 4" xfId="11339" xr:uid="{00000000-0005-0000-0000-00004B2C0000}"/>
    <cellStyle name="Normal 2 2 2 2 2 2 26 4 10" xfId="11340" xr:uid="{00000000-0005-0000-0000-00004C2C0000}"/>
    <cellStyle name="Normal 2 2 2 2 2 2 26 4 2" xfId="11341" xr:uid="{00000000-0005-0000-0000-00004D2C0000}"/>
    <cellStyle name="Normal 2 2 2 2 2 2 26 4 3" xfId="11342" xr:uid="{00000000-0005-0000-0000-00004E2C0000}"/>
    <cellStyle name="Normal 2 2 2 2 2 2 26 4 4" xfId="11343" xr:uid="{00000000-0005-0000-0000-00004F2C0000}"/>
    <cellStyle name="Normal 2 2 2 2 2 2 26 4 5" xfId="11344" xr:uid="{00000000-0005-0000-0000-0000502C0000}"/>
    <cellStyle name="Normal 2 2 2 2 2 2 26 4 6" xfId="11345" xr:uid="{00000000-0005-0000-0000-0000512C0000}"/>
    <cellStyle name="Normal 2 2 2 2 2 2 26 4 7" xfId="11346" xr:uid="{00000000-0005-0000-0000-0000522C0000}"/>
    <cellStyle name="Normal 2 2 2 2 2 2 26 4 8" xfId="11347" xr:uid="{00000000-0005-0000-0000-0000532C0000}"/>
    <cellStyle name="Normal 2 2 2 2 2 2 26 4 9" xfId="11348" xr:uid="{00000000-0005-0000-0000-0000542C0000}"/>
    <cellStyle name="Normal 2 2 2 2 2 2 26 5" xfId="11349" xr:uid="{00000000-0005-0000-0000-0000552C0000}"/>
    <cellStyle name="Normal 2 2 2 2 2 2 26 5 10" xfId="11350" xr:uid="{00000000-0005-0000-0000-0000562C0000}"/>
    <cellStyle name="Normal 2 2 2 2 2 2 26 5 2" xfId="11351" xr:uid="{00000000-0005-0000-0000-0000572C0000}"/>
    <cellStyle name="Normal 2 2 2 2 2 2 26 5 3" xfId="11352" xr:uid="{00000000-0005-0000-0000-0000582C0000}"/>
    <cellStyle name="Normal 2 2 2 2 2 2 26 5 4" xfId="11353" xr:uid="{00000000-0005-0000-0000-0000592C0000}"/>
    <cellStyle name="Normal 2 2 2 2 2 2 26 5 5" xfId="11354" xr:uid="{00000000-0005-0000-0000-00005A2C0000}"/>
    <cellStyle name="Normal 2 2 2 2 2 2 26 5 6" xfId="11355" xr:uid="{00000000-0005-0000-0000-00005B2C0000}"/>
    <cellStyle name="Normal 2 2 2 2 2 2 26 5 7" xfId="11356" xr:uid="{00000000-0005-0000-0000-00005C2C0000}"/>
    <cellStyle name="Normal 2 2 2 2 2 2 26 5 8" xfId="11357" xr:uid="{00000000-0005-0000-0000-00005D2C0000}"/>
    <cellStyle name="Normal 2 2 2 2 2 2 26 5 9" xfId="11358" xr:uid="{00000000-0005-0000-0000-00005E2C0000}"/>
    <cellStyle name="Normal 2 2 2 2 2 2 26 6" xfId="11359" xr:uid="{00000000-0005-0000-0000-00005F2C0000}"/>
    <cellStyle name="Normal 2 2 2 2 2 2 26 7" xfId="11360" xr:uid="{00000000-0005-0000-0000-0000602C0000}"/>
    <cellStyle name="Normal 2 2 2 2 2 2 26 8" xfId="11361" xr:uid="{00000000-0005-0000-0000-0000612C0000}"/>
    <cellStyle name="Normal 2 2 2 2 2 2 26 9" xfId="11362" xr:uid="{00000000-0005-0000-0000-0000622C0000}"/>
    <cellStyle name="Normal 2 2 2 2 2 2 27" xfId="11363" xr:uid="{00000000-0005-0000-0000-0000632C0000}"/>
    <cellStyle name="Normal 2 2 2 2 2 2 27 10" xfId="11364" xr:uid="{00000000-0005-0000-0000-0000642C0000}"/>
    <cellStyle name="Normal 2 2 2 2 2 2 27 11" xfId="11365" xr:uid="{00000000-0005-0000-0000-0000652C0000}"/>
    <cellStyle name="Normal 2 2 2 2 2 2 27 12" xfId="11366" xr:uid="{00000000-0005-0000-0000-0000662C0000}"/>
    <cellStyle name="Normal 2 2 2 2 2 2 27 13" xfId="11367" xr:uid="{00000000-0005-0000-0000-0000672C0000}"/>
    <cellStyle name="Normal 2 2 2 2 2 2 27 14" xfId="11368" xr:uid="{00000000-0005-0000-0000-0000682C0000}"/>
    <cellStyle name="Normal 2 2 2 2 2 2 27 2" xfId="11369" xr:uid="{00000000-0005-0000-0000-0000692C0000}"/>
    <cellStyle name="Normal 2 2 2 2 2 2 27 2 10" xfId="11370" xr:uid="{00000000-0005-0000-0000-00006A2C0000}"/>
    <cellStyle name="Normal 2 2 2 2 2 2 27 2 2" xfId="11371" xr:uid="{00000000-0005-0000-0000-00006B2C0000}"/>
    <cellStyle name="Normal 2 2 2 2 2 2 27 2 3" xfId="11372" xr:uid="{00000000-0005-0000-0000-00006C2C0000}"/>
    <cellStyle name="Normal 2 2 2 2 2 2 27 2 4" xfId="11373" xr:uid="{00000000-0005-0000-0000-00006D2C0000}"/>
    <cellStyle name="Normal 2 2 2 2 2 2 27 2 5" xfId="11374" xr:uid="{00000000-0005-0000-0000-00006E2C0000}"/>
    <cellStyle name="Normal 2 2 2 2 2 2 27 2 6" xfId="11375" xr:uid="{00000000-0005-0000-0000-00006F2C0000}"/>
    <cellStyle name="Normal 2 2 2 2 2 2 27 2 7" xfId="11376" xr:uid="{00000000-0005-0000-0000-0000702C0000}"/>
    <cellStyle name="Normal 2 2 2 2 2 2 27 2 8" xfId="11377" xr:uid="{00000000-0005-0000-0000-0000712C0000}"/>
    <cellStyle name="Normal 2 2 2 2 2 2 27 2 9" xfId="11378" xr:uid="{00000000-0005-0000-0000-0000722C0000}"/>
    <cellStyle name="Normal 2 2 2 2 2 2 27 3" xfId="11379" xr:uid="{00000000-0005-0000-0000-0000732C0000}"/>
    <cellStyle name="Normal 2 2 2 2 2 2 27 3 10" xfId="11380" xr:uid="{00000000-0005-0000-0000-0000742C0000}"/>
    <cellStyle name="Normal 2 2 2 2 2 2 27 3 2" xfId="11381" xr:uid="{00000000-0005-0000-0000-0000752C0000}"/>
    <cellStyle name="Normal 2 2 2 2 2 2 27 3 3" xfId="11382" xr:uid="{00000000-0005-0000-0000-0000762C0000}"/>
    <cellStyle name="Normal 2 2 2 2 2 2 27 3 4" xfId="11383" xr:uid="{00000000-0005-0000-0000-0000772C0000}"/>
    <cellStyle name="Normal 2 2 2 2 2 2 27 3 5" xfId="11384" xr:uid="{00000000-0005-0000-0000-0000782C0000}"/>
    <cellStyle name="Normal 2 2 2 2 2 2 27 3 6" xfId="11385" xr:uid="{00000000-0005-0000-0000-0000792C0000}"/>
    <cellStyle name="Normal 2 2 2 2 2 2 27 3 7" xfId="11386" xr:uid="{00000000-0005-0000-0000-00007A2C0000}"/>
    <cellStyle name="Normal 2 2 2 2 2 2 27 3 8" xfId="11387" xr:uid="{00000000-0005-0000-0000-00007B2C0000}"/>
    <cellStyle name="Normal 2 2 2 2 2 2 27 3 9" xfId="11388" xr:uid="{00000000-0005-0000-0000-00007C2C0000}"/>
    <cellStyle name="Normal 2 2 2 2 2 2 27 4" xfId="11389" xr:uid="{00000000-0005-0000-0000-00007D2C0000}"/>
    <cellStyle name="Normal 2 2 2 2 2 2 27 4 10" xfId="11390" xr:uid="{00000000-0005-0000-0000-00007E2C0000}"/>
    <cellStyle name="Normal 2 2 2 2 2 2 27 4 2" xfId="11391" xr:uid="{00000000-0005-0000-0000-00007F2C0000}"/>
    <cellStyle name="Normal 2 2 2 2 2 2 27 4 3" xfId="11392" xr:uid="{00000000-0005-0000-0000-0000802C0000}"/>
    <cellStyle name="Normal 2 2 2 2 2 2 27 4 4" xfId="11393" xr:uid="{00000000-0005-0000-0000-0000812C0000}"/>
    <cellStyle name="Normal 2 2 2 2 2 2 27 4 5" xfId="11394" xr:uid="{00000000-0005-0000-0000-0000822C0000}"/>
    <cellStyle name="Normal 2 2 2 2 2 2 27 4 6" xfId="11395" xr:uid="{00000000-0005-0000-0000-0000832C0000}"/>
    <cellStyle name="Normal 2 2 2 2 2 2 27 4 7" xfId="11396" xr:uid="{00000000-0005-0000-0000-0000842C0000}"/>
    <cellStyle name="Normal 2 2 2 2 2 2 27 4 8" xfId="11397" xr:uid="{00000000-0005-0000-0000-0000852C0000}"/>
    <cellStyle name="Normal 2 2 2 2 2 2 27 4 9" xfId="11398" xr:uid="{00000000-0005-0000-0000-0000862C0000}"/>
    <cellStyle name="Normal 2 2 2 2 2 2 27 5" xfId="11399" xr:uid="{00000000-0005-0000-0000-0000872C0000}"/>
    <cellStyle name="Normal 2 2 2 2 2 2 27 5 10" xfId="11400" xr:uid="{00000000-0005-0000-0000-0000882C0000}"/>
    <cellStyle name="Normal 2 2 2 2 2 2 27 5 2" xfId="11401" xr:uid="{00000000-0005-0000-0000-0000892C0000}"/>
    <cellStyle name="Normal 2 2 2 2 2 2 27 5 3" xfId="11402" xr:uid="{00000000-0005-0000-0000-00008A2C0000}"/>
    <cellStyle name="Normal 2 2 2 2 2 2 27 5 4" xfId="11403" xr:uid="{00000000-0005-0000-0000-00008B2C0000}"/>
    <cellStyle name="Normal 2 2 2 2 2 2 27 5 5" xfId="11404" xr:uid="{00000000-0005-0000-0000-00008C2C0000}"/>
    <cellStyle name="Normal 2 2 2 2 2 2 27 5 6" xfId="11405" xr:uid="{00000000-0005-0000-0000-00008D2C0000}"/>
    <cellStyle name="Normal 2 2 2 2 2 2 27 5 7" xfId="11406" xr:uid="{00000000-0005-0000-0000-00008E2C0000}"/>
    <cellStyle name="Normal 2 2 2 2 2 2 27 5 8" xfId="11407" xr:uid="{00000000-0005-0000-0000-00008F2C0000}"/>
    <cellStyle name="Normal 2 2 2 2 2 2 27 5 9" xfId="11408" xr:uid="{00000000-0005-0000-0000-0000902C0000}"/>
    <cellStyle name="Normal 2 2 2 2 2 2 27 6" xfId="11409" xr:uid="{00000000-0005-0000-0000-0000912C0000}"/>
    <cellStyle name="Normal 2 2 2 2 2 2 27 7" xfId="11410" xr:uid="{00000000-0005-0000-0000-0000922C0000}"/>
    <cellStyle name="Normal 2 2 2 2 2 2 27 8" xfId="11411" xr:uid="{00000000-0005-0000-0000-0000932C0000}"/>
    <cellStyle name="Normal 2 2 2 2 2 2 27 9" xfId="11412" xr:uid="{00000000-0005-0000-0000-0000942C0000}"/>
    <cellStyle name="Normal 2 2 2 2 2 2 28" xfId="11413" xr:uid="{00000000-0005-0000-0000-0000952C0000}"/>
    <cellStyle name="Normal 2 2 2 2 2 2 28 10" xfId="11414" xr:uid="{00000000-0005-0000-0000-0000962C0000}"/>
    <cellStyle name="Normal 2 2 2 2 2 2 28 11" xfId="11415" xr:uid="{00000000-0005-0000-0000-0000972C0000}"/>
    <cellStyle name="Normal 2 2 2 2 2 2 28 12" xfId="11416" xr:uid="{00000000-0005-0000-0000-0000982C0000}"/>
    <cellStyle name="Normal 2 2 2 2 2 2 28 13" xfId="11417" xr:uid="{00000000-0005-0000-0000-0000992C0000}"/>
    <cellStyle name="Normal 2 2 2 2 2 2 28 14" xfId="11418" xr:uid="{00000000-0005-0000-0000-00009A2C0000}"/>
    <cellStyle name="Normal 2 2 2 2 2 2 28 2" xfId="11419" xr:uid="{00000000-0005-0000-0000-00009B2C0000}"/>
    <cellStyle name="Normal 2 2 2 2 2 2 28 2 10" xfId="11420" xr:uid="{00000000-0005-0000-0000-00009C2C0000}"/>
    <cellStyle name="Normal 2 2 2 2 2 2 28 2 2" xfId="11421" xr:uid="{00000000-0005-0000-0000-00009D2C0000}"/>
    <cellStyle name="Normal 2 2 2 2 2 2 28 2 3" xfId="11422" xr:uid="{00000000-0005-0000-0000-00009E2C0000}"/>
    <cellStyle name="Normal 2 2 2 2 2 2 28 2 4" xfId="11423" xr:uid="{00000000-0005-0000-0000-00009F2C0000}"/>
    <cellStyle name="Normal 2 2 2 2 2 2 28 2 5" xfId="11424" xr:uid="{00000000-0005-0000-0000-0000A02C0000}"/>
    <cellStyle name="Normal 2 2 2 2 2 2 28 2 6" xfId="11425" xr:uid="{00000000-0005-0000-0000-0000A12C0000}"/>
    <cellStyle name="Normal 2 2 2 2 2 2 28 2 7" xfId="11426" xr:uid="{00000000-0005-0000-0000-0000A22C0000}"/>
    <cellStyle name="Normal 2 2 2 2 2 2 28 2 8" xfId="11427" xr:uid="{00000000-0005-0000-0000-0000A32C0000}"/>
    <cellStyle name="Normal 2 2 2 2 2 2 28 2 9" xfId="11428" xr:uid="{00000000-0005-0000-0000-0000A42C0000}"/>
    <cellStyle name="Normal 2 2 2 2 2 2 28 3" xfId="11429" xr:uid="{00000000-0005-0000-0000-0000A52C0000}"/>
    <cellStyle name="Normal 2 2 2 2 2 2 28 3 10" xfId="11430" xr:uid="{00000000-0005-0000-0000-0000A62C0000}"/>
    <cellStyle name="Normal 2 2 2 2 2 2 28 3 2" xfId="11431" xr:uid="{00000000-0005-0000-0000-0000A72C0000}"/>
    <cellStyle name="Normal 2 2 2 2 2 2 28 3 3" xfId="11432" xr:uid="{00000000-0005-0000-0000-0000A82C0000}"/>
    <cellStyle name="Normal 2 2 2 2 2 2 28 3 4" xfId="11433" xr:uid="{00000000-0005-0000-0000-0000A92C0000}"/>
    <cellStyle name="Normal 2 2 2 2 2 2 28 3 5" xfId="11434" xr:uid="{00000000-0005-0000-0000-0000AA2C0000}"/>
    <cellStyle name="Normal 2 2 2 2 2 2 28 3 6" xfId="11435" xr:uid="{00000000-0005-0000-0000-0000AB2C0000}"/>
    <cellStyle name="Normal 2 2 2 2 2 2 28 3 7" xfId="11436" xr:uid="{00000000-0005-0000-0000-0000AC2C0000}"/>
    <cellStyle name="Normal 2 2 2 2 2 2 28 3 8" xfId="11437" xr:uid="{00000000-0005-0000-0000-0000AD2C0000}"/>
    <cellStyle name="Normal 2 2 2 2 2 2 28 3 9" xfId="11438" xr:uid="{00000000-0005-0000-0000-0000AE2C0000}"/>
    <cellStyle name="Normal 2 2 2 2 2 2 28 4" xfId="11439" xr:uid="{00000000-0005-0000-0000-0000AF2C0000}"/>
    <cellStyle name="Normal 2 2 2 2 2 2 28 4 10" xfId="11440" xr:uid="{00000000-0005-0000-0000-0000B02C0000}"/>
    <cellStyle name="Normal 2 2 2 2 2 2 28 4 2" xfId="11441" xr:uid="{00000000-0005-0000-0000-0000B12C0000}"/>
    <cellStyle name="Normal 2 2 2 2 2 2 28 4 3" xfId="11442" xr:uid="{00000000-0005-0000-0000-0000B22C0000}"/>
    <cellStyle name="Normal 2 2 2 2 2 2 28 4 4" xfId="11443" xr:uid="{00000000-0005-0000-0000-0000B32C0000}"/>
    <cellStyle name="Normal 2 2 2 2 2 2 28 4 5" xfId="11444" xr:uid="{00000000-0005-0000-0000-0000B42C0000}"/>
    <cellStyle name="Normal 2 2 2 2 2 2 28 4 6" xfId="11445" xr:uid="{00000000-0005-0000-0000-0000B52C0000}"/>
    <cellStyle name="Normal 2 2 2 2 2 2 28 4 7" xfId="11446" xr:uid="{00000000-0005-0000-0000-0000B62C0000}"/>
    <cellStyle name="Normal 2 2 2 2 2 2 28 4 8" xfId="11447" xr:uid="{00000000-0005-0000-0000-0000B72C0000}"/>
    <cellStyle name="Normal 2 2 2 2 2 2 28 4 9" xfId="11448" xr:uid="{00000000-0005-0000-0000-0000B82C0000}"/>
    <cellStyle name="Normal 2 2 2 2 2 2 28 5" xfId="11449" xr:uid="{00000000-0005-0000-0000-0000B92C0000}"/>
    <cellStyle name="Normal 2 2 2 2 2 2 28 5 10" xfId="11450" xr:uid="{00000000-0005-0000-0000-0000BA2C0000}"/>
    <cellStyle name="Normal 2 2 2 2 2 2 28 5 2" xfId="11451" xr:uid="{00000000-0005-0000-0000-0000BB2C0000}"/>
    <cellStyle name="Normal 2 2 2 2 2 2 28 5 3" xfId="11452" xr:uid="{00000000-0005-0000-0000-0000BC2C0000}"/>
    <cellStyle name="Normal 2 2 2 2 2 2 28 5 4" xfId="11453" xr:uid="{00000000-0005-0000-0000-0000BD2C0000}"/>
    <cellStyle name="Normal 2 2 2 2 2 2 28 5 5" xfId="11454" xr:uid="{00000000-0005-0000-0000-0000BE2C0000}"/>
    <cellStyle name="Normal 2 2 2 2 2 2 28 5 6" xfId="11455" xr:uid="{00000000-0005-0000-0000-0000BF2C0000}"/>
    <cellStyle name="Normal 2 2 2 2 2 2 28 5 7" xfId="11456" xr:uid="{00000000-0005-0000-0000-0000C02C0000}"/>
    <cellStyle name="Normal 2 2 2 2 2 2 28 5 8" xfId="11457" xr:uid="{00000000-0005-0000-0000-0000C12C0000}"/>
    <cellStyle name="Normal 2 2 2 2 2 2 28 5 9" xfId="11458" xr:uid="{00000000-0005-0000-0000-0000C22C0000}"/>
    <cellStyle name="Normal 2 2 2 2 2 2 28 6" xfId="11459" xr:uid="{00000000-0005-0000-0000-0000C32C0000}"/>
    <cellStyle name="Normal 2 2 2 2 2 2 28 7" xfId="11460" xr:uid="{00000000-0005-0000-0000-0000C42C0000}"/>
    <cellStyle name="Normal 2 2 2 2 2 2 28 8" xfId="11461" xr:uid="{00000000-0005-0000-0000-0000C52C0000}"/>
    <cellStyle name="Normal 2 2 2 2 2 2 28 9" xfId="11462" xr:uid="{00000000-0005-0000-0000-0000C62C0000}"/>
    <cellStyle name="Normal 2 2 2 2 2 2 29" xfId="11463" xr:uid="{00000000-0005-0000-0000-0000C72C0000}"/>
    <cellStyle name="Normal 2 2 2 2 2 2 29 10" xfId="11464" xr:uid="{00000000-0005-0000-0000-0000C82C0000}"/>
    <cellStyle name="Normal 2 2 2 2 2 2 29 11" xfId="11465" xr:uid="{00000000-0005-0000-0000-0000C92C0000}"/>
    <cellStyle name="Normal 2 2 2 2 2 2 29 12" xfId="11466" xr:uid="{00000000-0005-0000-0000-0000CA2C0000}"/>
    <cellStyle name="Normal 2 2 2 2 2 2 29 13" xfId="11467" xr:uid="{00000000-0005-0000-0000-0000CB2C0000}"/>
    <cellStyle name="Normal 2 2 2 2 2 2 29 14" xfId="11468" xr:uid="{00000000-0005-0000-0000-0000CC2C0000}"/>
    <cellStyle name="Normal 2 2 2 2 2 2 29 2" xfId="11469" xr:uid="{00000000-0005-0000-0000-0000CD2C0000}"/>
    <cellStyle name="Normal 2 2 2 2 2 2 29 2 10" xfId="11470" xr:uid="{00000000-0005-0000-0000-0000CE2C0000}"/>
    <cellStyle name="Normal 2 2 2 2 2 2 29 2 2" xfId="11471" xr:uid="{00000000-0005-0000-0000-0000CF2C0000}"/>
    <cellStyle name="Normal 2 2 2 2 2 2 29 2 3" xfId="11472" xr:uid="{00000000-0005-0000-0000-0000D02C0000}"/>
    <cellStyle name="Normal 2 2 2 2 2 2 29 2 4" xfId="11473" xr:uid="{00000000-0005-0000-0000-0000D12C0000}"/>
    <cellStyle name="Normal 2 2 2 2 2 2 29 2 5" xfId="11474" xr:uid="{00000000-0005-0000-0000-0000D22C0000}"/>
    <cellStyle name="Normal 2 2 2 2 2 2 29 2 6" xfId="11475" xr:uid="{00000000-0005-0000-0000-0000D32C0000}"/>
    <cellStyle name="Normal 2 2 2 2 2 2 29 2 7" xfId="11476" xr:uid="{00000000-0005-0000-0000-0000D42C0000}"/>
    <cellStyle name="Normal 2 2 2 2 2 2 29 2 8" xfId="11477" xr:uid="{00000000-0005-0000-0000-0000D52C0000}"/>
    <cellStyle name="Normal 2 2 2 2 2 2 29 2 9" xfId="11478" xr:uid="{00000000-0005-0000-0000-0000D62C0000}"/>
    <cellStyle name="Normal 2 2 2 2 2 2 29 3" xfId="11479" xr:uid="{00000000-0005-0000-0000-0000D72C0000}"/>
    <cellStyle name="Normal 2 2 2 2 2 2 29 3 10" xfId="11480" xr:uid="{00000000-0005-0000-0000-0000D82C0000}"/>
    <cellStyle name="Normal 2 2 2 2 2 2 29 3 2" xfId="11481" xr:uid="{00000000-0005-0000-0000-0000D92C0000}"/>
    <cellStyle name="Normal 2 2 2 2 2 2 29 3 3" xfId="11482" xr:uid="{00000000-0005-0000-0000-0000DA2C0000}"/>
    <cellStyle name="Normal 2 2 2 2 2 2 29 3 4" xfId="11483" xr:uid="{00000000-0005-0000-0000-0000DB2C0000}"/>
    <cellStyle name="Normal 2 2 2 2 2 2 29 3 5" xfId="11484" xr:uid="{00000000-0005-0000-0000-0000DC2C0000}"/>
    <cellStyle name="Normal 2 2 2 2 2 2 29 3 6" xfId="11485" xr:uid="{00000000-0005-0000-0000-0000DD2C0000}"/>
    <cellStyle name="Normal 2 2 2 2 2 2 29 3 7" xfId="11486" xr:uid="{00000000-0005-0000-0000-0000DE2C0000}"/>
    <cellStyle name="Normal 2 2 2 2 2 2 29 3 8" xfId="11487" xr:uid="{00000000-0005-0000-0000-0000DF2C0000}"/>
    <cellStyle name="Normal 2 2 2 2 2 2 29 3 9" xfId="11488" xr:uid="{00000000-0005-0000-0000-0000E02C0000}"/>
    <cellStyle name="Normal 2 2 2 2 2 2 29 4" xfId="11489" xr:uid="{00000000-0005-0000-0000-0000E12C0000}"/>
    <cellStyle name="Normal 2 2 2 2 2 2 29 4 10" xfId="11490" xr:uid="{00000000-0005-0000-0000-0000E22C0000}"/>
    <cellStyle name="Normal 2 2 2 2 2 2 29 4 2" xfId="11491" xr:uid="{00000000-0005-0000-0000-0000E32C0000}"/>
    <cellStyle name="Normal 2 2 2 2 2 2 29 4 3" xfId="11492" xr:uid="{00000000-0005-0000-0000-0000E42C0000}"/>
    <cellStyle name="Normal 2 2 2 2 2 2 29 4 4" xfId="11493" xr:uid="{00000000-0005-0000-0000-0000E52C0000}"/>
    <cellStyle name="Normal 2 2 2 2 2 2 29 4 5" xfId="11494" xr:uid="{00000000-0005-0000-0000-0000E62C0000}"/>
    <cellStyle name="Normal 2 2 2 2 2 2 29 4 6" xfId="11495" xr:uid="{00000000-0005-0000-0000-0000E72C0000}"/>
    <cellStyle name="Normal 2 2 2 2 2 2 29 4 7" xfId="11496" xr:uid="{00000000-0005-0000-0000-0000E82C0000}"/>
    <cellStyle name="Normal 2 2 2 2 2 2 29 4 8" xfId="11497" xr:uid="{00000000-0005-0000-0000-0000E92C0000}"/>
    <cellStyle name="Normal 2 2 2 2 2 2 29 4 9" xfId="11498" xr:uid="{00000000-0005-0000-0000-0000EA2C0000}"/>
    <cellStyle name="Normal 2 2 2 2 2 2 29 5" xfId="11499" xr:uid="{00000000-0005-0000-0000-0000EB2C0000}"/>
    <cellStyle name="Normal 2 2 2 2 2 2 29 5 10" xfId="11500" xr:uid="{00000000-0005-0000-0000-0000EC2C0000}"/>
    <cellStyle name="Normal 2 2 2 2 2 2 29 5 2" xfId="11501" xr:uid="{00000000-0005-0000-0000-0000ED2C0000}"/>
    <cellStyle name="Normal 2 2 2 2 2 2 29 5 3" xfId="11502" xr:uid="{00000000-0005-0000-0000-0000EE2C0000}"/>
    <cellStyle name="Normal 2 2 2 2 2 2 29 5 4" xfId="11503" xr:uid="{00000000-0005-0000-0000-0000EF2C0000}"/>
    <cellStyle name="Normal 2 2 2 2 2 2 29 5 5" xfId="11504" xr:uid="{00000000-0005-0000-0000-0000F02C0000}"/>
    <cellStyle name="Normal 2 2 2 2 2 2 29 5 6" xfId="11505" xr:uid="{00000000-0005-0000-0000-0000F12C0000}"/>
    <cellStyle name="Normal 2 2 2 2 2 2 29 5 7" xfId="11506" xr:uid="{00000000-0005-0000-0000-0000F22C0000}"/>
    <cellStyle name="Normal 2 2 2 2 2 2 29 5 8" xfId="11507" xr:uid="{00000000-0005-0000-0000-0000F32C0000}"/>
    <cellStyle name="Normal 2 2 2 2 2 2 29 5 9" xfId="11508" xr:uid="{00000000-0005-0000-0000-0000F42C0000}"/>
    <cellStyle name="Normal 2 2 2 2 2 2 29 6" xfId="11509" xr:uid="{00000000-0005-0000-0000-0000F52C0000}"/>
    <cellStyle name="Normal 2 2 2 2 2 2 29 7" xfId="11510" xr:uid="{00000000-0005-0000-0000-0000F62C0000}"/>
    <cellStyle name="Normal 2 2 2 2 2 2 29 8" xfId="11511" xr:uid="{00000000-0005-0000-0000-0000F72C0000}"/>
    <cellStyle name="Normal 2 2 2 2 2 2 29 9" xfId="11512" xr:uid="{00000000-0005-0000-0000-0000F82C0000}"/>
    <cellStyle name="Normal 2 2 2 2 2 2 3" xfId="11513" xr:uid="{00000000-0005-0000-0000-0000F92C0000}"/>
    <cellStyle name="Normal 2 2 2 2 2 2 3 10" xfId="11514" xr:uid="{00000000-0005-0000-0000-0000FA2C0000}"/>
    <cellStyle name="Normal 2 2 2 2 2 2 3 11" xfId="11515" xr:uid="{00000000-0005-0000-0000-0000FB2C0000}"/>
    <cellStyle name="Normal 2 2 2 2 2 2 3 12" xfId="11516" xr:uid="{00000000-0005-0000-0000-0000FC2C0000}"/>
    <cellStyle name="Normal 2 2 2 2 2 2 3 13" xfId="11517" xr:uid="{00000000-0005-0000-0000-0000FD2C0000}"/>
    <cellStyle name="Normal 2 2 2 2 2 2 3 14" xfId="11518" xr:uid="{00000000-0005-0000-0000-0000FE2C0000}"/>
    <cellStyle name="Normal 2 2 2 2 2 2 3 15" xfId="11519" xr:uid="{00000000-0005-0000-0000-0000FF2C0000}"/>
    <cellStyle name="Normal 2 2 2 2 2 2 3 16" xfId="11520" xr:uid="{00000000-0005-0000-0000-0000002D0000}"/>
    <cellStyle name="Normal 2 2 2 2 2 2 3 2" xfId="11521" xr:uid="{00000000-0005-0000-0000-0000012D0000}"/>
    <cellStyle name="Normal 2 2 2 2 2 2 3 2 10" xfId="11522" xr:uid="{00000000-0005-0000-0000-0000022D0000}"/>
    <cellStyle name="Normal 2 2 2 2 2 2 3 2 2" xfId="11523" xr:uid="{00000000-0005-0000-0000-0000032D0000}"/>
    <cellStyle name="Normal 2 2 2 2 2 2 3 2 3" xfId="11524" xr:uid="{00000000-0005-0000-0000-0000042D0000}"/>
    <cellStyle name="Normal 2 2 2 2 2 2 3 2 4" xfId="11525" xr:uid="{00000000-0005-0000-0000-0000052D0000}"/>
    <cellStyle name="Normal 2 2 2 2 2 2 3 2 5" xfId="11526" xr:uid="{00000000-0005-0000-0000-0000062D0000}"/>
    <cellStyle name="Normal 2 2 2 2 2 2 3 2 6" xfId="11527" xr:uid="{00000000-0005-0000-0000-0000072D0000}"/>
    <cellStyle name="Normal 2 2 2 2 2 2 3 2 7" xfId="11528" xr:uid="{00000000-0005-0000-0000-0000082D0000}"/>
    <cellStyle name="Normal 2 2 2 2 2 2 3 2 8" xfId="11529" xr:uid="{00000000-0005-0000-0000-0000092D0000}"/>
    <cellStyle name="Normal 2 2 2 2 2 2 3 2 9" xfId="11530" xr:uid="{00000000-0005-0000-0000-00000A2D0000}"/>
    <cellStyle name="Normal 2 2 2 2 2 2 3 3" xfId="11531" xr:uid="{00000000-0005-0000-0000-00000B2D0000}"/>
    <cellStyle name="Normal 2 2 2 2 2 2 3 3 10" xfId="11532" xr:uid="{00000000-0005-0000-0000-00000C2D0000}"/>
    <cellStyle name="Normal 2 2 2 2 2 2 3 3 2" xfId="11533" xr:uid="{00000000-0005-0000-0000-00000D2D0000}"/>
    <cellStyle name="Normal 2 2 2 2 2 2 3 3 3" xfId="11534" xr:uid="{00000000-0005-0000-0000-00000E2D0000}"/>
    <cellStyle name="Normal 2 2 2 2 2 2 3 3 4" xfId="11535" xr:uid="{00000000-0005-0000-0000-00000F2D0000}"/>
    <cellStyle name="Normal 2 2 2 2 2 2 3 3 5" xfId="11536" xr:uid="{00000000-0005-0000-0000-0000102D0000}"/>
    <cellStyle name="Normal 2 2 2 2 2 2 3 3 6" xfId="11537" xr:uid="{00000000-0005-0000-0000-0000112D0000}"/>
    <cellStyle name="Normal 2 2 2 2 2 2 3 3 7" xfId="11538" xr:uid="{00000000-0005-0000-0000-0000122D0000}"/>
    <cellStyle name="Normal 2 2 2 2 2 2 3 3 8" xfId="11539" xr:uid="{00000000-0005-0000-0000-0000132D0000}"/>
    <cellStyle name="Normal 2 2 2 2 2 2 3 3 9" xfId="11540" xr:uid="{00000000-0005-0000-0000-0000142D0000}"/>
    <cellStyle name="Normal 2 2 2 2 2 2 3 4" xfId="11541" xr:uid="{00000000-0005-0000-0000-0000152D0000}"/>
    <cellStyle name="Normal 2 2 2 2 2 2 3 4 10" xfId="11542" xr:uid="{00000000-0005-0000-0000-0000162D0000}"/>
    <cellStyle name="Normal 2 2 2 2 2 2 3 4 2" xfId="11543" xr:uid="{00000000-0005-0000-0000-0000172D0000}"/>
    <cellStyle name="Normal 2 2 2 2 2 2 3 4 3" xfId="11544" xr:uid="{00000000-0005-0000-0000-0000182D0000}"/>
    <cellStyle name="Normal 2 2 2 2 2 2 3 4 4" xfId="11545" xr:uid="{00000000-0005-0000-0000-0000192D0000}"/>
    <cellStyle name="Normal 2 2 2 2 2 2 3 4 5" xfId="11546" xr:uid="{00000000-0005-0000-0000-00001A2D0000}"/>
    <cellStyle name="Normal 2 2 2 2 2 2 3 4 6" xfId="11547" xr:uid="{00000000-0005-0000-0000-00001B2D0000}"/>
    <cellStyle name="Normal 2 2 2 2 2 2 3 4 7" xfId="11548" xr:uid="{00000000-0005-0000-0000-00001C2D0000}"/>
    <cellStyle name="Normal 2 2 2 2 2 2 3 4 8" xfId="11549" xr:uid="{00000000-0005-0000-0000-00001D2D0000}"/>
    <cellStyle name="Normal 2 2 2 2 2 2 3 4 9" xfId="11550" xr:uid="{00000000-0005-0000-0000-00001E2D0000}"/>
    <cellStyle name="Normal 2 2 2 2 2 2 3 5" xfId="11551" xr:uid="{00000000-0005-0000-0000-00001F2D0000}"/>
    <cellStyle name="Normal 2 2 2 2 2 2 3 5 10" xfId="11552" xr:uid="{00000000-0005-0000-0000-0000202D0000}"/>
    <cellStyle name="Normal 2 2 2 2 2 2 3 5 2" xfId="11553" xr:uid="{00000000-0005-0000-0000-0000212D0000}"/>
    <cellStyle name="Normal 2 2 2 2 2 2 3 5 3" xfId="11554" xr:uid="{00000000-0005-0000-0000-0000222D0000}"/>
    <cellStyle name="Normal 2 2 2 2 2 2 3 5 4" xfId="11555" xr:uid="{00000000-0005-0000-0000-0000232D0000}"/>
    <cellStyle name="Normal 2 2 2 2 2 2 3 5 5" xfId="11556" xr:uid="{00000000-0005-0000-0000-0000242D0000}"/>
    <cellStyle name="Normal 2 2 2 2 2 2 3 5 6" xfId="11557" xr:uid="{00000000-0005-0000-0000-0000252D0000}"/>
    <cellStyle name="Normal 2 2 2 2 2 2 3 5 7" xfId="11558" xr:uid="{00000000-0005-0000-0000-0000262D0000}"/>
    <cellStyle name="Normal 2 2 2 2 2 2 3 5 8" xfId="11559" xr:uid="{00000000-0005-0000-0000-0000272D0000}"/>
    <cellStyle name="Normal 2 2 2 2 2 2 3 5 9" xfId="11560" xr:uid="{00000000-0005-0000-0000-0000282D0000}"/>
    <cellStyle name="Normal 2 2 2 2 2 2 3 6" xfId="11561" xr:uid="{00000000-0005-0000-0000-0000292D0000}"/>
    <cellStyle name="Normal 2 2 2 2 2 2 3 7" xfId="11562" xr:uid="{00000000-0005-0000-0000-00002A2D0000}"/>
    <cellStyle name="Normal 2 2 2 2 2 2 3 8" xfId="11563" xr:uid="{00000000-0005-0000-0000-00002B2D0000}"/>
    <cellStyle name="Normal 2 2 2 2 2 2 3 9" xfId="11564" xr:uid="{00000000-0005-0000-0000-00002C2D0000}"/>
    <cellStyle name="Normal 2 2 2 2 2 2 30" xfId="11565" xr:uid="{00000000-0005-0000-0000-00002D2D0000}"/>
    <cellStyle name="Normal 2 2 2 2 2 2 30 10" xfId="11566" xr:uid="{00000000-0005-0000-0000-00002E2D0000}"/>
    <cellStyle name="Normal 2 2 2 2 2 2 30 11" xfId="11567" xr:uid="{00000000-0005-0000-0000-00002F2D0000}"/>
    <cellStyle name="Normal 2 2 2 2 2 2 30 12" xfId="11568" xr:uid="{00000000-0005-0000-0000-0000302D0000}"/>
    <cellStyle name="Normal 2 2 2 2 2 2 30 13" xfId="11569" xr:uid="{00000000-0005-0000-0000-0000312D0000}"/>
    <cellStyle name="Normal 2 2 2 2 2 2 30 14" xfId="11570" xr:uid="{00000000-0005-0000-0000-0000322D0000}"/>
    <cellStyle name="Normal 2 2 2 2 2 2 30 2" xfId="11571" xr:uid="{00000000-0005-0000-0000-0000332D0000}"/>
    <cellStyle name="Normal 2 2 2 2 2 2 30 2 10" xfId="11572" xr:uid="{00000000-0005-0000-0000-0000342D0000}"/>
    <cellStyle name="Normal 2 2 2 2 2 2 30 2 2" xfId="11573" xr:uid="{00000000-0005-0000-0000-0000352D0000}"/>
    <cellStyle name="Normal 2 2 2 2 2 2 30 2 3" xfId="11574" xr:uid="{00000000-0005-0000-0000-0000362D0000}"/>
    <cellStyle name="Normal 2 2 2 2 2 2 30 2 4" xfId="11575" xr:uid="{00000000-0005-0000-0000-0000372D0000}"/>
    <cellStyle name="Normal 2 2 2 2 2 2 30 2 5" xfId="11576" xr:uid="{00000000-0005-0000-0000-0000382D0000}"/>
    <cellStyle name="Normal 2 2 2 2 2 2 30 2 6" xfId="11577" xr:uid="{00000000-0005-0000-0000-0000392D0000}"/>
    <cellStyle name="Normal 2 2 2 2 2 2 30 2 7" xfId="11578" xr:uid="{00000000-0005-0000-0000-00003A2D0000}"/>
    <cellStyle name="Normal 2 2 2 2 2 2 30 2 8" xfId="11579" xr:uid="{00000000-0005-0000-0000-00003B2D0000}"/>
    <cellStyle name="Normal 2 2 2 2 2 2 30 2 9" xfId="11580" xr:uid="{00000000-0005-0000-0000-00003C2D0000}"/>
    <cellStyle name="Normal 2 2 2 2 2 2 30 3" xfId="11581" xr:uid="{00000000-0005-0000-0000-00003D2D0000}"/>
    <cellStyle name="Normal 2 2 2 2 2 2 30 3 10" xfId="11582" xr:uid="{00000000-0005-0000-0000-00003E2D0000}"/>
    <cellStyle name="Normal 2 2 2 2 2 2 30 3 2" xfId="11583" xr:uid="{00000000-0005-0000-0000-00003F2D0000}"/>
    <cellStyle name="Normal 2 2 2 2 2 2 30 3 3" xfId="11584" xr:uid="{00000000-0005-0000-0000-0000402D0000}"/>
    <cellStyle name="Normal 2 2 2 2 2 2 30 3 4" xfId="11585" xr:uid="{00000000-0005-0000-0000-0000412D0000}"/>
    <cellStyle name="Normal 2 2 2 2 2 2 30 3 5" xfId="11586" xr:uid="{00000000-0005-0000-0000-0000422D0000}"/>
    <cellStyle name="Normal 2 2 2 2 2 2 30 3 6" xfId="11587" xr:uid="{00000000-0005-0000-0000-0000432D0000}"/>
    <cellStyle name="Normal 2 2 2 2 2 2 30 3 7" xfId="11588" xr:uid="{00000000-0005-0000-0000-0000442D0000}"/>
    <cellStyle name="Normal 2 2 2 2 2 2 30 3 8" xfId="11589" xr:uid="{00000000-0005-0000-0000-0000452D0000}"/>
    <cellStyle name="Normal 2 2 2 2 2 2 30 3 9" xfId="11590" xr:uid="{00000000-0005-0000-0000-0000462D0000}"/>
    <cellStyle name="Normal 2 2 2 2 2 2 30 4" xfId="11591" xr:uid="{00000000-0005-0000-0000-0000472D0000}"/>
    <cellStyle name="Normal 2 2 2 2 2 2 30 4 10" xfId="11592" xr:uid="{00000000-0005-0000-0000-0000482D0000}"/>
    <cellStyle name="Normal 2 2 2 2 2 2 30 4 2" xfId="11593" xr:uid="{00000000-0005-0000-0000-0000492D0000}"/>
    <cellStyle name="Normal 2 2 2 2 2 2 30 4 3" xfId="11594" xr:uid="{00000000-0005-0000-0000-00004A2D0000}"/>
    <cellStyle name="Normal 2 2 2 2 2 2 30 4 4" xfId="11595" xr:uid="{00000000-0005-0000-0000-00004B2D0000}"/>
    <cellStyle name="Normal 2 2 2 2 2 2 30 4 5" xfId="11596" xr:uid="{00000000-0005-0000-0000-00004C2D0000}"/>
    <cellStyle name="Normal 2 2 2 2 2 2 30 4 6" xfId="11597" xr:uid="{00000000-0005-0000-0000-00004D2D0000}"/>
    <cellStyle name="Normal 2 2 2 2 2 2 30 4 7" xfId="11598" xr:uid="{00000000-0005-0000-0000-00004E2D0000}"/>
    <cellStyle name="Normal 2 2 2 2 2 2 30 4 8" xfId="11599" xr:uid="{00000000-0005-0000-0000-00004F2D0000}"/>
    <cellStyle name="Normal 2 2 2 2 2 2 30 4 9" xfId="11600" xr:uid="{00000000-0005-0000-0000-0000502D0000}"/>
    <cellStyle name="Normal 2 2 2 2 2 2 30 5" xfId="11601" xr:uid="{00000000-0005-0000-0000-0000512D0000}"/>
    <cellStyle name="Normal 2 2 2 2 2 2 30 5 10" xfId="11602" xr:uid="{00000000-0005-0000-0000-0000522D0000}"/>
    <cellStyle name="Normal 2 2 2 2 2 2 30 5 2" xfId="11603" xr:uid="{00000000-0005-0000-0000-0000532D0000}"/>
    <cellStyle name="Normal 2 2 2 2 2 2 30 5 3" xfId="11604" xr:uid="{00000000-0005-0000-0000-0000542D0000}"/>
    <cellStyle name="Normal 2 2 2 2 2 2 30 5 4" xfId="11605" xr:uid="{00000000-0005-0000-0000-0000552D0000}"/>
    <cellStyle name="Normal 2 2 2 2 2 2 30 5 5" xfId="11606" xr:uid="{00000000-0005-0000-0000-0000562D0000}"/>
    <cellStyle name="Normal 2 2 2 2 2 2 30 5 6" xfId="11607" xr:uid="{00000000-0005-0000-0000-0000572D0000}"/>
    <cellStyle name="Normal 2 2 2 2 2 2 30 5 7" xfId="11608" xr:uid="{00000000-0005-0000-0000-0000582D0000}"/>
    <cellStyle name="Normal 2 2 2 2 2 2 30 5 8" xfId="11609" xr:uid="{00000000-0005-0000-0000-0000592D0000}"/>
    <cellStyle name="Normal 2 2 2 2 2 2 30 5 9" xfId="11610" xr:uid="{00000000-0005-0000-0000-00005A2D0000}"/>
    <cellStyle name="Normal 2 2 2 2 2 2 30 6" xfId="11611" xr:uid="{00000000-0005-0000-0000-00005B2D0000}"/>
    <cellStyle name="Normal 2 2 2 2 2 2 30 7" xfId="11612" xr:uid="{00000000-0005-0000-0000-00005C2D0000}"/>
    <cellStyle name="Normal 2 2 2 2 2 2 30 8" xfId="11613" xr:uid="{00000000-0005-0000-0000-00005D2D0000}"/>
    <cellStyle name="Normal 2 2 2 2 2 2 30 9" xfId="11614" xr:uid="{00000000-0005-0000-0000-00005E2D0000}"/>
    <cellStyle name="Normal 2 2 2 2 2 2 31" xfId="11615" xr:uid="{00000000-0005-0000-0000-00005F2D0000}"/>
    <cellStyle name="Normal 2 2 2 2 2 2 31 10" xfId="11616" xr:uid="{00000000-0005-0000-0000-0000602D0000}"/>
    <cellStyle name="Normal 2 2 2 2 2 2 31 11" xfId="11617" xr:uid="{00000000-0005-0000-0000-0000612D0000}"/>
    <cellStyle name="Normal 2 2 2 2 2 2 31 12" xfId="11618" xr:uid="{00000000-0005-0000-0000-0000622D0000}"/>
    <cellStyle name="Normal 2 2 2 2 2 2 31 13" xfId="11619" xr:uid="{00000000-0005-0000-0000-0000632D0000}"/>
    <cellStyle name="Normal 2 2 2 2 2 2 31 14" xfId="11620" xr:uid="{00000000-0005-0000-0000-0000642D0000}"/>
    <cellStyle name="Normal 2 2 2 2 2 2 31 2" xfId="11621" xr:uid="{00000000-0005-0000-0000-0000652D0000}"/>
    <cellStyle name="Normal 2 2 2 2 2 2 31 2 10" xfId="11622" xr:uid="{00000000-0005-0000-0000-0000662D0000}"/>
    <cellStyle name="Normal 2 2 2 2 2 2 31 2 2" xfId="11623" xr:uid="{00000000-0005-0000-0000-0000672D0000}"/>
    <cellStyle name="Normal 2 2 2 2 2 2 31 2 3" xfId="11624" xr:uid="{00000000-0005-0000-0000-0000682D0000}"/>
    <cellStyle name="Normal 2 2 2 2 2 2 31 2 4" xfId="11625" xr:uid="{00000000-0005-0000-0000-0000692D0000}"/>
    <cellStyle name="Normal 2 2 2 2 2 2 31 2 5" xfId="11626" xr:uid="{00000000-0005-0000-0000-00006A2D0000}"/>
    <cellStyle name="Normal 2 2 2 2 2 2 31 2 6" xfId="11627" xr:uid="{00000000-0005-0000-0000-00006B2D0000}"/>
    <cellStyle name="Normal 2 2 2 2 2 2 31 2 7" xfId="11628" xr:uid="{00000000-0005-0000-0000-00006C2D0000}"/>
    <cellStyle name="Normal 2 2 2 2 2 2 31 2 8" xfId="11629" xr:uid="{00000000-0005-0000-0000-00006D2D0000}"/>
    <cellStyle name="Normal 2 2 2 2 2 2 31 2 9" xfId="11630" xr:uid="{00000000-0005-0000-0000-00006E2D0000}"/>
    <cellStyle name="Normal 2 2 2 2 2 2 31 3" xfId="11631" xr:uid="{00000000-0005-0000-0000-00006F2D0000}"/>
    <cellStyle name="Normal 2 2 2 2 2 2 31 3 10" xfId="11632" xr:uid="{00000000-0005-0000-0000-0000702D0000}"/>
    <cellStyle name="Normal 2 2 2 2 2 2 31 3 2" xfId="11633" xr:uid="{00000000-0005-0000-0000-0000712D0000}"/>
    <cellStyle name="Normal 2 2 2 2 2 2 31 3 3" xfId="11634" xr:uid="{00000000-0005-0000-0000-0000722D0000}"/>
    <cellStyle name="Normal 2 2 2 2 2 2 31 3 4" xfId="11635" xr:uid="{00000000-0005-0000-0000-0000732D0000}"/>
    <cellStyle name="Normal 2 2 2 2 2 2 31 3 5" xfId="11636" xr:uid="{00000000-0005-0000-0000-0000742D0000}"/>
    <cellStyle name="Normal 2 2 2 2 2 2 31 3 6" xfId="11637" xr:uid="{00000000-0005-0000-0000-0000752D0000}"/>
    <cellStyle name="Normal 2 2 2 2 2 2 31 3 7" xfId="11638" xr:uid="{00000000-0005-0000-0000-0000762D0000}"/>
    <cellStyle name="Normal 2 2 2 2 2 2 31 3 8" xfId="11639" xr:uid="{00000000-0005-0000-0000-0000772D0000}"/>
    <cellStyle name="Normal 2 2 2 2 2 2 31 3 9" xfId="11640" xr:uid="{00000000-0005-0000-0000-0000782D0000}"/>
    <cellStyle name="Normal 2 2 2 2 2 2 31 4" xfId="11641" xr:uid="{00000000-0005-0000-0000-0000792D0000}"/>
    <cellStyle name="Normal 2 2 2 2 2 2 31 4 10" xfId="11642" xr:uid="{00000000-0005-0000-0000-00007A2D0000}"/>
    <cellStyle name="Normal 2 2 2 2 2 2 31 4 2" xfId="11643" xr:uid="{00000000-0005-0000-0000-00007B2D0000}"/>
    <cellStyle name="Normal 2 2 2 2 2 2 31 4 3" xfId="11644" xr:uid="{00000000-0005-0000-0000-00007C2D0000}"/>
    <cellStyle name="Normal 2 2 2 2 2 2 31 4 4" xfId="11645" xr:uid="{00000000-0005-0000-0000-00007D2D0000}"/>
    <cellStyle name="Normal 2 2 2 2 2 2 31 4 5" xfId="11646" xr:uid="{00000000-0005-0000-0000-00007E2D0000}"/>
    <cellStyle name="Normal 2 2 2 2 2 2 31 4 6" xfId="11647" xr:uid="{00000000-0005-0000-0000-00007F2D0000}"/>
    <cellStyle name="Normal 2 2 2 2 2 2 31 4 7" xfId="11648" xr:uid="{00000000-0005-0000-0000-0000802D0000}"/>
    <cellStyle name="Normal 2 2 2 2 2 2 31 4 8" xfId="11649" xr:uid="{00000000-0005-0000-0000-0000812D0000}"/>
    <cellStyle name="Normal 2 2 2 2 2 2 31 4 9" xfId="11650" xr:uid="{00000000-0005-0000-0000-0000822D0000}"/>
    <cellStyle name="Normal 2 2 2 2 2 2 31 5" xfId="11651" xr:uid="{00000000-0005-0000-0000-0000832D0000}"/>
    <cellStyle name="Normal 2 2 2 2 2 2 31 5 10" xfId="11652" xr:uid="{00000000-0005-0000-0000-0000842D0000}"/>
    <cellStyle name="Normal 2 2 2 2 2 2 31 5 2" xfId="11653" xr:uid="{00000000-0005-0000-0000-0000852D0000}"/>
    <cellStyle name="Normal 2 2 2 2 2 2 31 5 3" xfId="11654" xr:uid="{00000000-0005-0000-0000-0000862D0000}"/>
    <cellStyle name="Normal 2 2 2 2 2 2 31 5 4" xfId="11655" xr:uid="{00000000-0005-0000-0000-0000872D0000}"/>
    <cellStyle name="Normal 2 2 2 2 2 2 31 5 5" xfId="11656" xr:uid="{00000000-0005-0000-0000-0000882D0000}"/>
    <cellStyle name="Normal 2 2 2 2 2 2 31 5 6" xfId="11657" xr:uid="{00000000-0005-0000-0000-0000892D0000}"/>
    <cellStyle name="Normal 2 2 2 2 2 2 31 5 7" xfId="11658" xr:uid="{00000000-0005-0000-0000-00008A2D0000}"/>
    <cellStyle name="Normal 2 2 2 2 2 2 31 5 8" xfId="11659" xr:uid="{00000000-0005-0000-0000-00008B2D0000}"/>
    <cellStyle name="Normal 2 2 2 2 2 2 31 5 9" xfId="11660" xr:uid="{00000000-0005-0000-0000-00008C2D0000}"/>
    <cellStyle name="Normal 2 2 2 2 2 2 31 6" xfId="11661" xr:uid="{00000000-0005-0000-0000-00008D2D0000}"/>
    <cellStyle name="Normal 2 2 2 2 2 2 31 7" xfId="11662" xr:uid="{00000000-0005-0000-0000-00008E2D0000}"/>
    <cellStyle name="Normal 2 2 2 2 2 2 31 8" xfId="11663" xr:uid="{00000000-0005-0000-0000-00008F2D0000}"/>
    <cellStyle name="Normal 2 2 2 2 2 2 31 9" xfId="11664" xr:uid="{00000000-0005-0000-0000-0000902D0000}"/>
    <cellStyle name="Normal 2 2 2 2 2 2 32" xfId="11665" xr:uid="{00000000-0005-0000-0000-0000912D0000}"/>
    <cellStyle name="Normal 2 2 2 2 2 2 32 10" xfId="11666" xr:uid="{00000000-0005-0000-0000-0000922D0000}"/>
    <cellStyle name="Normal 2 2 2 2 2 2 32 11" xfId="11667" xr:uid="{00000000-0005-0000-0000-0000932D0000}"/>
    <cellStyle name="Normal 2 2 2 2 2 2 32 12" xfId="11668" xr:uid="{00000000-0005-0000-0000-0000942D0000}"/>
    <cellStyle name="Normal 2 2 2 2 2 2 32 13" xfId="11669" xr:uid="{00000000-0005-0000-0000-0000952D0000}"/>
    <cellStyle name="Normal 2 2 2 2 2 2 32 14" xfId="11670" xr:uid="{00000000-0005-0000-0000-0000962D0000}"/>
    <cellStyle name="Normal 2 2 2 2 2 2 32 2" xfId="11671" xr:uid="{00000000-0005-0000-0000-0000972D0000}"/>
    <cellStyle name="Normal 2 2 2 2 2 2 32 2 10" xfId="11672" xr:uid="{00000000-0005-0000-0000-0000982D0000}"/>
    <cellStyle name="Normal 2 2 2 2 2 2 32 2 2" xfId="11673" xr:uid="{00000000-0005-0000-0000-0000992D0000}"/>
    <cellStyle name="Normal 2 2 2 2 2 2 32 2 3" xfId="11674" xr:uid="{00000000-0005-0000-0000-00009A2D0000}"/>
    <cellStyle name="Normal 2 2 2 2 2 2 32 2 4" xfId="11675" xr:uid="{00000000-0005-0000-0000-00009B2D0000}"/>
    <cellStyle name="Normal 2 2 2 2 2 2 32 2 5" xfId="11676" xr:uid="{00000000-0005-0000-0000-00009C2D0000}"/>
    <cellStyle name="Normal 2 2 2 2 2 2 32 2 6" xfId="11677" xr:uid="{00000000-0005-0000-0000-00009D2D0000}"/>
    <cellStyle name="Normal 2 2 2 2 2 2 32 2 7" xfId="11678" xr:uid="{00000000-0005-0000-0000-00009E2D0000}"/>
    <cellStyle name="Normal 2 2 2 2 2 2 32 2 8" xfId="11679" xr:uid="{00000000-0005-0000-0000-00009F2D0000}"/>
    <cellStyle name="Normal 2 2 2 2 2 2 32 2 9" xfId="11680" xr:uid="{00000000-0005-0000-0000-0000A02D0000}"/>
    <cellStyle name="Normal 2 2 2 2 2 2 32 3" xfId="11681" xr:uid="{00000000-0005-0000-0000-0000A12D0000}"/>
    <cellStyle name="Normal 2 2 2 2 2 2 32 3 10" xfId="11682" xr:uid="{00000000-0005-0000-0000-0000A22D0000}"/>
    <cellStyle name="Normal 2 2 2 2 2 2 32 3 2" xfId="11683" xr:uid="{00000000-0005-0000-0000-0000A32D0000}"/>
    <cellStyle name="Normal 2 2 2 2 2 2 32 3 3" xfId="11684" xr:uid="{00000000-0005-0000-0000-0000A42D0000}"/>
    <cellStyle name="Normal 2 2 2 2 2 2 32 3 4" xfId="11685" xr:uid="{00000000-0005-0000-0000-0000A52D0000}"/>
    <cellStyle name="Normal 2 2 2 2 2 2 32 3 5" xfId="11686" xr:uid="{00000000-0005-0000-0000-0000A62D0000}"/>
    <cellStyle name="Normal 2 2 2 2 2 2 32 3 6" xfId="11687" xr:uid="{00000000-0005-0000-0000-0000A72D0000}"/>
    <cellStyle name="Normal 2 2 2 2 2 2 32 3 7" xfId="11688" xr:uid="{00000000-0005-0000-0000-0000A82D0000}"/>
    <cellStyle name="Normal 2 2 2 2 2 2 32 3 8" xfId="11689" xr:uid="{00000000-0005-0000-0000-0000A92D0000}"/>
    <cellStyle name="Normal 2 2 2 2 2 2 32 3 9" xfId="11690" xr:uid="{00000000-0005-0000-0000-0000AA2D0000}"/>
    <cellStyle name="Normal 2 2 2 2 2 2 32 4" xfId="11691" xr:uid="{00000000-0005-0000-0000-0000AB2D0000}"/>
    <cellStyle name="Normal 2 2 2 2 2 2 32 4 10" xfId="11692" xr:uid="{00000000-0005-0000-0000-0000AC2D0000}"/>
    <cellStyle name="Normal 2 2 2 2 2 2 32 4 2" xfId="11693" xr:uid="{00000000-0005-0000-0000-0000AD2D0000}"/>
    <cellStyle name="Normal 2 2 2 2 2 2 32 4 3" xfId="11694" xr:uid="{00000000-0005-0000-0000-0000AE2D0000}"/>
    <cellStyle name="Normal 2 2 2 2 2 2 32 4 4" xfId="11695" xr:uid="{00000000-0005-0000-0000-0000AF2D0000}"/>
    <cellStyle name="Normal 2 2 2 2 2 2 32 4 5" xfId="11696" xr:uid="{00000000-0005-0000-0000-0000B02D0000}"/>
    <cellStyle name="Normal 2 2 2 2 2 2 32 4 6" xfId="11697" xr:uid="{00000000-0005-0000-0000-0000B12D0000}"/>
    <cellStyle name="Normal 2 2 2 2 2 2 32 4 7" xfId="11698" xr:uid="{00000000-0005-0000-0000-0000B22D0000}"/>
    <cellStyle name="Normal 2 2 2 2 2 2 32 4 8" xfId="11699" xr:uid="{00000000-0005-0000-0000-0000B32D0000}"/>
    <cellStyle name="Normal 2 2 2 2 2 2 32 4 9" xfId="11700" xr:uid="{00000000-0005-0000-0000-0000B42D0000}"/>
    <cellStyle name="Normal 2 2 2 2 2 2 32 5" xfId="11701" xr:uid="{00000000-0005-0000-0000-0000B52D0000}"/>
    <cellStyle name="Normal 2 2 2 2 2 2 32 5 10" xfId="11702" xr:uid="{00000000-0005-0000-0000-0000B62D0000}"/>
    <cellStyle name="Normal 2 2 2 2 2 2 32 5 2" xfId="11703" xr:uid="{00000000-0005-0000-0000-0000B72D0000}"/>
    <cellStyle name="Normal 2 2 2 2 2 2 32 5 3" xfId="11704" xr:uid="{00000000-0005-0000-0000-0000B82D0000}"/>
    <cellStyle name="Normal 2 2 2 2 2 2 32 5 4" xfId="11705" xr:uid="{00000000-0005-0000-0000-0000B92D0000}"/>
    <cellStyle name="Normal 2 2 2 2 2 2 32 5 5" xfId="11706" xr:uid="{00000000-0005-0000-0000-0000BA2D0000}"/>
    <cellStyle name="Normal 2 2 2 2 2 2 32 5 6" xfId="11707" xr:uid="{00000000-0005-0000-0000-0000BB2D0000}"/>
    <cellStyle name="Normal 2 2 2 2 2 2 32 5 7" xfId="11708" xr:uid="{00000000-0005-0000-0000-0000BC2D0000}"/>
    <cellStyle name="Normal 2 2 2 2 2 2 32 5 8" xfId="11709" xr:uid="{00000000-0005-0000-0000-0000BD2D0000}"/>
    <cellStyle name="Normal 2 2 2 2 2 2 32 5 9" xfId="11710" xr:uid="{00000000-0005-0000-0000-0000BE2D0000}"/>
    <cellStyle name="Normal 2 2 2 2 2 2 32 6" xfId="11711" xr:uid="{00000000-0005-0000-0000-0000BF2D0000}"/>
    <cellStyle name="Normal 2 2 2 2 2 2 32 7" xfId="11712" xr:uid="{00000000-0005-0000-0000-0000C02D0000}"/>
    <cellStyle name="Normal 2 2 2 2 2 2 32 8" xfId="11713" xr:uid="{00000000-0005-0000-0000-0000C12D0000}"/>
    <cellStyle name="Normal 2 2 2 2 2 2 32 9" xfId="11714" xr:uid="{00000000-0005-0000-0000-0000C22D0000}"/>
    <cellStyle name="Normal 2 2 2 2 2 2 33" xfId="11715" xr:uid="{00000000-0005-0000-0000-0000C32D0000}"/>
    <cellStyle name="Normal 2 2 2 2 2 2 33 10" xfId="11716" xr:uid="{00000000-0005-0000-0000-0000C42D0000}"/>
    <cellStyle name="Normal 2 2 2 2 2 2 33 11" xfId="11717" xr:uid="{00000000-0005-0000-0000-0000C52D0000}"/>
    <cellStyle name="Normal 2 2 2 2 2 2 33 12" xfId="11718" xr:uid="{00000000-0005-0000-0000-0000C62D0000}"/>
    <cellStyle name="Normal 2 2 2 2 2 2 33 13" xfId="11719" xr:uid="{00000000-0005-0000-0000-0000C72D0000}"/>
    <cellStyle name="Normal 2 2 2 2 2 2 33 14" xfId="11720" xr:uid="{00000000-0005-0000-0000-0000C82D0000}"/>
    <cellStyle name="Normal 2 2 2 2 2 2 33 2" xfId="11721" xr:uid="{00000000-0005-0000-0000-0000C92D0000}"/>
    <cellStyle name="Normal 2 2 2 2 2 2 33 2 10" xfId="11722" xr:uid="{00000000-0005-0000-0000-0000CA2D0000}"/>
    <cellStyle name="Normal 2 2 2 2 2 2 33 2 2" xfId="11723" xr:uid="{00000000-0005-0000-0000-0000CB2D0000}"/>
    <cellStyle name="Normal 2 2 2 2 2 2 33 2 3" xfId="11724" xr:uid="{00000000-0005-0000-0000-0000CC2D0000}"/>
    <cellStyle name="Normal 2 2 2 2 2 2 33 2 4" xfId="11725" xr:uid="{00000000-0005-0000-0000-0000CD2D0000}"/>
    <cellStyle name="Normal 2 2 2 2 2 2 33 2 5" xfId="11726" xr:uid="{00000000-0005-0000-0000-0000CE2D0000}"/>
    <cellStyle name="Normal 2 2 2 2 2 2 33 2 6" xfId="11727" xr:uid="{00000000-0005-0000-0000-0000CF2D0000}"/>
    <cellStyle name="Normal 2 2 2 2 2 2 33 2 7" xfId="11728" xr:uid="{00000000-0005-0000-0000-0000D02D0000}"/>
    <cellStyle name="Normal 2 2 2 2 2 2 33 2 8" xfId="11729" xr:uid="{00000000-0005-0000-0000-0000D12D0000}"/>
    <cellStyle name="Normal 2 2 2 2 2 2 33 2 9" xfId="11730" xr:uid="{00000000-0005-0000-0000-0000D22D0000}"/>
    <cellStyle name="Normal 2 2 2 2 2 2 33 3" xfId="11731" xr:uid="{00000000-0005-0000-0000-0000D32D0000}"/>
    <cellStyle name="Normal 2 2 2 2 2 2 33 3 10" xfId="11732" xr:uid="{00000000-0005-0000-0000-0000D42D0000}"/>
    <cellStyle name="Normal 2 2 2 2 2 2 33 3 2" xfId="11733" xr:uid="{00000000-0005-0000-0000-0000D52D0000}"/>
    <cellStyle name="Normal 2 2 2 2 2 2 33 3 3" xfId="11734" xr:uid="{00000000-0005-0000-0000-0000D62D0000}"/>
    <cellStyle name="Normal 2 2 2 2 2 2 33 3 4" xfId="11735" xr:uid="{00000000-0005-0000-0000-0000D72D0000}"/>
    <cellStyle name="Normal 2 2 2 2 2 2 33 3 5" xfId="11736" xr:uid="{00000000-0005-0000-0000-0000D82D0000}"/>
    <cellStyle name="Normal 2 2 2 2 2 2 33 3 6" xfId="11737" xr:uid="{00000000-0005-0000-0000-0000D92D0000}"/>
    <cellStyle name="Normal 2 2 2 2 2 2 33 3 7" xfId="11738" xr:uid="{00000000-0005-0000-0000-0000DA2D0000}"/>
    <cellStyle name="Normal 2 2 2 2 2 2 33 3 8" xfId="11739" xr:uid="{00000000-0005-0000-0000-0000DB2D0000}"/>
    <cellStyle name="Normal 2 2 2 2 2 2 33 3 9" xfId="11740" xr:uid="{00000000-0005-0000-0000-0000DC2D0000}"/>
    <cellStyle name="Normal 2 2 2 2 2 2 33 4" xfId="11741" xr:uid="{00000000-0005-0000-0000-0000DD2D0000}"/>
    <cellStyle name="Normal 2 2 2 2 2 2 33 4 10" xfId="11742" xr:uid="{00000000-0005-0000-0000-0000DE2D0000}"/>
    <cellStyle name="Normal 2 2 2 2 2 2 33 4 2" xfId="11743" xr:uid="{00000000-0005-0000-0000-0000DF2D0000}"/>
    <cellStyle name="Normal 2 2 2 2 2 2 33 4 3" xfId="11744" xr:uid="{00000000-0005-0000-0000-0000E02D0000}"/>
    <cellStyle name="Normal 2 2 2 2 2 2 33 4 4" xfId="11745" xr:uid="{00000000-0005-0000-0000-0000E12D0000}"/>
    <cellStyle name="Normal 2 2 2 2 2 2 33 4 5" xfId="11746" xr:uid="{00000000-0005-0000-0000-0000E22D0000}"/>
    <cellStyle name="Normal 2 2 2 2 2 2 33 4 6" xfId="11747" xr:uid="{00000000-0005-0000-0000-0000E32D0000}"/>
    <cellStyle name="Normal 2 2 2 2 2 2 33 4 7" xfId="11748" xr:uid="{00000000-0005-0000-0000-0000E42D0000}"/>
    <cellStyle name="Normal 2 2 2 2 2 2 33 4 8" xfId="11749" xr:uid="{00000000-0005-0000-0000-0000E52D0000}"/>
    <cellStyle name="Normal 2 2 2 2 2 2 33 4 9" xfId="11750" xr:uid="{00000000-0005-0000-0000-0000E62D0000}"/>
    <cellStyle name="Normal 2 2 2 2 2 2 33 5" xfId="11751" xr:uid="{00000000-0005-0000-0000-0000E72D0000}"/>
    <cellStyle name="Normal 2 2 2 2 2 2 33 5 10" xfId="11752" xr:uid="{00000000-0005-0000-0000-0000E82D0000}"/>
    <cellStyle name="Normal 2 2 2 2 2 2 33 5 2" xfId="11753" xr:uid="{00000000-0005-0000-0000-0000E92D0000}"/>
    <cellStyle name="Normal 2 2 2 2 2 2 33 5 3" xfId="11754" xr:uid="{00000000-0005-0000-0000-0000EA2D0000}"/>
    <cellStyle name="Normal 2 2 2 2 2 2 33 5 4" xfId="11755" xr:uid="{00000000-0005-0000-0000-0000EB2D0000}"/>
    <cellStyle name="Normal 2 2 2 2 2 2 33 5 5" xfId="11756" xr:uid="{00000000-0005-0000-0000-0000EC2D0000}"/>
    <cellStyle name="Normal 2 2 2 2 2 2 33 5 6" xfId="11757" xr:uid="{00000000-0005-0000-0000-0000ED2D0000}"/>
    <cellStyle name="Normal 2 2 2 2 2 2 33 5 7" xfId="11758" xr:uid="{00000000-0005-0000-0000-0000EE2D0000}"/>
    <cellStyle name="Normal 2 2 2 2 2 2 33 5 8" xfId="11759" xr:uid="{00000000-0005-0000-0000-0000EF2D0000}"/>
    <cellStyle name="Normal 2 2 2 2 2 2 33 5 9" xfId="11760" xr:uid="{00000000-0005-0000-0000-0000F02D0000}"/>
    <cellStyle name="Normal 2 2 2 2 2 2 33 6" xfId="11761" xr:uid="{00000000-0005-0000-0000-0000F12D0000}"/>
    <cellStyle name="Normal 2 2 2 2 2 2 33 7" xfId="11762" xr:uid="{00000000-0005-0000-0000-0000F22D0000}"/>
    <cellStyle name="Normal 2 2 2 2 2 2 33 8" xfId="11763" xr:uid="{00000000-0005-0000-0000-0000F32D0000}"/>
    <cellStyle name="Normal 2 2 2 2 2 2 33 9" xfId="11764" xr:uid="{00000000-0005-0000-0000-0000F42D0000}"/>
    <cellStyle name="Normal 2 2 2 2 2 2 34" xfId="11765" xr:uid="{00000000-0005-0000-0000-0000F52D0000}"/>
    <cellStyle name="Normal 2 2 2 2 2 2 34 10" xfId="11766" xr:uid="{00000000-0005-0000-0000-0000F62D0000}"/>
    <cellStyle name="Normal 2 2 2 2 2 2 34 2" xfId="11767" xr:uid="{00000000-0005-0000-0000-0000F72D0000}"/>
    <cellStyle name="Normal 2 2 2 2 2 2 34 3" xfId="11768" xr:uid="{00000000-0005-0000-0000-0000F82D0000}"/>
    <cellStyle name="Normal 2 2 2 2 2 2 34 4" xfId="11769" xr:uid="{00000000-0005-0000-0000-0000F92D0000}"/>
    <cellStyle name="Normal 2 2 2 2 2 2 34 5" xfId="11770" xr:uid="{00000000-0005-0000-0000-0000FA2D0000}"/>
    <cellStyle name="Normal 2 2 2 2 2 2 34 6" xfId="11771" xr:uid="{00000000-0005-0000-0000-0000FB2D0000}"/>
    <cellStyle name="Normal 2 2 2 2 2 2 34 7" xfId="11772" xr:uid="{00000000-0005-0000-0000-0000FC2D0000}"/>
    <cellStyle name="Normal 2 2 2 2 2 2 34 8" xfId="11773" xr:uid="{00000000-0005-0000-0000-0000FD2D0000}"/>
    <cellStyle name="Normal 2 2 2 2 2 2 34 9" xfId="11774" xr:uid="{00000000-0005-0000-0000-0000FE2D0000}"/>
    <cellStyle name="Normal 2 2 2 2 2 2 35" xfId="11775" xr:uid="{00000000-0005-0000-0000-0000FF2D0000}"/>
    <cellStyle name="Normal 2 2 2 2 2 2 35 10" xfId="11776" xr:uid="{00000000-0005-0000-0000-0000002E0000}"/>
    <cellStyle name="Normal 2 2 2 2 2 2 35 2" xfId="11777" xr:uid="{00000000-0005-0000-0000-0000012E0000}"/>
    <cellStyle name="Normal 2 2 2 2 2 2 35 3" xfId="11778" xr:uid="{00000000-0005-0000-0000-0000022E0000}"/>
    <cellStyle name="Normal 2 2 2 2 2 2 35 4" xfId="11779" xr:uid="{00000000-0005-0000-0000-0000032E0000}"/>
    <cellStyle name="Normal 2 2 2 2 2 2 35 5" xfId="11780" xr:uid="{00000000-0005-0000-0000-0000042E0000}"/>
    <cellStyle name="Normal 2 2 2 2 2 2 35 6" xfId="11781" xr:uid="{00000000-0005-0000-0000-0000052E0000}"/>
    <cellStyle name="Normal 2 2 2 2 2 2 35 7" xfId="11782" xr:uid="{00000000-0005-0000-0000-0000062E0000}"/>
    <cellStyle name="Normal 2 2 2 2 2 2 35 8" xfId="11783" xr:uid="{00000000-0005-0000-0000-0000072E0000}"/>
    <cellStyle name="Normal 2 2 2 2 2 2 35 9" xfId="11784" xr:uid="{00000000-0005-0000-0000-0000082E0000}"/>
    <cellStyle name="Normal 2 2 2 2 2 2 36" xfId="11785" xr:uid="{00000000-0005-0000-0000-0000092E0000}"/>
    <cellStyle name="Normal 2 2 2 2 2 2 36 10" xfId="11786" xr:uid="{00000000-0005-0000-0000-00000A2E0000}"/>
    <cellStyle name="Normal 2 2 2 2 2 2 36 2" xfId="11787" xr:uid="{00000000-0005-0000-0000-00000B2E0000}"/>
    <cellStyle name="Normal 2 2 2 2 2 2 36 3" xfId="11788" xr:uid="{00000000-0005-0000-0000-00000C2E0000}"/>
    <cellStyle name="Normal 2 2 2 2 2 2 36 4" xfId="11789" xr:uid="{00000000-0005-0000-0000-00000D2E0000}"/>
    <cellStyle name="Normal 2 2 2 2 2 2 36 5" xfId="11790" xr:uid="{00000000-0005-0000-0000-00000E2E0000}"/>
    <cellStyle name="Normal 2 2 2 2 2 2 36 6" xfId="11791" xr:uid="{00000000-0005-0000-0000-00000F2E0000}"/>
    <cellStyle name="Normal 2 2 2 2 2 2 36 7" xfId="11792" xr:uid="{00000000-0005-0000-0000-0000102E0000}"/>
    <cellStyle name="Normal 2 2 2 2 2 2 36 8" xfId="11793" xr:uid="{00000000-0005-0000-0000-0000112E0000}"/>
    <cellStyle name="Normal 2 2 2 2 2 2 36 9" xfId="11794" xr:uid="{00000000-0005-0000-0000-0000122E0000}"/>
    <cellStyle name="Normal 2 2 2 2 2 2 37" xfId="11795" xr:uid="{00000000-0005-0000-0000-0000132E0000}"/>
    <cellStyle name="Normal 2 2 2 2 2 2 37 10" xfId="11796" xr:uid="{00000000-0005-0000-0000-0000142E0000}"/>
    <cellStyle name="Normal 2 2 2 2 2 2 37 2" xfId="11797" xr:uid="{00000000-0005-0000-0000-0000152E0000}"/>
    <cellStyle name="Normal 2 2 2 2 2 2 37 3" xfId="11798" xr:uid="{00000000-0005-0000-0000-0000162E0000}"/>
    <cellStyle name="Normal 2 2 2 2 2 2 37 4" xfId="11799" xr:uid="{00000000-0005-0000-0000-0000172E0000}"/>
    <cellStyle name="Normal 2 2 2 2 2 2 37 5" xfId="11800" xr:uid="{00000000-0005-0000-0000-0000182E0000}"/>
    <cellStyle name="Normal 2 2 2 2 2 2 37 6" xfId="11801" xr:uid="{00000000-0005-0000-0000-0000192E0000}"/>
    <cellStyle name="Normal 2 2 2 2 2 2 37 7" xfId="11802" xr:uid="{00000000-0005-0000-0000-00001A2E0000}"/>
    <cellStyle name="Normal 2 2 2 2 2 2 37 8" xfId="11803" xr:uid="{00000000-0005-0000-0000-00001B2E0000}"/>
    <cellStyle name="Normal 2 2 2 2 2 2 37 9" xfId="11804" xr:uid="{00000000-0005-0000-0000-00001C2E0000}"/>
    <cellStyle name="Normal 2 2 2 2 2 2 38" xfId="11805" xr:uid="{00000000-0005-0000-0000-00001D2E0000}"/>
    <cellStyle name="Normal 2 2 2 2 2 2 39" xfId="11806" xr:uid="{00000000-0005-0000-0000-00001E2E0000}"/>
    <cellStyle name="Normal 2 2 2 2 2 2 4" xfId="11807" xr:uid="{00000000-0005-0000-0000-00001F2E0000}"/>
    <cellStyle name="Normal 2 2 2 2 2 2 4 10" xfId="11808" xr:uid="{00000000-0005-0000-0000-0000202E0000}"/>
    <cellStyle name="Normal 2 2 2 2 2 2 4 11" xfId="11809" xr:uid="{00000000-0005-0000-0000-0000212E0000}"/>
    <cellStyle name="Normal 2 2 2 2 2 2 4 12" xfId="11810" xr:uid="{00000000-0005-0000-0000-0000222E0000}"/>
    <cellStyle name="Normal 2 2 2 2 2 2 4 13" xfId="11811" xr:uid="{00000000-0005-0000-0000-0000232E0000}"/>
    <cellStyle name="Normal 2 2 2 2 2 2 4 14" xfId="11812" xr:uid="{00000000-0005-0000-0000-0000242E0000}"/>
    <cellStyle name="Normal 2 2 2 2 2 2 4 2" xfId="11813" xr:uid="{00000000-0005-0000-0000-0000252E0000}"/>
    <cellStyle name="Normal 2 2 2 2 2 2 4 2 10" xfId="11814" xr:uid="{00000000-0005-0000-0000-0000262E0000}"/>
    <cellStyle name="Normal 2 2 2 2 2 2 4 2 2" xfId="11815" xr:uid="{00000000-0005-0000-0000-0000272E0000}"/>
    <cellStyle name="Normal 2 2 2 2 2 2 4 2 3" xfId="11816" xr:uid="{00000000-0005-0000-0000-0000282E0000}"/>
    <cellStyle name="Normal 2 2 2 2 2 2 4 2 4" xfId="11817" xr:uid="{00000000-0005-0000-0000-0000292E0000}"/>
    <cellStyle name="Normal 2 2 2 2 2 2 4 2 5" xfId="11818" xr:uid="{00000000-0005-0000-0000-00002A2E0000}"/>
    <cellStyle name="Normal 2 2 2 2 2 2 4 2 6" xfId="11819" xr:uid="{00000000-0005-0000-0000-00002B2E0000}"/>
    <cellStyle name="Normal 2 2 2 2 2 2 4 2 7" xfId="11820" xr:uid="{00000000-0005-0000-0000-00002C2E0000}"/>
    <cellStyle name="Normal 2 2 2 2 2 2 4 2 8" xfId="11821" xr:uid="{00000000-0005-0000-0000-00002D2E0000}"/>
    <cellStyle name="Normal 2 2 2 2 2 2 4 2 9" xfId="11822" xr:uid="{00000000-0005-0000-0000-00002E2E0000}"/>
    <cellStyle name="Normal 2 2 2 2 2 2 4 3" xfId="11823" xr:uid="{00000000-0005-0000-0000-00002F2E0000}"/>
    <cellStyle name="Normal 2 2 2 2 2 2 4 3 10" xfId="11824" xr:uid="{00000000-0005-0000-0000-0000302E0000}"/>
    <cellStyle name="Normal 2 2 2 2 2 2 4 3 2" xfId="11825" xr:uid="{00000000-0005-0000-0000-0000312E0000}"/>
    <cellStyle name="Normal 2 2 2 2 2 2 4 3 3" xfId="11826" xr:uid="{00000000-0005-0000-0000-0000322E0000}"/>
    <cellStyle name="Normal 2 2 2 2 2 2 4 3 4" xfId="11827" xr:uid="{00000000-0005-0000-0000-0000332E0000}"/>
    <cellStyle name="Normal 2 2 2 2 2 2 4 3 5" xfId="11828" xr:uid="{00000000-0005-0000-0000-0000342E0000}"/>
    <cellStyle name="Normal 2 2 2 2 2 2 4 3 6" xfId="11829" xr:uid="{00000000-0005-0000-0000-0000352E0000}"/>
    <cellStyle name="Normal 2 2 2 2 2 2 4 3 7" xfId="11830" xr:uid="{00000000-0005-0000-0000-0000362E0000}"/>
    <cellStyle name="Normal 2 2 2 2 2 2 4 3 8" xfId="11831" xr:uid="{00000000-0005-0000-0000-0000372E0000}"/>
    <cellStyle name="Normal 2 2 2 2 2 2 4 3 9" xfId="11832" xr:uid="{00000000-0005-0000-0000-0000382E0000}"/>
    <cellStyle name="Normal 2 2 2 2 2 2 4 4" xfId="11833" xr:uid="{00000000-0005-0000-0000-0000392E0000}"/>
    <cellStyle name="Normal 2 2 2 2 2 2 4 4 10" xfId="11834" xr:uid="{00000000-0005-0000-0000-00003A2E0000}"/>
    <cellStyle name="Normal 2 2 2 2 2 2 4 4 2" xfId="11835" xr:uid="{00000000-0005-0000-0000-00003B2E0000}"/>
    <cellStyle name="Normal 2 2 2 2 2 2 4 4 3" xfId="11836" xr:uid="{00000000-0005-0000-0000-00003C2E0000}"/>
    <cellStyle name="Normal 2 2 2 2 2 2 4 4 4" xfId="11837" xr:uid="{00000000-0005-0000-0000-00003D2E0000}"/>
    <cellStyle name="Normal 2 2 2 2 2 2 4 4 5" xfId="11838" xr:uid="{00000000-0005-0000-0000-00003E2E0000}"/>
    <cellStyle name="Normal 2 2 2 2 2 2 4 4 6" xfId="11839" xr:uid="{00000000-0005-0000-0000-00003F2E0000}"/>
    <cellStyle name="Normal 2 2 2 2 2 2 4 4 7" xfId="11840" xr:uid="{00000000-0005-0000-0000-0000402E0000}"/>
    <cellStyle name="Normal 2 2 2 2 2 2 4 4 8" xfId="11841" xr:uid="{00000000-0005-0000-0000-0000412E0000}"/>
    <cellStyle name="Normal 2 2 2 2 2 2 4 4 9" xfId="11842" xr:uid="{00000000-0005-0000-0000-0000422E0000}"/>
    <cellStyle name="Normal 2 2 2 2 2 2 4 5" xfId="11843" xr:uid="{00000000-0005-0000-0000-0000432E0000}"/>
    <cellStyle name="Normal 2 2 2 2 2 2 4 5 10" xfId="11844" xr:uid="{00000000-0005-0000-0000-0000442E0000}"/>
    <cellStyle name="Normal 2 2 2 2 2 2 4 5 2" xfId="11845" xr:uid="{00000000-0005-0000-0000-0000452E0000}"/>
    <cellStyle name="Normal 2 2 2 2 2 2 4 5 3" xfId="11846" xr:uid="{00000000-0005-0000-0000-0000462E0000}"/>
    <cellStyle name="Normal 2 2 2 2 2 2 4 5 4" xfId="11847" xr:uid="{00000000-0005-0000-0000-0000472E0000}"/>
    <cellStyle name="Normal 2 2 2 2 2 2 4 5 5" xfId="11848" xr:uid="{00000000-0005-0000-0000-0000482E0000}"/>
    <cellStyle name="Normal 2 2 2 2 2 2 4 5 6" xfId="11849" xr:uid="{00000000-0005-0000-0000-0000492E0000}"/>
    <cellStyle name="Normal 2 2 2 2 2 2 4 5 7" xfId="11850" xr:uid="{00000000-0005-0000-0000-00004A2E0000}"/>
    <cellStyle name="Normal 2 2 2 2 2 2 4 5 8" xfId="11851" xr:uid="{00000000-0005-0000-0000-00004B2E0000}"/>
    <cellStyle name="Normal 2 2 2 2 2 2 4 5 9" xfId="11852" xr:uid="{00000000-0005-0000-0000-00004C2E0000}"/>
    <cellStyle name="Normal 2 2 2 2 2 2 4 6" xfId="11853" xr:uid="{00000000-0005-0000-0000-00004D2E0000}"/>
    <cellStyle name="Normal 2 2 2 2 2 2 4 7" xfId="11854" xr:uid="{00000000-0005-0000-0000-00004E2E0000}"/>
    <cellStyle name="Normal 2 2 2 2 2 2 4 8" xfId="11855" xr:uid="{00000000-0005-0000-0000-00004F2E0000}"/>
    <cellStyle name="Normal 2 2 2 2 2 2 4 9" xfId="11856" xr:uid="{00000000-0005-0000-0000-0000502E0000}"/>
    <cellStyle name="Normal 2 2 2 2 2 2 40" xfId="11857" xr:uid="{00000000-0005-0000-0000-0000512E0000}"/>
    <cellStyle name="Normal 2 2 2 2 2 2 41" xfId="11858" xr:uid="{00000000-0005-0000-0000-0000522E0000}"/>
    <cellStyle name="Normal 2 2 2 2 2 2 42" xfId="11859" xr:uid="{00000000-0005-0000-0000-0000532E0000}"/>
    <cellStyle name="Normal 2 2 2 2 2 2 43" xfId="11860" xr:uid="{00000000-0005-0000-0000-0000542E0000}"/>
    <cellStyle name="Normal 2 2 2 2 2 2 44" xfId="11861" xr:uid="{00000000-0005-0000-0000-0000552E0000}"/>
    <cellStyle name="Normal 2 2 2 2 2 2 45" xfId="11862" xr:uid="{00000000-0005-0000-0000-0000562E0000}"/>
    <cellStyle name="Normal 2 2 2 2 2 2 46" xfId="11863" xr:uid="{00000000-0005-0000-0000-0000572E0000}"/>
    <cellStyle name="Normal 2 2 2 2 2 2 47" xfId="11864" xr:uid="{00000000-0005-0000-0000-0000582E0000}"/>
    <cellStyle name="Normal 2 2 2 2 2 2 48" xfId="11865" xr:uid="{00000000-0005-0000-0000-0000592E0000}"/>
    <cellStyle name="Normal 2 2 2 2 2 2 5" xfId="11866" xr:uid="{00000000-0005-0000-0000-00005A2E0000}"/>
    <cellStyle name="Normal 2 2 2 2 2 2 5 10" xfId="11867" xr:uid="{00000000-0005-0000-0000-00005B2E0000}"/>
    <cellStyle name="Normal 2 2 2 2 2 2 5 11" xfId="11868" xr:uid="{00000000-0005-0000-0000-00005C2E0000}"/>
    <cellStyle name="Normal 2 2 2 2 2 2 5 12" xfId="11869" xr:uid="{00000000-0005-0000-0000-00005D2E0000}"/>
    <cellStyle name="Normal 2 2 2 2 2 2 5 13" xfId="11870" xr:uid="{00000000-0005-0000-0000-00005E2E0000}"/>
    <cellStyle name="Normal 2 2 2 2 2 2 5 14" xfId="11871" xr:uid="{00000000-0005-0000-0000-00005F2E0000}"/>
    <cellStyle name="Normal 2 2 2 2 2 2 5 2" xfId="11872" xr:uid="{00000000-0005-0000-0000-0000602E0000}"/>
    <cellStyle name="Normal 2 2 2 2 2 2 5 2 10" xfId="11873" xr:uid="{00000000-0005-0000-0000-0000612E0000}"/>
    <cellStyle name="Normal 2 2 2 2 2 2 5 2 2" xfId="11874" xr:uid="{00000000-0005-0000-0000-0000622E0000}"/>
    <cellStyle name="Normal 2 2 2 2 2 2 5 2 3" xfId="11875" xr:uid="{00000000-0005-0000-0000-0000632E0000}"/>
    <cellStyle name="Normal 2 2 2 2 2 2 5 2 4" xfId="11876" xr:uid="{00000000-0005-0000-0000-0000642E0000}"/>
    <cellStyle name="Normal 2 2 2 2 2 2 5 2 5" xfId="11877" xr:uid="{00000000-0005-0000-0000-0000652E0000}"/>
    <cellStyle name="Normal 2 2 2 2 2 2 5 2 6" xfId="11878" xr:uid="{00000000-0005-0000-0000-0000662E0000}"/>
    <cellStyle name="Normal 2 2 2 2 2 2 5 2 7" xfId="11879" xr:uid="{00000000-0005-0000-0000-0000672E0000}"/>
    <cellStyle name="Normal 2 2 2 2 2 2 5 2 8" xfId="11880" xr:uid="{00000000-0005-0000-0000-0000682E0000}"/>
    <cellStyle name="Normal 2 2 2 2 2 2 5 2 9" xfId="11881" xr:uid="{00000000-0005-0000-0000-0000692E0000}"/>
    <cellStyle name="Normal 2 2 2 2 2 2 5 3" xfId="11882" xr:uid="{00000000-0005-0000-0000-00006A2E0000}"/>
    <cellStyle name="Normal 2 2 2 2 2 2 5 3 10" xfId="11883" xr:uid="{00000000-0005-0000-0000-00006B2E0000}"/>
    <cellStyle name="Normal 2 2 2 2 2 2 5 3 2" xfId="11884" xr:uid="{00000000-0005-0000-0000-00006C2E0000}"/>
    <cellStyle name="Normal 2 2 2 2 2 2 5 3 3" xfId="11885" xr:uid="{00000000-0005-0000-0000-00006D2E0000}"/>
    <cellStyle name="Normal 2 2 2 2 2 2 5 3 4" xfId="11886" xr:uid="{00000000-0005-0000-0000-00006E2E0000}"/>
    <cellStyle name="Normal 2 2 2 2 2 2 5 3 5" xfId="11887" xr:uid="{00000000-0005-0000-0000-00006F2E0000}"/>
    <cellStyle name="Normal 2 2 2 2 2 2 5 3 6" xfId="11888" xr:uid="{00000000-0005-0000-0000-0000702E0000}"/>
    <cellStyle name="Normal 2 2 2 2 2 2 5 3 7" xfId="11889" xr:uid="{00000000-0005-0000-0000-0000712E0000}"/>
    <cellStyle name="Normal 2 2 2 2 2 2 5 3 8" xfId="11890" xr:uid="{00000000-0005-0000-0000-0000722E0000}"/>
    <cellStyle name="Normal 2 2 2 2 2 2 5 3 9" xfId="11891" xr:uid="{00000000-0005-0000-0000-0000732E0000}"/>
    <cellStyle name="Normal 2 2 2 2 2 2 5 4" xfId="11892" xr:uid="{00000000-0005-0000-0000-0000742E0000}"/>
    <cellStyle name="Normal 2 2 2 2 2 2 5 4 10" xfId="11893" xr:uid="{00000000-0005-0000-0000-0000752E0000}"/>
    <cellStyle name="Normal 2 2 2 2 2 2 5 4 2" xfId="11894" xr:uid="{00000000-0005-0000-0000-0000762E0000}"/>
    <cellStyle name="Normal 2 2 2 2 2 2 5 4 3" xfId="11895" xr:uid="{00000000-0005-0000-0000-0000772E0000}"/>
    <cellStyle name="Normal 2 2 2 2 2 2 5 4 4" xfId="11896" xr:uid="{00000000-0005-0000-0000-0000782E0000}"/>
    <cellStyle name="Normal 2 2 2 2 2 2 5 4 5" xfId="11897" xr:uid="{00000000-0005-0000-0000-0000792E0000}"/>
    <cellStyle name="Normal 2 2 2 2 2 2 5 4 6" xfId="11898" xr:uid="{00000000-0005-0000-0000-00007A2E0000}"/>
    <cellStyle name="Normal 2 2 2 2 2 2 5 4 7" xfId="11899" xr:uid="{00000000-0005-0000-0000-00007B2E0000}"/>
    <cellStyle name="Normal 2 2 2 2 2 2 5 4 8" xfId="11900" xr:uid="{00000000-0005-0000-0000-00007C2E0000}"/>
    <cellStyle name="Normal 2 2 2 2 2 2 5 4 9" xfId="11901" xr:uid="{00000000-0005-0000-0000-00007D2E0000}"/>
    <cellStyle name="Normal 2 2 2 2 2 2 5 5" xfId="11902" xr:uid="{00000000-0005-0000-0000-00007E2E0000}"/>
    <cellStyle name="Normal 2 2 2 2 2 2 5 5 10" xfId="11903" xr:uid="{00000000-0005-0000-0000-00007F2E0000}"/>
    <cellStyle name="Normal 2 2 2 2 2 2 5 5 2" xfId="11904" xr:uid="{00000000-0005-0000-0000-0000802E0000}"/>
    <cellStyle name="Normal 2 2 2 2 2 2 5 5 3" xfId="11905" xr:uid="{00000000-0005-0000-0000-0000812E0000}"/>
    <cellStyle name="Normal 2 2 2 2 2 2 5 5 4" xfId="11906" xr:uid="{00000000-0005-0000-0000-0000822E0000}"/>
    <cellStyle name="Normal 2 2 2 2 2 2 5 5 5" xfId="11907" xr:uid="{00000000-0005-0000-0000-0000832E0000}"/>
    <cellStyle name="Normal 2 2 2 2 2 2 5 5 6" xfId="11908" xr:uid="{00000000-0005-0000-0000-0000842E0000}"/>
    <cellStyle name="Normal 2 2 2 2 2 2 5 5 7" xfId="11909" xr:uid="{00000000-0005-0000-0000-0000852E0000}"/>
    <cellStyle name="Normal 2 2 2 2 2 2 5 5 8" xfId="11910" xr:uid="{00000000-0005-0000-0000-0000862E0000}"/>
    <cellStyle name="Normal 2 2 2 2 2 2 5 5 9" xfId="11911" xr:uid="{00000000-0005-0000-0000-0000872E0000}"/>
    <cellStyle name="Normal 2 2 2 2 2 2 5 6" xfId="11912" xr:uid="{00000000-0005-0000-0000-0000882E0000}"/>
    <cellStyle name="Normal 2 2 2 2 2 2 5 7" xfId="11913" xr:uid="{00000000-0005-0000-0000-0000892E0000}"/>
    <cellStyle name="Normal 2 2 2 2 2 2 5 8" xfId="11914" xr:uid="{00000000-0005-0000-0000-00008A2E0000}"/>
    <cellStyle name="Normal 2 2 2 2 2 2 5 9" xfId="11915" xr:uid="{00000000-0005-0000-0000-00008B2E0000}"/>
    <cellStyle name="Normal 2 2 2 2 2 2 6" xfId="11916" xr:uid="{00000000-0005-0000-0000-00008C2E0000}"/>
    <cellStyle name="Normal 2 2 2 2 2 2 6 10" xfId="11917" xr:uid="{00000000-0005-0000-0000-00008D2E0000}"/>
    <cellStyle name="Normal 2 2 2 2 2 2 6 11" xfId="11918" xr:uid="{00000000-0005-0000-0000-00008E2E0000}"/>
    <cellStyle name="Normal 2 2 2 2 2 2 6 12" xfId="11919" xr:uid="{00000000-0005-0000-0000-00008F2E0000}"/>
    <cellStyle name="Normal 2 2 2 2 2 2 6 13" xfId="11920" xr:uid="{00000000-0005-0000-0000-0000902E0000}"/>
    <cellStyle name="Normal 2 2 2 2 2 2 6 14" xfId="11921" xr:uid="{00000000-0005-0000-0000-0000912E0000}"/>
    <cellStyle name="Normal 2 2 2 2 2 2 6 2" xfId="11922" xr:uid="{00000000-0005-0000-0000-0000922E0000}"/>
    <cellStyle name="Normal 2 2 2 2 2 2 6 2 10" xfId="11923" xr:uid="{00000000-0005-0000-0000-0000932E0000}"/>
    <cellStyle name="Normal 2 2 2 2 2 2 6 2 2" xfId="11924" xr:uid="{00000000-0005-0000-0000-0000942E0000}"/>
    <cellStyle name="Normal 2 2 2 2 2 2 6 2 3" xfId="11925" xr:uid="{00000000-0005-0000-0000-0000952E0000}"/>
    <cellStyle name="Normal 2 2 2 2 2 2 6 2 4" xfId="11926" xr:uid="{00000000-0005-0000-0000-0000962E0000}"/>
    <cellStyle name="Normal 2 2 2 2 2 2 6 2 5" xfId="11927" xr:uid="{00000000-0005-0000-0000-0000972E0000}"/>
    <cellStyle name="Normal 2 2 2 2 2 2 6 2 6" xfId="11928" xr:uid="{00000000-0005-0000-0000-0000982E0000}"/>
    <cellStyle name="Normal 2 2 2 2 2 2 6 2 7" xfId="11929" xr:uid="{00000000-0005-0000-0000-0000992E0000}"/>
    <cellStyle name="Normal 2 2 2 2 2 2 6 2 8" xfId="11930" xr:uid="{00000000-0005-0000-0000-00009A2E0000}"/>
    <cellStyle name="Normal 2 2 2 2 2 2 6 2 9" xfId="11931" xr:uid="{00000000-0005-0000-0000-00009B2E0000}"/>
    <cellStyle name="Normal 2 2 2 2 2 2 6 3" xfId="11932" xr:uid="{00000000-0005-0000-0000-00009C2E0000}"/>
    <cellStyle name="Normal 2 2 2 2 2 2 6 3 10" xfId="11933" xr:uid="{00000000-0005-0000-0000-00009D2E0000}"/>
    <cellStyle name="Normal 2 2 2 2 2 2 6 3 2" xfId="11934" xr:uid="{00000000-0005-0000-0000-00009E2E0000}"/>
    <cellStyle name="Normal 2 2 2 2 2 2 6 3 3" xfId="11935" xr:uid="{00000000-0005-0000-0000-00009F2E0000}"/>
    <cellStyle name="Normal 2 2 2 2 2 2 6 3 4" xfId="11936" xr:uid="{00000000-0005-0000-0000-0000A02E0000}"/>
    <cellStyle name="Normal 2 2 2 2 2 2 6 3 5" xfId="11937" xr:uid="{00000000-0005-0000-0000-0000A12E0000}"/>
    <cellStyle name="Normal 2 2 2 2 2 2 6 3 6" xfId="11938" xr:uid="{00000000-0005-0000-0000-0000A22E0000}"/>
    <cellStyle name="Normal 2 2 2 2 2 2 6 3 7" xfId="11939" xr:uid="{00000000-0005-0000-0000-0000A32E0000}"/>
    <cellStyle name="Normal 2 2 2 2 2 2 6 3 8" xfId="11940" xr:uid="{00000000-0005-0000-0000-0000A42E0000}"/>
    <cellStyle name="Normal 2 2 2 2 2 2 6 3 9" xfId="11941" xr:uid="{00000000-0005-0000-0000-0000A52E0000}"/>
    <cellStyle name="Normal 2 2 2 2 2 2 6 4" xfId="11942" xr:uid="{00000000-0005-0000-0000-0000A62E0000}"/>
    <cellStyle name="Normal 2 2 2 2 2 2 6 4 10" xfId="11943" xr:uid="{00000000-0005-0000-0000-0000A72E0000}"/>
    <cellStyle name="Normal 2 2 2 2 2 2 6 4 2" xfId="11944" xr:uid="{00000000-0005-0000-0000-0000A82E0000}"/>
    <cellStyle name="Normal 2 2 2 2 2 2 6 4 3" xfId="11945" xr:uid="{00000000-0005-0000-0000-0000A92E0000}"/>
    <cellStyle name="Normal 2 2 2 2 2 2 6 4 4" xfId="11946" xr:uid="{00000000-0005-0000-0000-0000AA2E0000}"/>
    <cellStyle name="Normal 2 2 2 2 2 2 6 4 5" xfId="11947" xr:uid="{00000000-0005-0000-0000-0000AB2E0000}"/>
    <cellStyle name="Normal 2 2 2 2 2 2 6 4 6" xfId="11948" xr:uid="{00000000-0005-0000-0000-0000AC2E0000}"/>
    <cellStyle name="Normal 2 2 2 2 2 2 6 4 7" xfId="11949" xr:uid="{00000000-0005-0000-0000-0000AD2E0000}"/>
    <cellStyle name="Normal 2 2 2 2 2 2 6 4 8" xfId="11950" xr:uid="{00000000-0005-0000-0000-0000AE2E0000}"/>
    <cellStyle name="Normal 2 2 2 2 2 2 6 4 9" xfId="11951" xr:uid="{00000000-0005-0000-0000-0000AF2E0000}"/>
    <cellStyle name="Normal 2 2 2 2 2 2 6 5" xfId="11952" xr:uid="{00000000-0005-0000-0000-0000B02E0000}"/>
    <cellStyle name="Normal 2 2 2 2 2 2 6 5 10" xfId="11953" xr:uid="{00000000-0005-0000-0000-0000B12E0000}"/>
    <cellStyle name="Normal 2 2 2 2 2 2 6 5 2" xfId="11954" xr:uid="{00000000-0005-0000-0000-0000B22E0000}"/>
    <cellStyle name="Normal 2 2 2 2 2 2 6 5 3" xfId="11955" xr:uid="{00000000-0005-0000-0000-0000B32E0000}"/>
    <cellStyle name="Normal 2 2 2 2 2 2 6 5 4" xfId="11956" xr:uid="{00000000-0005-0000-0000-0000B42E0000}"/>
    <cellStyle name="Normal 2 2 2 2 2 2 6 5 5" xfId="11957" xr:uid="{00000000-0005-0000-0000-0000B52E0000}"/>
    <cellStyle name="Normal 2 2 2 2 2 2 6 5 6" xfId="11958" xr:uid="{00000000-0005-0000-0000-0000B62E0000}"/>
    <cellStyle name="Normal 2 2 2 2 2 2 6 5 7" xfId="11959" xr:uid="{00000000-0005-0000-0000-0000B72E0000}"/>
    <cellStyle name="Normal 2 2 2 2 2 2 6 5 8" xfId="11960" xr:uid="{00000000-0005-0000-0000-0000B82E0000}"/>
    <cellStyle name="Normal 2 2 2 2 2 2 6 5 9" xfId="11961" xr:uid="{00000000-0005-0000-0000-0000B92E0000}"/>
    <cellStyle name="Normal 2 2 2 2 2 2 6 6" xfId="11962" xr:uid="{00000000-0005-0000-0000-0000BA2E0000}"/>
    <cellStyle name="Normal 2 2 2 2 2 2 6 7" xfId="11963" xr:uid="{00000000-0005-0000-0000-0000BB2E0000}"/>
    <cellStyle name="Normal 2 2 2 2 2 2 6 8" xfId="11964" xr:uid="{00000000-0005-0000-0000-0000BC2E0000}"/>
    <cellStyle name="Normal 2 2 2 2 2 2 6 9" xfId="11965" xr:uid="{00000000-0005-0000-0000-0000BD2E0000}"/>
    <cellStyle name="Normal 2 2 2 2 2 2 7" xfId="11966" xr:uid="{00000000-0005-0000-0000-0000BE2E0000}"/>
    <cellStyle name="Normal 2 2 2 2 2 2 7 10" xfId="11967" xr:uid="{00000000-0005-0000-0000-0000BF2E0000}"/>
    <cellStyle name="Normal 2 2 2 2 2 2 7 11" xfId="11968" xr:uid="{00000000-0005-0000-0000-0000C02E0000}"/>
    <cellStyle name="Normal 2 2 2 2 2 2 7 12" xfId="11969" xr:uid="{00000000-0005-0000-0000-0000C12E0000}"/>
    <cellStyle name="Normal 2 2 2 2 2 2 7 13" xfId="11970" xr:uid="{00000000-0005-0000-0000-0000C22E0000}"/>
    <cellStyle name="Normal 2 2 2 2 2 2 7 14" xfId="11971" xr:uid="{00000000-0005-0000-0000-0000C32E0000}"/>
    <cellStyle name="Normal 2 2 2 2 2 2 7 2" xfId="11972" xr:uid="{00000000-0005-0000-0000-0000C42E0000}"/>
    <cellStyle name="Normal 2 2 2 2 2 2 7 2 10" xfId="11973" xr:uid="{00000000-0005-0000-0000-0000C52E0000}"/>
    <cellStyle name="Normal 2 2 2 2 2 2 7 2 2" xfId="11974" xr:uid="{00000000-0005-0000-0000-0000C62E0000}"/>
    <cellStyle name="Normal 2 2 2 2 2 2 7 2 3" xfId="11975" xr:uid="{00000000-0005-0000-0000-0000C72E0000}"/>
    <cellStyle name="Normal 2 2 2 2 2 2 7 2 4" xfId="11976" xr:uid="{00000000-0005-0000-0000-0000C82E0000}"/>
    <cellStyle name="Normal 2 2 2 2 2 2 7 2 5" xfId="11977" xr:uid="{00000000-0005-0000-0000-0000C92E0000}"/>
    <cellStyle name="Normal 2 2 2 2 2 2 7 2 6" xfId="11978" xr:uid="{00000000-0005-0000-0000-0000CA2E0000}"/>
    <cellStyle name="Normal 2 2 2 2 2 2 7 2 7" xfId="11979" xr:uid="{00000000-0005-0000-0000-0000CB2E0000}"/>
    <cellStyle name="Normal 2 2 2 2 2 2 7 2 8" xfId="11980" xr:uid="{00000000-0005-0000-0000-0000CC2E0000}"/>
    <cellStyle name="Normal 2 2 2 2 2 2 7 2 9" xfId="11981" xr:uid="{00000000-0005-0000-0000-0000CD2E0000}"/>
    <cellStyle name="Normal 2 2 2 2 2 2 7 3" xfId="11982" xr:uid="{00000000-0005-0000-0000-0000CE2E0000}"/>
    <cellStyle name="Normal 2 2 2 2 2 2 7 3 10" xfId="11983" xr:uid="{00000000-0005-0000-0000-0000CF2E0000}"/>
    <cellStyle name="Normal 2 2 2 2 2 2 7 3 2" xfId="11984" xr:uid="{00000000-0005-0000-0000-0000D02E0000}"/>
    <cellStyle name="Normal 2 2 2 2 2 2 7 3 3" xfId="11985" xr:uid="{00000000-0005-0000-0000-0000D12E0000}"/>
    <cellStyle name="Normal 2 2 2 2 2 2 7 3 4" xfId="11986" xr:uid="{00000000-0005-0000-0000-0000D22E0000}"/>
    <cellStyle name="Normal 2 2 2 2 2 2 7 3 5" xfId="11987" xr:uid="{00000000-0005-0000-0000-0000D32E0000}"/>
    <cellStyle name="Normal 2 2 2 2 2 2 7 3 6" xfId="11988" xr:uid="{00000000-0005-0000-0000-0000D42E0000}"/>
    <cellStyle name="Normal 2 2 2 2 2 2 7 3 7" xfId="11989" xr:uid="{00000000-0005-0000-0000-0000D52E0000}"/>
    <cellStyle name="Normal 2 2 2 2 2 2 7 3 8" xfId="11990" xr:uid="{00000000-0005-0000-0000-0000D62E0000}"/>
    <cellStyle name="Normal 2 2 2 2 2 2 7 3 9" xfId="11991" xr:uid="{00000000-0005-0000-0000-0000D72E0000}"/>
    <cellStyle name="Normal 2 2 2 2 2 2 7 4" xfId="11992" xr:uid="{00000000-0005-0000-0000-0000D82E0000}"/>
    <cellStyle name="Normal 2 2 2 2 2 2 7 4 10" xfId="11993" xr:uid="{00000000-0005-0000-0000-0000D92E0000}"/>
    <cellStyle name="Normal 2 2 2 2 2 2 7 4 2" xfId="11994" xr:uid="{00000000-0005-0000-0000-0000DA2E0000}"/>
    <cellStyle name="Normal 2 2 2 2 2 2 7 4 3" xfId="11995" xr:uid="{00000000-0005-0000-0000-0000DB2E0000}"/>
    <cellStyle name="Normal 2 2 2 2 2 2 7 4 4" xfId="11996" xr:uid="{00000000-0005-0000-0000-0000DC2E0000}"/>
    <cellStyle name="Normal 2 2 2 2 2 2 7 4 5" xfId="11997" xr:uid="{00000000-0005-0000-0000-0000DD2E0000}"/>
    <cellStyle name="Normal 2 2 2 2 2 2 7 4 6" xfId="11998" xr:uid="{00000000-0005-0000-0000-0000DE2E0000}"/>
    <cellStyle name="Normal 2 2 2 2 2 2 7 4 7" xfId="11999" xr:uid="{00000000-0005-0000-0000-0000DF2E0000}"/>
    <cellStyle name="Normal 2 2 2 2 2 2 7 4 8" xfId="12000" xr:uid="{00000000-0005-0000-0000-0000E02E0000}"/>
    <cellStyle name="Normal 2 2 2 2 2 2 7 4 9" xfId="12001" xr:uid="{00000000-0005-0000-0000-0000E12E0000}"/>
    <cellStyle name="Normal 2 2 2 2 2 2 7 5" xfId="12002" xr:uid="{00000000-0005-0000-0000-0000E22E0000}"/>
    <cellStyle name="Normal 2 2 2 2 2 2 7 5 10" xfId="12003" xr:uid="{00000000-0005-0000-0000-0000E32E0000}"/>
    <cellStyle name="Normal 2 2 2 2 2 2 7 5 2" xfId="12004" xr:uid="{00000000-0005-0000-0000-0000E42E0000}"/>
    <cellStyle name="Normal 2 2 2 2 2 2 7 5 3" xfId="12005" xr:uid="{00000000-0005-0000-0000-0000E52E0000}"/>
    <cellStyle name="Normal 2 2 2 2 2 2 7 5 4" xfId="12006" xr:uid="{00000000-0005-0000-0000-0000E62E0000}"/>
    <cellStyle name="Normal 2 2 2 2 2 2 7 5 5" xfId="12007" xr:uid="{00000000-0005-0000-0000-0000E72E0000}"/>
    <cellStyle name="Normal 2 2 2 2 2 2 7 5 6" xfId="12008" xr:uid="{00000000-0005-0000-0000-0000E82E0000}"/>
    <cellStyle name="Normal 2 2 2 2 2 2 7 5 7" xfId="12009" xr:uid="{00000000-0005-0000-0000-0000E92E0000}"/>
    <cellStyle name="Normal 2 2 2 2 2 2 7 5 8" xfId="12010" xr:uid="{00000000-0005-0000-0000-0000EA2E0000}"/>
    <cellStyle name="Normal 2 2 2 2 2 2 7 5 9" xfId="12011" xr:uid="{00000000-0005-0000-0000-0000EB2E0000}"/>
    <cellStyle name="Normal 2 2 2 2 2 2 7 6" xfId="12012" xr:uid="{00000000-0005-0000-0000-0000EC2E0000}"/>
    <cellStyle name="Normal 2 2 2 2 2 2 7 7" xfId="12013" xr:uid="{00000000-0005-0000-0000-0000ED2E0000}"/>
    <cellStyle name="Normal 2 2 2 2 2 2 7 8" xfId="12014" xr:uid="{00000000-0005-0000-0000-0000EE2E0000}"/>
    <cellStyle name="Normal 2 2 2 2 2 2 7 9" xfId="12015" xr:uid="{00000000-0005-0000-0000-0000EF2E0000}"/>
    <cellStyle name="Normal 2 2 2 2 2 2 8" xfId="12016" xr:uid="{00000000-0005-0000-0000-0000F02E0000}"/>
    <cellStyle name="Normal 2 2 2 2 2 2 8 10" xfId="12017" xr:uid="{00000000-0005-0000-0000-0000F12E0000}"/>
    <cellStyle name="Normal 2 2 2 2 2 2 8 11" xfId="12018" xr:uid="{00000000-0005-0000-0000-0000F22E0000}"/>
    <cellStyle name="Normal 2 2 2 2 2 2 8 12" xfId="12019" xr:uid="{00000000-0005-0000-0000-0000F32E0000}"/>
    <cellStyle name="Normal 2 2 2 2 2 2 8 13" xfId="12020" xr:uid="{00000000-0005-0000-0000-0000F42E0000}"/>
    <cellStyle name="Normal 2 2 2 2 2 2 8 14" xfId="12021" xr:uid="{00000000-0005-0000-0000-0000F52E0000}"/>
    <cellStyle name="Normal 2 2 2 2 2 2 8 2" xfId="12022" xr:uid="{00000000-0005-0000-0000-0000F62E0000}"/>
    <cellStyle name="Normal 2 2 2 2 2 2 8 2 10" xfId="12023" xr:uid="{00000000-0005-0000-0000-0000F72E0000}"/>
    <cellStyle name="Normal 2 2 2 2 2 2 8 2 2" xfId="12024" xr:uid="{00000000-0005-0000-0000-0000F82E0000}"/>
    <cellStyle name="Normal 2 2 2 2 2 2 8 2 3" xfId="12025" xr:uid="{00000000-0005-0000-0000-0000F92E0000}"/>
    <cellStyle name="Normal 2 2 2 2 2 2 8 2 4" xfId="12026" xr:uid="{00000000-0005-0000-0000-0000FA2E0000}"/>
    <cellStyle name="Normal 2 2 2 2 2 2 8 2 5" xfId="12027" xr:uid="{00000000-0005-0000-0000-0000FB2E0000}"/>
    <cellStyle name="Normal 2 2 2 2 2 2 8 2 6" xfId="12028" xr:uid="{00000000-0005-0000-0000-0000FC2E0000}"/>
    <cellStyle name="Normal 2 2 2 2 2 2 8 2 7" xfId="12029" xr:uid="{00000000-0005-0000-0000-0000FD2E0000}"/>
    <cellStyle name="Normal 2 2 2 2 2 2 8 2 8" xfId="12030" xr:uid="{00000000-0005-0000-0000-0000FE2E0000}"/>
    <cellStyle name="Normal 2 2 2 2 2 2 8 2 9" xfId="12031" xr:uid="{00000000-0005-0000-0000-0000FF2E0000}"/>
    <cellStyle name="Normal 2 2 2 2 2 2 8 3" xfId="12032" xr:uid="{00000000-0005-0000-0000-0000002F0000}"/>
    <cellStyle name="Normal 2 2 2 2 2 2 8 3 10" xfId="12033" xr:uid="{00000000-0005-0000-0000-0000012F0000}"/>
    <cellStyle name="Normal 2 2 2 2 2 2 8 3 2" xfId="12034" xr:uid="{00000000-0005-0000-0000-0000022F0000}"/>
    <cellStyle name="Normal 2 2 2 2 2 2 8 3 3" xfId="12035" xr:uid="{00000000-0005-0000-0000-0000032F0000}"/>
    <cellStyle name="Normal 2 2 2 2 2 2 8 3 4" xfId="12036" xr:uid="{00000000-0005-0000-0000-0000042F0000}"/>
    <cellStyle name="Normal 2 2 2 2 2 2 8 3 5" xfId="12037" xr:uid="{00000000-0005-0000-0000-0000052F0000}"/>
    <cellStyle name="Normal 2 2 2 2 2 2 8 3 6" xfId="12038" xr:uid="{00000000-0005-0000-0000-0000062F0000}"/>
    <cellStyle name="Normal 2 2 2 2 2 2 8 3 7" xfId="12039" xr:uid="{00000000-0005-0000-0000-0000072F0000}"/>
    <cellStyle name="Normal 2 2 2 2 2 2 8 3 8" xfId="12040" xr:uid="{00000000-0005-0000-0000-0000082F0000}"/>
    <cellStyle name="Normal 2 2 2 2 2 2 8 3 9" xfId="12041" xr:uid="{00000000-0005-0000-0000-0000092F0000}"/>
    <cellStyle name="Normal 2 2 2 2 2 2 8 4" xfId="12042" xr:uid="{00000000-0005-0000-0000-00000A2F0000}"/>
    <cellStyle name="Normal 2 2 2 2 2 2 8 4 10" xfId="12043" xr:uid="{00000000-0005-0000-0000-00000B2F0000}"/>
    <cellStyle name="Normal 2 2 2 2 2 2 8 4 2" xfId="12044" xr:uid="{00000000-0005-0000-0000-00000C2F0000}"/>
    <cellStyle name="Normal 2 2 2 2 2 2 8 4 3" xfId="12045" xr:uid="{00000000-0005-0000-0000-00000D2F0000}"/>
    <cellStyle name="Normal 2 2 2 2 2 2 8 4 4" xfId="12046" xr:uid="{00000000-0005-0000-0000-00000E2F0000}"/>
    <cellStyle name="Normal 2 2 2 2 2 2 8 4 5" xfId="12047" xr:uid="{00000000-0005-0000-0000-00000F2F0000}"/>
    <cellStyle name="Normal 2 2 2 2 2 2 8 4 6" xfId="12048" xr:uid="{00000000-0005-0000-0000-0000102F0000}"/>
    <cellStyle name="Normal 2 2 2 2 2 2 8 4 7" xfId="12049" xr:uid="{00000000-0005-0000-0000-0000112F0000}"/>
    <cellStyle name="Normal 2 2 2 2 2 2 8 4 8" xfId="12050" xr:uid="{00000000-0005-0000-0000-0000122F0000}"/>
    <cellStyle name="Normal 2 2 2 2 2 2 8 4 9" xfId="12051" xr:uid="{00000000-0005-0000-0000-0000132F0000}"/>
    <cellStyle name="Normal 2 2 2 2 2 2 8 5" xfId="12052" xr:uid="{00000000-0005-0000-0000-0000142F0000}"/>
    <cellStyle name="Normal 2 2 2 2 2 2 8 5 10" xfId="12053" xr:uid="{00000000-0005-0000-0000-0000152F0000}"/>
    <cellStyle name="Normal 2 2 2 2 2 2 8 5 2" xfId="12054" xr:uid="{00000000-0005-0000-0000-0000162F0000}"/>
    <cellStyle name="Normal 2 2 2 2 2 2 8 5 3" xfId="12055" xr:uid="{00000000-0005-0000-0000-0000172F0000}"/>
    <cellStyle name="Normal 2 2 2 2 2 2 8 5 4" xfId="12056" xr:uid="{00000000-0005-0000-0000-0000182F0000}"/>
    <cellStyle name="Normal 2 2 2 2 2 2 8 5 5" xfId="12057" xr:uid="{00000000-0005-0000-0000-0000192F0000}"/>
    <cellStyle name="Normal 2 2 2 2 2 2 8 5 6" xfId="12058" xr:uid="{00000000-0005-0000-0000-00001A2F0000}"/>
    <cellStyle name="Normal 2 2 2 2 2 2 8 5 7" xfId="12059" xr:uid="{00000000-0005-0000-0000-00001B2F0000}"/>
    <cellStyle name="Normal 2 2 2 2 2 2 8 5 8" xfId="12060" xr:uid="{00000000-0005-0000-0000-00001C2F0000}"/>
    <cellStyle name="Normal 2 2 2 2 2 2 8 5 9" xfId="12061" xr:uid="{00000000-0005-0000-0000-00001D2F0000}"/>
    <cellStyle name="Normal 2 2 2 2 2 2 8 6" xfId="12062" xr:uid="{00000000-0005-0000-0000-00001E2F0000}"/>
    <cellStyle name="Normal 2 2 2 2 2 2 8 7" xfId="12063" xr:uid="{00000000-0005-0000-0000-00001F2F0000}"/>
    <cellStyle name="Normal 2 2 2 2 2 2 8 8" xfId="12064" xr:uid="{00000000-0005-0000-0000-0000202F0000}"/>
    <cellStyle name="Normal 2 2 2 2 2 2 8 9" xfId="12065" xr:uid="{00000000-0005-0000-0000-0000212F0000}"/>
    <cellStyle name="Normal 2 2 2 2 2 2 9" xfId="12066" xr:uid="{00000000-0005-0000-0000-0000222F0000}"/>
    <cellStyle name="Normal 2 2 2 2 2 2 9 10" xfId="12067" xr:uid="{00000000-0005-0000-0000-0000232F0000}"/>
    <cellStyle name="Normal 2 2 2 2 2 2 9 11" xfId="12068" xr:uid="{00000000-0005-0000-0000-0000242F0000}"/>
    <cellStyle name="Normal 2 2 2 2 2 2 9 12" xfId="12069" xr:uid="{00000000-0005-0000-0000-0000252F0000}"/>
    <cellStyle name="Normal 2 2 2 2 2 2 9 13" xfId="12070" xr:uid="{00000000-0005-0000-0000-0000262F0000}"/>
    <cellStyle name="Normal 2 2 2 2 2 2 9 14" xfId="12071" xr:uid="{00000000-0005-0000-0000-0000272F0000}"/>
    <cellStyle name="Normal 2 2 2 2 2 2 9 2" xfId="12072" xr:uid="{00000000-0005-0000-0000-0000282F0000}"/>
    <cellStyle name="Normal 2 2 2 2 2 2 9 2 10" xfId="12073" xr:uid="{00000000-0005-0000-0000-0000292F0000}"/>
    <cellStyle name="Normal 2 2 2 2 2 2 9 2 2" xfId="12074" xr:uid="{00000000-0005-0000-0000-00002A2F0000}"/>
    <cellStyle name="Normal 2 2 2 2 2 2 9 2 3" xfId="12075" xr:uid="{00000000-0005-0000-0000-00002B2F0000}"/>
    <cellStyle name="Normal 2 2 2 2 2 2 9 2 4" xfId="12076" xr:uid="{00000000-0005-0000-0000-00002C2F0000}"/>
    <cellStyle name="Normal 2 2 2 2 2 2 9 2 5" xfId="12077" xr:uid="{00000000-0005-0000-0000-00002D2F0000}"/>
    <cellStyle name="Normal 2 2 2 2 2 2 9 2 6" xfId="12078" xr:uid="{00000000-0005-0000-0000-00002E2F0000}"/>
    <cellStyle name="Normal 2 2 2 2 2 2 9 2 7" xfId="12079" xr:uid="{00000000-0005-0000-0000-00002F2F0000}"/>
    <cellStyle name="Normal 2 2 2 2 2 2 9 2 8" xfId="12080" xr:uid="{00000000-0005-0000-0000-0000302F0000}"/>
    <cellStyle name="Normal 2 2 2 2 2 2 9 2 9" xfId="12081" xr:uid="{00000000-0005-0000-0000-0000312F0000}"/>
    <cellStyle name="Normal 2 2 2 2 2 2 9 3" xfId="12082" xr:uid="{00000000-0005-0000-0000-0000322F0000}"/>
    <cellStyle name="Normal 2 2 2 2 2 2 9 3 10" xfId="12083" xr:uid="{00000000-0005-0000-0000-0000332F0000}"/>
    <cellStyle name="Normal 2 2 2 2 2 2 9 3 2" xfId="12084" xr:uid="{00000000-0005-0000-0000-0000342F0000}"/>
    <cellStyle name="Normal 2 2 2 2 2 2 9 3 3" xfId="12085" xr:uid="{00000000-0005-0000-0000-0000352F0000}"/>
    <cellStyle name="Normal 2 2 2 2 2 2 9 3 4" xfId="12086" xr:uid="{00000000-0005-0000-0000-0000362F0000}"/>
    <cellStyle name="Normal 2 2 2 2 2 2 9 3 5" xfId="12087" xr:uid="{00000000-0005-0000-0000-0000372F0000}"/>
    <cellStyle name="Normal 2 2 2 2 2 2 9 3 6" xfId="12088" xr:uid="{00000000-0005-0000-0000-0000382F0000}"/>
    <cellStyle name="Normal 2 2 2 2 2 2 9 3 7" xfId="12089" xr:uid="{00000000-0005-0000-0000-0000392F0000}"/>
    <cellStyle name="Normal 2 2 2 2 2 2 9 3 8" xfId="12090" xr:uid="{00000000-0005-0000-0000-00003A2F0000}"/>
    <cellStyle name="Normal 2 2 2 2 2 2 9 3 9" xfId="12091" xr:uid="{00000000-0005-0000-0000-00003B2F0000}"/>
    <cellStyle name="Normal 2 2 2 2 2 2 9 4" xfId="12092" xr:uid="{00000000-0005-0000-0000-00003C2F0000}"/>
    <cellStyle name="Normal 2 2 2 2 2 2 9 4 10" xfId="12093" xr:uid="{00000000-0005-0000-0000-00003D2F0000}"/>
    <cellStyle name="Normal 2 2 2 2 2 2 9 4 2" xfId="12094" xr:uid="{00000000-0005-0000-0000-00003E2F0000}"/>
    <cellStyle name="Normal 2 2 2 2 2 2 9 4 3" xfId="12095" xr:uid="{00000000-0005-0000-0000-00003F2F0000}"/>
    <cellStyle name="Normal 2 2 2 2 2 2 9 4 4" xfId="12096" xr:uid="{00000000-0005-0000-0000-0000402F0000}"/>
    <cellStyle name="Normal 2 2 2 2 2 2 9 4 5" xfId="12097" xr:uid="{00000000-0005-0000-0000-0000412F0000}"/>
    <cellStyle name="Normal 2 2 2 2 2 2 9 4 6" xfId="12098" xr:uid="{00000000-0005-0000-0000-0000422F0000}"/>
    <cellStyle name="Normal 2 2 2 2 2 2 9 4 7" xfId="12099" xr:uid="{00000000-0005-0000-0000-0000432F0000}"/>
    <cellStyle name="Normal 2 2 2 2 2 2 9 4 8" xfId="12100" xr:uid="{00000000-0005-0000-0000-0000442F0000}"/>
    <cellStyle name="Normal 2 2 2 2 2 2 9 4 9" xfId="12101" xr:uid="{00000000-0005-0000-0000-0000452F0000}"/>
    <cellStyle name="Normal 2 2 2 2 2 2 9 5" xfId="12102" xr:uid="{00000000-0005-0000-0000-0000462F0000}"/>
    <cellStyle name="Normal 2 2 2 2 2 2 9 5 10" xfId="12103" xr:uid="{00000000-0005-0000-0000-0000472F0000}"/>
    <cellStyle name="Normal 2 2 2 2 2 2 9 5 2" xfId="12104" xr:uid="{00000000-0005-0000-0000-0000482F0000}"/>
    <cellStyle name="Normal 2 2 2 2 2 2 9 5 3" xfId="12105" xr:uid="{00000000-0005-0000-0000-0000492F0000}"/>
    <cellStyle name="Normal 2 2 2 2 2 2 9 5 4" xfId="12106" xr:uid="{00000000-0005-0000-0000-00004A2F0000}"/>
    <cellStyle name="Normal 2 2 2 2 2 2 9 5 5" xfId="12107" xr:uid="{00000000-0005-0000-0000-00004B2F0000}"/>
    <cellStyle name="Normal 2 2 2 2 2 2 9 5 6" xfId="12108" xr:uid="{00000000-0005-0000-0000-00004C2F0000}"/>
    <cellStyle name="Normal 2 2 2 2 2 2 9 5 7" xfId="12109" xr:uid="{00000000-0005-0000-0000-00004D2F0000}"/>
    <cellStyle name="Normal 2 2 2 2 2 2 9 5 8" xfId="12110" xr:uid="{00000000-0005-0000-0000-00004E2F0000}"/>
    <cellStyle name="Normal 2 2 2 2 2 2 9 5 9" xfId="12111" xr:uid="{00000000-0005-0000-0000-00004F2F0000}"/>
    <cellStyle name="Normal 2 2 2 2 2 2 9 6" xfId="12112" xr:uid="{00000000-0005-0000-0000-0000502F0000}"/>
    <cellStyle name="Normal 2 2 2 2 2 2 9 7" xfId="12113" xr:uid="{00000000-0005-0000-0000-0000512F0000}"/>
    <cellStyle name="Normal 2 2 2 2 2 2 9 8" xfId="12114" xr:uid="{00000000-0005-0000-0000-0000522F0000}"/>
    <cellStyle name="Normal 2 2 2 2 2 2 9 9" xfId="12115" xr:uid="{00000000-0005-0000-0000-0000532F0000}"/>
    <cellStyle name="Normal 2 2 2 2 2 20" xfId="12116" xr:uid="{00000000-0005-0000-0000-0000542F0000}"/>
    <cellStyle name="Normal 2 2 2 2 2 20 10" xfId="12117" xr:uid="{00000000-0005-0000-0000-0000552F0000}"/>
    <cellStyle name="Normal 2 2 2 2 2 20 11" xfId="12118" xr:uid="{00000000-0005-0000-0000-0000562F0000}"/>
    <cellStyle name="Normal 2 2 2 2 2 20 12" xfId="12119" xr:uid="{00000000-0005-0000-0000-0000572F0000}"/>
    <cellStyle name="Normal 2 2 2 2 2 20 13" xfId="12120" xr:uid="{00000000-0005-0000-0000-0000582F0000}"/>
    <cellStyle name="Normal 2 2 2 2 2 20 14" xfId="12121" xr:uid="{00000000-0005-0000-0000-0000592F0000}"/>
    <cellStyle name="Normal 2 2 2 2 2 20 2" xfId="12122" xr:uid="{00000000-0005-0000-0000-00005A2F0000}"/>
    <cellStyle name="Normal 2 2 2 2 2 20 2 10" xfId="12123" xr:uid="{00000000-0005-0000-0000-00005B2F0000}"/>
    <cellStyle name="Normal 2 2 2 2 2 20 2 2" xfId="12124" xr:uid="{00000000-0005-0000-0000-00005C2F0000}"/>
    <cellStyle name="Normal 2 2 2 2 2 20 2 3" xfId="12125" xr:uid="{00000000-0005-0000-0000-00005D2F0000}"/>
    <cellStyle name="Normal 2 2 2 2 2 20 2 4" xfId="12126" xr:uid="{00000000-0005-0000-0000-00005E2F0000}"/>
    <cellStyle name="Normal 2 2 2 2 2 20 2 5" xfId="12127" xr:uid="{00000000-0005-0000-0000-00005F2F0000}"/>
    <cellStyle name="Normal 2 2 2 2 2 20 2 6" xfId="12128" xr:uid="{00000000-0005-0000-0000-0000602F0000}"/>
    <cellStyle name="Normal 2 2 2 2 2 20 2 7" xfId="12129" xr:uid="{00000000-0005-0000-0000-0000612F0000}"/>
    <cellStyle name="Normal 2 2 2 2 2 20 2 8" xfId="12130" xr:uid="{00000000-0005-0000-0000-0000622F0000}"/>
    <cellStyle name="Normal 2 2 2 2 2 20 2 9" xfId="12131" xr:uid="{00000000-0005-0000-0000-0000632F0000}"/>
    <cellStyle name="Normal 2 2 2 2 2 20 3" xfId="12132" xr:uid="{00000000-0005-0000-0000-0000642F0000}"/>
    <cellStyle name="Normal 2 2 2 2 2 20 3 10" xfId="12133" xr:uid="{00000000-0005-0000-0000-0000652F0000}"/>
    <cellStyle name="Normal 2 2 2 2 2 20 3 2" xfId="12134" xr:uid="{00000000-0005-0000-0000-0000662F0000}"/>
    <cellStyle name="Normal 2 2 2 2 2 20 3 3" xfId="12135" xr:uid="{00000000-0005-0000-0000-0000672F0000}"/>
    <cellStyle name="Normal 2 2 2 2 2 20 3 4" xfId="12136" xr:uid="{00000000-0005-0000-0000-0000682F0000}"/>
    <cellStyle name="Normal 2 2 2 2 2 20 3 5" xfId="12137" xr:uid="{00000000-0005-0000-0000-0000692F0000}"/>
    <cellStyle name="Normal 2 2 2 2 2 20 3 6" xfId="12138" xr:uid="{00000000-0005-0000-0000-00006A2F0000}"/>
    <cellStyle name="Normal 2 2 2 2 2 20 3 7" xfId="12139" xr:uid="{00000000-0005-0000-0000-00006B2F0000}"/>
    <cellStyle name="Normal 2 2 2 2 2 20 3 8" xfId="12140" xr:uid="{00000000-0005-0000-0000-00006C2F0000}"/>
    <cellStyle name="Normal 2 2 2 2 2 20 3 9" xfId="12141" xr:uid="{00000000-0005-0000-0000-00006D2F0000}"/>
    <cellStyle name="Normal 2 2 2 2 2 20 4" xfId="12142" xr:uid="{00000000-0005-0000-0000-00006E2F0000}"/>
    <cellStyle name="Normal 2 2 2 2 2 20 4 10" xfId="12143" xr:uid="{00000000-0005-0000-0000-00006F2F0000}"/>
    <cellStyle name="Normal 2 2 2 2 2 20 4 2" xfId="12144" xr:uid="{00000000-0005-0000-0000-0000702F0000}"/>
    <cellStyle name="Normal 2 2 2 2 2 20 4 3" xfId="12145" xr:uid="{00000000-0005-0000-0000-0000712F0000}"/>
    <cellStyle name="Normal 2 2 2 2 2 20 4 4" xfId="12146" xr:uid="{00000000-0005-0000-0000-0000722F0000}"/>
    <cellStyle name="Normal 2 2 2 2 2 20 4 5" xfId="12147" xr:uid="{00000000-0005-0000-0000-0000732F0000}"/>
    <cellStyle name="Normal 2 2 2 2 2 20 4 6" xfId="12148" xr:uid="{00000000-0005-0000-0000-0000742F0000}"/>
    <cellStyle name="Normal 2 2 2 2 2 20 4 7" xfId="12149" xr:uid="{00000000-0005-0000-0000-0000752F0000}"/>
    <cellStyle name="Normal 2 2 2 2 2 20 4 8" xfId="12150" xr:uid="{00000000-0005-0000-0000-0000762F0000}"/>
    <cellStyle name="Normal 2 2 2 2 2 20 4 9" xfId="12151" xr:uid="{00000000-0005-0000-0000-0000772F0000}"/>
    <cellStyle name="Normal 2 2 2 2 2 20 5" xfId="12152" xr:uid="{00000000-0005-0000-0000-0000782F0000}"/>
    <cellStyle name="Normal 2 2 2 2 2 20 5 10" xfId="12153" xr:uid="{00000000-0005-0000-0000-0000792F0000}"/>
    <cellStyle name="Normal 2 2 2 2 2 20 5 2" xfId="12154" xr:uid="{00000000-0005-0000-0000-00007A2F0000}"/>
    <cellStyle name="Normal 2 2 2 2 2 20 5 3" xfId="12155" xr:uid="{00000000-0005-0000-0000-00007B2F0000}"/>
    <cellStyle name="Normal 2 2 2 2 2 20 5 4" xfId="12156" xr:uid="{00000000-0005-0000-0000-00007C2F0000}"/>
    <cellStyle name="Normal 2 2 2 2 2 20 5 5" xfId="12157" xr:uid="{00000000-0005-0000-0000-00007D2F0000}"/>
    <cellStyle name="Normal 2 2 2 2 2 20 5 6" xfId="12158" xr:uid="{00000000-0005-0000-0000-00007E2F0000}"/>
    <cellStyle name="Normal 2 2 2 2 2 20 5 7" xfId="12159" xr:uid="{00000000-0005-0000-0000-00007F2F0000}"/>
    <cellStyle name="Normal 2 2 2 2 2 20 5 8" xfId="12160" xr:uid="{00000000-0005-0000-0000-0000802F0000}"/>
    <cellStyle name="Normal 2 2 2 2 2 20 5 9" xfId="12161" xr:uid="{00000000-0005-0000-0000-0000812F0000}"/>
    <cellStyle name="Normal 2 2 2 2 2 20 6" xfId="12162" xr:uid="{00000000-0005-0000-0000-0000822F0000}"/>
    <cellStyle name="Normal 2 2 2 2 2 20 7" xfId="12163" xr:uid="{00000000-0005-0000-0000-0000832F0000}"/>
    <cellStyle name="Normal 2 2 2 2 2 20 8" xfId="12164" xr:uid="{00000000-0005-0000-0000-0000842F0000}"/>
    <cellStyle name="Normal 2 2 2 2 2 20 9" xfId="12165" xr:uid="{00000000-0005-0000-0000-0000852F0000}"/>
    <cellStyle name="Normal 2 2 2 2 2 21" xfId="12166" xr:uid="{00000000-0005-0000-0000-0000862F0000}"/>
    <cellStyle name="Normal 2 2 2 2 2 21 10" xfId="12167" xr:uid="{00000000-0005-0000-0000-0000872F0000}"/>
    <cellStyle name="Normal 2 2 2 2 2 21 11" xfId="12168" xr:uid="{00000000-0005-0000-0000-0000882F0000}"/>
    <cellStyle name="Normal 2 2 2 2 2 21 12" xfId="12169" xr:uid="{00000000-0005-0000-0000-0000892F0000}"/>
    <cellStyle name="Normal 2 2 2 2 2 21 13" xfId="12170" xr:uid="{00000000-0005-0000-0000-00008A2F0000}"/>
    <cellStyle name="Normal 2 2 2 2 2 21 14" xfId="12171" xr:uid="{00000000-0005-0000-0000-00008B2F0000}"/>
    <cellStyle name="Normal 2 2 2 2 2 21 2" xfId="12172" xr:uid="{00000000-0005-0000-0000-00008C2F0000}"/>
    <cellStyle name="Normal 2 2 2 2 2 21 2 10" xfId="12173" xr:uid="{00000000-0005-0000-0000-00008D2F0000}"/>
    <cellStyle name="Normal 2 2 2 2 2 21 2 2" xfId="12174" xr:uid="{00000000-0005-0000-0000-00008E2F0000}"/>
    <cellStyle name="Normal 2 2 2 2 2 21 2 3" xfId="12175" xr:uid="{00000000-0005-0000-0000-00008F2F0000}"/>
    <cellStyle name="Normal 2 2 2 2 2 21 2 4" xfId="12176" xr:uid="{00000000-0005-0000-0000-0000902F0000}"/>
    <cellStyle name="Normal 2 2 2 2 2 21 2 5" xfId="12177" xr:uid="{00000000-0005-0000-0000-0000912F0000}"/>
    <cellStyle name="Normal 2 2 2 2 2 21 2 6" xfId="12178" xr:uid="{00000000-0005-0000-0000-0000922F0000}"/>
    <cellStyle name="Normal 2 2 2 2 2 21 2 7" xfId="12179" xr:uid="{00000000-0005-0000-0000-0000932F0000}"/>
    <cellStyle name="Normal 2 2 2 2 2 21 2 8" xfId="12180" xr:uid="{00000000-0005-0000-0000-0000942F0000}"/>
    <cellStyle name="Normal 2 2 2 2 2 21 2 9" xfId="12181" xr:uid="{00000000-0005-0000-0000-0000952F0000}"/>
    <cellStyle name="Normal 2 2 2 2 2 21 3" xfId="12182" xr:uid="{00000000-0005-0000-0000-0000962F0000}"/>
    <cellStyle name="Normal 2 2 2 2 2 21 3 10" xfId="12183" xr:uid="{00000000-0005-0000-0000-0000972F0000}"/>
    <cellStyle name="Normal 2 2 2 2 2 21 3 2" xfId="12184" xr:uid="{00000000-0005-0000-0000-0000982F0000}"/>
    <cellStyle name="Normal 2 2 2 2 2 21 3 3" xfId="12185" xr:uid="{00000000-0005-0000-0000-0000992F0000}"/>
    <cellStyle name="Normal 2 2 2 2 2 21 3 4" xfId="12186" xr:uid="{00000000-0005-0000-0000-00009A2F0000}"/>
    <cellStyle name="Normal 2 2 2 2 2 21 3 5" xfId="12187" xr:uid="{00000000-0005-0000-0000-00009B2F0000}"/>
    <cellStyle name="Normal 2 2 2 2 2 21 3 6" xfId="12188" xr:uid="{00000000-0005-0000-0000-00009C2F0000}"/>
    <cellStyle name="Normal 2 2 2 2 2 21 3 7" xfId="12189" xr:uid="{00000000-0005-0000-0000-00009D2F0000}"/>
    <cellStyle name="Normal 2 2 2 2 2 21 3 8" xfId="12190" xr:uid="{00000000-0005-0000-0000-00009E2F0000}"/>
    <cellStyle name="Normal 2 2 2 2 2 21 3 9" xfId="12191" xr:uid="{00000000-0005-0000-0000-00009F2F0000}"/>
    <cellStyle name="Normal 2 2 2 2 2 21 4" xfId="12192" xr:uid="{00000000-0005-0000-0000-0000A02F0000}"/>
    <cellStyle name="Normal 2 2 2 2 2 21 4 10" xfId="12193" xr:uid="{00000000-0005-0000-0000-0000A12F0000}"/>
    <cellStyle name="Normal 2 2 2 2 2 21 4 2" xfId="12194" xr:uid="{00000000-0005-0000-0000-0000A22F0000}"/>
    <cellStyle name="Normal 2 2 2 2 2 21 4 3" xfId="12195" xr:uid="{00000000-0005-0000-0000-0000A32F0000}"/>
    <cellStyle name="Normal 2 2 2 2 2 21 4 4" xfId="12196" xr:uid="{00000000-0005-0000-0000-0000A42F0000}"/>
    <cellStyle name="Normal 2 2 2 2 2 21 4 5" xfId="12197" xr:uid="{00000000-0005-0000-0000-0000A52F0000}"/>
    <cellStyle name="Normal 2 2 2 2 2 21 4 6" xfId="12198" xr:uid="{00000000-0005-0000-0000-0000A62F0000}"/>
    <cellStyle name="Normal 2 2 2 2 2 21 4 7" xfId="12199" xr:uid="{00000000-0005-0000-0000-0000A72F0000}"/>
    <cellStyle name="Normal 2 2 2 2 2 21 4 8" xfId="12200" xr:uid="{00000000-0005-0000-0000-0000A82F0000}"/>
    <cellStyle name="Normal 2 2 2 2 2 21 4 9" xfId="12201" xr:uid="{00000000-0005-0000-0000-0000A92F0000}"/>
    <cellStyle name="Normal 2 2 2 2 2 21 5" xfId="12202" xr:uid="{00000000-0005-0000-0000-0000AA2F0000}"/>
    <cellStyle name="Normal 2 2 2 2 2 21 5 10" xfId="12203" xr:uid="{00000000-0005-0000-0000-0000AB2F0000}"/>
    <cellStyle name="Normal 2 2 2 2 2 21 5 2" xfId="12204" xr:uid="{00000000-0005-0000-0000-0000AC2F0000}"/>
    <cellStyle name="Normal 2 2 2 2 2 21 5 3" xfId="12205" xr:uid="{00000000-0005-0000-0000-0000AD2F0000}"/>
    <cellStyle name="Normal 2 2 2 2 2 21 5 4" xfId="12206" xr:uid="{00000000-0005-0000-0000-0000AE2F0000}"/>
    <cellStyle name="Normal 2 2 2 2 2 21 5 5" xfId="12207" xr:uid="{00000000-0005-0000-0000-0000AF2F0000}"/>
    <cellStyle name="Normal 2 2 2 2 2 21 5 6" xfId="12208" xr:uid="{00000000-0005-0000-0000-0000B02F0000}"/>
    <cellStyle name="Normal 2 2 2 2 2 21 5 7" xfId="12209" xr:uid="{00000000-0005-0000-0000-0000B12F0000}"/>
    <cellStyle name="Normal 2 2 2 2 2 21 5 8" xfId="12210" xr:uid="{00000000-0005-0000-0000-0000B22F0000}"/>
    <cellStyle name="Normal 2 2 2 2 2 21 5 9" xfId="12211" xr:uid="{00000000-0005-0000-0000-0000B32F0000}"/>
    <cellStyle name="Normal 2 2 2 2 2 21 6" xfId="12212" xr:uid="{00000000-0005-0000-0000-0000B42F0000}"/>
    <cellStyle name="Normal 2 2 2 2 2 21 7" xfId="12213" xr:uid="{00000000-0005-0000-0000-0000B52F0000}"/>
    <cellStyle name="Normal 2 2 2 2 2 21 8" xfId="12214" xr:uid="{00000000-0005-0000-0000-0000B62F0000}"/>
    <cellStyle name="Normal 2 2 2 2 2 21 9" xfId="12215" xr:uid="{00000000-0005-0000-0000-0000B72F0000}"/>
    <cellStyle name="Normal 2 2 2 2 2 22" xfId="12216" xr:uid="{00000000-0005-0000-0000-0000B82F0000}"/>
    <cellStyle name="Normal 2 2 2 2 2 22 10" xfId="12217" xr:uid="{00000000-0005-0000-0000-0000B92F0000}"/>
    <cellStyle name="Normal 2 2 2 2 2 22 11" xfId="12218" xr:uid="{00000000-0005-0000-0000-0000BA2F0000}"/>
    <cellStyle name="Normal 2 2 2 2 2 22 12" xfId="12219" xr:uid="{00000000-0005-0000-0000-0000BB2F0000}"/>
    <cellStyle name="Normal 2 2 2 2 2 22 13" xfId="12220" xr:uid="{00000000-0005-0000-0000-0000BC2F0000}"/>
    <cellStyle name="Normal 2 2 2 2 2 22 14" xfId="12221" xr:uid="{00000000-0005-0000-0000-0000BD2F0000}"/>
    <cellStyle name="Normal 2 2 2 2 2 22 2" xfId="12222" xr:uid="{00000000-0005-0000-0000-0000BE2F0000}"/>
    <cellStyle name="Normal 2 2 2 2 2 22 2 10" xfId="12223" xr:uid="{00000000-0005-0000-0000-0000BF2F0000}"/>
    <cellStyle name="Normal 2 2 2 2 2 22 2 2" xfId="12224" xr:uid="{00000000-0005-0000-0000-0000C02F0000}"/>
    <cellStyle name="Normal 2 2 2 2 2 22 2 3" xfId="12225" xr:uid="{00000000-0005-0000-0000-0000C12F0000}"/>
    <cellStyle name="Normal 2 2 2 2 2 22 2 4" xfId="12226" xr:uid="{00000000-0005-0000-0000-0000C22F0000}"/>
    <cellStyle name="Normal 2 2 2 2 2 22 2 5" xfId="12227" xr:uid="{00000000-0005-0000-0000-0000C32F0000}"/>
    <cellStyle name="Normal 2 2 2 2 2 22 2 6" xfId="12228" xr:uid="{00000000-0005-0000-0000-0000C42F0000}"/>
    <cellStyle name="Normal 2 2 2 2 2 22 2 7" xfId="12229" xr:uid="{00000000-0005-0000-0000-0000C52F0000}"/>
    <cellStyle name="Normal 2 2 2 2 2 22 2 8" xfId="12230" xr:uid="{00000000-0005-0000-0000-0000C62F0000}"/>
    <cellStyle name="Normal 2 2 2 2 2 22 2 9" xfId="12231" xr:uid="{00000000-0005-0000-0000-0000C72F0000}"/>
    <cellStyle name="Normal 2 2 2 2 2 22 3" xfId="12232" xr:uid="{00000000-0005-0000-0000-0000C82F0000}"/>
    <cellStyle name="Normal 2 2 2 2 2 22 3 10" xfId="12233" xr:uid="{00000000-0005-0000-0000-0000C92F0000}"/>
    <cellStyle name="Normal 2 2 2 2 2 22 3 2" xfId="12234" xr:uid="{00000000-0005-0000-0000-0000CA2F0000}"/>
    <cellStyle name="Normal 2 2 2 2 2 22 3 3" xfId="12235" xr:uid="{00000000-0005-0000-0000-0000CB2F0000}"/>
    <cellStyle name="Normal 2 2 2 2 2 22 3 4" xfId="12236" xr:uid="{00000000-0005-0000-0000-0000CC2F0000}"/>
    <cellStyle name="Normal 2 2 2 2 2 22 3 5" xfId="12237" xr:uid="{00000000-0005-0000-0000-0000CD2F0000}"/>
    <cellStyle name="Normal 2 2 2 2 2 22 3 6" xfId="12238" xr:uid="{00000000-0005-0000-0000-0000CE2F0000}"/>
    <cellStyle name="Normal 2 2 2 2 2 22 3 7" xfId="12239" xr:uid="{00000000-0005-0000-0000-0000CF2F0000}"/>
    <cellStyle name="Normal 2 2 2 2 2 22 3 8" xfId="12240" xr:uid="{00000000-0005-0000-0000-0000D02F0000}"/>
    <cellStyle name="Normal 2 2 2 2 2 22 3 9" xfId="12241" xr:uid="{00000000-0005-0000-0000-0000D12F0000}"/>
    <cellStyle name="Normal 2 2 2 2 2 22 4" xfId="12242" xr:uid="{00000000-0005-0000-0000-0000D22F0000}"/>
    <cellStyle name="Normal 2 2 2 2 2 22 4 10" xfId="12243" xr:uid="{00000000-0005-0000-0000-0000D32F0000}"/>
    <cellStyle name="Normal 2 2 2 2 2 22 4 2" xfId="12244" xr:uid="{00000000-0005-0000-0000-0000D42F0000}"/>
    <cellStyle name="Normal 2 2 2 2 2 22 4 3" xfId="12245" xr:uid="{00000000-0005-0000-0000-0000D52F0000}"/>
    <cellStyle name="Normal 2 2 2 2 2 22 4 4" xfId="12246" xr:uid="{00000000-0005-0000-0000-0000D62F0000}"/>
    <cellStyle name="Normal 2 2 2 2 2 22 4 5" xfId="12247" xr:uid="{00000000-0005-0000-0000-0000D72F0000}"/>
    <cellStyle name="Normal 2 2 2 2 2 22 4 6" xfId="12248" xr:uid="{00000000-0005-0000-0000-0000D82F0000}"/>
    <cellStyle name="Normal 2 2 2 2 2 22 4 7" xfId="12249" xr:uid="{00000000-0005-0000-0000-0000D92F0000}"/>
    <cellStyle name="Normal 2 2 2 2 2 22 4 8" xfId="12250" xr:uid="{00000000-0005-0000-0000-0000DA2F0000}"/>
    <cellStyle name="Normal 2 2 2 2 2 22 4 9" xfId="12251" xr:uid="{00000000-0005-0000-0000-0000DB2F0000}"/>
    <cellStyle name="Normal 2 2 2 2 2 22 5" xfId="12252" xr:uid="{00000000-0005-0000-0000-0000DC2F0000}"/>
    <cellStyle name="Normal 2 2 2 2 2 22 5 10" xfId="12253" xr:uid="{00000000-0005-0000-0000-0000DD2F0000}"/>
    <cellStyle name="Normal 2 2 2 2 2 22 5 2" xfId="12254" xr:uid="{00000000-0005-0000-0000-0000DE2F0000}"/>
    <cellStyle name="Normal 2 2 2 2 2 22 5 3" xfId="12255" xr:uid="{00000000-0005-0000-0000-0000DF2F0000}"/>
    <cellStyle name="Normal 2 2 2 2 2 22 5 4" xfId="12256" xr:uid="{00000000-0005-0000-0000-0000E02F0000}"/>
    <cellStyle name="Normal 2 2 2 2 2 22 5 5" xfId="12257" xr:uid="{00000000-0005-0000-0000-0000E12F0000}"/>
    <cellStyle name="Normal 2 2 2 2 2 22 5 6" xfId="12258" xr:uid="{00000000-0005-0000-0000-0000E22F0000}"/>
    <cellStyle name="Normal 2 2 2 2 2 22 5 7" xfId="12259" xr:uid="{00000000-0005-0000-0000-0000E32F0000}"/>
    <cellStyle name="Normal 2 2 2 2 2 22 5 8" xfId="12260" xr:uid="{00000000-0005-0000-0000-0000E42F0000}"/>
    <cellStyle name="Normal 2 2 2 2 2 22 5 9" xfId="12261" xr:uid="{00000000-0005-0000-0000-0000E52F0000}"/>
    <cellStyle name="Normal 2 2 2 2 2 22 6" xfId="12262" xr:uid="{00000000-0005-0000-0000-0000E62F0000}"/>
    <cellStyle name="Normal 2 2 2 2 2 22 7" xfId="12263" xr:uid="{00000000-0005-0000-0000-0000E72F0000}"/>
    <cellStyle name="Normal 2 2 2 2 2 22 8" xfId="12264" xr:uid="{00000000-0005-0000-0000-0000E82F0000}"/>
    <cellStyle name="Normal 2 2 2 2 2 22 9" xfId="12265" xr:uid="{00000000-0005-0000-0000-0000E92F0000}"/>
    <cellStyle name="Normal 2 2 2 2 2 23" xfId="12266" xr:uid="{00000000-0005-0000-0000-0000EA2F0000}"/>
    <cellStyle name="Normal 2 2 2 2 2 23 10" xfId="12267" xr:uid="{00000000-0005-0000-0000-0000EB2F0000}"/>
    <cellStyle name="Normal 2 2 2 2 2 23 11" xfId="12268" xr:uid="{00000000-0005-0000-0000-0000EC2F0000}"/>
    <cellStyle name="Normal 2 2 2 2 2 23 12" xfId="12269" xr:uid="{00000000-0005-0000-0000-0000ED2F0000}"/>
    <cellStyle name="Normal 2 2 2 2 2 23 13" xfId="12270" xr:uid="{00000000-0005-0000-0000-0000EE2F0000}"/>
    <cellStyle name="Normal 2 2 2 2 2 23 14" xfId="12271" xr:uid="{00000000-0005-0000-0000-0000EF2F0000}"/>
    <cellStyle name="Normal 2 2 2 2 2 23 2" xfId="12272" xr:uid="{00000000-0005-0000-0000-0000F02F0000}"/>
    <cellStyle name="Normal 2 2 2 2 2 23 2 10" xfId="12273" xr:uid="{00000000-0005-0000-0000-0000F12F0000}"/>
    <cellStyle name="Normal 2 2 2 2 2 23 2 2" xfId="12274" xr:uid="{00000000-0005-0000-0000-0000F22F0000}"/>
    <cellStyle name="Normal 2 2 2 2 2 23 2 3" xfId="12275" xr:uid="{00000000-0005-0000-0000-0000F32F0000}"/>
    <cellStyle name="Normal 2 2 2 2 2 23 2 4" xfId="12276" xr:uid="{00000000-0005-0000-0000-0000F42F0000}"/>
    <cellStyle name="Normal 2 2 2 2 2 23 2 5" xfId="12277" xr:uid="{00000000-0005-0000-0000-0000F52F0000}"/>
    <cellStyle name="Normal 2 2 2 2 2 23 2 6" xfId="12278" xr:uid="{00000000-0005-0000-0000-0000F62F0000}"/>
    <cellStyle name="Normal 2 2 2 2 2 23 2 7" xfId="12279" xr:uid="{00000000-0005-0000-0000-0000F72F0000}"/>
    <cellStyle name="Normal 2 2 2 2 2 23 2 8" xfId="12280" xr:uid="{00000000-0005-0000-0000-0000F82F0000}"/>
    <cellStyle name="Normal 2 2 2 2 2 23 2 9" xfId="12281" xr:uid="{00000000-0005-0000-0000-0000F92F0000}"/>
    <cellStyle name="Normal 2 2 2 2 2 23 3" xfId="12282" xr:uid="{00000000-0005-0000-0000-0000FA2F0000}"/>
    <cellStyle name="Normal 2 2 2 2 2 23 3 10" xfId="12283" xr:uid="{00000000-0005-0000-0000-0000FB2F0000}"/>
    <cellStyle name="Normal 2 2 2 2 2 23 3 2" xfId="12284" xr:uid="{00000000-0005-0000-0000-0000FC2F0000}"/>
    <cellStyle name="Normal 2 2 2 2 2 23 3 3" xfId="12285" xr:uid="{00000000-0005-0000-0000-0000FD2F0000}"/>
    <cellStyle name="Normal 2 2 2 2 2 23 3 4" xfId="12286" xr:uid="{00000000-0005-0000-0000-0000FE2F0000}"/>
    <cellStyle name="Normal 2 2 2 2 2 23 3 5" xfId="12287" xr:uid="{00000000-0005-0000-0000-0000FF2F0000}"/>
    <cellStyle name="Normal 2 2 2 2 2 23 3 6" xfId="12288" xr:uid="{00000000-0005-0000-0000-000000300000}"/>
    <cellStyle name="Normal 2 2 2 2 2 23 3 7" xfId="12289" xr:uid="{00000000-0005-0000-0000-000001300000}"/>
    <cellStyle name="Normal 2 2 2 2 2 23 3 8" xfId="12290" xr:uid="{00000000-0005-0000-0000-000002300000}"/>
    <cellStyle name="Normal 2 2 2 2 2 23 3 9" xfId="12291" xr:uid="{00000000-0005-0000-0000-000003300000}"/>
    <cellStyle name="Normal 2 2 2 2 2 23 4" xfId="12292" xr:uid="{00000000-0005-0000-0000-000004300000}"/>
    <cellStyle name="Normal 2 2 2 2 2 23 4 10" xfId="12293" xr:uid="{00000000-0005-0000-0000-000005300000}"/>
    <cellStyle name="Normal 2 2 2 2 2 23 4 2" xfId="12294" xr:uid="{00000000-0005-0000-0000-000006300000}"/>
    <cellStyle name="Normal 2 2 2 2 2 23 4 3" xfId="12295" xr:uid="{00000000-0005-0000-0000-000007300000}"/>
    <cellStyle name="Normal 2 2 2 2 2 23 4 4" xfId="12296" xr:uid="{00000000-0005-0000-0000-000008300000}"/>
    <cellStyle name="Normal 2 2 2 2 2 23 4 5" xfId="12297" xr:uid="{00000000-0005-0000-0000-000009300000}"/>
    <cellStyle name="Normal 2 2 2 2 2 23 4 6" xfId="12298" xr:uid="{00000000-0005-0000-0000-00000A300000}"/>
    <cellStyle name="Normal 2 2 2 2 2 23 4 7" xfId="12299" xr:uid="{00000000-0005-0000-0000-00000B300000}"/>
    <cellStyle name="Normal 2 2 2 2 2 23 4 8" xfId="12300" xr:uid="{00000000-0005-0000-0000-00000C300000}"/>
    <cellStyle name="Normal 2 2 2 2 2 23 4 9" xfId="12301" xr:uid="{00000000-0005-0000-0000-00000D300000}"/>
    <cellStyle name="Normal 2 2 2 2 2 23 5" xfId="12302" xr:uid="{00000000-0005-0000-0000-00000E300000}"/>
    <cellStyle name="Normal 2 2 2 2 2 23 5 10" xfId="12303" xr:uid="{00000000-0005-0000-0000-00000F300000}"/>
    <cellStyle name="Normal 2 2 2 2 2 23 5 2" xfId="12304" xr:uid="{00000000-0005-0000-0000-000010300000}"/>
    <cellStyle name="Normal 2 2 2 2 2 23 5 3" xfId="12305" xr:uid="{00000000-0005-0000-0000-000011300000}"/>
    <cellStyle name="Normal 2 2 2 2 2 23 5 4" xfId="12306" xr:uid="{00000000-0005-0000-0000-000012300000}"/>
    <cellStyle name="Normal 2 2 2 2 2 23 5 5" xfId="12307" xr:uid="{00000000-0005-0000-0000-000013300000}"/>
    <cellStyle name="Normal 2 2 2 2 2 23 5 6" xfId="12308" xr:uid="{00000000-0005-0000-0000-000014300000}"/>
    <cellStyle name="Normal 2 2 2 2 2 23 5 7" xfId="12309" xr:uid="{00000000-0005-0000-0000-000015300000}"/>
    <cellStyle name="Normal 2 2 2 2 2 23 5 8" xfId="12310" xr:uid="{00000000-0005-0000-0000-000016300000}"/>
    <cellStyle name="Normal 2 2 2 2 2 23 5 9" xfId="12311" xr:uid="{00000000-0005-0000-0000-000017300000}"/>
    <cellStyle name="Normal 2 2 2 2 2 23 6" xfId="12312" xr:uid="{00000000-0005-0000-0000-000018300000}"/>
    <cellStyle name="Normal 2 2 2 2 2 23 7" xfId="12313" xr:uid="{00000000-0005-0000-0000-000019300000}"/>
    <cellStyle name="Normal 2 2 2 2 2 23 8" xfId="12314" xr:uid="{00000000-0005-0000-0000-00001A300000}"/>
    <cellStyle name="Normal 2 2 2 2 2 23 9" xfId="12315" xr:uid="{00000000-0005-0000-0000-00001B300000}"/>
    <cellStyle name="Normal 2 2 2 2 2 24" xfId="12316" xr:uid="{00000000-0005-0000-0000-00001C300000}"/>
    <cellStyle name="Normal 2 2 2 2 2 24 10" xfId="12317" xr:uid="{00000000-0005-0000-0000-00001D300000}"/>
    <cellStyle name="Normal 2 2 2 2 2 24 11" xfId="12318" xr:uid="{00000000-0005-0000-0000-00001E300000}"/>
    <cellStyle name="Normal 2 2 2 2 2 24 12" xfId="12319" xr:uid="{00000000-0005-0000-0000-00001F300000}"/>
    <cellStyle name="Normal 2 2 2 2 2 24 13" xfId="12320" xr:uid="{00000000-0005-0000-0000-000020300000}"/>
    <cellStyle name="Normal 2 2 2 2 2 24 14" xfId="12321" xr:uid="{00000000-0005-0000-0000-000021300000}"/>
    <cellStyle name="Normal 2 2 2 2 2 24 2" xfId="12322" xr:uid="{00000000-0005-0000-0000-000022300000}"/>
    <cellStyle name="Normal 2 2 2 2 2 24 2 10" xfId="12323" xr:uid="{00000000-0005-0000-0000-000023300000}"/>
    <cellStyle name="Normal 2 2 2 2 2 24 2 2" xfId="12324" xr:uid="{00000000-0005-0000-0000-000024300000}"/>
    <cellStyle name="Normal 2 2 2 2 2 24 2 3" xfId="12325" xr:uid="{00000000-0005-0000-0000-000025300000}"/>
    <cellStyle name="Normal 2 2 2 2 2 24 2 4" xfId="12326" xr:uid="{00000000-0005-0000-0000-000026300000}"/>
    <cellStyle name="Normal 2 2 2 2 2 24 2 5" xfId="12327" xr:uid="{00000000-0005-0000-0000-000027300000}"/>
    <cellStyle name="Normal 2 2 2 2 2 24 2 6" xfId="12328" xr:uid="{00000000-0005-0000-0000-000028300000}"/>
    <cellStyle name="Normal 2 2 2 2 2 24 2 7" xfId="12329" xr:uid="{00000000-0005-0000-0000-000029300000}"/>
    <cellStyle name="Normal 2 2 2 2 2 24 2 8" xfId="12330" xr:uid="{00000000-0005-0000-0000-00002A300000}"/>
    <cellStyle name="Normal 2 2 2 2 2 24 2 9" xfId="12331" xr:uid="{00000000-0005-0000-0000-00002B300000}"/>
    <cellStyle name="Normal 2 2 2 2 2 24 3" xfId="12332" xr:uid="{00000000-0005-0000-0000-00002C300000}"/>
    <cellStyle name="Normal 2 2 2 2 2 24 3 10" xfId="12333" xr:uid="{00000000-0005-0000-0000-00002D300000}"/>
    <cellStyle name="Normal 2 2 2 2 2 24 3 2" xfId="12334" xr:uid="{00000000-0005-0000-0000-00002E300000}"/>
    <cellStyle name="Normal 2 2 2 2 2 24 3 3" xfId="12335" xr:uid="{00000000-0005-0000-0000-00002F300000}"/>
    <cellStyle name="Normal 2 2 2 2 2 24 3 4" xfId="12336" xr:uid="{00000000-0005-0000-0000-000030300000}"/>
    <cellStyle name="Normal 2 2 2 2 2 24 3 5" xfId="12337" xr:uid="{00000000-0005-0000-0000-000031300000}"/>
    <cellStyle name="Normal 2 2 2 2 2 24 3 6" xfId="12338" xr:uid="{00000000-0005-0000-0000-000032300000}"/>
    <cellStyle name="Normal 2 2 2 2 2 24 3 7" xfId="12339" xr:uid="{00000000-0005-0000-0000-000033300000}"/>
    <cellStyle name="Normal 2 2 2 2 2 24 3 8" xfId="12340" xr:uid="{00000000-0005-0000-0000-000034300000}"/>
    <cellStyle name="Normal 2 2 2 2 2 24 3 9" xfId="12341" xr:uid="{00000000-0005-0000-0000-000035300000}"/>
    <cellStyle name="Normal 2 2 2 2 2 24 4" xfId="12342" xr:uid="{00000000-0005-0000-0000-000036300000}"/>
    <cellStyle name="Normal 2 2 2 2 2 24 4 10" xfId="12343" xr:uid="{00000000-0005-0000-0000-000037300000}"/>
    <cellStyle name="Normal 2 2 2 2 2 24 4 2" xfId="12344" xr:uid="{00000000-0005-0000-0000-000038300000}"/>
    <cellStyle name="Normal 2 2 2 2 2 24 4 3" xfId="12345" xr:uid="{00000000-0005-0000-0000-000039300000}"/>
    <cellStyle name="Normal 2 2 2 2 2 24 4 4" xfId="12346" xr:uid="{00000000-0005-0000-0000-00003A300000}"/>
    <cellStyle name="Normal 2 2 2 2 2 24 4 5" xfId="12347" xr:uid="{00000000-0005-0000-0000-00003B300000}"/>
    <cellStyle name="Normal 2 2 2 2 2 24 4 6" xfId="12348" xr:uid="{00000000-0005-0000-0000-00003C300000}"/>
    <cellStyle name="Normal 2 2 2 2 2 24 4 7" xfId="12349" xr:uid="{00000000-0005-0000-0000-00003D300000}"/>
    <cellStyle name="Normal 2 2 2 2 2 24 4 8" xfId="12350" xr:uid="{00000000-0005-0000-0000-00003E300000}"/>
    <cellStyle name="Normal 2 2 2 2 2 24 4 9" xfId="12351" xr:uid="{00000000-0005-0000-0000-00003F300000}"/>
    <cellStyle name="Normal 2 2 2 2 2 24 5" xfId="12352" xr:uid="{00000000-0005-0000-0000-000040300000}"/>
    <cellStyle name="Normal 2 2 2 2 2 24 5 10" xfId="12353" xr:uid="{00000000-0005-0000-0000-000041300000}"/>
    <cellStyle name="Normal 2 2 2 2 2 24 5 2" xfId="12354" xr:uid="{00000000-0005-0000-0000-000042300000}"/>
    <cellStyle name="Normal 2 2 2 2 2 24 5 3" xfId="12355" xr:uid="{00000000-0005-0000-0000-000043300000}"/>
    <cellStyle name="Normal 2 2 2 2 2 24 5 4" xfId="12356" xr:uid="{00000000-0005-0000-0000-000044300000}"/>
    <cellStyle name="Normal 2 2 2 2 2 24 5 5" xfId="12357" xr:uid="{00000000-0005-0000-0000-000045300000}"/>
    <cellStyle name="Normal 2 2 2 2 2 24 5 6" xfId="12358" xr:uid="{00000000-0005-0000-0000-000046300000}"/>
    <cellStyle name="Normal 2 2 2 2 2 24 5 7" xfId="12359" xr:uid="{00000000-0005-0000-0000-000047300000}"/>
    <cellStyle name="Normal 2 2 2 2 2 24 5 8" xfId="12360" xr:uid="{00000000-0005-0000-0000-000048300000}"/>
    <cellStyle name="Normal 2 2 2 2 2 24 5 9" xfId="12361" xr:uid="{00000000-0005-0000-0000-000049300000}"/>
    <cellStyle name="Normal 2 2 2 2 2 24 6" xfId="12362" xr:uid="{00000000-0005-0000-0000-00004A300000}"/>
    <cellStyle name="Normal 2 2 2 2 2 24 7" xfId="12363" xr:uid="{00000000-0005-0000-0000-00004B300000}"/>
    <cellStyle name="Normal 2 2 2 2 2 24 8" xfId="12364" xr:uid="{00000000-0005-0000-0000-00004C300000}"/>
    <cellStyle name="Normal 2 2 2 2 2 24 9" xfId="12365" xr:uid="{00000000-0005-0000-0000-00004D300000}"/>
    <cellStyle name="Normal 2 2 2 2 2 25" xfId="12366" xr:uid="{00000000-0005-0000-0000-00004E300000}"/>
    <cellStyle name="Normal 2 2 2 2 2 25 10" xfId="12367" xr:uid="{00000000-0005-0000-0000-00004F300000}"/>
    <cellStyle name="Normal 2 2 2 2 2 25 11" xfId="12368" xr:uid="{00000000-0005-0000-0000-000050300000}"/>
    <cellStyle name="Normal 2 2 2 2 2 25 12" xfId="12369" xr:uid="{00000000-0005-0000-0000-000051300000}"/>
    <cellStyle name="Normal 2 2 2 2 2 25 13" xfId="12370" xr:uid="{00000000-0005-0000-0000-000052300000}"/>
    <cellStyle name="Normal 2 2 2 2 2 25 14" xfId="12371" xr:uid="{00000000-0005-0000-0000-000053300000}"/>
    <cellStyle name="Normal 2 2 2 2 2 25 2" xfId="12372" xr:uid="{00000000-0005-0000-0000-000054300000}"/>
    <cellStyle name="Normal 2 2 2 2 2 25 2 10" xfId="12373" xr:uid="{00000000-0005-0000-0000-000055300000}"/>
    <cellStyle name="Normal 2 2 2 2 2 25 2 2" xfId="12374" xr:uid="{00000000-0005-0000-0000-000056300000}"/>
    <cellStyle name="Normal 2 2 2 2 2 25 2 3" xfId="12375" xr:uid="{00000000-0005-0000-0000-000057300000}"/>
    <cellStyle name="Normal 2 2 2 2 2 25 2 4" xfId="12376" xr:uid="{00000000-0005-0000-0000-000058300000}"/>
    <cellStyle name="Normal 2 2 2 2 2 25 2 5" xfId="12377" xr:uid="{00000000-0005-0000-0000-000059300000}"/>
    <cellStyle name="Normal 2 2 2 2 2 25 2 6" xfId="12378" xr:uid="{00000000-0005-0000-0000-00005A300000}"/>
    <cellStyle name="Normal 2 2 2 2 2 25 2 7" xfId="12379" xr:uid="{00000000-0005-0000-0000-00005B300000}"/>
    <cellStyle name="Normal 2 2 2 2 2 25 2 8" xfId="12380" xr:uid="{00000000-0005-0000-0000-00005C300000}"/>
    <cellStyle name="Normal 2 2 2 2 2 25 2 9" xfId="12381" xr:uid="{00000000-0005-0000-0000-00005D300000}"/>
    <cellStyle name="Normal 2 2 2 2 2 25 3" xfId="12382" xr:uid="{00000000-0005-0000-0000-00005E300000}"/>
    <cellStyle name="Normal 2 2 2 2 2 25 3 10" xfId="12383" xr:uid="{00000000-0005-0000-0000-00005F300000}"/>
    <cellStyle name="Normal 2 2 2 2 2 25 3 2" xfId="12384" xr:uid="{00000000-0005-0000-0000-000060300000}"/>
    <cellStyle name="Normal 2 2 2 2 2 25 3 3" xfId="12385" xr:uid="{00000000-0005-0000-0000-000061300000}"/>
    <cellStyle name="Normal 2 2 2 2 2 25 3 4" xfId="12386" xr:uid="{00000000-0005-0000-0000-000062300000}"/>
    <cellStyle name="Normal 2 2 2 2 2 25 3 5" xfId="12387" xr:uid="{00000000-0005-0000-0000-000063300000}"/>
    <cellStyle name="Normal 2 2 2 2 2 25 3 6" xfId="12388" xr:uid="{00000000-0005-0000-0000-000064300000}"/>
    <cellStyle name="Normal 2 2 2 2 2 25 3 7" xfId="12389" xr:uid="{00000000-0005-0000-0000-000065300000}"/>
    <cellStyle name="Normal 2 2 2 2 2 25 3 8" xfId="12390" xr:uid="{00000000-0005-0000-0000-000066300000}"/>
    <cellStyle name="Normal 2 2 2 2 2 25 3 9" xfId="12391" xr:uid="{00000000-0005-0000-0000-000067300000}"/>
    <cellStyle name="Normal 2 2 2 2 2 25 4" xfId="12392" xr:uid="{00000000-0005-0000-0000-000068300000}"/>
    <cellStyle name="Normal 2 2 2 2 2 25 4 10" xfId="12393" xr:uid="{00000000-0005-0000-0000-000069300000}"/>
    <cellStyle name="Normal 2 2 2 2 2 25 4 2" xfId="12394" xr:uid="{00000000-0005-0000-0000-00006A300000}"/>
    <cellStyle name="Normal 2 2 2 2 2 25 4 3" xfId="12395" xr:uid="{00000000-0005-0000-0000-00006B300000}"/>
    <cellStyle name="Normal 2 2 2 2 2 25 4 4" xfId="12396" xr:uid="{00000000-0005-0000-0000-00006C300000}"/>
    <cellStyle name="Normal 2 2 2 2 2 25 4 5" xfId="12397" xr:uid="{00000000-0005-0000-0000-00006D300000}"/>
    <cellStyle name="Normal 2 2 2 2 2 25 4 6" xfId="12398" xr:uid="{00000000-0005-0000-0000-00006E300000}"/>
    <cellStyle name="Normal 2 2 2 2 2 25 4 7" xfId="12399" xr:uid="{00000000-0005-0000-0000-00006F300000}"/>
    <cellStyle name="Normal 2 2 2 2 2 25 4 8" xfId="12400" xr:uid="{00000000-0005-0000-0000-000070300000}"/>
    <cellStyle name="Normal 2 2 2 2 2 25 4 9" xfId="12401" xr:uid="{00000000-0005-0000-0000-000071300000}"/>
    <cellStyle name="Normal 2 2 2 2 2 25 5" xfId="12402" xr:uid="{00000000-0005-0000-0000-000072300000}"/>
    <cellStyle name="Normal 2 2 2 2 2 25 5 10" xfId="12403" xr:uid="{00000000-0005-0000-0000-000073300000}"/>
    <cellStyle name="Normal 2 2 2 2 2 25 5 2" xfId="12404" xr:uid="{00000000-0005-0000-0000-000074300000}"/>
    <cellStyle name="Normal 2 2 2 2 2 25 5 3" xfId="12405" xr:uid="{00000000-0005-0000-0000-000075300000}"/>
    <cellStyle name="Normal 2 2 2 2 2 25 5 4" xfId="12406" xr:uid="{00000000-0005-0000-0000-000076300000}"/>
    <cellStyle name="Normal 2 2 2 2 2 25 5 5" xfId="12407" xr:uid="{00000000-0005-0000-0000-000077300000}"/>
    <cellStyle name="Normal 2 2 2 2 2 25 5 6" xfId="12408" xr:uid="{00000000-0005-0000-0000-000078300000}"/>
    <cellStyle name="Normal 2 2 2 2 2 25 5 7" xfId="12409" xr:uid="{00000000-0005-0000-0000-000079300000}"/>
    <cellStyle name="Normal 2 2 2 2 2 25 5 8" xfId="12410" xr:uid="{00000000-0005-0000-0000-00007A300000}"/>
    <cellStyle name="Normal 2 2 2 2 2 25 5 9" xfId="12411" xr:uid="{00000000-0005-0000-0000-00007B300000}"/>
    <cellStyle name="Normal 2 2 2 2 2 25 6" xfId="12412" xr:uid="{00000000-0005-0000-0000-00007C300000}"/>
    <cellStyle name="Normal 2 2 2 2 2 25 7" xfId="12413" xr:uid="{00000000-0005-0000-0000-00007D300000}"/>
    <cellStyle name="Normal 2 2 2 2 2 25 8" xfId="12414" xr:uid="{00000000-0005-0000-0000-00007E300000}"/>
    <cellStyle name="Normal 2 2 2 2 2 25 9" xfId="12415" xr:uid="{00000000-0005-0000-0000-00007F300000}"/>
    <cellStyle name="Normal 2 2 2 2 2 26" xfId="12416" xr:uid="{00000000-0005-0000-0000-000080300000}"/>
    <cellStyle name="Normal 2 2 2 2 2 26 10" xfId="12417" xr:uid="{00000000-0005-0000-0000-000081300000}"/>
    <cellStyle name="Normal 2 2 2 2 2 26 11" xfId="12418" xr:uid="{00000000-0005-0000-0000-000082300000}"/>
    <cellStyle name="Normal 2 2 2 2 2 26 12" xfId="12419" xr:uid="{00000000-0005-0000-0000-000083300000}"/>
    <cellStyle name="Normal 2 2 2 2 2 26 13" xfId="12420" xr:uid="{00000000-0005-0000-0000-000084300000}"/>
    <cellStyle name="Normal 2 2 2 2 2 26 14" xfId="12421" xr:uid="{00000000-0005-0000-0000-000085300000}"/>
    <cellStyle name="Normal 2 2 2 2 2 26 2" xfId="12422" xr:uid="{00000000-0005-0000-0000-000086300000}"/>
    <cellStyle name="Normal 2 2 2 2 2 26 2 10" xfId="12423" xr:uid="{00000000-0005-0000-0000-000087300000}"/>
    <cellStyle name="Normal 2 2 2 2 2 26 2 2" xfId="12424" xr:uid="{00000000-0005-0000-0000-000088300000}"/>
    <cellStyle name="Normal 2 2 2 2 2 26 2 3" xfId="12425" xr:uid="{00000000-0005-0000-0000-000089300000}"/>
    <cellStyle name="Normal 2 2 2 2 2 26 2 4" xfId="12426" xr:uid="{00000000-0005-0000-0000-00008A300000}"/>
    <cellStyle name="Normal 2 2 2 2 2 26 2 5" xfId="12427" xr:uid="{00000000-0005-0000-0000-00008B300000}"/>
    <cellStyle name="Normal 2 2 2 2 2 26 2 6" xfId="12428" xr:uid="{00000000-0005-0000-0000-00008C300000}"/>
    <cellStyle name="Normal 2 2 2 2 2 26 2 7" xfId="12429" xr:uid="{00000000-0005-0000-0000-00008D300000}"/>
    <cellStyle name="Normal 2 2 2 2 2 26 2 8" xfId="12430" xr:uid="{00000000-0005-0000-0000-00008E300000}"/>
    <cellStyle name="Normal 2 2 2 2 2 26 2 9" xfId="12431" xr:uid="{00000000-0005-0000-0000-00008F300000}"/>
    <cellStyle name="Normal 2 2 2 2 2 26 3" xfId="12432" xr:uid="{00000000-0005-0000-0000-000090300000}"/>
    <cellStyle name="Normal 2 2 2 2 2 26 3 10" xfId="12433" xr:uid="{00000000-0005-0000-0000-000091300000}"/>
    <cellStyle name="Normal 2 2 2 2 2 26 3 2" xfId="12434" xr:uid="{00000000-0005-0000-0000-000092300000}"/>
    <cellStyle name="Normal 2 2 2 2 2 26 3 3" xfId="12435" xr:uid="{00000000-0005-0000-0000-000093300000}"/>
    <cellStyle name="Normal 2 2 2 2 2 26 3 4" xfId="12436" xr:uid="{00000000-0005-0000-0000-000094300000}"/>
    <cellStyle name="Normal 2 2 2 2 2 26 3 5" xfId="12437" xr:uid="{00000000-0005-0000-0000-000095300000}"/>
    <cellStyle name="Normal 2 2 2 2 2 26 3 6" xfId="12438" xr:uid="{00000000-0005-0000-0000-000096300000}"/>
    <cellStyle name="Normal 2 2 2 2 2 26 3 7" xfId="12439" xr:uid="{00000000-0005-0000-0000-000097300000}"/>
    <cellStyle name="Normal 2 2 2 2 2 26 3 8" xfId="12440" xr:uid="{00000000-0005-0000-0000-000098300000}"/>
    <cellStyle name="Normal 2 2 2 2 2 26 3 9" xfId="12441" xr:uid="{00000000-0005-0000-0000-000099300000}"/>
    <cellStyle name="Normal 2 2 2 2 2 26 4" xfId="12442" xr:uid="{00000000-0005-0000-0000-00009A300000}"/>
    <cellStyle name="Normal 2 2 2 2 2 26 4 10" xfId="12443" xr:uid="{00000000-0005-0000-0000-00009B300000}"/>
    <cellStyle name="Normal 2 2 2 2 2 26 4 2" xfId="12444" xr:uid="{00000000-0005-0000-0000-00009C300000}"/>
    <cellStyle name="Normal 2 2 2 2 2 26 4 3" xfId="12445" xr:uid="{00000000-0005-0000-0000-00009D300000}"/>
    <cellStyle name="Normal 2 2 2 2 2 26 4 4" xfId="12446" xr:uid="{00000000-0005-0000-0000-00009E300000}"/>
    <cellStyle name="Normal 2 2 2 2 2 26 4 5" xfId="12447" xr:uid="{00000000-0005-0000-0000-00009F300000}"/>
    <cellStyle name="Normal 2 2 2 2 2 26 4 6" xfId="12448" xr:uid="{00000000-0005-0000-0000-0000A0300000}"/>
    <cellStyle name="Normal 2 2 2 2 2 26 4 7" xfId="12449" xr:uid="{00000000-0005-0000-0000-0000A1300000}"/>
    <cellStyle name="Normal 2 2 2 2 2 26 4 8" xfId="12450" xr:uid="{00000000-0005-0000-0000-0000A2300000}"/>
    <cellStyle name="Normal 2 2 2 2 2 26 4 9" xfId="12451" xr:uid="{00000000-0005-0000-0000-0000A3300000}"/>
    <cellStyle name="Normal 2 2 2 2 2 26 5" xfId="12452" xr:uid="{00000000-0005-0000-0000-0000A4300000}"/>
    <cellStyle name="Normal 2 2 2 2 2 26 5 10" xfId="12453" xr:uid="{00000000-0005-0000-0000-0000A5300000}"/>
    <cellStyle name="Normal 2 2 2 2 2 26 5 2" xfId="12454" xr:uid="{00000000-0005-0000-0000-0000A6300000}"/>
    <cellStyle name="Normal 2 2 2 2 2 26 5 3" xfId="12455" xr:uid="{00000000-0005-0000-0000-0000A7300000}"/>
    <cellStyle name="Normal 2 2 2 2 2 26 5 4" xfId="12456" xr:uid="{00000000-0005-0000-0000-0000A8300000}"/>
    <cellStyle name="Normal 2 2 2 2 2 26 5 5" xfId="12457" xr:uid="{00000000-0005-0000-0000-0000A9300000}"/>
    <cellStyle name="Normal 2 2 2 2 2 26 5 6" xfId="12458" xr:uid="{00000000-0005-0000-0000-0000AA300000}"/>
    <cellStyle name="Normal 2 2 2 2 2 26 5 7" xfId="12459" xr:uid="{00000000-0005-0000-0000-0000AB300000}"/>
    <cellStyle name="Normal 2 2 2 2 2 26 5 8" xfId="12460" xr:uid="{00000000-0005-0000-0000-0000AC300000}"/>
    <cellStyle name="Normal 2 2 2 2 2 26 5 9" xfId="12461" xr:uid="{00000000-0005-0000-0000-0000AD300000}"/>
    <cellStyle name="Normal 2 2 2 2 2 26 6" xfId="12462" xr:uid="{00000000-0005-0000-0000-0000AE300000}"/>
    <cellStyle name="Normal 2 2 2 2 2 26 7" xfId="12463" xr:uid="{00000000-0005-0000-0000-0000AF300000}"/>
    <cellStyle name="Normal 2 2 2 2 2 26 8" xfId="12464" xr:uid="{00000000-0005-0000-0000-0000B0300000}"/>
    <cellStyle name="Normal 2 2 2 2 2 26 9" xfId="12465" xr:uid="{00000000-0005-0000-0000-0000B1300000}"/>
    <cellStyle name="Normal 2 2 2 2 2 27" xfId="12466" xr:uid="{00000000-0005-0000-0000-0000B2300000}"/>
    <cellStyle name="Normal 2 2 2 2 2 27 10" xfId="12467" xr:uid="{00000000-0005-0000-0000-0000B3300000}"/>
    <cellStyle name="Normal 2 2 2 2 2 27 11" xfId="12468" xr:uid="{00000000-0005-0000-0000-0000B4300000}"/>
    <cellStyle name="Normal 2 2 2 2 2 27 12" xfId="12469" xr:uid="{00000000-0005-0000-0000-0000B5300000}"/>
    <cellStyle name="Normal 2 2 2 2 2 27 13" xfId="12470" xr:uid="{00000000-0005-0000-0000-0000B6300000}"/>
    <cellStyle name="Normal 2 2 2 2 2 27 14" xfId="12471" xr:uid="{00000000-0005-0000-0000-0000B7300000}"/>
    <cellStyle name="Normal 2 2 2 2 2 27 2" xfId="12472" xr:uid="{00000000-0005-0000-0000-0000B8300000}"/>
    <cellStyle name="Normal 2 2 2 2 2 27 2 10" xfId="12473" xr:uid="{00000000-0005-0000-0000-0000B9300000}"/>
    <cellStyle name="Normal 2 2 2 2 2 27 2 2" xfId="12474" xr:uid="{00000000-0005-0000-0000-0000BA300000}"/>
    <cellStyle name="Normal 2 2 2 2 2 27 2 3" xfId="12475" xr:uid="{00000000-0005-0000-0000-0000BB300000}"/>
    <cellStyle name="Normal 2 2 2 2 2 27 2 4" xfId="12476" xr:uid="{00000000-0005-0000-0000-0000BC300000}"/>
    <cellStyle name="Normal 2 2 2 2 2 27 2 5" xfId="12477" xr:uid="{00000000-0005-0000-0000-0000BD300000}"/>
    <cellStyle name="Normal 2 2 2 2 2 27 2 6" xfId="12478" xr:uid="{00000000-0005-0000-0000-0000BE300000}"/>
    <cellStyle name="Normal 2 2 2 2 2 27 2 7" xfId="12479" xr:uid="{00000000-0005-0000-0000-0000BF300000}"/>
    <cellStyle name="Normal 2 2 2 2 2 27 2 8" xfId="12480" xr:uid="{00000000-0005-0000-0000-0000C0300000}"/>
    <cellStyle name="Normal 2 2 2 2 2 27 2 9" xfId="12481" xr:uid="{00000000-0005-0000-0000-0000C1300000}"/>
    <cellStyle name="Normal 2 2 2 2 2 27 3" xfId="12482" xr:uid="{00000000-0005-0000-0000-0000C2300000}"/>
    <cellStyle name="Normal 2 2 2 2 2 27 3 10" xfId="12483" xr:uid="{00000000-0005-0000-0000-0000C3300000}"/>
    <cellStyle name="Normal 2 2 2 2 2 27 3 2" xfId="12484" xr:uid="{00000000-0005-0000-0000-0000C4300000}"/>
    <cellStyle name="Normal 2 2 2 2 2 27 3 3" xfId="12485" xr:uid="{00000000-0005-0000-0000-0000C5300000}"/>
    <cellStyle name="Normal 2 2 2 2 2 27 3 4" xfId="12486" xr:uid="{00000000-0005-0000-0000-0000C6300000}"/>
    <cellStyle name="Normal 2 2 2 2 2 27 3 5" xfId="12487" xr:uid="{00000000-0005-0000-0000-0000C7300000}"/>
    <cellStyle name="Normal 2 2 2 2 2 27 3 6" xfId="12488" xr:uid="{00000000-0005-0000-0000-0000C8300000}"/>
    <cellStyle name="Normal 2 2 2 2 2 27 3 7" xfId="12489" xr:uid="{00000000-0005-0000-0000-0000C9300000}"/>
    <cellStyle name="Normal 2 2 2 2 2 27 3 8" xfId="12490" xr:uid="{00000000-0005-0000-0000-0000CA300000}"/>
    <cellStyle name="Normal 2 2 2 2 2 27 3 9" xfId="12491" xr:uid="{00000000-0005-0000-0000-0000CB300000}"/>
    <cellStyle name="Normal 2 2 2 2 2 27 4" xfId="12492" xr:uid="{00000000-0005-0000-0000-0000CC300000}"/>
    <cellStyle name="Normal 2 2 2 2 2 27 4 10" xfId="12493" xr:uid="{00000000-0005-0000-0000-0000CD300000}"/>
    <cellStyle name="Normal 2 2 2 2 2 27 4 2" xfId="12494" xr:uid="{00000000-0005-0000-0000-0000CE300000}"/>
    <cellStyle name="Normal 2 2 2 2 2 27 4 3" xfId="12495" xr:uid="{00000000-0005-0000-0000-0000CF300000}"/>
    <cellStyle name="Normal 2 2 2 2 2 27 4 4" xfId="12496" xr:uid="{00000000-0005-0000-0000-0000D0300000}"/>
    <cellStyle name="Normal 2 2 2 2 2 27 4 5" xfId="12497" xr:uid="{00000000-0005-0000-0000-0000D1300000}"/>
    <cellStyle name="Normal 2 2 2 2 2 27 4 6" xfId="12498" xr:uid="{00000000-0005-0000-0000-0000D2300000}"/>
    <cellStyle name="Normal 2 2 2 2 2 27 4 7" xfId="12499" xr:uid="{00000000-0005-0000-0000-0000D3300000}"/>
    <cellStyle name="Normal 2 2 2 2 2 27 4 8" xfId="12500" xr:uid="{00000000-0005-0000-0000-0000D4300000}"/>
    <cellStyle name="Normal 2 2 2 2 2 27 4 9" xfId="12501" xr:uid="{00000000-0005-0000-0000-0000D5300000}"/>
    <cellStyle name="Normal 2 2 2 2 2 27 5" xfId="12502" xr:uid="{00000000-0005-0000-0000-0000D6300000}"/>
    <cellStyle name="Normal 2 2 2 2 2 27 5 10" xfId="12503" xr:uid="{00000000-0005-0000-0000-0000D7300000}"/>
    <cellStyle name="Normal 2 2 2 2 2 27 5 2" xfId="12504" xr:uid="{00000000-0005-0000-0000-0000D8300000}"/>
    <cellStyle name="Normal 2 2 2 2 2 27 5 3" xfId="12505" xr:uid="{00000000-0005-0000-0000-0000D9300000}"/>
    <cellStyle name="Normal 2 2 2 2 2 27 5 4" xfId="12506" xr:uid="{00000000-0005-0000-0000-0000DA300000}"/>
    <cellStyle name="Normal 2 2 2 2 2 27 5 5" xfId="12507" xr:uid="{00000000-0005-0000-0000-0000DB300000}"/>
    <cellStyle name="Normal 2 2 2 2 2 27 5 6" xfId="12508" xr:uid="{00000000-0005-0000-0000-0000DC300000}"/>
    <cellStyle name="Normal 2 2 2 2 2 27 5 7" xfId="12509" xr:uid="{00000000-0005-0000-0000-0000DD300000}"/>
    <cellStyle name="Normal 2 2 2 2 2 27 5 8" xfId="12510" xr:uid="{00000000-0005-0000-0000-0000DE300000}"/>
    <cellStyle name="Normal 2 2 2 2 2 27 5 9" xfId="12511" xr:uid="{00000000-0005-0000-0000-0000DF300000}"/>
    <cellStyle name="Normal 2 2 2 2 2 27 6" xfId="12512" xr:uid="{00000000-0005-0000-0000-0000E0300000}"/>
    <cellStyle name="Normal 2 2 2 2 2 27 7" xfId="12513" xr:uid="{00000000-0005-0000-0000-0000E1300000}"/>
    <cellStyle name="Normal 2 2 2 2 2 27 8" xfId="12514" xr:uid="{00000000-0005-0000-0000-0000E2300000}"/>
    <cellStyle name="Normal 2 2 2 2 2 27 9" xfId="12515" xr:uid="{00000000-0005-0000-0000-0000E3300000}"/>
    <cellStyle name="Normal 2 2 2 2 2 28" xfId="12516" xr:uid="{00000000-0005-0000-0000-0000E4300000}"/>
    <cellStyle name="Normal 2 2 2 2 2 28 10" xfId="12517" xr:uid="{00000000-0005-0000-0000-0000E5300000}"/>
    <cellStyle name="Normal 2 2 2 2 2 28 11" xfId="12518" xr:uid="{00000000-0005-0000-0000-0000E6300000}"/>
    <cellStyle name="Normal 2 2 2 2 2 28 12" xfId="12519" xr:uid="{00000000-0005-0000-0000-0000E7300000}"/>
    <cellStyle name="Normal 2 2 2 2 2 28 13" xfId="12520" xr:uid="{00000000-0005-0000-0000-0000E8300000}"/>
    <cellStyle name="Normal 2 2 2 2 2 28 14" xfId="12521" xr:uid="{00000000-0005-0000-0000-0000E9300000}"/>
    <cellStyle name="Normal 2 2 2 2 2 28 2" xfId="12522" xr:uid="{00000000-0005-0000-0000-0000EA300000}"/>
    <cellStyle name="Normal 2 2 2 2 2 28 2 10" xfId="12523" xr:uid="{00000000-0005-0000-0000-0000EB300000}"/>
    <cellStyle name="Normal 2 2 2 2 2 28 2 2" xfId="12524" xr:uid="{00000000-0005-0000-0000-0000EC300000}"/>
    <cellStyle name="Normal 2 2 2 2 2 28 2 3" xfId="12525" xr:uid="{00000000-0005-0000-0000-0000ED300000}"/>
    <cellStyle name="Normal 2 2 2 2 2 28 2 4" xfId="12526" xr:uid="{00000000-0005-0000-0000-0000EE300000}"/>
    <cellStyle name="Normal 2 2 2 2 2 28 2 5" xfId="12527" xr:uid="{00000000-0005-0000-0000-0000EF300000}"/>
    <cellStyle name="Normal 2 2 2 2 2 28 2 6" xfId="12528" xr:uid="{00000000-0005-0000-0000-0000F0300000}"/>
    <cellStyle name="Normal 2 2 2 2 2 28 2 7" xfId="12529" xr:uid="{00000000-0005-0000-0000-0000F1300000}"/>
    <cellStyle name="Normal 2 2 2 2 2 28 2 8" xfId="12530" xr:uid="{00000000-0005-0000-0000-0000F2300000}"/>
    <cellStyle name="Normal 2 2 2 2 2 28 2 9" xfId="12531" xr:uid="{00000000-0005-0000-0000-0000F3300000}"/>
    <cellStyle name="Normal 2 2 2 2 2 28 3" xfId="12532" xr:uid="{00000000-0005-0000-0000-0000F4300000}"/>
    <cellStyle name="Normal 2 2 2 2 2 28 3 10" xfId="12533" xr:uid="{00000000-0005-0000-0000-0000F5300000}"/>
    <cellStyle name="Normal 2 2 2 2 2 28 3 2" xfId="12534" xr:uid="{00000000-0005-0000-0000-0000F6300000}"/>
    <cellStyle name="Normal 2 2 2 2 2 28 3 3" xfId="12535" xr:uid="{00000000-0005-0000-0000-0000F7300000}"/>
    <cellStyle name="Normal 2 2 2 2 2 28 3 4" xfId="12536" xr:uid="{00000000-0005-0000-0000-0000F8300000}"/>
    <cellStyle name="Normal 2 2 2 2 2 28 3 5" xfId="12537" xr:uid="{00000000-0005-0000-0000-0000F9300000}"/>
    <cellStyle name="Normal 2 2 2 2 2 28 3 6" xfId="12538" xr:uid="{00000000-0005-0000-0000-0000FA300000}"/>
    <cellStyle name="Normal 2 2 2 2 2 28 3 7" xfId="12539" xr:uid="{00000000-0005-0000-0000-0000FB300000}"/>
    <cellStyle name="Normal 2 2 2 2 2 28 3 8" xfId="12540" xr:uid="{00000000-0005-0000-0000-0000FC300000}"/>
    <cellStyle name="Normal 2 2 2 2 2 28 3 9" xfId="12541" xr:uid="{00000000-0005-0000-0000-0000FD300000}"/>
    <cellStyle name="Normal 2 2 2 2 2 28 4" xfId="12542" xr:uid="{00000000-0005-0000-0000-0000FE300000}"/>
    <cellStyle name="Normal 2 2 2 2 2 28 4 10" xfId="12543" xr:uid="{00000000-0005-0000-0000-0000FF300000}"/>
    <cellStyle name="Normal 2 2 2 2 2 28 4 2" xfId="12544" xr:uid="{00000000-0005-0000-0000-000000310000}"/>
    <cellStyle name="Normal 2 2 2 2 2 28 4 3" xfId="12545" xr:uid="{00000000-0005-0000-0000-000001310000}"/>
    <cellStyle name="Normal 2 2 2 2 2 28 4 4" xfId="12546" xr:uid="{00000000-0005-0000-0000-000002310000}"/>
    <cellStyle name="Normal 2 2 2 2 2 28 4 5" xfId="12547" xr:uid="{00000000-0005-0000-0000-000003310000}"/>
    <cellStyle name="Normal 2 2 2 2 2 28 4 6" xfId="12548" xr:uid="{00000000-0005-0000-0000-000004310000}"/>
    <cellStyle name="Normal 2 2 2 2 2 28 4 7" xfId="12549" xr:uid="{00000000-0005-0000-0000-000005310000}"/>
    <cellStyle name="Normal 2 2 2 2 2 28 4 8" xfId="12550" xr:uid="{00000000-0005-0000-0000-000006310000}"/>
    <cellStyle name="Normal 2 2 2 2 2 28 4 9" xfId="12551" xr:uid="{00000000-0005-0000-0000-000007310000}"/>
    <cellStyle name="Normal 2 2 2 2 2 28 5" xfId="12552" xr:uid="{00000000-0005-0000-0000-000008310000}"/>
    <cellStyle name="Normal 2 2 2 2 2 28 5 10" xfId="12553" xr:uid="{00000000-0005-0000-0000-000009310000}"/>
    <cellStyle name="Normal 2 2 2 2 2 28 5 2" xfId="12554" xr:uid="{00000000-0005-0000-0000-00000A310000}"/>
    <cellStyle name="Normal 2 2 2 2 2 28 5 3" xfId="12555" xr:uid="{00000000-0005-0000-0000-00000B310000}"/>
    <cellStyle name="Normal 2 2 2 2 2 28 5 4" xfId="12556" xr:uid="{00000000-0005-0000-0000-00000C310000}"/>
    <cellStyle name="Normal 2 2 2 2 2 28 5 5" xfId="12557" xr:uid="{00000000-0005-0000-0000-00000D310000}"/>
    <cellStyle name="Normal 2 2 2 2 2 28 5 6" xfId="12558" xr:uid="{00000000-0005-0000-0000-00000E310000}"/>
    <cellStyle name="Normal 2 2 2 2 2 28 5 7" xfId="12559" xr:uid="{00000000-0005-0000-0000-00000F310000}"/>
    <cellStyle name="Normal 2 2 2 2 2 28 5 8" xfId="12560" xr:uid="{00000000-0005-0000-0000-000010310000}"/>
    <cellStyle name="Normal 2 2 2 2 2 28 5 9" xfId="12561" xr:uid="{00000000-0005-0000-0000-000011310000}"/>
    <cellStyle name="Normal 2 2 2 2 2 28 6" xfId="12562" xr:uid="{00000000-0005-0000-0000-000012310000}"/>
    <cellStyle name="Normal 2 2 2 2 2 28 7" xfId="12563" xr:uid="{00000000-0005-0000-0000-000013310000}"/>
    <cellStyle name="Normal 2 2 2 2 2 28 8" xfId="12564" xr:uid="{00000000-0005-0000-0000-000014310000}"/>
    <cellStyle name="Normal 2 2 2 2 2 28 9" xfId="12565" xr:uid="{00000000-0005-0000-0000-000015310000}"/>
    <cellStyle name="Normal 2 2 2 2 2 29" xfId="12566" xr:uid="{00000000-0005-0000-0000-000016310000}"/>
    <cellStyle name="Normal 2 2 2 2 2 29 10" xfId="12567" xr:uid="{00000000-0005-0000-0000-000017310000}"/>
    <cellStyle name="Normal 2 2 2 2 2 29 11" xfId="12568" xr:uid="{00000000-0005-0000-0000-000018310000}"/>
    <cellStyle name="Normal 2 2 2 2 2 29 12" xfId="12569" xr:uid="{00000000-0005-0000-0000-000019310000}"/>
    <cellStyle name="Normal 2 2 2 2 2 29 13" xfId="12570" xr:uid="{00000000-0005-0000-0000-00001A310000}"/>
    <cellStyle name="Normal 2 2 2 2 2 29 14" xfId="12571" xr:uid="{00000000-0005-0000-0000-00001B310000}"/>
    <cellStyle name="Normal 2 2 2 2 2 29 2" xfId="12572" xr:uid="{00000000-0005-0000-0000-00001C310000}"/>
    <cellStyle name="Normal 2 2 2 2 2 29 2 10" xfId="12573" xr:uid="{00000000-0005-0000-0000-00001D310000}"/>
    <cellStyle name="Normal 2 2 2 2 2 29 2 2" xfId="12574" xr:uid="{00000000-0005-0000-0000-00001E310000}"/>
    <cellStyle name="Normal 2 2 2 2 2 29 2 3" xfId="12575" xr:uid="{00000000-0005-0000-0000-00001F310000}"/>
    <cellStyle name="Normal 2 2 2 2 2 29 2 4" xfId="12576" xr:uid="{00000000-0005-0000-0000-000020310000}"/>
    <cellStyle name="Normal 2 2 2 2 2 29 2 5" xfId="12577" xr:uid="{00000000-0005-0000-0000-000021310000}"/>
    <cellStyle name="Normal 2 2 2 2 2 29 2 6" xfId="12578" xr:uid="{00000000-0005-0000-0000-000022310000}"/>
    <cellStyle name="Normal 2 2 2 2 2 29 2 7" xfId="12579" xr:uid="{00000000-0005-0000-0000-000023310000}"/>
    <cellStyle name="Normal 2 2 2 2 2 29 2 8" xfId="12580" xr:uid="{00000000-0005-0000-0000-000024310000}"/>
    <cellStyle name="Normal 2 2 2 2 2 29 2 9" xfId="12581" xr:uid="{00000000-0005-0000-0000-000025310000}"/>
    <cellStyle name="Normal 2 2 2 2 2 29 3" xfId="12582" xr:uid="{00000000-0005-0000-0000-000026310000}"/>
    <cellStyle name="Normal 2 2 2 2 2 29 3 10" xfId="12583" xr:uid="{00000000-0005-0000-0000-000027310000}"/>
    <cellStyle name="Normal 2 2 2 2 2 29 3 2" xfId="12584" xr:uid="{00000000-0005-0000-0000-000028310000}"/>
    <cellStyle name="Normal 2 2 2 2 2 29 3 3" xfId="12585" xr:uid="{00000000-0005-0000-0000-000029310000}"/>
    <cellStyle name="Normal 2 2 2 2 2 29 3 4" xfId="12586" xr:uid="{00000000-0005-0000-0000-00002A310000}"/>
    <cellStyle name="Normal 2 2 2 2 2 29 3 5" xfId="12587" xr:uid="{00000000-0005-0000-0000-00002B310000}"/>
    <cellStyle name="Normal 2 2 2 2 2 29 3 6" xfId="12588" xr:uid="{00000000-0005-0000-0000-00002C310000}"/>
    <cellStyle name="Normal 2 2 2 2 2 29 3 7" xfId="12589" xr:uid="{00000000-0005-0000-0000-00002D310000}"/>
    <cellStyle name="Normal 2 2 2 2 2 29 3 8" xfId="12590" xr:uid="{00000000-0005-0000-0000-00002E310000}"/>
    <cellStyle name="Normal 2 2 2 2 2 29 3 9" xfId="12591" xr:uid="{00000000-0005-0000-0000-00002F310000}"/>
    <cellStyle name="Normal 2 2 2 2 2 29 4" xfId="12592" xr:uid="{00000000-0005-0000-0000-000030310000}"/>
    <cellStyle name="Normal 2 2 2 2 2 29 4 10" xfId="12593" xr:uid="{00000000-0005-0000-0000-000031310000}"/>
    <cellStyle name="Normal 2 2 2 2 2 29 4 2" xfId="12594" xr:uid="{00000000-0005-0000-0000-000032310000}"/>
    <cellStyle name="Normal 2 2 2 2 2 29 4 3" xfId="12595" xr:uid="{00000000-0005-0000-0000-000033310000}"/>
    <cellStyle name="Normal 2 2 2 2 2 29 4 4" xfId="12596" xr:uid="{00000000-0005-0000-0000-000034310000}"/>
    <cellStyle name="Normal 2 2 2 2 2 29 4 5" xfId="12597" xr:uid="{00000000-0005-0000-0000-000035310000}"/>
    <cellStyle name="Normal 2 2 2 2 2 29 4 6" xfId="12598" xr:uid="{00000000-0005-0000-0000-000036310000}"/>
    <cellStyle name="Normal 2 2 2 2 2 29 4 7" xfId="12599" xr:uid="{00000000-0005-0000-0000-000037310000}"/>
    <cellStyle name="Normal 2 2 2 2 2 29 4 8" xfId="12600" xr:uid="{00000000-0005-0000-0000-000038310000}"/>
    <cellStyle name="Normal 2 2 2 2 2 29 4 9" xfId="12601" xr:uid="{00000000-0005-0000-0000-000039310000}"/>
    <cellStyle name="Normal 2 2 2 2 2 29 5" xfId="12602" xr:uid="{00000000-0005-0000-0000-00003A310000}"/>
    <cellStyle name="Normal 2 2 2 2 2 29 5 10" xfId="12603" xr:uid="{00000000-0005-0000-0000-00003B310000}"/>
    <cellStyle name="Normal 2 2 2 2 2 29 5 2" xfId="12604" xr:uid="{00000000-0005-0000-0000-00003C310000}"/>
    <cellStyle name="Normal 2 2 2 2 2 29 5 3" xfId="12605" xr:uid="{00000000-0005-0000-0000-00003D310000}"/>
    <cellStyle name="Normal 2 2 2 2 2 29 5 4" xfId="12606" xr:uid="{00000000-0005-0000-0000-00003E310000}"/>
    <cellStyle name="Normal 2 2 2 2 2 29 5 5" xfId="12607" xr:uid="{00000000-0005-0000-0000-00003F310000}"/>
    <cellStyle name="Normal 2 2 2 2 2 29 5 6" xfId="12608" xr:uid="{00000000-0005-0000-0000-000040310000}"/>
    <cellStyle name="Normal 2 2 2 2 2 29 5 7" xfId="12609" xr:uid="{00000000-0005-0000-0000-000041310000}"/>
    <cellStyle name="Normal 2 2 2 2 2 29 5 8" xfId="12610" xr:uid="{00000000-0005-0000-0000-000042310000}"/>
    <cellStyle name="Normal 2 2 2 2 2 29 5 9" xfId="12611" xr:uid="{00000000-0005-0000-0000-000043310000}"/>
    <cellStyle name="Normal 2 2 2 2 2 29 6" xfId="12612" xr:uid="{00000000-0005-0000-0000-000044310000}"/>
    <cellStyle name="Normal 2 2 2 2 2 29 7" xfId="12613" xr:uid="{00000000-0005-0000-0000-000045310000}"/>
    <cellStyle name="Normal 2 2 2 2 2 29 8" xfId="12614" xr:uid="{00000000-0005-0000-0000-000046310000}"/>
    <cellStyle name="Normal 2 2 2 2 2 29 9" xfId="12615" xr:uid="{00000000-0005-0000-0000-000047310000}"/>
    <cellStyle name="Normal 2 2 2 2 2 3" xfId="12616" xr:uid="{00000000-0005-0000-0000-000048310000}"/>
    <cellStyle name="Normal 2 2 2 2 2 3 10" xfId="12617" xr:uid="{00000000-0005-0000-0000-000049310000}"/>
    <cellStyle name="Normal 2 2 2 2 2 3 11" xfId="12618" xr:uid="{00000000-0005-0000-0000-00004A310000}"/>
    <cellStyle name="Normal 2 2 2 2 2 3 12" xfId="12619" xr:uid="{00000000-0005-0000-0000-00004B310000}"/>
    <cellStyle name="Normal 2 2 2 2 2 3 13" xfId="12620" xr:uid="{00000000-0005-0000-0000-00004C310000}"/>
    <cellStyle name="Normal 2 2 2 2 2 3 14" xfId="12621" xr:uid="{00000000-0005-0000-0000-00004D310000}"/>
    <cellStyle name="Normal 2 2 2 2 2 3 15" xfId="12622" xr:uid="{00000000-0005-0000-0000-00004E310000}"/>
    <cellStyle name="Normal 2 2 2 2 2 3 16" xfId="12623" xr:uid="{00000000-0005-0000-0000-00004F310000}"/>
    <cellStyle name="Normal 2 2 2 2 2 3 2" xfId="12624" xr:uid="{00000000-0005-0000-0000-000050310000}"/>
    <cellStyle name="Normal 2 2 2 2 2 3 2 10" xfId="12625" xr:uid="{00000000-0005-0000-0000-000051310000}"/>
    <cellStyle name="Normal 2 2 2 2 2 3 2 11" xfId="12626" xr:uid="{00000000-0005-0000-0000-000052310000}"/>
    <cellStyle name="Normal 2 2 2 2 2 3 2 12" xfId="12627" xr:uid="{00000000-0005-0000-0000-000053310000}"/>
    <cellStyle name="Normal 2 2 2 2 2 3 2 2" xfId="12628" xr:uid="{00000000-0005-0000-0000-000054310000}"/>
    <cellStyle name="Normal 2 2 2 2 2 3 2 3" xfId="12629" xr:uid="{00000000-0005-0000-0000-000055310000}"/>
    <cellStyle name="Normal 2 2 2 2 2 3 2 4" xfId="12630" xr:uid="{00000000-0005-0000-0000-000056310000}"/>
    <cellStyle name="Normal 2 2 2 2 2 3 2 5" xfId="12631" xr:uid="{00000000-0005-0000-0000-000057310000}"/>
    <cellStyle name="Normal 2 2 2 2 2 3 2 6" xfId="12632" xr:uid="{00000000-0005-0000-0000-000058310000}"/>
    <cellStyle name="Normal 2 2 2 2 2 3 2 7" xfId="12633" xr:uid="{00000000-0005-0000-0000-000059310000}"/>
    <cellStyle name="Normal 2 2 2 2 2 3 2 8" xfId="12634" xr:uid="{00000000-0005-0000-0000-00005A310000}"/>
    <cellStyle name="Normal 2 2 2 2 2 3 2 9" xfId="12635" xr:uid="{00000000-0005-0000-0000-00005B310000}"/>
    <cellStyle name="Normal 2 2 2 2 2 3 3" xfId="12636" xr:uid="{00000000-0005-0000-0000-00005C310000}"/>
    <cellStyle name="Normal 2 2 2 2 2 3 3 10" xfId="12637" xr:uid="{00000000-0005-0000-0000-00005D310000}"/>
    <cellStyle name="Normal 2 2 2 2 2 3 3 2" xfId="12638" xr:uid="{00000000-0005-0000-0000-00005E310000}"/>
    <cellStyle name="Normal 2 2 2 2 2 3 3 3" xfId="12639" xr:uid="{00000000-0005-0000-0000-00005F310000}"/>
    <cellStyle name="Normal 2 2 2 2 2 3 3 4" xfId="12640" xr:uid="{00000000-0005-0000-0000-000060310000}"/>
    <cellStyle name="Normal 2 2 2 2 2 3 3 5" xfId="12641" xr:uid="{00000000-0005-0000-0000-000061310000}"/>
    <cellStyle name="Normal 2 2 2 2 2 3 3 6" xfId="12642" xr:uid="{00000000-0005-0000-0000-000062310000}"/>
    <cellStyle name="Normal 2 2 2 2 2 3 3 7" xfId="12643" xr:uid="{00000000-0005-0000-0000-000063310000}"/>
    <cellStyle name="Normal 2 2 2 2 2 3 3 8" xfId="12644" xr:uid="{00000000-0005-0000-0000-000064310000}"/>
    <cellStyle name="Normal 2 2 2 2 2 3 3 9" xfId="12645" xr:uid="{00000000-0005-0000-0000-000065310000}"/>
    <cellStyle name="Normal 2 2 2 2 2 3 4" xfId="12646" xr:uid="{00000000-0005-0000-0000-000066310000}"/>
    <cellStyle name="Normal 2 2 2 2 2 3 4 10" xfId="12647" xr:uid="{00000000-0005-0000-0000-000067310000}"/>
    <cellStyle name="Normal 2 2 2 2 2 3 4 2" xfId="12648" xr:uid="{00000000-0005-0000-0000-000068310000}"/>
    <cellStyle name="Normal 2 2 2 2 2 3 4 3" xfId="12649" xr:uid="{00000000-0005-0000-0000-000069310000}"/>
    <cellStyle name="Normal 2 2 2 2 2 3 4 4" xfId="12650" xr:uid="{00000000-0005-0000-0000-00006A310000}"/>
    <cellStyle name="Normal 2 2 2 2 2 3 4 5" xfId="12651" xr:uid="{00000000-0005-0000-0000-00006B310000}"/>
    <cellStyle name="Normal 2 2 2 2 2 3 4 6" xfId="12652" xr:uid="{00000000-0005-0000-0000-00006C310000}"/>
    <cellStyle name="Normal 2 2 2 2 2 3 4 7" xfId="12653" xr:uid="{00000000-0005-0000-0000-00006D310000}"/>
    <cellStyle name="Normal 2 2 2 2 2 3 4 8" xfId="12654" xr:uid="{00000000-0005-0000-0000-00006E310000}"/>
    <cellStyle name="Normal 2 2 2 2 2 3 4 9" xfId="12655" xr:uid="{00000000-0005-0000-0000-00006F310000}"/>
    <cellStyle name="Normal 2 2 2 2 2 3 5" xfId="12656" xr:uid="{00000000-0005-0000-0000-000070310000}"/>
    <cellStyle name="Normal 2 2 2 2 2 3 5 10" xfId="12657" xr:uid="{00000000-0005-0000-0000-000071310000}"/>
    <cellStyle name="Normal 2 2 2 2 2 3 5 2" xfId="12658" xr:uid="{00000000-0005-0000-0000-000072310000}"/>
    <cellStyle name="Normal 2 2 2 2 2 3 5 3" xfId="12659" xr:uid="{00000000-0005-0000-0000-000073310000}"/>
    <cellStyle name="Normal 2 2 2 2 2 3 5 4" xfId="12660" xr:uid="{00000000-0005-0000-0000-000074310000}"/>
    <cellStyle name="Normal 2 2 2 2 2 3 5 5" xfId="12661" xr:uid="{00000000-0005-0000-0000-000075310000}"/>
    <cellStyle name="Normal 2 2 2 2 2 3 5 6" xfId="12662" xr:uid="{00000000-0005-0000-0000-000076310000}"/>
    <cellStyle name="Normal 2 2 2 2 2 3 5 7" xfId="12663" xr:uid="{00000000-0005-0000-0000-000077310000}"/>
    <cellStyle name="Normal 2 2 2 2 2 3 5 8" xfId="12664" xr:uid="{00000000-0005-0000-0000-000078310000}"/>
    <cellStyle name="Normal 2 2 2 2 2 3 5 9" xfId="12665" xr:uid="{00000000-0005-0000-0000-000079310000}"/>
    <cellStyle name="Normal 2 2 2 2 2 3 6" xfId="12666" xr:uid="{00000000-0005-0000-0000-00007A310000}"/>
    <cellStyle name="Normal 2 2 2 2 2 3 7" xfId="12667" xr:uid="{00000000-0005-0000-0000-00007B310000}"/>
    <cellStyle name="Normal 2 2 2 2 2 3 8" xfId="12668" xr:uid="{00000000-0005-0000-0000-00007C310000}"/>
    <cellStyle name="Normal 2 2 2 2 2 3 9" xfId="12669" xr:uid="{00000000-0005-0000-0000-00007D310000}"/>
    <cellStyle name="Normal 2 2 2 2 2 30" xfId="12670" xr:uid="{00000000-0005-0000-0000-00007E310000}"/>
    <cellStyle name="Normal 2 2 2 2 2 30 10" xfId="12671" xr:uid="{00000000-0005-0000-0000-00007F310000}"/>
    <cellStyle name="Normal 2 2 2 2 2 30 11" xfId="12672" xr:uid="{00000000-0005-0000-0000-000080310000}"/>
    <cellStyle name="Normal 2 2 2 2 2 30 12" xfId="12673" xr:uid="{00000000-0005-0000-0000-000081310000}"/>
    <cellStyle name="Normal 2 2 2 2 2 30 13" xfId="12674" xr:uid="{00000000-0005-0000-0000-000082310000}"/>
    <cellStyle name="Normal 2 2 2 2 2 30 14" xfId="12675" xr:uid="{00000000-0005-0000-0000-000083310000}"/>
    <cellStyle name="Normal 2 2 2 2 2 30 2" xfId="12676" xr:uid="{00000000-0005-0000-0000-000084310000}"/>
    <cellStyle name="Normal 2 2 2 2 2 30 2 10" xfId="12677" xr:uid="{00000000-0005-0000-0000-000085310000}"/>
    <cellStyle name="Normal 2 2 2 2 2 30 2 2" xfId="12678" xr:uid="{00000000-0005-0000-0000-000086310000}"/>
    <cellStyle name="Normal 2 2 2 2 2 30 2 3" xfId="12679" xr:uid="{00000000-0005-0000-0000-000087310000}"/>
    <cellStyle name="Normal 2 2 2 2 2 30 2 4" xfId="12680" xr:uid="{00000000-0005-0000-0000-000088310000}"/>
    <cellStyle name="Normal 2 2 2 2 2 30 2 5" xfId="12681" xr:uid="{00000000-0005-0000-0000-000089310000}"/>
    <cellStyle name="Normal 2 2 2 2 2 30 2 6" xfId="12682" xr:uid="{00000000-0005-0000-0000-00008A310000}"/>
    <cellStyle name="Normal 2 2 2 2 2 30 2 7" xfId="12683" xr:uid="{00000000-0005-0000-0000-00008B310000}"/>
    <cellStyle name="Normal 2 2 2 2 2 30 2 8" xfId="12684" xr:uid="{00000000-0005-0000-0000-00008C310000}"/>
    <cellStyle name="Normal 2 2 2 2 2 30 2 9" xfId="12685" xr:uid="{00000000-0005-0000-0000-00008D310000}"/>
    <cellStyle name="Normal 2 2 2 2 2 30 3" xfId="12686" xr:uid="{00000000-0005-0000-0000-00008E310000}"/>
    <cellStyle name="Normal 2 2 2 2 2 30 3 10" xfId="12687" xr:uid="{00000000-0005-0000-0000-00008F310000}"/>
    <cellStyle name="Normal 2 2 2 2 2 30 3 2" xfId="12688" xr:uid="{00000000-0005-0000-0000-000090310000}"/>
    <cellStyle name="Normal 2 2 2 2 2 30 3 3" xfId="12689" xr:uid="{00000000-0005-0000-0000-000091310000}"/>
    <cellStyle name="Normal 2 2 2 2 2 30 3 4" xfId="12690" xr:uid="{00000000-0005-0000-0000-000092310000}"/>
    <cellStyle name="Normal 2 2 2 2 2 30 3 5" xfId="12691" xr:uid="{00000000-0005-0000-0000-000093310000}"/>
    <cellStyle name="Normal 2 2 2 2 2 30 3 6" xfId="12692" xr:uid="{00000000-0005-0000-0000-000094310000}"/>
    <cellStyle name="Normal 2 2 2 2 2 30 3 7" xfId="12693" xr:uid="{00000000-0005-0000-0000-000095310000}"/>
    <cellStyle name="Normal 2 2 2 2 2 30 3 8" xfId="12694" xr:uid="{00000000-0005-0000-0000-000096310000}"/>
    <cellStyle name="Normal 2 2 2 2 2 30 3 9" xfId="12695" xr:uid="{00000000-0005-0000-0000-000097310000}"/>
    <cellStyle name="Normal 2 2 2 2 2 30 4" xfId="12696" xr:uid="{00000000-0005-0000-0000-000098310000}"/>
    <cellStyle name="Normal 2 2 2 2 2 30 4 10" xfId="12697" xr:uid="{00000000-0005-0000-0000-000099310000}"/>
    <cellStyle name="Normal 2 2 2 2 2 30 4 2" xfId="12698" xr:uid="{00000000-0005-0000-0000-00009A310000}"/>
    <cellStyle name="Normal 2 2 2 2 2 30 4 3" xfId="12699" xr:uid="{00000000-0005-0000-0000-00009B310000}"/>
    <cellStyle name="Normal 2 2 2 2 2 30 4 4" xfId="12700" xr:uid="{00000000-0005-0000-0000-00009C310000}"/>
    <cellStyle name="Normal 2 2 2 2 2 30 4 5" xfId="12701" xr:uid="{00000000-0005-0000-0000-00009D310000}"/>
    <cellStyle name="Normal 2 2 2 2 2 30 4 6" xfId="12702" xr:uid="{00000000-0005-0000-0000-00009E310000}"/>
    <cellStyle name="Normal 2 2 2 2 2 30 4 7" xfId="12703" xr:uid="{00000000-0005-0000-0000-00009F310000}"/>
    <cellStyle name="Normal 2 2 2 2 2 30 4 8" xfId="12704" xr:uid="{00000000-0005-0000-0000-0000A0310000}"/>
    <cellStyle name="Normal 2 2 2 2 2 30 4 9" xfId="12705" xr:uid="{00000000-0005-0000-0000-0000A1310000}"/>
    <cellStyle name="Normal 2 2 2 2 2 30 5" xfId="12706" xr:uid="{00000000-0005-0000-0000-0000A2310000}"/>
    <cellStyle name="Normal 2 2 2 2 2 30 5 10" xfId="12707" xr:uid="{00000000-0005-0000-0000-0000A3310000}"/>
    <cellStyle name="Normal 2 2 2 2 2 30 5 2" xfId="12708" xr:uid="{00000000-0005-0000-0000-0000A4310000}"/>
    <cellStyle name="Normal 2 2 2 2 2 30 5 3" xfId="12709" xr:uid="{00000000-0005-0000-0000-0000A5310000}"/>
    <cellStyle name="Normal 2 2 2 2 2 30 5 4" xfId="12710" xr:uid="{00000000-0005-0000-0000-0000A6310000}"/>
    <cellStyle name="Normal 2 2 2 2 2 30 5 5" xfId="12711" xr:uid="{00000000-0005-0000-0000-0000A7310000}"/>
    <cellStyle name="Normal 2 2 2 2 2 30 5 6" xfId="12712" xr:uid="{00000000-0005-0000-0000-0000A8310000}"/>
    <cellStyle name="Normal 2 2 2 2 2 30 5 7" xfId="12713" xr:uid="{00000000-0005-0000-0000-0000A9310000}"/>
    <cellStyle name="Normal 2 2 2 2 2 30 5 8" xfId="12714" xr:uid="{00000000-0005-0000-0000-0000AA310000}"/>
    <cellStyle name="Normal 2 2 2 2 2 30 5 9" xfId="12715" xr:uid="{00000000-0005-0000-0000-0000AB310000}"/>
    <cellStyle name="Normal 2 2 2 2 2 30 6" xfId="12716" xr:uid="{00000000-0005-0000-0000-0000AC310000}"/>
    <cellStyle name="Normal 2 2 2 2 2 30 7" xfId="12717" xr:uid="{00000000-0005-0000-0000-0000AD310000}"/>
    <cellStyle name="Normal 2 2 2 2 2 30 8" xfId="12718" xr:uid="{00000000-0005-0000-0000-0000AE310000}"/>
    <cellStyle name="Normal 2 2 2 2 2 30 9" xfId="12719" xr:uid="{00000000-0005-0000-0000-0000AF310000}"/>
    <cellStyle name="Normal 2 2 2 2 2 31" xfId="12720" xr:uid="{00000000-0005-0000-0000-0000B0310000}"/>
    <cellStyle name="Normal 2 2 2 2 2 31 10" xfId="12721" xr:uid="{00000000-0005-0000-0000-0000B1310000}"/>
    <cellStyle name="Normal 2 2 2 2 2 31 11" xfId="12722" xr:uid="{00000000-0005-0000-0000-0000B2310000}"/>
    <cellStyle name="Normal 2 2 2 2 2 31 12" xfId="12723" xr:uid="{00000000-0005-0000-0000-0000B3310000}"/>
    <cellStyle name="Normal 2 2 2 2 2 31 13" xfId="12724" xr:uid="{00000000-0005-0000-0000-0000B4310000}"/>
    <cellStyle name="Normal 2 2 2 2 2 31 14" xfId="12725" xr:uid="{00000000-0005-0000-0000-0000B5310000}"/>
    <cellStyle name="Normal 2 2 2 2 2 31 2" xfId="12726" xr:uid="{00000000-0005-0000-0000-0000B6310000}"/>
    <cellStyle name="Normal 2 2 2 2 2 31 2 10" xfId="12727" xr:uid="{00000000-0005-0000-0000-0000B7310000}"/>
    <cellStyle name="Normal 2 2 2 2 2 31 2 2" xfId="12728" xr:uid="{00000000-0005-0000-0000-0000B8310000}"/>
    <cellStyle name="Normal 2 2 2 2 2 31 2 3" xfId="12729" xr:uid="{00000000-0005-0000-0000-0000B9310000}"/>
    <cellStyle name="Normal 2 2 2 2 2 31 2 4" xfId="12730" xr:uid="{00000000-0005-0000-0000-0000BA310000}"/>
    <cellStyle name="Normal 2 2 2 2 2 31 2 5" xfId="12731" xr:uid="{00000000-0005-0000-0000-0000BB310000}"/>
    <cellStyle name="Normal 2 2 2 2 2 31 2 6" xfId="12732" xr:uid="{00000000-0005-0000-0000-0000BC310000}"/>
    <cellStyle name="Normal 2 2 2 2 2 31 2 7" xfId="12733" xr:uid="{00000000-0005-0000-0000-0000BD310000}"/>
    <cellStyle name="Normal 2 2 2 2 2 31 2 8" xfId="12734" xr:uid="{00000000-0005-0000-0000-0000BE310000}"/>
    <cellStyle name="Normal 2 2 2 2 2 31 2 9" xfId="12735" xr:uid="{00000000-0005-0000-0000-0000BF310000}"/>
    <cellStyle name="Normal 2 2 2 2 2 31 3" xfId="12736" xr:uid="{00000000-0005-0000-0000-0000C0310000}"/>
    <cellStyle name="Normal 2 2 2 2 2 31 3 10" xfId="12737" xr:uid="{00000000-0005-0000-0000-0000C1310000}"/>
    <cellStyle name="Normal 2 2 2 2 2 31 3 2" xfId="12738" xr:uid="{00000000-0005-0000-0000-0000C2310000}"/>
    <cellStyle name="Normal 2 2 2 2 2 31 3 3" xfId="12739" xr:uid="{00000000-0005-0000-0000-0000C3310000}"/>
    <cellStyle name="Normal 2 2 2 2 2 31 3 4" xfId="12740" xr:uid="{00000000-0005-0000-0000-0000C4310000}"/>
    <cellStyle name="Normal 2 2 2 2 2 31 3 5" xfId="12741" xr:uid="{00000000-0005-0000-0000-0000C5310000}"/>
    <cellStyle name="Normal 2 2 2 2 2 31 3 6" xfId="12742" xr:uid="{00000000-0005-0000-0000-0000C6310000}"/>
    <cellStyle name="Normal 2 2 2 2 2 31 3 7" xfId="12743" xr:uid="{00000000-0005-0000-0000-0000C7310000}"/>
    <cellStyle name="Normal 2 2 2 2 2 31 3 8" xfId="12744" xr:uid="{00000000-0005-0000-0000-0000C8310000}"/>
    <cellStyle name="Normal 2 2 2 2 2 31 3 9" xfId="12745" xr:uid="{00000000-0005-0000-0000-0000C9310000}"/>
    <cellStyle name="Normal 2 2 2 2 2 31 4" xfId="12746" xr:uid="{00000000-0005-0000-0000-0000CA310000}"/>
    <cellStyle name="Normal 2 2 2 2 2 31 4 10" xfId="12747" xr:uid="{00000000-0005-0000-0000-0000CB310000}"/>
    <cellStyle name="Normal 2 2 2 2 2 31 4 2" xfId="12748" xr:uid="{00000000-0005-0000-0000-0000CC310000}"/>
    <cellStyle name="Normal 2 2 2 2 2 31 4 3" xfId="12749" xr:uid="{00000000-0005-0000-0000-0000CD310000}"/>
    <cellStyle name="Normal 2 2 2 2 2 31 4 4" xfId="12750" xr:uid="{00000000-0005-0000-0000-0000CE310000}"/>
    <cellStyle name="Normal 2 2 2 2 2 31 4 5" xfId="12751" xr:uid="{00000000-0005-0000-0000-0000CF310000}"/>
    <cellStyle name="Normal 2 2 2 2 2 31 4 6" xfId="12752" xr:uid="{00000000-0005-0000-0000-0000D0310000}"/>
    <cellStyle name="Normal 2 2 2 2 2 31 4 7" xfId="12753" xr:uid="{00000000-0005-0000-0000-0000D1310000}"/>
    <cellStyle name="Normal 2 2 2 2 2 31 4 8" xfId="12754" xr:uid="{00000000-0005-0000-0000-0000D2310000}"/>
    <cellStyle name="Normal 2 2 2 2 2 31 4 9" xfId="12755" xr:uid="{00000000-0005-0000-0000-0000D3310000}"/>
    <cellStyle name="Normal 2 2 2 2 2 31 5" xfId="12756" xr:uid="{00000000-0005-0000-0000-0000D4310000}"/>
    <cellStyle name="Normal 2 2 2 2 2 31 5 10" xfId="12757" xr:uid="{00000000-0005-0000-0000-0000D5310000}"/>
    <cellStyle name="Normal 2 2 2 2 2 31 5 2" xfId="12758" xr:uid="{00000000-0005-0000-0000-0000D6310000}"/>
    <cellStyle name="Normal 2 2 2 2 2 31 5 3" xfId="12759" xr:uid="{00000000-0005-0000-0000-0000D7310000}"/>
    <cellStyle name="Normal 2 2 2 2 2 31 5 4" xfId="12760" xr:uid="{00000000-0005-0000-0000-0000D8310000}"/>
    <cellStyle name="Normal 2 2 2 2 2 31 5 5" xfId="12761" xr:uid="{00000000-0005-0000-0000-0000D9310000}"/>
    <cellStyle name="Normal 2 2 2 2 2 31 5 6" xfId="12762" xr:uid="{00000000-0005-0000-0000-0000DA310000}"/>
    <cellStyle name="Normal 2 2 2 2 2 31 5 7" xfId="12763" xr:uid="{00000000-0005-0000-0000-0000DB310000}"/>
    <cellStyle name="Normal 2 2 2 2 2 31 5 8" xfId="12764" xr:uid="{00000000-0005-0000-0000-0000DC310000}"/>
    <cellStyle name="Normal 2 2 2 2 2 31 5 9" xfId="12765" xr:uid="{00000000-0005-0000-0000-0000DD310000}"/>
    <cellStyle name="Normal 2 2 2 2 2 31 6" xfId="12766" xr:uid="{00000000-0005-0000-0000-0000DE310000}"/>
    <cellStyle name="Normal 2 2 2 2 2 31 7" xfId="12767" xr:uid="{00000000-0005-0000-0000-0000DF310000}"/>
    <cellStyle name="Normal 2 2 2 2 2 31 8" xfId="12768" xr:uid="{00000000-0005-0000-0000-0000E0310000}"/>
    <cellStyle name="Normal 2 2 2 2 2 31 9" xfId="12769" xr:uid="{00000000-0005-0000-0000-0000E1310000}"/>
    <cellStyle name="Normal 2 2 2 2 2 32" xfId="12770" xr:uid="{00000000-0005-0000-0000-0000E2310000}"/>
    <cellStyle name="Normal 2 2 2 2 2 32 10" xfId="12771" xr:uid="{00000000-0005-0000-0000-0000E3310000}"/>
    <cellStyle name="Normal 2 2 2 2 2 32 11" xfId="12772" xr:uid="{00000000-0005-0000-0000-0000E4310000}"/>
    <cellStyle name="Normal 2 2 2 2 2 32 12" xfId="12773" xr:uid="{00000000-0005-0000-0000-0000E5310000}"/>
    <cellStyle name="Normal 2 2 2 2 2 32 13" xfId="12774" xr:uid="{00000000-0005-0000-0000-0000E6310000}"/>
    <cellStyle name="Normal 2 2 2 2 2 32 14" xfId="12775" xr:uid="{00000000-0005-0000-0000-0000E7310000}"/>
    <cellStyle name="Normal 2 2 2 2 2 32 2" xfId="12776" xr:uid="{00000000-0005-0000-0000-0000E8310000}"/>
    <cellStyle name="Normal 2 2 2 2 2 32 2 10" xfId="12777" xr:uid="{00000000-0005-0000-0000-0000E9310000}"/>
    <cellStyle name="Normal 2 2 2 2 2 32 2 2" xfId="12778" xr:uid="{00000000-0005-0000-0000-0000EA310000}"/>
    <cellStyle name="Normal 2 2 2 2 2 32 2 3" xfId="12779" xr:uid="{00000000-0005-0000-0000-0000EB310000}"/>
    <cellStyle name="Normal 2 2 2 2 2 32 2 4" xfId="12780" xr:uid="{00000000-0005-0000-0000-0000EC310000}"/>
    <cellStyle name="Normal 2 2 2 2 2 32 2 5" xfId="12781" xr:uid="{00000000-0005-0000-0000-0000ED310000}"/>
    <cellStyle name="Normal 2 2 2 2 2 32 2 6" xfId="12782" xr:uid="{00000000-0005-0000-0000-0000EE310000}"/>
    <cellStyle name="Normal 2 2 2 2 2 32 2 7" xfId="12783" xr:uid="{00000000-0005-0000-0000-0000EF310000}"/>
    <cellStyle name="Normal 2 2 2 2 2 32 2 8" xfId="12784" xr:uid="{00000000-0005-0000-0000-0000F0310000}"/>
    <cellStyle name="Normal 2 2 2 2 2 32 2 9" xfId="12785" xr:uid="{00000000-0005-0000-0000-0000F1310000}"/>
    <cellStyle name="Normal 2 2 2 2 2 32 3" xfId="12786" xr:uid="{00000000-0005-0000-0000-0000F2310000}"/>
    <cellStyle name="Normal 2 2 2 2 2 32 3 10" xfId="12787" xr:uid="{00000000-0005-0000-0000-0000F3310000}"/>
    <cellStyle name="Normal 2 2 2 2 2 32 3 2" xfId="12788" xr:uid="{00000000-0005-0000-0000-0000F4310000}"/>
    <cellStyle name="Normal 2 2 2 2 2 32 3 3" xfId="12789" xr:uid="{00000000-0005-0000-0000-0000F5310000}"/>
    <cellStyle name="Normal 2 2 2 2 2 32 3 4" xfId="12790" xr:uid="{00000000-0005-0000-0000-0000F6310000}"/>
    <cellStyle name="Normal 2 2 2 2 2 32 3 5" xfId="12791" xr:uid="{00000000-0005-0000-0000-0000F7310000}"/>
    <cellStyle name="Normal 2 2 2 2 2 32 3 6" xfId="12792" xr:uid="{00000000-0005-0000-0000-0000F8310000}"/>
    <cellStyle name="Normal 2 2 2 2 2 32 3 7" xfId="12793" xr:uid="{00000000-0005-0000-0000-0000F9310000}"/>
    <cellStyle name="Normal 2 2 2 2 2 32 3 8" xfId="12794" xr:uid="{00000000-0005-0000-0000-0000FA310000}"/>
    <cellStyle name="Normal 2 2 2 2 2 32 3 9" xfId="12795" xr:uid="{00000000-0005-0000-0000-0000FB310000}"/>
    <cellStyle name="Normal 2 2 2 2 2 32 4" xfId="12796" xr:uid="{00000000-0005-0000-0000-0000FC310000}"/>
    <cellStyle name="Normal 2 2 2 2 2 32 4 10" xfId="12797" xr:uid="{00000000-0005-0000-0000-0000FD310000}"/>
    <cellStyle name="Normal 2 2 2 2 2 32 4 2" xfId="12798" xr:uid="{00000000-0005-0000-0000-0000FE310000}"/>
    <cellStyle name="Normal 2 2 2 2 2 32 4 3" xfId="12799" xr:uid="{00000000-0005-0000-0000-0000FF310000}"/>
    <cellStyle name="Normal 2 2 2 2 2 32 4 4" xfId="12800" xr:uid="{00000000-0005-0000-0000-000000320000}"/>
    <cellStyle name="Normal 2 2 2 2 2 32 4 5" xfId="12801" xr:uid="{00000000-0005-0000-0000-000001320000}"/>
    <cellStyle name="Normal 2 2 2 2 2 32 4 6" xfId="12802" xr:uid="{00000000-0005-0000-0000-000002320000}"/>
    <cellStyle name="Normal 2 2 2 2 2 32 4 7" xfId="12803" xr:uid="{00000000-0005-0000-0000-000003320000}"/>
    <cellStyle name="Normal 2 2 2 2 2 32 4 8" xfId="12804" xr:uid="{00000000-0005-0000-0000-000004320000}"/>
    <cellStyle name="Normal 2 2 2 2 2 32 4 9" xfId="12805" xr:uid="{00000000-0005-0000-0000-000005320000}"/>
    <cellStyle name="Normal 2 2 2 2 2 32 5" xfId="12806" xr:uid="{00000000-0005-0000-0000-000006320000}"/>
    <cellStyle name="Normal 2 2 2 2 2 32 5 10" xfId="12807" xr:uid="{00000000-0005-0000-0000-000007320000}"/>
    <cellStyle name="Normal 2 2 2 2 2 32 5 2" xfId="12808" xr:uid="{00000000-0005-0000-0000-000008320000}"/>
    <cellStyle name="Normal 2 2 2 2 2 32 5 3" xfId="12809" xr:uid="{00000000-0005-0000-0000-000009320000}"/>
    <cellStyle name="Normal 2 2 2 2 2 32 5 4" xfId="12810" xr:uid="{00000000-0005-0000-0000-00000A320000}"/>
    <cellStyle name="Normal 2 2 2 2 2 32 5 5" xfId="12811" xr:uid="{00000000-0005-0000-0000-00000B320000}"/>
    <cellStyle name="Normal 2 2 2 2 2 32 5 6" xfId="12812" xr:uid="{00000000-0005-0000-0000-00000C320000}"/>
    <cellStyle name="Normal 2 2 2 2 2 32 5 7" xfId="12813" xr:uid="{00000000-0005-0000-0000-00000D320000}"/>
    <cellStyle name="Normal 2 2 2 2 2 32 5 8" xfId="12814" xr:uid="{00000000-0005-0000-0000-00000E320000}"/>
    <cellStyle name="Normal 2 2 2 2 2 32 5 9" xfId="12815" xr:uid="{00000000-0005-0000-0000-00000F320000}"/>
    <cellStyle name="Normal 2 2 2 2 2 32 6" xfId="12816" xr:uid="{00000000-0005-0000-0000-000010320000}"/>
    <cellStyle name="Normal 2 2 2 2 2 32 7" xfId="12817" xr:uid="{00000000-0005-0000-0000-000011320000}"/>
    <cellStyle name="Normal 2 2 2 2 2 32 8" xfId="12818" xr:uid="{00000000-0005-0000-0000-000012320000}"/>
    <cellStyle name="Normal 2 2 2 2 2 32 9" xfId="12819" xr:uid="{00000000-0005-0000-0000-000013320000}"/>
    <cellStyle name="Normal 2 2 2 2 2 33" xfId="12820" xr:uid="{00000000-0005-0000-0000-000014320000}"/>
    <cellStyle name="Normal 2 2 2 2 2 33 10" xfId="12821" xr:uid="{00000000-0005-0000-0000-000015320000}"/>
    <cellStyle name="Normal 2 2 2 2 2 33 11" xfId="12822" xr:uid="{00000000-0005-0000-0000-000016320000}"/>
    <cellStyle name="Normal 2 2 2 2 2 33 12" xfId="12823" xr:uid="{00000000-0005-0000-0000-000017320000}"/>
    <cellStyle name="Normal 2 2 2 2 2 33 13" xfId="12824" xr:uid="{00000000-0005-0000-0000-000018320000}"/>
    <cellStyle name="Normal 2 2 2 2 2 33 14" xfId="12825" xr:uid="{00000000-0005-0000-0000-000019320000}"/>
    <cellStyle name="Normal 2 2 2 2 2 33 2" xfId="12826" xr:uid="{00000000-0005-0000-0000-00001A320000}"/>
    <cellStyle name="Normal 2 2 2 2 2 33 2 10" xfId="12827" xr:uid="{00000000-0005-0000-0000-00001B320000}"/>
    <cellStyle name="Normal 2 2 2 2 2 33 2 2" xfId="12828" xr:uid="{00000000-0005-0000-0000-00001C320000}"/>
    <cellStyle name="Normal 2 2 2 2 2 33 2 3" xfId="12829" xr:uid="{00000000-0005-0000-0000-00001D320000}"/>
    <cellStyle name="Normal 2 2 2 2 2 33 2 4" xfId="12830" xr:uid="{00000000-0005-0000-0000-00001E320000}"/>
    <cellStyle name="Normal 2 2 2 2 2 33 2 5" xfId="12831" xr:uid="{00000000-0005-0000-0000-00001F320000}"/>
    <cellStyle name="Normal 2 2 2 2 2 33 2 6" xfId="12832" xr:uid="{00000000-0005-0000-0000-000020320000}"/>
    <cellStyle name="Normal 2 2 2 2 2 33 2 7" xfId="12833" xr:uid="{00000000-0005-0000-0000-000021320000}"/>
    <cellStyle name="Normal 2 2 2 2 2 33 2 8" xfId="12834" xr:uid="{00000000-0005-0000-0000-000022320000}"/>
    <cellStyle name="Normal 2 2 2 2 2 33 2 9" xfId="12835" xr:uid="{00000000-0005-0000-0000-000023320000}"/>
    <cellStyle name="Normal 2 2 2 2 2 33 3" xfId="12836" xr:uid="{00000000-0005-0000-0000-000024320000}"/>
    <cellStyle name="Normal 2 2 2 2 2 33 3 10" xfId="12837" xr:uid="{00000000-0005-0000-0000-000025320000}"/>
    <cellStyle name="Normal 2 2 2 2 2 33 3 2" xfId="12838" xr:uid="{00000000-0005-0000-0000-000026320000}"/>
    <cellStyle name="Normal 2 2 2 2 2 33 3 3" xfId="12839" xr:uid="{00000000-0005-0000-0000-000027320000}"/>
    <cellStyle name="Normal 2 2 2 2 2 33 3 4" xfId="12840" xr:uid="{00000000-0005-0000-0000-000028320000}"/>
    <cellStyle name="Normal 2 2 2 2 2 33 3 5" xfId="12841" xr:uid="{00000000-0005-0000-0000-000029320000}"/>
    <cellStyle name="Normal 2 2 2 2 2 33 3 6" xfId="12842" xr:uid="{00000000-0005-0000-0000-00002A320000}"/>
    <cellStyle name="Normal 2 2 2 2 2 33 3 7" xfId="12843" xr:uid="{00000000-0005-0000-0000-00002B320000}"/>
    <cellStyle name="Normal 2 2 2 2 2 33 3 8" xfId="12844" xr:uid="{00000000-0005-0000-0000-00002C320000}"/>
    <cellStyle name="Normal 2 2 2 2 2 33 3 9" xfId="12845" xr:uid="{00000000-0005-0000-0000-00002D320000}"/>
    <cellStyle name="Normal 2 2 2 2 2 33 4" xfId="12846" xr:uid="{00000000-0005-0000-0000-00002E320000}"/>
    <cellStyle name="Normal 2 2 2 2 2 33 4 10" xfId="12847" xr:uid="{00000000-0005-0000-0000-00002F320000}"/>
    <cellStyle name="Normal 2 2 2 2 2 33 4 2" xfId="12848" xr:uid="{00000000-0005-0000-0000-000030320000}"/>
    <cellStyle name="Normal 2 2 2 2 2 33 4 3" xfId="12849" xr:uid="{00000000-0005-0000-0000-000031320000}"/>
    <cellStyle name="Normal 2 2 2 2 2 33 4 4" xfId="12850" xr:uid="{00000000-0005-0000-0000-000032320000}"/>
    <cellStyle name="Normal 2 2 2 2 2 33 4 5" xfId="12851" xr:uid="{00000000-0005-0000-0000-000033320000}"/>
    <cellStyle name="Normal 2 2 2 2 2 33 4 6" xfId="12852" xr:uid="{00000000-0005-0000-0000-000034320000}"/>
    <cellStyle name="Normal 2 2 2 2 2 33 4 7" xfId="12853" xr:uid="{00000000-0005-0000-0000-000035320000}"/>
    <cellStyle name="Normal 2 2 2 2 2 33 4 8" xfId="12854" xr:uid="{00000000-0005-0000-0000-000036320000}"/>
    <cellStyle name="Normal 2 2 2 2 2 33 4 9" xfId="12855" xr:uid="{00000000-0005-0000-0000-000037320000}"/>
    <cellStyle name="Normal 2 2 2 2 2 33 5" xfId="12856" xr:uid="{00000000-0005-0000-0000-000038320000}"/>
    <cellStyle name="Normal 2 2 2 2 2 33 5 10" xfId="12857" xr:uid="{00000000-0005-0000-0000-000039320000}"/>
    <cellStyle name="Normal 2 2 2 2 2 33 5 2" xfId="12858" xr:uid="{00000000-0005-0000-0000-00003A320000}"/>
    <cellStyle name="Normal 2 2 2 2 2 33 5 3" xfId="12859" xr:uid="{00000000-0005-0000-0000-00003B320000}"/>
    <cellStyle name="Normal 2 2 2 2 2 33 5 4" xfId="12860" xr:uid="{00000000-0005-0000-0000-00003C320000}"/>
    <cellStyle name="Normal 2 2 2 2 2 33 5 5" xfId="12861" xr:uid="{00000000-0005-0000-0000-00003D320000}"/>
    <cellStyle name="Normal 2 2 2 2 2 33 5 6" xfId="12862" xr:uid="{00000000-0005-0000-0000-00003E320000}"/>
    <cellStyle name="Normal 2 2 2 2 2 33 5 7" xfId="12863" xr:uid="{00000000-0005-0000-0000-00003F320000}"/>
    <cellStyle name="Normal 2 2 2 2 2 33 5 8" xfId="12864" xr:uid="{00000000-0005-0000-0000-000040320000}"/>
    <cellStyle name="Normal 2 2 2 2 2 33 5 9" xfId="12865" xr:uid="{00000000-0005-0000-0000-000041320000}"/>
    <cellStyle name="Normal 2 2 2 2 2 33 6" xfId="12866" xr:uid="{00000000-0005-0000-0000-000042320000}"/>
    <cellStyle name="Normal 2 2 2 2 2 33 7" xfId="12867" xr:uid="{00000000-0005-0000-0000-000043320000}"/>
    <cellStyle name="Normal 2 2 2 2 2 33 8" xfId="12868" xr:uid="{00000000-0005-0000-0000-000044320000}"/>
    <cellStyle name="Normal 2 2 2 2 2 33 9" xfId="12869" xr:uid="{00000000-0005-0000-0000-000045320000}"/>
    <cellStyle name="Normal 2 2 2 2 2 34" xfId="12870" xr:uid="{00000000-0005-0000-0000-000046320000}"/>
    <cellStyle name="Normal 2 2 2 2 2 34 10" xfId="12871" xr:uid="{00000000-0005-0000-0000-000047320000}"/>
    <cellStyle name="Normal 2 2 2 2 2 34 11" xfId="12872" xr:uid="{00000000-0005-0000-0000-000048320000}"/>
    <cellStyle name="Normal 2 2 2 2 2 34 12" xfId="12873" xr:uid="{00000000-0005-0000-0000-000049320000}"/>
    <cellStyle name="Normal 2 2 2 2 2 34 13" xfId="12874" xr:uid="{00000000-0005-0000-0000-00004A320000}"/>
    <cellStyle name="Normal 2 2 2 2 2 34 14" xfId="12875" xr:uid="{00000000-0005-0000-0000-00004B320000}"/>
    <cellStyle name="Normal 2 2 2 2 2 34 2" xfId="12876" xr:uid="{00000000-0005-0000-0000-00004C320000}"/>
    <cellStyle name="Normal 2 2 2 2 2 34 2 10" xfId="12877" xr:uid="{00000000-0005-0000-0000-00004D320000}"/>
    <cellStyle name="Normal 2 2 2 2 2 34 2 2" xfId="12878" xr:uid="{00000000-0005-0000-0000-00004E320000}"/>
    <cellStyle name="Normal 2 2 2 2 2 34 2 3" xfId="12879" xr:uid="{00000000-0005-0000-0000-00004F320000}"/>
    <cellStyle name="Normal 2 2 2 2 2 34 2 4" xfId="12880" xr:uid="{00000000-0005-0000-0000-000050320000}"/>
    <cellStyle name="Normal 2 2 2 2 2 34 2 5" xfId="12881" xr:uid="{00000000-0005-0000-0000-000051320000}"/>
    <cellStyle name="Normal 2 2 2 2 2 34 2 6" xfId="12882" xr:uid="{00000000-0005-0000-0000-000052320000}"/>
    <cellStyle name="Normal 2 2 2 2 2 34 2 7" xfId="12883" xr:uid="{00000000-0005-0000-0000-000053320000}"/>
    <cellStyle name="Normal 2 2 2 2 2 34 2 8" xfId="12884" xr:uid="{00000000-0005-0000-0000-000054320000}"/>
    <cellStyle name="Normal 2 2 2 2 2 34 2 9" xfId="12885" xr:uid="{00000000-0005-0000-0000-000055320000}"/>
    <cellStyle name="Normal 2 2 2 2 2 34 3" xfId="12886" xr:uid="{00000000-0005-0000-0000-000056320000}"/>
    <cellStyle name="Normal 2 2 2 2 2 34 3 10" xfId="12887" xr:uid="{00000000-0005-0000-0000-000057320000}"/>
    <cellStyle name="Normal 2 2 2 2 2 34 3 2" xfId="12888" xr:uid="{00000000-0005-0000-0000-000058320000}"/>
    <cellStyle name="Normal 2 2 2 2 2 34 3 3" xfId="12889" xr:uid="{00000000-0005-0000-0000-000059320000}"/>
    <cellStyle name="Normal 2 2 2 2 2 34 3 4" xfId="12890" xr:uid="{00000000-0005-0000-0000-00005A320000}"/>
    <cellStyle name="Normal 2 2 2 2 2 34 3 5" xfId="12891" xr:uid="{00000000-0005-0000-0000-00005B320000}"/>
    <cellStyle name="Normal 2 2 2 2 2 34 3 6" xfId="12892" xr:uid="{00000000-0005-0000-0000-00005C320000}"/>
    <cellStyle name="Normal 2 2 2 2 2 34 3 7" xfId="12893" xr:uid="{00000000-0005-0000-0000-00005D320000}"/>
    <cellStyle name="Normal 2 2 2 2 2 34 3 8" xfId="12894" xr:uid="{00000000-0005-0000-0000-00005E320000}"/>
    <cellStyle name="Normal 2 2 2 2 2 34 3 9" xfId="12895" xr:uid="{00000000-0005-0000-0000-00005F320000}"/>
    <cellStyle name="Normal 2 2 2 2 2 34 4" xfId="12896" xr:uid="{00000000-0005-0000-0000-000060320000}"/>
    <cellStyle name="Normal 2 2 2 2 2 34 4 10" xfId="12897" xr:uid="{00000000-0005-0000-0000-000061320000}"/>
    <cellStyle name="Normal 2 2 2 2 2 34 4 2" xfId="12898" xr:uid="{00000000-0005-0000-0000-000062320000}"/>
    <cellStyle name="Normal 2 2 2 2 2 34 4 3" xfId="12899" xr:uid="{00000000-0005-0000-0000-000063320000}"/>
    <cellStyle name="Normal 2 2 2 2 2 34 4 4" xfId="12900" xr:uid="{00000000-0005-0000-0000-000064320000}"/>
    <cellStyle name="Normal 2 2 2 2 2 34 4 5" xfId="12901" xr:uid="{00000000-0005-0000-0000-000065320000}"/>
    <cellStyle name="Normal 2 2 2 2 2 34 4 6" xfId="12902" xr:uid="{00000000-0005-0000-0000-000066320000}"/>
    <cellStyle name="Normal 2 2 2 2 2 34 4 7" xfId="12903" xr:uid="{00000000-0005-0000-0000-000067320000}"/>
    <cellStyle name="Normal 2 2 2 2 2 34 4 8" xfId="12904" xr:uid="{00000000-0005-0000-0000-000068320000}"/>
    <cellStyle name="Normal 2 2 2 2 2 34 4 9" xfId="12905" xr:uid="{00000000-0005-0000-0000-000069320000}"/>
    <cellStyle name="Normal 2 2 2 2 2 34 5" xfId="12906" xr:uid="{00000000-0005-0000-0000-00006A320000}"/>
    <cellStyle name="Normal 2 2 2 2 2 34 5 10" xfId="12907" xr:uid="{00000000-0005-0000-0000-00006B320000}"/>
    <cellStyle name="Normal 2 2 2 2 2 34 5 2" xfId="12908" xr:uid="{00000000-0005-0000-0000-00006C320000}"/>
    <cellStyle name="Normal 2 2 2 2 2 34 5 3" xfId="12909" xr:uid="{00000000-0005-0000-0000-00006D320000}"/>
    <cellStyle name="Normal 2 2 2 2 2 34 5 4" xfId="12910" xr:uid="{00000000-0005-0000-0000-00006E320000}"/>
    <cellStyle name="Normal 2 2 2 2 2 34 5 5" xfId="12911" xr:uid="{00000000-0005-0000-0000-00006F320000}"/>
    <cellStyle name="Normal 2 2 2 2 2 34 5 6" xfId="12912" xr:uid="{00000000-0005-0000-0000-000070320000}"/>
    <cellStyle name="Normal 2 2 2 2 2 34 5 7" xfId="12913" xr:uid="{00000000-0005-0000-0000-000071320000}"/>
    <cellStyle name="Normal 2 2 2 2 2 34 5 8" xfId="12914" xr:uid="{00000000-0005-0000-0000-000072320000}"/>
    <cellStyle name="Normal 2 2 2 2 2 34 5 9" xfId="12915" xr:uid="{00000000-0005-0000-0000-000073320000}"/>
    <cellStyle name="Normal 2 2 2 2 2 34 6" xfId="12916" xr:uid="{00000000-0005-0000-0000-000074320000}"/>
    <cellStyle name="Normal 2 2 2 2 2 34 7" xfId="12917" xr:uid="{00000000-0005-0000-0000-000075320000}"/>
    <cellStyle name="Normal 2 2 2 2 2 34 8" xfId="12918" xr:uid="{00000000-0005-0000-0000-000076320000}"/>
    <cellStyle name="Normal 2 2 2 2 2 34 9" xfId="12919" xr:uid="{00000000-0005-0000-0000-000077320000}"/>
    <cellStyle name="Normal 2 2 2 2 2 35" xfId="12920" xr:uid="{00000000-0005-0000-0000-000078320000}"/>
    <cellStyle name="Normal 2 2 2 2 2 35 10" xfId="12921" xr:uid="{00000000-0005-0000-0000-000079320000}"/>
    <cellStyle name="Normal 2 2 2 2 2 35 2" xfId="12922" xr:uid="{00000000-0005-0000-0000-00007A320000}"/>
    <cellStyle name="Normal 2 2 2 2 2 35 3" xfId="12923" xr:uid="{00000000-0005-0000-0000-00007B320000}"/>
    <cellStyle name="Normal 2 2 2 2 2 35 4" xfId="12924" xr:uid="{00000000-0005-0000-0000-00007C320000}"/>
    <cellStyle name="Normal 2 2 2 2 2 35 5" xfId="12925" xr:uid="{00000000-0005-0000-0000-00007D320000}"/>
    <cellStyle name="Normal 2 2 2 2 2 35 6" xfId="12926" xr:uid="{00000000-0005-0000-0000-00007E320000}"/>
    <cellStyle name="Normal 2 2 2 2 2 35 7" xfId="12927" xr:uid="{00000000-0005-0000-0000-00007F320000}"/>
    <cellStyle name="Normal 2 2 2 2 2 35 8" xfId="12928" xr:uid="{00000000-0005-0000-0000-000080320000}"/>
    <cellStyle name="Normal 2 2 2 2 2 35 9" xfId="12929" xr:uid="{00000000-0005-0000-0000-000081320000}"/>
    <cellStyle name="Normal 2 2 2 2 2 36" xfId="12930" xr:uid="{00000000-0005-0000-0000-000082320000}"/>
    <cellStyle name="Normal 2 2 2 2 2 36 10" xfId="12931" xr:uid="{00000000-0005-0000-0000-000083320000}"/>
    <cellStyle name="Normal 2 2 2 2 2 36 2" xfId="12932" xr:uid="{00000000-0005-0000-0000-000084320000}"/>
    <cellStyle name="Normal 2 2 2 2 2 36 3" xfId="12933" xr:uid="{00000000-0005-0000-0000-000085320000}"/>
    <cellStyle name="Normal 2 2 2 2 2 36 4" xfId="12934" xr:uid="{00000000-0005-0000-0000-000086320000}"/>
    <cellStyle name="Normal 2 2 2 2 2 36 5" xfId="12935" xr:uid="{00000000-0005-0000-0000-000087320000}"/>
    <cellStyle name="Normal 2 2 2 2 2 36 6" xfId="12936" xr:uid="{00000000-0005-0000-0000-000088320000}"/>
    <cellStyle name="Normal 2 2 2 2 2 36 7" xfId="12937" xr:uid="{00000000-0005-0000-0000-000089320000}"/>
    <cellStyle name="Normal 2 2 2 2 2 36 8" xfId="12938" xr:uid="{00000000-0005-0000-0000-00008A320000}"/>
    <cellStyle name="Normal 2 2 2 2 2 36 9" xfId="12939" xr:uid="{00000000-0005-0000-0000-00008B320000}"/>
    <cellStyle name="Normal 2 2 2 2 2 37" xfId="12940" xr:uid="{00000000-0005-0000-0000-00008C320000}"/>
    <cellStyle name="Normal 2 2 2 2 2 37 10" xfId="12941" xr:uid="{00000000-0005-0000-0000-00008D320000}"/>
    <cellStyle name="Normal 2 2 2 2 2 37 2" xfId="12942" xr:uid="{00000000-0005-0000-0000-00008E320000}"/>
    <cellStyle name="Normal 2 2 2 2 2 37 3" xfId="12943" xr:uid="{00000000-0005-0000-0000-00008F320000}"/>
    <cellStyle name="Normal 2 2 2 2 2 37 4" xfId="12944" xr:uid="{00000000-0005-0000-0000-000090320000}"/>
    <cellStyle name="Normal 2 2 2 2 2 37 5" xfId="12945" xr:uid="{00000000-0005-0000-0000-000091320000}"/>
    <cellStyle name="Normal 2 2 2 2 2 37 6" xfId="12946" xr:uid="{00000000-0005-0000-0000-000092320000}"/>
    <cellStyle name="Normal 2 2 2 2 2 37 7" xfId="12947" xr:uid="{00000000-0005-0000-0000-000093320000}"/>
    <cellStyle name="Normal 2 2 2 2 2 37 8" xfId="12948" xr:uid="{00000000-0005-0000-0000-000094320000}"/>
    <cellStyle name="Normal 2 2 2 2 2 37 9" xfId="12949" xr:uid="{00000000-0005-0000-0000-000095320000}"/>
    <cellStyle name="Normal 2 2 2 2 2 38" xfId="12950" xr:uid="{00000000-0005-0000-0000-000096320000}"/>
    <cellStyle name="Normal 2 2 2 2 2 38 10" xfId="12951" xr:uid="{00000000-0005-0000-0000-000097320000}"/>
    <cellStyle name="Normal 2 2 2 2 2 38 2" xfId="12952" xr:uid="{00000000-0005-0000-0000-000098320000}"/>
    <cellStyle name="Normal 2 2 2 2 2 38 3" xfId="12953" xr:uid="{00000000-0005-0000-0000-000099320000}"/>
    <cellStyle name="Normal 2 2 2 2 2 38 4" xfId="12954" xr:uid="{00000000-0005-0000-0000-00009A320000}"/>
    <cellStyle name="Normal 2 2 2 2 2 38 5" xfId="12955" xr:uid="{00000000-0005-0000-0000-00009B320000}"/>
    <cellStyle name="Normal 2 2 2 2 2 38 6" xfId="12956" xr:uid="{00000000-0005-0000-0000-00009C320000}"/>
    <cellStyle name="Normal 2 2 2 2 2 38 7" xfId="12957" xr:uid="{00000000-0005-0000-0000-00009D320000}"/>
    <cellStyle name="Normal 2 2 2 2 2 38 8" xfId="12958" xr:uid="{00000000-0005-0000-0000-00009E320000}"/>
    <cellStyle name="Normal 2 2 2 2 2 38 9" xfId="12959" xr:uid="{00000000-0005-0000-0000-00009F320000}"/>
    <cellStyle name="Normal 2 2 2 2 2 39" xfId="12960" xr:uid="{00000000-0005-0000-0000-0000A0320000}"/>
    <cellStyle name="Normal 2 2 2 2 2 4" xfId="12961" xr:uid="{00000000-0005-0000-0000-0000A1320000}"/>
    <cellStyle name="Normal 2 2 2 2 2 4 10" xfId="12962" xr:uid="{00000000-0005-0000-0000-0000A2320000}"/>
    <cellStyle name="Normal 2 2 2 2 2 4 11" xfId="12963" xr:uid="{00000000-0005-0000-0000-0000A3320000}"/>
    <cellStyle name="Normal 2 2 2 2 2 4 12" xfId="12964" xr:uid="{00000000-0005-0000-0000-0000A4320000}"/>
    <cellStyle name="Normal 2 2 2 2 2 4 13" xfId="12965" xr:uid="{00000000-0005-0000-0000-0000A5320000}"/>
    <cellStyle name="Normal 2 2 2 2 2 4 14" xfId="12966" xr:uid="{00000000-0005-0000-0000-0000A6320000}"/>
    <cellStyle name="Normal 2 2 2 2 2 4 15" xfId="12967" xr:uid="{00000000-0005-0000-0000-0000A7320000}"/>
    <cellStyle name="Normal 2 2 2 2 2 4 16" xfId="12968" xr:uid="{00000000-0005-0000-0000-0000A8320000}"/>
    <cellStyle name="Normal 2 2 2 2 2 4 2" xfId="12969" xr:uid="{00000000-0005-0000-0000-0000A9320000}"/>
    <cellStyle name="Normal 2 2 2 2 2 4 2 10" xfId="12970" xr:uid="{00000000-0005-0000-0000-0000AA320000}"/>
    <cellStyle name="Normal 2 2 2 2 2 4 2 2" xfId="12971" xr:uid="{00000000-0005-0000-0000-0000AB320000}"/>
    <cellStyle name="Normal 2 2 2 2 2 4 2 3" xfId="12972" xr:uid="{00000000-0005-0000-0000-0000AC320000}"/>
    <cellStyle name="Normal 2 2 2 2 2 4 2 4" xfId="12973" xr:uid="{00000000-0005-0000-0000-0000AD320000}"/>
    <cellStyle name="Normal 2 2 2 2 2 4 2 5" xfId="12974" xr:uid="{00000000-0005-0000-0000-0000AE320000}"/>
    <cellStyle name="Normal 2 2 2 2 2 4 2 6" xfId="12975" xr:uid="{00000000-0005-0000-0000-0000AF320000}"/>
    <cellStyle name="Normal 2 2 2 2 2 4 2 7" xfId="12976" xr:uid="{00000000-0005-0000-0000-0000B0320000}"/>
    <cellStyle name="Normal 2 2 2 2 2 4 2 8" xfId="12977" xr:uid="{00000000-0005-0000-0000-0000B1320000}"/>
    <cellStyle name="Normal 2 2 2 2 2 4 2 9" xfId="12978" xr:uid="{00000000-0005-0000-0000-0000B2320000}"/>
    <cellStyle name="Normal 2 2 2 2 2 4 3" xfId="12979" xr:uid="{00000000-0005-0000-0000-0000B3320000}"/>
    <cellStyle name="Normal 2 2 2 2 2 4 3 10" xfId="12980" xr:uid="{00000000-0005-0000-0000-0000B4320000}"/>
    <cellStyle name="Normal 2 2 2 2 2 4 3 2" xfId="12981" xr:uid="{00000000-0005-0000-0000-0000B5320000}"/>
    <cellStyle name="Normal 2 2 2 2 2 4 3 3" xfId="12982" xr:uid="{00000000-0005-0000-0000-0000B6320000}"/>
    <cellStyle name="Normal 2 2 2 2 2 4 3 4" xfId="12983" xr:uid="{00000000-0005-0000-0000-0000B7320000}"/>
    <cellStyle name="Normal 2 2 2 2 2 4 3 5" xfId="12984" xr:uid="{00000000-0005-0000-0000-0000B8320000}"/>
    <cellStyle name="Normal 2 2 2 2 2 4 3 6" xfId="12985" xr:uid="{00000000-0005-0000-0000-0000B9320000}"/>
    <cellStyle name="Normal 2 2 2 2 2 4 3 7" xfId="12986" xr:uid="{00000000-0005-0000-0000-0000BA320000}"/>
    <cellStyle name="Normal 2 2 2 2 2 4 3 8" xfId="12987" xr:uid="{00000000-0005-0000-0000-0000BB320000}"/>
    <cellStyle name="Normal 2 2 2 2 2 4 3 9" xfId="12988" xr:uid="{00000000-0005-0000-0000-0000BC320000}"/>
    <cellStyle name="Normal 2 2 2 2 2 4 4" xfId="12989" xr:uid="{00000000-0005-0000-0000-0000BD320000}"/>
    <cellStyle name="Normal 2 2 2 2 2 4 4 10" xfId="12990" xr:uid="{00000000-0005-0000-0000-0000BE320000}"/>
    <cellStyle name="Normal 2 2 2 2 2 4 4 2" xfId="12991" xr:uid="{00000000-0005-0000-0000-0000BF320000}"/>
    <cellStyle name="Normal 2 2 2 2 2 4 4 3" xfId="12992" xr:uid="{00000000-0005-0000-0000-0000C0320000}"/>
    <cellStyle name="Normal 2 2 2 2 2 4 4 4" xfId="12993" xr:uid="{00000000-0005-0000-0000-0000C1320000}"/>
    <cellStyle name="Normal 2 2 2 2 2 4 4 5" xfId="12994" xr:uid="{00000000-0005-0000-0000-0000C2320000}"/>
    <cellStyle name="Normal 2 2 2 2 2 4 4 6" xfId="12995" xr:uid="{00000000-0005-0000-0000-0000C3320000}"/>
    <cellStyle name="Normal 2 2 2 2 2 4 4 7" xfId="12996" xr:uid="{00000000-0005-0000-0000-0000C4320000}"/>
    <cellStyle name="Normal 2 2 2 2 2 4 4 8" xfId="12997" xr:uid="{00000000-0005-0000-0000-0000C5320000}"/>
    <cellStyle name="Normal 2 2 2 2 2 4 4 9" xfId="12998" xr:uid="{00000000-0005-0000-0000-0000C6320000}"/>
    <cellStyle name="Normal 2 2 2 2 2 4 5" xfId="12999" xr:uid="{00000000-0005-0000-0000-0000C7320000}"/>
    <cellStyle name="Normal 2 2 2 2 2 4 5 10" xfId="13000" xr:uid="{00000000-0005-0000-0000-0000C8320000}"/>
    <cellStyle name="Normal 2 2 2 2 2 4 5 2" xfId="13001" xr:uid="{00000000-0005-0000-0000-0000C9320000}"/>
    <cellStyle name="Normal 2 2 2 2 2 4 5 3" xfId="13002" xr:uid="{00000000-0005-0000-0000-0000CA320000}"/>
    <cellStyle name="Normal 2 2 2 2 2 4 5 4" xfId="13003" xr:uid="{00000000-0005-0000-0000-0000CB320000}"/>
    <cellStyle name="Normal 2 2 2 2 2 4 5 5" xfId="13004" xr:uid="{00000000-0005-0000-0000-0000CC320000}"/>
    <cellStyle name="Normal 2 2 2 2 2 4 5 6" xfId="13005" xr:uid="{00000000-0005-0000-0000-0000CD320000}"/>
    <cellStyle name="Normal 2 2 2 2 2 4 5 7" xfId="13006" xr:uid="{00000000-0005-0000-0000-0000CE320000}"/>
    <cellStyle name="Normal 2 2 2 2 2 4 5 8" xfId="13007" xr:uid="{00000000-0005-0000-0000-0000CF320000}"/>
    <cellStyle name="Normal 2 2 2 2 2 4 5 9" xfId="13008" xr:uid="{00000000-0005-0000-0000-0000D0320000}"/>
    <cellStyle name="Normal 2 2 2 2 2 4 6" xfId="13009" xr:uid="{00000000-0005-0000-0000-0000D1320000}"/>
    <cellStyle name="Normal 2 2 2 2 2 4 7" xfId="13010" xr:uid="{00000000-0005-0000-0000-0000D2320000}"/>
    <cellStyle name="Normal 2 2 2 2 2 4 8" xfId="13011" xr:uid="{00000000-0005-0000-0000-0000D3320000}"/>
    <cellStyle name="Normal 2 2 2 2 2 4 9" xfId="13012" xr:uid="{00000000-0005-0000-0000-0000D4320000}"/>
    <cellStyle name="Normal 2 2 2 2 2 40" xfId="13013" xr:uid="{00000000-0005-0000-0000-0000D5320000}"/>
    <cellStyle name="Normal 2 2 2 2 2 41" xfId="13014" xr:uid="{00000000-0005-0000-0000-0000D6320000}"/>
    <cellStyle name="Normal 2 2 2 2 2 42" xfId="13015" xr:uid="{00000000-0005-0000-0000-0000D7320000}"/>
    <cellStyle name="Normal 2 2 2 2 2 43" xfId="13016" xr:uid="{00000000-0005-0000-0000-0000D8320000}"/>
    <cellStyle name="Normal 2 2 2 2 2 44" xfId="13017" xr:uid="{00000000-0005-0000-0000-0000D9320000}"/>
    <cellStyle name="Normal 2 2 2 2 2 45" xfId="13018" xr:uid="{00000000-0005-0000-0000-0000DA320000}"/>
    <cellStyle name="Normal 2 2 2 2 2 46" xfId="13019" xr:uid="{00000000-0005-0000-0000-0000DB320000}"/>
    <cellStyle name="Normal 2 2 2 2 2 47" xfId="13020" xr:uid="{00000000-0005-0000-0000-0000DC320000}"/>
    <cellStyle name="Normal 2 2 2 2 2 48" xfId="13021" xr:uid="{00000000-0005-0000-0000-0000DD320000}"/>
    <cellStyle name="Normal 2 2 2 2 2 49" xfId="13022" xr:uid="{00000000-0005-0000-0000-0000DE320000}"/>
    <cellStyle name="Normal 2 2 2 2 2 5" xfId="13023" xr:uid="{00000000-0005-0000-0000-0000DF320000}"/>
    <cellStyle name="Normal 2 2 2 2 2 5 10" xfId="13024" xr:uid="{00000000-0005-0000-0000-0000E0320000}"/>
    <cellStyle name="Normal 2 2 2 2 2 5 11" xfId="13025" xr:uid="{00000000-0005-0000-0000-0000E1320000}"/>
    <cellStyle name="Normal 2 2 2 2 2 5 12" xfId="13026" xr:uid="{00000000-0005-0000-0000-0000E2320000}"/>
    <cellStyle name="Normal 2 2 2 2 2 5 13" xfId="13027" xr:uid="{00000000-0005-0000-0000-0000E3320000}"/>
    <cellStyle name="Normal 2 2 2 2 2 5 14" xfId="13028" xr:uid="{00000000-0005-0000-0000-0000E4320000}"/>
    <cellStyle name="Normal 2 2 2 2 2 5 2" xfId="13029" xr:uid="{00000000-0005-0000-0000-0000E5320000}"/>
    <cellStyle name="Normal 2 2 2 2 2 5 2 10" xfId="13030" xr:uid="{00000000-0005-0000-0000-0000E6320000}"/>
    <cellStyle name="Normal 2 2 2 2 2 5 2 2" xfId="13031" xr:uid="{00000000-0005-0000-0000-0000E7320000}"/>
    <cellStyle name="Normal 2 2 2 2 2 5 2 3" xfId="13032" xr:uid="{00000000-0005-0000-0000-0000E8320000}"/>
    <cellStyle name="Normal 2 2 2 2 2 5 2 4" xfId="13033" xr:uid="{00000000-0005-0000-0000-0000E9320000}"/>
    <cellStyle name="Normal 2 2 2 2 2 5 2 5" xfId="13034" xr:uid="{00000000-0005-0000-0000-0000EA320000}"/>
    <cellStyle name="Normal 2 2 2 2 2 5 2 6" xfId="13035" xr:uid="{00000000-0005-0000-0000-0000EB320000}"/>
    <cellStyle name="Normal 2 2 2 2 2 5 2 7" xfId="13036" xr:uid="{00000000-0005-0000-0000-0000EC320000}"/>
    <cellStyle name="Normal 2 2 2 2 2 5 2 8" xfId="13037" xr:uid="{00000000-0005-0000-0000-0000ED320000}"/>
    <cellStyle name="Normal 2 2 2 2 2 5 2 9" xfId="13038" xr:uid="{00000000-0005-0000-0000-0000EE320000}"/>
    <cellStyle name="Normal 2 2 2 2 2 5 3" xfId="13039" xr:uid="{00000000-0005-0000-0000-0000EF320000}"/>
    <cellStyle name="Normal 2 2 2 2 2 5 3 10" xfId="13040" xr:uid="{00000000-0005-0000-0000-0000F0320000}"/>
    <cellStyle name="Normal 2 2 2 2 2 5 3 2" xfId="13041" xr:uid="{00000000-0005-0000-0000-0000F1320000}"/>
    <cellStyle name="Normal 2 2 2 2 2 5 3 3" xfId="13042" xr:uid="{00000000-0005-0000-0000-0000F2320000}"/>
    <cellStyle name="Normal 2 2 2 2 2 5 3 4" xfId="13043" xr:uid="{00000000-0005-0000-0000-0000F3320000}"/>
    <cellStyle name="Normal 2 2 2 2 2 5 3 5" xfId="13044" xr:uid="{00000000-0005-0000-0000-0000F4320000}"/>
    <cellStyle name="Normal 2 2 2 2 2 5 3 6" xfId="13045" xr:uid="{00000000-0005-0000-0000-0000F5320000}"/>
    <cellStyle name="Normal 2 2 2 2 2 5 3 7" xfId="13046" xr:uid="{00000000-0005-0000-0000-0000F6320000}"/>
    <cellStyle name="Normal 2 2 2 2 2 5 3 8" xfId="13047" xr:uid="{00000000-0005-0000-0000-0000F7320000}"/>
    <cellStyle name="Normal 2 2 2 2 2 5 3 9" xfId="13048" xr:uid="{00000000-0005-0000-0000-0000F8320000}"/>
    <cellStyle name="Normal 2 2 2 2 2 5 4" xfId="13049" xr:uid="{00000000-0005-0000-0000-0000F9320000}"/>
    <cellStyle name="Normal 2 2 2 2 2 5 4 10" xfId="13050" xr:uid="{00000000-0005-0000-0000-0000FA320000}"/>
    <cellStyle name="Normal 2 2 2 2 2 5 4 2" xfId="13051" xr:uid="{00000000-0005-0000-0000-0000FB320000}"/>
    <cellStyle name="Normal 2 2 2 2 2 5 4 3" xfId="13052" xr:uid="{00000000-0005-0000-0000-0000FC320000}"/>
    <cellStyle name="Normal 2 2 2 2 2 5 4 4" xfId="13053" xr:uid="{00000000-0005-0000-0000-0000FD320000}"/>
    <cellStyle name="Normal 2 2 2 2 2 5 4 5" xfId="13054" xr:uid="{00000000-0005-0000-0000-0000FE320000}"/>
    <cellStyle name="Normal 2 2 2 2 2 5 4 6" xfId="13055" xr:uid="{00000000-0005-0000-0000-0000FF320000}"/>
    <cellStyle name="Normal 2 2 2 2 2 5 4 7" xfId="13056" xr:uid="{00000000-0005-0000-0000-000000330000}"/>
    <cellStyle name="Normal 2 2 2 2 2 5 4 8" xfId="13057" xr:uid="{00000000-0005-0000-0000-000001330000}"/>
    <cellStyle name="Normal 2 2 2 2 2 5 4 9" xfId="13058" xr:uid="{00000000-0005-0000-0000-000002330000}"/>
    <cellStyle name="Normal 2 2 2 2 2 5 5" xfId="13059" xr:uid="{00000000-0005-0000-0000-000003330000}"/>
    <cellStyle name="Normal 2 2 2 2 2 5 5 10" xfId="13060" xr:uid="{00000000-0005-0000-0000-000004330000}"/>
    <cellStyle name="Normal 2 2 2 2 2 5 5 2" xfId="13061" xr:uid="{00000000-0005-0000-0000-000005330000}"/>
    <cellStyle name="Normal 2 2 2 2 2 5 5 3" xfId="13062" xr:uid="{00000000-0005-0000-0000-000006330000}"/>
    <cellStyle name="Normal 2 2 2 2 2 5 5 4" xfId="13063" xr:uid="{00000000-0005-0000-0000-000007330000}"/>
    <cellStyle name="Normal 2 2 2 2 2 5 5 5" xfId="13064" xr:uid="{00000000-0005-0000-0000-000008330000}"/>
    <cellStyle name="Normal 2 2 2 2 2 5 5 6" xfId="13065" xr:uid="{00000000-0005-0000-0000-000009330000}"/>
    <cellStyle name="Normal 2 2 2 2 2 5 5 7" xfId="13066" xr:uid="{00000000-0005-0000-0000-00000A330000}"/>
    <cellStyle name="Normal 2 2 2 2 2 5 5 8" xfId="13067" xr:uid="{00000000-0005-0000-0000-00000B330000}"/>
    <cellStyle name="Normal 2 2 2 2 2 5 5 9" xfId="13068" xr:uid="{00000000-0005-0000-0000-00000C330000}"/>
    <cellStyle name="Normal 2 2 2 2 2 5 6" xfId="13069" xr:uid="{00000000-0005-0000-0000-00000D330000}"/>
    <cellStyle name="Normal 2 2 2 2 2 5 7" xfId="13070" xr:uid="{00000000-0005-0000-0000-00000E330000}"/>
    <cellStyle name="Normal 2 2 2 2 2 5 8" xfId="13071" xr:uid="{00000000-0005-0000-0000-00000F330000}"/>
    <cellStyle name="Normal 2 2 2 2 2 5 9" xfId="13072" xr:uid="{00000000-0005-0000-0000-000010330000}"/>
    <cellStyle name="Normal 2 2 2 2 2 6" xfId="13073" xr:uid="{00000000-0005-0000-0000-000011330000}"/>
    <cellStyle name="Normal 2 2 2 2 2 6 10" xfId="13074" xr:uid="{00000000-0005-0000-0000-000012330000}"/>
    <cellStyle name="Normal 2 2 2 2 2 6 11" xfId="13075" xr:uid="{00000000-0005-0000-0000-000013330000}"/>
    <cellStyle name="Normal 2 2 2 2 2 6 12" xfId="13076" xr:uid="{00000000-0005-0000-0000-000014330000}"/>
    <cellStyle name="Normal 2 2 2 2 2 6 13" xfId="13077" xr:uid="{00000000-0005-0000-0000-000015330000}"/>
    <cellStyle name="Normal 2 2 2 2 2 6 14" xfId="13078" xr:uid="{00000000-0005-0000-0000-000016330000}"/>
    <cellStyle name="Normal 2 2 2 2 2 6 2" xfId="13079" xr:uid="{00000000-0005-0000-0000-000017330000}"/>
    <cellStyle name="Normal 2 2 2 2 2 6 2 10" xfId="13080" xr:uid="{00000000-0005-0000-0000-000018330000}"/>
    <cellStyle name="Normal 2 2 2 2 2 6 2 2" xfId="13081" xr:uid="{00000000-0005-0000-0000-000019330000}"/>
    <cellStyle name="Normal 2 2 2 2 2 6 2 3" xfId="13082" xr:uid="{00000000-0005-0000-0000-00001A330000}"/>
    <cellStyle name="Normal 2 2 2 2 2 6 2 4" xfId="13083" xr:uid="{00000000-0005-0000-0000-00001B330000}"/>
    <cellStyle name="Normal 2 2 2 2 2 6 2 5" xfId="13084" xr:uid="{00000000-0005-0000-0000-00001C330000}"/>
    <cellStyle name="Normal 2 2 2 2 2 6 2 6" xfId="13085" xr:uid="{00000000-0005-0000-0000-00001D330000}"/>
    <cellStyle name="Normal 2 2 2 2 2 6 2 7" xfId="13086" xr:uid="{00000000-0005-0000-0000-00001E330000}"/>
    <cellStyle name="Normal 2 2 2 2 2 6 2 8" xfId="13087" xr:uid="{00000000-0005-0000-0000-00001F330000}"/>
    <cellStyle name="Normal 2 2 2 2 2 6 2 9" xfId="13088" xr:uid="{00000000-0005-0000-0000-000020330000}"/>
    <cellStyle name="Normal 2 2 2 2 2 6 3" xfId="13089" xr:uid="{00000000-0005-0000-0000-000021330000}"/>
    <cellStyle name="Normal 2 2 2 2 2 6 3 10" xfId="13090" xr:uid="{00000000-0005-0000-0000-000022330000}"/>
    <cellStyle name="Normal 2 2 2 2 2 6 3 2" xfId="13091" xr:uid="{00000000-0005-0000-0000-000023330000}"/>
    <cellStyle name="Normal 2 2 2 2 2 6 3 3" xfId="13092" xr:uid="{00000000-0005-0000-0000-000024330000}"/>
    <cellStyle name="Normal 2 2 2 2 2 6 3 4" xfId="13093" xr:uid="{00000000-0005-0000-0000-000025330000}"/>
    <cellStyle name="Normal 2 2 2 2 2 6 3 5" xfId="13094" xr:uid="{00000000-0005-0000-0000-000026330000}"/>
    <cellStyle name="Normal 2 2 2 2 2 6 3 6" xfId="13095" xr:uid="{00000000-0005-0000-0000-000027330000}"/>
    <cellStyle name="Normal 2 2 2 2 2 6 3 7" xfId="13096" xr:uid="{00000000-0005-0000-0000-000028330000}"/>
    <cellStyle name="Normal 2 2 2 2 2 6 3 8" xfId="13097" xr:uid="{00000000-0005-0000-0000-000029330000}"/>
    <cellStyle name="Normal 2 2 2 2 2 6 3 9" xfId="13098" xr:uid="{00000000-0005-0000-0000-00002A330000}"/>
    <cellStyle name="Normal 2 2 2 2 2 6 4" xfId="13099" xr:uid="{00000000-0005-0000-0000-00002B330000}"/>
    <cellStyle name="Normal 2 2 2 2 2 6 4 10" xfId="13100" xr:uid="{00000000-0005-0000-0000-00002C330000}"/>
    <cellStyle name="Normal 2 2 2 2 2 6 4 2" xfId="13101" xr:uid="{00000000-0005-0000-0000-00002D330000}"/>
    <cellStyle name="Normal 2 2 2 2 2 6 4 3" xfId="13102" xr:uid="{00000000-0005-0000-0000-00002E330000}"/>
    <cellStyle name="Normal 2 2 2 2 2 6 4 4" xfId="13103" xr:uid="{00000000-0005-0000-0000-00002F330000}"/>
    <cellStyle name="Normal 2 2 2 2 2 6 4 5" xfId="13104" xr:uid="{00000000-0005-0000-0000-000030330000}"/>
    <cellStyle name="Normal 2 2 2 2 2 6 4 6" xfId="13105" xr:uid="{00000000-0005-0000-0000-000031330000}"/>
    <cellStyle name="Normal 2 2 2 2 2 6 4 7" xfId="13106" xr:uid="{00000000-0005-0000-0000-000032330000}"/>
    <cellStyle name="Normal 2 2 2 2 2 6 4 8" xfId="13107" xr:uid="{00000000-0005-0000-0000-000033330000}"/>
    <cellStyle name="Normal 2 2 2 2 2 6 4 9" xfId="13108" xr:uid="{00000000-0005-0000-0000-000034330000}"/>
    <cellStyle name="Normal 2 2 2 2 2 6 5" xfId="13109" xr:uid="{00000000-0005-0000-0000-000035330000}"/>
    <cellStyle name="Normal 2 2 2 2 2 6 5 10" xfId="13110" xr:uid="{00000000-0005-0000-0000-000036330000}"/>
    <cellStyle name="Normal 2 2 2 2 2 6 5 2" xfId="13111" xr:uid="{00000000-0005-0000-0000-000037330000}"/>
    <cellStyle name="Normal 2 2 2 2 2 6 5 3" xfId="13112" xr:uid="{00000000-0005-0000-0000-000038330000}"/>
    <cellStyle name="Normal 2 2 2 2 2 6 5 4" xfId="13113" xr:uid="{00000000-0005-0000-0000-000039330000}"/>
    <cellStyle name="Normal 2 2 2 2 2 6 5 5" xfId="13114" xr:uid="{00000000-0005-0000-0000-00003A330000}"/>
    <cellStyle name="Normal 2 2 2 2 2 6 5 6" xfId="13115" xr:uid="{00000000-0005-0000-0000-00003B330000}"/>
    <cellStyle name="Normal 2 2 2 2 2 6 5 7" xfId="13116" xr:uid="{00000000-0005-0000-0000-00003C330000}"/>
    <cellStyle name="Normal 2 2 2 2 2 6 5 8" xfId="13117" xr:uid="{00000000-0005-0000-0000-00003D330000}"/>
    <cellStyle name="Normal 2 2 2 2 2 6 5 9" xfId="13118" xr:uid="{00000000-0005-0000-0000-00003E330000}"/>
    <cellStyle name="Normal 2 2 2 2 2 6 6" xfId="13119" xr:uid="{00000000-0005-0000-0000-00003F330000}"/>
    <cellStyle name="Normal 2 2 2 2 2 6 7" xfId="13120" xr:uid="{00000000-0005-0000-0000-000040330000}"/>
    <cellStyle name="Normal 2 2 2 2 2 6 8" xfId="13121" xr:uid="{00000000-0005-0000-0000-000041330000}"/>
    <cellStyle name="Normal 2 2 2 2 2 6 9" xfId="13122" xr:uid="{00000000-0005-0000-0000-000042330000}"/>
    <cellStyle name="Normal 2 2 2 2 2 7" xfId="13123" xr:uid="{00000000-0005-0000-0000-000043330000}"/>
    <cellStyle name="Normal 2 2 2 2 2 7 10" xfId="13124" xr:uid="{00000000-0005-0000-0000-000044330000}"/>
    <cellStyle name="Normal 2 2 2 2 2 7 11" xfId="13125" xr:uid="{00000000-0005-0000-0000-000045330000}"/>
    <cellStyle name="Normal 2 2 2 2 2 7 12" xfId="13126" xr:uid="{00000000-0005-0000-0000-000046330000}"/>
    <cellStyle name="Normal 2 2 2 2 2 7 13" xfId="13127" xr:uid="{00000000-0005-0000-0000-000047330000}"/>
    <cellStyle name="Normal 2 2 2 2 2 7 14" xfId="13128" xr:uid="{00000000-0005-0000-0000-000048330000}"/>
    <cellStyle name="Normal 2 2 2 2 2 7 2" xfId="13129" xr:uid="{00000000-0005-0000-0000-000049330000}"/>
    <cellStyle name="Normal 2 2 2 2 2 7 2 10" xfId="13130" xr:uid="{00000000-0005-0000-0000-00004A330000}"/>
    <cellStyle name="Normal 2 2 2 2 2 7 2 2" xfId="13131" xr:uid="{00000000-0005-0000-0000-00004B330000}"/>
    <cellStyle name="Normal 2 2 2 2 2 7 2 3" xfId="13132" xr:uid="{00000000-0005-0000-0000-00004C330000}"/>
    <cellStyle name="Normal 2 2 2 2 2 7 2 4" xfId="13133" xr:uid="{00000000-0005-0000-0000-00004D330000}"/>
    <cellStyle name="Normal 2 2 2 2 2 7 2 5" xfId="13134" xr:uid="{00000000-0005-0000-0000-00004E330000}"/>
    <cellStyle name="Normal 2 2 2 2 2 7 2 6" xfId="13135" xr:uid="{00000000-0005-0000-0000-00004F330000}"/>
    <cellStyle name="Normal 2 2 2 2 2 7 2 7" xfId="13136" xr:uid="{00000000-0005-0000-0000-000050330000}"/>
    <cellStyle name="Normal 2 2 2 2 2 7 2 8" xfId="13137" xr:uid="{00000000-0005-0000-0000-000051330000}"/>
    <cellStyle name="Normal 2 2 2 2 2 7 2 9" xfId="13138" xr:uid="{00000000-0005-0000-0000-000052330000}"/>
    <cellStyle name="Normal 2 2 2 2 2 7 3" xfId="13139" xr:uid="{00000000-0005-0000-0000-000053330000}"/>
    <cellStyle name="Normal 2 2 2 2 2 7 3 10" xfId="13140" xr:uid="{00000000-0005-0000-0000-000054330000}"/>
    <cellStyle name="Normal 2 2 2 2 2 7 3 2" xfId="13141" xr:uid="{00000000-0005-0000-0000-000055330000}"/>
    <cellStyle name="Normal 2 2 2 2 2 7 3 3" xfId="13142" xr:uid="{00000000-0005-0000-0000-000056330000}"/>
    <cellStyle name="Normal 2 2 2 2 2 7 3 4" xfId="13143" xr:uid="{00000000-0005-0000-0000-000057330000}"/>
    <cellStyle name="Normal 2 2 2 2 2 7 3 5" xfId="13144" xr:uid="{00000000-0005-0000-0000-000058330000}"/>
    <cellStyle name="Normal 2 2 2 2 2 7 3 6" xfId="13145" xr:uid="{00000000-0005-0000-0000-000059330000}"/>
    <cellStyle name="Normal 2 2 2 2 2 7 3 7" xfId="13146" xr:uid="{00000000-0005-0000-0000-00005A330000}"/>
    <cellStyle name="Normal 2 2 2 2 2 7 3 8" xfId="13147" xr:uid="{00000000-0005-0000-0000-00005B330000}"/>
    <cellStyle name="Normal 2 2 2 2 2 7 3 9" xfId="13148" xr:uid="{00000000-0005-0000-0000-00005C330000}"/>
    <cellStyle name="Normal 2 2 2 2 2 7 4" xfId="13149" xr:uid="{00000000-0005-0000-0000-00005D330000}"/>
    <cellStyle name="Normal 2 2 2 2 2 7 4 10" xfId="13150" xr:uid="{00000000-0005-0000-0000-00005E330000}"/>
    <cellStyle name="Normal 2 2 2 2 2 7 4 2" xfId="13151" xr:uid="{00000000-0005-0000-0000-00005F330000}"/>
    <cellStyle name="Normal 2 2 2 2 2 7 4 3" xfId="13152" xr:uid="{00000000-0005-0000-0000-000060330000}"/>
    <cellStyle name="Normal 2 2 2 2 2 7 4 4" xfId="13153" xr:uid="{00000000-0005-0000-0000-000061330000}"/>
    <cellStyle name="Normal 2 2 2 2 2 7 4 5" xfId="13154" xr:uid="{00000000-0005-0000-0000-000062330000}"/>
    <cellStyle name="Normal 2 2 2 2 2 7 4 6" xfId="13155" xr:uid="{00000000-0005-0000-0000-000063330000}"/>
    <cellStyle name="Normal 2 2 2 2 2 7 4 7" xfId="13156" xr:uid="{00000000-0005-0000-0000-000064330000}"/>
    <cellStyle name="Normal 2 2 2 2 2 7 4 8" xfId="13157" xr:uid="{00000000-0005-0000-0000-000065330000}"/>
    <cellStyle name="Normal 2 2 2 2 2 7 4 9" xfId="13158" xr:uid="{00000000-0005-0000-0000-000066330000}"/>
    <cellStyle name="Normal 2 2 2 2 2 7 5" xfId="13159" xr:uid="{00000000-0005-0000-0000-000067330000}"/>
    <cellStyle name="Normal 2 2 2 2 2 7 5 10" xfId="13160" xr:uid="{00000000-0005-0000-0000-000068330000}"/>
    <cellStyle name="Normal 2 2 2 2 2 7 5 2" xfId="13161" xr:uid="{00000000-0005-0000-0000-000069330000}"/>
    <cellStyle name="Normal 2 2 2 2 2 7 5 3" xfId="13162" xr:uid="{00000000-0005-0000-0000-00006A330000}"/>
    <cellStyle name="Normal 2 2 2 2 2 7 5 4" xfId="13163" xr:uid="{00000000-0005-0000-0000-00006B330000}"/>
    <cellStyle name="Normal 2 2 2 2 2 7 5 5" xfId="13164" xr:uid="{00000000-0005-0000-0000-00006C330000}"/>
    <cellStyle name="Normal 2 2 2 2 2 7 5 6" xfId="13165" xr:uid="{00000000-0005-0000-0000-00006D330000}"/>
    <cellStyle name="Normal 2 2 2 2 2 7 5 7" xfId="13166" xr:uid="{00000000-0005-0000-0000-00006E330000}"/>
    <cellStyle name="Normal 2 2 2 2 2 7 5 8" xfId="13167" xr:uid="{00000000-0005-0000-0000-00006F330000}"/>
    <cellStyle name="Normal 2 2 2 2 2 7 5 9" xfId="13168" xr:uid="{00000000-0005-0000-0000-000070330000}"/>
    <cellStyle name="Normal 2 2 2 2 2 7 6" xfId="13169" xr:uid="{00000000-0005-0000-0000-000071330000}"/>
    <cellStyle name="Normal 2 2 2 2 2 7 7" xfId="13170" xr:uid="{00000000-0005-0000-0000-000072330000}"/>
    <cellStyle name="Normal 2 2 2 2 2 7 8" xfId="13171" xr:uid="{00000000-0005-0000-0000-000073330000}"/>
    <cellStyle name="Normal 2 2 2 2 2 7 9" xfId="13172" xr:uid="{00000000-0005-0000-0000-000074330000}"/>
    <cellStyle name="Normal 2 2 2 2 2 8" xfId="13173" xr:uid="{00000000-0005-0000-0000-000075330000}"/>
    <cellStyle name="Normal 2 2 2 2 2 8 10" xfId="13174" xr:uid="{00000000-0005-0000-0000-000076330000}"/>
    <cellStyle name="Normal 2 2 2 2 2 8 11" xfId="13175" xr:uid="{00000000-0005-0000-0000-000077330000}"/>
    <cellStyle name="Normal 2 2 2 2 2 8 12" xfId="13176" xr:uid="{00000000-0005-0000-0000-000078330000}"/>
    <cellStyle name="Normal 2 2 2 2 2 8 13" xfId="13177" xr:uid="{00000000-0005-0000-0000-000079330000}"/>
    <cellStyle name="Normal 2 2 2 2 2 8 14" xfId="13178" xr:uid="{00000000-0005-0000-0000-00007A330000}"/>
    <cellStyle name="Normal 2 2 2 2 2 8 2" xfId="13179" xr:uid="{00000000-0005-0000-0000-00007B330000}"/>
    <cellStyle name="Normal 2 2 2 2 2 8 2 10" xfId="13180" xr:uid="{00000000-0005-0000-0000-00007C330000}"/>
    <cellStyle name="Normal 2 2 2 2 2 8 2 2" xfId="13181" xr:uid="{00000000-0005-0000-0000-00007D330000}"/>
    <cellStyle name="Normal 2 2 2 2 2 8 2 3" xfId="13182" xr:uid="{00000000-0005-0000-0000-00007E330000}"/>
    <cellStyle name="Normal 2 2 2 2 2 8 2 4" xfId="13183" xr:uid="{00000000-0005-0000-0000-00007F330000}"/>
    <cellStyle name="Normal 2 2 2 2 2 8 2 5" xfId="13184" xr:uid="{00000000-0005-0000-0000-000080330000}"/>
    <cellStyle name="Normal 2 2 2 2 2 8 2 6" xfId="13185" xr:uid="{00000000-0005-0000-0000-000081330000}"/>
    <cellStyle name="Normal 2 2 2 2 2 8 2 7" xfId="13186" xr:uid="{00000000-0005-0000-0000-000082330000}"/>
    <cellStyle name="Normal 2 2 2 2 2 8 2 8" xfId="13187" xr:uid="{00000000-0005-0000-0000-000083330000}"/>
    <cellStyle name="Normal 2 2 2 2 2 8 2 9" xfId="13188" xr:uid="{00000000-0005-0000-0000-000084330000}"/>
    <cellStyle name="Normal 2 2 2 2 2 8 3" xfId="13189" xr:uid="{00000000-0005-0000-0000-000085330000}"/>
    <cellStyle name="Normal 2 2 2 2 2 8 3 10" xfId="13190" xr:uid="{00000000-0005-0000-0000-000086330000}"/>
    <cellStyle name="Normal 2 2 2 2 2 8 3 2" xfId="13191" xr:uid="{00000000-0005-0000-0000-000087330000}"/>
    <cellStyle name="Normal 2 2 2 2 2 8 3 3" xfId="13192" xr:uid="{00000000-0005-0000-0000-000088330000}"/>
    <cellStyle name="Normal 2 2 2 2 2 8 3 4" xfId="13193" xr:uid="{00000000-0005-0000-0000-000089330000}"/>
    <cellStyle name="Normal 2 2 2 2 2 8 3 5" xfId="13194" xr:uid="{00000000-0005-0000-0000-00008A330000}"/>
    <cellStyle name="Normal 2 2 2 2 2 8 3 6" xfId="13195" xr:uid="{00000000-0005-0000-0000-00008B330000}"/>
    <cellStyle name="Normal 2 2 2 2 2 8 3 7" xfId="13196" xr:uid="{00000000-0005-0000-0000-00008C330000}"/>
    <cellStyle name="Normal 2 2 2 2 2 8 3 8" xfId="13197" xr:uid="{00000000-0005-0000-0000-00008D330000}"/>
    <cellStyle name="Normal 2 2 2 2 2 8 3 9" xfId="13198" xr:uid="{00000000-0005-0000-0000-00008E330000}"/>
    <cellStyle name="Normal 2 2 2 2 2 8 4" xfId="13199" xr:uid="{00000000-0005-0000-0000-00008F330000}"/>
    <cellStyle name="Normal 2 2 2 2 2 8 4 10" xfId="13200" xr:uid="{00000000-0005-0000-0000-000090330000}"/>
    <cellStyle name="Normal 2 2 2 2 2 8 4 2" xfId="13201" xr:uid="{00000000-0005-0000-0000-000091330000}"/>
    <cellStyle name="Normal 2 2 2 2 2 8 4 3" xfId="13202" xr:uid="{00000000-0005-0000-0000-000092330000}"/>
    <cellStyle name="Normal 2 2 2 2 2 8 4 4" xfId="13203" xr:uid="{00000000-0005-0000-0000-000093330000}"/>
    <cellStyle name="Normal 2 2 2 2 2 8 4 5" xfId="13204" xr:uid="{00000000-0005-0000-0000-000094330000}"/>
    <cellStyle name="Normal 2 2 2 2 2 8 4 6" xfId="13205" xr:uid="{00000000-0005-0000-0000-000095330000}"/>
    <cellStyle name="Normal 2 2 2 2 2 8 4 7" xfId="13206" xr:uid="{00000000-0005-0000-0000-000096330000}"/>
    <cellStyle name="Normal 2 2 2 2 2 8 4 8" xfId="13207" xr:uid="{00000000-0005-0000-0000-000097330000}"/>
    <cellStyle name="Normal 2 2 2 2 2 8 4 9" xfId="13208" xr:uid="{00000000-0005-0000-0000-000098330000}"/>
    <cellStyle name="Normal 2 2 2 2 2 8 5" xfId="13209" xr:uid="{00000000-0005-0000-0000-000099330000}"/>
    <cellStyle name="Normal 2 2 2 2 2 8 5 10" xfId="13210" xr:uid="{00000000-0005-0000-0000-00009A330000}"/>
    <cellStyle name="Normal 2 2 2 2 2 8 5 2" xfId="13211" xr:uid="{00000000-0005-0000-0000-00009B330000}"/>
    <cellStyle name="Normal 2 2 2 2 2 8 5 3" xfId="13212" xr:uid="{00000000-0005-0000-0000-00009C330000}"/>
    <cellStyle name="Normal 2 2 2 2 2 8 5 4" xfId="13213" xr:uid="{00000000-0005-0000-0000-00009D330000}"/>
    <cellStyle name="Normal 2 2 2 2 2 8 5 5" xfId="13214" xr:uid="{00000000-0005-0000-0000-00009E330000}"/>
    <cellStyle name="Normal 2 2 2 2 2 8 5 6" xfId="13215" xr:uid="{00000000-0005-0000-0000-00009F330000}"/>
    <cellStyle name="Normal 2 2 2 2 2 8 5 7" xfId="13216" xr:uid="{00000000-0005-0000-0000-0000A0330000}"/>
    <cellStyle name="Normal 2 2 2 2 2 8 5 8" xfId="13217" xr:uid="{00000000-0005-0000-0000-0000A1330000}"/>
    <cellStyle name="Normal 2 2 2 2 2 8 5 9" xfId="13218" xr:uid="{00000000-0005-0000-0000-0000A2330000}"/>
    <cellStyle name="Normal 2 2 2 2 2 8 6" xfId="13219" xr:uid="{00000000-0005-0000-0000-0000A3330000}"/>
    <cellStyle name="Normal 2 2 2 2 2 8 7" xfId="13220" xr:uid="{00000000-0005-0000-0000-0000A4330000}"/>
    <cellStyle name="Normal 2 2 2 2 2 8 8" xfId="13221" xr:uid="{00000000-0005-0000-0000-0000A5330000}"/>
    <cellStyle name="Normal 2 2 2 2 2 8 9" xfId="13222" xr:uid="{00000000-0005-0000-0000-0000A6330000}"/>
    <cellStyle name="Normal 2 2 2 2 2 9" xfId="13223" xr:uid="{00000000-0005-0000-0000-0000A7330000}"/>
    <cellStyle name="Normal 2 2 2 2 2 9 10" xfId="13224" xr:uid="{00000000-0005-0000-0000-0000A8330000}"/>
    <cellStyle name="Normal 2 2 2 2 2 9 11" xfId="13225" xr:uid="{00000000-0005-0000-0000-0000A9330000}"/>
    <cellStyle name="Normal 2 2 2 2 2 9 12" xfId="13226" xr:uid="{00000000-0005-0000-0000-0000AA330000}"/>
    <cellStyle name="Normal 2 2 2 2 2 9 13" xfId="13227" xr:uid="{00000000-0005-0000-0000-0000AB330000}"/>
    <cellStyle name="Normal 2 2 2 2 2 9 14" xfId="13228" xr:uid="{00000000-0005-0000-0000-0000AC330000}"/>
    <cellStyle name="Normal 2 2 2 2 2 9 2" xfId="13229" xr:uid="{00000000-0005-0000-0000-0000AD330000}"/>
    <cellStyle name="Normal 2 2 2 2 2 9 2 10" xfId="13230" xr:uid="{00000000-0005-0000-0000-0000AE330000}"/>
    <cellStyle name="Normal 2 2 2 2 2 9 2 2" xfId="13231" xr:uid="{00000000-0005-0000-0000-0000AF330000}"/>
    <cellStyle name="Normal 2 2 2 2 2 9 2 3" xfId="13232" xr:uid="{00000000-0005-0000-0000-0000B0330000}"/>
    <cellStyle name="Normal 2 2 2 2 2 9 2 4" xfId="13233" xr:uid="{00000000-0005-0000-0000-0000B1330000}"/>
    <cellStyle name="Normal 2 2 2 2 2 9 2 5" xfId="13234" xr:uid="{00000000-0005-0000-0000-0000B2330000}"/>
    <cellStyle name="Normal 2 2 2 2 2 9 2 6" xfId="13235" xr:uid="{00000000-0005-0000-0000-0000B3330000}"/>
    <cellStyle name="Normal 2 2 2 2 2 9 2 7" xfId="13236" xr:uid="{00000000-0005-0000-0000-0000B4330000}"/>
    <cellStyle name="Normal 2 2 2 2 2 9 2 8" xfId="13237" xr:uid="{00000000-0005-0000-0000-0000B5330000}"/>
    <cellStyle name="Normal 2 2 2 2 2 9 2 9" xfId="13238" xr:uid="{00000000-0005-0000-0000-0000B6330000}"/>
    <cellStyle name="Normal 2 2 2 2 2 9 3" xfId="13239" xr:uid="{00000000-0005-0000-0000-0000B7330000}"/>
    <cellStyle name="Normal 2 2 2 2 2 9 3 10" xfId="13240" xr:uid="{00000000-0005-0000-0000-0000B8330000}"/>
    <cellStyle name="Normal 2 2 2 2 2 9 3 2" xfId="13241" xr:uid="{00000000-0005-0000-0000-0000B9330000}"/>
    <cellStyle name="Normal 2 2 2 2 2 9 3 3" xfId="13242" xr:uid="{00000000-0005-0000-0000-0000BA330000}"/>
    <cellStyle name="Normal 2 2 2 2 2 9 3 4" xfId="13243" xr:uid="{00000000-0005-0000-0000-0000BB330000}"/>
    <cellStyle name="Normal 2 2 2 2 2 9 3 5" xfId="13244" xr:uid="{00000000-0005-0000-0000-0000BC330000}"/>
    <cellStyle name="Normal 2 2 2 2 2 9 3 6" xfId="13245" xr:uid="{00000000-0005-0000-0000-0000BD330000}"/>
    <cellStyle name="Normal 2 2 2 2 2 9 3 7" xfId="13246" xr:uid="{00000000-0005-0000-0000-0000BE330000}"/>
    <cellStyle name="Normal 2 2 2 2 2 9 3 8" xfId="13247" xr:uid="{00000000-0005-0000-0000-0000BF330000}"/>
    <cellStyle name="Normal 2 2 2 2 2 9 3 9" xfId="13248" xr:uid="{00000000-0005-0000-0000-0000C0330000}"/>
    <cellStyle name="Normal 2 2 2 2 2 9 4" xfId="13249" xr:uid="{00000000-0005-0000-0000-0000C1330000}"/>
    <cellStyle name="Normal 2 2 2 2 2 9 4 10" xfId="13250" xr:uid="{00000000-0005-0000-0000-0000C2330000}"/>
    <cellStyle name="Normal 2 2 2 2 2 9 4 2" xfId="13251" xr:uid="{00000000-0005-0000-0000-0000C3330000}"/>
    <cellStyle name="Normal 2 2 2 2 2 9 4 3" xfId="13252" xr:uid="{00000000-0005-0000-0000-0000C4330000}"/>
    <cellStyle name="Normal 2 2 2 2 2 9 4 4" xfId="13253" xr:uid="{00000000-0005-0000-0000-0000C5330000}"/>
    <cellStyle name="Normal 2 2 2 2 2 9 4 5" xfId="13254" xr:uid="{00000000-0005-0000-0000-0000C6330000}"/>
    <cellStyle name="Normal 2 2 2 2 2 9 4 6" xfId="13255" xr:uid="{00000000-0005-0000-0000-0000C7330000}"/>
    <cellStyle name="Normal 2 2 2 2 2 9 4 7" xfId="13256" xr:uid="{00000000-0005-0000-0000-0000C8330000}"/>
    <cellStyle name="Normal 2 2 2 2 2 9 4 8" xfId="13257" xr:uid="{00000000-0005-0000-0000-0000C9330000}"/>
    <cellStyle name="Normal 2 2 2 2 2 9 4 9" xfId="13258" xr:uid="{00000000-0005-0000-0000-0000CA330000}"/>
    <cellStyle name="Normal 2 2 2 2 2 9 5" xfId="13259" xr:uid="{00000000-0005-0000-0000-0000CB330000}"/>
    <cellStyle name="Normal 2 2 2 2 2 9 5 10" xfId="13260" xr:uid="{00000000-0005-0000-0000-0000CC330000}"/>
    <cellStyle name="Normal 2 2 2 2 2 9 5 2" xfId="13261" xr:uid="{00000000-0005-0000-0000-0000CD330000}"/>
    <cellStyle name="Normal 2 2 2 2 2 9 5 3" xfId="13262" xr:uid="{00000000-0005-0000-0000-0000CE330000}"/>
    <cellStyle name="Normal 2 2 2 2 2 9 5 4" xfId="13263" xr:uid="{00000000-0005-0000-0000-0000CF330000}"/>
    <cellStyle name="Normal 2 2 2 2 2 9 5 5" xfId="13264" xr:uid="{00000000-0005-0000-0000-0000D0330000}"/>
    <cellStyle name="Normal 2 2 2 2 2 9 5 6" xfId="13265" xr:uid="{00000000-0005-0000-0000-0000D1330000}"/>
    <cellStyle name="Normal 2 2 2 2 2 9 5 7" xfId="13266" xr:uid="{00000000-0005-0000-0000-0000D2330000}"/>
    <cellStyle name="Normal 2 2 2 2 2 9 5 8" xfId="13267" xr:uid="{00000000-0005-0000-0000-0000D3330000}"/>
    <cellStyle name="Normal 2 2 2 2 2 9 5 9" xfId="13268" xr:uid="{00000000-0005-0000-0000-0000D4330000}"/>
    <cellStyle name="Normal 2 2 2 2 2 9 6" xfId="13269" xr:uid="{00000000-0005-0000-0000-0000D5330000}"/>
    <cellStyle name="Normal 2 2 2 2 2 9 7" xfId="13270" xr:uid="{00000000-0005-0000-0000-0000D6330000}"/>
    <cellStyle name="Normal 2 2 2 2 2 9 8" xfId="13271" xr:uid="{00000000-0005-0000-0000-0000D7330000}"/>
    <cellStyle name="Normal 2 2 2 2 2 9 9" xfId="13272" xr:uid="{00000000-0005-0000-0000-0000D8330000}"/>
    <cellStyle name="Normal 2 2 2 2 20" xfId="13273" xr:uid="{00000000-0005-0000-0000-0000D9330000}"/>
    <cellStyle name="Normal 2 2 2 2 21" xfId="13274" xr:uid="{00000000-0005-0000-0000-0000DA330000}"/>
    <cellStyle name="Normal 2 2 2 2 22" xfId="13275" xr:uid="{00000000-0005-0000-0000-0000DB330000}"/>
    <cellStyle name="Normal 2 2 2 2 23" xfId="13276" xr:uid="{00000000-0005-0000-0000-0000DC330000}"/>
    <cellStyle name="Normal 2 2 2 2 24" xfId="13277" xr:uid="{00000000-0005-0000-0000-0000DD330000}"/>
    <cellStyle name="Normal 2 2 2 2 25" xfId="13278" xr:uid="{00000000-0005-0000-0000-0000DE330000}"/>
    <cellStyle name="Normal 2 2 2 2 26" xfId="13279" xr:uid="{00000000-0005-0000-0000-0000DF330000}"/>
    <cellStyle name="Normal 2 2 2 2 27" xfId="13280" xr:uid="{00000000-0005-0000-0000-0000E0330000}"/>
    <cellStyle name="Normal 2 2 2 2 28" xfId="13281" xr:uid="{00000000-0005-0000-0000-0000E1330000}"/>
    <cellStyle name="Normal 2 2 2 2 29" xfId="13282" xr:uid="{00000000-0005-0000-0000-0000E2330000}"/>
    <cellStyle name="Normal 2 2 2 2 3" xfId="13283" xr:uid="{00000000-0005-0000-0000-0000E3330000}"/>
    <cellStyle name="Normal 2 2 2 2 3 2" xfId="13284" xr:uid="{00000000-0005-0000-0000-0000E4330000}"/>
    <cellStyle name="Normal 2 2 2 2 3 2 2" xfId="13285" xr:uid="{00000000-0005-0000-0000-0000E5330000}"/>
    <cellStyle name="Normal 2 2 2 2 3 3" xfId="13286" xr:uid="{00000000-0005-0000-0000-0000E6330000}"/>
    <cellStyle name="Normal 2 2 2 2 3 4" xfId="13287" xr:uid="{00000000-0005-0000-0000-0000E7330000}"/>
    <cellStyle name="Normal 2 2 2 2 3 5" xfId="13288" xr:uid="{00000000-0005-0000-0000-0000E8330000}"/>
    <cellStyle name="Normal 2 2 2 2 30" xfId="13289" xr:uid="{00000000-0005-0000-0000-0000E9330000}"/>
    <cellStyle name="Normal 2 2 2 2 31" xfId="13290" xr:uid="{00000000-0005-0000-0000-0000EA330000}"/>
    <cellStyle name="Normal 2 2 2 2 32" xfId="13291" xr:uid="{00000000-0005-0000-0000-0000EB330000}"/>
    <cellStyle name="Normal 2 2 2 2 33" xfId="13292" xr:uid="{00000000-0005-0000-0000-0000EC330000}"/>
    <cellStyle name="Normal 2 2 2 2 34" xfId="13293" xr:uid="{00000000-0005-0000-0000-0000ED330000}"/>
    <cellStyle name="Normal 2 2 2 2 35" xfId="13294" xr:uid="{00000000-0005-0000-0000-0000EE330000}"/>
    <cellStyle name="Normal 2 2 2 2 36" xfId="13295" xr:uid="{00000000-0005-0000-0000-0000EF330000}"/>
    <cellStyle name="Normal 2 2 2 2 37" xfId="13296" xr:uid="{00000000-0005-0000-0000-0000F0330000}"/>
    <cellStyle name="Normal 2 2 2 2 38" xfId="13297" xr:uid="{00000000-0005-0000-0000-0000F1330000}"/>
    <cellStyle name="Normal 2 2 2 2 39" xfId="13298" xr:uid="{00000000-0005-0000-0000-0000F2330000}"/>
    <cellStyle name="Normal 2 2 2 2 4" xfId="13299" xr:uid="{00000000-0005-0000-0000-0000F3330000}"/>
    <cellStyle name="Normal 2 2 2 2 4 10" xfId="13300" xr:uid="{00000000-0005-0000-0000-0000F4330000}"/>
    <cellStyle name="Normal 2 2 2 2 4 10 10" xfId="13301" xr:uid="{00000000-0005-0000-0000-0000F5330000}"/>
    <cellStyle name="Normal 2 2 2 2 4 10 11" xfId="13302" xr:uid="{00000000-0005-0000-0000-0000F6330000}"/>
    <cellStyle name="Normal 2 2 2 2 4 10 12" xfId="13303" xr:uid="{00000000-0005-0000-0000-0000F7330000}"/>
    <cellStyle name="Normal 2 2 2 2 4 10 13" xfId="13304" xr:uid="{00000000-0005-0000-0000-0000F8330000}"/>
    <cellStyle name="Normal 2 2 2 2 4 10 14" xfId="13305" xr:uid="{00000000-0005-0000-0000-0000F9330000}"/>
    <cellStyle name="Normal 2 2 2 2 4 10 2" xfId="13306" xr:uid="{00000000-0005-0000-0000-0000FA330000}"/>
    <cellStyle name="Normal 2 2 2 2 4 10 2 10" xfId="13307" xr:uid="{00000000-0005-0000-0000-0000FB330000}"/>
    <cellStyle name="Normal 2 2 2 2 4 10 2 2" xfId="13308" xr:uid="{00000000-0005-0000-0000-0000FC330000}"/>
    <cellStyle name="Normal 2 2 2 2 4 10 2 3" xfId="13309" xr:uid="{00000000-0005-0000-0000-0000FD330000}"/>
    <cellStyle name="Normal 2 2 2 2 4 10 2 4" xfId="13310" xr:uid="{00000000-0005-0000-0000-0000FE330000}"/>
    <cellStyle name="Normal 2 2 2 2 4 10 2 5" xfId="13311" xr:uid="{00000000-0005-0000-0000-0000FF330000}"/>
    <cellStyle name="Normal 2 2 2 2 4 10 2 6" xfId="13312" xr:uid="{00000000-0005-0000-0000-000000340000}"/>
    <cellStyle name="Normal 2 2 2 2 4 10 2 7" xfId="13313" xr:uid="{00000000-0005-0000-0000-000001340000}"/>
    <cellStyle name="Normal 2 2 2 2 4 10 2 8" xfId="13314" xr:uid="{00000000-0005-0000-0000-000002340000}"/>
    <cellStyle name="Normal 2 2 2 2 4 10 2 9" xfId="13315" xr:uid="{00000000-0005-0000-0000-000003340000}"/>
    <cellStyle name="Normal 2 2 2 2 4 10 3" xfId="13316" xr:uid="{00000000-0005-0000-0000-000004340000}"/>
    <cellStyle name="Normal 2 2 2 2 4 10 3 10" xfId="13317" xr:uid="{00000000-0005-0000-0000-000005340000}"/>
    <cellStyle name="Normal 2 2 2 2 4 10 3 2" xfId="13318" xr:uid="{00000000-0005-0000-0000-000006340000}"/>
    <cellStyle name="Normal 2 2 2 2 4 10 3 3" xfId="13319" xr:uid="{00000000-0005-0000-0000-000007340000}"/>
    <cellStyle name="Normal 2 2 2 2 4 10 3 4" xfId="13320" xr:uid="{00000000-0005-0000-0000-000008340000}"/>
    <cellStyle name="Normal 2 2 2 2 4 10 3 5" xfId="13321" xr:uid="{00000000-0005-0000-0000-000009340000}"/>
    <cellStyle name="Normal 2 2 2 2 4 10 3 6" xfId="13322" xr:uid="{00000000-0005-0000-0000-00000A340000}"/>
    <cellStyle name="Normal 2 2 2 2 4 10 3 7" xfId="13323" xr:uid="{00000000-0005-0000-0000-00000B340000}"/>
    <cellStyle name="Normal 2 2 2 2 4 10 3 8" xfId="13324" xr:uid="{00000000-0005-0000-0000-00000C340000}"/>
    <cellStyle name="Normal 2 2 2 2 4 10 3 9" xfId="13325" xr:uid="{00000000-0005-0000-0000-00000D340000}"/>
    <cellStyle name="Normal 2 2 2 2 4 10 4" xfId="13326" xr:uid="{00000000-0005-0000-0000-00000E340000}"/>
    <cellStyle name="Normal 2 2 2 2 4 10 4 10" xfId="13327" xr:uid="{00000000-0005-0000-0000-00000F340000}"/>
    <cellStyle name="Normal 2 2 2 2 4 10 4 2" xfId="13328" xr:uid="{00000000-0005-0000-0000-000010340000}"/>
    <cellStyle name="Normal 2 2 2 2 4 10 4 3" xfId="13329" xr:uid="{00000000-0005-0000-0000-000011340000}"/>
    <cellStyle name="Normal 2 2 2 2 4 10 4 4" xfId="13330" xr:uid="{00000000-0005-0000-0000-000012340000}"/>
    <cellStyle name="Normal 2 2 2 2 4 10 4 5" xfId="13331" xr:uid="{00000000-0005-0000-0000-000013340000}"/>
    <cellStyle name="Normal 2 2 2 2 4 10 4 6" xfId="13332" xr:uid="{00000000-0005-0000-0000-000014340000}"/>
    <cellStyle name="Normal 2 2 2 2 4 10 4 7" xfId="13333" xr:uid="{00000000-0005-0000-0000-000015340000}"/>
    <cellStyle name="Normal 2 2 2 2 4 10 4 8" xfId="13334" xr:uid="{00000000-0005-0000-0000-000016340000}"/>
    <cellStyle name="Normal 2 2 2 2 4 10 4 9" xfId="13335" xr:uid="{00000000-0005-0000-0000-000017340000}"/>
    <cellStyle name="Normal 2 2 2 2 4 10 5" xfId="13336" xr:uid="{00000000-0005-0000-0000-000018340000}"/>
    <cellStyle name="Normal 2 2 2 2 4 10 5 10" xfId="13337" xr:uid="{00000000-0005-0000-0000-000019340000}"/>
    <cellStyle name="Normal 2 2 2 2 4 10 5 2" xfId="13338" xr:uid="{00000000-0005-0000-0000-00001A340000}"/>
    <cellStyle name="Normal 2 2 2 2 4 10 5 3" xfId="13339" xr:uid="{00000000-0005-0000-0000-00001B340000}"/>
    <cellStyle name="Normal 2 2 2 2 4 10 5 4" xfId="13340" xr:uid="{00000000-0005-0000-0000-00001C340000}"/>
    <cellStyle name="Normal 2 2 2 2 4 10 5 5" xfId="13341" xr:uid="{00000000-0005-0000-0000-00001D340000}"/>
    <cellStyle name="Normal 2 2 2 2 4 10 5 6" xfId="13342" xr:uid="{00000000-0005-0000-0000-00001E340000}"/>
    <cellStyle name="Normal 2 2 2 2 4 10 5 7" xfId="13343" xr:uid="{00000000-0005-0000-0000-00001F340000}"/>
    <cellStyle name="Normal 2 2 2 2 4 10 5 8" xfId="13344" xr:uid="{00000000-0005-0000-0000-000020340000}"/>
    <cellStyle name="Normal 2 2 2 2 4 10 5 9" xfId="13345" xr:uid="{00000000-0005-0000-0000-000021340000}"/>
    <cellStyle name="Normal 2 2 2 2 4 10 6" xfId="13346" xr:uid="{00000000-0005-0000-0000-000022340000}"/>
    <cellStyle name="Normal 2 2 2 2 4 10 7" xfId="13347" xr:uid="{00000000-0005-0000-0000-000023340000}"/>
    <cellStyle name="Normal 2 2 2 2 4 10 8" xfId="13348" xr:uid="{00000000-0005-0000-0000-000024340000}"/>
    <cellStyle name="Normal 2 2 2 2 4 10 9" xfId="13349" xr:uid="{00000000-0005-0000-0000-000025340000}"/>
    <cellStyle name="Normal 2 2 2 2 4 11" xfId="13350" xr:uid="{00000000-0005-0000-0000-000026340000}"/>
    <cellStyle name="Normal 2 2 2 2 4 11 10" xfId="13351" xr:uid="{00000000-0005-0000-0000-000027340000}"/>
    <cellStyle name="Normal 2 2 2 2 4 11 11" xfId="13352" xr:uid="{00000000-0005-0000-0000-000028340000}"/>
    <cellStyle name="Normal 2 2 2 2 4 11 12" xfId="13353" xr:uid="{00000000-0005-0000-0000-000029340000}"/>
    <cellStyle name="Normal 2 2 2 2 4 11 13" xfId="13354" xr:uid="{00000000-0005-0000-0000-00002A340000}"/>
    <cellStyle name="Normal 2 2 2 2 4 11 14" xfId="13355" xr:uid="{00000000-0005-0000-0000-00002B340000}"/>
    <cellStyle name="Normal 2 2 2 2 4 11 2" xfId="13356" xr:uid="{00000000-0005-0000-0000-00002C340000}"/>
    <cellStyle name="Normal 2 2 2 2 4 11 2 10" xfId="13357" xr:uid="{00000000-0005-0000-0000-00002D340000}"/>
    <cellStyle name="Normal 2 2 2 2 4 11 2 2" xfId="13358" xr:uid="{00000000-0005-0000-0000-00002E340000}"/>
    <cellStyle name="Normal 2 2 2 2 4 11 2 3" xfId="13359" xr:uid="{00000000-0005-0000-0000-00002F340000}"/>
    <cellStyle name="Normal 2 2 2 2 4 11 2 4" xfId="13360" xr:uid="{00000000-0005-0000-0000-000030340000}"/>
    <cellStyle name="Normal 2 2 2 2 4 11 2 5" xfId="13361" xr:uid="{00000000-0005-0000-0000-000031340000}"/>
    <cellStyle name="Normal 2 2 2 2 4 11 2 6" xfId="13362" xr:uid="{00000000-0005-0000-0000-000032340000}"/>
    <cellStyle name="Normal 2 2 2 2 4 11 2 7" xfId="13363" xr:uid="{00000000-0005-0000-0000-000033340000}"/>
    <cellStyle name="Normal 2 2 2 2 4 11 2 8" xfId="13364" xr:uid="{00000000-0005-0000-0000-000034340000}"/>
    <cellStyle name="Normal 2 2 2 2 4 11 2 9" xfId="13365" xr:uid="{00000000-0005-0000-0000-000035340000}"/>
    <cellStyle name="Normal 2 2 2 2 4 11 3" xfId="13366" xr:uid="{00000000-0005-0000-0000-000036340000}"/>
    <cellStyle name="Normal 2 2 2 2 4 11 3 10" xfId="13367" xr:uid="{00000000-0005-0000-0000-000037340000}"/>
    <cellStyle name="Normal 2 2 2 2 4 11 3 2" xfId="13368" xr:uid="{00000000-0005-0000-0000-000038340000}"/>
    <cellStyle name="Normal 2 2 2 2 4 11 3 3" xfId="13369" xr:uid="{00000000-0005-0000-0000-000039340000}"/>
    <cellStyle name="Normal 2 2 2 2 4 11 3 4" xfId="13370" xr:uid="{00000000-0005-0000-0000-00003A340000}"/>
    <cellStyle name="Normal 2 2 2 2 4 11 3 5" xfId="13371" xr:uid="{00000000-0005-0000-0000-00003B340000}"/>
    <cellStyle name="Normal 2 2 2 2 4 11 3 6" xfId="13372" xr:uid="{00000000-0005-0000-0000-00003C340000}"/>
    <cellStyle name="Normal 2 2 2 2 4 11 3 7" xfId="13373" xr:uid="{00000000-0005-0000-0000-00003D340000}"/>
    <cellStyle name="Normal 2 2 2 2 4 11 3 8" xfId="13374" xr:uid="{00000000-0005-0000-0000-00003E340000}"/>
    <cellStyle name="Normal 2 2 2 2 4 11 3 9" xfId="13375" xr:uid="{00000000-0005-0000-0000-00003F340000}"/>
    <cellStyle name="Normal 2 2 2 2 4 11 4" xfId="13376" xr:uid="{00000000-0005-0000-0000-000040340000}"/>
    <cellStyle name="Normal 2 2 2 2 4 11 4 10" xfId="13377" xr:uid="{00000000-0005-0000-0000-000041340000}"/>
    <cellStyle name="Normal 2 2 2 2 4 11 4 2" xfId="13378" xr:uid="{00000000-0005-0000-0000-000042340000}"/>
    <cellStyle name="Normal 2 2 2 2 4 11 4 3" xfId="13379" xr:uid="{00000000-0005-0000-0000-000043340000}"/>
    <cellStyle name="Normal 2 2 2 2 4 11 4 4" xfId="13380" xr:uid="{00000000-0005-0000-0000-000044340000}"/>
    <cellStyle name="Normal 2 2 2 2 4 11 4 5" xfId="13381" xr:uid="{00000000-0005-0000-0000-000045340000}"/>
    <cellStyle name="Normal 2 2 2 2 4 11 4 6" xfId="13382" xr:uid="{00000000-0005-0000-0000-000046340000}"/>
    <cellStyle name="Normal 2 2 2 2 4 11 4 7" xfId="13383" xr:uid="{00000000-0005-0000-0000-000047340000}"/>
    <cellStyle name="Normal 2 2 2 2 4 11 4 8" xfId="13384" xr:uid="{00000000-0005-0000-0000-000048340000}"/>
    <cellStyle name="Normal 2 2 2 2 4 11 4 9" xfId="13385" xr:uid="{00000000-0005-0000-0000-000049340000}"/>
    <cellStyle name="Normal 2 2 2 2 4 11 5" xfId="13386" xr:uid="{00000000-0005-0000-0000-00004A340000}"/>
    <cellStyle name="Normal 2 2 2 2 4 11 5 10" xfId="13387" xr:uid="{00000000-0005-0000-0000-00004B340000}"/>
    <cellStyle name="Normal 2 2 2 2 4 11 5 2" xfId="13388" xr:uid="{00000000-0005-0000-0000-00004C340000}"/>
    <cellStyle name="Normal 2 2 2 2 4 11 5 3" xfId="13389" xr:uid="{00000000-0005-0000-0000-00004D340000}"/>
    <cellStyle name="Normal 2 2 2 2 4 11 5 4" xfId="13390" xr:uid="{00000000-0005-0000-0000-00004E340000}"/>
    <cellStyle name="Normal 2 2 2 2 4 11 5 5" xfId="13391" xr:uid="{00000000-0005-0000-0000-00004F340000}"/>
    <cellStyle name="Normal 2 2 2 2 4 11 5 6" xfId="13392" xr:uid="{00000000-0005-0000-0000-000050340000}"/>
    <cellStyle name="Normal 2 2 2 2 4 11 5 7" xfId="13393" xr:uid="{00000000-0005-0000-0000-000051340000}"/>
    <cellStyle name="Normal 2 2 2 2 4 11 5 8" xfId="13394" xr:uid="{00000000-0005-0000-0000-000052340000}"/>
    <cellStyle name="Normal 2 2 2 2 4 11 5 9" xfId="13395" xr:uid="{00000000-0005-0000-0000-000053340000}"/>
    <cellStyle name="Normal 2 2 2 2 4 11 6" xfId="13396" xr:uid="{00000000-0005-0000-0000-000054340000}"/>
    <cellStyle name="Normal 2 2 2 2 4 11 7" xfId="13397" xr:uid="{00000000-0005-0000-0000-000055340000}"/>
    <cellStyle name="Normal 2 2 2 2 4 11 8" xfId="13398" xr:uid="{00000000-0005-0000-0000-000056340000}"/>
    <cellStyle name="Normal 2 2 2 2 4 11 9" xfId="13399" xr:uid="{00000000-0005-0000-0000-000057340000}"/>
    <cellStyle name="Normal 2 2 2 2 4 12" xfId="13400" xr:uid="{00000000-0005-0000-0000-000058340000}"/>
    <cellStyle name="Normal 2 2 2 2 4 12 10" xfId="13401" xr:uid="{00000000-0005-0000-0000-000059340000}"/>
    <cellStyle name="Normal 2 2 2 2 4 12 11" xfId="13402" xr:uid="{00000000-0005-0000-0000-00005A340000}"/>
    <cellStyle name="Normal 2 2 2 2 4 12 12" xfId="13403" xr:uid="{00000000-0005-0000-0000-00005B340000}"/>
    <cellStyle name="Normal 2 2 2 2 4 12 13" xfId="13404" xr:uid="{00000000-0005-0000-0000-00005C340000}"/>
    <cellStyle name="Normal 2 2 2 2 4 12 14" xfId="13405" xr:uid="{00000000-0005-0000-0000-00005D340000}"/>
    <cellStyle name="Normal 2 2 2 2 4 12 2" xfId="13406" xr:uid="{00000000-0005-0000-0000-00005E340000}"/>
    <cellStyle name="Normal 2 2 2 2 4 12 2 10" xfId="13407" xr:uid="{00000000-0005-0000-0000-00005F340000}"/>
    <cellStyle name="Normal 2 2 2 2 4 12 2 2" xfId="13408" xr:uid="{00000000-0005-0000-0000-000060340000}"/>
    <cellStyle name="Normal 2 2 2 2 4 12 2 3" xfId="13409" xr:uid="{00000000-0005-0000-0000-000061340000}"/>
    <cellStyle name="Normal 2 2 2 2 4 12 2 4" xfId="13410" xr:uid="{00000000-0005-0000-0000-000062340000}"/>
    <cellStyle name="Normal 2 2 2 2 4 12 2 5" xfId="13411" xr:uid="{00000000-0005-0000-0000-000063340000}"/>
    <cellStyle name="Normal 2 2 2 2 4 12 2 6" xfId="13412" xr:uid="{00000000-0005-0000-0000-000064340000}"/>
    <cellStyle name="Normal 2 2 2 2 4 12 2 7" xfId="13413" xr:uid="{00000000-0005-0000-0000-000065340000}"/>
    <cellStyle name="Normal 2 2 2 2 4 12 2 8" xfId="13414" xr:uid="{00000000-0005-0000-0000-000066340000}"/>
    <cellStyle name="Normal 2 2 2 2 4 12 2 9" xfId="13415" xr:uid="{00000000-0005-0000-0000-000067340000}"/>
    <cellStyle name="Normal 2 2 2 2 4 12 3" xfId="13416" xr:uid="{00000000-0005-0000-0000-000068340000}"/>
    <cellStyle name="Normal 2 2 2 2 4 12 3 10" xfId="13417" xr:uid="{00000000-0005-0000-0000-000069340000}"/>
    <cellStyle name="Normal 2 2 2 2 4 12 3 2" xfId="13418" xr:uid="{00000000-0005-0000-0000-00006A340000}"/>
    <cellStyle name="Normal 2 2 2 2 4 12 3 3" xfId="13419" xr:uid="{00000000-0005-0000-0000-00006B340000}"/>
    <cellStyle name="Normal 2 2 2 2 4 12 3 4" xfId="13420" xr:uid="{00000000-0005-0000-0000-00006C340000}"/>
    <cellStyle name="Normal 2 2 2 2 4 12 3 5" xfId="13421" xr:uid="{00000000-0005-0000-0000-00006D340000}"/>
    <cellStyle name="Normal 2 2 2 2 4 12 3 6" xfId="13422" xr:uid="{00000000-0005-0000-0000-00006E340000}"/>
    <cellStyle name="Normal 2 2 2 2 4 12 3 7" xfId="13423" xr:uid="{00000000-0005-0000-0000-00006F340000}"/>
    <cellStyle name="Normal 2 2 2 2 4 12 3 8" xfId="13424" xr:uid="{00000000-0005-0000-0000-000070340000}"/>
    <cellStyle name="Normal 2 2 2 2 4 12 3 9" xfId="13425" xr:uid="{00000000-0005-0000-0000-000071340000}"/>
    <cellStyle name="Normal 2 2 2 2 4 12 4" xfId="13426" xr:uid="{00000000-0005-0000-0000-000072340000}"/>
    <cellStyle name="Normal 2 2 2 2 4 12 4 10" xfId="13427" xr:uid="{00000000-0005-0000-0000-000073340000}"/>
    <cellStyle name="Normal 2 2 2 2 4 12 4 2" xfId="13428" xr:uid="{00000000-0005-0000-0000-000074340000}"/>
    <cellStyle name="Normal 2 2 2 2 4 12 4 3" xfId="13429" xr:uid="{00000000-0005-0000-0000-000075340000}"/>
    <cellStyle name="Normal 2 2 2 2 4 12 4 4" xfId="13430" xr:uid="{00000000-0005-0000-0000-000076340000}"/>
    <cellStyle name="Normal 2 2 2 2 4 12 4 5" xfId="13431" xr:uid="{00000000-0005-0000-0000-000077340000}"/>
    <cellStyle name="Normal 2 2 2 2 4 12 4 6" xfId="13432" xr:uid="{00000000-0005-0000-0000-000078340000}"/>
    <cellStyle name="Normal 2 2 2 2 4 12 4 7" xfId="13433" xr:uid="{00000000-0005-0000-0000-000079340000}"/>
    <cellStyle name="Normal 2 2 2 2 4 12 4 8" xfId="13434" xr:uid="{00000000-0005-0000-0000-00007A340000}"/>
    <cellStyle name="Normal 2 2 2 2 4 12 4 9" xfId="13435" xr:uid="{00000000-0005-0000-0000-00007B340000}"/>
    <cellStyle name="Normal 2 2 2 2 4 12 5" xfId="13436" xr:uid="{00000000-0005-0000-0000-00007C340000}"/>
    <cellStyle name="Normal 2 2 2 2 4 12 5 10" xfId="13437" xr:uid="{00000000-0005-0000-0000-00007D340000}"/>
    <cellStyle name="Normal 2 2 2 2 4 12 5 2" xfId="13438" xr:uid="{00000000-0005-0000-0000-00007E340000}"/>
    <cellStyle name="Normal 2 2 2 2 4 12 5 3" xfId="13439" xr:uid="{00000000-0005-0000-0000-00007F340000}"/>
    <cellStyle name="Normal 2 2 2 2 4 12 5 4" xfId="13440" xr:uid="{00000000-0005-0000-0000-000080340000}"/>
    <cellStyle name="Normal 2 2 2 2 4 12 5 5" xfId="13441" xr:uid="{00000000-0005-0000-0000-000081340000}"/>
    <cellStyle name="Normal 2 2 2 2 4 12 5 6" xfId="13442" xr:uid="{00000000-0005-0000-0000-000082340000}"/>
    <cellStyle name="Normal 2 2 2 2 4 12 5 7" xfId="13443" xr:uid="{00000000-0005-0000-0000-000083340000}"/>
    <cellStyle name="Normal 2 2 2 2 4 12 5 8" xfId="13444" xr:uid="{00000000-0005-0000-0000-000084340000}"/>
    <cellStyle name="Normal 2 2 2 2 4 12 5 9" xfId="13445" xr:uid="{00000000-0005-0000-0000-000085340000}"/>
    <cellStyle name="Normal 2 2 2 2 4 12 6" xfId="13446" xr:uid="{00000000-0005-0000-0000-000086340000}"/>
    <cellStyle name="Normal 2 2 2 2 4 12 7" xfId="13447" xr:uid="{00000000-0005-0000-0000-000087340000}"/>
    <cellStyle name="Normal 2 2 2 2 4 12 8" xfId="13448" xr:uid="{00000000-0005-0000-0000-000088340000}"/>
    <cellStyle name="Normal 2 2 2 2 4 12 9" xfId="13449" xr:uid="{00000000-0005-0000-0000-000089340000}"/>
    <cellStyle name="Normal 2 2 2 2 4 13" xfId="13450" xr:uid="{00000000-0005-0000-0000-00008A340000}"/>
    <cellStyle name="Normal 2 2 2 2 4 13 10" xfId="13451" xr:uid="{00000000-0005-0000-0000-00008B340000}"/>
    <cellStyle name="Normal 2 2 2 2 4 13 11" xfId="13452" xr:uid="{00000000-0005-0000-0000-00008C340000}"/>
    <cellStyle name="Normal 2 2 2 2 4 13 12" xfId="13453" xr:uid="{00000000-0005-0000-0000-00008D340000}"/>
    <cellStyle name="Normal 2 2 2 2 4 13 13" xfId="13454" xr:uid="{00000000-0005-0000-0000-00008E340000}"/>
    <cellStyle name="Normal 2 2 2 2 4 13 14" xfId="13455" xr:uid="{00000000-0005-0000-0000-00008F340000}"/>
    <cellStyle name="Normal 2 2 2 2 4 13 2" xfId="13456" xr:uid="{00000000-0005-0000-0000-000090340000}"/>
    <cellStyle name="Normal 2 2 2 2 4 13 2 10" xfId="13457" xr:uid="{00000000-0005-0000-0000-000091340000}"/>
    <cellStyle name="Normal 2 2 2 2 4 13 2 2" xfId="13458" xr:uid="{00000000-0005-0000-0000-000092340000}"/>
    <cellStyle name="Normal 2 2 2 2 4 13 2 3" xfId="13459" xr:uid="{00000000-0005-0000-0000-000093340000}"/>
    <cellStyle name="Normal 2 2 2 2 4 13 2 4" xfId="13460" xr:uid="{00000000-0005-0000-0000-000094340000}"/>
    <cellStyle name="Normal 2 2 2 2 4 13 2 5" xfId="13461" xr:uid="{00000000-0005-0000-0000-000095340000}"/>
    <cellStyle name="Normal 2 2 2 2 4 13 2 6" xfId="13462" xr:uid="{00000000-0005-0000-0000-000096340000}"/>
    <cellStyle name="Normal 2 2 2 2 4 13 2 7" xfId="13463" xr:uid="{00000000-0005-0000-0000-000097340000}"/>
    <cellStyle name="Normal 2 2 2 2 4 13 2 8" xfId="13464" xr:uid="{00000000-0005-0000-0000-000098340000}"/>
    <cellStyle name="Normal 2 2 2 2 4 13 2 9" xfId="13465" xr:uid="{00000000-0005-0000-0000-000099340000}"/>
    <cellStyle name="Normal 2 2 2 2 4 13 3" xfId="13466" xr:uid="{00000000-0005-0000-0000-00009A340000}"/>
    <cellStyle name="Normal 2 2 2 2 4 13 3 10" xfId="13467" xr:uid="{00000000-0005-0000-0000-00009B340000}"/>
    <cellStyle name="Normal 2 2 2 2 4 13 3 2" xfId="13468" xr:uid="{00000000-0005-0000-0000-00009C340000}"/>
    <cellStyle name="Normal 2 2 2 2 4 13 3 3" xfId="13469" xr:uid="{00000000-0005-0000-0000-00009D340000}"/>
    <cellStyle name="Normal 2 2 2 2 4 13 3 4" xfId="13470" xr:uid="{00000000-0005-0000-0000-00009E340000}"/>
    <cellStyle name="Normal 2 2 2 2 4 13 3 5" xfId="13471" xr:uid="{00000000-0005-0000-0000-00009F340000}"/>
    <cellStyle name="Normal 2 2 2 2 4 13 3 6" xfId="13472" xr:uid="{00000000-0005-0000-0000-0000A0340000}"/>
    <cellStyle name="Normal 2 2 2 2 4 13 3 7" xfId="13473" xr:uid="{00000000-0005-0000-0000-0000A1340000}"/>
    <cellStyle name="Normal 2 2 2 2 4 13 3 8" xfId="13474" xr:uid="{00000000-0005-0000-0000-0000A2340000}"/>
    <cellStyle name="Normal 2 2 2 2 4 13 3 9" xfId="13475" xr:uid="{00000000-0005-0000-0000-0000A3340000}"/>
    <cellStyle name="Normal 2 2 2 2 4 13 4" xfId="13476" xr:uid="{00000000-0005-0000-0000-0000A4340000}"/>
    <cellStyle name="Normal 2 2 2 2 4 13 4 10" xfId="13477" xr:uid="{00000000-0005-0000-0000-0000A5340000}"/>
    <cellStyle name="Normal 2 2 2 2 4 13 4 2" xfId="13478" xr:uid="{00000000-0005-0000-0000-0000A6340000}"/>
    <cellStyle name="Normal 2 2 2 2 4 13 4 3" xfId="13479" xr:uid="{00000000-0005-0000-0000-0000A7340000}"/>
    <cellStyle name="Normal 2 2 2 2 4 13 4 4" xfId="13480" xr:uid="{00000000-0005-0000-0000-0000A8340000}"/>
    <cellStyle name="Normal 2 2 2 2 4 13 4 5" xfId="13481" xr:uid="{00000000-0005-0000-0000-0000A9340000}"/>
    <cellStyle name="Normal 2 2 2 2 4 13 4 6" xfId="13482" xr:uid="{00000000-0005-0000-0000-0000AA340000}"/>
    <cellStyle name="Normal 2 2 2 2 4 13 4 7" xfId="13483" xr:uid="{00000000-0005-0000-0000-0000AB340000}"/>
    <cellStyle name="Normal 2 2 2 2 4 13 4 8" xfId="13484" xr:uid="{00000000-0005-0000-0000-0000AC340000}"/>
    <cellStyle name="Normal 2 2 2 2 4 13 4 9" xfId="13485" xr:uid="{00000000-0005-0000-0000-0000AD340000}"/>
    <cellStyle name="Normal 2 2 2 2 4 13 5" xfId="13486" xr:uid="{00000000-0005-0000-0000-0000AE340000}"/>
    <cellStyle name="Normal 2 2 2 2 4 13 5 10" xfId="13487" xr:uid="{00000000-0005-0000-0000-0000AF340000}"/>
    <cellStyle name="Normal 2 2 2 2 4 13 5 2" xfId="13488" xr:uid="{00000000-0005-0000-0000-0000B0340000}"/>
    <cellStyle name="Normal 2 2 2 2 4 13 5 3" xfId="13489" xr:uid="{00000000-0005-0000-0000-0000B1340000}"/>
    <cellStyle name="Normal 2 2 2 2 4 13 5 4" xfId="13490" xr:uid="{00000000-0005-0000-0000-0000B2340000}"/>
    <cellStyle name="Normal 2 2 2 2 4 13 5 5" xfId="13491" xr:uid="{00000000-0005-0000-0000-0000B3340000}"/>
    <cellStyle name="Normal 2 2 2 2 4 13 5 6" xfId="13492" xr:uid="{00000000-0005-0000-0000-0000B4340000}"/>
    <cellStyle name="Normal 2 2 2 2 4 13 5 7" xfId="13493" xr:uid="{00000000-0005-0000-0000-0000B5340000}"/>
    <cellStyle name="Normal 2 2 2 2 4 13 5 8" xfId="13494" xr:uid="{00000000-0005-0000-0000-0000B6340000}"/>
    <cellStyle name="Normal 2 2 2 2 4 13 5 9" xfId="13495" xr:uid="{00000000-0005-0000-0000-0000B7340000}"/>
    <cellStyle name="Normal 2 2 2 2 4 13 6" xfId="13496" xr:uid="{00000000-0005-0000-0000-0000B8340000}"/>
    <cellStyle name="Normal 2 2 2 2 4 13 7" xfId="13497" xr:uid="{00000000-0005-0000-0000-0000B9340000}"/>
    <cellStyle name="Normal 2 2 2 2 4 13 8" xfId="13498" xr:uid="{00000000-0005-0000-0000-0000BA340000}"/>
    <cellStyle name="Normal 2 2 2 2 4 13 9" xfId="13499" xr:uid="{00000000-0005-0000-0000-0000BB340000}"/>
    <cellStyle name="Normal 2 2 2 2 4 14" xfId="13500" xr:uid="{00000000-0005-0000-0000-0000BC340000}"/>
    <cellStyle name="Normal 2 2 2 2 4 14 10" xfId="13501" xr:uid="{00000000-0005-0000-0000-0000BD340000}"/>
    <cellStyle name="Normal 2 2 2 2 4 14 11" xfId="13502" xr:uid="{00000000-0005-0000-0000-0000BE340000}"/>
    <cellStyle name="Normal 2 2 2 2 4 14 12" xfId="13503" xr:uid="{00000000-0005-0000-0000-0000BF340000}"/>
    <cellStyle name="Normal 2 2 2 2 4 14 13" xfId="13504" xr:uid="{00000000-0005-0000-0000-0000C0340000}"/>
    <cellStyle name="Normal 2 2 2 2 4 14 14" xfId="13505" xr:uid="{00000000-0005-0000-0000-0000C1340000}"/>
    <cellStyle name="Normal 2 2 2 2 4 14 2" xfId="13506" xr:uid="{00000000-0005-0000-0000-0000C2340000}"/>
    <cellStyle name="Normal 2 2 2 2 4 14 2 10" xfId="13507" xr:uid="{00000000-0005-0000-0000-0000C3340000}"/>
    <cellStyle name="Normal 2 2 2 2 4 14 2 2" xfId="13508" xr:uid="{00000000-0005-0000-0000-0000C4340000}"/>
    <cellStyle name="Normal 2 2 2 2 4 14 2 3" xfId="13509" xr:uid="{00000000-0005-0000-0000-0000C5340000}"/>
    <cellStyle name="Normal 2 2 2 2 4 14 2 4" xfId="13510" xr:uid="{00000000-0005-0000-0000-0000C6340000}"/>
    <cellStyle name="Normal 2 2 2 2 4 14 2 5" xfId="13511" xr:uid="{00000000-0005-0000-0000-0000C7340000}"/>
    <cellStyle name="Normal 2 2 2 2 4 14 2 6" xfId="13512" xr:uid="{00000000-0005-0000-0000-0000C8340000}"/>
    <cellStyle name="Normal 2 2 2 2 4 14 2 7" xfId="13513" xr:uid="{00000000-0005-0000-0000-0000C9340000}"/>
    <cellStyle name="Normal 2 2 2 2 4 14 2 8" xfId="13514" xr:uid="{00000000-0005-0000-0000-0000CA340000}"/>
    <cellStyle name="Normal 2 2 2 2 4 14 2 9" xfId="13515" xr:uid="{00000000-0005-0000-0000-0000CB340000}"/>
    <cellStyle name="Normal 2 2 2 2 4 14 3" xfId="13516" xr:uid="{00000000-0005-0000-0000-0000CC340000}"/>
    <cellStyle name="Normal 2 2 2 2 4 14 3 10" xfId="13517" xr:uid="{00000000-0005-0000-0000-0000CD340000}"/>
    <cellStyle name="Normal 2 2 2 2 4 14 3 2" xfId="13518" xr:uid="{00000000-0005-0000-0000-0000CE340000}"/>
    <cellStyle name="Normal 2 2 2 2 4 14 3 3" xfId="13519" xr:uid="{00000000-0005-0000-0000-0000CF340000}"/>
    <cellStyle name="Normal 2 2 2 2 4 14 3 4" xfId="13520" xr:uid="{00000000-0005-0000-0000-0000D0340000}"/>
    <cellStyle name="Normal 2 2 2 2 4 14 3 5" xfId="13521" xr:uid="{00000000-0005-0000-0000-0000D1340000}"/>
    <cellStyle name="Normal 2 2 2 2 4 14 3 6" xfId="13522" xr:uid="{00000000-0005-0000-0000-0000D2340000}"/>
    <cellStyle name="Normal 2 2 2 2 4 14 3 7" xfId="13523" xr:uid="{00000000-0005-0000-0000-0000D3340000}"/>
    <cellStyle name="Normal 2 2 2 2 4 14 3 8" xfId="13524" xr:uid="{00000000-0005-0000-0000-0000D4340000}"/>
    <cellStyle name="Normal 2 2 2 2 4 14 3 9" xfId="13525" xr:uid="{00000000-0005-0000-0000-0000D5340000}"/>
    <cellStyle name="Normal 2 2 2 2 4 14 4" xfId="13526" xr:uid="{00000000-0005-0000-0000-0000D6340000}"/>
    <cellStyle name="Normal 2 2 2 2 4 14 4 10" xfId="13527" xr:uid="{00000000-0005-0000-0000-0000D7340000}"/>
    <cellStyle name="Normal 2 2 2 2 4 14 4 2" xfId="13528" xr:uid="{00000000-0005-0000-0000-0000D8340000}"/>
    <cellStyle name="Normal 2 2 2 2 4 14 4 3" xfId="13529" xr:uid="{00000000-0005-0000-0000-0000D9340000}"/>
    <cellStyle name="Normal 2 2 2 2 4 14 4 4" xfId="13530" xr:uid="{00000000-0005-0000-0000-0000DA340000}"/>
    <cellStyle name="Normal 2 2 2 2 4 14 4 5" xfId="13531" xr:uid="{00000000-0005-0000-0000-0000DB340000}"/>
    <cellStyle name="Normal 2 2 2 2 4 14 4 6" xfId="13532" xr:uid="{00000000-0005-0000-0000-0000DC340000}"/>
    <cellStyle name="Normal 2 2 2 2 4 14 4 7" xfId="13533" xr:uid="{00000000-0005-0000-0000-0000DD340000}"/>
    <cellStyle name="Normal 2 2 2 2 4 14 4 8" xfId="13534" xr:uid="{00000000-0005-0000-0000-0000DE340000}"/>
    <cellStyle name="Normal 2 2 2 2 4 14 4 9" xfId="13535" xr:uid="{00000000-0005-0000-0000-0000DF340000}"/>
    <cellStyle name="Normal 2 2 2 2 4 14 5" xfId="13536" xr:uid="{00000000-0005-0000-0000-0000E0340000}"/>
    <cellStyle name="Normal 2 2 2 2 4 14 5 10" xfId="13537" xr:uid="{00000000-0005-0000-0000-0000E1340000}"/>
    <cellStyle name="Normal 2 2 2 2 4 14 5 2" xfId="13538" xr:uid="{00000000-0005-0000-0000-0000E2340000}"/>
    <cellStyle name="Normal 2 2 2 2 4 14 5 3" xfId="13539" xr:uid="{00000000-0005-0000-0000-0000E3340000}"/>
    <cellStyle name="Normal 2 2 2 2 4 14 5 4" xfId="13540" xr:uid="{00000000-0005-0000-0000-0000E4340000}"/>
    <cellStyle name="Normal 2 2 2 2 4 14 5 5" xfId="13541" xr:uid="{00000000-0005-0000-0000-0000E5340000}"/>
    <cellStyle name="Normal 2 2 2 2 4 14 5 6" xfId="13542" xr:uid="{00000000-0005-0000-0000-0000E6340000}"/>
    <cellStyle name="Normal 2 2 2 2 4 14 5 7" xfId="13543" xr:uid="{00000000-0005-0000-0000-0000E7340000}"/>
    <cellStyle name="Normal 2 2 2 2 4 14 5 8" xfId="13544" xr:uid="{00000000-0005-0000-0000-0000E8340000}"/>
    <cellStyle name="Normal 2 2 2 2 4 14 5 9" xfId="13545" xr:uid="{00000000-0005-0000-0000-0000E9340000}"/>
    <cellStyle name="Normal 2 2 2 2 4 14 6" xfId="13546" xr:uid="{00000000-0005-0000-0000-0000EA340000}"/>
    <cellStyle name="Normal 2 2 2 2 4 14 7" xfId="13547" xr:uid="{00000000-0005-0000-0000-0000EB340000}"/>
    <cellStyle name="Normal 2 2 2 2 4 14 8" xfId="13548" xr:uid="{00000000-0005-0000-0000-0000EC340000}"/>
    <cellStyle name="Normal 2 2 2 2 4 14 9" xfId="13549" xr:uid="{00000000-0005-0000-0000-0000ED340000}"/>
    <cellStyle name="Normal 2 2 2 2 4 15" xfId="13550" xr:uid="{00000000-0005-0000-0000-0000EE340000}"/>
    <cellStyle name="Normal 2 2 2 2 4 15 10" xfId="13551" xr:uid="{00000000-0005-0000-0000-0000EF340000}"/>
    <cellStyle name="Normal 2 2 2 2 4 15 11" xfId="13552" xr:uid="{00000000-0005-0000-0000-0000F0340000}"/>
    <cellStyle name="Normal 2 2 2 2 4 15 12" xfId="13553" xr:uid="{00000000-0005-0000-0000-0000F1340000}"/>
    <cellStyle name="Normal 2 2 2 2 4 15 13" xfId="13554" xr:uid="{00000000-0005-0000-0000-0000F2340000}"/>
    <cellStyle name="Normal 2 2 2 2 4 15 14" xfId="13555" xr:uid="{00000000-0005-0000-0000-0000F3340000}"/>
    <cellStyle name="Normal 2 2 2 2 4 15 2" xfId="13556" xr:uid="{00000000-0005-0000-0000-0000F4340000}"/>
    <cellStyle name="Normal 2 2 2 2 4 15 2 10" xfId="13557" xr:uid="{00000000-0005-0000-0000-0000F5340000}"/>
    <cellStyle name="Normal 2 2 2 2 4 15 2 2" xfId="13558" xr:uid="{00000000-0005-0000-0000-0000F6340000}"/>
    <cellStyle name="Normal 2 2 2 2 4 15 2 3" xfId="13559" xr:uid="{00000000-0005-0000-0000-0000F7340000}"/>
    <cellStyle name="Normal 2 2 2 2 4 15 2 4" xfId="13560" xr:uid="{00000000-0005-0000-0000-0000F8340000}"/>
    <cellStyle name="Normal 2 2 2 2 4 15 2 5" xfId="13561" xr:uid="{00000000-0005-0000-0000-0000F9340000}"/>
    <cellStyle name="Normal 2 2 2 2 4 15 2 6" xfId="13562" xr:uid="{00000000-0005-0000-0000-0000FA340000}"/>
    <cellStyle name="Normal 2 2 2 2 4 15 2 7" xfId="13563" xr:uid="{00000000-0005-0000-0000-0000FB340000}"/>
    <cellStyle name="Normal 2 2 2 2 4 15 2 8" xfId="13564" xr:uid="{00000000-0005-0000-0000-0000FC340000}"/>
    <cellStyle name="Normal 2 2 2 2 4 15 2 9" xfId="13565" xr:uid="{00000000-0005-0000-0000-0000FD340000}"/>
    <cellStyle name="Normal 2 2 2 2 4 15 3" xfId="13566" xr:uid="{00000000-0005-0000-0000-0000FE340000}"/>
    <cellStyle name="Normal 2 2 2 2 4 15 3 10" xfId="13567" xr:uid="{00000000-0005-0000-0000-0000FF340000}"/>
    <cellStyle name="Normal 2 2 2 2 4 15 3 2" xfId="13568" xr:uid="{00000000-0005-0000-0000-000000350000}"/>
    <cellStyle name="Normal 2 2 2 2 4 15 3 3" xfId="13569" xr:uid="{00000000-0005-0000-0000-000001350000}"/>
    <cellStyle name="Normal 2 2 2 2 4 15 3 4" xfId="13570" xr:uid="{00000000-0005-0000-0000-000002350000}"/>
    <cellStyle name="Normal 2 2 2 2 4 15 3 5" xfId="13571" xr:uid="{00000000-0005-0000-0000-000003350000}"/>
    <cellStyle name="Normal 2 2 2 2 4 15 3 6" xfId="13572" xr:uid="{00000000-0005-0000-0000-000004350000}"/>
    <cellStyle name="Normal 2 2 2 2 4 15 3 7" xfId="13573" xr:uid="{00000000-0005-0000-0000-000005350000}"/>
    <cellStyle name="Normal 2 2 2 2 4 15 3 8" xfId="13574" xr:uid="{00000000-0005-0000-0000-000006350000}"/>
    <cellStyle name="Normal 2 2 2 2 4 15 3 9" xfId="13575" xr:uid="{00000000-0005-0000-0000-000007350000}"/>
    <cellStyle name="Normal 2 2 2 2 4 15 4" xfId="13576" xr:uid="{00000000-0005-0000-0000-000008350000}"/>
    <cellStyle name="Normal 2 2 2 2 4 15 4 10" xfId="13577" xr:uid="{00000000-0005-0000-0000-000009350000}"/>
    <cellStyle name="Normal 2 2 2 2 4 15 4 2" xfId="13578" xr:uid="{00000000-0005-0000-0000-00000A350000}"/>
    <cellStyle name="Normal 2 2 2 2 4 15 4 3" xfId="13579" xr:uid="{00000000-0005-0000-0000-00000B350000}"/>
    <cellStyle name="Normal 2 2 2 2 4 15 4 4" xfId="13580" xr:uid="{00000000-0005-0000-0000-00000C350000}"/>
    <cellStyle name="Normal 2 2 2 2 4 15 4 5" xfId="13581" xr:uid="{00000000-0005-0000-0000-00000D350000}"/>
    <cellStyle name="Normal 2 2 2 2 4 15 4 6" xfId="13582" xr:uid="{00000000-0005-0000-0000-00000E350000}"/>
    <cellStyle name="Normal 2 2 2 2 4 15 4 7" xfId="13583" xr:uid="{00000000-0005-0000-0000-00000F350000}"/>
    <cellStyle name="Normal 2 2 2 2 4 15 4 8" xfId="13584" xr:uid="{00000000-0005-0000-0000-000010350000}"/>
    <cellStyle name="Normal 2 2 2 2 4 15 4 9" xfId="13585" xr:uid="{00000000-0005-0000-0000-000011350000}"/>
    <cellStyle name="Normal 2 2 2 2 4 15 5" xfId="13586" xr:uid="{00000000-0005-0000-0000-000012350000}"/>
    <cellStyle name="Normal 2 2 2 2 4 15 5 10" xfId="13587" xr:uid="{00000000-0005-0000-0000-000013350000}"/>
    <cellStyle name="Normal 2 2 2 2 4 15 5 2" xfId="13588" xr:uid="{00000000-0005-0000-0000-000014350000}"/>
    <cellStyle name="Normal 2 2 2 2 4 15 5 3" xfId="13589" xr:uid="{00000000-0005-0000-0000-000015350000}"/>
    <cellStyle name="Normal 2 2 2 2 4 15 5 4" xfId="13590" xr:uid="{00000000-0005-0000-0000-000016350000}"/>
    <cellStyle name="Normal 2 2 2 2 4 15 5 5" xfId="13591" xr:uid="{00000000-0005-0000-0000-000017350000}"/>
    <cellStyle name="Normal 2 2 2 2 4 15 5 6" xfId="13592" xr:uid="{00000000-0005-0000-0000-000018350000}"/>
    <cellStyle name="Normal 2 2 2 2 4 15 5 7" xfId="13593" xr:uid="{00000000-0005-0000-0000-000019350000}"/>
    <cellStyle name="Normal 2 2 2 2 4 15 5 8" xfId="13594" xr:uid="{00000000-0005-0000-0000-00001A350000}"/>
    <cellStyle name="Normal 2 2 2 2 4 15 5 9" xfId="13595" xr:uid="{00000000-0005-0000-0000-00001B350000}"/>
    <cellStyle name="Normal 2 2 2 2 4 15 6" xfId="13596" xr:uid="{00000000-0005-0000-0000-00001C350000}"/>
    <cellStyle name="Normal 2 2 2 2 4 15 7" xfId="13597" xr:uid="{00000000-0005-0000-0000-00001D350000}"/>
    <cellStyle name="Normal 2 2 2 2 4 15 8" xfId="13598" xr:uid="{00000000-0005-0000-0000-00001E350000}"/>
    <cellStyle name="Normal 2 2 2 2 4 15 9" xfId="13599" xr:uid="{00000000-0005-0000-0000-00001F350000}"/>
    <cellStyle name="Normal 2 2 2 2 4 16" xfId="13600" xr:uid="{00000000-0005-0000-0000-000020350000}"/>
    <cellStyle name="Normal 2 2 2 2 4 16 10" xfId="13601" xr:uid="{00000000-0005-0000-0000-000021350000}"/>
    <cellStyle name="Normal 2 2 2 2 4 16 11" xfId="13602" xr:uid="{00000000-0005-0000-0000-000022350000}"/>
    <cellStyle name="Normal 2 2 2 2 4 16 12" xfId="13603" xr:uid="{00000000-0005-0000-0000-000023350000}"/>
    <cellStyle name="Normal 2 2 2 2 4 16 13" xfId="13604" xr:uid="{00000000-0005-0000-0000-000024350000}"/>
    <cellStyle name="Normal 2 2 2 2 4 16 14" xfId="13605" xr:uid="{00000000-0005-0000-0000-000025350000}"/>
    <cellStyle name="Normal 2 2 2 2 4 16 2" xfId="13606" xr:uid="{00000000-0005-0000-0000-000026350000}"/>
    <cellStyle name="Normal 2 2 2 2 4 16 2 10" xfId="13607" xr:uid="{00000000-0005-0000-0000-000027350000}"/>
    <cellStyle name="Normal 2 2 2 2 4 16 2 2" xfId="13608" xr:uid="{00000000-0005-0000-0000-000028350000}"/>
    <cellStyle name="Normal 2 2 2 2 4 16 2 3" xfId="13609" xr:uid="{00000000-0005-0000-0000-000029350000}"/>
    <cellStyle name="Normal 2 2 2 2 4 16 2 4" xfId="13610" xr:uid="{00000000-0005-0000-0000-00002A350000}"/>
    <cellStyle name="Normal 2 2 2 2 4 16 2 5" xfId="13611" xr:uid="{00000000-0005-0000-0000-00002B350000}"/>
    <cellStyle name="Normal 2 2 2 2 4 16 2 6" xfId="13612" xr:uid="{00000000-0005-0000-0000-00002C350000}"/>
    <cellStyle name="Normal 2 2 2 2 4 16 2 7" xfId="13613" xr:uid="{00000000-0005-0000-0000-00002D350000}"/>
    <cellStyle name="Normal 2 2 2 2 4 16 2 8" xfId="13614" xr:uid="{00000000-0005-0000-0000-00002E350000}"/>
    <cellStyle name="Normal 2 2 2 2 4 16 2 9" xfId="13615" xr:uid="{00000000-0005-0000-0000-00002F350000}"/>
    <cellStyle name="Normal 2 2 2 2 4 16 3" xfId="13616" xr:uid="{00000000-0005-0000-0000-000030350000}"/>
    <cellStyle name="Normal 2 2 2 2 4 16 3 10" xfId="13617" xr:uid="{00000000-0005-0000-0000-000031350000}"/>
    <cellStyle name="Normal 2 2 2 2 4 16 3 2" xfId="13618" xr:uid="{00000000-0005-0000-0000-000032350000}"/>
    <cellStyle name="Normal 2 2 2 2 4 16 3 3" xfId="13619" xr:uid="{00000000-0005-0000-0000-000033350000}"/>
    <cellStyle name="Normal 2 2 2 2 4 16 3 4" xfId="13620" xr:uid="{00000000-0005-0000-0000-000034350000}"/>
    <cellStyle name="Normal 2 2 2 2 4 16 3 5" xfId="13621" xr:uid="{00000000-0005-0000-0000-000035350000}"/>
    <cellStyle name="Normal 2 2 2 2 4 16 3 6" xfId="13622" xr:uid="{00000000-0005-0000-0000-000036350000}"/>
    <cellStyle name="Normal 2 2 2 2 4 16 3 7" xfId="13623" xr:uid="{00000000-0005-0000-0000-000037350000}"/>
    <cellStyle name="Normal 2 2 2 2 4 16 3 8" xfId="13624" xr:uid="{00000000-0005-0000-0000-000038350000}"/>
    <cellStyle name="Normal 2 2 2 2 4 16 3 9" xfId="13625" xr:uid="{00000000-0005-0000-0000-000039350000}"/>
    <cellStyle name="Normal 2 2 2 2 4 16 4" xfId="13626" xr:uid="{00000000-0005-0000-0000-00003A350000}"/>
    <cellStyle name="Normal 2 2 2 2 4 16 4 10" xfId="13627" xr:uid="{00000000-0005-0000-0000-00003B350000}"/>
    <cellStyle name="Normal 2 2 2 2 4 16 4 2" xfId="13628" xr:uid="{00000000-0005-0000-0000-00003C350000}"/>
    <cellStyle name="Normal 2 2 2 2 4 16 4 3" xfId="13629" xr:uid="{00000000-0005-0000-0000-00003D350000}"/>
    <cellStyle name="Normal 2 2 2 2 4 16 4 4" xfId="13630" xr:uid="{00000000-0005-0000-0000-00003E350000}"/>
    <cellStyle name="Normal 2 2 2 2 4 16 4 5" xfId="13631" xr:uid="{00000000-0005-0000-0000-00003F350000}"/>
    <cellStyle name="Normal 2 2 2 2 4 16 4 6" xfId="13632" xr:uid="{00000000-0005-0000-0000-000040350000}"/>
    <cellStyle name="Normal 2 2 2 2 4 16 4 7" xfId="13633" xr:uid="{00000000-0005-0000-0000-000041350000}"/>
    <cellStyle name="Normal 2 2 2 2 4 16 4 8" xfId="13634" xr:uid="{00000000-0005-0000-0000-000042350000}"/>
    <cellStyle name="Normal 2 2 2 2 4 16 4 9" xfId="13635" xr:uid="{00000000-0005-0000-0000-000043350000}"/>
    <cellStyle name="Normal 2 2 2 2 4 16 5" xfId="13636" xr:uid="{00000000-0005-0000-0000-000044350000}"/>
    <cellStyle name="Normal 2 2 2 2 4 16 5 10" xfId="13637" xr:uid="{00000000-0005-0000-0000-000045350000}"/>
    <cellStyle name="Normal 2 2 2 2 4 16 5 2" xfId="13638" xr:uid="{00000000-0005-0000-0000-000046350000}"/>
    <cellStyle name="Normal 2 2 2 2 4 16 5 3" xfId="13639" xr:uid="{00000000-0005-0000-0000-000047350000}"/>
    <cellStyle name="Normal 2 2 2 2 4 16 5 4" xfId="13640" xr:uid="{00000000-0005-0000-0000-000048350000}"/>
    <cellStyle name="Normal 2 2 2 2 4 16 5 5" xfId="13641" xr:uid="{00000000-0005-0000-0000-000049350000}"/>
    <cellStyle name="Normal 2 2 2 2 4 16 5 6" xfId="13642" xr:uid="{00000000-0005-0000-0000-00004A350000}"/>
    <cellStyle name="Normal 2 2 2 2 4 16 5 7" xfId="13643" xr:uid="{00000000-0005-0000-0000-00004B350000}"/>
    <cellStyle name="Normal 2 2 2 2 4 16 5 8" xfId="13644" xr:uid="{00000000-0005-0000-0000-00004C350000}"/>
    <cellStyle name="Normal 2 2 2 2 4 16 5 9" xfId="13645" xr:uid="{00000000-0005-0000-0000-00004D350000}"/>
    <cellStyle name="Normal 2 2 2 2 4 16 6" xfId="13646" xr:uid="{00000000-0005-0000-0000-00004E350000}"/>
    <cellStyle name="Normal 2 2 2 2 4 16 7" xfId="13647" xr:uid="{00000000-0005-0000-0000-00004F350000}"/>
    <cellStyle name="Normal 2 2 2 2 4 16 8" xfId="13648" xr:uid="{00000000-0005-0000-0000-000050350000}"/>
    <cellStyle name="Normal 2 2 2 2 4 16 9" xfId="13649" xr:uid="{00000000-0005-0000-0000-000051350000}"/>
    <cellStyle name="Normal 2 2 2 2 4 17" xfId="13650" xr:uid="{00000000-0005-0000-0000-000052350000}"/>
    <cellStyle name="Normal 2 2 2 2 4 17 10" xfId="13651" xr:uid="{00000000-0005-0000-0000-000053350000}"/>
    <cellStyle name="Normal 2 2 2 2 4 17 11" xfId="13652" xr:uid="{00000000-0005-0000-0000-000054350000}"/>
    <cellStyle name="Normal 2 2 2 2 4 17 12" xfId="13653" xr:uid="{00000000-0005-0000-0000-000055350000}"/>
    <cellStyle name="Normal 2 2 2 2 4 17 13" xfId="13654" xr:uid="{00000000-0005-0000-0000-000056350000}"/>
    <cellStyle name="Normal 2 2 2 2 4 17 14" xfId="13655" xr:uid="{00000000-0005-0000-0000-000057350000}"/>
    <cellStyle name="Normal 2 2 2 2 4 17 2" xfId="13656" xr:uid="{00000000-0005-0000-0000-000058350000}"/>
    <cellStyle name="Normal 2 2 2 2 4 17 2 10" xfId="13657" xr:uid="{00000000-0005-0000-0000-000059350000}"/>
    <cellStyle name="Normal 2 2 2 2 4 17 2 2" xfId="13658" xr:uid="{00000000-0005-0000-0000-00005A350000}"/>
    <cellStyle name="Normal 2 2 2 2 4 17 2 3" xfId="13659" xr:uid="{00000000-0005-0000-0000-00005B350000}"/>
    <cellStyle name="Normal 2 2 2 2 4 17 2 4" xfId="13660" xr:uid="{00000000-0005-0000-0000-00005C350000}"/>
    <cellStyle name="Normal 2 2 2 2 4 17 2 5" xfId="13661" xr:uid="{00000000-0005-0000-0000-00005D350000}"/>
    <cellStyle name="Normal 2 2 2 2 4 17 2 6" xfId="13662" xr:uid="{00000000-0005-0000-0000-00005E350000}"/>
    <cellStyle name="Normal 2 2 2 2 4 17 2 7" xfId="13663" xr:uid="{00000000-0005-0000-0000-00005F350000}"/>
    <cellStyle name="Normal 2 2 2 2 4 17 2 8" xfId="13664" xr:uid="{00000000-0005-0000-0000-000060350000}"/>
    <cellStyle name="Normal 2 2 2 2 4 17 2 9" xfId="13665" xr:uid="{00000000-0005-0000-0000-000061350000}"/>
    <cellStyle name="Normal 2 2 2 2 4 17 3" xfId="13666" xr:uid="{00000000-0005-0000-0000-000062350000}"/>
    <cellStyle name="Normal 2 2 2 2 4 17 3 10" xfId="13667" xr:uid="{00000000-0005-0000-0000-000063350000}"/>
    <cellStyle name="Normal 2 2 2 2 4 17 3 2" xfId="13668" xr:uid="{00000000-0005-0000-0000-000064350000}"/>
    <cellStyle name="Normal 2 2 2 2 4 17 3 3" xfId="13669" xr:uid="{00000000-0005-0000-0000-000065350000}"/>
    <cellStyle name="Normal 2 2 2 2 4 17 3 4" xfId="13670" xr:uid="{00000000-0005-0000-0000-000066350000}"/>
    <cellStyle name="Normal 2 2 2 2 4 17 3 5" xfId="13671" xr:uid="{00000000-0005-0000-0000-000067350000}"/>
    <cellStyle name="Normal 2 2 2 2 4 17 3 6" xfId="13672" xr:uid="{00000000-0005-0000-0000-000068350000}"/>
    <cellStyle name="Normal 2 2 2 2 4 17 3 7" xfId="13673" xr:uid="{00000000-0005-0000-0000-000069350000}"/>
    <cellStyle name="Normal 2 2 2 2 4 17 3 8" xfId="13674" xr:uid="{00000000-0005-0000-0000-00006A350000}"/>
    <cellStyle name="Normal 2 2 2 2 4 17 3 9" xfId="13675" xr:uid="{00000000-0005-0000-0000-00006B350000}"/>
    <cellStyle name="Normal 2 2 2 2 4 17 4" xfId="13676" xr:uid="{00000000-0005-0000-0000-00006C350000}"/>
    <cellStyle name="Normal 2 2 2 2 4 17 4 10" xfId="13677" xr:uid="{00000000-0005-0000-0000-00006D350000}"/>
    <cellStyle name="Normal 2 2 2 2 4 17 4 2" xfId="13678" xr:uid="{00000000-0005-0000-0000-00006E350000}"/>
    <cellStyle name="Normal 2 2 2 2 4 17 4 3" xfId="13679" xr:uid="{00000000-0005-0000-0000-00006F350000}"/>
    <cellStyle name="Normal 2 2 2 2 4 17 4 4" xfId="13680" xr:uid="{00000000-0005-0000-0000-000070350000}"/>
    <cellStyle name="Normal 2 2 2 2 4 17 4 5" xfId="13681" xr:uid="{00000000-0005-0000-0000-000071350000}"/>
    <cellStyle name="Normal 2 2 2 2 4 17 4 6" xfId="13682" xr:uid="{00000000-0005-0000-0000-000072350000}"/>
    <cellStyle name="Normal 2 2 2 2 4 17 4 7" xfId="13683" xr:uid="{00000000-0005-0000-0000-000073350000}"/>
    <cellStyle name="Normal 2 2 2 2 4 17 4 8" xfId="13684" xr:uid="{00000000-0005-0000-0000-000074350000}"/>
    <cellStyle name="Normal 2 2 2 2 4 17 4 9" xfId="13685" xr:uid="{00000000-0005-0000-0000-000075350000}"/>
    <cellStyle name="Normal 2 2 2 2 4 17 5" xfId="13686" xr:uid="{00000000-0005-0000-0000-000076350000}"/>
    <cellStyle name="Normal 2 2 2 2 4 17 5 10" xfId="13687" xr:uid="{00000000-0005-0000-0000-000077350000}"/>
    <cellStyle name="Normal 2 2 2 2 4 17 5 2" xfId="13688" xr:uid="{00000000-0005-0000-0000-000078350000}"/>
    <cellStyle name="Normal 2 2 2 2 4 17 5 3" xfId="13689" xr:uid="{00000000-0005-0000-0000-000079350000}"/>
    <cellStyle name="Normal 2 2 2 2 4 17 5 4" xfId="13690" xr:uid="{00000000-0005-0000-0000-00007A350000}"/>
    <cellStyle name="Normal 2 2 2 2 4 17 5 5" xfId="13691" xr:uid="{00000000-0005-0000-0000-00007B350000}"/>
    <cellStyle name="Normal 2 2 2 2 4 17 5 6" xfId="13692" xr:uid="{00000000-0005-0000-0000-00007C350000}"/>
    <cellStyle name="Normal 2 2 2 2 4 17 5 7" xfId="13693" xr:uid="{00000000-0005-0000-0000-00007D350000}"/>
    <cellStyle name="Normal 2 2 2 2 4 17 5 8" xfId="13694" xr:uid="{00000000-0005-0000-0000-00007E350000}"/>
    <cellStyle name="Normal 2 2 2 2 4 17 5 9" xfId="13695" xr:uid="{00000000-0005-0000-0000-00007F350000}"/>
    <cellStyle name="Normal 2 2 2 2 4 17 6" xfId="13696" xr:uid="{00000000-0005-0000-0000-000080350000}"/>
    <cellStyle name="Normal 2 2 2 2 4 17 7" xfId="13697" xr:uid="{00000000-0005-0000-0000-000081350000}"/>
    <cellStyle name="Normal 2 2 2 2 4 17 8" xfId="13698" xr:uid="{00000000-0005-0000-0000-000082350000}"/>
    <cellStyle name="Normal 2 2 2 2 4 17 9" xfId="13699" xr:uid="{00000000-0005-0000-0000-000083350000}"/>
    <cellStyle name="Normal 2 2 2 2 4 18" xfId="13700" xr:uid="{00000000-0005-0000-0000-000084350000}"/>
    <cellStyle name="Normal 2 2 2 2 4 18 10" xfId="13701" xr:uid="{00000000-0005-0000-0000-000085350000}"/>
    <cellStyle name="Normal 2 2 2 2 4 18 11" xfId="13702" xr:uid="{00000000-0005-0000-0000-000086350000}"/>
    <cellStyle name="Normal 2 2 2 2 4 18 12" xfId="13703" xr:uid="{00000000-0005-0000-0000-000087350000}"/>
    <cellStyle name="Normal 2 2 2 2 4 18 13" xfId="13704" xr:uid="{00000000-0005-0000-0000-000088350000}"/>
    <cellStyle name="Normal 2 2 2 2 4 18 14" xfId="13705" xr:uid="{00000000-0005-0000-0000-000089350000}"/>
    <cellStyle name="Normal 2 2 2 2 4 18 2" xfId="13706" xr:uid="{00000000-0005-0000-0000-00008A350000}"/>
    <cellStyle name="Normal 2 2 2 2 4 18 2 10" xfId="13707" xr:uid="{00000000-0005-0000-0000-00008B350000}"/>
    <cellStyle name="Normal 2 2 2 2 4 18 2 2" xfId="13708" xr:uid="{00000000-0005-0000-0000-00008C350000}"/>
    <cellStyle name="Normal 2 2 2 2 4 18 2 3" xfId="13709" xr:uid="{00000000-0005-0000-0000-00008D350000}"/>
    <cellStyle name="Normal 2 2 2 2 4 18 2 4" xfId="13710" xr:uid="{00000000-0005-0000-0000-00008E350000}"/>
    <cellStyle name="Normal 2 2 2 2 4 18 2 5" xfId="13711" xr:uid="{00000000-0005-0000-0000-00008F350000}"/>
    <cellStyle name="Normal 2 2 2 2 4 18 2 6" xfId="13712" xr:uid="{00000000-0005-0000-0000-000090350000}"/>
    <cellStyle name="Normal 2 2 2 2 4 18 2 7" xfId="13713" xr:uid="{00000000-0005-0000-0000-000091350000}"/>
    <cellStyle name="Normal 2 2 2 2 4 18 2 8" xfId="13714" xr:uid="{00000000-0005-0000-0000-000092350000}"/>
    <cellStyle name="Normal 2 2 2 2 4 18 2 9" xfId="13715" xr:uid="{00000000-0005-0000-0000-000093350000}"/>
    <cellStyle name="Normal 2 2 2 2 4 18 3" xfId="13716" xr:uid="{00000000-0005-0000-0000-000094350000}"/>
    <cellStyle name="Normal 2 2 2 2 4 18 3 10" xfId="13717" xr:uid="{00000000-0005-0000-0000-000095350000}"/>
    <cellStyle name="Normal 2 2 2 2 4 18 3 2" xfId="13718" xr:uid="{00000000-0005-0000-0000-000096350000}"/>
    <cellStyle name="Normal 2 2 2 2 4 18 3 3" xfId="13719" xr:uid="{00000000-0005-0000-0000-000097350000}"/>
    <cellStyle name="Normal 2 2 2 2 4 18 3 4" xfId="13720" xr:uid="{00000000-0005-0000-0000-000098350000}"/>
    <cellStyle name="Normal 2 2 2 2 4 18 3 5" xfId="13721" xr:uid="{00000000-0005-0000-0000-000099350000}"/>
    <cellStyle name="Normal 2 2 2 2 4 18 3 6" xfId="13722" xr:uid="{00000000-0005-0000-0000-00009A350000}"/>
    <cellStyle name="Normal 2 2 2 2 4 18 3 7" xfId="13723" xr:uid="{00000000-0005-0000-0000-00009B350000}"/>
    <cellStyle name="Normal 2 2 2 2 4 18 3 8" xfId="13724" xr:uid="{00000000-0005-0000-0000-00009C350000}"/>
    <cellStyle name="Normal 2 2 2 2 4 18 3 9" xfId="13725" xr:uid="{00000000-0005-0000-0000-00009D350000}"/>
    <cellStyle name="Normal 2 2 2 2 4 18 4" xfId="13726" xr:uid="{00000000-0005-0000-0000-00009E350000}"/>
    <cellStyle name="Normal 2 2 2 2 4 18 4 10" xfId="13727" xr:uid="{00000000-0005-0000-0000-00009F350000}"/>
    <cellStyle name="Normal 2 2 2 2 4 18 4 2" xfId="13728" xr:uid="{00000000-0005-0000-0000-0000A0350000}"/>
    <cellStyle name="Normal 2 2 2 2 4 18 4 3" xfId="13729" xr:uid="{00000000-0005-0000-0000-0000A1350000}"/>
    <cellStyle name="Normal 2 2 2 2 4 18 4 4" xfId="13730" xr:uid="{00000000-0005-0000-0000-0000A2350000}"/>
    <cellStyle name="Normal 2 2 2 2 4 18 4 5" xfId="13731" xr:uid="{00000000-0005-0000-0000-0000A3350000}"/>
    <cellStyle name="Normal 2 2 2 2 4 18 4 6" xfId="13732" xr:uid="{00000000-0005-0000-0000-0000A4350000}"/>
    <cellStyle name="Normal 2 2 2 2 4 18 4 7" xfId="13733" xr:uid="{00000000-0005-0000-0000-0000A5350000}"/>
    <cellStyle name="Normal 2 2 2 2 4 18 4 8" xfId="13734" xr:uid="{00000000-0005-0000-0000-0000A6350000}"/>
    <cellStyle name="Normal 2 2 2 2 4 18 4 9" xfId="13735" xr:uid="{00000000-0005-0000-0000-0000A7350000}"/>
    <cellStyle name="Normal 2 2 2 2 4 18 5" xfId="13736" xr:uid="{00000000-0005-0000-0000-0000A8350000}"/>
    <cellStyle name="Normal 2 2 2 2 4 18 5 10" xfId="13737" xr:uid="{00000000-0005-0000-0000-0000A9350000}"/>
    <cellStyle name="Normal 2 2 2 2 4 18 5 2" xfId="13738" xr:uid="{00000000-0005-0000-0000-0000AA350000}"/>
    <cellStyle name="Normal 2 2 2 2 4 18 5 3" xfId="13739" xr:uid="{00000000-0005-0000-0000-0000AB350000}"/>
    <cellStyle name="Normal 2 2 2 2 4 18 5 4" xfId="13740" xr:uid="{00000000-0005-0000-0000-0000AC350000}"/>
    <cellStyle name="Normal 2 2 2 2 4 18 5 5" xfId="13741" xr:uid="{00000000-0005-0000-0000-0000AD350000}"/>
    <cellStyle name="Normal 2 2 2 2 4 18 5 6" xfId="13742" xr:uid="{00000000-0005-0000-0000-0000AE350000}"/>
    <cellStyle name="Normal 2 2 2 2 4 18 5 7" xfId="13743" xr:uid="{00000000-0005-0000-0000-0000AF350000}"/>
    <cellStyle name="Normal 2 2 2 2 4 18 5 8" xfId="13744" xr:uid="{00000000-0005-0000-0000-0000B0350000}"/>
    <cellStyle name="Normal 2 2 2 2 4 18 5 9" xfId="13745" xr:uid="{00000000-0005-0000-0000-0000B1350000}"/>
    <cellStyle name="Normal 2 2 2 2 4 18 6" xfId="13746" xr:uid="{00000000-0005-0000-0000-0000B2350000}"/>
    <cellStyle name="Normal 2 2 2 2 4 18 7" xfId="13747" xr:uid="{00000000-0005-0000-0000-0000B3350000}"/>
    <cellStyle name="Normal 2 2 2 2 4 18 8" xfId="13748" xr:uid="{00000000-0005-0000-0000-0000B4350000}"/>
    <cellStyle name="Normal 2 2 2 2 4 18 9" xfId="13749" xr:uid="{00000000-0005-0000-0000-0000B5350000}"/>
    <cellStyle name="Normal 2 2 2 2 4 19" xfId="13750" xr:uid="{00000000-0005-0000-0000-0000B6350000}"/>
    <cellStyle name="Normal 2 2 2 2 4 19 10" xfId="13751" xr:uid="{00000000-0005-0000-0000-0000B7350000}"/>
    <cellStyle name="Normal 2 2 2 2 4 19 11" xfId="13752" xr:uid="{00000000-0005-0000-0000-0000B8350000}"/>
    <cellStyle name="Normal 2 2 2 2 4 19 12" xfId="13753" xr:uid="{00000000-0005-0000-0000-0000B9350000}"/>
    <cellStyle name="Normal 2 2 2 2 4 19 13" xfId="13754" xr:uid="{00000000-0005-0000-0000-0000BA350000}"/>
    <cellStyle name="Normal 2 2 2 2 4 19 14" xfId="13755" xr:uid="{00000000-0005-0000-0000-0000BB350000}"/>
    <cellStyle name="Normal 2 2 2 2 4 19 2" xfId="13756" xr:uid="{00000000-0005-0000-0000-0000BC350000}"/>
    <cellStyle name="Normal 2 2 2 2 4 19 2 10" xfId="13757" xr:uid="{00000000-0005-0000-0000-0000BD350000}"/>
    <cellStyle name="Normal 2 2 2 2 4 19 2 2" xfId="13758" xr:uid="{00000000-0005-0000-0000-0000BE350000}"/>
    <cellStyle name="Normal 2 2 2 2 4 19 2 3" xfId="13759" xr:uid="{00000000-0005-0000-0000-0000BF350000}"/>
    <cellStyle name="Normal 2 2 2 2 4 19 2 4" xfId="13760" xr:uid="{00000000-0005-0000-0000-0000C0350000}"/>
    <cellStyle name="Normal 2 2 2 2 4 19 2 5" xfId="13761" xr:uid="{00000000-0005-0000-0000-0000C1350000}"/>
    <cellStyle name="Normal 2 2 2 2 4 19 2 6" xfId="13762" xr:uid="{00000000-0005-0000-0000-0000C2350000}"/>
    <cellStyle name="Normal 2 2 2 2 4 19 2 7" xfId="13763" xr:uid="{00000000-0005-0000-0000-0000C3350000}"/>
    <cellStyle name="Normal 2 2 2 2 4 19 2 8" xfId="13764" xr:uid="{00000000-0005-0000-0000-0000C4350000}"/>
    <cellStyle name="Normal 2 2 2 2 4 19 2 9" xfId="13765" xr:uid="{00000000-0005-0000-0000-0000C5350000}"/>
    <cellStyle name="Normal 2 2 2 2 4 19 3" xfId="13766" xr:uid="{00000000-0005-0000-0000-0000C6350000}"/>
    <cellStyle name="Normal 2 2 2 2 4 19 3 10" xfId="13767" xr:uid="{00000000-0005-0000-0000-0000C7350000}"/>
    <cellStyle name="Normal 2 2 2 2 4 19 3 2" xfId="13768" xr:uid="{00000000-0005-0000-0000-0000C8350000}"/>
    <cellStyle name="Normal 2 2 2 2 4 19 3 3" xfId="13769" xr:uid="{00000000-0005-0000-0000-0000C9350000}"/>
    <cellStyle name="Normal 2 2 2 2 4 19 3 4" xfId="13770" xr:uid="{00000000-0005-0000-0000-0000CA350000}"/>
    <cellStyle name="Normal 2 2 2 2 4 19 3 5" xfId="13771" xr:uid="{00000000-0005-0000-0000-0000CB350000}"/>
    <cellStyle name="Normal 2 2 2 2 4 19 3 6" xfId="13772" xr:uid="{00000000-0005-0000-0000-0000CC350000}"/>
    <cellStyle name="Normal 2 2 2 2 4 19 3 7" xfId="13773" xr:uid="{00000000-0005-0000-0000-0000CD350000}"/>
    <cellStyle name="Normal 2 2 2 2 4 19 3 8" xfId="13774" xr:uid="{00000000-0005-0000-0000-0000CE350000}"/>
    <cellStyle name="Normal 2 2 2 2 4 19 3 9" xfId="13775" xr:uid="{00000000-0005-0000-0000-0000CF350000}"/>
    <cellStyle name="Normal 2 2 2 2 4 19 4" xfId="13776" xr:uid="{00000000-0005-0000-0000-0000D0350000}"/>
    <cellStyle name="Normal 2 2 2 2 4 19 4 10" xfId="13777" xr:uid="{00000000-0005-0000-0000-0000D1350000}"/>
    <cellStyle name="Normal 2 2 2 2 4 19 4 2" xfId="13778" xr:uid="{00000000-0005-0000-0000-0000D2350000}"/>
    <cellStyle name="Normal 2 2 2 2 4 19 4 3" xfId="13779" xr:uid="{00000000-0005-0000-0000-0000D3350000}"/>
    <cellStyle name="Normal 2 2 2 2 4 19 4 4" xfId="13780" xr:uid="{00000000-0005-0000-0000-0000D4350000}"/>
    <cellStyle name="Normal 2 2 2 2 4 19 4 5" xfId="13781" xr:uid="{00000000-0005-0000-0000-0000D5350000}"/>
    <cellStyle name="Normal 2 2 2 2 4 19 4 6" xfId="13782" xr:uid="{00000000-0005-0000-0000-0000D6350000}"/>
    <cellStyle name="Normal 2 2 2 2 4 19 4 7" xfId="13783" xr:uid="{00000000-0005-0000-0000-0000D7350000}"/>
    <cellStyle name="Normal 2 2 2 2 4 19 4 8" xfId="13784" xr:uid="{00000000-0005-0000-0000-0000D8350000}"/>
    <cellStyle name="Normal 2 2 2 2 4 19 4 9" xfId="13785" xr:uid="{00000000-0005-0000-0000-0000D9350000}"/>
    <cellStyle name="Normal 2 2 2 2 4 19 5" xfId="13786" xr:uid="{00000000-0005-0000-0000-0000DA350000}"/>
    <cellStyle name="Normal 2 2 2 2 4 19 5 10" xfId="13787" xr:uid="{00000000-0005-0000-0000-0000DB350000}"/>
    <cellStyle name="Normal 2 2 2 2 4 19 5 2" xfId="13788" xr:uid="{00000000-0005-0000-0000-0000DC350000}"/>
    <cellStyle name="Normal 2 2 2 2 4 19 5 3" xfId="13789" xr:uid="{00000000-0005-0000-0000-0000DD350000}"/>
    <cellStyle name="Normal 2 2 2 2 4 19 5 4" xfId="13790" xr:uid="{00000000-0005-0000-0000-0000DE350000}"/>
    <cellStyle name="Normal 2 2 2 2 4 19 5 5" xfId="13791" xr:uid="{00000000-0005-0000-0000-0000DF350000}"/>
    <cellStyle name="Normal 2 2 2 2 4 19 5 6" xfId="13792" xr:uid="{00000000-0005-0000-0000-0000E0350000}"/>
    <cellStyle name="Normal 2 2 2 2 4 19 5 7" xfId="13793" xr:uid="{00000000-0005-0000-0000-0000E1350000}"/>
    <cellStyle name="Normal 2 2 2 2 4 19 5 8" xfId="13794" xr:uid="{00000000-0005-0000-0000-0000E2350000}"/>
    <cellStyle name="Normal 2 2 2 2 4 19 5 9" xfId="13795" xr:uid="{00000000-0005-0000-0000-0000E3350000}"/>
    <cellStyle name="Normal 2 2 2 2 4 19 6" xfId="13796" xr:uid="{00000000-0005-0000-0000-0000E4350000}"/>
    <cellStyle name="Normal 2 2 2 2 4 19 7" xfId="13797" xr:uid="{00000000-0005-0000-0000-0000E5350000}"/>
    <cellStyle name="Normal 2 2 2 2 4 19 8" xfId="13798" xr:uid="{00000000-0005-0000-0000-0000E6350000}"/>
    <cellStyle name="Normal 2 2 2 2 4 19 9" xfId="13799" xr:uid="{00000000-0005-0000-0000-0000E7350000}"/>
    <cellStyle name="Normal 2 2 2 2 4 2" xfId="13800" xr:uid="{00000000-0005-0000-0000-0000E8350000}"/>
    <cellStyle name="Normal 2 2 2 2 4 2 10" xfId="13801" xr:uid="{00000000-0005-0000-0000-0000E9350000}"/>
    <cellStyle name="Normal 2 2 2 2 4 2 11" xfId="13802" xr:uid="{00000000-0005-0000-0000-0000EA350000}"/>
    <cellStyle name="Normal 2 2 2 2 4 2 12" xfId="13803" xr:uid="{00000000-0005-0000-0000-0000EB350000}"/>
    <cellStyle name="Normal 2 2 2 2 4 2 13" xfId="13804" xr:uid="{00000000-0005-0000-0000-0000EC350000}"/>
    <cellStyle name="Normal 2 2 2 2 4 2 14" xfId="13805" xr:uid="{00000000-0005-0000-0000-0000ED350000}"/>
    <cellStyle name="Normal 2 2 2 2 4 2 15" xfId="13806" xr:uid="{00000000-0005-0000-0000-0000EE350000}"/>
    <cellStyle name="Normal 2 2 2 2 4 2 16" xfId="13807" xr:uid="{00000000-0005-0000-0000-0000EF350000}"/>
    <cellStyle name="Normal 2 2 2 2 4 2 17" xfId="13808" xr:uid="{00000000-0005-0000-0000-0000F0350000}"/>
    <cellStyle name="Normal 2 2 2 2 4 2 18" xfId="13809" xr:uid="{00000000-0005-0000-0000-0000F1350000}"/>
    <cellStyle name="Normal 2 2 2 2 4 2 19" xfId="13810" xr:uid="{00000000-0005-0000-0000-0000F2350000}"/>
    <cellStyle name="Normal 2 2 2 2 4 2 2" xfId="13811" xr:uid="{00000000-0005-0000-0000-0000F3350000}"/>
    <cellStyle name="Normal 2 2 2 2 4 2 2 10" xfId="13812" xr:uid="{00000000-0005-0000-0000-0000F4350000}"/>
    <cellStyle name="Normal 2 2 2 2 4 2 2 10 10" xfId="13813" xr:uid="{00000000-0005-0000-0000-0000F5350000}"/>
    <cellStyle name="Normal 2 2 2 2 4 2 2 10 11" xfId="13814" xr:uid="{00000000-0005-0000-0000-0000F6350000}"/>
    <cellStyle name="Normal 2 2 2 2 4 2 2 10 12" xfId="13815" xr:uid="{00000000-0005-0000-0000-0000F7350000}"/>
    <cellStyle name="Normal 2 2 2 2 4 2 2 10 13" xfId="13816" xr:uid="{00000000-0005-0000-0000-0000F8350000}"/>
    <cellStyle name="Normal 2 2 2 2 4 2 2 10 14" xfId="13817" xr:uid="{00000000-0005-0000-0000-0000F9350000}"/>
    <cellStyle name="Normal 2 2 2 2 4 2 2 10 2" xfId="13818" xr:uid="{00000000-0005-0000-0000-0000FA350000}"/>
    <cellStyle name="Normal 2 2 2 2 4 2 2 10 2 10" xfId="13819" xr:uid="{00000000-0005-0000-0000-0000FB350000}"/>
    <cellStyle name="Normal 2 2 2 2 4 2 2 10 2 2" xfId="13820" xr:uid="{00000000-0005-0000-0000-0000FC350000}"/>
    <cellStyle name="Normal 2 2 2 2 4 2 2 10 2 3" xfId="13821" xr:uid="{00000000-0005-0000-0000-0000FD350000}"/>
    <cellStyle name="Normal 2 2 2 2 4 2 2 10 2 4" xfId="13822" xr:uid="{00000000-0005-0000-0000-0000FE350000}"/>
    <cellStyle name="Normal 2 2 2 2 4 2 2 10 2 5" xfId="13823" xr:uid="{00000000-0005-0000-0000-0000FF350000}"/>
    <cellStyle name="Normal 2 2 2 2 4 2 2 10 2 6" xfId="13824" xr:uid="{00000000-0005-0000-0000-000000360000}"/>
    <cellStyle name="Normal 2 2 2 2 4 2 2 10 2 7" xfId="13825" xr:uid="{00000000-0005-0000-0000-000001360000}"/>
    <cellStyle name="Normal 2 2 2 2 4 2 2 10 2 8" xfId="13826" xr:uid="{00000000-0005-0000-0000-000002360000}"/>
    <cellStyle name="Normal 2 2 2 2 4 2 2 10 2 9" xfId="13827" xr:uid="{00000000-0005-0000-0000-000003360000}"/>
    <cellStyle name="Normal 2 2 2 2 4 2 2 10 3" xfId="13828" xr:uid="{00000000-0005-0000-0000-000004360000}"/>
    <cellStyle name="Normal 2 2 2 2 4 2 2 10 3 10" xfId="13829" xr:uid="{00000000-0005-0000-0000-000005360000}"/>
    <cellStyle name="Normal 2 2 2 2 4 2 2 10 3 2" xfId="13830" xr:uid="{00000000-0005-0000-0000-000006360000}"/>
    <cellStyle name="Normal 2 2 2 2 4 2 2 10 3 3" xfId="13831" xr:uid="{00000000-0005-0000-0000-000007360000}"/>
    <cellStyle name="Normal 2 2 2 2 4 2 2 10 3 4" xfId="13832" xr:uid="{00000000-0005-0000-0000-000008360000}"/>
    <cellStyle name="Normal 2 2 2 2 4 2 2 10 3 5" xfId="13833" xr:uid="{00000000-0005-0000-0000-000009360000}"/>
    <cellStyle name="Normal 2 2 2 2 4 2 2 10 3 6" xfId="13834" xr:uid="{00000000-0005-0000-0000-00000A360000}"/>
    <cellStyle name="Normal 2 2 2 2 4 2 2 10 3 7" xfId="13835" xr:uid="{00000000-0005-0000-0000-00000B360000}"/>
    <cellStyle name="Normal 2 2 2 2 4 2 2 10 3 8" xfId="13836" xr:uid="{00000000-0005-0000-0000-00000C360000}"/>
    <cellStyle name="Normal 2 2 2 2 4 2 2 10 3 9" xfId="13837" xr:uid="{00000000-0005-0000-0000-00000D360000}"/>
    <cellStyle name="Normal 2 2 2 2 4 2 2 10 4" xfId="13838" xr:uid="{00000000-0005-0000-0000-00000E360000}"/>
    <cellStyle name="Normal 2 2 2 2 4 2 2 10 4 10" xfId="13839" xr:uid="{00000000-0005-0000-0000-00000F360000}"/>
    <cellStyle name="Normal 2 2 2 2 4 2 2 10 4 2" xfId="13840" xr:uid="{00000000-0005-0000-0000-000010360000}"/>
    <cellStyle name="Normal 2 2 2 2 4 2 2 10 4 3" xfId="13841" xr:uid="{00000000-0005-0000-0000-000011360000}"/>
    <cellStyle name="Normal 2 2 2 2 4 2 2 10 4 4" xfId="13842" xr:uid="{00000000-0005-0000-0000-000012360000}"/>
    <cellStyle name="Normal 2 2 2 2 4 2 2 10 4 5" xfId="13843" xr:uid="{00000000-0005-0000-0000-000013360000}"/>
    <cellStyle name="Normal 2 2 2 2 4 2 2 10 4 6" xfId="13844" xr:uid="{00000000-0005-0000-0000-000014360000}"/>
    <cellStyle name="Normal 2 2 2 2 4 2 2 10 4 7" xfId="13845" xr:uid="{00000000-0005-0000-0000-000015360000}"/>
    <cellStyle name="Normal 2 2 2 2 4 2 2 10 4 8" xfId="13846" xr:uid="{00000000-0005-0000-0000-000016360000}"/>
    <cellStyle name="Normal 2 2 2 2 4 2 2 10 4 9" xfId="13847" xr:uid="{00000000-0005-0000-0000-000017360000}"/>
    <cellStyle name="Normal 2 2 2 2 4 2 2 10 5" xfId="13848" xr:uid="{00000000-0005-0000-0000-000018360000}"/>
    <cellStyle name="Normal 2 2 2 2 4 2 2 10 5 10" xfId="13849" xr:uid="{00000000-0005-0000-0000-000019360000}"/>
    <cellStyle name="Normal 2 2 2 2 4 2 2 10 5 2" xfId="13850" xr:uid="{00000000-0005-0000-0000-00001A360000}"/>
    <cellStyle name="Normal 2 2 2 2 4 2 2 10 5 3" xfId="13851" xr:uid="{00000000-0005-0000-0000-00001B360000}"/>
    <cellStyle name="Normal 2 2 2 2 4 2 2 10 5 4" xfId="13852" xr:uid="{00000000-0005-0000-0000-00001C360000}"/>
    <cellStyle name="Normal 2 2 2 2 4 2 2 10 5 5" xfId="13853" xr:uid="{00000000-0005-0000-0000-00001D360000}"/>
    <cellStyle name="Normal 2 2 2 2 4 2 2 10 5 6" xfId="13854" xr:uid="{00000000-0005-0000-0000-00001E360000}"/>
    <cellStyle name="Normal 2 2 2 2 4 2 2 10 5 7" xfId="13855" xr:uid="{00000000-0005-0000-0000-00001F360000}"/>
    <cellStyle name="Normal 2 2 2 2 4 2 2 10 5 8" xfId="13856" xr:uid="{00000000-0005-0000-0000-000020360000}"/>
    <cellStyle name="Normal 2 2 2 2 4 2 2 10 5 9" xfId="13857" xr:uid="{00000000-0005-0000-0000-000021360000}"/>
    <cellStyle name="Normal 2 2 2 2 4 2 2 10 6" xfId="13858" xr:uid="{00000000-0005-0000-0000-000022360000}"/>
    <cellStyle name="Normal 2 2 2 2 4 2 2 10 7" xfId="13859" xr:uid="{00000000-0005-0000-0000-000023360000}"/>
    <cellStyle name="Normal 2 2 2 2 4 2 2 10 8" xfId="13860" xr:uid="{00000000-0005-0000-0000-000024360000}"/>
    <cellStyle name="Normal 2 2 2 2 4 2 2 10 9" xfId="13861" xr:uid="{00000000-0005-0000-0000-000025360000}"/>
    <cellStyle name="Normal 2 2 2 2 4 2 2 11" xfId="13862" xr:uid="{00000000-0005-0000-0000-000026360000}"/>
    <cellStyle name="Normal 2 2 2 2 4 2 2 11 10" xfId="13863" xr:uid="{00000000-0005-0000-0000-000027360000}"/>
    <cellStyle name="Normal 2 2 2 2 4 2 2 11 11" xfId="13864" xr:uid="{00000000-0005-0000-0000-000028360000}"/>
    <cellStyle name="Normal 2 2 2 2 4 2 2 11 12" xfId="13865" xr:uid="{00000000-0005-0000-0000-000029360000}"/>
    <cellStyle name="Normal 2 2 2 2 4 2 2 11 13" xfId="13866" xr:uid="{00000000-0005-0000-0000-00002A360000}"/>
    <cellStyle name="Normal 2 2 2 2 4 2 2 11 14" xfId="13867" xr:uid="{00000000-0005-0000-0000-00002B360000}"/>
    <cellStyle name="Normal 2 2 2 2 4 2 2 11 2" xfId="13868" xr:uid="{00000000-0005-0000-0000-00002C360000}"/>
    <cellStyle name="Normal 2 2 2 2 4 2 2 11 2 10" xfId="13869" xr:uid="{00000000-0005-0000-0000-00002D360000}"/>
    <cellStyle name="Normal 2 2 2 2 4 2 2 11 2 2" xfId="13870" xr:uid="{00000000-0005-0000-0000-00002E360000}"/>
    <cellStyle name="Normal 2 2 2 2 4 2 2 11 2 3" xfId="13871" xr:uid="{00000000-0005-0000-0000-00002F360000}"/>
    <cellStyle name="Normal 2 2 2 2 4 2 2 11 2 4" xfId="13872" xr:uid="{00000000-0005-0000-0000-000030360000}"/>
    <cellStyle name="Normal 2 2 2 2 4 2 2 11 2 5" xfId="13873" xr:uid="{00000000-0005-0000-0000-000031360000}"/>
    <cellStyle name="Normal 2 2 2 2 4 2 2 11 2 6" xfId="13874" xr:uid="{00000000-0005-0000-0000-000032360000}"/>
    <cellStyle name="Normal 2 2 2 2 4 2 2 11 2 7" xfId="13875" xr:uid="{00000000-0005-0000-0000-000033360000}"/>
    <cellStyle name="Normal 2 2 2 2 4 2 2 11 2 8" xfId="13876" xr:uid="{00000000-0005-0000-0000-000034360000}"/>
    <cellStyle name="Normal 2 2 2 2 4 2 2 11 2 9" xfId="13877" xr:uid="{00000000-0005-0000-0000-000035360000}"/>
    <cellStyle name="Normal 2 2 2 2 4 2 2 11 3" xfId="13878" xr:uid="{00000000-0005-0000-0000-000036360000}"/>
    <cellStyle name="Normal 2 2 2 2 4 2 2 11 3 10" xfId="13879" xr:uid="{00000000-0005-0000-0000-000037360000}"/>
    <cellStyle name="Normal 2 2 2 2 4 2 2 11 3 2" xfId="13880" xr:uid="{00000000-0005-0000-0000-000038360000}"/>
    <cellStyle name="Normal 2 2 2 2 4 2 2 11 3 3" xfId="13881" xr:uid="{00000000-0005-0000-0000-000039360000}"/>
    <cellStyle name="Normal 2 2 2 2 4 2 2 11 3 4" xfId="13882" xr:uid="{00000000-0005-0000-0000-00003A360000}"/>
    <cellStyle name="Normal 2 2 2 2 4 2 2 11 3 5" xfId="13883" xr:uid="{00000000-0005-0000-0000-00003B360000}"/>
    <cellStyle name="Normal 2 2 2 2 4 2 2 11 3 6" xfId="13884" xr:uid="{00000000-0005-0000-0000-00003C360000}"/>
    <cellStyle name="Normal 2 2 2 2 4 2 2 11 3 7" xfId="13885" xr:uid="{00000000-0005-0000-0000-00003D360000}"/>
    <cellStyle name="Normal 2 2 2 2 4 2 2 11 3 8" xfId="13886" xr:uid="{00000000-0005-0000-0000-00003E360000}"/>
    <cellStyle name="Normal 2 2 2 2 4 2 2 11 3 9" xfId="13887" xr:uid="{00000000-0005-0000-0000-00003F360000}"/>
    <cellStyle name="Normal 2 2 2 2 4 2 2 11 4" xfId="13888" xr:uid="{00000000-0005-0000-0000-000040360000}"/>
    <cellStyle name="Normal 2 2 2 2 4 2 2 11 4 10" xfId="13889" xr:uid="{00000000-0005-0000-0000-000041360000}"/>
    <cellStyle name="Normal 2 2 2 2 4 2 2 11 4 2" xfId="13890" xr:uid="{00000000-0005-0000-0000-000042360000}"/>
    <cellStyle name="Normal 2 2 2 2 4 2 2 11 4 3" xfId="13891" xr:uid="{00000000-0005-0000-0000-000043360000}"/>
    <cellStyle name="Normal 2 2 2 2 4 2 2 11 4 4" xfId="13892" xr:uid="{00000000-0005-0000-0000-000044360000}"/>
    <cellStyle name="Normal 2 2 2 2 4 2 2 11 4 5" xfId="13893" xr:uid="{00000000-0005-0000-0000-000045360000}"/>
    <cellStyle name="Normal 2 2 2 2 4 2 2 11 4 6" xfId="13894" xr:uid="{00000000-0005-0000-0000-000046360000}"/>
    <cellStyle name="Normal 2 2 2 2 4 2 2 11 4 7" xfId="13895" xr:uid="{00000000-0005-0000-0000-000047360000}"/>
    <cellStyle name="Normal 2 2 2 2 4 2 2 11 4 8" xfId="13896" xr:uid="{00000000-0005-0000-0000-000048360000}"/>
    <cellStyle name="Normal 2 2 2 2 4 2 2 11 4 9" xfId="13897" xr:uid="{00000000-0005-0000-0000-000049360000}"/>
    <cellStyle name="Normal 2 2 2 2 4 2 2 11 5" xfId="13898" xr:uid="{00000000-0005-0000-0000-00004A360000}"/>
    <cellStyle name="Normal 2 2 2 2 4 2 2 11 5 10" xfId="13899" xr:uid="{00000000-0005-0000-0000-00004B360000}"/>
    <cellStyle name="Normal 2 2 2 2 4 2 2 11 5 2" xfId="13900" xr:uid="{00000000-0005-0000-0000-00004C360000}"/>
    <cellStyle name="Normal 2 2 2 2 4 2 2 11 5 3" xfId="13901" xr:uid="{00000000-0005-0000-0000-00004D360000}"/>
    <cellStyle name="Normal 2 2 2 2 4 2 2 11 5 4" xfId="13902" xr:uid="{00000000-0005-0000-0000-00004E360000}"/>
    <cellStyle name="Normal 2 2 2 2 4 2 2 11 5 5" xfId="13903" xr:uid="{00000000-0005-0000-0000-00004F360000}"/>
    <cellStyle name="Normal 2 2 2 2 4 2 2 11 5 6" xfId="13904" xr:uid="{00000000-0005-0000-0000-000050360000}"/>
    <cellStyle name="Normal 2 2 2 2 4 2 2 11 5 7" xfId="13905" xr:uid="{00000000-0005-0000-0000-000051360000}"/>
    <cellStyle name="Normal 2 2 2 2 4 2 2 11 5 8" xfId="13906" xr:uid="{00000000-0005-0000-0000-000052360000}"/>
    <cellStyle name="Normal 2 2 2 2 4 2 2 11 5 9" xfId="13907" xr:uid="{00000000-0005-0000-0000-000053360000}"/>
    <cellStyle name="Normal 2 2 2 2 4 2 2 11 6" xfId="13908" xr:uid="{00000000-0005-0000-0000-000054360000}"/>
    <cellStyle name="Normal 2 2 2 2 4 2 2 11 7" xfId="13909" xr:uid="{00000000-0005-0000-0000-000055360000}"/>
    <cellStyle name="Normal 2 2 2 2 4 2 2 11 8" xfId="13910" xr:uid="{00000000-0005-0000-0000-000056360000}"/>
    <cellStyle name="Normal 2 2 2 2 4 2 2 11 9" xfId="13911" xr:uid="{00000000-0005-0000-0000-000057360000}"/>
    <cellStyle name="Normal 2 2 2 2 4 2 2 12" xfId="13912" xr:uid="{00000000-0005-0000-0000-000058360000}"/>
    <cellStyle name="Normal 2 2 2 2 4 2 2 12 10" xfId="13913" xr:uid="{00000000-0005-0000-0000-000059360000}"/>
    <cellStyle name="Normal 2 2 2 2 4 2 2 12 11" xfId="13914" xr:uid="{00000000-0005-0000-0000-00005A360000}"/>
    <cellStyle name="Normal 2 2 2 2 4 2 2 12 12" xfId="13915" xr:uid="{00000000-0005-0000-0000-00005B360000}"/>
    <cellStyle name="Normal 2 2 2 2 4 2 2 12 13" xfId="13916" xr:uid="{00000000-0005-0000-0000-00005C360000}"/>
    <cellStyle name="Normal 2 2 2 2 4 2 2 12 14" xfId="13917" xr:uid="{00000000-0005-0000-0000-00005D360000}"/>
    <cellStyle name="Normal 2 2 2 2 4 2 2 12 2" xfId="13918" xr:uid="{00000000-0005-0000-0000-00005E360000}"/>
    <cellStyle name="Normal 2 2 2 2 4 2 2 12 2 10" xfId="13919" xr:uid="{00000000-0005-0000-0000-00005F360000}"/>
    <cellStyle name="Normal 2 2 2 2 4 2 2 12 2 2" xfId="13920" xr:uid="{00000000-0005-0000-0000-000060360000}"/>
    <cellStyle name="Normal 2 2 2 2 4 2 2 12 2 3" xfId="13921" xr:uid="{00000000-0005-0000-0000-000061360000}"/>
    <cellStyle name="Normal 2 2 2 2 4 2 2 12 2 4" xfId="13922" xr:uid="{00000000-0005-0000-0000-000062360000}"/>
    <cellStyle name="Normal 2 2 2 2 4 2 2 12 2 5" xfId="13923" xr:uid="{00000000-0005-0000-0000-000063360000}"/>
    <cellStyle name="Normal 2 2 2 2 4 2 2 12 2 6" xfId="13924" xr:uid="{00000000-0005-0000-0000-000064360000}"/>
    <cellStyle name="Normal 2 2 2 2 4 2 2 12 2 7" xfId="13925" xr:uid="{00000000-0005-0000-0000-000065360000}"/>
    <cellStyle name="Normal 2 2 2 2 4 2 2 12 2 8" xfId="13926" xr:uid="{00000000-0005-0000-0000-000066360000}"/>
    <cellStyle name="Normal 2 2 2 2 4 2 2 12 2 9" xfId="13927" xr:uid="{00000000-0005-0000-0000-000067360000}"/>
    <cellStyle name="Normal 2 2 2 2 4 2 2 12 3" xfId="13928" xr:uid="{00000000-0005-0000-0000-000068360000}"/>
    <cellStyle name="Normal 2 2 2 2 4 2 2 12 3 10" xfId="13929" xr:uid="{00000000-0005-0000-0000-000069360000}"/>
    <cellStyle name="Normal 2 2 2 2 4 2 2 12 3 2" xfId="13930" xr:uid="{00000000-0005-0000-0000-00006A360000}"/>
    <cellStyle name="Normal 2 2 2 2 4 2 2 12 3 3" xfId="13931" xr:uid="{00000000-0005-0000-0000-00006B360000}"/>
    <cellStyle name="Normal 2 2 2 2 4 2 2 12 3 4" xfId="13932" xr:uid="{00000000-0005-0000-0000-00006C360000}"/>
    <cellStyle name="Normal 2 2 2 2 4 2 2 12 3 5" xfId="13933" xr:uid="{00000000-0005-0000-0000-00006D360000}"/>
    <cellStyle name="Normal 2 2 2 2 4 2 2 12 3 6" xfId="13934" xr:uid="{00000000-0005-0000-0000-00006E360000}"/>
    <cellStyle name="Normal 2 2 2 2 4 2 2 12 3 7" xfId="13935" xr:uid="{00000000-0005-0000-0000-00006F360000}"/>
    <cellStyle name="Normal 2 2 2 2 4 2 2 12 3 8" xfId="13936" xr:uid="{00000000-0005-0000-0000-000070360000}"/>
    <cellStyle name="Normal 2 2 2 2 4 2 2 12 3 9" xfId="13937" xr:uid="{00000000-0005-0000-0000-000071360000}"/>
    <cellStyle name="Normal 2 2 2 2 4 2 2 12 4" xfId="13938" xr:uid="{00000000-0005-0000-0000-000072360000}"/>
    <cellStyle name="Normal 2 2 2 2 4 2 2 12 4 10" xfId="13939" xr:uid="{00000000-0005-0000-0000-000073360000}"/>
    <cellStyle name="Normal 2 2 2 2 4 2 2 12 4 2" xfId="13940" xr:uid="{00000000-0005-0000-0000-000074360000}"/>
    <cellStyle name="Normal 2 2 2 2 4 2 2 12 4 3" xfId="13941" xr:uid="{00000000-0005-0000-0000-000075360000}"/>
    <cellStyle name="Normal 2 2 2 2 4 2 2 12 4 4" xfId="13942" xr:uid="{00000000-0005-0000-0000-000076360000}"/>
    <cellStyle name="Normal 2 2 2 2 4 2 2 12 4 5" xfId="13943" xr:uid="{00000000-0005-0000-0000-000077360000}"/>
    <cellStyle name="Normal 2 2 2 2 4 2 2 12 4 6" xfId="13944" xr:uid="{00000000-0005-0000-0000-000078360000}"/>
    <cellStyle name="Normal 2 2 2 2 4 2 2 12 4 7" xfId="13945" xr:uid="{00000000-0005-0000-0000-000079360000}"/>
    <cellStyle name="Normal 2 2 2 2 4 2 2 12 4 8" xfId="13946" xr:uid="{00000000-0005-0000-0000-00007A360000}"/>
    <cellStyle name="Normal 2 2 2 2 4 2 2 12 4 9" xfId="13947" xr:uid="{00000000-0005-0000-0000-00007B360000}"/>
    <cellStyle name="Normal 2 2 2 2 4 2 2 12 5" xfId="13948" xr:uid="{00000000-0005-0000-0000-00007C360000}"/>
    <cellStyle name="Normal 2 2 2 2 4 2 2 12 5 10" xfId="13949" xr:uid="{00000000-0005-0000-0000-00007D360000}"/>
    <cellStyle name="Normal 2 2 2 2 4 2 2 12 5 2" xfId="13950" xr:uid="{00000000-0005-0000-0000-00007E360000}"/>
    <cellStyle name="Normal 2 2 2 2 4 2 2 12 5 3" xfId="13951" xr:uid="{00000000-0005-0000-0000-00007F360000}"/>
    <cellStyle name="Normal 2 2 2 2 4 2 2 12 5 4" xfId="13952" xr:uid="{00000000-0005-0000-0000-000080360000}"/>
    <cellStyle name="Normal 2 2 2 2 4 2 2 12 5 5" xfId="13953" xr:uid="{00000000-0005-0000-0000-000081360000}"/>
    <cellStyle name="Normal 2 2 2 2 4 2 2 12 5 6" xfId="13954" xr:uid="{00000000-0005-0000-0000-000082360000}"/>
    <cellStyle name="Normal 2 2 2 2 4 2 2 12 5 7" xfId="13955" xr:uid="{00000000-0005-0000-0000-000083360000}"/>
    <cellStyle name="Normal 2 2 2 2 4 2 2 12 5 8" xfId="13956" xr:uid="{00000000-0005-0000-0000-000084360000}"/>
    <cellStyle name="Normal 2 2 2 2 4 2 2 12 5 9" xfId="13957" xr:uid="{00000000-0005-0000-0000-000085360000}"/>
    <cellStyle name="Normal 2 2 2 2 4 2 2 12 6" xfId="13958" xr:uid="{00000000-0005-0000-0000-000086360000}"/>
    <cellStyle name="Normal 2 2 2 2 4 2 2 12 7" xfId="13959" xr:uid="{00000000-0005-0000-0000-000087360000}"/>
    <cellStyle name="Normal 2 2 2 2 4 2 2 12 8" xfId="13960" xr:uid="{00000000-0005-0000-0000-000088360000}"/>
    <cellStyle name="Normal 2 2 2 2 4 2 2 12 9" xfId="13961" xr:uid="{00000000-0005-0000-0000-000089360000}"/>
    <cellStyle name="Normal 2 2 2 2 4 2 2 13" xfId="13962" xr:uid="{00000000-0005-0000-0000-00008A360000}"/>
    <cellStyle name="Normal 2 2 2 2 4 2 2 13 10" xfId="13963" xr:uid="{00000000-0005-0000-0000-00008B360000}"/>
    <cellStyle name="Normal 2 2 2 2 4 2 2 13 11" xfId="13964" xr:uid="{00000000-0005-0000-0000-00008C360000}"/>
    <cellStyle name="Normal 2 2 2 2 4 2 2 13 12" xfId="13965" xr:uid="{00000000-0005-0000-0000-00008D360000}"/>
    <cellStyle name="Normal 2 2 2 2 4 2 2 13 13" xfId="13966" xr:uid="{00000000-0005-0000-0000-00008E360000}"/>
    <cellStyle name="Normal 2 2 2 2 4 2 2 13 14" xfId="13967" xr:uid="{00000000-0005-0000-0000-00008F360000}"/>
    <cellStyle name="Normal 2 2 2 2 4 2 2 13 2" xfId="13968" xr:uid="{00000000-0005-0000-0000-000090360000}"/>
    <cellStyle name="Normal 2 2 2 2 4 2 2 13 2 10" xfId="13969" xr:uid="{00000000-0005-0000-0000-000091360000}"/>
    <cellStyle name="Normal 2 2 2 2 4 2 2 13 2 2" xfId="13970" xr:uid="{00000000-0005-0000-0000-000092360000}"/>
    <cellStyle name="Normal 2 2 2 2 4 2 2 13 2 3" xfId="13971" xr:uid="{00000000-0005-0000-0000-000093360000}"/>
    <cellStyle name="Normal 2 2 2 2 4 2 2 13 2 4" xfId="13972" xr:uid="{00000000-0005-0000-0000-000094360000}"/>
    <cellStyle name="Normal 2 2 2 2 4 2 2 13 2 5" xfId="13973" xr:uid="{00000000-0005-0000-0000-000095360000}"/>
    <cellStyle name="Normal 2 2 2 2 4 2 2 13 2 6" xfId="13974" xr:uid="{00000000-0005-0000-0000-000096360000}"/>
    <cellStyle name="Normal 2 2 2 2 4 2 2 13 2 7" xfId="13975" xr:uid="{00000000-0005-0000-0000-000097360000}"/>
    <cellStyle name="Normal 2 2 2 2 4 2 2 13 2 8" xfId="13976" xr:uid="{00000000-0005-0000-0000-000098360000}"/>
    <cellStyle name="Normal 2 2 2 2 4 2 2 13 2 9" xfId="13977" xr:uid="{00000000-0005-0000-0000-000099360000}"/>
    <cellStyle name="Normal 2 2 2 2 4 2 2 13 3" xfId="13978" xr:uid="{00000000-0005-0000-0000-00009A360000}"/>
    <cellStyle name="Normal 2 2 2 2 4 2 2 13 3 10" xfId="13979" xr:uid="{00000000-0005-0000-0000-00009B360000}"/>
    <cellStyle name="Normal 2 2 2 2 4 2 2 13 3 2" xfId="13980" xr:uid="{00000000-0005-0000-0000-00009C360000}"/>
    <cellStyle name="Normal 2 2 2 2 4 2 2 13 3 3" xfId="13981" xr:uid="{00000000-0005-0000-0000-00009D360000}"/>
    <cellStyle name="Normal 2 2 2 2 4 2 2 13 3 4" xfId="13982" xr:uid="{00000000-0005-0000-0000-00009E360000}"/>
    <cellStyle name="Normal 2 2 2 2 4 2 2 13 3 5" xfId="13983" xr:uid="{00000000-0005-0000-0000-00009F360000}"/>
    <cellStyle name="Normal 2 2 2 2 4 2 2 13 3 6" xfId="13984" xr:uid="{00000000-0005-0000-0000-0000A0360000}"/>
    <cellStyle name="Normal 2 2 2 2 4 2 2 13 3 7" xfId="13985" xr:uid="{00000000-0005-0000-0000-0000A1360000}"/>
    <cellStyle name="Normal 2 2 2 2 4 2 2 13 3 8" xfId="13986" xr:uid="{00000000-0005-0000-0000-0000A2360000}"/>
    <cellStyle name="Normal 2 2 2 2 4 2 2 13 3 9" xfId="13987" xr:uid="{00000000-0005-0000-0000-0000A3360000}"/>
    <cellStyle name="Normal 2 2 2 2 4 2 2 13 4" xfId="13988" xr:uid="{00000000-0005-0000-0000-0000A4360000}"/>
    <cellStyle name="Normal 2 2 2 2 4 2 2 13 4 10" xfId="13989" xr:uid="{00000000-0005-0000-0000-0000A5360000}"/>
    <cellStyle name="Normal 2 2 2 2 4 2 2 13 4 2" xfId="13990" xr:uid="{00000000-0005-0000-0000-0000A6360000}"/>
    <cellStyle name="Normal 2 2 2 2 4 2 2 13 4 3" xfId="13991" xr:uid="{00000000-0005-0000-0000-0000A7360000}"/>
    <cellStyle name="Normal 2 2 2 2 4 2 2 13 4 4" xfId="13992" xr:uid="{00000000-0005-0000-0000-0000A8360000}"/>
    <cellStyle name="Normal 2 2 2 2 4 2 2 13 4 5" xfId="13993" xr:uid="{00000000-0005-0000-0000-0000A9360000}"/>
    <cellStyle name="Normal 2 2 2 2 4 2 2 13 4 6" xfId="13994" xr:uid="{00000000-0005-0000-0000-0000AA360000}"/>
    <cellStyle name="Normal 2 2 2 2 4 2 2 13 4 7" xfId="13995" xr:uid="{00000000-0005-0000-0000-0000AB360000}"/>
    <cellStyle name="Normal 2 2 2 2 4 2 2 13 4 8" xfId="13996" xr:uid="{00000000-0005-0000-0000-0000AC360000}"/>
    <cellStyle name="Normal 2 2 2 2 4 2 2 13 4 9" xfId="13997" xr:uid="{00000000-0005-0000-0000-0000AD360000}"/>
    <cellStyle name="Normal 2 2 2 2 4 2 2 13 5" xfId="13998" xr:uid="{00000000-0005-0000-0000-0000AE360000}"/>
    <cellStyle name="Normal 2 2 2 2 4 2 2 13 5 10" xfId="13999" xr:uid="{00000000-0005-0000-0000-0000AF360000}"/>
    <cellStyle name="Normal 2 2 2 2 4 2 2 13 5 2" xfId="14000" xr:uid="{00000000-0005-0000-0000-0000B0360000}"/>
    <cellStyle name="Normal 2 2 2 2 4 2 2 13 5 3" xfId="14001" xr:uid="{00000000-0005-0000-0000-0000B1360000}"/>
    <cellStyle name="Normal 2 2 2 2 4 2 2 13 5 4" xfId="14002" xr:uid="{00000000-0005-0000-0000-0000B2360000}"/>
    <cellStyle name="Normal 2 2 2 2 4 2 2 13 5 5" xfId="14003" xr:uid="{00000000-0005-0000-0000-0000B3360000}"/>
    <cellStyle name="Normal 2 2 2 2 4 2 2 13 5 6" xfId="14004" xr:uid="{00000000-0005-0000-0000-0000B4360000}"/>
    <cellStyle name="Normal 2 2 2 2 4 2 2 13 5 7" xfId="14005" xr:uid="{00000000-0005-0000-0000-0000B5360000}"/>
    <cellStyle name="Normal 2 2 2 2 4 2 2 13 5 8" xfId="14006" xr:uid="{00000000-0005-0000-0000-0000B6360000}"/>
    <cellStyle name="Normal 2 2 2 2 4 2 2 13 5 9" xfId="14007" xr:uid="{00000000-0005-0000-0000-0000B7360000}"/>
    <cellStyle name="Normal 2 2 2 2 4 2 2 13 6" xfId="14008" xr:uid="{00000000-0005-0000-0000-0000B8360000}"/>
    <cellStyle name="Normal 2 2 2 2 4 2 2 13 7" xfId="14009" xr:uid="{00000000-0005-0000-0000-0000B9360000}"/>
    <cellStyle name="Normal 2 2 2 2 4 2 2 13 8" xfId="14010" xr:uid="{00000000-0005-0000-0000-0000BA360000}"/>
    <cellStyle name="Normal 2 2 2 2 4 2 2 13 9" xfId="14011" xr:uid="{00000000-0005-0000-0000-0000BB360000}"/>
    <cellStyle name="Normal 2 2 2 2 4 2 2 14" xfId="14012" xr:uid="{00000000-0005-0000-0000-0000BC360000}"/>
    <cellStyle name="Normal 2 2 2 2 4 2 2 14 10" xfId="14013" xr:uid="{00000000-0005-0000-0000-0000BD360000}"/>
    <cellStyle name="Normal 2 2 2 2 4 2 2 14 11" xfId="14014" xr:uid="{00000000-0005-0000-0000-0000BE360000}"/>
    <cellStyle name="Normal 2 2 2 2 4 2 2 14 12" xfId="14015" xr:uid="{00000000-0005-0000-0000-0000BF360000}"/>
    <cellStyle name="Normal 2 2 2 2 4 2 2 14 13" xfId="14016" xr:uid="{00000000-0005-0000-0000-0000C0360000}"/>
    <cellStyle name="Normal 2 2 2 2 4 2 2 14 14" xfId="14017" xr:uid="{00000000-0005-0000-0000-0000C1360000}"/>
    <cellStyle name="Normal 2 2 2 2 4 2 2 14 2" xfId="14018" xr:uid="{00000000-0005-0000-0000-0000C2360000}"/>
    <cellStyle name="Normal 2 2 2 2 4 2 2 14 2 10" xfId="14019" xr:uid="{00000000-0005-0000-0000-0000C3360000}"/>
    <cellStyle name="Normal 2 2 2 2 4 2 2 14 2 2" xfId="14020" xr:uid="{00000000-0005-0000-0000-0000C4360000}"/>
    <cellStyle name="Normal 2 2 2 2 4 2 2 14 2 3" xfId="14021" xr:uid="{00000000-0005-0000-0000-0000C5360000}"/>
    <cellStyle name="Normal 2 2 2 2 4 2 2 14 2 4" xfId="14022" xr:uid="{00000000-0005-0000-0000-0000C6360000}"/>
    <cellStyle name="Normal 2 2 2 2 4 2 2 14 2 5" xfId="14023" xr:uid="{00000000-0005-0000-0000-0000C7360000}"/>
    <cellStyle name="Normal 2 2 2 2 4 2 2 14 2 6" xfId="14024" xr:uid="{00000000-0005-0000-0000-0000C8360000}"/>
    <cellStyle name="Normal 2 2 2 2 4 2 2 14 2 7" xfId="14025" xr:uid="{00000000-0005-0000-0000-0000C9360000}"/>
    <cellStyle name="Normal 2 2 2 2 4 2 2 14 2 8" xfId="14026" xr:uid="{00000000-0005-0000-0000-0000CA360000}"/>
    <cellStyle name="Normal 2 2 2 2 4 2 2 14 2 9" xfId="14027" xr:uid="{00000000-0005-0000-0000-0000CB360000}"/>
    <cellStyle name="Normal 2 2 2 2 4 2 2 14 3" xfId="14028" xr:uid="{00000000-0005-0000-0000-0000CC360000}"/>
    <cellStyle name="Normal 2 2 2 2 4 2 2 14 3 10" xfId="14029" xr:uid="{00000000-0005-0000-0000-0000CD360000}"/>
    <cellStyle name="Normal 2 2 2 2 4 2 2 14 3 2" xfId="14030" xr:uid="{00000000-0005-0000-0000-0000CE360000}"/>
    <cellStyle name="Normal 2 2 2 2 4 2 2 14 3 3" xfId="14031" xr:uid="{00000000-0005-0000-0000-0000CF360000}"/>
    <cellStyle name="Normal 2 2 2 2 4 2 2 14 3 4" xfId="14032" xr:uid="{00000000-0005-0000-0000-0000D0360000}"/>
    <cellStyle name="Normal 2 2 2 2 4 2 2 14 3 5" xfId="14033" xr:uid="{00000000-0005-0000-0000-0000D1360000}"/>
    <cellStyle name="Normal 2 2 2 2 4 2 2 14 3 6" xfId="14034" xr:uid="{00000000-0005-0000-0000-0000D2360000}"/>
    <cellStyle name="Normal 2 2 2 2 4 2 2 14 3 7" xfId="14035" xr:uid="{00000000-0005-0000-0000-0000D3360000}"/>
    <cellStyle name="Normal 2 2 2 2 4 2 2 14 3 8" xfId="14036" xr:uid="{00000000-0005-0000-0000-0000D4360000}"/>
    <cellStyle name="Normal 2 2 2 2 4 2 2 14 3 9" xfId="14037" xr:uid="{00000000-0005-0000-0000-0000D5360000}"/>
    <cellStyle name="Normal 2 2 2 2 4 2 2 14 4" xfId="14038" xr:uid="{00000000-0005-0000-0000-0000D6360000}"/>
    <cellStyle name="Normal 2 2 2 2 4 2 2 14 4 10" xfId="14039" xr:uid="{00000000-0005-0000-0000-0000D7360000}"/>
    <cellStyle name="Normal 2 2 2 2 4 2 2 14 4 2" xfId="14040" xr:uid="{00000000-0005-0000-0000-0000D8360000}"/>
    <cellStyle name="Normal 2 2 2 2 4 2 2 14 4 3" xfId="14041" xr:uid="{00000000-0005-0000-0000-0000D9360000}"/>
    <cellStyle name="Normal 2 2 2 2 4 2 2 14 4 4" xfId="14042" xr:uid="{00000000-0005-0000-0000-0000DA360000}"/>
    <cellStyle name="Normal 2 2 2 2 4 2 2 14 4 5" xfId="14043" xr:uid="{00000000-0005-0000-0000-0000DB360000}"/>
    <cellStyle name="Normal 2 2 2 2 4 2 2 14 4 6" xfId="14044" xr:uid="{00000000-0005-0000-0000-0000DC360000}"/>
    <cellStyle name="Normal 2 2 2 2 4 2 2 14 4 7" xfId="14045" xr:uid="{00000000-0005-0000-0000-0000DD360000}"/>
    <cellStyle name="Normal 2 2 2 2 4 2 2 14 4 8" xfId="14046" xr:uid="{00000000-0005-0000-0000-0000DE360000}"/>
    <cellStyle name="Normal 2 2 2 2 4 2 2 14 4 9" xfId="14047" xr:uid="{00000000-0005-0000-0000-0000DF360000}"/>
    <cellStyle name="Normal 2 2 2 2 4 2 2 14 5" xfId="14048" xr:uid="{00000000-0005-0000-0000-0000E0360000}"/>
    <cellStyle name="Normal 2 2 2 2 4 2 2 14 5 10" xfId="14049" xr:uid="{00000000-0005-0000-0000-0000E1360000}"/>
    <cellStyle name="Normal 2 2 2 2 4 2 2 14 5 2" xfId="14050" xr:uid="{00000000-0005-0000-0000-0000E2360000}"/>
    <cellStyle name="Normal 2 2 2 2 4 2 2 14 5 3" xfId="14051" xr:uid="{00000000-0005-0000-0000-0000E3360000}"/>
    <cellStyle name="Normal 2 2 2 2 4 2 2 14 5 4" xfId="14052" xr:uid="{00000000-0005-0000-0000-0000E4360000}"/>
    <cellStyle name="Normal 2 2 2 2 4 2 2 14 5 5" xfId="14053" xr:uid="{00000000-0005-0000-0000-0000E5360000}"/>
    <cellStyle name="Normal 2 2 2 2 4 2 2 14 5 6" xfId="14054" xr:uid="{00000000-0005-0000-0000-0000E6360000}"/>
    <cellStyle name="Normal 2 2 2 2 4 2 2 14 5 7" xfId="14055" xr:uid="{00000000-0005-0000-0000-0000E7360000}"/>
    <cellStyle name="Normal 2 2 2 2 4 2 2 14 5 8" xfId="14056" xr:uid="{00000000-0005-0000-0000-0000E8360000}"/>
    <cellStyle name="Normal 2 2 2 2 4 2 2 14 5 9" xfId="14057" xr:uid="{00000000-0005-0000-0000-0000E9360000}"/>
    <cellStyle name="Normal 2 2 2 2 4 2 2 14 6" xfId="14058" xr:uid="{00000000-0005-0000-0000-0000EA360000}"/>
    <cellStyle name="Normal 2 2 2 2 4 2 2 14 7" xfId="14059" xr:uid="{00000000-0005-0000-0000-0000EB360000}"/>
    <cellStyle name="Normal 2 2 2 2 4 2 2 14 8" xfId="14060" xr:uid="{00000000-0005-0000-0000-0000EC360000}"/>
    <cellStyle name="Normal 2 2 2 2 4 2 2 14 9" xfId="14061" xr:uid="{00000000-0005-0000-0000-0000ED360000}"/>
    <cellStyle name="Normal 2 2 2 2 4 2 2 15" xfId="14062" xr:uid="{00000000-0005-0000-0000-0000EE360000}"/>
    <cellStyle name="Normal 2 2 2 2 4 2 2 15 10" xfId="14063" xr:uid="{00000000-0005-0000-0000-0000EF360000}"/>
    <cellStyle name="Normal 2 2 2 2 4 2 2 15 11" xfId="14064" xr:uid="{00000000-0005-0000-0000-0000F0360000}"/>
    <cellStyle name="Normal 2 2 2 2 4 2 2 15 12" xfId="14065" xr:uid="{00000000-0005-0000-0000-0000F1360000}"/>
    <cellStyle name="Normal 2 2 2 2 4 2 2 15 13" xfId="14066" xr:uid="{00000000-0005-0000-0000-0000F2360000}"/>
    <cellStyle name="Normal 2 2 2 2 4 2 2 15 14" xfId="14067" xr:uid="{00000000-0005-0000-0000-0000F3360000}"/>
    <cellStyle name="Normal 2 2 2 2 4 2 2 15 2" xfId="14068" xr:uid="{00000000-0005-0000-0000-0000F4360000}"/>
    <cellStyle name="Normal 2 2 2 2 4 2 2 15 2 10" xfId="14069" xr:uid="{00000000-0005-0000-0000-0000F5360000}"/>
    <cellStyle name="Normal 2 2 2 2 4 2 2 15 2 2" xfId="14070" xr:uid="{00000000-0005-0000-0000-0000F6360000}"/>
    <cellStyle name="Normal 2 2 2 2 4 2 2 15 2 3" xfId="14071" xr:uid="{00000000-0005-0000-0000-0000F7360000}"/>
    <cellStyle name="Normal 2 2 2 2 4 2 2 15 2 4" xfId="14072" xr:uid="{00000000-0005-0000-0000-0000F8360000}"/>
    <cellStyle name="Normal 2 2 2 2 4 2 2 15 2 5" xfId="14073" xr:uid="{00000000-0005-0000-0000-0000F9360000}"/>
    <cellStyle name="Normal 2 2 2 2 4 2 2 15 2 6" xfId="14074" xr:uid="{00000000-0005-0000-0000-0000FA360000}"/>
    <cellStyle name="Normal 2 2 2 2 4 2 2 15 2 7" xfId="14075" xr:uid="{00000000-0005-0000-0000-0000FB360000}"/>
    <cellStyle name="Normal 2 2 2 2 4 2 2 15 2 8" xfId="14076" xr:uid="{00000000-0005-0000-0000-0000FC360000}"/>
    <cellStyle name="Normal 2 2 2 2 4 2 2 15 2 9" xfId="14077" xr:uid="{00000000-0005-0000-0000-0000FD360000}"/>
    <cellStyle name="Normal 2 2 2 2 4 2 2 15 3" xfId="14078" xr:uid="{00000000-0005-0000-0000-0000FE360000}"/>
    <cellStyle name="Normal 2 2 2 2 4 2 2 15 3 10" xfId="14079" xr:uid="{00000000-0005-0000-0000-0000FF360000}"/>
    <cellStyle name="Normal 2 2 2 2 4 2 2 15 3 2" xfId="14080" xr:uid="{00000000-0005-0000-0000-000000370000}"/>
    <cellStyle name="Normal 2 2 2 2 4 2 2 15 3 3" xfId="14081" xr:uid="{00000000-0005-0000-0000-000001370000}"/>
    <cellStyle name="Normal 2 2 2 2 4 2 2 15 3 4" xfId="14082" xr:uid="{00000000-0005-0000-0000-000002370000}"/>
    <cellStyle name="Normal 2 2 2 2 4 2 2 15 3 5" xfId="14083" xr:uid="{00000000-0005-0000-0000-000003370000}"/>
    <cellStyle name="Normal 2 2 2 2 4 2 2 15 3 6" xfId="14084" xr:uid="{00000000-0005-0000-0000-000004370000}"/>
    <cellStyle name="Normal 2 2 2 2 4 2 2 15 3 7" xfId="14085" xr:uid="{00000000-0005-0000-0000-000005370000}"/>
    <cellStyle name="Normal 2 2 2 2 4 2 2 15 3 8" xfId="14086" xr:uid="{00000000-0005-0000-0000-000006370000}"/>
    <cellStyle name="Normal 2 2 2 2 4 2 2 15 3 9" xfId="14087" xr:uid="{00000000-0005-0000-0000-000007370000}"/>
    <cellStyle name="Normal 2 2 2 2 4 2 2 15 4" xfId="14088" xr:uid="{00000000-0005-0000-0000-000008370000}"/>
    <cellStyle name="Normal 2 2 2 2 4 2 2 15 4 10" xfId="14089" xr:uid="{00000000-0005-0000-0000-000009370000}"/>
    <cellStyle name="Normal 2 2 2 2 4 2 2 15 4 2" xfId="14090" xr:uid="{00000000-0005-0000-0000-00000A370000}"/>
    <cellStyle name="Normal 2 2 2 2 4 2 2 15 4 3" xfId="14091" xr:uid="{00000000-0005-0000-0000-00000B370000}"/>
    <cellStyle name="Normal 2 2 2 2 4 2 2 15 4 4" xfId="14092" xr:uid="{00000000-0005-0000-0000-00000C370000}"/>
    <cellStyle name="Normal 2 2 2 2 4 2 2 15 4 5" xfId="14093" xr:uid="{00000000-0005-0000-0000-00000D370000}"/>
    <cellStyle name="Normal 2 2 2 2 4 2 2 15 4 6" xfId="14094" xr:uid="{00000000-0005-0000-0000-00000E370000}"/>
    <cellStyle name="Normal 2 2 2 2 4 2 2 15 4 7" xfId="14095" xr:uid="{00000000-0005-0000-0000-00000F370000}"/>
    <cellStyle name="Normal 2 2 2 2 4 2 2 15 4 8" xfId="14096" xr:uid="{00000000-0005-0000-0000-000010370000}"/>
    <cellStyle name="Normal 2 2 2 2 4 2 2 15 4 9" xfId="14097" xr:uid="{00000000-0005-0000-0000-000011370000}"/>
    <cellStyle name="Normal 2 2 2 2 4 2 2 15 5" xfId="14098" xr:uid="{00000000-0005-0000-0000-000012370000}"/>
    <cellStyle name="Normal 2 2 2 2 4 2 2 15 5 10" xfId="14099" xr:uid="{00000000-0005-0000-0000-000013370000}"/>
    <cellStyle name="Normal 2 2 2 2 4 2 2 15 5 2" xfId="14100" xr:uid="{00000000-0005-0000-0000-000014370000}"/>
    <cellStyle name="Normal 2 2 2 2 4 2 2 15 5 3" xfId="14101" xr:uid="{00000000-0005-0000-0000-000015370000}"/>
    <cellStyle name="Normal 2 2 2 2 4 2 2 15 5 4" xfId="14102" xr:uid="{00000000-0005-0000-0000-000016370000}"/>
    <cellStyle name="Normal 2 2 2 2 4 2 2 15 5 5" xfId="14103" xr:uid="{00000000-0005-0000-0000-000017370000}"/>
    <cellStyle name="Normal 2 2 2 2 4 2 2 15 5 6" xfId="14104" xr:uid="{00000000-0005-0000-0000-000018370000}"/>
    <cellStyle name="Normal 2 2 2 2 4 2 2 15 5 7" xfId="14105" xr:uid="{00000000-0005-0000-0000-000019370000}"/>
    <cellStyle name="Normal 2 2 2 2 4 2 2 15 5 8" xfId="14106" xr:uid="{00000000-0005-0000-0000-00001A370000}"/>
    <cellStyle name="Normal 2 2 2 2 4 2 2 15 5 9" xfId="14107" xr:uid="{00000000-0005-0000-0000-00001B370000}"/>
    <cellStyle name="Normal 2 2 2 2 4 2 2 15 6" xfId="14108" xr:uid="{00000000-0005-0000-0000-00001C370000}"/>
    <cellStyle name="Normal 2 2 2 2 4 2 2 15 7" xfId="14109" xr:uid="{00000000-0005-0000-0000-00001D370000}"/>
    <cellStyle name="Normal 2 2 2 2 4 2 2 15 8" xfId="14110" xr:uid="{00000000-0005-0000-0000-00001E370000}"/>
    <cellStyle name="Normal 2 2 2 2 4 2 2 15 9" xfId="14111" xr:uid="{00000000-0005-0000-0000-00001F370000}"/>
    <cellStyle name="Normal 2 2 2 2 4 2 2 16" xfId="14112" xr:uid="{00000000-0005-0000-0000-000020370000}"/>
    <cellStyle name="Normal 2 2 2 2 4 2 2 16 10" xfId="14113" xr:uid="{00000000-0005-0000-0000-000021370000}"/>
    <cellStyle name="Normal 2 2 2 2 4 2 2 16 11" xfId="14114" xr:uid="{00000000-0005-0000-0000-000022370000}"/>
    <cellStyle name="Normal 2 2 2 2 4 2 2 16 12" xfId="14115" xr:uid="{00000000-0005-0000-0000-000023370000}"/>
    <cellStyle name="Normal 2 2 2 2 4 2 2 16 13" xfId="14116" xr:uid="{00000000-0005-0000-0000-000024370000}"/>
    <cellStyle name="Normal 2 2 2 2 4 2 2 16 14" xfId="14117" xr:uid="{00000000-0005-0000-0000-000025370000}"/>
    <cellStyle name="Normal 2 2 2 2 4 2 2 16 2" xfId="14118" xr:uid="{00000000-0005-0000-0000-000026370000}"/>
    <cellStyle name="Normal 2 2 2 2 4 2 2 16 2 10" xfId="14119" xr:uid="{00000000-0005-0000-0000-000027370000}"/>
    <cellStyle name="Normal 2 2 2 2 4 2 2 16 2 2" xfId="14120" xr:uid="{00000000-0005-0000-0000-000028370000}"/>
    <cellStyle name="Normal 2 2 2 2 4 2 2 16 2 3" xfId="14121" xr:uid="{00000000-0005-0000-0000-000029370000}"/>
    <cellStyle name="Normal 2 2 2 2 4 2 2 16 2 4" xfId="14122" xr:uid="{00000000-0005-0000-0000-00002A370000}"/>
    <cellStyle name="Normal 2 2 2 2 4 2 2 16 2 5" xfId="14123" xr:uid="{00000000-0005-0000-0000-00002B370000}"/>
    <cellStyle name="Normal 2 2 2 2 4 2 2 16 2 6" xfId="14124" xr:uid="{00000000-0005-0000-0000-00002C370000}"/>
    <cellStyle name="Normal 2 2 2 2 4 2 2 16 2 7" xfId="14125" xr:uid="{00000000-0005-0000-0000-00002D370000}"/>
    <cellStyle name="Normal 2 2 2 2 4 2 2 16 2 8" xfId="14126" xr:uid="{00000000-0005-0000-0000-00002E370000}"/>
    <cellStyle name="Normal 2 2 2 2 4 2 2 16 2 9" xfId="14127" xr:uid="{00000000-0005-0000-0000-00002F370000}"/>
    <cellStyle name="Normal 2 2 2 2 4 2 2 16 3" xfId="14128" xr:uid="{00000000-0005-0000-0000-000030370000}"/>
    <cellStyle name="Normal 2 2 2 2 4 2 2 16 3 10" xfId="14129" xr:uid="{00000000-0005-0000-0000-000031370000}"/>
    <cellStyle name="Normal 2 2 2 2 4 2 2 16 3 2" xfId="14130" xr:uid="{00000000-0005-0000-0000-000032370000}"/>
    <cellStyle name="Normal 2 2 2 2 4 2 2 16 3 3" xfId="14131" xr:uid="{00000000-0005-0000-0000-000033370000}"/>
    <cellStyle name="Normal 2 2 2 2 4 2 2 16 3 4" xfId="14132" xr:uid="{00000000-0005-0000-0000-000034370000}"/>
    <cellStyle name="Normal 2 2 2 2 4 2 2 16 3 5" xfId="14133" xr:uid="{00000000-0005-0000-0000-000035370000}"/>
    <cellStyle name="Normal 2 2 2 2 4 2 2 16 3 6" xfId="14134" xr:uid="{00000000-0005-0000-0000-000036370000}"/>
    <cellStyle name="Normal 2 2 2 2 4 2 2 16 3 7" xfId="14135" xr:uid="{00000000-0005-0000-0000-000037370000}"/>
    <cellStyle name="Normal 2 2 2 2 4 2 2 16 3 8" xfId="14136" xr:uid="{00000000-0005-0000-0000-000038370000}"/>
    <cellStyle name="Normal 2 2 2 2 4 2 2 16 3 9" xfId="14137" xr:uid="{00000000-0005-0000-0000-000039370000}"/>
    <cellStyle name="Normal 2 2 2 2 4 2 2 16 4" xfId="14138" xr:uid="{00000000-0005-0000-0000-00003A370000}"/>
    <cellStyle name="Normal 2 2 2 2 4 2 2 16 4 10" xfId="14139" xr:uid="{00000000-0005-0000-0000-00003B370000}"/>
    <cellStyle name="Normal 2 2 2 2 4 2 2 16 4 2" xfId="14140" xr:uid="{00000000-0005-0000-0000-00003C370000}"/>
    <cellStyle name="Normal 2 2 2 2 4 2 2 16 4 3" xfId="14141" xr:uid="{00000000-0005-0000-0000-00003D370000}"/>
    <cellStyle name="Normal 2 2 2 2 4 2 2 16 4 4" xfId="14142" xr:uid="{00000000-0005-0000-0000-00003E370000}"/>
    <cellStyle name="Normal 2 2 2 2 4 2 2 16 4 5" xfId="14143" xr:uid="{00000000-0005-0000-0000-00003F370000}"/>
    <cellStyle name="Normal 2 2 2 2 4 2 2 16 4 6" xfId="14144" xr:uid="{00000000-0005-0000-0000-000040370000}"/>
    <cellStyle name="Normal 2 2 2 2 4 2 2 16 4 7" xfId="14145" xr:uid="{00000000-0005-0000-0000-000041370000}"/>
    <cellStyle name="Normal 2 2 2 2 4 2 2 16 4 8" xfId="14146" xr:uid="{00000000-0005-0000-0000-000042370000}"/>
    <cellStyle name="Normal 2 2 2 2 4 2 2 16 4 9" xfId="14147" xr:uid="{00000000-0005-0000-0000-000043370000}"/>
    <cellStyle name="Normal 2 2 2 2 4 2 2 16 5" xfId="14148" xr:uid="{00000000-0005-0000-0000-000044370000}"/>
    <cellStyle name="Normal 2 2 2 2 4 2 2 16 5 10" xfId="14149" xr:uid="{00000000-0005-0000-0000-000045370000}"/>
    <cellStyle name="Normal 2 2 2 2 4 2 2 16 5 2" xfId="14150" xr:uid="{00000000-0005-0000-0000-000046370000}"/>
    <cellStyle name="Normal 2 2 2 2 4 2 2 16 5 3" xfId="14151" xr:uid="{00000000-0005-0000-0000-000047370000}"/>
    <cellStyle name="Normal 2 2 2 2 4 2 2 16 5 4" xfId="14152" xr:uid="{00000000-0005-0000-0000-000048370000}"/>
    <cellStyle name="Normal 2 2 2 2 4 2 2 16 5 5" xfId="14153" xr:uid="{00000000-0005-0000-0000-000049370000}"/>
    <cellStyle name="Normal 2 2 2 2 4 2 2 16 5 6" xfId="14154" xr:uid="{00000000-0005-0000-0000-00004A370000}"/>
    <cellStyle name="Normal 2 2 2 2 4 2 2 16 5 7" xfId="14155" xr:uid="{00000000-0005-0000-0000-00004B370000}"/>
    <cellStyle name="Normal 2 2 2 2 4 2 2 16 5 8" xfId="14156" xr:uid="{00000000-0005-0000-0000-00004C370000}"/>
    <cellStyle name="Normal 2 2 2 2 4 2 2 16 5 9" xfId="14157" xr:uid="{00000000-0005-0000-0000-00004D370000}"/>
    <cellStyle name="Normal 2 2 2 2 4 2 2 16 6" xfId="14158" xr:uid="{00000000-0005-0000-0000-00004E370000}"/>
    <cellStyle name="Normal 2 2 2 2 4 2 2 16 7" xfId="14159" xr:uid="{00000000-0005-0000-0000-00004F370000}"/>
    <cellStyle name="Normal 2 2 2 2 4 2 2 16 8" xfId="14160" xr:uid="{00000000-0005-0000-0000-000050370000}"/>
    <cellStyle name="Normal 2 2 2 2 4 2 2 16 9" xfId="14161" xr:uid="{00000000-0005-0000-0000-000051370000}"/>
    <cellStyle name="Normal 2 2 2 2 4 2 2 17" xfId="14162" xr:uid="{00000000-0005-0000-0000-000052370000}"/>
    <cellStyle name="Normal 2 2 2 2 4 2 2 17 10" xfId="14163" xr:uid="{00000000-0005-0000-0000-000053370000}"/>
    <cellStyle name="Normal 2 2 2 2 4 2 2 17 11" xfId="14164" xr:uid="{00000000-0005-0000-0000-000054370000}"/>
    <cellStyle name="Normal 2 2 2 2 4 2 2 17 12" xfId="14165" xr:uid="{00000000-0005-0000-0000-000055370000}"/>
    <cellStyle name="Normal 2 2 2 2 4 2 2 17 13" xfId="14166" xr:uid="{00000000-0005-0000-0000-000056370000}"/>
    <cellStyle name="Normal 2 2 2 2 4 2 2 17 14" xfId="14167" xr:uid="{00000000-0005-0000-0000-000057370000}"/>
    <cellStyle name="Normal 2 2 2 2 4 2 2 17 2" xfId="14168" xr:uid="{00000000-0005-0000-0000-000058370000}"/>
    <cellStyle name="Normal 2 2 2 2 4 2 2 17 2 10" xfId="14169" xr:uid="{00000000-0005-0000-0000-000059370000}"/>
    <cellStyle name="Normal 2 2 2 2 4 2 2 17 2 2" xfId="14170" xr:uid="{00000000-0005-0000-0000-00005A370000}"/>
    <cellStyle name="Normal 2 2 2 2 4 2 2 17 2 3" xfId="14171" xr:uid="{00000000-0005-0000-0000-00005B370000}"/>
    <cellStyle name="Normal 2 2 2 2 4 2 2 17 2 4" xfId="14172" xr:uid="{00000000-0005-0000-0000-00005C370000}"/>
    <cellStyle name="Normal 2 2 2 2 4 2 2 17 2 5" xfId="14173" xr:uid="{00000000-0005-0000-0000-00005D370000}"/>
    <cellStyle name="Normal 2 2 2 2 4 2 2 17 2 6" xfId="14174" xr:uid="{00000000-0005-0000-0000-00005E370000}"/>
    <cellStyle name="Normal 2 2 2 2 4 2 2 17 2 7" xfId="14175" xr:uid="{00000000-0005-0000-0000-00005F370000}"/>
    <cellStyle name="Normal 2 2 2 2 4 2 2 17 2 8" xfId="14176" xr:uid="{00000000-0005-0000-0000-000060370000}"/>
    <cellStyle name="Normal 2 2 2 2 4 2 2 17 2 9" xfId="14177" xr:uid="{00000000-0005-0000-0000-000061370000}"/>
    <cellStyle name="Normal 2 2 2 2 4 2 2 17 3" xfId="14178" xr:uid="{00000000-0005-0000-0000-000062370000}"/>
    <cellStyle name="Normal 2 2 2 2 4 2 2 17 3 10" xfId="14179" xr:uid="{00000000-0005-0000-0000-000063370000}"/>
    <cellStyle name="Normal 2 2 2 2 4 2 2 17 3 2" xfId="14180" xr:uid="{00000000-0005-0000-0000-000064370000}"/>
    <cellStyle name="Normal 2 2 2 2 4 2 2 17 3 3" xfId="14181" xr:uid="{00000000-0005-0000-0000-000065370000}"/>
    <cellStyle name="Normal 2 2 2 2 4 2 2 17 3 4" xfId="14182" xr:uid="{00000000-0005-0000-0000-000066370000}"/>
    <cellStyle name="Normal 2 2 2 2 4 2 2 17 3 5" xfId="14183" xr:uid="{00000000-0005-0000-0000-000067370000}"/>
    <cellStyle name="Normal 2 2 2 2 4 2 2 17 3 6" xfId="14184" xr:uid="{00000000-0005-0000-0000-000068370000}"/>
    <cellStyle name="Normal 2 2 2 2 4 2 2 17 3 7" xfId="14185" xr:uid="{00000000-0005-0000-0000-000069370000}"/>
    <cellStyle name="Normal 2 2 2 2 4 2 2 17 3 8" xfId="14186" xr:uid="{00000000-0005-0000-0000-00006A370000}"/>
    <cellStyle name="Normal 2 2 2 2 4 2 2 17 3 9" xfId="14187" xr:uid="{00000000-0005-0000-0000-00006B370000}"/>
    <cellStyle name="Normal 2 2 2 2 4 2 2 17 4" xfId="14188" xr:uid="{00000000-0005-0000-0000-00006C370000}"/>
    <cellStyle name="Normal 2 2 2 2 4 2 2 17 4 10" xfId="14189" xr:uid="{00000000-0005-0000-0000-00006D370000}"/>
    <cellStyle name="Normal 2 2 2 2 4 2 2 17 4 2" xfId="14190" xr:uid="{00000000-0005-0000-0000-00006E370000}"/>
    <cellStyle name="Normal 2 2 2 2 4 2 2 17 4 3" xfId="14191" xr:uid="{00000000-0005-0000-0000-00006F370000}"/>
    <cellStyle name="Normal 2 2 2 2 4 2 2 17 4 4" xfId="14192" xr:uid="{00000000-0005-0000-0000-000070370000}"/>
    <cellStyle name="Normal 2 2 2 2 4 2 2 17 4 5" xfId="14193" xr:uid="{00000000-0005-0000-0000-000071370000}"/>
    <cellStyle name="Normal 2 2 2 2 4 2 2 17 4 6" xfId="14194" xr:uid="{00000000-0005-0000-0000-000072370000}"/>
    <cellStyle name="Normal 2 2 2 2 4 2 2 17 4 7" xfId="14195" xr:uid="{00000000-0005-0000-0000-000073370000}"/>
    <cellStyle name="Normal 2 2 2 2 4 2 2 17 4 8" xfId="14196" xr:uid="{00000000-0005-0000-0000-000074370000}"/>
    <cellStyle name="Normal 2 2 2 2 4 2 2 17 4 9" xfId="14197" xr:uid="{00000000-0005-0000-0000-000075370000}"/>
    <cellStyle name="Normal 2 2 2 2 4 2 2 17 5" xfId="14198" xr:uid="{00000000-0005-0000-0000-000076370000}"/>
    <cellStyle name="Normal 2 2 2 2 4 2 2 17 5 10" xfId="14199" xr:uid="{00000000-0005-0000-0000-000077370000}"/>
    <cellStyle name="Normal 2 2 2 2 4 2 2 17 5 2" xfId="14200" xr:uid="{00000000-0005-0000-0000-000078370000}"/>
    <cellStyle name="Normal 2 2 2 2 4 2 2 17 5 3" xfId="14201" xr:uid="{00000000-0005-0000-0000-000079370000}"/>
    <cellStyle name="Normal 2 2 2 2 4 2 2 17 5 4" xfId="14202" xr:uid="{00000000-0005-0000-0000-00007A370000}"/>
    <cellStyle name="Normal 2 2 2 2 4 2 2 17 5 5" xfId="14203" xr:uid="{00000000-0005-0000-0000-00007B370000}"/>
    <cellStyle name="Normal 2 2 2 2 4 2 2 17 5 6" xfId="14204" xr:uid="{00000000-0005-0000-0000-00007C370000}"/>
    <cellStyle name="Normal 2 2 2 2 4 2 2 17 5 7" xfId="14205" xr:uid="{00000000-0005-0000-0000-00007D370000}"/>
    <cellStyle name="Normal 2 2 2 2 4 2 2 17 5 8" xfId="14206" xr:uid="{00000000-0005-0000-0000-00007E370000}"/>
    <cellStyle name="Normal 2 2 2 2 4 2 2 17 5 9" xfId="14207" xr:uid="{00000000-0005-0000-0000-00007F370000}"/>
    <cellStyle name="Normal 2 2 2 2 4 2 2 17 6" xfId="14208" xr:uid="{00000000-0005-0000-0000-000080370000}"/>
    <cellStyle name="Normal 2 2 2 2 4 2 2 17 7" xfId="14209" xr:uid="{00000000-0005-0000-0000-000081370000}"/>
    <cellStyle name="Normal 2 2 2 2 4 2 2 17 8" xfId="14210" xr:uid="{00000000-0005-0000-0000-000082370000}"/>
    <cellStyle name="Normal 2 2 2 2 4 2 2 17 9" xfId="14211" xr:uid="{00000000-0005-0000-0000-000083370000}"/>
    <cellStyle name="Normal 2 2 2 2 4 2 2 18" xfId="14212" xr:uid="{00000000-0005-0000-0000-000084370000}"/>
    <cellStyle name="Normal 2 2 2 2 4 2 2 18 10" xfId="14213" xr:uid="{00000000-0005-0000-0000-000085370000}"/>
    <cellStyle name="Normal 2 2 2 2 4 2 2 18 11" xfId="14214" xr:uid="{00000000-0005-0000-0000-000086370000}"/>
    <cellStyle name="Normal 2 2 2 2 4 2 2 18 12" xfId="14215" xr:uid="{00000000-0005-0000-0000-000087370000}"/>
    <cellStyle name="Normal 2 2 2 2 4 2 2 18 13" xfId="14216" xr:uid="{00000000-0005-0000-0000-000088370000}"/>
    <cellStyle name="Normal 2 2 2 2 4 2 2 18 14" xfId="14217" xr:uid="{00000000-0005-0000-0000-000089370000}"/>
    <cellStyle name="Normal 2 2 2 2 4 2 2 18 2" xfId="14218" xr:uid="{00000000-0005-0000-0000-00008A370000}"/>
    <cellStyle name="Normal 2 2 2 2 4 2 2 18 2 10" xfId="14219" xr:uid="{00000000-0005-0000-0000-00008B370000}"/>
    <cellStyle name="Normal 2 2 2 2 4 2 2 18 2 2" xfId="14220" xr:uid="{00000000-0005-0000-0000-00008C370000}"/>
    <cellStyle name="Normal 2 2 2 2 4 2 2 18 2 3" xfId="14221" xr:uid="{00000000-0005-0000-0000-00008D370000}"/>
    <cellStyle name="Normal 2 2 2 2 4 2 2 18 2 4" xfId="14222" xr:uid="{00000000-0005-0000-0000-00008E370000}"/>
    <cellStyle name="Normal 2 2 2 2 4 2 2 18 2 5" xfId="14223" xr:uid="{00000000-0005-0000-0000-00008F370000}"/>
    <cellStyle name="Normal 2 2 2 2 4 2 2 18 2 6" xfId="14224" xr:uid="{00000000-0005-0000-0000-000090370000}"/>
    <cellStyle name="Normal 2 2 2 2 4 2 2 18 2 7" xfId="14225" xr:uid="{00000000-0005-0000-0000-000091370000}"/>
    <cellStyle name="Normal 2 2 2 2 4 2 2 18 2 8" xfId="14226" xr:uid="{00000000-0005-0000-0000-000092370000}"/>
    <cellStyle name="Normal 2 2 2 2 4 2 2 18 2 9" xfId="14227" xr:uid="{00000000-0005-0000-0000-000093370000}"/>
    <cellStyle name="Normal 2 2 2 2 4 2 2 18 3" xfId="14228" xr:uid="{00000000-0005-0000-0000-000094370000}"/>
    <cellStyle name="Normal 2 2 2 2 4 2 2 18 3 10" xfId="14229" xr:uid="{00000000-0005-0000-0000-000095370000}"/>
    <cellStyle name="Normal 2 2 2 2 4 2 2 18 3 2" xfId="14230" xr:uid="{00000000-0005-0000-0000-000096370000}"/>
    <cellStyle name="Normal 2 2 2 2 4 2 2 18 3 3" xfId="14231" xr:uid="{00000000-0005-0000-0000-000097370000}"/>
    <cellStyle name="Normal 2 2 2 2 4 2 2 18 3 4" xfId="14232" xr:uid="{00000000-0005-0000-0000-000098370000}"/>
    <cellStyle name="Normal 2 2 2 2 4 2 2 18 3 5" xfId="14233" xr:uid="{00000000-0005-0000-0000-000099370000}"/>
    <cellStyle name="Normal 2 2 2 2 4 2 2 18 3 6" xfId="14234" xr:uid="{00000000-0005-0000-0000-00009A370000}"/>
    <cellStyle name="Normal 2 2 2 2 4 2 2 18 3 7" xfId="14235" xr:uid="{00000000-0005-0000-0000-00009B370000}"/>
    <cellStyle name="Normal 2 2 2 2 4 2 2 18 3 8" xfId="14236" xr:uid="{00000000-0005-0000-0000-00009C370000}"/>
    <cellStyle name="Normal 2 2 2 2 4 2 2 18 3 9" xfId="14237" xr:uid="{00000000-0005-0000-0000-00009D370000}"/>
    <cellStyle name="Normal 2 2 2 2 4 2 2 18 4" xfId="14238" xr:uid="{00000000-0005-0000-0000-00009E370000}"/>
    <cellStyle name="Normal 2 2 2 2 4 2 2 18 4 10" xfId="14239" xr:uid="{00000000-0005-0000-0000-00009F370000}"/>
    <cellStyle name="Normal 2 2 2 2 4 2 2 18 4 2" xfId="14240" xr:uid="{00000000-0005-0000-0000-0000A0370000}"/>
    <cellStyle name="Normal 2 2 2 2 4 2 2 18 4 3" xfId="14241" xr:uid="{00000000-0005-0000-0000-0000A1370000}"/>
    <cellStyle name="Normal 2 2 2 2 4 2 2 18 4 4" xfId="14242" xr:uid="{00000000-0005-0000-0000-0000A2370000}"/>
    <cellStyle name="Normal 2 2 2 2 4 2 2 18 4 5" xfId="14243" xr:uid="{00000000-0005-0000-0000-0000A3370000}"/>
    <cellStyle name="Normal 2 2 2 2 4 2 2 18 4 6" xfId="14244" xr:uid="{00000000-0005-0000-0000-0000A4370000}"/>
    <cellStyle name="Normal 2 2 2 2 4 2 2 18 4 7" xfId="14245" xr:uid="{00000000-0005-0000-0000-0000A5370000}"/>
    <cellStyle name="Normal 2 2 2 2 4 2 2 18 4 8" xfId="14246" xr:uid="{00000000-0005-0000-0000-0000A6370000}"/>
    <cellStyle name="Normal 2 2 2 2 4 2 2 18 4 9" xfId="14247" xr:uid="{00000000-0005-0000-0000-0000A7370000}"/>
    <cellStyle name="Normal 2 2 2 2 4 2 2 18 5" xfId="14248" xr:uid="{00000000-0005-0000-0000-0000A8370000}"/>
    <cellStyle name="Normal 2 2 2 2 4 2 2 18 5 10" xfId="14249" xr:uid="{00000000-0005-0000-0000-0000A9370000}"/>
    <cellStyle name="Normal 2 2 2 2 4 2 2 18 5 2" xfId="14250" xr:uid="{00000000-0005-0000-0000-0000AA370000}"/>
    <cellStyle name="Normal 2 2 2 2 4 2 2 18 5 3" xfId="14251" xr:uid="{00000000-0005-0000-0000-0000AB370000}"/>
    <cellStyle name="Normal 2 2 2 2 4 2 2 18 5 4" xfId="14252" xr:uid="{00000000-0005-0000-0000-0000AC370000}"/>
    <cellStyle name="Normal 2 2 2 2 4 2 2 18 5 5" xfId="14253" xr:uid="{00000000-0005-0000-0000-0000AD370000}"/>
    <cellStyle name="Normal 2 2 2 2 4 2 2 18 5 6" xfId="14254" xr:uid="{00000000-0005-0000-0000-0000AE370000}"/>
    <cellStyle name="Normal 2 2 2 2 4 2 2 18 5 7" xfId="14255" xr:uid="{00000000-0005-0000-0000-0000AF370000}"/>
    <cellStyle name="Normal 2 2 2 2 4 2 2 18 5 8" xfId="14256" xr:uid="{00000000-0005-0000-0000-0000B0370000}"/>
    <cellStyle name="Normal 2 2 2 2 4 2 2 18 5 9" xfId="14257" xr:uid="{00000000-0005-0000-0000-0000B1370000}"/>
    <cellStyle name="Normal 2 2 2 2 4 2 2 18 6" xfId="14258" xr:uid="{00000000-0005-0000-0000-0000B2370000}"/>
    <cellStyle name="Normal 2 2 2 2 4 2 2 18 7" xfId="14259" xr:uid="{00000000-0005-0000-0000-0000B3370000}"/>
    <cellStyle name="Normal 2 2 2 2 4 2 2 18 8" xfId="14260" xr:uid="{00000000-0005-0000-0000-0000B4370000}"/>
    <cellStyle name="Normal 2 2 2 2 4 2 2 18 9" xfId="14261" xr:uid="{00000000-0005-0000-0000-0000B5370000}"/>
    <cellStyle name="Normal 2 2 2 2 4 2 2 19" xfId="14262" xr:uid="{00000000-0005-0000-0000-0000B6370000}"/>
    <cellStyle name="Normal 2 2 2 2 4 2 2 19 10" xfId="14263" xr:uid="{00000000-0005-0000-0000-0000B7370000}"/>
    <cellStyle name="Normal 2 2 2 2 4 2 2 19 11" xfId="14264" xr:uid="{00000000-0005-0000-0000-0000B8370000}"/>
    <cellStyle name="Normal 2 2 2 2 4 2 2 19 12" xfId="14265" xr:uid="{00000000-0005-0000-0000-0000B9370000}"/>
    <cellStyle name="Normal 2 2 2 2 4 2 2 19 13" xfId="14266" xr:uid="{00000000-0005-0000-0000-0000BA370000}"/>
    <cellStyle name="Normal 2 2 2 2 4 2 2 19 14" xfId="14267" xr:uid="{00000000-0005-0000-0000-0000BB370000}"/>
    <cellStyle name="Normal 2 2 2 2 4 2 2 19 2" xfId="14268" xr:uid="{00000000-0005-0000-0000-0000BC370000}"/>
    <cellStyle name="Normal 2 2 2 2 4 2 2 19 2 10" xfId="14269" xr:uid="{00000000-0005-0000-0000-0000BD370000}"/>
    <cellStyle name="Normal 2 2 2 2 4 2 2 19 2 2" xfId="14270" xr:uid="{00000000-0005-0000-0000-0000BE370000}"/>
    <cellStyle name="Normal 2 2 2 2 4 2 2 19 2 3" xfId="14271" xr:uid="{00000000-0005-0000-0000-0000BF370000}"/>
    <cellStyle name="Normal 2 2 2 2 4 2 2 19 2 4" xfId="14272" xr:uid="{00000000-0005-0000-0000-0000C0370000}"/>
    <cellStyle name="Normal 2 2 2 2 4 2 2 19 2 5" xfId="14273" xr:uid="{00000000-0005-0000-0000-0000C1370000}"/>
    <cellStyle name="Normal 2 2 2 2 4 2 2 19 2 6" xfId="14274" xr:uid="{00000000-0005-0000-0000-0000C2370000}"/>
    <cellStyle name="Normal 2 2 2 2 4 2 2 19 2 7" xfId="14275" xr:uid="{00000000-0005-0000-0000-0000C3370000}"/>
    <cellStyle name="Normal 2 2 2 2 4 2 2 19 2 8" xfId="14276" xr:uid="{00000000-0005-0000-0000-0000C4370000}"/>
    <cellStyle name="Normal 2 2 2 2 4 2 2 19 2 9" xfId="14277" xr:uid="{00000000-0005-0000-0000-0000C5370000}"/>
    <cellStyle name="Normal 2 2 2 2 4 2 2 19 3" xfId="14278" xr:uid="{00000000-0005-0000-0000-0000C6370000}"/>
    <cellStyle name="Normal 2 2 2 2 4 2 2 19 3 10" xfId="14279" xr:uid="{00000000-0005-0000-0000-0000C7370000}"/>
    <cellStyle name="Normal 2 2 2 2 4 2 2 19 3 2" xfId="14280" xr:uid="{00000000-0005-0000-0000-0000C8370000}"/>
    <cellStyle name="Normal 2 2 2 2 4 2 2 19 3 3" xfId="14281" xr:uid="{00000000-0005-0000-0000-0000C9370000}"/>
    <cellStyle name="Normal 2 2 2 2 4 2 2 19 3 4" xfId="14282" xr:uid="{00000000-0005-0000-0000-0000CA370000}"/>
    <cellStyle name="Normal 2 2 2 2 4 2 2 19 3 5" xfId="14283" xr:uid="{00000000-0005-0000-0000-0000CB370000}"/>
    <cellStyle name="Normal 2 2 2 2 4 2 2 19 3 6" xfId="14284" xr:uid="{00000000-0005-0000-0000-0000CC370000}"/>
    <cellStyle name="Normal 2 2 2 2 4 2 2 19 3 7" xfId="14285" xr:uid="{00000000-0005-0000-0000-0000CD370000}"/>
    <cellStyle name="Normal 2 2 2 2 4 2 2 19 3 8" xfId="14286" xr:uid="{00000000-0005-0000-0000-0000CE370000}"/>
    <cellStyle name="Normal 2 2 2 2 4 2 2 19 3 9" xfId="14287" xr:uid="{00000000-0005-0000-0000-0000CF370000}"/>
    <cellStyle name="Normal 2 2 2 2 4 2 2 19 4" xfId="14288" xr:uid="{00000000-0005-0000-0000-0000D0370000}"/>
    <cellStyle name="Normal 2 2 2 2 4 2 2 19 4 10" xfId="14289" xr:uid="{00000000-0005-0000-0000-0000D1370000}"/>
    <cellStyle name="Normal 2 2 2 2 4 2 2 19 4 2" xfId="14290" xr:uid="{00000000-0005-0000-0000-0000D2370000}"/>
    <cellStyle name="Normal 2 2 2 2 4 2 2 19 4 3" xfId="14291" xr:uid="{00000000-0005-0000-0000-0000D3370000}"/>
    <cellStyle name="Normal 2 2 2 2 4 2 2 19 4 4" xfId="14292" xr:uid="{00000000-0005-0000-0000-0000D4370000}"/>
    <cellStyle name="Normal 2 2 2 2 4 2 2 19 4 5" xfId="14293" xr:uid="{00000000-0005-0000-0000-0000D5370000}"/>
    <cellStyle name="Normal 2 2 2 2 4 2 2 19 4 6" xfId="14294" xr:uid="{00000000-0005-0000-0000-0000D6370000}"/>
    <cellStyle name="Normal 2 2 2 2 4 2 2 19 4 7" xfId="14295" xr:uid="{00000000-0005-0000-0000-0000D7370000}"/>
    <cellStyle name="Normal 2 2 2 2 4 2 2 19 4 8" xfId="14296" xr:uid="{00000000-0005-0000-0000-0000D8370000}"/>
    <cellStyle name="Normal 2 2 2 2 4 2 2 19 4 9" xfId="14297" xr:uid="{00000000-0005-0000-0000-0000D9370000}"/>
    <cellStyle name="Normal 2 2 2 2 4 2 2 19 5" xfId="14298" xr:uid="{00000000-0005-0000-0000-0000DA370000}"/>
    <cellStyle name="Normal 2 2 2 2 4 2 2 19 5 10" xfId="14299" xr:uid="{00000000-0005-0000-0000-0000DB370000}"/>
    <cellStyle name="Normal 2 2 2 2 4 2 2 19 5 2" xfId="14300" xr:uid="{00000000-0005-0000-0000-0000DC370000}"/>
    <cellStyle name="Normal 2 2 2 2 4 2 2 19 5 3" xfId="14301" xr:uid="{00000000-0005-0000-0000-0000DD370000}"/>
    <cellStyle name="Normal 2 2 2 2 4 2 2 19 5 4" xfId="14302" xr:uid="{00000000-0005-0000-0000-0000DE370000}"/>
    <cellStyle name="Normal 2 2 2 2 4 2 2 19 5 5" xfId="14303" xr:uid="{00000000-0005-0000-0000-0000DF370000}"/>
    <cellStyle name="Normal 2 2 2 2 4 2 2 19 5 6" xfId="14304" xr:uid="{00000000-0005-0000-0000-0000E0370000}"/>
    <cellStyle name="Normal 2 2 2 2 4 2 2 19 5 7" xfId="14305" xr:uid="{00000000-0005-0000-0000-0000E1370000}"/>
    <cellStyle name="Normal 2 2 2 2 4 2 2 19 5 8" xfId="14306" xr:uid="{00000000-0005-0000-0000-0000E2370000}"/>
    <cellStyle name="Normal 2 2 2 2 4 2 2 19 5 9" xfId="14307" xr:uid="{00000000-0005-0000-0000-0000E3370000}"/>
    <cellStyle name="Normal 2 2 2 2 4 2 2 19 6" xfId="14308" xr:uid="{00000000-0005-0000-0000-0000E4370000}"/>
    <cellStyle name="Normal 2 2 2 2 4 2 2 19 7" xfId="14309" xr:uid="{00000000-0005-0000-0000-0000E5370000}"/>
    <cellStyle name="Normal 2 2 2 2 4 2 2 19 8" xfId="14310" xr:uid="{00000000-0005-0000-0000-0000E6370000}"/>
    <cellStyle name="Normal 2 2 2 2 4 2 2 19 9" xfId="14311" xr:uid="{00000000-0005-0000-0000-0000E7370000}"/>
    <cellStyle name="Normal 2 2 2 2 4 2 2 2" xfId="14312" xr:uid="{00000000-0005-0000-0000-0000E8370000}"/>
    <cellStyle name="Normal 2 2 2 2 4 2 2 2 10" xfId="14313" xr:uid="{00000000-0005-0000-0000-0000E9370000}"/>
    <cellStyle name="Normal 2 2 2 2 4 2 2 2 11" xfId="14314" xr:uid="{00000000-0005-0000-0000-0000EA370000}"/>
    <cellStyle name="Normal 2 2 2 2 4 2 2 2 12" xfId="14315" xr:uid="{00000000-0005-0000-0000-0000EB370000}"/>
    <cellStyle name="Normal 2 2 2 2 4 2 2 2 13" xfId="14316" xr:uid="{00000000-0005-0000-0000-0000EC370000}"/>
    <cellStyle name="Normal 2 2 2 2 4 2 2 2 14" xfId="14317" xr:uid="{00000000-0005-0000-0000-0000ED370000}"/>
    <cellStyle name="Normal 2 2 2 2 4 2 2 2 2" xfId="14318" xr:uid="{00000000-0005-0000-0000-0000EE370000}"/>
    <cellStyle name="Normal 2 2 2 2 4 2 2 2 2 10" xfId="14319" xr:uid="{00000000-0005-0000-0000-0000EF370000}"/>
    <cellStyle name="Normal 2 2 2 2 4 2 2 2 2 2" xfId="14320" xr:uid="{00000000-0005-0000-0000-0000F0370000}"/>
    <cellStyle name="Normal 2 2 2 2 4 2 2 2 2 3" xfId="14321" xr:uid="{00000000-0005-0000-0000-0000F1370000}"/>
    <cellStyle name="Normal 2 2 2 2 4 2 2 2 2 4" xfId="14322" xr:uid="{00000000-0005-0000-0000-0000F2370000}"/>
    <cellStyle name="Normal 2 2 2 2 4 2 2 2 2 5" xfId="14323" xr:uid="{00000000-0005-0000-0000-0000F3370000}"/>
    <cellStyle name="Normal 2 2 2 2 4 2 2 2 2 6" xfId="14324" xr:uid="{00000000-0005-0000-0000-0000F4370000}"/>
    <cellStyle name="Normal 2 2 2 2 4 2 2 2 2 7" xfId="14325" xr:uid="{00000000-0005-0000-0000-0000F5370000}"/>
    <cellStyle name="Normal 2 2 2 2 4 2 2 2 2 8" xfId="14326" xr:uid="{00000000-0005-0000-0000-0000F6370000}"/>
    <cellStyle name="Normal 2 2 2 2 4 2 2 2 2 9" xfId="14327" xr:uid="{00000000-0005-0000-0000-0000F7370000}"/>
    <cellStyle name="Normal 2 2 2 2 4 2 2 2 3" xfId="14328" xr:uid="{00000000-0005-0000-0000-0000F8370000}"/>
    <cellStyle name="Normal 2 2 2 2 4 2 2 2 3 10" xfId="14329" xr:uid="{00000000-0005-0000-0000-0000F9370000}"/>
    <cellStyle name="Normal 2 2 2 2 4 2 2 2 3 2" xfId="14330" xr:uid="{00000000-0005-0000-0000-0000FA370000}"/>
    <cellStyle name="Normal 2 2 2 2 4 2 2 2 3 3" xfId="14331" xr:uid="{00000000-0005-0000-0000-0000FB370000}"/>
    <cellStyle name="Normal 2 2 2 2 4 2 2 2 3 4" xfId="14332" xr:uid="{00000000-0005-0000-0000-0000FC370000}"/>
    <cellStyle name="Normal 2 2 2 2 4 2 2 2 3 5" xfId="14333" xr:uid="{00000000-0005-0000-0000-0000FD370000}"/>
    <cellStyle name="Normal 2 2 2 2 4 2 2 2 3 6" xfId="14334" xr:uid="{00000000-0005-0000-0000-0000FE370000}"/>
    <cellStyle name="Normal 2 2 2 2 4 2 2 2 3 7" xfId="14335" xr:uid="{00000000-0005-0000-0000-0000FF370000}"/>
    <cellStyle name="Normal 2 2 2 2 4 2 2 2 3 8" xfId="14336" xr:uid="{00000000-0005-0000-0000-000000380000}"/>
    <cellStyle name="Normal 2 2 2 2 4 2 2 2 3 9" xfId="14337" xr:uid="{00000000-0005-0000-0000-000001380000}"/>
    <cellStyle name="Normal 2 2 2 2 4 2 2 2 4" xfId="14338" xr:uid="{00000000-0005-0000-0000-000002380000}"/>
    <cellStyle name="Normal 2 2 2 2 4 2 2 2 4 10" xfId="14339" xr:uid="{00000000-0005-0000-0000-000003380000}"/>
    <cellStyle name="Normal 2 2 2 2 4 2 2 2 4 2" xfId="14340" xr:uid="{00000000-0005-0000-0000-000004380000}"/>
    <cellStyle name="Normal 2 2 2 2 4 2 2 2 4 3" xfId="14341" xr:uid="{00000000-0005-0000-0000-000005380000}"/>
    <cellStyle name="Normal 2 2 2 2 4 2 2 2 4 4" xfId="14342" xr:uid="{00000000-0005-0000-0000-000006380000}"/>
    <cellStyle name="Normal 2 2 2 2 4 2 2 2 4 5" xfId="14343" xr:uid="{00000000-0005-0000-0000-000007380000}"/>
    <cellStyle name="Normal 2 2 2 2 4 2 2 2 4 6" xfId="14344" xr:uid="{00000000-0005-0000-0000-000008380000}"/>
    <cellStyle name="Normal 2 2 2 2 4 2 2 2 4 7" xfId="14345" xr:uid="{00000000-0005-0000-0000-000009380000}"/>
    <cellStyle name="Normal 2 2 2 2 4 2 2 2 4 8" xfId="14346" xr:uid="{00000000-0005-0000-0000-00000A380000}"/>
    <cellStyle name="Normal 2 2 2 2 4 2 2 2 4 9" xfId="14347" xr:uid="{00000000-0005-0000-0000-00000B380000}"/>
    <cellStyle name="Normal 2 2 2 2 4 2 2 2 5" xfId="14348" xr:uid="{00000000-0005-0000-0000-00000C380000}"/>
    <cellStyle name="Normal 2 2 2 2 4 2 2 2 5 10" xfId="14349" xr:uid="{00000000-0005-0000-0000-00000D380000}"/>
    <cellStyle name="Normal 2 2 2 2 4 2 2 2 5 2" xfId="14350" xr:uid="{00000000-0005-0000-0000-00000E380000}"/>
    <cellStyle name="Normal 2 2 2 2 4 2 2 2 5 3" xfId="14351" xr:uid="{00000000-0005-0000-0000-00000F380000}"/>
    <cellStyle name="Normal 2 2 2 2 4 2 2 2 5 4" xfId="14352" xr:uid="{00000000-0005-0000-0000-000010380000}"/>
    <cellStyle name="Normal 2 2 2 2 4 2 2 2 5 5" xfId="14353" xr:uid="{00000000-0005-0000-0000-000011380000}"/>
    <cellStyle name="Normal 2 2 2 2 4 2 2 2 5 6" xfId="14354" xr:uid="{00000000-0005-0000-0000-000012380000}"/>
    <cellStyle name="Normal 2 2 2 2 4 2 2 2 5 7" xfId="14355" xr:uid="{00000000-0005-0000-0000-000013380000}"/>
    <cellStyle name="Normal 2 2 2 2 4 2 2 2 5 8" xfId="14356" xr:uid="{00000000-0005-0000-0000-000014380000}"/>
    <cellStyle name="Normal 2 2 2 2 4 2 2 2 5 9" xfId="14357" xr:uid="{00000000-0005-0000-0000-000015380000}"/>
    <cellStyle name="Normal 2 2 2 2 4 2 2 2 6" xfId="14358" xr:uid="{00000000-0005-0000-0000-000016380000}"/>
    <cellStyle name="Normal 2 2 2 2 4 2 2 2 7" xfId="14359" xr:uid="{00000000-0005-0000-0000-000017380000}"/>
    <cellStyle name="Normal 2 2 2 2 4 2 2 2 8" xfId="14360" xr:uid="{00000000-0005-0000-0000-000018380000}"/>
    <cellStyle name="Normal 2 2 2 2 4 2 2 2 9" xfId="14361" xr:uid="{00000000-0005-0000-0000-000019380000}"/>
    <cellStyle name="Normal 2 2 2 2 4 2 2 20" xfId="14362" xr:uid="{00000000-0005-0000-0000-00001A380000}"/>
    <cellStyle name="Normal 2 2 2 2 4 2 2 20 10" xfId="14363" xr:uid="{00000000-0005-0000-0000-00001B380000}"/>
    <cellStyle name="Normal 2 2 2 2 4 2 2 20 11" xfId="14364" xr:uid="{00000000-0005-0000-0000-00001C380000}"/>
    <cellStyle name="Normal 2 2 2 2 4 2 2 20 12" xfId="14365" xr:uid="{00000000-0005-0000-0000-00001D380000}"/>
    <cellStyle name="Normal 2 2 2 2 4 2 2 20 13" xfId="14366" xr:uid="{00000000-0005-0000-0000-00001E380000}"/>
    <cellStyle name="Normal 2 2 2 2 4 2 2 20 14" xfId="14367" xr:uid="{00000000-0005-0000-0000-00001F380000}"/>
    <cellStyle name="Normal 2 2 2 2 4 2 2 20 2" xfId="14368" xr:uid="{00000000-0005-0000-0000-000020380000}"/>
    <cellStyle name="Normal 2 2 2 2 4 2 2 20 2 10" xfId="14369" xr:uid="{00000000-0005-0000-0000-000021380000}"/>
    <cellStyle name="Normal 2 2 2 2 4 2 2 20 2 2" xfId="14370" xr:uid="{00000000-0005-0000-0000-000022380000}"/>
    <cellStyle name="Normal 2 2 2 2 4 2 2 20 2 3" xfId="14371" xr:uid="{00000000-0005-0000-0000-000023380000}"/>
    <cellStyle name="Normal 2 2 2 2 4 2 2 20 2 4" xfId="14372" xr:uid="{00000000-0005-0000-0000-000024380000}"/>
    <cellStyle name="Normal 2 2 2 2 4 2 2 20 2 5" xfId="14373" xr:uid="{00000000-0005-0000-0000-000025380000}"/>
    <cellStyle name="Normal 2 2 2 2 4 2 2 20 2 6" xfId="14374" xr:uid="{00000000-0005-0000-0000-000026380000}"/>
    <cellStyle name="Normal 2 2 2 2 4 2 2 20 2 7" xfId="14375" xr:uid="{00000000-0005-0000-0000-000027380000}"/>
    <cellStyle name="Normal 2 2 2 2 4 2 2 20 2 8" xfId="14376" xr:uid="{00000000-0005-0000-0000-000028380000}"/>
    <cellStyle name="Normal 2 2 2 2 4 2 2 20 2 9" xfId="14377" xr:uid="{00000000-0005-0000-0000-000029380000}"/>
    <cellStyle name="Normal 2 2 2 2 4 2 2 20 3" xfId="14378" xr:uid="{00000000-0005-0000-0000-00002A380000}"/>
    <cellStyle name="Normal 2 2 2 2 4 2 2 20 3 10" xfId="14379" xr:uid="{00000000-0005-0000-0000-00002B380000}"/>
    <cellStyle name="Normal 2 2 2 2 4 2 2 20 3 2" xfId="14380" xr:uid="{00000000-0005-0000-0000-00002C380000}"/>
    <cellStyle name="Normal 2 2 2 2 4 2 2 20 3 3" xfId="14381" xr:uid="{00000000-0005-0000-0000-00002D380000}"/>
    <cellStyle name="Normal 2 2 2 2 4 2 2 20 3 4" xfId="14382" xr:uid="{00000000-0005-0000-0000-00002E380000}"/>
    <cellStyle name="Normal 2 2 2 2 4 2 2 20 3 5" xfId="14383" xr:uid="{00000000-0005-0000-0000-00002F380000}"/>
    <cellStyle name="Normal 2 2 2 2 4 2 2 20 3 6" xfId="14384" xr:uid="{00000000-0005-0000-0000-000030380000}"/>
    <cellStyle name="Normal 2 2 2 2 4 2 2 20 3 7" xfId="14385" xr:uid="{00000000-0005-0000-0000-000031380000}"/>
    <cellStyle name="Normal 2 2 2 2 4 2 2 20 3 8" xfId="14386" xr:uid="{00000000-0005-0000-0000-000032380000}"/>
    <cellStyle name="Normal 2 2 2 2 4 2 2 20 3 9" xfId="14387" xr:uid="{00000000-0005-0000-0000-000033380000}"/>
    <cellStyle name="Normal 2 2 2 2 4 2 2 20 4" xfId="14388" xr:uid="{00000000-0005-0000-0000-000034380000}"/>
    <cellStyle name="Normal 2 2 2 2 4 2 2 20 4 10" xfId="14389" xr:uid="{00000000-0005-0000-0000-000035380000}"/>
    <cellStyle name="Normal 2 2 2 2 4 2 2 20 4 2" xfId="14390" xr:uid="{00000000-0005-0000-0000-000036380000}"/>
    <cellStyle name="Normal 2 2 2 2 4 2 2 20 4 3" xfId="14391" xr:uid="{00000000-0005-0000-0000-000037380000}"/>
    <cellStyle name="Normal 2 2 2 2 4 2 2 20 4 4" xfId="14392" xr:uid="{00000000-0005-0000-0000-000038380000}"/>
    <cellStyle name="Normal 2 2 2 2 4 2 2 20 4 5" xfId="14393" xr:uid="{00000000-0005-0000-0000-000039380000}"/>
    <cellStyle name="Normal 2 2 2 2 4 2 2 20 4 6" xfId="14394" xr:uid="{00000000-0005-0000-0000-00003A380000}"/>
    <cellStyle name="Normal 2 2 2 2 4 2 2 20 4 7" xfId="14395" xr:uid="{00000000-0005-0000-0000-00003B380000}"/>
    <cellStyle name="Normal 2 2 2 2 4 2 2 20 4 8" xfId="14396" xr:uid="{00000000-0005-0000-0000-00003C380000}"/>
    <cellStyle name="Normal 2 2 2 2 4 2 2 20 4 9" xfId="14397" xr:uid="{00000000-0005-0000-0000-00003D380000}"/>
    <cellStyle name="Normal 2 2 2 2 4 2 2 20 5" xfId="14398" xr:uid="{00000000-0005-0000-0000-00003E380000}"/>
    <cellStyle name="Normal 2 2 2 2 4 2 2 20 5 10" xfId="14399" xr:uid="{00000000-0005-0000-0000-00003F380000}"/>
    <cellStyle name="Normal 2 2 2 2 4 2 2 20 5 2" xfId="14400" xr:uid="{00000000-0005-0000-0000-000040380000}"/>
    <cellStyle name="Normal 2 2 2 2 4 2 2 20 5 3" xfId="14401" xr:uid="{00000000-0005-0000-0000-000041380000}"/>
    <cellStyle name="Normal 2 2 2 2 4 2 2 20 5 4" xfId="14402" xr:uid="{00000000-0005-0000-0000-000042380000}"/>
    <cellStyle name="Normal 2 2 2 2 4 2 2 20 5 5" xfId="14403" xr:uid="{00000000-0005-0000-0000-000043380000}"/>
    <cellStyle name="Normal 2 2 2 2 4 2 2 20 5 6" xfId="14404" xr:uid="{00000000-0005-0000-0000-000044380000}"/>
    <cellStyle name="Normal 2 2 2 2 4 2 2 20 5 7" xfId="14405" xr:uid="{00000000-0005-0000-0000-000045380000}"/>
    <cellStyle name="Normal 2 2 2 2 4 2 2 20 5 8" xfId="14406" xr:uid="{00000000-0005-0000-0000-000046380000}"/>
    <cellStyle name="Normal 2 2 2 2 4 2 2 20 5 9" xfId="14407" xr:uid="{00000000-0005-0000-0000-000047380000}"/>
    <cellStyle name="Normal 2 2 2 2 4 2 2 20 6" xfId="14408" xr:uid="{00000000-0005-0000-0000-000048380000}"/>
    <cellStyle name="Normal 2 2 2 2 4 2 2 20 7" xfId="14409" xr:uid="{00000000-0005-0000-0000-000049380000}"/>
    <cellStyle name="Normal 2 2 2 2 4 2 2 20 8" xfId="14410" xr:uid="{00000000-0005-0000-0000-00004A380000}"/>
    <cellStyle name="Normal 2 2 2 2 4 2 2 20 9" xfId="14411" xr:uid="{00000000-0005-0000-0000-00004B380000}"/>
    <cellStyle name="Normal 2 2 2 2 4 2 2 3" xfId="14412" xr:uid="{00000000-0005-0000-0000-00004C380000}"/>
    <cellStyle name="Normal 2 2 2 2 4 2 2 3 10" xfId="14413" xr:uid="{00000000-0005-0000-0000-00004D380000}"/>
    <cellStyle name="Normal 2 2 2 2 4 2 2 3 11" xfId="14414" xr:uid="{00000000-0005-0000-0000-00004E380000}"/>
    <cellStyle name="Normal 2 2 2 2 4 2 2 3 12" xfId="14415" xr:uid="{00000000-0005-0000-0000-00004F380000}"/>
    <cellStyle name="Normal 2 2 2 2 4 2 2 3 13" xfId="14416" xr:uid="{00000000-0005-0000-0000-000050380000}"/>
    <cellStyle name="Normal 2 2 2 2 4 2 2 3 14" xfId="14417" xr:uid="{00000000-0005-0000-0000-000051380000}"/>
    <cellStyle name="Normal 2 2 2 2 4 2 2 3 2" xfId="14418" xr:uid="{00000000-0005-0000-0000-000052380000}"/>
    <cellStyle name="Normal 2 2 2 2 4 2 2 3 2 10" xfId="14419" xr:uid="{00000000-0005-0000-0000-000053380000}"/>
    <cellStyle name="Normal 2 2 2 2 4 2 2 3 2 2" xfId="14420" xr:uid="{00000000-0005-0000-0000-000054380000}"/>
    <cellStyle name="Normal 2 2 2 2 4 2 2 3 2 3" xfId="14421" xr:uid="{00000000-0005-0000-0000-000055380000}"/>
    <cellStyle name="Normal 2 2 2 2 4 2 2 3 2 4" xfId="14422" xr:uid="{00000000-0005-0000-0000-000056380000}"/>
    <cellStyle name="Normal 2 2 2 2 4 2 2 3 2 5" xfId="14423" xr:uid="{00000000-0005-0000-0000-000057380000}"/>
    <cellStyle name="Normal 2 2 2 2 4 2 2 3 2 6" xfId="14424" xr:uid="{00000000-0005-0000-0000-000058380000}"/>
    <cellStyle name="Normal 2 2 2 2 4 2 2 3 2 7" xfId="14425" xr:uid="{00000000-0005-0000-0000-000059380000}"/>
    <cellStyle name="Normal 2 2 2 2 4 2 2 3 2 8" xfId="14426" xr:uid="{00000000-0005-0000-0000-00005A380000}"/>
    <cellStyle name="Normal 2 2 2 2 4 2 2 3 2 9" xfId="14427" xr:uid="{00000000-0005-0000-0000-00005B380000}"/>
    <cellStyle name="Normal 2 2 2 2 4 2 2 3 3" xfId="14428" xr:uid="{00000000-0005-0000-0000-00005C380000}"/>
    <cellStyle name="Normal 2 2 2 2 4 2 2 3 3 10" xfId="14429" xr:uid="{00000000-0005-0000-0000-00005D380000}"/>
    <cellStyle name="Normal 2 2 2 2 4 2 2 3 3 2" xfId="14430" xr:uid="{00000000-0005-0000-0000-00005E380000}"/>
    <cellStyle name="Normal 2 2 2 2 4 2 2 3 3 3" xfId="14431" xr:uid="{00000000-0005-0000-0000-00005F380000}"/>
    <cellStyle name="Normal 2 2 2 2 4 2 2 3 3 4" xfId="14432" xr:uid="{00000000-0005-0000-0000-000060380000}"/>
    <cellStyle name="Normal 2 2 2 2 4 2 2 3 3 5" xfId="14433" xr:uid="{00000000-0005-0000-0000-000061380000}"/>
    <cellStyle name="Normal 2 2 2 2 4 2 2 3 3 6" xfId="14434" xr:uid="{00000000-0005-0000-0000-000062380000}"/>
    <cellStyle name="Normal 2 2 2 2 4 2 2 3 3 7" xfId="14435" xr:uid="{00000000-0005-0000-0000-000063380000}"/>
    <cellStyle name="Normal 2 2 2 2 4 2 2 3 3 8" xfId="14436" xr:uid="{00000000-0005-0000-0000-000064380000}"/>
    <cellStyle name="Normal 2 2 2 2 4 2 2 3 3 9" xfId="14437" xr:uid="{00000000-0005-0000-0000-000065380000}"/>
    <cellStyle name="Normal 2 2 2 2 4 2 2 3 4" xfId="14438" xr:uid="{00000000-0005-0000-0000-000066380000}"/>
    <cellStyle name="Normal 2 2 2 2 4 2 2 3 4 10" xfId="14439" xr:uid="{00000000-0005-0000-0000-000067380000}"/>
    <cellStyle name="Normal 2 2 2 2 4 2 2 3 4 2" xfId="14440" xr:uid="{00000000-0005-0000-0000-000068380000}"/>
    <cellStyle name="Normal 2 2 2 2 4 2 2 3 4 3" xfId="14441" xr:uid="{00000000-0005-0000-0000-000069380000}"/>
    <cellStyle name="Normal 2 2 2 2 4 2 2 3 4 4" xfId="14442" xr:uid="{00000000-0005-0000-0000-00006A380000}"/>
    <cellStyle name="Normal 2 2 2 2 4 2 2 3 4 5" xfId="14443" xr:uid="{00000000-0005-0000-0000-00006B380000}"/>
    <cellStyle name="Normal 2 2 2 2 4 2 2 3 4 6" xfId="14444" xr:uid="{00000000-0005-0000-0000-00006C380000}"/>
    <cellStyle name="Normal 2 2 2 2 4 2 2 3 4 7" xfId="14445" xr:uid="{00000000-0005-0000-0000-00006D380000}"/>
    <cellStyle name="Normal 2 2 2 2 4 2 2 3 4 8" xfId="14446" xr:uid="{00000000-0005-0000-0000-00006E380000}"/>
    <cellStyle name="Normal 2 2 2 2 4 2 2 3 4 9" xfId="14447" xr:uid="{00000000-0005-0000-0000-00006F380000}"/>
    <cellStyle name="Normal 2 2 2 2 4 2 2 3 5" xfId="14448" xr:uid="{00000000-0005-0000-0000-000070380000}"/>
    <cellStyle name="Normal 2 2 2 2 4 2 2 3 5 10" xfId="14449" xr:uid="{00000000-0005-0000-0000-000071380000}"/>
    <cellStyle name="Normal 2 2 2 2 4 2 2 3 5 2" xfId="14450" xr:uid="{00000000-0005-0000-0000-000072380000}"/>
    <cellStyle name="Normal 2 2 2 2 4 2 2 3 5 3" xfId="14451" xr:uid="{00000000-0005-0000-0000-000073380000}"/>
    <cellStyle name="Normal 2 2 2 2 4 2 2 3 5 4" xfId="14452" xr:uid="{00000000-0005-0000-0000-000074380000}"/>
    <cellStyle name="Normal 2 2 2 2 4 2 2 3 5 5" xfId="14453" xr:uid="{00000000-0005-0000-0000-000075380000}"/>
    <cellStyle name="Normal 2 2 2 2 4 2 2 3 5 6" xfId="14454" xr:uid="{00000000-0005-0000-0000-000076380000}"/>
    <cellStyle name="Normal 2 2 2 2 4 2 2 3 5 7" xfId="14455" xr:uid="{00000000-0005-0000-0000-000077380000}"/>
    <cellStyle name="Normal 2 2 2 2 4 2 2 3 5 8" xfId="14456" xr:uid="{00000000-0005-0000-0000-000078380000}"/>
    <cellStyle name="Normal 2 2 2 2 4 2 2 3 5 9" xfId="14457" xr:uid="{00000000-0005-0000-0000-000079380000}"/>
    <cellStyle name="Normal 2 2 2 2 4 2 2 3 6" xfId="14458" xr:uid="{00000000-0005-0000-0000-00007A380000}"/>
    <cellStyle name="Normal 2 2 2 2 4 2 2 3 7" xfId="14459" xr:uid="{00000000-0005-0000-0000-00007B380000}"/>
    <cellStyle name="Normal 2 2 2 2 4 2 2 3 8" xfId="14460" xr:uid="{00000000-0005-0000-0000-00007C380000}"/>
    <cellStyle name="Normal 2 2 2 2 4 2 2 3 9" xfId="14461" xr:uid="{00000000-0005-0000-0000-00007D380000}"/>
    <cellStyle name="Normal 2 2 2 2 4 2 2 4" xfId="14462" xr:uid="{00000000-0005-0000-0000-00007E380000}"/>
    <cellStyle name="Normal 2 2 2 2 4 2 2 4 10" xfId="14463" xr:uid="{00000000-0005-0000-0000-00007F380000}"/>
    <cellStyle name="Normal 2 2 2 2 4 2 2 4 11" xfId="14464" xr:uid="{00000000-0005-0000-0000-000080380000}"/>
    <cellStyle name="Normal 2 2 2 2 4 2 2 4 12" xfId="14465" xr:uid="{00000000-0005-0000-0000-000081380000}"/>
    <cellStyle name="Normal 2 2 2 2 4 2 2 4 13" xfId="14466" xr:uid="{00000000-0005-0000-0000-000082380000}"/>
    <cellStyle name="Normal 2 2 2 2 4 2 2 4 14" xfId="14467" xr:uid="{00000000-0005-0000-0000-000083380000}"/>
    <cellStyle name="Normal 2 2 2 2 4 2 2 4 2" xfId="14468" xr:uid="{00000000-0005-0000-0000-000084380000}"/>
    <cellStyle name="Normal 2 2 2 2 4 2 2 4 2 10" xfId="14469" xr:uid="{00000000-0005-0000-0000-000085380000}"/>
    <cellStyle name="Normal 2 2 2 2 4 2 2 4 2 2" xfId="14470" xr:uid="{00000000-0005-0000-0000-000086380000}"/>
    <cellStyle name="Normal 2 2 2 2 4 2 2 4 2 3" xfId="14471" xr:uid="{00000000-0005-0000-0000-000087380000}"/>
    <cellStyle name="Normal 2 2 2 2 4 2 2 4 2 4" xfId="14472" xr:uid="{00000000-0005-0000-0000-000088380000}"/>
    <cellStyle name="Normal 2 2 2 2 4 2 2 4 2 5" xfId="14473" xr:uid="{00000000-0005-0000-0000-000089380000}"/>
    <cellStyle name="Normal 2 2 2 2 4 2 2 4 2 6" xfId="14474" xr:uid="{00000000-0005-0000-0000-00008A380000}"/>
    <cellStyle name="Normal 2 2 2 2 4 2 2 4 2 7" xfId="14475" xr:uid="{00000000-0005-0000-0000-00008B380000}"/>
    <cellStyle name="Normal 2 2 2 2 4 2 2 4 2 8" xfId="14476" xr:uid="{00000000-0005-0000-0000-00008C380000}"/>
    <cellStyle name="Normal 2 2 2 2 4 2 2 4 2 9" xfId="14477" xr:uid="{00000000-0005-0000-0000-00008D380000}"/>
    <cellStyle name="Normal 2 2 2 2 4 2 2 4 3" xfId="14478" xr:uid="{00000000-0005-0000-0000-00008E380000}"/>
    <cellStyle name="Normal 2 2 2 2 4 2 2 4 3 10" xfId="14479" xr:uid="{00000000-0005-0000-0000-00008F380000}"/>
    <cellStyle name="Normal 2 2 2 2 4 2 2 4 3 2" xfId="14480" xr:uid="{00000000-0005-0000-0000-000090380000}"/>
    <cellStyle name="Normal 2 2 2 2 4 2 2 4 3 3" xfId="14481" xr:uid="{00000000-0005-0000-0000-000091380000}"/>
    <cellStyle name="Normal 2 2 2 2 4 2 2 4 3 4" xfId="14482" xr:uid="{00000000-0005-0000-0000-000092380000}"/>
    <cellStyle name="Normal 2 2 2 2 4 2 2 4 3 5" xfId="14483" xr:uid="{00000000-0005-0000-0000-000093380000}"/>
    <cellStyle name="Normal 2 2 2 2 4 2 2 4 3 6" xfId="14484" xr:uid="{00000000-0005-0000-0000-000094380000}"/>
    <cellStyle name="Normal 2 2 2 2 4 2 2 4 3 7" xfId="14485" xr:uid="{00000000-0005-0000-0000-000095380000}"/>
    <cellStyle name="Normal 2 2 2 2 4 2 2 4 3 8" xfId="14486" xr:uid="{00000000-0005-0000-0000-000096380000}"/>
    <cellStyle name="Normal 2 2 2 2 4 2 2 4 3 9" xfId="14487" xr:uid="{00000000-0005-0000-0000-000097380000}"/>
    <cellStyle name="Normal 2 2 2 2 4 2 2 4 4" xfId="14488" xr:uid="{00000000-0005-0000-0000-000098380000}"/>
    <cellStyle name="Normal 2 2 2 2 4 2 2 4 4 10" xfId="14489" xr:uid="{00000000-0005-0000-0000-000099380000}"/>
    <cellStyle name="Normal 2 2 2 2 4 2 2 4 4 2" xfId="14490" xr:uid="{00000000-0005-0000-0000-00009A380000}"/>
    <cellStyle name="Normal 2 2 2 2 4 2 2 4 4 3" xfId="14491" xr:uid="{00000000-0005-0000-0000-00009B380000}"/>
    <cellStyle name="Normal 2 2 2 2 4 2 2 4 4 4" xfId="14492" xr:uid="{00000000-0005-0000-0000-00009C380000}"/>
    <cellStyle name="Normal 2 2 2 2 4 2 2 4 4 5" xfId="14493" xr:uid="{00000000-0005-0000-0000-00009D380000}"/>
    <cellStyle name="Normal 2 2 2 2 4 2 2 4 4 6" xfId="14494" xr:uid="{00000000-0005-0000-0000-00009E380000}"/>
    <cellStyle name="Normal 2 2 2 2 4 2 2 4 4 7" xfId="14495" xr:uid="{00000000-0005-0000-0000-00009F380000}"/>
    <cellStyle name="Normal 2 2 2 2 4 2 2 4 4 8" xfId="14496" xr:uid="{00000000-0005-0000-0000-0000A0380000}"/>
    <cellStyle name="Normal 2 2 2 2 4 2 2 4 4 9" xfId="14497" xr:uid="{00000000-0005-0000-0000-0000A1380000}"/>
    <cellStyle name="Normal 2 2 2 2 4 2 2 4 5" xfId="14498" xr:uid="{00000000-0005-0000-0000-0000A2380000}"/>
    <cellStyle name="Normal 2 2 2 2 4 2 2 4 5 10" xfId="14499" xr:uid="{00000000-0005-0000-0000-0000A3380000}"/>
    <cellStyle name="Normal 2 2 2 2 4 2 2 4 5 2" xfId="14500" xr:uid="{00000000-0005-0000-0000-0000A4380000}"/>
    <cellStyle name="Normal 2 2 2 2 4 2 2 4 5 3" xfId="14501" xr:uid="{00000000-0005-0000-0000-0000A5380000}"/>
    <cellStyle name="Normal 2 2 2 2 4 2 2 4 5 4" xfId="14502" xr:uid="{00000000-0005-0000-0000-0000A6380000}"/>
    <cellStyle name="Normal 2 2 2 2 4 2 2 4 5 5" xfId="14503" xr:uid="{00000000-0005-0000-0000-0000A7380000}"/>
    <cellStyle name="Normal 2 2 2 2 4 2 2 4 5 6" xfId="14504" xr:uid="{00000000-0005-0000-0000-0000A8380000}"/>
    <cellStyle name="Normal 2 2 2 2 4 2 2 4 5 7" xfId="14505" xr:uid="{00000000-0005-0000-0000-0000A9380000}"/>
    <cellStyle name="Normal 2 2 2 2 4 2 2 4 5 8" xfId="14506" xr:uid="{00000000-0005-0000-0000-0000AA380000}"/>
    <cellStyle name="Normal 2 2 2 2 4 2 2 4 5 9" xfId="14507" xr:uid="{00000000-0005-0000-0000-0000AB380000}"/>
    <cellStyle name="Normal 2 2 2 2 4 2 2 4 6" xfId="14508" xr:uid="{00000000-0005-0000-0000-0000AC380000}"/>
    <cellStyle name="Normal 2 2 2 2 4 2 2 4 7" xfId="14509" xr:uid="{00000000-0005-0000-0000-0000AD380000}"/>
    <cellStyle name="Normal 2 2 2 2 4 2 2 4 8" xfId="14510" xr:uid="{00000000-0005-0000-0000-0000AE380000}"/>
    <cellStyle name="Normal 2 2 2 2 4 2 2 4 9" xfId="14511" xr:uid="{00000000-0005-0000-0000-0000AF380000}"/>
    <cellStyle name="Normal 2 2 2 2 4 2 2 5" xfId="14512" xr:uid="{00000000-0005-0000-0000-0000B0380000}"/>
    <cellStyle name="Normal 2 2 2 2 4 2 2 5 10" xfId="14513" xr:uid="{00000000-0005-0000-0000-0000B1380000}"/>
    <cellStyle name="Normal 2 2 2 2 4 2 2 5 11" xfId="14514" xr:uid="{00000000-0005-0000-0000-0000B2380000}"/>
    <cellStyle name="Normal 2 2 2 2 4 2 2 5 12" xfId="14515" xr:uid="{00000000-0005-0000-0000-0000B3380000}"/>
    <cellStyle name="Normal 2 2 2 2 4 2 2 5 13" xfId="14516" xr:uid="{00000000-0005-0000-0000-0000B4380000}"/>
    <cellStyle name="Normal 2 2 2 2 4 2 2 5 14" xfId="14517" xr:uid="{00000000-0005-0000-0000-0000B5380000}"/>
    <cellStyle name="Normal 2 2 2 2 4 2 2 5 2" xfId="14518" xr:uid="{00000000-0005-0000-0000-0000B6380000}"/>
    <cellStyle name="Normal 2 2 2 2 4 2 2 5 2 10" xfId="14519" xr:uid="{00000000-0005-0000-0000-0000B7380000}"/>
    <cellStyle name="Normal 2 2 2 2 4 2 2 5 2 2" xfId="14520" xr:uid="{00000000-0005-0000-0000-0000B8380000}"/>
    <cellStyle name="Normal 2 2 2 2 4 2 2 5 2 3" xfId="14521" xr:uid="{00000000-0005-0000-0000-0000B9380000}"/>
    <cellStyle name="Normal 2 2 2 2 4 2 2 5 2 4" xfId="14522" xr:uid="{00000000-0005-0000-0000-0000BA380000}"/>
    <cellStyle name="Normal 2 2 2 2 4 2 2 5 2 5" xfId="14523" xr:uid="{00000000-0005-0000-0000-0000BB380000}"/>
    <cellStyle name="Normal 2 2 2 2 4 2 2 5 2 6" xfId="14524" xr:uid="{00000000-0005-0000-0000-0000BC380000}"/>
    <cellStyle name="Normal 2 2 2 2 4 2 2 5 2 7" xfId="14525" xr:uid="{00000000-0005-0000-0000-0000BD380000}"/>
    <cellStyle name="Normal 2 2 2 2 4 2 2 5 2 8" xfId="14526" xr:uid="{00000000-0005-0000-0000-0000BE380000}"/>
    <cellStyle name="Normal 2 2 2 2 4 2 2 5 2 9" xfId="14527" xr:uid="{00000000-0005-0000-0000-0000BF380000}"/>
    <cellStyle name="Normal 2 2 2 2 4 2 2 5 3" xfId="14528" xr:uid="{00000000-0005-0000-0000-0000C0380000}"/>
    <cellStyle name="Normal 2 2 2 2 4 2 2 5 3 10" xfId="14529" xr:uid="{00000000-0005-0000-0000-0000C1380000}"/>
    <cellStyle name="Normal 2 2 2 2 4 2 2 5 3 2" xfId="14530" xr:uid="{00000000-0005-0000-0000-0000C2380000}"/>
    <cellStyle name="Normal 2 2 2 2 4 2 2 5 3 3" xfId="14531" xr:uid="{00000000-0005-0000-0000-0000C3380000}"/>
    <cellStyle name="Normal 2 2 2 2 4 2 2 5 3 4" xfId="14532" xr:uid="{00000000-0005-0000-0000-0000C4380000}"/>
    <cellStyle name="Normal 2 2 2 2 4 2 2 5 3 5" xfId="14533" xr:uid="{00000000-0005-0000-0000-0000C5380000}"/>
    <cellStyle name="Normal 2 2 2 2 4 2 2 5 3 6" xfId="14534" xr:uid="{00000000-0005-0000-0000-0000C6380000}"/>
    <cellStyle name="Normal 2 2 2 2 4 2 2 5 3 7" xfId="14535" xr:uid="{00000000-0005-0000-0000-0000C7380000}"/>
    <cellStyle name="Normal 2 2 2 2 4 2 2 5 3 8" xfId="14536" xr:uid="{00000000-0005-0000-0000-0000C8380000}"/>
    <cellStyle name="Normal 2 2 2 2 4 2 2 5 3 9" xfId="14537" xr:uid="{00000000-0005-0000-0000-0000C9380000}"/>
    <cellStyle name="Normal 2 2 2 2 4 2 2 5 4" xfId="14538" xr:uid="{00000000-0005-0000-0000-0000CA380000}"/>
    <cellStyle name="Normal 2 2 2 2 4 2 2 5 4 10" xfId="14539" xr:uid="{00000000-0005-0000-0000-0000CB380000}"/>
    <cellStyle name="Normal 2 2 2 2 4 2 2 5 4 2" xfId="14540" xr:uid="{00000000-0005-0000-0000-0000CC380000}"/>
    <cellStyle name="Normal 2 2 2 2 4 2 2 5 4 3" xfId="14541" xr:uid="{00000000-0005-0000-0000-0000CD380000}"/>
    <cellStyle name="Normal 2 2 2 2 4 2 2 5 4 4" xfId="14542" xr:uid="{00000000-0005-0000-0000-0000CE380000}"/>
    <cellStyle name="Normal 2 2 2 2 4 2 2 5 4 5" xfId="14543" xr:uid="{00000000-0005-0000-0000-0000CF380000}"/>
    <cellStyle name="Normal 2 2 2 2 4 2 2 5 4 6" xfId="14544" xr:uid="{00000000-0005-0000-0000-0000D0380000}"/>
    <cellStyle name="Normal 2 2 2 2 4 2 2 5 4 7" xfId="14545" xr:uid="{00000000-0005-0000-0000-0000D1380000}"/>
    <cellStyle name="Normal 2 2 2 2 4 2 2 5 4 8" xfId="14546" xr:uid="{00000000-0005-0000-0000-0000D2380000}"/>
    <cellStyle name="Normal 2 2 2 2 4 2 2 5 4 9" xfId="14547" xr:uid="{00000000-0005-0000-0000-0000D3380000}"/>
    <cellStyle name="Normal 2 2 2 2 4 2 2 5 5" xfId="14548" xr:uid="{00000000-0005-0000-0000-0000D4380000}"/>
    <cellStyle name="Normal 2 2 2 2 4 2 2 5 5 10" xfId="14549" xr:uid="{00000000-0005-0000-0000-0000D5380000}"/>
    <cellStyle name="Normal 2 2 2 2 4 2 2 5 5 2" xfId="14550" xr:uid="{00000000-0005-0000-0000-0000D6380000}"/>
    <cellStyle name="Normal 2 2 2 2 4 2 2 5 5 3" xfId="14551" xr:uid="{00000000-0005-0000-0000-0000D7380000}"/>
    <cellStyle name="Normal 2 2 2 2 4 2 2 5 5 4" xfId="14552" xr:uid="{00000000-0005-0000-0000-0000D8380000}"/>
    <cellStyle name="Normal 2 2 2 2 4 2 2 5 5 5" xfId="14553" xr:uid="{00000000-0005-0000-0000-0000D9380000}"/>
    <cellStyle name="Normal 2 2 2 2 4 2 2 5 5 6" xfId="14554" xr:uid="{00000000-0005-0000-0000-0000DA380000}"/>
    <cellStyle name="Normal 2 2 2 2 4 2 2 5 5 7" xfId="14555" xr:uid="{00000000-0005-0000-0000-0000DB380000}"/>
    <cellStyle name="Normal 2 2 2 2 4 2 2 5 5 8" xfId="14556" xr:uid="{00000000-0005-0000-0000-0000DC380000}"/>
    <cellStyle name="Normal 2 2 2 2 4 2 2 5 5 9" xfId="14557" xr:uid="{00000000-0005-0000-0000-0000DD380000}"/>
    <cellStyle name="Normal 2 2 2 2 4 2 2 5 6" xfId="14558" xr:uid="{00000000-0005-0000-0000-0000DE380000}"/>
    <cellStyle name="Normal 2 2 2 2 4 2 2 5 7" xfId="14559" xr:uid="{00000000-0005-0000-0000-0000DF380000}"/>
    <cellStyle name="Normal 2 2 2 2 4 2 2 5 8" xfId="14560" xr:uid="{00000000-0005-0000-0000-0000E0380000}"/>
    <cellStyle name="Normal 2 2 2 2 4 2 2 5 9" xfId="14561" xr:uid="{00000000-0005-0000-0000-0000E1380000}"/>
    <cellStyle name="Normal 2 2 2 2 4 2 2 6" xfId="14562" xr:uid="{00000000-0005-0000-0000-0000E2380000}"/>
    <cellStyle name="Normal 2 2 2 2 4 2 2 6 10" xfId="14563" xr:uid="{00000000-0005-0000-0000-0000E3380000}"/>
    <cellStyle name="Normal 2 2 2 2 4 2 2 6 11" xfId="14564" xr:uid="{00000000-0005-0000-0000-0000E4380000}"/>
    <cellStyle name="Normal 2 2 2 2 4 2 2 6 12" xfId="14565" xr:uid="{00000000-0005-0000-0000-0000E5380000}"/>
    <cellStyle name="Normal 2 2 2 2 4 2 2 6 13" xfId="14566" xr:uid="{00000000-0005-0000-0000-0000E6380000}"/>
    <cellStyle name="Normal 2 2 2 2 4 2 2 6 14" xfId="14567" xr:uid="{00000000-0005-0000-0000-0000E7380000}"/>
    <cellStyle name="Normal 2 2 2 2 4 2 2 6 2" xfId="14568" xr:uid="{00000000-0005-0000-0000-0000E8380000}"/>
    <cellStyle name="Normal 2 2 2 2 4 2 2 6 2 10" xfId="14569" xr:uid="{00000000-0005-0000-0000-0000E9380000}"/>
    <cellStyle name="Normal 2 2 2 2 4 2 2 6 2 2" xfId="14570" xr:uid="{00000000-0005-0000-0000-0000EA380000}"/>
    <cellStyle name="Normal 2 2 2 2 4 2 2 6 2 3" xfId="14571" xr:uid="{00000000-0005-0000-0000-0000EB380000}"/>
    <cellStyle name="Normal 2 2 2 2 4 2 2 6 2 4" xfId="14572" xr:uid="{00000000-0005-0000-0000-0000EC380000}"/>
    <cellStyle name="Normal 2 2 2 2 4 2 2 6 2 5" xfId="14573" xr:uid="{00000000-0005-0000-0000-0000ED380000}"/>
    <cellStyle name="Normal 2 2 2 2 4 2 2 6 2 6" xfId="14574" xr:uid="{00000000-0005-0000-0000-0000EE380000}"/>
    <cellStyle name="Normal 2 2 2 2 4 2 2 6 2 7" xfId="14575" xr:uid="{00000000-0005-0000-0000-0000EF380000}"/>
    <cellStyle name="Normal 2 2 2 2 4 2 2 6 2 8" xfId="14576" xr:uid="{00000000-0005-0000-0000-0000F0380000}"/>
    <cellStyle name="Normal 2 2 2 2 4 2 2 6 2 9" xfId="14577" xr:uid="{00000000-0005-0000-0000-0000F1380000}"/>
    <cellStyle name="Normal 2 2 2 2 4 2 2 6 3" xfId="14578" xr:uid="{00000000-0005-0000-0000-0000F2380000}"/>
    <cellStyle name="Normal 2 2 2 2 4 2 2 6 3 10" xfId="14579" xr:uid="{00000000-0005-0000-0000-0000F3380000}"/>
    <cellStyle name="Normal 2 2 2 2 4 2 2 6 3 2" xfId="14580" xr:uid="{00000000-0005-0000-0000-0000F4380000}"/>
    <cellStyle name="Normal 2 2 2 2 4 2 2 6 3 3" xfId="14581" xr:uid="{00000000-0005-0000-0000-0000F5380000}"/>
    <cellStyle name="Normal 2 2 2 2 4 2 2 6 3 4" xfId="14582" xr:uid="{00000000-0005-0000-0000-0000F6380000}"/>
    <cellStyle name="Normal 2 2 2 2 4 2 2 6 3 5" xfId="14583" xr:uid="{00000000-0005-0000-0000-0000F7380000}"/>
    <cellStyle name="Normal 2 2 2 2 4 2 2 6 3 6" xfId="14584" xr:uid="{00000000-0005-0000-0000-0000F8380000}"/>
    <cellStyle name="Normal 2 2 2 2 4 2 2 6 3 7" xfId="14585" xr:uid="{00000000-0005-0000-0000-0000F9380000}"/>
    <cellStyle name="Normal 2 2 2 2 4 2 2 6 3 8" xfId="14586" xr:uid="{00000000-0005-0000-0000-0000FA380000}"/>
    <cellStyle name="Normal 2 2 2 2 4 2 2 6 3 9" xfId="14587" xr:uid="{00000000-0005-0000-0000-0000FB380000}"/>
    <cellStyle name="Normal 2 2 2 2 4 2 2 6 4" xfId="14588" xr:uid="{00000000-0005-0000-0000-0000FC380000}"/>
    <cellStyle name="Normal 2 2 2 2 4 2 2 6 4 10" xfId="14589" xr:uid="{00000000-0005-0000-0000-0000FD380000}"/>
    <cellStyle name="Normal 2 2 2 2 4 2 2 6 4 2" xfId="14590" xr:uid="{00000000-0005-0000-0000-0000FE380000}"/>
    <cellStyle name="Normal 2 2 2 2 4 2 2 6 4 3" xfId="14591" xr:uid="{00000000-0005-0000-0000-0000FF380000}"/>
    <cellStyle name="Normal 2 2 2 2 4 2 2 6 4 4" xfId="14592" xr:uid="{00000000-0005-0000-0000-000000390000}"/>
    <cellStyle name="Normal 2 2 2 2 4 2 2 6 4 5" xfId="14593" xr:uid="{00000000-0005-0000-0000-000001390000}"/>
    <cellStyle name="Normal 2 2 2 2 4 2 2 6 4 6" xfId="14594" xr:uid="{00000000-0005-0000-0000-000002390000}"/>
    <cellStyle name="Normal 2 2 2 2 4 2 2 6 4 7" xfId="14595" xr:uid="{00000000-0005-0000-0000-000003390000}"/>
    <cellStyle name="Normal 2 2 2 2 4 2 2 6 4 8" xfId="14596" xr:uid="{00000000-0005-0000-0000-000004390000}"/>
    <cellStyle name="Normal 2 2 2 2 4 2 2 6 4 9" xfId="14597" xr:uid="{00000000-0005-0000-0000-000005390000}"/>
    <cellStyle name="Normal 2 2 2 2 4 2 2 6 5" xfId="14598" xr:uid="{00000000-0005-0000-0000-000006390000}"/>
    <cellStyle name="Normal 2 2 2 2 4 2 2 6 5 10" xfId="14599" xr:uid="{00000000-0005-0000-0000-000007390000}"/>
    <cellStyle name="Normal 2 2 2 2 4 2 2 6 5 2" xfId="14600" xr:uid="{00000000-0005-0000-0000-000008390000}"/>
    <cellStyle name="Normal 2 2 2 2 4 2 2 6 5 3" xfId="14601" xr:uid="{00000000-0005-0000-0000-000009390000}"/>
    <cellStyle name="Normal 2 2 2 2 4 2 2 6 5 4" xfId="14602" xr:uid="{00000000-0005-0000-0000-00000A390000}"/>
    <cellStyle name="Normal 2 2 2 2 4 2 2 6 5 5" xfId="14603" xr:uid="{00000000-0005-0000-0000-00000B390000}"/>
    <cellStyle name="Normal 2 2 2 2 4 2 2 6 5 6" xfId="14604" xr:uid="{00000000-0005-0000-0000-00000C390000}"/>
    <cellStyle name="Normal 2 2 2 2 4 2 2 6 5 7" xfId="14605" xr:uid="{00000000-0005-0000-0000-00000D390000}"/>
    <cellStyle name="Normal 2 2 2 2 4 2 2 6 5 8" xfId="14606" xr:uid="{00000000-0005-0000-0000-00000E390000}"/>
    <cellStyle name="Normal 2 2 2 2 4 2 2 6 5 9" xfId="14607" xr:uid="{00000000-0005-0000-0000-00000F390000}"/>
    <cellStyle name="Normal 2 2 2 2 4 2 2 6 6" xfId="14608" xr:uid="{00000000-0005-0000-0000-000010390000}"/>
    <cellStyle name="Normal 2 2 2 2 4 2 2 6 7" xfId="14609" xr:uid="{00000000-0005-0000-0000-000011390000}"/>
    <cellStyle name="Normal 2 2 2 2 4 2 2 6 8" xfId="14610" xr:uid="{00000000-0005-0000-0000-000012390000}"/>
    <cellStyle name="Normal 2 2 2 2 4 2 2 6 9" xfId="14611" xr:uid="{00000000-0005-0000-0000-000013390000}"/>
    <cellStyle name="Normal 2 2 2 2 4 2 2 7" xfId="14612" xr:uid="{00000000-0005-0000-0000-000014390000}"/>
    <cellStyle name="Normal 2 2 2 2 4 2 2 7 10" xfId="14613" xr:uid="{00000000-0005-0000-0000-000015390000}"/>
    <cellStyle name="Normal 2 2 2 2 4 2 2 7 11" xfId="14614" xr:uid="{00000000-0005-0000-0000-000016390000}"/>
    <cellStyle name="Normal 2 2 2 2 4 2 2 7 12" xfId="14615" xr:uid="{00000000-0005-0000-0000-000017390000}"/>
    <cellStyle name="Normal 2 2 2 2 4 2 2 7 13" xfId="14616" xr:uid="{00000000-0005-0000-0000-000018390000}"/>
    <cellStyle name="Normal 2 2 2 2 4 2 2 7 14" xfId="14617" xr:uid="{00000000-0005-0000-0000-000019390000}"/>
    <cellStyle name="Normal 2 2 2 2 4 2 2 7 2" xfId="14618" xr:uid="{00000000-0005-0000-0000-00001A390000}"/>
    <cellStyle name="Normal 2 2 2 2 4 2 2 7 2 10" xfId="14619" xr:uid="{00000000-0005-0000-0000-00001B390000}"/>
    <cellStyle name="Normal 2 2 2 2 4 2 2 7 2 2" xfId="14620" xr:uid="{00000000-0005-0000-0000-00001C390000}"/>
    <cellStyle name="Normal 2 2 2 2 4 2 2 7 2 3" xfId="14621" xr:uid="{00000000-0005-0000-0000-00001D390000}"/>
    <cellStyle name="Normal 2 2 2 2 4 2 2 7 2 4" xfId="14622" xr:uid="{00000000-0005-0000-0000-00001E390000}"/>
    <cellStyle name="Normal 2 2 2 2 4 2 2 7 2 5" xfId="14623" xr:uid="{00000000-0005-0000-0000-00001F390000}"/>
    <cellStyle name="Normal 2 2 2 2 4 2 2 7 2 6" xfId="14624" xr:uid="{00000000-0005-0000-0000-000020390000}"/>
    <cellStyle name="Normal 2 2 2 2 4 2 2 7 2 7" xfId="14625" xr:uid="{00000000-0005-0000-0000-000021390000}"/>
    <cellStyle name="Normal 2 2 2 2 4 2 2 7 2 8" xfId="14626" xr:uid="{00000000-0005-0000-0000-000022390000}"/>
    <cellStyle name="Normal 2 2 2 2 4 2 2 7 2 9" xfId="14627" xr:uid="{00000000-0005-0000-0000-000023390000}"/>
    <cellStyle name="Normal 2 2 2 2 4 2 2 7 3" xfId="14628" xr:uid="{00000000-0005-0000-0000-000024390000}"/>
    <cellStyle name="Normal 2 2 2 2 4 2 2 7 3 10" xfId="14629" xr:uid="{00000000-0005-0000-0000-000025390000}"/>
    <cellStyle name="Normal 2 2 2 2 4 2 2 7 3 2" xfId="14630" xr:uid="{00000000-0005-0000-0000-000026390000}"/>
    <cellStyle name="Normal 2 2 2 2 4 2 2 7 3 3" xfId="14631" xr:uid="{00000000-0005-0000-0000-000027390000}"/>
    <cellStyle name="Normal 2 2 2 2 4 2 2 7 3 4" xfId="14632" xr:uid="{00000000-0005-0000-0000-000028390000}"/>
    <cellStyle name="Normal 2 2 2 2 4 2 2 7 3 5" xfId="14633" xr:uid="{00000000-0005-0000-0000-000029390000}"/>
    <cellStyle name="Normal 2 2 2 2 4 2 2 7 3 6" xfId="14634" xr:uid="{00000000-0005-0000-0000-00002A390000}"/>
    <cellStyle name="Normal 2 2 2 2 4 2 2 7 3 7" xfId="14635" xr:uid="{00000000-0005-0000-0000-00002B390000}"/>
    <cellStyle name="Normal 2 2 2 2 4 2 2 7 3 8" xfId="14636" xr:uid="{00000000-0005-0000-0000-00002C390000}"/>
    <cellStyle name="Normal 2 2 2 2 4 2 2 7 3 9" xfId="14637" xr:uid="{00000000-0005-0000-0000-00002D390000}"/>
    <cellStyle name="Normal 2 2 2 2 4 2 2 7 4" xfId="14638" xr:uid="{00000000-0005-0000-0000-00002E390000}"/>
    <cellStyle name="Normal 2 2 2 2 4 2 2 7 4 10" xfId="14639" xr:uid="{00000000-0005-0000-0000-00002F390000}"/>
    <cellStyle name="Normal 2 2 2 2 4 2 2 7 4 2" xfId="14640" xr:uid="{00000000-0005-0000-0000-000030390000}"/>
    <cellStyle name="Normal 2 2 2 2 4 2 2 7 4 3" xfId="14641" xr:uid="{00000000-0005-0000-0000-000031390000}"/>
    <cellStyle name="Normal 2 2 2 2 4 2 2 7 4 4" xfId="14642" xr:uid="{00000000-0005-0000-0000-000032390000}"/>
    <cellStyle name="Normal 2 2 2 2 4 2 2 7 4 5" xfId="14643" xr:uid="{00000000-0005-0000-0000-000033390000}"/>
    <cellStyle name="Normal 2 2 2 2 4 2 2 7 4 6" xfId="14644" xr:uid="{00000000-0005-0000-0000-000034390000}"/>
    <cellStyle name="Normal 2 2 2 2 4 2 2 7 4 7" xfId="14645" xr:uid="{00000000-0005-0000-0000-000035390000}"/>
    <cellStyle name="Normal 2 2 2 2 4 2 2 7 4 8" xfId="14646" xr:uid="{00000000-0005-0000-0000-000036390000}"/>
    <cellStyle name="Normal 2 2 2 2 4 2 2 7 4 9" xfId="14647" xr:uid="{00000000-0005-0000-0000-000037390000}"/>
    <cellStyle name="Normal 2 2 2 2 4 2 2 7 5" xfId="14648" xr:uid="{00000000-0005-0000-0000-000038390000}"/>
    <cellStyle name="Normal 2 2 2 2 4 2 2 7 5 10" xfId="14649" xr:uid="{00000000-0005-0000-0000-000039390000}"/>
    <cellStyle name="Normal 2 2 2 2 4 2 2 7 5 2" xfId="14650" xr:uid="{00000000-0005-0000-0000-00003A390000}"/>
    <cellStyle name="Normal 2 2 2 2 4 2 2 7 5 3" xfId="14651" xr:uid="{00000000-0005-0000-0000-00003B390000}"/>
    <cellStyle name="Normal 2 2 2 2 4 2 2 7 5 4" xfId="14652" xr:uid="{00000000-0005-0000-0000-00003C390000}"/>
    <cellStyle name="Normal 2 2 2 2 4 2 2 7 5 5" xfId="14653" xr:uid="{00000000-0005-0000-0000-00003D390000}"/>
    <cellStyle name="Normal 2 2 2 2 4 2 2 7 5 6" xfId="14654" xr:uid="{00000000-0005-0000-0000-00003E390000}"/>
    <cellStyle name="Normal 2 2 2 2 4 2 2 7 5 7" xfId="14655" xr:uid="{00000000-0005-0000-0000-00003F390000}"/>
    <cellStyle name="Normal 2 2 2 2 4 2 2 7 5 8" xfId="14656" xr:uid="{00000000-0005-0000-0000-000040390000}"/>
    <cellStyle name="Normal 2 2 2 2 4 2 2 7 5 9" xfId="14657" xr:uid="{00000000-0005-0000-0000-000041390000}"/>
    <cellStyle name="Normal 2 2 2 2 4 2 2 7 6" xfId="14658" xr:uid="{00000000-0005-0000-0000-000042390000}"/>
    <cellStyle name="Normal 2 2 2 2 4 2 2 7 7" xfId="14659" xr:uid="{00000000-0005-0000-0000-000043390000}"/>
    <cellStyle name="Normal 2 2 2 2 4 2 2 7 8" xfId="14660" xr:uid="{00000000-0005-0000-0000-000044390000}"/>
    <cellStyle name="Normal 2 2 2 2 4 2 2 7 9" xfId="14661" xr:uid="{00000000-0005-0000-0000-000045390000}"/>
    <cellStyle name="Normal 2 2 2 2 4 2 2 8" xfId="14662" xr:uid="{00000000-0005-0000-0000-000046390000}"/>
    <cellStyle name="Normal 2 2 2 2 4 2 2 8 10" xfId="14663" xr:uid="{00000000-0005-0000-0000-000047390000}"/>
    <cellStyle name="Normal 2 2 2 2 4 2 2 8 11" xfId="14664" xr:uid="{00000000-0005-0000-0000-000048390000}"/>
    <cellStyle name="Normal 2 2 2 2 4 2 2 8 12" xfId="14665" xr:uid="{00000000-0005-0000-0000-000049390000}"/>
    <cellStyle name="Normal 2 2 2 2 4 2 2 8 13" xfId="14666" xr:uid="{00000000-0005-0000-0000-00004A390000}"/>
    <cellStyle name="Normal 2 2 2 2 4 2 2 8 14" xfId="14667" xr:uid="{00000000-0005-0000-0000-00004B390000}"/>
    <cellStyle name="Normal 2 2 2 2 4 2 2 8 2" xfId="14668" xr:uid="{00000000-0005-0000-0000-00004C390000}"/>
    <cellStyle name="Normal 2 2 2 2 4 2 2 8 2 10" xfId="14669" xr:uid="{00000000-0005-0000-0000-00004D390000}"/>
    <cellStyle name="Normal 2 2 2 2 4 2 2 8 2 2" xfId="14670" xr:uid="{00000000-0005-0000-0000-00004E390000}"/>
    <cellStyle name="Normal 2 2 2 2 4 2 2 8 2 3" xfId="14671" xr:uid="{00000000-0005-0000-0000-00004F390000}"/>
    <cellStyle name="Normal 2 2 2 2 4 2 2 8 2 4" xfId="14672" xr:uid="{00000000-0005-0000-0000-000050390000}"/>
    <cellStyle name="Normal 2 2 2 2 4 2 2 8 2 5" xfId="14673" xr:uid="{00000000-0005-0000-0000-000051390000}"/>
    <cellStyle name="Normal 2 2 2 2 4 2 2 8 2 6" xfId="14674" xr:uid="{00000000-0005-0000-0000-000052390000}"/>
    <cellStyle name="Normal 2 2 2 2 4 2 2 8 2 7" xfId="14675" xr:uid="{00000000-0005-0000-0000-000053390000}"/>
    <cellStyle name="Normal 2 2 2 2 4 2 2 8 2 8" xfId="14676" xr:uid="{00000000-0005-0000-0000-000054390000}"/>
    <cellStyle name="Normal 2 2 2 2 4 2 2 8 2 9" xfId="14677" xr:uid="{00000000-0005-0000-0000-000055390000}"/>
    <cellStyle name="Normal 2 2 2 2 4 2 2 8 3" xfId="14678" xr:uid="{00000000-0005-0000-0000-000056390000}"/>
    <cellStyle name="Normal 2 2 2 2 4 2 2 8 3 10" xfId="14679" xr:uid="{00000000-0005-0000-0000-000057390000}"/>
    <cellStyle name="Normal 2 2 2 2 4 2 2 8 3 2" xfId="14680" xr:uid="{00000000-0005-0000-0000-000058390000}"/>
    <cellStyle name="Normal 2 2 2 2 4 2 2 8 3 3" xfId="14681" xr:uid="{00000000-0005-0000-0000-000059390000}"/>
    <cellStyle name="Normal 2 2 2 2 4 2 2 8 3 4" xfId="14682" xr:uid="{00000000-0005-0000-0000-00005A390000}"/>
    <cellStyle name="Normal 2 2 2 2 4 2 2 8 3 5" xfId="14683" xr:uid="{00000000-0005-0000-0000-00005B390000}"/>
    <cellStyle name="Normal 2 2 2 2 4 2 2 8 3 6" xfId="14684" xr:uid="{00000000-0005-0000-0000-00005C390000}"/>
    <cellStyle name="Normal 2 2 2 2 4 2 2 8 3 7" xfId="14685" xr:uid="{00000000-0005-0000-0000-00005D390000}"/>
    <cellStyle name="Normal 2 2 2 2 4 2 2 8 3 8" xfId="14686" xr:uid="{00000000-0005-0000-0000-00005E390000}"/>
    <cellStyle name="Normal 2 2 2 2 4 2 2 8 3 9" xfId="14687" xr:uid="{00000000-0005-0000-0000-00005F390000}"/>
    <cellStyle name="Normal 2 2 2 2 4 2 2 8 4" xfId="14688" xr:uid="{00000000-0005-0000-0000-000060390000}"/>
    <cellStyle name="Normal 2 2 2 2 4 2 2 8 4 10" xfId="14689" xr:uid="{00000000-0005-0000-0000-000061390000}"/>
    <cellStyle name="Normal 2 2 2 2 4 2 2 8 4 2" xfId="14690" xr:uid="{00000000-0005-0000-0000-000062390000}"/>
    <cellStyle name="Normal 2 2 2 2 4 2 2 8 4 3" xfId="14691" xr:uid="{00000000-0005-0000-0000-000063390000}"/>
    <cellStyle name="Normal 2 2 2 2 4 2 2 8 4 4" xfId="14692" xr:uid="{00000000-0005-0000-0000-000064390000}"/>
    <cellStyle name="Normal 2 2 2 2 4 2 2 8 4 5" xfId="14693" xr:uid="{00000000-0005-0000-0000-000065390000}"/>
    <cellStyle name="Normal 2 2 2 2 4 2 2 8 4 6" xfId="14694" xr:uid="{00000000-0005-0000-0000-000066390000}"/>
    <cellStyle name="Normal 2 2 2 2 4 2 2 8 4 7" xfId="14695" xr:uid="{00000000-0005-0000-0000-000067390000}"/>
    <cellStyle name="Normal 2 2 2 2 4 2 2 8 4 8" xfId="14696" xr:uid="{00000000-0005-0000-0000-000068390000}"/>
    <cellStyle name="Normal 2 2 2 2 4 2 2 8 4 9" xfId="14697" xr:uid="{00000000-0005-0000-0000-000069390000}"/>
    <cellStyle name="Normal 2 2 2 2 4 2 2 8 5" xfId="14698" xr:uid="{00000000-0005-0000-0000-00006A390000}"/>
    <cellStyle name="Normal 2 2 2 2 4 2 2 8 5 10" xfId="14699" xr:uid="{00000000-0005-0000-0000-00006B390000}"/>
    <cellStyle name="Normal 2 2 2 2 4 2 2 8 5 2" xfId="14700" xr:uid="{00000000-0005-0000-0000-00006C390000}"/>
    <cellStyle name="Normal 2 2 2 2 4 2 2 8 5 3" xfId="14701" xr:uid="{00000000-0005-0000-0000-00006D390000}"/>
    <cellStyle name="Normal 2 2 2 2 4 2 2 8 5 4" xfId="14702" xr:uid="{00000000-0005-0000-0000-00006E390000}"/>
    <cellStyle name="Normal 2 2 2 2 4 2 2 8 5 5" xfId="14703" xr:uid="{00000000-0005-0000-0000-00006F390000}"/>
    <cellStyle name="Normal 2 2 2 2 4 2 2 8 5 6" xfId="14704" xr:uid="{00000000-0005-0000-0000-000070390000}"/>
    <cellStyle name="Normal 2 2 2 2 4 2 2 8 5 7" xfId="14705" xr:uid="{00000000-0005-0000-0000-000071390000}"/>
    <cellStyle name="Normal 2 2 2 2 4 2 2 8 5 8" xfId="14706" xr:uid="{00000000-0005-0000-0000-000072390000}"/>
    <cellStyle name="Normal 2 2 2 2 4 2 2 8 5 9" xfId="14707" xr:uid="{00000000-0005-0000-0000-000073390000}"/>
    <cellStyle name="Normal 2 2 2 2 4 2 2 8 6" xfId="14708" xr:uid="{00000000-0005-0000-0000-000074390000}"/>
    <cellStyle name="Normal 2 2 2 2 4 2 2 8 7" xfId="14709" xr:uid="{00000000-0005-0000-0000-000075390000}"/>
    <cellStyle name="Normal 2 2 2 2 4 2 2 8 8" xfId="14710" xr:uid="{00000000-0005-0000-0000-000076390000}"/>
    <cellStyle name="Normal 2 2 2 2 4 2 2 8 9" xfId="14711" xr:uid="{00000000-0005-0000-0000-000077390000}"/>
    <cellStyle name="Normal 2 2 2 2 4 2 2 9" xfId="14712" xr:uid="{00000000-0005-0000-0000-000078390000}"/>
    <cellStyle name="Normal 2 2 2 2 4 2 2 9 10" xfId="14713" xr:uid="{00000000-0005-0000-0000-000079390000}"/>
    <cellStyle name="Normal 2 2 2 2 4 2 2 9 11" xfId="14714" xr:uid="{00000000-0005-0000-0000-00007A390000}"/>
    <cellStyle name="Normal 2 2 2 2 4 2 2 9 12" xfId="14715" xr:uid="{00000000-0005-0000-0000-00007B390000}"/>
    <cellStyle name="Normal 2 2 2 2 4 2 2 9 13" xfId="14716" xr:uid="{00000000-0005-0000-0000-00007C390000}"/>
    <cellStyle name="Normal 2 2 2 2 4 2 2 9 14" xfId="14717" xr:uid="{00000000-0005-0000-0000-00007D390000}"/>
    <cellStyle name="Normal 2 2 2 2 4 2 2 9 2" xfId="14718" xr:uid="{00000000-0005-0000-0000-00007E390000}"/>
    <cellStyle name="Normal 2 2 2 2 4 2 2 9 2 10" xfId="14719" xr:uid="{00000000-0005-0000-0000-00007F390000}"/>
    <cellStyle name="Normal 2 2 2 2 4 2 2 9 2 2" xfId="14720" xr:uid="{00000000-0005-0000-0000-000080390000}"/>
    <cellStyle name="Normal 2 2 2 2 4 2 2 9 2 3" xfId="14721" xr:uid="{00000000-0005-0000-0000-000081390000}"/>
    <cellStyle name="Normal 2 2 2 2 4 2 2 9 2 4" xfId="14722" xr:uid="{00000000-0005-0000-0000-000082390000}"/>
    <cellStyle name="Normal 2 2 2 2 4 2 2 9 2 5" xfId="14723" xr:uid="{00000000-0005-0000-0000-000083390000}"/>
    <cellStyle name="Normal 2 2 2 2 4 2 2 9 2 6" xfId="14724" xr:uid="{00000000-0005-0000-0000-000084390000}"/>
    <cellStyle name="Normal 2 2 2 2 4 2 2 9 2 7" xfId="14725" xr:uid="{00000000-0005-0000-0000-000085390000}"/>
    <cellStyle name="Normal 2 2 2 2 4 2 2 9 2 8" xfId="14726" xr:uid="{00000000-0005-0000-0000-000086390000}"/>
    <cellStyle name="Normal 2 2 2 2 4 2 2 9 2 9" xfId="14727" xr:uid="{00000000-0005-0000-0000-000087390000}"/>
    <cellStyle name="Normal 2 2 2 2 4 2 2 9 3" xfId="14728" xr:uid="{00000000-0005-0000-0000-000088390000}"/>
    <cellStyle name="Normal 2 2 2 2 4 2 2 9 3 10" xfId="14729" xr:uid="{00000000-0005-0000-0000-000089390000}"/>
    <cellStyle name="Normal 2 2 2 2 4 2 2 9 3 2" xfId="14730" xr:uid="{00000000-0005-0000-0000-00008A390000}"/>
    <cellStyle name="Normal 2 2 2 2 4 2 2 9 3 3" xfId="14731" xr:uid="{00000000-0005-0000-0000-00008B390000}"/>
    <cellStyle name="Normal 2 2 2 2 4 2 2 9 3 4" xfId="14732" xr:uid="{00000000-0005-0000-0000-00008C390000}"/>
    <cellStyle name="Normal 2 2 2 2 4 2 2 9 3 5" xfId="14733" xr:uid="{00000000-0005-0000-0000-00008D390000}"/>
    <cellStyle name="Normal 2 2 2 2 4 2 2 9 3 6" xfId="14734" xr:uid="{00000000-0005-0000-0000-00008E390000}"/>
    <cellStyle name="Normal 2 2 2 2 4 2 2 9 3 7" xfId="14735" xr:uid="{00000000-0005-0000-0000-00008F390000}"/>
    <cellStyle name="Normal 2 2 2 2 4 2 2 9 3 8" xfId="14736" xr:uid="{00000000-0005-0000-0000-000090390000}"/>
    <cellStyle name="Normal 2 2 2 2 4 2 2 9 3 9" xfId="14737" xr:uid="{00000000-0005-0000-0000-000091390000}"/>
    <cellStyle name="Normal 2 2 2 2 4 2 2 9 4" xfId="14738" xr:uid="{00000000-0005-0000-0000-000092390000}"/>
    <cellStyle name="Normal 2 2 2 2 4 2 2 9 4 10" xfId="14739" xr:uid="{00000000-0005-0000-0000-000093390000}"/>
    <cellStyle name="Normal 2 2 2 2 4 2 2 9 4 2" xfId="14740" xr:uid="{00000000-0005-0000-0000-000094390000}"/>
    <cellStyle name="Normal 2 2 2 2 4 2 2 9 4 3" xfId="14741" xr:uid="{00000000-0005-0000-0000-000095390000}"/>
    <cellStyle name="Normal 2 2 2 2 4 2 2 9 4 4" xfId="14742" xr:uid="{00000000-0005-0000-0000-000096390000}"/>
    <cellStyle name="Normal 2 2 2 2 4 2 2 9 4 5" xfId="14743" xr:uid="{00000000-0005-0000-0000-000097390000}"/>
    <cellStyle name="Normal 2 2 2 2 4 2 2 9 4 6" xfId="14744" xr:uid="{00000000-0005-0000-0000-000098390000}"/>
    <cellStyle name="Normal 2 2 2 2 4 2 2 9 4 7" xfId="14745" xr:uid="{00000000-0005-0000-0000-000099390000}"/>
    <cellStyle name="Normal 2 2 2 2 4 2 2 9 4 8" xfId="14746" xr:uid="{00000000-0005-0000-0000-00009A390000}"/>
    <cellStyle name="Normal 2 2 2 2 4 2 2 9 4 9" xfId="14747" xr:uid="{00000000-0005-0000-0000-00009B390000}"/>
    <cellStyle name="Normal 2 2 2 2 4 2 2 9 5" xfId="14748" xr:uid="{00000000-0005-0000-0000-00009C390000}"/>
    <cellStyle name="Normal 2 2 2 2 4 2 2 9 5 10" xfId="14749" xr:uid="{00000000-0005-0000-0000-00009D390000}"/>
    <cellStyle name="Normal 2 2 2 2 4 2 2 9 5 2" xfId="14750" xr:uid="{00000000-0005-0000-0000-00009E390000}"/>
    <cellStyle name="Normal 2 2 2 2 4 2 2 9 5 3" xfId="14751" xr:uid="{00000000-0005-0000-0000-00009F390000}"/>
    <cellStyle name="Normal 2 2 2 2 4 2 2 9 5 4" xfId="14752" xr:uid="{00000000-0005-0000-0000-0000A0390000}"/>
    <cellStyle name="Normal 2 2 2 2 4 2 2 9 5 5" xfId="14753" xr:uid="{00000000-0005-0000-0000-0000A1390000}"/>
    <cellStyle name="Normal 2 2 2 2 4 2 2 9 5 6" xfId="14754" xr:uid="{00000000-0005-0000-0000-0000A2390000}"/>
    <cellStyle name="Normal 2 2 2 2 4 2 2 9 5 7" xfId="14755" xr:uid="{00000000-0005-0000-0000-0000A3390000}"/>
    <cellStyle name="Normal 2 2 2 2 4 2 2 9 5 8" xfId="14756" xr:uid="{00000000-0005-0000-0000-0000A4390000}"/>
    <cellStyle name="Normal 2 2 2 2 4 2 2 9 5 9" xfId="14757" xr:uid="{00000000-0005-0000-0000-0000A5390000}"/>
    <cellStyle name="Normal 2 2 2 2 4 2 2 9 6" xfId="14758" xr:uid="{00000000-0005-0000-0000-0000A6390000}"/>
    <cellStyle name="Normal 2 2 2 2 4 2 2 9 7" xfId="14759" xr:uid="{00000000-0005-0000-0000-0000A7390000}"/>
    <cellStyle name="Normal 2 2 2 2 4 2 2 9 8" xfId="14760" xr:uid="{00000000-0005-0000-0000-0000A8390000}"/>
    <cellStyle name="Normal 2 2 2 2 4 2 2 9 9" xfId="14761" xr:uid="{00000000-0005-0000-0000-0000A9390000}"/>
    <cellStyle name="Normal 2 2 2 2 4 2 20" xfId="14762" xr:uid="{00000000-0005-0000-0000-0000AA390000}"/>
    <cellStyle name="Normal 2 2 2 2 4 2 21" xfId="14763" xr:uid="{00000000-0005-0000-0000-0000AB390000}"/>
    <cellStyle name="Normal 2 2 2 2 4 2 21 10" xfId="14764" xr:uid="{00000000-0005-0000-0000-0000AC390000}"/>
    <cellStyle name="Normal 2 2 2 2 4 2 21 2" xfId="14765" xr:uid="{00000000-0005-0000-0000-0000AD390000}"/>
    <cellStyle name="Normal 2 2 2 2 4 2 21 3" xfId="14766" xr:uid="{00000000-0005-0000-0000-0000AE390000}"/>
    <cellStyle name="Normal 2 2 2 2 4 2 21 4" xfId="14767" xr:uid="{00000000-0005-0000-0000-0000AF390000}"/>
    <cellStyle name="Normal 2 2 2 2 4 2 21 5" xfId="14768" xr:uid="{00000000-0005-0000-0000-0000B0390000}"/>
    <cellStyle name="Normal 2 2 2 2 4 2 21 6" xfId="14769" xr:uid="{00000000-0005-0000-0000-0000B1390000}"/>
    <cellStyle name="Normal 2 2 2 2 4 2 21 7" xfId="14770" xr:uid="{00000000-0005-0000-0000-0000B2390000}"/>
    <cellStyle name="Normal 2 2 2 2 4 2 21 8" xfId="14771" xr:uid="{00000000-0005-0000-0000-0000B3390000}"/>
    <cellStyle name="Normal 2 2 2 2 4 2 21 9" xfId="14772" xr:uid="{00000000-0005-0000-0000-0000B4390000}"/>
    <cellStyle name="Normal 2 2 2 2 4 2 22" xfId="14773" xr:uid="{00000000-0005-0000-0000-0000B5390000}"/>
    <cellStyle name="Normal 2 2 2 2 4 2 22 10" xfId="14774" xr:uid="{00000000-0005-0000-0000-0000B6390000}"/>
    <cellStyle name="Normal 2 2 2 2 4 2 22 2" xfId="14775" xr:uid="{00000000-0005-0000-0000-0000B7390000}"/>
    <cellStyle name="Normal 2 2 2 2 4 2 22 3" xfId="14776" xr:uid="{00000000-0005-0000-0000-0000B8390000}"/>
    <cellStyle name="Normal 2 2 2 2 4 2 22 4" xfId="14777" xr:uid="{00000000-0005-0000-0000-0000B9390000}"/>
    <cellStyle name="Normal 2 2 2 2 4 2 22 5" xfId="14778" xr:uid="{00000000-0005-0000-0000-0000BA390000}"/>
    <cellStyle name="Normal 2 2 2 2 4 2 22 6" xfId="14779" xr:uid="{00000000-0005-0000-0000-0000BB390000}"/>
    <cellStyle name="Normal 2 2 2 2 4 2 22 7" xfId="14780" xr:uid="{00000000-0005-0000-0000-0000BC390000}"/>
    <cellStyle name="Normal 2 2 2 2 4 2 22 8" xfId="14781" xr:uid="{00000000-0005-0000-0000-0000BD390000}"/>
    <cellStyle name="Normal 2 2 2 2 4 2 22 9" xfId="14782" xr:uid="{00000000-0005-0000-0000-0000BE390000}"/>
    <cellStyle name="Normal 2 2 2 2 4 2 23" xfId="14783" xr:uid="{00000000-0005-0000-0000-0000BF390000}"/>
    <cellStyle name="Normal 2 2 2 2 4 2 23 10" xfId="14784" xr:uid="{00000000-0005-0000-0000-0000C0390000}"/>
    <cellStyle name="Normal 2 2 2 2 4 2 23 2" xfId="14785" xr:uid="{00000000-0005-0000-0000-0000C1390000}"/>
    <cellStyle name="Normal 2 2 2 2 4 2 23 3" xfId="14786" xr:uid="{00000000-0005-0000-0000-0000C2390000}"/>
    <cellStyle name="Normal 2 2 2 2 4 2 23 4" xfId="14787" xr:uid="{00000000-0005-0000-0000-0000C3390000}"/>
    <cellStyle name="Normal 2 2 2 2 4 2 23 5" xfId="14788" xr:uid="{00000000-0005-0000-0000-0000C4390000}"/>
    <cellStyle name="Normal 2 2 2 2 4 2 23 6" xfId="14789" xr:uid="{00000000-0005-0000-0000-0000C5390000}"/>
    <cellStyle name="Normal 2 2 2 2 4 2 23 7" xfId="14790" xr:uid="{00000000-0005-0000-0000-0000C6390000}"/>
    <cellStyle name="Normal 2 2 2 2 4 2 23 8" xfId="14791" xr:uid="{00000000-0005-0000-0000-0000C7390000}"/>
    <cellStyle name="Normal 2 2 2 2 4 2 23 9" xfId="14792" xr:uid="{00000000-0005-0000-0000-0000C8390000}"/>
    <cellStyle name="Normal 2 2 2 2 4 2 24" xfId="14793" xr:uid="{00000000-0005-0000-0000-0000C9390000}"/>
    <cellStyle name="Normal 2 2 2 2 4 2 24 10" xfId="14794" xr:uid="{00000000-0005-0000-0000-0000CA390000}"/>
    <cellStyle name="Normal 2 2 2 2 4 2 24 2" xfId="14795" xr:uid="{00000000-0005-0000-0000-0000CB390000}"/>
    <cellStyle name="Normal 2 2 2 2 4 2 24 3" xfId="14796" xr:uid="{00000000-0005-0000-0000-0000CC390000}"/>
    <cellStyle name="Normal 2 2 2 2 4 2 24 4" xfId="14797" xr:uid="{00000000-0005-0000-0000-0000CD390000}"/>
    <cellStyle name="Normal 2 2 2 2 4 2 24 5" xfId="14798" xr:uid="{00000000-0005-0000-0000-0000CE390000}"/>
    <cellStyle name="Normal 2 2 2 2 4 2 24 6" xfId="14799" xr:uid="{00000000-0005-0000-0000-0000CF390000}"/>
    <cellStyle name="Normal 2 2 2 2 4 2 24 7" xfId="14800" xr:uid="{00000000-0005-0000-0000-0000D0390000}"/>
    <cellStyle name="Normal 2 2 2 2 4 2 24 8" xfId="14801" xr:uid="{00000000-0005-0000-0000-0000D1390000}"/>
    <cellStyle name="Normal 2 2 2 2 4 2 24 9" xfId="14802" xr:uid="{00000000-0005-0000-0000-0000D2390000}"/>
    <cellStyle name="Normal 2 2 2 2 4 2 25" xfId="14803" xr:uid="{00000000-0005-0000-0000-0000D3390000}"/>
    <cellStyle name="Normal 2 2 2 2 4 2 26" xfId="14804" xr:uid="{00000000-0005-0000-0000-0000D4390000}"/>
    <cellStyle name="Normal 2 2 2 2 4 2 27" xfId="14805" xr:uid="{00000000-0005-0000-0000-0000D5390000}"/>
    <cellStyle name="Normal 2 2 2 2 4 2 28" xfId="14806" xr:uid="{00000000-0005-0000-0000-0000D6390000}"/>
    <cellStyle name="Normal 2 2 2 2 4 2 29" xfId="14807" xr:uid="{00000000-0005-0000-0000-0000D7390000}"/>
    <cellStyle name="Normal 2 2 2 2 4 2 3" xfId="14808" xr:uid="{00000000-0005-0000-0000-0000D8390000}"/>
    <cellStyle name="Normal 2 2 2 2 4 2 30" xfId="14809" xr:uid="{00000000-0005-0000-0000-0000D9390000}"/>
    <cellStyle name="Normal 2 2 2 2 4 2 31" xfId="14810" xr:uid="{00000000-0005-0000-0000-0000DA390000}"/>
    <cellStyle name="Normal 2 2 2 2 4 2 32" xfId="14811" xr:uid="{00000000-0005-0000-0000-0000DB390000}"/>
    <cellStyle name="Normal 2 2 2 2 4 2 33" xfId="14812" xr:uid="{00000000-0005-0000-0000-0000DC390000}"/>
    <cellStyle name="Normal 2 2 2 2 4 2 34" xfId="14813" xr:uid="{00000000-0005-0000-0000-0000DD390000}"/>
    <cellStyle name="Normal 2 2 2 2 4 2 35" xfId="14814" xr:uid="{00000000-0005-0000-0000-0000DE390000}"/>
    <cellStyle name="Normal 2 2 2 2 4 2 4" xfId="14815" xr:uid="{00000000-0005-0000-0000-0000DF390000}"/>
    <cellStyle name="Normal 2 2 2 2 4 2 5" xfId="14816" xr:uid="{00000000-0005-0000-0000-0000E0390000}"/>
    <cellStyle name="Normal 2 2 2 2 4 2 6" xfId="14817" xr:uid="{00000000-0005-0000-0000-0000E1390000}"/>
    <cellStyle name="Normal 2 2 2 2 4 2 7" xfId="14818" xr:uid="{00000000-0005-0000-0000-0000E2390000}"/>
    <cellStyle name="Normal 2 2 2 2 4 2 8" xfId="14819" xr:uid="{00000000-0005-0000-0000-0000E3390000}"/>
    <cellStyle name="Normal 2 2 2 2 4 2 9" xfId="14820" xr:uid="{00000000-0005-0000-0000-0000E4390000}"/>
    <cellStyle name="Normal 2 2 2 2 4 20" xfId="14821" xr:uid="{00000000-0005-0000-0000-0000E5390000}"/>
    <cellStyle name="Normal 2 2 2 2 4 20 10" xfId="14822" xr:uid="{00000000-0005-0000-0000-0000E6390000}"/>
    <cellStyle name="Normal 2 2 2 2 4 20 11" xfId="14823" xr:uid="{00000000-0005-0000-0000-0000E7390000}"/>
    <cellStyle name="Normal 2 2 2 2 4 20 12" xfId="14824" xr:uid="{00000000-0005-0000-0000-0000E8390000}"/>
    <cellStyle name="Normal 2 2 2 2 4 20 13" xfId="14825" xr:uid="{00000000-0005-0000-0000-0000E9390000}"/>
    <cellStyle name="Normal 2 2 2 2 4 20 14" xfId="14826" xr:uid="{00000000-0005-0000-0000-0000EA390000}"/>
    <cellStyle name="Normal 2 2 2 2 4 20 2" xfId="14827" xr:uid="{00000000-0005-0000-0000-0000EB390000}"/>
    <cellStyle name="Normal 2 2 2 2 4 20 2 10" xfId="14828" xr:uid="{00000000-0005-0000-0000-0000EC390000}"/>
    <cellStyle name="Normal 2 2 2 2 4 20 2 2" xfId="14829" xr:uid="{00000000-0005-0000-0000-0000ED390000}"/>
    <cellStyle name="Normal 2 2 2 2 4 20 2 3" xfId="14830" xr:uid="{00000000-0005-0000-0000-0000EE390000}"/>
    <cellStyle name="Normal 2 2 2 2 4 20 2 4" xfId="14831" xr:uid="{00000000-0005-0000-0000-0000EF390000}"/>
    <cellStyle name="Normal 2 2 2 2 4 20 2 5" xfId="14832" xr:uid="{00000000-0005-0000-0000-0000F0390000}"/>
    <cellStyle name="Normal 2 2 2 2 4 20 2 6" xfId="14833" xr:uid="{00000000-0005-0000-0000-0000F1390000}"/>
    <cellStyle name="Normal 2 2 2 2 4 20 2 7" xfId="14834" xr:uid="{00000000-0005-0000-0000-0000F2390000}"/>
    <cellStyle name="Normal 2 2 2 2 4 20 2 8" xfId="14835" xr:uid="{00000000-0005-0000-0000-0000F3390000}"/>
    <cellStyle name="Normal 2 2 2 2 4 20 2 9" xfId="14836" xr:uid="{00000000-0005-0000-0000-0000F4390000}"/>
    <cellStyle name="Normal 2 2 2 2 4 20 3" xfId="14837" xr:uid="{00000000-0005-0000-0000-0000F5390000}"/>
    <cellStyle name="Normal 2 2 2 2 4 20 3 10" xfId="14838" xr:uid="{00000000-0005-0000-0000-0000F6390000}"/>
    <cellStyle name="Normal 2 2 2 2 4 20 3 2" xfId="14839" xr:uid="{00000000-0005-0000-0000-0000F7390000}"/>
    <cellStyle name="Normal 2 2 2 2 4 20 3 3" xfId="14840" xr:uid="{00000000-0005-0000-0000-0000F8390000}"/>
    <cellStyle name="Normal 2 2 2 2 4 20 3 4" xfId="14841" xr:uid="{00000000-0005-0000-0000-0000F9390000}"/>
    <cellStyle name="Normal 2 2 2 2 4 20 3 5" xfId="14842" xr:uid="{00000000-0005-0000-0000-0000FA390000}"/>
    <cellStyle name="Normal 2 2 2 2 4 20 3 6" xfId="14843" xr:uid="{00000000-0005-0000-0000-0000FB390000}"/>
    <cellStyle name="Normal 2 2 2 2 4 20 3 7" xfId="14844" xr:uid="{00000000-0005-0000-0000-0000FC390000}"/>
    <cellStyle name="Normal 2 2 2 2 4 20 3 8" xfId="14845" xr:uid="{00000000-0005-0000-0000-0000FD390000}"/>
    <cellStyle name="Normal 2 2 2 2 4 20 3 9" xfId="14846" xr:uid="{00000000-0005-0000-0000-0000FE390000}"/>
    <cellStyle name="Normal 2 2 2 2 4 20 4" xfId="14847" xr:uid="{00000000-0005-0000-0000-0000FF390000}"/>
    <cellStyle name="Normal 2 2 2 2 4 20 4 10" xfId="14848" xr:uid="{00000000-0005-0000-0000-0000003A0000}"/>
    <cellStyle name="Normal 2 2 2 2 4 20 4 2" xfId="14849" xr:uid="{00000000-0005-0000-0000-0000013A0000}"/>
    <cellStyle name="Normal 2 2 2 2 4 20 4 3" xfId="14850" xr:uid="{00000000-0005-0000-0000-0000023A0000}"/>
    <cellStyle name="Normal 2 2 2 2 4 20 4 4" xfId="14851" xr:uid="{00000000-0005-0000-0000-0000033A0000}"/>
    <cellStyle name="Normal 2 2 2 2 4 20 4 5" xfId="14852" xr:uid="{00000000-0005-0000-0000-0000043A0000}"/>
    <cellStyle name="Normal 2 2 2 2 4 20 4 6" xfId="14853" xr:uid="{00000000-0005-0000-0000-0000053A0000}"/>
    <cellStyle name="Normal 2 2 2 2 4 20 4 7" xfId="14854" xr:uid="{00000000-0005-0000-0000-0000063A0000}"/>
    <cellStyle name="Normal 2 2 2 2 4 20 4 8" xfId="14855" xr:uid="{00000000-0005-0000-0000-0000073A0000}"/>
    <cellStyle name="Normal 2 2 2 2 4 20 4 9" xfId="14856" xr:uid="{00000000-0005-0000-0000-0000083A0000}"/>
    <cellStyle name="Normal 2 2 2 2 4 20 5" xfId="14857" xr:uid="{00000000-0005-0000-0000-0000093A0000}"/>
    <cellStyle name="Normal 2 2 2 2 4 20 5 10" xfId="14858" xr:uid="{00000000-0005-0000-0000-00000A3A0000}"/>
    <cellStyle name="Normal 2 2 2 2 4 20 5 2" xfId="14859" xr:uid="{00000000-0005-0000-0000-00000B3A0000}"/>
    <cellStyle name="Normal 2 2 2 2 4 20 5 3" xfId="14860" xr:uid="{00000000-0005-0000-0000-00000C3A0000}"/>
    <cellStyle name="Normal 2 2 2 2 4 20 5 4" xfId="14861" xr:uid="{00000000-0005-0000-0000-00000D3A0000}"/>
    <cellStyle name="Normal 2 2 2 2 4 20 5 5" xfId="14862" xr:uid="{00000000-0005-0000-0000-00000E3A0000}"/>
    <cellStyle name="Normal 2 2 2 2 4 20 5 6" xfId="14863" xr:uid="{00000000-0005-0000-0000-00000F3A0000}"/>
    <cellStyle name="Normal 2 2 2 2 4 20 5 7" xfId="14864" xr:uid="{00000000-0005-0000-0000-0000103A0000}"/>
    <cellStyle name="Normal 2 2 2 2 4 20 5 8" xfId="14865" xr:uid="{00000000-0005-0000-0000-0000113A0000}"/>
    <cellStyle name="Normal 2 2 2 2 4 20 5 9" xfId="14866" xr:uid="{00000000-0005-0000-0000-0000123A0000}"/>
    <cellStyle name="Normal 2 2 2 2 4 20 6" xfId="14867" xr:uid="{00000000-0005-0000-0000-0000133A0000}"/>
    <cellStyle name="Normal 2 2 2 2 4 20 7" xfId="14868" xr:uid="{00000000-0005-0000-0000-0000143A0000}"/>
    <cellStyle name="Normal 2 2 2 2 4 20 8" xfId="14869" xr:uid="{00000000-0005-0000-0000-0000153A0000}"/>
    <cellStyle name="Normal 2 2 2 2 4 20 9" xfId="14870" xr:uid="{00000000-0005-0000-0000-0000163A0000}"/>
    <cellStyle name="Normal 2 2 2 2 4 21" xfId="14871" xr:uid="{00000000-0005-0000-0000-0000173A0000}"/>
    <cellStyle name="Normal 2 2 2 2 4 21 10" xfId="14872" xr:uid="{00000000-0005-0000-0000-0000183A0000}"/>
    <cellStyle name="Normal 2 2 2 2 4 21 11" xfId="14873" xr:uid="{00000000-0005-0000-0000-0000193A0000}"/>
    <cellStyle name="Normal 2 2 2 2 4 21 12" xfId="14874" xr:uid="{00000000-0005-0000-0000-00001A3A0000}"/>
    <cellStyle name="Normal 2 2 2 2 4 21 13" xfId="14875" xr:uid="{00000000-0005-0000-0000-00001B3A0000}"/>
    <cellStyle name="Normal 2 2 2 2 4 21 14" xfId="14876" xr:uid="{00000000-0005-0000-0000-00001C3A0000}"/>
    <cellStyle name="Normal 2 2 2 2 4 21 2" xfId="14877" xr:uid="{00000000-0005-0000-0000-00001D3A0000}"/>
    <cellStyle name="Normal 2 2 2 2 4 21 2 10" xfId="14878" xr:uid="{00000000-0005-0000-0000-00001E3A0000}"/>
    <cellStyle name="Normal 2 2 2 2 4 21 2 2" xfId="14879" xr:uid="{00000000-0005-0000-0000-00001F3A0000}"/>
    <cellStyle name="Normal 2 2 2 2 4 21 2 3" xfId="14880" xr:uid="{00000000-0005-0000-0000-0000203A0000}"/>
    <cellStyle name="Normal 2 2 2 2 4 21 2 4" xfId="14881" xr:uid="{00000000-0005-0000-0000-0000213A0000}"/>
    <cellStyle name="Normal 2 2 2 2 4 21 2 5" xfId="14882" xr:uid="{00000000-0005-0000-0000-0000223A0000}"/>
    <cellStyle name="Normal 2 2 2 2 4 21 2 6" xfId="14883" xr:uid="{00000000-0005-0000-0000-0000233A0000}"/>
    <cellStyle name="Normal 2 2 2 2 4 21 2 7" xfId="14884" xr:uid="{00000000-0005-0000-0000-0000243A0000}"/>
    <cellStyle name="Normal 2 2 2 2 4 21 2 8" xfId="14885" xr:uid="{00000000-0005-0000-0000-0000253A0000}"/>
    <cellStyle name="Normal 2 2 2 2 4 21 2 9" xfId="14886" xr:uid="{00000000-0005-0000-0000-0000263A0000}"/>
    <cellStyle name="Normal 2 2 2 2 4 21 3" xfId="14887" xr:uid="{00000000-0005-0000-0000-0000273A0000}"/>
    <cellStyle name="Normal 2 2 2 2 4 21 3 10" xfId="14888" xr:uid="{00000000-0005-0000-0000-0000283A0000}"/>
    <cellStyle name="Normal 2 2 2 2 4 21 3 2" xfId="14889" xr:uid="{00000000-0005-0000-0000-0000293A0000}"/>
    <cellStyle name="Normal 2 2 2 2 4 21 3 3" xfId="14890" xr:uid="{00000000-0005-0000-0000-00002A3A0000}"/>
    <cellStyle name="Normal 2 2 2 2 4 21 3 4" xfId="14891" xr:uid="{00000000-0005-0000-0000-00002B3A0000}"/>
    <cellStyle name="Normal 2 2 2 2 4 21 3 5" xfId="14892" xr:uid="{00000000-0005-0000-0000-00002C3A0000}"/>
    <cellStyle name="Normal 2 2 2 2 4 21 3 6" xfId="14893" xr:uid="{00000000-0005-0000-0000-00002D3A0000}"/>
    <cellStyle name="Normal 2 2 2 2 4 21 3 7" xfId="14894" xr:uid="{00000000-0005-0000-0000-00002E3A0000}"/>
    <cellStyle name="Normal 2 2 2 2 4 21 3 8" xfId="14895" xr:uid="{00000000-0005-0000-0000-00002F3A0000}"/>
    <cellStyle name="Normal 2 2 2 2 4 21 3 9" xfId="14896" xr:uid="{00000000-0005-0000-0000-0000303A0000}"/>
    <cellStyle name="Normal 2 2 2 2 4 21 4" xfId="14897" xr:uid="{00000000-0005-0000-0000-0000313A0000}"/>
    <cellStyle name="Normal 2 2 2 2 4 21 4 10" xfId="14898" xr:uid="{00000000-0005-0000-0000-0000323A0000}"/>
    <cellStyle name="Normal 2 2 2 2 4 21 4 2" xfId="14899" xr:uid="{00000000-0005-0000-0000-0000333A0000}"/>
    <cellStyle name="Normal 2 2 2 2 4 21 4 3" xfId="14900" xr:uid="{00000000-0005-0000-0000-0000343A0000}"/>
    <cellStyle name="Normal 2 2 2 2 4 21 4 4" xfId="14901" xr:uid="{00000000-0005-0000-0000-0000353A0000}"/>
    <cellStyle name="Normal 2 2 2 2 4 21 4 5" xfId="14902" xr:uid="{00000000-0005-0000-0000-0000363A0000}"/>
    <cellStyle name="Normal 2 2 2 2 4 21 4 6" xfId="14903" xr:uid="{00000000-0005-0000-0000-0000373A0000}"/>
    <cellStyle name="Normal 2 2 2 2 4 21 4 7" xfId="14904" xr:uid="{00000000-0005-0000-0000-0000383A0000}"/>
    <cellStyle name="Normal 2 2 2 2 4 21 4 8" xfId="14905" xr:uid="{00000000-0005-0000-0000-0000393A0000}"/>
    <cellStyle name="Normal 2 2 2 2 4 21 4 9" xfId="14906" xr:uid="{00000000-0005-0000-0000-00003A3A0000}"/>
    <cellStyle name="Normal 2 2 2 2 4 21 5" xfId="14907" xr:uid="{00000000-0005-0000-0000-00003B3A0000}"/>
    <cellStyle name="Normal 2 2 2 2 4 21 5 10" xfId="14908" xr:uid="{00000000-0005-0000-0000-00003C3A0000}"/>
    <cellStyle name="Normal 2 2 2 2 4 21 5 2" xfId="14909" xr:uid="{00000000-0005-0000-0000-00003D3A0000}"/>
    <cellStyle name="Normal 2 2 2 2 4 21 5 3" xfId="14910" xr:uid="{00000000-0005-0000-0000-00003E3A0000}"/>
    <cellStyle name="Normal 2 2 2 2 4 21 5 4" xfId="14911" xr:uid="{00000000-0005-0000-0000-00003F3A0000}"/>
    <cellStyle name="Normal 2 2 2 2 4 21 5 5" xfId="14912" xr:uid="{00000000-0005-0000-0000-0000403A0000}"/>
    <cellStyle name="Normal 2 2 2 2 4 21 5 6" xfId="14913" xr:uid="{00000000-0005-0000-0000-0000413A0000}"/>
    <cellStyle name="Normal 2 2 2 2 4 21 5 7" xfId="14914" xr:uid="{00000000-0005-0000-0000-0000423A0000}"/>
    <cellStyle name="Normal 2 2 2 2 4 21 5 8" xfId="14915" xr:uid="{00000000-0005-0000-0000-0000433A0000}"/>
    <cellStyle name="Normal 2 2 2 2 4 21 5 9" xfId="14916" xr:uid="{00000000-0005-0000-0000-0000443A0000}"/>
    <cellStyle name="Normal 2 2 2 2 4 21 6" xfId="14917" xr:uid="{00000000-0005-0000-0000-0000453A0000}"/>
    <cellStyle name="Normal 2 2 2 2 4 21 7" xfId="14918" xr:uid="{00000000-0005-0000-0000-0000463A0000}"/>
    <cellStyle name="Normal 2 2 2 2 4 21 8" xfId="14919" xr:uid="{00000000-0005-0000-0000-0000473A0000}"/>
    <cellStyle name="Normal 2 2 2 2 4 21 9" xfId="14920" xr:uid="{00000000-0005-0000-0000-0000483A0000}"/>
    <cellStyle name="Normal 2 2 2 2 4 22" xfId="14921" xr:uid="{00000000-0005-0000-0000-0000493A0000}"/>
    <cellStyle name="Normal 2 2 2 2 4 22 10" xfId="14922" xr:uid="{00000000-0005-0000-0000-00004A3A0000}"/>
    <cellStyle name="Normal 2 2 2 2 4 22 11" xfId="14923" xr:uid="{00000000-0005-0000-0000-00004B3A0000}"/>
    <cellStyle name="Normal 2 2 2 2 4 22 12" xfId="14924" xr:uid="{00000000-0005-0000-0000-00004C3A0000}"/>
    <cellStyle name="Normal 2 2 2 2 4 22 13" xfId="14925" xr:uid="{00000000-0005-0000-0000-00004D3A0000}"/>
    <cellStyle name="Normal 2 2 2 2 4 22 14" xfId="14926" xr:uid="{00000000-0005-0000-0000-00004E3A0000}"/>
    <cellStyle name="Normal 2 2 2 2 4 22 2" xfId="14927" xr:uid="{00000000-0005-0000-0000-00004F3A0000}"/>
    <cellStyle name="Normal 2 2 2 2 4 22 2 10" xfId="14928" xr:uid="{00000000-0005-0000-0000-0000503A0000}"/>
    <cellStyle name="Normal 2 2 2 2 4 22 2 2" xfId="14929" xr:uid="{00000000-0005-0000-0000-0000513A0000}"/>
    <cellStyle name="Normal 2 2 2 2 4 22 2 3" xfId="14930" xr:uid="{00000000-0005-0000-0000-0000523A0000}"/>
    <cellStyle name="Normal 2 2 2 2 4 22 2 4" xfId="14931" xr:uid="{00000000-0005-0000-0000-0000533A0000}"/>
    <cellStyle name="Normal 2 2 2 2 4 22 2 5" xfId="14932" xr:uid="{00000000-0005-0000-0000-0000543A0000}"/>
    <cellStyle name="Normal 2 2 2 2 4 22 2 6" xfId="14933" xr:uid="{00000000-0005-0000-0000-0000553A0000}"/>
    <cellStyle name="Normal 2 2 2 2 4 22 2 7" xfId="14934" xr:uid="{00000000-0005-0000-0000-0000563A0000}"/>
    <cellStyle name="Normal 2 2 2 2 4 22 2 8" xfId="14935" xr:uid="{00000000-0005-0000-0000-0000573A0000}"/>
    <cellStyle name="Normal 2 2 2 2 4 22 2 9" xfId="14936" xr:uid="{00000000-0005-0000-0000-0000583A0000}"/>
    <cellStyle name="Normal 2 2 2 2 4 22 3" xfId="14937" xr:uid="{00000000-0005-0000-0000-0000593A0000}"/>
    <cellStyle name="Normal 2 2 2 2 4 22 3 10" xfId="14938" xr:uid="{00000000-0005-0000-0000-00005A3A0000}"/>
    <cellStyle name="Normal 2 2 2 2 4 22 3 2" xfId="14939" xr:uid="{00000000-0005-0000-0000-00005B3A0000}"/>
    <cellStyle name="Normal 2 2 2 2 4 22 3 3" xfId="14940" xr:uid="{00000000-0005-0000-0000-00005C3A0000}"/>
    <cellStyle name="Normal 2 2 2 2 4 22 3 4" xfId="14941" xr:uid="{00000000-0005-0000-0000-00005D3A0000}"/>
    <cellStyle name="Normal 2 2 2 2 4 22 3 5" xfId="14942" xr:uid="{00000000-0005-0000-0000-00005E3A0000}"/>
    <cellStyle name="Normal 2 2 2 2 4 22 3 6" xfId="14943" xr:uid="{00000000-0005-0000-0000-00005F3A0000}"/>
    <cellStyle name="Normal 2 2 2 2 4 22 3 7" xfId="14944" xr:uid="{00000000-0005-0000-0000-0000603A0000}"/>
    <cellStyle name="Normal 2 2 2 2 4 22 3 8" xfId="14945" xr:uid="{00000000-0005-0000-0000-0000613A0000}"/>
    <cellStyle name="Normal 2 2 2 2 4 22 3 9" xfId="14946" xr:uid="{00000000-0005-0000-0000-0000623A0000}"/>
    <cellStyle name="Normal 2 2 2 2 4 22 4" xfId="14947" xr:uid="{00000000-0005-0000-0000-0000633A0000}"/>
    <cellStyle name="Normal 2 2 2 2 4 22 4 10" xfId="14948" xr:uid="{00000000-0005-0000-0000-0000643A0000}"/>
    <cellStyle name="Normal 2 2 2 2 4 22 4 2" xfId="14949" xr:uid="{00000000-0005-0000-0000-0000653A0000}"/>
    <cellStyle name="Normal 2 2 2 2 4 22 4 3" xfId="14950" xr:uid="{00000000-0005-0000-0000-0000663A0000}"/>
    <cellStyle name="Normal 2 2 2 2 4 22 4 4" xfId="14951" xr:uid="{00000000-0005-0000-0000-0000673A0000}"/>
    <cellStyle name="Normal 2 2 2 2 4 22 4 5" xfId="14952" xr:uid="{00000000-0005-0000-0000-0000683A0000}"/>
    <cellStyle name="Normal 2 2 2 2 4 22 4 6" xfId="14953" xr:uid="{00000000-0005-0000-0000-0000693A0000}"/>
    <cellStyle name="Normal 2 2 2 2 4 22 4 7" xfId="14954" xr:uid="{00000000-0005-0000-0000-00006A3A0000}"/>
    <cellStyle name="Normal 2 2 2 2 4 22 4 8" xfId="14955" xr:uid="{00000000-0005-0000-0000-00006B3A0000}"/>
    <cellStyle name="Normal 2 2 2 2 4 22 4 9" xfId="14956" xr:uid="{00000000-0005-0000-0000-00006C3A0000}"/>
    <cellStyle name="Normal 2 2 2 2 4 22 5" xfId="14957" xr:uid="{00000000-0005-0000-0000-00006D3A0000}"/>
    <cellStyle name="Normal 2 2 2 2 4 22 5 10" xfId="14958" xr:uid="{00000000-0005-0000-0000-00006E3A0000}"/>
    <cellStyle name="Normal 2 2 2 2 4 22 5 2" xfId="14959" xr:uid="{00000000-0005-0000-0000-00006F3A0000}"/>
    <cellStyle name="Normal 2 2 2 2 4 22 5 3" xfId="14960" xr:uid="{00000000-0005-0000-0000-0000703A0000}"/>
    <cellStyle name="Normal 2 2 2 2 4 22 5 4" xfId="14961" xr:uid="{00000000-0005-0000-0000-0000713A0000}"/>
    <cellStyle name="Normal 2 2 2 2 4 22 5 5" xfId="14962" xr:uid="{00000000-0005-0000-0000-0000723A0000}"/>
    <cellStyle name="Normal 2 2 2 2 4 22 5 6" xfId="14963" xr:uid="{00000000-0005-0000-0000-0000733A0000}"/>
    <cellStyle name="Normal 2 2 2 2 4 22 5 7" xfId="14964" xr:uid="{00000000-0005-0000-0000-0000743A0000}"/>
    <cellStyle name="Normal 2 2 2 2 4 22 5 8" xfId="14965" xr:uid="{00000000-0005-0000-0000-0000753A0000}"/>
    <cellStyle name="Normal 2 2 2 2 4 22 5 9" xfId="14966" xr:uid="{00000000-0005-0000-0000-0000763A0000}"/>
    <cellStyle name="Normal 2 2 2 2 4 22 6" xfId="14967" xr:uid="{00000000-0005-0000-0000-0000773A0000}"/>
    <cellStyle name="Normal 2 2 2 2 4 22 7" xfId="14968" xr:uid="{00000000-0005-0000-0000-0000783A0000}"/>
    <cellStyle name="Normal 2 2 2 2 4 22 8" xfId="14969" xr:uid="{00000000-0005-0000-0000-0000793A0000}"/>
    <cellStyle name="Normal 2 2 2 2 4 22 9" xfId="14970" xr:uid="{00000000-0005-0000-0000-00007A3A0000}"/>
    <cellStyle name="Normal 2 2 2 2 4 23" xfId="14971" xr:uid="{00000000-0005-0000-0000-00007B3A0000}"/>
    <cellStyle name="Normal 2 2 2 2 4 23 10" xfId="14972" xr:uid="{00000000-0005-0000-0000-00007C3A0000}"/>
    <cellStyle name="Normal 2 2 2 2 4 23 11" xfId="14973" xr:uid="{00000000-0005-0000-0000-00007D3A0000}"/>
    <cellStyle name="Normal 2 2 2 2 4 23 12" xfId="14974" xr:uid="{00000000-0005-0000-0000-00007E3A0000}"/>
    <cellStyle name="Normal 2 2 2 2 4 23 13" xfId="14975" xr:uid="{00000000-0005-0000-0000-00007F3A0000}"/>
    <cellStyle name="Normal 2 2 2 2 4 23 14" xfId="14976" xr:uid="{00000000-0005-0000-0000-0000803A0000}"/>
    <cellStyle name="Normal 2 2 2 2 4 23 2" xfId="14977" xr:uid="{00000000-0005-0000-0000-0000813A0000}"/>
    <cellStyle name="Normal 2 2 2 2 4 23 2 10" xfId="14978" xr:uid="{00000000-0005-0000-0000-0000823A0000}"/>
    <cellStyle name="Normal 2 2 2 2 4 23 2 2" xfId="14979" xr:uid="{00000000-0005-0000-0000-0000833A0000}"/>
    <cellStyle name="Normal 2 2 2 2 4 23 2 3" xfId="14980" xr:uid="{00000000-0005-0000-0000-0000843A0000}"/>
    <cellStyle name="Normal 2 2 2 2 4 23 2 4" xfId="14981" xr:uid="{00000000-0005-0000-0000-0000853A0000}"/>
    <cellStyle name="Normal 2 2 2 2 4 23 2 5" xfId="14982" xr:uid="{00000000-0005-0000-0000-0000863A0000}"/>
    <cellStyle name="Normal 2 2 2 2 4 23 2 6" xfId="14983" xr:uid="{00000000-0005-0000-0000-0000873A0000}"/>
    <cellStyle name="Normal 2 2 2 2 4 23 2 7" xfId="14984" xr:uid="{00000000-0005-0000-0000-0000883A0000}"/>
    <cellStyle name="Normal 2 2 2 2 4 23 2 8" xfId="14985" xr:uid="{00000000-0005-0000-0000-0000893A0000}"/>
    <cellStyle name="Normal 2 2 2 2 4 23 2 9" xfId="14986" xr:uid="{00000000-0005-0000-0000-00008A3A0000}"/>
    <cellStyle name="Normal 2 2 2 2 4 23 3" xfId="14987" xr:uid="{00000000-0005-0000-0000-00008B3A0000}"/>
    <cellStyle name="Normal 2 2 2 2 4 23 3 10" xfId="14988" xr:uid="{00000000-0005-0000-0000-00008C3A0000}"/>
    <cellStyle name="Normal 2 2 2 2 4 23 3 2" xfId="14989" xr:uid="{00000000-0005-0000-0000-00008D3A0000}"/>
    <cellStyle name="Normal 2 2 2 2 4 23 3 3" xfId="14990" xr:uid="{00000000-0005-0000-0000-00008E3A0000}"/>
    <cellStyle name="Normal 2 2 2 2 4 23 3 4" xfId="14991" xr:uid="{00000000-0005-0000-0000-00008F3A0000}"/>
    <cellStyle name="Normal 2 2 2 2 4 23 3 5" xfId="14992" xr:uid="{00000000-0005-0000-0000-0000903A0000}"/>
    <cellStyle name="Normal 2 2 2 2 4 23 3 6" xfId="14993" xr:uid="{00000000-0005-0000-0000-0000913A0000}"/>
    <cellStyle name="Normal 2 2 2 2 4 23 3 7" xfId="14994" xr:uid="{00000000-0005-0000-0000-0000923A0000}"/>
    <cellStyle name="Normal 2 2 2 2 4 23 3 8" xfId="14995" xr:uid="{00000000-0005-0000-0000-0000933A0000}"/>
    <cellStyle name="Normal 2 2 2 2 4 23 3 9" xfId="14996" xr:uid="{00000000-0005-0000-0000-0000943A0000}"/>
    <cellStyle name="Normal 2 2 2 2 4 23 4" xfId="14997" xr:uid="{00000000-0005-0000-0000-0000953A0000}"/>
    <cellStyle name="Normal 2 2 2 2 4 23 4 10" xfId="14998" xr:uid="{00000000-0005-0000-0000-0000963A0000}"/>
    <cellStyle name="Normal 2 2 2 2 4 23 4 2" xfId="14999" xr:uid="{00000000-0005-0000-0000-0000973A0000}"/>
    <cellStyle name="Normal 2 2 2 2 4 23 4 3" xfId="15000" xr:uid="{00000000-0005-0000-0000-0000983A0000}"/>
    <cellStyle name="Normal 2 2 2 2 4 23 4 4" xfId="15001" xr:uid="{00000000-0005-0000-0000-0000993A0000}"/>
    <cellStyle name="Normal 2 2 2 2 4 23 4 5" xfId="15002" xr:uid="{00000000-0005-0000-0000-00009A3A0000}"/>
    <cellStyle name="Normal 2 2 2 2 4 23 4 6" xfId="15003" xr:uid="{00000000-0005-0000-0000-00009B3A0000}"/>
    <cellStyle name="Normal 2 2 2 2 4 23 4 7" xfId="15004" xr:uid="{00000000-0005-0000-0000-00009C3A0000}"/>
    <cellStyle name="Normal 2 2 2 2 4 23 4 8" xfId="15005" xr:uid="{00000000-0005-0000-0000-00009D3A0000}"/>
    <cellStyle name="Normal 2 2 2 2 4 23 4 9" xfId="15006" xr:uid="{00000000-0005-0000-0000-00009E3A0000}"/>
    <cellStyle name="Normal 2 2 2 2 4 23 5" xfId="15007" xr:uid="{00000000-0005-0000-0000-00009F3A0000}"/>
    <cellStyle name="Normal 2 2 2 2 4 23 5 10" xfId="15008" xr:uid="{00000000-0005-0000-0000-0000A03A0000}"/>
    <cellStyle name="Normal 2 2 2 2 4 23 5 2" xfId="15009" xr:uid="{00000000-0005-0000-0000-0000A13A0000}"/>
    <cellStyle name="Normal 2 2 2 2 4 23 5 3" xfId="15010" xr:uid="{00000000-0005-0000-0000-0000A23A0000}"/>
    <cellStyle name="Normal 2 2 2 2 4 23 5 4" xfId="15011" xr:uid="{00000000-0005-0000-0000-0000A33A0000}"/>
    <cellStyle name="Normal 2 2 2 2 4 23 5 5" xfId="15012" xr:uid="{00000000-0005-0000-0000-0000A43A0000}"/>
    <cellStyle name="Normal 2 2 2 2 4 23 5 6" xfId="15013" xr:uid="{00000000-0005-0000-0000-0000A53A0000}"/>
    <cellStyle name="Normal 2 2 2 2 4 23 5 7" xfId="15014" xr:uid="{00000000-0005-0000-0000-0000A63A0000}"/>
    <cellStyle name="Normal 2 2 2 2 4 23 5 8" xfId="15015" xr:uid="{00000000-0005-0000-0000-0000A73A0000}"/>
    <cellStyle name="Normal 2 2 2 2 4 23 5 9" xfId="15016" xr:uid="{00000000-0005-0000-0000-0000A83A0000}"/>
    <cellStyle name="Normal 2 2 2 2 4 23 6" xfId="15017" xr:uid="{00000000-0005-0000-0000-0000A93A0000}"/>
    <cellStyle name="Normal 2 2 2 2 4 23 7" xfId="15018" xr:uid="{00000000-0005-0000-0000-0000AA3A0000}"/>
    <cellStyle name="Normal 2 2 2 2 4 23 8" xfId="15019" xr:uid="{00000000-0005-0000-0000-0000AB3A0000}"/>
    <cellStyle name="Normal 2 2 2 2 4 23 9" xfId="15020" xr:uid="{00000000-0005-0000-0000-0000AC3A0000}"/>
    <cellStyle name="Normal 2 2 2 2 4 24" xfId="15021" xr:uid="{00000000-0005-0000-0000-0000AD3A0000}"/>
    <cellStyle name="Normal 2 2 2 2 4 24 10" xfId="15022" xr:uid="{00000000-0005-0000-0000-0000AE3A0000}"/>
    <cellStyle name="Normal 2 2 2 2 4 24 11" xfId="15023" xr:uid="{00000000-0005-0000-0000-0000AF3A0000}"/>
    <cellStyle name="Normal 2 2 2 2 4 24 12" xfId="15024" xr:uid="{00000000-0005-0000-0000-0000B03A0000}"/>
    <cellStyle name="Normal 2 2 2 2 4 24 13" xfId="15025" xr:uid="{00000000-0005-0000-0000-0000B13A0000}"/>
    <cellStyle name="Normal 2 2 2 2 4 24 14" xfId="15026" xr:uid="{00000000-0005-0000-0000-0000B23A0000}"/>
    <cellStyle name="Normal 2 2 2 2 4 24 2" xfId="15027" xr:uid="{00000000-0005-0000-0000-0000B33A0000}"/>
    <cellStyle name="Normal 2 2 2 2 4 24 2 10" xfId="15028" xr:uid="{00000000-0005-0000-0000-0000B43A0000}"/>
    <cellStyle name="Normal 2 2 2 2 4 24 2 2" xfId="15029" xr:uid="{00000000-0005-0000-0000-0000B53A0000}"/>
    <cellStyle name="Normal 2 2 2 2 4 24 2 3" xfId="15030" xr:uid="{00000000-0005-0000-0000-0000B63A0000}"/>
    <cellStyle name="Normal 2 2 2 2 4 24 2 4" xfId="15031" xr:uid="{00000000-0005-0000-0000-0000B73A0000}"/>
    <cellStyle name="Normal 2 2 2 2 4 24 2 5" xfId="15032" xr:uid="{00000000-0005-0000-0000-0000B83A0000}"/>
    <cellStyle name="Normal 2 2 2 2 4 24 2 6" xfId="15033" xr:uid="{00000000-0005-0000-0000-0000B93A0000}"/>
    <cellStyle name="Normal 2 2 2 2 4 24 2 7" xfId="15034" xr:uid="{00000000-0005-0000-0000-0000BA3A0000}"/>
    <cellStyle name="Normal 2 2 2 2 4 24 2 8" xfId="15035" xr:uid="{00000000-0005-0000-0000-0000BB3A0000}"/>
    <cellStyle name="Normal 2 2 2 2 4 24 2 9" xfId="15036" xr:uid="{00000000-0005-0000-0000-0000BC3A0000}"/>
    <cellStyle name="Normal 2 2 2 2 4 24 3" xfId="15037" xr:uid="{00000000-0005-0000-0000-0000BD3A0000}"/>
    <cellStyle name="Normal 2 2 2 2 4 24 3 10" xfId="15038" xr:uid="{00000000-0005-0000-0000-0000BE3A0000}"/>
    <cellStyle name="Normal 2 2 2 2 4 24 3 2" xfId="15039" xr:uid="{00000000-0005-0000-0000-0000BF3A0000}"/>
    <cellStyle name="Normal 2 2 2 2 4 24 3 3" xfId="15040" xr:uid="{00000000-0005-0000-0000-0000C03A0000}"/>
    <cellStyle name="Normal 2 2 2 2 4 24 3 4" xfId="15041" xr:uid="{00000000-0005-0000-0000-0000C13A0000}"/>
    <cellStyle name="Normal 2 2 2 2 4 24 3 5" xfId="15042" xr:uid="{00000000-0005-0000-0000-0000C23A0000}"/>
    <cellStyle name="Normal 2 2 2 2 4 24 3 6" xfId="15043" xr:uid="{00000000-0005-0000-0000-0000C33A0000}"/>
    <cellStyle name="Normal 2 2 2 2 4 24 3 7" xfId="15044" xr:uid="{00000000-0005-0000-0000-0000C43A0000}"/>
    <cellStyle name="Normal 2 2 2 2 4 24 3 8" xfId="15045" xr:uid="{00000000-0005-0000-0000-0000C53A0000}"/>
    <cellStyle name="Normal 2 2 2 2 4 24 3 9" xfId="15046" xr:uid="{00000000-0005-0000-0000-0000C63A0000}"/>
    <cellStyle name="Normal 2 2 2 2 4 24 4" xfId="15047" xr:uid="{00000000-0005-0000-0000-0000C73A0000}"/>
    <cellStyle name="Normal 2 2 2 2 4 24 4 10" xfId="15048" xr:uid="{00000000-0005-0000-0000-0000C83A0000}"/>
    <cellStyle name="Normal 2 2 2 2 4 24 4 2" xfId="15049" xr:uid="{00000000-0005-0000-0000-0000C93A0000}"/>
    <cellStyle name="Normal 2 2 2 2 4 24 4 3" xfId="15050" xr:uid="{00000000-0005-0000-0000-0000CA3A0000}"/>
    <cellStyle name="Normal 2 2 2 2 4 24 4 4" xfId="15051" xr:uid="{00000000-0005-0000-0000-0000CB3A0000}"/>
    <cellStyle name="Normal 2 2 2 2 4 24 4 5" xfId="15052" xr:uid="{00000000-0005-0000-0000-0000CC3A0000}"/>
    <cellStyle name="Normal 2 2 2 2 4 24 4 6" xfId="15053" xr:uid="{00000000-0005-0000-0000-0000CD3A0000}"/>
    <cellStyle name="Normal 2 2 2 2 4 24 4 7" xfId="15054" xr:uid="{00000000-0005-0000-0000-0000CE3A0000}"/>
    <cellStyle name="Normal 2 2 2 2 4 24 4 8" xfId="15055" xr:uid="{00000000-0005-0000-0000-0000CF3A0000}"/>
    <cellStyle name="Normal 2 2 2 2 4 24 4 9" xfId="15056" xr:uid="{00000000-0005-0000-0000-0000D03A0000}"/>
    <cellStyle name="Normal 2 2 2 2 4 24 5" xfId="15057" xr:uid="{00000000-0005-0000-0000-0000D13A0000}"/>
    <cellStyle name="Normal 2 2 2 2 4 24 5 10" xfId="15058" xr:uid="{00000000-0005-0000-0000-0000D23A0000}"/>
    <cellStyle name="Normal 2 2 2 2 4 24 5 2" xfId="15059" xr:uid="{00000000-0005-0000-0000-0000D33A0000}"/>
    <cellStyle name="Normal 2 2 2 2 4 24 5 3" xfId="15060" xr:uid="{00000000-0005-0000-0000-0000D43A0000}"/>
    <cellStyle name="Normal 2 2 2 2 4 24 5 4" xfId="15061" xr:uid="{00000000-0005-0000-0000-0000D53A0000}"/>
    <cellStyle name="Normal 2 2 2 2 4 24 5 5" xfId="15062" xr:uid="{00000000-0005-0000-0000-0000D63A0000}"/>
    <cellStyle name="Normal 2 2 2 2 4 24 5 6" xfId="15063" xr:uid="{00000000-0005-0000-0000-0000D73A0000}"/>
    <cellStyle name="Normal 2 2 2 2 4 24 5 7" xfId="15064" xr:uid="{00000000-0005-0000-0000-0000D83A0000}"/>
    <cellStyle name="Normal 2 2 2 2 4 24 5 8" xfId="15065" xr:uid="{00000000-0005-0000-0000-0000D93A0000}"/>
    <cellStyle name="Normal 2 2 2 2 4 24 5 9" xfId="15066" xr:uid="{00000000-0005-0000-0000-0000DA3A0000}"/>
    <cellStyle name="Normal 2 2 2 2 4 24 6" xfId="15067" xr:uid="{00000000-0005-0000-0000-0000DB3A0000}"/>
    <cellStyle name="Normal 2 2 2 2 4 24 7" xfId="15068" xr:uid="{00000000-0005-0000-0000-0000DC3A0000}"/>
    <cellStyle name="Normal 2 2 2 2 4 24 8" xfId="15069" xr:uid="{00000000-0005-0000-0000-0000DD3A0000}"/>
    <cellStyle name="Normal 2 2 2 2 4 24 9" xfId="15070" xr:uid="{00000000-0005-0000-0000-0000DE3A0000}"/>
    <cellStyle name="Normal 2 2 2 2 4 25" xfId="15071" xr:uid="{00000000-0005-0000-0000-0000DF3A0000}"/>
    <cellStyle name="Normal 2 2 2 2 4 25 10" xfId="15072" xr:uid="{00000000-0005-0000-0000-0000E03A0000}"/>
    <cellStyle name="Normal 2 2 2 2 4 25 11" xfId="15073" xr:uid="{00000000-0005-0000-0000-0000E13A0000}"/>
    <cellStyle name="Normal 2 2 2 2 4 25 12" xfId="15074" xr:uid="{00000000-0005-0000-0000-0000E23A0000}"/>
    <cellStyle name="Normal 2 2 2 2 4 25 13" xfId="15075" xr:uid="{00000000-0005-0000-0000-0000E33A0000}"/>
    <cellStyle name="Normal 2 2 2 2 4 25 14" xfId="15076" xr:uid="{00000000-0005-0000-0000-0000E43A0000}"/>
    <cellStyle name="Normal 2 2 2 2 4 25 2" xfId="15077" xr:uid="{00000000-0005-0000-0000-0000E53A0000}"/>
    <cellStyle name="Normal 2 2 2 2 4 25 2 10" xfId="15078" xr:uid="{00000000-0005-0000-0000-0000E63A0000}"/>
    <cellStyle name="Normal 2 2 2 2 4 25 2 2" xfId="15079" xr:uid="{00000000-0005-0000-0000-0000E73A0000}"/>
    <cellStyle name="Normal 2 2 2 2 4 25 2 3" xfId="15080" xr:uid="{00000000-0005-0000-0000-0000E83A0000}"/>
    <cellStyle name="Normal 2 2 2 2 4 25 2 4" xfId="15081" xr:uid="{00000000-0005-0000-0000-0000E93A0000}"/>
    <cellStyle name="Normal 2 2 2 2 4 25 2 5" xfId="15082" xr:uid="{00000000-0005-0000-0000-0000EA3A0000}"/>
    <cellStyle name="Normal 2 2 2 2 4 25 2 6" xfId="15083" xr:uid="{00000000-0005-0000-0000-0000EB3A0000}"/>
    <cellStyle name="Normal 2 2 2 2 4 25 2 7" xfId="15084" xr:uid="{00000000-0005-0000-0000-0000EC3A0000}"/>
    <cellStyle name="Normal 2 2 2 2 4 25 2 8" xfId="15085" xr:uid="{00000000-0005-0000-0000-0000ED3A0000}"/>
    <cellStyle name="Normal 2 2 2 2 4 25 2 9" xfId="15086" xr:uid="{00000000-0005-0000-0000-0000EE3A0000}"/>
    <cellStyle name="Normal 2 2 2 2 4 25 3" xfId="15087" xr:uid="{00000000-0005-0000-0000-0000EF3A0000}"/>
    <cellStyle name="Normal 2 2 2 2 4 25 3 10" xfId="15088" xr:uid="{00000000-0005-0000-0000-0000F03A0000}"/>
    <cellStyle name="Normal 2 2 2 2 4 25 3 2" xfId="15089" xr:uid="{00000000-0005-0000-0000-0000F13A0000}"/>
    <cellStyle name="Normal 2 2 2 2 4 25 3 3" xfId="15090" xr:uid="{00000000-0005-0000-0000-0000F23A0000}"/>
    <cellStyle name="Normal 2 2 2 2 4 25 3 4" xfId="15091" xr:uid="{00000000-0005-0000-0000-0000F33A0000}"/>
    <cellStyle name="Normal 2 2 2 2 4 25 3 5" xfId="15092" xr:uid="{00000000-0005-0000-0000-0000F43A0000}"/>
    <cellStyle name="Normal 2 2 2 2 4 25 3 6" xfId="15093" xr:uid="{00000000-0005-0000-0000-0000F53A0000}"/>
    <cellStyle name="Normal 2 2 2 2 4 25 3 7" xfId="15094" xr:uid="{00000000-0005-0000-0000-0000F63A0000}"/>
    <cellStyle name="Normal 2 2 2 2 4 25 3 8" xfId="15095" xr:uid="{00000000-0005-0000-0000-0000F73A0000}"/>
    <cellStyle name="Normal 2 2 2 2 4 25 3 9" xfId="15096" xr:uid="{00000000-0005-0000-0000-0000F83A0000}"/>
    <cellStyle name="Normal 2 2 2 2 4 25 4" xfId="15097" xr:uid="{00000000-0005-0000-0000-0000F93A0000}"/>
    <cellStyle name="Normal 2 2 2 2 4 25 4 10" xfId="15098" xr:uid="{00000000-0005-0000-0000-0000FA3A0000}"/>
    <cellStyle name="Normal 2 2 2 2 4 25 4 2" xfId="15099" xr:uid="{00000000-0005-0000-0000-0000FB3A0000}"/>
    <cellStyle name="Normal 2 2 2 2 4 25 4 3" xfId="15100" xr:uid="{00000000-0005-0000-0000-0000FC3A0000}"/>
    <cellStyle name="Normal 2 2 2 2 4 25 4 4" xfId="15101" xr:uid="{00000000-0005-0000-0000-0000FD3A0000}"/>
    <cellStyle name="Normal 2 2 2 2 4 25 4 5" xfId="15102" xr:uid="{00000000-0005-0000-0000-0000FE3A0000}"/>
    <cellStyle name="Normal 2 2 2 2 4 25 4 6" xfId="15103" xr:uid="{00000000-0005-0000-0000-0000FF3A0000}"/>
    <cellStyle name="Normal 2 2 2 2 4 25 4 7" xfId="15104" xr:uid="{00000000-0005-0000-0000-0000003B0000}"/>
    <cellStyle name="Normal 2 2 2 2 4 25 4 8" xfId="15105" xr:uid="{00000000-0005-0000-0000-0000013B0000}"/>
    <cellStyle name="Normal 2 2 2 2 4 25 4 9" xfId="15106" xr:uid="{00000000-0005-0000-0000-0000023B0000}"/>
    <cellStyle name="Normal 2 2 2 2 4 25 5" xfId="15107" xr:uid="{00000000-0005-0000-0000-0000033B0000}"/>
    <cellStyle name="Normal 2 2 2 2 4 25 5 10" xfId="15108" xr:uid="{00000000-0005-0000-0000-0000043B0000}"/>
    <cellStyle name="Normal 2 2 2 2 4 25 5 2" xfId="15109" xr:uid="{00000000-0005-0000-0000-0000053B0000}"/>
    <cellStyle name="Normal 2 2 2 2 4 25 5 3" xfId="15110" xr:uid="{00000000-0005-0000-0000-0000063B0000}"/>
    <cellStyle name="Normal 2 2 2 2 4 25 5 4" xfId="15111" xr:uid="{00000000-0005-0000-0000-0000073B0000}"/>
    <cellStyle name="Normal 2 2 2 2 4 25 5 5" xfId="15112" xr:uid="{00000000-0005-0000-0000-0000083B0000}"/>
    <cellStyle name="Normal 2 2 2 2 4 25 5 6" xfId="15113" xr:uid="{00000000-0005-0000-0000-0000093B0000}"/>
    <cellStyle name="Normal 2 2 2 2 4 25 5 7" xfId="15114" xr:uid="{00000000-0005-0000-0000-00000A3B0000}"/>
    <cellStyle name="Normal 2 2 2 2 4 25 5 8" xfId="15115" xr:uid="{00000000-0005-0000-0000-00000B3B0000}"/>
    <cellStyle name="Normal 2 2 2 2 4 25 5 9" xfId="15116" xr:uid="{00000000-0005-0000-0000-00000C3B0000}"/>
    <cellStyle name="Normal 2 2 2 2 4 25 6" xfId="15117" xr:uid="{00000000-0005-0000-0000-00000D3B0000}"/>
    <cellStyle name="Normal 2 2 2 2 4 25 7" xfId="15118" xr:uid="{00000000-0005-0000-0000-00000E3B0000}"/>
    <cellStyle name="Normal 2 2 2 2 4 25 8" xfId="15119" xr:uid="{00000000-0005-0000-0000-00000F3B0000}"/>
    <cellStyle name="Normal 2 2 2 2 4 25 9" xfId="15120" xr:uid="{00000000-0005-0000-0000-0000103B0000}"/>
    <cellStyle name="Normal 2 2 2 2 4 26" xfId="15121" xr:uid="{00000000-0005-0000-0000-0000113B0000}"/>
    <cellStyle name="Normal 2 2 2 2 4 26 10" xfId="15122" xr:uid="{00000000-0005-0000-0000-0000123B0000}"/>
    <cellStyle name="Normal 2 2 2 2 4 26 11" xfId="15123" xr:uid="{00000000-0005-0000-0000-0000133B0000}"/>
    <cellStyle name="Normal 2 2 2 2 4 26 12" xfId="15124" xr:uid="{00000000-0005-0000-0000-0000143B0000}"/>
    <cellStyle name="Normal 2 2 2 2 4 26 13" xfId="15125" xr:uid="{00000000-0005-0000-0000-0000153B0000}"/>
    <cellStyle name="Normal 2 2 2 2 4 26 14" xfId="15126" xr:uid="{00000000-0005-0000-0000-0000163B0000}"/>
    <cellStyle name="Normal 2 2 2 2 4 26 2" xfId="15127" xr:uid="{00000000-0005-0000-0000-0000173B0000}"/>
    <cellStyle name="Normal 2 2 2 2 4 26 2 10" xfId="15128" xr:uid="{00000000-0005-0000-0000-0000183B0000}"/>
    <cellStyle name="Normal 2 2 2 2 4 26 2 2" xfId="15129" xr:uid="{00000000-0005-0000-0000-0000193B0000}"/>
    <cellStyle name="Normal 2 2 2 2 4 26 2 3" xfId="15130" xr:uid="{00000000-0005-0000-0000-00001A3B0000}"/>
    <cellStyle name="Normal 2 2 2 2 4 26 2 4" xfId="15131" xr:uid="{00000000-0005-0000-0000-00001B3B0000}"/>
    <cellStyle name="Normal 2 2 2 2 4 26 2 5" xfId="15132" xr:uid="{00000000-0005-0000-0000-00001C3B0000}"/>
    <cellStyle name="Normal 2 2 2 2 4 26 2 6" xfId="15133" xr:uid="{00000000-0005-0000-0000-00001D3B0000}"/>
    <cellStyle name="Normal 2 2 2 2 4 26 2 7" xfId="15134" xr:uid="{00000000-0005-0000-0000-00001E3B0000}"/>
    <cellStyle name="Normal 2 2 2 2 4 26 2 8" xfId="15135" xr:uid="{00000000-0005-0000-0000-00001F3B0000}"/>
    <cellStyle name="Normal 2 2 2 2 4 26 2 9" xfId="15136" xr:uid="{00000000-0005-0000-0000-0000203B0000}"/>
    <cellStyle name="Normal 2 2 2 2 4 26 3" xfId="15137" xr:uid="{00000000-0005-0000-0000-0000213B0000}"/>
    <cellStyle name="Normal 2 2 2 2 4 26 3 10" xfId="15138" xr:uid="{00000000-0005-0000-0000-0000223B0000}"/>
    <cellStyle name="Normal 2 2 2 2 4 26 3 2" xfId="15139" xr:uid="{00000000-0005-0000-0000-0000233B0000}"/>
    <cellStyle name="Normal 2 2 2 2 4 26 3 3" xfId="15140" xr:uid="{00000000-0005-0000-0000-0000243B0000}"/>
    <cellStyle name="Normal 2 2 2 2 4 26 3 4" xfId="15141" xr:uid="{00000000-0005-0000-0000-0000253B0000}"/>
    <cellStyle name="Normal 2 2 2 2 4 26 3 5" xfId="15142" xr:uid="{00000000-0005-0000-0000-0000263B0000}"/>
    <cellStyle name="Normal 2 2 2 2 4 26 3 6" xfId="15143" xr:uid="{00000000-0005-0000-0000-0000273B0000}"/>
    <cellStyle name="Normal 2 2 2 2 4 26 3 7" xfId="15144" xr:uid="{00000000-0005-0000-0000-0000283B0000}"/>
    <cellStyle name="Normal 2 2 2 2 4 26 3 8" xfId="15145" xr:uid="{00000000-0005-0000-0000-0000293B0000}"/>
    <cellStyle name="Normal 2 2 2 2 4 26 3 9" xfId="15146" xr:uid="{00000000-0005-0000-0000-00002A3B0000}"/>
    <cellStyle name="Normal 2 2 2 2 4 26 4" xfId="15147" xr:uid="{00000000-0005-0000-0000-00002B3B0000}"/>
    <cellStyle name="Normal 2 2 2 2 4 26 4 10" xfId="15148" xr:uid="{00000000-0005-0000-0000-00002C3B0000}"/>
    <cellStyle name="Normal 2 2 2 2 4 26 4 2" xfId="15149" xr:uid="{00000000-0005-0000-0000-00002D3B0000}"/>
    <cellStyle name="Normal 2 2 2 2 4 26 4 3" xfId="15150" xr:uid="{00000000-0005-0000-0000-00002E3B0000}"/>
    <cellStyle name="Normal 2 2 2 2 4 26 4 4" xfId="15151" xr:uid="{00000000-0005-0000-0000-00002F3B0000}"/>
    <cellStyle name="Normal 2 2 2 2 4 26 4 5" xfId="15152" xr:uid="{00000000-0005-0000-0000-0000303B0000}"/>
    <cellStyle name="Normal 2 2 2 2 4 26 4 6" xfId="15153" xr:uid="{00000000-0005-0000-0000-0000313B0000}"/>
    <cellStyle name="Normal 2 2 2 2 4 26 4 7" xfId="15154" xr:uid="{00000000-0005-0000-0000-0000323B0000}"/>
    <cellStyle name="Normal 2 2 2 2 4 26 4 8" xfId="15155" xr:uid="{00000000-0005-0000-0000-0000333B0000}"/>
    <cellStyle name="Normal 2 2 2 2 4 26 4 9" xfId="15156" xr:uid="{00000000-0005-0000-0000-0000343B0000}"/>
    <cellStyle name="Normal 2 2 2 2 4 26 5" xfId="15157" xr:uid="{00000000-0005-0000-0000-0000353B0000}"/>
    <cellStyle name="Normal 2 2 2 2 4 26 5 10" xfId="15158" xr:uid="{00000000-0005-0000-0000-0000363B0000}"/>
    <cellStyle name="Normal 2 2 2 2 4 26 5 2" xfId="15159" xr:uid="{00000000-0005-0000-0000-0000373B0000}"/>
    <cellStyle name="Normal 2 2 2 2 4 26 5 3" xfId="15160" xr:uid="{00000000-0005-0000-0000-0000383B0000}"/>
    <cellStyle name="Normal 2 2 2 2 4 26 5 4" xfId="15161" xr:uid="{00000000-0005-0000-0000-0000393B0000}"/>
    <cellStyle name="Normal 2 2 2 2 4 26 5 5" xfId="15162" xr:uid="{00000000-0005-0000-0000-00003A3B0000}"/>
    <cellStyle name="Normal 2 2 2 2 4 26 5 6" xfId="15163" xr:uid="{00000000-0005-0000-0000-00003B3B0000}"/>
    <cellStyle name="Normal 2 2 2 2 4 26 5 7" xfId="15164" xr:uid="{00000000-0005-0000-0000-00003C3B0000}"/>
    <cellStyle name="Normal 2 2 2 2 4 26 5 8" xfId="15165" xr:uid="{00000000-0005-0000-0000-00003D3B0000}"/>
    <cellStyle name="Normal 2 2 2 2 4 26 5 9" xfId="15166" xr:uid="{00000000-0005-0000-0000-00003E3B0000}"/>
    <cellStyle name="Normal 2 2 2 2 4 26 6" xfId="15167" xr:uid="{00000000-0005-0000-0000-00003F3B0000}"/>
    <cellStyle name="Normal 2 2 2 2 4 26 7" xfId="15168" xr:uid="{00000000-0005-0000-0000-0000403B0000}"/>
    <cellStyle name="Normal 2 2 2 2 4 26 8" xfId="15169" xr:uid="{00000000-0005-0000-0000-0000413B0000}"/>
    <cellStyle name="Normal 2 2 2 2 4 26 9" xfId="15170" xr:uid="{00000000-0005-0000-0000-0000423B0000}"/>
    <cellStyle name="Normal 2 2 2 2 4 27" xfId="15171" xr:uid="{00000000-0005-0000-0000-0000433B0000}"/>
    <cellStyle name="Normal 2 2 2 2 4 27 10" xfId="15172" xr:uid="{00000000-0005-0000-0000-0000443B0000}"/>
    <cellStyle name="Normal 2 2 2 2 4 27 11" xfId="15173" xr:uid="{00000000-0005-0000-0000-0000453B0000}"/>
    <cellStyle name="Normal 2 2 2 2 4 27 12" xfId="15174" xr:uid="{00000000-0005-0000-0000-0000463B0000}"/>
    <cellStyle name="Normal 2 2 2 2 4 27 13" xfId="15175" xr:uid="{00000000-0005-0000-0000-0000473B0000}"/>
    <cellStyle name="Normal 2 2 2 2 4 27 14" xfId="15176" xr:uid="{00000000-0005-0000-0000-0000483B0000}"/>
    <cellStyle name="Normal 2 2 2 2 4 27 2" xfId="15177" xr:uid="{00000000-0005-0000-0000-0000493B0000}"/>
    <cellStyle name="Normal 2 2 2 2 4 27 2 10" xfId="15178" xr:uid="{00000000-0005-0000-0000-00004A3B0000}"/>
    <cellStyle name="Normal 2 2 2 2 4 27 2 2" xfId="15179" xr:uid="{00000000-0005-0000-0000-00004B3B0000}"/>
    <cellStyle name="Normal 2 2 2 2 4 27 2 3" xfId="15180" xr:uid="{00000000-0005-0000-0000-00004C3B0000}"/>
    <cellStyle name="Normal 2 2 2 2 4 27 2 4" xfId="15181" xr:uid="{00000000-0005-0000-0000-00004D3B0000}"/>
    <cellStyle name="Normal 2 2 2 2 4 27 2 5" xfId="15182" xr:uid="{00000000-0005-0000-0000-00004E3B0000}"/>
    <cellStyle name="Normal 2 2 2 2 4 27 2 6" xfId="15183" xr:uid="{00000000-0005-0000-0000-00004F3B0000}"/>
    <cellStyle name="Normal 2 2 2 2 4 27 2 7" xfId="15184" xr:uid="{00000000-0005-0000-0000-0000503B0000}"/>
    <cellStyle name="Normal 2 2 2 2 4 27 2 8" xfId="15185" xr:uid="{00000000-0005-0000-0000-0000513B0000}"/>
    <cellStyle name="Normal 2 2 2 2 4 27 2 9" xfId="15186" xr:uid="{00000000-0005-0000-0000-0000523B0000}"/>
    <cellStyle name="Normal 2 2 2 2 4 27 3" xfId="15187" xr:uid="{00000000-0005-0000-0000-0000533B0000}"/>
    <cellStyle name="Normal 2 2 2 2 4 27 3 10" xfId="15188" xr:uid="{00000000-0005-0000-0000-0000543B0000}"/>
    <cellStyle name="Normal 2 2 2 2 4 27 3 2" xfId="15189" xr:uid="{00000000-0005-0000-0000-0000553B0000}"/>
    <cellStyle name="Normal 2 2 2 2 4 27 3 3" xfId="15190" xr:uid="{00000000-0005-0000-0000-0000563B0000}"/>
    <cellStyle name="Normal 2 2 2 2 4 27 3 4" xfId="15191" xr:uid="{00000000-0005-0000-0000-0000573B0000}"/>
    <cellStyle name="Normal 2 2 2 2 4 27 3 5" xfId="15192" xr:uid="{00000000-0005-0000-0000-0000583B0000}"/>
    <cellStyle name="Normal 2 2 2 2 4 27 3 6" xfId="15193" xr:uid="{00000000-0005-0000-0000-0000593B0000}"/>
    <cellStyle name="Normal 2 2 2 2 4 27 3 7" xfId="15194" xr:uid="{00000000-0005-0000-0000-00005A3B0000}"/>
    <cellStyle name="Normal 2 2 2 2 4 27 3 8" xfId="15195" xr:uid="{00000000-0005-0000-0000-00005B3B0000}"/>
    <cellStyle name="Normal 2 2 2 2 4 27 3 9" xfId="15196" xr:uid="{00000000-0005-0000-0000-00005C3B0000}"/>
    <cellStyle name="Normal 2 2 2 2 4 27 4" xfId="15197" xr:uid="{00000000-0005-0000-0000-00005D3B0000}"/>
    <cellStyle name="Normal 2 2 2 2 4 27 4 10" xfId="15198" xr:uid="{00000000-0005-0000-0000-00005E3B0000}"/>
    <cellStyle name="Normal 2 2 2 2 4 27 4 2" xfId="15199" xr:uid="{00000000-0005-0000-0000-00005F3B0000}"/>
    <cellStyle name="Normal 2 2 2 2 4 27 4 3" xfId="15200" xr:uid="{00000000-0005-0000-0000-0000603B0000}"/>
    <cellStyle name="Normal 2 2 2 2 4 27 4 4" xfId="15201" xr:uid="{00000000-0005-0000-0000-0000613B0000}"/>
    <cellStyle name="Normal 2 2 2 2 4 27 4 5" xfId="15202" xr:uid="{00000000-0005-0000-0000-0000623B0000}"/>
    <cellStyle name="Normal 2 2 2 2 4 27 4 6" xfId="15203" xr:uid="{00000000-0005-0000-0000-0000633B0000}"/>
    <cellStyle name="Normal 2 2 2 2 4 27 4 7" xfId="15204" xr:uid="{00000000-0005-0000-0000-0000643B0000}"/>
    <cellStyle name="Normal 2 2 2 2 4 27 4 8" xfId="15205" xr:uid="{00000000-0005-0000-0000-0000653B0000}"/>
    <cellStyle name="Normal 2 2 2 2 4 27 4 9" xfId="15206" xr:uid="{00000000-0005-0000-0000-0000663B0000}"/>
    <cellStyle name="Normal 2 2 2 2 4 27 5" xfId="15207" xr:uid="{00000000-0005-0000-0000-0000673B0000}"/>
    <cellStyle name="Normal 2 2 2 2 4 27 5 10" xfId="15208" xr:uid="{00000000-0005-0000-0000-0000683B0000}"/>
    <cellStyle name="Normal 2 2 2 2 4 27 5 2" xfId="15209" xr:uid="{00000000-0005-0000-0000-0000693B0000}"/>
    <cellStyle name="Normal 2 2 2 2 4 27 5 3" xfId="15210" xr:uid="{00000000-0005-0000-0000-00006A3B0000}"/>
    <cellStyle name="Normal 2 2 2 2 4 27 5 4" xfId="15211" xr:uid="{00000000-0005-0000-0000-00006B3B0000}"/>
    <cellStyle name="Normal 2 2 2 2 4 27 5 5" xfId="15212" xr:uid="{00000000-0005-0000-0000-00006C3B0000}"/>
    <cellStyle name="Normal 2 2 2 2 4 27 5 6" xfId="15213" xr:uid="{00000000-0005-0000-0000-00006D3B0000}"/>
    <cellStyle name="Normal 2 2 2 2 4 27 5 7" xfId="15214" xr:uid="{00000000-0005-0000-0000-00006E3B0000}"/>
    <cellStyle name="Normal 2 2 2 2 4 27 5 8" xfId="15215" xr:uid="{00000000-0005-0000-0000-00006F3B0000}"/>
    <cellStyle name="Normal 2 2 2 2 4 27 5 9" xfId="15216" xr:uid="{00000000-0005-0000-0000-0000703B0000}"/>
    <cellStyle name="Normal 2 2 2 2 4 27 6" xfId="15217" xr:uid="{00000000-0005-0000-0000-0000713B0000}"/>
    <cellStyle name="Normal 2 2 2 2 4 27 7" xfId="15218" xr:uid="{00000000-0005-0000-0000-0000723B0000}"/>
    <cellStyle name="Normal 2 2 2 2 4 27 8" xfId="15219" xr:uid="{00000000-0005-0000-0000-0000733B0000}"/>
    <cellStyle name="Normal 2 2 2 2 4 27 9" xfId="15220" xr:uid="{00000000-0005-0000-0000-0000743B0000}"/>
    <cellStyle name="Normal 2 2 2 2 4 28" xfId="15221" xr:uid="{00000000-0005-0000-0000-0000753B0000}"/>
    <cellStyle name="Normal 2 2 2 2 4 28 10" xfId="15222" xr:uid="{00000000-0005-0000-0000-0000763B0000}"/>
    <cellStyle name="Normal 2 2 2 2 4 28 11" xfId="15223" xr:uid="{00000000-0005-0000-0000-0000773B0000}"/>
    <cellStyle name="Normal 2 2 2 2 4 28 12" xfId="15224" xr:uid="{00000000-0005-0000-0000-0000783B0000}"/>
    <cellStyle name="Normal 2 2 2 2 4 28 13" xfId="15225" xr:uid="{00000000-0005-0000-0000-0000793B0000}"/>
    <cellStyle name="Normal 2 2 2 2 4 28 14" xfId="15226" xr:uid="{00000000-0005-0000-0000-00007A3B0000}"/>
    <cellStyle name="Normal 2 2 2 2 4 28 2" xfId="15227" xr:uid="{00000000-0005-0000-0000-00007B3B0000}"/>
    <cellStyle name="Normal 2 2 2 2 4 28 2 10" xfId="15228" xr:uid="{00000000-0005-0000-0000-00007C3B0000}"/>
    <cellStyle name="Normal 2 2 2 2 4 28 2 2" xfId="15229" xr:uid="{00000000-0005-0000-0000-00007D3B0000}"/>
    <cellStyle name="Normal 2 2 2 2 4 28 2 3" xfId="15230" xr:uid="{00000000-0005-0000-0000-00007E3B0000}"/>
    <cellStyle name="Normal 2 2 2 2 4 28 2 4" xfId="15231" xr:uid="{00000000-0005-0000-0000-00007F3B0000}"/>
    <cellStyle name="Normal 2 2 2 2 4 28 2 5" xfId="15232" xr:uid="{00000000-0005-0000-0000-0000803B0000}"/>
    <cellStyle name="Normal 2 2 2 2 4 28 2 6" xfId="15233" xr:uid="{00000000-0005-0000-0000-0000813B0000}"/>
    <cellStyle name="Normal 2 2 2 2 4 28 2 7" xfId="15234" xr:uid="{00000000-0005-0000-0000-0000823B0000}"/>
    <cellStyle name="Normal 2 2 2 2 4 28 2 8" xfId="15235" xr:uid="{00000000-0005-0000-0000-0000833B0000}"/>
    <cellStyle name="Normal 2 2 2 2 4 28 2 9" xfId="15236" xr:uid="{00000000-0005-0000-0000-0000843B0000}"/>
    <cellStyle name="Normal 2 2 2 2 4 28 3" xfId="15237" xr:uid="{00000000-0005-0000-0000-0000853B0000}"/>
    <cellStyle name="Normal 2 2 2 2 4 28 3 10" xfId="15238" xr:uid="{00000000-0005-0000-0000-0000863B0000}"/>
    <cellStyle name="Normal 2 2 2 2 4 28 3 2" xfId="15239" xr:uid="{00000000-0005-0000-0000-0000873B0000}"/>
    <cellStyle name="Normal 2 2 2 2 4 28 3 3" xfId="15240" xr:uid="{00000000-0005-0000-0000-0000883B0000}"/>
    <cellStyle name="Normal 2 2 2 2 4 28 3 4" xfId="15241" xr:uid="{00000000-0005-0000-0000-0000893B0000}"/>
    <cellStyle name="Normal 2 2 2 2 4 28 3 5" xfId="15242" xr:uid="{00000000-0005-0000-0000-00008A3B0000}"/>
    <cellStyle name="Normal 2 2 2 2 4 28 3 6" xfId="15243" xr:uid="{00000000-0005-0000-0000-00008B3B0000}"/>
    <cellStyle name="Normal 2 2 2 2 4 28 3 7" xfId="15244" xr:uid="{00000000-0005-0000-0000-00008C3B0000}"/>
    <cellStyle name="Normal 2 2 2 2 4 28 3 8" xfId="15245" xr:uid="{00000000-0005-0000-0000-00008D3B0000}"/>
    <cellStyle name="Normal 2 2 2 2 4 28 3 9" xfId="15246" xr:uid="{00000000-0005-0000-0000-00008E3B0000}"/>
    <cellStyle name="Normal 2 2 2 2 4 28 4" xfId="15247" xr:uid="{00000000-0005-0000-0000-00008F3B0000}"/>
    <cellStyle name="Normal 2 2 2 2 4 28 4 10" xfId="15248" xr:uid="{00000000-0005-0000-0000-0000903B0000}"/>
    <cellStyle name="Normal 2 2 2 2 4 28 4 2" xfId="15249" xr:uid="{00000000-0005-0000-0000-0000913B0000}"/>
    <cellStyle name="Normal 2 2 2 2 4 28 4 3" xfId="15250" xr:uid="{00000000-0005-0000-0000-0000923B0000}"/>
    <cellStyle name="Normal 2 2 2 2 4 28 4 4" xfId="15251" xr:uid="{00000000-0005-0000-0000-0000933B0000}"/>
    <cellStyle name="Normal 2 2 2 2 4 28 4 5" xfId="15252" xr:uid="{00000000-0005-0000-0000-0000943B0000}"/>
    <cellStyle name="Normal 2 2 2 2 4 28 4 6" xfId="15253" xr:uid="{00000000-0005-0000-0000-0000953B0000}"/>
    <cellStyle name="Normal 2 2 2 2 4 28 4 7" xfId="15254" xr:uid="{00000000-0005-0000-0000-0000963B0000}"/>
    <cellStyle name="Normal 2 2 2 2 4 28 4 8" xfId="15255" xr:uid="{00000000-0005-0000-0000-0000973B0000}"/>
    <cellStyle name="Normal 2 2 2 2 4 28 4 9" xfId="15256" xr:uid="{00000000-0005-0000-0000-0000983B0000}"/>
    <cellStyle name="Normal 2 2 2 2 4 28 5" xfId="15257" xr:uid="{00000000-0005-0000-0000-0000993B0000}"/>
    <cellStyle name="Normal 2 2 2 2 4 28 5 10" xfId="15258" xr:uid="{00000000-0005-0000-0000-00009A3B0000}"/>
    <cellStyle name="Normal 2 2 2 2 4 28 5 2" xfId="15259" xr:uid="{00000000-0005-0000-0000-00009B3B0000}"/>
    <cellStyle name="Normal 2 2 2 2 4 28 5 3" xfId="15260" xr:uid="{00000000-0005-0000-0000-00009C3B0000}"/>
    <cellStyle name="Normal 2 2 2 2 4 28 5 4" xfId="15261" xr:uid="{00000000-0005-0000-0000-00009D3B0000}"/>
    <cellStyle name="Normal 2 2 2 2 4 28 5 5" xfId="15262" xr:uid="{00000000-0005-0000-0000-00009E3B0000}"/>
    <cellStyle name="Normal 2 2 2 2 4 28 5 6" xfId="15263" xr:uid="{00000000-0005-0000-0000-00009F3B0000}"/>
    <cellStyle name="Normal 2 2 2 2 4 28 5 7" xfId="15264" xr:uid="{00000000-0005-0000-0000-0000A03B0000}"/>
    <cellStyle name="Normal 2 2 2 2 4 28 5 8" xfId="15265" xr:uid="{00000000-0005-0000-0000-0000A13B0000}"/>
    <cellStyle name="Normal 2 2 2 2 4 28 5 9" xfId="15266" xr:uid="{00000000-0005-0000-0000-0000A23B0000}"/>
    <cellStyle name="Normal 2 2 2 2 4 28 6" xfId="15267" xr:uid="{00000000-0005-0000-0000-0000A33B0000}"/>
    <cellStyle name="Normal 2 2 2 2 4 28 7" xfId="15268" xr:uid="{00000000-0005-0000-0000-0000A43B0000}"/>
    <cellStyle name="Normal 2 2 2 2 4 28 8" xfId="15269" xr:uid="{00000000-0005-0000-0000-0000A53B0000}"/>
    <cellStyle name="Normal 2 2 2 2 4 28 9" xfId="15270" xr:uid="{00000000-0005-0000-0000-0000A63B0000}"/>
    <cellStyle name="Normal 2 2 2 2 4 29" xfId="15271" xr:uid="{00000000-0005-0000-0000-0000A73B0000}"/>
    <cellStyle name="Normal 2 2 2 2 4 29 10" xfId="15272" xr:uid="{00000000-0005-0000-0000-0000A83B0000}"/>
    <cellStyle name="Normal 2 2 2 2 4 29 11" xfId="15273" xr:uid="{00000000-0005-0000-0000-0000A93B0000}"/>
    <cellStyle name="Normal 2 2 2 2 4 29 12" xfId="15274" xr:uid="{00000000-0005-0000-0000-0000AA3B0000}"/>
    <cellStyle name="Normal 2 2 2 2 4 29 13" xfId="15275" xr:uid="{00000000-0005-0000-0000-0000AB3B0000}"/>
    <cellStyle name="Normal 2 2 2 2 4 29 14" xfId="15276" xr:uid="{00000000-0005-0000-0000-0000AC3B0000}"/>
    <cellStyle name="Normal 2 2 2 2 4 29 2" xfId="15277" xr:uid="{00000000-0005-0000-0000-0000AD3B0000}"/>
    <cellStyle name="Normal 2 2 2 2 4 29 2 10" xfId="15278" xr:uid="{00000000-0005-0000-0000-0000AE3B0000}"/>
    <cellStyle name="Normal 2 2 2 2 4 29 2 2" xfId="15279" xr:uid="{00000000-0005-0000-0000-0000AF3B0000}"/>
    <cellStyle name="Normal 2 2 2 2 4 29 2 3" xfId="15280" xr:uid="{00000000-0005-0000-0000-0000B03B0000}"/>
    <cellStyle name="Normal 2 2 2 2 4 29 2 4" xfId="15281" xr:uid="{00000000-0005-0000-0000-0000B13B0000}"/>
    <cellStyle name="Normal 2 2 2 2 4 29 2 5" xfId="15282" xr:uid="{00000000-0005-0000-0000-0000B23B0000}"/>
    <cellStyle name="Normal 2 2 2 2 4 29 2 6" xfId="15283" xr:uid="{00000000-0005-0000-0000-0000B33B0000}"/>
    <cellStyle name="Normal 2 2 2 2 4 29 2 7" xfId="15284" xr:uid="{00000000-0005-0000-0000-0000B43B0000}"/>
    <cellStyle name="Normal 2 2 2 2 4 29 2 8" xfId="15285" xr:uid="{00000000-0005-0000-0000-0000B53B0000}"/>
    <cellStyle name="Normal 2 2 2 2 4 29 2 9" xfId="15286" xr:uid="{00000000-0005-0000-0000-0000B63B0000}"/>
    <cellStyle name="Normal 2 2 2 2 4 29 3" xfId="15287" xr:uid="{00000000-0005-0000-0000-0000B73B0000}"/>
    <cellStyle name="Normal 2 2 2 2 4 29 3 10" xfId="15288" xr:uid="{00000000-0005-0000-0000-0000B83B0000}"/>
    <cellStyle name="Normal 2 2 2 2 4 29 3 2" xfId="15289" xr:uid="{00000000-0005-0000-0000-0000B93B0000}"/>
    <cellStyle name="Normal 2 2 2 2 4 29 3 3" xfId="15290" xr:uid="{00000000-0005-0000-0000-0000BA3B0000}"/>
    <cellStyle name="Normal 2 2 2 2 4 29 3 4" xfId="15291" xr:uid="{00000000-0005-0000-0000-0000BB3B0000}"/>
    <cellStyle name="Normal 2 2 2 2 4 29 3 5" xfId="15292" xr:uid="{00000000-0005-0000-0000-0000BC3B0000}"/>
    <cellStyle name="Normal 2 2 2 2 4 29 3 6" xfId="15293" xr:uid="{00000000-0005-0000-0000-0000BD3B0000}"/>
    <cellStyle name="Normal 2 2 2 2 4 29 3 7" xfId="15294" xr:uid="{00000000-0005-0000-0000-0000BE3B0000}"/>
    <cellStyle name="Normal 2 2 2 2 4 29 3 8" xfId="15295" xr:uid="{00000000-0005-0000-0000-0000BF3B0000}"/>
    <cellStyle name="Normal 2 2 2 2 4 29 3 9" xfId="15296" xr:uid="{00000000-0005-0000-0000-0000C03B0000}"/>
    <cellStyle name="Normal 2 2 2 2 4 29 4" xfId="15297" xr:uid="{00000000-0005-0000-0000-0000C13B0000}"/>
    <cellStyle name="Normal 2 2 2 2 4 29 4 10" xfId="15298" xr:uid="{00000000-0005-0000-0000-0000C23B0000}"/>
    <cellStyle name="Normal 2 2 2 2 4 29 4 2" xfId="15299" xr:uid="{00000000-0005-0000-0000-0000C33B0000}"/>
    <cellStyle name="Normal 2 2 2 2 4 29 4 3" xfId="15300" xr:uid="{00000000-0005-0000-0000-0000C43B0000}"/>
    <cellStyle name="Normal 2 2 2 2 4 29 4 4" xfId="15301" xr:uid="{00000000-0005-0000-0000-0000C53B0000}"/>
    <cellStyle name="Normal 2 2 2 2 4 29 4 5" xfId="15302" xr:uid="{00000000-0005-0000-0000-0000C63B0000}"/>
    <cellStyle name="Normal 2 2 2 2 4 29 4 6" xfId="15303" xr:uid="{00000000-0005-0000-0000-0000C73B0000}"/>
    <cellStyle name="Normal 2 2 2 2 4 29 4 7" xfId="15304" xr:uid="{00000000-0005-0000-0000-0000C83B0000}"/>
    <cellStyle name="Normal 2 2 2 2 4 29 4 8" xfId="15305" xr:uid="{00000000-0005-0000-0000-0000C93B0000}"/>
    <cellStyle name="Normal 2 2 2 2 4 29 4 9" xfId="15306" xr:uid="{00000000-0005-0000-0000-0000CA3B0000}"/>
    <cellStyle name="Normal 2 2 2 2 4 29 5" xfId="15307" xr:uid="{00000000-0005-0000-0000-0000CB3B0000}"/>
    <cellStyle name="Normal 2 2 2 2 4 29 5 10" xfId="15308" xr:uid="{00000000-0005-0000-0000-0000CC3B0000}"/>
    <cellStyle name="Normal 2 2 2 2 4 29 5 2" xfId="15309" xr:uid="{00000000-0005-0000-0000-0000CD3B0000}"/>
    <cellStyle name="Normal 2 2 2 2 4 29 5 3" xfId="15310" xr:uid="{00000000-0005-0000-0000-0000CE3B0000}"/>
    <cellStyle name="Normal 2 2 2 2 4 29 5 4" xfId="15311" xr:uid="{00000000-0005-0000-0000-0000CF3B0000}"/>
    <cellStyle name="Normal 2 2 2 2 4 29 5 5" xfId="15312" xr:uid="{00000000-0005-0000-0000-0000D03B0000}"/>
    <cellStyle name="Normal 2 2 2 2 4 29 5 6" xfId="15313" xr:uid="{00000000-0005-0000-0000-0000D13B0000}"/>
    <cellStyle name="Normal 2 2 2 2 4 29 5 7" xfId="15314" xr:uid="{00000000-0005-0000-0000-0000D23B0000}"/>
    <cellStyle name="Normal 2 2 2 2 4 29 5 8" xfId="15315" xr:uid="{00000000-0005-0000-0000-0000D33B0000}"/>
    <cellStyle name="Normal 2 2 2 2 4 29 5 9" xfId="15316" xr:uid="{00000000-0005-0000-0000-0000D43B0000}"/>
    <cellStyle name="Normal 2 2 2 2 4 29 6" xfId="15317" xr:uid="{00000000-0005-0000-0000-0000D53B0000}"/>
    <cellStyle name="Normal 2 2 2 2 4 29 7" xfId="15318" xr:uid="{00000000-0005-0000-0000-0000D63B0000}"/>
    <cellStyle name="Normal 2 2 2 2 4 29 8" xfId="15319" xr:uid="{00000000-0005-0000-0000-0000D73B0000}"/>
    <cellStyle name="Normal 2 2 2 2 4 29 9" xfId="15320" xr:uid="{00000000-0005-0000-0000-0000D83B0000}"/>
    <cellStyle name="Normal 2 2 2 2 4 3" xfId="15321" xr:uid="{00000000-0005-0000-0000-0000D93B0000}"/>
    <cellStyle name="Normal 2 2 2 2 4 3 10" xfId="15322" xr:uid="{00000000-0005-0000-0000-0000DA3B0000}"/>
    <cellStyle name="Normal 2 2 2 2 4 3 11" xfId="15323" xr:uid="{00000000-0005-0000-0000-0000DB3B0000}"/>
    <cellStyle name="Normal 2 2 2 2 4 3 12" xfId="15324" xr:uid="{00000000-0005-0000-0000-0000DC3B0000}"/>
    <cellStyle name="Normal 2 2 2 2 4 3 13" xfId="15325" xr:uid="{00000000-0005-0000-0000-0000DD3B0000}"/>
    <cellStyle name="Normal 2 2 2 2 4 3 14" xfId="15326" xr:uid="{00000000-0005-0000-0000-0000DE3B0000}"/>
    <cellStyle name="Normal 2 2 2 2 4 3 2" xfId="15327" xr:uid="{00000000-0005-0000-0000-0000DF3B0000}"/>
    <cellStyle name="Normal 2 2 2 2 4 3 2 10" xfId="15328" xr:uid="{00000000-0005-0000-0000-0000E03B0000}"/>
    <cellStyle name="Normal 2 2 2 2 4 3 2 2" xfId="15329" xr:uid="{00000000-0005-0000-0000-0000E13B0000}"/>
    <cellStyle name="Normal 2 2 2 2 4 3 2 3" xfId="15330" xr:uid="{00000000-0005-0000-0000-0000E23B0000}"/>
    <cellStyle name="Normal 2 2 2 2 4 3 2 4" xfId="15331" xr:uid="{00000000-0005-0000-0000-0000E33B0000}"/>
    <cellStyle name="Normal 2 2 2 2 4 3 2 5" xfId="15332" xr:uid="{00000000-0005-0000-0000-0000E43B0000}"/>
    <cellStyle name="Normal 2 2 2 2 4 3 2 6" xfId="15333" xr:uid="{00000000-0005-0000-0000-0000E53B0000}"/>
    <cellStyle name="Normal 2 2 2 2 4 3 2 7" xfId="15334" xr:uid="{00000000-0005-0000-0000-0000E63B0000}"/>
    <cellStyle name="Normal 2 2 2 2 4 3 2 8" xfId="15335" xr:uid="{00000000-0005-0000-0000-0000E73B0000}"/>
    <cellStyle name="Normal 2 2 2 2 4 3 2 9" xfId="15336" xr:uid="{00000000-0005-0000-0000-0000E83B0000}"/>
    <cellStyle name="Normal 2 2 2 2 4 3 3" xfId="15337" xr:uid="{00000000-0005-0000-0000-0000E93B0000}"/>
    <cellStyle name="Normal 2 2 2 2 4 3 3 10" xfId="15338" xr:uid="{00000000-0005-0000-0000-0000EA3B0000}"/>
    <cellStyle name="Normal 2 2 2 2 4 3 3 2" xfId="15339" xr:uid="{00000000-0005-0000-0000-0000EB3B0000}"/>
    <cellStyle name="Normal 2 2 2 2 4 3 3 3" xfId="15340" xr:uid="{00000000-0005-0000-0000-0000EC3B0000}"/>
    <cellStyle name="Normal 2 2 2 2 4 3 3 4" xfId="15341" xr:uid="{00000000-0005-0000-0000-0000ED3B0000}"/>
    <cellStyle name="Normal 2 2 2 2 4 3 3 5" xfId="15342" xr:uid="{00000000-0005-0000-0000-0000EE3B0000}"/>
    <cellStyle name="Normal 2 2 2 2 4 3 3 6" xfId="15343" xr:uid="{00000000-0005-0000-0000-0000EF3B0000}"/>
    <cellStyle name="Normal 2 2 2 2 4 3 3 7" xfId="15344" xr:uid="{00000000-0005-0000-0000-0000F03B0000}"/>
    <cellStyle name="Normal 2 2 2 2 4 3 3 8" xfId="15345" xr:uid="{00000000-0005-0000-0000-0000F13B0000}"/>
    <cellStyle name="Normal 2 2 2 2 4 3 3 9" xfId="15346" xr:uid="{00000000-0005-0000-0000-0000F23B0000}"/>
    <cellStyle name="Normal 2 2 2 2 4 3 4" xfId="15347" xr:uid="{00000000-0005-0000-0000-0000F33B0000}"/>
    <cellStyle name="Normal 2 2 2 2 4 3 4 10" xfId="15348" xr:uid="{00000000-0005-0000-0000-0000F43B0000}"/>
    <cellStyle name="Normal 2 2 2 2 4 3 4 2" xfId="15349" xr:uid="{00000000-0005-0000-0000-0000F53B0000}"/>
    <cellStyle name="Normal 2 2 2 2 4 3 4 3" xfId="15350" xr:uid="{00000000-0005-0000-0000-0000F63B0000}"/>
    <cellStyle name="Normal 2 2 2 2 4 3 4 4" xfId="15351" xr:uid="{00000000-0005-0000-0000-0000F73B0000}"/>
    <cellStyle name="Normal 2 2 2 2 4 3 4 5" xfId="15352" xr:uid="{00000000-0005-0000-0000-0000F83B0000}"/>
    <cellStyle name="Normal 2 2 2 2 4 3 4 6" xfId="15353" xr:uid="{00000000-0005-0000-0000-0000F93B0000}"/>
    <cellStyle name="Normal 2 2 2 2 4 3 4 7" xfId="15354" xr:uid="{00000000-0005-0000-0000-0000FA3B0000}"/>
    <cellStyle name="Normal 2 2 2 2 4 3 4 8" xfId="15355" xr:uid="{00000000-0005-0000-0000-0000FB3B0000}"/>
    <cellStyle name="Normal 2 2 2 2 4 3 4 9" xfId="15356" xr:uid="{00000000-0005-0000-0000-0000FC3B0000}"/>
    <cellStyle name="Normal 2 2 2 2 4 3 5" xfId="15357" xr:uid="{00000000-0005-0000-0000-0000FD3B0000}"/>
    <cellStyle name="Normal 2 2 2 2 4 3 5 10" xfId="15358" xr:uid="{00000000-0005-0000-0000-0000FE3B0000}"/>
    <cellStyle name="Normal 2 2 2 2 4 3 5 2" xfId="15359" xr:uid="{00000000-0005-0000-0000-0000FF3B0000}"/>
    <cellStyle name="Normal 2 2 2 2 4 3 5 3" xfId="15360" xr:uid="{00000000-0005-0000-0000-0000003C0000}"/>
    <cellStyle name="Normal 2 2 2 2 4 3 5 4" xfId="15361" xr:uid="{00000000-0005-0000-0000-0000013C0000}"/>
    <cellStyle name="Normal 2 2 2 2 4 3 5 5" xfId="15362" xr:uid="{00000000-0005-0000-0000-0000023C0000}"/>
    <cellStyle name="Normal 2 2 2 2 4 3 5 6" xfId="15363" xr:uid="{00000000-0005-0000-0000-0000033C0000}"/>
    <cellStyle name="Normal 2 2 2 2 4 3 5 7" xfId="15364" xr:uid="{00000000-0005-0000-0000-0000043C0000}"/>
    <cellStyle name="Normal 2 2 2 2 4 3 5 8" xfId="15365" xr:uid="{00000000-0005-0000-0000-0000053C0000}"/>
    <cellStyle name="Normal 2 2 2 2 4 3 5 9" xfId="15366" xr:uid="{00000000-0005-0000-0000-0000063C0000}"/>
    <cellStyle name="Normal 2 2 2 2 4 3 6" xfId="15367" xr:uid="{00000000-0005-0000-0000-0000073C0000}"/>
    <cellStyle name="Normal 2 2 2 2 4 3 7" xfId="15368" xr:uid="{00000000-0005-0000-0000-0000083C0000}"/>
    <cellStyle name="Normal 2 2 2 2 4 3 8" xfId="15369" xr:uid="{00000000-0005-0000-0000-0000093C0000}"/>
    <cellStyle name="Normal 2 2 2 2 4 3 9" xfId="15370" xr:uid="{00000000-0005-0000-0000-00000A3C0000}"/>
    <cellStyle name="Normal 2 2 2 2 4 30" xfId="15371" xr:uid="{00000000-0005-0000-0000-00000B3C0000}"/>
    <cellStyle name="Normal 2 2 2 2 4 30 10" xfId="15372" xr:uid="{00000000-0005-0000-0000-00000C3C0000}"/>
    <cellStyle name="Normal 2 2 2 2 4 30 11" xfId="15373" xr:uid="{00000000-0005-0000-0000-00000D3C0000}"/>
    <cellStyle name="Normal 2 2 2 2 4 30 12" xfId="15374" xr:uid="{00000000-0005-0000-0000-00000E3C0000}"/>
    <cellStyle name="Normal 2 2 2 2 4 30 13" xfId="15375" xr:uid="{00000000-0005-0000-0000-00000F3C0000}"/>
    <cellStyle name="Normal 2 2 2 2 4 30 14" xfId="15376" xr:uid="{00000000-0005-0000-0000-0000103C0000}"/>
    <cellStyle name="Normal 2 2 2 2 4 30 2" xfId="15377" xr:uid="{00000000-0005-0000-0000-0000113C0000}"/>
    <cellStyle name="Normal 2 2 2 2 4 30 2 10" xfId="15378" xr:uid="{00000000-0005-0000-0000-0000123C0000}"/>
    <cellStyle name="Normal 2 2 2 2 4 30 2 2" xfId="15379" xr:uid="{00000000-0005-0000-0000-0000133C0000}"/>
    <cellStyle name="Normal 2 2 2 2 4 30 2 3" xfId="15380" xr:uid="{00000000-0005-0000-0000-0000143C0000}"/>
    <cellStyle name="Normal 2 2 2 2 4 30 2 4" xfId="15381" xr:uid="{00000000-0005-0000-0000-0000153C0000}"/>
    <cellStyle name="Normal 2 2 2 2 4 30 2 5" xfId="15382" xr:uid="{00000000-0005-0000-0000-0000163C0000}"/>
    <cellStyle name="Normal 2 2 2 2 4 30 2 6" xfId="15383" xr:uid="{00000000-0005-0000-0000-0000173C0000}"/>
    <cellStyle name="Normal 2 2 2 2 4 30 2 7" xfId="15384" xr:uid="{00000000-0005-0000-0000-0000183C0000}"/>
    <cellStyle name="Normal 2 2 2 2 4 30 2 8" xfId="15385" xr:uid="{00000000-0005-0000-0000-0000193C0000}"/>
    <cellStyle name="Normal 2 2 2 2 4 30 2 9" xfId="15386" xr:uid="{00000000-0005-0000-0000-00001A3C0000}"/>
    <cellStyle name="Normal 2 2 2 2 4 30 3" xfId="15387" xr:uid="{00000000-0005-0000-0000-00001B3C0000}"/>
    <cellStyle name="Normal 2 2 2 2 4 30 3 10" xfId="15388" xr:uid="{00000000-0005-0000-0000-00001C3C0000}"/>
    <cellStyle name="Normal 2 2 2 2 4 30 3 2" xfId="15389" xr:uid="{00000000-0005-0000-0000-00001D3C0000}"/>
    <cellStyle name="Normal 2 2 2 2 4 30 3 3" xfId="15390" xr:uid="{00000000-0005-0000-0000-00001E3C0000}"/>
    <cellStyle name="Normal 2 2 2 2 4 30 3 4" xfId="15391" xr:uid="{00000000-0005-0000-0000-00001F3C0000}"/>
    <cellStyle name="Normal 2 2 2 2 4 30 3 5" xfId="15392" xr:uid="{00000000-0005-0000-0000-0000203C0000}"/>
    <cellStyle name="Normal 2 2 2 2 4 30 3 6" xfId="15393" xr:uid="{00000000-0005-0000-0000-0000213C0000}"/>
    <cellStyle name="Normal 2 2 2 2 4 30 3 7" xfId="15394" xr:uid="{00000000-0005-0000-0000-0000223C0000}"/>
    <cellStyle name="Normal 2 2 2 2 4 30 3 8" xfId="15395" xr:uid="{00000000-0005-0000-0000-0000233C0000}"/>
    <cellStyle name="Normal 2 2 2 2 4 30 3 9" xfId="15396" xr:uid="{00000000-0005-0000-0000-0000243C0000}"/>
    <cellStyle name="Normal 2 2 2 2 4 30 4" xfId="15397" xr:uid="{00000000-0005-0000-0000-0000253C0000}"/>
    <cellStyle name="Normal 2 2 2 2 4 30 4 10" xfId="15398" xr:uid="{00000000-0005-0000-0000-0000263C0000}"/>
    <cellStyle name="Normal 2 2 2 2 4 30 4 2" xfId="15399" xr:uid="{00000000-0005-0000-0000-0000273C0000}"/>
    <cellStyle name="Normal 2 2 2 2 4 30 4 3" xfId="15400" xr:uid="{00000000-0005-0000-0000-0000283C0000}"/>
    <cellStyle name="Normal 2 2 2 2 4 30 4 4" xfId="15401" xr:uid="{00000000-0005-0000-0000-0000293C0000}"/>
    <cellStyle name="Normal 2 2 2 2 4 30 4 5" xfId="15402" xr:uid="{00000000-0005-0000-0000-00002A3C0000}"/>
    <cellStyle name="Normal 2 2 2 2 4 30 4 6" xfId="15403" xr:uid="{00000000-0005-0000-0000-00002B3C0000}"/>
    <cellStyle name="Normal 2 2 2 2 4 30 4 7" xfId="15404" xr:uid="{00000000-0005-0000-0000-00002C3C0000}"/>
    <cellStyle name="Normal 2 2 2 2 4 30 4 8" xfId="15405" xr:uid="{00000000-0005-0000-0000-00002D3C0000}"/>
    <cellStyle name="Normal 2 2 2 2 4 30 4 9" xfId="15406" xr:uid="{00000000-0005-0000-0000-00002E3C0000}"/>
    <cellStyle name="Normal 2 2 2 2 4 30 5" xfId="15407" xr:uid="{00000000-0005-0000-0000-00002F3C0000}"/>
    <cellStyle name="Normal 2 2 2 2 4 30 5 10" xfId="15408" xr:uid="{00000000-0005-0000-0000-0000303C0000}"/>
    <cellStyle name="Normal 2 2 2 2 4 30 5 2" xfId="15409" xr:uid="{00000000-0005-0000-0000-0000313C0000}"/>
    <cellStyle name="Normal 2 2 2 2 4 30 5 3" xfId="15410" xr:uid="{00000000-0005-0000-0000-0000323C0000}"/>
    <cellStyle name="Normal 2 2 2 2 4 30 5 4" xfId="15411" xr:uid="{00000000-0005-0000-0000-0000333C0000}"/>
    <cellStyle name="Normal 2 2 2 2 4 30 5 5" xfId="15412" xr:uid="{00000000-0005-0000-0000-0000343C0000}"/>
    <cellStyle name="Normal 2 2 2 2 4 30 5 6" xfId="15413" xr:uid="{00000000-0005-0000-0000-0000353C0000}"/>
    <cellStyle name="Normal 2 2 2 2 4 30 5 7" xfId="15414" xr:uid="{00000000-0005-0000-0000-0000363C0000}"/>
    <cellStyle name="Normal 2 2 2 2 4 30 5 8" xfId="15415" xr:uid="{00000000-0005-0000-0000-0000373C0000}"/>
    <cellStyle name="Normal 2 2 2 2 4 30 5 9" xfId="15416" xr:uid="{00000000-0005-0000-0000-0000383C0000}"/>
    <cellStyle name="Normal 2 2 2 2 4 30 6" xfId="15417" xr:uid="{00000000-0005-0000-0000-0000393C0000}"/>
    <cellStyle name="Normal 2 2 2 2 4 30 7" xfId="15418" xr:uid="{00000000-0005-0000-0000-00003A3C0000}"/>
    <cellStyle name="Normal 2 2 2 2 4 30 8" xfId="15419" xr:uid="{00000000-0005-0000-0000-00003B3C0000}"/>
    <cellStyle name="Normal 2 2 2 2 4 30 9" xfId="15420" xr:uid="{00000000-0005-0000-0000-00003C3C0000}"/>
    <cellStyle name="Normal 2 2 2 2 4 31" xfId="15421" xr:uid="{00000000-0005-0000-0000-00003D3C0000}"/>
    <cellStyle name="Normal 2 2 2 2 4 31 10" xfId="15422" xr:uid="{00000000-0005-0000-0000-00003E3C0000}"/>
    <cellStyle name="Normal 2 2 2 2 4 31 11" xfId="15423" xr:uid="{00000000-0005-0000-0000-00003F3C0000}"/>
    <cellStyle name="Normal 2 2 2 2 4 31 12" xfId="15424" xr:uid="{00000000-0005-0000-0000-0000403C0000}"/>
    <cellStyle name="Normal 2 2 2 2 4 31 13" xfId="15425" xr:uid="{00000000-0005-0000-0000-0000413C0000}"/>
    <cellStyle name="Normal 2 2 2 2 4 31 14" xfId="15426" xr:uid="{00000000-0005-0000-0000-0000423C0000}"/>
    <cellStyle name="Normal 2 2 2 2 4 31 2" xfId="15427" xr:uid="{00000000-0005-0000-0000-0000433C0000}"/>
    <cellStyle name="Normal 2 2 2 2 4 31 2 10" xfId="15428" xr:uid="{00000000-0005-0000-0000-0000443C0000}"/>
    <cellStyle name="Normal 2 2 2 2 4 31 2 2" xfId="15429" xr:uid="{00000000-0005-0000-0000-0000453C0000}"/>
    <cellStyle name="Normal 2 2 2 2 4 31 2 3" xfId="15430" xr:uid="{00000000-0005-0000-0000-0000463C0000}"/>
    <cellStyle name="Normal 2 2 2 2 4 31 2 4" xfId="15431" xr:uid="{00000000-0005-0000-0000-0000473C0000}"/>
    <cellStyle name="Normal 2 2 2 2 4 31 2 5" xfId="15432" xr:uid="{00000000-0005-0000-0000-0000483C0000}"/>
    <cellStyle name="Normal 2 2 2 2 4 31 2 6" xfId="15433" xr:uid="{00000000-0005-0000-0000-0000493C0000}"/>
    <cellStyle name="Normal 2 2 2 2 4 31 2 7" xfId="15434" xr:uid="{00000000-0005-0000-0000-00004A3C0000}"/>
    <cellStyle name="Normal 2 2 2 2 4 31 2 8" xfId="15435" xr:uid="{00000000-0005-0000-0000-00004B3C0000}"/>
    <cellStyle name="Normal 2 2 2 2 4 31 2 9" xfId="15436" xr:uid="{00000000-0005-0000-0000-00004C3C0000}"/>
    <cellStyle name="Normal 2 2 2 2 4 31 3" xfId="15437" xr:uid="{00000000-0005-0000-0000-00004D3C0000}"/>
    <cellStyle name="Normal 2 2 2 2 4 31 3 10" xfId="15438" xr:uid="{00000000-0005-0000-0000-00004E3C0000}"/>
    <cellStyle name="Normal 2 2 2 2 4 31 3 2" xfId="15439" xr:uid="{00000000-0005-0000-0000-00004F3C0000}"/>
    <cellStyle name="Normal 2 2 2 2 4 31 3 3" xfId="15440" xr:uid="{00000000-0005-0000-0000-0000503C0000}"/>
    <cellStyle name="Normal 2 2 2 2 4 31 3 4" xfId="15441" xr:uid="{00000000-0005-0000-0000-0000513C0000}"/>
    <cellStyle name="Normal 2 2 2 2 4 31 3 5" xfId="15442" xr:uid="{00000000-0005-0000-0000-0000523C0000}"/>
    <cellStyle name="Normal 2 2 2 2 4 31 3 6" xfId="15443" xr:uid="{00000000-0005-0000-0000-0000533C0000}"/>
    <cellStyle name="Normal 2 2 2 2 4 31 3 7" xfId="15444" xr:uid="{00000000-0005-0000-0000-0000543C0000}"/>
    <cellStyle name="Normal 2 2 2 2 4 31 3 8" xfId="15445" xr:uid="{00000000-0005-0000-0000-0000553C0000}"/>
    <cellStyle name="Normal 2 2 2 2 4 31 3 9" xfId="15446" xr:uid="{00000000-0005-0000-0000-0000563C0000}"/>
    <cellStyle name="Normal 2 2 2 2 4 31 4" xfId="15447" xr:uid="{00000000-0005-0000-0000-0000573C0000}"/>
    <cellStyle name="Normal 2 2 2 2 4 31 4 10" xfId="15448" xr:uid="{00000000-0005-0000-0000-0000583C0000}"/>
    <cellStyle name="Normal 2 2 2 2 4 31 4 2" xfId="15449" xr:uid="{00000000-0005-0000-0000-0000593C0000}"/>
    <cellStyle name="Normal 2 2 2 2 4 31 4 3" xfId="15450" xr:uid="{00000000-0005-0000-0000-00005A3C0000}"/>
    <cellStyle name="Normal 2 2 2 2 4 31 4 4" xfId="15451" xr:uid="{00000000-0005-0000-0000-00005B3C0000}"/>
    <cellStyle name="Normal 2 2 2 2 4 31 4 5" xfId="15452" xr:uid="{00000000-0005-0000-0000-00005C3C0000}"/>
    <cellStyle name="Normal 2 2 2 2 4 31 4 6" xfId="15453" xr:uid="{00000000-0005-0000-0000-00005D3C0000}"/>
    <cellStyle name="Normal 2 2 2 2 4 31 4 7" xfId="15454" xr:uid="{00000000-0005-0000-0000-00005E3C0000}"/>
    <cellStyle name="Normal 2 2 2 2 4 31 4 8" xfId="15455" xr:uid="{00000000-0005-0000-0000-00005F3C0000}"/>
    <cellStyle name="Normal 2 2 2 2 4 31 4 9" xfId="15456" xr:uid="{00000000-0005-0000-0000-0000603C0000}"/>
    <cellStyle name="Normal 2 2 2 2 4 31 5" xfId="15457" xr:uid="{00000000-0005-0000-0000-0000613C0000}"/>
    <cellStyle name="Normal 2 2 2 2 4 31 5 10" xfId="15458" xr:uid="{00000000-0005-0000-0000-0000623C0000}"/>
    <cellStyle name="Normal 2 2 2 2 4 31 5 2" xfId="15459" xr:uid="{00000000-0005-0000-0000-0000633C0000}"/>
    <cellStyle name="Normal 2 2 2 2 4 31 5 3" xfId="15460" xr:uid="{00000000-0005-0000-0000-0000643C0000}"/>
    <cellStyle name="Normal 2 2 2 2 4 31 5 4" xfId="15461" xr:uid="{00000000-0005-0000-0000-0000653C0000}"/>
    <cellStyle name="Normal 2 2 2 2 4 31 5 5" xfId="15462" xr:uid="{00000000-0005-0000-0000-0000663C0000}"/>
    <cellStyle name="Normal 2 2 2 2 4 31 5 6" xfId="15463" xr:uid="{00000000-0005-0000-0000-0000673C0000}"/>
    <cellStyle name="Normal 2 2 2 2 4 31 5 7" xfId="15464" xr:uid="{00000000-0005-0000-0000-0000683C0000}"/>
    <cellStyle name="Normal 2 2 2 2 4 31 5 8" xfId="15465" xr:uid="{00000000-0005-0000-0000-0000693C0000}"/>
    <cellStyle name="Normal 2 2 2 2 4 31 5 9" xfId="15466" xr:uid="{00000000-0005-0000-0000-00006A3C0000}"/>
    <cellStyle name="Normal 2 2 2 2 4 31 6" xfId="15467" xr:uid="{00000000-0005-0000-0000-00006B3C0000}"/>
    <cellStyle name="Normal 2 2 2 2 4 31 7" xfId="15468" xr:uid="{00000000-0005-0000-0000-00006C3C0000}"/>
    <cellStyle name="Normal 2 2 2 2 4 31 8" xfId="15469" xr:uid="{00000000-0005-0000-0000-00006D3C0000}"/>
    <cellStyle name="Normal 2 2 2 2 4 31 9" xfId="15470" xr:uid="{00000000-0005-0000-0000-00006E3C0000}"/>
    <cellStyle name="Normal 2 2 2 2 4 32" xfId="15471" xr:uid="{00000000-0005-0000-0000-00006F3C0000}"/>
    <cellStyle name="Normal 2 2 2 2 4 32 10" xfId="15472" xr:uid="{00000000-0005-0000-0000-0000703C0000}"/>
    <cellStyle name="Normal 2 2 2 2 4 32 11" xfId="15473" xr:uid="{00000000-0005-0000-0000-0000713C0000}"/>
    <cellStyle name="Normal 2 2 2 2 4 32 12" xfId="15474" xr:uid="{00000000-0005-0000-0000-0000723C0000}"/>
    <cellStyle name="Normal 2 2 2 2 4 32 13" xfId="15475" xr:uid="{00000000-0005-0000-0000-0000733C0000}"/>
    <cellStyle name="Normal 2 2 2 2 4 32 14" xfId="15476" xr:uid="{00000000-0005-0000-0000-0000743C0000}"/>
    <cellStyle name="Normal 2 2 2 2 4 32 2" xfId="15477" xr:uid="{00000000-0005-0000-0000-0000753C0000}"/>
    <cellStyle name="Normal 2 2 2 2 4 32 2 10" xfId="15478" xr:uid="{00000000-0005-0000-0000-0000763C0000}"/>
    <cellStyle name="Normal 2 2 2 2 4 32 2 2" xfId="15479" xr:uid="{00000000-0005-0000-0000-0000773C0000}"/>
    <cellStyle name="Normal 2 2 2 2 4 32 2 3" xfId="15480" xr:uid="{00000000-0005-0000-0000-0000783C0000}"/>
    <cellStyle name="Normal 2 2 2 2 4 32 2 4" xfId="15481" xr:uid="{00000000-0005-0000-0000-0000793C0000}"/>
    <cellStyle name="Normal 2 2 2 2 4 32 2 5" xfId="15482" xr:uid="{00000000-0005-0000-0000-00007A3C0000}"/>
    <cellStyle name="Normal 2 2 2 2 4 32 2 6" xfId="15483" xr:uid="{00000000-0005-0000-0000-00007B3C0000}"/>
    <cellStyle name="Normal 2 2 2 2 4 32 2 7" xfId="15484" xr:uid="{00000000-0005-0000-0000-00007C3C0000}"/>
    <cellStyle name="Normal 2 2 2 2 4 32 2 8" xfId="15485" xr:uid="{00000000-0005-0000-0000-00007D3C0000}"/>
    <cellStyle name="Normal 2 2 2 2 4 32 2 9" xfId="15486" xr:uid="{00000000-0005-0000-0000-00007E3C0000}"/>
    <cellStyle name="Normal 2 2 2 2 4 32 3" xfId="15487" xr:uid="{00000000-0005-0000-0000-00007F3C0000}"/>
    <cellStyle name="Normal 2 2 2 2 4 32 3 10" xfId="15488" xr:uid="{00000000-0005-0000-0000-0000803C0000}"/>
    <cellStyle name="Normal 2 2 2 2 4 32 3 2" xfId="15489" xr:uid="{00000000-0005-0000-0000-0000813C0000}"/>
    <cellStyle name="Normal 2 2 2 2 4 32 3 3" xfId="15490" xr:uid="{00000000-0005-0000-0000-0000823C0000}"/>
    <cellStyle name="Normal 2 2 2 2 4 32 3 4" xfId="15491" xr:uid="{00000000-0005-0000-0000-0000833C0000}"/>
    <cellStyle name="Normal 2 2 2 2 4 32 3 5" xfId="15492" xr:uid="{00000000-0005-0000-0000-0000843C0000}"/>
    <cellStyle name="Normal 2 2 2 2 4 32 3 6" xfId="15493" xr:uid="{00000000-0005-0000-0000-0000853C0000}"/>
    <cellStyle name="Normal 2 2 2 2 4 32 3 7" xfId="15494" xr:uid="{00000000-0005-0000-0000-0000863C0000}"/>
    <cellStyle name="Normal 2 2 2 2 4 32 3 8" xfId="15495" xr:uid="{00000000-0005-0000-0000-0000873C0000}"/>
    <cellStyle name="Normal 2 2 2 2 4 32 3 9" xfId="15496" xr:uid="{00000000-0005-0000-0000-0000883C0000}"/>
    <cellStyle name="Normal 2 2 2 2 4 32 4" xfId="15497" xr:uid="{00000000-0005-0000-0000-0000893C0000}"/>
    <cellStyle name="Normal 2 2 2 2 4 32 4 10" xfId="15498" xr:uid="{00000000-0005-0000-0000-00008A3C0000}"/>
    <cellStyle name="Normal 2 2 2 2 4 32 4 2" xfId="15499" xr:uid="{00000000-0005-0000-0000-00008B3C0000}"/>
    <cellStyle name="Normal 2 2 2 2 4 32 4 3" xfId="15500" xr:uid="{00000000-0005-0000-0000-00008C3C0000}"/>
    <cellStyle name="Normal 2 2 2 2 4 32 4 4" xfId="15501" xr:uid="{00000000-0005-0000-0000-00008D3C0000}"/>
    <cellStyle name="Normal 2 2 2 2 4 32 4 5" xfId="15502" xr:uid="{00000000-0005-0000-0000-00008E3C0000}"/>
    <cellStyle name="Normal 2 2 2 2 4 32 4 6" xfId="15503" xr:uid="{00000000-0005-0000-0000-00008F3C0000}"/>
    <cellStyle name="Normal 2 2 2 2 4 32 4 7" xfId="15504" xr:uid="{00000000-0005-0000-0000-0000903C0000}"/>
    <cellStyle name="Normal 2 2 2 2 4 32 4 8" xfId="15505" xr:uid="{00000000-0005-0000-0000-0000913C0000}"/>
    <cellStyle name="Normal 2 2 2 2 4 32 4 9" xfId="15506" xr:uid="{00000000-0005-0000-0000-0000923C0000}"/>
    <cellStyle name="Normal 2 2 2 2 4 32 5" xfId="15507" xr:uid="{00000000-0005-0000-0000-0000933C0000}"/>
    <cellStyle name="Normal 2 2 2 2 4 32 5 10" xfId="15508" xr:uid="{00000000-0005-0000-0000-0000943C0000}"/>
    <cellStyle name="Normal 2 2 2 2 4 32 5 2" xfId="15509" xr:uid="{00000000-0005-0000-0000-0000953C0000}"/>
    <cellStyle name="Normal 2 2 2 2 4 32 5 3" xfId="15510" xr:uid="{00000000-0005-0000-0000-0000963C0000}"/>
    <cellStyle name="Normal 2 2 2 2 4 32 5 4" xfId="15511" xr:uid="{00000000-0005-0000-0000-0000973C0000}"/>
    <cellStyle name="Normal 2 2 2 2 4 32 5 5" xfId="15512" xr:uid="{00000000-0005-0000-0000-0000983C0000}"/>
    <cellStyle name="Normal 2 2 2 2 4 32 5 6" xfId="15513" xr:uid="{00000000-0005-0000-0000-0000993C0000}"/>
    <cellStyle name="Normal 2 2 2 2 4 32 5 7" xfId="15514" xr:uid="{00000000-0005-0000-0000-00009A3C0000}"/>
    <cellStyle name="Normal 2 2 2 2 4 32 5 8" xfId="15515" xr:uid="{00000000-0005-0000-0000-00009B3C0000}"/>
    <cellStyle name="Normal 2 2 2 2 4 32 5 9" xfId="15516" xr:uid="{00000000-0005-0000-0000-00009C3C0000}"/>
    <cellStyle name="Normal 2 2 2 2 4 32 6" xfId="15517" xr:uid="{00000000-0005-0000-0000-00009D3C0000}"/>
    <cellStyle name="Normal 2 2 2 2 4 32 7" xfId="15518" xr:uid="{00000000-0005-0000-0000-00009E3C0000}"/>
    <cellStyle name="Normal 2 2 2 2 4 32 8" xfId="15519" xr:uid="{00000000-0005-0000-0000-00009F3C0000}"/>
    <cellStyle name="Normal 2 2 2 2 4 32 9" xfId="15520" xr:uid="{00000000-0005-0000-0000-0000A03C0000}"/>
    <cellStyle name="Normal 2 2 2 2 4 33" xfId="15521" xr:uid="{00000000-0005-0000-0000-0000A13C0000}"/>
    <cellStyle name="Normal 2 2 2 2 4 33 10" xfId="15522" xr:uid="{00000000-0005-0000-0000-0000A23C0000}"/>
    <cellStyle name="Normal 2 2 2 2 4 33 11" xfId="15523" xr:uid="{00000000-0005-0000-0000-0000A33C0000}"/>
    <cellStyle name="Normal 2 2 2 2 4 33 12" xfId="15524" xr:uid="{00000000-0005-0000-0000-0000A43C0000}"/>
    <cellStyle name="Normal 2 2 2 2 4 33 13" xfId="15525" xr:uid="{00000000-0005-0000-0000-0000A53C0000}"/>
    <cellStyle name="Normal 2 2 2 2 4 33 14" xfId="15526" xr:uid="{00000000-0005-0000-0000-0000A63C0000}"/>
    <cellStyle name="Normal 2 2 2 2 4 33 2" xfId="15527" xr:uid="{00000000-0005-0000-0000-0000A73C0000}"/>
    <cellStyle name="Normal 2 2 2 2 4 33 2 10" xfId="15528" xr:uid="{00000000-0005-0000-0000-0000A83C0000}"/>
    <cellStyle name="Normal 2 2 2 2 4 33 2 2" xfId="15529" xr:uid="{00000000-0005-0000-0000-0000A93C0000}"/>
    <cellStyle name="Normal 2 2 2 2 4 33 2 3" xfId="15530" xr:uid="{00000000-0005-0000-0000-0000AA3C0000}"/>
    <cellStyle name="Normal 2 2 2 2 4 33 2 4" xfId="15531" xr:uid="{00000000-0005-0000-0000-0000AB3C0000}"/>
    <cellStyle name="Normal 2 2 2 2 4 33 2 5" xfId="15532" xr:uid="{00000000-0005-0000-0000-0000AC3C0000}"/>
    <cellStyle name="Normal 2 2 2 2 4 33 2 6" xfId="15533" xr:uid="{00000000-0005-0000-0000-0000AD3C0000}"/>
    <cellStyle name="Normal 2 2 2 2 4 33 2 7" xfId="15534" xr:uid="{00000000-0005-0000-0000-0000AE3C0000}"/>
    <cellStyle name="Normal 2 2 2 2 4 33 2 8" xfId="15535" xr:uid="{00000000-0005-0000-0000-0000AF3C0000}"/>
    <cellStyle name="Normal 2 2 2 2 4 33 2 9" xfId="15536" xr:uid="{00000000-0005-0000-0000-0000B03C0000}"/>
    <cellStyle name="Normal 2 2 2 2 4 33 3" xfId="15537" xr:uid="{00000000-0005-0000-0000-0000B13C0000}"/>
    <cellStyle name="Normal 2 2 2 2 4 33 3 10" xfId="15538" xr:uid="{00000000-0005-0000-0000-0000B23C0000}"/>
    <cellStyle name="Normal 2 2 2 2 4 33 3 2" xfId="15539" xr:uid="{00000000-0005-0000-0000-0000B33C0000}"/>
    <cellStyle name="Normal 2 2 2 2 4 33 3 3" xfId="15540" xr:uid="{00000000-0005-0000-0000-0000B43C0000}"/>
    <cellStyle name="Normal 2 2 2 2 4 33 3 4" xfId="15541" xr:uid="{00000000-0005-0000-0000-0000B53C0000}"/>
    <cellStyle name="Normal 2 2 2 2 4 33 3 5" xfId="15542" xr:uid="{00000000-0005-0000-0000-0000B63C0000}"/>
    <cellStyle name="Normal 2 2 2 2 4 33 3 6" xfId="15543" xr:uid="{00000000-0005-0000-0000-0000B73C0000}"/>
    <cellStyle name="Normal 2 2 2 2 4 33 3 7" xfId="15544" xr:uid="{00000000-0005-0000-0000-0000B83C0000}"/>
    <cellStyle name="Normal 2 2 2 2 4 33 3 8" xfId="15545" xr:uid="{00000000-0005-0000-0000-0000B93C0000}"/>
    <cellStyle name="Normal 2 2 2 2 4 33 3 9" xfId="15546" xr:uid="{00000000-0005-0000-0000-0000BA3C0000}"/>
    <cellStyle name="Normal 2 2 2 2 4 33 4" xfId="15547" xr:uid="{00000000-0005-0000-0000-0000BB3C0000}"/>
    <cellStyle name="Normal 2 2 2 2 4 33 4 10" xfId="15548" xr:uid="{00000000-0005-0000-0000-0000BC3C0000}"/>
    <cellStyle name="Normal 2 2 2 2 4 33 4 2" xfId="15549" xr:uid="{00000000-0005-0000-0000-0000BD3C0000}"/>
    <cellStyle name="Normal 2 2 2 2 4 33 4 3" xfId="15550" xr:uid="{00000000-0005-0000-0000-0000BE3C0000}"/>
    <cellStyle name="Normal 2 2 2 2 4 33 4 4" xfId="15551" xr:uid="{00000000-0005-0000-0000-0000BF3C0000}"/>
    <cellStyle name="Normal 2 2 2 2 4 33 4 5" xfId="15552" xr:uid="{00000000-0005-0000-0000-0000C03C0000}"/>
    <cellStyle name="Normal 2 2 2 2 4 33 4 6" xfId="15553" xr:uid="{00000000-0005-0000-0000-0000C13C0000}"/>
    <cellStyle name="Normal 2 2 2 2 4 33 4 7" xfId="15554" xr:uid="{00000000-0005-0000-0000-0000C23C0000}"/>
    <cellStyle name="Normal 2 2 2 2 4 33 4 8" xfId="15555" xr:uid="{00000000-0005-0000-0000-0000C33C0000}"/>
    <cellStyle name="Normal 2 2 2 2 4 33 4 9" xfId="15556" xr:uid="{00000000-0005-0000-0000-0000C43C0000}"/>
    <cellStyle name="Normal 2 2 2 2 4 33 5" xfId="15557" xr:uid="{00000000-0005-0000-0000-0000C53C0000}"/>
    <cellStyle name="Normal 2 2 2 2 4 33 5 10" xfId="15558" xr:uid="{00000000-0005-0000-0000-0000C63C0000}"/>
    <cellStyle name="Normal 2 2 2 2 4 33 5 2" xfId="15559" xr:uid="{00000000-0005-0000-0000-0000C73C0000}"/>
    <cellStyle name="Normal 2 2 2 2 4 33 5 3" xfId="15560" xr:uid="{00000000-0005-0000-0000-0000C83C0000}"/>
    <cellStyle name="Normal 2 2 2 2 4 33 5 4" xfId="15561" xr:uid="{00000000-0005-0000-0000-0000C93C0000}"/>
    <cellStyle name="Normal 2 2 2 2 4 33 5 5" xfId="15562" xr:uid="{00000000-0005-0000-0000-0000CA3C0000}"/>
    <cellStyle name="Normal 2 2 2 2 4 33 5 6" xfId="15563" xr:uid="{00000000-0005-0000-0000-0000CB3C0000}"/>
    <cellStyle name="Normal 2 2 2 2 4 33 5 7" xfId="15564" xr:uid="{00000000-0005-0000-0000-0000CC3C0000}"/>
    <cellStyle name="Normal 2 2 2 2 4 33 5 8" xfId="15565" xr:uid="{00000000-0005-0000-0000-0000CD3C0000}"/>
    <cellStyle name="Normal 2 2 2 2 4 33 5 9" xfId="15566" xr:uid="{00000000-0005-0000-0000-0000CE3C0000}"/>
    <cellStyle name="Normal 2 2 2 2 4 33 6" xfId="15567" xr:uid="{00000000-0005-0000-0000-0000CF3C0000}"/>
    <cellStyle name="Normal 2 2 2 2 4 33 7" xfId="15568" xr:uid="{00000000-0005-0000-0000-0000D03C0000}"/>
    <cellStyle name="Normal 2 2 2 2 4 33 8" xfId="15569" xr:uid="{00000000-0005-0000-0000-0000D13C0000}"/>
    <cellStyle name="Normal 2 2 2 2 4 33 9" xfId="15570" xr:uid="{00000000-0005-0000-0000-0000D23C0000}"/>
    <cellStyle name="Normal 2 2 2 2 4 34" xfId="15571" xr:uid="{00000000-0005-0000-0000-0000D33C0000}"/>
    <cellStyle name="Normal 2 2 2 2 4 35" xfId="15572" xr:uid="{00000000-0005-0000-0000-0000D43C0000}"/>
    <cellStyle name="Normal 2 2 2 2 4 4" xfId="15573" xr:uid="{00000000-0005-0000-0000-0000D53C0000}"/>
    <cellStyle name="Normal 2 2 2 2 4 4 10" xfId="15574" xr:uid="{00000000-0005-0000-0000-0000D63C0000}"/>
    <cellStyle name="Normal 2 2 2 2 4 4 11" xfId="15575" xr:uid="{00000000-0005-0000-0000-0000D73C0000}"/>
    <cellStyle name="Normal 2 2 2 2 4 4 12" xfId="15576" xr:uid="{00000000-0005-0000-0000-0000D83C0000}"/>
    <cellStyle name="Normal 2 2 2 2 4 4 13" xfId="15577" xr:uid="{00000000-0005-0000-0000-0000D93C0000}"/>
    <cellStyle name="Normal 2 2 2 2 4 4 14" xfId="15578" xr:uid="{00000000-0005-0000-0000-0000DA3C0000}"/>
    <cellStyle name="Normal 2 2 2 2 4 4 2" xfId="15579" xr:uid="{00000000-0005-0000-0000-0000DB3C0000}"/>
    <cellStyle name="Normal 2 2 2 2 4 4 2 10" xfId="15580" xr:uid="{00000000-0005-0000-0000-0000DC3C0000}"/>
    <cellStyle name="Normal 2 2 2 2 4 4 2 2" xfId="15581" xr:uid="{00000000-0005-0000-0000-0000DD3C0000}"/>
    <cellStyle name="Normal 2 2 2 2 4 4 2 3" xfId="15582" xr:uid="{00000000-0005-0000-0000-0000DE3C0000}"/>
    <cellStyle name="Normal 2 2 2 2 4 4 2 4" xfId="15583" xr:uid="{00000000-0005-0000-0000-0000DF3C0000}"/>
    <cellStyle name="Normal 2 2 2 2 4 4 2 5" xfId="15584" xr:uid="{00000000-0005-0000-0000-0000E03C0000}"/>
    <cellStyle name="Normal 2 2 2 2 4 4 2 6" xfId="15585" xr:uid="{00000000-0005-0000-0000-0000E13C0000}"/>
    <cellStyle name="Normal 2 2 2 2 4 4 2 7" xfId="15586" xr:uid="{00000000-0005-0000-0000-0000E23C0000}"/>
    <cellStyle name="Normal 2 2 2 2 4 4 2 8" xfId="15587" xr:uid="{00000000-0005-0000-0000-0000E33C0000}"/>
    <cellStyle name="Normal 2 2 2 2 4 4 2 9" xfId="15588" xr:uid="{00000000-0005-0000-0000-0000E43C0000}"/>
    <cellStyle name="Normal 2 2 2 2 4 4 3" xfId="15589" xr:uid="{00000000-0005-0000-0000-0000E53C0000}"/>
    <cellStyle name="Normal 2 2 2 2 4 4 3 10" xfId="15590" xr:uid="{00000000-0005-0000-0000-0000E63C0000}"/>
    <cellStyle name="Normal 2 2 2 2 4 4 3 2" xfId="15591" xr:uid="{00000000-0005-0000-0000-0000E73C0000}"/>
    <cellStyle name="Normal 2 2 2 2 4 4 3 3" xfId="15592" xr:uid="{00000000-0005-0000-0000-0000E83C0000}"/>
    <cellStyle name="Normal 2 2 2 2 4 4 3 4" xfId="15593" xr:uid="{00000000-0005-0000-0000-0000E93C0000}"/>
    <cellStyle name="Normal 2 2 2 2 4 4 3 5" xfId="15594" xr:uid="{00000000-0005-0000-0000-0000EA3C0000}"/>
    <cellStyle name="Normal 2 2 2 2 4 4 3 6" xfId="15595" xr:uid="{00000000-0005-0000-0000-0000EB3C0000}"/>
    <cellStyle name="Normal 2 2 2 2 4 4 3 7" xfId="15596" xr:uid="{00000000-0005-0000-0000-0000EC3C0000}"/>
    <cellStyle name="Normal 2 2 2 2 4 4 3 8" xfId="15597" xr:uid="{00000000-0005-0000-0000-0000ED3C0000}"/>
    <cellStyle name="Normal 2 2 2 2 4 4 3 9" xfId="15598" xr:uid="{00000000-0005-0000-0000-0000EE3C0000}"/>
    <cellStyle name="Normal 2 2 2 2 4 4 4" xfId="15599" xr:uid="{00000000-0005-0000-0000-0000EF3C0000}"/>
    <cellStyle name="Normal 2 2 2 2 4 4 4 10" xfId="15600" xr:uid="{00000000-0005-0000-0000-0000F03C0000}"/>
    <cellStyle name="Normal 2 2 2 2 4 4 4 2" xfId="15601" xr:uid="{00000000-0005-0000-0000-0000F13C0000}"/>
    <cellStyle name="Normal 2 2 2 2 4 4 4 3" xfId="15602" xr:uid="{00000000-0005-0000-0000-0000F23C0000}"/>
    <cellStyle name="Normal 2 2 2 2 4 4 4 4" xfId="15603" xr:uid="{00000000-0005-0000-0000-0000F33C0000}"/>
    <cellStyle name="Normal 2 2 2 2 4 4 4 5" xfId="15604" xr:uid="{00000000-0005-0000-0000-0000F43C0000}"/>
    <cellStyle name="Normal 2 2 2 2 4 4 4 6" xfId="15605" xr:uid="{00000000-0005-0000-0000-0000F53C0000}"/>
    <cellStyle name="Normal 2 2 2 2 4 4 4 7" xfId="15606" xr:uid="{00000000-0005-0000-0000-0000F63C0000}"/>
    <cellStyle name="Normal 2 2 2 2 4 4 4 8" xfId="15607" xr:uid="{00000000-0005-0000-0000-0000F73C0000}"/>
    <cellStyle name="Normal 2 2 2 2 4 4 4 9" xfId="15608" xr:uid="{00000000-0005-0000-0000-0000F83C0000}"/>
    <cellStyle name="Normal 2 2 2 2 4 4 5" xfId="15609" xr:uid="{00000000-0005-0000-0000-0000F93C0000}"/>
    <cellStyle name="Normal 2 2 2 2 4 4 5 10" xfId="15610" xr:uid="{00000000-0005-0000-0000-0000FA3C0000}"/>
    <cellStyle name="Normal 2 2 2 2 4 4 5 2" xfId="15611" xr:uid="{00000000-0005-0000-0000-0000FB3C0000}"/>
    <cellStyle name="Normal 2 2 2 2 4 4 5 3" xfId="15612" xr:uid="{00000000-0005-0000-0000-0000FC3C0000}"/>
    <cellStyle name="Normal 2 2 2 2 4 4 5 4" xfId="15613" xr:uid="{00000000-0005-0000-0000-0000FD3C0000}"/>
    <cellStyle name="Normal 2 2 2 2 4 4 5 5" xfId="15614" xr:uid="{00000000-0005-0000-0000-0000FE3C0000}"/>
    <cellStyle name="Normal 2 2 2 2 4 4 5 6" xfId="15615" xr:uid="{00000000-0005-0000-0000-0000FF3C0000}"/>
    <cellStyle name="Normal 2 2 2 2 4 4 5 7" xfId="15616" xr:uid="{00000000-0005-0000-0000-0000003D0000}"/>
    <cellStyle name="Normal 2 2 2 2 4 4 5 8" xfId="15617" xr:uid="{00000000-0005-0000-0000-0000013D0000}"/>
    <cellStyle name="Normal 2 2 2 2 4 4 5 9" xfId="15618" xr:uid="{00000000-0005-0000-0000-0000023D0000}"/>
    <cellStyle name="Normal 2 2 2 2 4 4 6" xfId="15619" xr:uid="{00000000-0005-0000-0000-0000033D0000}"/>
    <cellStyle name="Normal 2 2 2 2 4 4 7" xfId="15620" xr:uid="{00000000-0005-0000-0000-0000043D0000}"/>
    <cellStyle name="Normal 2 2 2 2 4 4 8" xfId="15621" xr:uid="{00000000-0005-0000-0000-0000053D0000}"/>
    <cellStyle name="Normal 2 2 2 2 4 4 9" xfId="15622" xr:uid="{00000000-0005-0000-0000-0000063D0000}"/>
    <cellStyle name="Normal 2 2 2 2 4 5" xfId="15623" xr:uid="{00000000-0005-0000-0000-0000073D0000}"/>
    <cellStyle name="Normal 2 2 2 2 4 5 10" xfId="15624" xr:uid="{00000000-0005-0000-0000-0000083D0000}"/>
    <cellStyle name="Normal 2 2 2 2 4 5 11" xfId="15625" xr:uid="{00000000-0005-0000-0000-0000093D0000}"/>
    <cellStyle name="Normal 2 2 2 2 4 5 12" xfId="15626" xr:uid="{00000000-0005-0000-0000-00000A3D0000}"/>
    <cellStyle name="Normal 2 2 2 2 4 5 13" xfId="15627" xr:uid="{00000000-0005-0000-0000-00000B3D0000}"/>
    <cellStyle name="Normal 2 2 2 2 4 5 14" xfId="15628" xr:uid="{00000000-0005-0000-0000-00000C3D0000}"/>
    <cellStyle name="Normal 2 2 2 2 4 5 2" xfId="15629" xr:uid="{00000000-0005-0000-0000-00000D3D0000}"/>
    <cellStyle name="Normal 2 2 2 2 4 5 2 10" xfId="15630" xr:uid="{00000000-0005-0000-0000-00000E3D0000}"/>
    <cellStyle name="Normal 2 2 2 2 4 5 2 2" xfId="15631" xr:uid="{00000000-0005-0000-0000-00000F3D0000}"/>
    <cellStyle name="Normal 2 2 2 2 4 5 2 3" xfId="15632" xr:uid="{00000000-0005-0000-0000-0000103D0000}"/>
    <cellStyle name="Normal 2 2 2 2 4 5 2 4" xfId="15633" xr:uid="{00000000-0005-0000-0000-0000113D0000}"/>
    <cellStyle name="Normal 2 2 2 2 4 5 2 5" xfId="15634" xr:uid="{00000000-0005-0000-0000-0000123D0000}"/>
    <cellStyle name="Normal 2 2 2 2 4 5 2 6" xfId="15635" xr:uid="{00000000-0005-0000-0000-0000133D0000}"/>
    <cellStyle name="Normal 2 2 2 2 4 5 2 7" xfId="15636" xr:uid="{00000000-0005-0000-0000-0000143D0000}"/>
    <cellStyle name="Normal 2 2 2 2 4 5 2 8" xfId="15637" xr:uid="{00000000-0005-0000-0000-0000153D0000}"/>
    <cellStyle name="Normal 2 2 2 2 4 5 2 9" xfId="15638" xr:uid="{00000000-0005-0000-0000-0000163D0000}"/>
    <cellStyle name="Normal 2 2 2 2 4 5 3" xfId="15639" xr:uid="{00000000-0005-0000-0000-0000173D0000}"/>
    <cellStyle name="Normal 2 2 2 2 4 5 3 10" xfId="15640" xr:uid="{00000000-0005-0000-0000-0000183D0000}"/>
    <cellStyle name="Normal 2 2 2 2 4 5 3 2" xfId="15641" xr:uid="{00000000-0005-0000-0000-0000193D0000}"/>
    <cellStyle name="Normal 2 2 2 2 4 5 3 3" xfId="15642" xr:uid="{00000000-0005-0000-0000-00001A3D0000}"/>
    <cellStyle name="Normal 2 2 2 2 4 5 3 4" xfId="15643" xr:uid="{00000000-0005-0000-0000-00001B3D0000}"/>
    <cellStyle name="Normal 2 2 2 2 4 5 3 5" xfId="15644" xr:uid="{00000000-0005-0000-0000-00001C3D0000}"/>
    <cellStyle name="Normal 2 2 2 2 4 5 3 6" xfId="15645" xr:uid="{00000000-0005-0000-0000-00001D3D0000}"/>
    <cellStyle name="Normal 2 2 2 2 4 5 3 7" xfId="15646" xr:uid="{00000000-0005-0000-0000-00001E3D0000}"/>
    <cellStyle name="Normal 2 2 2 2 4 5 3 8" xfId="15647" xr:uid="{00000000-0005-0000-0000-00001F3D0000}"/>
    <cellStyle name="Normal 2 2 2 2 4 5 3 9" xfId="15648" xr:uid="{00000000-0005-0000-0000-0000203D0000}"/>
    <cellStyle name="Normal 2 2 2 2 4 5 4" xfId="15649" xr:uid="{00000000-0005-0000-0000-0000213D0000}"/>
    <cellStyle name="Normal 2 2 2 2 4 5 4 10" xfId="15650" xr:uid="{00000000-0005-0000-0000-0000223D0000}"/>
    <cellStyle name="Normal 2 2 2 2 4 5 4 2" xfId="15651" xr:uid="{00000000-0005-0000-0000-0000233D0000}"/>
    <cellStyle name="Normal 2 2 2 2 4 5 4 3" xfId="15652" xr:uid="{00000000-0005-0000-0000-0000243D0000}"/>
    <cellStyle name="Normal 2 2 2 2 4 5 4 4" xfId="15653" xr:uid="{00000000-0005-0000-0000-0000253D0000}"/>
    <cellStyle name="Normal 2 2 2 2 4 5 4 5" xfId="15654" xr:uid="{00000000-0005-0000-0000-0000263D0000}"/>
    <cellStyle name="Normal 2 2 2 2 4 5 4 6" xfId="15655" xr:uid="{00000000-0005-0000-0000-0000273D0000}"/>
    <cellStyle name="Normal 2 2 2 2 4 5 4 7" xfId="15656" xr:uid="{00000000-0005-0000-0000-0000283D0000}"/>
    <cellStyle name="Normal 2 2 2 2 4 5 4 8" xfId="15657" xr:uid="{00000000-0005-0000-0000-0000293D0000}"/>
    <cellStyle name="Normal 2 2 2 2 4 5 4 9" xfId="15658" xr:uid="{00000000-0005-0000-0000-00002A3D0000}"/>
    <cellStyle name="Normal 2 2 2 2 4 5 5" xfId="15659" xr:uid="{00000000-0005-0000-0000-00002B3D0000}"/>
    <cellStyle name="Normal 2 2 2 2 4 5 5 10" xfId="15660" xr:uid="{00000000-0005-0000-0000-00002C3D0000}"/>
    <cellStyle name="Normal 2 2 2 2 4 5 5 2" xfId="15661" xr:uid="{00000000-0005-0000-0000-00002D3D0000}"/>
    <cellStyle name="Normal 2 2 2 2 4 5 5 3" xfId="15662" xr:uid="{00000000-0005-0000-0000-00002E3D0000}"/>
    <cellStyle name="Normal 2 2 2 2 4 5 5 4" xfId="15663" xr:uid="{00000000-0005-0000-0000-00002F3D0000}"/>
    <cellStyle name="Normal 2 2 2 2 4 5 5 5" xfId="15664" xr:uid="{00000000-0005-0000-0000-0000303D0000}"/>
    <cellStyle name="Normal 2 2 2 2 4 5 5 6" xfId="15665" xr:uid="{00000000-0005-0000-0000-0000313D0000}"/>
    <cellStyle name="Normal 2 2 2 2 4 5 5 7" xfId="15666" xr:uid="{00000000-0005-0000-0000-0000323D0000}"/>
    <cellStyle name="Normal 2 2 2 2 4 5 5 8" xfId="15667" xr:uid="{00000000-0005-0000-0000-0000333D0000}"/>
    <cellStyle name="Normal 2 2 2 2 4 5 5 9" xfId="15668" xr:uid="{00000000-0005-0000-0000-0000343D0000}"/>
    <cellStyle name="Normal 2 2 2 2 4 5 6" xfId="15669" xr:uid="{00000000-0005-0000-0000-0000353D0000}"/>
    <cellStyle name="Normal 2 2 2 2 4 5 7" xfId="15670" xr:uid="{00000000-0005-0000-0000-0000363D0000}"/>
    <cellStyle name="Normal 2 2 2 2 4 5 8" xfId="15671" xr:uid="{00000000-0005-0000-0000-0000373D0000}"/>
    <cellStyle name="Normal 2 2 2 2 4 5 9" xfId="15672" xr:uid="{00000000-0005-0000-0000-0000383D0000}"/>
    <cellStyle name="Normal 2 2 2 2 4 6" xfId="15673" xr:uid="{00000000-0005-0000-0000-0000393D0000}"/>
    <cellStyle name="Normal 2 2 2 2 4 6 10" xfId="15674" xr:uid="{00000000-0005-0000-0000-00003A3D0000}"/>
    <cellStyle name="Normal 2 2 2 2 4 6 11" xfId="15675" xr:uid="{00000000-0005-0000-0000-00003B3D0000}"/>
    <cellStyle name="Normal 2 2 2 2 4 6 12" xfId="15676" xr:uid="{00000000-0005-0000-0000-00003C3D0000}"/>
    <cellStyle name="Normal 2 2 2 2 4 6 13" xfId="15677" xr:uid="{00000000-0005-0000-0000-00003D3D0000}"/>
    <cellStyle name="Normal 2 2 2 2 4 6 14" xfId="15678" xr:uid="{00000000-0005-0000-0000-00003E3D0000}"/>
    <cellStyle name="Normal 2 2 2 2 4 6 2" xfId="15679" xr:uid="{00000000-0005-0000-0000-00003F3D0000}"/>
    <cellStyle name="Normal 2 2 2 2 4 6 2 10" xfId="15680" xr:uid="{00000000-0005-0000-0000-0000403D0000}"/>
    <cellStyle name="Normal 2 2 2 2 4 6 2 2" xfId="15681" xr:uid="{00000000-0005-0000-0000-0000413D0000}"/>
    <cellStyle name="Normal 2 2 2 2 4 6 2 3" xfId="15682" xr:uid="{00000000-0005-0000-0000-0000423D0000}"/>
    <cellStyle name="Normal 2 2 2 2 4 6 2 4" xfId="15683" xr:uid="{00000000-0005-0000-0000-0000433D0000}"/>
    <cellStyle name="Normal 2 2 2 2 4 6 2 5" xfId="15684" xr:uid="{00000000-0005-0000-0000-0000443D0000}"/>
    <cellStyle name="Normal 2 2 2 2 4 6 2 6" xfId="15685" xr:uid="{00000000-0005-0000-0000-0000453D0000}"/>
    <cellStyle name="Normal 2 2 2 2 4 6 2 7" xfId="15686" xr:uid="{00000000-0005-0000-0000-0000463D0000}"/>
    <cellStyle name="Normal 2 2 2 2 4 6 2 8" xfId="15687" xr:uid="{00000000-0005-0000-0000-0000473D0000}"/>
    <cellStyle name="Normal 2 2 2 2 4 6 2 9" xfId="15688" xr:uid="{00000000-0005-0000-0000-0000483D0000}"/>
    <cellStyle name="Normal 2 2 2 2 4 6 3" xfId="15689" xr:uid="{00000000-0005-0000-0000-0000493D0000}"/>
    <cellStyle name="Normal 2 2 2 2 4 6 3 10" xfId="15690" xr:uid="{00000000-0005-0000-0000-00004A3D0000}"/>
    <cellStyle name="Normal 2 2 2 2 4 6 3 2" xfId="15691" xr:uid="{00000000-0005-0000-0000-00004B3D0000}"/>
    <cellStyle name="Normal 2 2 2 2 4 6 3 3" xfId="15692" xr:uid="{00000000-0005-0000-0000-00004C3D0000}"/>
    <cellStyle name="Normal 2 2 2 2 4 6 3 4" xfId="15693" xr:uid="{00000000-0005-0000-0000-00004D3D0000}"/>
    <cellStyle name="Normal 2 2 2 2 4 6 3 5" xfId="15694" xr:uid="{00000000-0005-0000-0000-00004E3D0000}"/>
    <cellStyle name="Normal 2 2 2 2 4 6 3 6" xfId="15695" xr:uid="{00000000-0005-0000-0000-00004F3D0000}"/>
    <cellStyle name="Normal 2 2 2 2 4 6 3 7" xfId="15696" xr:uid="{00000000-0005-0000-0000-0000503D0000}"/>
    <cellStyle name="Normal 2 2 2 2 4 6 3 8" xfId="15697" xr:uid="{00000000-0005-0000-0000-0000513D0000}"/>
    <cellStyle name="Normal 2 2 2 2 4 6 3 9" xfId="15698" xr:uid="{00000000-0005-0000-0000-0000523D0000}"/>
    <cellStyle name="Normal 2 2 2 2 4 6 4" xfId="15699" xr:uid="{00000000-0005-0000-0000-0000533D0000}"/>
    <cellStyle name="Normal 2 2 2 2 4 6 4 10" xfId="15700" xr:uid="{00000000-0005-0000-0000-0000543D0000}"/>
    <cellStyle name="Normal 2 2 2 2 4 6 4 2" xfId="15701" xr:uid="{00000000-0005-0000-0000-0000553D0000}"/>
    <cellStyle name="Normal 2 2 2 2 4 6 4 3" xfId="15702" xr:uid="{00000000-0005-0000-0000-0000563D0000}"/>
    <cellStyle name="Normal 2 2 2 2 4 6 4 4" xfId="15703" xr:uid="{00000000-0005-0000-0000-0000573D0000}"/>
    <cellStyle name="Normal 2 2 2 2 4 6 4 5" xfId="15704" xr:uid="{00000000-0005-0000-0000-0000583D0000}"/>
    <cellStyle name="Normal 2 2 2 2 4 6 4 6" xfId="15705" xr:uid="{00000000-0005-0000-0000-0000593D0000}"/>
    <cellStyle name="Normal 2 2 2 2 4 6 4 7" xfId="15706" xr:uid="{00000000-0005-0000-0000-00005A3D0000}"/>
    <cellStyle name="Normal 2 2 2 2 4 6 4 8" xfId="15707" xr:uid="{00000000-0005-0000-0000-00005B3D0000}"/>
    <cellStyle name="Normal 2 2 2 2 4 6 4 9" xfId="15708" xr:uid="{00000000-0005-0000-0000-00005C3D0000}"/>
    <cellStyle name="Normal 2 2 2 2 4 6 5" xfId="15709" xr:uid="{00000000-0005-0000-0000-00005D3D0000}"/>
    <cellStyle name="Normal 2 2 2 2 4 6 5 10" xfId="15710" xr:uid="{00000000-0005-0000-0000-00005E3D0000}"/>
    <cellStyle name="Normal 2 2 2 2 4 6 5 2" xfId="15711" xr:uid="{00000000-0005-0000-0000-00005F3D0000}"/>
    <cellStyle name="Normal 2 2 2 2 4 6 5 3" xfId="15712" xr:uid="{00000000-0005-0000-0000-0000603D0000}"/>
    <cellStyle name="Normal 2 2 2 2 4 6 5 4" xfId="15713" xr:uid="{00000000-0005-0000-0000-0000613D0000}"/>
    <cellStyle name="Normal 2 2 2 2 4 6 5 5" xfId="15714" xr:uid="{00000000-0005-0000-0000-0000623D0000}"/>
    <cellStyle name="Normal 2 2 2 2 4 6 5 6" xfId="15715" xr:uid="{00000000-0005-0000-0000-0000633D0000}"/>
    <cellStyle name="Normal 2 2 2 2 4 6 5 7" xfId="15716" xr:uid="{00000000-0005-0000-0000-0000643D0000}"/>
    <cellStyle name="Normal 2 2 2 2 4 6 5 8" xfId="15717" xr:uid="{00000000-0005-0000-0000-0000653D0000}"/>
    <cellStyle name="Normal 2 2 2 2 4 6 5 9" xfId="15718" xr:uid="{00000000-0005-0000-0000-0000663D0000}"/>
    <cellStyle name="Normal 2 2 2 2 4 6 6" xfId="15719" xr:uid="{00000000-0005-0000-0000-0000673D0000}"/>
    <cellStyle name="Normal 2 2 2 2 4 6 7" xfId="15720" xr:uid="{00000000-0005-0000-0000-0000683D0000}"/>
    <cellStyle name="Normal 2 2 2 2 4 6 8" xfId="15721" xr:uid="{00000000-0005-0000-0000-0000693D0000}"/>
    <cellStyle name="Normal 2 2 2 2 4 6 9" xfId="15722" xr:uid="{00000000-0005-0000-0000-00006A3D0000}"/>
    <cellStyle name="Normal 2 2 2 2 4 7" xfId="15723" xr:uid="{00000000-0005-0000-0000-00006B3D0000}"/>
    <cellStyle name="Normal 2 2 2 2 4 7 10" xfId="15724" xr:uid="{00000000-0005-0000-0000-00006C3D0000}"/>
    <cellStyle name="Normal 2 2 2 2 4 7 11" xfId="15725" xr:uid="{00000000-0005-0000-0000-00006D3D0000}"/>
    <cellStyle name="Normal 2 2 2 2 4 7 12" xfId="15726" xr:uid="{00000000-0005-0000-0000-00006E3D0000}"/>
    <cellStyle name="Normal 2 2 2 2 4 7 13" xfId="15727" xr:uid="{00000000-0005-0000-0000-00006F3D0000}"/>
    <cellStyle name="Normal 2 2 2 2 4 7 14" xfId="15728" xr:uid="{00000000-0005-0000-0000-0000703D0000}"/>
    <cellStyle name="Normal 2 2 2 2 4 7 2" xfId="15729" xr:uid="{00000000-0005-0000-0000-0000713D0000}"/>
    <cellStyle name="Normal 2 2 2 2 4 7 2 10" xfId="15730" xr:uid="{00000000-0005-0000-0000-0000723D0000}"/>
    <cellStyle name="Normal 2 2 2 2 4 7 2 2" xfId="15731" xr:uid="{00000000-0005-0000-0000-0000733D0000}"/>
    <cellStyle name="Normal 2 2 2 2 4 7 2 3" xfId="15732" xr:uid="{00000000-0005-0000-0000-0000743D0000}"/>
    <cellStyle name="Normal 2 2 2 2 4 7 2 4" xfId="15733" xr:uid="{00000000-0005-0000-0000-0000753D0000}"/>
    <cellStyle name="Normal 2 2 2 2 4 7 2 5" xfId="15734" xr:uid="{00000000-0005-0000-0000-0000763D0000}"/>
    <cellStyle name="Normal 2 2 2 2 4 7 2 6" xfId="15735" xr:uid="{00000000-0005-0000-0000-0000773D0000}"/>
    <cellStyle name="Normal 2 2 2 2 4 7 2 7" xfId="15736" xr:uid="{00000000-0005-0000-0000-0000783D0000}"/>
    <cellStyle name="Normal 2 2 2 2 4 7 2 8" xfId="15737" xr:uid="{00000000-0005-0000-0000-0000793D0000}"/>
    <cellStyle name="Normal 2 2 2 2 4 7 2 9" xfId="15738" xr:uid="{00000000-0005-0000-0000-00007A3D0000}"/>
    <cellStyle name="Normal 2 2 2 2 4 7 3" xfId="15739" xr:uid="{00000000-0005-0000-0000-00007B3D0000}"/>
    <cellStyle name="Normal 2 2 2 2 4 7 3 10" xfId="15740" xr:uid="{00000000-0005-0000-0000-00007C3D0000}"/>
    <cellStyle name="Normal 2 2 2 2 4 7 3 2" xfId="15741" xr:uid="{00000000-0005-0000-0000-00007D3D0000}"/>
    <cellStyle name="Normal 2 2 2 2 4 7 3 3" xfId="15742" xr:uid="{00000000-0005-0000-0000-00007E3D0000}"/>
    <cellStyle name="Normal 2 2 2 2 4 7 3 4" xfId="15743" xr:uid="{00000000-0005-0000-0000-00007F3D0000}"/>
    <cellStyle name="Normal 2 2 2 2 4 7 3 5" xfId="15744" xr:uid="{00000000-0005-0000-0000-0000803D0000}"/>
    <cellStyle name="Normal 2 2 2 2 4 7 3 6" xfId="15745" xr:uid="{00000000-0005-0000-0000-0000813D0000}"/>
    <cellStyle name="Normal 2 2 2 2 4 7 3 7" xfId="15746" xr:uid="{00000000-0005-0000-0000-0000823D0000}"/>
    <cellStyle name="Normal 2 2 2 2 4 7 3 8" xfId="15747" xr:uid="{00000000-0005-0000-0000-0000833D0000}"/>
    <cellStyle name="Normal 2 2 2 2 4 7 3 9" xfId="15748" xr:uid="{00000000-0005-0000-0000-0000843D0000}"/>
    <cellStyle name="Normal 2 2 2 2 4 7 4" xfId="15749" xr:uid="{00000000-0005-0000-0000-0000853D0000}"/>
    <cellStyle name="Normal 2 2 2 2 4 7 4 10" xfId="15750" xr:uid="{00000000-0005-0000-0000-0000863D0000}"/>
    <cellStyle name="Normal 2 2 2 2 4 7 4 2" xfId="15751" xr:uid="{00000000-0005-0000-0000-0000873D0000}"/>
    <cellStyle name="Normal 2 2 2 2 4 7 4 3" xfId="15752" xr:uid="{00000000-0005-0000-0000-0000883D0000}"/>
    <cellStyle name="Normal 2 2 2 2 4 7 4 4" xfId="15753" xr:uid="{00000000-0005-0000-0000-0000893D0000}"/>
    <cellStyle name="Normal 2 2 2 2 4 7 4 5" xfId="15754" xr:uid="{00000000-0005-0000-0000-00008A3D0000}"/>
    <cellStyle name="Normal 2 2 2 2 4 7 4 6" xfId="15755" xr:uid="{00000000-0005-0000-0000-00008B3D0000}"/>
    <cellStyle name="Normal 2 2 2 2 4 7 4 7" xfId="15756" xr:uid="{00000000-0005-0000-0000-00008C3D0000}"/>
    <cellStyle name="Normal 2 2 2 2 4 7 4 8" xfId="15757" xr:uid="{00000000-0005-0000-0000-00008D3D0000}"/>
    <cellStyle name="Normal 2 2 2 2 4 7 4 9" xfId="15758" xr:uid="{00000000-0005-0000-0000-00008E3D0000}"/>
    <cellStyle name="Normal 2 2 2 2 4 7 5" xfId="15759" xr:uid="{00000000-0005-0000-0000-00008F3D0000}"/>
    <cellStyle name="Normal 2 2 2 2 4 7 5 10" xfId="15760" xr:uid="{00000000-0005-0000-0000-0000903D0000}"/>
    <cellStyle name="Normal 2 2 2 2 4 7 5 2" xfId="15761" xr:uid="{00000000-0005-0000-0000-0000913D0000}"/>
    <cellStyle name="Normal 2 2 2 2 4 7 5 3" xfId="15762" xr:uid="{00000000-0005-0000-0000-0000923D0000}"/>
    <cellStyle name="Normal 2 2 2 2 4 7 5 4" xfId="15763" xr:uid="{00000000-0005-0000-0000-0000933D0000}"/>
    <cellStyle name="Normal 2 2 2 2 4 7 5 5" xfId="15764" xr:uid="{00000000-0005-0000-0000-0000943D0000}"/>
    <cellStyle name="Normal 2 2 2 2 4 7 5 6" xfId="15765" xr:uid="{00000000-0005-0000-0000-0000953D0000}"/>
    <cellStyle name="Normal 2 2 2 2 4 7 5 7" xfId="15766" xr:uid="{00000000-0005-0000-0000-0000963D0000}"/>
    <cellStyle name="Normal 2 2 2 2 4 7 5 8" xfId="15767" xr:uid="{00000000-0005-0000-0000-0000973D0000}"/>
    <cellStyle name="Normal 2 2 2 2 4 7 5 9" xfId="15768" xr:uid="{00000000-0005-0000-0000-0000983D0000}"/>
    <cellStyle name="Normal 2 2 2 2 4 7 6" xfId="15769" xr:uid="{00000000-0005-0000-0000-0000993D0000}"/>
    <cellStyle name="Normal 2 2 2 2 4 7 7" xfId="15770" xr:uid="{00000000-0005-0000-0000-00009A3D0000}"/>
    <cellStyle name="Normal 2 2 2 2 4 7 8" xfId="15771" xr:uid="{00000000-0005-0000-0000-00009B3D0000}"/>
    <cellStyle name="Normal 2 2 2 2 4 7 9" xfId="15772" xr:uid="{00000000-0005-0000-0000-00009C3D0000}"/>
    <cellStyle name="Normal 2 2 2 2 4 8" xfId="15773" xr:uid="{00000000-0005-0000-0000-00009D3D0000}"/>
    <cellStyle name="Normal 2 2 2 2 4 8 10" xfId="15774" xr:uid="{00000000-0005-0000-0000-00009E3D0000}"/>
    <cellStyle name="Normal 2 2 2 2 4 8 11" xfId="15775" xr:uid="{00000000-0005-0000-0000-00009F3D0000}"/>
    <cellStyle name="Normal 2 2 2 2 4 8 12" xfId="15776" xr:uid="{00000000-0005-0000-0000-0000A03D0000}"/>
    <cellStyle name="Normal 2 2 2 2 4 8 13" xfId="15777" xr:uid="{00000000-0005-0000-0000-0000A13D0000}"/>
    <cellStyle name="Normal 2 2 2 2 4 8 14" xfId="15778" xr:uid="{00000000-0005-0000-0000-0000A23D0000}"/>
    <cellStyle name="Normal 2 2 2 2 4 8 2" xfId="15779" xr:uid="{00000000-0005-0000-0000-0000A33D0000}"/>
    <cellStyle name="Normal 2 2 2 2 4 8 2 10" xfId="15780" xr:uid="{00000000-0005-0000-0000-0000A43D0000}"/>
    <cellStyle name="Normal 2 2 2 2 4 8 2 2" xfId="15781" xr:uid="{00000000-0005-0000-0000-0000A53D0000}"/>
    <cellStyle name="Normal 2 2 2 2 4 8 2 3" xfId="15782" xr:uid="{00000000-0005-0000-0000-0000A63D0000}"/>
    <cellStyle name="Normal 2 2 2 2 4 8 2 4" xfId="15783" xr:uid="{00000000-0005-0000-0000-0000A73D0000}"/>
    <cellStyle name="Normal 2 2 2 2 4 8 2 5" xfId="15784" xr:uid="{00000000-0005-0000-0000-0000A83D0000}"/>
    <cellStyle name="Normal 2 2 2 2 4 8 2 6" xfId="15785" xr:uid="{00000000-0005-0000-0000-0000A93D0000}"/>
    <cellStyle name="Normal 2 2 2 2 4 8 2 7" xfId="15786" xr:uid="{00000000-0005-0000-0000-0000AA3D0000}"/>
    <cellStyle name="Normal 2 2 2 2 4 8 2 8" xfId="15787" xr:uid="{00000000-0005-0000-0000-0000AB3D0000}"/>
    <cellStyle name="Normal 2 2 2 2 4 8 2 9" xfId="15788" xr:uid="{00000000-0005-0000-0000-0000AC3D0000}"/>
    <cellStyle name="Normal 2 2 2 2 4 8 3" xfId="15789" xr:uid="{00000000-0005-0000-0000-0000AD3D0000}"/>
    <cellStyle name="Normal 2 2 2 2 4 8 3 10" xfId="15790" xr:uid="{00000000-0005-0000-0000-0000AE3D0000}"/>
    <cellStyle name="Normal 2 2 2 2 4 8 3 2" xfId="15791" xr:uid="{00000000-0005-0000-0000-0000AF3D0000}"/>
    <cellStyle name="Normal 2 2 2 2 4 8 3 3" xfId="15792" xr:uid="{00000000-0005-0000-0000-0000B03D0000}"/>
    <cellStyle name="Normal 2 2 2 2 4 8 3 4" xfId="15793" xr:uid="{00000000-0005-0000-0000-0000B13D0000}"/>
    <cellStyle name="Normal 2 2 2 2 4 8 3 5" xfId="15794" xr:uid="{00000000-0005-0000-0000-0000B23D0000}"/>
    <cellStyle name="Normal 2 2 2 2 4 8 3 6" xfId="15795" xr:uid="{00000000-0005-0000-0000-0000B33D0000}"/>
    <cellStyle name="Normal 2 2 2 2 4 8 3 7" xfId="15796" xr:uid="{00000000-0005-0000-0000-0000B43D0000}"/>
    <cellStyle name="Normal 2 2 2 2 4 8 3 8" xfId="15797" xr:uid="{00000000-0005-0000-0000-0000B53D0000}"/>
    <cellStyle name="Normal 2 2 2 2 4 8 3 9" xfId="15798" xr:uid="{00000000-0005-0000-0000-0000B63D0000}"/>
    <cellStyle name="Normal 2 2 2 2 4 8 4" xfId="15799" xr:uid="{00000000-0005-0000-0000-0000B73D0000}"/>
    <cellStyle name="Normal 2 2 2 2 4 8 4 10" xfId="15800" xr:uid="{00000000-0005-0000-0000-0000B83D0000}"/>
    <cellStyle name="Normal 2 2 2 2 4 8 4 2" xfId="15801" xr:uid="{00000000-0005-0000-0000-0000B93D0000}"/>
    <cellStyle name="Normal 2 2 2 2 4 8 4 3" xfId="15802" xr:uid="{00000000-0005-0000-0000-0000BA3D0000}"/>
    <cellStyle name="Normal 2 2 2 2 4 8 4 4" xfId="15803" xr:uid="{00000000-0005-0000-0000-0000BB3D0000}"/>
    <cellStyle name="Normal 2 2 2 2 4 8 4 5" xfId="15804" xr:uid="{00000000-0005-0000-0000-0000BC3D0000}"/>
    <cellStyle name="Normal 2 2 2 2 4 8 4 6" xfId="15805" xr:uid="{00000000-0005-0000-0000-0000BD3D0000}"/>
    <cellStyle name="Normal 2 2 2 2 4 8 4 7" xfId="15806" xr:uid="{00000000-0005-0000-0000-0000BE3D0000}"/>
    <cellStyle name="Normal 2 2 2 2 4 8 4 8" xfId="15807" xr:uid="{00000000-0005-0000-0000-0000BF3D0000}"/>
    <cellStyle name="Normal 2 2 2 2 4 8 4 9" xfId="15808" xr:uid="{00000000-0005-0000-0000-0000C03D0000}"/>
    <cellStyle name="Normal 2 2 2 2 4 8 5" xfId="15809" xr:uid="{00000000-0005-0000-0000-0000C13D0000}"/>
    <cellStyle name="Normal 2 2 2 2 4 8 5 10" xfId="15810" xr:uid="{00000000-0005-0000-0000-0000C23D0000}"/>
    <cellStyle name="Normal 2 2 2 2 4 8 5 2" xfId="15811" xr:uid="{00000000-0005-0000-0000-0000C33D0000}"/>
    <cellStyle name="Normal 2 2 2 2 4 8 5 3" xfId="15812" xr:uid="{00000000-0005-0000-0000-0000C43D0000}"/>
    <cellStyle name="Normal 2 2 2 2 4 8 5 4" xfId="15813" xr:uid="{00000000-0005-0000-0000-0000C53D0000}"/>
    <cellStyle name="Normal 2 2 2 2 4 8 5 5" xfId="15814" xr:uid="{00000000-0005-0000-0000-0000C63D0000}"/>
    <cellStyle name="Normal 2 2 2 2 4 8 5 6" xfId="15815" xr:uid="{00000000-0005-0000-0000-0000C73D0000}"/>
    <cellStyle name="Normal 2 2 2 2 4 8 5 7" xfId="15816" xr:uid="{00000000-0005-0000-0000-0000C83D0000}"/>
    <cellStyle name="Normal 2 2 2 2 4 8 5 8" xfId="15817" xr:uid="{00000000-0005-0000-0000-0000C93D0000}"/>
    <cellStyle name="Normal 2 2 2 2 4 8 5 9" xfId="15818" xr:uid="{00000000-0005-0000-0000-0000CA3D0000}"/>
    <cellStyle name="Normal 2 2 2 2 4 8 6" xfId="15819" xr:uid="{00000000-0005-0000-0000-0000CB3D0000}"/>
    <cellStyle name="Normal 2 2 2 2 4 8 7" xfId="15820" xr:uid="{00000000-0005-0000-0000-0000CC3D0000}"/>
    <cellStyle name="Normal 2 2 2 2 4 8 8" xfId="15821" xr:uid="{00000000-0005-0000-0000-0000CD3D0000}"/>
    <cellStyle name="Normal 2 2 2 2 4 8 9" xfId="15822" xr:uid="{00000000-0005-0000-0000-0000CE3D0000}"/>
    <cellStyle name="Normal 2 2 2 2 4 9" xfId="15823" xr:uid="{00000000-0005-0000-0000-0000CF3D0000}"/>
    <cellStyle name="Normal 2 2 2 2 4 9 10" xfId="15824" xr:uid="{00000000-0005-0000-0000-0000D03D0000}"/>
    <cellStyle name="Normal 2 2 2 2 4 9 11" xfId="15825" xr:uid="{00000000-0005-0000-0000-0000D13D0000}"/>
    <cellStyle name="Normal 2 2 2 2 4 9 12" xfId="15826" xr:uid="{00000000-0005-0000-0000-0000D23D0000}"/>
    <cellStyle name="Normal 2 2 2 2 4 9 13" xfId="15827" xr:uid="{00000000-0005-0000-0000-0000D33D0000}"/>
    <cellStyle name="Normal 2 2 2 2 4 9 14" xfId="15828" xr:uid="{00000000-0005-0000-0000-0000D43D0000}"/>
    <cellStyle name="Normal 2 2 2 2 4 9 2" xfId="15829" xr:uid="{00000000-0005-0000-0000-0000D53D0000}"/>
    <cellStyle name="Normal 2 2 2 2 4 9 2 10" xfId="15830" xr:uid="{00000000-0005-0000-0000-0000D63D0000}"/>
    <cellStyle name="Normal 2 2 2 2 4 9 2 2" xfId="15831" xr:uid="{00000000-0005-0000-0000-0000D73D0000}"/>
    <cellStyle name="Normal 2 2 2 2 4 9 2 3" xfId="15832" xr:uid="{00000000-0005-0000-0000-0000D83D0000}"/>
    <cellStyle name="Normal 2 2 2 2 4 9 2 4" xfId="15833" xr:uid="{00000000-0005-0000-0000-0000D93D0000}"/>
    <cellStyle name="Normal 2 2 2 2 4 9 2 5" xfId="15834" xr:uid="{00000000-0005-0000-0000-0000DA3D0000}"/>
    <cellStyle name="Normal 2 2 2 2 4 9 2 6" xfId="15835" xr:uid="{00000000-0005-0000-0000-0000DB3D0000}"/>
    <cellStyle name="Normal 2 2 2 2 4 9 2 7" xfId="15836" xr:uid="{00000000-0005-0000-0000-0000DC3D0000}"/>
    <cellStyle name="Normal 2 2 2 2 4 9 2 8" xfId="15837" xr:uid="{00000000-0005-0000-0000-0000DD3D0000}"/>
    <cellStyle name="Normal 2 2 2 2 4 9 2 9" xfId="15838" xr:uid="{00000000-0005-0000-0000-0000DE3D0000}"/>
    <cellStyle name="Normal 2 2 2 2 4 9 3" xfId="15839" xr:uid="{00000000-0005-0000-0000-0000DF3D0000}"/>
    <cellStyle name="Normal 2 2 2 2 4 9 3 10" xfId="15840" xr:uid="{00000000-0005-0000-0000-0000E03D0000}"/>
    <cellStyle name="Normal 2 2 2 2 4 9 3 2" xfId="15841" xr:uid="{00000000-0005-0000-0000-0000E13D0000}"/>
    <cellStyle name="Normal 2 2 2 2 4 9 3 3" xfId="15842" xr:uid="{00000000-0005-0000-0000-0000E23D0000}"/>
    <cellStyle name="Normal 2 2 2 2 4 9 3 4" xfId="15843" xr:uid="{00000000-0005-0000-0000-0000E33D0000}"/>
    <cellStyle name="Normal 2 2 2 2 4 9 3 5" xfId="15844" xr:uid="{00000000-0005-0000-0000-0000E43D0000}"/>
    <cellStyle name="Normal 2 2 2 2 4 9 3 6" xfId="15845" xr:uid="{00000000-0005-0000-0000-0000E53D0000}"/>
    <cellStyle name="Normal 2 2 2 2 4 9 3 7" xfId="15846" xr:uid="{00000000-0005-0000-0000-0000E63D0000}"/>
    <cellStyle name="Normal 2 2 2 2 4 9 3 8" xfId="15847" xr:uid="{00000000-0005-0000-0000-0000E73D0000}"/>
    <cellStyle name="Normal 2 2 2 2 4 9 3 9" xfId="15848" xr:uid="{00000000-0005-0000-0000-0000E83D0000}"/>
    <cellStyle name="Normal 2 2 2 2 4 9 4" xfId="15849" xr:uid="{00000000-0005-0000-0000-0000E93D0000}"/>
    <cellStyle name="Normal 2 2 2 2 4 9 4 10" xfId="15850" xr:uid="{00000000-0005-0000-0000-0000EA3D0000}"/>
    <cellStyle name="Normal 2 2 2 2 4 9 4 2" xfId="15851" xr:uid="{00000000-0005-0000-0000-0000EB3D0000}"/>
    <cellStyle name="Normal 2 2 2 2 4 9 4 3" xfId="15852" xr:uid="{00000000-0005-0000-0000-0000EC3D0000}"/>
    <cellStyle name="Normal 2 2 2 2 4 9 4 4" xfId="15853" xr:uid="{00000000-0005-0000-0000-0000ED3D0000}"/>
    <cellStyle name="Normal 2 2 2 2 4 9 4 5" xfId="15854" xr:uid="{00000000-0005-0000-0000-0000EE3D0000}"/>
    <cellStyle name="Normal 2 2 2 2 4 9 4 6" xfId="15855" xr:uid="{00000000-0005-0000-0000-0000EF3D0000}"/>
    <cellStyle name="Normal 2 2 2 2 4 9 4 7" xfId="15856" xr:uid="{00000000-0005-0000-0000-0000F03D0000}"/>
    <cellStyle name="Normal 2 2 2 2 4 9 4 8" xfId="15857" xr:uid="{00000000-0005-0000-0000-0000F13D0000}"/>
    <cellStyle name="Normal 2 2 2 2 4 9 4 9" xfId="15858" xr:uid="{00000000-0005-0000-0000-0000F23D0000}"/>
    <cellStyle name="Normal 2 2 2 2 4 9 5" xfId="15859" xr:uid="{00000000-0005-0000-0000-0000F33D0000}"/>
    <cellStyle name="Normal 2 2 2 2 4 9 5 10" xfId="15860" xr:uid="{00000000-0005-0000-0000-0000F43D0000}"/>
    <cellStyle name="Normal 2 2 2 2 4 9 5 2" xfId="15861" xr:uid="{00000000-0005-0000-0000-0000F53D0000}"/>
    <cellStyle name="Normal 2 2 2 2 4 9 5 3" xfId="15862" xr:uid="{00000000-0005-0000-0000-0000F63D0000}"/>
    <cellStyle name="Normal 2 2 2 2 4 9 5 4" xfId="15863" xr:uid="{00000000-0005-0000-0000-0000F73D0000}"/>
    <cellStyle name="Normal 2 2 2 2 4 9 5 5" xfId="15864" xr:uid="{00000000-0005-0000-0000-0000F83D0000}"/>
    <cellStyle name="Normal 2 2 2 2 4 9 5 6" xfId="15865" xr:uid="{00000000-0005-0000-0000-0000F93D0000}"/>
    <cellStyle name="Normal 2 2 2 2 4 9 5 7" xfId="15866" xr:uid="{00000000-0005-0000-0000-0000FA3D0000}"/>
    <cellStyle name="Normal 2 2 2 2 4 9 5 8" xfId="15867" xr:uid="{00000000-0005-0000-0000-0000FB3D0000}"/>
    <cellStyle name="Normal 2 2 2 2 4 9 5 9" xfId="15868" xr:uid="{00000000-0005-0000-0000-0000FC3D0000}"/>
    <cellStyle name="Normal 2 2 2 2 4 9 6" xfId="15869" xr:uid="{00000000-0005-0000-0000-0000FD3D0000}"/>
    <cellStyle name="Normal 2 2 2 2 4 9 7" xfId="15870" xr:uid="{00000000-0005-0000-0000-0000FE3D0000}"/>
    <cellStyle name="Normal 2 2 2 2 4 9 8" xfId="15871" xr:uid="{00000000-0005-0000-0000-0000FF3D0000}"/>
    <cellStyle name="Normal 2 2 2 2 4 9 9" xfId="15872" xr:uid="{00000000-0005-0000-0000-0000003E0000}"/>
    <cellStyle name="Normal 2 2 2 2 40" xfId="15873" xr:uid="{00000000-0005-0000-0000-0000013E0000}"/>
    <cellStyle name="Normal 2 2 2 2 40 10" xfId="15874" xr:uid="{00000000-0005-0000-0000-0000023E0000}"/>
    <cellStyle name="Normal 2 2 2 2 40 2" xfId="15875" xr:uid="{00000000-0005-0000-0000-0000033E0000}"/>
    <cellStyle name="Normal 2 2 2 2 40 3" xfId="15876" xr:uid="{00000000-0005-0000-0000-0000043E0000}"/>
    <cellStyle name="Normal 2 2 2 2 40 4" xfId="15877" xr:uid="{00000000-0005-0000-0000-0000053E0000}"/>
    <cellStyle name="Normal 2 2 2 2 40 5" xfId="15878" xr:uid="{00000000-0005-0000-0000-0000063E0000}"/>
    <cellStyle name="Normal 2 2 2 2 40 6" xfId="15879" xr:uid="{00000000-0005-0000-0000-0000073E0000}"/>
    <cellStyle name="Normal 2 2 2 2 40 7" xfId="15880" xr:uid="{00000000-0005-0000-0000-0000083E0000}"/>
    <cellStyle name="Normal 2 2 2 2 40 8" xfId="15881" xr:uid="{00000000-0005-0000-0000-0000093E0000}"/>
    <cellStyle name="Normal 2 2 2 2 40 9" xfId="15882" xr:uid="{00000000-0005-0000-0000-00000A3E0000}"/>
    <cellStyle name="Normal 2 2 2 2 41" xfId="15883" xr:uid="{00000000-0005-0000-0000-00000B3E0000}"/>
    <cellStyle name="Normal 2 2 2 2 42" xfId="15884" xr:uid="{00000000-0005-0000-0000-00000C3E0000}"/>
    <cellStyle name="Normal 2 2 2 2 43" xfId="15885" xr:uid="{00000000-0005-0000-0000-00000D3E0000}"/>
    <cellStyle name="Normal 2 2 2 2 44" xfId="15886" xr:uid="{00000000-0005-0000-0000-00000E3E0000}"/>
    <cellStyle name="Normal 2 2 2 2 45" xfId="15887" xr:uid="{00000000-0005-0000-0000-00000F3E0000}"/>
    <cellStyle name="Normal 2 2 2 2 46" xfId="15888" xr:uid="{00000000-0005-0000-0000-0000103E0000}"/>
    <cellStyle name="Normal 2 2 2 2 47" xfId="15889" xr:uid="{00000000-0005-0000-0000-0000113E0000}"/>
    <cellStyle name="Normal 2 2 2 2 48" xfId="15890" xr:uid="{00000000-0005-0000-0000-0000123E0000}"/>
    <cellStyle name="Normal 2 2 2 2 49" xfId="15891" xr:uid="{00000000-0005-0000-0000-0000133E0000}"/>
    <cellStyle name="Normal 2 2 2 2 5" xfId="15892" xr:uid="{00000000-0005-0000-0000-0000143E0000}"/>
    <cellStyle name="Normal 2 2 2 2 5 10" xfId="15893" xr:uid="{00000000-0005-0000-0000-0000153E0000}"/>
    <cellStyle name="Normal 2 2 2 2 5 10 10" xfId="15894" xr:uid="{00000000-0005-0000-0000-0000163E0000}"/>
    <cellStyle name="Normal 2 2 2 2 5 10 11" xfId="15895" xr:uid="{00000000-0005-0000-0000-0000173E0000}"/>
    <cellStyle name="Normal 2 2 2 2 5 10 12" xfId="15896" xr:uid="{00000000-0005-0000-0000-0000183E0000}"/>
    <cellStyle name="Normal 2 2 2 2 5 10 13" xfId="15897" xr:uid="{00000000-0005-0000-0000-0000193E0000}"/>
    <cellStyle name="Normal 2 2 2 2 5 10 14" xfId="15898" xr:uid="{00000000-0005-0000-0000-00001A3E0000}"/>
    <cellStyle name="Normal 2 2 2 2 5 10 2" xfId="15899" xr:uid="{00000000-0005-0000-0000-00001B3E0000}"/>
    <cellStyle name="Normal 2 2 2 2 5 10 2 10" xfId="15900" xr:uid="{00000000-0005-0000-0000-00001C3E0000}"/>
    <cellStyle name="Normal 2 2 2 2 5 10 2 2" xfId="15901" xr:uid="{00000000-0005-0000-0000-00001D3E0000}"/>
    <cellStyle name="Normal 2 2 2 2 5 10 2 3" xfId="15902" xr:uid="{00000000-0005-0000-0000-00001E3E0000}"/>
    <cellStyle name="Normal 2 2 2 2 5 10 2 4" xfId="15903" xr:uid="{00000000-0005-0000-0000-00001F3E0000}"/>
    <cellStyle name="Normal 2 2 2 2 5 10 2 5" xfId="15904" xr:uid="{00000000-0005-0000-0000-0000203E0000}"/>
    <cellStyle name="Normal 2 2 2 2 5 10 2 6" xfId="15905" xr:uid="{00000000-0005-0000-0000-0000213E0000}"/>
    <cellStyle name="Normal 2 2 2 2 5 10 2 7" xfId="15906" xr:uid="{00000000-0005-0000-0000-0000223E0000}"/>
    <cellStyle name="Normal 2 2 2 2 5 10 2 8" xfId="15907" xr:uid="{00000000-0005-0000-0000-0000233E0000}"/>
    <cellStyle name="Normal 2 2 2 2 5 10 2 9" xfId="15908" xr:uid="{00000000-0005-0000-0000-0000243E0000}"/>
    <cellStyle name="Normal 2 2 2 2 5 10 3" xfId="15909" xr:uid="{00000000-0005-0000-0000-0000253E0000}"/>
    <cellStyle name="Normal 2 2 2 2 5 10 3 10" xfId="15910" xr:uid="{00000000-0005-0000-0000-0000263E0000}"/>
    <cellStyle name="Normal 2 2 2 2 5 10 3 2" xfId="15911" xr:uid="{00000000-0005-0000-0000-0000273E0000}"/>
    <cellStyle name="Normal 2 2 2 2 5 10 3 3" xfId="15912" xr:uid="{00000000-0005-0000-0000-0000283E0000}"/>
    <cellStyle name="Normal 2 2 2 2 5 10 3 4" xfId="15913" xr:uid="{00000000-0005-0000-0000-0000293E0000}"/>
    <cellStyle name="Normal 2 2 2 2 5 10 3 5" xfId="15914" xr:uid="{00000000-0005-0000-0000-00002A3E0000}"/>
    <cellStyle name="Normal 2 2 2 2 5 10 3 6" xfId="15915" xr:uid="{00000000-0005-0000-0000-00002B3E0000}"/>
    <cellStyle name="Normal 2 2 2 2 5 10 3 7" xfId="15916" xr:uid="{00000000-0005-0000-0000-00002C3E0000}"/>
    <cellStyle name="Normal 2 2 2 2 5 10 3 8" xfId="15917" xr:uid="{00000000-0005-0000-0000-00002D3E0000}"/>
    <cellStyle name="Normal 2 2 2 2 5 10 3 9" xfId="15918" xr:uid="{00000000-0005-0000-0000-00002E3E0000}"/>
    <cellStyle name="Normal 2 2 2 2 5 10 4" xfId="15919" xr:uid="{00000000-0005-0000-0000-00002F3E0000}"/>
    <cellStyle name="Normal 2 2 2 2 5 10 4 10" xfId="15920" xr:uid="{00000000-0005-0000-0000-0000303E0000}"/>
    <cellStyle name="Normal 2 2 2 2 5 10 4 2" xfId="15921" xr:uid="{00000000-0005-0000-0000-0000313E0000}"/>
    <cellStyle name="Normal 2 2 2 2 5 10 4 3" xfId="15922" xr:uid="{00000000-0005-0000-0000-0000323E0000}"/>
    <cellStyle name="Normal 2 2 2 2 5 10 4 4" xfId="15923" xr:uid="{00000000-0005-0000-0000-0000333E0000}"/>
    <cellStyle name="Normal 2 2 2 2 5 10 4 5" xfId="15924" xr:uid="{00000000-0005-0000-0000-0000343E0000}"/>
    <cellStyle name="Normal 2 2 2 2 5 10 4 6" xfId="15925" xr:uid="{00000000-0005-0000-0000-0000353E0000}"/>
    <cellStyle name="Normal 2 2 2 2 5 10 4 7" xfId="15926" xr:uid="{00000000-0005-0000-0000-0000363E0000}"/>
    <cellStyle name="Normal 2 2 2 2 5 10 4 8" xfId="15927" xr:uid="{00000000-0005-0000-0000-0000373E0000}"/>
    <cellStyle name="Normal 2 2 2 2 5 10 4 9" xfId="15928" xr:uid="{00000000-0005-0000-0000-0000383E0000}"/>
    <cellStyle name="Normal 2 2 2 2 5 10 5" xfId="15929" xr:uid="{00000000-0005-0000-0000-0000393E0000}"/>
    <cellStyle name="Normal 2 2 2 2 5 10 5 10" xfId="15930" xr:uid="{00000000-0005-0000-0000-00003A3E0000}"/>
    <cellStyle name="Normal 2 2 2 2 5 10 5 2" xfId="15931" xr:uid="{00000000-0005-0000-0000-00003B3E0000}"/>
    <cellStyle name="Normal 2 2 2 2 5 10 5 3" xfId="15932" xr:uid="{00000000-0005-0000-0000-00003C3E0000}"/>
    <cellStyle name="Normal 2 2 2 2 5 10 5 4" xfId="15933" xr:uid="{00000000-0005-0000-0000-00003D3E0000}"/>
    <cellStyle name="Normal 2 2 2 2 5 10 5 5" xfId="15934" xr:uid="{00000000-0005-0000-0000-00003E3E0000}"/>
    <cellStyle name="Normal 2 2 2 2 5 10 5 6" xfId="15935" xr:uid="{00000000-0005-0000-0000-00003F3E0000}"/>
    <cellStyle name="Normal 2 2 2 2 5 10 5 7" xfId="15936" xr:uid="{00000000-0005-0000-0000-0000403E0000}"/>
    <cellStyle name="Normal 2 2 2 2 5 10 5 8" xfId="15937" xr:uid="{00000000-0005-0000-0000-0000413E0000}"/>
    <cellStyle name="Normal 2 2 2 2 5 10 5 9" xfId="15938" xr:uid="{00000000-0005-0000-0000-0000423E0000}"/>
    <cellStyle name="Normal 2 2 2 2 5 10 6" xfId="15939" xr:uid="{00000000-0005-0000-0000-0000433E0000}"/>
    <cellStyle name="Normal 2 2 2 2 5 10 7" xfId="15940" xr:uid="{00000000-0005-0000-0000-0000443E0000}"/>
    <cellStyle name="Normal 2 2 2 2 5 10 8" xfId="15941" xr:uid="{00000000-0005-0000-0000-0000453E0000}"/>
    <cellStyle name="Normal 2 2 2 2 5 10 9" xfId="15942" xr:uid="{00000000-0005-0000-0000-0000463E0000}"/>
    <cellStyle name="Normal 2 2 2 2 5 11" xfId="15943" xr:uid="{00000000-0005-0000-0000-0000473E0000}"/>
    <cellStyle name="Normal 2 2 2 2 5 11 10" xfId="15944" xr:uid="{00000000-0005-0000-0000-0000483E0000}"/>
    <cellStyle name="Normal 2 2 2 2 5 11 11" xfId="15945" xr:uid="{00000000-0005-0000-0000-0000493E0000}"/>
    <cellStyle name="Normal 2 2 2 2 5 11 12" xfId="15946" xr:uid="{00000000-0005-0000-0000-00004A3E0000}"/>
    <cellStyle name="Normal 2 2 2 2 5 11 13" xfId="15947" xr:uid="{00000000-0005-0000-0000-00004B3E0000}"/>
    <cellStyle name="Normal 2 2 2 2 5 11 14" xfId="15948" xr:uid="{00000000-0005-0000-0000-00004C3E0000}"/>
    <cellStyle name="Normal 2 2 2 2 5 11 2" xfId="15949" xr:uid="{00000000-0005-0000-0000-00004D3E0000}"/>
    <cellStyle name="Normal 2 2 2 2 5 11 2 10" xfId="15950" xr:uid="{00000000-0005-0000-0000-00004E3E0000}"/>
    <cellStyle name="Normal 2 2 2 2 5 11 2 2" xfId="15951" xr:uid="{00000000-0005-0000-0000-00004F3E0000}"/>
    <cellStyle name="Normal 2 2 2 2 5 11 2 3" xfId="15952" xr:uid="{00000000-0005-0000-0000-0000503E0000}"/>
    <cellStyle name="Normal 2 2 2 2 5 11 2 4" xfId="15953" xr:uid="{00000000-0005-0000-0000-0000513E0000}"/>
    <cellStyle name="Normal 2 2 2 2 5 11 2 5" xfId="15954" xr:uid="{00000000-0005-0000-0000-0000523E0000}"/>
    <cellStyle name="Normal 2 2 2 2 5 11 2 6" xfId="15955" xr:uid="{00000000-0005-0000-0000-0000533E0000}"/>
    <cellStyle name="Normal 2 2 2 2 5 11 2 7" xfId="15956" xr:uid="{00000000-0005-0000-0000-0000543E0000}"/>
    <cellStyle name="Normal 2 2 2 2 5 11 2 8" xfId="15957" xr:uid="{00000000-0005-0000-0000-0000553E0000}"/>
    <cellStyle name="Normal 2 2 2 2 5 11 2 9" xfId="15958" xr:uid="{00000000-0005-0000-0000-0000563E0000}"/>
    <cellStyle name="Normal 2 2 2 2 5 11 3" xfId="15959" xr:uid="{00000000-0005-0000-0000-0000573E0000}"/>
    <cellStyle name="Normal 2 2 2 2 5 11 3 10" xfId="15960" xr:uid="{00000000-0005-0000-0000-0000583E0000}"/>
    <cellStyle name="Normal 2 2 2 2 5 11 3 2" xfId="15961" xr:uid="{00000000-0005-0000-0000-0000593E0000}"/>
    <cellStyle name="Normal 2 2 2 2 5 11 3 3" xfId="15962" xr:uid="{00000000-0005-0000-0000-00005A3E0000}"/>
    <cellStyle name="Normal 2 2 2 2 5 11 3 4" xfId="15963" xr:uid="{00000000-0005-0000-0000-00005B3E0000}"/>
    <cellStyle name="Normal 2 2 2 2 5 11 3 5" xfId="15964" xr:uid="{00000000-0005-0000-0000-00005C3E0000}"/>
    <cellStyle name="Normal 2 2 2 2 5 11 3 6" xfId="15965" xr:uid="{00000000-0005-0000-0000-00005D3E0000}"/>
    <cellStyle name="Normal 2 2 2 2 5 11 3 7" xfId="15966" xr:uid="{00000000-0005-0000-0000-00005E3E0000}"/>
    <cellStyle name="Normal 2 2 2 2 5 11 3 8" xfId="15967" xr:uid="{00000000-0005-0000-0000-00005F3E0000}"/>
    <cellStyle name="Normal 2 2 2 2 5 11 3 9" xfId="15968" xr:uid="{00000000-0005-0000-0000-0000603E0000}"/>
    <cellStyle name="Normal 2 2 2 2 5 11 4" xfId="15969" xr:uid="{00000000-0005-0000-0000-0000613E0000}"/>
    <cellStyle name="Normal 2 2 2 2 5 11 4 10" xfId="15970" xr:uid="{00000000-0005-0000-0000-0000623E0000}"/>
    <cellStyle name="Normal 2 2 2 2 5 11 4 2" xfId="15971" xr:uid="{00000000-0005-0000-0000-0000633E0000}"/>
    <cellStyle name="Normal 2 2 2 2 5 11 4 3" xfId="15972" xr:uid="{00000000-0005-0000-0000-0000643E0000}"/>
    <cellStyle name="Normal 2 2 2 2 5 11 4 4" xfId="15973" xr:uid="{00000000-0005-0000-0000-0000653E0000}"/>
    <cellStyle name="Normal 2 2 2 2 5 11 4 5" xfId="15974" xr:uid="{00000000-0005-0000-0000-0000663E0000}"/>
    <cellStyle name="Normal 2 2 2 2 5 11 4 6" xfId="15975" xr:uid="{00000000-0005-0000-0000-0000673E0000}"/>
    <cellStyle name="Normal 2 2 2 2 5 11 4 7" xfId="15976" xr:uid="{00000000-0005-0000-0000-0000683E0000}"/>
    <cellStyle name="Normal 2 2 2 2 5 11 4 8" xfId="15977" xr:uid="{00000000-0005-0000-0000-0000693E0000}"/>
    <cellStyle name="Normal 2 2 2 2 5 11 4 9" xfId="15978" xr:uid="{00000000-0005-0000-0000-00006A3E0000}"/>
    <cellStyle name="Normal 2 2 2 2 5 11 5" xfId="15979" xr:uid="{00000000-0005-0000-0000-00006B3E0000}"/>
    <cellStyle name="Normal 2 2 2 2 5 11 5 10" xfId="15980" xr:uid="{00000000-0005-0000-0000-00006C3E0000}"/>
    <cellStyle name="Normal 2 2 2 2 5 11 5 2" xfId="15981" xr:uid="{00000000-0005-0000-0000-00006D3E0000}"/>
    <cellStyle name="Normal 2 2 2 2 5 11 5 3" xfId="15982" xr:uid="{00000000-0005-0000-0000-00006E3E0000}"/>
    <cellStyle name="Normal 2 2 2 2 5 11 5 4" xfId="15983" xr:uid="{00000000-0005-0000-0000-00006F3E0000}"/>
    <cellStyle name="Normal 2 2 2 2 5 11 5 5" xfId="15984" xr:uid="{00000000-0005-0000-0000-0000703E0000}"/>
    <cellStyle name="Normal 2 2 2 2 5 11 5 6" xfId="15985" xr:uid="{00000000-0005-0000-0000-0000713E0000}"/>
    <cellStyle name="Normal 2 2 2 2 5 11 5 7" xfId="15986" xr:uid="{00000000-0005-0000-0000-0000723E0000}"/>
    <cellStyle name="Normal 2 2 2 2 5 11 5 8" xfId="15987" xr:uid="{00000000-0005-0000-0000-0000733E0000}"/>
    <cellStyle name="Normal 2 2 2 2 5 11 5 9" xfId="15988" xr:uid="{00000000-0005-0000-0000-0000743E0000}"/>
    <cellStyle name="Normal 2 2 2 2 5 11 6" xfId="15989" xr:uid="{00000000-0005-0000-0000-0000753E0000}"/>
    <cellStyle name="Normal 2 2 2 2 5 11 7" xfId="15990" xr:uid="{00000000-0005-0000-0000-0000763E0000}"/>
    <cellStyle name="Normal 2 2 2 2 5 11 8" xfId="15991" xr:uid="{00000000-0005-0000-0000-0000773E0000}"/>
    <cellStyle name="Normal 2 2 2 2 5 11 9" xfId="15992" xr:uid="{00000000-0005-0000-0000-0000783E0000}"/>
    <cellStyle name="Normal 2 2 2 2 5 12" xfId="15993" xr:uid="{00000000-0005-0000-0000-0000793E0000}"/>
    <cellStyle name="Normal 2 2 2 2 5 12 10" xfId="15994" xr:uid="{00000000-0005-0000-0000-00007A3E0000}"/>
    <cellStyle name="Normal 2 2 2 2 5 12 11" xfId="15995" xr:uid="{00000000-0005-0000-0000-00007B3E0000}"/>
    <cellStyle name="Normal 2 2 2 2 5 12 12" xfId="15996" xr:uid="{00000000-0005-0000-0000-00007C3E0000}"/>
    <cellStyle name="Normal 2 2 2 2 5 12 13" xfId="15997" xr:uid="{00000000-0005-0000-0000-00007D3E0000}"/>
    <cellStyle name="Normal 2 2 2 2 5 12 14" xfId="15998" xr:uid="{00000000-0005-0000-0000-00007E3E0000}"/>
    <cellStyle name="Normal 2 2 2 2 5 12 2" xfId="15999" xr:uid="{00000000-0005-0000-0000-00007F3E0000}"/>
    <cellStyle name="Normal 2 2 2 2 5 12 2 10" xfId="16000" xr:uid="{00000000-0005-0000-0000-0000803E0000}"/>
    <cellStyle name="Normal 2 2 2 2 5 12 2 2" xfId="16001" xr:uid="{00000000-0005-0000-0000-0000813E0000}"/>
    <cellStyle name="Normal 2 2 2 2 5 12 2 3" xfId="16002" xr:uid="{00000000-0005-0000-0000-0000823E0000}"/>
    <cellStyle name="Normal 2 2 2 2 5 12 2 4" xfId="16003" xr:uid="{00000000-0005-0000-0000-0000833E0000}"/>
    <cellStyle name="Normal 2 2 2 2 5 12 2 5" xfId="16004" xr:uid="{00000000-0005-0000-0000-0000843E0000}"/>
    <cellStyle name="Normal 2 2 2 2 5 12 2 6" xfId="16005" xr:uid="{00000000-0005-0000-0000-0000853E0000}"/>
    <cellStyle name="Normal 2 2 2 2 5 12 2 7" xfId="16006" xr:uid="{00000000-0005-0000-0000-0000863E0000}"/>
    <cellStyle name="Normal 2 2 2 2 5 12 2 8" xfId="16007" xr:uid="{00000000-0005-0000-0000-0000873E0000}"/>
    <cellStyle name="Normal 2 2 2 2 5 12 2 9" xfId="16008" xr:uid="{00000000-0005-0000-0000-0000883E0000}"/>
    <cellStyle name="Normal 2 2 2 2 5 12 3" xfId="16009" xr:uid="{00000000-0005-0000-0000-0000893E0000}"/>
    <cellStyle name="Normal 2 2 2 2 5 12 3 10" xfId="16010" xr:uid="{00000000-0005-0000-0000-00008A3E0000}"/>
    <cellStyle name="Normal 2 2 2 2 5 12 3 2" xfId="16011" xr:uid="{00000000-0005-0000-0000-00008B3E0000}"/>
    <cellStyle name="Normal 2 2 2 2 5 12 3 3" xfId="16012" xr:uid="{00000000-0005-0000-0000-00008C3E0000}"/>
    <cellStyle name="Normal 2 2 2 2 5 12 3 4" xfId="16013" xr:uid="{00000000-0005-0000-0000-00008D3E0000}"/>
    <cellStyle name="Normal 2 2 2 2 5 12 3 5" xfId="16014" xr:uid="{00000000-0005-0000-0000-00008E3E0000}"/>
    <cellStyle name="Normal 2 2 2 2 5 12 3 6" xfId="16015" xr:uid="{00000000-0005-0000-0000-00008F3E0000}"/>
    <cellStyle name="Normal 2 2 2 2 5 12 3 7" xfId="16016" xr:uid="{00000000-0005-0000-0000-0000903E0000}"/>
    <cellStyle name="Normal 2 2 2 2 5 12 3 8" xfId="16017" xr:uid="{00000000-0005-0000-0000-0000913E0000}"/>
    <cellStyle name="Normal 2 2 2 2 5 12 3 9" xfId="16018" xr:uid="{00000000-0005-0000-0000-0000923E0000}"/>
    <cellStyle name="Normal 2 2 2 2 5 12 4" xfId="16019" xr:uid="{00000000-0005-0000-0000-0000933E0000}"/>
    <cellStyle name="Normal 2 2 2 2 5 12 4 10" xfId="16020" xr:uid="{00000000-0005-0000-0000-0000943E0000}"/>
    <cellStyle name="Normal 2 2 2 2 5 12 4 2" xfId="16021" xr:uid="{00000000-0005-0000-0000-0000953E0000}"/>
    <cellStyle name="Normal 2 2 2 2 5 12 4 3" xfId="16022" xr:uid="{00000000-0005-0000-0000-0000963E0000}"/>
    <cellStyle name="Normal 2 2 2 2 5 12 4 4" xfId="16023" xr:uid="{00000000-0005-0000-0000-0000973E0000}"/>
    <cellStyle name="Normal 2 2 2 2 5 12 4 5" xfId="16024" xr:uid="{00000000-0005-0000-0000-0000983E0000}"/>
    <cellStyle name="Normal 2 2 2 2 5 12 4 6" xfId="16025" xr:uid="{00000000-0005-0000-0000-0000993E0000}"/>
    <cellStyle name="Normal 2 2 2 2 5 12 4 7" xfId="16026" xr:uid="{00000000-0005-0000-0000-00009A3E0000}"/>
    <cellStyle name="Normal 2 2 2 2 5 12 4 8" xfId="16027" xr:uid="{00000000-0005-0000-0000-00009B3E0000}"/>
    <cellStyle name="Normal 2 2 2 2 5 12 4 9" xfId="16028" xr:uid="{00000000-0005-0000-0000-00009C3E0000}"/>
    <cellStyle name="Normal 2 2 2 2 5 12 5" xfId="16029" xr:uid="{00000000-0005-0000-0000-00009D3E0000}"/>
    <cellStyle name="Normal 2 2 2 2 5 12 5 10" xfId="16030" xr:uid="{00000000-0005-0000-0000-00009E3E0000}"/>
    <cellStyle name="Normal 2 2 2 2 5 12 5 2" xfId="16031" xr:uid="{00000000-0005-0000-0000-00009F3E0000}"/>
    <cellStyle name="Normal 2 2 2 2 5 12 5 3" xfId="16032" xr:uid="{00000000-0005-0000-0000-0000A03E0000}"/>
    <cellStyle name="Normal 2 2 2 2 5 12 5 4" xfId="16033" xr:uid="{00000000-0005-0000-0000-0000A13E0000}"/>
    <cellStyle name="Normal 2 2 2 2 5 12 5 5" xfId="16034" xr:uid="{00000000-0005-0000-0000-0000A23E0000}"/>
    <cellStyle name="Normal 2 2 2 2 5 12 5 6" xfId="16035" xr:uid="{00000000-0005-0000-0000-0000A33E0000}"/>
    <cellStyle name="Normal 2 2 2 2 5 12 5 7" xfId="16036" xr:uid="{00000000-0005-0000-0000-0000A43E0000}"/>
    <cellStyle name="Normal 2 2 2 2 5 12 5 8" xfId="16037" xr:uid="{00000000-0005-0000-0000-0000A53E0000}"/>
    <cellStyle name="Normal 2 2 2 2 5 12 5 9" xfId="16038" xr:uid="{00000000-0005-0000-0000-0000A63E0000}"/>
    <cellStyle name="Normal 2 2 2 2 5 12 6" xfId="16039" xr:uid="{00000000-0005-0000-0000-0000A73E0000}"/>
    <cellStyle name="Normal 2 2 2 2 5 12 7" xfId="16040" xr:uid="{00000000-0005-0000-0000-0000A83E0000}"/>
    <cellStyle name="Normal 2 2 2 2 5 12 8" xfId="16041" xr:uid="{00000000-0005-0000-0000-0000A93E0000}"/>
    <cellStyle name="Normal 2 2 2 2 5 12 9" xfId="16042" xr:uid="{00000000-0005-0000-0000-0000AA3E0000}"/>
    <cellStyle name="Normal 2 2 2 2 5 13" xfId="16043" xr:uid="{00000000-0005-0000-0000-0000AB3E0000}"/>
    <cellStyle name="Normal 2 2 2 2 5 13 10" xfId="16044" xr:uid="{00000000-0005-0000-0000-0000AC3E0000}"/>
    <cellStyle name="Normal 2 2 2 2 5 13 11" xfId="16045" xr:uid="{00000000-0005-0000-0000-0000AD3E0000}"/>
    <cellStyle name="Normal 2 2 2 2 5 13 12" xfId="16046" xr:uid="{00000000-0005-0000-0000-0000AE3E0000}"/>
    <cellStyle name="Normal 2 2 2 2 5 13 13" xfId="16047" xr:uid="{00000000-0005-0000-0000-0000AF3E0000}"/>
    <cellStyle name="Normal 2 2 2 2 5 13 14" xfId="16048" xr:uid="{00000000-0005-0000-0000-0000B03E0000}"/>
    <cellStyle name="Normal 2 2 2 2 5 13 2" xfId="16049" xr:uid="{00000000-0005-0000-0000-0000B13E0000}"/>
    <cellStyle name="Normal 2 2 2 2 5 13 2 10" xfId="16050" xr:uid="{00000000-0005-0000-0000-0000B23E0000}"/>
    <cellStyle name="Normal 2 2 2 2 5 13 2 2" xfId="16051" xr:uid="{00000000-0005-0000-0000-0000B33E0000}"/>
    <cellStyle name="Normal 2 2 2 2 5 13 2 3" xfId="16052" xr:uid="{00000000-0005-0000-0000-0000B43E0000}"/>
    <cellStyle name="Normal 2 2 2 2 5 13 2 4" xfId="16053" xr:uid="{00000000-0005-0000-0000-0000B53E0000}"/>
    <cellStyle name="Normal 2 2 2 2 5 13 2 5" xfId="16054" xr:uid="{00000000-0005-0000-0000-0000B63E0000}"/>
    <cellStyle name="Normal 2 2 2 2 5 13 2 6" xfId="16055" xr:uid="{00000000-0005-0000-0000-0000B73E0000}"/>
    <cellStyle name="Normal 2 2 2 2 5 13 2 7" xfId="16056" xr:uid="{00000000-0005-0000-0000-0000B83E0000}"/>
    <cellStyle name="Normal 2 2 2 2 5 13 2 8" xfId="16057" xr:uid="{00000000-0005-0000-0000-0000B93E0000}"/>
    <cellStyle name="Normal 2 2 2 2 5 13 2 9" xfId="16058" xr:uid="{00000000-0005-0000-0000-0000BA3E0000}"/>
    <cellStyle name="Normal 2 2 2 2 5 13 3" xfId="16059" xr:uid="{00000000-0005-0000-0000-0000BB3E0000}"/>
    <cellStyle name="Normal 2 2 2 2 5 13 3 10" xfId="16060" xr:uid="{00000000-0005-0000-0000-0000BC3E0000}"/>
    <cellStyle name="Normal 2 2 2 2 5 13 3 2" xfId="16061" xr:uid="{00000000-0005-0000-0000-0000BD3E0000}"/>
    <cellStyle name="Normal 2 2 2 2 5 13 3 3" xfId="16062" xr:uid="{00000000-0005-0000-0000-0000BE3E0000}"/>
    <cellStyle name="Normal 2 2 2 2 5 13 3 4" xfId="16063" xr:uid="{00000000-0005-0000-0000-0000BF3E0000}"/>
    <cellStyle name="Normal 2 2 2 2 5 13 3 5" xfId="16064" xr:uid="{00000000-0005-0000-0000-0000C03E0000}"/>
    <cellStyle name="Normal 2 2 2 2 5 13 3 6" xfId="16065" xr:uid="{00000000-0005-0000-0000-0000C13E0000}"/>
    <cellStyle name="Normal 2 2 2 2 5 13 3 7" xfId="16066" xr:uid="{00000000-0005-0000-0000-0000C23E0000}"/>
    <cellStyle name="Normal 2 2 2 2 5 13 3 8" xfId="16067" xr:uid="{00000000-0005-0000-0000-0000C33E0000}"/>
    <cellStyle name="Normal 2 2 2 2 5 13 3 9" xfId="16068" xr:uid="{00000000-0005-0000-0000-0000C43E0000}"/>
    <cellStyle name="Normal 2 2 2 2 5 13 4" xfId="16069" xr:uid="{00000000-0005-0000-0000-0000C53E0000}"/>
    <cellStyle name="Normal 2 2 2 2 5 13 4 10" xfId="16070" xr:uid="{00000000-0005-0000-0000-0000C63E0000}"/>
    <cellStyle name="Normal 2 2 2 2 5 13 4 2" xfId="16071" xr:uid="{00000000-0005-0000-0000-0000C73E0000}"/>
    <cellStyle name="Normal 2 2 2 2 5 13 4 3" xfId="16072" xr:uid="{00000000-0005-0000-0000-0000C83E0000}"/>
    <cellStyle name="Normal 2 2 2 2 5 13 4 4" xfId="16073" xr:uid="{00000000-0005-0000-0000-0000C93E0000}"/>
    <cellStyle name="Normal 2 2 2 2 5 13 4 5" xfId="16074" xr:uid="{00000000-0005-0000-0000-0000CA3E0000}"/>
    <cellStyle name="Normal 2 2 2 2 5 13 4 6" xfId="16075" xr:uid="{00000000-0005-0000-0000-0000CB3E0000}"/>
    <cellStyle name="Normal 2 2 2 2 5 13 4 7" xfId="16076" xr:uid="{00000000-0005-0000-0000-0000CC3E0000}"/>
    <cellStyle name="Normal 2 2 2 2 5 13 4 8" xfId="16077" xr:uid="{00000000-0005-0000-0000-0000CD3E0000}"/>
    <cellStyle name="Normal 2 2 2 2 5 13 4 9" xfId="16078" xr:uid="{00000000-0005-0000-0000-0000CE3E0000}"/>
    <cellStyle name="Normal 2 2 2 2 5 13 5" xfId="16079" xr:uid="{00000000-0005-0000-0000-0000CF3E0000}"/>
    <cellStyle name="Normal 2 2 2 2 5 13 5 10" xfId="16080" xr:uid="{00000000-0005-0000-0000-0000D03E0000}"/>
    <cellStyle name="Normal 2 2 2 2 5 13 5 2" xfId="16081" xr:uid="{00000000-0005-0000-0000-0000D13E0000}"/>
    <cellStyle name="Normal 2 2 2 2 5 13 5 3" xfId="16082" xr:uid="{00000000-0005-0000-0000-0000D23E0000}"/>
    <cellStyle name="Normal 2 2 2 2 5 13 5 4" xfId="16083" xr:uid="{00000000-0005-0000-0000-0000D33E0000}"/>
    <cellStyle name="Normal 2 2 2 2 5 13 5 5" xfId="16084" xr:uid="{00000000-0005-0000-0000-0000D43E0000}"/>
    <cellStyle name="Normal 2 2 2 2 5 13 5 6" xfId="16085" xr:uid="{00000000-0005-0000-0000-0000D53E0000}"/>
    <cellStyle name="Normal 2 2 2 2 5 13 5 7" xfId="16086" xr:uid="{00000000-0005-0000-0000-0000D63E0000}"/>
    <cellStyle name="Normal 2 2 2 2 5 13 5 8" xfId="16087" xr:uid="{00000000-0005-0000-0000-0000D73E0000}"/>
    <cellStyle name="Normal 2 2 2 2 5 13 5 9" xfId="16088" xr:uid="{00000000-0005-0000-0000-0000D83E0000}"/>
    <cellStyle name="Normal 2 2 2 2 5 13 6" xfId="16089" xr:uid="{00000000-0005-0000-0000-0000D93E0000}"/>
    <cellStyle name="Normal 2 2 2 2 5 13 7" xfId="16090" xr:uid="{00000000-0005-0000-0000-0000DA3E0000}"/>
    <cellStyle name="Normal 2 2 2 2 5 13 8" xfId="16091" xr:uid="{00000000-0005-0000-0000-0000DB3E0000}"/>
    <cellStyle name="Normal 2 2 2 2 5 13 9" xfId="16092" xr:uid="{00000000-0005-0000-0000-0000DC3E0000}"/>
    <cellStyle name="Normal 2 2 2 2 5 14" xfId="16093" xr:uid="{00000000-0005-0000-0000-0000DD3E0000}"/>
    <cellStyle name="Normal 2 2 2 2 5 14 10" xfId="16094" xr:uid="{00000000-0005-0000-0000-0000DE3E0000}"/>
    <cellStyle name="Normal 2 2 2 2 5 14 11" xfId="16095" xr:uid="{00000000-0005-0000-0000-0000DF3E0000}"/>
    <cellStyle name="Normal 2 2 2 2 5 14 12" xfId="16096" xr:uid="{00000000-0005-0000-0000-0000E03E0000}"/>
    <cellStyle name="Normal 2 2 2 2 5 14 13" xfId="16097" xr:uid="{00000000-0005-0000-0000-0000E13E0000}"/>
    <cellStyle name="Normal 2 2 2 2 5 14 14" xfId="16098" xr:uid="{00000000-0005-0000-0000-0000E23E0000}"/>
    <cellStyle name="Normal 2 2 2 2 5 14 2" xfId="16099" xr:uid="{00000000-0005-0000-0000-0000E33E0000}"/>
    <cellStyle name="Normal 2 2 2 2 5 14 2 10" xfId="16100" xr:uid="{00000000-0005-0000-0000-0000E43E0000}"/>
    <cellStyle name="Normal 2 2 2 2 5 14 2 2" xfId="16101" xr:uid="{00000000-0005-0000-0000-0000E53E0000}"/>
    <cellStyle name="Normal 2 2 2 2 5 14 2 3" xfId="16102" xr:uid="{00000000-0005-0000-0000-0000E63E0000}"/>
    <cellStyle name="Normal 2 2 2 2 5 14 2 4" xfId="16103" xr:uid="{00000000-0005-0000-0000-0000E73E0000}"/>
    <cellStyle name="Normal 2 2 2 2 5 14 2 5" xfId="16104" xr:uid="{00000000-0005-0000-0000-0000E83E0000}"/>
    <cellStyle name="Normal 2 2 2 2 5 14 2 6" xfId="16105" xr:uid="{00000000-0005-0000-0000-0000E93E0000}"/>
    <cellStyle name="Normal 2 2 2 2 5 14 2 7" xfId="16106" xr:uid="{00000000-0005-0000-0000-0000EA3E0000}"/>
    <cellStyle name="Normal 2 2 2 2 5 14 2 8" xfId="16107" xr:uid="{00000000-0005-0000-0000-0000EB3E0000}"/>
    <cellStyle name="Normal 2 2 2 2 5 14 2 9" xfId="16108" xr:uid="{00000000-0005-0000-0000-0000EC3E0000}"/>
    <cellStyle name="Normal 2 2 2 2 5 14 3" xfId="16109" xr:uid="{00000000-0005-0000-0000-0000ED3E0000}"/>
    <cellStyle name="Normal 2 2 2 2 5 14 3 10" xfId="16110" xr:uid="{00000000-0005-0000-0000-0000EE3E0000}"/>
    <cellStyle name="Normal 2 2 2 2 5 14 3 2" xfId="16111" xr:uid="{00000000-0005-0000-0000-0000EF3E0000}"/>
    <cellStyle name="Normal 2 2 2 2 5 14 3 3" xfId="16112" xr:uid="{00000000-0005-0000-0000-0000F03E0000}"/>
    <cellStyle name="Normal 2 2 2 2 5 14 3 4" xfId="16113" xr:uid="{00000000-0005-0000-0000-0000F13E0000}"/>
    <cellStyle name="Normal 2 2 2 2 5 14 3 5" xfId="16114" xr:uid="{00000000-0005-0000-0000-0000F23E0000}"/>
    <cellStyle name="Normal 2 2 2 2 5 14 3 6" xfId="16115" xr:uid="{00000000-0005-0000-0000-0000F33E0000}"/>
    <cellStyle name="Normal 2 2 2 2 5 14 3 7" xfId="16116" xr:uid="{00000000-0005-0000-0000-0000F43E0000}"/>
    <cellStyle name="Normal 2 2 2 2 5 14 3 8" xfId="16117" xr:uid="{00000000-0005-0000-0000-0000F53E0000}"/>
    <cellStyle name="Normal 2 2 2 2 5 14 3 9" xfId="16118" xr:uid="{00000000-0005-0000-0000-0000F63E0000}"/>
    <cellStyle name="Normal 2 2 2 2 5 14 4" xfId="16119" xr:uid="{00000000-0005-0000-0000-0000F73E0000}"/>
    <cellStyle name="Normal 2 2 2 2 5 14 4 10" xfId="16120" xr:uid="{00000000-0005-0000-0000-0000F83E0000}"/>
    <cellStyle name="Normal 2 2 2 2 5 14 4 2" xfId="16121" xr:uid="{00000000-0005-0000-0000-0000F93E0000}"/>
    <cellStyle name="Normal 2 2 2 2 5 14 4 3" xfId="16122" xr:uid="{00000000-0005-0000-0000-0000FA3E0000}"/>
    <cellStyle name="Normal 2 2 2 2 5 14 4 4" xfId="16123" xr:uid="{00000000-0005-0000-0000-0000FB3E0000}"/>
    <cellStyle name="Normal 2 2 2 2 5 14 4 5" xfId="16124" xr:uid="{00000000-0005-0000-0000-0000FC3E0000}"/>
    <cellStyle name="Normal 2 2 2 2 5 14 4 6" xfId="16125" xr:uid="{00000000-0005-0000-0000-0000FD3E0000}"/>
    <cellStyle name="Normal 2 2 2 2 5 14 4 7" xfId="16126" xr:uid="{00000000-0005-0000-0000-0000FE3E0000}"/>
    <cellStyle name="Normal 2 2 2 2 5 14 4 8" xfId="16127" xr:uid="{00000000-0005-0000-0000-0000FF3E0000}"/>
    <cellStyle name="Normal 2 2 2 2 5 14 4 9" xfId="16128" xr:uid="{00000000-0005-0000-0000-0000003F0000}"/>
    <cellStyle name="Normal 2 2 2 2 5 14 5" xfId="16129" xr:uid="{00000000-0005-0000-0000-0000013F0000}"/>
    <cellStyle name="Normal 2 2 2 2 5 14 5 10" xfId="16130" xr:uid="{00000000-0005-0000-0000-0000023F0000}"/>
    <cellStyle name="Normal 2 2 2 2 5 14 5 2" xfId="16131" xr:uid="{00000000-0005-0000-0000-0000033F0000}"/>
    <cellStyle name="Normal 2 2 2 2 5 14 5 3" xfId="16132" xr:uid="{00000000-0005-0000-0000-0000043F0000}"/>
    <cellStyle name="Normal 2 2 2 2 5 14 5 4" xfId="16133" xr:uid="{00000000-0005-0000-0000-0000053F0000}"/>
    <cellStyle name="Normal 2 2 2 2 5 14 5 5" xfId="16134" xr:uid="{00000000-0005-0000-0000-0000063F0000}"/>
    <cellStyle name="Normal 2 2 2 2 5 14 5 6" xfId="16135" xr:uid="{00000000-0005-0000-0000-0000073F0000}"/>
    <cellStyle name="Normal 2 2 2 2 5 14 5 7" xfId="16136" xr:uid="{00000000-0005-0000-0000-0000083F0000}"/>
    <cellStyle name="Normal 2 2 2 2 5 14 5 8" xfId="16137" xr:uid="{00000000-0005-0000-0000-0000093F0000}"/>
    <cellStyle name="Normal 2 2 2 2 5 14 5 9" xfId="16138" xr:uid="{00000000-0005-0000-0000-00000A3F0000}"/>
    <cellStyle name="Normal 2 2 2 2 5 14 6" xfId="16139" xr:uid="{00000000-0005-0000-0000-00000B3F0000}"/>
    <cellStyle name="Normal 2 2 2 2 5 14 7" xfId="16140" xr:uid="{00000000-0005-0000-0000-00000C3F0000}"/>
    <cellStyle name="Normal 2 2 2 2 5 14 8" xfId="16141" xr:uid="{00000000-0005-0000-0000-00000D3F0000}"/>
    <cellStyle name="Normal 2 2 2 2 5 14 9" xfId="16142" xr:uid="{00000000-0005-0000-0000-00000E3F0000}"/>
    <cellStyle name="Normal 2 2 2 2 5 15" xfId="16143" xr:uid="{00000000-0005-0000-0000-00000F3F0000}"/>
    <cellStyle name="Normal 2 2 2 2 5 15 10" xfId="16144" xr:uid="{00000000-0005-0000-0000-0000103F0000}"/>
    <cellStyle name="Normal 2 2 2 2 5 15 11" xfId="16145" xr:uid="{00000000-0005-0000-0000-0000113F0000}"/>
    <cellStyle name="Normal 2 2 2 2 5 15 12" xfId="16146" xr:uid="{00000000-0005-0000-0000-0000123F0000}"/>
    <cellStyle name="Normal 2 2 2 2 5 15 13" xfId="16147" xr:uid="{00000000-0005-0000-0000-0000133F0000}"/>
    <cellStyle name="Normal 2 2 2 2 5 15 14" xfId="16148" xr:uid="{00000000-0005-0000-0000-0000143F0000}"/>
    <cellStyle name="Normal 2 2 2 2 5 15 2" xfId="16149" xr:uid="{00000000-0005-0000-0000-0000153F0000}"/>
    <cellStyle name="Normal 2 2 2 2 5 15 2 10" xfId="16150" xr:uid="{00000000-0005-0000-0000-0000163F0000}"/>
    <cellStyle name="Normal 2 2 2 2 5 15 2 2" xfId="16151" xr:uid="{00000000-0005-0000-0000-0000173F0000}"/>
    <cellStyle name="Normal 2 2 2 2 5 15 2 3" xfId="16152" xr:uid="{00000000-0005-0000-0000-0000183F0000}"/>
    <cellStyle name="Normal 2 2 2 2 5 15 2 4" xfId="16153" xr:uid="{00000000-0005-0000-0000-0000193F0000}"/>
    <cellStyle name="Normal 2 2 2 2 5 15 2 5" xfId="16154" xr:uid="{00000000-0005-0000-0000-00001A3F0000}"/>
    <cellStyle name="Normal 2 2 2 2 5 15 2 6" xfId="16155" xr:uid="{00000000-0005-0000-0000-00001B3F0000}"/>
    <cellStyle name="Normal 2 2 2 2 5 15 2 7" xfId="16156" xr:uid="{00000000-0005-0000-0000-00001C3F0000}"/>
    <cellStyle name="Normal 2 2 2 2 5 15 2 8" xfId="16157" xr:uid="{00000000-0005-0000-0000-00001D3F0000}"/>
    <cellStyle name="Normal 2 2 2 2 5 15 2 9" xfId="16158" xr:uid="{00000000-0005-0000-0000-00001E3F0000}"/>
    <cellStyle name="Normal 2 2 2 2 5 15 3" xfId="16159" xr:uid="{00000000-0005-0000-0000-00001F3F0000}"/>
    <cellStyle name="Normal 2 2 2 2 5 15 3 10" xfId="16160" xr:uid="{00000000-0005-0000-0000-0000203F0000}"/>
    <cellStyle name="Normal 2 2 2 2 5 15 3 2" xfId="16161" xr:uid="{00000000-0005-0000-0000-0000213F0000}"/>
    <cellStyle name="Normal 2 2 2 2 5 15 3 3" xfId="16162" xr:uid="{00000000-0005-0000-0000-0000223F0000}"/>
    <cellStyle name="Normal 2 2 2 2 5 15 3 4" xfId="16163" xr:uid="{00000000-0005-0000-0000-0000233F0000}"/>
    <cellStyle name="Normal 2 2 2 2 5 15 3 5" xfId="16164" xr:uid="{00000000-0005-0000-0000-0000243F0000}"/>
    <cellStyle name="Normal 2 2 2 2 5 15 3 6" xfId="16165" xr:uid="{00000000-0005-0000-0000-0000253F0000}"/>
    <cellStyle name="Normal 2 2 2 2 5 15 3 7" xfId="16166" xr:uid="{00000000-0005-0000-0000-0000263F0000}"/>
    <cellStyle name="Normal 2 2 2 2 5 15 3 8" xfId="16167" xr:uid="{00000000-0005-0000-0000-0000273F0000}"/>
    <cellStyle name="Normal 2 2 2 2 5 15 3 9" xfId="16168" xr:uid="{00000000-0005-0000-0000-0000283F0000}"/>
    <cellStyle name="Normal 2 2 2 2 5 15 4" xfId="16169" xr:uid="{00000000-0005-0000-0000-0000293F0000}"/>
    <cellStyle name="Normal 2 2 2 2 5 15 4 10" xfId="16170" xr:uid="{00000000-0005-0000-0000-00002A3F0000}"/>
    <cellStyle name="Normal 2 2 2 2 5 15 4 2" xfId="16171" xr:uid="{00000000-0005-0000-0000-00002B3F0000}"/>
    <cellStyle name="Normal 2 2 2 2 5 15 4 3" xfId="16172" xr:uid="{00000000-0005-0000-0000-00002C3F0000}"/>
    <cellStyle name="Normal 2 2 2 2 5 15 4 4" xfId="16173" xr:uid="{00000000-0005-0000-0000-00002D3F0000}"/>
    <cellStyle name="Normal 2 2 2 2 5 15 4 5" xfId="16174" xr:uid="{00000000-0005-0000-0000-00002E3F0000}"/>
    <cellStyle name="Normal 2 2 2 2 5 15 4 6" xfId="16175" xr:uid="{00000000-0005-0000-0000-00002F3F0000}"/>
    <cellStyle name="Normal 2 2 2 2 5 15 4 7" xfId="16176" xr:uid="{00000000-0005-0000-0000-0000303F0000}"/>
    <cellStyle name="Normal 2 2 2 2 5 15 4 8" xfId="16177" xr:uid="{00000000-0005-0000-0000-0000313F0000}"/>
    <cellStyle name="Normal 2 2 2 2 5 15 4 9" xfId="16178" xr:uid="{00000000-0005-0000-0000-0000323F0000}"/>
    <cellStyle name="Normal 2 2 2 2 5 15 5" xfId="16179" xr:uid="{00000000-0005-0000-0000-0000333F0000}"/>
    <cellStyle name="Normal 2 2 2 2 5 15 5 10" xfId="16180" xr:uid="{00000000-0005-0000-0000-0000343F0000}"/>
    <cellStyle name="Normal 2 2 2 2 5 15 5 2" xfId="16181" xr:uid="{00000000-0005-0000-0000-0000353F0000}"/>
    <cellStyle name="Normal 2 2 2 2 5 15 5 3" xfId="16182" xr:uid="{00000000-0005-0000-0000-0000363F0000}"/>
    <cellStyle name="Normal 2 2 2 2 5 15 5 4" xfId="16183" xr:uid="{00000000-0005-0000-0000-0000373F0000}"/>
    <cellStyle name="Normal 2 2 2 2 5 15 5 5" xfId="16184" xr:uid="{00000000-0005-0000-0000-0000383F0000}"/>
    <cellStyle name="Normal 2 2 2 2 5 15 5 6" xfId="16185" xr:uid="{00000000-0005-0000-0000-0000393F0000}"/>
    <cellStyle name="Normal 2 2 2 2 5 15 5 7" xfId="16186" xr:uid="{00000000-0005-0000-0000-00003A3F0000}"/>
    <cellStyle name="Normal 2 2 2 2 5 15 5 8" xfId="16187" xr:uid="{00000000-0005-0000-0000-00003B3F0000}"/>
    <cellStyle name="Normal 2 2 2 2 5 15 5 9" xfId="16188" xr:uid="{00000000-0005-0000-0000-00003C3F0000}"/>
    <cellStyle name="Normal 2 2 2 2 5 15 6" xfId="16189" xr:uid="{00000000-0005-0000-0000-00003D3F0000}"/>
    <cellStyle name="Normal 2 2 2 2 5 15 7" xfId="16190" xr:uid="{00000000-0005-0000-0000-00003E3F0000}"/>
    <cellStyle name="Normal 2 2 2 2 5 15 8" xfId="16191" xr:uid="{00000000-0005-0000-0000-00003F3F0000}"/>
    <cellStyle name="Normal 2 2 2 2 5 15 9" xfId="16192" xr:uid="{00000000-0005-0000-0000-0000403F0000}"/>
    <cellStyle name="Normal 2 2 2 2 5 16" xfId="16193" xr:uid="{00000000-0005-0000-0000-0000413F0000}"/>
    <cellStyle name="Normal 2 2 2 2 5 16 10" xfId="16194" xr:uid="{00000000-0005-0000-0000-0000423F0000}"/>
    <cellStyle name="Normal 2 2 2 2 5 16 11" xfId="16195" xr:uid="{00000000-0005-0000-0000-0000433F0000}"/>
    <cellStyle name="Normal 2 2 2 2 5 16 12" xfId="16196" xr:uid="{00000000-0005-0000-0000-0000443F0000}"/>
    <cellStyle name="Normal 2 2 2 2 5 16 13" xfId="16197" xr:uid="{00000000-0005-0000-0000-0000453F0000}"/>
    <cellStyle name="Normal 2 2 2 2 5 16 14" xfId="16198" xr:uid="{00000000-0005-0000-0000-0000463F0000}"/>
    <cellStyle name="Normal 2 2 2 2 5 16 2" xfId="16199" xr:uid="{00000000-0005-0000-0000-0000473F0000}"/>
    <cellStyle name="Normal 2 2 2 2 5 16 2 10" xfId="16200" xr:uid="{00000000-0005-0000-0000-0000483F0000}"/>
    <cellStyle name="Normal 2 2 2 2 5 16 2 2" xfId="16201" xr:uid="{00000000-0005-0000-0000-0000493F0000}"/>
    <cellStyle name="Normal 2 2 2 2 5 16 2 3" xfId="16202" xr:uid="{00000000-0005-0000-0000-00004A3F0000}"/>
    <cellStyle name="Normal 2 2 2 2 5 16 2 4" xfId="16203" xr:uid="{00000000-0005-0000-0000-00004B3F0000}"/>
    <cellStyle name="Normal 2 2 2 2 5 16 2 5" xfId="16204" xr:uid="{00000000-0005-0000-0000-00004C3F0000}"/>
    <cellStyle name="Normal 2 2 2 2 5 16 2 6" xfId="16205" xr:uid="{00000000-0005-0000-0000-00004D3F0000}"/>
    <cellStyle name="Normal 2 2 2 2 5 16 2 7" xfId="16206" xr:uid="{00000000-0005-0000-0000-00004E3F0000}"/>
    <cellStyle name="Normal 2 2 2 2 5 16 2 8" xfId="16207" xr:uid="{00000000-0005-0000-0000-00004F3F0000}"/>
    <cellStyle name="Normal 2 2 2 2 5 16 2 9" xfId="16208" xr:uid="{00000000-0005-0000-0000-0000503F0000}"/>
    <cellStyle name="Normal 2 2 2 2 5 16 3" xfId="16209" xr:uid="{00000000-0005-0000-0000-0000513F0000}"/>
    <cellStyle name="Normal 2 2 2 2 5 16 3 10" xfId="16210" xr:uid="{00000000-0005-0000-0000-0000523F0000}"/>
    <cellStyle name="Normal 2 2 2 2 5 16 3 2" xfId="16211" xr:uid="{00000000-0005-0000-0000-0000533F0000}"/>
    <cellStyle name="Normal 2 2 2 2 5 16 3 3" xfId="16212" xr:uid="{00000000-0005-0000-0000-0000543F0000}"/>
    <cellStyle name="Normal 2 2 2 2 5 16 3 4" xfId="16213" xr:uid="{00000000-0005-0000-0000-0000553F0000}"/>
    <cellStyle name="Normal 2 2 2 2 5 16 3 5" xfId="16214" xr:uid="{00000000-0005-0000-0000-0000563F0000}"/>
    <cellStyle name="Normal 2 2 2 2 5 16 3 6" xfId="16215" xr:uid="{00000000-0005-0000-0000-0000573F0000}"/>
    <cellStyle name="Normal 2 2 2 2 5 16 3 7" xfId="16216" xr:uid="{00000000-0005-0000-0000-0000583F0000}"/>
    <cellStyle name="Normal 2 2 2 2 5 16 3 8" xfId="16217" xr:uid="{00000000-0005-0000-0000-0000593F0000}"/>
    <cellStyle name="Normal 2 2 2 2 5 16 3 9" xfId="16218" xr:uid="{00000000-0005-0000-0000-00005A3F0000}"/>
    <cellStyle name="Normal 2 2 2 2 5 16 4" xfId="16219" xr:uid="{00000000-0005-0000-0000-00005B3F0000}"/>
    <cellStyle name="Normal 2 2 2 2 5 16 4 10" xfId="16220" xr:uid="{00000000-0005-0000-0000-00005C3F0000}"/>
    <cellStyle name="Normal 2 2 2 2 5 16 4 2" xfId="16221" xr:uid="{00000000-0005-0000-0000-00005D3F0000}"/>
    <cellStyle name="Normal 2 2 2 2 5 16 4 3" xfId="16222" xr:uid="{00000000-0005-0000-0000-00005E3F0000}"/>
    <cellStyle name="Normal 2 2 2 2 5 16 4 4" xfId="16223" xr:uid="{00000000-0005-0000-0000-00005F3F0000}"/>
    <cellStyle name="Normal 2 2 2 2 5 16 4 5" xfId="16224" xr:uid="{00000000-0005-0000-0000-0000603F0000}"/>
    <cellStyle name="Normal 2 2 2 2 5 16 4 6" xfId="16225" xr:uid="{00000000-0005-0000-0000-0000613F0000}"/>
    <cellStyle name="Normal 2 2 2 2 5 16 4 7" xfId="16226" xr:uid="{00000000-0005-0000-0000-0000623F0000}"/>
    <cellStyle name="Normal 2 2 2 2 5 16 4 8" xfId="16227" xr:uid="{00000000-0005-0000-0000-0000633F0000}"/>
    <cellStyle name="Normal 2 2 2 2 5 16 4 9" xfId="16228" xr:uid="{00000000-0005-0000-0000-0000643F0000}"/>
    <cellStyle name="Normal 2 2 2 2 5 16 5" xfId="16229" xr:uid="{00000000-0005-0000-0000-0000653F0000}"/>
    <cellStyle name="Normal 2 2 2 2 5 16 5 10" xfId="16230" xr:uid="{00000000-0005-0000-0000-0000663F0000}"/>
    <cellStyle name="Normal 2 2 2 2 5 16 5 2" xfId="16231" xr:uid="{00000000-0005-0000-0000-0000673F0000}"/>
    <cellStyle name="Normal 2 2 2 2 5 16 5 3" xfId="16232" xr:uid="{00000000-0005-0000-0000-0000683F0000}"/>
    <cellStyle name="Normal 2 2 2 2 5 16 5 4" xfId="16233" xr:uid="{00000000-0005-0000-0000-0000693F0000}"/>
    <cellStyle name="Normal 2 2 2 2 5 16 5 5" xfId="16234" xr:uid="{00000000-0005-0000-0000-00006A3F0000}"/>
    <cellStyle name="Normal 2 2 2 2 5 16 5 6" xfId="16235" xr:uid="{00000000-0005-0000-0000-00006B3F0000}"/>
    <cellStyle name="Normal 2 2 2 2 5 16 5 7" xfId="16236" xr:uid="{00000000-0005-0000-0000-00006C3F0000}"/>
    <cellStyle name="Normal 2 2 2 2 5 16 5 8" xfId="16237" xr:uid="{00000000-0005-0000-0000-00006D3F0000}"/>
    <cellStyle name="Normal 2 2 2 2 5 16 5 9" xfId="16238" xr:uid="{00000000-0005-0000-0000-00006E3F0000}"/>
    <cellStyle name="Normal 2 2 2 2 5 16 6" xfId="16239" xr:uid="{00000000-0005-0000-0000-00006F3F0000}"/>
    <cellStyle name="Normal 2 2 2 2 5 16 7" xfId="16240" xr:uid="{00000000-0005-0000-0000-0000703F0000}"/>
    <cellStyle name="Normal 2 2 2 2 5 16 8" xfId="16241" xr:uid="{00000000-0005-0000-0000-0000713F0000}"/>
    <cellStyle name="Normal 2 2 2 2 5 16 9" xfId="16242" xr:uid="{00000000-0005-0000-0000-0000723F0000}"/>
    <cellStyle name="Normal 2 2 2 2 5 17" xfId="16243" xr:uid="{00000000-0005-0000-0000-0000733F0000}"/>
    <cellStyle name="Normal 2 2 2 2 5 17 10" xfId="16244" xr:uid="{00000000-0005-0000-0000-0000743F0000}"/>
    <cellStyle name="Normal 2 2 2 2 5 17 11" xfId="16245" xr:uid="{00000000-0005-0000-0000-0000753F0000}"/>
    <cellStyle name="Normal 2 2 2 2 5 17 12" xfId="16246" xr:uid="{00000000-0005-0000-0000-0000763F0000}"/>
    <cellStyle name="Normal 2 2 2 2 5 17 13" xfId="16247" xr:uid="{00000000-0005-0000-0000-0000773F0000}"/>
    <cellStyle name="Normal 2 2 2 2 5 17 14" xfId="16248" xr:uid="{00000000-0005-0000-0000-0000783F0000}"/>
    <cellStyle name="Normal 2 2 2 2 5 17 2" xfId="16249" xr:uid="{00000000-0005-0000-0000-0000793F0000}"/>
    <cellStyle name="Normal 2 2 2 2 5 17 2 10" xfId="16250" xr:uid="{00000000-0005-0000-0000-00007A3F0000}"/>
    <cellStyle name="Normal 2 2 2 2 5 17 2 2" xfId="16251" xr:uid="{00000000-0005-0000-0000-00007B3F0000}"/>
    <cellStyle name="Normal 2 2 2 2 5 17 2 3" xfId="16252" xr:uid="{00000000-0005-0000-0000-00007C3F0000}"/>
    <cellStyle name="Normal 2 2 2 2 5 17 2 4" xfId="16253" xr:uid="{00000000-0005-0000-0000-00007D3F0000}"/>
    <cellStyle name="Normal 2 2 2 2 5 17 2 5" xfId="16254" xr:uid="{00000000-0005-0000-0000-00007E3F0000}"/>
    <cellStyle name="Normal 2 2 2 2 5 17 2 6" xfId="16255" xr:uid="{00000000-0005-0000-0000-00007F3F0000}"/>
    <cellStyle name="Normal 2 2 2 2 5 17 2 7" xfId="16256" xr:uid="{00000000-0005-0000-0000-0000803F0000}"/>
    <cellStyle name="Normal 2 2 2 2 5 17 2 8" xfId="16257" xr:uid="{00000000-0005-0000-0000-0000813F0000}"/>
    <cellStyle name="Normal 2 2 2 2 5 17 2 9" xfId="16258" xr:uid="{00000000-0005-0000-0000-0000823F0000}"/>
    <cellStyle name="Normal 2 2 2 2 5 17 3" xfId="16259" xr:uid="{00000000-0005-0000-0000-0000833F0000}"/>
    <cellStyle name="Normal 2 2 2 2 5 17 3 10" xfId="16260" xr:uid="{00000000-0005-0000-0000-0000843F0000}"/>
    <cellStyle name="Normal 2 2 2 2 5 17 3 2" xfId="16261" xr:uid="{00000000-0005-0000-0000-0000853F0000}"/>
    <cellStyle name="Normal 2 2 2 2 5 17 3 3" xfId="16262" xr:uid="{00000000-0005-0000-0000-0000863F0000}"/>
    <cellStyle name="Normal 2 2 2 2 5 17 3 4" xfId="16263" xr:uid="{00000000-0005-0000-0000-0000873F0000}"/>
    <cellStyle name="Normal 2 2 2 2 5 17 3 5" xfId="16264" xr:uid="{00000000-0005-0000-0000-0000883F0000}"/>
    <cellStyle name="Normal 2 2 2 2 5 17 3 6" xfId="16265" xr:uid="{00000000-0005-0000-0000-0000893F0000}"/>
    <cellStyle name="Normal 2 2 2 2 5 17 3 7" xfId="16266" xr:uid="{00000000-0005-0000-0000-00008A3F0000}"/>
    <cellStyle name="Normal 2 2 2 2 5 17 3 8" xfId="16267" xr:uid="{00000000-0005-0000-0000-00008B3F0000}"/>
    <cellStyle name="Normal 2 2 2 2 5 17 3 9" xfId="16268" xr:uid="{00000000-0005-0000-0000-00008C3F0000}"/>
    <cellStyle name="Normal 2 2 2 2 5 17 4" xfId="16269" xr:uid="{00000000-0005-0000-0000-00008D3F0000}"/>
    <cellStyle name="Normal 2 2 2 2 5 17 4 10" xfId="16270" xr:uid="{00000000-0005-0000-0000-00008E3F0000}"/>
    <cellStyle name="Normal 2 2 2 2 5 17 4 2" xfId="16271" xr:uid="{00000000-0005-0000-0000-00008F3F0000}"/>
    <cellStyle name="Normal 2 2 2 2 5 17 4 3" xfId="16272" xr:uid="{00000000-0005-0000-0000-0000903F0000}"/>
    <cellStyle name="Normal 2 2 2 2 5 17 4 4" xfId="16273" xr:uid="{00000000-0005-0000-0000-0000913F0000}"/>
    <cellStyle name="Normal 2 2 2 2 5 17 4 5" xfId="16274" xr:uid="{00000000-0005-0000-0000-0000923F0000}"/>
    <cellStyle name="Normal 2 2 2 2 5 17 4 6" xfId="16275" xr:uid="{00000000-0005-0000-0000-0000933F0000}"/>
    <cellStyle name="Normal 2 2 2 2 5 17 4 7" xfId="16276" xr:uid="{00000000-0005-0000-0000-0000943F0000}"/>
    <cellStyle name="Normal 2 2 2 2 5 17 4 8" xfId="16277" xr:uid="{00000000-0005-0000-0000-0000953F0000}"/>
    <cellStyle name="Normal 2 2 2 2 5 17 4 9" xfId="16278" xr:uid="{00000000-0005-0000-0000-0000963F0000}"/>
    <cellStyle name="Normal 2 2 2 2 5 17 5" xfId="16279" xr:uid="{00000000-0005-0000-0000-0000973F0000}"/>
    <cellStyle name="Normal 2 2 2 2 5 17 5 10" xfId="16280" xr:uid="{00000000-0005-0000-0000-0000983F0000}"/>
    <cellStyle name="Normal 2 2 2 2 5 17 5 2" xfId="16281" xr:uid="{00000000-0005-0000-0000-0000993F0000}"/>
    <cellStyle name="Normal 2 2 2 2 5 17 5 3" xfId="16282" xr:uid="{00000000-0005-0000-0000-00009A3F0000}"/>
    <cellStyle name="Normal 2 2 2 2 5 17 5 4" xfId="16283" xr:uid="{00000000-0005-0000-0000-00009B3F0000}"/>
    <cellStyle name="Normal 2 2 2 2 5 17 5 5" xfId="16284" xr:uid="{00000000-0005-0000-0000-00009C3F0000}"/>
    <cellStyle name="Normal 2 2 2 2 5 17 5 6" xfId="16285" xr:uid="{00000000-0005-0000-0000-00009D3F0000}"/>
    <cellStyle name="Normal 2 2 2 2 5 17 5 7" xfId="16286" xr:uid="{00000000-0005-0000-0000-00009E3F0000}"/>
    <cellStyle name="Normal 2 2 2 2 5 17 5 8" xfId="16287" xr:uid="{00000000-0005-0000-0000-00009F3F0000}"/>
    <cellStyle name="Normal 2 2 2 2 5 17 5 9" xfId="16288" xr:uid="{00000000-0005-0000-0000-0000A03F0000}"/>
    <cellStyle name="Normal 2 2 2 2 5 17 6" xfId="16289" xr:uid="{00000000-0005-0000-0000-0000A13F0000}"/>
    <cellStyle name="Normal 2 2 2 2 5 17 7" xfId="16290" xr:uid="{00000000-0005-0000-0000-0000A23F0000}"/>
    <cellStyle name="Normal 2 2 2 2 5 17 8" xfId="16291" xr:uid="{00000000-0005-0000-0000-0000A33F0000}"/>
    <cellStyle name="Normal 2 2 2 2 5 17 9" xfId="16292" xr:uid="{00000000-0005-0000-0000-0000A43F0000}"/>
    <cellStyle name="Normal 2 2 2 2 5 18" xfId="16293" xr:uid="{00000000-0005-0000-0000-0000A53F0000}"/>
    <cellStyle name="Normal 2 2 2 2 5 18 10" xfId="16294" xr:uid="{00000000-0005-0000-0000-0000A63F0000}"/>
    <cellStyle name="Normal 2 2 2 2 5 18 11" xfId="16295" xr:uid="{00000000-0005-0000-0000-0000A73F0000}"/>
    <cellStyle name="Normal 2 2 2 2 5 18 12" xfId="16296" xr:uid="{00000000-0005-0000-0000-0000A83F0000}"/>
    <cellStyle name="Normal 2 2 2 2 5 18 13" xfId="16297" xr:uid="{00000000-0005-0000-0000-0000A93F0000}"/>
    <cellStyle name="Normal 2 2 2 2 5 18 14" xfId="16298" xr:uid="{00000000-0005-0000-0000-0000AA3F0000}"/>
    <cellStyle name="Normal 2 2 2 2 5 18 2" xfId="16299" xr:uid="{00000000-0005-0000-0000-0000AB3F0000}"/>
    <cellStyle name="Normal 2 2 2 2 5 18 2 10" xfId="16300" xr:uid="{00000000-0005-0000-0000-0000AC3F0000}"/>
    <cellStyle name="Normal 2 2 2 2 5 18 2 2" xfId="16301" xr:uid="{00000000-0005-0000-0000-0000AD3F0000}"/>
    <cellStyle name="Normal 2 2 2 2 5 18 2 3" xfId="16302" xr:uid="{00000000-0005-0000-0000-0000AE3F0000}"/>
    <cellStyle name="Normal 2 2 2 2 5 18 2 4" xfId="16303" xr:uid="{00000000-0005-0000-0000-0000AF3F0000}"/>
    <cellStyle name="Normal 2 2 2 2 5 18 2 5" xfId="16304" xr:uid="{00000000-0005-0000-0000-0000B03F0000}"/>
    <cellStyle name="Normal 2 2 2 2 5 18 2 6" xfId="16305" xr:uid="{00000000-0005-0000-0000-0000B13F0000}"/>
    <cellStyle name="Normal 2 2 2 2 5 18 2 7" xfId="16306" xr:uid="{00000000-0005-0000-0000-0000B23F0000}"/>
    <cellStyle name="Normal 2 2 2 2 5 18 2 8" xfId="16307" xr:uid="{00000000-0005-0000-0000-0000B33F0000}"/>
    <cellStyle name="Normal 2 2 2 2 5 18 2 9" xfId="16308" xr:uid="{00000000-0005-0000-0000-0000B43F0000}"/>
    <cellStyle name="Normal 2 2 2 2 5 18 3" xfId="16309" xr:uid="{00000000-0005-0000-0000-0000B53F0000}"/>
    <cellStyle name="Normal 2 2 2 2 5 18 3 10" xfId="16310" xr:uid="{00000000-0005-0000-0000-0000B63F0000}"/>
    <cellStyle name="Normal 2 2 2 2 5 18 3 2" xfId="16311" xr:uid="{00000000-0005-0000-0000-0000B73F0000}"/>
    <cellStyle name="Normal 2 2 2 2 5 18 3 3" xfId="16312" xr:uid="{00000000-0005-0000-0000-0000B83F0000}"/>
    <cellStyle name="Normal 2 2 2 2 5 18 3 4" xfId="16313" xr:uid="{00000000-0005-0000-0000-0000B93F0000}"/>
    <cellStyle name="Normal 2 2 2 2 5 18 3 5" xfId="16314" xr:uid="{00000000-0005-0000-0000-0000BA3F0000}"/>
    <cellStyle name="Normal 2 2 2 2 5 18 3 6" xfId="16315" xr:uid="{00000000-0005-0000-0000-0000BB3F0000}"/>
    <cellStyle name="Normal 2 2 2 2 5 18 3 7" xfId="16316" xr:uid="{00000000-0005-0000-0000-0000BC3F0000}"/>
    <cellStyle name="Normal 2 2 2 2 5 18 3 8" xfId="16317" xr:uid="{00000000-0005-0000-0000-0000BD3F0000}"/>
    <cellStyle name="Normal 2 2 2 2 5 18 3 9" xfId="16318" xr:uid="{00000000-0005-0000-0000-0000BE3F0000}"/>
    <cellStyle name="Normal 2 2 2 2 5 18 4" xfId="16319" xr:uid="{00000000-0005-0000-0000-0000BF3F0000}"/>
    <cellStyle name="Normal 2 2 2 2 5 18 4 10" xfId="16320" xr:uid="{00000000-0005-0000-0000-0000C03F0000}"/>
    <cellStyle name="Normal 2 2 2 2 5 18 4 2" xfId="16321" xr:uid="{00000000-0005-0000-0000-0000C13F0000}"/>
    <cellStyle name="Normal 2 2 2 2 5 18 4 3" xfId="16322" xr:uid="{00000000-0005-0000-0000-0000C23F0000}"/>
    <cellStyle name="Normal 2 2 2 2 5 18 4 4" xfId="16323" xr:uid="{00000000-0005-0000-0000-0000C33F0000}"/>
    <cellStyle name="Normal 2 2 2 2 5 18 4 5" xfId="16324" xr:uid="{00000000-0005-0000-0000-0000C43F0000}"/>
    <cellStyle name="Normal 2 2 2 2 5 18 4 6" xfId="16325" xr:uid="{00000000-0005-0000-0000-0000C53F0000}"/>
    <cellStyle name="Normal 2 2 2 2 5 18 4 7" xfId="16326" xr:uid="{00000000-0005-0000-0000-0000C63F0000}"/>
    <cellStyle name="Normal 2 2 2 2 5 18 4 8" xfId="16327" xr:uid="{00000000-0005-0000-0000-0000C73F0000}"/>
    <cellStyle name="Normal 2 2 2 2 5 18 4 9" xfId="16328" xr:uid="{00000000-0005-0000-0000-0000C83F0000}"/>
    <cellStyle name="Normal 2 2 2 2 5 18 5" xfId="16329" xr:uid="{00000000-0005-0000-0000-0000C93F0000}"/>
    <cellStyle name="Normal 2 2 2 2 5 18 5 10" xfId="16330" xr:uid="{00000000-0005-0000-0000-0000CA3F0000}"/>
    <cellStyle name="Normal 2 2 2 2 5 18 5 2" xfId="16331" xr:uid="{00000000-0005-0000-0000-0000CB3F0000}"/>
    <cellStyle name="Normal 2 2 2 2 5 18 5 3" xfId="16332" xr:uid="{00000000-0005-0000-0000-0000CC3F0000}"/>
    <cellStyle name="Normal 2 2 2 2 5 18 5 4" xfId="16333" xr:uid="{00000000-0005-0000-0000-0000CD3F0000}"/>
    <cellStyle name="Normal 2 2 2 2 5 18 5 5" xfId="16334" xr:uid="{00000000-0005-0000-0000-0000CE3F0000}"/>
    <cellStyle name="Normal 2 2 2 2 5 18 5 6" xfId="16335" xr:uid="{00000000-0005-0000-0000-0000CF3F0000}"/>
    <cellStyle name="Normal 2 2 2 2 5 18 5 7" xfId="16336" xr:uid="{00000000-0005-0000-0000-0000D03F0000}"/>
    <cellStyle name="Normal 2 2 2 2 5 18 5 8" xfId="16337" xr:uid="{00000000-0005-0000-0000-0000D13F0000}"/>
    <cellStyle name="Normal 2 2 2 2 5 18 5 9" xfId="16338" xr:uid="{00000000-0005-0000-0000-0000D23F0000}"/>
    <cellStyle name="Normal 2 2 2 2 5 18 6" xfId="16339" xr:uid="{00000000-0005-0000-0000-0000D33F0000}"/>
    <cellStyle name="Normal 2 2 2 2 5 18 7" xfId="16340" xr:uid="{00000000-0005-0000-0000-0000D43F0000}"/>
    <cellStyle name="Normal 2 2 2 2 5 18 8" xfId="16341" xr:uid="{00000000-0005-0000-0000-0000D53F0000}"/>
    <cellStyle name="Normal 2 2 2 2 5 18 9" xfId="16342" xr:uid="{00000000-0005-0000-0000-0000D63F0000}"/>
    <cellStyle name="Normal 2 2 2 2 5 19" xfId="16343" xr:uid="{00000000-0005-0000-0000-0000D73F0000}"/>
    <cellStyle name="Normal 2 2 2 2 5 19 10" xfId="16344" xr:uid="{00000000-0005-0000-0000-0000D83F0000}"/>
    <cellStyle name="Normal 2 2 2 2 5 19 11" xfId="16345" xr:uid="{00000000-0005-0000-0000-0000D93F0000}"/>
    <cellStyle name="Normal 2 2 2 2 5 19 12" xfId="16346" xr:uid="{00000000-0005-0000-0000-0000DA3F0000}"/>
    <cellStyle name="Normal 2 2 2 2 5 19 13" xfId="16347" xr:uid="{00000000-0005-0000-0000-0000DB3F0000}"/>
    <cellStyle name="Normal 2 2 2 2 5 19 14" xfId="16348" xr:uid="{00000000-0005-0000-0000-0000DC3F0000}"/>
    <cellStyle name="Normal 2 2 2 2 5 19 2" xfId="16349" xr:uid="{00000000-0005-0000-0000-0000DD3F0000}"/>
    <cellStyle name="Normal 2 2 2 2 5 19 2 10" xfId="16350" xr:uid="{00000000-0005-0000-0000-0000DE3F0000}"/>
    <cellStyle name="Normal 2 2 2 2 5 19 2 2" xfId="16351" xr:uid="{00000000-0005-0000-0000-0000DF3F0000}"/>
    <cellStyle name="Normal 2 2 2 2 5 19 2 3" xfId="16352" xr:uid="{00000000-0005-0000-0000-0000E03F0000}"/>
    <cellStyle name="Normal 2 2 2 2 5 19 2 4" xfId="16353" xr:uid="{00000000-0005-0000-0000-0000E13F0000}"/>
    <cellStyle name="Normal 2 2 2 2 5 19 2 5" xfId="16354" xr:uid="{00000000-0005-0000-0000-0000E23F0000}"/>
    <cellStyle name="Normal 2 2 2 2 5 19 2 6" xfId="16355" xr:uid="{00000000-0005-0000-0000-0000E33F0000}"/>
    <cellStyle name="Normal 2 2 2 2 5 19 2 7" xfId="16356" xr:uid="{00000000-0005-0000-0000-0000E43F0000}"/>
    <cellStyle name="Normal 2 2 2 2 5 19 2 8" xfId="16357" xr:uid="{00000000-0005-0000-0000-0000E53F0000}"/>
    <cellStyle name="Normal 2 2 2 2 5 19 2 9" xfId="16358" xr:uid="{00000000-0005-0000-0000-0000E63F0000}"/>
    <cellStyle name="Normal 2 2 2 2 5 19 3" xfId="16359" xr:uid="{00000000-0005-0000-0000-0000E73F0000}"/>
    <cellStyle name="Normal 2 2 2 2 5 19 3 10" xfId="16360" xr:uid="{00000000-0005-0000-0000-0000E83F0000}"/>
    <cellStyle name="Normal 2 2 2 2 5 19 3 2" xfId="16361" xr:uid="{00000000-0005-0000-0000-0000E93F0000}"/>
    <cellStyle name="Normal 2 2 2 2 5 19 3 3" xfId="16362" xr:uid="{00000000-0005-0000-0000-0000EA3F0000}"/>
    <cellStyle name="Normal 2 2 2 2 5 19 3 4" xfId="16363" xr:uid="{00000000-0005-0000-0000-0000EB3F0000}"/>
    <cellStyle name="Normal 2 2 2 2 5 19 3 5" xfId="16364" xr:uid="{00000000-0005-0000-0000-0000EC3F0000}"/>
    <cellStyle name="Normal 2 2 2 2 5 19 3 6" xfId="16365" xr:uid="{00000000-0005-0000-0000-0000ED3F0000}"/>
    <cellStyle name="Normal 2 2 2 2 5 19 3 7" xfId="16366" xr:uid="{00000000-0005-0000-0000-0000EE3F0000}"/>
    <cellStyle name="Normal 2 2 2 2 5 19 3 8" xfId="16367" xr:uid="{00000000-0005-0000-0000-0000EF3F0000}"/>
    <cellStyle name="Normal 2 2 2 2 5 19 3 9" xfId="16368" xr:uid="{00000000-0005-0000-0000-0000F03F0000}"/>
    <cellStyle name="Normal 2 2 2 2 5 19 4" xfId="16369" xr:uid="{00000000-0005-0000-0000-0000F13F0000}"/>
    <cellStyle name="Normal 2 2 2 2 5 19 4 10" xfId="16370" xr:uid="{00000000-0005-0000-0000-0000F23F0000}"/>
    <cellStyle name="Normal 2 2 2 2 5 19 4 2" xfId="16371" xr:uid="{00000000-0005-0000-0000-0000F33F0000}"/>
    <cellStyle name="Normal 2 2 2 2 5 19 4 3" xfId="16372" xr:uid="{00000000-0005-0000-0000-0000F43F0000}"/>
    <cellStyle name="Normal 2 2 2 2 5 19 4 4" xfId="16373" xr:uid="{00000000-0005-0000-0000-0000F53F0000}"/>
    <cellStyle name="Normal 2 2 2 2 5 19 4 5" xfId="16374" xr:uid="{00000000-0005-0000-0000-0000F63F0000}"/>
    <cellStyle name="Normal 2 2 2 2 5 19 4 6" xfId="16375" xr:uid="{00000000-0005-0000-0000-0000F73F0000}"/>
    <cellStyle name="Normal 2 2 2 2 5 19 4 7" xfId="16376" xr:uid="{00000000-0005-0000-0000-0000F83F0000}"/>
    <cellStyle name="Normal 2 2 2 2 5 19 4 8" xfId="16377" xr:uid="{00000000-0005-0000-0000-0000F93F0000}"/>
    <cellStyle name="Normal 2 2 2 2 5 19 4 9" xfId="16378" xr:uid="{00000000-0005-0000-0000-0000FA3F0000}"/>
    <cellStyle name="Normal 2 2 2 2 5 19 5" xfId="16379" xr:uid="{00000000-0005-0000-0000-0000FB3F0000}"/>
    <cellStyle name="Normal 2 2 2 2 5 19 5 10" xfId="16380" xr:uid="{00000000-0005-0000-0000-0000FC3F0000}"/>
    <cellStyle name="Normal 2 2 2 2 5 19 5 2" xfId="16381" xr:uid="{00000000-0005-0000-0000-0000FD3F0000}"/>
    <cellStyle name="Normal 2 2 2 2 5 19 5 3" xfId="16382" xr:uid="{00000000-0005-0000-0000-0000FE3F0000}"/>
    <cellStyle name="Normal 2 2 2 2 5 19 5 4" xfId="16383" xr:uid="{00000000-0005-0000-0000-0000FF3F0000}"/>
    <cellStyle name="Normal 2 2 2 2 5 19 5 5" xfId="16384" xr:uid="{00000000-0005-0000-0000-000000400000}"/>
    <cellStyle name="Normal 2 2 2 2 5 19 5 6" xfId="16385" xr:uid="{00000000-0005-0000-0000-000001400000}"/>
    <cellStyle name="Normal 2 2 2 2 5 19 5 7" xfId="16386" xr:uid="{00000000-0005-0000-0000-000002400000}"/>
    <cellStyle name="Normal 2 2 2 2 5 19 5 8" xfId="16387" xr:uid="{00000000-0005-0000-0000-000003400000}"/>
    <cellStyle name="Normal 2 2 2 2 5 19 5 9" xfId="16388" xr:uid="{00000000-0005-0000-0000-000004400000}"/>
    <cellStyle name="Normal 2 2 2 2 5 19 6" xfId="16389" xr:uid="{00000000-0005-0000-0000-000005400000}"/>
    <cellStyle name="Normal 2 2 2 2 5 19 7" xfId="16390" xr:uid="{00000000-0005-0000-0000-000006400000}"/>
    <cellStyle name="Normal 2 2 2 2 5 19 8" xfId="16391" xr:uid="{00000000-0005-0000-0000-000007400000}"/>
    <cellStyle name="Normal 2 2 2 2 5 19 9" xfId="16392" xr:uid="{00000000-0005-0000-0000-000008400000}"/>
    <cellStyle name="Normal 2 2 2 2 5 2" xfId="16393" xr:uid="{00000000-0005-0000-0000-000009400000}"/>
    <cellStyle name="Normal 2 2 2 2 5 2 10" xfId="16394" xr:uid="{00000000-0005-0000-0000-00000A400000}"/>
    <cellStyle name="Normal 2 2 2 2 5 2 11" xfId="16395" xr:uid="{00000000-0005-0000-0000-00000B400000}"/>
    <cellStyle name="Normal 2 2 2 2 5 2 12" xfId="16396" xr:uid="{00000000-0005-0000-0000-00000C400000}"/>
    <cellStyle name="Normal 2 2 2 2 5 2 13" xfId="16397" xr:uid="{00000000-0005-0000-0000-00000D400000}"/>
    <cellStyle name="Normal 2 2 2 2 5 2 14" xfId="16398" xr:uid="{00000000-0005-0000-0000-00000E400000}"/>
    <cellStyle name="Normal 2 2 2 2 5 2 15" xfId="16399" xr:uid="{00000000-0005-0000-0000-00000F400000}"/>
    <cellStyle name="Normal 2 2 2 2 5 2 16" xfId="16400" xr:uid="{00000000-0005-0000-0000-000010400000}"/>
    <cellStyle name="Normal 2 2 2 2 5 2 17" xfId="16401" xr:uid="{00000000-0005-0000-0000-000011400000}"/>
    <cellStyle name="Normal 2 2 2 2 5 2 18" xfId="16402" xr:uid="{00000000-0005-0000-0000-000012400000}"/>
    <cellStyle name="Normal 2 2 2 2 5 2 19" xfId="16403" xr:uid="{00000000-0005-0000-0000-000013400000}"/>
    <cellStyle name="Normal 2 2 2 2 5 2 2" xfId="16404" xr:uid="{00000000-0005-0000-0000-000014400000}"/>
    <cellStyle name="Normal 2 2 2 2 5 2 20" xfId="16405" xr:uid="{00000000-0005-0000-0000-000015400000}"/>
    <cellStyle name="Normal 2 2 2 2 5 2 21" xfId="16406" xr:uid="{00000000-0005-0000-0000-000016400000}"/>
    <cellStyle name="Normal 2 2 2 2 5 2 21 10" xfId="16407" xr:uid="{00000000-0005-0000-0000-000017400000}"/>
    <cellStyle name="Normal 2 2 2 2 5 2 21 2" xfId="16408" xr:uid="{00000000-0005-0000-0000-000018400000}"/>
    <cellStyle name="Normal 2 2 2 2 5 2 21 3" xfId="16409" xr:uid="{00000000-0005-0000-0000-000019400000}"/>
    <cellStyle name="Normal 2 2 2 2 5 2 21 4" xfId="16410" xr:uid="{00000000-0005-0000-0000-00001A400000}"/>
    <cellStyle name="Normal 2 2 2 2 5 2 21 5" xfId="16411" xr:uid="{00000000-0005-0000-0000-00001B400000}"/>
    <cellStyle name="Normal 2 2 2 2 5 2 21 6" xfId="16412" xr:uid="{00000000-0005-0000-0000-00001C400000}"/>
    <cellStyle name="Normal 2 2 2 2 5 2 21 7" xfId="16413" xr:uid="{00000000-0005-0000-0000-00001D400000}"/>
    <cellStyle name="Normal 2 2 2 2 5 2 21 8" xfId="16414" xr:uid="{00000000-0005-0000-0000-00001E400000}"/>
    <cellStyle name="Normal 2 2 2 2 5 2 21 9" xfId="16415" xr:uid="{00000000-0005-0000-0000-00001F400000}"/>
    <cellStyle name="Normal 2 2 2 2 5 2 22" xfId="16416" xr:uid="{00000000-0005-0000-0000-000020400000}"/>
    <cellStyle name="Normal 2 2 2 2 5 2 22 10" xfId="16417" xr:uid="{00000000-0005-0000-0000-000021400000}"/>
    <cellStyle name="Normal 2 2 2 2 5 2 22 2" xfId="16418" xr:uid="{00000000-0005-0000-0000-000022400000}"/>
    <cellStyle name="Normal 2 2 2 2 5 2 22 3" xfId="16419" xr:uid="{00000000-0005-0000-0000-000023400000}"/>
    <cellStyle name="Normal 2 2 2 2 5 2 22 4" xfId="16420" xr:uid="{00000000-0005-0000-0000-000024400000}"/>
    <cellStyle name="Normal 2 2 2 2 5 2 22 5" xfId="16421" xr:uid="{00000000-0005-0000-0000-000025400000}"/>
    <cellStyle name="Normal 2 2 2 2 5 2 22 6" xfId="16422" xr:uid="{00000000-0005-0000-0000-000026400000}"/>
    <cellStyle name="Normal 2 2 2 2 5 2 22 7" xfId="16423" xr:uid="{00000000-0005-0000-0000-000027400000}"/>
    <cellStyle name="Normal 2 2 2 2 5 2 22 8" xfId="16424" xr:uid="{00000000-0005-0000-0000-000028400000}"/>
    <cellStyle name="Normal 2 2 2 2 5 2 22 9" xfId="16425" xr:uid="{00000000-0005-0000-0000-000029400000}"/>
    <cellStyle name="Normal 2 2 2 2 5 2 23" xfId="16426" xr:uid="{00000000-0005-0000-0000-00002A400000}"/>
    <cellStyle name="Normal 2 2 2 2 5 2 23 10" xfId="16427" xr:uid="{00000000-0005-0000-0000-00002B400000}"/>
    <cellStyle name="Normal 2 2 2 2 5 2 23 2" xfId="16428" xr:uid="{00000000-0005-0000-0000-00002C400000}"/>
    <cellStyle name="Normal 2 2 2 2 5 2 23 3" xfId="16429" xr:uid="{00000000-0005-0000-0000-00002D400000}"/>
    <cellStyle name="Normal 2 2 2 2 5 2 23 4" xfId="16430" xr:uid="{00000000-0005-0000-0000-00002E400000}"/>
    <cellStyle name="Normal 2 2 2 2 5 2 23 5" xfId="16431" xr:uid="{00000000-0005-0000-0000-00002F400000}"/>
    <cellStyle name="Normal 2 2 2 2 5 2 23 6" xfId="16432" xr:uid="{00000000-0005-0000-0000-000030400000}"/>
    <cellStyle name="Normal 2 2 2 2 5 2 23 7" xfId="16433" xr:uid="{00000000-0005-0000-0000-000031400000}"/>
    <cellStyle name="Normal 2 2 2 2 5 2 23 8" xfId="16434" xr:uid="{00000000-0005-0000-0000-000032400000}"/>
    <cellStyle name="Normal 2 2 2 2 5 2 23 9" xfId="16435" xr:uid="{00000000-0005-0000-0000-000033400000}"/>
    <cellStyle name="Normal 2 2 2 2 5 2 24" xfId="16436" xr:uid="{00000000-0005-0000-0000-000034400000}"/>
    <cellStyle name="Normal 2 2 2 2 5 2 24 10" xfId="16437" xr:uid="{00000000-0005-0000-0000-000035400000}"/>
    <cellStyle name="Normal 2 2 2 2 5 2 24 2" xfId="16438" xr:uid="{00000000-0005-0000-0000-000036400000}"/>
    <cellStyle name="Normal 2 2 2 2 5 2 24 3" xfId="16439" xr:uid="{00000000-0005-0000-0000-000037400000}"/>
    <cellStyle name="Normal 2 2 2 2 5 2 24 4" xfId="16440" xr:uid="{00000000-0005-0000-0000-000038400000}"/>
    <cellStyle name="Normal 2 2 2 2 5 2 24 5" xfId="16441" xr:uid="{00000000-0005-0000-0000-000039400000}"/>
    <cellStyle name="Normal 2 2 2 2 5 2 24 6" xfId="16442" xr:uid="{00000000-0005-0000-0000-00003A400000}"/>
    <cellStyle name="Normal 2 2 2 2 5 2 24 7" xfId="16443" xr:uid="{00000000-0005-0000-0000-00003B400000}"/>
    <cellStyle name="Normal 2 2 2 2 5 2 24 8" xfId="16444" xr:uid="{00000000-0005-0000-0000-00003C400000}"/>
    <cellStyle name="Normal 2 2 2 2 5 2 24 9" xfId="16445" xr:uid="{00000000-0005-0000-0000-00003D400000}"/>
    <cellStyle name="Normal 2 2 2 2 5 2 25" xfId="16446" xr:uid="{00000000-0005-0000-0000-00003E400000}"/>
    <cellStyle name="Normal 2 2 2 2 5 2 26" xfId="16447" xr:uid="{00000000-0005-0000-0000-00003F400000}"/>
    <cellStyle name="Normal 2 2 2 2 5 2 27" xfId="16448" xr:uid="{00000000-0005-0000-0000-000040400000}"/>
    <cellStyle name="Normal 2 2 2 2 5 2 28" xfId="16449" xr:uid="{00000000-0005-0000-0000-000041400000}"/>
    <cellStyle name="Normal 2 2 2 2 5 2 29" xfId="16450" xr:uid="{00000000-0005-0000-0000-000042400000}"/>
    <cellStyle name="Normal 2 2 2 2 5 2 3" xfId="16451" xr:uid="{00000000-0005-0000-0000-000043400000}"/>
    <cellStyle name="Normal 2 2 2 2 5 2 30" xfId="16452" xr:uid="{00000000-0005-0000-0000-000044400000}"/>
    <cellStyle name="Normal 2 2 2 2 5 2 31" xfId="16453" xr:uid="{00000000-0005-0000-0000-000045400000}"/>
    <cellStyle name="Normal 2 2 2 2 5 2 32" xfId="16454" xr:uid="{00000000-0005-0000-0000-000046400000}"/>
    <cellStyle name="Normal 2 2 2 2 5 2 33" xfId="16455" xr:uid="{00000000-0005-0000-0000-000047400000}"/>
    <cellStyle name="Normal 2 2 2 2 5 2 4" xfId="16456" xr:uid="{00000000-0005-0000-0000-000048400000}"/>
    <cellStyle name="Normal 2 2 2 2 5 2 5" xfId="16457" xr:uid="{00000000-0005-0000-0000-000049400000}"/>
    <cellStyle name="Normal 2 2 2 2 5 2 6" xfId="16458" xr:uid="{00000000-0005-0000-0000-00004A400000}"/>
    <cellStyle name="Normal 2 2 2 2 5 2 7" xfId="16459" xr:uid="{00000000-0005-0000-0000-00004B400000}"/>
    <cellStyle name="Normal 2 2 2 2 5 2 8" xfId="16460" xr:uid="{00000000-0005-0000-0000-00004C400000}"/>
    <cellStyle name="Normal 2 2 2 2 5 2 9" xfId="16461" xr:uid="{00000000-0005-0000-0000-00004D400000}"/>
    <cellStyle name="Normal 2 2 2 2 5 20" xfId="16462" xr:uid="{00000000-0005-0000-0000-00004E400000}"/>
    <cellStyle name="Normal 2 2 2 2 5 20 10" xfId="16463" xr:uid="{00000000-0005-0000-0000-00004F400000}"/>
    <cellStyle name="Normal 2 2 2 2 5 20 11" xfId="16464" xr:uid="{00000000-0005-0000-0000-000050400000}"/>
    <cellStyle name="Normal 2 2 2 2 5 20 12" xfId="16465" xr:uid="{00000000-0005-0000-0000-000051400000}"/>
    <cellStyle name="Normal 2 2 2 2 5 20 13" xfId="16466" xr:uid="{00000000-0005-0000-0000-000052400000}"/>
    <cellStyle name="Normal 2 2 2 2 5 20 14" xfId="16467" xr:uid="{00000000-0005-0000-0000-000053400000}"/>
    <cellStyle name="Normal 2 2 2 2 5 20 2" xfId="16468" xr:uid="{00000000-0005-0000-0000-000054400000}"/>
    <cellStyle name="Normal 2 2 2 2 5 20 2 10" xfId="16469" xr:uid="{00000000-0005-0000-0000-000055400000}"/>
    <cellStyle name="Normal 2 2 2 2 5 20 2 2" xfId="16470" xr:uid="{00000000-0005-0000-0000-000056400000}"/>
    <cellStyle name="Normal 2 2 2 2 5 20 2 3" xfId="16471" xr:uid="{00000000-0005-0000-0000-000057400000}"/>
    <cellStyle name="Normal 2 2 2 2 5 20 2 4" xfId="16472" xr:uid="{00000000-0005-0000-0000-000058400000}"/>
    <cellStyle name="Normal 2 2 2 2 5 20 2 5" xfId="16473" xr:uid="{00000000-0005-0000-0000-000059400000}"/>
    <cellStyle name="Normal 2 2 2 2 5 20 2 6" xfId="16474" xr:uid="{00000000-0005-0000-0000-00005A400000}"/>
    <cellStyle name="Normal 2 2 2 2 5 20 2 7" xfId="16475" xr:uid="{00000000-0005-0000-0000-00005B400000}"/>
    <cellStyle name="Normal 2 2 2 2 5 20 2 8" xfId="16476" xr:uid="{00000000-0005-0000-0000-00005C400000}"/>
    <cellStyle name="Normal 2 2 2 2 5 20 2 9" xfId="16477" xr:uid="{00000000-0005-0000-0000-00005D400000}"/>
    <cellStyle name="Normal 2 2 2 2 5 20 3" xfId="16478" xr:uid="{00000000-0005-0000-0000-00005E400000}"/>
    <cellStyle name="Normal 2 2 2 2 5 20 3 10" xfId="16479" xr:uid="{00000000-0005-0000-0000-00005F400000}"/>
    <cellStyle name="Normal 2 2 2 2 5 20 3 2" xfId="16480" xr:uid="{00000000-0005-0000-0000-000060400000}"/>
    <cellStyle name="Normal 2 2 2 2 5 20 3 3" xfId="16481" xr:uid="{00000000-0005-0000-0000-000061400000}"/>
    <cellStyle name="Normal 2 2 2 2 5 20 3 4" xfId="16482" xr:uid="{00000000-0005-0000-0000-000062400000}"/>
    <cellStyle name="Normal 2 2 2 2 5 20 3 5" xfId="16483" xr:uid="{00000000-0005-0000-0000-000063400000}"/>
    <cellStyle name="Normal 2 2 2 2 5 20 3 6" xfId="16484" xr:uid="{00000000-0005-0000-0000-000064400000}"/>
    <cellStyle name="Normal 2 2 2 2 5 20 3 7" xfId="16485" xr:uid="{00000000-0005-0000-0000-000065400000}"/>
    <cellStyle name="Normal 2 2 2 2 5 20 3 8" xfId="16486" xr:uid="{00000000-0005-0000-0000-000066400000}"/>
    <cellStyle name="Normal 2 2 2 2 5 20 3 9" xfId="16487" xr:uid="{00000000-0005-0000-0000-000067400000}"/>
    <cellStyle name="Normal 2 2 2 2 5 20 4" xfId="16488" xr:uid="{00000000-0005-0000-0000-000068400000}"/>
    <cellStyle name="Normal 2 2 2 2 5 20 4 10" xfId="16489" xr:uid="{00000000-0005-0000-0000-000069400000}"/>
    <cellStyle name="Normal 2 2 2 2 5 20 4 2" xfId="16490" xr:uid="{00000000-0005-0000-0000-00006A400000}"/>
    <cellStyle name="Normal 2 2 2 2 5 20 4 3" xfId="16491" xr:uid="{00000000-0005-0000-0000-00006B400000}"/>
    <cellStyle name="Normal 2 2 2 2 5 20 4 4" xfId="16492" xr:uid="{00000000-0005-0000-0000-00006C400000}"/>
    <cellStyle name="Normal 2 2 2 2 5 20 4 5" xfId="16493" xr:uid="{00000000-0005-0000-0000-00006D400000}"/>
    <cellStyle name="Normal 2 2 2 2 5 20 4 6" xfId="16494" xr:uid="{00000000-0005-0000-0000-00006E400000}"/>
    <cellStyle name="Normal 2 2 2 2 5 20 4 7" xfId="16495" xr:uid="{00000000-0005-0000-0000-00006F400000}"/>
    <cellStyle name="Normal 2 2 2 2 5 20 4 8" xfId="16496" xr:uid="{00000000-0005-0000-0000-000070400000}"/>
    <cellStyle name="Normal 2 2 2 2 5 20 4 9" xfId="16497" xr:uid="{00000000-0005-0000-0000-000071400000}"/>
    <cellStyle name="Normal 2 2 2 2 5 20 5" xfId="16498" xr:uid="{00000000-0005-0000-0000-000072400000}"/>
    <cellStyle name="Normal 2 2 2 2 5 20 5 10" xfId="16499" xr:uid="{00000000-0005-0000-0000-000073400000}"/>
    <cellStyle name="Normal 2 2 2 2 5 20 5 2" xfId="16500" xr:uid="{00000000-0005-0000-0000-000074400000}"/>
    <cellStyle name="Normal 2 2 2 2 5 20 5 3" xfId="16501" xr:uid="{00000000-0005-0000-0000-000075400000}"/>
    <cellStyle name="Normal 2 2 2 2 5 20 5 4" xfId="16502" xr:uid="{00000000-0005-0000-0000-000076400000}"/>
    <cellStyle name="Normal 2 2 2 2 5 20 5 5" xfId="16503" xr:uid="{00000000-0005-0000-0000-000077400000}"/>
    <cellStyle name="Normal 2 2 2 2 5 20 5 6" xfId="16504" xr:uid="{00000000-0005-0000-0000-000078400000}"/>
    <cellStyle name="Normal 2 2 2 2 5 20 5 7" xfId="16505" xr:uid="{00000000-0005-0000-0000-000079400000}"/>
    <cellStyle name="Normal 2 2 2 2 5 20 5 8" xfId="16506" xr:uid="{00000000-0005-0000-0000-00007A400000}"/>
    <cellStyle name="Normal 2 2 2 2 5 20 5 9" xfId="16507" xr:uid="{00000000-0005-0000-0000-00007B400000}"/>
    <cellStyle name="Normal 2 2 2 2 5 20 6" xfId="16508" xr:uid="{00000000-0005-0000-0000-00007C400000}"/>
    <cellStyle name="Normal 2 2 2 2 5 20 7" xfId="16509" xr:uid="{00000000-0005-0000-0000-00007D400000}"/>
    <cellStyle name="Normal 2 2 2 2 5 20 8" xfId="16510" xr:uid="{00000000-0005-0000-0000-00007E400000}"/>
    <cellStyle name="Normal 2 2 2 2 5 20 9" xfId="16511" xr:uid="{00000000-0005-0000-0000-00007F400000}"/>
    <cellStyle name="Normal 2 2 2 2 5 21" xfId="16512" xr:uid="{00000000-0005-0000-0000-000080400000}"/>
    <cellStyle name="Normal 2 2 2 2 5 22" xfId="16513" xr:uid="{00000000-0005-0000-0000-000081400000}"/>
    <cellStyle name="Normal 2 2 2 2 5 3" xfId="16514" xr:uid="{00000000-0005-0000-0000-000082400000}"/>
    <cellStyle name="Normal 2 2 2 2 5 3 10" xfId="16515" xr:uid="{00000000-0005-0000-0000-000083400000}"/>
    <cellStyle name="Normal 2 2 2 2 5 3 11" xfId="16516" xr:uid="{00000000-0005-0000-0000-000084400000}"/>
    <cellStyle name="Normal 2 2 2 2 5 3 12" xfId="16517" xr:uid="{00000000-0005-0000-0000-000085400000}"/>
    <cellStyle name="Normal 2 2 2 2 5 3 13" xfId="16518" xr:uid="{00000000-0005-0000-0000-000086400000}"/>
    <cellStyle name="Normal 2 2 2 2 5 3 14" xfId="16519" xr:uid="{00000000-0005-0000-0000-000087400000}"/>
    <cellStyle name="Normal 2 2 2 2 5 3 2" xfId="16520" xr:uid="{00000000-0005-0000-0000-000088400000}"/>
    <cellStyle name="Normal 2 2 2 2 5 3 2 10" xfId="16521" xr:uid="{00000000-0005-0000-0000-000089400000}"/>
    <cellStyle name="Normal 2 2 2 2 5 3 2 2" xfId="16522" xr:uid="{00000000-0005-0000-0000-00008A400000}"/>
    <cellStyle name="Normal 2 2 2 2 5 3 2 3" xfId="16523" xr:uid="{00000000-0005-0000-0000-00008B400000}"/>
    <cellStyle name="Normal 2 2 2 2 5 3 2 4" xfId="16524" xr:uid="{00000000-0005-0000-0000-00008C400000}"/>
    <cellStyle name="Normal 2 2 2 2 5 3 2 5" xfId="16525" xr:uid="{00000000-0005-0000-0000-00008D400000}"/>
    <cellStyle name="Normal 2 2 2 2 5 3 2 6" xfId="16526" xr:uid="{00000000-0005-0000-0000-00008E400000}"/>
    <cellStyle name="Normal 2 2 2 2 5 3 2 7" xfId="16527" xr:uid="{00000000-0005-0000-0000-00008F400000}"/>
    <cellStyle name="Normal 2 2 2 2 5 3 2 8" xfId="16528" xr:uid="{00000000-0005-0000-0000-000090400000}"/>
    <cellStyle name="Normal 2 2 2 2 5 3 2 9" xfId="16529" xr:uid="{00000000-0005-0000-0000-000091400000}"/>
    <cellStyle name="Normal 2 2 2 2 5 3 3" xfId="16530" xr:uid="{00000000-0005-0000-0000-000092400000}"/>
    <cellStyle name="Normal 2 2 2 2 5 3 3 10" xfId="16531" xr:uid="{00000000-0005-0000-0000-000093400000}"/>
    <cellStyle name="Normal 2 2 2 2 5 3 3 2" xfId="16532" xr:uid="{00000000-0005-0000-0000-000094400000}"/>
    <cellStyle name="Normal 2 2 2 2 5 3 3 3" xfId="16533" xr:uid="{00000000-0005-0000-0000-000095400000}"/>
    <cellStyle name="Normal 2 2 2 2 5 3 3 4" xfId="16534" xr:uid="{00000000-0005-0000-0000-000096400000}"/>
    <cellStyle name="Normal 2 2 2 2 5 3 3 5" xfId="16535" xr:uid="{00000000-0005-0000-0000-000097400000}"/>
    <cellStyle name="Normal 2 2 2 2 5 3 3 6" xfId="16536" xr:uid="{00000000-0005-0000-0000-000098400000}"/>
    <cellStyle name="Normal 2 2 2 2 5 3 3 7" xfId="16537" xr:uid="{00000000-0005-0000-0000-000099400000}"/>
    <cellStyle name="Normal 2 2 2 2 5 3 3 8" xfId="16538" xr:uid="{00000000-0005-0000-0000-00009A400000}"/>
    <cellStyle name="Normal 2 2 2 2 5 3 3 9" xfId="16539" xr:uid="{00000000-0005-0000-0000-00009B400000}"/>
    <cellStyle name="Normal 2 2 2 2 5 3 4" xfId="16540" xr:uid="{00000000-0005-0000-0000-00009C400000}"/>
    <cellStyle name="Normal 2 2 2 2 5 3 4 10" xfId="16541" xr:uid="{00000000-0005-0000-0000-00009D400000}"/>
    <cellStyle name="Normal 2 2 2 2 5 3 4 2" xfId="16542" xr:uid="{00000000-0005-0000-0000-00009E400000}"/>
    <cellStyle name="Normal 2 2 2 2 5 3 4 3" xfId="16543" xr:uid="{00000000-0005-0000-0000-00009F400000}"/>
    <cellStyle name="Normal 2 2 2 2 5 3 4 4" xfId="16544" xr:uid="{00000000-0005-0000-0000-0000A0400000}"/>
    <cellStyle name="Normal 2 2 2 2 5 3 4 5" xfId="16545" xr:uid="{00000000-0005-0000-0000-0000A1400000}"/>
    <cellStyle name="Normal 2 2 2 2 5 3 4 6" xfId="16546" xr:uid="{00000000-0005-0000-0000-0000A2400000}"/>
    <cellStyle name="Normal 2 2 2 2 5 3 4 7" xfId="16547" xr:uid="{00000000-0005-0000-0000-0000A3400000}"/>
    <cellStyle name="Normal 2 2 2 2 5 3 4 8" xfId="16548" xr:uid="{00000000-0005-0000-0000-0000A4400000}"/>
    <cellStyle name="Normal 2 2 2 2 5 3 4 9" xfId="16549" xr:uid="{00000000-0005-0000-0000-0000A5400000}"/>
    <cellStyle name="Normal 2 2 2 2 5 3 5" xfId="16550" xr:uid="{00000000-0005-0000-0000-0000A6400000}"/>
    <cellStyle name="Normal 2 2 2 2 5 3 5 10" xfId="16551" xr:uid="{00000000-0005-0000-0000-0000A7400000}"/>
    <cellStyle name="Normal 2 2 2 2 5 3 5 2" xfId="16552" xr:uid="{00000000-0005-0000-0000-0000A8400000}"/>
    <cellStyle name="Normal 2 2 2 2 5 3 5 3" xfId="16553" xr:uid="{00000000-0005-0000-0000-0000A9400000}"/>
    <cellStyle name="Normal 2 2 2 2 5 3 5 4" xfId="16554" xr:uid="{00000000-0005-0000-0000-0000AA400000}"/>
    <cellStyle name="Normal 2 2 2 2 5 3 5 5" xfId="16555" xr:uid="{00000000-0005-0000-0000-0000AB400000}"/>
    <cellStyle name="Normal 2 2 2 2 5 3 5 6" xfId="16556" xr:uid="{00000000-0005-0000-0000-0000AC400000}"/>
    <cellStyle name="Normal 2 2 2 2 5 3 5 7" xfId="16557" xr:uid="{00000000-0005-0000-0000-0000AD400000}"/>
    <cellStyle name="Normal 2 2 2 2 5 3 5 8" xfId="16558" xr:uid="{00000000-0005-0000-0000-0000AE400000}"/>
    <cellStyle name="Normal 2 2 2 2 5 3 5 9" xfId="16559" xr:uid="{00000000-0005-0000-0000-0000AF400000}"/>
    <cellStyle name="Normal 2 2 2 2 5 3 6" xfId="16560" xr:uid="{00000000-0005-0000-0000-0000B0400000}"/>
    <cellStyle name="Normal 2 2 2 2 5 3 7" xfId="16561" xr:uid="{00000000-0005-0000-0000-0000B1400000}"/>
    <cellStyle name="Normal 2 2 2 2 5 3 8" xfId="16562" xr:uid="{00000000-0005-0000-0000-0000B2400000}"/>
    <cellStyle name="Normal 2 2 2 2 5 3 9" xfId="16563" xr:uid="{00000000-0005-0000-0000-0000B3400000}"/>
    <cellStyle name="Normal 2 2 2 2 5 4" xfId="16564" xr:uid="{00000000-0005-0000-0000-0000B4400000}"/>
    <cellStyle name="Normal 2 2 2 2 5 4 10" xfId="16565" xr:uid="{00000000-0005-0000-0000-0000B5400000}"/>
    <cellStyle name="Normal 2 2 2 2 5 4 11" xfId="16566" xr:uid="{00000000-0005-0000-0000-0000B6400000}"/>
    <cellStyle name="Normal 2 2 2 2 5 4 12" xfId="16567" xr:uid="{00000000-0005-0000-0000-0000B7400000}"/>
    <cellStyle name="Normal 2 2 2 2 5 4 13" xfId="16568" xr:uid="{00000000-0005-0000-0000-0000B8400000}"/>
    <cellStyle name="Normal 2 2 2 2 5 4 14" xfId="16569" xr:uid="{00000000-0005-0000-0000-0000B9400000}"/>
    <cellStyle name="Normal 2 2 2 2 5 4 2" xfId="16570" xr:uid="{00000000-0005-0000-0000-0000BA400000}"/>
    <cellStyle name="Normal 2 2 2 2 5 4 2 10" xfId="16571" xr:uid="{00000000-0005-0000-0000-0000BB400000}"/>
    <cellStyle name="Normal 2 2 2 2 5 4 2 2" xfId="16572" xr:uid="{00000000-0005-0000-0000-0000BC400000}"/>
    <cellStyle name="Normal 2 2 2 2 5 4 2 3" xfId="16573" xr:uid="{00000000-0005-0000-0000-0000BD400000}"/>
    <cellStyle name="Normal 2 2 2 2 5 4 2 4" xfId="16574" xr:uid="{00000000-0005-0000-0000-0000BE400000}"/>
    <cellStyle name="Normal 2 2 2 2 5 4 2 5" xfId="16575" xr:uid="{00000000-0005-0000-0000-0000BF400000}"/>
    <cellStyle name="Normal 2 2 2 2 5 4 2 6" xfId="16576" xr:uid="{00000000-0005-0000-0000-0000C0400000}"/>
    <cellStyle name="Normal 2 2 2 2 5 4 2 7" xfId="16577" xr:uid="{00000000-0005-0000-0000-0000C1400000}"/>
    <cellStyle name="Normal 2 2 2 2 5 4 2 8" xfId="16578" xr:uid="{00000000-0005-0000-0000-0000C2400000}"/>
    <cellStyle name="Normal 2 2 2 2 5 4 2 9" xfId="16579" xr:uid="{00000000-0005-0000-0000-0000C3400000}"/>
    <cellStyle name="Normal 2 2 2 2 5 4 3" xfId="16580" xr:uid="{00000000-0005-0000-0000-0000C4400000}"/>
    <cellStyle name="Normal 2 2 2 2 5 4 3 10" xfId="16581" xr:uid="{00000000-0005-0000-0000-0000C5400000}"/>
    <cellStyle name="Normal 2 2 2 2 5 4 3 2" xfId="16582" xr:uid="{00000000-0005-0000-0000-0000C6400000}"/>
    <cellStyle name="Normal 2 2 2 2 5 4 3 3" xfId="16583" xr:uid="{00000000-0005-0000-0000-0000C7400000}"/>
    <cellStyle name="Normal 2 2 2 2 5 4 3 4" xfId="16584" xr:uid="{00000000-0005-0000-0000-0000C8400000}"/>
    <cellStyle name="Normal 2 2 2 2 5 4 3 5" xfId="16585" xr:uid="{00000000-0005-0000-0000-0000C9400000}"/>
    <cellStyle name="Normal 2 2 2 2 5 4 3 6" xfId="16586" xr:uid="{00000000-0005-0000-0000-0000CA400000}"/>
    <cellStyle name="Normal 2 2 2 2 5 4 3 7" xfId="16587" xr:uid="{00000000-0005-0000-0000-0000CB400000}"/>
    <cellStyle name="Normal 2 2 2 2 5 4 3 8" xfId="16588" xr:uid="{00000000-0005-0000-0000-0000CC400000}"/>
    <cellStyle name="Normal 2 2 2 2 5 4 3 9" xfId="16589" xr:uid="{00000000-0005-0000-0000-0000CD400000}"/>
    <cellStyle name="Normal 2 2 2 2 5 4 4" xfId="16590" xr:uid="{00000000-0005-0000-0000-0000CE400000}"/>
    <cellStyle name="Normal 2 2 2 2 5 4 4 10" xfId="16591" xr:uid="{00000000-0005-0000-0000-0000CF400000}"/>
    <cellStyle name="Normal 2 2 2 2 5 4 4 2" xfId="16592" xr:uid="{00000000-0005-0000-0000-0000D0400000}"/>
    <cellStyle name="Normal 2 2 2 2 5 4 4 3" xfId="16593" xr:uid="{00000000-0005-0000-0000-0000D1400000}"/>
    <cellStyle name="Normal 2 2 2 2 5 4 4 4" xfId="16594" xr:uid="{00000000-0005-0000-0000-0000D2400000}"/>
    <cellStyle name="Normal 2 2 2 2 5 4 4 5" xfId="16595" xr:uid="{00000000-0005-0000-0000-0000D3400000}"/>
    <cellStyle name="Normal 2 2 2 2 5 4 4 6" xfId="16596" xr:uid="{00000000-0005-0000-0000-0000D4400000}"/>
    <cellStyle name="Normal 2 2 2 2 5 4 4 7" xfId="16597" xr:uid="{00000000-0005-0000-0000-0000D5400000}"/>
    <cellStyle name="Normal 2 2 2 2 5 4 4 8" xfId="16598" xr:uid="{00000000-0005-0000-0000-0000D6400000}"/>
    <cellStyle name="Normal 2 2 2 2 5 4 4 9" xfId="16599" xr:uid="{00000000-0005-0000-0000-0000D7400000}"/>
    <cellStyle name="Normal 2 2 2 2 5 4 5" xfId="16600" xr:uid="{00000000-0005-0000-0000-0000D8400000}"/>
    <cellStyle name="Normal 2 2 2 2 5 4 5 10" xfId="16601" xr:uid="{00000000-0005-0000-0000-0000D9400000}"/>
    <cellStyle name="Normal 2 2 2 2 5 4 5 2" xfId="16602" xr:uid="{00000000-0005-0000-0000-0000DA400000}"/>
    <cellStyle name="Normal 2 2 2 2 5 4 5 3" xfId="16603" xr:uid="{00000000-0005-0000-0000-0000DB400000}"/>
    <cellStyle name="Normal 2 2 2 2 5 4 5 4" xfId="16604" xr:uid="{00000000-0005-0000-0000-0000DC400000}"/>
    <cellStyle name="Normal 2 2 2 2 5 4 5 5" xfId="16605" xr:uid="{00000000-0005-0000-0000-0000DD400000}"/>
    <cellStyle name="Normal 2 2 2 2 5 4 5 6" xfId="16606" xr:uid="{00000000-0005-0000-0000-0000DE400000}"/>
    <cellStyle name="Normal 2 2 2 2 5 4 5 7" xfId="16607" xr:uid="{00000000-0005-0000-0000-0000DF400000}"/>
    <cellStyle name="Normal 2 2 2 2 5 4 5 8" xfId="16608" xr:uid="{00000000-0005-0000-0000-0000E0400000}"/>
    <cellStyle name="Normal 2 2 2 2 5 4 5 9" xfId="16609" xr:uid="{00000000-0005-0000-0000-0000E1400000}"/>
    <cellStyle name="Normal 2 2 2 2 5 4 6" xfId="16610" xr:uid="{00000000-0005-0000-0000-0000E2400000}"/>
    <cellStyle name="Normal 2 2 2 2 5 4 7" xfId="16611" xr:uid="{00000000-0005-0000-0000-0000E3400000}"/>
    <cellStyle name="Normal 2 2 2 2 5 4 8" xfId="16612" xr:uid="{00000000-0005-0000-0000-0000E4400000}"/>
    <cellStyle name="Normal 2 2 2 2 5 4 9" xfId="16613" xr:uid="{00000000-0005-0000-0000-0000E5400000}"/>
    <cellStyle name="Normal 2 2 2 2 5 5" xfId="16614" xr:uid="{00000000-0005-0000-0000-0000E6400000}"/>
    <cellStyle name="Normal 2 2 2 2 5 5 10" xfId="16615" xr:uid="{00000000-0005-0000-0000-0000E7400000}"/>
    <cellStyle name="Normal 2 2 2 2 5 5 11" xfId="16616" xr:uid="{00000000-0005-0000-0000-0000E8400000}"/>
    <cellStyle name="Normal 2 2 2 2 5 5 12" xfId="16617" xr:uid="{00000000-0005-0000-0000-0000E9400000}"/>
    <cellStyle name="Normal 2 2 2 2 5 5 13" xfId="16618" xr:uid="{00000000-0005-0000-0000-0000EA400000}"/>
    <cellStyle name="Normal 2 2 2 2 5 5 14" xfId="16619" xr:uid="{00000000-0005-0000-0000-0000EB400000}"/>
    <cellStyle name="Normal 2 2 2 2 5 5 2" xfId="16620" xr:uid="{00000000-0005-0000-0000-0000EC400000}"/>
    <cellStyle name="Normal 2 2 2 2 5 5 2 10" xfId="16621" xr:uid="{00000000-0005-0000-0000-0000ED400000}"/>
    <cellStyle name="Normal 2 2 2 2 5 5 2 2" xfId="16622" xr:uid="{00000000-0005-0000-0000-0000EE400000}"/>
    <cellStyle name="Normal 2 2 2 2 5 5 2 3" xfId="16623" xr:uid="{00000000-0005-0000-0000-0000EF400000}"/>
    <cellStyle name="Normal 2 2 2 2 5 5 2 4" xfId="16624" xr:uid="{00000000-0005-0000-0000-0000F0400000}"/>
    <cellStyle name="Normal 2 2 2 2 5 5 2 5" xfId="16625" xr:uid="{00000000-0005-0000-0000-0000F1400000}"/>
    <cellStyle name="Normal 2 2 2 2 5 5 2 6" xfId="16626" xr:uid="{00000000-0005-0000-0000-0000F2400000}"/>
    <cellStyle name="Normal 2 2 2 2 5 5 2 7" xfId="16627" xr:uid="{00000000-0005-0000-0000-0000F3400000}"/>
    <cellStyle name="Normal 2 2 2 2 5 5 2 8" xfId="16628" xr:uid="{00000000-0005-0000-0000-0000F4400000}"/>
    <cellStyle name="Normal 2 2 2 2 5 5 2 9" xfId="16629" xr:uid="{00000000-0005-0000-0000-0000F5400000}"/>
    <cellStyle name="Normal 2 2 2 2 5 5 3" xfId="16630" xr:uid="{00000000-0005-0000-0000-0000F6400000}"/>
    <cellStyle name="Normal 2 2 2 2 5 5 3 10" xfId="16631" xr:uid="{00000000-0005-0000-0000-0000F7400000}"/>
    <cellStyle name="Normal 2 2 2 2 5 5 3 2" xfId="16632" xr:uid="{00000000-0005-0000-0000-0000F8400000}"/>
    <cellStyle name="Normal 2 2 2 2 5 5 3 3" xfId="16633" xr:uid="{00000000-0005-0000-0000-0000F9400000}"/>
    <cellStyle name="Normal 2 2 2 2 5 5 3 4" xfId="16634" xr:uid="{00000000-0005-0000-0000-0000FA400000}"/>
    <cellStyle name="Normal 2 2 2 2 5 5 3 5" xfId="16635" xr:uid="{00000000-0005-0000-0000-0000FB400000}"/>
    <cellStyle name="Normal 2 2 2 2 5 5 3 6" xfId="16636" xr:uid="{00000000-0005-0000-0000-0000FC400000}"/>
    <cellStyle name="Normal 2 2 2 2 5 5 3 7" xfId="16637" xr:uid="{00000000-0005-0000-0000-0000FD400000}"/>
    <cellStyle name="Normal 2 2 2 2 5 5 3 8" xfId="16638" xr:uid="{00000000-0005-0000-0000-0000FE400000}"/>
    <cellStyle name="Normal 2 2 2 2 5 5 3 9" xfId="16639" xr:uid="{00000000-0005-0000-0000-0000FF400000}"/>
    <cellStyle name="Normal 2 2 2 2 5 5 4" xfId="16640" xr:uid="{00000000-0005-0000-0000-000000410000}"/>
    <cellStyle name="Normal 2 2 2 2 5 5 4 10" xfId="16641" xr:uid="{00000000-0005-0000-0000-000001410000}"/>
    <cellStyle name="Normal 2 2 2 2 5 5 4 2" xfId="16642" xr:uid="{00000000-0005-0000-0000-000002410000}"/>
    <cellStyle name="Normal 2 2 2 2 5 5 4 3" xfId="16643" xr:uid="{00000000-0005-0000-0000-000003410000}"/>
    <cellStyle name="Normal 2 2 2 2 5 5 4 4" xfId="16644" xr:uid="{00000000-0005-0000-0000-000004410000}"/>
    <cellStyle name="Normal 2 2 2 2 5 5 4 5" xfId="16645" xr:uid="{00000000-0005-0000-0000-000005410000}"/>
    <cellStyle name="Normal 2 2 2 2 5 5 4 6" xfId="16646" xr:uid="{00000000-0005-0000-0000-000006410000}"/>
    <cellStyle name="Normal 2 2 2 2 5 5 4 7" xfId="16647" xr:uid="{00000000-0005-0000-0000-000007410000}"/>
    <cellStyle name="Normal 2 2 2 2 5 5 4 8" xfId="16648" xr:uid="{00000000-0005-0000-0000-000008410000}"/>
    <cellStyle name="Normal 2 2 2 2 5 5 4 9" xfId="16649" xr:uid="{00000000-0005-0000-0000-000009410000}"/>
    <cellStyle name="Normal 2 2 2 2 5 5 5" xfId="16650" xr:uid="{00000000-0005-0000-0000-00000A410000}"/>
    <cellStyle name="Normal 2 2 2 2 5 5 5 10" xfId="16651" xr:uid="{00000000-0005-0000-0000-00000B410000}"/>
    <cellStyle name="Normal 2 2 2 2 5 5 5 2" xfId="16652" xr:uid="{00000000-0005-0000-0000-00000C410000}"/>
    <cellStyle name="Normal 2 2 2 2 5 5 5 3" xfId="16653" xr:uid="{00000000-0005-0000-0000-00000D410000}"/>
    <cellStyle name="Normal 2 2 2 2 5 5 5 4" xfId="16654" xr:uid="{00000000-0005-0000-0000-00000E410000}"/>
    <cellStyle name="Normal 2 2 2 2 5 5 5 5" xfId="16655" xr:uid="{00000000-0005-0000-0000-00000F410000}"/>
    <cellStyle name="Normal 2 2 2 2 5 5 5 6" xfId="16656" xr:uid="{00000000-0005-0000-0000-000010410000}"/>
    <cellStyle name="Normal 2 2 2 2 5 5 5 7" xfId="16657" xr:uid="{00000000-0005-0000-0000-000011410000}"/>
    <cellStyle name="Normal 2 2 2 2 5 5 5 8" xfId="16658" xr:uid="{00000000-0005-0000-0000-000012410000}"/>
    <cellStyle name="Normal 2 2 2 2 5 5 5 9" xfId="16659" xr:uid="{00000000-0005-0000-0000-000013410000}"/>
    <cellStyle name="Normal 2 2 2 2 5 5 6" xfId="16660" xr:uid="{00000000-0005-0000-0000-000014410000}"/>
    <cellStyle name="Normal 2 2 2 2 5 5 7" xfId="16661" xr:uid="{00000000-0005-0000-0000-000015410000}"/>
    <cellStyle name="Normal 2 2 2 2 5 5 8" xfId="16662" xr:uid="{00000000-0005-0000-0000-000016410000}"/>
    <cellStyle name="Normal 2 2 2 2 5 5 9" xfId="16663" xr:uid="{00000000-0005-0000-0000-000017410000}"/>
    <cellStyle name="Normal 2 2 2 2 5 6" xfId="16664" xr:uid="{00000000-0005-0000-0000-000018410000}"/>
    <cellStyle name="Normal 2 2 2 2 5 6 10" xfId="16665" xr:uid="{00000000-0005-0000-0000-000019410000}"/>
    <cellStyle name="Normal 2 2 2 2 5 6 11" xfId="16666" xr:uid="{00000000-0005-0000-0000-00001A410000}"/>
    <cellStyle name="Normal 2 2 2 2 5 6 12" xfId="16667" xr:uid="{00000000-0005-0000-0000-00001B410000}"/>
    <cellStyle name="Normal 2 2 2 2 5 6 13" xfId="16668" xr:uid="{00000000-0005-0000-0000-00001C410000}"/>
    <cellStyle name="Normal 2 2 2 2 5 6 14" xfId="16669" xr:uid="{00000000-0005-0000-0000-00001D410000}"/>
    <cellStyle name="Normal 2 2 2 2 5 6 2" xfId="16670" xr:uid="{00000000-0005-0000-0000-00001E410000}"/>
    <cellStyle name="Normal 2 2 2 2 5 6 2 10" xfId="16671" xr:uid="{00000000-0005-0000-0000-00001F410000}"/>
    <cellStyle name="Normal 2 2 2 2 5 6 2 2" xfId="16672" xr:uid="{00000000-0005-0000-0000-000020410000}"/>
    <cellStyle name="Normal 2 2 2 2 5 6 2 3" xfId="16673" xr:uid="{00000000-0005-0000-0000-000021410000}"/>
    <cellStyle name="Normal 2 2 2 2 5 6 2 4" xfId="16674" xr:uid="{00000000-0005-0000-0000-000022410000}"/>
    <cellStyle name="Normal 2 2 2 2 5 6 2 5" xfId="16675" xr:uid="{00000000-0005-0000-0000-000023410000}"/>
    <cellStyle name="Normal 2 2 2 2 5 6 2 6" xfId="16676" xr:uid="{00000000-0005-0000-0000-000024410000}"/>
    <cellStyle name="Normal 2 2 2 2 5 6 2 7" xfId="16677" xr:uid="{00000000-0005-0000-0000-000025410000}"/>
    <cellStyle name="Normal 2 2 2 2 5 6 2 8" xfId="16678" xr:uid="{00000000-0005-0000-0000-000026410000}"/>
    <cellStyle name="Normal 2 2 2 2 5 6 2 9" xfId="16679" xr:uid="{00000000-0005-0000-0000-000027410000}"/>
    <cellStyle name="Normal 2 2 2 2 5 6 3" xfId="16680" xr:uid="{00000000-0005-0000-0000-000028410000}"/>
    <cellStyle name="Normal 2 2 2 2 5 6 3 10" xfId="16681" xr:uid="{00000000-0005-0000-0000-000029410000}"/>
    <cellStyle name="Normal 2 2 2 2 5 6 3 2" xfId="16682" xr:uid="{00000000-0005-0000-0000-00002A410000}"/>
    <cellStyle name="Normal 2 2 2 2 5 6 3 3" xfId="16683" xr:uid="{00000000-0005-0000-0000-00002B410000}"/>
    <cellStyle name="Normal 2 2 2 2 5 6 3 4" xfId="16684" xr:uid="{00000000-0005-0000-0000-00002C410000}"/>
    <cellStyle name="Normal 2 2 2 2 5 6 3 5" xfId="16685" xr:uid="{00000000-0005-0000-0000-00002D410000}"/>
    <cellStyle name="Normal 2 2 2 2 5 6 3 6" xfId="16686" xr:uid="{00000000-0005-0000-0000-00002E410000}"/>
    <cellStyle name="Normal 2 2 2 2 5 6 3 7" xfId="16687" xr:uid="{00000000-0005-0000-0000-00002F410000}"/>
    <cellStyle name="Normal 2 2 2 2 5 6 3 8" xfId="16688" xr:uid="{00000000-0005-0000-0000-000030410000}"/>
    <cellStyle name="Normal 2 2 2 2 5 6 3 9" xfId="16689" xr:uid="{00000000-0005-0000-0000-000031410000}"/>
    <cellStyle name="Normal 2 2 2 2 5 6 4" xfId="16690" xr:uid="{00000000-0005-0000-0000-000032410000}"/>
    <cellStyle name="Normal 2 2 2 2 5 6 4 10" xfId="16691" xr:uid="{00000000-0005-0000-0000-000033410000}"/>
    <cellStyle name="Normal 2 2 2 2 5 6 4 2" xfId="16692" xr:uid="{00000000-0005-0000-0000-000034410000}"/>
    <cellStyle name="Normal 2 2 2 2 5 6 4 3" xfId="16693" xr:uid="{00000000-0005-0000-0000-000035410000}"/>
    <cellStyle name="Normal 2 2 2 2 5 6 4 4" xfId="16694" xr:uid="{00000000-0005-0000-0000-000036410000}"/>
    <cellStyle name="Normal 2 2 2 2 5 6 4 5" xfId="16695" xr:uid="{00000000-0005-0000-0000-000037410000}"/>
    <cellStyle name="Normal 2 2 2 2 5 6 4 6" xfId="16696" xr:uid="{00000000-0005-0000-0000-000038410000}"/>
    <cellStyle name="Normal 2 2 2 2 5 6 4 7" xfId="16697" xr:uid="{00000000-0005-0000-0000-000039410000}"/>
    <cellStyle name="Normal 2 2 2 2 5 6 4 8" xfId="16698" xr:uid="{00000000-0005-0000-0000-00003A410000}"/>
    <cellStyle name="Normal 2 2 2 2 5 6 4 9" xfId="16699" xr:uid="{00000000-0005-0000-0000-00003B410000}"/>
    <cellStyle name="Normal 2 2 2 2 5 6 5" xfId="16700" xr:uid="{00000000-0005-0000-0000-00003C410000}"/>
    <cellStyle name="Normal 2 2 2 2 5 6 5 10" xfId="16701" xr:uid="{00000000-0005-0000-0000-00003D410000}"/>
    <cellStyle name="Normal 2 2 2 2 5 6 5 2" xfId="16702" xr:uid="{00000000-0005-0000-0000-00003E410000}"/>
    <cellStyle name="Normal 2 2 2 2 5 6 5 3" xfId="16703" xr:uid="{00000000-0005-0000-0000-00003F410000}"/>
    <cellStyle name="Normal 2 2 2 2 5 6 5 4" xfId="16704" xr:uid="{00000000-0005-0000-0000-000040410000}"/>
    <cellStyle name="Normal 2 2 2 2 5 6 5 5" xfId="16705" xr:uid="{00000000-0005-0000-0000-000041410000}"/>
    <cellStyle name="Normal 2 2 2 2 5 6 5 6" xfId="16706" xr:uid="{00000000-0005-0000-0000-000042410000}"/>
    <cellStyle name="Normal 2 2 2 2 5 6 5 7" xfId="16707" xr:uid="{00000000-0005-0000-0000-000043410000}"/>
    <cellStyle name="Normal 2 2 2 2 5 6 5 8" xfId="16708" xr:uid="{00000000-0005-0000-0000-000044410000}"/>
    <cellStyle name="Normal 2 2 2 2 5 6 5 9" xfId="16709" xr:uid="{00000000-0005-0000-0000-000045410000}"/>
    <cellStyle name="Normal 2 2 2 2 5 6 6" xfId="16710" xr:uid="{00000000-0005-0000-0000-000046410000}"/>
    <cellStyle name="Normal 2 2 2 2 5 6 7" xfId="16711" xr:uid="{00000000-0005-0000-0000-000047410000}"/>
    <cellStyle name="Normal 2 2 2 2 5 6 8" xfId="16712" xr:uid="{00000000-0005-0000-0000-000048410000}"/>
    <cellStyle name="Normal 2 2 2 2 5 6 9" xfId="16713" xr:uid="{00000000-0005-0000-0000-000049410000}"/>
    <cellStyle name="Normal 2 2 2 2 5 7" xfId="16714" xr:uid="{00000000-0005-0000-0000-00004A410000}"/>
    <cellStyle name="Normal 2 2 2 2 5 7 10" xfId="16715" xr:uid="{00000000-0005-0000-0000-00004B410000}"/>
    <cellStyle name="Normal 2 2 2 2 5 7 11" xfId="16716" xr:uid="{00000000-0005-0000-0000-00004C410000}"/>
    <cellStyle name="Normal 2 2 2 2 5 7 12" xfId="16717" xr:uid="{00000000-0005-0000-0000-00004D410000}"/>
    <cellStyle name="Normal 2 2 2 2 5 7 13" xfId="16718" xr:uid="{00000000-0005-0000-0000-00004E410000}"/>
    <cellStyle name="Normal 2 2 2 2 5 7 14" xfId="16719" xr:uid="{00000000-0005-0000-0000-00004F410000}"/>
    <cellStyle name="Normal 2 2 2 2 5 7 2" xfId="16720" xr:uid="{00000000-0005-0000-0000-000050410000}"/>
    <cellStyle name="Normal 2 2 2 2 5 7 2 10" xfId="16721" xr:uid="{00000000-0005-0000-0000-000051410000}"/>
    <cellStyle name="Normal 2 2 2 2 5 7 2 2" xfId="16722" xr:uid="{00000000-0005-0000-0000-000052410000}"/>
    <cellStyle name="Normal 2 2 2 2 5 7 2 3" xfId="16723" xr:uid="{00000000-0005-0000-0000-000053410000}"/>
    <cellStyle name="Normal 2 2 2 2 5 7 2 4" xfId="16724" xr:uid="{00000000-0005-0000-0000-000054410000}"/>
    <cellStyle name="Normal 2 2 2 2 5 7 2 5" xfId="16725" xr:uid="{00000000-0005-0000-0000-000055410000}"/>
    <cellStyle name="Normal 2 2 2 2 5 7 2 6" xfId="16726" xr:uid="{00000000-0005-0000-0000-000056410000}"/>
    <cellStyle name="Normal 2 2 2 2 5 7 2 7" xfId="16727" xr:uid="{00000000-0005-0000-0000-000057410000}"/>
    <cellStyle name="Normal 2 2 2 2 5 7 2 8" xfId="16728" xr:uid="{00000000-0005-0000-0000-000058410000}"/>
    <cellStyle name="Normal 2 2 2 2 5 7 2 9" xfId="16729" xr:uid="{00000000-0005-0000-0000-000059410000}"/>
    <cellStyle name="Normal 2 2 2 2 5 7 3" xfId="16730" xr:uid="{00000000-0005-0000-0000-00005A410000}"/>
    <cellStyle name="Normal 2 2 2 2 5 7 3 10" xfId="16731" xr:uid="{00000000-0005-0000-0000-00005B410000}"/>
    <cellStyle name="Normal 2 2 2 2 5 7 3 2" xfId="16732" xr:uid="{00000000-0005-0000-0000-00005C410000}"/>
    <cellStyle name="Normal 2 2 2 2 5 7 3 3" xfId="16733" xr:uid="{00000000-0005-0000-0000-00005D410000}"/>
    <cellStyle name="Normal 2 2 2 2 5 7 3 4" xfId="16734" xr:uid="{00000000-0005-0000-0000-00005E410000}"/>
    <cellStyle name="Normal 2 2 2 2 5 7 3 5" xfId="16735" xr:uid="{00000000-0005-0000-0000-00005F410000}"/>
    <cellStyle name="Normal 2 2 2 2 5 7 3 6" xfId="16736" xr:uid="{00000000-0005-0000-0000-000060410000}"/>
    <cellStyle name="Normal 2 2 2 2 5 7 3 7" xfId="16737" xr:uid="{00000000-0005-0000-0000-000061410000}"/>
    <cellStyle name="Normal 2 2 2 2 5 7 3 8" xfId="16738" xr:uid="{00000000-0005-0000-0000-000062410000}"/>
    <cellStyle name="Normal 2 2 2 2 5 7 3 9" xfId="16739" xr:uid="{00000000-0005-0000-0000-000063410000}"/>
    <cellStyle name="Normal 2 2 2 2 5 7 4" xfId="16740" xr:uid="{00000000-0005-0000-0000-000064410000}"/>
    <cellStyle name="Normal 2 2 2 2 5 7 4 10" xfId="16741" xr:uid="{00000000-0005-0000-0000-000065410000}"/>
    <cellStyle name="Normal 2 2 2 2 5 7 4 2" xfId="16742" xr:uid="{00000000-0005-0000-0000-000066410000}"/>
    <cellStyle name="Normal 2 2 2 2 5 7 4 3" xfId="16743" xr:uid="{00000000-0005-0000-0000-000067410000}"/>
    <cellStyle name="Normal 2 2 2 2 5 7 4 4" xfId="16744" xr:uid="{00000000-0005-0000-0000-000068410000}"/>
    <cellStyle name="Normal 2 2 2 2 5 7 4 5" xfId="16745" xr:uid="{00000000-0005-0000-0000-000069410000}"/>
    <cellStyle name="Normal 2 2 2 2 5 7 4 6" xfId="16746" xr:uid="{00000000-0005-0000-0000-00006A410000}"/>
    <cellStyle name="Normal 2 2 2 2 5 7 4 7" xfId="16747" xr:uid="{00000000-0005-0000-0000-00006B410000}"/>
    <cellStyle name="Normal 2 2 2 2 5 7 4 8" xfId="16748" xr:uid="{00000000-0005-0000-0000-00006C410000}"/>
    <cellStyle name="Normal 2 2 2 2 5 7 4 9" xfId="16749" xr:uid="{00000000-0005-0000-0000-00006D410000}"/>
    <cellStyle name="Normal 2 2 2 2 5 7 5" xfId="16750" xr:uid="{00000000-0005-0000-0000-00006E410000}"/>
    <cellStyle name="Normal 2 2 2 2 5 7 5 10" xfId="16751" xr:uid="{00000000-0005-0000-0000-00006F410000}"/>
    <cellStyle name="Normal 2 2 2 2 5 7 5 2" xfId="16752" xr:uid="{00000000-0005-0000-0000-000070410000}"/>
    <cellStyle name="Normal 2 2 2 2 5 7 5 3" xfId="16753" xr:uid="{00000000-0005-0000-0000-000071410000}"/>
    <cellStyle name="Normal 2 2 2 2 5 7 5 4" xfId="16754" xr:uid="{00000000-0005-0000-0000-000072410000}"/>
    <cellStyle name="Normal 2 2 2 2 5 7 5 5" xfId="16755" xr:uid="{00000000-0005-0000-0000-000073410000}"/>
    <cellStyle name="Normal 2 2 2 2 5 7 5 6" xfId="16756" xr:uid="{00000000-0005-0000-0000-000074410000}"/>
    <cellStyle name="Normal 2 2 2 2 5 7 5 7" xfId="16757" xr:uid="{00000000-0005-0000-0000-000075410000}"/>
    <cellStyle name="Normal 2 2 2 2 5 7 5 8" xfId="16758" xr:uid="{00000000-0005-0000-0000-000076410000}"/>
    <cellStyle name="Normal 2 2 2 2 5 7 5 9" xfId="16759" xr:uid="{00000000-0005-0000-0000-000077410000}"/>
    <cellStyle name="Normal 2 2 2 2 5 7 6" xfId="16760" xr:uid="{00000000-0005-0000-0000-000078410000}"/>
    <cellStyle name="Normal 2 2 2 2 5 7 7" xfId="16761" xr:uid="{00000000-0005-0000-0000-000079410000}"/>
    <cellStyle name="Normal 2 2 2 2 5 7 8" xfId="16762" xr:uid="{00000000-0005-0000-0000-00007A410000}"/>
    <cellStyle name="Normal 2 2 2 2 5 7 9" xfId="16763" xr:uid="{00000000-0005-0000-0000-00007B410000}"/>
    <cellStyle name="Normal 2 2 2 2 5 8" xfId="16764" xr:uid="{00000000-0005-0000-0000-00007C410000}"/>
    <cellStyle name="Normal 2 2 2 2 5 8 10" xfId="16765" xr:uid="{00000000-0005-0000-0000-00007D410000}"/>
    <cellStyle name="Normal 2 2 2 2 5 8 11" xfId="16766" xr:uid="{00000000-0005-0000-0000-00007E410000}"/>
    <cellStyle name="Normal 2 2 2 2 5 8 12" xfId="16767" xr:uid="{00000000-0005-0000-0000-00007F410000}"/>
    <cellStyle name="Normal 2 2 2 2 5 8 13" xfId="16768" xr:uid="{00000000-0005-0000-0000-000080410000}"/>
    <cellStyle name="Normal 2 2 2 2 5 8 14" xfId="16769" xr:uid="{00000000-0005-0000-0000-000081410000}"/>
    <cellStyle name="Normal 2 2 2 2 5 8 2" xfId="16770" xr:uid="{00000000-0005-0000-0000-000082410000}"/>
    <cellStyle name="Normal 2 2 2 2 5 8 2 10" xfId="16771" xr:uid="{00000000-0005-0000-0000-000083410000}"/>
    <cellStyle name="Normal 2 2 2 2 5 8 2 2" xfId="16772" xr:uid="{00000000-0005-0000-0000-000084410000}"/>
    <cellStyle name="Normal 2 2 2 2 5 8 2 3" xfId="16773" xr:uid="{00000000-0005-0000-0000-000085410000}"/>
    <cellStyle name="Normal 2 2 2 2 5 8 2 4" xfId="16774" xr:uid="{00000000-0005-0000-0000-000086410000}"/>
    <cellStyle name="Normal 2 2 2 2 5 8 2 5" xfId="16775" xr:uid="{00000000-0005-0000-0000-000087410000}"/>
    <cellStyle name="Normal 2 2 2 2 5 8 2 6" xfId="16776" xr:uid="{00000000-0005-0000-0000-000088410000}"/>
    <cellStyle name="Normal 2 2 2 2 5 8 2 7" xfId="16777" xr:uid="{00000000-0005-0000-0000-000089410000}"/>
    <cellStyle name="Normal 2 2 2 2 5 8 2 8" xfId="16778" xr:uid="{00000000-0005-0000-0000-00008A410000}"/>
    <cellStyle name="Normal 2 2 2 2 5 8 2 9" xfId="16779" xr:uid="{00000000-0005-0000-0000-00008B410000}"/>
    <cellStyle name="Normal 2 2 2 2 5 8 3" xfId="16780" xr:uid="{00000000-0005-0000-0000-00008C410000}"/>
    <cellStyle name="Normal 2 2 2 2 5 8 3 10" xfId="16781" xr:uid="{00000000-0005-0000-0000-00008D410000}"/>
    <cellStyle name="Normal 2 2 2 2 5 8 3 2" xfId="16782" xr:uid="{00000000-0005-0000-0000-00008E410000}"/>
    <cellStyle name="Normal 2 2 2 2 5 8 3 3" xfId="16783" xr:uid="{00000000-0005-0000-0000-00008F410000}"/>
    <cellStyle name="Normal 2 2 2 2 5 8 3 4" xfId="16784" xr:uid="{00000000-0005-0000-0000-000090410000}"/>
    <cellStyle name="Normal 2 2 2 2 5 8 3 5" xfId="16785" xr:uid="{00000000-0005-0000-0000-000091410000}"/>
    <cellStyle name="Normal 2 2 2 2 5 8 3 6" xfId="16786" xr:uid="{00000000-0005-0000-0000-000092410000}"/>
    <cellStyle name="Normal 2 2 2 2 5 8 3 7" xfId="16787" xr:uid="{00000000-0005-0000-0000-000093410000}"/>
    <cellStyle name="Normal 2 2 2 2 5 8 3 8" xfId="16788" xr:uid="{00000000-0005-0000-0000-000094410000}"/>
    <cellStyle name="Normal 2 2 2 2 5 8 3 9" xfId="16789" xr:uid="{00000000-0005-0000-0000-000095410000}"/>
    <cellStyle name="Normal 2 2 2 2 5 8 4" xfId="16790" xr:uid="{00000000-0005-0000-0000-000096410000}"/>
    <cellStyle name="Normal 2 2 2 2 5 8 4 10" xfId="16791" xr:uid="{00000000-0005-0000-0000-000097410000}"/>
    <cellStyle name="Normal 2 2 2 2 5 8 4 2" xfId="16792" xr:uid="{00000000-0005-0000-0000-000098410000}"/>
    <cellStyle name="Normal 2 2 2 2 5 8 4 3" xfId="16793" xr:uid="{00000000-0005-0000-0000-000099410000}"/>
    <cellStyle name="Normal 2 2 2 2 5 8 4 4" xfId="16794" xr:uid="{00000000-0005-0000-0000-00009A410000}"/>
    <cellStyle name="Normal 2 2 2 2 5 8 4 5" xfId="16795" xr:uid="{00000000-0005-0000-0000-00009B410000}"/>
    <cellStyle name="Normal 2 2 2 2 5 8 4 6" xfId="16796" xr:uid="{00000000-0005-0000-0000-00009C410000}"/>
    <cellStyle name="Normal 2 2 2 2 5 8 4 7" xfId="16797" xr:uid="{00000000-0005-0000-0000-00009D410000}"/>
    <cellStyle name="Normal 2 2 2 2 5 8 4 8" xfId="16798" xr:uid="{00000000-0005-0000-0000-00009E410000}"/>
    <cellStyle name="Normal 2 2 2 2 5 8 4 9" xfId="16799" xr:uid="{00000000-0005-0000-0000-00009F410000}"/>
    <cellStyle name="Normal 2 2 2 2 5 8 5" xfId="16800" xr:uid="{00000000-0005-0000-0000-0000A0410000}"/>
    <cellStyle name="Normal 2 2 2 2 5 8 5 10" xfId="16801" xr:uid="{00000000-0005-0000-0000-0000A1410000}"/>
    <cellStyle name="Normal 2 2 2 2 5 8 5 2" xfId="16802" xr:uid="{00000000-0005-0000-0000-0000A2410000}"/>
    <cellStyle name="Normal 2 2 2 2 5 8 5 3" xfId="16803" xr:uid="{00000000-0005-0000-0000-0000A3410000}"/>
    <cellStyle name="Normal 2 2 2 2 5 8 5 4" xfId="16804" xr:uid="{00000000-0005-0000-0000-0000A4410000}"/>
    <cellStyle name="Normal 2 2 2 2 5 8 5 5" xfId="16805" xr:uid="{00000000-0005-0000-0000-0000A5410000}"/>
    <cellStyle name="Normal 2 2 2 2 5 8 5 6" xfId="16806" xr:uid="{00000000-0005-0000-0000-0000A6410000}"/>
    <cellStyle name="Normal 2 2 2 2 5 8 5 7" xfId="16807" xr:uid="{00000000-0005-0000-0000-0000A7410000}"/>
    <cellStyle name="Normal 2 2 2 2 5 8 5 8" xfId="16808" xr:uid="{00000000-0005-0000-0000-0000A8410000}"/>
    <cellStyle name="Normal 2 2 2 2 5 8 5 9" xfId="16809" xr:uid="{00000000-0005-0000-0000-0000A9410000}"/>
    <cellStyle name="Normal 2 2 2 2 5 8 6" xfId="16810" xr:uid="{00000000-0005-0000-0000-0000AA410000}"/>
    <cellStyle name="Normal 2 2 2 2 5 8 7" xfId="16811" xr:uid="{00000000-0005-0000-0000-0000AB410000}"/>
    <cellStyle name="Normal 2 2 2 2 5 8 8" xfId="16812" xr:uid="{00000000-0005-0000-0000-0000AC410000}"/>
    <cellStyle name="Normal 2 2 2 2 5 8 9" xfId="16813" xr:uid="{00000000-0005-0000-0000-0000AD410000}"/>
    <cellStyle name="Normal 2 2 2 2 5 9" xfId="16814" xr:uid="{00000000-0005-0000-0000-0000AE410000}"/>
    <cellStyle name="Normal 2 2 2 2 5 9 10" xfId="16815" xr:uid="{00000000-0005-0000-0000-0000AF410000}"/>
    <cellStyle name="Normal 2 2 2 2 5 9 11" xfId="16816" xr:uid="{00000000-0005-0000-0000-0000B0410000}"/>
    <cellStyle name="Normal 2 2 2 2 5 9 12" xfId="16817" xr:uid="{00000000-0005-0000-0000-0000B1410000}"/>
    <cellStyle name="Normal 2 2 2 2 5 9 13" xfId="16818" xr:uid="{00000000-0005-0000-0000-0000B2410000}"/>
    <cellStyle name="Normal 2 2 2 2 5 9 14" xfId="16819" xr:uid="{00000000-0005-0000-0000-0000B3410000}"/>
    <cellStyle name="Normal 2 2 2 2 5 9 2" xfId="16820" xr:uid="{00000000-0005-0000-0000-0000B4410000}"/>
    <cellStyle name="Normal 2 2 2 2 5 9 2 10" xfId="16821" xr:uid="{00000000-0005-0000-0000-0000B5410000}"/>
    <cellStyle name="Normal 2 2 2 2 5 9 2 2" xfId="16822" xr:uid="{00000000-0005-0000-0000-0000B6410000}"/>
    <cellStyle name="Normal 2 2 2 2 5 9 2 3" xfId="16823" xr:uid="{00000000-0005-0000-0000-0000B7410000}"/>
    <cellStyle name="Normal 2 2 2 2 5 9 2 4" xfId="16824" xr:uid="{00000000-0005-0000-0000-0000B8410000}"/>
    <cellStyle name="Normal 2 2 2 2 5 9 2 5" xfId="16825" xr:uid="{00000000-0005-0000-0000-0000B9410000}"/>
    <cellStyle name="Normal 2 2 2 2 5 9 2 6" xfId="16826" xr:uid="{00000000-0005-0000-0000-0000BA410000}"/>
    <cellStyle name="Normal 2 2 2 2 5 9 2 7" xfId="16827" xr:uid="{00000000-0005-0000-0000-0000BB410000}"/>
    <cellStyle name="Normal 2 2 2 2 5 9 2 8" xfId="16828" xr:uid="{00000000-0005-0000-0000-0000BC410000}"/>
    <cellStyle name="Normal 2 2 2 2 5 9 2 9" xfId="16829" xr:uid="{00000000-0005-0000-0000-0000BD410000}"/>
    <cellStyle name="Normal 2 2 2 2 5 9 3" xfId="16830" xr:uid="{00000000-0005-0000-0000-0000BE410000}"/>
    <cellStyle name="Normal 2 2 2 2 5 9 3 10" xfId="16831" xr:uid="{00000000-0005-0000-0000-0000BF410000}"/>
    <cellStyle name="Normal 2 2 2 2 5 9 3 2" xfId="16832" xr:uid="{00000000-0005-0000-0000-0000C0410000}"/>
    <cellStyle name="Normal 2 2 2 2 5 9 3 3" xfId="16833" xr:uid="{00000000-0005-0000-0000-0000C1410000}"/>
    <cellStyle name="Normal 2 2 2 2 5 9 3 4" xfId="16834" xr:uid="{00000000-0005-0000-0000-0000C2410000}"/>
    <cellStyle name="Normal 2 2 2 2 5 9 3 5" xfId="16835" xr:uid="{00000000-0005-0000-0000-0000C3410000}"/>
    <cellStyle name="Normal 2 2 2 2 5 9 3 6" xfId="16836" xr:uid="{00000000-0005-0000-0000-0000C4410000}"/>
    <cellStyle name="Normal 2 2 2 2 5 9 3 7" xfId="16837" xr:uid="{00000000-0005-0000-0000-0000C5410000}"/>
    <cellStyle name="Normal 2 2 2 2 5 9 3 8" xfId="16838" xr:uid="{00000000-0005-0000-0000-0000C6410000}"/>
    <cellStyle name="Normal 2 2 2 2 5 9 3 9" xfId="16839" xr:uid="{00000000-0005-0000-0000-0000C7410000}"/>
    <cellStyle name="Normal 2 2 2 2 5 9 4" xfId="16840" xr:uid="{00000000-0005-0000-0000-0000C8410000}"/>
    <cellStyle name="Normal 2 2 2 2 5 9 4 10" xfId="16841" xr:uid="{00000000-0005-0000-0000-0000C9410000}"/>
    <cellStyle name="Normal 2 2 2 2 5 9 4 2" xfId="16842" xr:uid="{00000000-0005-0000-0000-0000CA410000}"/>
    <cellStyle name="Normal 2 2 2 2 5 9 4 3" xfId="16843" xr:uid="{00000000-0005-0000-0000-0000CB410000}"/>
    <cellStyle name="Normal 2 2 2 2 5 9 4 4" xfId="16844" xr:uid="{00000000-0005-0000-0000-0000CC410000}"/>
    <cellStyle name="Normal 2 2 2 2 5 9 4 5" xfId="16845" xr:uid="{00000000-0005-0000-0000-0000CD410000}"/>
    <cellStyle name="Normal 2 2 2 2 5 9 4 6" xfId="16846" xr:uid="{00000000-0005-0000-0000-0000CE410000}"/>
    <cellStyle name="Normal 2 2 2 2 5 9 4 7" xfId="16847" xr:uid="{00000000-0005-0000-0000-0000CF410000}"/>
    <cellStyle name="Normal 2 2 2 2 5 9 4 8" xfId="16848" xr:uid="{00000000-0005-0000-0000-0000D0410000}"/>
    <cellStyle name="Normal 2 2 2 2 5 9 4 9" xfId="16849" xr:uid="{00000000-0005-0000-0000-0000D1410000}"/>
    <cellStyle name="Normal 2 2 2 2 5 9 5" xfId="16850" xr:uid="{00000000-0005-0000-0000-0000D2410000}"/>
    <cellStyle name="Normal 2 2 2 2 5 9 5 10" xfId="16851" xr:uid="{00000000-0005-0000-0000-0000D3410000}"/>
    <cellStyle name="Normal 2 2 2 2 5 9 5 2" xfId="16852" xr:uid="{00000000-0005-0000-0000-0000D4410000}"/>
    <cellStyle name="Normal 2 2 2 2 5 9 5 3" xfId="16853" xr:uid="{00000000-0005-0000-0000-0000D5410000}"/>
    <cellStyle name="Normal 2 2 2 2 5 9 5 4" xfId="16854" xr:uid="{00000000-0005-0000-0000-0000D6410000}"/>
    <cellStyle name="Normal 2 2 2 2 5 9 5 5" xfId="16855" xr:uid="{00000000-0005-0000-0000-0000D7410000}"/>
    <cellStyle name="Normal 2 2 2 2 5 9 5 6" xfId="16856" xr:uid="{00000000-0005-0000-0000-0000D8410000}"/>
    <cellStyle name="Normal 2 2 2 2 5 9 5 7" xfId="16857" xr:uid="{00000000-0005-0000-0000-0000D9410000}"/>
    <cellStyle name="Normal 2 2 2 2 5 9 5 8" xfId="16858" xr:uid="{00000000-0005-0000-0000-0000DA410000}"/>
    <cellStyle name="Normal 2 2 2 2 5 9 5 9" xfId="16859" xr:uid="{00000000-0005-0000-0000-0000DB410000}"/>
    <cellStyle name="Normal 2 2 2 2 5 9 6" xfId="16860" xr:uid="{00000000-0005-0000-0000-0000DC410000}"/>
    <cellStyle name="Normal 2 2 2 2 5 9 7" xfId="16861" xr:uid="{00000000-0005-0000-0000-0000DD410000}"/>
    <cellStyle name="Normal 2 2 2 2 5 9 8" xfId="16862" xr:uid="{00000000-0005-0000-0000-0000DE410000}"/>
    <cellStyle name="Normal 2 2 2 2 5 9 9" xfId="16863" xr:uid="{00000000-0005-0000-0000-0000DF410000}"/>
    <cellStyle name="Normal 2 2 2 2 50" xfId="16864" xr:uid="{00000000-0005-0000-0000-0000E0410000}"/>
    <cellStyle name="Normal 2 2 2 2 51" xfId="16865" xr:uid="{00000000-0005-0000-0000-0000E1410000}"/>
    <cellStyle name="Normal 2 2 2 2 6" xfId="16866" xr:uid="{00000000-0005-0000-0000-0000E2410000}"/>
    <cellStyle name="Normal 2 2 2 2 6 2" xfId="16867" xr:uid="{00000000-0005-0000-0000-0000E3410000}"/>
    <cellStyle name="Normal 2 2 2 2 7" xfId="16868" xr:uid="{00000000-0005-0000-0000-0000E4410000}"/>
    <cellStyle name="Normal 2 2 2 2 8" xfId="16869" xr:uid="{00000000-0005-0000-0000-0000E5410000}"/>
    <cellStyle name="Normal 2 2 2 2 9" xfId="16870" xr:uid="{00000000-0005-0000-0000-0000E6410000}"/>
    <cellStyle name="Normal 2 2 2 20" xfId="16871" xr:uid="{00000000-0005-0000-0000-0000E7410000}"/>
    <cellStyle name="Normal 2 2 2 20 10" xfId="16872" xr:uid="{00000000-0005-0000-0000-0000E8410000}"/>
    <cellStyle name="Normal 2 2 2 20 11" xfId="16873" xr:uid="{00000000-0005-0000-0000-0000E9410000}"/>
    <cellStyle name="Normal 2 2 2 20 12" xfId="16874" xr:uid="{00000000-0005-0000-0000-0000EA410000}"/>
    <cellStyle name="Normal 2 2 2 20 13" xfId="16875" xr:uid="{00000000-0005-0000-0000-0000EB410000}"/>
    <cellStyle name="Normal 2 2 2 20 14" xfId="16876" xr:uid="{00000000-0005-0000-0000-0000EC410000}"/>
    <cellStyle name="Normal 2 2 2 20 2" xfId="16877" xr:uid="{00000000-0005-0000-0000-0000ED410000}"/>
    <cellStyle name="Normal 2 2 2 20 2 10" xfId="16878" xr:uid="{00000000-0005-0000-0000-0000EE410000}"/>
    <cellStyle name="Normal 2 2 2 20 2 2" xfId="16879" xr:uid="{00000000-0005-0000-0000-0000EF410000}"/>
    <cellStyle name="Normal 2 2 2 20 2 3" xfId="16880" xr:uid="{00000000-0005-0000-0000-0000F0410000}"/>
    <cellStyle name="Normal 2 2 2 20 2 4" xfId="16881" xr:uid="{00000000-0005-0000-0000-0000F1410000}"/>
    <cellStyle name="Normal 2 2 2 20 2 5" xfId="16882" xr:uid="{00000000-0005-0000-0000-0000F2410000}"/>
    <cellStyle name="Normal 2 2 2 20 2 6" xfId="16883" xr:uid="{00000000-0005-0000-0000-0000F3410000}"/>
    <cellStyle name="Normal 2 2 2 20 2 7" xfId="16884" xr:uid="{00000000-0005-0000-0000-0000F4410000}"/>
    <cellStyle name="Normal 2 2 2 20 2 8" xfId="16885" xr:uid="{00000000-0005-0000-0000-0000F5410000}"/>
    <cellStyle name="Normal 2 2 2 20 2 9" xfId="16886" xr:uid="{00000000-0005-0000-0000-0000F6410000}"/>
    <cellStyle name="Normal 2 2 2 20 3" xfId="16887" xr:uid="{00000000-0005-0000-0000-0000F7410000}"/>
    <cellStyle name="Normal 2 2 2 20 3 10" xfId="16888" xr:uid="{00000000-0005-0000-0000-0000F8410000}"/>
    <cellStyle name="Normal 2 2 2 20 3 2" xfId="16889" xr:uid="{00000000-0005-0000-0000-0000F9410000}"/>
    <cellStyle name="Normal 2 2 2 20 3 3" xfId="16890" xr:uid="{00000000-0005-0000-0000-0000FA410000}"/>
    <cellStyle name="Normal 2 2 2 20 3 4" xfId="16891" xr:uid="{00000000-0005-0000-0000-0000FB410000}"/>
    <cellStyle name="Normal 2 2 2 20 3 5" xfId="16892" xr:uid="{00000000-0005-0000-0000-0000FC410000}"/>
    <cellStyle name="Normal 2 2 2 20 3 6" xfId="16893" xr:uid="{00000000-0005-0000-0000-0000FD410000}"/>
    <cellStyle name="Normal 2 2 2 20 3 7" xfId="16894" xr:uid="{00000000-0005-0000-0000-0000FE410000}"/>
    <cellStyle name="Normal 2 2 2 20 3 8" xfId="16895" xr:uid="{00000000-0005-0000-0000-0000FF410000}"/>
    <cellStyle name="Normal 2 2 2 20 3 9" xfId="16896" xr:uid="{00000000-0005-0000-0000-000000420000}"/>
    <cellStyle name="Normal 2 2 2 20 4" xfId="16897" xr:uid="{00000000-0005-0000-0000-000001420000}"/>
    <cellStyle name="Normal 2 2 2 20 4 10" xfId="16898" xr:uid="{00000000-0005-0000-0000-000002420000}"/>
    <cellStyle name="Normal 2 2 2 20 4 2" xfId="16899" xr:uid="{00000000-0005-0000-0000-000003420000}"/>
    <cellStyle name="Normal 2 2 2 20 4 3" xfId="16900" xr:uid="{00000000-0005-0000-0000-000004420000}"/>
    <cellStyle name="Normal 2 2 2 20 4 4" xfId="16901" xr:uid="{00000000-0005-0000-0000-000005420000}"/>
    <cellStyle name="Normal 2 2 2 20 4 5" xfId="16902" xr:uid="{00000000-0005-0000-0000-000006420000}"/>
    <cellStyle name="Normal 2 2 2 20 4 6" xfId="16903" xr:uid="{00000000-0005-0000-0000-000007420000}"/>
    <cellStyle name="Normal 2 2 2 20 4 7" xfId="16904" xr:uid="{00000000-0005-0000-0000-000008420000}"/>
    <cellStyle name="Normal 2 2 2 20 4 8" xfId="16905" xr:uid="{00000000-0005-0000-0000-000009420000}"/>
    <cellStyle name="Normal 2 2 2 20 4 9" xfId="16906" xr:uid="{00000000-0005-0000-0000-00000A420000}"/>
    <cellStyle name="Normal 2 2 2 20 5" xfId="16907" xr:uid="{00000000-0005-0000-0000-00000B420000}"/>
    <cellStyle name="Normal 2 2 2 20 5 10" xfId="16908" xr:uid="{00000000-0005-0000-0000-00000C420000}"/>
    <cellStyle name="Normal 2 2 2 20 5 2" xfId="16909" xr:uid="{00000000-0005-0000-0000-00000D420000}"/>
    <cellStyle name="Normal 2 2 2 20 5 3" xfId="16910" xr:uid="{00000000-0005-0000-0000-00000E420000}"/>
    <cellStyle name="Normal 2 2 2 20 5 4" xfId="16911" xr:uid="{00000000-0005-0000-0000-00000F420000}"/>
    <cellStyle name="Normal 2 2 2 20 5 5" xfId="16912" xr:uid="{00000000-0005-0000-0000-000010420000}"/>
    <cellStyle name="Normal 2 2 2 20 5 6" xfId="16913" xr:uid="{00000000-0005-0000-0000-000011420000}"/>
    <cellStyle name="Normal 2 2 2 20 5 7" xfId="16914" xr:uid="{00000000-0005-0000-0000-000012420000}"/>
    <cellStyle name="Normal 2 2 2 20 5 8" xfId="16915" xr:uid="{00000000-0005-0000-0000-000013420000}"/>
    <cellStyle name="Normal 2 2 2 20 5 9" xfId="16916" xr:uid="{00000000-0005-0000-0000-000014420000}"/>
    <cellStyle name="Normal 2 2 2 20 6" xfId="16917" xr:uid="{00000000-0005-0000-0000-000015420000}"/>
    <cellStyle name="Normal 2 2 2 20 7" xfId="16918" xr:uid="{00000000-0005-0000-0000-000016420000}"/>
    <cellStyle name="Normal 2 2 2 20 8" xfId="16919" xr:uid="{00000000-0005-0000-0000-000017420000}"/>
    <cellStyle name="Normal 2 2 2 20 9" xfId="16920" xr:uid="{00000000-0005-0000-0000-000018420000}"/>
    <cellStyle name="Normal 2 2 2 21" xfId="16921" xr:uid="{00000000-0005-0000-0000-000019420000}"/>
    <cellStyle name="Normal 2 2 2 21 10" xfId="16922" xr:uid="{00000000-0005-0000-0000-00001A420000}"/>
    <cellStyle name="Normal 2 2 2 21 11" xfId="16923" xr:uid="{00000000-0005-0000-0000-00001B420000}"/>
    <cellStyle name="Normal 2 2 2 21 12" xfId="16924" xr:uid="{00000000-0005-0000-0000-00001C420000}"/>
    <cellStyle name="Normal 2 2 2 21 13" xfId="16925" xr:uid="{00000000-0005-0000-0000-00001D420000}"/>
    <cellStyle name="Normal 2 2 2 21 14" xfId="16926" xr:uid="{00000000-0005-0000-0000-00001E420000}"/>
    <cellStyle name="Normal 2 2 2 21 2" xfId="16927" xr:uid="{00000000-0005-0000-0000-00001F420000}"/>
    <cellStyle name="Normal 2 2 2 21 2 10" xfId="16928" xr:uid="{00000000-0005-0000-0000-000020420000}"/>
    <cellStyle name="Normal 2 2 2 21 2 2" xfId="16929" xr:uid="{00000000-0005-0000-0000-000021420000}"/>
    <cellStyle name="Normal 2 2 2 21 2 3" xfId="16930" xr:uid="{00000000-0005-0000-0000-000022420000}"/>
    <cellStyle name="Normal 2 2 2 21 2 4" xfId="16931" xr:uid="{00000000-0005-0000-0000-000023420000}"/>
    <cellStyle name="Normal 2 2 2 21 2 5" xfId="16932" xr:uid="{00000000-0005-0000-0000-000024420000}"/>
    <cellStyle name="Normal 2 2 2 21 2 6" xfId="16933" xr:uid="{00000000-0005-0000-0000-000025420000}"/>
    <cellStyle name="Normal 2 2 2 21 2 7" xfId="16934" xr:uid="{00000000-0005-0000-0000-000026420000}"/>
    <cellStyle name="Normal 2 2 2 21 2 8" xfId="16935" xr:uid="{00000000-0005-0000-0000-000027420000}"/>
    <cellStyle name="Normal 2 2 2 21 2 9" xfId="16936" xr:uid="{00000000-0005-0000-0000-000028420000}"/>
    <cellStyle name="Normal 2 2 2 21 3" xfId="16937" xr:uid="{00000000-0005-0000-0000-000029420000}"/>
    <cellStyle name="Normal 2 2 2 21 3 10" xfId="16938" xr:uid="{00000000-0005-0000-0000-00002A420000}"/>
    <cellStyle name="Normal 2 2 2 21 3 2" xfId="16939" xr:uid="{00000000-0005-0000-0000-00002B420000}"/>
    <cellStyle name="Normal 2 2 2 21 3 3" xfId="16940" xr:uid="{00000000-0005-0000-0000-00002C420000}"/>
    <cellStyle name="Normal 2 2 2 21 3 4" xfId="16941" xr:uid="{00000000-0005-0000-0000-00002D420000}"/>
    <cellStyle name="Normal 2 2 2 21 3 5" xfId="16942" xr:uid="{00000000-0005-0000-0000-00002E420000}"/>
    <cellStyle name="Normal 2 2 2 21 3 6" xfId="16943" xr:uid="{00000000-0005-0000-0000-00002F420000}"/>
    <cellStyle name="Normal 2 2 2 21 3 7" xfId="16944" xr:uid="{00000000-0005-0000-0000-000030420000}"/>
    <cellStyle name="Normal 2 2 2 21 3 8" xfId="16945" xr:uid="{00000000-0005-0000-0000-000031420000}"/>
    <cellStyle name="Normal 2 2 2 21 3 9" xfId="16946" xr:uid="{00000000-0005-0000-0000-000032420000}"/>
    <cellStyle name="Normal 2 2 2 21 4" xfId="16947" xr:uid="{00000000-0005-0000-0000-000033420000}"/>
    <cellStyle name="Normal 2 2 2 21 4 10" xfId="16948" xr:uid="{00000000-0005-0000-0000-000034420000}"/>
    <cellStyle name="Normal 2 2 2 21 4 2" xfId="16949" xr:uid="{00000000-0005-0000-0000-000035420000}"/>
    <cellStyle name="Normal 2 2 2 21 4 3" xfId="16950" xr:uid="{00000000-0005-0000-0000-000036420000}"/>
    <cellStyle name="Normal 2 2 2 21 4 4" xfId="16951" xr:uid="{00000000-0005-0000-0000-000037420000}"/>
    <cellStyle name="Normal 2 2 2 21 4 5" xfId="16952" xr:uid="{00000000-0005-0000-0000-000038420000}"/>
    <cellStyle name="Normal 2 2 2 21 4 6" xfId="16953" xr:uid="{00000000-0005-0000-0000-000039420000}"/>
    <cellStyle name="Normal 2 2 2 21 4 7" xfId="16954" xr:uid="{00000000-0005-0000-0000-00003A420000}"/>
    <cellStyle name="Normal 2 2 2 21 4 8" xfId="16955" xr:uid="{00000000-0005-0000-0000-00003B420000}"/>
    <cellStyle name="Normal 2 2 2 21 4 9" xfId="16956" xr:uid="{00000000-0005-0000-0000-00003C420000}"/>
    <cellStyle name="Normal 2 2 2 21 5" xfId="16957" xr:uid="{00000000-0005-0000-0000-00003D420000}"/>
    <cellStyle name="Normal 2 2 2 21 5 10" xfId="16958" xr:uid="{00000000-0005-0000-0000-00003E420000}"/>
    <cellStyle name="Normal 2 2 2 21 5 2" xfId="16959" xr:uid="{00000000-0005-0000-0000-00003F420000}"/>
    <cellStyle name="Normal 2 2 2 21 5 3" xfId="16960" xr:uid="{00000000-0005-0000-0000-000040420000}"/>
    <cellStyle name="Normal 2 2 2 21 5 4" xfId="16961" xr:uid="{00000000-0005-0000-0000-000041420000}"/>
    <cellStyle name="Normal 2 2 2 21 5 5" xfId="16962" xr:uid="{00000000-0005-0000-0000-000042420000}"/>
    <cellStyle name="Normal 2 2 2 21 5 6" xfId="16963" xr:uid="{00000000-0005-0000-0000-000043420000}"/>
    <cellStyle name="Normal 2 2 2 21 5 7" xfId="16964" xr:uid="{00000000-0005-0000-0000-000044420000}"/>
    <cellStyle name="Normal 2 2 2 21 5 8" xfId="16965" xr:uid="{00000000-0005-0000-0000-000045420000}"/>
    <cellStyle name="Normal 2 2 2 21 5 9" xfId="16966" xr:uid="{00000000-0005-0000-0000-000046420000}"/>
    <cellStyle name="Normal 2 2 2 21 6" xfId="16967" xr:uid="{00000000-0005-0000-0000-000047420000}"/>
    <cellStyle name="Normal 2 2 2 21 7" xfId="16968" xr:uid="{00000000-0005-0000-0000-000048420000}"/>
    <cellStyle name="Normal 2 2 2 21 8" xfId="16969" xr:uid="{00000000-0005-0000-0000-000049420000}"/>
    <cellStyle name="Normal 2 2 2 21 9" xfId="16970" xr:uid="{00000000-0005-0000-0000-00004A420000}"/>
    <cellStyle name="Normal 2 2 2 22" xfId="16971" xr:uid="{00000000-0005-0000-0000-00004B420000}"/>
    <cellStyle name="Normal 2 2 2 22 10" xfId="16972" xr:uid="{00000000-0005-0000-0000-00004C420000}"/>
    <cellStyle name="Normal 2 2 2 22 11" xfId="16973" xr:uid="{00000000-0005-0000-0000-00004D420000}"/>
    <cellStyle name="Normal 2 2 2 22 12" xfId="16974" xr:uid="{00000000-0005-0000-0000-00004E420000}"/>
    <cellStyle name="Normal 2 2 2 22 13" xfId="16975" xr:uid="{00000000-0005-0000-0000-00004F420000}"/>
    <cellStyle name="Normal 2 2 2 22 14" xfId="16976" xr:uid="{00000000-0005-0000-0000-000050420000}"/>
    <cellStyle name="Normal 2 2 2 22 2" xfId="16977" xr:uid="{00000000-0005-0000-0000-000051420000}"/>
    <cellStyle name="Normal 2 2 2 22 2 10" xfId="16978" xr:uid="{00000000-0005-0000-0000-000052420000}"/>
    <cellStyle name="Normal 2 2 2 22 2 2" xfId="16979" xr:uid="{00000000-0005-0000-0000-000053420000}"/>
    <cellStyle name="Normal 2 2 2 22 2 3" xfId="16980" xr:uid="{00000000-0005-0000-0000-000054420000}"/>
    <cellStyle name="Normal 2 2 2 22 2 4" xfId="16981" xr:uid="{00000000-0005-0000-0000-000055420000}"/>
    <cellStyle name="Normal 2 2 2 22 2 5" xfId="16982" xr:uid="{00000000-0005-0000-0000-000056420000}"/>
    <cellStyle name="Normal 2 2 2 22 2 6" xfId="16983" xr:uid="{00000000-0005-0000-0000-000057420000}"/>
    <cellStyle name="Normal 2 2 2 22 2 7" xfId="16984" xr:uid="{00000000-0005-0000-0000-000058420000}"/>
    <cellStyle name="Normal 2 2 2 22 2 8" xfId="16985" xr:uid="{00000000-0005-0000-0000-000059420000}"/>
    <cellStyle name="Normal 2 2 2 22 2 9" xfId="16986" xr:uid="{00000000-0005-0000-0000-00005A420000}"/>
    <cellStyle name="Normal 2 2 2 22 3" xfId="16987" xr:uid="{00000000-0005-0000-0000-00005B420000}"/>
    <cellStyle name="Normal 2 2 2 22 3 10" xfId="16988" xr:uid="{00000000-0005-0000-0000-00005C420000}"/>
    <cellStyle name="Normal 2 2 2 22 3 2" xfId="16989" xr:uid="{00000000-0005-0000-0000-00005D420000}"/>
    <cellStyle name="Normal 2 2 2 22 3 3" xfId="16990" xr:uid="{00000000-0005-0000-0000-00005E420000}"/>
    <cellStyle name="Normal 2 2 2 22 3 4" xfId="16991" xr:uid="{00000000-0005-0000-0000-00005F420000}"/>
    <cellStyle name="Normal 2 2 2 22 3 5" xfId="16992" xr:uid="{00000000-0005-0000-0000-000060420000}"/>
    <cellStyle name="Normal 2 2 2 22 3 6" xfId="16993" xr:uid="{00000000-0005-0000-0000-000061420000}"/>
    <cellStyle name="Normal 2 2 2 22 3 7" xfId="16994" xr:uid="{00000000-0005-0000-0000-000062420000}"/>
    <cellStyle name="Normal 2 2 2 22 3 8" xfId="16995" xr:uid="{00000000-0005-0000-0000-000063420000}"/>
    <cellStyle name="Normal 2 2 2 22 3 9" xfId="16996" xr:uid="{00000000-0005-0000-0000-000064420000}"/>
    <cellStyle name="Normal 2 2 2 22 4" xfId="16997" xr:uid="{00000000-0005-0000-0000-000065420000}"/>
    <cellStyle name="Normal 2 2 2 22 4 10" xfId="16998" xr:uid="{00000000-0005-0000-0000-000066420000}"/>
    <cellStyle name="Normal 2 2 2 22 4 2" xfId="16999" xr:uid="{00000000-0005-0000-0000-000067420000}"/>
    <cellStyle name="Normal 2 2 2 22 4 3" xfId="17000" xr:uid="{00000000-0005-0000-0000-000068420000}"/>
    <cellStyle name="Normal 2 2 2 22 4 4" xfId="17001" xr:uid="{00000000-0005-0000-0000-000069420000}"/>
    <cellStyle name="Normal 2 2 2 22 4 5" xfId="17002" xr:uid="{00000000-0005-0000-0000-00006A420000}"/>
    <cellStyle name="Normal 2 2 2 22 4 6" xfId="17003" xr:uid="{00000000-0005-0000-0000-00006B420000}"/>
    <cellStyle name="Normal 2 2 2 22 4 7" xfId="17004" xr:uid="{00000000-0005-0000-0000-00006C420000}"/>
    <cellStyle name="Normal 2 2 2 22 4 8" xfId="17005" xr:uid="{00000000-0005-0000-0000-00006D420000}"/>
    <cellStyle name="Normal 2 2 2 22 4 9" xfId="17006" xr:uid="{00000000-0005-0000-0000-00006E420000}"/>
    <cellStyle name="Normal 2 2 2 22 5" xfId="17007" xr:uid="{00000000-0005-0000-0000-00006F420000}"/>
    <cellStyle name="Normal 2 2 2 22 5 10" xfId="17008" xr:uid="{00000000-0005-0000-0000-000070420000}"/>
    <cellStyle name="Normal 2 2 2 22 5 2" xfId="17009" xr:uid="{00000000-0005-0000-0000-000071420000}"/>
    <cellStyle name="Normal 2 2 2 22 5 3" xfId="17010" xr:uid="{00000000-0005-0000-0000-000072420000}"/>
    <cellStyle name="Normal 2 2 2 22 5 4" xfId="17011" xr:uid="{00000000-0005-0000-0000-000073420000}"/>
    <cellStyle name="Normal 2 2 2 22 5 5" xfId="17012" xr:uid="{00000000-0005-0000-0000-000074420000}"/>
    <cellStyle name="Normal 2 2 2 22 5 6" xfId="17013" xr:uid="{00000000-0005-0000-0000-000075420000}"/>
    <cellStyle name="Normal 2 2 2 22 5 7" xfId="17014" xr:uid="{00000000-0005-0000-0000-000076420000}"/>
    <cellStyle name="Normal 2 2 2 22 5 8" xfId="17015" xr:uid="{00000000-0005-0000-0000-000077420000}"/>
    <cellStyle name="Normal 2 2 2 22 5 9" xfId="17016" xr:uid="{00000000-0005-0000-0000-000078420000}"/>
    <cellStyle name="Normal 2 2 2 22 6" xfId="17017" xr:uid="{00000000-0005-0000-0000-000079420000}"/>
    <cellStyle name="Normal 2 2 2 22 7" xfId="17018" xr:uid="{00000000-0005-0000-0000-00007A420000}"/>
    <cellStyle name="Normal 2 2 2 22 8" xfId="17019" xr:uid="{00000000-0005-0000-0000-00007B420000}"/>
    <cellStyle name="Normal 2 2 2 22 9" xfId="17020" xr:uid="{00000000-0005-0000-0000-00007C420000}"/>
    <cellStyle name="Normal 2 2 2 23" xfId="17021" xr:uid="{00000000-0005-0000-0000-00007D420000}"/>
    <cellStyle name="Normal 2 2 2 23 10" xfId="17022" xr:uid="{00000000-0005-0000-0000-00007E420000}"/>
    <cellStyle name="Normal 2 2 2 23 11" xfId="17023" xr:uid="{00000000-0005-0000-0000-00007F420000}"/>
    <cellStyle name="Normal 2 2 2 23 12" xfId="17024" xr:uid="{00000000-0005-0000-0000-000080420000}"/>
    <cellStyle name="Normal 2 2 2 23 13" xfId="17025" xr:uid="{00000000-0005-0000-0000-000081420000}"/>
    <cellStyle name="Normal 2 2 2 23 14" xfId="17026" xr:uid="{00000000-0005-0000-0000-000082420000}"/>
    <cellStyle name="Normal 2 2 2 23 2" xfId="17027" xr:uid="{00000000-0005-0000-0000-000083420000}"/>
    <cellStyle name="Normal 2 2 2 23 2 10" xfId="17028" xr:uid="{00000000-0005-0000-0000-000084420000}"/>
    <cellStyle name="Normal 2 2 2 23 2 2" xfId="17029" xr:uid="{00000000-0005-0000-0000-000085420000}"/>
    <cellStyle name="Normal 2 2 2 23 2 3" xfId="17030" xr:uid="{00000000-0005-0000-0000-000086420000}"/>
    <cellStyle name="Normal 2 2 2 23 2 4" xfId="17031" xr:uid="{00000000-0005-0000-0000-000087420000}"/>
    <cellStyle name="Normal 2 2 2 23 2 5" xfId="17032" xr:uid="{00000000-0005-0000-0000-000088420000}"/>
    <cellStyle name="Normal 2 2 2 23 2 6" xfId="17033" xr:uid="{00000000-0005-0000-0000-000089420000}"/>
    <cellStyle name="Normal 2 2 2 23 2 7" xfId="17034" xr:uid="{00000000-0005-0000-0000-00008A420000}"/>
    <cellStyle name="Normal 2 2 2 23 2 8" xfId="17035" xr:uid="{00000000-0005-0000-0000-00008B420000}"/>
    <cellStyle name="Normal 2 2 2 23 2 9" xfId="17036" xr:uid="{00000000-0005-0000-0000-00008C420000}"/>
    <cellStyle name="Normal 2 2 2 23 3" xfId="17037" xr:uid="{00000000-0005-0000-0000-00008D420000}"/>
    <cellStyle name="Normal 2 2 2 23 3 10" xfId="17038" xr:uid="{00000000-0005-0000-0000-00008E420000}"/>
    <cellStyle name="Normal 2 2 2 23 3 2" xfId="17039" xr:uid="{00000000-0005-0000-0000-00008F420000}"/>
    <cellStyle name="Normal 2 2 2 23 3 3" xfId="17040" xr:uid="{00000000-0005-0000-0000-000090420000}"/>
    <cellStyle name="Normal 2 2 2 23 3 4" xfId="17041" xr:uid="{00000000-0005-0000-0000-000091420000}"/>
    <cellStyle name="Normal 2 2 2 23 3 5" xfId="17042" xr:uid="{00000000-0005-0000-0000-000092420000}"/>
    <cellStyle name="Normal 2 2 2 23 3 6" xfId="17043" xr:uid="{00000000-0005-0000-0000-000093420000}"/>
    <cellStyle name="Normal 2 2 2 23 3 7" xfId="17044" xr:uid="{00000000-0005-0000-0000-000094420000}"/>
    <cellStyle name="Normal 2 2 2 23 3 8" xfId="17045" xr:uid="{00000000-0005-0000-0000-000095420000}"/>
    <cellStyle name="Normal 2 2 2 23 3 9" xfId="17046" xr:uid="{00000000-0005-0000-0000-000096420000}"/>
    <cellStyle name="Normal 2 2 2 23 4" xfId="17047" xr:uid="{00000000-0005-0000-0000-000097420000}"/>
    <cellStyle name="Normal 2 2 2 23 4 10" xfId="17048" xr:uid="{00000000-0005-0000-0000-000098420000}"/>
    <cellStyle name="Normal 2 2 2 23 4 2" xfId="17049" xr:uid="{00000000-0005-0000-0000-000099420000}"/>
    <cellStyle name="Normal 2 2 2 23 4 3" xfId="17050" xr:uid="{00000000-0005-0000-0000-00009A420000}"/>
    <cellStyle name="Normal 2 2 2 23 4 4" xfId="17051" xr:uid="{00000000-0005-0000-0000-00009B420000}"/>
    <cellStyle name="Normal 2 2 2 23 4 5" xfId="17052" xr:uid="{00000000-0005-0000-0000-00009C420000}"/>
    <cellStyle name="Normal 2 2 2 23 4 6" xfId="17053" xr:uid="{00000000-0005-0000-0000-00009D420000}"/>
    <cellStyle name="Normal 2 2 2 23 4 7" xfId="17054" xr:uid="{00000000-0005-0000-0000-00009E420000}"/>
    <cellStyle name="Normal 2 2 2 23 4 8" xfId="17055" xr:uid="{00000000-0005-0000-0000-00009F420000}"/>
    <cellStyle name="Normal 2 2 2 23 4 9" xfId="17056" xr:uid="{00000000-0005-0000-0000-0000A0420000}"/>
    <cellStyle name="Normal 2 2 2 23 5" xfId="17057" xr:uid="{00000000-0005-0000-0000-0000A1420000}"/>
    <cellStyle name="Normal 2 2 2 23 5 10" xfId="17058" xr:uid="{00000000-0005-0000-0000-0000A2420000}"/>
    <cellStyle name="Normal 2 2 2 23 5 2" xfId="17059" xr:uid="{00000000-0005-0000-0000-0000A3420000}"/>
    <cellStyle name="Normal 2 2 2 23 5 3" xfId="17060" xr:uid="{00000000-0005-0000-0000-0000A4420000}"/>
    <cellStyle name="Normal 2 2 2 23 5 4" xfId="17061" xr:uid="{00000000-0005-0000-0000-0000A5420000}"/>
    <cellStyle name="Normal 2 2 2 23 5 5" xfId="17062" xr:uid="{00000000-0005-0000-0000-0000A6420000}"/>
    <cellStyle name="Normal 2 2 2 23 5 6" xfId="17063" xr:uid="{00000000-0005-0000-0000-0000A7420000}"/>
    <cellStyle name="Normal 2 2 2 23 5 7" xfId="17064" xr:uid="{00000000-0005-0000-0000-0000A8420000}"/>
    <cellStyle name="Normal 2 2 2 23 5 8" xfId="17065" xr:uid="{00000000-0005-0000-0000-0000A9420000}"/>
    <cellStyle name="Normal 2 2 2 23 5 9" xfId="17066" xr:uid="{00000000-0005-0000-0000-0000AA420000}"/>
    <cellStyle name="Normal 2 2 2 23 6" xfId="17067" xr:uid="{00000000-0005-0000-0000-0000AB420000}"/>
    <cellStyle name="Normal 2 2 2 23 7" xfId="17068" xr:uid="{00000000-0005-0000-0000-0000AC420000}"/>
    <cellStyle name="Normal 2 2 2 23 8" xfId="17069" xr:uid="{00000000-0005-0000-0000-0000AD420000}"/>
    <cellStyle name="Normal 2 2 2 23 9" xfId="17070" xr:uid="{00000000-0005-0000-0000-0000AE420000}"/>
    <cellStyle name="Normal 2 2 2 24" xfId="17071" xr:uid="{00000000-0005-0000-0000-0000AF420000}"/>
    <cellStyle name="Normal 2 2 2 24 10" xfId="17072" xr:uid="{00000000-0005-0000-0000-0000B0420000}"/>
    <cellStyle name="Normal 2 2 2 24 11" xfId="17073" xr:uid="{00000000-0005-0000-0000-0000B1420000}"/>
    <cellStyle name="Normal 2 2 2 24 12" xfId="17074" xr:uid="{00000000-0005-0000-0000-0000B2420000}"/>
    <cellStyle name="Normal 2 2 2 24 13" xfId="17075" xr:uid="{00000000-0005-0000-0000-0000B3420000}"/>
    <cellStyle name="Normal 2 2 2 24 14" xfId="17076" xr:uid="{00000000-0005-0000-0000-0000B4420000}"/>
    <cellStyle name="Normal 2 2 2 24 2" xfId="17077" xr:uid="{00000000-0005-0000-0000-0000B5420000}"/>
    <cellStyle name="Normal 2 2 2 24 2 10" xfId="17078" xr:uid="{00000000-0005-0000-0000-0000B6420000}"/>
    <cellStyle name="Normal 2 2 2 24 2 2" xfId="17079" xr:uid="{00000000-0005-0000-0000-0000B7420000}"/>
    <cellStyle name="Normal 2 2 2 24 2 3" xfId="17080" xr:uid="{00000000-0005-0000-0000-0000B8420000}"/>
    <cellStyle name="Normal 2 2 2 24 2 4" xfId="17081" xr:uid="{00000000-0005-0000-0000-0000B9420000}"/>
    <cellStyle name="Normal 2 2 2 24 2 5" xfId="17082" xr:uid="{00000000-0005-0000-0000-0000BA420000}"/>
    <cellStyle name="Normal 2 2 2 24 2 6" xfId="17083" xr:uid="{00000000-0005-0000-0000-0000BB420000}"/>
    <cellStyle name="Normal 2 2 2 24 2 7" xfId="17084" xr:uid="{00000000-0005-0000-0000-0000BC420000}"/>
    <cellStyle name="Normal 2 2 2 24 2 8" xfId="17085" xr:uid="{00000000-0005-0000-0000-0000BD420000}"/>
    <cellStyle name="Normal 2 2 2 24 2 9" xfId="17086" xr:uid="{00000000-0005-0000-0000-0000BE420000}"/>
    <cellStyle name="Normal 2 2 2 24 3" xfId="17087" xr:uid="{00000000-0005-0000-0000-0000BF420000}"/>
    <cellStyle name="Normal 2 2 2 24 3 10" xfId="17088" xr:uid="{00000000-0005-0000-0000-0000C0420000}"/>
    <cellStyle name="Normal 2 2 2 24 3 2" xfId="17089" xr:uid="{00000000-0005-0000-0000-0000C1420000}"/>
    <cellStyle name="Normal 2 2 2 24 3 3" xfId="17090" xr:uid="{00000000-0005-0000-0000-0000C2420000}"/>
    <cellStyle name="Normal 2 2 2 24 3 4" xfId="17091" xr:uid="{00000000-0005-0000-0000-0000C3420000}"/>
    <cellStyle name="Normal 2 2 2 24 3 5" xfId="17092" xr:uid="{00000000-0005-0000-0000-0000C4420000}"/>
    <cellStyle name="Normal 2 2 2 24 3 6" xfId="17093" xr:uid="{00000000-0005-0000-0000-0000C5420000}"/>
    <cellStyle name="Normal 2 2 2 24 3 7" xfId="17094" xr:uid="{00000000-0005-0000-0000-0000C6420000}"/>
    <cellStyle name="Normal 2 2 2 24 3 8" xfId="17095" xr:uid="{00000000-0005-0000-0000-0000C7420000}"/>
    <cellStyle name="Normal 2 2 2 24 3 9" xfId="17096" xr:uid="{00000000-0005-0000-0000-0000C8420000}"/>
    <cellStyle name="Normal 2 2 2 24 4" xfId="17097" xr:uid="{00000000-0005-0000-0000-0000C9420000}"/>
    <cellStyle name="Normal 2 2 2 24 4 10" xfId="17098" xr:uid="{00000000-0005-0000-0000-0000CA420000}"/>
    <cellStyle name="Normal 2 2 2 24 4 2" xfId="17099" xr:uid="{00000000-0005-0000-0000-0000CB420000}"/>
    <cellStyle name="Normal 2 2 2 24 4 3" xfId="17100" xr:uid="{00000000-0005-0000-0000-0000CC420000}"/>
    <cellStyle name="Normal 2 2 2 24 4 4" xfId="17101" xr:uid="{00000000-0005-0000-0000-0000CD420000}"/>
    <cellStyle name="Normal 2 2 2 24 4 5" xfId="17102" xr:uid="{00000000-0005-0000-0000-0000CE420000}"/>
    <cellStyle name="Normal 2 2 2 24 4 6" xfId="17103" xr:uid="{00000000-0005-0000-0000-0000CF420000}"/>
    <cellStyle name="Normal 2 2 2 24 4 7" xfId="17104" xr:uid="{00000000-0005-0000-0000-0000D0420000}"/>
    <cellStyle name="Normal 2 2 2 24 4 8" xfId="17105" xr:uid="{00000000-0005-0000-0000-0000D1420000}"/>
    <cellStyle name="Normal 2 2 2 24 4 9" xfId="17106" xr:uid="{00000000-0005-0000-0000-0000D2420000}"/>
    <cellStyle name="Normal 2 2 2 24 5" xfId="17107" xr:uid="{00000000-0005-0000-0000-0000D3420000}"/>
    <cellStyle name="Normal 2 2 2 24 5 10" xfId="17108" xr:uid="{00000000-0005-0000-0000-0000D4420000}"/>
    <cellStyle name="Normal 2 2 2 24 5 2" xfId="17109" xr:uid="{00000000-0005-0000-0000-0000D5420000}"/>
    <cellStyle name="Normal 2 2 2 24 5 3" xfId="17110" xr:uid="{00000000-0005-0000-0000-0000D6420000}"/>
    <cellStyle name="Normal 2 2 2 24 5 4" xfId="17111" xr:uid="{00000000-0005-0000-0000-0000D7420000}"/>
    <cellStyle name="Normal 2 2 2 24 5 5" xfId="17112" xr:uid="{00000000-0005-0000-0000-0000D8420000}"/>
    <cellStyle name="Normal 2 2 2 24 5 6" xfId="17113" xr:uid="{00000000-0005-0000-0000-0000D9420000}"/>
    <cellStyle name="Normal 2 2 2 24 5 7" xfId="17114" xr:uid="{00000000-0005-0000-0000-0000DA420000}"/>
    <cellStyle name="Normal 2 2 2 24 5 8" xfId="17115" xr:uid="{00000000-0005-0000-0000-0000DB420000}"/>
    <cellStyle name="Normal 2 2 2 24 5 9" xfId="17116" xr:uid="{00000000-0005-0000-0000-0000DC420000}"/>
    <cellStyle name="Normal 2 2 2 24 6" xfId="17117" xr:uid="{00000000-0005-0000-0000-0000DD420000}"/>
    <cellStyle name="Normal 2 2 2 24 7" xfId="17118" xr:uid="{00000000-0005-0000-0000-0000DE420000}"/>
    <cellStyle name="Normal 2 2 2 24 8" xfId="17119" xr:uid="{00000000-0005-0000-0000-0000DF420000}"/>
    <cellStyle name="Normal 2 2 2 24 9" xfId="17120" xr:uid="{00000000-0005-0000-0000-0000E0420000}"/>
    <cellStyle name="Normal 2 2 2 25" xfId="17121" xr:uid="{00000000-0005-0000-0000-0000E1420000}"/>
    <cellStyle name="Normal 2 2 2 25 10" xfId="17122" xr:uid="{00000000-0005-0000-0000-0000E2420000}"/>
    <cellStyle name="Normal 2 2 2 25 11" xfId="17123" xr:uid="{00000000-0005-0000-0000-0000E3420000}"/>
    <cellStyle name="Normal 2 2 2 25 12" xfId="17124" xr:uid="{00000000-0005-0000-0000-0000E4420000}"/>
    <cellStyle name="Normal 2 2 2 25 13" xfId="17125" xr:uid="{00000000-0005-0000-0000-0000E5420000}"/>
    <cellStyle name="Normal 2 2 2 25 14" xfId="17126" xr:uid="{00000000-0005-0000-0000-0000E6420000}"/>
    <cellStyle name="Normal 2 2 2 25 2" xfId="17127" xr:uid="{00000000-0005-0000-0000-0000E7420000}"/>
    <cellStyle name="Normal 2 2 2 25 2 10" xfId="17128" xr:uid="{00000000-0005-0000-0000-0000E8420000}"/>
    <cellStyle name="Normal 2 2 2 25 2 2" xfId="17129" xr:uid="{00000000-0005-0000-0000-0000E9420000}"/>
    <cellStyle name="Normal 2 2 2 25 2 3" xfId="17130" xr:uid="{00000000-0005-0000-0000-0000EA420000}"/>
    <cellStyle name="Normal 2 2 2 25 2 4" xfId="17131" xr:uid="{00000000-0005-0000-0000-0000EB420000}"/>
    <cellStyle name="Normal 2 2 2 25 2 5" xfId="17132" xr:uid="{00000000-0005-0000-0000-0000EC420000}"/>
    <cellStyle name="Normal 2 2 2 25 2 6" xfId="17133" xr:uid="{00000000-0005-0000-0000-0000ED420000}"/>
    <cellStyle name="Normal 2 2 2 25 2 7" xfId="17134" xr:uid="{00000000-0005-0000-0000-0000EE420000}"/>
    <cellStyle name="Normal 2 2 2 25 2 8" xfId="17135" xr:uid="{00000000-0005-0000-0000-0000EF420000}"/>
    <cellStyle name="Normal 2 2 2 25 2 9" xfId="17136" xr:uid="{00000000-0005-0000-0000-0000F0420000}"/>
    <cellStyle name="Normal 2 2 2 25 3" xfId="17137" xr:uid="{00000000-0005-0000-0000-0000F1420000}"/>
    <cellStyle name="Normal 2 2 2 25 3 10" xfId="17138" xr:uid="{00000000-0005-0000-0000-0000F2420000}"/>
    <cellStyle name="Normal 2 2 2 25 3 2" xfId="17139" xr:uid="{00000000-0005-0000-0000-0000F3420000}"/>
    <cellStyle name="Normal 2 2 2 25 3 3" xfId="17140" xr:uid="{00000000-0005-0000-0000-0000F4420000}"/>
    <cellStyle name="Normal 2 2 2 25 3 4" xfId="17141" xr:uid="{00000000-0005-0000-0000-0000F5420000}"/>
    <cellStyle name="Normal 2 2 2 25 3 5" xfId="17142" xr:uid="{00000000-0005-0000-0000-0000F6420000}"/>
    <cellStyle name="Normal 2 2 2 25 3 6" xfId="17143" xr:uid="{00000000-0005-0000-0000-0000F7420000}"/>
    <cellStyle name="Normal 2 2 2 25 3 7" xfId="17144" xr:uid="{00000000-0005-0000-0000-0000F8420000}"/>
    <cellStyle name="Normal 2 2 2 25 3 8" xfId="17145" xr:uid="{00000000-0005-0000-0000-0000F9420000}"/>
    <cellStyle name="Normal 2 2 2 25 3 9" xfId="17146" xr:uid="{00000000-0005-0000-0000-0000FA420000}"/>
    <cellStyle name="Normal 2 2 2 25 4" xfId="17147" xr:uid="{00000000-0005-0000-0000-0000FB420000}"/>
    <cellStyle name="Normal 2 2 2 25 4 10" xfId="17148" xr:uid="{00000000-0005-0000-0000-0000FC420000}"/>
    <cellStyle name="Normal 2 2 2 25 4 2" xfId="17149" xr:uid="{00000000-0005-0000-0000-0000FD420000}"/>
    <cellStyle name="Normal 2 2 2 25 4 3" xfId="17150" xr:uid="{00000000-0005-0000-0000-0000FE420000}"/>
    <cellStyle name="Normal 2 2 2 25 4 4" xfId="17151" xr:uid="{00000000-0005-0000-0000-0000FF420000}"/>
    <cellStyle name="Normal 2 2 2 25 4 5" xfId="17152" xr:uid="{00000000-0005-0000-0000-000000430000}"/>
    <cellStyle name="Normal 2 2 2 25 4 6" xfId="17153" xr:uid="{00000000-0005-0000-0000-000001430000}"/>
    <cellStyle name="Normal 2 2 2 25 4 7" xfId="17154" xr:uid="{00000000-0005-0000-0000-000002430000}"/>
    <cellStyle name="Normal 2 2 2 25 4 8" xfId="17155" xr:uid="{00000000-0005-0000-0000-000003430000}"/>
    <cellStyle name="Normal 2 2 2 25 4 9" xfId="17156" xr:uid="{00000000-0005-0000-0000-000004430000}"/>
    <cellStyle name="Normal 2 2 2 25 5" xfId="17157" xr:uid="{00000000-0005-0000-0000-000005430000}"/>
    <cellStyle name="Normal 2 2 2 25 5 10" xfId="17158" xr:uid="{00000000-0005-0000-0000-000006430000}"/>
    <cellStyle name="Normal 2 2 2 25 5 2" xfId="17159" xr:uid="{00000000-0005-0000-0000-000007430000}"/>
    <cellStyle name="Normal 2 2 2 25 5 3" xfId="17160" xr:uid="{00000000-0005-0000-0000-000008430000}"/>
    <cellStyle name="Normal 2 2 2 25 5 4" xfId="17161" xr:uid="{00000000-0005-0000-0000-000009430000}"/>
    <cellStyle name="Normal 2 2 2 25 5 5" xfId="17162" xr:uid="{00000000-0005-0000-0000-00000A430000}"/>
    <cellStyle name="Normal 2 2 2 25 5 6" xfId="17163" xr:uid="{00000000-0005-0000-0000-00000B430000}"/>
    <cellStyle name="Normal 2 2 2 25 5 7" xfId="17164" xr:uid="{00000000-0005-0000-0000-00000C430000}"/>
    <cellStyle name="Normal 2 2 2 25 5 8" xfId="17165" xr:uid="{00000000-0005-0000-0000-00000D430000}"/>
    <cellStyle name="Normal 2 2 2 25 5 9" xfId="17166" xr:uid="{00000000-0005-0000-0000-00000E430000}"/>
    <cellStyle name="Normal 2 2 2 25 6" xfId="17167" xr:uid="{00000000-0005-0000-0000-00000F430000}"/>
    <cellStyle name="Normal 2 2 2 25 7" xfId="17168" xr:uid="{00000000-0005-0000-0000-000010430000}"/>
    <cellStyle name="Normal 2 2 2 25 8" xfId="17169" xr:uid="{00000000-0005-0000-0000-000011430000}"/>
    <cellStyle name="Normal 2 2 2 25 9" xfId="17170" xr:uid="{00000000-0005-0000-0000-000012430000}"/>
    <cellStyle name="Normal 2 2 2 26" xfId="17171" xr:uid="{00000000-0005-0000-0000-000013430000}"/>
    <cellStyle name="Normal 2 2 2 26 10" xfId="17172" xr:uid="{00000000-0005-0000-0000-000014430000}"/>
    <cellStyle name="Normal 2 2 2 26 11" xfId="17173" xr:uid="{00000000-0005-0000-0000-000015430000}"/>
    <cellStyle name="Normal 2 2 2 26 12" xfId="17174" xr:uid="{00000000-0005-0000-0000-000016430000}"/>
    <cellStyle name="Normal 2 2 2 26 13" xfId="17175" xr:uid="{00000000-0005-0000-0000-000017430000}"/>
    <cellStyle name="Normal 2 2 2 26 14" xfId="17176" xr:uid="{00000000-0005-0000-0000-000018430000}"/>
    <cellStyle name="Normal 2 2 2 26 2" xfId="17177" xr:uid="{00000000-0005-0000-0000-000019430000}"/>
    <cellStyle name="Normal 2 2 2 26 2 10" xfId="17178" xr:uid="{00000000-0005-0000-0000-00001A430000}"/>
    <cellStyle name="Normal 2 2 2 26 2 2" xfId="17179" xr:uid="{00000000-0005-0000-0000-00001B430000}"/>
    <cellStyle name="Normal 2 2 2 26 2 3" xfId="17180" xr:uid="{00000000-0005-0000-0000-00001C430000}"/>
    <cellStyle name="Normal 2 2 2 26 2 4" xfId="17181" xr:uid="{00000000-0005-0000-0000-00001D430000}"/>
    <cellStyle name="Normal 2 2 2 26 2 5" xfId="17182" xr:uid="{00000000-0005-0000-0000-00001E430000}"/>
    <cellStyle name="Normal 2 2 2 26 2 6" xfId="17183" xr:uid="{00000000-0005-0000-0000-00001F430000}"/>
    <cellStyle name="Normal 2 2 2 26 2 7" xfId="17184" xr:uid="{00000000-0005-0000-0000-000020430000}"/>
    <cellStyle name="Normal 2 2 2 26 2 8" xfId="17185" xr:uid="{00000000-0005-0000-0000-000021430000}"/>
    <cellStyle name="Normal 2 2 2 26 2 9" xfId="17186" xr:uid="{00000000-0005-0000-0000-000022430000}"/>
    <cellStyle name="Normal 2 2 2 26 3" xfId="17187" xr:uid="{00000000-0005-0000-0000-000023430000}"/>
    <cellStyle name="Normal 2 2 2 26 3 10" xfId="17188" xr:uid="{00000000-0005-0000-0000-000024430000}"/>
    <cellStyle name="Normal 2 2 2 26 3 2" xfId="17189" xr:uid="{00000000-0005-0000-0000-000025430000}"/>
    <cellStyle name="Normal 2 2 2 26 3 3" xfId="17190" xr:uid="{00000000-0005-0000-0000-000026430000}"/>
    <cellStyle name="Normal 2 2 2 26 3 4" xfId="17191" xr:uid="{00000000-0005-0000-0000-000027430000}"/>
    <cellStyle name="Normal 2 2 2 26 3 5" xfId="17192" xr:uid="{00000000-0005-0000-0000-000028430000}"/>
    <cellStyle name="Normal 2 2 2 26 3 6" xfId="17193" xr:uid="{00000000-0005-0000-0000-000029430000}"/>
    <cellStyle name="Normal 2 2 2 26 3 7" xfId="17194" xr:uid="{00000000-0005-0000-0000-00002A430000}"/>
    <cellStyle name="Normal 2 2 2 26 3 8" xfId="17195" xr:uid="{00000000-0005-0000-0000-00002B430000}"/>
    <cellStyle name="Normal 2 2 2 26 3 9" xfId="17196" xr:uid="{00000000-0005-0000-0000-00002C430000}"/>
    <cellStyle name="Normal 2 2 2 26 4" xfId="17197" xr:uid="{00000000-0005-0000-0000-00002D430000}"/>
    <cellStyle name="Normal 2 2 2 26 4 10" xfId="17198" xr:uid="{00000000-0005-0000-0000-00002E430000}"/>
    <cellStyle name="Normal 2 2 2 26 4 2" xfId="17199" xr:uid="{00000000-0005-0000-0000-00002F430000}"/>
    <cellStyle name="Normal 2 2 2 26 4 3" xfId="17200" xr:uid="{00000000-0005-0000-0000-000030430000}"/>
    <cellStyle name="Normal 2 2 2 26 4 4" xfId="17201" xr:uid="{00000000-0005-0000-0000-000031430000}"/>
    <cellStyle name="Normal 2 2 2 26 4 5" xfId="17202" xr:uid="{00000000-0005-0000-0000-000032430000}"/>
    <cellStyle name="Normal 2 2 2 26 4 6" xfId="17203" xr:uid="{00000000-0005-0000-0000-000033430000}"/>
    <cellStyle name="Normal 2 2 2 26 4 7" xfId="17204" xr:uid="{00000000-0005-0000-0000-000034430000}"/>
    <cellStyle name="Normal 2 2 2 26 4 8" xfId="17205" xr:uid="{00000000-0005-0000-0000-000035430000}"/>
    <cellStyle name="Normal 2 2 2 26 4 9" xfId="17206" xr:uid="{00000000-0005-0000-0000-000036430000}"/>
    <cellStyle name="Normal 2 2 2 26 5" xfId="17207" xr:uid="{00000000-0005-0000-0000-000037430000}"/>
    <cellStyle name="Normal 2 2 2 26 5 10" xfId="17208" xr:uid="{00000000-0005-0000-0000-000038430000}"/>
    <cellStyle name="Normal 2 2 2 26 5 2" xfId="17209" xr:uid="{00000000-0005-0000-0000-000039430000}"/>
    <cellStyle name="Normal 2 2 2 26 5 3" xfId="17210" xr:uid="{00000000-0005-0000-0000-00003A430000}"/>
    <cellStyle name="Normal 2 2 2 26 5 4" xfId="17211" xr:uid="{00000000-0005-0000-0000-00003B430000}"/>
    <cellStyle name="Normal 2 2 2 26 5 5" xfId="17212" xr:uid="{00000000-0005-0000-0000-00003C430000}"/>
    <cellStyle name="Normal 2 2 2 26 5 6" xfId="17213" xr:uid="{00000000-0005-0000-0000-00003D430000}"/>
    <cellStyle name="Normal 2 2 2 26 5 7" xfId="17214" xr:uid="{00000000-0005-0000-0000-00003E430000}"/>
    <cellStyle name="Normal 2 2 2 26 5 8" xfId="17215" xr:uid="{00000000-0005-0000-0000-00003F430000}"/>
    <cellStyle name="Normal 2 2 2 26 5 9" xfId="17216" xr:uid="{00000000-0005-0000-0000-000040430000}"/>
    <cellStyle name="Normal 2 2 2 26 6" xfId="17217" xr:uid="{00000000-0005-0000-0000-000041430000}"/>
    <cellStyle name="Normal 2 2 2 26 7" xfId="17218" xr:uid="{00000000-0005-0000-0000-000042430000}"/>
    <cellStyle name="Normal 2 2 2 26 8" xfId="17219" xr:uid="{00000000-0005-0000-0000-000043430000}"/>
    <cellStyle name="Normal 2 2 2 26 9" xfId="17220" xr:uid="{00000000-0005-0000-0000-000044430000}"/>
    <cellStyle name="Normal 2 2 2 27" xfId="17221" xr:uid="{00000000-0005-0000-0000-000045430000}"/>
    <cellStyle name="Normal 2 2 2 27 10" xfId="17222" xr:uid="{00000000-0005-0000-0000-000046430000}"/>
    <cellStyle name="Normal 2 2 2 27 11" xfId="17223" xr:uid="{00000000-0005-0000-0000-000047430000}"/>
    <cellStyle name="Normal 2 2 2 27 12" xfId="17224" xr:uid="{00000000-0005-0000-0000-000048430000}"/>
    <cellStyle name="Normal 2 2 2 27 13" xfId="17225" xr:uid="{00000000-0005-0000-0000-000049430000}"/>
    <cellStyle name="Normal 2 2 2 27 14" xfId="17226" xr:uid="{00000000-0005-0000-0000-00004A430000}"/>
    <cellStyle name="Normal 2 2 2 27 2" xfId="17227" xr:uid="{00000000-0005-0000-0000-00004B430000}"/>
    <cellStyle name="Normal 2 2 2 27 2 10" xfId="17228" xr:uid="{00000000-0005-0000-0000-00004C430000}"/>
    <cellStyle name="Normal 2 2 2 27 2 2" xfId="17229" xr:uid="{00000000-0005-0000-0000-00004D430000}"/>
    <cellStyle name="Normal 2 2 2 27 2 3" xfId="17230" xr:uid="{00000000-0005-0000-0000-00004E430000}"/>
    <cellStyle name="Normal 2 2 2 27 2 4" xfId="17231" xr:uid="{00000000-0005-0000-0000-00004F430000}"/>
    <cellStyle name="Normal 2 2 2 27 2 5" xfId="17232" xr:uid="{00000000-0005-0000-0000-000050430000}"/>
    <cellStyle name="Normal 2 2 2 27 2 6" xfId="17233" xr:uid="{00000000-0005-0000-0000-000051430000}"/>
    <cellStyle name="Normal 2 2 2 27 2 7" xfId="17234" xr:uid="{00000000-0005-0000-0000-000052430000}"/>
    <cellStyle name="Normal 2 2 2 27 2 8" xfId="17235" xr:uid="{00000000-0005-0000-0000-000053430000}"/>
    <cellStyle name="Normal 2 2 2 27 2 9" xfId="17236" xr:uid="{00000000-0005-0000-0000-000054430000}"/>
    <cellStyle name="Normal 2 2 2 27 3" xfId="17237" xr:uid="{00000000-0005-0000-0000-000055430000}"/>
    <cellStyle name="Normal 2 2 2 27 3 10" xfId="17238" xr:uid="{00000000-0005-0000-0000-000056430000}"/>
    <cellStyle name="Normal 2 2 2 27 3 2" xfId="17239" xr:uid="{00000000-0005-0000-0000-000057430000}"/>
    <cellStyle name="Normal 2 2 2 27 3 3" xfId="17240" xr:uid="{00000000-0005-0000-0000-000058430000}"/>
    <cellStyle name="Normal 2 2 2 27 3 4" xfId="17241" xr:uid="{00000000-0005-0000-0000-000059430000}"/>
    <cellStyle name="Normal 2 2 2 27 3 5" xfId="17242" xr:uid="{00000000-0005-0000-0000-00005A430000}"/>
    <cellStyle name="Normal 2 2 2 27 3 6" xfId="17243" xr:uid="{00000000-0005-0000-0000-00005B430000}"/>
    <cellStyle name="Normal 2 2 2 27 3 7" xfId="17244" xr:uid="{00000000-0005-0000-0000-00005C430000}"/>
    <cellStyle name="Normal 2 2 2 27 3 8" xfId="17245" xr:uid="{00000000-0005-0000-0000-00005D430000}"/>
    <cellStyle name="Normal 2 2 2 27 3 9" xfId="17246" xr:uid="{00000000-0005-0000-0000-00005E430000}"/>
    <cellStyle name="Normal 2 2 2 27 4" xfId="17247" xr:uid="{00000000-0005-0000-0000-00005F430000}"/>
    <cellStyle name="Normal 2 2 2 27 4 10" xfId="17248" xr:uid="{00000000-0005-0000-0000-000060430000}"/>
    <cellStyle name="Normal 2 2 2 27 4 2" xfId="17249" xr:uid="{00000000-0005-0000-0000-000061430000}"/>
    <cellStyle name="Normal 2 2 2 27 4 3" xfId="17250" xr:uid="{00000000-0005-0000-0000-000062430000}"/>
    <cellStyle name="Normal 2 2 2 27 4 4" xfId="17251" xr:uid="{00000000-0005-0000-0000-000063430000}"/>
    <cellStyle name="Normal 2 2 2 27 4 5" xfId="17252" xr:uid="{00000000-0005-0000-0000-000064430000}"/>
    <cellStyle name="Normal 2 2 2 27 4 6" xfId="17253" xr:uid="{00000000-0005-0000-0000-000065430000}"/>
    <cellStyle name="Normal 2 2 2 27 4 7" xfId="17254" xr:uid="{00000000-0005-0000-0000-000066430000}"/>
    <cellStyle name="Normal 2 2 2 27 4 8" xfId="17255" xr:uid="{00000000-0005-0000-0000-000067430000}"/>
    <cellStyle name="Normal 2 2 2 27 4 9" xfId="17256" xr:uid="{00000000-0005-0000-0000-000068430000}"/>
    <cellStyle name="Normal 2 2 2 27 5" xfId="17257" xr:uid="{00000000-0005-0000-0000-000069430000}"/>
    <cellStyle name="Normal 2 2 2 27 5 10" xfId="17258" xr:uid="{00000000-0005-0000-0000-00006A430000}"/>
    <cellStyle name="Normal 2 2 2 27 5 2" xfId="17259" xr:uid="{00000000-0005-0000-0000-00006B430000}"/>
    <cellStyle name="Normal 2 2 2 27 5 3" xfId="17260" xr:uid="{00000000-0005-0000-0000-00006C430000}"/>
    <cellStyle name="Normal 2 2 2 27 5 4" xfId="17261" xr:uid="{00000000-0005-0000-0000-00006D430000}"/>
    <cellStyle name="Normal 2 2 2 27 5 5" xfId="17262" xr:uid="{00000000-0005-0000-0000-00006E430000}"/>
    <cellStyle name="Normal 2 2 2 27 5 6" xfId="17263" xr:uid="{00000000-0005-0000-0000-00006F430000}"/>
    <cellStyle name="Normal 2 2 2 27 5 7" xfId="17264" xr:uid="{00000000-0005-0000-0000-000070430000}"/>
    <cellStyle name="Normal 2 2 2 27 5 8" xfId="17265" xr:uid="{00000000-0005-0000-0000-000071430000}"/>
    <cellStyle name="Normal 2 2 2 27 5 9" xfId="17266" xr:uid="{00000000-0005-0000-0000-000072430000}"/>
    <cellStyle name="Normal 2 2 2 27 6" xfId="17267" xr:uid="{00000000-0005-0000-0000-000073430000}"/>
    <cellStyle name="Normal 2 2 2 27 7" xfId="17268" xr:uid="{00000000-0005-0000-0000-000074430000}"/>
    <cellStyle name="Normal 2 2 2 27 8" xfId="17269" xr:uid="{00000000-0005-0000-0000-000075430000}"/>
    <cellStyle name="Normal 2 2 2 27 9" xfId="17270" xr:uid="{00000000-0005-0000-0000-000076430000}"/>
    <cellStyle name="Normal 2 2 2 28" xfId="17271" xr:uid="{00000000-0005-0000-0000-000077430000}"/>
    <cellStyle name="Normal 2 2 2 28 10" xfId="17272" xr:uid="{00000000-0005-0000-0000-000078430000}"/>
    <cellStyle name="Normal 2 2 2 28 11" xfId="17273" xr:uid="{00000000-0005-0000-0000-000079430000}"/>
    <cellStyle name="Normal 2 2 2 28 12" xfId="17274" xr:uid="{00000000-0005-0000-0000-00007A430000}"/>
    <cellStyle name="Normal 2 2 2 28 13" xfId="17275" xr:uid="{00000000-0005-0000-0000-00007B430000}"/>
    <cellStyle name="Normal 2 2 2 28 14" xfId="17276" xr:uid="{00000000-0005-0000-0000-00007C430000}"/>
    <cellStyle name="Normal 2 2 2 28 2" xfId="17277" xr:uid="{00000000-0005-0000-0000-00007D430000}"/>
    <cellStyle name="Normal 2 2 2 28 2 10" xfId="17278" xr:uid="{00000000-0005-0000-0000-00007E430000}"/>
    <cellStyle name="Normal 2 2 2 28 2 2" xfId="17279" xr:uid="{00000000-0005-0000-0000-00007F430000}"/>
    <cellStyle name="Normal 2 2 2 28 2 3" xfId="17280" xr:uid="{00000000-0005-0000-0000-000080430000}"/>
    <cellStyle name="Normal 2 2 2 28 2 4" xfId="17281" xr:uid="{00000000-0005-0000-0000-000081430000}"/>
    <cellStyle name="Normal 2 2 2 28 2 5" xfId="17282" xr:uid="{00000000-0005-0000-0000-000082430000}"/>
    <cellStyle name="Normal 2 2 2 28 2 6" xfId="17283" xr:uid="{00000000-0005-0000-0000-000083430000}"/>
    <cellStyle name="Normal 2 2 2 28 2 7" xfId="17284" xr:uid="{00000000-0005-0000-0000-000084430000}"/>
    <cellStyle name="Normal 2 2 2 28 2 8" xfId="17285" xr:uid="{00000000-0005-0000-0000-000085430000}"/>
    <cellStyle name="Normal 2 2 2 28 2 9" xfId="17286" xr:uid="{00000000-0005-0000-0000-000086430000}"/>
    <cellStyle name="Normal 2 2 2 28 3" xfId="17287" xr:uid="{00000000-0005-0000-0000-000087430000}"/>
    <cellStyle name="Normal 2 2 2 28 3 10" xfId="17288" xr:uid="{00000000-0005-0000-0000-000088430000}"/>
    <cellStyle name="Normal 2 2 2 28 3 2" xfId="17289" xr:uid="{00000000-0005-0000-0000-000089430000}"/>
    <cellStyle name="Normal 2 2 2 28 3 3" xfId="17290" xr:uid="{00000000-0005-0000-0000-00008A430000}"/>
    <cellStyle name="Normal 2 2 2 28 3 4" xfId="17291" xr:uid="{00000000-0005-0000-0000-00008B430000}"/>
    <cellStyle name="Normal 2 2 2 28 3 5" xfId="17292" xr:uid="{00000000-0005-0000-0000-00008C430000}"/>
    <cellStyle name="Normal 2 2 2 28 3 6" xfId="17293" xr:uid="{00000000-0005-0000-0000-00008D430000}"/>
    <cellStyle name="Normal 2 2 2 28 3 7" xfId="17294" xr:uid="{00000000-0005-0000-0000-00008E430000}"/>
    <cellStyle name="Normal 2 2 2 28 3 8" xfId="17295" xr:uid="{00000000-0005-0000-0000-00008F430000}"/>
    <cellStyle name="Normal 2 2 2 28 3 9" xfId="17296" xr:uid="{00000000-0005-0000-0000-000090430000}"/>
    <cellStyle name="Normal 2 2 2 28 4" xfId="17297" xr:uid="{00000000-0005-0000-0000-000091430000}"/>
    <cellStyle name="Normal 2 2 2 28 4 10" xfId="17298" xr:uid="{00000000-0005-0000-0000-000092430000}"/>
    <cellStyle name="Normal 2 2 2 28 4 2" xfId="17299" xr:uid="{00000000-0005-0000-0000-000093430000}"/>
    <cellStyle name="Normal 2 2 2 28 4 3" xfId="17300" xr:uid="{00000000-0005-0000-0000-000094430000}"/>
    <cellStyle name="Normal 2 2 2 28 4 4" xfId="17301" xr:uid="{00000000-0005-0000-0000-000095430000}"/>
    <cellStyle name="Normal 2 2 2 28 4 5" xfId="17302" xr:uid="{00000000-0005-0000-0000-000096430000}"/>
    <cellStyle name="Normal 2 2 2 28 4 6" xfId="17303" xr:uid="{00000000-0005-0000-0000-000097430000}"/>
    <cellStyle name="Normal 2 2 2 28 4 7" xfId="17304" xr:uid="{00000000-0005-0000-0000-000098430000}"/>
    <cellStyle name="Normal 2 2 2 28 4 8" xfId="17305" xr:uid="{00000000-0005-0000-0000-000099430000}"/>
    <cellStyle name="Normal 2 2 2 28 4 9" xfId="17306" xr:uid="{00000000-0005-0000-0000-00009A430000}"/>
    <cellStyle name="Normal 2 2 2 28 5" xfId="17307" xr:uid="{00000000-0005-0000-0000-00009B430000}"/>
    <cellStyle name="Normal 2 2 2 28 5 10" xfId="17308" xr:uid="{00000000-0005-0000-0000-00009C430000}"/>
    <cellStyle name="Normal 2 2 2 28 5 2" xfId="17309" xr:uid="{00000000-0005-0000-0000-00009D430000}"/>
    <cellStyle name="Normal 2 2 2 28 5 3" xfId="17310" xr:uid="{00000000-0005-0000-0000-00009E430000}"/>
    <cellStyle name="Normal 2 2 2 28 5 4" xfId="17311" xr:uid="{00000000-0005-0000-0000-00009F430000}"/>
    <cellStyle name="Normal 2 2 2 28 5 5" xfId="17312" xr:uid="{00000000-0005-0000-0000-0000A0430000}"/>
    <cellStyle name="Normal 2 2 2 28 5 6" xfId="17313" xr:uid="{00000000-0005-0000-0000-0000A1430000}"/>
    <cellStyle name="Normal 2 2 2 28 5 7" xfId="17314" xr:uid="{00000000-0005-0000-0000-0000A2430000}"/>
    <cellStyle name="Normal 2 2 2 28 5 8" xfId="17315" xr:uid="{00000000-0005-0000-0000-0000A3430000}"/>
    <cellStyle name="Normal 2 2 2 28 5 9" xfId="17316" xr:uid="{00000000-0005-0000-0000-0000A4430000}"/>
    <cellStyle name="Normal 2 2 2 28 6" xfId="17317" xr:uid="{00000000-0005-0000-0000-0000A5430000}"/>
    <cellStyle name="Normal 2 2 2 28 7" xfId="17318" xr:uid="{00000000-0005-0000-0000-0000A6430000}"/>
    <cellStyle name="Normal 2 2 2 28 8" xfId="17319" xr:uid="{00000000-0005-0000-0000-0000A7430000}"/>
    <cellStyle name="Normal 2 2 2 28 9" xfId="17320" xr:uid="{00000000-0005-0000-0000-0000A8430000}"/>
    <cellStyle name="Normal 2 2 2 29" xfId="17321" xr:uid="{00000000-0005-0000-0000-0000A9430000}"/>
    <cellStyle name="Normal 2 2 2 29 10" xfId="17322" xr:uid="{00000000-0005-0000-0000-0000AA430000}"/>
    <cellStyle name="Normal 2 2 2 29 11" xfId="17323" xr:uid="{00000000-0005-0000-0000-0000AB430000}"/>
    <cellStyle name="Normal 2 2 2 29 12" xfId="17324" xr:uid="{00000000-0005-0000-0000-0000AC430000}"/>
    <cellStyle name="Normal 2 2 2 29 13" xfId="17325" xr:uid="{00000000-0005-0000-0000-0000AD430000}"/>
    <cellStyle name="Normal 2 2 2 29 14" xfId="17326" xr:uid="{00000000-0005-0000-0000-0000AE430000}"/>
    <cellStyle name="Normal 2 2 2 29 2" xfId="17327" xr:uid="{00000000-0005-0000-0000-0000AF430000}"/>
    <cellStyle name="Normal 2 2 2 29 2 10" xfId="17328" xr:uid="{00000000-0005-0000-0000-0000B0430000}"/>
    <cellStyle name="Normal 2 2 2 29 2 2" xfId="17329" xr:uid="{00000000-0005-0000-0000-0000B1430000}"/>
    <cellStyle name="Normal 2 2 2 29 2 3" xfId="17330" xr:uid="{00000000-0005-0000-0000-0000B2430000}"/>
    <cellStyle name="Normal 2 2 2 29 2 4" xfId="17331" xr:uid="{00000000-0005-0000-0000-0000B3430000}"/>
    <cellStyle name="Normal 2 2 2 29 2 5" xfId="17332" xr:uid="{00000000-0005-0000-0000-0000B4430000}"/>
    <cellStyle name="Normal 2 2 2 29 2 6" xfId="17333" xr:uid="{00000000-0005-0000-0000-0000B5430000}"/>
    <cellStyle name="Normal 2 2 2 29 2 7" xfId="17334" xr:uid="{00000000-0005-0000-0000-0000B6430000}"/>
    <cellStyle name="Normal 2 2 2 29 2 8" xfId="17335" xr:uid="{00000000-0005-0000-0000-0000B7430000}"/>
    <cellStyle name="Normal 2 2 2 29 2 9" xfId="17336" xr:uid="{00000000-0005-0000-0000-0000B8430000}"/>
    <cellStyle name="Normal 2 2 2 29 3" xfId="17337" xr:uid="{00000000-0005-0000-0000-0000B9430000}"/>
    <cellStyle name="Normal 2 2 2 29 3 10" xfId="17338" xr:uid="{00000000-0005-0000-0000-0000BA430000}"/>
    <cellStyle name="Normal 2 2 2 29 3 2" xfId="17339" xr:uid="{00000000-0005-0000-0000-0000BB430000}"/>
    <cellStyle name="Normal 2 2 2 29 3 3" xfId="17340" xr:uid="{00000000-0005-0000-0000-0000BC430000}"/>
    <cellStyle name="Normal 2 2 2 29 3 4" xfId="17341" xr:uid="{00000000-0005-0000-0000-0000BD430000}"/>
    <cellStyle name="Normal 2 2 2 29 3 5" xfId="17342" xr:uid="{00000000-0005-0000-0000-0000BE430000}"/>
    <cellStyle name="Normal 2 2 2 29 3 6" xfId="17343" xr:uid="{00000000-0005-0000-0000-0000BF430000}"/>
    <cellStyle name="Normal 2 2 2 29 3 7" xfId="17344" xr:uid="{00000000-0005-0000-0000-0000C0430000}"/>
    <cellStyle name="Normal 2 2 2 29 3 8" xfId="17345" xr:uid="{00000000-0005-0000-0000-0000C1430000}"/>
    <cellStyle name="Normal 2 2 2 29 3 9" xfId="17346" xr:uid="{00000000-0005-0000-0000-0000C2430000}"/>
    <cellStyle name="Normal 2 2 2 29 4" xfId="17347" xr:uid="{00000000-0005-0000-0000-0000C3430000}"/>
    <cellStyle name="Normal 2 2 2 29 4 10" xfId="17348" xr:uid="{00000000-0005-0000-0000-0000C4430000}"/>
    <cellStyle name="Normal 2 2 2 29 4 2" xfId="17349" xr:uid="{00000000-0005-0000-0000-0000C5430000}"/>
    <cellStyle name="Normal 2 2 2 29 4 3" xfId="17350" xr:uid="{00000000-0005-0000-0000-0000C6430000}"/>
    <cellStyle name="Normal 2 2 2 29 4 4" xfId="17351" xr:uid="{00000000-0005-0000-0000-0000C7430000}"/>
    <cellStyle name="Normal 2 2 2 29 4 5" xfId="17352" xr:uid="{00000000-0005-0000-0000-0000C8430000}"/>
    <cellStyle name="Normal 2 2 2 29 4 6" xfId="17353" xr:uid="{00000000-0005-0000-0000-0000C9430000}"/>
    <cellStyle name="Normal 2 2 2 29 4 7" xfId="17354" xr:uid="{00000000-0005-0000-0000-0000CA430000}"/>
    <cellStyle name="Normal 2 2 2 29 4 8" xfId="17355" xr:uid="{00000000-0005-0000-0000-0000CB430000}"/>
    <cellStyle name="Normal 2 2 2 29 4 9" xfId="17356" xr:uid="{00000000-0005-0000-0000-0000CC430000}"/>
    <cellStyle name="Normal 2 2 2 29 5" xfId="17357" xr:uid="{00000000-0005-0000-0000-0000CD430000}"/>
    <cellStyle name="Normal 2 2 2 29 5 10" xfId="17358" xr:uid="{00000000-0005-0000-0000-0000CE430000}"/>
    <cellStyle name="Normal 2 2 2 29 5 2" xfId="17359" xr:uid="{00000000-0005-0000-0000-0000CF430000}"/>
    <cellStyle name="Normal 2 2 2 29 5 3" xfId="17360" xr:uid="{00000000-0005-0000-0000-0000D0430000}"/>
    <cellStyle name="Normal 2 2 2 29 5 4" xfId="17361" xr:uid="{00000000-0005-0000-0000-0000D1430000}"/>
    <cellStyle name="Normal 2 2 2 29 5 5" xfId="17362" xr:uid="{00000000-0005-0000-0000-0000D2430000}"/>
    <cellStyle name="Normal 2 2 2 29 5 6" xfId="17363" xr:uid="{00000000-0005-0000-0000-0000D3430000}"/>
    <cellStyle name="Normal 2 2 2 29 5 7" xfId="17364" xr:uid="{00000000-0005-0000-0000-0000D4430000}"/>
    <cellStyle name="Normal 2 2 2 29 5 8" xfId="17365" xr:uid="{00000000-0005-0000-0000-0000D5430000}"/>
    <cellStyle name="Normal 2 2 2 29 5 9" xfId="17366" xr:uid="{00000000-0005-0000-0000-0000D6430000}"/>
    <cellStyle name="Normal 2 2 2 29 6" xfId="17367" xr:uid="{00000000-0005-0000-0000-0000D7430000}"/>
    <cellStyle name="Normal 2 2 2 29 7" xfId="17368" xr:uid="{00000000-0005-0000-0000-0000D8430000}"/>
    <cellStyle name="Normal 2 2 2 29 8" xfId="17369" xr:uid="{00000000-0005-0000-0000-0000D9430000}"/>
    <cellStyle name="Normal 2 2 2 29 9" xfId="17370" xr:uid="{00000000-0005-0000-0000-0000DA430000}"/>
    <cellStyle name="Normal 2 2 2 3" xfId="16" xr:uid="{00000000-0005-0000-0000-000010000000}"/>
    <cellStyle name="Normal 2 2 2 3 10" xfId="17371" xr:uid="{00000000-0005-0000-0000-0000DB430000}"/>
    <cellStyle name="Normal 2 2 2 3 10 10" xfId="17372" xr:uid="{00000000-0005-0000-0000-0000DC430000}"/>
    <cellStyle name="Normal 2 2 2 3 10 11" xfId="17373" xr:uid="{00000000-0005-0000-0000-0000DD430000}"/>
    <cellStyle name="Normal 2 2 2 3 10 12" xfId="17374" xr:uid="{00000000-0005-0000-0000-0000DE430000}"/>
    <cellStyle name="Normal 2 2 2 3 10 13" xfId="17375" xr:uid="{00000000-0005-0000-0000-0000DF430000}"/>
    <cellStyle name="Normal 2 2 2 3 10 14" xfId="17376" xr:uid="{00000000-0005-0000-0000-0000E0430000}"/>
    <cellStyle name="Normal 2 2 2 3 10 2" xfId="17377" xr:uid="{00000000-0005-0000-0000-0000E1430000}"/>
    <cellStyle name="Normal 2 2 2 3 10 2 10" xfId="17378" xr:uid="{00000000-0005-0000-0000-0000E2430000}"/>
    <cellStyle name="Normal 2 2 2 3 10 2 2" xfId="17379" xr:uid="{00000000-0005-0000-0000-0000E3430000}"/>
    <cellStyle name="Normal 2 2 2 3 10 2 3" xfId="17380" xr:uid="{00000000-0005-0000-0000-0000E4430000}"/>
    <cellStyle name="Normal 2 2 2 3 10 2 4" xfId="17381" xr:uid="{00000000-0005-0000-0000-0000E5430000}"/>
    <cellStyle name="Normal 2 2 2 3 10 2 5" xfId="17382" xr:uid="{00000000-0005-0000-0000-0000E6430000}"/>
    <cellStyle name="Normal 2 2 2 3 10 2 6" xfId="17383" xr:uid="{00000000-0005-0000-0000-0000E7430000}"/>
    <cellStyle name="Normal 2 2 2 3 10 2 7" xfId="17384" xr:uid="{00000000-0005-0000-0000-0000E8430000}"/>
    <cellStyle name="Normal 2 2 2 3 10 2 8" xfId="17385" xr:uid="{00000000-0005-0000-0000-0000E9430000}"/>
    <cellStyle name="Normal 2 2 2 3 10 2 9" xfId="17386" xr:uid="{00000000-0005-0000-0000-0000EA430000}"/>
    <cellStyle name="Normal 2 2 2 3 10 3" xfId="17387" xr:uid="{00000000-0005-0000-0000-0000EB430000}"/>
    <cellStyle name="Normal 2 2 2 3 10 3 10" xfId="17388" xr:uid="{00000000-0005-0000-0000-0000EC430000}"/>
    <cellStyle name="Normal 2 2 2 3 10 3 2" xfId="17389" xr:uid="{00000000-0005-0000-0000-0000ED430000}"/>
    <cellStyle name="Normal 2 2 2 3 10 3 3" xfId="17390" xr:uid="{00000000-0005-0000-0000-0000EE430000}"/>
    <cellStyle name="Normal 2 2 2 3 10 3 4" xfId="17391" xr:uid="{00000000-0005-0000-0000-0000EF430000}"/>
    <cellStyle name="Normal 2 2 2 3 10 3 5" xfId="17392" xr:uid="{00000000-0005-0000-0000-0000F0430000}"/>
    <cellStyle name="Normal 2 2 2 3 10 3 6" xfId="17393" xr:uid="{00000000-0005-0000-0000-0000F1430000}"/>
    <cellStyle name="Normal 2 2 2 3 10 3 7" xfId="17394" xr:uid="{00000000-0005-0000-0000-0000F2430000}"/>
    <cellStyle name="Normal 2 2 2 3 10 3 8" xfId="17395" xr:uid="{00000000-0005-0000-0000-0000F3430000}"/>
    <cellStyle name="Normal 2 2 2 3 10 3 9" xfId="17396" xr:uid="{00000000-0005-0000-0000-0000F4430000}"/>
    <cellStyle name="Normal 2 2 2 3 10 4" xfId="17397" xr:uid="{00000000-0005-0000-0000-0000F5430000}"/>
    <cellStyle name="Normal 2 2 2 3 10 4 10" xfId="17398" xr:uid="{00000000-0005-0000-0000-0000F6430000}"/>
    <cellStyle name="Normal 2 2 2 3 10 4 2" xfId="17399" xr:uid="{00000000-0005-0000-0000-0000F7430000}"/>
    <cellStyle name="Normal 2 2 2 3 10 4 3" xfId="17400" xr:uid="{00000000-0005-0000-0000-0000F8430000}"/>
    <cellStyle name="Normal 2 2 2 3 10 4 4" xfId="17401" xr:uid="{00000000-0005-0000-0000-0000F9430000}"/>
    <cellStyle name="Normal 2 2 2 3 10 4 5" xfId="17402" xr:uid="{00000000-0005-0000-0000-0000FA430000}"/>
    <cellStyle name="Normal 2 2 2 3 10 4 6" xfId="17403" xr:uid="{00000000-0005-0000-0000-0000FB430000}"/>
    <cellStyle name="Normal 2 2 2 3 10 4 7" xfId="17404" xr:uid="{00000000-0005-0000-0000-0000FC430000}"/>
    <cellStyle name="Normal 2 2 2 3 10 4 8" xfId="17405" xr:uid="{00000000-0005-0000-0000-0000FD430000}"/>
    <cellStyle name="Normal 2 2 2 3 10 4 9" xfId="17406" xr:uid="{00000000-0005-0000-0000-0000FE430000}"/>
    <cellStyle name="Normal 2 2 2 3 10 5" xfId="17407" xr:uid="{00000000-0005-0000-0000-0000FF430000}"/>
    <cellStyle name="Normal 2 2 2 3 10 5 10" xfId="17408" xr:uid="{00000000-0005-0000-0000-000000440000}"/>
    <cellStyle name="Normal 2 2 2 3 10 5 2" xfId="17409" xr:uid="{00000000-0005-0000-0000-000001440000}"/>
    <cellStyle name="Normal 2 2 2 3 10 5 3" xfId="17410" xr:uid="{00000000-0005-0000-0000-000002440000}"/>
    <cellStyle name="Normal 2 2 2 3 10 5 4" xfId="17411" xr:uid="{00000000-0005-0000-0000-000003440000}"/>
    <cellStyle name="Normal 2 2 2 3 10 5 5" xfId="17412" xr:uid="{00000000-0005-0000-0000-000004440000}"/>
    <cellStyle name="Normal 2 2 2 3 10 5 6" xfId="17413" xr:uid="{00000000-0005-0000-0000-000005440000}"/>
    <cellStyle name="Normal 2 2 2 3 10 5 7" xfId="17414" xr:uid="{00000000-0005-0000-0000-000006440000}"/>
    <cellStyle name="Normal 2 2 2 3 10 5 8" xfId="17415" xr:uid="{00000000-0005-0000-0000-000007440000}"/>
    <cellStyle name="Normal 2 2 2 3 10 5 9" xfId="17416" xr:uid="{00000000-0005-0000-0000-000008440000}"/>
    <cellStyle name="Normal 2 2 2 3 10 6" xfId="17417" xr:uid="{00000000-0005-0000-0000-000009440000}"/>
    <cellStyle name="Normal 2 2 2 3 10 7" xfId="17418" xr:uid="{00000000-0005-0000-0000-00000A440000}"/>
    <cellStyle name="Normal 2 2 2 3 10 8" xfId="17419" xr:uid="{00000000-0005-0000-0000-00000B440000}"/>
    <cellStyle name="Normal 2 2 2 3 10 9" xfId="17420" xr:uid="{00000000-0005-0000-0000-00000C440000}"/>
    <cellStyle name="Normal 2 2 2 3 11" xfId="17421" xr:uid="{00000000-0005-0000-0000-00000D440000}"/>
    <cellStyle name="Normal 2 2 2 3 11 10" xfId="17422" xr:uid="{00000000-0005-0000-0000-00000E440000}"/>
    <cellStyle name="Normal 2 2 2 3 11 11" xfId="17423" xr:uid="{00000000-0005-0000-0000-00000F440000}"/>
    <cellStyle name="Normal 2 2 2 3 11 12" xfId="17424" xr:uid="{00000000-0005-0000-0000-000010440000}"/>
    <cellStyle name="Normal 2 2 2 3 11 13" xfId="17425" xr:uid="{00000000-0005-0000-0000-000011440000}"/>
    <cellStyle name="Normal 2 2 2 3 11 14" xfId="17426" xr:uid="{00000000-0005-0000-0000-000012440000}"/>
    <cellStyle name="Normal 2 2 2 3 11 2" xfId="17427" xr:uid="{00000000-0005-0000-0000-000013440000}"/>
    <cellStyle name="Normal 2 2 2 3 11 2 10" xfId="17428" xr:uid="{00000000-0005-0000-0000-000014440000}"/>
    <cellStyle name="Normal 2 2 2 3 11 2 2" xfId="17429" xr:uid="{00000000-0005-0000-0000-000015440000}"/>
    <cellStyle name="Normal 2 2 2 3 11 2 3" xfId="17430" xr:uid="{00000000-0005-0000-0000-000016440000}"/>
    <cellStyle name="Normal 2 2 2 3 11 2 4" xfId="17431" xr:uid="{00000000-0005-0000-0000-000017440000}"/>
    <cellStyle name="Normal 2 2 2 3 11 2 5" xfId="17432" xr:uid="{00000000-0005-0000-0000-000018440000}"/>
    <cellStyle name="Normal 2 2 2 3 11 2 6" xfId="17433" xr:uid="{00000000-0005-0000-0000-000019440000}"/>
    <cellStyle name="Normal 2 2 2 3 11 2 7" xfId="17434" xr:uid="{00000000-0005-0000-0000-00001A440000}"/>
    <cellStyle name="Normal 2 2 2 3 11 2 8" xfId="17435" xr:uid="{00000000-0005-0000-0000-00001B440000}"/>
    <cellStyle name="Normal 2 2 2 3 11 2 9" xfId="17436" xr:uid="{00000000-0005-0000-0000-00001C440000}"/>
    <cellStyle name="Normal 2 2 2 3 11 3" xfId="17437" xr:uid="{00000000-0005-0000-0000-00001D440000}"/>
    <cellStyle name="Normal 2 2 2 3 11 3 10" xfId="17438" xr:uid="{00000000-0005-0000-0000-00001E440000}"/>
    <cellStyle name="Normal 2 2 2 3 11 3 2" xfId="17439" xr:uid="{00000000-0005-0000-0000-00001F440000}"/>
    <cellStyle name="Normal 2 2 2 3 11 3 3" xfId="17440" xr:uid="{00000000-0005-0000-0000-000020440000}"/>
    <cellStyle name="Normal 2 2 2 3 11 3 4" xfId="17441" xr:uid="{00000000-0005-0000-0000-000021440000}"/>
    <cellStyle name="Normal 2 2 2 3 11 3 5" xfId="17442" xr:uid="{00000000-0005-0000-0000-000022440000}"/>
    <cellStyle name="Normal 2 2 2 3 11 3 6" xfId="17443" xr:uid="{00000000-0005-0000-0000-000023440000}"/>
    <cellStyle name="Normal 2 2 2 3 11 3 7" xfId="17444" xr:uid="{00000000-0005-0000-0000-000024440000}"/>
    <cellStyle name="Normal 2 2 2 3 11 3 8" xfId="17445" xr:uid="{00000000-0005-0000-0000-000025440000}"/>
    <cellStyle name="Normal 2 2 2 3 11 3 9" xfId="17446" xr:uid="{00000000-0005-0000-0000-000026440000}"/>
    <cellStyle name="Normal 2 2 2 3 11 4" xfId="17447" xr:uid="{00000000-0005-0000-0000-000027440000}"/>
    <cellStyle name="Normal 2 2 2 3 11 4 10" xfId="17448" xr:uid="{00000000-0005-0000-0000-000028440000}"/>
    <cellStyle name="Normal 2 2 2 3 11 4 2" xfId="17449" xr:uid="{00000000-0005-0000-0000-000029440000}"/>
    <cellStyle name="Normal 2 2 2 3 11 4 3" xfId="17450" xr:uid="{00000000-0005-0000-0000-00002A440000}"/>
    <cellStyle name="Normal 2 2 2 3 11 4 4" xfId="17451" xr:uid="{00000000-0005-0000-0000-00002B440000}"/>
    <cellStyle name="Normal 2 2 2 3 11 4 5" xfId="17452" xr:uid="{00000000-0005-0000-0000-00002C440000}"/>
    <cellStyle name="Normal 2 2 2 3 11 4 6" xfId="17453" xr:uid="{00000000-0005-0000-0000-00002D440000}"/>
    <cellStyle name="Normal 2 2 2 3 11 4 7" xfId="17454" xr:uid="{00000000-0005-0000-0000-00002E440000}"/>
    <cellStyle name="Normal 2 2 2 3 11 4 8" xfId="17455" xr:uid="{00000000-0005-0000-0000-00002F440000}"/>
    <cellStyle name="Normal 2 2 2 3 11 4 9" xfId="17456" xr:uid="{00000000-0005-0000-0000-000030440000}"/>
    <cellStyle name="Normal 2 2 2 3 11 5" xfId="17457" xr:uid="{00000000-0005-0000-0000-000031440000}"/>
    <cellStyle name="Normal 2 2 2 3 11 5 10" xfId="17458" xr:uid="{00000000-0005-0000-0000-000032440000}"/>
    <cellStyle name="Normal 2 2 2 3 11 5 2" xfId="17459" xr:uid="{00000000-0005-0000-0000-000033440000}"/>
    <cellStyle name="Normal 2 2 2 3 11 5 3" xfId="17460" xr:uid="{00000000-0005-0000-0000-000034440000}"/>
    <cellStyle name="Normal 2 2 2 3 11 5 4" xfId="17461" xr:uid="{00000000-0005-0000-0000-000035440000}"/>
    <cellStyle name="Normal 2 2 2 3 11 5 5" xfId="17462" xr:uid="{00000000-0005-0000-0000-000036440000}"/>
    <cellStyle name="Normal 2 2 2 3 11 5 6" xfId="17463" xr:uid="{00000000-0005-0000-0000-000037440000}"/>
    <cellStyle name="Normal 2 2 2 3 11 5 7" xfId="17464" xr:uid="{00000000-0005-0000-0000-000038440000}"/>
    <cellStyle name="Normal 2 2 2 3 11 5 8" xfId="17465" xr:uid="{00000000-0005-0000-0000-000039440000}"/>
    <cellStyle name="Normal 2 2 2 3 11 5 9" xfId="17466" xr:uid="{00000000-0005-0000-0000-00003A440000}"/>
    <cellStyle name="Normal 2 2 2 3 11 6" xfId="17467" xr:uid="{00000000-0005-0000-0000-00003B440000}"/>
    <cellStyle name="Normal 2 2 2 3 11 7" xfId="17468" xr:uid="{00000000-0005-0000-0000-00003C440000}"/>
    <cellStyle name="Normal 2 2 2 3 11 8" xfId="17469" xr:uid="{00000000-0005-0000-0000-00003D440000}"/>
    <cellStyle name="Normal 2 2 2 3 11 9" xfId="17470" xr:uid="{00000000-0005-0000-0000-00003E440000}"/>
    <cellStyle name="Normal 2 2 2 3 12" xfId="17471" xr:uid="{00000000-0005-0000-0000-00003F440000}"/>
    <cellStyle name="Normal 2 2 2 3 12 10" xfId="17472" xr:uid="{00000000-0005-0000-0000-000040440000}"/>
    <cellStyle name="Normal 2 2 2 3 12 11" xfId="17473" xr:uid="{00000000-0005-0000-0000-000041440000}"/>
    <cellStyle name="Normal 2 2 2 3 12 12" xfId="17474" xr:uid="{00000000-0005-0000-0000-000042440000}"/>
    <cellStyle name="Normal 2 2 2 3 12 13" xfId="17475" xr:uid="{00000000-0005-0000-0000-000043440000}"/>
    <cellStyle name="Normal 2 2 2 3 12 14" xfId="17476" xr:uid="{00000000-0005-0000-0000-000044440000}"/>
    <cellStyle name="Normal 2 2 2 3 12 2" xfId="17477" xr:uid="{00000000-0005-0000-0000-000045440000}"/>
    <cellStyle name="Normal 2 2 2 3 12 2 10" xfId="17478" xr:uid="{00000000-0005-0000-0000-000046440000}"/>
    <cellStyle name="Normal 2 2 2 3 12 2 2" xfId="17479" xr:uid="{00000000-0005-0000-0000-000047440000}"/>
    <cellStyle name="Normal 2 2 2 3 12 2 3" xfId="17480" xr:uid="{00000000-0005-0000-0000-000048440000}"/>
    <cellStyle name="Normal 2 2 2 3 12 2 4" xfId="17481" xr:uid="{00000000-0005-0000-0000-000049440000}"/>
    <cellStyle name="Normal 2 2 2 3 12 2 5" xfId="17482" xr:uid="{00000000-0005-0000-0000-00004A440000}"/>
    <cellStyle name="Normal 2 2 2 3 12 2 6" xfId="17483" xr:uid="{00000000-0005-0000-0000-00004B440000}"/>
    <cellStyle name="Normal 2 2 2 3 12 2 7" xfId="17484" xr:uid="{00000000-0005-0000-0000-00004C440000}"/>
    <cellStyle name="Normal 2 2 2 3 12 2 8" xfId="17485" xr:uid="{00000000-0005-0000-0000-00004D440000}"/>
    <cellStyle name="Normal 2 2 2 3 12 2 9" xfId="17486" xr:uid="{00000000-0005-0000-0000-00004E440000}"/>
    <cellStyle name="Normal 2 2 2 3 12 3" xfId="17487" xr:uid="{00000000-0005-0000-0000-00004F440000}"/>
    <cellStyle name="Normal 2 2 2 3 12 3 10" xfId="17488" xr:uid="{00000000-0005-0000-0000-000050440000}"/>
    <cellStyle name="Normal 2 2 2 3 12 3 2" xfId="17489" xr:uid="{00000000-0005-0000-0000-000051440000}"/>
    <cellStyle name="Normal 2 2 2 3 12 3 3" xfId="17490" xr:uid="{00000000-0005-0000-0000-000052440000}"/>
    <cellStyle name="Normal 2 2 2 3 12 3 4" xfId="17491" xr:uid="{00000000-0005-0000-0000-000053440000}"/>
    <cellStyle name="Normal 2 2 2 3 12 3 5" xfId="17492" xr:uid="{00000000-0005-0000-0000-000054440000}"/>
    <cellStyle name="Normal 2 2 2 3 12 3 6" xfId="17493" xr:uid="{00000000-0005-0000-0000-000055440000}"/>
    <cellStyle name="Normal 2 2 2 3 12 3 7" xfId="17494" xr:uid="{00000000-0005-0000-0000-000056440000}"/>
    <cellStyle name="Normal 2 2 2 3 12 3 8" xfId="17495" xr:uid="{00000000-0005-0000-0000-000057440000}"/>
    <cellStyle name="Normal 2 2 2 3 12 3 9" xfId="17496" xr:uid="{00000000-0005-0000-0000-000058440000}"/>
    <cellStyle name="Normal 2 2 2 3 12 4" xfId="17497" xr:uid="{00000000-0005-0000-0000-000059440000}"/>
    <cellStyle name="Normal 2 2 2 3 12 4 10" xfId="17498" xr:uid="{00000000-0005-0000-0000-00005A440000}"/>
    <cellStyle name="Normal 2 2 2 3 12 4 2" xfId="17499" xr:uid="{00000000-0005-0000-0000-00005B440000}"/>
    <cellStyle name="Normal 2 2 2 3 12 4 3" xfId="17500" xr:uid="{00000000-0005-0000-0000-00005C440000}"/>
    <cellStyle name="Normal 2 2 2 3 12 4 4" xfId="17501" xr:uid="{00000000-0005-0000-0000-00005D440000}"/>
    <cellStyle name="Normal 2 2 2 3 12 4 5" xfId="17502" xr:uid="{00000000-0005-0000-0000-00005E440000}"/>
    <cellStyle name="Normal 2 2 2 3 12 4 6" xfId="17503" xr:uid="{00000000-0005-0000-0000-00005F440000}"/>
    <cellStyle name="Normal 2 2 2 3 12 4 7" xfId="17504" xr:uid="{00000000-0005-0000-0000-000060440000}"/>
    <cellStyle name="Normal 2 2 2 3 12 4 8" xfId="17505" xr:uid="{00000000-0005-0000-0000-000061440000}"/>
    <cellStyle name="Normal 2 2 2 3 12 4 9" xfId="17506" xr:uid="{00000000-0005-0000-0000-000062440000}"/>
    <cellStyle name="Normal 2 2 2 3 12 5" xfId="17507" xr:uid="{00000000-0005-0000-0000-000063440000}"/>
    <cellStyle name="Normal 2 2 2 3 12 5 10" xfId="17508" xr:uid="{00000000-0005-0000-0000-000064440000}"/>
    <cellStyle name="Normal 2 2 2 3 12 5 2" xfId="17509" xr:uid="{00000000-0005-0000-0000-000065440000}"/>
    <cellStyle name="Normal 2 2 2 3 12 5 3" xfId="17510" xr:uid="{00000000-0005-0000-0000-000066440000}"/>
    <cellStyle name="Normal 2 2 2 3 12 5 4" xfId="17511" xr:uid="{00000000-0005-0000-0000-000067440000}"/>
    <cellStyle name="Normal 2 2 2 3 12 5 5" xfId="17512" xr:uid="{00000000-0005-0000-0000-000068440000}"/>
    <cellStyle name="Normal 2 2 2 3 12 5 6" xfId="17513" xr:uid="{00000000-0005-0000-0000-000069440000}"/>
    <cellStyle name="Normal 2 2 2 3 12 5 7" xfId="17514" xr:uid="{00000000-0005-0000-0000-00006A440000}"/>
    <cellStyle name="Normal 2 2 2 3 12 5 8" xfId="17515" xr:uid="{00000000-0005-0000-0000-00006B440000}"/>
    <cellStyle name="Normal 2 2 2 3 12 5 9" xfId="17516" xr:uid="{00000000-0005-0000-0000-00006C440000}"/>
    <cellStyle name="Normal 2 2 2 3 12 6" xfId="17517" xr:uid="{00000000-0005-0000-0000-00006D440000}"/>
    <cellStyle name="Normal 2 2 2 3 12 7" xfId="17518" xr:uid="{00000000-0005-0000-0000-00006E440000}"/>
    <cellStyle name="Normal 2 2 2 3 12 8" xfId="17519" xr:uid="{00000000-0005-0000-0000-00006F440000}"/>
    <cellStyle name="Normal 2 2 2 3 12 9" xfId="17520" xr:uid="{00000000-0005-0000-0000-000070440000}"/>
    <cellStyle name="Normal 2 2 2 3 13" xfId="17521" xr:uid="{00000000-0005-0000-0000-000071440000}"/>
    <cellStyle name="Normal 2 2 2 3 13 10" xfId="17522" xr:uid="{00000000-0005-0000-0000-000072440000}"/>
    <cellStyle name="Normal 2 2 2 3 13 11" xfId="17523" xr:uid="{00000000-0005-0000-0000-000073440000}"/>
    <cellStyle name="Normal 2 2 2 3 13 12" xfId="17524" xr:uid="{00000000-0005-0000-0000-000074440000}"/>
    <cellStyle name="Normal 2 2 2 3 13 13" xfId="17525" xr:uid="{00000000-0005-0000-0000-000075440000}"/>
    <cellStyle name="Normal 2 2 2 3 13 14" xfId="17526" xr:uid="{00000000-0005-0000-0000-000076440000}"/>
    <cellStyle name="Normal 2 2 2 3 13 2" xfId="17527" xr:uid="{00000000-0005-0000-0000-000077440000}"/>
    <cellStyle name="Normal 2 2 2 3 13 2 10" xfId="17528" xr:uid="{00000000-0005-0000-0000-000078440000}"/>
    <cellStyle name="Normal 2 2 2 3 13 2 2" xfId="17529" xr:uid="{00000000-0005-0000-0000-000079440000}"/>
    <cellStyle name="Normal 2 2 2 3 13 2 3" xfId="17530" xr:uid="{00000000-0005-0000-0000-00007A440000}"/>
    <cellStyle name="Normal 2 2 2 3 13 2 4" xfId="17531" xr:uid="{00000000-0005-0000-0000-00007B440000}"/>
    <cellStyle name="Normal 2 2 2 3 13 2 5" xfId="17532" xr:uid="{00000000-0005-0000-0000-00007C440000}"/>
    <cellStyle name="Normal 2 2 2 3 13 2 6" xfId="17533" xr:uid="{00000000-0005-0000-0000-00007D440000}"/>
    <cellStyle name="Normal 2 2 2 3 13 2 7" xfId="17534" xr:uid="{00000000-0005-0000-0000-00007E440000}"/>
    <cellStyle name="Normal 2 2 2 3 13 2 8" xfId="17535" xr:uid="{00000000-0005-0000-0000-00007F440000}"/>
    <cellStyle name="Normal 2 2 2 3 13 2 9" xfId="17536" xr:uid="{00000000-0005-0000-0000-000080440000}"/>
    <cellStyle name="Normal 2 2 2 3 13 3" xfId="17537" xr:uid="{00000000-0005-0000-0000-000081440000}"/>
    <cellStyle name="Normal 2 2 2 3 13 3 10" xfId="17538" xr:uid="{00000000-0005-0000-0000-000082440000}"/>
    <cellStyle name="Normal 2 2 2 3 13 3 2" xfId="17539" xr:uid="{00000000-0005-0000-0000-000083440000}"/>
    <cellStyle name="Normal 2 2 2 3 13 3 3" xfId="17540" xr:uid="{00000000-0005-0000-0000-000084440000}"/>
    <cellStyle name="Normal 2 2 2 3 13 3 4" xfId="17541" xr:uid="{00000000-0005-0000-0000-000085440000}"/>
    <cellStyle name="Normal 2 2 2 3 13 3 5" xfId="17542" xr:uid="{00000000-0005-0000-0000-000086440000}"/>
    <cellStyle name="Normal 2 2 2 3 13 3 6" xfId="17543" xr:uid="{00000000-0005-0000-0000-000087440000}"/>
    <cellStyle name="Normal 2 2 2 3 13 3 7" xfId="17544" xr:uid="{00000000-0005-0000-0000-000088440000}"/>
    <cellStyle name="Normal 2 2 2 3 13 3 8" xfId="17545" xr:uid="{00000000-0005-0000-0000-000089440000}"/>
    <cellStyle name="Normal 2 2 2 3 13 3 9" xfId="17546" xr:uid="{00000000-0005-0000-0000-00008A440000}"/>
    <cellStyle name="Normal 2 2 2 3 13 4" xfId="17547" xr:uid="{00000000-0005-0000-0000-00008B440000}"/>
    <cellStyle name="Normal 2 2 2 3 13 4 10" xfId="17548" xr:uid="{00000000-0005-0000-0000-00008C440000}"/>
    <cellStyle name="Normal 2 2 2 3 13 4 2" xfId="17549" xr:uid="{00000000-0005-0000-0000-00008D440000}"/>
    <cellStyle name="Normal 2 2 2 3 13 4 3" xfId="17550" xr:uid="{00000000-0005-0000-0000-00008E440000}"/>
    <cellStyle name="Normal 2 2 2 3 13 4 4" xfId="17551" xr:uid="{00000000-0005-0000-0000-00008F440000}"/>
    <cellStyle name="Normal 2 2 2 3 13 4 5" xfId="17552" xr:uid="{00000000-0005-0000-0000-000090440000}"/>
    <cellStyle name="Normal 2 2 2 3 13 4 6" xfId="17553" xr:uid="{00000000-0005-0000-0000-000091440000}"/>
    <cellStyle name="Normal 2 2 2 3 13 4 7" xfId="17554" xr:uid="{00000000-0005-0000-0000-000092440000}"/>
    <cellStyle name="Normal 2 2 2 3 13 4 8" xfId="17555" xr:uid="{00000000-0005-0000-0000-000093440000}"/>
    <cellStyle name="Normal 2 2 2 3 13 4 9" xfId="17556" xr:uid="{00000000-0005-0000-0000-000094440000}"/>
    <cellStyle name="Normal 2 2 2 3 13 5" xfId="17557" xr:uid="{00000000-0005-0000-0000-000095440000}"/>
    <cellStyle name="Normal 2 2 2 3 13 5 10" xfId="17558" xr:uid="{00000000-0005-0000-0000-000096440000}"/>
    <cellStyle name="Normal 2 2 2 3 13 5 2" xfId="17559" xr:uid="{00000000-0005-0000-0000-000097440000}"/>
    <cellStyle name="Normal 2 2 2 3 13 5 3" xfId="17560" xr:uid="{00000000-0005-0000-0000-000098440000}"/>
    <cellStyle name="Normal 2 2 2 3 13 5 4" xfId="17561" xr:uid="{00000000-0005-0000-0000-000099440000}"/>
    <cellStyle name="Normal 2 2 2 3 13 5 5" xfId="17562" xr:uid="{00000000-0005-0000-0000-00009A440000}"/>
    <cellStyle name="Normal 2 2 2 3 13 5 6" xfId="17563" xr:uid="{00000000-0005-0000-0000-00009B440000}"/>
    <cellStyle name="Normal 2 2 2 3 13 5 7" xfId="17564" xr:uid="{00000000-0005-0000-0000-00009C440000}"/>
    <cellStyle name="Normal 2 2 2 3 13 5 8" xfId="17565" xr:uid="{00000000-0005-0000-0000-00009D440000}"/>
    <cellStyle name="Normal 2 2 2 3 13 5 9" xfId="17566" xr:uid="{00000000-0005-0000-0000-00009E440000}"/>
    <cellStyle name="Normal 2 2 2 3 13 6" xfId="17567" xr:uid="{00000000-0005-0000-0000-00009F440000}"/>
    <cellStyle name="Normal 2 2 2 3 13 7" xfId="17568" xr:uid="{00000000-0005-0000-0000-0000A0440000}"/>
    <cellStyle name="Normal 2 2 2 3 13 8" xfId="17569" xr:uid="{00000000-0005-0000-0000-0000A1440000}"/>
    <cellStyle name="Normal 2 2 2 3 13 9" xfId="17570" xr:uid="{00000000-0005-0000-0000-0000A2440000}"/>
    <cellStyle name="Normal 2 2 2 3 14" xfId="17571" xr:uid="{00000000-0005-0000-0000-0000A3440000}"/>
    <cellStyle name="Normal 2 2 2 3 14 10" xfId="17572" xr:uid="{00000000-0005-0000-0000-0000A4440000}"/>
    <cellStyle name="Normal 2 2 2 3 14 11" xfId="17573" xr:uid="{00000000-0005-0000-0000-0000A5440000}"/>
    <cellStyle name="Normal 2 2 2 3 14 12" xfId="17574" xr:uid="{00000000-0005-0000-0000-0000A6440000}"/>
    <cellStyle name="Normal 2 2 2 3 14 13" xfId="17575" xr:uid="{00000000-0005-0000-0000-0000A7440000}"/>
    <cellStyle name="Normal 2 2 2 3 14 14" xfId="17576" xr:uid="{00000000-0005-0000-0000-0000A8440000}"/>
    <cellStyle name="Normal 2 2 2 3 14 2" xfId="17577" xr:uid="{00000000-0005-0000-0000-0000A9440000}"/>
    <cellStyle name="Normal 2 2 2 3 14 2 10" xfId="17578" xr:uid="{00000000-0005-0000-0000-0000AA440000}"/>
    <cellStyle name="Normal 2 2 2 3 14 2 2" xfId="17579" xr:uid="{00000000-0005-0000-0000-0000AB440000}"/>
    <cellStyle name="Normal 2 2 2 3 14 2 3" xfId="17580" xr:uid="{00000000-0005-0000-0000-0000AC440000}"/>
    <cellStyle name="Normal 2 2 2 3 14 2 4" xfId="17581" xr:uid="{00000000-0005-0000-0000-0000AD440000}"/>
    <cellStyle name="Normal 2 2 2 3 14 2 5" xfId="17582" xr:uid="{00000000-0005-0000-0000-0000AE440000}"/>
    <cellStyle name="Normal 2 2 2 3 14 2 6" xfId="17583" xr:uid="{00000000-0005-0000-0000-0000AF440000}"/>
    <cellStyle name="Normal 2 2 2 3 14 2 7" xfId="17584" xr:uid="{00000000-0005-0000-0000-0000B0440000}"/>
    <cellStyle name="Normal 2 2 2 3 14 2 8" xfId="17585" xr:uid="{00000000-0005-0000-0000-0000B1440000}"/>
    <cellStyle name="Normal 2 2 2 3 14 2 9" xfId="17586" xr:uid="{00000000-0005-0000-0000-0000B2440000}"/>
    <cellStyle name="Normal 2 2 2 3 14 3" xfId="17587" xr:uid="{00000000-0005-0000-0000-0000B3440000}"/>
    <cellStyle name="Normal 2 2 2 3 14 3 10" xfId="17588" xr:uid="{00000000-0005-0000-0000-0000B4440000}"/>
    <cellStyle name="Normal 2 2 2 3 14 3 2" xfId="17589" xr:uid="{00000000-0005-0000-0000-0000B5440000}"/>
    <cellStyle name="Normal 2 2 2 3 14 3 3" xfId="17590" xr:uid="{00000000-0005-0000-0000-0000B6440000}"/>
    <cellStyle name="Normal 2 2 2 3 14 3 4" xfId="17591" xr:uid="{00000000-0005-0000-0000-0000B7440000}"/>
    <cellStyle name="Normal 2 2 2 3 14 3 5" xfId="17592" xr:uid="{00000000-0005-0000-0000-0000B8440000}"/>
    <cellStyle name="Normal 2 2 2 3 14 3 6" xfId="17593" xr:uid="{00000000-0005-0000-0000-0000B9440000}"/>
    <cellStyle name="Normal 2 2 2 3 14 3 7" xfId="17594" xr:uid="{00000000-0005-0000-0000-0000BA440000}"/>
    <cellStyle name="Normal 2 2 2 3 14 3 8" xfId="17595" xr:uid="{00000000-0005-0000-0000-0000BB440000}"/>
    <cellStyle name="Normal 2 2 2 3 14 3 9" xfId="17596" xr:uid="{00000000-0005-0000-0000-0000BC440000}"/>
    <cellStyle name="Normal 2 2 2 3 14 4" xfId="17597" xr:uid="{00000000-0005-0000-0000-0000BD440000}"/>
    <cellStyle name="Normal 2 2 2 3 14 4 10" xfId="17598" xr:uid="{00000000-0005-0000-0000-0000BE440000}"/>
    <cellStyle name="Normal 2 2 2 3 14 4 2" xfId="17599" xr:uid="{00000000-0005-0000-0000-0000BF440000}"/>
    <cellStyle name="Normal 2 2 2 3 14 4 3" xfId="17600" xr:uid="{00000000-0005-0000-0000-0000C0440000}"/>
    <cellStyle name="Normal 2 2 2 3 14 4 4" xfId="17601" xr:uid="{00000000-0005-0000-0000-0000C1440000}"/>
    <cellStyle name="Normal 2 2 2 3 14 4 5" xfId="17602" xr:uid="{00000000-0005-0000-0000-0000C2440000}"/>
    <cellStyle name="Normal 2 2 2 3 14 4 6" xfId="17603" xr:uid="{00000000-0005-0000-0000-0000C3440000}"/>
    <cellStyle name="Normal 2 2 2 3 14 4 7" xfId="17604" xr:uid="{00000000-0005-0000-0000-0000C4440000}"/>
    <cellStyle name="Normal 2 2 2 3 14 4 8" xfId="17605" xr:uid="{00000000-0005-0000-0000-0000C5440000}"/>
    <cellStyle name="Normal 2 2 2 3 14 4 9" xfId="17606" xr:uid="{00000000-0005-0000-0000-0000C6440000}"/>
    <cellStyle name="Normal 2 2 2 3 14 5" xfId="17607" xr:uid="{00000000-0005-0000-0000-0000C7440000}"/>
    <cellStyle name="Normal 2 2 2 3 14 5 10" xfId="17608" xr:uid="{00000000-0005-0000-0000-0000C8440000}"/>
    <cellStyle name="Normal 2 2 2 3 14 5 2" xfId="17609" xr:uid="{00000000-0005-0000-0000-0000C9440000}"/>
    <cellStyle name="Normal 2 2 2 3 14 5 3" xfId="17610" xr:uid="{00000000-0005-0000-0000-0000CA440000}"/>
    <cellStyle name="Normal 2 2 2 3 14 5 4" xfId="17611" xr:uid="{00000000-0005-0000-0000-0000CB440000}"/>
    <cellStyle name="Normal 2 2 2 3 14 5 5" xfId="17612" xr:uid="{00000000-0005-0000-0000-0000CC440000}"/>
    <cellStyle name="Normal 2 2 2 3 14 5 6" xfId="17613" xr:uid="{00000000-0005-0000-0000-0000CD440000}"/>
    <cellStyle name="Normal 2 2 2 3 14 5 7" xfId="17614" xr:uid="{00000000-0005-0000-0000-0000CE440000}"/>
    <cellStyle name="Normal 2 2 2 3 14 5 8" xfId="17615" xr:uid="{00000000-0005-0000-0000-0000CF440000}"/>
    <cellStyle name="Normal 2 2 2 3 14 5 9" xfId="17616" xr:uid="{00000000-0005-0000-0000-0000D0440000}"/>
    <cellStyle name="Normal 2 2 2 3 14 6" xfId="17617" xr:uid="{00000000-0005-0000-0000-0000D1440000}"/>
    <cellStyle name="Normal 2 2 2 3 14 7" xfId="17618" xr:uid="{00000000-0005-0000-0000-0000D2440000}"/>
    <cellStyle name="Normal 2 2 2 3 14 8" xfId="17619" xr:uid="{00000000-0005-0000-0000-0000D3440000}"/>
    <cellStyle name="Normal 2 2 2 3 14 9" xfId="17620" xr:uid="{00000000-0005-0000-0000-0000D4440000}"/>
    <cellStyle name="Normal 2 2 2 3 15" xfId="17621" xr:uid="{00000000-0005-0000-0000-0000D5440000}"/>
    <cellStyle name="Normal 2 2 2 3 15 10" xfId="17622" xr:uid="{00000000-0005-0000-0000-0000D6440000}"/>
    <cellStyle name="Normal 2 2 2 3 15 11" xfId="17623" xr:uid="{00000000-0005-0000-0000-0000D7440000}"/>
    <cellStyle name="Normal 2 2 2 3 15 12" xfId="17624" xr:uid="{00000000-0005-0000-0000-0000D8440000}"/>
    <cellStyle name="Normal 2 2 2 3 15 13" xfId="17625" xr:uid="{00000000-0005-0000-0000-0000D9440000}"/>
    <cellStyle name="Normal 2 2 2 3 15 14" xfId="17626" xr:uid="{00000000-0005-0000-0000-0000DA440000}"/>
    <cellStyle name="Normal 2 2 2 3 15 2" xfId="17627" xr:uid="{00000000-0005-0000-0000-0000DB440000}"/>
    <cellStyle name="Normal 2 2 2 3 15 2 10" xfId="17628" xr:uid="{00000000-0005-0000-0000-0000DC440000}"/>
    <cellStyle name="Normal 2 2 2 3 15 2 2" xfId="17629" xr:uid="{00000000-0005-0000-0000-0000DD440000}"/>
    <cellStyle name="Normal 2 2 2 3 15 2 3" xfId="17630" xr:uid="{00000000-0005-0000-0000-0000DE440000}"/>
    <cellStyle name="Normal 2 2 2 3 15 2 4" xfId="17631" xr:uid="{00000000-0005-0000-0000-0000DF440000}"/>
    <cellStyle name="Normal 2 2 2 3 15 2 5" xfId="17632" xr:uid="{00000000-0005-0000-0000-0000E0440000}"/>
    <cellStyle name="Normal 2 2 2 3 15 2 6" xfId="17633" xr:uid="{00000000-0005-0000-0000-0000E1440000}"/>
    <cellStyle name="Normal 2 2 2 3 15 2 7" xfId="17634" xr:uid="{00000000-0005-0000-0000-0000E2440000}"/>
    <cellStyle name="Normal 2 2 2 3 15 2 8" xfId="17635" xr:uid="{00000000-0005-0000-0000-0000E3440000}"/>
    <cellStyle name="Normal 2 2 2 3 15 2 9" xfId="17636" xr:uid="{00000000-0005-0000-0000-0000E4440000}"/>
    <cellStyle name="Normal 2 2 2 3 15 3" xfId="17637" xr:uid="{00000000-0005-0000-0000-0000E5440000}"/>
    <cellStyle name="Normal 2 2 2 3 15 3 10" xfId="17638" xr:uid="{00000000-0005-0000-0000-0000E6440000}"/>
    <cellStyle name="Normal 2 2 2 3 15 3 2" xfId="17639" xr:uid="{00000000-0005-0000-0000-0000E7440000}"/>
    <cellStyle name="Normal 2 2 2 3 15 3 3" xfId="17640" xr:uid="{00000000-0005-0000-0000-0000E8440000}"/>
    <cellStyle name="Normal 2 2 2 3 15 3 4" xfId="17641" xr:uid="{00000000-0005-0000-0000-0000E9440000}"/>
    <cellStyle name="Normal 2 2 2 3 15 3 5" xfId="17642" xr:uid="{00000000-0005-0000-0000-0000EA440000}"/>
    <cellStyle name="Normal 2 2 2 3 15 3 6" xfId="17643" xr:uid="{00000000-0005-0000-0000-0000EB440000}"/>
    <cellStyle name="Normal 2 2 2 3 15 3 7" xfId="17644" xr:uid="{00000000-0005-0000-0000-0000EC440000}"/>
    <cellStyle name="Normal 2 2 2 3 15 3 8" xfId="17645" xr:uid="{00000000-0005-0000-0000-0000ED440000}"/>
    <cellStyle name="Normal 2 2 2 3 15 3 9" xfId="17646" xr:uid="{00000000-0005-0000-0000-0000EE440000}"/>
    <cellStyle name="Normal 2 2 2 3 15 4" xfId="17647" xr:uid="{00000000-0005-0000-0000-0000EF440000}"/>
    <cellStyle name="Normal 2 2 2 3 15 4 10" xfId="17648" xr:uid="{00000000-0005-0000-0000-0000F0440000}"/>
    <cellStyle name="Normal 2 2 2 3 15 4 2" xfId="17649" xr:uid="{00000000-0005-0000-0000-0000F1440000}"/>
    <cellStyle name="Normal 2 2 2 3 15 4 3" xfId="17650" xr:uid="{00000000-0005-0000-0000-0000F2440000}"/>
    <cellStyle name="Normal 2 2 2 3 15 4 4" xfId="17651" xr:uid="{00000000-0005-0000-0000-0000F3440000}"/>
    <cellStyle name="Normal 2 2 2 3 15 4 5" xfId="17652" xr:uid="{00000000-0005-0000-0000-0000F4440000}"/>
    <cellStyle name="Normal 2 2 2 3 15 4 6" xfId="17653" xr:uid="{00000000-0005-0000-0000-0000F5440000}"/>
    <cellStyle name="Normal 2 2 2 3 15 4 7" xfId="17654" xr:uid="{00000000-0005-0000-0000-0000F6440000}"/>
    <cellStyle name="Normal 2 2 2 3 15 4 8" xfId="17655" xr:uid="{00000000-0005-0000-0000-0000F7440000}"/>
    <cellStyle name="Normal 2 2 2 3 15 4 9" xfId="17656" xr:uid="{00000000-0005-0000-0000-0000F8440000}"/>
    <cellStyle name="Normal 2 2 2 3 15 5" xfId="17657" xr:uid="{00000000-0005-0000-0000-0000F9440000}"/>
    <cellStyle name="Normal 2 2 2 3 15 5 10" xfId="17658" xr:uid="{00000000-0005-0000-0000-0000FA440000}"/>
    <cellStyle name="Normal 2 2 2 3 15 5 2" xfId="17659" xr:uid="{00000000-0005-0000-0000-0000FB440000}"/>
    <cellStyle name="Normal 2 2 2 3 15 5 3" xfId="17660" xr:uid="{00000000-0005-0000-0000-0000FC440000}"/>
    <cellStyle name="Normal 2 2 2 3 15 5 4" xfId="17661" xr:uid="{00000000-0005-0000-0000-0000FD440000}"/>
    <cellStyle name="Normal 2 2 2 3 15 5 5" xfId="17662" xr:uid="{00000000-0005-0000-0000-0000FE440000}"/>
    <cellStyle name="Normal 2 2 2 3 15 5 6" xfId="17663" xr:uid="{00000000-0005-0000-0000-0000FF440000}"/>
    <cellStyle name="Normal 2 2 2 3 15 5 7" xfId="17664" xr:uid="{00000000-0005-0000-0000-000000450000}"/>
    <cellStyle name="Normal 2 2 2 3 15 5 8" xfId="17665" xr:uid="{00000000-0005-0000-0000-000001450000}"/>
    <cellStyle name="Normal 2 2 2 3 15 5 9" xfId="17666" xr:uid="{00000000-0005-0000-0000-000002450000}"/>
    <cellStyle name="Normal 2 2 2 3 15 6" xfId="17667" xr:uid="{00000000-0005-0000-0000-000003450000}"/>
    <cellStyle name="Normal 2 2 2 3 15 7" xfId="17668" xr:uid="{00000000-0005-0000-0000-000004450000}"/>
    <cellStyle name="Normal 2 2 2 3 15 8" xfId="17669" xr:uid="{00000000-0005-0000-0000-000005450000}"/>
    <cellStyle name="Normal 2 2 2 3 15 9" xfId="17670" xr:uid="{00000000-0005-0000-0000-000006450000}"/>
    <cellStyle name="Normal 2 2 2 3 16" xfId="17671" xr:uid="{00000000-0005-0000-0000-000007450000}"/>
    <cellStyle name="Normal 2 2 2 3 16 10" xfId="17672" xr:uid="{00000000-0005-0000-0000-000008450000}"/>
    <cellStyle name="Normal 2 2 2 3 16 11" xfId="17673" xr:uid="{00000000-0005-0000-0000-000009450000}"/>
    <cellStyle name="Normal 2 2 2 3 16 12" xfId="17674" xr:uid="{00000000-0005-0000-0000-00000A450000}"/>
    <cellStyle name="Normal 2 2 2 3 16 13" xfId="17675" xr:uid="{00000000-0005-0000-0000-00000B450000}"/>
    <cellStyle name="Normal 2 2 2 3 16 14" xfId="17676" xr:uid="{00000000-0005-0000-0000-00000C450000}"/>
    <cellStyle name="Normal 2 2 2 3 16 2" xfId="17677" xr:uid="{00000000-0005-0000-0000-00000D450000}"/>
    <cellStyle name="Normal 2 2 2 3 16 2 10" xfId="17678" xr:uid="{00000000-0005-0000-0000-00000E450000}"/>
    <cellStyle name="Normal 2 2 2 3 16 2 2" xfId="17679" xr:uid="{00000000-0005-0000-0000-00000F450000}"/>
    <cellStyle name="Normal 2 2 2 3 16 2 3" xfId="17680" xr:uid="{00000000-0005-0000-0000-000010450000}"/>
    <cellStyle name="Normal 2 2 2 3 16 2 4" xfId="17681" xr:uid="{00000000-0005-0000-0000-000011450000}"/>
    <cellStyle name="Normal 2 2 2 3 16 2 5" xfId="17682" xr:uid="{00000000-0005-0000-0000-000012450000}"/>
    <cellStyle name="Normal 2 2 2 3 16 2 6" xfId="17683" xr:uid="{00000000-0005-0000-0000-000013450000}"/>
    <cellStyle name="Normal 2 2 2 3 16 2 7" xfId="17684" xr:uid="{00000000-0005-0000-0000-000014450000}"/>
    <cellStyle name="Normal 2 2 2 3 16 2 8" xfId="17685" xr:uid="{00000000-0005-0000-0000-000015450000}"/>
    <cellStyle name="Normal 2 2 2 3 16 2 9" xfId="17686" xr:uid="{00000000-0005-0000-0000-000016450000}"/>
    <cellStyle name="Normal 2 2 2 3 16 3" xfId="17687" xr:uid="{00000000-0005-0000-0000-000017450000}"/>
    <cellStyle name="Normal 2 2 2 3 16 3 10" xfId="17688" xr:uid="{00000000-0005-0000-0000-000018450000}"/>
    <cellStyle name="Normal 2 2 2 3 16 3 2" xfId="17689" xr:uid="{00000000-0005-0000-0000-000019450000}"/>
    <cellStyle name="Normal 2 2 2 3 16 3 3" xfId="17690" xr:uid="{00000000-0005-0000-0000-00001A450000}"/>
    <cellStyle name="Normal 2 2 2 3 16 3 4" xfId="17691" xr:uid="{00000000-0005-0000-0000-00001B450000}"/>
    <cellStyle name="Normal 2 2 2 3 16 3 5" xfId="17692" xr:uid="{00000000-0005-0000-0000-00001C450000}"/>
    <cellStyle name="Normal 2 2 2 3 16 3 6" xfId="17693" xr:uid="{00000000-0005-0000-0000-00001D450000}"/>
    <cellStyle name="Normal 2 2 2 3 16 3 7" xfId="17694" xr:uid="{00000000-0005-0000-0000-00001E450000}"/>
    <cellStyle name="Normal 2 2 2 3 16 3 8" xfId="17695" xr:uid="{00000000-0005-0000-0000-00001F450000}"/>
    <cellStyle name="Normal 2 2 2 3 16 3 9" xfId="17696" xr:uid="{00000000-0005-0000-0000-000020450000}"/>
    <cellStyle name="Normal 2 2 2 3 16 4" xfId="17697" xr:uid="{00000000-0005-0000-0000-000021450000}"/>
    <cellStyle name="Normal 2 2 2 3 16 4 10" xfId="17698" xr:uid="{00000000-0005-0000-0000-000022450000}"/>
    <cellStyle name="Normal 2 2 2 3 16 4 2" xfId="17699" xr:uid="{00000000-0005-0000-0000-000023450000}"/>
    <cellStyle name="Normal 2 2 2 3 16 4 3" xfId="17700" xr:uid="{00000000-0005-0000-0000-000024450000}"/>
    <cellStyle name="Normal 2 2 2 3 16 4 4" xfId="17701" xr:uid="{00000000-0005-0000-0000-000025450000}"/>
    <cellStyle name="Normal 2 2 2 3 16 4 5" xfId="17702" xr:uid="{00000000-0005-0000-0000-000026450000}"/>
    <cellStyle name="Normal 2 2 2 3 16 4 6" xfId="17703" xr:uid="{00000000-0005-0000-0000-000027450000}"/>
    <cellStyle name="Normal 2 2 2 3 16 4 7" xfId="17704" xr:uid="{00000000-0005-0000-0000-000028450000}"/>
    <cellStyle name="Normal 2 2 2 3 16 4 8" xfId="17705" xr:uid="{00000000-0005-0000-0000-000029450000}"/>
    <cellStyle name="Normal 2 2 2 3 16 4 9" xfId="17706" xr:uid="{00000000-0005-0000-0000-00002A450000}"/>
    <cellStyle name="Normal 2 2 2 3 16 5" xfId="17707" xr:uid="{00000000-0005-0000-0000-00002B450000}"/>
    <cellStyle name="Normal 2 2 2 3 16 5 10" xfId="17708" xr:uid="{00000000-0005-0000-0000-00002C450000}"/>
    <cellStyle name="Normal 2 2 2 3 16 5 2" xfId="17709" xr:uid="{00000000-0005-0000-0000-00002D450000}"/>
    <cellStyle name="Normal 2 2 2 3 16 5 3" xfId="17710" xr:uid="{00000000-0005-0000-0000-00002E450000}"/>
    <cellStyle name="Normal 2 2 2 3 16 5 4" xfId="17711" xr:uid="{00000000-0005-0000-0000-00002F450000}"/>
    <cellStyle name="Normal 2 2 2 3 16 5 5" xfId="17712" xr:uid="{00000000-0005-0000-0000-000030450000}"/>
    <cellStyle name="Normal 2 2 2 3 16 5 6" xfId="17713" xr:uid="{00000000-0005-0000-0000-000031450000}"/>
    <cellStyle name="Normal 2 2 2 3 16 5 7" xfId="17714" xr:uid="{00000000-0005-0000-0000-000032450000}"/>
    <cellStyle name="Normal 2 2 2 3 16 5 8" xfId="17715" xr:uid="{00000000-0005-0000-0000-000033450000}"/>
    <cellStyle name="Normal 2 2 2 3 16 5 9" xfId="17716" xr:uid="{00000000-0005-0000-0000-000034450000}"/>
    <cellStyle name="Normal 2 2 2 3 16 6" xfId="17717" xr:uid="{00000000-0005-0000-0000-000035450000}"/>
    <cellStyle name="Normal 2 2 2 3 16 7" xfId="17718" xr:uid="{00000000-0005-0000-0000-000036450000}"/>
    <cellStyle name="Normal 2 2 2 3 16 8" xfId="17719" xr:uid="{00000000-0005-0000-0000-000037450000}"/>
    <cellStyle name="Normal 2 2 2 3 16 9" xfId="17720" xr:uid="{00000000-0005-0000-0000-000038450000}"/>
    <cellStyle name="Normal 2 2 2 3 17" xfId="17721" xr:uid="{00000000-0005-0000-0000-000039450000}"/>
    <cellStyle name="Normal 2 2 2 3 17 10" xfId="17722" xr:uid="{00000000-0005-0000-0000-00003A450000}"/>
    <cellStyle name="Normal 2 2 2 3 17 11" xfId="17723" xr:uid="{00000000-0005-0000-0000-00003B450000}"/>
    <cellStyle name="Normal 2 2 2 3 17 12" xfId="17724" xr:uid="{00000000-0005-0000-0000-00003C450000}"/>
    <cellStyle name="Normal 2 2 2 3 17 13" xfId="17725" xr:uid="{00000000-0005-0000-0000-00003D450000}"/>
    <cellStyle name="Normal 2 2 2 3 17 14" xfId="17726" xr:uid="{00000000-0005-0000-0000-00003E450000}"/>
    <cellStyle name="Normal 2 2 2 3 17 2" xfId="17727" xr:uid="{00000000-0005-0000-0000-00003F450000}"/>
    <cellStyle name="Normal 2 2 2 3 17 2 10" xfId="17728" xr:uid="{00000000-0005-0000-0000-000040450000}"/>
    <cellStyle name="Normal 2 2 2 3 17 2 2" xfId="17729" xr:uid="{00000000-0005-0000-0000-000041450000}"/>
    <cellStyle name="Normal 2 2 2 3 17 2 3" xfId="17730" xr:uid="{00000000-0005-0000-0000-000042450000}"/>
    <cellStyle name="Normal 2 2 2 3 17 2 4" xfId="17731" xr:uid="{00000000-0005-0000-0000-000043450000}"/>
    <cellStyle name="Normal 2 2 2 3 17 2 5" xfId="17732" xr:uid="{00000000-0005-0000-0000-000044450000}"/>
    <cellStyle name="Normal 2 2 2 3 17 2 6" xfId="17733" xr:uid="{00000000-0005-0000-0000-000045450000}"/>
    <cellStyle name="Normal 2 2 2 3 17 2 7" xfId="17734" xr:uid="{00000000-0005-0000-0000-000046450000}"/>
    <cellStyle name="Normal 2 2 2 3 17 2 8" xfId="17735" xr:uid="{00000000-0005-0000-0000-000047450000}"/>
    <cellStyle name="Normal 2 2 2 3 17 2 9" xfId="17736" xr:uid="{00000000-0005-0000-0000-000048450000}"/>
    <cellStyle name="Normal 2 2 2 3 17 3" xfId="17737" xr:uid="{00000000-0005-0000-0000-000049450000}"/>
    <cellStyle name="Normal 2 2 2 3 17 3 10" xfId="17738" xr:uid="{00000000-0005-0000-0000-00004A450000}"/>
    <cellStyle name="Normal 2 2 2 3 17 3 2" xfId="17739" xr:uid="{00000000-0005-0000-0000-00004B450000}"/>
    <cellStyle name="Normal 2 2 2 3 17 3 3" xfId="17740" xr:uid="{00000000-0005-0000-0000-00004C450000}"/>
    <cellStyle name="Normal 2 2 2 3 17 3 4" xfId="17741" xr:uid="{00000000-0005-0000-0000-00004D450000}"/>
    <cellStyle name="Normal 2 2 2 3 17 3 5" xfId="17742" xr:uid="{00000000-0005-0000-0000-00004E450000}"/>
    <cellStyle name="Normal 2 2 2 3 17 3 6" xfId="17743" xr:uid="{00000000-0005-0000-0000-00004F450000}"/>
    <cellStyle name="Normal 2 2 2 3 17 3 7" xfId="17744" xr:uid="{00000000-0005-0000-0000-000050450000}"/>
    <cellStyle name="Normal 2 2 2 3 17 3 8" xfId="17745" xr:uid="{00000000-0005-0000-0000-000051450000}"/>
    <cellStyle name="Normal 2 2 2 3 17 3 9" xfId="17746" xr:uid="{00000000-0005-0000-0000-000052450000}"/>
    <cellStyle name="Normal 2 2 2 3 17 4" xfId="17747" xr:uid="{00000000-0005-0000-0000-000053450000}"/>
    <cellStyle name="Normal 2 2 2 3 17 4 10" xfId="17748" xr:uid="{00000000-0005-0000-0000-000054450000}"/>
    <cellStyle name="Normal 2 2 2 3 17 4 2" xfId="17749" xr:uid="{00000000-0005-0000-0000-000055450000}"/>
    <cellStyle name="Normal 2 2 2 3 17 4 3" xfId="17750" xr:uid="{00000000-0005-0000-0000-000056450000}"/>
    <cellStyle name="Normal 2 2 2 3 17 4 4" xfId="17751" xr:uid="{00000000-0005-0000-0000-000057450000}"/>
    <cellStyle name="Normal 2 2 2 3 17 4 5" xfId="17752" xr:uid="{00000000-0005-0000-0000-000058450000}"/>
    <cellStyle name="Normal 2 2 2 3 17 4 6" xfId="17753" xr:uid="{00000000-0005-0000-0000-000059450000}"/>
    <cellStyle name="Normal 2 2 2 3 17 4 7" xfId="17754" xr:uid="{00000000-0005-0000-0000-00005A450000}"/>
    <cellStyle name="Normal 2 2 2 3 17 4 8" xfId="17755" xr:uid="{00000000-0005-0000-0000-00005B450000}"/>
    <cellStyle name="Normal 2 2 2 3 17 4 9" xfId="17756" xr:uid="{00000000-0005-0000-0000-00005C450000}"/>
    <cellStyle name="Normal 2 2 2 3 17 5" xfId="17757" xr:uid="{00000000-0005-0000-0000-00005D450000}"/>
    <cellStyle name="Normal 2 2 2 3 17 5 10" xfId="17758" xr:uid="{00000000-0005-0000-0000-00005E450000}"/>
    <cellStyle name="Normal 2 2 2 3 17 5 2" xfId="17759" xr:uid="{00000000-0005-0000-0000-00005F450000}"/>
    <cellStyle name="Normal 2 2 2 3 17 5 3" xfId="17760" xr:uid="{00000000-0005-0000-0000-000060450000}"/>
    <cellStyle name="Normal 2 2 2 3 17 5 4" xfId="17761" xr:uid="{00000000-0005-0000-0000-000061450000}"/>
    <cellStyle name="Normal 2 2 2 3 17 5 5" xfId="17762" xr:uid="{00000000-0005-0000-0000-000062450000}"/>
    <cellStyle name="Normal 2 2 2 3 17 5 6" xfId="17763" xr:uid="{00000000-0005-0000-0000-000063450000}"/>
    <cellStyle name="Normal 2 2 2 3 17 5 7" xfId="17764" xr:uid="{00000000-0005-0000-0000-000064450000}"/>
    <cellStyle name="Normal 2 2 2 3 17 5 8" xfId="17765" xr:uid="{00000000-0005-0000-0000-000065450000}"/>
    <cellStyle name="Normal 2 2 2 3 17 5 9" xfId="17766" xr:uid="{00000000-0005-0000-0000-000066450000}"/>
    <cellStyle name="Normal 2 2 2 3 17 6" xfId="17767" xr:uid="{00000000-0005-0000-0000-000067450000}"/>
    <cellStyle name="Normal 2 2 2 3 17 7" xfId="17768" xr:uid="{00000000-0005-0000-0000-000068450000}"/>
    <cellStyle name="Normal 2 2 2 3 17 8" xfId="17769" xr:uid="{00000000-0005-0000-0000-000069450000}"/>
    <cellStyle name="Normal 2 2 2 3 17 9" xfId="17770" xr:uid="{00000000-0005-0000-0000-00006A450000}"/>
    <cellStyle name="Normal 2 2 2 3 18" xfId="17771" xr:uid="{00000000-0005-0000-0000-00006B450000}"/>
    <cellStyle name="Normal 2 2 2 3 18 10" xfId="17772" xr:uid="{00000000-0005-0000-0000-00006C450000}"/>
    <cellStyle name="Normal 2 2 2 3 18 11" xfId="17773" xr:uid="{00000000-0005-0000-0000-00006D450000}"/>
    <cellStyle name="Normal 2 2 2 3 18 12" xfId="17774" xr:uid="{00000000-0005-0000-0000-00006E450000}"/>
    <cellStyle name="Normal 2 2 2 3 18 13" xfId="17775" xr:uid="{00000000-0005-0000-0000-00006F450000}"/>
    <cellStyle name="Normal 2 2 2 3 18 14" xfId="17776" xr:uid="{00000000-0005-0000-0000-000070450000}"/>
    <cellStyle name="Normal 2 2 2 3 18 2" xfId="17777" xr:uid="{00000000-0005-0000-0000-000071450000}"/>
    <cellStyle name="Normal 2 2 2 3 18 2 10" xfId="17778" xr:uid="{00000000-0005-0000-0000-000072450000}"/>
    <cellStyle name="Normal 2 2 2 3 18 2 2" xfId="17779" xr:uid="{00000000-0005-0000-0000-000073450000}"/>
    <cellStyle name="Normal 2 2 2 3 18 2 3" xfId="17780" xr:uid="{00000000-0005-0000-0000-000074450000}"/>
    <cellStyle name="Normal 2 2 2 3 18 2 4" xfId="17781" xr:uid="{00000000-0005-0000-0000-000075450000}"/>
    <cellStyle name="Normal 2 2 2 3 18 2 5" xfId="17782" xr:uid="{00000000-0005-0000-0000-000076450000}"/>
    <cellStyle name="Normal 2 2 2 3 18 2 6" xfId="17783" xr:uid="{00000000-0005-0000-0000-000077450000}"/>
    <cellStyle name="Normal 2 2 2 3 18 2 7" xfId="17784" xr:uid="{00000000-0005-0000-0000-000078450000}"/>
    <cellStyle name="Normal 2 2 2 3 18 2 8" xfId="17785" xr:uid="{00000000-0005-0000-0000-000079450000}"/>
    <cellStyle name="Normal 2 2 2 3 18 2 9" xfId="17786" xr:uid="{00000000-0005-0000-0000-00007A450000}"/>
    <cellStyle name="Normal 2 2 2 3 18 3" xfId="17787" xr:uid="{00000000-0005-0000-0000-00007B450000}"/>
    <cellStyle name="Normal 2 2 2 3 18 3 10" xfId="17788" xr:uid="{00000000-0005-0000-0000-00007C450000}"/>
    <cellStyle name="Normal 2 2 2 3 18 3 2" xfId="17789" xr:uid="{00000000-0005-0000-0000-00007D450000}"/>
    <cellStyle name="Normal 2 2 2 3 18 3 3" xfId="17790" xr:uid="{00000000-0005-0000-0000-00007E450000}"/>
    <cellStyle name="Normal 2 2 2 3 18 3 4" xfId="17791" xr:uid="{00000000-0005-0000-0000-00007F450000}"/>
    <cellStyle name="Normal 2 2 2 3 18 3 5" xfId="17792" xr:uid="{00000000-0005-0000-0000-000080450000}"/>
    <cellStyle name="Normal 2 2 2 3 18 3 6" xfId="17793" xr:uid="{00000000-0005-0000-0000-000081450000}"/>
    <cellStyle name="Normal 2 2 2 3 18 3 7" xfId="17794" xr:uid="{00000000-0005-0000-0000-000082450000}"/>
    <cellStyle name="Normal 2 2 2 3 18 3 8" xfId="17795" xr:uid="{00000000-0005-0000-0000-000083450000}"/>
    <cellStyle name="Normal 2 2 2 3 18 3 9" xfId="17796" xr:uid="{00000000-0005-0000-0000-000084450000}"/>
    <cellStyle name="Normal 2 2 2 3 18 4" xfId="17797" xr:uid="{00000000-0005-0000-0000-000085450000}"/>
    <cellStyle name="Normal 2 2 2 3 18 4 10" xfId="17798" xr:uid="{00000000-0005-0000-0000-000086450000}"/>
    <cellStyle name="Normal 2 2 2 3 18 4 2" xfId="17799" xr:uid="{00000000-0005-0000-0000-000087450000}"/>
    <cellStyle name="Normal 2 2 2 3 18 4 3" xfId="17800" xr:uid="{00000000-0005-0000-0000-000088450000}"/>
    <cellStyle name="Normal 2 2 2 3 18 4 4" xfId="17801" xr:uid="{00000000-0005-0000-0000-000089450000}"/>
    <cellStyle name="Normal 2 2 2 3 18 4 5" xfId="17802" xr:uid="{00000000-0005-0000-0000-00008A450000}"/>
    <cellStyle name="Normal 2 2 2 3 18 4 6" xfId="17803" xr:uid="{00000000-0005-0000-0000-00008B450000}"/>
    <cellStyle name="Normal 2 2 2 3 18 4 7" xfId="17804" xr:uid="{00000000-0005-0000-0000-00008C450000}"/>
    <cellStyle name="Normal 2 2 2 3 18 4 8" xfId="17805" xr:uid="{00000000-0005-0000-0000-00008D450000}"/>
    <cellStyle name="Normal 2 2 2 3 18 4 9" xfId="17806" xr:uid="{00000000-0005-0000-0000-00008E450000}"/>
    <cellStyle name="Normal 2 2 2 3 18 5" xfId="17807" xr:uid="{00000000-0005-0000-0000-00008F450000}"/>
    <cellStyle name="Normal 2 2 2 3 18 5 10" xfId="17808" xr:uid="{00000000-0005-0000-0000-000090450000}"/>
    <cellStyle name="Normal 2 2 2 3 18 5 2" xfId="17809" xr:uid="{00000000-0005-0000-0000-000091450000}"/>
    <cellStyle name="Normal 2 2 2 3 18 5 3" xfId="17810" xr:uid="{00000000-0005-0000-0000-000092450000}"/>
    <cellStyle name="Normal 2 2 2 3 18 5 4" xfId="17811" xr:uid="{00000000-0005-0000-0000-000093450000}"/>
    <cellStyle name="Normal 2 2 2 3 18 5 5" xfId="17812" xr:uid="{00000000-0005-0000-0000-000094450000}"/>
    <cellStyle name="Normal 2 2 2 3 18 5 6" xfId="17813" xr:uid="{00000000-0005-0000-0000-000095450000}"/>
    <cellStyle name="Normal 2 2 2 3 18 5 7" xfId="17814" xr:uid="{00000000-0005-0000-0000-000096450000}"/>
    <cellStyle name="Normal 2 2 2 3 18 5 8" xfId="17815" xr:uid="{00000000-0005-0000-0000-000097450000}"/>
    <cellStyle name="Normal 2 2 2 3 18 5 9" xfId="17816" xr:uid="{00000000-0005-0000-0000-000098450000}"/>
    <cellStyle name="Normal 2 2 2 3 18 6" xfId="17817" xr:uid="{00000000-0005-0000-0000-000099450000}"/>
    <cellStyle name="Normal 2 2 2 3 18 7" xfId="17818" xr:uid="{00000000-0005-0000-0000-00009A450000}"/>
    <cellStyle name="Normal 2 2 2 3 18 8" xfId="17819" xr:uid="{00000000-0005-0000-0000-00009B450000}"/>
    <cellStyle name="Normal 2 2 2 3 18 9" xfId="17820" xr:uid="{00000000-0005-0000-0000-00009C450000}"/>
    <cellStyle name="Normal 2 2 2 3 19" xfId="17821" xr:uid="{00000000-0005-0000-0000-00009D450000}"/>
    <cellStyle name="Normal 2 2 2 3 19 10" xfId="17822" xr:uid="{00000000-0005-0000-0000-00009E450000}"/>
    <cellStyle name="Normal 2 2 2 3 19 11" xfId="17823" xr:uid="{00000000-0005-0000-0000-00009F450000}"/>
    <cellStyle name="Normal 2 2 2 3 19 12" xfId="17824" xr:uid="{00000000-0005-0000-0000-0000A0450000}"/>
    <cellStyle name="Normal 2 2 2 3 19 13" xfId="17825" xr:uid="{00000000-0005-0000-0000-0000A1450000}"/>
    <cellStyle name="Normal 2 2 2 3 19 14" xfId="17826" xr:uid="{00000000-0005-0000-0000-0000A2450000}"/>
    <cellStyle name="Normal 2 2 2 3 19 2" xfId="17827" xr:uid="{00000000-0005-0000-0000-0000A3450000}"/>
    <cellStyle name="Normal 2 2 2 3 19 2 10" xfId="17828" xr:uid="{00000000-0005-0000-0000-0000A4450000}"/>
    <cellStyle name="Normal 2 2 2 3 19 2 2" xfId="17829" xr:uid="{00000000-0005-0000-0000-0000A5450000}"/>
    <cellStyle name="Normal 2 2 2 3 19 2 3" xfId="17830" xr:uid="{00000000-0005-0000-0000-0000A6450000}"/>
    <cellStyle name="Normal 2 2 2 3 19 2 4" xfId="17831" xr:uid="{00000000-0005-0000-0000-0000A7450000}"/>
    <cellStyle name="Normal 2 2 2 3 19 2 5" xfId="17832" xr:uid="{00000000-0005-0000-0000-0000A8450000}"/>
    <cellStyle name="Normal 2 2 2 3 19 2 6" xfId="17833" xr:uid="{00000000-0005-0000-0000-0000A9450000}"/>
    <cellStyle name="Normal 2 2 2 3 19 2 7" xfId="17834" xr:uid="{00000000-0005-0000-0000-0000AA450000}"/>
    <cellStyle name="Normal 2 2 2 3 19 2 8" xfId="17835" xr:uid="{00000000-0005-0000-0000-0000AB450000}"/>
    <cellStyle name="Normal 2 2 2 3 19 2 9" xfId="17836" xr:uid="{00000000-0005-0000-0000-0000AC450000}"/>
    <cellStyle name="Normal 2 2 2 3 19 3" xfId="17837" xr:uid="{00000000-0005-0000-0000-0000AD450000}"/>
    <cellStyle name="Normal 2 2 2 3 19 3 10" xfId="17838" xr:uid="{00000000-0005-0000-0000-0000AE450000}"/>
    <cellStyle name="Normal 2 2 2 3 19 3 2" xfId="17839" xr:uid="{00000000-0005-0000-0000-0000AF450000}"/>
    <cellStyle name="Normal 2 2 2 3 19 3 3" xfId="17840" xr:uid="{00000000-0005-0000-0000-0000B0450000}"/>
    <cellStyle name="Normal 2 2 2 3 19 3 4" xfId="17841" xr:uid="{00000000-0005-0000-0000-0000B1450000}"/>
    <cellStyle name="Normal 2 2 2 3 19 3 5" xfId="17842" xr:uid="{00000000-0005-0000-0000-0000B2450000}"/>
    <cellStyle name="Normal 2 2 2 3 19 3 6" xfId="17843" xr:uid="{00000000-0005-0000-0000-0000B3450000}"/>
    <cellStyle name="Normal 2 2 2 3 19 3 7" xfId="17844" xr:uid="{00000000-0005-0000-0000-0000B4450000}"/>
    <cellStyle name="Normal 2 2 2 3 19 3 8" xfId="17845" xr:uid="{00000000-0005-0000-0000-0000B5450000}"/>
    <cellStyle name="Normal 2 2 2 3 19 3 9" xfId="17846" xr:uid="{00000000-0005-0000-0000-0000B6450000}"/>
    <cellStyle name="Normal 2 2 2 3 19 4" xfId="17847" xr:uid="{00000000-0005-0000-0000-0000B7450000}"/>
    <cellStyle name="Normal 2 2 2 3 19 4 10" xfId="17848" xr:uid="{00000000-0005-0000-0000-0000B8450000}"/>
    <cellStyle name="Normal 2 2 2 3 19 4 2" xfId="17849" xr:uid="{00000000-0005-0000-0000-0000B9450000}"/>
    <cellStyle name="Normal 2 2 2 3 19 4 3" xfId="17850" xr:uid="{00000000-0005-0000-0000-0000BA450000}"/>
    <cellStyle name="Normal 2 2 2 3 19 4 4" xfId="17851" xr:uid="{00000000-0005-0000-0000-0000BB450000}"/>
    <cellStyle name="Normal 2 2 2 3 19 4 5" xfId="17852" xr:uid="{00000000-0005-0000-0000-0000BC450000}"/>
    <cellStyle name="Normal 2 2 2 3 19 4 6" xfId="17853" xr:uid="{00000000-0005-0000-0000-0000BD450000}"/>
    <cellStyle name="Normal 2 2 2 3 19 4 7" xfId="17854" xr:uid="{00000000-0005-0000-0000-0000BE450000}"/>
    <cellStyle name="Normal 2 2 2 3 19 4 8" xfId="17855" xr:uid="{00000000-0005-0000-0000-0000BF450000}"/>
    <cellStyle name="Normal 2 2 2 3 19 4 9" xfId="17856" xr:uid="{00000000-0005-0000-0000-0000C0450000}"/>
    <cellStyle name="Normal 2 2 2 3 19 5" xfId="17857" xr:uid="{00000000-0005-0000-0000-0000C1450000}"/>
    <cellStyle name="Normal 2 2 2 3 19 5 10" xfId="17858" xr:uid="{00000000-0005-0000-0000-0000C2450000}"/>
    <cellStyle name="Normal 2 2 2 3 19 5 2" xfId="17859" xr:uid="{00000000-0005-0000-0000-0000C3450000}"/>
    <cellStyle name="Normal 2 2 2 3 19 5 3" xfId="17860" xr:uid="{00000000-0005-0000-0000-0000C4450000}"/>
    <cellStyle name="Normal 2 2 2 3 19 5 4" xfId="17861" xr:uid="{00000000-0005-0000-0000-0000C5450000}"/>
    <cellStyle name="Normal 2 2 2 3 19 5 5" xfId="17862" xr:uid="{00000000-0005-0000-0000-0000C6450000}"/>
    <cellStyle name="Normal 2 2 2 3 19 5 6" xfId="17863" xr:uid="{00000000-0005-0000-0000-0000C7450000}"/>
    <cellStyle name="Normal 2 2 2 3 19 5 7" xfId="17864" xr:uid="{00000000-0005-0000-0000-0000C8450000}"/>
    <cellStyle name="Normal 2 2 2 3 19 5 8" xfId="17865" xr:uid="{00000000-0005-0000-0000-0000C9450000}"/>
    <cellStyle name="Normal 2 2 2 3 19 5 9" xfId="17866" xr:uid="{00000000-0005-0000-0000-0000CA450000}"/>
    <cellStyle name="Normal 2 2 2 3 19 6" xfId="17867" xr:uid="{00000000-0005-0000-0000-0000CB450000}"/>
    <cellStyle name="Normal 2 2 2 3 19 7" xfId="17868" xr:uid="{00000000-0005-0000-0000-0000CC450000}"/>
    <cellStyle name="Normal 2 2 2 3 19 8" xfId="17869" xr:uid="{00000000-0005-0000-0000-0000CD450000}"/>
    <cellStyle name="Normal 2 2 2 3 19 9" xfId="17870" xr:uid="{00000000-0005-0000-0000-0000CE450000}"/>
    <cellStyle name="Normal 2 2 2 3 2" xfId="17871" xr:uid="{00000000-0005-0000-0000-0000CF450000}"/>
    <cellStyle name="Normal 2 2 2 3 2 10" xfId="17872" xr:uid="{00000000-0005-0000-0000-0000D0450000}"/>
    <cellStyle name="Normal 2 2 2 3 2 11" xfId="17873" xr:uid="{00000000-0005-0000-0000-0000D1450000}"/>
    <cellStyle name="Normal 2 2 2 3 2 12" xfId="17874" xr:uid="{00000000-0005-0000-0000-0000D2450000}"/>
    <cellStyle name="Normal 2 2 2 3 2 13" xfId="17875" xr:uid="{00000000-0005-0000-0000-0000D3450000}"/>
    <cellStyle name="Normal 2 2 2 3 2 14" xfId="17876" xr:uid="{00000000-0005-0000-0000-0000D4450000}"/>
    <cellStyle name="Normal 2 2 2 3 2 15" xfId="17877" xr:uid="{00000000-0005-0000-0000-0000D5450000}"/>
    <cellStyle name="Normal 2 2 2 3 2 16" xfId="17878" xr:uid="{00000000-0005-0000-0000-0000D6450000}"/>
    <cellStyle name="Normal 2 2 2 3 2 17" xfId="17879" xr:uid="{00000000-0005-0000-0000-0000D7450000}"/>
    <cellStyle name="Normal 2 2 2 3 2 2" xfId="17880" xr:uid="{00000000-0005-0000-0000-0000D8450000}"/>
    <cellStyle name="Normal 2 2 2 3 2 2 10" xfId="17881" xr:uid="{00000000-0005-0000-0000-0000D9450000}"/>
    <cellStyle name="Normal 2 2 2 3 2 2 11" xfId="17882" xr:uid="{00000000-0005-0000-0000-0000DA450000}"/>
    <cellStyle name="Normal 2 2 2 3 2 2 12" xfId="17883" xr:uid="{00000000-0005-0000-0000-0000DB450000}"/>
    <cellStyle name="Normal 2 2 2 3 2 2 2" xfId="17884" xr:uid="{00000000-0005-0000-0000-0000DC450000}"/>
    <cellStyle name="Normal 2 2 2 3 2 2 2 2" xfId="17885" xr:uid="{00000000-0005-0000-0000-0000DD450000}"/>
    <cellStyle name="Normal 2 2 2 3 2 2 2 3" xfId="17886" xr:uid="{00000000-0005-0000-0000-0000DE450000}"/>
    <cellStyle name="Normal 2 2 2 3 2 2 3" xfId="17887" xr:uid="{00000000-0005-0000-0000-0000DF450000}"/>
    <cellStyle name="Normal 2 2 2 3 2 2 4" xfId="17888" xr:uid="{00000000-0005-0000-0000-0000E0450000}"/>
    <cellStyle name="Normal 2 2 2 3 2 2 5" xfId="17889" xr:uid="{00000000-0005-0000-0000-0000E1450000}"/>
    <cellStyle name="Normal 2 2 2 3 2 2 6" xfId="17890" xr:uid="{00000000-0005-0000-0000-0000E2450000}"/>
    <cellStyle name="Normal 2 2 2 3 2 2 7" xfId="17891" xr:uid="{00000000-0005-0000-0000-0000E3450000}"/>
    <cellStyle name="Normal 2 2 2 3 2 2 8" xfId="17892" xr:uid="{00000000-0005-0000-0000-0000E4450000}"/>
    <cellStyle name="Normal 2 2 2 3 2 2 9" xfId="17893" xr:uid="{00000000-0005-0000-0000-0000E5450000}"/>
    <cellStyle name="Normal 2 2 2 3 2 3" xfId="17894" xr:uid="{00000000-0005-0000-0000-0000E6450000}"/>
    <cellStyle name="Normal 2 2 2 3 2 3 10" xfId="17895" xr:uid="{00000000-0005-0000-0000-0000E7450000}"/>
    <cellStyle name="Normal 2 2 2 3 2 3 11" xfId="17896" xr:uid="{00000000-0005-0000-0000-0000E8450000}"/>
    <cellStyle name="Normal 2 2 2 3 2 3 12" xfId="17897" xr:uid="{00000000-0005-0000-0000-0000E9450000}"/>
    <cellStyle name="Normal 2 2 2 3 2 3 2" xfId="17898" xr:uid="{00000000-0005-0000-0000-0000EA450000}"/>
    <cellStyle name="Normal 2 2 2 3 2 3 3" xfId="17899" xr:uid="{00000000-0005-0000-0000-0000EB450000}"/>
    <cellStyle name="Normal 2 2 2 3 2 3 4" xfId="17900" xr:uid="{00000000-0005-0000-0000-0000EC450000}"/>
    <cellStyle name="Normal 2 2 2 3 2 3 5" xfId="17901" xr:uid="{00000000-0005-0000-0000-0000ED450000}"/>
    <cellStyle name="Normal 2 2 2 3 2 3 6" xfId="17902" xr:uid="{00000000-0005-0000-0000-0000EE450000}"/>
    <cellStyle name="Normal 2 2 2 3 2 3 7" xfId="17903" xr:uid="{00000000-0005-0000-0000-0000EF450000}"/>
    <cellStyle name="Normal 2 2 2 3 2 3 8" xfId="17904" xr:uid="{00000000-0005-0000-0000-0000F0450000}"/>
    <cellStyle name="Normal 2 2 2 3 2 3 9" xfId="17905" xr:uid="{00000000-0005-0000-0000-0000F1450000}"/>
    <cellStyle name="Normal 2 2 2 3 2 4" xfId="17906" xr:uid="{00000000-0005-0000-0000-0000F2450000}"/>
    <cellStyle name="Normal 2 2 2 3 2 4 10" xfId="17907" xr:uid="{00000000-0005-0000-0000-0000F3450000}"/>
    <cellStyle name="Normal 2 2 2 3 2 4 2" xfId="17908" xr:uid="{00000000-0005-0000-0000-0000F4450000}"/>
    <cellStyle name="Normal 2 2 2 3 2 4 3" xfId="17909" xr:uid="{00000000-0005-0000-0000-0000F5450000}"/>
    <cellStyle name="Normal 2 2 2 3 2 4 4" xfId="17910" xr:uid="{00000000-0005-0000-0000-0000F6450000}"/>
    <cellStyle name="Normal 2 2 2 3 2 4 5" xfId="17911" xr:uid="{00000000-0005-0000-0000-0000F7450000}"/>
    <cellStyle name="Normal 2 2 2 3 2 4 6" xfId="17912" xr:uid="{00000000-0005-0000-0000-0000F8450000}"/>
    <cellStyle name="Normal 2 2 2 3 2 4 7" xfId="17913" xr:uid="{00000000-0005-0000-0000-0000F9450000}"/>
    <cellStyle name="Normal 2 2 2 3 2 4 8" xfId="17914" xr:uid="{00000000-0005-0000-0000-0000FA450000}"/>
    <cellStyle name="Normal 2 2 2 3 2 4 9" xfId="17915" xr:uid="{00000000-0005-0000-0000-0000FB450000}"/>
    <cellStyle name="Normal 2 2 2 3 2 5" xfId="17916" xr:uid="{00000000-0005-0000-0000-0000FC450000}"/>
    <cellStyle name="Normal 2 2 2 3 2 5 10" xfId="17917" xr:uid="{00000000-0005-0000-0000-0000FD450000}"/>
    <cellStyle name="Normal 2 2 2 3 2 5 2" xfId="17918" xr:uid="{00000000-0005-0000-0000-0000FE450000}"/>
    <cellStyle name="Normal 2 2 2 3 2 5 3" xfId="17919" xr:uid="{00000000-0005-0000-0000-0000FF450000}"/>
    <cellStyle name="Normal 2 2 2 3 2 5 4" xfId="17920" xr:uid="{00000000-0005-0000-0000-000000460000}"/>
    <cellStyle name="Normal 2 2 2 3 2 5 5" xfId="17921" xr:uid="{00000000-0005-0000-0000-000001460000}"/>
    <cellStyle name="Normal 2 2 2 3 2 5 6" xfId="17922" xr:uid="{00000000-0005-0000-0000-000002460000}"/>
    <cellStyle name="Normal 2 2 2 3 2 5 7" xfId="17923" xr:uid="{00000000-0005-0000-0000-000003460000}"/>
    <cellStyle name="Normal 2 2 2 3 2 5 8" xfId="17924" xr:uid="{00000000-0005-0000-0000-000004460000}"/>
    <cellStyle name="Normal 2 2 2 3 2 5 9" xfId="17925" xr:uid="{00000000-0005-0000-0000-000005460000}"/>
    <cellStyle name="Normal 2 2 2 3 2 6" xfId="17926" xr:uid="{00000000-0005-0000-0000-000006460000}"/>
    <cellStyle name="Normal 2 2 2 3 2 7" xfId="17927" xr:uid="{00000000-0005-0000-0000-000007460000}"/>
    <cellStyle name="Normal 2 2 2 3 2 8" xfId="17928" xr:uid="{00000000-0005-0000-0000-000008460000}"/>
    <cellStyle name="Normal 2 2 2 3 2 9" xfId="17929" xr:uid="{00000000-0005-0000-0000-000009460000}"/>
    <cellStyle name="Normal 2 2 2 3 20" xfId="17930" xr:uid="{00000000-0005-0000-0000-00000A460000}"/>
    <cellStyle name="Normal 2 2 2 3 20 10" xfId="17931" xr:uid="{00000000-0005-0000-0000-00000B460000}"/>
    <cellStyle name="Normal 2 2 2 3 20 11" xfId="17932" xr:uid="{00000000-0005-0000-0000-00000C460000}"/>
    <cellStyle name="Normal 2 2 2 3 20 12" xfId="17933" xr:uid="{00000000-0005-0000-0000-00000D460000}"/>
    <cellStyle name="Normal 2 2 2 3 20 13" xfId="17934" xr:uid="{00000000-0005-0000-0000-00000E460000}"/>
    <cellStyle name="Normal 2 2 2 3 20 14" xfId="17935" xr:uid="{00000000-0005-0000-0000-00000F460000}"/>
    <cellStyle name="Normal 2 2 2 3 20 2" xfId="17936" xr:uid="{00000000-0005-0000-0000-000010460000}"/>
    <cellStyle name="Normal 2 2 2 3 20 2 10" xfId="17937" xr:uid="{00000000-0005-0000-0000-000011460000}"/>
    <cellStyle name="Normal 2 2 2 3 20 2 2" xfId="17938" xr:uid="{00000000-0005-0000-0000-000012460000}"/>
    <cellStyle name="Normal 2 2 2 3 20 2 3" xfId="17939" xr:uid="{00000000-0005-0000-0000-000013460000}"/>
    <cellStyle name="Normal 2 2 2 3 20 2 4" xfId="17940" xr:uid="{00000000-0005-0000-0000-000014460000}"/>
    <cellStyle name="Normal 2 2 2 3 20 2 5" xfId="17941" xr:uid="{00000000-0005-0000-0000-000015460000}"/>
    <cellStyle name="Normal 2 2 2 3 20 2 6" xfId="17942" xr:uid="{00000000-0005-0000-0000-000016460000}"/>
    <cellStyle name="Normal 2 2 2 3 20 2 7" xfId="17943" xr:uid="{00000000-0005-0000-0000-000017460000}"/>
    <cellStyle name="Normal 2 2 2 3 20 2 8" xfId="17944" xr:uid="{00000000-0005-0000-0000-000018460000}"/>
    <cellStyle name="Normal 2 2 2 3 20 2 9" xfId="17945" xr:uid="{00000000-0005-0000-0000-000019460000}"/>
    <cellStyle name="Normal 2 2 2 3 20 3" xfId="17946" xr:uid="{00000000-0005-0000-0000-00001A460000}"/>
    <cellStyle name="Normal 2 2 2 3 20 3 10" xfId="17947" xr:uid="{00000000-0005-0000-0000-00001B460000}"/>
    <cellStyle name="Normal 2 2 2 3 20 3 2" xfId="17948" xr:uid="{00000000-0005-0000-0000-00001C460000}"/>
    <cellStyle name="Normal 2 2 2 3 20 3 3" xfId="17949" xr:uid="{00000000-0005-0000-0000-00001D460000}"/>
    <cellStyle name="Normal 2 2 2 3 20 3 4" xfId="17950" xr:uid="{00000000-0005-0000-0000-00001E460000}"/>
    <cellStyle name="Normal 2 2 2 3 20 3 5" xfId="17951" xr:uid="{00000000-0005-0000-0000-00001F460000}"/>
    <cellStyle name="Normal 2 2 2 3 20 3 6" xfId="17952" xr:uid="{00000000-0005-0000-0000-000020460000}"/>
    <cellStyle name="Normal 2 2 2 3 20 3 7" xfId="17953" xr:uid="{00000000-0005-0000-0000-000021460000}"/>
    <cellStyle name="Normal 2 2 2 3 20 3 8" xfId="17954" xr:uid="{00000000-0005-0000-0000-000022460000}"/>
    <cellStyle name="Normal 2 2 2 3 20 3 9" xfId="17955" xr:uid="{00000000-0005-0000-0000-000023460000}"/>
    <cellStyle name="Normal 2 2 2 3 20 4" xfId="17956" xr:uid="{00000000-0005-0000-0000-000024460000}"/>
    <cellStyle name="Normal 2 2 2 3 20 4 10" xfId="17957" xr:uid="{00000000-0005-0000-0000-000025460000}"/>
    <cellStyle name="Normal 2 2 2 3 20 4 2" xfId="17958" xr:uid="{00000000-0005-0000-0000-000026460000}"/>
    <cellStyle name="Normal 2 2 2 3 20 4 3" xfId="17959" xr:uid="{00000000-0005-0000-0000-000027460000}"/>
    <cellStyle name="Normal 2 2 2 3 20 4 4" xfId="17960" xr:uid="{00000000-0005-0000-0000-000028460000}"/>
    <cellStyle name="Normal 2 2 2 3 20 4 5" xfId="17961" xr:uid="{00000000-0005-0000-0000-000029460000}"/>
    <cellStyle name="Normal 2 2 2 3 20 4 6" xfId="17962" xr:uid="{00000000-0005-0000-0000-00002A460000}"/>
    <cellStyle name="Normal 2 2 2 3 20 4 7" xfId="17963" xr:uid="{00000000-0005-0000-0000-00002B460000}"/>
    <cellStyle name="Normal 2 2 2 3 20 4 8" xfId="17964" xr:uid="{00000000-0005-0000-0000-00002C460000}"/>
    <cellStyle name="Normal 2 2 2 3 20 4 9" xfId="17965" xr:uid="{00000000-0005-0000-0000-00002D460000}"/>
    <cellStyle name="Normal 2 2 2 3 20 5" xfId="17966" xr:uid="{00000000-0005-0000-0000-00002E460000}"/>
    <cellStyle name="Normal 2 2 2 3 20 5 10" xfId="17967" xr:uid="{00000000-0005-0000-0000-00002F460000}"/>
    <cellStyle name="Normal 2 2 2 3 20 5 2" xfId="17968" xr:uid="{00000000-0005-0000-0000-000030460000}"/>
    <cellStyle name="Normal 2 2 2 3 20 5 3" xfId="17969" xr:uid="{00000000-0005-0000-0000-000031460000}"/>
    <cellStyle name="Normal 2 2 2 3 20 5 4" xfId="17970" xr:uid="{00000000-0005-0000-0000-000032460000}"/>
    <cellStyle name="Normal 2 2 2 3 20 5 5" xfId="17971" xr:uid="{00000000-0005-0000-0000-000033460000}"/>
    <cellStyle name="Normal 2 2 2 3 20 5 6" xfId="17972" xr:uid="{00000000-0005-0000-0000-000034460000}"/>
    <cellStyle name="Normal 2 2 2 3 20 5 7" xfId="17973" xr:uid="{00000000-0005-0000-0000-000035460000}"/>
    <cellStyle name="Normal 2 2 2 3 20 5 8" xfId="17974" xr:uid="{00000000-0005-0000-0000-000036460000}"/>
    <cellStyle name="Normal 2 2 2 3 20 5 9" xfId="17975" xr:uid="{00000000-0005-0000-0000-000037460000}"/>
    <cellStyle name="Normal 2 2 2 3 20 6" xfId="17976" xr:uid="{00000000-0005-0000-0000-000038460000}"/>
    <cellStyle name="Normal 2 2 2 3 20 7" xfId="17977" xr:uid="{00000000-0005-0000-0000-000039460000}"/>
    <cellStyle name="Normal 2 2 2 3 20 8" xfId="17978" xr:uid="{00000000-0005-0000-0000-00003A460000}"/>
    <cellStyle name="Normal 2 2 2 3 20 9" xfId="17979" xr:uid="{00000000-0005-0000-0000-00003B460000}"/>
    <cellStyle name="Normal 2 2 2 3 21" xfId="17980" xr:uid="{00000000-0005-0000-0000-00003C460000}"/>
    <cellStyle name="Normal 2 2 2 3 21 10" xfId="17981" xr:uid="{00000000-0005-0000-0000-00003D460000}"/>
    <cellStyle name="Normal 2 2 2 3 21 11" xfId="17982" xr:uid="{00000000-0005-0000-0000-00003E460000}"/>
    <cellStyle name="Normal 2 2 2 3 21 12" xfId="17983" xr:uid="{00000000-0005-0000-0000-00003F460000}"/>
    <cellStyle name="Normal 2 2 2 3 21 13" xfId="17984" xr:uid="{00000000-0005-0000-0000-000040460000}"/>
    <cellStyle name="Normal 2 2 2 3 21 14" xfId="17985" xr:uid="{00000000-0005-0000-0000-000041460000}"/>
    <cellStyle name="Normal 2 2 2 3 21 2" xfId="17986" xr:uid="{00000000-0005-0000-0000-000042460000}"/>
    <cellStyle name="Normal 2 2 2 3 21 2 10" xfId="17987" xr:uid="{00000000-0005-0000-0000-000043460000}"/>
    <cellStyle name="Normal 2 2 2 3 21 2 2" xfId="17988" xr:uid="{00000000-0005-0000-0000-000044460000}"/>
    <cellStyle name="Normal 2 2 2 3 21 2 3" xfId="17989" xr:uid="{00000000-0005-0000-0000-000045460000}"/>
    <cellStyle name="Normal 2 2 2 3 21 2 4" xfId="17990" xr:uid="{00000000-0005-0000-0000-000046460000}"/>
    <cellStyle name="Normal 2 2 2 3 21 2 5" xfId="17991" xr:uid="{00000000-0005-0000-0000-000047460000}"/>
    <cellStyle name="Normal 2 2 2 3 21 2 6" xfId="17992" xr:uid="{00000000-0005-0000-0000-000048460000}"/>
    <cellStyle name="Normal 2 2 2 3 21 2 7" xfId="17993" xr:uid="{00000000-0005-0000-0000-000049460000}"/>
    <cellStyle name="Normal 2 2 2 3 21 2 8" xfId="17994" xr:uid="{00000000-0005-0000-0000-00004A460000}"/>
    <cellStyle name="Normal 2 2 2 3 21 2 9" xfId="17995" xr:uid="{00000000-0005-0000-0000-00004B460000}"/>
    <cellStyle name="Normal 2 2 2 3 21 3" xfId="17996" xr:uid="{00000000-0005-0000-0000-00004C460000}"/>
    <cellStyle name="Normal 2 2 2 3 21 3 10" xfId="17997" xr:uid="{00000000-0005-0000-0000-00004D460000}"/>
    <cellStyle name="Normal 2 2 2 3 21 3 2" xfId="17998" xr:uid="{00000000-0005-0000-0000-00004E460000}"/>
    <cellStyle name="Normal 2 2 2 3 21 3 3" xfId="17999" xr:uid="{00000000-0005-0000-0000-00004F460000}"/>
    <cellStyle name="Normal 2 2 2 3 21 3 4" xfId="18000" xr:uid="{00000000-0005-0000-0000-000050460000}"/>
    <cellStyle name="Normal 2 2 2 3 21 3 5" xfId="18001" xr:uid="{00000000-0005-0000-0000-000051460000}"/>
    <cellStyle name="Normal 2 2 2 3 21 3 6" xfId="18002" xr:uid="{00000000-0005-0000-0000-000052460000}"/>
    <cellStyle name="Normal 2 2 2 3 21 3 7" xfId="18003" xr:uid="{00000000-0005-0000-0000-000053460000}"/>
    <cellStyle name="Normal 2 2 2 3 21 3 8" xfId="18004" xr:uid="{00000000-0005-0000-0000-000054460000}"/>
    <cellStyle name="Normal 2 2 2 3 21 3 9" xfId="18005" xr:uid="{00000000-0005-0000-0000-000055460000}"/>
    <cellStyle name="Normal 2 2 2 3 21 4" xfId="18006" xr:uid="{00000000-0005-0000-0000-000056460000}"/>
    <cellStyle name="Normal 2 2 2 3 21 4 10" xfId="18007" xr:uid="{00000000-0005-0000-0000-000057460000}"/>
    <cellStyle name="Normal 2 2 2 3 21 4 2" xfId="18008" xr:uid="{00000000-0005-0000-0000-000058460000}"/>
    <cellStyle name="Normal 2 2 2 3 21 4 3" xfId="18009" xr:uid="{00000000-0005-0000-0000-000059460000}"/>
    <cellStyle name="Normal 2 2 2 3 21 4 4" xfId="18010" xr:uid="{00000000-0005-0000-0000-00005A460000}"/>
    <cellStyle name="Normal 2 2 2 3 21 4 5" xfId="18011" xr:uid="{00000000-0005-0000-0000-00005B460000}"/>
    <cellStyle name="Normal 2 2 2 3 21 4 6" xfId="18012" xr:uid="{00000000-0005-0000-0000-00005C460000}"/>
    <cellStyle name="Normal 2 2 2 3 21 4 7" xfId="18013" xr:uid="{00000000-0005-0000-0000-00005D460000}"/>
    <cellStyle name="Normal 2 2 2 3 21 4 8" xfId="18014" xr:uid="{00000000-0005-0000-0000-00005E460000}"/>
    <cellStyle name="Normal 2 2 2 3 21 4 9" xfId="18015" xr:uid="{00000000-0005-0000-0000-00005F460000}"/>
    <cellStyle name="Normal 2 2 2 3 21 5" xfId="18016" xr:uid="{00000000-0005-0000-0000-000060460000}"/>
    <cellStyle name="Normal 2 2 2 3 21 5 10" xfId="18017" xr:uid="{00000000-0005-0000-0000-000061460000}"/>
    <cellStyle name="Normal 2 2 2 3 21 5 2" xfId="18018" xr:uid="{00000000-0005-0000-0000-000062460000}"/>
    <cellStyle name="Normal 2 2 2 3 21 5 3" xfId="18019" xr:uid="{00000000-0005-0000-0000-000063460000}"/>
    <cellStyle name="Normal 2 2 2 3 21 5 4" xfId="18020" xr:uid="{00000000-0005-0000-0000-000064460000}"/>
    <cellStyle name="Normal 2 2 2 3 21 5 5" xfId="18021" xr:uid="{00000000-0005-0000-0000-000065460000}"/>
    <cellStyle name="Normal 2 2 2 3 21 5 6" xfId="18022" xr:uid="{00000000-0005-0000-0000-000066460000}"/>
    <cellStyle name="Normal 2 2 2 3 21 5 7" xfId="18023" xr:uid="{00000000-0005-0000-0000-000067460000}"/>
    <cellStyle name="Normal 2 2 2 3 21 5 8" xfId="18024" xr:uid="{00000000-0005-0000-0000-000068460000}"/>
    <cellStyle name="Normal 2 2 2 3 21 5 9" xfId="18025" xr:uid="{00000000-0005-0000-0000-000069460000}"/>
    <cellStyle name="Normal 2 2 2 3 21 6" xfId="18026" xr:uid="{00000000-0005-0000-0000-00006A460000}"/>
    <cellStyle name="Normal 2 2 2 3 21 7" xfId="18027" xr:uid="{00000000-0005-0000-0000-00006B460000}"/>
    <cellStyle name="Normal 2 2 2 3 21 8" xfId="18028" xr:uid="{00000000-0005-0000-0000-00006C460000}"/>
    <cellStyle name="Normal 2 2 2 3 21 9" xfId="18029" xr:uid="{00000000-0005-0000-0000-00006D460000}"/>
    <cellStyle name="Normal 2 2 2 3 22" xfId="18030" xr:uid="{00000000-0005-0000-0000-00006E460000}"/>
    <cellStyle name="Normal 2 2 2 3 22 10" xfId="18031" xr:uid="{00000000-0005-0000-0000-00006F460000}"/>
    <cellStyle name="Normal 2 2 2 3 22 11" xfId="18032" xr:uid="{00000000-0005-0000-0000-000070460000}"/>
    <cellStyle name="Normal 2 2 2 3 22 12" xfId="18033" xr:uid="{00000000-0005-0000-0000-000071460000}"/>
    <cellStyle name="Normal 2 2 2 3 22 13" xfId="18034" xr:uid="{00000000-0005-0000-0000-000072460000}"/>
    <cellStyle name="Normal 2 2 2 3 22 14" xfId="18035" xr:uid="{00000000-0005-0000-0000-000073460000}"/>
    <cellStyle name="Normal 2 2 2 3 22 2" xfId="18036" xr:uid="{00000000-0005-0000-0000-000074460000}"/>
    <cellStyle name="Normal 2 2 2 3 22 2 10" xfId="18037" xr:uid="{00000000-0005-0000-0000-000075460000}"/>
    <cellStyle name="Normal 2 2 2 3 22 2 2" xfId="18038" xr:uid="{00000000-0005-0000-0000-000076460000}"/>
    <cellStyle name="Normal 2 2 2 3 22 2 3" xfId="18039" xr:uid="{00000000-0005-0000-0000-000077460000}"/>
    <cellStyle name="Normal 2 2 2 3 22 2 4" xfId="18040" xr:uid="{00000000-0005-0000-0000-000078460000}"/>
    <cellStyle name="Normal 2 2 2 3 22 2 5" xfId="18041" xr:uid="{00000000-0005-0000-0000-000079460000}"/>
    <cellStyle name="Normal 2 2 2 3 22 2 6" xfId="18042" xr:uid="{00000000-0005-0000-0000-00007A460000}"/>
    <cellStyle name="Normal 2 2 2 3 22 2 7" xfId="18043" xr:uid="{00000000-0005-0000-0000-00007B460000}"/>
    <cellStyle name="Normal 2 2 2 3 22 2 8" xfId="18044" xr:uid="{00000000-0005-0000-0000-00007C460000}"/>
    <cellStyle name="Normal 2 2 2 3 22 2 9" xfId="18045" xr:uid="{00000000-0005-0000-0000-00007D460000}"/>
    <cellStyle name="Normal 2 2 2 3 22 3" xfId="18046" xr:uid="{00000000-0005-0000-0000-00007E460000}"/>
    <cellStyle name="Normal 2 2 2 3 22 3 10" xfId="18047" xr:uid="{00000000-0005-0000-0000-00007F460000}"/>
    <cellStyle name="Normal 2 2 2 3 22 3 2" xfId="18048" xr:uid="{00000000-0005-0000-0000-000080460000}"/>
    <cellStyle name="Normal 2 2 2 3 22 3 3" xfId="18049" xr:uid="{00000000-0005-0000-0000-000081460000}"/>
    <cellStyle name="Normal 2 2 2 3 22 3 4" xfId="18050" xr:uid="{00000000-0005-0000-0000-000082460000}"/>
    <cellStyle name="Normal 2 2 2 3 22 3 5" xfId="18051" xr:uid="{00000000-0005-0000-0000-000083460000}"/>
    <cellStyle name="Normal 2 2 2 3 22 3 6" xfId="18052" xr:uid="{00000000-0005-0000-0000-000084460000}"/>
    <cellStyle name="Normal 2 2 2 3 22 3 7" xfId="18053" xr:uid="{00000000-0005-0000-0000-000085460000}"/>
    <cellStyle name="Normal 2 2 2 3 22 3 8" xfId="18054" xr:uid="{00000000-0005-0000-0000-000086460000}"/>
    <cellStyle name="Normal 2 2 2 3 22 3 9" xfId="18055" xr:uid="{00000000-0005-0000-0000-000087460000}"/>
    <cellStyle name="Normal 2 2 2 3 22 4" xfId="18056" xr:uid="{00000000-0005-0000-0000-000088460000}"/>
    <cellStyle name="Normal 2 2 2 3 22 4 10" xfId="18057" xr:uid="{00000000-0005-0000-0000-000089460000}"/>
    <cellStyle name="Normal 2 2 2 3 22 4 2" xfId="18058" xr:uid="{00000000-0005-0000-0000-00008A460000}"/>
    <cellStyle name="Normal 2 2 2 3 22 4 3" xfId="18059" xr:uid="{00000000-0005-0000-0000-00008B460000}"/>
    <cellStyle name="Normal 2 2 2 3 22 4 4" xfId="18060" xr:uid="{00000000-0005-0000-0000-00008C460000}"/>
    <cellStyle name="Normal 2 2 2 3 22 4 5" xfId="18061" xr:uid="{00000000-0005-0000-0000-00008D460000}"/>
    <cellStyle name="Normal 2 2 2 3 22 4 6" xfId="18062" xr:uid="{00000000-0005-0000-0000-00008E460000}"/>
    <cellStyle name="Normal 2 2 2 3 22 4 7" xfId="18063" xr:uid="{00000000-0005-0000-0000-00008F460000}"/>
    <cellStyle name="Normal 2 2 2 3 22 4 8" xfId="18064" xr:uid="{00000000-0005-0000-0000-000090460000}"/>
    <cellStyle name="Normal 2 2 2 3 22 4 9" xfId="18065" xr:uid="{00000000-0005-0000-0000-000091460000}"/>
    <cellStyle name="Normal 2 2 2 3 22 5" xfId="18066" xr:uid="{00000000-0005-0000-0000-000092460000}"/>
    <cellStyle name="Normal 2 2 2 3 22 5 10" xfId="18067" xr:uid="{00000000-0005-0000-0000-000093460000}"/>
    <cellStyle name="Normal 2 2 2 3 22 5 2" xfId="18068" xr:uid="{00000000-0005-0000-0000-000094460000}"/>
    <cellStyle name="Normal 2 2 2 3 22 5 3" xfId="18069" xr:uid="{00000000-0005-0000-0000-000095460000}"/>
    <cellStyle name="Normal 2 2 2 3 22 5 4" xfId="18070" xr:uid="{00000000-0005-0000-0000-000096460000}"/>
    <cellStyle name="Normal 2 2 2 3 22 5 5" xfId="18071" xr:uid="{00000000-0005-0000-0000-000097460000}"/>
    <cellStyle name="Normal 2 2 2 3 22 5 6" xfId="18072" xr:uid="{00000000-0005-0000-0000-000098460000}"/>
    <cellStyle name="Normal 2 2 2 3 22 5 7" xfId="18073" xr:uid="{00000000-0005-0000-0000-000099460000}"/>
    <cellStyle name="Normal 2 2 2 3 22 5 8" xfId="18074" xr:uid="{00000000-0005-0000-0000-00009A460000}"/>
    <cellStyle name="Normal 2 2 2 3 22 5 9" xfId="18075" xr:uid="{00000000-0005-0000-0000-00009B460000}"/>
    <cellStyle name="Normal 2 2 2 3 22 6" xfId="18076" xr:uid="{00000000-0005-0000-0000-00009C460000}"/>
    <cellStyle name="Normal 2 2 2 3 22 7" xfId="18077" xr:uid="{00000000-0005-0000-0000-00009D460000}"/>
    <cellStyle name="Normal 2 2 2 3 22 8" xfId="18078" xr:uid="{00000000-0005-0000-0000-00009E460000}"/>
    <cellStyle name="Normal 2 2 2 3 22 9" xfId="18079" xr:uid="{00000000-0005-0000-0000-00009F460000}"/>
    <cellStyle name="Normal 2 2 2 3 23" xfId="18080" xr:uid="{00000000-0005-0000-0000-0000A0460000}"/>
    <cellStyle name="Normal 2 2 2 3 23 10" xfId="18081" xr:uid="{00000000-0005-0000-0000-0000A1460000}"/>
    <cellStyle name="Normal 2 2 2 3 23 11" xfId="18082" xr:uid="{00000000-0005-0000-0000-0000A2460000}"/>
    <cellStyle name="Normal 2 2 2 3 23 12" xfId="18083" xr:uid="{00000000-0005-0000-0000-0000A3460000}"/>
    <cellStyle name="Normal 2 2 2 3 23 13" xfId="18084" xr:uid="{00000000-0005-0000-0000-0000A4460000}"/>
    <cellStyle name="Normal 2 2 2 3 23 14" xfId="18085" xr:uid="{00000000-0005-0000-0000-0000A5460000}"/>
    <cellStyle name="Normal 2 2 2 3 23 2" xfId="18086" xr:uid="{00000000-0005-0000-0000-0000A6460000}"/>
    <cellStyle name="Normal 2 2 2 3 23 2 10" xfId="18087" xr:uid="{00000000-0005-0000-0000-0000A7460000}"/>
    <cellStyle name="Normal 2 2 2 3 23 2 2" xfId="18088" xr:uid="{00000000-0005-0000-0000-0000A8460000}"/>
    <cellStyle name="Normal 2 2 2 3 23 2 3" xfId="18089" xr:uid="{00000000-0005-0000-0000-0000A9460000}"/>
    <cellStyle name="Normal 2 2 2 3 23 2 4" xfId="18090" xr:uid="{00000000-0005-0000-0000-0000AA460000}"/>
    <cellStyle name="Normal 2 2 2 3 23 2 5" xfId="18091" xr:uid="{00000000-0005-0000-0000-0000AB460000}"/>
    <cellStyle name="Normal 2 2 2 3 23 2 6" xfId="18092" xr:uid="{00000000-0005-0000-0000-0000AC460000}"/>
    <cellStyle name="Normal 2 2 2 3 23 2 7" xfId="18093" xr:uid="{00000000-0005-0000-0000-0000AD460000}"/>
    <cellStyle name="Normal 2 2 2 3 23 2 8" xfId="18094" xr:uid="{00000000-0005-0000-0000-0000AE460000}"/>
    <cellStyle name="Normal 2 2 2 3 23 2 9" xfId="18095" xr:uid="{00000000-0005-0000-0000-0000AF460000}"/>
    <cellStyle name="Normal 2 2 2 3 23 3" xfId="18096" xr:uid="{00000000-0005-0000-0000-0000B0460000}"/>
    <cellStyle name="Normal 2 2 2 3 23 3 10" xfId="18097" xr:uid="{00000000-0005-0000-0000-0000B1460000}"/>
    <cellStyle name="Normal 2 2 2 3 23 3 2" xfId="18098" xr:uid="{00000000-0005-0000-0000-0000B2460000}"/>
    <cellStyle name="Normal 2 2 2 3 23 3 3" xfId="18099" xr:uid="{00000000-0005-0000-0000-0000B3460000}"/>
    <cellStyle name="Normal 2 2 2 3 23 3 4" xfId="18100" xr:uid="{00000000-0005-0000-0000-0000B4460000}"/>
    <cellStyle name="Normal 2 2 2 3 23 3 5" xfId="18101" xr:uid="{00000000-0005-0000-0000-0000B5460000}"/>
    <cellStyle name="Normal 2 2 2 3 23 3 6" xfId="18102" xr:uid="{00000000-0005-0000-0000-0000B6460000}"/>
    <cellStyle name="Normal 2 2 2 3 23 3 7" xfId="18103" xr:uid="{00000000-0005-0000-0000-0000B7460000}"/>
    <cellStyle name="Normal 2 2 2 3 23 3 8" xfId="18104" xr:uid="{00000000-0005-0000-0000-0000B8460000}"/>
    <cellStyle name="Normal 2 2 2 3 23 3 9" xfId="18105" xr:uid="{00000000-0005-0000-0000-0000B9460000}"/>
    <cellStyle name="Normal 2 2 2 3 23 4" xfId="18106" xr:uid="{00000000-0005-0000-0000-0000BA460000}"/>
    <cellStyle name="Normal 2 2 2 3 23 4 10" xfId="18107" xr:uid="{00000000-0005-0000-0000-0000BB460000}"/>
    <cellStyle name="Normal 2 2 2 3 23 4 2" xfId="18108" xr:uid="{00000000-0005-0000-0000-0000BC460000}"/>
    <cellStyle name="Normal 2 2 2 3 23 4 3" xfId="18109" xr:uid="{00000000-0005-0000-0000-0000BD460000}"/>
    <cellStyle name="Normal 2 2 2 3 23 4 4" xfId="18110" xr:uid="{00000000-0005-0000-0000-0000BE460000}"/>
    <cellStyle name="Normal 2 2 2 3 23 4 5" xfId="18111" xr:uid="{00000000-0005-0000-0000-0000BF460000}"/>
    <cellStyle name="Normal 2 2 2 3 23 4 6" xfId="18112" xr:uid="{00000000-0005-0000-0000-0000C0460000}"/>
    <cellStyle name="Normal 2 2 2 3 23 4 7" xfId="18113" xr:uid="{00000000-0005-0000-0000-0000C1460000}"/>
    <cellStyle name="Normal 2 2 2 3 23 4 8" xfId="18114" xr:uid="{00000000-0005-0000-0000-0000C2460000}"/>
    <cellStyle name="Normal 2 2 2 3 23 4 9" xfId="18115" xr:uid="{00000000-0005-0000-0000-0000C3460000}"/>
    <cellStyle name="Normal 2 2 2 3 23 5" xfId="18116" xr:uid="{00000000-0005-0000-0000-0000C4460000}"/>
    <cellStyle name="Normal 2 2 2 3 23 5 10" xfId="18117" xr:uid="{00000000-0005-0000-0000-0000C5460000}"/>
    <cellStyle name="Normal 2 2 2 3 23 5 2" xfId="18118" xr:uid="{00000000-0005-0000-0000-0000C6460000}"/>
    <cellStyle name="Normal 2 2 2 3 23 5 3" xfId="18119" xr:uid="{00000000-0005-0000-0000-0000C7460000}"/>
    <cellStyle name="Normal 2 2 2 3 23 5 4" xfId="18120" xr:uid="{00000000-0005-0000-0000-0000C8460000}"/>
    <cellStyle name="Normal 2 2 2 3 23 5 5" xfId="18121" xr:uid="{00000000-0005-0000-0000-0000C9460000}"/>
    <cellStyle name="Normal 2 2 2 3 23 5 6" xfId="18122" xr:uid="{00000000-0005-0000-0000-0000CA460000}"/>
    <cellStyle name="Normal 2 2 2 3 23 5 7" xfId="18123" xr:uid="{00000000-0005-0000-0000-0000CB460000}"/>
    <cellStyle name="Normal 2 2 2 3 23 5 8" xfId="18124" xr:uid="{00000000-0005-0000-0000-0000CC460000}"/>
    <cellStyle name="Normal 2 2 2 3 23 5 9" xfId="18125" xr:uid="{00000000-0005-0000-0000-0000CD460000}"/>
    <cellStyle name="Normal 2 2 2 3 23 6" xfId="18126" xr:uid="{00000000-0005-0000-0000-0000CE460000}"/>
    <cellStyle name="Normal 2 2 2 3 23 7" xfId="18127" xr:uid="{00000000-0005-0000-0000-0000CF460000}"/>
    <cellStyle name="Normal 2 2 2 3 23 8" xfId="18128" xr:uid="{00000000-0005-0000-0000-0000D0460000}"/>
    <cellStyle name="Normal 2 2 2 3 23 9" xfId="18129" xr:uid="{00000000-0005-0000-0000-0000D1460000}"/>
    <cellStyle name="Normal 2 2 2 3 24" xfId="18130" xr:uid="{00000000-0005-0000-0000-0000D2460000}"/>
    <cellStyle name="Normal 2 2 2 3 24 10" xfId="18131" xr:uid="{00000000-0005-0000-0000-0000D3460000}"/>
    <cellStyle name="Normal 2 2 2 3 24 11" xfId="18132" xr:uid="{00000000-0005-0000-0000-0000D4460000}"/>
    <cellStyle name="Normal 2 2 2 3 24 12" xfId="18133" xr:uid="{00000000-0005-0000-0000-0000D5460000}"/>
    <cellStyle name="Normal 2 2 2 3 24 13" xfId="18134" xr:uid="{00000000-0005-0000-0000-0000D6460000}"/>
    <cellStyle name="Normal 2 2 2 3 24 14" xfId="18135" xr:uid="{00000000-0005-0000-0000-0000D7460000}"/>
    <cellStyle name="Normal 2 2 2 3 24 2" xfId="18136" xr:uid="{00000000-0005-0000-0000-0000D8460000}"/>
    <cellStyle name="Normal 2 2 2 3 24 2 10" xfId="18137" xr:uid="{00000000-0005-0000-0000-0000D9460000}"/>
    <cellStyle name="Normal 2 2 2 3 24 2 2" xfId="18138" xr:uid="{00000000-0005-0000-0000-0000DA460000}"/>
    <cellStyle name="Normal 2 2 2 3 24 2 3" xfId="18139" xr:uid="{00000000-0005-0000-0000-0000DB460000}"/>
    <cellStyle name="Normal 2 2 2 3 24 2 4" xfId="18140" xr:uid="{00000000-0005-0000-0000-0000DC460000}"/>
    <cellStyle name="Normal 2 2 2 3 24 2 5" xfId="18141" xr:uid="{00000000-0005-0000-0000-0000DD460000}"/>
    <cellStyle name="Normal 2 2 2 3 24 2 6" xfId="18142" xr:uid="{00000000-0005-0000-0000-0000DE460000}"/>
    <cellStyle name="Normal 2 2 2 3 24 2 7" xfId="18143" xr:uid="{00000000-0005-0000-0000-0000DF460000}"/>
    <cellStyle name="Normal 2 2 2 3 24 2 8" xfId="18144" xr:uid="{00000000-0005-0000-0000-0000E0460000}"/>
    <cellStyle name="Normal 2 2 2 3 24 2 9" xfId="18145" xr:uid="{00000000-0005-0000-0000-0000E1460000}"/>
    <cellStyle name="Normal 2 2 2 3 24 3" xfId="18146" xr:uid="{00000000-0005-0000-0000-0000E2460000}"/>
    <cellStyle name="Normal 2 2 2 3 24 3 10" xfId="18147" xr:uid="{00000000-0005-0000-0000-0000E3460000}"/>
    <cellStyle name="Normal 2 2 2 3 24 3 2" xfId="18148" xr:uid="{00000000-0005-0000-0000-0000E4460000}"/>
    <cellStyle name="Normal 2 2 2 3 24 3 3" xfId="18149" xr:uid="{00000000-0005-0000-0000-0000E5460000}"/>
    <cellStyle name="Normal 2 2 2 3 24 3 4" xfId="18150" xr:uid="{00000000-0005-0000-0000-0000E6460000}"/>
    <cellStyle name="Normal 2 2 2 3 24 3 5" xfId="18151" xr:uid="{00000000-0005-0000-0000-0000E7460000}"/>
    <cellStyle name="Normal 2 2 2 3 24 3 6" xfId="18152" xr:uid="{00000000-0005-0000-0000-0000E8460000}"/>
    <cellStyle name="Normal 2 2 2 3 24 3 7" xfId="18153" xr:uid="{00000000-0005-0000-0000-0000E9460000}"/>
    <cellStyle name="Normal 2 2 2 3 24 3 8" xfId="18154" xr:uid="{00000000-0005-0000-0000-0000EA460000}"/>
    <cellStyle name="Normal 2 2 2 3 24 3 9" xfId="18155" xr:uid="{00000000-0005-0000-0000-0000EB460000}"/>
    <cellStyle name="Normal 2 2 2 3 24 4" xfId="18156" xr:uid="{00000000-0005-0000-0000-0000EC460000}"/>
    <cellStyle name="Normal 2 2 2 3 24 4 10" xfId="18157" xr:uid="{00000000-0005-0000-0000-0000ED460000}"/>
    <cellStyle name="Normal 2 2 2 3 24 4 2" xfId="18158" xr:uid="{00000000-0005-0000-0000-0000EE460000}"/>
    <cellStyle name="Normal 2 2 2 3 24 4 3" xfId="18159" xr:uid="{00000000-0005-0000-0000-0000EF460000}"/>
    <cellStyle name="Normal 2 2 2 3 24 4 4" xfId="18160" xr:uid="{00000000-0005-0000-0000-0000F0460000}"/>
    <cellStyle name="Normal 2 2 2 3 24 4 5" xfId="18161" xr:uid="{00000000-0005-0000-0000-0000F1460000}"/>
    <cellStyle name="Normal 2 2 2 3 24 4 6" xfId="18162" xr:uid="{00000000-0005-0000-0000-0000F2460000}"/>
    <cellStyle name="Normal 2 2 2 3 24 4 7" xfId="18163" xr:uid="{00000000-0005-0000-0000-0000F3460000}"/>
    <cellStyle name="Normal 2 2 2 3 24 4 8" xfId="18164" xr:uid="{00000000-0005-0000-0000-0000F4460000}"/>
    <cellStyle name="Normal 2 2 2 3 24 4 9" xfId="18165" xr:uid="{00000000-0005-0000-0000-0000F5460000}"/>
    <cellStyle name="Normal 2 2 2 3 24 5" xfId="18166" xr:uid="{00000000-0005-0000-0000-0000F6460000}"/>
    <cellStyle name="Normal 2 2 2 3 24 5 10" xfId="18167" xr:uid="{00000000-0005-0000-0000-0000F7460000}"/>
    <cellStyle name="Normal 2 2 2 3 24 5 2" xfId="18168" xr:uid="{00000000-0005-0000-0000-0000F8460000}"/>
    <cellStyle name="Normal 2 2 2 3 24 5 3" xfId="18169" xr:uid="{00000000-0005-0000-0000-0000F9460000}"/>
    <cellStyle name="Normal 2 2 2 3 24 5 4" xfId="18170" xr:uid="{00000000-0005-0000-0000-0000FA460000}"/>
    <cellStyle name="Normal 2 2 2 3 24 5 5" xfId="18171" xr:uid="{00000000-0005-0000-0000-0000FB460000}"/>
    <cellStyle name="Normal 2 2 2 3 24 5 6" xfId="18172" xr:uid="{00000000-0005-0000-0000-0000FC460000}"/>
    <cellStyle name="Normal 2 2 2 3 24 5 7" xfId="18173" xr:uid="{00000000-0005-0000-0000-0000FD460000}"/>
    <cellStyle name="Normal 2 2 2 3 24 5 8" xfId="18174" xr:uid="{00000000-0005-0000-0000-0000FE460000}"/>
    <cellStyle name="Normal 2 2 2 3 24 5 9" xfId="18175" xr:uid="{00000000-0005-0000-0000-0000FF460000}"/>
    <cellStyle name="Normal 2 2 2 3 24 6" xfId="18176" xr:uid="{00000000-0005-0000-0000-000000470000}"/>
    <cellStyle name="Normal 2 2 2 3 24 7" xfId="18177" xr:uid="{00000000-0005-0000-0000-000001470000}"/>
    <cellStyle name="Normal 2 2 2 3 24 8" xfId="18178" xr:uid="{00000000-0005-0000-0000-000002470000}"/>
    <cellStyle name="Normal 2 2 2 3 24 9" xfId="18179" xr:uid="{00000000-0005-0000-0000-000003470000}"/>
    <cellStyle name="Normal 2 2 2 3 25" xfId="18180" xr:uid="{00000000-0005-0000-0000-000004470000}"/>
    <cellStyle name="Normal 2 2 2 3 25 10" xfId="18181" xr:uid="{00000000-0005-0000-0000-000005470000}"/>
    <cellStyle name="Normal 2 2 2 3 25 11" xfId="18182" xr:uid="{00000000-0005-0000-0000-000006470000}"/>
    <cellStyle name="Normal 2 2 2 3 25 12" xfId="18183" xr:uid="{00000000-0005-0000-0000-000007470000}"/>
    <cellStyle name="Normal 2 2 2 3 25 13" xfId="18184" xr:uid="{00000000-0005-0000-0000-000008470000}"/>
    <cellStyle name="Normal 2 2 2 3 25 14" xfId="18185" xr:uid="{00000000-0005-0000-0000-000009470000}"/>
    <cellStyle name="Normal 2 2 2 3 25 2" xfId="18186" xr:uid="{00000000-0005-0000-0000-00000A470000}"/>
    <cellStyle name="Normal 2 2 2 3 25 2 10" xfId="18187" xr:uid="{00000000-0005-0000-0000-00000B470000}"/>
    <cellStyle name="Normal 2 2 2 3 25 2 2" xfId="18188" xr:uid="{00000000-0005-0000-0000-00000C470000}"/>
    <cellStyle name="Normal 2 2 2 3 25 2 3" xfId="18189" xr:uid="{00000000-0005-0000-0000-00000D470000}"/>
    <cellStyle name="Normal 2 2 2 3 25 2 4" xfId="18190" xr:uid="{00000000-0005-0000-0000-00000E470000}"/>
    <cellStyle name="Normal 2 2 2 3 25 2 5" xfId="18191" xr:uid="{00000000-0005-0000-0000-00000F470000}"/>
    <cellStyle name="Normal 2 2 2 3 25 2 6" xfId="18192" xr:uid="{00000000-0005-0000-0000-000010470000}"/>
    <cellStyle name="Normal 2 2 2 3 25 2 7" xfId="18193" xr:uid="{00000000-0005-0000-0000-000011470000}"/>
    <cellStyle name="Normal 2 2 2 3 25 2 8" xfId="18194" xr:uid="{00000000-0005-0000-0000-000012470000}"/>
    <cellStyle name="Normal 2 2 2 3 25 2 9" xfId="18195" xr:uid="{00000000-0005-0000-0000-000013470000}"/>
    <cellStyle name="Normal 2 2 2 3 25 3" xfId="18196" xr:uid="{00000000-0005-0000-0000-000014470000}"/>
    <cellStyle name="Normal 2 2 2 3 25 3 10" xfId="18197" xr:uid="{00000000-0005-0000-0000-000015470000}"/>
    <cellStyle name="Normal 2 2 2 3 25 3 2" xfId="18198" xr:uid="{00000000-0005-0000-0000-000016470000}"/>
    <cellStyle name="Normal 2 2 2 3 25 3 3" xfId="18199" xr:uid="{00000000-0005-0000-0000-000017470000}"/>
    <cellStyle name="Normal 2 2 2 3 25 3 4" xfId="18200" xr:uid="{00000000-0005-0000-0000-000018470000}"/>
    <cellStyle name="Normal 2 2 2 3 25 3 5" xfId="18201" xr:uid="{00000000-0005-0000-0000-000019470000}"/>
    <cellStyle name="Normal 2 2 2 3 25 3 6" xfId="18202" xr:uid="{00000000-0005-0000-0000-00001A470000}"/>
    <cellStyle name="Normal 2 2 2 3 25 3 7" xfId="18203" xr:uid="{00000000-0005-0000-0000-00001B470000}"/>
    <cellStyle name="Normal 2 2 2 3 25 3 8" xfId="18204" xr:uid="{00000000-0005-0000-0000-00001C470000}"/>
    <cellStyle name="Normal 2 2 2 3 25 3 9" xfId="18205" xr:uid="{00000000-0005-0000-0000-00001D470000}"/>
    <cellStyle name="Normal 2 2 2 3 25 4" xfId="18206" xr:uid="{00000000-0005-0000-0000-00001E470000}"/>
    <cellStyle name="Normal 2 2 2 3 25 4 10" xfId="18207" xr:uid="{00000000-0005-0000-0000-00001F470000}"/>
    <cellStyle name="Normal 2 2 2 3 25 4 2" xfId="18208" xr:uid="{00000000-0005-0000-0000-000020470000}"/>
    <cellStyle name="Normal 2 2 2 3 25 4 3" xfId="18209" xr:uid="{00000000-0005-0000-0000-000021470000}"/>
    <cellStyle name="Normal 2 2 2 3 25 4 4" xfId="18210" xr:uid="{00000000-0005-0000-0000-000022470000}"/>
    <cellStyle name="Normal 2 2 2 3 25 4 5" xfId="18211" xr:uid="{00000000-0005-0000-0000-000023470000}"/>
    <cellStyle name="Normal 2 2 2 3 25 4 6" xfId="18212" xr:uid="{00000000-0005-0000-0000-000024470000}"/>
    <cellStyle name="Normal 2 2 2 3 25 4 7" xfId="18213" xr:uid="{00000000-0005-0000-0000-000025470000}"/>
    <cellStyle name="Normal 2 2 2 3 25 4 8" xfId="18214" xr:uid="{00000000-0005-0000-0000-000026470000}"/>
    <cellStyle name="Normal 2 2 2 3 25 4 9" xfId="18215" xr:uid="{00000000-0005-0000-0000-000027470000}"/>
    <cellStyle name="Normal 2 2 2 3 25 5" xfId="18216" xr:uid="{00000000-0005-0000-0000-000028470000}"/>
    <cellStyle name="Normal 2 2 2 3 25 5 10" xfId="18217" xr:uid="{00000000-0005-0000-0000-000029470000}"/>
    <cellStyle name="Normal 2 2 2 3 25 5 2" xfId="18218" xr:uid="{00000000-0005-0000-0000-00002A470000}"/>
    <cellStyle name="Normal 2 2 2 3 25 5 3" xfId="18219" xr:uid="{00000000-0005-0000-0000-00002B470000}"/>
    <cellStyle name="Normal 2 2 2 3 25 5 4" xfId="18220" xr:uid="{00000000-0005-0000-0000-00002C470000}"/>
    <cellStyle name="Normal 2 2 2 3 25 5 5" xfId="18221" xr:uid="{00000000-0005-0000-0000-00002D470000}"/>
    <cellStyle name="Normal 2 2 2 3 25 5 6" xfId="18222" xr:uid="{00000000-0005-0000-0000-00002E470000}"/>
    <cellStyle name="Normal 2 2 2 3 25 5 7" xfId="18223" xr:uid="{00000000-0005-0000-0000-00002F470000}"/>
    <cellStyle name="Normal 2 2 2 3 25 5 8" xfId="18224" xr:uid="{00000000-0005-0000-0000-000030470000}"/>
    <cellStyle name="Normal 2 2 2 3 25 5 9" xfId="18225" xr:uid="{00000000-0005-0000-0000-000031470000}"/>
    <cellStyle name="Normal 2 2 2 3 25 6" xfId="18226" xr:uid="{00000000-0005-0000-0000-000032470000}"/>
    <cellStyle name="Normal 2 2 2 3 25 7" xfId="18227" xr:uid="{00000000-0005-0000-0000-000033470000}"/>
    <cellStyle name="Normal 2 2 2 3 25 8" xfId="18228" xr:uid="{00000000-0005-0000-0000-000034470000}"/>
    <cellStyle name="Normal 2 2 2 3 25 9" xfId="18229" xr:uid="{00000000-0005-0000-0000-000035470000}"/>
    <cellStyle name="Normal 2 2 2 3 26" xfId="18230" xr:uid="{00000000-0005-0000-0000-000036470000}"/>
    <cellStyle name="Normal 2 2 2 3 26 10" xfId="18231" xr:uid="{00000000-0005-0000-0000-000037470000}"/>
    <cellStyle name="Normal 2 2 2 3 26 11" xfId="18232" xr:uid="{00000000-0005-0000-0000-000038470000}"/>
    <cellStyle name="Normal 2 2 2 3 26 12" xfId="18233" xr:uid="{00000000-0005-0000-0000-000039470000}"/>
    <cellStyle name="Normal 2 2 2 3 26 13" xfId="18234" xr:uid="{00000000-0005-0000-0000-00003A470000}"/>
    <cellStyle name="Normal 2 2 2 3 26 14" xfId="18235" xr:uid="{00000000-0005-0000-0000-00003B470000}"/>
    <cellStyle name="Normal 2 2 2 3 26 2" xfId="18236" xr:uid="{00000000-0005-0000-0000-00003C470000}"/>
    <cellStyle name="Normal 2 2 2 3 26 2 10" xfId="18237" xr:uid="{00000000-0005-0000-0000-00003D470000}"/>
    <cellStyle name="Normal 2 2 2 3 26 2 2" xfId="18238" xr:uid="{00000000-0005-0000-0000-00003E470000}"/>
    <cellStyle name="Normal 2 2 2 3 26 2 3" xfId="18239" xr:uid="{00000000-0005-0000-0000-00003F470000}"/>
    <cellStyle name="Normal 2 2 2 3 26 2 4" xfId="18240" xr:uid="{00000000-0005-0000-0000-000040470000}"/>
    <cellStyle name="Normal 2 2 2 3 26 2 5" xfId="18241" xr:uid="{00000000-0005-0000-0000-000041470000}"/>
    <cellStyle name="Normal 2 2 2 3 26 2 6" xfId="18242" xr:uid="{00000000-0005-0000-0000-000042470000}"/>
    <cellStyle name="Normal 2 2 2 3 26 2 7" xfId="18243" xr:uid="{00000000-0005-0000-0000-000043470000}"/>
    <cellStyle name="Normal 2 2 2 3 26 2 8" xfId="18244" xr:uid="{00000000-0005-0000-0000-000044470000}"/>
    <cellStyle name="Normal 2 2 2 3 26 2 9" xfId="18245" xr:uid="{00000000-0005-0000-0000-000045470000}"/>
    <cellStyle name="Normal 2 2 2 3 26 3" xfId="18246" xr:uid="{00000000-0005-0000-0000-000046470000}"/>
    <cellStyle name="Normal 2 2 2 3 26 3 10" xfId="18247" xr:uid="{00000000-0005-0000-0000-000047470000}"/>
    <cellStyle name="Normal 2 2 2 3 26 3 2" xfId="18248" xr:uid="{00000000-0005-0000-0000-000048470000}"/>
    <cellStyle name="Normal 2 2 2 3 26 3 3" xfId="18249" xr:uid="{00000000-0005-0000-0000-000049470000}"/>
    <cellStyle name="Normal 2 2 2 3 26 3 4" xfId="18250" xr:uid="{00000000-0005-0000-0000-00004A470000}"/>
    <cellStyle name="Normal 2 2 2 3 26 3 5" xfId="18251" xr:uid="{00000000-0005-0000-0000-00004B470000}"/>
    <cellStyle name="Normal 2 2 2 3 26 3 6" xfId="18252" xr:uid="{00000000-0005-0000-0000-00004C470000}"/>
    <cellStyle name="Normal 2 2 2 3 26 3 7" xfId="18253" xr:uid="{00000000-0005-0000-0000-00004D470000}"/>
    <cellStyle name="Normal 2 2 2 3 26 3 8" xfId="18254" xr:uid="{00000000-0005-0000-0000-00004E470000}"/>
    <cellStyle name="Normal 2 2 2 3 26 3 9" xfId="18255" xr:uid="{00000000-0005-0000-0000-00004F470000}"/>
    <cellStyle name="Normal 2 2 2 3 26 4" xfId="18256" xr:uid="{00000000-0005-0000-0000-000050470000}"/>
    <cellStyle name="Normal 2 2 2 3 26 4 10" xfId="18257" xr:uid="{00000000-0005-0000-0000-000051470000}"/>
    <cellStyle name="Normal 2 2 2 3 26 4 2" xfId="18258" xr:uid="{00000000-0005-0000-0000-000052470000}"/>
    <cellStyle name="Normal 2 2 2 3 26 4 3" xfId="18259" xr:uid="{00000000-0005-0000-0000-000053470000}"/>
    <cellStyle name="Normal 2 2 2 3 26 4 4" xfId="18260" xr:uid="{00000000-0005-0000-0000-000054470000}"/>
    <cellStyle name="Normal 2 2 2 3 26 4 5" xfId="18261" xr:uid="{00000000-0005-0000-0000-000055470000}"/>
    <cellStyle name="Normal 2 2 2 3 26 4 6" xfId="18262" xr:uid="{00000000-0005-0000-0000-000056470000}"/>
    <cellStyle name="Normal 2 2 2 3 26 4 7" xfId="18263" xr:uid="{00000000-0005-0000-0000-000057470000}"/>
    <cellStyle name="Normal 2 2 2 3 26 4 8" xfId="18264" xr:uid="{00000000-0005-0000-0000-000058470000}"/>
    <cellStyle name="Normal 2 2 2 3 26 4 9" xfId="18265" xr:uid="{00000000-0005-0000-0000-000059470000}"/>
    <cellStyle name="Normal 2 2 2 3 26 5" xfId="18266" xr:uid="{00000000-0005-0000-0000-00005A470000}"/>
    <cellStyle name="Normal 2 2 2 3 26 5 10" xfId="18267" xr:uid="{00000000-0005-0000-0000-00005B470000}"/>
    <cellStyle name="Normal 2 2 2 3 26 5 2" xfId="18268" xr:uid="{00000000-0005-0000-0000-00005C470000}"/>
    <cellStyle name="Normal 2 2 2 3 26 5 3" xfId="18269" xr:uid="{00000000-0005-0000-0000-00005D470000}"/>
    <cellStyle name="Normal 2 2 2 3 26 5 4" xfId="18270" xr:uid="{00000000-0005-0000-0000-00005E470000}"/>
    <cellStyle name="Normal 2 2 2 3 26 5 5" xfId="18271" xr:uid="{00000000-0005-0000-0000-00005F470000}"/>
    <cellStyle name="Normal 2 2 2 3 26 5 6" xfId="18272" xr:uid="{00000000-0005-0000-0000-000060470000}"/>
    <cellStyle name="Normal 2 2 2 3 26 5 7" xfId="18273" xr:uid="{00000000-0005-0000-0000-000061470000}"/>
    <cellStyle name="Normal 2 2 2 3 26 5 8" xfId="18274" xr:uid="{00000000-0005-0000-0000-000062470000}"/>
    <cellStyle name="Normal 2 2 2 3 26 5 9" xfId="18275" xr:uid="{00000000-0005-0000-0000-000063470000}"/>
    <cellStyle name="Normal 2 2 2 3 26 6" xfId="18276" xr:uid="{00000000-0005-0000-0000-000064470000}"/>
    <cellStyle name="Normal 2 2 2 3 26 7" xfId="18277" xr:uid="{00000000-0005-0000-0000-000065470000}"/>
    <cellStyle name="Normal 2 2 2 3 26 8" xfId="18278" xr:uid="{00000000-0005-0000-0000-000066470000}"/>
    <cellStyle name="Normal 2 2 2 3 26 9" xfId="18279" xr:uid="{00000000-0005-0000-0000-000067470000}"/>
    <cellStyle name="Normal 2 2 2 3 27" xfId="18280" xr:uid="{00000000-0005-0000-0000-000068470000}"/>
    <cellStyle name="Normal 2 2 2 3 27 10" xfId="18281" xr:uid="{00000000-0005-0000-0000-000069470000}"/>
    <cellStyle name="Normal 2 2 2 3 27 11" xfId="18282" xr:uid="{00000000-0005-0000-0000-00006A470000}"/>
    <cellStyle name="Normal 2 2 2 3 27 12" xfId="18283" xr:uid="{00000000-0005-0000-0000-00006B470000}"/>
    <cellStyle name="Normal 2 2 2 3 27 13" xfId="18284" xr:uid="{00000000-0005-0000-0000-00006C470000}"/>
    <cellStyle name="Normal 2 2 2 3 27 14" xfId="18285" xr:uid="{00000000-0005-0000-0000-00006D470000}"/>
    <cellStyle name="Normal 2 2 2 3 27 2" xfId="18286" xr:uid="{00000000-0005-0000-0000-00006E470000}"/>
    <cellStyle name="Normal 2 2 2 3 27 2 10" xfId="18287" xr:uid="{00000000-0005-0000-0000-00006F470000}"/>
    <cellStyle name="Normal 2 2 2 3 27 2 2" xfId="18288" xr:uid="{00000000-0005-0000-0000-000070470000}"/>
    <cellStyle name="Normal 2 2 2 3 27 2 3" xfId="18289" xr:uid="{00000000-0005-0000-0000-000071470000}"/>
    <cellStyle name="Normal 2 2 2 3 27 2 4" xfId="18290" xr:uid="{00000000-0005-0000-0000-000072470000}"/>
    <cellStyle name="Normal 2 2 2 3 27 2 5" xfId="18291" xr:uid="{00000000-0005-0000-0000-000073470000}"/>
    <cellStyle name="Normal 2 2 2 3 27 2 6" xfId="18292" xr:uid="{00000000-0005-0000-0000-000074470000}"/>
    <cellStyle name="Normal 2 2 2 3 27 2 7" xfId="18293" xr:uid="{00000000-0005-0000-0000-000075470000}"/>
    <cellStyle name="Normal 2 2 2 3 27 2 8" xfId="18294" xr:uid="{00000000-0005-0000-0000-000076470000}"/>
    <cellStyle name="Normal 2 2 2 3 27 2 9" xfId="18295" xr:uid="{00000000-0005-0000-0000-000077470000}"/>
    <cellStyle name="Normal 2 2 2 3 27 3" xfId="18296" xr:uid="{00000000-0005-0000-0000-000078470000}"/>
    <cellStyle name="Normal 2 2 2 3 27 3 10" xfId="18297" xr:uid="{00000000-0005-0000-0000-000079470000}"/>
    <cellStyle name="Normal 2 2 2 3 27 3 2" xfId="18298" xr:uid="{00000000-0005-0000-0000-00007A470000}"/>
    <cellStyle name="Normal 2 2 2 3 27 3 3" xfId="18299" xr:uid="{00000000-0005-0000-0000-00007B470000}"/>
    <cellStyle name="Normal 2 2 2 3 27 3 4" xfId="18300" xr:uid="{00000000-0005-0000-0000-00007C470000}"/>
    <cellStyle name="Normal 2 2 2 3 27 3 5" xfId="18301" xr:uid="{00000000-0005-0000-0000-00007D470000}"/>
    <cellStyle name="Normal 2 2 2 3 27 3 6" xfId="18302" xr:uid="{00000000-0005-0000-0000-00007E470000}"/>
    <cellStyle name="Normal 2 2 2 3 27 3 7" xfId="18303" xr:uid="{00000000-0005-0000-0000-00007F470000}"/>
    <cellStyle name="Normal 2 2 2 3 27 3 8" xfId="18304" xr:uid="{00000000-0005-0000-0000-000080470000}"/>
    <cellStyle name="Normal 2 2 2 3 27 3 9" xfId="18305" xr:uid="{00000000-0005-0000-0000-000081470000}"/>
    <cellStyle name="Normal 2 2 2 3 27 4" xfId="18306" xr:uid="{00000000-0005-0000-0000-000082470000}"/>
    <cellStyle name="Normal 2 2 2 3 27 4 10" xfId="18307" xr:uid="{00000000-0005-0000-0000-000083470000}"/>
    <cellStyle name="Normal 2 2 2 3 27 4 2" xfId="18308" xr:uid="{00000000-0005-0000-0000-000084470000}"/>
    <cellStyle name="Normal 2 2 2 3 27 4 3" xfId="18309" xr:uid="{00000000-0005-0000-0000-000085470000}"/>
    <cellStyle name="Normal 2 2 2 3 27 4 4" xfId="18310" xr:uid="{00000000-0005-0000-0000-000086470000}"/>
    <cellStyle name="Normal 2 2 2 3 27 4 5" xfId="18311" xr:uid="{00000000-0005-0000-0000-000087470000}"/>
    <cellStyle name="Normal 2 2 2 3 27 4 6" xfId="18312" xr:uid="{00000000-0005-0000-0000-000088470000}"/>
    <cellStyle name="Normal 2 2 2 3 27 4 7" xfId="18313" xr:uid="{00000000-0005-0000-0000-000089470000}"/>
    <cellStyle name="Normal 2 2 2 3 27 4 8" xfId="18314" xr:uid="{00000000-0005-0000-0000-00008A470000}"/>
    <cellStyle name="Normal 2 2 2 3 27 4 9" xfId="18315" xr:uid="{00000000-0005-0000-0000-00008B470000}"/>
    <cellStyle name="Normal 2 2 2 3 27 5" xfId="18316" xr:uid="{00000000-0005-0000-0000-00008C470000}"/>
    <cellStyle name="Normal 2 2 2 3 27 5 10" xfId="18317" xr:uid="{00000000-0005-0000-0000-00008D470000}"/>
    <cellStyle name="Normal 2 2 2 3 27 5 2" xfId="18318" xr:uid="{00000000-0005-0000-0000-00008E470000}"/>
    <cellStyle name="Normal 2 2 2 3 27 5 3" xfId="18319" xr:uid="{00000000-0005-0000-0000-00008F470000}"/>
    <cellStyle name="Normal 2 2 2 3 27 5 4" xfId="18320" xr:uid="{00000000-0005-0000-0000-000090470000}"/>
    <cellStyle name="Normal 2 2 2 3 27 5 5" xfId="18321" xr:uid="{00000000-0005-0000-0000-000091470000}"/>
    <cellStyle name="Normal 2 2 2 3 27 5 6" xfId="18322" xr:uid="{00000000-0005-0000-0000-000092470000}"/>
    <cellStyle name="Normal 2 2 2 3 27 5 7" xfId="18323" xr:uid="{00000000-0005-0000-0000-000093470000}"/>
    <cellStyle name="Normal 2 2 2 3 27 5 8" xfId="18324" xr:uid="{00000000-0005-0000-0000-000094470000}"/>
    <cellStyle name="Normal 2 2 2 3 27 5 9" xfId="18325" xr:uid="{00000000-0005-0000-0000-000095470000}"/>
    <cellStyle name="Normal 2 2 2 3 27 6" xfId="18326" xr:uid="{00000000-0005-0000-0000-000096470000}"/>
    <cellStyle name="Normal 2 2 2 3 27 7" xfId="18327" xr:uid="{00000000-0005-0000-0000-000097470000}"/>
    <cellStyle name="Normal 2 2 2 3 27 8" xfId="18328" xr:uid="{00000000-0005-0000-0000-000098470000}"/>
    <cellStyle name="Normal 2 2 2 3 27 9" xfId="18329" xr:uid="{00000000-0005-0000-0000-000099470000}"/>
    <cellStyle name="Normal 2 2 2 3 28" xfId="18330" xr:uid="{00000000-0005-0000-0000-00009A470000}"/>
    <cellStyle name="Normal 2 2 2 3 28 10" xfId="18331" xr:uid="{00000000-0005-0000-0000-00009B470000}"/>
    <cellStyle name="Normal 2 2 2 3 28 11" xfId="18332" xr:uid="{00000000-0005-0000-0000-00009C470000}"/>
    <cellStyle name="Normal 2 2 2 3 28 12" xfId="18333" xr:uid="{00000000-0005-0000-0000-00009D470000}"/>
    <cellStyle name="Normal 2 2 2 3 28 13" xfId="18334" xr:uid="{00000000-0005-0000-0000-00009E470000}"/>
    <cellStyle name="Normal 2 2 2 3 28 14" xfId="18335" xr:uid="{00000000-0005-0000-0000-00009F470000}"/>
    <cellStyle name="Normal 2 2 2 3 28 2" xfId="18336" xr:uid="{00000000-0005-0000-0000-0000A0470000}"/>
    <cellStyle name="Normal 2 2 2 3 28 2 10" xfId="18337" xr:uid="{00000000-0005-0000-0000-0000A1470000}"/>
    <cellStyle name="Normal 2 2 2 3 28 2 2" xfId="18338" xr:uid="{00000000-0005-0000-0000-0000A2470000}"/>
    <cellStyle name="Normal 2 2 2 3 28 2 3" xfId="18339" xr:uid="{00000000-0005-0000-0000-0000A3470000}"/>
    <cellStyle name="Normal 2 2 2 3 28 2 4" xfId="18340" xr:uid="{00000000-0005-0000-0000-0000A4470000}"/>
    <cellStyle name="Normal 2 2 2 3 28 2 5" xfId="18341" xr:uid="{00000000-0005-0000-0000-0000A5470000}"/>
    <cellStyle name="Normal 2 2 2 3 28 2 6" xfId="18342" xr:uid="{00000000-0005-0000-0000-0000A6470000}"/>
    <cellStyle name="Normal 2 2 2 3 28 2 7" xfId="18343" xr:uid="{00000000-0005-0000-0000-0000A7470000}"/>
    <cellStyle name="Normal 2 2 2 3 28 2 8" xfId="18344" xr:uid="{00000000-0005-0000-0000-0000A8470000}"/>
    <cellStyle name="Normal 2 2 2 3 28 2 9" xfId="18345" xr:uid="{00000000-0005-0000-0000-0000A9470000}"/>
    <cellStyle name="Normal 2 2 2 3 28 3" xfId="18346" xr:uid="{00000000-0005-0000-0000-0000AA470000}"/>
    <cellStyle name="Normal 2 2 2 3 28 3 10" xfId="18347" xr:uid="{00000000-0005-0000-0000-0000AB470000}"/>
    <cellStyle name="Normal 2 2 2 3 28 3 2" xfId="18348" xr:uid="{00000000-0005-0000-0000-0000AC470000}"/>
    <cellStyle name="Normal 2 2 2 3 28 3 3" xfId="18349" xr:uid="{00000000-0005-0000-0000-0000AD470000}"/>
    <cellStyle name="Normal 2 2 2 3 28 3 4" xfId="18350" xr:uid="{00000000-0005-0000-0000-0000AE470000}"/>
    <cellStyle name="Normal 2 2 2 3 28 3 5" xfId="18351" xr:uid="{00000000-0005-0000-0000-0000AF470000}"/>
    <cellStyle name="Normal 2 2 2 3 28 3 6" xfId="18352" xr:uid="{00000000-0005-0000-0000-0000B0470000}"/>
    <cellStyle name="Normal 2 2 2 3 28 3 7" xfId="18353" xr:uid="{00000000-0005-0000-0000-0000B1470000}"/>
    <cellStyle name="Normal 2 2 2 3 28 3 8" xfId="18354" xr:uid="{00000000-0005-0000-0000-0000B2470000}"/>
    <cellStyle name="Normal 2 2 2 3 28 3 9" xfId="18355" xr:uid="{00000000-0005-0000-0000-0000B3470000}"/>
    <cellStyle name="Normal 2 2 2 3 28 4" xfId="18356" xr:uid="{00000000-0005-0000-0000-0000B4470000}"/>
    <cellStyle name="Normal 2 2 2 3 28 4 10" xfId="18357" xr:uid="{00000000-0005-0000-0000-0000B5470000}"/>
    <cellStyle name="Normal 2 2 2 3 28 4 2" xfId="18358" xr:uid="{00000000-0005-0000-0000-0000B6470000}"/>
    <cellStyle name="Normal 2 2 2 3 28 4 3" xfId="18359" xr:uid="{00000000-0005-0000-0000-0000B7470000}"/>
    <cellStyle name="Normal 2 2 2 3 28 4 4" xfId="18360" xr:uid="{00000000-0005-0000-0000-0000B8470000}"/>
    <cellStyle name="Normal 2 2 2 3 28 4 5" xfId="18361" xr:uid="{00000000-0005-0000-0000-0000B9470000}"/>
    <cellStyle name="Normal 2 2 2 3 28 4 6" xfId="18362" xr:uid="{00000000-0005-0000-0000-0000BA470000}"/>
    <cellStyle name="Normal 2 2 2 3 28 4 7" xfId="18363" xr:uid="{00000000-0005-0000-0000-0000BB470000}"/>
    <cellStyle name="Normal 2 2 2 3 28 4 8" xfId="18364" xr:uid="{00000000-0005-0000-0000-0000BC470000}"/>
    <cellStyle name="Normal 2 2 2 3 28 4 9" xfId="18365" xr:uid="{00000000-0005-0000-0000-0000BD470000}"/>
    <cellStyle name="Normal 2 2 2 3 28 5" xfId="18366" xr:uid="{00000000-0005-0000-0000-0000BE470000}"/>
    <cellStyle name="Normal 2 2 2 3 28 5 10" xfId="18367" xr:uid="{00000000-0005-0000-0000-0000BF470000}"/>
    <cellStyle name="Normal 2 2 2 3 28 5 2" xfId="18368" xr:uid="{00000000-0005-0000-0000-0000C0470000}"/>
    <cellStyle name="Normal 2 2 2 3 28 5 3" xfId="18369" xr:uid="{00000000-0005-0000-0000-0000C1470000}"/>
    <cellStyle name="Normal 2 2 2 3 28 5 4" xfId="18370" xr:uid="{00000000-0005-0000-0000-0000C2470000}"/>
    <cellStyle name="Normal 2 2 2 3 28 5 5" xfId="18371" xr:uid="{00000000-0005-0000-0000-0000C3470000}"/>
    <cellStyle name="Normal 2 2 2 3 28 5 6" xfId="18372" xr:uid="{00000000-0005-0000-0000-0000C4470000}"/>
    <cellStyle name="Normal 2 2 2 3 28 5 7" xfId="18373" xr:uid="{00000000-0005-0000-0000-0000C5470000}"/>
    <cellStyle name="Normal 2 2 2 3 28 5 8" xfId="18374" xr:uid="{00000000-0005-0000-0000-0000C6470000}"/>
    <cellStyle name="Normal 2 2 2 3 28 5 9" xfId="18375" xr:uid="{00000000-0005-0000-0000-0000C7470000}"/>
    <cellStyle name="Normal 2 2 2 3 28 6" xfId="18376" xr:uid="{00000000-0005-0000-0000-0000C8470000}"/>
    <cellStyle name="Normal 2 2 2 3 28 7" xfId="18377" xr:uid="{00000000-0005-0000-0000-0000C9470000}"/>
    <cellStyle name="Normal 2 2 2 3 28 8" xfId="18378" xr:uid="{00000000-0005-0000-0000-0000CA470000}"/>
    <cellStyle name="Normal 2 2 2 3 28 9" xfId="18379" xr:uid="{00000000-0005-0000-0000-0000CB470000}"/>
    <cellStyle name="Normal 2 2 2 3 29" xfId="18380" xr:uid="{00000000-0005-0000-0000-0000CC470000}"/>
    <cellStyle name="Normal 2 2 2 3 29 10" xfId="18381" xr:uid="{00000000-0005-0000-0000-0000CD470000}"/>
    <cellStyle name="Normal 2 2 2 3 29 11" xfId="18382" xr:uid="{00000000-0005-0000-0000-0000CE470000}"/>
    <cellStyle name="Normal 2 2 2 3 29 12" xfId="18383" xr:uid="{00000000-0005-0000-0000-0000CF470000}"/>
    <cellStyle name="Normal 2 2 2 3 29 13" xfId="18384" xr:uid="{00000000-0005-0000-0000-0000D0470000}"/>
    <cellStyle name="Normal 2 2 2 3 29 14" xfId="18385" xr:uid="{00000000-0005-0000-0000-0000D1470000}"/>
    <cellStyle name="Normal 2 2 2 3 29 2" xfId="18386" xr:uid="{00000000-0005-0000-0000-0000D2470000}"/>
    <cellStyle name="Normal 2 2 2 3 29 2 10" xfId="18387" xr:uid="{00000000-0005-0000-0000-0000D3470000}"/>
    <cellStyle name="Normal 2 2 2 3 29 2 2" xfId="18388" xr:uid="{00000000-0005-0000-0000-0000D4470000}"/>
    <cellStyle name="Normal 2 2 2 3 29 2 3" xfId="18389" xr:uid="{00000000-0005-0000-0000-0000D5470000}"/>
    <cellStyle name="Normal 2 2 2 3 29 2 4" xfId="18390" xr:uid="{00000000-0005-0000-0000-0000D6470000}"/>
    <cellStyle name="Normal 2 2 2 3 29 2 5" xfId="18391" xr:uid="{00000000-0005-0000-0000-0000D7470000}"/>
    <cellStyle name="Normal 2 2 2 3 29 2 6" xfId="18392" xr:uid="{00000000-0005-0000-0000-0000D8470000}"/>
    <cellStyle name="Normal 2 2 2 3 29 2 7" xfId="18393" xr:uid="{00000000-0005-0000-0000-0000D9470000}"/>
    <cellStyle name="Normal 2 2 2 3 29 2 8" xfId="18394" xr:uid="{00000000-0005-0000-0000-0000DA470000}"/>
    <cellStyle name="Normal 2 2 2 3 29 2 9" xfId="18395" xr:uid="{00000000-0005-0000-0000-0000DB470000}"/>
    <cellStyle name="Normal 2 2 2 3 29 3" xfId="18396" xr:uid="{00000000-0005-0000-0000-0000DC470000}"/>
    <cellStyle name="Normal 2 2 2 3 29 3 10" xfId="18397" xr:uid="{00000000-0005-0000-0000-0000DD470000}"/>
    <cellStyle name="Normal 2 2 2 3 29 3 2" xfId="18398" xr:uid="{00000000-0005-0000-0000-0000DE470000}"/>
    <cellStyle name="Normal 2 2 2 3 29 3 3" xfId="18399" xr:uid="{00000000-0005-0000-0000-0000DF470000}"/>
    <cellStyle name="Normal 2 2 2 3 29 3 4" xfId="18400" xr:uid="{00000000-0005-0000-0000-0000E0470000}"/>
    <cellStyle name="Normal 2 2 2 3 29 3 5" xfId="18401" xr:uid="{00000000-0005-0000-0000-0000E1470000}"/>
    <cellStyle name="Normal 2 2 2 3 29 3 6" xfId="18402" xr:uid="{00000000-0005-0000-0000-0000E2470000}"/>
    <cellStyle name="Normal 2 2 2 3 29 3 7" xfId="18403" xr:uid="{00000000-0005-0000-0000-0000E3470000}"/>
    <cellStyle name="Normal 2 2 2 3 29 3 8" xfId="18404" xr:uid="{00000000-0005-0000-0000-0000E4470000}"/>
    <cellStyle name="Normal 2 2 2 3 29 3 9" xfId="18405" xr:uid="{00000000-0005-0000-0000-0000E5470000}"/>
    <cellStyle name="Normal 2 2 2 3 29 4" xfId="18406" xr:uid="{00000000-0005-0000-0000-0000E6470000}"/>
    <cellStyle name="Normal 2 2 2 3 29 4 10" xfId="18407" xr:uid="{00000000-0005-0000-0000-0000E7470000}"/>
    <cellStyle name="Normal 2 2 2 3 29 4 2" xfId="18408" xr:uid="{00000000-0005-0000-0000-0000E8470000}"/>
    <cellStyle name="Normal 2 2 2 3 29 4 3" xfId="18409" xr:uid="{00000000-0005-0000-0000-0000E9470000}"/>
    <cellStyle name="Normal 2 2 2 3 29 4 4" xfId="18410" xr:uid="{00000000-0005-0000-0000-0000EA470000}"/>
    <cellStyle name="Normal 2 2 2 3 29 4 5" xfId="18411" xr:uid="{00000000-0005-0000-0000-0000EB470000}"/>
    <cellStyle name="Normal 2 2 2 3 29 4 6" xfId="18412" xr:uid="{00000000-0005-0000-0000-0000EC470000}"/>
    <cellStyle name="Normal 2 2 2 3 29 4 7" xfId="18413" xr:uid="{00000000-0005-0000-0000-0000ED470000}"/>
    <cellStyle name="Normal 2 2 2 3 29 4 8" xfId="18414" xr:uid="{00000000-0005-0000-0000-0000EE470000}"/>
    <cellStyle name="Normal 2 2 2 3 29 4 9" xfId="18415" xr:uid="{00000000-0005-0000-0000-0000EF470000}"/>
    <cellStyle name="Normal 2 2 2 3 29 5" xfId="18416" xr:uid="{00000000-0005-0000-0000-0000F0470000}"/>
    <cellStyle name="Normal 2 2 2 3 29 5 10" xfId="18417" xr:uid="{00000000-0005-0000-0000-0000F1470000}"/>
    <cellStyle name="Normal 2 2 2 3 29 5 2" xfId="18418" xr:uid="{00000000-0005-0000-0000-0000F2470000}"/>
    <cellStyle name="Normal 2 2 2 3 29 5 3" xfId="18419" xr:uid="{00000000-0005-0000-0000-0000F3470000}"/>
    <cellStyle name="Normal 2 2 2 3 29 5 4" xfId="18420" xr:uid="{00000000-0005-0000-0000-0000F4470000}"/>
    <cellStyle name="Normal 2 2 2 3 29 5 5" xfId="18421" xr:uid="{00000000-0005-0000-0000-0000F5470000}"/>
    <cellStyle name="Normal 2 2 2 3 29 5 6" xfId="18422" xr:uid="{00000000-0005-0000-0000-0000F6470000}"/>
    <cellStyle name="Normal 2 2 2 3 29 5 7" xfId="18423" xr:uid="{00000000-0005-0000-0000-0000F7470000}"/>
    <cellStyle name="Normal 2 2 2 3 29 5 8" xfId="18424" xr:uid="{00000000-0005-0000-0000-0000F8470000}"/>
    <cellStyle name="Normal 2 2 2 3 29 5 9" xfId="18425" xr:uid="{00000000-0005-0000-0000-0000F9470000}"/>
    <cellStyle name="Normal 2 2 2 3 29 6" xfId="18426" xr:uid="{00000000-0005-0000-0000-0000FA470000}"/>
    <cellStyle name="Normal 2 2 2 3 29 7" xfId="18427" xr:uid="{00000000-0005-0000-0000-0000FB470000}"/>
    <cellStyle name="Normal 2 2 2 3 29 8" xfId="18428" xr:uid="{00000000-0005-0000-0000-0000FC470000}"/>
    <cellStyle name="Normal 2 2 2 3 29 9" xfId="18429" xr:uid="{00000000-0005-0000-0000-0000FD470000}"/>
    <cellStyle name="Normal 2 2 2 3 3" xfId="18430" xr:uid="{00000000-0005-0000-0000-0000FE470000}"/>
    <cellStyle name="Normal 2 2 2 3 3 10" xfId="18431" xr:uid="{00000000-0005-0000-0000-0000FF470000}"/>
    <cellStyle name="Normal 2 2 2 3 3 11" xfId="18432" xr:uid="{00000000-0005-0000-0000-000000480000}"/>
    <cellStyle name="Normal 2 2 2 3 3 12" xfId="18433" xr:uid="{00000000-0005-0000-0000-000001480000}"/>
    <cellStyle name="Normal 2 2 2 3 3 13" xfId="18434" xr:uid="{00000000-0005-0000-0000-000002480000}"/>
    <cellStyle name="Normal 2 2 2 3 3 14" xfId="18435" xr:uid="{00000000-0005-0000-0000-000003480000}"/>
    <cellStyle name="Normal 2 2 2 3 3 15" xfId="18436" xr:uid="{00000000-0005-0000-0000-000004480000}"/>
    <cellStyle name="Normal 2 2 2 3 3 16" xfId="18437" xr:uid="{00000000-0005-0000-0000-000005480000}"/>
    <cellStyle name="Normal 2 2 2 3 3 2" xfId="18438" xr:uid="{00000000-0005-0000-0000-000006480000}"/>
    <cellStyle name="Normal 2 2 2 3 3 2 10" xfId="18439" xr:uid="{00000000-0005-0000-0000-000007480000}"/>
    <cellStyle name="Normal 2 2 2 3 3 2 11" xfId="18440" xr:uid="{00000000-0005-0000-0000-000008480000}"/>
    <cellStyle name="Normal 2 2 2 3 3 2 12" xfId="18441" xr:uid="{00000000-0005-0000-0000-000009480000}"/>
    <cellStyle name="Normal 2 2 2 3 3 2 2" xfId="18442" xr:uid="{00000000-0005-0000-0000-00000A480000}"/>
    <cellStyle name="Normal 2 2 2 3 3 2 3" xfId="18443" xr:uid="{00000000-0005-0000-0000-00000B480000}"/>
    <cellStyle name="Normal 2 2 2 3 3 2 4" xfId="18444" xr:uid="{00000000-0005-0000-0000-00000C480000}"/>
    <cellStyle name="Normal 2 2 2 3 3 2 5" xfId="18445" xr:uid="{00000000-0005-0000-0000-00000D480000}"/>
    <cellStyle name="Normal 2 2 2 3 3 2 6" xfId="18446" xr:uid="{00000000-0005-0000-0000-00000E480000}"/>
    <cellStyle name="Normal 2 2 2 3 3 2 7" xfId="18447" xr:uid="{00000000-0005-0000-0000-00000F480000}"/>
    <cellStyle name="Normal 2 2 2 3 3 2 8" xfId="18448" xr:uid="{00000000-0005-0000-0000-000010480000}"/>
    <cellStyle name="Normal 2 2 2 3 3 2 9" xfId="18449" xr:uid="{00000000-0005-0000-0000-000011480000}"/>
    <cellStyle name="Normal 2 2 2 3 3 3" xfId="18450" xr:uid="{00000000-0005-0000-0000-000012480000}"/>
    <cellStyle name="Normal 2 2 2 3 3 3 10" xfId="18451" xr:uid="{00000000-0005-0000-0000-000013480000}"/>
    <cellStyle name="Normal 2 2 2 3 3 3 2" xfId="18452" xr:uid="{00000000-0005-0000-0000-000014480000}"/>
    <cellStyle name="Normal 2 2 2 3 3 3 3" xfId="18453" xr:uid="{00000000-0005-0000-0000-000015480000}"/>
    <cellStyle name="Normal 2 2 2 3 3 3 4" xfId="18454" xr:uid="{00000000-0005-0000-0000-000016480000}"/>
    <cellStyle name="Normal 2 2 2 3 3 3 5" xfId="18455" xr:uid="{00000000-0005-0000-0000-000017480000}"/>
    <cellStyle name="Normal 2 2 2 3 3 3 6" xfId="18456" xr:uid="{00000000-0005-0000-0000-000018480000}"/>
    <cellStyle name="Normal 2 2 2 3 3 3 7" xfId="18457" xr:uid="{00000000-0005-0000-0000-000019480000}"/>
    <cellStyle name="Normal 2 2 2 3 3 3 8" xfId="18458" xr:uid="{00000000-0005-0000-0000-00001A480000}"/>
    <cellStyle name="Normal 2 2 2 3 3 3 9" xfId="18459" xr:uid="{00000000-0005-0000-0000-00001B480000}"/>
    <cellStyle name="Normal 2 2 2 3 3 4" xfId="18460" xr:uid="{00000000-0005-0000-0000-00001C480000}"/>
    <cellStyle name="Normal 2 2 2 3 3 4 10" xfId="18461" xr:uid="{00000000-0005-0000-0000-00001D480000}"/>
    <cellStyle name="Normal 2 2 2 3 3 4 2" xfId="18462" xr:uid="{00000000-0005-0000-0000-00001E480000}"/>
    <cellStyle name="Normal 2 2 2 3 3 4 3" xfId="18463" xr:uid="{00000000-0005-0000-0000-00001F480000}"/>
    <cellStyle name="Normal 2 2 2 3 3 4 4" xfId="18464" xr:uid="{00000000-0005-0000-0000-000020480000}"/>
    <cellStyle name="Normal 2 2 2 3 3 4 5" xfId="18465" xr:uid="{00000000-0005-0000-0000-000021480000}"/>
    <cellStyle name="Normal 2 2 2 3 3 4 6" xfId="18466" xr:uid="{00000000-0005-0000-0000-000022480000}"/>
    <cellStyle name="Normal 2 2 2 3 3 4 7" xfId="18467" xr:uid="{00000000-0005-0000-0000-000023480000}"/>
    <cellStyle name="Normal 2 2 2 3 3 4 8" xfId="18468" xr:uid="{00000000-0005-0000-0000-000024480000}"/>
    <cellStyle name="Normal 2 2 2 3 3 4 9" xfId="18469" xr:uid="{00000000-0005-0000-0000-000025480000}"/>
    <cellStyle name="Normal 2 2 2 3 3 5" xfId="18470" xr:uid="{00000000-0005-0000-0000-000026480000}"/>
    <cellStyle name="Normal 2 2 2 3 3 5 10" xfId="18471" xr:uid="{00000000-0005-0000-0000-000027480000}"/>
    <cellStyle name="Normal 2 2 2 3 3 5 2" xfId="18472" xr:uid="{00000000-0005-0000-0000-000028480000}"/>
    <cellStyle name="Normal 2 2 2 3 3 5 3" xfId="18473" xr:uid="{00000000-0005-0000-0000-000029480000}"/>
    <cellStyle name="Normal 2 2 2 3 3 5 4" xfId="18474" xr:uid="{00000000-0005-0000-0000-00002A480000}"/>
    <cellStyle name="Normal 2 2 2 3 3 5 5" xfId="18475" xr:uid="{00000000-0005-0000-0000-00002B480000}"/>
    <cellStyle name="Normal 2 2 2 3 3 5 6" xfId="18476" xr:uid="{00000000-0005-0000-0000-00002C480000}"/>
    <cellStyle name="Normal 2 2 2 3 3 5 7" xfId="18477" xr:uid="{00000000-0005-0000-0000-00002D480000}"/>
    <cellStyle name="Normal 2 2 2 3 3 5 8" xfId="18478" xr:uid="{00000000-0005-0000-0000-00002E480000}"/>
    <cellStyle name="Normal 2 2 2 3 3 5 9" xfId="18479" xr:uid="{00000000-0005-0000-0000-00002F480000}"/>
    <cellStyle name="Normal 2 2 2 3 3 6" xfId="18480" xr:uid="{00000000-0005-0000-0000-000030480000}"/>
    <cellStyle name="Normal 2 2 2 3 3 7" xfId="18481" xr:uid="{00000000-0005-0000-0000-000031480000}"/>
    <cellStyle name="Normal 2 2 2 3 3 8" xfId="18482" xr:uid="{00000000-0005-0000-0000-000032480000}"/>
    <cellStyle name="Normal 2 2 2 3 3 9" xfId="18483" xr:uid="{00000000-0005-0000-0000-000033480000}"/>
    <cellStyle name="Normal 2 2 2 3 30" xfId="18484" xr:uid="{00000000-0005-0000-0000-000034480000}"/>
    <cellStyle name="Normal 2 2 2 3 30 10" xfId="18485" xr:uid="{00000000-0005-0000-0000-000035480000}"/>
    <cellStyle name="Normal 2 2 2 3 30 11" xfId="18486" xr:uid="{00000000-0005-0000-0000-000036480000}"/>
    <cellStyle name="Normal 2 2 2 3 30 12" xfId="18487" xr:uid="{00000000-0005-0000-0000-000037480000}"/>
    <cellStyle name="Normal 2 2 2 3 30 13" xfId="18488" xr:uid="{00000000-0005-0000-0000-000038480000}"/>
    <cellStyle name="Normal 2 2 2 3 30 14" xfId="18489" xr:uid="{00000000-0005-0000-0000-000039480000}"/>
    <cellStyle name="Normal 2 2 2 3 30 2" xfId="18490" xr:uid="{00000000-0005-0000-0000-00003A480000}"/>
    <cellStyle name="Normal 2 2 2 3 30 2 10" xfId="18491" xr:uid="{00000000-0005-0000-0000-00003B480000}"/>
    <cellStyle name="Normal 2 2 2 3 30 2 2" xfId="18492" xr:uid="{00000000-0005-0000-0000-00003C480000}"/>
    <cellStyle name="Normal 2 2 2 3 30 2 3" xfId="18493" xr:uid="{00000000-0005-0000-0000-00003D480000}"/>
    <cellStyle name="Normal 2 2 2 3 30 2 4" xfId="18494" xr:uid="{00000000-0005-0000-0000-00003E480000}"/>
    <cellStyle name="Normal 2 2 2 3 30 2 5" xfId="18495" xr:uid="{00000000-0005-0000-0000-00003F480000}"/>
    <cellStyle name="Normal 2 2 2 3 30 2 6" xfId="18496" xr:uid="{00000000-0005-0000-0000-000040480000}"/>
    <cellStyle name="Normal 2 2 2 3 30 2 7" xfId="18497" xr:uid="{00000000-0005-0000-0000-000041480000}"/>
    <cellStyle name="Normal 2 2 2 3 30 2 8" xfId="18498" xr:uid="{00000000-0005-0000-0000-000042480000}"/>
    <cellStyle name="Normal 2 2 2 3 30 2 9" xfId="18499" xr:uid="{00000000-0005-0000-0000-000043480000}"/>
    <cellStyle name="Normal 2 2 2 3 30 3" xfId="18500" xr:uid="{00000000-0005-0000-0000-000044480000}"/>
    <cellStyle name="Normal 2 2 2 3 30 3 10" xfId="18501" xr:uid="{00000000-0005-0000-0000-000045480000}"/>
    <cellStyle name="Normal 2 2 2 3 30 3 2" xfId="18502" xr:uid="{00000000-0005-0000-0000-000046480000}"/>
    <cellStyle name="Normal 2 2 2 3 30 3 3" xfId="18503" xr:uid="{00000000-0005-0000-0000-000047480000}"/>
    <cellStyle name="Normal 2 2 2 3 30 3 4" xfId="18504" xr:uid="{00000000-0005-0000-0000-000048480000}"/>
    <cellStyle name="Normal 2 2 2 3 30 3 5" xfId="18505" xr:uid="{00000000-0005-0000-0000-000049480000}"/>
    <cellStyle name="Normal 2 2 2 3 30 3 6" xfId="18506" xr:uid="{00000000-0005-0000-0000-00004A480000}"/>
    <cellStyle name="Normal 2 2 2 3 30 3 7" xfId="18507" xr:uid="{00000000-0005-0000-0000-00004B480000}"/>
    <cellStyle name="Normal 2 2 2 3 30 3 8" xfId="18508" xr:uid="{00000000-0005-0000-0000-00004C480000}"/>
    <cellStyle name="Normal 2 2 2 3 30 3 9" xfId="18509" xr:uid="{00000000-0005-0000-0000-00004D480000}"/>
    <cellStyle name="Normal 2 2 2 3 30 4" xfId="18510" xr:uid="{00000000-0005-0000-0000-00004E480000}"/>
    <cellStyle name="Normal 2 2 2 3 30 4 10" xfId="18511" xr:uid="{00000000-0005-0000-0000-00004F480000}"/>
    <cellStyle name="Normal 2 2 2 3 30 4 2" xfId="18512" xr:uid="{00000000-0005-0000-0000-000050480000}"/>
    <cellStyle name="Normal 2 2 2 3 30 4 3" xfId="18513" xr:uid="{00000000-0005-0000-0000-000051480000}"/>
    <cellStyle name="Normal 2 2 2 3 30 4 4" xfId="18514" xr:uid="{00000000-0005-0000-0000-000052480000}"/>
    <cellStyle name="Normal 2 2 2 3 30 4 5" xfId="18515" xr:uid="{00000000-0005-0000-0000-000053480000}"/>
    <cellStyle name="Normal 2 2 2 3 30 4 6" xfId="18516" xr:uid="{00000000-0005-0000-0000-000054480000}"/>
    <cellStyle name="Normal 2 2 2 3 30 4 7" xfId="18517" xr:uid="{00000000-0005-0000-0000-000055480000}"/>
    <cellStyle name="Normal 2 2 2 3 30 4 8" xfId="18518" xr:uid="{00000000-0005-0000-0000-000056480000}"/>
    <cellStyle name="Normal 2 2 2 3 30 4 9" xfId="18519" xr:uid="{00000000-0005-0000-0000-000057480000}"/>
    <cellStyle name="Normal 2 2 2 3 30 5" xfId="18520" xr:uid="{00000000-0005-0000-0000-000058480000}"/>
    <cellStyle name="Normal 2 2 2 3 30 5 10" xfId="18521" xr:uid="{00000000-0005-0000-0000-000059480000}"/>
    <cellStyle name="Normal 2 2 2 3 30 5 2" xfId="18522" xr:uid="{00000000-0005-0000-0000-00005A480000}"/>
    <cellStyle name="Normal 2 2 2 3 30 5 3" xfId="18523" xr:uid="{00000000-0005-0000-0000-00005B480000}"/>
    <cellStyle name="Normal 2 2 2 3 30 5 4" xfId="18524" xr:uid="{00000000-0005-0000-0000-00005C480000}"/>
    <cellStyle name="Normal 2 2 2 3 30 5 5" xfId="18525" xr:uid="{00000000-0005-0000-0000-00005D480000}"/>
    <cellStyle name="Normal 2 2 2 3 30 5 6" xfId="18526" xr:uid="{00000000-0005-0000-0000-00005E480000}"/>
    <cellStyle name="Normal 2 2 2 3 30 5 7" xfId="18527" xr:uid="{00000000-0005-0000-0000-00005F480000}"/>
    <cellStyle name="Normal 2 2 2 3 30 5 8" xfId="18528" xr:uid="{00000000-0005-0000-0000-000060480000}"/>
    <cellStyle name="Normal 2 2 2 3 30 5 9" xfId="18529" xr:uid="{00000000-0005-0000-0000-000061480000}"/>
    <cellStyle name="Normal 2 2 2 3 30 6" xfId="18530" xr:uid="{00000000-0005-0000-0000-000062480000}"/>
    <cellStyle name="Normal 2 2 2 3 30 7" xfId="18531" xr:uid="{00000000-0005-0000-0000-000063480000}"/>
    <cellStyle name="Normal 2 2 2 3 30 8" xfId="18532" xr:uid="{00000000-0005-0000-0000-000064480000}"/>
    <cellStyle name="Normal 2 2 2 3 30 9" xfId="18533" xr:uid="{00000000-0005-0000-0000-000065480000}"/>
    <cellStyle name="Normal 2 2 2 3 31" xfId="18534" xr:uid="{00000000-0005-0000-0000-000066480000}"/>
    <cellStyle name="Normal 2 2 2 3 31 10" xfId="18535" xr:uid="{00000000-0005-0000-0000-000067480000}"/>
    <cellStyle name="Normal 2 2 2 3 31 11" xfId="18536" xr:uid="{00000000-0005-0000-0000-000068480000}"/>
    <cellStyle name="Normal 2 2 2 3 31 12" xfId="18537" xr:uid="{00000000-0005-0000-0000-000069480000}"/>
    <cellStyle name="Normal 2 2 2 3 31 13" xfId="18538" xr:uid="{00000000-0005-0000-0000-00006A480000}"/>
    <cellStyle name="Normal 2 2 2 3 31 14" xfId="18539" xr:uid="{00000000-0005-0000-0000-00006B480000}"/>
    <cellStyle name="Normal 2 2 2 3 31 2" xfId="18540" xr:uid="{00000000-0005-0000-0000-00006C480000}"/>
    <cellStyle name="Normal 2 2 2 3 31 2 10" xfId="18541" xr:uid="{00000000-0005-0000-0000-00006D480000}"/>
    <cellStyle name="Normal 2 2 2 3 31 2 2" xfId="18542" xr:uid="{00000000-0005-0000-0000-00006E480000}"/>
    <cellStyle name="Normal 2 2 2 3 31 2 3" xfId="18543" xr:uid="{00000000-0005-0000-0000-00006F480000}"/>
    <cellStyle name="Normal 2 2 2 3 31 2 4" xfId="18544" xr:uid="{00000000-0005-0000-0000-000070480000}"/>
    <cellStyle name="Normal 2 2 2 3 31 2 5" xfId="18545" xr:uid="{00000000-0005-0000-0000-000071480000}"/>
    <cellStyle name="Normal 2 2 2 3 31 2 6" xfId="18546" xr:uid="{00000000-0005-0000-0000-000072480000}"/>
    <cellStyle name="Normal 2 2 2 3 31 2 7" xfId="18547" xr:uid="{00000000-0005-0000-0000-000073480000}"/>
    <cellStyle name="Normal 2 2 2 3 31 2 8" xfId="18548" xr:uid="{00000000-0005-0000-0000-000074480000}"/>
    <cellStyle name="Normal 2 2 2 3 31 2 9" xfId="18549" xr:uid="{00000000-0005-0000-0000-000075480000}"/>
    <cellStyle name="Normal 2 2 2 3 31 3" xfId="18550" xr:uid="{00000000-0005-0000-0000-000076480000}"/>
    <cellStyle name="Normal 2 2 2 3 31 3 10" xfId="18551" xr:uid="{00000000-0005-0000-0000-000077480000}"/>
    <cellStyle name="Normal 2 2 2 3 31 3 2" xfId="18552" xr:uid="{00000000-0005-0000-0000-000078480000}"/>
    <cellStyle name="Normal 2 2 2 3 31 3 3" xfId="18553" xr:uid="{00000000-0005-0000-0000-000079480000}"/>
    <cellStyle name="Normal 2 2 2 3 31 3 4" xfId="18554" xr:uid="{00000000-0005-0000-0000-00007A480000}"/>
    <cellStyle name="Normal 2 2 2 3 31 3 5" xfId="18555" xr:uid="{00000000-0005-0000-0000-00007B480000}"/>
    <cellStyle name="Normal 2 2 2 3 31 3 6" xfId="18556" xr:uid="{00000000-0005-0000-0000-00007C480000}"/>
    <cellStyle name="Normal 2 2 2 3 31 3 7" xfId="18557" xr:uid="{00000000-0005-0000-0000-00007D480000}"/>
    <cellStyle name="Normal 2 2 2 3 31 3 8" xfId="18558" xr:uid="{00000000-0005-0000-0000-00007E480000}"/>
    <cellStyle name="Normal 2 2 2 3 31 3 9" xfId="18559" xr:uid="{00000000-0005-0000-0000-00007F480000}"/>
    <cellStyle name="Normal 2 2 2 3 31 4" xfId="18560" xr:uid="{00000000-0005-0000-0000-000080480000}"/>
    <cellStyle name="Normal 2 2 2 3 31 4 10" xfId="18561" xr:uid="{00000000-0005-0000-0000-000081480000}"/>
    <cellStyle name="Normal 2 2 2 3 31 4 2" xfId="18562" xr:uid="{00000000-0005-0000-0000-000082480000}"/>
    <cellStyle name="Normal 2 2 2 3 31 4 3" xfId="18563" xr:uid="{00000000-0005-0000-0000-000083480000}"/>
    <cellStyle name="Normal 2 2 2 3 31 4 4" xfId="18564" xr:uid="{00000000-0005-0000-0000-000084480000}"/>
    <cellStyle name="Normal 2 2 2 3 31 4 5" xfId="18565" xr:uid="{00000000-0005-0000-0000-000085480000}"/>
    <cellStyle name="Normal 2 2 2 3 31 4 6" xfId="18566" xr:uid="{00000000-0005-0000-0000-000086480000}"/>
    <cellStyle name="Normal 2 2 2 3 31 4 7" xfId="18567" xr:uid="{00000000-0005-0000-0000-000087480000}"/>
    <cellStyle name="Normal 2 2 2 3 31 4 8" xfId="18568" xr:uid="{00000000-0005-0000-0000-000088480000}"/>
    <cellStyle name="Normal 2 2 2 3 31 4 9" xfId="18569" xr:uid="{00000000-0005-0000-0000-000089480000}"/>
    <cellStyle name="Normal 2 2 2 3 31 5" xfId="18570" xr:uid="{00000000-0005-0000-0000-00008A480000}"/>
    <cellStyle name="Normal 2 2 2 3 31 5 10" xfId="18571" xr:uid="{00000000-0005-0000-0000-00008B480000}"/>
    <cellStyle name="Normal 2 2 2 3 31 5 2" xfId="18572" xr:uid="{00000000-0005-0000-0000-00008C480000}"/>
    <cellStyle name="Normal 2 2 2 3 31 5 3" xfId="18573" xr:uid="{00000000-0005-0000-0000-00008D480000}"/>
    <cellStyle name="Normal 2 2 2 3 31 5 4" xfId="18574" xr:uid="{00000000-0005-0000-0000-00008E480000}"/>
    <cellStyle name="Normal 2 2 2 3 31 5 5" xfId="18575" xr:uid="{00000000-0005-0000-0000-00008F480000}"/>
    <cellStyle name="Normal 2 2 2 3 31 5 6" xfId="18576" xr:uid="{00000000-0005-0000-0000-000090480000}"/>
    <cellStyle name="Normal 2 2 2 3 31 5 7" xfId="18577" xr:uid="{00000000-0005-0000-0000-000091480000}"/>
    <cellStyle name="Normal 2 2 2 3 31 5 8" xfId="18578" xr:uid="{00000000-0005-0000-0000-000092480000}"/>
    <cellStyle name="Normal 2 2 2 3 31 5 9" xfId="18579" xr:uid="{00000000-0005-0000-0000-000093480000}"/>
    <cellStyle name="Normal 2 2 2 3 31 6" xfId="18580" xr:uid="{00000000-0005-0000-0000-000094480000}"/>
    <cellStyle name="Normal 2 2 2 3 31 7" xfId="18581" xr:uid="{00000000-0005-0000-0000-000095480000}"/>
    <cellStyle name="Normal 2 2 2 3 31 8" xfId="18582" xr:uid="{00000000-0005-0000-0000-000096480000}"/>
    <cellStyle name="Normal 2 2 2 3 31 9" xfId="18583" xr:uid="{00000000-0005-0000-0000-000097480000}"/>
    <cellStyle name="Normal 2 2 2 3 32" xfId="18584" xr:uid="{00000000-0005-0000-0000-000098480000}"/>
    <cellStyle name="Normal 2 2 2 3 32 10" xfId="18585" xr:uid="{00000000-0005-0000-0000-000099480000}"/>
    <cellStyle name="Normal 2 2 2 3 32 11" xfId="18586" xr:uid="{00000000-0005-0000-0000-00009A480000}"/>
    <cellStyle name="Normal 2 2 2 3 32 12" xfId="18587" xr:uid="{00000000-0005-0000-0000-00009B480000}"/>
    <cellStyle name="Normal 2 2 2 3 32 13" xfId="18588" xr:uid="{00000000-0005-0000-0000-00009C480000}"/>
    <cellStyle name="Normal 2 2 2 3 32 14" xfId="18589" xr:uid="{00000000-0005-0000-0000-00009D480000}"/>
    <cellStyle name="Normal 2 2 2 3 32 2" xfId="18590" xr:uid="{00000000-0005-0000-0000-00009E480000}"/>
    <cellStyle name="Normal 2 2 2 3 32 2 10" xfId="18591" xr:uid="{00000000-0005-0000-0000-00009F480000}"/>
    <cellStyle name="Normal 2 2 2 3 32 2 2" xfId="18592" xr:uid="{00000000-0005-0000-0000-0000A0480000}"/>
    <cellStyle name="Normal 2 2 2 3 32 2 3" xfId="18593" xr:uid="{00000000-0005-0000-0000-0000A1480000}"/>
    <cellStyle name="Normal 2 2 2 3 32 2 4" xfId="18594" xr:uid="{00000000-0005-0000-0000-0000A2480000}"/>
    <cellStyle name="Normal 2 2 2 3 32 2 5" xfId="18595" xr:uid="{00000000-0005-0000-0000-0000A3480000}"/>
    <cellStyle name="Normal 2 2 2 3 32 2 6" xfId="18596" xr:uid="{00000000-0005-0000-0000-0000A4480000}"/>
    <cellStyle name="Normal 2 2 2 3 32 2 7" xfId="18597" xr:uid="{00000000-0005-0000-0000-0000A5480000}"/>
    <cellStyle name="Normal 2 2 2 3 32 2 8" xfId="18598" xr:uid="{00000000-0005-0000-0000-0000A6480000}"/>
    <cellStyle name="Normal 2 2 2 3 32 2 9" xfId="18599" xr:uid="{00000000-0005-0000-0000-0000A7480000}"/>
    <cellStyle name="Normal 2 2 2 3 32 3" xfId="18600" xr:uid="{00000000-0005-0000-0000-0000A8480000}"/>
    <cellStyle name="Normal 2 2 2 3 32 3 10" xfId="18601" xr:uid="{00000000-0005-0000-0000-0000A9480000}"/>
    <cellStyle name="Normal 2 2 2 3 32 3 2" xfId="18602" xr:uid="{00000000-0005-0000-0000-0000AA480000}"/>
    <cellStyle name="Normal 2 2 2 3 32 3 3" xfId="18603" xr:uid="{00000000-0005-0000-0000-0000AB480000}"/>
    <cellStyle name="Normal 2 2 2 3 32 3 4" xfId="18604" xr:uid="{00000000-0005-0000-0000-0000AC480000}"/>
    <cellStyle name="Normal 2 2 2 3 32 3 5" xfId="18605" xr:uid="{00000000-0005-0000-0000-0000AD480000}"/>
    <cellStyle name="Normal 2 2 2 3 32 3 6" xfId="18606" xr:uid="{00000000-0005-0000-0000-0000AE480000}"/>
    <cellStyle name="Normal 2 2 2 3 32 3 7" xfId="18607" xr:uid="{00000000-0005-0000-0000-0000AF480000}"/>
    <cellStyle name="Normal 2 2 2 3 32 3 8" xfId="18608" xr:uid="{00000000-0005-0000-0000-0000B0480000}"/>
    <cellStyle name="Normal 2 2 2 3 32 3 9" xfId="18609" xr:uid="{00000000-0005-0000-0000-0000B1480000}"/>
    <cellStyle name="Normal 2 2 2 3 32 4" xfId="18610" xr:uid="{00000000-0005-0000-0000-0000B2480000}"/>
    <cellStyle name="Normal 2 2 2 3 32 4 10" xfId="18611" xr:uid="{00000000-0005-0000-0000-0000B3480000}"/>
    <cellStyle name="Normal 2 2 2 3 32 4 2" xfId="18612" xr:uid="{00000000-0005-0000-0000-0000B4480000}"/>
    <cellStyle name="Normal 2 2 2 3 32 4 3" xfId="18613" xr:uid="{00000000-0005-0000-0000-0000B5480000}"/>
    <cellStyle name="Normal 2 2 2 3 32 4 4" xfId="18614" xr:uid="{00000000-0005-0000-0000-0000B6480000}"/>
    <cellStyle name="Normal 2 2 2 3 32 4 5" xfId="18615" xr:uid="{00000000-0005-0000-0000-0000B7480000}"/>
    <cellStyle name="Normal 2 2 2 3 32 4 6" xfId="18616" xr:uid="{00000000-0005-0000-0000-0000B8480000}"/>
    <cellStyle name="Normal 2 2 2 3 32 4 7" xfId="18617" xr:uid="{00000000-0005-0000-0000-0000B9480000}"/>
    <cellStyle name="Normal 2 2 2 3 32 4 8" xfId="18618" xr:uid="{00000000-0005-0000-0000-0000BA480000}"/>
    <cellStyle name="Normal 2 2 2 3 32 4 9" xfId="18619" xr:uid="{00000000-0005-0000-0000-0000BB480000}"/>
    <cellStyle name="Normal 2 2 2 3 32 5" xfId="18620" xr:uid="{00000000-0005-0000-0000-0000BC480000}"/>
    <cellStyle name="Normal 2 2 2 3 32 5 10" xfId="18621" xr:uid="{00000000-0005-0000-0000-0000BD480000}"/>
    <cellStyle name="Normal 2 2 2 3 32 5 2" xfId="18622" xr:uid="{00000000-0005-0000-0000-0000BE480000}"/>
    <cellStyle name="Normal 2 2 2 3 32 5 3" xfId="18623" xr:uid="{00000000-0005-0000-0000-0000BF480000}"/>
    <cellStyle name="Normal 2 2 2 3 32 5 4" xfId="18624" xr:uid="{00000000-0005-0000-0000-0000C0480000}"/>
    <cellStyle name="Normal 2 2 2 3 32 5 5" xfId="18625" xr:uid="{00000000-0005-0000-0000-0000C1480000}"/>
    <cellStyle name="Normal 2 2 2 3 32 5 6" xfId="18626" xr:uid="{00000000-0005-0000-0000-0000C2480000}"/>
    <cellStyle name="Normal 2 2 2 3 32 5 7" xfId="18627" xr:uid="{00000000-0005-0000-0000-0000C3480000}"/>
    <cellStyle name="Normal 2 2 2 3 32 5 8" xfId="18628" xr:uid="{00000000-0005-0000-0000-0000C4480000}"/>
    <cellStyle name="Normal 2 2 2 3 32 5 9" xfId="18629" xr:uid="{00000000-0005-0000-0000-0000C5480000}"/>
    <cellStyle name="Normal 2 2 2 3 32 6" xfId="18630" xr:uid="{00000000-0005-0000-0000-0000C6480000}"/>
    <cellStyle name="Normal 2 2 2 3 32 7" xfId="18631" xr:uid="{00000000-0005-0000-0000-0000C7480000}"/>
    <cellStyle name="Normal 2 2 2 3 32 8" xfId="18632" xr:uid="{00000000-0005-0000-0000-0000C8480000}"/>
    <cellStyle name="Normal 2 2 2 3 32 9" xfId="18633" xr:uid="{00000000-0005-0000-0000-0000C9480000}"/>
    <cellStyle name="Normal 2 2 2 3 33" xfId="18634" xr:uid="{00000000-0005-0000-0000-0000CA480000}"/>
    <cellStyle name="Normal 2 2 2 3 33 10" xfId="18635" xr:uid="{00000000-0005-0000-0000-0000CB480000}"/>
    <cellStyle name="Normal 2 2 2 3 33 11" xfId="18636" xr:uid="{00000000-0005-0000-0000-0000CC480000}"/>
    <cellStyle name="Normal 2 2 2 3 33 12" xfId="18637" xr:uid="{00000000-0005-0000-0000-0000CD480000}"/>
    <cellStyle name="Normal 2 2 2 3 33 13" xfId="18638" xr:uid="{00000000-0005-0000-0000-0000CE480000}"/>
    <cellStyle name="Normal 2 2 2 3 33 14" xfId="18639" xr:uid="{00000000-0005-0000-0000-0000CF480000}"/>
    <cellStyle name="Normal 2 2 2 3 33 2" xfId="18640" xr:uid="{00000000-0005-0000-0000-0000D0480000}"/>
    <cellStyle name="Normal 2 2 2 3 33 2 10" xfId="18641" xr:uid="{00000000-0005-0000-0000-0000D1480000}"/>
    <cellStyle name="Normal 2 2 2 3 33 2 2" xfId="18642" xr:uid="{00000000-0005-0000-0000-0000D2480000}"/>
    <cellStyle name="Normal 2 2 2 3 33 2 3" xfId="18643" xr:uid="{00000000-0005-0000-0000-0000D3480000}"/>
    <cellStyle name="Normal 2 2 2 3 33 2 4" xfId="18644" xr:uid="{00000000-0005-0000-0000-0000D4480000}"/>
    <cellStyle name="Normal 2 2 2 3 33 2 5" xfId="18645" xr:uid="{00000000-0005-0000-0000-0000D5480000}"/>
    <cellStyle name="Normal 2 2 2 3 33 2 6" xfId="18646" xr:uid="{00000000-0005-0000-0000-0000D6480000}"/>
    <cellStyle name="Normal 2 2 2 3 33 2 7" xfId="18647" xr:uid="{00000000-0005-0000-0000-0000D7480000}"/>
    <cellStyle name="Normal 2 2 2 3 33 2 8" xfId="18648" xr:uid="{00000000-0005-0000-0000-0000D8480000}"/>
    <cellStyle name="Normal 2 2 2 3 33 2 9" xfId="18649" xr:uid="{00000000-0005-0000-0000-0000D9480000}"/>
    <cellStyle name="Normal 2 2 2 3 33 3" xfId="18650" xr:uid="{00000000-0005-0000-0000-0000DA480000}"/>
    <cellStyle name="Normal 2 2 2 3 33 3 10" xfId="18651" xr:uid="{00000000-0005-0000-0000-0000DB480000}"/>
    <cellStyle name="Normal 2 2 2 3 33 3 2" xfId="18652" xr:uid="{00000000-0005-0000-0000-0000DC480000}"/>
    <cellStyle name="Normal 2 2 2 3 33 3 3" xfId="18653" xr:uid="{00000000-0005-0000-0000-0000DD480000}"/>
    <cellStyle name="Normal 2 2 2 3 33 3 4" xfId="18654" xr:uid="{00000000-0005-0000-0000-0000DE480000}"/>
    <cellStyle name="Normal 2 2 2 3 33 3 5" xfId="18655" xr:uid="{00000000-0005-0000-0000-0000DF480000}"/>
    <cellStyle name="Normal 2 2 2 3 33 3 6" xfId="18656" xr:uid="{00000000-0005-0000-0000-0000E0480000}"/>
    <cellStyle name="Normal 2 2 2 3 33 3 7" xfId="18657" xr:uid="{00000000-0005-0000-0000-0000E1480000}"/>
    <cellStyle name="Normal 2 2 2 3 33 3 8" xfId="18658" xr:uid="{00000000-0005-0000-0000-0000E2480000}"/>
    <cellStyle name="Normal 2 2 2 3 33 3 9" xfId="18659" xr:uid="{00000000-0005-0000-0000-0000E3480000}"/>
    <cellStyle name="Normal 2 2 2 3 33 4" xfId="18660" xr:uid="{00000000-0005-0000-0000-0000E4480000}"/>
    <cellStyle name="Normal 2 2 2 3 33 4 10" xfId="18661" xr:uid="{00000000-0005-0000-0000-0000E5480000}"/>
    <cellStyle name="Normal 2 2 2 3 33 4 2" xfId="18662" xr:uid="{00000000-0005-0000-0000-0000E6480000}"/>
    <cellStyle name="Normal 2 2 2 3 33 4 3" xfId="18663" xr:uid="{00000000-0005-0000-0000-0000E7480000}"/>
    <cellStyle name="Normal 2 2 2 3 33 4 4" xfId="18664" xr:uid="{00000000-0005-0000-0000-0000E8480000}"/>
    <cellStyle name="Normal 2 2 2 3 33 4 5" xfId="18665" xr:uid="{00000000-0005-0000-0000-0000E9480000}"/>
    <cellStyle name="Normal 2 2 2 3 33 4 6" xfId="18666" xr:uid="{00000000-0005-0000-0000-0000EA480000}"/>
    <cellStyle name="Normal 2 2 2 3 33 4 7" xfId="18667" xr:uid="{00000000-0005-0000-0000-0000EB480000}"/>
    <cellStyle name="Normal 2 2 2 3 33 4 8" xfId="18668" xr:uid="{00000000-0005-0000-0000-0000EC480000}"/>
    <cellStyle name="Normal 2 2 2 3 33 4 9" xfId="18669" xr:uid="{00000000-0005-0000-0000-0000ED480000}"/>
    <cellStyle name="Normal 2 2 2 3 33 5" xfId="18670" xr:uid="{00000000-0005-0000-0000-0000EE480000}"/>
    <cellStyle name="Normal 2 2 2 3 33 5 10" xfId="18671" xr:uid="{00000000-0005-0000-0000-0000EF480000}"/>
    <cellStyle name="Normal 2 2 2 3 33 5 2" xfId="18672" xr:uid="{00000000-0005-0000-0000-0000F0480000}"/>
    <cellStyle name="Normal 2 2 2 3 33 5 3" xfId="18673" xr:uid="{00000000-0005-0000-0000-0000F1480000}"/>
    <cellStyle name="Normal 2 2 2 3 33 5 4" xfId="18674" xr:uid="{00000000-0005-0000-0000-0000F2480000}"/>
    <cellStyle name="Normal 2 2 2 3 33 5 5" xfId="18675" xr:uid="{00000000-0005-0000-0000-0000F3480000}"/>
    <cellStyle name="Normal 2 2 2 3 33 5 6" xfId="18676" xr:uid="{00000000-0005-0000-0000-0000F4480000}"/>
    <cellStyle name="Normal 2 2 2 3 33 5 7" xfId="18677" xr:uid="{00000000-0005-0000-0000-0000F5480000}"/>
    <cellStyle name="Normal 2 2 2 3 33 5 8" xfId="18678" xr:uid="{00000000-0005-0000-0000-0000F6480000}"/>
    <cellStyle name="Normal 2 2 2 3 33 5 9" xfId="18679" xr:uid="{00000000-0005-0000-0000-0000F7480000}"/>
    <cellStyle name="Normal 2 2 2 3 33 6" xfId="18680" xr:uid="{00000000-0005-0000-0000-0000F8480000}"/>
    <cellStyle name="Normal 2 2 2 3 33 7" xfId="18681" xr:uid="{00000000-0005-0000-0000-0000F9480000}"/>
    <cellStyle name="Normal 2 2 2 3 33 8" xfId="18682" xr:uid="{00000000-0005-0000-0000-0000FA480000}"/>
    <cellStyle name="Normal 2 2 2 3 33 9" xfId="18683" xr:uid="{00000000-0005-0000-0000-0000FB480000}"/>
    <cellStyle name="Normal 2 2 2 3 34" xfId="18684" xr:uid="{00000000-0005-0000-0000-0000FC480000}"/>
    <cellStyle name="Normal 2 2 2 3 34 10" xfId="18685" xr:uid="{00000000-0005-0000-0000-0000FD480000}"/>
    <cellStyle name="Normal 2 2 2 3 34 2" xfId="18686" xr:uid="{00000000-0005-0000-0000-0000FE480000}"/>
    <cellStyle name="Normal 2 2 2 3 34 3" xfId="18687" xr:uid="{00000000-0005-0000-0000-0000FF480000}"/>
    <cellStyle name="Normal 2 2 2 3 34 4" xfId="18688" xr:uid="{00000000-0005-0000-0000-000000490000}"/>
    <cellStyle name="Normal 2 2 2 3 34 5" xfId="18689" xr:uid="{00000000-0005-0000-0000-000001490000}"/>
    <cellStyle name="Normal 2 2 2 3 34 6" xfId="18690" xr:uid="{00000000-0005-0000-0000-000002490000}"/>
    <cellStyle name="Normal 2 2 2 3 34 7" xfId="18691" xr:uid="{00000000-0005-0000-0000-000003490000}"/>
    <cellStyle name="Normal 2 2 2 3 34 8" xfId="18692" xr:uid="{00000000-0005-0000-0000-000004490000}"/>
    <cellStyle name="Normal 2 2 2 3 34 9" xfId="18693" xr:uid="{00000000-0005-0000-0000-000005490000}"/>
    <cellStyle name="Normal 2 2 2 3 35" xfId="18694" xr:uid="{00000000-0005-0000-0000-000006490000}"/>
    <cellStyle name="Normal 2 2 2 3 35 10" xfId="18695" xr:uid="{00000000-0005-0000-0000-000007490000}"/>
    <cellStyle name="Normal 2 2 2 3 35 2" xfId="18696" xr:uid="{00000000-0005-0000-0000-000008490000}"/>
    <cellStyle name="Normal 2 2 2 3 35 3" xfId="18697" xr:uid="{00000000-0005-0000-0000-000009490000}"/>
    <cellStyle name="Normal 2 2 2 3 35 4" xfId="18698" xr:uid="{00000000-0005-0000-0000-00000A490000}"/>
    <cellStyle name="Normal 2 2 2 3 35 5" xfId="18699" xr:uid="{00000000-0005-0000-0000-00000B490000}"/>
    <cellStyle name="Normal 2 2 2 3 35 6" xfId="18700" xr:uid="{00000000-0005-0000-0000-00000C490000}"/>
    <cellStyle name="Normal 2 2 2 3 35 7" xfId="18701" xr:uid="{00000000-0005-0000-0000-00000D490000}"/>
    <cellStyle name="Normal 2 2 2 3 35 8" xfId="18702" xr:uid="{00000000-0005-0000-0000-00000E490000}"/>
    <cellStyle name="Normal 2 2 2 3 35 9" xfId="18703" xr:uid="{00000000-0005-0000-0000-00000F490000}"/>
    <cellStyle name="Normal 2 2 2 3 36" xfId="18704" xr:uid="{00000000-0005-0000-0000-000010490000}"/>
    <cellStyle name="Normal 2 2 2 3 36 10" xfId="18705" xr:uid="{00000000-0005-0000-0000-000011490000}"/>
    <cellStyle name="Normal 2 2 2 3 36 2" xfId="18706" xr:uid="{00000000-0005-0000-0000-000012490000}"/>
    <cellStyle name="Normal 2 2 2 3 36 3" xfId="18707" xr:uid="{00000000-0005-0000-0000-000013490000}"/>
    <cellStyle name="Normal 2 2 2 3 36 4" xfId="18708" xr:uid="{00000000-0005-0000-0000-000014490000}"/>
    <cellStyle name="Normal 2 2 2 3 36 5" xfId="18709" xr:uid="{00000000-0005-0000-0000-000015490000}"/>
    <cellStyle name="Normal 2 2 2 3 36 6" xfId="18710" xr:uid="{00000000-0005-0000-0000-000016490000}"/>
    <cellStyle name="Normal 2 2 2 3 36 7" xfId="18711" xr:uid="{00000000-0005-0000-0000-000017490000}"/>
    <cellStyle name="Normal 2 2 2 3 36 8" xfId="18712" xr:uid="{00000000-0005-0000-0000-000018490000}"/>
    <cellStyle name="Normal 2 2 2 3 36 9" xfId="18713" xr:uid="{00000000-0005-0000-0000-000019490000}"/>
    <cellStyle name="Normal 2 2 2 3 37" xfId="18714" xr:uid="{00000000-0005-0000-0000-00001A490000}"/>
    <cellStyle name="Normal 2 2 2 3 37 10" xfId="18715" xr:uid="{00000000-0005-0000-0000-00001B490000}"/>
    <cellStyle name="Normal 2 2 2 3 37 2" xfId="18716" xr:uid="{00000000-0005-0000-0000-00001C490000}"/>
    <cellStyle name="Normal 2 2 2 3 37 3" xfId="18717" xr:uid="{00000000-0005-0000-0000-00001D490000}"/>
    <cellStyle name="Normal 2 2 2 3 37 4" xfId="18718" xr:uid="{00000000-0005-0000-0000-00001E490000}"/>
    <cellStyle name="Normal 2 2 2 3 37 5" xfId="18719" xr:uid="{00000000-0005-0000-0000-00001F490000}"/>
    <cellStyle name="Normal 2 2 2 3 37 6" xfId="18720" xr:uid="{00000000-0005-0000-0000-000020490000}"/>
    <cellStyle name="Normal 2 2 2 3 37 7" xfId="18721" xr:uid="{00000000-0005-0000-0000-000021490000}"/>
    <cellStyle name="Normal 2 2 2 3 37 8" xfId="18722" xr:uid="{00000000-0005-0000-0000-000022490000}"/>
    <cellStyle name="Normal 2 2 2 3 37 9" xfId="18723" xr:uid="{00000000-0005-0000-0000-000023490000}"/>
    <cellStyle name="Normal 2 2 2 3 38" xfId="18724" xr:uid="{00000000-0005-0000-0000-000024490000}"/>
    <cellStyle name="Normal 2 2 2 3 39" xfId="18725" xr:uid="{00000000-0005-0000-0000-000025490000}"/>
    <cellStyle name="Normal 2 2 2 3 4" xfId="18726" xr:uid="{00000000-0005-0000-0000-000026490000}"/>
    <cellStyle name="Normal 2 2 2 3 4 10" xfId="18727" xr:uid="{00000000-0005-0000-0000-000027490000}"/>
    <cellStyle name="Normal 2 2 2 3 4 11" xfId="18728" xr:uid="{00000000-0005-0000-0000-000028490000}"/>
    <cellStyle name="Normal 2 2 2 3 4 12" xfId="18729" xr:uid="{00000000-0005-0000-0000-000029490000}"/>
    <cellStyle name="Normal 2 2 2 3 4 13" xfId="18730" xr:uid="{00000000-0005-0000-0000-00002A490000}"/>
    <cellStyle name="Normal 2 2 2 3 4 14" xfId="18731" xr:uid="{00000000-0005-0000-0000-00002B490000}"/>
    <cellStyle name="Normal 2 2 2 3 4 15" xfId="18732" xr:uid="{00000000-0005-0000-0000-00002C490000}"/>
    <cellStyle name="Normal 2 2 2 3 4 16" xfId="18733" xr:uid="{00000000-0005-0000-0000-00002D490000}"/>
    <cellStyle name="Normal 2 2 2 3 4 2" xfId="18734" xr:uid="{00000000-0005-0000-0000-00002E490000}"/>
    <cellStyle name="Normal 2 2 2 3 4 2 10" xfId="18735" xr:uid="{00000000-0005-0000-0000-00002F490000}"/>
    <cellStyle name="Normal 2 2 2 3 4 2 2" xfId="18736" xr:uid="{00000000-0005-0000-0000-000030490000}"/>
    <cellStyle name="Normal 2 2 2 3 4 2 3" xfId="18737" xr:uid="{00000000-0005-0000-0000-000031490000}"/>
    <cellStyle name="Normal 2 2 2 3 4 2 4" xfId="18738" xr:uid="{00000000-0005-0000-0000-000032490000}"/>
    <cellStyle name="Normal 2 2 2 3 4 2 5" xfId="18739" xr:uid="{00000000-0005-0000-0000-000033490000}"/>
    <cellStyle name="Normal 2 2 2 3 4 2 6" xfId="18740" xr:uid="{00000000-0005-0000-0000-000034490000}"/>
    <cellStyle name="Normal 2 2 2 3 4 2 7" xfId="18741" xr:uid="{00000000-0005-0000-0000-000035490000}"/>
    <cellStyle name="Normal 2 2 2 3 4 2 8" xfId="18742" xr:uid="{00000000-0005-0000-0000-000036490000}"/>
    <cellStyle name="Normal 2 2 2 3 4 2 9" xfId="18743" xr:uid="{00000000-0005-0000-0000-000037490000}"/>
    <cellStyle name="Normal 2 2 2 3 4 3" xfId="18744" xr:uid="{00000000-0005-0000-0000-000038490000}"/>
    <cellStyle name="Normal 2 2 2 3 4 3 10" xfId="18745" xr:uid="{00000000-0005-0000-0000-000039490000}"/>
    <cellStyle name="Normal 2 2 2 3 4 3 2" xfId="18746" xr:uid="{00000000-0005-0000-0000-00003A490000}"/>
    <cellStyle name="Normal 2 2 2 3 4 3 3" xfId="18747" xr:uid="{00000000-0005-0000-0000-00003B490000}"/>
    <cellStyle name="Normal 2 2 2 3 4 3 4" xfId="18748" xr:uid="{00000000-0005-0000-0000-00003C490000}"/>
    <cellStyle name="Normal 2 2 2 3 4 3 5" xfId="18749" xr:uid="{00000000-0005-0000-0000-00003D490000}"/>
    <cellStyle name="Normal 2 2 2 3 4 3 6" xfId="18750" xr:uid="{00000000-0005-0000-0000-00003E490000}"/>
    <cellStyle name="Normal 2 2 2 3 4 3 7" xfId="18751" xr:uid="{00000000-0005-0000-0000-00003F490000}"/>
    <cellStyle name="Normal 2 2 2 3 4 3 8" xfId="18752" xr:uid="{00000000-0005-0000-0000-000040490000}"/>
    <cellStyle name="Normal 2 2 2 3 4 3 9" xfId="18753" xr:uid="{00000000-0005-0000-0000-000041490000}"/>
    <cellStyle name="Normal 2 2 2 3 4 4" xfId="18754" xr:uid="{00000000-0005-0000-0000-000042490000}"/>
    <cellStyle name="Normal 2 2 2 3 4 4 10" xfId="18755" xr:uid="{00000000-0005-0000-0000-000043490000}"/>
    <cellStyle name="Normal 2 2 2 3 4 4 2" xfId="18756" xr:uid="{00000000-0005-0000-0000-000044490000}"/>
    <cellStyle name="Normal 2 2 2 3 4 4 3" xfId="18757" xr:uid="{00000000-0005-0000-0000-000045490000}"/>
    <cellStyle name="Normal 2 2 2 3 4 4 4" xfId="18758" xr:uid="{00000000-0005-0000-0000-000046490000}"/>
    <cellStyle name="Normal 2 2 2 3 4 4 5" xfId="18759" xr:uid="{00000000-0005-0000-0000-000047490000}"/>
    <cellStyle name="Normal 2 2 2 3 4 4 6" xfId="18760" xr:uid="{00000000-0005-0000-0000-000048490000}"/>
    <cellStyle name="Normal 2 2 2 3 4 4 7" xfId="18761" xr:uid="{00000000-0005-0000-0000-000049490000}"/>
    <cellStyle name="Normal 2 2 2 3 4 4 8" xfId="18762" xr:uid="{00000000-0005-0000-0000-00004A490000}"/>
    <cellStyle name="Normal 2 2 2 3 4 4 9" xfId="18763" xr:uid="{00000000-0005-0000-0000-00004B490000}"/>
    <cellStyle name="Normal 2 2 2 3 4 5" xfId="18764" xr:uid="{00000000-0005-0000-0000-00004C490000}"/>
    <cellStyle name="Normal 2 2 2 3 4 5 10" xfId="18765" xr:uid="{00000000-0005-0000-0000-00004D490000}"/>
    <cellStyle name="Normal 2 2 2 3 4 5 2" xfId="18766" xr:uid="{00000000-0005-0000-0000-00004E490000}"/>
    <cellStyle name="Normal 2 2 2 3 4 5 3" xfId="18767" xr:uid="{00000000-0005-0000-0000-00004F490000}"/>
    <cellStyle name="Normal 2 2 2 3 4 5 4" xfId="18768" xr:uid="{00000000-0005-0000-0000-000050490000}"/>
    <cellStyle name="Normal 2 2 2 3 4 5 5" xfId="18769" xr:uid="{00000000-0005-0000-0000-000051490000}"/>
    <cellStyle name="Normal 2 2 2 3 4 5 6" xfId="18770" xr:uid="{00000000-0005-0000-0000-000052490000}"/>
    <cellStyle name="Normal 2 2 2 3 4 5 7" xfId="18771" xr:uid="{00000000-0005-0000-0000-000053490000}"/>
    <cellStyle name="Normal 2 2 2 3 4 5 8" xfId="18772" xr:uid="{00000000-0005-0000-0000-000054490000}"/>
    <cellStyle name="Normal 2 2 2 3 4 5 9" xfId="18773" xr:uid="{00000000-0005-0000-0000-000055490000}"/>
    <cellStyle name="Normal 2 2 2 3 4 6" xfId="18774" xr:uid="{00000000-0005-0000-0000-000056490000}"/>
    <cellStyle name="Normal 2 2 2 3 4 7" xfId="18775" xr:uid="{00000000-0005-0000-0000-000057490000}"/>
    <cellStyle name="Normal 2 2 2 3 4 8" xfId="18776" xr:uid="{00000000-0005-0000-0000-000058490000}"/>
    <cellStyle name="Normal 2 2 2 3 4 9" xfId="18777" xr:uid="{00000000-0005-0000-0000-000059490000}"/>
    <cellStyle name="Normal 2 2 2 3 40" xfId="18778" xr:uid="{00000000-0005-0000-0000-00005A490000}"/>
    <cellStyle name="Normal 2 2 2 3 41" xfId="18779" xr:uid="{00000000-0005-0000-0000-00005B490000}"/>
    <cellStyle name="Normal 2 2 2 3 42" xfId="18780" xr:uid="{00000000-0005-0000-0000-00005C490000}"/>
    <cellStyle name="Normal 2 2 2 3 43" xfId="18781" xr:uid="{00000000-0005-0000-0000-00005D490000}"/>
    <cellStyle name="Normal 2 2 2 3 44" xfId="18782" xr:uid="{00000000-0005-0000-0000-00005E490000}"/>
    <cellStyle name="Normal 2 2 2 3 45" xfId="18783" xr:uid="{00000000-0005-0000-0000-00005F490000}"/>
    <cellStyle name="Normal 2 2 2 3 46" xfId="18784" xr:uid="{00000000-0005-0000-0000-000060490000}"/>
    <cellStyle name="Normal 2 2 2 3 47" xfId="18785" xr:uid="{00000000-0005-0000-0000-000061490000}"/>
    <cellStyle name="Normal 2 2 2 3 48" xfId="18786" xr:uid="{00000000-0005-0000-0000-000062490000}"/>
    <cellStyle name="Normal 2 2 2 3 49" xfId="18787" xr:uid="{00000000-0005-0000-0000-000063490000}"/>
    <cellStyle name="Normal 2 2 2 3 5" xfId="18788" xr:uid="{00000000-0005-0000-0000-000064490000}"/>
    <cellStyle name="Normal 2 2 2 3 5 10" xfId="18789" xr:uid="{00000000-0005-0000-0000-000065490000}"/>
    <cellStyle name="Normal 2 2 2 3 5 11" xfId="18790" xr:uid="{00000000-0005-0000-0000-000066490000}"/>
    <cellStyle name="Normal 2 2 2 3 5 12" xfId="18791" xr:uid="{00000000-0005-0000-0000-000067490000}"/>
    <cellStyle name="Normal 2 2 2 3 5 13" xfId="18792" xr:uid="{00000000-0005-0000-0000-000068490000}"/>
    <cellStyle name="Normal 2 2 2 3 5 14" xfId="18793" xr:uid="{00000000-0005-0000-0000-000069490000}"/>
    <cellStyle name="Normal 2 2 2 3 5 15" xfId="18794" xr:uid="{00000000-0005-0000-0000-00006A490000}"/>
    <cellStyle name="Normal 2 2 2 3 5 2" xfId="18795" xr:uid="{00000000-0005-0000-0000-00006B490000}"/>
    <cellStyle name="Normal 2 2 2 3 5 2 10" xfId="18796" xr:uid="{00000000-0005-0000-0000-00006C490000}"/>
    <cellStyle name="Normal 2 2 2 3 5 2 2" xfId="18797" xr:uid="{00000000-0005-0000-0000-00006D490000}"/>
    <cellStyle name="Normal 2 2 2 3 5 2 3" xfId="18798" xr:uid="{00000000-0005-0000-0000-00006E490000}"/>
    <cellStyle name="Normal 2 2 2 3 5 2 4" xfId="18799" xr:uid="{00000000-0005-0000-0000-00006F490000}"/>
    <cellStyle name="Normal 2 2 2 3 5 2 5" xfId="18800" xr:uid="{00000000-0005-0000-0000-000070490000}"/>
    <cellStyle name="Normal 2 2 2 3 5 2 6" xfId="18801" xr:uid="{00000000-0005-0000-0000-000071490000}"/>
    <cellStyle name="Normal 2 2 2 3 5 2 7" xfId="18802" xr:uid="{00000000-0005-0000-0000-000072490000}"/>
    <cellStyle name="Normal 2 2 2 3 5 2 8" xfId="18803" xr:uid="{00000000-0005-0000-0000-000073490000}"/>
    <cellStyle name="Normal 2 2 2 3 5 2 9" xfId="18804" xr:uid="{00000000-0005-0000-0000-000074490000}"/>
    <cellStyle name="Normal 2 2 2 3 5 3" xfId="18805" xr:uid="{00000000-0005-0000-0000-000075490000}"/>
    <cellStyle name="Normal 2 2 2 3 5 3 10" xfId="18806" xr:uid="{00000000-0005-0000-0000-000076490000}"/>
    <cellStyle name="Normal 2 2 2 3 5 3 2" xfId="18807" xr:uid="{00000000-0005-0000-0000-000077490000}"/>
    <cellStyle name="Normal 2 2 2 3 5 3 3" xfId="18808" xr:uid="{00000000-0005-0000-0000-000078490000}"/>
    <cellStyle name="Normal 2 2 2 3 5 3 4" xfId="18809" xr:uid="{00000000-0005-0000-0000-000079490000}"/>
    <cellStyle name="Normal 2 2 2 3 5 3 5" xfId="18810" xr:uid="{00000000-0005-0000-0000-00007A490000}"/>
    <cellStyle name="Normal 2 2 2 3 5 3 6" xfId="18811" xr:uid="{00000000-0005-0000-0000-00007B490000}"/>
    <cellStyle name="Normal 2 2 2 3 5 3 7" xfId="18812" xr:uid="{00000000-0005-0000-0000-00007C490000}"/>
    <cellStyle name="Normal 2 2 2 3 5 3 8" xfId="18813" xr:uid="{00000000-0005-0000-0000-00007D490000}"/>
    <cellStyle name="Normal 2 2 2 3 5 3 9" xfId="18814" xr:uid="{00000000-0005-0000-0000-00007E490000}"/>
    <cellStyle name="Normal 2 2 2 3 5 4" xfId="18815" xr:uid="{00000000-0005-0000-0000-00007F490000}"/>
    <cellStyle name="Normal 2 2 2 3 5 4 10" xfId="18816" xr:uid="{00000000-0005-0000-0000-000080490000}"/>
    <cellStyle name="Normal 2 2 2 3 5 4 2" xfId="18817" xr:uid="{00000000-0005-0000-0000-000081490000}"/>
    <cellStyle name="Normal 2 2 2 3 5 4 3" xfId="18818" xr:uid="{00000000-0005-0000-0000-000082490000}"/>
    <cellStyle name="Normal 2 2 2 3 5 4 4" xfId="18819" xr:uid="{00000000-0005-0000-0000-000083490000}"/>
    <cellStyle name="Normal 2 2 2 3 5 4 5" xfId="18820" xr:uid="{00000000-0005-0000-0000-000084490000}"/>
    <cellStyle name="Normal 2 2 2 3 5 4 6" xfId="18821" xr:uid="{00000000-0005-0000-0000-000085490000}"/>
    <cellStyle name="Normal 2 2 2 3 5 4 7" xfId="18822" xr:uid="{00000000-0005-0000-0000-000086490000}"/>
    <cellStyle name="Normal 2 2 2 3 5 4 8" xfId="18823" xr:uid="{00000000-0005-0000-0000-000087490000}"/>
    <cellStyle name="Normal 2 2 2 3 5 4 9" xfId="18824" xr:uid="{00000000-0005-0000-0000-000088490000}"/>
    <cellStyle name="Normal 2 2 2 3 5 5" xfId="18825" xr:uid="{00000000-0005-0000-0000-000089490000}"/>
    <cellStyle name="Normal 2 2 2 3 5 5 10" xfId="18826" xr:uid="{00000000-0005-0000-0000-00008A490000}"/>
    <cellStyle name="Normal 2 2 2 3 5 5 2" xfId="18827" xr:uid="{00000000-0005-0000-0000-00008B490000}"/>
    <cellStyle name="Normal 2 2 2 3 5 5 3" xfId="18828" xr:uid="{00000000-0005-0000-0000-00008C490000}"/>
    <cellStyle name="Normal 2 2 2 3 5 5 4" xfId="18829" xr:uid="{00000000-0005-0000-0000-00008D490000}"/>
    <cellStyle name="Normal 2 2 2 3 5 5 5" xfId="18830" xr:uid="{00000000-0005-0000-0000-00008E490000}"/>
    <cellStyle name="Normal 2 2 2 3 5 5 6" xfId="18831" xr:uid="{00000000-0005-0000-0000-00008F490000}"/>
    <cellStyle name="Normal 2 2 2 3 5 5 7" xfId="18832" xr:uid="{00000000-0005-0000-0000-000090490000}"/>
    <cellStyle name="Normal 2 2 2 3 5 5 8" xfId="18833" xr:uid="{00000000-0005-0000-0000-000091490000}"/>
    <cellStyle name="Normal 2 2 2 3 5 5 9" xfId="18834" xr:uid="{00000000-0005-0000-0000-000092490000}"/>
    <cellStyle name="Normal 2 2 2 3 5 6" xfId="18835" xr:uid="{00000000-0005-0000-0000-000093490000}"/>
    <cellStyle name="Normal 2 2 2 3 5 7" xfId="18836" xr:uid="{00000000-0005-0000-0000-000094490000}"/>
    <cellStyle name="Normal 2 2 2 3 5 8" xfId="18837" xr:uid="{00000000-0005-0000-0000-000095490000}"/>
    <cellStyle name="Normal 2 2 2 3 5 9" xfId="18838" xr:uid="{00000000-0005-0000-0000-000096490000}"/>
    <cellStyle name="Normal 2 2 2 3 6" xfId="18839" xr:uid="{00000000-0005-0000-0000-000097490000}"/>
    <cellStyle name="Normal 2 2 2 3 6 10" xfId="18840" xr:uid="{00000000-0005-0000-0000-000098490000}"/>
    <cellStyle name="Normal 2 2 2 3 6 11" xfId="18841" xr:uid="{00000000-0005-0000-0000-000099490000}"/>
    <cellStyle name="Normal 2 2 2 3 6 12" xfId="18842" xr:uid="{00000000-0005-0000-0000-00009A490000}"/>
    <cellStyle name="Normal 2 2 2 3 6 13" xfId="18843" xr:uid="{00000000-0005-0000-0000-00009B490000}"/>
    <cellStyle name="Normal 2 2 2 3 6 14" xfId="18844" xr:uid="{00000000-0005-0000-0000-00009C490000}"/>
    <cellStyle name="Normal 2 2 2 3 6 15" xfId="18845" xr:uid="{00000000-0005-0000-0000-00009D490000}"/>
    <cellStyle name="Normal 2 2 2 3 6 2" xfId="18846" xr:uid="{00000000-0005-0000-0000-00009E490000}"/>
    <cellStyle name="Normal 2 2 2 3 6 2 10" xfId="18847" xr:uid="{00000000-0005-0000-0000-00009F490000}"/>
    <cellStyle name="Normal 2 2 2 3 6 2 2" xfId="18848" xr:uid="{00000000-0005-0000-0000-0000A0490000}"/>
    <cellStyle name="Normal 2 2 2 3 6 2 3" xfId="18849" xr:uid="{00000000-0005-0000-0000-0000A1490000}"/>
    <cellStyle name="Normal 2 2 2 3 6 2 4" xfId="18850" xr:uid="{00000000-0005-0000-0000-0000A2490000}"/>
    <cellStyle name="Normal 2 2 2 3 6 2 5" xfId="18851" xr:uid="{00000000-0005-0000-0000-0000A3490000}"/>
    <cellStyle name="Normal 2 2 2 3 6 2 6" xfId="18852" xr:uid="{00000000-0005-0000-0000-0000A4490000}"/>
    <cellStyle name="Normal 2 2 2 3 6 2 7" xfId="18853" xr:uid="{00000000-0005-0000-0000-0000A5490000}"/>
    <cellStyle name="Normal 2 2 2 3 6 2 8" xfId="18854" xr:uid="{00000000-0005-0000-0000-0000A6490000}"/>
    <cellStyle name="Normal 2 2 2 3 6 2 9" xfId="18855" xr:uid="{00000000-0005-0000-0000-0000A7490000}"/>
    <cellStyle name="Normal 2 2 2 3 6 3" xfId="18856" xr:uid="{00000000-0005-0000-0000-0000A8490000}"/>
    <cellStyle name="Normal 2 2 2 3 6 3 10" xfId="18857" xr:uid="{00000000-0005-0000-0000-0000A9490000}"/>
    <cellStyle name="Normal 2 2 2 3 6 3 2" xfId="18858" xr:uid="{00000000-0005-0000-0000-0000AA490000}"/>
    <cellStyle name="Normal 2 2 2 3 6 3 3" xfId="18859" xr:uid="{00000000-0005-0000-0000-0000AB490000}"/>
    <cellStyle name="Normal 2 2 2 3 6 3 4" xfId="18860" xr:uid="{00000000-0005-0000-0000-0000AC490000}"/>
    <cellStyle name="Normal 2 2 2 3 6 3 5" xfId="18861" xr:uid="{00000000-0005-0000-0000-0000AD490000}"/>
    <cellStyle name="Normal 2 2 2 3 6 3 6" xfId="18862" xr:uid="{00000000-0005-0000-0000-0000AE490000}"/>
    <cellStyle name="Normal 2 2 2 3 6 3 7" xfId="18863" xr:uid="{00000000-0005-0000-0000-0000AF490000}"/>
    <cellStyle name="Normal 2 2 2 3 6 3 8" xfId="18864" xr:uid="{00000000-0005-0000-0000-0000B0490000}"/>
    <cellStyle name="Normal 2 2 2 3 6 3 9" xfId="18865" xr:uid="{00000000-0005-0000-0000-0000B1490000}"/>
    <cellStyle name="Normal 2 2 2 3 6 4" xfId="18866" xr:uid="{00000000-0005-0000-0000-0000B2490000}"/>
    <cellStyle name="Normal 2 2 2 3 6 4 10" xfId="18867" xr:uid="{00000000-0005-0000-0000-0000B3490000}"/>
    <cellStyle name="Normal 2 2 2 3 6 4 2" xfId="18868" xr:uid="{00000000-0005-0000-0000-0000B4490000}"/>
    <cellStyle name="Normal 2 2 2 3 6 4 3" xfId="18869" xr:uid="{00000000-0005-0000-0000-0000B5490000}"/>
    <cellStyle name="Normal 2 2 2 3 6 4 4" xfId="18870" xr:uid="{00000000-0005-0000-0000-0000B6490000}"/>
    <cellStyle name="Normal 2 2 2 3 6 4 5" xfId="18871" xr:uid="{00000000-0005-0000-0000-0000B7490000}"/>
    <cellStyle name="Normal 2 2 2 3 6 4 6" xfId="18872" xr:uid="{00000000-0005-0000-0000-0000B8490000}"/>
    <cellStyle name="Normal 2 2 2 3 6 4 7" xfId="18873" xr:uid="{00000000-0005-0000-0000-0000B9490000}"/>
    <cellStyle name="Normal 2 2 2 3 6 4 8" xfId="18874" xr:uid="{00000000-0005-0000-0000-0000BA490000}"/>
    <cellStyle name="Normal 2 2 2 3 6 4 9" xfId="18875" xr:uid="{00000000-0005-0000-0000-0000BB490000}"/>
    <cellStyle name="Normal 2 2 2 3 6 5" xfId="18876" xr:uid="{00000000-0005-0000-0000-0000BC490000}"/>
    <cellStyle name="Normal 2 2 2 3 6 5 10" xfId="18877" xr:uid="{00000000-0005-0000-0000-0000BD490000}"/>
    <cellStyle name="Normal 2 2 2 3 6 5 2" xfId="18878" xr:uid="{00000000-0005-0000-0000-0000BE490000}"/>
    <cellStyle name="Normal 2 2 2 3 6 5 3" xfId="18879" xr:uid="{00000000-0005-0000-0000-0000BF490000}"/>
    <cellStyle name="Normal 2 2 2 3 6 5 4" xfId="18880" xr:uid="{00000000-0005-0000-0000-0000C0490000}"/>
    <cellStyle name="Normal 2 2 2 3 6 5 5" xfId="18881" xr:uid="{00000000-0005-0000-0000-0000C1490000}"/>
    <cellStyle name="Normal 2 2 2 3 6 5 6" xfId="18882" xr:uid="{00000000-0005-0000-0000-0000C2490000}"/>
    <cellStyle name="Normal 2 2 2 3 6 5 7" xfId="18883" xr:uid="{00000000-0005-0000-0000-0000C3490000}"/>
    <cellStyle name="Normal 2 2 2 3 6 5 8" xfId="18884" xr:uid="{00000000-0005-0000-0000-0000C4490000}"/>
    <cellStyle name="Normal 2 2 2 3 6 5 9" xfId="18885" xr:uid="{00000000-0005-0000-0000-0000C5490000}"/>
    <cellStyle name="Normal 2 2 2 3 6 6" xfId="18886" xr:uid="{00000000-0005-0000-0000-0000C6490000}"/>
    <cellStyle name="Normal 2 2 2 3 6 7" xfId="18887" xr:uid="{00000000-0005-0000-0000-0000C7490000}"/>
    <cellStyle name="Normal 2 2 2 3 6 8" xfId="18888" xr:uid="{00000000-0005-0000-0000-0000C8490000}"/>
    <cellStyle name="Normal 2 2 2 3 6 9" xfId="18889" xr:uid="{00000000-0005-0000-0000-0000C9490000}"/>
    <cellStyle name="Normal 2 2 2 3 7" xfId="18890" xr:uid="{00000000-0005-0000-0000-0000CA490000}"/>
    <cellStyle name="Normal 2 2 2 3 7 10" xfId="18891" xr:uid="{00000000-0005-0000-0000-0000CB490000}"/>
    <cellStyle name="Normal 2 2 2 3 7 11" xfId="18892" xr:uid="{00000000-0005-0000-0000-0000CC490000}"/>
    <cellStyle name="Normal 2 2 2 3 7 12" xfId="18893" xr:uid="{00000000-0005-0000-0000-0000CD490000}"/>
    <cellStyle name="Normal 2 2 2 3 7 13" xfId="18894" xr:uid="{00000000-0005-0000-0000-0000CE490000}"/>
    <cellStyle name="Normal 2 2 2 3 7 14" xfId="18895" xr:uid="{00000000-0005-0000-0000-0000CF490000}"/>
    <cellStyle name="Normal 2 2 2 3 7 15" xfId="18896" xr:uid="{00000000-0005-0000-0000-0000D0490000}"/>
    <cellStyle name="Normal 2 2 2 3 7 2" xfId="18897" xr:uid="{00000000-0005-0000-0000-0000D1490000}"/>
    <cellStyle name="Normal 2 2 2 3 7 2 10" xfId="18898" xr:uid="{00000000-0005-0000-0000-0000D2490000}"/>
    <cellStyle name="Normal 2 2 2 3 7 2 2" xfId="18899" xr:uid="{00000000-0005-0000-0000-0000D3490000}"/>
    <cellStyle name="Normal 2 2 2 3 7 2 3" xfId="18900" xr:uid="{00000000-0005-0000-0000-0000D4490000}"/>
    <cellStyle name="Normal 2 2 2 3 7 2 4" xfId="18901" xr:uid="{00000000-0005-0000-0000-0000D5490000}"/>
    <cellStyle name="Normal 2 2 2 3 7 2 5" xfId="18902" xr:uid="{00000000-0005-0000-0000-0000D6490000}"/>
    <cellStyle name="Normal 2 2 2 3 7 2 6" xfId="18903" xr:uid="{00000000-0005-0000-0000-0000D7490000}"/>
    <cellStyle name="Normal 2 2 2 3 7 2 7" xfId="18904" xr:uid="{00000000-0005-0000-0000-0000D8490000}"/>
    <cellStyle name="Normal 2 2 2 3 7 2 8" xfId="18905" xr:uid="{00000000-0005-0000-0000-0000D9490000}"/>
    <cellStyle name="Normal 2 2 2 3 7 2 9" xfId="18906" xr:uid="{00000000-0005-0000-0000-0000DA490000}"/>
    <cellStyle name="Normal 2 2 2 3 7 3" xfId="18907" xr:uid="{00000000-0005-0000-0000-0000DB490000}"/>
    <cellStyle name="Normal 2 2 2 3 7 3 10" xfId="18908" xr:uid="{00000000-0005-0000-0000-0000DC490000}"/>
    <cellStyle name="Normal 2 2 2 3 7 3 2" xfId="18909" xr:uid="{00000000-0005-0000-0000-0000DD490000}"/>
    <cellStyle name="Normal 2 2 2 3 7 3 3" xfId="18910" xr:uid="{00000000-0005-0000-0000-0000DE490000}"/>
    <cellStyle name="Normal 2 2 2 3 7 3 4" xfId="18911" xr:uid="{00000000-0005-0000-0000-0000DF490000}"/>
    <cellStyle name="Normal 2 2 2 3 7 3 5" xfId="18912" xr:uid="{00000000-0005-0000-0000-0000E0490000}"/>
    <cellStyle name="Normal 2 2 2 3 7 3 6" xfId="18913" xr:uid="{00000000-0005-0000-0000-0000E1490000}"/>
    <cellStyle name="Normal 2 2 2 3 7 3 7" xfId="18914" xr:uid="{00000000-0005-0000-0000-0000E2490000}"/>
    <cellStyle name="Normal 2 2 2 3 7 3 8" xfId="18915" xr:uid="{00000000-0005-0000-0000-0000E3490000}"/>
    <cellStyle name="Normal 2 2 2 3 7 3 9" xfId="18916" xr:uid="{00000000-0005-0000-0000-0000E4490000}"/>
    <cellStyle name="Normal 2 2 2 3 7 4" xfId="18917" xr:uid="{00000000-0005-0000-0000-0000E5490000}"/>
    <cellStyle name="Normal 2 2 2 3 7 4 10" xfId="18918" xr:uid="{00000000-0005-0000-0000-0000E6490000}"/>
    <cellStyle name="Normal 2 2 2 3 7 4 2" xfId="18919" xr:uid="{00000000-0005-0000-0000-0000E7490000}"/>
    <cellStyle name="Normal 2 2 2 3 7 4 3" xfId="18920" xr:uid="{00000000-0005-0000-0000-0000E8490000}"/>
    <cellStyle name="Normal 2 2 2 3 7 4 4" xfId="18921" xr:uid="{00000000-0005-0000-0000-0000E9490000}"/>
    <cellStyle name="Normal 2 2 2 3 7 4 5" xfId="18922" xr:uid="{00000000-0005-0000-0000-0000EA490000}"/>
    <cellStyle name="Normal 2 2 2 3 7 4 6" xfId="18923" xr:uid="{00000000-0005-0000-0000-0000EB490000}"/>
    <cellStyle name="Normal 2 2 2 3 7 4 7" xfId="18924" xr:uid="{00000000-0005-0000-0000-0000EC490000}"/>
    <cellStyle name="Normal 2 2 2 3 7 4 8" xfId="18925" xr:uid="{00000000-0005-0000-0000-0000ED490000}"/>
    <cellStyle name="Normal 2 2 2 3 7 4 9" xfId="18926" xr:uid="{00000000-0005-0000-0000-0000EE490000}"/>
    <cellStyle name="Normal 2 2 2 3 7 5" xfId="18927" xr:uid="{00000000-0005-0000-0000-0000EF490000}"/>
    <cellStyle name="Normal 2 2 2 3 7 5 10" xfId="18928" xr:uid="{00000000-0005-0000-0000-0000F0490000}"/>
    <cellStyle name="Normal 2 2 2 3 7 5 2" xfId="18929" xr:uid="{00000000-0005-0000-0000-0000F1490000}"/>
    <cellStyle name="Normal 2 2 2 3 7 5 3" xfId="18930" xr:uid="{00000000-0005-0000-0000-0000F2490000}"/>
    <cellStyle name="Normal 2 2 2 3 7 5 4" xfId="18931" xr:uid="{00000000-0005-0000-0000-0000F3490000}"/>
    <cellStyle name="Normal 2 2 2 3 7 5 5" xfId="18932" xr:uid="{00000000-0005-0000-0000-0000F4490000}"/>
    <cellStyle name="Normal 2 2 2 3 7 5 6" xfId="18933" xr:uid="{00000000-0005-0000-0000-0000F5490000}"/>
    <cellStyle name="Normal 2 2 2 3 7 5 7" xfId="18934" xr:uid="{00000000-0005-0000-0000-0000F6490000}"/>
    <cellStyle name="Normal 2 2 2 3 7 5 8" xfId="18935" xr:uid="{00000000-0005-0000-0000-0000F7490000}"/>
    <cellStyle name="Normal 2 2 2 3 7 5 9" xfId="18936" xr:uid="{00000000-0005-0000-0000-0000F8490000}"/>
    <cellStyle name="Normal 2 2 2 3 7 6" xfId="18937" xr:uid="{00000000-0005-0000-0000-0000F9490000}"/>
    <cellStyle name="Normal 2 2 2 3 7 7" xfId="18938" xr:uid="{00000000-0005-0000-0000-0000FA490000}"/>
    <cellStyle name="Normal 2 2 2 3 7 8" xfId="18939" xr:uid="{00000000-0005-0000-0000-0000FB490000}"/>
    <cellStyle name="Normal 2 2 2 3 7 9" xfId="18940" xr:uid="{00000000-0005-0000-0000-0000FC490000}"/>
    <cellStyle name="Normal 2 2 2 3 8" xfId="18941" xr:uid="{00000000-0005-0000-0000-0000FD490000}"/>
    <cellStyle name="Normal 2 2 2 3 8 10" xfId="18942" xr:uid="{00000000-0005-0000-0000-0000FE490000}"/>
    <cellStyle name="Normal 2 2 2 3 8 11" xfId="18943" xr:uid="{00000000-0005-0000-0000-0000FF490000}"/>
    <cellStyle name="Normal 2 2 2 3 8 12" xfId="18944" xr:uid="{00000000-0005-0000-0000-0000004A0000}"/>
    <cellStyle name="Normal 2 2 2 3 8 13" xfId="18945" xr:uid="{00000000-0005-0000-0000-0000014A0000}"/>
    <cellStyle name="Normal 2 2 2 3 8 14" xfId="18946" xr:uid="{00000000-0005-0000-0000-0000024A0000}"/>
    <cellStyle name="Normal 2 2 2 3 8 2" xfId="18947" xr:uid="{00000000-0005-0000-0000-0000034A0000}"/>
    <cellStyle name="Normal 2 2 2 3 8 2 10" xfId="18948" xr:uid="{00000000-0005-0000-0000-0000044A0000}"/>
    <cellStyle name="Normal 2 2 2 3 8 2 2" xfId="18949" xr:uid="{00000000-0005-0000-0000-0000054A0000}"/>
    <cellStyle name="Normal 2 2 2 3 8 2 3" xfId="18950" xr:uid="{00000000-0005-0000-0000-0000064A0000}"/>
    <cellStyle name="Normal 2 2 2 3 8 2 4" xfId="18951" xr:uid="{00000000-0005-0000-0000-0000074A0000}"/>
    <cellStyle name="Normal 2 2 2 3 8 2 5" xfId="18952" xr:uid="{00000000-0005-0000-0000-0000084A0000}"/>
    <cellStyle name="Normal 2 2 2 3 8 2 6" xfId="18953" xr:uid="{00000000-0005-0000-0000-0000094A0000}"/>
    <cellStyle name="Normal 2 2 2 3 8 2 7" xfId="18954" xr:uid="{00000000-0005-0000-0000-00000A4A0000}"/>
    <cellStyle name="Normal 2 2 2 3 8 2 8" xfId="18955" xr:uid="{00000000-0005-0000-0000-00000B4A0000}"/>
    <cellStyle name="Normal 2 2 2 3 8 2 9" xfId="18956" xr:uid="{00000000-0005-0000-0000-00000C4A0000}"/>
    <cellStyle name="Normal 2 2 2 3 8 3" xfId="18957" xr:uid="{00000000-0005-0000-0000-00000D4A0000}"/>
    <cellStyle name="Normal 2 2 2 3 8 3 10" xfId="18958" xr:uid="{00000000-0005-0000-0000-00000E4A0000}"/>
    <cellStyle name="Normal 2 2 2 3 8 3 2" xfId="18959" xr:uid="{00000000-0005-0000-0000-00000F4A0000}"/>
    <cellStyle name="Normal 2 2 2 3 8 3 3" xfId="18960" xr:uid="{00000000-0005-0000-0000-0000104A0000}"/>
    <cellStyle name="Normal 2 2 2 3 8 3 4" xfId="18961" xr:uid="{00000000-0005-0000-0000-0000114A0000}"/>
    <cellStyle name="Normal 2 2 2 3 8 3 5" xfId="18962" xr:uid="{00000000-0005-0000-0000-0000124A0000}"/>
    <cellStyle name="Normal 2 2 2 3 8 3 6" xfId="18963" xr:uid="{00000000-0005-0000-0000-0000134A0000}"/>
    <cellStyle name="Normal 2 2 2 3 8 3 7" xfId="18964" xr:uid="{00000000-0005-0000-0000-0000144A0000}"/>
    <cellStyle name="Normal 2 2 2 3 8 3 8" xfId="18965" xr:uid="{00000000-0005-0000-0000-0000154A0000}"/>
    <cellStyle name="Normal 2 2 2 3 8 3 9" xfId="18966" xr:uid="{00000000-0005-0000-0000-0000164A0000}"/>
    <cellStyle name="Normal 2 2 2 3 8 4" xfId="18967" xr:uid="{00000000-0005-0000-0000-0000174A0000}"/>
    <cellStyle name="Normal 2 2 2 3 8 4 10" xfId="18968" xr:uid="{00000000-0005-0000-0000-0000184A0000}"/>
    <cellStyle name="Normal 2 2 2 3 8 4 2" xfId="18969" xr:uid="{00000000-0005-0000-0000-0000194A0000}"/>
    <cellStyle name="Normal 2 2 2 3 8 4 3" xfId="18970" xr:uid="{00000000-0005-0000-0000-00001A4A0000}"/>
    <cellStyle name="Normal 2 2 2 3 8 4 4" xfId="18971" xr:uid="{00000000-0005-0000-0000-00001B4A0000}"/>
    <cellStyle name="Normal 2 2 2 3 8 4 5" xfId="18972" xr:uid="{00000000-0005-0000-0000-00001C4A0000}"/>
    <cellStyle name="Normal 2 2 2 3 8 4 6" xfId="18973" xr:uid="{00000000-0005-0000-0000-00001D4A0000}"/>
    <cellStyle name="Normal 2 2 2 3 8 4 7" xfId="18974" xr:uid="{00000000-0005-0000-0000-00001E4A0000}"/>
    <cellStyle name="Normal 2 2 2 3 8 4 8" xfId="18975" xr:uid="{00000000-0005-0000-0000-00001F4A0000}"/>
    <cellStyle name="Normal 2 2 2 3 8 4 9" xfId="18976" xr:uid="{00000000-0005-0000-0000-0000204A0000}"/>
    <cellStyle name="Normal 2 2 2 3 8 5" xfId="18977" xr:uid="{00000000-0005-0000-0000-0000214A0000}"/>
    <cellStyle name="Normal 2 2 2 3 8 5 10" xfId="18978" xr:uid="{00000000-0005-0000-0000-0000224A0000}"/>
    <cellStyle name="Normal 2 2 2 3 8 5 2" xfId="18979" xr:uid="{00000000-0005-0000-0000-0000234A0000}"/>
    <cellStyle name="Normal 2 2 2 3 8 5 3" xfId="18980" xr:uid="{00000000-0005-0000-0000-0000244A0000}"/>
    <cellStyle name="Normal 2 2 2 3 8 5 4" xfId="18981" xr:uid="{00000000-0005-0000-0000-0000254A0000}"/>
    <cellStyle name="Normal 2 2 2 3 8 5 5" xfId="18982" xr:uid="{00000000-0005-0000-0000-0000264A0000}"/>
    <cellStyle name="Normal 2 2 2 3 8 5 6" xfId="18983" xr:uid="{00000000-0005-0000-0000-0000274A0000}"/>
    <cellStyle name="Normal 2 2 2 3 8 5 7" xfId="18984" xr:uid="{00000000-0005-0000-0000-0000284A0000}"/>
    <cellStyle name="Normal 2 2 2 3 8 5 8" xfId="18985" xr:uid="{00000000-0005-0000-0000-0000294A0000}"/>
    <cellStyle name="Normal 2 2 2 3 8 5 9" xfId="18986" xr:uid="{00000000-0005-0000-0000-00002A4A0000}"/>
    <cellStyle name="Normal 2 2 2 3 8 6" xfId="18987" xr:uid="{00000000-0005-0000-0000-00002B4A0000}"/>
    <cellStyle name="Normal 2 2 2 3 8 7" xfId="18988" xr:uid="{00000000-0005-0000-0000-00002C4A0000}"/>
    <cellStyle name="Normal 2 2 2 3 8 8" xfId="18989" xr:uid="{00000000-0005-0000-0000-00002D4A0000}"/>
    <cellStyle name="Normal 2 2 2 3 8 9" xfId="18990" xr:uid="{00000000-0005-0000-0000-00002E4A0000}"/>
    <cellStyle name="Normal 2 2 2 3 9" xfId="18991" xr:uid="{00000000-0005-0000-0000-00002F4A0000}"/>
    <cellStyle name="Normal 2 2 2 3 9 10" xfId="18992" xr:uid="{00000000-0005-0000-0000-0000304A0000}"/>
    <cellStyle name="Normal 2 2 2 3 9 11" xfId="18993" xr:uid="{00000000-0005-0000-0000-0000314A0000}"/>
    <cellStyle name="Normal 2 2 2 3 9 12" xfId="18994" xr:uid="{00000000-0005-0000-0000-0000324A0000}"/>
    <cellStyle name="Normal 2 2 2 3 9 13" xfId="18995" xr:uid="{00000000-0005-0000-0000-0000334A0000}"/>
    <cellStyle name="Normal 2 2 2 3 9 14" xfId="18996" xr:uid="{00000000-0005-0000-0000-0000344A0000}"/>
    <cellStyle name="Normal 2 2 2 3 9 2" xfId="18997" xr:uid="{00000000-0005-0000-0000-0000354A0000}"/>
    <cellStyle name="Normal 2 2 2 3 9 2 10" xfId="18998" xr:uid="{00000000-0005-0000-0000-0000364A0000}"/>
    <cellStyle name="Normal 2 2 2 3 9 2 2" xfId="18999" xr:uid="{00000000-0005-0000-0000-0000374A0000}"/>
    <cellStyle name="Normal 2 2 2 3 9 2 3" xfId="19000" xr:uid="{00000000-0005-0000-0000-0000384A0000}"/>
    <cellStyle name="Normal 2 2 2 3 9 2 4" xfId="19001" xr:uid="{00000000-0005-0000-0000-0000394A0000}"/>
    <cellStyle name="Normal 2 2 2 3 9 2 5" xfId="19002" xr:uid="{00000000-0005-0000-0000-00003A4A0000}"/>
    <cellStyle name="Normal 2 2 2 3 9 2 6" xfId="19003" xr:uid="{00000000-0005-0000-0000-00003B4A0000}"/>
    <cellStyle name="Normal 2 2 2 3 9 2 7" xfId="19004" xr:uid="{00000000-0005-0000-0000-00003C4A0000}"/>
    <cellStyle name="Normal 2 2 2 3 9 2 8" xfId="19005" xr:uid="{00000000-0005-0000-0000-00003D4A0000}"/>
    <cellStyle name="Normal 2 2 2 3 9 2 9" xfId="19006" xr:uid="{00000000-0005-0000-0000-00003E4A0000}"/>
    <cellStyle name="Normal 2 2 2 3 9 3" xfId="19007" xr:uid="{00000000-0005-0000-0000-00003F4A0000}"/>
    <cellStyle name="Normal 2 2 2 3 9 3 10" xfId="19008" xr:uid="{00000000-0005-0000-0000-0000404A0000}"/>
    <cellStyle name="Normal 2 2 2 3 9 3 2" xfId="19009" xr:uid="{00000000-0005-0000-0000-0000414A0000}"/>
    <cellStyle name="Normal 2 2 2 3 9 3 3" xfId="19010" xr:uid="{00000000-0005-0000-0000-0000424A0000}"/>
    <cellStyle name="Normal 2 2 2 3 9 3 4" xfId="19011" xr:uid="{00000000-0005-0000-0000-0000434A0000}"/>
    <cellStyle name="Normal 2 2 2 3 9 3 5" xfId="19012" xr:uid="{00000000-0005-0000-0000-0000444A0000}"/>
    <cellStyle name="Normal 2 2 2 3 9 3 6" xfId="19013" xr:uid="{00000000-0005-0000-0000-0000454A0000}"/>
    <cellStyle name="Normal 2 2 2 3 9 3 7" xfId="19014" xr:uid="{00000000-0005-0000-0000-0000464A0000}"/>
    <cellStyle name="Normal 2 2 2 3 9 3 8" xfId="19015" xr:uid="{00000000-0005-0000-0000-0000474A0000}"/>
    <cellStyle name="Normal 2 2 2 3 9 3 9" xfId="19016" xr:uid="{00000000-0005-0000-0000-0000484A0000}"/>
    <cellStyle name="Normal 2 2 2 3 9 4" xfId="19017" xr:uid="{00000000-0005-0000-0000-0000494A0000}"/>
    <cellStyle name="Normal 2 2 2 3 9 4 10" xfId="19018" xr:uid="{00000000-0005-0000-0000-00004A4A0000}"/>
    <cellStyle name="Normal 2 2 2 3 9 4 2" xfId="19019" xr:uid="{00000000-0005-0000-0000-00004B4A0000}"/>
    <cellStyle name="Normal 2 2 2 3 9 4 3" xfId="19020" xr:uid="{00000000-0005-0000-0000-00004C4A0000}"/>
    <cellStyle name="Normal 2 2 2 3 9 4 4" xfId="19021" xr:uid="{00000000-0005-0000-0000-00004D4A0000}"/>
    <cellStyle name="Normal 2 2 2 3 9 4 5" xfId="19022" xr:uid="{00000000-0005-0000-0000-00004E4A0000}"/>
    <cellStyle name="Normal 2 2 2 3 9 4 6" xfId="19023" xr:uid="{00000000-0005-0000-0000-00004F4A0000}"/>
    <cellStyle name="Normal 2 2 2 3 9 4 7" xfId="19024" xr:uid="{00000000-0005-0000-0000-0000504A0000}"/>
    <cellStyle name="Normal 2 2 2 3 9 4 8" xfId="19025" xr:uid="{00000000-0005-0000-0000-0000514A0000}"/>
    <cellStyle name="Normal 2 2 2 3 9 4 9" xfId="19026" xr:uid="{00000000-0005-0000-0000-0000524A0000}"/>
    <cellStyle name="Normal 2 2 2 3 9 5" xfId="19027" xr:uid="{00000000-0005-0000-0000-0000534A0000}"/>
    <cellStyle name="Normal 2 2 2 3 9 5 10" xfId="19028" xr:uid="{00000000-0005-0000-0000-0000544A0000}"/>
    <cellStyle name="Normal 2 2 2 3 9 5 2" xfId="19029" xr:uid="{00000000-0005-0000-0000-0000554A0000}"/>
    <cellStyle name="Normal 2 2 2 3 9 5 3" xfId="19030" xr:uid="{00000000-0005-0000-0000-0000564A0000}"/>
    <cellStyle name="Normal 2 2 2 3 9 5 4" xfId="19031" xr:uid="{00000000-0005-0000-0000-0000574A0000}"/>
    <cellStyle name="Normal 2 2 2 3 9 5 5" xfId="19032" xr:uid="{00000000-0005-0000-0000-0000584A0000}"/>
    <cellStyle name="Normal 2 2 2 3 9 5 6" xfId="19033" xr:uid="{00000000-0005-0000-0000-0000594A0000}"/>
    <cellStyle name="Normal 2 2 2 3 9 5 7" xfId="19034" xr:uid="{00000000-0005-0000-0000-00005A4A0000}"/>
    <cellStyle name="Normal 2 2 2 3 9 5 8" xfId="19035" xr:uid="{00000000-0005-0000-0000-00005B4A0000}"/>
    <cellStyle name="Normal 2 2 2 3 9 5 9" xfId="19036" xr:uid="{00000000-0005-0000-0000-00005C4A0000}"/>
    <cellStyle name="Normal 2 2 2 3 9 6" xfId="19037" xr:uid="{00000000-0005-0000-0000-00005D4A0000}"/>
    <cellStyle name="Normal 2 2 2 3 9 7" xfId="19038" xr:uid="{00000000-0005-0000-0000-00005E4A0000}"/>
    <cellStyle name="Normal 2 2 2 3 9 8" xfId="19039" xr:uid="{00000000-0005-0000-0000-00005F4A0000}"/>
    <cellStyle name="Normal 2 2 2 3 9 9" xfId="19040" xr:uid="{00000000-0005-0000-0000-0000604A0000}"/>
    <cellStyle name="Normal 2 2 2 30" xfId="19041" xr:uid="{00000000-0005-0000-0000-0000614A0000}"/>
    <cellStyle name="Normal 2 2 2 30 10" xfId="19042" xr:uid="{00000000-0005-0000-0000-0000624A0000}"/>
    <cellStyle name="Normal 2 2 2 30 11" xfId="19043" xr:uid="{00000000-0005-0000-0000-0000634A0000}"/>
    <cellStyle name="Normal 2 2 2 30 12" xfId="19044" xr:uid="{00000000-0005-0000-0000-0000644A0000}"/>
    <cellStyle name="Normal 2 2 2 30 13" xfId="19045" xr:uid="{00000000-0005-0000-0000-0000654A0000}"/>
    <cellStyle name="Normal 2 2 2 30 14" xfId="19046" xr:uid="{00000000-0005-0000-0000-0000664A0000}"/>
    <cellStyle name="Normal 2 2 2 30 2" xfId="19047" xr:uid="{00000000-0005-0000-0000-0000674A0000}"/>
    <cellStyle name="Normal 2 2 2 30 2 10" xfId="19048" xr:uid="{00000000-0005-0000-0000-0000684A0000}"/>
    <cellStyle name="Normal 2 2 2 30 2 2" xfId="19049" xr:uid="{00000000-0005-0000-0000-0000694A0000}"/>
    <cellStyle name="Normal 2 2 2 30 2 3" xfId="19050" xr:uid="{00000000-0005-0000-0000-00006A4A0000}"/>
    <cellStyle name="Normal 2 2 2 30 2 4" xfId="19051" xr:uid="{00000000-0005-0000-0000-00006B4A0000}"/>
    <cellStyle name="Normal 2 2 2 30 2 5" xfId="19052" xr:uid="{00000000-0005-0000-0000-00006C4A0000}"/>
    <cellStyle name="Normal 2 2 2 30 2 6" xfId="19053" xr:uid="{00000000-0005-0000-0000-00006D4A0000}"/>
    <cellStyle name="Normal 2 2 2 30 2 7" xfId="19054" xr:uid="{00000000-0005-0000-0000-00006E4A0000}"/>
    <cellStyle name="Normal 2 2 2 30 2 8" xfId="19055" xr:uid="{00000000-0005-0000-0000-00006F4A0000}"/>
    <cellStyle name="Normal 2 2 2 30 2 9" xfId="19056" xr:uid="{00000000-0005-0000-0000-0000704A0000}"/>
    <cellStyle name="Normal 2 2 2 30 3" xfId="19057" xr:uid="{00000000-0005-0000-0000-0000714A0000}"/>
    <cellStyle name="Normal 2 2 2 30 3 10" xfId="19058" xr:uid="{00000000-0005-0000-0000-0000724A0000}"/>
    <cellStyle name="Normal 2 2 2 30 3 2" xfId="19059" xr:uid="{00000000-0005-0000-0000-0000734A0000}"/>
    <cellStyle name="Normal 2 2 2 30 3 3" xfId="19060" xr:uid="{00000000-0005-0000-0000-0000744A0000}"/>
    <cellStyle name="Normal 2 2 2 30 3 4" xfId="19061" xr:uid="{00000000-0005-0000-0000-0000754A0000}"/>
    <cellStyle name="Normal 2 2 2 30 3 5" xfId="19062" xr:uid="{00000000-0005-0000-0000-0000764A0000}"/>
    <cellStyle name="Normal 2 2 2 30 3 6" xfId="19063" xr:uid="{00000000-0005-0000-0000-0000774A0000}"/>
    <cellStyle name="Normal 2 2 2 30 3 7" xfId="19064" xr:uid="{00000000-0005-0000-0000-0000784A0000}"/>
    <cellStyle name="Normal 2 2 2 30 3 8" xfId="19065" xr:uid="{00000000-0005-0000-0000-0000794A0000}"/>
    <cellStyle name="Normal 2 2 2 30 3 9" xfId="19066" xr:uid="{00000000-0005-0000-0000-00007A4A0000}"/>
    <cellStyle name="Normal 2 2 2 30 4" xfId="19067" xr:uid="{00000000-0005-0000-0000-00007B4A0000}"/>
    <cellStyle name="Normal 2 2 2 30 4 10" xfId="19068" xr:uid="{00000000-0005-0000-0000-00007C4A0000}"/>
    <cellStyle name="Normal 2 2 2 30 4 2" xfId="19069" xr:uid="{00000000-0005-0000-0000-00007D4A0000}"/>
    <cellStyle name="Normal 2 2 2 30 4 3" xfId="19070" xr:uid="{00000000-0005-0000-0000-00007E4A0000}"/>
    <cellStyle name="Normal 2 2 2 30 4 4" xfId="19071" xr:uid="{00000000-0005-0000-0000-00007F4A0000}"/>
    <cellStyle name="Normal 2 2 2 30 4 5" xfId="19072" xr:uid="{00000000-0005-0000-0000-0000804A0000}"/>
    <cellStyle name="Normal 2 2 2 30 4 6" xfId="19073" xr:uid="{00000000-0005-0000-0000-0000814A0000}"/>
    <cellStyle name="Normal 2 2 2 30 4 7" xfId="19074" xr:uid="{00000000-0005-0000-0000-0000824A0000}"/>
    <cellStyle name="Normal 2 2 2 30 4 8" xfId="19075" xr:uid="{00000000-0005-0000-0000-0000834A0000}"/>
    <cellStyle name="Normal 2 2 2 30 4 9" xfId="19076" xr:uid="{00000000-0005-0000-0000-0000844A0000}"/>
    <cellStyle name="Normal 2 2 2 30 5" xfId="19077" xr:uid="{00000000-0005-0000-0000-0000854A0000}"/>
    <cellStyle name="Normal 2 2 2 30 5 10" xfId="19078" xr:uid="{00000000-0005-0000-0000-0000864A0000}"/>
    <cellStyle name="Normal 2 2 2 30 5 2" xfId="19079" xr:uid="{00000000-0005-0000-0000-0000874A0000}"/>
    <cellStyle name="Normal 2 2 2 30 5 3" xfId="19080" xr:uid="{00000000-0005-0000-0000-0000884A0000}"/>
    <cellStyle name="Normal 2 2 2 30 5 4" xfId="19081" xr:uid="{00000000-0005-0000-0000-0000894A0000}"/>
    <cellStyle name="Normal 2 2 2 30 5 5" xfId="19082" xr:uid="{00000000-0005-0000-0000-00008A4A0000}"/>
    <cellStyle name="Normal 2 2 2 30 5 6" xfId="19083" xr:uid="{00000000-0005-0000-0000-00008B4A0000}"/>
    <cellStyle name="Normal 2 2 2 30 5 7" xfId="19084" xr:uid="{00000000-0005-0000-0000-00008C4A0000}"/>
    <cellStyle name="Normal 2 2 2 30 5 8" xfId="19085" xr:uid="{00000000-0005-0000-0000-00008D4A0000}"/>
    <cellStyle name="Normal 2 2 2 30 5 9" xfId="19086" xr:uid="{00000000-0005-0000-0000-00008E4A0000}"/>
    <cellStyle name="Normal 2 2 2 30 6" xfId="19087" xr:uid="{00000000-0005-0000-0000-00008F4A0000}"/>
    <cellStyle name="Normal 2 2 2 30 7" xfId="19088" xr:uid="{00000000-0005-0000-0000-0000904A0000}"/>
    <cellStyle name="Normal 2 2 2 30 8" xfId="19089" xr:uid="{00000000-0005-0000-0000-0000914A0000}"/>
    <cellStyle name="Normal 2 2 2 30 9" xfId="19090" xr:uid="{00000000-0005-0000-0000-0000924A0000}"/>
    <cellStyle name="Normal 2 2 2 31" xfId="19091" xr:uid="{00000000-0005-0000-0000-0000934A0000}"/>
    <cellStyle name="Normal 2 2 2 31 10" xfId="19092" xr:uid="{00000000-0005-0000-0000-0000944A0000}"/>
    <cellStyle name="Normal 2 2 2 31 11" xfId="19093" xr:uid="{00000000-0005-0000-0000-0000954A0000}"/>
    <cellStyle name="Normal 2 2 2 31 12" xfId="19094" xr:uid="{00000000-0005-0000-0000-0000964A0000}"/>
    <cellStyle name="Normal 2 2 2 31 13" xfId="19095" xr:uid="{00000000-0005-0000-0000-0000974A0000}"/>
    <cellStyle name="Normal 2 2 2 31 14" xfId="19096" xr:uid="{00000000-0005-0000-0000-0000984A0000}"/>
    <cellStyle name="Normal 2 2 2 31 2" xfId="19097" xr:uid="{00000000-0005-0000-0000-0000994A0000}"/>
    <cellStyle name="Normal 2 2 2 31 2 10" xfId="19098" xr:uid="{00000000-0005-0000-0000-00009A4A0000}"/>
    <cellStyle name="Normal 2 2 2 31 2 2" xfId="19099" xr:uid="{00000000-0005-0000-0000-00009B4A0000}"/>
    <cellStyle name="Normal 2 2 2 31 2 3" xfId="19100" xr:uid="{00000000-0005-0000-0000-00009C4A0000}"/>
    <cellStyle name="Normal 2 2 2 31 2 4" xfId="19101" xr:uid="{00000000-0005-0000-0000-00009D4A0000}"/>
    <cellStyle name="Normal 2 2 2 31 2 5" xfId="19102" xr:uid="{00000000-0005-0000-0000-00009E4A0000}"/>
    <cellStyle name="Normal 2 2 2 31 2 6" xfId="19103" xr:uid="{00000000-0005-0000-0000-00009F4A0000}"/>
    <cellStyle name="Normal 2 2 2 31 2 7" xfId="19104" xr:uid="{00000000-0005-0000-0000-0000A04A0000}"/>
    <cellStyle name="Normal 2 2 2 31 2 8" xfId="19105" xr:uid="{00000000-0005-0000-0000-0000A14A0000}"/>
    <cellStyle name="Normal 2 2 2 31 2 9" xfId="19106" xr:uid="{00000000-0005-0000-0000-0000A24A0000}"/>
    <cellStyle name="Normal 2 2 2 31 3" xfId="19107" xr:uid="{00000000-0005-0000-0000-0000A34A0000}"/>
    <cellStyle name="Normal 2 2 2 31 3 10" xfId="19108" xr:uid="{00000000-0005-0000-0000-0000A44A0000}"/>
    <cellStyle name="Normal 2 2 2 31 3 2" xfId="19109" xr:uid="{00000000-0005-0000-0000-0000A54A0000}"/>
    <cellStyle name="Normal 2 2 2 31 3 3" xfId="19110" xr:uid="{00000000-0005-0000-0000-0000A64A0000}"/>
    <cellStyle name="Normal 2 2 2 31 3 4" xfId="19111" xr:uid="{00000000-0005-0000-0000-0000A74A0000}"/>
    <cellStyle name="Normal 2 2 2 31 3 5" xfId="19112" xr:uid="{00000000-0005-0000-0000-0000A84A0000}"/>
    <cellStyle name="Normal 2 2 2 31 3 6" xfId="19113" xr:uid="{00000000-0005-0000-0000-0000A94A0000}"/>
    <cellStyle name="Normal 2 2 2 31 3 7" xfId="19114" xr:uid="{00000000-0005-0000-0000-0000AA4A0000}"/>
    <cellStyle name="Normal 2 2 2 31 3 8" xfId="19115" xr:uid="{00000000-0005-0000-0000-0000AB4A0000}"/>
    <cellStyle name="Normal 2 2 2 31 3 9" xfId="19116" xr:uid="{00000000-0005-0000-0000-0000AC4A0000}"/>
    <cellStyle name="Normal 2 2 2 31 4" xfId="19117" xr:uid="{00000000-0005-0000-0000-0000AD4A0000}"/>
    <cellStyle name="Normal 2 2 2 31 4 10" xfId="19118" xr:uid="{00000000-0005-0000-0000-0000AE4A0000}"/>
    <cellStyle name="Normal 2 2 2 31 4 2" xfId="19119" xr:uid="{00000000-0005-0000-0000-0000AF4A0000}"/>
    <cellStyle name="Normal 2 2 2 31 4 3" xfId="19120" xr:uid="{00000000-0005-0000-0000-0000B04A0000}"/>
    <cellStyle name="Normal 2 2 2 31 4 4" xfId="19121" xr:uid="{00000000-0005-0000-0000-0000B14A0000}"/>
    <cellStyle name="Normal 2 2 2 31 4 5" xfId="19122" xr:uid="{00000000-0005-0000-0000-0000B24A0000}"/>
    <cellStyle name="Normal 2 2 2 31 4 6" xfId="19123" xr:uid="{00000000-0005-0000-0000-0000B34A0000}"/>
    <cellStyle name="Normal 2 2 2 31 4 7" xfId="19124" xr:uid="{00000000-0005-0000-0000-0000B44A0000}"/>
    <cellStyle name="Normal 2 2 2 31 4 8" xfId="19125" xr:uid="{00000000-0005-0000-0000-0000B54A0000}"/>
    <cellStyle name="Normal 2 2 2 31 4 9" xfId="19126" xr:uid="{00000000-0005-0000-0000-0000B64A0000}"/>
    <cellStyle name="Normal 2 2 2 31 5" xfId="19127" xr:uid="{00000000-0005-0000-0000-0000B74A0000}"/>
    <cellStyle name="Normal 2 2 2 31 5 10" xfId="19128" xr:uid="{00000000-0005-0000-0000-0000B84A0000}"/>
    <cellStyle name="Normal 2 2 2 31 5 2" xfId="19129" xr:uid="{00000000-0005-0000-0000-0000B94A0000}"/>
    <cellStyle name="Normal 2 2 2 31 5 3" xfId="19130" xr:uid="{00000000-0005-0000-0000-0000BA4A0000}"/>
    <cellStyle name="Normal 2 2 2 31 5 4" xfId="19131" xr:uid="{00000000-0005-0000-0000-0000BB4A0000}"/>
    <cellStyle name="Normal 2 2 2 31 5 5" xfId="19132" xr:uid="{00000000-0005-0000-0000-0000BC4A0000}"/>
    <cellStyle name="Normal 2 2 2 31 5 6" xfId="19133" xr:uid="{00000000-0005-0000-0000-0000BD4A0000}"/>
    <cellStyle name="Normal 2 2 2 31 5 7" xfId="19134" xr:uid="{00000000-0005-0000-0000-0000BE4A0000}"/>
    <cellStyle name="Normal 2 2 2 31 5 8" xfId="19135" xr:uid="{00000000-0005-0000-0000-0000BF4A0000}"/>
    <cellStyle name="Normal 2 2 2 31 5 9" xfId="19136" xr:uid="{00000000-0005-0000-0000-0000C04A0000}"/>
    <cellStyle name="Normal 2 2 2 31 6" xfId="19137" xr:uid="{00000000-0005-0000-0000-0000C14A0000}"/>
    <cellStyle name="Normal 2 2 2 31 7" xfId="19138" xr:uid="{00000000-0005-0000-0000-0000C24A0000}"/>
    <cellStyle name="Normal 2 2 2 31 8" xfId="19139" xr:uid="{00000000-0005-0000-0000-0000C34A0000}"/>
    <cellStyle name="Normal 2 2 2 31 9" xfId="19140" xr:uid="{00000000-0005-0000-0000-0000C44A0000}"/>
    <cellStyle name="Normal 2 2 2 32" xfId="19141" xr:uid="{00000000-0005-0000-0000-0000C54A0000}"/>
    <cellStyle name="Normal 2 2 2 32 10" xfId="19142" xr:uid="{00000000-0005-0000-0000-0000C64A0000}"/>
    <cellStyle name="Normal 2 2 2 32 11" xfId="19143" xr:uid="{00000000-0005-0000-0000-0000C74A0000}"/>
    <cellStyle name="Normal 2 2 2 32 12" xfId="19144" xr:uid="{00000000-0005-0000-0000-0000C84A0000}"/>
    <cellStyle name="Normal 2 2 2 32 13" xfId="19145" xr:uid="{00000000-0005-0000-0000-0000C94A0000}"/>
    <cellStyle name="Normal 2 2 2 32 14" xfId="19146" xr:uid="{00000000-0005-0000-0000-0000CA4A0000}"/>
    <cellStyle name="Normal 2 2 2 32 2" xfId="19147" xr:uid="{00000000-0005-0000-0000-0000CB4A0000}"/>
    <cellStyle name="Normal 2 2 2 32 2 10" xfId="19148" xr:uid="{00000000-0005-0000-0000-0000CC4A0000}"/>
    <cellStyle name="Normal 2 2 2 32 2 2" xfId="19149" xr:uid="{00000000-0005-0000-0000-0000CD4A0000}"/>
    <cellStyle name="Normal 2 2 2 32 2 3" xfId="19150" xr:uid="{00000000-0005-0000-0000-0000CE4A0000}"/>
    <cellStyle name="Normal 2 2 2 32 2 4" xfId="19151" xr:uid="{00000000-0005-0000-0000-0000CF4A0000}"/>
    <cellStyle name="Normal 2 2 2 32 2 5" xfId="19152" xr:uid="{00000000-0005-0000-0000-0000D04A0000}"/>
    <cellStyle name="Normal 2 2 2 32 2 6" xfId="19153" xr:uid="{00000000-0005-0000-0000-0000D14A0000}"/>
    <cellStyle name="Normal 2 2 2 32 2 7" xfId="19154" xr:uid="{00000000-0005-0000-0000-0000D24A0000}"/>
    <cellStyle name="Normal 2 2 2 32 2 8" xfId="19155" xr:uid="{00000000-0005-0000-0000-0000D34A0000}"/>
    <cellStyle name="Normal 2 2 2 32 2 9" xfId="19156" xr:uid="{00000000-0005-0000-0000-0000D44A0000}"/>
    <cellStyle name="Normal 2 2 2 32 3" xfId="19157" xr:uid="{00000000-0005-0000-0000-0000D54A0000}"/>
    <cellStyle name="Normal 2 2 2 32 3 10" xfId="19158" xr:uid="{00000000-0005-0000-0000-0000D64A0000}"/>
    <cellStyle name="Normal 2 2 2 32 3 2" xfId="19159" xr:uid="{00000000-0005-0000-0000-0000D74A0000}"/>
    <cellStyle name="Normal 2 2 2 32 3 3" xfId="19160" xr:uid="{00000000-0005-0000-0000-0000D84A0000}"/>
    <cellStyle name="Normal 2 2 2 32 3 4" xfId="19161" xr:uid="{00000000-0005-0000-0000-0000D94A0000}"/>
    <cellStyle name="Normal 2 2 2 32 3 5" xfId="19162" xr:uid="{00000000-0005-0000-0000-0000DA4A0000}"/>
    <cellStyle name="Normal 2 2 2 32 3 6" xfId="19163" xr:uid="{00000000-0005-0000-0000-0000DB4A0000}"/>
    <cellStyle name="Normal 2 2 2 32 3 7" xfId="19164" xr:uid="{00000000-0005-0000-0000-0000DC4A0000}"/>
    <cellStyle name="Normal 2 2 2 32 3 8" xfId="19165" xr:uid="{00000000-0005-0000-0000-0000DD4A0000}"/>
    <cellStyle name="Normal 2 2 2 32 3 9" xfId="19166" xr:uid="{00000000-0005-0000-0000-0000DE4A0000}"/>
    <cellStyle name="Normal 2 2 2 32 4" xfId="19167" xr:uid="{00000000-0005-0000-0000-0000DF4A0000}"/>
    <cellStyle name="Normal 2 2 2 32 4 10" xfId="19168" xr:uid="{00000000-0005-0000-0000-0000E04A0000}"/>
    <cellStyle name="Normal 2 2 2 32 4 2" xfId="19169" xr:uid="{00000000-0005-0000-0000-0000E14A0000}"/>
    <cellStyle name="Normal 2 2 2 32 4 3" xfId="19170" xr:uid="{00000000-0005-0000-0000-0000E24A0000}"/>
    <cellStyle name="Normal 2 2 2 32 4 4" xfId="19171" xr:uid="{00000000-0005-0000-0000-0000E34A0000}"/>
    <cellStyle name="Normal 2 2 2 32 4 5" xfId="19172" xr:uid="{00000000-0005-0000-0000-0000E44A0000}"/>
    <cellStyle name="Normal 2 2 2 32 4 6" xfId="19173" xr:uid="{00000000-0005-0000-0000-0000E54A0000}"/>
    <cellStyle name="Normal 2 2 2 32 4 7" xfId="19174" xr:uid="{00000000-0005-0000-0000-0000E64A0000}"/>
    <cellStyle name="Normal 2 2 2 32 4 8" xfId="19175" xr:uid="{00000000-0005-0000-0000-0000E74A0000}"/>
    <cellStyle name="Normal 2 2 2 32 4 9" xfId="19176" xr:uid="{00000000-0005-0000-0000-0000E84A0000}"/>
    <cellStyle name="Normal 2 2 2 32 5" xfId="19177" xr:uid="{00000000-0005-0000-0000-0000E94A0000}"/>
    <cellStyle name="Normal 2 2 2 32 5 10" xfId="19178" xr:uid="{00000000-0005-0000-0000-0000EA4A0000}"/>
    <cellStyle name="Normal 2 2 2 32 5 2" xfId="19179" xr:uid="{00000000-0005-0000-0000-0000EB4A0000}"/>
    <cellStyle name="Normal 2 2 2 32 5 3" xfId="19180" xr:uid="{00000000-0005-0000-0000-0000EC4A0000}"/>
    <cellStyle name="Normal 2 2 2 32 5 4" xfId="19181" xr:uid="{00000000-0005-0000-0000-0000ED4A0000}"/>
    <cellStyle name="Normal 2 2 2 32 5 5" xfId="19182" xr:uid="{00000000-0005-0000-0000-0000EE4A0000}"/>
    <cellStyle name="Normal 2 2 2 32 5 6" xfId="19183" xr:uid="{00000000-0005-0000-0000-0000EF4A0000}"/>
    <cellStyle name="Normal 2 2 2 32 5 7" xfId="19184" xr:uid="{00000000-0005-0000-0000-0000F04A0000}"/>
    <cellStyle name="Normal 2 2 2 32 5 8" xfId="19185" xr:uid="{00000000-0005-0000-0000-0000F14A0000}"/>
    <cellStyle name="Normal 2 2 2 32 5 9" xfId="19186" xr:uid="{00000000-0005-0000-0000-0000F24A0000}"/>
    <cellStyle name="Normal 2 2 2 32 6" xfId="19187" xr:uid="{00000000-0005-0000-0000-0000F34A0000}"/>
    <cellStyle name="Normal 2 2 2 32 7" xfId="19188" xr:uid="{00000000-0005-0000-0000-0000F44A0000}"/>
    <cellStyle name="Normal 2 2 2 32 8" xfId="19189" xr:uid="{00000000-0005-0000-0000-0000F54A0000}"/>
    <cellStyle name="Normal 2 2 2 32 9" xfId="19190" xr:uid="{00000000-0005-0000-0000-0000F64A0000}"/>
    <cellStyle name="Normal 2 2 2 33" xfId="19191" xr:uid="{00000000-0005-0000-0000-0000F74A0000}"/>
    <cellStyle name="Normal 2 2 2 33 10" xfId="19192" xr:uid="{00000000-0005-0000-0000-0000F84A0000}"/>
    <cellStyle name="Normal 2 2 2 33 11" xfId="19193" xr:uid="{00000000-0005-0000-0000-0000F94A0000}"/>
    <cellStyle name="Normal 2 2 2 33 12" xfId="19194" xr:uid="{00000000-0005-0000-0000-0000FA4A0000}"/>
    <cellStyle name="Normal 2 2 2 33 13" xfId="19195" xr:uid="{00000000-0005-0000-0000-0000FB4A0000}"/>
    <cellStyle name="Normal 2 2 2 33 14" xfId="19196" xr:uid="{00000000-0005-0000-0000-0000FC4A0000}"/>
    <cellStyle name="Normal 2 2 2 33 2" xfId="19197" xr:uid="{00000000-0005-0000-0000-0000FD4A0000}"/>
    <cellStyle name="Normal 2 2 2 33 2 10" xfId="19198" xr:uid="{00000000-0005-0000-0000-0000FE4A0000}"/>
    <cellStyle name="Normal 2 2 2 33 2 2" xfId="19199" xr:uid="{00000000-0005-0000-0000-0000FF4A0000}"/>
    <cellStyle name="Normal 2 2 2 33 2 3" xfId="19200" xr:uid="{00000000-0005-0000-0000-0000004B0000}"/>
    <cellStyle name="Normal 2 2 2 33 2 4" xfId="19201" xr:uid="{00000000-0005-0000-0000-0000014B0000}"/>
    <cellStyle name="Normal 2 2 2 33 2 5" xfId="19202" xr:uid="{00000000-0005-0000-0000-0000024B0000}"/>
    <cellStyle name="Normal 2 2 2 33 2 6" xfId="19203" xr:uid="{00000000-0005-0000-0000-0000034B0000}"/>
    <cellStyle name="Normal 2 2 2 33 2 7" xfId="19204" xr:uid="{00000000-0005-0000-0000-0000044B0000}"/>
    <cellStyle name="Normal 2 2 2 33 2 8" xfId="19205" xr:uid="{00000000-0005-0000-0000-0000054B0000}"/>
    <cellStyle name="Normal 2 2 2 33 2 9" xfId="19206" xr:uid="{00000000-0005-0000-0000-0000064B0000}"/>
    <cellStyle name="Normal 2 2 2 33 3" xfId="19207" xr:uid="{00000000-0005-0000-0000-0000074B0000}"/>
    <cellStyle name="Normal 2 2 2 33 3 10" xfId="19208" xr:uid="{00000000-0005-0000-0000-0000084B0000}"/>
    <cellStyle name="Normal 2 2 2 33 3 2" xfId="19209" xr:uid="{00000000-0005-0000-0000-0000094B0000}"/>
    <cellStyle name="Normal 2 2 2 33 3 3" xfId="19210" xr:uid="{00000000-0005-0000-0000-00000A4B0000}"/>
    <cellStyle name="Normal 2 2 2 33 3 4" xfId="19211" xr:uid="{00000000-0005-0000-0000-00000B4B0000}"/>
    <cellStyle name="Normal 2 2 2 33 3 5" xfId="19212" xr:uid="{00000000-0005-0000-0000-00000C4B0000}"/>
    <cellStyle name="Normal 2 2 2 33 3 6" xfId="19213" xr:uid="{00000000-0005-0000-0000-00000D4B0000}"/>
    <cellStyle name="Normal 2 2 2 33 3 7" xfId="19214" xr:uid="{00000000-0005-0000-0000-00000E4B0000}"/>
    <cellStyle name="Normal 2 2 2 33 3 8" xfId="19215" xr:uid="{00000000-0005-0000-0000-00000F4B0000}"/>
    <cellStyle name="Normal 2 2 2 33 3 9" xfId="19216" xr:uid="{00000000-0005-0000-0000-0000104B0000}"/>
    <cellStyle name="Normal 2 2 2 33 4" xfId="19217" xr:uid="{00000000-0005-0000-0000-0000114B0000}"/>
    <cellStyle name="Normal 2 2 2 33 4 10" xfId="19218" xr:uid="{00000000-0005-0000-0000-0000124B0000}"/>
    <cellStyle name="Normal 2 2 2 33 4 2" xfId="19219" xr:uid="{00000000-0005-0000-0000-0000134B0000}"/>
    <cellStyle name="Normal 2 2 2 33 4 3" xfId="19220" xr:uid="{00000000-0005-0000-0000-0000144B0000}"/>
    <cellStyle name="Normal 2 2 2 33 4 4" xfId="19221" xr:uid="{00000000-0005-0000-0000-0000154B0000}"/>
    <cellStyle name="Normal 2 2 2 33 4 5" xfId="19222" xr:uid="{00000000-0005-0000-0000-0000164B0000}"/>
    <cellStyle name="Normal 2 2 2 33 4 6" xfId="19223" xr:uid="{00000000-0005-0000-0000-0000174B0000}"/>
    <cellStyle name="Normal 2 2 2 33 4 7" xfId="19224" xr:uid="{00000000-0005-0000-0000-0000184B0000}"/>
    <cellStyle name="Normal 2 2 2 33 4 8" xfId="19225" xr:uid="{00000000-0005-0000-0000-0000194B0000}"/>
    <cellStyle name="Normal 2 2 2 33 4 9" xfId="19226" xr:uid="{00000000-0005-0000-0000-00001A4B0000}"/>
    <cellStyle name="Normal 2 2 2 33 5" xfId="19227" xr:uid="{00000000-0005-0000-0000-00001B4B0000}"/>
    <cellStyle name="Normal 2 2 2 33 5 10" xfId="19228" xr:uid="{00000000-0005-0000-0000-00001C4B0000}"/>
    <cellStyle name="Normal 2 2 2 33 5 2" xfId="19229" xr:uid="{00000000-0005-0000-0000-00001D4B0000}"/>
    <cellStyle name="Normal 2 2 2 33 5 3" xfId="19230" xr:uid="{00000000-0005-0000-0000-00001E4B0000}"/>
    <cellStyle name="Normal 2 2 2 33 5 4" xfId="19231" xr:uid="{00000000-0005-0000-0000-00001F4B0000}"/>
    <cellStyle name="Normal 2 2 2 33 5 5" xfId="19232" xr:uid="{00000000-0005-0000-0000-0000204B0000}"/>
    <cellStyle name="Normal 2 2 2 33 5 6" xfId="19233" xr:uid="{00000000-0005-0000-0000-0000214B0000}"/>
    <cellStyle name="Normal 2 2 2 33 5 7" xfId="19234" xr:uid="{00000000-0005-0000-0000-0000224B0000}"/>
    <cellStyle name="Normal 2 2 2 33 5 8" xfId="19235" xr:uid="{00000000-0005-0000-0000-0000234B0000}"/>
    <cellStyle name="Normal 2 2 2 33 5 9" xfId="19236" xr:uid="{00000000-0005-0000-0000-0000244B0000}"/>
    <cellStyle name="Normal 2 2 2 33 6" xfId="19237" xr:uid="{00000000-0005-0000-0000-0000254B0000}"/>
    <cellStyle name="Normal 2 2 2 33 7" xfId="19238" xr:uid="{00000000-0005-0000-0000-0000264B0000}"/>
    <cellStyle name="Normal 2 2 2 33 8" xfId="19239" xr:uid="{00000000-0005-0000-0000-0000274B0000}"/>
    <cellStyle name="Normal 2 2 2 33 9" xfId="19240" xr:uid="{00000000-0005-0000-0000-0000284B0000}"/>
    <cellStyle name="Normal 2 2 2 34" xfId="19241" xr:uid="{00000000-0005-0000-0000-0000294B0000}"/>
    <cellStyle name="Normal 2 2 2 34 10" xfId="19242" xr:uid="{00000000-0005-0000-0000-00002A4B0000}"/>
    <cellStyle name="Normal 2 2 2 34 11" xfId="19243" xr:uid="{00000000-0005-0000-0000-00002B4B0000}"/>
    <cellStyle name="Normal 2 2 2 34 12" xfId="19244" xr:uid="{00000000-0005-0000-0000-00002C4B0000}"/>
    <cellStyle name="Normal 2 2 2 34 13" xfId="19245" xr:uid="{00000000-0005-0000-0000-00002D4B0000}"/>
    <cellStyle name="Normal 2 2 2 34 14" xfId="19246" xr:uid="{00000000-0005-0000-0000-00002E4B0000}"/>
    <cellStyle name="Normal 2 2 2 34 2" xfId="19247" xr:uid="{00000000-0005-0000-0000-00002F4B0000}"/>
    <cellStyle name="Normal 2 2 2 34 2 10" xfId="19248" xr:uid="{00000000-0005-0000-0000-0000304B0000}"/>
    <cellStyle name="Normal 2 2 2 34 2 2" xfId="19249" xr:uid="{00000000-0005-0000-0000-0000314B0000}"/>
    <cellStyle name="Normal 2 2 2 34 2 3" xfId="19250" xr:uid="{00000000-0005-0000-0000-0000324B0000}"/>
    <cellStyle name="Normal 2 2 2 34 2 4" xfId="19251" xr:uid="{00000000-0005-0000-0000-0000334B0000}"/>
    <cellStyle name="Normal 2 2 2 34 2 5" xfId="19252" xr:uid="{00000000-0005-0000-0000-0000344B0000}"/>
    <cellStyle name="Normal 2 2 2 34 2 6" xfId="19253" xr:uid="{00000000-0005-0000-0000-0000354B0000}"/>
    <cellStyle name="Normal 2 2 2 34 2 7" xfId="19254" xr:uid="{00000000-0005-0000-0000-0000364B0000}"/>
    <cellStyle name="Normal 2 2 2 34 2 8" xfId="19255" xr:uid="{00000000-0005-0000-0000-0000374B0000}"/>
    <cellStyle name="Normal 2 2 2 34 2 9" xfId="19256" xr:uid="{00000000-0005-0000-0000-0000384B0000}"/>
    <cellStyle name="Normal 2 2 2 34 3" xfId="19257" xr:uid="{00000000-0005-0000-0000-0000394B0000}"/>
    <cellStyle name="Normal 2 2 2 34 3 10" xfId="19258" xr:uid="{00000000-0005-0000-0000-00003A4B0000}"/>
    <cellStyle name="Normal 2 2 2 34 3 2" xfId="19259" xr:uid="{00000000-0005-0000-0000-00003B4B0000}"/>
    <cellStyle name="Normal 2 2 2 34 3 3" xfId="19260" xr:uid="{00000000-0005-0000-0000-00003C4B0000}"/>
    <cellStyle name="Normal 2 2 2 34 3 4" xfId="19261" xr:uid="{00000000-0005-0000-0000-00003D4B0000}"/>
    <cellStyle name="Normal 2 2 2 34 3 5" xfId="19262" xr:uid="{00000000-0005-0000-0000-00003E4B0000}"/>
    <cellStyle name="Normal 2 2 2 34 3 6" xfId="19263" xr:uid="{00000000-0005-0000-0000-00003F4B0000}"/>
    <cellStyle name="Normal 2 2 2 34 3 7" xfId="19264" xr:uid="{00000000-0005-0000-0000-0000404B0000}"/>
    <cellStyle name="Normal 2 2 2 34 3 8" xfId="19265" xr:uid="{00000000-0005-0000-0000-0000414B0000}"/>
    <cellStyle name="Normal 2 2 2 34 3 9" xfId="19266" xr:uid="{00000000-0005-0000-0000-0000424B0000}"/>
    <cellStyle name="Normal 2 2 2 34 4" xfId="19267" xr:uid="{00000000-0005-0000-0000-0000434B0000}"/>
    <cellStyle name="Normal 2 2 2 34 4 10" xfId="19268" xr:uid="{00000000-0005-0000-0000-0000444B0000}"/>
    <cellStyle name="Normal 2 2 2 34 4 2" xfId="19269" xr:uid="{00000000-0005-0000-0000-0000454B0000}"/>
    <cellStyle name="Normal 2 2 2 34 4 3" xfId="19270" xr:uid="{00000000-0005-0000-0000-0000464B0000}"/>
    <cellStyle name="Normal 2 2 2 34 4 4" xfId="19271" xr:uid="{00000000-0005-0000-0000-0000474B0000}"/>
    <cellStyle name="Normal 2 2 2 34 4 5" xfId="19272" xr:uid="{00000000-0005-0000-0000-0000484B0000}"/>
    <cellStyle name="Normal 2 2 2 34 4 6" xfId="19273" xr:uid="{00000000-0005-0000-0000-0000494B0000}"/>
    <cellStyle name="Normal 2 2 2 34 4 7" xfId="19274" xr:uid="{00000000-0005-0000-0000-00004A4B0000}"/>
    <cellStyle name="Normal 2 2 2 34 4 8" xfId="19275" xr:uid="{00000000-0005-0000-0000-00004B4B0000}"/>
    <cellStyle name="Normal 2 2 2 34 4 9" xfId="19276" xr:uid="{00000000-0005-0000-0000-00004C4B0000}"/>
    <cellStyle name="Normal 2 2 2 34 5" xfId="19277" xr:uid="{00000000-0005-0000-0000-00004D4B0000}"/>
    <cellStyle name="Normal 2 2 2 34 5 10" xfId="19278" xr:uid="{00000000-0005-0000-0000-00004E4B0000}"/>
    <cellStyle name="Normal 2 2 2 34 5 2" xfId="19279" xr:uid="{00000000-0005-0000-0000-00004F4B0000}"/>
    <cellStyle name="Normal 2 2 2 34 5 3" xfId="19280" xr:uid="{00000000-0005-0000-0000-0000504B0000}"/>
    <cellStyle name="Normal 2 2 2 34 5 4" xfId="19281" xr:uid="{00000000-0005-0000-0000-0000514B0000}"/>
    <cellStyle name="Normal 2 2 2 34 5 5" xfId="19282" xr:uid="{00000000-0005-0000-0000-0000524B0000}"/>
    <cellStyle name="Normal 2 2 2 34 5 6" xfId="19283" xr:uid="{00000000-0005-0000-0000-0000534B0000}"/>
    <cellStyle name="Normal 2 2 2 34 5 7" xfId="19284" xr:uid="{00000000-0005-0000-0000-0000544B0000}"/>
    <cellStyle name="Normal 2 2 2 34 5 8" xfId="19285" xr:uid="{00000000-0005-0000-0000-0000554B0000}"/>
    <cellStyle name="Normal 2 2 2 34 5 9" xfId="19286" xr:uid="{00000000-0005-0000-0000-0000564B0000}"/>
    <cellStyle name="Normal 2 2 2 34 6" xfId="19287" xr:uid="{00000000-0005-0000-0000-0000574B0000}"/>
    <cellStyle name="Normal 2 2 2 34 7" xfId="19288" xr:uid="{00000000-0005-0000-0000-0000584B0000}"/>
    <cellStyle name="Normal 2 2 2 34 8" xfId="19289" xr:uid="{00000000-0005-0000-0000-0000594B0000}"/>
    <cellStyle name="Normal 2 2 2 34 9" xfId="19290" xr:uid="{00000000-0005-0000-0000-00005A4B0000}"/>
    <cellStyle name="Normal 2 2 2 35" xfId="19291" xr:uid="{00000000-0005-0000-0000-00005B4B0000}"/>
    <cellStyle name="Normal 2 2 2 35 10" xfId="19292" xr:uid="{00000000-0005-0000-0000-00005C4B0000}"/>
    <cellStyle name="Normal 2 2 2 35 11" xfId="19293" xr:uid="{00000000-0005-0000-0000-00005D4B0000}"/>
    <cellStyle name="Normal 2 2 2 35 12" xfId="19294" xr:uid="{00000000-0005-0000-0000-00005E4B0000}"/>
    <cellStyle name="Normal 2 2 2 35 13" xfId="19295" xr:uid="{00000000-0005-0000-0000-00005F4B0000}"/>
    <cellStyle name="Normal 2 2 2 35 14" xfId="19296" xr:uid="{00000000-0005-0000-0000-0000604B0000}"/>
    <cellStyle name="Normal 2 2 2 35 2" xfId="19297" xr:uid="{00000000-0005-0000-0000-0000614B0000}"/>
    <cellStyle name="Normal 2 2 2 35 2 10" xfId="19298" xr:uid="{00000000-0005-0000-0000-0000624B0000}"/>
    <cellStyle name="Normal 2 2 2 35 2 2" xfId="19299" xr:uid="{00000000-0005-0000-0000-0000634B0000}"/>
    <cellStyle name="Normal 2 2 2 35 2 3" xfId="19300" xr:uid="{00000000-0005-0000-0000-0000644B0000}"/>
    <cellStyle name="Normal 2 2 2 35 2 4" xfId="19301" xr:uid="{00000000-0005-0000-0000-0000654B0000}"/>
    <cellStyle name="Normal 2 2 2 35 2 5" xfId="19302" xr:uid="{00000000-0005-0000-0000-0000664B0000}"/>
    <cellStyle name="Normal 2 2 2 35 2 6" xfId="19303" xr:uid="{00000000-0005-0000-0000-0000674B0000}"/>
    <cellStyle name="Normal 2 2 2 35 2 7" xfId="19304" xr:uid="{00000000-0005-0000-0000-0000684B0000}"/>
    <cellStyle name="Normal 2 2 2 35 2 8" xfId="19305" xr:uid="{00000000-0005-0000-0000-0000694B0000}"/>
    <cellStyle name="Normal 2 2 2 35 2 9" xfId="19306" xr:uid="{00000000-0005-0000-0000-00006A4B0000}"/>
    <cellStyle name="Normal 2 2 2 35 3" xfId="19307" xr:uid="{00000000-0005-0000-0000-00006B4B0000}"/>
    <cellStyle name="Normal 2 2 2 35 3 10" xfId="19308" xr:uid="{00000000-0005-0000-0000-00006C4B0000}"/>
    <cellStyle name="Normal 2 2 2 35 3 2" xfId="19309" xr:uid="{00000000-0005-0000-0000-00006D4B0000}"/>
    <cellStyle name="Normal 2 2 2 35 3 3" xfId="19310" xr:uid="{00000000-0005-0000-0000-00006E4B0000}"/>
    <cellStyle name="Normal 2 2 2 35 3 4" xfId="19311" xr:uid="{00000000-0005-0000-0000-00006F4B0000}"/>
    <cellStyle name="Normal 2 2 2 35 3 5" xfId="19312" xr:uid="{00000000-0005-0000-0000-0000704B0000}"/>
    <cellStyle name="Normal 2 2 2 35 3 6" xfId="19313" xr:uid="{00000000-0005-0000-0000-0000714B0000}"/>
    <cellStyle name="Normal 2 2 2 35 3 7" xfId="19314" xr:uid="{00000000-0005-0000-0000-0000724B0000}"/>
    <cellStyle name="Normal 2 2 2 35 3 8" xfId="19315" xr:uid="{00000000-0005-0000-0000-0000734B0000}"/>
    <cellStyle name="Normal 2 2 2 35 3 9" xfId="19316" xr:uid="{00000000-0005-0000-0000-0000744B0000}"/>
    <cellStyle name="Normal 2 2 2 35 4" xfId="19317" xr:uid="{00000000-0005-0000-0000-0000754B0000}"/>
    <cellStyle name="Normal 2 2 2 35 4 10" xfId="19318" xr:uid="{00000000-0005-0000-0000-0000764B0000}"/>
    <cellStyle name="Normal 2 2 2 35 4 2" xfId="19319" xr:uid="{00000000-0005-0000-0000-0000774B0000}"/>
    <cellStyle name="Normal 2 2 2 35 4 3" xfId="19320" xr:uid="{00000000-0005-0000-0000-0000784B0000}"/>
    <cellStyle name="Normal 2 2 2 35 4 4" xfId="19321" xr:uid="{00000000-0005-0000-0000-0000794B0000}"/>
    <cellStyle name="Normal 2 2 2 35 4 5" xfId="19322" xr:uid="{00000000-0005-0000-0000-00007A4B0000}"/>
    <cellStyle name="Normal 2 2 2 35 4 6" xfId="19323" xr:uid="{00000000-0005-0000-0000-00007B4B0000}"/>
    <cellStyle name="Normal 2 2 2 35 4 7" xfId="19324" xr:uid="{00000000-0005-0000-0000-00007C4B0000}"/>
    <cellStyle name="Normal 2 2 2 35 4 8" xfId="19325" xr:uid="{00000000-0005-0000-0000-00007D4B0000}"/>
    <cellStyle name="Normal 2 2 2 35 4 9" xfId="19326" xr:uid="{00000000-0005-0000-0000-00007E4B0000}"/>
    <cellStyle name="Normal 2 2 2 35 5" xfId="19327" xr:uid="{00000000-0005-0000-0000-00007F4B0000}"/>
    <cellStyle name="Normal 2 2 2 35 5 10" xfId="19328" xr:uid="{00000000-0005-0000-0000-0000804B0000}"/>
    <cellStyle name="Normal 2 2 2 35 5 2" xfId="19329" xr:uid="{00000000-0005-0000-0000-0000814B0000}"/>
    <cellStyle name="Normal 2 2 2 35 5 3" xfId="19330" xr:uid="{00000000-0005-0000-0000-0000824B0000}"/>
    <cellStyle name="Normal 2 2 2 35 5 4" xfId="19331" xr:uid="{00000000-0005-0000-0000-0000834B0000}"/>
    <cellStyle name="Normal 2 2 2 35 5 5" xfId="19332" xr:uid="{00000000-0005-0000-0000-0000844B0000}"/>
    <cellStyle name="Normal 2 2 2 35 5 6" xfId="19333" xr:uid="{00000000-0005-0000-0000-0000854B0000}"/>
    <cellStyle name="Normal 2 2 2 35 5 7" xfId="19334" xr:uid="{00000000-0005-0000-0000-0000864B0000}"/>
    <cellStyle name="Normal 2 2 2 35 5 8" xfId="19335" xr:uid="{00000000-0005-0000-0000-0000874B0000}"/>
    <cellStyle name="Normal 2 2 2 35 5 9" xfId="19336" xr:uid="{00000000-0005-0000-0000-0000884B0000}"/>
    <cellStyle name="Normal 2 2 2 35 6" xfId="19337" xr:uid="{00000000-0005-0000-0000-0000894B0000}"/>
    <cellStyle name="Normal 2 2 2 35 7" xfId="19338" xr:uid="{00000000-0005-0000-0000-00008A4B0000}"/>
    <cellStyle name="Normal 2 2 2 35 8" xfId="19339" xr:uid="{00000000-0005-0000-0000-00008B4B0000}"/>
    <cellStyle name="Normal 2 2 2 35 9" xfId="19340" xr:uid="{00000000-0005-0000-0000-00008C4B0000}"/>
    <cellStyle name="Normal 2 2 2 36" xfId="19341" xr:uid="{00000000-0005-0000-0000-00008D4B0000}"/>
    <cellStyle name="Normal 2 2 2 36 10" xfId="19342" xr:uid="{00000000-0005-0000-0000-00008E4B0000}"/>
    <cellStyle name="Normal 2 2 2 36 2" xfId="19343" xr:uid="{00000000-0005-0000-0000-00008F4B0000}"/>
    <cellStyle name="Normal 2 2 2 36 3" xfId="19344" xr:uid="{00000000-0005-0000-0000-0000904B0000}"/>
    <cellStyle name="Normal 2 2 2 36 4" xfId="19345" xr:uid="{00000000-0005-0000-0000-0000914B0000}"/>
    <cellStyle name="Normal 2 2 2 36 5" xfId="19346" xr:uid="{00000000-0005-0000-0000-0000924B0000}"/>
    <cellStyle name="Normal 2 2 2 36 6" xfId="19347" xr:uid="{00000000-0005-0000-0000-0000934B0000}"/>
    <cellStyle name="Normal 2 2 2 36 7" xfId="19348" xr:uid="{00000000-0005-0000-0000-0000944B0000}"/>
    <cellStyle name="Normal 2 2 2 36 8" xfId="19349" xr:uid="{00000000-0005-0000-0000-0000954B0000}"/>
    <cellStyle name="Normal 2 2 2 36 9" xfId="19350" xr:uid="{00000000-0005-0000-0000-0000964B0000}"/>
    <cellStyle name="Normal 2 2 2 37" xfId="19351" xr:uid="{00000000-0005-0000-0000-0000974B0000}"/>
    <cellStyle name="Normal 2 2 2 37 10" xfId="19352" xr:uid="{00000000-0005-0000-0000-0000984B0000}"/>
    <cellStyle name="Normal 2 2 2 37 2" xfId="19353" xr:uid="{00000000-0005-0000-0000-0000994B0000}"/>
    <cellStyle name="Normal 2 2 2 37 3" xfId="19354" xr:uid="{00000000-0005-0000-0000-00009A4B0000}"/>
    <cellStyle name="Normal 2 2 2 37 4" xfId="19355" xr:uid="{00000000-0005-0000-0000-00009B4B0000}"/>
    <cellStyle name="Normal 2 2 2 37 5" xfId="19356" xr:uid="{00000000-0005-0000-0000-00009C4B0000}"/>
    <cellStyle name="Normal 2 2 2 37 6" xfId="19357" xr:uid="{00000000-0005-0000-0000-00009D4B0000}"/>
    <cellStyle name="Normal 2 2 2 37 7" xfId="19358" xr:uid="{00000000-0005-0000-0000-00009E4B0000}"/>
    <cellStyle name="Normal 2 2 2 37 8" xfId="19359" xr:uid="{00000000-0005-0000-0000-00009F4B0000}"/>
    <cellStyle name="Normal 2 2 2 37 9" xfId="19360" xr:uid="{00000000-0005-0000-0000-0000A04B0000}"/>
    <cellStyle name="Normal 2 2 2 38" xfId="19361" xr:uid="{00000000-0005-0000-0000-0000A14B0000}"/>
    <cellStyle name="Normal 2 2 2 38 10" xfId="19362" xr:uid="{00000000-0005-0000-0000-0000A24B0000}"/>
    <cellStyle name="Normal 2 2 2 38 2" xfId="19363" xr:uid="{00000000-0005-0000-0000-0000A34B0000}"/>
    <cellStyle name="Normal 2 2 2 38 3" xfId="19364" xr:uid="{00000000-0005-0000-0000-0000A44B0000}"/>
    <cellStyle name="Normal 2 2 2 38 4" xfId="19365" xr:uid="{00000000-0005-0000-0000-0000A54B0000}"/>
    <cellStyle name="Normal 2 2 2 38 5" xfId="19366" xr:uid="{00000000-0005-0000-0000-0000A64B0000}"/>
    <cellStyle name="Normal 2 2 2 38 6" xfId="19367" xr:uid="{00000000-0005-0000-0000-0000A74B0000}"/>
    <cellStyle name="Normal 2 2 2 38 7" xfId="19368" xr:uid="{00000000-0005-0000-0000-0000A84B0000}"/>
    <cellStyle name="Normal 2 2 2 38 8" xfId="19369" xr:uid="{00000000-0005-0000-0000-0000A94B0000}"/>
    <cellStyle name="Normal 2 2 2 38 9" xfId="19370" xr:uid="{00000000-0005-0000-0000-0000AA4B0000}"/>
    <cellStyle name="Normal 2 2 2 39" xfId="19371" xr:uid="{00000000-0005-0000-0000-0000AB4B0000}"/>
    <cellStyle name="Normal 2 2 2 39 10" xfId="19372" xr:uid="{00000000-0005-0000-0000-0000AC4B0000}"/>
    <cellStyle name="Normal 2 2 2 39 2" xfId="19373" xr:uid="{00000000-0005-0000-0000-0000AD4B0000}"/>
    <cellStyle name="Normal 2 2 2 39 3" xfId="19374" xr:uid="{00000000-0005-0000-0000-0000AE4B0000}"/>
    <cellStyle name="Normal 2 2 2 39 4" xfId="19375" xr:uid="{00000000-0005-0000-0000-0000AF4B0000}"/>
    <cellStyle name="Normal 2 2 2 39 5" xfId="19376" xr:uid="{00000000-0005-0000-0000-0000B04B0000}"/>
    <cellStyle name="Normal 2 2 2 39 6" xfId="19377" xr:uid="{00000000-0005-0000-0000-0000B14B0000}"/>
    <cellStyle name="Normal 2 2 2 39 7" xfId="19378" xr:uid="{00000000-0005-0000-0000-0000B24B0000}"/>
    <cellStyle name="Normal 2 2 2 39 8" xfId="19379" xr:uid="{00000000-0005-0000-0000-0000B34B0000}"/>
    <cellStyle name="Normal 2 2 2 39 9" xfId="19380" xr:uid="{00000000-0005-0000-0000-0000B44B0000}"/>
    <cellStyle name="Normal 2 2 2 4" xfId="19381" xr:uid="{00000000-0005-0000-0000-0000B54B0000}"/>
    <cellStyle name="Normal 2 2 2 4 10" xfId="19382" xr:uid="{00000000-0005-0000-0000-0000B64B0000}"/>
    <cellStyle name="Normal 2 2 2 4 11" xfId="19383" xr:uid="{00000000-0005-0000-0000-0000B74B0000}"/>
    <cellStyle name="Normal 2 2 2 4 12" xfId="19384" xr:uid="{00000000-0005-0000-0000-0000B84B0000}"/>
    <cellStyle name="Normal 2 2 2 4 13" xfId="19385" xr:uid="{00000000-0005-0000-0000-0000B94B0000}"/>
    <cellStyle name="Normal 2 2 2 4 14" xfId="19386" xr:uid="{00000000-0005-0000-0000-0000BA4B0000}"/>
    <cellStyle name="Normal 2 2 2 4 15" xfId="19387" xr:uid="{00000000-0005-0000-0000-0000BB4B0000}"/>
    <cellStyle name="Normal 2 2 2 4 16" xfId="19388" xr:uid="{00000000-0005-0000-0000-0000BC4B0000}"/>
    <cellStyle name="Normal 2 2 2 4 17" xfId="19389" xr:uid="{00000000-0005-0000-0000-0000BD4B0000}"/>
    <cellStyle name="Normal 2 2 2 4 18" xfId="19390" xr:uid="{00000000-0005-0000-0000-0000BE4B0000}"/>
    <cellStyle name="Normal 2 2 2 4 19" xfId="19391" xr:uid="{00000000-0005-0000-0000-0000BF4B0000}"/>
    <cellStyle name="Normal 2 2 2 4 2" xfId="19392" xr:uid="{00000000-0005-0000-0000-0000C04B0000}"/>
    <cellStyle name="Normal 2 2 2 4 2 10" xfId="19393" xr:uid="{00000000-0005-0000-0000-0000C14B0000}"/>
    <cellStyle name="Normal 2 2 2 4 2 10 10" xfId="19394" xr:uid="{00000000-0005-0000-0000-0000C24B0000}"/>
    <cellStyle name="Normal 2 2 2 4 2 10 11" xfId="19395" xr:uid="{00000000-0005-0000-0000-0000C34B0000}"/>
    <cellStyle name="Normal 2 2 2 4 2 10 12" xfId="19396" xr:uid="{00000000-0005-0000-0000-0000C44B0000}"/>
    <cellStyle name="Normal 2 2 2 4 2 10 13" xfId="19397" xr:uid="{00000000-0005-0000-0000-0000C54B0000}"/>
    <cellStyle name="Normal 2 2 2 4 2 10 14" xfId="19398" xr:uid="{00000000-0005-0000-0000-0000C64B0000}"/>
    <cellStyle name="Normal 2 2 2 4 2 10 2" xfId="19399" xr:uid="{00000000-0005-0000-0000-0000C74B0000}"/>
    <cellStyle name="Normal 2 2 2 4 2 10 2 10" xfId="19400" xr:uid="{00000000-0005-0000-0000-0000C84B0000}"/>
    <cellStyle name="Normal 2 2 2 4 2 10 2 2" xfId="19401" xr:uid="{00000000-0005-0000-0000-0000C94B0000}"/>
    <cellStyle name="Normal 2 2 2 4 2 10 2 3" xfId="19402" xr:uid="{00000000-0005-0000-0000-0000CA4B0000}"/>
    <cellStyle name="Normal 2 2 2 4 2 10 2 4" xfId="19403" xr:uid="{00000000-0005-0000-0000-0000CB4B0000}"/>
    <cellStyle name="Normal 2 2 2 4 2 10 2 5" xfId="19404" xr:uid="{00000000-0005-0000-0000-0000CC4B0000}"/>
    <cellStyle name="Normal 2 2 2 4 2 10 2 6" xfId="19405" xr:uid="{00000000-0005-0000-0000-0000CD4B0000}"/>
    <cellStyle name="Normal 2 2 2 4 2 10 2 7" xfId="19406" xr:uid="{00000000-0005-0000-0000-0000CE4B0000}"/>
    <cellStyle name="Normal 2 2 2 4 2 10 2 8" xfId="19407" xr:uid="{00000000-0005-0000-0000-0000CF4B0000}"/>
    <cellStyle name="Normal 2 2 2 4 2 10 2 9" xfId="19408" xr:uid="{00000000-0005-0000-0000-0000D04B0000}"/>
    <cellStyle name="Normal 2 2 2 4 2 10 3" xfId="19409" xr:uid="{00000000-0005-0000-0000-0000D14B0000}"/>
    <cellStyle name="Normal 2 2 2 4 2 10 3 10" xfId="19410" xr:uid="{00000000-0005-0000-0000-0000D24B0000}"/>
    <cellStyle name="Normal 2 2 2 4 2 10 3 2" xfId="19411" xr:uid="{00000000-0005-0000-0000-0000D34B0000}"/>
    <cellStyle name="Normal 2 2 2 4 2 10 3 3" xfId="19412" xr:uid="{00000000-0005-0000-0000-0000D44B0000}"/>
    <cellStyle name="Normal 2 2 2 4 2 10 3 4" xfId="19413" xr:uid="{00000000-0005-0000-0000-0000D54B0000}"/>
    <cellStyle name="Normal 2 2 2 4 2 10 3 5" xfId="19414" xr:uid="{00000000-0005-0000-0000-0000D64B0000}"/>
    <cellStyle name="Normal 2 2 2 4 2 10 3 6" xfId="19415" xr:uid="{00000000-0005-0000-0000-0000D74B0000}"/>
    <cellStyle name="Normal 2 2 2 4 2 10 3 7" xfId="19416" xr:uid="{00000000-0005-0000-0000-0000D84B0000}"/>
    <cellStyle name="Normal 2 2 2 4 2 10 3 8" xfId="19417" xr:uid="{00000000-0005-0000-0000-0000D94B0000}"/>
    <cellStyle name="Normal 2 2 2 4 2 10 3 9" xfId="19418" xr:uid="{00000000-0005-0000-0000-0000DA4B0000}"/>
    <cellStyle name="Normal 2 2 2 4 2 10 4" xfId="19419" xr:uid="{00000000-0005-0000-0000-0000DB4B0000}"/>
    <cellStyle name="Normal 2 2 2 4 2 10 4 10" xfId="19420" xr:uid="{00000000-0005-0000-0000-0000DC4B0000}"/>
    <cellStyle name="Normal 2 2 2 4 2 10 4 2" xfId="19421" xr:uid="{00000000-0005-0000-0000-0000DD4B0000}"/>
    <cellStyle name="Normal 2 2 2 4 2 10 4 3" xfId="19422" xr:uid="{00000000-0005-0000-0000-0000DE4B0000}"/>
    <cellStyle name="Normal 2 2 2 4 2 10 4 4" xfId="19423" xr:uid="{00000000-0005-0000-0000-0000DF4B0000}"/>
    <cellStyle name="Normal 2 2 2 4 2 10 4 5" xfId="19424" xr:uid="{00000000-0005-0000-0000-0000E04B0000}"/>
    <cellStyle name="Normal 2 2 2 4 2 10 4 6" xfId="19425" xr:uid="{00000000-0005-0000-0000-0000E14B0000}"/>
    <cellStyle name="Normal 2 2 2 4 2 10 4 7" xfId="19426" xr:uid="{00000000-0005-0000-0000-0000E24B0000}"/>
    <cellStyle name="Normal 2 2 2 4 2 10 4 8" xfId="19427" xr:uid="{00000000-0005-0000-0000-0000E34B0000}"/>
    <cellStyle name="Normal 2 2 2 4 2 10 4 9" xfId="19428" xr:uid="{00000000-0005-0000-0000-0000E44B0000}"/>
    <cellStyle name="Normal 2 2 2 4 2 10 5" xfId="19429" xr:uid="{00000000-0005-0000-0000-0000E54B0000}"/>
    <cellStyle name="Normal 2 2 2 4 2 10 5 10" xfId="19430" xr:uid="{00000000-0005-0000-0000-0000E64B0000}"/>
    <cellStyle name="Normal 2 2 2 4 2 10 5 2" xfId="19431" xr:uid="{00000000-0005-0000-0000-0000E74B0000}"/>
    <cellStyle name="Normal 2 2 2 4 2 10 5 3" xfId="19432" xr:uid="{00000000-0005-0000-0000-0000E84B0000}"/>
    <cellStyle name="Normal 2 2 2 4 2 10 5 4" xfId="19433" xr:uid="{00000000-0005-0000-0000-0000E94B0000}"/>
    <cellStyle name="Normal 2 2 2 4 2 10 5 5" xfId="19434" xr:uid="{00000000-0005-0000-0000-0000EA4B0000}"/>
    <cellStyle name="Normal 2 2 2 4 2 10 5 6" xfId="19435" xr:uid="{00000000-0005-0000-0000-0000EB4B0000}"/>
    <cellStyle name="Normal 2 2 2 4 2 10 5 7" xfId="19436" xr:uid="{00000000-0005-0000-0000-0000EC4B0000}"/>
    <cellStyle name="Normal 2 2 2 4 2 10 5 8" xfId="19437" xr:uid="{00000000-0005-0000-0000-0000ED4B0000}"/>
    <cellStyle name="Normal 2 2 2 4 2 10 5 9" xfId="19438" xr:uid="{00000000-0005-0000-0000-0000EE4B0000}"/>
    <cellStyle name="Normal 2 2 2 4 2 10 6" xfId="19439" xr:uid="{00000000-0005-0000-0000-0000EF4B0000}"/>
    <cellStyle name="Normal 2 2 2 4 2 10 7" xfId="19440" xr:uid="{00000000-0005-0000-0000-0000F04B0000}"/>
    <cellStyle name="Normal 2 2 2 4 2 10 8" xfId="19441" xr:uid="{00000000-0005-0000-0000-0000F14B0000}"/>
    <cellStyle name="Normal 2 2 2 4 2 10 9" xfId="19442" xr:uid="{00000000-0005-0000-0000-0000F24B0000}"/>
    <cellStyle name="Normal 2 2 2 4 2 11" xfId="19443" xr:uid="{00000000-0005-0000-0000-0000F34B0000}"/>
    <cellStyle name="Normal 2 2 2 4 2 11 10" xfId="19444" xr:uid="{00000000-0005-0000-0000-0000F44B0000}"/>
    <cellStyle name="Normal 2 2 2 4 2 11 11" xfId="19445" xr:uid="{00000000-0005-0000-0000-0000F54B0000}"/>
    <cellStyle name="Normal 2 2 2 4 2 11 12" xfId="19446" xr:uid="{00000000-0005-0000-0000-0000F64B0000}"/>
    <cellStyle name="Normal 2 2 2 4 2 11 13" xfId="19447" xr:uid="{00000000-0005-0000-0000-0000F74B0000}"/>
    <cellStyle name="Normal 2 2 2 4 2 11 14" xfId="19448" xr:uid="{00000000-0005-0000-0000-0000F84B0000}"/>
    <cellStyle name="Normal 2 2 2 4 2 11 2" xfId="19449" xr:uid="{00000000-0005-0000-0000-0000F94B0000}"/>
    <cellStyle name="Normal 2 2 2 4 2 11 2 10" xfId="19450" xr:uid="{00000000-0005-0000-0000-0000FA4B0000}"/>
    <cellStyle name="Normal 2 2 2 4 2 11 2 2" xfId="19451" xr:uid="{00000000-0005-0000-0000-0000FB4B0000}"/>
    <cellStyle name="Normal 2 2 2 4 2 11 2 3" xfId="19452" xr:uid="{00000000-0005-0000-0000-0000FC4B0000}"/>
    <cellStyle name="Normal 2 2 2 4 2 11 2 4" xfId="19453" xr:uid="{00000000-0005-0000-0000-0000FD4B0000}"/>
    <cellStyle name="Normal 2 2 2 4 2 11 2 5" xfId="19454" xr:uid="{00000000-0005-0000-0000-0000FE4B0000}"/>
    <cellStyle name="Normal 2 2 2 4 2 11 2 6" xfId="19455" xr:uid="{00000000-0005-0000-0000-0000FF4B0000}"/>
    <cellStyle name="Normal 2 2 2 4 2 11 2 7" xfId="19456" xr:uid="{00000000-0005-0000-0000-0000004C0000}"/>
    <cellStyle name="Normal 2 2 2 4 2 11 2 8" xfId="19457" xr:uid="{00000000-0005-0000-0000-0000014C0000}"/>
    <cellStyle name="Normal 2 2 2 4 2 11 2 9" xfId="19458" xr:uid="{00000000-0005-0000-0000-0000024C0000}"/>
    <cellStyle name="Normal 2 2 2 4 2 11 3" xfId="19459" xr:uid="{00000000-0005-0000-0000-0000034C0000}"/>
    <cellStyle name="Normal 2 2 2 4 2 11 3 10" xfId="19460" xr:uid="{00000000-0005-0000-0000-0000044C0000}"/>
    <cellStyle name="Normal 2 2 2 4 2 11 3 2" xfId="19461" xr:uid="{00000000-0005-0000-0000-0000054C0000}"/>
    <cellStyle name="Normal 2 2 2 4 2 11 3 3" xfId="19462" xr:uid="{00000000-0005-0000-0000-0000064C0000}"/>
    <cellStyle name="Normal 2 2 2 4 2 11 3 4" xfId="19463" xr:uid="{00000000-0005-0000-0000-0000074C0000}"/>
    <cellStyle name="Normal 2 2 2 4 2 11 3 5" xfId="19464" xr:uid="{00000000-0005-0000-0000-0000084C0000}"/>
    <cellStyle name="Normal 2 2 2 4 2 11 3 6" xfId="19465" xr:uid="{00000000-0005-0000-0000-0000094C0000}"/>
    <cellStyle name="Normal 2 2 2 4 2 11 3 7" xfId="19466" xr:uid="{00000000-0005-0000-0000-00000A4C0000}"/>
    <cellStyle name="Normal 2 2 2 4 2 11 3 8" xfId="19467" xr:uid="{00000000-0005-0000-0000-00000B4C0000}"/>
    <cellStyle name="Normal 2 2 2 4 2 11 3 9" xfId="19468" xr:uid="{00000000-0005-0000-0000-00000C4C0000}"/>
    <cellStyle name="Normal 2 2 2 4 2 11 4" xfId="19469" xr:uid="{00000000-0005-0000-0000-00000D4C0000}"/>
    <cellStyle name="Normal 2 2 2 4 2 11 4 10" xfId="19470" xr:uid="{00000000-0005-0000-0000-00000E4C0000}"/>
    <cellStyle name="Normal 2 2 2 4 2 11 4 2" xfId="19471" xr:uid="{00000000-0005-0000-0000-00000F4C0000}"/>
    <cellStyle name="Normal 2 2 2 4 2 11 4 3" xfId="19472" xr:uid="{00000000-0005-0000-0000-0000104C0000}"/>
    <cellStyle name="Normal 2 2 2 4 2 11 4 4" xfId="19473" xr:uid="{00000000-0005-0000-0000-0000114C0000}"/>
    <cellStyle name="Normal 2 2 2 4 2 11 4 5" xfId="19474" xr:uid="{00000000-0005-0000-0000-0000124C0000}"/>
    <cellStyle name="Normal 2 2 2 4 2 11 4 6" xfId="19475" xr:uid="{00000000-0005-0000-0000-0000134C0000}"/>
    <cellStyle name="Normal 2 2 2 4 2 11 4 7" xfId="19476" xr:uid="{00000000-0005-0000-0000-0000144C0000}"/>
    <cellStyle name="Normal 2 2 2 4 2 11 4 8" xfId="19477" xr:uid="{00000000-0005-0000-0000-0000154C0000}"/>
    <cellStyle name="Normal 2 2 2 4 2 11 4 9" xfId="19478" xr:uid="{00000000-0005-0000-0000-0000164C0000}"/>
    <cellStyle name="Normal 2 2 2 4 2 11 5" xfId="19479" xr:uid="{00000000-0005-0000-0000-0000174C0000}"/>
    <cellStyle name="Normal 2 2 2 4 2 11 5 10" xfId="19480" xr:uid="{00000000-0005-0000-0000-0000184C0000}"/>
    <cellStyle name="Normal 2 2 2 4 2 11 5 2" xfId="19481" xr:uid="{00000000-0005-0000-0000-0000194C0000}"/>
    <cellStyle name="Normal 2 2 2 4 2 11 5 3" xfId="19482" xr:uid="{00000000-0005-0000-0000-00001A4C0000}"/>
    <cellStyle name="Normal 2 2 2 4 2 11 5 4" xfId="19483" xr:uid="{00000000-0005-0000-0000-00001B4C0000}"/>
    <cellStyle name="Normal 2 2 2 4 2 11 5 5" xfId="19484" xr:uid="{00000000-0005-0000-0000-00001C4C0000}"/>
    <cellStyle name="Normal 2 2 2 4 2 11 5 6" xfId="19485" xr:uid="{00000000-0005-0000-0000-00001D4C0000}"/>
    <cellStyle name="Normal 2 2 2 4 2 11 5 7" xfId="19486" xr:uid="{00000000-0005-0000-0000-00001E4C0000}"/>
    <cellStyle name="Normal 2 2 2 4 2 11 5 8" xfId="19487" xr:uid="{00000000-0005-0000-0000-00001F4C0000}"/>
    <cellStyle name="Normal 2 2 2 4 2 11 5 9" xfId="19488" xr:uid="{00000000-0005-0000-0000-0000204C0000}"/>
    <cellStyle name="Normal 2 2 2 4 2 11 6" xfId="19489" xr:uid="{00000000-0005-0000-0000-0000214C0000}"/>
    <cellStyle name="Normal 2 2 2 4 2 11 7" xfId="19490" xr:uid="{00000000-0005-0000-0000-0000224C0000}"/>
    <cellStyle name="Normal 2 2 2 4 2 11 8" xfId="19491" xr:uid="{00000000-0005-0000-0000-0000234C0000}"/>
    <cellStyle name="Normal 2 2 2 4 2 11 9" xfId="19492" xr:uid="{00000000-0005-0000-0000-0000244C0000}"/>
    <cellStyle name="Normal 2 2 2 4 2 12" xfId="19493" xr:uid="{00000000-0005-0000-0000-0000254C0000}"/>
    <cellStyle name="Normal 2 2 2 4 2 12 10" xfId="19494" xr:uid="{00000000-0005-0000-0000-0000264C0000}"/>
    <cellStyle name="Normal 2 2 2 4 2 12 11" xfId="19495" xr:uid="{00000000-0005-0000-0000-0000274C0000}"/>
    <cellStyle name="Normal 2 2 2 4 2 12 12" xfId="19496" xr:uid="{00000000-0005-0000-0000-0000284C0000}"/>
    <cellStyle name="Normal 2 2 2 4 2 12 13" xfId="19497" xr:uid="{00000000-0005-0000-0000-0000294C0000}"/>
    <cellStyle name="Normal 2 2 2 4 2 12 14" xfId="19498" xr:uid="{00000000-0005-0000-0000-00002A4C0000}"/>
    <cellStyle name="Normal 2 2 2 4 2 12 2" xfId="19499" xr:uid="{00000000-0005-0000-0000-00002B4C0000}"/>
    <cellStyle name="Normal 2 2 2 4 2 12 2 10" xfId="19500" xr:uid="{00000000-0005-0000-0000-00002C4C0000}"/>
    <cellStyle name="Normal 2 2 2 4 2 12 2 2" xfId="19501" xr:uid="{00000000-0005-0000-0000-00002D4C0000}"/>
    <cellStyle name="Normal 2 2 2 4 2 12 2 3" xfId="19502" xr:uid="{00000000-0005-0000-0000-00002E4C0000}"/>
    <cellStyle name="Normal 2 2 2 4 2 12 2 4" xfId="19503" xr:uid="{00000000-0005-0000-0000-00002F4C0000}"/>
    <cellStyle name="Normal 2 2 2 4 2 12 2 5" xfId="19504" xr:uid="{00000000-0005-0000-0000-0000304C0000}"/>
    <cellStyle name="Normal 2 2 2 4 2 12 2 6" xfId="19505" xr:uid="{00000000-0005-0000-0000-0000314C0000}"/>
    <cellStyle name="Normal 2 2 2 4 2 12 2 7" xfId="19506" xr:uid="{00000000-0005-0000-0000-0000324C0000}"/>
    <cellStyle name="Normal 2 2 2 4 2 12 2 8" xfId="19507" xr:uid="{00000000-0005-0000-0000-0000334C0000}"/>
    <cellStyle name="Normal 2 2 2 4 2 12 2 9" xfId="19508" xr:uid="{00000000-0005-0000-0000-0000344C0000}"/>
    <cellStyle name="Normal 2 2 2 4 2 12 3" xfId="19509" xr:uid="{00000000-0005-0000-0000-0000354C0000}"/>
    <cellStyle name="Normal 2 2 2 4 2 12 3 10" xfId="19510" xr:uid="{00000000-0005-0000-0000-0000364C0000}"/>
    <cellStyle name="Normal 2 2 2 4 2 12 3 2" xfId="19511" xr:uid="{00000000-0005-0000-0000-0000374C0000}"/>
    <cellStyle name="Normal 2 2 2 4 2 12 3 3" xfId="19512" xr:uid="{00000000-0005-0000-0000-0000384C0000}"/>
    <cellStyle name="Normal 2 2 2 4 2 12 3 4" xfId="19513" xr:uid="{00000000-0005-0000-0000-0000394C0000}"/>
    <cellStyle name="Normal 2 2 2 4 2 12 3 5" xfId="19514" xr:uid="{00000000-0005-0000-0000-00003A4C0000}"/>
    <cellStyle name="Normal 2 2 2 4 2 12 3 6" xfId="19515" xr:uid="{00000000-0005-0000-0000-00003B4C0000}"/>
    <cellStyle name="Normal 2 2 2 4 2 12 3 7" xfId="19516" xr:uid="{00000000-0005-0000-0000-00003C4C0000}"/>
    <cellStyle name="Normal 2 2 2 4 2 12 3 8" xfId="19517" xr:uid="{00000000-0005-0000-0000-00003D4C0000}"/>
    <cellStyle name="Normal 2 2 2 4 2 12 3 9" xfId="19518" xr:uid="{00000000-0005-0000-0000-00003E4C0000}"/>
    <cellStyle name="Normal 2 2 2 4 2 12 4" xfId="19519" xr:uid="{00000000-0005-0000-0000-00003F4C0000}"/>
    <cellStyle name="Normal 2 2 2 4 2 12 4 10" xfId="19520" xr:uid="{00000000-0005-0000-0000-0000404C0000}"/>
    <cellStyle name="Normal 2 2 2 4 2 12 4 2" xfId="19521" xr:uid="{00000000-0005-0000-0000-0000414C0000}"/>
    <cellStyle name="Normal 2 2 2 4 2 12 4 3" xfId="19522" xr:uid="{00000000-0005-0000-0000-0000424C0000}"/>
    <cellStyle name="Normal 2 2 2 4 2 12 4 4" xfId="19523" xr:uid="{00000000-0005-0000-0000-0000434C0000}"/>
    <cellStyle name="Normal 2 2 2 4 2 12 4 5" xfId="19524" xr:uid="{00000000-0005-0000-0000-0000444C0000}"/>
    <cellStyle name="Normal 2 2 2 4 2 12 4 6" xfId="19525" xr:uid="{00000000-0005-0000-0000-0000454C0000}"/>
    <cellStyle name="Normal 2 2 2 4 2 12 4 7" xfId="19526" xr:uid="{00000000-0005-0000-0000-0000464C0000}"/>
    <cellStyle name="Normal 2 2 2 4 2 12 4 8" xfId="19527" xr:uid="{00000000-0005-0000-0000-0000474C0000}"/>
    <cellStyle name="Normal 2 2 2 4 2 12 4 9" xfId="19528" xr:uid="{00000000-0005-0000-0000-0000484C0000}"/>
    <cellStyle name="Normal 2 2 2 4 2 12 5" xfId="19529" xr:uid="{00000000-0005-0000-0000-0000494C0000}"/>
    <cellStyle name="Normal 2 2 2 4 2 12 5 10" xfId="19530" xr:uid="{00000000-0005-0000-0000-00004A4C0000}"/>
    <cellStyle name="Normal 2 2 2 4 2 12 5 2" xfId="19531" xr:uid="{00000000-0005-0000-0000-00004B4C0000}"/>
    <cellStyle name="Normal 2 2 2 4 2 12 5 3" xfId="19532" xr:uid="{00000000-0005-0000-0000-00004C4C0000}"/>
    <cellStyle name="Normal 2 2 2 4 2 12 5 4" xfId="19533" xr:uid="{00000000-0005-0000-0000-00004D4C0000}"/>
    <cellStyle name="Normal 2 2 2 4 2 12 5 5" xfId="19534" xr:uid="{00000000-0005-0000-0000-00004E4C0000}"/>
    <cellStyle name="Normal 2 2 2 4 2 12 5 6" xfId="19535" xr:uid="{00000000-0005-0000-0000-00004F4C0000}"/>
    <cellStyle name="Normal 2 2 2 4 2 12 5 7" xfId="19536" xr:uid="{00000000-0005-0000-0000-0000504C0000}"/>
    <cellStyle name="Normal 2 2 2 4 2 12 5 8" xfId="19537" xr:uid="{00000000-0005-0000-0000-0000514C0000}"/>
    <cellStyle name="Normal 2 2 2 4 2 12 5 9" xfId="19538" xr:uid="{00000000-0005-0000-0000-0000524C0000}"/>
    <cellStyle name="Normal 2 2 2 4 2 12 6" xfId="19539" xr:uid="{00000000-0005-0000-0000-0000534C0000}"/>
    <cellStyle name="Normal 2 2 2 4 2 12 7" xfId="19540" xr:uid="{00000000-0005-0000-0000-0000544C0000}"/>
    <cellStyle name="Normal 2 2 2 4 2 12 8" xfId="19541" xr:uid="{00000000-0005-0000-0000-0000554C0000}"/>
    <cellStyle name="Normal 2 2 2 4 2 12 9" xfId="19542" xr:uid="{00000000-0005-0000-0000-0000564C0000}"/>
    <cellStyle name="Normal 2 2 2 4 2 13" xfId="19543" xr:uid="{00000000-0005-0000-0000-0000574C0000}"/>
    <cellStyle name="Normal 2 2 2 4 2 13 10" xfId="19544" xr:uid="{00000000-0005-0000-0000-0000584C0000}"/>
    <cellStyle name="Normal 2 2 2 4 2 13 11" xfId="19545" xr:uid="{00000000-0005-0000-0000-0000594C0000}"/>
    <cellStyle name="Normal 2 2 2 4 2 13 12" xfId="19546" xr:uid="{00000000-0005-0000-0000-00005A4C0000}"/>
    <cellStyle name="Normal 2 2 2 4 2 13 13" xfId="19547" xr:uid="{00000000-0005-0000-0000-00005B4C0000}"/>
    <cellStyle name="Normal 2 2 2 4 2 13 14" xfId="19548" xr:uid="{00000000-0005-0000-0000-00005C4C0000}"/>
    <cellStyle name="Normal 2 2 2 4 2 13 2" xfId="19549" xr:uid="{00000000-0005-0000-0000-00005D4C0000}"/>
    <cellStyle name="Normal 2 2 2 4 2 13 2 10" xfId="19550" xr:uid="{00000000-0005-0000-0000-00005E4C0000}"/>
    <cellStyle name="Normal 2 2 2 4 2 13 2 2" xfId="19551" xr:uid="{00000000-0005-0000-0000-00005F4C0000}"/>
    <cellStyle name="Normal 2 2 2 4 2 13 2 3" xfId="19552" xr:uid="{00000000-0005-0000-0000-0000604C0000}"/>
    <cellStyle name="Normal 2 2 2 4 2 13 2 4" xfId="19553" xr:uid="{00000000-0005-0000-0000-0000614C0000}"/>
    <cellStyle name="Normal 2 2 2 4 2 13 2 5" xfId="19554" xr:uid="{00000000-0005-0000-0000-0000624C0000}"/>
    <cellStyle name="Normal 2 2 2 4 2 13 2 6" xfId="19555" xr:uid="{00000000-0005-0000-0000-0000634C0000}"/>
    <cellStyle name="Normal 2 2 2 4 2 13 2 7" xfId="19556" xr:uid="{00000000-0005-0000-0000-0000644C0000}"/>
    <cellStyle name="Normal 2 2 2 4 2 13 2 8" xfId="19557" xr:uid="{00000000-0005-0000-0000-0000654C0000}"/>
    <cellStyle name="Normal 2 2 2 4 2 13 2 9" xfId="19558" xr:uid="{00000000-0005-0000-0000-0000664C0000}"/>
    <cellStyle name="Normal 2 2 2 4 2 13 3" xfId="19559" xr:uid="{00000000-0005-0000-0000-0000674C0000}"/>
    <cellStyle name="Normal 2 2 2 4 2 13 3 10" xfId="19560" xr:uid="{00000000-0005-0000-0000-0000684C0000}"/>
    <cellStyle name="Normal 2 2 2 4 2 13 3 2" xfId="19561" xr:uid="{00000000-0005-0000-0000-0000694C0000}"/>
    <cellStyle name="Normal 2 2 2 4 2 13 3 3" xfId="19562" xr:uid="{00000000-0005-0000-0000-00006A4C0000}"/>
    <cellStyle name="Normal 2 2 2 4 2 13 3 4" xfId="19563" xr:uid="{00000000-0005-0000-0000-00006B4C0000}"/>
    <cellStyle name="Normal 2 2 2 4 2 13 3 5" xfId="19564" xr:uid="{00000000-0005-0000-0000-00006C4C0000}"/>
    <cellStyle name="Normal 2 2 2 4 2 13 3 6" xfId="19565" xr:uid="{00000000-0005-0000-0000-00006D4C0000}"/>
    <cellStyle name="Normal 2 2 2 4 2 13 3 7" xfId="19566" xr:uid="{00000000-0005-0000-0000-00006E4C0000}"/>
    <cellStyle name="Normal 2 2 2 4 2 13 3 8" xfId="19567" xr:uid="{00000000-0005-0000-0000-00006F4C0000}"/>
    <cellStyle name="Normal 2 2 2 4 2 13 3 9" xfId="19568" xr:uid="{00000000-0005-0000-0000-0000704C0000}"/>
    <cellStyle name="Normal 2 2 2 4 2 13 4" xfId="19569" xr:uid="{00000000-0005-0000-0000-0000714C0000}"/>
    <cellStyle name="Normal 2 2 2 4 2 13 4 10" xfId="19570" xr:uid="{00000000-0005-0000-0000-0000724C0000}"/>
    <cellStyle name="Normal 2 2 2 4 2 13 4 2" xfId="19571" xr:uid="{00000000-0005-0000-0000-0000734C0000}"/>
    <cellStyle name="Normal 2 2 2 4 2 13 4 3" xfId="19572" xr:uid="{00000000-0005-0000-0000-0000744C0000}"/>
    <cellStyle name="Normal 2 2 2 4 2 13 4 4" xfId="19573" xr:uid="{00000000-0005-0000-0000-0000754C0000}"/>
    <cellStyle name="Normal 2 2 2 4 2 13 4 5" xfId="19574" xr:uid="{00000000-0005-0000-0000-0000764C0000}"/>
    <cellStyle name="Normal 2 2 2 4 2 13 4 6" xfId="19575" xr:uid="{00000000-0005-0000-0000-0000774C0000}"/>
    <cellStyle name="Normal 2 2 2 4 2 13 4 7" xfId="19576" xr:uid="{00000000-0005-0000-0000-0000784C0000}"/>
    <cellStyle name="Normal 2 2 2 4 2 13 4 8" xfId="19577" xr:uid="{00000000-0005-0000-0000-0000794C0000}"/>
    <cellStyle name="Normal 2 2 2 4 2 13 4 9" xfId="19578" xr:uid="{00000000-0005-0000-0000-00007A4C0000}"/>
    <cellStyle name="Normal 2 2 2 4 2 13 5" xfId="19579" xr:uid="{00000000-0005-0000-0000-00007B4C0000}"/>
    <cellStyle name="Normal 2 2 2 4 2 13 5 10" xfId="19580" xr:uid="{00000000-0005-0000-0000-00007C4C0000}"/>
    <cellStyle name="Normal 2 2 2 4 2 13 5 2" xfId="19581" xr:uid="{00000000-0005-0000-0000-00007D4C0000}"/>
    <cellStyle name="Normal 2 2 2 4 2 13 5 3" xfId="19582" xr:uid="{00000000-0005-0000-0000-00007E4C0000}"/>
    <cellStyle name="Normal 2 2 2 4 2 13 5 4" xfId="19583" xr:uid="{00000000-0005-0000-0000-00007F4C0000}"/>
    <cellStyle name="Normal 2 2 2 4 2 13 5 5" xfId="19584" xr:uid="{00000000-0005-0000-0000-0000804C0000}"/>
    <cellStyle name="Normal 2 2 2 4 2 13 5 6" xfId="19585" xr:uid="{00000000-0005-0000-0000-0000814C0000}"/>
    <cellStyle name="Normal 2 2 2 4 2 13 5 7" xfId="19586" xr:uid="{00000000-0005-0000-0000-0000824C0000}"/>
    <cellStyle name="Normal 2 2 2 4 2 13 5 8" xfId="19587" xr:uid="{00000000-0005-0000-0000-0000834C0000}"/>
    <cellStyle name="Normal 2 2 2 4 2 13 5 9" xfId="19588" xr:uid="{00000000-0005-0000-0000-0000844C0000}"/>
    <cellStyle name="Normal 2 2 2 4 2 13 6" xfId="19589" xr:uid="{00000000-0005-0000-0000-0000854C0000}"/>
    <cellStyle name="Normal 2 2 2 4 2 13 7" xfId="19590" xr:uid="{00000000-0005-0000-0000-0000864C0000}"/>
    <cellStyle name="Normal 2 2 2 4 2 13 8" xfId="19591" xr:uid="{00000000-0005-0000-0000-0000874C0000}"/>
    <cellStyle name="Normal 2 2 2 4 2 13 9" xfId="19592" xr:uid="{00000000-0005-0000-0000-0000884C0000}"/>
    <cellStyle name="Normal 2 2 2 4 2 14" xfId="19593" xr:uid="{00000000-0005-0000-0000-0000894C0000}"/>
    <cellStyle name="Normal 2 2 2 4 2 14 10" xfId="19594" xr:uid="{00000000-0005-0000-0000-00008A4C0000}"/>
    <cellStyle name="Normal 2 2 2 4 2 14 11" xfId="19595" xr:uid="{00000000-0005-0000-0000-00008B4C0000}"/>
    <cellStyle name="Normal 2 2 2 4 2 14 12" xfId="19596" xr:uid="{00000000-0005-0000-0000-00008C4C0000}"/>
    <cellStyle name="Normal 2 2 2 4 2 14 13" xfId="19597" xr:uid="{00000000-0005-0000-0000-00008D4C0000}"/>
    <cellStyle name="Normal 2 2 2 4 2 14 14" xfId="19598" xr:uid="{00000000-0005-0000-0000-00008E4C0000}"/>
    <cellStyle name="Normal 2 2 2 4 2 14 2" xfId="19599" xr:uid="{00000000-0005-0000-0000-00008F4C0000}"/>
    <cellStyle name="Normal 2 2 2 4 2 14 2 10" xfId="19600" xr:uid="{00000000-0005-0000-0000-0000904C0000}"/>
    <cellStyle name="Normal 2 2 2 4 2 14 2 2" xfId="19601" xr:uid="{00000000-0005-0000-0000-0000914C0000}"/>
    <cellStyle name="Normal 2 2 2 4 2 14 2 3" xfId="19602" xr:uid="{00000000-0005-0000-0000-0000924C0000}"/>
    <cellStyle name="Normal 2 2 2 4 2 14 2 4" xfId="19603" xr:uid="{00000000-0005-0000-0000-0000934C0000}"/>
    <cellStyle name="Normal 2 2 2 4 2 14 2 5" xfId="19604" xr:uid="{00000000-0005-0000-0000-0000944C0000}"/>
    <cellStyle name="Normal 2 2 2 4 2 14 2 6" xfId="19605" xr:uid="{00000000-0005-0000-0000-0000954C0000}"/>
    <cellStyle name="Normal 2 2 2 4 2 14 2 7" xfId="19606" xr:uid="{00000000-0005-0000-0000-0000964C0000}"/>
    <cellStyle name="Normal 2 2 2 4 2 14 2 8" xfId="19607" xr:uid="{00000000-0005-0000-0000-0000974C0000}"/>
    <cellStyle name="Normal 2 2 2 4 2 14 2 9" xfId="19608" xr:uid="{00000000-0005-0000-0000-0000984C0000}"/>
    <cellStyle name="Normal 2 2 2 4 2 14 3" xfId="19609" xr:uid="{00000000-0005-0000-0000-0000994C0000}"/>
    <cellStyle name="Normal 2 2 2 4 2 14 3 10" xfId="19610" xr:uid="{00000000-0005-0000-0000-00009A4C0000}"/>
    <cellStyle name="Normal 2 2 2 4 2 14 3 2" xfId="19611" xr:uid="{00000000-0005-0000-0000-00009B4C0000}"/>
    <cellStyle name="Normal 2 2 2 4 2 14 3 3" xfId="19612" xr:uid="{00000000-0005-0000-0000-00009C4C0000}"/>
    <cellStyle name="Normal 2 2 2 4 2 14 3 4" xfId="19613" xr:uid="{00000000-0005-0000-0000-00009D4C0000}"/>
    <cellStyle name="Normal 2 2 2 4 2 14 3 5" xfId="19614" xr:uid="{00000000-0005-0000-0000-00009E4C0000}"/>
    <cellStyle name="Normal 2 2 2 4 2 14 3 6" xfId="19615" xr:uid="{00000000-0005-0000-0000-00009F4C0000}"/>
    <cellStyle name="Normal 2 2 2 4 2 14 3 7" xfId="19616" xr:uid="{00000000-0005-0000-0000-0000A04C0000}"/>
    <cellStyle name="Normal 2 2 2 4 2 14 3 8" xfId="19617" xr:uid="{00000000-0005-0000-0000-0000A14C0000}"/>
    <cellStyle name="Normal 2 2 2 4 2 14 3 9" xfId="19618" xr:uid="{00000000-0005-0000-0000-0000A24C0000}"/>
    <cellStyle name="Normal 2 2 2 4 2 14 4" xfId="19619" xr:uid="{00000000-0005-0000-0000-0000A34C0000}"/>
    <cellStyle name="Normal 2 2 2 4 2 14 4 10" xfId="19620" xr:uid="{00000000-0005-0000-0000-0000A44C0000}"/>
    <cellStyle name="Normal 2 2 2 4 2 14 4 2" xfId="19621" xr:uid="{00000000-0005-0000-0000-0000A54C0000}"/>
    <cellStyle name="Normal 2 2 2 4 2 14 4 3" xfId="19622" xr:uid="{00000000-0005-0000-0000-0000A64C0000}"/>
    <cellStyle name="Normal 2 2 2 4 2 14 4 4" xfId="19623" xr:uid="{00000000-0005-0000-0000-0000A74C0000}"/>
    <cellStyle name="Normal 2 2 2 4 2 14 4 5" xfId="19624" xr:uid="{00000000-0005-0000-0000-0000A84C0000}"/>
    <cellStyle name="Normal 2 2 2 4 2 14 4 6" xfId="19625" xr:uid="{00000000-0005-0000-0000-0000A94C0000}"/>
    <cellStyle name="Normal 2 2 2 4 2 14 4 7" xfId="19626" xr:uid="{00000000-0005-0000-0000-0000AA4C0000}"/>
    <cellStyle name="Normal 2 2 2 4 2 14 4 8" xfId="19627" xr:uid="{00000000-0005-0000-0000-0000AB4C0000}"/>
    <cellStyle name="Normal 2 2 2 4 2 14 4 9" xfId="19628" xr:uid="{00000000-0005-0000-0000-0000AC4C0000}"/>
    <cellStyle name="Normal 2 2 2 4 2 14 5" xfId="19629" xr:uid="{00000000-0005-0000-0000-0000AD4C0000}"/>
    <cellStyle name="Normal 2 2 2 4 2 14 5 10" xfId="19630" xr:uid="{00000000-0005-0000-0000-0000AE4C0000}"/>
    <cellStyle name="Normal 2 2 2 4 2 14 5 2" xfId="19631" xr:uid="{00000000-0005-0000-0000-0000AF4C0000}"/>
    <cellStyle name="Normal 2 2 2 4 2 14 5 3" xfId="19632" xr:uid="{00000000-0005-0000-0000-0000B04C0000}"/>
    <cellStyle name="Normal 2 2 2 4 2 14 5 4" xfId="19633" xr:uid="{00000000-0005-0000-0000-0000B14C0000}"/>
    <cellStyle name="Normal 2 2 2 4 2 14 5 5" xfId="19634" xr:uid="{00000000-0005-0000-0000-0000B24C0000}"/>
    <cellStyle name="Normal 2 2 2 4 2 14 5 6" xfId="19635" xr:uid="{00000000-0005-0000-0000-0000B34C0000}"/>
    <cellStyle name="Normal 2 2 2 4 2 14 5 7" xfId="19636" xr:uid="{00000000-0005-0000-0000-0000B44C0000}"/>
    <cellStyle name="Normal 2 2 2 4 2 14 5 8" xfId="19637" xr:uid="{00000000-0005-0000-0000-0000B54C0000}"/>
    <cellStyle name="Normal 2 2 2 4 2 14 5 9" xfId="19638" xr:uid="{00000000-0005-0000-0000-0000B64C0000}"/>
    <cellStyle name="Normal 2 2 2 4 2 14 6" xfId="19639" xr:uid="{00000000-0005-0000-0000-0000B74C0000}"/>
    <cellStyle name="Normal 2 2 2 4 2 14 7" xfId="19640" xr:uid="{00000000-0005-0000-0000-0000B84C0000}"/>
    <cellStyle name="Normal 2 2 2 4 2 14 8" xfId="19641" xr:uid="{00000000-0005-0000-0000-0000B94C0000}"/>
    <cellStyle name="Normal 2 2 2 4 2 14 9" xfId="19642" xr:uid="{00000000-0005-0000-0000-0000BA4C0000}"/>
    <cellStyle name="Normal 2 2 2 4 2 15" xfId="19643" xr:uid="{00000000-0005-0000-0000-0000BB4C0000}"/>
    <cellStyle name="Normal 2 2 2 4 2 15 10" xfId="19644" xr:uid="{00000000-0005-0000-0000-0000BC4C0000}"/>
    <cellStyle name="Normal 2 2 2 4 2 15 11" xfId="19645" xr:uid="{00000000-0005-0000-0000-0000BD4C0000}"/>
    <cellStyle name="Normal 2 2 2 4 2 15 12" xfId="19646" xr:uid="{00000000-0005-0000-0000-0000BE4C0000}"/>
    <cellStyle name="Normal 2 2 2 4 2 15 13" xfId="19647" xr:uid="{00000000-0005-0000-0000-0000BF4C0000}"/>
    <cellStyle name="Normal 2 2 2 4 2 15 14" xfId="19648" xr:uid="{00000000-0005-0000-0000-0000C04C0000}"/>
    <cellStyle name="Normal 2 2 2 4 2 15 2" xfId="19649" xr:uid="{00000000-0005-0000-0000-0000C14C0000}"/>
    <cellStyle name="Normal 2 2 2 4 2 15 2 10" xfId="19650" xr:uid="{00000000-0005-0000-0000-0000C24C0000}"/>
    <cellStyle name="Normal 2 2 2 4 2 15 2 2" xfId="19651" xr:uid="{00000000-0005-0000-0000-0000C34C0000}"/>
    <cellStyle name="Normal 2 2 2 4 2 15 2 3" xfId="19652" xr:uid="{00000000-0005-0000-0000-0000C44C0000}"/>
    <cellStyle name="Normal 2 2 2 4 2 15 2 4" xfId="19653" xr:uid="{00000000-0005-0000-0000-0000C54C0000}"/>
    <cellStyle name="Normal 2 2 2 4 2 15 2 5" xfId="19654" xr:uid="{00000000-0005-0000-0000-0000C64C0000}"/>
    <cellStyle name="Normal 2 2 2 4 2 15 2 6" xfId="19655" xr:uid="{00000000-0005-0000-0000-0000C74C0000}"/>
    <cellStyle name="Normal 2 2 2 4 2 15 2 7" xfId="19656" xr:uid="{00000000-0005-0000-0000-0000C84C0000}"/>
    <cellStyle name="Normal 2 2 2 4 2 15 2 8" xfId="19657" xr:uid="{00000000-0005-0000-0000-0000C94C0000}"/>
    <cellStyle name="Normal 2 2 2 4 2 15 2 9" xfId="19658" xr:uid="{00000000-0005-0000-0000-0000CA4C0000}"/>
    <cellStyle name="Normal 2 2 2 4 2 15 3" xfId="19659" xr:uid="{00000000-0005-0000-0000-0000CB4C0000}"/>
    <cellStyle name="Normal 2 2 2 4 2 15 3 10" xfId="19660" xr:uid="{00000000-0005-0000-0000-0000CC4C0000}"/>
    <cellStyle name="Normal 2 2 2 4 2 15 3 2" xfId="19661" xr:uid="{00000000-0005-0000-0000-0000CD4C0000}"/>
    <cellStyle name="Normal 2 2 2 4 2 15 3 3" xfId="19662" xr:uid="{00000000-0005-0000-0000-0000CE4C0000}"/>
    <cellStyle name="Normal 2 2 2 4 2 15 3 4" xfId="19663" xr:uid="{00000000-0005-0000-0000-0000CF4C0000}"/>
    <cellStyle name="Normal 2 2 2 4 2 15 3 5" xfId="19664" xr:uid="{00000000-0005-0000-0000-0000D04C0000}"/>
    <cellStyle name="Normal 2 2 2 4 2 15 3 6" xfId="19665" xr:uid="{00000000-0005-0000-0000-0000D14C0000}"/>
    <cellStyle name="Normal 2 2 2 4 2 15 3 7" xfId="19666" xr:uid="{00000000-0005-0000-0000-0000D24C0000}"/>
    <cellStyle name="Normal 2 2 2 4 2 15 3 8" xfId="19667" xr:uid="{00000000-0005-0000-0000-0000D34C0000}"/>
    <cellStyle name="Normal 2 2 2 4 2 15 3 9" xfId="19668" xr:uid="{00000000-0005-0000-0000-0000D44C0000}"/>
    <cellStyle name="Normal 2 2 2 4 2 15 4" xfId="19669" xr:uid="{00000000-0005-0000-0000-0000D54C0000}"/>
    <cellStyle name="Normal 2 2 2 4 2 15 4 10" xfId="19670" xr:uid="{00000000-0005-0000-0000-0000D64C0000}"/>
    <cellStyle name="Normal 2 2 2 4 2 15 4 2" xfId="19671" xr:uid="{00000000-0005-0000-0000-0000D74C0000}"/>
    <cellStyle name="Normal 2 2 2 4 2 15 4 3" xfId="19672" xr:uid="{00000000-0005-0000-0000-0000D84C0000}"/>
    <cellStyle name="Normal 2 2 2 4 2 15 4 4" xfId="19673" xr:uid="{00000000-0005-0000-0000-0000D94C0000}"/>
    <cellStyle name="Normal 2 2 2 4 2 15 4 5" xfId="19674" xr:uid="{00000000-0005-0000-0000-0000DA4C0000}"/>
    <cellStyle name="Normal 2 2 2 4 2 15 4 6" xfId="19675" xr:uid="{00000000-0005-0000-0000-0000DB4C0000}"/>
    <cellStyle name="Normal 2 2 2 4 2 15 4 7" xfId="19676" xr:uid="{00000000-0005-0000-0000-0000DC4C0000}"/>
    <cellStyle name="Normal 2 2 2 4 2 15 4 8" xfId="19677" xr:uid="{00000000-0005-0000-0000-0000DD4C0000}"/>
    <cellStyle name="Normal 2 2 2 4 2 15 4 9" xfId="19678" xr:uid="{00000000-0005-0000-0000-0000DE4C0000}"/>
    <cellStyle name="Normal 2 2 2 4 2 15 5" xfId="19679" xr:uid="{00000000-0005-0000-0000-0000DF4C0000}"/>
    <cellStyle name="Normal 2 2 2 4 2 15 5 10" xfId="19680" xr:uid="{00000000-0005-0000-0000-0000E04C0000}"/>
    <cellStyle name="Normal 2 2 2 4 2 15 5 2" xfId="19681" xr:uid="{00000000-0005-0000-0000-0000E14C0000}"/>
    <cellStyle name="Normal 2 2 2 4 2 15 5 3" xfId="19682" xr:uid="{00000000-0005-0000-0000-0000E24C0000}"/>
    <cellStyle name="Normal 2 2 2 4 2 15 5 4" xfId="19683" xr:uid="{00000000-0005-0000-0000-0000E34C0000}"/>
    <cellStyle name="Normal 2 2 2 4 2 15 5 5" xfId="19684" xr:uid="{00000000-0005-0000-0000-0000E44C0000}"/>
    <cellStyle name="Normal 2 2 2 4 2 15 5 6" xfId="19685" xr:uid="{00000000-0005-0000-0000-0000E54C0000}"/>
    <cellStyle name="Normal 2 2 2 4 2 15 5 7" xfId="19686" xr:uid="{00000000-0005-0000-0000-0000E64C0000}"/>
    <cellStyle name="Normal 2 2 2 4 2 15 5 8" xfId="19687" xr:uid="{00000000-0005-0000-0000-0000E74C0000}"/>
    <cellStyle name="Normal 2 2 2 4 2 15 5 9" xfId="19688" xr:uid="{00000000-0005-0000-0000-0000E84C0000}"/>
    <cellStyle name="Normal 2 2 2 4 2 15 6" xfId="19689" xr:uid="{00000000-0005-0000-0000-0000E94C0000}"/>
    <cellStyle name="Normal 2 2 2 4 2 15 7" xfId="19690" xr:uid="{00000000-0005-0000-0000-0000EA4C0000}"/>
    <cellStyle name="Normal 2 2 2 4 2 15 8" xfId="19691" xr:uid="{00000000-0005-0000-0000-0000EB4C0000}"/>
    <cellStyle name="Normal 2 2 2 4 2 15 9" xfId="19692" xr:uid="{00000000-0005-0000-0000-0000EC4C0000}"/>
    <cellStyle name="Normal 2 2 2 4 2 16" xfId="19693" xr:uid="{00000000-0005-0000-0000-0000ED4C0000}"/>
    <cellStyle name="Normal 2 2 2 4 2 16 10" xfId="19694" xr:uid="{00000000-0005-0000-0000-0000EE4C0000}"/>
    <cellStyle name="Normal 2 2 2 4 2 16 11" xfId="19695" xr:uid="{00000000-0005-0000-0000-0000EF4C0000}"/>
    <cellStyle name="Normal 2 2 2 4 2 16 12" xfId="19696" xr:uid="{00000000-0005-0000-0000-0000F04C0000}"/>
    <cellStyle name="Normal 2 2 2 4 2 16 13" xfId="19697" xr:uid="{00000000-0005-0000-0000-0000F14C0000}"/>
    <cellStyle name="Normal 2 2 2 4 2 16 14" xfId="19698" xr:uid="{00000000-0005-0000-0000-0000F24C0000}"/>
    <cellStyle name="Normal 2 2 2 4 2 16 2" xfId="19699" xr:uid="{00000000-0005-0000-0000-0000F34C0000}"/>
    <cellStyle name="Normal 2 2 2 4 2 16 2 10" xfId="19700" xr:uid="{00000000-0005-0000-0000-0000F44C0000}"/>
    <cellStyle name="Normal 2 2 2 4 2 16 2 2" xfId="19701" xr:uid="{00000000-0005-0000-0000-0000F54C0000}"/>
    <cellStyle name="Normal 2 2 2 4 2 16 2 3" xfId="19702" xr:uid="{00000000-0005-0000-0000-0000F64C0000}"/>
    <cellStyle name="Normal 2 2 2 4 2 16 2 4" xfId="19703" xr:uid="{00000000-0005-0000-0000-0000F74C0000}"/>
    <cellStyle name="Normal 2 2 2 4 2 16 2 5" xfId="19704" xr:uid="{00000000-0005-0000-0000-0000F84C0000}"/>
    <cellStyle name="Normal 2 2 2 4 2 16 2 6" xfId="19705" xr:uid="{00000000-0005-0000-0000-0000F94C0000}"/>
    <cellStyle name="Normal 2 2 2 4 2 16 2 7" xfId="19706" xr:uid="{00000000-0005-0000-0000-0000FA4C0000}"/>
    <cellStyle name="Normal 2 2 2 4 2 16 2 8" xfId="19707" xr:uid="{00000000-0005-0000-0000-0000FB4C0000}"/>
    <cellStyle name="Normal 2 2 2 4 2 16 2 9" xfId="19708" xr:uid="{00000000-0005-0000-0000-0000FC4C0000}"/>
    <cellStyle name="Normal 2 2 2 4 2 16 3" xfId="19709" xr:uid="{00000000-0005-0000-0000-0000FD4C0000}"/>
    <cellStyle name="Normal 2 2 2 4 2 16 3 10" xfId="19710" xr:uid="{00000000-0005-0000-0000-0000FE4C0000}"/>
    <cellStyle name="Normal 2 2 2 4 2 16 3 2" xfId="19711" xr:uid="{00000000-0005-0000-0000-0000FF4C0000}"/>
    <cellStyle name="Normal 2 2 2 4 2 16 3 3" xfId="19712" xr:uid="{00000000-0005-0000-0000-0000004D0000}"/>
    <cellStyle name="Normal 2 2 2 4 2 16 3 4" xfId="19713" xr:uid="{00000000-0005-0000-0000-0000014D0000}"/>
    <cellStyle name="Normal 2 2 2 4 2 16 3 5" xfId="19714" xr:uid="{00000000-0005-0000-0000-0000024D0000}"/>
    <cellStyle name="Normal 2 2 2 4 2 16 3 6" xfId="19715" xr:uid="{00000000-0005-0000-0000-0000034D0000}"/>
    <cellStyle name="Normal 2 2 2 4 2 16 3 7" xfId="19716" xr:uid="{00000000-0005-0000-0000-0000044D0000}"/>
    <cellStyle name="Normal 2 2 2 4 2 16 3 8" xfId="19717" xr:uid="{00000000-0005-0000-0000-0000054D0000}"/>
    <cellStyle name="Normal 2 2 2 4 2 16 3 9" xfId="19718" xr:uid="{00000000-0005-0000-0000-0000064D0000}"/>
    <cellStyle name="Normal 2 2 2 4 2 16 4" xfId="19719" xr:uid="{00000000-0005-0000-0000-0000074D0000}"/>
    <cellStyle name="Normal 2 2 2 4 2 16 4 10" xfId="19720" xr:uid="{00000000-0005-0000-0000-0000084D0000}"/>
    <cellStyle name="Normal 2 2 2 4 2 16 4 2" xfId="19721" xr:uid="{00000000-0005-0000-0000-0000094D0000}"/>
    <cellStyle name="Normal 2 2 2 4 2 16 4 3" xfId="19722" xr:uid="{00000000-0005-0000-0000-00000A4D0000}"/>
    <cellStyle name="Normal 2 2 2 4 2 16 4 4" xfId="19723" xr:uid="{00000000-0005-0000-0000-00000B4D0000}"/>
    <cellStyle name="Normal 2 2 2 4 2 16 4 5" xfId="19724" xr:uid="{00000000-0005-0000-0000-00000C4D0000}"/>
    <cellStyle name="Normal 2 2 2 4 2 16 4 6" xfId="19725" xr:uid="{00000000-0005-0000-0000-00000D4D0000}"/>
    <cellStyle name="Normal 2 2 2 4 2 16 4 7" xfId="19726" xr:uid="{00000000-0005-0000-0000-00000E4D0000}"/>
    <cellStyle name="Normal 2 2 2 4 2 16 4 8" xfId="19727" xr:uid="{00000000-0005-0000-0000-00000F4D0000}"/>
    <cellStyle name="Normal 2 2 2 4 2 16 4 9" xfId="19728" xr:uid="{00000000-0005-0000-0000-0000104D0000}"/>
    <cellStyle name="Normal 2 2 2 4 2 16 5" xfId="19729" xr:uid="{00000000-0005-0000-0000-0000114D0000}"/>
    <cellStyle name="Normal 2 2 2 4 2 16 5 10" xfId="19730" xr:uid="{00000000-0005-0000-0000-0000124D0000}"/>
    <cellStyle name="Normal 2 2 2 4 2 16 5 2" xfId="19731" xr:uid="{00000000-0005-0000-0000-0000134D0000}"/>
    <cellStyle name="Normal 2 2 2 4 2 16 5 3" xfId="19732" xr:uid="{00000000-0005-0000-0000-0000144D0000}"/>
    <cellStyle name="Normal 2 2 2 4 2 16 5 4" xfId="19733" xr:uid="{00000000-0005-0000-0000-0000154D0000}"/>
    <cellStyle name="Normal 2 2 2 4 2 16 5 5" xfId="19734" xr:uid="{00000000-0005-0000-0000-0000164D0000}"/>
    <cellStyle name="Normal 2 2 2 4 2 16 5 6" xfId="19735" xr:uid="{00000000-0005-0000-0000-0000174D0000}"/>
    <cellStyle name="Normal 2 2 2 4 2 16 5 7" xfId="19736" xr:uid="{00000000-0005-0000-0000-0000184D0000}"/>
    <cellStyle name="Normal 2 2 2 4 2 16 5 8" xfId="19737" xr:uid="{00000000-0005-0000-0000-0000194D0000}"/>
    <cellStyle name="Normal 2 2 2 4 2 16 5 9" xfId="19738" xr:uid="{00000000-0005-0000-0000-00001A4D0000}"/>
    <cellStyle name="Normal 2 2 2 4 2 16 6" xfId="19739" xr:uid="{00000000-0005-0000-0000-00001B4D0000}"/>
    <cellStyle name="Normal 2 2 2 4 2 16 7" xfId="19740" xr:uid="{00000000-0005-0000-0000-00001C4D0000}"/>
    <cellStyle name="Normal 2 2 2 4 2 16 8" xfId="19741" xr:uid="{00000000-0005-0000-0000-00001D4D0000}"/>
    <cellStyle name="Normal 2 2 2 4 2 16 9" xfId="19742" xr:uid="{00000000-0005-0000-0000-00001E4D0000}"/>
    <cellStyle name="Normal 2 2 2 4 2 17" xfId="19743" xr:uid="{00000000-0005-0000-0000-00001F4D0000}"/>
    <cellStyle name="Normal 2 2 2 4 2 17 10" xfId="19744" xr:uid="{00000000-0005-0000-0000-0000204D0000}"/>
    <cellStyle name="Normal 2 2 2 4 2 17 11" xfId="19745" xr:uid="{00000000-0005-0000-0000-0000214D0000}"/>
    <cellStyle name="Normal 2 2 2 4 2 17 12" xfId="19746" xr:uid="{00000000-0005-0000-0000-0000224D0000}"/>
    <cellStyle name="Normal 2 2 2 4 2 17 13" xfId="19747" xr:uid="{00000000-0005-0000-0000-0000234D0000}"/>
    <cellStyle name="Normal 2 2 2 4 2 17 14" xfId="19748" xr:uid="{00000000-0005-0000-0000-0000244D0000}"/>
    <cellStyle name="Normal 2 2 2 4 2 17 2" xfId="19749" xr:uid="{00000000-0005-0000-0000-0000254D0000}"/>
    <cellStyle name="Normal 2 2 2 4 2 17 2 10" xfId="19750" xr:uid="{00000000-0005-0000-0000-0000264D0000}"/>
    <cellStyle name="Normal 2 2 2 4 2 17 2 2" xfId="19751" xr:uid="{00000000-0005-0000-0000-0000274D0000}"/>
    <cellStyle name="Normal 2 2 2 4 2 17 2 3" xfId="19752" xr:uid="{00000000-0005-0000-0000-0000284D0000}"/>
    <cellStyle name="Normal 2 2 2 4 2 17 2 4" xfId="19753" xr:uid="{00000000-0005-0000-0000-0000294D0000}"/>
    <cellStyle name="Normal 2 2 2 4 2 17 2 5" xfId="19754" xr:uid="{00000000-0005-0000-0000-00002A4D0000}"/>
    <cellStyle name="Normal 2 2 2 4 2 17 2 6" xfId="19755" xr:uid="{00000000-0005-0000-0000-00002B4D0000}"/>
    <cellStyle name="Normal 2 2 2 4 2 17 2 7" xfId="19756" xr:uid="{00000000-0005-0000-0000-00002C4D0000}"/>
    <cellStyle name="Normal 2 2 2 4 2 17 2 8" xfId="19757" xr:uid="{00000000-0005-0000-0000-00002D4D0000}"/>
    <cellStyle name="Normal 2 2 2 4 2 17 2 9" xfId="19758" xr:uid="{00000000-0005-0000-0000-00002E4D0000}"/>
    <cellStyle name="Normal 2 2 2 4 2 17 3" xfId="19759" xr:uid="{00000000-0005-0000-0000-00002F4D0000}"/>
    <cellStyle name="Normal 2 2 2 4 2 17 3 10" xfId="19760" xr:uid="{00000000-0005-0000-0000-0000304D0000}"/>
    <cellStyle name="Normal 2 2 2 4 2 17 3 2" xfId="19761" xr:uid="{00000000-0005-0000-0000-0000314D0000}"/>
    <cellStyle name="Normal 2 2 2 4 2 17 3 3" xfId="19762" xr:uid="{00000000-0005-0000-0000-0000324D0000}"/>
    <cellStyle name="Normal 2 2 2 4 2 17 3 4" xfId="19763" xr:uid="{00000000-0005-0000-0000-0000334D0000}"/>
    <cellStyle name="Normal 2 2 2 4 2 17 3 5" xfId="19764" xr:uid="{00000000-0005-0000-0000-0000344D0000}"/>
    <cellStyle name="Normal 2 2 2 4 2 17 3 6" xfId="19765" xr:uid="{00000000-0005-0000-0000-0000354D0000}"/>
    <cellStyle name="Normal 2 2 2 4 2 17 3 7" xfId="19766" xr:uid="{00000000-0005-0000-0000-0000364D0000}"/>
    <cellStyle name="Normal 2 2 2 4 2 17 3 8" xfId="19767" xr:uid="{00000000-0005-0000-0000-0000374D0000}"/>
    <cellStyle name="Normal 2 2 2 4 2 17 3 9" xfId="19768" xr:uid="{00000000-0005-0000-0000-0000384D0000}"/>
    <cellStyle name="Normal 2 2 2 4 2 17 4" xfId="19769" xr:uid="{00000000-0005-0000-0000-0000394D0000}"/>
    <cellStyle name="Normal 2 2 2 4 2 17 4 10" xfId="19770" xr:uid="{00000000-0005-0000-0000-00003A4D0000}"/>
    <cellStyle name="Normal 2 2 2 4 2 17 4 2" xfId="19771" xr:uid="{00000000-0005-0000-0000-00003B4D0000}"/>
    <cellStyle name="Normal 2 2 2 4 2 17 4 3" xfId="19772" xr:uid="{00000000-0005-0000-0000-00003C4D0000}"/>
    <cellStyle name="Normal 2 2 2 4 2 17 4 4" xfId="19773" xr:uid="{00000000-0005-0000-0000-00003D4D0000}"/>
    <cellStyle name="Normal 2 2 2 4 2 17 4 5" xfId="19774" xr:uid="{00000000-0005-0000-0000-00003E4D0000}"/>
    <cellStyle name="Normal 2 2 2 4 2 17 4 6" xfId="19775" xr:uid="{00000000-0005-0000-0000-00003F4D0000}"/>
    <cellStyle name="Normal 2 2 2 4 2 17 4 7" xfId="19776" xr:uid="{00000000-0005-0000-0000-0000404D0000}"/>
    <cellStyle name="Normal 2 2 2 4 2 17 4 8" xfId="19777" xr:uid="{00000000-0005-0000-0000-0000414D0000}"/>
    <cellStyle name="Normal 2 2 2 4 2 17 4 9" xfId="19778" xr:uid="{00000000-0005-0000-0000-0000424D0000}"/>
    <cellStyle name="Normal 2 2 2 4 2 17 5" xfId="19779" xr:uid="{00000000-0005-0000-0000-0000434D0000}"/>
    <cellStyle name="Normal 2 2 2 4 2 17 5 10" xfId="19780" xr:uid="{00000000-0005-0000-0000-0000444D0000}"/>
    <cellStyle name="Normal 2 2 2 4 2 17 5 2" xfId="19781" xr:uid="{00000000-0005-0000-0000-0000454D0000}"/>
    <cellStyle name="Normal 2 2 2 4 2 17 5 3" xfId="19782" xr:uid="{00000000-0005-0000-0000-0000464D0000}"/>
    <cellStyle name="Normal 2 2 2 4 2 17 5 4" xfId="19783" xr:uid="{00000000-0005-0000-0000-0000474D0000}"/>
    <cellStyle name="Normal 2 2 2 4 2 17 5 5" xfId="19784" xr:uid="{00000000-0005-0000-0000-0000484D0000}"/>
    <cellStyle name="Normal 2 2 2 4 2 17 5 6" xfId="19785" xr:uid="{00000000-0005-0000-0000-0000494D0000}"/>
    <cellStyle name="Normal 2 2 2 4 2 17 5 7" xfId="19786" xr:uid="{00000000-0005-0000-0000-00004A4D0000}"/>
    <cellStyle name="Normal 2 2 2 4 2 17 5 8" xfId="19787" xr:uid="{00000000-0005-0000-0000-00004B4D0000}"/>
    <cellStyle name="Normal 2 2 2 4 2 17 5 9" xfId="19788" xr:uid="{00000000-0005-0000-0000-00004C4D0000}"/>
    <cellStyle name="Normal 2 2 2 4 2 17 6" xfId="19789" xr:uid="{00000000-0005-0000-0000-00004D4D0000}"/>
    <cellStyle name="Normal 2 2 2 4 2 17 7" xfId="19790" xr:uid="{00000000-0005-0000-0000-00004E4D0000}"/>
    <cellStyle name="Normal 2 2 2 4 2 17 8" xfId="19791" xr:uid="{00000000-0005-0000-0000-00004F4D0000}"/>
    <cellStyle name="Normal 2 2 2 4 2 17 9" xfId="19792" xr:uid="{00000000-0005-0000-0000-0000504D0000}"/>
    <cellStyle name="Normal 2 2 2 4 2 18" xfId="19793" xr:uid="{00000000-0005-0000-0000-0000514D0000}"/>
    <cellStyle name="Normal 2 2 2 4 2 18 10" xfId="19794" xr:uid="{00000000-0005-0000-0000-0000524D0000}"/>
    <cellStyle name="Normal 2 2 2 4 2 18 11" xfId="19795" xr:uid="{00000000-0005-0000-0000-0000534D0000}"/>
    <cellStyle name="Normal 2 2 2 4 2 18 12" xfId="19796" xr:uid="{00000000-0005-0000-0000-0000544D0000}"/>
    <cellStyle name="Normal 2 2 2 4 2 18 13" xfId="19797" xr:uid="{00000000-0005-0000-0000-0000554D0000}"/>
    <cellStyle name="Normal 2 2 2 4 2 18 14" xfId="19798" xr:uid="{00000000-0005-0000-0000-0000564D0000}"/>
    <cellStyle name="Normal 2 2 2 4 2 18 2" xfId="19799" xr:uid="{00000000-0005-0000-0000-0000574D0000}"/>
    <cellStyle name="Normal 2 2 2 4 2 18 2 10" xfId="19800" xr:uid="{00000000-0005-0000-0000-0000584D0000}"/>
    <cellStyle name="Normal 2 2 2 4 2 18 2 2" xfId="19801" xr:uid="{00000000-0005-0000-0000-0000594D0000}"/>
    <cellStyle name="Normal 2 2 2 4 2 18 2 3" xfId="19802" xr:uid="{00000000-0005-0000-0000-00005A4D0000}"/>
    <cellStyle name="Normal 2 2 2 4 2 18 2 4" xfId="19803" xr:uid="{00000000-0005-0000-0000-00005B4D0000}"/>
    <cellStyle name="Normal 2 2 2 4 2 18 2 5" xfId="19804" xr:uid="{00000000-0005-0000-0000-00005C4D0000}"/>
    <cellStyle name="Normal 2 2 2 4 2 18 2 6" xfId="19805" xr:uid="{00000000-0005-0000-0000-00005D4D0000}"/>
    <cellStyle name="Normal 2 2 2 4 2 18 2 7" xfId="19806" xr:uid="{00000000-0005-0000-0000-00005E4D0000}"/>
    <cellStyle name="Normal 2 2 2 4 2 18 2 8" xfId="19807" xr:uid="{00000000-0005-0000-0000-00005F4D0000}"/>
    <cellStyle name="Normal 2 2 2 4 2 18 2 9" xfId="19808" xr:uid="{00000000-0005-0000-0000-0000604D0000}"/>
    <cellStyle name="Normal 2 2 2 4 2 18 3" xfId="19809" xr:uid="{00000000-0005-0000-0000-0000614D0000}"/>
    <cellStyle name="Normal 2 2 2 4 2 18 3 10" xfId="19810" xr:uid="{00000000-0005-0000-0000-0000624D0000}"/>
    <cellStyle name="Normal 2 2 2 4 2 18 3 2" xfId="19811" xr:uid="{00000000-0005-0000-0000-0000634D0000}"/>
    <cellStyle name="Normal 2 2 2 4 2 18 3 3" xfId="19812" xr:uid="{00000000-0005-0000-0000-0000644D0000}"/>
    <cellStyle name="Normal 2 2 2 4 2 18 3 4" xfId="19813" xr:uid="{00000000-0005-0000-0000-0000654D0000}"/>
    <cellStyle name="Normal 2 2 2 4 2 18 3 5" xfId="19814" xr:uid="{00000000-0005-0000-0000-0000664D0000}"/>
    <cellStyle name="Normal 2 2 2 4 2 18 3 6" xfId="19815" xr:uid="{00000000-0005-0000-0000-0000674D0000}"/>
    <cellStyle name="Normal 2 2 2 4 2 18 3 7" xfId="19816" xr:uid="{00000000-0005-0000-0000-0000684D0000}"/>
    <cellStyle name="Normal 2 2 2 4 2 18 3 8" xfId="19817" xr:uid="{00000000-0005-0000-0000-0000694D0000}"/>
    <cellStyle name="Normal 2 2 2 4 2 18 3 9" xfId="19818" xr:uid="{00000000-0005-0000-0000-00006A4D0000}"/>
    <cellStyle name="Normal 2 2 2 4 2 18 4" xfId="19819" xr:uid="{00000000-0005-0000-0000-00006B4D0000}"/>
    <cellStyle name="Normal 2 2 2 4 2 18 4 10" xfId="19820" xr:uid="{00000000-0005-0000-0000-00006C4D0000}"/>
    <cellStyle name="Normal 2 2 2 4 2 18 4 2" xfId="19821" xr:uid="{00000000-0005-0000-0000-00006D4D0000}"/>
    <cellStyle name="Normal 2 2 2 4 2 18 4 3" xfId="19822" xr:uid="{00000000-0005-0000-0000-00006E4D0000}"/>
    <cellStyle name="Normal 2 2 2 4 2 18 4 4" xfId="19823" xr:uid="{00000000-0005-0000-0000-00006F4D0000}"/>
    <cellStyle name="Normal 2 2 2 4 2 18 4 5" xfId="19824" xr:uid="{00000000-0005-0000-0000-0000704D0000}"/>
    <cellStyle name="Normal 2 2 2 4 2 18 4 6" xfId="19825" xr:uid="{00000000-0005-0000-0000-0000714D0000}"/>
    <cellStyle name="Normal 2 2 2 4 2 18 4 7" xfId="19826" xr:uid="{00000000-0005-0000-0000-0000724D0000}"/>
    <cellStyle name="Normal 2 2 2 4 2 18 4 8" xfId="19827" xr:uid="{00000000-0005-0000-0000-0000734D0000}"/>
    <cellStyle name="Normal 2 2 2 4 2 18 4 9" xfId="19828" xr:uid="{00000000-0005-0000-0000-0000744D0000}"/>
    <cellStyle name="Normal 2 2 2 4 2 18 5" xfId="19829" xr:uid="{00000000-0005-0000-0000-0000754D0000}"/>
    <cellStyle name="Normal 2 2 2 4 2 18 5 10" xfId="19830" xr:uid="{00000000-0005-0000-0000-0000764D0000}"/>
    <cellStyle name="Normal 2 2 2 4 2 18 5 2" xfId="19831" xr:uid="{00000000-0005-0000-0000-0000774D0000}"/>
    <cellStyle name="Normal 2 2 2 4 2 18 5 3" xfId="19832" xr:uid="{00000000-0005-0000-0000-0000784D0000}"/>
    <cellStyle name="Normal 2 2 2 4 2 18 5 4" xfId="19833" xr:uid="{00000000-0005-0000-0000-0000794D0000}"/>
    <cellStyle name="Normal 2 2 2 4 2 18 5 5" xfId="19834" xr:uid="{00000000-0005-0000-0000-00007A4D0000}"/>
    <cellStyle name="Normal 2 2 2 4 2 18 5 6" xfId="19835" xr:uid="{00000000-0005-0000-0000-00007B4D0000}"/>
    <cellStyle name="Normal 2 2 2 4 2 18 5 7" xfId="19836" xr:uid="{00000000-0005-0000-0000-00007C4D0000}"/>
    <cellStyle name="Normal 2 2 2 4 2 18 5 8" xfId="19837" xr:uid="{00000000-0005-0000-0000-00007D4D0000}"/>
    <cellStyle name="Normal 2 2 2 4 2 18 5 9" xfId="19838" xr:uid="{00000000-0005-0000-0000-00007E4D0000}"/>
    <cellStyle name="Normal 2 2 2 4 2 18 6" xfId="19839" xr:uid="{00000000-0005-0000-0000-00007F4D0000}"/>
    <cellStyle name="Normal 2 2 2 4 2 18 7" xfId="19840" xr:uid="{00000000-0005-0000-0000-0000804D0000}"/>
    <cellStyle name="Normal 2 2 2 4 2 18 8" xfId="19841" xr:uid="{00000000-0005-0000-0000-0000814D0000}"/>
    <cellStyle name="Normal 2 2 2 4 2 18 9" xfId="19842" xr:uid="{00000000-0005-0000-0000-0000824D0000}"/>
    <cellStyle name="Normal 2 2 2 4 2 19" xfId="19843" xr:uid="{00000000-0005-0000-0000-0000834D0000}"/>
    <cellStyle name="Normal 2 2 2 4 2 19 10" xfId="19844" xr:uid="{00000000-0005-0000-0000-0000844D0000}"/>
    <cellStyle name="Normal 2 2 2 4 2 19 11" xfId="19845" xr:uid="{00000000-0005-0000-0000-0000854D0000}"/>
    <cellStyle name="Normal 2 2 2 4 2 19 12" xfId="19846" xr:uid="{00000000-0005-0000-0000-0000864D0000}"/>
    <cellStyle name="Normal 2 2 2 4 2 19 13" xfId="19847" xr:uid="{00000000-0005-0000-0000-0000874D0000}"/>
    <cellStyle name="Normal 2 2 2 4 2 19 14" xfId="19848" xr:uid="{00000000-0005-0000-0000-0000884D0000}"/>
    <cellStyle name="Normal 2 2 2 4 2 19 2" xfId="19849" xr:uid="{00000000-0005-0000-0000-0000894D0000}"/>
    <cellStyle name="Normal 2 2 2 4 2 19 2 10" xfId="19850" xr:uid="{00000000-0005-0000-0000-00008A4D0000}"/>
    <cellStyle name="Normal 2 2 2 4 2 19 2 2" xfId="19851" xr:uid="{00000000-0005-0000-0000-00008B4D0000}"/>
    <cellStyle name="Normal 2 2 2 4 2 19 2 3" xfId="19852" xr:uid="{00000000-0005-0000-0000-00008C4D0000}"/>
    <cellStyle name="Normal 2 2 2 4 2 19 2 4" xfId="19853" xr:uid="{00000000-0005-0000-0000-00008D4D0000}"/>
    <cellStyle name="Normal 2 2 2 4 2 19 2 5" xfId="19854" xr:uid="{00000000-0005-0000-0000-00008E4D0000}"/>
    <cellStyle name="Normal 2 2 2 4 2 19 2 6" xfId="19855" xr:uid="{00000000-0005-0000-0000-00008F4D0000}"/>
    <cellStyle name="Normal 2 2 2 4 2 19 2 7" xfId="19856" xr:uid="{00000000-0005-0000-0000-0000904D0000}"/>
    <cellStyle name="Normal 2 2 2 4 2 19 2 8" xfId="19857" xr:uid="{00000000-0005-0000-0000-0000914D0000}"/>
    <cellStyle name="Normal 2 2 2 4 2 19 2 9" xfId="19858" xr:uid="{00000000-0005-0000-0000-0000924D0000}"/>
    <cellStyle name="Normal 2 2 2 4 2 19 3" xfId="19859" xr:uid="{00000000-0005-0000-0000-0000934D0000}"/>
    <cellStyle name="Normal 2 2 2 4 2 19 3 10" xfId="19860" xr:uid="{00000000-0005-0000-0000-0000944D0000}"/>
    <cellStyle name="Normal 2 2 2 4 2 19 3 2" xfId="19861" xr:uid="{00000000-0005-0000-0000-0000954D0000}"/>
    <cellStyle name="Normal 2 2 2 4 2 19 3 3" xfId="19862" xr:uid="{00000000-0005-0000-0000-0000964D0000}"/>
    <cellStyle name="Normal 2 2 2 4 2 19 3 4" xfId="19863" xr:uid="{00000000-0005-0000-0000-0000974D0000}"/>
    <cellStyle name="Normal 2 2 2 4 2 19 3 5" xfId="19864" xr:uid="{00000000-0005-0000-0000-0000984D0000}"/>
    <cellStyle name="Normal 2 2 2 4 2 19 3 6" xfId="19865" xr:uid="{00000000-0005-0000-0000-0000994D0000}"/>
    <cellStyle name="Normal 2 2 2 4 2 19 3 7" xfId="19866" xr:uid="{00000000-0005-0000-0000-00009A4D0000}"/>
    <cellStyle name="Normal 2 2 2 4 2 19 3 8" xfId="19867" xr:uid="{00000000-0005-0000-0000-00009B4D0000}"/>
    <cellStyle name="Normal 2 2 2 4 2 19 3 9" xfId="19868" xr:uid="{00000000-0005-0000-0000-00009C4D0000}"/>
    <cellStyle name="Normal 2 2 2 4 2 19 4" xfId="19869" xr:uid="{00000000-0005-0000-0000-00009D4D0000}"/>
    <cellStyle name="Normal 2 2 2 4 2 19 4 10" xfId="19870" xr:uid="{00000000-0005-0000-0000-00009E4D0000}"/>
    <cellStyle name="Normal 2 2 2 4 2 19 4 2" xfId="19871" xr:uid="{00000000-0005-0000-0000-00009F4D0000}"/>
    <cellStyle name="Normal 2 2 2 4 2 19 4 3" xfId="19872" xr:uid="{00000000-0005-0000-0000-0000A04D0000}"/>
    <cellStyle name="Normal 2 2 2 4 2 19 4 4" xfId="19873" xr:uid="{00000000-0005-0000-0000-0000A14D0000}"/>
    <cellStyle name="Normal 2 2 2 4 2 19 4 5" xfId="19874" xr:uid="{00000000-0005-0000-0000-0000A24D0000}"/>
    <cellStyle name="Normal 2 2 2 4 2 19 4 6" xfId="19875" xr:uid="{00000000-0005-0000-0000-0000A34D0000}"/>
    <cellStyle name="Normal 2 2 2 4 2 19 4 7" xfId="19876" xr:uid="{00000000-0005-0000-0000-0000A44D0000}"/>
    <cellStyle name="Normal 2 2 2 4 2 19 4 8" xfId="19877" xr:uid="{00000000-0005-0000-0000-0000A54D0000}"/>
    <cellStyle name="Normal 2 2 2 4 2 19 4 9" xfId="19878" xr:uid="{00000000-0005-0000-0000-0000A64D0000}"/>
    <cellStyle name="Normal 2 2 2 4 2 19 5" xfId="19879" xr:uid="{00000000-0005-0000-0000-0000A74D0000}"/>
    <cellStyle name="Normal 2 2 2 4 2 19 5 10" xfId="19880" xr:uid="{00000000-0005-0000-0000-0000A84D0000}"/>
    <cellStyle name="Normal 2 2 2 4 2 19 5 2" xfId="19881" xr:uid="{00000000-0005-0000-0000-0000A94D0000}"/>
    <cellStyle name="Normal 2 2 2 4 2 19 5 3" xfId="19882" xr:uid="{00000000-0005-0000-0000-0000AA4D0000}"/>
    <cellStyle name="Normal 2 2 2 4 2 19 5 4" xfId="19883" xr:uid="{00000000-0005-0000-0000-0000AB4D0000}"/>
    <cellStyle name="Normal 2 2 2 4 2 19 5 5" xfId="19884" xr:uid="{00000000-0005-0000-0000-0000AC4D0000}"/>
    <cellStyle name="Normal 2 2 2 4 2 19 5 6" xfId="19885" xr:uid="{00000000-0005-0000-0000-0000AD4D0000}"/>
    <cellStyle name="Normal 2 2 2 4 2 19 5 7" xfId="19886" xr:uid="{00000000-0005-0000-0000-0000AE4D0000}"/>
    <cellStyle name="Normal 2 2 2 4 2 19 5 8" xfId="19887" xr:uid="{00000000-0005-0000-0000-0000AF4D0000}"/>
    <cellStyle name="Normal 2 2 2 4 2 19 5 9" xfId="19888" xr:uid="{00000000-0005-0000-0000-0000B04D0000}"/>
    <cellStyle name="Normal 2 2 2 4 2 19 6" xfId="19889" xr:uid="{00000000-0005-0000-0000-0000B14D0000}"/>
    <cellStyle name="Normal 2 2 2 4 2 19 7" xfId="19890" xr:uid="{00000000-0005-0000-0000-0000B24D0000}"/>
    <cellStyle name="Normal 2 2 2 4 2 19 8" xfId="19891" xr:uid="{00000000-0005-0000-0000-0000B34D0000}"/>
    <cellStyle name="Normal 2 2 2 4 2 19 9" xfId="19892" xr:uid="{00000000-0005-0000-0000-0000B44D0000}"/>
    <cellStyle name="Normal 2 2 2 4 2 2" xfId="19893" xr:uid="{00000000-0005-0000-0000-0000B54D0000}"/>
    <cellStyle name="Normal 2 2 2 4 2 2 10" xfId="19894" xr:uid="{00000000-0005-0000-0000-0000B64D0000}"/>
    <cellStyle name="Normal 2 2 2 4 2 2 11" xfId="19895" xr:uid="{00000000-0005-0000-0000-0000B74D0000}"/>
    <cellStyle name="Normal 2 2 2 4 2 2 12" xfId="19896" xr:uid="{00000000-0005-0000-0000-0000B84D0000}"/>
    <cellStyle name="Normal 2 2 2 4 2 2 13" xfId="19897" xr:uid="{00000000-0005-0000-0000-0000B94D0000}"/>
    <cellStyle name="Normal 2 2 2 4 2 2 14" xfId="19898" xr:uid="{00000000-0005-0000-0000-0000BA4D0000}"/>
    <cellStyle name="Normal 2 2 2 4 2 2 15" xfId="19899" xr:uid="{00000000-0005-0000-0000-0000BB4D0000}"/>
    <cellStyle name="Normal 2 2 2 4 2 2 16" xfId="19900" xr:uid="{00000000-0005-0000-0000-0000BC4D0000}"/>
    <cellStyle name="Normal 2 2 2 4 2 2 17" xfId="19901" xr:uid="{00000000-0005-0000-0000-0000BD4D0000}"/>
    <cellStyle name="Normal 2 2 2 4 2 2 18" xfId="19902" xr:uid="{00000000-0005-0000-0000-0000BE4D0000}"/>
    <cellStyle name="Normal 2 2 2 4 2 2 19" xfId="19903" xr:uid="{00000000-0005-0000-0000-0000BF4D0000}"/>
    <cellStyle name="Normal 2 2 2 4 2 2 2" xfId="19904" xr:uid="{00000000-0005-0000-0000-0000C04D0000}"/>
    <cellStyle name="Normal 2 2 2 4 2 2 20" xfId="19905" xr:uid="{00000000-0005-0000-0000-0000C14D0000}"/>
    <cellStyle name="Normal 2 2 2 4 2 2 21" xfId="19906" xr:uid="{00000000-0005-0000-0000-0000C24D0000}"/>
    <cellStyle name="Normal 2 2 2 4 2 2 21 10" xfId="19907" xr:uid="{00000000-0005-0000-0000-0000C34D0000}"/>
    <cellStyle name="Normal 2 2 2 4 2 2 21 2" xfId="19908" xr:uid="{00000000-0005-0000-0000-0000C44D0000}"/>
    <cellStyle name="Normal 2 2 2 4 2 2 21 3" xfId="19909" xr:uid="{00000000-0005-0000-0000-0000C54D0000}"/>
    <cellStyle name="Normal 2 2 2 4 2 2 21 4" xfId="19910" xr:uid="{00000000-0005-0000-0000-0000C64D0000}"/>
    <cellStyle name="Normal 2 2 2 4 2 2 21 5" xfId="19911" xr:uid="{00000000-0005-0000-0000-0000C74D0000}"/>
    <cellStyle name="Normal 2 2 2 4 2 2 21 6" xfId="19912" xr:uid="{00000000-0005-0000-0000-0000C84D0000}"/>
    <cellStyle name="Normal 2 2 2 4 2 2 21 7" xfId="19913" xr:uid="{00000000-0005-0000-0000-0000C94D0000}"/>
    <cellStyle name="Normal 2 2 2 4 2 2 21 8" xfId="19914" xr:uid="{00000000-0005-0000-0000-0000CA4D0000}"/>
    <cellStyle name="Normal 2 2 2 4 2 2 21 9" xfId="19915" xr:uid="{00000000-0005-0000-0000-0000CB4D0000}"/>
    <cellStyle name="Normal 2 2 2 4 2 2 22" xfId="19916" xr:uid="{00000000-0005-0000-0000-0000CC4D0000}"/>
    <cellStyle name="Normal 2 2 2 4 2 2 22 10" xfId="19917" xr:uid="{00000000-0005-0000-0000-0000CD4D0000}"/>
    <cellStyle name="Normal 2 2 2 4 2 2 22 2" xfId="19918" xr:uid="{00000000-0005-0000-0000-0000CE4D0000}"/>
    <cellStyle name="Normal 2 2 2 4 2 2 22 3" xfId="19919" xr:uid="{00000000-0005-0000-0000-0000CF4D0000}"/>
    <cellStyle name="Normal 2 2 2 4 2 2 22 4" xfId="19920" xr:uid="{00000000-0005-0000-0000-0000D04D0000}"/>
    <cellStyle name="Normal 2 2 2 4 2 2 22 5" xfId="19921" xr:uid="{00000000-0005-0000-0000-0000D14D0000}"/>
    <cellStyle name="Normal 2 2 2 4 2 2 22 6" xfId="19922" xr:uid="{00000000-0005-0000-0000-0000D24D0000}"/>
    <cellStyle name="Normal 2 2 2 4 2 2 22 7" xfId="19923" xr:uid="{00000000-0005-0000-0000-0000D34D0000}"/>
    <cellStyle name="Normal 2 2 2 4 2 2 22 8" xfId="19924" xr:uid="{00000000-0005-0000-0000-0000D44D0000}"/>
    <cellStyle name="Normal 2 2 2 4 2 2 22 9" xfId="19925" xr:uid="{00000000-0005-0000-0000-0000D54D0000}"/>
    <cellStyle name="Normal 2 2 2 4 2 2 23" xfId="19926" xr:uid="{00000000-0005-0000-0000-0000D64D0000}"/>
    <cellStyle name="Normal 2 2 2 4 2 2 23 10" xfId="19927" xr:uid="{00000000-0005-0000-0000-0000D74D0000}"/>
    <cellStyle name="Normal 2 2 2 4 2 2 23 2" xfId="19928" xr:uid="{00000000-0005-0000-0000-0000D84D0000}"/>
    <cellStyle name="Normal 2 2 2 4 2 2 23 3" xfId="19929" xr:uid="{00000000-0005-0000-0000-0000D94D0000}"/>
    <cellStyle name="Normal 2 2 2 4 2 2 23 4" xfId="19930" xr:uid="{00000000-0005-0000-0000-0000DA4D0000}"/>
    <cellStyle name="Normal 2 2 2 4 2 2 23 5" xfId="19931" xr:uid="{00000000-0005-0000-0000-0000DB4D0000}"/>
    <cellStyle name="Normal 2 2 2 4 2 2 23 6" xfId="19932" xr:uid="{00000000-0005-0000-0000-0000DC4D0000}"/>
    <cellStyle name="Normal 2 2 2 4 2 2 23 7" xfId="19933" xr:uid="{00000000-0005-0000-0000-0000DD4D0000}"/>
    <cellStyle name="Normal 2 2 2 4 2 2 23 8" xfId="19934" xr:uid="{00000000-0005-0000-0000-0000DE4D0000}"/>
    <cellStyle name="Normal 2 2 2 4 2 2 23 9" xfId="19935" xr:uid="{00000000-0005-0000-0000-0000DF4D0000}"/>
    <cellStyle name="Normal 2 2 2 4 2 2 24" xfId="19936" xr:uid="{00000000-0005-0000-0000-0000E04D0000}"/>
    <cellStyle name="Normal 2 2 2 4 2 2 24 10" xfId="19937" xr:uid="{00000000-0005-0000-0000-0000E14D0000}"/>
    <cellStyle name="Normal 2 2 2 4 2 2 24 2" xfId="19938" xr:uid="{00000000-0005-0000-0000-0000E24D0000}"/>
    <cellStyle name="Normal 2 2 2 4 2 2 24 3" xfId="19939" xr:uid="{00000000-0005-0000-0000-0000E34D0000}"/>
    <cellStyle name="Normal 2 2 2 4 2 2 24 4" xfId="19940" xr:uid="{00000000-0005-0000-0000-0000E44D0000}"/>
    <cellStyle name="Normal 2 2 2 4 2 2 24 5" xfId="19941" xr:uid="{00000000-0005-0000-0000-0000E54D0000}"/>
    <cellStyle name="Normal 2 2 2 4 2 2 24 6" xfId="19942" xr:uid="{00000000-0005-0000-0000-0000E64D0000}"/>
    <cellStyle name="Normal 2 2 2 4 2 2 24 7" xfId="19943" xr:uid="{00000000-0005-0000-0000-0000E74D0000}"/>
    <cellStyle name="Normal 2 2 2 4 2 2 24 8" xfId="19944" xr:uid="{00000000-0005-0000-0000-0000E84D0000}"/>
    <cellStyle name="Normal 2 2 2 4 2 2 24 9" xfId="19945" xr:uid="{00000000-0005-0000-0000-0000E94D0000}"/>
    <cellStyle name="Normal 2 2 2 4 2 2 25" xfId="19946" xr:uid="{00000000-0005-0000-0000-0000EA4D0000}"/>
    <cellStyle name="Normal 2 2 2 4 2 2 26" xfId="19947" xr:uid="{00000000-0005-0000-0000-0000EB4D0000}"/>
    <cellStyle name="Normal 2 2 2 4 2 2 27" xfId="19948" xr:uid="{00000000-0005-0000-0000-0000EC4D0000}"/>
    <cellStyle name="Normal 2 2 2 4 2 2 28" xfId="19949" xr:uid="{00000000-0005-0000-0000-0000ED4D0000}"/>
    <cellStyle name="Normal 2 2 2 4 2 2 29" xfId="19950" xr:uid="{00000000-0005-0000-0000-0000EE4D0000}"/>
    <cellStyle name="Normal 2 2 2 4 2 2 3" xfId="19951" xr:uid="{00000000-0005-0000-0000-0000EF4D0000}"/>
    <cellStyle name="Normal 2 2 2 4 2 2 30" xfId="19952" xr:uid="{00000000-0005-0000-0000-0000F04D0000}"/>
    <cellStyle name="Normal 2 2 2 4 2 2 31" xfId="19953" xr:uid="{00000000-0005-0000-0000-0000F14D0000}"/>
    <cellStyle name="Normal 2 2 2 4 2 2 32" xfId="19954" xr:uid="{00000000-0005-0000-0000-0000F24D0000}"/>
    <cellStyle name="Normal 2 2 2 4 2 2 33" xfId="19955" xr:uid="{00000000-0005-0000-0000-0000F34D0000}"/>
    <cellStyle name="Normal 2 2 2 4 2 2 34" xfId="19956" xr:uid="{00000000-0005-0000-0000-0000F44D0000}"/>
    <cellStyle name="Normal 2 2 2 4 2 2 35" xfId="19957" xr:uid="{00000000-0005-0000-0000-0000F54D0000}"/>
    <cellStyle name="Normal 2 2 2 4 2 2 4" xfId="19958" xr:uid="{00000000-0005-0000-0000-0000F64D0000}"/>
    <cellStyle name="Normal 2 2 2 4 2 2 5" xfId="19959" xr:uid="{00000000-0005-0000-0000-0000F74D0000}"/>
    <cellStyle name="Normal 2 2 2 4 2 2 6" xfId="19960" xr:uid="{00000000-0005-0000-0000-0000F84D0000}"/>
    <cellStyle name="Normal 2 2 2 4 2 2 7" xfId="19961" xr:uid="{00000000-0005-0000-0000-0000F94D0000}"/>
    <cellStyle name="Normal 2 2 2 4 2 2 8" xfId="19962" xr:uid="{00000000-0005-0000-0000-0000FA4D0000}"/>
    <cellStyle name="Normal 2 2 2 4 2 2 9" xfId="19963" xr:uid="{00000000-0005-0000-0000-0000FB4D0000}"/>
    <cellStyle name="Normal 2 2 2 4 2 20" xfId="19964" xr:uid="{00000000-0005-0000-0000-0000FC4D0000}"/>
    <cellStyle name="Normal 2 2 2 4 2 20 10" xfId="19965" xr:uid="{00000000-0005-0000-0000-0000FD4D0000}"/>
    <cellStyle name="Normal 2 2 2 4 2 20 11" xfId="19966" xr:uid="{00000000-0005-0000-0000-0000FE4D0000}"/>
    <cellStyle name="Normal 2 2 2 4 2 20 12" xfId="19967" xr:uid="{00000000-0005-0000-0000-0000FF4D0000}"/>
    <cellStyle name="Normal 2 2 2 4 2 20 13" xfId="19968" xr:uid="{00000000-0005-0000-0000-0000004E0000}"/>
    <cellStyle name="Normal 2 2 2 4 2 20 14" xfId="19969" xr:uid="{00000000-0005-0000-0000-0000014E0000}"/>
    <cellStyle name="Normal 2 2 2 4 2 20 2" xfId="19970" xr:uid="{00000000-0005-0000-0000-0000024E0000}"/>
    <cellStyle name="Normal 2 2 2 4 2 20 2 10" xfId="19971" xr:uid="{00000000-0005-0000-0000-0000034E0000}"/>
    <cellStyle name="Normal 2 2 2 4 2 20 2 2" xfId="19972" xr:uid="{00000000-0005-0000-0000-0000044E0000}"/>
    <cellStyle name="Normal 2 2 2 4 2 20 2 3" xfId="19973" xr:uid="{00000000-0005-0000-0000-0000054E0000}"/>
    <cellStyle name="Normal 2 2 2 4 2 20 2 4" xfId="19974" xr:uid="{00000000-0005-0000-0000-0000064E0000}"/>
    <cellStyle name="Normal 2 2 2 4 2 20 2 5" xfId="19975" xr:uid="{00000000-0005-0000-0000-0000074E0000}"/>
    <cellStyle name="Normal 2 2 2 4 2 20 2 6" xfId="19976" xr:uid="{00000000-0005-0000-0000-0000084E0000}"/>
    <cellStyle name="Normal 2 2 2 4 2 20 2 7" xfId="19977" xr:uid="{00000000-0005-0000-0000-0000094E0000}"/>
    <cellStyle name="Normal 2 2 2 4 2 20 2 8" xfId="19978" xr:uid="{00000000-0005-0000-0000-00000A4E0000}"/>
    <cellStyle name="Normal 2 2 2 4 2 20 2 9" xfId="19979" xr:uid="{00000000-0005-0000-0000-00000B4E0000}"/>
    <cellStyle name="Normal 2 2 2 4 2 20 3" xfId="19980" xr:uid="{00000000-0005-0000-0000-00000C4E0000}"/>
    <cellStyle name="Normal 2 2 2 4 2 20 3 10" xfId="19981" xr:uid="{00000000-0005-0000-0000-00000D4E0000}"/>
    <cellStyle name="Normal 2 2 2 4 2 20 3 2" xfId="19982" xr:uid="{00000000-0005-0000-0000-00000E4E0000}"/>
    <cellStyle name="Normal 2 2 2 4 2 20 3 3" xfId="19983" xr:uid="{00000000-0005-0000-0000-00000F4E0000}"/>
    <cellStyle name="Normal 2 2 2 4 2 20 3 4" xfId="19984" xr:uid="{00000000-0005-0000-0000-0000104E0000}"/>
    <cellStyle name="Normal 2 2 2 4 2 20 3 5" xfId="19985" xr:uid="{00000000-0005-0000-0000-0000114E0000}"/>
    <cellStyle name="Normal 2 2 2 4 2 20 3 6" xfId="19986" xr:uid="{00000000-0005-0000-0000-0000124E0000}"/>
    <cellStyle name="Normal 2 2 2 4 2 20 3 7" xfId="19987" xr:uid="{00000000-0005-0000-0000-0000134E0000}"/>
    <cellStyle name="Normal 2 2 2 4 2 20 3 8" xfId="19988" xr:uid="{00000000-0005-0000-0000-0000144E0000}"/>
    <cellStyle name="Normal 2 2 2 4 2 20 3 9" xfId="19989" xr:uid="{00000000-0005-0000-0000-0000154E0000}"/>
    <cellStyle name="Normal 2 2 2 4 2 20 4" xfId="19990" xr:uid="{00000000-0005-0000-0000-0000164E0000}"/>
    <cellStyle name="Normal 2 2 2 4 2 20 4 10" xfId="19991" xr:uid="{00000000-0005-0000-0000-0000174E0000}"/>
    <cellStyle name="Normal 2 2 2 4 2 20 4 2" xfId="19992" xr:uid="{00000000-0005-0000-0000-0000184E0000}"/>
    <cellStyle name="Normal 2 2 2 4 2 20 4 3" xfId="19993" xr:uid="{00000000-0005-0000-0000-0000194E0000}"/>
    <cellStyle name="Normal 2 2 2 4 2 20 4 4" xfId="19994" xr:uid="{00000000-0005-0000-0000-00001A4E0000}"/>
    <cellStyle name="Normal 2 2 2 4 2 20 4 5" xfId="19995" xr:uid="{00000000-0005-0000-0000-00001B4E0000}"/>
    <cellStyle name="Normal 2 2 2 4 2 20 4 6" xfId="19996" xr:uid="{00000000-0005-0000-0000-00001C4E0000}"/>
    <cellStyle name="Normal 2 2 2 4 2 20 4 7" xfId="19997" xr:uid="{00000000-0005-0000-0000-00001D4E0000}"/>
    <cellStyle name="Normal 2 2 2 4 2 20 4 8" xfId="19998" xr:uid="{00000000-0005-0000-0000-00001E4E0000}"/>
    <cellStyle name="Normal 2 2 2 4 2 20 4 9" xfId="19999" xr:uid="{00000000-0005-0000-0000-00001F4E0000}"/>
    <cellStyle name="Normal 2 2 2 4 2 20 5" xfId="20000" xr:uid="{00000000-0005-0000-0000-0000204E0000}"/>
    <cellStyle name="Normal 2 2 2 4 2 20 5 10" xfId="20001" xr:uid="{00000000-0005-0000-0000-0000214E0000}"/>
    <cellStyle name="Normal 2 2 2 4 2 20 5 2" xfId="20002" xr:uid="{00000000-0005-0000-0000-0000224E0000}"/>
    <cellStyle name="Normal 2 2 2 4 2 20 5 3" xfId="20003" xr:uid="{00000000-0005-0000-0000-0000234E0000}"/>
    <cellStyle name="Normal 2 2 2 4 2 20 5 4" xfId="20004" xr:uid="{00000000-0005-0000-0000-0000244E0000}"/>
    <cellStyle name="Normal 2 2 2 4 2 20 5 5" xfId="20005" xr:uid="{00000000-0005-0000-0000-0000254E0000}"/>
    <cellStyle name="Normal 2 2 2 4 2 20 5 6" xfId="20006" xr:uid="{00000000-0005-0000-0000-0000264E0000}"/>
    <cellStyle name="Normal 2 2 2 4 2 20 5 7" xfId="20007" xr:uid="{00000000-0005-0000-0000-0000274E0000}"/>
    <cellStyle name="Normal 2 2 2 4 2 20 5 8" xfId="20008" xr:uid="{00000000-0005-0000-0000-0000284E0000}"/>
    <cellStyle name="Normal 2 2 2 4 2 20 5 9" xfId="20009" xr:uid="{00000000-0005-0000-0000-0000294E0000}"/>
    <cellStyle name="Normal 2 2 2 4 2 20 6" xfId="20010" xr:uid="{00000000-0005-0000-0000-00002A4E0000}"/>
    <cellStyle name="Normal 2 2 2 4 2 20 7" xfId="20011" xr:uid="{00000000-0005-0000-0000-00002B4E0000}"/>
    <cellStyle name="Normal 2 2 2 4 2 20 8" xfId="20012" xr:uid="{00000000-0005-0000-0000-00002C4E0000}"/>
    <cellStyle name="Normal 2 2 2 4 2 20 9" xfId="20013" xr:uid="{00000000-0005-0000-0000-00002D4E0000}"/>
    <cellStyle name="Normal 2 2 2 4 2 21" xfId="20014" xr:uid="{00000000-0005-0000-0000-00002E4E0000}"/>
    <cellStyle name="Normal 2 2 2 4 2 22" xfId="20015" xr:uid="{00000000-0005-0000-0000-00002F4E0000}"/>
    <cellStyle name="Normal 2 2 2 4 2 3" xfId="20016" xr:uid="{00000000-0005-0000-0000-0000304E0000}"/>
    <cellStyle name="Normal 2 2 2 4 2 3 10" xfId="20017" xr:uid="{00000000-0005-0000-0000-0000314E0000}"/>
    <cellStyle name="Normal 2 2 2 4 2 3 11" xfId="20018" xr:uid="{00000000-0005-0000-0000-0000324E0000}"/>
    <cellStyle name="Normal 2 2 2 4 2 3 12" xfId="20019" xr:uid="{00000000-0005-0000-0000-0000334E0000}"/>
    <cellStyle name="Normal 2 2 2 4 2 3 13" xfId="20020" xr:uid="{00000000-0005-0000-0000-0000344E0000}"/>
    <cellStyle name="Normal 2 2 2 4 2 3 14" xfId="20021" xr:uid="{00000000-0005-0000-0000-0000354E0000}"/>
    <cellStyle name="Normal 2 2 2 4 2 3 2" xfId="20022" xr:uid="{00000000-0005-0000-0000-0000364E0000}"/>
    <cellStyle name="Normal 2 2 2 4 2 3 2 10" xfId="20023" xr:uid="{00000000-0005-0000-0000-0000374E0000}"/>
    <cellStyle name="Normal 2 2 2 4 2 3 2 2" xfId="20024" xr:uid="{00000000-0005-0000-0000-0000384E0000}"/>
    <cellStyle name="Normal 2 2 2 4 2 3 2 3" xfId="20025" xr:uid="{00000000-0005-0000-0000-0000394E0000}"/>
    <cellStyle name="Normal 2 2 2 4 2 3 2 4" xfId="20026" xr:uid="{00000000-0005-0000-0000-00003A4E0000}"/>
    <cellStyle name="Normal 2 2 2 4 2 3 2 5" xfId="20027" xr:uid="{00000000-0005-0000-0000-00003B4E0000}"/>
    <cellStyle name="Normal 2 2 2 4 2 3 2 6" xfId="20028" xr:uid="{00000000-0005-0000-0000-00003C4E0000}"/>
    <cellStyle name="Normal 2 2 2 4 2 3 2 7" xfId="20029" xr:uid="{00000000-0005-0000-0000-00003D4E0000}"/>
    <cellStyle name="Normal 2 2 2 4 2 3 2 8" xfId="20030" xr:uid="{00000000-0005-0000-0000-00003E4E0000}"/>
    <cellStyle name="Normal 2 2 2 4 2 3 2 9" xfId="20031" xr:uid="{00000000-0005-0000-0000-00003F4E0000}"/>
    <cellStyle name="Normal 2 2 2 4 2 3 3" xfId="20032" xr:uid="{00000000-0005-0000-0000-0000404E0000}"/>
    <cellStyle name="Normal 2 2 2 4 2 3 3 10" xfId="20033" xr:uid="{00000000-0005-0000-0000-0000414E0000}"/>
    <cellStyle name="Normal 2 2 2 4 2 3 3 2" xfId="20034" xr:uid="{00000000-0005-0000-0000-0000424E0000}"/>
    <cellStyle name="Normal 2 2 2 4 2 3 3 3" xfId="20035" xr:uid="{00000000-0005-0000-0000-0000434E0000}"/>
    <cellStyle name="Normal 2 2 2 4 2 3 3 4" xfId="20036" xr:uid="{00000000-0005-0000-0000-0000444E0000}"/>
    <cellStyle name="Normal 2 2 2 4 2 3 3 5" xfId="20037" xr:uid="{00000000-0005-0000-0000-0000454E0000}"/>
    <cellStyle name="Normal 2 2 2 4 2 3 3 6" xfId="20038" xr:uid="{00000000-0005-0000-0000-0000464E0000}"/>
    <cellStyle name="Normal 2 2 2 4 2 3 3 7" xfId="20039" xr:uid="{00000000-0005-0000-0000-0000474E0000}"/>
    <cellStyle name="Normal 2 2 2 4 2 3 3 8" xfId="20040" xr:uid="{00000000-0005-0000-0000-0000484E0000}"/>
    <cellStyle name="Normal 2 2 2 4 2 3 3 9" xfId="20041" xr:uid="{00000000-0005-0000-0000-0000494E0000}"/>
    <cellStyle name="Normal 2 2 2 4 2 3 4" xfId="20042" xr:uid="{00000000-0005-0000-0000-00004A4E0000}"/>
    <cellStyle name="Normal 2 2 2 4 2 3 4 10" xfId="20043" xr:uid="{00000000-0005-0000-0000-00004B4E0000}"/>
    <cellStyle name="Normal 2 2 2 4 2 3 4 2" xfId="20044" xr:uid="{00000000-0005-0000-0000-00004C4E0000}"/>
    <cellStyle name="Normal 2 2 2 4 2 3 4 3" xfId="20045" xr:uid="{00000000-0005-0000-0000-00004D4E0000}"/>
    <cellStyle name="Normal 2 2 2 4 2 3 4 4" xfId="20046" xr:uid="{00000000-0005-0000-0000-00004E4E0000}"/>
    <cellStyle name="Normal 2 2 2 4 2 3 4 5" xfId="20047" xr:uid="{00000000-0005-0000-0000-00004F4E0000}"/>
    <cellStyle name="Normal 2 2 2 4 2 3 4 6" xfId="20048" xr:uid="{00000000-0005-0000-0000-0000504E0000}"/>
    <cellStyle name="Normal 2 2 2 4 2 3 4 7" xfId="20049" xr:uid="{00000000-0005-0000-0000-0000514E0000}"/>
    <cellStyle name="Normal 2 2 2 4 2 3 4 8" xfId="20050" xr:uid="{00000000-0005-0000-0000-0000524E0000}"/>
    <cellStyle name="Normal 2 2 2 4 2 3 4 9" xfId="20051" xr:uid="{00000000-0005-0000-0000-0000534E0000}"/>
    <cellStyle name="Normal 2 2 2 4 2 3 5" xfId="20052" xr:uid="{00000000-0005-0000-0000-0000544E0000}"/>
    <cellStyle name="Normal 2 2 2 4 2 3 5 10" xfId="20053" xr:uid="{00000000-0005-0000-0000-0000554E0000}"/>
    <cellStyle name="Normal 2 2 2 4 2 3 5 2" xfId="20054" xr:uid="{00000000-0005-0000-0000-0000564E0000}"/>
    <cellStyle name="Normal 2 2 2 4 2 3 5 3" xfId="20055" xr:uid="{00000000-0005-0000-0000-0000574E0000}"/>
    <cellStyle name="Normal 2 2 2 4 2 3 5 4" xfId="20056" xr:uid="{00000000-0005-0000-0000-0000584E0000}"/>
    <cellStyle name="Normal 2 2 2 4 2 3 5 5" xfId="20057" xr:uid="{00000000-0005-0000-0000-0000594E0000}"/>
    <cellStyle name="Normal 2 2 2 4 2 3 5 6" xfId="20058" xr:uid="{00000000-0005-0000-0000-00005A4E0000}"/>
    <cellStyle name="Normal 2 2 2 4 2 3 5 7" xfId="20059" xr:uid="{00000000-0005-0000-0000-00005B4E0000}"/>
    <cellStyle name="Normal 2 2 2 4 2 3 5 8" xfId="20060" xr:uid="{00000000-0005-0000-0000-00005C4E0000}"/>
    <cellStyle name="Normal 2 2 2 4 2 3 5 9" xfId="20061" xr:uid="{00000000-0005-0000-0000-00005D4E0000}"/>
    <cellStyle name="Normal 2 2 2 4 2 3 6" xfId="20062" xr:uid="{00000000-0005-0000-0000-00005E4E0000}"/>
    <cellStyle name="Normal 2 2 2 4 2 3 7" xfId="20063" xr:uid="{00000000-0005-0000-0000-00005F4E0000}"/>
    <cellStyle name="Normal 2 2 2 4 2 3 8" xfId="20064" xr:uid="{00000000-0005-0000-0000-0000604E0000}"/>
    <cellStyle name="Normal 2 2 2 4 2 3 9" xfId="20065" xr:uid="{00000000-0005-0000-0000-0000614E0000}"/>
    <cellStyle name="Normal 2 2 2 4 2 4" xfId="20066" xr:uid="{00000000-0005-0000-0000-0000624E0000}"/>
    <cellStyle name="Normal 2 2 2 4 2 4 10" xfId="20067" xr:uid="{00000000-0005-0000-0000-0000634E0000}"/>
    <cellStyle name="Normal 2 2 2 4 2 4 11" xfId="20068" xr:uid="{00000000-0005-0000-0000-0000644E0000}"/>
    <cellStyle name="Normal 2 2 2 4 2 4 12" xfId="20069" xr:uid="{00000000-0005-0000-0000-0000654E0000}"/>
    <cellStyle name="Normal 2 2 2 4 2 4 13" xfId="20070" xr:uid="{00000000-0005-0000-0000-0000664E0000}"/>
    <cellStyle name="Normal 2 2 2 4 2 4 14" xfId="20071" xr:uid="{00000000-0005-0000-0000-0000674E0000}"/>
    <cellStyle name="Normal 2 2 2 4 2 4 2" xfId="20072" xr:uid="{00000000-0005-0000-0000-0000684E0000}"/>
    <cellStyle name="Normal 2 2 2 4 2 4 2 10" xfId="20073" xr:uid="{00000000-0005-0000-0000-0000694E0000}"/>
    <cellStyle name="Normal 2 2 2 4 2 4 2 2" xfId="20074" xr:uid="{00000000-0005-0000-0000-00006A4E0000}"/>
    <cellStyle name="Normal 2 2 2 4 2 4 2 3" xfId="20075" xr:uid="{00000000-0005-0000-0000-00006B4E0000}"/>
    <cellStyle name="Normal 2 2 2 4 2 4 2 4" xfId="20076" xr:uid="{00000000-0005-0000-0000-00006C4E0000}"/>
    <cellStyle name="Normal 2 2 2 4 2 4 2 5" xfId="20077" xr:uid="{00000000-0005-0000-0000-00006D4E0000}"/>
    <cellStyle name="Normal 2 2 2 4 2 4 2 6" xfId="20078" xr:uid="{00000000-0005-0000-0000-00006E4E0000}"/>
    <cellStyle name="Normal 2 2 2 4 2 4 2 7" xfId="20079" xr:uid="{00000000-0005-0000-0000-00006F4E0000}"/>
    <cellStyle name="Normal 2 2 2 4 2 4 2 8" xfId="20080" xr:uid="{00000000-0005-0000-0000-0000704E0000}"/>
    <cellStyle name="Normal 2 2 2 4 2 4 2 9" xfId="20081" xr:uid="{00000000-0005-0000-0000-0000714E0000}"/>
    <cellStyle name="Normal 2 2 2 4 2 4 3" xfId="20082" xr:uid="{00000000-0005-0000-0000-0000724E0000}"/>
    <cellStyle name="Normal 2 2 2 4 2 4 3 10" xfId="20083" xr:uid="{00000000-0005-0000-0000-0000734E0000}"/>
    <cellStyle name="Normal 2 2 2 4 2 4 3 2" xfId="20084" xr:uid="{00000000-0005-0000-0000-0000744E0000}"/>
    <cellStyle name="Normal 2 2 2 4 2 4 3 3" xfId="20085" xr:uid="{00000000-0005-0000-0000-0000754E0000}"/>
    <cellStyle name="Normal 2 2 2 4 2 4 3 4" xfId="20086" xr:uid="{00000000-0005-0000-0000-0000764E0000}"/>
    <cellStyle name="Normal 2 2 2 4 2 4 3 5" xfId="20087" xr:uid="{00000000-0005-0000-0000-0000774E0000}"/>
    <cellStyle name="Normal 2 2 2 4 2 4 3 6" xfId="20088" xr:uid="{00000000-0005-0000-0000-0000784E0000}"/>
    <cellStyle name="Normal 2 2 2 4 2 4 3 7" xfId="20089" xr:uid="{00000000-0005-0000-0000-0000794E0000}"/>
    <cellStyle name="Normal 2 2 2 4 2 4 3 8" xfId="20090" xr:uid="{00000000-0005-0000-0000-00007A4E0000}"/>
    <cellStyle name="Normal 2 2 2 4 2 4 3 9" xfId="20091" xr:uid="{00000000-0005-0000-0000-00007B4E0000}"/>
    <cellStyle name="Normal 2 2 2 4 2 4 4" xfId="20092" xr:uid="{00000000-0005-0000-0000-00007C4E0000}"/>
    <cellStyle name="Normal 2 2 2 4 2 4 4 10" xfId="20093" xr:uid="{00000000-0005-0000-0000-00007D4E0000}"/>
    <cellStyle name="Normal 2 2 2 4 2 4 4 2" xfId="20094" xr:uid="{00000000-0005-0000-0000-00007E4E0000}"/>
    <cellStyle name="Normal 2 2 2 4 2 4 4 3" xfId="20095" xr:uid="{00000000-0005-0000-0000-00007F4E0000}"/>
    <cellStyle name="Normal 2 2 2 4 2 4 4 4" xfId="20096" xr:uid="{00000000-0005-0000-0000-0000804E0000}"/>
    <cellStyle name="Normal 2 2 2 4 2 4 4 5" xfId="20097" xr:uid="{00000000-0005-0000-0000-0000814E0000}"/>
    <cellStyle name="Normal 2 2 2 4 2 4 4 6" xfId="20098" xr:uid="{00000000-0005-0000-0000-0000824E0000}"/>
    <cellStyle name="Normal 2 2 2 4 2 4 4 7" xfId="20099" xr:uid="{00000000-0005-0000-0000-0000834E0000}"/>
    <cellStyle name="Normal 2 2 2 4 2 4 4 8" xfId="20100" xr:uid="{00000000-0005-0000-0000-0000844E0000}"/>
    <cellStyle name="Normal 2 2 2 4 2 4 4 9" xfId="20101" xr:uid="{00000000-0005-0000-0000-0000854E0000}"/>
    <cellStyle name="Normal 2 2 2 4 2 4 5" xfId="20102" xr:uid="{00000000-0005-0000-0000-0000864E0000}"/>
    <cellStyle name="Normal 2 2 2 4 2 4 5 10" xfId="20103" xr:uid="{00000000-0005-0000-0000-0000874E0000}"/>
    <cellStyle name="Normal 2 2 2 4 2 4 5 2" xfId="20104" xr:uid="{00000000-0005-0000-0000-0000884E0000}"/>
    <cellStyle name="Normal 2 2 2 4 2 4 5 3" xfId="20105" xr:uid="{00000000-0005-0000-0000-0000894E0000}"/>
    <cellStyle name="Normal 2 2 2 4 2 4 5 4" xfId="20106" xr:uid="{00000000-0005-0000-0000-00008A4E0000}"/>
    <cellStyle name="Normal 2 2 2 4 2 4 5 5" xfId="20107" xr:uid="{00000000-0005-0000-0000-00008B4E0000}"/>
    <cellStyle name="Normal 2 2 2 4 2 4 5 6" xfId="20108" xr:uid="{00000000-0005-0000-0000-00008C4E0000}"/>
    <cellStyle name="Normal 2 2 2 4 2 4 5 7" xfId="20109" xr:uid="{00000000-0005-0000-0000-00008D4E0000}"/>
    <cellStyle name="Normal 2 2 2 4 2 4 5 8" xfId="20110" xr:uid="{00000000-0005-0000-0000-00008E4E0000}"/>
    <cellStyle name="Normal 2 2 2 4 2 4 5 9" xfId="20111" xr:uid="{00000000-0005-0000-0000-00008F4E0000}"/>
    <cellStyle name="Normal 2 2 2 4 2 4 6" xfId="20112" xr:uid="{00000000-0005-0000-0000-0000904E0000}"/>
    <cellStyle name="Normal 2 2 2 4 2 4 7" xfId="20113" xr:uid="{00000000-0005-0000-0000-0000914E0000}"/>
    <cellStyle name="Normal 2 2 2 4 2 4 8" xfId="20114" xr:uid="{00000000-0005-0000-0000-0000924E0000}"/>
    <cellStyle name="Normal 2 2 2 4 2 4 9" xfId="20115" xr:uid="{00000000-0005-0000-0000-0000934E0000}"/>
    <cellStyle name="Normal 2 2 2 4 2 5" xfId="20116" xr:uid="{00000000-0005-0000-0000-0000944E0000}"/>
    <cellStyle name="Normal 2 2 2 4 2 5 10" xfId="20117" xr:uid="{00000000-0005-0000-0000-0000954E0000}"/>
    <cellStyle name="Normal 2 2 2 4 2 5 11" xfId="20118" xr:uid="{00000000-0005-0000-0000-0000964E0000}"/>
    <cellStyle name="Normal 2 2 2 4 2 5 12" xfId="20119" xr:uid="{00000000-0005-0000-0000-0000974E0000}"/>
    <cellStyle name="Normal 2 2 2 4 2 5 13" xfId="20120" xr:uid="{00000000-0005-0000-0000-0000984E0000}"/>
    <cellStyle name="Normal 2 2 2 4 2 5 14" xfId="20121" xr:uid="{00000000-0005-0000-0000-0000994E0000}"/>
    <cellStyle name="Normal 2 2 2 4 2 5 2" xfId="20122" xr:uid="{00000000-0005-0000-0000-00009A4E0000}"/>
    <cellStyle name="Normal 2 2 2 4 2 5 2 10" xfId="20123" xr:uid="{00000000-0005-0000-0000-00009B4E0000}"/>
    <cellStyle name="Normal 2 2 2 4 2 5 2 2" xfId="20124" xr:uid="{00000000-0005-0000-0000-00009C4E0000}"/>
    <cellStyle name="Normal 2 2 2 4 2 5 2 3" xfId="20125" xr:uid="{00000000-0005-0000-0000-00009D4E0000}"/>
    <cellStyle name="Normal 2 2 2 4 2 5 2 4" xfId="20126" xr:uid="{00000000-0005-0000-0000-00009E4E0000}"/>
    <cellStyle name="Normal 2 2 2 4 2 5 2 5" xfId="20127" xr:uid="{00000000-0005-0000-0000-00009F4E0000}"/>
    <cellStyle name="Normal 2 2 2 4 2 5 2 6" xfId="20128" xr:uid="{00000000-0005-0000-0000-0000A04E0000}"/>
    <cellStyle name="Normal 2 2 2 4 2 5 2 7" xfId="20129" xr:uid="{00000000-0005-0000-0000-0000A14E0000}"/>
    <cellStyle name="Normal 2 2 2 4 2 5 2 8" xfId="20130" xr:uid="{00000000-0005-0000-0000-0000A24E0000}"/>
    <cellStyle name="Normal 2 2 2 4 2 5 2 9" xfId="20131" xr:uid="{00000000-0005-0000-0000-0000A34E0000}"/>
    <cellStyle name="Normal 2 2 2 4 2 5 3" xfId="20132" xr:uid="{00000000-0005-0000-0000-0000A44E0000}"/>
    <cellStyle name="Normal 2 2 2 4 2 5 3 10" xfId="20133" xr:uid="{00000000-0005-0000-0000-0000A54E0000}"/>
    <cellStyle name="Normal 2 2 2 4 2 5 3 2" xfId="20134" xr:uid="{00000000-0005-0000-0000-0000A64E0000}"/>
    <cellStyle name="Normal 2 2 2 4 2 5 3 3" xfId="20135" xr:uid="{00000000-0005-0000-0000-0000A74E0000}"/>
    <cellStyle name="Normal 2 2 2 4 2 5 3 4" xfId="20136" xr:uid="{00000000-0005-0000-0000-0000A84E0000}"/>
    <cellStyle name="Normal 2 2 2 4 2 5 3 5" xfId="20137" xr:uid="{00000000-0005-0000-0000-0000A94E0000}"/>
    <cellStyle name="Normal 2 2 2 4 2 5 3 6" xfId="20138" xr:uid="{00000000-0005-0000-0000-0000AA4E0000}"/>
    <cellStyle name="Normal 2 2 2 4 2 5 3 7" xfId="20139" xr:uid="{00000000-0005-0000-0000-0000AB4E0000}"/>
    <cellStyle name="Normal 2 2 2 4 2 5 3 8" xfId="20140" xr:uid="{00000000-0005-0000-0000-0000AC4E0000}"/>
    <cellStyle name="Normal 2 2 2 4 2 5 3 9" xfId="20141" xr:uid="{00000000-0005-0000-0000-0000AD4E0000}"/>
    <cellStyle name="Normal 2 2 2 4 2 5 4" xfId="20142" xr:uid="{00000000-0005-0000-0000-0000AE4E0000}"/>
    <cellStyle name="Normal 2 2 2 4 2 5 4 10" xfId="20143" xr:uid="{00000000-0005-0000-0000-0000AF4E0000}"/>
    <cellStyle name="Normal 2 2 2 4 2 5 4 2" xfId="20144" xr:uid="{00000000-0005-0000-0000-0000B04E0000}"/>
    <cellStyle name="Normal 2 2 2 4 2 5 4 3" xfId="20145" xr:uid="{00000000-0005-0000-0000-0000B14E0000}"/>
    <cellStyle name="Normal 2 2 2 4 2 5 4 4" xfId="20146" xr:uid="{00000000-0005-0000-0000-0000B24E0000}"/>
    <cellStyle name="Normal 2 2 2 4 2 5 4 5" xfId="20147" xr:uid="{00000000-0005-0000-0000-0000B34E0000}"/>
    <cellStyle name="Normal 2 2 2 4 2 5 4 6" xfId="20148" xr:uid="{00000000-0005-0000-0000-0000B44E0000}"/>
    <cellStyle name="Normal 2 2 2 4 2 5 4 7" xfId="20149" xr:uid="{00000000-0005-0000-0000-0000B54E0000}"/>
    <cellStyle name="Normal 2 2 2 4 2 5 4 8" xfId="20150" xr:uid="{00000000-0005-0000-0000-0000B64E0000}"/>
    <cellStyle name="Normal 2 2 2 4 2 5 4 9" xfId="20151" xr:uid="{00000000-0005-0000-0000-0000B74E0000}"/>
    <cellStyle name="Normal 2 2 2 4 2 5 5" xfId="20152" xr:uid="{00000000-0005-0000-0000-0000B84E0000}"/>
    <cellStyle name="Normal 2 2 2 4 2 5 5 10" xfId="20153" xr:uid="{00000000-0005-0000-0000-0000B94E0000}"/>
    <cellStyle name="Normal 2 2 2 4 2 5 5 2" xfId="20154" xr:uid="{00000000-0005-0000-0000-0000BA4E0000}"/>
    <cellStyle name="Normal 2 2 2 4 2 5 5 3" xfId="20155" xr:uid="{00000000-0005-0000-0000-0000BB4E0000}"/>
    <cellStyle name="Normal 2 2 2 4 2 5 5 4" xfId="20156" xr:uid="{00000000-0005-0000-0000-0000BC4E0000}"/>
    <cellStyle name="Normal 2 2 2 4 2 5 5 5" xfId="20157" xr:uid="{00000000-0005-0000-0000-0000BD4E0000}"/>
    <cellStyle name="Normal 2 2 2 4 2 5 5 6" xfId="20158" xr:uid="{00000000-0005-0000-0000-0000BE4E0000}"/>
    <cellStyle name="Normal 2 2 2 4 2 5 5 7" xfId="20159" xr:uid="{00000000-0005-0000-0000-0000BF4E0000}"/>
    <cellStyle name="Normal 2 2 2 4 2 5 5 8" xfId="20160" xr:uid="{00000000-0005-0000-0000-0000C04E0000}"/>
    <cellStyle name="Normal 2 2 2 4 2 5 5 9" xfId="20161" xr:uid="{00000000-0005-0000-0000-0000C14E0000}"/>
    <cellStyle name="Normal 2 2 2 4 2 5 6" xfId="20162" xr:uid="{00000000-0005-0000-0000-0000C24E0000}"/>
    <cellStyle name="Normal 2 2 2 4 2 5 7" xfId="20163" xr:uid="{00000000-0005-0000-0000-0000C34E0000}"/>
    <cellStyle name="Normal 2 2 2 4 2 5 8" xfId="20164" xr:uid="{00000000-0005-0000-0000-0000C44E0000}"/>
    <cellStyle name="Normal 2 2 2 4 2 5 9" xfId="20165" xr:uid="{00000000-0005-0000-0000-0000C54E0000}"/>
    <cellStyle name="Normal 2 2 2 4 2 6" xfId="20166" xr:uid="{00000000-0005-0000-0000-0000C64E0000}"/>
    <cellStyle name="Normal 2 2 2 4 2 6 10" xfId="20167" xr:uid="{00000000-0005-0000-0000-0000C74E0000}"/>
    <cellStyle name="Normal 2 2 2 4 2 6 11" xfId="20168" xr:uid="{00000000-0005-0000-0000-0000C84E0000}"/>
    <cellStyle name="Normal 2 2 2 4 2 6 12" xfId="20169" xr:uid="{00000000-0005-0000-0000-0000C94E0000}"/>
    <cellStyle name="Normal 2 2 2 4 2 6 13" xfId="20170" xr:uid="{00000000-0005-0000-0000-0000CA4E0000}"/>
    <cellStyle name="Normal 2 2 2 4 2 6 14" xfId="20171" xr:uid="{00000000-0005-0000-0000-0000CB4E0000}"/>
    <cellStyle name="Normal 2 2 2 4 2 6 2" xfId="20172" xr:uid="{00000000-0005-0000-0000-0000CC4E0000}"/>
    <cellStyle name="Normal 2 2 2 4 2 6 2 10" xfId="20173" xr:uid="{00000000-0005-0000-0000-0000CD4E0000}"/>
    <cellStyle name="Normal 2 2 2 4 2 6 2 2" xfId="20174" xr:uid="{00000000-0005-0000-0000-0000CE4E0000}"/>
    <cellStyle name="Normal 2 2 2 4 2 6 2 3" xfId="20175" xr:uid="{00000000-0005-0000-0000-0000CF4E0000}"/>
    <cellStyle name="Normal 2 2 2 4 2 6 2 4" xfId="20176" xr:uid="{00000000-0005-0000-0000-0000D04E0000}"/>
    <cellStyle name="Normal 2 2 2 4 2 6 2 5" xfId="20177" xr:uid="{00000000-0005-0000-0000-0000D14E0000}"/>
    <cellStyle name="Normal 2 2 2 4 2 6 2 6" xfId="20178" xr:uid="{00000000-0005-0000-0000-0000D24E0000}"/>
    <cellStyle name="Normal 2 2 2 4 2 6 2 7" xfId="20179" xr:uid="{00000000-0005-0000-0000-0000D34E0000}"/>
    <cellStyle name="Normal 2 2 2 4 2 6 2 8" xfId="20180" xr:uid="{00000000-0005-0000-0000-0000D44E0000}"/>
    <cellStyle name="Normal 2 2 2 4 2 6 2 9" xfId="20181" xr:uid="{00000000-0005-0000-0000-0000D54E0000}"/>
    <cellStyle name="Normal 2 2 2 4 2 6 3" xfId="20182" xr:uid="{00000000-0005-0000-0000-0000D64E0000}"/>
    <cellStyle name="Normal 2 2 2 4 2 6 3 10" xfId="20183" xr:uid="{00000000-0005-0000-0000-0000D74E0000}"/>
    <cellStyle name="Normal 2 2 2 4 2 6 3 2" xfId="20184" xr:uid="{00000000-0005-0000-0000-0000D84E0000}"/>
    <cellStyle name="Normal 2 2 2 4 2 6 3 3" xfId="20185" xr:uid="{00000000-0005-0000-0000-0000D94E0000}"/>
    <cellStyle name="Normal 2 2 2 4 2 6 3 4" xfId="20186" xr:uid="{00000000-0005-0000-0000-0000DA4E0000}"/>
    <cellStyle name="Normal 2 2 2 4 2 6 3 5" xfId="20187" xr:uid="{00000000-0005-0000-0000-0000DB4E0000}"/>
    <cellStyle name="Normal 2 2 2 4 2 6 3 6" xfId="20188" xr:uid="{00000000-0005-0000-0000-0000DC4E0000}"/>
    <cellStyle name="Normal 2 2 2 4 2 6 3 7" xfId="20189" xr:uid="{00000000-0005-0000-0000-0000DD4E0000}"/>
    <cellStyle name="Normal 2 2 2 4 2 6 3 8" xfId="20190" xr:uid="{00000000-0005-0000-0000-0000DE4E0000}"/>
    <cellStyle name="Normal 2 2 2 4 2 6 3 9" xfId="20191" xr:uid="{00000000-0005-0000-0000-0000DF4E0000}"/>
    <cellStyle name="Normal 2 2 2 4 2 6 4" xfId="20192" xr:uid="{00000000-0005-0000-0000-0000E04E0000}"/>
    <cellStyle name="Normal 2 2 2 4 2 6 4 10" xfId="20193" xr:uid="{00000000-0005-0000-0000-0000E14E0000}"/>
    <cellStyle name="Normal 2 2 2 4 2 6 4 2" xfId="20194" xr:uid="{00000000-0005-0000-0000-0000E24E0000}"/>
    <cellStyle name="Normal 2 2 2 4 2 6 4 3" xfId="20195" xr:uid="{00000000-0005-0000-0000-0000E34E0000}"/>
    <cellStyle name="Normal 2 2 2 4 2 6 4 4" xfId="20196" xr:uid="{00000000-0005-0000-0000-0000E44E0000}"/>
    <cellStyle name="Normal 2 2 2 4 2 6 4 5" xfId="20197" xr:uid="{00000000-0005-0000-0000-0000E54E0000}"/>
    <cellStyle name="Normal 2 2 2 4 2 6 4 6" xfId="20198" xr:uid="{00000000-0005-0000-0000-0000E64E0000}"/>
    <cellStyle name="Normal 2 2 2 4 2 6 4 7" xfId="20199" xr:uid="{00000000-0005-0000-0000-0000E74E0000}"/>
    <cellStyle name="Normal 2 2 2 4 2 6 4 8" xfId="20200" xr:uid="{00000000-0005-0000-0000-0000E84E0000}"/>
    <cellStyle name="Normal 2 2 2 4 2 6 4 9" xfId="20201" xr:uid="{00000000-0005-0000-0000-0000E94E0000}"/>
    <cellStyle name="Normal 2 2 2 4 2 6 5" xfId="20202" xr:uid="{00000000-0005-0000-0000-0000EA4E0000}"/>
    <cellStyle name="Normal 2 2 2 4 2 6 5 10" xfId="20203" xr:uid="{00000000-0005-0000-0000-0000EB4E0000}"/>
    <cellStyle name="Normal 2 2 2 4 2 6 5 2" xfId="20204" xr:uid="{00000000-0005-0000-0000-0000EC4E0000}"/>
    <cellStyle name="Normal 2 2 2 4 2 6 5 3" xfId="20205" xr:uid="{00000000-0005-0000-0000-0000ED4E0000}"/>
    <cellStyle name="Normal 2 2 2 4 2 6 5 4" xfId="20206" xr:uid="{00000000-0005-0000-0000-0000EE4E0000}"/>
    <cellStyle name="Normal 2 2 2 4 2 6 5 5" xfId="20207" xr:uid="{00000000-0005-0000-0000-0000EF4E0000}"/>
    <cellStyle name="Normal 2 2 2 4 2 6 5 6" xfId="20208" xr:uid="{00000000-0005-0000-0000-0000F04E0000}"/>
    <cellStyle name="Normal 2 2 2 4 2 6 5 7" xfId="20209" xr:uid="{00000000-0005-0000-0000-0000F14E0000}"/>
    <cellStyle name="Normal 2 2 2 4 2 6 5 8" xfId="20210" xr:uid="{00000000-0005-0000-0000-0000F24E0000}"/>
    <cellStyle name="Normal 2 2 2 4 2 6 5 9" xfId="20211" xr:uid="{00000000-0005-0000-0000-0000F34E0000}"/>
    <cellStyle name="Normal 2 2 2 4 2 6 6" xfId="20212" xr:uid="{00000000-0005-0000-0000-0000F44E0000}"/>
    <cellStyle name="Normal 2 2 2 4 2 6 7" xfId="20213" xr:uid="{00000000-0005-0000-0000-0000F54E0000}"/>
    <cellStyle name="Normal 2 2 2 4 2 6 8" xfId="20214" xr:uid="{00000000-0005-0000-0000-0000F64E0000}"/>
    <cellStyle name="Normal 2 2 2 4 2 6 9" xfId="20215" xr:uid="{00000000-0005-0000-0000-0000F74E0000}"/>
    <cellStyle name="Normal 2 2 2 4 2 7" xfId="20216" xr:uid="{00000000-0005-0000-0000-0000F84E0000}"/>
    <cellStyle name="Normal 2 2 2 4 2 7 10" xfId="20217" xr:uid="{00000000-0005-0000-0000-0000F94E0000}"/>
    <cellStyle name="Normal 2 2 2 4 2 7 11" xfId="20218" xr:uid="{00000000-0005-0000-0000-0000FA4E0000}"/>
    <cellStyle name="Normal 2 2 2 4 2 7 12" xfId="20219" xr:uid="{00000000-0005-0000-0000-0000FB4E0000}"/>
    <cellStyle name="Normal 2 2 2 4 2 7 13" xfId="20220" xr:uid="{00000000-0005-0000-0000-0000FC4E0000}"/>
    <cellStyle name="Normal 2 2 2 4 2 7 14" xfId="20221" xr:uid="{00000000-0005-0000-0000-0000FD4E0000}"/>
    <cellStyle name="Normal 2 2 2 4 2 7 2" xfId="20222" xr:uid="{00000000-0005-0000-0000-0000FE4E0000}"/>
    <cellStyle name="Normal 2 2 2 4 2 7 2 10" xfId="20223" xr:uid="{00000000-0005-0000-0000-0000FF4E0000}"/>
    <cellStyle name="Normal 2 2 2 4 2 7 2 2" xfId="20224" xr:uid="{00000000-0005-0000-0000-0000004F0000}"/>
    <cellStyle name="Normal 2 2 2 4 2 7 2 3" xfId="20225" xr:uid="{00000000-0005-0000-0000-0000014F0000}"/>
    <cellStyle name="Normal 2 2 2 4 2 7 2 4" xfId="20226" xr:uid="{00000000-0005-0000-0000-0000024F0000}"/>
    <cellStyle name="Normal 2 2 2 4 2 7 2 5" xfId="20227" xr:uid="{00000000-0005-0000-0000-0000034F0000}"/>
    <cellStyle name="Normal 2 2 2 4 2 7 2 6" xfId="20228" xr:uid="{00000000-0005-0000-0000-0000044F0000}"/>
    <cellStyle name="Normal 2 2 2 4 2 7 2 7" xfId="20229" xr:uid="{00000000-0005-0000-0000-0000054F0000}"/>
    <cellStyle name="Normal 2 2 2 4 2 7 2 8" xfId="20230" xr:uid="{00000000-0005-0000-0000-0000064F0000}"/>
    <cellStyle name="Normal 2 2 2 4 2 7 2 9" xfId="20231" xr:uid="{00000000-0005-0000-0000-0000074F0000}"/>
    <cellStyle name="Normal 2 2 2 4 2 7 3" xfId="20232" xr:uid="{00000000-0005-0000-0000-0000084F0000}"/>
    <cellStyle name="Normal 2 2 2 4 2 7 3 10" xfId="20233" xr:uid="{00000000-0005-0000-0000-0000094F0000}"/>
    <cellStyle name="Normal 2 2 2 4 2 7 3 2" xfId="20234" xr:uid="{00000000-0005-0000-0000-00000A4F0000}"/>
    <cellStyle name="Normal 2 2 2 4 2 7 3 3" xfId="20235" xr:uid="{00000000-0005-0000-0000-00000B4F0000}"/>
    <cellStyle name="Normal 2 2 2 4 2 7 3 4" xfId="20236" xr:uid="{00000000-0005-0000-0000-00000C4F0000}"/>
    <cellStyle name="Normal 2 2 2 4 2 7 3 5" xfId="20237" xr:uid="{00000000-0005-0000-0000-00000D4F0000}"/>
    <cellStyle name="Normal 2 2 2 4 2 7 3 6" xfId="20238" xr:uid="{00000000-0005-0000-0000-00000E4F0000}"/>
    <cellStyle name="Normal 2 2 2 4 2 7 3 7" xfId="20239" xr:uid="{00000000-0005-0000-0000-00000F4F0000}"/>
    <cellStyle name="Normal 2 2 2 4 2 7 3 8" xfId="20240" xr:uid="{00000000-0005-0000-0000-0000104F0000}"/>
    <cellStyle name="Normal 2 2 2 4 2 7 3 9" xfId="20241" xr:uid="{00000000-0005-0000-0000-0000114F0000}"/>
    <cellStyle name="Normal 2 2 2 4 2 7 4" xfId="20242" xr:uid="{00000000-0005-0000-0000-0000124F0000}"/>
    <cellStyle name="Normal 2 2 2 4 2 7 4 10" xfId="20243" xr:uid="{00000000-0005-0000-0000-0000134F0000}"/>
    <cellStyle name="Normal 2 2 2 4 2 7 4 2" xfId="20244" xr:uid="{00000000-0005-0000-0000-0000144F0000}"/>
    <cellStyle name="Normal 2 2 2 4 2 7 4 3" xfId="20245" xr:uid="{00000000-0005-0000-0000-0000154F0000}"/>
    <cellStyle name="Normal 2 2 2 4 2 7 4 4" xfId="20246" xr:uid="{00000000-0005-0000-0000-0000164F0000}"/>
    <cellStyle name="Normal 2 2 2 4 2 7 4 5" xfId="20247" xr:uid="{00000000-0005-0000-0000-0000174F0000}"/>
    <cellStyle name="Normal 2 2 2 4 2 7 4 6" xfId="20248" xr:uid="{00000000-0005-0000-0000-0000184F0000}"/>
    <cellStyle name="Normal 2 2 2 4 2 7 4 7" xfId="20249" xr:uid="{00000000-0005-0000-0000-0000194F0000}"/>
    <cellStyle name="Normal 2 2 2 4 2 7 4 8" xfId="20250" xr:uid="{00000000-0005-0000-0000-00001A4F0000}"/>
    <cellStyle name="Normal 2 2 2 4 2 7 4 9" xfId="20251" xr:uid="{00000000-0005-0000-0000-00001B4F0000}"/>
    <cellStyle name="Normal 2 2 2 4 2 7 5" xfId="20252" xr:uid="{00000000-0005-0000-0000-00001C4F0000}"/>
    <cellStyle name="Normal 2 2 2 4 2 7 5 10" xfId="20253" xr:uid="{00000000-0005-0000-0000-00001D4F0000}"/>
    <cellStyle name="Normal 2 2 2 4 2 7 5 2" xfId="20254" xr:uid="{00000000-0005-0000-0000-00001E4F0000}"/>
    <cellStyle name="Normal 2 2 2 4 2 7 5 3" xfId="20255" xr:uid="{00000000-0005-0000-0000-00001F4F0000}"/>
    <cellStyle name="Normal 2 2 2 4 2 7 5 4" xfId="20256" xr:uid="{00000000-0005-0000-0000-0000204F0000}"/>
    <cellStyle name="Normal 2 2 2 4 2 7 5 5" xfId="20257" xr:uid="{00000000-0005-0000-0000-0000214F0000}"/>
    <cellStyle name="Normal 2 2 2 4 2 7 5 6" xfId="20258" xr:uid="{00000000-0005-0000-0000-0000224F0000}"/>
    <cellStyle name="Normal 2 2 2 4 2 7 5 7" xfId="20259" xr:uid="{00000000-0005-0000-0000-0000234F0000}"/>
    <cellStyle name="Normal 2 2 2 4 2 7 5 8" xfId="20260" xr:uid="{00000000-0005-0000-0000-0000244F0000}"/>
    <cellStyle name="Normal 2 2 2 4 2 7 5 9" xfId="20261" xr:uid="{00000000-0005-0000-0000-0000254F0000}"/>
    <cellStyle name="Normal 2 2 2 4 2 7 6" xfId="20262" xr:uid="{00000000-0005-0000-0000-0000264F0000}"/>
    <cellStyle name="Normal 2 2 2 4 2 7 7" xfId="20263" xr:uid="{00000000-0005-0000-0000-0000274F0000}"/>
    <cellStyle name="Normal 2 2 2 4 2 7 8" xfId="20264" xr:uid="{00000000-0005-0000-0000-0000284F0000}"/>
    <cellStyle name="Normal 2 2 2 4 2 7 9" xfId="20265" xr:uid="{00000000-0005-0000-0000-0000294F0000}"/>
    <cellStyle name="Normal 2 2 2 4 2 8" xfId="20266" xr:uid="{00000000-0005-0000-0000-00002A4F0000}"/>
    <cellStyle name="Normal 2 2 2 4 2 8 10" xfId="20267" xr:uid="{00000000-0005-0000-0000-00002B4F0000}"/>
    <cellStyle name="Normal 2 2 2 4 2 8 11" xfId="20268" xr:uid="{00000000-0005-0000-0000-00002C4F0000}"/>
    <cellStyle name="Normal 2 2 2 4 2 8 12" xfId="20269" xr:uid="{00000000-0005-0000-0000-00002D4F0000}"/>
    <cellStyle name="Normal 2 2 2 4 2 8 13" xfId="20270" xr:uid="{00000000-0005-0000-0000-00002E4F0000}"/>
    <cellStyle name="Normal 2 2 2 4 2 8 14" xfId="20271" xr:uid="{00000000-0005-0000-0000-00002F4F0000}"/>
    <cellStyle name="Normal 2 2 2 4 2 8 2" xfId="20272" xr:uid="{00000000-0005-0000-0000-0000304F0000}"/>
    <cellStyle name="Normal 2 2 2 4 2 8 2 10" xfId="20273" xr:uid="{00000000-0005-0000-0000-0000314F0000}"/>
    <cellStyle name="Normal 2 2 2 4 2 8 2 2" xfId="20274" xr:uid="{00000000-0005-0000-0000-0000324F0000}"/>
    <cellStyle name="Normal 2 2 2 4 2 8 2 3" xfId="20275" xr:uid="{00000000-0005-0000-0000-0000334F0000}"/>
    <cellStyle name="Normal 2 2 2 4 2 8 2 4" xfId="20276" xr:uid="{00000000-0005-0000-0000-0000344F0000}"/>
    <cellStyle name="Normal 2 2 2 4 2 8 2 5" xfId="20277" xr:uid="{00000000-0005-0000-0000-0000354F0000}"/>
    <cellStyle name="Normal 2 2 2 4 2 8 2 6" xfId="20278" xr:uid="{00000000-0005-0000-0000-0000364F0000}"/>
    <cellStyle name="Normal 2 2 2 4 2 8 2 7" xfId="20279" xr:uid="{00000000-0005-0000-0000-0000374F0000}"/>
    <cellStyle name="Normal 2 2 2 4 2 8 2 8" xfId="20280" xr:uid="{00000000-0005-0000-0000-0000384F0000}"/>
    <cellStyle name="Normal 2 2 2 4 2 8 2 9" xfId="20281" xr:uid="{00000000-0005-0000-0000-0000394F0000}"/>
    <cellStyle name="Normal 2 2 2 4 2 8 3" xfId="20282" xr:uid="{00000000-0005-0000-0000-00003A4F0000}"/>
    <cellStyle name="Normal 2 2 2 4 2 8 3 10" xfId="20283" xr:uid="{00000000-0005-0000-0000-00003B4F0000}"/>
    <cellStyle name="Normal 2 2 2 4 2 8 3 2" xfId="20284" xr:uid="{00000000-0005-0000-0000-00003C4F0000}"/>
    <cellStyle name="Normal 2 2 2 4 2 8 3 3" xfId="20285" xr:uid="{00000000-0005-0000-0000-00003D4F0000}"/>
    <cellStyle name="Normal 2 2 2 4 2 8 3 4" xfId="20286" xr:uid="{00000000-0005-0000-0000-00003E4F0000}"/>
    <cellStyle name="Normal 2 2 2 4 2 8 3 5" xfId="20287" xr:uid="{00000000-0005-0000-0000-00003F4F0000}"/>
    <cellStyle name="Normal 2 2 2 4 2 8 3 6" xfId="20288" xr:uid="{00000000-0005-0000-0000-0000404F0000}"/>
    <cellStyle name="Normal 2 2 2 4 2 8 3 7" xfId="20289" xr:uid="{00000000-0005-0000-0000-0000414F0000}"/>
    <cellStyle name="Normal 2 2 2 4 2 8 3 8" xfId="20290" xr:uid="{00000000-0005-0000-0000-0000424F0000}"/>
    <cellStyle name="Normal 2 2 2 4 2 8 3 9" xfId="20291" xr:uid="{00000000-0005-0000-0000-0000434F0000}"/>
    <cellStyle name="Normal 2 2 2 4 2 8 4" xfId="20292" xr:uid="{00000000-0005-0000-0000-0000444F0000}"/>
    <cellStyle name="Normal 2 2 2 4 2 8 4 10" xfId="20293" xr:uid="{00000000-0005-0000-0000-0000454F0000}"/>
    <cellStyle name="Normal 2 2 2 4 2 8 4 2" xfId="20294" xr:uid="{00000000-0005-0000-0000-0000464F0000}"/>
    <cellStyle name="Normal 2 2 2 4 2 8 4 3" xfId="20295" xr:uid="{00000000-0005-0000-0000-0000474F0000}"/>
    <cellStyle name="Normal 2 2 2 4 2 8 4 4" xfId="20296" xr:uid="{00000000-0005-0000-0000-0000484F0000}"/>
    <cellStyle name="Normal 2 2 2 4 2 8 4 5" xfId="20297" xr:uid="{00000000-0005-0000-0000-0000494F0000}"/>
    <cellStyle name="Normal 2 2 2 4 2 8 4 6" xfId="20298" xr:uid="{00000000-0005-0000-0000-00004A4F0000}"/>
    <cellStyle name="Normal 2 2 2 4 2 8 4 7" xfId="20299" xr:uid="{00000000-0005-0000-0000-00004B4F0000}"/>
    <cellStyle name="Normal 2 2 2 4 2 8 4 8" xfId="20300" xr:uid="{00000000-0005-0000-0000-00004C4F0000}"/>
    <cellStyle name="Normal 2 2 2 4 2 8 4 9" xfId="20301" xr:uid="{00000000-0005-0000-0000-00004D4F0000}"/>
    <cellStyle name="Normal 2 2 2 4 2 8 5" xfId="20302" xr:uid="{00000000-0005-0000-0000-00004E4F0000}"/>
    <cellStyle name="Normal 2 2 2 4 2 8 5 10" xfId="20303" xr:uid="{00000000-0005-0000-0000-00004F4F0000}"/>
    <cellStyle name="Normal 2 2 2 4 2 8 5 2" xfId="20304" xr:uid="{00000000-0005-0000-0000-0000504F0000}"/>
    <cellStyle name="Normal 2 2 2 4 2 8 5 3" xfId="20305" xr:uid="{00000000-0005-0000-0000-0000514F0000}"/>
    <cellStyle name="Normal 2 2 2 4 2 8 5 4" xfId="20306" xr:uid="{00000000-0005-0000-0000-0000524F0000}"/>
    <cellStyle name="Normal 2 2 2 4 2 8 5 5" xfId="20307" xr:uid="{00000000-0005-0000-0000-0000534F0000}"/>
    <cellStyle name="Normal 2 2 2 4 2 8 5 6" xfId="20308" xr:uid="{00000000-0005-0000-0000-0000544F0000}"/>
    <cellStyle name="Normal 2 2 2 4 2 8 5 7" xfId="20309" xr:uid="{00000000-0005-0000-0000-0000554F0000}"/>
    <cellStyle name="Normal 2 2 2 4 2 8 5 8" xfId="20310" xr:uid="{00000000-0005-0000-0000-0000564F0000}"/>
    <cellStyle name="Normal 2 2 2 4 2 8 5 9" xfId="20311" xr:uid="{00000000-0005-0000-0000-0000574F0000}"/>
    <cellStyle name="Normal 2 2 2 4 2 8 6" xfId="20312" xr:uid="{00000000-0005-0000-0000-0000584F0000}"/>
    <cellStyle name="Normal 2 2 2 4 2 8 7" xfId="20313" xr:uid="{00000000-0005-0000-0000-0000594F0000}"/>
    <cellStyle name="Normal 2 2 2 4 2 8 8" xfId="20314" xr:uid="{00000000-0005-0000-0000-00005A4F0000}"/>
    <cellStyle name="Normal 2 2 2 4 2 8 9" xfId="20315" xr:uid="{00000000-0005-0000-0000-00005B4F0000}"/>
    <cellStyle name="Normal 2 2 2 4 2 9" xfId="20316" xr:uid="{00000000-0005-0000-0000-00005C4F0000}"/>
    <cellStyle name="Normal 2 2 2 4 2 9 10" xfId="20317" xr:uid="{00000000-0005-0000-0000-00005D4F0000}"/>
    <cellStyle name="Normal 2 2 2 4 2 9 11" xfId="20318" xr:uid="{00000000-0005-0000-0000-00005E4F0000}"/>
    <cellStyle name="Normal 2 2 2 4 2 9 12" xfId="20319" xr:uid="{00000000-0005-0000-0000-00005F4F0000}"/>
    <cellStyle name="Normal 2 2 2 4 2 9 13" xfId="20320" xr:uid="{00000000-0005-0000-0000-0000604F0000}"/>
    <cellStyle name="Normal 2 2 2 4 2 9 14" xfId="20321" xr:uid="{00000000-0005-0000-0000-0000614F0000}"/>
    <cellStyle name="Normal 2 2 2 4 2 9 2" xfId="20322" xr:uid="{00000000-0005-0000-0000-0000624F0000}"/>
    <cellStyle name="Normal 2 2 2 4 2 9 2 10" xfId="20323" xr:uid="{00000000-0005-0000-0000-0000634F0000}"/>
    <cellStyle name="Normal 2 2 2 4 2 9 2 2" xfId="20324" xr:uid="{00000000-0005-0000-0000-0000644F0000}"/>
    <cellStyle name="Normal 2 2 2 4 2 9 2 3" xfId="20325" xr:uid="{00000000-0005-0000-0000-0000654F0000}"/>
    <cellStyle name="Normal 2 2 2 4 2 9 2 4" xfId="20326" xr:uid="{00000000-0005-0000-0000-0000664F0000}"/>
    <cellStyle name="Normal 2 2 2 4 2 9 2 5" xfId="20327" xr:uid="{00000000-0005-0000-0000-0000674F0000}"/>
    <cellStyle name="Normal 2 2 2 4 2 9 2 6" xfId="20328" xr:uid="{00000000-0005-0000-0000-0000684F0000}"/>
    <cellStyle name="Normal 2 2 2 4 2 9 2 7" xfId="20329" xr:uid="{00000000-0005-0000-0000-0000694F0000}"/>
    <cellStyle name="Normal 2 2 2 4 2 9 2 8" xfId="20330" xr:uid="{00000000-0005-0000-0000-00006A4F0000}"/>
    <cellStyle name="Normal 2 2 2 4 2 9 2 9" xfId="20331" xr:uid="{00000000-0005-0000-0000-00006B4F0000}"/>
    <cellStyle name="Normal 2 2 2 4 2 9 3" xfId="20332" xr:uid="{00000000-0005-0000-0000-00006C4F0000}"/>
    <cellStyle name="Normal 2 2 2 4 2 9 3 10" xfId="20333" xr:uid="{00000000-0005-0000-0000-00006D4F0000}"/>
    <cellStyle name="Normal 2 2 2 4 2 9 3 2" xfId="20334" xr:uid="{00000000-0005-0000-0000-00006E4F0000}"/>
    <cellStyle name="Normal 2 2 2 4 2 9 3 3" xfId="20335" xr:uid="{00000000-0005-0000-0000-00006F4F0000}"/>
    <cellStyle name="Normal 2 2 2 4 2 9 3 4" xfId="20336" xr:uid="{00000000-0005-0000-0000-0000704F0000}"/>
    <cellStyle name="Normal 2 2 2 4 2 9 3 5" xfId="20337" xr:uid="{00000000-0005-0000-0000-0000714F0000}"/>
    <cellStyle name="Normal 2 2 2 4 2 9 3 6" xfId="20338" xr:uid="{00000000-0005-0000-0000-0000724F0000}"/>
    <cellStyle name="Normal 2 2 2 4 2 9 3 7" xfId="20339" xr:uid="{00000000-0005-0000-0000-0000734F0000}"/>
    <cellStyle name="Normal 2 2 2 4 2 9 3 8" xfId="20340" xr:uid="{00000000-0005-0000-0000-0000744F0000}"/>
    <cellStyle name="Normal 2 2 2 4 2 9 3 9" xfId="20341" xr:uid="{00000000-0005-0000-0000-0000754F0000}"/>
    <cellStyle name="Normal 2 2 2 4 2 9 4" xfId="20342" xr:uid="{00000000-0005-0000-0000-0000764F0000}"/>
    <cellStyle name="Normal 2 2 2 4 2 9 4 10" xfId="20343" xr:uid="{00000000-0005-0000-0000-0000774F0000}"/>
    <cellStyle name="Normal 2 2 2 4 2 9 4 2" xfId="20344" xr:uid="{00000000-0005-0000-0000-0000784F0000}"/>
    <cellStyle name="Normal 2 2 2 4 2 9 4 3" xfId="20345" xr:uid="{00000000-0005-0000-0000-0000794F0000}"/>
    <cellStyle name="Normal 2 2 2 4 2 9 4 4" xfId="20346" xr:uid="{00000000-0005-0000-0000-00007A4F0000}"/>
    <cellStyle name="Normal 2 2 2 4 2 9 4 5" xfId="20347" xr:uid="{00000000-0005-0000-0000-00007B4F0000}"/>
    <cellStyle name="Normal 2 2 2 4 2 9 4 6" xfId="20348" xr:uid="{00000000-0005-0000-0000-00007C4F0000}"/>
    <cellStyle name="Normal 2 2 2 4 2 9 4 7" xfId="20349" xr:uid="{00000000-0005-0000-0000-00007D4F0000}"/>
    <cellStyle name="Normal 2 2 2 4 2 9 4 8" xfId="20350" xr:uid="{00000000-0005-0000-0000-00007E4F0000}"/>
    <cellStyle name="Normal 2 2 2 4 2 9 4 9" xfId="20351" xr:uid="{00000000-0005-0000-0000-00007F4F0000}"/>
    <cellStyle name="Normal 2 2 2 4 2 9 5" xfId="20352" xr:uid="{00000000-0005-0000-0000-0000804F0000}"/>
    <cellStyle name="Normal 2 2 2 4 2 9 5 10" xfId="20353" xr:uid="{00000000-0005-0000-0000-0000814F0000}"/>
    <cellStyle name="Normal 2 2 2 4 2 9 5 2" xfId="20354" xr:uid="{00000000-0005-0000-0000-0000824F0000}"/>
    <cellStyle name="Normal 2 2 2 4 2 9 5 3" xfId="20355" xr:uid="{00000000-0005-0000-0000-0000834F0000}"/>
    <cellStyle name="Normal 2 2 2 4 2 9 5 4" xfId="20356" xr:uid="{00000000-0005-0000-0000-0000844F0000}"/>
    <cellStyle name="Normal 2 2 2 4 2 9 5 5" xfId="20357" xr:uid="{00000000-0005-0000-0000-0000854F0000}"/>
    <cellStyle name="Normal 2 2 2 4 2 9 5 6" xfId="20358" xr:uid="{00000000-0005-0000-0000-0000864F0000}"/>
    <cellStyle name="Normal 2 2 2 4 2 9 5 7" xfId="20359" xr:uid="{00000000-0005-0000-0000-0000874F0000}"/>
    <cellStyle name="Normal 2 2 2 4 2 9 5 8" xfId="20360" xr:uid="{00000000-0005-0000-0000-0000884F0000}"/>
    <cellStyle name="Normal 2 2 2 4 2 9 5 9" xfId="20361" xr:uid="{00000000-0005-0000-0000-0000894F0000}"/>
    <cellStyle name="Normal 2 2 2 4 2 9 6" xfId="20362" xr:uid="{00000000-0005-0000-0000-00008A4F0000}"/>
    <cellStyle name="Normal 2 2 2 4 2 9 7" xfId="20363" xr:uid="{00000000-0005-0000-0000-00008B4F0000}"/>
    <cellStyle name="Normal 2 2 2 4 2 9 8" xfId="20364" xr:uid="{00000000-0005-0000-0000-00008C4F0000}"/>
    <cellStyle name="Normal 2 2 2 4 2 9 9" xfId="20365" xr:uid="{00000000-0005-0000-0000-00008D4F0000}"/>
    <cellStyle name="Normal 2 2 2 4 20" xfId="20366" xr:uid="{00000000-0005-0000-0000-00008E4F0000}"/>
    <cellStyle name="Normal 2 2 2 4 21" xfId="20367" xr:uid="{00000000-0005-0000-0000-00008F4F0000}"/>
    <cellStyle name="Normal 2 2 2 4 22" xfId="20368" xr:uid="{00000000-0005-0000-0000-0000904F0000}"/>
    <cellStyle name="Normal 2 2 2 4 23" xfId="20369" xr:uid="{00000000-0005-0000-0000-0000914F0000}"/>
    <cellStyle name="Normal 2 2 2 4 24" xfId="20370" xr:uid="{00000000-0005-0000-0000-0000924F0000}"/>
    <cellStyle name="Normal 2 2 2 4 25" xfId="20371" xr:uid="{00000000-0005-0000-0000-0000934F0000}"/>
    <cellStyle name="Normal 2 2 2 4 26" xfId="20372" xr:uid="{00000000-0005-0000-0000-0000944F0000}"/>
    <cellStyle name="Normal 2 2 2 4 27" xfId="20373" xr:uid="{00000000-0005-0000-0000-0000954F0000}"/>
    <cellStyle name="Normal 2 2 2 4 28" xfId="20374" xr:uid="{00000000-0005-0000-0000-0000964F0000}"/>
    <cellStyle name="Normal 2 2 2 4 29" xfId="20375" xr:uid="{00000000-0005-0000-0000-0000974F0000}"/>
    <cellStyle name="Normal 2 2 2 4 3" xfId="20376" xr:uid="{00000000-0005-0000-0000-0000984F0000}"/>
    <cellStyle name="Normal 2 2 2 4 3 2" xfId="20377" xr:uid="{00000000-0005-0000-0000-0000994F0000}"/>
    <cellStyle name="Normal 2 2 2 4 3 3" xfId="20378" xr:uid="{00000000-0005-0000-0000-00009A4F0000}"/>
    <cellStyle name="Normal 2 2 2 4 30" xfId="20379" xr:uid="{00000000-0005-0000-0000-00009B4F0000}"/>
    <cellStyle name="Normal 2 2 2 4 31" xfId="20380" xr:uid="{00000000-0005-0000-0000-00009C4F0000}"/>
    <cellStyle name="Normal 2 2 2 4 32" xfId="20381" xr:uid="{00000000-0005-0000-0000-00009D4F0000}"/>
    <cellStyle name="Normal 2 2 2 4 33" xfId="20382" xr:uid="{00000000-0005-0000-0000-00009E4F0000}"/>
    <cellStyle name="Normal 2 2 2 4 34" xfId="20383" xr:uid="{00000000-0005-0000-0000-00009F4F0000}"/>
    <cellStyle name="Normal 2 2 2 4 34 10" xfId="20384" xr:uid="{00000000-0005-0000-0000-0000A04F0000}"/>
    <cellStyle name="Normal 2 2 2 4 34 2" xfId="20385" xr:uid="{00000000-0005-0000-0000-0000A14F0000}"/>
    <cellStyle name="Normal 2 2 2 4 34 3" xfId="20386" xr:uid="{00000000-0005-0000-0000-0000A24F0000}"/>
    <cellStyle name="Normal 2 2 2 4 34 4" xfId="20387" xr:uid="{00000000-0005-0000-0000-0000A34F0000}"/>
    <cellStyle name="Normal 2 2 2 4 34 5" xfId="20388" xr:uid="{00000000-0005-0000-0000-0000A44F0000}"/>
    <cellStyle name="Normal 2 2 2 4 34 6" xfId="20389" xr:uid="{00000000-0005-0000-0000-0000A54F0000}"/>
    <cellStyle name="Normal 2 2 2 4 34 7" xfId="20390" xr:uid="{00000000-0005-0000-0000-0000A64F0000}"/>
    <cellStyle name="Normal 2 2 2 4 34 8" xfId="20391" xr:uid="{00000000-0005-0000-0000-0000A74F0000}"/>
    <cellStyle name="Normal 2 2 2 4 34 9" xfId="20392" xr:uid="{00000000-0005-0000-0000-0000A84F0000}"/>
    <cellStyle name="Normal 2 2 2 4 35" xfId="20393" xr:uid="{00000000-0005-0000-0000-0000A94F0000}"/>
    <cellStyle name="Normal 2 2 2 4 35 10" xfId="20394" xr:uid="{00000000-0005-0000-0000-0000AA4F0000}"/>
    <cellStyle name="Normal 2 2 2 4 35 2" xfId="20395" xr:uid="{00000000-0005-0000-0000-0000AB4F0000}"/>
    <cellStyle name="Normal 2 2 2 4 35 3" xfId="20396" xr:uid="{00000000-0005-0000-0000-0000AC4F0000}"/>
    <cellStyle name="Normal 2 2 2 4 35 4" xfId="20397" xr:uid="{00000000-0005-0000-0000-0000AD4F0000}"/>
    <cellStyle name="Normal 2 2 2 4 35 5" xfId="20398" xr:uid="{00000000-0005-0000-0000-0000AE4F0000}"/>
    <cellStyle name="Normal 2 2 2 4 35 6" xfId="20399" xr:uid="{00000000-0005-0000-0000-0000AF4F0000}"/>
    <cellStyle name="Normal 2 2 2 4 35 7" xfId="20400" xr:uid="{00000000-0005-0000-0000-0000B04F0000}"/>
    <cellStyle name="Normal 2 2 2 4 35 8" xfId="20401" xr:uid="{00000000-0005-0000-0000-0000B14F0000}"/>
    <cellStyle name="Normal 2 2 2 4 35 9" xfId="20402" xr:uid="{00000000-0005-0000-0000-0000B24F0000}"/>
    <cellStyle name="Normal 2 2 2 4 36" xfId="20403" xr:uid="{00000000-0005-0000-0000-0000B34F0000}"/>
    <cellStyle name="Normal 2 2 2 4 36 10" xfId="20404" xr:uid="{00000000-0005-0000-0000-0000B44F0000}"/>
    <cellStyle name="Normal 2 2 2 4 36 2" xfId="20405" xr:uid="{00000000-0005-0000-0000-0000B54F0000}"/>
    <cellStyle name="Normal 2 2 2 4 36 3" xfId="20406" xr:uid="{00000000-0005-0000-0000-0000B64F0000}"/>
    <cellStyle name="Normal 2 2 2 4 36 4" xfId="20407" xr:uid="{00000000-0005-0000-0000-0000B74F0000}"/>
    <cellStyle name="Normal 2 2 2 4 36 5" xfId="20408" xr:uid="{00000000-0005-0000-0000-0000B84F0000}"/>
    <cellStyle name="Normal 2 2 2 4 36 6" xfId="20409" xr:uid="{00000000-0005-0000-0000-0000B94F0000}"/>
    <cellStyle name="Normal 2 2 2 4 36 7" xfId="20410" xr:uid="{00000000-0005-0000-0000-0000BA4F0000}"/>
    <cellStyle name="Normal 2 2 2 4 36 8" xfId="20411" xr:uid="{00000000-0005-0000-0000-0000BB4F0000}"/>
    <cellStyle name="Normal 2 2 2 4 36 9" xfId="20412" xr:uid="{00000000-0005-0000-0000-0000BC4F0000}"/>
    <cellStyle name="Normal 2 2 2 4 37" xfId="20413" xr:uid="{00000000-0005-0000-0000-0000BD4F0000}"/>
    <cellStyle name="Normal 2 2 2 4 37 10" xfId="20414" xr:uid="{00000000-0005-0000-0000-0000BE4F0000}"/>
    <cellStyle name="Normal 2 2 2 4 37 2" xfId="20415" xr:uid="{00000000-0005-0000-0000-0000BF4F0000}"/>
    <cellStyle name="Normal 2 2 2 4 37 3" xfId="20416" xr:uid="{00000000-0005-0000-0000-0000C04F0000}"/>
    <cellStyle name="Normal 2 2 2 4 37 4" xfId="20417" xr:uid="{00000000-0005-0000-0000-0000C14F0000}"/>
    <cellStyle name="Normal 2 2 2 4 37 5" xfId="20418" xr:uid="{00000000-0005-0000-0000-0000C24F0000}"/>
    <cellStyle name="Normal 2 2 2 4 37 6" xfId="20419" xr:uid="{00000000-0005-0000-0000-0000C34F0000}"/>
    <cellStyle name="Normal 2 2 2 4 37 7" xfId="20420" xr:uid="{00000000-0005-0000-0000-0000C44F0000}"/>
    <cellStyle name="Normal 2 2 2 4 37 8" xfId="20421" xr:uid="{00000000-0005-0000-0000-0000C54F0000}"/>
    <cellStyle name="Normal 2 2 2 4 37 9" xfId="20422" xr:uid="{00000000-0005-0000-0000-0000C64F0000}"/>
    <cellStyle name="Normal 2 2 2 4 38" xfId="20423" xr:uid="{00000000-0005-0000-0000-0000C74F0000}"/>
    <cellStyle name="Normal 2 2 2 4 39" xfId="20424" xr:uid="{00000000-0005-0000-0000-0000C84F0000}"/>
    <cellStyle name="Normal 2 2 2 4 4" xfId="20425" xr:uid="{00000000-0005-0000-0000-0000C94F0000}"/>
    <cellStyle name="Normal 2 2 2 4 40" xfId="20426" xr:uid="{00000000-0005-0000-0000-0000CA4F0000}"/>
    <cellStyle name="Normal 2 2 2 4 41" xfId="20427" xr:uid="{00000000-0005-0000-0000-0000CB4F0000}"/>
    <cellStyle name="Normal 2 2 2 4 42" xfId="20428" xr:uid="{00000000-0005-0000-0000-0000CC4F0000}"/>
    <cellStyle name="Normal 2 2 2 4 43" xfId="20429" xr:uid="{00000000-0005-0000-0000-0000CD4F0000}"/>
    <cellStyle name="Normal 2 2 2 4 44" xfId="20430" xr:uid="{00000000-0005-0000-0000-0000CE4F0000}"/>
    <cellStyle name="Normal 2 2 2 4 45" xfId="20431" xr:uid="{00000000-0005-0000-0000-0000CF4F0000}"/>
    <cellStyle name="Normal 2 2 2 4 46" xfId="20432" xr:uid="{00000000-0005-0000-0000-0000D04F0000}"/>
    <cellStyle name="Normal 2 2 2 4 47" xfId="20433" xr:uid="{00000000-0005-0000-0000-0000D14F0000}"/>
    <cellStyle name="Normal 2 2 2 4 48" xfId="20434" xr:uid="{00000000-0005-0000-0000-0000D24F0000}"/>
    <cellStyle name="Normal 2 2 2 4 5" xfId="20435" xr:uid="{00000000-0005-0000-0000-0000D34F0000}"/>
    <cellStyle name="Normal 2 2 2 4 6" xfId="20436" xr:uid="{00000000-0005-0000-0000-0000D44F0000}"/>
    <cellStyle name="Normal 2 2 2 4 7" xfId="20437" xr:uid="{00000000-0005-0000-0000-0000D54F0000}"/>
    <cellStyle name="Normal 2 2 2 4 8" xfId="20438" xr:uid="{00000000-0005-0000-0000-0000D64F0000}"/>
    <cellStyle name="Normal 2 2 2 4 9" xfId="20439" xr:uid="{00000000-0005-0000-0000-0000D74F0000}"/>
    <cellStyle name="Normal 2 2 2 40" xfId="20440" xr:uid="{00000000-0005-0000-0000-0000D84F0000}"/>
    <cellStyle name="Normal 2 2 2 40 10" xfId="20441" xr:uid="{00000000-0005-0000-0000-0000D94F0000}"/>
    <cellStyle name="Normal 2 2 2 40 2" xfId="20442" xr:uid="{00000000-0005-0000-0000-0000DA4F0000}"/>
    <cellStyle name="Normal 2 2 2 40 3" xfId="20443" xr:uid="{00000000-0005-0000-0000-0000DB4F0000}"/>
    <cellStyle name="Normal 2 2 2 40 4" xfId="20444" xr:uid="{00000000-0005-0000-0000-0000DC4F0000}"/>
    <cellStyle name="Normal 2 2 2 40 5" xfId="20445" xr:uid="{00000000-0005-0000-0000-0000DD4F0000}"/>
    <cellStyle name="Normal 2 2 2 40 6" xfId="20446" xr:uid="{00000000-0005-0000-0000-0000DE4F0000}"/>
    <cellStyle name="Normal 2 2 2 40 7" xfId="20447" xr:uid="{00000000-0005-0000-0000-0000DF4F0000}"/>
    <cellStyle name="Normal 2 2 2 40 8" xfId="20448" xr:uid="{00000000-0005-0000-0000-0000E04F0000}"/>
    <cellStyle name="Normal 2 2 2 40 9" xfId="20449" xr:uid="{00000000-0005-0000-0000-0000E14F0000}"/>
    <cellStyle name="Normal 2 2 2 41" xfId="20450" xr:uid="{00000000-0005-0000-0000-0000E24F0000}"/>
    <cellStyle name="Normal 2 2 2 42" xfId="20451" xr:uid="{00000000-0005-0000-0000-0000E34F0000}"/>
    <cellStyle name="Normal 2 2 2 43" xfId="20452" xr:uid="{00000000-0005-0000-0000-0000E44F0000}"/>
    <cellStyle name="Normal 2 2 2 44" xfId="20453" xr:uid="{00000000-0005-0000-0000-0000E54F0000}"/>
    <cellStyle name="Normal 2 2 2 45" xfId="20454" xr:uid="{00000000-0005-0000-0000-0000E64F0000}"/>
    <cellStyle name="Normal 2 2 2 46" xfId="20455" xr:uid="{00000000-0005-0000-0000-0000E74F0000}"/>
    <cellStyle name="Normal 2 2 2 47" xfId="20456" xr:uid="{00000000-0005-0000-0000-0000E84F0000}"/>
    <cellStyle name="Normal 2 2 2 48" xfId="20457" xr:uid="{00000000-0005-0000-0000-0000E94F0000}"/>
    <cellStyle name="Normal 2 2 2 49" xfId="20458" xr:uid="{00000000-0005-0000-0000-0000EA4F0000}"/>
    <cellStyle name="Normal 2 2 2 5" xfId="20459" xr:uid="{00000000-0005-0000-0000-0000EB4F0000}"/>
    <cellStyle name="Normal 2 2 2 5 10" xfId="20460" xr:uid="{00000000-0005-0000-0000-0000EC4F0000}"/>
    <cellStyle name="Normal 2 2 2 5 11" xfId="20461" xr:uid="{00000000-0005-0000-0000-0000ED4F0000}"/>
    <cellStyle name="Normal 2 2 2 5 12" xfId="20462" xr:uid="{00000000-0005-0000-0000-0000EE4F0000}"/>
    <cellStyle name="Normal 2 2 2 5 13" xfId="20463" xr:uid="{00000000-0005-0000-0000-0000EF4F0000}"/>
    <cellStyle name="Normal 2 2 2 5 14" xfId="20464" xr:uid="{00000000-0005-0000-0000-0000F04F0000}"/>
    <cellStyle name="Normal 2 2 2 5 15" xfId="20465" xr:uid="{00000000-0005-0000-0000-0000F14F0000}"/>
    <cellStyle name="Normal 2 2 2 5 16" xfId="20466" xr:uid="{00000000-0005-0000-0000-0000F24F0000}"/>
    <cellStyle name="Normal 2 2 2 5 17" xfId="20467" xr:uid="{00000000-0005-0000-0000-0000F34F0000}"/>
    <cellStyle name="Normal 2 2 2 5 18" xfId="20468" xr:uid="{00000000-0005-0000-0000-0000F44F0000}"/>
    <cellStyle name="Normal 2 2 2 5 19" xfId="20469" xr:uid="{00000000-0005-0000-0000-0000F54F0000}"/>
    <cellStyle name="Normal 2 2 2 5 2" xfId="20470" xr:uid="{00000000-0005-0000-0000-0000F64F0000}"/>
    <cellStyle name="Normal 2 2 2 5 2 10" xfId="20471" xr:uid="{00000000-0005-0000-0000-0000F74F0000}"/>
    <cellStyle name="Normal 2 2 2 5 2 10 10" xfId="20472" xr:uid="{00000000-0005-0000-0000-0000F84F0000}"/>
    <cellStyle name="Normal 2 2 2 5 2 10 11" xfId="20473" xr:uid="{00000000-0005-0000-0000-0000F94F0000}"/>
    <cellStyle name="Normal 2 2 2 5 2 10 12" xfId="20474" xr:uid="{00000000-0005-0000-0000-0000FA4F0000}"/>
    <cellStyle name="Normal 2 2 2 5 2 10 13" xfId="20475" xr:uid="{00000000-0005-0000-0000-0000FB4F0000}"/>
    <cellStyle name="Normal 2 2 2 5 2 10 14" xfId="20476" xr:uid="{00000000-0005-0000-0000-0000FC4F0000}"/>
    <cellStyle name="Normal 2 2 2 5 2 10 2" xfId="20477" xr:uid="{00000000-0005-0000-0000-0000FD4F0000}"/>
    <cellStyle name="Normal 2 2 2 5 2 10 2 10" xfId="20478" xr:uid="{00000000-0005-0000-0000-0000FE4F0000}"/>
    <cellStyle name="Normal 2 2 2 5 2 10 2 2" xfId="20479" xr:uid="{00000000-0005-0000-0000-0000FF4F0000}"/>
    <cellStyle name="Normal 2 2 2 5 2 10 2 3" xfId="20480" xr:uid="{00000000-0005-0000-0000-000000500000}"/>
    <cellStyle name="Normal 2 2 2 5 2 10 2 4" xfId="20481" xr:uid="{00000000-0005-0000-0000-000001500000}"/>
    <cellStyle name="Normal 2 2 2 5 2 10 2 5" xfId="20482" xr:uid="{00000000-0005-0000-0000-000002500000}"/>
    <cellStyle name="Normal 2 2 2 5 2 10 2 6" xfId="20483" xr:uid="{00000000-0005-0000-0000-000003500000}"/>
    <cellStyle name="Normal 2 2 2 5 2 10 2 7" xfId="20484" xr:uid="{00000000-0005-0000-0000-000004500000}"/>
    <cellStyle name="Normal 2 2 2 5 2 10 2 8" xfId="20485" xr:uid="{00000000-0005-0000-0000-000005500000}"/>
    <cellStyle name="Normal 2 2 2 5 2 10 2 9" xfId="20486" xr:uid="{00000000-0005-0000-0000-000006500000}"/>
    <cellStyle name="Normal 2 2 2 5 2 10 3" xfId="20487" xr:uid="{00000000-0005-0000-0000-000007500000}"/>
    <cellStyle name="Normal 2 2 2 5 2 10 3 10" xfId="20488" xr:uid="{00000000-0005-0000-0000-000008500000}"/>
    <cellStyle name="Normal 2 2 2 5 2 10 3 2" xfId="20489" xr:uid="{00000000-0005-0000-0000-000009500000}"/>
    <cellStyle name="Normal 2 2 2 5 2 10 3 3" xfId="20490" xr:uid="{00000000-0005-0000-0000-00000A500000}"/>
    <cellStyle name="Normal 2 2 2 5 2 10 3 4" xfId="20491" xr:uid="{00000000-0005-0000-0000-00000B500000}"/>
    <cellStyle name="Normal 2 2 2 5 2 10 3 5" xfId="20492" xr:uid="{00000000-0005-0000-0000-00000C500000}"/>
    <cellStyle name="Normal 2 2 2 5 2 10 3 6" xfId="20493" xr:uid="{00000000-0005-0000-0000-00000D500000}"/>
    <cellStyle name="Normal 2 2 2 5 2 10 3 7" xfId="20494" xr:uid="{00000000-0005-0000-0000-00000E500000}"/>
    <cellStyle name="Normal 2 2 2 5 2 10 3 8" xfId="20495" xr:uid="{00000000-0005-0000-0000-00000F500000}"/>
    <cellStyle name="Normal 2 2 2 5 2 10 3 9" xfId="20496" xr:uid="{00000000-0005-0000-0000-000010500000}"/>
    <cellStyle name="Normal 2 2 2 5 2 10 4" xfId="20497" xr:uid="{00000000-0005-0000-0000-000011500000}"/>
    <cellStyle name="Normal 2 2 2 5 2 10 4 10" xfId="20498" xr:uid="{00000000-0005-0000-0000-000012500000}"/>
    <cellStyle name="Normal 2 2 2 5 2 10 4 2" xfId="20499" xr:uid="{00000000-0005-0000-0000-000013500000}"/>
    <cellStyle name="Normal 2 2 2 5 2 10 4 3" xfId="20500" xr:uid="{00000000-0005-0000-0000-000014500000}"/>
    <cellStyle name="Normal 2 2 2 5 2 10 4 4" xfId="20501" xr:uid="{00000000-0005-0000-0000-000015500000}"/>
    <cellStyle name="Normal 2 2 2 5 2 10 4 5" xfId="20502" xr:uid="{00000000-0005-0000-0000-000016500000}"/>
    <cellStyle name="Normal 2 2 2 5 2 10 4 6" xfId="20503" xr:uid="{00000000-0005-0000-0000-000017500000}"/>
    <cellStyle name="Normal 2 2 2 5 2 10 4 7" xfId="20504" xr:uid="{00000000-0005-0000-0000-000018500000}"/>
    <cellStyle name="Normal 2 2 2 5 2 10 4 8" xfId="20505" xr:uid="{00000000-0005-0000-0000-000019500000}"/>
    <cellStyle name="Normal 2 2 2 5 2 10 4 9" xfId="20506" xr:uid="{00000000-0005-0000-0000-00001A500000}"/>
    <cellStyle name="Normal 2 2 2 5 2 10 5" xfId="20507" xr:uid="{00000000-0005-0000-0000-00001B500000}"/>
    <cellStyle name="Normal 2 2 2 5 2 10 5 10" xfId="20508" xr:uid="{00000000-0005-0000-0000-00001C500000}"/>
    <cellStyle name="Normal 2 2 2 5 2 10 5 2" xfId="20509" xr:uid="{00000000-0005-0000-0000-00001D500000}"/>
    <cellStyle name="Normal 2 2 2 5 2 10 5 3" xfId="20510" xr:uid="{00000000-0005-0000-0000-00001E500000}"/>
    <cellStyle name="Normal 2 2 2 5 2 10 5 4" xfId="20511" xr:uid="{00000000-0005-0000-0000-00001F500000}"/>
    <cellStyle name="Normal 2 2 2 5 2 10 5 5" xfId="20512" xr:uid="{00000000-0005-0000-0000-000020500000}"/>
    <cellStyle name="Normal 2 2 2 5 2 10 5 6" xfId="20513" xr:uid="{00000000-0005-0000-0000-000021500000}"/>
    <cellStyle name="Normal 2 2 2 5 2 10 5 7" xfId="20514" xr:uid="{00000000-0005-0000-0000-000022500000}"/>
    <cellStyle name="Normal 2 2 2 5 2 10 5 8" xfId="20515" xr:uid="{00000000-0005-0000-0000-000023500000}"/>
    <cellStyle name="Normal 2 2 2 5 2 10 5 9" xfId="20516" xr:uid="{00000000-0005-0000-0000-000024500000}"/>
    <cellStyle name="Normal 2 2 2 5 2 10 6" xfId="20517" xr:uid="{00000000-0005-0000-0000-000025500000}"/>
    <cellStyle name="Normal 2 2 2 5 2 10 7" xfId="20518" xr:uid="{00000000-0005-0000-0000-000026500000}"/>
    <cellStyle name="Normal 2 2 2 5 2 10 8" xfId="20519" xr:uid="{00000000-0005-0000-0000-000027500000}"/>
    <cellStyle name="Normal 2 2 2 5 2 10 9" xfId="20520" xr:uid="{00000000-0005-0000-0000-000028500000}"/>
    <cellStyle name="Normal 2 2 2 5 2 11" xfId="20521" xr:uid="{00000000-0005-0000-0000-000029500000}"/>
    <cellStyle name="Normal 2 2 2 5 2 11 10" xfId="20522" xr:uid="{00000000-0005-0000-0000-00002A500000}"/>
    <cellStyle name="Normal 2 2 2 5 2 11 11" xfId="20523" xr:uid="{00000000-0005-0000-0000-00002B500000}"/>
    <cellStyle name="Normal 2 2 2 5 2 11 12" xfId="20524" xr:uid="{00000000-0005-0000-0000-00002C500000}"/>
    <cellStyle name="Normal 2 2 2 5 2 11 13" xfId="20525" xr:uid="{00000000-0005-0000-0000-00002D500000}"/>
    <cellStyle name="Normal 2 2 2 5 2 11 14" xfId="20526" xr:uid="{00000000-0005-0000-0000-00002E500000}"/>
    <cellStyle name="Normal 2 2 2 5 2 11 2" xfId="20527" xr:uid="{00000000-0005-0000-0000-00002F500000}"/>
    <cellStyle name="Normal 2 2 2 5 2 11 2 10" xfId="20528" xr:uid="{00000000-0005-0000-0000-000030500000}"/>
    <cellStyle name="Normal 2 2 2 5 2 11 2 2" xfId="20529" xr:uid="{00000000-0005-0000-0000-000031500000}"/>
    <cellStyle name="Normal 2 2 2 5 2 11 2 3" xfId="20530" xr:uid="{00000000-0005-0000-0000-000032500000}"/>
    <cellStyle name="Normal 2 2 2 5 2 11 2 4" xfId="20531" xr:uid="{00000000-0005-0000-0000-000033500000}"/>
    <cellStyle name="Normal 2 2 2 5 2 11 2 5" xfId="20532" xr:uid="{00000000-0005-0000-0000-000034500000}"/>
    <cellStyle name="Normal 2 2 2 5 2 11 2 6" xfId="20533" xr:uid="{00000000-0005-0000-0000-000035500000}"/>
    <cellStyle name="Normal 2 2 2 5 2 11 2 7" xfId="20534" xr:uid="{00000000-0005-0000-0000-000036500000}"/>
    <cellStyle name="Normal 2 2 2 5 2 11 2 8" xfId="20535" xr:uid="{00000000-0005-0000-0000-000037500000}"/>
    <cellStyle name="Normal 2 2 2 5 2 11 2 9" xfId="20536" xr:uid="{00000000-0005-0000-0000-000038500000}"/>
    <cellStyle name="Normal 2 2 2 5 2 11 3" xfId="20537" xr:uid="{00000000-0005-0000-0000-000039500000}"/>
    <cellStyle name="Normal 2 2 2 5 2 11 3 10" xfId="20538" xr:uid="{00000000-0005-0000-0000-00003A500000}"/>
    <cellStyle name="Normal 2 2 2 5 2 11 3 2" xfId="20539" xr:uid="{00000000-0005-0000-0000-00003B500000}"/>
    <cellStyle name="Normal 2 2 2 5 2 11 3 3" xfId="20540" xr:uid="{00000000-0005-0000-0000-00003C500000}"/>
    <cellStyle name="Normal 2 2 2 5 2 11 3 4" xfId="20541" xr:uid="{00000000-0005-0000-0000-00003D500000}"/>
    <cellStyle name="Normal 2 2 2 5 2 11 3 5" xfId="20542" xr:uid="{00000000-0005-0000-0000-00003E500000}"/>
    <cellStyle name="Normal 2 2 2 5 2 11 3 6" xfId="20543" xr:uid="{00000000-0005-0000-0000-00003F500000}"/>
    <cellStyle name="Normal 2 2 2 5 2 11 3 7" xfId="20544" xr:uid="{00000000-0005-0000-0000-000040500000}"/>
    <cellStyle name="Normal 2 2 2 5 2 11 3 8" xfId="20545" xr:uid="{00000000-0005-0000-0000-000041500000}"/>
    <cellStyle name="Normal 2 2 2 5 2 11 3 9" xfId="20546" xr:uid="{00000000-0005-0000-0000-000042500000}"/>
    <cellStyle name="Normal 2 2 2 5 2 11 4" xfId="20547" xr:uid="{00000000-0005-0000-0000-000043500000}"/>
    <cellStyle name="Normal 2 2 2 5 2 11 4 10" xfId="20548" xr:uid="{00000000-0005-0000-0000-000044500000}"/>
    <cellStyle name="Normal 2 2 2 5 2 11 4 2" xfId="20549" xr:uid="{00000000-0005-0000-0000-000045500000}"/>
    <cellStyle name="Normal 2 2 2 5 2 11 4 3" xfId="20550" xr:uid="{00000000-0005-0000-0000-000046500000}"/>
    <cellStyle name="Normal 2 2 2 5 2 11 4 4" xfId="20551" xr:uid="{00000000-0005-0000-0000-000047500000}"/>
    <cellStyle name="Normal 2 2 2 5 2 11 4 5" xfId="20552" xr:uid="{00000000-0005-0000-0000-000048500000}"/>
    <cellStyle name="Normal 2 2 2 5 2 11 4 6" xfId="20553" xr:uid="{00000000-0005-0000-0000-000049500000}"/>
    <cellStyle name="Normal 2 2 2 5 2 11 4 7" xfId="20554" xr:uid="{00000000-0005-0000-0000-00004A500000}"/>
    <cellStyle name="Normal 2 2 2 5 2 11 4 8" xfId="20555" xr:uid="{00000000-0005-0000-0000-00004B500000}"/>
    <cellStyle name="Normal 2 2 2 5 2 11 4 9" xfId="20556" xr:uid="{00000000-0005-0000-0000-00004C500000}"/>
    <cellStyle name="Normal 2 2 2 5 2 11 5" xfId="20557" xr:uid="{00000000-0005-0000-0000-00004D500000}"/>
    <cellStyle name="Normal 2 2 2 5 2 11 5 10" xfId="20558" xr:uid="{00000000-0005-0000-0000-00004E500000}"/>
    <cellStyle name="Normal 2 2 2 5 2 11 5 2" xfId="20559" xr:uid="{00000000-0005-0000-0000-00004F500000}"/>
    <cellStyle name="Normal 2 2 2 5 2 11 5 3" xfId="20560" xr:uid="{00000000-0005-0000-0000-000050500000}"/>
    <cellStyle name="Normal 2 2 2 5 2 11 5 4" xfId="20561" xr:uid="{00000000-0005-0000-0000-000051500000}"/>
    <cellStyle name="Normal 2 2 2 5 2 11 5 5" xfId="20562" xr:uid="{00000000-0005-0000-0000-000052500000}"/>
    <cellStyle name="Normal 2 2 2 5 2 11 5 6" xfId="20563" xr:uid="{00000000-0005-0000-0000-000053500000}"/>
    <cellStyle name="Normal 2 2 2 5 2 11 5 7" xfId="20564" xr:uid="{00000000-0005-0000-0000-000054500000}"/>
    <cellStyle name="Normal 2 2 2 5 2 11 5 8" xfId="20565" xr:uid="{00000000-0005-0000-0000-000055500000}"/>
    <cellStyle name="Normal 2 2 2 5 2 11 5 9" xfId="20566" xr:uid="{00000000-0005-0000-0000-000056500000}"/>
    <cellStyle name="Normal 2 2 2 5 2 11 6" xfId="20567" xr:uid="{00000000-0005-0000-0000-000057500000}"/>
    <cellStyle name="Normal 2 2 2 5 2 11 7" xfId="20568" xr:uid="{00000000-0005-0000-0000-000058500000}"/>
    <cellStyle name="Normal 2 2 2 5 2 11 8" xfId="20569" xr:uid="{00000000-0005-0000-0000-000059500000}"/>
    <cellStyle name="Normal 2 2 2 5 2 11 9" xfId="20570" xr:uid="{00000000-0005-0000-0000-00005A500000}"/>
    <cellStyle name="Normal 2 2 2 5 2 12" xfId="20571" xr:uid="{00000000-0005-0000-0000-00005B500000}"/>
    <cellStyle name="Normal 2 2 2 5 2 12 10" xfId="20572" xr:uid="{00000000-0005-0000-0000-00005C500000}"/>
    <cellStyle name="Normal 2 2 2 5 2 12 11" xfId="20573" xr:uid="{00000000-0005-0000-0000-00005D500000}"/>
    <cellStyle name="Normal 2 2 2 5 2 12 12" xfId="20574" xr:uid="{00000000-0005-0000-0000-00005E500000}"/>
    <cellStyle name="Normal 2 2 2 5 2 12 13" xfId="20575" xr:uid="{00000000-0005-0000-0000-00005F500000}"/>
    <cellStyle name="Normal 2 2 2 5 2 12 14" xfId="20576" xr:uid="{00000000-0005-0000-0000-000060500000}"/>
    <cellStyle name="Normal 2 2 2 5 2 12 2" xfId="20577" xr:uid="{00000000-0005-0000-0000-000061500000}"/>
    <cellStyle name="Normal 2 2 2 5 2 12 2 10" xfId="20578" xr:uid="{00000000-0005-0000-0000-000062500000}"/>
    <cellStyle name="Normal 2 2 2 5 2 12 2 2" xfId="20579" xr:uid="{00000000-0005-0000-0000-000063500000}"/>
    <cellStyle name="Normal 2 2 2 5 2 12 2 3" xfId="20580" xr:uid="{00000000-0005-0000-0000-000064500000}"/>
    <cellStyle name="Normal 2 2 2 5 2 12 2 4" xfId="20581" xr:uid="{00000000-0005-0000-0000-000065500000}"/>
    <cellStyle name="Normal 2 2 2 5 2 12 2 5" xfId="20582" xr:uid="{00000000-0005-0000-0000-000066500000}"/>
    <cellStyle name="Normal 2 2 2 5 2 12 2 6" xfId="20583" xr:uid="{00000000-0005-0000-0000-000067500000}"/>
    <cellStyle name="Normal 2 2 2 5 2 12 2 7" xfId="20584" xr:uid="{00000000-0005-0000-0000-000068500000}"/>
    <cellStyle name="Normal 2 2 2 5 2 12 2 8" xfId="20585" xr:uid="{00000000-0005-0000-0000-000069500000}"/>
    <cellStyle name="Normal 2 2 2 5 2 12 2 9" xfId="20586" xr:uid="{00000000-0005-0000-0000-00006A500000}"/>
    <cellStyle name="Normal 2 2 2 5 2 12 3" xfId="20587" xr:uid="{00000000-0005-0000-0000-00006B500000}"/>
    <cellStyle name="Normal 2 2 2 5 2 12 3 10" xfId="20588" xr:uid="{00000000-0005-0000-0000-00006C500000}"/>
    <cellStyle name="Normal 2 2 2 5 2 12 3 2" xfId="20589" xr:uid="{00000000-0005-0000-0000-00006D500000}"/>
    <cellStyle name="Normal 2 2 2 5 2 12 3 3" xfId="20590" xr:uid="{00000000-0005-0000-0000-00006E500000}"/>
    <cellStyle name="Normal 2 2 2 5 2 12 3 4" xfId="20591" xr:uid="{00000000-0005-0000-0000-00006F500000}"/>
    <cellStyle name="Normal 2 2 2 5 2 12 3 5" xfId="20592" xr:uid="{00000000-0005-0000-0000-000070500000}"/>
    <cellStyle name="Normal 2 2 2 5 2 12 3 6" xfId="20593" xr:uid="{00000000-0005-0000-0000-000071500000}"/>
    <cellStyle name="Normal 2 2 2 5 2 12 3 7" xfId="20594" xr:uid="{00000000-0005-0000-0000-000072500000}"/>
    <cellStyle name="Normal 2 2 2 5 2 12 3 8" xfId="20595" xr:uid="{00000000-0005-0000-0000-000073500000}"/>
    <cellStyle name="Normal 2 2 2 5 2 12 3 9" xfId="20596" xr:uid="{00000000-0005-0000-0000-000074500000}"/>
    <cellStyle name="Normal 2 2 2 5 2 12 4" xfId="20597" xr:uid="{00000000-0005-0000-0000-000075500000}"/>
    <cellStyle name="Normal 2 2 2 5 2 12 4 10" xfId="20598" xr:uid="{00000000-0005-0000-0000-000076500000}"/>
    <cellStyle name="Normal 2 2 2 5 2 12 4 2" xfId="20599" xr:uid="{00000000-0005-0000-0000-000077500000}"/>
    <cellStyle name="Normal 2 2 2 5 2 12 4 3" xfId="20600" xr:uid="{00000000-0005-0000-0000-000078500000}"/>
    <cellStyle name="Normal 2 2 2 5 2 12 4 4" xfId="20601" xr:uid="{00000000-0005-0000-0000-000079500000}"/>
    <cellStyle name="Normal 2 2 2 5 2 12 4 5" xfId="20602" xr:uid="{00000000-0005-0000-0000-00007A500000}"/>
    <cellStyle name="Normal 2 2 2 5 2 12 4 6" xfId="20603" xr:uid="{00000000-0005-0000-0000-00007B500000}"/>
    <cellStyle name="Normal 2 2 2 5 2 12 4 7" xfId="20604" xr:uid="{00000000-0005-0000-0000-00007C500000}"/>
    <cellStyle name="Normal 2 2 2 5 2 12 4 8" xfId="20605" xr:uid="{00000000-0005-0000-0000-00007D500000}"/>
    <cellStyle name="Normal 2 2 2 5 2 12 4 9" xfId="20606" xr:uid="{00000000-0005-0000-0000-00007E500000}"/>
    <cellStyle name="Normal 2 2 2 5 2 12 5" xfId="20607" xr:uid="{00000000-0005-0000-0000-00007F500000}"/>
    <cellStyle name="Normal 2 2 2 5 2 12 5 10" xfId="20608" xr:uid="{00000000-0005-0000-0000-000080500000}"/>
    <cellStyle name="Normal 2 2 2 5 2 12 5 2" xfId="20609" xr:uid="{00000000-0005-0000-0000-000081500000}"/>
    <cellStyle name="Normal 2 2 2 5 2 12 5 3" xfId="20610" xr:uid="{00000000-0005-0000-0000-000082500000}"/>
    <cellStyle name="Normal 2 2 2 5 2 12 5 4" xfId="20611" xr:uid="{00000000-0005-0000-0000-000083500000}"/>
    <cellStyle name="Normal 2 2 2 5 2 12 5 5" xfId="20612" xr:uid="{00000000-0005-0000-0000-000084500000}"/>
    <cellStyle name="Normal 2 2 2 5 2 12 5 6" xfId="20613" xr:uid="{00000000-0005-0000-0000-000085500000}"/>
    <cellStyle name="Normal 2 2 2 5 2 12 5 7" xfId="20614" xr:uid="{00000000-0005-0000-0000-000086500000}"/>
    <cellStyle name="Normal 2 2 2 5 2 12 5 8" xfId="20615" xr:uid="{00000000-0005-0000-0000-000087500000}"/>
    <cellStyle name="Normal 2 2 2 5 2 12 5 9" xfId="20616" xr:uid="{00000000-0005-0000-0000-000088500000}"/>
    <cellStyle name="Normal 2 2 2 5 2 12 6" xfId="20617" xr:uid="{00000000-0005-0000-0000-000089500000}"/>
    <cellStyle name="Normal 2 2 2 5 2 12 7" xfId="20618" xr:uid="{00000000-0005-0000-0000-00008A500000}"/>
    <cellStyle name="Normal 2 2 2 5 2 12 8" xfId="20619" xr:uid="{00000000-0005-0000-0000-00008B500000}"/>
    <cellStyle name="Normal 2 2 2 5 2 12 9" xfId="20620" xr:uid="{00000000-0005-0000-0000-00008C500000}"/>
    <cellStyle name="Normal 2 2 2 5 2 13" xfId="20621" xr:uid="{00000000-0005-0000-0000-00008D500000}"/>
    <cellStyle name="Normal 2 2 2 5 2 13 10" xfId="20622" xr:uid="{00000000-0005-0000-0000-00008E500000}"/>
    <cellStyle name="Normal 2 2 2 5 2 13 11" xfId="20623" xr:uid="{00000000-0005-0000-0000-00008F500000}"/>
    <cellStyle name="Normal 2 2 2 5 2 13 12" xfId="20624" xr:uid="{00000000-0005-0000-0000-000090500000}"/>
    <cellStyle name="Normal 2 2 2 5 2 13 13" xfId="20625" xr:uid="{00000000-0005-0000-0000-000091500000}"/>
    <cellStyle name="Normal 2 2 2 5 2 13 14" xfId="20626" xr:uid="{00000000-0005-0000-0000-000092500000}"/>
    <cellStyle name="Normal 2 2 2 5 2 13 2" xfId="20627" xr:uid="{00000000-0005-0000-0000-000093500000}"/>
    <cellStyle name="Normal 2 2 2 5 2 13 2 10" xfId="20628" xr:uid="{00000000-0005-0000-0000-000094500000}"/>
    <cellStyle name="Normal 2 2 2 5 2 13 2 2" xfId="20629" xr:uid="{00000000-0005-0000-0000-000095500000}"/>
    <cellStyle name="Normal 2 2 2 5 2 13 2 3" xfId="20630" xr:uid="{00000000-0005-0000-0000-000096500000}"/>
    <cellStyle name="Normal 2 2 2 5 2 13 2 4" xfId="20631" xr:uid="{00000000-0005-0000-0000-000097500000}"/>
    <cellStyle name="Normal 2 2 2 5 2 13 2 5" xfId="20632" xr:uid="{00000000-0005-0000-0000-000098500000}"/>
    <cellStyle name="Normal 2 2 2 5 2 13 2 6" xfId="20633" xr:uid="{00000000-0005-0000-0000-000099500000}"/>
    <cellStyle name="Normal 2 2 2 5 2 13 2 7" xfId="20634" xr:uid="{00000000-0005-0000-0000-00009A500000}"/>
    <cellStyle name="Normal 2 2 2 5 2 13 2 8" xfId="20635" xr:uid="{00000000-0005-0000-0000-00009B500000}"/>
    <cellStyle name="Normal 2 2 2 5 2 13 2 9" xfId="20636" xr:uid="{00000000-0005-0000-0000-00009C500000}"/>
    <cellStyle name="Normal 2 2 2 5 2 13 3" xfId="20637" xr:uid="{00000000-0005-0000-0000-00009D500000}"/>
    <cellStyle name="Normal 2 2 2 5 2 13 3 10" xfId="20638" xr:uid="{00000000-0005-0000-0000-00009E500000}"/>
    <cellStyle name="Normal 2 2 2 5 2 13 3 2" xfId="20639" xr:uid="{00000000-0005-0000-0000-00009F500000}"/>
    <cellStyle name="Normal 2 2 2 5 2 13 3 3" xfId="20640" xr:uid="{00000000-0005-0000-0000-0000A0500000}"/>
    <cellStyle name="Normal 2 2 2 5 2 13 3 4" xfId="20641" xr:uid="{00000000-0005-0000-0000-0000A1500000}"/>
    <cellStyle name="Normal 2 2 2 5 2 13 3 5" xfId="20642" xr:uid="{00000000-0005-0000-0000-0000A2500000}"/>
    <cellStyle name="Normal 2 2 2 5 2 13 3 6" xfId="20643" xr:uid="{00000000-0005-0000-0000-0000A3500000}"/>
    <cellStyle name="Normal 2 2 2 5 2 13 3 7" xfId="20644" xr:uid="{00000000-0005-0000-0000-0000A4500000}"/>
    <cellStyle name="Normal 2 2 2 5 2 13 3 8" xfId="20645" xr:uid="{00000000-0005-0000-0000-0000A5500000}"/>
    <cellStyle name="Normal 2 2 2 5 2 13 3 9" xfId="20646" xr:uid="{00000000-0005-0000-0000-0000A6500000}"/>
    <cellStyle name="Normal 2 2 2 5 2 13 4" xfId="20647" xr:uid="{00000000-0005-0000-0000-0000A7500000}"/>
    <cellStyle name="Normal 2 2 2 5 2 13 4 10" xfId="20648" xr:uid="{00000000-0005-0000-0000-0000A8500000}"/>
    <cellStyle name="Normal 2 2 2 5 2 13 4 2" xfId="20649" xr:uid="{00000000-0005-0000-0000-0000A9500000}"/>
    <cellStyle name="Normal 2 2 2 5 2 13 4 3" xfId="20650" xr:uid="{00000000-0005-0000-0000-0000AA500000}"/>
    <cellStyle name="Normal 2 2 2 5 2 13 4 4" xfId="20651" xr:uid="{00000000-0005-0000-0000-0000AB500000}"/>
    <cellStyle name="Normal 2 2 2 5 2 13 4 5" xfId="20652" xr:uid="{00000000-0005-0000-0000-0000AC500000}"/>
    <cellStyle name="Normal 2 2 2 5 2 13 4 6" xfId="20653" xr:uid="{00000000-0005-0000-0000-0000AD500000}"/>
    <cellStyle name="Normal 2 2 2 5 2 13 4 7" xfId="20654" xr:uid="{00000000-0005-0000-0000-0000AE500000}"/>
    <cellStyle name="Normal 2 2 2 5 2 13 4 8" xfId="20655" xr:uid="{00000000-0005-0000-0000-0000AF500000}"/>
    <cellStyle name="Normal 2 2 2 5 2 13 4 9" xfId="20656" xr:uid="{00000000-0005-0000-0000-0000B0500000}"/>
    <cellStyle name="Normal 2 2 2 5 2 13 5" xfId="20657" xr:uid="{00000000-0005-0000-0000-0000B1500000}"/>
    <cellStyle name="Normal 2 2 2 5 2 13 5 10" xfId="20658" xr:uid="{00000000-0005-0000-0000-0000B2500000}"/>
    <cellStyle name="Normal 2 2 2 5 2 13 5 2" xfId="20659" xr:uid="{00000000-0005-0000-0000-0000B3500000}"/>
    <cellStyle name="Normal 2 2 2 5 2 13 5 3" xfId="20660" xr:uid="{00000000-0005-0000-0000-0000B4500000}"/>
    <cellStyle name="Normal 2 2 2 5 2 13 5 4" xfId="20661" xr:uid="{00000000-0005-0000-0000-0000B5500000}"/>
    <cellStyle name="Normal 2 2 2 5 2 13 5 5" xfId="20662" xr:uid="{00000000-0005-0000-0000-0000B6500000}"/>
    <cellStyle name="Normal 2 2 2 5 2 13 5 6" xfId="20663" xr:uid="{00000000-0005-0000-0000-0000B7500000}"/>
    <cellStyle name="Normal 2 2 2 5 2 13 5 7" xfId="20664" xr:uid="{00000000-0005-0000-0000-0000B8500000}"/>
    <cellStyle name="Normal 2 2 2 5 2 13 5 8" xfId="20665" xr:uid="{00000000-0005-0000-0000-0000B9500000}"/>
    <cellStyle name="Normal 2 2 2 5 2 13 5 9" xfId="20666" xr:uid="{00000000-0005-0000-0000-0000BA500000}"/>
    <cellStyle name="Normal 2 2 2 5 2 13 6" xfId="20667" xr:uid="{00000000-0005-0000-0000-0000BB500000}"/>
    <cellStyle name="Normal 2 2 2 5 2 13 7" xfId="20668" xr:uid="{00000000-0005-0000-0000-0000BC500000}"/>
    <cellStyle name="Normal 2 2 2 5 2 13 8" xfId="20669" xr:uid="{00000000-0005-0000-0000-0000BD500000}"/>
    <cellStyle name="Normal 2 2 2 5 2 13 9" xfId="20670" xr:uid="{00000000-0005-0000-0000-0000BE500000}"/>
    <cellStyle name="Normal 2 2 2 5 2 14" xfId="20671" xr:uid="{00000000-0005-0000-0000-0000BF500000}"/>
    <cellStyle name="Normal 2 2 2 5 2 14 10" xfId="20672" xr:uid="{00000000-0005-0000-0000-0000C0500000}"/>
    <cellStyle name="Normal 2 2 2 5 2 14 11" xfId="20673" xr:uid="{00000000-0005-0000-0000-0000C1500000}"/>
    <cellStyle name="Normal 2 2 2 5 2 14 12" xfId="20674" xr:uid="{00000000-0005-0000-0000-0000C2500000}"/>
    <cellStyle name="Normal 2 2 2 5 2 14 13" xfId="20675" xr:uid="{00000000-0005-0000-0000-0000C3500000}"/>
    <cellStyle name="Normal 2 2 2 5 2 14 14" xfId="20676" xr:uid="{00000000-0005-0000-0000-0000C4500000}"/>
    <cellStyle name="Normal 2 2 2 5 2 14 2" xfId="20677" xr:uid="{00000000-0005-0000-0000-0000C5500000}"/>
    <cellStyle name="Normal 2 2 2 5 2 14 2 10" xfId="20678" xr:uid="{00000000-0005-0000-0000-0000C6500000}"/>
    <cellStyle name="Normal 2 2 2 5 2 14 2 2" xfId="20679" xr:uid="{00000000-0005-0000-0000-0000C7500000}"/>
    <cellStyle name="Normal 2 2 2 5 2 14 2 3" xfId="20680" xr:uid="{00000000-0005-0000-0000-0000C8500000}"/>
    <cellStyle name="Normal 2 2 2 5 2 14 2 4" xfId="20681" xr:uid="{00000000-0005-0000-0000-0000C9500000}"/>
    <cellStyle name="Normal 2 2 2 5 2 14 2 5" xfId="20682" xr:uid="{00000000-0005-0000-0000-0000CA500000}"/>
    <cellStyle name="Normal 2 2 2 5 2 14 2 6" xfId="20683" xr:uid="{00000000-0005-0000-0000-0000CB500000}"/>
    <cellStyle name="Normal 2 2 2 5 2 14 2 7" xfId="20684" xr:uid="{00000000-0005-0000-0000-0000CC500000}"/>
    <cellStyle name="Normal 2 2 2 5 2 14 2 8" xfId="20685" xr:uid="{00000000-0005-0000-0000-0000CD500000}"/>
    <cellStyle name="Normal 2 2 2 5 2 14 2 9" xfId="20686" xr:uid="{00000000-0005-0000-0000-0000CE500000}"/>
    <cellStyle name="Normal 2 2 2 5 2 14 3" xfId="20687" xr:uid="{00000000-0005-0000-0000-0000CF500000}"/>
    <cellStyle name="Normal 2 2 2 5 2 14 3 10" xfId="20688" xr:uid="{00000000-0005-0000-0000-0000D0500000}"/>
    <cellStyle name="Normal 2 2 2 5 2 14 3 2" xfId="20689" xr:uid="{00000000-0005-0000-0000-0000D1500000}"/>
    <cellStyle name="Normal 2 2 2 5 2 14 3 3" xfId="20690" xr:uid="{00000000-0005-0000-0000-0000D2500000}"/>
    <cellStyle name="Normal 2 2 2 5 2 14 3 4" xfId="20691" xr:uid="{00000000-0005-0000-0000-0000D3500000}"/>
    <cellStyle name="Normal 2 2 2 5 2 14 3 5" xfId="20692" xr:uid="{00000000-0005-0000-0000-0000D4500000}"/>
    <cellStyle name="Normal 2 2 2 5 2 14 3 6" xfId="20693" xr:uid="{00000000-0005-0000-0000-0000D5500000}"/>
    <cellStyle name="Normal 2 2 2 5 2 14 3 7" xfId="20694" xr:uid="{00000000-0005-0000-0000-0000D6500000}"/>
    <cellStyle name="Normal 2 2 2 5 2 14 3 8" xfId="20695" xr:uid="{00000000-0005-0000-0000-0000D7500000}"/>
    <cellStyle name="Normal 2 2 2 5 2 14 3 9" xfId="20696" xr:uid="{00000000-0005-0000-0000-0000D8500000}"/>
    <cellStyle name="Normal 2 2 2 5 2 14 4" xfId="20697" xr:uid="{00000000-0005-0000-0000-0000D9500000}"/>
    <cellStyle name="Normal 2 2 2 5 2 14 4 10" xfId="20698" xr:uid="{00000000-0005-0000-0000-0000DA500000}"/>
    <cellStyle name="Normal 2 2 2 5 2 14 4 2" xfId="20699" xr:uid="{00000000-0005-0000-0000-0000DB500000}"/>
    <cellStyle name="Normal 2 2 2 5 2 14 4 3" xfId="20700" xr:uid="{00000000-0005-0000-0000-0000DC500000}"/>
    <cellStyle name="Normal 2 2 2 5 2 14 4 4" xfId="20701" xr:uid="{00000000-0005-0000-0000-0000DD500000}"/>
    <cellStyle name="Normal 2 2 2 5 2 14 4 5" xfId="20702" xr:uid="{00000000-0005-0000-0000-0000DE500000}"/>
    <cellStyle name="Normal 2 2 2 5 2 14 4 6" xfId="20703" xr:uid="{00000000-0005-0000-0000-0000DF500000}"/>
    <cellStyle name="Normal 2 2 2 5 2 14 4 7" xfId="20704" xr:uid="{00000000-0005-0000-0000-0000E0500000}"/>
    <cellStyle name="Normal 2 2 2 5 2 14 4 8" xfId="20705" xr:uid="{00000000-0005-0000-0000-0000E1500000}"/>
    <cellStyle name="Normal 2 2 2 5 2 14 4 9" xfId="20706" xr:uid="{00000000-0005-0000-0000-0000E2500000}"/>
    <cellStyle name="Normal 2 2 2 5 2 14 5" xfId="20707" xr:uid="{00000000-0005-0000-0000-0000E3500000}"/>
    <cellStyle name="Normal 2 2 2 5 2 14 5 10" xfId="20708" xr:uid="{00000000-0005-0000-0000-0000E4500000}"/>
    <cellStyle name="Normal 2 2 2 5 2 14 5 2" xfId="20709" xr:uid="{00000000-0005-0000-0000-0000E5500000}"/>
    <cellStyle name="Normal 2 2 2 5 2 14 5 3" xfId="20710" xr:uid="{00000000-0005-0000-0000-0000E6500000}"/>
    <cellStyle name="Normal 2 2 2 5 2 14 5 4" xfId="20711" xr:uid="{00000000-0005-0000-0000-0000E7500000}"/>
    <cellStyle name="Normal 2 2 2 5 2 14 5 5" xfId="20712" xr:uid="{00000000-0005-0000-0000-0000E8500000}"/>
    <cellStyle name="Normal 2 2 2 5 2 14 5 6" xfId="20713" xr:uid="{00000000-0005-0000-0000-0000E9500000}"/>
    <cellStyle name="Normal 2 2 2 5 2 14 5 7" xfId="20714" xr:uid="{00000000-0005-0000-0000-0000EA500000}"/>
    <cellStyle name="Normal 2 2 2 5 2 14 5 8" xfId="20715" xr:uid="{00000000-0005-0000-0000-0000EB500000}"/>
    <cellStyle name="Normal 2 2 2 5 2 14 5 9" xfId="20716" xr:uid="{00000000-0005-0000-0000-0000EC500000}"/>
    <cellStyle name="Normal 2 2 2 5 2 14 6" xfId="20717" xr:uid="{00000000-0005-0000-0000-0000ED500000}"/>
    <cellStyle name="Normal 2 2 2 5 2 14 7" xfId="20718" xr:uid="{00000000-0005-0000-0000-0000EE500000}"/>
    <cellStyle name="Normal 2 2 2 5 2 14 8" xfId="20719" xr:uid="{00000000-0005-0000-0000-0000EF500000}"/>
    <cellStyle name="Normal 2 2 2 5 2 14 9" xfId="20720" xr:uid="{00000000-0005-0000-0000-0000F0500000}"/>
    <cellStyle name="Normal 2 2 2 5 2 15" xfId="20721" xr:uid="{00000000-0005-0000-0000-0000F1500000}"/>
    <cellStyle name="Normal 2 2 2 5 2 15 10" xfId="20722" xr:uid="{00000000-0005-0000-0000-0000F2500000}"/>
    <cellStyle name="Normal 2 2 2 5 2 15 11" xfId="20723" xr:uid="{00000000-0005-0000-0000-0000F3500000}"/>
    <cellStyle name="Normal 2 2 2 5 2 15 12" xfId="20724" xr:uid="{00000000-0005-0000-0000-0000F4500000}"/>
    <cellStyle name="Normal 2 2 2 5 2 15 13" xfId="20725" xr:uid="{00000000-0005-0000-0000-0000F5500000}"/>
    <cellStyle name="Normal 2 2 2 5 2 15 14" xfId="20726" xr:uid="{00000000-0005-0000-0000-0000F6500000}"/>
    <cellStyle name="Normal 2 2 2 5 2 15 2" xfId="20727" xr:uid="{00000000-0005-0000-0000-0000F7500000}"/>
    <cellStyle name="Normal 2 2 2 5 2 15 2 10" xfId="20728" xr:uid="{00000000-0005-0000-0000-0000F8500000}"/>
    <cellStyle name="Normal 2 2 2 5 2 15 2 2" xfId="20729" xr:uid="{00000000-0005-0000-0000-0000F9500000}"/>
    <cellStyle name="Normal 2 2 2 5 2 15 2 3" xfId="20730" xr:uid="{00000000-0005-0000-0000-0000FA500000}"/>
    <cellStyle name="Normal 2 2 2 5 2 15 2 4" xfId="20731" xr:uid="{00000000-0005-0000-0000-0000FB500000}"/>
    <cellStyle name="Normal 2 2 2 5 2 15 2 5" xfId="20732" xr:uid="{00000000-0005-0000-0000-0000FC500000}"/>
    <cellStyle name="Normal 2 2 2 5 2 15 2 6" xfId="20733" xr:uid="{00000000-0005-0000-0000-0000FD500000}"/>
    <cellStyle name="Normal 2 2 2 5 2 15 2 7" xfId="20734" xr:uid="{00000000-0005-0000-0000-0000FE500000}"/>
    <cellStyle name="Normal 2 2 2 5 2 15 2 8" xfId="20735" xr:uid="{00000000-0005-0000-0000-0000FF500000}"/>
    <cellStyle name="Normal 2 2 2 5 2 15 2 9" xfId="20736" xr:uid="{00000000-0005-0000-0000-000000510000}"/>
    <cellStyle name="Normal 2 2 2 5 2 15 3" xfId="20737" xr:uid="{00000000-0005-0000-0000-000001510000}"/>
    <cellStyle name="Normal 2 2 2 5 2 15 3 10" xfId="20738" xr:uid="{00000000-0005-0000-0000-000002510000}"/>
    <cellStyle name="Normal 2 2 2 5 2 15 3 2" xfId="20739" xr:uid="{00000000-0005-0000-0000-000003510000}"/>
    <cellStyle name="Normal 2 2 2 5 2 15 3 3" xfId="20740" xr:uid="{00000000-0005-0000-0000-000004510000}"/>
    <cellStyle name="Normal 2 2 2 5 2 15 3 4" xfId="20741" xr:uid="{00000000-0005-0000-0000-000005510000}"/>
    <cellStyle name="Normal 2 2 2 5 2 15 3 5" xfId="20742" xr:uid="{00000000-0005-0000-0000-000006510000}"/>
    <cellStyle name="Normal 2 2 2 5 2 15 3 6" xfId="20743" xr:uid="{00000000-0005-0000-0000-000007510000}"/>
    <cellStyle name="Normal 2 2 2 5 2 15 3 7" xfId="20744" xr:uid="{00000000-0005-0000-0000-000008510000}"/>
    <cellStyle name="Normal 2 2 2 5 2 15 3 8" xfId="20745" xr:uid="{00000000-0005-0000-0000-000009510000}"/>
    <cellStyle name="Normal 2 2 2 5 2 15 3 9" xfId="20746" xr:uid="{00000000-0005-0000-0000-00000A510000}"/>
    <cellStyle name="Normal 2 2 2 5 2 15 4" xfId="20747" xr:uid="{00000000-0005-0000-0000-00000B510000}"/>
    <cellStyle name="Normal 2 2 2 5 2 15 4 10" xfId="20748" xr:uid="{00000000-0005-0000-0000-00000C510000}"/>
    <cellStyle name="Normal 2 2 2 5 2 15 4 2" xfId="20749" xr:uid="{00000000-0005-0000-0000-00000D510000}"/>
    <cellStyle name="Normal 2 2 2 5 2 15 4 3" xfId="20750" xr:uid="{00000000-0005-0000-0000-00000E510000}"/>
    <cellStyle name="Normal 2 2 2 5 2 15 4 4" xfId="20751" xr:uid="{00000000-0005-0000-0000-00000F510000}"/>
    <cellStyle name="Normal 2 2 2 5 2 15 4 5" xfId="20752" xr:uid="{00000000-0005-0000-0000-000010510000}"/>
    <cellStyle name="Normal 2 2 2 5 2 15 4 6" xfId="20753" xr:uid="{00000000-0005-0000-0000-000011510000}"/>
    <cellStyle name="Normal 2 2 2 5 2 15 4 7" xfId="20754" xr:uid="{00000000-0005-0000-0000-000012510000}"/>
    <cellStyle name="Normal 2 2 2 5 2 15 4 8" xfId="20755" xr:uid="{00000000-0005-0000-0000-000013510000}"/>
    <cellStyle name="Normal 2 2 2 5 2 15 4 9" xfId="20756" xr:uid="{00000000-0005-0000-0000-000014510000}"/>
    <cellStyle name="Normal 2 2 2 5 2 15 5" xfId="20757" xr:uid="{00000000-0005-0000-0000-000015510000}"/>
    <cellStyle name="Normal 2 2 2 5 2 15 5 10" xfId="20758" xr:uid="{00000000-0005-0000-0000-000016510000}"/>
    <cellStyle name="Normal 2 2 2 5 2 15 5 2" xfId="20759" xr:uid="{00000000-0005-0000-0000-000017510000}"/>
    <cellStyle name="Normal 2 2 2 5 2 15 5 3" xfId="20760" xr:uid="{00000000-0005-0000-0000-000018510000}"/>
    <cellStyle name="Normal 2 2 2 5 2 15 5 4" xfId="20761" xr:uid="{00000000-0005-0000-0000-000019510000}"/>
    <cellStyle name="Normal 2 2 2 5 2 15 5 5" xfId="20762" xr:uid="{00000000-0005-0000-0000-00001A510000}"/>
    <cellStyle name="Normal 2 2 2 5 2 15 5 6" xfId="20763" xr:uid="{00000000-0005-0000-0000-00001B510000}"/>
    <cellStyle name="Normal 2 2 2 5 2 15 5 7" xfId="20764" xr:uid="{00000000-0005-0000-0000-00001C510000}"/>
    <cellStyle name="Normal 2 2 2 5 2 15 5 8" xfId="20765" xr:uid="{00000000-0005-0000-0000-00001D510000}"/>
    <cellStyle name="Normal 2 2 2 5 2 15 5 9" xfId="20766" xr:uid="{00000000-0005-0000-0000-00001E510000}"/>
    <cellStyle name="Normal 2 2 2 5 2 15 6" xfId="20767" xr:uid="{00000000-0005-0000-0000-00001F510000}"/>
    <cellStyle name="Normal 2 2 2 5 2 15 7" xfId="20768" xr:uid="{00000000-0005-0000-0000-000020510000}"/>
    <cellStyle name="Normal 2 2 2 5 2 15 8" xfId="20769" xr:uid="{00000000-0005-0000-0000-000021510000}"/>
    <cellStyle name="Normal 2 2 2 5 2 15 9" xfId="20770" xr:uid="{00000000-0005-0000-0000-000022510000}"/>
    <cellStyle name="Normal 2 2 2 5 2 16" xfId="20771" xr:uid="{00000000-0005-0000-0000-000023510000}"/>
    <cellStyle name="Normal 2 2 2 5 2 16 10" xfId="20772" xr:uid="{00000000-0005-0000-0000-000024510000}"/>
    <cellStyle name="Normal 2 2 2 5 2 16 11" xfId="20773" xr:uid="{00000000-0005-0000-0000-000025510000}"/>
    <cellStyle name="Normal 2 2 2 5 2 16 12" xfId="20774" xr:uid="{00000000-0005-0000-0000-000026510000}"/>
    <cellStyle name="Normal 2 2 2 5 2 16 13" xfId="20775" xr:uid="{00000000-0005-0000-0000-000027510000}"/>
    <cellStyle name="Normal 2 2 2 5 2 16 14" xfId="20776" xr:uid="{00000000-0005-0000-0000-000028510000}"/>
    <cellStyle name="Normal 2 2 2 5 2 16 2" xfId="20777" xr:uid="{00000000-0005-0000-0000-000029510000}"/>
    <cellStyle name="Normal 2 2 2 5 2 16 2 10" xfId="20778" xr:uid="{00000000-0005-0000-0000-00002A510000}"/>
    <cellStyle name="Normal 2 2 2 5 2 16 2 2" xfId="20779" xr:uid="{00000000-0005-0000-0000-00002B510000}"/>
    <cellStyle name="Normal 2 2 2 5 2 16 2 3" xfId="20780" xr:uid="{00000000-0005-0000-0000-00002C510000}"/>
    <cellStyle name="Normal 2 2 2 5 2 16 2 4" xfId="20781" xr:uid="{00000000-0005-0000-0000-00002D510000}"/>
    <cellStyle name="Normal 2 2 2 5 2 16 2 5" xfId="20782" xr:uid="{00000000-0005-0000-0000-00002E510000}"/>
    <cellStyle name="Normal 2 2 2 5 2 16 2 6" xfId="20783" xr:uid="{00000000-0005-0000-0000-00002F510000}"/>
    <cellStyle name="Normal 2 2 2 5 2 16 2 7" xfId="20784" xr:uid="{00000000-0005-0000-0000-000030510000}"/>
    <cellStyle name="Normal 2 2 2 5 2 16 2 8" xfId="20785" xr:uid="{00000000-0005-0000-0000-000031510000}"/>
    <cellStyle name="Normal 2 2 2 5 2 16 2 9" xfId="20786" xr:uid="{00000000-0005-0000-0000-000032510000}"/>
    <cellStyle name="Normal 2 2 2 5 2 16 3" xfId="20787" xr:uid="{00000000-0005-0000-0000-000033510000}"/>
    <cellStyle name="Normal 2 2 2 5 2 16 3 10" xfId="20788" xr:uid="{00000000-0005-0000-0000-000034510000}"/>
    <cellStyle name="Normal 2 2 2 5 2 16 3 2" xfId="20789" xr:uid="{00000000-0005-0000-0000-000035510000}"/>
    <cellStyle name="Normal 2 2 2 5 2 16 3 3" xfId="20790" xr:uid="{00000000-0005-0000-0000-000036510000}"/>
    <cellStyle name="Normal 2 2 2 5 2 16 3 4" xfId="20791" xr:uid="{00000000-0005-0000-0000-000037510000}"/>
    <cellStyle name="Normal 2 2 2 5 2 16 3 5" xfId="20792" xr:uid="{00000000-0005-0000-0000-000038510000}"/>
    <cellStyle name="Normal 2 2 2 5 2 16 3 6" xfId="20793" xr:uid="{00000000-0005-0000-0000-000039510000}"/>
    <cellStyle name="Normal 2 2 2 5 2 16 3 7" xfId="20794" xr:uid="{00000000-0005-0000-0000-00003A510000}"/>
    <cellStyle name="Normal 2 2 2 5 2 16 3 8" xfId="20795" xr:uid="{00000000-0005-0000-0000-00003B510000}"/>
    <cellStyle name="Normal 2 2 2 5 2 16 3 9" xfId="20796" xr:uid="{00000000-0005-0000-0000-00003C510000}"/>
    <cellStyle name="Normal 2 2 2 5 2 16 4" xfId="20797" xr:uid="{00000000-0005-0000-0000-00003D510000}"/>
    <cellStyle name="Normal 2 2 2 5 2 16 4 10" xfId="20798" xr:uid="{00000000-0005-0000-0000-00003E510000}"/>
    <cellStyle name="Normal 2 2 2 5 2 16 4 2" xfId="20799" xr:uid="{00000000-0005-0000-0000-00003F510000}"/>
    <cellStyle name="Normal 2 2 2 5 2 16 4 3" xfId="20800" xr:uid="{00000000-0005-0000-0000-000040510000}"/>
    <cellStyle name="Normal 2 2 2 5 2 16 4 4" xfId="20801" xr:uid="{00000000-0005-0000-0000-000041510000}"/>
    <cellStyle name="Normal 2 2 2 5 2 16 4 5" xfId="20802" xr:uid="{00000000-0005-0000-0000-000042510000}"/>
    <cellStyle name="Normal 2 2 2 5 2 16 4 6" xfId="20803" xr:uid="{00000000-0005-0000-0000-000043510000}"/>
    <cellStyle name="Normal 2 2 2 5 2 16 4 7" xfId="20804" xr:uid="{00000000-0005-0000-0000-000044510000}"/>
    <cellStyle name="Normal 2 2 2 5 2 16 4 8" xfId="20805" xr:uid="{00000000-0005-0000-0000-000045510000}"/>
    <cellStyle name="Normal 2 2 2 5 2 16 4 9" xfId="20806" xr:uid="{00000000-0005-0000-0000-000046510000}"/>
    <cellStyle name="Normal 2 2 2 5 2 16 5" xfId="20807" xr:uid="{00000000-0005-0000-0000-000047510000}"/>
    <cellStyle name="Normal 2 2 2 5 2 16 5 10" xfId="20808" xr:uid="{00000000-0005-0000-0000-000048510000}"/>
    <cellStyle name="Normal 2 2 2 5 2 16 5 2" xfId="20809" xr:uid="{00000000-0005-0000-0000-000049510000}"/>
    <cellStyle name="Normal 2 2 2 5 2 16 5 3" xfId="20810" xr:uid="{00000000-0005-0000-0000-00004A510000}"/>
    <cellStyle name="Normal 2 2 2 5 2 16 5 4" xfId="20811" xr:uid="{00000000-0005-0000-0000-00004B510000}"/>
    <cellStyle name="Normal 2 2 2 5 2 16 5 5" xfId="20812" xr:uid="{00000000-0005-0000-0000-00004C510000}"/>
    <cellStyle name="Normal 2 2 2 5 2 16 5 6" xfId="20813" xr:uid="{00000000-0005-0000-0000-00004D510000}"/>
    <cellStyle name="Normal 2 2 2 5 2 16 5 7" xfId="20814" xr:uid="{00000000-0005-0000-0000-00004E510000}"/>
    <cellStyle name="Normal 2 2 2 5 2 16 5 8" xfId="20815" xr:uid="{00000000-0005-0000-0000-00004F510000}"/>
    <cellStyle name="Normal 2 2 2 5 2 16 5 9" xfId="20816" xr:uid="{00000000-0005-0000-0000-000050510000}"/>
    <cellStyle name="Normal 2 2 2 5 2 16 6" xfId="20817" xr:uid="{00000000-0005-0000-0000-000051510000}"/>
    <cellStyle name="Normal 2 2 2 5 2 16 7" xfId="20818" xr:uid="{00000000-0005-0000-0000-000052510000}"/>
    <cellStyle name="Normal 2 2 2 5 2 16 8" xfId="20819" xr:uid="{00000000-0005-0000-0000-000053510000}"/>
    <cellStyle name="Normal 2 2 2 5 2 16 9" xfId="20820" xr:uid="{00000000-0005-0000-0000-000054510000}"/>
    <cellStyle name="Normal 2 2 2 5 2 17" xfId="20821" xr:uid="{00000000-0005-0000-0000-000055510000}"/>
    <cellStyle name="Normal 2 2 2 5 2 17 10" xfId="20822" xr:uid="{00000000-0005-0000-0000-000056510000}"/>
    <cellStyle name="Normal 2 2 2 5 2 17 11" xfId="20823" xr:uid="{00000000-0005-0000-0000-000057510000}"/>
    <cellStyle name="Normal 2 2 2 5 2 17 12" xfId="20824" xr:uid="{00000000-0005-0000-0000-000058510000}"/>
    <cellStyle name="Normal 2 2 2 5 2 17 13" xfId="20825" xr:uid="{00000000-0005-0000-0000-000059510000}"/>
    <cellStyle name="Normal 2 2 2 5 2 17 14" xfId="20826" xr:uid="{00000000-0005-0000-0000-00005A510000}"/>
    <cellStyle name="Normal 2 2 2 5 2 17 2" xfId="20827" xr:uid="{00000000-0005-0000-0000-00005B510000}"/>
    <cellStyle name="Normal 2 2 2 5 2 17 2 10" xfId="20828" xr:uid="{00000000-0005-0000-0000-00005C510000}"/>
    <cellStyle name="Normal 2 2 2 5 2 17 2 2" xfId="20829" xr:uid="{00000000-0005-0000-0000-00005D510000}"/>
    <cellStyle name="Normal 2 2 2 5 2 17 2 3" xfId="20830" xr:uid="{00000000-0005-0000-0000-00005E510000}"/>
    <cellStyle name="Normal 2 2 2 5 2 17 2 4" xfId="20831" xr:uid="{00000000-0005-0000-0000-00005F510000}"/>
    <cellStyle name="Normal 2 2 2 5 2 17 2 5" xfId="20832" xr:uid="{00000000-0005-0000-0000-000060510000}"/>
    <cellStyle name="Normal 2 2 2 5 2 17 2 6" xfId="20833" xr:uid="{00000000-0005-0000-0000-000061510000}"/>
    <cellStyle name="Normal 2 2 2 5 2 17 2 7" xfId="20834" xr:uid="{00000000-0005-0000-0000-000062510000}"/>
    <cellStyle name="Normal 2 2 2 5 2 17 2 8" xfId="20835" xr:uid="{00000000-0005-0000-0000-000063510000}"/>
    <cellStyle name="Normal 2 2 2 5 2 17 2 9" xfId="20836" xr:uid="{00000000-0005-0000-0000-000064510000}"/>
    <cellStyle name="Normal 2 2 2 5 2 17 3" xfId="20837" xr:uid="{00000000-0005-0000-0000-000065510000}"/>
    <cellStyle name="Normal 2 2 2 5 2 17 3 10" xfId="20838" xr:uid="{00000000-0005-0000-0000-000066510000}"/>
    <cellStyle name="Normal 2 2 2 5 2 17 3 2" xfId="20839" xr:uid="{00000000-0005-0000-0000-000067510000}"/>
    <cellStyle name="Normal 2 2 2 5 2 17 3 3" xfId="20840" xr:uid="{00000000-0005-0000-0000-000068510000}"/>
    <cellStyle name="Normal 2 2 2 5 2 17 3 4" xfId="20841" xr:uid="{00000000-0005-0000-0000-000069510000}"/>
    <cellStyle name="Normal 2 2 2 5 2 17 3 5" xfId="20842" xr:uid="{00000000-0005-0000-0000-00006A510000}"/>
    <cellStyle name="Normal 2 2 2 5 2 17 3 6" xfId="20843" xr:uid="{00000000-0005-0000-0000-00006B510000}"/>
    <cellStyle name="Normal 2 2 2 5 2 17 3 7" xfId="20844" xr:uid="{00000000-0005-0000-0000-00006C510000}"/>
    <cellStyle name="Normal 2 2 2 5 2 17 3 8" xfId="20845" xr:uid="{00000000-0005-0000-0000-00006D510000}"/>
    <cellStyle name="Normal 2 2 2 5 2 17 3 9" xfId="20846" xr:uid="{00000000-0005-0000-0000-00006E510000}"/>
    <cellStyle name="Normal 2 2 2 5 2 17 4" xfId="20847" xr:uid="{00000000-0005-0000-0000-00006F510000}"/>
    <cellStyle name="Normal 2 2 2 5 2 17 4 10" xfId="20848" xr:uid="{00000000-0005-0000-0000-000070510000}"/>
    <cellStyle name="Normal 2 2 2 5 2 17 4 2" xfId="20849" xr:uid="{00000000-0005-0000-0000-000071510000}"/>
    <cellStyle name="Normal 2 2 2 5 2 17 4 3" xfId="20850" xr:uid="{00000000-0005-0000-0000-000072510000}"/>
    <cellStyle name="Normal 2 2 2 5 2 17 4 4" xfId="20851" xr:uid="{00000000-0005-0000-0000-000073510000}"/>
    <cellStyle name="Normal 2 2 2 5 2 17 4 5" xfId="20852" xr:uid="{00000000-0005-0000-0000-000074510000}"/>
    <cellStyle name="Normal 2 2 2 5 2 17 4 6" xfId="20853" xr:uid="{00000000-0005-0000-0000-000075510000}"/>
    <cellStyle name="Normal 2 2 2 5 2 17 4 7" xfId="20854" xr:uid="{00000000-0005-0000-0000-000076510000}"/>
    <cellStyle name="Normal 2 2 2 5 2 17 4 8" xfId="20855" xr:uid="{00000000-0005-0000-0000-000077510000}"/>
    <cellStyle name="Normal 2 2 2 5 2 17 4 9" xfId="20856" xr:uid="{00000000-0005-0000-0000-000078510000}"/>
    <cellStyle name="Normal 2 2 2 5 2 17 5" xfId="20857" xr:uid="{00000000-0005-0000-0000-000079510000}"/>
    <cellStyle name="Normal 2 2 2 5 2 17 5 10" xfId="20858" xr:uid="{00000000-0005-0000-0000-00007A510000}"/>
    <cellStyle name="Normal 2 2 2 5 2 17 5 2" xfId="20859" xr:uid="{00000000-0005-0000-0000-00007B510000}"/>
    <cellStyle name="Normal 2 2 2 5 2 17 5 3" xfId="20860" xr:uid="{00000000-0005-0000-0000-00007C510000}"/>
    <cellStyle name="Normal 2 2 2 5 2 17 5 4" xfId="20861" xr:uid="{00000000-0005-0000-0000-00007D510000}"/>
    <cellStyle name="Normal 2 2 2 5 2 17 5 5" xfId="20862" xr:uid="{00000000-0005-0000-0000-00007E510000}"/>
    <cellStyle name="Normal 2 2 2 5 2 17 5 6" xfId="20863" xr:uid="{00000000-0005-0000-0000-00007F510000}"/>
    <cellStyle name="Normal 2 2 2 5 2 17 5 7" xfId="20864" xr:uid="{00000000-0005-0000-0000-000080510000}"/>
    <cellStyle name="Normal 2 2 2 5 2 17 5 8" xfId="20865" xr:uid="{00000000-0005-0000-0000-000081510000}"/>
    <cellStyle name="Normal 2 2 2 5 2 17 5 9" xfId="20866" xr:uid="{00000000-0005-0000-0000-000082510000}"/>
    <cellStyle name="Normal 2 2 2 5 2 17 6" xfId="20867" xr:uid="{00000000-0005-0000-0000-000083510000}"/>
    <cellStyle name="Normal 2 2 2 5 2 17 7" xfId="20868" xr:uid="{00000000-0005-0000-0000-000084510000}"/>
    <cellStyle name="Normal 2 2 2 5 2 17 8" xfId="20869" xr:uid="{00000000-0005-0000-0000-000085510000}"/>
    <cellStyle name="Normal 2 2 2 5 2 17 9" xfId="20870" xr:uid="{00000000-0005-0000-0000-000086510000}"/>
    <cellStyle name="Normal 2 2 2 5 2 18" xfId="20871" xr:uid="{00000000-0005-0000-0000-000087510000}"/>
    <cellStyle name="Normal 2 2 2 5 2 18 10" xfId="20872" xr:uid="{00000000-0005-0000-0000-000088510000}"/>
    <cellStyle name="Normal 2 2 2 5 2 18 11" xfId="20873" xr:uid="{00000000-0005-0000-0000-000089510000}"/>
    <cellStyle name="Normal 2 2 2 5 2 18 12" xfId="20874" xr:uid="{00000000-0005-0000-0000-00008A510000}"/>
    <cellStyle name="Normal 2 2 2 5 2 18 13" xfId="20875" xr:uid="{00000000-0005-0000-0000-00008B510000}"/>
    <cellStyle name="Normal 2 2 2 5 2 18 14" xfId="20876" xr:uid="{00000000-0005-0000-0000-00008C510000}"/>
    <cellStyle name="Normal 2 2 2 5 2 18 2" xfId="20877" xr:uid="{00000000-0005-0000-0000-00008D510000}"/>
    <cellStyle name="Normal 2 2 2 5 2 18 2 10" xfId="20878" xr:uid="{00000000-0005-0000-0000-00008E510000}"/>
    <cellStyle name="Normal 2 2 2 5 2 18 2 2" xfId="20879" xr:uid="{00000000-0005-0000-0000-00008F510000}"/>
    <cellStyle name="Normal 2 2 2 5 2 18 2 3" xfId="20880" xr:uid="{00000000-0005-0000-0000-000090510000}"/>
    <cellStyle name="Normal 2 2 2 5 2 18 2 4" xfId="20881" xr:uid="{00000000-0005-0000-0000-000091510000}"/>
    <cellStyle name="Normal 2 2 2 5 2 18 2 5" xfId="20882" xr:uid="{00000000-0005-0000-0000-000092510000}"/>
    <cellStyle name="Normal 2 2 2 5 2 18 2 6" xfId="20883" xr:uid="{00000000-0005-0000-0000-000093510000}"/>
    <cellStyle name="Normal 2 2 2 5 2 18 2 7" xfId="20884" xr:uid="{00000000-0005-0000-0000-000094510000}"/>
    <cellStyle name="Normal 2 2 2 5 2 18 2 8" xfId="20885" xr:uid="{00000000-0005-0000-0000-000095510000}"/>
    <cellStyle name="Normal 2 2 2 5 2 18 2 9" xfId="20886" xr:uid="{00000000-0005-0000-0000-000096510000}"/>
    <cellStyle name="Normal 2 2 2 5 2 18 3" xfId="20887" xr:uid="{00000000-0005-0000-0000-000097510000}"/>
    <cellStyle name="Normal 2 2 2 5 2 18 3 10" xfId="20888" xr:uid="{00000000-0005-0000-0000-000098510000}"/>
    <cellStyle name="Normal 2 2 2 5 2 18 3 2" xfId="20889" xr:uid="{00000000-0005-0000-0000-000099510000}"/>
    <cellStyle name="Normal 2 2 2 5 2 18 3 3" xfId="20890" xr:uid="{00000000-0005-0000-0000-00009A510000}"/>
    <cellStyle name="Normal 2 2 2 5 2 18 3 4" xfId="20891" xr:uid="{00000000-0005-0000-0000-00009B510000}"/>
    <cellStyle name="Normal 2 2 2 5 2 18 3 5" xfId="20892" xr:uid="{00000000-0005-0000-0000-00009C510000}"/>
    <cellStyle name="Normal 2 2 2 5 2 18 3 6" xfId="20893" xr:uid="{00000000-0005-0000-0000-00009D510000}"/>
    <cellStyle name="Normal 2 2 2 5 2 18 3 7" xfId="20894" xr:uid="{00000000-0005-0000-0000-00009E510000}"/>
    <cellStyle name="Normal 2 2 2 5 2 18 3 8" xfId="20895" xr:uid="{00000000-0005-0000-0000-00009F510000}"/>
    <cellStyle name="Normal 2 2 2 5 2 18 3 9" xfId="20896" xr:uid="{00000000-0005-0000-0000-0000A0510000}"/>
    <cellStyle name="Normal 2 2 2 5 2 18 4" xfId="20897" xr:uid="{00000000-0005-0000-0000-0000A1510000}"/>
    <cellStyle name="Normal 2 2 2 5 2 18 4 10" xfId="20898" xr:uid="{00000000-0005-0000-0000-0000A2510000}"/>
    <cellStyle name="Normal 2 2 2 5 2 18 4 2" xfId="20899" xr:uid="{00000000-0005-0000-0000-0000A3510000}"/>
    <cellStyle name="Normal 2 2 2 5 2 18 4 3" xfId="20900" xr:uid="{00000000-0005-0000-0000-0000A4510000}"/>
    <cellStyle name="Normal 2 2 2 5 2 18 4 4" xfId="20901" xr:uid="{00000000-0005-0000-0000-0000A5510000}"/>
    <cellStyle name="Normal 2 2 2 5 2 18 4 5" xfId="20902" xr:uid="{00000000-0005-0000-0000-0000A6510000}"/>
    <cellStyle name="Normal 2 2 2 5 2 18 4 6" xfId="20903" xr:uid="{00000000-0005-0000-0000-0000A7510000}"/>
    <cellStyle name="Normal 2 2 2 5 2 18 4 7" xfId="20904" xr:uid="{00000000-0005-0000-0000-0000A8510000}"/>
    <cellStyle name="Normal 2 2 2 5 2 18 4 8" xfId="20905" xr:uid="{00000000-0005-0000-0000-0000A9510000}"/>
    <cellStyle name="Normal 2 2 2 5 2 18 4 9" xfId="20906" xr:uid="{00000000-0005-0000-0000-0000AA510000}"/>
    <cellStyle name="Normal 2 2 2 5 2 18 5" xfId="20907" xr:uid="{00000000-0005-0000-0000-0000AB510000}"/>
    <cellStyle name="Normal 2 2 2 5 2 18 5 10" xfId="20908" xr:uid="{00000000-0005-0000-0000-0000AC510000}"/>
    <cellStyle name="Normal 2 2 2 5 2 18 5 2" xfId="20909" xr:uid="{00000000-0005-0000-0000-0000AD510000}"/>
    <cellStyle name="Normal 2 2 2 5 2 18 5 3" xfId="20910" xr:uid="{00000000-0005-0000-0000-0000AE510000}"/>
    <cellStyle name="Normal 2 2 2 5 2 18 5 4" xfId="20911" xr:uid="{00000000-0005-0000-0000-0000AF510000}"/>
    <cellStyle name="Normal 2 2 2 5 2 18 5 5" xfId="20912" xr:uid="{00000000-0005-0000-0000-0000B0510000}"/>
    <cellStyle name="Normal 2 2 2 5 2 18 5 6" xfId="20913" xr:uid="{00000000-0005-0000-0000-0000B1510000}"/>
    <cellStyle name="Normal 2 2 2 5 2 18 5 7" xfId="20914" xr:uid="{00000000-0005-0000-0000-0000B2510000}"/>
    <cellStyle name="Normal 2 2 2 5 2 18 5 8" xfId="20915" xr:uid="{00000000-0005-0000-0000-0000B3510000}"/>
    <cellStyle name="Normal 2 2 2 5 2 18 5 9" xfId="20916" xr:uid="{00000000-0005-0000-0000-0000B4510000}"/>
    <cellStyle name="Normal 2 2 2 5 2 18 6" xfId="20917" xr:uid="{00000000-0005-0000-0000-0000B5510000}"/>
    <cellStyle name="Normal 2 2 2 5 2 18 7" xfId="20918" xr:uid="{00000000-0005-0000-0000-0000B6510000}"/>
    <cellStyle name="Normal 2 2 2 5 2 18 8" xfId="20919" xr:uid="{00000000-0005-0000-0000-0000B7510000}"/>
    <cellStyle name="Normal 2 2 2 5 2 18 9" xfId="20920" xr:uid="{00000000-0005-0000-0000-0000B8510000}"/>
    <cellStyle name="Normal 2 2 2 5 2 19" xfId="20921" xr:uid="{00000000-0005-0000-0000-0000B9510000}"/>
    <cellStyle name="Normal 2 2 2 5 2 19 10" xfId="20922" xr:uid="{00000000-0005-0000-0000-0000BA510000}"/>
    <cellStyle name="Normal 2 2 2 5 2 19 11" xfId="20923" xr:uid="{00000000-0005-0000-0000-0000BB510000}"/>
    <cellStyle name="Normal 2 2 2 5 2 19 12" xfId="20924" xr:uid="{00000000-0005-0000-0000-0000BC510000}"/>
    <cellStyle name="Normal 2 2 2 5 2 19 13" xfId="20925" xr:uid="{00000000-0005-0000-0000-0000BD510000}"/>
    <cellStyle name="Normal 2 2 2 5 2 19 14" xfId="20926" xr:uid="{00000000-0005-0000-0000-0000BE510000}"/>
    <cellStyle name="Normal 2 2 2 5 2 19 2" xfId="20927" xr:uid="{00000000-0005-0000-0000-0000BF510000}"/>
    <cellStyle name="Normal 2 2 2 5 2 19 2 10" xfId="20928" xr:uid="{00000000-0005-0000-0000-0000C0510000}"/>
    <cellStyle name="Normal 2 2 2 5 2 19 2 2" xfId="20929" xr:uid="{00000000-0005-0000-0000-0000C1510000}"/>
    <cellStyle name="Normal 2 2 2 5 2 19 2 3" xfId="20930" xr:uid="{00000000-0005-0000-0000-0000C2510000}"/>
    <cellStyle name="Normal 2 2 2 5 2 19 2 4" xfId="20931" xr:uid="{00000000-0005-0000-0000-0000C3510000}"/>
    <cellStyle name="Normal 2 2 2 5 2 19 2 5" xfId="20932" xr:uid="{00000000-0005-0000-0000-0000C4510000}"/>
    <cellStyle name="Normal 2 2 2 5 2 19 2 6" xfId="20933" xr:uid="{00000000-0005-0000-0000-0000C5510000}"/>
    <cellStyle name="Normal 2 2 2 5 2 19 2 7" xfId="20934" xr:uid="{00000000-0005-0000-0000-0000C6510000}"/>
    <cellStyle name="Normal 2 2 2 5 2 19 2 8" xfId="20935" xr:uid="{00000000-0005-0000-0000-0000C7510000}"/>
    <cellStyle name="Normal 2 2 2 5 2 19 2 9" xfId="20936" xr:uid="{00000000-0005-0000-0000-0000C8510000}"/>
    <cellStyle name="Normal 2 2 2 5 2 19 3" xfId="20937" xr:uid="{00000000-0005-0000-0000-0000C9510000}"/>
    <cellStyle name="Normal 2 2 2 5 2 19 3 10" xfId="20938" xr:uid="{00000000-0005-0000-0000-0000CA510000}"/>
    <cellStyle name="Normal 2 2 2 5 2 19 3 2" xfId="20939" xr:uid="{00000000-0005-0000-0000-0000CB510000}"/>
    <cellStyle name="Normal 2 2 2 5 2 19 3 3" xfId="20940" xr:uid="{00000000-0005-0000-0000-0000CC510000}"/>
    <cellStyle name="Normal 2 2 2 5 2 19 3 4" xfId="20941" xr:uid="{00000000-0005-0000-0000-0000CD510000}"/>
    <cellStyle name="Normal 2 2 2 5 2 19 3 5" xfId="20942" xr:uid="{00000000-0005-0000-0000-0000CE510000}"/>
    <cellStyle name="Normal 2 2 2 5 2 19 3 6" xfId="20943" xr:uid="{00000000-0005-0000-0000-0000CF510000}"/>
    <cellStyle name="Normal 2 2 2 5 2 19 3 7" xfId="20944" xr:uid="{00000000-0005-0000-0000-0000D0510000}"/>
    <cellStyle name="Normal 2 2 2 5 2 19 3 8" xfId="20945" xr:uid="{00000000-0005-0000-0000-0000D1510000}"/>
    <cellStyle name="Normal 2 2 2 5 2 19 3 9" xfId="20946" xr:uid="{00000000-0005-0000-0000-0000D2510000}"/>
    <cellStyle name="Normal 2 2 2 5 2 19 4" xfId="20947" xr:uid="{00000000-0005-0000-0000-0000D3510000}"/>
    <cellStyle name="Normal 2 2 2 5 2 19 4 10" xfId="20948" xr:uid="{00000000-0005-0000-0000-0000D4510000}"/>
    <cellStyle name="Normal 2 2 2 5 2 19 4 2" xfId="20949" xr:uid="{00000000-0005-0000-0000-0000D5510000}"/>
    <cellStyle name="Normal 2 2 2 5 2 19 4 3" xfId="20950" xr:uid="{00000000-0005-0000-0000-0000D6510000}"/>
    <cellStyle name="Normal 2 2 2 5 2 19 4 4" xfId="20951" xr:uid="{00000000-0005-0000-0000-0000D7510000}"/>
    <cellStyle name="Normal 2 2 2 5 2 19 4 5" xfId="20952" xr:uid="{00000000-0005-0000-0000-0000D8510000}"/>
    <cellStyle name="Normal 2 2 2 5 2 19 4 6" xfId="20953" xr:uid="{00000000-0005-0000-0000-0000D9510000}"/>
    <cellStyle name="Normal 2 2 2 5 2 19 4 7" xfId="20954" xr:uid="{00000000-0005-0000-0000-0000DA510000}"/>
    <cellStyle name="Normal 2 2 2 5 2 19 4 8" xfId="20955" xr:uid="{00000000-0005-0000-0000-0000DB510000}"/>
    <cellStyle name="Normal 2 2 2 5 2 19 4 9" xfId="20956" xr:uid="{00000000-0005-0000-0000-0000DC510000}"/>
    <cellStyle name="Normal 2 2 2 5 2 19 5" xfId="20957" xr:uid="{00000000-0005-0000-0000-0000DD510000}"/>
    <cellStyle name="Normal 2 2 2 5 2 19 5 10" xfId="20958" xr:uid="{00000000-0005-0000-0000-0000DE510000}"/>
    <cellStyle name="Normal 2 2 2 5 2 19 5 2" xfId="20959" xr:uid="{00000000-0005-0000-0000-0000DF510000}"/>
    <cellStyle name="Normal 2 2 2 5 2 19 5 3" xfId="20960" xr:uid="{00000000-0005-0000-0000-0000E0510000}"/>
    <cellStyle name="Normal 2 2 2 5 2 19 5 4" xfId="20961" xr:uid="{00000000-0005-0000-0000-0000E1510000}"/>
    <cellStyle name="Normal 2 2 2 5 2 19 5 5" xfId="20962" xr:uid="{00000000-0005-0000-0000-0000E2510000}"/>
    <cellStyle name="Normal 2 2 2 5 2 19 5 6" xfId="20963" xr:uid="{00000000-0005-0000-0000-0000E3510000}"/>
    <cellStyle name="Normal 2 2 2 5 2 19 5 7" xfId="20964" xr:uid="{00000000-0005-0000-0000-0000E4510000}"/>
    <cellStyle name="Normal 2 2 2 5 2 19 5 8" xfId="20965" xr:uid="{00000000-0005-0000-0000-0000E5510000}"/>
    <cellStyle name="Normal 2 2 2 5 2 19 5 9" xfId="20966" xr:uid="{00000000-0005-0000-0000-0000E6510000}"/>
    <cellStyle name="Normal 2 2 2 5 2 19 6" xfId="20967" xr:uid="{00000000-0005-0000-0000-0000E7510000}"/>
    <cellStyle name="Normal 2 2 2 5 2 19 7" xfId="20968" xr:uid="{00000000-0005-0000-0000-0000E8510000}"/>
    <cellStyle name="Normal 2 2 2 5 2 19 8" xfId="20969" xr:uid="{00000000-0005-0000-0000-0000E9510000}"/>
    <cellStyle name="Normal 2 2 2 5 2 19 9" xfId="20970" xr:uid="{00000000-0005-0000-0000-0000EA510000}"/>
    <cellStyle name="Normal 2 2 2 5 2 2" xfId="20971" xr:uid="{00000000-0005-0000-0000-0000EB510000}"/>
    <cellStyle name="Normal 2 2 2 5 2 2 10" xfId="20972" xr:uid="{00000000-0005-0000-0000-0000EC510000}"/>
    <cellStyle name="Normal 2 2 2 5 2 2 11" xfId="20973" xr:uid="{00000000-0005-0000-0000-0000ED510000}"/>
    <cellStyle name="Normal 2 2 2 5 2 2 12" xfId="20974" xr:uid="{00000000-0005-0000-0000-0000EE510000}"/>
    <cellStyle name="Normal 2 2 2 5 2 2 13" xfId="20975" xr:uid="{00000000-0005-0000-0000-0000EF510000}"/>
    <cellStyle name="Normal 2 2 2 5 2 2 14" xfId="20976" xr:uid="{00000000-0005-0000-0000-0000F0510000}"/>
    <cellStyle name="Normal 2 2 2 5 2 2 2" xfId="20977" xr:uid="{00000000-0005-0000-0000-0000F1510000}"/>
    <cellStyle name="Normal 2 2 2 5 2 2 2 10" xfId="20978" xr:uid="{00000000-0005-0000-0000-0000F2510000}"/>
    <cellStyle name="Normal 2 2 2 5 2 2 2 2" xfId="20979" xr:uid="{00000000-0005-0000-0000-0000F3510000}"/>
    <cellStyle name="Normal 2 2 2 5 2 2 2 3" xfId="20980" xr:uid="{00000000-0005-0000-0000-0000F4510000}"/>
    <cellStyle name="Normal 2 2 2 5 2 2 2 4" xfId="20981" xr:uid="{00000000-0005-0000-0000-0000F5510000}"/>
    <cellStyle name="Normal 2 2 2 5 2 2 2 5" xfId="20982" xr:uid="{00000000-0005-0000-0000-0000F6510000}"/>
    <cellStyle name="Normal 2 2 2 5 2 2 2 6" xfId="20983" xr:uid="{00000000-0005-0000-0000-0000F7510000}"/>
    <cellStyle name="Normal 2 2 2 5 2 2 2 7" xfId="20984" xr:uid="{00000000-0005-0000-0000-0000F8510000}"/>
    <cellStyle name="Normal 2 2 2 5 2 2 2 8" xfId="20985" xr:uid="{00000000-0005-0000-0000-0000F9510000}"/>
    <cellStyle name="Normal 2 2 2 5 2 2 2 9" xfId="20986" xr:uid="{00000000-0005-0000-0000-0000FA510000}"/>
    <cellStyle name="Normal 2 2 2 5 2 2 3" xfId="20987" xr:uid="{00000000-0005-0000-0000-0000FB510000}"/>
    <cellStyle name="Normal 2 2 2 5 2 2 3 10" xfId="20988" xr:uid="{00000000-0005-0000-0000-0000FC510000}"/>
    <cellStyle name="Normal 2 2 2 5 2 2 3 2" xfId="20989" xr:uid="{00000000-0005-0000-0000-0000FD510000}"/>
    <cellStyle name="Normal 2 2 2 5 2 2 3 3" xfId="20990" xr:uid="{00000000-0005-0000-0000-0000FE510000}"/>
    <cellStyle name="Normal 2 2 2 5 2 2 3 4" xfId="20991" xr:uid="{00000000-0005-0000-0000-0000FF510000}"/>
    <cellStyle name="Normal 2 2 2 5 2 2 3 5" xfId="20992" xr:uid="{00000000-0005-0000-0000-000000520000}"/>
    <cellStyle name="Normal 2 2 2 5 2 2 3 6" xfId="20993" xr:uid="{00000000-0005-0000-0000-000001520000}"/>
    <cellStyle name="Normal 2 2 2 5 2 2 3 7" xfId="20994" xr:uid="{00000000-0005-0000-0000-000002520000}"/>
    <cellStyle name="Normal 2 2 2 5 2 2 3 8" xfId="20995" xr:uid="{00000000-0005-0000-0000-000003520000}"/>
    <cellStyle name="Normal 2 2 2 5 2 2 3 9" xfId="20996" xr:uid="{00000000-0005-0000-0000-000004520000}"/>
    <cellStyle name="Normal 2 2 2 5 2 2 4" xfId="20997" xr:uid="{00000000-0005-0000-0000-000005520000}"/>
    <cellStyle name="Normal 2 2 2 5 2 2 4 10" xfId="20998" xr:uid="{00000000-0005-0000-0000-000006520000}"/>
    <cellStyle name="Normal 2 2 2 5 2 2 4 2" xfId="20999" xr:uid="{00000000-0005-0000-0000-000007520000}"/>
    <cellStyle name="Normal 2 2 2 5 2 2 4 3" xfId="21000" xr:uid="{00000000-0005-0000-0000-000008520000}"/>
    <cellStyle name="Normal 2 2 2 5 2 2 4 4" xfId="21001" xr:uid="{00000000-0005-0000-0000-000009520000}"/>
    <cellStyle name="Normal 2 2 2 5 2 2 4 5" xfId="21002" xr:uid="{00000000-0005-0000-0000-00000A520000}"/>
    <cellStyle name="Normal 2 2 2 5 2 2 4 6" xfId="21003" xr:uid="{00000000-0005-0000-0000-00000B520000}"/>
    <cellStyle name="Normal 2 2 2 5 2 2 4 7" xfId="21004" xr:uid="{00000000-0005-0000-0000-00000C520000}"/>
    <cellStyle name="Normal 2 2 2 5 2 2 4 8" xfId="21005" xr:uid="{00000000-0005-0000-0000-00000D520000}"/>
    <cellStyle name="Normal 2 2 2 5 2 2 4 9" xfId="21006" xr:uid="{00000000-0005-0000-0000-00000E520000}"/>
    <cellStyle name="Normal 2 2 2 5 2 2 5" xfId="21007" xr:uid="{00000000-0005-0000-0000-00000F520000}"/>
    <cellStyle name="Normal 2 2 2 5 2 2 5 10" xfId="21008" xr:uid="{00000000-0005-0000-0000-000010520000}"/>
    <cellStyle name="Normal 2 2 2 5 2 2 5 2" xfId="21009" xr:uid="{00000000-0005-0000-0000-000011520000}"/>
    <cellStyle name="Normal 2 2 2 5 2 2 5 3" xfId="21010" xr:uid="{00000000-0005-0000-0000-000012520000}"/>
    <cellStyle name="Normal 2 2 2 5 2 2 5 4" xfId="21011" xr:uid="{00000000-0005-0000-0000-000013520000}"/>
    <cellStyle name="Normal 2 2 2 5 2 2 5 5" xfId="21012" xr:uid="{00000000-0005-0000-0000-000014520000}"/>
    <cellStyle name="Normal 2 2 2 5 2 2 5 6" xfId="21013" xr:uid="{00000000-0005-0000-0000-000015520000}"/>
    <cellStyle name="Normal 2 2 2 5 2 2 5 7" xfId="21014" xr:uid="{00000000-0005-0000-0000-000016520000}"/>
    <cellStyle name="Normal 2 2 2 5 2 2 5 8" xfId="21015" xr:uid="{00000000-0005-0000-0000-000017520000}"/>
    <cellStyle name="Normal 2 2 2 5 2 2 5 9" xfId="21016" xr:uid="{00000000-0005-0000-0000-000018520000}"/>
    <cellStyle name="Normal 2 2 2 5 2 2 6" xfId="21017" xr:uid="{00000000-0005-0000-0000-000019520000}"/>
    <cellStyle name="Normal 2 2 2 5 2 2 7" xfId="21018" xr:uid="{00000000-0005-0000-0000-00001A520000}"/>
    <cellStyle name="Normal 2 2 2 5 2 2 8" xfId="21019" xr:uid="{00000000-0005-0000-0000-00001B520000}"/>
    <cellStyle name="Normal 2 2 2 5 2 2 9" xfId="21020" xr:uid="{00000000-0005-0000-0000-00001C520000}"/>
    <cellStyle name="Normal 2 2 2 5 2 20" xfId="21021" xr:uid="{00000000-0005-0000-0000-00001D520000}"/>
    <cellStyle name="Normal 2 2 2 5 2 20 10" xfId="21022" xr:uid="{00000000-0005-0000-0000-00001E520000}"/>
    <cellStyle name="Normal 2 2 2 5 2 20 11" xfId="21023" xr:uid="{00000000-0005-0000-0000-00001F520000}"/>
    <cellStyle name="Normal 2 2 2 5 2 20 12" xfId="21024" xr:uid="{00000000-0005-0000-0000-000020520000}"/>
    <cellStyle name="Normal 2 2 2 5 2 20 13" xfId="21025" xr:uid="{00000000-0005-0000-0000-000021520000}"/>
    <cellStyle name="Normal 2 2 2 5 2 20 14" xfId="21026" xr:uid="{00000000-0005-0000-0000-000022520000}"/>
    <cellStyle name="Normal 2 2 2 5 2 20 2" xfId="21027" xr:uid="{00000000-0005-0000-0000-000023520000}"/>
    <cellStyle name="Normal 2 2 2 5 2 20 2 10" xfId="21028" xr:uid="{00000000-0005-0000-0000-000024520000}"/>
    <cellStyle name="Normal 2 2 2 5 2 20 2 2" xfId="21029" xr:uid="{00000000-0005-0000-0000-000025520000}"/>
    <cellStyle name="Normal 2 2 2 5 2 20 2 3" xfId="21030" xr:uid="{00000000-0005-0000-0000-000026520000}"/>
    <cellStyle name="Normal 2 2 2 5 2 20 2 4" xfId="21031" xr:uid="{00000000-0005-0000-0000-000027520000}"/>
    <cellStyle name="Normal 2 2 2 5 2 20 2 5" xfId="21032" xr:uid="{00000000-0005-0000-0000-000028520000}"/>
    <cellStyle name="Normal 2 2 2 5 2 20 2 6" xfId="21033" xr:uid="{00000000-0005-0000-0000-000029520000}"/>
    <cellStyle name="Normal 2 2 2 5 2 20 2 7" xfId="21034" xr:uid="{00000000-0005-0000-0000-00002A520000}"/>
    <cellStyle name="Normal 2 2 2 5 2 20 2 8" xfId="21035" xr:uid="{00000000-0005-0000-0000-00002B520000}"/>
    <cellStyle name="Normal 2 2 2 5 2 20 2 9" xfId="21036" xr:uid="{00000000-0005-0000-0000-00002C520000}"/>
    <cellStyle name="Normal 2 2 2 5 2 20 3" xfId="21037" xr:uid="{00000000-0005-0000-0000-00002D520000}"/>
    <cellStyle name="Normal 2 2 2 5 2 20 3 10" xfId="21038" xr:uid="{00000000-0005-0000-0000-00002E520000}"/>
    <cellStyle name="Normal 2 2 2 5 2 20 3 2" xfId="21039" xr:uid="{00000000-0005-0000-0000-00002F520000}"/>
    <cellStyle name="Normal 2 2 2 5 2 20 3 3" xfId="21040" xr:uid="{00000000-0005-0000-0000-000030520000}"/>
    <cellStyle name="Normal 2 2 2 5 2 20 3 4" xfId="21041" xr:uid="{00000000-0005-0000-0000-000031520000}"/>
    <cellStyle name="Normal 2 2 2 5 2 20 3 5" xfId="21042" xr:uid="{00000000-0005-0000-0000-000032520000}"/>
    <cellStyle name="Normal 2 2 2 5 2 20 3 6" xfId="21043" xr:uid="{00000000-0005-0000-0000-000033520000}"/>
    <cellStyle name="Normal 2 2 2 5 2 20 3 7" xfId="21044" xr:uid="{00000000-0005-0000-0000-000034520000}"/>
    <cellStyle name="Normal 2 2 2 5 2 20 3 8" xfId="21045" xr:uid="{00000000-0005-0000-0000-000035520000}"/>
    <cellStyle name="Normal 2 2 2 5 2 20 3 9" xfId="21046" xr:uid="{00000000-0005-0000-0000-000036520000}"/>
    <cellStyle name="Normal 2 2 2 5 2 20 4" xfId="21047" xr:uid="{00000000-0005-0000-0000-000037520000}"/>
    <cellStyle name="Normal 2 2 2 5 2 20 4 10" xfId="21048" xr:uid="{00000000-0005-0000-0000-000038520000}"/>
    <cellStyle name="Normal 2 2 2 5 2 20 4 2" xfId="21049" xr:uid="{00000000-0005-0000-0000-000039520000}"/>
    <cellStyle name="Normal 2 2 2 5 2 20 4 3" xfId="21050" xr:uid="{00000000-0005-0000-0000-00003A520000}"/>
    <cellStyle name="Normal 2 2 2 5 2 20 4 4" xfId="21051" xr:uid="{00000000-0005-0000-0000-00003B520000}"/>
    <cellStyle name="Normal 2 2 2 5 2 20 4 5" xfId="21052" xr:uid="{00000000-0005-0000-0000-00003C520000}"/>
    <cellStyle name="Normal 2 2 2 5 2 20 4 6" xfId="21053" xr:uid="{00000000-0005-0000-0000-00003D520000}"/>
    <cellStyle name="Normal 2 2 2 5 2 20 4 7" xfId="21054" xr:uid="{00000000-0005-0000-0000-00003E520000}"/>
    <cellStyle name="Normal 2 2 2 5 2 20 4 8" xfId="21055" xr:uid="{00000000-0005-0000-0000-00003F520000}"/>
    <cellStyle name="Normal 2 2 2 5 2 20 4 9" xfId="21056" xr:uid="{00000000-0005-0000-0000-000040520000}"/>
    <cellStyle name="Normal 2 2 2 5 2 20 5" xfId="21057" xr:uid="{00000000-0005-0000-0000-000041520000}"/>
    <cellStyle name="Normal 2 2 2 5 2 20 5 10" xfId="21058" xr:uid="{00000000-0005-0000-0000-000042520000}"/>
    <cellStyle name="Normal 2 2 2 5 2 20 5 2" xfId="21059" xr:uid="{00000000-0005-0000-0000-000043520000}"/>
    <cellStyle name="Normal 2 2 2 5 2 20 5 3" xfId="21060" xr:uid="{00000000-0005-0000-0000-000044520000}"/>
    <cellStyle name="Normal 2 2 2 5 2 20 5 4" xfId="21061" xr:uid="{00000000-0005-0000-0000-000045520000}"/>
    <cellStyle name="Normal 2 2 2 5 2 20 5 5" xfId="21062" xr:uid="{00000000-0005-0000-0000-000046520000}"/>
    <cellStyle name="Normal 2 2 2 5 2 20 5 6" xfId="21063" xr:uid="{00000000-0005-0000-0000-000047520000}"/>
    <cellStyle name="Normal 2 2 2 5 2 20 5 7" xfId="21064" xr:uid="{00000000-0005-0000-0000-000048520000}"/>
    <cellStyle name="Normal 2 2 2 5 2 20 5 8" xfId="21065" xr:uid="{00000000-0005-0000-0000-000049520000}"/>
    <cellStyle name="Normal 2 2 2 5 2 20 5 9" xfId="21066" xr:uid="{00000000-0005-0000-0000-00004A520000}"/>
    <cellStyle name="Normal 2 2 2 5 2 20 6" xfId="21067" xr:uid="{00000000-0005-0000-0000-00004B520000}"/>
    <cellStyle name="Normal 2 2 2 5 2 20 7" xfId="21068" xr:uid="{00000000-0005-0000-0000-00004C520000}"/>
    <cellStyle name="Normal 2 2 2 5 2 20 8" xfId="21069" xr:uid="{00000000-0005-0000-0000-00004D520000}"/>
    <cellStyle name="Normal 2 2 2 5 2 20 9" xfId="21070" xr:uid="{00000000-0005-0000-0000-00004E520000}"/>
    <cellStyle name="Normal 2 2 2 5 2 21" xfId="21071" xr:uid="{00000000-0005-0000-0000-00004F520000}"/>
    <cellStyle name="Normal 2 2 2 5 2 22" xfId="21072" xr:uid="{00000000-0005-0000-0000-000050520000}"/>
    <cellStyle name="Normal 2 2 2 5 2 3" xfId="21073" xr:uid="{00000000-0005-0000-0000-000051520000}"/>
    <cellStyle name="Normal 2 2 2 5 2 3 10" xfId="21074" xr:uid="{00000000-0005-0000-0000-000052520000}"/>
    <cellStyle name="Normal 2 2 2 5 2 3 11" xfId="21075" xr:uid="{00000000-0005-0000-0000-000053520000}"/>
    <cellStyle name="Normal 2 2 2 5 2 3 12" xfId="21076" xr:uid="{00000000-0005-0000-0000-000054520000}"/>
    <cellStyle name="Normal 2 2 2 5 2 3 13" xfId="21077" xr:uid="{00000000-0005-0000-0000-000055520000}"/>
    <cellStyle name="Normal 2 2 2 5 2 3 14" xfId="21078" xr:uid="{00000000-0005-0000-0000-000056520000}"/>
    <cellStyle name="Normal 2 2 2 5 2 3 2" xfId="21079" xr:uid="{00000000-0005-0000-0000-000057520000}"/>
    <cellStyle name="Normal 2 2 2 5 2 3 2 10" xfId="21080" xr:uid="{00000000-0005-0000-0000-000058520000}"/>
    <cellStyle name="Normal 2 2 2 5 2 3 2 2" xfId="21081" xr:uid="{00000000-0005-0000-0000-000059520000}"/>
    <cellStyle name="Normal 2 2 2 5 2 3 2 3" xfId="21082" xr:uid="{00000000-0005-0000-0000-00005A520000}"/>
    <cellStyle name="Normal 2 2 2 5 2 3 2 4" xfId="21083" xr:uid="{00000000-0005-0000-0000-00005B520000}"/>
    <cellStyle name="Normal 2 2 2 5 2 3 2 5" xfId="21084" xr:uid="{00000000-0005-0000-0000-00005C520000}"/>
    <cellStyle name="Normal 2 2 2 5 2 3 2 6" xfId="21085" xr:uid="{00000000-0005-0000-0000-00005D520000}"/>
    <cellStyle name="Normal 2 2 2 5 2 3 2 7" xfId="21086" xr:uid="{00000000-0005-0000-0000-00005E520000}"/>
    <cellStyle name="Normal 2 2 2 5 2 3 2 8" xfId="21087" xr:uid="{00000000-0005-0000-0000-00005F520000}"/>
    <cellStyle name="Normal 2 2 2 5 2 3 2 9" xfId="21088" xr:uid="{00000000-0005-0000-0000-000060520000}"/>
    <cellStyle name="Normal 2 2 2 5 2 3 3" xfId="21089" xr:uid="{00000000-0005-0000-0000-000061520000}"/>
    <cellStyle name="Normal 2 2 2 5 2 3 3 10" xfId="21090" xr:uid="{00000000-0005-0000-0000-000062520000}"/>
    <cellStyle name="Normal 2 2 2 5 2 3 3 2" xfId="21091" xr:uid="{00000000-0005-0000-0000-000063520000}"/>
    <cellStyle name="Normal 2 2 2 5 2 3 3 3" xfId="21092" xr:uid="{00000000-0005-0000-0000-000064520000}"/>
    <cellStyle name="Normal 2 2 2 5 2 3 3 4" xfId="21093" xr:uid="{00000000-0005-0000-0000-000065520000}"/>
    <cellStyle name="Normal 2 2 2 5 2 3 3 5" xfId="21094" xr:uid="{00000000-0005-0000-0000-000066520000}"/>
    <cellStyle name="Normal 2 2 2 5 2 3 3 6" xfId="21095" xr:uid="{00000000-0005-0000-0000-000067520000}"/>
    <cellStyle name="Normal 2 2 2 5 2 3 3 7" xfId="21096" xr:uid="{00000000-0005-0000-0000-000068520000}"/>
    <cellStyle name="Normal 2 2 2 5 2 3 3 8" xfId="21097" xr:uid="{00000000-0005-0000-0000-000069520000}"/>
    <cellStyle name="Normal 2 2 2 5 2 3 3 9" xfId="21098" xr:uid="{00000000-0005-0000-0000-00006A520000}"/>
    <cellStyle name="Normal 2 2 2 5 2 3 4" xfId="21099" xr:uid="{00000000-0005-0000-0000-00006B520000}"/>
    <cellStyle name="Normal 2 2 2 5 2 3 4 10" xfId="21100" xr:uid="{00000000-0005-0000-0000-00006C520000}"/>
    <cellStyle name="Normal 2 2 2 5 2 3 4 2" xfId="21101" xr:uid="{00000000-0005-0000-0000-00006D520000}"/>
    <cellStyle name="Normal 2 2 2 5 2 3 4 3" xfId="21102" xr:uid="{00000000-0005-0000-0000-00006E520000}"/>
    <cellStyle name="Normal 2 2 2 5 2 3 4 4" xfId="21103" xr:uid="{00000000-0005-0000-0000-00006F520000}"/>
    <cellStyle name="Normal 2 2 2 5 2 3 4 5" xfId="21104" xr:uid="{00000000-0005-0000-0000-000070520000}"/>
    <cellStyle name="Normal 2 2 2 5 2 3 4 6" xfId="21105" xr:uid="{00000000-0005-0000-0000-000071520000}"/>
    <cellStyle name="Normal 2 2 2 5 2 3 4 7" xfId="21106" xr:uid="{00000000-0005-0000-0000-000072520000}"/>
    <cellStyle name="Normal 2 2 2 5 2 3 4 8" xfId="21107" xr:uid="{00000000-0005-0000-0000-000073520000}"/>
    <cellStyle name="Normal 2 2 2 5 2 3 4 9" xfId="21108" xr:uid="{00000000-0005-0000-0000-000074520000}"/>
    <cellStyle name="Normal 2 2 2 5 2 3 5" xfId="21109" xr:uid="{00000000-0005-0000-0000-000075520000}"/>
    <cellStyle name="Normal 2 2 2 5 2 3 5 10" xfId="21110" xr:uid="{00000000-0005-0000-0000-000076520000}"/>
    <cellStyle name="Normal 2 2 2 5 2 3 5 2" xfId="21111" xr:uid="{00000000-0005-0000-0000-000077520000}"/>
    <cellStyle name="Normal 2 2 2 5 2 3 5 3" xfId="21112" xr:uid="{00000000-0005-0000-0000-000078520000}"/>
    <cellStyle name="Normal 2 2 2 5 2 3 5 4" xfId="21113" xr:uid="{00000000-0005-0000-0000-000079520000}"/>
    <cellStyle name="Normal 2 2 2 5 2 3 5 5" xfId="21114" xr:uid="{00000000-0005-0000-0000-00007A520000}"/>
    <cellStyle name="Normal 2 2 2 5 2 3 5 6" xfId="21115" xr:uid="{00000000-0005-0000-0000-00007B520000}"/>
    <cellStyle name="Normal 2 2 2 5 2 3 5 7" xfId="21116" xr:uid="{00000000-0005-0000-0000-00007C520000}"/>
    <cellStyle name="Normal 2 2 2 5 2 3 5 8" xfId="21117" xr:uid="{00000000-0005-0000-0000-00007D520000}"/>
    <cellStyle name="Normal 2 2 2 5 2 3 5 9" xfId="21118" xr:uid="{00000000-0005-0000-0000-00007E520000}"/>
    <cellStyle name="Normal 2 2 2 5 2 3 6" xfId="21119" xr:uid="{00000000-0005-0000-0000-00007F520000}"/>
    <cellStyle name="Normal 2 2 2 5 2 3 7" xfId="21120" xr:uid="{00000000-0005-0000-0000-000080520000}"/>
    <cellStyle name="Normal 2 2 2 5 2 3 8" xfId="21121" xr:uid="{00000000-0005-0000-0000-000081520000}"/>
    <cellStyle name="Normal 2 2 2 5 2 3 9" xfId="21122" xr:uid="{00000000-0005-0000-0000-000082520000}"/>
    <cellStyle name="Normal 2 2 2 5 2 4" xfId="21123" xr:uid="{00000000-0005-0000-0000-000083520000}"/>
    <cellStyle name="Normal 2 2 2 5 2 4 10" xfId="21124" xr:uid="{00000000-0005-0000-0000-000084520000}"/>
    <cellStyle name="Normal 2 2 2 5 2 4 11" xfId="21125" xr:uid="{00000000-0005-0000-0000-000085520000}"/>
    <cellStyle name="Normal 2 2 2 5 2 4 12" xfId="21126" xr:uid="{00000000-0005-0000-0000-000086520000}"/>
    <cellStyle name="Normal 2 2 2 5 2 4 13" xfId="21127" xr:uid="{00000000-0005-0000-0000-000087520000}"/>
    <cellStyle name="Normal 2 2 2 5 2 4 14" xfId="21128" xr:uid="{00000000-0005-0000-0000-000088520000}"/>
    <cellStyle name="Normal 2 2 2 5 2 4 2" xfId="21129" xr:uid="{00000000-0005-0000-0000-000089520000}"/>
    <cellStyle name="Normal 2 2 2 5 2 4 2 10" xfId="21130" xr:uid="{00000000-0005-0000-0000-00008A520000}"/>
    <cellStyle name="Normal 2 2 2 5 2 4 2 2" xfId="21131" xr:uid="{00000000-0005-0000-0000-00008B520000}"/>
    <cellStyle name="Normal 2 2 2 5 2 4 2 3" xfId="21132" xr:uid="{00000000-0005-0000-0000-00008C520000}"/>
    <cellStyle name="Normal 2 2 2 5 2 4 2 4" xfId="21133" xr:uid="{00000000-0005-0000-0000-00008D520000}"/>
    <cellStyle name="Normal 2 2 2 5 2 4 2 5" xfId="21134" xr:uid="{00000000-0005-0000-0000-00008E520000}"/>
    <cellStyle name="Normal 2 2 2 5 2 4 2 6" xfId="21135" xr:uid="{00000000-0005-0000-0000-00008F520000}"/>
    <cellStyle name="Normal 2 2 2 5 2 4 2 7" xfId="21136" xr:uid="{00000000-0005-0000-0000-000090520000}"/>
    <cellStyle name="Normal 2 2 2 5 2 4 2 8" xfId="21137" xr:uid="{00000000-0005-0000-0000-000091520000}"/>
    <cellStyle name="Normal 2 2 2 5 2 4 2 9" xfId="21138" xr:uid="{00000000-0005-0000-0000-000092520000}"/>
    <cellStyle name="Normal 2 2 2 5 2 4 3" xfId="21139" xr:uid="{00000000-0005-0000-0000-000093520000}"/>
    <cellStyle name="Normal 2 2 2 5 2 4 3 10" xfId="21140" xr:uid="{00000000-0005-0000-0000-000094520000}"/>
    <cellStyle name="Normal 2 2 2 5 2 4 3 2" xfId="21141" xr:uid="{00000000-0005-0000-0000-000095520000}"/>
    <cellStyle name="Normal 2 2 2 5 2 4 3 3" xfId="21142" xr:uid="{00000000-0005-0000-0000-000096520000}"/>
    <cellStyle name="Normal 2 2 2 5 2 4 3 4" xfId="21143" xr:uid="{00000000-0005-0000-0000-000097520000}"/>
    <cellStyle name="Normal 2 2 2 5 2 4 3 5" xfId="21144" xr:uid="{00000000-0005-0000-0000-000098520000}"/>
    <cellStyle name="Normal 2 2 2 5 2 4 3 6" xfId="21145" xr:uid="{00000000-0005-0000-0000-000099520000}"/>
    <cellStyle name="Normal 2 2 2 5 2 4 3 7" xfId="21146" xr:uid="{00000000-0005-0000-0000-00009A520000}"/>
    <cellStyle name="Normal 2 2 2 5 2 4 3 8" xfId="21147" xr:uid="{00000000-0005-0000-0000-00009B520000}"/>
    <cellStyle name="Normal 2 2 2 5 2 4 3 9" xfId="21148" xr:uid="{00000000-0005-0000-0000-00009C520000}"/>
    <cellStyle name="Normal 2 2 2 5 2 4 4" xfId="21149" xr:uid="{00000000-0005-0000-0000-00009D520000}"/>
    <cellStyle name="Normal 2 2 2 5 2 4 4 10" xfId="21150" xr:uid="{00000000-0005-0000-0000-00009E520000}"/>
    <cellStyle name="Normal 2 2 2 5 2 4 4 2" xfId="21151" xr:uid="{00000000-0005-0000-0000-00009F520000}"/>
    <cellStyle name="Normal 2 2 2 5 2 4 4 3" xfId="21152" xr:uid="{00000000-0005-0000-0000-0000A0520000}"/>
    <cellStyle name="Normal 2 2 2 5 2 4 4 4" xfId="21153" xr:uid="{00000000-0005-0000-0000-0000A1520000}"/>
    <cellStyle name="Normal 2 2 2 5 2 4 4 5" xfId="21154" xr:uid="{00000000-0005-0000-0000-0000A2520000}"/>
    <cellStyle name="Normal 2 2 2 5 2 4 4 6" xfId="21155" xr:uid="{00000000-0005-0000-0000-0000A3520000}"/>
    <cellStyle name="Normal 2 2 2 5 2 4 4 7" xfId="21156" xr:uid="{00000000-0005-0000-0000-0000A4520000}"/>
    <cellStyle name="Normal 2 2 2 5 2 4 4 8" xfId="21157" xr:uid="{00000000-0005-0000-0000-0000A5520000}"/>
    <cellStyle name="Normal 2 2 2 5 2 4 4 9" xfId="21158" xr:uid="{00000000-0005-0000-0000-0000A6520000}"/>
    <cellStyle name="Normal 2 2 2 5 2 4 5" xfId="21159" xr:uid="{00000000-0005-0000-0000-0000A7520000}"/>
    <cellStyle name="Normal 2 2 2 5 2 4 5 10" xfId="21160" xr:uid="{00000000-0005-0000-0000-0000A8520000}"/>
    <cellStyle name="Normal 2 2 2 5 2 4 5 2" xfId="21161" xr:uid="{00000000-0005-0000-0000-0000A9520000}"/>
    <cellStyle name="Normal 2 2 2 5 2 4 5 3" xfId="21162" xr:uid="{00000000-0005-0000-0000-0000AA520000}"/>
    <cellStyle name="Normal 2 2 2 5 2 4 5 4" xfId="21163" xr:uid="{00000000-0005-0000-0000-0000AB520000}"/>
    <cellStyle name="Normal 2 2 2 5 2 4 5 5" xfId="21164" xr:uid="{00000000-0005-0000-0000-0000AC520000}"/>
    <cellStyle name="Normal 2 2 2 5 2 4 5 6" xfId="21165" xr:uid="{00000000-0005-0000-0000-0000AD520000}"/>
    <cellStyle name="Normal 2 2 2 5 2 4 5 7" xfId="21166" xr:uid="{00000000-0005-0000-0000-0000AE520000}"/>
    <cellStyle name="Normal 2 2 2 5 2 4 5 8" xfId="21167" xr:uid="{00000000-0005-0000-0000-0000AF520000}"/>
    <cellStyle name="Normal 2 2 2 5 2 4 5 9" xfId="21168" xr:uid="{00000000-0005-0000-0000-0000B0520000}"/>
    <cellStyle name="Normal 2 2 2 5 2 4 6" xfId="21169" xr:uid="{00000000-0005-0000-0000-0000B1520000}"/>
    <cellStyle name="Normal 2 2 2 5 2 4 7" xfId="21170" xr:uid="{00000000-0005-0000-0000-0000B2520000}"/>
    <cellStyle name="Normal 2 2 2 5 2 4 8" xfId="21171" xr:uid="{00000000-0005-0000-0000-0000B3520000}"/>
    <cellStyle name="Normal 2 2 2 5 2 4 9" xfId="21172" xr:uid="{00000000-0005-0000-0000-0000B4520000}"/>
    <cellStyle name="Normal 2 2 2 5 2 5" xfId="21173" xr:uid="{00000000-0005-0000-0000-0000B5520000}"/>
    <cellStyle name="Normal 2 2 2 5 2 5 10" xfId="21174" xr:uid="{00000000-0005-0000-0000-0000B6520000}"/>
    <cellStyle name="Normal 2 2 2 5 2 5 11" xfId="21175" xr:uid="{00000000-0005-0000-0000-0000B7520000}"/>
    <cellStyle name="Normal 2 2 2 5 2 5 12" xfId="21176" xr:uid="{00000000-0005-0000-0000-0000B8520000}"/>
    <cellStyle name="Normal 2 2 2 5 2 5 13" xfId="21177" xr:uid="{00000000-0005-0000-0000-0000B9520000}"/>
    <cellStyle name="Normal 2 2 2 5 2 5 14" xfId="21178" xr:uid="{00000000-0005-0000-0000-0000BA520000}"/>
    <cellStyle name="Normal 2 2 2 5 2 5 2" xfId="21179" xr:uid="{00000000-0005-0000-0000-0000BB520000}"/>
    <cellStyle name="Normal 2 2 2 5 2 5 2 10" xfId="21180" xr:uid="{00000000-0005-0000-0000-0000BC520000}"/>
    <cellStyle name="Normal 2 2 2 5 2 5 2 2" xfId="21181" xr:uid="{00000000-0005-0000-0000-0000BD520000}"/>
    <cellStyle name="Normal 2 2 2 5 2 5 2 3" xfId="21182" xr:uid="{00000000-0005-0000-0000-0000BE520000}"/>
    <cellStyle name="Normal 2 2 2 5 2 5 2 4" xfId="21183" xr:uid="{00000000-0005-0000-0000-0000BF520000}"/>
    <cellStyle name="Normal 2 2 2 5 2 5 2 5" xfId="21184" xr:uid="{00000000-0005-0000-0000-0000C0520000}"/>
    <cellStyle name="Normal 2 2 2 5 2 5 2 6" xfId="21185" xr:uid="{00000000-0005-0000-0000-0000C1520000}"/>
    <cellStyle name="Normal 2 2 2 5 2 5 2 7" xfId="21186" xr:uid="{00000000-0005-0000-0000-0000C2520000}"/>
    <cellStyle name="Normal 2 2 2 5 2 5 2 8" xfId="21187" xr:uid="{00000000-0005-0000-0000-0000C3520000}"/>
    <cellStyle name="Normal 2 2 2 5 2 5 2 9" xfId="21188" xr:uid="{00000000-0005-0000-0000-0000C4520000}"/>
    <cellStyle name="Normal 2 2 2 5 2 5 3" xfId="21189" xr:uid="{00000000-0005-0000-0000-0000C5520000}"/>
    <cellStyle name="Normal 2 2 2 5 2 5 3 10" xfId="21190" xr:uid="{00000000-0005-0000-0000-0000C6520000}"/>
    <cellStyle name="Normal 2 2 2 5 2 5 3 2" xfId="21191" xr:uid="{00000000-0005-0000-0000-0000C7520000}"/>
    <cellStyle name="Normal 2 2 2 5 2 5 3 3" xfId="21192" xr:uid="{00000000-0005-0000-0000-0000C8520000}"/>
    <cellStyle name="Normal 2 2 2 5 2 5 3 4" xfId="21193" xr:uid="{00000000-0005-0000-0000-0000C9520000}"/>
    <cellStyle name="Normal 2 2 2 5 2 5 3 5" xfId="21194" xr:uid="{00000000-0005-0000-0000-0000CA520000}"/>
    <cellStyle name="Normal 2 2 2 5 2 5 3 6" xfId="21195" xr:uid="{00000000-0005-0000-0000-0000CB520000}"/>
    <cellStyle name="Normal 2 2 2 5 2 5 3 7" xfId="21196" xr:uid="{00000000-0005-0000-0000-0000CC520000}"/>
    <cellStyle name="Normal 2 2 2 5 2 5 3 8" xfId="21197" xr:uid="{00000000-0005-0000-0000-0000CD520000}"/>
    <cellStyle name="Normal 2 2 2 5 2 5 3 9" xfId="21198" xr:uid="{00000000-0005-0000-0000-0000CE520000}"/>
    <cellStyle name="Normal 2 2 2 5 2 5 4" xfId="21199" xr:uid="{00000000-0005-0000-0000-0000CF520000}"/>
    <cellStyle name="Normal 2 2 2 5 2 5 4 10" xfId="21200" xr:uid="{00000000-0005-0000-0000-0000D0520000}"/>
    <cellStyle name="Normal 2 2 2 5 2 5 4 2" xfId="21201" xr:uid="{00000000-0005-0000-0000-0000D1520000}"/>
    <cellStyle name="Normal 2 2 2 5 2 5 4 3" xfId="21202" xr:uid="{00000000-0005-0000-0000-0000D2520000}"/>
    <cellStyle name="Normal 2 2 2 5 2 5 4 4" xfId="21203" xr:uid="{00000000-0005-0000-0000-0000D3520000}"/>
    <cellStyle name="Normal 2 2 2 5 2 5 4 5" xfId="21204" xr:uid="{00000000-0005-0000-0000-0000D4520000}"/>
    <cellStyle name="Normal 2 2 2 5 2 5 4 6" xfId="21205" xr:uid="{00000000-0005-0000-0000-0000D5520000}"/>
    <cellStyle name="Normal 2 2 2 5 2 5 4 7" xfId="21206" xr:uid="{00000000-0005-0000-0000-0000D6520000}"/>
    <cellStyle name="Normal 2 2 2 5 2 5 4 8" xfId="21207" xr:uid="{00000000-0005-0000-0000-0000D7520000}"/>
    <cellStyle name="Normal 2 2 2 5 2 5 4 9" xfId="21208" xr:uid="{00000000-0005-0000-0000-0000D8520000}"/>
    <cellStyle name="Normal 2 2 2 5 2 5 5" xfId="21209" xr:uid="{00000000-0005-0000-0000-0000D9520000}"/>
    <cellStyle name="Normal 2 2 2 5 2 5 5 10" xfId="21210" xr:uid="{00000000-0005-0000-0000-0000DA520000}"/>
    <cellStyle name="Normal 2 2 2 5 2 5 5 2" xfId="21211" xr:uid="{00000000-0005-0000-0000-0000DB520000}"/>
    <cellStyle name="Normal 2 2 2 5 2 5 5 3" xfId="21212" xr:uid="{00000000-0005-0000-0000-0000DC520000}"/>
    <cellStyle name="Normal 2 2 2 5 2 5 5 4" xfId="21213" xr:uid="{00000000-0005-0000-0000-0000DD520000}"/>
    <cellStyle name="Normal 2 2 2 5 2 5 5 5" xfId="21214" xr:uid="{00000000-0005-0000-0000-0000DE520000}"/>
    <cellStyle name="Normal 2 2 2 5 2 5 5 6" xfId="21215" xr:uid="{00000000-0005-0000-0000-0000DF520000}"/>
    <cellStyle name="Normal 2 2 2 5 2 5 5 7" xfId="21216" xr:uid="{00000000-0005-0000-0000-0000E0520000}"/>
    <cellStyle name="Normal 2 2 2 5 2 5 5 8" xfId="21217" xr:uid="{00000000-0005-0000-0000-0000E1520000}"/>
    <cellStyle name="Normal 2 2 2 5 2 5 5 9" xfId="21218" xr:uid="{00000000-0005-0000-0000-0000E2520000}"/>
    <cellStyle name="Normal 2 2 2 5 2 5 6" xfId="21219" xr:uid="{00000000-0005-0000-0000-0000E3520000}"/>
    <cellStyle name="Normal 2 2 2 5 2 5 7" xfId="21220" xr:uid="{00000000-0005-0000-0000-0000E4520000}"/>
    <cellStyle name="Normal 2 2 2 5 2 5 8" xfId="21221" xr:uid="{00000000-0005-0000-0000-0000E5520000}"/>
    <cellStyle name="Normal 2 2 2 5 2 5 9" xfId="21222" xr:uid="{00000000-0005-0000-0000-0000E6520000}"/>
    <cellStyle name="Normal 2 2 2 5 2 6" xfId="21223" xr:uid="{00000000-0005-0000-0000-0000E7520000}"/>
    <cellStyle name="Normal 2 2 2 5 2 6 10" xfId="21224" xr:uid="{00000000-0005-0000-0000-0000E8520000}"/>
    <cellStyle name="Normal 2 2 2 5 2 6 11" xfId="21225" xr:uid="{00000000-0005-0000-0000-0000E9520000}"/>
    <cellStyle name="Normal 2 2 2 5 2 6 12" xfId="21226" xr:uid="{00000000-0005-0000-0000-0000EA520000}"/>
    <cellStyle name="Normal 2 2 2 5 2 6 13" xfId="21227" xr:uid="{00000000-0005-0000-0000-0000EB520000}"/>
    <cellStyle name="Normal 2 2 2 5 2 6 14" xfId="21228" xr:uid="{00000000-0005-0000-0000-0000EC520000}"/>
    <cellStyle name="Normal 2 2 2 5 2 6 2" xfId="21229" xr:uid="{00000000-0005-0000-0000-0000ED520000}"/>
    <cellStyle name="Normal 2 2 2 5 2 6 2 10" xfId="21230" xr:uid="{00000000-0005-0000-0000-0000EE520000}"/>
    <cellStyle name="Normal 2 2 2 5 2 6 2 2" xfId="21231" xr:uid="{00000000-0005-0000-0000-0000EF520000}"/>
    <cellStyle name="Normal 2 2 2 5 2 6 2 3" xfId="21232" xr:uid="{00000000-0005-0000-0000-0000F0520000}"/>
    <cellStyle name="Normal 2 2 2 5 2 6 2 4" xfId="21233" xr:uid="{00000000-0005-0000-0000-0000F1520000}"/>
    <cellStyle name="Normal 2 2 2 5 2 6 2 5" xfId="21234" xr:uid="{00000000-0005-0000-0000-0000F2520000}"/>
    <cellStyle name="Normal 2 2 2 5 2 6 2 6" xfId="21235" xr:uid="{00000000-0005-0000-0000-0000F3520000}"/>
    <cellStyle name="Normal 2 2 2 5 2 6 2 7" xfId="21236" xr:uid="{00000000-0005-0000-0000-0000F4520000}"/>
    <cellStyle name="Normal 2 2 2 5 2 6 2 8" xfId="21237" xr:uid="{00000000-0005-0000-0000-0000F5520000}"/>
    <cellStyle name="Normal 2 2 2 5 2 6 2 9" xfId="21238" xr:uid="{00000000-0005-0000-0000-0000F6520000}"/>
    <cellStyle name="Normal 2 2 2 5 2 6 3" xfId="21239" xr:uid="{00000000-0005-0000-0000-0000F7520000}"/>
    <cellStyle name="Normal 2 2 2 5 2 6 3 10" xfId="21240" xr:uid="{00000000-0005-0000-0000-0000F8520000}"/>
    <cellStyle name="Normal 2 2 2 5 2 6 3 2" xfId="21241" xr:uid="{00000000-0005-0000-0000-0000F9520000}"/>
    <cellStyle name="Normal 2 2 2 5 2 6 3 3" xfId="21242" xr:uid="{00000000-0005-0000-0000-0000FA520000}"/>
    <cellStyle name="Normal 2 2 2 5 2 6 3 4" xfId="21243" xr:uid="{00000000-0005-0000-0000-0000FB520000}"/>
    <cellStyle name="Normal 2 2 2 5 2 6 3 5" xfId="21244" xr:uid="{00000000-0005-0000-0000-0000FC520000}"/>
    <cellStyle name="Normal 2 2 2 5 2 6 3 6" xfId="21245" xr:uid="{00000000-0005-0000-0000-0000FD520000}"/>
    <cellStyle name="Normal 2 2 2 5 2 6 3 7" xfId="21246" xr:uid="{00000000-0005-0000-0000-0000FE520000}"/>
    <cellStyle name="Normal 2 2 2 5 2 6 3 8" xfId="21247" xr:uid="{00000000-0005-0000-0000-0000FF520000}"/>
    <cellStyle name="Normal 2 2 2 5 2 6 3 9" xfId="21248" xr:uid="{00000000-0005-0000-0000-000000530000}"/>
    <cellStyle name="Normal 2 2 2 5 2 6 4" xfId="21249" xr:uid="{00000000-0005-0000-0000-000001530000}"/>
    <cellStyle name="Normal 2 2 2 5 2 6 4 10" xfId="21250" xr:uid="{00000000-0005-0000-0000-000002530000}"/>
    <cellStyle name="Normal 2 2 2 5 2 6 4 2" xfId="21251" xr:uid="{00000000-0005-0000-0000-000003530000}"/>
    <cellStyle name="Normal 2 2 2 5 2 6 4 3" xfId="21252" xr:uid="{00000000-0005-0000-0000-000004530000}"/>
    <cellStyle name="Normal 2 2 2 5 2 6 4 4" xfId="21253" xr:uid="{00000000-0005-0000-0000-000005530000}"/>
    <cellStyle name="Normal 2 2 2 5 2 6 4 5" xfId="21254" xr:uid="{00000000-0005-0000-0000-000006530000}"/>
    <cellStyle name="Normal 2 2 2 5 2 6 4 6" xfId="21255" xr:uid="{00000000-0005-0000-0000-000007530000}"/>
    <cellStyle name="Normal 2 2 2 5 2 6 4 7" xfId="21256" xr:uid="{00000000-0005-0000-0000-000008530000}"/>
    <cellStyle name="Normal 2 2 2 5 2 6 4 8" xfId="21257" xr:uid="{00000000-0005-0000-0000-000009530000}"/>
    <cellStyle name="Normal 2 2 2 5 2 6 4 9" xfId="21258" xr:uid="{00000000-0005-0000-0000-00000A530000}"/>
    <cellStyle name="Normal 2 2 2 5 2 6 5" xfId="21259" xr:uid="{00000000-0005-0000-0000-00000B530000}"/>
    <cellStyle name="Normal 2 2 2 5 2 6 5 10" xfId="21260" xr:uid="{00000000-0005-0000-0000-00000C530000}"/>
    <cellStyle name="Normal 2 2 2 5 2 6 5 2" xfId="21261" xr:uid="{00000000-0005-0000-0000-00000D530000}"/>
    <cellStyle name="Normal 2 2 2 5 2 6 5 3" xfId="21262" xr:uid="{00000000-0005-0000-0000-00000E530000}"/>
    <cellStyle name="Normal 2 2 2 5 2 6 5 4" xfId="21263" xr:uid="{00000000-0005-0000-0000-00000F530000}"/>
    <cellStyle name="Normal 2 2 2 5 2 6 5 5" xfId="21264" xr:uid="{00000000-0005-0000-0000-000010530000}"/>
    <cellStyle name="Normal 2 2 2 5 2 6 5 6" xfId="21265" xr:uid="{00000000-0005-0000-0000-000011530000}"/>
    <cellStyle name="Normal 2 2 2 5 2 6 5 7" xfId="21266" xr:uid="{00000000-0005-0000-0000-000012530000}"/>
    <cellStyle name="Normal 2 2 2 5 2 6 5 8" xfId="21267" xr:uid="{00000000-0005-0000-0000-000013530000}"/>
    <cellStyle name="Normal 2 2 2 5 2 6 5 9" xfId="21268" xr:uid="{00000000-0005-0000-0000-000014530000}"/>
    <cellStyle name="Normal 2 2 2 5 2 6 6" xfId="21269" xr:uid="{00000000-0005-0000-0000-000015530000}"/>
    <cellStyle name="Normal 2 2 2 5 2 6 7" xfId="21270" xr:uid="{00000000-0005-0000-0000-000016530000}"/>
    <cellStyle name="Normal 2 2 2 5 2 6 8" xfId="21271" xr:uid="{00000000-0005-0000-0000-000017530000}"/>
    <cellStyle name="Normal 2 2 2 5 2 6 9" xfId="21272" xr:uid="{00000000-0005-0000-0000-000018530000}"/>
    <cellStyle name="Normal 2 2 2 5 2 7" xfId="21273" xr:uid="{00000000-0005-0000-0000-000019530000}"/>
    <cellStyle name="Normal 2 2 2 5 2 7 10" xfId="21274" xr:uid="{00000000-0005-0000-0000-00001A530000}"/>
    <cellStyle name="Normal 2 2 2 5 2 7 11" xfId="21275" xr:uid="{00000000-0005-0000-0000-00001B530000}"/>
    <cellStyle name="Normal 2 2 2 5 2 7 12" xfId="21276" xr:uid="{00000000-0005-0000-0000-00001C530000}"/>
    <cellStyle name="Normal 2 2 2 5 2 7 13" xfId="21277" xr:uid="{00000000-0005-0000-0000-00001D530000}"/>
    <cellStyle name="Normal 2 2 2 5 2 7 14" xfId="21278" xr:uid="{00000000-0005-0000-0000-00001E530000}"/>
    <cellStyle name="Normal 2 2 2 5 2 7 2" xfId="21279" xr:uid="{00000000-0005-0000-0000-00001F530000}"/>
    <cellStyle name="Normal 2 2 2 5 2 7 2 10" xfId="21280" xr:uid="{00000000-0005-0000-0000-000020530000}"/>
    <cellStyle name="Normal 2 2 2 5 2 7 2 2" xfId="21281" xr:uid="{00000000-0005-0000-0000-000021530000}"/>
    <cellStyle name="Normal 2 2 2 5 2 7 2 3" xfId="21282" xr:uid="{00000000-0005-0000-0000-000022530000}"/>
    <cellStyle name="Normal 2 2 2 5 2 7 2 4" xfId="21283" xr:uid="{00000000-0005-0000-0000-000023530000}"/>
    <cellStyle name="Normal 2 2 2 5 2 7 2 5" xfId="21284" xr:uid="{00000000-0005-0000-0000-000024530000}"/>
    <cellStyle name="Normal 2 2 2 5 2 7 2 6" xfId="21285" xr:uid="{00000000-0005-0000-0000-000025530000}"/>
    <cellStyle name="Normal 2 2 2 5 2 7 2 7" xfId="21286" xr:uid="{00000000-0005-0000-0000-000026530000}"/>
    <cellStyle name="Normal 2 2 2 5 2 7 2 8" xfId="21287" xr:uid="{00000000-0005-0000-0000-000027530000}"/>
    <cellStyle name="Normal 2 2 2 5 2 7 2 9" xfId="21288" xr:uid="{00000000-0005-0000-0000-000028530000}"/>
    <cellStyle name="Normal 2 2 2 5 2 7 3" xfId="21289" xr:uid="{00000000-0005-0000-0000-000029530000}"/>
    <cellStyle name="Normal 2 2 2 5 2 7 3 10" xfId="21290" xr:uid="{00000000-0005-0000-0000-00002A530000}"/>
    <cellStyle name="Normal 2 2 2 5 2 7 3 2" xfId="21291" xr:uid="{00000000-0005-0000-0000-00002B530000}"/>
    <cellStyle name="Normal 2 2 2 5 2 7 3 3" xfId="21292" xr:uid="{00000000-0005-0000-0000-00002C530000}"/>
    <cellStyle name="Normal 2 2 2 5 2 7 3 4" xfId="21293" xr:uid="{00000000-0005-0000-0000-00002D530000}"/>
    <cellStyle name="Normal 2 2 2 5 2 7 3 5" xfId="21294" xr:uid="{00000000-0005-0000-0000-00002E530000}"/>
    <cellStyle name="Normal 2 2 2 5 2 7 3 6" xfId="21295" xr:uid="{00000000-0005-0000-0000-00002F530000}"/>
    <cellStyle name="Normal 2 2 2 5 2 7 3 7" xfId="21296" xr:uid="{00000000-0005-0000-0000-000030530000}"/>
    <cellStyle name="Normal 2 2 2 5 2 7 3 8" xfId="21297" xr:uid="{00000000-0005-0000-0000-000031530000}"/>
    <cellStyle name="Normal 2 2 2 5 2 7 3 9" xfId="21298" xr:uid="{00000000-0005-0000-0000-000032530000}"/>
    <cellStyle name="Normal 2 2 2 5 2 7 4" xfId="21299" xr:uid="{00000000-0005-0000-0000-000033530000}"/>
    <cellStyle name="Normal 2 2 2 5 2 7 4 10" xfId="21300" xr:uid="{00000000-0005-0000-0000-000034530000}"/>
    <cellStyle name="Normal 2 2 2 5 2 7 4 2" xfId="21301" xr:uid="{00000000-0005-0000-0000-000035530000}"/>
    <cellStyle name="Normal 2 2 2 5 2 7 4 3" xfId="21302" xr:uid="{00000000-0005-0000-0000-000036530000}"/>
    <cellStyle name="Normal 2 2 2 5 2 7 4 4" xfId="21303" xr:uid="{00000000-0005-0000-0000-000037530000}"/>
    <cellStyle name="Normal 2 2 2 5 2 7 4 5" xfId="21304" xr:uid="{00000000-0005-0000-0000-000038530000}"/>
    <cellStyle name="Normal 2 2 2 5 2 7 4 6" xfId="21305" xr:uid="{00000000-0005-0000-0000-000039530000}"/>
    <cellStyle name="Normal 2 2 2 5 2 7 4 7" xfId="21306" xr:uid="{00000000-0005-0000-0000-00003A530000}"/>
    <cellStyle name="Normal 2 2 2 5 2 7 4 8" xfId="21307" xr:uid="{00000000-0005-0000-0000-00003B530000}"/>
    <cellStyle name="Normal 2 2 2 5 2 7 4 9" xfId="21308" xr:uid="{00000000-0005-0000-0000-00003C530000}"/>
    <cellStyle name="Normal 2 2 2 5 2 7 5" xfId="21309" xr:uid="{00000000-0005-0000-0000-00003D530000}"/>
    <cellStyle name="Normal 2 2 2 5 2 7 5 10" xfId="21310" xr:uid="{00000000-0005-0000-0000-00003E530000}"/>
    <cellStyle name="Normal 2 2 2 5 2 7 5 2" xfId="21311" xr:uid="{00000000-0005-0000-0000-00003F530000}"/>
    <cellStyle name="Normal 2 2 2 5 2 7 5 3" xfId="21312" xr:uid="{00000000-0005-0000-0000-000040530000}"/>
    <cellStyle name="Normal 2 2 2 5 2 7 5 4" xfId="21313" xr:uid="{00000000-0005-0000-0000-000041530000}"/>
    <cellStyle name="Normal 2 2 2 5 2 7 5 5" xfId="21314" xr:uid="{00000000-0005-0000-0000-000042530000}"/>
    <cellStyle name="Normal 2 2 2 5 2 7 5 6" xfId="21315" xr:uid="{00000000-0005-0000-0000-000043530000}"/>
    <cellStyle name="Normal 2 2 2 5 2 7 5 7" xfId="21316" xr:uid="{00000000-0005-0000-0000-000044530000}"/>
    <cellStyle name="Normal 2 2 2 5 2 7 5 8" xfId="21317" xr:uid="{00000000-0005-0000-0000-000045530000}"/>
    <cellStyle name="Normal 2 2 2 5 2 7 5 9" xfId="21318" xr:uid="{00000000-0005-0000-0000-000046530000}"/>
    <cellStyle name="Normal 2 2 2 5 2 7 6" xfId="21319" xr:uid="{00000000-0005-0000-0000-000047530000}"/>
    <cellStyle name="Normal 2 2 2 5 2 7 7" xfId="21320" xr:uid="{00000000-0005-0000-0000-000048530000}"/>
    <cellStyle name="Normal 2 2 2 5 2 7 8" xfId="21321" xr:uid="{00000000-0005-0000-0000-000049530000}"/>
    <cellStyle name="Normal 2 2 2 5 2 7 9" xfId="21322" xr:uid="{00000000-0005-0000-0000-00004A530000}"/>
    <cellStyle name="Normal 2 2 2 5 2 8" xfId="21323" xr:uid="{00000000-0005-0000-0000-00004B530000}"/>
    <cellStyle name="Normal 2 2 2 5 2 8 10" xfId="21324" xr:uid="{00000000-0005-0000-0000-00004C530000}"/>
    <cellStyle name="Normal 2 2 2 5 2 8 11" xfId="21325" xr:uid="{00000000-0005-0000-0000-00004D530000}"/>
    <cellStyle name="Normal 2 2 2 5 2 8 12" xfId="21326" xr:uid="{00000000-0005-0000-0000-00004E530000}"/>
    <cellStyle name="Normal 2 2 2 5 2 8 13" xfId="21327" xr:uid="{00000000-0005-0000-0000-00004F530000}"/>
    <cellStyle name="Normal 2 2 2 5 2 8 14" xfId="21328" xr:uid="{00000000-0005-0000-0000-000050530000}"/>
    <cellStyle name="Normal 2 2 2 5 2 8 2" xfId="21329" xr:uid="{00000000-0005-0000-0000-000051530000}"/>
    <cellStyle name="Normal 2 2 2 5 2 8 2 10" xfId="21330" xr:uid="{00000000-0005-0000-0000-000052530000}"/>
    <cellStyle name="Normal 2 2 2 5 2 8 2 2" xfId="21331" xr:uid="{00000000-0005-0000-0000-000053530000}"/>
    <cellStyle name="Normal 2 2 2 5 2 8 2 3" xfId="21332" xr:uid="{00000000-0005-0000-0000-000054530000}"/>
    <cellStyle name="Normal 2 2 2 5 2 8 2 4" xfId="21333" xr:uid="{00000000-0005-0000-0000-000055530000}"/>
    <cellStyle name="Normal 2 2 2 5 2 8 2 5" xfId="21334" xr:uid="{00000000-0005-0000-0000-000056530000}"/>
    <cellStyle name="Normal 2 2 2 5 2 8 2 6" xfId="21335" xr:uid="{00000000-0005-0000-0000-000057530000}"/>
    <cellStyle name="Normal 2 2 2 5 2 8 2 7" xfId="21336" xr:uid="{00000000-0005-0000-0000-000058530000}"/>
    <cellStyle name="Normal 2 2 2 5 2 8 2 8" xfId="21337" xr:uid="{00000000-0005-0000-0000-000059530000}"/>
    <cellStyle name="Normal 2 2 2 5 2 8 2 9" xfId="21338" xr:uid="{00000000-0005-0000-0000-00005A530000}"/>
    <cellStyle name="Normal 2 2 2 5 2 8 3" xfId="21339" xr:uid="{00000000-0005-0000-0000-00005B530000}"/>
    <cellStyle name="Normal 2 2 2 5 2 8 3 10" xfId="21340" xr:uid="{00000000-0005-0000-0000-00005C530000}"/>
    <cellStyle name="Normal 2 2 2 5 2 8 3 2" xfId="21341" xr:uid="{00000000-0005-0000-0000-00005D530000}"/>
    <cellStyle name="Normal 2 2 2 5 2 8 3 3" xfId="21342" xr:uid="{00000000-0005-0000-0000-00005E530000}"/>
    <cellStyle name="Normal 2 2 2 5 2 8 3 4" xfId="21343" xr:uid="{00000000-0005-0000-0000-00005F530000}"/>
    <cellStyle name="Normal 2 2 2 5 2 8 3 5" xfId="21344" xr:uid="{00000000-0005-0000-0000-000060530000}"/>
    <cellStyle name="Normal 2 2 2 5 2 8 3 6" xfId="21345" xr:uid="{00000000-0005-0000-0000-000061530000}"/>
    <cellStyle name="Normal 2 2 2 5 2 8 3 7" xfId="21346" xr:uid="{00000000-0005-0000-0000-000062530000}"/>
    <cellStyle name="Normal 2 2 2 5 2 8 3 8" xfId="21347" xr:uid="{00000000-0005-0000-0000-000063530000}"/>
    <cellStyle name="Normal 2 2 2 5 2 8 3 9" xfId="21348" xr:uid="{00000000-0005-0000-0000-000064530000}"/>
    <cellStyle name="Normal 2 2 2 5 2 8 4" xfId="21349" xr:uid="{00000000-0005-0000-0000-000065530000}"/>
    <cellStyle name="Normal 2 2 2 5 2 8 4 10" xfId="21350" xr:uid="{00000000-0005-0000-0000-000066530000}"/>
    <cellStyle name="Normal 2 2 2 5 2 8 4 2" xfId="21351" xr:uid="{00000000-0005-0000-0000-000067530000}"/>
    <cellStyle name="Normal 2 2 2 5 2 8 4 3" xfId="21352" xr:uid="{00000000-0005-0000-0000-000068530000}"/>
    <cellStyle name="Normal 2 2 2 5 2 8 4 4" xfId="21353" xr:uid="{00000000-0005-0000-0000-000069530000}"/>
    <cellStyle name="Normal 2 2 2 5 2 8 4 5" xfId="21354" xr:uid="{00000000-0005-0000-0000-00006A530000}"/>
    <cellStyle name="Normal 2 2 2 5 2 8 4 6" xfId="21355" xr:uid="{00000000-0005-0000-0000-00006B530000}"/>
    <cellStyle name="Normal 2 2 2 5 2 8 4 7" xfId="21356" xr:uid="{00000000-0005-0000-0000-00006C530000}"/>
    <cellStyle name="Normal 2 2 2 5 2 8 4 8" xfId="21357" xr:uid="{00000000-0005-0000-0000-00006D530000}"/>
    <cellStyle name="Normal 2 2 2 5 2 8 4 9" xfId="21358" xr:uid="{00000000-0005-0000-0000-00006E530000}"/>
    <cellStyle name="Normal 2 2 2 5 2 8 5" xfId="21359" xr:uid="{00000000-0005-0000-0000-00006F530000}"/>
    <cellStyle name="Normal 2 2 2 5 2 8 5 10" xfId="21360" xr:uid="{00000000-0005-0000-0000-000070530000}"/>
    <cellStyle name="Normal 2 2 2 5 2 8 5 2" xfId="21361" xr:uid="{00000000-0005-0000-0000-000071530000}"/>
    <cellStyle name="Normal 2 2 2 5 2 8 5 3" xfId="21362" xr:uid="{00000000-0005-0000-0000-000072530000}"/>
    <cellStyle name="Normal 2 2 2 5 2 8 5 4" xfId="21363" xr:uid="{00000000-0005-0000-0000-000073530000}"/>
    <cellStyle name="Normal 2 2 2 5 2 8 5 5" xfId="21364" xr:uid="{00000000-0005-0000-0000-000074530000}"/>
    <cellStyle name="Normal 2 2 2 5 2 8 5 6" xfId="21365" xr:uid="{00000000-0005-0000-0000-000075530000}"/>
    <cellStyle name="Normal 2 2 2 5 2 8 5 7" xfId="21366" xr:uid="{00000000-0005-0000-0000-000076530000}"/>
    <cellStyle name="Normal 2 2 2 5 2 8 5 8" xfId="21367" xr:uid="{00000000-0005-0000-0000-000077530000}"/>
    <cellStyle name="Normal 2 2 2 5 2 8 5 9" xfId="21368" xr:uid="{00000000-0005-0000-0000-000078530000}"/>
    <cellStyle name="Normal 2 2 2 5 2 8 6" xfId="21369" xr:uid="{00000000-0005-0000-0000-000079530000}"/>
    <cellStyle name="Normal 2 2 2 5 2 8 7" xfId="21370" xr:uid="{00000000-0005-0000-0000-00007A530000}"/>
    <cellStyle name="Normal 2 2 2 5 2 8 8" xfId="21371" xr:uid="{00000000-0005-0000-0000-00007B530000}"/>
    <cellStyle name="Normal 2 2 2 5 2 8 9" xfId="21372" xr:uid="{00000000-0005-0000-0000-00007C530000}"/>
    <cellStyle name="Normal 2 2 2 5 2 9" xfId="21373" xr:uid="{00000000-0005-0000-0000-00007D530000}"/>
    <cellStyle name="Normal 2 2 2 5 2 9 10" xfId="21374" xr:uid="{00000000-0005-0000-0000-00007E530000}"/>
    <cellStyle name="Normal 2 2 2 5 2 9 11" xfId="21375" xr:uid="{00000000-0005-0000-0000-00007F530000}"/>
    <cellStyle name="Normal 2 2 2 5 2 9 12" xfId="21376" xr:uid="{00000000-0005-0000-0000-000080530000}"/>
    <cellStyle name="Normal 2 2 2 5 2 9 13" xfId="21377" xr:uid="{00000000-0005-0000-0000-000081530000}"/>
    <cellStyle name="Normal 2 2 2 5 2 9 14" xfId="21378" xr:uid="{00000000-0005-0000-0000-000082530000}"/>
    <cellStyle name="Normal 2 2 2 5 2 9 2" xfId="21379" xr:uid="{00000000-0005-0000-0000-000083530000}"/>
    <cellStyle name="Normal 2 2 2 5 2 9 2 10" xfId="21380" xr:uid="{00000000-0005-0000-0000-000084530000}"/>
    <cellStyle name="Normal 2 2 2 5 2 9 2 2" xfId="21381" xr:uid="{00000000-0005-0000-0000-000085530000}"/>
    <cellStyle name="Normal 2 2 2 5 2 9 2 3" xfId="21382" xr:uid="{00000000-0005-0000-0000-000086530000}"/>
    <cellStyle name="Normal 2 2 2 5 2 9 2 4" xfId="21383" xr:uid="{00000000-0005-0000-0000-000087530000}"/>
    <cellStyle name="Normal 2 2 2 5 2 9 2 5" xfId="21384" xr:uid="{00000000-0005-0000-0000-000088530000}"/>
    <cellStyle name="Normal 2 2 2 5 2 9 2 6" xfId="21385" xr:uid="{00000000-0005-0000-0000-000089530000}"/>
    <cellStyle name="Normal 2 2 2 5 2 9 2 7" xfId="21386" xr:uid="{00000000-0005-0000-0000-00008A530000}"/>
    <cellStyle name="Normal 2 2 2 5 2 9 2 8" xfId="21387" xr:uid="{00000000-0005-0000-0000-00008B530000}"/>
    <cellStyle name="Normal 2 2 2 5 2 9 2 9" xfId="21388" xr:uid="{00000000-0005-0000-0000-00008C530000}"/>
    <cellStyle name="Normal 2 2 2 5 2 9 3" xfId="21389" xr:uid="{00000000-0005-0000-0000-00008D530000}"/>
    <cellStyle name="Normal 2 2 2 5 2 9 3 10" xfId="21390" xr:uid="{00000000-0005-0000-0000-00008E530000}"/>
    <cellStyle name="Normal 2 2 2 5 2 9 3 2" xfId="21391" xr:uid="{00000000-0005-0000-0000-00008F530000}"/>
    <cellStyle name="Normal 2 2 2 5 2 9 3 3" xfId="21392" xr:uid="{00000000-0005-0000-0000-000090530000}"/>
    <cellStyle name="Normal 2 2 2 5 2 9 3 4" xfId="21393" xr:uid="{00000000-0005-0000-0000-000091530000}"/>
    <cellStyle name="Normal 2 2 2 5 2 9 3 5" xfId="21394" xr:uid="{00000000-0005-0000-0000-000092530000}"/>
    <cellStyle name="Normal 2 2 2 5 2 9 3 6" xfId="21395" xr:uid="{00000000-0005-0000-0000-000093530000}"/>
    <cellStyle name="Normal 2 2 2 5 2 9 3 7" xfId="21396" xr:uid="{00000000-0005-0000-0000-000094530000}"/>
    <cellStyle name="Normal 2 2 2 5 2 9 3 8" xfId="21397" xr:uid="{00000000-0005-0000-0000-000095530000}"/>
    <cellStyle name="Normal 2 2 2 5 2 9 3 9" xfId="21398" xr:uid="{00000000-0005-0000-0000-000096530000}"/>
    <cellStyle name="Normal 2 2 2 5 2 9 4" xfId="21399" xr:uid="{00000000-0005-0000-0000-000097530000}"/>
    <cellStyle name="Normal 2 2 2 5 2 9 4 10" xfId="21400" xr:uid="{00000000-0005-0000-0000-000098530000}"/>
    <cellStyle name="Normal 2 2 2 5 2 9 4 2" xfId="21401" xr:uid="{00000000-0005-0000-0000-000099530000}"/>
    <cellStyle name="Normal 2 2 2 5 2 9 4 3" xfId="21402" xr:uid="{00000000-0005-0000-0000-00009A530000}"/>
    <cellStyle name="Normal 2 2 2 5 2 9 4 4" xfId="21403" xr:uid="{00000000-0005-0000-0000-00009B530000}"/>
    <cellStyle name="Normal 2 2 2 5 2 9 4 5" xfId="21404" xr:uid="{00000000-0005-0000-0000-00009C530000}"/>
    <cellStyle name="Normal 2 2 2 5 2 9 4 6" xfId="21405" xr:uid="{00000000-0005-0000-0000-00009D530000}"/>
    <cellStyle name="Normal 2 2 2 5 2 9 4 7" xfId="21406" xr:uid="{00000000-0005-0000-0000-00009E530000}"/>
    <cellStyle name="Normal 2 2 2 5 2 9 4 8" xfId="21407" xr:uid="{00000000-0005-0000-0000-00009F530000}"/>
    <cellStyle name="Normal 2 2 2 5 2 9 4 9" xfId="21408" xr:uid="{00000000-0005-0000-0000-0000A0530000}"/>
    <cellStyle name="Normal 2 2 2 5 2 9 5" xfId="21409" xr:uid="{00000000-0005-0000-0000-0000A1530000}"/>
    <cellStyle name="Normal 2 2 2 5 2 9 5 10" xfId="21410" xr:uid="{00000000-0005-0000-0000-0000A2530000}"/>
    <cellStyle name="Normal 2 2 2 5 2 9 5 2" xfId="21411" xr:uid="{00000000-0005-0000-0000-0000A3530000}"/>
    <cellStyle name="Normal 2 2 2 5 2 9 5 3" xfId="21412" xr:uid="{00000000-0005-0000-0000-0000A4530000}"/>
    <cellStyle name="Normal 2 2 2 5 2 9 5 4" xfId="21413" xr:uid="{00000000-0005-0000-0000-0000A5530000}"/>
    <cellStyle name="Normal 2 2 2 5 2 9 5 5" xfId="21414" xr:uid="{00000000-0005-0000-0000-0000A6530000}"/>
    <cellStyle name="Normal 2 2 2 5 2 9 5 6" xfId="21415" xr:uid="{00000000-0005-0000-0000-0000A7530000}"/>
    <cellStyle name="Normal 2 2 2 5 2 9 5 7" xfId="21416" xr:uid="{00000000-0005-0000-0000-0000A8530000}"/>
    <cellStyle name="Normal 2 2 2 5 2 9 5 8" xfId="21417" xr:uid="{00000000-0005-0000-0000-0000A9530000}"/>
    <cellStyle name="Normal 2 2 2 5 2 9 5 9" xfId="21418" xr:uid="{00000000-0005-0000-0000-0000AA530000}"/>
    <cellStyle name="Normal 2 2 2 5 2 9 6" xfId="21419" xr:uid="{00000000-0005-0000-0000-0000AB530000}"/>
    <cellStyle name="Normal 2 2 2 5 2 9 7" xfId="21420" xr:uid="{00000000-0005-0000-0000-0000AC530000}"/>
    <cellStyle name="Normal 2 2 2 5 2 9 8" xfId="21421" xr:uid="{00000000-0005-0000-0000-0000AD530000}"/>
    <cellStyle name="Normal 2 2 2 5 2 9 9" xfId="21422" xr:uid="{00000000-0005-0000-0000-0000AE530000}"/>
    <cellStyle name="Normal 2 2 2 5 20" xfId="21423" xr:uid="{00000000-0005-0000-0000-0000AF530000}"/>
    <cellStyle name="Normal 2 2 2 5 21" xfId="21424" xr:uid="{00000000-0005-0000-0000-0000B0530000}"/>
    <cellStyle name="Normal 2 2 2 5 21 10" xfId="21425" xr:uid="{00000000-0005-0000-0000-0000B1530000}"/>
    <cellStyle name="Normal 2 2 2 5 21 2" xfId="21426" xr:uid="{00000000-0005-0000-0000-0000B2530000}"/>
    <cellStyle name="Normal 2 2 2 5 21 3" xfId="21427" xr:uid="{00000000-0005-0000-0000-0000B3530000}"/>
    <cellStyle name="Normal 2 2 2 5 21 4" xfId="21428" xr:uid="{00000000-0005-0000-0000-0000B4530000}"/>
    <cellStyle name="Normal 2 2 2 5 21 5" xfId="21429" xr:uid="{00000000-0005-0000-0000-0000B5530000}"/>
    <cellStyle name="Normal 2 2 2 5 21 6" xfId="21430" xr:uid="{00000000-0005-0000-0000-0000B6530000}"/>
    <cellStyle name="Normal 2 2 2 5 21 7" xfId="21431" xr:uid="{00000000-0005-0000-0000-0000B7530000}"/>
    <cellStyle name="Normal 2 2 2 5 21 8" xfId="21432" xr:uid="{00000000-0005-0000-0000-0000B8530000}"/>
    <cellStyle name="Normal 2 2 2 5 21 9" xfId="21433" xr:uid="{00000000-0005-0000-0000-0000B9530000}"/>
    <cellStyle name="Normal 2 2 2 5 22" xfId="21434" xr:uid="{00000000-0005-0000-0000-0000BA530000}"/>
    <cellStyle name="Normal 2 2 2 5 22 10" xfId="21435" xr:uid="{00000000-0005-0000-0000-0000BB530000}"/>
    <cellStyle name="Normal 2 2 2 5 22 2" xfId="21436" xr:uid="{00000000-0005-0000-0000-0000BC530000}"/>
    <cellStyle name="Normal 2 2 2 5 22 3" xfId="21437" xr:uid="{00000000-0005-0000-0000-0000BD530000}"/>
    <cellStyle name="Normal 2 2 2 5 22 4" xfId="21438" xr:uid="{00000000-0005-0000-0000-0000BE530000}"/>
    <cellStyle name="Normal 2 2 2 5 22 5" xfId="21439" xr:uid="{00000000-0005-0000-0000-0000BF530000}"/>
    <cellStyle name="Normal 2 2 2 5 22 6" xfId="21440" xr:uid="{00000000-0005-0000-0000-0000C0530000}"/>
    <cellStyle name="Normal 2 2 2 5 22 7" xfId="21441" xr:uid="{00000000-0005-0000-0000-0000C1530000}"/>
    <cellStyle name="Normal 2 2 2 5 22 8" xfId="21442" xr:uid="{00000000-0005-0000-0000-0000C2530000}"/>
    <cellStyle name="Normal 2 2 2 5 22 9" xfId="21443" xr:uid="{00000000-0005-0000-0000-0000C3530000}"/>
    <cellStyle name="Normal 2 2 2 5 23" xfId="21444" xr:uid="{00000000-0005-0000-0000-0000C4530000}"/>
    <cellStyle name="Normal 2 2 2 5 23 10" xfId="21445" xr:uid="{00000000-0005-0000-0000-0000C5530000}"/>
    <cellStyle name="Normal 2 2 2 5 23 2" xfId="21446" xr:uid="{00000000-0005-0000-0000-0000C6530000}"/>
    <cellStyle name="Normal 2 2 2 5 23 3" xfId="21447" xr:uid="{00000000-0005-0000-0000-0000C7530000}"/>
    <cellStyle name="Normal 2 2 2 5 23 4" xfId="21448" xr:uid="{00000000-0005-0000-0000-0000C8530000}"/>
    <cellStyle name="Normal 2 2 2 5 23 5" xfId="21449" xr:uid="{00000000-0005-0000-0000-0000C9530000}"/>
    <cellStyle name="Normal 2 2 2 5 23 6" xfId="21450" xr:uid="{00000000-0005-0000-0000-0000CA530000}"/>
    <cellStyle name="Normal 2 2 2 5 23 7" xfId="21451" xr:uid="{00000000-0005-0000-0000-0000CB530000}"/>
    <cellStyle name="Normal 2 2 2 5 23 8" xfId="21452" xr:uid="{00000000-0005-0000-0000-0000CC530000}"/>
    <cellStyle name="Normal 2 2 2 5 23 9" xfId="21453" xr:uid="{00000000-0005-0000-0000-0000CD530000}"/>
    <cellStyle name="Normal 2 2 2 5 24" xfId="21454" xr:uid="{00000000-0005-0000-0000-0000CE530000}"/>
    <cellStyle name="Normal 2 2 2 5 24 10" xfId="21455" xr:uid="{00000000-0005-0000-0000-0000CF530000}"/>
    <cellStyle name="Normal 2 2 2 5 24 2" xfId="21456" xr:uid="{00000000-0005-0000-0000-0000D0530000}"/>
    <cellStyle name="Normal 2 2 2 5 24 3" xfId="21457" xr:uid="{00000000-0005-0000-0000-0000D1530000}"/>
    <cellStyle name="Normal 2 2 2 5 24 4" xfId="21458" xr:uid="{00000000-0005-0000-0000-0000D2530000}"/>
    <cellStyle name="Normal 2 2 2 5 24 5" xfId="21459" xr:uid="{00000000-0005-0000-0000-0000D3530000}"/>
    <cellStyle name="Normal 2 2 2 5 24 6" xfId="21460" xr:uid="{00000000-0005-0000-0000-0000D4530000}"/>
    <cellStyle name="Normal 2 2 2 5 24 7" xfId="21461" xr:uid="{00000000-0005-0000-0000-0000D5530000}"/>
    <cellStyle name="Normal 2 2 2 5 24 8" xfId="21462" xr:uid="{00000000-0005-0000-0000-0000D6530000}"/>
    <cellStyle name="Normal 2 2 2 5 24 9" xfId="21463" xr:uid="{00000000-0005-0000-0000-0000D7530000}"/>
    <cellStyle name="Normal 2 2 2 5 25" xfId="21464" xr:uid="{00000000-0005-0000-0000-0000D8530000}"/>
    <cellStyle name="Normal 2 2 2 5 26" xfId="21465" xr:uid="{00000000-0005-0000-0000-0000D9530000}"/>
    <cellStyle name="Normal 2 2 2 5 27" xfId="21466" xr:uid="{00000000-0005-0000-0000-0000DA530000}"/>
    <cellStyle name="Normal 2 2 2 5 28" xfId="21467" xr:uid="{00000000-0005-0000-0000-0000DB530000}"/>
    <cellStyle name="Normal 2 2 2 5 29" xfId="21468" xr:uid="{00000000-0005-0000-0000-0000DC530000}"/>
    <cellStyle name="Normal 2 2 2 5 3" xfId="21469" xr:uid="{00000000-0005-0000-0000-0000DD530000}"/>
    <cellStyle name="Normal 2 2 2 5 30" xfId="21470" xr:uid="{00000000-0005-0000-0000-0000DE530000}"/>
    <cellStyle name="Normal 2 2 2 5 31" xfId="21471" xr:uid="{00000000-0005-0000-0000-0000DF530000}"/>
    <cellStyle name="Normal 2 2 2 5 32" xfId="21472" xr:uid="{00000000-0005-0000-0000-0000E0530000}"/>
    <cellStyle name="Normal 2 2 2 5 33" xfId="21473" xr:uid="{00000000-0005-0000-0000-0000E1530000}"/>
    <cellStyle name="Normal 2 2 2 5 34" xfId="21474" xr:uid="{00000000-0005-0000-0000-0000E2530000}"/>
    <cellStyle name="Normal 2 2 2 5 35" xfId="21475" xr:uid="{00000000-0005-0000-0000-0000E3530000}"/>
    <cellStyle name="Normal 2 2 2 5 4" xfId="21476" xr:uid="{00000000-0005-0000-0000-0000E4530000}"/>
    <cellStyle name="Normal 2 2 2 5 5" xfId="21477" xr:uid="{00000000-0005-0000-0000-0000E5530000}"/>
    <cellStyle name="Normal 2 2 2 5 6" xfId="21478" xr:uid="{00000000-0005-0000-0000-0000E6530000}"/>
    <cellStyle name="Normal 2 2 2 5 7" xfId="21479" xr:uid="{00000000-0005-0000-0000-0000E7530000}"/>
    <cellStyle name="Normal 2 2 2 5 8" xfId="21480" xr:uid="{00000000-0005-0000-0000-0000E8530000}"/>
    <cellStyle name="Normal 2 2 2 5 9" xfId="21481" xr:uid="{00000000-0005-0000-0000-0000E9530000}"/>
    <cellStyle name="Normal 2 2 2 50" xfId="21482" xr:uid="{00000000-0005-0000-0000-0000EA530000}"/>
    <cellStyle name="Normal 2 2 2 51" xfId="21483" xr:uid="{00000000-0005-0000-0000-0000EB530000}"/>
    <cellStyle name="Normal 2 2 2 6" xfId="21484" xr:uid="{00000000-0005-0000-0000-0000EC530000}"/>
    <cellStyle name="Normal 2 2 2 6 10" xfId="21485" xr:uid="{00000000-0005-0000-0000-0000ED530000}"/>
    <cellStyle name="Normal 2 2 2 6 11" xfId="21486" xr:uid="{00000000-0005-0000-0000-0000EE530000}"/>
    <cellStyle name="Normal 2 2 2 6 12" xfId="21487" xr:uid="{00000000-0005-0000-0000-0000EF530000}"/>
    <cellStyle name="Normal 2 2 2 6 13" xfId="21488" xr:uid="{00000000-0005-0000-0000-0000F0530000}"/>
    <cellStyle name="Normal 2 2 2 6 14" xfId="21489" xr:uid="{00000000-0005-0000-0000-0000F1530000}"/>
    <cellStyle name="Normal 2 2 2 6 15" xfId="21490" xr:uid="{00000000-0005-0000-0000-0000F2530000}"/>
    <cellStyle name="Normal 2 2 2 6 16" xfId="21491" xr:uid="{00000000-0005-0000-0000-0000F3530000}"/>
    <cellStyle name="Normal 2 2 2 6 2" xfId="21492" xr:uid="{00000000-0005-0000-0000-0000F4530000}"/>
    <cellStyle name="Normal 2 2 2 6 2 10" xfId="21493" xr:uid="{00000000-0005-0000-0000-0000F5530000}"/>
    <cellStyle name="Normal 2 2 2 6 2 2" xfId="21494" xr:uid="{00000000-0005-0000-0000-0000F6530000}"/>
    <cellStyle name="Normal 2 2 2 6 2 3" xfId="21495" xr:uid="{00000000-0005-0000-0000-0000F7530000}"/>
    <cellStyle name="Normal 2 2 2 6 2 4" xfId="21496" xr:uid="{00000000-0005-0000-0000-0000F8530000}"/>
    <cellStyle name="Normal 2 2 2 6 2 5" xfId="21497" xr:uid="{00000000-0005-0000-0000-0000F9530000}"/>
    <cellStyle name="Normal 2 2 2 6 2 6" xfId="21498" xr:uid="{00000000-0005-0000-0000-0000FA530000}"/>
    <cellStyle name="Normal 2 2 2 6 2 7" xfId="21499" xr:uid="{00000000-0005-0000-0000-0000FB530000}"/>
    <cellStyle name="Normal 2 2 2 6 2 8" xfId="21500" xr:uid="{00000000-0005-0000-0000-0000FC530000}"/>
    <cellStyle name="Normal 2 2 2 6 2 9" xfId="21501" xr:uid="{00000000-0005-0000-0000-0000FD530000}"/>
    <cellStyle name="Normal 2 2 2 6 3" xfId="21502" xr:uid="{00000000-0005-0000-0000-0000FE530000}"/>
    <cellStyle name="Normal 2 2 2 6 3 10" xfId="21503" xr:uid="{00000000-0005-0000-0000-0000FF530000}"/>
    <cellStyle name="Normal 2 2 2 6 3 2" xfId="21504" xr:uid="{00000000-0005-0000-0000-000000540000}"/>
    <cellStyle name="Normal 2 2 2 6 3 3" xfId="21505" xr:uid="{00000000-0005-0000-0000-000001540000}"/>
    <cellStyle name="Normal 2 2 2 6 3 4" xfId="21506" xr:uid="{00000000-0005-0000-0000-000002540000}"/>
    <cellStyle name="Normal 2 2 2 6 3 5" xfId="21507" xr:uid="{00000000-0005-0000-0000-000003540000}"/>
    <cellStyle name="Normal 2 2 2 6 3 6" xfId="21508" xr:uid="{00000000-0005-0000-0000-000004540000}"/>
    <cellStyle name="Normal 2 2 2 6 3 7" xfId="21509" xr:uid="{00000000-0005-0000-0000-000005540000}"/>
    <cellStyle name="Normal 2 2 2 6 3 8" xfId="21510" xr:uid="{00000000-0005-0000-0000-000006540000}"/>
    <cellStyle name="Normal 2 2 2 6 3 9" xfId="21511" xr:uid="{00000000-0005-0000-0000-000007540000}"/>
    <cellStyle name="Normal 2 2 2 6 4" xfId="21512" xr:uid="{00000000-0005-0000-0000-000008540000}"/>
    <cellStyle name="Normal 2 2 2 6 4 10" xfId="21513" xr:uid="{00000000-0005-0000-0000-000009540000}"/>
    <cellStyle name="Normal 2 2 2 6 4 2" xfId="21514" xr:uid="{00000000-0005-0000-0000-00000A540000}"/>
    <cellStyle name="Normal 2 2 2 6 4 3" xfId="21515" xr:uid="{00000000-0005-0000-0000-00000B540000}"/>
    <cellStyle name="Normal 2 2 2 6 4 4" xfId="21516" xr:uid="{00000000-0005-0000-0000-00000C540000}"/>
    <cellStyle name="Normal 2 2 2 6 4 5" xfId="21517" xr:uid="{00000000-0005-0000-0000-00000D540000}"/>
    <cellStyle name="Normal 2 2 2 6 4 6" xfId="21518" xr:uid="{00000000-0005-0000-0000-00000E540000}"/>
    <cellStyle name="Normal 2 2 2 6 4 7" xfId="21519" xr:uid="{00000000-0005-0000-0000-00000F540000}"/>
    <cellStyle name="Normal 2 2 2 6 4 8" xfId="21520" xr:uid="{00000000-0005-0000-0000-000010540000}"/>
    <cellStyle name="Normal 2 2 2 6 4 9" xfId="21521" xr:uid="{00000000-0005-0000-0000-000011540000}"/>
    <cellStyle name="Normal 2 2 2 6 5" xfId="21522" xr:uid="{00000000-0005-0000-0000-000012540000}"/>
    <cellStyle name="Normal 2 2 2 6 5 10" xfId="21523" xr:uid="{00000000-0005-0000-0000-000013540000}"/>
    <cellStyle name="Normal 2 2 2 6 5 2" xfId="21524" xr:uid="{00000000-0005-0000-0000-000014540000}"/>
    <cellStyle name="Normal 2 2 2 6 5 3" xfId="21525" xr:uid="{00000000-0005-0000-0000-000015540000}"/>
    <cellStyle name="Normal 2 2 2 6 5 4" xfId="21526" xr:uid="{00000000-0005-0000-0000-000016540000}"/>
    <cellStyle name="Normal 2 2 2 6 5 5" xfId="21527" xr:uid="{00000000-0005-0000-0000-000017540000}"/>
    <cellStyle name="Normal 2 2 2 6 5 6" xfId="21528" xr:uid="{00000000-0005-0000-0000-000018540000}"/>
    <cellStyle name="Normal 2 2 2 6 5 7" xfId="21529" xr:uid="{00000000-0005-0000-0000-000019540000}"/>
    <cellStyle name="Normal 2 2 2 6 5 8" xfId="21530" xr:uid="{00000000-0005-0000-0000-00001A540000}"/>
    <cellStyle name="Normal 2 2 2 6 5 9" xfId="21531" xr:uid="{00000000-0005-0000-0000-00001B540000}"/>
    <cellStyle name="Normal 2 2 2 6 6" xfId="21532" xr:uid="{00000000-0005-0000-0000-00001C540000}"/>
    <cellStyle name="Normal 2 2 2 6 7" xfId="21533" xr:uid="{00000000-0005-0000-0000-00001D540000}"/>
    <cellStyle name="Normal 2 2 2 6 8" xfId="21534" xr:uid="{00000000-0005-0000-0000-00001E540000}"/>
    <cellStyle name="Normal 2 2 2 6 9" xfId="21535" xr:uid="{00000000-0005-0000-0000-00001F540000}"/>
    <cellStyle name="Normal 2 2 2 7" xfId="21536" xr:uid="{00000000-0005-0000-0000-000020540000}"/>
    <cellStyle name="Normal 2 2 2 7 10" xfId="21537" xr:uid="{00000000-0005-0000-0000-000021540000}"/>
    <cellStyle name="Normal 2 2 2 7 11" xfId="21538" xr:uid="{00000000-0005-0000-0000-000022540000}"/>
    <cellStyle name="Normal 2 2 2 7 12" xfId="21539" xr:uid="{00000000-0005-0000-0000-000023540000}"/>
    <cellStyle name="Normal 2 2 2 7 13" xfId="21540" xr:uid="{00000000-0005-0000-0000-000024540000}"/>
    <cellStyle name="Normal 2 2 2 7 14" xfId="21541" xr:uid="{00000000-0005-0000-0000-000025540000}"/>
    <cellStyle name="Normal 2 2 2 7 15" xfId="21542" xr:uid="{00000000-0005-0000-0000-000026540000}"/>
    <cellStyle name="Normal 2 2 2 7 16" xfId="21543" xr:uid="{00000000-0005-0000-0000-000027540000}"/>
    <cellStyle name="Normal 2 2 2 7 2" xfId="21544" xr:uid="{00000000-0005-0000-0000-000028540000}"/>
    <cellStyle name="Normal 2 2 2 7 2 10" xfId="21545" xr:uid="{00000000-0005-0000-0000-000029540000}"/>
    <cellStyle name="Normal 2 2 2 7 2 2" xfId="21546" xr:uid="{00000000-0005-0000-0000-00002A540000}"/>
    <cellStyle name="Normal 2 2 2 7 2 3" xfId="21547" xr:uid="{00000000-0005-0000-0000-00002B540000}"/>
    <cellStyle name="Normal 2 2 2 7 2 4" xfId="21548" xr:uid="{00000000-0005-0000-0000-00002C540000}"/>
    <cellStyle name="Normal 2 2 2 7 2 5" xfId="21549" xr:uid="{00000000-0005-0000-0000-00002D540000}"/>
    <cellStyle name="Normal 2 2 2 7 2 6" xfId="21550" xr:uid="{00000000-0005-0000-0000-00002E540000}"/>
    <cellStyle name="Normal 2 2 2 7 2 7" xfId="21551" xr:uid="{00000000-0005-0000-0000-00002F540000}"/>
    <cellStyle name="Normal 2 2 2 7 2 8" xfId="21552" xr:uid="{00000000-0005-0000-0000-000030540000}"/>
    <cellStyle name="Normal 2 2 2 7 2 9" xfId="21553" xr:uid="{00000000-0005-0000-0000-000031540000}"/>
    <cellStyle name="Normal 2 2 2 7 3" xfId="21554" xr:uid="{00000000-0005-0000-0000-000032540000}"/>
    <cellStyle name="Normal 2 2 2 7 3 10" xfId="21555" xr:uid="{00000000-0005-0000-0000-000033540000}"/>
    <cellStyle name="Normal 2 2 2 7 3 2" xfId="21556" xr:uid="{00000000-0005-0000-0000-000034540000}"/>
    <cellStyle name="Normal 2 2 2 7 3 3" xfId="21557" xr:uid="{00000000-0005-0000-0000-000035540000}"/>
    <cellStyle name="Normal 2 2 2 7 3 4" xfId="21558" xr:uid="{00000000-0005-0000-0000-000036540000}"/>
    <cellStyle name="Normal 2 2 2 7 3 5" xfId="21559" xr:uid="{00000000-0005-0000-0000-000037540000}"/>
    <cellStyle name="Normal 2 2 2 7 3 6" xfId="21560" xr:uid="{00000000-0005-0000-0000-000038540000}"/>
    <cellStyle name="Normal 2 2 2 7 3 7" xfId="21561" xr:uid="{00000000-0005-0000-0000-000039540000}"/>
    <cellStyle name="Normal 2 2 2 7 3 8" xfId="21562" xr:uid="{00000000-0005-0000-0000-00003A540000}"/>
    <cellStyle name="Normal 2 2 2 7 3 9" xfId="21563" xr:uid="{00000000-0005-0000-0000-00003B540000}"/>
    <cellStyle name="Normal 2 2 2 7 4" xfId="21564" xr:uid="{00000000-0005-0000-0000-00003C540000}"/>
    <cellStyle name="Normal 2 2 2 7 4 10" xfId="21565" xr:uid="{00000000-0005-0000-0000-00003D540000}"/>
    <cellStyle name="Normal 2 2 2 7 4 2" xfId="21566" xr:uid="{00000000-0005-0000-0000-00003E540000}"/>
    <cellStyle name="Normal 2 2 2 7 4 3" xfId="21567" xr:uid="{00000000-0005-0000-0000-00003F540000}"/>
    <cellStyle name="Normal 2 2 2 7 4 4" xfId="21568" xr:uid="{00000000-0005-0000-0000-000040540000}"/>
    <cellStyle name="Normal 2 2 2 7 4 5" xfId="21569" xr:uid="{00000000-0005-0000-0000-000041540000}"/>
    <cellStyle name="Normal 2 2 2 7 4 6" xfId="21570" xr:uid="{00000000-0005-0000-0000-000042540000}"/>
    <cellStyle name="Normal 2 2 2 7 4 7" xfId="21571" xr:uid="{00000000-0005-0000-0000-000043540000}"/>
    <cellStyle name="Normal 2 2 2 7 4 8" xfId="21572" xr:uid="{00000000-0005-0000-0000-000044540000}"/>
    <cellStyle name="Normal 2 2 2 7 4 9" xfId="21573" xr:uid="{00000000-0005-0000-0000-000045540000}"/>
    <cellStyle name="Normal 2 2 2 7 5" xfId="21574" xr:uid="{00000000-0005-0000-0000-000046540000}"/>
    <cellStyle name="Normal 2 2 2 7 5 10" xfId="21575" xr:uid="{00000000-0005-0000-0000-000047540000}"/>
    <cellStyle name="Normal 2 2 2 7 5 2" xfId="21576" xr:uid="{00000000-0005-0000-0000-000048540000}"/>
    <cellStyle name="Normal 2 2 2 7 5 3" xfId="21577" xr:uid="{00000000-0005-0000-0000-000049540000}"/>
    <cellStyle name="Normal 2 2 2 7 5 4" xfId="21578" xr:uid="{00000000-0005-0000-0000-00004A540000}"/>
    <cellStyle name="Normal 2 2 2 7 5 5" xfId="21579" xr:uid="{00000000-0005-0000-0000-00004B540000}"/>
    <cellStyle name="Normal 2 2 2 7 5 6" xfId="21580" xr:uid="{00000000-0005-0000-0000-00004C540000}"/>
    <cellStyle name="Normal 2 2 2 7 5 7" xfId="21581" xr:uid="{00000000-0005-0000-0000-00004D540000}"/>
    <cellStyle name="Normal 2 2 2 7 5 8" xfId="21582" xr:uid="{00000000-0005-0000-0000-00004E540000}"/>
    <cellStyle name="Normal 2 2 2 7 5 9" xfId="21583" xr:uid="{00000000-0005-0000-0000-00004F540000}"/>
    <cellStyle name="Normal 2 2 2 7 6" xfId="21584" xr:uid="{00000000-0005-0000-0000-000050540000}"/>
    <cellStyle name="Normal 2 2 2 7 7" xfId="21585" xr:uid="{00000000-0005-0000-0000-000051540000}"/>
    <cellStyle name="Normal 2 2 2 7 8" xfId="21586" xr:uid="{00000000-0005-0000-0000-000052540000}"/>
    <cellStyle name="Normal 2 2 2 7 9" xfId="21587" xr:uid="{00000000-0005-0000-0000-000053540000}"/>
    <cellStyle name="Normal 2 2 2 8" xfId="21588" xr:uid="{00000000-0005-0000-0000-000054540000}"/>
    <cellStyle name="Normal 2 2 2 8 10" xfId="21589" xr:uid="{00000000-0005-0000-0000-000055540000}"/>
    <cellStyle name="Normal 2 2 2 8 11" xfId="21590" xr:uid="{00000000-0005-0000-0000-000056540000}"/>
    <cellStyle name="Normal 2 2 2 8 12" xfId="21591" xr:uid="{00000000-0005-0000-0000-000057540000}"/>
    <cellStyle name="Normal 2 2 2 8 13" xfId="21592" xr:uid="{00000000-0005-0000-0000-000058540000}"/>
    <cellStyle name="Normal 2 2 2 8 14" xfId="21593" xr:uid="{00000000-0005-0000-0000-000059540000}"/>
    <cellStyle name="Normal 2 2 2 8 2" xfId="21594" xr:uid="{00000000-0005-0000-0000-00005A540000}"/>
    <cellStyle name="Normal 2 2 2 8 2 10" xfId="21595" xr:uid="{00000000-0005-0000-0000-00005B540000}"/>
    <cellStyle name="Normal 2 2 2 8 2 2" xfId="21596" xr:uid="{00000000-0005-0000-0000-00005C540000}"/>
    <cellStyle name="Normal 2 2 2 8 2 3" xfId="21597" xr:uid="{00000000-0005-0000-0000-00005D540000}"/>
    <cellStyle name="Normal 2 2 2 8 2 4" xfId="21598" xr:uid="{00000000-0005-0000-0000-00005E540000}"/>
    <cellStyle name="Normal 2 2 2 8 2 5" xfId="21599" xr:uid="{00000000-0005-0000-0000-00005F540000}"/>
    <cellStyle name="Normal 2 2 2 8 2 6" xfId="21600" xr:uid="{00000000-0005-0000-0000-000060540000}"/>
    <cellStyle name="Normal 2 2 2 8 2 7" xfId="21601" xr:uid="{00000000-0005-0000-0000-000061540000}"/>
    <cellStyle name="Normal 2 2 2 8 2 8" xfId="21602" xr:uid="{00000000-0005-0000-0000-000062540000}"/>
    <cellStyle name="Normal 2 2 2 8 2 9" xfId="21603" xr:uid="{00000000-0005-0000-0000-000063540000}"/>
    <cellStyle name="Normal 2 2 2 8 3" xfId="21604" xr:uid="{00000000-0005-0000-0000-000064540000}"/>
    <cellStyle name="Normal 2 2 2 8 3 10" xfId="21605" xr:uid="{00000000-0005-0000-0000-000065540000}"/>
    <cellStyle name="Normal 2 2 2 8 3 2" xfId="21606" xr:uid="{00000000-0005-0000-0000-000066540000}"/>
    <cellStyle name="Normal 2 2 2 8 3 3" xfId="21607" xr:uid="{00000000-0005-0000-0000-000067540000}"/>
    <cellStyle name="Normal 2 2 2 8 3 4" xfId="21608" xr:uid="{00000000-0005-0000-0000-000068540000}"/>
    <cellStyle name="Normal 2 2 2 8 3 5" xfId="21609" xr:uid="{00000000-0005-0000-0000-000069540000}"/>
    <cellStyle name="Normal 2 2 2 8 3 6" xfId="21610" xr:uid="{00000000-0005-0000-0000-00006A540000}"/>
    <cellStyle name="Normal 2 2 2 8 3 7" xfId="21611" xr:uid="{00000000-0005-0000-0000-00006B540000}"/>
    <cellStyle name="Normal 2 2 2 8 3 8" xfId="21612" xr:uid="{00000000-0005-0000-0000-00006C540000}"/>
    <cellStyle name="Normal 2 2 2 8 3 9" xfId="21613" xr:uid="{00000000-0005-0000-0000-00006D540000}"/>
    <cellStyle name="Normal 2 2 2 8 4" xfId="21614" xr:uid="{00000000-0005-0000-0000-00006E540000}"/>
    <cellStyle name="Normal 2 2 2 8 4 10" xfId="21615" xr:uid="{00000000-0005-0000-0000-00006F540000}"/>
    <cellStyle name="Normal 2 2 2 8 4 2" xfId="21616" xr:uid="{00000000-0005-0000-0000-000070540000}"/>
    <cellStyle name="Normal 2 2 2 8 4 3" xfId="21617" xr:uid="{00000000-0005-0000-0000-000071540000}"/>
    <cellStyle name="Normal 2 2 2 8 4 4" xfId="21618" xr:uid="{00000000-0005-0000-0000-000072540000}"/>
    <cellStyle name="Normal 2 2 2 8 4 5" xfId="21619" xr:uid="{00000000-0005-0000-0000-000073540000}"/>
    <cellStyle name="Normal 2 2 2 8 4 6" xfId="21620" xr:uid="{00000000-0005-0000-0000-000074540000}"/>
    <cellStyle name="Normal 2 2 2 8 4 7" xfId="21621" xr:uid="{00000000-0005-0000-0000-000075540000}"/>
    <cellStyle name="Normal 2 2 2 8 4 8" xfId="21622" xr:uid="{00000000-0005-0000-0000-000076540000}"/>
    <cellStyle name="Normal 2 2 2 8 4 9" xfId="21623" xr:uid="{00000000-0005-0000-0000-000077540000}"/>
    <cellStyle name="Normal 2 2 2 8 5" xfId="21624" xr:uid="{00000000-0005-0000-0000-000078540000}"/>
    <cellStyle name="Normal 2 2 2 8 5 10" xfId="21625" xr:uid="{00000000-0005-0000-0000-000079540000}"/>
    <cellStyle name="Normal 2 2 2 8 5 2" xfId="21626" xr:uid="{00000000-0005-0000-0000-00007A540000}"/>
    <cellStyle name="Normal 2 2 2 8 5 3" xfId="21627" xr:uid="{00000000-0005-0000-0000-00007B540000}"/>
    <cellStyle name="Normal 2 2 2 8 5 4" xfId="21628" xr:uid="{00000000-0005-0000-0000-00007C540000}"/>
    <cellStyle name="Normal 2 2 2 8 5 5" xfId="21629" xr:uid="{00000000-0005-0000-0000-00007D540000}"/>
    <cellStyle name="Normal 2 2 2 8 5 6" xfId="21630" xr:uid="{00000000-0005-0000-0000-00007E540000}"/>
    <cellStyle name="Normal 2 2 2 8 5 7" xfId="21631" xr:uid="{00000000-0005-0000-0000-00007F540000}"/>
    <cellStyle name="Normal 2 2 2 8 5 8" xfId="21632" xr:uid="{00000000-0005-0000-0000-000080540000}"/>
    <cellStyle name="Normal 2 2 2 8 5 9" xfId="21633" xr:uid="{00000000-0005-0000-0000-000081540000}"/>
    <cellStyle name="Normal 2 2 2 8 6" xfId="21634" xr:uid="{00000000-0005-0000-0000-000082540000}"/>
    <cellStyle name="Normal 2 2 2 8 7" xfId="21635" xr:uid="{00000000-0005-0000-0000-000083540000}"/>
    <cellStyle name="Normal 2 2 2 8 8" xfId="21636" xr:uid="{00000000-0005-0000-0000-000084540000}"/>
    <cellStyle name="Normal 2 2 2 8 9" xfId="21637" xr:uid="{00000000-0005-0000-0000-000085540000}"/>
    <cellStyle name="Normal 2 2 2 9" xfId="21638" xr:uid="{00000000-0005-0000-0000-000086540000}"/>
    <cellStyle name="Normal 2 2 2 9 10" xfId="21639" xr:uid="{00000000-0005-0000-0000-000087540000}"/>
    <cellStyle name="Normal 2 2 2 9 11" xfId="21640" xr:uid="{00000000-0005-0000-0000-000088540000}"/>
    <cellStyle name="Normal 2 2 2 9 12" xfId="21641" xr:uid="{00000000-0005-0000-0000-000089540000}"/>
    <cellStyle name="Normal 2 2 2 9 13" xfId="21642" xr:uid="{00000000-0005-0000-0000-00008A540000}"/>
    <cellStyle name="Normal 2 2 2 9 14" xfId="21643" xr:uid="{00000000-0005-0000-0000-00008B540000}"/>
    <cellStyle name="Normal 2 2 2 9 2" xfId="21644" xr:uid="{00000000-0005-0000-0000-00008C540000}"/>
    <cellStyle name="Normal 2 2 2 9 2 10" xfId="21645" xr:uid="{00000000-0005-0000-0000-00008D540000}"/>
    <cellStyle name="Normal 2 2 2 9 2 2" xfId="21646" xr:uid="{00000000-0005-0000-0000-00008E540000}"/>
    <cellStyle name="Normal 2 2 2 9 2 3" xfId="21647" xr:uid="{00000000-0005-0000-0000-00008F540000}"/>
    <cellStyle name="Normal 2 2 2 9 2 4" xfId="21648" xr:uid="{00000000-0005-0000-0000-000090540000}"/>
    <cellStyle name="Normal 2 2 2 9 2 5" xfId="21649" xr:uid="{00000000-0005-0000-0000-000091540000}"/>
    <cellStyle name="Normal 2 2 2 9 2 6" xfId="21650" xr:uid="{00000000-0005-0000-0000-000092540000}"/>
    <cellStyle name="Normal 2 2 2 9 2 7" xfId="21651" xr:uid="{00000000-0005-0000-0000-000093540000}"/>
    <cellStyle name="Normal 2 2 2 9 2 8" xfId="21652" xr:uid="{00000000-0005-0000-0000-000094540000}"/>
    <cellStyle name="Normal 2 2 2 9 2 9" xfId="21653" xr:uid="{00000000-0005-0000-0000-000095540000}"/>
    <cellStyle name="Normal 2 2 2 9 3" xfId="21654" xr:uid="{00000000-0005-0000-0000-000096540000}"/>
    <cellStyle name="Normal 2 2 2 9 3 10" xfId="21655" xr:uid="{00000000-0005-0000-0000-000097540000}"/>
    <cellStyle name="Normal 2 2 2 9 3 2" xfId="21656" xr:uid="{00000000-0005-0000-0000-000098540000}"/>
    <cellStyle name="Normal 2 2 2 9 3 3" xfId="21657" xr:uid="{00000000-0005-0000-0000-000099540000}"/>
    <cellStyle name="Normal 2 2 2 9 3 4" xfId="21658" xr:uid="{00000000-0005-0000-0000-00009A540000}"/>
    <cellStyle name="Normal 2 2 2 9 3 5" xfId="21659" xr:uid="{00000000-0005-0000-0000-00009B540000}"/>
    <cellStyle name="Normal 2 2 2 9 3 6" xfId="21660" xr:uid="{00000000-0005-0000-0000-00009C540000}"/>
    <cellStyle name="Normal 2 2 2 9 3 7" xfId="21661" xr:uid="{00000000-0005-0000-0000-00009D540000}"/>
    <cellStyle name="Normal 2 2 2 9 3 8" xfId="21662" xr:uid="{00000000-0005-0000-0000-00009E540000}"/>
    <cellStyle name="Normal 2 2 2 9 3 9" xfId="21663" xr:uid="{00000000-0005-0000-0000-00009F540000}"/>
    <cellStyle name="Normal 2 2 2 9 4" xfId="21664" xr:uid="{00000000-0005-0000-0000-0000A0540000}"/>
    <cellStyle name="Normal 2 2 2 9 4 10" xfId="21665" xr:uid="{00000000-0005-0000-0000-0000A1540000}"/>
    <cellStyle name="Normal 2 2 2 9 4 2" xfId="21666" xr:uid="{00000000-0005-0000-0000-0000A2540000}"/>
    <cellStyle name="Normal 2 2 2 9 4 3" xfId="21667" xr:uid="{00000000-0005-0000-0000-0000A3540000}"/>
    <cellStyle name="Normal 2 2 2 9 4 4" xfId="21668" xr:uid="{00000000-0005-0000-0000-0000A4540000}"/>
    <cellStyle name="Normal 2 2 2 9 4 5" xfId="21669" xr:uid="{00000000-0005-0000-0000-0000A5540000}"/>
    <cellStyle name="Normal 2 2 2 9 4 6" xfId="21670" xr:uid="{00000000-0005-0000-0000-0000A6540000}"/>
    <cellStyle name="Normal 2 2 2 9 4 7" xfId="21671" xr:uid="{00000000-0005-0000-0000-0000A7540000}"/>
    <cellStyle name="Normal 2 2 2 9 4 8" xfId="21672" xr:uid="{00000000-0005-0000-0000-0000A8540000}"/>
    <cellStyle name="Normal 2 2 2 9 4 9" xfId="21673" xr:uid="{00000000-0005-0000-0000-0000A9540000}"/>
    <cellStyle name="Normal 2 2 2 9 5" xfId="21674" xr:uid="{00000000-0005-0000-0000-0000AA540000}"/>
    <cellStyle name="Normal 2 2 2 9 5 10" xfId="21675" xr:uid="{00000000-0005-0000-0000-0000AB540000}"/>
    <cellStyle name="Normal 2 2 2 9 5 2" xfId="21676" xr:uid="{00000000-0005-0000-0000-0000AC540000}"/>
    <cellStyle name="Normal 2 2 2 9 5 3" xfId="21677" xr:uid="{00000000-0005-0000-0000-0000AD540000}"/>
    <cellStyle name="Normal 2 2 2 9 5 4" xfId="21678" xr:uid="{00000000-0005-0000-0000-0000AE540000}"/>
    <cellStyle name="Normal 2 2 2 9 5 5" xfId="21679" xr:uid="{00000000-0005-0000-0000-0000AF540000}"/>
    <cellStyle name="Normal 2 2 2 9 5 6" xfId="21680" xr:uid="{00000000-0005-0000-0000-0000B0540000}"/>
    <cellStyle name="Normal 2 2 2 9 5 7" xfId="21681" xr:uid="{00000000-0005-0000-0000-0000B1540000}"/>
    <cellStyle name="Normal 2 2 2 9 5 8" xfId="21682" xr:uid="{00000000-0005-0000-0000-0000B2540000}"/>
    <cellStyle name="Normal 2 2 2 9 5 9" xfId="21683" xr:uid="{00000000-0005-0000-0000-0000B3540000}"/>
    <cellStyle name="Normal 2 2 2 9 6" xfId="21684" xr:uid="{00000000-0005-0000-0000-0000B4540000}"/>
    <cellStyle name="Normal 2 2 2 9 7" xfId="21685" xr:uid="{00000000-0005-0000-0000-0000B5540000}"/>
    <cellStyle name="Normal 2 2 2 9 8" xfId="21686" xr:uid="{00000000-0005-0000-0000-0000B6540000}"/>
    <cellStyle name="Normal 2 2 2 9 9" xfId="21687" xr:uid="{00000000-0005-0000-0000-0000B7540000}"/>
    <cellStyle name="Normal 2 2 20" xfId="21688" xr:uid="{00000000-0005-0000-0000-0000B8540000}"/>
    <cellStyle name="Normal 2 2 21" xfId="21689" xr:uid="{00000000-0005-0000-0000-0000B9540000}"/>
    <cellStyle name="Normal 2 2 22" xfId="21690" xr:uid="{00000000-0005-0000-0000-0000BA540000}"/>
    <cellStyle name="Normal 2 2 23" xfId="21691" xr:uid="{00000000-0005-0000-0000-0000BB540000}"/>
    <cellStyle name="Normal 2 2 24" xfId="21692" xr:uid="{00000000-0005-0000-0000-0000BC540000}"/>
    <cellStyle name="Normal 2 2 25" xfId="21693" xr:uid="{00000000-0005-0000-0000-0000BD540000}"/>
    <cellStyle name="Normal 2 2 26" xfId="21694" xr:uid="{00000000-0005-0000-0000-0000BE540000}"/>
    <cellStyle name="Normal 2 2 27" xfId="21695" xr:uid="{00000000-0005-0000-0000-0000BF540000}"/>
    <cellStyle name="Normal 2 2 28" xfId="21696" xr:uid="{00000000-0005-0000-0000-0000C0540000}"/>
    <cellStyle name="Normal 2 2 29" xfId="21697" xr:uid="{00000000-0005-0000-0000-0000C1540000}"/>
    <cellStyle name="Normal 2 2 3" xfId="21698" xr:uid="{00000000-0005-0000-0000-0000C2540000}"/>
    <cellStyle name="Normal 2 2 3 2" xfId="21699" xr:uid="{00000000-0005-0000-0000-0000C3540000}"/>
    <cellStyle name="Normal 2 2 3 3" xfId="21700" xr:uid="{00000000-0005-0000-0000-0000C4540000}"/>
    <cellStyle name="Normal 2 2 3 4" xfId="21701" xr:uid="{00000000-0005-0000-0000-0000C5540000}"/>
    <cellStyle name="Normal 2 2 30" xfId="21702" xr:uid="{00000000-0005-0000-0000-0000C6540000}"/>
    <cellStyle name="Normal 2 2 31" xfId="21703" xr:uid="{00000000-0005-0000-0000-0000C7540000}"/>
    <cellStyle name="Normal 2 2 32" xfId="21704" xr:uid="{00000000-0005-0000-0000-0000C8540000}"/>
    <cellStyle name="Normal 2 2 33" xfId="21705" xr:uid="{00000000-0005-0000-0000-0000C9540000}"/>
    <cellStyle name="Normal 2 2 34" xfId="21706" xr:uid="{00000000-0005-0000-0000-0000CA540000}"/>
    <cellStyle name="Normal 2 2 35" xfId="21707" xr:uid="{00000000-0005-0000-0000-0000CB540000}"/>
    <cellStyle name="Normal 2 2 36" xfId="21708" xr:uid="{00000000-0005-0000-0000-0000CC540000}"/>
    <cellStyle name="Normal 2 2 37" xfId="21709" xr:uid="{00000000-0005-0000-0000-0000CD540000}"/>
    <cellStyle name="Normal 2 2 38" xfId="21710" xr:uid="{00000000-0005-0000-0000-0000CE540000}"/>
    <cellStyle name="Normal 2 2 39" xfId="21711" xr:uid="{00000000-0005-0000-0000-0000CF540000}"/>
    <cellStyle name="Normal 2 2 4" xfId="17" xr:uid="{00000000-0005-0000-0000-000011000000}"/>
    <cellStyle name="Normal 2 2 4 10" xfId="21712" xr:uid="{00000000-0005-0000-0000-0000D0540000}"/>
    <cellStyle name="Normal 2 2 4 10 10" xfId="21713" xr:uid="{00000000-0005-0000-0000-0000D1540000}"/>
    <cellStyle name="Normal 2 2 4 10 11" xfId="21714" xr:uid="{00000000-0005-0000-0000-0000D2540000}"/>
    <cellStyle name="Normal 2 2 4 10 12" xfId="21715" xr:uid="{00000000-0005-0000-0000-0000D3540000}"/>
    <cellStyle name="Normal 2 2 4 10 13" xfId="21716" xr:uid="{00000000-0005-0000-0000-0000D4540000}"/>
    <cellStyle name="Normal 2 2 4 10 14" xfId="21717" xr:uid="{00000000-0005-0000-0000-0000D5540000}"/>
    <cellStyle name="Normal 2 2 4 10 2" xfId="21718" xr:uid="{00000000-0005-0000-0000-0000D6540000}"/>
    <cellStyle name="Normal 2 2 4 10 2 10" xfId="21719" xr:uid="{00000000-0005-0000-0000-0000D7540000}"/>
    <cellStyle name="Normal 2 2 4 10 2 2" xfId="21720" xr:uid="{00000000-0005-0000-0000-0000D8540000}"/>
    <cellStyle name="Normal 2 2 4 10 2 3" xfId="21721" xr:uid="{00000000-0005-0000-0000-0000D9540000}"/>
    <cellStyle name="Normal 2 2 4 10 2 4" xfId="21722" xr:uid="{00000000-0005-0000-0000-0000DA540000}"/>
    <cellStyle name="Normal 2 2 4 10 2 5" xfId="21723" xr:uid="{00000000-0005-0000-0000-0000DB540000}"/>
    <cellStyle name="Normal 2 2 4 10 2 6" xfId="21724" xr:uid="{00000000-0005-0000-0000-0000DC540000}"/>
    <cellStyle name="Normal 2 2 4 10 2 7" xfId="21725" xr:uid="{00000000-0005-0000-0000-0000DD540000}"/>
    <cellStyle name="Normal 2 2 4 10 2 8" xfId="21726" xr:uid="{00000000-0005-0000-0000-0000DE540000}"/>
    <cellStyle name="Normal 2 2 4 10 2 9" xfId="21727" xr:uid="{00000000-0005-0000-0000-0000DF540000}"/>
    <cellStyle name="Normal 2 2 4 10 3" xfId="21728" xr:uid="{00000000-0005-0000-0000-0000E0540000}"/>
    <cellStyle name="Normal 2 2 4 10 3 10" xfId="21729" xr:uid="{00000000-0005-0000-0000-0000E1540000}"/>
    <cellStyle name="Normal 2 2 4 10 3 2" xfId="21730" xr:uid="{00000000-0005-0000-0000-0000E2540000}"/>
    <cellStyle name="Normal 2 2 4 10 3 3" xfId="21731" xr:uid="{00000000-0005-0000-0000-0000E3540000}"/>
    <cellStyle name="Normal 2 2 4 10 3 4" xfId="21732" xr:uid="{00000000-0005-0000-0000-0000E4540000}"/>
    <cellStyle name="Normal 2 2 4 10 3 5" xfId="21733" xr:uid="{00000000-0005-0000-0000-0000E5540000}"/>
    <cellStyle name="Normal 2 2 4 10 3 6" xfId="21734" xr:uid="{00000000-0005-0000-0000-0000E6540000}"/>
    <cellStyle name="Normal 2 2 4 10 3 7" xfId="21735" xr:uid="{00000000-0005-0000-0000-0000E7540000}"/>
    <cellStyle name="Normal 2 2 4 10 3 8" xfId="21736" xr:uid="{00000000-0005-0000-0000-0000E8540000}"/>
    <cellStyle name="Normal 2 2 4 10 3 9" xfId="21737" xr:uid="{00000000-0005-0000-0000-0000E9540000}"/>
    <cellStyle name="Normal 2 2 4 10 4" xfId="21738" xr:uid="{00000000-0005-0000-0000-0000EA540000}"/>
    <cellStyle name="Normal 2 2 4 10 4 10" xfId="21739" xr:uid="{00000000-0005-0000-0000-0000EB540000}"/>
    <cellStyle name="Normal 2 2 4 10 4 2" xfId="21740" xr:uid="{00000000-0005-0000-0000-0000EC540000}"/>
    <cellStyle name="Normal 2 2 4 10 4 3" xfId="21741" xr:uid="{00000000-0005-0000-0000-0000ED540000}"/>
    <cellStyle name="Normal 2 2 4 10 4 4" xfId="21742" xr:uid="{00000000-0005-0000-0000-0000EE540000}"/>
    <cellStyle name="Normal 2 2 4 10 4 5" xfId="21743" xr:uid="{00000000-0005-0000-0000-0000EF540000}"/>
    <cellStyle name="Normal 2 2 4 10 4 6" xfId="21744" xr:uid="{00000000-0005-0000-0000-0000F0540000}"/>
    <cellStyle name="Normal 2 2 4 10 4 7" xfId="21745" xr:uid="{00000000-0005-0000-0000-0000F1540000}"/>
    <cellStyle name="Normal 2 2 4 10 4 8" xfId="21746" xr:uid="{00000000-0005-0000-0000-0000F2540000}"/>
    <cellStyle name="Normal 2 2 4 10 4 9" xfId="21747" xr:uid="{00000000-0005-0000-0000-0000F3540000}"/>
    <cellStyle name="Normal 2 2 4 10 5" xfId="21748" xr:uid="{00000000-0005-0000-0000-0000F4540000}"/>
    <cellStyle name="Normal 2 2 4 10 5 10" xfId="21749" xr:uid="{00000000-0005-0000-0000-0000F5540000}"/>
    <cellStyle name="Normal 2 2 4 10 5 2" xfId="21750" xr:uid="{00000000-0005-0000-0000-0000F6540000}"/>
    <cellStyle name="Normal 2 2 4 10 5 3" xfId="21751" xr:uid="{00000000-0005-0000-0000-0000F7540000}"/>
    <cellStyle name="Normal 2 2 4 10 5 4" xfId="21752" xr:uid="{00000000-0005-0000-0000-0000F8540000}"/>
    <cellStyle name="Normal 2 2 4 10 5 5" xfId="21753" xr:uid="{00000000-0005-0000-0000-0000F9540000}"/>
    <cellStyle name="Normal 2 2 4 10 5 6" xfId="21754" xr:uid="{00000000-0005-0000-0000-0000FA540000}"/>
    <cellStyle name="Normal 2 2 4 10 5 7" xfId="21755" xr:uid="{00000000-0005-0000-0000-0000FB540000}"/>
    <cellStyle name="Normal 2 2 4 10 5 8" xfId="21756" xr:uid="{00000000-0005-0000-0000-0000FC540000}"/>
    <cellStyle name="Normal 2 2 4 10 5 9" xfId="21757" xr:uid="{00000000-0005-0000-0000-0000FD540000}"/>
    <cellStyle name="Normal 2 2 4 10 6" xfId="21758" xr:uid="{00000000-0005-0000-0000-0000FE540000}"/>
    <cellStyle name="Normal 2 2 4 10 7" xfId="21759" xr:uid="{00000000-0005-0000-0000-0000FF540000}"/>
    <cellStyle name="Normal 2 2 4 10 8" xfId="21760" xr:uid="{00000000-0005-0000-0000-000000550000}"/>
    <cellStyle name="Normal 2 2 4 10 9" xfId="21761" xr:uid="{00000000-0005-0000-0000-000001550000}"/>
    <cellStyle name="Normal 2 2 4 11" xfId="21762" xr:uid="{00000000-0005-0000-0000-000002550000}"/>
    <cellStyle name="Normal 2 2 4 11 10" xfId="21763" xr:uid="{00000000-0005-0000-0000-000003550000}"/>
    <cellStyle name="Normal 2 2 4 11 11" xfId="21764" xr:uid="{00000000-0005-0000-0000-000004550000}"/>
    <cellStyle name="Normal 2 2 4 11 12" xfId="21765" xr:uid="{00000000-0005-0000-0000-000005550000}"/>
    <cellStyle name="Normal 2 2 4 11 13" xfId="21766" xr:uid="{00000000-0005-0000-0000-000006550000}"/>
    <cellStyle name="Normal 2 2 4 11 14" xfId="21767" xr:uid="{00000000-0005-0000-0000-000007550000}"/>
    <cellStyle name="Normal 2 2 4 11 2" xfId="21768" xr:uid="{00000000-0005-0000-0000-000008550000}"/>
    <cellStyle name="Normal 2 2 4 11 2 10" xfId="21769" xr:uid="{00000000-0005-0000-0000-000009550000}"/>
    <cellStyle name="Normal 2 2 4 11 2 2" xfId="21770" xr:uid="{00000000-0005-0000-0000-00000A550000}"/>
    <cellStyle name="Normal 2 2 4 11 2 3" xfId="21771" xr:uid="{00000000-0005-0000-0000-00000B550000}"/>
    <cellStyle name="Normal 2 2 4 11 2 4" xfId="21772" xr:uid="{00000000-0005-0000-0000-00000C550000}"/>
    <cellStyle name="Normal 2 2 4 11 2 5" xfId="21773" xr:uid="{00000000-0005-0000-0000-00000D550000}"/>
    <cellStyle name="Normal 2 2 4 11 2 6" xfId="21774" xr:uid="{00000000-0005-0000-0000-00000E550000}"/>
    <cellStyle name="Normal 2 2 4 11 2 7" xfId="21775" xr:uid="{00000000-0005-0000-0000-00000F550000}"/>
    <cellStyle name="Normal 2 2 4 11 2 8" xfId="21776" xr:uid="{00000000-0005-0000-0000-000010550000}"/>
    <cellStyle name="Normal 2 2 4 11 2 9" xfId="21777" xr:uid="{00000000-0005-0000-0000-000011550000}"/>
    <cellStyle name="Normal 2 2 4 11 3" xfId="21778" xr:uid="{00000000-0005-0000-0000-000012550000}"/>
    <cellStyle name="Normal 2 2 4 11 3 10" xfId="21779" xr:uid="{00000000-0005-0000-0000-000013550000}"/>
    <cellStyle name="Normal 2 2 4 11 3 2" xfId="21780" xr:uid="{00000000-0005-0000-0000-000014550000}"/>
    <cellStyle name="Normal 2 2 4 11 3 3" xfId="21781" xr:uid="{00000000-0005-0000-0000-000015550000}"/>
    <cellStyle name="Normal 2 2 4 11 3 4" xfId="21782" xr:uid="{00000000-0005-0000-0000-000016550000}"/>
    <cellStyle name="Normal 2 2 4 11 3 5" xfId="21783" xr:uid="{00000000-0005-0000-0000-000017550000}"/>
    <cellStyle name="Normal 2 2 4 11 3 6" xfId="21784" xr:uid="{00000000-0005-0000-0000-000018550000}"/>
    <cellStyle name="Normal 2 2 4 11 3 7" xfId="21785" xr:uid="{00000000-0005-0000-0000-000019550000}"/>
    <cellStyle name="Normal 2 2 4 11 3 8" xfId="21786" xr:uid="{00000000-0005-0000-0000-00001A550000}"/>
    <cellStyle name="Normal 2 2 4 11 3 9" xfId="21787" xr:uid="{00000000-0005-0000-0000-00001B550000}"/>
    <cellStyle name="Normal 2 2 4 11 4" xfId="21788" xr:uid="{00000000-0005-0000-0000-00001C550000}"/>
    <cellStyle name="Normal 2 2 4 11 4 10" xfId="21789" xr:uid="{00000000-0005-0000-0000-00001D550000}"/>
    <cellStyle name="Normal 2 2 4 11 4 2" xfId="21790" xr:uid="{00000000-0005-0000-0000-00001E550000}"/>
    <cellStyle name="Normal 2 2 4 11 4 3" xfId="21791" xr:uid="{00000000-0005-0000-0000-00001F550000}"/>
    <cellStyle name="Normal 2 2 4 11 4 4" xfId="21792" xr:uid="{00000000-0005-0000-0000-000020550000}"/>
    <cellStyle name="Normal 2 2 4 11 4 5" xfId="21793" xr:uid="{00000000-0005-0000-0000-000021550000}"/>
    <cellStyle name="Normal 2 2 4 11 4 6" xfId="21794" xr:uid="{00000000-0005-0000-0000-000022550000}"/>
    <cellStyle name="Normal 2 2 4 11 4 7" xfId="21795" xr:uid="{00000000-0005-0000-0000-000023550000}"/>
    <cellStyle name="Normal 2 2 4 11 4 8" xfId="21796" xr:uid="{00000000-0005-0000-0000-000024550000}"/>
    <cellStyle name="Normal 2 2 4 11 4 9" xfId="21797" xr:uid="{00000000-0005-0000-0000-000025550000}"/>
    <cellStyle name="Normal 2 2 4 11 5" xfId="21798" xr:uid="{00000000-0005-0000-0000-000026550000}"/>
    <cellStyle name="Normal 2 2 4 11 5 10" xfId="21799" xr:uid="{00000000-0005-0000-0000-000027550000}"/>
    <cellStyle name="Normal 2 2 4 11 5 2" xfId="21800" xr:uid="{00000000-0005-0000-0000-000028550000}"/>
    <cellStyle name="Normal 2 2 4 11 5 3" xfId="21801" xr:uid="{00000000-0005-0000-0000-000029550000}"/>
    <cellStyle name="Normal 2 2 4 11 5 4" xfId="21802" xr:uid="{00000000-0005-0000-0000-00002A550000}"/>
    <cellStyle name="Normal 2 2 4 11 5 5" xfId="21803" xr:uid="{00000000-0005-0000-0000-00002B550000}"/>
    <cellStyle name="Normal 2 2 4 11 5 6" xfId="21804" xr:uid="{00000000-0005-0000-0000-00002C550000}"/>
    <cellStyle name="Normal 2 2 4 11 5 7" xfId="21805" xr:uid="{00000000-0005-0000-0000-00002D550000}"/>
    <cellStyle name="Normal 2 2 4 11 5 8" xfId="21806" xr:uid="{00000000-0005-0000-0000-00002E550000}"/>
    <cellStyle name="Normal 2 2 4 11 5 9" xfId="21807" xr:uid="{00000000-0005-0000-0000-00002F550000}"/>
    <cellStyle name="Normal 2 2 4 11 6" xfId="21808" xr:uid="{00000000-0005-0000-0000-000030550000}"/>
    <cellStyle name="Normal 2 2 4 11 7" xfId="21809" xr:uid="{00000000-0005-0000-0000-000031550000}"/>
    <cellStyle name="Normal 2 2 4 11 8" xfId="21810" xr:uid="{00000000-0005-0000-0000-000032550000}"/>
    <cellStyle name="Normal 2 2 4 11 9" xfId="21811" xr:uid="{00000000-0005-0000-0000-000033550000}"/>
    <cellStyle name="Normal 2 2 4 12" xfId="21812" xr:uid="{00000000-0005-0000-0000-000034550000}"/>
    <cellStyle name="Normal 2 2 4 12 10" xfId="21813" xr:uid="{00000000-0005-0000-0000-000035550000}"/>
    <cellStyle name="Normal 2 2 4 12 11" xfId="21814" xr:uid="{00000000-0005-0000-0000-000036550000}"/>
    <cellStyle name="Normal 2 2 4 12 12" xfId="21815" xr:uid="{00000000-0005-0000-0000-000037550000}"/>
    <cellStyle name="Normal 2 2 4 12 13" xfId="21816" xr:uid="{00000000-0005-0000-0000-000038550000}"/>
    <cellStyle name="Normal 2 2 4 12 14" xfId="21817" xr:uid="{00000000-0005-0000-0000-000039550000}"/>
    <cellStyle name="Normal 2 2 4 12 2" xfId="21818" xr:uid="{00000000-0005-0000-0000-00003A550000}"/>
    <cellStyle name="Normal 2 2 4 12 2 10" xfId="21819" xr:uid="{00000000-0005-0000-0000-00003B550000}"/>
    <cellStyle name="Normal 2 2 4 12 2 2" xfId="21820" xr:uid="{00000000-0005-0000-0000-00003C550000}"/>
    <cellStyle name="Normal 2 2 4 12 2 3" xfId="21821" xr:uid="{00000000-0005-0000-0000-00003D550000}"/>
    <cellStyle name="Normal 2 2 4 12 2 4" xfId="21822" xr:uid="{00000000-0005-0000-0000-00003E550000}"/>
    <cellStyle name="Normal 2 2 4 12 2 5" xfId="21823" xr:uid="{00000000-0005-0000-0000-00003F550000}"/>
    <cellStyle name="Normal 2 2 4 12 2 6" xfId="21824" xr:uid="{00000000-0005-0000-0000-000040550000}"/>
    <cellStyle name="Normal 2 2 4 12 2 7" xfId="21825" xr:uid="{00000000-0005-0000-0000-000041550000}"/>
    <cellStyle name="Normal 2 2 4 12 2 8" xfId="21826" xr:uid="{00000000-0005-0000-0000-000042550000}"/>
    <cellStyle name="Normal 2 2 4 12 2 9" xfId="21827" xr:uid="{00000000-0005-0000-0000-000043550000}"/>
    <cellStyle name="Normal 2 2 4 12 3" xfId="21828" xr:uid="{00000000-0005-0000-0000-000044550000}"/>
    <cellStyle name="Normal 2 2 4 12 3 10" xfId="21829" xr:uid="{00000000-0005-0000-0000-000045550000}"/>
    <cellStyle name="Normal 2 2 4 12 3 2" xfId="21830" xr:uid="{00000000-0005-0000-0000-000046550000}"/>
    <cellStyle name="Normal 2 2 4 12 3 3" xfId="21831" xr:uid="{00000000-0005-0000-0000-000047550000}"/>
    <cellStyle name="Normal 2 2 4 12 3 4" xfId="21832" xr:uid="{00000000-0005-0000-0000-000048550000}"/>
    <cellStyle name="Normal 2 2 4 12 3 5" xfId="21833" xr:uid="{00000000-0005-0000-0000-000049550000}"/>
    <cellStyle name="Normal 2 2 4 12 3 6" xfId="21834" xr:uid="{00000000-0005-0000-0000-00004A550000}"/>
    <cellStyle name="Normal 2 2 4 12 3 7" xfId="21835" xr:uid="{00000000-0005-0000-0000-00004B550000}"/>
    <cellStyle name="Normal 2 2 4 12 3 8" xfId="21836" xr:uid="{00000000-0005-0000-0000-00004C550000}"/>
    <cellStyle name="Normal 2 2 4 12 3 9" xfId="21837" xr:uid="{00000000-0005-0000-0000-00004D550000}"/>
    <cellStyle name="Normal 2 2 4 12 4" xfId="21838" xr:uid="{00000000-0005-0000-0000-00004E550000}"/>
    <cellStyle name="Normal 2 2 4 12 4 10" xfId="21839" xr:uid="{00000000-0005-0000-0000-00004F550000}"/>
    <cellStyle name="Normal 2 2 4 12 4 2" xfId="21840" xr:uid="{00000000-0005-0000-0000-000050550000}"/>
    <cellStyle name="Normal 2 2 4 12 4 3" xfId="21841" xr:uid="{00000000-0005-0000-0000-000051550000}"/>
    <cellStyle name="Normal 2 2 4 12 4 4" xfId="21842" xr:uid="{00000000-0005-0000-0000-000052550000}"/>
    <cellStyle name="Normal 2 2 4 12 4 5" xfId="21843" xr:uid="{00000000-0005-0000-0000-000053550000}"/>
    <cellStyle name="Normal 2 2 4 12 4 6" xfId="21844" xr:uid="{00000000-0005-0000-0000-000054550000}"/>
    <cellStyle name="Normal 2 2 4 12 4 7" xfId="21845" xr:uid="{00000000-0005-0000-0000-000055550000}"/>
    <cellStyle name="Normal 2 2 4 12 4 8" xfId="21846" xr:uid="{00000000-0005-0000-0000-000056550000}"/>
    <cellStyle name="Normal 2 2 4 12 4 9" xfId="21847" xr:uid="{00000000-0005-0000-0000-000057550000}"/>
    <cellStyle name="Normal 2 2 4 12 5" xfId="21848" xr:uid="{00000000-0005-0000-0000-000058550000}"/>
    <cellStyle name="Normal 2 2 4 12 5 10" xfId="21849" xr:uid="{00000000-0005-0000-0000-000059550000}"/>
    <cellStyle name="Normal 2 2 4 12 5 2" xfId="21850" xr:uid="{00000000-0005-0000-0000-00005A550000}"/>
    <cellStyle name="Normal 2 2 4 12 5 3" xfId="21851" xr:uid="{00000000-0005-0000-0000-00005B550000}"/>
    <cellStyle name="Normal 2 2 4 12 5 4" xfId="21852" xr:uid="{00000000-0005-0000-0000-00005C550000}"/>
    <cellStyle name="Normal 2 2 4 12 5 5" xfId="21853" xr:uid="{00000000-0005-0000-0000-00005D550000}"/>
    <cellStyle name="Normal 2 2 4 12 5 6" xfId="21854" xr:uid="{00000000-0005-0000-0000-00005E550000}"/>
    <cellStyle name="Normal 2 2 4 12 5 7" xfId="21855" xr:uid="{00000000-0005-0000-0000-00005F550000}"/>
    <cellStyle name="Normal 2 2 4 12 5 8" xfId="21856" xr:uid="{00000000-0005-0000-0000-000060550000}"/>
    <cellStyle name="Normal 2 2 4 12 5 9" xfId="21857" xr:uid="{00000000-0005-0000-0000-000061550000}"/>
    <cellStyle name="Normal 2 2 4 12 6" xfId="21858" xr:uid="{00000000-0005-0000-0000-000062550000}"/>
    <cellStyle name="Normal 2 2 4 12 7" xfId="21859" xr:uid="{00000000-0005-0000-0000-000063550000}"/>
    <cellStyle name="Normal 2 2 4 12 8" xfId="21860" xr:uid="{00000000-0005-0000-0000-000064550000}"/>
    <cellStyle name="Normal 2 2 4 12 9" xfId="21861" xr:uid="{00000000-0005-0000-0000-000065550000}"/>
    <cellStyle name="Normal 2 2 4 13" xfId="21862" xr:uid="{00000000-0005-0000-0000-000066550000}"/>
    <cellStyle name="Normal 2 2 4 13 10" xfId="21863" xr:uid="{00000000-0005-0000-0000-000067550000}"/>
    <cellStyle name="Normal 2 2 4 13 11" xfId="21864" xr:uid="{00000000-0005-0000-0000-000068550000}"/>
    <cellStyle name="Normal 2 2 4 13 12" xfId="21865" xr:uid="{00000000-0005-0000-0000-000069550000}"/>
    <cellStyle name="Normal 2 2 4 13 13" xfId="21866" xr:uid="{00000000-0005-0000-0000-00006A550000}"/>
    <cellStyle name="Normal 2 2 4 13 14" xfId="21867" xr:uid="{00000000-0005-0000-0000-00006B550000}"/>
    <cellStyle name="Normal 2 2 4 13 2" xfId="21868" xr:uid="{00000000-0005-0000-0000-00006C550000}"/>
    <cellStyle name="Normal 2 2 4 13 2 10" xfId="21869" xr:uid="{00000000-0005-0000-0000-00006D550000}"/>
    <cellStyle name="Normal 2 2 4 13 2 2" xfId="21870" xr:uid="{00000000-0005-0000-0000-00006E550000}"/>
    <cellStyle name="Normal 2 2 4 13 2 3" xfId="21871" xr:uid="{00000000-0005-0000-0000-00006F550000}"/>
    <cellStyle name="Normal 2 2 4 13 2 4" xfId="21872" xr:uid="{00000000-0005-0000-0000-000070550000}"/>
    <cellStyle name="Normal 2 2 4 13 2 5" xfId="21873" xr:uid="{00000000-0005-0000-0000-000071550000}"/>
    <cellStyle name="Normal 2 2 4 13 2 6" xfId="21874" xr:uid="{00000000-0005-0000-0000-000072550000}"/>
    <cellStyle name="Normal 2 2 4 13 2 7" xfId="21875" xr:uid="{00000000-0005-0000-0000-000073550000}"/>
    <cellStyle name="Normal 2 2 4 13 2 8" xfId="21876" xr:uid="{00000000-0005-0000-0000-000074550000}"/>
    <cellStyle name="Normal 2 2 4 13 2 9" xfId="21877" xr:uid="{00000000-0005-0000-0000-000075550000}"/>
    <cellStyle name="Normal 2 2 4 13 3" xfId="21878" xr:uid="{00000000-0005-0000-0000-000076550000}"/>
    <cellStyle name="Normal 2 2 4 13 3 10" xfId="21879" xr:uid="{00000000-0005-0000-0000-000077550000}"/>
    <cellStyle name="Normal 2 2 4 13 3 2" xfId="21880" xr:uid="{00000000-0005-0000-0000-000078550000}"/>
    <cellStyle name="Normal 2 2 4 13 3 3" xfId="21881" xr:uid="{00000000-0005-0000-0000-000079550000}"/>
    <cellStyle name="Normal 2 2 4 13 3 4" xfId="21882" xr:uid="{00000000-0005-0000-0000-00007A550000}"/>
    <cellStyle name="Normal 2 2 4 13 3 5" xfId="21883" xr:uid="{00000000-0005-0000-0000-00007B550000}"/>
    <cellStyle name="Normal 2 2 4 13 3 6" xfId="21884" xr:uid="{00000000-0005-0000-0000-00007C550000}"/>
    <cellStyle name="Normal 2 2 4 13 3 7" xfId="21885" xr:uid="{00000000-0005-0000-0000-00007D550000}"/>
    <cellStyle name="Normal 2 2 4 13 3 8" xfId="21886" xr:uid="{00000000-0005-0000-0000-00007E550000}"/>
    <cellStyle name="Normal 2 2 4 13 3 9" xfId="21887" xr:uid="{00000000-0005-0000-0000-00007F550000}"/>
    <cellStyle name="Normal 2 2 4 13 4" xfId="21888" xr:uid="{00000000-0005-0000-0000-000080550000}"/>
    <cellStyle name="Normal 2 2 4 13 4 10" xfId="21889" xr:uid="{00000000-0005-0000-0000-000081550000}"/>
    <cellStyle name="Normal 2 2 4 13 4 2" xfId="21890" xr:uid="{00000000-0005-0000-0000-000082550000}"/>
    <cellStyle name="Normal 2 2 4 13 4 3" xfId="21891" xr:uid="{00000000-0005-0000-0000-000083550000}"/>
    <cellStyle name="Normal 2 2 4 13 4 4" xfId="21892" xr:uid="{00000000-0005-0000-0000-000084550000}"/>
    <cellStyle name="Normal 2 2 4 13 4 5" xfId="21893" xr:uid="{00000000-0005-0000-0000-000085550000}"/>
    <cellStyle name="Normal 2 2 4 13 4 6" xfId="21894" xr:uid="{00000000-0005-0000-0000-000086550000}"/>
    <cellStyle name="Normal 2 2 4 13 4 7" xfId="21895" xr:uid="{00000000-0005-0000-0000-000087550000}"/>
    <cellStyle name="Normal 2 2 4 13 4 8" xfId="21896" xr:uid="{00000000-0005-0000-0000-000088550000}"/>
    <cellStyle name="Normal 2 2 4 13 4 9" xfId="21897" xr:uid="{00000000-0005-0000-0000-000089550000}"/>
    <cellStyle name="Normal 2 2 4 13 5" xfId="21898" xr:uid="{00000000-0005-0000-0000-00008A550000}"/>
    <cellStyle name="Normal 2 2 4 13 5 10" xfId="21899" xr:uid="{00000000-0005-0000-0000-00008B550000}"/>
    <cellStyle name="Normal 2 2 4 13 5 2" xfId="21900" xr:uid="{00000000-0005-0000-0000-00008C550000}"/>
    <cellStyle name="Normal 2 2 4 13 5 3" xfId="21901" xr:uid="{00000000-0005-0000-0000-00008D550000}"/>
    <cellStyle name="Normal 2 2 4 13 5 4" xfId="21902" xr:uid="{00000000-0005-0000-0000-00008E550000}"/>
    <cellStyle name="Normal 2 2 4 13 5 5" xfId="21903" xr:uid="{00000000-0005-0000-0000-00008F550000}"/>
    <cellStyle name="Normal 2 2 4 13 5 6" xfId="21904" xr:uid="{00000000-0005-0000-0000-000090550000}"/>
    <cellStyle name="Normal 2 2 4 13 5 7" xfId="21905" xr:uid="{00000000-0005-0000-0000-000091550000}"/>
    <cellStyle name="Normal 2 2 4 13 5 8" xfId="21906" xr:uid="{00000000-0005-0000-0000-000092550000}"/>
    <cellStyle name="Normal 2 2 4 13 5 9" xfId="21907" xr:uid="{00000000-0005-0000-0000-000093550000}"/>
    <cellStyle name="Normal 2 2 4 13 6" xfId="21908" xr:uid="{00000000-0005-0000-0000-000094550000}"/>
    <cellStyle name="Normal 2 2 4 13 7" xfId="21909" xr:uid="{00000000-0005-0000-0000-000095550000}"/>
    <cellStyle name="Normal 2 2 4 13 8" xfId="21910" xr:uid="{00000000-0005-0000-0000-000096550000}"/>
    <cellStyle name="Normal 2 2 4 13 9" xfId="21911" xr:uid="{00000000-0005-0000-0000-000097550000}"/>
    <cellStyle name="Normal 2 2 4 14" xfId="21912" xr:uid="{00000000-0005-0000-0000-000098550000}"/>
    <cellStyle name="Normal 2 2 4 14 10" xfId="21913" xr:uid="{00000000-0005-0000-0000-000099550000}"/>
    <cellStyle name="Normal 2 2 4 14 11" xfId="21914" xr:uid="{00000000-0005-0000-0000-00009A550000}"/>
    <cellStyle name="Normal 2 2 4 14 12" xfId="21915" xr:uid="{00000000-0005-0000-0000-00009B550000}"/>
    <cellStyle name="Normal 2 2 4 14 13" xfId="21916" xr:uid="{00000000-0005-0000-0000-00009C550000}"/>
    <cellStyle name="Normal 2 2 4 14 14" xfId="21917" xr:uid="{00000000-0005-0000-0000-00009D550000}"/>
    <cellStyle name="Normal 2 2 4 14 2" xfId="21918" xr:uid="{00000000-0005-0000-0000-00009E550000}"/>
    <cellStyle name="Normal 2 2 4 14 2 10" xfId="21919" xr:uid="{00000000-0005-0000-0000-00009F550000}"/>
    <cellStyle name="Normal 2 2 4 14 2 2" xfId="21920" xr:uid="{00000000-0005-0000-0000-0000A0550000}"/>
    <cellStyle name="Normal 2 2 4 14 2 3" xfId="21921" xr:uid="{00000000-0005-0000-0000-0000A1550000}"/>
    <cellStyle name="Normal 2 2 4 14 2 4" xfId="21922" xr:uid="{00000000-0005-0000-0000-0000A2550000}"/>
    <cellStyle name="Normal 2 2 4 14 2 5" xfId="21923" xr:uid="{00000000-0005-0000-0000-0000A3550000}"/>
    <cellStyle name="Normal 2 2 4 14 2 6" xfId="21924" xr:uid="{00000000-0005-0000-0000-0000A4550000}"/>
    <cellStyle name="Normal 2 2 4 14 2 7" xfId="21925" xr:uid="{00000000-0005-0000-0000-0000A5550000}"/>
    <cellStyle name="Normal 2 2 4 14 2 8" xfId="21926" xr:uid="{00000000-0005-0000-0000-0000A6550000}"/>
    <cellStyle name="Normal 2 2 4 14 2 9" xfId="21927" xr:uid="{00000000-0005-0000-0000-0000A7550000}"/>
    <cellStyle name="Normal 2 2 4 14 3" xfId="21928" xr:uid="{00000000-0005-0000-0000-0000A8550000}"/>
    <cellStyle name="Normal 2 2 4 14 3 10" xfId="21929" xr:uid="{00000000-0005-0000-0000-0000A9550000}"/>
    <cellStyle name="Normal 2 2 4 14 3 2" xfId="21930" xr:uid="{00000000-0005-0000-0000-0000AA550000}"/>
    <cellStyle name="Normal 2 2 4 14 3 3" xfId="21931" xr:uid="{00000000-0005-0000-0000-0000AB550000}"/>
    <cellStyle name="Normal 2 2 4 14 3 4" xfId="21932" xr:uid="{00000000-0005-0000-0000-0000AC550000}"/>
    <cellStyle name="Normal 2 2 4 14 3 5" xfId="21933" xr:uid="{00000000-0005-0000-0000-0000AD550000}"/>
    <cellStyle name="Normal 2 2 4 14 3 6" xfId="21934" xr:uid="{00000000-0005-0000-0000-0000AE550000}"/>
    <cellStyle name="Normal 2 2 4 14 3 7" xfId="21935" xr:uid="{00000000-0005-0000-0000-0000AF550000}"/>
    <cellStyle name="Normal 2 2 4 14 3 8" xfId="21936" xr:uid="{00000000-0005-0000-0000-0000B0550000}"/>
    <cellStyle name="Normal 2 2 4 14 3 9" xfId="21937" xr:uid="{00000000-0005-0000-0000-0000B1550000}"/>
    <cellStyle name="Normal 2 2 4 14 4" xfId="21938" xr:uid="{00000000-0005-0000-0000-0000B2550000}"/>
    <cellStyle name="Normal 2 2 4 14 4 10" xfId="21939" xr:uid="{00000000-0005-0000-0000-0000B3550000}"/>
    <cellStyle name="Normal 2 2 4 14 4 2" xfId="21940" xr:uid="{00000000-0005-0000-0000-0000B4550000}"/>
    <cellStyle name="Normal 2 2 4 14 4 3" xfId="21941" xr:uid="{00000000-0005-0000-0000-0000B5550000}"/>
    <cellStyle name="Normal 2 2 4 14 4 4" xfId="21942" xr:uid="{00000000-0005-0000-0000-0000B6550000}"/>
    <cellStyle name="Normal 2 2 4 14 4 5" xfId="21943" xr:uid="{00000000-0005-0000-0000-0000B7550000}"/>
    <cellStyle name="Normal 2 2 4 14 4 6" xfId="21944" xr:uid="{00000000-0005-0000-0000-0000B8550000}"/>
    <cellStyle name="Normal 2 2 4 14 4 7" xfId="21945" xr:uid="{00000000-0005-0000-0000-0000B9550000}"/>
    <cellStyle name="Normal 2 2 4 14 4 8" xfId="21946" xr:uid="{00000000-0005-0000-0000-0000BA550000}"/>
    <cellStyle name="Normal 2 2 4 14 4 9" xfId="21947" xr:uid="{00000000-0005-0000-0000-0000BB550000}"/>
    <cellStyle name="Normal 2 2 4 14 5" xfId="21948" xr:uid="{00000000-0005-0000-0000-0000BC550000}"/>
    <cellStyle name="Normal 2 2 4 14 5 10" xfId="21949" xr:uid="{00000000-0005-0000-0000-0000BD550000}"/>
    <cellStyle name="Normal 2 2 4 14 5 2" xfId="21950" xr:uid="{00000000-0005-0000-0000-0000BE550000}"/>
    <cellStyle name="Normal 2 2 4 14 5 3" xfId="21951" xr:uid="{00000000-0005-0000-0000-0000BF550000}"/>
    <cellStyle name="Normal 2 2 4 14 5 4" xfId="21952" xr:uid="{00000000-0005-0000-0000-0000C0550000}"/>
    <cellStyle name="Normal 2 2 4 14 5 5" xfId="21953" xr:uid="{00000000-0005-0000-0000-0000C1550000}"/>
    <cellStyle name="Normal 2 2 4 14 5 6" xfId="21954" xr:uid="{00000000-0005-0000-0000-0000C2550000}"/>
    <cellStyle name="Normal 2 2 4 14 5 7" xfId="21955" xr:uid="{00000000-0005-0000-0000-0000C3550000}"/>
    <cellStyle name="Normal 2 2 4 14 5 8" xfId="21956" xr:uid="{00000000-0005-0000-0000-0000C4550000}"/>
    <cellStyle name="Normal 2 2 4 14 5 9" xfId="21957" xr:uid="{00000000-0005-0000-0000-0000C5550000}"/>
    <cellStyle name="Normal 2 2 4 14 6" xfId="21958" xr:uid="{00000000-0005-0000-0000-0000C6550000}"/>
    <cellStyle name="Normal 2 2 4 14 7" xfId="21959" xr:uid="{00000000-0005-0000-0000-0000C7550000}"/>
    <cellStyle name="Normal 2 2 4 14 8" xfId="21960" xr:uid="{00000000-0005-0000-0000-0000C8550000}"/>
    <cellStyle name="Normal 2 2 4 14 9" xfId="21961" xr:uid="{00000000-0005-0000-0000-0000C9550000}"/>
    <cellStyle name="Normal 2 2 4 15" xfId="21962" xr:uid="{00000000-0005-0000-0000-0000CA550000}"/>
    <cellStyle name="Normal 2 2 4 15 10" xfId="21963" xr:uid="{00000000-0005-0000-0000-0000CB550000}"/>
    <cellStyle name="Normal 2 2 4 15 11" xfId="21964" xr:uid="{00000000-0005-0000-0000-0000CC550000}"/>
    <cellStyle name="Normal 2 2 4 15 12" xfId="21965" xr:uid="{00000000-0005-0000-0000-0000CD550000}"/>
    <cellStyle name="Normal 2 2 4 15 13" xfId="21966" xr:uid="{00000000-0005-0000-0000-0000CE550000}"/>
    <cellStyle name="Normal 2 2 4 15 14" xfId="21967" xr:uid="{00000000-0005-0000-0000-0000CF550000}"/>
    <cellStyle name="Normal 2 2 4 15 2" xfId="21968" xr:uid="{00000000-0005-0000-0000-0000D0550000}"/>
    <cellStyle name="Normal 2 2 4 15 2 10" xfId="21969" xr:uid="{00000000-0005-0000-0000-0000D1550000}"/>
    <cellStyle name="Normal 2 2 4 15 2 2" xfId="21970" xr:uid="{00000000-0005-0000-0000-0000D2550000}"/>
    <cellStyle name="Normal 2 2 4 15 2 3" xfId="21971" xr:uid="{00000000-0005-0000-0000-0000D3550000}"/>
    <cellStyle name="Normal 2 2 4 15 2 4" xfId="21972" xr:uid="{00000000-0005-0000-0000-0000D4550000}"/>
    <cellStyle name="Normal 2 2 4 15 2 5" xfId="21973" xr:uid="{00000000-0005-0000-0000-0000D5550000}"/>
    <cellStyle name="Normal 2 2 4 15 2 6" xfId="21974" xr:uid="{00000000-0005-0000-0000-0000D6550000}"/>
    <cellStyle name="Normal 2 2 4 15 2 7" xfId="21975" xr:uid="{00000000-0005-0000-0000-0000D7550000}"/>
    <cellStyle name="Normal 2 2 4 15 2 8" xfId="21976" xr:uid="{00000000-0005-0000-0000-0000D8550000}"/>
    <cellStyle name="Normal 2 2 4 15 2 9" xfId="21977" xr:uid="{00000000-0005-0000-0000-0000D9550000}"/>
    <cellStyle name="Normal 2 2 4 15 3" xfId="21978" xr:uid="{00000000-0005-0000-0000-0000DA550000}"/>
    <cellStyle name="Normal 2 2 4 15 3 10" xfId="21979" xr:uid="{00000000-0005-0000-0000-0000DB550000}"/>
    <cellStyle name="Normal 2 2 4 15 3 2" xfId="21980" xr:uid="{00000000-0005-0000-0000-0000DC550000}"/>
    <cellStyle name="Normal 2 2 4 15 3 3" xfId="21981" xr:uid="{00000000-0005-0000-0000-0000DD550000}"/>
    <cellStyle name="Normal 2 2 4 15 3 4" xfId="21982" xr:uid="{00000000-0005-0000-0000-0000DE550000}"/>
    <cellStyle name="Normal 2 2 4 15 3 5" xfId="21983" xr:uid="{00000000-0005-0000-0000-0000DF550000}"/>
    <cellStyle name="Normal 2 2 4 15 3 6" xfId="21984" xr:uid="{00000000-0005-0000-0000-0000E0550000}"/>
    <cellStyle name="Normal 2 2 4 15 3 7" xfId="21985" xr:uid="{00000000-0005-0000-0000-0000E1550000}"/>
    <cellStyle name="Normal 2 2 4 15 3 8" xfId="21986" xr:uid="{00000000-0005-0000-0000-0000E2550000}"/>
    <cellStyle name="Normal 2 2 4 15 3 9" xfId="21987" xr:uid="{00000000-0005-0000-0000-0000E3550000}"/>
    <cellStyle name="Normal 2 2 4 15 4" xfId="21988" xr:uid="{00000000-0005-0000-0000-0000E4550000}"/>
    <cellStyle name="Normal 2 2 4 15 4 10" xfId="21989" xr:uid="{00000000-0005-0000-0000-0000E5550000}"/>
    <cellStyle name="Normal 2 2 4 15 4 2" xfId="21990" xr:uid="{00000000-0005-0000-0000-0000E6550000}"/>
    <cellStyle name="Normal 2 2 4 15 4 3" xfId="21991" xr:uid="{00000000-0005-0000-0000-0000E7550000}"/>
    <cellStyle name="Normal 2 2 4 15 4 4" xfId="21992" xr:uid="{00000000-0005-0000-0000-0000E8550000}"/>
    <cellStyle name="Normal 2 2 4 15 4 5" xfId="21993" xr:uid="{00000000-0005-0000-0000-0000E9550000}"/>
    <cellStyle name="Normal 2 2 4 15 4 6" xfId="21994" xr:uid="{00000000-0005-0000-0000-0000EA550000}"/>
    <cellStyle name="Normal 2 2 4 15 4 7" xfId="21995" xr:uid="{00000000-0005-0000-0000-0000EB550000}"/>
    <cellStyle name="Normal 2 2 4 15 4 8" xfId="21996" xr:uid="{00000000-0005-0000-0000-0000EC550000}"/>
    <cellStyle name="Normal 2 2 4 15 4 9" xfId="21997" xr:uid="{00000000-0005-0000-0000-0000ED550000}"/>
    <cellStyle name="Normal 2 2 4 15 5" xfId="21998" xr:uid="{00000000-0005-0000-0000-0000EE550000}"/>
    <cellStyle name="Normal 2 2 4 15 5 10" xfId="21999" xr:uid="{00000000-0005-0000-0000-0000EF550000}"/>
    <cellStyle name="Normal 2 2 4 15 5 2" xfId="22000" xr:uid="{00000000-0005-0000-0000-0000F0550000}"/>
    <cellStyle name="Normal 2 2 4 15 5 3" xfId="22001" xr:uid="{00000000-0005-0000-0000-0000F1550000}"/>
    <cellStyle name="Normal 2 2 4 15 5 4" xfId="22002" xr:uid="{00000000-0005-0000-0000-0000F2550000}"/>
    <cellStyle name="Normal 2 2 4 15 5 5" xfId="22003" xr:uid="{00000000-0005-0000-0000-0000F3550000}"/>
    <cellStyle name="Normal 2 2 4 15 5 6" xfId="22004" xr:uid="{00000000-0005-0000-0000-0000F4550000}"/>
    <cellStyle name="Normal 2 2 4 15 5 7" xfId="22005" xr:uid="{00000000-0005-0000-0000-0000F5550000}"/>
    <cellStyle name="Normal 2 2 4 15 5 8" xfId="22006" xr:uid="{00000000-0005-0000-0000-0000F6550000}"/>
    <cellStyle name="Normal 2 2 4 15 5 9" xfId="22007" xr:uid="{00000000-0005-0000-0000-0000F7550000}"/>
    <cellStyle name="Normal 2 2 4 15 6" xfId="22008" xr:uid="{00000000-0005-0000-0000-0000F8550000}"/>
    <cellStyle name="Normal 2 2 4 15 7" xfId="22009" xr:uid="{00000000-0005-0000-0000-0000F9550000}"/>
    <cellStyle name="Normal 2 2 4 15 8" xfId="22010" xr:uid="{00000000-0005-0000-0000-0000FA550000}"/>
    <cellStyle name="Normal 2 2 4 15 9" xfId="22011" xr:uid="{00000000-0005-0000-0000-0000FB550000}"/>
    <cellStyle name="Normal 2 2 4 16" xfId="22012" xr:uid="{00000000-0005-0000-0000-0000FC550000}"/>
    <cellStyle name="Normal 2 2 4 16 10" xfId="22013" xr:uid="{00000000-0005-0000-0000-0000FD550000}"/>
    <cellStyle name="Normal 2 2 4 16 11" xfId="22014" xr:uid="{00000000-0005-0000-0000-0000FE550000}"/>
    <cellStyle name="Normal 2 2 4 16 12" xfId="22015" xr:uid="{00000000-0005-0000-0000-0000FF550000}"/>
    <cellStyle name="Normal 2 2 4 16 13" xfId="22016" xr:uid="{00000000-0005-0000-0000-000000560000}"/>
    <cellStyle name="Normal 2 2 4 16 14" xfId="22017" xr:uid="{00000000-0005-0000-0000-000001560000}"/>
    <cellStyle name="Normal 2 2 4 16 2" xfId="22018" xr:uid="{00000000-0005-0000-0000-000002560000}"/>
    <cellStyle name="Normal 2 2 4 16 2 10" xfId="22019" xr:uid="{00000000-0005-0000-0000-000003560000}"/>
    <cellStyle name="Normal 2 2 4 16 2 2" xfId="22020" xr:uid="{00000000-0005-0000-0000-000004560000}"/>
    <cellStyle name="Normal 2 2 4 16 2 3" xfId="22021" xr:uid="{00000000-0005-0000-0000-000005560000}"/>
    <cellStyle name="Normal 2 2 4 16 2 4" xfId="22022" xr:uid="{00000000-0005-0000-0000-000006560000}"/>
    <cellStyle name="Normal 2 2 4 16 2 5" xfId="22023" xr:uid="{00000000-0005-0000-0000-000007560000}"/>
    <cellStyle name="Normal 2 2 4 16 2 6" xfId="22024" xr:uid="{00000000-0005-0000-0000-000008560000}"/>
    <cellStyle name="Normal 2 2 4 16 2 7" xfId="22025" xr:uid="{00000000-0005-0000-0000-000009560000}"/>
    <cellStyle name="Normal 2 2 4 16 2 8" xfId="22026" xr:uid="{00000000-0005-0000-0000-00000A560000}"/>
    <cellStyle name="Normal 2 2 4 16 2 9" xfId="22027" xr:uid="{00000000-0005-0000-0000-00000B560000}"/>
    <cellStyle name="Normal 2 2 4 16 3" xfId="22028" xr:uid="{00000000-0005-0000-0000-00000C560000}"/>
    <cellStyle name="Normal 2 2 4 16 3 10" xfId="22029" xr:uid="{00000000-0005-0000-0000-00000D560000}"/>
    <cellStyle name="Normal 2 2 4 16 3 2" xfId="22030" xr:uid="{00000000-0005-0000-0000-00000E560000}"/>
    <cellStyle name="Normal 2 2 4 16 3 3" xfId="22031" xr:uid="{00000000-0005-0000-0000-00000F560000}"/>
    <cellStyle name="Normal 2 2 4 16 3 4" xfId="22032" xr:uid="{00000000-0005-0000-0000-000010560000}"/>
    <cellStyle name="Normal 2 2 4 16 3 5" xfId="22033" xr:uid="{00000000-0005-0000-0000-000011560000}"/>
    <cellStyle name="Normal 2 2 4 16 3 6" xfId="22034" xr:uid="{00000000-0005-0000-0000-000012560000}"/>
    <cellStyle name="Normal 2 2 4 16 3 7" xfId="22035" xr:uid="{00000000-0005-0000-0000-000013560000}"/>
    <cellStyle name="Normal 2 2 4 16 3 8" xfId="22036" xr:uid="{00000000-0005-0000-0000-000014560000}"/>
    <cellStyle name="Normal 2 2 4 16 3 9" xfId="22037" xr:uid="{00000000-0005-0000-0000-000015560000}"/>
    <cellStyle name="Normal 2 2 4 16 4" xfId="22038" xr:uid="{00000000-0005-0000-0000-000016560000}"/>
    <cellStyle name="Normal 2 2 4 16 4 10" xfId="22039" xr:uid="{00000000-0005-0000-0000-000017560000}"/>
    <cellStyle name="Normal 2 2 4 16 4 2" xfId="22040" xr:uid="{00000000-0005-0000-0000-000018560000}"/>
    <cellStyle name="Normal 2 2 4 16 4 3" xfId="22041" xr:uid="{00000000-0005-0000-0000-000019560000}"/>
    <cellStyle name="Normal 2 2 4 16 4 4" xfId="22042" xr:uid="{00000000-0005-0000-0000-00001A560000}"/>
    <cellStyle name="Normal 2 2 4 16 4 5" xfId="22043" xr:uid="{00000000-0005-0000-0000-00001B560000}"/>
    <cellStyle name="Normal 2 2 4 16 4 6" xfId="22044" xr:uid="{00000000-0005-0000-0000-00001C560000}"/>
    <cellStyle name="Normal 2 2 4 16 4 7" xfId="22045" xr:uid="{00000000-0005-0000-0000-00001D560000}"/>
    <cellStyle name="Normal 2 2 4 16 4 8" xfId="22046" xr:uid="{00000000-0005-0000-0000-00001E560000}"/>
    <cellStyle name="Normal 2 2 4 16 4 9" xfId="22047" xr:uid="{00000000-0005-0000-0000-00001F560000}"/>
    <cellStyle name="Normal 2 2 4 16 5" xfId="22048" xr:uid="{00000000-0005-0000-0000-000020560000}"/>
    <cellStyle name="Normal 2 2 4 16 5 10" xfId="22049" xr:uid="{00000000-0005-0000-0000-000021560000}"/>
    <cellStyle name="Normal 2 2 4 16 5 2" xfId="22050" xr:uid="{00000000-0005-0000-0000-000022560000}"/>
    <cellStyle name="Normal 2 2 4 16 5 3" xfId="22051" xr:uid="{00000000-0005-0000-0000-000023560000}"/>
    <cellStyle name="Normal 2 2 4 16 5 4" xfId="22052" xr:uid="{00000000-0005-0000-0000-000024560000}"/>
    <cellStyle name="Normal 2 2 4 16 5 5" xfId="22053" xr:uid="{00000000-0005-0000-0000-000025560000}"/>
    <cellStyle name="Normal 2 2 4 16 5 6" xfId="22054" xr:uid="{00000000-0005-0000-0000-000026560000}"/>
    <cellStyle name="Normal 2 2 4 16 5 7" xfId="22055" xr:uid="{00000000-0005-0000-0000-000027560000}"/>
    <cellStyle name="Normal 2 2 4 16 5 8" xfId="22056" xr:uid="{00000000-0005-0000-0000-000028560000}"/>
    <cellStyle name="Normal 2 2 4 16 5 9" xfId="22057" xr:uid="{00000000-0005-0000-0000-000029560000}"/>
    <cellStyle name="Normal 2 2 4 16 6" xfId="22058" xr:uid="{00000000-0005-0000-0000-00002A560000}"/>
    <cellStyle name="Normal 2 2 4 16 7" xfId="22059" xr:uid="{00000000-0005-0000-0000-00002B560000}"/>
    <cellStyle name="Normal 2 2 4 16 8" xfId="22060" xr:uid="{00000000-0005-0000-0000-00002C560000}"/>
    <cellStyle name="Normal 2 2 4 16 9" xfId="22061" xr:uid="{00000000-0005-0000-0000-00002D560000}"/>
    <cellStyle name="Normal 2 2 4 17" xfId="22062" xr:uid="{00000000-0005-0000-0000-00002E560000}"/>
    <cellStyle name="Normal 2 2 4 17 10" xfId="22063" xr:uid="{00000000-0005-0000-0000-00002F560000}"/>
    <cellStyle name="Normal 2 2 4 17 11" xfId="22064" xr:uid="{00000000-0005-0000-0000-000030560000}"/>
    <cellStyle name="Normal 2 2 4 17 12" xfId="22065" xr:uid="{00000000-0005-0000-0000-000031560000}"/>
    <cellStyle name="Normal 2 2 4 17 13" xfId="22066" xr:uid="{00000000-0005-0000-0000-000032560000}"/>
    <cellStyle name="Normal 2 2 4 17 14" xfId="22067" xr:uid="{00000000-0005-0000-0000-000033560000}"/>
    <cellStyle name="Normal 2 2 4 17 2" xfId="22068" xr:uid="{00000000-0005-0000-0000-000034560000}"/>
    <cellStyle name="Normal 2 2 4 17 2 10" xfId="22069" xr:uid="{00000000-0005-0000-0000-000035560000}"/>
    <cellStyle name="Normal 2 2 4 17 2 2" xfId="22070" xr:uid="{00000000-0005-0000-0000-000036560000}"/>
    <cellStyle name="Normal 2 2 4 17 2 3" xfId="22071" xr:uid="{00000000-0005-0000-0000-000037560000}"/>
    <cellStyle name="Normal 2 2 4 17 2 4" xfId="22072" xr:uid="{00000000-0005-0000-0000-000038560000}"/>
    <cellStyle name="Normal 2 2 4 17 2 5" xfId="22073" xr:uid="{00000000-0005-0000-0000-000039560000}"/>
    <cellStyle name="Normal 2 2 4 17 2 6" xfId="22074" xr:uid="{00000000-0005-0000-0000-00003A560000}"/>
    <cellStyle name="Normal 2 2 4 17 2 7" xfId="22075" xr:uid="{00000000-0005-0000-0000-00003B560000}"/>
    <cellStyle name="Normal 2 2 4 17 2 8" xfId="22076" xr:uid="{00000000-0005-0000-0000-00003C560000}"/>
    <cellStyle name="Normal 2 2 4 17 2 9" xfId="22077" xr:uid="{00000000-0005-0000-0000-00003D560000}"/>
    <cellStyle name="Normal 2 2 4 17 3" xfId="22078" xr:uid="{00000000-0005-0000-0000-00003E560000}"/>
    <cellStyle name="Normal 2 2 4 17 3 10" xfId="22079" xr:uid="{00000000-0005-0000-0000-00003F560000}"/>
    <cellStyle name="Normal 2 2 4 17 3 2" xfId="22080" xr:uid="{00000000-0005-0000-0000-000040560000}"/>
    <cellStyle name="Normal 2 2 4 17 3 3" xfId="22081" xr:uid="{00000000-0005-0000-0000-000041560000}"/>
    <cellStyle name="Normal 2 2 4 17 3 4" xfId="22082" xr:uid="{00000000-0005-0000-0000-000042560000}"/>
    <cellStyle name="Normal 2 2 4 17 3 5" xfId="22083" xr:uid="{00000000-0005-0000-0000-000043560000}"/>
    <cellStyle name="Normal 2 2 4 17 3 6" xfId="22084" xr:uid="{00000000-0005-0000-0000-000044560000}"/>
    <cellStyle name="Normal 2 2 4 17 3 7" xfId="22085" xr:uid="{00000000-0005-0000-0000-000045560000}"/>
    <cellStyle name="Normal 2 2 4 17 3 8" xfId="22086" xr:uid="{00000000-0005-0000-0000-000046560000}"/>
    <cellStyle name="Normal 2 2 4 17 3 9" xfId="22087" xr:uid="{00000000-0005-0000-0000-000047560000}"/>
    <cellStyle name="Normal 2 2 4 17 4" xfId="22088" xr:uid="{00000000-0005-0000-0000-000048560000}"/>
    <cellStyle name="Normal 2 2 4 17 4 10" xfId="22089" xr:uid="{00000000-0005-0000-0000-000049560000}"/>
    <cellStyle name="Normal 2 2 4 17 4 2" xfId="22090" xr:uid="{00000000-0005-0000-0000-00004A560000}"/>
    <cellStyle name="Normal 2 2 4 17 4 3" xfId="22091" xr:uid="{00000000-0005-0000-0000-00004B560000}"/>
    <cellStyle name="Normal 2 2 4 17 4 4" xfId="22092" xr:uid="{00000000-0005-0000-0000-00004C560000}"/>
    <cellStyle name="Normal 2 2 4 17 4 5" xfId="22093" xr:uid="{00000000-0005-0000-0000-00004D560000}"/>
    <cellStyle name="Normal 2 2 4 17 4 6" xfId="22094" xr:uid="{00000000-0005-0000-0000-00004E560000}"/>
    <cellStyle name="Normal 2 2 4 17 4 7" xfId="22095" xr:uid="{00000000-0005-0000-0000-00004F560000}"/>
    <cellStyle name="Normal 2 2 4 17 4 8" xfId="22096" xr:uid="{00000000-0005-0000-0000-000050560000}"/>
    <cellStyle name="Normal 2 2 4 17 4 9" xfId="22097" xr:uid="{00000000-0005-0000-0000-000051560000}"/>
    <cellStyle name="Normal 2 2 4 17 5" xfId="22098" xr:uid="{00000000-0005-0000-0000-000052560000}"/>
    <cellStyle name="Normal 2 2 4 17 5 10" xfId="22099" xr:uid="{00000000-0005-0000-0000-000053560000}"/>
    <cellStyle name="Normal 2 2 4 17 5 2" xfId="22100" xr:uid="{00000000-0005-0000-0000-000054560000}"/>
    <cellStyle name="Normal 2 2 4 17 5 3" xfId="22101" xr:uid="{00000000-0005-0000-0000-000055560000}"/>
    <cellStyle name="Normal 2 2 4 17 5 4" xfId="22102" xr:uid="{00000000-0005-0000-0000-000056560000}"/>
    <cellStyle name="Normal 2 2 4 17 5 5" xfId="22103" xr:uid="{00000000-0005-0000-0000-000057560000}"/>
    <cellStyle name="Normal 2 2 4 17 5 6" xfId="22104" xr:uid="{00000000-0005-0000-0000-000058560000}"/>
    <cellStyle name="Normal 2 2 4 17 5 7" xfId="22105" xr:uid="{00000000-0005-0000-0000-000059560000}"/>
    <cellStyle name="Normal 2 2 4 17 5 8" xfId="22106" xr:uid="{00000000-0005-0000-0000-00005A560000}"/>
    <cellStyle name="Normal 2 2 4 17 5 9" xfId="22107" xr:uid="{00000000-0005-0000-0000-00005B560000}"/>
    <cellStyle name="Normal 2 2 4 17 6" xfId="22108" xr:uid="{00000000-0005-0000-0000-00005C560000}"/>
    <cellStyle name="Normal 2 2 4 17 7" xfId="22109" xr:uid="{00000000-0005-0000-0000-00005D560000}"/>
    <cellStyle name="Normal 2 2 4 17 8" xfId="22110" xr:uid="{00000000-0005-0000-0000-00005E560000}"/>
    <cellStyle name="Normal 2 2 4 17 9" xfId="22111" xr:uid="{00000000-0005-0000-0000-00005F560000}"/>
    <cellStyle name="Normal 2 2 4 18" xfId="22112" xr:uid="{00000000-0005-0000-0000-000060560000}"/>
    <cellStyle name="Normal 2 2 4 18 10" xfId="22113" xr:uid="{00000000-0005-0000-0000-000061560000}"/>
    <cellStyle name="Normal 2 2 4 18 11" xfId="22114" xr:uid="{00000000-0005-0000-0000-000062560000}"/>
    <cellStyle name="Normal 2 2 4 18 12" xfId="22115" xr:uid="{00000000-0005-0000-0000-000063560000}"/>
    <cellStyle name="Normal 2 2 4 18 13" xfId="22116" xr:uid="{00000000-0005-0000-0000-000064560000}"/>
    <cellStyle name="Normal 2 2 4 18 14" xfId="22117" xr:uid="{00000000-0005-0000-0000-000065560000}"/>
    <cellStyle name="Normal 2 2 4 18 2" xfId="22118" xr:uid="{00000000-0005-0000-0000-000066560000}"/>
    <cellStyle name="Normal 2 2 4 18 2 10" xfId="22119" xr:uid="{00000000-0005-0000-0000-000067560000}"/>
    <cellStyle name="Normal 2 2 4 18 2 2" xfId="22120" xr:uid="{00000000-0005-0000-0000-000068560000}"/>
    <cellStyle name="Normal 2 2 4 18 2 3" xfId="22121" xr:uid="{00000000-0005-0000-0000-000069560000}"/>
    <cellStyle name="Normal 2 2 4 18 2 4" xfId="22122" xr:uid="{00000000-0005-0000-0000-00006A560000}"/>
    <cellStyle name="Normal 2 2 4 18 2 5" xfId="22123" xr:uid="{00000000-0005-0000-0000-00006B560000}"/>
    <cellStyle name="Normal 2 2 4 18 2 6" xfId="22124" xr:uid="{00000000-0005-0000-0000-00006C560000}"/>
    <cellStyle name="Normal 2 2 4 18 2 7" xfId="22125" xr:uid="{00000000-0005-0000-0000-00006D560000}"/>
    <cellStyle name="Normal 2 2 4 18 2 8" xfId="22126" xr:uid="{00000000-0005-0000-0000-00006E560000}"/>
    <cellStyle name="Normal 2 2 4 18 2 9" xfId="22127" xr:uid="{00000000-0005-0000-0000-00006F560000}"/>
    <cellStyle name="Normal 2 2 4 18 3" xfId="22128" xr:uid="{00000000-0005-0000-0000-000070560000}"/>
    <cellStyle name="Normal 2 2 4 18 3 10" xfId="22129" xr:uid="{00000000-0005-0000-0000-000071560000}"/>
    <cellStyle name="Normal 2 2 4 18 3 2" xfId="22130" xr:uid="{00000000-0005-0000-0000-000072560000}"/>
    <cellStyle name="Normal 2 2 4 18 3 3" xfId="22131" xr:uid="{00000000-0005-0000-0000-000073560000}"/>
    <cellStyle name="Normal 2 2 4 18 3 4" xfId="22132" xr:uid="{00000000-0005-0000-0000-000074560000}"/>
    <cellStyle name="Normal 2 2 4 18 3 5" xfId="22133" xr:uid="{00000000-0005-0000-0000-000075560000}"/>
    <cellStyle name="Normal 2 2 4 18 3 6" xfId="22134" xr:uid="{00000000-0005-0000-0000-000076560000}"/>
    <cellStyle name="Normal 2 2 4 18 3 7" xfId="22135" xr:uid="{00000000-0005-0000-0000-000077560000}"/>
    <cellStyle name="Normal 2 2 4 18 3 8" xfId="22136" xr:uid="{00000000-0005-0000-0000-000078560000}"/>
    <cellStyle name="Normal 2 2 4 18 3 9" xfId="22137" xr:uid="{00000000-0005-0000-0000-000079560000}"/>
    <cellStyle name="Normal 2 2 4 18 4" xfId="22138" xr:uid="{00000000-0005-0000-0000-00007A560000}"/>
    <cellStyle name="Normal 2 2 4 18 4 10" xfId="22139" xr:uid="{00000000-0005-0000-0000-00007B560000}"/>
    <cellStyle name="Normal 2 2 4 18 4 2" xfId="22140" xr:uid="{00000000-0005-0000-0000-00007C560000}"/>
    <cellStyle name="Normal 2 2 4 18 4 3" xfId="22141" xr:uid="{00000000-0005-0000-0000-00007D560000}"/>
    <cellStyle name="Normal 2 2 4 18 4 4" xfId="22142" xr:uid="{00000000-0005-0000-0000-00007E560000}"/>
    <cellStyle name="Normal 2 2 4 18 4 5" xfId="22143" xr:uid="{00000000-0005-0000-0000-00007F560000}"/>
    <cellStyle name="Normal 2 2 4 18 4 6" xfId="22144" xr:uid="{00000000-0005-0000-0000-000080560000}"/>
    <cellStyle name="Normal 2 2 4 18 4 7" xfId="22145" xr:uid="{00000000-0005-0000-0000-000081560000}"/>
    <cellStyle name="Normal 2 2 4 18 4 8" xfId="22146" xr:uid="{00000000-0005-0000-0000-000082560000}"/>
    <cellStyle name="Normal 2 2 4 18 4 9" xfId="22147" xr:uid="{00000000-0005-0000-0000-000083560000}"/>
    <cellStyle name="Normal 2 2 4 18 5" xfId="22148" xr:uid="{00000000-0005-0000-0000-000084560000}"/>
    <cellStyle name="Normal 2 2 4 18 5 10" xfId="22149" xr:uid="{00000000-0005-0000-0000-000085560000}"/>
    <cellStyle name="Normal 2 2 4 18 5 2" xfId="22150" xr:uid="{00000000-0005-0000-0000-000086560000}"/>
    <cellStyle name="Normal 2 2 4 18 5 3" xfId="22151" xr:uid="{00000000-0005-0000-0000-000087560000}"/>
    <cellStyle name="Normal 2 2 4 18 5 4" xfId="22152" xr:uid="{00000000-0005-0000-0000-000088560000}"/>
    <cellStyle name="Normal 2 2 4 18 5 5" xfId="22153" xr:uid="{00000000-0005-0000-0000-000089560000}"/>
    <cellStyle name="Normal 2 2 4 18 5 6" xfId="22154" xr:uid="{00000000-0005-0000-0000-00008A560000}"/>
    <cellStyle name="Normal 2 2 4 18 5 7" xfId="22155" xr:uid="{00000000-0005-0000-0000-00008B560000}"/>
    <cellStyle name="Normal 2 2 4 18 5 8" xfId="22156" xr:uid="{00000000-0005-0000-0000-00008C560000}"/>
    <cellStyle name="Normal 2 2 4 18 5 9" xfId="22157" xr:uid="{00000000-0005-0000-0000-00008D560000}"/>
    <cellStyle name="Normal 2 2 4 18 6" xfId="22158" xr:uid="{00000000-0005-0000-0000-00008E560000}"/>
    <cellStyle name="Normal 2 2 4 18 7" xfId="22159" xr:uid="{00000000-0005-0000-0000-00008F560000}"/>
    <cellStyle name="Normal 2 2 4 18 8" xfId="22160" xr:uid="{00000000-0005-0000-0000-000090560000}"/>
    <cellStyle name="Normal 2 2 4 18 9" xfId="22161" xr:uid="{00000000-0005-0000-0000-000091560000}"/>
    <cellStyle name="Normal 2 2 4 19" xfId="22162" xr:uid="{00000000-0005-0000-0000-000092560000}"/>
    <cellStyle name="Normal 2 2 4 19 10" xfId="22163" xr:uid="{00000000-0005-0000-0000-000093560000}"/>
    <cellStyle name="Normal 2 2 4 19 11" xfId="22164" xr:uid="{00000000-0005-0000-0000-000094560000}"/>
    <cellStyle name="Normal 2 2 4 19 12" xfId="22165" xr:uid="{00000000-0005-0000-0000-000095560000}"/>
    <cellStyle name="Normal 2 2 4 19 13" xfId="22166" xr:uid="{00000000-0005-0000-0000-000096560000}"/>
    <cellStyle name="Normal 2 2 4 19 14" xfId="22167" xr:uid="{00000000-0005-0000-0000-000097560000}"/>
    <cellStyle name="Normal 2 2 4 19 2" xfId="22168" xr:uid="{00000000-0005-0000-0000-000098560000}"/>
    <cellStyle name="Normal 2 2 4 19 2 10" xfId="22169" xr:uid="{00000000-0005-0000-0000-000099560000}"/>
    <cellStyle name="Normal 2 2 4 19 2 2" xfId="22170" xr:uid="{00000000-0005-0000-0000-00009A560000}"/>
    <cellStyle name="Normal 2 2 4 19 2 3" xfId="22171" xr:uid="{00000000-0005-0000-0000-00009B560000}"/>
    <cellStyle name="Normal 2 2 4 19 2 4" xfId="22172" xr:uid="{00000000-0005-0000-0000-00009C560000}"/>
    <cellStyle name="Normal 2 2 4 19 2 5" xfId="22173" xr:uid="{00000000-0005-0000-0000-00009D560000}"/>
    <cellStyle name="Normal 2 2 4 19 2 6" xfId="22174" xr:uid="{00000000-0005-0000-0000-00009E560000}"/>
    <cellStyle name="Normal 2 2 4 19 2 7" xfId="22175" xr:uid="{00000000-0005-0000-0000-00009F560000}"/>
    <cellStyle name="Normal 2 2 4 19 2 8" xfId="22176" xr:uid="{00000000-0005-0000-0000-0000A0560000}"/>
    <cellStyle name="Normal 2 2 4 19 2 9" xfId="22177" xr:uid="{00000000-0005-0000-0000-0000A1560000}"/>
    <cellStyle name="Normal 2 2 4 19 3" xfId="22178" xr:uid="{00000000-0005-0000-0000-0000A2560000}"/>
    <cellStyle name="Normal 2 2 4 19 3 10" xfId="22179" xr:uid="{00000000-0005-0000-0000-0000A3560000}"/>
    <cellStyle name="Normal 2 2 4 19 3 2" xfId="22180" xr:uid="{00000000-0005-0000-0000-0000A4560000}"/>
    <cellStyle name="Normal 2 2 4 19 3 3" xfId="22181" xr:uid="{00000000-0005-0000-0000-0000A5560000}"/>
    <cellStyle name="Normal 2 2 4 19 3 4" xfId="22182" xr:uid="{00000000-0005-0000-0000-0000A6560000}"/>
    <cellStyle name="Normal 2 2 4 19 3 5" xfId="22183" xr:uid="{00000000-0005-0000-0000-0000A7560000}"/>
    <cellStyle name="Normal 2 2 4 19 3 6" xfId="22184" xr:uid="{00000000-0005-0000-0000-0000A8560000}"/>
    <cellStyle name="Normal 2 2 4 19 3 7" xfId="22185" xr:uid="{00000000-0005-0000-0000-0000A9560000}"/>
    <cellStyle name="Normal 2 2 4 19 3 8" xfId="22186" xr:uid="{00000000-0005-0000-0000-0000AA560000}"/>
    <cellStyle name="Normal 2 2 4 19 3 9" xfId="22187" xr:uid="{00000000-0005-0000-0000-0000AB560000}"/>
    <cellStyle name="Normal 2 2 4 19 4" xfId="22188" xr:uid="{00000000-0005-0000-0000-0000AC560000}"/>
    <cellStyle name="Normal 2 2 4 19 4 10" xfId="22189" xr:uid="{00000000-0005-0000-0000-0000AD560000}"/>
    <cellStyle name="Normal 2 2 4 19 4 2" xfId="22190" xr:uid="{00000000-0005-0000-0000-0000AE560000}"/>
    <cellStyle name="Normal 2 2 4 19 4 3" xfId="22191" xr:uid="{00000000-0005-0000-0000-0000AF560000}"/>
    <cellStyle name="Normal 2 2 4 19 4 4" xfId="22192" xr:uid="{00000000-0005-0000-0000-0000B0560000}"/>
    <cellStyle name="Normal 2 2 4 19 4 5" xfId="22193" xr:uid="{00000000-0005-0000-0000-0000B1560000}"/>
    <cellStyle name="Normal 2 2 4 19 4 6" xfId="22194" xr:uid="{00000000-0005-0000-0000-0000B2560000}"/>
    <cellStyle name="Normal 2 2 4 19 4 7" xfId="22195" xr:uid="{00000000-0005-0000-0000-0000B3560000}"/>
    <cellStyle name="Normal 2 2 4 19 4 8" xfId="22196" xr:uid="{00000000-0005-0000-0000-0000B4560000}"/>
    <cellStyle name="Normal 2 2 4 19 4 9" xfId="22197" xr:uid="{00000000-0005-0000-0000-0000B5560000}"/>
    <cellStyle name="Normal 2 2 4 19 5" xfId="22198" xr:uid="{00000000-0005-0000-0000-0000B6560000}"/>
    <cellStyle name="Normal 2 2 4 19 5 10" xfId="22199" xr:uid="{00000000-0005-0000-0000-0000B7560000}"/>
    <cellStyle name="Normal 2 2 4 19 5 2" xfId="22200" xr:uid="{00000000-0005-0000-0000-0000B8560000}"/>
    <cellStyle name="Normal 2 2 4 19 5 3" xfId="22201" xr:uid="{00000000-0005-0000-0000-0000B9560000}"/>
    <cellStyle name="Normal 2 2 4 19 5 4" xfId="22202" xr:uid="{00000000-0005-0000-0000-0000BA560000}"/>
    <cellStyle name="Normal 2 2 4 19 5 5" xfId="22203" xr:uid="{00000000-0005-0000-0000-0000BB560000}"/>
    <cellStyle name="Normal 2 2 4 19 5 6" xfId="22204" xr:uid="{00000000-0005-0000-0000-0000BC560000}"/>
    <cellStyle name="Normal 2 2 4 19 5 7" xfId="22205" xr:uid="{00000000-0005-0000-0000-0000BD560000}"/>
    <cellStyle name="Normal 2 2 4 19 5 8" xfId="22206" xr:uid="{00000000-0005-0000-0000-0000BE560000}"/>
    <cellStyle name="Normal 2 2 4 19 5 9" xfId="22207" xr:uid="{00000000-0005-0000-0000-0000BF560000}"/>
    <cellStyle name="Normal 2 2 4 19 6" xfId="22208" xr:uid="{00000000-0005-0000-0000-0000C0560000}"/>
    <cellStyle name="Normal 2 2 4 19 7" xfId="22209" xr:uid="{00000000-0005-0000-0000-0000C1560000}"/>
    <cellStyle name="Normal 2 2 4 19 8" xfId="22210" xr:uid="{00000000-0005-0000-0000-0000C2560000}"/>
    <cellStyle name="Normal 2 2 4 19 9" xfId="22211" xr:uid="{00000000-0005-0000-0000-0000C3560000}"/>
    <cellStyle name="Normal 2 2 4 2" xfId="22212" xr:uid="{00000000-0005-0000-0000-0000C4560000}"/>
    <cellStyle name="Normal 2 2 4 2 10" xfId="22213" xr:uid="{00000000-0005-0000-0000-0000C5560000}"/>
    <cellStyle name="Normal 2 2 4 2 11" xfId="22214" xr:uid="{00000000-0005-0000-0000-0000C6560000}"/>
    <cellStyle name="Normal 2 2 4 2 12" xfId="22215" xr:uid="{00000000-0005-0000-0000-0000C7560000}"/>
    <cellStyle name="Normal 2 2 4 2 13" xfId="22216" xr:uid="{00000000-0005-0000-0000-0000C8560000}"/>
    <cellStyle name="Normal 2 2 4 2 14" xfId="22217" xr:uid="{00000000-0005-0000-0000-0000C9560000}"/>
    <cellStyle name="Normal 2 2 4 2 15" xfId="22218" xr:uid="{00000000-0005-0000-0000-0000CA560000}"/>
    <cellStyle name="Normal 2 2 4 2 16" xfId="22219" xr:uid="{00000000-0005-0000-0000-0000CB560000}"/>
    <cellStyle name="Normal 2 2 4 2 17" xfId="22220" xr:uid="{00000000-0005-0000-0000-0000CC560000}"/>
    <cellStyle name="Normal 2 2 4 2 18" xfId="22221" xr:uid="{00000000-0005-0000-0000-0000CD560000}"/>
    <cellStyle name="Normal 2 2 4 2 19" xfId="22222" xr:uid="{00000000-0005-0000-0000-0000CE560000}"/>
    <cellStyle name="Normal 2 2 4 2 2" xfId="22223" xr:uid="{00000000-0005-0000-0000-0000CF560000}"/>
    <cellStyle name="Normal 2 2 4 2 2 10" xfId="22224" xr:uid="{00000000-0005-0000-0000-0000D0560000}"/>
    <cellStyle name="Normal 2 2 4 2 2 10 10" xfId="22225" xr:uid="{00000000-0005-0000-0000-0000D1560000}"/>
    <cellStyle name="Normal 2 2 4 2 2 10 11" xfId="22226" xr:uid="{00000000-0005-0000-0000-0000D2560000}"/>
    <cellStyle name="Normal 2 2 4 2 2 10 12" xfId="22227" xr:uid="{00000000-0005-0000-0000-0000D3560000}"/>
    <cellStyle name="Normal 2 2 4 2 2 10 13" xfId="22228" xr:uid="{00000000-0005-0000-0000-0000D4560000}"/>
    <cellStyle name="Normal 2 2 4 2 2 10 14" xfId="22229" xr:uid="{00000000-0005-0000-0000-0000D5560000}"/>
    <cellStyle name="Normal 2 2 4 2 2 10 2" xfId="22230" xr:uid="{00000000-0005-0000-0000-0000D6560000}"/>
    <cellStyle name="Normal 2 2 4 2 2 10 2 10" xfId="22231" xr:uid="{00000000-0005-0000-0000-0000D7560000}"/>
    <cellStyle name="Normal 2 2 4 2 2 10 2 2" xfId="22232" xr:uid="{00000000-0005-0000-0000-0000D8560000}"/>
    <cellStyle name="Normal 2 2 4 2 2 10 2 3" xfId="22233" xr:uid="{00000000-0005-0000-0000-0000D9560000}"/>
    <cellStyle name="Normal 2 2 4 2 2 10 2 4" xfId="22234" xr:uid="{00000000-0005-0000-0000-0000DA560000}"/>
    <cellStyle name="Normal 2 2 4 2 2 10 2 5" xfId="22235" xr:uid="{00000000-0005-0000-0000-0000DB560000}"/>
    <cellStyle name="Normal 2 2 4 2 2 10 2 6" xfId="22236" xr:uid="{00000000-0005-0000-0000-0000DC560000}"/>
    <cellStyle name="Normal 2 2 4 2 2 10 2 7" xfId="22237" xr:uid="{00000000-0005-0000-0000-0000DD560000}"/>
    <cellStyle name="Normal 2 2 4 2 2 10 2 8" xfId="22238" xr:uid="{00000000-0005-0000-0000-0000DE560000}"/>
    <cellStyle name="Normal 2 2 4 2 2 10 2 9" xfId="22239" xr:uid="{00000000-0005-0000-0000-0000DF560000}"/>
    <cellStyle name="Normal 2 2 4 2 2 10 3" xfId="22240" xr:uid="{00000000-0005-0000-0000-0000E0560000}"/>
    <cellStyle name="Normal 2 2 4 2 2 10 3 10" xfId="22241" xr:uid="{00000000-0005-0000-0000-0000E1560000}"/>
    <cellStyle name="Normal 2 2 4 2 2 10 3 2" xfId="22242" xr:uid="{00000000-0005-0000-0000-0000E2560000}"/>
    <cellStyle name="Normal 2 2 4 2 2 10 3 3" xfId="22243" xr:uid="{00000000-0005-0000-0000-0000E3560000}"/>
    <cellStyle name="Normal 2 2 4 2 2 10 3 4" xfId="22244" xr:uid="{00000000-0005-0000-0000-0000E4560000}"/>
    <cellStyle name="Normal 2 2 4 2 2 10 3 5" xfId="22245" xr:uid="{00000000-0005-0000-0000-0000E5560000}"/>
    <cellStyle name="Normal 2 2 4 2 2 10 3 6" xfId="22246" xr:uid="{00000000-0005-0000-0000-0000E6560000}"/>
    <cellStyle name="Normal 2 2 4 2 2 10 3 7" xfId="22247" xr:uid="{00000000-0005-0000-0000-0000E7560000}"/>
    <cellStyle name="Normal 2 2 4 2 2 10 3 8" xfId="22248" xr:uid="{00000000-0005-0000-0000-0000E8560000}"/>
    <cellStyle name="Normal 2 2 4 2 2 10 3 9" xfId="22249" xr:uid="{00000000-0005-0000-0000-0000E9560000}"/>
    <cellStyle name="Normal 2 2 4 2 2 10 4" xfId="22250" xr:uid="{00000000-0005-0000-0000-0000EA560000}"/>
    <cellStyle name="Normal 2 2 4 2 2 10 4 10" xfId="22251" xr:uid="{00000000-0005-0000-0000-0000EB560000}"/>
    <cellStyle name="Normal 2 2 4 2 2 10 4 2" xfId="22252" xr:uid="{00000000-0005-0000-0000-0000EC560000}"/>
    <cellStyle name="Normal 2 2 4 2 2 10 4 3" xfId="22253" xr:uid="{00000000-0005-0000-0000-0000ED560000}"/>
    <cellStyle name="Normal 2 2 4 2 2 10 4 4" xfId="22254" xr:uid="{00000000-0005-0000-0000-0000EE560000}"/>
    <cellStyle name="Normal 2 2 4 2 2 10 4 5" xfId="22255" xr:uid="{00000000-0005-0000-0000-0000EF560000}"/>
    <cellStyle name="Normal 2 2 4 2 2 10 4 6" xfId="22256" xr:uid="{00000000-0005-0000-0000-0000F0560000}"/>
    <cellStyle name="Normal 2 2 4 2 2 10 4 7" xfId="22257" xr:uid="{00000000-0005-0000-0000-0000F1560000}"/>
    <cellStyle name="Normal 2 2 4 2 2 10 4 8" xfId="22258" xr:uid="{00000000-0005-0000-0000-0000F2560000}"/>
    <cellStyle name="Normal 2 2 4 2 2 10 4 9" xfId="22259" xr:uid="{00000000-0005-0000-0000-0000F3560000}"/>
    <cellStyle name="Normal 2 2 4 2 2 10 5" xfId="22260" xr:uid="{00000000-0005-0000-0000-0000F4560000}"/>
    <cellStyle name="Normal 2 2 4 2 2 10 5 10" xfId="22261" xr:uid="{00000000-0005-0000-0000-0000F5560000}"/>
    <cellStyle name="Normal 2 2 4 2 2 10 5 2" xfId="22262" xr:uid="{00000000-0005-0000-0000-0000F6560000}"/>
    <cellStyle name="Normal 2 2 4 2 2 10 5 3" xfId="22263" xr:uid="{00000000-0005-0000-0000-0000F7560000}"/>
    <cellStyle name="Normal 2 2 4 2 2 10 5 4" xfId="22264" xr:uid="{00000000-0005-0000-0000-0000F8560000}"/>
    <cellStyle name="Normal 2 2 4 2 2 10 5 5" xfId="22265" xr:uid="{00000000-0005-0000-0000-0000F9560000}"/>
    <cellStyle name="Normal 2 2 4 2 2 10 5 6" xfId="22266" xr:uid="{00000000-0005-0000-0000-0000FA560000}"/>
    <cellStyle name="Normal 2 2 4 2 2 10 5 7" xfId="22267" xr:uid="{00000000-0005-0000-0000-0000FB560000}"/>
    <cellStyle name="Normal 2 2 4 2 2 10 5 8" xfId="22268" xr:uid="{00000000-0005-0000-0000-0000FC560000}"/>
    <cellStyle name="Normal 2 2 4 2 2 10 5 9" xfId="22269" xr:uid="{00000000-0005-0000-0000-0000FD560000}"/>
    <cellStyle name="Normal 2 2 4 2 2 10 6" xfId="22270" xr:uid="{00000000-0005-0000-0000-0000FE560000}"/>
    <cellStyle name="Normal 2 2 4 2 2 10 7" xfId="22271" xr:uid="{00000000-0005-0000-0000-0000FF560000}"/>
    <cellStyle name="Normal 2 2 4 2 2 10 8" xfId="22272" xr:uid="{00000000-0005-0000-0000-000000570000}"/>
    <cellStyle name="Normal 2 2 4 2 2 10 9" xfId="22273" xr:uid="{00000000-0005-0000-0000-000001570000}"/>
    <cellStyle name="Normal 2 2 4 2 2 11" xfId="22274" xr:uid="{00000000-0005-0000-0000-000002570000}"/>
    <cellStyle name="Normal 2 2 4 2 2 11 10" xfId="22275" xr:uid="{00000000-0005-0000-0000-000003570000}"/>
    <cellStyle name="Normal 2 2 4 2 2 11 11" xfId="22276" xr:uid="{00000000-0005-0000-0000-000004570000}"/>
    <cellStyle name="Normal 2 2 4 2 2 11 12" xfId="22277" xr:uid="{00000000-0005-0000-0000-000005570000}"/>
    <cellStyle name="Normal 2 2 4 2 2 11 13" xfId="22278" xr:uid="{00000000-0005-0000-0000-000006570000}"/>
    <cellStyle name="Normal 2 2 4 2 2 11 14" xfId="22279" xr:uid="{00000000-0005-0000-0000-000007570000}"/>
    <cellStyle name="Normal 2 2 4 2 2 11 2" xfId="22280" xr:uid="{00000000-0005-0000-0000-000008570000}"/>
    <cellStyle name="Normal 2 2 4 2 2 11 2 10" xfId="22281" xr:uid="{00000000-0005-0000-0000-000009570000}"/>
    <cellStyle name="Normal 2 2 4 2 2 11 2 2" xfId="22282" xr:uid="{00000000-0005-0000-0000-00000A570000}"/>
    <cellStyle name="Normal 2 2 4 2 2 11 2 3" xfId="22283" xr:uid="{00000000-0005-0000-0000-00000B570000}"/>
    <cellStyle name="Normal 2 2 4 2 2 11 2 4" xfId="22284" xr:uid="{00000000-0005-0000-0000-00000C570000}"/>
    <cellStyle name="Normal 2 2 4 2 2 11 2 5" xfId="22285" xr:uid="{00000000-0005-0000-0000-00000D570000}"/>
    <cellStyle name="Normal 2 2 4 2 2 11 2 6" xfId="22286" xr:uid="{00000000-0005-0000-0000-00000E570000}"/>
    <cellStyle name="Normal 2 2 4 2 2 11 2 7" xfId="22287" xr:uid="{00000000-0005-0000-0000-00000F570000}"/>
    <cellStyle name="Normal 2 2 4 2 2 11 2 8" xfId="22288" xr:uid="{00000000-0005-0000-0000-000010570000}"/>
    <cellStyle name="Normal 2 2 4 2 2 11 2 9" xfId="22289" xr:uid="{00000000-0005-0000-0000-000011570000}"/>
    <cellStyle name="Normal 2 2 4 2 2 11 3" xfId="22290" xr:uid="{00000000-0005-0000-0000-000012570000}"/>
    <cellStyle name="Normal 2 2 4 2 2 11 3 10" xfId="22291" xr:uid="{00000000-0005-0000-0000-000013570000}"/>
    <cellStyle name="Normal 2 2 4 2 2 11 3 2" xfId="22292" xr:uid="{00000000-0005-0000-0000-000014570000}"/>
    <cellStyle name="Normal 2 2 4 2 2 11 3 3" xfId="22293" xr:uid="{00000000-0005-0000-0000-000015570000}"/>
    <cellStyle name="Normal 2 2 4 2 2 11 3 4" xfId="22294" xr:uid="{00000000-0005-0000-0000-000016570000}"/>
    <cellStyle name="Normal 2 2 4 2 2 11 3 5" xfId="22295" xr:uid="{00000000-0005-0000-0000-000017570000}"/>
    <cellStyle name="Normal 2 2 4 2 2 11 3 6" xfId="22296" xr:uid="{00000000-0005-0000-0000-000018570000}"/>
    <cellStyle name="Normal 2 2 4 2 2 11 3 7" xfId="22297" xr:uid="{00000000-0005-0000-0000-000019570000}"/>
    <cellStyle name="Normal 2 2 4 2 2 11 3 8" xfId="22298" xr:uid="{00000000-0005-0000-0000-00001A570000}"/>
    <cellStyle name="Normal 2 2 4 2 2 11 3 9" xfId="22299" xr:uid="{00000000-0005-0000-0000-00001B570000}"/>
    <cellStyle name="Normal 2 2 4 2 2 11 4" xfId="22300" xr:uid="{00000000-0005-0000-0000-00001C570000}"/>
    <cellStyle name="Normal 2 2 4 2 2 11 4 10" xfId="22301" xr:uid="{00000000-0005-0000-0000-00001D570000}"/>
    <cellStyle name="Normal 2 2 4 2 2 11 4 2" xfId="22302" xr:uid="{00000000-0005-0000-0000-00001E570000}"/>
    <cellStyle name="Normal 2 2 4 2 2 11 4 3" xfId="22303" xr:uid="{00000000-0005-0000-0000-00001F570000}"/>
    <cellStyle name="Normal 2 2 4 2 2 11 4 4" xfId="22304" xr:uid="{00000000-0005-0000-0000-000020570000}"/>
    <cellStyle name="Normal 2 2 4 2 2 11 4 5" xfId="22305" xr:uid="{00000000-0005-0000-0000-000021570000}"/>
    <cellStyle name="Normal 2 2 4 2 2 11 4 6" xfId="22306" xr:uid="{00000000-0005-0000-0000-000022570000}"/>
    <cellStyle name="Normal 2 2 4 2 2 11 4 7" xfId="22307" xr:uid="{00000000-0005-0000-0000-000023570000}"/>
    <cellStyle name="Normal 2 2 4 2 2 11 4 8" xfId="22308" xr:uid="{00000000-0005-0000-0000-000024570000}"/>
    <cellStyle name="Normal 2 2 4 2 2 11 4 9" xfId="22309" xr:uid="{00000000-0005-0000-0000-000025570000}"/>
    <cellStyle name="Normal 2 2 4 2 2 11 5" xfId="22310" xr:uid="{00000000-0005-0000-0000-000026570000}"/>
    <cellStyle name="Normal 2 2 4 2 2 11 5 10" xfId="22311" xr:uid="{00000000-0005-0000-0000-000027570000}"/>
    <cellStyle name="Normal 2 2 4 2 2 11 5 2" xfId="22312" xr:uid="{00000000-0005-0000-0000-000028570000}"/>
    <cellStyle name="Normal 2 2 4 2 2 11 5 3" xfId="22313" xr:uid="{00000000-0005-0000-0000-000029570000}"/>
    <cellStyle name="Normal 2 2 4 2 2 11 5 4" xfId="22314" xr:uid="{00000000-0005-0000-0000-00002A570000}"/>
    <cellStyle name="Normal 2 2 4 2 2 11 5 5" xfId="22315" xr:uid="{00000000-0005-0000-0000-00002B570000}"/>
    <cellStyle name="Normal 2 2 4 2 2 11 5 6" xfId="22316" xr:uid="{00000000-0005-0000-0000-00002C570000}"/>
    <cellStyle name="Normal 2 2 4 2 2 11 5 7" xfId="22317" xr:uid="{00000000-0005-0000-0000-00002D570000}"/>
    <cellStyle name="Normal 2 2 4 2 2 11 5 8" xfId="22318" xr:uid="{00000000-0005-0000-0000-00002E570000}"/>
    <cellStyle name="Normal 2 2 4 2 2 11 5 9" xfId="22319" xr:uid="{00000000-0005-0000-0000-00002F570000}"/>
    <cellStyle name="Normal 2 2 4 2 2 11 6" xfId="22320" xr:uid="{00000000-0005-0000-0000-000030570000}"/>
    <cellStyle name="Normal 2 2 4 2 2 11 7" xfId="22321" xr:uid="{00000000-0005-0000-0000-000031570000}"/>
    <cellStyle name="Normal 2 2 4 2 2 11 8" xfId="22322" xr:uid="{00000000-0005-0000-0000-000032570000}"/>
    <cellStyle name="Normal 2 2 4 2 2 11 9" xfId="22323" xr:uid="{00000000-0005-0000-0000-000033570000}"/>
    <cellStyle name="Normal 2 2 4 2 2 12" xfId="22324" xr:uid="{00000000-0005-0000-0000-000034570000}"/>
    <cellStyle name="Normal 2 2 4 2 2 12 10" xfId="22325" xr:uid="{00000000-0005-0000-0000-000035570000}"/>
    <cellStyle name="Normal 2 2 4 2 2 12 11" xfId="22326" xr:uid="{00000000-0005-0000-0000-000036570000}"/>
    <cellStyle name="Normal 2 2 4 2 2 12 12" xfId="22327" xr:uid="{00000000-0005-0000-0000-000037570000}"/>
    <cellStyle name="Normal 2 2 4 2 2 12 13" xfId="22328" xr:uid="{00000000-0005-0000-0000-000038570000}"/>
    <cellStyle name="Normal 2 2 4 2 2 12 14" xfId="22329" xr:uid="{00000000-0005-0000-0000-000039570000}"/>
    <cellStyle name="Normal 2 2 4 2 2 12 2" xfId="22330" xr:uid="{00000000-0005-0000-0000-00003A570000}"/>
    <cellStyle name="Normal 2 2 4 2 2 12 2 10" xfId="22331" xr:uid="{00000000-0005-0000-0000-00003B570000}"/>
    <cellStyle name="Normal 2 2 4 2 2 12 2 2" xfId="22332" xr:uid="{00000000-0005-0000-0000-00003C570000}"/>
    <cellStyle name="Normal 2 2 4 2 2 12 2 3" xfId="22333" xr:uid="{00000000-0005-0000-0000-00003D570000}"/>
    <cellStyle name="Normal 2 2 4 2 2 12 2 4" xfId="22334" xr:uid="{00000000-0005-0000-0000-00003E570000}"/>
    <cellStyle name="Normal 2 2 4 2 2 12 2 5" xfId="22335" xr:uid="{00000000-0005-0000-0000-00003F570000}"/>
    <cellStyle name="Normal 2 2 4 2 2 12 2 6" xfId="22336" xr:uid="{00000000-0005-0000-0000-000040570000}"/>
    <cellStyle name="Normal 2 2 4 2 2 12 2 7" xfId="22337" xr:uid="{00000000-0005-0000-0000-000041570000}"/>
    <cellStyle name="Normal 2 2 4 2 2 12 2 8" xfId="22338" xr:uid="{00000000-0005-0000-0000-000042570000}"/>
    <cellStyle name="Normal 2 2 4 2 2 12 2 9" xfId="22339" xr:uid="{00000000-0005-0000-0000-000043570000}"/>
    <cellStyle name="Normal 2 2 4 2 2 12 3" xfId="22340" xr:uid="{00000000-0005-0000-0000-000044570000}"/>
    <cellStyle name="Normal 2 2 4 2 2 12 3 10" xfId="22341" xr:uid="{00000000-0005-0000-0000-000045570000}"/>
    <cellStyle name="Normal 2 2 4 2 2 12 3 2" xfId="22342" xr:uid="{00000000-0005-0000-0000-000046570000}"/>
    <cellStyle name="Normal 2 2 4 2 2 12 3 3" xfId="22343" xr:uid="{00000000-0005-0000-0000-000047570000}"/>
    <cellStyle name="Normal 2 2 4 2 2 12 3 4" xfId="22344" xr:uid="{00000000-0005-0000-0000-000048570000}"/>
    <cellStyle name="Normal 2 2 4 2 2 12 3 5" xfId="22345" xr:uid="{00000000-0005-0000-0000-000049570000}"/>
    <cellStyle name="Normal 2 2 4 2 2 12 3 6" xfId="22346" xr:uid="{00000000-0005-0000-0000-00004A570000}"/>
    <cellStyle name="Normal 2 2 4 2 2 12 3 7" xfId="22347" xr:uid="{00000000-0005-0000-0000-00004B570000}"/>
    <cellStyle name="Normal 2 2 4 2 2 12 3 8" xfId="22348" xr:uid="{00000000-0005-0000-0000-00004C570000}"/>
    <cellStyle name="Normal 2 2 4 2 2 12 3 9" xfId="22349" xr:uid="{00000000-0005-0000-0000-00004D570000}"/>
    <cellStyle name="Normal 2 2 4 2 2 12 4" xfId="22350" xr:uid="{00000000-0005-0000-0000-00004E570000}"/>
    <cellStyle name="Normal 2 2 4 2 2 12 4 10" xfId="22351" xr:uid="{00000000-0005-0000-0000-00004F570000}"/>
    <cellStyle name="Normal 2 2 4 2 2 12 4 2" xfId="22352" xr:uid="{00000000-0005-0000-0000-000050570000}"/>
    <cellStyle name="Normal 2 2 4 2 2 12 4 3" xfId="22353" xr:uid="{00000000-0005-0000-0000-000051570000}"/>
    <cellStyle name="Normal 2 2 4 2 2 12 4 4" xfId="22354" xr:uid="{00000000-0005-0000-0000-000052570000}"/>
    <cellStyle name="Normal 2 2 4 2 2 12 4 5" xfId="22355" xr:uid="{00000000-0005-0000-0000-000053570000}"/>
    <cellStyle name="Normal 2 2 4 2 2 12 4 6" xfId="22356" xr:uid="{00000000-0005-0000-0000-000054570000}"/>
    <cellStyle name="Normal 2 2 4 2 2 12 4 7" xfId="22357" xr:uid="{00000000-0005-0000-0000-000055570000}"/>
    <cellStyle name="Normal 2 2 4 2 2 12 4 8" xfId="22358" xr:uid="{00000000-0005-0000-0000-000056570000}"/>
    <cellStyle name="Normal 2 2 4 2 2 12 4 9" xfId="22359" xr:uid="{00000000-0005-0000-0000-000057570000}"/>
    <cellStyle name="Normal 2 2 4 2 2 12 5" xfId="22360" xr:uid="{00000000-0005-0000-0000-000058570000}"/>
    <cellStyle name="Normal 2 2 4 2 2 12 5 10" xfId="22361" xr:uid="{00000000-0005-0000-0000-000059570000}"/>
    <cellStyle name="Normal 2 2 4 2 2 12 5 2" xfId="22362" xr:uid="{00000000-0005-0000-0000-00005A570000}"/>
    <cellStyle name="Normal 2 2 4 2 2 12 5 3" xfId="22363" xr:uid="{00000000-0005-0000-0000-00005B570000}"/>
    <cellStyle name="Normal 2 2 4 2 2 12 5 4" xfId="22364" xr:uid="{00000000-0005-0000-0000-00005C570000}"/>
    <cellStyle name="Normal 2 2 4 2 2 12 5 5" xfId="22365" xr:uid="{00000000-0005-0000-0000-00005D570000}"/>
    <cellStyle name="Normal 2 2 4 2 2 12 5 6" xfId="22366" xr:uid="{00000000-0005-0000-0000-00005E570000}"/>
    <cellStyle name="Normal 2 2 4 2 2 12 5 7" xfId="22367" xr:uid="{00000000-0005-0000-0000-00005F570000}"/>
    <cellStyle name="Normal 2 2 4 2 2 12 5 8" xfId="22368" xr:uid="{00000000-0005-0000-0000-000060570000}"/>
    <cellStyle name="Normal 2 2 4 2 2 12 5 9" xfId="22369" xr:uid="{00000000-0005-0000-0000-000061570000}"/>
    <cellStyle name="Normal 2 2 4 2 2 12 6" xfId="22370" xr:uid="{00000000-0005-0000-0000-000062570000}"/>
    <cellStyle name="Normal 2 2 4 2 2 12 7" xfId="22371" xr:uid="{00000000-0005-0000-0000-000063570000}"/>
    <cellStyle name="Normal 2 2 4 2 2 12 8" xfId="22372" xr:uid="{00000000-0005-0000-0000-000064570000}"/>
    <cellStyle name="Normal 2 2 4 2 2 12 9" xfId="22373" xr:uid="{00000000-0005-0000-0000-000065570000}"/>
    <cellStyle name="Normal 2 2 4 2 2 13" xfId="22374" xr:uid="{00000000-0005-0000-0000-000066570000}"/>
    <cellStyle name="Normal 2 2 4 2 2 13 10" xfId="22375" xr:uid="{00000000-0005-0000-0000-000067570000}"/>
    <cellStyle name="Normal 2 2 4 2 2 13 11" xfId="22376" xr:uid="{00000000-0005-0000-0000-000068570000}"/>
    <cellStyle name="Normal 2 2 4 2 2 13 12" xfId="22377" xr:uid="{00000000-0005-0000-0000-000069570000}"/>
    <cellStyle name="Normal 2 2 4 2 2 13 13" xfId="22378" xr:uid="{00000000-0005-0000-0000-00006A570000}"/>
    <cellStyle name="Normal 2 2 4 2 2 13 14" xfId="22379" xr:uid="{00000000-0005-0000-0000-00006B570000}"/>
    <cellStyle name="Normal 2 2 4 2 2 13 2" xfId="22380" xr:uid="{00000000-0005-0000-0000-00006C570000}"/>
    <cellStyle name="Normal 2 2 4 2 2 13 2 10" xfId="22381" xr:uid="{00000000-0005-0000-0000-00006D570000}"/>
    <cellStyle name="Normal 2 2 4 2 2 13 2 2" xfId="22382" xr:uid="{00000000-0005-0000-0000-00006E570000}"/>
    <cellStyle name="Normal 2 2 4 2 2 13 2 3" xfId="22383" xr:uid="{00000000-0005-0000-0000-00006F570000}"/>
    <cellStyle name="Normal 2 2 4 2 2 13 2 4" xfId="22384" xr:uid="{00000000-0005-0000-0000-000070570000}"/>
    <cellStyle name="Normal 2 2 4 2 2 13 2 5" xfId="22385" xr:uid="{00000000-0005-0000-0000-000071570000}"/>
    <cellStyle name="Normal 2 2 4 2 2 13 2 6" xfId="22386" xr:uid="{00000000-0005-0000-0000-000072570000}"/>
    <cellStyle name="Normal 2 2 4 2 2 13 2 7" xfId="22387" xr:uid="{00000000-0005-0000-0000-000073570000}"/>
    <cellStyle name="Normal 2 2 4 2 2 13 2 8" xfId="22388" xr:uid="{00000000-0005-0000-0000-000074570000}"/>
    <cellStyle name="Normal 2 2 4 2 2 13 2 9" xfId="22389" xr:uid="{00000000-0005-0000-0000-000075570000}"/>
    <cellStyle name="Normal 2 2 4 2 2 13 3" xfId="22390" xr:uid="{00000000-0005-0000-0000-000076570000}"/>
    <cellStyle name="Normal 2 2 4 2 2 13 3 10" xfId="22391" xr:uid="{00000000-0005-0000-0000-000077570000}"/>
    <cellStyle name="Normal 2 2 4 2 2 13 3 2" xfId="22392" xr:uid="{00000000-0005-0000-0000-000078570000}"/>
    <cellStyle name="Normal 2 2 4 2 2 13 3 3" xfId="22393" xr:uid="{00000000-0005-0000-0000-000079570000}"/>
    <cellStyle name="Normal 2 2 4 2 2 13 3 4" xfId="22394" xr:uid="{00000000-0005-0000-0000-00007A570000}"/>
    <cellStyle name="Normal 2 2 4 2 2 13 3 5" xfId="22395" xr:uid="{00000000-0005-0000-0000-00007B570000}"/>
    <cellStyle name="Normal 2 2 4 2 2 13 3 6" xfId="22396" xr:uid="{00000000-0005-0000-0000-00007C570000}"/>
    <cellStyle name="Normal 2 2 4 2 2 13 3 7" xfId="22397" xr:uid="{00000000-0005-0000-0000-00007D570000}"/>
    <cellStyle name="Normal 2 2 4 2 2 13 3 8" xfId="22398" xr:uid="{00000000-0005-0000-0000-00007E570000}"/>
    <cellStyle name="Normal 2 2 4 2 2 13 3 9" xfId="22399" xr:uid="{00000000-0005-0000-0000-00007F570000}"/>
    <cellStyle name="Normal 2 2 4 2 2 13 4" xfId="22400" xr:uid="{00000000-0005-0000-0000-000080570000}"/>
    <cellStyle name="Normal 2 2 4 2 2 13 4 10" xfId="22401" xr:uid="{00000000-0005-0000-0000-000081570000}"/>
    <cellStyle name="Normal 2 2 4 2 2 13 4 2" xfId="22402" xr:uid="{00000000-0005-0000-0000-000082570000}"/>
    <cellStyle name="Normal 2 2 4 2 2 13 4 3" xfId="22403" xr:uid="{00000000-0005-0000-0000-000083570000}"/>
    <cellStyle name="Normal 2 2 4 2 2 13 4 4" xfId="22404" xr:uid="{00000000-0005-0000-0000-000084570000}"/>
    <cellStyle name="Normal 2 2 4 2 2 13 4 5" xfId="22405" xr:uid="{00000000-0005-0000-0000-000085570000}"/>
    <cellStyle name="Normal 2 2 4 2 2 13 4 6" xfId="22406" xr:uid="{00000000-0005-0000-0000-000086570000}"/>
    <cellStyle name="Normal 2 2 4 2 2 13 4 7" xfId="22407" xr:uid="{00000000-0005-0000-0000-000087570000}"/>
    <cellStyle name="Normal 2 2 4 2 2 13 4 8" xfId="22408" xr:uid="{00000000-0005-0000-0000-000088570000}"/>
    <cellStyle name="Normal 2 2 4 2 2 13 4 9" xfId="22409" xr:uid="{00000000-0005-0000-0000-000089570000}"/>
    <cellStyle name="Normal 2 2 4 2 2 13 5" xfId="22410" xr:uid="{00000000-0005-0000-0000-00008A570000}"/>
    <cellStyle name="Normal 2 2 4 2 2 13 5 10" xfId="22411" xr:uid="{00000000-0005-0000-0000-00008B570000}"/>
    <cellStyle name="Normal 2 2 4 2 2 13 5 2" xfId="22412" xr:uid="{00000000-0005-0000-0000-00008C570000}"/>
    <cellStyle name="Normal 2 2 4 2 2 13 5 3" xfId="22413" xr:uid="{00000000-0005-0000-0000-00008D570000}"/>
    <cellStyle name="Normal 2 2 4 2 2 13 5 4" xfId="22414" xr:uid="{00000000-0005-0000-0000-00008E570000}"/>
    <cellStyle name="Normal 2 2 4 2 2 13 5 5" xfId="22415" xr:uid="{00000000-0005-0000-0000-00008F570000}"/>
    <cellStyle name="Normal 2 2 4 2 2 13 5 6" xfId="22416" xr:uid="{00000000-0005-0000-0000-000090570000}"/>
    <cellStyle name="Normal 2 2 4 2 2 13 5 7" xfId="22417" xr:uid="{00000000-0005-0000-0000-000091570000}"/>
    <cellStyle name="Normal 2 2 4 2 2 13 5 8" xfId="22418" xr:uid="{00000000-0005-0000-0000-000092570000}"/>
    <cellStyle name="Normal 2 2 4 2 2 13 5 9" xfId="22419" xr:uid="{00000000-0005-0000-0000-000093570000}"/>
    <cellStyle name="Normal 2 2 4 2 2 13 6" xfId="22420" xr:uid="{00000000-0005-0000-0000-000094570000}"/>
    <cellStyle name="Normal 2 2 4 2 2 13 7" xfId="22421" xr:uid="{00000000-0005-0000-0000-000095570000}"/>
    <cellStyle name="Normal 2 2 4 2 2 13 8" xfId="22422" xr:uid="{00000000-0005-0000-0000-000096570000}"/>
    <cellStyle name="Normal 2 2 4 2 2 13 9" xfId="22423" xr:uid="{00000000-0005-0000-0000-000097570000}"/>
    <cellStyle name="Normal 2 2 4 2 2 14" xfId="22424" xr:uid="{00000000-0005-0000-0000-000098570000}"/>
    <cellStyle name="Normal 2 2 4 2 2 14 10" xfId="22425" xr:uid="{00000000-0005-0000-0000-000099570000}"/>
    <cellStyle name="Normal 2 2 4 2 2 14 11" xfId="22426" xr:uid="{00000000-0005-0000-0000-00009A570000}"/>
    <cellStyle name="Normal 2 2 4 2 2 14 12" xfId="22427" xr:uid="{00000000-0005-0000-0000-00009B570000}"/>
    <cellStyle name="Normal 2 2 4 2 2 14 13" xfId="22428" xr:uid="{00000000-0005-0000-0000-00009C570000}"/>
    <cellStyle name="Normal 2 2 4 2 2 14 14" xfId="22429" xr:uid="{00000000-0005-0000-0000-00009D570000}"/>
    <cellStyle name="Normal 2 2 4 2 2 14 2" xfId="22430" xr:uid="{00000000-0005-0000-0000-00009E570000}"/>
    <cellStyle name="Normal 2 2 4 2 2 14 2 10" xfId="22431" xr:uid="{00000000-0005-0000-0000-00009F570000}"/>
    <cellStyle name="Normal 2 2 4 2 2 14 2 2" xfId="22432" xr:uid="{00000000-0005-0000-0000-0000A0570000}"/>
    <cellStyle name="Normal 2 2 4 2 2 14 2 3" xfId="22433" xr:uid="{00000000-0005-0000-0000-0000A1570000}"/>
    <cellStyle name="Normal 2 2 4 2 2 14 2 4" xfId="22434" xr:uid="{00000000-0005-0000-0000-0000A2570000}"/>
    <cellStyle name="Normal 2 2 4 2 2 14 2 5" xfId="22435" xr:uid="{00000000-0005-0000-0000-0000A3570000}"/>
    <cellStyle name="Normal 2 2 4 2 2 14 2 6" xfId="22436" xr:uid="{00000000-0005-0000-0000-0000A4570000}"/>
    <cellStyle name="Normal 2 2 4 2 2 14 2 7" xfId="22437" xr:uid="{00000000-0005-0000-0000-0000A5570000}"/>
    <cellStyle name="Normal 2 2 4 2 2 14 2 8" xfId="22438" xr:uid="{00000000-0005-0000-0000-0000A6570000}"/>
    <cellStyle name="Normal 2 2 4 2 2 14 2 9" xfId="22439" xr:uid="{00000000-0005-0000-0000-0000A7570000}"/>
    <cellStyle name="Normal 2 2 4 2 2 14 3" xfId="22440" xr:uid="{00000000-0005-0000-0000-0000A8570000}"/>
    <cellStyle name="Normal 2 2 4 2 2 14 3 10" xfId="22441" xr:uid="{00000000-0005-0000-0000-0000A9570000}"/>
    <cellStyle name="Normal 2 2 4 2 2 14 3 2" xfId="22442" xr:uid="{00000000-0005-0000-0000-0000AA570000}"/>
    <cellStyle name="Normal 2 2 4 2 2 14 3 3" xfId="22443" xr:uid="{00000000-0005-0000-0000-0000AB570000}"/>
    <cellStyle name="Normal 2 2 4 2 2 14 3 4" xfId="22444" xr:uid="{00000000-0005-0000-0000-0000AC570000}"/>
    <cellStyle name="Normal 2 2 4 2 2 14 3 5" xfId="22445" xr:uid="{00000000-0005-0000-0000-0000AD570000}"/>
    <cellStyle name="Normal 2 2 4 2 2 14 3 6" xfId="22446" xr:uid="{00000000-0005-0000-0000-0000AE570000}"/>
    <cellStyle name="Normal 2 2 4 2 2 14 3 7" xfId="22447" xr:uid="{00000000-0005-0000-0000-0000AF570000}"/>
    <cellStyle name="Normal 2 2 4 2 2 14 3 8" xfId="22448" xr:uid="{00000000-0005-0000-0000-0000B0570000}"/>
    <cellStyle name="Normal 2 2 4 2 2 14 3 9" xfId="22449" xr:uid="{00000000-0005-0000-0000-0000B1570000}"/>
    <cellStyle name="Normal 2 2 4 2 2 14 4" xfId="22450" xr:uid="{00000000-0005-0000-0000-0000B2570000}"/>
    <cellStyle name="Normal 2 2 4 2 2 14 4 10" xfId="22451" xr:uid="{00000000-0005-0000-0000-0000B3570000}"/>
    <cellStyle name="Normal 2 2 4 2 2 14 4 2" xfId="22452" xr:uid="{00000000-0005-0000-0000-0000B4570000}"/>
    <cellStyle name="Normal 2 2 4 2 2 14 4 3" xfId="22453" xr:uid="{00000000-0005-0000-0000-0000B5570000}"/>
    <cellStyle name="Normal 2 2 4 2 2 14 4 4" xfId="22454" xr:uid="{00000000-0005-0000-0000-0000B6570000}"/>
    <cellStyle name="Normal 2 2 4 2 2 14 4 5" xfId="22455" xr:uid="{00000000-0005-0000-0000-0000B7570000}"/>
    <cellStyle name="Normal 2 2 4 2 2 14 4 6" xfId="22456" xr:uid="{00000000-0005-0000-0000-0000B8570000}"/>
    <cellStyle name="Normal 2 2 4 2 2 14 4 7" xfId="22457" xr:uid="{00000000-0005-0000-0000-0000B9570000}"/>
    <cellStyle name="Normal 2 2 4 2 2 14 4 8" xfId="22458" xr:uid="{00000000-0005-0000-0000-0000BA570000}"/>
    <cellStyle name="Normal 2 2 4 2 2 14 4 9" xfId="22459" xr:uid="{00000000-0005-0000-0000-0000BB570000}"/>
    <cellStyle name="Normal 2 2 4 2 2 14 5" xfId="22460" xr:uid="{00000000-0005-0000-0000-0000BC570000}"/>
    <cellStyle name="Normal 2 2 4 2 2 14 5 10" xfId="22461" xr:uid="{00000000-0005-0000-0000-0000BD570000}"/>
    <cellStyle name="Normal 2 2 4 2 2 14 5 2" xfId="22462" xr:uid="{00000000-0005-0000-0000-0000BE570000}"/>
    <cellStyle name="Normal 2 2 4 2 2 14 5 3" xfId="22463" xr:uid="{00000000-0005-0000-0000-0000BF570000}"/>
    <cellStyle name="Normal 2 2 4 2 2 14 5 4" xfId="22464" xr:uid="{00000000-0005-0000-0000-0000C0570000}"/>
    <cellStyle name="Normal 2 2 4 2 2 14 5 5" xfId="22465" xr:uid="{00000000-0005-0000-0000-0000C1570000}"/>
    <cellStyle name="Normal 2 2 4 2 2 14 5 6" xfId="22466" xr:uid="{00000000-0005-0000-0000-0000C2570000}"/>
    <cellStyle name="Normal 2 2 4 2 2 14 5 7" xfId="22467" xr:uid="{00000000-0005-0000-0000-0000C3570000}"/>
    <cellStyle name="Normal 2 2 4 2 2 14 5 8" xfId="22468" xr:uid="{00000000-0005-0000-0000-0000C4570000}"/>
    <cellStyle name="Normal 2 2 4 2 2 14 5 9" xfId="22469" xr:uid="{00000000-0005-0000-0000-0000C5570000}"/>
    <cellStyle name="Normal 2 2 4 2 2 14 6" xfId="22470" xr:uid="{00000000-0005-0000-0000-0000C6570000}"/>
    <cellStyle name="Normal 2 2 4 2 2 14 7" xfId="22471" xr:uid="{00000000-0005-0000-0000-0000C7570000}"/>
    <cellStyle name="Normal 2 2 4 2 2 14 8" xfId="22472" xr:uid="{00000000-0005-0000-0000-0000C8570000}"/>
    <cellStyle name="Normal 2 2 4 2 2 14 9" xfId="22473" xr:uid="{00000000-0005-0000-0000-0000C9570000}"/>
    <cellStyle name="Normal 2 2 4 2 2 15" xfId="22474" xr:uid="{00000000-0005-0000-0000-0000CA570000}"/>
    <cellStyle name="Normal 2 2 4 2 2 15 10" xfId="22475" xr:uid="{00000000-0005-0000-0000-0000CB570000}"/>
    <cellStyle name="Normal 2 2 4 2 2 15 11" xfId="22476" xr:uid="{00000000-0005-0000-0000-0000CC570000}"/>
    <cellStyle name="Normal 2 2 4 2 2 15 12" xfId="22477" xr:uid="{00000000-0005-0000-0000-0000CD570000}"/>
    <cellStyle name="Normal 2 2 4 2 2 15 13" xfId="22478" xr:uid="{00000000-0005-0000-0000-0000CE570000}"/>
    <cellStyle name="Normal 2 2 4 2 2 15 14" xfId="22479" xr:uid="{00000000-0005-0000-0000-0000CF570000}"/>
    <cellStyle name="Normal 2 2 4 2 2 15 2" xfId="22480" xr:uid="{00000000-0005-0000-0000-0000D0570000}"/>
    <cellStyle name="Normal 2 2 4 2 2 15 2 10" xfId="22481" xr:uid="{00000000-0005-0000-0000-0000D1570000}"/>
    <cellStyle name="Normal 2 2 4 2 2 15 2 2" xfId="22482" xr:uid="{00000000-0005-0000-0000-0000D2570000}"/>
    <cellStyle name="Normal 2 2 4 2 2 15 2 3" xfId="22483" xr:uid="{00000000-0005-0000-0000-0000D3570000}"/>
    <cellStyle name="Normal 2 2 4 2 2 15 2 4" xfId="22484" xr:uid="{00000000-0005-0000-0000-0000D4570000}"/>
    <cellStyle name="Normal 2 2 4 2 2 15 2 5" xfId="22485" xr:uid="{00000000-0005-0000-0000-0000D5570000}"/>
    <cellStyle name="Normal 2 2 4 2 2 15 2 6" xfId="22486" xr:uid="{00000000-0005-0000-0000-0000D6570000}"/>
    <cellStyle name="Normal 2 2 4 2 2 15 2 7" xfId="22487" xr:uid="{00000000-0005-0000-0000-0000D7570000}"/>
    <cellStyle name="Normal 2 2 4 2 2 15 2 8" xfId="22488" xr:uid="{00000000-0005-0000-0000-0000D8570000}"/>
    <cellStyle name="Normal 2 2 4 2 2 15 2 9" xfId="22489" xr:uid="{00000000-0005-0000-0000-0000D9570000}"/>
    <cellStyle name="Normal 2 2 4 2 2 15 3" xfId="22490" xr:uid="{00000000-0005-0000-0000-0000DA570000}"/>
    <cellStyle name="Normal 2 2 4 2 2 15 3 10" xfId="22491" xr:uid="{00000000-0005-0000-0000-0000DB570000}"/>
    <cellStyle name="Normal 2 2 4 2 2 15 3 2" xfId="22492" xr:uid="{00000000-0005-0000-0000-0000DC570000}"/>
    <cellStyle name="Normal 2 2 4 2 2 15 3 3" xfId="22493" xr:uid="{00000000-0005-0000-0000-0000DD570000}"/>
    <cellStyle name="Normal 2 2 4 2 2 15 3 4" xfId="22494" xr:uid="{00000000-0005-0000-0000-0000DE570000}"/>
    <cellStyle name="Normal 2 2 4 2 2 15 3 5" xfId="22495" xr:uid="{00000000-0005-0000-0000-0000DF570000}"/>
    <cellStyle name="Normal 2 2 4 2 2 15 3 6" xfId="22496" xr:uid="{00000000-0005-0000-0000-0000E0570000}"/>
    <cellStyle name="Normal 2 2 4 2 2 15 3 7" xfId="22497" xr:uid="{00000000-0005-0000-0000-0000E1570000}"/>
    <cellStyle name="Normal 2 2 4 2 2 15 3 8" xfId="22498" xr:uid="{00000000-0005-0000-0000-0000E2570000}"/>
    <cellStyle name="Normal 2 2 4 2 2 15 3 9" xfId="22499" xr:uid="{00000000-0005-0000-0000-0000E3570000}"/>
    <cellStyle name="Normal 2 2 4 2 2 15 4" xfId="22500" xr:uid="{00000000-0005-0000-0000-0000E4570000}"/>
    <cellStyle name="Normal 2 2 4 2 2 15 4 10" xfId="22501" xr:uid="{00000000-0005-0000-0000-0000E5570000}"/>
    <cellStyle name="Normal 2 2 4 2 2 15 4 2" xfId="22502" xr:uid="{00000000-0005-0000-0000-0000E6570000}"/>
    <cellStyle name="Normal 2 2 4 2 2 15 4 3" xfId="22503" xr:uid="{00000000-0005-0000-0000-0000E7570000}"/>
    <cellStyle name="Normal 2 2 4 2 2 15 4 4" xfId="22504" xr:uid="{00000000-0005-0000-0000-0000E8570000}"/>
    <cellStyle name="Normal 2 2 4 2 2 15 4 5" xfId="22505" xr:uid="{00000000-0005-0000-0000-0000E9570000}"/>
    <cellStyle name="Normal 2 2 4 2 2 15 4 6" xfId="22506" xr:uid="{00000000-0005-0000-0000-0000EA570000}"/>
    <cellStyle name="Normal 2 2 4 2 2 15 4 7" xfId="22507" xr:uid="{00000000-0005-0000-0000-0000EB570000}"/>
    <cellStyle name="Normal 2 2 4 2 2 15 4 8" xfId="22508" xr:uid="{00000000-0005-0000-0000-0000EC570000}"/>
    <cellStyle name="Normal 2 2 4 2 2 15 4 9" xfId="22509" xr:uid="{00000000-0005-0000-0000-0000ED570000}"/>
    <cellStyle name="Normal 2 2 4 2 2 15 5" xfId="22510" xr:uid="{00000000-0005-0000-0000-0000EE570000}"/>
    <cellStyle name="Normal 2 2 4 2 2 15 5 10" xfId="22511" xr:uid="{00000000-0005-0000-0000-0000EF570000}"/>
    <cellStyle name="Normal 2 2 4 2 2 15 5 2" xfId="22512" xr:uid="{00000000-0005-0000-0000-0000F0570000}"/>
    <cellStyle name="Normal 2 2 4 2 2 15 5 3" xfId="22513" xr:uid="{00000000-0005-0000-0000-0000F1570000}"/>
    <cellStyle name="Normal 2 2 4 2 2 15 5 4" xfId="22514" xr:uid="{00000000-0005-0000-0000-0000F2570000}"/>
    <cellStyle name="Normal 2 2 4 2 2 15 5 5" xfId="22515" xr:uid="{00000000-0005-0000-0000-0000F3570000}"/>
    <cellStyle name="Normal 2 2 4 2 2 15 5 6" xfId="22516" xr:uid="{00000000-0005-0000-0000-0000F4570000}"/>
    <cellStyle name="Normal 2 2 4 2 2 15 5 7" xfId="22517" xr:uid="{00000000-0005-0000-0000-0000F5570000}"/>
    <cellStyle name="Normal 2 2 4 2 2 15 5 8" xfId="22518" xr:uid="{00000000-0005-0000-0000-0000F6570000}"/>
    <cellStyle name="Normal 2 2 4 2 2 15 5 9" xfId="22519" xr:uid="{00000000-0005-0000-0000-0000F7570000}"/>
    <cellStyle name="Normal 2 2 4 2 2 15 6" xfId="22520" xr:uid="{00000000-0005-0000-0000-0000F8570000}"/>
    <cellStyle name="Normal 2 2 4 2 2 15 7" xfId="22521" xr:uid="{00000000-0005-0000-0000-0000F9570000}"/>
    <cellStyle name="Normal 2 2 4 2 2 15 8" xfId="22522" xr:uid="{00000000-0005-0000-0000-0000FA570000}"/>
    <cellStyle name="Normal 2 2 4 2 2 15 9" xfId="22523" xr:uid="{00000000-0005-0000-0000-0000FB570000}"/>
    <cellStyle name="Normal 2 2 4 2 2 16" xfId="22524" xr:uid="{00000000-0005-0000-0000-0000FC570000}"/>
    <cellStyle name="Normal 2 2 4 2 2 16 10" xfId="22525" xr:uid="{00000000-0005-0000-0000-0000FD570000}"/>
    <cellStyle name="Normal 2 2 4 2 2 16 11" xfId="22526" xr:uid="{00000000-0005-0000-0000-0000FE570000}"/>
    <cellStyle name="Normal 2 2 4 2 2 16 12" xfId="22527" xr:uid="{00000000-0005-0000-0000-0000FF570000}"/>
    <cellStyle name="Normal 2 2 4 2 2 16 13" xfId="22528" xr:uid="{00000000-0005-0000-0000-000000580000}"/>
    <cellStyle name="Normal 2 2 4 2 2 16 14" xfId="22529" xr:uid="{00000000-0005-0000-0000-000001580000}"/>
    <cellStyle name="Normal 2 2 4 2 2 16 2" xfId="22530" xr:uid="{00000000-0005-0000-0000-000002580000}"/>
    <cellStyle name="Normal 2 2 4 2 2 16 2 10" xfId="22531" xr:uid="{00000000-0005-0000-0000-000003580000}"/>
    <cellStyle name="Normal 2 2 4 2 2 16 2 2" xfId="22532" xr:uid="{00000000-0005-0000-0000-000004580000}"/>
    <cellStyle name="Normal 2 2 4 2 2 16 2 3" xfId="22533" xr:uid="{00000000-0005-0000-0000-000005580000}"/>
    <cellStyle name="Normal 2 2 4 2 2 16 2 4" xfId="22534" xr:uid="{00000000-0005-0000-0000-000006580000}"/>
    <cellStyle name="Normal 2 2 4 2 2 16 2 5" xfId="22535" xr:uid="{00000000-0005-0000-0000-000007580000}"/>
    <cellStyle name="Normal 2 2 4 2 2 16 2 6" xfId="22536" xr:uid="{00000000-0005-0000-0000-000008580000}"/>
    <cellStyle name="Normal 2 2 4 2 2 16 2 7" xfId="22537" xr:uid="{00000000-0005-0000-0000-000009580000}"/>
    <cellStyle name="Normal 2 2 4 2 2 16 2 8" xfId="22538" xr:uid="{00000000-0005-0000-0000-00000A580000}"/>
    <cellStyle name="Normal 2 2 4 2 2 16 2 9" xfId="22539" xr:uid="{00000000-0005-0000-0000-00000B580000}"/>
    <cellStyle name="Normal 2 2 4 2 2 16 3" xfId="22540" xr:uid="{00000000-0005-0000-0000-00000C580000}"/>
    <cellStyle name="Normal 2 2 4 2 2 16 3 10" xfId="22541" xr:uid="{00000000-0005-0000-0000-00000D580000}"/>
    <cellStyle name="Normal 2 2 4 2 2 16 3 2" xfId="22542" xr:uid="{00000000-0005-0000-0000-00000E580000}"/>
    <cellStyle name="Normal 2 2 4 2 2 16 3 3" xfId="22543" xr:uid="{00000000-0005-0000-0000-00000F580000}"/>
    <cellStyle name="Normal 2 2 4 2 2 16 3 4" xfId="22544" xr:uid="{00000000-0005-0000-0000-000010580000}"/>
    <cellStyle name="Normal 2 2 4 2 2 16 3 5" xfId="22545" xr:uid="{00000000-0005-0000-0000-000011580000}"/>
    <cellStyle name="Normal 2 2 4 2 2 16 3 6" xfId="22546" xr:uid="{00000000-0005-0000-0000-000012580000}"/>
    <cellStyle name="Normal 2 2 4 2 2 16 3 7" xfId="22547" xr:uid="{00000000-0005-0000-0000-000013580000}"/>
    <cellStyle name="Normal 2 2 4 2 2 16 3 8" xfId="22548" xr:uid="{00000000-0005-0000-0000-000014580000}"/>
    <cellStyle name="Normal 2 2 4 2 2 16 3 9" xfId="22549" xr:uid="{00000000-0005-0000-0000-000015580000}"/>
    <cellStyle name="Normal 2 2 4 2 2 16 4" xfId="22550" xr:uid="{00000000-0005-0000-0000-000016580000}"/>
    <cellStyle name="Normal 2 2 4 2 2 16 4 10" xfId="22551" xr:uid="{00000000-0005-0000-0000-000017580000}"/>
    <cellStyle name="Normal 2 2 4 2 2 16 4 2" xfId="22552" xr:uid="{00000000-0005-0000-0000-000018580000}"/>
    <cellStyle name="Normal 2 2 4 2 2 16 4 3" xfId="22553" xr:uid="{00000000-0005-0000-0000-000019580000}"/>
    <cellStyle name="Normal 2 2 4 2 2 16 4 4" xfId="22554" xr:uid="{00000000-0005-0000-0000-00001A580000}"/>
    <cellStyle name="Normal 2 2 4 2 2 16 4 5" xfId="22555" xr:uid="{00000000-0005-0000-0000-00001B580000}"/>
    <cellStyle name="Normal 2 2 4 2 2 16 4 6" xfId="22556" xr:uid="{00000000-0005-0000-0000-00001C580000}"/>
    <cellStyle name="Normal 2 2 4 2 2 16 4 7" xfId="22557" xr:uid="{00000000-0005-0000-0000-00001D580000}"/>
    <cellStyle name="Normal 2 2 4 2 2 16 4 8" xfId="22558" xr:uid="{00000000-0005-0000-0000-00001E580000}"/>
    <cellStyle name="Normal 2 2 4 2 2 16 4 9" xfId="22559" xr:uid="{00000000-0005-0000-0000-00001F580000}"/>
    <cellStyle name="Normal 2 2 4 2 2 16 5" xfId="22560" xr:uid="{00000000-0005-0000-0000-000020580000}"/>
    <cellStyle name="Normal 2 2 4 2 2 16 5 10" xfId="22561" xr:uid="{00000000-0005-0000-0000-000021580000}"/>
    <cellStyle name="Normal 2 2 4 2 2 16 5 2" xfId="22562" xr:uid="{00000000-0005-0000-0000-000022580000}"/>
    <cellStyle name="Normal 2 2 4 2 2 16 5 3" xfId="22563" xr:uid="{00000000-0005-0000-0000-000023580000}"/>
    <cellStyle name="Normal 2 2 4 2 2 16 5 4" xfId="22564" xr:uid="{00000000-0005-0000-0000-000024580000}"/>
    <cellStyle name="Normal 2 2 4 2 2 16 5 5" xfId="22565" xr:uid="{00000000-0005-0000-0000-000025580000}"/>
    <cellStyle name="Normal 2 2 4 2 2 16 5 6" xfId="22566" xr:uid="{00000000-0005-0000-0000-000026580000}"/>
    <cellStyle name="Normal 2 2 4 2 2 16 5 7" xfId="22567" xr:uid="{00000000-0005-0000-0000-000027580000}"/>
    <cellStyle name="Normal 2 2 4 2 2 16 5 8" xfId="22568" xr:uid="{00000000-0005-0000-0000-000028580000}"/>
    <cellStyle name="Normal 2 2 4 2 2 16 5 9" xfId="22569" xr:uid="{00000000-0005-0000-0000-000029580000}"/>
    <cellStyle name="Normal 2 2 4 2 2 16 6" xfId="22570" xr:uid="{00000000-0005-0000-0000-00002A580000}"/>
    <cellStyle name="Normal 2 2 4 2 2 16 7" xfId="22571" xr:uid="{00000000-0005-0000-0000-00002B580000}"/>
    <cellStyle name="Normal 2 2 4 2 2 16 8" xfId="22572" xr:uid="{00000000-0005-0000-0000-00002C580000}"/>
    <cellStyle name="Normal 2 2 4 2 2 16 9" xfId="22573" xr:uid="{00000000-0005-0000-0000-00002D580000}"/>
    <cellStyle name="Normal 2 2 4 2 2 17" xfId="22574" xr:uid="{00000000-0005-0000-0000-00002E580000}"/>
    <cellStyle name="Normal 2 2 4 2 2 17 10" xfId="22575" xr:uid="{00000000-0005-0000-0000-00002F580000}"/>
    <cellStyle name="Normal 2 2 4 2 2 17 11" xfId="22576" xr:uid="{00000000-0005-0000-0000-000030580000}"/>
    <cellStyle name="Normal 2 2 4 2 2 17 12" xfId="22577" xr:uid="{00000000-0005-0000-0000-000031580000}"/>
    <cellStyle name="Normal 2 2 4 2 2 17 13" xfId="22578" xr:uid="{00000000-0005-0000-0000-000032580000}"/>
    <cellStyle name="Normal 2 2 4 2 2 17 14" xfId="22579" xr:uid="{00000000-0005-0000-0000-000033580000}"/>
    <cellStyle name="Normal 2 2 4 2 2 17 2" xfId="22580" xr:uid="{00000000-0005-0000-0000-000034580000}"/>
    <cellStyle name="Normal 2 2 4 2 2 17 2 10" xfId="22581" xr:uid="{00000000-0005-0000-0000-000035580000}"/>
    <cellStyle name="Normal 2 2 4 2 2 17 2 2" xfId="22582" xr:uid="{00000000-0005-0000-0000-000036580000}"/>
    <cellStyle name="Normal 2 2 4 2 2 17 2 3" xfId="22583" xr:uid="{00000000-0005-0000-0000-000037580000}"/>
    <cellStyle name="Normal 2 2 4 2 2 17 2 4" xfId="22584" xr:uid="{00000000-0005-0000-0000-000038580000}"/>
    <cellStyle name="Normal 2 2 4 2 2 17 2 5" xfId="22585" xr:uid="{00000000-0005-0000-0000-000039580000}"/>
    <cellStyle name="Normal 2 2 4 2 2 17 2 6" xfId="22586" xr:uid="{00000000-0005-0000-0000-00003A580000}"/>
    <cellStyle name="Normal 2 2 4 2 2 17 2 7" xfId="22587" xr:uid="{00000000-0005-0000-0000-00003B580000}"/>
    <cellStyle name="Normal 2 2 4 2 2 17 2 8" xfId="22588" xr:uid="{00000000-0005-0000-0000-00003C580000}"/>
    <cellStyle name="Normal 2 2 4 2 2 17 2 9" xfId="22589" xr:uid="{00000000-0005-0000-0000-00003D580000}"/>
    <cellStyle name="Normal 2 2 4 2 2 17 3" xfId="22590" xr:uid="{00000000-0005-0000-0000-00003E580000}"/>
    <cellStyle name="Normal 2 2 4 2 2 17 3 10" xfId="22591" xr:uid="{00000000-0005-0000-0000-00003F580000}"/>
    <cellStyle name="Normal 2 2 4 2 2 17 3 2" xfId="22592" xr:uid="{00000000-0005-0000-0000-000040580000}"/>
    <cellStyle name="Normal 2 2 4 2 2 17 3 3" xfId="22593" xr:uid="{00000000-0005-0000-0000-000041580000}"/>
    <cellStyle name="Normal 2 2 4 2 2 17 3 4" xfId="22594" xr:uid="{00000000-0005-0000-0000-000042580000}"/>
    <cellStyle name="Normal 2 2 4 2 2 17 3 5" xfId="22595" xr:uid="{00000000-0005-0000-0000-000043580000}"/>
    <cellStyle name="Normal 2 2 4 2 2 17 3 6" xfId="22596" xr:uid="{00000000-0005-0000-0000-000044580000}"/>
    <cellStyle name="Normal 2 2 4 2 2 17 3 7" xfId="22597" xr:uid="{00000000-0005-0000-0000-000045580000}"/>
    <cellStyle name="Normal 2 2 4 2 2 17 3 8" xfId="22598" xr:uid="{00000000-0005-0000-0000-000046580000}"/>
    <cellStyle name="Normal 2 2 4 2 2 17 3 9" xfId="22599" xr:uid="{00000000-0005-0000-0000-000047580000}"/>
    <cellStyle name="Normal 2 2 4 2 2 17 4" xfId="22600" xr:uid="{00000000-0005-0000-0000-000048580000}"/>
    <cellStyle name="Normal 2 2 4 2 2 17 4 10" xfId="22601" xr:uid="{00000000-0005-0000-0000-000049580000}"/>
    <cellStyle name="Normal 2 2 4 2 2 17 4 2" xfId="22602" xr:uid="{00000000-0005-0000-0000-00004A580000}"/>
    <cellStyle name="Normal 2 2 4 2 2 17 4 3" xfId="22603" xr:uid="{00000000-0005-0000-0000-00004B580000}"/>
    <cellStyle name="Normal 2 2 4 2 2 17 4 4" xfId="22604" xr:uid="{00000000-0005-0000-0000-00004C580000}"/>
    <cellStyle name="Normal 2 2 4 2 2 17 4 5" xfId="22605" xr:uid="{00000000-0005-0000-0000-00004D580000}"/>
    <cellStyle name="Normal 2 2 4 2 2 17 4 6" xfId="22606" xr:uid="{00000000-0005-0000-0000-00004E580000}"/>
    <cellStyle name="Normal 2 2 4 2 2 17 4 7" xfId="22607" xr:uid="{00000000-0005-0000-0000-00004F580000}"/>
    <cellStyle name="Normal 2 2 4 2 2 17 4 8" xfId="22608" xr:uid="{00000000-0005-0000-0000-000050580000}"/>
    <cellStyle name="Normal 2 2 4 2 2 17 4 9" xfId="22609" xr:uid="{00000000-0005-0000-0000-000051580000}"/>
    <cellStyle name="Normal 2 2 4 2 2 17 5" xfId="22610" xr:uid="{00000000-0005-0000-0000-000052580000}"/>
    <cellStyle name="Normal 2 2 4 2 2 17 5 10" xfId="22611" xr:uid="{00000000-0005-0000-0000-000053580000}"/>
    <cellStyle name="Normal 2 2 4 2 2 17 5 2" xfId="22612" xr:uid="{00000000-0005-0000-0000-000054580000}"/>
    <cellStyle name="Normal 2 2 4 2 2 17 5 3" xfId="22613" xr:uid="{00000000-0005-0000-0000-000055580000}"/>
    <cellStyle name="Normal 2 2 4 2 2 17 5 4" xfId="22614" xr:uid="{00000000-0005-0000-0000-000056580000}"/>
    <cellStyle name="Normal 2 2 4 2 2 17 5 5" xfId="22615" xr:uid="{00000000-0005-0000-0000-000057580000}"/>
    <cellStyle name="Normal 2 2 4 2 2 17 5 6" xfId="22616" xr:uid="{00000000-0005-0000-0000-000058580000}"/>
    <cellStyle name="Normal 2 2 4 2 2 17 5 7" xfId="22617" xr:uid="{00000000-0005-0000-0000-000059580000}"/>
    <cellStyle name="Normal 2 2 4 2 2 17 5 8" xfId="22618" xr:uid="{00000000-0005-0000-0000-00005A580000}"/>
    <cellStyle name="Normal 2 2 4 2 2 17 5 9" xfId="22619" xr:uid="{00000000-0005-0000-0000-00005B580000}"/>
    <cellStyle name="Normal 2 2 4 2 2 17 6" xfId="22620" xr:uid="{00000000-0005-0000-0000-00005C580000}"/>
    <cellStyle name="Normal 2 2 4 2 2 17 7" xfId="22621" xr:uid="{00000000-0005-0000-0000-00005D580000}"/>
    <cellStyle name="Normal 2 2 4 2 2 17 8" xfId="22622" xr:uid="{00000000-0005-0000-0000-00005E580000}"/>
    <cellStyle name="Normal 2 2 4 2 2 17 9" xfId="22623" xr:uid="{00000000-0005-0000-0000-00005F580000}"/>
    <cellStyle name="Normal 2 2 4 2 2 18" xfId="22624" xr:uid="{00000000-0005-0000-0000-000060580000}"/>
    <cellStyle name="Normal 2 2 4 2 2 18 10" xfId="22625" xr:uid="{00000000-0005-0000-0000-000061580000}"/>
    <cellStyle name="Normal 2 2 4 2 2 18 11" xfId="22626" xr:uid="{00000000-0005-0000-0000-000062580000}"/>
    <cellStyle name="Normal 2 2 4 2 2 18 12" xfId="22627" xr:uid="{00000000-0005-0000-0000-000063580000}"/>
    <cellStyle name="Normal 2 2 4 2 2 18 13" xfId="22628" xr:uid="{00000000-0005-0000-0000-000064580000}"/>
    <cellStyle name="Normal 2 2 4 2 2 18 14" xfId="22629" xr:uid="{00000000-0005-0000-0000-000065580000}"/>
    <cellStyle name="Normal 2 2 4 2 2 18 2" xfId="22630" xr:uid="{00000000-0005-0000-0000-000066580000}"/>
    <cellStyle name="Normal 2 2 4 2 2 18 2 10" xfId="22631" xr:uid="{00000000-0005-0000-0000-000067580000}"/>
    <cellStyle name="Normal 2 2 4 2 2 18 2 2" xfId="22632" xr:uid="{00000000-0005-0000-0000-000068580000}"/>
    <cellStyle name="Normal 2 2 4 2 2 18 2 3" xfId="22633" xr:uid="{00000000-0005-0000-0000-000069580000}"/>
    <cellStyle name="Normal 2 2 4 2 2 18 2 4" xfId="22634" xr:uid="{00000000-0005-0000-0000-00006A580000}"/>
    <cellStyle name="Normal 2 2 4 2 2 18 2 5" xfId="22635" xr:uid="{00000000-0005-0000-0000-00006B580000}"/>
    <cellStyle name="Normal 2 2 4 2 2 18 2 6" xfId="22636" xr:uid="{00000000-0005-0000-0000-00006C580000}"/>
    <cellStyle name="Normal 2 2 4 2 2 18 2 7" xfId="22637" xr:uid="{00000000-0005-0000-0000-00006D580000}"/>
    <cellStyle name="Normal 2 2 4 2 2 18 2 8" xfId="22638" xr:uid="{00000000-0005-0000-0000-00006E580000}"/>
    <cellStyle name="Normal 2 2 4 2 2 18 2 9" xfId="22639" xr:uid="{00000000-0005-0000-0000-00006F580000}"/>
    <cellStyle name="Normal 2 2 4 2 2 18 3" xfId="22640" xr:uid="{00000000-0005-0000-0000-000070580000}"/>
    <cellStyle name="Normal 2 2 4 2 2 18 3 10" xfId="22641" xr:uid="{00000000-0005-0000-0000-000071580000}"/>
    <cellStyle name="Normal 2 2 4 2 2 18 3 2" xfId="22642" xr:uid="{00000000-0005-0000-0000-000072580000}"/>
    <cellStyle name="Normal 2 2 4 2 2 18 3 3" xfId="22643" xr:uid="{00000000-0005-0000-0000-000073580000}"/>
    <cellStyle name="Normal 2 2 4 2 2 18 3 4" xfId="22644" xr:uid="{00000000-0005-0000-0000-000074580000}"/>
    <cellStyle name="Normal 2 2 4 2 2 18 3 5" xfId="22645" xr:uid="{00000000-0005-0000-0000-000075580000}"/>
    <cellStyle name="Normal 2 2 4 2 2 18 3 6" xfId="22646" xr:uid="{00000000-0005-0000-0000-000076580000}"/>
    <cellStyle name="Normal 2 2 4 2 2 18 3 7" xfId="22647" xr:uid="{00000000-0005-0000-0000-000077580000}"/>
    <cellStyle name="Normal 2 2 4 2 2 18 3 8" xfId="22648" xr:uid="{00000000-0005-0000-0000-000078580000}"/>
    <cellStyle name="Normal 2 2 4 2 2 18 3 9" xfId="22649" xr:uid="{00000000-0005-0000-0000-000079580000}"/>
    <cellStyle name="Normal 2 2 4 2 2 18 4" xfId="22650" xr:uid="{00000000-0005-0000-0000-00007A580000}"/>
    <cellStyle name="Normal 2 2 4 2 2 18 4 10" xfId="22651" xr:uid="{00000000-0005-0000-0000-00007B580000}"/>
    <cellStyle name="Normal 2 2 4 2 2 18 4 2" xfId="22652" xr:uid="{00000000-0005-0000-0000-00007C580000}"/>
    <cellStyle name="Normal 2 2 4 2 2 18 4 3" xfId="22653" xr:uid="{00000000-0005-0000-0000-00007D580000}"/>
    <cellStyle name="Normal 2 2 4 2 2 18 4 4" xfId="22654" xr:uid="{00000000-0005-0000-0000-00007E580000}"/>
    <cellStyle name="Normal 2 2 4 2 2 18 4 5" xfId="22655" xr:uid="{00000000-0005-0000-0000-00007F580000}"/>
    <cellStyle name="Normal 2 2 4 2 2 18 4 6" xfId="22656" xr:uid="{00000000-0005-0000-0000-000080580000}"/>
    <cellStyle name="Normal 2 2 4 2 2 18 4 7" xfId="22657" xr:uid="{00000000-0005-0000-0000-000081580000}"/>
    <cellStyle name="Normal 2 2 4 2 2 18 4 8" xfId="22658" xr:uid="{00000000-0005-0000-0000-000082580000}"/>
    <cellStyle name="Normal 2 2 4 2 2 18 4 9" xfId="22659" xr:uid="{00000000-0005-0000-0000-000083580000}"/>
    <cellStyle name="Normal 2 2 4 2 2 18 5" xfId="22660" xr:uid="{00000000-0005-0000-0000-000084580000}"/>
    <cellStyle name="Normal 2 2 4 2 2 18 5 10" xfId="22661" xr:uid="{00000000-0005-0000-0000-000085580000}"/>
    <cellStyle name="Normal 2 2 4 2 2 18 5 2" xfId="22662" xr:uid="{00000000-0005-0000-0000-000086580000}"/>
    <cellStyle name="Normal 2 2 4 2 2 18 5 3" xfId="22663" xr:uid="{00000000-0005-0000-0000-000087580000}"/>
    <cellStyle name="Normal 2 2 4 2 2 18 5 4" xfId="22664" xr:uid="{00000000-0005-0000-0000-000088580000}"/>
    <cellStyle name="Normal 2 2 4 2 2 18 5 5" xfId="22665" xr:uid="{00000000-0005-0000-0000-000089580000}"/>
    <cellStyle name="Normal 2 2 4 2 2 18 5 6" xfId="22666" xr:uid="{00000000-0005-0000-0000-00008A580000}"/>
    <cellStyle name="Normal 2 2 4 2 2 18 5 7" xfId="22667" xr:uid="{00000000-0005-0000-0000-00008B580000}"/>
    <cellStyle name="Normal 2 2 4 2 2 18 5 8" xfId="22668" xr:uid="{00000000-0005-0000-0000-00008C580000}"/>
    <cellStyle name="Normal 2 2 4 2 2 18 5 9" xfId="22669" xr:uid="{00000000-0005-0000-0000-00008D580000}"/>
    <cellStyle name="Normal 2 2 4 2 2 18 6" xfId="22670" xr:uid="{00000000-0005-0000-0000-00008E580000}"/>
    <cellStyle name="Normal 2 2 4 2 2 18 7" xfId="22671" xr:uid="{00000000-0005-0000-0000-00008F580000}"/>
    <cellStyle name="Normal 2 2 4 2 2 18 8" xfId="22672" xr:uid="{00000000-0005-0000-0000-000090580000}"/>
    <cellStyle name="Normal 2 2 4 2 2 18 9" xfId="22673" xr:uid="{00000000-0005-0000-0000-000091580000}"/>
    <cellStyle name="Normal 2 2 4 2 2 19" xfId="22674" xr:uid="{00000000-0005-0000-0000-000092580000}"/>
    <cellStyle name="Normal 2 2 4 2 2 19 10" xfId="22675" xr:uid="{00000000-0005-0000-0000-000093580000}"/>
    <cellStyle name="Normal 2 2 4 2 2 19 11" xfId="22676" xr:uid="{00000000-0005-0000-0000-000094580000}"/>
    <cellStyle name="Normal 2 2 4 2 2 19 12" xfId="22677" xr:uid="{00000000-0005-0000-0000-000095580000}"/>
    <cellStyle name="Normal 2 2 4 2 2 19 13" xfId="22678" xr:uid="{00000000-0005-0000-0000-000096580000}"/>
    <cellStyle name="Normal 2 2 4 2 2 19 14" xfId="22679" xr:uid="{00000000-0005-0000-0000-000097580000}"/>
    <cellStyle name="Normal 2 2 4 2 2 19 2" xfId="22680" xr:uid="{00000000-0005-0000-0000-000098580000}"/>
    <cellStyle name="Normal 2 2 4 2 2 19 2 10" xfId="22681" xr:uid="{00000000-0005-0000-0000-000099580000}"/>
    <cellStyle name="Normal 2 2 4 2 2 19 2 2" xfId="22682" xr:uid="{00000000-0005-0000-0000-00009A580000}"/>
    <cellStyle name="Normal 2 2 4 2 2 19 2 3" xfId="22683" xr:uid="{00000000-0005-0000-0000-00009B580000}"/>
    <cellStyle name="Normal 2 2 4 2 2 19 2 4" xfId="22684" xr:uid="{00000000-0005-0000-0000-00009C580000}"/>
    <cellStyle name="Normal 2 2 4 2 2 19 2 5" xfId="22685" xr:uid="{00000000-0005-0000-0000-00009D580000}"/>
    <cellStyle name="Normal 2 2 4 2 2 19 2 6" xfId="22686" xr:uid="{00000000-0005-0000-0000-00009E580000}"/>
    <cellStyle name="Normal 2 2 4 2 2 19 2 7" xfId="22687" xr:uid="{00000000-0005-0000-0000-00009F580000}"/>
    <cellStyle name="Normal 2 2 4 2 2 19 2 8" xfId="22688" xr:uid="{00000000-0005-0000-0000-0000A0580000}"/>
    <cellStyle name="Normal 2 2 4 2 2 19 2 9" xfId="22689" xr:uid="{00000000-0005-0000-0000-0000A1580000}"/>
    <cellStyle name="Normal 2 2 4 2 2 19 3" xfId="22690" xr:uid="{00000000-0005-0000-0000-0000A2580000}"/>
    <cellStyle name="Normal 2 2 4 2 2 19 3 10" xfId="22691" xr:uid="{00000000-0005-0000-0000-0000A3580000}"/>
    <cellStyle name="Normal 2 2 4 2 2 19 3 2" xfId="22692" xr:uid="{00000000-0005-0000-0000-0000A4580000}"/>
    <cellStyle name="Normal 2 2 4 2 2 19 3 3" xfId="22693" xr:uid="{00000000-0005-0000-0000-0000A5580000}"/>
    <cellStyle name="Normal 2 2 4 2 2 19 3 4" xfId="22694" xr:uid="{00000000-0005-0000-0000-0000A6580000}"/>
    <cellStyle name="Normal 2 2 4 2 2 19 3 5" xfId="22695" xr:uid="{00000000-0005-0000-0000-0000A7580000}"/>
    <cellStyle name="Normal 2 2 4 2 2 19 3 6" xfId="22696" xr:uid="{00000000-0005-0000-0000-0000A8580000}"/>
    <cellStyle name="Normal 2 2 4 2 2 19 3 7" xfId="22697" xr:uid="{00000000-0005-0000-0000-0000A9580000}"/>
    <cellStyle name="Normal 2 2 4 2 2 19 3 8" xfId="22698" xr:uid="{00000000-0005-0000-0000-0000AA580000}"/>
    <cellStyle name="Normal 2 2 4 2 2 19 3 9" xfId="22699" xr:uid="{00000000-0005-0000-0000-0000AB580000}"/>
    <cellStyle name="Normal 2 2 4 2 2 19 4" xfId="22700" xr:uid="{00000000-0005-0000-0000-0000AC580000}"/>
    <cellStyle name="Normal 2 2 4 2 2 19 4 10" xfId="22701" xr:uid="{00000000-0005-0000-0000-0000AD580000}"/>
    <cellStyle name="Normal 2 2 4 2 2 19 4 2" xfId="22702" xr:uid="{00000000-0005-0000-0000-0000AE580000}"/>
    <cellStyle name="Normal 2 2 4 2 2 19 4 3" xfId="22703" xr:uid="{00000000-0005-0000-0000-0000AF580000}"/>
    <cellStyle name="Normal 2 2 4 2 2 19 4 4" xfId="22704" xr:uid="{00000000-0005-0000-0000-0000B0580000}"/>
    <cellStyle name="Normal 2 2 4 2 2 19 4 5" xfId="22705" xr:uid="{00000000-0005-0000-0000-0000B1580000}"/>
    <cellStyle name="Normal 2 2 4 2 2 19 4 6" xfId="22706" xr:uid="{00000000-0005-0000-0000-0000B2580000}"/>
    <cellStyle name="Normal 2 2 4 2 2 19 4 7" xfId="22707" xr:uid="{00000000-0005-0000-0000-0000B3580000}"/>
    <cellStyle name="Normal 2 2 4 2 2 19 4 8" xfId="22708" xr:uid="{00000000-0005-0000-0000-0000B4580000}"/>
    <cellStyle name="Normal 2 2 4 2 2 19 4 9" xfId="22709" xr:uid="{00000000-0005-0000-0000-0000B5580000}"/>
    <cellStyle name="Normal 2 2 4 2 2 19 5" xfId="22710" xr:uid="{00000000-0005-0000-0000-0000B6580000}"/>
    <cellStyle name="Normal 2 2 4 2 2 19 5 10" xfId="22711" xr:uid="{00000000-0005-0000-0000-0000B7580000}"/>
    <cellStyle name="Normal 2 2 4 2 2 19 5 2" xfId="22712" xr:uid="{00000000-0005-0000-0000-0000B8580000}"/>
    <cellStyle name="Normal 2 2 4 2 2 19 5 3" xfId="22713" xr:uid="{00000000-0005-0000-0000-0000B9580000}"/>
    <cellStyle name="Normal 2 2 4 2 2 19 5 4" xfId="22714" xr:uid="{00000000-0005-0000-0000-0000BA580000}"/>
    <cellStyle name="Normal 2 2 4 2 2 19 5 5" xfId="22715" xr:uid="{00000000-0005-0000-0000-0000BB580000}"/>
    <cellStyle name="Normal 2 2 4 2 2 19 5 6" xfId="22716" xr:uid="{00000000-0005-0000-0000-0000BC580000}"/>
    <cellStyle name="Normal 2 2 4 2 2 19 5 7" xfId="22717" xr:uid="{00000000-0005-0000-0000-0000BD580000}"/>
    <cellStyle name="Normal 2 2 4 2 2 19 5 8" xfId="22718" xr:uid="{00000000-0005-0000-0000-0000BE580000}"/>
    <cellStyle name="Normal 2 2 4 2 2 19 5 9" xfId="22719" xr:uid="{00000000-0005-0000-0000-0000BF580000}"/>
    <cellStyle name="Normal 2 2 4 2 2 19 6" xfId="22720" xr:uid="{00000000-0005-0000-0000-0000C0580000}"/>
    <cellStyle name="Normal 2 2 4 2 2 19 7" xfId="22721" xr:uid="{00000000-0005-0000-0000-0000C1580000}"/>
    <cellStyle name="Normal 2 2 4 2 2 19 8" xfId="22722" xr:uid="{00000000-0005-0000-0000-0000C2580000}"/>
    <cellStyle name="Normal 2 2 4 2 2 19 9" xfId="22723" xr:uid="{00000000-0005-0000-0000-0000C3580000}"/>
    <cellStyle name="Normal 2 2 4 2 2 2" xfId="22724" xr:uid="{00000000-0005-0000-0000-0000C4580000}"/>
    <cellStyle name="Normal 2 2 4 2 2 2 10" xfId="22725" xr:uid="{00000000-0005-0000-0000-0000C5580000}"/>
    <cellStyle name="Normal 2 2 4 2 2 2 11" xfId="22726" xr:uid="{00000000-0005-0000-0000-0000C6580000}"/>
    <cellStyle name="Normal 2 2 4 2 2 2 12" xfId="22727" xr:uid="{00000000-0005-0000-0000-0000C7580000}"/>
    <cellStyle name="Normal 2 2 4 2 2 2 13" xfId="22728" xr:uid="{00000000-0005-0000-0000-0000C8580000}"/>
    <cellStyle name="Normal 2 2 4 2 2 2 14" xfId="22729" xr:uid="{00000000-0005-0000-0000-0000C9580000}"/>
    <cellStyle name="Normal 2 2 4 2 2 2 2" xfId="22730" xr:uid="{00000000-0005-0000-0000-0000CA580000}"/>
    <cellStyle name="Normal 2 2 4 2 2 2 2 10" xfId="22731" xr:uid="{00000000-0005-0000-0000-0000CB580000}"/>
    <cellStyle name="Normal 2 2 4 2 2 2 2 2" xfId="22732" xr:uid="{00000000-0005-0000-0000-0000CC580000}"/>
    <cellStyle name="Normal 2 2 4 2 2 2 2 3" xfId="22733" xr:uid="{00000000-0005-0000-0000-0000CD580000}"/>
    <cellStyle name="Normal 2 2 4 2 2 2 2 4" xfId="22734" xr:uid="{00000000-0005-0000-0000-0000CE580000}"/>
    <cellStyle name="Normal 2 2 4 2 2 2 2 5" xfId="22735" xr:uid="{00000000-0005-0000-0000-0000CF580000}"/>
    <cellStyle name="Normal 2 2 4 2 2 2 2 6" xfId="22736" xr:uid="{00000000-0005-0000-0000-0000D0580000}"/>
    <cellStyle name="Normal 2 2 4 2 2 2 2 7" xfId="22737" xr:uid="{00000000-0005-0000-0000-0000D1580000}"/>
    <cellStyle name="Normal 2 2 4 2 2 2 2 8" xfId="22738" xr:uid="{00000000-0005-0000-0000-0000D2580000}"/>
    <cellStyle name="Normal 2 2 4 2 2 2 2 9" xfId="22739" xr:uid="{00000000-0005-0000-0000-0000D3580000}"/>
    <cellStyle name="Normal 2 2 4 2 2 2 3" xfId="22740" xr:uid="{00000000-0005-0000-0000-0000D4580000}"/>
    <cellStyle name="Normal 2 2 4 2 2 2 3 10" xfId="22741" xr:uid="{00000000-0005-0000-0000-0000D5580000}"/>
    <cellStyle name="Normal 2 2 4 2 2 2 3 2" xfId="22742" xr:uid="{00000000-0005-0000-0000-0000D6580000}"/>
    <cellStyle name="Normal 2 2 4 2 2 2 3 3" xfId="22743" xr:uid="{00000000-0005-0000-0000-0000D7580000}"/>
    <cellStyle name="Normal 2 2 4 2 2 2 3 4" xfId="22744" xr:uid="{00000000-0005-0000-0000-0000D8580000}"/>
    <cellStyle name="Normal 2 2 4 2 2 2 3 5" xfId="22745" xr:uid="{00000000-0005-0000-0000-0000D9580000}"/>
    <cellStyle name="Normal 2 2 4 2 2 2 3 6" xfId="22746" xr:uid="{00000000-0005-0000-0000-0000DA580000}"/>
    <cellStyle name="Normal 2 2 4 2 2 2 3 7" xfId="22747" xr:uid="{00000000-0005-0000-0000-0000DB580000}"/>
    <cellStyle name="Normal 2 2 4 2 2 2 3 8" xfId="22748" xr:uid="{00000000-0005-0000-0000-0000DC580000}"/>
    <cellStyle name="Normal 2 2 4 2 2 2 3 9" xfId="22749" xr:uid="{00000000-0005-0000-0000-0000DD580000}"/>
    <cellStyle name="Normal 2 2 4 2 2 2 4" xfId="22750" xr:uid="{00000000-0005-0000-0000-0000DE580000}"/>
    <cellStyle name="Normal 2 2 4 2 2 2 4 10" xfId="22751" xr:uid="{00000000-0005-0000-0000-0000DF580000}"/>
    <cellStyle name="Normal 2 2 4 2 2 2 4 2" xfId="22752" xr:uid="{00000000-0005-0000-0000-0000E0580000}"/>
    <cellStyle name="Normal 2 2 4 2 2 2 4 3" xfId="22753" xr:uid="{00000000-0005-0000-0000-0000E1580000}"/>
    <cellStyle name="Normal 2 2 4 2 2 2 4 4" xfId="22754" xr:uid="{00000000-0005-0000-0000-0000E2580000}"/>
    <cellStyle name="Normal 2 2 4 2 2 2 4 5" xfId="22755" xr:uid="{00000000-0005-0000-0000-0000E3580000}"/>
    <cellStyle name="Normal 2 2 4 2 2 2 4 6" xfId="22756" xr:uid="{00000000-0005-0000-0000-0000E4580000}"/>
    <cellStyle name="Normal 2 2 4 2 2 2 4 7" xfId="22757" xr:uid="{00000000-0005-0000-0000-0000E5580000}"/>
    <cellStyle name="Normal 2 2 4 2 2 2 4 8" xfId="22758" xr:uid="{00000000-0005-0000-0000-0000E6580000}"/>
    <cellStyle name="Normal 2 2 4 2 2 2 4 9" xfId="22759" xr:uid="{00000000-0005-0000-0000-0000E7580000}"/>
    <cellStyle name="Normal 2 2 4 2 2 2 5" xfId="22760" xr:uid="{00000000-0005-0000-0000-0000E8580000}"/>
    <cellStyle name="Normal 2 2 4 2 2 2 5 10" xfId="22761" xr:uid="{00000000-0005-0000-0000-0000E9580000}"/>
    <cellStyle name="Normal 2 2 4 2 2 2 5 2" xfId="22762" xr:uid="{00000000-0005-0000-0000-0000EA580000}"/>
    <cellStyle name="Normal 2 2 4 2 2 2 5 3" xfId="22763" xr:uid="{00000000-0005-0000-0000-0000EB580000}"/>
    <cellStyle name="Normal 2 2 4 2 2 2 5 4" xfId="22764" xr:uid="{00000000-0005-0000-0000-0000EC580000}"/>
    <cellStyle name="Normal 2 2 4 2 2 2 5 5" xfId="22765" xr:uid="{00000000-0005-0000-0000-0000ED580000}"/>
    <cellStyle name="Normal 2 2 4 2 2 2 5 6" xfId="22766" xr:uid="{00000000-0005-0000-0000-0000EE580000}"/>
    <cellStyle name="Normal 2 2 4 2 2 2 5 7" xfId="22767" xr:uid="{00000000-0005-0000-0000-0000EF580000}"/>
    <cellStyle name="Normal 2 2 4 2 2 2 5 8" xfId="22768" xr:uid="{00000000-0005-0000-0000-0000F0580000}"/>
    <cellStyle name="Normal 2 2 4 2 2 2 5 9" xfId="22769" xr:uid="{00000000-0005-0000-0000-0000F1580000}"/>
    <cellStyle name="Normal 2 2 4 2 2 2 6" xfId="22770" xr:uid="{00000000-0005-0000-0000-0000F2580000}"/>
    <cellStyle name="Normal 2 2 4 2 2 2 7" xfId="22771" xr:uid="{00000000-0005-0000-0000-0000F3580000}"/>
    <cellStyle name="Normal 2 2 4 2 2 2 8" xfId="22772" xr:uid="{00000000-0005-0000-0000-0000F4580000}"/>
    <cellStyle name="Normal 2 2 4 2 2 2 9" xfId="22773" xr:uid="{00000000-0005-0000-0000-0000F5580000}"/>
    <cellStyle name="Normal 2 2 4 2 2 20" xfId="22774" xr:uid="{00000000-0005-0000-0000-0000F6580000}"/>
    <cellStyle name="Normal 2 2 4 2 2 20 10" xfId="22775" xr:uid="{00000000-0005-0000-0000-0000F7580000}"/>
    <cellStyle name="Normal 2 2 4 2 2 20 11" xfId="22776" xr:uid="{00000000-0005-0000-0000-0000F8580000}"/>
    <cellStyle name="Normal 2 2 4 2 2 20 12" xfId="22777" xr:uid="{00000000-0005-0000-0000-0000F9580000}"/>
    <cellStyle name="Normal 2 2 4 2 2 20 13" xfId="22778" xr:uid="{00000000-0005-0000-0000-0000FA580000}"/>
    <cellStyle name="Normal 2 2 4 2 2 20 14" xfId="22779" xr:uid="{00000000-0005-0000-0000-0000FB580000}"/>
    <cellStyle name="Normal 2 2 4 2 2 20 2" xfId="22780" xr:uid="{00000000-0005-0000-0000-0000FC580000}"/>
    <cellStyle name="Normal 2 2 4 2 2 20 2 10" xfId="22781" xr:uid="{00000000-0005-0000-0000-0000FD580000}"/>
    <cellStyle name="Normal 2 2 4 2 2 20 2 2" xfId="22782" xr:uid="{00000000-0005-0000-0000-0000FE580000}"/>
    <cellStyle name="Normal 2 2 4 2 2 20 2 3" xfId="22783" xr:uid="{00000000-0005-0000-0000-0000FF580000}"/>
    <cellStyle name="Normal 2 2 4 2 2 20 2 4" xfId="22784" xr:uid="{00000000-0005-0000-0000-000000590000}"/>
    <cellStyle name="Normal 2 2 4 2 2 20 2 5" xfId="22785" xr:uid="{00000000-0005-0000-0000-000001590000}"/>
    <cellStyle name="Normal 2 2 4 2 2 20 2 6" xfId="22786" xr:uid="{00000000-0005-0000-0000-000002590000}"/>
    <cellStyle name="Normal 2 2 4 2 2 20 2 7" xfId="22787" xr:uid="{00000000-0005-0000-0000-000003590000}"/>
    <cellStyle name="Normal 2 2 4 2 2 20 2 8" xfId="22788" xr:uid="{00000000-0005-0000-0000-000004590000}"/>
    <cellStyle name="Normal 2 2 4 2 2 20 2 9" xfId="22789" xr:uid="{00000000-0005-0000-0000-000005590000}"/>
    <cellStyle name="Normal 2 2 4 2 2 20 3" xfId="22790" xr:uid="{00000000-0005-0000-0000-000006590000}"/>
    <cellStyle name="Normal 2 2 4 2 2 20 3 10" xfId="22791" xr:uid="{00000000-0005-0000-0000-000007590000}"/>
    <cellStyle name="Normal 2 2 4 2 2 20 3 2" xfId="22792" xr:uid="{00000000-0005-0000-0000-000008590000}"/>
    <cellStyle name="Normal 2 2 4 2 2 20 3 3" xfId="22793" xr:uid="{00000000-0005-0000-0000-000009590000}"/>
    <cellStyle name="Normal 2 2 4 2 2 20 3 4" xfId="22794" xr:uid="{00000000-0005-0000-0000-00000A590000}"/>
    <cellStyle name="Normal 2 2 4 2 2 20 3 5" xfId="22795" xr:uid="{00000000-0005-0000-0000-00000B590000}"/>
    <cellStyle name="Normal 2 2 4 2 2 20 3 6" xfId="22796" xr:uid="{00000000-0005-0000-0000-00000C590000}"/>
    <cellStyle name="Normal 2 2 4 2 2 20 3 7" xfId="22797" xr:uid="{00000000-0005-0000-0000-00000D590000}"/>
    <cellStyle name="Normal 2 2 4 2 2 20 3 8" xfId="22798" xr:uid="{00000000-0005-0000-0000-00000E590000}"/>
    <cellStyle name="Normal 2 2 4 2 2 20 3 9" xfId="22799" xr:uid="{00000000-0005-0000-0000-00000F590000}"/>
    <cellStyle name="Normal 2 2 4 2 2 20 4" xfId="22800" xr:uid="{00000000-0005-0000-0000-000010590000}"/>
    <cellStyle name="Normal 2 2 4 2 2 20 4 10" xfId="22801" xr:uid="{00000000-0005-0000-0000-000011590000}"/>
    <cellStyle name="Normal 2 2 4 2 2 20 4 2" xfId="22802" xr:uid="{00000000-0005-0000-0000-000012590000}"/>
    <cellStyle name="Normal 2 2 4 2 2 20 4 3" xfId="22803" xr:uid="{00000000-0005-0000-0000-000013590000}"/>
    <cellStyle name="Normal 2 2 4 2 2 20 4 4" xfId="22804" xr:uid="{00000000-0005-0000-0000-000014590000}"/>
    <cellStyle name="Normal 2 2 4 2 2 20 4 5" xfId="22805" xr:uid="{00000000-0005-0000-0000-000015590000}"/>
    <cellStyle name="Normal 2 2 4 2 2 20 4 6" xfId="22806" xr:uid="{00000000-0005-0000-0000-000016590000}"/>
    <cellStyle name="Normal 2 2 4 2 2 20 4 7" xfId="22807" xr:uid="{00000000-0005-0000-0000-000017590000}"/>
    <cellStyle name="Normal 2 2 4 2 2 20 4 8" xfId="22808" xr:uid="{00000000-0005-0000-0000-000018590000}"/>
    <cellStyle name="Normal 2 2 4 2 2 20 4 9" xfId="22809" xr:uid="{00000000-0005-0000-0000-000019590000}"/>
    <cellStyle name="Normal 2 2 4 2 2 20 5" xfId="22810" xr:uid="{00000000-0005-0000-0000-00001A590000}"/>
    <cellStyle name="Normal 2 2 4 2 2 20 5 10" xfId="22811" xr:uid="{00000000-0005-0000-0000-00001B590000}"/>
    <cellStyle name="Normal 2 2 4 2 2 20 5 2" xfId="22812" xr:uid="{00000000-0005-0000-0000-00001C590000}"/>
    <cellStyle name="Normal 2 2 4 2 2 20 5 3" xfId="22813" xr:uid="{00000000-0005-0000-0000-00001D590000}"/>
    <cellStyle name="Normal 2 2 4 2 2 20 5 4" xfId="22814" xr:uid="{00000000-0005-0000-0000-00001E590000}"/>
    <cellStyle name="Normal 2 2 4 2 2 20 5 5" xfId="22815" xr:uid="{00000000-0005-0000-0000-00001F590000}"/>
    <cellStyle name="Normal 2 2 4 2 2 20 5 6" xfId="22816" xr:uid="{00000000-0005-0000-0000-000020590000}"/>
    <cellStyle name="Normal 2 2 4 2 2 20 5 7" xfId="22817" xr:uid="{00000000-0005-0000-0000-000021590000}"/>
    <cellStyle name="Normal 2 2 4 2 2 20 5 8" xfId="22818" xr:uid="{00000000-0005-0000-0000-000022590000}"/>
    <cellStyle name="Normal 2 2 4 2 2 20 5 9" xfId="22819" xr:uid="{00000000-0005-0000-0000-000023590000}"/>
    <cellStyle name="Normal 2 2 4 2 2 20 6" xfId="22820" xr:uid="{00000000-0005-0000-0000-000024590000}"/>
    <cellStyle name="Normal 2 2 4 2 2 20 7" xfId="22821" xr:uid="{00000000-0005-0000-0000-000025590000}"/>
    <cellStyle name="Normal 2 2 4 2 2 20 8" xfId="22822" xr:uid="{00000000-0005-0000-0000-000026590000}"/>
    <cellStyle name="Normal 2 2 4 2 2 20 9" xfId="22823" xr:uid="{00000000-0005-0000-0000-000027590000}"/>
    <cellStyle name="Normal 2 2 4 2 2 3" xfId="22824" xr:uid="{00000000-0005-0000-0000-000028590000}"/>
    <cellStyle name="Normal 2 2 4 2 2 3 10" xfId="22825" xr:uid="{00000000-0005-0000-0000-000029590000}"/>
    <cellStyle name="Normal 2 2 4 2 2 3 11" xfId="22826" xr:uid="{00000000-0005-0000-0000-00002A590000}"/>
    <cellStyle name="Normal 2 2 4 2 2 3 12" xfId="22827" xr:uid="{00000000-0005-0000-0000-00002B590000}"/>
    <cellStyle name="Normal 2 2 4 2 2 3 13" xfId="22828" xr:uid="{00000000-0005-0000-0000-00002C590000}"/>
    <cellStyle name="Normal 2 2 4 2 2 3 14" xfId="22829" xr:uid="{00000000-0005-0000-0000-00002D590000}"/>
    <cellStyle name="Normal 2 2 4 2 2 3 2" xfId="22830" xr:uid="{00000000-0005-0000-0000-00002E590000}"/>
    <cellStyle name="Normal 2 2 4 2 2 3 2 10" xfId="22831" xr:uid="{00000000-0005-0000-0000-00002F590000}"/>
    <cellStyle name="Normal 2 2 4 2 2 3 2 2" xfId="22832" xr:uid="{00000000-0005-0000-0000-000030590000}"/>
    <cellStyle name="Normal 2 2 4 2 2 3 2 3" xfId="22833" xr:uid="{00000000-0005-0000-0000-000031590000}"/>
    <cellStyle name="Normal 2 2 4 2 2 3 2 4" xfId="22834" xr:uid="{00000000-0005-0000-0000-000032590000}"/>
    <cellStyle name="Normal 2 2 4 2 2 3 2 5" xfId="22835" xr:uid="{00000000-0005-0000-0000-000033590000}"/>
    <cellStyle name="Normal 2 2 4 2 2 3 2 6" xfId="22836" xr:uid="{00000000-0005-0000-0000-000034590000}"/>
    <cellStyle name="Normal 2 2 4 2 2 3 2 7" xfId="22837" xr:uid="{00000000-0005-0000-0000-000035590000}"/>
    <cellStyle name="Normal 2 2 4 2 2 3 2 8" xfId="22838" xr:uid="{00000000-0005-0000-0000-000036590000}"/>
    <cellStyle name="Normal 2 2 4 2 2 3 2 9" xfId="22839" xr:uid="{00000000-0005-0000-0000-000037590000}"/>
    <cellStyle name="Normal 2 2 4 2 2 3 3" xfId="22840" xr:uid="{00000000-0005-0000-0000-000038590000}"/>
    <cellStyle name="Normal 2 2 4 2 2 3 3 10" xfId="22841" xr:uid="{00000000-0005-0000-0000-000039590000}"/>
    <cellStyle name="Normal 2 2 4 2 2 3 3 2" xfId="22842" xr:uid="{00000000-0005-0000-0000-00003A590000}"/>
    <cellStyle name="Normal 2 2 4 2 2 3 3 3" xfId="22843" xr:uid="{00000000-0005-0000-0000-00003B590000}"/>
    <cellStyle name="Normal 2 2 4 2 2 3 3 4" xfId="22844" xr:uid="{00000000-0005-0000-0000-00003C590000}"/>
    <cellStyle name="Normal 2 2 4 2 2 3 3 5" xfId="22845" xr:uid="{00000000-0005-0000-0000-00003D590000}"/>
    <cellStyle name="Normal 2 2 4 2 2 3 3 6" xfId="22846" xr:uid="{00000000-0005-0000-0000-00003E590000}"/>
    <cellStyle name="Normal 2 2 4 2 2 3 3 7" xfId="22847" xr:uid="{00000000-0005-0000-0000-00003F590000}"/>
    <cellStyle name="Normal 2 2 4 2 2 3 3 8" xfId="22848" xr:uid="{00000000-0005-0000-0000-000040590000}"/>
    <cellStyle name="Normal 2 2 4 2 2 3 3 9" xfId="22849" xr:uid="{00000000-0005-0000-0000-000041590000}"/>
    <cellStyle name="Normal 2 2 4 2 2 3 4" xfId="22850" xr:uid="{00000000-0005-0000-0000-000042590000}"/>
    <cellStyle name="Normal 2 2 4 2 2 3 4 10" xfId="22851" xr:uid="{00000000-0005-0000-0000-000043590000}"/>
    <cellStyle name="Normal 2 2 4 2 2 3 4 2" xfId="22852" xr:uid="{00000000-0005-0000-0000-000044590000}"/>
    <cellStyle name="Normal 2 2 4 2 2 3 4 3" xfId="22853" xr:uid="{00000000-0005-0000-0000-000045590000}"/>
    <cellStyle name="Normal 2 2 4 2 2 3 4 4" xfId="22854" xr:uid="{00000000-0005-0000-0000-000046590000}"/>
    <cellStyle name="Normal 2 2 4 2 2 3 4 5" xfId="22855" xr:uid="{00000000-0005-0000-0000-000047590000}"/>
    <cellStyle name="Normal 2 2 4 2 2 3 4 6" xfId="22856" xr:uid="{00000000-0005-0000-0000-000048590000}"/>
    <cellStyle name="Normal 2 2 4 2 2 3 4 7" xfId="22857" xr:uid="{00000000-0005-0000-0000-000049590000}"/>
    <cellStyle name="Normal 2 2 4 2 2 3 4 8" xfId="22858" xr:uid="{00000000-0005-0000-0000-00004A590000}"/>
    <cellStyle name="Normal 2 2 4 2 2 3 4 9" xfId="22859" xr:uid="{00000000-0005-0000-0000-00004B590000}"/>
    <cellStyle name="Normal 2 2 4 2 2 3 5" xfId="22860" xr:uid="{00000000-0005-0000-0000-00004C590000}"/>
    <cellStyle name="Normal 2 2 4 2 2 3 5 10" xfId="22861" xr:uid="{00000000-0005-0000-0000-00004D590000}"/>
    <cellStyle name="Normal 2 2 4 2 2 3 5 2" xfId="22862" xr:uid="{00000000-0005-0000-0000-00004E590000}"/>
    <cellStyle name="Normal 2 2 4 2 2 3 5 3" xfId="22863" xr:uid="{00000000-0005-0000-0000-00004F590000}"/>
    <cellStyle name="Normal 2 2 4 2 2 3 5 4" xfId="22864" xr:uid="{00000000-0005-0000-0000-000050590000}"/>
    <cellStyle name="Normal 2 2 4 2 2 3 5 5" xfId="22865" xr:uid="{00000000-0005-0000-0000-000051590000}"/>
    <cellStyle name="Normal 2 2 4 2 2 3 5 6" xfId="22866" xr:uid="{00000000-0005-0000-0000-000052590000}"/>
    <cellStyle name="Normal 2 2 4 2 2 3 5 7" xfId="22867" xr:uid="{00000000-0005-0000-0000-000053590000}"/>
    <cellStyle name="Normal 2 2 4 2 2 3 5 8" xfId="22868" xr:uid="{00000000-0005-0000-0000-000054590000}"/>
    <cellStyle name="Normal 2 2 4 2 2 3 5 9" xfId="22869" xr:uid="{00000000-0005-0000-0000-000055590000}"/>
    <cellStyle name="Normal 2 2 4 2 2 3 6" xfId="22870" xr:uid="{00000000-0005-0000-0000-000056590000}"/>
    <cellStyle name="Normal 2 2 4 2 2 3 7" xfId="22871" xr:uid="{00000000-0005-0000-0000-000057590000}"/>
    <cellStyle name="Normal 2 2 4 2 2 3 8" xfId="22872" xr:uid="{00000000-0005-0000-0000-000058590000}"/>
    <cellStyle name="Normal 2 2 4 2 2 3 9" xfId="22873" xr:uid="{00000000-0005-0000-0000-000059590000}"/>
    <cellStyle name="Normal 2 2 4 2 2 4" xfId="22874" xr:uid="{00000000-0005-0000-0000-00005A590000}"/>
    <cellStyle name="Normal 2 2 4 2 2 4 10" xfId="22875" xr:uid="{00000000-0005-0000-0000-00005B590000}"/>
    <cellStyle name="Normal 2 2 4 2 2 4 11" xfId="22876" xr:uid="{00000000-0005-0000-0000-00005C590000}"/>
    <cellStyle name="Normal 2 2 4 2 2 4 12" xfId="22877" xr:uid="{00000000-0005-0000-0000-00005D590000}"/>
    <cellStyle name="Normal 2 2 4 2 2 4 13" xfId="22878" xr:uid="{00000000-0005-0000-0000-00005E590000}"/>
    <cellStyle name="Normal 2 2 4 2 2 4 14" xfId="22879" xr:uid="{00000000-0005-0000-0000-00005F590000}"/>
    <cellStyle name="Normal 2 2 4 2 2 4 2" xfId="22880" xr:uid="{00000000-0005-0000-0000-000060590000}"/>
    <cellStyle name="Normal 2 2 4 2 2 4 2 10" xfId="22881" xr:uid="{00000000-0005-0000-0000-000061590000}"/>
    <cellStyle name="Normal 2 2 4 2 2 4 2 2" xfId="22882" xr:uid="{00000000-0005-0000-0000-000062590000}"/>
    <cellStyle name="Normal 2 2 4 2 2 4 2 3" xfId="22883" xr:uid="{00000000-0005-0000-0000-000063590000}"/>
    <cellStyle name="Normal 2 2 4 2 2 4 2 4" xfId="22884" xr:uid="{00000000-0005-0000-0000-000064590000}"/>
    <cellStyle name="Normal 2 2 4 2 2 4 2 5" xfId="22885" xr:uid="{00000000-0005-0000-0000-000065590000}"/>
    <cellStyle name="Normal 2 2 4 2 2 4 2 6" xfId="22886" xr:uid="{00000000-0005-0000-0000-000066590000}"/>
    <cellStyle name="Normal 2 2 4 2 2 4 2 7" xfId="22887" xr:uid="{00000000-0005-0000-0000-000067590000}"/>
    <cellStyle name="Normal 2 2 4 2 2 4 2 8" xfId="22888" xr:uid="{00000000-0005-0000-0000-000068590000}"/>
    <cellStyle name="Normal 2 2 4 2 2 4 2 9" xfId="22889" xr:uid="{00000000-0005-0000-0000-000069590000}"/>
    <cellStyle name="Normal 2 2 4 2 2 4 3" xfId="22890" xr:uid="{00000000-0005-0000-0000-00006A590000}"/>
    <cellStyle name="Normal 2 2 4 2 2 4 3 10" xfId="22891" xr:uid="{00000000-0005-0000-0000-00006B590000}"/>
    <cellStyle name="Normal 2 2 4 2 2 4 3 2" xfId="22892" xr:uid="{00000000-0005-0000-0000-00006C590000}"/>
    <cellStyle name="Normal 2 2 4 2 2 4 3 3" xfId="22893" xr:uid="{00000000-0005-0000-0000-00006D590000}"/>
    <cellStyle name="Normal 2 2 4 2 2 4 3 4" xfId="22894" xr:uid="{00000000-0005-0000-0000-00006E590000}"/>
    <cellStyle name="Normal 2 2 4 2 2 4 3 5" xfId="22895" xr:uid="{00000000-0005-0000-0000-00006F590000}"/>
    <cellStyle name="Normal 2 2 4 2 2 4 3 6" xfId="22896" xr:uid="{00000000-0005-0000-0000-000070590000}"/>
    <cellStyle name="Normal 2 2 4 2 2 4 3 7" xfId="22897" xr:uid="{00000000-0005-0000-0000-000071590000}"/>
    <cellStyle name="Normal 2 2 4 2 2 4 3 8" xfId="22898" xr:uid="{00000000-0005-0000-0000-000072590000}"/>
    <cellStyle name="Normal 2 2 4 2 2 4 3 9" xfId="22899" xr:uid="{00000000-0005-0000-0000-000073590000}"/>
    <cellStyle name="Normal 2 2 4 2 2 4 4" xfId="22900" xr:uid="{00000000-0005-0000-0000-000074590000}"/>
    <cellStyle name="Normal 2 2 4 2 2 4 4 10" xfId="22901" xr:uid="{00000000-0005-0000-0000-000075590000}"/>
    <cellStyle name="Normal 2 2 4 2 2 4 4 2" xfId="22902" xr:uid="{00000000-0005-0000-0000-000076590000}"/>
    <cellStyle name="Normal 2 2 4 2 2 4 4 3" xfId="22903" xr:uid="{00000000-0005-0000-0000-000077590000}"/>
    <cellStyle name="Normal 2 2 4 2 2 4 4 4" xfId="22904" xr:uid="{00000000-0005-0000-0000-000078590000}"/>
    <cellStyle name="Normal 2 2 4 2 2 4 4 5" xfId="22905" xr:uid="{00000000-0005-0000-0000-000079590000}"/>
    <cellStyle name="Normal 2 2 4 2 2 4 4 6" xfId="22906" xr:uid="{00000000-0005-0000-0000-00007A590000}"/>
    <cellStyle name="Normal 2 2 4 2 2 4 4 7" xfId="22907" xr:uid="{00000000-0005-0000-0000-00007B590000}"/>
    <cellStyle name="Normal 2 2 4 2 2 4 4 8" xfId="22908" xr:uid="{00000000-0005-0000-0000-00007C590000}"/>
    <cellStyle name="Normal 2 2 4 2 2 4 4 9" xfId="22909" xr:uid="{00000000-0005-0000-0000-00007D590000}"/>
    <cellStyle name="Normal 2 2 4 2 2 4 5" xfId="22910" xr:uid="{00000000-0005-0000-0000-00007E590000}"/>
    <cellStyle name="Normal 2 2 4 2 2 4 5 10" xfId="22911" xr:uid="{00000000-0005-0000-0000-00007F590000}"/>
    <cellStyle name="Normal 2 2 4 2 2 4 5 2" xfId="22912" xr:uid="{00000000-0005-0000-0000-000080590000}"/>
    <cellStyle name="Normal 2 2 4 2 2 4 5 3" xfId="22913" xr:uid="{00000000-0005-0000-0000-000081590000}"/>
    <cellStyle name="Normal 2 2 4 2 2 4 5 4" xfId="22914" xr:uid="{00000000-0005-0000-0000-000082590000}"/>
    <cellStyle name="Normal 2 2 4 2 2 4 5 5" xfId="22915" xr:uid="{00000000-0005-0000-0000-000083590000}"/>
    <cellStyle name="Normal 2 2 4 2 2 4 5 6" xfId="22916" xr:uid="{00000000-0005-0000-0000-000084590000}"/>
    <cellStyle name="Normal 2 2 4 2 2 4 5 7" xfId="22917" xr:uid="{00000000-0005-0000-0000-000085590000}"/>
    <cellStyle name="Normal 2 2 4 2 2 4 5 8" xfId="22918" xr:uid="{00000000-0005-0000-0000-000086590000}"/>
    <cellStyle name="Normal 2 2 4 2 2 4 5 9" xfId="22919" xr:uid="{00000000-0005-0000-0000-000087590000}"/>
    <cellStyle name="Normal 2 2 4 2 2 4 6" xfId="22920" xr:uid="{00000000-0005-0000-0000-000088590000}"/>
    <cellStyle name="Normal 2 2 4 2 2 4 7" xfId="22921" xr:uid="{00000000-0005-0000-0000-000089590000}"/>
    <cellStyle name="Normal 2 2 4 2 2 4 8" xfId="22922" xr:uid="{00000000-0005-0000-0000-00008A590000}"/>
    <cellStyle name="Normal 2 2 4 2 2 4 9" xfId="22923" xr:uid="{00000000-0005-0000-0000-00008B590000}"/>
    <cellStyle name="Normal 2 2 4 2 2 5" xfId="22924" xr:uid="{00000000-0005-0000-0000-00008C590000}"/>
    <cellStyle name="Normal 2 2 4 2 2 5 10" xfId="22925" xr:uid="{00000000-0005-0000-0000-00008D590000}"/>
    <cellStyle name="Normal 2 2 4 2 2 5 11" xfId="22926" xr:uid="{00000000-0005-0000-0000-00008E590000}"/>
    <cellStyle name="Normal 2 2 4 2 2 5 12" xfId="22927" xr:uid="{00000000-0005-0000-0000-00008F590000}"/>
    <cellStyle name="Normal 2 2 4 2 2 5 13" xfId="22928" xr:uid="{00000000-0005-0000-0000-000090590000}"/>
    <cellStyle name="Normal 2 2 4 2 2 5 14" xfId="22929" xr:uid="{00000000-0005-0000-0000-000091590000}"/>
    <cellStyle name="Normal 2 2 4 2 2 5 2" xfId="22930" xr:uid="{00000000-0005-0000-0000-000092590000}"/>
    <cellStyle name="Normal 2 2 4 2 2 5 2 10" xfId="22931" xr:uid="{00000000-0005-0000-0000-000093590000}"/>
    <cellStyle name="Normal 2 2 4 2 2 5 2 2" xfId="22932" xr:uid="{00000000-0005-0000-0000-000094590000}"/>
    <cellStyle name="Normal 2 2 4 2 2 5 2 3" xfId="22933" xr:uid="{00000000-0005-0000-0000-000095590000}"/>
    <cellStyle name="Normal 2 2 4 2 2 5 2 4" xfId="22934" xr:uid="{00000000-0005-0000-0000-000096590000}"/>
    <cellStyle name="Normal 2 2 4 2 2 5 2 5" xfId="22935" xr:uid="{00000000-0005-0000-0000-000097590000}"/>
    <cellStyle name="Normal 2 2 4 2 2 5 2 6" xfId="22936" xr:uid="{00000000-0005-0000-0000-000098590000}"/>
    <cellStyle name="Normal 2 2 4 2 2 5 2 7" xfId="22937" xr:uid="{00000000-0005-0000-0000-000099590000}"/>
    <cellStyle name="Normal 2 2 4 2 2 5 2 8" xfId="22938" xr:uid="{00000000-0005-0000-0000-00009A590000}"/>
    <cellStyle name="Normal 2 2 4 2 2 5 2 9" xfId="22939" xr:uid="{00000000-0005-0000-0000-00009B590000}"/>
    <cellStyle name="Normal 2 2 4 2 2 5 3" xfId="22940" xr:uid="{00000000-0005-0000-0000-00009C590000}"/>
    <cellStyle name="Normal 2 2 4 2 2 5 3 10" xfId="22941" xr:uid="{00000000-0005-0000-0000-00009D590000}"/>
    <cellStyle name="Normal 2 2 4 2 2 5 3 2" xfId="22942" xr:uid="{00000000-0005-0000-0000-00009E590000}"/>
    <cellStyle name="Normal 2 2 4 2 2 5 3 3" xfId="22943" xr:uid="{00000000-0005-0000-0000-00009F590000}"/>
    <cellStyle name="Normal 2 2 4 2 2 5 3 4" xfId="22944" xr:uid="{00000000-0005-0000-0000-0000A0590000}"/>
    <cellStyle name="Normal 2 2 4 2 2 5 3 5" xfId="22945" xr:uid="{00000000-0005-0000-0000-0000A1590000}"/>
    <cellStyle name="Normal 2 2 4 2 2 5 3 6" xfId="22946" xr:uid="{00000000-0005-0000-0000-0000A2590000}"/>
    <cellStyle name="Normal 2 2 4 2 2 5 3 7" xfId="22947" xr:uid="{00000000-0005-0000-0000-0000A3590000}"/>
    <cellStyle name="Normal 2 2 4 2 2 5 3 8" xfId="22948" xr:uid="{00000000-0005-0000-0000-0000A4590000}"/>
    <cellStyle name="Normal 2 2 4 2 2 5 3 9" xfId="22949" xr:uid="{00000000-0005-0000-0000-0000A5590000}"/>
    <cellStyle name="Normal 2 2 4 2 2 5 4" xfId="22950" xr:uid="{00000000-0005-0000-0000-0000A6590000}"/>
    <cellStyle name="Normal 2 2 4 2 2 5 4 10" xfId="22951" xr:uid="{00000000-0005-0000-0000-0000A7590000}"/>
    <cellStyle name="Normal 2 2 4 2 2 5 4 2" xfId="22952" xr:uid="{00000000-0005-0000-0000-0000A8590000}"/>
    <cellStyle name="Normal 2 2 4 2 2 5 4 3" xfId="22953" xr:uid="{00000000-0005-0000-0000-0000A9590000}"/>
    <cellStyle name="Normal 2 2 4 2 2 5 4 4" xfId="22954" xr:uid="{00000000-0005-0000-0000-0000AA590000}"/>
    <cellStyle name="Normal 2 2 4 2 2 5 4 5" xfId="22955" xr:uid="{00000000-0005-0000-0000-0000AB590000}"/>
    <cellStyle name="Normal 2 2 4 2 2 5 4 6" xfId="22956" xr:uid="{00000000-0005-0000-0000-0000AC590000}"/>
    <cellStyle name="Normal 2 2 4 2 2 5 4 7" xfId="22957" xr:uid="{00000000-0005-0000-0000-0000AD590000}"/>
    <cellStyle name="Normal 2 2 4 2 2 5 4 8" xfId="22958" xr:uid="{00000000-0005-0000-0000-0000AE590000}"/>
    <cellStyle name="Normal 2 2 4 2 2 5 4 9" xfId="22959" xr:uid="{00000000-0005-0000-0000-0000AF590000}"/>
    <cellStyle name="Normal 2 2 4 2 2 5 5" xfId="22960" xr:uid="{00000000-0005-0000-0000-0000B0590000}"/>
    <cellStyle name="Normal 2 2 4 2 2 5 5 10" xfId="22961" xr:uid="{00000000-0005-0000-0000-0000B1590000}"/>
    <cellStyle name="Normal 2 2 4 2 2 5 5 2" xfId="22962" xr:uid="{00000000-0005-0000-0000-0000B2590000}"/>
    <cellStyle name="Normal 2 2 4 2 2 5 5 3" xfId="22963" xr:uid="{00000000-0005-0000-0000-0000B3590000}"/>
    <cellStyle name="Normal 2 2 4 2 2 5 5 4" xfId="22964" xr:uid="{00000000-0005-0000-0000-0000B4590000}"/>
    <cellStyle name="Normal 2 2 4 2 2 5 5 5" xfId="22965" xr:uid="{00000000-0005-0000-0000-0000B5590000}"/>
    <cellStyle name="Normal 2 2 4 2 2 5 5 6" xfId="22966" xr:uid="{00000000-0005-0000-0000-0000B6590000}"/>
    <cellStyle name="Normal 2 2 4 2 2 5 5 7" xfId="22967" xr:uid="{00000000-0005-0000-0000-0000B7590000}"/>
    <cellStyle name="Normal 2 2 4 2 2 5 5 8" xfId="22968" xr:uid="{00000000-0005-0000-0000-0000B8590000}"/>
    <cellStyle name="Normal 2 2 4 2 2 5 5 9" xfId="22969" xr:uid="{00000000-0005-0000-0000-0000B9590000}"/>
    <cellStyle name="Normal 2 2 4 2 2 5 6" xfId="22970" xr:uid="{00000000-0005-0000-0000-0000BA590000}"/>
    <cellStyle name="Normal 2 2 4 2 2 5 7" xfId="22971" xr:uid="{00000000-0005-0000-0000-0000BB590000}"/>
    <cellStyle name="Normal 2 2 4 2 2 5 8" xfId="22972" xr:uid="{00000000-0005-0000-0000-0000BC590000}"/>
    <cellStyle name="Normal 2 2 4 2 2 5 9" xfId="22973" xr:uid="{00000000-0005-0000-0000-0000BD590000}"/>
    <cellStyle name="Normal 2 2 4 2 2 6" xfId="22974" xr:uid="{00000000-0005-0000-0000-0000BE590000}"/>
    <cellStyle name="Normal 2 2 4 2 2 6 10" xfId="22975" xr:uid="{00000000-0005-0000-0000-0000BF590000}"/>
    <cellStyle name="Normal 2 2 4 2 2 6 11" xfId="22976" xr:uid="{00000000-0005-0000-0000-0000C0590000}"/>
    <cellStyle name="Normal 2 2 4 2 2 6 12" xfId="22977" xr:uid="{00000000-0005-0000-0000-0000C1590000}"/>
    <cellStyle name="Normal 2 2 4 2 2 6 13" xfId="22978" xr:uid="{00000000-0005-0000-0000-0000C2590000}"/>
    <cellStyle name="Normal 2 2 4 2 2 6 14" xfId="22979" xr:uid="{00000000-0005-0000-0000-0000C3590000}"/>
    <cellStyle name="Normal 2 2 4 2 2 6 2" xfId="22980" xr:uid="{00000000-0005-0000-0000-0000C4590000}"/>
    <cellStyle name="Normal 2 2 4 2 2 6 2 10" xfId="22981" xr:uid="{00000000-0005-0000-0000-0000C5590000}"/>
    <cellStyle name="Normal 2 2 4 2 2 6 2 2" xfId="22982" xr:uid="{00000000-0005-0000-0000-0000C6590000}"/>
    <cellStyle name="Normal 2 2 4 2 2 6 2 3" xfId="22983" xr:uid="{00000000-0005-0000-0000-0000C7590000}"/>
    <cellStyle name="Normal 2 2 4 2 2 6 2 4" xfId="22984" xr:uid="{00000000-0005-0000-0000-0000C8590000}"/>
    <cellStyle name="Normal 2 2 4 2 2 6 2 5" xfId="22985" xr:uid="{00000000-0005-0000-0000-0000C9590000}"/>
    <cellStyle name="Normal 2 2 4 2 2 6 2 6" xfId="22986" xr:uid="{00000000-0005-0000-0000-0000CA590000}"/>
    <cellStyle name="Normal 2 2 4 2 2 6 2 7" xfId="22987" xr:uid="{00000000-0005-0000-0000-0000CB590000}"/>
    <cellStyle name="Normal 2 2 4 2 2 6 2 8" xfId="22988" xr:uid="{00000000-0005-0000-0000-0000CC590000}"/>
    <cellStyle name="Normal 2 2 4 2 2 6 2 9" xfId="22989" xr:uid="{00000000-0005-0000-0000-0000CD590000}"/>
    <cellStyle name="Normal 2 2 4 2 2 6 3" xfId="22990" xr:uid="{00000000-0005-0000-0000-0000CE590000}"/>
    <cellStyle name="Normal 2 2 4 2 2 6 3 10" xfId="22991" xr:uid="{00000000-0005-0000-0000-0000CF590000}"/>
    <cellStyle name="Normal 2 2 4 2 2 6 3 2" xfId="22992" xr:uid="{00000000-0005-0000-0000-0000D0590000}"/>
    <cellStyle name="Normal 2 2 4 2 2 6 3 3" xfId="22993" xr:uid="{00000000-0005-0000-0000-0000D1590000}"/>
    <cellStyle name="Normal 2 2 4 2 2 6 3 4" xfId="22994" xr:uid="{00000000-0005-0000-0000-0000D2590000}"/>
    <cellStyle name="Normal 2 2 4 2 2 6 3 5" xfId="22995" xr:uid="{00000000-0005-0000-0000-0000D3590000}"/>
    <cellStyle name="Normal 2 2 4 2 2 6 3 6" xfId="22996" xr:uid="{00000000-0005-0000-0000-0000D4590000}"/>
    <cellStyle name="Normal 2 2 4 2 2 6 3 7" xfId="22997" xr:uid="{00000000-0005-0000-0000-0000D5590000}"/>
    <cellStyle name="Normal 2 2 4 2 2 6 3 8" xfId="22998" xr:uid="{00000000-0005-0000-0000-0000D6590000}"/>
    <cellStyle name="Normal 2 2 4 2 2 6 3 9" xfId="22999" xr:uid="{00000000-0005-0000-0000-0000D7590000}"/>
    <cellStyle name="Normal 2 2 4 2 2 6 4" xfId="23000" xr:uid="{00000000-0005-0000-0000-0000D8590000}"/>
    <cellStyle name="Normal 2 2 4 2 2 6 4 10" xfId="23001" xr:uid="{00000000-0005-0000-0000-0000D9590000}"/>
    <cellStyle name="Normal 2 2 4 2 2 6 4 2" xfId="23002" xr:uid="{00000000-0005-0000-0000-0000DA590000}"/>
    <cellStyle name="Normal 2 2 4 2 2 6 4 3" xfId="23003" xr:uid="{00000000-0005-0000-0000-0000DB590000}"/>
    <cellStyle name="Normal 2 2 4 2 2 6 4 4" xfId="23004" xr:uid="{00000000-0005-0000-0000-0000DC590000}"/>
    <cellStyle name="Normal 2 2 4 2 2 6 4 5" xfId="23005" xr:uid="{00000000-0005-0000-0000-0000DD590000}"/>
    <cellStyle name="Normal 2 2 4 2 2 6 4 6" xfId="23006" xr:uid="{00000000-0005-0000-0000-0000DE590000}"/>
    <cellStyle name="Normal 2 2 4 2 2 6 4 7" xfId="23007" xr:uid="{00000000-0005-0000-0000-0000DF590000}"/>
    <cellStyle name="Normal 2 2 4 2 2 6 4 8" xfId="23008" xr:uid="{00000000-0005-0000-0000-0000E0590000}"/>
    <cellStyle name="Normal 2 2 4 2 2 6 4 9" xfId="23009" xr:uid="{00000000-0005-0000-0000-0000E1590000}"/>
    <cellStyle name="Normal 2 2 4 2 2 6 5" xfId="23010" xr:uid="{00000000-0005-0000-0000-0000E2590000}"/>
    <cellStyle name="Normal 2 2 4 2 2 6 5 10" xfId="23011" xr:uid="{00000000-0005-0000-0000-0000E3590000}"/>
    <cellStyle name="Normal 2 2 4 2 2 6 5 2" xfId="23012" xr:uid="{00000000-0005-0000-0000-0000E4590000}"/>
    <cellStyle name="Normal 2 2 4 2 2 6 5 3" xfId="23013" xr:uid="{00000000-0005-0000-0000-0000E5590000}"/>
    <cellStyle name="Normal 2 2 4 2 2 6 5 4" xfId="23014" xr:uid="{00000000-0005-0000-0000-0000E6590000}"/>
    <cellStyle name="Normal 2 2 4 2 2 6 5 5" xfId="23015" xr:uid="{00000000-0005-0000-0000-0000E7590000}"/>
    <cellStyle name="Normal 2 2 4 2 2 6 5 6" xfId="23016" xr:uid="{00000000-0005-0000-0000-0000E8590000}"/>
    <cellStyle name="Normal 2 2 4 2 2 6 5 7" xfId="23017" xr:uid="{00000000-0005-0000-0000-0000E9590000}"/>
    <cellStyle name="Normal 2 2 4 2 2 6 5 8" xfId="23018" xr:uid="{00000000-0005-0000-0000-0000EA590000}"/>
    <cellStyle name="Normal 2 2 4 2 2 6 5 9" xfId="23019" xr:uid="{00000000-0005-0000-0000-0000EB590000}"/>
    <cellStyle name="Normal 2 2 4 2 2 6 6" xfId="23020" xr:uid="{00000000-0005-0000-0000-0000EC590000}"/>
    <cellStyle name="Normal 2 2 4 2 2 6 7" xfId="23021" xr:uid="{00000000-0005-0000-0000-0000ED590000}"/>
    <cellStyle name="Normal 2 2 4 2 2 6 8" xfId="23022" xr:uid="{00000000-0005-0000-0000-0000EE590000}"/>
    <cellStyle name="Normal 2 2 4 2 2 6 9" xfId="23023" xr:uid="{00000000-0005-0000-0000-0000EF590000}"/>
    <cellStyle name="Normal 2 2 4 2 2 7" xfId="23024" xr:uid="{00000000-0005-0000-0000-0000F0590000}"/>
    <cellStyle name="Normal 2 2 4 2 2 7 10" xfId="23025" xr:uid="{00000000-0005-0000-0000-0000F1590000}"/>
    <cellStyle name="Normal 2 2 4 2 2 7 11" xfId="23026" xr:uid="{00000000-0005-0000-0000-0000F2590000}"/>
    <cellStyle name="Normal 2 2 4 2 2 7 12" xfId="23027" xr:uid="{00000000-0005-0000-0000-0000F3590000}"/>
    <cellStyle name="Normal 2 2 4 2 2 7 13" xfId="23028" xr:uid="{00000000-0005-0000-0000-0000F4590000}"/>
    <cellStyle name="Normal 2 2 4 2 2 7 14" xfId="23029" xr:uid="{00000000-0005-0000-0000-0000F5590000}"/>
    <cellStyle name="Normal 2 2 4 2 2 7 2" xfId="23030" xr:uid="{00000000-0005-0000-0000-0000F6590000}"/>
    <cellStyle name="Normal 2 2 4 2 2 7 2 10" xfId="23031" xr:uid="{00000000-0005-0000-0000-0000F7590000}"/>
    <cellStyle name="Normal 2 2 4 2 2 7 2 2" xfId="23032" xr:uid="{00000000-0005-0000-0000-0000F8590000}"/>
    <cellStyle name="Normal 2 2 4 2 2 7 2 3" xfId="23033" xr:uid="{00000000-0005-0000-0000-0000F9590000}"/>
    <cellStyle name="Normal 2 2 4 2 2 7 2 4" xfId="23034" xr:uid="{00000000-0005-0000-0000-0000FA590000}"/>
    <cellStyle name="Normal 2 2 4 2 2 7 2 5" xfId="23035" xr:uid="{00000000-0005-0000-0000-0000FB590000}"/>
    <cellStyle name="Normal 2 2 4 2 2 7 2 6" xfId="23036" xr:uid="{00000000-0005-0000-0000-0000FC590000}"/>
    <cellStyle name="Normal 2 2 4 2 2 7 2 7" xfId="23037" xr:uid="{00000000-0005-0000-0000-0000FD590000}"/>
    <cellStyle name="Normal 2 2 4 2 2 7 2 8" xfId="23038" xr:uid="{00000000-0005-0000-0000-0000FE590000}"/>
    <cellStyle name="Normal 2 2 4 2 2 7 2 9" xfId="23039" xr:uid="{00000000-0005-0000-0000-0000FF590000}"/>
    <cellStyle name="Normal 2 2 4 2 2 7 3" xfId="23040" xr:uid="{00000000-0005-0000-0000-0000005A0000}"/>
    <cellStyle name="Normal 2 2 4 2 2 7 3 10" xfId="23041" xr:uid="{00000000-0005-0000-0000-0000015A0000}"/>
    <cellStyle name="Normal 2 2 4 2 2 7 3 2" xfId="23042" xr:uid="{00000000-0005-0000-0000-0000025A0000}"/>
    <cellStyle name="Normal 2 2 4 2 2 7 3 3" xfId="23043" xr:uid="{00000000-0005-0000-0000-0000035A0000}"/>
    <cellStyle name="Normal 2 2 4 2 2 7 3 4" xfId="23044" xr:uid="{00000000-0005-0000-0000-0000045A0000}"/>
    <cellStyle name="Normal 2 2 4 2 2 7 3 5" xfId="23045" xr:uid="{00000000-0005-0000-0000-0000055A0000}"/>
    <cellStyle name="Normal 2 2 4 2 2 7 3 6" xfId="23046" xr:uid="{00000000-0005-0000-0000-0000065A0000}"/>
    <cellStyle name="Normal 2 2 4 2 2 7 3 7" xfId="23047" xr:uid="{00000000-0005-0000-0000-0000075A0000}"/>
    <cellStyle name="Normal 2 2 4 2 2 7 3 8" xfId="23048" xr:uid="{00000000-0005-0000-0000-0000085A0000}"/>
    <cellStyle name="Normal 2 2 4 2 2 7 3 9" xfId="23049" xr:uid="{00000000-0005-0000-0000-0000095A0000}"/>
    <cellStyle name="Normal 2 2 4 2 2 7 4" xfId="23050" xr:uid="{00000000-0005-0000-0000-00000A5A0000}"/>
    <cellStyle name="Normal 2 2 4 2 2 7 4 10" xfId="23051" xr:uid="{00000000-0005-0000-0000-00000B5A0000}"/>
    <cellStyle name="Normal 2 2 4 2 2 7 4 2" xfId="23052" xr:uid="{00000000-0005-0000-0000-00000C5A0000}"/>
    <cellStyle name="Normal 2 2 4 2 2 7 4 3" xfId="23053" xr:uid="{00000000-0005-0000-0000-00000D5A0000}"/>
    <cellStyle name="Normal 2 2 4 2 2 7 4 4" xfId="23054" xr:uid="{00000000-0005-0000-0000-00000E5A0000}"/>
    <cellStyle name="Normal 2 2 4 2 2 7 4 5" xfId="23055" xr:uid="{00000000-0005-0000-0000-00000F5A0000}"/>
    <cellStyle name="Normal 2 2 4 2 2 7 4 6" xfId="23056" xr:uid="{00000000-0005-0000-0000-0000105A0000}"/>
    <cellStyle name="Normal 2 2 4 2 2 7 4 7" xfId="23057" xr:uid="{00000000-0005-0000-0000-0000115A0000}"/>
    <cellStyle name="Normal 2 2 4 2 2 7 4 8" xfId="23058" xr:uid="{00000000-0005-0000-0000-0000125A0000}"/>
    <cellStyle name="Normal 2 2 4 2 2 7 4 9" xfId="23059" xr:uid="{00000000-0005-0000-0000-0000135A0000}"/>
    <cellStyle name="Normal 2 2 4 2 2 7 5" xfId="23060" xr:uid="{00000000-0005-0000-0000-0000145A0000}"/>
    <cellStyle name="Normal 2 2 4 2 2 7 5 10" xfId="23061" xr:uid="{00000000-0005-0000-0000-0000155A0000}"/>
    <cellStyle name="Normal 2 2 4 2 2 7 5 2" xfId="23062" xr:uid="{00000000-0005-0000-0000-0000165A0000}"/>
    <cellStyle name="Normal 2 2 4 2 2 7 5 3" xfId="23063" xr:uid="{00000000-0005-0000-0000-0000175A0000}"/>
    <cellStyle name="Normal 2 2 4 2 2 7 5 4" xfId="23064" xr:uid="{00000000-0005-0000-0000-0000185A0000}"/>
    <cellStyle name="Normal 2 2 4 2 2 7 5 5" xfId="23065" xr:uid="{00000000-0005-0000-0000-0000195A0000}"/>
    <cellStyle name="Normal 2 2 4 2 2 7 5 6" xfId="23066" xr:uid="{00000000-0005-0000-0000-00001A5A0000}"/>
    <cellStyle name="Normal 2 2 4 2 2 7 5 7" xfId="23067" xr:uid="{00000000-0005-0000-0000-00001B5A0000}"/>
    <cellStyle name="Normal 2 2 4 2 2 7 5 8" xfId="23068" xr:uid="{00000000-0005-0000-0000-00001C5A0000}"/>
    <cellStyle name="Normal 2 2 4 2 2 7 5 9" xfId="23069" xr:uid="{00000000-0005-0000-0000-00001D5A0000}"/>
    <cellStyle name="Normal 2 2 4 2 2 7 6" xfId="23070" xr:uid="{00000000-0005-0000-0000-00001E5A0000}"/>
    <cellStyle name="Normal 2 2 4 2 2 7 7" xfId="23071" xr:uid="{00000000-0005-0000-0000-00001F5A0000}"/>
    <cellStyle name="Normal 2 2 4 2 2 7 8" xfId="23072" xr:uid="{00000000-0005-0000-0000-0000205A0000}"/>
    <cellStyle name="Normal 2 2 4 2 2 7 9" xfId="23073" xr:uid="{00000000-0005-0000-0000-0000215A0000}"/>
    <cellStyle name="Normal 2 2 4 2 2 8" xfId="23074" xr:uid="{00000000-0005-0000-0000-0000225A0000}"/>
    <cellStyle name="Normal 2 2 4 2 2 8 10" xfId="23075" xr:uid="{00000000-0005-0000-0000-0000235A0000}"/>
    <cellStyle name="Normal 2 2 4 2 2 8 11" xfId="23076" xr:uid="{00000000-0005-0000-0000-0000245A0000}"/>
    <cellStyle name="Normal 2 2 4 2 2 8 12" xfId="23077" xr:uid="{00000000-0005-0000-0000-0000255A0000}"/>
    <cellStyle name="Normal 2 2 4 2 2 8 13" xfId="23078" xr:uid="{00000000-0005-0000-0000-0000265A0000}"/>
    <cellStyle name="Normal 2 2 4 2 2 8 14" xfId="23079" xr:uid="{00000000-0005-0000-0000-0000275A0000}"/>
    <cellStyle name="Normal 2 2 4 2 2 8 2" xfId="23080" xr:uid="{00000000-0005-0000-0000-0000285A0000}"/>
    <cellStyle name="Normal 2 2 4 2 2 8 2 10" xfId="23081" xr:uid="{00000000-0005-0000-0000-0000295A0000}"/>
    <cellStyle name="Normal 2 2 4 2 2 8 2 2" xfId="23082" xr:uid="{00000000-0005-0000-0000-00002A5A0000}"/>
    <cellStyle name="Normal 2 2 4 2 2 8 2 3" xfId="23083" xr:uid="{00000000-0005-0000-0000-00002B5A0000}"/>
    <cellStyle name="Normal 2 2 4 2 2 8 2 4" xfId="23084" xr:uid="{00000000-0005-0000-0000-00002C5A0000}"/>
    <cellStyle name="Normal 2 2 4 2 2 8 2 5" xfId="23085" xr:uid="{00000000-0005-0000-0000-00002D5A0000}"/>
    <cellStyle name="Normal 2 2 4 2 2 8 2 6" xfId="23086" xr:uid="{00000000-0005-0000-0000-00002E5A0000}"/>
    <cellStyle name="Normal 2 2 4 2 2 8 2 7" xfId="23087" xr:uid="{00000000-0005-0000-0000-00002F5A0000}"/>
    <cellStyle name="Normal 2 2 4 2 2 8 2 8" xfId="23088" xr:uid="{00000000-0005-0000-0000-0000305A0000}"/>
    <cellStyle name="Normal 2 2 4 2 2 8 2 9" xfId="23089" xr:uid="{00000000-0005-0000-0000-0000315A0000}"/>
    <cellStyle name="Normal 2 2 4 2 2 8 3" xfId="23090" xr:uid="{00000000-0005-0000-0000-0000325A0000}"/>
    <cellStyle name="Normal 2 2 4 2 2 8 3 10" xfId="23091" xr:uid="{00000000-0005-0000-0000-0000335A0000}"/>
    <cellStyle name="Normal 2 2 4 2 2 8 3 2" xfId="23092" xr:uid="{00000000-0005-0000-0000-0000345A0000}"/>
    <cellStyle name="Normal 2 2 4 2 2 8 3 3" xfId="23093" xr:uid="{00000000-0005-0000-0000-0000355A0000}"/>
    <cellStyle name="Normal 2 2 4 2 2 8 3 4" xfId="23094" xr:uid="{00000000-0005-0000-0000-0000365A0000}"/>
    <cellStyle name="Normal 2 2 4 2 2 8 3 5" xfId="23095" xr:uid="{00000000-0005-0000-0000-0000375A0000}"/>
    <cellStyle name="Normal 2 2 4 2 2 8 3 6" xfId="23096" xr:uid="{00000000-0005-0000-0000-0000385A0000}"/>
    <cellStyle name="Normal 2 2 4 2 2 8 3 7" xfId="23097" xr:uid="{00000000-0005-0000-0000-0000395A0000}"/>
    <cellStyle name="Normal 2 2 4 2 2 8 3 8" xfId="23098" xr:uid="{00000000-0005-0000-0000-00003A5A0000}"/>
    <cellStyle name="Normal 2 2 4 2 2 8 3 9" xfId="23099" xr:uid="{00000000-0005-0000-0000-00003B5A0000}"/>
    <cellStyle name="Normal 2 2 4 2 2 8 4" xfId="23100" xr:uid="{00000000-0005-0000-0000-00003C5A0000}"/>
    <cellStyle name="Normal 2 2 4 2 2 8 4 10" xfId="23101" xr:uid="{00000000-0005-0000-0000-00003D5A0000}"/>
    <cellStyle name="Normal 2 2 4 2 2 8 4 2" xfId="23102" xr:uid="{00000000-0005-0000-0000-00003E5A0000}"/>
    <cellStyle name="Normal 2 2 4 2 2 8 4 3" xfId="23103" xr:uid="{00000000-0005-0000-0000-00003F5A0000}"/>
    <cellStyle name="Normal 2 2 4 2 2 8 4 4" xfId="23104" xr:uid="{00000000-0005-0000-0000-0000405A0000}"/>
    <cellStyle name="Normal 2 2 4 2 2 8 4 5" xfId="23105" xr:uid="{00000000-0005-0000-0000-0000415A0000}"/>
    <cellStyle name="Normal 2 2 4 2 2 8 4 6" xfId="23106" xr:uid="{00000000-0005-0000-0000-0000425A0000}"/>
    <cellStyle name="Normal 2 2 4 2 2 8 4 7" xfId="23107" xr:uid="{00000000-0005-0000-0000-0000435A0000}"/>
    <cellStyle name="Normal 2 2 4 2 2 8 4 8" xfId="23108" xr:uid="{00000000-0005-0000-0000-0000445A0000}"/>
    <cellStyle name="Normal 2 2 4 2 2 8 4 9" xfId="23109" xr:uid="{00000000-0005-0000-0000-0000455A0000}"/>
    <cellStyle name="Normal 2 2 4 2 2 8 5" xfId="23110" xr:uid="{00000000-0005-0000-0000-0000465A0000}"/>
    <cellStyle name="Normal 2 2 4 2 2 8 5 10" xfId="23111" xr:uid="{00000000-0005-0000-0000-0000475A0000}"/>
    <cellStyle name="Normal 2 2 4 2 2 8 5 2" xfId="23112" xr:uid="{00000000-0005-0000-0000-0000485A0000}"/>
    <cellStyle name="Normal 2 2 4 2 2 8 5 3" xfId="23113" xr:uid="{00000000-0005-0000-0000-0000495A0000}"/>
    <cellStyle name="Normal 2 2 4 2 2 8 5 4" xfId="23114" xr:uid="{00000000-0005-0000-0000-00004A5A0000}"/>
    <cellStyle name="Normal 2 2 4 2 2 8 5 5" xfId="23115" xr:uid="{00000000-0005-0000-0000-00004B5A0000}"/>
    <cellStyle name="Normal 2 2 4 2 2 8 5 6" xfId="23116" xr:uid="{00000000-0005-0000-0000-00004C5A0000}"/>
    <cellStyle name="Normal 2 2 4 2 2 8 5 7" xfId="23117" xr:uid="{00000000-0005-0000-0000-00004D5A0000}"/>
    <cellStyle name="Normal 2 2 4 2 2 8 5 8" xfId="23118" xr:uid="{00000000-0005-0000-0000-00004E5A0000}"/>
    <cellStyle name="Normal 2 2 4 2 2 8 5 9" xfId="23119" xr:uid="{00000000-0005-0000-0000-00004F5A0000}"/>
    <cellStyle name="Normal 2 2 4 2 2 8 6" xfId="23120" xr:uid="{00000000-0005-0000-0000-0000505A0000}"/>
    <cellStyle name="Normal 2 2 4 2 2 8 7" xfId="23121" xr:uid="{00000000-0005-0000-0000-0000515A0000}"/>
    <cellStyle name="Normal 2 2 4 2 2 8 8" xfId="23122" xr:uid="{00000000-0005-0000-0000-0000525A0000}"/>
    <cellStyle name="Normal 2 2 4 2 2 8 9" xfId="23123" xr:uid="{00000000-0005-0000-0000-0000535A0000}"/>
    <cellStyle name="Normal 2 2 4 2 2 9" xfId="23124" xr:uid="{00000000-0005-0000-0000-0000545A0000}"/>
    <cellStyle name="Normal 2 2 4 2 2 9 10" xfId="23125" xr:uid="{00000000-0005-0000-0000-0000555A0000}"/>
    <cellStyle name="Normal 2 2 4 2 2 9 11" xfId="23126" xr:uid="{00000000-0005-0000-0000-0000565A0000}"/>
    <cellStyle name="Normal 2 2 4 2 2 9 12" xfId="23127" xr:uid="{00000000-0005-0000-0000-0000575A0000}"/>
    <cellStyle name="Normal 2 2 4 2 2 9 13" xfId="23128" xr:uid="{00000000-0005-0000-0000-0000585A0000}"/>
    <cellStyle name="Normal 2 2 4 2 2 9 14" xfId="23129" xr:uid="{00000000-0005-0000-0000-0000595A0000}"/>
    <cellStyle name="Normal 2 2 4 2 2 9 2" xfId="23130" xr:uid="{00000000-0005-0000-0000-00005A5A0000}"/>
    <cellStyle name="Normal 2 2 4 2 2 9 2 10" xfId="23131" xr:uid="{00000000-0005-0000-0000-00005B5A0000}"/>
    <cellStyle name="Normal 2 2 4 2 2 9 2 2" xfId="23132" xr:uid="{00000000-0005-0000-0000-00005C5A0000}"/>
    <cellStyle name="Normal 2 2 4 2 2 9 2 3" xfId="23133" xr:uid="{00000000-0005-0000-0000-00005D5A0000}"/>
    <cellStyle name="Normal 2 2 4 2 2 9 2 4" xfId="23134" xr:uid="{00000000-0005-0000-0000-00005E5A0000}"/>
    <cellStyle name="Normal 2 2 4 2 2 9 2 5" xfId="23135" xr:uid="{00000000-0005-0000-0000-00005F5A0000}"/>
    <cellStyle name="Normal 2 2 4 2 2 9 2 6" xfId="23136" xr:uid="{00000000-0005-0000-0000-0000605A0000}"/>
    <cellStyle name="Normal 2 2 4 2 2 9 2 7" xfId="23137" xr:uid="{00000000-0005-0000-0000-0000615A0000}"/>
    <cellStyle name="Normal 2 2 4 2 2 9 2 8" xfId="23138" xr:uid="{00000000-0005-0000-0000-0000625A0000}"/>
    <cellStyle name="Normal 2 2 4 2 2 9 2 9" xfId="23139" xr:uid="{00000000-0005-0000-0000-0000635A0000}"/>
    <cellStyle name="Normal 2 2 4 2 2 9 3" xfId="23140" xr:uid="{00000000-0005-0000-0000-0000645A0000}"/>
    <cellStyle name="Normal 2 2 4 2 2 9 3 10" xfId="23141" xr:uid="{00000000-0005-0000-0000-0000655A0000}"/>
    <cellStyle name="Normal 2 2 4 2 2 9 3 2" xfId="23142" xr:uid="{00000000-0005-0000-0000-0000665A0000}"/>
    <cellStyle name="Normal 2 2 4 2 2 9 3 3" xfId="23143" xr:uid="{00000000-0005-0000-0000-0000675A0000}"/>
    <cellStyle name="Normal 2 2 4 2 2 9 3 4" xfId="23144" xr:uid="{00000000-0005-0000-0000-0000685A0000}"/>
    <cellStyle name="Normal 2 2 4 2 2 9 3 5" xfId="23145" xr:uid="{00000000-0005-0000-0000-0000695A0000}"/>
    <cellStyle name="Normal 2 2 4 2 2 9 3 6" xfId="23146" xr:uid="{00000000-0005-0000-0000-00006A5A0000}"/>
    <cellStyle name="Normal 2 2 4 2 2 9 3 7" xfId="23147" xr:uid="{00000000-0005-0000-0000-00006B5A0000}"/>
    <cellStyle name="Normal 2 2 4 2 2 9 3 8" xfId="23148" xr:uid="{00000000-0005-0000-0000-00006C5A0000}"/>
    <cellStyle name="Normal 2 2 4 2 2 9 3 9" xfId="23149" xr:uid="{00000000-0005-0000-0000-00006D5A0000}"/>
    <cellStyle name="Normal 2 2 4 2 2 9 4" xfId="23150" xr:uid="{00000000-0005-0000-0000-00006E5A0000}"/>
    <cellStyle name="Normal 2 2 4 2 2 9 4 10" xfId="23151" xr:uid="{00000000-0005-0000-0000-00006F5A0000}"/>
    <cellStyle name="Normal 2 2 4 2 2 9 4 2" xfId="23152" xr:uid="{00000000-0005-0000-0000-0000705A0000}"/>
    <cellStyle name="Normal 2 2 4 2 2 9 4 3" xfId="23153" xr:uid="{00000000-0005-0000-0000-0000715A0000}"/>
    <cellStyle name="Normal 2 2 4 2 2 9 4 4" xfId="23154" xr:uid="{00000000-0005-0000-0000-0000725A0000}"/>
    <cellStyle name="Normal 2 2 4 2 2 9 4 5" xfId="23155" xr:uid="{00000000-0005-0000-0000-0000735A0000}"/>
    <cellStyle name="Normal 2 2 4 2 2 9 4 6" xfId="23156" xr:uid="{00000000-0005-0000-0000-0000745A0000}"/>
    <cellStyle name="Normal 2 2 4 2 2 9 4 7" xfId="23157" xr:uid="{00000000-0005-0000-0000-0000755A0000}"/>
    <cellStyle name="Normal 2 2 4 2 2 9 4 8" xfId="23158" xr:uid="{00000000-0005-0000-0000-0000765A0000}"/>
    <cellStyle name="Normal 2 2 4 2 2 9 4 9" xfId="23159" xr:uid="{00000000-0005-0000-0000-0000775A0000}"/>
    <cellStyle name="Normal 2 2 4 2 2 9 5" xfId="23160" xr:uid="{00000000-0005-0000-0000-0000785A0000}"/>
    <cellStyle name="Normal 2 2 4 2 2 9 5 10" xfId="23161" xr:uid="{00000000-0005-0000-0000-0000795A0000}"/>
    <cellStyle name="Normal 2 2 4 2 2 9 5 2" xfId="23162" xr:uid="{00000000-0005-0000-0000-00007A5A0000}"/>
    <cellStyle name="Normal 2 2 4 2 2 9 5 3" xfId="23163" xr:uid="{00000000-0005-0000-0000-00007B5A0000}"/>
    <cellStyle name="Normal 2 2 4 2 2 9 5 4" xfId="23164" xr:uid="{00000000-0005-0000-0000-00007C5A0000}"/>
    <cellStyle name="Normal 2 2 4 2 2 9 5 5" xfId="23165" xr:uid="{00000000-0005-0000-0000-00007D5A0000}"/>
    <cellStyle name="Normal 2 2 4 2 2 9 5 6" xfId="23166" xr:uid="{00000000-0005-0000-0000-00007E5A0000}"/>
    <cellStyle name="Normal 2 2 4 2 2 9 5 7" xfId="23167" xr:uid="{00000000-0005-0000-0000-00007F5A0000}"/>
    <cellStyle name="Normal 2 2 4 2 2 9 5 8" xfId="23168" xr:uid="{00000000-0005-0000-0000-0000805A0000}"/>
    <cellStyle name="Normal 2 2 4 2 2 9 5 9" xfId="23169" xr:uid="{00000000-0005-0000-0000-0000815A0000}"/>
    <cellStyle name="Normal 2 2 4 2 2 9 6" xfId="23170" xr:uid="{00000000-0005-0000-0000-0000825A0000}"/>
    <cellStyle name="Normal 2 2 4 2 2 9 7" xfId="23171" xr:uid="{00000000-0005-0000-0000-0000835A0000}"/>
    <cellStyle name="Normal 2 2 4 2 2 9 8" xfId="23172" xr:uid="{00000000-0005-0000-0000-0000845A0000}"/>
    <cellStyle name="Normal 2 2 4 2 2 9 9" xfId="23173" xr:uid="{00000000-0005-0000-0000-0000855A0000}"/>
    <cellStyle name="Normal 2 2 4 2 20" xfId="23174" xr:uid="{00000000-0005-0000-0000-0000865A0000}"/>
    <cellStyle name="Normal 2 2 4 2 21" xfId="23175" xr:uid="{00000000-0005-0000-0000-0000875A0000}"/>
    <cellStyle name="Normal 2 2 4 2 21 10" xfId="23176" xr:uid="{00000000-0005-0000-0000-0000885A0000}"/>
    <cellStyle name="Normal 2 2 4 2 21 2" xfId="23177" xr:uid="{00000000-0005-0000-0000-0000895A0000}"/>
    <cellStyle name="Normal 2 2 4 2 21 3" xfId="23178" xr:uid="{00000000-0005-0000-0000-00008A5A0000}"/>
    <cellStyle name="Normal 2 2 4 2 21 4" xfId="23179" xr:uid="{00000000-0005-0000-0000-00008B5A0000}"/>
    <cellStyle name="Normal 2 2 4 2 21 5" xfId="23180" xr:uid="{00000000-0005-0000-0000-00008C5A0000}"/>
    <cellStyle name="Normal 2 2 4 2 21 6" xfId="23181" xr:uid="{00000000-0005-0000-0000-00008D5A0000}"/>
    <cellStyle name="Normal 2 2 4 2 21 7" xfId="23182" xr:uid="{00000000-0005-0000-0000-00008E5A0000}"/>
    <cellStyle name="Normal 2 2 4 2 21 8" xfId="23183" xr:uid="{00000000-0005-0000-0000-00008F5A0000}"/>
    <cellStyle name="Normal 2 2 4 2 21 9" xfId="23184" xr:uid="{00000000-0005-0000-0000-0000905A0000}"/>
    <cellStyle name="Normal 2 2 4 2 22" xfId="23185" xr:uid="{00000000-0005-0000-0000-0000915A0000}"/>
    <cellStyle name="Normal 2 2 4 2 22 10" xfId="23186" xr:uid="{00000000-0005-0000-0000-0000925A0000}"/>
    <cellStyle name="Normal 2 2 4 2 22 2" xfId="23187" xr:uid="{00000000-0005-0000-0000-0000935A0000}"/>
    <cellStyle name="Normal 2 2 4 2 22 3" xfId="23188" xr:uid="{00000000-0005-0000-0000-0000945A0000}"/>
    <cellStyle name="Normal 2 2 4 2 22 4" xfId="23189" xr:uid="{00000000-0005-0000-0000-0000955A0000}"/>
    <cellStyle name="Normal 2 2 4 2 22 5" xfId="23190" xr:uid="{00000000-0005-0000-0000-0000965A0000}"/>
    <cellStyle name="Normal 2 2 4 2 22 6" xfId="23191" xr:uid="{00000000-0005-0000-0000-0000975A0000}"/>
    <cellStyle name="Normal 2 2 4 2 22 7" xfId="23192" xr:uid="{00000000-0005-0000-0000-0000985A0000}"/>
    <cellStyle name="Normal 2 2 4 2 22 8" xfId="23193" xr:uid="{00000000-0005-0000-0000-0000995A0000}"/>
    <cellStyle name="Normal 2 2 4 2 22 9" xfId="23194" xr:uid="{00000000-0005-0000-0000-00009A5A0000}"/>
    <cellStyle name="Normal 2 2 4 2 23" xfId="23195" xr:uid="{00000000-0005-0000-0000-00009B5A0000}"/>
    <cellStyle name="Normal 2 2 4 2 23 10" xfId="23196" xr:uid="{00000000-0005-0000-0000-00009C5A0000}"/>
    <cellStyle name="Normal 2 2 4 2 23 2" xfId="23197" xr:uid="{00000000-0005-0000-0000-00009D5A0000}"/>
    <cellStyle name="Normal 2 2 4 2 23 3" xfId="23198" xr:uid="{00000000-0005-0000-0000-00009E5A0000}"/>
    <cellStyle name="Normal 2 2 4 2 23 4" xfId="23199" xr:uid="{00000000-0005-0000-0000-00009F5A0000}"/>
    <cellStyle name="Normal 2 2 4 2 23 5" xfId="23200" xr:uid="{00000000-0005-0000-0000-0000A05A0000}"/>
    <cellStyle name="Normal 2 2 4 2 23 6" xfId="23201" xr:uid="{00000000-0005-0000-0000-0000A15A0000}"/>
    <cellStyle name="Normal 2 2 4 2 23 7" xfId="23202" xr:uid="{00000000-0005-0000-0000-0000A25A0000}"/>
    <cellStyle name="Normal 2 2 4 2 23 8" xfId="23203" xr:uid="{00000000-0005-0000-0000-0000A35A0000}"/>
    <cellStyle name="Normal 2 2 4 2 23 9" xfId="23204" xr:uid="{00000000-0005-0000-0000-0000A45A0000}"/>
    <cellStyle name="Normal 2 2 4 2 24" xfId="23205" xr:uid="{00000000-0005-0000-0000-0000A55A0000}"/>
    <cellStyle name="Normal 2 2 4 2 24 10" xfId="23206" xr:uid="{00000000-0005-0000-0000-0000A65A0000}"/>
    <cellStyle name="Normal 2 2 4 2 24 2" xfId="23207" xr:uid="{00000000-0005-0000-0000-0000A75A0000}"/>
    <cellStyle name="Normal 2 2 4 2 24 3" xfId="23208" xr:uid="{00000000-0005-0000-0000-0000A85A0000}"/>
    <cellStyle name="Normal 2 2 4 2 24 4" xfId="23209" xr:uid="{00000000-0005-0000-0000-0000A95A0000}"/>
    <cellStyle name="Normal 2 2 4 2 24 5" xfId="23210" xr:uid="{00000000-0005-0000-0000-0000AA5A0000}"/>
    <cellStyle name="Normal 2 2 4 2 24 6" xfId="23211" xr:uid="{00000000-0005-0000-0000-0000AB5A0000}"/>
    <cellStyle name="Normal 2 2 4 2 24 7" xfId="23212" xr:uid="{00000000-0005-0000-0000-0000AC5A0000}"/>
    <cellStyle name="Normal 2 2 4 2 24 8" xfId="23213" xr:uid="{00000000-0005-0000-0000-0000AD5A0000}"/>
    <cellStyle name="Normal 2 2 4 2 24 9" xfId="23214" xr:uid="{00000000-0005-0000-0000-0000AE5A0000}"/>
    <cellStyle name="Normal 2 2 4 2 25" xfId="23215" xr:uid="{00000000-0005-0000-0000-0000AF5A0000}"/>
    <cellStyle name="Normal 2 2 4 2 26" xfId="23216" xr:uid="{00000000-0005-0000-0000-0000B05A0000}"/>
    <cellStyle name="Normal 2 2 4 2 27" xfId="23217" xr:uid="{00000000-0005-0000-0000-0000B15A0000}"/>
    <cellStyle name="Normal 2 2 4 2 28" xfId="23218" xr:uid="{00000000-0005-0000-0000-0000B25A0000}"/>
    <cellStyle name="Normal 2 2 4 2 29" xfId="23219" xr:uid="{00000000-0005-0000-0000-0000B35A0000}"/>
    <cellStyle name="Normal 2 2 4 2 3" xfId="23220" xr:uid="{00000000-0005-0000-0000-0000B45A0000}"/>
    <cellStyle name="Normal 2 2 4 2 30" xfId="23221" xr:uid="{00000000-0005-0000-0000-0000B55A0000}"/>
    <cellStyle name="Normal 2 2 4 2 31" xfId="23222" xr:uid="{00000000-0005-0000-0000-0000B65A0000}"/>
    <cellStyle name="Normal 2 2 4 2 32" xfId="23223" xr:uid="{00000000-0005-0000-0000-0000B75A0000}"/>
    <cellStyle name="Normal 2 2 4 2 33" xfId="23224" xr:uid="{00000000-0005-0000-0000-0000B85A0000}"/>
    <cellStyle name="Normal 2 2 4 2 4" xfId="23225" xr:uid="{00000000-0005-0000-0000-0000B95A0000}"/>
    <cellStyle name="Normal 2 2 4 2 5" xfId="23226" xr:uid="{00000000-0005-0000-0000-0000BA5A0000}"/>
    <cellStyle name="Normal 2 2 4 2 6" xfId="23227" xr:uid="{00000000-0005-0000-0000-0000BB5A0000}"/>
    <cellStyle name="Normal 2 2 4 2 7" xfId="23228" xr:uid="{00000000-0005-0000-0000-0000BC5A0000}"/>
    <cellStyle name="Normal 2 2 4 2 8" xfId="23229" xr:uid="{00000000-0005-0000-0000-0000BD5A0000}"/>
    <cellStyle name="Normal 2 2 4 2 9" xfId="23230" xr:uid="{00000000-0005-0000-0000-0000BE5A0000}"/>
    <cellStyle name="Normal 2 2 4 20" xfId="23231" xr:uid="{00000000-0005-0000-0000-0000BF5A0000}"/>
    <cellStyle name="Normal 2 2 4 20 10" xfId="23232" xr:uid="{00000000-0005-0000-0000-0000C05A0000}"/>
    <cellStyle name="Normal 2 2 4 20 11" xfId="23233" xr:uid="{00000000-0005-0000-0000-0000C15A0000}"/>
    <cellStyle name="Normal 2 2 4 20 12" xfId="23234" xr:uid="{00000000-0005-0000-0000-0000C25A0000}"/>
    <cellStyle name="Normal 2 2 4 20 13" xfId="23235" xr:uid="{00000000-0005-0000-0000-0000C35A0000}"/>
    <cellStyle name="Normal 2 2 4 20 14" xfId="23236" xr:uid="{00000000-0005-0000-0000-0000C45A0000}"/>
    <cellStyle name="Normal 2 2 4 20 2" xfId="23237" xr:uid="{00000000-0005-0000-0000-0000C55A0000}"/>
    <cellStyle name="Normal 2 2 4 20 2 10" xfId="23238" xr:uid="{00000000-0005-0000-0000-0000C65A0000}"/>
    <cellStyle name="Normal 2 2 4 20 2 2" xfId="23239" xr:uid="{00000000-0005-0000-0000-0000C75A0000}"/>
    <cellStyle name="Normal 2 2 4 20 2 3" xfId="23240" xr:uid="{00000000-0005-0000-0000-0000C85A0000}"/>
    <cellStyle name="Normal 2 2 4 20 2 4" xfId="23241" xr:uid="{00000000-0005-0000-0000-0000C95A0000}"/>
    <cellStyle name="Normal 2 2 4 20 2 5" xfId="23242" xr:uid="{00000000-0005-0000-0000-0000CA5A0000}"/>
    <cellStyle name="Normal 2 2 4 20 2 6" xfId="23243" xr:uid="{00000000-0005-0000-0000-0000CB5A0000}"/>
    <cellStyle name="Normal 2 2 4 20 2 7" xfId="23244" xr:uid="{00000000-0005-0000-0000-0000CC5A0000}"/>
    <cellStyle name="Normal 2 2 4 20 2 8" xfId="23245" xr:uid="{00000000-0005-0000-0000-0000CD5A0000}"/>
    <cellStyle name="Normal 2 2 4 20 2 9" xfId="23246" xr:uid="{00000000-0005-0000-0000-0000CE5A0000}"/>
    <cellStyle name="Normal 2 2 4 20 3" xfId="23247" xr:uid="{00000000-0005-0000-0000-0000CF5A0000}"/>
    <cellStyle name="Normal 2 2 4 20 3 10" xfId="23248" xr:uid="{00000000-0005-0000-0000-0000D05A0000}"/>
    <cellStyle name="Normal 2 2 4 20 3 2" xfId="23249" xr:uid="{00000000-0005-0000-0000-0000D15A0000}"/>
    <cellStyle name="Normal 2 2 4 20 3 3" xfId="23250" xr:uid="{00000000-0005-0000-0000-0000D25A0000}"/>
    <cellStyle name="Normal 2 2 4 20 3 4" xfId="23251" xr:uid="{00000000-0005-0000-0000-0000D35A0000}"/>
    <cellStyle name="Normal 2 2 4 20 3 5" xfId="23252" xr:uid="{00000000-0005-0000-0000-0000D45A0000}"/>
    <cellStyle name="Normal 2 2 4 20 3 6" xfId="23253" xr:uid="{00000000-0005-0000-0000-0000D55A0000}"/>
    <cellStyle name="Normal 2 2 4 20 3 7" xfId="23254" xr:uid="{00000000-0005-0000-0000-0000D65A0000}"/>
    <cellStyle name="Normal 2 2 4 20 3 8" xfId="23255" xr:uid="{00000000-0005-0000-0000-0000D75A0000}"/>
    <cellStyle name="Normal 2 2 4 20 3 9" xfId="23256" xr:uid="{00000000-0005-0000-0000-0000D85A0000}"/>
    <cellStyle name="Normal 2 2 4 20 4" xfId="23257" xr:uid="{00000000-0005-0000-0000-0000D95A0000}"/>
    <cellStyle name="Normal 2 2 4 20 4 10" xfId="23258" xr:uid="{00000000-0005-0000-0000-0000DA5A0000}"/>
    <cellStyle name="Normal 2 2 4 20 4 2" xfId="23259" xr:uid="{00000000-0005-0000-0000-0000DB5A0000}"/>
    <cellStyle name="Normal 2 2 4 20 4 3" xfId="23260" xr:uid="{00000000-0005-0000-0000-0000DC5A0000}"/>
    <cellStyle name="Normal 2 2 4 20 4 4" xfId="23261" xr:uid="{00000000-0005-0000-0000-0000DD5A0000}"/>
    <cellStyle name="Normal 2 2 4 20 4 5" xfId="23262" xr:uid="{00000000-0005-0000-0000-0000DE5A0000}"/>
    <cellStyle name="Normal 2 2 4 20 4 6" xfId="23263" xr:uid="{00000000-0005-0000-0000-0000DF5A0000}"/>
    <cellStyle name="Normal 2 2 4 20 4 7" xfId="23264" xr:uid="{00000000-0005-0000-0000-0000E05A0000}"/>
    <cellStyle name="Normal 2 2 4 20 4 8" xfId="23265" xr:uid="{00000000-0005-0000-0000-0000E15A0000}"/>
    <cellStyle name="Normal 2 2 4 20 4 9" xfId="23266" xr:uid="{00000000-0005-0000-0000-0000E25A0000}"/>
    <cellStyle name="Normal 2 2 4 20 5" xfId="23267" xr:uid="{00000000-0005-0000-0000-0000E35A0000}"/>
    <cellStyle name="Normal 2 2 4 20 5 10" xfId="23268" xr:uid="{00000000-0005-0000-0000-0000E45A0000}"/>
    <cellStyle name="Normal 2 2 4 20 5 2" xfId="23269" xr:uid="{00000000-0005-0000-0000-0000E55A0000}"/>
    <cellStyle name="Normal 2 2 4 20 5 3" xfId="23270" xr:uid="{00000000-0005-0000-0000-0000E65A0000}"/>
    <cellStyle name="Normal 2 2 4 20 5 4" xfId="23271" xr:uid="{00000000-0005-0000-0000-0000E75A0000}"/>
    <cellStyle name="Normal 2 2 4 20 5 5" xfId="23272" xr:uid="{00000000-0005-0000-0000-0000E85A0000}"/>
    <cellStyle name="Normal 2 2 4 20 5 6" xfId="23273" xr:uid="{00000000-0005-0000-0000-0000E95A0000}"/>
    <cellStyle name="Normal 2 2 4 20 5 7" xfId="23274" xr:uid="{00000000-0005-0000-0000-0000EA5A0000}"/>
    <cellStyle name="Normal 2 2 4 20 5 8" xfId="23275" xr:uid="{00000000-0005-0000-0000-0000EB5A0000}"/>
    <cellStyle name="Normal 2 2 4 20 5 9" xfId="23276" xr:uid="{00000000-0005-0000-0000-0000EC5A0000}"/>
    <cellStyle name="Normal 2 2 4 20 6" xfId="23277" xr:uid="{00000000-0005-0000-0000-0000ED5A0000}"/>
    <cellStyle name="Normal 2 2 4 20 7" xfId="23278" xr:uid="{00000000-0005-0000-0000-0000EE5A0000}"/>
    <cellStyle name="Normal 2 2 4 20 8" xfId="23279" xr:uid="{00000000-0005-0000-0000-0000EF5A0000}"/>
    <cellStyle name="Normal 2 2 4 20 9" xfId="23280" xr:uid="{00000000-0005-0000-0000-0000F05A0000}"/>
    <cellStyle name="Normal 2 2 4 21" xfId="23281" xr:uid="{00000000-0005-0000-0000-0000F15A0000}"/>
    <cellStyle name="Normal 2 2 4 21 10" xfId="23282" xr:uid="{00000000-0005-0000-0000-0000F25A0000}"/>
    <cellStyle name="Normal 2 2 4 21 11" xfId="23283" xr:uid="{00000000-0005-0000-0000-0000F35A0000}"/>
    <cellStyle name="Normal 2 2 4 21 12" xfId="23284" xr:uid="{00000000-0005-0000-0000-0000F45A0000}"/>
    <cellStyle name="Normal 2 2 4 21 13" xfId="23285" xr:uid="{00000000-0005-0000-0000-0000F55A0000}"/>
    <cellStyle name="Normal 2 2 4 21 14" xfId="23286" xr:uid="{00000000-0005-0000-0000-0000F65A0000}"/>
    <cellStyle name="Normal 2 2 4 21 2" xfId="23287" xr:uid="{00000000-0005-0000-0000-0000F75A0000}"/>
    <cellStyle name="Normal 2 2 4 21 2 10" xfId="23288" xr:uid="{00000000-0005-0000-0000-0000F85A0000}"/>
    <cellStyle name="Normal 2 2 4 21 2 2" xfId="23289" xr:uid="{00000000-0005-0000-0000-0000F95A0000}"/>
    <cellStyle name="Normal 2 2 4 21 2 3" xfId="23290" xr:uid="{00000000-0005-0000-0000-0000FA5A0000}"/>
    <cellStyle name="Normal 2 2 4 21 2 4" xfId="23291" xr:uid="{00000000-0005-0000-0000-0000FB5A0000}"/>
    <cellStyle name="Normal 2 2 4 21 2 5" xfId="23292" xr:uid="{00000000-0005-0000-0000-0000FC5A0000}"/>
    <cellStyle name="Normal 2 2 4 21 2 6" xfId="23293" xr:uid="{00000000-0005-0000-0000-0000FD5A0000}"/>
    <cellStyle name="Normal 2 2 4 21 2 7" xfId="23294" xr:uid="{00000000-0005-0000-0000-0000FE5A0000}"/>
    <cellStyle name="Normal 2 2 4 21 2 8" xfId="23295" xr:uid="{00000000-0005-0000-0000-0000FF5A0000}"/>
    <cellStyle name="Normal 2 2 4 21 2 9" xfId="23296" xr:uid="{00000000-0005-0000-0000-0000005B0000}"/>
    <cellStyle name="Normal 2 2 4 21 3" xfId="23297" xr:uid="{00000000-0005-0000-0000-0000015B0000}"/>
    <cellStyle name="Normal 2 2 4 21 3 10" xfId="23298" xr:uid="{00000000-0005-0000-0000-0000025B0000}"/>
    <cellStyle name="Normal 2 2 4 21 3 2" xfId="23299" xr:uid="{00000000-0005-0000-0000-0000035B0000}"/>
    <cellStyle name="Normal 2 2 4 21 3 3" xfId="23300" xr:uid="{00000000-0005-0000-0000-0000045B0000}"/>
    <cellStyle name="Normal 2 2 4 21 3 4" xfId="23301" xr:uid="{00000000-0005-0000-0000-0000055B0000}"/>
    <cellStyle name="Normal 2 2 4 21 3 5" xfId="23302" xr:uid="{00000000-0005-0000-0000-0000065B0000}"/>
    <cellStyle name="Normal 2 2 4 21 3 6" xfId="23303" xr:uid="{00000000-0005-0000-0000-0000075B0000}"/>
    <cellStyle name="Normal 2 2 4 21 3 7" xfId="23304" xr:uid="{00000000-0005-0000-0000-0000085B0000}"/>
    <cellStyle name="Normal 2 2 4 21 3 8" xfId="23305" xr:uid="{00000000-0005-0000-0000-0000095B0000}"/>
    <cellStyle name="Normal 2 2 4 21 3 9" xfId="23306" xr:uid="{00000000-0005-0000-0000-00000A5B0000}"/>
    <cellStyle name="Normal 2 2 4 21 4" xfId="23307" xr:uid="{00000000-0005-0000-0000-00000B5B0000}"/>
    <cellStyle name="Normal 2 2 4 21 4 10" xfId="23308" xr:uid="{00000000-0005-0000-0000-00000C5B0000}"/>
    <cellStyle name="Normal 2 2 4 21 4 2" xfId="23309" xr:uid="{00000000-0005-0000-0000-00000D5B0000}"/>
    <cellStyle name="Normal 2 2 4 21 4 3" xfId="23310" xr:uid="{00000000-0005-0000-0000-00000E5B0000}"/>
    <cellStyle name="Normal 2 2 4 21 4 4" xfId="23311" xr:uid="{00000000-0005-0000-0000-00000F5B0000}"/>
    <cellStyle name="Normal 2 2 4 21 4 5" xfId="23312" xr:uid="{00000000-0005-0000-0000-0000105B0000}"/>
    <cellStyle name="Normal 2 2 4 21 4 6" xfId="23313" xr:uid="{00000000-0005-0000-0000-0000115B0000}"/>
    <cellStyle name="Normal 2 2 4 21 4 7" xfId="23314" xr:uid="{00000000-0005-0000-0000-0000125B0000}"/>
    <cellStyle name="Normal 2 2 4 21 4 8" xfId="23315" xr:uid="{00000000-0005-0000-0000-0000135B0000}"/>
    <cellStyle name="Normal 2 2 4 21 4 9" xfId="23316" xr:uid="{00000000-0005-0000-0000-0000145B0000}"/>
    <cellStyle name="Normal 2 2 4 21 5" xfId="23317" xr:uid="{00000000-0005-0000-0000-0000155B0000}"/>
    <cellStyle name="Normal 2 2 4 21 5 10" xfId="23318" xr:uid="{00000000-0005-0000-0000-0000165B0000}"/>
    <cellStyle name="Normal 2 2 4 21 5 2" xfId="23319" xr:uid="{00000000-0005-0000-0000-0000175B0000}"/>
    <cellStyle name="Normal 2 2 4 21 5 3" xfId="23320" xr:uid="{00000000-0005-0000-0000-0000185B0000}"/>
    <cellStyle name="Normal 2 2 4 21 5 4" xfId="23321" xr:uid="{00000000-0005-0000-0000-0000195B0000}"/>
    <cellStyle name="Normal 2 2 4 21 5 5" xfId="23322" xr:uid="{00000000-0005-0000-0000-00001A5B0000}"/>
    <cellStyle name="Normal 2 2 4 21 5 6" xfId="23323" xr:uid="{00000000-0005-0000-0000-00001B5B0000}"/>
    <cellStyle name="Normal 2 2 4 21 5 7" xfId="23324" xr:uid="{00000000-0005-0000-0000-00001C5B0000}"/>
    <cellStyle name="Normal 2 2 4 21 5 8" xfId="23325" xr:uid="{00000000-0005-0000-0000-00001D5B0000}"/>
    <cellStyle name="Normal 2 2 4 21 5 9" xfId="23326" xr:uid="{00000000-0005-0000-0000-00001E5B0000}"/>
    <cellStyle name="Normal 2 2 4 21 6" xfId="23327" xr:uid="{00000000-0005-0000-0000-00001F5B0000}"/>
    <cellStyle name="Normal 2 2 4 21 7" xfId="23328" xr:uid="{00000000-0005-0000-0000-0000205B0000}"/>
    <cellStyle name="Normal 2 2 4 21 8" xfId="23329" xr:uid="{00000000-0005-0000-0000-0000215B0000}"/>
    <cellStyle name="Normal 2 2 4 21 9" xfId="23330" xr:uid="{00000000-0005-0000-0000-0000225B0000}"/>
    <cellStyle name="Normal 2 2 4 22" xfId="23331" xr:uid="{00000000-0005-0000-0000-0000235B0000}"/>
    <cellStyle name="Normal 2 2 4 22 10" xfId="23332" xr:uid="{00000000-0005-0000-0000-0000245B0000}"/>
    <cellStyle name="Normal 2 2 4 22 11" xfId="23333" xr:uid="{00000000-0005-0000-0000-0000255B0000}"/>
    <cellStyle name="Normal 2 2 4 22 12" xfId="23334" xr:uid="{00000000-0005-0000-0000-0000265B0000}"/>
    <cellStyle name="Normal 2 2 4 22 13" xfId="23335" xr:uid="{00000000-0005-0000-0000-0000275B0000}"/>
    <cellStyle name="Normal 2 2 4 22 14" xfId="23336" xr:uid="{00000000-0005-0000-0000-0000285B0000}"/>
    <cellStyle name="Normal 2 2 4 22 2" xfId="23337" xr:uid="{00000000-0005-0000-0000-0000295B0000}"/>
    <cellStyle name="Normal 2 2 4 22 2 10" xfId="23338" xr:uid="{00000000-0005-0000-0000-00002A5B0000}"/>
    <cellStyle name="Normal 2 2 4 22 2 2" xfId="23339" xr:uid="{00000000-0005-0000-0000-00002B5B0000}"/>
    <cellStyle name="Normal 2 2 4 22 2 3" xfId="23340" xr:uid="{00000000-0005-0000-0000-00002C5B0000}"/>
    <cellStyle name="Normal 2 2 4 22 2 4" xfId="23341" xr:uid="{00000000-0005-0000-0000-00002D5B0000}"/>
    <cellStyle name="Normal 2 2 4 22 2 5" xfId="23342" xr:uid="{00000000-0005-0000-0000-00002E5B0000}"/>
    <cellStyle name="Normal 2 2 4 22 2 6" xfId="23343" xr:uid="{00000000-0005-0000-0000-00002F5B0000}"/>
    <cellStyle name="Normal 2 2 4 22 2 7" xfId="23344" xr:uid="{00000000-0005-0000-0000-0000305B0000}"/>
    <cellStyle name="Normal 2 2 4 22 2 8" xfId="23345" xr:uid="{00000000-0005-0000-0000-0000315B0000}"/>
    <cellStyle name="Normal 2 2 4 22 2 9" xfId="23346" xr:uid="{00000000-0005-0000-0000-0000325B0000}"/>
    <cellStyle name="Normal 2 2 4 22 3" xfId="23347" xr:uid="{00000000-0005-0000-0000-0000335B0000}"/>
    <cellStyle name="Normal 2 2 4 22 3 10" xfId="23348" xr:uid="{00000000-0005-0000-0000-0000345B0000}"/>
    <cellStyle name="Normal 2 2 4 22 3 2" xfId="23349" xr:uid="{00000000-0005-0000-0000-0000355B0000}"/>
    <cellStyle name="Normal 2 2 4 22 3 3" xfId="23350" xr:uid="{00000000-0005-0000-0000-0000365B0000}"/>
    <cellStyle name="Normal 2 2 4 22 3 4" xfId="23351" xr:uid="{00000000-0005-0000-0000-0000375B0000}"/>
    <cellStyle name="Normal 2 2 4 22 3 5" xfId="23352" xr:uid="{00000000-0005-0000-0000-0000385B0000}"/>
    <cellStyle name="Normal 2 2 4 22 3 6" xfId="23353" xr:uid="{00000000-0005-0000-0000-0000395B0000}"/>
    <cellStyle name="Normal 2 2 4 22 3 7" xfId="23354" xr:uid="{00000000-0005-0000-0000-00003A5B0000}"/>
    <cellStyle name="Normal 2 2 4 22 3 8" xfId="23355" xr:uid="{00000000-0005-0000-0000-00003B5B0000}"/>
    <cellStyle name="Normal 2 2 4 22 3 9" xfId="23356" xr:uid="{00000000-0005-0000-0000-00003C5B0000}"/>
    <cellStyle name="Normal 2 2 4 22 4" xfId="23357" xr:uid="{00000000-0005-0000-0000-00003D5B0000}"/>
    <cellStyle name="Normal 2 2 4 22 4 10" xfId="23358" xr:uid="{00000000-0005-0000-0000-00003E5B0000}"/>
    <cellStyle name="Normal 2 2 4 22 4 2" xfId="23359" xr:uid="{00000000-0005-0000-0000-00003F5B0000}"/>
    <cellStyle name="Normal 2 2 4 22 4 3" xfId="23360" xr:uid="{00000000-0005-0000-0000-0000405B0000}"/>
    <cellStyle name="Normal 2 2 4 22 4 4" xfId="23361" xr:uid="{00000000-0005-0000-0000-0000415B0000}"/>
    <cellStyle name="Normal 2 2 4 22 4 5" xfId="23362" xr:uid="{00000000-0005-0000-0000-0000425B0000}"/>
    <cellStyle name="Normal 2 2 4 22 4 6" xfId="23363" xr:uid="{00000000-0005-0000-0000-0000435B0000}"/>
    <cellStyle name="Normal 2 2 4 22 4 7" xfId="23364" xr:uid="{00000000-0005-0000-0000-0000445B0000}"/>
    <cellStyle name="Normal 2 2 4 22 4 8" xfId="23365" xr:uid="{00000000-0005-0000-0000-0000455B0000}"/>
    <cellStyle name="Normal 2 2 4 22 4 9" xfId="23366" xr:uid="{00000000-0005-0000-0000-0000465B0000}"/>
    <cellStyle name="Normal 2 2 4 22 5" xfId="23367" xr:uid="{00000000-0005-0000-0000-0000475B0000}"/>
    <cellStyle name="Normal 2 2 4 22 5 10" xfId="23368" xr:uid="{00000000-0005-0000-0000-0000485B0000}"/>
    <cellStyle name="Normal 2 2 4 22 5 2" xfId="23369" xr:uid="{00000000-0005-0000-0000-0000495B0000}"/>
    <cellStyle name="Normal 2 2 4 22 5 3" xfId="23370" xr:uid="{00000000-0005-0000-0000-00004A5B0000}"/>
    <cellStyle name="Normal 2 2 4 22 5 4" xfId="23371" xr:uid="{00000000-0005-0000-0000-00004B5B0000}"/>
    <cellStyle name="Normal 2 2 4 22 5 5" xfId="23372" xr:uid="{00000000-0005-0000-0000-00004C5B0000}"/>
    <cellStyle name="Normal 2 2 4 22 5 6" xfId="23373" xr:uid="{00000000-0005-0000-0000-00004D5B0000}"/>
    <cellStyle name="Normal 2 2 4 22 5 7" xfId="23374" xr:uid="{00000000-0005-0000-0000-00004E5B0000}"/>
    <cellStyle name="Normal 2 2 4 22 5 8" xfId="23375" xr:uid="{00000000-0005-0000-0000-00004F5B0000}"/>
    <cellStyle name="Normal 2 2 4 22 5 9" xfId="23376" xr:uid="{00000000-0005-0000-0000-0000505B0000}"/>
    <cellStyle name="Normal 2 2 4 22 6" xfId="23377" xr:uid="{00000000-0005-0000-0000-0000515B0000}"/>
    <cellStyle name="Normal 2 2 4 22 7" xfId="23378" xr:uid="{00000000-0005-0000-0000-0000525B0000}"/>
    <cellStyle name="Normal 2 2 4 22 8" xfId="23379" xr:uid="{00000000-0005-0000-0000-0000535B0000}"/>
    <cellStyle name="Normal 2 2 4 22 9" xfId="23380" xr:uid="{00000000-0005-0000-0000-0000545B0000}"/>
    <cellStyle name="Normal 2 2 4 23" xfId="23381" xr:uid="{00000000-0005-0000-0000-0000555B0000}"/>
    <cellStyle name="Normal 2 2 4 23 10" xfId="23382" xr:uid="{00000000-0005-0000-0000-0000565B0000}"/>
    <cellStyle name="Normal 2 2 4 23 11" xfId="23383" xr:uid="{00000000-0005-0000-0000-0000575B0000}"/>
    <cellStyle name="Normal 2 2 4 23 12" xfId="23384" xr:uid="{00000000-0005-0000-0000-0000585B0000}"/>
    <cellStyle name="Normal 2 2 4 23 13" xfId="23385" xr:uid="{00000000-0005-0000-0000-0000595B0000}"/>
    <cellStyle name="Normal 2 2 4 23 14" xfId="23386" xr:uid="{00000000-0005-0000-0000-00005A5B0000}"/>
    <cellStyle name="Normal 2 2 4 23 2" xfId="23387" xr:uid="{00000000-0005-0000-0000-00005B5B0000}"/>
    <cellStyle name="Normal 2 2 4 23 2 10" xfId="23388" xr:uid="{00000000-0005-0000-0000-00005C5B0000}"/>
    <cellStyle name="Normal 2 2 4 23 2 2" xfId="23389" xr:uid="{00000000-0005-0000-0000-00005D5B0000}"/>
    <cellStyle name="Normal 2 2 4 23 2 3" xfId="23390" xr:uid="{00000000-0005-0000-0000-00005E5B0000}"/>
    <cellStyle name="Normal 2 2 4 23 2 4" xfId="23391" xr:uid="{00000000-0005-0000-0000-00005F5B0000}"/>
    <cellStyle name="Normal 2 2 4 23 2 5" xfId="23392" xr:uid="{00000000-0005-0000-0000-0000605B0000}"/>
    <cellStyle name="Normal 2 2 4 23 2 6" xfId="23393" xr:uid="{00000000-0005-0000-0000-0000615B0000}"/>
    <cellStyle name="Normal 2 2 4 23 2 7" xfId="23394" xr:uid="{00000000-0005-0000-0000-0000625B0000}"/>
    <cellStyle name="Normal 2 2 4 23 2 8" xfId="23395" xr:uid="{00000000-0005-0000-0000-0000635B0000}"/>
    <cellStyle name="Normal 2 2 4 23 2 9" xfId="23396" xr:uid="{00000000-0005-0000-0000-0000645B0000}"/>
    <cellStyle name="Normal 2 2 4 23 3" xfId="23397" xr:uid="{00000000-0005-0000-0000-0000655B0000}"/>
    <cellStyle name="Normal 2 2 4 23 3 10" xfId="23398" xr:uid="{00000000-0005-0000-0000-0000665B0000}"/>
    <cellStyle name="Normal 2 2 4 23 3 2" xfId="23399" xr:uid="{00000000-0005-0000-0000-0000675B0000}"/>
    <cellStyle name="Normal 2 2 4 23 3 3" xfId="23400" xr:uid="{00000000-0005-0000-0000-0000685B0000}"/>
    <cellStyle name="Normal 2 2 4 23 3 4" xfId="23401" xr:uid="{00000000-0005-0000-0000-0000695B0000}"/>
    <cellStyle name="Normal 2 2 4 23 3 5" xfId="23402" xr:uid="{00000000-0005-0000-0000-00006A5B0000}"/>
    <cellStyle name="Normal 2 2 4 23 3 6" xfId="23403" xr:uid="{00000000-0005-0000-0000-00006B5B0000}"/>
    <cellStyle name="Normal 2 2 4 23 3 7" xfId="23404" xr:uid="{00000000-0005-0000-0000-00006C5B0000}"/>
    <cellStyle name="Normal 2 2 4 23 3 8" xfId="23405" xr:uid="{00000000-0005-0000-0000-00006D5B0000}"/>
    <cellStyle name="Normal 2 2 4 23 3 9" xfId="23406" xr:uid="{00000000-0005-0000-0000-00006E5B0000}"/>
    <cellStyle name="Normal 2 2 4 23 4" xfId="23407" xr:uid="{00000000-0005-0000-0000-00006F5B0000}"/>
    <cellStyle name="Normal 2 2 4 23 4 10" xfId="23408" xr:uid="{00000000-0005-0000-0000-0000705B0000}"/>
    <cellStyle name="Normal 2 2 4 23 4 2" xfId="23409" xr:uid="{00000000-0005-0000-0000-0000715B0000}"/>
    <cellStyle name="Normal 2 2 4 23 4 3" xfId="23410" xr:uid="{00000000-0005-0000-0000-0000725B0000}"/>
    <cellStyle name="Normal 2 2 4 23 4 4" xfId="23411" xr:uid="{00000000-0005-0000-0000-0000735B0000}"/>
    <cellStyle name="Normal 2 2 4 23 4 5" xfId="23412" xr:uid="{00000000-0005-0000-0000-0000745B0000}"/>
    <cellStyle name="Normal 2 2 4 23 4 6" xfId="23413" xr:uid="{00000000-0005-0000-0000-0000755B0000}"/>
    <cellStyle name="Normal 2 2 4 23 4 7" xfId="23414" xr:uid="{00000000-0005-0000-0000-0000765B0000}"/>
    <cellStyle name="Normal 2 2 4 23 4 8" xfId="23415" xr:uid="{00000000-0005-0000-0000-0000775B0000}"/>
    <cellStyle name="Normal 2 2 4 23 4 9" xfId="23416" xr:uid="{00000000-0005-0000-0000-0000785B0000}"/>
    <cellStyle name="Normal 2 2 4 23 5" xfId="23417" xr:uid="{00000000-0005-0000-0000-0000795B0000}"/>
    <cellStyle name="Normal 2 2 4 23 5 10" xfId="23418" xr:uid="{00000000-0005-0000-0000-00007A5B0000}"/>
    <cellStyle name="Normal 2 2 4 23 5 2" xfId="23419" xr:uid="{00000000-0005-0000-0000-00007B5B0000}"/>
    <cellStyle name="Normal 2 2 4 23 5 3" xfId="23420" xr:uid="{00000000-0005-0000-0000-00007C5B0000}"/>
    <cellStyle name="Normal 2 2 4 23 5 4" xfId="23421" xr:uid="{00000000-0005-0000-0000-00007D5B0000}"/>
    <cellStyle name="Normal 2 2 4 23 5 5" xfId="23422" xr:uid="{00000000-0005-0000-0000-00007E5B0000}"/>
    <cellStyle name="Normal 2 2 4 23 5 6" xfId="23423" xr:uid="{00000000-0005-0000-0000-00007F5B0000}"/>
    <cellStyle name="Normal 2 2 4 23 5 7" xfId="23424" xr:uid="{00000000-0005-0000-0000-0000805B0000}"/>
    <cellStyle name="Normal 2 2 4 23 5 8" xfId="23425" xr:uid="{00000000-0005-0000-0000-0000815B0000}"/>
    <cellStyle name="Normal 2 2 4 23 5 9" xfId="23426" xr:uid="{00000000-0005-0000-0000-0000825B0000}"/>
    <cellStyle name="Normal 2 2 4 23 6" xfId="23427" xr:uid="{00000000-0005-0000-0000-0000835B0000}"/>
    <cellStyle name="Normal 2 2 4 23 7" xfId="23428" xr:uid="{00000000-0005-0000-0000-0000845B0000}"/>
    <cellStyle name="Normal 2 2 4 23 8" xfId="23429" xr:uid="{00000000-0005-0000-0000-0000855B0000}"/>
    <cellStyle name="Normal 2 2 4 23 9" xfId="23430" xr:uid="{00000000-0005-0000-0000-0000865B0000}"/>
    <cellStyle name="Normal 2 2 4 24" xfId="23431" xr:uid="{00000000-0005-0000-0000-0000875B0000}"/>
    <cellStyle name="Normal 2 2 4 24 10" xfId="23432" xr:uid="{00000000-0005-0000-0000-0000885B0000}"/>
    <cellStyle name="Normal 2 2 4 24 11" xfId="23433" xr:uid="{00000000-0005-0000-0000-0000895B0000}"/>
    <cellStyle name="Normal 2 2 4 24 12" xfId="23434" xr:uid="{00000000-0005-0000-0000-00008A5B0000}"/>
    <cellStyle name="Normal 2 2 4 24 13" xfId="23435" xr:uid="{00000000-0005-0000-0000-00008B5B0000}"/>
    <cellStyle name="Normal 2 2 4 24 14" xfId="23436" xr:uid="{00000000-0005-0000-0000-00008C5B0000}"/>
    <cellStyle name="Normal 2 2 4 24 2" xfId="23437" xr:uid="{00000000-0005-0000-0000-00008D5B0000}"/>
    <cellStyle name="Normal 2 2 4 24 2 10" xfId="23438" xr:uid="{00000000-0005-0000-0000-00008E5B0000}"/>
    <cellStyle name="Normal 2 2 4 24 2 2" xfId="23439" xr:uid="{00000000-0005-0000-0000-00008F5B0000}"/>
    <cellStyle name="Normal 2 2 4 24 2 3" xfId="23440" xr:uid="{00000000-0005-0000-0000-0000905B0000}"/>
    <cellStyle name="Normal 2 2 4 24 2 4" xfId="23441" xr:uid="{00000000-0005-0000-0000-0000915B0000}"/>
    <cellStyle name="Normal 2 2 4 24 2 5" xfId="23442" xr:uid="{00000000-0005-0000-0000-0000925B0000}"/>
    <cellStyle name="Normal 2 2 4 24 2 6" xfId="23443" xr:uid="{00000000-0005-0000-0000-0000935B0000}"/>
    <cellStyle name="Normal 2 2 4 24 2 7" xfId="23444" xr:uid="{00000000-0005-0000-0000-0000945B0000}"/>
    <cellStyle name="Normal 2 2 4 24 2 8" xfId="23445" xr:uid="{00000000-0005-0000-0000-0000955B0000}"/>
    <cellStyle name="Normal 2 2 4 24 2 9" xfId="23446" xr:uid="{00000000-0005-0000-0000-0000965B0000}"/>
    <cellStyle name="Normal 2 2 4 24 3" xfId="23447" xr:uid="{00000000-0005-0000-0000-0000975B0000}"/>
    <cellStyle name="Normal 2 2 4 24 3 10" xfId="23448" xr:uid="{00000000-0005-0000-0000-0000985B0000}"/>
    <cellStyle name="Normal 2 2 4 24 3 2" xfId="23449" xr:uid="{00000000-0005-0000-0000-0000995B0000}"/>
    <cellStyle name="Normal 2 2 4 24 3 3" xfId="23450" xr:uid="{00000000-0005-0000-0000-00009A5B0000}"/>
    <cellStyle name="Normal 2 2 4 24 3 4" xfId="23451" xr:uid="{00000000-0005-0000-0000-00009B5B0000}"/>
    <cellStyle name="Normal 2 2 4 24 3 5" xfId="23452" xr:uid="{00000000-0005-0000-0000-00009C5B0000}"/>
    <cellStyle name="Normal 2 2 4 24 3 6" xfId="23453" xr:uid="{00000000-0005-0000-0000-00009D5B0000}"/>
    <cellStyle name="Normal 2 2 4 24 3 7" xfId="23454" xr:uid="{00000000-0005-0000-0000-00009E5B0000}"/>
    <cellStyle name="Normal 2 2 4 24 3 8" xfId="23455" xr:uid="{00000000-0005-0000-0000-00009F5B0000}"/>
    <cellStyle name="Normal 2 2 4 24 3 9" xfId="23456" xr:uid="{00000000-0005-0000-0000-0000A05B0000}"/>
    <cellStyle name="Normal 2 2 4 24 4" xfId="23457" xr:uid="{00000000-0005-0000-0000-0000A15B0000}"/>
    <cellStyle name="Normal 2 2 4 24 4 10" xfId="23458" xr:uid="{00000000-0005-0000-0000-0000A25B0000}"/>
    <cellStyle name="Normal 2 2 4 24 4 2" xfId="23459" xr:uid="{00000000-0005-0000-0000-0000A35B0000}"/>
    <cellStyle name="Normal 2 2 4 24 4 3" xfId="23460" xr:uid="{00000000-0005-0000-0000-0000A45B0000}"/>
    <cellStyle name="Normal 2 2 4 24 4 4" xfId="23461" xr:uid="{00000000-0005-0000-0000-0000A55B0000}"/>
    <cellStyle name="Normal 2 2 4 24 4 5" xfId="23462" xr:uid="{00000000-0005-0000-0000-0000A65B0000}"/>
    <cellStyle name="Normal 2 2 4 24 4 6" xfId="23463" xr:uid="{00000000-0005-0000-0000-0000A75B0000}"/>
    <cellStyle name="Normal 2 2 4 24 4 7" xfId="23464" xr:uid="{00000000-0005-0000-0000-0000A85B0000}"/>
    <cellStyle name="Normal 2 2 4 24 4 8" xfId="23465" xr:uid="{00000000-0005-0000-0000-0000A95B0000}"/>
    <cellStyle name="Normal 2 2 4 24 4 9" xfId="23466" xr:uid="{00000000-0005-0000-0000-0000AA5B0000}"/>
    <cellStyle name="Normal 2 2 4 24 5" xfId="23467" xr:uid="{00000000-0005-0000-0000-0000AB5B0000}"/>
    <cellStyle name="Normal 2 2 4 24 5 10" xfId="23468" xr:uid="{00000000-0005-0000-0000-0000AC5B0000}"/>
    <cellStyle name="Normal 2 2 4 24 5 2" xfId="23469" xr:uid="{00000000-0005-0000-0000-0000AD5B0000}"/>
    <cellStyle name="Normal 2 2 4 24 5 3" xfId="23470" xr:uid="{00000000-0005-0000-0000-0000AE5B0000}"/>
    <cellStyle name="Normal 2 2 4 24 5 4" xfId="23471" xr:uid="{00000000-0005-0000-0000-0000AF5B0000}"/>
    <cellStyle name="Normal 2 2 4 24 5 5" xfId="23472" xr:uid="{00000000-0005-0000-0000-0000B05B0000}"/>
    <cellStyle name="Normal 2 2 4 24 5 6" xfId="23473" xr:uid="{00000000-0005-0000-0000-0000B15B0000}"/>
    <cellStyle name="Normal 2 2 4 24 5 7" xfId="23474" xr:uid="{00000000-0005-0000-0000-0000B25B0000}"/>
    <cellStyle name="Normal 2 2 4 24 5 8" xfId="23475" xr:uid="{00000000-0005-0000-0000-0000B35B0000}"/>
    <cellStyle name="Normal 2 2 4 24 5 9" xfId="23476" xr:uid="{00000000-0005-0000-0000-0000B45B0000}"/>
    <cellStyle name="Normal 2 2 4 24 6" xfId="23477" xr:uid="{00000000-0005-0000-0000-0000B55B0000}"/>
    <cellStyle name="Normal 2 2 4 24 7" xfId="23478" xr:uid="{00000000-0005-0000-0000-0000B65B0000}"/>
    <cellStyle name="Normal 2 2 4 24 8" xfId="23479" xr:uid="{00000000-0005-0000-0000-0000B75B0000}"/>
    <cellStyle name="Normal 2 2 4 24 9" xfId="23480" xr:uid="{00000000-0005-0000-0000-0000B85B0000}"/>
    <cellStyle name="Normal 2 2 4 25" xfId="23481" xr:uid="{00000000-0005-0000-0000-0000B95B0000}"/>
    <cellStyle name="Normal 2 2 4 25 10" xfId="23482" xr:uid="{00000000-0005-0000-0000-0000BA5B0000}"/>
    <cellStyle name="Normal 2 2 4 25 11" xfId="23483" xr:uid="{00000000-0005-0000-0000-0000BB5B0000}"/>
    <cellStyle name="Normal 2 2 4 25 12" xfId="23484" xr:uid="{00000000-0005-0000-0000-0000BC5B0000}"/>
    <cellStyle name="Normal 2 2 4 25 13" xfId="23485" xr:uid="{00000000-0005-0000-0000-0000BD5B0000}"/>
    <cellStyle name="Normal 2 2 4 25 14" xfId="23486" xr:uid="{00000000-0005-0000-0000-0000BE5B0000}"/>
    <cellStyle name="Normal 2 2 4 25 2" xfId="23487" xr:uid="{00000000-0005-0000-0000-0000BF5B0000}"/>
    <cellStyle name="Normal 2 2 4 25 2 10" xfId="23488" xr:uid="{00000000-0005-0000-0000-0000C05B0000}"/>
    <cellStyle name="Normal 2 2 4 25 2 2" xfId="23489" xr:uid="{00000000-0005-0000-0000-0000C15B0000}"/>
    <cellStyle name="Normal 2 2 4 25 2 3" xfId="23490" xr:uid="{00000000-0005-0000-0000-0000C25B0000}"/>
    <cellStyle name="Normal 2 2 4 25 2 4" xfId="23491" xr:uid="{00000000-0005-0000-0000-0000C35B0000}"/>
    <cellStyle name="Normal 2 2 4 25 2 5" xfId="23492" xr:uid="{00000000-0005-0000-0000-0000C45B0000}"/>
    <cellStyle name="Normal 2 2 4 25 2 6" xfId="23493" xr:uid="{00000000-0005-0000-0000-0000C55B0000}"/>
    <cellStyle name="Normal 2 2 4 25 2 7" xfId="23494" xr:uid="{00000000-0005-0000-0000-0000C65B0000}"/>
    <cellStyle name="Normal 2 2 4 25 2 8" xfId="23495" xr:uid="{00000000-0005-0000-0000-0000C75B0000}"/>
    <cellStyle name="Normal 2 2 4 25 2 9" xfId="23496" xr:uid="{00000000-0005-0000-0000-0000C85B0000}"/>
    <cellStyle name="Normal 2 2 4 25 3" xfId="23497" xr:uid="{00000000-0005-0000-0000-0000C95B0000}"/>
    <cellStyle name="Normal 2 2 4 25 3 10" xfId="23498" xr:uid="{00000000-0005-0000-0000-0000CA5B0000}"/>
    <cellStyle name="Normal 2 2 4 25 3 2" xfId="23499" xr:uid="{00000000-0005-0000-0000-0000CB5B0000}"/>
    <cellStyle name="Normal 2 2 4 25 3 3" xfId="23500" xr:uid="{00000000-0005-0000-0000-0000CC5B0000}"/>
    <cellStyle name="Normal 2 2 4 25 3 4" xfId="23501" xr:uid="{00000000-0005-0000-0000-0000CD5B0000}"/>
    <cellStyle name="Normal 2 2 4 25 3 5" xfId="23502" xr:uid="{00000000-0005-0000-0000-0000CE5B0000}"/>
    <cellStyle name="Normal 2 2 4 25 3 6" xfId="23503" xr:uid="{00000000-0005-0000-0000-0000CF5B0000}"/>
    <cellStyle name="Normal 2 2 4 25 3 7" xfId="23504" xr:uid="{00000000-0005-0000-0000-0000D05B0000}"/>
    <cellStyle name="Normal 2 2 4 25 3 8" xfId="23505" xr:uid="{00000000-0005-0000-0000-0000D15B0000}"/>
    <cellStyle name="Normal 2 2 4 25 3 9" xfId="23506" xr:uid="{00000000-0005-0000-0000-0000D25B0000}"/>
    <cellStyle name="Normal 2 2 4 25 4" xfId="23507" xr:uid="{00000000-0005-0000-0000-0000D35B0000}"/>
    <cellStyle name="Normal 2 2 4 25 4 10" xfId="23508" xr:uid="{00000000-0005-0000-0000-0000D45B0000}"/>
    <cellStyle name="Normal 2 2 4 25 4 2" xfId="23509" xr:uid="{00000000-0005-0000-0000-0000D55B0000}"/>
    <cellStyle name="Normal 2 2 4 25 4 3" xfId="23510" xr:uid="{00000000-0005-0000-0000-0000D65B0000}"/>
    <cellStyle name="Normal 2 2 4 25 4 4" xfId="23511" xr:uid="{00000000-0005-0000-0000-0000D75B0000}"/>
    <cellStyle name="Normal 2 2 4 25 4 5" xfId="23512" xr:uid="{00000000-0005-0000-0000-0000D85B0000}"/>
    <cellStyle name="Normal 2 2 4 25 4 6" xfId="23513" xr:uid="{00000000-0005-0000-0000-0000D95B0000}"/>
    <cellStyle name="Normal 2 2 4 25 4 7" xfId="23514" xr:uid="{00000000-0005-0000-0000-0000DA5B0000}"/>
    <cellStyle name="Normal 2 2 4 25 4 8" xfId="23515" xr:uid="{00000000-0005-0000-0000-0000DB5B0000}"/>
    <cellStyle name="Normal 2 2 4 25 4 9" xfId="23516" xr:uid="{00000000-0005-0000-0000-0000DC5B0000}"/>
    <cellStyle name="Normal 2 2 4 25 5" xfId="23517" xr:uid="{00000000-0005-0000-0000-0000DD5B0000}"/>
    <cellStyle name="Normal 2 2 4 25 5 10" xfId="23518" xr:uid="{00000000-0005-0000-0000-0000DE5B0000}"/>
    <cellStyle name="Normal 2 2 4 25 5 2" xfId="23519" xr:uid="{00000000-0005-0000-0000-0000DF5B0000}"/>
    <cellStyle name="Normal 2 2 4 25 5 3" xfId="23520" xr:uid="{00000000-0005-0000-0000-0000E05B0000}"/>
    <cellStyle name="Normal 2 2 4 25 5 4" xfId="23521" xr:uid="{00000000-0005-0000-0000-0000E15B0000}"/>
    <cellStyle name="Normal 2 2 4 25 5 5" xfId="23522" xr:uid="{00000000-0005-0000-0000-0000E25B0000}"/>
    <cellStyle name="Normal 2 2 4 25 5 6" xfId="23523" xr:uid="{00000000-0005-0000-0000-0000E35B0000}"/>
    <cellStyle name="Normal 2 2 4 25 5 7" xfId="23524" xr:uid="{00000000-0005-0000-0000-0000E45B0000}"/>
    <cellStyle name="Normal 2 2 4 25 5 8" xfId="23525" xr:uid="{00000000-0005-0000-0000-0000E55B0000}"/>
    <cellStyle name="Normal 2 2 4 25 5 9" xfId="23526" xr:uid="{00000000-0005-0000-0000-0000E65B0000}"/>
    <cellStyle name="Normal 2 2 4 25 6" xfId="23527" xr:uid="{00000000-0005-0000-0000-0000E75B0000}"/>
    <cellStyle name="Normal 2 2 4 25 7" xfId="23528" xr:uid="{00000000-0005-0000-0000-0000E85B0000}"/>
    <cellStyle name="Normal 2 2 4 25 8" xfId="23529" xr:uid="{00000000-0005-0000-0000-0000E95B0000}"/>
    <cellStyle name="Normal 2 2 4 25 9" xfId="23530" xr:uid="{00000000-0005-0000-0000-0000EA5B0000}"/>
    <cellStyle name="Normal 2 2 4 26" xfId="23531" xr:uid="{00000000-0005-0000-0000-0000EB5B0000}"/>
    <cellStyle name="Normal 2 2 4 26 10" xfId="23532" xr:uid="{00000000-0005-0000-0000-0000EC5B0000}"/>
    <cellStyle name="Normal 2 2 4 26 11" xfId="23533" xr:uid="{00000000-0005-0000-0000-0000ED5B0000}"/>
    <cellStyle name="Normal 2 2 4 26 12" xfId="23534" xr:uid="{00000000-0005-0000-0000-0000EE5B0000}"/>
    <cellStyle name="Normal 2 2 4 26 13" xfId="23535" xr:uid="{00000000-0005-0000-0000-0000EF5B0000}"/>
    <cellStyle name="Normal 2 2 4 26 14" xfId="23536" xr:uid="{00000000-0005-0000-0000-0000F05B0000}"/>
    <cellStyle name="Normal 2 2 4 26 2" xfId="23537" xr:uid="{00000000-0005-0000-0000-0000F15B0000}"/>
    <cellStyle name="Normal 2 2 4 26 2 10" xfId="23538" xr:uid="{00000000-0005-0000-0000-0000F25B0000}"/>
    <cellStyle name="Normal 2 2 4 26 2 2" xfId="23539" xr:uid="{00000000-0005-0000-0000-0000F35B0000}"/>
    <cellStyle name="Normal 2 2 4 26 2 3" xfId="23540" xr:uid="{00000000-0005-0000-0000-0000F45B0000}"/>
    <cellStyle name="Normal 2 2 4 26 2 4" xfId="23541" xr:uid="{00000000-0005-0000-0000-0000F55B0000}"/>
    <cellStyle name="Normal 2 2 4 26 2 5" xfId="23542" xr:uid="{00000000-0005-0000-0000-0000F65B0000}"/>
    <cellStyle name="Normal 2 2 4 26 2 6" xfId="23543" xr:uid="{00000000-0005-0000-0000-0000F75B0000}"/>
    <cellStyle name="Normal 2 2 4 26 2 7" xfId="23544" xr:uid="{00000000-0005-0000-0000-0000F85B0000}"/>
    <cellStyle name="Normal 2 2 4 26 2 8" xfId="23545" xr:uid="{00000000-0005-0000-0000-0000F95B0000}"/>
    <cellStyle name="Normal 2 2 4 26 2 9" xfId="23546" xr:uid="{00000000-0005-0000-0000-0000FA5B0000}"/>
    <cellStyle name="Normal 2 2 4 26 3" xfId="23547" xr:uid="{00000000-0005-0000-0000-0000FB5B0000}"/>
    <cellStyle name="Normal 2 2 4 26 3 10" xfId="23548" xr:uid="{00000000-0005-0000-0000-0000FC5B0000}"/>
    <cellStyle name="Normal 2 2 4 26 3 2" xfId="23549" xr:uid="{00000000-0005-0000-0000-0000FD5B0000}"/>
    <cellStyle name="Normal 2 2 4 26 3 3" xfId="23550" xr:uid="{00000000-0005-0000-0000-0000FE5B0000}"/>
    <cellStyle name="Normal 2 2 4 26 3 4" xfId="23551" xr:uid="{00000000-0005-0000-0000-0000FF5B0000}"/>
    <cellStyle name="Normal 2 2 4 26 3 5" xfId="23552" xr:uid="{00000000-0005-0000-0000-0000005C0000}"/>
    <cellStyle name="Normal 2 2 4 26 3 6" xfId="23553" xr:uid="{00000000-0005-0000-0000-0000015C0000}"/>
    <cellStyle name="Normal 2 2 4 26 3 7" xfId="23554" xr:uid="{00000000-0005-0000-0000-0000025C0000}"/>
    <cellStyle name="Normal 2 2 4 26 3 8" xfId="23555" xr:uid="{00000000-0005-0000-0000-0000035C0000}"/>
    <cellStyle name="Normal 2 2 4 26 3 9" xfId="23556" xr:uid="{00000000-0005-0000-0000-0000045C0000}"/>
    <cellStyle name="Normal 2 2 4 26 4" xfId="23557" xr:uid="{00000000-0005-0000-0000-0000055C0000}"/>
    <cellStyle name="Normal 2 2 4 26 4 10" xfId="23558" xr:uid="{00000000-0005-0000-0000-0000065C0000}"/>
    <cellStyle name="Normal 2 2 4 26 4 2" xfId="23559" xr:uid="{00000000-0005-0000-0000-0000075C0000}"/>
    <cellStyle name="Normal 2 2 4 26 4 3" xfId="23560" xr:uid="{00000000-0005-0000-0000-0000085C0000}"/>
    <cellStyle name="Normal 2 2 4 26 4 4" xfId="23561" xr:uid="{00000000-0005-0000-0000-0000095C0000}"/>
    <cellStyle name="Normal 2 2 4 26 4 5" xfId="23562" xr:uid="{00000000-0005-0000-0000-00000A5C0000}"/>
    <cellStyle name="Normal 2 2 4 26 4 6" xfId="23563" xr:uid="{00000000-0005-0000-0000-00000B5C0000}"/>
    <cellStyle name="Normal 2 2 4 26 4 7" xfId="23564" xr:uid="{00000000-0005-0000-0000-00000C5C0000}"/>
    <cellStyle name="Normal 2 2 4 26 4 8" xfId="23565" xr:uid="{00000000-0005-0000-0000-00000D5C0000}"/>
    <cellStyle name="Normal 2 2 4 26 4 9" xfId="23566" xr:uid="{00000000-0005-0000-0000-00000E5C0000}"/>
    <cellStyle name="Normal 2 2 4 26 5" xfId="23567" xr:uid="{00000000-0005-0000-0000-00000F5C0000}"/>
    <cellStyle name="Normal 2 2 4 26 5 10" xfId="23568" xr:uid="{00000000-0005-0000-0000-0000105C0000}"/>
    <cellStyle name="Normal 2 2 4 26 5 2" xfId="23569" xr:uid="{00000000-0005-0000-0000-0000115C0000}"/>
    <cellStyle name="Normal 2 2 4 26 5 3" xfId="23570" xr:uid="{00000000-0005-0000-0000-0000125C0000}"/>
    <cellStyle name="Normal 2 2 4 26 5 4" xfId="23571" xr:uid="{00000000-0005-0000-0000-0000135C0000}"/>
    <cellStyle name="Normal 2 2 4 26 5 5" xfId="23572" xr:uid="{00000000-0005-0000-0000-0000145C0000}"/>
    <cellStyle name="Normal 2 2 4 26 5 6" xfId="23573" xr:uid="{00000000-0005-0000-0000-0000155C0000}"/>
    <cellStyle name="Normal 2 2 4 26 5 7" xfId="23574" xr:uid="{00000000-0005-0000-0000-0000165C0000}"/>
    <cellStyle name="Normal 2 2 4 26 5 8" xfId="23575" xr:uid="{00000000-0005-0000-0000-0000175C0000}"/>
    <cellStyle name="Normal 2 2 4 26 5 9" xfId="23576" xr:uid="{00000000-0005-0000-0000-0000185C0000}"/>
    <cellStyle name="Normal 2 2 4 26 6" xfId="23577" xr:uid="{00000000-0005-0000-0000-0000195C0000}"/>
    <cellStyle name="Normal 2 2 4 26 7" xfId="23578" xr:uid="{00000000-0005-0000-0000-00001A5C0000}"/>
    <cellStyle name="Normal 2 2 4 26 8" xfId="23579" xr:uid="{00000000-0005-0000-0000-00001B5C0000}"/>
    <cellStyle name="Normal 2 2 4 26 9" xfId="23580" xr:uid="{00000000-0005-0000-0000-00001C5C0000}"/>
    <cellStyle name="Normal 2 2 4 27" xfId="23581" xr:uid="{00000000-0005-0000-0000-00001D5C0000}"/>
    <cellStyle name="Normal 2 2 4 27 10" xfId="23582" xr:uid="{00000000-0005-0000-0000-00001E5C0000}"/>
    <cellStyle name="Normal 2 2 4 27 11" xfId="23583" xr:uid="{00000000-0005-0000-0000-00001F5C0000}"/>
    <cellStyle name="Normal 2 2 4 27 12" xfId="23584" xr:uid="{00000000-0005-0000-0000-0000205C0000}"/>
    <cellStyle name="Normal 2 2 4 27 13" xfId="23585" xr:uid="{00000000-0005-0000-0000-0000215C0000}"/>
    <cellStyle name="Normal 2 2 4 27 14" xfId="23586" xr:uid="{00000000-0005-0000-0000-0000225C0000}"/>
    <cellStyle name="Normal 2 2 4 27 2" xfId="23587" xr:uid="{00000000-0005-0000-0000-0000235C0000}"/>
    <cellStyle name="Normal 2 2 4 27 2 10" xfId="23588" xr:uid="{00000000-0005-0000-0000-0000245C0000}"/>
    <cellStyle name="Normal 2 2 4 27 2 2" xfId="23589" xr:uid="{00000000-0005-0000-0000-0000255C0000}"/>
    <cellStyle name="Normal 2 2 4 27 2 3" xfId="23590" xr:uid="{00000000-0005-0000-0000-0000265C0000}"/>
    <cellStyle name="Normal 2 2 4 27 2 4" xfId="23591" xr:uid="{00000000-0005-0000-0000-0000275C0000}"/>
    <cellStyle name="Normal 2 2 4 27 2 5" xfId="23592" xr:uid="{00000000-0005-0000-0000-0000285C0000}"/>
    <cellStyle name="Normal 2 2 4 27 2 6" xfId="23593" xr:uid="{00000000-0005-0000-0000-0000295C0000}"/>
    <cellStyle name="Normal 2 2 4 27 2 7" xfId="23594" xr:uid="{00000000-0005-0000-0000-00002A5C0000}"/>
    <cellStyle name="Normal 2 2 4 27 2 8" xfId="23595" xr:uid="{00000000-0005-0000-0000-00002B5C0000}"/>
    <cellStyle name="Normal 2 2 4 27 2 9" xfId="23596" xr:uid="{00000000-0005-0000-0000-00002C5C0000}"/>
    <cellStyle name="Normal 2 2 4 27 3" xfId="23597" xr:uid="{00000000-0005-0000-0000-00002D5C0000}"/>
    <cellStyle name="Normal 2 2 4 27 3 10" xfId="23598" xr:uid="{00000000-0005-0000-0000-00002E5C0000}"/>
    <cellStyle name="Normal 2 2 4 27 3 2" xfId="23599" xr:uid="{00000000-0005-0000-0000-00002F5C0000}"/>
    <cellStyle name="Normal 2 2 4 27 3 3" xfId="23600" xr:uid="{00000000-0005-0000-0000-0000305C0000}"/>
    <cellStyle name="Normal 2 2 4 27 3 4" xfId="23601" xr:uid="{00000000-0005-0000-0000-0000315C0000}"/>
    <cellStyle name="Normal 2 2 4 27 3 5" xfId="23602" xr:uid="{00000000-0005-0000-0000-0000325C0000}"/>
    <cellStyle name="Normal 2 2 4 27 3 6" xfId="23603" xr:uid="{00000000-0005-0000-0000-0000335C0000}"/>
    <cellStyle name="Normal 2 2 4 27 3 7" xfId="23604" xr:uid="{00000000-0005-0000-0000-0000345C0000}"/>
    <cellStyle name="Normal 2 2 4 27 3 8" xfId="23605" xr:uid="{00000000-0005-0000-0000-0000355C0000}"/>
    <cellStyle name="Normal 2 2 4 27 3 9" xfId="23606" xr:uid="{00000000-0005-0000-0000-0000365C0000}"/>
    <cellStyle name="Normal 2 2 4 27 4" xfId="23607" xr:uid="{00000000-0005-0000-0000-0000375C0000}"/>
    <cellStyle name="Normal 2 2 4 27 4 10" xfId="23608" xr:uid="{00000000-0005-0000-0000-0000385C0000}"/>
    <cellStyle name="Normal 2 2 4 27 4 2" xfId="23609" xr:uid="{00000000-0005-0000-0000-0000395C0000}"/>
    <cellStyle name="Normal 2 2 4 27 4 3" xfId="23610" xr:uid="{00000000-0005-0000-0000-00003A5C0000}"/>
    <cellStyle name="Normal 2 2 4 27 4 4" xfId="23611" xr:uid="{00000000-0005-0000-0000-00003B5C0000}"/>
    <cellStyle name="Normal 2 2 4 27 4 5" xfId="23612" xr:uid="{00000000-0005-0000-0000-00003C5C0000}"/>
    <cellStyle name="Normal 2 2 4 27 4 6" xfId="23613" xr:uid="{00000000-0005-0000-0000-00003D5C0000}"/>
    <cellStyle name="Normal 2 2 4 27 4 7" xfId="23614" xr:uid="{00000000-0005-0000-0000-00003E5C0000}"/>
    <cellStyle name="Normal 2 2 4 27 4 8" xfId="23615" xr:uid="{00000000-0005-0000-0000-00003F5C0000}"/>
    <cellStyle name="Normal 2 2 4 27 4 9" xfId="23616" xr:uid="{00000000-0005-0000-0000-0000405C0000}"/>
    <cellStyle name="Normal 2 2 4 27 5" xfId="23617" xr:uid="{00000000-0005-0000-0000-0000415C0000}"/>
    <cellStyle name="Normal 2 2 4 27 5 10" xfId="23618" xr:uid="{00000000-0005-0000-0000-0000425C0000}"/>
    <cellStyle name="Normal 2 2 4 27 5 2" xfId="23619" xr:uid="{00000000-0005-0000-0000-0000435C0000}"/>
    <cellStyle name="Normal 2 2 4 27 5 3" xfId="23620" xr:uid="{00000000-0005-0000-0000-0000445C0000}"/>
    <cellStyle name="Normal 2 2 4 27 5 4" xfId="23621" xr:uid="{00000000-0005-0000-0000-0000455C0000}"/>
    <cellStyle name="Normal 2 2 4 27 5 5" xfId="23622" xr:uid="{00000000-0005-0000-0000-0000465C0000}"/>
    <cellStyle name="Normal 2 2 4 27 5 6" xfId="23623" xr:uid="{00000000-0005-0000-0000-0000475C0000}"/>
    <cellStyle name="Normal 2 2 4 27 5 7" xfId="23624" xr:uid="{00000000-0005-0000-0000-0000485C0000}"/>
    <cellStyle name="Normal 2 2 4 27 5 8" xfId="23625" xr:uid="{00000000-0005-0000-0000-0000495C0000}"/>
    <cellStyle name="Normal 2 2 4 27 5 9" xfId="23626" xr:uid="{00000000-0005-0000-0000-00004A5C0000}"/>
    <cellStyle name="Normal 2 2 4 27 6" xfId="23627" xr:uid="{00000000-0005-0000-0000-00004B5C0000}"/>
    <cellStyle name="Normal 2 2 4 27 7" xfId="23628" xr:uid="{00000000-0005-0000-0000-00004C5C0000}"/>
    <cellStyle name="Normal 2 2 4 27 8" xfId="23629" xr:uid="{00000000-0005-0000-0000-00004D5C0000}"/>
    <cellStyle name="Normal 2 2 4 27 9" xfId="23630" xr:uid="{00000000-0005-0000-0000-00004E5C0000}"/>
    <cellStyle name="Normal 2 2 4 28" xfId="23631" xr:uid="{00000000-0005-0000-0000-00004F5C0000}"/>
    <cellStyle name="Normal 2 2 4 28 10" xfId="23632" xr:uid="{00000000-0005-0000-0000-0000505C0000}"/>
    <cellStyle name="Normal 2 2 4 28 11" xfId="23633" xr:uid="{00000000-0005-0000-0000-0000515C0000}"/>
    <cellStyle name="Normal 2 2 4 28 12" xfId="23634" xr:uid="{00000000-0005-0000-0000-0000525C0000}"/>
    <cellStyle name="Normal 2 2 4 28 13" xfId="23635" xr:uid="{00000000-0005-0000-0000-0000535C0000}"/>
    <cellStyle name="Normal 2 2 4 28 14" xfId="23636" xr:uid="{00000000-0005-0000-0000-0000545C0000}"/>
    <cellStyle name="Normal 2 2 4 28 2" xfId="23637" xr:uid="{00000000-0005-0000-0000-0000555C0000}"/>
    <cellStyle name="Normal 2 2 4 28 2 10" xfId="23638" xr:uid="{00000000-0005-0000-0000-0000565C0000}"/>
    <cellStyle name="Normal 2 2 4 28 2 2" xfId="23639" xr:uid="{00000000-0005-0000-0000-0000575C0000}"/>
    <cellStyle name="Normal 2 2 4 28 2 3" xfId="23640" xr:uid="{00000000-0005-0000-0000-0000585C0000}"/>
    <cellStyle name="Normal 2 2 4 28 2 4" xfId="23641" xr:uid="{00000000-0005-0000-0000-0000595C0000}"/>
    <cellStyle name="Normal 2 2 4 28 2 5" xfId="23642" xr:uid="{00000000-0005-0000-0000-00005A5C0000}"/>
    <cellStyle name="Normal 2 2 4 28 2 6" xfId="23643" xr:uid="{00000000-0005-0000-0000-00005B5C0000}"/>
    <cellStyle name="Normal 2 2 4 28 2 7" xfId="23644" xr:uid="{00000000-0005-0000-0000-00005C5C0000}"/>
    <cellStyle name="Normal 2 2 4 28 2 8" xfId="23645" xr:uid="{00000000-0005-0000-0000-00005D5C0000}"/>
    <cellStyle name="Normal 2 2 4 28 2 9" xfId="23646" xr:uid="{00000000-0005-0000-0000-00005E5C0000}"/>
    <cellStyle name="Normal 2 2 4 28 3" xfId="23647" xr:uid="{00000000-0005-0000-0000-00005F5C0000}"/>
    <cellStyle name="Normal 2 2 4 28 3 10" xfId="23648" xr:uid="{00000000-0005-0000-0000-0000605C0000}"/>
    <cellStyle name="Normal 2 2 4 28 3 2" xfId="23649" xr:uid="{00000000-0005-0000-0000-0000615C0000}"/>
    <cellStyle name="Normal 2 2 4 28 3 3" xfId="23650" xr:uid="{00000000-0005-0000-0000-0000625C0000}"/>
    <cellStyle name="Normal 2 2 4 28 3 4" xfId="23651" xr:uid="{00000000-0005-0000-0000-0000635C0000}"/>
    <cellStyle name="Normal 2 2 4 28 3 5" xfId="23652" xr:uid="{00000000-0005-0000-0000-0000645C0000}"/>
    <cellStyle name="Normal 2 2 4 28 3 6" xfId="23653" xr:uid="{00000000-0005-0000-0000-0000655C0000}"/>
    <cellStyle name="Normal 2 2 4 28 3 7" xfId="23654" xr:uid="{00000000-0005-0000-0000-0000665C0000}"/>
    <cellStyle name="Normal 2 2 4 28 3 8" xfId="23655" xr:uid="{00000000-0005-0000-0000-0000675C0000}"/>
    <cellStyle name="Normal 2 2 4 28 3 9" xfId="23656" xr:uid="{00000000-0005-0000-0000-0000685C0000}"/>
    <cellStyle name="Normal 2 2 4 28 4" xfId="23657" xr:uid="{00000000-0005-0000-0000-0000695C0000}"/>
    <cellStyle name="Normal 2 2 4 28 4 10" xfId="23658" xr:uid="{00000000-0005-0000-0000-00006A5C0000}"/>
    <cellStyle name="Normal 2 2 4 28 4 2" xfId="23659" xr:uid="{00000000-0005-0000-0000-00006B5C0000}"/>
    <cellStyle name="Normal 2 2 4 28 4 3" xfId="23660" xr:uid="{00000000-0005-0000-0000-00006C5C0000}"/>
    <cellStyle name="Normal 2 2 4 28 4 4" xfId="23661" xr:uid="{00000000-0005-0000-0000-00006D5C0000}"/>
    <cellStyle name="Normal 2 2 4 28 4 5" xfId="23662" xr:uid="{00000000-0005-0000-0000-00006E5C0000}"/>
    <cellStyle name="Normal 2 2 4 28 4 6" xfId="23663" xr:uid="{00000000-0005-0000-0000-00006F5C0000}"/>
    <cellStyle name="Normal 2 2 4 28 4 7" xfId="23664" xr:uid="{00000000-0005-0000-0000-0000705C0000}"/>
    <cellStyle name="Normal 2 2 4 28 4 8" xfId="23665" xr:uid="{00000000-0005-0000-0000-0000715C0000}"/>
    <cellStyle name="Normal 2 2 4 28 4 9" xfId="23666" xr:uid="{00000000-0005-0000-0000-0000725C0000}"/>
    <cellStyle name="Normal 2 2 4 28 5" xfId="23667" xr:uid="{00000000-0005-0000-0000-0000735C0000}"/>
    <cellStyle name="Normal 2 2 4 28 5 10" xfId="23668" xr:uid="{00000000-0005-0000-0000-0000745C0000}"/>
    <cellStyle name="Normal 2 2 4 28 5 2" xfId="23669" xr:uid="{00000000-0005-0000-0000-0000755C0000}"/>
    <cellStyle name="Normal 2 2 4 28 5 3" xfId="23670" xr:uid="{00000000-0005-0000-0000-0000765C0000}"/>
    <cellStyle name="Normal 2 2 4 28 5 4" xfId="23671" xr:uid="{00000000-0005-0000-0000-0000775C0000}"/>
    <cellStyle name="Normal 2 2 4 28 5 5" xfId="23672" xr:uid="{00000000-0005-0000-0000-0000785C0000}"/>
    <cellStyle name="Normal 2 2 4 28 5 6" xfId="23673" xr:uid="{00000000-0005-0000-0000-0000795C0000}"/>
    <cellStyle name="Normal 2 2 4 28 5 7" xfId="23674" xr:uid="{00000000-0005-0000-0000-00007A5C0000}"/>
    <cellStyle name="Normal 2 2 4 28 5 8" xfId="23675" xr:uid="{00000000-0005-0000-0000-00007B5C0000}"/>
    <cellStyle name="Normal 2 2 4 28 5 9" xfId="23676" xr:uid="{00000000-0005-0000-0000-00007C5C0000}"/>
    <cellStyle name="Normal 2 2 4 28 6" xfId="23677" xr:uid="{00000000-0005-0000-0000-00007D5C0000}"/>
    <cellStyle name="Normal 2 2 4 28 7" xfId="23678" xr:uid="{00000000-0005-0000-0000-00007E5C0000}"/>
    <cellStyle name="Normal 2 2 4 28 8" xfId="23679" xr:uid="{00000000-0005-0000-0000-00007F5C0000}"/>
    <cellStyle name="Normal 2 2 4 28 9" xfId="23680" xr:uid="{00000000-0005-0000-0000-0000805C0000}"/>
    <cellStyle name="Normal 2 2 4 29" xfId="23681" xr:uid="{00000000-0005-0000-0000-0000815C0000}"/>
    <cellStyle name="Normal 2 2 4 29 10" xfId="23682" xr:uid="{00000000-0005-0000-0000-0000825C0000}"/>
    <cellStyle name="Normal 2 2 4 29 11" xfId="23683" xr:uid="{00000000-0005-0000-0000-0000835C0000}"/>
    <cellStyle name="Normal 2 2 4 29 12" xfId="23684" xr:uid="{00000000-0005-0000-0000-0000845C0000}"/>
    <cellStyle name="Normal 2 2 4 29 13" xfId="23685" xr:uid="{00000000-0005-0000-0000-0000855C0000}"/>
    <cellStyle name="Normal 2 2 4 29 14" xfId="23686" xr:uid="{00000000-0005-0000-0000-0000865C0000}"/>
    <cellStyle name="Normal 2 2 4 29 2" xfId="23687" xr:uid="{00000000-0005-0000-0000-0000875C0000}"/>
    <cellStyle name="Normal 2 2 4 29 2 10" xfId="23688" xr:uid="{00000000-0005-0000-0000-0000885C0000}"/>
    <cellStyle name="Normal 2 2 4 29 2 2" xfId="23689" xr:uid="{00000000-0005-0000-0000-0000895C0000}"/>
    <cellStyle name="Normal 2 2 4 29 2 3" xfId="23690" xr:uid="{00000000-0005-0000-0000-00008A5C0000}"/>
    <cellStyle name="Normal 2 2 4 29 2 4" xfId="23691" xr:uid="{00000000-0005-0000-0000-00008B5C0000}"/>
    <cellStyle name="Normal 2 2 4 29 2 5" xfId="23692" xr:uid="{00000000-0005-0000-0000-00008C5C0000}"/>
    <cellStyle name="Normal 2 2 4 29 2 6" xfId="23693" xr:uid="{00000000-0005-0000-0000-00008D5C0000}"/>
    <cellStyle name="Normal 2 2 4 29 2 7" xfId="23694" xr:uid="{00000000-0005-0000-0000-00008E5C0000}"/>
    <cellStyle name="Normal 2 2 4 29 2 8" xfId="23695" xr:uid="{00000000-0005-0000-0000-00008F5C0000}"/>
    <cellStyle name="Normal 2 2 4 29 2 9" xfId="23696" xr:uid="{00000000-0005-0000-0000-0000905C0000}"/>
    <cellStyle name="Normal 2 2 4 29 3" xfId="23697" xr:uid="{00000000-0005-0000-0000-0000915C0000}"/>
    <cellStyle name="Normal 2 2 4 29 3 10" xfId="23698" xr:uid="{00000000-0005-0000-0000-0000925C0000}"/>
    <cellStyle name="Normal 2 2 4 29 3 2" xfId="23699" xr:uid="{00000000-0005-0000-0000-0000935C0000}"/>
    <cellStyle name="Normal 2 2 4 29 3 3" xfId="23700" xr:uid="{00000000-0005-0000-0000-0000945C0000}"/>
    <cellStyle name="Normal 2 2 4 29 3 4" xfId="23701" xr:uid="{00000000-0005-0000-0000-0000955C0000}"/>
    <cellStyle name="Normal 2 2 4 29 3 5" xfId="23702" xr:uid="{00000000-0005-0000-0000-0000965C0000}"/>
    <cellStyle name="Normal 2 2 4 29 3 6" xfId="23703" xr:uid="{00000000-0005-0000-0000-0000975C0000}"/>
    <cellStyle name="Normal 2 2 4 29 3 7" xfId="23704" xr:uid="{00000000-0005-0000-0000-0000985C0000}"/>
    <cellStyle name="Normal 2 2 4 29 3 8" xfId="23705" xr:uid="{00000000-0005-0000-0000-0000995C0000}"/>
    <cellStyle name="Normal 2 2 4 29 3 9" xfId="23706" xr:uid="{00000000-0005-0000-0000-00009A5C0000}"/>
    <cellStyle name="Normal 2 2 4 29 4" xfId="23707" xr:uid="{00000000-0005-0000-0000-00009B5C0000}"/>
    <cellStyle name="Normal 2 2 4 29 4 10" xfId="23708" xr:uid="{00000000-0005-0000-0000-00009C5C0000}"/>
    <cellStyle name="Normal 2 2 4 29 4 2" xfId="23709" xr:uid="{00000000-0005-0000-0000-00009D5C0000}"/>
    <cellStyle name="Normal 2 2 4 29 4 3" xfId="23710" xr:uid="{00000000-0005-0000-0000-00009E5C0000}"/>
    <cellStyle name="Normal 2 2 4 29 4 4" xfId="23711" xr:uid="{00000000-0005-0000-0000-00009F5C0000}"/>
    <cellStyle name="Normal 2 2 4 29 4 5" xfId="23712" xr:uid="{00000000-0005-0000-0000-0000A05C0000}"/>
    <cellStyle name="Normal 2 2 4 29 4 6" xfId="23713" xr:uid="{00000000-0005-0000-0000-0000A15C0000}"/>
    <cellStyle name="Normal 2 2 4 29 4 7" xfId="23714" xr:uid="{00000000-0005-0000-0000-0000A25C0000}"/>
    <cellStyle name="Normal 2 2 4 29 4 8" xfId="23715" xr:uid="{00000000-0005-0000-0000-0000A35C0000}"/>
    <cellStyle name="Normal 2 2 4 29 4 9" xfId="23716" xr:uid="{00000000-0005-0000-0000-0000A45C0000}"/>
    <cellStyle name="Normal 2 2 4 29 5" xfId="23717" xr:uid="{00000000-0005-0000-0000-0000A55C0000}"/>
    <cellStyle name="Normal 2 2 4 29 5 10" xfId="23718" xr:uid="{00000000-0005-0000-0000-0000A65C0000}"/>
    <cellStyle name="Normal 2 2 4 29 5 2" xfId="23719" xr:uid="{00000000-0005-0000-0000-0000A75C0000}"/>
    <cellStyle name="Normal 2 2 4 29 5 3" xfId="23720" xr:uid="{00000000-0005-0000-0000-0000A85C0000}"/>
    <cellStyle name="Normal 2 2 4 29 5 4" xfId="23721" xr:uid="{00000000-0005-0000-0000-0000A95C0000}"/>
    <cellStyle name="Normal 2 2 4 29 5 5" xfId="23722" xr:uid="{00000000-0005-0000-0000-0000AA5C0000}"/>
    <cellStyle name="Normal 2 2 4 29 5 6" xfId="23723" xr:uid="{00000000-0005-0000-0000-0000AB5C0000}"/>
    <cellStyle name="Normal 2 2 4 29 5 7" xfId="23724" xr:uid="{00000000-0005-0000-0000-0000AC5C0000}"/>
    <cellStyle name="Normal 2 2 4 29 5 8" xfId="23725" xr:uid="{00000000-0005-0000-0000-0000AD5C0000}"/>
    <cellStyle name="Normal 2 2 4 29 5 9" xfId="23726" xr:uid="{00000000-0005-0000-0000-0000AE5C0000}"/>
    <cellStyle name="Normal 2 2 4 29 6" xfId="23727" xr:uid="{00000000-0005-0000-0000-0000AF5C0000}"/>
    <cellStyle name="Normal 2 2 4 29 7" xfId="23728" xr:uid="{00000000-0005-0000-0000-0000B05C0000}"/>
    <cellStyle name="Normal 2 2 4 29 8" xfId="23729" xr:uid="{00000000-0005-0000-0000-0000B15C0000}"/>
    <cellStyle name="Normal 2 2 4 29 9" xfId="23730" xr:uid="{00000000-0005-0000-0000-0000B25C0000}"/>
    <cellStyle name="Normal 2 2 4 3" xfId="23731" xr:uid="{00000000-0005-0000-0000-0000B35C0000}"/>
    <cellStyle name="Normal 2 2 4 3 10" xfId="23732" xr:uid="{00000000-0005-0000-0000-0000B45C0000}"/>
    <cellStyle name="Normal 2 2 4 3 11" xfId="23733" xr:uid="{00000000-0005-0000-0000-0000B55C0000}"/>
    <cellStyle name="Normal 2 2 4 3 12" xfId="23734" xr:uid="{00000000-0005-0000-0000-0000B65C0000}"/>
    <cellStyle name="Normal 2 2 4 3 13" xfId="23735" xr:uid="{00000000-0005-0000-0000-0000B75C0000}"/>
    <cellStyle name="Normal 2 2 4 3 14" xfId="23736" xr:uid="{00000000-0005-0000-0000-0000B85C0000}"/>
    <cellStyle name="Normal 2 2 4 3 2" xfId="23737" xr:uid="{00000000-0005-0000-0000-0000B95C0000}"/>
    <cellStyle name="Normal 2 2 4 3 2 10" xfId="23738" xr:uid="{00000000-0005-0000-0000-0000BA5C0000}"/>
    <cellStyle name="Normal 2 2 4 3 2 2" xfId="23739" xr:uid="{00000000-0005-0000-0000-0000BB5C0000}"/>
    <cellStyle name="Normal 2 2 4 3 2 3" xfId="23740" xr:uid="{00000000-0005-0000-0000-0000BC5C0000}"/>
    <cellStyle name="Normal 2 2 4 3 2 4" xfId="23741" xr:uid="{00000000-0005-0000-0000-0000BD5C0000}"/>
    <cellStyle name="Normal 2 2 4 3 2 5" xfId="23742" xr:uid="{00000000-0005-0000-0000-0000BE5C0000}"/>
    <cellStyle name="Normal 2 2 4 3 2 6" xfId="23743" xr:uid="{00000000-0005-0000-0000-0000BF5C0000}"/>
    <cellStyle name="Normal 2 2 4 3 2 7" xfId="23744" xr:uid="{00000000-0005-0000-0000-0000C05C0000}"/>
    <cellStyle name="Normal 2 2 4 3 2 8" xfId="23745" xr:uid="{00000000-0005-0000-0000-0000C15C0000}"/>
    <cellStyle name="Normal 2 2 4 3 2 9" xfId="23746" xr:uid="{00000000-0005-0000-0000-0000C25C0000}"/>
    <cellStyle name="Normal 2 2 4 3 3" xfId="23747" xr:uid="{00000000-0005-0000-0000-0000C35C0000}"/>
    <cellStyle name="Normal 2 2 4 3 3 10" xfId="23748" xr:uid="{00000000-0005-0000-0000-0000C45C0000}"/>
    <cellStyle name="Normal 2 2 4 3 3 2" xfId="23749" xr:uid="{00000000-0005-0000-0000-0000C55C0000}"/>
    <cellStyle name="Normal 2 2 4 3 3 3" xfId="23750" xr:uid="{00000000-0005-0000-0000-0000C65C0000}"/>
    <cellStyle name="Normal 2 2 4 3 3 4" xfId="23751" xr:uid="{00000000-0005-0000-0000-0000C75C0000}"/>
    <cellStyle name="Normal 2 2 4 3 3 5" xfId="23752" xr:uid="{00000000-0005-0000-0000-0000C85C0000}"/>
    <cellStyle name="Normal 2 2 4 3 3 6" xfId="23753" xr:uid="{00000000-0005-0000-0000-0000C95C0000}"/>
    <cellStyle name="Normal 2 2 4 3 3 7" xfId="23754" xr:uid="{00000000-0005-0000-0000-0000CA5C0000}"/>
    <cellStyle name="Normal 2 2 4 3 3 8" xfId="23755" xr:uid="{00000000-0005-0000-0000-0000CB5C0000}"/>
    <cellStyle name="Normal 2 2 4 3 3 9" xfId="23756" xr:uid="{00000000-0005-0000-0000-0000CC5C0000}"/>
    <cellStyle name="Normal 2 2 4 3 4" xfId="23757" xr:uid="{00000000-0005-0000-0000-0000CD5C0000}"/>
    <cellStyle name="Normal 2 2 4 3 4 10" xfId="23758" xr:uid="{00000000-0005-0000-0000-0000CE5C0000}"/>
    <cellStyle name="Normal 2 2 4 3 4 2" xfId="23759" xr:uid="{00000000-0005-0000-0000-0000CF5C0000}"/>
    <cellStyle name="Normal 2 2 4 3 4 3" xfId="23760" xr:uid="{00000000-0005-0000-0000-0000D05C0000}"/>
    <cellStyle name="Normal 2 2 4 3 4 4" xfId="23761" xr:uid="{00000000-0005-0000-0000-0000D15C0000}"/>
    <cellStyle name="Normal 2 2 4 3 4 5" xfId="23762" xr:uid="{00000000-0005-0000-0000-0000D25C0000}"/>
    <cellStyle name="Normal 2 2 4 3 4 6" xfId="23763" xr:uid="{00000000-0005-0000-0000-0000D35C0000}"/>
    <cellStyle name="Normal 2 2 4 3 4 7" xfId="23764" xr:uid="{00000000-0005-0000-0000-0000D45C0000}"/>
    <cellStyle name="Normal 2 2 4 3 4 8" xfId="23765" xr:uid="{00000000-0005-0000-0000-0000D55C0000}"/>
    <cellStyle name="Normal 2 2 4 3 4 9" xfId="23766" xr:uid="{00000000-0005-0000-0000-0000D65C0000}"/>
    <cellStyle name="Normal 2 2 4 3 5" xfId="23767" xr:uid="{00000000-0005-0000-0000-0000D75C0000}"/>
    <cellStyle name="Normal 2 2 4 3 5 10" xfId="23768" xr:uid="{00000000-0005-0000-0000-0000D85C0000}"/>
    <cellStyle name="Normal 2 2 4 3 5 2" xfId="23769" xr:uid="{00000000-0005-0000-0000-0000D95C0000}"/>
    <cellStyle name="Normal 2 2 4 3 5 3" xfId="23770" xr:uid="{00000000-0005-0000-0000-0000DA5C0000}"/>
    <cellStyle name="Normal 2 2 4 3 5 4" xfId="23771" xr:uid="{00000000-0005-0000-0000-0000DB5C0000}"/>
    <cellStyle name="Normal 2 2 4 3 5 5" xfId="23772" xr:uid="{00000000-0005-0000-0000-0000DC5C0000}"/>
    <cellStyle name="Normal 2 2 4 3 5 6" xfId="23773" xr:uid="{00000000-0005-0000-0000-0000DD5C0000}"/>
    <cellStyle name="Normal 2 2 4 3 5 7" xfId="23774" xr:uid="{00000000-0005-0000-0000-0000DE5C0000}"/>
    <cellStyle name="Normal 2 2 4 3 5 8" xfId="23775" xr:uid="{00000000-0005-0000-0000-0000DF5C0000}"/>
    <cellStyle name="Normal 2 2 4 3 5 9" xfId="23776" xr:uid="{00000000-0005-0000-0000-0000E05C0000}"/>
    <cellStyle name="Normal 2 2 4 3 6" xfId="23777" xr:uid="{00000000-0005-0000-0000-0000E15C0000}"/>
    <cellStyle name="Normal 2 2 4 3 7" xfId="23778" xr:uid="{00000000-0005-0000-0000-0000E25C0000}"/>
    <cellStyle name="Normal 2 2 4 3 8" xfId="23779" xr:uid="{00000000-0005-0000-0000-0000E35C0000}"/>
    <cellStyle name="Normal 2 2 4 3 9" xfId="23780" xr:uid="{00000000-0005-0000-0000-0000E45C0000}"/>
    <cellStyle name="Normal 2 2 4 30" xfId="23781" xr:uid="{00000000-0005-0000-0000-0000E55C0000}"/>
    <cellStyle name="Normal 2 2 4 30 10" xfId="23782" xr:uid="{00000000-0005-0000-0000-0000E65C0000}"/>
    <cellStyle name="Normal 2 2 4 30 11" xfId="23783" xr:uid="{00000000-0005-0000-0000-0000E75C0000}"/>
    <cellStyle name="Normal 2 2 4 30 12" xfId="23784" xr:uid="{00000000-0005-0000-0000-0000E85C0000}"/>
    <cellStyle name="Normal 2 2 4 30 13" xfId="23785" xr:uid="{00000000-0005-0000-0000-0000E95C0000}"/>
    <cellStyle name="Normal 2 2 4 30 14" xfId="23786" xr:uid="{00000000-0005-0000-0000-0000EA5C0000}"/>
    <cellStyle name="Normal 2 2 4 30 2" xfId="23787" xr:uid="{00000000-0005-0000-0000-0000EB5C0000}"/>
    <cellStyle name="Normal 2 2 4 30 2 10" xfId="23788" xr:uid="{00000000-0005-0000-0000-0000EC5C0000}"/>
    <cellStyle name="Normal 2 2 4 30 2 2" xfId="23789" xr:uid="{00000000-0005-0000-0000-0000ED5C0000}"/>
    <cellStyle name="Normal 2 2 4 30 2 3" xfId="23790" xr:uid="{00000000-0005-0000-0000-0000EE5C0000}"/>
    <cellStyle name="Normal 2 2 4 30 2 4" xfId="23791" xr:uid="{00000000-0005-0000-0000-0000EF5C0000}"/>
    <cellStyle name="Normal 2 2 4 30 2 5" xfId="23792" xr:uid="{00000000-0005-0000-0000-0000F05C0000}"/>
    <cellStyle name="Normal 2 2 4 30 2 6" xfId="23793" xr:uid="{00000000-0005-0000-0000-0000F15C0000}"/>
    <cellStyle name="Normal 2 2 4 30 2 7" xfId="23794" xr:uid="{00000000-0005-0000-0000-0000F25C0000}"/>
    <cellStyle name="Normal 2 2 4 30 2 8" xfId="23795" xr:uid="{00000000-0005-0000-0000-0000F35C0000}"/>
    <cellStyle name="Normal 2 2 4 30 2 9" xfId="23796" xr:uid="{00000000-0005-0000-0000-0000F45C0000}"/>
    <cellStyle name="Normal 2 2 4 30 3" xfId="23797" xr:uid="{00000000-0005-0000-0000-0000F55C0000}"/>
    <cellStyle name="Normal 2 2 4 30 3 10" xfId="23798" xr:uid="{00000000-0005-0000-0000-0000F65C0000}"/>
    <cellStyle name="Normal 2 2 4 30 3 2" xfId="23799" xr:uid="{00000000-0005-0000-0000-0000F75C0000}"/>
    <cellStyle name="Normal 2 2 4 30 3 3" xfId="23800" xr:uid="{00000000-0005-0000-0000-0000F85C0000}"/>
    <cellStyle name="Normal 2 2 4 30 3 4" xfId="23801" xr:uid="{00000000-0005-0000-0000-0000F95C0000}"/>
    <cellStyle name="Normal 2 2 4 30 3 5" xfId="23802" xr:uid="{00000000-0005-0000-0000-0000FA5C0000}"/>
    <cellStyle name="Normal 2 2 4 30 3 6" xfId="23803" xr:uid="{00000000-0005-0000-0000-0000FB5C0000}"/>
    <cellStyle name="Normal 2 2 4 30 3 7" xfId="23804" xr:uid="{00000000-0005-0000-0000-0000FC5C0000}"/>
    <cellStyle name="Normal 2 2 4 30 3 8" xfId="23805" xr:uid="{00000000-0005-0000-0000-0000FD5C0000}"/>
    <cellStyle name="Normal 2 2 4 30 3 9" xfId="23806" xr:uid="{00000000-0005-0000-0000-0000FE5C0000}"/>
    <cellStyle name="Normal 2 2 4 30 4" xfId="23807" xr:uid="{00000000-0005-0000-0000-0000FF5C0000}"/>
    <cellStyle name="Normal 2 2 4 30 4 10" xfId="23808" xr:uid="{00000000-0005-0000-0000-0000005D0000}"/>
    <cellStyle name="Normal 2 2 4 30 4 2" xfId="23809" xr:uid="{00000000-0005-0000-0000-0000015D0000}"/>
    <cellStyle name="Normal 2 2 4 30 4 3" xfId="23810" xr:uid="{00000000-0005-0000-0000-0000025D0000}"/>
    <cellStyle name="Normal 2 2 4 30 4 4" xfId="23811" xr:uid="{00000000-0005-0000-0000-0000035D0000}"/>
    <cellStyle name="Normal 2 2 4 30 4 5" xfId="23812" xr:uid="{00000000-0005-0000-0000-0000045D0000}"/>
    <cellStyle name="Normal 2 2 4 30 4 6" xfId="23813" xr:uid="{00000000-0005-0000-0000-0000055D0000}"/>
    <cellStyle name="Normal 2 2 4 30 4 7" xfId="23814" xr:uid="{00000000-0005-0000-0000-0000065D0000}"/>
    <cellStyle name="Normal 2 2 4 30 4 8" xfId="23815" xr:uid="{00000000-0005-0000-0000-0000075D0000}"/>
    <cellStyle name="Normal 2 2 4 30 4 9" xfId="23816" xr:uid="{00000000-0005-0000-0000-0000085D0000}"/>
    <cellStyle name="Normal 2 2 4 30 5" xfId="23817" xr:uid="{00000000-0005-0000-0000-0000095D0000}"/>
    <cellStyle name="Normal 2 2 4 30 5 10" xfId="23818" xr:uid="{00000000-0005-0000-0000-00000A5D0000}"/>
    <cellStyle name="Normal 2 2 4 30 5 2" xfId="23819" xr:uid="{00000000-0005-0000-0000-00000B5D0000}"/>
    <cellStyle name="Normal 2 2 4 30 5 3" xfId="23820" xr:uid="{00000000-0005-0000-0000-00000C5D0000}"/>
    <cellStyle name="Normal 2 2 4 30 5 4" xfId="23821" xr:uid="{00000000-0005-0000-0000-00000D5D0000}"/>
    <cellStyle name="Normal 2 2 4 30 5 5" xfId="23822" xr:uid="{00000000-0005-0000-0000-00000E5D0000}"/>
    <cellStyle name="Normal 2 2 4 30 5 6" xfId="23823" xr:uid="{00000000-0005-0000-0000-00000F5D0000}"/>
    <cellStyle name="Normal 2 2 4 30 5 7" xfId="23824" xr:uid="{00000000-0005-0000-0000-0000105D0000}"/>
    <cellStyle name="Normal 2 2 4 30 5 8" xfId="23825" xr:uid="{00000000-0005-0000-0000-0000115D0000}"/>
    <cellStyle name="Normal 2 2 4 30 5 9" xfId="23826" xr:uid="{00000000-0005-0000-0000-0000125D0000}"/>
    <cellStyle name="Normal 2 2 4 30 6" xfId="23827" xr:uid="{00000000-0005-0000-0000-0000135D0000}"/>
    <cellStyle name="Normal 2 2 4 30 7" xfId="23828" xr:uid="{00000000-0005-0000-0000-0000145D0000}"/>
    <cellStyle name="Normal 2 2 4 30 8" xfId="23829" xr:uid="{00000000-0005-0000-0000-0000155D0000}"/>
    <cellStyle name="Normal 2 2 4 30 9" xfId="23830" xr:uid="{00000000-0005-0000-0000-0000165D0000}"/>
    <cellStyle name="Normal 2 2 4 31" xfId="23831" xr:uid="{00000000-0005-0000-0000-0000175D0000}"/>
    <cellStyle name="Normal 2 2 4 31 10" xfId="23832" xr:uid="{00000000-0005-0000-0000-0000185D0000}"/>
    <cellStyle name="Normal 2 2 4 31 11" xfId="23833" xr:uid="{00000000-0005-0000-0000-0000195D0000}"/>
    <cellStyle name="Normal 2 2 4 31 12" xfId="23834" xr:uid="{00000000-0005-0000-0000-00001A5D0000}"/>
    <cellStyle name="Normal 2 2 4 31 13" xfId="23835" xr:uid="{00000000-0005-0000-0000-00001B5D0000}"/>
    <cellStyle name="Normal 2 2 4 31 14" xfId="23836" xr:uid="{00000000-0005-0000-0000-00001C5D0000}"/>
    <cellStyle name="Normal 2 2 4 31 2" xfId="23837" xr:uid="{00000000-0005-0000-0000-00001D5D0000}"/>
    <cellStyle name="Normal 2 2 4 31 2 10" xfId="23838" xr:uid="{00000000-0005-0000-0000-00001E5D0000}"/>
    <cellStyle name="Normal 2 2 4 31 2 2" xfId="23839" xr:uid="{00000000-0005-0000-0000-00001F5D0000}"/>
    <cellStyle name="Normal 2 2 4 31 2 3" xfId="23840" xr:uid="{00000000-0005-0000-0000-0000205D0000}"/>
    <cellStyle name="Normal 2 2 4 31 2 4" xfId="23841" xr:uid="{00000000-0005-0000-0000-0000215D0000}"/>
    <cellStyle name="Normal 2 2 4 31 2 5" xfId="23842" xr:uid="{00000000-0005-0000-0000-0000225D0000}"/>
    <cellStyle name="Normal 2 2 4 31 2 6" xfId="23843" xr:uid="{00000000-0005-0000-0000-0000235D0000}"/>
    <cellStyle name="Normal 2 2 4 31 2 7" xfId="23844" xr:uid="{00000000-0005-0000-0000-0000245D0000}"/>
    <cellStyle name="Normal 2 2 4 31 2 8" xfId="23845" xr:uid="{00000000-0005-0000-0000-0000255D0000}"/>
    <cellStyle name="Normal 2 2 4 31 2 9" xfId="23846" xr:uid="{00000000-0005-0000-0000-0000265D0000}"/>
    <cellStyle name="Normal 2 2 4 31 3" xfId="23847" xr:uid="{00000000-0005-0000-0000-0000275D0000}"/>
    <cellStyle name="Normal 2 2 4 31 3 10" xfId="23848" xr:uid="{00000000-0005-0000-0000-0000285D0000}"/>
    <cellStyle name="Normal 2 2 4 31 3 2" xfId="23849" xr:uid="{00000000-0005-0000-0000-0000295D0000}"/>
    <cellStyle name="Normal 2 2 4 31 3 3" xfId="23850" xr:uid="{00000000-0005-0000-0000-00002A5D0000}"/>
    <cellStyle name="Normal 2 2 4 31 3 4" xfId="23851" xr:uid="{00000000-0005-0000-0000-00002B5D0000}"/>
    <cellStyle name="Normal 2 2 4 31 3 5" xfId="23852" xr:uid="{00000000-0005-0000-0000-00002C5D0000}"/>
    <cellStyle name="Normal 2 2 4 31 3 6" xfId="23853" xr:uid="{00000000-0005-0000-0000-00002D5D0000}"/>
    <cellStyle name="Normal 2 2 4 31 3 7" xfId="23854" xr:uid="{00000000-0005-0000-0000-00002E5D0000}"/>
    <cellStyle name="Normal 2 2 4 31 3 8" xfId="23855" xr:uid="{00000000-0005-0000-0000-00002F5D0000}"/>
    <cellStyle name="Normal 2 2 4 31 3 9" xfId="23856" xr:uid="{00000000-0005-0000-0000-0000305D0000}"/>
    <cellStyle name="Normal 2 2 4 31 4" xfId="23857" xr:uid="{00000000-0005-0000-0000-0000315D0000}"/>
    <cellStyle name="Normal 2 2 4 31 4 10" xfId="23858" xr:uid="{00000000-0005-0000-0000-0000325D0000}"/>
    <cellStyle name="Normal 2 2 4 31 4 2" xfId="23859" xr:uid="{00000000-0005-0000-0000-0000335D0000}"/>
    <cellStyle name="Normal 2 2 4 31 4 3" xfId="23860" xr:uid="{00000000-0005-0000-0000-0000345D0000}"/>
    <cellStyle name="Normal 2 2 4 31 4 4" xfId="23861" xr:uid="{00000000-0005-0000-0000-0000355D0000}"/>
    <cellStyle name="Normal 2 2 4 31 4 5" xfId="23862" xr:uid="{00000000-0005-0000-0000-0000365D0000}"/>
    <cellStyle name="Normal 2 2 4 31 4 6" xfId="23863" xr:uid="{00000000-0005-0000-0000-0000375D0000}"/>
    <cellStyle name="Normal 2 2 4 31 4 7" xfId="23864" xr:uid="{00000000-0005-0000-0000-0000385D0000}"/>
    <cellStyle name="Normal 2 2 4 31 4 8" xfId="23865" xr:uid="{00000000-0005-0000-0000-0000395D0000}"/>
    <cellStyle name="Normal 2 2 4 31 4 9" xfId="23866" xr:uid="{00000000-0005-0000-0000-00003A5D0000}"/>
    <cellStyle name="Normal 2 2 4 31 5" xfId="23867" xr:uid="{00000000-0005-0000-0000-00003B5D0000}"/>
    <cellStyle name="Normal 2 2 4 31 5 10" xfId="23868" xr:uid="{00000000-0005-0000-0000-00003C5D0000}"/>
    <cellStyle name="Normal 2 2 4 31 5 2" xfId="23869" xr:uid="{00000000-0005-0000-0000-00003D5D0000}"/>
    <cellStyle name="Normal 2 2 4 31 5 3" xfId="23870" xr:uid="{00000000-0005-0000-0000-00003E5D0000}"/>
    <cellStyle name="Normal 2 2 4 31 5 4" xfId="23871" xr:uid="{00000000-0005-0000-0000-00003F5D0000}"/>
    <cellStyle name="Normal 2 2 4 31 5 5" xfId="23872" xr:uid="{00000000-0005-0000-0000-0000405D0000}"/>
    <cellStyle name="Normal 2 2 4 31 5 6" xfId="23873" xr:uid="{00000000-0005-0000-0000-0000415D0000}"/>
    <cellStyle name="Normal 2 2 4 31 5 7" xfId="23874" xr:uid="{00000000-0005-0000-0000-0000425D0000}"/>
    <cellStyle name="Normal 2 2 4 31 5 8" xfId="23875" xr:uid="{00000000-0005-0000-0000-0000435D0000}"/>
    <cellStyle name="Normal 2 2 4 31 5 9" xfId="23876" xr:uid="{00000000-0005-0000-0000-0000445D0000}"/>
    <cellStyle name="Normal 2 2 4 31 6" xfId="23877" xr:uid="{00000000-0005-0000-0000-0000455D0000}"/>
    <cellStyle name="Normal 2 2 4 31 7" xfId="23878" xr:uid="{00000000-0005-0000-0000-0000465D0000}"/>
    <cellStyle name="Normal 2 2 4 31 8" xfId="23879" xr:uid="{00000000-0005-0000-0000-0000475D0000}"/>
    <cellStyle name="Normal 2 2 4 31 9" xfId="23880" xr:uid="{00000000-0005-0000-0000-0000485D0000}"/>
    <cellStyle name="Normal 2 2 4 32" xfId="23881" xr:uid="{00000000-0005-0000-0000-0000495D0000}"/>
    <cellStyle name="Normal 2 2 4 32 10" xfId="23882" xr:uid="{00000000-0005-0000-0000-00004A5D0000}"/>
    <cellStyle name="Normal 2 2 4 32 11" xfId="23883" xr:uid="{00000000-0005-0000-0000-00004B5D0000}"/>
    <cellStyle name="Normal 2 2 4 32 12" xfId="23884" xr:uid="{00000000-0005-0000-0000-00004C5D0000}"/>
    <cellStyle name="Normal 2 2 4 32 13" xfId="23885" xr:uid="{00000000-0005-0000-0000-00004D5D0000}"/>
    <cellStyle name="Normal 2 2 4 32 14" xfId="23886" xr:uid="{00000000-0005-0000-0000-00004E5D0000}"/>
    <cellStyle name="Normal 2 2 4 32 2" xfId="23887" xr:uid="{00000000-0005-0000-0000-00004F5D0000}"/>
    <cellStyle name="Normal 2 2 4 32 2 10" xfId="23888" xr:uid="{00000000-0005-0000-0000-0000505D0000}"/>
    <cellStyle name="Normal 2 2 4 32 2 2" xfId="23889" xr:uid="{00000000-0005-0000-0000-0000515D0000}"/>
    <cellStyle name="Normal 2 2 4 32 2 3" xfId="23890" xr:uid="{00000000-0005-0000-0000-0000525D0000}"/>
    <cellStyle name="Normal 2 2 4 32 2 4" xfId="23891" xr:uid="{00000000-0005-0000-0000-0000535D0000}"/>
    <cellStyle name="Normal 2 2 4 32 2 5" xfId="23892" xr:uid="{00000000-0005-0000-0000-0000545D0000}"/>
    <cellStyle name="Normal 2 2 4 32 2 6" xfId="23893" xr:uid="{00000000-0005-0000-0000-0000555D0000}"/>
    <cellStyle name="Normal 2 2 4 32 2 7" xfId="23894" xr:uid="{00000000-0005-0000-0000-0000565D0000}"/>
    <cellStyle name="Normal 2 2 4 32 2 8" xfId="23895" xr:uid="{00000000-0005-0000-0000-0000575D0000}"/>
    <cellStyle name="Normal 2 2 4 32 2 9" xfId="23896" xr:uid="{00000000-0005-0000-0000-0000585D0000}"/>
    <cellStyle name="Normal 2 2 4 32 3" xfId="23897" xr:uid="{00000000-0005-0000-0000-0000595D0000}"/>
    <cellStyle name="Normal 2 2 4 32 3 10" xfId="23898" xr:uid="{00000000-0005-0000-0000-00005A5D0000}"/>
    <cellStyle name="Normal 2 2 4 32 3 2" xfId="23899" xr:uid="{00000000-0005-0000-0000-00005B5D0000}"/>
    <cellStyle name="Normal 2 2 4 32 3 3" xfId="23900" xr:uid="{00000000-0005-0000-0000-00005C5D0000}"/>
    <cellStyle name="Normal 2 2 4 32 3 4" xfId="23901" xr:uid="{00000000-0005-0000-0000-00005D5D0000}"/>
    <cellStyle name="Normal 2 2 4 32 3 5" xfId="23902" xr:uid="{00000000-0005-0000-0000-00005E5D0000}"/>
    <cellStyle name="Normal 2 2 4 32 3 6" xfId="23903" xr:uid="{00000000-0005-0000-0000-00005F5D0000}"/>
    <cellStyle name="Normal 2 2 4 32 3 7" xfId="23904" xr:uid="{00000000-0005-0000-0000-0000605D0000}"/>
    <cellStyle name="Normal 2 2 4 32 3 8" xfId="23905" xr:uid="{00000000-0005-0000-0000-0000615D0000}"/>
    <cellStyle name="Normal 2 2 4 32 3 9" xfId="23906" xr:uid="{00000000-0005-0000-0000-0000625D0000}"/>
    <cellStyle name="Normal 2 2 4 32 4" xfId="23907" xr:uid="{00000000-0005-0000-0000-0000635D0000}"/>
    <cellStyle name="Normal 2 2 4 32 4 10" xfId="23908" xr:uid="{00000000-0005-0000-0000-0000645D0000}"/>
    <cellStyle name="Normal 2 2 4 32 4 2" xfId="23909" xr:uid="{00000000-0005-0000-0000-0000655D0000}"/>
    <cellStyle name="Normal 2 2 4 32 4 3" xfId="23910" xr:uid="{00000000-0005-0000-0000-0000665D0000}"/>
    <cellStyle name="Normal 2 2 4 32 4 4" xfId="23911" xr:uid="{00000000-0005-0000-0000-0000675D0000}"/>
    <cellStyle name="Normal 2 2 4 32 4 5" xfId="23912" xr:uid="{00000000-0005-0000-0000-0000685D0000}"/>
    <cellStyle name="Normal 2 2 4 32 4 6" xfId="23913" xr:uid="{00000000-0005-0000-0000-0000695D0000}"/>
    <cellStyle name="Normal 2 2 4 32 4 7" xfId="23914" xr:uid="{00000000-0005-0000-0000-00006A5D0000}"/>
    <cellStyle name="Normal 2 2 4 32 4 8" xfId="23915" xr:uid="{00000000-0005-0000-0000-00006B5D0000}"/>
    <cellStyle name="Normal 2 2 4 32 4 9" xfId="23916" xr:uid="{00000000-0005-0000-0000-00006C5D0000}"/>
    <cellStyle name="Normal 2 2 4 32 5" xfId="23917" xr:uid="{00000000-0005-0000-0000-00006D5D0000}"/>
    <cellStyle name="Normal 2 2 4 32 5 10" xfId="23918" xr:uid="{00000000-0005-0000-0000-00006E5D0000}"/>
    <cellStyle name="Normal 2 2 4 32 5 2" xfId="23919" xr:uid="{00000000-0005-0000-0000-00006F5D0000}"/>
    <cellStyle name="Normal 2 2 4 32 5 3" xfId="23920" xr:uid="{00000000-0005-0000-0000-0000705D0000}"/>
    <cellStyle name="Normal 2 2 4 32 5 4" xfId="23921" xr:uid="{00000000-0005-0000-0000-0000715D0000}"/>
    <cellStyle name="Normal 2 2 4 32 5 5" xfId="23922" xr:uid="{00000000-0005-0000-0000-0000725D0000}"/>
    <cellStyle name="Normal 2 2 4 32 5 6" xfId="23923" xr:uid="{00000000-0005-0000-0000-0000735D0000}"/>
    <cellStyle name="Normal 2 2 4 32 5 7" xfId="23924" xr:uid="{00000000-0005-0000-0000-0000745D0000}"/>
    <cellStyle name="Normal 2 2 4 32 5 8" xfId="23925" xr:uid="{00000000-0005-0000-0000-0000755D0000}"/>
    <cellStyle name="Normal 2 2 4 32 5 9" xfId="23926" xr:uid="{00000000-0005-0000-0000-0000765D0000}"/>
    <cellStyle name="Normal 2 2 4 32 6" xfId="23927" xr:uid="{00000000-0005-0000-0000-0000775D0000}"/>
    <cellStyle name="Normal 2 2 4 32 7" xfId="23928" xr:uid="{00000000-0005-0000-0000-0000785D0000}"/>
    <cellStyle name="Normal 2 2 4 32 8" xfId="23929" xr:uid="{00000000-0005-0000-0000-0000795D0000}"/>
    <cellStyle name="Normal 2 2 4 32 9" xfId="23930" xr:uid="{00000000-0005-0000-0000-00007A5D0000}"/>
    <cellStyle name="Normal 2 2 4 33" xfId="23931" xr:uid="{00000000-0005-0000-0000-00007B5D0000}"/>
    <cellStyle name="Normal 2 2 4 33 10" xfId="23932" xr:uid="{00000000-0005-0000-0000-00007C5D0000}"/>
    <cellStyle name="Normal 2 2 4 33 11" xfId="23933" xr:uid="{00000000-0005-0000-0000-00007D5D0000}"/>
    <cellStyle name="Normal 2 2 4 33 12" xfId="23934" xr:uid="{00000000-0005-0000-0000-00007E5D0000}"/>
    <cellStyle name="Normal 2 2 4 33 13" xfId="23935" xr:uid="{00000000-0005-0000-0000-00007F5D0000}"/>
    <cellStyle name="Normal 2 2 4 33 14" xfId="23936" xr:uid="{00000000-0005-0000-0000-0000805D0000}"/>
    <cellStyle name="Normal 2 2 4 33 2" xfId="23937" xr:uid="{00000000-0005-0000-0000-0000815D0000}"/>
    <cellStyle name="Normal 2 2 4 33 2 10" xfId="23938" xr:uid="{00000000-0005-0000-0000-0000825D0000}"/>
    <cellStyle name="Normal 2 2 4 33 2 2" xfId="23939" xr:uid="{00000000-0005-0000-0000-0000835D0000}"/>
    <cellStyle name="Normal 2 2 4 33 2 3" xfId="23940" xr:uid="{00000000-0005-0000-0000-0000845D0000}"/>
    <cellStyle name="Normal 2 2 4 33 2 4" xfId="23941" xr:uid="{00000000-0005-0000-0000-0000855D0000}"/>
    <cellStyle name="Normal 2 2 4 33 2 5" xfId="23942" xr:uid="{00000000-0005-0000-0000-0000865D0000}"/>
    <cellStyle name="Normal 2 2 4 33 2 6" xfId="23943" xr:uid="{00000000-0005-0000-0000-0000875D0000}"/>
    <cellStyle name="Normal 2 2 4 33 2 7" xfId="23944" xr:uid="{00000000-0005-0000-0000-0000885D0000}"/>
    <cellStyle name="Normal 2 2 4 33 2 8" xfId="23945" xr:uid="{00000000-0005-0000-0000-0000895D0000}"/>
    <cellStyle name="Normal 2 2 4 33 2 9" xfId="23946" xr:uid="{00000000-0005-0000-0000-00008A5D0000}"/>
    <cellStyle name="Normal 2 2 4 33 3" xfId="23947" xr:uid="{00000000-0005-0000-0000-00008B5D0000}"/>
    <cellStyle name="Normal 2 2 4 33 3 10" xfId="23948" xr:uid="{00000000-0005-0000-0000-00008C5D0000}"/>
    <cellStyle name="Normal 2 2 4 33 3 2" xfId="23949" xr:uid="{00000000-0005-0000-0000-00008D5D0000}"/>
    <cellStyle name="Normal 2 2 4 33 3 3" xfId="23950" xr:uid="{00000000-0005-0000-0000-00008E5D0000}"/>
    <cellStyle name="Normal 2 2 4 33 3 4" xfId="23951" xr:uid="{00000000-0005-0000-0000-00008F5D0000}"/>
    <cellStyle name="Normal 2 2 4 33 3 5" xfId="23952" xr:uid="{00000000-0005-0000-0000-0000905D0000}"/>
    <cellStyle name="Normal 2 2 4 33 3 6" xfId="23953" xr:uid="{00000000-0005-0000-0000-0000915D0000}"/>
    <cellStyle name="Normal 2 2 4 33 3 7" xfId="23954" xr:uid="{00000000-0005-0000-0000-0000925D0000}"/>
    <cellStyle name="Normal 2 2 4 33 3 8" xfId="23955" xr:uid="{00000000-0005-0000-0000-0000935D0000}"/>
    <cellStyle name="Normal 2 2 4 33 3 9" xfId="23956" xr:uid="{00000000-0005-0000-0000-0000945D0000}"/>
    <cellStyle name="Normal 2 2 4 33 4" xfId="23957" xr:uid="{00000000-0005-0000-0000-0000955D0000}"/>
    <cellStyle name="Normal 2 2 4 33 4 10" xfId="23958" xr:uid="{00000000-0005-0000-0000-0000965D0000}"/>
    <cellStyle name="Normal 2 2 4 33 4 2" xfId="23959" xr:uid="{00000000-0005-0000-0000-0000975D0000}"/>
    <cellStyle name="Normal 2 2 4 33 4 3" xfId="23960" xr:uid="{00000000-0005-0000-0000-0000985D0000}"/>
    <cellStyle name="Normal 2 2 4 33 4 4" xfId="23961" xr:uid="{00000000-0005-0000-0000-0000995D0000}"/>
    <cellStyle name="Normal 2 2 4 33 4 5" xfId="23962" xr:uid="{00000000-0005-0000-0000-00009A5D0000}"/>
    <cellStyle name="Normal 2 2 4 33 4 6" xfId="23963" xr:uid="{00000000-0005-0000-0000-00009B5D0000}"/>
    <cellStyle name="Normal 2 2 4 33 4 7" xfId="23964" xr:uid="{00000000-0005-0000-0000-00009C5D0000}"/>
    <cellStyle name="Normal 2 2 4 33 4 8" xfId="23965" xr:uid="{00000000-0005-0000-0000-00009D5D0000}"/>
    <cellStyle name="Normal 2 2 4 33 4 9" xfId="23966" xr:uid="{00000000-0005-0000-0000-00009E5D0000}"/>
    <cellStyle name="Normal 2 2 4 33 5" xfId="23967" xr:uid="{00000000-0005-0000-0000-00009F5D0000}"/>
    <cellStyle name="Normal 2 2 4 33 5 10" xfId="23968" xr:uid="{00000000-0005-0000-0000-0000A05D0000}"/>
    <cellStyle name="Normal 2 2 4 33 5 2" xfId="23969" xr:uid="{00000000-0005-0000-0000-0000A15D0000}"/>
    <cellStyle name="Normal 2 2 4 33 5 3" xfId="23970" xr:uid="{00000000-0005-0000-0000-0000A25D0000}"/>
    <cellStyle name="Normal 2 2 4 33 5 4" xfId="23971" xr:uid="{00000000-0005-0000-0000-0000A35D0000}"/>
    <cellStyle name="Normal 2 2 4 33 5 5" xfId="23972" xr:uid="{00000000-0005-0000-0000-0000A45D0000}"/>
    <cellStyle name="Normal 2 2 4 33 5 6" xfId="23973" xr:uid="{00000000-0005-0000-0000-0000A55D0000}"/>
    <cellStyle name="Normal 2 2 4 33 5 7" xfId="23974" xr:uid="{00000000-0005-0000-0000-0000A65D0000}"/>
    <cellStyle name="Normal 2 2 4 33 5 8" xfId="23975" xr:uid="{00000000-0005-0000-0000-0000A75D0000}"/>
    <cellStyle name="Normal 2 2 4 33 5 9" xfId="23976" xr:uid="{00000000-0005-0000-0000-0000A85D0000}"/>
    <cellStyle name="Normal 2 2 4 33 6" xfId="23977" xr:uid="{00000000-0005-0000-0000-0000A95D0000}"/>
    <cellStyle name="Normal 2 2 4 33 7" xfId="23978" xr:uid="{00000000-0005-0000-0000-0000AA5D0000}"/>
    <cellStyle name="Normal 2 2 4 33 8" xfId="23979" xr:uid="{00000000-0005-0000-0000-0000AB5D0000}"/>
    <cellStyle name="Normal 2 2 4 33 9" xfId="23980" xr:uid="{00000000-0005-0000-0000-0000AC5D0000}"/>
    <cellStyle name="Normal 2 2 4 34" xfId="23981" xr:uid="{00000000-0005-0000-0000-0000AD5D0000}"/>
    <cellStyle name="Normal 2 2 4 35" xfId="23982" xr:uid="{00000000-0005-0000-0000-0000AE5D0000}"/>
    <cellStyle name="Normal 2 2 4 36" xfId="23983" xr:uid="{00000000-0005-0000-0000-0000AF5D0000}"/>
    <cellStyle name="Normal 2 2 4 4" xfId="23984" xr:uid="{00000000-0005-0000-0000-0000B05D0000}"/>
    <cellStyle name="Normal 2 2 4 4 10" xfId="23985" xr:uid="{00000000-0005-0000-0000-0000B15D0000}"/>
    <cellStyle name="Normal 2 2 4 4 11" xfId="23986" xr:uid="{00000000-0005-0000-0000-0000B25D0000}"/>
    <cellStyle name="Normal 2 2 4 4 12" xfId="23987" xr:uid="{00000000-0005-0000-0000-0000B35D0000}"/>
    <cellStyle name="Normal 2 2 4 4 13" xfId="23988" xr:uid="{00000000-0005-0000-0000-0000B45D0000}"/>
    <cellStyle name="Normal 2 2 4 4 14" xfId="23989" xr:uid="{00000000-0005-0000-0000-0000B55D0000}"/>
    <cellStyle name="Normal 2 2 4 4 2" xfId="23990" xr:uid="{00000000-0005-0000-0000-0000B65D0000}"/>
    <cellStyle name="Normal 2 2 4 4 2 10" xfId="23991" xr:uid="{00000000-0005-0000-0000-0000B75D0000}"/>
    <cellStyle name="Normal 2 2 4 4 2 2" xfId="23992" xr:uid="{00000000-0005-0000-0000-0000B85D0000}"/>
    <cellStyle name="Normal 2 2 4 4 2 3" xfId="23993" xr:uid="{00000000-0005-0000-0000-0000B95D0000}"/>
    <cellStyle name="Normal 2 2 4 4 2 4" xfId="23994" xr:uid="{00000000-0005-0000-0000-0000BA5D0000}"/>
    <cellStyle name="Normal 2 2 4 4 2 5" xfId="23995" xr:uid="{00000000-0005-0000-0000-0000BB5D0000}"/>
    <cellStyle name="Normal 2 2 4 4 2 6" xfId="23996" xr:uid="{00000000-0005-0000-0000-0000BC5D0000}"/>
    <cellStyle name="Normal 2 2 4 4 2 7" xfId="23997" xr:uid="{00000000-0005-0000-0000-0000BD5D0000}"/>
    <cellStyle name="Normal 2 2 4 4 2 8" xfId="23998" xr:uid="{00000000-0005-0000-0000-0000BE5D0000}"/>
    <cellStyle name="Normal 2 2 4 4 2 9" xfId="23999" xr:uid="{00000000-0005-0000-0000-0000BF5D0000}"/>
    <cellStyle name="Normal 2 2 4 4 3" xfId="24000" xr:uid="{00000000-0005-0000-0000-0000C05D0000}"/>
    <cellStyle name="Normal 2 2 4 4 3 10" xfId="24001" xr:uid="{00000000-0005-0000-0000-0000C15D0000}"/>
    <cellStyle name="Normal 2 2 4 4 3 2" xfId="24002" xr:uid="{00000000-0005-0000-0000-0000C25D0000}"/>
    <cellStyle name="Normal 2 2 4 4 3 3" xfId="24003" xr:uid="{00000000-0005-0000-0000-0000C35D0000}"/>
    <cellStyle name="Normal 2 2 4 4 3 4" xfId="24004" xr:uid="{00000000-0005-0000-0000-0000C45D0000}"/>
    <cellStyle name="Normal 2 2 4 4 3 5" xfId="24005" xr:uid="{00000000-0005-0000-0000-0000C55D0000}"/>
    <cellStyle name="Normal 2 2 4 4 3 6" xfId="24006" xr:uid="{00000000-0005-0000-0000-0000C65D0000}"/>
    <cellStyle name="Normal 2 2 4 4 3 7" xfId="24007" xr:uid="{00000000-0005-0000-0000-0000C75D0000}"/>
    <cellStyle name="Normal 2 2 4 4 3 8" xfId="24008" xr:uid="{00000000-0005-0000-0000-0000C85D0000}"/>
    <cellStyle name="Normal 2 2 4 4 3 9" xfId="24009" xr:uid="{00000000-0005-0000-0000-0000C95D0000}"/>
    <cellStyle name="Normal 2 2 4 4 4" xfId="24010" xr:uid="{00000000-0005-0000-0000-0000CA5D0000}"/>
    <cellStyle name="Normal 2 2 4 4 4 10" xfId="24011" xr:uid="{00000000-0005-0000-0000-0000CB5D0000}"/>
    <cellStyle name="Normal 2 2 4 4 4 2" xfId="24012" xr:uid="{00000000-0005-0000-0000-0000CC5D0000}"/>
    <cellStyle name="Normal 2 2 4 4 4 3" xfId="24013" xr:uid="{00000000-0005-0000-0000-0000CD5D0000}"/>
    <cellStyle name="Normal 2 2 4 4 4 4" xfId="24014" xr:uid="{00000000-0005-0000-0000-0000CE5D0000}"/>
    <cellStyle name="Normal 2 2 4 4 4 5" xfId="24015" xr:uid="{00000000-0005-0000-0000-0000CF5D0000}"/>
    <cellStyle name="Normal 2 2 4 4 4 6" xfId="24016" xr:uid="{00000000-0005-0000-0000-0000D05D0000}"/>
    <cellStyle name="Normal 2 2 4 4 4 7" xfId="24017" xr:uid="{00000000-0005-0000-0000-0000D15D0000}"/>
    <cellStyle name="Normal 2 2 4 4 4 8" xfId="24018" xr:uid="{00000000-0005-0000-0000-0000D25D0000}"/>
    <cellStyle name="Normal 2 2 4 4 4 9" xfId="24019" xr:uid="{00000000-0005-0000-0000-0000D35D0000}"/>
    <cellStyle name="Normal 2 2 4 4 5" xfId="24020" xr:uid="{00000000-0005-0000-0000-0000D45D0000}"/>
    <cellStyle name="Normal 2 2 4 4 5 10" xfId="24021" xr:uid="{00000000-0005-0000-0000-0000D55D0000}"/>
    <cellStyle name="Normal 2 2 4 4 5 2" xfId="24022" xr:uid="{00000000-0005-0000-0000-0000D65D0000}"/>
    <cellStyle name="Normal 2 2 4 4 5 3" xfId="24023" xr:uid="{00000000-0005-0000-0000-0000D75D0000}"/>
    <cellStyle name="Normal 2 2 4 4 5 4" xfId="24024" xr:uid="{00000000-0005-0000-0000-0000D85D0000}"/>
    <cellStyle name="Normal 2 2 4 4 5 5" xfId="24025" xr:uid="{00000000-0005-0000-0000-0000D95D0000}"/>
    <cellStyle name="Normal 2 2 4 4 5 6" xfId="24026" xr:uid="{00000000-0005-0000-0000-0000DA5D0000}"/>
    <cellStyle name="Normal 2 2 4 4 5 7" xfId="24027" xr:uid="{00000000-0005-0000-0000-0000DB5D0000}"/>
    <cellStyle name="Normal 2 2 4 4 5 8" xfId="24028" xr:uid="{00000000-0005-0000-0000-0000DC5D0000}"/>
    <cellStyle name="Normal 2 2 4 4 5 9" xfId="24029" xr:uid="{00000000-0005-0000-0000-0000DD5D0000}"/>
    <cellStyle name="Normal 2 2 4 4 6" xfId="24030" xr:uid="{00000000-0005-0000-0000-0000DE5D0000}"/>
    <cellStyle name="Normal 2 2 4 4 7" xfId="24031" xr:uid="{00000000-0005-0000-0000-0000DF5D0000}"/>
    <cellStyle name="Normal 2 2 4 4 8" xfId="24032" xr:uid="{00000000-0005-0000-0000-0000E05D0000}"/>
    <cellStyle name="Normal 2 2 4 4 9" xfId="24033" xr:uid="{00000000-0005-0000-0000-0000E15D0000}"/>
    <cellStyle name="Normal 2 2 4 5" xfId="24034" xr:uid="{00000000-0005-0000-0000-0000E25D0000}"/>
    <cellStyle name="Normal 2 2 4 5 10" xfId="24035" xr:uid="{00000000-0005-0000-0000-0000E35D0000}"/>
    <cellStyle name="Normal 2 2 4 5 11" xfId="24036" xr:uid="{00000000-0005-0000-0000-0000E45D0000}"/>
    <cellStyle name="Normal 2 2 4 5 12" xfId="24037" xr:uid="{00000000-0005-0000-0000-0000E55D0000}"/>
    <cellStyle name="Normal 2 2 4 5 13" xfId="24038" xr:uid="{00000000-0005-0000-0000-0000E65D0000}"/>
    <cellStyle name="Normal 2 2 4 5 14" xfId="24039" xr:uid="{00000000-0005-0000-0000-0000E75D0000}"/>
    <cellStyle name="Normal 2 2 4 5 2" xfId="24040" xr:uid="{00000000-0005-0000-0000-0000E85D0000}"/>
    <cellStyle name="Normal 2 2 4 5 2 10" xfId="24041" xr:uid="{00000000-0005-0000-0000-0000E95D0000}"/>
    <cellStyle name="Normal 2 2 4 5 2 2" xfId="24042" xr:uid="{00000000-0005-0000-0000-0000EA5D0000}"/>
    <cellStyle name="Normal 2 2 4 5 2 3" xfId="24043" xr:uid="{00000000-0005-0000-0000-0000EB5D0000}"/>
    <cellStyle name="Normal 2 2 4 5 2 4" xfId="24044" xr:uid="{00000000-0005-0000-0000-0000EC5D0000}"/>
    <cellStyle name="Normal 2 2 4 5 2 5" xfId="24045" xr:uid="{00000000-0005-0000-0000-0000ED5D0000}"/>
    <cellStyle name="Normal 2 2 4 5 2 6" xfId="24046" xr:uid="{00000000-0005-0000-0000-0000EE5D0000}"/>
    <cellStyle name="Normal 2 2 4 5 2 7" xfId="24047" xr:uid="{00000000-0005-0000-0000-0000EF5D0000}"/>
    <cellStyle name="Normal 2 2 4 5 2 8" xfId="24048" xr:uid="{00000000-0005-0000-0000-0000F05D0000}"/>
    <cellStyle name="Normal 2 2 4 5 2 9" xfId="24049" xr:uid="{00000000-0005-0000-0000-0000F15D0000}"/>
    <cellStyle name="Normal 2 2 4 5 3" xfId="24050" xr:uid="{00000000-0005-0000-0000-0000F25D0000}"/>
    <cellStyle name="Normal 2 2 4 5 3 10" xfId="24051" xr:uid="{00000000-0005-0000-0000-0000F35D0000}"/>
    <cellStyle name="Normal 2 2 4 5 3 2" xfId="24052" xr:uid="{00000000-0005-0000-0000-0000F45D0000}"/>
    <cellStyle name="Normal 2 2 4 5 3 3" xfId="24053" xr:uid="{00000000-0005-0000-0000-0000F55D0000}"/>
    <cellStyle name="Normal 2 2 4 5 3 4" xfId="24054" xr:uid="{00000000-0005-0000-0000-0000F65D0000}"/>
    <cellStyle name="Normal 2 2 4 5 3 5" xfId="24055" xr:uid="{00000000-0005-0000-0000-0000F75D0000}"/>
    <cellStyle name="Normal 2 2 4 5 3 6" xfId="24056" xr:uid="{00000000-0005-0000-0000-0000F85D0000}"/>
    <cellStyle name="Normal 2 2 4 5 3 7" xfId="24057" xr:uid="{00000000-0005-0000-0000-0000F95D0000}"/>
    <cellStyle name="Normal 2 2 4 5 3 8" xfId="24058" xr:uid="{00000000-0005-0000-0000-0000FA5D0000}"/>
    <cellStyle name="Normal 2 2 4 5 3 9" xfId="24059" xr:uid="{00000000-0005-0000-0000-0000FB5D0000}"/>
    <cellStyle name="Normal 2 2 4 5 4" xfId="24060" xr:uid="{00000000-0005-0000-0000-0000FC5D0000}"/>
    <cellStyle name="Normal 2 2 4 5 4 10" xfId="24061" xr:uid="{00000000-0005-0000-0000-0000FD5D0000}"/>
    <cellStyle name="Normal 2 2 4 5 4 2" xfId="24062" xr:uid="{00000000-0005-0000-0000-0000FE5D0000}"/>
    <cellStyle name="Normal 2 2 4 5 4 3" xfId="24063" xr:uid="{00000000-0005-0000-0000-0000FF5D0000}"/>
    <cellStyle name="Normal 2 2 4 5 4 4" xfId="24064" xr:uid="{00000000-0005-0000-0000-0000005E0000}"/>
    <cellStyle name="Normal 2 2 4 5 4 5" xfId="24065" xr:uid="{00000000-0005-0000-0000-0000015E0000}"/>
    <cellStyle name="Normal 2 2 4 5 4 6" xfId="24066" xr:uid="{00000000-0005-0000-0000-0000025E0000}"/>
    <cellStyle name="Normal 2 2 4 5 4 7" xfId="24067" xr:uid="{00000000-0005-0000-0000-0000035E0000}"/>
    <cellStyle name="Normal 2 2 4 5 4 8" xfId="24068" xr:uid="{00000000-0005-0000-0000-0000045E0000}"/>
    <cellStyle name="Normal 2 2 4 5 4 9" xfId="24069" xr:uid="{00000000-0005-0000-0000-0000055E0000}"/>
    <cellStyle name="Normal 2 2 4 5 5" xfId="24070" xr:uid="{00000000-0005-0000-0000-0000065E0000}"/>
    <cellStyle name="Normal 2 2 4 5 5 10" xfId="24071" xr:uid="{00000000-0005-0000-0000-0000075E0000}"/>
    <cellStyle name="Normal 2 2 4 5 5 2" xfId="24072" xr:uid="{00000000-0005-0000-0000-0000085E0000}"/>
    <cellStyle name="Normal 2 2 4 5 5 3" xfId="24073" xr:uid="{00000000-0005-0000-0000-0000095E0000}"/>
    <cellStyle name="Normal 2 2 4 5 5 4" xfId="24074" xr:uid="{00000000-0005-0000-0000-00000A5E0000}"/>
    <cellStyle name="Normal 2 2 4 5 5 5" xfId="24075" xr:uid="{00000000-0005-0000-0000-00000B5E0000}"/>
    <cellStyle name="Normal 2 2 4 5 5 6" xfId="24076" xr:uid="{00000000-0005-0000-0000-00000C5E0000}"/>
    <cellStyle name="Normal 2 2 4 5 5 7" xfId="24077" xr:uid="{00000000-0005-0000-0000-00000D5E0000}"/>
    <cellStyle name="Normal 2 2 4 5 5 8" xfId="24078" xr:uid="{00000000-0005-0000-0000-00000E5E0000}"/>
    <cellStyle name="Normal 2 2 4 5 5 9" xfId="24079" xr:uid="{00000000-0005-0000-0000-00000F5E0000}"/>
    <cellStyle name="Normal 2 2 4 5 6" xfId="24080" xr:uid="{00000000-0005-0000-0000-0000105E0000}"/>
    <cellStyle name="Normal 2 2 4 5 7" xfId="24081" xr:uid="{00000000-0005-0000-0000-0000115E0000}"/>
    <cellStyle name="Normal 2 2 4 5 8" xfId="24082" xr:uid="{00000000-0005-0000-0000-0000125E0000}"/>
    <cellStyle name="Normal 2 2 4 5 9" xfId="24083" xr:uid="{00000000-0005-0000-0000-0000135E0000}"/>
    <cellStyle name="Normal 2 2 4 6" xfId="24084" xr:uid="{00000000-0005-0000-0000-0000145E0000}"/>
    <cellStyle name="Normal 2 2 4 6 10" xfId="24085" xr:uid="{00000000-0005-0000-0000-0000155E0000}"/>
    <cellStyle name="Normal 2 2 4 6 11" xfId="24086" xr:uid="{00000000-0005-0000-0000-0000165E0000}"/>
    <cellStyle name="Normal 2 2 4 6 12" xfId="24087" xr:uid="{00000000-0005-0000-0000-0000175E0000}"/>
    <cellStyle name="Normal 2 2 4 6 13" xfId="24088" xr:uid="{00000000-0005-0000-0000-0000185E0000}"/>
    <cellStyle name="Normal 2 2 4 6 14" xfId="24089" xr:uid="{00000000-0005-0000-0000-0000195E0000}"/>
    <cellStyle name="Normal 2 2 4 6 2" xfId="24090" xr:uid="{00000000-0005-0000-0000-00001A5E0000}"/>
    <cellStyle name="Normal 2 2 4 6 2 10" xfId="24091" xr:uid="{00000000-0005-0000-0000-00001B5E0000}"/>
    <cellStyle name="Normal 2 2 4 6 2 2" xfId="24092" xr:uid="{00000000-0005-0000-0000-00001C5E0000}"/>
    <cellStyle name="Normal 2 2 4 6 2 3" xfId="24093" xr:uid="{00000000-0005-0000-0000-00001D5E0000}"/>
    <cellStyle name="Normal 2 2 4 6 2 4" xfId="24094" xr:uid="{00000000-0005-0000-0000-00001E5E0000}"/>
    <cellStyle name="Normal 2 2 4 6 2 5" xfId="24095" xr:uid="{00000000-0005-0000-0000-00001F5E0000}"/>
    <cellStyle name="Normal 2 2 4 6 2 6" xfId="24096" xr:uid="{00000000-0005-0000-0000-0000205E0000}"/>
    <cellStyle name="Normal 2 2 4 6 2 7" xfId="24097" xr:uid="{00000000-0005-0000-0000-0000215E0000}"/>
    <cellStyle name="Normal 2 2 4 6 2 8" xfId="24098" xr:uid="{00000000-0005-0000-0000-0000225E0000}"/>
    <cellStyle name="Normal 2 2 4 6 2 9" xfId="24099" xr:uid="{00000000-0005-0000-0000-0000235E0000}"/>
    <cellStyle name="Normal 2 2 4 6 3" xfId="24100" xr:uid="{00000000-0005-0000-0000-0000245E0000}"/>
    <cellStyle name="Normal 2 2 4 6 3 10" xfId="24101" xr:uid="{00000000-0005-0000-0000-0000255E0000}"/>
    <cellStyle name="Normal 2 2 4 6 3 2" xfId="24102" xr:uid="{00000000-0005-0000-0000-0000265E0000}"/>
    <cellStyle name="Normal 2 2 4 6 3 3" xfId="24103" xr:uid="{00000000-0005-0000-0000-0000275E0000}"/>
    <cellStyle name="Normal 2 2 4 6 3 4" xfId="24104" xr:uid="{00000000-0005-0000-0000-0000285E0000}"/>
    <cellStyle name="Normal 2 2 4 6 3 5" xfId="24105" xr:uid="{00000000-0005-0000-0000-0000295E0000}"/>
    <cellStyle name="Normal 2 2 4 6 3 6" xfId="24106" xr:uid="{00000000-0005-0000-0000-00002A5E0000}"/>
    <cellStyle name="Normal 2 2 4 6 3 7" xfId="24107" xr:uid="{00000000-0005-0000-0000-00002B5E0000}"/>
    <cellStyle name="Normal 2 2 4 6 3 8" xfId="24108" xr:uid="{00000000-0005-0000-0000-00002C5E0000}"/>
    <cellStyle name="Normal 2 2 4 6 3 9" xfId="24109" xr:uid="{00000000-0005-0000-0000-00002D5E0000}"/>
    <cellStyle name="Normal 2 2 4 6 4" xfId="24110" xr:uid="{00000000-0005-0000-0000-00002E5E0000}"/>
    <cellStyle name="Normal 2 2 4 6 4 10" xfId="24111" xr:uid="{00000000-0005-0000-0000-00002F5E0000}"/>
    <cellStyle name="Normal 2 2 4 6 4 2" xfId="24112" xr:uid="{00000000-0005-0000-0000-0000305E0000}"/>
    <cellStyle name="Normal 2 2 4 6 4 3" xfId="24113" xr:uid="{00000000-0005-0000-0000-0000315E0000}"/>
    <cellStyle name="Normal 2 2 4 6 4 4" xfId="24114" xr:uid="{00000000-0005-0000-0000-0000325E0000}"/>
    <cellStyle name="Normal 2 2 4 6 4 5" xfId="24115" xr:uid="{00000000-0005-0000-0000-0000335E0000}"/>
    <cellStyle name="Normal 2 2 4 6 4 6" xfId="24116" xr:uid="{00000000-0005-0000-0000-0000345E0000}"/>
    <cellStyle name="Normal 2 2 4 6 4 7" xfId="24117" xr:uid="{00000000-0005-0000-0000-0000355E0000}"/>
    <cellStyle name="Normal 2 2 4 6 4 8" xfId="24118" xr:uid="{00000000-0005-0000-0000-0000365E0000}"/>
    <cellStyle name="Normal 2 2 4 6 4 9" xfId="24119" xr:uid="{00000000-0005-0000-0000-0000375E0000}"/>
    <cellStyle name="Normal 2 2 4 6 5" xfId="24120" xr:uid="{00000000-0005-0000-0000-0000385E0000}"/>
    <cellStyle name="Normal 2 2 4 6 5 10" xfId="24121" xr:uid="{00000000-0005-0000-0000-0000395E0000}"/>
    <cellStyle name="Normal 2 2 4 6 5 2" xfId="24122" xr:uid="{00000000-0005-0000-0000-00003A5E0000}"/>
    <cellStyle name="Normal 2 2 4 6 5 3" xfId="24123" xr:uid="{00000000-0005-0000-0000-00003B5E0000}"/>
    <cellStyle name="Normal 2 2 4 6 5 4" xfId="24124" xr:uid="{00000000-0005-0000-0000-00003C5E0000}"/>
    <cellStyle name="Normal 2 2 4 6 5 5" xfId="24125" xr:uid="{00000000-0005-0000-0000-00003D5E0000}"/>
    <cellStyle name="Normal 2 2 4 6 5 6" xfId="24126" xr:uid="{00000000-0005-0000-0000-00003E5E0000}"/>
    <cellStyle name="Normal 2 2 4 6 5 7" xfId="24127" xr:uid="{00000000-0005-0000-0000-00003F5E0000}"/>
    <cellStyle name="Normal 2 2 4 6 5 8" xfId="24128" xr:uid="{00000000-0005-0000-0000-0000405E0000}"/>
    <cellStyle name="Normal 2 2 4 6 5 9" xfId="24129" xr:uid="{00000000-0005-0000-0000-0000415E0000}"/>
    <cellStyle name="Normal 2 2 4 6 6" xfId="24130" xr:uid="{00000000-0005-0000-0000-0000425E0000}"/>
    <cellStyle name="Normal 2 2 4 6 7" xfId="24131" xr:uid="{00000000-0005-0000-0000-0000435E0000}"/>
    <cellStyle name="Normal 2 2 4 6 8" xfId="24132" xr:uid="{00000000-0005-0000-0000-0000445E0000}"/>
    <cellStyle name="Normal 2 2 4 6 9" xfId="24133" xr:uid="{00000000-0005-0000-0000-0000455E0000}"/>
    <cellStyle name="Normal 2 2 4 7" xfId="24134" xr:uid="{00000000-0005-0000-0000-0000465E0000}"/>
    <cellStyle name="Normal 2 2 4 7 10" xfId="24135" xr:uid="{00000000-0005-0000-0000-0000475E0000}"/>
    <cellStyle name="Normal 2 2 4 7 11" xfId="24136" xr:uid="{00000000-0005-0000-0000-0000485E0000}"/>
    <cellStyle name="Normal 2 2 4 7 12" xfId="24137" xr:uid="{00000000-0005-0000-0000-0000495E0000}"/>
    <cellStyle name="Normal 2 2 4 7 13" xfId="24138" xr:uid="{00000000-0005-0000-0000-00004A5E0000}"/>
    <cellStyle name="Normal 2 2 4 7 14" xfId="24139" xr:uid="{00000000-0005-0000-0000-00004B5E0000}"/>
    <cellStyle name="Normal 2 2 4 7 2" xfId="24140" xr:uid="{00000000-0005-0000-0000-00004C5E0000}"/>
    <cellStyle name="Normal 2 2 4 7 2 10" xfId="24141" xr:uid="{00000000-0005-0000-0000-00004D5E0000}"/>
    <cellStyle name="Normal 2 2 4 7 2 2" xfId="24142" xr:uid="{00000000-0005-0000-0000-00004E5E0000}"/>
    <cellStyle name="Normal 2 2 4 7 2 3" xfId="24143" xr:uid="{00000000-0005-0000-0000-00004F5E0000}"/>
    <cellStyle name="Normal 2 2 4 7 2 4" xfId="24144" xr:uid="{00000000-0005-0000-0000-0000505E0000}"/>
    <cellStyle name="Normal 2 2 4 7 2 5" xfId="24145" xr:uid="{00000000-0005-0000-0000-0000515E0000}"/>
    <cellStyle name="Normal 2 2 4 7 2 6" xfId="24146" xr:uid="{00000000-0005-0000-0000-0000525E0000}"/>
    <cellStyle name="Normal 2 2 4 7 2 7" xfId="24147" xr:uid="{00000000-0005-0000-0000-0000535E0000}"/>
    <cellStyle name="Normal 2 2 4 7 2 8" xfId="24148" xr:uid="{00000000-0005-0000-0000-0000545E0000}"/>
    <cellStyle name="Normal 2 2 4 7 2 9" xfId="24149" xr:uid="{00000000-0005-0000-0000-0000555E0000}"/>
    <cellStyle name="Normal 2 2 4 7 3" xfId="24150" xr:uid="{00000000-0005-0000-0000-0000565E0000}"/>
    <cellStyle name="Normal 2 2 4 7 3 10" xfId="24151" xr:uid="{00000000-0005-0000-0000-0000575E0000}"/>
    <cellStyle name="Normal 2 2 4 7 3 2" xfId="24152" xr:uid="{00000000-0005-0000-0000-0000585E0000}"/>
    <cellStyle name="Normal 2 2 4 7 3 3" xfId="24153" xr:uid="{00000000-0005-0000-0000-0000595E0000}"/>
    <cellStyle name="Normal 2 2 4 7 3 4" xfId="24154" xr:uid="{00000000-0005-0000-0000-00005A5E0000}"/>
    <cellStyle name="Normal 2 2 4 7 3 5" xfId="24155" xr:uid="{00000000-0005-0000-0000-00005B5E0000}"/>
    <cellStyle name="Normal 2 2 4 7 3 6" xfId="24156" xr:uid="{00000000-0005-0000-0000-00005C5E0000}"/>
    <cellStyle name="Normal 2 2 4 7 3 7" xfId="24157" xr:uid="{00000000-0005-0000-0000-00005D5E0000}"/>
    <cellStyle name="Normal 2 2 4 7 3 8" xfId="24158" xr:uid="{00000000-0005-0000-0000-00005E5E0000}"/>
    <cellStyle name="Normal 2 2 4 7 3 9" xfId="24159" xr:uid="{00000000-0005-0000-0000-00005F5E0000}"/>
    <cellStyle name="Normal 2 2 4 7 4" xfId="24160" xr:uid="{00000000-0005-0000-0000-0000605E0000}"/>
    <cellStyle name="Normal 2 2 4 7 4 10" xfId="24161" xr:uid="{00000000-0005-0000-0000-0000615E0000}"/>
    <cellStyle name="Normal 2 2 4 7 4 2" xfId="24162" xr:uid="{00000000-0005-0000-0000-0000625E0000}"/>
    <cellStyle name="Normal 2 2 4 7 4 3" xfId="24163" xr:uid="{00000000-0005-0000-0000-0000635E0000}"/>
    <cellStyle name="Normal 2 2 4 7 4 4" xfId="24164" xr:uid="{00000000-0005-0000-0000-0000645E0000}"/>
    <cellStyle name="Normal 2 2 4 7 4 5" xfId="24165" xr:uid="{00000000-0005-0000-0000-0000655E0000}"/>
    <cellStyle name="Normal 2 2 4 7 4 6" xfId="24166" xr:uid="{00000000-0005-0000-0000-0000665E0000}"/>
    <cellStyle name="Normal 2 2 4 7 4 7" xfId="24167" xr:uid="{00000000-0005-0000-0000-0000675E0000}"/>
    <cellStyle name="Normal 2 2 4 7 4 8" xfId="24168" xr:uid="{00000000-0005-0000-0000-0000685E0000}"/>
    <cellStyle name="Normal 2 2 4 7 4 9" xfId="24169" xr:uid="{00000000-0005-0000-0000-0000695E0000}"/>
    <cellStyle name="Normal 2 2 4 7 5" xfId="24170" xr:uid="{00000000-0005-0000-0000-00006A5E0000}"/>
    <cellStyle name="Normal 2 2 4 7 5 10" xfId="24171" xr:uid="{00000000-0005-0000-0000-00006B5E0000}"/>
    <cellStyle name="Normal 2 2 4 7 5 2" xfId="24172" xr:uid="{00000000-0005-0000-0000-00006C5E0000}"/>
    <cellStyle name="Normal 2 2 4 7 5 3" xfId="24173" xr:uid="{00000000-0005-0000-0000-00006D5E0000}"/>
    <cellStyle name="Normal 2 2 4 7 5 4" xfId="24174" xr:uid="{00000000-0005-0000-0000-00006E5E0000}"/>
    <cellStyle name="Normal 2 2 4 7 5 5" xfId="24175" xr:uid="{00000000-0005-0000-0000-00006F5E0000}"/>
    <cellStyle name="Normal 2 2 4 7 5 6" xfId="24176" xr:uid="{00000000-0005-0000-0000-0000705E0000}"/>
    <cellStyle name="Normal 2 2 4 7 5 7" xfId="24177" xr:uid="{00000000-0005-0000-0000-0000715E0000}"/>
    <cellStyle name="Normal 2 2 4 7 5 8" xfId="24178" xr:uid="{00000000-0005-0000-0000-0000725E0000}"/>
    <cellStyle name="Normal 2 2 4 7 5 9" xfId="24179" xr:uid="{00000000-0005-0000-0000-0000735E0000}"/>
    <cellStyle name="Normal 2 2 4 7 6" xfId="24180" xr:uid="{00000000-0005-0000-0000-0000745E0000}"/>
    <cellStyle name="Normal 2 2 4 7 7" xfId="24181" xr:uid="{00000000-0005-0000-0000-0000755E0000}"/>
    <cellStyle name="Normal 2 2 4 7 8" xfId="24182" xr:uid="{00000000-0005-0000-0000-0000765E0000}"/>
    <cellStyle name="Normal 2 2 4 7 9" xfId="24183" xr:uid="{00000000-0005-0000-0000-0000775E0000}"/>
    <cellStyle name="Normal 2 2 4 8" xfId="24184" xr:uid="{00000000-0005-0000-0000-0000785E0000}"/>
    <cellStyle name="Normal 2 2 4 8 10" xfId="24185" xr:uid="{00000000-0005-0000-0000-0000795E0000}"/>
    <cellStyle name="Normal 2 2 4 8 11" xfId="24186" xr:uid="{00000000-0005-0000-0000-00007A5E0000}"/>
    <cellStyle name="Normal 2 2 4 8 12" xfId="24187" xr:uid="{00000000-0005-0000-0000-00007B5E0000}"/>
    <cellStyle name="Normal 2 2 4 8 13" xfId="24188" xr:uid="{00000000-0005-0000-0000-00007C5E0000}"/>
    <cellStyle name="Normal 2 2 4 8 14" xfId="24189" xr:uid="{00000000-0005-0000-0000-00007D5E0000}"/>
    <cellStyle name="Normal 2 2 4 8 2" xfId="24190" xr:uid="{00000000-0005-0000-0000-00007E5E0000}"/>
    <cellStyle name="Normal 2 2 4 8 2 10" xfId="24191" xr:uid="{00000000-0005-0000-0000-00007F5E0000}"/>
    <cellStyle name="Normal 2 2 4 8 2 2" xfId="24192" xr:uid="{00000000-0005-0000-0000-0000805E0000}"/>
    <cellStyle name="Normal 2 2 4 8 2 3" xfId="24193" xr:uid="{00000000-0005-0000-0000-0000815E0000}"/>
    <cellStyle name="Normal 2 2 4 8 2 4" xfId="24194" xr:uid="{00000000-0005-0000-0000-0000825E0000}"/>
    <cellStyle name="Normal 2 2 4 8 2 5" xfId="24195" xr:uid="{00000000-0005-0000-0000-0000835E0000}"/>
    <cellStyle name="Normal 2 2 4 8 2 6" xfId="24196" xr:uid="{00000000-0005-0000-0000-0000845E0000}"/>
    <cellStyle name="Normal 2 2 4 8 2 7" xfId="24197" xr:uid="{00000000-0005-0000-0000-0000855E0000}"/>
    <cellStyle name="Normal 2 2 4 8 2 8" xfId="24198" xr:uid="{00000000-0005-0000-0000-0000865E0000}"/>
    <cellStyle name="Normal 2 2 4 8 2 9" xfId="24199" xr:uid="{00000000-0005-0000-0000-0000875E0000}"/>
    <cellStyle name="Normal 2 2 4 8 3" xfId="24200" xr:uid="{00000000-0005-0000-0000-0000885E0000}"/>
    <cellStyle name="Normal 2 2 4 8 3 10" xfId="24201" xr:uid="{00000000-0005-0000-0000-0000895E0000}"/>
    <cellStyle name="Normal 2 2 4 8 3 2" xfId="24202" xr:uid="{00000000-0005-0000-0000-00008A5E0000}"/>
    <cellStyle name="Normal 2 2 4 8 3 3" xfId="24203" xr:uid="{00000000-0005-0000-0000-00008B5E0000}"/>
    <cellStyle name="Normal 2 2 4 8 3 4" xfId="24204" xr:uid="{00000000-0005-0000-0000-00008C5E0000}"/>
    <cellStyle name="Normal 2 2 4 8 3 5" xfId="24205" xr:uid="{00000000-0005-0000-0000-00008D5E0000}"/>
    <cellStyle name="Normal 2 2 4 8 3 6" xfId="24206" xr:uid="{00000000-0005-0000-0000-00008E5E0000}"/>
    <cellStyle name="Normal 2 2 4 8 3 7" xfId="24207" xr:uid="{00000000-0005-0000-0000-00008F5E0000}"/>
    <cellStyle name="Normal 2 2 4 8 3 8" xfId="24208" xr:uid="{00000000-0005-0000-0000-0000905E0000}"/>
    <cellStyle name="Normal 2 2 4 8 3 9" xfId="24209" xr:uid="{00000000-0005-0000-0000-0000915E0000}"/>
    <cellStyle name="Normal 2 2 4 8 4" xfId="24210" xr:uid="{00000000-0005-0000-0000-0000925E0000}"/>
    <cellStyle name="Normal 2 2 4 8 4 10" xfId="24211" xr:uid="{00000000-0005-0000-0000-0000935E0000}"/>
    <cellStyle name="Normal 2 2 4 8 4 2" xfId="24212" xr:uid="{00000000-0005-0000-0000-0000945E0000}"/>
    <cellStyle name="Normal 2 2 4 8 4 3" xfId="24213" xr:uid="{00000000-0005-0000-0000-0000955E0000}"/>
    <cellStyle name="Normal 2 2 4 8 4 4" xfId="24214" xr:uid="{00000000-0005-0000-0000-0000965E0000}"/>
    <cellStyle name="Normal 2 2 4 8 4 5" xfId="24215" xr:uid="{00000000-0005-0000-0000-0000975E0000}"/>
    <cellStyle name="Normal 2 2 4 8 4 6" xfId="24216" xr:uid="{00000000-0005-0000-0000-0000985E0000}"/>
    <cellStyle name="Normal 2 2 4 8 4 7" xfId="24217" xr:uid="{00000000-0005-0000-0000-0000995E0000}"/>
    <cellStyle name="Normal 2 2 4 8 4 8" xfId="24218" xr:uid="{00000000-0005-0000-0000-00009A5E0000}"/>
    <cellStyle name="Normal 2 2 4 8 4 9" xfId="24219" xr:uid="{00000000-0005-0000-0000-00009B5E0000}"/>
    <cellStyle name="Normal 2 2 4 8 5" xfId="24220" xr:uid="{00000000-0005-0000-0000-00009C5E0000}"/>
    <cellStyle name="Normal 2 2 4 8 5 10" xfId="24221" xr:uid="{00000000-0005-0000-0000-00009D5E0000}"/>
    <cellStyle name="Normal 2 2 4 8 5 2" xfId="24222" xr:uid="{00000000-0005-0000-0000-00009E5E0000}"/>
    <cellStyle name="Normal 2 2 4 8 5 3" xfId="24223" xr:uid="{00000000-0005-0000-0000-00009F5E0000}"/>
    <cellStyle name="Normal 2 2 4 8 5 4" xfId="24224" xr:uid="{00000000-0005-0000-0000-0000A05E0000}"/>
    <cellStyle name="Normal 2 2 4 8 5 5" xfId="24225" xr:uid="{00000000-0005-0000-0000-0000A15E0000}"/>
    <cellStyle name="Normal 2 2 4 8 5 6" xfId="24226" xr:uid="{00000000-0005-0000-0000-0000A25E0000}"/>
    <cellStyle name="Normal 2 2 4 8 5 7" xfId="24227" xr:uid="{00000000-0005-0000-0000-0000A35E0000}"/>
    <cellStyle name="Normal 2 2 4 8 5 8" xfId="24228" xr:uid="{00000000-0005-0000-0000-0000A45E0000}"/>
    <cellStyle name="Normal 2 2 4 8 5 9" xfId="24229" xr:uid="{00000000-0005-0000-0000-0000A55E0000}"/>
    <cellStyle name="Normal 2 2 4 8 6" xfId="24230" xr:uid="{00000000-0005-0000-0000-0000A65E0000}"/>
    <cellStyle name="Normal 2 2 4 8 7" xfId="24231" xr:uid="{00000000-0005-0000-0000-0000A75E0000}"/>
    <cellStyle name="Normal 2 2 4 8 8" xfId="24232" xr:uid="{00000000-0005-0000-0000-0000A85E0000}"/>
    <cellStyle name="Normal 2 2 4 8 9" xfId="24233" xr:uid="{00000000-0005-0000-0000-0000A95E0000}"/>
    <cellStyle name="Normal 2 2 4 9" xfId="24234" xr:uid="{00000000-0005-0000-0000-0000AA5E0000}"/>
    <cellStyle name="Normal 2 2 4 9 10" xfId="24235" xr:uid="{00000000-0005-0000-0000-0000AB5E0000}"/>
    <cellStyle name="Normal 2 2 4 9 11" xfId="24236" xr:uid="{00000000-0005-0000-0000-0000AC5E0000}"/>
    <cellStyle name="Normal 2 2 4 9 12" xfId="24237" xr:uid="{00000000-0005-0000-0000-0000AD5E0000}"/>
    <cellStyle name="Normal 2 2 4 9 13" xfId="24238" xr:uid="{00000000-0005-0000-0000-0000AE5E0000}"/>
    <cellStyle name="Normal 2 2 4 9 14" xfId="24239" xr:uid="{00000000-0005-0000-0000-0000AF5E0000}"/>
    <cellStyle name="Normal 2 2 4 9 2" xfId="24240" xr:uid="{00000000-0005-0000-0000-0000B05E0000}"/>
    <cellStyle name="Normal 2 2 4 9 2 10" xfId="24241" xr:uid="{00000000-0005-0000-0000-0000B15E0000}"/>
    <cellStyle name="Normal 2 2 4 9 2 2" xfId="24242" xr:uid="{00000000-0005-0000-0000-0000B25E0000}"/>
    <cellStyle name="Normal 2 2 4 9 2 3" xfId="24243" xr:uid="{00000000-0005-0000-0000-0000B35E0000}"/>
    <cellStyle name="Normal 2 2 4 9 2 4" xfId="24244" xr:uid="{00000000-0005-0000-0000-0000B45E0000}"/>
    <cellStyle name="Normal 2 2 4 9 2 5" xfId="24245" xr:uid="{00000000-0005-0000-0000-0000B55E0000}"/>
    <cellStyle name="Normal 2 2 4 9 2 6" xfId="24246" xr:uid="{00000000-0005-0000-0000-0000B65E0000}"/>
    <cellStyle name="Normal 2 2 4 9 2 7" xfId="24247" xr:uid="{00000000-0005-0000-0000-0000B75E0000}"/>
    <cellStyle name="Normal 2 2 4 9 2 8" xfId="24248" xr:uid="{00000000-0005-0000-0000-0000B85E0000}"/>
    <cellStyle name="Normal 2 2 4 9 2 9" xfId="24249" xr:uid="{00000000-0005-0000-0000-0000B95E0000}"/>
    <cellStyle name="Normal 2 2 4 9 3" xfId="24250" xr:uid="{00000000-0005-0000-0000-0000BA5E0000}"/>
    <cellStyle name="Normal 2 2 4 9 3 10" xfId="24251" xr:uid="{00000000-0005-0000-0000-0000BB5E0000}"/>
    <cellStyle name="Normal 2 2 4 9 3 2" xfId="24252" xr:uid="{00000000-0005-0000-0000-0000BC5E0000}"/>
    <cellStyle name="Normal 2 2 4 9 3 3" xfId="24253" xr:uid="{00000000-0005-0000-0000-0000BD5E0000}"/>
    <cellStyle name="Normal 2 2 4 9 3 4" xfId="24254" xr:uid="{00000000-0005-0000-0000-0000BE5E0000}"/>
    <cellStyle name="Normal 2 2 4 9 3 5" xfId="24255" xr:uid="{00000000-0005-0000-0000-0000BF5E0000}"/>
    <cellStyle name="Normal 2 2 4 9 3 6" xfId="24256" xr:uid="{00000000-0005-0000-0000-0000C05E0000}"/>
    <cellStyle name="Normal 2 2 4 9 3 7" xfId="24257" xr:uid="{00000000-0005-0000-0000-0000C15E0000}"/>
    <cellStyle name="Normal 2 2 4 9 3 8" xfId="24258" xr:uid="{00000000-0005-0000-0000-0000C25E0000}"/>
    <cellStyle name="Normal 2 2 4 9 3 9" xfId="24259" xr:uid="{00000000-0005-0000-0000-0000C35E0000}"/>
    <cellStyle name="Normal 2 2 4 9 4" xfId="24260" xr:uid="{00000000-0005-0000-0000-0000C45E0000}"/>
    <cellStyle name="Normal 2 2 4 9 4 10" xfId="24261" xr:uid="{00000000-0005-0000-0000-0000C55E0000}"/>
    <cellStyle name="Normal 2 2 4 9 4 2" xfId="24262" xr:uid="{00000000-0005-0000-0000-0000C65E0000}"/>
    <cellStyle name="Normal 2 2 4 9 4 3" xfId="24263" xr:uid="{00000000-0005-0000-0000-0000C75E0000}"/>
    <cellStyle name="Normal 2 2 4 9 4 4" xfId="24264" xr:uid="{00000000-0005-0000-0000-0000C85E0000}"/>
    <cellStyle name="Normal 2 2 4 9 4 5" xfId="24265" xr:uid="{00000000-0005-0000-0000-0000C95E0000}"/>
    <cellStyle name="Normal 2 2 4 9 4 6" xfId="24266" xr:uid="{00000000-0005-0000-0000-0000CA5E0000}"/>
    <cellStyle name="Normal 2 2 4 9 4 7" xfId="24267" xr:uid="{00000000-0005-0000-0000-0000CB5E0000}"/>
    <cellStyle name="Normal 2 2 4 9 4 8" xfId="24268" xr:uid="{00000000-0005-0000-0000-0000CC5E0000}"/>
    <cellStyle name="Normal 2 2 4 9 4 9" xfId="24269" xr:uid="{00000000-0005-0000-0000-0000CD5E0000}"/>
    <cellStyle name="Normal 2 2 4 9 5" xfId="24270" xr:uid="{00000000-0005-0000-0000-0000CE5E0000}"/>
    <cellStyle name="Normal 2 2 4 9 5 10" xfId="24271" xr:uid="{00000000-0005-0000-0000-0000CF5E0000}"/>
    <cellStyle name="Normal 2 2 4 9 5 2" xfId="24272" xr:uid="{00000000-0005-0000-0000-0000D05E0000}"/>
    <cellStyle name="Normal 2 2 4 9 5 3" xfId="24273" xr:uid="{00000000-0005-0000-0000-0000D15E0000}"/>
    <cellStyle name="Normal 2 2 4 9 5 4" xfId="24274" xr:uid="{00000000-0005-0000-0000-0000D25E0000}"/>
    <cellStyle name="Normal 2 2 4 9 5 5" xfId="24275" xr:uid="{00000000-0005-0000-0000-0000D35E0000}"/>
    <cellStyle name="Normal 2 2 4 9 5 6" xfId="24276" xr:uid="{00000000-0005-0000-0000-0000D45E0000}"/>
    <cellStyle name="Normal 2 2 4 9 5 7" xfId="24277" xr:uid="{00000000-0005-0000-0000-0000D55E0000}"/>
    <cellStyle name="Normal 2 2 4 9 5 8" xfId="24278" xr:uid="{00000000-0005-0000-0000-0000D65E0000}"/>
    <cellStyle name="Normal 2 2 4 9 5 9" xfId="24279" xr:uid="{00000000-0005-0000-0000-0000D75E0000}"/>
    <cellStyle name="Normal 2 2 4 9 6" xfId="24280" xr:uid="{00000000-0005-0000-0000-0000D85E0000}"/>
    <cellStyle name="Normal 2 2 4 9 7" xfId="24281" xr:uid="{00000000-0005-0000-0000-0000D95E0000}"/>
    <cellStyle name="Normal 2 2 4 9 8" xfId="24282" xr:uid="{00000000-0005-0000-0000-0000DA5E0000}"/>
    <cellStyle name="Normal 2 2 4 9 9" xfId="24283" xr:uid="{00000000-0005-0000-0000-0000DB5E0000}"/>
    <cellStyle name="Normal 2 2 40" xfId="24284" xr:uid="{00000000-0005-0000-0000-0000DC5E0000}"/>
    <cellStyle name="Normal 2 2 41" xfId="24285" xr:uid="{00000000-0005-0000-0000-0000DD5E0000}"/>
    <cellStyle name="Normal 2 2 41 10" xfId="24286" xr:uid="{00000000-0005-0000-0000-0000DE5E0000}"/>
    <cellStyle name="Normal 2 2 41 2" xfId="24287" xr:uid="{00000000-0005-0000-0000-0000DF5E0000}"/>
    <cellStyle name="Normal 2 2 41 3" xfId="24288" xr:uid="{00000000-0005-0000-0000-0000E05E0000}"/>
    <cellStyle name="Normal 2 2 41 4" xfId="24289" xr:uid="{00000000-0005-0000-0000-0000E15E0000}"/>
    <cellStyle name="Normal 2 2 41 5" xfId="24290" xr:uid="{00000000-0005-0000-0000-0000E25E0000}"/>
    <cellStyle name="Normal 2 2 41 6" xfId="24291" xr:uid="{00000000-0005-0000-0000-0000E35E0000}"/>
    <cellStyle name="Normal 2 2 41 7" xfId="24292" xr:uid="{00000000-0005-0000-0000-0000E45E0000}"/>
    <cellStyle name="Normal 2 2 41 8" xfId="24293" xr:uid="{00000000-0005-0000-0000-0000E55E0000}"/>
    <cellStyle name="Normal 2 2 41 9" xfId="24294" xr:uid="{00000000-0005-0000-0000-0000E65E0000}"/>
    <cellStyle name="Normal 2 2 42" xfId="24295" xr:uid="{00000000-0005-0000-0000-0000E75E0000}"/>
    <cellStyle name="Normal 2 2 43" xfId="24296" xr:uid="{00000000-0005-0000-0000-0000E85E0000}"/>
    <cellStyle name="Normal 2 2 44" xfId="24297" xr:uid="{00000000-0005-0000-0000-0000E95E0000}"/>
    <cellStyle name="Normal 2 2 45" xfId="24298" xr:uid="{00000000-0005-0000-0000-0000EA5E0000}"/>
    <cellStyle name="Normal 2 2 46" xfId="24299" xr:uid="{00000000-0005-0000-0000-0000EB5E0000}"/>
    <cellStyle name="Normal 2 2 47" xfId="24300" xr:uid="{00000000-0005-0000-0000-0000EC5E0000}"/>
    <cellStyle name="Normal 2 2 48" xfId="24301" xr:uid="{00000000-0005-0000-0000-0000ED5E0000}"/>
    <cellStyle name="Normal 2 2 49" xfId="24302" xr:uid="{00000000-0005-0000-0000-0000EE5E0000}"/>
    <cellStyle name="Normal 2 2 5" xfId="24303" xr:uid="{00000000-0005-0000-0000-0000EF5E0000}"/>
    <cellStyle name="Normal 2 2 5 10" xfId="24304" xr:uid="{00000000-0005-0000-0000-0000F05E0000}"/>
    <cellStyle name="Normal 2 2 5 10 10" xfId="24305" xr:uid="{00000000-0005-0000-0000-0000F15E0000}"/>
    <cellStyle name="Normal 2 2 5 10 11" xfId="24306" xr:uid="{00000000-0005-0000-0000-0000F25E0000}"/>
    <cellStyle name="Normal 2 2 5 10 12" xfId="24307" xr:uid="{00000000-0005-0000-0000-0000F35E0000}"/>
    <cellStyle name="Normal 2 2 5 10 13" xfId="24308" xr:uid="{00000000-0005-0000-0000-0000F45E0000}"/>
    <cellStyle name="Normal 2 2 5 10 14" xfId="24309" xr:uid="{00000000-0005-0000-0000-0000F55E0000}"/>
    <cellStyle name="Normal 2 2 5 10 2" xfId="24310" xr:uid="{00000000-0005-0000-0000-0000F65E0000}"/>
    <cellStyle name="Normal 2 2 5 10 2 10" xfId="24311" xr:uid="{00000000-0005-0000-0000-0000F75E0000}"/>
    <cellStyle name="Normal 2 2 5 10 2 2" xfId="24312" xr:uid="{00000000-0005-0000-0000-0000F85E0000}"/>
    <cellStyle name="Normal 2 2 5 10 2 3" xfId="24313" xr:uid="{00000000-0005-0000-0000-0000F95E0000}"/>
    <cellStyle name="Normal 2 2 5 10 2 4" xfId="24314" xr:uid="{00000000-0005-0000-0000-0000FA5E0000}"/>
    <cellStyle name="Normal 2 2 5 10 2 5" xfId="24315" xr:uid="{00000000-0005-0000-0000-0000FB5E0000}"/>
    <cellStyle name="Normal 2 2 5 10 2 6" xfId="24316" xr:uid="{00000000-0005-0000-0000-0000FC5E0000}"/>
    <cellStyle name="Normal 2 2 5 10 2 7" xfId="24317" xr:uid="{00000000-0005-0000-0000-0000FD5E0000}"/>
    <cellStyle name="Normal 2 2 5 10 2 8" xfId="24318" xr:uid="{00000000-0005-0000-0000-0000FE5E0000}"/>
    <cellStyle name="Normal 2 2 5 10 2 9" xfId="24319" xr:uid="{00000000-0005-0000-0000-0000FF5E0000}"/>
    <cellStyle name="Normal 2 2 5 10 3" xfId="24320" xr:uid="{00000000-0005-0000-0000-0000005F0000}"/>
    <cellStyle name="Normal 2 2 5 10 3 10" xfId="24321" xr:uid="{00000000-0005-0000-0000-0000015F0000}"/>
    <cellStyle name="Normal 2 2 5 10 3 2" xfId="24322" xr:uid="{00000000-0005-0000-0000-0000025F0000}"/>
    <cellStyle name="Normal 2 2 5 10 3 3" xfId="24323" xr:uid="{00000000-0005-0000-0000-0000035F0000}"/>
    <cellStyle name="Normal 2 2 5 10 3 4" xfId="24324" xr:uid="{00000000-0005-0000-0000-0000045F0000}"/>
    <cellStyle name="Normal 2 2 5 10 3 5" xfId="24325" xr:uid="{00000000-0005-0000-0000-0000055F0000}"/>
    <cellStyle name="Normal 2 2 5 10 3 6" xfId="24326" xr:uid="{00000000-0005-0000-0000-0000065F0000}"/>
    <cellStyle name="Normal 2 2 5 10 3 7" xfId="24327" xr:uid="{00000000-0005-0000-0000-0000075F0000}"/>
    <cellStyle name="Normal 2 2 5 10 3 8" xfId="24328" xr:uid="{00000000-0005-0000-0000-0000085F0000}"/>
    <cellStyle name="Normal 2 2 5 10 3 9" xfId="24329" xr:uid="{00000000-0005-0000-0000-0000095F0000}"/>
    <cellStyle name="Normal 2 2 5 10 4" xfId="24330" xr:uid="{00000000-0005-0000-0000-00000A5F0000}"/>
    <cellStyle name="Normal 2 2 5 10 4 10" xfId="24331" xr:uid="{00000000-0005-0000-0000-00000B5F0000}"/>
    <cellStyle name="Normal 2 2 5 10 4 2" xfId="24332" xr:uid="{00000000-0005-0000-0000-00000C5F0000}"/>
    <cellStyle name="Normal 2 2 5 10 4 3" xfId="24333" xr:uid="{00000000-0005-0000-0000-00000D5F0000}"/>
    <cellStyle name="Normal 2 2 5 10 4 4" xfId="24334" xr:uid="{00000000-0005-0000-0000-00000E5F0000}"/>
    <cellStyle name="Normal 2 2 5 10 4 5" xfId="24335" xr:uid="{00000000-0005-0000-0000-00000F5F0000}"/>
    <cellStyle name="Normal 2 2 5 10 4 6" xfId="24336" xr:uid="{00000000-0005-0000-0000-0000105F0000}"/>
    <cellStyle name="Normal 2 2 5 10 4 7" xfId="24337" xr:uid="{00000000-0005-0000-0000-0000115F0000}"/>
    <cellStyle name="Normal 2 2 5 10 4 8" xfId="24338" xr:uid="{00000000-0005-0000-0000-0000125F0000}"/>
    <cellStyle name="Normal 2 2 5 10 4 9" xfId="24339" xr:uid="{00000000-0005-0000-0000-0000135F0000}"/>
    <cellStyle name="Normal 2 2 5 10 5" xfId="24340" xr:uid="{00000000-0005-0000-0000-0000145F0000}"/>
    <cellStyle name="Normal 2 2 5 10 5 10" xfId="24341" xr:uid="{00000000-0005-0000-0000-0000155F0000}"/>
    <cellStyle name="Normal 2 2 5 10 5 2" xfId="24342" xr:uid="{00000000-0005-0000-0000-0000165F0000}"/>
    <cellStyle name="Normal 2 2 5 10 5 3" xfId="24343" xr:uid="{00000000-0005-0000-0000-0000175F0000}"/>
    <cellStyle name="Normal 2 2 5 10 5 4" xfId="24344" xr:uid="{00000000-0005-0000-0000-0000185F0000}"/>
    <cellStyle name="Normal 2 2 5 10 5 5" xfId="24345" xr:uid="{00000000-0005-0000-0000-0000195F0000}"/>
    <cellStyle name="Normal 2 2 5 10 5 6" xfId="24346" xr:uid="{00000000-0005-0000-0000-00001A5F0000}"/>
    <cellStyle name="Normal 2 2 5 10 5 7" xfId="24347" xr:uid="{00000000-0005-0000-0000-00001B5F0000}"/>
    <cellStyle name="Normal 2 2 5 10 5 8" xfId="24348" xr:uid="{00000000-0005-0000-0000-00001C5F0000}"/>
    <cellStyle name="Normal 2 2 5 10 5 9" xfId="24349" xr:uid="{00000000-0005-0000-0000-00001D5F0000}"/>
    <cellStyle name="Normal 2 2 5 10 6" xfId="24350" xr:uid="{00000000-0005-0000-0000-00001E5F0000}"/>
    <cellStyle name="Normal 2 2 5 10 7" xfId="24351" xr:uid="{00000000-0005-0000-0000-00001F5F0000}"/>
    <cellStyle name="Normal 2 2 5 10 8" xfId="24352" xr:uid="{00000000-0005-0000-0000-0000205F0000}"/>
    <cellStyle name="Normal 2 2 5 10 9" xfId="24353" xr:uid="{00000000-0005-0000-0000-0000215F0000}"/>
    <cellStyle name="Normal 2 2 5 11" xfId="24354" xr:uid="{00000000-0005-0000-0000-0000225F0000}"/>
    <cellStyle name="Normal 2 2 5 11 10" xfId="24355" xr:uid="{00000000-0005-0000-0000-0000235F0000}"/>
    <cellStyle name="Normal 2 2 5 11 11" xfId="24356" xr:uid="{00000000-0005-0000-0000-0000245F0000}"/>
    <cellStyle name="Normal 2 2 5 11 12" xfId="24357" xr:uid="{00000000-0005-0000-0000-0000255F0000}"/>
    <cellStyle name="Normal 2 2 5 11 13" xfId="24358" xr:uid="{00000000-0005-0000-0000-0000265F0000}"/>
    <cellStyle name="Normal 2 2 5 11 14" xfId="24359" xr:uid="{00000000-0005-0000-0000-0000275F0000}"/>
    <cellStyle name="Normal 2 2 5 11 2" xfId="24360" xr:uid="{00000000-0005-0000-0000-0000285F0000}"/>
    <cellStyle name="Normal 2 2 5 11 2 10" xfId="24361" xr:uid="{00000000-0005-0000-0000-0000295F0000}"/>
    <cellStyle name="Normal 2 2 5 11 2 2" xfId="24362" xr:uid="{00000000-0005-0000-0000-00002A5F0000}"/>
    <cellStyle name="Normal 2 2 5 11 2 3" xfId="24363" xr:uid="{00000000-0005-0000-0000-00002B5F0000}"/>
    <cellStyle name="Normal 2 2 5 11 2 4" xfId="24364" xr:uid="{00000000-0005-0000-0000-00002C5F0000}"/>
    <cellStyle name="Normal 2 2 5 11 2 5" xfId="24365" xr:uid="{00000000-0005-0000-0000-00002D5F0000}"/>
    <cellStyle name="Normal 2 2 5 11 2 6" xfId="24366" xr:uid="{00000000-0005-0000-0000-00002E5F0000}"/>
    <cellStyle name="Normal 2 2 5 11 2 7" xfId="24367" xr:uid="{00000000-0005-0000-0000-00002F5F0000}"/>
    <cellStyle name="Normal 2 2 5 11 2 8" xfId="24368" xr:uid="{00000000-0005-0000-0000-0000305F0000}"/>
    <cellStyle name="Normal 2 2 5 11 2 9" xfId="24369" xr:uid="{00000000-0005-0000-0000-0000315F0000}"/>
    <cellStyle name="Normal 2 2 5 11 3" xfId="24370" xr:uid="{00000000-0005-0000-0000-0000325F0000}"/>
    <cellStyle name="Normal 2 2 5 11 3 10" xfId="24371" xr:uid="{00000000-0005-0000-0000-0000335F0000}"/>
    <cellStyle name="Normal 2 2 5 11 3 2" xfId="24372" xr:uid="{00000000-0005-0000-0000-0000345F0000}"/>
    <cellStyle name="Normal 2 2 5 11 3 3" xfId="24373" xr:uid="{00000000-0005-0000-0000-0000355F0000}"/>
    <cellStyle name="Normal 2 2 5 11 3 4" xfId="24374" xr:uid="{00000000-0005-0000-0000-0000365F0000}"/>
    <cellStyle name="Normal 2 2 5 11 3 5" xfId="24375" xr:uid="{00000000-0005-0000-0000-0000375F0000}"/>
    <cellStyle name="Normal 2 2 5 11 3 6" xfId="24376" xr:uid="{00000000-0005-0000-0000-0000385F0000}"/>
    <cellStyle name="Normal 2 2 5 11 3 7" xfId="24377" xr:uid="{00000000-0005-0000-0000-0000395F0000}"/>
    <cellStyle name="Normal 2 2 5 11 3 8" xfId="24378" xr:uid="{00000000-0005-0000-0000-00003A5F0000}"/>
    <cellStyle name="Normal 2 2 5 11 3 9" xfId="24379" xr:uid="{00000000-0005-0000-0000-00003B5F0000}"/>
    <cellStyle name="Normal 2 2 5 11 4" xfId="24380" xr:uid="{00000000-0005-0000-0000-00003C5F0000}"/>
    <cellStyle name="Normal 2 2 5 11 4 10" xfId="24381" xr:uid="{00000000-0005-0000-0000-00003D5F0000}"/>
    <cellStyle name="Normal 2 2 5 11 4 2" xfId="24382" xr:uid="{00000000-0005-0000-0000-00003E5F0000}"/>
    <cellStyle name="Normal 2 2 5 11 4 3" xfId="24383" xr:uid="{00000000-0005-0000-0000-00003F5F0000}"/>
    <cellStyle name="Normal 2 2 5 11 4 4" xfId="24384" xr:uid="{00000000-0005-0000-0000-0000405F0000}"/>
    <cellStyle name="Normal 2 2 5 11 4 5" xfId="24385" xr:uid="{00000000-0005-0000-0000-0000415F0000}"/>
    <cellStyle name="Normal 2 2 5 11 4 6" xfId="24386" xr:uid="{00000000-0005-0000-0000-0000425F0000}"/>
    <cellStyle name="Normal 2 2 5 11 4 7" xfId="24387" xr:uid="{00000000-0005-0000-0000-0000435F0000}"/>
    <cellStyle name="Normal 2 2 5 11 4 8" xfId="24388" xr:uid="{00000000-0005-0000-0000-0000445F0000}"/>
    <cellStyle name="Normal 2 2 5 11 4 9" xfId="24389" xr:uid="{00000000-0005-0000-0000-0000455F0000}"/>
    <cellStyle name="Normal 2 2 5 11 5" xfId="24390" xr:uid="{00000000-0005-0000-0000-0000465F0000}"/>
    <cellStyle name="Normal 2 2 5 11 5 10" xfId="24391" xr:uid="{00000000-0005-0000-0000-0000475F0000}"/>
    <cellStyle name="Normal 2 2 5 11 5 2" xfId="24392" xr:uid="{00000000-0005-0000-0000-0000485F0000}"/>
    <cellStyle name="Normal 2 2 5 11 5 3" xfId="24393" xr:uid="{00000000-0005-0000-0000-0000495F0000}"/>
    <cellStyle name="Normal 2 2 5 11 5 4" xfId="24394" xr:uid="{00000000-0005-0000-0000-00004A5F0000}"/>
    <cellStyle name="Normal 2 2 5 11 5 5" xfId="24395" xr:uid="{00000000-0005-0000-0000-00004B5F0000}"/>
    <cellStyle name="Normal 2 2 5 11 5 6" xfId="24396" xr:uid="{00000000-0005-0000-0000-00004C5F0000}"/>
    <cellStyle name="Normal 2 2 5 11 5 7" xfId="24397" xr:uid="{00000000-0005-0000-0000-00004D5F0000}"/>
    <cellStyle name="Normal 2 2 5 11 5 8" xfId="24398" xr:uid="{00000000-0005-0000-0000-00004E5F0000}"/>
    <cellStyle name="Normal 2 2 5 11 5 9" xfId="24399" xr:uid="{00000000-0005-0000-0000-00004F5F0000}"/>
    <cellStyle name="Normal 2 2 5 11 6" xfId="24400" xr:uid="{00000000-0005-0000-0000-0000505F0000}"/>
    <cellStyle name="Normal 2 2 5 11 7" xfId="24401" xr:uid="{00000000-0005-0000-0000-0000515F0000}"/>
    <cellStyle name="Normal 2 2 5 11 8" xfId="24402" xr:uid="{00000000-0005-0000-0000-0000525F0000}"/>
    <cellStyle name="Normal 2 2 5 11 9" xfId="24403" xr:uid="{00000000-0005-0000-0000-0000535F0000}"/>
    <cellStyle name="Normal 2 2 5 12" xfId="24404" xr:uid="{00000000-0005-0000-0000-0000545F0000}"/>
    <cellStyle name="Normal 2 2 5 12 10" xfId="24405" xr:uid="{00000000-0005-0000-0000-0000555F0000}"/>
    <cellStyle name="Normal 2 2 5 12 11" xfId="24406" xr:uid="{00000000-0005-0000-0000-0000565F0000}"/>
    <cellStyle name="Normal 2 2 5 12 12" xfId="24407" xr:uid="{00000000-0005-0000-0000-0000575F0000}"/>
    <cellStyle name="Normal 2 2 5 12 13" xfId="24408" xr:uid="{00000000-0005-0000-0000-0000585F0000}"/>
    <cellStyle name="Normal 2 2 5 12 14" xfId="24409" xr:uid="{00000000-0005-0000-0000-0000595F0000}"/>
    <cellStyle name="Normal 2 2 5 12 2" xfId="24410" xr:uid="{00000000-0005-0000-0000-00005A5F0000}"/>
    <cellStyle name="Normal 2 2 5 12 2 10" xfId="24411" xr:uid="{00000000-0005-0000-0000-00005B5F0000}"/>
    <cellStyle name="Normal 2 2 5 12 2 2" xfId="24412" xr:uid="{00000000-0005-0000-0000-00005C5F0000}"/>
    <cellStyle name="Normal 2 2 5 12 2 3" xfId="24413" xr:uid="{00000000-0005-0000-0000-00005D5F0000}"/>
    <cellStyle name="Normal 2 2 5 12 2 4" xfId="24414" xr:uid="{00000000-0005-0000-0000-00005E5F0000}"/>
    <cellStyle name="Normal 2 2 5 12 2 5" xfId="24415" xr:uid="{00000000-0005-0000-0000-00005F5F0000}"/>
    <cellStyle name="Normal 2 2 5 12 2 6" xfId="24416" xr:uid="{00000000-0005-0000-0000-0000605F0000}"/>
    <cellStyle name="Normal 2 2 5 12 2 7" xfId="24417" xr:uid="{00000000-0005-0000-0000-0000615F0000}"/>
    <cellStyle name="Normal 2 2 5 12 2 8" xfId="24418" xr:uid="{00000000-0005-0000-0000-0000625F0000}"/>
    <cellStyle name="Normal 2 2 5 12 2 9" xfId="24419" xr:uid="{00000000-0005-0000-0000-0000635F0000}"/>
    <cellStyle name="Normal 2 2 5 12 3" xfId="24420" xr:uid="{00000000-0005-0000-0000-0000645F0000}"/>
    <cellStyle name="Normal 2 2 5 12 3 10" xfId="24421" xr:uid="{00000000-0005-0000-0000-0000655F0000}"/>
    <cellStyle name="Normal 2 2 5 12 3 2" xfId="24422" xr:uid="{00000000-0005-0000-0000-0000665F0000}"/>
    <cellStyle name="Normal 2 2 5 12 3 3" xfId="24423" xr:uid="{00000000-0005-0000-0000-0000675F0000}"/>
    <cellStyle name="Normal 2 2 5 12 3 4" xfId="24424" xr:uid="{00000000-0005-0000-0000-0000685F0000}"/>
    <cellStyle name="Normal 2 2 5 12 3 5" xfId="24425" xr:uid="{00000000-0005-0000-0000-0000695F0000}"/>
    <cellStyle name="Normal 2 2 5 12 3 6" xfId="24426" xr:uid="{00000000-0005-0000-0000-00006A5F0000}"/>
    <cellStyle name="Normal 2 2 5 12 3 7" xfId="24427" xr:uid="{00000000-0005-0000-0000-00006B5F0000}"/>
    <cellStyle name="Normal 2 2 5 12 3 8" xfId="24428" xr:uid="{00000000-0005-0000-0000-00006C5F0000}"/>
    <cellStyle name="Normal 2 2 5 12 3 9" xfId="24429" xr:uid="{00000000-0005-0000-0000-00006D5F0000}"/>
    <cellStyle name="Normal 2 2 5 12 4" xfId="24430" xr:uid="{00000000-0005-0000-0000-00006E5F0000}"/>
    <cellStyle name="Normal 2 2 5 12 4 10" xfId="24431" xr:uid="{00000000-0005-0000-0000-00006F5F0000}"/>
    <cellStyle name="Normal 2 2 5 12 4 2" xfId="24432" xr:uid="{00000000-0005-0000-0000-0000705F0000}"/>
    <cellStyle name="Normal 2 2 5 12 4 3" xfId="24433" xr:uid="{00000000-0005-0000-0000-0000715F0000}"/>
    <cellStyle name="Normal 2 2 5 12 4 4" xfId="24434" xr:uid="{00000000-0005-0000-0000-0000725F0000}"/>
    <cellStyle name="Normal 2 2 5 12 4 5" xfId="24435" xr:uid="{00000000-0005-0000-0000-0000735F0000}"/>
    <cellStyle name="Normal 2 2 5 12 4 6" xfId="24436" xr:uid="{00000000-0005-0000-0000-0000745F0000}"/>
    <cellStyle name="Normal 2 2 5 12 4 7" xfId="24437" xr:uid="{00000000-0005-0000-0000-0000755F0000}"/>
    <cellStyle name="Normal 2 2 5 12 4 8" xfId="24438" xr:uid="{00000000-0005-0000-0000-0000765F0000}"/>
    <cellStyle name="Normal 2 2 5 12 4 9" xfId="24439" xr:uid="{00000000-0005-0000-0000-0000775F0000}"/>
    <cellStyle name="Normal 2 2 5 12 5" xfId="24440" xr:uid="{00000000-0005-0000-0000-0000785F0000}"/>
    <cellStyle name="Normal 2 2 5 12 5 10" xfId="24441" xr:uid="{00000000-0005-0000-0000-0000795F0000}"/>
    <cellStyle name="Normal 2 2 5 12 5 2" xfId="24442" xr:uid="{00000000-0005-0000-0000-00007A5F0000}"/>
    <cellStyle name="Normal 2 2 5 12 5 3" xfId="24443" xr:uid="{00000000-0005-0000-0000-00007B5F0000}"/>
    <cellStyle name="Normal 2 2 5 12 5 4" xfId="24444" xr:uid="{00000000-0005-0000-0000-00007C5F0000}"/>
    <cellStyle name="Normal 2 2 5 12 5 5" xfId="24445" xr:uid="{00000000-0005-0000-0000-00007D5F0000}"/>
    <cellStyle name="Normal 2 2 5 12 5 6" xfId="24446" xr:uid="{00000000-0005-0000-0000-00007E5F0000}"/>
    <cellStyle name="Normal 2 2 5 12 5 7" xfId="24447" xr:uid="{00000000-0005-0000-0000-00007F5F0000}"/>
    <cellStyle name="Normal 2 2 5 12 5 8" xfId="24448" xr:uid="{00000000-0005-0000-0000-0000805F0000}"/>
    <cellStyle name="Normal 2 2 5 12 5 9" xfId="24449" xr:uid="{00000000-0005-0000-0000-0000815F0000}"/>
    <cellStyle name="Normal 2 2 5 12 6" xfId="24450" xr:uid="{00000000-0005-0000-0000-0000825F0000}"/>
    <cellStyle name="Normal 2 2 5 12 7" xfId="24451" xr:uid="{00000000-0005-0000-0000-0000835F0000}"/>
    <cellStyle name="Normal 2 2 5 12 8" xfId="24452" xr:uid="{00000000-0005-0000-0000-0000845F0000}"/>
    <cellStyle name="Normal 2 2 5 12 9" xfId="24453" xr:uid="{00000000-0005-0000-0000-0000855F0000}"/>
    <cellStyle name="Normal 2 2 5 13" xfId="24454" xr:uid="{00000000-0005-0000-0000-0000865F0000}"/>
    <cellStyle name="Normal 2 2 5 13 10" xfId="24455" xr:uid="{00000000-0005-0000-0000-0000875F0000}"/>
    <cellStyle name="Normal 2 2 5 13 11" xfId="24456" xr:uid="{00000000-0005-0000-0000-0000885F0000}"/>
    <cellStyle name="Normal 2 2 5 13 12" xfId="24457" xr:uid="{00000000-0005-0000-0000-0000895F0000}"/>
    <cellStyle name="Normal 2 2 5 13 13" xfId="24458" xr:uid="{00000000-0005-0000-0000-00008A5F0000}"/>
    <cellStyle name="Normal 2 2 5 13 14" xfId="24459" xr:uid="{00000000-0005-0000-0000-00008B5F0000}"/>
    <cellStyle name="Normal 2 2 5 13 2" xfId="24460" xr:uid="{00000000-0005-0000-0000-00008C5F0000}"/>
    <cellStyle name="Normal 2 2 5 13 2 10" xfId="24461" xr:uid="{00000000-0005-0000-0000-00008D5F0000}"/>
    <cellStyle name="Normal 2 2 5 13 2 2" xfId="24462" xr:uid="{00000000-0005-0000-0000-00008E5F0000}"/>
    <cellStyle name="Normal 2 2 5 13 2 3" xfId="24463" xr:uid="{00000000-0005-0000-0000-00008F5F0000}"/>
    <cellStyle name="Normal 2 2 5 13 2 4" xfId="24464" xr:uid="{00000000-0005-0000-0000-0000905F0000}"/>
    <cellStyle name="Normal 2 2 5 13 2 5" xfId="24465" xr:uid="{00000000-0005-0000-0000-0000915F0000}"/>
    <cellStyle name="Normal 2 2 5 13 2 6" xfId="24466" xr:uid="{00000000-0005-0000-0000-0000925F0000}"/>
    <cellStyle name="Normal 2 2 5 13 2 7" xfId="24467" xr:uid="{00000000-0005-0000-0000-0000935F0000}"/>
    <cellStyle name="Normal 2 2 5 13 2 8" xfId="24468" xr:uid="{00000000-0005-0000-0000-0000945F0000}"/>
    <cellStyle name="Normal 2 2 5 13 2 9" xfId="24469" xr:uid="{00000000-0005-0000-0000-0000955F0000}"/>
    <cellStyle name="Normal 2 2 5 13 3" xfId="24470" xr:uid="{00000000-0005-0000-0000-0000965F0000}"/>
    <cellStyle name="Normal 2 2 5 13 3 10" xfId="24471" xr:uid="{00000000-0005-0000-0000-0000975F0000}"/>
    <cellStyle name="Normal 2 2 5 13 3 2" xfId="24472" xr:uid="{00000000-0005-0000-0000-0000985F0000}"/>
    <cellStyle name="Normal 2 2 5 13 3 3" xfId="24473" xr:uid="{00000000-0005-0000-0000-0000995F0000}"/>
    <cellStyle name="Normal 2 2 5 13 3 4" xfId="24474" xr:uid="{00000000-0005-0000-0000-00009A5F0000}"/>
    <cellStyle name="Normal 2 2 5 13 3 5" xfId="24475" xr:uid="{00000000-0005-0000-0000-00009B5F0000}"/>
    <cellStyle name="Normal 2 2 5 13 3 6" xfId="24476" xr:uid="{00000000-0005-0000-0000-00009C5F0000}"/>
    <cellStyle name="Normal 2 2 5 13 3 7" xfId="24477" xr:uid="{00000000-0005-0000-0000-00009D5F0000}"/>
    <cellStyle name="Normal 2 2 5 13 3 8" xfId="24478" xr:uid="{00000000-0005-0000-0000-00009E5F0000}"/>
    <cellStyle name="Normal 2 2 5 13 3 9" xfId="24479" xr:uid="{00000000-0005-0000-0000-00009F5F0000}"/>
    <cellStyle name="Normal 2 2 5 13 4" xfId="24480" xr:uid="{00000000-0005-0000-0000-0000A05F0000}"/>
    <cellStyle name="Normal 2 2 5 13 4 10" xfId="24481" xr:uid="{00000000-0005-0000-0000-0000A15F0000}"/>
    <cellStyle name="Normal 2 2 5 13 4 2" xfId="24482" xr:uid="{00000000-0005-0000-0000-0000A25F0000}"/>
    <cellStyle name="Normal 2 2 5 13 4 3" xfId="24483" xr:uid="{00000000-0005-0000-0000-0000A35F0000}"/>
    <cellStyle name="Normal 2 2 5 13 4 4" xfId="24484" xr:uid="{00000000-0005-0000-0000-0000A45F0000}"/>
    <cellStyle name="Normal 2 2 5 13 4 5" xfId="24485" xr:uid="{00000000-0005-0000-0000-0000A55F0000}"/>
    <cellStyle name="Normal 2 2 5 13 4 6" xfId="24486" xr:uid="{00000000-0005-0000-0000-0000A65F0000}"/>
    <cellStyle name="Normal 2 2 5 13 4 7" xfId="24487" xr:uid="{00000000-0005-0000-0000-0000A75F0000}"/>
    <cellStyle name="Normal 2 2 5 13 4 8" xfId="24488" xr:uid="{00000000-0005-0000-0000-0000A85F0000}"/>
    <cellStyle name="Normal 2 2 5 13 4 9" xfId="24489" xr:uid="{00000000-0005-0000-0000-0000A95F0000}"/>
    <cellStyle name="Normal 2 2 5 13 5" xfId="24490" xr:uid="{00000000-0005-0000-0000-0000AA5F0000}"/>
    <cellStyle name="Normal 2 2 5 13 5 10" xfId="24491" xr:uid="{00000000-0005-0000-0000-0000AB5F0000}"/>
    <cellStyle name="Normal 2 2 5 13 5 2" xfId="24492" xr:uid="{00000000-0005-0000-0000-0000AC5F0000}"/>
    <cellStyle name="Normal 2 2 5 13 5 3" xfId="24493" xr:uid="{00000000-0005-0000-0000-0000AD5F0000}"/>
    <cellStyle name="Normal 2 2 5 13 5 4" xfId="24494" xr:uid="{00000000-0005-0000-0000-0000AE5F0000}"/>
    <cellStyle name="Normal 2 2 5 13 5 5" xfId="24495" xr:uid="{00000000-0005-0000-0000-0000AF5F0000}"/>
    <cellStyle name="Normal 2 2 5 13 5 6" xfId="24496" xr:uid="{00000000-0005-0000-0000-0000B05F0000}"/>
    <cellStyle name="Normal 2 2 5 13 5 7" xfId="24497" xr:uid="{00000000-0005-0000-0000-0000B15F0000}"/>
    <cellStyle name="Normal 2 2 5 13 5 8" xfId="24498" xr:uid="{00000000-0005-0000-0000-0000B25F0000}"/>
    <cellStyle name="Normal 2 2 5 13 5 9" xfId="24499" xr:uid="{00000000-0005-0000-0000-0000B35F0000}"/>
    <cellStyle name="Normal 2 2 5 13 6" xfId="24500" xr:uid="{00000000-0005-0000-0000-0000B45F0000}"/>
    <cellStyle name="Normal 2 2 5 13 7" xfId="24501" xr:uid="{00000000-0005-0000-0000-0000B55F0000}"/>
    <cellStyle name="Normal 2 2 5 13 8" xfId="24502" xr:uid="{00000000-0005-0000-0000-0000B65F0000}"/>
    <cellStyle name="Normal 2 2 5 13 9" xfId="24503" xr:uid="{00000000-0005-0000-0000-0000B75F0000}"/>
    <cellStyle name="Normal 2 2 5 14" xfId="24504" xr:uid="{00000000-0005-0000-0000-0000B85F0000}"/>
    <cellStyle name="Normal 2 2 5 14 10" xfId="24505" xr:uid="{00000000-0005-0000-0000-0000B95F0000}"/>
    <cellStyle name="Normal 2 2 5 14 11" xfId="24506" xr:uid="{00000000-0005-0000-0000-0000BA5F0000}"/>
    <cellStyle name="Normal 2 2 5 14 12" xfId="24507" xr:uid="{00000000-0005-0000-0000-0000BB5F0000}"/>
    <cellStyle name="Normal 2 2 5 14 13" xfId="24508" xr:uid="{00000000-0005-0000-0000-0000BC5F0000}"/>
    <cellStyle name="Normal 2 2 5 14 14" xfId="24509" xr:uid="{00000000-0005-0000-0000-0000BD5F0000}"/>
    <cellStyle name="Normal 2 2 5 14 2" xfId="24510" xr:uid="{00000000-0005-0000-0000-0000BE5F0000}"/>
    <cellStyle name="Normal 2 2 5 14 2 10" xfId="24511" xr:uid="{00000000-0005-0000-0000-0000BF5F0000}"/>
    <cellStyle name="Normal 2 2 5 14 2 2" xfId="24512" xr:uid="{00000000-0005-0000-0000-0000C05F0000}"/>
    <cellStyle name="Normal 2 2 5 14 2 3" xfId="24513" xr:uid="{00000000-0005-0000-0000-0000C15F0000}"/>
    <cellStyle name="Normal 2 2 5 14 2 4" xfId="24514" xr:uid="{00000000-0005-0000-0000-0000C25F0000}"/>
    <cellStyle name="Normal 2 2 5 14 2 5" xfId="24515" xr:uid="{00000000-0005-0000-0000-0000C35F0000}"/>
    <cellStyle name="Normal 2 2 5 14 2 6" xfId="24516" xr:uid="{00000000-0005-0000-0000-0000C45F0000}"/>
    <cellStyle name="Normal 2 2 5 14 2 7" xfId="24517" xr:uid="{00000000-0005-0000-0000-0000C55F0000}"/>
    <cellStyle name="Normal 2 2 5 14 2 8" xfId="24518" xr:uid="{00000000-0005-0000-0000-0000C65F0000}"/>
    <cellStyle name="Normal 2 2 5 14 2 9" xfId="24519" xr:uid="{00000000-0005-0000-0000-0000C75F0000}"/>
    <cellStyle name="Normal 2 2 5 14 3" xfId="24520" xr:uid="{00000000-0005-0000-0000-0000C85F0000}"/>
    <cellStyle name="Normal 2 2 5 14 3 10" xfId="24521" xr:uid="{00000000-0005-0000-0000-0000C95F0000}"/>
    <cellStyle name="Normal 2 2 5 14 3 2" xfId="24522" xr:uid="{00000000-0005-0000-0000-0000CA5F0000}"/>
    <cellStyle name="Normal 2 2 5 14 3 3" xfId="24523" xr:uid="{00000000-0005-0000-0000-0000CB5F0000}"/>
    <cellStyle name="Normal 2 2 5 14 3 4" xfId="24524" xr:uid="{00000000-0005-0000-0000-0000CC5F0000}"/>
    <cellStyle name="Normal 2 2 5 14 3 5" xfId="24525" xr:uid="{00000000-0005-0000-0000-0000CD5F0000}"/>
    <cellStyle name="Normal 2 2 5 14 3 6" xfId="24526" xr:uid="{00000000-0005-0000-0000-0000CE5F0000}"/>
    <cellStyle name="Normal 2 2 5 14 3 7" xfId="24527" xr:uid="{00000000-0005-0000-0000-0000CF5F0000}"/>
    <cellStyle name="Normal 2 2 5 14 3 8" xfId="24528" xr:uid="{00000000-0005-0000-0000-0000D05F0000}"/>
    <cellStyle name="Normal 2 2 5 14 3 9" xfId="24529" xr:uid="{00000000-0005-0000-0000-0000D15F0000}"/>
    <cellStyle name="Normal 2 2 5 14 4" xfId="24530" xr:uid="{00000000-0005-0000-0000-0000D25F0000}"/>
    <cellStyle name="Normal 2 2 5 14 4 10" xfId="24531" xr:uid="{00000000-0005-0000-0000-0000D35F0000}"/>
    <cellStyle name="Normal 2 2 5 14 4 2" xfId="24532" xr:uid="{00000000-0005-0000-0000-0000D45F0000}"/>
    <cellStyle name="Normal 2 2 5 14 4 3" xfId="24533" xr:uid="{00000000-0005-0000-0000-0000D55F0000}"/>
    <cellStyle name="Normal 2 2 5 14 4 4" xfId="24534" xr:uid="{00000000-0005-0000-0000-0000D65F0000}"/>
    <cellStyle name="Normal 2 2 5 14 4 5" xfId="24535" xr:uid="{00000000-0005-0000-0000-0000D75F0000}"/>
    <cellStyle name="Normal 2 2 5 14 4 6" xfId="24536" xr:uid="{00000000-0005-0000-0000-0000D85F0000}"/>
    <cellStyle name="Normal 2 2 5 14 4 7" xfId="24537" xr:uid="{00000000-0005-0000-0000-0000D95F0000}"/>
    <cellStyle name="Normal 2 2 5 14 4 8" xfId="24538" xr:uid="{00000000-0005-0000-0000-0000DA5F0000}"/>
    <cellStyle name="Normal 2 2 5 14 4 9" xfId="24539" xr:uid="{00000000-0005-0000-0000-0000DB5F0000}"/>
    <cellStyle name="Normal 2 2 5 14 5" xfId="24540" xr:uid="{00000000-0005-0000-0000-0000DC5F0000}"/>
    <cellStyle name="Normal 2 2 5 14 5 10" xfId="24541" xr:uid="{00000000-0005-0000-0000-0000DD5F0000}"/>
    <cellStyle name="Normal 2 2 5 14 5 2" xfId="24542" xr:uid="{00000000-0005-0000-0000-0000DE5F0000}"/>
    <cellStyle name="Normal 2 2 5 14 5 3" xfId="24543" xr:uid="{00000000-0005-0000-0000-0000DF5F0000}"/>
    <cellStyle name="Normal 2 2 5 14 5 4" xfId="24544" xr:uid="{00000000-0005-0000-0000-0000E05F0000}"/>
    <cellStyle name="Normal 2 2 5 14 5 5" xfId="24545" xr:uid="{00000000-0005-0000-0000-0000E15F0000}"/>
    <cellStyle name="Normal 2 2 5 14 5 6" xfId="24546" xr:uid="{00000000-0005-0000-0000-0000E25F0000}"/>
    <cellStyle name="Normal 2 2 5 14 5 7" xfId="24547" xr:uid="{00000000-0005-0000-0000-0000E35F0000}"/>
    <cellStyle name="Normal 2 2 5 14 5 8" xfId="24548" xr:uid="{00000000-0005-0000-0000-0000E45F0000}"/>
    <cellStyle name="Normal 2 2 5 14 5 9" xfId="24549" xr:uid="{00000000-0005-0000-0000-0000E55F0000}"/>
    <cellStyle name="Normal 2 2 5 14 6" xfId="24550" xr:uid="{00000000-0005-0000-0000-0000E65F0000}"/>
    <cellStyle name="Normal 2 2 5 14 7" xfId="24551" xr:uid="{00000000-0005-0000-0000-0000E75F0000}"/>
    <cellStyle name="Normal 2 2 5 14 8" xfId="24552" xr:uid="{00000000-0005-0000-0000-0000E85F0000}"/>
    <cellStyle name="Normal 2 2 5 14 9" xfId="24553" xr:uid="{00000000-0005-0000-0000-0000E95F0000}"/>
    <cellStyle name="Normal 2 2 5 15" xfId="24554" xr:uid="{00000000-0005-0000-0000-0000EA5F0000}"/>
    <cellStyle name="Normal 2 2 5 15 10" xfId="24555" xr:uid="{00000000-0005-0000-0000-0000EB5F0000}"/>
    <cellStyle name="Normal 2 2 5 15 11" xfId="24556" xr:uid="{00000000-0005-0000-0000-0000EC5F0000}"/>
    <cellStyle name="Normal 2 2 5 15 12" xfId="24557" xr:uid="{00000000-0005-0000-0000-0000ED5F0000}"/>
    <cellStyle name="Normal 2 2 5 15 13" xfId="24558" xr:uid="{00000000-0005-0000-0000-0000EE5F0000}"/>
    <cellStyle name="Normal 2 2 5 15 14" xfId="24559" xr:uid="{00000000-0005-0000-0000-0000EF5F0000}"/>
    <cellStyle name="Normal 2 2 5 15 2" xfId="24560" xr:uid="{00000000-0005-0000-0000-0000F05F0000}"/>
    <cellStyle name="Normal 2 2 5 15 2 10" xfId="24561" xr:uid="{00000000-0005-0000-0000-0000F15F0000}"/>
    <cellStyle name="Normal 2 2 5 15 2 2" xfId="24562" xr:uid="{00000000-0005-0000-0000-0000F25F0000}"/>
    <cellStyle name="Normal 2 2 5 15 2 3" xfId="24563" xr:uid="{00000000-0005-0000-0000-0000F35F0000}"/>
    <cellStyle name="Normal 2 2 5 15 2 4" xfId="24564" xr:uid="{00000000-0005-0000-0000-0000F45F0000}"/>
    <cellStyle name="Normal 2 2 5 15 2 5" xfId="24565" xr:uid="{00000000-0005-0000-0000-0000F55F0000}"/>
    <cellStyle name="Normal 2 2 5 15 2 6" xfId="24566" xr:uid="{00000000-0005-0000-0000-0000F65F0000}"/>
    <cellStyle name="Normal 2 2 5 15 2 7" xfId="24567" xr:uid="{00000000-0005-0000-0000-0000F75F0000}"/>
    <cellStyle name="Normal 2 2 5 15 2 8" xfId="24568" xr:uid="{00000000-0005-0000-0000-0000F85F0000}"/>
    <cellStyle name="Normal 2 2 5 15 2 9" xfId="24569" xr:uid="{00000000-0005-0000-0000-0000F95F0000}"/>
    <cellStyle name="Normal 2 2 5 15 3" xfId="24570" xr:uid="{00000000-0005-0000-0000-0000FA5F0000}"/>
    <cellStyle name="Normal 2 2 5 15 3 10" xfId="24571" xr:uid="{00000000-0005-0000-0000-0000FB5F0000}"/>
    <cellStyle name="Normal 2 2 5 15 3 2" xfId="24572" xr:uid="{00000000-0005-0000-0000-0000FC5F0000}"/>
    <cellStyle name="Normal 2 2 5 15 3 3" xfId="24573" xr:uid="{00000000-0005-0000-0000-0000FD5F0000}"/>
    <cellStyle name="Normal 2 2 5 15 3 4" xfId="24574" xr:uid="{00000000-0005-0000-0000-0000FE5F0000}"/>
    <cellStyle name="Normal 2 2 5 15 3 5" xfId="24575" xr:uid="{00000000-0005-0000-0000-0000FF5F0000}"/>
    <cellStyle name="Normal 2 2 5 15 3 6" xfId="24576" xr:uid="{00000000-0005-0000-0000-000000600000}"/>
    <cellStyle name="Normal 2 2 5 15 3 7" xfId="24577" xr:uid="{00000000-0005-0000-0000-000001600000}"/>
    <cellStyle name="Normal 2 2 5 15 3 8" xfId="24578" xr:uid="{00000000-0005-0000-0000-000002600000}"/>
    <cellStyle name="Normal 2 2 5 15 3 9" xfId="24579" xr:uid="{00000000-0005-0000-0000-000003600000}"/>
    <cellStyle name="Normal 2 2 5 15 4" xfId="24580" xr:uid="{00000000-0005-0000-0000-000004600000}"/>
    <cellStyle name="Normal 2 2 5 15 4 10" xfId="24581" xr:uid="{00000000-0005-0000-0000-000005600000}"/>
    <cellStyle name="Normal 2 2 5 15 4 2" xfId="24582" xr:uid="{00000000-0005-0000-0000-000006600000}"/>
    <cellStyle name="Normal 2 2 5 15 4 3" xfId="24583" xr:uid="{00000000-0005-0000-0000-000007600000}"/>
    <cellStyle name="Normal 2 2 5 15 4 4" xfId="24584" xr:uid="{00000000-0005-0000-0000-000008600000}"/>
    <cellStyle name="Normal 2 2 5 15 4 5" xfId="24585" xr:uid="{00000000-0005-0000-0000-000009600000}"/>
    <cellStyle name="Normal 2 2 5 15 4 6" xfId="24586" xr:uid="{00000000-0005-0000-0000-00000A600000}"/>
    <cellStyle name="Normal 2 2 5 15 4 7" xfId="24587" xr:uid="{00000000-0005-0000-0000-00000B600000}"/>
    <cellStyle name="Normal 2 2 5 15 4 8" xfId="24588" xr:uid="{00000000-0005-0000-0000-00000C600000}"/>
    <cellStyle name="Normal 2 2 5 15 4 9" xfId="24589" xr:uid="{00000000-0005-0000-0000-00000D600000}"/>
    <cellStyle name="Normal 2 2 5 15 5" xfId="24590" xr:uid="{00000000-0005-0000-0000-00000E600000}"/>
    <cellStyle name="Normal 2 2 5 15 5 10" xfId="24591" xr:uid="{00000000-0005-0000-0000-00000F600000}"/>
    <cellStyle name="Normal 2 2 5 15 5 2" xfId="24592" xr:uid="{00000000-0005-0000-0000-000010600000}"/>
    <cellStyle name="Normal 2 2 5 15 5 3" xfId="24593" xr:uid="{00000000-0005-0000-0000-000011600000}"/>
    <cellStyle name="Normal 2 2 5 15 5 4" xfId="24594" xr:uid="{00000000-0005-0000-0000-000012600000}"/>
    <cellStyle name="Normal 2 2 5 15 5 5" xfId="24595" xr:uid="{00000000-0005-0000-0000-000013600000}"/>
    <cellStyle name="Normal 2 2 5 15 5 6" xfId="24596" xr:uid="{00000000-0005-0000-0000-000014600000}"/>
    <cellStyle name="Normal 2 2 5 15 5 7" xfId="24597" xr:uid="{00000000-0005-0000-0000-000015600000}"/>
    <cellStyle name="Normal 2 2 5 15 5 8" xfId="24598" xr:uid="{00000000-0005-0000-0000-000016600000}"/>
    <cellStyle name="Normal 2 2 5 15 5 9" xfId="24599" xr:uid="{00000000-0005-0000-0000-000017600000}"/>
    <cellStyle name="Normal 2 2 5 15 6" xfId="24600" xr:uid="{00000000-0005-0000-0000-000018600000}"/>
    <cellStyle name="Normal 2 2 5 15 7" xfId="24601" xr:uid="{00000000-0005-0000-0000-000019600000}"/>
    <cellStyle name="Normal 2 2 5 15 8" xfId="24602" xr:uid="{00000000-0005-0000-0000-00001A600000}"/>
    <cellStyle name="Normal 2 2 5 15 9" xfId="24603" xr:uid="{00000000-0005-0000-0000-00001B600000}"/>
    <cellStyle name="Normal 2 2 5 16" xfId="24604" xr:uid="{00000000-0005-0000-0000-00001C600000}"/>
    <cellStyle name="Normal 2 2 5 16 10" xfId="24605" xr:uid="{00000000-0005-0000-0000-00001D600000}"/>
    <cellStyle name="Normal 2 2 5 16 11" xfId="24606" xr:uid="{00000000-0005-0000-0000-00001E600000}"/>
    <cellStyle name="Normal 2 2 5 16 12" xfId="24607" xr:uid="{00000000-0005-0000-0000-00001F600000}"/>
    <cellStyle name="Normal 2 2 5 16 13" xfId="24608" xr:uid="{00000000-0005-0000-0000-000020600000}"/>
    <cellStyle name="Normal 2 2 5 16 14" xfId="24609" xr:uid="{00000000-0005-0000-0000-000021600000}"/>
    <cellStyle name="Normal 2 2 5 16 2" xfId="24610" xr:uid="{00000000-0005-0000-0000-000022600000}"/>
    <cellStyle name="Normal 2 2 5 16 2 10" xfId="24611" xr:uid="{00000000-0005-0000-0000-000023600000}"/>
    <cellStyle name="Normal 2 2 5 16 2 2" xfId="24612" xr:uid="{00000000-0005-0000-0000-000024600000}"/>
    <cellStyle name="Normal 2 2 5 16 2 3" xfId="24613" xr:uid="{00000000-0005-0000-0000-000025600000}"/>
    <cellStyle name="Normal 2 2 5 16 2 4" xfId="24614" xr:uid="{00000000-0005-0000-0000-000026600000}"/>
    <cellStyle name="Normal 2 2 5 16 2 5" xfId="24615" xr:uid="{00000000-0005-0000-0000-000027600000}"/>
    <cellStyle name="Normal 2 2 5 16 2 6" xfId="24616" xr:uid="{00000000-0005-0000-0000-000028600000}"/>
    <cellStyle name="Normal 2 2 5 16 2 7" xfId="24617" xr:uid="{00000000-0005-0000-0000-000029600000}"/>
    <cellStyle name="Normal 2 2 5 16 2 8" xfId="24618" xr:uid="{00000000-0005-0000-0000-00002A600000}"/>
    <cellStyle name="Normal 2 2 5 16 2 9" xfId="24619" xr:uid="{00000000-0005-0000-0000-00002B600000}"/>
    <cellStyle name="Normal 2 2 5 16 3" xfId="24620" xr:uid="{00000000-0005-0000-0000-00002C600000}"/>
    <cellStyle name="Normal 2 2 5 16 3 10" xfId="24621" xr:uid="{00000000-0005-0000-0000-00002D600000}"/>
    <cellStyle name="Normal 2 2 5 16 3 2" xfId="24622" xr:uid="{00000000-0005-0000-0000-00002E600000}"/>
    <cellStyle name="Normal 2 2 5 16 3 3" xfId="24623" xr:uid="{00000000-0005-0000-0000-00002F600000}"/>
    <cellStyle name="Normal 2 2 5 16 3 4" xfId="24624" xr:uid="{00000000-0005-0000-0000-000030600000}"/>
    <cellStyle name="Normal 2 2 5 16 3 5" xfId="24625" xr:uid="{00000000-0005-0000-0000-000031600000}"/>
    <cellStyle name="Normal 2 2 5 16 3 6" xfId="24626" xr:uid="{00000000-0005-0000-0000-000032600000}"/>
    <cellStyle name="Normal 2 2 5 16 3 7" xfId="24627" xr:uid="{00000000-0005-0000-0000-000033600000}"/>
    <cellStyle name="Normal 2 2 5 16 3 8" xfId="24628" xr:uid="{00000000-0005-0000-0000-000034600000}"/>
    <cellStyle name="Normal 2 2 5 16 3 9" xfId="24629" xr:uid="{00000000-0005-0000-0000-000035600000}"/>
    <cellStyle name="Normal 2 2 5 16 4" xfId="24630" xr:uid="{00000000-0005-0000-0000-000036600000}"/>
    <cellStyle name="Normal 2 2 5 16 4 10" xfId="24631" xr:uid="{00000000-0005-0000-0000-000037600000}"/>
    <cellStyle name="Normal 2 2 5 16 4 2" xfId="24632" xr:uid="{00000000-0005-0000-0000-000038600000}"/>
    <cellStyle name="Normal 2 2 5 16 4 3" xfId="24633" xr:uid="{00000000-0005-0000-0000-000039600000}"/>
    <cellStyle name="Normal 2 2 5 16 4 4" xfId="24634" xr:uid="{00000000-0005-0000-0000-00003A600000}"/>
    <cellStyle name="Normal 2 2 5 16 4 5" xfId="24635" xr:uid="{00000000-0005-0000-0000-00003B600000}"/>
    <cellStyle name="Normal 2 2 5 16 4 6" xfId="24636" xr:uid="{00000000-0005-0000-0000-00003C600000}"/>
    <cellStyle name="Normal 2 2 5 16 4 7" xfId="24637" xr:uid="{00000000-0005-0000-0000-00003D600000}"/>
    <cellStyle name="Normal 2 2 5 16 4 8" xfId="24638" xr:uid="{00000000-0005-0000-0000-00003E600000}"/>
    <cellStyle name="Normal 2 2 5 16 4 9" xfId="24639" xr:uid="{00000000-0005-0000-0000-00003F600000}"/>
    <cellStyle name="Normal 2 2 5 16 5" xfId="24640" xr:uid="{00000000-0005-0000-0000-000040600000}"/>
    <cellStyle name="Normal 2 2 5 16 5 10" xfId="24641" xr:uid="{00000000-0005-0000-0000-000041600000}"/>
    <cellStyle name="Normal 2 2 5 16 5 2" xfId="24642" xr:uid="{00000000-0005-0000-0000-000042600000}"/>
    <cellStyle name="Normal 2 2 5 16 5 3" xfId="24643" xr:uid="{00000000-0005-0000-0000-000043600000}"/>
    <cellStyle name="Normal 2 2 5 16 5 4" xfId="24644" xr:uid="{00000000-0005-0000-0000-000044600000}"/>
    <cellStyle name="Normal 2 2 5 16 5 5" xfId="24645" xr:uid="{00000000-0005-0000-0000-000045600000}"/>
    <cellStyle name="Normal 2 2 5 16 5 6" xfId="24646" xr:uid="{00000000-0005-0000-0000-000046600000}"/>
    <cellStyle name="Normal 2 2 5 16 5 7" xfId="24647" xr:uid="{00000000-0005-0000-0000-000047600000}"/>
    <cellStyle name="Normal 2 2 5 16 5 8" xfId="24648" xr:uid="{00000000-0005-0000-0000-000048600000}"/>
    <cellStyle name="Normal 2 2 5 16 5 9" xfId="24649" xr:uid="{00000000-0005-0000-0000-000049600000}"/>
    <cellStyle name="Normal 2 2 5 16 6" xfId="24650" xr:uid="{00000000-0005-0000-0000-00004A600000}"/>
    <cellStyle name="Normal 2 2 5 16 7" xfId="24651" xr:uid="{00000000-0005-0000-0000-00004B600000}"/>
    <cellStyle name="Normal 2 2 5 16 8" xfId="24652" xr:uid="{00000000-0005-0000-0000-00004C600000}"/>
    <cellStyle name="Normal 2 2 5 16 9" xfId="24653" xr:uid="{00000000-0005-0000-0000-00004D600000}"/>
    <cellStyle name="Normal 2 2 5 17" xfId="24654" xr:uid="{00000000-0005-0000-0000-00004E600000}"/>
    <cellStyle name="Normal 2 2 5 17 10" xfId="24655" xr:uid="{00000000-0005-0000-0000-00004F600000}"/>
    <cellStyle name="Normal 2 2 5 17 11" xfId="24656" xr:uid="{00000000-0005-0000-0000-000050600000}"/>
    <cellStyle name="Normal 2 2 5 17 12" xfId="24657" xr:uid="{00000000-0005-0000-0000-000051600000}"/>
    <cellStyle name="Normal 2 2 5 17 13" xfId="24658" xr:uid="{00000000-0005-0000-0000-000052600000}"/>
    <cellStyle name="Normal 2 2 5 17 14" xfId="24659" xr:uid="{00000000-0005-0000-0000-000053600000}"/>
    <cellStyle name="Normal 2 2 5 17 2" xfId="24660" xr:uid="{00000000-0005-0000-0000-000054600000}"/>
    <cellStyle name="Normal 2 2 5 17 2 10" xfId="24661" xr:uid="{00000000-0005-0000-0000-000055600000}"/>
    <cellStyle name="Normal 2 2 5 17 2 2" xfId="24662" xr:uid="{00000000-0005-0000-0000-000056600000}"/>
    <cellStyle name="Normal 2 2 5 17 2 3" xfId="24663" xr:uid="{00000000-0005-0000-0000-000057600000}"/>
    <cellStyle name="Normal 2 2 5 17 2 4" xfId="24664" xr:uid="{00000000-0005-0000-0000-000058600000}"/>
    <cellStyle name="Normal 2 2 5 17 2 5" xfId="24665" xr:uid="{00000000-0005-0000-0000-000059600000}"/>
    <cellStyle name="Normal 2 2 5 17 2 6" xfId="24666" xr:uid="{00000000-0005-0000-0000-00005A600000}"/>
    <cellStyle name="Normal 2 2 5 17 2 7" xfId="24667" xr:uid="{00000000-0005-0000-0000-00005B600000}"/>
    <cellStyle name="Normal 2 2 5 17 2 8" xfId="24668" xr:uid="{00000000-0005-0000-0000-00005C600000}"/>
    <cellStyle name="Normal 2 2 5 17 2 9" xfId="24669" xr:uid="{00000000-0005-0000-0000-00005D600000}"/>
    <cellStyle name="Normal 2 2 5 17 3" xfId="24670" xr:uid="{00000000-0005-0000-0000-00005E600000}"/>
    <cellStyle name="Normal 2 2 5 17 3 10" xfId="24671" xr:uid="{00000000-0005-0000-0000-00005F600000}"/>
    <cellStyle name="Normal 2 2 5 17 3 2" xfId="24672" xr:uid="{00000000-0005-0000-0000-000060600000}"/>
    <cellStyle name="Normal 2 2 5 17 3 3" xfId="24673" xr:uid="{00000000-0005-0000-0000-000061600000}"/>
    <cellStyle name="Normal 2 2 5 17 3 4" xfId="24674" xr:uid="{00000000-0005-0000-0000-000062600000}"/>
    <cellStyle name="Normal 2 2 5 17 3 5" xfId="24675" xr:uid="{00000000-0005-0000-0000-000063600000}"/>
    <cellStyle name="Normal 2 2 5 17 3 6" xfId="24676" xr:uid="{00000000-0005-0000-0000-000064600000}"/>
    <cellStyle name="Normal 2 2 5 17 3 7" xfId="24677" xr:uid="{00000000-0005-0000-0000-000065600000}"/>
    <cellStyle name="Normal 2 2 5 17 3 8" xfId="24678" xr:uid="{00000000-0005-0000-0000-000066600000}"/>
    <cellStyle name="Normal 2 2 5 17 3 9" xfId="24679" xr:uid="{00000000-0005-0000-0000-000067600000}"/>
    <cellStyle name="Normal 2 2 5 17 4" xfId="24680" xr:uid="{00000000-0005-0000-0000-000068600000}"/>
    <cellStyle name="Normal 2 2 5 17 4 10" xfId="24681" xr:uid="{00000000-0005-0000-0000-000069600000}"/>
    <cellStyle name="Normal 2 2 5 17 4 2" xfId="24682" xr:uid="{00000000-0005-0000-0000-00006A600000}"/>
    <cellStyle name="Normal 2 2 5 17 4 3" xfId="24683" xr:uid="{00000000-0005-0000-0000-00006B600000}"/>
    <cellStyle name="Normal 2 2 5 17 4 4" xfId="24684" xr:uid="{00000000-0005-0000-0000-00006C600000}"/>
    <cellStyle name="Normal 2 2 5 17 4 5" xfId="24685" xr:uid="{00000000-0005-0000-0000-00006D600000}"/>
    <cellStyle name="Normal 2 2 5 17 4 6" xfId="24686" xr:uid="{00000000-0005-0000-0000-00006E600000}"/>
    <cellStyle name="Normal 2 2 5 17 4 7" xfId="24687" xr:uid="{00000000-0005-0000-0000-00006F600000}"/>
    <cellStyle name="Normal 2 2 5 17 4 8" xfId="24688" xr:uid="{00000000-0005-0000-0000-000070600000}"/>
    <cellStyle name="Normal 2 2 5 17 4 9" xfId="24689" xr:uid="{00000000-0005-0000-0000-000071600000}"/>
    <cellStyle name="Normal 2 2 5 17 5" xfId="24690" xr:uid="{00000000-0005-0000-0000-000072600000}"/>
    <cellStyle name="Normal 2 2 5 17 5 10" xfId="24691" xr:uid="{00000000-0005-0000-0000-000073600000}"/>
    <cellStyle name="Normal 2 2 5 17 5 2" xfId="24692" xr:uid="{00000000-0005-0000-0000-000074600000}"/>
    <cellStyle name="Normal 2 2 5 17 5 3" xfId="24693" xr:uid="{00000000-0005-0000-0000-000075600000}"/>
    <cellStyle name="Normal 2 2 5 17 5 4" xfId="24694" xr:uid="{00000000-0005-0000-0000-000076600000}"/>
    <cellStyle name="Normal 2 2 5 17 5 5" xfId="24695" xr:uid="{00000000-0005-0000-0000-000077600000}"/>
    <cellStyle name="Normal 2 2 5 17 5 6" xfId="24696" xr:uid="{00000000-0005-0000-0000-000078600000}"/>
    <cellStyle name="Normal 2 2 5 17 5 7" xfId="24697" xr:uid="{00000000-0005-0000-0000-000079600000}"/>
    <cellStyle name="Normal 2 2 5 17 5 8" xfId="24698" xr:uid="{00000000-0005-0000-0000-00007A600000}"/>
    <cellStyle name="Normal 2 2 5 17 5 9" xfId="24699" xr:uid="{00000000-0005-0000-0000-00007B600000}"/>
    <cellStyle name="Normal 2 2 5 17 6" xfId="24700" xr:uid="{00000000-0005-0000-0000-00007C600000}"/>
    <cellStyle name="Normal 2 2 5 17 7" xfId="24701" xr:uid="{00000000-0005-0000-0000-00007D600000}"/>
    <cellStyle name="Normal 2 2 5 17 8" xfId="24702" xr:uid="{00000000-0005-0000-0000-00007E600000}"/>
    <cellStyle name="Normal 2 2 5 17 9" xfId="24703" xr:uid="{00000000-0005-0000-0000-00007F600000}"/>
    <cellStyle name="Normal 2 2 5 18" xfId="24704" xr:uid="{00000000-0005-0000-0000-000080600000}"/>
    <cellStyle name="Normal 2 2 5 18 10" xfId="24705" xr:uid="{00000000-0005-0000-0000-000081600000}"/>
    <cellStyle name="Normal 2 2 5 18 11" xfId="24706" xr:uid="{00000000-0005-0000-0000-000082600000}"/>
    <cellStyle name="Normal 2 2 5 18 12" xfId="24707" xr:uid="{00000000-0005-0000-0000-000083600000}"/>
    <cellStyle name="Normal 2 2 5 18 13" xfId="24708" xr:uid="{00000000-0005-0000-0000-000084600000}"/>
    <cellStyle name="Normal 2 2 5 18 14" xfId="24709" xr:uid="{00000000-0005-0000-0000-000085600000}"/>
    <cellStyle name="Normal 2 2 5 18 2" xfId="24710" xr:uid="{00000000-0005-0000-0000-000086600000}"/>
    <cellStyle name="Normal 2 2 5 18 2 10" xfId="24711" xr:uid="{00000000-0005-0000-0000-000087600000}"/>
    <cellStyle name="Normal 2 2 5 18 2 2" xfId="24712" xr:uid="{00000000-0005-0000-0000-000088600000}"/>
    <cellStyle name="Normal 2 2 5 18 2 3" xfId="24713" xr:uid="{00000000-0005-0000-0000-000089600000}"/>
    <cellStyle name="Normal 2 2 5 18 2 4" xfId="24714" xr:uid="{00000000-0005-0000-0000-00008A600000}"/>
    <cellStyle name="Normal 2 2 5 18 2 5" xfId="24715" xr:uid="{00000000-0005-0000-0000-00008B600000}"/>
    <cellStyle name="Normal 2 2 5 18 2 6" xfId="24716" xr:uid="{00000000-0005-0000-0000-00008C600000}"/>
    <cellStyle name="Normal 2 2 5 18 2 7" xfId="24717" xr:uid="{00000000-0005-0000-0000-00008D600000}"/>
    <cellStyle name="Normal 2 2 5 18 2 8" xfId="24718" xr:uid="{00000000-0005-0000-0000-00008E600000}"/>
    <cellStyle name="Normal 2 2 5 18 2 9" xfId="24719" xr:uid="{00000000-0005-0000-0000-00008F600000}"/>
    <cellStyle name="Normal 2 2 5 18 3" xfId="24720" xr:uid="{00000000-0005-0000-0000-000090600000}"/>
    <cellStyle name="Normal 2 2 5 18 3 10" xfId="24721" xr:uid="{00000000-0005-0000-0000-000091600000}"/>
    <cellStyle name="Normal 2 2 5 18 3 2" xfId="24722" xr:uid="{00000000-0005-0000-0000-000092600000}"/>
    <cellStyle name="Normal 2 2 5 18 3 3" xfId="24723" xr:uid="{00000000-0005-0000-0000-000093600000}"/>
    <cellStyle name="Normal 2 2 5 18 3 4" xfId="24724" xr:uid="{00000000-0005-0000-0000-000094600000}"/>
    <cellStyle name="Normal 2 2 5 18 3 5" xfId="24725" xr:uid="{00000000-0005-0000-0000-000095600000}"/>
    <cellStyle name="Normal 2 2 5 18 3 6" xfId="24726" xr:uid="{00000000-0005-0000-0000-000096600000}"/>
    <cellStyle name="Normal 2 2 5 18 3 7" xfId="24727" xr:uid="{00000000-0005-0000-0000-000097600000}"/>
    <cellStyle name="Normal 2 2 5 18 3 8" xfId="24728" xr:uid="{00000000-0005-0000-0000-000098600000}"/>
    <cellStyle name="Normal 2 2 5 18 3 9" xfId="24729" xr:uid="{00000000-0005-0000-0000-000099600000}"/>
    <cellStyle name="Normal 2 2 5 18 4" xfId="24730" xr:uid="{00000000-0005-0000-0000-00009A600000}"/>
    <cellStyle name="Normal 2 2 5 18 4 10" xfId="24731" xr:uid="{00000000-0005-0000-0000-00009B600000}"/>
    <cellStyle name="Normal 2 2 5 18 4 2" xfId="24732" xr:uid="{00000000-0005-0000-0000-00009C600000}"/>
    <cellStyle name="Normal 2 2 5 18 4 3" xfId="24733" xr:uid="{00000000-0005-0000-0000-00009D600000}"/>
    <cellStyle name="Normal 2 2 5 18 4 4" xfId="24734" xr:uid="{00000000-0005-0000-0000-00009E600000}"/>
    <cellStyle name="Normal 2 2 5 18 4 5" xfId="24735" xr:uid="{00000000-0005-0000-0000-00009F600000}"/>
    <cellStyle name="Normal 2 2 5 18 4 6" xfId="24736" xr:uid="{00000000-0005-0000-0000-0000A0600000}"/>
    <cellStyle name="Normal 2 2 5 18 4 7" xfId="24737" xr:uid="{00000000-0005-0000-0000-0000A1600000}"/>
    <cellStyle name="Normal 2 2 5 18 4 8" xfId="24738" xr:uid="{00000000-0005-0000-0000-0000A2600000}"/>
    <cellStyle name="Normal 2 2 5 18 4 9" xfId="24739" xr:uid="{00000000-0005-0000-0000-0000A3600000}"/>
    <cellStyle name="Normal 2 2 5 18 5" xfId="24740" xr:uid="{00000000-0005-0000-0000-0000A4600000}"/>
    <cellStyle name="Normal 2 2 5 18 5 10" xfId="24741" xr:uid="{00000000-0005-0000-0000-0000A5600000}"/>
    <cellStyle name="Normal 2 2 5 18 5 2" xfId="24742" xr:uid="{00000000-0005-0000-0000-0000A6600000}"/>
    <cellStyle name="Normal 2 2 5 18 5 3" xfId="24743" xr:uid="{00000000-0005-0000-0000-0000A7600000}"/>
    <cellStyle name="Normal 2 2 5 18 5 4" xfId="24744" xr:uid="{00000000-0005-0000-0000-0000A8600000}"/>
    <cellStyle name="Normal 2 2 5 18 5 5" xfId="24745" xr:uid="{00000000-0005-0000-0000-0000A9600000}"/>
    <cellStyle name="Normal 2 2 5 18 5 6" xfId="24746" xr:uid="{00000000-0005-0000-0000-0000AA600000}"/>
    <cellStyle name="Normal 2 2 5 18 5 7" xfId="24747" xr:uid="{00000000-0005-0000-0000-0000AB600000}"/>
    <cellStyle name="Normal 2 2 5 18 5 8" xfId="24748" xr:uid="{00000000-0005-0000-0000-0000AC600000}"/>
    <cellStyle name="Normal 2 2 5 18 5 9" xfId="24749" xr:uid="{00000000-0005-0000-0000-0000AD600000}"/>
    <cellStyle name="Normal 2 2 5 18 6" xfId="24750" xr:uid="{00000000-0005-0000-0000-0000AE600000}"/>
    <cellStyle name="Normal 2 2 5 18 7" xfId="24751" xr:uid="{00000000-0005-0000-0000-0000AF600000}"/>
    <cellStyle name="Normal 2 2 5 18 8" xfId="24752" xr:uid="{00000000-0005-0000-0000-0000B0600000}"/>
    <cellStyle name="Normal 2 2 5 18 9" xfId="24753" xr:uid="{00000000-0005-0000-0000-0000B1600000}"/>
    <cellStyle name="Normal 2 2 5 19" xfId="24754" xr:uid="{00000000-0005-0000-0000-0000B2600000}"/>
    <cellStyle name="Normal 2 2 5 19 10" xfId="24755" xr:uid="{00000000-0005-0000-0000-0000B3600000}"/>
    <cellStyle name="Normal 2 2 5 19 11" xfId="24756" xr:uid="{00000000-0005-0000-0000-0000B4600000}"/>
    <cellStyle name="Normal 2 2 5 19 12" xfId="24757" xr:uid="{00000000-0005-0000-0000-0000B5600000}"/>
    <cellStyle name="Normal 2 2 5 19 13" xfId="24758" xr:uid="{00000000-0005-0000-0000-0000B6600000}"/>
    <cellStyle name="Normal 2 2 5 19 14" xfId="24759" xr:uid="{00000000-0005-0000-0000-0000B7600000}"/>
    <cellStyle name="Normal 2 2 5 19 2" xfId="24760" xr:uid="{00000000-0005-0000-0000-0000B8600000}"/>
    <cellStyle name="Normal 2 2 5 19 2 10" xfId="24761" xr:uid="{00000000-0005-0000-0000-0000B9600000}"/>
    <cellStyle name="Normal 2 2 5 19 2 2" xfId="24762" xr:uid="{00000000-0005-0000-0000-0000BA600000}"/>
    <cellStyle name="Normal 2 2 5 19 2 3" xfId="24763" xr:uid="{00000000-0005-0000-0000-0000BB600000}"/>
    <cellStyle name="Normal 2 2 5 19 2 4" xfId="24764" xr:uid="{00000000-0005-0000-0000-0000BC600000}"/>
    <cellStyle name="Normal 2 2 5 19 2 5" xfId="24765" xr:uid="{00000000-0005-0000-0000-0000BD600000}"/>
    <cellStyle name="Normal 2 2 5 19 2 6" xfId="24766" xr:uid="{00000000-0005-0000-0000-0000BE600000}"/>
    <cellStyle name="Normal 2 2 5 19 2 7" xfId="24767" xr:uid="{00000000-0005-0000-0000-0000BF600000}"/>
    <cellStyle name="Normal 2 2 5 19 2 8" xfId="24768" xr:uid="{00000000-0005-0000-0000-0000C0600000}"/>
    <cellStyle name="Normal 2 2 5 19 2 9" xfId="24769" xr:uid="{00000000-0005-0000-0000-0000C1600000}"/>
    <cellStyle name="Normal 2 2 5 19 3" xfId="24770" xr:uid="{00000000-0005-0000-0000-0000C2600000}"/>
    <cellStyle name="Normal 2 2 5 19 3 10" xfId="24771" xr:uid="{00000000-0005-0000-0000-0000C3600000}"/>
    <cellStyle name="Normal 2 2 5 19 3 2" xfId="24772" xr:uid="{00000000-0005-0000-0000-0000C4600000}"/>
    <cellStyle name="Normal 2 2 5 19 3 3" xfId="24773" xr:uid="{00000000-0005-0000-0000-0000C5600000}"/>
    <cellStyle name="Normal 2 2 5 19 3 4" xfId="24774" xr:uid="{00000000-0005-0000-0000-0000C6600000}"/>
    <cellStyle name="Normal 2 2 5 19 3 5" xfId="24775" xr:uid="{00000000-0005-0000-0000-0000C7600000}"/>
    <cellStyle name="Normal 2 2 5 19 3 6" xfId="24776" xr:uid="{00000000-0005-0000-0000-0000C8600000}"/>
    <cellStyle name="Normal 2 2 5 19 3 7" xfId="24777" xr:uid="{00000000-0005-0000-0000-0000C9600000}"/>
    <cellStyle name="Normal 2 2 5 19 3 8" xfId="24778" xr:uid="{00000000-0005-0000-0000-0000CA600000}"/>
    <cellStyle name="Normal 2 2 5 19 3 9" xfId="24779" xr:uid="{00000000-0005-0000-0000-0000CB600000}"/>
    <cellStyle name="Normal 2 2 5 19 4" xfId="24780" xr:uid="{00000000-0005-0000-0000-0000CC600000}"/>
    <cellStyle name="Normal 2 2 5 19 4 10" xfId="24781" xr:uid="{00000000-0005-0000-0000-0000CD600000}"/>
    <cellStyle name="Normal 2 2 5 19 4 2" xfId="24782" xr:uid="{00000000-0005-0000-0000-0000CE600000}"/>
    <cellStyle name="Normal 2 2 5 19 4 3" xfId="24783" xr:uid="{00000000-0005-0000-0000-0000CF600000}"/>
    <cellStyle name="Normal 2 2 5 19 4 4" xfId="24784" xr:uid="{00000000-0005-0000-0000-0000D0600000}"/>
    <cellStyle name="Normal 2 2 5 19 4 5" xfId="24785" xr:uid="{00000000-0005-0000-0000-0000D1600000}"/>
    <cellStyle name="Normal 2 2 5 19 4 6" xfId="24786" xr:uid="{00000000-0005-0000-0000-0000D2600000}"/>
    <cellStyle name="Normal 2 2 5 19 4 7" xfId="24787" xr:uid="{00000000-0005-0000-0000-0000D3600000}"/>
    <cellStyle name="Normal 2 2 5 19 4 8" xfId="24788" xr:uid="{00000000-0005-0000-0000-0000D4600000}"/>
    <cellStyle name="Normal 2 2 5 19 4 9" xfId="24789" xr:uid="{00000000-0005-0000-0000-0000D5600000}"/>
    <cellStyle name="Normal 2 2 5 19 5" xfId="24790" xr:uid="{00000000-0005-0000-0000-0000D6600000}"/>
    <cellStyle name="Normal 2 2 5 19 5 10" xfId="24791" xr:uid="{00000000-0005-0000-0000-0000D7600000}"/>
    <cellStyle name="Normal 2 2 5 19 5 2" xfId="24792" xr:uid="{00000000-0005-0000-0000-0000D8600000}"/>
    <cellStyle name="Normal 2 2 5 19 5 3" xfId="24793" xr:uid="{00000000-0005-0000-0000-0000D9600000}"/>
    <cellStyle name="Normal 2 2 5 19 5 4" xfId="24794" xr:uid="{00000000-0005-0000-0000-0000DA600000}"/>
    <cellStyle name="Normal 2 2 5 19 5 5" xfId="24795" xr:uid="{00000000-0005-0000-0000-0000DB600000}"/>
    <cellStyle name="Normal 2 2 5 19 5 6" xfId="24796" xr:uid="{00000000-0005-0000-0000-0000DC600000}"/>
    <cellStyle name="Normal 2 2 5 19 5 7" xfId="24797" xr:uid="{00000000-0005-0000-0000-0000DD600000}"/>
    <cellStyle name="Normal 2 2 5 19 5 8" xfId="24798" xr:uid="{00000000-0005-0000-0000-0000DE600000}"/>
    <cellStyle name="Normal 2 2 5 19 5 9" xfId="24799" xr:uid="{00000000-0005-0000-0000-0000DF600000}"/>
    <cellStyle name="Normal 2 2 5 19 6" xfId="24800" xr:uid="{00000000-0005-0000-0000-0000E0600000}"/>
    <cellStyle name="Normal 2 2 5 19 7" xfId="24801" xr:uid="{00000000-0005-0000-0000-0000E1600000}"/>
    <cellStyle name="Normal 2 2 5 19 8" xfId="24802" xr:uid="{00000000-0005-0000-0000-0000E2600000}"/>
    <cellStyle name="Normal 2 2 5 19 9" xfId="24803" xr:uid="{00000000-0005-0000-0000-0000E3600000}"/>
    <cellStyle name="Normal 2 2 5 2" xfId="24804" xr:uid="{00000000-0005-0000-0000-0000E4600000}"/>
    <cellStyle name="Normal 2 2 5 2 10" xfId="24805" xr:uid="{00000000-0005-0000-0000-0000E5600000}"/>
    <cellStyle name="Normal 2 2 5 2 11" xfId="24806" xr:uid="{00000000-0005-0000-0000-0000E6600000}"/>
    <cellStyle name="Normal 2 2 5 2 12" xfId="24807" xr:uid="{00000000-0005-0000-0000-0000E7600000}"/>
    <cellStyle name="Normal 2 2 5 2 13" xfId="24808" xr:uid="{00000000-0005-0000-0000-0000E8600000}"/>
    <cellStyle name="Normal 2 2 5 2 14" xfId="24809" xr:uid="{00000000-0005-0000-0000-0000E9600000}"/>
    <cellStyle name="Normal 2 2 5 2 15" xfId="24810" xr:uid="{00000000-0005-0000-0000-0000EA600000}"/>
    <cellStyle name="Normal 2 2 5 2 16" xfId="24811" xr:uid="{00000000-0005-0000-0000-0000EB600000}"/>
    <cellStyle name="Normal 2 2 5 2 17" xfId="24812" xr:uid="{00000000-0005-0000-0000-0000EC600000}"/>
    <cellStyle name="Normal 2 2 5 2 18" xfId="24813" xr:uid="{00000000-0005-0000-0000-0000ED600000}"/>
    <cellStyle name="Normal 2 2 5 2 19" xfId="24814" xr:uid="{00000000-0005-0000-0000-0000EE600000}"/>
    <cellStyle name="Normal 2 2 5 2 2" xfId="24815" xr:uid="{00000000-0005-0000-0000-0000EF600000}"/>
    <cellStyle name="Normal 2 2 5 2 20" xfId="24816" xr:uid="{00000000-0005-0000-0000-0000F0600000}"/>
    <cellStyle name="Normal 2 2 5 2 21" xfId="24817" xr:uid="{00000000-0005-0000-0000-0000F1600000}"/>
    <cellStyle name="Normal 2 2 5 2 21 10" xfId="24818" xr:uid="{00000000-0005-0000-0000-0000F2600000}"/>
    <cellStyle name="Normal 2 2 5 2 21 2" xfId="24819" xr:uid="{00000000-0005-0000-0000-0000F3600000}"/>
    <cellStyle name="Normal 2 2 5 2 21 3" xfId="24820" xr:uid="{00000000-0005-0000-0000-0000F4600000}"/>
    <cellStyle name="Normal 2 2 5 2 21 4" xfId="24821" xr:uid="{00000000-0005-0000-0000-0000F5600000}"/>
    <cellStyle name="Normal 2 2 5 2 21 5" xfId="24822" xr:uid="{00000000-0005-0000-0000-0000F6600000}"/>
    <cellStyle name="Normal 2 2 5 2 21 6" xfId="24823" xr:uid="{00000000-0005-0000-0000-0000F7600000}"/>
    <cellStyle name="Normal 2 2 5 2 21 7" xfId="24824" xr:uid="{00000000-0005-0000-0000-0000F8600000}"/>
    <cellStyle name="Normal 2 2 5 2 21 8" xfId="24825" xr:uid="{00000000-0005-0000-0000-0000F9600000}"/>
    <cellStyle name="Normal 2 2 5 2 21 9" xfId="24826" xr:uid="{00000000-0005-0000-0000-0000FA600000}"/>
    <cellStyle name="Normal 2 2 5 2 22" xfId="24827" xr:uid="{00000000-0005-0000-0000-0000FB600000}"/>
    <cellStyle name="Normal 2 2 5 2 22 10" xfId="24828" xr:uid="{00000000-0005-0000-0000-0000FC600000}"/>
    <cellStyle name="Normal 2 2 5 2 22 2" xfId="24829" xr:uid="{00000000-0005-0000-0000-0000FD600000}"/>
    <cellStyle name="Normal 2 2 5 2 22 3" xfId="24830" xr:uid="{00000000-0005-0000-0000-0000FE600000}"/>
    <cellStyle name="Normal 2 2 5 2 22 4" xfId="24831" xr:uid="{00000000-0005-0000-0000-0000FF600000}"/>
    <cellStyle name="Normal 2 2 5 2 22 5" xfId="24832" xr:uid="{00000000-0005-0000-0000-000000610000}"/>
    <cellStyle name="Normal 2 2 5 2 22 6" xfId="24833" xr:uid="{00000000-0005-0000-0000-000001610000}"/>
    <cellStyle name="Normal 2 2 5 2 22 7" xfId="24834" xr:uid="{00000000-0005-0000-0000-000002610000}"/>
    <cellStyle name="Normal 2 2 5 2 22 8" xfId="24835" xr:uid="{00000000-0005-0000-0000-000003610000}"/>
    <cellStyle name="Normal 2 2 5 2 22 9" xfId="24836" xr:uid="{00000000-0005-0000-0000-000004610000}"/>
    <cellStyle name="Normal 2 2 5 2 23" xfId="24837" xr:uid="{00000000-0005-0000-0000-000005610000}"/>
    <cellStyle name="Normal 2 2 5 2 23 10" xfId="24838" xr:uid="{00000000-0005-0000-0000-000006610000}"/>
    <cellStyle name="Normal 2 2 5 2 23 2" xfId="24839" xr:uid="{00000000-0005-0000-0000-000007610000}"/>
    <cellStyle name="Normal 2 2 5 2 23 3" xfId="24840" xr:uid="{00000000-0005-0000-0000-000008610000}"/>
    <cellStyle name="Normal 2 2 5 2 23 4" xfId="24841" xr:uid="{00000000-0005-0000-0000-000009610000}"/>
    <cellStyle name="Normal 2 2 5 2 23 5" xfId="24842" xr:uid="{00000000-0005-0000-0000-00000A610000}"/>
    <cellStyle name="Normal 2 2 5 2 23 6" xfId="24843" xr:uid="{00000000-0005-0000-0000-00000B610000}"/>
    <cellStyle name="Normal 2 2 5 2 23 7" xfId="24844" xr:uid="{00000000-0005-0000-0000-00000C610000}"/>
    <cellStyle name="Normal 2 2 5 2 23 8" xfId="24845" xr:uid="{00000000-0005-0000-0000-00000D610000}"/>
    <cellStyle name="Normal 2 2 5 2 23 9" xfId="24846" xr:uid="{00000000-0005-0000-0000-00000E610000}"/>
    <cellStyle name="Normal 2 2 5 2 24" xfId="24847" xr:uid="{00000000-0005-0000-0000-00000F610000}"/>
    <cellStyle name="Normal 2 2 5 2 24 10" xfId="24848" xr:uid="{00000000-0005-0000-0000-000010610000}"/>
    <cellStyle name="Normal 2 2 5 2 24 2" xfId="24849" xr:uid="{00000000-0005-0000-0000-000011610000}"/>
    <cellStyle name="Normal 2 2 5 2 24 3" xfId="24850" xr:uid="{00000000-0005-0000-0000-000012610000}"/>
    <cellStyle name="Normal 2 2 5 2 24 4" xfId="24851" xr:uid="{00000000-0005-0000-0000-000013610000}"/>
    <cellStyle name="Normal 2 2 5 2 24 5" xfId="24852" xr:uid="{00000000-0005-0000-0000-000014610000}"/>
    <cellStyle name="Normal 2 2 5 2 24 6" xfId="24853" xr:uid="{00000000-0005-0000-0000-000015610000}"/>
    <cellStyle name="Normal 2 2 5 2 24 7" xfId="24854" xr:uid="{00000000-0005-0000-0000-000016610000}"/>
    <cellStyle name="Normal 2 2 5 2 24 8" xfId="24855" xr:uid="{00000000-0005-0000-0000-000017610000}"/>
    <cellStyle name="Normal 2 2 5 2 24 9" xfId="24856" xr:uid="{00000000-0005-0000-0000-000018610000}"/>
    <cellStyle name="Normal 2 2 5 2 25" xfId="24857" xr:uid="{00000000-0005-0000-0000-000019610000}"/>
    <cellStyle name="Normal 2 2 5 2 26" xfId="24858" xr:uid="{00000000-0005-0000-0000-00001A610000}"/>
    <cellStyle name="Normal 2 2 5 2 27" xfId="24859" xr:uid="{00000000-0005-0000-0000-00001B610000}"/>
    <cellStyle name="Normal 2 2 5 2 28" xfId="24860" xr:uid="{00000000-0005-0000-0000-00001C610000}"/>
    <cellStyle name="Normal 2 2 5 2 29" xfId="24861" xr:uid="{00000000-0005-0000-0000-00001D610000}"/>
    <cellStyle name="Normal 2 2 5 2 3" xfId="24862" xr:uid="{00000000-0005-0000-0000-00001E610000}"/>
    <cellStyle name="Normal 2 2 5 2 30" xfId="24863" xr:uid="{00000000-0005-0000-0000-00001F610000}"/>
    <cellStyle name="Normal 2 2 5 2 31" xfId="24864" xr:uid="{00000000-0005-0000-0000-000020610000}"/>
    <cellStyle name="Normal 2 2 5 2 32" xfId="24865" xr:uid="{00000000-0005-0000-0000-000021610000}"/>
    <cellStyle name="Normal 2 2 5 2 33" xfId="24866" xr:uid="{00000000-0005-0000-0000-000022610000}"/>
    <cellStyle name="Normal 2 2 5 2 4" xfId="24867" xr:uid="{00000000-0005-0000-0000-000023610000}"/>
    <cellStyle name="Normal 2 2 5 2 5" xfId="24868" xr:uid="{00000000-0005-0000-0000-000024610000}"/>
    <cellStyle name="Normal 2 2 5 2 6" xfId="24869" xr:uid="{00000000-0005-0000-0000-000025610000}"/>
    <cellStyle name="Normal 2 2 5 2 7" xfId="24870" xr:uid="{00000000-0005-0000-0000-000026610000}"/>
    <cellStyle name="Normal 2 2 5 2 8" xfId="24871" xr:uid="{00000000-0005-0000-0000-000027610000}"/>
    <cellStyle name="Normal 2 2 5 2 9" xfId="24872" xr:uid="{00000000-0005-0000-0000-000028610000}"/>
    <cellStyle name="Normal 2 2 5 20" xfId="24873" xr:uid="{00000000-0005-0000-0000-000029610000}"/>
    <cellStyle name="Normal 2 2 5 20 10" xfId="24874" xr:uid="{00000000-0005-0000-0000-00002A610000}"/>
    <cellStyle name="Normal 2 2 5 20 11" xfId="24875" xr:uid="{00000000-0005-0000-0000-00002B610000}"/>
    <cellStyle name="Normal 2 2 5 20 12" xfId="24876" xr:uid="{00000000-0005-0000-0000-00002C610000}"/>
    <cellStyle name="Normal 2 2 5 20 13" xfId="24877" xr:uid="{00000000-0005-0000-0000-00002D610000}"/>
    <cellStyle name="Normal 2 2 5 20 14" xfId="24878" xr:uid="{00000000-0005-0000-0000-00002E610000}"/>
    <cellStyle name="Normal 2 2 5 20 2" xfId="24879" xr:uid="{00000000-0005-0000-0000-00002F610000}"/>
    <cellStyle name="Normal 2 2 5 20 2 10" xfId="24880" xr:uid="{00000000-0005-0000-0000-000030610000}"/>
    <cellStyle name="Normal 2 2 5 20 2 2" xfId="24881" xr:uid="{00000000-0005-0000-0000-000031610000}"/>
    <cellStyle name="Normal 2 2 5 20 2 3" xfId="24882" xr:uid="{00000000-0005-0000-0000-000032610000}"/>
    <cellStyle name="Normal 2 2 5 20 2 4" xfId="24883" xr:uid="{00000000-0005-0000-0000-000033610000}"/>
    <cellStyle name="Normal 2 2 5 20 2 5" xfId="24884" xr:uid="{00000000-0005-0000-0000-000034610000}"/>
    <cellStyle name="Normal 2 2 5 20 2 6" xfId="24885" xr:uid="{00000000-0005-0000-0000-000035610000}"/>
    <cellStyle name="Normal 2 2 5 20 2 7" xfId="24886" xr:uid="{00000000-0005-0000-0000-000036610000}"/>
    <cellStyle name="Normal 2 2 5 20 2 8" xfId="24887" xr:uid="{00000000-0005-0000-0000-000037610000}"/>
    <cellStyle name="Normal 2 2 5 20 2 9" xfId="24888" xr:uid="{00000000-0005-0000-0000-000038610000}"/>
    <cellStyle name="Normal 2 2 5 20 3" xfId="24889" xr:uid="{00000000-0005-0000-0000-000039610000}"/>
    <cellStyle name="Normal 2 2 5 20 3 10" xfId="24890" xr:uid="{00000000-0005-0000-0000-00003A610000}"/>
    <cellStyle name="Normal 2 2 5 20 3 2" xfId="24891" xr:uid="{00000000-0005-0000-0000-00003B610000}"/>
    <cellStyle name="Normal 2 2 5 20 3 3" xfId="24892" xr:uid="{00000000-0005-0000-0000-00003C610000}"/>
    <cellStyle name="Normal 2 2 5 20 3 4" xfId="24893" xr:uid="{00000000-0005-0000-0000-00003D610000}"/>
    <cellStyle name="Normal 2 2 5 20 3 5" xfId="24894" xr:uid="{00000000-0005-0000-0000-00003E610000}"/>
    <cellStyle name="Normal 2 2 5 20 3 6" xfId="24895" xr:uid="{00000000-0005-0000-0000-00003F610000}"/>
    <cellStyle name="Normal 2 2 5 20 3 7" xfId="24896" xr:uid="{00000000-0005-0000-0000-000040610000}"/>
    <cellStyle name="Normal 2 2 5 20 3 8" xfId="24897" xr:uid="{00000000-0005-0000-0000-000041610000}"/>
    <cellStyle name="Normal 2 2 5 20 3 9" xfId="24898" xr:uid="{00000000-0005-0000-0000-000042610000}"/>
    <cellStyle name="Normal 2 2 5 20 4" xfId="24899" xr:uid="{00000000-0005-0000-0000-000043610000}"/>
    <cellStyle name="Normal 2 2 5 20 4 10" xfId="24900" xr:uid="{00000000-0005-0000-0000-000044610000}"/>
    <cellStyle name="Normal 2 2 5 20 4 2" xfId="24901" xr:uid="{00000000-0005-0000-0000-000045610000}"/>
    <cellStyle name="Normal 2 2 5 20 4 3" xfId="24902" xr:uid="{00000000-0005-0000-0000-000046610000}"/>
    <cellStyle name="Normal 2 2 5 20 4 4" xfId="24903" xr:uid="{00000000-0005-0000-0000-000047610000}"/>
    <cellStyle name="Normal 2 2 5 20 4 5" xfId="24904" xr:uid="{00000000-0005-0000-0000-000048610000}"/>
    <cellStyle name="Normal 2 2 5 20 4 6" xfId="24905" xr:uid="{00000000-0005-0000-0000-000049610000}"/>
    <cellStyle name="Normal 2 2 5 20 4 7" xfId="24906" xr:uid="{00000000-0005-0000-0000-00004A610000}"/>
    <cellStyle name="Normal 2 2 5 20 4 8" xfId="24907" xr:uid="{00000000-0005-0000-0000-00004B610000}"/>
    <cellStyle name="Normal 2 2 5 20 4 9" xfId="24908" xr:uid="{00000000-0005-0000-0000-00004C610000}"/>
    <cellStyle name="Normal 2 2 5 20 5" xfId="24909" xr:uid="{00000000-0005-0000-0000-00004D610000}"/>
    <cellStyle name="Normal 2 2 5 20 5 10" xfId="24910" xr:uid="{00000000-0005-0000-0000-00004E610000}"/>
    <cellStyle name="Normal 2 2 5 20 5 2" xfId="24911" xr:uid="{00000000-0005-0000-0000-00004F610000}"/>
    <cellStyle name="Normal 2 2 5 20 5 3" xfId="24912" xr:uid="{00000000-0005-0000-0000-000050610000}"/>
    <cellStyle name="Normal 2 2 5 20 5 4" xfId="24913" xr:uid="{00000000-0005-0000-0000-000051610000}"/>
    <cellStyle name="Normal 2 2 5 20 5 5" xfId="24914" xr:uid="{00000000-0005-0000-0000-000052610000}"/>
    <cellStyle name="Normal 2 2 5 20 5 6" xfId="24915" xr:uid="{00000000-0005-0000-0000-000053610000}"/>
    <cellStyle name="Normal 2 2 5 20 5 7" xfId="24916" xr:uid="{00000000-0005-0000-0000-000054610000}"/>
    <cellStyle name="Normal 2 2 5 20 5 8" xfId="24917" xr:uid="{00000000-0005-0000-0000-000055610000}"/>
    <cellStyle name="Normal 2 2 5 20 5 9" xfId="24918" xr:uid="{00000000-0005-0000-0000-000056610000}"/>
    <cellStyle name="Normal 2 2 5 20 6" xfId="24919" xr:uid="{00000000-0005-0000-0000-000057610000}"/>
    <cellStyle name="Normal 2 2 5 20 7" xfId="24920" xr:uid="{00000000-0005-0000-0000-000058610000}"/>
    <cellStyle name="Normal 2 2 5 20 8" xfId="24921" xr:uid="{00000000-0005-0000-0000-000059610000}"/>
    <cellStyle name="Normal 2 2 5 20 9" xfId="24922" xr:uid="{00000000-0005-0000-0000-00005A610000}"/>
    <cellStyle name="Normal 2 2 5 21" xfId="24923" xr:uid="{00000000-0005-0000-0000-00005B610000}"/>
    <cellStyle name="Normal 2 2 5 22" xfId="24924" xr:uid="{00000000-0005-0000-0000-00005C610000}"/>
    <cellStyle name="Normal 2 2 5 23" xfId="24925" xr:uid="{00000000-0005-0000-0000-00005D610000}"/>
    <cellStyle name="Normal 2 2 5 3" xfId="24926" xr:uid="{00000000-0005-0000-0000-00005E610000}"/>
    <cellStyle name="Normal 2 2 5 3 10" xfId="24927" xr:uid="{00000000-0005-0000-0000-00005F610000}"/>
    <cellStyle name="Normal 2 2 5 3 11" xfId="24928" xr:uid="{00000000-0005-0000-0000-000060610000}"/>
    <cellStyle name="Normal 2 2 5 3 12" xfId="24929" xr:uid="{00000000-0005-0000-0000-000061610000}"/>
    <cellStyle name="Normal 2 2 5 3 13" xfId="24930" xr:uid="{00000000-0005-0000-0000-000062610000}"/>
    <cellStyle name="Normal 2 2 5 3 14" xfId="24931" xr:uid="{00000000-0005-0000-0000-000063610000}"/>
    <cellStyle name="Normal 2 2 5 3 2" xfId="24932" xr:uid="{00000000-0005-0000-0000-000064610000}"/>
    <cellStyle name="Normal 2 2 5 3 2 10" xfId="24933" xr:uid="{00000000-0005-0000-0000-000065610000}"/>
    <cellStyle name="Normal 2 2 5 3 2 2" xfId="24934" xr:uid="{00000000-0005-0000-0000-000066610000}"/>
    <cellStyle name="Normal 2 2 5 3 2 3" xfId="24935" xr:uid="{00000000-0005-0000-0000-000067610000}"/>
    <cellStyle name="Normal 2 2 5 3 2 4" xfId="24936" xr:uid="{00000000-0005-0000-0000-000068610000}"/>
    <cellStyle name="Normal 2 2 5 3 2 5" xfId="24937" xr:uid="{00000000-0005-0000-0000-000069610000}"/>
    <cellStyle name="Normal 2 2 5 3 2 6" xfId="24938" xr:uid="{00000000-0005-0000-0000-00006A610000}"/>
    <cellStyle name="Normal 2 2 5 3 2 7" xfId="24939" xr:uid="{00000000-0005-0000-0000-00006B610000}"/>
    <cellStyle name="Normal 2 2 5 3 2 8" xfId="24940" xr:uid="{00000000-0005-0000-0000-00006C610000}"/>
    <cellStyle name="Normal 2 2 5 3 2 9" xfId="24941" xr:uid="{00000000-0005-0000-0000-00006D610000}"/>
    <cellStyle name="Normal 2 2 5 3 3" xfId="24942" xr:uid="{00000000-0005-0000-0000-00006E610000}"/>
    <cellStyle name="Normal 2 2 5 3 3 10" xfId="24943" xr:uid="{00000000-0005-0000-0000-00006F610000}"/>
    <cellStyle name="Normal 2 2 5 3 3 2" xfId="24944" xr:uid="{00000000-0005-0000-0000-000070610000}"/>
    <cellStyle name="Normal 2 2 5 3 3 3" xfId="24945" xr:uid="{00000000-0005-0000-0000-000071610000}"/>
    <cellStyle name="Normal 2 2 5 3 3 4" xfId="24946" xr:uid="{00000000-0005-0000-0000-000072610000}"/>
    <cellStyle name="Normal 2 2 5 3 3 5" xfId="24947" xr:uid="{00000000-0005-0000-0000-000073610000}"/>
    <cellStyle name="Normal 2 2 5 3 3 6" xfId="24948" xr:uid="{00000000-0005-0000-0000-000074610000}"/>
    <cellStyle name="Normal 2 2 5 3 3 7" xfId="24949" xr:uid="{00000000-0005-0000-0000-000075610000}"/>
    <cellStyle name="Normal 2 2 5 3 3 8" xfId="24950" xr:uid="{00000000-0005-0000-0000-000076610000}"/>
    <cellStyle name="Normal 2 2 5 3 3 9" xfId="24951" xr:uid="{00000000-0005-0000-0000-000077610000}"/>
    <cellStyle name="Normal 2 2 5 3 4" xfId="24952" xr:uid="{00000000-0005-0000-0000-000078610000}"/>
    <cellStyle name="Normal 2 2 5 3 4 10" xfId="24953" xr:uid="{00000000-0005-0000-0000-000079610000}"/>
    <cellStyle name="Normal 2 2 5 3 4 2" xfId="24954" xr:uid="{00000000-0005-0000-0000-00007A610000}"/>
    <cellStyle name="Normal 2 2 5 3 4 3" xfId="24955" xr:uid="{00000000-0005-0000-0000-00007B610000}"/>
    <cellStyle name="Normal 2 2 5 3 4 4" xfId="24956" xr:uid="{00000000-0005-0000-0000-00007C610000}"/>
    <cellStyle name="Normal 2 2 5 3 4 5" xfId="24957" xr:uid="{00000000-0005-0000-0000-00007D610000}"/>
    <cellStyle name="Normal 2 2 5 3 4 6" xfId="24958" xr:uid="{00000000-0005-0000-0000-00007E610000}"/>
    <cellStyle name="Normal 2 2 5 3 4 7" xfId="24959" xr:uid="{00000000-0005-0000-0000-00007F610000}"/>
    <cellStyle name="Normal 2 2 5 3 4 8" xfId="24960" xr:uid="{00000000-0005-0000-0000-000080610000}"/>
    <cellStyle name="Normal 2 2 5 3 4 9" xfId="24961" xr:uid="{00000000-0005-0000-0000-000081610000}"/>
    <cellStyle name="Normal 2 2 5 3 5" xfId="24962" xr:uid="{00000000-0005-0000-0000-000082610000}"/>
    <cellStyle name="Normal 2 2 5 3 5 10" xfId="24963" xr:uid="{00000000-0005-0000-0000-000083610000}"/>
    <cellStyle name="Normal 2 2 5 3 5 2" xfId="24964" xr:uid="{00000000-0005-0000-0000-000084610000}"/>
    <cellStyle name="Normal 2 2 5 3 5 3" xfId="24965" xr:uid="{00000000-0005-0000-0000-000085610000}"/>
    <cellStyle name="Normal 2 2 5 3 5 4" xfId="24966" xr:uid="{00000000-0005-0000-0000-000086610000}"/>
    <cellStyle name="Normal 2 2 5 3 5 5" xfId="24967" xr:uid="{00000000-0005-0000-0000-000087610000}"/>
    <cellStyle name="Normal 2 2 5 3 5 6" xfId="24968" xr:uid="{00000000-0005-0000-0000-000088610000}"/>
    <cellStyle name="Normal 2 2 5 3 5 7" xfId="24969" xr:uid="{00000000-0005-0000-0000-000089610000}"/>
    <cellStyle name="Normal 2 2 5 3 5 8" xfId="24970" xr:uid="{00000000-0005-0000-0000-00008A610000}"/>
    <cellStyle name="Normal 2 2 5 3 5 9" xfId="24971" xr:uid="{00000000-0005-0000-0000-00008B610000}"/>
    <cellStyle name="Normal 2 2 5 3 6" xfId="24972" xr:uid="{00000000-0005-0000-0000-00008C610000}"/>
    <cellStyle name="Normal 2 2 5 3 7" xfId="24973" xr:uid="{00000000-0005-0000-0000-00008D610000}"/>
    <cellStyle name="Normal 2 2 5 3 8" xfId="24974" xr:uid="{00000000-0005-0000-0000-00008E610000}"/>
    <cellStyle name="Normal 2 2 5 3 9" xfId="24975" xr:uid="{00000000-0005-0000-0000-00008F610000}"/>
    <cellStyle name="Normal 2 2 5 4" xfId="24976" xr:uid="{00000000-0005-0000-0000-000090610000}"/>
    <cellStyle name="Normal 2 2 5 4 10" xfId="24977" xr:uid="{00000000-0005-0000-0000-000091610000}"/>
    <cellStyle name="Normal 2 2 5 4 11" xfId="24978" xr:uid="{00000000-0005-0000-0000-000092610000}"/>
    <cellStyle name="Normal 2 2 5 4 12" xfId="24979" xr:uid="{00000000-0005-0000-0000-000093610000}"/>
    <cellStyle name="Normal 2 2 5 4 13" xfId="24980" xr:uid="{00000000-0005-0000-0000-000094610000}"/>
    <cellStyle name="Normal 2 2 5 4 14" xfId="24981" xr:uid="{00000000-0005-0000-0000-000095610000}"/>
    <cellStyle name="Normal 2 2 5 4 2" xfId="24982" xr:uid="{00000000-0005-0000-0000-000096610000}"/>
    <cellStyle name="Normal 2 2 5 4 2 10" xfId="24983" xr:uid="{00000000-0005-0000-0000-000097610000}"/>
    <cellStyle name="Normal 2 2 5 4 2 2" xfId="24984" xr:uid="{00000000-0005-0000-0000-000098610000}"/>
    <cellStyle name="Normal 2 2 5 4 2 3" xfId="24985" xr:uid="{00000000-0005-0000-0000-000099610000}"/>
    <cellStyle name="Normal 2 2 5 4 2 4" xfId="24986" xr:uid="{00000000-0005-0000-0000-00009A610000}"/>
    <cellStyle name="Normal 2 2 5 4 2 5" xfId="24987" xr:uid="{00000000-0005-0000-0000-00009B610000}"/>
    <cellStyle name="Normal 2 2 5 4 2 6" xfId="24988" xr:uid="{00000000-0005-0000-0000-00009C610000}"/>
    <cellStyle name="Normal 2 2 5 4 2 7" xfId="24989" xr:uid="{00000000-0005-0000-0000-00009D610000}"/>
    <cellStyle name="Normal 2 2 5 4 2 8" xfId="24990" xr:uid="{00000000-0005-0000-0000-00009E610000}"/>
    <cellStyle name="Normal 2 2 5 4 2 9" xfId="24991" xr:uid="{00000000-0005-0000-0000-00009F610000}"/>
    <cellStyle name="Normal 2 2 5 4 3" xfId="24992" xr:uid="{00000000-0005-0000-0000-0000A0610000}"/>
    <cellStyle name="Normal 2 2 5 4 3 10" xfId="24993" xr:uid="{00000000-0005-0000-0000-0000A1610000}"/>
    <cellStyle name="Normal 2 2 5 4 3 2" xfId="24994" xr:uid="{00000000-0005-0000-0000-0000A2610000}"/>
    <cellStyle name="Normal 2 2 5 4 3 3" xfId="24995" xr:uid="{00000000-0005-0000-0000-0000A3610000}"/>
    <cellStyle name="Normal 2 2 5 4 3 4" xfId="24996" xr:uid="{00000000-0005-0000-0000-0000A4610000}"/>
    <cellStyle name="Normal 2 2 5 4 3 5" xfId="24997" xr:uid="{00000000-0005-0000-0000-0000A5610000}"/>
    <cellStyle name="Normal 2 2 5 4 3 6" xfId="24998" xr:uid="{00000000-0005-0000-0000-0000A6610000}"/>
    <cellStyle name="Normal 2 2 5 4 3 7" xfId="24999" xr:uid="{00000000-0005-0000-0000-0000A7610000}"/>
    <cellStyle name="Normal 2 2 5 4 3 8" xfId="25000" xr:uid="{00000000-0005-0000-0000-0000A8610000}"/>
    <cellStyle name="Normal 2 2 5 4 3 9" xfId="25001" xr:uid="{00000000-0005-0000-0000-0000A9610000}"/>
    <cellStyle name="Normal 2 2 5 4 4" xfId="25002" xr:uid="{00000000-0005-0000-0000-0000AA610000}"/>
    <cellStyle name="Normal 2 2 5 4 4 10" xfId="25003" xr:uid="{00000000-0005-0000-0000-0000AB610000}"/>
    <cellStyle name="Normal 2 2 5 4 4 2" xfId="25004" xr:uid="{00000000-0005-0000-0000-0000AC610000}"/>
    <cellStyle name="Normal 2 2 5 4 4 3" xfId="25005" xr:uid="{00000000-0005-0000-0000-0000AD610000}"/>
    <cellStyle name="Normal 2 2 5 4 4 4" xfId="25006" xr:uid="{00000000-0005-0000-0000-0000AE610000}"/>
    <cellStyle name="Normal 2 2 5 4 4 5" xfId="25007" xr:uid="{00000000-0005-0000-0000-0000AF610000}"/>
    <cellStyle name="Normal 2 2 5 4 4 6" xfId="25008" xr:uid="{00000000-0005-0000-0000-0000B0610000}"/>
    <cellStyle name="Normal 2 2 5 4 4 7" xfId="25009" xr:uid="{00000000-0005-0000-0000-0000B1610000}"/>
    <cellStyle name="Normal 2 2 5 4 4 8" xfId="25010" xr:uid="{00000000-0005-0000-0000-0000B2610000}"/>
    <cellStyle name="Normal 2 2 5 4 4 9" xfId="25011" xr:uid="{00000000-0005-0000-0000-0000B3610000}"/>
    <cellStyle name="Normal 2 2 5 4 5" xfId="25012" xr:uid="{00000000-0005-0000-0000-0000B4610000}"/>
    <cellStyle name="Normal 2 2 5 4 5 10" xfId="25013" xr:uid="{00000000-0005-0000-0000-0000B5610000}"/>
    <cellStyle name="Normal 2 2 5 4 5 2" xfId="25014" xr:uid="{00000000-0005-0000-0000-0000B6610000}"/>
    <cellStyle name="Normal 2 2 5 4 5 3" xfId="25015" xr:uid="{00000000-0005-0000-0000-0000B7610000}"/>
    <cellStyle name="Normal 2 2 5 4 5 4" xfId="25016" xr:uid="{00000000-0005-0000-0000-0000B8610000}"/>
    <cellStyle name="Normal 2 2 5 4 5 5" xfId="25017" xr:uid="{00000000-0005-0000-0000-0000B9610000}"/>
    <cellStyle name="Normal 2 2 5 4 5 6" xfId="25018" xr:uid="{00000000-0005-0000-0000-0000BA610000}"/>
    <cellStyle name="Normal 2 2 5 4 5 7" xfId="25019" xr:uid="{00000000-0005-0000-0000-0000BB610000}"/>
    <cellStyle name="Normal 2 2 5 4 5 8" xfId="25020" xr:uid="{00000000-0005-0000-0000-0000BC610000}"/>
    <cellStyle name="Normal 2 2 5 4 5 9" xfId="25021" xr:uid="{00000000-0005-0000-0000-0000BD610000}"/>
    <cellStyle name="Normal 2 2 5 4 6" xfId="25022" xr:uid="{00000000-0005-0000-0000-0000BE610000}"/>
    <cellStyle name="Normal 2 2 5 4 7" xfId="25023" xr:uid="{00000000-0005-0000-0000-0000BF610000}"/>
    <cellStyle name="Normal 2 2 5 4 8" xfId="25024" xr:uid="{00000000-0005-0000-0000-0000C0610000}"/>
    <cellStyle name="Normal 2 2 5 4 9" xfId="25025" xr:uid="{00000000-0005-0000-0000-0000C1610000}"/>
    <cellStyle name="Normal 2 2 5 5" xfId="25026" xr:uid="{00000000-0005-0000-0000-0000C2610000}"/>
    <cellStyle name="Normal 2 2 5 5 10" xfId="25027" xr:uid="{00000000-0005-0000-0000-0000C3610000}"/>
    <cellStyle name="Normal 2 2 5 5 11" xfId="25028" xr:uid="{00000000-0005-0000-0000-0000C4610000}"/>
    <cellStyle name="Normal 2 2 5 5 12" xfId="25029" xr:uid="{00000000-0005-0000-0000-0000C5610000}"/>
    <cellStyle name="Normal 2 2 5 5 13" xfId="25030" xr:uid="{00000000-0005-0000-0000-0000C6610000}"/>
    <cellStyle name="Normal 2 2 5 5 14" xfId="25031" xr:uid="{00000000-0005-0000-0000-0000C7610000}"/>
    <cellStyle name="Normal 2 2 5 5 2" xfId="25032" xr:uid="{00000000-0005-0000-0000-0000C8610000}"/>
    <cellStyle name="Normal 2 2 5 5 2 10" xfId="25033" xr:uid="{00000000-0005-0000-0000-0000C9610000}"/>
    <cellStyle name="Normal 2 2 5 5 2 2" xfId="25034" xr:uid="{00000000-0005-0000-0000-0000CA610000}"/>
    <cellStyle name="Normal 2 2 5 5 2 3" xfId="25035" xr:uid="{00000000-0005-0000-0000-0000CB610000}"/>
    <cellStyle name="Normal 2 2 5 5 2 4" xfId="25036" xr:uid="{00000000-0005-0000-0000-0000CC610000}"/>
    <cellStyle name="Normal 2 2 5 5 2 5" xfId="25037" xr:uid="{00000000-0005-0000-0000-0000CD610000}"/>
    <cellStyle name="Normal 2 2 5 5 2 6" xfId="25038" xr:uid="{00000000-0005-0000-0000-0000CE610000}"/>
    <cellStyle name="Normal 2 2 5 5 2 7" xfId="25039" xr:uid="{00000000-0005-0000-0000-0000CF610000}"/>
    <cellStyle name="Normal 2 2 5 5 2 8" xfId="25040" xr:uid="{00000000-0005-0000-0000-0000D0610000}"/>
    <cellStyle name="Normal 2 2 5 5 2 9" xfId="25041" xr:uid="{00000000-0005-0000-0000-0000D1610000}"/>
    <cellStyle name="Normal 2 2 5 5 3" xfId="25042" xr:uid="{00000000-0005-0000-0000-0000D2610000}"/>
    <cellStyle name="Normal 2 2 5 5 3 10" xfId="25043" xr:uid="{00000000-0005-0000-0000-0000D3610000}"/>
    <cellStyle name="Normal 2 2 5 5 3 2" xfId="25044" xr:uid="{00000000-0005-0000-0000-0000D4610000}"/>
    <cellStyle name="Normal 2 2 5 5 3 3" xfId="25045" xr:uid="{00000000-0005-0000-0000-0000D5610000}"/>
    <cellStyle name="Normal 2 2 5 5 3 4" xfId="25046" xr:uid="{00000000-0005-0000-0000-0000D6610000}"/>
    <cellStyle name="Normal 2 2 5 5 3 5" xfId="25047" xr:uid="{00000000-0005-0000-0000-0000D7610000}"/>
    <cellStyle name="Normal 2 2 5 5 3 6" xfId="25048" xr:uid="{00000000-0005-0000-0000-0000D8610000}"/>
    <cellStyle name="Normal 2 2 5 5 3 7" xfId="25049" xr:uid="{00000000-0005-0000-0000-0000D9610000}"/>
    <cellStyle name="Normal 2 2 5 5 3 8" xfId="25050" xr:uid="{00000000-0005-0000-0000-0000DA610000}"/>
    <cellStyle name="Normal 2 2 5 5 3 9" xfId="25051" xr:uid="{00000000-0005-0000-0000-0000DB610000}"/>
    <cellStyle name="Normal 2 2 5 5 4" xfId="25052" xr:uid="{00000000-0005-0000-0000-0000DC610000}"/>
    <cellStyle name="Normal 2 2 5 5 4 10" xfId="25053" xr:uid="{00000000-0005-0000-0000-0000DD610000}"/>
    <cellStyle name="Normal 2 2 5 5 4 2" xfId="25054" xr:uid="{00000000-0005-0000-0000-0000DE610000}"/>
    <cellStyle name="Normal 2 2 5 5 4 3" xfId="25055" xr:uid="{00000000-0005-0000-0000-0000DF610000}"/>
    <cellStyle name="Normal 2 2 5 5 4 4" xfId="25056" xr:uid="{00000000-0005-0000-0000-0000E0610000}"/>
    <cellStyle name="Normal 2 2 5 5 4 5" xfId="25057" xr:uid="{00000000-0005-0000-0000-0000E1610000}"/>
    <cellStyle name="Normal 2 2 5 5 4 6" xfId="25058" xr:uid="{00000000-0005-0000-0000-0000E2610000}"/>
    <cellStyle name="Normal 2 2 5 5 4 7" xfId="25059" xr:uid="{00000000-0005-0000-0000-0000E3610000}"/>
    <cellStyle name="Normal 2 2 5 5 4 8" xfId="25060" xr:uid="{00000000-0005-0000-0000-0000E4610000}"/>
    <cellStyle name="Normal 2 2 5 5 4 9" xfId="25061" xr:uid="{00000000-0005-0000-0000-0000E5610000}"/>
    <cellStyle name="Normal 2 2 5 5 5" xfId="25062" xr:uid="{00000000-0005-0000-0000-0000E6610000}"/>
    <cellStyle name="Normal 2 2 5 5 5 10" xfId="25063" xr:uid="{00000000-0005-0000-0000-0000E7610000}"/>
    <cellStyle name="Normal 2 2 5 5 5 2" xfId="25064" xr:uid="{00000000-0005-0000-0000-0000E8610000}"/>
    <cellStyle name="Normal 2 2 5 5 5 3" xfId="25065" xr:uid="{00000000-0005-0000-0000-0000E9610000}"/>
    <cellStyle name="Normal 2 2 5 5 5 4" xfId="25066" xr:uid="{00000000-0005-0000-0000-0000EA610000}"/>
    <cellStyle name="Normal 2 2 5 5 5 5" xfId="25067" xr:uid="{00000000-0005-0000-0000-0000EB610000}"/>
    <cellStyle name="Normal 2 2 5 5 5 6" xfId="25068" xr:uid="{00000000-0005-0000-0000-0000EC610000}"/>
    <cellStyle name="Normal 2 2 5 5 5 7" xfId="25069" xr:uid="{00000000-0005-0000-0000-0000ED610000}"/>
    <cellStyle name="Normal 2 2 5 5 5 8" xfId="25070" xr:uid="{00000000-0005-0000-0000-0000EE610000}"/>
    <cellStyle name="Normal 2 2 5 5 5 9" xfId="25071" xr:uid="{00000000-0005-0000-0000-0000EF610000}"/>
    <cellStyle name="Normal 2 2 5 5 6" xfId="25072" xr:uid="{00000000-0005-0000-0000-0000F0610000}"/>
    <cellStyle name="Normal 2 2 5 5 7" xfId="25073" xr:uid="{00000000-0005-0000-0000-0000F1610000}"/>
    <cellStyle name="Normal 2 2 5 5 8" xfId="25074" xr:uid="{00000000-0005-0000-0000-0000F2610000}"/>
    <cellStyle name="Normal 2 2 5 5 9" xfId="25075" xr:uid="{00000000-0005-0000-0000-0000F3610000}"/>
    <cellStyle name="Normal 2 2 5 6" xfId="25076" xr:uid="{00000000-0005-0000-0000-0000F4610000}"/>
    <cellStyle name="Normal 2 2 5 6 10" xfId="25077" xr:uid="{00000000-0005-0000-0000-0000F5610000}"/>
    <cellStyle name="Normal 2 2 5 6 11" xfId="25078" xr:uid="{00000000-0005-0000-0000-0000F6610000}"/>
    <cellStyle name="Normal 2 2 5 6 12" xfId="25079" xr:uid="{00000000-0005-0000-0000-0000F7610000}"/>
    <cellStyle name="Normal 2 2 5 6 13" xfId="25080" xr:uid="{00000000-0005-0000-0000-0000F8610000}"/>
    <cellStyle name="Normal 2 2 5 6 14" xfId="25081" xr:uid="{00000000-0005-0000-0000-0000F9610000}"/>
    <cellStyle name="Normal 2 2 5 6 2" xfId="25082" xr:uid="{00000000-0005-0000-0000-0000FA610000}"/>
    <cellStyle name="Normal 2 2 5 6 2 10" xfId="25083" xr:uid="{00000000-0005-0000-0000-0000FB610000}"/>
    <cellStyle name="Normal 2 2 5 6 2 2" xfId="25084" xr:uid="{00000000-0005-0000-0000-0000FC610000}"/>
    <cellStyle name="Normal 2 2 5 6 2 3" xfId="25085" xr:uid="{00000000-0005-0000-0000-0000FD610000}"/>
    <cellStyle name="Normal 2 2 5 6 2 4" xfId="25086" xr:uid="{00000000-0005-0000-0000-0000FE610000}"/>
    <cellStyle name="Normal 2 2 5 6 2 5" xfId="25087" xr:uid="{00000000-0005-0000-0000-0000FF610000}"/>
    <cellStyle name="Normal 2 2 5 6 2 6" xfId="25088" xr:uid="{00000000-0005-0000-0000-000000620000}"/>
    <cellStyle name="Normal 2 2 5 6 2 7" xfId="25089" xr:uid="{00000000-0005-0000-0000-000001620000}"/>
    <cellStyle name="Normal 2 2 5 6 2 8" xfId="25090" xr:uid="{00000000-0005-0000-0000-000002620000}"/>
    <cellStyle name="Normal 2 2 5 6 2 9" xfId="25091" xr:uid="{00000000-0005-0000-0000-000003620000}"/>
    <cellStyle name="Normal 2 2 5 6 3" xfId="25092" xr:uid="{00000000-0005-0000-0000-000004620000}"/>
    <cellStyle name="Normal 2 2 5 6 3 10" xfId="25093" xr:uid="{00000000-0005-0000-0000-000005620000}"/>
    <cellStyle name="Normal 2 2 5 6 3 2" xfId="25094" xr:uid="{00000000-0005-0000-0000-000006620000}"/>
    <cellStyle name="Normal 2 2 5 6 3 3" xfId="25095" xr:uid="{00000000-0005-0000-0000-000007620000}"/>
    <cellStyle name="Normal 2 2 5 6 3 4" xfId="25096" xr:uid="{00000000-0005-0000-0000-000008620000}"/>
    <cellStyle name="Normal 2 2 5 6 3 5" xfId="25097" xr:uid="{00000000-0005-0000-0000-000009620000}"/>
    <cellStyle name="Normal 2 2 5 6 3 6" xfId="25098" xr:uid="{00000000-0005-0000-0000-00000A620000}"/>
    <cellStyle name="Normal 2 2 5 6 3 7" xfId="25099" xr:uid="{00000000-0005-0000-0000-00000B620000}"/>
    <cellStyle name="Normal 2 2 5 6 3 8" xfId="25100" xr:uid="{00000000-0005-0000-0000-00000C620000}"/>
    <cellStyle name="Normal 2 2 5 6 3 9" xfId="25101" xr:uid="{00000000-0005-0000-0000-00000D620000}"/>
    <cellStyle name="Normal 2 2 5 6 4" xfId="25102" xr:uid="{00000000-0005-0000-0000-00000E620000}"/>
    <cellStyle name="Normal 2 2 5 6 4 10" xfId="25103" xr:uid="{00000000-0005-0000-0000-00000F620000}"/>
    <cellStyle name="Normal 2 2 5 6 4 2" xfId="25104" xr:uid="{00000000-0005-0000-0000-000010620000}"/>
    <cellStyle name="Normal 2 2 5 6 4 3" xfId="25105" xr:uid="{00000000-0005-0000-0000-000011620000}"/>
    <cellStyle name="Normal 2 2 5 6 4 4" xfId="25106" xr:uid="{00000000-0005-0000-0000-000012620000}"/>
    <cellStyle name="Normal 2 2 5 6 4 5" xfId="25107" xr:uid="{00000000-0005-0000-0000-000013620000}"/>
    <cellStyle name="Normal 2 2 5 6 4 6" xfId="25108" xr:uid="{00000000-0005-0000-0000-000014620000}"/>
    <cellStyle name="Normal 2 2 5 6 4 7" xfId="25109" xr:uid="{00000000-0005-0000-0000-000015620000}"/>
    <cellStyle name="Normal 2 2 5 6 4 8" xfId="25110" xr:uid="{00000000-0005-0000-0000-000016620000}"/>
    <cellStyle name="Normal 2 2 5 6 4 9" xfId="25111" xr:uid="{00000000-0005-0000-0000-000017620000}"/>
    <cellStyle name="Normal 2 2 5 6 5" xfId="25112" xr:uid="{00000000-0005-0000-0000-000018620000}"/>
    <cellStyle name="Normal 2 2 5 6 5 10" xfId="25113" xr:uid="{00000000-0005-0000-0000-000019620000}"/>
    <cellStyle name="Normal 2 2 5 6 5 2" xfId="25114" xr:uid="{00000000-0005-0000-0000-00001A620000}"/>
    <cellStyle name="Normal 2 2 5 6 5 3" xfId="25115" xr:uid="{00000000-0005-0000-0000-00001B620000}"/>
    <cellStyle name="Normal 2 2 5 6 5 4" xfId="25116" xr:uid="{00000000-0005-0000-0000-00001C620000}"/>
    <cellStyle name="Normal 2 2 5 6 5 5" xfId="25117" xr:uid="{00000000-0005-0000-0000-00001D620000}"/>
    <cellStyle name="Normal 2 2 5 6 5 6" xfId="25118" xr:uid="{00000000-0005-0000-0000-00001E620000}"/>
    <cellStyle name="Normal 2 2 5 6 5 7" xfId="25119" xr:uid="{00000000-0005-0000-0000-00001F620000}"/>
    <cellStyle name="Normal 2 2 5 6 5 8" xfId="25120" xr:uid="{00000000-0005-0000-0000-000020620000}"/>
    <cellStyle name="Normal 2 2 5 6 5 9" xfId="25121" xr:uid="{00000000-0005-0000-0000-000021620000}"/>
    <cellStyle name="Normal 2 2 5 6 6" xfId="25122" xr:uid="{00000000-0005-0000-0000-000022620000}"/>
    <cellStyle name="Normal 2 2 5 6 7" xfId="25123" xr:uid="{00000000-0005-0000-0000-000023620000}"/>
    <cellStyle name="Normal 2 2 5 6 8" xfId="25124" xr:uid="{00000000-0005-0000-0000-000024620000}"/>
    <cellStyle name="Normal 2 2 5 6 9" xfId="25125" xr:uid="{00000000-0005-0000-0000-000025620000}"/>
    <cellStyle name="Normal 2 2 5 7" xfId="25126" xr:uid="{00000000-0005-0000-0000-000026620000}"/>
    <cellStyle name="Normal 2 2 5 7 10" xfId="25127" xr:uid="{00000000-0005-0000-0000-000027620000}"/>
    <cellStyle name="Normal 2 2 5 7 11" xfId="25128" xr:uid="{00000000-0005-0000-0000-000028620000}"/>
    <cellStyle name="Normal 2 2 5 7 12" xfId="25129" xr:uid="{00000000-0005-0000-0000-000029620000}"/>
    <cellStyle name="Normal 2 2 5 7 13" xfId="25130" xr:uid="{00000000-0005-0000-0000-00002A620000}"/>
    <cellStyle name="Normal 2 2 5 7 14" xfId="25131" xr:uid="{00000000-0005-0000-0000-00002B620000}"/>
    <cellStyle name="Normal 2 2 5 7 2" xfId="25132" xr:uid="{00000000-0005-0000-0000-00002C620000}"/>
    <cellStyle name="Normal 2 2 5 7 2 10" xfId="25133" xr:uid="{00000000-0005-0000-0000-00002D620000}"/>
    <cellStyle name="Normal 2 2 5 7 2 2" xfId="25134" xr:uid="{00000000-0005-0000-0000-00002E620000}"/>
    <cellStyle name="Normal 2 2 5 7 2 3" xfId="25135" xr:uid="{00000000-0005-0000-0000-00002F620000}"/>
    <cellStyle name="Normal 2 2 5 7 2 4" xfId="25136" xr:uid="{00000000-0005-0000-0000-000030620000}"/>
    <cellStyle name="Normal 2 2 5 7 2 5" xfId="25137" xr:uid="{00000000-0005-0000-0000-000031620000}"/>
    <cellStyle name="Normal 2 2 5 7 2 6" xfId="25138" xr:uid="{00000000-0005-0000-0000-000032620000}"/>
    <cellStyle name="Normal 2 2 5 7 2 7" xfId="25139" xr:uid="{00000000-0005-0000-0000-000033620000}"/>
    <cellStyle name="Normal 2 2 5 7 2 8" xfId="25140" xr:uid="{00000000-0005-0000-0000-000034620000}"/>
    <cellStyle name="Normal 2 2 5 7 2 9" xfId="25141" xr:uid="{00000000-0005-0000-0000-000035620000}"/>
    <cellStyle name="Normal 2 2 5 7 3" xfId="25142" xr:uid="{00000000-0005-0000-0000-000036620000}"/>
    <cellStyle name="Normal 2 2 5 7 3 10" xfId="25143" xr:uid="{00000000-0005-0000-0000-000037620000}"/>
    <cellStyle name="Normal 2 2 5 7 3 2" xfId="25144" xr:uid="{00000000-0005-0000-0000-000038620000}"/>
    <cellStyle name="Normal 2 2 5 7 3 3" xfId="25145" xr:uid="{00000000-0005-0000-0000-000039620000}"/>
    <cellStyle name="Normal 2 2 5 7 3 4" xfId="25146" xr:uid="{00000000-0005-0000-0000-00003A620000}"/>
    <cellStyle name="Normal 2 2 5 7 3 5" xfId="25147" xr:uid="{00000000-0005-0000-0000-00003B620000}"/>
    <cellStyle name="Normal 2 2 5 7 3 6" xfId="25148" xr:uid="{00000000-0005-0000-0000-00003C620000}"/>
    <cellStyle name="Normal 2 2 5 7 3 7" xfId="25149" xr:uid="{00000000-0005-0000-0000-00003D620000}"/>
    <cellStyle name="Normal 2 2 5 7 3 8" xfId="25150" xr:uid="{00000000-0005-0000-0000-00003E620000}"/>
    <cellStyle name="Normal 2 2 5 7 3 9" xfId="25151" xr:uid="{00000000-0005-0000-0000-00003F620000}"/>
    <cellStyle name="Normal 2 2 5 7 4" xfId="25152" xr:uid="{00000000-0005-0000-0000-000040620000}"/>
    <cellStyle name="Normal 2 2 5 7 4 10" xfId="25153" xr:uid="{00000000-0005-0000-0000-000041620000}"/>
    <cellStyle name="Normal 2 2 5 7 4 2" xfId="25154" xr:uid="{00000000-0005-0000-0000-000042620000}"/>
    <cellStyle name="Normal 2 2 5 7 4 3" xfId="25155" xr:uid="{00000000-0005-0000-0000-000043620000}"/>
    <cellStyle name="Normal 2 2 5 7 4 4" xfId="25156" xr:uid="{00000000-0005-0000-0000-000044620000}"/>
    <cellStyle name="Normal 2 2 5 7 4 5" xfId="25157" xr:uid="{00000000-0005-0000-0000-000045620000}"/>
    <cellStyle name="Normal 2 2 5 7 4 6" xfId="25158" xr:uid="{00000000-0005-0000-0000-000046620000}"/>
    <cellStyle name="Normal 2 2 5 7 4 7" xfId="25159" xr:uid="{00000000-0005-0000-0000-000047620000}"/>
    <cellStyle name="Normal 2 2 5 7 4 8" xfId="25160" xr:uid="{00000000-0005-0000-0000-000048620000}"/>
    <cellStyle name="Normal 2 2 5 7 4 9" xfId="25161" xr:uid="{00000000-0005-0000-0000-000049620000}"/>
    <cellStyle name="Normal 2 2 5 7 5" xfId="25162" xr:uid="{00000000-0005-0000-0000-00004A620000}"/>
    <cellStyle name="Normal 2 2 5 7 5 10" xfId="25163" xr:uid="{00000000-0005-0000-0000-00004B620000}"/>
    <cellStyle name="Normal 2 2 5 7 5 2" xfId="25164" xr:uid="{00000000-0005-0000-0000-00004C620000}"/>
    <cellStyle name="Normal 2 2 5 7 5 3" xfId="25165" xr:uid="{00000000-0005-0000-0000-00004D620000}"/>
    <cellStyle name="Normal 2 2 5 7 5 4" xfId="25166" xr:uid="{00000000-0005-0000-0000-00004E620000}"/>
    <cellStyle name="Normal 2 2 5 7 5 5" xfId="25167" xr:uid="{00000000-0005-0000-0000-00004F620000}"/>
    <cellStyle name="Normal 2 2 5 7 5 6" xfId="25168" xr:uid="{00000000-0005-0000-0000-000050620000}"/>
    <cellStyle name="Normal 2 2 5 7 5 7" xfId="25169" xr:uid="{00000000-0005-0000-0000-000051620000}"/>
    <cellStyle name="Normal 2 2 5 7 5 8" xfId="25170" xr:uid="{00000000-0005-0000-0000-000052620000}"/>
    <cellStyle name="Normal 2 2 5 7 5 9" xfId="25171" xr:uid="{00000000-0005-0000-0000-000053620000}"/>
    <cellStyle name="Normal 2 2 5 7 6" xfId="25172" xr:uid="{00000000-0005-0000-0000-000054620000}"/>
    <cellStyle name="Normal 2 2 5 7 7" xfId="25173" xr:uid="{00000000-0005-0000-0000-000055620000}"/>
    <cellStyle name="Normal 2 2 5 7 8" xfId="25174" xr:uid="{00000000-0005-0000-0000-000056620000}"/>
    <cellStyle name="Normal 2 2 5 7 9" xfId="25175" xr:uid="{00000000-0005-0000-0000-000057620000}"/>
    <cellStyle name="Normal 2 2 5 8" xfId="25176" xr:uid="{00000000-0005-0000-0000-000058620000}"/>
    <cellStyle name="Normal 2 2 5 8 10" xfId="25177" xr:uid="{00000000-0005-0000-0000-000059620000}"/>
    <cellStyle name="Normal 2 2 5 8 11" xfId="25178" xr:uid="{00000000-0005-0000-0000-00005A620000}"/>
    <cellStyle name="Normal 2 2 5 8 12" xfId="25179" xr:uid="{00000000-0005-0000-0000-00005B620000}"/>
    <cellStyle name="Normal 2 2 5 8 13" xfId="25180" xr:uid="{00000000-0005-0000-0000-00005C620000}"/>
    <cellStyle name="Normal 2 2 5 8 14" xfId="25181" xr:uid="{00000000-0005-0000-0000-00005D620000}"/>
    <cellStyle name="Normal 2 2 5 8 2" xfId="25182" xr:uid="{00000000-0005-0000-0000-00005E620000}"/>
    <cellStyle name="Normal 2 2 5 8 2 10" xfId="25183" xr:uid="{00000000-0005-0000-0000-00005F620000}"/>
    <cellStyle name="Normal 2 2 5 8 2 2" xfId="25184" xr:uid="{00000000-0005-0000-0000-000060620000}"/>
    <cellStyle name="Normal 2 2 5 8 2 3" xfId="25185" xr:uid="{00000000-0005-0000-0000-000061620000}"/>
    <cellStyle name="Normal 2 2 5 8 2 4" xfId="25186" xr:uid="{00000000-0005-0000-0000-000062620000}"/>
    <cellStyle name="Normal 2 2 5 8 2 5" xfId="25187" xr:uid="{00000000-0005-0000-0000-000063620000}"/>
    <cellStyle name="Normal 2 2 5 8 2 6" xfId="25188" xr:uid="{00000000-0005-0000-0000-000064620000}"/>
    <cellStyle name="Normal 2 2 5 8 2 7" xfId="25189" xr:uid="{00000000-0005-0000-0000-000065620000}"/>
    <cellStyle name="Normal 2 2 5 8 2 8" xfId="25190" xr:uid="{00000000-0005-0000-0000-000066620000}"/>
    <cellStyle name="Normal 2 2 5 8 2 9" xfId="25191" xr:uid="{00000000-0005-0000-0000-000067620000}"/>
    <cellStyle name="Normal 2 2 5 8 3" xfId="25192" xr:uid="{00000000-0005-0000-0000-000068620000}"/>
    <cellStyle name="Normal 2 2 5 8 3 10" xfId="25193" xr:uid="{00000000-0005-0000-0000-000069620000}"/>
    <cellStyle name="Normal 2 2 5 8 3 2" xfId="25194" xr:uid="{00000000-0005-0000-0000-00006A620000}"/>
    <cellStyle name="Normal 2 2 5 8 3 3" xfId="25195" xr:uid="{00000000-0005-0000-0000-00006B620000}"/>
    <cellStyle name="Normal 2 2 5 8 3 4" xfId="25196" xr:uid="{00000000-0005-0000-0000-00006C620000}"/>
    <cellStyle name="Normal 2 2 5 8 3 5" xfId="25197" xr:uid="{00000000-0005-0000-0000-00006D620000}"/>
    <cellStyle name="Normal 2 2 5 8 3 6" xfId="25198" xr:uid="{00000000-0005-0000-0000-00006E620000}"/>
    <cellStyle name="Normal 2 2 5 8 3 7" xfId="25199" xr:uid="{00000000-0005-0000-0000-00006F620000}"/>
    <cellStyle name="Normal 2 2 5 8 3 8" xfId="25200" xr:uid="{00000000-0005-0000-0000-000070620000}"/>
    <cellStyle name="Normal 2 2 5 8 3 9" xfId="25201" xr:uid="{00000000-0005-0000-0000-000071620000}"/>
    <cellStyle name="Normal 2 2 5 8 4" xfId="25202" xr:uid="{00000000-0005-0000-0000-000072620000}"/>
    <cellStyle name="Normal 2 2 5 8 4 10" xfId="25203" xr:uid="{00000000-0005-0000-0000-000073620000}"/>
    <cellStyle name="Normal 2 2 5 8 4 2" xfId="25204" xr:uid="{00000000-0005-0000-0000-000074620000}"/>
    <cellStyle name="Normal 2 2 5 8 4 3" xfId="25205" xr:uid="{00000000-0005-0000-0000-000075620000}"/>
    <cellStyle name="Normal 2 2 5 8 4 4" xfId="25206" xr:uid="{00000000-0005-0000-0000-000076620000}"/>
    <cellStyle name="Normal 2 2 5 8 4 5" xfId="25207" xr:uid="{00000000-0005-0000-0000-000077620000}"/>
    <cellStyle name="Normal 2 2 5 8 4 6" xfId="25208" xr:uid="{00000000-0005-0000-0000-000078620000}"/>
    <cellStyle name="Normal 2 2 5 8 4 7" xfId="25209" xr:uid="{00000000-0005-0000-0000-000079620000}"/>
    <cellStyle name="Normal 2 2 5 8 4 8" xfId="25210" xr:uid="{00000000-0005-0000-0000-00007A620000}"/>
    <cellStyle name="Normal 2 2 5 8 4 9" xfId="25211" xr:uid="{00000000-0005-0000-0000-00007B620000}"/>
    <cellStyle name="Normal 2 2 5 8 5" xfId="25212" xr:uid="{00000000-0005-0000-0000-00007C620000}"/>
    <cellStyle name="Normal 2 2 5 8 5 10" xfId="25213" xr:uid="{00000000-0005-0000-0000-00007D620000}"/>
    <cellStyle name="Normal 2 2 5 8 5 2" xfId="25214" xr:uid="{00000000-0005-0000-0000-00007E620000}"/>
    <cellStyle name="Normal 2 2 5 8 5 3" xfId="25215" xr:uid="{00000000-0005-0000-0000-00007F620000}"/>
    <cellStyle name="Normal 2 2 5 8 5 4" xfId="25216" xr:uid="{00000000-0005-0000-0000-000080620000}"/>
    <cellStyle name="Normal 2 2 5 8 5 5" xfId="25217" xr:uid="{00000000-0005-0000-0000-000081620000}"/>
    <cellStyle name="Normal 2 2 5 8 5 6" xfId="25218" xr:uid="{00000000-0005-0000-0000-000082620000}"/>
    <cellStyle name="Normal 2 2 5 8 5 7" xfId="25219" xr:uid="{00000000-0005-0000-0000-000083620000}"/>
    <cellStyle name="Normal 2 2 5 8 5 8" xfId="25220" xr:uid="{00000000-0005-0000-0000-000084620000}"/>
    <cellStyle name="Normal 2 2 5 8 5 9" xfId="25221" xr:uid="{00000000-0005-0000-0000-000085620000}"/>
    <cellStyle name="Normal 2 2 5 8 6" xfId="25222" xr:uid="{00000000-0005-0000-0000-000086620000}"/>
    <cellStyle name="Normal 2 2 5 8 7" xfId="25223" xr:uid="{00000000-0005-0000-0000-000087620000}"/>
    <cellStyle name="Normal 2 2 5 8 8" xfId="25224" xr:uid="{00000000-0005-0000-0000-000088620000}"/>
    <cellStyle name="Normal 2 2 5 8 9" xfId="25225" xr:uid="{00000000-0005-0000-0000-000089620000}"/>
    <cellStyle name="Normal 2 2 5 9" xfId="25226" xr:uid="{00000000-0005-0000-0000-00008A620000}"/>
    <cellStyle name="Normal 2 2 5 9 10" xfId="25227" xr:uid="{00000000-0005-0000-0000-00008B620000}"/>
    <cellStyle name="Normal 2 2 5 9 11" xfId="25228" xr:uid="{00000000-0005-0000-0000-00008C620000}"/>
    <cellStyle name="Normal 2 2 5 9 12" xfId="25229" xr:uid="{00000000-0005-0000-0000-00008D620000}"/>
    <cellStyle name="Normal 2 2 5 9 13" xfId="25230" xr:uid="{00000000-0005-0000-0000-00008E620000}"/>
    <cellStyle name="Normal 2 2 5 9 14" xfId="25231" xr:uid="{00000000-0005-0000-0000-00008F620000}"/>
    <cellStyle name="Normal 2 2 5 9 2" xfId="25232" xr:uid="{00000000-0005-0000-0000-000090620000}"/>
    <cellStyle name="Normal 2 2 5 9 2 10" xfId="25233" xr:uid="{00000000-0005-0000-0000-000091620000}"/>
    <cellStyle name="Normal 2 2 5 9 2 2" xfId="25234" xr:uid="{00000000-0005-0000-0000-000092620000}"/>
    <cellStyle name="Normal 2 2 5 9 2 3" xfId="25235" xr:uid="{00000000-0005-0000-0000-000093620000}"/>
    <cellStyle name="Normal 2 2 5 9 2 4" xfId="25236" xr:uid="{00000000-0005-0000-0000-000094620000}"/>
    <cellStyle name="Normal 2 2 5 9 2 5" xfId="25237" xr:uid="{00000000-0005-0000-0000-000095620000}"/>
    <cellStyle name="Normal 2 2 5 9 2 6" xfId="25238" xr:uid="{00000000-0005-0000-0000-000096620000}"/>
    <cellStyle name="Normal 2 2 5 9 2 7" xfId="25239" xr:uid="{00000000-0005-0000-0000-000097620000}"/>
    <cellStyle name="Normal 2 2 5 9 2 8" xfId="25240" xr:uid="{00000000-0005-0000-0000-000098620000}"/>
    <cellStyle name="Normal 2 2 5 9 2 9" xfId="25241" xr:uid="{00000000-0005-0000-0000-000099620000}"/>
    <cellStyle name="Normal 2 2 5 9 3" xfId="25242" xr:uid="{00000000-0005-0000-0000-00009A620000}"/>
    <cellStyle name="Normal 2 2 5 9 3 10" xfId="25243" xr:uid="{00000000-0005-0000-0000-00009B620000}"/>
    <cellStyle name="Normal 2 2 5 9 3 2" xfId="25244" xr:uid="{00000000-0005-0000-0000-00009C620000}"/>
    <cellStyle name="Normal 2 2 5 9 3 3" xfId="25245" xr:uid="{00000000-0005-0000-0000-00009D620000}"/>
    <cellStyle name="Normal 2 2 5 9 3 4" xfId="25246" xr:uid="{00000000-0005-0000-0000-00009E620000}"/>
    <cellStyle name="Normal 2 2 5 9 3 5" xfId="25247" xr:uid="{00000000-0005-0000-0000-00009F620000}"/>
    <cellStyle name="Normal 2 2 5 9 3 6" xfId="25248" xr:uid="{00000000-0005-0000-0000-0000A0620000}"/>
    <cellStyle name="Normal 2 2 5 9 3 7" xfId="25249" xr:uid="{00000000-0005-0000-0000-0000A1620000}"/>
    <cellStyle name="Normal 2 2 5 9 3 8" xfId="25250" xr:uid="{00000000-0005-0000-0000-0000A2620000}"/>
    <cellStyle name="Normal 2 2 5 9 3 9" xfId="25251" xr:uid="{00000000-0005-0000-0000-0000A3620000}"/>
    <cellStyle name="Normal 2 2 5 9 4" xfId="25252" xr:uid="{00000000-0005-0000-0000-0000A4620000}"/>
    <cellStyle name="Normal 2 2 5 9 4 10" xfId="25253" xr:uid="{00000000-0005-0000-0000-0000A5620000}"/>
    <cellStyle name="Normal 2 2 5 9 4 2" xfId="25254" xr:uid="{00000000-0005-0000-0000-0000A6620000}"/>
    <cellStyle name="Normal 2 2 5 9 4 3" xfId="25255" xr:uid="{00000000-0005-0000-0000-0000A7620000}"/>
    <cellStyle name="Normal 2 2 5 9 4 4" xfId="25256" xr:uid="{00000000-0005-0000-0000-0000A8620000}"/>
    <cellStyle name="Normal 2 2 5 9 4 5" xfId="25257" xr:uid="{00000000-0005-0000-0000-0000A9620000}"/>
    <cellStyle name="Normal 2 2 5 9 4 6" xfId="25258" xr:uid="{00000000-0005-0000-0000-0000AA620000}"/>
    <cellStyle name="Normal 2 2 5 9 4 7" xfId="25259" xr:uid="{00000000-0005-0000-0000-0000AB620000}"/>
    <cellStyle name="Normal 2 2 5 9 4 8" xfId="25260" xr:uid="{00000000-0005-0000-0000-0000AC620000}"/>
    <cellStyle name="Normal 2 2 5 9 4 9" xfId="25261" xr:uid="{00000000-0005-0000-0000-0000AD620000}"/>
    <cellStyle name="Normal 2 2 5 9 5" xfId="25262" xr:uid="{00000000-0005-0000-0000-0000AE620000}"/>
    <cellStyle name="Normal 2 2 5 9 5 10" xfId="25263" xr:uid="{00000000-0005-0000-0000-0000AF620000}"/>
    <cellStyle name="Normal 2 2 5 9 5 2" xfId="25264" xr:uid="{00000000-0005-0000-0000-0000B0620000}"/>
    <cellStyle name="Normal 2 2 5 9 5 3" xfId="25265" xr:uid="{00000000-0005-0000-0000-0000B1620000}"/>
    <cellStyle name="Normal 2 2 5 9 5 4" xfId="25266" xr:uid="{00000000-0005-0000-0000-0000B2620000}"/>
    <cellStyle name="Normal 2 2 5 9 5 5" xfId="25267" xr:uid="{00000000-0005-0000-0000-0000B3620000}"/>
    <cellStyle name="Normal 2 2 5 9 5 6" xfId="25268" xr:uid="{00000000-0005-0000-0000-0000B4620000}"/>
    <cellStyle name="Normal 2 2 5 9 5 7" xfId="25269" xr:uid="{00000000-0005-0000-0000-0000B5620000}"/>
    <cellStyle name="Normal 2 2 5 9 5 8" xfId="25270" xr:uid="{00000000-0005-0000-0000-0000B6620000}"/>
    <cellStyle name="Normal 2 2 5 9 5 9" xfId="25271" xr:uid="{00000000-0005-0000-0000-0000B7620000}"/>
    <cellStyle name="Normal 2 2 5 9 6" xfId="25272" xr:uid="{00000000-0005-0000-0000-0000B8620000}"/>
    <cellStyle name="Normal 2 2 5 9 7" xfId="25273" xr:uid="{00000000-0005-0000-0000-0000B9620000}"/>
    <cellStyle name="Normal 2 2 5 9 8" xfId="25274" xr:uid="{00000000-0005-0000-0000-0000BA620000}"/>
    <cellStyle name="Normal 2 2 5 9 9" xfId="25275" xr:uid="{00000000-0005-0000-0000-0000BB620000}"/>
    <cellStyle name="Normal 2 2 50" xfId="25276" xr:uid="{00000000-0005-0000-0000-0000BC620000}"/>
    <cellStyle name="Normal 2 2 51" xfId="25277" xr:uid="{00000000-0005-0000-0000-0000BD620000}"/>
    <cellStyle name="Normal 2 2 52" xfId="25278" xr:uid="{00000000-0005-0000-0000-0000BE620000}"/>
    <cellStyle name="Normal 2 2 6" xfId="25279" xr:uid="{00000000-0005-0000-0000-0000BF620000}"/>
    <cellStyle name="Normal 2 2 6 2" xfId="25280" xr:uid="{00000000-0005-0000-0000-0000C0620000}"/>
    <cellStyle name="Normal 2 2 6 3" xfId="25281" xr:uid="{00000000-0005-0000-0000-0000C1620000}"/>
    <cellStyle name="Normal 2 2 7" xfId="25282" xr:uid="{00000000-0005-0000-0000-0000C2620000}"/>
    <cellStyle name="Normal 2 2 7 2" xfId="25283" xr:uid="{00000000-0005-0000-0000-0000C3620000}"/>
    <cellStyle name="Normal 2 2 7 3" xfId="25284" xr:uid="{00000000-0005-0000-0000-0000C4620000}"/>
    <cellStyle name="Normal 2 2 8" xfId="25285" xr:uid="{00000000-0005-0000-0000-0000C5620000}"/>
    <cellStyle name="Normal 2 2 8 2" xfId="25286" xr:uid="{00000000-0005-0000-0000-0000C6620000}"/>
    <cellStyle name="Normal 2 2 8 3" xfId="25287" xr:uid="{00000000-0005-0000-0000-0000C7620000}"/>
    <cellStyle name="Normal 2 2 9" xfId="25288" xr:uid="{00000000-0005-0000-0000-0000C8620000}"/>
    <cellStyle name="Normal 2 2 9 2" xfId="25289" xr:uid="{00000000-0005-0000-0000-0000C9620000}"/>
    <cellStyle name="Normal 2 2 9 3" xfId="25290" xr:uid="{00000000-0005-0000-0000-0000CA620000}"/>
    <cellStyle name="Normal 2 20" xfId="25291" xr:uid="{00000000-0005-0000-0000-0000CB620000}"/>
    <cellStyle name="Normal 2 20 2" xfId="25292" xr:uid="{00000000-0005-0000-0000-0000CC620000}"/>
    <cellStyle name="Normal 2 20 3" xfId="25293" xr:uid="{00000000-0005-0000-0000-0000CD620000}"/>
    <cellStyle name="Normal 2 21" xfId="25294" xr:uid="{00000000-0005-0000-0000-0000CE620000}"/>
    <cellStyle name="Normal 2 21 2" xfId="25295" xr:uid="{00000000-0005-0000-0000-0000CF620000}"/>
    <cellStyle name="Normal 2 21 3" xfId="25296" xr:uid="{00000000-0005-0000-0000-0000D0620000}"/>
    <cellStyle name="Normal 2 22" xfId="25297" xr:uid="{00000000-0005-0000-0000-0000D1620000}"/>
    <cellStyle name="Normal 2 22 2" xfId="25298" xr:uid="{00000000-0005-0000-0000-0000D2620000}"/>
    <cellStyle name="Normal 2 22 3" xfId="25299" xr:uid="{00000000-0005-0000-0000-0000D3620000}"/>
    <cellStyle name="Normal 2 23" xfId="25300" xr:uid="{00000000-0005-0000-0000-0000D4620000}"/>
    <cellStyle name="Normal 2 23 2" xfId="25301" xr:uid="{00000000-0005-0000-0000-0000D5620000}"/>
    <cellStyle name="Normal 2 23 2 2" xfId="25302" xr:uid="{00000000-0005-0000-0000-0000D6620000}"/>
    <cellStyle name="Normal 2 23 3" xfId="25303" xr:uid="{00000000-0005-0000-0000-0000D7620000}"/>
    <cellStyle name="Normal 2 24" xfId="25304" xr:uid="{00000000-0005-0000-0000-0000D8620000}"/>
    <cellStyle name="Normal 2 24 2" xfId="25305" xr:uid="{00000000-0005-0000-0000-0000D9620000}"/>
    <cellStyle name="Normal 2 24 3" xfId="25306" xr:uid="{00000000-0005-0000-0000-0000DA620000}"/>
    <cellStyle name="Normal 2 25" xfId="25307" xr:uid="{00000000-0005-0000-0000-0000DB620000}"/>
    <cellStyle name="Normal 2 25 2" xfId="25308" xr:uid="{00000000-0005-0000-0000-0000DC620000}"/>
    <cellStyle name="Normal 2 25 3" xfId="25309" xr:uid="{00000000-0005-0000-0000-0000DD620000}"/>
    <cellStyle name="Normal 2 26" xfId="25310" xr:uid="{00000000-0005-0000-0000-0000DE620000}"/>
    <cellStyle name="Normal 2 26 2" xfId="25311" xr:uid="{00000000-0005-0000-0000-0000DF620000}"/>
    <cellStyle name="Normal 2 26 3" xfId="25312" xr:uid="{00000000-0005-0000-0000-0000E0620000}"/>
    <cellStyle name="Normal 2 27" xfId="25313" xr:uid="{00000000-0005-0000-0000-0000E1620000}"/>
    <cellStyle name="Normal 2 27 2" xfId="25314" xr:uid="{00000000-0005-0000-0000-0000E2620000}"/>
    <cellStyle name="Normal 2 27 3" xfId="25315" xr:uid="{00000000-0005-0000-0000-0000E3620000}"/>
    <cellStyle name="Normal 2 28" xfId="25316" xr:uid="{00000000-0005-0000-0000-0000E4620000}"/>
    <cellStyle name="Normal 2 28 2" xfId="25317" xr:uid="{00000000-0005-0000-0000-0000E5620000}"/>
    <cellStyle name="Normal 2 28 3" xfId="25318" xr:uid="{00000000-0005-0000-0000-0000E6620000}"/>
    <cellStyle name="Normal 2 29" xfId="25319" xr:uid="{00000000-0005-0000-0000-0000E7620000}"/>
    <cellStyle name="Normal 2 29 2" xfId="25320" xr:uid="{00000000-0005-0000-0000-0000E8620000}"/>
    <cellStyle name="Normal 2 29 3" xfId="25321" xr:uid="{00000000-0005-0000-0000-0000E9620000}"/>
    <cellStyle name="Normal 2 3" xfId="25322" xr:uid="{00000000-0005-0000-0000-0000EA620000}"/>
    <cellStyle name="Normal 2 3 10" xfId="25323" xr:uid="{00000000-0005-0000-0000-0000EB620000}"/>
    <cellStyle name="Normal 2 3 10 10" xfId="25324" xr:uid="{00000000-0005-0000-0000-0000EC620000}"/>
    <cellStyle name="Normal 2 3 10 11" xfId="25325" xr:uid="{00000000-0005-0000-0000-0000ED620000}"/>
    <cellStyle name="Normal 2 3 10 12" xfId="25326" xr:uid="{00000000-0005-0000-0000-0000EE620000}"/>
    <cellStyle name="Normal 2 3 10 13" xfId="25327" xr:uid="{00000000-0005-0000-0000-0000EF620000}"/>
    <cellStyle name="Normal 2 3 10 14" xfId="25328" xr:uid="{00000000-0005-0000-0000-0000F0620000}"/>
    <cellStyle name="Normal 2 3 10 2" xfId="25329" xr:uid="{00000000-0005-0000-0000-0000F1620000}"/>
    <cellStyle name="Normal 2 3 10 2 10" xfId="25330" xr:uid="{00000000-0005-0000-0000-0000F2620000}"/>
    <cellStyle name="Normal 2 3 10 2 2" xfId="25331" xr:uid="{00000000-0005-0000-0000-0000F3620000}"/>
    <cellStyle name="Normal 2 3 10 2 3" xfId="25332" xr:uid="{00000000-0005-0000-0000-0000F4620000}"/>
    <cellStyle name="Normal 2 3 10 2 4" xfId="25333" xr:uid="{00000000-0005-0000-0000-0000F5620000}"/>
    <cellStyle name="Normal 2 3 10 2 5" xfId="25334" xr:uid="{00000000-0005-0000-0000-0000F6620000}"/>
    <cellStyle name="Normal 2 3 10 2 6" xfId="25335" xr:uid="{00000000-0005-0000-0000-0000F7620000}"/>
    <cellStyle name="Normal 2 3 10 2 7" xfId="25336" xr:uid="{00000000-0005-0000-0000-0000F8620000}"/>
    <cellStyle name="Normal 2 3 10 2 8" xfId="25337" xr:uid="{00000000-0005-0000-0000-0000F9620000}"/>
    <cellStyle name="Normal 2 3 10 2 9" xfId="25338" xr:uid="{00000000-0005-0000-0000-0000FA620000}"/>
    <cellStyle name="Normal 2 3 10 3" xfId="25339" xr:uid="{00000000-0005-0000-0000-0000FB620000}"/>
    <cellStyle name="Normal 2 3 10 3 10" xfId="25340" xr:uid="{00000000-0005-0000-0000-0000FC620000}"/>
    <cellStyle name="Normal 2 3 10 3 2" xfId="25341" xr:uid="{00000000-0005-0000-0000-0000FD620000}"/>
    <cellStyle name="Normal 2 3 10 3 3" xfId="25342" xr:uid="{00000000-0005-0000-0000-0000FE620000}"/>
    <cellStyle name="Normal 2 3 10 3 4" xfId="25343" xr:uid="{00000000-0005-0000-0000-0000FF620000}"/>
    <cellStyle name="Normal 2 3 10 3 5" xfId="25344" xr:uid="{00000000-0005-0000-0000-000000630000}"/>
    <cellStyle name="Normal 2 3 10 3 6" xfId="25345" xr:uid="{00000000-0005-0000-0000-000001630000}"/>
    <cellStyle name="Normal 2 3 10 3 7" xfId="25346" xr:uid="{00000000-0005-0000-0000-000002630000}"/>
    <cellStyle name="Normal 2 3 10 3 8" xfId="25347" xr:uid="{00000000-0005-0000-0000-000003630000}"/>
    <cellStyle name="Normal 2 3 10 3 9" xfId="25348" xr:uid="{00000000-0005-0000-0000-000004630000}"/>
    <cellStyle name="Normal 2 3 10 4" xfId="25349" xr:uid="{00000000-0005-0000-0000-000005630000}"/>
    <cellStyle name="Normal 2 3 10 4 10" xfId="25350" xr:uid="{00000000-0005-0000-0000-000006630000}"/>
    <cellStyle name="Normal 2 3 10 4 2" xfId="25351" xr:uid="{00000000-0005-0000-0000-000007630000}"/>
    <cellStyle name="Normal 2 3 10 4 3" xfId="25352" xr:uid="{00000000-0005-0000-0000-000008630000}"/>
    <cellStyle name="Normal 2 3 10 4 4" xfId="25353" xr:uid="{00000000-0005-0000-0000-000009630000}"/>
    <cellStyle name="Normal 2 3 10 4 5" xfId="25354" xr:uid="{00000000-0005-0000-0000-00000A630000}"/>
    <cellStyle name="Normal 2 3 10 4 6" xfId="25355" xr:uid="{00000000-0005-0000-0000-00000B630000}"/>
    <cellStyle name="Normal 2 3 10 4 7" xfId="25356" xr:uid="{00000000-0005-0000-0000-00000C630000}"/>
    <cellStyle name="Normal 2 3 10 4 8" xfId="25357" xr:uid="{00000000-0005-0000-0000-00000D630000}"/>
    <cellStyle name="Normal 2 3 10 4 9" xfId="25358" xr:uid="{00000000-0005-0000-0000-00000E630000}"/>
    <cellStyle name="Normal 2 3 10 5" xfId="25359" xr:uid="{00000000-0005-0000-0000-00000F630000}"/>
    <cellStyle name="Normal 2 3 10 5 10" xfId="25360" xr:uid="{00000000-0005-0000-0000-000010630000}"/>
    <cellStyle name="Normal 2 3 10 5 2" xfId="25361" xr:uid="{00000000-0005-0000-0000-000011630000}"/>
    <cellStyle name="Normal 2 3 10 5 3" xfId="25362" xr:uid="{00000000-0005-0000-0000-000012630000}"/>
    <cellStyle name="Normal 2 3 10 5 4" xfId="25363" xr:uid="{00000000-0005-0000-0000-000013630000}"/>
    <cellStyle name="Normal 2 3 10 5 5" xfId="25364" xr:uid="{00000000-0005-0000-0000-000014630000}"/>
    <cellStyle name="Normal 2 3 10 5 6" xfId="25365" xr:uid="{00000000-0005-0000-0000-000015630000}"/>
    <cellStyle name="Normal 2 3 10 5 7" xfId="25366" xr:uid="{00000000-0005-0000-0000-000016630000}"/>
    <cellStyle name="Normal 2 3 10 5 8" xfId="25367" xr:uid="{00000000-0005-0000-0000-000017630000}"/>
    <cellStyle name="Normal 2 3 10 5 9" xfId="25368" xr:uid="{00000000-0005-0000-0000-000018630000}"/>
    <cellStyle name="Normal 2 3 10 6" xfId="25369" xr:uid="{00000000-0005-0000-0000-000019630000}"/>
    <cellStyle name="Normal 2 3 10 7" xfId="25370" xr:uid="{00000000-0005-0000-0000-00001A630000}"/>
    <cellStyle name="Normal 2 3 10 8" xfId="25371" xr:uid="{00000000-0005-0000-0000-00001B630000}"/>
    <cellStyle name="Normal 2 3 10 9" xfId="25372" xr:uid="{00000000-0005-0000-0000-00001C630000}"/>
    <cellStyle name="Normal 2 3 11" xfId="25373" xr:uid="{00000000-0005-0000-0000-00001D630000}"/>
    <cellStyle name="Normal 2 3 11 10" xfId="25374" xr:uid="{00000000-0005-0000-0000-00001E630000}"/>
    <cellStyle name="Normal 2 3 11 11" xfId="25375" xr:uid="{00000000-0005-0000-0000-00001F630000}"/>
    <cellStyle name="Normal 2 3 11 12" xfId="25376" xr:uid="{00000000-0005-0000-0000-000020630000}"/>
    <cellStyle name="Normal 2 3 11 13" xfId="25377" xr:uid="{00000000-0005-0000-0000-000021630000}"/>
    <cellStyle name="Normal 2 3 11 14" xfId="25378" xr:uid="{00000000-0005-0000-0000-000022630000}"/>
    <cellStyle name="Normal 2 3 11 2" xfId="25379" xr:uid="{00000000-0005-0000-0000-000023630000}"/>
    <cellStyle name="Normal 2 3 11 2 10" xfId="25380" xr:uid="{00000000-0005-0000-0000-000024630000}"/>
    <cellStyle name="Normal 2 3 11 2 2" xfId="25381" xr:uid="{00000000-0005-0000-0000-000025630000}"/>
    <cellStyle name="Normal 2 3 11 2 3" xfId="25382" xr:uid="{00000000-0005-0000-0000-000026630000}"/>
    <cellStyle name="Normal 2 3 11 2 4" xfId="25383" xr:uid="{00000000-0005-0000-0000-000027630000}"/>
    <cellStyle name="Normal 2 3 11 2 5" xfId="25384" xr:uid="{00000000-0005-0000-0000-000028630000}"/>
    <cellStyle name="Normal 2 3 11 2 6" xfId="25385" xr:uid="{00000000-0005-0000-0000-000029630000}"/>
    <cellStyle name="Normal 2 3 11 2 7" xfId="25386" xr:uid="{00000000-0005-0000-0000-00002A630000}"/>
    <cellStyle name="Normal 2 3 11 2 8" xfId="25387" xr:uid="{00000000-0005-0000-0000-00002B630000}"/>
    <cellStyle name="Normal 2 3 11 2 9" xfId="25388" xr:uid="{00000000-0005-0000-0000-00002C630000}"/>
    <cellStyle name="Normal 2 3 11 3" xfId="25389" xr:uid="{00000000-0005-0000-0000-00002D630000}"/>
    <cellStyle name="Normal 2 3 11 3 10" xfId="25390" xr:uid="{00000000-0005-0000-0000-00002E630000}"/>
    <cellStyle name="Normal 2 3 11 3 2" xfId="25391" xr:uid="{00000000-0005-0000-0000-00002F630000}"/>
    <cellStyle name="Normal 2 3 11 3 3" xfId="25392" xr:uid="{00000000-0005-0000-0000-000030630000}"/>
    <cellStyle name="Normal 2 3 11 3 4" xfId="25393" xr:uid="{00000000-0005-0000-0000-000031630000}"/>
    <cellStyle name="Normal 2 3 11 3 5" xfId="25394" xr:uid="{00000000-0005-0000-0000-000032630000}"/>
    <cellStyle name="Normal 2 3 11 3 6" xfId="25395" xr:uid="{00000000-0005-0000-0000-000033630000}"/>
    <cellStyle name="Normal 2 3 11 3 7" xfId="25396" xr:uid="{00000000-0005-0000-0000-000034630000}"/>
    <cellStyle name="Normal 2 3 11 3 8" xfId="25397" xr:uid="{00000000-0005-0000-0000-000035630000}"/>
    <cellStyle name="Normal 2 3 11 3 9" xfId="25398" xr:uid="{00000000-0005-0000-0000-000036630000}"/>
    <cellStyle name="Normal 2 3 11 4" xfId="25399" xr:uid="{00000000-0005-0000-0000-000037630000}"/>
    <cellStyle name="Normal 2 3 11 4 10" xfId="25400" xr:uid="{00000000-0005-0000-0000-000038630000}"/>
    <cellStyle name="Normal 2 3 11 4 2" xfId="25401" xr:uid="{00000000-0005-0000-0000-000039630000}"/>
    <cellStyle name="Normal 2 3 11 4 3" xfId="25402" xr:uid="{00000000-0005-0000-0000-00003A630000}"/>
    <cellStyle name="Normal 2 3 11 4 4" xfId="25403" xr:uid="{00000000-0005-0000-0000-00003B630000}"/>
    <cellStyle name="Normal 2 3 11 4 5" xfId="25404" xr:uid="{00000000-0005-0000-0000-00003C630000}"/>
    <cellStyle name="Normal 2 3 11 4 6" xfId="25405" xr:uid="{00000000-0005-0000-0000-00003D630000}"/>
    <cellStyle name="Normal 2 3 11 4 7" xfId="25406" xr:uid="{00000000-0005-0000-0000-00003E630000}"/>
    <cellStyle name="Normal 2 3 11 4 8" xfId="25407" xr:uid="{00000000-0005-0000-0000-00003F630000}"/>
    <cellStyle name="Normal 2 3 11 4 9" xfId="25408" xr:uid="{00000000-0005-0000-0000-000040630000}"/>
    <cellStyle name="Normal 2 3 11 5" xfId="25409" xr:uid="{00000000-0005-0000-0000-000041630000}"/>
    <cellStyle name="Normal 2 3 11 5 10" xfId="25410" xr:uid="{00000000-0005-0000-0000-000042630000}"/>
    <cellStyle name="Normal 2 3 11 5 2" xfId="25411" xr:uid="{00000000-0005-0000-0000-000043630000}"/>
    <cellStyle name="Normal 2 3 11 5 3" xfId="25412" xr:uid="{00000000-0005-0000-0000-000044630000}"/>
    <cellStyle name="Normal 2 3 11 5 4" xfId="25413" xr:uid="{00000000-0005-0000-0000-000045630000}"/>
    <cellStyle name="Normal 2 3 11 5 5" xfId="25414" xr:uid="{00000000-0005-0000-0000-000046630000}"/>
    <cellStyle name="Normal 2 3 11 5 6" xfId="25415" xr:uid="{00000000-0005-0000-0000-000047630000}"/>
    <cellStyle name="Normal 2 3 11 5 7" xfId="25416" xr:uid="{00000000-0005-0000-0000-000048630000}"/>
    <cellStyle name="Normal 2 3 11 5 8" xfId="25417" xr:uid="{00000000-0005-0000-0000-000049630000}"/>
    <cellStyle name="Normal 2 3 11 5 9" xfId="25418" xr:uid="{00000000-0005-0000-0000-00004A630000}"/>
    <cellStyle name="Normal 2 3 11 6" xfId="25419" xr:uid="{00000000-0005-0000-0000-00004B630000}"/>
    <cellStyle name="Normal 2 3 11 7" xfId="25420" xr:uid="{00000000-0005-0000-0000-00004C630000}"/>
    <cellStyle name="Normal 2 3 11 8" xfId="25421" xr:uid="{00000000-0005-0000-0000-00004D630000}"/>
    <cellStyle name="Normal 2 3 11 9" xfId="25422" xr:uid="{00000000-0005-0000-0000-00004E630000}"/>
    <cellStyle name="Normal 2 3 12" xfId="25423" xr:uid="{00000000-0005-0000-0000-00004F630000}"/>
    <cellStyle name="Normal 2 3 12 10" xfId="25424" xr:uid="{00000000-0005-0000-0000-000050630000}"/>
    <cellStyle name="Normal 2 3 12 11" xfId="25425" xr:uid="{00000000-0005-0000-0000-000051630000}"/>
    <cellStyle name="Normal 2 3 12 12" xfId="25426" xr:uid="{00000000-0005-0000-0000-000052630000}"/>
    <cellStyle name="Normal 2 3 12 13" xfId="25427" xr:uid="{00000000-0005-0000-0000-000053630000}"/>
    <cellStyle name="Normal 2 3 12 14" xfId="25428" xr:uid="{00000000-0005-0000-0000-000054630000}"/>
    <cellStyle name="Normal 2 3 12 2" xfId="25429" xr:uid="{00000000-0005-0000-0000-000055630000}"/>
    <cellStyle name="Normal 2 3 12 2 10" xfId="25430" xr:uid="{00000000-0005-0000-0000-000056630000}"/>
    <cellStyle name="Normal 2 3 12 2 2" xfId="25431" xr:uid="{00000000-0005-0000-0000-000057630000}"/>
    <cellStyle name="Normal 2 3 12 2 3" xfId="25432" xr:uid="{00000000-0005-0000-0000-000058630000}"/>
    <cellStyle name="Normal 2 3 12 2 4" xfId="25433" xr:uid="{00000000-0005-0000-0000-000059630000}"/>
    <cellStyle name="Normal 2 3 12 2 5" xfId="25434" xr:uid="{00000000-0005-0000-0000-00005A630000}"/>
    <cellStyle name="Normal 2 3 12 2 6" xfId="25435" xr:uid="{00000000-0005-0000-0000-00005B630000}"/>
    <cellStyle name="Normal 2 3 12 2 7" xfId="25436" xr:uid="{00000000-0005-0000-0000-00005C630000}"/>
    <cellStyle name="Normal 2 3 12 2 8" xfId="25437" xr:uid="{00000000-0005-0000-0000-00005D630000}"/>
    <cellStyle name="Normal 2 3 12 2 9" xfId="25438" xr:uid="{00000000-0005-0000-0000-00005E630000}"/>
    <cellStyle name="Normal 2 3 12 3" xfId="25439" xr:uid="{00000000-0005-0000-0000-00005F630000}"/>
    <cellStyle name="Normal 2 3 12 3 10" xfId="25440" xr:uid="{00000000-0005-0000-0000-000060630000}"/>
    <cellStyle name="Normal 2 3 12 3 2" xfId="25441" xr:uid="{00000000-0005-0000-0000-000061630000}"/>
    <cellStyle name="Normal 2 3 12 3 3" xfId="25442" xr:uid="{00000000-0005-0000-0000-000062630000}"/>
    <cellStyle name="Normal 2 3 12 3 4" xfId="25443" xr:uid="{00000000-0005-0000-0000-000063630000}"/>
    <cellStyle name="Normal 2 3 12 3 5" xfId="25444" xr:uid="{00000000-0005-0000-0000-000064630000}"/>
    <cellStyle name="Normal 2 3 12 3 6" xfId="25445" xr:uid="{00000000-0005-0000-0000-000065630000}"/>
    <cellStyle name="Normal 2 3 12 3 7" xfId="25446" xr:uid="{00000000-0005-0000-0000-000066630000}"/>
    <cellStyle name="Normal 2 3 12 3 8" xfId="25447" xr:uid="{00000000-0005-0000-0000-000067630000}"/>
    <cellStyle name="Normal 2 3 12 3 9" xfId="25448" xr:uid="{00000000-0005-0000-0000-000068630000}"/>
    <cellStyle name="Normal 2 3 12 4" xfId="25449" xr:uid="{00000000-0005-0000-0000-000069630000}"/>
    <cellStyle name="Normal 2 3 12 4 10" xfId="25450" xr:uid="{00000000-0005-0000-0000-00006A630000}"/>
    <cellStyle name="Normal 2 3 12 4 2" xfId="25451" xr:uid="{00000000-0005-0000-0000-00006B630000}"/>
    <cellStyle name="Normal 2 3 12 4 3" xfId="25452" xr:uid="{00000000-0005-0000-0000-00006C630000}"/>
    <cellStyle name="Normal 2 3 12 4 4" xfId="25453" xr:uid="{00000000-0005-0000-0000-00006D630000}"/>
    <cellStyle name="Normal 2 3 12 4 5" xfId="25454" xr:uid="{00000000-0005-0000-0000-00006E630000}"/>
    <cellStyle name="Normal 2 3 12 4 6" xfId="25455" xr:uid="{00000000-0005-0000-0000-00006F630000}"/>
    <cellStyle name="Normal 2 3 12 4 7" xfId="25456" xr:uid="{00000000-0005-0000-0000-000070630000}"/>
    <cellStyle name="Normal 2 3 12 4 8" xfId="25457" xr:uid="{00000000-0005-0000-0000-000071630000}"/>
    <cellStyle name="Normal 2 3 12 4 9" xfId="25458" xr:uid="{00000000-0005-0000-0000-000072630000}"/>
    <cellStyle name="Normal 2 3 12 5" xfId="25459" xr:uid="{00000000-0005-0000-0000-000073630000}"/>
    <cellStyle name="Normal 2 3 12 5 10" xfId="25460" xr:uid="{00000000-0005-0000-0000-000074630000}"/>
    <cellStyle name="Normal 2 3 12 5 2" xfId="25461" xr:uid="{00000000-0005-0000-0000-000075630000}"/>
    <cellStyle name="Normal 2 3 12 5 3" xfId="25462" xr:uid="{00000000-0005-0000-0000-000076630000}"/>
    <cellStyle name="Normal 2 3 12 5 4" xfId="25463" xr:uid="{00000000-0005-0000-0000-000077630000}"/>
    <cellStyle name="Normal 2 3 12 5 5" xfId="25464" xr:uid="{00000000-0005-0000-0000-000078630000}"/>
    <cellStyle name="Normal 2 3 12 5 6" xfId="25465" xr:uid="{00000000-0005-0000-0000-000079630000}"/>
    <cellStyle name="Normal 2 3 12 5 7" xfId="25466" xr:uid="{00000000-0005-0000-0000-00007A630000}"/>
    <cellStyle name="Normal 2 3 12 5 8" xfId="25467" xr:uid="{00000000-0005-0000-0000-00007B630000}"/>
    <cellStyle name="Normal 2 3 12 5 9" xfId="25468" xr:uid="{00000000-0005-0000-0000-00007C630000}"/>
    <cellStyle name="Normal 2 3 12 6" xfId="25469" xr:uid="{00000000-0005-0000-0000-00007D630000}"/>
    <cellStyle name="Normal 2 3 12 7" xfId="25470" xr:uid="{00000000-0005-0000-0000-00007E630000}"/>
    <cellStyle name="Normal 2 3 12 8" xfId="25471" xr:uid="{00000000-0005-0000-0000-00007F630000}"/>
    <cellStyle name="Normal 2 3 12 9" xfId="25472" xr:uid="{00000000-0005-0000-0000-000080630000}"/>
    <cellStyle name="Normal 2 3 13" xfId="25473" xr:uid="{00000000-0005-0000-0000-000081630000}"/>
    <cellStyle name="Normal 2 3 13 10" xfId="25474" xr:uid="{00000000-0005-0000-0000-000082630000}"/>
    <cellStyle name="Normal 2 3 13 11" xfId="25475" xr:uid="{00000000-0005-0000-0000-000083630000}"/>
    <cellStyle name="Normal 2 3 13 12" xfId="25476" xr:uid="{00000000-0005-0000-0000-000084630000}"/>
    <cellStyle name="Normal 2 3 13 13" xfId="25477" xr:uid="{00000000-0005-0000-0000-000085630000}"/>
    <cellStyle name="Normal 2 3 13 14" xfId="25478" xr:uid="{00000000-0005-0000-0000-000086630000}"/>
    <cellStyle name="Normal 2 3 13 2" xfId="25479" xr:uid="{00000000-0005-0000-0000-000087630000}"/>
    <cellStyle name="Normal 2 3 13 2 10" xfId="25480" xr:uid="{00000000-0005-0000-0000-000088630000}"/>
    <cellStyle name="Normal 2 3 13 2 2" xfId="25481" xr:uid="{00000000-0005-0000-0000-000089630000}"/>
    <cellStyle name="Normal 2 3 13 2 3" xfId="25482" xr:uid="{00000000-0005-0000-0000-00008A630000}"/>
    <cellStyle name="Normal 2 3 13 2 4" xfId="25483" xr:uid="{00000000-0005-0000-0000-00008B630000}"/>
    <cellStyle name="Normal 2 3 13 2 5" xfId="25484" xr:uid="{00000000-0005-0000-0000-00008C630000}"/>
    <cellStyle name="Normal 2 3 13 2 6" xfId="25485" xr:uid="{00000000-0005-0000-0000-00008D630000}"/>
    <cellStyle name="Normal 2 3 13 2 7" xfId="25486" xr:uid="{00000000-0005-0000-0000-00008E630000}"/>
    <cellStyle name="Normal 2 3 13 2 8" xfId="25487" xr:uid="{00000000-0005-0000-0000-00008F630000}"/>
    <cellStyle name="Normal 2 3 13 2 9" xfId="25488" xr:uid="{00000000-0005-0000-0000-000090630000}"/>
    <cellStyle name="Normal 2 3 13 3" xfId="25489" xr:uid="{00000000-0005-0000-0000-000091630000}"/>
    <cellStyle name="Normal 2 3 13 3 10" xfId="25490" xr:uid="{00000000-0005-0000-0000-000092630000}"/>
    <cellStyle name="Normal 2 3 13 3 2" xfId="25491" xr:uid="{00000000-0005-0000-0000-000093630000}"/>
    <cellStyle name="Normal 2 3 13 3 3" xfId="25492" xr:uid="{00000000-0005-0000-0000-000094630000}"/>
    <cellStyle name="Normal 2 3 13 3 4" xfId="25493" xr:uid="{00000000-0005-0000-0000-000095630000}"/>
    <cellStyle name="Normal 2 3 13 3 5" xfId="25494" xr:uid="{00000000-0005-0000-0000-000096630000}"/>
    <cellStyle name="Normal 2 3 13 3 6" xfId="25495" xr:uid="{00000000-0005-0000-0000-000097630000}"/>
    <cellStyle name="Normal 2 3 13 3 7" xfId="25496" xr:uid="{00000000-0005-0000-0000-000098630000}"/>
    <cellStyle name="Normal 2 3 13 3 8" xfId="25497" xr:uid="{00000000-0005-0000-0000-000099630000}"/>
    <cellStyle name="Normal 2 3 13 3 9" xfId="25498" xr:uid="{00000000-0005-0000-0000-00009A630000}"/>
    <cellStyle name="Normal 2 3 13 4" xfId="25499" xr:uid="{00000000-0005-0000-0000-00009B630000}"/>
    <cellStyle name="Normal 2 3 13 4 10" xfId="25500" xr:uid="{00000000-0005-0000-0000-00009C630000}"/>
    <cellStyle name="Normal 2 3 13 4 2" xfId="25501" xr:uid="{00000000-0005-0000-0000-00009D630000}"/>
    <cellStyle name="Normal 2 3 13 4 3" xfId="25502" xr:uid="{00000000-0005-0000-0000-00009E630000}"/>
    <cellStyle name="Normal 2 3 13 4 4" xfId="25503" xr:uid="{00000000-0005-0000-0000-00009F630000}"/>
    <cellStyle name="Normal 2 3 13 4 5" xfId="25504" xr:uid="{00000000-0005-0000-0000-0000A0630000}"/>
    <cellStyle name="Normal 2 3 13 4 6" xfId="25505" xr:uid="{00000000-0005-0000-0000-0000A1630000}"/>
    <cellStyle name="Normal 2 3 13 4 7" xfId="25506" xr:uid="{00000000-0005-0000-0000-0000A2630000}"/>
    <cellStyle name="Normal 2 3 13 4 8" xfId="25507" xr:uid="{00000000-0005-0000-0000-0000A3630000}"/>
    <cellStyle name="Normal 2 3 13 4 9" xfId="25508" xr:uid="{00000000-0005-0000-0000-0000A4630000}"/>
    <cellStyle name="Normal 2 3 13 5" xfId="25509" xr:uid="{00000000-0005-0000-0000-0000A5630000}"/>
    <cellStyle name="Normal 2 3 13 5 10" xfId="25510" xr:uid="{00000000-0005-0000-0000-0000A6630000}"/>
    <cellStyle name="Normal 2 3 13 5 2" xfId="25511" xr:uid="{00000000-0005-0000-0000-0000A7630000}"/>
    <cellStyle name="Normal 2 3 13 5 3" xfId="25512" xr:uid="{00000000-0005-0000-0000-0000A8630000}"/>
    <cellStyle name="Normal 2 3 13 5 4" xfId="25513" xr:uid="{00000000-0005-0000-0000-0000A9630000}"/>
    <cellStyle name="Normal 2 3 13 5 5" xfId="25514" xr:uid="{00000000-0005-0000-0000-0000AA630000}"/>
    <cellStyle name="Normal 2 3 13 5 6" xfId="25515" xr:uid="{00000000-0005-0000-0000-0000AB630000}"/>
    <cellStyle name="Normal 2 3 13 5 7" xfId="25516" xr:uid="{00000000-0005-0000-0000-0000AC630000}"/>
    <cellStyle name="Normal 2 3 13 5 8" xfId="25517" xr:uid="{00000000-0005-0000-0000-0000AD630000}"/>
    <cellStyle name="Normal 2 3 13 5 9" xfId="25518" xr:uid="{00000000-0005-0000-0000-0000AE630000}"/>
    <cellStyle name="Normal 2 3 13 6" xfId="25519" xr:uid="{00000000-0005-0000-0000-0000AF630000}"/>
    <cellStyle name="Normal 2 3 13 7" xfId="25520" xr:uid="{00000000-0005-0000-0000-0000B0630000}"/>
    <cellStyle name="Normal 2 3 13 8" xfId="25521" xr:uid="{00000000-0005-0000-0000-0000B1630000}"/>
    <cellStyle name="Normal 2 3 13 9" xfId="25522" xr:uid="{00000000-0005-0000-0000-0000B2630000}"/>
    <cellStyle name="Normal 2 3 14" xfId="25523" xr:uid="{00000000-0005-0000-0000-0000B3630000}"/>
    <cellStyle name="Normal 2 3 14 10" xfId="25524" xr:uid="{00000000-0005-0000-0000-0000B4630000}"/>
    <cellStyle name="Normal 2 3 14 11" xfId="25525" xr:uid="{00000000-0005-0000-0000-0000B5630000}"/>
    <cellStyle name="Normal 2 3 14 12" xfId="25526" xr:uid="{00000000-0005-0000-0000-0000B6630000}"/>
    <cellStyle name="Normal 2 3 14 13" xfId="25527" xr:uid="{00000000-0005-0000-0000-0000B7630000}"/>
    <cellStyle name="Normal 2 3 14 14" xfId="25528" xr:uid="{00000000-0005-0000-0000-0000B8630000}"/>
    <cellStyle name="Normal 2 3 14 2" xfId="25529" xr:uid="{00000000-0005-0000-0000-0000B9630000}"/>
    <cellStyle name="Normal 2 3 14 2 10" xfId="25530" xr:uid="{00000000-0005-0000-0000-0000BA630000}"/>
    <cellStyle name="Normal 2 3 14 2 2" xfId="25531" xr:uid="{00000000-0005-0000-0000-0000BB630000}"/>
    <cellStyle name="Normal 2 3 14 2 3" xfId="25532" xr:uid="{00000000-0005-0000-0000-0000BC630000}"/>
    <cellStyle name="Normal 2 3 14 2 4" xfId="25533" xr:uid="{00000000-0005-0000-0000-0000BD630000}"/>
    <cellStyle name="Normal 2 3 14 2 5" xfId="25534" xr:uid="{00000000-0005-0000-0000-0000BE630000}"/>
    <cellStyle name="Normal 2 3 14 2 6" xfId="25535" xr:uid="{00000000-0005-0000-0000-0000BF630000}"/>
    <cellStyle name="Normal 2 3 14 2 7" xfId="25536" xr:uid="{00000000-0005-0000-0000-0000C0630000}"/>
    <cellStyle name="Normal 2 3 14 2 8" xfId="25537" xr:uid="{00000000-0005-0000-0000-0000C1630000}"/>
    <cellStyle name="Normal 2 3 14 2 9" xfId="25538" xr:uid="{00000000-0005-0000-0000-0000C2630000}"/>
    <cellStyle name="Normal 2 3 14 3" xfId="25539" xr:uid="{00000000-0005-0000-0000-0000C3630000}"/>
    <cellStyle name="Normal 2 3 14 3 10" xfId="25540" xr:uid="{00000000-0005-0000-0000-0000C4630000}"/>
    <cellStyle name="Normal 2 3 14 3 2" xfId="25541" xr:uid="{00000000-0005-0000-0000-0000C5630000}"/>
    <cellStyle name="Normal 2 3 14 3 3" xfId="25542" xr:uid="{00000000-0005-0000-0000-0000C6630000}"/>
    <cellStyle name="Normal 2 3 14 3 4" xfId="25543" xr:uid="{00000000-0005-0000-0000-0000C7630000}"/>
    <cellStyle name="Normal 2 3 14 3 5" xfId="25544" xr:uid="{00000000-0005-0000-0000-0000C8630000}"/>
    <cellStyle name="Normal 2 3 14 3 6" xfId="25545" xr:uid="{00000000-0005-0000-0000-0000C9630000}"/>
    <cellStyle name="Normal 2 3 14 3 7" xfId="25546" xr:uid="{00000000-0005-0000-0000-0000CA630000}"/>
    <cellStyle name="Normal 2 3 14 3 8" xfId="25547" xr:uid="{00000000-0005-0000-0000-0000CB630000}"/>
    <cellStyle name="Normal 2 3 14 3 9" xfId="25548" xr:uid="{00000000-0005-0000-0000-0000CC630000}"/>
    <cellStyle name="Normal 2 3 14 4" xfId="25549" xr:uid="{00000000-0005-0000-0000-0000CD630000}"/>
    <cellStyle name="Normal 2 3 14 4 10" xfId="25550" xr:uid="{00000000-0005-0000-0000-0000CE630000}"/>
    <cellStyle name="Normal 2 3 14 4 2" xfId="25551" xr:uid="{00000000-0005-0000-0000-0000CF630000}"/>
    <cellStyle name="Normal 2 3 14 4 3" xfId="25552" xr:uid="{00000000-0005-0000-0000-0000D0630000}"/>
    <cellStyle name="Normal 2 3 14 4 4" xfId="25553" xr:uid="{00000000-0005-0000-0000-0000D1630000}"/>
    <cellStyle name="Normal 2 3 14 4 5" xfId="25554" xr:uid="{00000000-0005-0000-0000-0000D2630000}"/>
    <cellStyle name="Normal 2 3 14 4 6" xfId="25555" xr:uid="{00000000-0005-0000-0000-0000D3630000}"/>
    <cellStyle name="Normal 2 3 14 4 7" xfId="25556" xr:uid="{00000000-0005-0000-0000-0000D4630000}"/>
    <cellStyle name="Normal 2 3 14 4 8" xfId="25557" xr:uid="{00000000-0005-0000-0000-0000D5630000}"/>
    <cellStyle name="Normal 2 3 14 4 9" xfId="25558" xr:uid="{00000000-0005-0000-0000-0000D6630000}"/>
    <cellStyle name="Normal 2 3 14 5" xfId="25559" xr:uid="{00000000-0005-0000-0000-0000D7630000}"/>
    <cellStyle name="Normal 2 3 14 5 10" xfId="25560" xr:uid="{00000000-0005-0000-0000-0000D8630000}"/>
    <cellStyle name="Normal 2 3 14 5 2" xfId="25561" xr:uid="{00000000-0005-0000-0000-0000D9630000}"/>
    <cellStyle name="Normal 2 3 14 5 3" xfId="25562" xr:uid="{00000000-0005-0000-0000-0000DA630000}"/>
    <cellStyle name="Normal 2 3 14 5 4" xfId="25563" xr:uid="{00000000-0005-0000-0000-0000DB630000}"/>
    <cellStyle name="Normal 2 3 14 5 5" xfId="25564" xr:uid="{00000000-0005-0000-0000-0000DC630000}"/>
    <cellStyle name="Normal 2 3 14 5 6" xfId="25565" xr:uid="{00000000-0005-0000-0000-0000DD630000}"/>
    <cellStyle name="Normal 2 3 14 5 7" xfId="25566" xr:uid="{00000000-0005-0000-0000-0000DE630000}"/>
    <cellStyle name="Normal 2 3 14 5 8" xfId="25567" xr:uid="{00000000-0005-0000-0000-0000DF630000}"/>
    <cellStyle name="Normal 2 3 14 5 9" xfId="25568" xr:uid="{00000000-0005-0000-0000-0000E0630000}"/>
    <cellStyle name="Normal 2 3 14 6" xfId="25569" xr:uid="{00000000-0005-0000-0000-0000E1630000}"/>
    <cellStyle name="Normal 2 3 14 7" xfId="25570" xr:uid="{00000000-0005-0000-0000-0000E2630000}"/>
    <cellStyle name="Normal 2 3 14 8" xfId="25571" xr:uid="{00000000-0005-0000-0000-0000E3630000}"/>
    <cellStyle name="Normal 2 3 14 9" xfId="25572" xr:uid="{00000000-0005-0000-0000-0000E4630000}"/>
    <cellStyle name="Normal 2 3 15" xfId="25573" xr:uid="{00000000-0005-0000-0000-0000E5630000}"/>
    <cellStyle name="Normal 2 3 15 10" xfId="25574" xr:uid="{00000000-0005-0000-0000-0000E6630000}"/>
    <cellStyle name="Normal 2 3 15 11" xfId="25575" xr:uid="{00000000-0005-0000-0000-0000E7630000}"/>
    <cellStyle name="Normal 2 3 15 12" xfId="25576" xr:uid="{00000000-0005-0000-0000-0000E8630000}"/>
    <cellStyle name="Normal 2 3 15 13" xfId="25577" xr:uid="{00000000-0005-0000-0000-0000E9630000}"/>
    <cellStyle name="Normal 2 3 15 14" xfId="25578" xr:uid="{00000000-0005-0000-0000-0000EA630000}"/>
    <cellStyle name="Normal 2 3 15 2" xfId="25579" xr:uid="{00000000-0005-0000-0000-0000EB630000}"/>
    <cellStyle name="Normal 2 3 15 2 10" xfId="25580" xr:uid="{00000000-0005-0000-0000-0000EC630000}"/>
    <cellStyle name="Normal 2 3 15 2 2" xfId="25581" xr:uid="{00000000-0005-0000-0000-0000ED630000}"/>
    <cellStyle name="Normal 2 3 15 2 3" xfId="25582" xr:uid="{00000000-0005-0000-0000-0000EE630000}"/>
    <cellStyle name="Normal 2 3 15 2 4" xfId="25583" xr:uid="{00000000-0005-0000-0000-0000EF630000}"/>
    <cellStyle name="Normal 2 3 15 2 5" xfId="25584" xr:uid="{00000000-0005-0000-0000-0000F0630000}"/>
    <cellStyle name="Normal 2 3 15 2 6" xfId="25585" xr:uid="{00000000-0005-0000-0000-0000F1630000}"/>
    <cellStyle name="Normal 2 3 15 2 7" xfId="25586" xr:uid="{00000000-0005-0000-0000-0000F2630000}"/>
    <cellStyle name="Normal 2 3 15 2 8" xfId="25587" xr:uid="{00000000-0005-0000-0000-0000F3630000}"/>
    <cellStyle name="Normal 2 3 15 2 9" xfId="25588" xr:uid="{00000000-0005-0000-0000-0000F4630000}"/>
    <cellStyle name="Normal 2 3 15 3" xfId="25589" xr:uid="{00000000-0005-0000-0000-0000F5630000}"/>
    <cellStyle name="Normal 2 3 15 3 10" xfId="25590" xr:uid="{00000000-0005-0000-0000-0000F6630000}"/>
    <cellStyle name="Normal 2 3 15 3 2" xfId="25591" xr:uid="{00000000-0005-0000-0000-0000F7630000}"/>
    <cellStyle name="Normal 2 3 15 3 3" xfId="25592" xr:uid="{00000000-0005-0000-0000-0000F8630000}"/>
    <cellStyle name="Normal 2 3 15 3 4" xfId="25593" xr:uid="{00000000-0005-0000-0000-0000F9630000}"/>
    <cellStyle name="Normal 2 3 15 3 5" xfId="25594" xr:uid="{00000000-0005-0000-0000-0000FA630000}"/>
    <cellStyle name="Normal 2 3 15 3 6" xfId="25595" xr:uid="{00000000-0005-0000-0000-0000FB630000}"/>
    <cellStyle name="Normal 2 3 15 3 7" xfId="25596" xr:uid="{00000000-0005-0000-0000-0000FC630000}"/>
    <cellStyle name="Normal 2 3 15 3 8" xfId="25597" xr:uid="{00000000-0005-0000-0000-0000FD630000}"/>
    <cellStyle name="Normal 2 3 15 3 9" xfId="25598" xr:uid="{00000000-0005-0000-0000-0000FE630000}"/>
    <cellStyle name="Normal 2 3 15 4" xfId="25599" xr:uid="{00000000-0005-0000-0000-0000FF630000}"/>
    <cellStyle name="Normal 2 3 15 4 10" xfId="25600" xr:uid="{00000000-0005-0000-0000-000000640000}"/>
    <cellStyle name="Normal 2 3 15 4 2" xfId="25601" xr:uid="{00000000-0005-0000-0000-000001640000}"/>
    <cellStyle name="Normal 2 3 15 4 3" xfId="25602" xr:uid="{00000000-0005-0000-0000-000002640000}"/>
    <cellStyle name="Normal 2 3 15 4 4" xfId="25603" xr:uid="{00000000-0005-0000-0000-000003640000}"/>
    <cellStyle name="Normal 2 3 15 4 5" xfId="25604" xr:uid="{00000000-0005-0000-0000-000004640000}"/>
    <cellStyle name="Normal 2 3 15 4 6" xfId="25605" xr:uid="{00000000-0005-0000-0000-000005640000}"/>
    <cellStyle name="Normal 2 3 15 4 7" xfId="25606" xr:uid="{00000000-0005-0000-0000-000006640000}"/>
    <cellStyle name="Normal 2 3 15 4 8" xfId="25607" xr:uid="{00000000-0005-0000-0000-000007640000}"/>
    <cellStyle name="Normal 2 3 15 4 9" xfId="25608" xr:uid="{00000000-0005-0000-0000-000008640000}"/>
    <cellStyle name="Normal 2 3 15 5" xfId="25609" xr:uid="{00000000-0005-0000-0000-000009640000}"/>
    <cellStyle name="Normal 2 3 15 5 10" xfId="25610" xr:uid="{00000000-0005-0000-0000-00000A640000}"/>
    <cellStyle name="Normal 2 3 15 5 2" xfId="25611" xr:uid="{00000000-0005-0000-0000-00000B640000}"/>
    <cellStyle name="Normal 2 3 15 5 3" xfId="25612" xr:uid="{00000000-0005-0000-0000-00000C640000}"/>
    <cellStyle name="Normal 2 3 15 5 4" xfId="25613" xr:uid="{00000000-0005-0000-0000-00000D640000}"/>
    <cellStyle name="Normal 2 3 15 5 5" xfId="25614" xr:uid="{00000000-0005-0000-0000-00000E640000}"/>
    <cellStyle name="Normal 2 3 15 5 6" xfId="25615" xr:uid="{00000000-0005-0000-0000-00000F640000}"/>
    <cellStyle name="Normal 2 3 15 5 7" xfId="25616" xr:uid="{00000000-0005-0000-0000-000010640000}"/>
    <cellStyle name="Normal 2 3 15 5 8" xfId="25617" xr:uid="{00000000-0005-0000-0000-000011640000}"/>
    <cellStyle name="Normal 2 3 15 5 9" xfId="25618" xr:uid="{00000000-0005-0000-0000-000012640000}"/>
    <cellStyle name="Normal 2 3 15 6" xfId="25619" xr:uid="{00000000-0005-0000-0000-000013640000}"/>
    <cellStyle name="Normal 2 3 15 7" xfId="25620" xr:uid="{00000000-0005-0000-0000-000014640000}"/>
    <cellStyle name="Normal 2 3 15 8" xfId="25621" xr:uid="{00000000-0005-0000-0000-000015640000}"/>
    <cellStyle name="Normal 2 3 15 9" xfId="25622" xr:uid="{00000000-0005-0000-0000-000016640000}"/>
    <cellStyle name="Normal 2 3 16" xfId="25623" xr:uid="{00000000-0005-0000-0000-000017640000}"/>
    <cellStyle name="Normal 2 3 16 10" xfId="25624" xr:uid="{00000000-0005-0000-0000-000018640000}"/>
    <cellStyle name="Normal 2 3 16 11" xfId="25625" xr:uid="{00000000-0005-0000-0000-000019640000}"/>
    <cellStyle name="Normal 2 3 16 12" xfId="25626" xr:uid="{00000000-0005-0000-0000-00001A640000}"/>
    <cellStyle name="Normal 2 3 16 13" xfId="25627" xr:uid="{00000000-0005-0000-0000-00001B640000}"/>
    <cellStyle name="Normal 2 3 16 14" xfId="25628" xr:uid="{00000000-0005-0000-0000-00001C640000}"/>
    <cellStyle name="Normal 2 3 16 2" xfId="25629" xr:uid="{00000000-0005-0000-0000-00001D640000}"/>
    <cellStyle name="Normal 2 3 16 2 10" xfId="25630" xr:uid="{00000000-0005-0000-0000-00001E640000}"/>
    <cellStyle name="Normal 2 3 16 2 2" xfId="25631" xr:uid="{00000000-0005-0000-0000-00001F640000}"/>
    <cellStyle name="Normal 2 3 16 2 3" xfId="25632" xr:uid="{00000000-0005-0000-0000-000020640000}"/>
    <cellStyle name="Normal 2 3 16 2 4" xfId="25633" xr:uid="{00000000-0005-0000-0000-000021640000}"/>
    <cellStyle name="Normal 2 3 16 2 5" xfId="25634" xr:uid="{00000000-0005-0000-0000-000022640000}"/>
    <cellStyle name="Normal 2 3 16 2 6" xfId="25635" xr:uid="{00000000-0005-0000-0000-000023640000}"/>
    <cellStyle name="Normal 2 3 16 2 7" xfId="25636" xr:uid="{00000000-0005-0000-0000-000024640000}"/>
    <cellStyle name="Normal 2 3 16 2 8" xfId="25637" xr:uid="{00000000-0005-0000-0000-000025640000}"/>
    <cellStyle name="Normal 2 3 16 2 9" xfId="25638" xr:uid="{00000000-0005-0000-0000-000026640000}"/>
    <cellStyle name="Normal 2 3 16 3" xfId="25639" xr:uid="{00000000-0005-0000-0000-000027640000}"/>
    <cellStyle name="Normal 2 3 16 3 10" xfId="25640" xr:uid="{00000000-0005-0000-0000-000028640000}"/>
    <cellStyle name="Normal 2 3 16 3 2" xfId="25641" xr:uid="{00000000-0005-0000-0000-000029640000}"/>
    <cellStyle name="Normal 2 3 16 3 3" xfId="25642" xr:uid="{00000000-0005-0000-0000-00002A640000}"/>
    <cellStyle name="Normal 2 3 16 3 4" xfId="25643" xr:uid="{00000000-0005-0000-0000-00002B640000}"/>
    <cellStyle name="Normal 2 3 16 3 5" xfId="25644" xr:uid="{00000000-0005-0000-0000-00002C640000}"/>
    <cellStyle name="Normal 2 3 16 3 6" xfId="25645" xr:uid="{00000000-0005-0000-0000-00002D640000}"/>
    <cellStyle name="Normal 2 3 16 3 7" xfId="25646" xr:uid="{00000000-0005-0000-0000-00002E640000}"/>
    <cellStyle name="Normal 2 3 16 3 8" xfId="25647" xr:uid="{00000000-0005-0000-0000-00002F640000}"/>
    <cellStyle name="Normal 2 3 16 3 9" xfId="25648" xr:uid="{00000000-0005-0000-0000-000030640000}"/>
    <cellStyle name="Normal 2 3 16 4" xfId="25649" xr:uid="{00000000-0005-0000-0000-000031640000}"/>
    <cellStyle name="Normal 2 3 16 4 10" xfId="25650" xr:uid="{00000000-0005-0000-0000-000032640000}"/>
    <cellStyle name="Normal 2 3 16 4 2" xfId="25651" xr:uid="{00000000-0005-0000-0000-000033640000}"/>
    <cellStyle name="Normal 2 3 16 4 3" xfId="25652" xr:uid="{00000000-0005-0000-0000-000034640000}"/>
    <cellStyle name="Normal 2 3 16 4 4" xfId="25653" xr:uid="{00000000-0005-0000-0000-000035640000}"/>
    <cellStyle name="Normal 2 3 16 4 5" xfId="25654" xr:uid="{00000000-0005-0000-0000-000036640000}"/>
    <cellStyle name="Normal 2 3 16 4 6" xfId="25655" xr:uid="{00000000-0005-0000-0000-000037640000}"/>
    <cellStyle name="Normal 2 3 16 4 7" xfId="25656" xr:uid="{00000000-0005-0000-0000-000038640000}"/>
    <cellStyle name="Normal 2 3 16 4 8" xfId="25657" xr:uid="{00000000-0005-0000-0000-000039640000}"/>
    <cellStyle name="Normal 2 3 16 4 9" xfId="25658" xr:uid="{00000000-0005-0000-0000-00003A640000}"/>
    <cellStyle name="Normal 2 3 16 5" xfId="25659" xr:uid="{00000000-0005-0000-0000-00003B640000}"/>
    <cellStyle name="Normal 2 3 16 5 10" xfId="25660" xr:uid="{00000000-0005-0000-0000-00003C640000}"/>
    <cellStyle name="Normal 2 3 16 5 2" xfId="25661" xr:uid="{00000000-0005-0000-0000-00003D640000}"/>
    <cellStyle name="Normal 2 3 16 5 3" xfId="25662" xr:uid="{00000000-0005-0000-0000-00003E640000}"/>
    <cellStyle name="Normal 2 3 16 5 4" xfId="25663" xr:uid="{00000000-0005-0000-0000-00003F640000}"/>
    <cellStyle name="Normal 2 3 16 5 5" xfId="25664" xr:uid="{00000000-0005-0000-0000-000040640000}"/>
    <cellStyle name="Normal 2 3 16 5 6" xfId="25665" xr:uid="{00000000-0005-0000-0000-000041640000}"/>
    <cellStyle name="Normal 2 3 16 5 7" xfId="25666" xr:uid="{00000000-0005-0000-0000-000042640000}"/>
    <cellStyle name="Normal 2 3 16 5 8" xfId="25667" xr:uid="{00000000-0005-0000-0000-000043640000}"/>
    <cellStyle name="Normal 2 3 16 5 9" xfId="25668" xr:uid="{00000000-0005-0000-0000-000044640000}"/>
    <cellStyle name="Normal 2 3 16 6" xfId="25669" xr:uid="{00000000-0005-0000-0000-000045640000}"/>
    <cellStyle name="Normal 2 3 16 7" xfId="25670" xr:uid="{00000000-0005-0000-0000-000046640000}"/>
    <cellStyle name="Normal 2 3 16 8" xfId="25671" xr:uid="{00000000-0005-0000-0000-000047640000}"/>
    <cellStyle name="Normal 2 3 16 9" xfId="25672" xr:uid="{00000000-0005-0000-0000-000048640000}"/>
    <cellStyle name="Normal 2 3 17" xfId="25673" xr:uid="{00000000-0005-0000-0000-000049640000}"/>
    <cellStyle name="Normal 2 3 17 10" xfId="25674" xr:uid="{00000000-0005-0000-0000-00004A640000}"/>
    <cellStyle name="Normal 2 3 17 11" xfId="25675" xr:uid="{00000000-0005-0000-0000-00004B640000}"/>
    <cellStyle name="Normal 2 3 17 12" xfId="25676" xr:uid="{00000000-0005-0000-0000-00004C640000}"/>
    <cellStyle name="Normal 2 3 17 13" xfId="25677" xr:uid="{00000000-0005-0000-0000-00004D640000}"/>
    <cellStyle name="Normal 2 3 17 14" xfId="25678" xr:uid="{00000000-0005-0000-0000-00004E640000}"/>
    <cellStyle name="Normal 2 3 17 2" xfId="25679" xr:uid="{00000000-0005-0000-0000-00004F640000}"/>
    <cellStyle name="Normal 2 3 17 2 10" xfId="25680" xr:uid="{00000000-0005-0000-0000-000050640000}"/>
    <cellStyle name="Normal 2 3 17 2 2" xfId="25681" xr:uid="{00000000-0005-0000-0000-000051640000}"/>
    <cellStyle name="Normal 2 3 17 2 3" xfId="25682" xr:uid="{00000000-0005-0000-0000-000052640000}"/>
    <cellStyle name="Normal 2 3 17 2 4" xfId="25683" xr:uid="{00000000-0005-0000-0000-000053640000}"/>
    <cellStyle name="Normal 2 3 17 2 5" xfId="25684" xr:uid="{00000000-0005-0000-0000-000054640000}"/>
    <cellStyle name="Normal 2 3 17 2 6" xfId="25685" xr:uid="{00000000-0005-0000-0000-000055640000}"/>
    <cellStyle name="Normal 2 3 17 2 7" xfId="25686" xr:uid="{00000000-0005-0000-0000-000056640000}"/>
    <cellStyle name="Normal 2 3 17 2 8" xfId="25687" xr:uid="{00000000-0005-0000-0000-000057640000}"/>
    <cellStyle name="Normal 2 3 17 2 9" xfId="25688" xr:uid="{00000000-0005-0000-0000-000058640000}"/>
    <cellStyle name="Normal 2 3 17 3" xfId="25689" xr:uid="{00000000-0005-0000-0000-000059640000}"/>
    <cellStyle name="Normal 2 3 17 3 10" xfId="25690" xr:uid="{00000000-0005-0000-0000-00005A640000}"/>
    <cellStyle name="Normal 2 3 17 3 2" xfId="25691" xr:uid="{00000000-0005-0000-0000-00005B640000}"/>
    <cellStyle name="Normal 2 3 17 3 3" xfId="25692" xr:uid="{00000000-0005-0000-0000-00005C640000}"/>
    <cellStyle name="Normal 2 3 17 3 4" xfId="25693" xr:uid="{00000000-0005-0000-0000-00005D640000}"/>
    <cellStyle name="Normal 2 3 17 3 5" xfId="25694" xr:uid="{00000000-0005-0000-0000-00005E640000}"/>
    <cellStyle name="Normal 2 3 17 3 6" xfId="25695" xr:uid="{00000000-0005-0000-0000-00005F640000}"/>
    <cellStyle name="Normal 2 3 17 3 7" xfId="25696" xr:uid="{00000000-0005-0000-0000-000060640000}"/>
    <cellStyle name="Normal 2 3 17 3 8" xfId="25697" xr:uid="{00000000-0005-0000-0000-000061640000}"/>
    <cellStyle name="Normal 2 3 17 3 9" xfId="25698" xr:uid="{00000000-0005-0000-0000-000062640000}"/>
    <cellStyle name="Normal 2 3 17 4" xfId="25699" xr:uid="{00000000-0005-0000-0000-000063640000}"/>
    <cellStyle name="Normal 2 3 17 4 10" xfId="25700" xr:uid="{00000000-0005-0000-0000-000064640000}"/>
    <cellStyle name="Normal 2 3 17 4 2" xfId="25701" xr:uid="{00000000-0005-0000-0000-000065640000}"/>
    <cellStyle name="Normal 2 3 17 4 3" xfId="25702" xr:uid="{00000000-0005-0000-0000-000066640000}"/>
    <cellStyle name="Normal 2 3 17 4 4" xfId="25703" xr:uid="{00000000-0005-0000-0000-000067640000}"/>
    <cellStyle name="Normal 2 3 17 4 5" xfId="25704" xr:uid="{00000000-0005-0000-0000-000068640000}"/>
    <cellStyle name="Normal 2 3 17 4 6" xfId="25705" xr:uid="{00000000-0005-0000-0000-000069640000}"/>
    <cellStyle name="Normal 2 3 17 4 7" xfId="25706" xr:uid="{00000000-0005-0000-0000-00006A640000}"/>
    <cellStyle name="Normal 2 3 17 4 8" xfId="25707" xr:uid="{00000000-0005-0000-0000-00006B640000}"/>
    <cellStyle name="Normal 2 3 17 4 9" xfId="25708" xr:uid="{00000000-0005-0000-0000-00006C640000}"/>
    <cellStyle name="Normal 2 3 17 5" xfId="25709" xr:uid="{00000000-0005-0000-0000-00006D640000}"/>
    <cellStyle name="Normal 2 3 17 5 10" xfId="25710" xr:uid="{00000000-0005-0000-0000-00006E640000}"/>
    <cellStyle name="Normal 2 3 17 5 2" xfId="25711" xr:uid="{00000000-0005-0000-0000-00006F640000}"/>
    <cellStyle name="Normal 2 3 17 5 3" xfId="25712" xr:uid="{00000000-0005-0000-0000-000070640000}"/>
    <cellStyle name="Normal 2 3 17 5 4" xfId="25713" xr:uid="{00000000-0005-0000-0000-000071640000}"/>
    <cellStyle name="Normal 2 3 17 5 5" xfId="25714" xr:uid="{00000000-0005-0000-0000-000072640000}"/>
    <cellStyle name="Normal 2 3 17 5 6" xfId="25715" xr:uid="{00000000-0005-0000-0000-000073640000}"/>
    <cellStyle name="Normal 2 3 17 5 7" xfId="25716" xr:uid="{00000000-0005-0000-0000-000074640000}"/>
    <cellStyle name="Normal 2 3 17 5 8" xfId="25717" xr:uid="{00000000-0005-0000-0000-000075640000}"/>
    <cellStyle name="Normal 2 3 17 5 9" xfId="25718" xr:uid="{00000000-0005-0000-0000-000076640000}"/>
    <cellStyle name="Normal 2 3 17 6" xfId="25719" xr:uid="{00000000-0005-0000-0000-000077640000}"/>
    <cellStyle name="Normal 2 3 17 7" xfId="25720" xr:uid="{00000000-0005-0000-0000-000078640000}"/>
    <cellStyle name="Normal 2 3 17 8" xfId="25721" xr:uid="{00000000-0005-0000-0000-000079640000}"/>
    <cellStyle name="Normal 2 3 17 9" xfId="25722" xr:uid="{00000000-0005-0000-0000-00007A640000}"/>
    <cellStyle name="Normal 2 3 18" xfId="25723" xr:uid="{00000000-0005-0000-0000-00007B640000}"/>
    <cellStyle name="Normal 2 3 18 10" xfId="25724" xr:uid="{00000000-0005-0000-0000-00007C640000}"/>
    <cellStyle name="Normal 2 3 18 11" xfId="25725" xr:uid="{00000000-0005-0000-0000-00007D640000}"/>
    <cellStyle name="Normal 2 3 18 12" xfId="25726" xr:uid="{00000000-0005-0000-0000-00007E640000}"/>
    <cellStyle name="Normal 2 3 18 13" xfId="25727" xr:uid="{00000000-0005-0000-0000-00007F640000}"/>
    <cellStyle name="Normal 2 3 18 14" xfId="25728" xr:uid="{00000000-0005-0000-0000-000080640000}"/>
    <cellStyle name="Normal 2 3 18 2" xfId="25729" xr:uid="{00000000-0005-0000-0000-000081640000}"/>
    <cellStyle name="Normal 2 3 18 2 10" xfId="25730" xr:uid="{00000000-0005-0000-0000-000082640000}"/>
    <cellStyle name="Normal 2 3 18 2 2" xfId="25731" xr:uid="{00000000-0005-0000-0000-000083640000}"/>
    <cellStyle name="Normal 2 3 18 2 3" xfId="25732" xr:uid="{00000000-0005-0000-0000-000084640000}"/>
    <cellStyle name="Normal 2 3 18 2 4" xfId="25733" xr:uid="{00000000-0005-0000-0000-000085640000}"/>
    <cellStyle name="Normal 2 3 18 2 5" xfId="25734" xr:uid="{00000000-0005-0000-0000-000086640000}"/>
    <cellStyle name="Normal 2 3 18 2 6" xfId="25735" xr:uid="{00000000-0005-0000-0000-000087640000}"/>
    <cellStyle name="Normal 2 3 18 2 7" xfId="25736" xr:uid="{00000000-0005-0000-0000-000088640000}"/>
    <cellStyle name="Normal 2 3 18 2 8" xfId="25737" xr:uid="{00000000-0005-0000-0000-000089640000}"/>
    <cellStyle name="Normal 2 3 18 2 9" xfId="25738" xr:uid="{00000000-0005-0000-0000-00008A640000}"/>
    <cellStyle name="Normal 2 3 18 3" xfId="25739" xr:uid="{00000000-0005-0000-0000-00008B640000}"/>
    <cellStyle name="Normal 2 3 18 3 10" xfId="25740" xr:uid="{00000000-0005-0000-0000-00008C640000}"/>
    <cellStyle name="Normal 2 3 18 3 2" xfId="25741" xr:uid="{00000000-0005-0000-0000-00008D640000}"/>
    <cellStyle name="Normal 2 3 18 3 3" xfId="25742" xr:uid="{00000000-0005-0000-0000-00008E640000}"/>
    <cellStyle name="Normal 2 3 18 3 4" xfId="25743" xr:uid="{00000000-0005-0000-0000-00008F640000}"/>
    <cellStyle name="Normal 2 3 18 3 5" xfId="25744" xr:uid="{00000000-0005-0000-0000-000090640000}"/>
    <cellStyle name="Normal 2 3 18 3 6" xfId="25745" xr:uid="{00000000-0005-0000-0000-000091640000}"/>
    <cellStyle name="Normal 2 3 18 3 7" xfId="25746" xr:uid="{00000000-0005-0000-0000-000092640000}"/>
    <cellStyle name="Normal 2 3 18 3 8" xfId="25747" xr:uid="{00000000-0005-0000-0000-000093640000}"/>
    <cellStyle name="Normal 2 3 18 3 9" xfId="25748" xr:uid="{00000000-0005-0000-0000-000094640000}"/>
    <cellStyle name="Normal 2 3 18 4" xfId="25749" xr:uid="{00000000-0005-0000-0000-000095640000}"/>
    <cellStyle name="Normal 2 3 18 4 10" xfId="25750" xr:uid="{00000000-0005-0000-0000-000096640000}"/>
    <cellStyle name="Normal 2 3 18 4 2" xfId="25751" xr:uid="{00000000-0005-0000-0000-000097640000}"/>
    <cellStyle name="Normal 2 3 18 4 3" xfId="25752" xr:uid="{00000000-0005-0000-0000-000098640000}"/>
    <cellStyle name="Normal 2 3 18 4 4" xfId="25753" xr:uid="{00000000-0005-0000-0000-000099640000}"/>
    <cellStyle name="Normal 2 3 18 4 5" xfId="25754" xr:uid="{00000000-0005-0000-0000-00009A640000}"/>
    <cellStyle name="Normal 2 3 18 4 6" xfId="25755" xr:uid="{00000000-0005-0000-0000-00009B640000}"/>
    <cellStyle name="Normal 2 3 18 4 7" xfId="25756" xr:uid="{00000000-0005-0000-0000-00009C640000}"/>
    <cellStyle name="Normal 2 3 18 4 8" xfId="25757" xr:uid="{00000000-0005-0000-0000-00009D640000}"/>
    <cellStyle name="Normal 2 3 18 4 9" xfId="25758" xr:uid="{00000000-0005-0000-0000-00009E640000}"/>
    <cellStyle name="Normal 2 3 18 5" xfId="25759" xr:uid="{00000000-0005-0000-0000-00009F640000}"/>
    <cellStyle name="Normal 2 3 18 5 10" xfId="25760" xr:uid="{00000000-0005-0000-0000-0000A0640000}"/>
    <cellStyle name="Normal 2 3 18 5 2" xfId="25761" xr:uid="{00000000-0005-0000-0000-0000A1640000}"/>
    <cellStyle name="Normal 2 3 18 5 3" xfId="25762" xr:uid="{00000000-0005-0000-0000-0000A2640000}"/>
    <cellStyle name="Normal 2 3 18 5 4" xfId="25763" xr:uid="{00000000-0005-0000-0000-0000A3640000}"/>
    <cellStyle name="Normal 2 3 18 5 5" xfId="25764" xr:uid="{00000000-0005-0000-0000-0000A4640000}"/>
    <cellStyle name="Normal 2 3 18 5 6" xfId="25765" xr:uid="{00000000-0005-0000-0000-0000A5640000}"/>
    <cellStyle name="Normal 2 3 18 5 7" xfId="25766" xr:uid="{00000000-0005-0000-0000-0000A6640000}"/>
    <cellStyle name="Normal 2 3 18 5 8" xfId="25767" xr:uid="{00000000-0005-0000-0000-0000A7640000}"/>
    <cellStyle name="Normal 2 3 18 5 9" xfId="25768" xr:uid="{00000000-0005-0000-0000-0000A8640000}"/>
    <cellStyle name="Normal 2 3 18 6" xfId="25769" xr:uid="{00000000-0005-0000-0000-0000A9640000}"/>
    <cellStyle name="Normal 2 3 18 7" xfId="25770" xr:uid="{00000000-0005-0000-0000-0000AA640000}"/>
    <cellStyle name="Normal 2 3 18 8" xfId="25771" xr:uid="{00000000-0005-0000-0000-0000AB640000}"/>
    <cellStyle name="Normal 2 3 18 9" xfId="25772" xr:uid="{00000000-0005-0000-0000-0000AC640000}"/>
    <cellStyle name="Normal 2 3 19" xfId="25773" xr:uid="{00000000-0005-0000-0000-0000AD640000}"/>
    <cellStyle name="Normal 2 3 19 10" xfId="25774" xr:uid="{00000000-0005-0000-0000-0000AE640000}"/>
    <cellStyle name="Normal 2 3 19 11" xfId="25775" xr:uid="{00000000-0005-0000-0000-0000AF640000}"/>
    <cellStyle name="Normal 2 3 19 12" xfId="25776" xr:uid="{00000000-0005-0000-0000-0000B0640000}"/>
    <cellStyle name="Normal 2 3 19 13" xfId="25777" xr:uid="{00000000-0005-0000-0000-0000B1640000}"/>
    <cellStyle name="Normal 2 3 19 14" xfId="25778" xr:uid="{00000000-0005-0000-0000-0000B2640000}"/>
    <cellStyle name="Normal 2 3 19 2" xfId="25779" xr:uid="{00000000-0005-0000-0000-0000B3640000}"/>
    <cellStyle name="Normal 2 3 19 2 10" xfId="25780" xr:uid="{00000000-0005-0000-0000-0000B4640000}"/>
    <cellStyle name="Normal 2 3 19 2 2" xfId="25781" xr:uid="{00000000-0005-0000-0000-0000B5640000}"/>
    <cellStyle name="Normal 2 3 19 2 3" xfId="25782" xr:uid="{00000000-0005-0000-0000-0000B6640000}"/>
    <cellStyle name="Normal 2 3 19 2 4" xfId="25783" xr:uid="{00000000-0005-0000-0000-0000B7640000}"/>
    <cellStyle name="Normal 2 3 19 2 5" xfId="25784" xr:uid="{00000000-0005-0000-0000-0000B8640000}"/>
    <cellStyle name="Normal 2 3 19 2 6" xfId="25785" xr:uid="{00000000-0005-0000-0000-0000B9640000}"/>
    <cellStyle name="Normal 2 3 19 2 7" xfId="25786" xr:uid="{00000000-0005-0000-0000-0000BA640000}"/>
    <cellStyle name="Normal 2 3 19 2 8" xfId="25787" xr:uid="{00000000-0005-0000-0000-0000BB640000}"/>
    <cellStyle name="Normal 2 3 19 2 9" xfId="25788" xr:uid="{00000000-0005-0000-0000-0000BC640000}"/>
    <cellStyle name="Normal 2 3 19 3" xfId="25789" xr:uid="{00000000-0005-0000-0000-0000BD640000}"/>
    <cellStyle name="Normal 2 3 19 3 10" xfId="25790" xr:uid="{00000000-0005-0000-0000-0000BE640000}"/>
    <cellStyle name="Normal 2 3 19 3 2" xfId="25791" xr:uid="{00000000-0005-0000-0000-0000BF640000}"/>
    <cellStyle name="Normal 2 3 19 3 3" xfId="25792" xr:uid="{00000000-0005-0000-0000-0000C0640000}"/>
    <cellStyle name="Normal 2 3 19 3 4" xfId="25793" xr:uid="{00000000-0005-0000-0000-0000C1640000}"/>
    <cellStyle name="Normal 2 3 19 3 5" xfId="25794" xr:uid="{00000000-0005-0000-0000-0000C2640000}"/>
    <cellStyle name="Normal 2 3 19 3 6" xfId="25795" xr:uid="{00000000-0005-0000-0000-0000C3640000}"/>
    <cellStyle name="Normal 2 3 19 3 7" xfId="25796" xr:uid="{00000000-0005-0000-0000-0000C4640000}"/>
    <cellStyle name="Normal 2 3 19 3 8" xfId="25797" xr:uid="{00000000-0005-0000-0000-0000C5640000}"/>
    <cellStyle name="Normal 2 3 19 3 9" xfId="25798" xr:uid="{00000000-0005-0000-0000-0000C6640000}"/>
    <cellStyle name="Normal 2 3 19 4" xfId="25799" xr:uid="{00000000-0005-0000-0000-0000C7640000}"/>
    <cellStyle name="Normal 2 3 19 4 10" xfId="25800" xr:uid="{00000000-0005-0000-0000-0000C8640000}"/>
    <cellStyle name="Normal 2 3 19 4 2" xfId="25801" xr:uid="{00000000-0005-0000-0000-0000C9640000}"/>
    <cellStyle name="Normal 2 3 19 4 3" xfId="25802" xr:uid="{00000000-0005-0000-0000-0000CA640000}"/>
    <cellStyle name="Normal 2 3 19 4 4" xfId="25803" xr:uid="{00000000-0005-0000-0000-0000CB640000}"/>
    <cellStyle name="Normal 2 3 19 4 5" xfId="25804" xr:uid="{00000000-0005-0000-0000-0000CC640000}"/>
    <cellStyle name="Normal 2 3 19 4 6" xfId="25805" xr:uid="{00000000-0005-0000-0000-0000CD640000}"/>
    <cellStyle name="Normal 2 3 19 4 7" xfId="25806" xr:uid="{00000000-0005-0000-0000-0000CE640000}"/>
    <cellStyle name="Normal 2 3 19 4 8" xfId="25807" xr:uid="{00000000-0005-0000-0000-0000CF640000}"/>
    <cellStyle name="Normal 2 3 19 4 9" xfId="25808" xr:uid="{00000000-0005-0000-0000-0000D0640000}"/>
    <cellStyle name="Normal 2 3 19 5" xfId="25809" xr:uid="{00000000-0005-0000-0000-0000D1640000}"/>
    <cellStyle name="Normal 2 3 19 5 10" xfId="25810" xr:uid="{00000000-0005-0000-0000-0000D2640000}"/>
    <cellStyle name="Normal 2 3 19 5 2" xfId="25811" xr:uid="{00000000-0005-0000-0000-0000D3640000}"/>
    <cellStyle name="Normal 2 3 19 5 3" xfId="25812" xr:uid="{00000000-0005-0000-0000-0000D4640000}"/>
    <cellStyle name="Normal 2 3 19 5 4" xfId="25813" xr:uid="{00000000-0005-0000-0000-0000D5640000}"/>
    <cellStyle name="Normal 2 3 19 5 5" xfId="25814" xr:uid="{00000000-0005-0000-0000-0000D6640000}"/>
    <cellStyle name="Normal 2 3 19 5 6" xfId="25815" xr:uid="{00000000-0005-0000-0000-0000D7640000}"/>
    <cellStyle name="Normal 2 3 19 5 7" xfId="25816" xr:uid="{00000000-0005-0000-0000-0000D8640000}"/>
    <cellStyle name="Normal 2 3 19 5 8" xfId="25817" xr:uid="{00000000-0005-0000-0000-0000D9640000}"/>
    <cellStyle name="Normal 2 3 19 5 9" xfId="25818" xr:uid="{00000000-0005-0000-0000-0000DA640000}"/>
    <cellStyle name="Normal 2 3 19 6" xfId="25819" xr:uid="{00000000-0005-0000-0000-0000DB640000}"/>
    <cellStyle name="Normal 2 3 19 7" xfId="25820" xr:uid="{00000000-0005-0000-0000-0000DC640000}"/>
    <cellStyle name="Normal 2 3 19 8" xfId="25821" xr:uid="{00000000-0005-0000-0000-0000DD640000}"/>
    <cellStyle name="Normal 2 3 19 9" xfId="25822" xr:uid="{00000000-0005-0000-0000-0000DE640000}"/>
    <cellStyle name="Normal 2 3 2" xfId="25823" xr:uid="{00000000-0005-0000-0000-0000DF640000}"/>
    <cellStyle name="Normal 2 3 2 10" xfId="25824" xr:uid="{00000000-0005-0000-0000-0000E0640000}"/>
    <cellStyle name="Normal 2 3 2 10 10" xfId="25825" xr:uid="{00000000-0005-0000-0000-0000E1640000}"/>
    <cellStyle name="Normal 2 3 2 10 11" xfId="25826" xr:uid="{00000000-0005-0000-0000-0000E2640000}"/>
    <cellStyle name="Normal 2 3 2 10 12" xfId="25827" xr:uid="{00000000-0005-0000-0000-0000E3640000}"/>
    <cellStyle name="Normal 2 3 2 10 13" xfId="25828" xr:uid="{00000000-0005-0000-0000-0000E4640000}"/>
    <cellStyle name="Normal 2 3 2 10 14" xfId="25829" xr:uid="{00000000-0005-0000-0000-0000E5640000}"/>
    <cellStyle name="Normal 2 3 2 10 2" xfId="25830" xr:uid="{00000000-0005-0000-0000-0000E6640000}"/>
    <cellStyle name="Normal 2 3 2 10 2 10" xfId="25831" xr:uid="{00000000-0005-0000-0000-0000E7640000}"/>
    <cellStyle name="Normal 2 3 2 10 2 2" xfId="25832" xr:uid="{00000000-0005-0000-0000-0000E8640000}"/>
    <cellStyle name="Normal 2 3 2 10 2 3" xfId="25833" xr:uid="{00000000-0005-0000-0000-0000E9640000}"/>
    <cellStyle name="Normal 2 3 2 10 2 4" xfId="25834" xr:uid="{00000000-0005-0000-0000-0000EA640000}"/>
    <cellStyle name="Normal 2 3 2 10 2 5" xfId="25835" xr:uid="{00000000-0005-0000-0000-0000EB640000}"/>
    <cellStyle name="Normal 2 3 2 10 2 6" xfId="25836" xr:uid="{00000000-0005-0000-0000-0000EC640000}"/>
    <cellStyle name="Normal 2 3 2 10 2 7" xfId="25837" xr:uid="{00000000-0005-0000-0000-0000ED640000}"/>
    <cellStyle name="Normal 2 3 2 10 2 8" xfId="25838" xr:uid="{00000000-0005-0000-0000-0000EE640000}"/>
    <cellStyle name="Normal 2 3 2 10 2 9" xfId="25839" xr:uid="{00000000-0005-0000-0000-0000EF640000}"/>
    <cellStyle name="Normal 2 3 2 10 3" xfId="25840" xr:uid="{00000000-0005-0000-0000-0000F0640000}"/>
    <cellStyle name="Normal 2 3 2 10 3 10" xfId="25841" xr:uid="{00000000-0005-0000-0000-0000F1640000}"/>
    <cellStyle name="Normal 2 3 2 10 3 2" xfId="25842" xr:uid="{00000000-0005-0000-0000-0000F2640000}"/>
    <cellStyle name="Normal 2 3 2 10 3 3" xfId="25843" xr:uid="{00000000-0005-0000-0000-0000F3640000}"/>
    <cellStyle name="Normal 2 3 2 10 3 4" xfId="25844" xr:uid="{00000000-0005-0000-0000-0000F4640000}"/>
    <cellStyle name="Normal 2 3 2 10 3 5" xfId="25845" xr:uid="{00000000-0005-0000-0000-0000F5640000}"/>
    <cellStyle name="Normal 2 3 2 10 3 6" xfId="25846" xr:uid="{00000000-0005-0000-0000-0000F6640000}"/>
    <cellStyle name="Normal 2 3 2 10 3 7" xfId="25847" xr:uid="{00000000-0005-0000-0000-0000F7640000}"/>
    <cellStyle name="Normal 2 3 2 10 3 8" xfId="25848" xr:uid="{00000000-0005-0000-0000-0000F8640000}"/>
    <cellStyle name="Normal 2 3 2 10 3 9" xfId="25849" xr:uid="{00000000-0005-0000-0000-0000F9640000}"/>
    <cellStyle name="Normal 2 3 2 10 4" xfId="25850" xr:uid="{00000000-0005-0000-0000-0000FA640000}"/>
    <cellStyle name="Normal 2 3 2 10 4 10" xfId="25851" xr:uid="{00000000-0005-0000-0000-0000FB640000}"/>
    <cellStyle name="Normal 2 3 2 10 4 2" xfId="25852" xr:uid="{00000000-0005-0000-0000-0000FC640000}"/>
    <cellStyle name="Normal 2 3 2 10 4 3" xfId="25853" xr:uid="{00000000-0005-0000-0000-0000FD640000}"/>
    <cellStyle name="Normal 2 3 2 10 4 4" xfId="25854" xr:uid="{00000000-0005-0000-0000-0000FE640000}"/>
    <cellStyle name="Normal 2 3 2 10 4 5" xfId="25855" xr:uid="{00000000-0005-0000-0000-0000FF640000}"/>
    <cellStyle name="Normal 2 3 2 10 4 6" xfId="25856" xr:uid="{00000000-0005-0000-0000-000000650000}"/>
    <cellStyle name="Normal 2 3 2 10 4 7" xfId="25857" xr:uid="{00000000-0005-0000-0000-000001650000}"/>
    <cellStyle name="Normal 2 3 2 10 4 8" xfId="25858" xr:uid="{00000000-0005-0000-0000-000002650000}"/>
    <cellStyle name="Normal 2 3 2 10 4 9" xfId="25859" xr:uid="{00000000-0005-0000-0000-000003650000}"/>
    <cellStyle name="Normal 2 3 2 10 5" xfId="25860" xr:uid="{00000000-0005-0000-0000-000004650000}"/>
    <cellStyle name="Normal 2 3 2 10 5 10" xfId="25861" xr:uid="{00000000-0005-0000-0000-000005650000}"/>
    <cellStyle name="Normal 2 3 2 10 5 2" xfId="25862" xr:uid="{00000000-0005-0000-0000-000006650000}"/>
    <cellStyle name="Normal 2 3 2 10 5 3" xfId="25863" xr:uid="{00000000-0005-0000-0000-000007650000}"/>
    <cellStyle name="Normal 2 3 2 10 5 4" xfId="25864" xr:uid="{00000000-0005-0000-0000-000008650000}"/>
    <cellStyle name="Normal 2 3 2 10 5 5" xfId="25865" xr:uid="{00000000-0005-0000-0000-000009650000}"/>
    <cellStyle name="Normal 2 3 2 10 5 6" xfId="25866" xr:uid="{00000000-0005-0000-0000-00000A650000}"/>
    <cellStyle name="Normal 2 3 2 10 5 7" xfId="25867" xr:uid="{00000000-0005-0000-0000-00000B650000}"/>
    <cellStyle name="Normal 2 3 2 10 5 8" xfId="25868" xr:uid="{00000000-0005-0000-0000-00000C650000}"/>
    <cellStyle name="Normal 2 3 2 10 5 9" xfId="25869" xr:uid="{00000000-0005-0000-0000-00000D650000}"/>
    <cellStyle name="Normal 2 3 2 10 6" xfId="25870" xr:uid="{00000000-0005-0000-0000-00000E650000}"/>
    <cellStyle name="Normal 2 3 2 10 7" xfId="25871" xr:uid="{00000000-0005-0000-0000-00000F650000}"/>
    <cellStyle name="Normal 2 3 2 10 8" xfId="25872" xr:uid="{00000000-0005-0000-0000-000010650000}"/>
    <cellStyle name="Normal 2 3 2 10 9" xfId="25873" xr:uid="{00000000-0005-0000-0000-000011650000}"/>
    <cellStyle name="Normal 2 3 2 11" xfId="25874" xr:uid="{00000000-0005-0000-0000-000012650000}"/>
    <cellStyle name="Normal 2 3 2 11 10" xfId="25875" xr:uid="{00000000-0005-0000-0000-000013650000}"/>
    <cellStyle name="Normal 2 3 2 11 11" xfId="25876" xr:uid="{00000000-0005-0000-0000-000014650000}"/>
    <cellStyle name="Normal 2 3 2 11 12" xfId="25877" xr:uid="{00000000-0005-0000-0000-000015650000}"/>
    <cellStyle name="Normal 2 3 2 11 13" xfId="25878" xr:uid="{00000000-0005-0000-0000-000016650000}"/>
    <cellStyle name="Normal 2 3 2 11 14" xfId="25879" xr:uid="{00000000-0005-0000-0000-000017650000}"/>
    <cellStyle name="Normal 2 3 2 11 2" xfId="25880" xr:uid="{00000000-0005-0000-0000-000018650000}"/>
    <cellStyle name="Normal 2 3 2 11 2 10" xfId="25881" xr:uid="{00000000-0005-0000-0000-000019650000}"/>
    <cellStyle name="Normal 2 3 2 11 2 2" xfId="25882" xr:uid="{00000000-0005-0000-0000-00001A650000}"/>
    <cellStyle name="Normal 2 3 2 11 2 3" xfId="25883" xr:uid="{00000000-0005-0000-0000-00001B650000}"/>
    <cellStyle name="Normal 2 3 2 11 2 4" xfId="25884" xr:uid="{00000000-0005-0000-0000-00001C650000}"/>
    <cellStyle name="Normal 2 3 2 11 2 5" xfId="25885" xr:uid="{00000000-0005-0000-0000-00001D650000}"/>
    <cellStyle name="Normal 2 3 2 11 2 6" xfId="25886" xr:uid="{00000000-0005-0000-0000-00001E650000}"/>
    <cellStyle name="Normal 2 3 2 11 2 7" xfId="25887" xr:uid="{00000000-0005-0000-0000-00001F650000}"/>
    <cellStyle name="Normal 2 3 2 11 2 8" xfId="25888" xr:uid="{00000000-0005-0000-0000-000020650000}"/>
    <cellStyle name="Normal 2 3 2 11 2 9" xfId="25889" xr:uid="{00000000-0005-0000-0000-000021650000}"/>
    <cellStyle name="Normal 2 3 2 11 3" xfId="25890" xr:uid="{00000000-0005-0000-0000-000022650000}"/>
    <cellStyle name="Normal 2 3 2 11 3 10" xfId="25891" xr:uid="{00000000-0005-0000-0000-000023650000}"/>
    <cellStyle name="Normal 2 3 2 11 3 2" xfId="25892" xr:uid="{00000000-0005-0000-0000-000024650000}"/>
    <cellStyle name="Normal 2 3 2 11 3 3" xfId="25893" xr:uid="{00000000-0005-0000-0000-000025650000}"/>
    <cellStyle name="Normal 2 3 2 11 3 4" xfId="25894" xr:uid="{00000000-0005-0000-0000-000026650000}"/>
    <cellStyle name="Normal 2 3 2 11 3 5" xfId="25895" xr:uid="{00000000-0005-0000-0000-000027650000}"/>
    <cellStyle name="Normal 2 3 2 11 3 6" xfId="25896" xr:uid="{00000000-0005-0000-0000-000028650000}"/>
    <cellStyle name="Normal 2 3 2 11 3 7" xfId="25897" xr:uid="{00000000-0005-0000-0000-000029650000}"/>
    <cellStyle name="Normal 2 3 2 11 3 8" xfId="25898" xr:uid="{00000000-0005-0000-0000-00002A650000}"/>
    <cellStyle name="Normal 2 3 2 11 3 9" xfId="25899" xr:uid="{00000000-0005-0000-0000-00002B650000}"/>
    <cellStyle name="Normal 2 3 2 11 4" xfId="25900" xr:uid="{00000000-0005-0000-0000-00002C650000}"/>
    <cellStyle name="Normal 2 3 2 11 4 10" xfId="25901" xr:uid="{00000000-0005-0000-0000-00002D650000}"/>
    <cellStyle name="Normal 2 3 2 11 4 2" xfId="25902" xr:uid="{00000000-0005-0000-0000-00002E650000}"/>
    <cellStyle name="Normal 2 3 2 11 4 3" xfId="25903" xr:uid="{00000000-0005-0000-0000-00002F650000}"/>
    <cellStyle name="Normal 2 3 2 11 4 4" xfId="25904" xr:uid="{00000000-0005-0000-0000-000030650000}"/>
    <cellStyle name="Normal 2 3 2 11 4 5" xfId="25905" xr:uid="{00000000-0005-0000-0000-000031650000}"/>
    <cellStyle name="Normal 2 3 2 11 4 6" xfId="25906" xr:uid="{00000000-0005-0000-0000-000032650000}"/>
    <cellStyle name="Normal 2 3 2 11 4 7" xfId="25907" xr:uid="{00000000-0005-0000-0000-000033650000}"/>
    <cellStyle name="Normal 2 3 2 11 4 8" xfId="25908" xr:uid="{00000000-0005-0000-0000-000034650000}"/>
    <cellStyle name="Normal 2 3 2 11 4 9" xfId="25909" xr:uid="{00000000-0005-0000-0000-000035650000}"/>
    <cellStyle name="Normal 2 3 2 11 5" xfId="25910" xr:uid="{00000000-0005-0000-0000-000036650000}"/>
    <cellStyle name="Normal 2 3 2 11 5 10" xfId="25911" xr:uid="{00000000-0005-0000-0000-000037650000}"/>
    <cellStyle name="Normal 2 3 2 11 5 2" xfId="25912" xr:uid="{00000000-0005-0000-0000-000038650000}"/>
    <cellStyle name="Normal 2 3 2 11 5 3" xfId="25913" xr:uid="{00000000-0005-0000-0000-000039650000}"/>
    <cellStyle name="Normal 2 3 2 11 5 4" xfId="25914" xr:uid="{00000000-0005-0000-0000-00003A650000}"/>
    <cellStyle name="Normal 2 3 2 11 5 5" xfId="25915" xr:uid="{00000000-0005-0000-0000-00003B650000}"/>
    <cellStyle name="Normal 2 3 2 11 5 6" xfId="25916" xr:uid="{00000000-0005-0000-0000-00003C650000}"/>
    <cellStyle name="Normal 2 3 2 11 5 7" xfId="25917" xr:uid="{00000000-0005-0000-0000-00003D650000}"/>
    <cellStyle name="Normal 2 3 2 11 5 8" xfId="25918" xr:uid="{00000000-0005-0000-0000-00003E650000}"/>
    <cellStyle name="Normal 2 3 2 11 5 9" xfId="25919" xr:uid="{00000000-0005-0000-0000-00003F650000}"/>
    <cellStyle name="Normal 2 3 2 11 6" xfId="25920" xr:uid="{00000000-0005-0000-0000-000040650000}"/>
    <cellStyle name="Normal 2 3 2 11 7" xfId="25921" xr:uid="{00000000-0005-0000-0000-000041650000}"/>
    <cellStyle name="Normal 2 3 2 11 8" xfId="25922" xr:uid="{00000000-0005-0000-0000-000042650000}"/>
    <cellStyle name="Normal 2 3 2 11 9" xfId="25923" xr:uid="{00000000-0005-0000-0000-000043650000}"/>
    <cellStyle name="Normal 2 3 2 12" xfId="25924" xr:uid="{00000000-0005-0000-0000-000044650000}"/>
    <cellStyle name="Normal 2 3 2 12 10" xfId="25925" xr:uid="{00000000-0005-0000-0000-000045650000}"/>
    <cellStyle name="Normal 2 3 2 12 11" xfId="25926" xr:uid="{00000000-0005-0000-0000-000046650000}"/>
    <cellStyle name="Normal 2 3 2 12 12" xfId="25927" xr:uid="{00000000-0005-0000-0000-000047650000}"/>
    <cellStyle name="Normal 2 3 2 12 13" xfId="25928" xr:uid="{00000000-0005-0000-0000-000048650000}"/>
    <cellStyle name="Normal 2 3 2 12 14" xfId="25929" xr:uid="{00000000-0005-0000-0000-000049650000}"/>
    <cellStyle name="Normal 2 3 2 12 2" xfId="25930" xr:uid="{00000000-0005-0000-0000-00004A650000}"/>
    <cellStyle name="Normal 2 3 2 12 2 10" xfId="25931" xr:uid="{00000000-0005-0000-0000-00004B650000}"/>
    <cellStyle name="Normal 2 3 2 12 2 2" xfId="25932" xr:uid="{00000000-0005-0000-0000-00004C650000}"/>
    <cellStyle name="Normal 2 3 2 12 2 3" xfId="25933" xr:uid="{00000000-0005-0000-0000-00004D650000}"/>
    <cellStyle name="Normal 2 3 2 12 2 4" xfId="25934" xr:uid="{00000000-0005-0000-0000-00004E650000}"/>
    <cellStyle name="Normal 2 3 2 12 2 5" xfId="25935" xr:uid="{00000000-0005-0000-0000-00004F650000}"/>
    <cellStyle name="Normal 2 3 2 12 2 6" xfId="25936" xr:uid="{00000000-0005-0000-0000-000050650000}"/>
    <cellStyle name="Normal 2 3 2 12 2 7" xfId="25937" xr:uid="{00000000-0005-0000-0000-000051650000}"/>
    <cellStyle name="Normal 2 3 2 12 2 8" xfId="25938" xr:uid="{00000000-0005-0000-0000-000052650000}"/>
    <cellStyle name="Normal 2 3 2 12 2 9" xfId="25939" xr:uid="{00000000-0005-0000-0000-000053650000}"/>
    <cellStyle name="Normal 2 3 2 12 3" xfId="25940" xr:uid="{00000000-0005-0000-0000-000054650000}"/>
    <cellStyle name="Normal 2 3 2 12 3 10" xfId="25941" xr:uid="{00000000-0005-0000-0000-000055650000}"/>
    <cellStyle name="Normal 2 3 2 12 3 2" xfId="25942" xr:uid="{00000000-0005-0000-0000-000056650000}"/>
    <cellStyle name="Normal 2 3 2 12 3 3" xfId="25943" xr:uid="{00000000-0005-0000-0000-000057650000}"/>
    <cellStyle name="Normal 2 3 2 12 3 4" xfId="25944" xr:uid="{00000000-0005-0000-0000-000058650000}"/>
    <cellStyle name="Normal 2 3 2 12 3 5" xfId="25945" xr:uid="{00000000-0005-0000-0000-000059650000}"/>
    <cellStyle name="Normal 2 3 2 12 3 6" xfId="25946" xr:uid="{00000000-0005-0000-0000-00005A650000}"/>
    <cellStyle name="Normal 2 3 2 12 3 7" xfId="25947" xr:uid="{00000000-0005-0000-0000-00005B650000}"/>
    <cellStyle name="Normal 2 3 2 12 3 8" xfId="25948" xr:uid="{00000000-0005-0000-0000-00005C650000}"/>
    <cellStyle name="Normal 2 3 2 12 3 9" xfId="25949" xr:uid="{00000000-0005-0000-0000-00005D650000}"/>
    <cellStyle name="Normal 2 3 2 12 4" xfId="25950" xr:uid="{00000000-0005-0000-0000-00005E650000}"/>
    <cellStyle name="Normal 2 3 2 12 4 10" xfId="25951" xr:uid="{00000000-0005-0000-0000-00005F650000}"/>
    <cellStyle name="Normal 2 3 2 12 4 2" xfId="25952" xr:uid="{00000000-0005-0000-0000-000060650000}"/>
    <cellStyle name="Normal 2 3 2 12 4 3" xfId="25953" xr:uid="{00000000-0005-0000-0000-000061650000}"/>
    <cellStyle name="Normal 2 3 2 12 4 4" xfId="25954" xr:uid="{00000000-0005-0000-0000-000062650000}"/>
    <cellStyle name="Normal 2 3 2 12 4 5" xfId="25955" xr:uid="{00000000-0005-0000-0000-000063650000}"/>
    <cellStyle name="Normal 2 3 2 12 4 6" xfId="25956" xr:uid="{00000000-0005-0000-0000-000064650000}"/>
    <cellStyle name="Normal 2 3 2 12 4 7" xfId="25957" xr:uid="{00000000-0005-0000-0000-000065650000}"/>
    <cellStyle name="Normal 2 3 2 12 4 8" xfId="25958" xr:uid="{00000000-0005-0000-0000-000066650000}"/>
    <cellStyle name="Normal 2 3 2 12 4 9" xfId="25959" xr:uid="{00000000-0005-0000-0000-000067650000}"/>
    <cellStyle name="Normal 2 3 2 12 5" xfId="25960" xr:uid="{00000000-0005-0000-0000-000068650000}"/>
    <cellStyle name="Normal 2 3 2 12 5 10" xfId="25961" xr:uid="{00000000-0005-0000-0000-000069650000}"/>
    <cellStyle name="Normal 2 3 2 12 5 2" xfId="25962" xr:uid="{00000000-0005-0000-0000-00006A650000}"/>
    <cellStyle name="Normal 2 3 2 12 5 3" xfId="25963" xr:uid="{00000000-0005-0000-0000-00006B650000}"/>
    <cellStyle name="Normal 2 3 2 12 5 4" xfId="25964" xr:uid="{00000000-0005-0000-0000-00006C650000}"/>
    <cellStyle name="Normal 2 3 2 12 5 5" xfId="25965" xr:uid="{00000000-0005-0000-0000-00006D650000}"/>
    <cellStyle name="Normal 2 3 2 12 5 6" xfId="25966" xr:uid="{00000000-0005-0000-0000-00006E650000}"/>
    <cellStyle name="Normal 2 3 2 12 5 7" xfId="25967" xr:uid="{00000000-0005-0000-0000-00006F650000}"/>
    <cellStyle name="Normal 2 3 2 12 5 8" xfId="25968" xr:uid="{00000000-0005-0000-0000-000070650000}"/>
    <cellStyle name="Normal 2 3 2 12 5 9" xfId="25969" xr:uid="{00000000-0005-0000-0000-000071650000}"/>
    <cellStyle name="Normal 2 3 2 12 6" xfId="25970" xr:uid="{00000000-0005-0000-0000-000072650000}"/>
    <cellStyle name="Normal 2 3 2 12 7" xfId="25971" xr:uid="{00000000-0005-0000-0000-000073650000}"/>
    <cellStyle name="Normal 2 3 2 12 8" xfId="25972" xr:uid="{00000000-0005-0000-0000-000074650000}"/>
    <cellStyle name="Normal 2 3 2 12 9" xfId="25973" xr:uid="{00000000-0005-0000-0000-000075650000}"/>
    <cellStyle name="Normal 2 3 2 13" xfId="25974" xr:uid="{00000000-0005-0000-0000-000076650000}"/>
    <cellStyle name="Normal 2 3 2 13 10" xfId="25975" xr:uid="{00000000-0005-0000-0000-000077650000}"/>
    <cellStyle name="Normal 2 3 2 13 11" xfId="25976" xr:uid="{00000000-0005-0000-0000-000078650000}"/>
    <cellStyle name="Normal 2 3 2 13 12" xfId="25977" xr:uid="{00000000-0005-0000-0000-000079650000}"/>
    <cellStyle name="Normal 2 3 2 13 13" xfId="25978" xr:uid="{00000000-0005-0000-0000-00007A650000}"/>
    <cellStyle name="Normal 2 3 2 13 14" xfId="25979" xr:uid="{00000000-0005-0000-0000-00007B650000}"/>
    <cellStyle name="Normal 2 3 2 13 2" xfId="25980" xr:uid="{00000000-0005-0000-0000-00007C650000}"/>
    <cellStyle name="Normal 2 3 2 13 2 10" xfId="25981" xr:uid="{00000000-0005-0000-0000-00007D650000}"/>
    <cellStyle name="Normal 2 3 2 13 2 2" xfId="25982" xr:uid="{00000000-0005-0000-0000-00007E650000}"/>
    <cellStyle name="Normal 2 3 2 13 2 3" xfId="25983" xr:uid="{00000000-0005-0000-0000-00007F650000}"/>
    <cellStyle name="Normal 2 3 2 13 2 4" xfId="25984" xr:uid="{00000000-0005-0000-0000-000080650000}"/>
    <cellStyle name="Normal 2 3 2 13 2 5" xfId="25985" xr:uid="{00000000-0005-0000-0000-000081650000}"/>
    <cellStyle name="Normal 2 3 2 13 2 6" xfId="25986" xr:uid="{00000000-0005-0000-0000-000082650000}"/>
    <cellStyle name="Normal 2 3 2 13 2 7" xfId="25987" xr:uid="{00000000-0005-0000-0000-000083650000}"/>
    <cellStyle name="Normal 2 3 2 13 2 8" xfId="25988" xr:uid="{00000000-0005-0000-0000-000084650000}"/>
    <cellStyle name="Normal 2 3 2 13 2 9" xfId="25989" xr:uid="{00000000-0005-0000-0000-000085650000}"/>
    <cellStyle name="Normal 2 3 2 13 3" xfId="25990" xr:uid="{00000000-0005-0000-0000-000086650000}"/>
    <cellStyle name="Normal 2 3 2 13 3 10" xfId="25991" xr:uid="{00000000-0005-0000-0000-000087650000}"/>
    <cellStyle name="Normal 2 3 2 13 3 2" xfId="25992" xr:uid="{00000000-0005-0000-0000-000088650000}"/>
    <cellStyle name="Normal 2 3 2 13 3 3" xfId="25993" xr:uid="{00000000-0005-0000-0000-000089650000}"/>
    <cellStyle name="Normal 2 3 2 13 3 4" xfId="25994" xr:uid="{00000000-0005-0000-0000-00008A650000}"/>
    <cellStyle name="Normal 2 3 2 13 3 5" xfId="25995" xr:uid="{00000000-0005-0000-0000-00008B650000}"/>
    <cellStyle name="Normal 2 3 2 13 3 6" xfId="25996" xr:uid="{00000000-0005-0000-0000-00008C650000}"/>
    <cellStyle name="Normal 2 3 2 13 3 7" xfId="25997" xr:uid="{00000000-0005-0000-0000-00008D650000}"/>
    <cellStyle name="Normal 2 3 2 13 3 8" xfId="25998" xr:uid="{00000000-0005-0000-0000-00008E650000}"/>
    <cellStyle name="Normal 2 3 2 13 3 9" xfId="25999" xr:uid="{00000000-0005-0000-0000-00008F650000}"/>
    <cellStyle name="Normal 2 3 2 13 4" xfId="26000" xr:uid="{00000000-0005-0000-0000-000090650000}"/>
    <cellStyle name="Normal 2 3 2 13 4 10" xfId="26001" xr:uid="{00000000-0005-0000-0000-000091650000}"/>
    <cellStyle name="Normal 2 3 2 13 4 2" xfId="26002" xr:uid="{00000000-0005-0000-0000-000092650000}"/>
    <cellStyle name="Normal 2 3 2 13 4 3" xfId="26003" xr:uid="{00000000-0005-0000-0000-000093650000}"/>
    <cellStyle name="Normal 2 3 2 13 4 4" xfId="26004" xr:uid="{00000000-0005-0000-0000-000094650000}"/>
    <cellStyle name="Normal 2 3 2 13 4 5" xfId="26005" xr:uid="{00000000-0005-0000-0000-000095650000}"/>
    <cellStyle name="Normal 2 3 2 13 4 6" xfId="26006" xr:uid="{00000000-0005-0000-0000-000096650000}"/>
    <cellStyle name="Normal 2 3 2 13 4 7" xfId="26007" xr:uid="{00000000-0005-0000-0000-000097650000}"/>
    <cellStyle name="Normal 2 3 2 13 4 8" xfId="26008" xr:uid="{00000000-0005-0000-0000-000098650000}"/>
    <cellStyle name="Normal 2 3 2 13 4 9" xfId="26009" xr:uid="{00000000-0005-0000-0000-000099650000}"/>
    <cellStyle name="Normal 2 3 2 13 5" xfId="26010" xr:uid="{00000000-0005-0000-0000-00009A650000}"/>
    <cellStyle name="Normal 2 3 2 13 5 10" xfId="26011" xr:uid="{00000000-0005-0000-0000-00009B650000}"/>
    <cellStyle name="Normal 2 3 2 13 5 2" xfId="26012" xr:uid="{00000000-0005-0000-0000-00009C650000}"/>
    <cellStyle name="Normal 2 3 2 13 5 3" xfId="26013" xr:uid="{00000000-0005-0000-0000-00009D650000}"/>
    <cellStyle name="Normal 2 3 2 13 5 4" xfId="26014" xr:uid="{00000000-0005-0000-0000-00009E650000}"/>
    <cellStyle name="Normal 2 3 2 13 5 5" xfId="26015" xr:uid="{00000000-0005-0000-0000-00009F650000}"/>
    <cellStyle name="Normal 2 3 2 13 5 6" xfId="26016" xr:uid="{00000000-0005-0000-0000-0000A0650000}"/>
    <cellStyle name="Normal 2 3 2 13 5 7" xfId="26017" xr:uid="{00000000-0005-0000-0000-0000A1650000}"/>
    <cellStyle name="Normal 2 3 2 13 5 8" xfId="26018" xr:uid="{00000000-0005-0000-0000-0000A2650000}"/>
    <cellStyle name="Normal 2 3 2 13 5 9" xfId="26019" xr:uid="{00000000-0005-0000-0000-0000A3650000}"/>
    <cellStyle name="Normal 2 3 2 13 6" xfId="26020" xr:uid="{00000000-0005-0000-0000-0000A4650000}"/>
    <cellStyle name="Normal 2 3 2 13 7" xfId="26021" xr:uid="{00000000-0005-0000-0000-0000A5650000}"/>
    <cellStyle name="Normal 2 3 2 13 8" xfId="26022" xr:uid="{00000000-0005-0000-0000-0000A6650000}"/>
    <cellStyle name="Normal 2 3 2 13 9" xfId="26023" xr:uid="{00000000-0005-0000-0000-0000A7650000}"/>
    <cellStyle name="Normal 2 3 2 14" xfId="26024" xr:uid="{00000000-0005-0000-0000-0000A8650000}"/>
    <cellStyle name="Normal 2 3 2 14 10" xfId="26025" xr:uid="{00000000-0005-0000-0000-0000A9650000}"/>
    <cellStyle name="Normal 2 3 2 14 11" xfId="26026" xr:uid="{00000000-0005-0000-0000-0000AA650000}"/>
    <cellStyle name="Normal 2 3 2 14 12" xfId="26027" xr:uid="{00000000-0005-0000-0000-0000AB650000}"/>
    <cellStyle name="Normal 2 3 2 14 13" xfId="26028" xr:uid="{00000000-0005-0000-0000-0000AC650000}"/>
    <cellStyle name="Normal 2 3 2 14 14" xfId="26029" xr:uid="{00000000-0005-0000-0000-0000AD650000}"/>
    <cellStyle name="Normal 2 3 2 14 2" xfId="26030" xr:uid="{00000000-0005-0000-0000-0000AE650000}"/>
    <cellStyle name="Normal 2 3 2 14 2 10" xfId="26031" xr:uid="{00000000-0005-0000-0000-0000AF650000}"/>
    <cellStyle name="Normal 2 3 2 14 2 2" xfId="26032" xr:uid="{00000000-0005-0000-0000-0000B0650000}"/>
    <cellStyle name="Normal 2 3 2 14 2 3" xfId="26033" xr:uid="{00000000-0005-0000-0000-0000B1650000}"/>
    <cellStyle name="Normal 2 3 2 14 2 4" xfId="26034" xr:uid="{00000000-0005-0000-0000-0000B2650000}"/>
    <cellStyle name="Normal 2 3 2 14 2 5" xfId="26035" xr:uid="{00000000-0005-0000-0000-0000B3650000}"/>
    <cellStyle name="Normal 2 3 2 14 2 6" xfId="26036" xr:uid="{00000000-0005-0000-0000-0000B4650000}"/>
    <cellStyle name="Normal 2 3 2 14 2 7" xfId="26037" xr:uid="{00000000-0005-0000-0000-0000B5650000}"/>
    <cellStyle name="Normal 2 3 2 14 2 8" xfId="26038" xr:uid="{00000000-0005-0000-0000-0000B6650000}"/>
    <cellStyle name="Normal 2 3 2 14 2 9" xfId="26039" xr:uid="{00000000-0005-0000-0000-0000B7650000}"/>
    <cellStyle name="Normal 2 3 2 14 3" xfId="26040" xr:uid="{00000000-0005-0000-0000-0000B8650000}"/>
    <cellStyle name="Normal 2 3 2 14 3 10" xfId="26041" xr:uid="{00000000-0005-0000-0000-0000B9650000}"/>
    <cellStyle name="Normal 2 3 2 14 3 2" xfId="26042" xr:uid="{00000000-0005-0000-0000-0000BA650000}"/>
    <cellStyle name="Normal 2 3 2 14 3 3" xfId="26043" xr:uid="{00000000-0005-0000-0000-0000BB650000}"/>
    <cellStyle name="Normal 2 3 2 14 3 4" xfId="26044" xr:uid="{00000000-0005-0000-0000-0000BC650000}"/>
    <cellStyle name="Normal 2 3 2 14 3 5" xfId="26045" xr:uid="{00000000-0005-0000-0000-0000BD650000}"/>
    <cellStyle name="Normal 2 3 2 14 3 6" xfId="26046" xr:uid="{00000000-0005-0000-0000-0000BE650000}"/>
    <cellStyle name="Normal 2 3 2 14 3 7" xfId="26047" xr:uid="{00000000-0005-0000-0000-0000BF650000}"/>
    <cellStyle name="Normal 2 3 2 14 3 8" xfId="26048" xr:uid="{00000000-0005-0000-0000-0000C0650000}"/>
    <cellStyle name="Normal 2 3 2 14 3 9" xfId="26049" xr:uid="{00000000-0005-0000-0000-0000C1650000}"/>
    <cellStyle name="Normal 2 3 2 14 4" xfId="26050" xr:uid="{00000000-0005-0000-0000-0000C2650000}"/>
    <cellStyle name="Normal 2 3 2 14 4 10" xfId="26051" xr:uid="{00000000-0005-0000-0000-0000C3650000}"/>
    <cellStyle name="Normal 2 3 2 14 4 2" xfId="26052" xr:uid="{00000000-0005-0000-0000-0000C4650000}"/>
    <cellStyle name="Normal 2 3 2 14 4 3" xfId="26053" xr:uid="{00000000-0005-0000-0000-0000C5650000}"/>
    <cellStyle name="Normal 2 3 2 14 4 4" xfId="26054" xr:uid="{00000000-0005-0000-0000-0000C6650000}"/>
    <cellStyle name="Normal 2 3 2 14 4 5" xfId="26055" xr:uid="{00000000-0005-0000-0000-0000C7650000}"/>
    <cellStyle name="Normal 2 3 2 14 4 6" xfId="26056" xr:uid="{00000000-0005-0000-0000-0000C8650000}"/>
    <cellStyle name="Normal 2 3 2 14 4 7" xfId="26057" xr:uid="{00000000-0005-0000-0000-0000C9650000}"/>
    <cellStyle name="Normal 2 3 2 14 4 8" xfId="26058" xr:uid="{00000000-0005-0000-0000-0000CA650000}"/>
    <cellStyle name="Normal 2 3 2 14 4 9" xfId="26059" xr:uid="{00000000-0005-0000-0000-0000CB650000}"/>
    <cellStyle name="Normal 2 3 2 14 5" xfId="26060" xr:uid="{00000000-0005-0000-0000-0000CC650000}"/>
    <cellStyle name="Normal 2 3 2 14 5 10" xfId="26061" xr:uid="{00000000-0005-0000-0000-0000CD650000}"/>
    <cellStyle name="Normal 2 3 2 14 5 2" xfId="26062" xr:uid="{00000000-0005-0000-0000-0000CE650000}"/>
    <cellStyle name="Normal 2 3 2 14 5 3" xfId="26063" xr:uid="{00000000-0005-0000-0000-0000CF650000}"/>
    <cellStyle name="Normal 2 3 2 14 5 4" xfId="26064" xr:uid="{00000000-0005-0000-0000-0000D0650000}"/>
    <cellStyle name="Normal 2 3 2 14 5 5" xfId="26065" xr:uid="{00000000-0005-0000-0000-0000D1650000}"/>
    <cellStyle name="Normal 2 3 2 14 5 6" xfId="26066" xr:uid="{00000000-0005-0000-0000-0000D2650000}"/>
    <cellStyle name="Normal 2 3 2 14 5 7" xfId="26067" xr:uid="{00000000-0005-0000-0000-0000D3650000}"/>
    <cellStyle name="Normal 2 3 2 14 5 8" xfId="26068" xr:uid="{00000000-0005-0000-0000-0000D4650000}"/>
    <cellStyle name="Normal 2 3 2 14 5 9" xfId="26069" xr:uid="{00000000-0005-0000-0000-0000D5650000}"/>
    <cellStyle name="Normal 2 3 2 14 6" xfId="26070" xr:uid="{00000000-0005-0000-0000-0000D6650000}"/>
    <cellStyle name="Normal 2 3 2 14 7" xfId="26071" xr:uid="{00000000-0005-0000-0000-0000D7650000}"/>
    <cellStyle name="Normal 2 3 2 14 8" xfId="26072" xr:uid="{00000000-0005-0000-0000-0000D8650000}"/>
    <cellStyle name="Normal 2 3 2 14 9" xfId="26073" xr:uid="{00000000-0005-0000-0000-0000D9650000}"/>
    <cellStyle name="Normal 2 3 2 15" xfId="26074" xr:uid="{00000000-0005-0000-0000-0000DA650000}"/>
    <cellStyle name="Normal 2 3 2 15 10" xfId="26075" xr:uid="{00000000-0005-0000-0000-0000DB650000}"/>
    <cellStyle name="Normal 2 3 2 15 11" xfId="26076" xr:uid="{00000000-0005-0000-0000-0000DC650000}"/>
    <cellStyle name="Normal 2 3 2 15 12" xfId="26077" xr:uid="{00000000-0005-0000-0000-0000DD650000}"/>
    <cellStyle name="Normal 2 3 2 15 13" xfId="26078" xr:uid="{00000000-0005-0000-0000-0000DE650000}"/>
    <cellStyle name="Normal 2 3 2 15 14" xfId="26079" xr:uid="{00000000-0005-0000-0000-0000DF650000}"/>
    <cellStyle name="Normal 2 3 2 15 2" xfId="26080" xr:uid="{00000000-0005-0000-0000-0000E0650000}"/>
    <cellStyle name="Normal 2 3 2 15 2 10" xfId="26081" xr:uid="{00000000-0005-0000-0000-0000E1650000}"/>
    <cellStyle name="Normal 2 3 2 15 2 2" xfId="26082" xr:uid="{00000000-0005-0000-0000-0000E2650000}"/>
    <cellStyle name="Normal 2 3 2 15 2 3" xfId="26083" xr:uid="{00000000-0005-0000-0000-0000E3650000}"/>
    <cellStyle name="Normal 2 3 2 15 2 4" xfId="26084" xr:uid="{00000000-0005-0000-0000-0000E4650000}"/>
    <cellStyle name="Normal 2 3 2 15 2 5" xfId="26085" xr:uid="{00000000-0005-0000-0000-0000E5650000}"/>
    <cellStyle name="Normal 2 3 2 15 2 6" xfId="26086" xr:uid="{00000000-0005-0000-0000-0000E6650000}"/>
    <cellStyle name="Normal 2 3 2 15 2 7" xfId="26087" xr:uid="{00000000-0005-0000-0000-0000E7650000}"/>
    <cellStyle name="Normal 2 3 2 15 2 8" xfId="26088" xr:uid="{00000000-0005-0000-0000-0000E8650000}"/>
    <cellStyle name="Normal 2 3 2 15 2 9" xfId="26089" xr:uid="{00000000-0005-0000-0000-0000E9650000}"/>
    <cellStyle name="Normal 2 3 2 15 3" xfId="26090" xr:uid="{00000000-0005-0000-0000-0000EA650000}"/>
    <cellStyle name="Normal 2 3 2 15 3 10" xfId="26091" xr:uid="{00000000-0005-0000-0000-0000EB650000}"/>
    <cellStyle name="Normal 2 3 2 15 3 2" xfId="26092" xr:uid="{00000000-0005-0000-0000-0000EC650000}"/>
    <cellStyle name="Normal 2 3 2 15 3 3" xfId="26093" xr:uid="{00000000-0005-0000-0000-0000ED650000}"/>
    <cellStyle name="Normal 2 3 2 15 3 4" xfId="26094" xr:uid="{00000000-0005-0000-0000-0000EE650000}"/>
    <cellStyle name="Normal 2 3 2 15 3 5" xfId="26095" xr:uid="{00000000-0005-0000-0000-0000EF650000}"/>
    <cellStyle name="Normal 2 3 2 15 3 6" xfId="26096" xr:uid="{00000000-0005-0000-0000-0000F0650000}"/>
    <cellStyle name="Normal 2 3 2 15 3 7" xfId="26097" xr:uid="{00000000-0005-0000-0000-0000F1650000}"/>
    <cellStyle name="Normal 2 3 2 15 3 8" xfId="26098" xr:uid="{00000000-0005-0000-0000-0000F2650000}"/>
    <cellStyle name="Normal 2 3 2 15 3 9" xfId="26099" xr:uid="{00000000-0005-0000-0000-0000F3650000}"/>
    <cellStyle name="Normal 2 3 2 15 4" xfId="26100" xr:uid="{00000000-0005-0000-0000-0000F4650000}"/>
    <cellStyle name="Normal 2 3 2 15 4 10" xfId="26101" xr:uid="{00000000-0005-0000-0000-0000F5650000}"/>
    <cellStyle name="Normal 2 3 2 15 4 2" xfId="26102" xr:uid="{00000000-0005-0000-0000-0000F6650000}"/>
    <cellStyle name="Normal 2 3 2 15 4 3" xfId="26103" xr:uid="{00000000-0005-0000-0000-0000F7650000}"/>
    <cellStyle name="Normal 2 3 2 15 4 4" xfId="26104" xr:uid="{00000000-0005-0000-0000-0000F8650000}"/>
    <cellStyle name="Normal 2 3 2 15 4 5" xfId="26105" xr:uid="{00000000-0005-0000-0000-0000F9650000}"/>
    <cellStyle name="Normal 2 3 2 15 4 6" xfId="26106" xr:uid="{00000000-0005-0000-0000-0000FA650000}"/>
    <cellStyle name="Normal 2 3 2 15 4 7" xfId="26107" xr:uid="{00000000-0005-0000-0000-0000FB650000}"/>
    <cellStyle name="Normal 2 3 2 15 4 8" xfId="26108" xr:uid="{00000000-0005-0000-0000-0000FC650000}"/>
    <cellStyle name="Normal 2 3 2 15 4 9" xfId="26109" xr:uid="{00000000-0005-0000-0000-0000FD650000}"/>
    <cellStyle name="Normal 2 3 2 15 5" xfId="26110" xr:uid="{00000000-0005-0000-0000-0000FE650000}"/>
    <cellStyle name="Normal 2 3 2 15 5 10" xfId="26111" xr:uid="{00000000-0005-0000-0000-0000FF650000}"/>
    <cellStyle name="Normal 2 3 2 15 5 2" xfId="26112" xr:uid="{00000000-0005-0000-0000-000000660000}"/>
    <cellStyle name="Normal 2 3 2 15 5 3" xfId="26113" xr:uid="{00000000-0005-0000-0000-000001660000}"/>
    <cellStyle name="Normal 2 3 2 15 5 4" xfId="26114" xr:uid="{00000000-0005-0000-0000-000002660000}"/>
    <cellStyle name="Normal 2 3 2 15 5 5" xfId="26115" xr:uid="{00000000-0005-0000-0000-000003660000}"/>
    <cellStyle name="Normal 2 3 2 15 5 6" xfId="26116" xr:uid="{00000000-0005-0000-0000-000004660000}"/>
    <cellStyle name="Normal 2 3 2 15 5 7" xfId="26117" xr:uid="{00000000-0005-0000-0000-000005660000}"/>
    <cellStyle name="Normal 2 3 2 15 5 8" xfId="26118" xr:uid="{00000000-0005-0000-0000-000006660000}"/>
    <cellStyle name="Normal 2 3 2 15 5 9" xfId="26119" xr:uid="{00000000-0005-0000-0000-000007660000}"/>
    <cellStyle name="Normal 2 3 2 15 6" xfId="26120" xr:uid="{00000000-0005-0000-0000-000008660000}"/>
    <cellStyle name="Normal 2 3 2 15 7" xfId="26121" xr:uid="{00000000-0005-0000-0000-000009660000}"/>
    <cellStyle name="Normal 2 3 2 15 8" xfId="26122" xr:uid="{00000000-0005-0000-0000-00000A660000}"/>
    <cellStyle name="Normal 2 3 2 15 9" xfId="26123" xr:uid="{00000000-0005-0000-0000-00000B660000}"/>
    <cellStyle name="Normal 2 3 2 16" xfId="26124" xr:uid="{00000000-0005-0000-0000-00000C660000}"/>
    <cellStyle name="Normal 2 3 2 16 10" xfId="26125" xr:uid="{00000000-0005-0000-0000-00000D660000}"/>
    <cellStyle name="Normal 2 3 2 16 11" xfId="26126" xr:uid="{00000000-0005-0000-0000-00000E660000}"/>
    <cellStyle name="Normal 2 3 2 16 12" xfId="26127" xr:uid="{00000000-0005-0000-0000-00000F660000}"/>
    <cellStyle name="Normal 2 3 2 16 13" xfId="26128" xr:uid="{00000000-0005-0000-0000-000010660000}"/>
    <cellStyle name="Normal 2 3 2 16 14" xfId="26129" xr:uid="{00000000-0005-0000-0000-000011660000}"/>
    <cellStyle name="Normal 2 3 2 16 2" xfId="26130" xr:uid="{00000000-0005-0000-0000-000012660000}"/>
    <cellStyle name="Normal 2 3 2 16 2 10" xfId="26131" xr:uid="{00000000-0005-0000-0000-000013660000}"/>
    <cellStyle name="Normal 2 3 2 16 2 2" xfId="26132" xr:uid="{00000000-0005-0000-0000-000014660000}"/>
    <cellStyle name="Normal 2 3 2 16 2 3" xfId="26133" xr:uid="{00000000-0005-0000-0000-000015660000}"/>
    <cellStyle name="Normal 2 3 2 16 2 4" xfId="26134" xr:uid="{00000000-0005-0000-0000-000016660000}"/>
    <cellStyle name="Normal 2 3 2 16 2 5" xfId="26135" xr:uid="{00000000-0005-0000-0000-000017660000}"/>
    <cellStyle name="Normal 2 3 2 16 2 6" xfId="26136" xr:uid="{00000000-0005-0000-0000-000018660000}"/>
    <cellStyle name="Normal 2 3 2 16 2 7" xfId="26137" xr:uid="{00000000-0005-0000-0000-000019660000}"/>
    <cellStyle name="Normal 2 3 2 16 2 8" xfId="26138" xr:uid="{00000000-0005-0000-0000-00001A660000}"/>
    <cellStyle name="Normal 2 3 2 16 2 9" xfId="26139" xr:uid="{00000000-0005-0000-0000-00001B660000}"/>
    <cellStyle name="Normal 2 3 2 16 3" xfId="26140" xr:uid="{00000000-0005-0000-0000-00001C660000}"/>
    <cellStyle name="Normal 2 3 2 16 3 10" xfId="26141" xr:uid="{00000000-0005-0000-0000-00001D660000}"/>
    <cellStyle name="Normal 2 3 2 16 3 2" xfId="26142" xr:uid="{00000000-0005-0000-0000-00001E660000}"/>
    <cellStyle name="Normal 2 3 2 16 3 3" xfId="26143" xr:uid="{00000000-0005-0000-0000-00001F660000}"/>
    <cellStyle name="Normal 2 3 2 16 3 4" xfId="26144" xr:uid="{00000000-0005-0000-0000-000020660000}"/>
    <cellStyle name="Normal 2 3 2 16 3 5" xfId="26145" xr:uid="{00000000-0005-0000-0000-000021660000}"/>
    <cellStyle name="Normal 2 3 2 16 3 6" xfId="26146" xr:uid="{00000000-0005-0000-0000-000022660000}"/>
    <cellStyle name="Normal 2 3 2 16 3 7" xfId="26147" xr:uid="{00000000-0005-0000-0000-000023660000}"/>
    <cellStyle name="Normal 2 3 2 16 3 8" xfId="26148" xr:uid="{00000000-0005-0000-0000-000024660000}"/>
    <cellStyle name="Normal 2 3 2 16 3 9" xfId="26149" xr:uid="{00000000-0005-0000-0000-000025660000}"/>
    <cellStyle name="Normal 2 3 2 16 4" xfId="26150" xr:uid="{00000000-0005-0000-0000-000026660000}"/>
    <cellStyle name="Normal 2 3 2 16 4 10" xfId="26151" xr:uid="{00000000-0005-0000-0000-000027660000}"/>
    <cellStyle name="Normal 2 3 2 16 4 2" xfId="26152" xr:uid="{00000000-0005-0000-0000-000028660000}"/>
    <cellStyle name="Normal 2 3 2 16 4 3" xfId="26153" xr:uid="{00000000-0005-0000-0000-000029660000}"/>
    <cellStyle name="Normal 2 3 2 16 4 4" xfId="26154" xr:uid="{00000000-0005-0000-0000-00002A660000}"/>
    <cellStyle name="Normal 2 3 2 16 4 5" xfId="26155" xr:uid="{00000000-0005-0000-0000-00002B660000}"/>
    <cellStyle name="Normal 2 3 2 16 4 6" xfId="26156" xr:uid="{00000000-0005-0000-0000-00002C660000}"/>
    <cellStyle name="Normal 2 3 2 16 4 7" xfId="26157" xr:uid="{00000000-0005-0000-0000-00002D660000}"/>
    <cellStyle name="Normal 2 3 2 16 4 8" xfId="26158" xr:uid="{00000000-0005-0000-0000-00002E660000}"/>
    <cellStyle name="Normal 2 3 2 16 4 9" xfId="26159" xr:uid="{00000000-0005-0000-0000-00002F660000}"/>
    <cellStyle name="Normal 2 3 2 16 5" xfId="26160" xr:uid="{00000000-0005-0000-0000-000030660000}"/>
    <cellStyle name="Normal 2 3 2 16 5 10" xfId="26161" xr:uid="{00000000-0005-0000-0000-000031660000}"/>
    <cellStyle name="Normal 2 3 2 16 5 2" xfId="26162" xr:uid="{00000000-0005-0000-0000-000032660000}"/>
    <cellStyle name="Normal 2 3 2 16 5 3" xfId="26163" xr:uid="{00000000-0005-0000-0000-000033660000}"/>
    <cellStyle name="Normal 2 3 2 16 5 4" xfId="26164" xr:uid="{00000000-0005-0000-0000-000034660000}"/>
    <cellStyle name="Normal 2 3 2 16 5 5" xfId="26165" xr:uid="{00000000-0005-0000-0000-000035660000}"/>
    <cellStyle name="Normal 2 3 2 16 5 6" xfId="26166" xr:uid="{00000000-0005-0000-0000-000036660000}"/>
    <cellStyle name="Normal 2 3 2 16 5 7" xfId="26167" xr:uid="{00000000-0005-0000-0000-000037660000}"/>
    <cellStyle name="Normal 2 3 2 16 5 8" xfId="26168" xr:uid="{00000000-0005-0000-0000-000038660000}"/>
    <cellStyle name="Normal 2 3 2 16 5 9" xfId="26169" xr:uid="{00000000-0005-0000-0000-000039660000}"/>
    <cellStyle name="Normal 2 3 2 16 6" xfId="26170" xr:uid="{00000000-0005-0000-0000-00003A660000}"/>
    <cellStyle name="Normal 2 3 2 16 7" xfId="26171" xr:uid="{00000000-0005-0000-0000-00003B660000}"/>
    <cellStyle name="Normal 2 3 2 16 8" xfId="26172" xr:uid="{00000000-0005-0000-0000-00003C660000}"/>
    <cellStyle name="Normal 2 3 2 16 9" xfId="26173" xr:uid="{00000000-0005-0000-0000-00003D660000}"/>
    <cellStyle name="Normal 2 3 2 17" xfId="26174" xr:uid="{00000000-0005-0000-0000-00003E660000}"/>
    <cellStyle name="Normal 2 3 2 17 10" xfId="26175" xr:uid="{00000000-0005-0000-0000-00003F660000}"/>
    <cellStyle name="Normal 2 3 2 17 11" xfId="26176" xr:uid="{00000000-0005-0000-0000-000040660000}"/>
    <cellStyle name="Normal 2 3 2 17 12" xfId="26177" xr:uid="{00000000-0005-0000-0000-000041660000}"/>
    <cellStyle name="Normal 2 3 2 17 13" xfId="26178" xr:uid="{00000000-0005-0000-0000-000042660000}"/>
    <cellStyle name="Normal 2 3 2 17 14" xfId="26179" xr:uid="{00000000-0005-0000-0000-000043660000}"/>
    <cellStyle name="Normal 2 3 2 17 2" xfId="26180" xr:uid="{00000000-0005-0000-0000-000044660000}"/>
    <cellStyle name="Normal 2 3 2 17 2 10" xfId="26181" xr:uid="{00000000-0005-0000-0000-000045660000}"/>
    <cellStyle name="Normal 2 3 2 17 2 2" xfId="26182" xr:uid="{00000000-0005-0000-0000-000046660000}"/>
    <cellStyle name="Normal 2 3 2 17 2 3" xfId="26183" xr:uid="{00000000-0005-0000-0000-000047660000}"/>
    <cellStyle name="Normal 2 3 2 17 2 4" xfId="26184" xr:uid="{00000000-0005-0000-0000-000048660000}"/>
    <cellStyle name="Normal 2 3 2 17 2 5" xfId="26185" xr:uid="{00000000-0005-0000-0000-000049660000}"/>
    <cellStyle name="Normal 2 3 2 17 2 6" xfId="26186" xr:uid="{00000000-0005-0000-0000-00004A660000}"/>
    <cellStyle name="Normal 2 3 2 17 2 7" xfId="26187" xr:uid="{00000000-0005-0000-0000-00004B660000}"/>
    <cellStyle name="Normal 2 3 2 17 2 8" xfId="26188" xr:uid="{00000000-0005-0000-0000-00004C660000}"/>
    <cellStyle name="Normal 2 3 2 17 2 9" xfId="26189" xr:uid="{00000000-0005-0000-0000-00004D660000}"/>
    <cellStyle name="Normal 2 3 2 17 3" xfId="26190" xr:uid="{00000000-0005-0000-0000-00004E660000}"/>
    <cellStyle name="Normal 2 3 2 17 3 10" xfId="26191" xr:uid="{00000000-0005-0000-0000-00004F660000}"/>
    <cellStyle name="Normal 2 3 2 17 3 2" xfId="26192" xr:uid="{00000000-0005-0000-0000-000050660000}"/>
    <cellStyle name="Normal 2 3 2 17 3 3" xfId="26193" xr:uid="{00000000-0005-0000-0000-000051660000}"/>
    <cellStyle name="Normal 2 3 2 17 3 4" xfId="26194" xr:uid="{00000000-0005-0000-0000-000052660000}"/>
    <cellStyle name="Normal 2 3 2 17 3 5" xfId="26195" xr:uid="{00000000-0005-0000-0000-000053660000}"/>
    <cellStyle name="Normal 2 3 2 17 3 6" xfId="26196" xr:uid="{00000000-0005-0000-0000-000054660000}"/>
    <cellStyle name="Normal 2 3 2 17 3 7" xfId="26197" xr:uid="{00000000-0005-0000-0000-000055660000}"/>
    <cellStyle name="Normal 2 3 2 17 3 8" xfId="26198" xr:uid="{00000000-0005-0000-0000-000056660000}"/>
    <cellStyle name="Normal 2 3 2 17 3 9" xfId="26199" xr:uid="{00000000-0005-0000-0000-000057660000}"/>
    <cellStyle name="Normal 2 3 2 17 4" xfId="26200" xr:uid="{00000000-0005-0000-0000-000058660000}"/>
    <cellStyle name="Normal 2 3 2 17 4 10" xfId="26201" xr:uid="{00000000-0005-0000-0000-000059660000}"/>
    <cellStyle name="Normal 2 3 2 17 4 2" xfId="26202" xr:uid="{00000000-0005-0000-0000-00005A660000}"/>
    <cellStyle name="Normal 2 3 2 17 4 3" xfId="26203" xr:uid="{00000000-0005-0000-0000-00005B660000}"/>
    <cellStyle name="Normal 2 3 2 17 4 4" xfId="26204" xr:uid="{00000000-0005-0000-0000-00005C660000}"/>
    <cellStyle name="Normal 2 3 2 17 4 5" xfId="26205" xr:uid="{00000000-0005-0000-0000-00005D660000}"/>
    <cellStyle name="Normal 2 3 2 17 4 6" xfId="26206" xr:uid="{00000000-0005-0000-0000-00005E660000}"/>
    <cellStyle name="Normal 2 3 2 17 4 7" xfId="26207" xr:uid="{00000000-0005-0000-0000-00005F660000}"/>
    <cellStyle name="Normal 2 3 2 17 4 8" xfId="26208" xr:uid="{00000000-0005-0000-0000-000060660000}"/>
    <cellStyle name="Normal 2 3 2 17 4 9" xfId="26209" xr:uid="{00000000-0005-0000-0000-000061660000}"/>
    <cellStyle name="Normal 2 3 2 17 5" xfId="26210" xr:uid="{00000000-0005-0000-0000-000062660000}"/>
    <cellStyle name="Normal 2 3 2 17 5 10" xfId="26211" xr:uid="{00000000-0005-0000-0000-000063660000}"/>
    <cellStyle name="Normal 2 3 2 17 5 2" xfId="26212" xr:uid="{00000000-0005-0000-0000-000064660000}"/>
    <cellStyle name="Normal 2 3 2 17 5 3" xfId="26213" xr:uid="{00000000-0005-0000-0000-000065660000}"/>
    <cellStyle name="Normal 2 3 2 17 5 4" xfId="26214" xr:uid="{00000000-0005-0000-0000-000066660000}"/>
    <cellStyle name="Normal 2 3 2 17 5 5" xfId="26215" xr:uid="{00000000-0005-0000-0000-000067660000}"/>
    <cellStyle name="Normal 2 3 2 17 5 6" xfId="26216" xr:uid="{00000000-0005-0000-0000-000068660000}"/>
    <cellStyle name="Normal 2 3 2 17 5 7" xfId="26217" xr:uid="{00000000-0005-0000-0000-000069660000}"/>
    <cellStyle name="Normal 2 3 2 17 5 8" xfId="26218" xr:uid="{00000000-0005-0000-0000-00006A660000}"/>
    <cellStyle name="Normal 2 3 2 17 5 9" xfId="26219" xr:uid="{00000000-0005-0000-0000-00006B660000}"/>
    <cellStyle name="Normal 2 3 2 17 6" xfId="26220" xr:uid="{00000000-0005-0000-0000-00006C660000}"/>
    <cellStyle name="Normal 2 3 2 17 7" xfId="26221" xr:uid="{00000000-0005-0000-0000-00006D660000}"/>
    <cellStyle name="Normal 2 3 2 17 8" xfId="26222" xr:uid="{00000000-0005-0000-0000-00006E660000}"/>
    <cellStyle name="Normal 2 3 2 17 9" xfId="26223" xr:uid="{00000000-0005-0000-0000-00006F660000}"/>
    <cellStyle name="Normal 2 3 2 18" xfId="26224" xr:uid="{00000000-0005-0000-0000-000070660000}"/>
    <cellStyle name="Normal 2 3 2 18 10" xfId="26225" xr:uid="{00000000-0005-0000-0000-000071660000}"/>
    <cellStyle name="Normal 2 3 2 18 11" xfId="26226" xr:uid="{00000000-0005-0000-0000-000072660000}"/>
    <cellStyle name="Normal 2 3 2 18 12" xfId="26227" xr:uid="{00000000-0005-0000-0000-000073660000}"/>
    <cellStyle name="Normal 2 3 2 18 13" xfId="26228" xr:uid="{00000000-0005-0000-0000-000074660000}"/>
    <cellStyle name="Normal 2 3 2 18 14" xfId="26229" xr:uid="{00000000-0005-0000-0000-000075660000}"/>
    <cellStyle name="Normal 2 3 2 18 2" xfId="26230" xr:uid="{00000000-0005-0000-0000-000076660000}"/>
    <cellStyle name="Normal 2 3 2 18 2 10" xfId="26231" xr:uid="{00000000-0005-0000-0000-000077660000}"/>
    <cellStyle name="Normal 2 3 2 18 2 2" xfId="26232" xr:uid="{00000000-0005-0000-0000-000078660000}"/>
    <cellStyle name="Normal 2 3 2 18 2 3" xfId="26233" xr:uid="{00000000-0005-0000-0000-000079660000}"/>
    <cellStyle name="Normal 2 3 2 18 2 4" xfId="26234" xr:uid="{00000000-0005-0000-0000-00007A660000}"/>
    <cellStyle name="Normal 2 3 2 18 2 5" xfId="26235" xr:uid="{00000000-0005-0000-0000-00007B660000}"/>
    <cellStyle name="Normal 2 3 2 18 2 6" xfId="26236" xr:uid="{00000000-0005-0000-0000-00007C660000}"/>
    <cellStyle name="Normal 2 3 2 18 2 7" xfId="26237" xr:uid="{00000000-0005-0000-0000-00007D660000}"/>
    <cellStyle name="Normal 2 3 2 18 2 8" xfId="26238" xr:uid="{00000000-0005-0000-0000-00007E660000}"/>
    <cellStyle name="Normal 2 3 2 18 2 9" xfId="26239" xr:uid="{00000000-0005-0000-0000-00007F660000}"/>
    <cellStyle name="Normal 2 3 2 18 3" xfId="26240" xr:uid="{00000000-0005-0000-0000-000080660000}"/>
    <cellStyle name="Normal 2 3 2 18 3 10" xfId="26241" xr:uid="{00000000-0005-0000-0000-000081660000}"/>
    <cellStyle name="Normal 2 3 2 18 3 2" xfId="26242" xr:uid="{00000000-0005-0000-0000-000082660000}"/>
    <cellStyle name="Normal 2 3 2 18 3 3" xfId="26243" xr:uid="{00000000-0005-0000-0000-000083660000}"/>
    <cellStyle name="Normal 2 3 2 18 3 4" xfId="26244" xr:uid="{00000000-0005-0000-0000-000084660000}"/>
    <cellStyle name="Normal 2 3 2 18 3 5" xfId="26245" xr:uid="{00000000-0005-0000-0000-000085660000}"/>
    <cellStyle name="Normal 2 3 2 18 3 6" xfId="26246" xr:uid="{00000000-0005-0000-0000-000086660000}"/>
    <cellStyle name="Normal 2 3 2 18 3 7" xfId="26247" xr:uid="{00000000-0005-0000-0000-000087660000}"/>
    <cellStyle name="Normal 2 3 2 18 3 8" xfId="26248" xr:uid="{00000000-0005-0000-0000-000088660000}"/>
    <cellStyle name="Normal 2 3 2 18 3 9" xfId="26249" xr:uid="{00000000-0005-0000-0000-000089660000}"/>
    <cellStyle name="Normal 2 3 2 18 4" xfId="26250" xr:uid="{00000000-0005-0000-0000-00008A660000}"/>
    <cellStyle name="Normal 2 3 2 18 4 10" xfId="26251" xr:uid="{00000000-0005-0000-0000-00008B660000}"/>
    <cellStyle name="Normal 2 3 2 18 4 2" xfId="26252" xr:uid="{00000000-0005-0000-0000-00008C660000}"/>
    <cellStyle name="Normal 2 3 2 18 4 3" xfId="26253" xr:uid="{00000000-0005-0000-0000-00008D660000}"/>
    <cellStyle name="Normal 2 3 2 18 4 4" xfId="26254" xr:uid="{00000000-0005-0000-0000-00008E660000}"/>
    <cellStyle name="Normal 2 3 2 18 4 5" xfId="26255" xr:uid="{00000000-0005-0000-0000-00008F660000}"/>
    <cellStyle name="Normal 2 3 2 18 4 6" xfId="26256" xr:uid="{00000000-0005-0000-0000-000090660000}"/>
    <cellStyle name="Normal 2 3 2 18 4 7" xfId="26257" xr:uid="{00000000-0005-0000-0000-000091660000}"/>
    <cellStyle name="Normal 2 3 2 18 4 8" xfId="26258" xr:uid="{00000000-0005-0000-0000-000092660000}"/>
    <cellStyle name="Normal 2 3 2 18 4 9" xfId="26259" xr:uid="{00000000-0005-0000-0000-000093660000}"/>
    <cellStyle name="Normal 2 3 2 18 5" xfId="26260" xr:uid="{00000000-0005-0000-0000-000094660000}"/>
    <cellStyle name="Normal 2 3 2 18 5 10" xfId="26261" xr:uid="{00000000-0005-0000-0000-000095660000}"/>
    <cellStyle name="Normal 2 3 2 18 5 2" xfId="26262" xr:uid="{00000000-0005-0000-0000-000096660000}"/>
    <cellStyle name="Normal 2 3 2 18 5 3" xfId="26263" xr:uid="{00000000-0005-0000-0000-000097660000}"/>
    <cellStyle name="Normal 2 3 2 18 5 4" xfId="26264" xr:uid="{00000000-0005-0000-0000-000098660000}"/>
    <cellStyle name="Normal 2 3 2 18 5 5" xfId="26265" xr:uid="{00000000-0005-0000-0000-000099660000}"/>
    <cellStyle name="Normal 2 3 2 18 5 6" xfId="26266" xr:uid="{00000000-0005-0000-0000-00009A660000}"/>
    <cellStyle name="Normal 2 3 2 18 5 7" xfId="26267" xr:uid="{00000000-0005-0000-0000-00009B660000}"/>
    <cellStyle name="Normal 2 3 2 18 5 8" xfId="26268" xr:uid="{00000000-0005-0000-0000-00009C660000}"/>
    <cellStyle name="Normal 2 3 2 18 5 9" xfId="26269" xr:uid="{00000000-0005-0000-0000-00009D660000}"/>
    <cellStyle name="Normal 2 3 2 18 6" xfId="26270" xr:uid="{00000000-0005-0000-0000-00009E660000}"/>
    <cellStyle name="Normal 2 3 2 18 7" xfId="26271" xr:uid="{00000000-0005-0000-0000-00009F660000}"/>
    <cellStyle name="Normal 2 3 2 18 8" xfId="26272" xr:uid="{00000000-0005-0000-0000-0000A0660000}"/>
    <cellStyle name="Normal 2 3 2 18 9" xfId="26273" xr:uid="{00000000-0005-0000-0000-0000A1660000}"/>
    <cellStyle name="Normal 2 3 2 19" xfId="26274" xr:uid="{00000000-0005-0000-0000-0000A2660000}"/>
    <cellStyle name="Normal 2 3 2 19 10" xfId="26275" xr:uid="{00000000-0005-0000-0000-0000A3660000}"/>
    <cellStyle name="Normal 2 3 2 19 11" xfId="26276" xr:uid="{00000000-0005-0000-0000-0000A4660000}"/>
    <cellStyle name="Normal 2 3 2 19 12" xfId="26277" xr:uid="{00000000-0005-0000-0000-0000A5660000}"/>
    <cellStyle name="Normal 2 3 2 19 13" xfId="26278" xr:uid="{00000000-0005-0000-0000-0000A6660000}"/>
    <cellStyle name="Normal 2 3 2 19 14" xfId="26279" xr:uid="{00000000-0005-0000-0000-0000A7660000}"/>
    <cellStyle name="Normal 2 3 2 19 2" xfId="26280" xr:uid="{00000000-0005-0000-0000-0000A8660000}"/>
    <cellStyle name="Normal 2 3 2 19 2 10" xfId="26281" xr:uid="{00000000-0005-0000-0000-0000A9660000}"/>
    <cellStyle name="Normal 2 3 2 19 2 2" xfId="26282" xr:uid="{00000000-0005-0000-0000-0000AA660000}"/>
    <cellStyle name="Normal 2 3 2 19 2 3" xfId="26283" xr:uid="{00000000-0005-0000-0000-0000AB660000}"/>
    <cellStyle name="Normal 2 3 2 19 2 4" xfId="26284" xr:uid="{00000000-0005-0000-0000-0000AC660000}"/>
    <cellStyle name="Normal 2 3 2 19 2 5" xfId="26285" xr:uid="{00000000-0005-0000-0000-0000AD660000}"/>
    <cellStyle name="Normal 2 3 2 19 2 6" xfId="26286" xr:uid="{00000000-0005-0000-0000-0000AE660000}"/>
    <cellStyle name="Normal 2 3 2 19 2 7" xfId="26287" xr:uid="{00000000-0005-0000-0000-0000AF660000}"/>
    <cellStyle name="Normal 2 3 2 19 2 8" xfId="26288" xr:uid="{00000000-0005-0000-0000-0000B0660000}"/>
    <cellStyle name="Normal 2 3 2 19 2 9" xfId="26289" xr:uid="{00000000-0005-0000-0000-0000B1660000}"/>
    <cellStyle name="Normal 2 3 2 19 3" xfId="26290" xr:uid="{00000000-0005-0000-0000-0000B2660000}"/>
    <cellStyle name="Normal 2 3 2 19 3 10" xfId="26291" xr:uid="{00000000-0005-0000-0000-0000B3660000}"/>
    <cellStyle name="Normal 2 3 2 19 3 2" xfId="26292" xr:uid="{00000000-0005-0000-0000-0000B4660000}"/>
    <cellStyle name="Normal 2 3 2 19 3 3" xfId="26293" xr:uid="{00000000-0005-0000-0000-0000B5660000}"/>
    <cellStyle name="Normal 2 3 2 19 3 4" xfId="26294" xr:uid="{00000000-0005-0000-0000-0000B6660000}"/>
    <cellStyle name="Normal 2 3 2 19 3 5" xfId="26295" xr:uid="{00000000-0005-0000-0000-0000B7660000}"/>
    <cellStyle name="Normal 2 3 2 19 3 6" xfId="26296" xr:uid="{00000000-0005-0000-0000-0000B8660000}"/>
    <cellStyle name="Normal 2 3 2 19 3 7" xfId="26297" xr:uid="{00000000-0005-0000-0000-0000B9660000}"/>
    <cellStyle name="Normal 2 3 2 19 3 8" xfId="26298" xr:uid="{00000000-0005-0000-0000-0000BA660000}"/>
    <cellStyle name="Normal 2 3 2 19 3 9" xfId="26299" xr:uid="{00000000-0005-0000-0000-0000BB660000}"/>
    <cellStyle name="Normal 2 3 2 19 4" xfId="26300" xr:uid="{00000000-0005-0000-0000-0000BC660000}"/>
    <cellStyle name="Normal 2 3 2 19 4 10" xfId="26301" xr:uid="{00000000-0005-0000-0000-0000BD660000}"/>
    <cellStyle name="Normal 2 3 2 19 4 2" xfId="26302" xr:uid="{00000000-0005-0000-0000-0000BE660000}"/>
    <cellStyle name="Normal 2 3 2 19 4 3" xfId="26303" xr:uid="{00000000-0005-0000-0000-0000BF660000}"/>
    <cellStyle name="Normal 2 3 2 19 4 4" xfId="26304" xr:uid="{00000000-0005-0000-0000-0000C0660000}"/>
    <cellStyle name="Normal 2 3 2 19 4 5" xfId="26305" xr:uid="{00000000-0005-0000-0000-0000C1660000}"/>
    <cellStyle name="Normal 2 3 2 19 4 6" xfId="26306" xr:uid="{00000000-0005-0000-0000-0000C2660000}"/>
    <cellStyle name="Normal 2 3 2 19 4 7" xfId="26307" xr:uid="{00000000-0005-0000-0000-0000C3660000}"/>
    <cellStyle name="Normal 2 3 2 19 4 8" xfId="26308" xr:uid="{00000000-0005-0000-0000-0000C4660000}"/>
    <cellStyle name="Normal 2 3 2 19 4 9" xfId="26309" xr:uid="{00000000-0005-0000-0000-0000C5660000}"/>
    <cellStyle name="Normal 2 3 2 19 5" xfId="26310" xr:uid="{00000000-0005-0000-0000-0000C6660000}"/>
    <cellStyle name="Normal 2 3 2 19 5 10" xfId="26311" xr:uid="{00000000-0005-0000-0000-0000C7660000}"/>
    <cellStyle name="Normal 2 3 2 19 5 2" xfId="26312" xr:uid="{00000000-0005-0000-0000-0000C8660000}"/>
    <cellStyle name="Normal 2 3 2 19 5 3" xfId="26313" xr:uid="{00000000-0005-0000-0000-0000C9660000}"/>
    <cellStyle name="Normal 2 3 2 19 5 4" xfId="26314" xr:uid="{00000000-0005-0000-0000-0000CA660000}"/>
    <cellStyle name="Normal 2 3 2 19 5 5" xfId="26315" xr:uid="{00000000-0005-0000-0000-0000CB660000}"/>
    <cellStyle name="Normal 2 3 2 19 5 6" xfId="26316" xr:uid="{00000000-0005-0000-0000-0000CC660000}"/>
    <cellStyle name="Normal 2 3 2 19 5 7" xfId="26317" xr:uid="{00000000-0005-0000-0000-0000CD660000}"/>
    <cellStyle name="Normal 2 3 2 19 5 8" xfId="26318" xr:uid="{00000000-0005-0000-0000-0000CE660000}"/>
    <cellStyle name="Normal 2 3 2 19 5 9" xfId="26319" xr:uid="{00000000-0005-0000-0000-0000CF660000}"/>
    <cellStyle name="Normal 2 3 2 19 6" xfId="26320" xr:uid="{00000000-0005-0000-0000-0000D0660000}"/>
    <cellStyle name="Normal 2 3 2 19 7" xfId="26321" xr:uid="{00000000-0005-0000-0000-0000D1660000}"/>
    <cellStyle name="Normal 2 3 2 19 8" xfId="26322" xr:uid="{00000000-0005-0000-0000-0000D2660000}"/>
    <cellStyle name="Normal 2 3 2 19 9" xfId="26323" xr:uid="{00000000-0005-0000-0000-0000D3660000}"/>
    <cellStyle name="Normal 2 3 2 2" xfId="26324" xr:uid="{00000000-0005-0000-0000-0000D4660000}"/>
    <cellStyle name="Normal 2 3 2 2 10" xfId="26325" xr:uid="{00000000-0005-0000-0000-0000D5660000}"/>
    <cellStyle name="Normal 2 3 2 2 11" xfId="26326" xr:uid="{00000000-0005-0000-0000-0000D6660000}"/>
    <cellStyle name="Normal 2 3 2 2 12" xfId="26327" xr:uid="{00000000-0005-0000-0000-0000D7660000}"/>
    <cellStyle name="Normal 2 3 2 2 13" xfId="26328" xr:uid="{00000000-0005-0000-0000-0000D8660000}"/>
    <cellStyle name="Normal 2 3 2 2 14" xfId="26329" xr:uid="{00000000-0005-0000-0000-0000D9660000}"/>
    <cellStyle name="Normal 2 3 2 2 15" xfId="26330" xr:uid="{00000000-0005-0000-0000-0000DA660000}"/>
    <cellStyle name="Normal 2 3 2 2 16" xfId="26331" xr:uid="{00000000-0005-0000-0000-0000DB660000}"/>
    <cellStyle name="Normal 2 3 2 2 2" xfId="26332" xr:uid="{00000000-0005-0000-0000-0000DC660000}"/>
    <cellStyle name="Normal 2 3 2 2 2 10" xfId="26333" xr:uid="{00000000-0005-0000-0000-0000DD660000}"/>
    <cellStyle name="Normal 2 3 2 2 2 11" xfId="26334" xr:uid="{00000000-0005-0000-0000-0000DE660000}"/>
    <cellStyle name="Normal 2 3 2 2 2 12" xfId="26335" xr:uid="{00000000-0005-0000-0000-0000DF660000}"/>
    <cellStyle name="Normal 2 3 2 2 2 2" xfId="26336" xr:uid="{00000000-0005-0000-0000-0000E0660000}"/>
    <cellStyle name="Normal 2 3 2 2 2 3" xfId="26337" xr:uid="{00000000-0005-0000-0000-0000E1660000}"/>
    <cellStyle name="Normal 2 3 2 2 2 4" xfId="26338" xr:uid="{00000000-0005-0000-0000-0000E2660000}"/>
    <cellStyle name="Normal 2 3 2 2 2 5" xfId="26339" xr:uid="{00000000-0005-0000-0000-0000E3660000}"/>
    <cellStyle name="Normal 2 3 2 2 2 6" xfId="26340" xr:uid="{00000000-0005-0000-0000-0000E4660000}"/>
    <cellStyle name="Normal 2 3 2 2 2 7" xfId="26341" xr:uid="{00000000-0005-0000-0000-0000E5660000}"/>
    <cellStyle name="Normal 2 3 2 2 2 8" xfId="26342" xr:uid="{00000000-0005-0000-0000-0000E6660000}"/>
    <cellStyle name="Normal 2 3 2 2 2 9" xfId="26343" xr:uid="{00000000-0005-0000-0000-0000E7660000}"/>
    <cellStyle name="Normal 2 3 2 2 3" xfId="26344" xr:uid="{00000000-0005-0000-0000-0000E8660000}"/>
    <cellStyle name="Normal 2 3 2 2 3 10" xfId="26345" xr:uid="{00000000-0005-0000-0000-0000E9660000}"/>
    <cellStyle name="Normal 2 3 2 2 3 2" xfId="26346" xr:uid="{00000000-0005-0000-0000-0000EA660000}"/>
    <cellStyle name="Normal 2 3 2 2 3 3" xfId="26347" xr:uid="{00000000-0005-0000-0000-0000EB660000}"/>
    <cellStyle name="Normal 2 3 2 2 3 4" xfId="26348" xr:uid="{00000000-0005-0000-0000-0000EC660000}"/>
    <cellStyle name="Normal 2 3 2 2 3 5" xfId="26349" xr:uid="{00000000-0005-0000-0000-0000ED660000}"/>
    <cellStyle name="Normal 2 3 2 2 3 6" xfId="26350" xr:uid="{00000000-0005-0000-0000-0000EE660000}"/>
    <cellStyle name="Normal 2 3 2 2 3 7" xfId="26351" xr:uid="{00000000-0005-0000-0000-0000EF660000}"/>
    <cellStyle name="Normal 2 3 2 2 3 8" xfId="26352" xr:uid="{00000000-0005-0000-0000-0000F0660000}"/>
    <cellStyle name="Normal 2 3 2 2 3 9" xfId="26353" xr:uid="{00000000-0005-0000-0000-0000F1660000}"/>
    <cellStyle name="Normal 2 3 2 2 4" xfId="26354" xr:uid="{00000000-0005-0000-0000-0000F2660000}"/>
    <cellStyle name="Normal 2 3 2 2 4 10" xfId="26355" xr:uid="{00000000-0005-0000-0000-0000F3660000}"/>
    <cellStyle name="Normal 2 3 2 2 4 2" xfId="26356" xr:uid="{00000000-0005-0000-0000-0000F4660000}"/>
    <cellStyle name="Normal 2 3 2 2 4 3" xfId="26357" xr:uid="{00000000-0005-0000-0000-0000F5660000}"/>
    <cellStyle name="Normal 2 3 2 2 4 4" xfId="26358" xr:uid="{00000000-0005-0000-0000-0000F6660000}"/>
    <cellStyle name="Normal 2 3 2 2 4 5" xfId="26359" xr:uid="{00000000-0005-0000-0000-0000F7660000}"/>
    <cellStyle name="Normal 2 3 2 2 4 6" xfId="26360" xr:uid="{00000000-0005-0000-0000-0000F8660000}"/>
    <cellStyle name="Normal 2 3 2 2 4 7" xfId="26361" xr:uid="{00000000-0005-0000-0000-0000F9660000}"/>
    <cellStyle name="Normal 2 3 2 2 4 8" xfId="26362" xr:uid="{00000000-0005-0000-0000-0000FA660000}"/>
    <cellStyle name="Normal 2 3 2 2 4 9" xfId="26363" xr:uid="{00000000-0005-0000-0000-0000FB660000}"/>
    <cellStyle name="Normal 2 3 2 2 5" xfId="26364" xr:uid="{00000000-0005-0000-0000-0000FC660000}"/>
    <cellStyle name="Normal 2 3 2 2 5 10" xfId="26365" xr:uid="{00000000-0005-0000-0000-0000FD660000}"/>
    <cellStyle name="Normal 2 3 2 2 5 2" xfId="26366" xr:uid="{00000000-0005-0000-0000-0000FE660000}"/>
    <cellStyle name="Normal 2 3 2 2 5 3" xfId="26367" xr:uid="{00000000-0005-0000-0000-0000FF660000}"/>
    <cellStyle name="Normal 2 3 2 2 5 4" xfId="26368" xr:uid="{00000000-0005-0000-0000-000000670000}"/>
    <cellStyle name="Normal 2 3 2 2 5 5" xfId="26369" xr:uid="{00000000-0005-0000-0000-000001670000}"/>
    <cellStyle name="Normal 2 3 2 2 5 6" xfId="26370" xr:uid="{00000000-0005-0000-0000-000002670000}"/>
    <cellStyle name="Normal 2 3 2 2 5 7" xfId="26371" xr:uid="{00000000-0005-0000-0000-000003670000}"/>
    <cellStyle name="Normal 2 3 2 2 5 8" xfId="26372" xr:uid="{00000000-0005-0000-0000-000004670000}"/>
    <cellStyle name="Normal 2 3 2 2 5 9" xfId="26373" xr:uid="{00000000-0005-0000-0000-000005670000}"/>
    <cellStyle name="Normal 2 3 2 2 6" xfId="26374" xr:uid="{00000000-0005-0000-0000-000006670000}"/>
    <cellStyle name="Normal 2 3 2 2 7" xfId="26375" xr:uid="{00000000-0005-0000-0000-000007670000}"/>
    <cellStyle name="Normal 2 3 2 2 8" xfId="26376" xr:uid="{00000000-0005-0000-0000-000008670000}"/>
    <cellStyle name="Normal 2 3 2 2 9" xfId="26377" xr:uid="{00000000-0005-0000-0000-000009670000}"/>
    <cellStyle name="Normal 2 3 2 20" xfId="26378" xr:uid="{00000000-0005-0000-0000-00000A670000}"/>
    <cellStyle name="Normal 2 3 2 20 10" xfId="26379" xr:uid="{00000000-0005-0000-0000-00000B670000}"/>
    <cellStyle name="Normal 2 3 2 20 11" xfId="26380" xr:uid="{00000000-0005-0000-0000-00000C670000}"/>
    <cellStyle name="Normal 2 3 2 20 12" xfId="26381" xr:uid="{00000000-0005-0000-0000-00000D670000}"/>
    <cellStyle name="Normal 2 3 2 20 13" xfId="26382" xr:uid="{00000000-0005-0000-0000-00000E670000}"/>
    <cellStyle name="Normal 2 3 2 20 14" xfId="26383" xr:uid="{00000000-0005-0000-0000-00000F670000}"/>
    <cellStyle name="Normal 2 3 2 20 2" xfId="26384" xr:uid="{00000000-0005-0000-0000-000010670000}"/>
    <cellStyle name="Normal 2 3 2 20 2 10" xfId="26385" xr:uid="{00000000-0005-0000-0000-000011670000}"/>
    <cellStyle name="Normal 2 3 2 20 2 2" xfId="26386" xr:uid="{00000000-0005-0000-0000-000012670000}"/>
    <cellStyle name="Normal 2 3 2 20 2 3" xfId="26387" xr:uid="{00000000-0005-0000-0000-000013670000}"/>
    <cellStyle name="Normal 2 3 2 20 2 4" xfId="26388" xr:uid="{00000000-0005-0000-0000-000014670000}"/>
    <cellStyle name="Normal 2 3 2 20 2 5" xfId="26389" xr:uid="{00000000-0005-0000-0000-000015670000}"/>
    <cellStyle name="Normal 2 3 2 20 2 6" xfId="26390" xr:uid="{00000000-0005-0000-0000-000016670000}"/>
    <cellStyle name="Normal 2 3 2 20 2 7" xfId="26391" xr:uid="{00000000-0005-0000-0000-000017670000}"/>
    <cellStyle name="Normal 2 3 2 20 2 8" xfId="26392" xr:uid="{00000000-0005-0000-0000-000018670000}"/>
    <cellStyle name="Normal 2 3 2 20 2 9" xfId="26393" xr:uid="{00000000-0005-0000-0000-000019670000}"/>
    <cellStyle name="Normal 2 3 2 20 3" xfId="26394" xr:uid="{00000000-0005-0000-0000-00001A670000}"/>
    <cellStyle name="Normal 2 3 2 20 3 10" xfId="26395" xr:uid="{00000000-0005-0000-0000-00001B670000}"/>
    <cellStyle name="Normal 2 3 2 20 3 2" xfId="26396" xr:uid="{00000000-0005-0000-0000-00001C670000}"/>
    <cellStyle name="Normal 2 3 2 20 3 3" xfId="26397" xr:uid="{00000000-0005-0000-0000-00001D670000}"/>
    <cellStyle name="Normal 2 3 2 20 3 4" xfId="26398" xr:uid="{00000000-0005-0000-0000-00001E670000}"/>
    <cellStyle name="Normal 2 3 2 20 3 5" xfId="26399" xr:uid="{00000000-0005-0000-0000-00001F670000}"/>
    <cellStyle name="Normal 2 3 2 20 3 6" xfId="26400" xr:uid="{00000000-0005-0000-0000-000020670000}"/>
    <cellStyle name="Normal 2 3 2 20 3 7" xfId="26401" xr:uid="{00000000-0005-0000-0000-000021670000}"/>
    <cellStyle name="Normal 2 3 2 20 3 8" xfId="26402" xr:uid="{00000000-0005-0000-0000-000022670000}"/>
    <cellStyle name="Normal 2 3 2 20 3 9" xfId="26403" xr:uid="{00000000-0005-0000-0000-000023670000}"/>
    <cellStyle name="Normal 2 3 2 20 4" xfId="26404" xr:uid="{00000000-0005-0000-0000-000024670000}"/>
    <cellStyle name="Normal 2 3 2 20 4 10" xfId="26405" xr:uid="{00000000-0005-0000-0000-000025670000}"/>
    <cellStyle name="Normal 2 3 2 20 4 2" xfId="26406" xr:uid="{00000000-0005-0000-0000-000026670000}"/>
    <cellStyle name="Normal 2 3 2 20 4 3" xfId="26407" xr:uid="{00000000-0005-0000-0000-000027670000}"/>
    <cellStyle name="Normal 2 3 2 20 4 4" xfId="26408" xr:uid="{00000000-0005-0000-0000-000028670000}"/>
    <cellStyle name="Normal 2 3 2 20 4 5" xfId="26409" xr:uid="{00000000-0005-0000-0000-000029670000}"/>
    <cellStyle name="Normal 2 3 2 20 4 6" xfId="26410" xr:uid="{00000000-0005-0000-0000-00002A670000}"/>
    <cellStyle name="Normal 2 3 2 20 4 7" xfId="26411" xr:uid="{00000000-0005-0000-0000-00002B670000}"/>
    <cellStyle name="Normal 2 3 2 20 4 8" xfId="26412" xr:uid="{00000000-0005-0000-0000-00002C670000}"/>
    <cellStyle name="Normal 2 3 2 20 4 9" xfId="26413" xr:uid="{00000000-0005-0000-0000-00002D670000}"/>
    <cellStyle name="Normal 2 3 2 20 5" xfId="26414" xr:uid="{00000000-0005-0000-0000-00002E670000}"/>
    <cellStyle name="Normal 2 3 2 20 5 10" xfId="26415" xr:uid="{00000000-0005-0000-0000-00002F670000}"/>
    <cellStyle name="Normal 2 3 2 20 5 2" xfId="26416" xr:uid="{00000000-0005-0000-0000-000030670000}"/>
    <cellStyle name="Normal 2 3 2 20 5 3" xfId="26417" xr:uid="{00000000-0005-0000-0000-000031670000}"/>
    <cellStyle name="Normal 2 3 2 20 5 4" xfId="26418" xr:uid="{00000000-0005-0000-0000-000032670000}"/>
    <cellStyle name="Normal 2 3 2 20 5 5" xfId="26419" xr:uid="{00000000-0005-0000-0000-000033670000}"/>
    <cellStyle name="Normal 2 3 2 20 5 6" xfId="26420" xr:uid="{00000000-0005-0000-0000-000034670000}"/>
    <cellStyle name="Normal 2 3 2 20 5 7" xfId="26421" xr:uid="{00000000-0005-0000-0000-000035670000}"/>
    <cellStyle name="Normal 2 3 2 20 5 8" xfId="26422" xr:uid="{00000000-0005-0000-0000-000036670000}"/>
    <cellStyle name="Normal 2 3 2 20 5 9" xfId="26423" xr:uid="{00000000-0005-0000-0000-000037670000}"/>
    <cellStyle name="Normal 2 3 2 20 6" xfId="26424" xr:uid="{00000000-0005-0000-0000-000038670000}"/>
    <cellStyle name="Normal 2 3 2 20 7" xfId="26425" xr:uid="{00000000-0005-0000-0000-000039670000}"/>
    <cellStyle name="Normal 2 3 2 20 8" xfId="26426" xr:uid="{00000000-0005-0000-0000-00003A670000}"/>
    <cellStyle name="Normal 2 3 2 20 9" xfId="26427" xr:uid="{00000000-0005-0000-0000-00003B670000}"/>
    <cellStyle name="Normal 2 3 2 21" xfId="26428" xr:uid="{00000000-0005-0000-0000-00003C670000}"/>
    <cellStyle name="Normal 2 3 2 21 10" xfId="26429" xr:uid="{00000000-0005-0000-0000-00003D670000}"/>
    <cellStyle name="Normal 2 3 2 21 11" xfId="26430" xr:uid="{00000000-0005-0000-0000-00003E670000}"/>
    <cellStyle name="Normal 2 3 2 21 12" xfId="26431" xr:uid="{00000000-0005-0000-0000-00003F670000}"/>
    <cellStyle name="Normal 2 3 2 21 13" xfId="26432" xr:uid="{00000000-0005-0000-0000-000040670000}"/>
    <cellStyle name="Normal 2 3 2 21 14" xfId="26433" xr:uid="{00000000-0005-0000-0000-000041670000}"/>
    <cellStyle name="Normal 2 3 2 21 2" xfId="26434" xr:uid="{00000000-0005-0000-0000-000042670000}"/>
    <cellStyle name="Normal 2 3 2 21 2 10" xfId="26435" xr:uid="{00000000-0005-0000-0000-000043670000}"/>
    <cellStyle name="Normal 2 3 2 21 2 2" xfId="26436" xr:uid="{00000000-0005-0000-0000-000044670000}"/>
    <cellStyle name="Normal 2 3 2 21 2 3" xfId="26437" xr:uid="{00000000-0005-0000-0000-000045670000}"/>
    <cellStyle name="Normal 2 3 2 21 2 4" xfId="26438" xr:uid="{00000000-0005-0000-0000-000046670000}"/>
    <cellStyle name="Normal 2 3 2 21 2 5" xfId="26439" xr:uid="{00000000-0005-0000-0000-000047670000}"/>
    <cellStyle name="Normal 2 3 2 21 2 6" xfId="26440" xr:uid="{00000000-0005-0000-0000-000048670000}"/>
    <cellStyle name="Normal 2 3 2 21 2 7" xfId="26441" xr:uid="{00000000-0005-0000-0000-000049670000}"/>
    <cellStyle name="Normal 2 3 2 21 2 8" xfId="26442" xr:uid="{00000000-0005-0000-0000-00004A670000}"/>
    <cellStyle name="Normal 2 3 2 21 2 9" xfId="26443" xr:uid="{00000000-0005-0000-0000-00004B670000}"/>
    <cellStyle name="Normal 2 3 2 21 3" xfId="26444" xr:uid="{00000000-0005-0000-0000-00004C670000}"/>
    <cellStyle name="Normal 2 3 2 21 3 10" xfId="26445" xr:uid="{00000000-0005-0000-0000-00004D670000}"/>
    <cellStyle name="Normal 2 3 2 21 3 2" xfId="26446" xr:uid="{00000000-0005-0000-0000-00004E670000}"/>
    <cellStyle name="Normal 2 3 2 21 3 3" xfId="26447" xr:uid="{00000000-0005-0000-0000-00004F670000}"/>
    <cellStyle name="Normal 2 3 2 21 3 4" xfId="26448" xr:uid="{00000000-0005-0000-0000-000050670000}"/>
    <cellStyle name="Normal 2 3 2 21 3 5" xfId="26449" xr:uid="{00000000-0005-0000-0000-000051670000}"/>
    <cellStyle name="Normal 2 3 2 21 3 6" xfId="26450" xr:uid="{00000000-0005-0000-0000-000052670000}"/>
    <cellStyle name="Normal 2 3 2 21 3 7" xfId="26451" xr:uid="{00000000-0005-0000-0000-000053670000}"/>
    <cellStyle name="Normal 2 3 2 21 3 8" xfId="26452" xr:uid="{00000000-0005-0000-0000-000054670000}"/>
    <cellStyle name="Normal 2 3 2 21 3 9" xfId="26453" xr:uid="{00000000-0005-0000-0000-000055670000}"/>
    <cellStyle name="Normal 2 3 2 21 4" xfId="26454" xr:uid="{00000000-0005-0000-0000-000056670000}"/>
    <cellStyle name="Normal 2 3 2 21 4 10" xfId="26455" xr:uid="{00000000-0005-0000-0000-000057670000}"/>
    <cellStyle name="Normal 2 3 2 21 4 2" xfId="26456" xr:uid="{00000000-0005-0000-0000-000058670000}"/>
    <cellStyle name="Normal 2 3 2 21 4 3" xfId="26457" xr:uid="{00000000-0005-0000-0000-000059670000}"/>
    <cellStyle name="Normal 2 3 2 21 4 4" xfId="26458" xr:uid="{00000000-0005-0000-0000-00005A670000}"/>
    <cellStyle name="Normal 2 3 2 21 4 5" xfId="26459" xr:uid="{00000000-0005-0000-0000-00005B670000}"/>
    <cellStyle name="Normal 2 3 2 21 4 6" xfId="26460" xr:uid="{00000000-0005-0000-0000-00005C670000}"/>
    <cellStyle name="Normal 2 3 2 21 4 7" xfId="26461" xr:uid="{00000000-0005-0000-0000-00005D670000}"/>
    <cellStyle name="Normal 2 3 2 21 4 8" xfId="26462" xr:uid="{00000000-0005-0000-0000-00005E670000}"/>
    <cellStyle name="Normal 2 3 2 21 4 9" xfId="26463" xr:uid="{00000000-0005-0000-0000-00005F670000}"/>
    <cellStyle name="Normal 2 3 2 21 5" xfId="26464" xr:uid="{00000000-0005-0000-0000-000060670000}"/>
    <cellStyle name="Normal 2 3 2 21 5 10" xfId="26465" xr:uid="{00000000-0005-0000-0000-000061670000}"/>
    <cellStyle name="Normal 2 3 2 21 5 2" xfId="26466" xr:uid="{00000000-0005-0000-0000-000062670000}"/>
    <cellStyle name="Normal 2 3 2 21 5 3" xfId="26467" xr:uid="{00000000-0005-0000-0000-000063670000}"/>
    <cellStyle name="Normal 2 3 2 21 5 4" xfId="26468" xr:uid="{00000000-0005-0000-0000-000064670000}"/>
    <cellStyle name="Normal 2 3 2 21 5 5" xfId="26469" xr:uid="{00000000-0005-0000-0000-000065670000}"/>
    <cellStyle name="Normal 2 3 2 21 5 6" xfId="26470" xr:uid="{00000000-0005-0000-0000-000066670000}"/>
    <cellStyle name="Normal 2 3 2 21 5 7" xfId="26471" xr:uid="{00000000-0005-0000-0000-000067670000}"/>
    <cellStyle name="Normal 2 3 2 21 5 8" xfId="26472" xr:uid="{00000000-0005-0000-0000-000068670000}"/>
    <cellStyle name="Normal 2 3 2 21 5 9" xfId="26473" xr:uid="{00000000-0005-0000-0000-000069670000}"/>
    <cellStyle name="Normal 2 3 2 21 6" xfId="26474" xr:uid="{00000000-0005-0000-0000-00006A670000}"/>
    <cellStyle name="Normal 2 3 2 21 7" xfId="26475" xr:uid="{00000000-0005-0000-0000-00006B670000}"/>
    <cellStyle name="Normal 2 3 2 21 8" xfId="26476" xr:uid="{00000000-0005-0000-0000-00006C670000}"/>
    <cellStyle name="Normal 2 3 2 21 9" xfId="26477" xr:uid="{00000000-0005-0000-0000-00006D670000}"/>
    <cellStyle name="Normal 2 3 2 22" xfId="26478" xr:uid="{00000000-0005-0000-0000-00006E670000}"/>
    <cellStyle name="Normal 2 3 2 22 10" xfId="26479" xr:uid="{00000000-0005-0000-0000-00006F670000}"/>
    <cellStyle name="Normal 2 3 2 22 11" xfId="26480" xr:uid="{00000000-0005-0000-0000-000070670000}"/>
    <cellStyle name="Normal 2 3 2 22 12" xfId="26481" xr:uid="{00000000-0005-0000-0000-000071670000}"/>
    <cellStyle name="Normal 2 3 2 22 13" xfId="26482" xr:uid="{00000000-0005-0000-0000-000072670000}"/>
    <cellStyle name="Normal 2 3 2 22 14" xfId="26483" xr:uid="{00000000-0005-0000-0000-000073670000}"/>
    <cellStyle name="Normal 2 3 2 22 2" xfId="26484" xr:uid="{00000000-0005-0000-0000-000074670000}"/>
    <cellStyle name="Normal 2 3 2 22 2 10" xfId="26485" xr:uid="{00000000-0005-0000-0000-000075670000}"/>
    <cellStyle name="Normal 2 3 2 22 2 2" xfId="26486" xr:uid="{00000000-0005-0000-0000-000076670000}"/>
    <cellStyle name="Normal 2 3 2 22 2 3" xfId="26487" xr:uid="{00000000-0005-0000-0000-000077670000}"/>
    <cellStyle name="Normal 2 3 2 22 2 4" xfId="26488" xr:uid="{00000000-0005-0000-0000-000078670000}"/>
    <cellStyle name="Normal 2 3 2 22 2 5" xfId="26489" xr:uid="{00000000-0005-0000-0000-000079670000}"/>
    <cellStyle name="Normal 2 3 2 22 2 6" xfId="26490" xr:uid="{00000000-0005-0000-0000-00007A670000}"/>
    <cellStyle name="Normal 2 3 2 22 2 7" xfId="26491" xr:uid="{00000000-0005-0000-0000-00007B670000}"/>
    <cellStyle name="Normal 2 3 2 22 2 8" xfId="26492" xr:uid="{00000000-0005-0000-0000-00007C670000}"/>
    <cellStyle name="Normal 2 3 2 22 2 9" xfId="26493" xr:uid="{00000000-0005-0000-0000-00007D670000}"/>
    <cellStyle name="Normal 2 3 2 22 3" xfId="26494" xr:uid="{00000000-0005-0000-0000-00007E670000}"/>
    <cellStyle name="Normal 2 3 2 22 3 10" xfId="26495" xr:uid="{00000000-0005-0000-0000-00007F670000}"/>
    <cellStyle name="Normal 2 3 2 22 3 2" xfId="26496" xr:uid="{00000000-0005-0000-0000-000080670000}"/>
    <cellStyle name="Normal 2 3 2 22 3 3" xfId="26497" xr:uid="{00000000-0005-0000-0000-000081670000}"/>
    <cellStyle name="Normal 2 3 2 22 3 4" xfId="26498" xr:uid="{00000000-0005-0000-0000-000082670000}"/>
    <cellStyle name="Normal 2 3 2 22 3 5" xfId="26499" xr:uid="{00000000-0005-0000-0000-000083670000}"/>
    <cellStyle name="Normal 2 3 2 22 3 6" xfId="26500" xr:uid="{00000000-0005-0000-0000-000084670000}"/>
    <cellStyle name="Normal 2 3 2 22 3 7" xfId="26501" xr:uid="{00000000-0005-0000-0000-000085670000}"/>
    <cellStyle name="Normal 2 3 2 22 3 8" xfId="26502" xr:uid="{00000000-0005-0000-0000-000086670000}"/>
    <cellStyle name="Normal 2 3 2 22 3 9" xfId="26503" xr:uid="{00000000-0005-0000-0000-000087670000}"/>
    <cellStyle name="Normal 2 3 2 22 4" xfId="26504" xr:uid="{00000000-0005-0000-0000-000088670000}"/>
    <cellStyle name="Normal 2 3 2 22 4 10" xfId="26505" xr:uid="{00000000-0005-0000-0000-000089670000}"/>
    <cellStyle name="Normal 2 3 2 22 4 2" xfId="26506" xr:uid="{00000000-0005-0000-0000-00008A670000}"/>
    <cellStyle name="Normal 2 3 2 22 4 3" xfId="26507" xr:uid="{00000000-0005-0000-0000-00008B670000}"/>
    <cellStyle name="Normal 2 3 2 22 4 4" xfId="26508" xr:uid="{00000000-0005-0000-0000-00008C670000}"/>
    <cellStyle name="Normal 2 3 2 22 4 5" xfId="26509" xr:uid="{00000000-0005-0000-0000-00008D670000}"/>
    <cellStyle name="Normal 2 3 2 22 4 6" xfId="26510" xr:uid="{00000000-0005-0000-0000-00008E670000}"/>
    <cellStyle name="Normal 2 3 2 22 4 7" xfId="26511" xr:uid="{00000000-0005-0000-0000-00008F670000}"/>
    <cellStyle name="Normal 2 3 2 22 4 8" xfId="26512" xr:uid="{00000000-0005-0000-0000-000090670000}"/>
    <cellStyle name="Normal 2 3 2 22 4 9" xfId="26513" xr:uid="{00000000-0005-0000-0000-000091670000}"/>
    <cellStyle name="Normal 2 3 2 22 5" xfId="26514" xr:uid="{00000000-0005-0000-0000-000092670000}"/>
    <cellStyle name="Normal 2 3 2 22 5 10" xfId="26515" xr:uid="{00000000-0005-0000-0000-000093670000}"/>
    <cellStyle name="Normal 2 3 2 22 5 2" xfId="26516" xr:uid="{00000000-0005-0000-0000-000094670000}"/>
    <cellStyle name="Normal 2 3 2 22 5 3" xfId="26517" xr:uid="{00000000-0005-0000-0000-000095670000}"/>
    <cellStyle name="Normal 2 3 2 22 5 4" xfId="26518" xr:uid="{00000000-0005-0000-0000-000096670000}"/>
    <cellStyle name="Normal 2 3 2 22 5 5" xfId="26519" xr:uid="{00000000-0005-0000-0000-000097670000}"/>
    <cellStyle name="Normal 2 3 2 22 5 6" xfId="26520" xr:uid="{00000000-0005-0000-0000-000098670000}"/>
    <cellStyle name="Normal 2 3 2 22 5 7" xfId="26521" xr:uid="{00000000-0005-0000-0000-000099670000}"/>
    <cellStyle name="Normal 2 3 2 22 5 8" xfId="26522" xr:uid="{00000000-0005-0000-0000-00009A670000}"/>
    <cellStyle name="Normal 2 3 2 22 5 9" xfId="26523" xr:uid="{00000000-0005-0000-0000-00009B670000}"/>
    <cellStyle name="Normal 2 3 2 22 6" xfId="26524" xr:uid="{00000000-0005-0000-0000-00009C670000}"/>
    <cellStyle name="Normal 2 3 2 22 7" xfId="26525" xr:uid="{00000000-0005-0000-0000-00009D670000}"/>
    <cellStyle name="Normal 2 3 2 22 8" xfId="26526" xr:uid="{00000000-0005-0000-0000-00009E670000}"/>
    <cellStyle name="Normal 2 3 2 22 9" xfId="26527" xr:uid="{00000000-0005-0000-0000-00009F670000}"/>
    <cellStyle name="Normal 2 3 2 23" xfId="26528" xr:uid="{00000000-0005-0000-0000-0000A0670000}"/>
    <cellStyle name="Normal 2 3 2 23 10" xfId="26529" xr:uid="{00000000-0005-0000-0000-0000A1670000}"/>
    <cellStyle name="Normal 2 3 2 23 11" xfId="26530" xr:uid="{00000000-0005-0000-0000-0000A2670000}"/>
    <cellStyle name="Normal 2 3 2 23 12" xfId="26531" xr:uid="{00000000-0005-0000-0000-0000A3670000}"/>
    <cellStyle name="Normal 2 3 2 23 13" xfId="26532" xr:uid="{00000000-0005-0000-0000-0000A4670000}"/>
    <cellStyle name="Normal 2 3 2 23 14" xfId="26533" xr:uid="{00000000-0005-0000-0000-0000A5670000}"/>
    <cellStyle name="Normal 2 3 2 23 2" xfId="26534" xr:uid="{00000000-0005-0000-0000-0000A6670000}"/>
    <cellStyle name="Normal 2 3 2 23 2 10" xfId="26535" xr:uid="{00000000-0005-0000-0000-0000A7670000}"/>
    <cellStyle name="Normal 2 3 2 23 2 2" xfId="26536" xr:uid="{00000000-0005-0000-0000-0000A8670000}"/>
    <cellStyle name="Normal 2 3 2 23 2 3" xfId="26537" xr:uid="{00000000-0005-0000-0000-0000A9670000}"/>
    <cellStyle name="Normal 2 3 2 23 2 4" xfId="26538" xr:uid="{00000000-0005-0000-0000-0000AA670000}"/>
    <cellStyle name="Normal 2 3 2 23 2 5" xfId="26539" xr:uid="{00000000-0005-0000-0000-0000AB670000}"/>
    <cellStyle name="Normal 2 3 2 23 2 6" xfId="26540" xr:uid="{00000000-0005-0000-0000-0000AC670000}"/>
    <cellStyle name="Normal 2 3 2 23 2 7" xfId="26541" xr:uid="{00000000-0005-0000-0000-0000AD670000}"/>
    <cellStyle name="Normal 2 3 2 23 2 8" xfId="26542" xr:uid="{00000000-0005-0000-0000-0000AE670000}"/>
    <cellStyle name="Normal 2 3 2 23 2 9" xfId="26543" xr:uid="{00000000-0005-0000-0000-0000AF670000}"/>
    <cellStyle name="Normal 2 3 2 23 3" xfId="26544" xr:uid="{00000000-0005-0000-0000-0000B0670000}"/>
    <cellStyle name="Normal 2 3 2 23 3 10" xfId="26545" xr:uid="{00000000-0005-0000-0000-0000B1670000}"/>
    <cellStyle name="Normal 2 3 2 23 3 2" xfId="26546" xr:uid="{00000000-0005-0000-0000-0000B2670000}"/>
    <cellStyle name="Normal 2 3 2 23 3 3" xfId="26547" xr:uid="{00000000-0005-0000-0000-0000B3670000}"/>
    <cellStyle name="Normal 2 3 2 23 3 4" xfId="26548" xr:uid="{00000000-0005-0000-0000-0000B4670000}"/>
    <cellStyle name="Normal 2 3 2 23 3 5" xfId="26549" xr:uid="{00000000-0005-0000-0000-0000B5670000}"/>
    <cellStyle name="Normal 2 3 2 23 3 6" xfId="26550" xr:uid="{00000000-0005-0000-0000-0000B6670000}"/>
    <cellStyle name="Normal 2 3 2 23 3 7" xfId="26551" xr:uid="{00000000-0005-0000-0000-0000B7670000}"/>
    <cellStyle name="Normal 2 3 2 23 3 8" xfId="26552" xr:uid="{00000000-0005-0000-0000-0000B8670000}"/>
    <cellStyle name="Normal 2 3 2 23 3 9" xfId="26553" xr:uid="{00000000-0005-0000-0000-0000B9670000}"/>
    <cellStyle name="Normal 2 3 2 23 4" xfId="26554" xr:uid="{00000000-0005-0000-0000-0000BA670000}"/>
    <cellStyle name="Normal 2 3 2 23 4 10" xfId="26555" xr:uid="{00000000-0005-0000-0000-0000BB670000}"/>
    <cellStyle name="Normal 2 3 2 23 4 2" xfId="26556" xr:uid="{00000000-0005-0000-0000-0000BC670000}"/>
    <cellStyle name="Normal 2 3 2 23 4 3" xfId="26557" xr:uid="{00000000-0005-0000-0000-0000BD670000}"/>
    <cellStyle name="Normal 2 3 2 23 4 4" xfId="26558" xr:uid="{00000000-0005-0000-0000-0000BE670000}"/>
    <cellStyle name="Normal 2 3 2 23 4 5" xfId="26559" xr:uid="{00000000-0005-0000-0000-0000BF670000}"/>
    <cellStyle name="Normal 2 3 2 23 4 6" xfId="26560" xr:uid="{00000000-0005-0000-0000-0000C0670000}"/>
    <cellStyle name="Normal 2 3 2 23 4 7" xfId="26561" xr:uid="{00000000-0005-0000-0000-0000C1670000}"/>
    <cellStyle name="Normal 2 3 2 23 4 8" xfId="26562" xr:uid="{00000000-0005-0000-0000-0000C2670000}"/>
    <cellStyle name="Normal 2 3 2 23 4 9" xfId="26563" xr:uid="{00000000-0005-0000-0000-0000C3670000}"/>
    <cellStyle name="Normal 2 3 2 23 5" xfId="26564" xr:uid="{00000000-0005-0000-0000-0000C4670000}"/>
    <cellStyle name="Normal 2 3 2 23 5 10" xfId="26565" xr:uid="{00000000-0005-0000-0000-0000C5670000}"/>
    <cellStyle name="Normal 2 3 2 23 5 2" xfId="26566" xr:uid="{00000000-0005-0000-0000-0000C6670000}"/>
    <cellStyle name="Normal 2 3 2 23 5 3" xfId="26567" xr:uid="{00000000-0005-0000-0000-0000C7670000}"/>
    <cellStyle name="Normal 2 3 2 23 5 4" xfId="26568" xr:uid="{00000000-0005-0000-0000-0000C8670000}"/>
    <cellStyle name="Normal 2 3 2 23 5 5" xfId="26569" xr:uid="{00000000-0005-0000-0000-0000C9670000}"/>
    <cellStyle name="Normal 2 3 2 23 5 6" xfId="26570" xr:uid="{00000000-0005-0000-0000-0000CA670000}"/>
    <cellStyle name="Normal 2 3 2 23 5 7" xfId="26571" xr:uid="{00000000-0005-0000-0000-0000CB670000}"/>
    <cellStyle name="Normal 2 3 2 23 5 8" xfId="26572" xr:uid="{00000000-0005-0000-0000-0000CC670000}"/>
    <cellStyle name="Normal 2 3 2 23 5 9" xfId="26573" xr:uid="{00000000-0005-0000-0000-0000CD670000}"/>
    <cellStyle name="Normal 2 3 2 23 6" xfId="26574" xr:uid="{00000000-0005-0000-0000-0000CE670000}"/>
    <cellStyle name="Normal 2 3 2 23 7" xfId="26575" xr:uid="{00000000-0005-0000-0000-0000CF670000}"/>
    <cellStyle name="Normal 2 3 2 23 8" xfId="26576" xr:uid="{00000000-0005-0000-0000-0000D0670000}"/>
    <cellStyle name="Normal 2 3 2 23 9" xfId="26577" xr:uid="{00000000-0005-0000-0000-0000D1670000}"/>
    <cellStyle name="Normal 2 3 2 24" xfId="26578" xr:uid="{00000000-0005-0000-0000-0000D2670000}"/>
    <cellStyle name="Normal 2 3 2 24 10" xfId="26579" xr:uid="{00000000-0005-0000-0000-0000D3670000}"/>
    <cellStyle name="Normal 2 3 2 24 11" xfId="26580" xr:uid="{00000000-0005-0000-0000-0000D4670000}"/>
    <cellStyle name="Normal 2 3 2 24 12" xfId="26581" xr:uid="{00000000-0005-0000-0000-0000D5670000}"/>
    <cellStyle name="Normal 2 3 2 24 13" xfId="26582" xr:uid="{00000000-0005-0000-0000-0000D6670000}"/>
    <cellStyle name="Normal 2 3 2 24 14" xfId="26583" xr:uid="{00000000-0005-0000-0000-0000D7670000}"/>
    <cellStyle name="Normal 2 3 2 24 2" xfId="26584" xr:uid="{00000000-0005-0000-0000-0000D8670000}"/>
    <cellStyle name="Normal 2 3 2 24 2 10" xfId="26585" xr:uid="{00000000-0005-0000-0000-0000D9670000}"/>
    <cellStyle name="Normal 2 3 2 24 2 2" xfId="26586" xr:uid="{00000000-0005-0000-0000-0000DA670000}"/>
    <cellStyle name="Normal 2 3 2 24 2 3" xfId="26587" xr:uid="{00000000-0005-0000-0000-0000DB670000}"/>
    <cellStyle name="Normal 2 3 2 24 2 4" xfId="26588" xr:uid="{00000000-0005-0000-0000-0000DC670000}"/>
    <cellStyle name="Normal 2 3 2 24 2 5" xfId="26589" xr:uid="{00000000-0005-0000-0000-0000DD670000}"/>
    <cellStyle name="Normal 2 3 2 24 2 6" xfId="26590" xr:uid="{00000000-0005-0000-0000-0000DE670000}"/>
    <cellStyle name="Normal 2 3 2 24 2 7" xfId="26591" xr:uid="{00000000-0005-0000-0000-0000DF670000}"/>
    <cellStyle name="Normal 2 3 2 24 2 8" xfId="26592" xr:uid="{00000000-0005-0000-0000-0000E0670000}"/>
    <cellStyle name="Normal 2 3 2 24 2 9" xfId="26593" xr:uid="{00000000-0005-0000-0000-0000E1670000}"/>
    <cellStyle name="Normal 2 3 2 24 3" xfId="26594" xr:uid="{00000000-0005-0000-0000-0000E2670000}"/>
    <cellStyle name="Normal 2 3 2 24 3 10" xfId="26595" xr:uid="{00000000-0005-0000-0000-0000E3670000}"/>
    <cellStyle name="Normal 2 3 2 24 3 2" xfId="26596" xr:uid="{00000000-0005-0000-0000-0000E4670000}"/>
    <cellStyle name="Normal 2 3 2 24 3 3" xfId="26597" xr:uid="{00000000-0005-0000-0000-0000E5670000}"/>
    <cellStyle name="Normal 2 3 2 24 3 4" xfId="26598" xr:uid="{00000000-0005-0000-0000-0000E6670000}"/>
    <cellStyle name="Normal 2 3 2 24 3 5" xfId="26599" xr:uid="{00000000-0005-0000-0000-0000E7670000}"/>
    <cellStyle name="Normal 2 3 2 24 3 6" xfId="26600" xr:uid="{00000000-0005-0000-0000-0000E8670000}"/>
    <cellStyle name="Normal 2 3 2 24 3 7" xfId="26601" xr:uid="{00000000-0005-0000-0000-0000E9670000}"/>
    <cellStyle name="Normal 2 3 2 24 3 8" xfId="26602" xr:uid="{00000000-0005-0000-0000-0000EA670000}"/>
    <cellStyle name="Normal 2 3 2 24 3 9" xfId="26603" xr:uid="{00000000-0005-0000-0000-0000EB670000}"/>
    <cellStyle name="Normal 2 3 2 24 4" xfId="26604" xr:uid="{00000000-0005-0000-0000-0000EC670000}"/>
    <cellStyle name="Normal 2 3 2 24 4 10" xfId="26605" xr:uid="{00000000-0005-0000-0000-0000ED670000}"/>
    <cellStyle name="Normal 2 3 2 24 4 2" xfId="26606" xr:uid="{00000000-0005-0000-0000-0000EE670000}"/>
    <cellStyle name="Normal 2 3 2 24 4 3" xfId="26607" xr:uid="{00000000-0005-0000-0000-0000EF670000}"/>
    <cellStyle name="Normal 2 3 2 24 4 4" xfId="26608" xr:uid="{00000000-0005-0000-0000-0000F0670000}"/>
    <cellStyle name="Normal 2 3 2 24 4 5" xfId="26609" xr:uid="{00000000-0005-0000-0000-0000F1670000}"/>
    <cellStyle name="Normal 2 3 2 24 4 6" xfId="26610" xr:uid="{00000000-0005-0000-0000-0000F2670000}"/>
    <cellStyle name="Normal 2 3 2 24 4 7" xfId="26611" xr:uid="{00000000-0005-0000-0000-0000F3670000}"/>
    <cellStyle name="Normal 2 3 2 24 4 8" xfId="26612" xr:uid="{00000000-0005-0000-0000-0000F4670000}"/>
    <cellStyle name="Normal 2 3 2 24 4 9" xfId="26613" xr:uid="{00000000-0005-0000-0000-0000F5670000}"/>
    <cellStyle name="Normal 2 3 2 24 5" xfId="26614" xr:uid="{00000000-0005-0000-0000-0000F6670000}"/>
    <cellStyle name="Normal 2 3 2 24 5 10" xfId="26615" xr:uid="{00000000-0005-0000-0000-0000F7670000}"/>
    <cellStyle name="Normal 2 3 2 24 5 2" xfId="26616" xr:uid="{00000000-0005-0000-0000-0000F8670000}"/>
    <cellStyle name="Normal 2 3 2 24 5 3" xfId="26617" xr:uid="{00000000-0005-0000-0000-0000F9670000}"/>
    <cellStyle name="Normal 2 3 2 24 5 4" xfId="26618" xr:uid="{00000000-0005-0000-0000-0000FA670000}"/>
    <cellStyle name="Normal 2 3 2 24 5 5" xfId="26619" xr:uid="{00000000-0005-0000-0000-0000FB670000}"/>
    <cellStyle name="Normal 2 3 2 24 5 6" xfId="26620" xr:uid="{00000000-0005-0000-0000-0000FC670000}"/>
    <cellStyle name="Normal 2 3 2 24 5 7" xfId="26621" xr:uid="{00000000-0005-0000-0000-0000FD670000}"/>
    <cellStyle name="Normal 2 3 2 24 5 8" xfId="26622" xr:uid="{00000000-0005-0000-0000-0000FE670000}"/>
    <cellStyle name="Normal 2 3 2 24 5 9" xfId="26623" xr:uid="{00000000-0005-0000-0000-0000FF670000}"/>
    <cellStyle name="Normal 2 3 2 24 6" xfId="26624" xr:uid="{00000000-0005-0000-0000-000000680000}"/>
    <cellStyle name="Normal 2 3 2 24 7" xfId="26625" xr:uid="{00000000-0005-0000-0000-000001680000}"/>
    <cellStyle name="Normal 2 3 2 24 8" xfId="26626" xr:uid="{00000000-0005-0000-0000-000002680000}"/>
    <cellStyle name="Normal 2 3 2 24 9" xfId="26627" xr:uid="{00000000-0005-0000-0000-000003680000}"/>
    <cellStyle name="Normal 2 3 2 25" xfId="26628" xr:uid="{00000000-0005-0000-0000-000004680000}"/>
    <cellStyle name="Normal 2 3 2 25 10" xfId="26629" xr:uid="{00000000-0005-0000-0000-000005680000}"/>
    <cellStyle name="Normal 2 3 2 25 11" xfId="26630" xr:uid="{00000000-0005-0000-0000-000006680000}"/>
    <cellStyle name="Normal 2 3 2 25 12" xfId="26631" xr:uid="{00000000-0005-0000-0000-000007680000}"/>
    <cellStyle name="Normal 2 3 2 25 13" xfId="26632" xr:uid="{00000000-0005-0000-0000-000008680000}"/>
    <cellStyle name="Normal 2 3 2 25 14" xfId="26633" xr:uid="{00000000-0005-0000-0000-000009680000}"/>
    <cellStyle name="Normal 2 3 2 25 2" xfId="26634" xr:uid="{00000000-0005-0000-0000-00000A680000}"/>
    <cellStyle name="Normal 2 3 2 25 2 10" xfId="26635" xr:uid="{00000000-0005-0000-0000-00000B680000}"/>
    <cellStyle name="Normal 2 3 2 25 2 2" xfId="26636" xr:uid="{00000000-0005-0000-0000-00000C680000}"/>
    <cellStyle name="Normal 2 3 2 25 2 3" xfId="26637" xr:uid="{00000000-0005-0000-0000-00000D680000}"/>
    <cellStyle name="Normal 2 3 2 25 2 4" xfId="26638" xr:uid="{00000000-0005-0000-0000-00000E680000}"/>
    <cellStyle name="Normal 2 3 2 25 2 5" xfId="26639" xr:uid="{00000000-0005-0000-0000-00000F680000}"/>
    <cellStyle name="Normal 2 3 2 25 2 6" xfId="26640" xr:uid="{00000000-0005-0000-0000-000010680000}"/>
    <cellStyle name="Normal 2 3 2 25 2 7" xfId="26641" xr:uid="{00000000-0005-0000-0000-000011680000}"/>
    <cellStyle name="Normal 2 3 2 25 2 8" xfId="26642" xr:uid="{00000000-0005-0000-0000-000012680000}"/>
    <cellStyle name="Normal 2 3 2 25 2 9" xfId="26643" xr:uid="{00000000-0005-0000-0000-000013680000}"/>
    <cellStyle name="Normal 2 3 2 25 3" xfId="26644" xr:uid="{00000000-0005-0000-0000-000014680000}"/>
    <cellStyle name="Normal 2 3 2 25 3 10" xfId="26645" xr:uid="{00000000-0005-0000-0000-000015680000}"/>
    <cellStyle name="Normal 2 3 2 25 3 2" xfId="26646" xr:uid="{00000000-0005-0000-0000-000016680000}"/>
    <cellStyle name="Normal 2 3 2 25 3 3" xfId="26647" xr:uid="{00000000-0005-0000-0000-000017680000}"/>
    <cellStyle name="Normal 2 3 2 25 3 4" xfId="26648" xr:uid="{00000000-0005-0000-0000-000018680000}"/>
    <cellStyle name="Normal 2 3 2 25 3 5" xfId="26649" xr:uid="{00000000-0005-0000-0000-000019680000}"/>
    <cellStyle name="Normal 2 3 2 25 3 6" xfId="26650" xr:uid="{00000000-0005-0000-0000-00001A680000}"/>
    <cellStyle name="Normal 2 3 2 25 3 7" xfId="26651" xr:uid="{00000000-0005-0000-0000-00001B680000}"/>
    <cellStyle name="Normal 2 3 2 25 3 8" xfId="26652" xr:uid="{00000000-0005-0000-0000-00001C680000}"/>
    <cellStyle name="Normal 2 3 2 25 3 9" xfId="26653" xr:uid="{00000000-0005-0000-0000-00001D680000}"/>
    <cellStyle name="Normal 2 3 2 25 4" xfId="26654" xr:uid="{00000000-0005-0000-0000-00001E680000}"/>
    <cellStyle name="Normal 2 3 2 25 4 10" xfId="26655" xr:uid="{00000000-0005-0000-0000-00001F680000}"/>
    <cellStyle name="Normal 2 3 2 25 4 2" xfId="26656" xr:uid="{00000000-0005-0000-0000-000020680000}"/>
    <cellStyle name="Normal 2 3 2 25 4 3" xfId="26657" xr:uid="{00000000-0005-0000-0000-000021680000}"/>
    <cellStyle name="Normal 2 3 2 25 4 4" xfId="26658" xr:uid="{00000000-0005-0000-0000-000022680000}"/>
    <cellStyle name="Normal 2 3 2 25 4 5" xfId="26659" xr:uid="{00000000-0005-0000-0000-000023680000}"/>
    <cellStyle name="Normal 2 3 2 25 4 6" xfId="26660" xr:uid="{00000000-0005-0000-0000-000024680000}"/>
    <cellStyle name="Normal 2 3 2 25 4 7" xfId="26661" xr:uid="{00000000-0005-0000-0000-000025680000}"/>
    <cellStyle name="Normal 2 3 2 25 4 8" xfId="26662" xr:uid="{00000000-0005-0000-0000-000026680000}"/>
    <cellStyle name="Normal 2 3 2 25 4 9" xfId="26663" xr:uid="{00000000-0005-0000-0000-000027680000}"/>
    <cellStyle name="Normal 2 3 2 25 5" xfId="26664" xr:uid="{00000000-0005-0000-0000-000028680000}"/>
    <cellStyle name="Normal 2 3 2 25 5 10" xfId="26665" xr:uid="{00000000-0005-0000-0000-000029680000}"/>
    <cellStyle name="Normal 2 3 2 25 5 2" xfId="26666" xr:uid="{00000000-0005-0000-0000-00002A680000}"/>
    <cellStyle name="Normal 2 3 2 25 5 3" xfId="26667" xr:uid="{00000000-0005-0000-0000-00002B680000}"/>
    <cellStyle name="Normal 2 3 2 25 5 4" xfId="26668" xr:uid="{00000000-0005-0000-0000-00002C680000}"/>
    <cellStyle name="Normal 2 3 2 25 5 5" xfId="26669" xr:uid="{00000000-0005-0000-0000-00002D680000}"/>
    <cellStyle name="Normal 2 3 2 25 5 6" xfId="26670" xr:uid="{00000000-0005-0000-0000-00002E680000}"/>
    <cellStyle name="Normal 2 3 2 25 5 7" xfId="26671" xr:uid="{00000000-0005-0000-0000-00002F680000}"/>
    <cellStyle name="Normal 2 3 2 25 5 8" xfId="26672" xr:uid="{00000000-0005-0000-0000-000030680000}"/>
    <cellStyle name="Normal 2 3 2 25 5 9" xfId="26673" xr:uid="{00000000-0005-0000-0000-000031680000}"/>
    <cellStyle name="Normal 2 3 2 25 6" xfId="26674" xr:uid="{00000000-0005-0000-0000-000032680000}"/>
    <cellStyle name="Normal 2 3 2 25 7" xfId="26675" xr:uid="{00000000-0005-0000-0000-000033680000}"/>
    <cellStyle name="Normal 2 3 2 25 8" xfId="26676" xr:uid="{00000000-0005-0000-0000-000034680000}"/>
    <cellStyle name="Normal 2 3 2 25 9" xfId="26677" xr:uid="{00000000-0005-0000-0000-000035680000}"/>
    <cellStyle name="Normal 2 3 2 26" xfId="26678" xr:uid="{00000000-0005-0000-0000-000036680000}"/>
    <cellStyle name="Normal 2 3 2 26 10" xfId="26679" xr:uid="{00000000-0005-0000-0000-000037680000}"/>
    <cellStyle name="Normal 2 3 2 26 11" xfId="26680" xr:uid="{00000000-0005-0000-0000-000038680000}"/>
    <cellStyle name="Normal 2 3 2 26 12" xfId="26681" xr:uid="{00000000-0005-0000-0000-000039680000}"/>
    <cellStyle name="Normal 2 3 2 26 13" xfId="26682" xr:uid="{00000000-0005-0000-0000-00003A680000}"/>
    <cellStyle name="Normal 2 3 2 26 14" xfId="26683" xr:uid="{00000000-0005-0000-0000-00003B680000}"/>
    <cellStyle name="Normal 2 3 2 26 2" xfId="26684" xr:uid="{00000000-0005-0000-0000-00003C680000}"/>
    <cellStyle name="Normal 2 3 2 26 2 10" xfId="26685" xr:uid="{00000000-0005-0000-0000-00003D680000}"/>
    <cellStyle name="Normal 2 3 2 26 2 2" xfId="26686" xr:uid="{00000000-0005-0000-0000-00003E680000}"/>
    <cellStyle name="Normal 2 3 2 26 2 3" xfId="26687" xr:uid="{00000000-0005-0000-0000-00003F680000}"/>
    <cellStyle name="Normal 2 3 2 26 2 4" xfId="26688" xr:uid="{00000000-0005-0000-0000-000040680000}"/>
    <cellStyle name="Normal 2 3 2 26 2 5" xfId="26689" xr:uid="{00000000-0005-0000-0000-000041680000}"/>
    <cellStyle name="Normal 2 3 2 26 2 6" xfId="26690" xr:uid="{00000000-0005-0000-0000-000042680000}"/>
    <cellStyle name="Normal 2 3 2 26 2 7" xfId="26691" xr:uid="{00000000-0005-0000-0000-000043680000}"/>
    <cellStyle name="Normal 2 3 2 26 2 8" xfId="26692" xr:uid="{00000000-0005-0000-0000-000044680000}"/>
    <cellStyle name="Normal 2 3 2 26 2 9" xfId="26693" xr:uid="{00000000-0005-0000-0000-000045680000}"/>
    <cellStyle name="Normal 2 3 2 26 3" xfId="26694" xr:uid="{00000000-0005-0000-0000-000046680000}"/>
    <cellStyle name="Normal 2 3 2 26 3 10" xfId="26695" xr:uid="{00000000-0005-0000-0000-000047680000}"/>
    <cellStyle name="Normal 2 3 2 26 3 2" xfId="26696" xr:uid="{00000000-0005-0000-0000-000048680000}"/>
    <cellStyle name="Normal 2 3 2 26 3 3" xfId="26697" xr:uid="{00000000-0005-0000-0000-000049680000}"/>
    <cellStyle name="Normal 2 3 2 26 3 4" xfId="26698" xr:uid="{00000000-0005-0000-0000-00004A680000}"/>
    <cellStyle name="Normal 2 3 2 26 3 5" xfId="26699" xr:uid="{00000000-0005-0000-0000-00004B680000}"/>
    <cellStyle name="Normal 2 3 2 26 3 6" xfId="26700" xr:uid="{00000000-0005-0000-0000-00004C680000}"/>
    <cellStyle name="Normal 2 3 2 26 3 7" xfId="26701" xr:uid="{00000000-0005-0000-0000-00004D680000}"/>
    <cellStyle name="Normal 2 3 2 26 3 8" xfId="26702" xr:uid="{00000000-0005-0000-0000-00004E680000}"/>
    <cellStyle name="Normal 2 3 2 26 3 9" xfId="26703" xr:uid="{00000000-0005-0000-0000-00004F680000}"/>
    <cellStyle name="Normal 2 3 2 26 4" xfId="26704" xr:uid="{00000000-0005-0000-0000-000050680000}"/>
    <cellStyle name="Normal 2 3 2 26 4 10" xfId="26705" xr:uid="{00000000-0005-0000-0000-000051680000}"/>
    <cellStyle name="Normal 2 3 2 26 4 2" xfId="26706" xr:uid="{00000000-0005-0000-0000-000052680000}"/>
    <cellStyle name="Normal 2 3 2 26 4 3" xfId="26707" xr:uid="{00000000-0005-0000-0000-000053680000}"/>
    <cellStyle name="Normal 2 3 2 26 4 4" xfId="26708" xr:uid="{00000000-0005-0000-0000-000054680000}"/>
    <cellStyle name="Normal 2 3 2 26 4 5" xfId="26709" xr:uid="{00000000-0005-0000-0000-000055680000}"/>
    <cellStyle name="Normal 2 3 2 26 4 6" xfId="26710" xr:uid="{00000000-0005-0000-0000-000056680000}"/>
    <cellStyle name="Normal 2 3 2 26 4 7" xfId="26711" xr:uid="{00000000-0005-0000-0000-000057680000}"/>
    <cellStyle name="Normal 2 3 2 26 4 8" xfId="26712" xr:uid="{00000000-0005-0000-0000-000058680000}"/>
    <cellStyle name="Normal 2 3 2 26 4 9" xfId="26713" xr:uid="{00000000-0005-0000-0000-000059680000}"/>
    <cellStyle name="Normal 2 3 2 26 5" xfId="26714" xr:uid="{00000000-0005-0000-0000-00005A680000}"/>
    <cellStyle name="Normal 2 3 2 26 5 10" xfId="26715" xr:uid="{00000000-0005-0000-0000-00005B680000}"/>
    <cellStyle name="Normal 2 3 2 26 5 2" xfId="26716" xr:uid="{00000000-0005-0000-0000-00005C680000}"/>
    <cellStyle name="Normal 2 3 2 26 5 3" xfId="26717" xr:uid="{00000000-0005-0000-0000-00005D680000}"/>
    <cellStyle name="Normal 2 3 2 26 5 4" xfId="26718" xr:uid="{00000000-0005-0000-0000-00005E680000}"/>
    <cellStyle name="Normal 2 3 2 26 5 5" xfId="26719" xr:uid="{00000000-0005-0000-0000-00005F680000}"/>
    <cellStyle name="Normal 2 3 2 26 5 6" xfId="26720" xr:uid="{00000000-0005-0000-0000-000060680000}"/>
    <cellStyle name="Normal 2 3 2 26 5 7" xfId="26721" xr:uid="{00000000-0005-0000-0000-000061680000}"/>
    <cellStyle name="Normal 2 3 2 26 5 8" xfId="26722" xr:uid="{00000000-0005-0000-0000-000062680000}"/>
    <cellStyle name="Normal 2 3 2 26 5 9" xfId="26723" xr:uid="{00000000-0005-0000-0000-000063680000}"/>
    <cellStyle name="Normal 2 3 2 26 6" xfId="26724" xr:uid="{00000000-0005-0000-0000-000064680000}"/>
    <cellStyle name="Normal 2 3 2 26 7" xfId="26725" xr:uid="{00000000-0005-0000-0000-000065680000}"/>
    <cellStyle name="Normal 2 3 2 26 8" xfId="26726" xr:uid="{00000000-0005-0000-0000-000066680000}"/>
    <cellStyle name="Normal 2 3 2 26 9" xfId="26727" xr:uid="{00000000-0005-0000-0000-000067680000}"/>
    <cellStyle name="Normal 2 3 2 27" xfId="26728" xr:uid="{00000000-0005-0000-0000-000068680000}"/>
    <cellStyle name="Normal 2 3 2 27 10" xfId="26729" xr:uid="{00000000-0005-0000-0000-000069680000}"/>
    <cellStyle name="Normal 2 3 2 27 11" xfId="26730" xr:uid="{00000000-0005-0000-0000-00006A680000}"/>
    <cellStyle name="Normal 2 3 2 27 12" xfId="26731" xr:uid="{00000000-0005-0000-0000-00006B680000}"/>
    <cellStyle name="Normal 2 3 2 27 13" xfId="26732" xr:uid="{00000000-0005-0000-0000-00006C680000}"/>
    <cellStyle name="Normal 2 3 2 27 14" xfId="26733" xr:uid="{00000000-0005-0000-0000-00006D680000}"/>
    <cellStyle name="Normal 2 3 2 27 2" xfId="26734" xr:uid="{00000000-0005-0000-0000-00006E680000}"/>
    <cellStyle name="Normal 2 3 2 27 2 10" xfId="26735" xr:uid="{00000000-0005-0000-0000-00006F680000}"/>
    <cellStyle name="Normal 2 3 2 27 2 2" xfId="26736" xr:uid="{00000000-0005-0000-0000-000070680000}"/>
    <cellStyle name="Normal 2 3 2 27 2 3" xfId="26737" xr:uid="{00000000-0005-0000-0000-000071680000}"/>
    <cellStyle name="Normal 2 3 2 27 2 4" xfId="26738" xr:uid="{00000000-0005-0000-0000-000072680000}"/>
    <cellStyle name="Normal 2 3 2 27 2 5" xfId="26739" xr:uid="{00000000-0005-0000-0000-000073680000}"/>
    <cellStyle name="Normal 2 3 2 27 2 6" xfId="26740" xr:uid="{00000000-0005-0000-0000-000074680000}"/>
    <cellStyle name="Normal 2 3 2 27 2 7" xfId="26741" xr:uid="{00000000-0005-0000-0000-000075680000}"/>
    <cellStyle name="Normal 2 3 2 27 2 8" xfId="26742" xr:uid="{00000000-0005-0000-0000-000076680000}"/>
    <cellStyle name="Normal 2 3 2 27 2 9" xfId="26743" xr:uid="{00000000-0005-0000-0000-000077680000}"/>
    <cellStyle name="Normal 2 3 2 27 3" xfId="26744" xr:uid="{00000000-0005-0000-0000-000078680000}"/>
    <cellStyle name="Normal 2 3 2 27 3 10" xfId="26745" xr:uid="{00000000-0005-0000-0000-000079680000}"/>
    <cellStyle name="Normal 2 3 2 27 3 2" xfId="26746" xr:uid="{00000000-0005-0000-0000-00007A680000}"/>
    <cellStyle name="Normal 2 3 2 27 3 3" xfId="26747" xr:uid="{00000000-0005-0000-0000-00007B680000}"/>
    <cellStyle name="Normal 2 3 2 27 3 4" xfId="26748" xr:uid="{00000000-0005-0000-0000-00007C680000}"/>
    <cellStyle name="Normal 2 3 2 27 3 5" xfId="26749" xr:uid="{00000000-0005-0000-0000-00007D680000}"/>
    <cellStyle name="Normal 2 3 2 27 3 6" xfId="26750" xr:uid="{00000000-0005-0000-0000-00007E680000}"/>
    <cellStyle name="Normal 2 3 2 27 3 7" xfId="26751" xr:uid="{00000000-0005-0000-0000-00007F680000}"/>
    <cellStyle name="Normal 2 3 2 27 3 8" xfId="26752" xr:uid="{00000000-0005-0000-0000-000080680000}"/>
    <cellStyle name="Normal 2 3 2 27 3 9" xfId="26753" xr:uid="{00000000-0005-0000-0000-000081680000}"/>
    <cellStyle name="Normal 2 3 2 27 4" xfId="26754" xr:uid="{00000000-0005-0000-0000-000082680000}"/>
    <cellStyle name="Normal 2 3 2 27 4 10" xfId="26755" xr:uid="{00000000-0005-0000-0000-000083680000}"/>
    <cellStyle name="Normal 2 3 2 27 4 2" xfId="26756" xr:uid="{00000000-0005-0000-0000-000084680000}"/>
    <cellStyle name="Normal 2 3 2 27 4 3" xfId="26757" xr:uid="{00000000-0005-0000-0000-000085680000}"/>
    <cellStyle name="Normal 2 3 2 27 4 4" xfId="26758" xr:uid="{00000000-0005-0000-0000-000086680000}"/>
    <cellStyle name="Normal 2 3 2 27 4 5" xfId="26759" xr:uid="{00000000-0005-0000-0000-000087680000}"/>
    <cellStyle name="Normal 2 3 2 27 4 6" xfId="26760" xr:uid="{00000000-0005-0000-0000-000088680000}"/>
    <cellStyle name="Normal 2 3 2 27 4 7" xfId="26761" xr:uid="{00000000-0005-0000-0000-000089680000}"/>
    <cellStyle name="Normal 2 3 2 27 4 8" xfId="26762" xr:uid="{00000000-0005-0000-0000-00008A680000}"/>
    <cellStyle name="Normal 2 3 2 27 4 9" xfId="26763" xr:uid="{00000000-0005-0000-0000-00008B680000}"/>
    <cellStyle name="Normal 2 3 2 27 5" xfId="26764" xr:uid="{00000000-0005-0000-0000-00008C680000}"/>
    <cellStyle name="Normal 2 3 2 27 5 10" xfId="26765" xr:uid="{00000000-0005-0000-0000-00008D680000}"/>
    <cellStyle name="Normal 2 3 2 27 5 2" xfId="26766" xr:uid="{00000000-0005-0000-0000-00008E680000}"/>
    <cellStyle name="Normal 2 3 2 27 5 3" xfId="26767" xr:uid="{00000000-0005-0000-0000-00008F680000}"/>
    <cellStyle name="Normal 2 3 2 27 5 4" xfId="26768" xr:uid="{00000000-0005-0000-0000-000090680000}"/>
    <cellStyle name="Normal 2 3 2 27 5 5" xfId="26769" xr:uid="{00000000-0005-0000-0000-000091680000}"/>
    <cellStyle name="Normal 2 3 2 27 5 6" xfId="26770" xr:uid="{00000000-0005-0000-0000-000092680000}"/>
    <cellStyle name="Normal 2 3 2 27 5 7" xfId="26771" xr:uid="{00000000-0005-0000-0000-000093680000}"/>
    <cellStyle name="Normal 2 3 2 27 5 8" xfId="26772" xr:uid="{00000000-0005-0000-0000-000094680000}"/>
    <cellStyle name="Normal 2 3 2 27 5 9" xfId="26773" xr:uid="{00000000-0005-0000-0000-000095680000}"/>
    <cellStyle name="Normal 2 3 2 27 6" xfId="26774" xr:uid="{00000000-0005-0000-0000-000096680000}"/>
    <cellStyle name="Normal 2 3 2 27 7" xfId="26775" xr:uid="{00000000-0005-0000-0000-000097680000}"/>
    <cellStyle name="Normal 2 3 2 27 8" xfId="26776" xr:uid="{00000000-0005-0000-0000-000098680000}"/>
    <cellStyle name="Normal 2 3 2 27 9" xfId="26777" xr:uid="{00000000-0005-0000-0000-000099680000}"/>
    <cellStyle name="Normal 2 3 2 28" xfId="26778" xr:uid="{00000000-0005-0000-0000-00009A680000}"/>
    <cellStyle name="Normal 2 3 2 28 10" xfId="26779" xr:uid="{00000000-0005-0000-0000-00009B680000}"/>
    <cellStyle name="Normal 2 3 2 28 11" xfId="26780" xr:uid="{00000000-0005-0000-0000-00009C680000}"/>
    <cellStyle name="Normal 2 3 2 28 12" xfId="26781" xr:uid="{00000000-0005-0000-0000-00009D680000}"/>
    <cellStyle name="Normal 2 3 2 28 13" xfId="26782" xr:uid="{00000000-0005-0000-0000-00009E680000}"/>
    <cellStyle name="Normal 2 3 2 28 14" xfId="26783" xr:uid="{00000000-0005-0000-0000-00009F680000}"/>
    <cellStyle name="Normal 2 3 2 28 2" xfId="26784" xr:uid="{00000000-0005-0000-0000-0000A0680000}"/>
    <cellStyle name="Normal 2 3 2 28 2 10" xfId="26785" xr:uid="{00000000-0005-0000-0000-0000A1680000}"/>
    <cellStyle name="Normal 2 3 2 28 2 2" xfId="26786" xr:uid="{00000000-0005-0000-0000-0000A2680000}"/>
    <cellStyle name="Normal 2 3 2 28 2 3" xfId="26787" xr:uid="{00000000-0005-0000-0000-0000A3680000}"/>
    <cellStyle name="Normal 2 3 2 28 2 4" xfId="26788" xr:uid="{00000000-0005-0000-0000-0000A4680000}"/>
    <cellStyle name="Normal 2 3 2 28 2 5" xfId="26789" xr:uid="{00000000-0005-0000-0000-0000A5680000}"/>
    <cellStyle name="Normal 2 3 2 28 2 6" xfId="26790" xr:uid="{00000000-0005-0000-0000-0000A6680000}"/>
    <cellStyle name="Normal 2 3 2 28 2 7" xfId="26791" xr:uid="{00000000-0005-0000-0000-0000A7680000}"/>
    <cellStyle name="Normal 2 3 2 28 2 8" xfId="26792" xr:uid="{00000000-0005-0000-0000-0000A8680000}"/>
    <cellStyle name="Normal 2 3 2 28 2 9" xfId="26793" xr:uid="{00000000-0005-0000-0000-0000A9680000}"/>
    <cellStyle name="Normal 2 3 2 28 3" xfId="26794" xr:uid="{00000000-0005-0000-0000-0000AA680000}"/>
    <cellStyle name="Normal 2 3 2 28 3 10" xfId="26795" xr:uid="{00000000-0005-0000-0000-0000AB680000}"/>
    <cellStyle name="Normal 2 3 2 28 3 2" xfId="26796" xr:uid="{00000000-0005-0000-0000-0000AC680000}"/>
    <cellStyle name="Normal 2 3 2 28 3 3" xfId="26797" xr:uid="{00000000-0005-0000-0000-0000AD680000}"/>
    <cellStyle name="Normal 2 3 2 28 3 4" xfId="26798" xr:uid="{00000000-0005-0000-0000-0000AE680000}"/>
    <cellStyle name="Normal 2 3 2 28 3 5" xfId="26799" xr:uid="{00000000-0005-0000-0000-0000AF680000}"/>
    <cellStyle name="Normal 2 3 2 28 3 6" xfId="26800" xr:uid="{00000000-0005-0000-0000-0000B0680000}"/>
    <cellStyle name="Normal 2 3 2 28 3 7" xfId="26801" xr:uid="{00000000-0005-0000-0000-0000B1680000}"/>
    <cellStyle name="Normal 2 3 2 28 3 8" xfId="26802" xr:uid="{00000000-0005-0000-0000-0000B2680000}"/>
    <cellStyle name="Normal 2 3 2 28 3 9" xfId="26803" xr:uid="{00000000-0005-0000-0000-0000B3680000}"/>
    <cellStyle name="Normal 2 3 2 28 4" xfId="26804" xr:uid="{00000000-0005-0000-0000-0000B4680000}"/>
    <cellStyle name="Normal 2 3 2 28 4 10" xfId="26805" xr:uid="{00000000-0005-0000-0000-0000B5680000}"/>
    <cellStyle name="Normal 2 3 2 28 4 2" xfId="26806" xr:uid="{00000000-0005-0000-0000-0000B6680000}"/>
    <cellStyle name="Normal 2 3 2 28 4 3" xfId="26807" xr:uid="{00000000-0005-0000-0000-0000B7680000}"/>
    <cellStyle name="Normal 2 3 2 28 4 4" xfId="26808" xr:uid="{00000000-0005-0000-0000-0000B8680000}"/>
    <cellStyle name="Normal 2 3 2 28 4 5" xfId="26809" xr:uid="{00000000-0005-0000-0000-0000B9680000}"/>
    <cellStyle name="Normal 2 3 2 28 4 6" xfId="26810" xr:uid="{00000000-0005-0000-0000-0000BA680000}"/>
    <cellStyle name="Normal 2 3 2 28 4 7" xfId="26811" xr:uid="{00000000-0005-0000-0000-0000BB680000}"/>
    <cellStyle name="Normal 2 3 2 28 4 8" xfId="26812" xr:uid="{00000000-0005-0000-0000-0000BC680000}"/>
    <cellStyle name="Normal 2 3 2 28 4 9" xfId="26813" xr:uid="{00000000-0005-0000-0000-0000BD680000}"/>
    <cellStyle name="Normal 2 3 2 28 5" xfId="26814" xr:uid="{00000000-0005-0000-0000-0000BE680000}"/>
    <cellStyle name="Normal 2 3 2 28 5 10" xfId="26815" xr:uid="{00000000-0005-0000-0000-0000BF680000}"/>
    <cellStyle name="Normal 2 3 2 28 5 2" xfId="26816" xr:uid="{00000000-0005-0000-0000-0000C0680000}"/>
    <cellStyle name="Normal 2 3 2 28 5 3" xfId="26817" xr:uid="{00000000-0005-0000-0000-0000C1680000}"/>
    <cellStyle name="Normal 2 3 2 28 5 4" xfId="26818" xr:uid="{00000000-0005-0000-0000-0000C2680000}"/>
    <cellStyle name="Normal 2 3 2 28 5 5" xfId="26819" xr:uid="{00000000-0005-0000-0000-0000C3680000}"/>
    <cellStyle name="Normal 2 3 2 28 5 6" xfId="26820" xr:uid="{00000000-0005-0000-0000-0000C4680000}"/>
    <cellStyle name="Normal 2 3 2 28 5 7" xfId="26821" xr:uid="{00000000-0005-0000-0000-0000C5680000}"/>
    <cellStyle name="Normal 2 3 2 28 5 8" xfId="26822" xr:uid="{00000000-0005-0000-0000-0000C6680000}"/>
    <cellStyle name="Normal 2 3 2 28 5 9" xfId="26823" xr:uid="{00000000-0005-0000-0000-0000C7680000}"/>
    <cellStyle name="Normal 2 3 2 28 6" xfId="26824" xr:uid="{00000000-0005-0000-0000-0000C8680000}"/>
    <cellStyle name="Normal 2 3 2 28 7" xfId="26825" xr:uid="{00000000-0005-0000-0000-0000C9680000}"/>
    <cellStyle name="Normal 2 3 2 28 8" xfId="26826" xr:uid="{00000000-0005-0000-0000-0000CA680000}"/>
    <cellStyle name="Normal 2 3 2 28 9" xfId="26827" xr:uid="{00000000-0005-0000-0000-0000CB680000}"/>
    <cellStyle name="Normal 2 3 2 29" xfId="26828" xr:uid="{00000000-0005-0000-0000-0000CC680000}"/>
    <cellStyle name="Normal 2 3 2 29 10" xfId="26829" xr:uid="{00000000-0005-0000-0000-0000CD680000}"/>
    <cellStyle name="Normal 2 3 2 29 11" xfId="26830" xr:uid="{00000000-0005-0000-0000-0000CE680000}"/>
    <cellStyle name="Normal 2 3 2 29 12" xfId="26831" xr:uid="{00000000-0005-0000-0000-0000CF680000}"/>
    <cellStyle name="Normal 2 3 2 29 13" xfId="26832" xr:uid="{00000000-0005-0000-0000-0000D0680000}"/>
    <cellStyle name="Normal 2 3 2 29 14" xfId="26833" xr:uid="{00000000-0005-0000-0000-0000D1680000}"/>
    <cellStyle name="Normal 2 3 2 29 2" xfId="26834" xr:uid="{00000000-0005-0000-0000-0000D2680000}"/>
    <cellStyle name="Normal 2 3 2 29 2 10" xfId="26835" xr:uid="{00000000-0005-0000-0000-0000D3680000}"/>
    <cellStyle name="Normal 2 3 2 29 2 2" xfId="26836" xr:uid="{00000000-0005-0000-0000-0000D4680000}"/>
    <cellStyle name="Normal 2 3 2 29 2 3" xfId="26837" xr:uid="{00000000-0005-0000-0000-0000D5680000}"/>
    <cellStyle name="Normal 2 3 2 29 2 4" xfId="26838" xr:uid="{00000000-0005-0000-0000-0000D6680000}"/>
    <cellStyle name="Normal 2 3 2 29 2 5" xfId="26839" xr:uid="{00000000-0005-0000-0000-0000D7680000}"/>
    <cellStyle name="Normal 2 3 2 29 2 6" xfId="26840" xr:uid="{00000000-0005-0000-0000-0000D8680000}"/>
    <cellStyle name="Normal 2 3 2 29 2 7" xfId="26841" xr:uid="{00000000-0005-0000-0000-0000D9680000}"/>
    <cellStyle name="Normal 2 3 2 29 2 8" xfId="26842" xr:uid="{00000000-0005-0000-0000-0000DA680000}"/>
    <cellStyle name="Normal 2 3 2 29 2 9" xfId="26843" xr:uid="{00000000-0005-0000-0000-0000DB680000}"/>
    <cellStyle name="Normal 2 3 2 29 3" xfId="26844" xr:uid="{00000000-0005-0000-0000-0000DC680000}"/>
    <cellStyle name="Normal 2 3 2 29 3 10" xfId="26845" xr:uid="{00000000-0005-0000-0000-0000DD680000}"/>
    <cellStyle name="Normal 2 3 2 29 3 2" xfId="26846" xr:uid="{00000000-0005-0000-0000-0000DE680000}"/>
    <cellStyle name="Normal 2 3 2 29 3 3" xfId="26847" xr:uid="{00000000-0005-0000-0000-0000DF680000}"/>
    <cellStyle name="Normal 2 3 2 29 3 4" xfId="26848" xr:uid="{00000000-0005-0000-0000-0000E0680000}"/>
    <cellStyle name="Normal 2 3 2 29 3 5" xfId="26849" xr:uid="{00000000-0005-0000-0000-0000E1680000}"/>
    <cellStyle name="Normal 2 3 2 29 3 6" xfId="26850" xr:uid="{00000000-0005-0000-0000-0000E2680000}"/>
    <cellStyle name="Normal 2 3 2 29 3 7" xfId="26851" xr:uid="{00000000-0005-0000-0000-0000E3680000}"/>
    <cellStyle name="Normal 2 3 2 29 3 8" xfId="26852" xr:uid="{00000000-0005-0000-0000-0000E4680000}"/>
    <cellStyle name="Normal 2 3 2 29 3 9" xfId="26853" xr:uid="{00000000-0005-0000-0000-0000E5680000}"/>
    <cellStyle name="Normal 2 3 2 29 4" xfId="26854" xr:uid="{00000000-0005-0000-0000-0000E6680000}"/>
    <cellStyle name="Normal 2 3 2 29 4 10" xfId="26855" xr:uid="{00000000-0005-0000-0000-0000E7680000}"/>
    <cellStyle name="Normal 2 3 2 29 4 2" xfId="26856" xr:uid="{00000000-0005-0000-0000-0000E8680000}"/>
    <cellStyle name="Normal 2 3 2 29 4 3" xfId="26857" xr:uid="{00000000-0005-0000-0000-0000E9680000}"/>
    <cellStyle name="Normal 2 3 2 29 4 4" xfId="26858" xr:uid="{00000000-0005-0000-0000-0000EA680000}"/>
    <cellStyle name="Normal 2 3 2 29 4 5" xfId="26859" xr:uid="{00000000-0005-0000-0000-0000EB680000}"/>
    <cellStyle name="Normal 2 3 2 29 4 6" xfId="26860" xr:uid="{00000000-0005-0000-0000-0000EC680000}"/>
    <cellStyle name="Normal 2 3 2 29 4 7" xfId="26861" xr:uid="{00000000-0005-0000-0000-0000ED680000}"/>
    <cellStyle name="Normal 2 3 2 29 4 8" xfId="26862" xr:uid="{00000000-0005-0000-0000-0000EE680000}"/>
    <cellStyle name="Normal 2 3 2 29 4 9" xfId="26863" xr:uid="{00000000-0005-0000-0000-0000EF680000}"/>
    <cellStyle name="Normal 2 3 2 29 5" xfId="26864" xr:uid="{00000000-0005-0000-0000-0000F0680000}"/>
    <cellStyle name="Normal 2 3 2 29 5 10" xfId="26865" xr:uid="{00000000-0005-0000-0000-0000F1680000}"/>
    <cellStyle name="Normal 2 3 2 29 5 2" xfId="26866" xr:uid="{00000000-0005-0000-0000-0000F2680000}"/>
    <cellStyle name="Normal 2 3 2 29 5 3" xfId="26867" xr:uid="{00000000-0005-0000-0000-0000F3680000}"/>
    <cellStyle name="Normal 2 3 2 29 5 4" xfId="26868" xr:uid="{00000000-0005-0000-0000-0000F4680000}"/>
    <cellStyle name="Normal 2 3 2 29 5 5" xfId="26869" xr:uid="{00000000-0005-0000-0000-0000F5680000}"/>
    <cellStyle name="Normal 2 3 2 29 5 6" xfId="26870" xr:uid="{00000000-0005-0000-0000-0000F6680000}"/>
    <cellStyle name="Normal 2 3 2 29 5 7" xfId="26871" xr:uid="{00000000-0005-0000-0000-0000F7680000}"/>
    <cellStyle name="Normal 2 3 2 29 5 8" xfId="26872" xr:uid="{00000000-0005-0000-0000-0000F8680000}"/>
    <cellStyle name="Normal 2 3 2 29 5 9" xfId="26873" xr:uid="{00000000-0005-0000-0000-0000F9680000}"/>
    <cellStyle name="Normal 2 3 2 29 6" xfId="26874" xr:uid="{00000000-0005-0000-0000-0000FA680000}"/>
    <cellStyle name="Normal 2 3 2 29 7" xfId="26875" xr:uid="{00000000-0005-0000-0000-0000FB680000}"/>
    <cellStyle name="Normal 2 3 2 29 8" xfId="26876" xr:uid="{00000000-0005-0000-0000-0000FC680000}"/>
    <cellStyle name="Normal 2 3 2 29 9" xfId="26877" xr:uid="{00000000-0005-0000-0000-0000FD680000}"/>
    <cellStyle name="Normal 2 3 2 3" xfId="26878" xr:uid="{00000000-0005-0000-0000-0000FE680000}"/>
    <cellStyle name="Normal 2 3 2 3 10" xfId="26879" xr:uid="{00000000-0005-0000-0000-0000FF680000}"/>
    <cellStyle name="Normal 2 3 2 3 11" xfId="26880" xr:uid="{00000000-0005-0000-0000-000000690000}"/>
    <cellStyle name="Normal 2 3 2 3 12" xfId="26881" xr:uid="{00000000-0005-0000-0000-000001690000}"/>
    <cellStyle name="Normal 2 3 2 3 13" xfId="26882" xr:uid="{00000000-0005-0000-0000-000002690000}"/>
    <cellStyle name="Normal 2 3 2 3 14" xfId="26883" xr:uid="{00000000-0005-0000-0000-000003690000}"/>
    <cellStyle name="Normal 2 3 2 3 15" xfId="26884" xr:uid="{00000000-0005-0000-0000-000004690000}"/>
    <cellStyle name="Normal 2 3 2 3 16" xfId="26885" xr:uid="{00000000-0005-0000-0000-000005690000}"/>
    <cellStyle name="Normal 2 3 2 3 2" xfId="26886" xr:uid="{00000000-0005-0000-0000-000006690000}"/>
    <cellStyle name="Normal 2 3 2 3 2 10" xfId="26887" xr:uid="{00000000-0005-0000-0000-000007690000}"/>
    <cellStyle name="Normal 2 3 2 3 2 2" xfId="26888" xr:uid="{00000000-0005-0000-0000-000008690000}"/>
    <cellStyle name="Normal 2 3 2 3 2 3" xfId="26889" xr:uid="{00000000-0005-0000-0000-000009690000}"/>
    <cellStyle name="Normal 2 3 2 3 2 4" xfId="26890" xr:uid="{00000000-0005-0000-0000-00000A690000}"/>
    <cellStyle name="Normal 2 3 2 3 2 5" xfId="26891" xr:uid="{00000000-0005-0000-0000-00000B690000}"/>
    <cellStyle name="Normal 2 3 2 3 2 6" xfId="26892" xr:uid="{00000000-0005-0000-0000-00000C690000}"/>
    <cellStyle name="Normal 2 3 2 3 2 7" xfId="26893" xr:uid="{00000000-0005-0000-0000-00000D690000}"/>
    <cellStyle name="Normal 2 3 2 3 2 8" xfId="26894" xr:uid="{00000000-0005-0000-0000-00000E690000}"/>
    <cellStyle name="Normal 2 3 2 3 2 9" xfId="26895" xr:uid="{00000000-0005-0000-0000-00000F690000}"/>
    <cellStyle name="Normal 2 3 2 3 3" xfId="26896" xr:uid="{00000000-0005-0000-0000-000010690000}"/>
    <cellStyle name="Normal 2 3 2 3 3 10" xfId="26897" xr:uid="{00000000-0005-0000-0000-000011690000}"/>
    <cellStyle name="Normal 2 3 2 3 3 2" xfId="26898" xr:uid="{00000000-0005-0000-0000-000012690000}"/>
    <cellStyle name="Normal 2 3 2 3 3 3" xfId="26899" xr:uid="{00000000-0005-0000-0000-000013690000}"/>
    <cellStyle name="Normal 2 3 2 3 3 4" xfId="26900" xr:uid="{00000000-0005-0000-0000-000014690000}"/>
    <cellStyle name="Normal 2 3 2 3 3 5" xfId="26901" xr:uid="{00000000-0005-0000-0000-000015690000}"/>
    <cellStyle name="Normal 2 3 2 3 3 6" xfId="26902" xr:uid="{00000000-0005-0000-0000-000016690000}"/>
    <cellStyle name="Normal 2 3 2 3 3 7" xfId="26903" xr:uid="{00000000-0005-0000-0000-000017690000}"/>
    <cellStyle name="Normal 2 3 2 3 3 8" xfId="26904" xr:uid="{00000000-0005-0000-0000-000018690000}"/>
    <cellStyle name="Normal 2 3 2 3 3 9" xfId="26905" xr:uid="{00000000-0005-0000-0000-000019690000}"/>
    <cellStyle name="Normal 2 3 2 3 4" xfId="26906" xr:uid="{00000000-0005-0000-0000-00001A690000}"/>
    <cellStyle name="Normal 2 3 2 3 4 10" xfId="26907" xr:uid="{00000000-0005-0000-0000-00001B690000}"/>
    <cellStyle name="Normal 2 3 2 3 4 2" xfId="26908" xr:uid="{00000000-0005-0000-0000-00001C690000}"/>
    <cellStyle name="Normal 2 3 2 3 4 3" xfId="26909" xr:uid="{00000000-0005-0000-0000-00001D690000}"/>
    <cellStyle name="Normal 2 3 2 3 4 4" xfId="26910" xr:uid="{00000000-0005-0000-0000-00001E690000}"/>
    <cellStyle name="Normal 2 3 2 3 4 5" xfId="26911" xr:uid="{00000000-0005-0000-0000-00001F690000}"/>
    <cellStyle name="Normal 2 3 2 3 4 6" xfId="26912" xr:uid="{00000000-0005-0000-0000-000020690000}"/>
    <cellStyle name="Normal 2 3 2 3 4 7" xfId="26913" xr:uid="{00000000-0005-0000-0000-000021690000}"/>
    <cellStyle name="Normal 2 3 2 3 4 8" xfId="26914" xr:uid="{00000000-0005-0000-0000-000022690000}"/>
    <cellStyle name="Normal 2 3 2 3 4 9" xfId="26915" xr:uid="{00000000-0005-0000-0000-000023690000}"/>
    <cellStyle name="Normal 2 3 2 3 5" xfId="26916" xr:uid="{00000000-0005-0000-0000-000024690000}"/>
    <cellStyle name="Normal 2 3 2 3 5 10" xfId="26917" xr:uid="{00000000-0005-0000-0000-000025690000}"/>
    <cellStyle name="Normal 2 3 2 3 5 2" xfId="26918" xr:uid="{00000000-0005-0000-0000-000026690000}"/>
    <cellStyle name="Normal 2 3 2 3 5 3" xfId="26919" xr:uid="{00000000-0005-0000-0000-000027690000}"/>
    <cellStyle name="Normal 2 3 2 3 5 4" xfId="26920" xr:uid="{00000000-0005-0000-0000-000028690000}"/>
    <cellStyle name="Normal 2 3 2 3 5 5" xfId="26921" xr:uid="{00000000-0005-0000-0000-000029690000}"/>
    <cellStyle name="Normal 2 3 2 3 5 6" xfId="26922" xr:uid="{00000000-0005-0000-0000-00002A690000}"/>
    <cellStyle name="Normal 2 3 2 3 5 7" xfId="26923" xr:uid="{00000000-0005-0000-0000-00002B690000}"/>
    <cellStyle name="Normal 2 3 2 3 5 8" xfId="26924" xr:uid="{00000000-0005-0000-0000-00002C690000}"/>
    <cellStyle name="Normal 2 3 2 3 5 9" xfId="26925" xr:uid="{00000000-0005-0000-0000-00002D690000}"/>
    <cellStyle name="Normal 2 3 2 3 6" xfId="26926" xr:uid="{00000000-0005-0000-0000-00002E690000}"/>
    <cellStyle name="Normal 2 3 2 3 7" xfId="26927" xr:uid="{00000000-0005-0000-0000-00002F690000}"/>
    <cellStyle name="Normal 2 3 2 3 8" xfId="26928" xr:uid="{00000000-0005-0000-0000-000030690000}"/>
    <cellStyle name="Normal 2 3 2 3 9" xfId="26929" xr:uid="{00000000-0005-0000-0000-000031690000}"/>
    <cellStyle name="Normal 2 3 2 30" xfId="26930" xr:uid="{00000000-0005-0000-0000-000032690000}"/>
    <cellStyle name="Normal 2 3 2 30 10" xfId="26931" xr:uid="{00000000-0005-0000-0000-000033690000}"/>
    <cellStyle name="Normal 2 3 2 30 11" xfId="26932" xr:uid="{00000000-0005-0000-0000-000034690000}"/>
    <cellStyle name="Normal 2 3 2 30 12" xfId="26933" xr:uid="{00000000-0005-0000-0000-000035690000}"/>
    <cellStyle name="Normal 2 3 2 30 13" xfId="26934" xr:uid="{00000000-0005-0000-0000-000036690000}"/>
    <cellStyle name="Normal 2 3 2 30 14" xfId="26935" xr:uid="{00000000-0005-0000-0000-000037690000}"/>
    <cellStyle name="Normal 2 3 2 30 2" xfId="26936" xr:uid="{00000000-0005-0000-0000-000038690000}"/>
    <cellStyle name="Normal 2 3 2 30 2 10" xfId="26937" xr:uid="{00000000-0005-0000-0000-000039690000}"/>
    <cellStyle name="Normal 2 3 2 30 2 2" xfId="26938" xr:uid="{00000000-0005-0000-0000-00003A690000}"/>
    <cellStyle name="Normal 2 3 2 30 2 3" xfId="26939" xr:uid="{00000000-0005-0000-0000-00003B690000}"/>
    <cellStyle name="Normal 2 3 2 30 2 4" xfId="26940" xr:uid="{00000000-0005-0000-0000-00003C690000}"/>
    <cellStyle name="Normal 2 3 2 30 2 5" xfId="26941" xr:uid="{00000000-0005-0000-0000-00003D690000}"/>
    <cellStyle name="Normal 2 3 2 30 2 6" xfId="26942" xr:uid="{00000000-0005-0000-0000-00003E690000}"/>
    <cellStyle name="Normal 2 3 2 30 2 7" xfId="26943" xr:uid="{00000000-0005-0000-0000-00003F690000}"/>
    <cellStyle name="Normal 2 3 2 30 2 8" xfId="26944" xr:uid="{00000000-0005-0000-0000-000040690000}"/>
    <cellStyle name="Normal 2 3 2 30 2 9" xfId="26945" xr:uid="{00000000-0005-0000-0000-000041690000}"/>
    <cellStyle name="Normal 2 3 2 30 3" xfId="26946" xr:uid="{00000000-0005-0000-0000-000042690000}"/>
    <cellStyle name="Normal 2 3 2 30 3 10" xfId="26947" xr:uid="{00000000-0005-0000-0000-000043690000}"/>
    <cellStyle name="Normal 2 3 2 30 3 2" xfId="26948" xr:uid="{00000000-0005-0000-0000-000044690000}"/>
    <cellStyle name="Normal 2 3 2 30 3 3" xfId="26949" xr:uid="{00000000-0005-0000-0000-000045690000}"/>
    <cellStyle name="Normal 2 3 2 30 3 4" xfId="26950" xr:uid="{00000000-0005-0000-0000-000046690000}"/>
    <cellStyle name="Normal 2 3 2 30 3 5" xfId="26951" xr:uid="{00000000-0005-0000-0000-000047690000}"/>
    <cellStyle name="Normal 2 3 2 30 3 6" xfId="26952" xr:uid="{00000000-0005-0000-0000-000048690000}"/>
    <cellStyle name="Normal 2 3 2 30 3 7" xfId="26953" xr:uid="{00000000-0005-0000-0000-000049690000}"/>
    <cellStyle name="Normal 2 3 2 30 3 8" xfId="26954" xr:uid="{00000000-0005-0000-0000-00004A690000}"/>
    <cellStyle name="Normal 2 3 2 30 3 9" xfId="26955" xr:uid="{00000000-0005-0000-0000-00004B690000}"/>
    <cellStyle name="Normal 2 3 2 30 4" xfId="26956" xr:uid="{00000000-0005-0000-0000-00004C690000}"/>
    <cellStyle name="Normal 2 3 2 30 4 10" xfId="26957" xr:uid="{00000000-0005-0000-0000-00004D690000}"/>
    <cellStyle name="Normal 2 3 2 30 4 2" xfId="26958" xr:uid="{00000000-0005-0000-0000-00004E690000}"/>
    <cellStyle name="Normal 2 3 2 30 4 3" xfId="26959" xr:uid="{00000000-0005-0000-0000-00004F690000}"/>
    <cellStyle name="Normal 2 3 2 30 4 4" xfId="26960" xr:uid="{00000000-0005-0000-0000-000050690000}"/>
    <cellStyle name="Normal 2 3 2 30 4 5" xfId="26961" xr:uid="{00000000-0005-0000-0000-000051690000}"/>
    <cellStyle name="Normal 2 3 2 30 4 6" xfId="26962" xr:uid="{00000000-0005-0000-0000-000052690000}"/>
    <cellStyle name="Normal 2 3 2 30 4 7" xfId="26963" xr:uid="{00000000-0005-0000-0000-000053690000}"/>
    <cellStyle name="Normal 2 3 2 30 4 8" xfId="26964" xr:uid="{00000000-0005-0000-0000-000054690000}"/>
    <cellStyle name="Normal 2 3 2 30 4 9" xfId="26965" xr:uid="{00000000-0005-0000-0000-000055690000}"/>
    <cellStyle name="Normal 2 3 2 30 5" xfId="26966" xr:uid="{00000000-0005-0000-0000-000056690000}"/>
    <cellStyle name="Normal 2 3 2 30 5 10" xfId="26967" xr:uid="{00000000-0005-0000-0000-000057690000}"/>
    <cellStyle name="Normal 2 3 2 30 5 2" xfId="26968" xr:uid="{00000000-0005-0000-0000-000058690000}"/>
    <cellStyle name="Normal 2 3 2 30 5 3" xfId="26969" xr:uid="{00000000-0005-0000-0000-000059690000}"/>
    <cellStyle name="Normal 2 3 2 30 5 4" xfId="26970" xr:uid="{00000000-0005-0000-0000-00005A690000}"/>
    <cellStyle name="Normal 2 3 2 30 5 5" xfId="26971" xr:uid="{00000000-0005-0000-0000-00005B690000}"/>
    <cellStyle name="Normal 2 3 2 30 5 6" xfId="26972" xr:uid="{00000000-0005-0000-0000-00005C690000}"/>
    <cellStyle name="Normal 2 3 2 30 5 7" xfId="26973" xr:uid="{00000000-0005-0000-0000-00005D690000}"/>
    <cellStyle name="Normal 2 3 2 30 5 8" xfId="26974" xr:uid="{00000000-0005-0000-0000-00005E690000}"/>
    <cellStyle name="Normal 2 3 2 30 5 9" xfId="26975" xr:uid="{00000000-0005-0000-0000-00005F690000}"/>
    <cellStyle name="Normal 2 3 2 30 6" xfId="26976" xr:uid="{00000000-0005-0000-0000-000060690000}"/>
    <cellStyle name="Normal 2 3 2 30 7" xfId="26977" xr:uid="{00000000-0005-0000-0000-000061690000}"/>
    <cellStyle name="Normal 2 3 2 30 8" xfId="26978" xr:uid="{00000000-0005-0000-0000-000062690000}"/>
    <cellStyle name="Normal 2 3 2 30 9" xfId="26979" xr:uid="{00000000-0005-0000-0000-000063690000}"/>
    <cellStyle name="Normal 2 3 2 31" xfId="26980" xr:uid="{00000000-0005-0000-0000-000064690000}"/>
    <cellStyle name="Normal 2 3 2 31 10" xfId="26981" xr:uid="{00000000-0005-0000-0000-000065690000}"/>
    <cellStyle name="Normal 2 3 2 31 11" xfId="26982" xr:uid="{00000000-0005-0000-0000-000066690000}"/>
    <cellStyle name="Normal 2 3 2 31 12" xfId="26983" xr:uid="{00000000-0005-0000-0000-000067690000}"/>
    <cellStyle name="Normal 2 3 2 31 13" xfId="26984" xr:uid="{00000000-0005-0000-0000-000068690000}"/>
    <cellStyle name="Normal 2 3 2 31 14" xfId="26985" xr:uid="{00000000-0005-0000-0000-000069690000}"/>
    <cellStyle name="Normal 2 3 2 31 2" xfId="26986" xr:uid="{00000000-0005-0000-0000-00006A690000}"/>
    <cellStyle name="Normal 2 3 2 31 2 10" xfId="26987" xr:uid="{00000000-0005-0000-0000-00006B690000}"/>
    <cellStyle name="Normal 2 3 2 31 2 2" xfId="26988" xr:uid="{00000000-0005-0000-0000-00006C690000}"/>
    <cellStyle name="Normal 2 3 2 31 2 3" xfId="26989" xr:uid="{00000000-0005-0000-0000-00006D690000}"/>
    <cellStyle name="Normal 2 3 2 31 2 4" xfId="26990" xr:uid="{00000000-0005-0000-0000-00006E690000}"/>
    <cellStyle name="Normal 2 3 2 31 2 5" xfId="26991" xr:uid="{00000000-0005-0000-0000-00006F690000}"/>
    <cellStyle name="Normal 2 3 2 31 2 6" xfId="26992" xr:uid="{00000000-0005-0000-0000-000070690000}"/>
    <cellStyle name="Normal 2 3 2 31 2 7" xfId="26993" xr:uid="{00000000-0005-0000-0000-000071690000}"/>
    <cellStyle name="Normal 2 3 2 31 2 8" xfId="26994" xr:uid="{00000000-0005-0000-0000-000072690000}"/>
    <cellStyle name="Normal 2 3 2 31 2 9" xfId="26995" xr:uid="{00000000-0005-0000-0000-000073690000}"/>
    <cellStyle name="Normal 2 3 2 31 3" xfId="26996" xr:uid="{00000000-0005-0000-0000-000074690000}"/>
    <cellStyle name="Normal 2 3 2 31 3 10" xfId="26997" xr:uid="{00000000-0005-0000-0000-000075690000}"/>
    <cellStyle name="Normal 2 3 2 31 3 2" xfId="26998" xr:uid="{00000000-0005-0000-0000-000076690000}"/>
    <cellStyle name="Normal 2 3 2 31 3 3" xfId="26999" xr:uid="{00000000-0005-0000-0000-000077690000}"/>
    <cellStyle name="Normal 2 3 2 31 3 4" xfId="27000" xr:uid="{00000000-0005-0000-0000-000078690000}"/>
    <cellStyle name="Normal 2 3 2 31 3 5" xfId="27001" xr:uid="{00000000-0005-0000-0000-000079690000}"/>
    <cellStyle name="Normal 2 3 2 31 3 6" xfId="27002" xr:uid="{00000000-0005-0000-0000-00007A690000}"/>
    <cellStyle name="Normal 2 3 2 31 3 7" xfId="27003" xr:uid="{00000000-0005-0000-0000-00007B690000}"/>
    <cellStyle name="Normal 2 3 2 31 3 8" xfId="27004" xr:uid="{00000000-0005-0000-0000-00007C690000}"/>
    <cellStyle name="Normal 2 3 2 31 3 9" xfId="27005" xr:uid="{00000000-0005-0000-0000-00007D690000}"/>
    <cellStyle name="Normal 2 3 2 31 4" xfId="27006" xr:uid="{00000000-0005-0000-0000-00007E690000}"/>
    <cellStyle name="Normal 2 3 2 31 4 10" xfId="27007" xr:uid="{00000000-0005-0000-0000-00007F690000}"/>
    <cellStyle name="Normal 2 3 2 31 4 2" xfId="27008" xr:uid="{00000000-0005-0000-0000-000080690000}"/>
    <cellStyle name="Normal 2 3 2 31 4 3" xfId="27009" xr:uid="{00000000-0005-0000-0000-000081690000}"/>
    <cellStyle name="Normal 2 3 2 31 4 4" xfId="27010" xr:uid="{00000000-0005-0000-0000-000082690000}"/>
    <cellStyle name="Normal 2 3 2 31 4 5" xfId="27011" xr:uid="{00000000-0005-0000-0000-000083690000}"/>
    <cellStyle name="Normal 2 3 2 31 4 6" xfId="27012" xr:uid="{00000000-0005-0000-0000-000084690000}"/>
    <cellStyle name="Normal 2 3 2 31 4 7" xfId="27013" xr:uid="{00000000-0005-0000-0000-000085690000}"/>
    <cellStyle name="Normal 2 3 2 31 4 8" xfId="27014" xr:uid="{00000000-0005-0000-0000-000086690000}"/>
    <cellStyle name="Normal 2 3 2 31 4 9" xfId="27015" xr:uid="{00000000-0005-0000-0000-000087690000}"/>
    <cellStyle name="Normal 2 3 2 31 5" xfId="27016" xr:uid="{00000000-0005-0000-0000-000088690000}"/>
    <cellStyle name="Normal 2 3 2 31 5 10" xfId="27017" xr:uid="{00000000-0005-0000-0000-000089690000}"/>
    <cellStyle name="Normal 2 3 2 31 5 2" xfId="27018" xr:uid="{00000000-0005-0000-0000-00008A690000}"/>
    <cellStyle name="Normal 2 3 2 31 5 3" xfId="27019" xr:uid="{00000000-0005-0000-0000-00008B690000}"/>
    <cellStyle name="Normal 2 3 2 31 5 4" xfId="27020" xr:uid="{00000000-0005-0000-0000-00008C690000}"/>
    <cellStyle name="Normal 2 3 2 31 5 5" xfId="27021" xr:uid="{00000000-0005-0000-0000-00008D690000}"/>
    <cellStyle name="Normal 2 3 2 31 5 6" xfId="27022" xr:uid="{00000000-0005-0000-0000-00008E690000}"/>
    <cellStyle name="Normal 2 3 2 31 5 7" xfId="27023" xr:uid="{00000000-0005-0000-0000-00008F690000}"/>
    <cellStyle name="Normal 2 3 2 31 5 8" xfId="27024" xr:uid="{00000000-0005-0000-0000-000090690000}"/>
    <cellStyle name="Normal 2 3 2 31 5 9" xfId="27025" xr:uid="{00000000-0005-0000-0000-000091690000}"/>
    <cellStyle name="Normal 2 3 2 31 6" xfId="27026" xr:uid="{00000000-0005-0000-0000-000092690000}"/>
    <cellStyle name="Normal 2 3 2 31 7" xfId="27027" xr:uid="{00000000-0005-0000-0000-000093690000}"/>
    <cellStyle name="Normal 2 3 2 31 8" xfId="27028" xr:uid="{00000000-0005-0000-0000-000094690000}"/>
    <cellStyle name="Normal 2 3 2 31 9" xfId="27029" xr:uid="{00000000-0005-0000-0000-000095690000}"/>
    <cellStyle name="Normal 2 3 2 32" xfId="27030" xr:uid="{00000000-0005-0000-0000-000096690000}"/>
    <cellStyle name="Normal 2 3 2 32 10" xfId="27031" xr:uid="{00000000-0005-0000-0000-000097690000}"/>
    <cellStyle name="Normal 2 3 2 32 11" xfId="27032" xr:uid="{00000000-0005-0000-0000-000098690000}"/>
    <cellStyle name="Normal 2 3 2 32 12" xfId="27033" xr:uid="{00000000-0005-0000-0000-000099690000}"/>
    <cellStyle name="Normal 2 3 2 32 13" xfId="27034" xr:uid="{00000000-0005-0000-0000-00009A690000}"/>
    <cellStyle name="Normal 2 3 2 32 14" xfId="27035" xr:uid="{00000000-0005-0000-0000-00009B690000}"/>
    <cellStyle name="Normal 2 3 2 32 2" xfId="27036" xr:uid="{00000000-0005-0000-0000-00009C690000}"/>
    <cellStyle name="Normal 2 3 2 32 2 10" xfId="27037" xr:uid="{00000000-0005-0000-0000-00009D690000}"/>
    <cellStyle name="Normal 2 3 2 32 2 2" xfId="27038" xr:uid="{00000000-0005-0000-0000-00009E690000}"/>
    <cellStyle name="Normal 2 3 2 32 2 3" xfId="27039" xr:uid="{00000000-0005-0000-0000-00009F690000}"/>
    <cellStyle name="Normal 2 3 2 32 2 4" xfId="27040" xr:uid="{00000000-0005-0000-0000-0000A0690000}"/>
    <cellStyle name="Normal 2 3 2 32 2 5" xfId="27041" xr:uid="{00000000-0005-0000-0000-0000A1690000}"/>
    <cellStyle name="Normal 2 3 2 32 2 6" xfId="27042" xr:uid="{00000000-0005-0000-0000-0000A2690000}"/>
    <cellStyle name="Normal 2 3 2 32 2 7" xfId="27043" xr:uid="{00000000-0005-0000-0000-0000A3690000}"/>
    <cellStyle name="Normal 2 3 2 32 2 8" xfId="27044" xr:uid="{00000000-0005-0000-0000-0000A4690000}"/>
    <cellStyle name="Normal 2 3 2 32 2 9" xfId="27045" xr:uid="{00000000-0005-0000-0000-0000A5690000}"/>
    <cellStyle name="Normal 2 3 2 32 3" xfId="27046" xr:uid="{00000000-0005-0000-0000-0000A6690000}"/>
    <cellStyle name="Normal 2 3 2 32 3 10" xfId="27047" xr:uid="{00000000-0005-0000-0000-0000A7690000}"/>
    <cellStyle name="Normal 2 3 2 32 3 2" xfId="27048" xr:uid="{00000000-0005-0000-0000-0000A8690000}"/>
    <cellStyle name="Normal 2 3 2 32 3 3" xfId="27049" xr:uid="{00000000-0005-0000-0000-0000A9690000}"/>
    <cellStyle name="Normal 2 3 2 32 3 4" xfId="27050" xr:uid="{00000000-0005-0000-0000-0000AA690000}"/>
    <cellStyle name="Normal 2 3 2 32 3 5" xfId="27051" xr:uid="{00000000-0005-0000-0000-0000AB690000}"/>
    <cellStyle name="Normal 2 3 2 32 3 6" xfId="27052" xr:uid="{00000000-0005-0000-0000-0000AC690000}"/>
    <cellStyle name="Normal 2 3 2 32 3 7" xfId="27053" xr:uid="{00000000-0005-0000-0000-0000AD690000}"/>
    <cellStyle name="Normal 2 3 2 32 3 8" xfId="27054" xr:uid="{00000000-0005-0000-0000-0000AE690000}"/>
    <cellStyle name="Normal 2 3 2 32 3 9" xfId="27055" xr:uid="{00000000-0005-0000-0000-0000AF690000}"/>
    <cellStyle name="Normal 2 3 2 32 4" xfId="27056" xr:uid="{00000000-0005-0000-0000-0000B0690000}"/>
    <cellStyle name="Normal 2 3 2 32 4 10" xfId="27057" xr:uid="{00000000-0005-0000-0000-0000B1690000}"/>
    <cellStyle name="Normal 2 3 2 32 4 2" xfId="27058" xr:uid="{00000000-0005-0000-0000-0000B2690000}"/>
    <cellStyle name="Normal 2 3 2 32 4 3" xfId="27059" xr:uid="{00000000-0005-0000-0000-0000B3690000}"/>
    <cellStyle name="Normal 2 3 2 32 4 4" xfId="27060" xr:uid="{00000000-0005-0000-0000-0000B4690000}"/>
    <cellStyle name="Normal 2 3 2 32 4 5" xfId="27061" xr:uid="{00000000-0005-0000-0000-0000B5690000}"/>
    <cellStyle name="Normal 2 3 2 32 4 6" xfId="27062" xr:uid="{00000000-0005-0000-0000-0000B6690000}"/>
    <cellStyle name="Normal 2 3 2 32 4 7" xfId="27063" xr:uid="{00000000-0005-0000-0000-0000B7690000}"/>
    <cellStyle name="Normal 2 3 2 32 4 8" xfId="27064" xr:uid="{00000000-0005-0000-0000-0000B8690000}"/>
    <cellStyle name="Normal 2 3 2 32 4 9" xfId="27065" xr:uid="{00000000-0005-0000-0000-0000B9690000}"/>
    <cellStyle name="Normal 2 3 2 32 5" xfId="27066" xr:uid="{00000000-0005-0000-0000-0000BA690000}"/>
    <cellStyle name="Normal 2 3 2 32 5 10" xfId="27067" xr:uid="{00000000-0005-0000-0000-0000BB690000}"/>
    <cellStyle name="Normal 2 3 2 32 5 2" xfId="27068" xr:uid="{00000000-0005-0000-0000-0000BC690000}"/>
    <cellStyle name="Normal 2 3 2 32 5 3" xfId="27069" xr:uid="{00000000-0005-0000-0000-0000BD690000}"/>
    <cellStyle name="Normal 2 3 2 32 5 4" xfId="27070" xr:uid="{00000000-0005-0000-0000-0000BE690000}"/>
    <cellStyle name="Normal 2 3 2 32 5 5" xfId="27071" xr:uid="{00000000-0005-0000-0000-0000BF690000}"/>
    <cellStyle name="Normal 2 3 2 32 5 6" xfId="27072" xr:uid="{00000000-0005-0000-0000-0000C0690000}"/>
    <cellStyle name="Normal 2 3 2 32 5 7" xfId="27073" xr:uid="{00000000-0005-0000-0000-0000C1690000}"/>
    <cellStyle name="Normal 2 3 2 32 5 8" xfId="27074" xr:uid="{00000000-0005-0000-0000-0000C2690000}"/>
    <cellStyle name="Normal 2 3 2 32 5 9" xfId="27075" xr:uid="{00000000-0005-0000-0000-0000C3690000}"/>
    <cellStyle name="Normal 2 3 2 32 6" xfId="27076" xr:uid="{00000000-0005-0000-0000-0000C4690000}"/>
    <cellStyle name="Normal 2 3 2 32 7" xfId="27077" xr:uid="{00000000-0005-0000-0000-0000C5690000}"/>
    <cellStyle name="Normal 2 3 2 32 8" xfId="27078" xr:uid="{00000000-0005-0000-0000-0000C6690000}"/>
    <cellStyle name="Normal 2 3 2 32 9" xfId="27079" xr:uid="{00000000-0005-0000-0000-0000C7690000}"/>
    <cellStyle name="Normal 2 3 2 33" xfId="27080" xr:uid="{00000000-0005-0000-0000-0000C8690000}"/>
    <cellStyle name="Normal 2 3 2 33 10" xfId="27081" xr:uid="{00000000-0005-0000-0000-0000C9690000}"/>
    <cellStyle name="Normal 2 3 2 33 11" xfId="27082" xr:uid="{00000000-0005-0000-0000-0000CA690000}"/>
    <cellStyle name="Normal 2 3 2 33 12" xfId="27083" xr:uid="{00000000-0005-0000-0000-0000CB690000}"/>
    <cellStyle name="Normal 2 3 2 33 13" xfId="27084" xr:uid="{00000000-0005-0000-0000-0000CC690000}"/>
    <cellStyle name="Normal 2 3 2 33 14" xfId="27085" xr:uid="{00000000-0005-0000-0000-0000CD690000}"/>
    <cellStyle name="Normal 2 3 2 33 2" xfId="27086" xr:uid="{00000000-0005-0000-0000-0000CE690000}"/>
    <cellStyle name="Normal 2 3 2 33 2 10" xfId="27087" xr:uid="{00000000-0005-0000-0000-0000CF690000}"/>
    <cellStyle name="Normal 2 3 2 33 2 2" xfId="27088" xr:uid="{00000000-0005-0000-0000-0000D0690000}"/>
    <cellStyle name="Normal 2 3 2 33 2 3" xfId="27089" xr:uid="{00000000-0005-0000-0000-0000D1690000}"/>
    <cellStyle name="Normal 2 3 2 33 2 4" xfId="27090" xr:uid="{00000000-0005-0000-0000-0000D2690000}"/>
    <cellStyle name="Normal 2 3 2 33 2 5" xfId="27091" xr:uid="{00000000-0005-0000-0000-0000D3690000}"/>
    <cellStyle name="Normal 2 3 2 33 2 6" xfId="27092" xr:uid="{00000000-0005-0000-0000-0000D4690000}"/>
    <cellStyle name="Normal 2 3 2 33 2 7" xfId="27093" xr:uid="{00000000-0005-0000-0000-0000D5690000}"/>
    <cellStyle name="Normal 2 3 2 33 2 8" xfId="27094" xr:uid="{00000000-0005-0000-0000-0000D6690000}"/>
    <cellStyle name="Normal 2 3 2 33 2 9" xfId="27095" xr:uid="{00000000-0005-0000-0000-0000D7690000}"/>
    <cellStyle name="Normal 2 3 2 33 3" xfId="27096" xr:uid="{00000000-0005-0000-0000-0000D8690000}"/>
    <cellStyle name="Normal 2 3 2 33 3 10" xfId="27097" xr:uid="{00000000-0005-0000-0000-0000D9690000}"/>
    <cellStyle name="Normal 2 3 2 33 3 2" xfId="27098" xr:uid="{00000000-0005-0000-0000-0000DA690000}"/>
    <cellStyle name="Normal 2 3 2 33 3 3" xfId="27099" xr:uid="{00000000-0005-0000-0000-0000DB690000}"/>
    <cellStyle name="Normal 2 3 2 33 3 4" xfId="27100" xr:uid="{00000000-0005-0000-0000-0000DC690000}"/>
    <cellStyle name="Normal 2 3 2 33 3 5" xfId="27101" xr:uid="{00000000-0005-0000-0000-0000DD690000}"/>
    <cellStyle name="Normal 2 3 2 33 3 6" xfId="27102" xr:uid="{00000000-0005-0000-0000-0000DE690000}"/>
    <cellStyle name="Normal 2 3 2 33 3 7" xfId="27103" xr:uid="{00000000-0005-0000-0000-0000DF690000}"/>
    <cellStyle name="Normal 2 3 2 33 3 8" xfId="27104" xr:uid="{00000000-0005-0000-0000-0000E0690000}"/>
    <cellStyle name="Normal 2 3 2 33 3 9" xfId="27105" xr:uid="{00000000-0005-0000-0000-0000E1690000}"/>
    <cellStyle name="Normal 2 3 2 33 4" xfId="27106" xr:uid="{00000000-0005-0000-0000-0000E2690000}"/>
    <cellStyle name="Normal 2 3 2 33 4 10" xfId="27107" xr:uid="{00000000-0005-0000-0000-0000E3690000}"/>
    <cellStyle name="Normal 2 3 2 33 4 2" xfId="27108" xr:uid="{00000000-0005-0000-0000-0000E4690000}"/>
    <cellStyle name="Normal 2 3 2 33 4 3" xfId="27109" xr:uid="{00000000-0005-0000-0000-0000E5690000}"/>
    <cellStyle name="Normal 2 3 2 33 4 4" xfId="27110" xr:uid="{00000000-0005-0000-0000-0000E6690000}"/>
    <cellStyle name="Normal 2 3 2 33 4 5" xfId="27111" xr:uid="{00000000-0005-0000-0000-0000E7690000}"/>
    <cellStyle name="Normal 2 3 2 33 4 6" xfId="27112" xr:uid="{00000000-0005-0000-0000-0000E8690000}"/>
    <cellStyle name="Normal 2 3 2 33 4 7" xfId="27113" xr:uid="{00000000-0005-0000-0000-0000E9690000}"/>
    <cellStyle name="Normal 2 3 2 33 4 8" xfId="27114" xr:uid="{00000000-0005-0000-0000-0000EA690000}"/>
    <cellStyle name="Normal 2 3 2 33 4 9" xfId="27115" xr:uid="{00000000-0005-0000-0000-0000EB690000}"/>
    <cellStyle name="Normal 2 3 2 33 5" xfId="27116" xr:uid="{00000000-0005-0000-0000-0000EC690000}"/>
    <cellStyle name="Normal 2 3 2 33 5 10" xfId="27117" xr:uid="{00000000-0005-0000-0000-0000ED690000}"/>
    <cellStyle name="Normal 2 3 2 33 5 2" xfId="27118" xr:uid="{00000000-0005-0000-0000-0000EE690000}"/>
    <cellStyle name="Normal 2 3 2 33 5 3" xfId="27119" xr:uid="{00000000-0005-0000-0000-0000EF690000}"/>
    <cellStyle name="Normal 2 3 2 33 5 4" xfId="27120" xr:uid="{00000000-0005-0000-0000-0000F0690000}"/>
    <cellStyle name="Normal 2 3 2 33 5 5" xfId="27121" xr:uid="{00000000-0005-0000-0000-0000F1690000}"/>
    <cellStyle name="Normal 2 3 2 33 5 6" xfId="27122" xr:uid="{00000000-0005-0000-0000-0000F2690000}"/>
    <cellStyle name="Normal 2 3 2 33 5 7" xfId="27123" xr:uid="{00000000-0005-0000-0000-0000F3690000}"/>
    <cellStyle name="Normal 2 3 2 33 5 8" xfId="27124" xr:uid="{00000000-0005-0000-0000-0000F4690000}"/>
    <cellStyle name="Normal 2 3 2 33 5 9" xfId="27125" xr:uid="{00000000-0005-0000-0000-0000F5690000}"/>
    <cellStyle name="Normal 2 3 2 33 6" xfId="27126" xr:uid="{00000000-0005-0000-0000-0000F6690000}"/>
    <cellStyle name="Normal 2 3 2 33 7" xfId="27127" xr:uid="{00000000-0005-0000-0000-0000F7690000}"/>
    <cellStyle name="Normal 2 3 2 33 8" xfId="27128" xr:uid="{00000000-0005-0000-0000-0000F8690000}"/>
    <cellStyle name="Normal 2 3 2 33 9" xfId="27129" xr:uid="{00000000-0005-0000-0000-0000F9690000}"/>
    <cellStyle name="Normal 2 3 2 34" xfId="27130" xr:uid="{00000000-0005-0000-0000-0000FA690000}"/>
    <cellStyle name="Normal 2 3 2 34 10" xfId="27131" xr:uid="{00000000-0005-0000-0000-0000FB690000}"/>
    <cellStyle name="Normal 2 3 2 34 2" xfId="27132" xr:uid="{00000000-0005-0000-0000-0000FC690000}"/>
    <cellStyle name="Normal 2 3 2 34 3" xfId="27133" xr:uid="{00000000-0005-0000-0000-0000FD690000}"/>
    <cellStyle name="Normal 2 3 2 34 4" xfId="27134" xr:uid="{00000000-0005-0000-0000-0000FE690000}"/>
    <cellStyle name="Normal 2 3 2 34 5" xfId="27135" xr:uid="{00000000-0005-0000-0000-0000FF690000}"/>
    <cellStyle name="Normal 2 3 2 34 6" xfId="27136" xr:uid="{00000000-0005-0000-0000-0000006A0000}"/>
    <cellStyle name="Normal 2 3 2 34 7" xfId="27137" xr:uid="{00000000-0005-0000-0000-0000016A0000}"/>
    <cellStyle name="Normal 2 3 2 34 8" xfId="27138" xr:uid="{00000000-0005-0000-0000-0000026A0000}"/>
    <cellStyle name="Normal 2 3 2 34 9" xfId="27139" xr:uid="{00000000-0005-0000-0000-0000036A0000}"/>
    <cellStyle name="Normal 2 3 2 35" xfId="27140" xr:uid="{00000000-0005-0000-0000-0000046A0000}"/>
    <cellStyle name="Normal 2 3 2 35 10" xfId="27141" xr:uid="{00000000-0005-0000-0000-0000056A0000}"/>
    <cellStyle name="Normal 2 3 2 35 2" xfId="27142" xr:uid="{00000000-0005-0000-0000-0000066A0000}"/>
    <cellStyle name="Normal 2 3 2 35 3" xfId="27143" xr:uid="{00000000-0005-0000-0000-0000076A0000}"/>
    <cellStyle name="Normal 2 3 2 35 4" xfId="27144" xr:uid="{00000000-0005-0000-0000-0000086A0000}"/>
    <cellStyle name="Normal 2 3 2 35 5" xfId="27145" xr:uid="{00000000-0005-0000-0000-0000096A0000}"/>
    <cellStyle name="Normal 2 3 2 35 6" xfId="27146" xr:uid="{00000000-0005-0000-0000-00000A6A0000}"/>
    <cellStyle name="Normal 2 3 2 35 7" xfId="27147" xr:uid="{00000000-0005-0000-0000-00000B6A0000}"/>
    <cellStyle name="Normal 2 3 2 35 8" xfId="27148" xr:uid="{00000000-0005-0000-0000-00000C6A0000}"/>
    <cellStyle name="Normal 2 3 2 35 9" xfId="27149" xr:uid="{00000000-0005-0000-0000-00000D6A0000}"/>
    <cellStyle name="Normal 2 3 2 36" xfId="27150" xr:uid="{00000000-0005-0000-0000-00000E6A0000}"/>
    <cellStyle name="Normal 2 3 2 36 10" xfId="27151" xr:uid="{00000000-0005-0000-0000-00000F6A0000}"/>
    <cellStyle name="Normal 2 3 2 36 2" xfId="27152" xr:uid="{00000000-0005-0000-0000-0000106A0000}"/>
    <cellStyle name="Normal 2 3 2 36 3" xfId="27153" xr:uid="{00000000-0005-0000-0000-0000116A0000}"/>
    <cellStyle name="Normal 2 3 2 36 4" xfId="27154" xr:uid="{00000000-0005-0000-0000-0000126A0000}"/>
    <cellStyle name="Normal 2 3 2 36 5" xfId="27155" xr:uid="{00000000-0005-0000-0000-0000136A0000}"/>
    <cellStyle name="Normal 2 3 2 36 6" xfId="27156" xr:uid="{00000000-0005-0000-0000-0000146A0000}"/>
    <cellStyle name="Normal 2 3 2 36 7" xfId="27157" xr:uid="{00000000-0005-0000-0000-0000156A0000}"/>
    <cellStyle name="Normal 2 3 2 36 8" xfId="27158" xr:uid="{00000000-0005-0000-0000-0000166A0000}"/>
    <cellStyle name="Normal 2 3 2 36 9" xfId="27159" xr:uid="{00000000-0005-0000-0000-0000176A0000}"/>
    <cellStyle name="Normal 2 3 2 37" xfId="27160" xr:uid="{00000000-0005-0000-0000-0000186A0000}"/>
    <cellStyle name="Normal 2 3 2 37 10" xfId="27161" xr:uid="{00000000-0005-0000-0000-0000196A0000}"/>
    <cellStyle name="Normal 2 3 2 37 2" xfId="27162" xr:uid="{00000000-0005-0000-0000-00001A6A0000}"/>
    <cellStyle name="Normal 2 3 2 37 3" xfId="27163" xr:uid="{00000000-0005-0000-0000-00001B6A0000}"/>
    <cellStyle name="Normal 2 3 2 37 4" xfId="27164" xr:uid="{00000000-0005-0000-0000-00001C6A0000}"/>
    <cellStyle name="Normal 2 3 2 37 5" xfId="27165" xr:uid="{00000000-0005-0000-0000-00001D6A0000}"/>
    <cellStyle name="Normal 2 3 2 37 6" xfId="27166" xr:uid="{00000000-0005-0000-0000-00001E6A0000}"/>
    <cellStyle name="Normal 2 3 2 37 7" xfId="27167" xr:uid="{00000000-0005-0000-0000-00001F6A0000}"/>
    <cellStyle name="Normal 2 3 2 37 8" xfId="27168" xr:uid="{00000000-0005-0000-0000-0000206A0000}"/>
    <cellStyle name="Normal 2 3 2 37 9" xfId="27169" xr:uid="{00000000-0005-0000-0000-0000216A0000}"/>
    <cellStyle name="Normal 2 3 2 38" xfId="27170" xr:uid="{00000000-0005-0000-0000-0000226A0000}"/>
    <cellStyle name="Normal 2 3 2 39" xfId="27171" xr:uid="{00000000-0005-0000-0000-0000236A0000}"/>
    <cellStyle name="Normal 2 3 2 4" xfId="27172" xr:uid="{00000000-0005-0000-0000-0000246A0000}"/>
    <cellStyle name="Normal 2 3 2 4 10" xfId="27173" xr:uid="{00000000-0005-0000-0000-0000256A0000}"/>
    <cellStyle name="Normal 2 3 2 4 11" xfId="27174" xr:uid="{00000000-0005-0000-0000-0000266A0000}"/>
    <cellStyle name="Normal 2 3 2 4 12" xfId="27175" xr:uid="{00000000-0005-0000-0000-0000276A0000}"/>
    <cellStyle name="Normal 2 3 2 4 13" xfId="27176" xr:uid="{00000000-0005-0000-0000-0000286A0000}"/>
    <cellStyle name="Normal 2 3 2 4 14" xfId="27177" xr:uid="{00000000-0005-0000-0000-0000296A0000}"/>
    <cellStyle name="Normal 2 3 2 4 2" xfId="27178" xr:uid="{00000000-0005-0000-0000-00002A6A0000}"/>
    <cellStyle name="Normal 2 3 2 4 2 10" xfId="27179" xr:uid="{00000000-0005-0000-0000-00002B6A0000}"/>
    <cellStyle name="Normal 2 3 2 4 2 2" xfId="27180" xr:uid="{00000000-0005-0000-0000-00002C6A0000}"/>
    <cellStyle name="Normal 2 3 2 4 2 3" xfId="27181" xr:uid="{00000000-0005-0000-0000-00002D6A0000}"/>
    <cellStyle name="Normal 2 3 2 4 2 4" xfId="27182" xr:uid="{00000000-0005-0000-0000-00002E6A0000}"/>
    <cellStyle name="Normal 2 3 2 4 2 5" xfId="27183" xr:uid="{00000000-0005-0000-0000-00002F6A0000}"/>
    <cellStyle name="Normal 2 3 2 4 2 6" xfId="27184" xr:uid="{00000000-0005-0000-0000-0000306A0000}"/>
    <cellStyle name="Normal 2 3 2 4 2 7" xfId="27185" xr:uid="{00000000-0005-0000-0000-0000316A0000}"/>
    <cellStyle name="Normal 2 3 2 4 2 8" xfId="27186" xr:uid="{00000000-0005-0000-0000-0000326A0000}"/>
    <cellStyle name="Normal 2 3 2 4 2 9" xfId="27187" xr:uid="{00000000-0005-0000-0000-0000336A0000}"/>
    <cellStyle name="Normal 2 3 2 4 3" xfId="27188" xr:uid="{00000000-0005-0000-0000-0000346A0000}"/>
    <cellStyle name="Normal 2 3 2 4 3 10" xfId="27189" xr:uid="{00000000-0005-0000-0000-0000356A0000}"/>
    <cellStyle name="Normal 2 3 2 4 3 2" xfId="27190" xr:uid="{00000000-0005-0000-0000-0000366A0000}"/>
    <cellStyle name="Normal 2 3 2 4 3 3" xfId="27191" xr:uid="{00000000-0005-0000-0000-0000376A0000}"/>
    <cellStyle name="Normal 2 3 2 4 3 4" xfId="27192" xr:uid="{00000000-0005-0000-0000-0000386A0000}"/>
    <cellStyle name="Normal 2 3 2 4 3 5" xfId="27193" xr:uid="{00000000-0005-0000-0000-0000396A0000}"/>
    <cellStyle name="Normal 2 3 2 4 3 6" xfId="27194" xr:uid="{00000000-0005-0000-0000-00003A6A0000}"/>
    <cellStyle name="Normal 2 3 2 4 3 7" xfId="27195" xr:uid="{00000000-0005-0000-0000-00003B6A0000}"/>
    <cellStyle name="Normal 2 3 2 4 3 8" xfId="27196" xr:uid="{00000000-0005-0000-0000-00003C6A0000}"/>
    <cellStyle name="Normal 2 3 2 4 3 9" xfId="27197" xr:uid="{00000000-0005-0000-0000-00003D6A0000}"/>
    <cellStyle name="Normal 2 3 2 4 4" xfId="27198" xr:uid="{00000000-0005-0000-0000-00003E6A0000}"/>
    <cellStyle name="Normal 2 3 2 4 4 10" xfId="27199" xr:uid="{00000000-0005-0000-0000-00003F6A0000}"/>
    <cellStyle name="Normal 2 3 2 4 4 2" xfId="27200" xr:uid="{00000000-0005-0000-0000-0000406A0000}"/>
    <cellStyle name="Normal 2 3 2 4 4 3" xfId="27201" xr:uid="{00000000-0005-0000-0000-0000416A0000}"/>
    <cellStyle name="Normal 2 3 2 4 4 4" xfId="27202" xr:uid="{00000000-0005-0000-0000-0000426A0000}"/>
    <cellStyle name="Normal 2 3 2 4 4 5" xfId="27203" xr:uid="{00000000-0005-0000-0000-0000436A0000}"/>
    <cellStyle name="Normal 2 3 2 4 4 6" xfId="27204" xr:uid="{00000000-0005-0000-0000-0000446A0000}"/>
    <cellStyle name="Normal 2 3 2 4 4 7" xfId="27205" xr:uid="{00000000-0005-0000-0000-0000456A0000}"/>
    <cellStyle name="Normal 2 3 2 4 4 8" xfId="27206" xr:uid="{00000000-0005-0000-0000-0000466A0000}"/>
    <cellStyle name="Normal 2 3 2 4 4 9" xfId="27207" xr:uid="{00000000-0005-0000-0000-0000476A0000}"/>
    <cellStyle name="Normal 2 3 2 4 5" xfId="27208" xr:uid="{00000000-0005-0000-0000-0000486A0000}"/>
    <cellStyle name="Normal 2 3 2 4 5 10" xfId="27209" xr:uid="{00000000-0005-0000-0000-0000496A0000}"/>
    <cellStyle name="Normal 2 3 2 4 5 2" xfId="27210" xr:uid="{00000000-0005-0000-0000-00004A6A0000}"/>
    <cellStyle name="Normal 2 3 2 4 5 3" xfId="27211" xr:uid="{00000000-0005-0000-0000-00004B6A0000}"/>
    <cellStyle name="Normal 2 3 2 4 5 4" xfId="27212" xr:uid="{00000000-0005-0000-0000-00004C6A0000}"/>
    <cellStyle name="Normal 2 3 2 4 5 5" xfId="27213" xr:uid="{00000000-0005-0000-0000-00004D6A0000}"/>
    <cellStyle name="Normal 2 3 2 4 5 6" xfId="27214" xr:uid="{00000000-0005-0000-0000-00004E6A0000}"/>
    <cellStyle name="Normal 2 3 2 4 5 7" xfId="27215" xr:uid="{00000000-0005-0000-0000-00004F6A0000}"/>
    <cellStyle name="Normal 2 3 2 4 5 8" xfId="27216" xr:uid="{00000000-0005-0000-0000-0000506A0000}"/>
    <cellStyle name="Normal 2 3 2 4 5 9" xfId="27217" xr:uid="{00000000-0005-0000-0000-0000516A0000}"/>
    <cellStyle name="Normal 2 3 2 4 6" xfId="27218" xr:uid="{00000000-0005-0000-0000-0000526A0000}"/>
    <cellStyle name="Normal 2 3 2 4 7" xfId="27219" xr:uid="{00000000-0005-0000-0000-0000536A0000}"/>
    <cellStyle name="Normal 2 3 2 4 8" xfId="27220" xr:uid="{00000000-0005-0000-0000-0000546A0000}"/>
    <cellStyle name="Normal 2 3 2 4 9" xfId="27221" xr:uid="{00000000-0005-0000-0000-0000556A0000}"/>
    <cellStyle name="Normal 2 3 2 40" xfId="27222" xr:uid="{00000000-0005-0000-0000-0000566A0000}"/>
    <cellStyle name="Normal 2 3 2 41" xfId="27223" xr:uid="{00000000-0005-0000-0000-0000576A0000}"/>
    <cellStyle name="Normal 2 3 2 42" xfId="27224" xr:uid="{00000000-0005-0000-0000-0000586A0000}"/>
    <cellStyle name="Normal 2 3 2 43" xfId="27225" xr:uid="{00000000-0005-0000-0000-0000596A0000}"/>
    <cellStyle name="Normal 2 3 2 44" xfId="27226" xr:uid="{00000000-0005-0000-0000-00005A6A0000}"/>
    <cellStyle name="Normal 2 3 2 45" xfId="27227" xr:uid="{00000000-0005-0000-0000-00005B6A0000}"/>
    <cellStyle name="Normal 2 3 2 46" xfId="27228" xr:uid="{00000000-0005-0000-0000-00005C6A0000}"/>
    <cellStyle name="Normal 2 3 2 47" xfId="27229" xr:uid="{00000000-0005-0000-0000-00005D6A0000}"/>
    <cellStyle name="Normal 2 3 2 48" xfId="27230" xr:uid="{00000000-0005-0000-0000-00005E6A0000}"/>
    <cellStyle name="Normal 2 3 2 5" xfId="27231" xr:uid="{00000000-0005-0000-0000-00005F6A0000}"/>
    <cellStyle name="Normal 2 3 2 5 10" xfId="27232" xr:uid="{00000000-0005-0000-0000-0000606A0000}"/>
    <cellStyle name="Normal 2 3 2 5 11" xfId="27233" xr:uid="{00000000-0005-0000-0000-0000616A0000}"/>
    <cellStyle name="Normal 2 3 2 5 12" xfId="27234" xr:uid="{00000000-0005-0000-0000-0000626A0000}"/>
    <cellStyle name="Normal 2 3 2 5 13" xfId="27235" xr:uid="{00000000-0005-0000-0000-0000636A0000}"/>
    <cellStyle name="Normal 2 3 2 5 14" xfId="27236" xr:uid="{00000000-0005-0000-0000-0000646A0000}"/>
    <cellStyle name="Normal 2 3 2 5 2" xfId="27237" xr:uid="{00000000-0005-0000-0000-0000656A0000}"/>
    <cellStyle name="Normal 2 3 2 5 2 10" xfId="27238" xr:uid="{00000000-0005-0000-0000-0000666A0000}"/>
    <cellStyle name="Normal 2 3 2 5 2 2" xfId="27239" xr:uid="{00000000-0005-0000-0000-0000676A0000}"/>
    <cellStyle name="Normal 2 3 2 5 2 3" xfId="27240" xr:uid="{00000000-0005-0000-0000-0000686A0000}"/>
    <cellStyle name="Normal 2 3 2 5 2 4" xfId="27241" xr:uid="{00000000-0005-0000-0000-0000696A0000}"/>
    <cellStyle name="Normal 2 3 2 5 2 5" xfId="27242" xr:uid="{00000000-0005-0000-0000-00006A6A0000}"/>
    <cellStyle name="Normal 2 3 2 5 2 6" xfId="27243" xr:uid="{00000000-0005-0000-0000-00006B6A0000}"/>
    <cellStyle name="Normal 2 3 2 5 2 7" xfId="27244" xr:uid="{00000000-0005-0000-0000-00006C6A0000}"/>
    <cellStyle name="Normal 2 3 2 5 2 8" xfId="27245" xr:uid="{00000000-0005-0000-0000-00006D6A0000}"/>
    <cellStyle name="Normal 2 3 2 5 2 9" xfId="27246" xr:uid="{00000000-0005-0000-0000-00006E6A0000}"/>
    <cellStyle name="Normal 2 3 2 5 3" xfId="27247" xr:uid="{00000000-0005-0000-0000-00006F6A0000}"/>
    <cellStyle name="Normal 2 3 2 5 3 10" xfId="27248" xr:uid="{00000000-0005-0000-0000-0000706A0000}"/>
    <cellStyle name="Normal 2 3 2 5 3 2" xfId="27249" xr:uid="{00000000-0005-0000-0000-0000716A0000}"/>
    <cellStyle name="Normal 2 3 2 5 3 3" xfId="27250" xr:uid="{00000000-0005-0000-0000-0000726A0000}"/>
    <cellStyle name="Normal 2 3 2 5 3 4" xfId="27251" xr:uid="{00000000-0005-0000-0000-0000736A0000}"/>
    <cellStyle name="Normal 2 3 2 5 3 5" xfId="27252" xr:uid="{00000000-0005-0000-0000-0000746A0000}"/>
    <cellStyle name="Normal 2 3 2 5 3 6" xfId="27253" xr:uid="{00000000-0005-0000-0000-0000756A0000}"/>
    <cellStyle name="Normal 2 3 2 5 3 7" xfId="27254" xr:uid="{00000000-0005-0000-0000-0000766A0000}"/>
    <cellStyle name="Normal 2 3 2 5 3 8" xfId="27255" xr:uid="{00000000-0005-0000-0000-0000776A0000}"/>
    <cellStyle name="Normal 2 3 2 5 3 9" xfId="27256" xr:uid="{00000000-0005-0000-0000-0000786A0000}"/>
    <cellStyle name="Normal 2 3 2 5 4" xfId="27257" xr:uid="{00000000-0005-0000-0000-0000796A0000}"/>
    <cellStyle name="Normal 2 3 2 5 4 10" xfId="27258" xr:uid="{00000000-0005-0000-0000-00007A6A0000}"/>
    <cellStyle name="Normal 2 3 2 5 4 2" xfId="27259" xr:uid="{00000000-0005-0000-0000-00007B6A0000}"/>
    <cellStyle name="Normal 2 3 2 5 4 3" xfId="27260" xr:uid="{00000000-0005-0000-0000-00007C6A0000}"/>
    <cellStyle name="Normal 2 3 2 5 4 4" xfId="27261" xr:uid="{00000000-0005-0000-0000-00007D6A0000}"/>
    <cellStyle name="Normal 2 3 2 5 4 5" xfId="27262" xr:uid="{00000000-0005-0000-0000-00007E6A0000}"/>
    <cellStyle name="Normal 2 3 2 5 4 6" xfId="27263" xr:uid="{00000000-0005-0000-0000-00007F6A0000}"/>
    <cellStyle name="Normal 2 3 2 5 4 7" xfId="27264" xr:uid="{00000000-0005-0000-0000-0000806A0000}"/>
    <cellStyle name="Normal 2 3 2 5 4 8" xfId="27265" xr:uid="{00000000-0005-0000-0000-0000816A0000}"/>
    <cellStyle name="Normal 2 3 2 5 4 9" xfId="27266" xr:uid="{00000000-0005-0000-0000-0000826A0000}"/>
    <cellStyle name="Normal 2 3 2 5 5" xfId="27267" xr:uid="{00000000-0005-0000-0000-0000836A0000}"/>
    <cellStyle name="Normal 2 3 2 5 5 10" xfId="27268" xr:uid="{00000000-0005-0000-0000-0000846A0000}"/>
    <cellStyle name="Normal 2 3 2 5 5 2" xfId="27269" xr:uid="{00000000-0005-0000-0000-0000856A0000}"/>
    <cellStyle name="Normal 2 3 2 5 5 3" xfId="27270" xr:uid="{00000000-0005-0000-0000-0000866A0000}"/>
    <cellStyle name="Normal 2 3 2 5 5 4" xfId="27271" xr:uid="{00000000-0005-0000-0000-0000876A0000}"/>
    <cellStyle name="Normal 2 3 2 5 5 5" xfId="27272" xr:uid="{00000000-0005-0000-0000-0000886A0000}"/>
    <cellStyle name="Normal 2 3 2 5 5 6" xfId="27273" xr:uid="{00000000-0005-0000-0000-0000896A0000}"/>
    <cellStyle name="Normal 2 3 2 5 5 7" xfId="27274" xr:uid="{00000000-0005-0000-0000-00008A6A0000}"/>
    <cellStyle name="Normal 2 3 2 5 5 8" xfId="27275" xr:uid="{00000000-0005-0000-0000-00008B6A0000}"/>
    <cellStyle name="Normal 2 3 2 5 5 9" xfId="27276" xr:uid="{00000000-0005-0000-0000-00008C6A0000}"/>
    <cellStyle name="Normal 2 3 2 5 6" xfId="27277" xr:uid="{00000000-0005-0000-0000-00008D6A0000}"/>
    <cellStyle name="Normal 2 3 2 5 7" xfId="27278" xr:uid="{00000000-0005-0000-0000-00008E6A0000}"/>
    <cellStyle name="Normal 2 3 2 5 8" xfId="27279" xr:uid="{00000000-0005-0000-0000-00008F6A0000}"/>
    <cellStyle name="Normal 2 3 2 5 9" xfId="27280" xr:uid="{00000000-0005-0000-0000-0000906A0000}"/>
    <cellStyle name="Normal 2 3 2 6" xfId="27281" xr:uid="{00000000-0005-0000-0000-0000916A0000}"/>
    <cellStyle name="Normal 2 3 2 6 10" xfId="27282" xr:uid="{00000000-0005-0000-0000-0000926A0000}"/>
    <cellStyle name="Normal 2 3 2 6 11" xfId="27283" xr:uid="{00000000-0005-0000-0000-0000936A0000}"/>
    <cellStyle name="Normal 2 3 2 6 12" xfId="27284" xr:uid="{00000000-0005-0000-0000-0000946A0000}"/>
    <cellStyle name="Normal 2 3 2 6 13" xfId="27285" xr:uid="{00000000-0005-0000-0000-0000956A0000}"/>
    <cellStyle name="Normal 2 3 2 6 14" xfId="27286" xr:uid="{00000000-0005-0000-0000-0000966A0000}"/>
    <cellStyle name="Normal 2 3 2 6 2" xfId="27287" xr:uid="{00000000-0005-0000-0000-0000976A0000}"/>
    <cellStyle name="Normal 2 3 2 6 2 10" xfId="27288" xr:uid="{00000000-0005-0000-0000-0000986A0000}"/>
    <cellStyle name="Normal 2 3 2 6 2 2" xfId="27289" xr:uid="{00000000-0005-0000-0000-0000996A0000}"/>
    <cellStyle name="Normal 2 3 2 6 2 3" xfId="27290" xr:uid="{00000000-0005-0000-0000-00009A6A0000}"/>
    <cellStyle name="Normal 2 3 2 6 2 4" xfId="27291" xr:uid="{00000000-0005-0000-0000-00009B6A0000}"/>
    <cellStyle name="Normal 2 3 2 6 2 5" xfId="27292" xr:uid="{00000000-0005-0000-0000-00009C6A0000}"/>
    <cellStyle name="Normal 2 3 2 6 2 6" xfId="27293" xr:uid="{00000000-0005-0000-0000-00009D6A0000}"/>
    <cellStyle name="Normal 2 3 2 6 2 7" xfId="27294" xr:uid="{00000000-0005-0000-0000-00009E6A0000}"/>
    <cellStyle name="Normal 2 3 2 6 2 8" xfId="27295" xr:uid="{00000000-0005-0000-0000-00009F6A0000}"/>
    <cellStyle name="Normal 2 3 2 6 2 9" xfId="27296" xr:uid="{00000000-0005-0000-0000-0000A06A0000}"/>
    <cellStyle name="Normal 2 3 2 6 3" xfId="27297" xr:uid="{00000000-0005-0000-0000-0000A16A0000}"/>
    <cellStyle name="Normal 2 3 2 6 3 10" xfId="27298" xr:uid="{00000000-0005-0000-0000-0000A26A0000}"/>
    <cellStyle name="Normal 2 3 2 6 3 2" xfId="27299" xr:uid="{00000000-0005-0000-0000-0000A36A0000}"/>
    <cellStyle name="Normal 2 3 2 6 3 3" xfId="27300" xr:uid="{00000000-0005-0000-0000-0000A46A0000}"/>
    <cellStyle name="Normal 2 3 2 6 3 4" xfId="27301" xr:uid="{00000000-0005-0000-0000-0000A56A0000}"/>
    <cellStyle name="Normal 2 3 2 6 3 5" xfId="27302" xr:uid="{00000000-0005-0000-0000-0000A66A0000}"/>
    <cellStyle name="Normal 2 3 2 6 3 6" xfId="27303" xr:uid="{00000000-0005-0000-0000-0000A76A0000}"/>
    <cellStyle name="Normal 2 3 2 6 3 7" xfId="27304" xr:uid="{00000000-0005-0000-0000-0000A86A0000}"/>
    <cellStyle name="Normal 2 3 2 6 3 8" xfId="27305" xr:uid="{00000000-0005-0000-0000-0000A96A0000}"/>
    <cellStyle name="Normal 2 3 2 6 3 9" xfId="27306" xr:uid="{00000000-0005-0000-0000-0000AA6A0000}"/>
    <cellStyle name="Normal 2 3 2 6 4" xfId="27307" xr:uid="{00000000-0005-0000-0000-0000AB6A0000}"/>
    <cellStyle name="Normal 2 3 2 6 4 10" xfId="27308" xr:uid="{00000000-0005-0000-0000-0000AC6A0000}"/>
    <cellStyle name="Normal 2 3 2 6 4 2" xfId="27309" xr:uid="{00000000-0005-0000-0000-0000AD6A0000}"/>
    <cellStyle name="Normal 2 3 2 6 4 3" xfId="27310" xr:uid="{00000000-0005-0000-0000-0000AE6A0000}"/>
    <cellStyle name="Normal 2 3 2 6 4 4" xfId="27311" xr:uid="{00000000-0005-0000-0000-0000AF6A0000}"/>
    <cellStyle name="Normal 2 3 2 6 4 5" xfId="27312" xr:uid="{00000000-0005-0000-0000-0000B06A0000}"/>
    <cellStyle name="Normal 2 3 2 6 4 6" xfId="27313" xr:uid="{00000000-0005-0000-0000-0000B16A0000}"/>
    <cellStyle name="Normal 2 3 2 6 4 7" xfId="27314" xr:uid="{00000000-0005-0000-0000-0000B26A0000}"/>
    <cellStyle name="Normal 2 3 2 6 4 8" xfId="27315" xr:uid="{00000000-0005-0000-0000-0000B36A0000}"/>
    <cellStyle name="Normal 2 3 2 6 4 9" xfId="27316" xr:uid="{00000000-0005-0000-0000-0000B46A0000}"/>
    <cellStyle name="Normal 2 3 2 6 5" xfId="27317" xr:uid="{00000000-0005-0000-0000-0000B56A0000}"/>
    <cellStyle name="Normal 2 3 2 6 5 10" xfId="27318" xr:uid="{00000000-0005-0000-0000-0000B66A0000}"/>
    <cellStyle name="Normal 2 3 2 6 5 2" xfId="27319" xr:uid="{00000000-0005-0000-0000-0000B76A0000}"/>
    <cellStyle name="Normal 2 3 2 6 5 3" xfId="27320" xr:uid="{00000000-0005-0000-0000-0000B86A0000}"/>
    <cellStyle name="Normal 2 3 2 6 5 4" xfId="27321" xr:uid="{00000000-0005-0000-0000-0000B96A0000}"/>
    <cellStyle name="Normal 2 3 2 6 5 5" xfId="27322" xr:uid="{00000000-0005-0000-0000-0000BA6A0000}"/>
    <cellStyle name="Normal 2 3 2 6 5 6" xfId="27323" xr:uid="{00000000-0005-0000-0000-0000BB6A0000}"/>
    <cellStyle name="Normal 2 3 2 6 5 7" xfId="27324" xr:uid="{00000000-0005-0000-0000-0000BC6A0000}"/>
    <cellStyle name="Normal 2 3 2 6 5 8" xfId="27325" xr:uid="{00000000-0005-0000-0000-0000BD6A0000}"/>
    <cellStyle name="Normal 2 3 2 6 5 9" xfId="27326" xr:uid="{00000000-0005-0000-0000-0000BE6A0000}"/>
    <cellStyle name="Normal 2 3 2 6 6" xfId="27327" xr:uid="{00000000-0005-0000-0000-0000BF6A0000}"/>
    <cellStyle name="Normal 2 3 2 6 7" xfId="27328" xr:uid="{00000000-0005-0000-0000-0000C06A0000}"/>
    <cellStyle name="Normal 2 3 2 6 8" xfId="27329" xr:uid="{00000000-0005-0000-0000-0000C16A0000}"/>
    <cellStyle name="Normal 2 3 2 6 9" xfId="27330" xr:uid="{00000000-0005-0000-0000-0000C26A0000}"/>
    <cellStyle name="Normal 2 3 2 7" xfId="27331" xr:uid="{00000000-0005-0000-0000-0000C36A0000}"/>
    <cellStyle name="Normal 2 3 2 7 10" xfId="27332" xr:uid="{00000000-0005-0000-0000-0000C46A0000}"/>
    <cellStyle name="Normal 2 3 2 7 11" xfId="27333" xr:uid="{00000000-0005-0000-0000-0000C56A0000}"/>
    <cellStyle name="Normal 2 3 2 7 12" xfId="27334" xr:uid="{00000000-0005-0000-0000-0000C66A0000}"/>
    <cellStyle name="Normal 2 3 2 7 13" xfId="27335" xr:uid="{00000000-0005-0000-0000-0000C76A0000}"/>
    <cellStyle name="Normal 2 3 2 7 14" xfId="27336" xr:uid="{00000000-0005-0000-0000-0000C86A0000}"/>
    <cellStyle name="Normal 2 3 2 7 2" xfId="27337" xr:uid="{00000000-0005-0000-0000-0000C96A0000}"/>
    <cellStyle name="Normal 2 3 2 7 2 10" xfId="27338" xr:uid="{00000000-0005-0000-0000-0000CA6A0000}"/>
    <cellStyle name="Normal 2 3 2 7 2 2" xfId="27339" xr:uid="{00000000-0005-0000-0000-0000CB6A0000}"/>
    <cellStyle name="Normal 2 3 2 7 2 3" xfId="27340" xr:uid="{00000000-0005-0000-0000-0000CC6A0000}"/>
    <cellStyle name="Normal 2 3 2 7 2 4" xfId="27341" xr:uid="{00000000-0005-0000-0000-0000CD6A0000}"/>
    <cellStyle name="Normal 2 3 2 7 2 5" xfId="27342" xr:uid="{00000000-0005-0000-0000-0000CE6A0000}"/>
    <cellStyle name="Normal 2 3 2 7 2 6" xfId="27343" xr:uid="{00000000-0005-0000-0000-0000CF6A0000}"/>
    <cellStyle name="Normal 2 3 2 7 2 7" xfId="27344" xr:uid="{00000000-0005-0000-0000-0000D06A0000}"/>
    <cellStyle name="Normal 2 3 2 7 2 8" xfId="27345" xr:uid="{00000000-0005-0000-0000-0000D16A0000}"/>
    <cellStyle name="Normal 2 3 2 7 2 9" xfId="27346" xr:uid="{00000000-0005-0000-0000-0000D26A0000}"/>
    <cellStyle name="Normal 2 3 2 7 3" xfId="27347" xr:uid="{00000000-0005-0000-0000-0000D36A0000}"/>
    <cellStyle name="Normal 2 3 2 7 3 10" xfId="27348" xr:uid="{00000000-0005-0000-0000-0000D46A0000}"/>
    <cellStyle name="Normal 2 3 2 7 3 2" xfId="27349" xr:uid="{00000000-0005-0000-0000-0000D56A0000}"/>
    <cellStyle name="Normal 2 3 2 7 3 3" xfId="27350" xr:uid="{00000000-0005-0000-0000-0000D66A0000}"/>
    <cellStyle name="Normal 2 3 2 7 3 4" xfId="27351" xr:uid="{00000000-0005-0000-0000-0000D76A0000}"/>
    <cellStyle name="Normal 2 3 2 7 3 5" xfId="27352" xr:uid="{00000000-0005-0000-0000-0000D86A0000}"/>
    <cellStyle name="Normal 2 3 2 7 3 6" xfId="27353" xr:uid="{00000000-0005-0000-0000-0000D96A0000}"/>
    <cellStyle name="Normal 2 3 2 7 3 7" xfId="27354" xr:uid="{00000000-0005-0000-0000-0000DA6A0000}"/>
    <cellStyle name="Normal 2 3 2 7 3 8" xfId="27355" xr:uid="{00000000-0005-0000-0000-0000DB6A0000}"/>
    <cellStyle name="Normal 2 3 2 7 3 9" xfId="27356" xr:uid="{00000000-0005-0000-0000-0000DC6A0000}"/>
    <cellStyle name="Normal 2 3 2 7 4" xfId="27357" xr:uid="{00000000-0005-0000-0000-0000DD6A0000}"/>
    <cellStyle name="Normal 2 3 2 7 4 10" xfId="27358" xr:uid="{00000000-0005-0000-0000-0000DE6A0000}"/>
    <cellStyle name="Normal 2 3 2 7 4 2" xfId="27359" xr:uid="{00000000-0005-0000-0000-0000DF6A0000}"/>
    <cellStyle name="Normal 2 3 2 7 4 3" xfId="27360" xr:uid="{00000000-0005-0000-0000-0000E06A0000}"/>
    <cellStyle name="Normal 2 3 2 7 4 4" xfId="27361" xr:uid="{00000000-0005-0000-0000-0000E16A0000}"/>
    <cellStyle name="Normal 2 3 2 7 4 5" xfId="27362" xr:uid="{00000000-0005-0000-0000-0000E26A0000}"/>
    <cellStyle name="Normal 2 3 2 7 4 6" xfId="27363" xr:uid="{00000000-0005-0000-0000-0000E36A0000}"/>
    <cellStyle name="Normal 2 3 2 7 4 7" xfId="27364" xr:uid="{00000000-0005-0000-0000-0000E46A0000}"/>
    <cellStyle name="Normal 2 3 2 7 4 8" xfId="27365" xr:uid="{00000000-0005-0000-0000-0000E56A0000}"/>
    <cellStyle name="Normal 2 3 2 7 4 9" xfId="27366" xr:uid="{00000000-0005-0000-0000-0000E66A0000}"/>
    <cellStyle name="Normal 2 3 2 7 5" xfId="27367" xr:uid="{00000000-0005-0000-0000-0000E76A0000}"/>
    <cellStyle name="Normal 2 3 2 7 5 10" xfId="27368" xr:uid="{00000000-0005-0000-0000-0000E86A0000}"/>
    <cellStyle name="Normal 2 3 2 7 5 2" xfId="27369" xr:uid="{00000000-0005-0000-0000-0000E96A0000}"/>
    <cellStyle name="Normal 2 3 2 7 5 3" xfId="27370" xr:uid="{00000000-0005-0000-0000-0000EA6A0000}"/>
    <cellStyle name="Normal 2 3 2 7 5 4" xfId="27371" xr:uid="{00000000-0005-0000-0000-0000EB6A0000}"/>
    <cellStyle name="Normal 2 3 2 7 5 5" xfId="27372" xr:uid="{00000000-0005-0000-0000-0000EC6A0000}"/>
    <cellStyle name="Normal 2 3 2 7 5 6" xfId="27373" xr:uid="{00000000-0005-0000-0000-0000ED6A0000}"/>
    <cellStyle name="Normal 2 3 2 7 5 7" xfId="27374" xr:uid="{00000000-0005-0000-0000-0000EE6A0000}"/>
    <cellStyle name="Normal 2 3 2 7 5 8" xfId="27375" xr:uid="{00000000-0005-0000-0000-0000EF6A0000}"/>
    <cellStyle name="Normal 2 3 2 7 5 9" xfId="27376" xr:uid="{00000000-0005-0000-0000-0000F06A0000}"/>
    <cellStyle name="Normal 2 3 2 7 6" xfId="27377" xr:uid="{00000000-0005-0000-0000-0000F16A0000}"/>
    <cellStyle name="Normal 2 3 2 7 7" xfId="27378" xr:uid="{00000000-0005-0000-0000-0000F26A0000}"/>
    <cellStyle name="Normal 2 3 2 7 8" xfId="27379" xr:uid="{00000000-0005-0000-0000-0000F36A0000}"/>
    <cellStyle name="Normal 2 3 2 7 9" xfId="27380" xr:uid="{00000000-0005-0000-0000-0000F46A0000}"/>
    <cellStyle name="Normal 2 3 2 8" xfId="27381" xr:uid="{00000000-0005-0000-0000-0000F56A0000}"/>
    <cellStyle name="Normal 2 3 2 8 10" xfId="27382" xr:uid="{00000000-0005-0000-0000-0000F66A0000}"/>
    <cellStyle name="Normal 2 3 2 8 11" xfId="27383" xr:uid="{00000000-0005-0000-0000-0000F76A0000}"/>
    <cellStyle name="Normal 2 3 2 8 12" xfId="27384" xr:uid="{00000000-0005-0000-0000-0000F86A0000}"/>
    <cellStyle name="Normal 2 3 2 8 13" xfId="27385" xr:uid="{00000000-0005-0000-0000-0000F96A0000}"/>
    <cellStyle name="Normal 2 3 2 8 14" xfId="27386" xr:uid="{00000000-0005-0000-0000-0000FA6A0000}"/>
    <cellStyle name="Normal 2 3 2 8 2" xfId="27387" xr:uid="{00000000-0005-0000-0000-0000FB6A0000}"/>
    <cellStyle name="Normal 2 3 2 8 2 10" xfId="27388" xr:uid="{00000000-0005-0000-0000-0000FC6A0000}"/>
    <cellStyle name="Normal 2 3 2 8 2 2" xfId="27389" xr:uid="{00000000-0005-0000-0000-0000FD6A0000}"/>
    <cellStyle name="Normal 2 3 2 8 2 3" xfId="27390" xr:uid="{00000000-0005-0000-0000-0000FE6A0000}"/>
    <cellStyle name="Normal 2 3 2 8 2 4" xfId="27391" xr:uid="{00000000-0005-0000-0000-0000FF6A0000}"/>
    <cellStyle name="Normal 2 3 2 8 2 5" xfId="27392" xr:uid="{00000000-0005-0000-0000-0000006B0000}"/>
    <cellStyle name="Normal 2 3 2 8 2 6" xfId="27393" xr:uid="{00000000-0005-0000-0000-0000016B0000}"/>
    <cellStyle name="Normal 2 3 2 8 2 7" xfId="27394" xr:uid="{00000000-0005-0000-0000-0000026B0000}"/>
    <cellStyle name="Normal 2 3 2 8 2 8" xfId="27395" xr:uid="{00000000-0005-0000-0000-0000036B0000}"/>
    <cellStyle name="Normal 2 3 2 8 2 9" xfId="27396" xr:uid="{00000000-0005-0000-0000-0000046B0000}"/>
    <cellStyle name="Normal 2 3 2 8 3" xfId="27397" xr:uid="{00000000-0005-0000-0000-0000056B0000}"/>
    <cellStyle name="Normal 2 3 2 8 3 10" xfId="27398" xr:uid="{00000000-0005-0000-0000-0000066B0000}"/>
    <cellStyle name="Normal 2 3 2 8 3 2" xfId="27399" xr:uid="{00000000-0005-0000-0000-0000076B0000}"/>
    <cellStyle name="Normal 2 3 2 8 3 3" xfId="27400" xr:uid="{00000000-0005-0000-0000-0000086B0000}"/>
    <cellStyle name="Normal 2 3 2 8 3 4" xfId="27401" xr:uid="{00000000-0005-0000-0000-0000096B0000}"/>
    <cellStyle name="Normal 2 3 2 8 3 5" xfId="27402" xr:uid="{00000000-0005-0000-0000-00000A6B0000}"/>
    <cellStyle name="Normal 2 3 2 8 3 6" xfId="27403" xr:uid="{00000000-0005-0000-0000-00000B6B0000}"/>
    <cellStyle name="Normal 2 3 2 8 3 7" xfId="27404" xr:uid="{00000000-0005-0000-0000-00000C6B0000}"/>
    <cellStyle name="Normal 2 3 2 8 3 8" xfId="27405" xr:uid="{00000000-0005-0000-0000-00000D6B0000}"/>
    <cellStyle name="Normal 2 3 2 8 3 9" xfId="27406" xr:uid="{00000000-0005-0000-0000-00000E6B0000}"/>
    <cellStyle name="Normal 2 3 2 8 4" xfId="27407" xr:uid="{00000000-0005-0000-0000-00000F6B0000}"/>
    <cellStyle name="Normal 2 3 2 8 4 10" xfId="27408" xr:uid="{00000000-0005-0000-0000-0000106B0000}"/>
    <cellStyle name="Normal 2 3 2 8 4 2" xfId="27409" xr:uid="{00000000-0005-0000-0000-0000116B0000}"/>
    <cellStyle name="Normal 2 3 2 8 4 3" xfId="27410" xr:uid="{00000000-0005-0000-0000-0000126B0000}"/>
    <cellStyle name="Normal 2 3 2 8 4 4" xfId="27411" xr:uid="{00000000-0005-0000-0000-0000136B0000}"/>
    <cellStyle name="Normal 2 3 2 8 4 5" xfId="27412" xr:uid="{00000000-0005-0000-0000-0000146B0000}"/>
    <cellStyle name="Normal 2 3 2 8 4 6" xfId="27413" xr:uid="{00000000-0005-0000-0000-0000156B0000}"/>
    <cellStyle name="Normal 2 3 2 8 4 7" xfId="27414" xr:uid="{00000000-0005-0000-0000-0000166B0000}"/>
    <cellStyle name="Normal 2 3 2 8 4 8" xfId="27415" xr:uid="{00000000-0005-0000-0000-0000176B0000}"/>
    <cellStyle name="Normal 2 3 2 8 4 9" xfId="27416" xr:uid="{00000000-0005-0000-0000-0000186B0000}"/>
    <cellStyle name="Normal 2 3 2 8 5" xfId="27417" xr:uid="{00000000-0005-0000-0000-0000196B0000}"/>
    <cellStyle name="Normal 2 3 2 8 5 10" xfId="27418" xr:uid="{00000000-0005-0000-0000-00001A6B0000}"/>
    <cellStyle name="Normal 2 3 2 8 5 2" xfId="27419" xr:uid="{00000000-0005-0000-0000-00001B6B0000}"/>
    <cellStyle name="Normal 2 3 2 8 5 3" xfId="27420" xr:uid="{00000000-0005-0000-0000-00001C6B0000}"/>
    <cellStyle name="Normal 2 3 2 8 5 4" xfId="27421" xr:uid="{00000000-0005-0000-0000-00001D6B0000}"/>
    <cellStyle name="Normal 2 3 2 8 5 5" xfId="27422" xr:uid="{00000000-0005-0000-0000-00001E6B0000}"/>
    <cellStyle name="Normal 2 3 2 8 5 6" xfId="27423" xr:uid="{00000000-0005-0000-0000-00001F6B0000}"/>
    <cellStyle name="Normal 2 3 2 8 5 7" xfId="27424" xr:uid="{00000000-0005-0000-0000-0000206B0000}"/>
    <cellStyle name="Normal 2 3 2 8 5 8" xfId="27425" xr:uid="{00000000-0005-0000-0000-0000216B0000}"/>
    <cellStyle name="Normal 2 3 2 8 5 9" xfId="27426" xr:uid="{00000000-0005-0000-0000-0000226B0000}"/>
    <cellStyle name="Normal 2 3 2 8 6" xfId="27427" xr:uid="{00000000-0005-0000-0000-0000236B0000}"/>
    <cellStyle name="Normal 2 3 2 8 7" xfId="27428" xr:uid="{00000000-0005-0000-0000-0000246B0000}"/>
    <cellStyle name="Normal 2 3 2 8 8" xfId="27429" xr:uid="{00000000-0005-0000-0000-0000256B0000}"/>
    <cellStyle name="Normal 2 3 2 8 9" xfId="27430" xr:uid="{00000000-0005-0000-0000-0000266B0000}"/>
    <cellStyle name="Normal 2 3 2 9" xfId="27431" xr:uid="{00000000-0005-0000-0000-0000276B0000}"/>
    <cellStyle name="Normal 2 3 2 9 10" xfId="27432" xr:uid="{00000000-0005-0000-0000-0000286B0000}"/>
    <cellStyle name="Normal 2 3 2 9 11" xfId="27433" xr:uid="{00000000-0005-0000-0000-0000296B0000}"/>
    <cellStyle name="Normal 2 3 2 9 12" xfId="27434" xr:uid="{00000000-0005-0000-0000-00002A6B0000}"/>
    <cellStyle name="Normal 2 3 2 9 13" xfId="27435" xr:uid="{00000000-0005-0000-0000-00002B6B0000}"/>
    <cellStyle name="Normal 2 3 2 9 14" xfId="27436" xr:uid="{00000000-0005-0000-0000-00002C6B0000}"/>
    <cellStyle name="Normal 2 3 2 9 2" xfId="27437" xr:uid="{00000000-0005-0000-0000-00002D6B0000}"/>
    <cellStyle name="Normal 2 3 2 9 2 10" xfId="27438" xr:uid="{00000000-0005-0000-0000-00002E6B0000}"/>
    <cellStyle name="Normal 2 3 2 9 2 2" xfId="27439" xr:uid="{00000000-0005-0000-0000-00002F6B0000}"/>
    <cellStyle name="Normal 2 3 2 9 2 3" xfId="27440" xr:uid="{00000000-0005-0000-0000-0000306B0000}"/>
    <cellStyle name="Normal 2 3 2 9 2 4" xfId="27441" xr:uid="{00000000-0005-0000-0000-0000316B0000}"/>
    <cellStyle name="Normal 2 3 2 9 2 5" xfId="27442" xr:uid="{00000000-0005-0000-0000-0000326B0000}"/>
    <cellStyle name="Normal 2 3 2 9 2 6" xfId="27443" xr:uid="{00000000-0005-0000-0000-0000336B0000}"/>
    <cellStyle name="Normal 2 3 2 9 2 7" xfId="27444" xr:uid="{00000000-0005-0000-0000-0000346B0000}"/>
    <cellStyle name="Normal 2 3 2 9 2 8" xfId="27445" xr:uid="{00000000-0005-0000-0000-0000356B0000}"/>
    <cellStyle name="Normal 2 3 2 9 2 9" xfId="27446" xr:uid="{00000000-0005-0000-0000-0000366B0000}"/>
    <cellStyle name="Normal 2 3 2 9 3" xfId="27447" xr:uid="{00000000-0005-0000-0000-0000376B0000}"/>
    <cellStyle name="Normal 2 3 2 9 3 10" xfId="27448" xr:uid="{00000000-0005-0000-0000-0000386B0000}"/>
    <cellStyle name="Normal 2 3 2 9 3 2" xfId="27449" xr:uid="{00000000-0005-0000-0000-0000396B0000}"/>
    <cellStyle name="Normal 2 3 2 9 3 3" xfId="27450" xr:uid="{00000000-0005-0000-0000-00003A6B0000}"/>
    <cellStyle name="Normal 2 3 2 9 3 4" xfId="27451" xr:uid="{00000000-0005-0000-0000-00003B6B0000}"/>
    <cellStyle name="Normal 2 3 2 9 3 5" xfId="27452" xr:uid="{00000000-0005-0000-0000-00003C6B0000}"/>
    <cellStyle name="Normal 2 3 2 9 3 6" xfId="27453" xr:uid="{00000000-0005-0000-0000-00003D6B0000}"/>
    <cellStyle name="Normal 2 3 2 9 3 7" xfId="27454" xr:uid="{00000000-0005-0000-0000-00003E6B0000}"/>
    <cellStyle name="Normal 2 3 2 9 3 8" xfId="27455" xr:uid="{00000000-0005-0000-0000-00003F6B0000}"/>
    <cellStyle name="Normal 2 3 2 9 3 9" xfId="27456" xr:uid="{00000000-0005-0000-0000-0000406B0000}"/>
    <cellStyle name="Normal 2 3 2 9 4" xfId="27457" xr:uid="{00000000-0005-0000-0000-0000416B0000}"/>
    <cellStyle name="Normal 2 3 2 9 4 10" xfId="27458" xr:uid="{00000000-0005-0000-0000-0000426B0000}"/>
    <cellStyle name="Normal 2 3 2 9 4 2" xfId="27459" xr:uid="{00000000-0005-0000-0000-0000436B0000}"/>
    <cellStyle name="Normal 2 3 2 9 4 3" xfId="27460" xr:uid="{00000000-0005-0000-0000-0000446B0000}"/>
    <cellStyle name="Normal 2 3 2 9 4 4" xfId="27461" xr:uid="{00000000-0005-0000-0000-0000456B0000}"/>
    <cellStyle name="Normal 2 3 2 9 4 5" xfId="27462" xr:uid="{00000000-0005-0000-0000-0000466B0000}"/>
    <cellStyle name="Normal 2 3 2 9 4 6" xfId="27463" xr:uid="{00000000-0005-0000-0000-0000476B0000}"/>
    <cellStyle name="Normal 2 3 2 9 4 7" xfId="27464" xr:uid="{00000000-0005-0000-0000-0000486B0000}"/>
    <cellStyle name="Normal 2 3 2 9 4 8" xfId="27465" xr:uid="{00000000-0005-0000-0000-0000496B0000}"/>
    <cellStyle name="Normal 2 3 2 9 4 9" xfId="27466" xr:uid="{00000000-0005-0000-0000-00004A6B0000}"/>
    <cellStyle name="Normal 2 3 2 9 5" xfId="27467" xr:uid="{00000000-0005-0000-0000-00004B6B0000}"/>
    <cellStyle name="Normal 2 3 2 9 5 10" xfId="27468" xr:uid="{00000000-0005-0000-0000-00004C6B0000}"/>
    <cellStyle name="Normal 2 3 2 9 5 2" xfId="27469" xr:uid="{00000000-0005-0000-0000-00004D6B0000}"/>
    <cellStyle name="Normal 2 3 2 9 5 3" xfId="27470" xr:uid="{00000000-0005-0000-0000-00004E6B0000}"/>
    <cellStyle name="Normal 2 3 2 9 5 4" xfId="27471" xr:uid="{00000000-0005-0000-0000-00004F6B0000}"/>
    <cellStyle name="Normal 2 3 2 9 5 5" xfId="27472" xr:uid="{00000000-0005-0000-0000-0000506B0000}"/>
    <cellStyle name="Normal 2 3 2 9 5 6" xfId="27473" xr:uid="{00000000-0005-0000-0000-0000516B0000}"/>
    <cellStyle name="Normal 2 3 2 9 5 7" xfId="27474" xr:uid="{00000000-0005-0000-0000-0000526B0000}"/>
    <cellStyle name="Normal 2 3 2 9 5 8" xfId="27475" xr:uid="{00000000-0005-0000-0000-0000536B0000}"/>
    <cellStyle name="Normal 2 3 2 9 5 9" xfId="27476" xr:uid="{00000000-0005-0000-0000-0000546B0000}"/>
    <cellStyle name="Normal 2 3 2 9 6" xfId="27477" xr:uid="{00000000-0005-0000-0000-0000556B0000}"/>
    <cellStyle name="Normal 2 3 2 9 7" xfId="27478" xr:uid="{00000000-0005-0000-0000-0000566B0000}"/>
    <cellStyle name="Normal 2 3 2 9 8" xfId="27479" xr:uid="{00000000-0005-0000-0000-0000576B0000}"/>
    <cellStyle name="Normal 2 3 2 9 9" xfId="27480" xr:uid="{00000000-0005-0000-0000-0000586B0000}"/>
    <cellStyle name="Normal 2 3 20" xfId="27481" xr:uid="{00000000-0005-0000-0000-0000596B0000}"/>
    <cellStyle name="Normal 2 3 20 10" xfId="27482" xr:uid="{00000000-0005-0000-0000-00005A6B0000}"/>
    <cellStyle name="Normal 2 3 20 11" xfId="27483" xr:uid="{00000000-0005-0000-0000-00005B6B0000}"/>
    <cellStyle name="Normal 2 3 20 12" xfId="27484" xr:uid="{00000000-0005-0000-0000-00005C6B0000}"/>
    <cellStyle name="Normal 2 3 20 13" xfId="27485" xr:uid="{00000000-0005-0000-0000-00005D6B0000}"/>
    <cellStyle name="Normal 2 3 20 14" xfId="27486" xr:uid="{00000000-0005-0000-0000-00005E6B0000}"/>
    <cellStyle name="Normal 2 3 20 2" xfId="27487" xr:uid="{00000000-0005-0000-0000-00005F6B0000}"/>
    <cellStyle name="Normal 2 3 20 2 10" xfId="27488" xr:uid="{00000000-0005-0000-0000-0000606B0000}"/>
    <cellStyle name="Normal 2 3 20 2 2" xfId="27489" xr:uid="{00000000-0005-0000-0000-0000616B0000}"/>
    <cellStyle name="Normal 2 3 20 2 3" xfId="27490" xr:uid="{00000000-0005-0000-0000-0000626B0000}"/>
    <cellStyle name="Normal 2 3 20 2 4" xfId="27491" xr:uid="{00000000-0005-0000-0000-0000636B0000}"/>
    <cellStyle name="Normal 2 3 20 2 5" xfId="27492" xr:uid="{00000000-0005-0000-0000-0000646B0000}"/>
    <cellStyle name="Normal 2 3 20 2 6" xfId="27493" xr:uid="{00000000-0005-0000-0000-0000656B0000}"/>
    <cellStyle name="Normal 2 3 20 2 7" xfId="27494" xr:uid="{00000000-0005-0000-0000-0000666B0000}"/>
    <cellStyle name="Normal 2 3 20 2 8" xfId="27495" xr:uid="{00000000-0005-0000-0000-0000676B0000}"/>
    <cellStyle name="Normal 2 3 20 2 9" xfId="27496" xr:uid="{00000000-0005-0000-0000-0000686B0000}"/>
    <cellStyle name="Normal 2 3 20 3" xfId="27497" xr:uid="{00000000-0005-0000-0000-0000696B0000}"/>
    <cellStyle name="Normal 2 3 20 3 10" xfId="27498" xr:uid="{00000000-0005-0000-0000-00006A6B0000}"/>
    <cellStyle name="Normal 2 3 20 3 2" xfId="27499" xr:uid="{00000000-0005-0000-0000-00006B6B0000}"/>
    <cellStyle name="Normal 2 3 20 3 3" xfId="27500" xr:uid="{00000000-0005-0000-0000-00006C6B0000}"/>
    <cellStyle name="Normal 2 3 20 3 4" xfId="27501" xr:uid="{00000000-0005-0000-0000-00006D6B0000}"/>
    <cellStyle name="Normal 2 3 20 3 5" xfId="27502" xr:uid="{00000000-0005-0000-0000-00006E6B0000}"/>
    <cellStyle name="Normal 2 3 20 3 6" xfId="27503" xr:uid="{00000000-0005-0000-0000-00006F6B0000}"/>
    <cellStyle name="Normal 2 3 20 3 7" xfId="27504" xr:uid="{00000000-0005-0000-0000-0000706B0000}"/>
    <cellStyle name="Normal 2 3 20 3 8" xfId="27505" xr:uid="{00000000-0005-0000-0000-0000716B0000}"/>
    <cellStyle name="Normal 2 3 20 3 9" xfId="27506" xr:uid="{00000000-0005-0000-0000-0000726B0000}"/>
    <cellStyle name="Normal 2 3 20 4" xfId="27507" xr:uid="{00000000-0005-0000-0000-0000736B0000}"/>
    <cellStyle name="Normal 2 3 20 4 10" xfId="27508" xr:uid="{00000000-0005-0000-0000-0000746B0000}"/>
    <cellStyle name="Normal 2 3 20 4 2" xfId="27509" xr:uid="{00000000-0005-0000-0000-0000756B0000}"/>
    <cellStyle name="Normal 2 3 20 4 3" xfId="27510" xr:uid="{00000000-0005-0000-0000-0000766B0000}"/>
    <cellStyle name="Normal 2 3 20 4 4" xfId="27511" xr:uid="{00000000-0005-0000-0000-0000776B0000}"/>
    <cellStyle name="Normal 2 3 20 4 5" xfId="27512" xr:uid="{00000000-0005-0000-0000-0000786B0000}"/>
    <cellStyle name="Normal 2 3 20 4 6" xfId="27513" xr:uid="{00000000-0005-0000-0000-0000796B0000}"/>
    <cellStyle name="Normal 2 3 20 4 7" xfId="27514" xr:uid="{00000000-0005-0000-0000-00007A6B0000}"/>
    <cellStyle name="Normal 2 3 20 4 8" xfId="27515" xr:uid="{00000000-0005-0000-0000-00007B6B0000}"/>
    <cellStyle name="Normal 2 3 20 4 9" xfId="27516" xr:uid="{00000000-0005-0000-0000-00007C6B0000}"/>
    <cellStyle name="Normal 2 3 20 5" xfId="27517" xr:uid="{00000000-0005-0000-0000-00007D6B0000}"/>
    <cellStyle name="Normal 2 3 20 5 10" xfId="27518" xr:uid="{00000000-0005-0000-0000-00007E6B0000}"/>
    <cellStyle name="Normal 2 3 20 5 2" xfId="27519" xr:uid="{00000000-0005-0000-0000-00007F6B0000}"/>
    <cellStyle name="Normal 2 3 20 5 3" xfId="27520" xr:uid="{00000000-0005-0000-0000-0000806B0000}"/>
    <cellStyle name="Normal 2 3 20 5 4" xfId="27521" xr:uid="{00000000-0005-0000-0000-0000816B0000}"/>
    <cellStyle name="Normal 2 3 20 5 5" xfId="27522" xr:uid="{00000000-0005-0000-0000-0000826B0000}"/>
    <cellStyle name="Normal 2 3 20 5 6" xfId="27523" xr:uid="{00000000-0005-0000-0000-0000836B0000}"/>
    <cellStyle name="Normal 2 3 20 5 7" xfId="27524" xr:uid="{00000000-0005-0000-0000-0000846B0000}"/>
    <cellStyle name="Normal 2 3 20 5 8" xfId="27525" xr:uid="{00000000-0005-0000-0000-0000856B0000}"/>
    <cellStyle name="Normal 2 3 20 5 9" xfId="27526" xr:uid="{00000000-0005-0000-0000-0000866B0000}"/>
    <cellStyle name="Normal 2 3 20 6" xfId="27527" xr:uid="{00000000-0005-0000-0000-0000876B0000}"/>
    <cellStyle name="Normal 2 3 20 7" xfId="27528" xr:uid="{00000000-0005-0000-0000-0000886B0000}"/>
    <cellStyle name="Normal 2 3 20 8" xfId="27529" xr:uid="{00000000-0005-0000-0000-0000896B0000}"/>
    <cellStyle name="Normal 2 3 20 9" xfId="27530" xr:uid="{00000000-0005-0000-0000-00008A6B0000}"/>
    <cellStyle name="Normal 2 3 21" xfId="27531" xr:uid="{00000000-0005-0000-0000-00008B6B0000}"/>
    <cellStyle name="Normal 2 3 21 10" xfId="27532" xr:uid="{00000000-0005-0000-0000-00008C6B0000}"/>
    <cellStyle name="Normal 2 3 21 11" xfId="27533" xr:uid="{00000000-0005-0000-0000-00008D6B0000}"/>
    <cellStyle name="Normal 2 3 21 12" xfId="27534" xr:uid="{00000000-0005-0000-0000-00008E6B0000}"/>
    <cellStyle name="Normal 2 3 21 13" xfId="27535" xr:uid="{00000000-0005-0000-0000-00008F6B0000}"/>
    <cellStyle name="Normal 2 3 21 14" xfId="27536" xr:uid="{00000000-0005-0000-0000-0000906B0000}"/>
    <cellStyle name="Normal 2 3 21 2" xfId="27537" xr:uid="{00000000-0005-0000-0000-0000916B0000}"/>
    <cellStyle name="Normal 2 3 21 2 10" xfId="27538" xr:uid="{00000000-0005-0000-0000-0000926B0000}"/>
    <cellStyle name="Normal 2 3 21 2 2" xfId="27539" xr:uid="{00000000-0005-0000-0000-0000936B0000}"/>
    <cellStyle name="Normal 2 3 21 2 3" xfId="27540" xr:uid="{00000000-0005-0000-0000-0000946B0000}"/>
    <cellStyle name="Normal 2 3 21 2 4" xfId="27541" xr:uid="{00000000-0005-0000-0000-0000956B0000}"/>
    <cellStyle name="Normal 2 3 21 2 5" xfId="27542" xr:uid="{00000000-0005-0000-0000-0000966B0000}"/>
    <cellStyle name="Normal 2 3 21 2 6" xfId="27543" xr:uid="{00000000-0005-0000-0000-0000976B0000}"/>
    <cellStyle name="Normal 2 3 21 2 7" xfId="27544" xr:uid="{00000000-0005-0000-0000-0000986B0000}"/>
    <cellStyle name="Normal 2 3 21 2 8" xfId="27545" xr:uid="{00000000-0005-0000-0000-0000996B0000}"/>
    <cellStyle name="Normal 2 3 21 2 9" xfId="27546" xr:uid="{00000000-0005-0000-0000-00009A6B0000}"/>
    <cellStyle name="Normal 2 3 21 3" xfId="27547" xr:uid="{00000000-0005-0000-0000-00009B6B0000}"/>
    <cellStyle name="Normal 2 3 21 3 10" xfId="27548" xr:uid="{00000000-0005-0000-0000-00009C6B0000}"/>
    <cellStyle name="Normal 2 3 21 3 2" xfId="27549" xr:uid="{00000000-0005-0000-0000-00009D6B0000}"/>
    <cellStyle name="Normal 2 3 21 3 3" xfId="27550" xr:uid="{00000000-0005-0000-0000-00009E6B0000}"/>
    <cellStyle name="Normal 2 3 21 3 4" xfId="27551" xr:uid="{00000000-0005-0000-0000-00009F6B0000}"/>
    <cellStyle name="Normal 2 3 21 3 5" xfId="27552" xr:uid="{00000000-0005-0000-0000-0000A06B0000}"/>
    <cellStyle name="Normal 2 3 21 3 6" xfId="27553" xr:uid="{00000000-0005-0000-0000-0000A16B0000}"/>
    <cellStyle name="Normal 2 3 21 3 7" xfId="27554" xr:uid="{00000000-0005-0000-0000-0000A26B0000}"/>
    <cellStyle name="Normal 2 3 21 3 8" xfId="27555" xr:uid="{00000000-0005-0000-0000-0000A36B0000}"/>
    <cellStyle name="Normal 2 3 21 3 9" xfId="27556" xr:uid="{00000000-0005-0000-0000-0000A46B0000}"/>
    <cellStyle name="Normal 2 3 21 4" xfId="27557" xr:uid="{00000000-0005-0000-0000-0000A56B0000}"/>
    <cellStyle name="Normal 2 3 21 4 10" xfId="27558" xr:uid="{00000000-0005-0000-0000-0000A66B0000}"/>
    <cellStyle name="Normal 2 3 21 4 2" xfId="27559" xr:uid="{00000000-0005-0000-0000-0000A76B0000}"/>
    <cellStyle name="Normal 2 3 21 4 3" xfId="27560" xr:uid="{00000000-0005-0000-0000-0000A86B0000}"/>
    <cellStyle name="Normal 2 3 21 4 4" xfId="27561" xr:uid="{00000000-0005-0000-0000-0000A96B0000}"/>
    <cellStyle name="Normal 2 3 21 4 5" xfId="27562" xr:uid="{00000000-0005-0000-0000-0000AA6B0000}"/>
    <cellStyle name="Normal 2 3 21 4 6" xfId="27563" xr:uid="{00000000-0005-0000-0000-0000AB6B0000}"/>
    <cellStyle name="Normal 2 3 21 4 7" xfId="27564" xr:uid="{00000000-0005-0000-0000-0000AC6B0000}"/>
    <cellStyle name="Normal 2 3 21 4 8" xfId="27565" xr:uid="{00000000-0005-0000-0000-0000AD6B0000}"/>
    <cellStyle name="Normal 2 3 21 4 9" xfId="27566" xr:uid="{00000000-0005-0000-0000-0000AE6B0000}"/>
    <cellStyle name="Normal 2 3 21 5" xfId="27567" xr:uid="{00000000-0005-0000-0000-0000AF6B0000}"/>
    <cellStyle name="Normal 2 3 21 5 10" xfId="27568" xr:uid="{00000000-0005-0000-0000-0000B06B0000}"/>
    <cellStyle name="Normal 2 3 21 5 2" xfId="27569" xr:uid="{00000000-0005-0000-0000-0000B16B0000}"/>
    <cellStyle name="Normal 2 3 21 5 3" xfId="27570" xr:uid="{00000000-0005-0000-0000-0000B26B0000}"/>
    <cellStyle name="Normal 2 3 21 5 4" xfId="27571" xr:uid="{00000000-0005-0000-0000-0000B36B0000}"/>
    <cellStyle name="Normal 2 3 21 5 5" xfId="27572" xr:uid="{00000000-0005-0000-0000-0000B46B0000}"/>
    <cellStyle name="Normal 2 3 21 5 6" xfId="27573" xr:uid="{00000000-0005-0000-0000-0000B56B0000}"/>
    <cellStyle name="Normal 2 3 21 5 7" xfId="27574" xr:uid="{00000000-0005-0000-0000-0000B66B0000}"/>
    <cellStyle name="Normal 2 3 21 5 8" xfId="27575" xr:uid="{00000000-0005-0000-0000-0000B76B0000}"/>
    <cellStyle name="Normal 2 3 21 5 9" xfId="27576" xr:uid="{00000000-0005-0000-0000-0000B86B0000}"/>
    <cellStyle name="Normal 2 3 21 6" xfId="27577" xr:uid="{00000000-0005-0000-0000-0000B96B0000}"/>
    <cellStyle name="Normal 2 3 21 7" xfId="27578" xr:uid="{00000000-0005-0000-0000-0000BA6B0000}"/>
    <cellStyle name="Normal 2 3 21 8" xfId="27579" xr:uid="{00000000-0005-0000-0000-0000BB6B0000}"/>
    <cellStyle name="Normal 2 3 21 9" xfId="27580" xr:uid="{00000000-0005-0000-0000-0000BC6B0000}"/>
    <cellStyle name="Normal 2 3 22" xfId="27581" xr:uid="{00000000-0005-0000-0000-0000BD6B0000}"/>
    <cellStyle name="Normal 2 3 22 10" xfId="27582" xr:uid="{00000000-0005-0000-0000-0000BE6B0000}"/>
    <cellStyle name="Normal 2 3 22 11" xfId="27583" xr:uid="{00000000-0005-0000-0000-0000BF6B0000}"/>
    <cellStyle name="Normal 2 3 22 12" xfId="27584" xr:uid="{00000000-0005-0000-0000-0000C06B0000}"/>
    <cellStyle name="Normal 2 3 22 13" xfId="27585" xr:uid="{00000000-0005-0000-0000-0000C16B0000}"/>
    <cellStyle name="Normal 2 3 22 14" xfId="27586" xr:uid="{00000000-0005-0000-0000-0000C26B0000}"/>
    <cellStyle name="Normal 2 3 22 2" xfId="27587" xr:uid="{00000000-0005-0000-0000-0000C36B0000}"/>
    <cellStyle name="Normal 2 3 22 2 10" xfId="27588" xr:uid="{00000000-0005-0000-0000-0000C46B0000}"/>
    <cellStyle name="Normal 2 3 22 2 2" xfId="27589" xr:uid="{00000000-0005-0000-0000-0000C56B0000}"/>
    <cellStyle name="Normal 2 3 22 2 3" xfId="27590" xr:uid="{00000000-0005-0000-0000-0000C66B0000}"/>
    <cellStyle name="Normal 2 3 22 2 4" xfId="27591" xr:uid="{00000000-0005-0000-0000-0000C76B0000}"/>
    <cellStyle name="Normal 2 3 22 2 5" xfId="27592" xr:uid="{00000000-0005-0000-0000-0000C86B0000}"/>
    <cellStyle name="Normal 2 3 22 2 6" xfId="27593" xr:uid="{00000000-0005-0000-0000-0000C96B0000}"/>
    <cellStyle name="Normal 2 3 22 2 7" xfId="27594" xr:uid="{00000000-0005-0000-0000-0000CA6B0000}"/>
    <cellStyle name="Normal 2 3 22 2 8" xfId="27595" xr:uid="{00000000-0005-0000-0000-0000CB6B0000}"/>
    <cellStyle name="Normal 2 3 22 2 9" xfId="27596" xr:uid="{00000000-0005-0000-0000-0000CC6B0000}"/>
    <cellStyle name="Normal 2 3 22 3" xfId="27597" xr:uid="{00000000-0005-0000-0000-0000CD6B0000}"/>
    <cellStyle name="Normal 2 3 22 3 10" xfId="27598" xr:uid="{00000000-0005-0000-0000-0000CE6B0000}"/>
    <cellStyle name="Normal 2 3 22 3 2" xfId="27599" xr:uid="{00000000-0005-0000-0000-0000CF6B0000}"/>
    <cellStyle name="Normal 2 3 22 3 3" xfId="27600" xr:uid="{00000000-0005-0000-0000-0000D06B0000}"/>
    <cellStyle name="Normal 2 3 22 3 4" xfId="27601" xr:uid="{00000000-0005-0000-0000-0000D16B0000}"/>
    <cellStyle name="Normal 2 3 22 3 5" xfId="27602" xr:uid="{00000000-0005-0000-0000-0000D26B0000}"/>
    <cellStyle name="Normal 2 3 22 3 6" xfId="27603" xr:uid="{00000000-0005-0000-0000-0000D36B0000}"/>
    <cellStyle name="Normal 2 3 22 3 7" xfId="27604" xr:uid="{00000000-0005-0000-0000-0000D46B0000}"/>
    <cellStyle name="Normal 2 3 22 3 8" xfId="27605" xr:uid="{00000000-0005-0000-0000-0000D56B0000}"/>
    <cellStyle name="Normal 2 3 22 3 9" xfId="27606" xr:uid="{00000000-0005-0000-0000-0000D66B0000}"/>
    <cellStyle name="Normal 2 3 22 4" xfId="27607" xr:uid="{00000000-0005-0000-0000-0000D76B0000}"/>
    <cellStyle name="Normal 2 3 22 4 10" xfId="27608" xr:uid="{00000000-0005-0000-0000-0000D86B0000}"/>
    <cellStyle name="Normal 2 3 22 4 2" xfId="27609" xr:uid="{00000000-0005-0000-0000-0000D96B0000}"/>
    <cellStyle name="Normal 2 3 22 4 3" xfId="27610" xr:uid="{00000000-0005-0000-0000-0000DA6B0000}"/>
    <cellStyle name="Normal 2 3 22 4 4" xfId="27611" xr:uid="{00000000-0005-0000-0000-0000DB6B0000}"/>
    <cellStyle name="Normal 2 3 22 4 5" xfId="27612" xr:uid="{00000000-0005-0000-0000-0000DC6B0000}"/>
    <cellStyle name="Normal 2 3 22 4 6" xfId="27613" xr:uid="{00000000-0005-0000-0000-0000DD6B0000}"/>
    <cellStyle name="Normal 2 3 22 4 7" xfId="27614" xr:uid="{00000000-0005-0000-0000-0000DE6B0000}"/>
    <cellStyle name="Normal 2 3 22 4 8" xfId="27615" xr:uid="{00000000-0005-0000-0000-0000DF6B0000}"/>
    <cellStyle name="Normal 2 3 22 4 9" xfId="27616" xr:uid="{00000000-0005-0000-0000-0000E06B0000}"/>
    <cellStyle name="Normal 2 3 22 5" xfId="27617" xr:uid="{00000000-0005-0000-0000-0000E16B0000}"/>
    <cellStyle name="Normal 2 3 22 5 10" xfId="27618" xr:uid="{00000000-0005-0000-0000-0000E26B0000}"/>
    <cellStyle name="Normal 2 3 22 5 2" xfId="27619" xr:uid="{00000000-0005-0000-0000-0000E36B0000}"/>
    <cellStyle name="Normal 2 3 22 5 3" xfId="27620" xr:uid="{00000000-0005-0000-0000-0000E46B0000}"/>
    <cellStyle name="Normal 2 3 22 5 4" xfId="27621" xr:uid="{00000000-0005-0000-0000-0000E56B0000}"/>
    <cellStyle name="Normal 2 3 22 5 5" xfId="27622" xr:uid="{00000000-0005-0000-0000-0000E66B0000}"/>
    <cellStyle name="Normal 2 3 22 5 6" xfId="27623" xr:uid="{00000000-0005-0000-0000-0000E76B0000}"/>
    <cellStyle name="Normal 2 3 22 5 7" xfId="27624" xr:uid="{00000000-0005-0000-0000-0000E86B0000}"/>
    <cellStyle name="Normal 2 3 22 5 8" xfId="27625" xr:uid="{00000000-0005-0000-0000-0000E96B0000}"/>
    <cellStyle name="Normal 2 3 22 5 9" xfId="27626" xr:uid="{00000000-0005-0000-0000-0000EA6B0000}"/>
    <cellStyle name="Normal 2 3 22 6" xfId="27627" xr:uid="{00000000-0005-0000-0000-0000EB6B0000}"/>
    <cellStyle name="Normal 2 3 22 7" xfId="27628" xr:uid="{00000000-0005-0000-0000-0000EC6B0000}"/>
    <cellStyle name="Normal 2 3 22 8" xfId="27629" xr:uid="{00000000-0005-0000-0000-0000ED6B0000}"/>
    <cellStyle name="Normal 2 3 22 9" xfId="27630" xr:uid="{00000000-0005-0000-0000-0000EE6B0000}"/>
    <cellStyle name="Normal 2 3 23" xfId="27631" xr:uid="{00000000-0005-0000-0000-0000EF6B0000}"/>
    <cellStyle name="Normal 2 3 23 10" xfId="27632" xr:uid="{00000000-0005-0000-0000-0000F06B0000}"/>
    <cellStyle name="Normal 2 3 23 11" xfId="27633" xr:uid="{00000000-0005-0000-0000-0000F16B0000}"/>
    <cellStyle name="Normal 2 3 23 12" xfId="27634" xr:uid="{00000000-0005-0000-0000-0000F26B0000}"/>
    <cellStyle name="Normal 2 3 23 13" xfId="27635" xr:uid="{00000000-0005-0000-0000-0000F36B0000}"/>
    <cellStyle name="Normal 2 3 23 14" xfId="27636" xr:uid="{00000000-0005-0000-0000-0000F46B0000}"/>
    <cellStyle name="Normal 2 3 23 2" xfId="27637" xr:uid="{00000000-0005-0000-0000-0000F56B0000}"/>
    <cellStyle name="Normal 2 3 23 2 10" xfId="27638" xr:uid="{00000000-0005-0000-0000-0000F66B0000}"/>
    <cellStyle name="Normal 2 3 23 2 2" xfId="27639" xr:uid="{00000000-0005-0000-0000-0000F76B0000}"/>
    <cellStyle name="Normal 2 3 23 2 3" xfId="27640" xr:uid="{00000000-0005-0000-0000-0000F86B0000}"/>
    <cellStyle name="Normal 2 3 23 2 4" xfId="27641" xr:uid="{00000000-0005-0000-0000-0000F96B0000}"/>
    <cellStyle name="Normal 2 3 23 2 5" xfId="27642" xr:uid="{00000000-0005-0000-0000-0000FA6B0000}"/>
    <cellStyle name="Normal 2 3 23 2 6" xfId="27643" xr:uid="{00000000-0005-0000-0000-0000FB6B0000}"/>
    <cellStyle name="Normal 2 3 23 2 7" xfId="27644" xr:uid="{00000000-0005-0000-0000-0000FC6B0000}"/>
    <cellStyle name="Normal 2 3 23 2 8" xfId="27645" xr:uid="{00000000-0005-0000-0000-0000FD6B0000}"/>
    <cellStyle name="Normal 2 3 23 2 9" xfId="27646" xr:uid="{00000000-0005-0000-0000-0000FE6B0000}"/>
    <cellStyle name="Normal 2 3 23 3" xfId="27647" xr:uid="{00000000-0005-0000-0000-0000FF6B0000}"/>
    <cellStyle name="Normal 2 3 23 3 10" xfId="27648" xr:uid="{00000000-0005-0000-0000-0000006C0000}"/>
    <cellStyle name="Normal 2 3 23 3 2" xfId="27649" xr:uid="{00000000-0005-0000-0000-0000016C0000}"/>
    <cellStyle name="Normal 2 3 23 3 3" xfId="27650" xr:uid="{00000000-0005-0000-0000-0000026C0000}"/>
    <cellStyle name="Normal 2 3 23 3 4" xfId="27651" xr:uid="{00000000-0005-0000-0000-0000036C0000}"/>
    <cellStyle name="Normal 2 3 23 3 5" xfId="27652" xr:uid="{00000000-0005-0000-0000-0000046C0000}"/>
    <cellStyle name="Normal 2 3 23 3 6" xfId="27653" xr:uid="{00000000-0005-0000-0000-0000056C0000}"/>
    <cellStyle name="Normal 2 3 23 3 7" xfId="27654" xr:uid="{00000000-0005-0000-0000-0000066C0000}"/>
    <cellStyle name="Normal 2 3 23 3 8" xfId="27655" xr:uid="{00000000-0005-0000-0000-0000076C0000}"/>
    <cellStyle name="Normal 2 3 23 3 9" xfId="27656" xr:uid="{00000000-0005-0000-0000-0000086C0000}"/>
    <cellStyle name="Normal 2 3 23 4" xfId="27657" xr:uid="{00000000-0005-0000-0000-0000096C0000}"/>
    <cellStyle name="Normal 2 3 23 4 10" xfId="27658" xr:uid="{00000000-0005-0000-0000-00000A6C0000}"/>
    <cellStyle name="Normal 2 3 23 4 2" xfId="27659" xr:uid="{00000000-0005-0000-0000-00000B6C0000}"/>
    <cellStyle name="Normal 2 3 23 4 3" xfId="27660" xr:uid="{00000000-0005-0000-0000-00000C6C0000}"/>
    <cellStyle name="Normal 2 3 23 4 4" xfId="27661" xr:uid="{00000000-0005-0000-0000-00000D6C0000}"/>
    <cellStyle name="Normal 2 3 23 4 5" xfId="27662" xr:uid="{00000000-0005-0000-0000-00000E6C0000}"/>
    <cellStyle name="Normal 2 3 23 4 6" xfId="27663" xr:uid="{00000000-0005-0000-0000-00000F6C0000}"/>
    <cellStyle name="Normal 2 3 23 4 7" xfId="27664" xr:uid="{00000000-0005-0000-0000-0000106C0000}"/>
    <cellStyle name="Normal 2 3 23 4 8" xfId="27665" xr:uid="{00000000-0005-0000-0000-0000116C0000}"/>
    <cellStyle name="Normal 2 3 23 4 9" xfId="27666" xr:uid="{00000000-0005-0000-0000-0000126C0000}"/>
    <cellStyle name="Normal 2 3 23 5" xfId="27667" xr:uid="{00000000-0005-0000-0000-0000136C0000}"/>
    <cellStyle name="Normal 2 3 23 5 10" xfId="27668" xr:uid="{00000000-0005-0000-0000-0000146C0000}"/>
    <cellStyle name="Normal 2 3 23 5 2" xfId="27669" xr:uid="{00000000-0005-0000-0000-0000156C0000}"/>
    <cellStyle name="Normal 2 3 23 5 3" xfId="27670" xr:uid="{00000000-0005-0000-0000-0000166C0000}"/>
    <cellStyle name="Normal 2 3 23 5 4" xfId="27671" xr:uid="{00000000-0005-0000-0000-0000176C0000}"/>
    <cellStyle name="Normal 2 3 23 5 5" xfId="27672" xr:uid="{00000000-0005-0000-0000-0000186C0000}"/>
    <cellStyle name="Normal 2 3 23 5 6" xfId="27673" xr:uid="{00000000-0005-0000-0000-0000196C0000}"/>
    <cellStyle name="Normal 2 3 23 5 7" xfId="27674" xr:uid="{00000000-0005-0000-0000-00001A6C0000}"/>
    <cellStyle name="Normal 2 3 23 5 8" xfId="27675" xr:uid="{00000000-0005-0000-0000-00001B6C0000}"/>
    <cellStyle name="Normal 2 3 23 5 9" xfId="27676" xr:uid="{00000000-0005-0000-0000-00001C6C0000}"/>
    <cellStyle name="Normal 2 3 23 6" xfId="27677" xr:uid="{00000000-0005-0000-0000-00001D6C0000}"/>
    <cellStyle name="Normal 2 3 23 7" xfId="27678" xr:uid="{00000000-0005-0000-0000-00001E6C0000}"/>
    <cellStyle name="Normal 2 3 23 8" xfId="27679" xr:uid="{00000000-0005-0000-0000-00001F6C0000}"/>
    <cellStyle name="Normal 2 3 23 9" xfId="27680" xr:uid="{00000000-0005-0000-0000-0000206C0000}"/>
    <cellStyle name="Normal 2 3 24" xfId="27681" xr:uid="{00000000-0005-0000-0000-0000216C0000}"/>
    <cellStyle name="Normal 2 3 24 10" xfId="27682" xr:uid="{00000000-0005-0000-0000-0000226C0000}"/>
    <cellStyle name="Normal 2 3 24 11" xfId="27683" xr:uid="{00000000-0005-0000-0000-0000236C0000}"/>
    <cellStyle name="Normal 2 3 24 12" xfId="27684" xr:uid="{00000000-0005-0000-0000-0000246C0000}"/>
    <cellStyle name="Normal 2 3 24 13" xfId="27685" xr:uid="{00000000-0005-0000-0000-0000256C0000}"/>
    <cellStyle name="Normal 2 3 24 14" xfId="27686" xr:uid="{00000000-0005-0000-0000-0000266C0000}"/>
    <cellStyle name="Normal 2 3 24 2" xfId="27687" xr:uid="{00000000-0005-0000-0000-0000276C0000}"/>
    <cellStyle name="Normal 2 3 24 2 10" xfId="27688" xr:uid="{00000000-0005-0000-0000-0000286C0000}"/>
    <cellStyle name="Normal 2 3 24 2 2" xfId="27689" xr:uid="{00000000-0005-0000-0000-0000296C0000}"/>
    <cellStyle name="Normal 2 3 24 2 3" xfId="27690" xr:uid="{00000000-0005-0000-0000-00002A6C0000}"/>
    <cellStyle name="Normal 2 3 24 2 4" xfId="27691" xr:uid="{00000000-0005-0000-0000-00002B6C0000}"/>
    <cellStyle name="Normal 2 3 24 2 5" xfId="27692" xr:uid="{00000000-0005-0000-0000-00002C6C0000}"/>
    <cellStyle name="Normal 2 3 24 2 6" xfId="27693" xr:uid="{00000000-0005-0000-0000-00002D6C0000}"/>
    <cellStyle name="Normal 2 3 24 2 7" xfId="27694" xr:uid="{00000000-0005-0000-0000-00002E6C0000}"/>
    <cellStyle name="Normal 2 3 24 2 8" xfId="27695" xr:uid="{00000000-0005-0000-0000-00002F6C0000}"/>
    <cellStyle name="Normal 2 3 24 2 9" xfId="27696" xr:uid="{00000000-0005-0000-0000-0000306C0000}"/>
    <cellStyle name="Normal 2 3 24 3" xfId="27697" xr:uid="{00000000-0005-0000-0000-0000316C0000}"/>
    <cellStyle name="Normal 2 3 24 3 10" xfId="27698" xr:uid="{00000000-0005-0000-0000-0000326C0000}"/>
    <cellStyle name="Normal 2 3 24 3 2" xfId="27699" xr:uid="{00000000-0005-0000-0000-0000336C0000}"/>
    <cellStyle name="Normal 2 3 24 3 3" xfId="27700" xr:uid="{00000000-0005-0000-0000-0000346C0000}"/>
    <cellStyle name="Normal 2 3 24 3 4" xfId="27701" xr:uid="{00000000-0005-0000-0000-0000356C0000}"/>
    <cellStyle name="Normal 2 3 24 3 5" xfId="27702" xr:uid="{00000000-0005-0000-0000-0000366C0000}"/>
    <cellStyle name="Normal 2 3 24 3 6" xfId="27703" xr:uid="{00000000-0005-0000-0000-0000376C0000}"/>
    <cellStyle name="Normal 2 3 24 3 7" xfId="27704" xr:uid="{00000000-0005-0000-0000-0000386C0000}"/>
    <cellStyle name="Normal 2 3 24 3 8" xfId="27705" xr:uid="{00000000-0005-0000-0000-0000396C0000}"/>
    <cellStyle name="Normal 2 3 24 3 9" xfId="27706" xr:uid="{00000000-0005-0000-0000-00003A6C0000}"/>
    <cellStyle name="Normal 2 3 24 4" xfId="27707" xr:uid="{00000000-0005-0000-0000-00003B6C0000}"/>
    <cellStyle name="Normal 2 3 24 4 10" xfId="27708" xr:uid="{00000000-0005-0000-0000-00003C6C0000}"/>
    <cellStyle name="Normal 2 3 24 4 2" xfId="27709" xr:uid="{00000000-0005-0000-0000-00003D6C0000}"/>
    <cellStyle name="Normal 2 3 24 4 3" xfId="27710" xr:uid="{00000000-0005-0000-0000-00003E6C0000}"/>
    <cellStyle name="Normal 2 3 24 4 4" xfId="27711" xr:uid="{00000000-0005-0000-0000-00003F6C0000}"/>
    <cellStyle name="Normal 2 3 24 4 5" xfId="27712" xr:uid="{00000000-0005-0000-0000-0000406C0000}"/>
    <cellStyle name="Normal 2 3 24 4 6" xfId="27713" xr:uid="{00000000-0005-0000-0000-0000416C0000}"/>
    <cellStyle name="Normal 2 3 24 4 7" xfId="27714" xr:uid="{00000000-0005-0000-0000-0000426C0000}"/>
    <cellStyle name="Normal 2 3 24 4 8" xfId="27715" xr:uid="{00000000-0005-0000-0000-0000436C0000}"/>
    <cellStyle name="Normal 2 3 24 4 9" xfId="27716" xr:uid="{00000000-0005-0000-0000-0000446C0000}"/>
    <cellStyle name="Normal 2 3 24 5" xfId="27717" xr:uid="{00000000-0005-0000-0000-0000456C0000}"/>
    <cellStyle name="Normal 2 3 24 5 10" xfId="27718" xr:uid="{00000000-0005-0000-0000-0000466C0000}"/>
    <cellStyle name="Normal 2 3 24 5 2" xfId="27719" xr:uid="{00000000-0005-0000-0000-0000476C0000}"/>
    <cellStyle name="Normal 2 3 24 5 3" xfId="27720" xr:uid="{00000000-0005-0000-0000-0000486C0000}"/>
    <cellStyle name="Normal 2 3 24 5 4" xfId="27721" xr:uid="{00000000-0005-0000-0000-0000496C0000}"/>
    <cellStyle name="Normal 2 3 24 5 5" xfId="27722" xr:uid="{00000000-0005-0000-0000-00004A6C0000}"/>
    <cellStyle name="Normal 2 3 24 5 6" xfId="27723" xr:uid="{00000000-0005-0000-0000-00004B6C0000}"/>
    <cellStyle name="Normal 2 3 24 5 7" xfId="27724" xr:uid="{00000000-0005-0000-0000-00004C6C0000}"/>
    <cellStyle name="Normal 2 3 24 5 8" xfId="27725" xr:uid="{00000000-0005-0000-0000-00004D6C0000}"/>
    <cellStyle name="Normal 2 3 24 5 9" xfId="27726" xr:uid="{00000000-0005-0000-0000-00004E6C0000}"/>
    <cellStyle name="Normal 2 3 24 6" xfId="27727" xr:uid="{00000000-0005-0000-0000-00004F6C0000}"/>
    <cellStyle name="Normal 2 3 24 7" xfId="27728" xr:uid="{00000000-0005-0000-0000-0000506C0000}"/>
    <cellStyle name="Normal 2 3 24 8" xfId="27729" xr:uid="{00000000-0005-0000-0000-0000516C0000}"/>
    <cellStyle name="Normal 2 3 24 9" xfId="27730" xr:uid="{00000000-0005-0000-0000-0000526C0000}"/>
    <cellStyle name="Normal 2 3 25" xfId="27731" xr:uid="{00000000-0005-0000-0000-0000536C0000}"/>
    <cellStyle name="Normal 2 3 25 10" xfId="27732" xr:uid="{00000000-0005-0000-0000-0000546C0000}"/>
    <cellStyle name="Normal 2 3 25 11" xfId="27733" xr:uid="{00000000-0005-0000-0000-0000556C0000}"/>
    <cellStyle name="Normal 2 3 25 12" xfId="27734" xr:uid="{00000000-0005-0000-0000-0000566C0000}"/>
    <cellStyle name="Normal 2 3 25 13" xfId="27735" xr:uid="{00000000-0005-0000-0000-0000576C0000}"/>
    <cellStyle name="Normal 2 3 25 14" xfId="27736" xr:uid="{00000000-0005-0000-0000-0000586C0000}"/>
    <cellStyle name="Normal 2 3 25 2" xfId="27737" xr:uid="{00000000-0005-0000-0000-0000596C0000}"/>
    <cellStyle name="Normal 2 3 25 2 10" xfId="27738" xr:uid="{00000000-0005-0000-0000-00005A6C0000}"/>
    <cellStyle name="Normal 2 3 25 2 2" xfId="27739" xr:uid="{00000000-0005-0000-0000-00005B6C0000}"/>
    <cellStyle name="Normal 2 3 25 2 3" xfId="27740" xr:uid="{00000000-0005-0000-0000-00005C6C0000}"/>
    <cellStyle name="Normal 2 3 25 2 4" xfId="27741" xr:uid="{00000000-0005-0000-0000-00005D6C0000}"/>
    <cellStyle name="Normal 2 3 25 2 5" xfId="27742" xr:uid="{00000000-0005-0000-0000-00005E6C0000}"/>
    <cellStyle name="Normal 2 3 25 2 6" xfId="27743" xr:uid="{00000000-0005-0000-0000-00005F6C0000}"/>
    <cellStyle name="Normal 2 3 25 2 7" xfId="27744" xr:uid="{00000000-0005-0000-0000-0000606C0000}"/>
    <cellStyle name="Normal 2 3 25 2 8" xfId="27745" xr:uid="{00000000-0005-0000-0000-0000616C0000}"/>
    <cellStyle name="Normal 2 3 25 2 9" xfId="27746" xr:uid="{00000000-0005-0000-0000-0000626C0000}"/>
    <cellStyle name="Normal 2 3 25 3" xfId="27747" xr:uid="{00000000-0005-0000-0000-0000636C0000}"/>
    <cellStyle name="Normal 2 3 25 3 10" xfId="27748" xr:uid="{00000000-0005-0000-0000-0000646C0000}"/>
    <cellStyle name="Normal 2 3 25 3 2" xfId="27749" xr:uid="{00000000-0005-0000-0000-0000656C0000}"/>
    <cellStyle name="Normal 2 3 25 3 3" xfId="27750" xr:uid="{00000000-0005-0000-0000-0000666C0000}"/>
    <cellStyle name="Normal 2 3 25 3 4" xfId="27751" xr:uid="{00000000-0005-0000-0000-0000676C0000}"/>
    <cellStyle name="Normal 2 3 25 3 5" xfId="27752" xr:uid="{00000000-0005-0000-0000-0000686C0000}"/>
    <cellStyle name="Normal 2 3 25 3 6" xfId="27753" xr:uid="{00000000-0005-0000-0000-0000696C0000}"/>
    <cellStyle name="Normal 2 3 25 3 7" xfId="27754" xr:uid="{00000000-0005-0000-0000-00006A6C0000}"/>
    <cellStyle name="Normal 2 3 25 3 8" xfId="27755" xr:uid="{00000000-0005-0000-0000-00006B6C0000}"/>
    <cellStyle name="Normal 2 3 25 3 9" xfId="27756" xr:uid="{00000000-0005-0000-0000-00006C6C0000}"/>
    <cellStyle name="Normal 2 3 25 4" xfId="27757" xr:uid="{00000000-0005-0000-0000-00006D6C0000}"/>
    <cellStyle name="Normal 2 3 25 4 10" xfId="27758" xr:uid="{00000000-0005-0000-0000-00006E6C0000}"/>
    <cellStyle name="Normal 2 3 25 4 2" xfId="27759" xr:uid="{00000000-0005-0000-0000-00006F6C0000}"/>
    <cellStyle name="Normal 2 3 25 4 3" xfId="27760" xr:uid="{00000000-0005-0000-0000-0000706C0000}"/>
    <cellStyle name="Normal 2 3 25 4 4" xfId="27761" xr:uid="{00000000-0005-0000-0000-0000716C0000}"/>
    <cellStyle name="Normal 2 3 25 4 5" xfId="27762" xr:uid="{00000000-0005-0000-0000-0000726C0000}"/>
    <cellStyle name="Normal 2 3 25 4 6" xfId="27763" xr:uid="{00000000-0005-0000-0000-0000736C0000}"/>
    <cellStyle name="Normal 2 3 25 4 7" xfId="27764" xr:uid="{00000000-0005-0000-0000-0000746C0000}"/>
    <cellStyle name="Normal 2 3 25 4 8" xfId="27765" xr:uid="{00000000-0005-0000-0000-0000756C0000}"/>
    <cellStyle name="Normal 2 3 25 4 9" xfId="27766" xr:uid="{00000000-0005-0000-0000-0000766C0000}"/>
    <cellStyle name="Normal 2 3 25 5" xfId="27767" xr:uid="{00000000-0005-0000-0000-0000776C0000}"/>
    <cellStyle name="Normal 2 3 25 5 10" xfId="27768" xr:uid="{00000000-0005-0000-0000-0000786C0000}"/>
    <cellStyle name="Normal 2 3 25 5 2" xfId="27769" xr:uid="{00000000-0005-0000-0000-0000796C0000}"/>
    <cellStyle name="Normal 2 3 25 5 3" xfId="27770" xr:uid="{00000000-0005-0000-0000-00007A6C0000}"/>
    <cellStyle name="Normal 2 3 25 5 4" xfId="27771" xr:uid="{00000000-0005-0000-0000-00007B6C0000}"/>
    <cellStyle name="Normal 2 3 25 5 5" xfId="27772" xr:uid="{00000000-0005-0000-0000-00007C6C0000}"/>
    <cellStyle name="Normal 2 3 25 5 6" xfId="27773" xr:uid="{00000000-0005-0000-0000-00007D6C0000}"/>
    <cellStyle name="Normal 2 3 25 5 7" xfId="27774" xr:uid="{00000000-0005-0000-0000-00007E6C0000}"/>
    <cellStyle name="Normal 2 3 25 5 8" xfId="27775" xr:uid="{00000000-0005-0000-0000-00007F6C0000}"/>
    <cellStyle name="Normal 2 3 25 5 9" xfId="27776" xr:uid="{00000000-0005-0000-0000-0000806C0000}"/>
    <cellStyle name="Normal 2 3 25 6" xfId="27777" xr:uid="{00000000-0005-0000-0000-0000816C0000}"/>
    <cellStyle name="Normal 2 3 25 7" xfId="27778" xr:uid="{00000000-0005-0000-0000-0000826C0000}"/>
    <cellStyle name="Normal 2 3 25 8" xfId="27779" xr:uid="{00000000-0005-0000-0000-0000836C0000}"/>
    <cellStyle name="Normal 2 3 25 9" xfId="27780" xr:uid="{00000000-0005-0000-0000-0000846C0000}"/>
    <cellStyle name="Normal 2 3 26" xfId="27781" xr:uid="{00000000-0005-0000-0000-0000856C0000}"/>
    <cellStyle name="Normal 2 3 26 10" xfId="27782" xr:uid="{00000000-0005-0000-0000-0000866C0000}"/>
    <cellStyle name="Normal 2 3 26 11" xfId="27783" xr:uid="{00000000-0005-0000-0000-0000876C0000}"/>
    <cellStyle name="Normal 2 3 26 12" xfId="27784" xr:uid="{00000000-0005-0000-0000-0000886C0000}"/>
    <cellStyle name="Normal 2 3 26 13" xfId="27785" xr:uid="{00000000-0005-0000-0000-0000896C0000}"/>
    <cellStyle name="Normal 2 3 26 14" xfId="27786" xr:uid="{00000000-0005-0000-0000-00008A6C0000}"/>
    <cellStyle name="Normal 2 3 26 2" xfId="27787" xr:uid="{00000000-0005-0000-0000-00008B6C0000}"/>
    <cellStyle name="Normal 2 3 26 2 10" xfId="27788" xr:uid="{00000000-0005-0000-0000-00008C6C0000}"/>
    <cellStyle name="Normal 2 3 26 2 2" xfId="27789" xr:uid="{00000000-0005-0000-0000-00008D6C0000}"/>
    <cellStyle name="Normal 2 3 26 2 3" xfId="27790" xr:uid="{00000000-0005-0000-0000-00008E6C0000}"/>
    <cellStyle name="Normal 2 3 26 2 4" xfId="27791" xr:uid="{00000000-0005-0000-0000-00008F6C0000}"/>
    <cellStyle name="Normal 2 3 26 2 5" xfId="27792" xr:uid="{00000000-0005-0000-0000-0000906C0000}"/>
    <cellStyle name="Normal 2 3 26 2 6" xfId="27793" xr:uid="{00000000-0005-0000-0000-0000916C0000}"/>
    <cellStyle name="Normal 2 3 26 2 7" xfId="27794" xr:uid="{00000000-0005-0000-0000-0000926C0000}"/>
    <cellStyle name="Normal 2 3 26 2 8" xfId="27795" xr:uid="{00000000-0005-0000-0000-0000936C0000}"/>
    <cellStyle name="Normal 2 3 26 2 9" xfId="27796" xr:uid="{00000000-0005-0000-0000-0000946C0000}"/>
    <cellStyle name="Normal 2 3 26 3" xfId="27797" xr:uid="{00000000-0005-0000-0000-0000956C0000}"/>
    <cellStyle name="Normal 2 3 26 3 10" xfId="27798" xr:uid="{00000000-0005-0000-0000-0000966C0000}"/>
    <cellStyle name="Normal 2 3 26 3 2" xfId="27799" xr:uid="{00000000-0005-0000-0000-0000976C0000}"/>
    <cellStyle name="Normal 2 3 26 3 3" xfId="27800" xr:uid="{00000000-0005-0000-0000-0000986C0000}"/>
    <cellStyle name="Normal 2 3 26 3 4" xfId="27801" xr:uid="{00000000-0005-0000-0000-0000996C0000}"/>
    <cellStyle name="Normal 2 3 26 3 5" xfId="27802" xr:uid="{00000000-0005-0000-0000-00009A6C0000}"/>
    <cellStyle name="Normal 2 3 26 3 6" xfId="27803" xr:uid="{00000000-0005-0000-0000-00009B6C0000}"/>
    <cellStyle name="Normal 2 3 26 3 7" xfId="27804" xr:uid="{00000000-0005-0000-0000-00009C6C0000}"/>
    <cellStyle name="Normal 2 3 26 3 8" xfId="27805" xr:uid="{00000000-0005-0000-0000-00009D6C0000}"/>
    <cellStyle name="Normal 2 3 26 3 9" xfId="27806" xr:uid="{00000000-0005-0000-0000-00009E6C0000}"/>
    <cellStyle name="Normal 2 3 26 4" xfId="27807" xr:uid="{00000000-0005-0000-0000-00009F6C0000}"/>
    <cellStyle name="Normal 2 3 26 4 10" xfId="27808" xr:uid="{00000000-0005-0000-0000-0000A06C0000}"/>
    <cellStyle name="Normal 2 3 26 4 2" xfId="27809" xr:uid="{00000000-0005-0000-0000-0000A16C0000}"/>
    <cellStyle name="Normal 2 3 26 4 3" xfId="27810" xr:uid="{00000000-0005-0000-0000-0000A26C0000}"/>
    <cellStyle name="Normal 2 3 26 4 4" xfId="27811" xr:uid="{00000000-0005-0000-0000-0000A36C0000}"/>
    <cellStyle name="Normal 2 3 26 4 5" xfId="27812" xr:uid="{00000000-0005-0000-0000-0000A46C0000}"/>
    <cellStyle name="Normal 2 3 26 4 6" xfId="27813" xr:uid="{00000000-0005-0000-0000-0000A56C0000}"/>
    <cellStyle name="Normal 2 3 26 4 7" xfId="27814" xr:uid="{00000000-0005-0000-0000-0000A66C0000}"/>
    <cellStyle name="Normal 2 3 26 4 8" xfId="27815" xr:uid="{00000000-0005-0000-0000-0000A76C0000}"/>
    <cellStyle name="Normal 2 3 26 4 9" xfId="27816" xr:uid="{00000000-0005-0000-0000-0000A86C0000}"/>
    <cellStyle name="Normal 2 3 26 5" xfId="27817" xr:uid="{00000000-0005-0000-0000-0000A96C0000}"/>
    <cellStyle name="Normal 2 3 26 5 10" xfId="27818" xr:uid="{00000000-0005-0000-0000-0000AA6C0000}"/>
    <cellStyle name="Normal 2 3 26 5 2" xfId="27819" xr:uid="{00000000-0005-0000-0000-0000AB6C0000}"/>
    <cellStyle name="Normal 2 3 26 5 3" xfId="27820" xr:uid="{00000000-0005-0000-0000-0000AC6C0000}"/>
    <cellStyle name="Normal 2 3 26 5 4" xfId="27821" xr:uid="{00000000-0005-0000-0000-0000AD6C0000}"/>
    <cellStyle name="Normal 2 3 26 5 5" xfId="27822" xr:uid="{00000000-0005-0000-0000-0000AE6C0000}"/>
    <cellStyle name="Normal 2 3 26 5 6" xfId="27823" xr:uid="{00000000-0005-0000-0000-0000AF6C0000}"/>
    <cellStyle name="Normal 2 3 26 5 7" xfId="27824" xr:uid="{00000000-0005-0000-0000-0000B06C0000}"/>
    <cellStyle name="Normal 2 3 26 5 8" xfId="27825" xr:uid="{00000000-0005-0000-0000-0000B16C0000}"/>
    <cellStyle name="Normal 2 3 26 5 9" xfId="27826" xr:uid="{00000000-0005-0000-0000-0000B26C0000}"/>
    <cellStyle name="Normal 2 3 26 6" xfId="27827" xr:uid="{00000000-0005-0000-0000-0000B36C0000}"/>
    <cellStyle name="Normal 2 3 26 7" xfId="27828" xr:uid="{00000000-0005-0000-0000-0000B46C0000}"/>
    <cellStyle name="Normal 2 3 26 8" xfId="27829" xr:uid="{00000000-0005-0000-0000-0000B56C0000}"/>
    <cellStyle name="Normal 2 3 26 9" xfId="27830" xr:uid="{00000000-0005-0000-0000-0000B66C0000}"/>
    <cellStyle name="Normal 2 3 27" xfId="27831" xr:uid="{00000000-0005-0000-0000-0000B76C0000}"/>
    <cellStyle name="Normal 2 3 27 10" xfId="27832" xr:uid="{00000000-0005-0000-0000-0000B86C0000}"/>
    <cellStyle name="Normal 2 3 27 11" xfId="27833" xr:uid="{00000000-0005-0000-0000-0000B96C0000}"/>
    <cellStyle name="Normal 2 3 27 12" xfId="27834" xr:uid="{00000000-0005-0000-0000-0000BA6C0000}"/>
    <cellStyle name="Normal 2 3 27 13" xfId="27835" xr:uid="{00000000-0005-0000-0000-0000BB6C0000}"/>
    <cellStyle name="Normal 2 3 27 14" xfId="27836" xr:uid="{00000000-0005-0000-0000-0000BC6C0000}"/>
    <cellStyle name="Normal 2 3 27 2" xfId="27837" xr:uid="{00000000-0005-0000-0000-0000BD6C0000}"/>
    <cellStyle name="Normal 2 3 27 2 10" xfId="27838" xr:uid="{00000000-0005-0000-0000-0000BE6C0000}"/>
    <cellStyle name="Normal 2 3 27 2 2" xfId="27839" xr:uid="{00000000-0005-0000-0000-0000BF6C0000}"/>
    <cellStyle name="Normal 2 3 27 2 3" xfId="27840" xr:uid="{00000000-0005-0000-0000-0000C06C0000}"/>
    <cellStyle name="Normal 2 3 27 2 4" xfId="27841" xr:uid="{00000000-0005-0000-0000-0000C16C0000}"/>
    <cellStyle name="Normal 2 3 27 2 5" xfId="27842" xr:uid="{00000000-0005-0000-0000-0000C26C0000}"/>
    <cellStyle name="Normal 2 3 27 2 6" xfId="27843" xr:uid="{00000000-0005-0000-0000-0000C36C0000}"/>
    <cellStyle name="Normal 2 3 27 2 7" xfId="27844" xr:uid="{00000000-0005-0000-0000-0000C46C0000}"/>
    <cellStyle name="Normal 2 3 27 2 8" xfId="27845" xr:uid="{00000000-0005-0000-0000-0000C56C0000}"/>
    <cellStyle name="Normal 2 3 27 2 9" xfId="27846" xr:uid="{00000000-0005-0000-0000-0000C66C0000}"/>
    <cellStyle name="Normal 2 3 27 3" xfId="27847" xr:uid="{00000000-0005-0000-0000-0000C76C0000}"/>
    <cellStyle name="Normal 2 3 27 3 10" xfId="27848" xr:uid="{00000000-0005-0000-0000-0000C86C0000}"/>
    <cellStyle name="Normal 2 3 27 3 2" xfId="27849" xr:uid="{00000000-0005-0000-0000-0000C96C0000}"/>
    <cellStyle name="Normal 2 3 27 3 3" xfId="27850" xr:uid="{00000000-0005-0000-0000-0000CA6C0000}"/>
    <cellStyle name="Normal 2 3 27 3 4" xfId="27851" xr:uid="{00000000-0005-0000-0000-0000CB6C0000}"/>
    <cellStyle name="Normal 2 3 27 3 5" xfId="27852" xr:uid="{00000000-0005-0000-0000-0000CC6C0000}"/>
    <cellStyle name="Normal 2 3 27 3 6" xfId="27853" xr:uid="{00000000-0005-0000-0000-0000CD6C0000}"/>
    <cellStyle name="Normal 2 3 27 3 7" xfId="27854" xr:uid="{00000000-0005-0000-0000-0000CE6C0000}"/>
    <cellStyle name="Normal 2 3 27 3 8" xfId="27855" xr:uid="{00000000-0005-0000-0000-0000CF6C0000}"/>
    <cellStyle name="Normal 2 3 27 3 9" xfId="27856" xr:uid="{00000000-0005-0000-0000-0000D06C0000}"/>
    <cellStyle name="Normal 2 3 27 4" xfId="27857" xr:uid="{00000000-0005-0000-0000-0000D16C0000}"/>
    <cellStyle name="Normal 2 3 27 4 10" xfId="27858" xr:uid="{00000000-0005-0000-0000-0000D26C0000}"/>
    <cellStyle name="Normal 2 3 27 4 2" xfId="27859" xr:uid="{00000000-0005-0000-0000-0000D36C0000}"/>
    <cellStyle name="Normal 2 3 27 4 3" xfId="27860" xr:uid="{00000000-0005-0000-0000-0000D46C0000}"/>
    <cellStyle name="Normal 2 3 27 4 4" xfId="27861" xr:uid="{00000000-0005-0000-0000-0000D56C0000}"/>
    <cellStyle name="Normal 2 3 27 4 5" xfId="27862" xr:uid="{00000000-0005-0000-0000-0000D66C0000}"/>
    <cellStyle name="Normal 2 3 27 4 6" xfId="27863" xr:uid="{00000000-0005-0000-0000-0000D76C0000}"/>
    <cellStyle name="Normal 2 3 27 4 7" xfId="27864" xr:uid="{00000000-0005-0000-0000-0000D86C0000}"/>
    <cellStyle name="Normal 2 3 27 4 8" xfId="27865" xr:uid="{00000000-0005-0000-0000-0000D96C0000}"/>
    <cellStyle name="Normal 2 3 27 4 9" xfId="27866" xr:uid="{00000000-0005-0000-0000-0000DA6C0000}"/>
    <cellStyle name="Normal 2 3 27 5" xfId="27867" xr:uid="{00000000-0005-0000-0000-0000DB6C0000}"/>
    <cellStyle name="Normal 2 3 27 5 10" xfId="27868" xr:uid="{00000000-0005-0000-0000-0000DC6C0000}"/>
    <cellStyle name="Normal 2 3 27 5 2" xfId="27869" xr:uid="{00000000-0005-0000-0000-0000DD6C0000}"/>
    <cellStyle name="Normal 2 3 27 5 3" xfId="27870" xr:uid="{00000000-0005-0000-0000-0000DE6C0000}"/>
    <cellStyle name="Normal 2 3 27 5 4" xfId="27871" xr:uid="{00000000-0005-0000-0000-0000DF6C0000}"/>
    <cellStyle name="Normal 2 3 27 5 5" xfId="27872" xr:uid="{00000000-0005-0000-0000-0000E06C0000}"/>
    <cellStyle name="Normal 2 3 27 5 6" xfId="27873" xr:uid="{00000000-0005-0000-0000-0000E16C0000}"/>
    <cellStyle name="Normal 2 3 27 5 7" xfId="27874" xr:uid="{00000000-0005-0000-0000-0000E26C0000}"/>
    <cellStyle name="Normal 2 3 27 5 8" xfId="27875" xr:uid="{00000000-0005-0000-0000-0000E36C0000}"/>
    <cellStyle name="Normal 2 3 27 5 9" xfId="27876" xr:uid="{00000000-0005-0000-0000-0000E46C0000}"/>
    <cellStyle name="Normal 2 3 27 6" xfId="27877" xr:uid="{00000000-0005-0000-0000-0000E56C0000}"/>
    <cellStyle name="Normal 2 3 27 7" xfId="27878" xr:uid="{00000000-0005-0000-0000-0000E66C0000}"/>
    <cellStyle name="Normal 2 3 27 8" xfId="27879" xr:uid="{00000000-0005-0000-0000-0000E76C0000}"/>
    <cellStyle name="Normal 2 3 27 9" xfId="27880" xr:uid="{00000000-0005-0000-0000-0000E86C0000}"/>
    <cellStyle name="Normal 2 3 28" xfId="27881" xr:uid="{00000000-0005-0000-0000-0000E96C0000}"/>
    <cellStyle name="Normal 2 3 28 10" xfId="27882" xr:uid="{00000000-0005-0000-0000-0000EA6C0000}"/>
    <cellStyle name="Normal 2 3 28 11" xfId="27883" xr:uid="{00000000-0005-0000-0000-0000EB6C0000}"/>
    <cellStyle name="Normal 2 3 28 12" xfId="27884" xr:uid="{00000000-0005-0000-0000-0000EC6C0000}"/>
    <cellStyle name="Normal 2 3 28 13" xfId="27885" xr:uid="{00000000-0005-0000-0000-0000ED6C0000}"/>
    <cellStyle name="Normal 2 3 28 14" xfId="27886" xr:uid="{00000000-0005-0000-0000-0000EE6C0000}"/>
    <cellStyle name="Normal 2 3 28 2" xfId="27887" xr:uid="{00000000-0005-0000-0000-0000EF6C0000}"/>
    <cellStyle name="Normal 2 3 28 2 10" xfId="27888" xr:uid="{00000000-0005-0000-0000-0000F06C0000}"/>
    <cellStyle name="Normal 2 3 28 2 2" xfId="27889" xr:uid="{00000000-0005-0000-0000-0000F16C0000}"/>
    <cellStyle name="Normal 2 3 28 2 3" xfId="27890" xr:uid="{00000000-0005-0000-0000-0000F26C0000}"/>
    <cellStyle name="Normal 2 3 28 2 4" xfId="27891" xr:uid="{00000000-0005-0000-0000-0000F36C0000}"/>
    <cellStyle name="Normal 2 3 28 2 5" xfId="27892" xr:uid="{00000000-0005-0000-0000-0000F46C0000}"/>
    <cellStyle name="Normal 2 3 28 2 6" xfId="27893" xr:uid="{00000000-0005-0000-0000-0000F56C0000}"/>
    <cellStyle name="Normal 2 3 28 2 7" xfId="27894" xr:uid="{00000000-0005-0000-0000-0000F66C0000}"/>
    <cellStyle name="Normal 2 3 28 2 8" xfId="27895" xr:uid="{00000000-0005-0000-0000-0000F76C0000}"/>
    <cellStyle name="Normal 2 3 28 2 9" xfId="27896" xr:uid="{00000000-0005-0000-0000-0000F86C0000}"/>
    <cellStyle name="Normal 2 3 28 3" xfId="27897" xr:uid="{00000000-0005-0000-0000-0000F96C0000}"/>
    <cellStyle name="Normal 2 3 28 3 10" xfId="27898" xr:uid="{00000000-0005-0000-0000-0000FA6C0000}"/>
    <cellStyle name="Normal 2 3 28 3 2" xfId="27899" xr:uid="{00000000-0005-0000-0000-0000FB6C0000}"/>
    <cellStyle name="Normal 2 3 28 3 3" xfId="27900" xr:uid="{00000000-0005-0000-0000-0000FC6C0000}"/>
    <cellStyle name="Normal 2 3 28 3 4" xfId="27901" xr:uid="{00000000-0005-0000-0000-0000FD6C0000}"/>
    <cellStyle name="Normal 2 3 28 3 5" xfId="27902" xr:uid="{00000000-0005-0000-0000-0000FE6C0000}"/>
    <cellStyle name="Normal 2 3 28 3 6" xfId="27903" xr:uid="{00000000-0005-0000-0000-0000FF6C0000}"/>
    <cellStyle name="Normal 2 3 28 3 7" xfId="27904" xr:uid="{00000000-0005-0000-0000-0000006D0000}"/>
    <cellStyle name="Normal 2 3 28 3 8" xfId="27905" xr:uid="{00000000-0005-0000-0000-0000016D0000}"/>
    <cellStyle name="Normal 2 3 28 3 9" xfId="27906" xr:uid="{00000000-0005-0000-0000-0000026D0000}"/>
    <cellStyle name="Normal 2 3 28 4" xfId="27907" xr:uid="{00000000-0005-0000-0000-0000036D0000}"/>
    <cellStyle name="Normal 2 3 28 4 10" xfId="27908" xr:uid="{00000000-0005-0000-0000-0000046D0000}"/>
    <cellStyle name="Normal 2 3 28 4 2" xfId="27909" xr:uid="{00000000-0005-0000-0000-0000056D0000}"/>
    <cellStyle name="Normal 2 3 28 4 3" xfId="27910" xr:uid="{00000000-0005-0000-0000-0000066D0000}"/>
    <cellStyle name="Normal 2 3 28 4 4" xfId="27911" xr:uid="{00000000-0005-0000-0000-0000076D0000}"/>
    <cellStyle name="Normal 2 3 28 4 5" xfId="27912" xr:uid="{00000000-0005-0000-0000-0000086D0000}"/>
    <cellStyle name="Normal 2 3 28 4 6" xfId="27913" xr:uid="{00000000-0005-0000-0000-0000096D0000}"/>
    <cellStyle name="Normal 2 3 28 4 7" xfId="27914" xr:uid="{00000000-0005-0000-0000-00000A6D0000}"/>
    <cellStyle name="Normal 2 3 28 4 8" xfId="27915" xr:uid="{00000000-0005-0000-0000-00000B6D0000}"/>
    <cellStyle name="Normal 2 3 28 4 9" xfId="27916" xr:uid="{00000000-0005-0000-0000-00000C6D0000}"/>
    <cellStyle name="Normal 2 3 28 5" xfId="27917" xr:uid="{00000000-0005-0000-0000-00000D6D0000}"/>
    <cellStyle name="Normal 2 3 28 5 10" xfId="27918" xr:uid="{00000000-0005-0000-0000-00000E6D0000}"/>
    <cellStyle name="Normal 2 3 28 5 2" xfId="27919" xr:uid="{00000000-0005-0000-0000-00000F6D0000}"/>
    <cellStyle name="Normal 2 3 28 5 3" xfId="27920" xr:uid="{00000000-0005-0000-0000-0000106D0000}"/>
    <cellStyle name="Normal 2 3 28 5 4" xfId="27921" xr:uid="{00000000-0005-0000-0000-0000116D0000}"/>
    <cellStyle name="Normal 2 3 28 5 5" xfId="27922" xr:uid="{00000000-0005-0000-0000-0000126D0000}"/>
    <cellStyle name="Normal 2 3 28 5 6" xfId="27923" xr:uid="{00000000-0005-0000-0000-0000136D0000}"/>
    <cellStyle name="Normal 2 3 28 5 7" xfId="27924" xr:uid="{00000000-0005-0000-0000-0000146D0000}"/>
    <cellStyle name="Normal 2 3 28 5 8" xfId="27925" xr:uid="{00000000-0005-0000-0000-0000156D0000}"/>
    <cellStyle name="Normal 2 3 28 5 9" xfId="27926" xr:uid="{00000000-0005-0000-0000-0000166D0000}"/>
    <cellStyle name="Normal 2 3 28 6" xfId="27927" xr:uid="{00000000-0005-0000-0000-0000176D0000}"/>
    <cellStyle name="Normal 2 3 28 7" xfId="27928" xr:uid="{00000000-0005-0000-0000-0000186D0000}"/>
    <cellStyle name="Normal 2 3 28 8" xfId="27929" xr:uid="{00000000-0005-0000-0000-0000196D0000}"/>
    <cellStyle name="Normal 2 3 28 9" xfId="27930" xr:uid="{00000000-0005-0000-0000-00001A6D0000}"/>
    <cellStyle name="Normal 2 3 29" xfId="27931" xr:uid="{00000000-0005-0000-0000-00001B6D0000}"/>
    <cellStyle name="Normal 2 3 29 10" xfId="27932" xr:uid="{00000000-0005-0000-0000-00001C6D0000}"/>
    <cellStyle name="Normal 2 3 29 11" xfId="27933" xr:uid="{00000000-0005-0000-0000-00001D6D0000}"/>
    <cellStyle name="Normal 2 3 29 12" xfId="27934" xr:uid="{00000000-0005-0000-0000-00001E6D0000}"/>
    <cellStyle name="Normal 2 3 29 13" xfId="27935" xr:uid="{00000000-0005-0000-0000-00001F6D0000}"/>
    <cellStyle name="Normal 2 3 29 14" xfId="27936" xr:uid="{00000000-0005-0000-0000-0000206D0000}"/>
    <cellStyle name="Normal 2 3 29 2" xfId="27937" xr:uid="{00000000-0005-0000-0000-0000216D0000}"/>
    <cellStyle name="Normal 2 3 29 2 10" xfId="27938" xr:uid="{00000000-0005-0000-0000-0000226D0000}"/>
    <cellStyle name="Normal 2 3 29 2 2" xfId="27939" xr:uid="{00000000-0005-0000-0000-0000236D0000}"/>
    <cellStyle name="Normal 2 3 29 2 3" xfId="27940" xr:uid="{00000000-0005-0000-0000-0000246D0000}"/>
    <cellStyle name="Normal 2 3 29 2 4" xfId="27941" xr:uid="{00000000-0005-0000-0000-0000256D0000}"/>
    <cellStyle name="Normal 2 3 29 2 5" xfId="27942" xr:uid="{00000000-0005-0000-0000-0000266D0000}"/>
    <cellStyle name="Normal 2 3 29 2 6" xfId="27943" xr:uid="{00000000-0005-0000-0000-0000276D0000}"/>
    <cellStyle name="Normal 2 3 29 2 7" xfId="27944" xr:uid="{00000000-0005-0000-0000-0000286D0000}"/>
    <cellStyle name="Normal 2 3 29 2 8" xfId="27945" xr:uid="{00000000-0005-0000-0000-0000296D0000}"/>
    <cellStyle name="Normal 2 3 29 2 9" xfId="27946" xr:uid="{00000000-0005-0000-0000-00002A6D0000}"/>
    <cellStyle name="Normal 2 3 29 3" xfId="27947" xr:uid="{00000000-0005-0000-0000-00002B6D0000}"/>
    <cellStyle name="Normal 2 3 29 3 10" xfId="27948" xr:uid="{00000000-0005-0000-0000-00002C6D0000}"/>
    <cellStyle name="Normal 2 3 29 3 2" xfId="27949" xr:uid="{00000000-0005-0000-0000-00002D6D0000}"/>
    <cellStyle name="Normal 2 3 29 3 3" xfId="27950" xr:uid="{00000000-0005-0000-0000-00002E6D0000}"/>
    <cellStyle name="Normal 2 3 29 3 4" xfId="27951" xr:uid="{00000000-0005-0000-0000-00002F6D0000}"/>
    <cellStyle name="Normal 2 3 29 3 5" xfId="27952" xr:uid="{00000000-0005-0000-0000-0000306D0000}"/>
    <cellStyle name="Normal 2 3 29 3 6" xfId="27953" xr:uid="{00000000-0005-0000-0000-0000316D0000}"/>
    <cellStyle name="Normal 2 3 29 3 7" xfId="27954" xr:uid="{00000000-0005-0000-0000-0000326D0000}"/>
    <cellStyle name="Normal 2 3 29 3 8" xfId="27955" xr:uid="{00000000-0005-0000-0000-0000336D0000}"/>
    <cellStyle name="Normal 2 3 29 3 9" xfId="27956" xr:uid="{00000000-0005-0000-0000-0000346D0000}"/>
    <cellStyle name="Normal 2 3 29 4" xfId="27957" xr:uid="{00000000-0005-0000-0000-0000356D0000}"/>
    <cellStyle name="Normal 2 3 29 4 10" xfId="27958" xr:uid="{00000000-0005-0000-0000-0000366D0000}"/>
    <cellStyle name="Normal 2 3 29 4 2" xfId="27959" xr:uid="{00000000-0005-0000-0000-0000376D0000}"/>
    <cellStyle name="Normal 2 3 29 4 3" xfId="27960" xr:uid="{00000000-0005-0000-0000-0000386D0000}"/>
    <cellStyle name="Normal 2 3 29 4 4" xfId="27961" xr:uid="{00000000-0005-0000-0000-0000396D0000}"/>
    <cellStyle name="Normal 2 3 29 4 5" xfId="27962" xr:uid="{00000000-0005-0000-0000-00003A6D0000}"/>
    <cellStyle name="Normal 2 3 29 4 6" xfId="27963" xr:uid="{00000000-0005-0000-0000-00003B6D0000}"/>
    <cellStyle name="Normal 2 3 29 4 7" xfId="27964" xr:uid="{00000000-0005-0000-0000-00003C6D0000}"/>
    <cellStyle name="Normal 2 3 29 4 8" xfId="27965" xr:uid="{00000000-0005-0000-0000-00003D6D0000}"/>
    <cellStyle name="Normal 2 3 29 4 9" xfId="27966" xr:uid="{00000000-0005-0000-0000-00003E6D0000}"/>
    <cellStyle name="Normal 2 3 29 5" xfId="27967" xr:uid="{00000000-0005-0000-0000-00003F6D0000}"/>
    <cellStyle name="Normal 2 3 29 5 10" xfId="27968" xr:uid="{00000000-0005-0000-0000-0000406D0000}"/>
    <cellStyle name="Normal 2 3 29 5 2" xfId="27969" xr:uid="{00000000-0005-0000-0000-0000416D0000}"/>
    <cellStyle name="Normal 2 3 29 5 3" xfId="27970" xr:uid="{00000000-0005-0000-0000-0000426D0000}"/>
    <cellStyle name="Normal 2 3 29 5 4" xfId="27971" xr:uid="{00000000-0005-0000-0000-0000436D0000}"/>
    <cellStyle name="Normal 2 3 29 5 5" xfId="27972" xr:uid="{00000000-0005-0000-0000-0000446D0000}"/>
    <cellStyle name="Normal 2 3 29 5 6" xfId="27973" xr:uid="{00000000-0005-0000-0000-0000456D0000}"/>
    <cellStyle name="Normal 2 3 29 5 7" xfId="27974" xr:uid="{00000000-0005-0000-0000-0000466D0000}"/>
    <cellStyle name="Normal 2 3 29 5 8" xfId="27975" xr:uid="{00000000-0005-0000-0000-0000476D0000}"/>
    <cellStyle name="Normal 2 3 29 5 9" xfId="27976" xr:uid="{00000000-0005-0000-0000-0000486D0000}"/>
    <cellStyle name="Normal 2 3 29 6" xfId="27977" xr:uid="{00000000-0005-0000-0000-0000496D0000}"/>
    <cellStyle name="Normal 2 3 29 7" xfId="27978" xr:uid="{00000000-0005-0000-0000-00004A6D0000}"/>
    <cellStyle name="Normal 2 3 29 8" xfId="27979" xr:uid="{00000000-0005-0000-0000-00004B6D0000}"/>
    <cellStyle name="Normal 2 3 29 9" xfId="27980" xr:uid="{00000000-0005-0000-0000-00004C6D0000}"/>
    <cellStyle name="Normal 2 3 3" xfId="27981" xr:uid="{00000000-0005-0000-0000-00004D6D0000}"/>
    <cellStyle name="Normal 2 3 3 10" xfId="27982" xr:uid="{00000000-0005-0000-0000-00004E6D0000}"/>
    <cellStyle name="Normal 2 3 3 11" xfId="27983" xr:uid="{00000000-0005-0000-0000-00004F6D0000}"/>
    <cellStyle name="Normal 2 3 3 12" xfId="27984" xr:uid="{00000000-0005-0000-0000-0000506D0000}"/>
    <cellStyle name="Normal 2 3 3 13" xfId="27985" xr:uid="{00000000-0005-0000-0000-0000516D0000}"/>
    <cellStyle name="Normal 2 3 3 14" xfId="27986" xr:uid="{00000000-0005-0000-0000-0000526D0000}"/>
    <cellStyle name="Normal 2 3 3 15" xfId="27987" xr:uid="{00000000-0005-0000-0000-0000536D0000}"/>
    <cellStyle name="Normal 2 3 3 16" xfId="27988" xr:uid="{00000000-0005-0000-0000-0000546D0000}"/>
    <cellStyle name="Normal 2 3 3 2" xfId="27989" xr:uid="{00000000-0005-0000-0000-0000556D0000}"/>
    <cellStyle name="Normal 2 3 3 2 10" xfId="27990" xr:uid="{00000000-0005-0000-0000-0000566D0000}"/>
    <cellStyle name="Normal 2 3 3 2 2" xfId="27991" xr:uid="{00000000-0005-0000-0000-0000576D0000}"/>
    <cellStyle name="Normal 2 3 3 2 3" xfId="27992" xr:uid="{00000000-0005-0000-0000-0000586D0000}"/>
    <cellStyle name="Normal 2 3 3 2 4" xfId="27993" xr:uid="{00000000-0005-0000-0000-0000596D0000}"/>
    <cellStyle name="Normal 2 3 3 2 5" xfId="27994" xr:uid="{00000000-0005-0000-0000-00005A6D0000}"/>
    <cellStyle name="Normal 2 3 3 2 6" xfId="27995" xr:uid="{00000000-0005-0000-0000-00005B6D0000}"/>
    <cellStyle name="Normal 2 3 3 2 7" xfId="27996" xr:uid="{00000000-0005-0000-0000-00005C6D0000}"/>
    <cellStyle name="Normal 2 3 3 2 8" xfId="27997" xr:uid="{00000000-0005-0000-0000-00005D6D0000}"/>
    <cellStyle name="Normal 2 3 3 2 9" xfId="27998" xr:uid="{00000000-0005-0000-0000-00005E6D0000}"/>
    <cellStyle name="Normal 2 3 3 3" xfId="27999" xr:uid="{00000000-0005-0000-0000-00005F6D0000}"/>
    <cellStyle name="Normal 2 3 3 3 10" xfId="28000" xr:uid="{00000000-0005-0000-0000-0000606D0000}"/>
    <cellStyle name="Normal 2 3 3 3 2" xfId="28001" xr:uid="{00000000-0005-0000-0000-0000616D0000}"/>
    <cellStyle name="Normal 2 3 3 3 3" xfId="28002" xr:uid="{00000000-0005-0000-0000-0000626D0000}"/>
    <cellStyle name="Normal 2 3 3 3 4" xfId="28003" xr:uid="{00000000-0005-0000-0000-0000636D0000}"/>
    <cellStyle name="Normal 2 3 3 3 5" xfId="28004" xr:uid="{00000000-0005-0000-0000-0000646D0000}"/>
    <cellStyle name="Normal 2 3 3 3 6" xfId="28005" xr:uid="{00000000-0005-0000-0000-0000656D0000}"/>
    <cellStyle name="Normal 2 3 3 3 7" xfId="28006" xr:uid="{00000000-0005-0000-0000-0000666D0000}"/>
    <cellStyle name="Normal 2 3 3 3 8" xfId="28007" xr:uid="{00000000-0005-0000-0000-0000676D0000}"/>
    <cellStyle name="Normal 2 3 3 3 9" xfId="28008" xr:uid="{00000000-0005-0000-0000-0000686D0000}"/>
    <cellStyle name="Normal 2 3 3 4" xfId="28009" xr:uid="{00000000-0005-0000-0000-0000696D0000}"/>
    <cellStyle name="Normal 2 3 3 4 10" xfId="28010" xr:uid="{00000000-0005-0000-0000-00006A6D0000}"/>
    <cellStyle name="Normal 2 3 3 4 2" xfId="28011" xr:uid="{00000000-0005-0000-0000-00006B6D0000}"/>
    <cellStyle name="Normal 2 3 3 4 3" xfId="28012" xr:uid="{00000000-0005-0000-0000-00006C6D0000}"/>
    <cellStyle name="Normal 2 3 3 4 4" xfId="28013" xr:uid="{00000000-0005-0000-0000-00006D6D0000}"/>
    <cellStyle name="Normal 2 3 3 4 5" xfId="28014" xr:uid="{00000000-0005-0000-0000-00006E6D0000}"/>
    <cellStyle name="Normal 2 3 3 4 6" xfId="28015" xr:uid="{00000000-0005-0000-0000-00006F6D0000}"/>
    <cellStyle name="Normal 2 3 3 4 7" xfId="28016" xr:uid="{00000000-0005-0000-0000-0000706D0000}"/>
    <cellStyle name="Normal 2 3 3 4 8" xfId="28017" xr:uid="{00000000-0005-0000-0000-0000716D0000}"/>
    <cellStyle name="Normal 2 3 3 4 9" xfId="28018" xr:uid="{00000000-0005-0000-0000-0000726D0000}"/>
    <cellStyle name="Normal 2 3 3 5" xfId="28019" xr:uid="{00000000-0005-0000-0000-0000736D0000}"/>
    <cellStyle name="Normal 2 3 3 5 10" xfId="28020" xr:uid="{00000000-0005-0000-0000-0000746D0000}"/>
    <cellStyle name="Normal 2 3 3 5 2" xfId="28021" xr:uid="{00000000-0005-0000-0000-0000756D0000}"/>
    <cellStyle name="Normal 2 3 3 5 3" xfId="28022" xr:uid="{00000000-0005-0000-0000-0000766D0000}"/>
    <cellStyle name="Normal 2 3 3 5 4" xfId="28023" xr:uid="{00000000-0005-0000-0000-0000776D0000}"/>
    <cellStyle name="Normal 2 3 3 5 5" xfId="28024" xr:uid="{00000000-0005-0000-0000-0000786D0000}"/>
    <cellStyle name="Normal 2 3 3 5 6" xfId="28025" xr:uid="{00000000-0005-0000-0000-0000796D0000}"/>
    <cellStyle name="Normal 2 3 3 5 7" xfId="28026" xr:uid="{00000000-0005-0000-0000-00007A6D0000}"/>
    <cellStyle name="Normal 2 3 3 5 8" xfId="28027" xr:uid="{00000000-0005-0000-0000-00007B6D0000}"/>
    <cellStyle name="Normal 2 3 3 5 9" xfId="28028" xr:uid="{00000000-0005-0000-0000-00007C6D0000}"/>
    <cellStyle name="Normal 2 3 3 6" xfId="28029" xr:uid="{00000000-0005-0000-0000-00007D6D0000}"/>
    <cellStyle name="Normal 2 3 3 7" xfId="28030" xr:uid="{00000000-0005-0000-0000-00007E6D0000}"/>
    <cellStyle name="Normal 2 3 3 8" xfId="28031" xr:uid="{00000000-0005-0000-0000-00007F6D0000}"/>
    <cellStyle name="Normal 2 3 3 9" xfId="28032" xr:uid="{00000000-0005-0000-0000-0000806D0000}"/>
    <cellStyle name="Normal 2 3 30" xfId="28033" xr:uid="{00000000-0005-0000-0000-0000816D0000}"/>
    <cellStyle name="Normal 2 3 30 10" xfId="28034" xr:uid="{00000000-0005-0000-0000-0000826D0000}"/>
    <cellStyle name="Normal 2 3 30 11" xfId="28035" xr:uid="{00000000-0005-0000-0000-0000836D0000}"/>
    <cellStyle name="Normal 2 3 30 12" xfId="28036" xr:uid="{00000000-0005-0000-0000-0000846D0000}"/>
    <cellStyle name="Normal 2 3 30 13" xfId="28037" xr:uid="{00000000-0005-0000-0000-0000856D0000}"/>
    <cellStyle name="Normal 2 3 30 14" xfId="28038" xr:uid="{00000000-0005-0000-0000-0000866D0000}"/>
    <cellStyle name="Normal 2 3 30 2" xfId="28039" xr:uid="{00000000-0005-0000-0000-0000876D0000}"/>
    <cellStyle name="Normal 2 3 30 2 10" xfId="28040" xr:uid="{00000000-0005-0000-0000-0000886D0000}"/>
    <cellStyle name="Normal 2 3 30 2 2" xfId="28041" xr:uid="{00000000-0005-0000-0000-0000896D0000}"/>
    <cellStyle name="Normal 2 3 30 2 3" xfId="28042" xr:uid="{00000000-0005-0000-0000-00008A6D0000}"/>
    <cellStyle name="Normal 2 3 30 2 4" xfId="28043" xr:uid="{00000000-0005-0000-0000-00008B6D0000}"/>
    <cellStyle name="Normal 2 3 30 2 5" xfId="28044" xr:uid="{00000000-0005-0000-0000-00008C6D0000}"/>
    <cellStyle name="Normal 2 3 30 2 6" xfId="28045" xr:uid="{00000000-0005-0000-0000-00008D6D0000}"/>
    <cellStyle name="Normal 2 3 30 2 7" xfId="28046" xr:uid="{00000000-0005-0000-0000-00008E6D0000}"/>
    <cellStyle name="Normal 2 3 30 2 8" xfId="28047" xr:uid="{00000000-0005-0000-0000-00008F6D0000}"/>
    <cellStyle name="Normal 2 3 30 2 9" xfId="28048" xr:uid="{00000000-0005-0000-0000-0000906D0000}"/>
    <cellStyle name="Normal 2 3 30 3" xfId="28049" xr:uid="{00000000-0005-0000-0000-0000916D0000}"/>
    <cellStyle name="Normal 2 3 30 3 10" xfId="28050" xr:uid="{00000000-0005-0000-0000-0000926D0000}"/>
    <cellStyle name="Normal 2 3 30 3 2" xfId="28051" xr:uid="{00000000-0005-0000-0000-0000936D0000}"/>
    <cellStyle name="Normal 2 3 30 3 3" xfId="28052" xr:uid="{00000000-0005-0000-0000-0000946D0000}"/>
    <cellStyle name="Normal 2 3 30 3 4" xfId="28053" xr:uid="{00000000-0005-0000-0000-0000956D0000}"/>
    <cellStyle name="Normal 2 3 30 3 5" xfId="28054" xr:uid="{00000000-0005-0000-0000-0000966D0000}"/>
    <cellStyle name="Normal 2 3 30 3 6" xfId="28055" xr:uid="{00000000-0005-0000-0000-0000976D0000}"/>
    <cellStyle name="Normal 2 3 30 3 7" xfId="28056" xr:uid="{00000000-0005-0000-0000-0000986D0000}"/>
    <cellStyle name="Normal 2 3 30 3 8" xfId="28057" xr:uid="{00000000-0005-0000-0000-0000996D0000}"/>
    <cellStyle name="Normal 2 3 30 3 9" xfId="28058" xr:uid="{00000000-0005-0000-0000-00009A6D0000}"/>
    <cellStyle name="Normal 2 3 30 4" xfId="28059" xr:uid="{00000000-0005-0000-0000-00009B6D0000}"/>
    <cellStyle name="Normal 2 3 30 4 10" xfId="28060" xr:uid="{00000000-0005-0000-0000-00009C6D0000}"/>
    <cellStyle name="Normal 2 3 30 4 2" xfId="28061" xr:uid="{00000000-0005-0000-0000-00009D6D0000}"/>
    <cellStyle name="Normal 2 3 30 4 3" xfId="28062" xr:uid="{00000000-0005-0000-0000-00009E6D0000}"/>
    <cellStyle name="Normal 2 3 30 4 4" xfId="28063" xr:uid="{00000000-0005-0000-0000-00009F6D0000}"/>
    <cellStyle name="Normal 2 3 30 4 5" xfId="28064" xr:uid="{00000000-0005-0000-0000-0000A06D0000}"/>
    <cellStyle name="Normal 2 3 30 4 6" xfId="28065" xr:uid="{00000000-0005-0000-0000-0000A16D0000}"/>
    <cellStyle name="Normal 2 3 30 4 7" xfId="28066" xr:uid="{00000000-0005-0000-0000-0000A26D0000}"/>
    <cellStyle name="Normal 2 3 30 4 8" xfId="28067" xr:uid="{00000000-0005-0000-0000-0000A36D0000}"/>
    <cellStyle name="Normal 2 3 30 4 9" xfId="28068" xr:uid="{00000000-0005-0000-0000-0000A46D0000}"/>
    <cellStyle name="Normal 2 3 30 5" xfId="28069" xr:uid="{00000000-0005-0000-0000-0000A56D0000}"/>
    <cellStyle name="Normal 2 3 30 5 10" xfId="28070" xr:uid="{00000000-0005-0000-0000-0000A66D0000}"/>
    <cellStyle name="Normal 2 3 30 5 2" xfId="28071" xr:uid="{00000000-0005-0000-0000-0000A76D0000}"/>
    <cellStyle name="Normal 2 3 30 5 3" xfId="28072" xr:uid="{00000000-0005-0000-0000-0000A86D0000}"/>
    <cellStyle name="Normal 2 3 30 5 4" xfId="28073" xr:uid="{00000000-0005-0000-0000-0000A96D0000}"/>
    <cellStyle name="Normal 2 3 30 5 5" xfId="28074" xr:uid="{00000000-0005-0000-0000-0000AA6D0000}"/>
    <cellStyle name="Normal 2 3 30 5 6" xfId="28075" xr:uid="{00000000-0005-0000-0000-0000AB6D0000}"/>
    <cellStyle name="Normal 2 3 30 5 7" xfId="28076" xr:uid="{00000000-0005-0000-0000-0000AC6D0000}"/>
    <cellStyle name="Normal 2 3 30 5 8" xfId="28077" xr:uid="{00000000-0005-0000-0000-0000AD6D0000}"/>
    <cellStyle name="Normal 2 3 30 5 9" xfId="28078" xr:uid="{00000000-0005-0000-0000-0000AE6D0000}"/>
    <cellStyle name="Normal 2 3 30 6" xfId="28079" xr:uid="{00000000-0005-0000-0000-0000AF6D0000}"/>
    <cellStyle name="Normal 2 3 30 7" xfId="28080" xr:uid="{00000000-0005-0000-0000-0000B06D0000}"/>
    <cellStyle name="Normal 2 3 30 8" xfId="28081" xr:uid="{00000000-0005-0000-0000-0000B16D0000}"/>
    <cellStyle name="Normal 2 3 30 9" xfId="28082" xr:uid="{00000000-0005-0000-0000-0000B26D0000}"/>
    <cellStyle name="Normal 2 3 31" xfId="28083" xr:uid="{00000000-0005-0000-0000-0000B36D0000}"/>
    <cellStyle name="Normal 2 3 31 10" xfId="28084" xr:uid="{00000000-0005-0000-0000-0000B46D0000}"/>
    <cellStyle name="Normal 2 3 31 11" xfId="28085" xr:uid="{00000000-0005-0000-0000-0000B56D0000}"/>
    <cellStyle name="Normal 2 3 31 12" xfId="28086" xr:uid="{00000000-0005-0000-0000-0000B66D0000}"/>
    <cellStyle name="Normal 2 3 31 13" xfId="28087" xr:uid="{00000000-0005-0000-0000-0000B76D0000}"/>
    <cellStyle name="Normal 2 3 31 14" xfId="28088" xr:uid="{00000000-0005-0000-0000-0000B86D0000}"/>
    <cellStyle name="Normal 2 3 31 2" xfId="28089" xr:uid="{00000000-0005-0000-0000-0000B96D0000}"/>
    <cellStyle name="Normal 2 3 31 2 10" xfId="28090" xr:uid="{00000000-0005-0000-0000-0000BA6D0000}"/>
    <cellStyle name="Normal 2 3 31 2 2" xfId="28091" xr:uid="{00000000-0005-0000-0000-0000BB6D0000}"/>
    <cellStyle name="Normal 2 3 31 2 3" xfId="28092" xr:uid="{00000000-0005-0000-0000-0000BC6D0000}"/>
    <cellStyle name="Normal 2 3 31 2 4" xfId="28093" xr:uid="{00000000-0005-0000-0000-0000BD6D0000}"/>
    <cellStyle name="Normal 2 3 31 2 5" xfId="28094" xr:uid="{00000000-0005-0000-0000-0000BE6D0000}"/>
    <cellStyle name="Normal 2 3 31 2 6" xfId="28095" xr:uid="{00000000-0005-0000-0000-0000BF6D0000}"/>
    <cellStyle name="Normal 2 3 31 2 7" xfId="28096" xr:uid="{00000000-0005-0000-0000-0000C06D0000}"/>
    <cellStyle name="Normal 2 3 31 2 8" xfId="28097" xr:uid="{00000000-0005-0000-0000-0000C16D0000}"/>
    <cellStyle name="Normal 2 3 31 2 9" xfId="28098" xr:uid="{00000000-0005-0000-0000-0000C26D0000}"/>
    <cellStyle name="Normal 2 3 31 3" xfId="28099" xr:uid="{00000000-0005-0000-0000-0000C36D0000}"/>
    <cellStyle name="Normal 2 3 31 3 10" xfId="28100" xr:uid="{00000000-0005-0000-0000-0000C46D0000}"/>
    <cellStyle name="Normal 2 3 31 3 2" xfId="28101" xr:uid="{00000000-0005-0000-0000-0000C56D0000}"/>
    <cellStyle name="Normal 2 3 31 3 3" xfId="28102" xr:uid="{00000000-0005-0000-0000-0000C66D0000}"/>
    <cellStyle name="Normal 2 3 31 3 4" xfId="28103" xr:uid="{00000000-0005-0000-0000-0000C76D0000}"/>
    <cellStyle name="Normal 2 3 31 3 5" xfId="28104" xr:uid="{00000000-0005-0000-0000-0000C86D0000}"/>
    <cellStyle name="Normal 2 3 31 3 6" xfId="28105" xr:uid="{00000000-0005-0000-0000-0000C96D0000}"/>
    <cellStyle name="Normal 2 3 31 3 7" xfId="28106" xr:uid="{00000000-0005-0000-0000-0000CA6D0000}"/>
    <cellStyle name="Normal 2 3 31 3 8" xfId="28107" xr:uid="{00000000-0005-0000-0000-0000CB6D0000}"/>
    <cellStyle name="Normal 2 3 31 3 9" xfId="28108" xr:uid="{00000000-0005-0000-0000-0000CC6D0000}"/>
    <cellStyle name="Normal 2 3 31 4" xfId="28109" xr:uid="{00000000-0005-0000-0000-0000CD6D0000}"/>
    <cellStyle name="Normal 2 3 31 4 10" xfId="28110" xr:uid="{00000000-0005-0000-0000-0000CE6D0000}"/>
    <cellStyle name="Normal 2 3 31 4 2" xfId="28111" xr:uid="{00000000-0005-0000-0000-0000CF6D0000}"/>
    <cellStyle name="Normal 2 3 31 4 3" xfId="28112" xr:uid="{00000000-0005-0000-0000-0000D06D0000}"/>
    <cellStyle name="Normal 2 3 31 4 4" xfId="28113" xr:uid="{00000000-0005-0000-0000-0000D16D0000}"/>
    <cellStyle name="Normal 2 3 31 4 5" xfId="28114" xr:uid="{00000000-0005-0000-0000-0000D26D0000}"/>
    <cellStyle name="Normal 2 3 31 4 6" xfId="28115" xr:uid="{00000000-0005-0000-0000-0000D36D0000}"/>
    <cellStyle name="Normal 2 3 31 4 7" xfId="28116" xr:uid="{00000000-0005-0000-0000-0000D46D0000}"/>
    <cellStyle name="Normal 2 3 31 4 8" xfId="28117" xr:uid="{00000000-0005-0000-0000-0000D56D0000}"/>
    <cellStyle name="Normal 2 3 31 4 9" xfId="28118" xr:uid="{00000000-0005-0000-0000-0000D66D0000}"/>
    <cellStyle name="Normal 2 3 31 5" xfId="28119" xr:uid="{00000000-0005-0000-0000-0000D76D0000}"/>
    <cellStyle name="Normal 2 3 31 5 10" xfId="28120" xr:uid="{00000000-0005-0000-0000-0000D86D0000}"/>
    <cellStyle name="Normal 2 3 31 5 2" xfId="28121" xr:uid="{00000000-0005-0000-0000-0000D96D0000}"/>
    <cellStyle name="Normal 2 3 31 5 3" xfId="28122" xr:uid="{00000000-0005-0000-0000-0000DA6D0000}"/>
    <cellStyle name="Normal 2 3 31 5 4" xfId="28123" xr:uid="{00000000-0005-0000-0000-0000DB6D0000}"/>
    <cellStyle name="Normal 2 3 31 5 5" xfId="28124" xr:uid="{00000000-0005-0000-0000-0000DC6D0000}"/>
    <cellStyle name="Normal 2 3 31 5 6" xfId="28125" xr:uid="{00000000-0005-0000-0000-0000DD6D0000}"/>
    <cellStyle name="Normal 2 3 31 5 7" xfId="28126" xr:uid="{00000000-0005-0000-0000-0000DE6D0000}"/>
    <cellStyle name="Normal 2 3 31 5 8" xfId="28127" xr:uid="{00000000-0005-0000-0000-0000DF6D0000}"/>
    <cellStyle name="Normal 2 3 31 5 9" xfId="28128" xr:uid="{00000000-0005-0000-0000-0000E06D0000}"/>
    <cellStyle name="Normal 2 3 31 6" xfId="28129" xr:uid="{00000000-0005-0000-0000-0000E16D0000}"/>
    <cellStyle name="Normal 2 3 31 7" xfId="28130" xr:uid="{00000000-0005-0000-0000-0000E26D0000}"/>
    <cellStyle name="Normal 2 3 31 8" xfId="28131" xr:uid="{00000000-0005-0000-0000-0000E36D0000}"/>
    <cellStyle name="Normal 2 3 31 9" xfId="28132" xr:uid="{00000000-0005-0000-0000-0000E46D0000}"/>
    <cellStyle name="Normal 2 3 32" xfId="28133" xr:uid="{00000000-0005-0000-0000-0000E56D0000}"/>
    <cellStyle name="Normal 2 3 32 10" xfId="28134" xr:uid="{00000000-0005-0000-0000-0000E66D0000}"/>
    <cellStyle name="Normal 2 3 32 11" xfId="28135" xr:uid="{00000000-0005-0000-0000-0000E76D0000}"/>
    <cellStyle name="Normal 2 3 32 12" xfId="28136" xr:uid="{00000000-0005-0000-0000-0000E86D0000}"/>
    <cellStyle name="Normal 2 3 32 13" xfId="28137" xr:uid="{00000000-0005-0000-0000-0000E96D0000}"/>
    <cellStyle name="Normal 2 3 32 14" xfId="28138" xr:uid="{00000000-0005-0000-0000-0000EA6D0000}"/>
    <cellStyle name="Normal 2 3 32 2" xfId="28139" xr:uid="{00000000-0005-0000-0000-0000EB6D0000}"/>
    <cellStyle name="Normal 2 3 32 2 10" xfId="28140" xr:uid="{00000000-0005-0000-0000-0000EC6D0000}"/>
    <cellStyle name="Normal 2 3 32 2 2" xfId="28141" xr:uid="{00000000-0005-0000-0000-0000ED6D0000}"/>
    <cellStyle name="Normal 2 3 32 2 3" xfId="28142" xr:uid="{00000000-0005-0000-0000-0000EE6D0000}"/>
    <cellStyle name="Normal 2 3 32 2 4" xfId="28143" xr:uid="{00000000-0005-0000-0000-0000EF6D0000}"/>
    <cellStyle name="Normal 2 3 32 2 5" xfId="28144" xr:uid="{00000000-0005-0000-0000-0000F06D0000}"/>
    <cellStyle name="Normal 2 3 32 2 6" xfId="28145" xr:uid="{00000000-0005-0000-0000-0000F16D0000}"/>
    <cellStyle name="Normal 2 3 32 2 7" xfId="28146" xr:uid="{00000000-0005-0000-0000-0000F26D0000}"/>
    <cellStyle name="Normal 2 3 32 2 8" xfId="28147" xr:uid="{00000000-0005-0000-0000-0000F36D0000}"/>
    <cellStyle name="Normal 2 3 32 2 9" xfId="28148" xr:uid="{00000000-0005-0000-0000-0000F46D0000}"/>
    <cellStyle name="Normal 2 3 32 3" xfId="28149" xr:uid="{00000000-0005-0000-0000-0000F56D0000}"/>
    <cellStyle name="Normal 2 3 32 3 10" xfId="28150" xr:uid="{00000000-0005-0000-0000-0000F66D0000}"/>
    <cellStyle name="Normal 2 3 32 3 2" xfId="28151" xr:uid="{00000000-0005-0000-0000-0000F76D0000}"/>
    <cellStyle name="Normal 2 3 32 3 3" xfId="28152" xr:uid="{00000000-0005-0000-0000-0000F86D0000}"/>
    <cellStyle name="Normal 2 3 32 3 4" xfId="28153" xr:uid="{00000000-0005-0000-0000-0000F96D0000}"/>
    <cellStyle name="Normal 2 3 32 3 5" xfId="28154" xr:uid="{00000000-0005-0000-0000-0000FA6D0000}"/>
    <cellStyle name="Normal 2 3 32 3 6" xfId="28155" xr:uid="{00000000-0005-0000-0000-0000FB6D0000}"/>
    <cellStyle name="Normal 2 3 32 3 7" xfId="28156" xr:uid="{00000000-0005-0000-0000-0000FC6D0000}"/>
    <cellStyle name="Normal 2 3 32 3 8" xfId="28157" xr:uid="{00000000-0005-0000-0000-0000FD6D0000}"/>
    <cellStyle name="Normal 2 3 32 3 9" xfId="28158" xr:uid="{00000000-0005-0000-0000-0000FE6D0000}"/>
    <cellStyle name="Normal 2 3 32 4" xfId="28159" xr:uid="{00000000-0005-0000-0000-0000FF6D0000}"/>
    <cellStyle name="Normal 2 3 32 4 10" xfId="28160" xr:uid="{00000000-0005-0000-0000-0000006E0000}"/>
    <cellStyle name="Normal 2 3 32 4 2" xfId="28161" xr:uid="{00000000-0005-0000-0000-0000016E0000}"/>
    <cellStyle name="Normal 2 3 32 4 3" xfId="28162" xr:uid="{00000000-0005-0000-0000-0000026E0000}"/>
    <cellStyle name="Normal 2 3 32 4 4" xfId="28163" xr:uid="{00000000-0005-0000-0000-0000036E0000}"/>
    <cellStyle name="Normal 2 3 32 4 5" xfId="28164" xr:uid="{00000000-0005-0000-0000-0000046E0000}"/>
    <cellStyle name="Normal 2 3 32 4 6" xfId="28165" xr:uid="{00000000-0005-0000-0000-0000056E0000}"/>
    <cellStyle name="Normal 2 3 32 4 7" xfId="28166" xr:uid="{00000000-0005-0000-0000-0000066E0000}"/>
    <cellStyle name="Normal 2 3 32 4 8" xfId="28167" xr:uid="{00000000-0005-0000-0000-0000076E0000}"/>
    <cellStyle name="Normal 2 3 32 4 9" xfId="28168" xr:uid="{00000000-0005-0000-0000-0000086E0000}"/>
    <cellStyle name="Normal 2 3 32 5" xfId="28169" xr:uid="{00000000-0005-0000-0000-0000096E0000}"/>
    <cellStyle name="Normal 2 3 32 5 10" xfId="28170" xr:uid="{00000000-0005-0000-0000-00000A6E0000}"/>
    <cellStyle name="Normal 2 3 32 5 2" xfId="28171" xr:uid="{00000000-0005-0000-0000-00000B6E0000}"/>
    <cellStyle name="Normal 2 3 32 5 3" xfId="28172" xr:uid="{00000000-0005-0000-0000-00000C6E0000}"/>
    <cellStyle name="Normal 2 3 32 5 4" xfId="28173" xr:uid="{00000000-0005-0000-0000-00000D6E0000}"/>
    <cellStyle name="Normal 2 3 32 5 5" xfId="28174" xr:uid="{00000000-0005-0000-0000-00000E6E0000}"/>
    <cellStyle name="Normal 2 3 32 5 6" xfId="28175" xr:uid="{00000000-0005-0000-0000-00000F6E0000}"/>
    <cellStyle name="Normal 2 3 32 5 7" xfId="28176" xr:uid="{00000000-0005-0000-0000-0000106E0000}"/>
    <cellStyle name="Normal 2 3 32 5 8" xfId="28177" xr:uid="{00000000-0005-0000-0000-0000116E0000}"/>
    <cellStyle name="Normal 2 3 32 5 9" xfId="28178" xr:uid="{00000000-0005-0000-0000-0000126E0000}"/>
    <cellStyle name="Normal 2 3 32 6" xfId="28179" xr:uid="{00000000-0005-0000-0000-0000136E0000}"/>
    <cellStyle name="Normal 2 3 32 7" xfId="28180" xr:uid="{00000000-0005-0000-0000-0000146E0000}"/>
    <cellStyle name="Normal 2 3 32 8" xfId="28181" xr:uid="{00000000-0005-0000-0000-0000156E0000}"/>
    <cellStyle name="Normal 2 3 32 9" xfId="28182" xr:uid="{00000000-0005-0000-0000-0000166E0000}"/>
    <cellStyle name="Normal 2 3 33" xfId="28183" xr:uid="{00000000-0005-0000-0000-0000176E0000}"/>
    <cellStyle name="Normal 2 3 33 10" xfId="28184" xr:uid="{00000000-0005-0000-0000-0000186E0000}"/>
    <cellStyle name="Normal 2 3 33 11" xfId="28185" xr:uid="{00000000-0005-0000-0000-0000196E0000}"/>
    <cellStyle name="Normal 2 3 33 12" xfId="28186" xr:uid="{00000000-0005-0000-0000-00001A6E0000}"/>
    <cellStyle name="Normal 2 3 33 13" xfId="28187" xr:uid="{00000000-0005-0000-0000-00001B6E0000}"/>
    <cellStyle name="Normal 2 3 33 14" xfId="28188" xr:uid="{00000000-0005-0000-0000-00001C6E0000}"/>
    <cellStyle name="Normal 2 3 33 2" xfId="28189" xr:uid="{00000000-0005-0000-0000-00001D6E0000}"/>
    <cellStyle name="Normal 2 3 33 2 10" xfId="28190" xr:uid="{00000000-0005-0000-0000-00001E6E0000}"/>
    <cellStyle name="Normal 2 3 33 2 2" xfId="28191" xr:uid="{00000000-0005-0000-0000-00001F6E0000}"/>
    <cellStyle name="Normal 2 3 33 2 3" xfId="28192" xr:uid="{00000000-0005-0000-0000-0000206E0000}"/>
    <cellStyle name="Normal 2 3 33 2 4" xfId="28193" xr:uid="{00000000-0005-0000-0000-0000216E0000}"/>
    <cellStyle name="Normal 2 3 33 2 5" xfId="28194" xr:uid="{00000000-0005-0000-0000-0000226E0000}"/>
    <cellStyle name="Normal 2 3 33 2 6" xfId="28195" xr:uid="{00000000-0005-0000-0000-0000236E0000}"/>
    <cellStyle name="Normal 2 3 33 2 7" xfId="28196" xr:uid="{00000000-0005-0000-0000-0000246E0000}"/>
    <cellStyle name="Normal 2 3 33 2 8" xfId="28197" xr:uid="{00000000-0005-0000-0000-0000256E0000}"/>
    <cellStyle name="Normal 2 3 33 2 9" xfId="28198" xr:uid="{00000000-0005-0000-0000-0000266E0000}"/>
    <cellStyle name="Normal 2 3 33 3" xfId="28199" xr:uid="{00000000-0005-0000-0000-0000276E0000}"/>
    <cellStyle name="Normal 2 3 33 3 10" xfId="28200" xr:uid="{00000000-0005-0000-0000-0000286E0000}"/>
    <cellStyle name="Normal 2 3 33 3 2" xfId="28201" xr:uid="{00000000-0005-0000-0000-0000296E0000}"/>
    <cellStyle name="Normal 2 3 33 3 3" xfId="28202" xr:uid="{00000000-0005-0000-0000-00002A6E0000}"/>
    <cellStyle name="Normal 2 3 33 3 4" xfId="28203" xr:uid="{00000000-0005-0000-0000-00002B6E0000}"/>
    <cellStyle name="Normal 2 3 33 3 5" xfId="28204" xr:uid="{00000000-0005-0000-0000-00002C6E0000}"/>
    <cellStyle name="Normal 2 3 33 3 6" xfId="28205" xr:uid="{00000000-0005-0000-0000-00002D6E0000}"/>
    <cellStyle name="Normal 2 3 33 3 7" xfId="28206" xr:uid="{00000000-0005-0000-0000-00002E6E0000}"/>
    <cellStyle name="Normal 2 3 33 3 8" xfId="28207" xr:uid="{00000000-0005-0000-0000-00002F6E0000}"/>
    <cellStyle name="Normal 2 3 33 3 9" xfId="28208" xr:uid="{00000000-0005-0000-0000-0000306E0000}"/>
    <cellStyle name="Normal 2 3 33 4" xfId="28209" xr:uid="{00000000-0005-0000-0000-0000316E0000}"/>
    <cellStyle name="Normal 2 3 33 4 10" xfId="28210" xr:uid="{00000000-0005-0000-0000-0000326E0000}"/>
    <cellStyle name="Normal 2 3 33 4 2" xfId="28211" xr:uid="{00000000-0005-0000-0000-0000336E0000}"/>
    <cellStyle name="Normal 2 3 33 4 3" xfId="28212" xr:uid="{00000000-0005-0000-0000-0000346E0000}"/>
    <cellStyle name="Normal 2 3 33 4 4" xfId="28213" xr:uid="{00000000-0005-0000-0000-0000356E0000}"/>
    <cellStyle name="Normal 2 3 33 4 5" xfId="28214" xr:uid="{00000000-0005-0000-0000-0000366E0000}"/>
    <cellStyle name="Normal 2 3 33 4 6" xfId="28215" xr:uid="{00000000-0005-0000-0000-0000376E0000}"/>
    <cellStyle name="Normal 2 3 33 4 7" xfId="28216" xr:uid="{00000000-0005-0000-0000-0000386E0000}"/>
    <cellStyle name="Normal 2 3 33 4 8" xfId="28217" xr:uid="{00000000-0005-0000-0000-0000396E0000}"/>
    <cellStyle name="Normal 2 3 33 4 9" xfId="28218" xr:uid="{00000000-0005-0000-0000-00003A6E0000}"/>
    <cellStyle name="Normal 2 3 33 5" xfId="28219" xr:uid="{00000000-0005-0000-0000-00003B6E0000}"/>
    <cellStyle name="Normal 2 3 33 5 10" xfId="28220" xr:uid="{00000000-0005-0000-0000-00003C6E0000}"/>
    <cellStyle name="Normal 2 3 33 5 2" xfId="28221" xr:uid="{00000000-0005-0000-0000-00003D6E0000}"/>
    <cellStyle name="Normal 2 3 33 5 3" xfId="28222" xr:uid="{00000000-0005-0000-0000-00003E6E0000}"/>
    <cellStyle name="Normal 2 3 33 5 4" xfId="28223" xr:uid="{00000000-0005-0000-0000-00003F6E0000}"/>
    <cellStyle name="Normal 2 3 33 5 5" xfId="28224" xr:uid="{00000000-0005-0000-0000-0000406E0000}"/>
    <cellStyle name="Normal 2 3 33 5 6" xfId="28225" xr:uid="{00000000-0005-0000-0000-0000416E0000}"/>
    <cellStyle name="Normal 2 3 33 5 7" xfId="28226" xr:uid="{00000000-0005-0000-0000-0000426E0000}"/>
    <cellStyle name="Normal 2 3 33 5 8" xfId="28227" xr:uid="{00000000-0005-0000-0000-0000436E0000}"/>
    <cellStyle name="Normal 2 3 33 5 9" xfId="28228" xr:uid="{00000000-0005-0000-0000-0000446E0000}"/>
    <cellStyle name="Normal 2 3 33 6" xfId="28229" xr:uid="{00000000-0005-0000-0000-0000456E0000}"/>
    <cellStyle name="Normal 2 3 33 7" xfId="28230" xr:uid="{00000000-0005-0000-0000-0000466E0000}"/>
    <cellStyle name="Normal 2 3 33 8" xfId="28231" xr:uid="{00000000-0005-0000-0000-0000476E0000}"/>
    <cellStyle name="Normal 2 3 33 9" xfId="28232" xr:uid="{00000000-0005-0000-0000-0000486E0000}"/>
    <cellStyle name="Normal 2 3 34" xfId="28233" xr:uid="{00000000-0005-0000-0000-0000496E0000}"/>
    <cellStyle name="Normal 2 3 34 10" xfId="28234" xr:uid="{00000000-0005-0000-0000-00004A6E0000}"/>
    <cellStyle name="Normal 2 3 34 11" xfId="28235" xr:uid="{00000000-0005-0000-0000-00004B6E0000}"/>
    <cellStyle name="Normal 2 3 34 12" xfId="28236" xr:uid="{00000000-0005-0000-0000-00004C6E0000}"/>
    <cellStyle name="Normal 2 3 34 13" xfId="28237" xr:uid="{00000000-0005-0000-0000-00004D6E0000}"/>
    <cellStyle name="Normal 2 3 34 14" xfId="28238" xr:uid="{00000000-0005-0000-0000-00004E6E0000}"/>
    <cellStyle name="Normal 2 3 34 2" xfId="28239" xr:uid="{00000000-0005-0000-0000-00004F6E0000}"/>
    <cellStyle name="Normal 2 3 34 2 10" xfId="28240" xr:uid="{00000000-0005-0000-0000-0000506E0000}"/>
    <cellStyle name="Normal 2 3 34 2 2" xfId="28241" xr:uid="{00000000-0005-0000-0000-0000516E0000}"/>
    <cellStyle name="Normal 2 3 34 2 3" xfId="28242" xr:uid="{00000000-0005-0000-0000-0000526E0000}"/>
    <cellStyle name="Normal 2 3 34 2 4" xfId="28243" xr:uid="{00000000-0005-0000-0000-0000536E0000}"/>
    <cellStyle name="Normal 2 3 34 2 5" xfId="28244" xr:uid="{00000000-0005-0000-0000-0000546E0000}"/>
    <cellStyle name="Normal 2 3 34 2 6" xfId="28245" xr:uid="{00000000-0005-0000-0000-0000556E0000}"/>
    <cellStyle name="Normal 2 3 34 2 7" xfId="28246" xr:uid="{00000000-0005-0000-0000-0000566E0000}"/>
    <cellStyle name="Normal 2 3 34 2 8" xfId="28247" xr:uid="{00000000-0005-0000-0000-0000576E0000}"/>
    <cellStyle name="Normal 2 3 34 2 9" xfId="28248" xr:uid="{00000000-0005-0000-0000-0000586E0000}"/>
    <cellStyle name="Normal 2 3 34 3" xfId="28249" xr:uid="{00000000-0005-0000-0000-0000596E0000}"/>
    <cellStyle name="Normal 2 3 34 3 10" xfId="28250" xr:uid="{00000000-0005-0000-0000-00005A6E0000}"/>
    <cellStyle name="Normal 2 3 34 3 2" xfId="28251" xr:uid="{00000000-0005-0000-0000-00005B6E0000}"/>
    <cellStyle name="Normal 2 3 34 3 3" xfId="28252" xr:uid="{00000000-0005-0000-0000-00005C6E0000}"/>
    <cellStyle name="Normal 2 3 34 3 4" xfId="28253" xr:uid="{00000000-0005-0000-0000-00005D6E0000}"/>
    <cellStyle name="Normal 2 3 34 3 5" xfId="28254" xr:uid="{00000000-0005-0000-0000-00005E6E0000}"/>
    <cellStyle name="Normal 2 3 34 3 6" xfId="28255" xr:uid="{00000000-0005-0000-0000-00005F6E0000}"/>
    <cellStyle name="Normal 2 3 34 3 7" xfId="28256" xr:uid="{00000000-0005-0000-0000-0000606E0000}"/>
    <cellStyle name="Normal 2 3 34 3 8" xfId="28257" xr:uid="{00000000-0005-0000-0000-0000616E0000}"/>
    <cellStyle name="Normal 2 3 34 3 9" xfId="28258" xr:uid="{00000000-0005-0000-0000-0000626E0000}"/>
    <cellStyle name="Normal 2 3 34 4" xfId="28259" xr:uid="{00000000-0005-0000-0000-0000636E0000}"/>
    <cellStyle name="Normal 2 3 34 4 10" xfId="28260" xr:uid="{00000000-0005-0000-0000-0000646E0000}"/>
    <cellStyle name="Normal 2 3 34 4 2" xfId="28261" xr:uid="{00000000-0005-0000-0000-0000656E0000}"/>
    <cellStyle name="Normal 2 3 34 4 3" xfId="28262" xr:uid="{00000000-0005-0000-0000-0000666E0000}"/>
    <cellStyle name="Normal 2 3 34 4 4" xfId="28263" xr:uid="{00000000-0005-0000-0000-0000676E0000}"/>
    <cellStyle name="Normal 2 3 34 4 5" xfId="28264" xr:uid="{00000000-0005-0000-0000-0000686E0000}"/>
    <cellStyle name="Normal 2 3 34 4 6" xfId="28265" xr:uid="{00000000-0005-0000-0000-0000696E0000}"/>
    <cellStyle name="Normal 2 3 34 4 7" xfId="28266" xr:uid="{00000000-0005-0000-0000-00006A6E0000}"/>
    <cellStyle name="Normal 2 3 34 4 8" xfId="28267" xr:uid="{00000000-0005-0000-0000-00006B6E0000}"/>
    <cellStyle name="Normal 2 3 34 4 9" xfId="28268" xr:uid="{00000000-0005-0000-0000-00006C6E0000}"/>
    <cellStyle name="Normal 2 3 34 5" xfId="28269" xr:uid="{00000000-0005-0000-0000-00006D6E0000}"/>
    <cellStyle name="Normal 2 3 34 5 10" xfId="28270" xr:uid="{00000000-0005-0000-0000-00006E6E0000}"/>
    <cellStyle name="Normal 2 3 34 5 2" xfId="28271" xr:uid="{00000000-0005-0000-0000-00006F6E0000}"/>
    <cellStyle name="Normal 2 3 34 5 3" xfId="28272" xr:uid="{00000000-0005-0000-0000-0000706E0000}"/>
    <cellStyle name="Normal 2 3 34 5 4" xfId="28273" xr:uid="{00000000-0005-0000-0000-0000716E0000}"/>
    <cellStyle name="Normal 2 3 34 5 5" xfId="28274" xr:uid="{00000000-0005-0000-0000-0000726E0000}"/>
    <cellStyle name="Normal 2 3 34 5 6" xfId="28275" xr:uid="{00000000-0005-0000-0000-0000736E0000}"/>
    <cellStyle name="Normal 2 3 34 5 7" xfId="28276" xr:uid="{00000000-0005-0000-0000-0000746E0000}"/>
    <cellStyle name="Normal 2 3 34 5 8" xfId="28277" xr:uid="{00000000-0005-0000-0000-0000756E0000}"/>
    <cellStyle name="Normal 2 3 34 5 9" xfId="28278" xr:uid="{00000000-0005-0000-0000-0000766E0000}"/>
    <cellStyle name="Normal 2 3 34 6" xfId="28279" xr:uid="{00000000-0005-0000-0000-0000776E0000}"/>
    <cellStyle name="Normal 2 3 34 7" xfId="28280" xr:uid="{00000000-0005-0000-0000-0000786E0000}"/>
    <cellStyle name="Normal 2 3 34 8" xfId="28281" xr:uid="{00000000-0005-0000-0000-0000796E0000}"/>
    <cellStyle name="Normal 2 3 34 9" xfId="28282" xr:uid="{00000000-0005-0000-0000-00007A6E0000}"/>
    <cellStyle name="Normal 2 3 35" xfId="28283" xr:uid="{00000000-0005-0000-0000-00007B6E0000}"/>
    <cellStyle name="Normal 2 3 35 10" xfId="28284" xr:uid="{00000000-0005-0000-0000-00007C6E0000}"/>
    <cellStyle name="Normal 2 3 35 2" xfId="28285" xr:uid="{00000000-0005-0000-0000-00007D6E0000}"/>
    <cellStyle name="Normal 2 3 35 3" xfId="28286" xr:uid="{00000000-0005-0000-0000-00007E6E0000}"/>
    <cellStyle name="Normal 2 3 35 4" xfId="28287" xr:uid="{00000000-0005-0000-0000-00007F6E0000}"/>
    <cellStyle name="Normal 2 3 35 5" xfId="28288" xr:uid="{00000000-0005-0000-0000-0000806E0000}"/>
    <cellStyle name="Normal 2 3 35 6" xfId="28289" xr:uid="{00000000-0005-0000-0000-0000816E0000}"/>
    <cellStyle name="Normal 2 3 35 7" xfId="28290" xr:uid="{00000000-0005-0000-0000-0000826E0000}"/>
    <cellStyle name="Normal 2 3 35 8" xfId="28291" xr:uid="{00000000-0005-0000-0000-0000836E0000}"/>
    <cellStyle name="Normal 2 3 35 9" xfId="28292" xr:uid="{00000000-0005-0000-0000-0000846E0000}"/>
    <cellStyle name="Normal 2 3 36" xfId="28293" xr:uid="{00000000-0005-0000-0000-0000856E0000}"/>
    <cellStyle name="Normal 2 3 36 10" xfId="28294" xr:uid="{00000000-0005-0000-0000-0000866E0000}"/>
    <cellStyle name="Normal 2 3 36 2" xfId="28295" xr:uid="{00000000-0005-0000-0000-0000876E0000}"/>
    <cellStyle name="Normal 2 3 36 3" xfId="28296" xr:uid="{00000000-0005-0000-0000-0000886E0000}"/>
    <cellStyle name="Normal 2 3 36 4" xfId="28297" xr:uid="{00000000-0005-0000-0000-0000896E0000}"/>
    <cellStyle name="Normal 2 3 36 5" xfId="28298" xr:uid="{00000000-0005-0000-0000-00008A6E0000}"/>
    <cellStyle name="Normal 2 3 36 6" xfId="28299" xr:uid="{00000000-0005-0000-0000-00008B6E0000}"/>
    <cellStyle name="Normal 2 3 36 7" xfId="28300" xr:uid="{00000000-0005-0000-0000-00008C6E0000}"/>
    <cellStyle name="Normal 2 3 36 8" xfId="28301" xr:uid="{00000000-0005-0000-0000-00008D6E0000}"/>
    <cellStyle name="Normal 2 3 36 9" xfId="28302" xr:uid="{00000000-0005-0000-0000-00008E6E0000}"/>
    <cellStyle name="Normal 2 3 37" xfId="28303" xr:uid="{00000000-0005-0000-0000-00008F6E0000}"/>
    <cellStyle name="Normal 2 3 37 10" xfId="28304" xr:uid="{00000000-0005-0000-0000-0000906E0000}"/>
    <cellStyle name="Normal 2 3 37 2" xfId="28305" xr:uid="{00000000-0005-0000-0000-0000916E0000}"/>
    <cellStyle name="Normal 2 3 37 3" xfId="28306" xr:uid="{00000000-0005-0000-0000-0000926E0000}"/>
    <cellStyle name="Normal 2 3 37 4" xfId="28307" xr:uid="{00000000-0005-0000-0000-0000936E0000}"/>
    <cellStyle name="Normal 2 3 37 5" xfId="28308" xr:uid="{00000000-0005-0000-0000-0000946E0000}"/>
    <cellStyle name="Normal 2 3 37 6" xfId="28309" xr:uid="{00000000-0005-0000-0000-0000956E0000}"/>
    <cellStyle name="Normal 2 3 37 7" xfId="28310" xr:uid="{00000000-0005-0000-0000-0000966E0000}"/>
    <cellStyle name="Normal 2 3 37 8" xfId="28311" xr:uid="{00000000-0005-0000-0000-0000976E0000}"/>
    <cellStyle name="Normal 2 3 37 9" xfId="28312" xr:uid="{00000000-0005-0000-0000-0000986E0000}"/>
    <cellStyle name="Normal 2 3 38" xfId="28313" xr:uid="{00000000-0005-0000-0000-0000996E0000}"/>
    <cellStyle name="Normal 2 3 38 10" xfId="28314" xr:uid="{00000000-0005-0000-0000-00009A6E0000}"/>
    <cellStyle name="Normal 2 3 38 2" xfId="28315" xr:uid="{00000000-0005-0000-0000-00009B6E0000}"/>
    <cellStyle name="Normal 2 3 38 3" xfId="28316" xr:uid="{00000000-0005-0000-0000-00009C6E0000}"/>
    <cellStyle name="Normal 2 3 38 4" xfId="28317" xr:uid="{00000000-0005-0000-0000-00009D6E0000}"/>
    <cellStyle name="Normal 2 3 38 5" xfId="28318" xr:uid="{00000000-0005-0000-0000-00009E6E0000}"/>
    <cellStyle name="Normal 2 3 38 6" xfId="28319" xr:uid="{00000000-0005-0000-0000-00009F6E0000}"/>
    <cellStyle name="Normal 2 3 38 7" xfId="28320" xr:uid="{00000000-0005-0000-0000-0000A06E0000}"/>
    <cellStyle name="Normal 2 3 38 8" xfId="28321" xr:uid="{00000000-0005-0000-0000-0000A16E0000}"/>
    <cellStyle name="Normal 2 3 38 9" xfId="28322" xr:uid="{00000000-0005-0000-0000-0000A26E0000}"/>
    <cellStyle name="Normal 2 3 39" xfId="28323" xr:uid="{00000000-0005-0000-0000-0000A36E0000}"/>
    <cellStyle name="Normal 2 3 4" xfId="28324" xr:uid="{00000000-0005-0000-0000-0000A46E0000}"/>
    <cellStyle name="Normal 2 3 4 10" xfId="28325" xr:uid="{00000000-0005-0000-0000-0000A56E0000}"/>
    <cellStyle name="Normal 2 3 4 11" xfId="28326" xr:uid="{00000000-0005-0000-0000-0000A66E0000}"/>
    <cellStyle name="Normal 2 3 4 12" xfId="28327" xr:uid="{00000000-0005-0000-0000-0000A76E0000}"/>
    <cellStyle name="Normal 2 3 4 13" xfId="28328" xr:uid="{00000000-0005-0000-0000-0000A86E0000}"/>
    <cellStyle name="Normal 2 3 4 14" xfId="28329" xr:uid="{00000000-0005-0000-0000-0000A96E0000}"/>
    <cellStyle name="Normal 2 3 4 15" xfId="28330" xr:uid="{00000000-0005-0000-0000-0000AA6E0000}"/>
    <cellStyle name="Normal 2 3 4 16" xfId="28331" xr:uid="{00000000-0005-0000-0000-0000AB6E0000}"/>
    <cellStyle name="Normal 2 3 4 2" xfId="28332" xr:uid="{00000000-0005-0000-0000-0000AC6E0000}"/>
    <cellStyle name="Normal 2 3 4 2 10" xfId="28333" xr:uid="{00000000-0005-0000-0000-0000AD6E0000}"/>
    <cellStyle name="Normal 2 3 4 2 2" xfId="28334" xr:uid="{00000000-0005-0000-0000-0000AE6E0000}"/>
    <cellStyle name="Normal 2 3 4 2 3" xfId="28335" xr:uid="{00000000-0005-0000-0000-0000AF6E0000}"/>
    <cellStyle name="Normal 2 3 4 2 4" xfId="28336" xr:uid="{00000000-0005-0000-0000-0000B06E0000}"/>
    <cellStyle name="Normal 2 3 4 2 5" xfId="28337" xr:uid="{00000000-0005-0000-0000-0000B16E0000}"/>
    <cellStyle name="Normal 2 3 4 2 6" xfId="28338" xr:uid="{00000000-0005-0000-0000-0000B26E0000}"/>
    <cellStyle name="Normal 2 3 4 2 7" xfId="28339" xr:uid="{00000000-0005-0000-0000-0000B36E0000}"/>
    <cellStyle name="Normal 2 3 4 2 8" xfId="28340" xr:uid="{00000000-0005-0000-0000-0000B46E0000}"/>
    <cellStyle name="Normal 2 3 4 2 9" xfId="28341" xr:uid="{00000000-0005-0000-0000-0000B56E0000}"/>
    <cellStyle name="Normal 2 3 4 3" xfId="28342" xr:uid="{00000000-0005-0000-0000-0000B66E0000}"/>
    <cellStyle name="Normal 2 3 4 3 10" xfId="28343" xr:uid="{00000000-0005-0000-0000-0000B76E0000}"/>
    <cellStyle name="Normal 2 3 4 3 2" xfId="28344" xr:uid="{00000000-0005-0000-0000-0000B86E0000}"/>
    <cellStyle name="Normal 2 3 4 3 3" xfId="28345" xr:uid="{00000000-0005-0000-0000-0000B96E0000}"/>
    <cellStyle name="Normal 2 3 4 3 4" xfId="28346" xr:uid="{00000000-0005-0000-0000-0000BA6E0000}"/>
    <cellStyle name="Normal 2 3 4 3 5" xfId="28347" xr:uid="{00000000-0005-0000-0000-0000BB6E0000}"/>
    <cellStyle name="Normal 2 3 4 3 6" xfId="28348" xr:uid="{00000000-0005-0000-0000-0000BC6E0000}"/>
    <cellStyle name="Normal 2 3 4 3 7" xfId="28349" xr:uid="{00000000-0005-0000-0000-0000BD6E0000}"/>
    <cellStyle name="Normal 2 3 4 3 8" xfId="28350" xr:uid="{00000000-0005-0000-0000-0000BE6E0000}"/>
    <cellStyle name="Normal 2 3 4 3 9" xfId="28351" xr:uid="{00000000-0005-0000-0000-0000BF6E0000}"/>
    <cellStyle name="Normal 2 3 4 4" xfId="28352" xr:uid="{00000000-0005-0000-0000-0000C06E0000}"/>
    <cellStyle name="Normal 2 3 4 4 10" xfId="28353" xr:uid="{00000000-0005-0000-0000-0000C16E0000}"/>
    <cellStyle name="Normal 2 3 4 4 2" xfId="28354" xr:uid="{00000000-0005-0000-0000-0000C26E0000}"/>
    <cellStyle name="Normal 2 3 4 4 3" xfId="28355" xr:uid="{00000000-0005-0000-0000-0000C36E0000}"/>
    <cellStyle name="Normal 2 3 4 4 4" xfId="28356" xr:uid="{00000000-0005-0000-0000-0000C46E0000}"/>
    <cellStyle name="Normal 2 3 4 4 5" xfId="28357" xr:uid="{00000000-0005-0000-0000-0000C56E0000}"/>
    <cellStyle name="Normal 2 3 4 4 6" xfId="28358" xr:uid="{00000000-0005-0000-0000-0000C66E0000}"/>
    <cellStyle name="Normal 2 3 4 4 7" xfId="28359" xr:uid="{00000000-0005-0000-0000-0000C76E0000}"/>
    <cellStyle name="Normal 2 3 4 4 8" xfId="28360" xr:uid="{00000000-0005-0000-0000-0000C86E0000}"/>
    <cellStyle name="Normal 2 3 4 4 9" xfId="28361" xr:uid="{00000000-0005-0000-0000-0000C96E0000}"/>
    <cellStyle name="Normal 2 3 4 5" xfId="28362" xr:uid="{00000000-0005-0000-0000-0000CA6E0000}"/>
    <cellStyle name="Normal 2 3 4 5 10" xfId="28363" xr:uid="{00000000-0005-0000-0000-0000CB6E0000}"/>
    <cellStyle name="Normal 2 3 4 5 2" xfId="28364" xr:uid="{00000000-0005-0000-0000-0000CC6E0000}"/>
    <cellStyle name="Normal 2 3 4 5 3" xfId="28365" xr:uid="{00000000-0005-0000-0000-0000CD6E0000}"/>
    <cellStyle name="Normal 2 3 4 5 4" xfId="28366" xr:uid="{00000000-0005-0000-0000-0000CE6E0000}"/>
    <cellStyle name="Normal 2 3 4 5 5" xfId="28367" xr:uid="{00000000-0005-0000-0000-0000CF6E0000}"/>
    <cellStyle name="Normal 2 3 4 5 6" xfId="28368" xr:uid="{00000000-0005-0000-0000-0000D06E0000}"/>
    <cellStyle name="Normal 2 3 4 5 7" xfId="28369" xr:uid="{00000000-0005-0000-0000-0000D16E0000}"/>
    <cellStyle name="Normal 2 3 4 5 8" xfId="28370" xr:uid="{00000000-0005-0000-0000-0000D26E0000}"/>
    <cellStyle name="Normal 2 3 4 5 9" xfId="28371" xr:uid="{00000000-0005-0000-0000-0000D36E0000}"/>
    <cellStyle name="Normal 2 3 4 6" xfId="28372" xr:uid="{00000000-0005-0000-0000-0000D46E0000}"/>
    <cellStyle name="Normal 2 3 4 7" xfId="28373" xr:uid="{00000000-0005-0000-0000-0000D56E0000}"/>
    <cellStyle name="Normal 2 3 4 8" xfId="28374" xr:uid="{00000000-0005-0000-0000-0000D66E0000}"/>
    <cellStyle name="Normal 2 3 4 9" xfId="28375" xr:uid="{00000000-0005-0000-0000-0000D76E0000}"/>
    <cellStyle name="Normal 2 3 40" xfId="28376" xr:uid="{00000000-0005-0000-0000-0000D86E0000}"/>
    <cellStyle name="Normal 2 3 41" xfId="28377" xr:uid="{00000000-0005-0000-0000-0000D96E0000}"/>
    <cellStyle name="Normal 2 3 42" xfId="28378" xr:uid="{00000000-0005-0000-0000-0000DA6E0000}"/>
    <cellStyle name="Normal 2 3 43" xfId="28379" xr:uid="{00000000-0005-0000-0000-0000DB6E0000}"/>
    <cellStyle name="Normal 2 3 44" xfId="28380" xr:uid="{00000000-0005-0000-0000-0000DC6E0000}"/>
    <cellStyle name="Normal 2 3 45" xfId="28381" xr:uid="{00000000-0005-0000-0000-0000DD6E0000}"/>
    <cellStyle name="Normal 2 3 46" xfId="28382" xr:uid="{00000000-0005-0000-0000-0000DE6E0000}"/>
    <cellStyle name="Normal 2 3 47" xfId="28383" xr:uid="{00000000-0005-0000-0000-0000DF6E0000}"/>
    <cellStyle name="Normal 2 3 48" xfId="28384" xr:uid="{00000000-0005-0000-0000-0000E06E0000}"/>
    <cellStyle name="Normal 2 3 49" xfId="28385" xr:uid="{00000000-0005-0000-0000-0000E16E0000}"/>
    <cellStyle name="Normal 2 3 5" xfId="28386" xr:uid="{00000000-0005-0000-0000-0000E26E0000}"/>
    <cellStyle name="Normal 2 3 5 10" xfId="28387" xr:uid="{00000000-0005-0000-0000-0000E36E0000}"/>
    <cellStyle name="Normal 2 3 5 11" xfId="28388" xr:uid="{00000000-0005-0000-0000-0000E46E0000}"/>
    <cellStyle name="Normal 2 3 5 12" xfId="28389" xr:uid="{00000000-0005-0000-0000-0000E56E0000}"/>
    <cellStyle name="Normal 2 3 5 13" xfId="28390" xr:uid="{00000000-0005-0000-0000-0000E66E0000}"/>
    <cellStyle name="Normal 2 3 5 14" xfId="28391" xr:uid="{00000000-0005-0000-0000-0000E76E0000}"/>
    <cellStyle name="Normal 2 3 5 15" xfId="28392" xr:uid="{00000000-0005-0000-0000-0000E86E0000}"/>
    <cellStyle name="Normal 2 3 5 16" xfId="28393" xr:uid="{00000000-0005-0000-0000-0000E96E0000}"/>
    <cellStyle name="Normal 2 3 5 2" xfId="28394" xr:uid="{00000000-0005-0000-0000-0000EA6E0000}"/>
    <cellStyle name="Normal 2 3 5 2 10" xfId="28395" xr:uid="{00000000-0005-0000-0000-0000EB6E0000}"/>
    <cellStyle name="Normal 2 3 5 2 11" xfId="28396" xr:uid="{00000000-0005-0000-0000-0000EC6E0000}"/>
    <cellStyle name="Normal 2 3 5 2 12" xfId="28397" xr:uid="{00000000-0005-0000-0000-0000ED6E0000}"/>
    <cellStyle name="Normal 2 3 5 2 2" xfId="28398" xr:uid="{00000000-0005-0000-0000-0000EE6E0000}"/>
    <cellStyle name="Normal 2 3 5 2 3" xfId="28399" xr:uid="{00000000-0005-0000-0000-0000EF6E0000}"/>
    <cellStyle name="Normal 2 3 5 2 4" xfId="28400" xr:uid="{00000000-0005-0000-0000-0000F06E0000}"/>
    <cellStyle name="Normal 2 3 5 2 5" xfId="28401" xr:uid="{00000000-0005-0000-0000-0000F16E0000}"/>
    <cellStyle name="Normal 2 3 5 2 6" xfId="28402" xr:uid="{00000000-0005-0000-0000-0000F26E0000}"/>
    <cellStyle name="Normal 2 3 5 2 7" xfId="28403" xr:uid="{00000000-0005-0000-0000-0000F36E0000}"/>
    <cellStyle name="Normal 2 3 5 2 8" xfId="28404" xr:uid="{00000000-0005-0000-0000-0000F46E0000}"/>
    <cellStyle name="Normal 2 3 5 2 9" xfId="28405" xr:uid="{00000000-0005-0000-0000-0000F56E0000}"/>
    <cellStyle name="Normal 2 3 5 3" xfId="28406" xr:uid="{00000000-0005-0000-0000-0000F66E0000}"/>
    <cellStyle name="Normal 2 3 5 3 10" xfId="28407" xr:uid="{00000000-0005-0000-0000-0000F76E0000}"/>
    <cellStyle name="Normal 2 3 5 3 2" xfId="28408" xr:uid="{00000000-0005-0000-0000-0000F86E0000}"/>
    <cellStyle name="Normal 2 3 5 3 3" xfId="28409" xr:uid="{00000000-0005-0000-0000-0000F96E0000}"/>
    <cellStyle name="Normal 2 3 5 3 4" xfId="28410" xr:uid="{00000000-0005-0000-0000-0000FA6E0000}"/>
    <cellStyle name="Normal 2 3 5 3 5" xfId="28411" xr:uid="{00000000-0005-0000-0000-0000FB6E0000}"/>
    <cellStyle name="Normal 2 3 5 3 6" xfId="28412" xr:uid="{00000000-0005-0000-0000-0000FC6E0000}"/>
    <cellStyle name="Normal 2 3 5 3 7" xfId="28413" xr:uid="{00000000-0005-0000-0000-0000FD6E0000}"/>
    <cellStyle name="Normal 2 3 5 3 8" xfId="28414" xr:uid="{00000000-0005-0000-0000-0000FE6E0000}"/>
    <cellStyle name="Normal 2 3 5 3 9" xfId="28415" xr:uid="{00000000-0005-0000-0000-0000FF6E0000}"/>
    <cellStyle name="Normal 2 3 5 4" xfId="28416" xr:uid="{00000000-0005-0000-0000-0000006F0000}"/>
    <cellStyle name="Normal 2 3 5 4 10" xfId="28417" xr:uid="{00000000-0005-0000-0000-0000016F0000}"/>
    <cellStyle name="Normal 2 3 5 4 2" xfId="28418" xr:uid="{00000000-0005-0000-0000-0000026F0000}"/>
    <cellStyle name="Normal 2 3 5 4 3" xfId="28419" xr:uid="{00000000-0005-0000-0000-0000036F0000}"/>
    <cellStyle name="Normal 2 3 5 4 4" xfId="28420" xr:uid="{00000000-0005-0000-0000-0000046F0000}"/>
    <cellStyle name="Normal 2 3 5 4 5" xfId="28421" xr:uid="{00000000-0005-0000-0000-0000056F0000}"/>
    <cellStyle name="Normal 2 3 5 4 6" xfId="28422" xr:uid="{00000000-0005-0000-0000-0000066F0000}"/>
    <cellStyle name="Normal 2 3 5 4 7" xfId="28423" xr:uid="{00000000-0005-0000-0000-0000076F0000}"/>
    <cellStyle name="Normal 2 3 5 4 8" xfId="28424" xr:uid="{00000000-0005-0000-0000-0000086F0000}"/>
    <cellStyle name="Normal 2 3 5 4 9" xfId="28425" xr:uid="{00000000-0005-0000-0000-0000096F0000}"/>
    <cellStyle name="Normal 2 3 5 5" xfId="28426" xr:uid="{00000000-0005-0000-0000-00000A6F0000}"/>
    <cellStyle name="Normal 2 3 5 5 10" xfId="28427" xr:uid="{00000000-0005-0000-0000-00000B6F0000}"/>
    <cellStyle name="Normal 2 3 5 5 2" xfId="28428" xr:uid="{00000000-0005-0000-0000-00000C6F0000}"/>
    <cellStyle name="Normal 2 3 5 5 3" xfId="28429" xr:uid="{00000000-0005-0000-0000-00000D6F0000}"/>
    <cellStyle name="Normal 2 3 5 5 4" xfId="28430" xr:uid="{00000000-0005-0000-0000-00000E6F0000}"/>
    <cellStyle name="Normal 2 3 5 5 5" xfId="28431" xr:uid="{00000000-0005-0000-0000-00000F6F0000}"/>
    <cellStyle name="Normal 2 3 5 5 6" xfId="28432" xr:uid="{00000000-0005-0000-0000-0000106F0000}"/>
    <cellStyle name="Normal 2 3 5 5 7" xfId="28433" xr:uid="{00000000-0005-0000-0000-0000116F0000}"/>
    <cellStyle name="Normal 2 3 5 5 8" xfId="28434" xr:uid="{00000000-0005-0000-0000-0000126F0000}"/>
    <cellStyle name="Normal 2 3 5 5 9" xfId="28435" xr:uid="{00000000-0005-0000-0000-0000136F0000}"/>
    <cellStyle name="Normal 2 3 5 6" xfId="28436" xr:uid="{00000000-0005-0000-0000-0000146F0000}"/>
    <cellStyle name="Normal 2 3 5 7" xfId="28437" xr:uid="{00000000-0005-0000-0000-0000156F0000}"/>
    <cellStyle name="Normal 2 3 5 8" xfId="28438" xr:uid="{00000000-0005-0000-0000-0000166F0000}"/>
    <cellStyle name="Normal 2 3 5 9" xfId="28439" xr:uid="{00000000-0005-0000-0000-0000176F0000}"/>
    <cellStyle name="Normal 2 3 6" xfId="28440" xr:uid="{00000000-0005-0000-0000-0000186F0000}"/>
    <cellStyle name="Normal 2 3 6 10" xfId="28441" xr:uid="{00000000-0005-0000-0000-0000196F0000}"/>
    <cellStyle name="Normal 2 3 6 11" xfId="28442" xr:uid="{00000000-0005-0000-0000-00001A6F0000}"/>
    <cellStyle name="Normal 2 3 6 12" xfId="28443" xr:uid="{00000000-0005-0000-0000-00001B6F0000}"/>
    <cellStyle name="Normal 2 3 6 13" xfId="28444" xr:uid="{00000000-0005-0000-0000-00001C6F0000}"/>
    <cellStyle name="Normal 2 3 6 14" xfId="28445" xr:uid="{00000000-0005-0000-0000-00001D6F0000}"/>
    <cellStyle name="Normal 2 3 6 2" xfId="28446" xr:uid="{00000000-0005-0000-0000-00001E6F0000}"/>
    <cellStyle name="Normal 2 3 6 2 10" xfId="28447" xr:uid="{00000000-0005-0000-0000-00001F6F0000}"/>
    <cellStyle name="Normal 2 3 6 2 2" xfId="28448" xr:uid="{00000000-0005-0000-0000-0000206F0000}"/>
    <cellStyle name="Normal 2 3 6 2 3" xfId="28449" xr:uid="{00000000-0005-0000-0000-0000216F0000}"/>
    <cellStyle name="Normal 2 3 6 2 4" xfId="28450" xr:uid="{00000000-0005-0000-0000-0000226F0000}"/>
    <cellStyle name="Normal 2 3 6 2 5" xfId="28451" xr:uid="{00000000-0005-0000-0000-0000236F0000}"/>
    <cellStyle name="Normal 2 3 6 2 6" xfId="28452" xr:uid="{00000000-0005-0000-0000-0000246F0000}"/>
    <cellStyle name="Normal 2 3 6 2 7" xfId="28453" xr:uid="{00000000-0005-0000-0000-0000256F0000}"/>
    <cellStyle name="Normal 2 3 6 2 8" xfId="28454" xr:uid="{00000000-0005-0000-0000-0000266F0000}"/>
    <cellStyle name="Normal 2 3 6 2 9" xfId="28455" xr:uid="{00000000-0005-0000-0000-0000276F0000}"/>
    <cellStyle name="Normal 2 3 6 3" xfId="28456" xr:uid="{00000000-0005-0000-0000-0000286F0000}"/>
    <cellStyle name="Normal 2 3 6 3 10" xfId="28457" xr:uid="{00000000-0005-0000-0000-0000296F0000}"/>
    <cellStyle name="Normal 2 3 6 3 2" xfId="28458" xr:uid="{00000000-0005-0000-0000-00002A6F0000}"/>
    <cellStyle name="Normal 2 3 6 3 3" xfId="28459" xr:uid="{00000000-0005-0000-0000-00002B6F0000}"/>
    <cellStyle name="Normal 2 3 6 3 4" xfId="28460" xr:uid="{00000000-0005-0000-0000-00002C6F0000}"/>
    <cellStyle name="Normal 2 3 6 3 5" xfId="28461" xr:uid="{00000000-0005-0000-0000-00002D6F0000}"/>
    <cellStyle name="Normal 2 3 6 3 6" xfId="28462" xr:uid="{00000000-0005-0000-0000-00002E6F0000}"/>
    <cellStyle name="Normal 2 3 6 3 7" xfId="28463" xr:uid="{00000000-0005-0000-0000-00002F6F0000}"/>
    <cellStyle name="Normal 2 3 6 3 8" xfId="28464" xr:uid="{00000000-0005-0000-0000-0000306F0000}"/>
    <cellStyle name="Normal 2 3 6 3 9" xfId="28465" xr:uid="{00000000-0005-0000-0000-0000316F0000}"/>
    <cellStyle name="Normal 2 3 6 4" xfId="28466" xr:uid="{00000000-0005-0000-0000-0000326F0000}"/>
    <cellStyle name="Normal 2 3 6 4 10" xfId="28467" xr:uid="{00000000-0005-0000-0000-0000336F0000}"/>
    <cellStyle name="Normal 2 3 6 4 2" xfId="28468" xr:uid="{00000000-0005-0000-0000-0000346F0000}"/>
    <cellStyle name="Normal 2 3 6 4 3" xfId="28469" xr:uid="{00000000-0005-0000-0000-0000356F0000}"/>
    <cellStyle name="Normal 2 3 6 4 4" xfId="28470" xr:uid="{00000000-0005-0000-0000-0000366F0000}"/>
    <cellStyle name="Normal 2 3 6 4 5" xfId="28471" xr:uid="{00000000-0005-0000-0000-0000376F0000}"/>
    <cellStyle name="Normal 2 3 6 4 6" xfId="28472" xr:uid="{00000000-0005-0000-0000-0000386F0000}"/>
    <cellStyle name="Normal 2 3 6 4 7" xfId="28473" xr:uid="{00000000-0005-0000-0000-0000396F0000}"/>
    <cellStyle name="Normal 2 3 6 4 8" xfId="28474" xr:uid="{00000000-0005-0000-0000-00003A6F0000}"/>
    <cellStyle name="Normal 2 3 6 4 9" xfId="28475" xr:uid="{00000000-0005-0000-0000-00003B6F0000}"/>
    <cellStyle name="Normal 2 3 6 5" xfId="28476" xr:uid="{00000000-0005-0000-0000-00003C6F0000}"/>
    <cellStyle name="Normal 2 3 6 5 10" xfId="28477" xr:uid="{00000000-0005-0000-0000-00003D6F0000}"/>
    <cellStyle name="Normal 2 3 6 5 2" xfId="28478" xr:uid="{00000000-0005-0000-0000-00003E6F0000}"/>
    <cellStyle name="Normal 2 3 6 5 3" xfId="28479" xr:uid="{00000000-0005-0000-0000-00003F6F0000}"/>
    <cellStyle name="Normal 2 3 6 5 4" xfId="28480" xr:uid="{00000000-0005-0000-0000-0000406F0000}"/>
    <cellStyle name="Normal 2 3 6 5 5" xfId="28481" xr:uid="{00000000-0005-0000-0000-0000416F0000}"/>
    <cellStyle name="Normal 2 3 6 5 6" xfId="28482" xr:uid="{00000000-0005-0000-0000-0000426F0000}"/>
    <cellStyle name="Normal 2 3 6 5 7" xfId="28483" xr:uid="{00000000-0005-0000-0000-0000436F0000}"/>
    <cellStyle name="Normal 2 3 6 5 8" xfId="28484" xr:uid="{00000000-0005-0000-0000-0000446F0000}"/>
    <cellStyle name="Normal 2 3 6 5 9" xfId="28485" xr:uid="{00000000-0005-0000-0000-0000456F0000}"/>
    <cellStyle name="Normal 2 3 6 6" xfId="28486" xr:uid="{00000000-0005-0000-0000-0000466F0000}"/>
    <cellStyle name="Normal 2 3 6 7" xfId="28487" xr:uid="{00000000-0005-0000-0000-0000476F0000}"/>
    <cellStyle name="Normal 2 3 6 8" xfId="28488" xr:uid="{00000000-0005-0000-0000-0000486F0000}"/>
    <cellStyle name="Normal 2 3 6 9" xfId="28489" xr:uid="{00000000-0005-0000-0000-0000496F0000}"/>
    <cellStyle name="Normal 2 3 7" xfId="28490" xr:uid="{00000000-0005-0000-0000-00004A6F0000}"/>
    <cellStyle name="Normal 2 3 7 10" xfId="28491" xr:uid="{00000000-0005-0000-0000-00004B6F0000}"/>
    <cellStyle name="Normal 2 3 7 11" xfId="28492" xr:uid="{00000000-0005-0000-0000-00004C6F0000}"/>
    <cellStyle name="Normal 2 3 7 12" xfId="28493" xr:uid="{00000000-0005-0000-0000-00004D6F0000}"/>
    <cellStyle name="Normal 2 3 7 13" xfId="28494" xr:uid="{00000000-0005-0000-0000-00004E6F0000}"/>
    <cellStyle name="Normal 2 3 7 14" xfId="28495" xr:uid="{00000000-0005-0000-0000-00004F6F0000}"/>
    <cellStyle name="Normal 2 3 7 2" xfId="28496" xr:uid="{00000000-0005-0000-0000-0000506F0000}"/>
    <cellStyle name="Normal 2 3 7 2 10" xfId="28497" xr:uid="{00000000-0005-0000-0000-0000516F0000}"/>
    <cellStyle name="Normal 2 3 7 2 2" xfId="28498" xr:uid="{00000000-0005-0000-0000-0000526F0000}"/>
    <cellStyle name="Normal 2 3 7 2 3" xfId="28499" xr:uid="{00000000-0005-0000-0000-0000536F0000}"/>
    <cellStyle name="Normal 2 3 7 2 4" xfId="28500" xr:uid="{00000000-0005-0000-0000-0000546F0000}"/>
    <cellStyle name="Normal 2 3 7 2 5" xfId="28501" xr:uid="{00000000-0005-0000-0000-0000556F0000}"/>
    <cellStyle name="Normal 2 3 7 2 6" xfId="28502" xr:uid="{00000000-0005-0000-0000-0000566F0000}"/>
    <cellStyle name="Normal 2 3 7 2 7" xfId="28503" xr:uid="{00000000-0005-0000-0000-0000576F0000}"/>
    <cellStyle name="Normal 2 3 7 2 8" xfId="28504" xr:uid="{00000000-0005-0000-0000-0000586F0000}"/>
    <cellStyle name="Normal 2 3 7 2 9" xfId="28505" xr:uid="{00000000-0005-0000-0000-0000596F0000}"/>
    <cellStyle name="Normal 2 3 7 3" xfId="28506" xr:uid="{00000000-0005-0000-0000-00005A6F0000}"/>
    <cellStyle name="Normal 2 3 7 3 10" xfId="28507" xr:uid="{00000000-0005-0000-0000-00005B6F0000}"/>
    <cellStyle name="Normal 2 3 7 3 2" xfId="28508" xr:uid="{00000000-0005-0000-0000-00005C6F0000}"/>
    <cellStyle name="Normal 2 3 7 3 3" xfId="28509" xr:uid="{00000000-0005-0000-0000-00005D6F0000}"/>
    <cellStyle name="Normal 2 3 7 3 4" xfId="28510" xr:uid="{00000000-0005-0000-0000-00005E6F0000}"/>
    <cellStyle name="Normal 2 3 7 3 5" xfId="28511" xr:uid="{00000000-0005-0000-0000-00005F6F0000}"/>
    <cellStyle name="Normal 2 3 7 3 6" xfId="28512" xr:uid="{00000000-0005-0000-0000-0000606F0000}"/>
    <cellStyle name="Normal 2 3 7 3 7" xfId="28513" xr:uid="{00000000-0005-0000-0000-0000616F0000}"/>
    <cellStyle name="Normal 2 3 7 3 8" xfId="28514" xr:uid="{00000000-0005-0000-0000-0000626F0000}"/>
    <cellStyle name="Normal 2 3 7 3 9" xfId="28515" xr:uid="{00000000-0005-0000-0000-0000636F0000}"/>
    <cellStyle name="Normal 2 3 7 4" xfId="28516" xr:uid="{00000000-0005-0000-0000-0000646F0000}"/>
    <cellStyle name="Normal 2 3 7 4 10" xfId="28517" xr:uid="{00000000-0005-0000-0000-0000656F0000}"/>
    <cellStyle name="Normal 2 3 7 4 2" xfId="28518" xr:uid="{00000000-0005-0000-0000-0000666F0000}"/>
    <cellStyle name="Normal 2 3 7 4 3" xfId="28519" xr:uid="{00000000-0005-0000-0000-0000676F0000}"/>
    <cellStyle name="Normal 2 3 7 4 4" xfId="28520" xr:uid="{00000000-0005-0000-0000-0000686F0000}"/>
    <cellStyle name="Normal 2 3 7 4 5" xfId="28521" xr:uid="{00000000-0005-0000-0000-0000696F0000}"/>
    <cellStyle name="Normal 2 3 7 4 6" xfId="28522" xr:uid="{00000000-0005-0000-0000-00006A6F0000}"/>
    <cellStyle name="Normal 2 3 7 4 7" xfId="28523" xr:uid="{00000000-0005-0000-0000-00006B6F0000}"/>
    <cellStyle name="Normal 2 3 7 4 8" xfId="28524" xr:uid="{00000000-0005-0000-0000-00006C6F0000}"/>
    <cellStyle name="Normal 2 3 7 4 9" xfId="28525" xr:uid="{00000000-0005-0000-0000-00006D6F0000}"/>
    <cellStyle name="Normal 2 3 7 5" xfId="28526" xr:uid="{00000000-0005-0000-0000-00006E6F0000}"/>
    <cellStyle name="Normal 2 3 7 5 10" xfId="28527" xr:uid="{00000000-0005-0000-0000-00006F6F0000}"/>
    <cellStyle name="Normal 2 3 7 5 2" xfId="28528" xr:uid="{00000000-0005-0000-0000-0000706F0000}"/>
    <cellStyle name="Normal 2 3 7 5 3" xfId="28529" xr:uid="{00000000-0005-0000-0000-0000716F0000}"/>
    <cellStyle name="Normal 2 3 7 5 4" xfId="28530" xr:uid="{00000000-0005-0000-0000-0000726F0000}"/>
    <cellStyle name="Normal 2 3 7 5 5" xfId="28531" xr:uid="{00000000-0005-0000-0000-0000736F0000}"/>
    <cellStyle name="Normal 2 3 7 5 6" xfId="28532" xr:uid="{00000000-0005-0000-0000-0000746F0000}"/>
    <cellStyle name="Normal 2 3 7 5 7" xfId="28533" xr:uid="{00000000-0005-0000-0000-0000756F0000}"/>
    <cellStyle name="Normal 2 3 7 5 8" xfId="28534" xr:uid="{00000000-0005-0000-0000-0000766F0000}"/>
    <cellStyle name="Normal 2 3 7 5 9" xfId="28535" xr:uid="{00000000-0005-0000-0000-0000776F0000}"/>
    <cellStyle name="Normal 2 3 7 6" xfId="28536" xr:uid="{00000000-0005-0000-0000-0000786F0000}"/>
    <cellStyle name="Normal 2 3 7 7" xfId="28537" xr:uid="{00000000-0005-0000-0000-0000796F0000}"/>
    <cellStyle name="Normal 2 3 7 8" xfId="28538" xr:uid="{00000000-0005-0000-0000-00007A6F0000}"/>
    <cellStyle name="Normal 2 3 7 9" xfId="28539" xr:uid="{00000000-0005-0000-0000-00007B6F0000}"/>
    <cellStyle name="Normal 2 3 8" xfId="28540" xr:uid="{00000000-0005-0000-0000-00007C6F0000}"/>
    <cellStyle name="Normal 2 3 8 10" xfId="28541" xr:uid="{00000000-0005-0000-0000-00007D6F0000}"/>
    <cellStyle name="Normal 2 3 8 11" xfId="28542" xr:uid="{00000000-0005-0000-0000-00007E6F0000}"/>
    <cellStyle name="Normal 2 3 8 12" xfId="28543" xr:uid="{00000000-0005-0000-0000-00007F6F0000}"/>
    <cellStyle name="Normal 2 3 8 13" xfId="28544" xr:uid="{00000000-0005-0000-0000-0000806F0000}"/>
    <cellStyle name="Normal 2 3 8 14" xfId="28545" xr:uid="{00000000-0005-0000-0000-0000816F0000}"/>
    <cellStyle name="Normal 2 3 8 2" xfId="28546" xr:uid="{00000000-0005-0000-0000-0000826F0000}"/>
    <cellStyle name="Normal 2 3 8 2 10" xfId="28547" xr:uid="{00000000-0005-0000-0000-0000836F0000}"/>
    <cellStyle name="Normal 2 3 8 2 2" xfId="28548" xr:uid="{00000000-0005-0000-0000-0000846F0000}"/>
    <cellStyle name="Normal 2 3 8 2 3" xfId="28549" xr:uid="{00000000-0005-0000-0000-0000856F0000}"/>
    <cellStyle name="Normal 2 3 8 2 4" xfId="28550" xr:uid="{00000000-0005-0000-0000-0000866F0000}"/>
    <cellStyle name="Normal 2 3 8 2 5" xfId="28551" xr:uid="{00000000-0005-0000-0000-0000876F0000}"/>
    <cellStyle name="Normal 2 3 8 2 6" xfId="28552" xr:uid="{00000000-0005-0000-0000-0000886F0000}"/>
    <cellStyle name="Normal 2 3 8 2 7" xfId="28553" xr:uid="{00000000-0005-0000-0000-0000896F0000}"/>
    <cellStyle name="Normal 2 3 8 2 8" xfId="28554" xr:uid="{00000000-0005-0000-0000-00008A6F0000}"/>
    <cellStyle name="Normal 2 3 8 2 9" xfId="28555" xr:uid="{00000000-0005-0000-0000-00008B6F0000}"/>
    <cellStyle name="Normal 2 3 8 3" xfId="28556" xr:uid="{00000000-0005-0000-0000-00008C6F0000}"/>
    <cellStyle name="Normal 2 3 8 3 10" xfId="28557" xr:uid="{00000000-0005-0000-0000-00008D6F0000}"/>
    <cellStyle name="Normal 2 3 8 3 2" xfId="28558" xr:uid="{00000000-0005-0000-0000-00008E6F0000}"/>
    <cellStyle name="Normal 2 3 8 3 3" xfId="28559" xr:uid="{00000000-0005-0000-0000-00008F6F0000}"/>
    <cellStyle name="Normal 2 3 8 3 4" xfId="28560" xr:uid="{00000000-0005-0000-0000-0000906F0000}"/>
    <cellStyle name="Normal 2 3 8 3 5" xfId="28561" xr:uid="{00000000-0005-0000-0000-0000916F0000}"/>
    <cellStyle name="Normal 2 3 8 3 6" xfId="28562" xr:uid="{00000000-0005-0000-0000-0000926F0000}"/>
    <cellStyle name="Normal 2 3 8 3 7" xfId="28563" xr:uid="{00000000-0005-0000-0000-0000936F0000}"/>
    <cellStyle name="Normal 2 3 8 3 8" xfId="28564" xr:uid="{00000000-0005-0000-0000-0000946F0000}"/>
    <cellStyle name="Normal 2 3 8 3 9" xfId="28565" xr:uid="{00000000-0005-0000-0000-0000956F0000}"/>
    <cellStyle name="Normal 2 3 8 4" xfId="28566" xr:uid="{00000000-0005-0000-0000-0000966F0000}"/>
    <cellStyle name="Normal 2 3 8 4 10" xfId="28567" xr:uid="{00000000-0005-0000-0000-0000976F0000}"/>
    <cellStyle name="Normal 2 3 8 4 2" xfId="28568" xr:uid="{00000000-0005-0000-0000-0000986F0000}"/>
    <cellStyle name="Normal 2 3 8 4 3" xfId="28569" xr:uid="{00000000-0005-0000-0000-0000996F0000}"/>
    <cellStyle name="Normal 2 3 8 4 4" xfId="28570" xr:uid="{00000000-0005-0000-0000-00009A6F0000}"/>
    <cellStyle name="Normal 2 3 8 4 5" xfId="28571" xr:uid="{00000000-0005-0000-0000-00009B6F0000}"/>
    <cellStyle name="Normal 2 3 8 4 6" xfId="28572" xr:uid="{00000000-0005-0000-0000-00009C6F0000}"/>
    <cellStyle name="Normal 2 3 8 4 7" xfId="28573" xr:uid="{00000000-0005-0000-0000-00009D6F0000}"/>
    <cellStyle name="Normal 2 3 8 4 8" xfId="28574" xr:uid="{00000000-0005-0000-0000-00009E6F0000}"/>
    <cellStyle name="Normal 2 3 8 4 9" xfId="28575" xr:uid="{00000000-0005-0000-0000-00009F6F0000}"/>
    <cellStyle name="Normal 2 3 8 5" xfId="28576" xr:uid="{00000000-0005-0000-0000-0000A06F0000}"/>
    <cellStyle name="Normal 2 3 8 5 10" xfId="28577" xr:uid="{00000000-0005-0000-0000-0000A16F0000}"/>
    <cellStyle name="Normal 2 3 8 5 2" xfId="28578" xr:uid="{00000000-0005-0000-0000-0000A26F0000}"/>
    <cellStyle name="Normal 2 3 8 5 3" xfId="28579" xr:uid="{00000000-0005-0000-0000-0000A36F0000}"/>
    <cellStyle name="Normal 2 3 8 5 4" xfId="28580" xr:uid="{00000000-0005-0000-0000-0000A46F0000}"/>
    <cellStyle name="Normal 2 3 8 5 5" xfId="28581" xr:uid="{00000000-0005-0000-0000-0000A56F0000}"/>
    <cellStyle name="Normal 2 3 8 5 6" xfId="28582" xr:uid="{00000000-0005-0000-0000-0000A66F0000}"/>
    <cellStyle name="Normal 2 3 8 5 7" xfId="28583" xr:uid="{00000000-0005-0000-0000-0000A76F0000}"/>
    <cellStyle name="Normal 2 3 8 5 8" xfId="28584" xr:uid="{00000000-0005-0000-0000-0000A86F0000}"/>
    <cellStyle name="Normal 2 3 8 5 9" xfId="28585" xr:uid="{00000000-0005-0000-0000-0000A96F0000}"/>
    <cellStyle name="Normal 2 3 8 6" xfId="28586" xr:uid="{00000000-0005-0000-0000-0000AA6F0000}"/>
    <cellStyle name="Normal 2 3 8 7" xfId="28587" xr:uid="{00000000-0005-0000-0000-0000AB6F0000}"/>
    <cellStyle name="Normal 2 3 8 8" xfId="28588" xr:uid="{00000000-0005-0000-0000-0000AC6F0000}"/>
    <cellStyle name="Normal 2 3 8 9" xfId="28589" xr:uid="{00000000-0005-0000-0000-0000AD6F0000}"/>
    <cellStyle name="Normal 2 3 9" xfId="28590" xr:uid="{00000000-0005-0000-0000-0000AE6F0000}"/>
    <cellStyle name="Normal 2 3 9 10" xfId="28591" xr:uid="{00000000-0005-0000-0000-0000AF6F0000}"/>
    <cellStyle name="Normal 2 3 9 11" xfId="28592" xr:uid="{00000000-0005-0000-0000-0000B06F0000}"/>
    <cellStyle name="Normal 2 3 9 12" xfId="28593" xr:uid="{00000000-0005-0000-0000-0000B16F0000}"/>
    <cellStyle name="Normal 2 3 9 13" xfId="28594" xr:uid="{00000000-0005-0000-0000-0000B26F0000}"/>
    <cellStyle name="Normal 2 3 9 14" xfId="28595" xr:uid="{00000000-0005-0000-0000-0000B36F0000}"/>
    <cellStyle name="Normal 2 3 9 2" xfId="28596" xr:uid="{00000000-0005-0000-0000-0000B46F0000}"/>
    <cellStyle name="Normal 2 3 9 2 10" xfId="28597" xr:uid="{00000000-0005-0000-0000-0000B56F0000}"/>
    <cellStyle name="Normal 2 3 9 2 2" xfId="28598" xr:uid="{00000000-0005-0000-0000-0000B66F0000}"/>
    <cellStyle name="Normal 2 3 9 2 3" xfId="28599" xr:uid="{00000000-0005-0000-0000-0000B76F0000}"/>
    <cellStyle name="Normal 2 3 9 2 4" xfId="28600" xr:uid="{00000000-0005-0000-0000-0000B86F0000}"/>
    <cellStyle name="Normal 2 3 9 2 5" xfId="28601" xr:uid="{00000000-0005-0000-0000-0000B96F0000}"/>
    <cellStyle name="Normal 2 3 9 2 6" xfId="28602" xr:uid="{00000000-0005-0000-0000-0000BA6F0000}"/>
    <cellStyle name="Normal 2 3 9 2 7" xfId="28603" xr:uid="{00000000-0005-0000-0000-0000BB6F0000}"/>
    <cellStyle name="Normal 2 3 9 2 8" xfId="28604" xr:uid="{00000000-0005-0000-0000-0000BC6F0000}"/>
    <cellStyle name="Normal 2 3 9 2 9" xfId="28605" xr:uid="{00000000-0005-0000-0000-0000BD6F0000}"/>
    <cellStyle name="Normal 2 3 9 3" xfId="28606" xr:uid="{00000000-0005-0000-0000-0000BE6F0000}"/>
    <cellStyle name="Normal 2 3 9 3 10" xfId="28607" xr:uid="{00000000-0005-0000-0000-0000BF6F0000}"/>
    <cellStyle name="Normal 2 3 9 3 2" xfId="28608" xr:uid="{00000000-0005-0000-0000-0000C06F0000}"/>
    <cellStyle name="Normal 2 3 9 3 3" xfId="28609" xr:uid="{00000000-0005-0000-0000-0000C16F0000}"/>
    <cellStyle name="Normal 2 3 9 3 4" xfId="28610" xr:uid="{00000000-0005-0000-0000-0000C26F0000}"/>
    <cellStyle name="Normal 2 3 9 3 5" xfId="28611" xr:uid="{00000000-0005-0000-0000-0000C36F0000}"/>
    <cellStyle name="Normal 2 3 9 3 6" xfId="28612" xr:uid="{00000000-0005-0000-0000-0000C46F0000}"/>
    <cellStyle name="Normal 2 3 9 3 7" xfId="28613" xr:uid="{00000000-0005-0000-0000-0000C56F0000}"/>
    <cellStyle name="Normal 2 3 9 3 8" xfId="28614" xr:uid="{00000000-0005-0000-0000-0000C66F0000}"/>
    <cellStyle name="Normal 2 3 9 3 9" xfId="28615" xr:uid="{00000000-0005-0000-0000-0000C76F0000}"/>
    <cellStyle name="Normal 2 3 9 4" xfId="28616" xr:uid="{00000000-0005-0000-0000-0000C86F0000}"/>
    <cellStyle name="Normal 2 3 9 4 10" xfId="28617" xr:uid="{00000000-0005-0000-0000-0000C96F0000}"/>
    <cellStyle name="Normal 2 3 9 4 2" xfId="28618" xr:uid="{00000000-0005-0000-0000-0000CA6F0000}"/>
    <cellStyle name="Normal 2 3 9 4 3" xfId="28619" xr:uid="{00000000-0005-0000-0000-0000CB6F0000}"/>
    <cellStyle name="Normal 2 3 9 4 4" xfId="28620" xr:uid="{00000000-0005-0000-0000-0000CC6F0000}"/>
    <cellStyle name="Normal 2 3 9 4 5" xfId="28621" xr:uid="{00000000-0005-0000-0000-0000CD6F0000}"/>
    <cellStyle name="Normal 2 3 9 4 6" xfId="28622" xr:uid="{00000000-0005-0000-0000-0000CE6F0000}"/>
    <cellStyle name="Normal 2 3 9 4 7" xfId="28623" xr:uid="{00000000-0005-0000-0000-0000CF6F0000}"/>
    <cellStyle name="Normal 2 3 9 4 8" xfId="28624" xr:uid="{00000000-0005-0000-0000-0000D06F0000}"/>
    <cellStyle name="Normal 2 3 9 4 9" xfId="28625" xr:uid="{00000000-0005-0000-0000-0000D16F0000}"/>
    <cellStyle name="Normal 2 3 9 5" xfId="28626" xr:uid="{00000000-0005-0000-0000-0000D26F0000}"/>
    <cellStyle name="Normal 2 3 9 5 10" xfId="28627" xr:uid="{00000000-0005-0000-0000-0000D36F0000}"/>
    <cellStyle name="Normal 2 3 9 5 2" xfId="28628" xr:uid="{00000000-0005-0000-0000-0000D46F0000}"/>
    <cellStyle name="Normal 2 3 9 5 3" xfId="28629" xr:uid="{00000000-0005-0000-0000-0000D56F0000}"/>
    <cellStyle name="Normal 2 3 9 5 4" xfId="28630" xr:uid="{00000000-0005-0000-0000-0000D66F0000}"/>
    <cellStyle name="Normal 2 3 9 5 5" xfId="28631" xr:uid="{00000000-0005-0000-0000-0000D76F0000}"/>
    <cellStyle name="Normal 2 3 9 5 6" xfId="28632" xr:uid="{00000000-0005-0000-0000-0000D86F0000}"/>
    <cellStyle name="Normal 2 3 9 5 7" xfId="28633" xr:uid="{00000000-0005-0000-0000-0000D96F0000}"/>
    <cellStyle name="Normal 2 3 9 5 8" xfId="28634" xr:uid="{00000000-0005-0000-0000-0000DA6F0000}"/>
    <cellStyle name="Normal 2 3 9 5 9" xfId="28635" xr:uid="{00000000-0005-0000-0000-0000DB6F0000}"/>
    <cellStyle name="Normal 2 3 9 6" xfId="28636" xr:uid="{00000000-0005-0000-0000-0000DC6F0000}"/>
    <cellStyle name="Normal 2 3 9 7" xfId="28637" xr:uid="{00000000-0005-0000-0000-0000DD6F0000}"/>
    <cellStyle name="Normal 2 3 9 8" xfId="28638" xr:uid="{00000000-0005-0000-0000-0000DE6F0000}"/>
    <cellStyle name="Normal 2 3 9 9" xfId="28639" xr:uid="{00000000-0005-0000-0000-0000DF6F0000}"/>
    <cellStyle name="Normal 2 30" xfId="28640" xr:uid="{00000000-0005-0000-0000-0000E06F0000}"/>
    <cellStyle name="Normal 2 30 2" xfId="28641" xr:uid="{00000000-0005-0000-0000-0000E16F0000}"/>
    <cellStyle name="Normal 2 30 3" xfId="28642" xr:uid="{00000000-0005-0000-0000-0000E26F0000}"/>
    <cellStyle name="Normal 2 31" xfId="28643" xr:uid="{00000000-0005-0000-0000-0000E36F0000}"/>
    <cellStyle name="Normal 2 31 2" xfId="28644" xr:uid="{00000000-0005-0000-0000-0000E46F0000}"/>
    <cellStyle name="Normal 2 31 2 2" xfId="28645" xr:uid="{00000000-0005-0000-0000-0000E56F0000}"/>
    <cellStyle name="Normal 2 31 3" xfId="28646" xr:uid="{00000000-0005-0000-0000-0000E66F0000}"/>
    <cellStyle name="Normal 2 32" xfId="28647" xr:uid="{00000000-0005-0000-0000-0000E76F0000}"/>
    <cellStyle name="Normal 2 32 2" xfId="28648" xr:uid="{00000000-0005-0000-0000-0000E86F0000}"/>
    <cellStyle name="Normal 2 32 2 2" xfId="28649" xr:uid="{00000000-0005-0000-0000-0000E96F0000}"/>
    <cellStyle name="Normal 2 32 3" xfId="28650" xr:uid="{00000000-0005-0000-0000-0000EA6F0000}"/>
    <cellStyle name="Normal 2 33" xfId="28651" xr:uid="{00000000-0005-0000-0000-0000EB6F0000}"/>
    <cellStyle name="Normal 2 33 2" xfId="28652" xr:uid="{00000000-0005-0000-0000-0000EC6F0000}"/>
    <cellStyle name="Normal 2 33 2 2" xfId="28653" xr:uid="{00000000-0005-0000-0000-0000ED6F0000}"/>
    <cellStyle name="Normal 2 33 2 2 2" xfId="28654" xr:uid="{00000000-0005-0000-0000-0000EE6F0000}"/>
    <cellStyle name="Normal 2 33 2 2 2 2" xfId="28655" xr:uid="{00000000-0005-0000-0000-0000EF6F0000}"/>
    <cellStyle name="Normal 2 33 2 3" xfId="28656" xr:uid="{00000000-0005-0000-0000-0000F06F0000}"/>
    <cellStyle name="Normal 2 33 2 4" xfId="28657" xr:uid="{00000000-0005-0000-0000-0000F16F0000}"/>
    <cellStyle name="Normal 2 33 3" xfId="28658" xr:uid="{00000000-0005-0000-0000-0000F26F0000}"/>
    <cellStyle name="Normal 2 33 3 2" xfId="28659" xr:uid="{00000000-0005-0000-0000-0000F36F0000}"/>
    <cellStyle name="Normal 2 33 3 3" xfId="28660" xr:uid="{00000000-0005-0000-0000-0000F46F0000}"/>
    <cellStyle name="Normal 2 33 4" xfId="28661" xr:uid="{00000000-0005-0000-0000-0000F56F0000}"/>
    <cellStyle name="Normal 2 34" xfId="28662" xr:uid="{00000000-0005-0000-0000-0000F66F0000}"/>
    <cellStyle name="Normal 2 34 2" xfId="28663" xr:uid="{00000000-0005-0000-0000-0000F76F0000}"/>
    <cellStyle name="Normal 2 34 2 2" xfId="28664" xr:uid="{00000000-0005-0000-0000-0000F86F0000}"/>
    <cellStyle name="Normal 2 34 3" xfId="28665" xr:uid="{00000000-0005-0000-0000-0000F96F0000}"/>
    <cellStyle name="Normal 2 35" xfId="28666" xr:uid="{00000000-0005-0000-0000-0000FA6F0000}"/>
    <cellStyle name="Normal 2 35 2" xfId="28667" xr:uid="{00000000-0005-0000-0000-0000FB6F0000}"/>
    <cellStyle name="Normal 2 35 2 2" xfId="28668" xr:uid="{00000000-0005-0000-0000-0000FC6F0000}"/>
    <cellStyle name="Normal 2 35 3" xfId="28669" xr:uid="{00000000-0005-0000-0000-0000FD6F0000}"/>
    <cellStyle name="Normal 2 36" xfId="28670" xr:uid="{00000000-0005-0000-0000-0000FE6F0000}"/>
    <cellStyle name="Normal 2 36 2" xfId="28671" xr:uid="{00000000-0005-0000-0000-0000FF6F0000}"/>
    <cellStyle name="Normal 2 36 2 2" xfId="28672" xr:uid="{00000000-0005-0000-0000-000000700000}"/>
    <cellStyle name="Normal 2 36 3" xfId="28673" xr:uid="{00000000-0005-0000-0000-000001700000}"/>
    <cellStyle name="Normal 2 37" xfId="28674" xr:uid="{00000000-0005-0000-0000-000002700000}"/>
    <cellStyle name="Normal 2 37 2" xfId="28675" xr:uid="{00000000-0005-0000-0000-000003700000}"/>
    <cellStyle name="Normal 2 37 3" xfId="28676" xr:uid="{00000000-0005-0000-0000-000004700000}"/>
    <cellStyle name="Normal 2 38" xfId="28677" xr:uid="{00000000-0005-0000-0000-000005700000}"/>
    <cellStyle name="Normal 2 38 2" xfId="28678" xr:uid="{00000000-0005-0000-0000-000006700000}"/>
    <cellStyle name="Normal 2 38 3" xfId="28679" xr:uid="{00000000-0005-0000-0000-000007700000}"/>
    <cellStyle name="Normal 2 39" xfId="28680" xr:uid="{00000000-0005-0000-0000-000008700000}"/>
    <cellStyle name="Normal 2 39 2" xfId="28681" xr:uid="{00000000-0005-0000-0000-000009700000}"/>
    <cellStyle name="Normal 2 39 3" xfId="28682" xr:uid="{00000000-0005-0000-0000-00000A700000}"/>
    <cellStyle name="Normal 2 4" xfId="18" xr:uid="{00000000-0005-0000-0000-000012000000}"/>
    <cellStyle name="Normal 2 4 10" xfId="28683" xr:uid="{00000000-0005-0000-0000-00000B700000}"/>
    <cellStyle name="Normal 2 4 11" xfId="28684" xr:uid="{00000000-0005-0000-0000-00000C700000}"/>
    <cellStyle name="Normal 2 4 12" xfId="28685" xr:uid="{00000000-0005-0000-0000-00000D700000}"/>
    <cellStyle name="Normal 2 4 13" xfId="28686" xr:uid="{00000000-0005-0000-0000-00000E700000}"/>
    <cellStyle name="Normal 2 4 14" xfId="28687" xr:uid="{00000000-0005-0000-0000-00000F700000}"/>
    <cellStyle name="Normal 2 4 15" xfId="28688" xr:uid="{00000000-0005-0000-0000-000010700000}"/>
    <cellStyle name="Normal 2 4 16" xfId="28689" xr:uid="{00000000-0005-0000-0000-000011700000}"/>
    <cellStyle name="Normal 2 4 17" xfId="28690" xr:uid="{00000000-0005-0000-0000-000012700000}"/>
    <cellStyle name="Normal 2 4 18" xfId="28691" xr:uid="{00000000-0005-0000-0000-000013700000}"/>
    <cellStyle name="Normal 2 4 19" xfId="28692" xr:uid="{00000000-0005-0000-0000-000014700000}"/>
    <cellStyle name="Normal 2 4 2" xfId="28693" xr:uid="{00000000-0005-0000-0000-000015700000}"/>
    <cellStyle name="Normal 2 4 2 10" xfId="28694" xr:uid="{00000000-0005-0000-0000-000016700000}"/>
    <cellStyle name="Normal 2 4 2 11" xfId="28695" xr:uid="{00000000-0005-0000-0000-000017700000}"/>
    <cellStyle name="Normal 2 4 2 12" xfId="28696" xr:uid="{00000000-0005-0000-0000-000018700000}"/>
    <cellStyle name="Normal 2 4 2 13" xfId="28697" xr:uid="{00000000-0005-0000-0000-000019700000}"/>
    <cellStyle name="Normal 2 4 2 14" xfId="28698" xr:uid="{00000000-0005-0000-0000-00001A700000}"/>
    <cellStyle name="Normal 2 4 2 15" xfId="28699" xr:uid="{00000000-0005-0000-0000-00001B700000}"/>
    <cellStyle name="Normal 2 4 2 16" xfId="28700" xr:uid="{00000000-0005-0000-0000-00001C700000}"/>
    <cellStyle name="Normal 2 4 2 17" xfId="28701" xr:uid="{00000000-0005-0000-0000-00001D700000}"/>
    <cellStyle name="Normal 2 4 2 18" xfId="28702" xr:uid="{00000000-0005-0000-0000-00001E700000}"/>
    <cellStyle name="Normal 2 4 2 18 2" xfId="28703" xr:uid="{00000000-0005-0000-0000-00001F700000}"/>
    <cellStyle name="Normal 2 4 2 18 2 2" xfId="28704" xr:uid="{00000000-0005-0000-0000-000020700000}"/>
    <cellStyle name="Normal 2 4 2 18 2 2 2" xfId="28705" xr:uid="{00000000-0005-0000-0000-000021700000}"/>
    <cellStyle name="Normal 2 4 2 18 2 2 2 2" xfId="28706" xr:uid="{00000000-0005-0000-0000-000022700000}"/>
    <cellStyle name="Normal 2 4 2 18 2 3" xfId="28707" xr:uid="{00000000-0005-0000-0000-000023700000}"/>
    <cellStyle name="Normal 2 4 2 18 3" xfId="28708" xr:uid="{00000000-0005-0000-0000-000024700000}"/>
    <cellStyle name="Normal 2 4 2 18 3 2" xfId="28709" xr:uid="{00000000-0005-0000-0000-000025700000}"/>
    <cellStyle name="Normal 2 4 2 19" xfId="28710" xr:uid="{00000000-0005-0000-0000-000026700000}"/>
    <cellStyle name="Normal 2 4 2 2" xfId="28711" xr:uid="{00000000-0005-0000-0000-000027700000}"/>
    <cellStyle name="Normal 2 4 2 2 2" xfId="28712" xr:uid="{00000000-0005-0000-0000-000028700000}"/>
    <cellStyle name="Normal 2 4 2 20" xfId="28713" xr:uid="{00000000-0005-0000-0000-000029700000}"/>
    <cellStyle name="Normal 2 4 2 3" xfId="28714" xr:uid="{00000000-0005-0000-0000-00002A700000}"/>
    <cellStyle name="Normal 2 4 2 4" xfId="28715" xr:uid="{00000000-0005-0000-0000-00002B700000}"/>
    <cellStyle name="Normal 2 4 2 5" xfId="28716" xr:uid="{00000000-0005-0000-0000-00002C700000}"/>
    <cellStyle name="Normal 2 4 2 6" xfId="28717" xr:uid="{00000000-0005-0000-0000-00002D700000}"/>
    <cellStyle name="Normal 2 4 2 7" xfId="28718" xr:uid="{00000000-0005-0000-0000-00002E700000}"/>
    <cellStyle name="Normal 2 4 2 8" xfId="28719" xr:uid="{00000000-0005-0000-0000-00002F700000}"/>
    <cellStyle name="Normal 2 4 2 9" xfId="28720" xr:uid="{00000000-0005-0000-0000-000030700000}"/>
    <cellStyle name="Normal 2 4 3" xfId="28721" xr:uid="{00000000-0005-0000-0000-000031700000}"/>
    <cellStyle name="Normal 2 4 3 2" xfId="28722" xr:uid="{00000000-0005-0000-0000-000032700000}"/>
    <cellStyle name="Normal 2 4 3 3" xfId="28723" xr:uid="{00000000-0005-0000-0000-000033700000}"/>
    <cellStyle name="Normal 2 4 4" xfId="28724" xr:uid="{00000000-0005-0000-0000-000034700000}"/>
    <cellStyle name="Normal 2 4 4 2" xfId="28725" xr:uid="{00000000-0005-0000-0000-000035700000}"/>
    <cellStyle name="Normal 2 4 4 3" xfId="28726" xr:uid="{00000000-0005-0000-0000-000036700000}"/>
    <cellStyle name="Normal 2 4 5" xfId="28727" xr:uid="{00000000-0005-0000-0000-000037700000}"/>
    <cellStyle name="Normal 2 4 5 2" xfId="28728" xr:uid="{00000000-0005-0000-0000-000038700000}"/>
    <cellStyle name="Normal 2 4 6" xfId="28729" xr:uid="{00000000-0005-0000-0000-000039700000}"/>
    <cellStyle name="Normal 2 4 6 2" xfId="28730" xr:uid="{00000000-0005-0000-0000-00003A700000}"/>
    <cellStyle name="Normal 2 4 7" xfId="28731" xr:uid="{00000000-0005-0000-0000-00003B700000}"/>
    <cellStyle name="Normal 2 4 8" xfId="28732" xr:uid="{00000000-0005-0000-0000-00003C700000}"/>
    <cellStyle name="Normal 2 4 9" xfId="28733" xr:uid="{00000000-0005-0000-0000-00003D700000}"/>
    <cellStyle name="Normal 2 40" xfId="28734" xr:uid="{00000000-0005-0000-0000-00003E700000}"/>
    <cellStyle name="Normal 2 40 2" xfId="28735" xr:uid="{00000000-0005-0000-0000-00003F700000}"/>
    <cellStyle name="Normal 2 40 3" xfId="28736" xr:uid="{00000000-0005-0000-0000-000040700000}"/>
    <cellStyle name="Normal 2 41" xfId="19" xr:uid="{00000000-0005-0000-0000-000013000000}"/>
    <cellStyle name="Normal 2 41 2" xfId="28737" xr:uid="{00000000-0005-0000-0000-000041700000}"/>
    <cellStyle name="Normal 2 41 2 2" xfId="28738" xr:uid="{00000000-0005-0000-0000-000042700000}"/>
    <cellStyle name="Normal 2 41 3" xfId="28739" xr:uid="{00000000-0005-0000-0000-000043700000}"/>
    <cellStyle name="Normal 2 41 4" xfId="28740" xr:uid="{00000000-0005-0000-0000-000044700000}"/>
    <cellStyle name="Normal 2 41 5" xfId="28741" xr:uid="{00000000-0005-0000-0000-000045700000}"/>
    <cellStyle name="Normal 2 41 6" xfId="28742" xr:uid="{00000000-0005-0000-0000-000046700000}"/>
    <cellStyle name="Normal 2 41 7" xfId="28743" xr:uid="{00000000-0005-0000-0000-000047700000}"/>
    <cellStyle name="Normal 2 41 8" xfId="28744" xr:uid="{00000000-0005-0000-0000-000048700000}"/>
    <cellStyle name="Normal 2 41 8 2" xfId="28745" xr:uid="{00000000-0005-0000-0000-000049700000}"/>
    <cellStyle name="Normal 2 41 9" xfId="28746" xr:uid="{00000000-0005-0000-0000-00004A700000}"/>
    <cellStyle name="Normal 2 42" xfId="28747" xr:uid="{00000000-0005-0000-0000-00004B700000}"/>
    <cellStyle name="Normal 2 42 2" xfId="28748" xr:uid="{00000000-0005-0000-0000-00004C700000}"/>
    <cellStyle name="Normal 2 42 3" xfId="28749" xr:uid="{00000000-0005-0000-0000-00004D700000}"/>
    <cellStyle name="Normal 2 42 4" xfId="28750" xr:uid="{00000000-0005-0000-0000-00004E700000}"/>
    <cellStyle name="Normal 2 42 5" xfId="28751" xr:uid="{00000000-0005-0000-0000-00004F700000}"/>
    <cellStyle name="Normal 2 42 6" xfId="28752" xr:uid="{00000000-0005-0000-0000-000050700000}"/>
    <cellStyle name="Normal 2 42 7" xfId="28753" xr:uid="{00000000-0005-0000-0000-000051700000}"/>
    <cellStyle name="Normal 2 42 8" xfId="28754" xr:uid="{00000000-0005-0000-0000-000052700000}"/>
    <cellStyle name="Normal 2 43" xfId="28755" xr:uid="{00000000-0005-0000-0000-000053700000}"/>
    <cellStyle name="Normal 2 43 2" xfId="28756" xr:uid="{00000000-0005-0000-0000-000054700000}"/>
    <cellStyle name="Normal 2 43 3" xfId="28757" xr:uid="{00000000-0005-0000-0000-000055700000}"/>
    <cellStyle name="Normal 2 44" xfId="28758" xr:uid="{00000000-0005-0000-0000-000056700000}"/>
    <cellStyle name="Normal 2 44 2" xfId="28759" xr:uid="{00000000-0005-0000-0000-000057700000}"/>
    <cellStyle name="Normal 2 44 3" xfId="28760" xr:uid="{00000000-0005-0000-0000-000058700000}"/>
    <cellStyle name="Normal 2 45" xfId="28761" xr:uid="{00000000-0005-0000-0000-000059700000}"/>
    <cellStyle name="Normal 2 45 2" xfId="28762" xr:uid="{00000000-0005-0000-0000-00005A700000}"/>
    <cellStyle name="Normal 2 45 3" xfId="28763" xr:uid="{00000000-0005-0000-0000-00005B700000}"/>
    <cellStyle name="Normal 2 46" xfId="28764" xr:uid="{00000000-0005-0000-0000-00005C700000}"/>
    <cellStyle name="Normal 2 46 2" xfId="28765" xr:uid="{00000000-0005-0000-0000-00005D700000}"/>
    <cellStyle name="Normal 2 46 3" xfId="28766" xr:uid="{00000000-0005-0000-0000-00005E700000}"/>
    <cellStyle name="Normal 2 47" xfId="28767" xr:uid="{00000000-0005-0000-0000-00005F700000}"/>
    <cellStyle name="Normal 2 47 2" xfId="28768" xr:uid="{00000000-0005-0000-0000-000060700000}"/>
    <cellStyle name="Normal 2 47 3" xfId="28769" xr:uid="{00000000-0005-0000-0000-000061700000}"/>
    <cellStyle name="Normal 2 48" xfId="28770" xr:uid="{00000000-0005-0000-0000-000062700000}"/>
    <cellStyle name="Normal 2 48 2" xfId="28771" xr:uid="{00000000-0005-0000-0000-000063700000}"/>
    <cellStyle name="Normal 2 48 3" xfId="28772" xr:uid="{00000000-0005-0000-0000-000064700000}"/>
    <cellStyle name="Normal 2 49" xfId="28773" xr:uid="{00000000-0005-0000-0000-000065700000}"/>
    <cellStyle name="Normal 2 49 2" xfId="28774" xr:uid="{00000000-0005-0000-0000-000066700000}"/>
    <cellStyle name="Normal 2 49 3" xfId="28775" xr:uid="{00000000-0005-0000-0000-000067700000}"/>
    <cellStyle name="Normal 2 5" xfId="28776" xr:uid="{00000000-0005-0000-0000-000068700000}"/>
    <cellStyle name="Normal 2 5 10" xfId="28777" xr:uid="{00000000-0005-0000-0000-000069700000}"/>
    <cellStyle name="Normal 2 5 11" xfId="28778" xr:uid="{00000000-0005-0000-0000-00006A700000}"/>
    <cellStyle name="Normal 2 5 12" xfId="28779" xr:uid="{00000000-0005-0000-0000-00006B700000}"/>
    <cellStyle name="Normal 2 5 13" xfId="28780" xr:uid="{00000000-0005-0000-0000-00006C700000}"/>
    <cellStyle name="Normal 2 5 14" xfId="28781" xr:uid="{00000000-0005-0000-0000-00006D700000}"/>
    <cellStyle name="Normal 2 5 15" xfId="28782" xr:uid="{00000000-0005-0000-0000-00006E700000}"/>
    <cellStyle name="Normal 2 5 16" xfId="28783" xr:uid="{00000000-0005-0000-0000-00006F700000}"/>
    <cellStyle name="Normal 2 5 17" xfId="28784" xr:uid="{00000000-0005-0000-0000-000070700000}"/>
    <cellStyle name="Normal 2 5 18" xfId="28785" xr:uid="{00000000-0005-0000-0000-000071700000}"/>
    <cellStyle name="Normal 2 5 19" xfId="28786" xr:uid="{00000000-0005-0000-0000-000072700000}"/>
    <cellStyle name="Normal 2 5 2" xfId="28787" xr:uid="{00000000-0005-0000-0000-000073700000}"/>
    <cellStyle name="Normal 2 5 2 10" xfId="28788" xr:uid="{00000000-0005-0000-0000-000074700000}"/>
    <cellStyle name="Normal 2 5 2 11" xfId="28789" xr:uid="{00000000-0005-0000-0000-000075700000}"/>
    <cellStyle name="Normal 2 5 2 12" xfId="28790" xr:uid="{00000000-0005-0000-0000-000076700000}"/>
    <cellStyle name="Normal 2 5 2 13" xfId="28791" xr:uid="{00000000-0005-0000-0000-000077700000}"/>
    <cellStyle name="Normal 2 5 2 14" xfId="28792" xr:uid="{00000000-0005-0000-0000-000078700000}"/>
    <cellStyle name="Normal 2 5 2 15" xfId="28793" xr:uid="{00000000-0005-0000-0000-000079700000}"/>
    <cellStyle name="Normal 2 5 2 16" xfId="28794" xr:uid="{00000000-0005-0000-0000-00007A700000}"/>
    <cellStyle name="Normal 2 5 2 17" xfId="28795" xr:uid="{00000000-0005-0000-0000-00007B700000}"/>
    <cellStyle name="Normal 2 5 2 18" xfId="28796" xr:uid="{00000000-0005-0000-0000-00007C700000}"/>
    <cellStyle name="Normal 2 5 2 19" xfId="28797" xr:uid="{00000000-0005-0000-0000-00007D700000}"/>
    <cellStyle name="Normal 2 5 2 2" xfId="28798" xr:uid="{00000000-0005-0000-0000-00007E700000}"/>
    <cellStyle name="Normal 2 5 2 2 10" xfId="28799" xr:uid="{00000000-0005-0000-0000-00007F700000}"/>
    <cellStyle name="Normal 2 5 2 2 11" xfId="28800" xr:uid="{00000000-0005-0000-0000-000080700000}"/>
    <cellStyle name="Normal 2 5 2 2 12" xfId="28801" xr:uid="{00000000-0005-0000-0000-000081700000}"/>
    <cellStyle name="Normal 2 5 2 2 13" xfId="28802" xr:uid="{00000000-0005-0000-0000-000082700000}"/>
    <cellStyle name="Normal 2 5 2 2 14" xfId="28803" xr:uid="{00000000-0005-0000-0000-000083700000}"/>
    <cellStyle name="Normal 2 5 2 2 15" xfId="28804" xr:uid="{00000000-0005-0000-0000-000084700000}"/>
    <cellStyle name="Normal 2 5 2 2 16" xfId="28805" xr:uid="{00000000-0005-0000-0000-000085700000}"/>
    <cellStyle name="Normal 2 5 2 2 17" xfId="28806" xr:uid="{00000000-0005-0000-0000-000086700000}"/>
    <cellStyle name="Normal 2 5 2 2 18" xfId="28807" xr:uid="{00000000-0005-0000-0000-000087700000}"/>
    <cellStyle name="Normal 2 5 2 2 19" xfId="28808" xr:uid="{00000000-0005-0000-0000-000088700000}"/>
    <cellStyle name="Normal 2 5 2 2 2" xfId="28809" xr:uid="{00000000-0005-0000-0000-000089700000}"/>
    <cellStyle name="Normal 2 5 2 2 20" xfId="28810" xr:uid="{00000000-0005-0000-0000-00008A700000}"/>
    <cellStyle name="Normal 2 5 2 2 3" xfId="28811" xr:uid="{00000000-0005-0000-0000-00008B700000}"/>
    <cellStyle name="Normal 2 5 2 2 4" xfId="28812" xr:uid="{00000000-0005-0000-0000-00008C700000}"/>
    <cellStyle name="Normal 2 5 2 2 5" xfId="28813" xr:uid="{00000000-0005-0000-0000-00008D700000}"/>
    <cellStyle name="Normal 2 5 2 2 6" xfId="28814" xr:uid="{00000000-0005-0000-0000-00008E700000}"/>
    <cellStyle name="Normal 2 5 2 2 7" xfId="28815" xr:uid="{00000000-0005-0000-0000-00008F700000}"/>
    <cellStyle name="Normal 2 5 2 2 8" xfId="28816" xr:uid="{00000000-0005-0000-0000-000090700000}"/>
    <cellStyle name="Normal 2 5 2 2 9" xfId="28817" xr:uid="{00000000-0005-0000-0000-000091700000}"/>
    <cellStyle name="Normal 2 5 2 20" xfId="28818" xr:uid="{00000000-0005-0000-0000-000092700000}"/>
    <cellStyle name="Normal 2 5 2 21" xfId="28819" xr:uid="{00000000-0005-0000-0000-000093700000}"/>
    <cellStyle name="Normal 2 5 2 22" xfId="28820" xr:uid="{00000000-0005-0000-0000-000094700000}"/>
    <cellStyle name="Normal 2 5 2 23" xfId="28821" xr:uid="{00000000-0005-0000-0000-000095700000}"/>
    <cellStyle name="Normal 2 5 2 3" xfId="28822" xr:uid="{00000000-0005-0000-0000-000096700000}"/>
    <cellStyle name="Normal 2 5 2 4" xfId="28823" xr:uid="{00000000-0005-0000-0000-000097700000}"/>
    <cellStyle name="Normal 2 5 2 5" xfId="28824" xr:uid="{00000000-0005-0000-0000-000098700000}"/>
    <cellStyle name="Normal 2 5 2 6" xfId="28825" xr:uid="{00000000-0005-0000-0000-000099700000}"/>
    <cellStyle name="Normal 2 5 2 7" xfId="28826" xr:uid="{00000000-0005-0000-0000-00009A700000}"/>
    <cellStyle name="Normal 2 5 2 8" xfId="28827" xr:uid="{00000000-0005-0000-0000-00009B700000}"/>
    <cellStyle name="Normal 2 5 2 9" xfId="28828" xr:uid="{00000000-0005-0000-0000-00009C700000}"/>
    <cellStyle name="Normal 2 5 20" xfId="28829" xr:uid="{00000000-0005-0000-0000-00009D700000}"/>
    <cellStyle name="Normal 2 5 21" xfId="28830" xr:uid="{00000000-0005-0000-0000-00009E700000}"/>
    <cellStyle name="Normal 2 5 22" xfId="28831" xr:uid="{00000000-0005-0000-0000-00009F700000}"/>
    <cellStyle name="Normal 2 5 23" xfId="28832" xr:uid="{00000000-0005-0000-0000-0000A0700000}"/>
    <cellStyle name="Normal 2 5 24" xfId="28833" xr:uid="{00000000-0005-0000-0000-0000A1700000}"/>
    <cellStyle name="Normal 2 5 25" xfId="28834" xr:uid="{00000000-0005-0000-0000-0000A2700000}"/>
    <cellStyle name="Normal 2 5 26" xfId="28835" xr:uid="{00000000-0005-0000-0000-0000A3700000}"/>
    <cellStyle name="Normal 2 5 27" xfId="28836" xr:uid="{00000000-0005-0000-0000-0000A4700000}"/>
    <cellStyle name="Normal 2 5 28" xfId="28837" xr:uid="{00000000-0005-0000-0000-0000A5700000}"/>
    <cellStyle name="Normal 2 5 29" xfId="28838" xr:uid="{00000000-0005-0000-0000-0000A6700000}"/>
    <cellStyle name="Normal 2 5 3" xfId="28839" xr:uid="{00000000-0005-0000-0000-0000A7700000}"/>
    <cellStyle name="Normal 2 5 3 2" xfId="28840" xr:uid="{00000000-0005-0000-0000-0000A8700000}"/>
    <cellStyle name="Normal 2 5 3 3" xfId="28841" xr:uid="{00000000-0005-0000-0000-0000A9700000}"/>
    <cellStyle name="Normal 2 5 3 4" xfId="28842" xr:uid="{00000000-0005-0000-0000-0000AA700000}"/>
    <cellStyle name="Normal 2 5 30" xfId="28843" xr:uid="{00000000-0005-0000-0000-0000AB700000}"/>
    <cellStyle name="Normal 2 5 31" xfId="28844" xr:uid="{00000000-0005-0000-0000-0000AC700000}"/>
    <cellStyle name="Normal 2 5 32" xfId="28845" xr:uid="{00000000-0005-0000-0000-0000AD700000}"/>
    <cellStyle name="Normal 2 5 33" xfId="28846" xr:uid="{00000000-0005-0000-0000-0000AE700000}"/>
    <cellStyle name="Normal 2 5 34" xfId="28847" xr:uid="{00000000-0005-0000-0000-0000AF700000}"/>
    <cellStyle name="Normal 2 5 35" xfId="28848" xr:uid="{00000000-0005-0000-0000-0000B0700000}"/>
    <cellStyle name="Normal 2 5 4" xfId="28849" xr:uid="{00000000-0005-0000-0000-0000B1700000}"/>
    <cellStyle name="Normal 2 5 4 2" xfId="28850" xr:uid="{00000000-0005-0000-0000-0000B2700000}"/>
    <cellStyle name="Normal 2 5 5" xfId="28851" xr:uid="{00000000-0005-0000-0000-0000B3700000}"/>
    <cellStyle name="Normal 2 5 5 2" xfId="28852" xr:uid="{00000000-0005-0000-0000-0000B4700000}"/>
    <cellStyle name="Normal 2 5 6" xfId="28853" xr:uid="{00000000-0005-0000-0000-0000B5700000}"/>
    <cellStyle name="Normal 2 5 6 2" xfId="28854" xr:uid="{00000000-0005-0000-0000-0000B6700000}"/>
    <cellStyle name="Normal 2 5 7" xfId="28855" xr:uid="{00000000-0005-0000-0000-0000B7700000}"/>
    <cellStyle name="Normal 2 5 7 2" xfId="28856" xr:uid="{00000000-0005-0000-0000-0000B8700000}"/>
    <cellStyle name="Normal 2 5 8" xfId="28857" xr:uid="{00000000-0005-0000-0000-0000B9700000}"/>
    <cellStyle name="Normal 2 5 9" xfId="28858" xr:uid="{00000000-0005-0000-0000-0000BA700000}"/>
    <cellStyle name="Normal 2 50" xfId="28859" xr:uid="{00000000-0005-0000-0000-0000BB700000}"/>
    <cellStyle name="Normal 2 50 2" xfId="28860" xr:uid="{00000000-0005-0000-0000-0000BC700000}"/>
    <cellStyle name="Normal 2 50 3" xfId="28861" xr:uid="{00000000-0005-0000-0000-0000BD700000}"/>
    <cellStyle name="Normal 2 51" xfId="28862" xr:uid="{00000000-0005-0000-0000-0000BE700000}"/>
    <cellStyle name="Normal 2 51 2" xfId="28863" xr:uid="{00000000-0005-0000-0000-0000BF700000}"/>
    <cellStyle name="Normal 2 51 3" xfId="28864" xr:uid="{00000000-0005-0000-0000-0000C0700000}"/>
    <cellStyle name="Normal 2 51 4" xfId="28865" xr:uid="{00000000-0005-0000-0000-0000C1700000}"/>
    <cellStyle name="Normal 2 51 5" xfId="28866" xr:uid="{00000000-0005-0000-0000-0000C2700000}"/>
    <cellStyle name="Normal 2 52" xfId="28867" xr:uid="{00000000-0005-0000-0000-0000C3700000}"/>
    <cellStyle name="Normal 2 52 2" xfId="28868" xr:uid="{00000000-0005-0000-0000-0000C4700000}"/>
    <cellStyle name="Normal 2 52 3" xfId="28869" xr:uid="{00000000-0005-0000-0000-0000C5700000}"/>
    <cellStyle name="Normal 2 52 4" xfId="28870" xr:uid="{00000000-0005-0000-0000-0000C6700000}"/>
    <cellStyle name="Normal 2 52 5" xfId="28871" xr:uid="{00000000-0005-0000-0000-0000C7700000}"/>
    <cellStyle name="Normal 2 53" xfId="28872" xr:uid="{00000000-0005-0000-0000-0000C8700000}"/>
    <cellStyle name="Normal 2 53 2" xfId="28873" xr:uid="{00000000-0005-0000-0000-0000C9700000}"/>
    <cellStyle name="Normal 2 53 3" xfId="28874" xr:uid="{00000000-0005-0000-0000-0000CA700000}"/>
    <cellStyle name="Normal 2 53 4" xfId="28875" xr:uid="{00000000-0005-0000-0000-0000CB700000}"/>
    <cellStyle name="Normal 2 53 5" xfId="28876" xr:uid="{00000000-0005-0000-0000-0000CC700000}"/>
    <cellStyle name="Normal 2 54" xfId="28877" xr:uid="{00000000-0005-0000-0000-0000CD700000}"/>
    <cellStyle name="Normal 2 54 2" xfId="28878" xr:uid="{00000000-0005-0000-0000-0000CE700000}"/>
    <cellStyle name="Normal 2 54 3" xfId="28879" xr:uid="{00000000-0005-0000-0000-0000CF700000}"/>
    <cellStyle name="Normal 2 54 4" xfId="28880" xr:uid="{00000000-0005-0000-0000-0000D0700000}"/>
    <cellStyle name="Normal 2 54 5" xfId="28881" xr:uid="{00000000-0005-0000-0000-0000D1700000}"/>
    <cellStyle name="Normal 2 55" xfId="28882" xr:uid="{00000000-0005-0000-0000-0000D2700000}"/>
    <cellStyle name="Normal 2 55 2" xfId="28883" xr:uid="{00000000-0005-0000-0000-0000D3700000}"/>
    <cellStyle name="Normal 2 55 3" xfId="28884" xr:uid="{00000000-0005-0000-0000-0000D4700000}"/>
    <cellStyle name="Normal 2 55 4" xfId="28885" xr:uid="{00000000-0005-0000-0000-0000D5700000}"/>
    <cellStyle name="Normal 2 55 5" xfId="28886" xr:uid="{00000000-0005-0000-0000-0000D6700000}"/>
    <cellStyle name="Normal 2 56" xfId="28887" xr:uid="{00000000-0005-0000-0000-0000D7700000}"/>
    <cellStyle name="Normal 2 56 2" xfId="28888" xr:uid="{00000000-0005-0000-0000-0000D8700000}"/>
    <cellStyle name="Normal 2 56 3" xfId="28889" xr:uid="{00000000-0005-0000-0000-0000D9700000}"/>
    <cellStyle name="Normal 2 56 4" xfId="28890" xr:uid="{00000000-0005-0000-0000-0000DA700000}"/>
    <cellStyle name="Normal 2 56 5" xfId="28891" xr:uid="{00000000-0005-0000-0000-0000DB700000}"/>
    <cellStyle name="Normal 2 57" xfId="28892" xr:uid="{00000000-0005-0000-0000-0000DC700000}"/>
    <cellStyle name="Normal 2 57 2" xfId="28893" xr:uid="{00000000-0005-0000-0000-0000DD700000}"/>
    <cellStyle name="Normal 2 57 3" xfId="28894" xr:uid="{00000000-0005-0000-0000-0000DE700000}"/>
    <cellStyle name="Normal 2 57 4" xfId="28895" xr:uid="{00000000-0005-0000-0000-0000DF700000}"/>
    <cellStyle name="Normal 2 57 5" xfId="28896" xr:uid="{00000000-0005-0000-0000-0000E0700000}"/>
    <cellStyle name="Normal 2 58" xfId="28897" xr:uid="{00000000-0005-0000-0000-0000E1700000}"/>
    <cellStyle name="Normal 2 58 2" xfId="28898" xr:uid="{00000000-0005-0000-0000-0000E2700000}"/>
    <cellStyle name="Normal 2 58 3" xfId="28899" xr:uid="{00000000-0005-0000-0000-0000E3700000}"/>
    <cellStyle name="Normal 2 58 4" xfId="28900" xr:uid="{00000000-0005-0000-0000-0000E4700000}"/>
    <cellStyle name="Normal 2 58 5" xfId="28901" xr:uid="{00000000-0005-0000-0000-0000E5700000}"/>
    <cellStyle name="Normal 2 59" xfId="28902" xr:uid="{00000000-0005-0000-0000-0000E6700000}"/>
    <cellStyle name="Normal 2 59 2" xfId="28903" xr:uid="{00000000-0005-0000-0000-0000E7700000}"/>
    <cellStyle name="Normal 2 59 3" xfId="28904" xr:uid="{00000000-0005-0000-0000-0000E8700000}"/>
    <cellStyle name="Normal 2 59 4" xfId="28905" xr:uid="{00000000-0005-0000-0000-0000E9700000}"/>
    <cellStyle name="Normal 2 59 5" xfId="28906" xr:uid="{00000000-0005-0000-0000-0000EA700000}"/>
    <cellStyle name="Normal 2 6" xfId="28907" xr:uid="{00000000-0005-0000-0000-0000EB700000}"/>
    <cellStyle name="Normal 2 6 10" xfId="28908" xr:uid="{00000000-0005-0000-0000-0000EC700000}"/>
    <cellStyle name="Normal 2 6 11" xfId="28909" xr:uid="{00000000-0005-0000-0000-0000ED700000}"/>
    <cellStyle name="Normal 2 6 12" xfId="28910" xr:uid="{00000000-0005-0000-0000-0000EE700000}"/>
    <cellStyle name="Normal 2 6 13" xfId="28911" xr:uid="{00000000-0005-0000-0000-0000EF700000}"/>
    <cellStyle name="Normal 2 6 14" xfId="28912" xr:uid="{00000000-0005-0000-0000-0000F0700000}"/>
    <cellStyle name="Normal 2 6 15" xfId="28913" xr:uid="{00000000-0005-0000-0000-0000F1700000}"/>
    <cellStyle name="Normal 2 6 16" xfId="28914" xr:uid="{00000000-0005-0000-0000-0000F2700000}"/>
    <cellStyle name="Normal 2 6 17" xfId="28915" xr:uid="{00000000-0005-0000-0000-0000F3700000}"/>
    <cellStyle name="Normal 2 6 18" xfId="28916" xr:uid="{00000000-0005-0000-0000-0000F4700000}"/>
    <cellStyle name="Normal 2 6 19" xfId="28917" xr:uid="{00000000-0005-0000-0000-0000F5700000}"/>
    <cellStyle name="Normal 2 6 2" xfId="28918" xr:uid="{00000000-0005-0000-0000-0000F6700000}"/>
    <cellStyle name="Normal 2 6 2 10" xfId="28919" xr:uid="{00000000-0005-0000-0000-0000F7700000}"/>
    <cellStyle name="Normal 2 6 2 11" xfId="28920" xr:uid="{00000000-0005-0000-0000-0000F8700000}"/>
    <cellStyle name="Normal 2 6 2 12" xfId="28921" xr:uid="{00000000-0005-0000-0000-0000F9700000}"/>
    <cellStyle name="Normal 2 6 2 13" xfId="28922" xr:uid="{00000000-0005-0000-0000-0000FA700000}"/>
    <cellStyle name="Normal 2 6 2 14" xfId="28923" xr:uid="{00000000-0005-0000-0000-0000FB700000}"/>
    <cellStyle name="Normal 2 6 2 15" xfId="28924" xr:uid="{00000000-0005-0000-0000-0000FC700000}"/>
    <cellStyle name="Normal 2 6 2 16" xfId="28925" xr:uid="{00000000-0005-0000-0000-0000FD700000}"/>
    <cellStyle name="Normal 2 6 2 17" xfId="28926" xr:uid="{00000000-0005-0000-0000-0000FE700000}"/>
    <cellStyle name="Normal 2 6 2 18" xfId="28927" xr:uid="{00000000-0005-0000-0000-0000FF700000}"/>
    <cellStyle name="Normal 2 6 2 19" xfId="28928" xr:uid="{00000000-0005-0000-0000-000000710000}"/>
    <cellStyle name="Normal 2 6 2 2" xfId="28929" xr:uid="{00000000-0005-0000-0000-000001710000}"/>
    <cellStyle name="Normal 2 6 2 20" xfId="28930" xr:uid="{00000000-0005-0000-0000-000002710000}"/>
    <cellStyle name="Normal 2 6 2 21" xfId="28931" xr:uid="{00000000-0005-0000-0000-000003710000}"/>
    <cellStyle name="Normal 2 6 2 3" xfId="28932" xr:uid="{00000000-0005-0000-0000-000004710000}"/>
    <cellStyle name="Normal 2 6 2 4" xfId="28933" xr:uid="{00000000-0005-0000-0000-000005710000}"/>
    <cellStyle name="Normal 2 6 2 5" xfId="28934" xr:uid="{00000000-0005-0000-0000-000006710000}"/>
    <cellStyle name="Normal 2 6 2 6" xfId="28935" xr:uid="{00000000-0005-0000-0000-000007710000}"/>
    <cellStyle name="Normal 2 6 2 7" xfId="28936" xr:uid="{00000000-0005-0000-0000-000008710000}"/>
    <cellStyle name="Normal 2 6 2 8" xfId="28937" xr:uid="{00000000-0005-0000-0000-000009710000}"/>
    <cellStyle name="Normal 2 6 2 9" xfId="28938" xr:uid="{00000000-0005-0000-0000-00000A710000}"/>
    <cellStyle name="Normal 2 6 20" xfId="28939" xr:uid="{00000000-0005-0000-0000-00000B710000}"/>
    <cellStyle name="Normal 2 6 21" xfId="28940" xr:uid="{00000000-0005-0000-0000-00000C710000}"/>
    <cellStyle name="Normal 2 6 22" xfId="28941" xr:uid="{00000000-0005-0000-0000-00000D710000}"/>
    <cellStyle name="Normal 2 6 3" xfId="28942" xr:uid="{00000000-0005-0000-0000-00000E710000}"/>
    <cellStyle name="Normal 2 6 4" xfId="28943" xr:uid="{00000000-0005-0000-0000-00000F710000}"/>
    <cellStyle name="Normal 2 6 5" xfId="28944" xr:uid="{00000000-0005-0000-0000-000010710000}"/>
    <cellStyle name="Normal 2 6 6" xfId="28945" xr:uid="{00000000-0005-0000-0000-000011710000}"/>
    <cellStyle name="Normal 2 6 7" xfId="28946" xr:uid="{00000000-0005-0000-0000-000012710000}"/>
    <cellStyle name="Normal 2 6 8" xfId="28947" xr:uid="{00000000-0005-0000-0000-000013710000}"/>
    <cellStyle name="Normal 2 6 9" xfId="28948" xr:uid="{00000000-0005-0000-0000-000014710000}"/>
    <cellStyle name="Normal 2 60" xfId="28949" xr:uid="{00000000-0005-0000-0000-000015710000}"/>
    <cellStyle name="Normal 2 60 2" xfId="28950" xr:uid="{00000000-0005-0000-0000-000016710000}"/>
    <cellStyle name="Normal 2 60 3" xfId="28951" xr:uid="{00000000-0005-0000-0000-000017710000}"/>
    <cellStyle name="Normal 2 61" xfId="28952" xr:uid="{00000000-0005-0000-0000-000018710000}"/>
    <cellStyle name="Normal 2 61 2" xfId="28953" xr:uid="{00000000-0005-0000-0000-000019710000}"/>
    <cellStyle name="Normal 2 61 3" xfId="28954" xr:uid="{00000000-0005-0000-0000-00001A710000}"/>
    <cellStyle name="Normal 2 62" xfId="28955" xr:uid="{00000000-0005-0000-0000-00001B710000}"/>
    <cellStyle name="Normal 2 62 2" xfId="28956" xr:uid="{00000000-0005-0000-0000-00001C710000}"/>
    <cellStyle name="Normal 2 62 3" xfId="28957" xr:uid="{00000000-0005-0000-0000-00001D710000}"/>
    <cellStyle name="Normal 2 63" xfId="28958" xr:uid="{00000000-0005-0000-0000-00001E710000}"/>
    <cellStyle name="Normal 2 63 2" xfId="28959" xr:uid="{00000000-0005-0000-0000-00001F710000}"/>
    <cellStyle name="Normal 2 63 3" xfId="28960" xr:uid="{00000000-0005-0000-0000-000020710000}"/>
    <cellStyle name="Normal 2 64" xfId="28961" xr:uid="{00000000-0005-0000-0000-000021710000}"/>
    <cellStyle name="Normal 2 64 2" xfId="28962" xr:uid="{00000000-0005-0000-0000-000022710000}"/>
    <cellStyle name="Normal 2 64 3" xfId="28963" xr:uid="{00000000-0005-0000-0000-000023710000}"/>
    <cellStyle name="Normal 2 65" xfId="28964" xr:uid="{00000000-0005-0000-0000-000024710000}"/>
    <cellStyle name="Normal 2 65 2" xfId="28965" xr:uid="{00000000-0005-0000-0000-000025710000}"/>
    <cellStyle name="Normal 2 65 3" xfId="28966" xr:uid="{00000000-0005-0000-0000-000026710000}"/>
    <cellStyle name="Normal 2 66" xfId="28967" xr:uid="{00000000-0005-0000-0000-000027710000}"/>
    <cellStyle name="Normal 2 66 2" xfId="28968" xr:uid="{00000000-0005-0000-0000-000028710000}"/>
    <cellStyle name="Normal 2 66 3" xfId="28969" xr:uid="{00000000-0005-0000-0000-000029710000}"/>
    <cellStyle name="Normal 2 67" xfId="28970" xr:uid="{00000000-0005-0000-0000-00002A710000}"/>
    <cellStyle name="Normal 2 67 2" xfId="28971" xr:uid="{00000000-0005-0000-0000-00002B710000}"/>
    <cellStyle name="Normal 2 67 3" xfId="28972" xr:uid="{00000000-0005-0000-0000-00002C710000}"/>
    <cellStyle name="Normal 2 68" xfId="28973" xr:uid="{00000000-0005-0000-0000-00002D710000}"/>
    <cellStyle name="Normal 2 68 2" xfId="28974" xr:uid="{00000000-0005-0000-0000-00002E710000}"/>
    <cellStyle name="Normal 2 68 3" xfId="28975" xr:uid="{00000000-0005-0000-0000-00002F710000}"/>
    <cellStyle name="Normal 2 69" xfId="28976" xr:uid="{00000000-0005-0000-0000-000030710000}"/>
    <cellStyle name="Normal 2 69 2" xfId="28977" xr:uid="{00000000-0005-0000-0000-000031710000}"/>
    <cellStyle name="Normal 2 69 3" xfId="28978" xr:uid="{00000000-0005-0000-0000-000032710000}"/>
    <cellStyle name="Normal 2 7" xfId="28979" xr:uid="{00000000-0005-0000-0000-000033710000}"/>
    <cellStyle name="Normal 2 7 2" xfId="28980" xr:uid="{00000000-0005-0000-0000-000034710000}"/>
    <cellStyle name="Normal 2 7 3" xfId="28981" xr:uid="{00000000-0005-0000-0000-000035710000}"/>
    <cellStyle name="Normal 2 70" xfId="28982" xr:uid="{00000000-0005-0000-0000-000036710000}"/>
    <cellStyle name="Normal 2 70 2" xfId="28983" xr:uid="{00000000-0005-0000-0000-000037710000}"/>
    <cellStyle name="Normal 2 70 3" xfId="28984" xr:uid="{00000000-0005-0000-0000-000038710000}"/>
    <cellStyle name="Normal 2 71" xfId="28985" xr:uid="{00000000-0005-0000-0000-000039710000}"/>
    <cellStyle name="Normal 2 71 2" xfId="28986" xr:uid="{00000000-0005-0000-0000-00003A710000}"/>
    <cellStyle name="Normal 2 71 3" xfId="28987" xr:uid="{00000000-0005-0000-0000-00003B710000}"/>
    <cellStyle name="Normal 2 72" xfId="28988" xr:uid="{00000000-0005-0000-0000-00003C710000}"/>
    <cellStyle name="Normal 2 72 2" xfId="28989" xr:uid="{00000000-0005-0000-0000-00003D710000}"/>
    <cellStyle name="Normal 2 72 3" xfId="28990" xr:uid="{00000000-0005-0000-0000-00003E710000}"/>
    <cellStyle name="Normal 2 73" xfId="28991" xr:uid="{00000000-0005-0000-0000-00003F710000}"/>
    <cellStyle name="Normal 2 73 2" xfId="28992" xr:uid="{00000000-0005-0000-0000-000040710000}"/>
    <cellStyle name="Normal 2 73 3" xfId="28993" xr:uid="{00000000-0005-0000-0000-000041710000}"/>
    <cellStyle name="Normal 2 74" xfId="28994" xr:uid="{00000000-0005-0000-0000-000042710000}"/>
    <cellStyle name="Normal 2 74 2" xfId="28995" xr:uid="{00000000-0005-0000-0000-000043710000}"/>
    <cellStyle name="Normal 2 74 3" xfId="28996" xr:uid="{00000000-0005-0000-0000-000044710000}"/>
    <cellStyle name="Normal 2 75" xfId="28997" xr:uid="{00000000-0005-0000-0000-000045710000}"/>
    <cellStyle name="Normal 2 76" xfId="28998" xr:uid="{00000000-0005-0000-0000-000046710000}"/>
    <cellStyle name="Normal 2 77" xfId="28999" xr:uid="{00000000-0005-0000-0000-000047710000}"/>
    <cellStyle name="Normal 2 78" xfId="29000" xr:uid="{00000000-0005-0000-0000-000048710000}"/>
    <cellStyle name="Normal 2 79" xfId="29001" xr:uid="{00000000-0005-0000-0000-000049710000}"/>
    <cellStyle name="Normal 2 8" xfId="29002" xr:uid="{00000000-0005-0000-0000-00004A710000}"/>
    <cellStyle name="Normal 2 8 2" xfId="29003" xr:uid="{00000000-0005-0000-0000-00004B710000}"/>
    <cellStyle name="Normal 2 8 3" xfId="29004" xr:uid="{00000000-0005-0000-0000-00004C710000}"/>
    <cellStyle name="Normal 2 80" xfId="29005" xr:uid="{00000000-0005-0000-0000-00004D710000}"/>
    <cellStyle name="Normal 2 81" xfId="29006" xr:uid="{00000000-0005-0000-0000-00004E710000}"/>
    <cellStyle name="Normal 2 82" xfId="29007" xr:uid="{00000000-0005-0000-0000-00004F710000}"/>
    <cellStyle name="Normal 2 82 2" xfId="29008" xr:uid="{00000000-0005-0000-0000-000050710000}"/>
    <cellStyle name="Normal 2 82 2 2" xfId="29009" xr:uid="{00000000-0005-0000-0000-000051710000}"/>
    <cellStyle name="Normal 2 82 2 3" xfId="29010" xr:uid="{00000000-0005-0000-0000-000052710000}"/>
    <cellStyle name="Normal 2 82 3" xfId="29011" xr:uid="{00000000-0005-0000-0000-000053710000}"/>
    <cellStyle name="Normal 2 82 4" xfId="29012" xr:uid="{00000000-0005-0000-0000-000054710000}"/>
    <cellStyle name="Normal 2 83" xfId="29013" xr:uid="{00000000-0005-0000-0000-000055710000}"/>
    <cellStyle name="Normal 2 83 2" xfId="29014" xr:uid="{00000000-0005-0000-0000-000056710000}"/>
    <cellStyle name="Normal 2 84" xfId="29015" xr:uid="{00000000-0005-0000-0000-000057710000}"/>
    <cellStyle name="Normal 2 84 2" xfId="29016" xr:uid="{00000000-0005-0000-0000-000058710000}"/>
    <cellStyle name="Normal 2 85" xfId="29017" xr:uid="{00000000-0005-0000-0000-000059710000}"/>
    <cellStyle name="Normal 2 85 2" xfId="29018" xr:uid="{00000000-0005-0000-0000-00005A710000}"/>
    <cellStyle name="Normal 2 85 2 2" xfId="29019" xr:uid="{00000000-0005-0000-0000-00005B710000}"/>
    <cellStyle name="Normal 2 85 3" xfId="29020" xr:uid="{00000000-0005-0000-0000-00005C710000}"/>
    <cellStyle name="Normal 2 85 4" xfId="29021" xr:uid="{00000000-0005-0000-0000-00005D710000}"/>
    <cellStyle name="Normal 2 85 5" xfId="29022" xr:uid="{00000000-0005-0000-0000-00005E710000}"/>
    <cellStyle name="Normal 2 86" xfId="29023" xr:uid="{00000000-0005-0000-0000-00005F710000}"/>
    <cellStyle name="Normal 2 86 2" xfId="29024" xr:uid="{00000000-0005-0000-0000-000060710000}"/>
    <cellStyle name="Normal 2 86 2 2" xfId="29025" xr:uid="{00000000-0005-0000-0000-000061710000}"/>
    <cellStyle name="Normal 2 86 3" xfId="29026" xr:uid="{00000000-0005-0000-0000-000062710000}"/>
    <cellStyle name="Normal 2 87" xfId="29027" xr:uid="{00000000-0005-0000-0000-000063710000}"/>
    <cellStyle name="Normal 2 87 2" xfId="29028" xr:uid="{00000000-0005-0000-0000-000064710000}"/>
    <cellStyle name="Normal 2 87 3" xfId="29029" xr:uid="{00000000-0005-0000-0000-000065710000}"/>
    <cellStyle name="Normal 2 87 4" xfId="29030" xr:uid="{00000000-0005-0000-0000-000066710000}"/>
    <cellStyle name="Normal 2 87 5" xfId="29031" xr:uid="{00000000-0005-0000-0000-000067710000}"/>
    <cellStyle name="Normal 2 88" xfId="29032" xr:uid="{00000000-0005-0000-0000-000068710000}"/>
    <cellStyle name="Normal 2 88 2" xfId="29033" xr:uid="{00000000-0005-0000-0000-000069710000}"/>
    <cellStyle name="Normal 2 88 3" xfId="29034" xr:uid="{00000000-0005-0000-0000-00006A710000}"/>
    <cellStyle name="Normal 2 88 4" xfId="29035" xr:uid="{00000000-0005-0000-0000-00006B710000}"/>
    <cellStyle name="Normal 2 88 5" xfId="29036" xr:uid="{00000000-0005-0000-0000-00006C710000}"/>
    <cellStyle name="Normal 2 89" xfId="29037" xr:uid="{00000000-0005-0000-0000-00006D710000}"/>
    <cellStyle name="Normal 2 89 2" xfId="29038" xr:uid="{00000000-0005-0000-0000-00006E710000}"/>
    <cellStyle name="Normal 2 9" xfId="29039" xr:uid="{00000000-0005-0000-0000-00006F710000}"/>
    <cellStyle name="Normal 2 9 2" xfId="29040" xr:uid="{00000000-0005-0000-0000-000070710000}"/>
    <cellStyle name="Normal 2 9 3" xfId="29041" xr:uid="{00000000-0005-0000-0000-000071710000}"/>
    <cellStyle name="Normal 2 9 4" xfId="29042" xr:uid="{00000000-0005-0000-0000-000072710000}"/>
    <cellStyle name="Normal 2 9 5" xfId="29043" xr:uid="{00000000-0005-0000-0000-000073710000}"/>
    <cellStyle name="Normal 2 9_Enlaces" xfId="29044" xr:uid="{00000000-0005-0000-0000-000074710000}"/>
    <cellStyle name="Normal 2 90" xfId="29045" xr:uid="{00000000-0005-0000-0000-000075710000}"/>
    <cellStyle name="Normal 2 90 2" xfId="29046" xr:uid="{00000000-0005-0000-0000-000076710000}"/>
    <cellStyle name="Normal 2 91" xfId="29047" xr:uid="{00000000-0005-0000-0000-000077710000}"/>
    <cellStyle name="Normal 2 91 2" xfId="29048" xr:uid="{00000000-0005-0000-0000-000078710000}"/>
    <cellStyle name="Normal 2 92" xfId="29049" xr:uid="{00000000-0005-0000-0000-000079710000}"/>
    <cellStyle name="Normal 2 92 2" xfId="29050" xr:uid="{00000000-0005-0000-0000-00007A710000}"/>
    <cellStyle name="Normal 2 93" xfId="29051" xr:uid="{00000000-0005-0000-0000-00007B710000}"/>
    <cellStyle name="Normal 2 93 2" xfId="29052" xr:uid="{00000000-0005-0000-0000-00007C710000}"/>
    <cellStyle name="Normal 2 94" xfId="29053" xr:uid="{00000000-0005-0000-0000-00007D710000}"/>
    <cellStyle name="Normal 2 94 2" xfId="29054" xr:uid="{00000000-0005-0000-0000-00007E710000}"/>
    <cellStyle name="Normal 2 95" xfId="29055" xr:uid="{00000000-0005-0000-0000-00007F710000}"/>
    <cellStyle name="Normal 2 95 2" xfId="29056" xr:uid="{00000000-0005-0000-0000-000080710000}"/>
    <cellStyle name="Normal 2 96" xfId="29057" xr:uid="{00000000-0005-0000-0000-000081710000}"/>
    <cellStyle name="Normal 2 96 2" xfId="29058" xr:uid="{00000000-0005-0000-0000-000082710000}"/>
    <cellStyle name="Normal 2 97" xfId="29059" xr:uid="{00000000-0005-0000-0000-000083710000}"/>
    <cellStyle name="Normal 2 97 2" xfId="29060" xr:uid="{00000000-0005-0000-0000-000084710000}"/>
    <cellStyle name="Normal 2 98" xfId="29061" xr:uid="{00000000-0005-0000-0000-000085710000}"/>
    <cellStyle name="Normal 2 98 2" xfId="29062" xr:uid="{00000000-0005-0000-0000-000086710000}"/>
    <cellStyle name="Normal 2 99" xfId="29063" xr:uid="{00000000-0005-0000-0000-000087710000}"/>
    <cellStyle name="Normal 2 99 2" xfId="29064" xr:uid="{00000000-0005-0000-0000-000088710000}"/>
    <cellStyle name="Normal 20" xfId="29065" xr:uid="{00000000-0005-0000-0000-000089710000}"/>
    <cellStyle name="Normal 20 10" xfId="29066" xr:uid="{00000000-0005-0000-0000-00008A710000}"/>
    <cellStyle name="Normal 20 11" xfId="29067" xr:uid="{00000000-0005-0000-0000-00008B710000}"/>
    <cellStyle name="Normal 20 12" xfId="29068" xr:uid="{00000000-0005-0000-0000-00008C710000}"/>
    <cellStyle name="Normal 20 13" xfId="29069" xr:uid="{00000000-0005-0000-0000-00008D710000}"/>
    <cellStyle name="Normal 20 14" xfId="29070" xr:uid="{00000000-0005-0000-0000-00008E710000}"/>
    <cellStyle name="Normal 20 15" xfId="29071" xr:uid="{00000000-0005-0000-0000-00008F710000}"/>
    <cellStyle name="Normal 20 16" xfId="29072" xr:uid="{00000000-0005-0000-0000-000090710000}"/>
    <cellStyle name="Normal 20 17" xfId="29073" xr:uid="{00000000-0005-0000-0000-000091710000}"/>
    <cellStyle name="Normal 20 18" xfId="29074" xr:uid="{00000000-0005-0000-0000-000092710000}"/>
    <cellStyle name="Normal 20 19" xfId="29075" xr:uid="{00000000-0005-0000-0000-000093710000}"/>
    <cellStyle name="Normal 20 2" xfId="29076" xr:uid="{00000000-0005-0000-0000-000094710000}"/>
    <cellStyle name="Normal 20 2 2" xfId="29077" xr:uid="{00000000-0005-0000-0000-000095710000}"/>
    <cellStyle name="Normal 20 2 3" xfId="29078" xr:uid="{00000000-0005-0000-0000-000096710000}"/>
    <cellStyle name="Normal 20 2 4" xfId="29079" xr:uid="{00000000-0005-0000-0000-000097710000}"/>
    <cellStyle name="Normal 20 20" xfId="29080" xr:uid="{00000000-0005-0000-0000-000098710000}"/>
    <cellStyle name="Normal 20 21" xfId="29081" xr:uid="{00000000-0005-0000-0000-000099710000}"/>
    <cellStyle name="Normal 20 22" xfId="29082" xr:uid="{00000000-0005-0000-0000-00009A710000}"/>
    <cellStyle name="Normal 20 23" xfId="29083" xr:uid="{00000000-0005-0000-0000-00009B710000}"/>
    <cellStyle name="Normal 20 24" xfId="29084" xr:uid="{00000000-0005-0000-0000-00009C710000}"/>
    <cellStyle name="Normal 20 25" xfId="29085" xr:uid="{00000000-0005-0000-0000-00009D710000}"/>
    <cellStyle name="Normal 20 26" xfId="29086" xr:uid="{00000000-0005-0000-0000-00009E710000}"/>
    <cellStyle name="Normal 20 3" xfId="29087" xr:uid="{00000000-0005-0000-0000-00009F710000}"/>
    <cellStyle name="Normal 20 4" xfId="29088" xr:uid="{00000000-0005-0000-0000-0000A0710000}"/>
    <cellStyle name="Normal 20 5" xfId="29089" xr:uid="{00000000-0005-0000-0000-0000A1710000}"/>
    <cellStyle name="Normal 20 6" xfId="29090" xr:uid="{00000000-0005-0000-0000-0000A2710000}"/>
    <cellStyle name="Normal 20 7" xfId="29091" xr:uid="{00000000-0005-0000-0000-0000A3710000}"/>
    <cellStyle name="Normal 20 8" xfId="29092" xr:uid="{00000000-0005-0000-0000-0000A4710000}"/>
    <cellStyle name="Normal 20 9" xfId="29093" xr:uid="{00000000-0005-0000-0000-0000A5710000}"/>
    <cellStyle name="Normal 21" xfId="29094" xr:uid="{00000000-0005-0000-0000-0000A6710000}"/>
    <cellStyle name="Normal 21 10" xfId="29095" xr:uid="{00000000-0005-0000-0000-0000A7710000}"/>
    <cellStyle name="Normal 21 11" xfId="29096" xr:uid="{00000000-0005-0000-0000-0000A8710000}"/>
    <cellStyle name="Normal 21 12" xfId="29097" xr:uid="{00000000-0005-0000-0000-0000A9710000}"/>
    <cellStyle name="Normal 21 13" xfId="29098" xr:uid="{00000000-0005-0000-0000-0000AA710000}"/>
    <cellStyle name="Normal 21 14" xfId="29099" xr:uid="{00000000-0005-0000-0000-0000AB710000}"/>
    <cellStyle name="Normal 21 15" xfId="29100" xr:uid="{00000000-0005-0000-0000-0000AC710000}"/>
    <cellStyle name="Normal 21 16" xfId="29101" xr:uid="{00000000-0005-0000-0000-0000AD710000}"/>
    <cellStyle name="Normal 21 17" xfId="29102" xr:uid="{00000000-0005-0000-0000-0000AE710000}"/>
    <cellStyle name="Normal 21 18" xfId="29103" xr:uid="{00000000-0005-0000-0000-0000AF710000}"/>
    <cellStyle name="Normal 21 19" xfId="29104" xr:uid="{00000000-0005-0000-0000-0000B0710000}"/>
    <cellStyle name="Normal 21 2" xfId="29105" xr:uid="{00000000-0005-0000-0000-0000B1710000}"/>
    <cellStyle name="Normal 21 2 2" xfId="29106" xr:uid="{00000000-0005-0000-0000-0000B2710000}"/>
    <cellStyle name="Normal 21 2 3" xfId="29107" xr:uid="{00000000-0005-0000-0000-0000B3710000}"/>
    <cellStyle name="Normal 21 20" xfId="29108" xr:uid="{00000000-0005-0000-0000-0000B4710000}"/>
    <cellStyle name="Normal 21 21" xfId="29109" xr:uid="{00000000-0005-0000-0000-0000B5710000}"/>
    <cellStyle name="Normal 21 22" xfId="29110" xr:uid="{00000000-0005-0000-0000-0000B6710000}"/>
    <cellStyle name="Normal 21 23" xfId="29111" xr:uid="{00000000-0005-0000-0000-0000B7710000}"/>
    <cellStyle name="Normal 21 24" xfId="29112" xr:uid="{00000000-0005-0000-0000-0000B8710000}"/>
    <cellStyle name="Normal 21 25" xfId="29113" xr:uid="{00000000-0005-0000-0000-0000B9710000}"/>
    <cellStyle name="Normal 21 26" xfId="29114" xr:uid="{00000000-0005-0000-0000-0000BA710000}"/>
    <cellStyle name="Normal 21 3" xfId="29115" xr:uid="{00000000-0005-0000-0000-0000BB710000}"/>
    <cellStyle name="Normal 21 3 2" xfId="29116" xr:uid="{00000000-0005-0000-0000-0000BC710000}"/>
    <cellStyle name="Normal 21 3 3" xfId="29117" xr:uid="{00000000-0005-0000-0000-0000BD710000}"/>
    <cellStyle name="Normal 21 4" xfId="29118" xr:uid="{00000000-0005-0000-0000-0000BE710000}"/>
    <cellStyle name="Normal 21 5" xfId="29119" xr:uid="{00000000-0005-0000-0000-0000BF710000}"/>
    <cellStyle name="Normal 21 6" xfId="29120" xr:uid="{00000000-0005-0000-0000-0000C0710000}"/>
    <cellStyle name="Normal 21 7" xfId="29121" xr:uid="{00000000-0005-0000-0000-0000C1710000}"/>
    <cellStyle name="Normal 21 8" xfId="29122" xr:uid="{00000000-0005-0000-0000-0000C2710000}"/>
    <cellStyle name="Normal 21 9" xfId="29123" xr:uid="{00000000-0005-0000-0000-0000C3710000}"/>
    <cellStyle name="Normal 22" xfId="29124" xr:uid="{00000000-0005-0000-0000-0000C4710000}"/>
    <cellStyle name="Normal 22 10" xfId="29125" xr:uid="{00000000-0005-0000-0000-0000C5710000}"/>
    <cellStyle name="Normal 22 11" xfId="29126" xr:uid="{00000000-0005-0000-0000-0000C6710000}"/>
    <cellStyle name="Normal 22 12" xfId="29127" xr:uid="{00000000-0005-0000-0000-0000C7710000}"/>
    <cellStyle name="Normal 22 13" xfId="29128" xr:uid="{00000000-0005-0000-0000-0000C8710000}"/>
    <cellStyle name="Normal 22 14" xfId="29129" xr:uid="{00000000-0005-0000-0000-0000C9710000}"/>
    <cellStyle name="Normal 22 15" xfId="29130" xr:uid="{00000000-0005-0000-0000-0000CA710000}"/>
    <cellStyle name="Normal 22 16" xfId="29131" xr:uid="{00000000-0005-0000-0000-0000CB710000}"/>
    <cellStyle name="Normal 22 17" xfId="29132" xr:uid="{00000000-0005-0000-0000-0000CC710000}"/>
    <cellStyle name="Normal 22 18" xfId="29133" xr:uid="{00000000-0005-0000-0000-0000CD710000}"/>
    <cellStyle name="Normal 22 19" xfId="29134" xr:uid="{00000000-0005-0000-0000-0000CE710000}"/>
    <cellStyle name="Normal 22 2" xfId="29135" xr:uid="{00000000-0005-0000-0000-0000CF710000}"/>
    <cellStyle name="Normal 22 2 2" xfId="29136" xr:uid="{00000000-0005-0000-0000-0000D0710000}"/>
    <cellStyle name="Normal 22 2 3" xfId="29137" xr:uid="{00000000-0005-0000-0000-0000D1710000}"/>
    <cellStyle name="Normal 22 20" xfId="29138" xr:uid="{00000000-0005-0000-0000-0000D2710000}"/>
    <cellStyle name="Normal 22 21" xfId="29139" xr:uid="{00000000-0005-0000-0000-0000D3710000}"/>
    <cellStyle name="Normal 22 22" xfId="29140" xr:uid="{00000000-0005-0000-0000-0000D4710000}"/>
    <cellStyle name="Normal 22 23" xfId="29141" xr:uid="{00000000-0005-0000-0000-0000D5710000}"/>
    <cellStyle name="Normal 22 24" xfId="29142" xr:uid="{00000000-0005-0000-0000-0000D6710000}"/>
    <cellStyle name="Normal 22 25" xfId="29143" xr:uid="{00000000-0005-0000-0000-0000D7710000}"/>
    <cellStyle name="Normal 22 26" xfId="29144" xr:uid="{00000000-0005-0000-0000-0000D8710000}"/>
    <cellStyle name="Normal 22 3" xfId="29145" xr:uid="{00000000-0005-0000-0000-0000D9710000}"/>
    <cellStyle name="Normal 22 3 2" xfId="29146" xr:uid="{00000000-0005-0000-0000-0000DA710000}"/>
    <cellStyle name="Normal 22 3 3" xfId="29147" xr:uid="{00000000-0005-0000-0000-0000DB710000}"/>
    <cellStyle name="Normal 22 3 4" xfId="29148" xr:uid="{00000000-0005-0000-0000-0000DC710000}"/>
    <cellStyle name="Normal 22 3 5" xfId="29149" xr:uid="{00000000-0005-0000-0000-0000DD710000}"/>
    <cellStyle name="Normal 22 4" xfId="29150" xr:uid="{00000000-0005-0000-0000-0000DE710000}"/>
    <cellStyle name="Normal 22 5" xfId="29151" xr:uid="{00000000-0005-0000-0000-0000DF710000}"/>
    <cellStyle name="Normal 22 6" xfId="29152" xr:uid="{00000000-0005-0000-0000-0000E0710000}"/>
    <cellStyle name="Normal 22 7" xfId="29153" xr:uid="{00000000-0005-0000-0000-0000E1710000}"/>
    <cellStyle name="Normal 22 8" xfId="29154" xr:uid="{00000000-0005-0000-0000-0000E2710000}"/>
    <cellStyle name="Normal 22 9" xfId="29155" xr:uid="{00000000-0005-0000-0000-0000E3710000}"/>
    <cellStyle name="Normal 23" xfId="29156" xr:uid="{00000000-0005-0000-0000-0000E4710000}"/>
    <cellStyle name="Normal 23 10" xfId="29157" xr:uid="{00000000-0005-0000-0000-0000E5710000}"/>
    <cellStyle name="Normal 23 11" xfId="29158" xr:uid="{00000000-0005-0000-0000-0000E6710000}"/>
    <cellStyle name="Normal 23 12" xfId="29159" xr:uid="{00000000-0005-0000-0000-0000E7710000}"/>
    <cellStyle name="Normal 23 13" xfId="29160" xr:uid="{00000000-0005-0000-0000-0000E8710000}"/>
    <cellStyle name="Normal 23 14" xfId="29161" xr:uid="{00000000-0005-0000-0000-0000E9710000}"/>
    <cellStyle name="Normal 23 15" xfId="29162" xr:uid="{00000000-0005-0000-0000-0000EA710000}"/>
    <cellStyle name="Normal 23 16" xfId="29163" xr:uid="{00000000-0005-0000-0000-0000EB710000}"/>
    <cellStyle name="Normal 23 17" xfId="29164" xr:uid="{00000000-0005-0000-0000-0000EC710000}"/>
    <cellStyle name="Normal 23 18" xfId="29165" xr:uid="{00000000-0005-0000-0000-0000ED710000}"/>
    <cellStyle name="Normal 23 19" xfId="29166" xr:uid="{00000000-0005-0000-0000-0000EE710000}"/>
    <cellStyle name="Normal 23 2" xfId="29167" xr:uid="{00000000-0005-0000-0000-0000EF710000}"/>
    <cellStyle name="Normal 23 2 2" xfId="29168" xr:uid="{00000000-0005-0000-0000-0000F0710000}"/>
    <cellStyle name="Normal 23 2 3" xfId="29169" xr:uid="{00000000-0005-0000-0000-0000F1710000}"/>
    <cellStyle name="Normal 23 20" xfId="29170" xr:uid="{00000000-0005-0000-0000-0000F2710000}"/>
    <cellStyle name="Normal 23 21" xfId="29171" xr:uid="{00000000-0005-0000-0000-0000F3710000}"/>
    <cellStyle name="Normal 23 22" xfId="29172" xr:uid="{00000000-0005-0000-0000-0000F4710000}"/>
    <cellStyle name="Normal 23 23" xfId="29173" xr:uid="{00000000-0005-0000-0000-0000F5710000}"/>
    <cellStyle name="Normal 23 24" xfId="29174" xr:uid="{00000000-0005-0000-0000-0000F6710000}"/>
    <cellStyle name="Normal 23 25" xfId="29175" xr:uid="{00000000-0005-0000-0000-0000F7710000}"/>
    <cellStyle name="Normal 23 26" xfId="29176" xr:uid="{00000000-0005-0000-0000-0000F8710000}"/>
    <cellStyle name="Normal 23 3" xfId="29177" xr:uid="{00000000-0005-0000-0000-0000F9710000}"/>
    <cellStyle name="Normal 23 3 2" xfId="29178" xr:uid="{00000000-0005-0000-0000-0000FA710000}"/>
    <cellStyle name="Normal 23 3 3" xfId="29179" xr:uid="{00000000-0005-0000-0000-0000FB710000}"/>
    <cellStyle name="Normal 23 3 4" xfId="29180" xr:uid="{00000000-0005-0000-0000-0000FC710000}"/>
    <cellStyle name="Normal 23 3 5" xfId="29181" xr:uid="{00000000-0005-0000-0000-0000FD710000}"/>
    <cellStyle name="Normal 23 4" xfId="29182" xr:uid="{00000000-0005-0000-0000-0000FE710000}"/>
    <cellStyle name="Normal 23 5" xfId="29183" xr:uid="{00000000-0005-0000-0000-0000FF710000}"/>
    <cellStyle name="Normal 23 6" xfId="29184" xr:uid="{00000000-0005-0000-0000-000000720000}"/>
    <cellStyle name="Normal 23 7" xfId="29185" xr:uid="{00000000-0005-0000-0000-000001720000}"/>
    <cellStyle name="Normal 23 8" xfId="29186" xr:uid="{00000000-0005-0000-0000-000002720000}"/>
    <cellStyle name="Normal 23 9" xfId="29187" xr:uid="{00000000-0005-0000-0000-000003720000}"/>
    <cellStyle name="Normal 24" xfId="29188" xr:uid="{00000000-0005-0000-0000-000004720000}"/>
    <cellStyle name="Normal 24 10" xfId="29189" xr:uid="{00000000-0005-0000-0000-000005720000}"/>
    <cellStyle name="Normal 24 11" xfId="29190" xr:uid="{00000000-0005-0000-0000-000006720000}"/>
    <cellStyle name="Normal 24 12" xfId="29191" xr:uid="{00000000-0005-0000-0000-000007720000}"/>
    <cellStyle name="Normal 24 13" xfId="29192" xr:uid="{00000000-0005-0000-0000-000008720000}"/>
    <cellStyle name="Normal 24 14" xfId="29193" xr:uid="{00000000-0005-0000-0000-000009720000}"/>
    <cellStyle name="Normal 24 15" xfId="29194" xr:uid="{00000000-0005-0000-0000-00000A720000}"/>
    <cellStyle name="Normal 24 16" xfId="29195" xr:uid="{00000000-0005-0000-0000-00000B720000}"/>
    <cellStyle name="Normal 24 17" xfId="29196" xr:uid="{00000000-0005-0000-0000-00000C720000}"/>
    <cellStyle name="Normal 24 18" xfId="29197" xr:uid="{00000000-0005-0000-0000-00000D720000}"/>
    <cellStyle name="Normal 24 19" xfId="29198" xr:uid="{00000000-0005-0000-0000-00000E720000}"/>
    <cellStyle name="Normal 24 2" xfId="29199" xr:uid="{00000000-0005-0000-0000-00000F720000}"/>
    <cellStyle name="Normal 24 20" xfId="29200" xr:uid="{00000000-0005-0000-0000-000010720000}"/>
    <cellStyle name="Normal 24 21" xfId="29201" xr:uid="{00000000-0005-0000-0000-000011720000}"/>
    <cellStyle name="Normal 24 22" xfId="29202" xr:uid="{00000000-0005-0000-0000-000012720000}"/>
    <cellStyle name="Normal 24 23" xfId="29203" xr:uid="{00000000-0005-0000-0000-000013720000}"/>
    <cellStyle name="Normal 24 24" xfId="29204" xr:uid="{00000000-0005-0000-0000-000014720000}"/>
    <cellStyle name="Normal 24 25" xfId="29205" xr:uid="{00000000-0005-0000-0000-000015720000}"/>
    <cellStyle name="Normal 24 26" xfId="29206" xr:uid="{00000000-0005-0000-0000-000016720000}"/>
    <cellStyle name="Normal 24 27" xfId="29207" xr:uid="{00000000-0005-0000-0000-000017720000}"/>
    <cellStyle name="Normal 24 3" xfId="29208" xr:uid="{00000000-0005-0000-0000-000018720000}"/>
    <cellStyle name="Normal 24 4" xfId="29209" xr:uid="{00000000-0005-0000-0000-000019720000}"/>
    <cellStyle name="Normal 24 5" xfId="29210" xr:uid="{00000000-0005-0000-0000-00001A720000}"/>
    <cellStyle name="Normal 24 6" xfId="29211" xr:uid="{00000000-0005-0000-0000-00001B720000}"/>
    <cellStyle name="Normal 24 7" xfId="29212" xr:uid="{00000000-0005-0000-0000-00001C720000}"/>
    <cellStyle name="Normal 24 8" xfId="29213" xr:uid="{00000000-0005-0000-0000-00001D720000}"/>
    <cellStyle name="Normal 24 9" xfId="29214" xr:uid="{00000000-0005-0000-0000-00001E720000}"/>
    <cellStyle name="Normal 25" xfId="29215" xr:uid="{00000000-0005-0000-0000-00001F720000}"/>
    <cellStyle name="Normal 25 10" xfId="29216" xr:uid="{00000000-0005-0000-0000-000020720000}"/>
    <cellStyle name="Normal 25 11" xfId="29217" xr:uid="{00000000-0005-0000-0000-000021720000}"/>
    <cellStyle name="Normal 25 12" xfId="29218" xr:uid="{00000000-0005-0000-0000-000022720000}"/>
    <cellStyle name="Normal 25 13" xfId="29219" xr:uid="{00000000-0005-0000-0000-000023720000}"/>
    <cellStyle name="Normal 25 14" xfId="29220" xr:uid="{00000000-0005-0000-0000-000024720000}"/>
    <cellStyle name="Normal 25 15" xfId="29221" xr:uid="{00000000-0005-0000-0000-000025720000}"/>
    <cellStyle name="Normal 25 16" xfId="29222" xr:uid="{00000000-0005-0000-0000-000026720000}"/>
    <cellStyle name="Normal 25 17" xfId="29223" xr:uid="{00000000-0005-0000-0000-000027720000}"/>
    <cellStyle name="Normal 25 18" xfId="29224" xr:uid="{00000000-0005-0000-0000-000028720000}"/>
    <cellStyle name="Normal 25 19" xfId="29225" xr:uid="{00000000-0005-0000-0000-000029720000}"/>
    <cellStyle name="Normal 25 2" xfId="29226" xr:uid="{00000000-0005-0000-0000-00002A720000}"/>
    <cellStyle name="Normal 25 20" xfId="29227" xr:uid="{00000000-0005-0000-0000-00002B720000}"/>
    <cellStyle name="Normal 25 21" xfId="29228" xr:uid="{00000000-0005-0000-0000-00002C720000}"/>
    <cellStyle name="Normal 25 22" xfId="29229" xr:uid="{00000000-0005-0000-0000-00002D720000}"/>
    <cellStyle name="Normal 25 23" xfId="29230" xr:uid="{00000000-0005-0000-0000-00002E720000}"/>
    <cellStyle name="Normal 25 24" xfId="29231" xr:uid="{00000000-0005-0000-0000-00002F720000}"/>
    <cellStyle name="Normal 25 25" xfId="29232" xr:uid="{00000000-0005-0000-0000-000030720000}"/>
    <cellStyle name="Normal 25 3" xfId="29233" xr:uid="{00000000-0005-0000-0000-000031720000}"/>
    <cellStyle name="Normal 25 4" xfId="29234" xr:uid="{00000000-0005-0000-0000-000032720000}"/>
    <cellStyle name="Normal 25 5" xfId="29235" xr:uid="{00000000-0005-0000-0000-000033720000}"/>
    <cellStyle name="Normal 25 6" xfId="29236" xr:uid="{00000000-0005-0000-0000-000034720000}"/>
    <cellStyle name="Normal 25 7" xfId="29237" xr:uid="{00000000-0005-0000-0000-000035720000}"/>
    <cellStyle name="Normal 25 8" xfId="29238" xr:uid="{00000000-0005-0000-0000-000036720000}"/>
    <cellStyle name="Normal 25 9" xfId="29239" xr:uid="{00000000-0005-0000-0000-000037720000}"/>
    <cellStyle name="Normal 26" xfId="29240" xr:uid="{00000000-0005-0000-0000-000038720000}"/>
    <cellStyle name="Normal 26 10" xfId="29241" xr:uid="{00000000-0005-0000-0000-000039720000}"/>
    <cellStyle name="Normal 26 11" xfId="29242" xr:uid="{00000000-0005-0000-0000-00003A720000}"/>
    <cellStyle name="Normal 26 12" xfId="29243" xr:uid="{00000000-0005-0000-0000-00003B720000}"/>
    <cellStyle name="Normal 26 13" xfId="29244" xr:uid="{00000000-0005-0000-0000-00003C720000}"/>
    <cellStyle name="Normal 26 14" xfId="29245" xr:uid="{00000000-0005-0000-0000-00003D720000}"/>
    <cellStyle name="Normal 26 15" xfId="29246" xr:uid="{00000000-0005-0000-0000-00003E720000}"/>
    <cellStyle name="Normal 26 16" xfId="29247" xr:uid="{00000000-0005-0000-0000-00003F720000}"/>
    <cellStyle name="Normal 26 17" xfId="29248" xr:uid="{00000000-0005-0000-0000-000040720000}"/>
    <cellStyle name="Normal 26 18" xfId="29249" xr:uid="{00000000-0005-0000-0000-000041720000}"/>
    <cellStyle name="Normal 26 19" xfId="29250" xr:uid="{00000000-0005-0000-0000-000042720000}"/>
    <cellStyle name="Normal 26 2" xfId="29251" xr:uid="{00000000-0005-0000-0000-000043720000}"/>
    <cellStyle name="Normal 26 20" xfId="29252" xr:uid="{00000000-0005-0000-0000-000044720000}"/>
    <cellStyle name="Normal 26 21" xfId="29253" xr:uid="{00000000-0005-0000-0000-000045720000}"/>
    <cellStyle name="Normal 26 22" xfId="29254" xr:uid="{00000000-0005-0000-0000-000046720000}"/>
    <cellStyle name="Normal 26 23" xfId="29255" xr:uid="{00000000-0005-0000-0000-000047720000}"/>
    <cellStyle name="Normal 26 24" xfId="29256" xr:uid="{00000000-0005-0000-0000-000048720000}"/>
    <cellStyle name="Normal 26 25" xfId="29257" xr:uid="{00000000-0005-0000-0000-000049720000}"/>
    <cellStyle name="Normal 26 3" xfId="29258" xr:uid="{00000000-0005-0000-0000-00004A720000}"/>
    <cellStyle name="Normal 26 4" xfId="29259" xr:uid="{00000000-0005-0000-0000-00004B720000}"/>
    <cellStyle name="Normal 26 5" xfId="29260" xr:uid="{00000000-0005-0000-0000-00004C720000}"/>
    <cellStyle name="Normal 26 6" xfId="29261" xr:uid="{00000000-0005-0000-0000-00004D720000}"/>
    <cellStyle name="Normal 26 7" xfId="29262" xr:uid="{00000000-0005-0000-0000-00004E720000}"/>
    <cellStyle name="Normal 26 8" xfId="29263" xr:uid="{00000000-0005-0000-0000-00004F720000}"/>
    <cellStyle name="Normal 26 9" xfId="29264" xr:uid="{00000000-0005-0000-0000-000050720000}"/>
    <cellStyle name="Normal 27" xfId="29265" xr:uid="{00000000-0005-0000-0000-000051720000}"/>
    <cellStyle name="Normal 27 2" xfId="29266" xr:uid="{00000000-0005-0000-0000-000052720000}"/>
    <cellStyle name="Normal 28" xfId="29267" xr:uid="{00000000-0005-0000-0000-000053720000}"/>
    <cellStyle name="Normal 28 10" xfId="29268" xr:uid="{00000000-0005-0000-0000-000054720000}"/>
    <cellStyle name="Normal 28 11" xfId="29269" xr:uid="{00000000-0005-0000-0000-000055720000}"/>
    <cellStyle name="Normal 28 12" xfId="29270" xr:uid="{00000000-0005-0000-0000-000056720000}"/>
    <cellStyle name="Normal 28 13" xfId="29271" xr:uid="{00000000-0005-0000-0000-000057720000}"/>
    <cellStyle name="Normal 28 14" xfId="29272" xr:uid="{00000000-0005-0000-0000-000058720000}"/>
    <cellStyle name="Normal 28 15" xfId="29273" xr:uid="{00000000-0005-0000-0000-000059720000}"/>
    <cellStyle name="Normal 28 16" xfId="29274" xr:uid="{00000000-0005-0000-0000-00005A720000}"/>
    <cellStyle name="Normal 28 17" xfId="29275" xr:uid="{00000000-0005-0000-0000-00005B720000}"/>
    <cellStyle name="Normal 28 18" xfId="29276" xr:uid="{00000000-0005-0000-0000-00005C720000}"/>
    <cellStyle name="Normal 28 19" xfId="29277" xr:uid="{00000000-0005-0000-0000-00005D720000}"/>
    <cellStyle name="Normal 28 2" xfId="29278" xr:uid="{00000000-0005-0000-0000-00005E720000}"/>
    <cellStyle name="Normal 28 2 2" xfId="29279" xr:uid="{00000000-0005-0000-0000-00005F720000}"/>
    <cellStyle name="Normal 28 2 3" xfId="29280" xr:uid="{00000000-0005-0000-0000-000060720000}"/>
    <cellStyle name="Normal 28 20" xfId="29281" xr:uid="{00000000-0005-0000-0000-000061720000}"/>
    <cellStyle name="Normal 28 21" xfId="29282" xr:uid="{00000000-0005-0000-0000-000062720000}"/>
    <cellStyle name="Normal 28 22" xfId="29283" xr:uid="{00000000-0005-0000-0000-000063720000}"/>
    <cellStyle name="Normal 28 23" xfId="29284" xr:uid="{00000000-0005-0000-0000-000064720000}"/>
    <cellStyle name="Normal 28 24" xfId="29285" xr:uid="{00000000-0005-0000-0000-000065720000}"/>
    <cellStyle name="Normal 28 25" xfId="29286" xr:uid="{00000000-0005-0000-0000-000066720000}"/>
    <cellStyle name="Normal 28 26" xfId="29287" xr:uid="{00000000-0005-0000-0000-000067720000}"/>
    <cellStyle name="Normal 28 3" xfId="29288" xr:uid="{00000000-0005-0000-0000-000068720000}"/>
    <cellStyle name="Normal 28 3 2" xfId="29289" xr:uid="{00000000-0005-0000-0000-000069720000}"/>
    <cellStyle name="Normal 28 3 3" xfId="29290" xr:uid="{00000000-0005-0000-0000-00006A720000}"/>
    <cellStyle name="Normal 28 4" xfId="29291" xr:uid="{00000000-0005-0000-0000-00006B720000}"/>
    <cellStyle name="Normal 28 5" xfId="29292" xr:uid="{00000000-0005-0000-0000-00006C720000}"/>
    <cellStyle name="Normal 28 6" xfId="29293" xr:uid="{00000000-0005-0000-0000-00006D720000}"/>
    <cellStyle name="Normal 28 7" xfId="29294" xr:uid="{00000000-0005-0000-0000-00006E720000}"/>
    <cellStyle name="Normal 28 8" xfId="29295" xr:uid="{00000000-0005-0000-0000-00006F720000}"/>
    <cellStyle name="Normal 28 9" xfId="29296" xr:uid="{00000000-0005-0000-0000-000070720000}"/>
    <cellStyle name="Normal 29" xfId="29297" xr:uid="{00000000-0005-0000-0000-000071720000}"/>
    <cellStyle name="Normal 29 10" xfId="29298" xr:uid="{00000000-0005-0000-0000-000072720000}"/>
    <cellStyle name="Normal 29 11" xfId="29299" xr:uid="{00000000-0005-0000-0000-000073720000}"/>
    <cellStyle name="Normal 29 12" xfId="29300" xr:uid="{00000000-0005-0000-0000-000074720000}"/>
    <cellStyle name="Normal 29 13" xfId="29301" xr:uid="{00000000-0005-0000-0000-000075720000}"/>
    <cellStyle name="Normal 29 14" xfId="29302" xr:uid="{00000000-0005-0000-0000-000076720000}"/>
    <cellStyle name="Normal 29 15" xfId="29303" xr:uid="{00000000-0005-0000-0000-000077720000}"/>
    <cellStyle name="Normal 29 16" xfId="29304" xr:uid="{00000000-0005-0000-0000-000078720000}"/>
    <cellStyle name="Normal 29 17" xfId="29305" xr:uid="{00000000-0005-0000-0000-000079720000}"/>
    <cellStyle name="Normal 29 18" xfId="29306" xr:uid="{00000000-0005-0000-0000-00007A720000}"/>
    <cellStyle name="Normal 29 19" xfId="29307" xr:uid="{00000000-0005-0000-0000-00007B720000}"/>
    <cellStyle name="Normal 29 2" xfId="29308" xr:uid="{00000000-0005-0000-0000-00007C720000}"/>
    <cellStyle name="Normal 29 2 2" xfId="29309" xr:uid="{00000000-0005-0000-0000-00007D720000}"/>
    <cellStyle name="Normal 29 2 3" xfId="29310" xr:uid="{00000000-0005-0000-0000-00007E720000}"/>
    <cellStyle name="Normal 29 20" xfId="29311" xr:uid="{00000000-0005-0000-0000-00007F720000}"/>
    <cellStyle name="Normal 29 21" xfId="29312" xr:uid="{00000000-0005-0000-0000-000080720000}"/>
    <cellStyle name="Normal 29 22" xfId="29313" xr:uid="{00000000-0005-0000-0000-000081720000}"/>
    <cellStyle name="Normal 29 23" xfId="29314" xr:uid="{00000000-0005-0000-0000-000082720000}"/>
    <cellStyle name="Normal 29 24" xfId="29315" xr:uid="{00000000-0005-0000-0000-000083720000}"/>
    <cellStyle name="Normal 29 25" xfId="29316" xr:uid="{00000000-0005-0000-0000-000084720000}"/>
    <cellStyle name="Normal 29 26" xfId="29317" xr:uid="{00000000-0005-0000-0000-000085720000}"/>
    <cellStyle name="Normal 29 3" xfId="29318" xr:uid="{00000000-0005-0000-0000-000086720000}"/>
    <cellStyle name="Normal 29 3 2" xfId="29319" xr:uid="{00000000-0005-0000-0000-000087720000}"/>
    <cellStyle name="Normal 29 3 3" xfId="29320" xr:uid="{00000000-0005-0000-0000-000088720000}"/>
    <cellStyle name="Normal 29 4" xfId="29321" xr:uid="{00000000-0005-0000-0000-000089720000}"/>
    <cellStyle name="Normal 29 5" xfId="29322" xr:uid="{00000000-0005-0000-0000-00008A720000}"/>
    <cellStyle name="Normal 29 6" xfId="29323" xr:uid="{00000000-0005-0000-0000-00008B720000}"/>
    <cellStyle name="Normal 29 7" xfId="29324" xr:uid="{00000000-0005-0000-0000-00008C720000}"/>
    <cellStyle name="Normal 29 8" xfId="29325" xr:uid="{00000000-0005-0000-0000-00008D720000}"/>
    <cellStyle name="Normal 29 9" xfId="29326" xr:uid="{00000000-0005-0000-0000-00008E720000}"/>
    <cellStyle name="Normal 3" xfId="20" xr:uid="{00000000-0005-0000-0000-000014000000}"/>
    <cellStyle name="Normal 3 10" xfId="29327" xr:uid="{00000000-0005-0000-0000-00008F720000}"/>
    <cellStyle name="Normal 3 10 2" xfId="29328" xr:uid="{00000000-0005-0000-0000-000090720000}"/>
    <cellStyle name="Normal 3 10 3" xfId="29329" xr:uid="{00000000-0005-0000-0000-000091720000}"/>
    <cellStyle name="Normal 3 10 4" xfId="29330" xr:uid="{00000000-0005-0000-0000-000092720000}"/>
    <cellStyle name="Normal 3 10 5" xfId="29331" xr:uid="{00000000-0005-0000-0000-000093720000}"/>
    <cellStyle name="Normal 3 10 6" xfId="29332" xr:uid="{00000000-0005-0000-0000-000094720000}"/>
    <cellStyle name="Normal 3 10_Enlaces" xfId="29333" xr:uid="{00000000-0005-0000-0000-000095720000}"/>
    <cellStyle name="Normal 3 100" xfId="29334" xr:uid="{00000000-0005-0000-0000-000096720000}"/>
    <cellStyle name="Normal 3 100 2" xfId="29335" xr:uid="{00000000-0005-0000-0000-000097720000}"/>
    <cellStyle name="Normal 3 100 3" xfId="29336" xr:uid="{00000000-0005-0000-0000-000098720000}"/>
    <cellStyle name="Normal 3 101" xfId="29337" xr:uid="{00000000-0005-0000-0000-000099720000}"/>
    <cellStyle name="Normal 3 101 2" xfId="29338" xr:uid="{00000000-0005-0000-0000-00009A720000}"/>
    <cellStyle name="Normal 3 101 3" xfId="29339" xr:uid="{00000000-0005-0000-0000-00009B720000}"/>
    <cellStyle name="Normal 3 102" xfId="29340" xr:uid="{00000000-0005-0000-0000-00009C720000}"/>
    <cellStyle name="Normal 3 102 2" xfId="29341" xr:uid="{00000000-0005-0000-0000-00009D720000}"/>
    <cellStyle name="Normal 3 102 3" xfId="29342" xr:uid="{00000000-0005-0000-0000-00009E720000}"/>
    <cellStyle name="Normal 3 103" xfId="29343" xr:uid="{00000000-0005-0000-0000-00009F720000}"/>
    <cellStyle name="Normal 3 103 2" xfId="29344" xr:uid="{00000000-0005-0000-0000-0000A0720000}"/>
    <cellStyle name="Normal 3 103 3" xfId="29345" xr:uid="{00000000-0005-0000-0000-0000A1720000}"/>
    <cellStyle name="Normal 3 104" xfId="29346" xr:uid="{00000000-0005-0000-0000-0000A2720000}"/>
    <cellStyle name="Normal 3 104 2" xfId="29347" xr:uid="{00000000-0005-0000-0000-0000A3720000}"/>
    <cellStyle name="Normal 3 104 3" xfId="29348" xr:uid="{00000000-0005-0000-0000-0000A4720000}"/>
    <cellStyle name="Normal 3 105" xfId="29349" xr:uid="{00000000-0005-0000-0000-0000A5720000}"/>
    <cellStyle name="Normal 3 105 2" xfId="29350" xr:uid="{00000000-0005-0000-0000-0000A6720000}"/>
    <cellStyle name="Normal 3 105 3" xfId="29351" xr:uid="{00000000-0005-0000-0000-0000A7720000}"/>
    <cellStyle name="Normal 3 106" xfId="29352" xr:uid="{00000000-0005-0000-0000-0000A8720000}"/>
    <cellStyle name="Normal 3 106 2" xfId="29353" xr:uid="{00000000-0005-0000-0000-0000A9720000}"/>
    <cellStyle name="Normal 3 106 3" xfId="29354" xr:uid="{00000000-0005-0000-0000-0000AA720000}"/>
    <cellStyle name="Normal 3 107" xfId="29355" xr:uid="{00000000-0005-0000-0000-0000AB720000}"/>
    <cellStyle name="Normal 3 107 2" xfId="29356" xr:uid="{00000000-0005-0000-0000-0000AC720000}"/>
    <cellStyle name="Normal 3 107 3" xfId="29357" xr:uid="{00000000-0005-0000-0000-0000AD720000}"/>
    <cellStyle name="Normal 3 108" xfId="29358" xr:uid="{00000000-0005-0000-0000-0000AE720000}"/>
    <cellStyle name="Normal 3 108 2" xfId="29359" xr:uid="{00000000-0005-0000-0000-0000AF720000}"/>
    <cellStyle name="Normal 3 108 3" xfId="29360" xr:uid="{00000000-0005-0000-0000-0000B0720000}"/>
    <cellStyle name="Normal 3 109" xfId="29361" xr:uid="{00000000-0005-0000-0000-0000B1720000}"/>
    <cellStyle name="Normal 3 109 2" xfId="29362" xr:uid="{00000000-0005-0000-0000-0000B2720000}"/>
    <cellStyle name="Normal 3 109 3" xfId="29363" xr:uid="{00000000-0005-0000-0000-0000B3720000}"/>
    <cellStyle name="Normal 3 11" xfId="29364" xr:uid="{00000000-0005-0000-0000-0000B4720000}"/>
    <cellStyle name="Normal 3 11 2" xfId="29365" xr:uid="{00000000-0005-0000-0000-0000B5720000}"/>
    <cellStyle name="Normal 3 11 3" xfId="29366" xr:uid="{00000000-0005-0000-0000-0000B6720000}"/>
    <cellStyle name="Normal 3 11 4" xfId="29367" xr:uid="{00000000-0005-0000-0000-0000B7720000}"/>
    <cellStyle name="Normal 3 11_Enlaces" xfId="29368" xr:uid="{00000000-0005-0000-0000-0000B8720000}"/>
    <cellStyle name="Normal 3 110" xfId="29369" xr:uid="{00000000-0005-0000-0000-0000B9720000}"/>
    <cellStyle name="Normal 3 110 2" xfId="29370" xr:uid="{00000000-0005-0000-0000-0000BA720000}"/>
    <cellStyle name="Normal 3 110 3" xfId="29371" xr:uid="{00000000-0005-0000-0000-0000BB720000}"/>
    <cellStyle name="Normal 3 111" xfId="29372" xr:uid="{00000000-0005-0000-0000-0000BC720000}"/>
    <cellStyle name="Normal 3 111 2" xfId="29373" xr:uid="{00000000-0005-0000-0000-0000BD720000}"/>
    <cellStyle name="Normal 3 111 3" xfId="29374" xr:uid="{00000000-0005-0000-0000-0000BE720000}"/>
    <cellStyle name="Normal 3 112" xfId="29375" xr:uid="{00000000-0005-0000-0000-0000BF720000}"/>
    <cellStyle name="Normal 3 112 2" xfId="29376" xr:uid="{00000000-0005-0000-0000-0000C0720000}"/>
    <cellStyle name="Normal 3 112 3" xfId="29377" xr:uid="{00000000-0005-0000-0000-0000C1720000}"/>
    <cellStyle name="Normal 3 113" xfId="29378" xr:uid="{00000000-0005-0000-0000-0000C2720000}"/>
    <cellStyle name="Normal 3 113 2" xfId="29379" xr:uid="{00000000-0005-0000-0000-0000C3720000}"/>
    <cellStyle name="Normal 3 113 3" xfId="29380" xr:uid="{00000000-0005-0000-0000-0000C4720000}"/>
    <cellStyle name="Normal 3 114" xfId="29381" xr:uid="{00000000-0005-0000-0000-0000C5720000}"/>
    <cellStyle name="Normal 3 114 2" xfId="29382" xr:uid="{00000000-0005-0000-0000-0000C6720000}"/>
    <cellStyle name="Normal 3 114 3" xfId="29383" xr:uid="{00000000-0005-0000-0000-0000C7720000}"/>
    <cellStyle name="Normal 3 115" xfId="29384" xr:uid="{00000000-0005-0000-0000-0000C8720000}"/>
    <cellStyle name="Normal 3 115 2" xfId="29385" xr:uid="{00000000-0005-0000-0000-0000C9720000}"/>
    <cellStyle name="Normal 3 115 3" xfId="29386" xr:uid="{00000000-0005-0000-0000-0000CA720000}"/>
    <cellStyle name="Normal 3 116" xfId="29387" xr:uid="{00000000-0005-0000-0000-0000CB720000}"/>
    <cellStyle name="Normal 3 116 2" xfId="29388" xr:uid="{00000000-0005-0000-0000-0000CC720000}"/>
    <cellStyle name="Normal 3 116 3" xfId="29389" xr:uid="{00000000-0005-0000-0000-0000CD720000}"/>
    <cellStyle name="Normal 3 117" xfId="29390" xr:uid="{00000000-0005-0000-0000-0000CE720000}"/>
    <cellStyle name="Normal 3 117 2" xfId="29391" xr:uid="{00000000-0005-0000-0000-0000CF720000}"/>
    <cellStyle name="Normal 3 117 3" xfId="29392" xr:uid="{00000000-0005-0000-0000-0000D0720000}"/>
    <cellStyle name="Normal 3 118" xfId="29393" xr:uid="{00000000-0005-0000-0000-0000D1720000}"/>
    <cellStyle name="Normal 3 118 2" xfId="29394" xr:uid="{00000000-0005-0000-0000-0000D2720000}"/>
    <cellStyle name="Normal 3 118 3" xfId="29395" xr:uid="{00000000-0005-0000-0000-0000D3720000}"/>
    <cellStyle name="Normal 3 119" xfId="29396" xr:uid="{00000000-0005-0000-0000-0000D4720000}"/>
    <cellStyle name="Normal 3 119 2" xfId="29397" xr:uid="{00000000-0005-0000-0000-0000D5720000}"/>
    <cellStyle name="Normal 3 119 3" xfId="29398" xr:uid="{00000000-0005-0000-0000-0000D6720000}"/>
    <cellStyle name="Normal 3 12" xfId="29399" xr:uid="{00000000-0005-0000-0000-0000D7720000}"/>
    <cellStyle name="Normal 3 12 2" xfId="29400" xr:uid="{00000000-0005-0000-0000-0000D8720000}"/>
    <cellStyle name="Normal 3 12 3" xfId="29401" xr:uid="{00000000-0005-0000-0000-0000D9720000}"/>
    <cellStyle name="Normal 3 12_Enlaces" xfId="29402" xr:uid="{00000000-0005-0000-0000-0000DA720000}"/>
    <cellStyle name="Normal 3 120" xfId="29403" xr:uid="{00000000-0005-0000-0000-0000DB720000}"/>
    <cellStyle name="Normal 3 120 2" xfId="29404" xr:uid="{00000000-0005-0000-0000-0000DC720000}"/>
    <cellStyle name="Normal 3 120 3" xfId="29405" xr:uid="{00000000-0005-0000-0000-0000DD720000}"/>
    <cellStyle name="Normal 3 121" xfId="29406" xr:uid="{00000000-0005-0000-0000-0000DE720000}"/>
    <cellStyle name="Normal 3 121 2" xfId="29407" xr:uid="{00000000-0005-0000-0000-0000DF720000}"/>
    <cellStyle name="Normal 3 121 3" xfId="29408" xr:uid="{00000000-0005-0000-0000-0000E0720000}"/>
    <cellStyle name="Normal 3 122" xfId="29409" xr:uid="{00000000-0005-0000-0000-0000E1720000}"/>
    <cellStyle name="Normal 3 122 2" xfId="29410" xr:uid="{00000000-0005-0000-0000-0000E2720000}"/>
    <cellStyle name="Normal 3 122 3" xfId="29411" xr:uid="{00000000-0005-0000-0000-0000E3720000}"/>
    <cellStyle name="Normal 3 123" xfId="29412" xr:uid="{00000000-0005-0000-0000-0000E4720000}"/>
    <cellStyle name="Normal 3 123 2" xfId="29413" xr:uid="{00000000-0005-0000-0000-0000E5720000}"/>
    <cellStyle name="Normal 3 123 3" xfId="29414" xr:uid="{00000000-0005-0000-0000-0000E6720000}"/>
    <cellStyle name="Normal 3 124" xfId="29415" xr:uid="{00000000-0005-0000-0000-0000E7720000}"/>
    <cellStyle name="Normal 3 125" xfId="29416" xr:uid="{00000000-0005-0000-0000-0000E8720000}"/>
    <cellStyle name="Normal 3 126" xfId="29417" xr:uid="{00000000-0005-0000-0000-0000E9720000}"/>
    <cellStyle name="Normal 3 127" xfId="29418" xr:uid="{00000000-0005-0000-0000-0000EA720000}"/>
    <cellStyle name="Normal 3 128" xfId="29419" xr:uid="{00000000-0005-0000-0000-0000EB720000}"/>
    <cellStyle name="Normal 3 129" xfId="29420" xr:uid="{00000000-0005-0000-0000-0000EC720000}"/>
    <cellStyle name="Normal 3 13" xfId="29421" xr:uid="{00000000-0005-0000-0000-0000ED720000}"/>
    <cellStyle name="Normal 3 13 2" xfId="29422" xr:uid="{00000000-0005-0000-0000-0000EE720000}"/>
    <cellStyle name="Normal 3 13 3" xfId="29423" xr:uid="{00000000-0005-0000-0000-0000EF720000}"/>
    <cellStyle name="Normal 3 13_Enlaces" xfId="29424" xr:uid="{00000000-0005-0000-0000-0000F0720000}"/>
    <cellStyle name="Normal 3 130" xfId="29425" xr:uid="{00000000-0005-0000-0000-0000F1720000}"/>
    <cellStyle name="Normal 3 131" xfId="29426" xr:uid="{00000000-0005-0000-0000-0000F2720000}"/>
    <cellStyle name="Normal 3 131 2" xfId="29427" xr:uid="{00000000-0005-0000-0000-0000F3720000}"/>
    <cellStyle name="Normal 3 132" xfId="29428" xr:uid="{00000000-0005-0000-0000-0000F4720000}"/>
    <cellStyle name="Normal 3 132 2" xfId="29429" xr:uid="{00000000-0005-0000-0000-0000F5720000}"/>
    <cellStyle name="Normal 3 133" xfId="29430" xr:uid="{00000000-0005-0000-0000-0000F6720000}"/>
    <cellStyle name="Normal 3 133 2" xfId="29431" xr:uid="{00000000-0005-0000-0000-0000F7720000}"/>
    <cellStyle name="Normal 3 134" xfId="29432" xr:uid="{00000000-0005-0000-0000-0000F8720000}"/>
    <cellStyle name="Normal 3 134 2" xfId="29433" xr:uid="{00000000-0005-0000-0000-0000F9720000}"/>
    <cellStyle name="Normal 3 135" xfId="29434" xr:uid="{00000000-0005-0000-0000-0000FA720000}"/>
    <cellStyle name="Normal 3 135 2" xfId="29435" xr:uid="{00000000-0005-0000-0000-0000FB720000}"/>
    <cellStyle name="Normal 3 136" xfId="29436" xr:uid="{00000000-0005-0000-0000-0000FC720000}"/>
    <cellStyle name="Normal 3 136 2" xfId="29437" xr:uid="{00000000-0005-0000-0000-0000FD720000}"/>
    <cellStyle name="Normal 3 137" xfId="29438" xr:uid="{00000000-0005-0000-0000-0000FE720000}"/>
    <cellStyle name="Normal 3 137 2" xfId="29439" xr:uid="{00000000-0005-0000-0000-0000FF720000}"/>
    <cellStyle name="Normal 3 138" xfId="29440" xr:uid="{00000000-0005-0000-0000-000000730000}"/>
    <cellStyle name="Normal 3 138 2" xfId="29441" xr:uid="{00000000-0005-0000-0000-000001730000}"/>
    <cellStyle name="Normal 3 139" xfId="29442" xr:uid="{00000000-0005-0000-0000-000002730000}"/>
    <cellStyle name="Normal 3 139 2" xfId="29443" xr:uid="{00000000-0005-0000-0000-000003730000}"/>
    <cellStyle name="Normal 3 14" xfId="29444" xr:uid="{00000000-0005-0000-0000-000004730000}"/>
    <cellStyle name="Normal 3 14 2" xfId="29445" xr:uid="{00000000-0005-0000-0000-000005730000}"/>
    <cellStyle name="Normal 3 14 3" xfId="29446" xr:uid="{00000000-0005-0000-0000-000006730000}"/>
    <cellStyle name="Normal 3 14_Enlaces" xfId="29447" xr:uid="{00000000-0005-0000-0000-000007730000}"/>
    <cellStyle name="Normal 3 140" xfId="29448" xr:uid="{00000000-0005-0000-0000-000008730000}"/>
    <cellStyle name="Normal 3 140 2" xfId="29449" xr:uid="{00000000-0005-0000-0000-000009730000}"/>
    <cellStyle name="Normal 3 141" xfId="29450" xr:uid="{00000000-0005-0000-0000-00000A730000}"/>
    <cellStyle name="Normal 3 141 2" xfId="29451" xr:uid="{00000000-0005-0000-0000-00000B730000}"/>
    <cellStyle name="Normal 3 142" xfId="29452" xr:uid="{00000000-0005-0000-0000-00000C730000}"/>
    <cellStyle name="Normal 3 143" xfId="29453" xr:uid="{00000000-0005-0000-0000-00000D730000}"/>
    <cellStyle name="Normal 3 143 2" xfId="29454" xr:uid="{00000000-0005-0000-0000-00000E730000}"/>
    <cellStyle name="Normal 3 144" xfId="29455" xr:uid="{00000000-0005-0000-0000-00000F730000}"/>
    <cellStyle name="Normal 3 145" xfId="29456" xr:uid="{00000000-0005-0000-0000-000010730000}"/>
    <cellStyle name="Normal 3 15" xfId="29457" xr:uid="{00000000-0005-0000-0000-000011730000}"/>
    <cellStyle name="Normal 3 15 2" xfId="29458" xr:uid="{00000000-0005-0000-0000-000012730000}"/>
    <cellStyle name="Normal 3 15 3" xfId="29459" xr:uid="{00000000-0005-0000-0000-000013730000}"/>
    <cellStyle name="Normal 3 15_Enlaces" xfId="29460" xr:uid="{00000000-0005-0000-0000-000014730000}"/>
    <cellStyle name="Normal 3 16" xfId="29461" xr:uid="{00000000-0005-0000-0000-000015730000}"/>
    <cellStyle name="Normal 3 16 2" xfId="29462" xr:uid="{00000000-0005-0000-0000-000016730000}"/>
    <cellStyle name="Normal 3 16 3" xfId="29463" xr:uid="{00000000-0005-0000-0000-000017730000}"/>
    <cellStyle name="Normal 3 16_Enlaces" xfId="29464" xr:uid="{00000000-0005-0000-0000-000018730000}"/>
    <cellStyle name="Normal 3 17" xfId="29465" xr:uid="{00000000-0005-0000-0000-000019730000}"/>
    <cellStyle name="Normal 3 17 2" xfId="29466" xr:uid="{00000000-0005-0000-0000-00001A730000}"/>
    <cellStyle name="Normal 3 17 3" xfId="29467" xr:uid="{00000000-0005-0000-0000-00001B730000}"/>
    <cellStyle name="Normal 3 17_Enlaces" xfId="29468" xr:uid="{00000000-0005-0000-0000-00001C730000}"/>
    <cellStyle name="Normal 3 18" xfId="29469" xr:uid="{00000000-0005-0000-0000-00001D730000}"/>
    <cellStyle name="Normal 3 18 2" xfId="29470" xr:uid="{00000000-0005-0000-0000-00001E730000}"/>
    <cellStyle name="Normal 3 18 3" xfId="29471" xr:uid="{00000000-0005-0000-0000-00001F730000}"/>
    <cellStyle name="Normal 3 18_Enlaces" xfId="29472" xr:uid="{00000000-0005-0000-0000-000020730000}"/>
    <cellStyle name="Normal 3 19" xfId="29473" xr:uid="{00000000-0005-0000-0000-000021730000}"/>
    <cellStyle name="Normal 3 19 2" xfId="29474" xr:uid="{00000000-0005-0000-0000-000022730000}"/>
    <cellStyle name="Normal 3 19 3" xfId="29475" xr:uid="{00000000-0005-0000-0000-000023730000}"/>
    <cellStyle name="Normal 3 19_Enlaces" xfId="29476" xr:uid="{00000000-0005-0000-0000-000024730000}"/>
    <cellStyle name="Normal 3 2" xfId="29477" xr:uid="{00000000-0005-0000-0000-000025730000}"/>
    <cellStyle name="Normal 3 2 10" xfId="29478" xr:uid="{00000000-0005-0000-0000-000026730000}"/>
    <cellStyle name="Normal 3 2 10 2" xfId="29479" xr:uid="{00000000-0005-0000-0000-000027730000}"/>
    <cellStyle name="Normal 3 2 10 3" xfId="29480" xr:uid="{00000000-0005-0000-0000-000028730000}"/>
    <cellStyle name="Normal 3 2 11" xfId="29481" xr:uid="{00000000-0005-0000-0000-000029730000}"/>
    <cellStyle name="Normal 3 2 11 2" xfId="29482" xr:uid="{00000000-0005-0000-0000-00002A730000}"/>
    <cellStyle name="Normal 3 2 12" xfId="29483" xr:uid="{00000000-0005-0000-0000-00002B730000}"/>
    <cellStyle name="Normal 3 2 12 2" xfId="29484" xr:uid="{00000000-0005-0000-0000-00002C730000}"/>
    <cellStyle name="Normal 3 2 13" xfId="29485" xr:uid="{00000000-0005-0000-0000-00002D730000}"/>
    <cellStyle name="Normal 3 2 13 2" xfId="29486" xr:uid="{00000000-0005-0000-0000-00002E730000}"/>
    <cellStyle name="Normal 3 2 14" xfId="29487" xr:uid="{00000000-0005-0000-0000-00002F730000}"/>
    <cellStyle name="Normal 3 2 14 2" xfId="29488" xr:uid="{00000000-0005-0000-0000-000030730000}"/>
    <cellStyle name="Normal 3 2 15" xfId="29489" xr:uid="{00000000-0005-0000-0000-000031730000}"/>
    <cellStyle name="Normal 3 2 15 2" xfId="29490" xr:uid="{00000000-0005-0000-0000-000032730000}"/>
    <cellStyle name="Normal 3 2 16" xfId="29491" xr:uid="{00000000-0005-0000-0000-000033730000}"/>
    <cellStyle name="Normal 3 2 16 2" xfId="29492" xr:uid="{00000000-0005-0000-0000-000034730000}"/>
    <cellStyle name="Normal 3 2 17" xfId="29493" xr:uid="{00000000-0005-0000-0000-000035730000}"/>
    <cellStyle name="Normal 3 2 17 2" xfId="29494" xr:uid="{00000000-0005-0000-0000-000036730000}"/>
    <cellStyle name="Normal 3 2 18" xfId="29495" xr:uid="{00000000-0005-0000-0000-000037730000}"/>
    <cellStyle name="Normal 3 2 18 2" xfId="29496" xr:uid="{00000000-0005-0000-0000-000038730000}"/>
    <cellStyle name="Normal 3 2 19" xfId="29497" xr:uid="{00000000-0005-0000-0000-000039730000}"/>
    <cellStyle name="Normal 3 2 19 2" xfId="29498" xr:uid="{00000000-0005-0000-0000-00003A730000}"/>
    <cellStyle name="Normal 3 2 2" xfId="29499" xr:uid="{00000000-0005-0000-0000-00003B730000}"/>
    <cellStyle name="Normal 3 2 2 2" xfId="29500" xr:uid="{00000000-0005-0000-0000-00003C730000}"/>
    <cellStyle name="Normal 3 2 2 2 2" xfId="29501" xr:uid="{00000000-0005-0000-0000-00003D730000}"/>
    <cellStyle name="Normal 3 2 20" xfId="29502" xr:uid="{00000000-0005-0000-0000-00003E730000}"/>
    <cellStyle name="Normal 3 2 20 2" xfId="29503" xr:uid="{00000000-0005-0000-0000-00003F730000}"/>
    <cellStyle name="Normal 3 2 21" xfId="29504" xr:uid="{00000000-0005-0000-0000-000040730000}"/>
    <cellStyle name="Normal 3 2 21 2" xfId="29505" xr:uid="{00000000-0005-0000-0000-000041730000}"/>
    <cellStyle name="Normal 3 2 22" xfId="29506" xr:uid="{00000000-0005-0000-0000-000042730000}"/>
    <cellStyle name="Normal 3 2 22 2" xfId="29507" xr:uid="{00000000-0005-0000-0000-000043730000}"/>
    <cellStyle name="Normal 3 2 23" xfId="29508" xr:uid="{00000000-0005-0000-0000-000044730000}"/>
    <cellStyle name="Normal 3 2 23 2" xfId="29509" xr:uid="{00000000-0005-0000-0000-000045730000}"/>
    <cellStyle name="Normal 3 2 24" xfId="29510" xr:uid="{00000000-0005-0000-0000-000046730000}"/>
    <cellStyle name="Normal 3 2 24 2" xfId="29511" xr:uid="{00000000-0005-0000-0000-000047730000}"/>
    <cellStyle name="Normal 3 2 25" xfId="29512" xr:uid="{00000000-0005-0000-0000-000048730000}"/>
    <cellStyle name="Normal 3 2 25 2" xfId="29513" xr:uid="{00000000-0005-0000-0000-000049730000}"/>
    <cellStyle name="Normal 3 2 26" xfId="29514" xr:uid="{00000000-0005-0000-0000-00004A730000}"/>
    <cellStyle name="Normal 3 2 27" xfId="29515" xr:uid="{00000000-0005-0000-0000-00004B730000}"/>
    <cellStyle name="Normal 3 2 28" xfId="29516" xr:uid="{00000000-0005-0000-0000-00004C730000}"/>
    <cellStyle name="Normal 3 2 29" xfId="29517" xr:uid="{00000000-0005-0000-0000-00004D730000}"/>
    <cellStyle name="Normal 3 2 3" xfId="29518" xr:uid="{00000000-0005-0000-0000-00004E730000}"/>
    <cellStyle name="Normal 3 2 3 2" xfId="29519" xr:uid="{00000000-0005-0000-0000-00004F730000}"/>
    <cellStyle name="Normal 3 2 3 3" xfId="29520" xr:uid="{00000000-0005-0000-0000-000050730000}"/>
    <cellStyle name="Normal 3 2 30" xfId="29521" xr:uid="{00000000-0005-0000-0000-000051730000}"/>
    <cellStyle name="Normal 3 2 31" xfId="29522" xr:uid="{00000000-0005-0000-0000-000052730000}"/>
    <cellStyle name="Normal 3 2 32" xfId="29523" xr:uid="{00000000-0005-0000-0000-000053730000}"/>
    <cellStyle name="Normal 3 2 33" xfId="29524" xr:uid="{00000000-0005-0000-0000-000054730000}"/>
    <cellStyle name="Normal 3 2 34" xfId="29525" xr:uid="{00000000-0005-0000-0000-000055730000}"/>
    <cellStyle name="Normal 3 2 35" xfId="29526" xr:uid="{00000000-0005-0000-0000-000056730000}"/>
    <cellStyle name="Normal 3 2 36" xfId="29527" xr:uid="{00000000-0005-0000-0000-000057730000}"/>
    <cellStyle name="Normal 3 2 37" xfId="29528" xr:uid="{00000000-0005-0000-0000-000058730000}"/>
    <cellStyle name="Normal 3 2 38" xfId="29529" xr:uid="{00000000-0005-0000-0000-000059730000}"/>
    <cellStyle name="Normal 3 2 39" xfId="29530" xr:uid="{00000000-0005-0000-0000-00005A730000}"/>
    <cellStyle name="Normal 3 2 4" xfId="29531" xr:uid="{00000000-0005-0000-0000-00005B730000}"/>
    <cellStyle name="Normal 3 2 4 2" xfId="29532" xr:uid="{00000000-0005-0000-0000-00005C730000}"/>
    <cellStyle name="Normal 3 2 4 3" xfId="29533" xr:uid="{00000000-0005-0000-0000-00005D730000}"/>
    <cellStyle name="Normal 3 2 40" xfId="29534" xr:uid="{00000000-0005-0000-0000-00005E730000}"/>
    <cellStyle name="Normal 3 2 41" xfId="29535" xr:uid="{00000000-0005-0000-0000-00005F730000}"/>
    <cellStyle name="Normal 3 2 42" xfId="29536" xr:uid="{00000000-0005-0000-0000-000060730000}"/>
    <cellStyle name="Normal 3 2 43" xfId="29537" xr:uid="{00000000-0005-0000-0000-000061730000}"/>
    <cellStyle name="Normal 3 2 44" xfId="29538" xr:uid="{00000000-0005-0000-0000-000062730000}"/>
    <cellStyle name="Normal 3 2 45" xfId="29539" xr:uid="{00000000-0005-0000-0000-000063730000}"/>
    <cellStyle name="Normal 3 2 46" xfId="29540" xr:uid="{00000000-0005-0000-0000-000064730000}"/>
    <cellStyle name="Normal 3 2 47" xfId="29541" xr:uid="{00000000-0005-0000-0000-000065730000}"/>
    <cellStyle name="Normal 3 2 48" xfId="29542" xr:uid="{00000000-0005-0000-0000-000066730000}"/>
    <cellStyle name="Normal 3 2 49" xfId="29543" xr:uid="{00000000-0005-0000-0000-000067730000}"/>
    <cellStyle name="Normal 3 2 5" xfId="29544" xr:uid="{00000000-0005-0000-0000-000068730000}"/>
    <cellStyle name="Normal 3 2 5 2" xfId="29545" xr:uid="{00000000-0005-0000-0000-000069730000}"/>
    <cellStyle name="Normal 3 2 5 3" xfId="29546" xr:uid="{00000000-0005-0000-0000-00006A730000}"/>
    <cellStyle name="Normal 3 2 50" xfId="29547" xr:uid="{00000000-0005-0000-0000-00006B730000}"/>
    <cellStyle name="Normal 3 2 51" xfId="29548" xr:uid="{00000000-0005-0000-0000-00006C730000}"/>
    <cellStyle name="Normal 3 2 52" xfId="29549" xr:uid="{00000000-0005-0000-0000-00006D730000}"/>
    <cellStyle name="Normal 3 2 53" xfId="29550" xr:uid="{00000000-0005-0000-0000-00006E730000}"/>
    <cellStyle name="Normal 3 2 54" xfId="29551" xr:uid="{00000000-0005-0000-0000-00006F730000}"/>
    <cellStyle name="Normal 3 2 55" xfId="29552" xr:uid="{00000000-0005-0000-0000-000070730000}"/>
    <cellStyle name="Normal 3 2 56" xfId="29553" xr:uid="{00000000-0005-0000-0000-000071730000}"/>
    <cellStyle name="Normal 3 2 57" xfId="29554" xr:uid="{00000000-0005-0000-0000-000072730000}"/>
    <cellStyle name="Normal 3 2 58" xfId="29555" xr:uid="{00000000-0005-0000-0000-000073730000}"/>
    <cellStyle name="Normal 3 2 59" xfId="29556" xr:uid="{00000000-0005-0000-0000-000074730000}"/>
    <cellStyle name="Normal 3 2 6" xfId="29557" xr:uid="{00000000-0005-0000-0000-000075730000}"/>
    <cellStyle name="Normal 3 2 6 2" xfId="29558" xr:uid="{00000000-0005-0000-0000-000076730000}"/>
    <cellStyle name="Normal 3 2 6 3" xfId="29559" xr:uid="{00000000-0005-0000-0000-000077730000}"/>
    <cellStyle name="Normal 3 2 60" xfId="29560" xr:uid="{00000000-0005-0000-0000-000078730000}"/>
    <cellStyle name="Normal 3 2 61" xfId="29561" xr:uid="{00000000-0005-0000-0000-000079730000}"/>
    <cellStyle name="Normal 3 2 62" xfId="29562" xr:uid="{00000000-0005-0000-0000-00007A730000}"/>
    <cellStyle name="Normal 3 2 63" xfId="29563" xr:uid="{00000000-0005-0000-0000-00007B730000}"/>
    <cellStyle name="Normal 3 2 64" xfId="29564" xr:uid="{00000000-0005-0000-0000-00007C730000}"/>
    <cellStyle name="Normal 3 2 65" xfId="29565" xr:uid="{00000000-0005-0000-0000-00007D730000}"/>
    <cellStyle name="Normal 3 2 66" xfId="29566" xr:uid="{00000000-0005-0000-0000-00007E730000}"/>
    <cellStyle name="Normal 3 2 67" xfId="29567" xr:uid="{00000000-0005-0000-0000-00007F730000}"/>
    <cellStyle name="Normal 3 2 68" xfId="29568" xr:uid="{00000000-0005-0000-0000-000080730000}"/>
    <cellStyle name="Normal 3 2 69" xfId="29569" xr:uid="{00000000-0005-0000-0000-000081730000}"/>
    <cellStyle name="Normal 3 2 7" xfId="29570" xr:uid="{00000000-0005-0000-0000-000082730000}"/>
    <cellStyle name="Normal 3 2 7 2" xfId="29571" xr:uid="{00000000-0005-0000-0000-000083730000}"/>
    <cellStyle name="Normal 3 2 7 3" xfId="29572" xr:uid="{00000000-0005-0000-0000-000084730000}"/>
    <cellStyle name="Normal 3 2 70" xfId="29573" xr:uid="{00000000-0005-0000-0000-000085730000}"/>
    <cellStyle name="Normal 3 2 71" xfId="29574" xr:uid="{00000000-0005-0000-0000-000086730000}"/>
    <cellStyle name="Normal 3 2 72" xfId="29575" xr:uid="{00000000-0005-0000-0000-000087730000}"/>
    <cellStyle name="Normal 3 2 73" xfId="29576" xr:uid="{00000000-0005-0000-0000-000088730000}"/>
    <cellStyle name="Normal 3 2 74" xfId="29577" xr:uid="{00000000-0005-0000-0000-000089730000}"/>
    <cellStyle name="Normal 3 2 75" xfId="29578" xr:uid="{00000000-0005-0000-0000-00008A730000}"/>
    <cellStyle name="Normal 3 2 76" xfId="29579" xr:uid="{00000000-0005-0000-0000-00008B730000}"/>
    <cellStyle name="Normal 3 2 77" xfId="29580" xr:uid="{00000000-0005-0000-0000-00008C730000}"/>
    <cellStyle name="Normal 3 2 78" xfId="29581" xr:uid="{00000000-0005-0000-0000-00008D730000}"/>
    <cellStyle name="Normal 3 2 79" xfId="29582" xr:uid="{00000000-0005-0000-0000-00008E730000}"/>
    <cellStyle name="Normal 3 2 8" xfId="29583" xr:uid="{00000000-0005-0000-0000-00008F730000}"/>
    <cellStyle name="Normal 3 2 8 2" xfId="29584" xr:uid="{00000000-0005-0000-0000-000090730000}"/>
    <cellStyle name="Normal 3 2 8 3" xfId="29585" xr:uid="{00000000-0005-0000-0000-000091730000}"/>
    <cellStyle name="Normal 3 2 80" xfId="29586" xr:uid="{00000000-0005-0000-0000-000092730000}"/>
    <cellStyle name="Normal 3 2 81" xfId="29587" xr:uid="{00000000-0005-0000-0000-000093730000}"/>
    <cellStyle name="Normal 3 2 82" xfId="29588" xr:uid="{00000000-0005-0000-0000-000094730000}"/>
    <cellStyle name="Normal 3 2 83" xfId="29589" xr:uid="{00000000-0005-0000-0000-000095730000}"/>
    <cellStyle name="Normal 3 2 84" xfId="29590" xr:uid="{00000000-0005-0000-0000-000096730000}"/>
    <cellStyle name="Normal 3 2 85" xfId="29591" xr:uid="{00000000-0005-0000-0000-000097730000}"/>
    <cellStyle name="Normal 3 2 86" xfId="29592" xr:uid="{00000000-0005-0000-0000-000098730000}"/>
    <cellStyle name="Normal 3 2 87" xfId="29593" xr:uid="{00000000-0005-0000-0000-000099730000}"/>
    <cellStyle name="Normal 3 2 88" xfId="29594" xr:uid="{00000000-0005-0000-0000-00009A730000}"/>
    <cellStyle name="Normal 3 2 89" xfId="29595" xr:uid="{00000000-0005-0000-0000-00009B730000}"/>
    <cellStyle name="Normal 3 2 9" xfId="29596" xr:uid="{00000000-0005-0000-0000-00009C730000}"/>
    <cellStyle name="Normal 3 2 9 2" xfId="29597" xr:uid="{00000000-0005-0000-0000-00009D730000}"/>
    <cellStyle name="Normal 3 2 9 3" xfId="29598" xr:uid="{00000000-0005-0000-0000-00009E730000}"/>
    <cellStyle name="Normal 3 2 90" xfId="29599" xr:uid="{00000000-0005-0000-0000-00009F730000}"/>
    <cellStyle name="Normal 3 2 91" xfId="29600" xr:uid="{00000000-0005-0000-0000-0000A0730000}"/>
    <cellStyle name="Normal 3 2 92" xfId="29601" xr:uid="{00000000-0005-0000-0000-0000A1730000}"/>
    <cellStyle name="Normal 3 2 93" xfId="29602" xr:uid="{00000000-0005-0000-0000-0000A2730000}"/>
    <cellStyle name="Normal 3 2 94" xfId="29603" xr:uid="{00000000-0005-0000-0000-0000A3730000}"/>
    <cellStyle name="Normal 3 2_Xa Parametrización de Usuarios" xfId="29604" xr:uid="{00000000-0005-0000-0000-0000A4730000}"/>
    <cellStyle name="Normal 3 20" xfId="29605" xr:uid="{00000000-0005-0000-0000-0000A5730000}"/>
    <cellStyle name="Normal 3 20 2" xfId="29606" xr:uid="{00000000-0005-0000-0000-0000A6730000}"/>
    <cellStyle name="Normal 3 20 3" xfId="29607" xr:uid="{00000000-0005-0000-0000-0000A7730000}"/>
    <cellStyle name="Normal 3 20_Enlaces" xfId="29608" xr:uid="{00000000-0005-0000-0000-0000A8730000}"/>
    <cellStyle name="Normal 3 21" xfId="29609" xr:uid="{00000000-0005-0000-0000-0000A9730000}"/>
    <cellStyle name="Normal 3 21 2" xfId="29610" xr:uid="{00000000-0005-0000-0000-0000AA730000}"/>
    <cellStyle name="Normal 3 21_Enlaces" xfId="29611" xr:uid="{00000000-0005-0000-0000-0000AB730000}"/>
    <cellStyle name="Normal 3 22" xfId="29612" xr:uid="{00000000-0005-0000-0000-0000AC730000}"/>
    <cellStyle name="Normal 3 22 2" xfId="29613" xr:uid="{00000000-0005-0000-0000-0000AD730000}"/>
    <cellStyle name="Normal 3 22_Enlaces" xfId="29614" xr:uid="{00000000-0005-0000-0000-0000AE730000}"/>
    <cellStyle name="Normal 3 23" xfId="29615" xr:uid="{00000000-0005-0000-0000-0000AF730000}"/>
    <cellStyle name="Normal 3 23 2" xfId="29616" xr:uid="{00000000-0005-0000-0000-0000B0730000}"/>
    <cellStyle name="Normal 3 23_Enlaces" xfId="29617" xr:uid="{00000000-0005-0000-0000-0000B1730000}"/>
    <cellStyle name="Normal 3 24" xfId="29618" xr:uid="{00000000-0005-0000-0000-0000B2730000}"/>
    <cellStyle name="Normal 3 24 2" xfId="29619" xr:uid="{00000000-0005-0000-0000-0000B3730000}"/>
    <cellStyle name="Normal 3 24_Enlaces" xfId="29620" xr:uid="{00000000-0005-0000-0000-0000B4730000}"/>
    <cellStyle name="Normal 3 25" xfId="29621" xr:uid="{00000000-0005-0000-0000-0000B5730000}"/>
    <cellStyle name="Normal 3 25 2" xfId="29622" xr:uid="{00000000-0005-0000-0000-0000B6730000}"/>
    <cellStyle name="Normal 3 25_Enlaces" xfId="29623" xr:uid="{00000000-0005-0000-0000-0000B7730000}"/>
    <cellStyle name="Normal 3 26" xfId="29624" xr:uid="{00000000-0005-0000-0000-0000B8730000}"/>
    <cellStyle name="Normal 3 26 2" xfId="29625" xr:uid="{00000000-0005-0000-0000-0000B9730000}"/>
    <cellStyle name="Normal 3 26_Enlaces" xfId="29626" xr:uid="{00000000-0005-0000-0000-0000BA730000}"/>
    <cellStyle name="Normal 3 27" xfId="29627" xr:uid="{00000000-0005-0000-0000-0000BB730000}"/>
    <cellStyle name="Normal 3 27 2" xfId="29628" xr:uid="{00000000-0005-0000-0000-0000BC730000}"/>
    <cellStyle name="Normal 3 27_Enlaces" xfId="29629" xr:uid="{00000000-0005-0000-0000-0000BD730000}"/>
    <cellStyle name="Normal 3 28" xfId="29630" xr:uid="{00000000-0005-0000-0000-0000BE730000}"/>
    <cellStyle name="Normal 3 29" xfId="29631" xr:uid="{00000000-0005-0000-0000-0000BF730000}"/>
    <cellStyle name="Normal 3 3" xfId="29632" xr:uid="{00000000-0005-0000-0000-0000C0730000}"/>
    <cellStyle name="Normal 3 3 10" xfId="29633" xr:uid="{00000000-0005-0000-0000-0000C1730000}"/>
    <cellStyle name="Normal 3 3 11" xfId="29634" xr:uid="{00000000-0005-0000-0000-0000C2730000}"/>
    <cellStyle name="Normal 3 3 12" xfId="29635" xr:uid="{00000000-0005-0000-0000-0000C3730000}"/>
    <cellStyle name="Normal 3 3 13" xfId="29636" xr:uid="{00000000-0005-0000-0000-0000C4730000}"/>
    <cellStyle name="Normal 3 3 14" xfId="29637" xr:uid="{00000000-0005-0000-0000-0000C5730000}"/>
    <cellStyle name="Normal 3 3 15" xfId="29638" xr:uid="{00000000-0005-0000-0000-0000C6730000}"/>
    <cellStyle name="Normal 3 3 16" xfId="29639" xr:uid="{00000000-0005-0000-0000-0000C7730000}"/>
    <cellStyle name="Normal 3 3 17" xfId="29640" xr:uid="{00000000-0005-0000-0000-0000C8730000}"/>
    <cellStyle name="Normal 3 3 18" xfId="29641" xr:uid="{00000000-0005-0000-0000-0000C9730000}"/>
    <cellStyle name="Normal 3 3 19" xfId="29642" xr:uid="{00000000-0005-0000-0000-0000CA730000}"/>
    <cellStyle name="Normal 3 3 2" xfId="29643" xr:uid="{00000000-0005-0000-0000-0000CB730000}"/>
    <cellStyle name="Normal 3 3 2 2" xfId="29644" xr:uid="{00000000-0005-0000-0000-0000CC730000}"/>
    <cellStyle name="Normal 3 3 2 3" xfId="29645" xr:uid="{00000000-0005-0000-0000-0000CD730000}"/>
    <cellStyle name="Normal 3 3 20" xfId="29646" xr:uid="{00000000-0005-0000-0000-0000CE730000}"/>
    <cellStyle name="Normal 3 3 21" xfId="29647" xr:uid="{00000000-0005-0000-0000-0000CF730000}"/>
    <cellStyle name="Normal 3 3 22" xfId="29648" xr:uid="{00000000-0005-0000-0000-0000D0730000}"/>
    <cellStyle name="Normal 3 3 23" xfId="29649" xr:uid="{00000000-0005-0000-0000-0000D1730000}"/>
    <cellStyle name="Normal 3 3 24" xfId="29650" xr:uid="{00000000-0005-0000-0000-0000D2730000}"/>
    <cellStyle name="Normal 3 3 25" xfId="29651" xr:uid="{00000000-0005-0000-0000-0000D3730000}"/>
    <cellStyle name="Normal 3 3 26" xfId="29652" xr:uid="{00000000-0005-0000-0000-0000D4730000}"/>
    <cellStyle name="Normal 3 3 27" xfId="29653" xr:uid="{00000000-0005-0000-0000-0000D5730000}"/>
    <cellStyle name="Normal 3 3 28" xfId="29654" xr:uid="{00000000-0005-0000-0000-0000D6730000}"/>
    <cellStyle name="Normal 3 3 29" xfId="29655" xr:uid="{00000000-0005-0000-0000-0000D7730000}"/>
    <cellStyle name="Normal 3 3 3" xfId="29656" xr:uid="{00000000-0005-0000-0000-0000D8730000}"/>
    <cellStyle name="Normal 3 3 30" xfId="29657" xr:uid="{00000000-0005-0000-0000-0000D9730000}"/>
    <cellStyle name="Normal 3 3 4" xfId="29658" xr:uid="{00000000-0005-0000-0000-0000DA730000}"/>
    <cellStyle name="Normal 3 3 5" xfId="29659" xr:uid="{00000000-0005-0000-0000-0000DB730000}"/>
    <cellStyle name="Normal 3 3 6" xfId="29660" xr:uid="{00000000-0005-0000-0000-0000DC730000}"/>
    <cellStyle name="Normal 3 3 7" xfId="29661" xr:uid="{00000000-0005-0000-0000-0000DD730000}"/>
    <cellStyle name="Normal 3 3 8" xfId="29662" xr:uid="{00000000-0005-0000-0000-0000DE730000}"/>
    <cellStyle name="Normal 3 3 9" xfId="29663" xr:uid="{00000000-0005-0000-0000-0000DF730000}"/>
    <cellStyle name="Normal 3 3_Enlaces" xfId="29664" xr:uid="{00000000-0005-0000-0000-0000E0730000}"/>
    <cellStyle name="Normal 3 30" xfId="29665" xr:uid="{00000000-0005-0000-0000-0000E1730000}"/>
    <cellStyle name="Normal 3 31" xfId="29666" xr:uid="{00000000-0005-0000-0000-0000E2730000}"/>
    <cellStyle name="Normal 3 32" xfId="29667" xr:uid="{00000000-0005-0000-0000-0000E3730000}"/>
    <cellStyle name="Normal 3 33" xfId="29668" xr:uid="{00000000-0005-0000-0000-0000E4730000}"/>
    <cellStyle name="Normal 3 34" xfId="29669" xr:uid="{00000000-0005-0000-0000-0000E5730000}"/>
    <cellStyle name="Normal 3 35" xfId="29670" xr:uid="{00000000-0005-0000-0000-0000E6730000}"/>
    <cellStyle name="Normal 3 36" xfId="29671" xr:uid="{00000000-0005-0000-0000-0000E7730000}"/>
    <cellStyle name="Normal 3 37" xfId="29672" xr:uid="{00000000-0005-0000-0000-0000E8730000}"/>
    <cellStyle name="Normal 3 38" xfId="29673" xr:uid="{00000000-0005-0000-0000-0000E9730000}"/>
    <cellStyle name="Normal 3 39" xfId="29674" xr:uid="{00000000-0005-0000-0000-0000EA730000}"/>
    <cellStyle name="Normal 3 4" xfId="29675" xr:uid="{00000000-0005-0000-0000-0000EB730000}"/>
    <cellStyle name="Normal 3 4 10" xfId="29676" xr:uid="{00000000-0005-0000-0000-0000EC730000}"/>
    <cellStyle name="Normal 3 4 11" xfId="29677" xr:uid="{00000000-0005-0000-0000-0000ED730000}"/>
    <cellStyle name="Normal 3 4 12" xfId="29678" xr:uid="{00000000-0005-0000-0000-0000EE730000}"/>
    <cellStyle name="Normal 3 4 13" xfId="29679" xr:uid="{00000000-0005-0000-0000-0000EF730000}"/>
    <cellStyle name="Normal 3 4 14" xfId="29680" xr:uid="{00000000-0005-0000-0000-0000F0730000}"/>
    <cellStyle name="Normal 3 4 15" xfId="29681" xr:uid="{00000000-0005-0000-0000-0000F1730000}"/>
    <cellStyle name="Normal 3 4 16" xfId="29682" xr:uid="{00000000-0005-0000-0000-0000F2730000}"/>
    <cellStyle name="Normal 3 4 17" xfId="29683" xr:uid="{00000000-0005-0000-0000-0000F3730000}"/>
    <cellStyle name="Normal 3 4 18" xfId="29684" xr:uid="{00000000-0005-0000-0000-0000F4730000}"/>
    <cellStyle name="Normal 3 4 19" xfId="29685" xr:uid="{00000000-0005-0000-0000-0000F5730000}"/>
    <cellStyle name="Normal 3 4 2" xfId="29686" xr:uid="{00000000-0005-0000-0000-0000F6730000}"/>
    <cellStyle name="Normal 3 4 2 2" xfId="29687" xr:uid="{00000000-0005-0000-0000-0000F7730000}"/>
    <cellStyle name="Normal 3 4 20" xfId="29688" xr:uid="{00000000-0005-0000-0000-0000F8730000}"/>
    <cellStyle name="Normal 3 4 21" xfId="29689" xr:uid="{00000000-0005-0000-0000-0000F9730000}"/>
    <cellStyle name="Normal 3 4 22" xfId="29690" xr:uid="{00000000-0005-0000-0000-0000FA730000}"/>
    <cellStyle name="Normal 3 4 23" xfId="29691" xr:uid="{00000000-0005-0000-0000-0000FB730000}"/>
    <cellStyle name="Normal 3 4 24" xfId="29692" xr:uid="{00000000-0005-0000-0000-0000FC730000}"/>
    <cellStyle name="Normal 3 4 24 2" xfId="29693" xr:uid="{00000000-0005-0000-0000-0000FD730000}"/>
    <cellStyle name="Normal 3 4 3" xfId="29694" xr:uid="{00000000-0005-0000-0000-0000FE730000}"/>
    <cellStyle name="Normal 3 4 4" xfId="29695" xr:uid="{00000000-0005-0000-0000-0000FF730000}"/>
    <cellStyle name="Normal 3 4 5" xfId="29696" xr:uid="{00000000-0005-0000-0000-000000740000}"/>
    <cellStyle name="Normal 3 4 6" xfId="29697" xr:uid="{00000000-0005-0000-0000-000001740000}"/>
    <cellStyle name="Normal 3 4 7" xfId="29698" xr:uid="{00000000-0005-0000-0000-000002740000}"/>
    <cellStyle name="Normal 3 4 8" xfId="29699" xr:uid="{00000000-0005-0000-0000-000003740000}"/>
    <cellStyle name="Normal 3 4 9" xfId="29700" xr:uid="{00000000-0005-0000-0000-000004740000}"/>
    <cellStyle name="Normal 3 4_Enlaces" xfId="29701" xr:uid="{00000000-0005-0000-0000-000005740000}"/>
    <cellStyle name="Normal 3 40" xfId="29702" xr:uid="{00000000-0005-0000-0000-000006740000}"/>
    <cellStyle name="Normal 3 41" xfId="29703" xr:uid="{00000000-0005-0000-0000-000007740000}"/>
    <cellStyle name="Normal 3 42" xfId="29704" xr:uid="{00000000-0005-0000-0000-000008740000}"/>
    <cellStyle name="Normal 3 43" xfId="29705" xr:uid="{00000000-0005-0000-0000-000009740000}"/>
    <cellStyle name="Normal 3 44" xfId="29706" xr:uid="{00000000-0005-0000-0000-00000A740000}"/>
    <cellStyle name="Normal 3 45" xfId="29707" xr:uid="{00000000-0005-0000-0000-00000B740000}"/>
    <cellStyle name="Normal 3 46" xfId="29708" xr:uid="{00000000-0005-0000-0000-00000C740000}"/>
    <cellStyle name="Normal 3 47" xfId="29709" xr:uid="{00000000-0005-0000-0000-00000D740000}"/>
    <cellStyle name="Normal 3 48" xfId="29710" xr:uid="{00000000-0005-0000-0000-00000E740000}"/>
    <cellStyle name="Normal 3 49" xfId="29711" xr:uid="{00000000-0005-0000-0000-00000F740000}"/>
    <cellStyle name="Normal 3 5" xfId="29712" xr:uid="{00000000-0005-0000-0000-000010740000}"/>
    <cellStyle name="Normal 3 5 2" xfId="29713" xr:uid="{00000000-0005-0000-0000-000011740000}"/>
    <cellStyle name="Normal 3 5 3" xfId="29714" xr:uid="{00000000-0005-0000-0000-000012740000}"/>
    <cellStyle name="Normal 3 5 4" xfId="29715" xr:uid="{00000000-0005-0000-0000-000013740000}"/>
    <cellStyle name="Normal 3 5_Enlaces" xfId="29716" xr:uid="{00000000-0005-0000-0000-000014740000}"/>
    <cellStyle name="Normal 3 50" xfId="29717" xr:uid="{00000000-0005-0000-0000-000015740000}"/>
    <cellStyle name="Normal 3 51" xfId="29718" xr:uid="{00000000-0005-0000-0000-000016740000}"/>
    <cellStyle name="Normal 3 52" xfId="29719" xr:uid="{00000000-0005-0000-0000-000017740000}"/>
    <cellStyle name="Normal 3 53" xfId="29720" xr:uid="{00000000-0005-0000-0000-000018740000}"/>
    <cellStyle name="Normal 3 54" xfId="29721" xr:uid="{00000000-0005-0000-0000-000019740000}"/>
    <cellStyle name="Normal 3 55" xfId="29722" xr:uid="{00000000-0005-0000-0000-00001A740000}"/>
    <cellStyle name="Normal 3 56" xfId="29723" xr:uid="{00000000-0005-0000-0000-00001B740000}"/>
    <cellStyle name="Normal 3 57" xfId="29724" xr:uid="{00000000-0005-0000-0000-00001C740000}"/>
    <cellStyle name="Normal 3 58" xfId="29725" xr:uid="{00000000-0005-0000-0000-00001D740000}"/>
    <cellStyle name="Normal 3 59" xfId="29726" xr:uid="{00000000-0005-0000-0000-00001E740000}"/>
    <cellStyle name="Normal 3 6" xfId="29727" xr:uid="{00000000-0005-0000-0000-00001F740000}"/>
    <cellStyle name="Normal 3 6 2" xfId="29728" xr:uid="{00000000-0005-0000-0000-000020740000}"/>
    <cellStyle name="Normal 3 6 3" xfId="29729" xr:uid="{00000000-0005-0000-0000-000021740000}"/>
    <cellStyle name="Normal 3 6 4" xfId="29730" xr:uid="{00000000-0005-0000-0000-000022740000}"/>
    <cellStyle name="Normal 3 6_Enlaces" xfId="29731" xr:uid="{00000000-0005-0000-0000-000023740000}"/>
    <cellStyle name="Normal 3 60" xfId="29732" xr:uid="{00000000-0005-0000-0000-000024740000}"/>
    <cellStyle name="Normal 3 61" xfId="29733" xr:uid="{00000000-0005-0000-0000-000025740000}"/>
    <cellStyle name="Normal 3 62" xfId="29734" xr:uid="{00000000-0005-0000-0000-000026740000}"/>
    <cellStyle name="Normal 3 63" xfId="29735" xr:uid="{00000000-0005-0000-0000-000027740000}"/>
    <cellStyle name="Normal 3 64" xfId="29736" xr:uid="{00000000-0005-0000-0000-000028740000}"/>
    <cellStyle name="Normal 3 65" xfId="29737" xr:uid="{00000000-0005-0000-0000-000029740000}"/>
    <cellStyle name="Normal 3 66" xfId="29738" xr:uid="{00000000-0005-0000-0000-00002A740000}"/>
    <cellStyle name="Normal 3 67" xfId="29739" xr:uid="{00000000-0005-0000-0000-00002B740000}"/>
    <cellStyle name="Normal 3 68" xfId="29740" xr:uid="{00000000-0005-0000-0000-00002C740000}"/>
    <cellStyle name="Normal 3 69" xfId="29741" xr:uid="{00000000-0005-0000-0000-00002D740000}"/>
    <cellStyle name="Normal 3 7" xfId="29742" xr:uid="{00000000-0005-0000-0000-00002E740000}"/>
    <cellStyle name="Normal 3 7 2" xfId="29743" xr:uid="{00000000-0005-0000-0000-00002F740000}"/>
    <cellStyle name="Normal 3 7 3" xfId="29744" xr:uid="{00000000-0005-0000-0000-000030740000}"/>
    <cellStyle name="Normal 3 7 4" xfId="29745" xr:uid="{00000000-0005-0000-0000-000031740000}"/>
    <cellStyle name="Normal 3 7_Enlaces" xfId="29746" xr:uid="{00000000-0005-0000-0000-000032740000}"/>
    <cellStyle name="Normal 3 70" xfId="29747" xr:uid="{00000000-0005-0000-0000-000033740000}"/>
    <cellStyle name="Normal 3 71" xfId="29748" xr:uid="{00000000-0005-0000-0000-000034740000}"/>
    <cellStyle name="Normal 3 72" xfId="29749" xr:uid="{00000000-0005-0000-0000-000035740000}"/>
    <cellStyle name="Normal 3 73" xfId="29750" xr:uid="{00000000-0005-0000-0000-000036740000}"/>
    <cellStyle name="Normal 3 74" xfId="29751" xr:uid="{00000000-0005-0000-0000-000037740000}"/>
    <cellStyle name="Normal 3 75" xfId="29752" xr:uid="{00000000-0005-0000-0000-000038740000}"/>
    <cellStyle name="Normal 3 76" xfId="29753" xr:uid="{00000000-0005-0000-0000-000039740000}"/>
    <cellStyle name="Normal 3 77" xfId="29754" xr:uid="{00000000-0005-0000-0000-00003A740000}"/>
    <cellStyle name="Normal 3 78" xfId="29755" xr:uid="{00000000-0005-0000-0000-00003B740000}"/>
    <cellStyle name="Normal 3 79" xfId="29756" xr:uid="{00000000-0005-0000-0000-00003C740000}"/>
    <cellStyle name="Normal 3 8" xfId="29757" xr:uid="{00000000-0005-0000-0000-00003D740000}"/>
    <cellStyle name="Normal 3 8 2" xfId="29758" xr:uid="{00000000-0005-0000-0000-00003E740000}"/>
    <cellStyle name="Normal 3 8 3" xfId="29759" xr:uid="{00000000-0005-0000-0000-00003F740000}"/>
    <cellStyle name="Normal 3 8 4" xfId="29760" xr:uid="{00000000-0005-0000-0000-000040740000}"/>
    <cellStyle name="Normal 3 8_Enlaces" xfId="29761" xr:uid="{00000000-0005-0000-0000-000041740000}"/>
    <cellStyle name="Normal 3 80" xfId="29762" xr:uid="{00000000-0005-0000-0000-000042740000}"/>
    <cellStyle name="Normal 3 81" xfId="29763" xr:uid="{00000000-0005-0000-0000-000043740000}"/>
    <cellStyle name="Normal 3 82" xfId="29764" xr:uid="{00000000-0005-0000-0000-000044740000}"/>
    <cellStyle name="Normal 3 83" xfId="29765" xr:uid="{00000000-0005-0000-0000-000045740000}"/>
    <cellStyle name="Normal 3 84" xfId="29766" xr:uid="{00000000-0005-0000-0000-000046740000}"/>
    <cellStyle name="Normal 3 85" xfId="29767" xr:uid="{00000000-0005-0000-0000-000047740000}"/>
    <cellStyle name="Normal 3 86" xfId="29768" xr:uid="{00000000-0005-0000-0000-000048740000}"/>
    <cellStyle name="Normal 3 87" xfId="29769" xr:uid="{00000000-0005-0000-0000-000049740000}"/>
    <cellStyle name="Normal 3 88" xfId="29770" xr:uid="{00000000-0005-0000-0000-00004A740000}"/>
    <cellStyle name="Normal 3 89" xfId="29771" xr:uid="{00000000-0005-0000-0000-00004B740000}"/>
    <cellStyle name="Normal 3 9" xfId="29772" xr:uid="{00000000-0005-0000-0000-00004C740000}"/>
    <cellStyle name="Normal 3 9 2" xfId="29773" xr:uid="{00000000-0005-0000-0000-00004D740000}"/>
    <cellStyle name="Normal 3 9 3" xfId="29774" xr:uid="{00000000-0005-0000-0000-00004E740000}"/>
    <cellStyle name="Normal 3 9 4" xfId="29775" xr:uid="{00000000-0005-0000-0000-00004F740000}"/>
    <cellStyle name="Normal 3 9_Enlaces" xfId="29776" xr:uid="{00000000-0005-0000-0000-000050740000}"/>
    <cellStyle name="Normal 3 90" xfId="29777" xr:uid="{00000000-0005-0000-0000-000051740000}"/>
    <cellStyle name="Normal 3 91" xfId="29778" xr:uid="{00000000-0005-0000-0000-000052740000}"/>
    <cellStyle name="Normal 3 92" xfId="29779" xr:uid="{00000000-0005-0000-0000-000053740000}"/>
    <cellStyle name="Normal 3 93" xfId="29780" xr:uid="{00000000-0005-0000-0000-000054740000}"/>
    <cellStyle name="Normal 3 94" xfId="29781" xr:uid="{00000000-0005-0000-0000-000055740000}"/>
    <cellStyle name="Normal 3 95" xfId="29782" xr:uid="{00000000-0005-0000-0000-000056740000}"/>
    <cellStyle name="Normal 3 96" xfId="29783" xr:uid="{00000000-0005-0000-0000-000057740000}"/>
    <cellStyle name="Normal 3 97" xfId="29784" xr:uid="{00000000-0005-0000-0000-000058740000}"/>
    <cellStyle name="Normal 3 98" xfId="29785" xr:uid="{00000000-0005-0000-0000-000059740000}"/>
    <cellStyle name="Normal 3 98 2" xfId="29786" xr:uid="{00000000-0005-0000-0000-00005A740000}"/>
    <cellStyle name="Normal 3 98 3" xfId="29787" xr:uid="{00000000-0005-0000-0000-00005B740000}"/>
    <cellStyle name="Normal 3 98 4" xfId="29788" xr:uid="{00000000-0005-0000-0000-00005C740000}"/>
    <cellStyle name="Normal 3 98 5" xfId="29789" xr:uid="{00000000-0005-0000-0000-00005D740000}"/>
    <cellStyle name="Normal 3 98 6" xfId="29790" xr:uid="{00000000-0005-0000-0000-00005E740000}"/>
    <cellStyle name="Normal 3 99" xfId="29791" xr:uid="{00000000-0005-0000-0000-00005F740000}"/>
    <cellStyle name="Normal 3 99 2" xfId="29792" xr:uid="{00000000-0005-0000-0000-000060740000}"/>
    <cellStyle name="Normal 3 99 3" xfId="29793" xr:uid="{00000000-0005-0000-0000-000061740000}"/>
    <cellStyle name="Normal 3 99 4" xfId="29794" xr:uid="{00000000-0005-0000-0000-000062740000}"/>
    <cellStyle name="Normal 3 99 5" xfId="29795" xr:uid="{00000000-0005-0000-0000-000063740000}"/>
    <cellStyle name="Normal 3 99 6" xfId="29796" xr:uid="{00000000-0005-0000-0000-000064740000}"/>
    <cellStyle name="Normal 3_Enlaces" xfId="29797" xr:uid="{00000000-0005-0000-0000-000065740000}"/>
    <cellStyle name="Normal 30" xfId="29798" xr:uid="{00000000-0005-0000-0000-000066740000}"/>
    <cellStyle name="Normal 30 10" xfId="29799" xr:uid="{00000000-0005-0000-0000-000067740000}"/>
    <cellStyle name="Normal 30 11" xfId="29800" xr:uid="{00000000-0005-0000-0000-000068740000}"/>
    <cellStyle name="Normal 30 12" xfId="29801" xr:uid="{00000000-0005-0000-0000-000069740000}"/>
    <cellStyle name="Normal 30 13" xfId="29802" xr:uid="{00000000-0005-0000-0000-00006A740000}"/>
    <cellStyle name="Normal 30 14" xfId="29803" xr:uid="{00000000-0005-0000-0000-00006B740000}"/>
    <cellStyle name="Normal 30 15" xfId="29804" xr:uid="{00000000-0005-0000-0000-00006C740000}"/>
    <cellStyle name="Normal 30 16" xfId="29805" xr:uid="{00000000-0005-0000-0000-00006D740000}"/>
    <cellStyle name="Normal 30 17" xfId="29806" xr:uid="{00000000-0005-0000-0000-00006E740000}"/>
    <cellStyle name="Normal 30 18" xfId="29807" xr:uid="{00000000-0005-0000-0000-00006F740000}"/>
    <cellStyle name="Normal 30 19" xfId="29808" xr:uid="{00000000-0005-0000-0000-000070740000}"/>
    <cellStyle name="Normal 30 2" xfId="29809" xr:uid="{00000000-0005-0000-0000-000071740000}"/>
    <cellStyle name="Normal 30 2 2" xfId="29810" xr:uid="{00000000-0005-0000-0000-000072740000}"/>
    <cellStyle name="Normal 30 2 3" xfId="29811" xr:uid="{00000000-0005-0000-0000-000073740000}"/>
    <cellStyle name="Normal 30 20" xfId="29812" xr:uid="{00000000-0005-0000-0000-000074740000}"/>
    <cellStyle name="Normal 30 21" xfId="29813" xr:uid="{00000000-0005-0000-0000-000075740000}"/>
    <cellStyle name="Normal 30 22" xfId="29814" xr:uid="{00000000-0005-0000-0000-000076740000}"/>
    <cellStyle name="Normal 30 23" xfId="29815" xr:uid="{00000000-0005-0000-0000-000077740000}"/>
    <cellStyle name="Normal 30 24" xfId="29816" xr:uid="{00000000-0005-0000-0000-000078740000}"/>
    <cellStyle name="Normal 30 25" xfId="29817" xr:uid="{00000000-0005-0000-0000-000079740000}"/>
    <cellStyle name="Normal 30 26" xfId="29818" xr:uid="{00000000-0005-0000-0000-00007A740000}"/>
    <cellStyle name="Normal 30 3" xfId="29819" xr:uid="{00000000-0005-0000-0000-00007B740000}"/>
    <cellStyle name="Normal 30 3 2" xfId="29820" xr:uid="{00000000-0005-0000-0000-00007C740000}"/>
    <cellStyle name="Normal 30 3 3" xfId="29821" xr:uid="{00000000-0005-0000-0000-00007D740000}"/>
    <cellStyle name="Normal 30 3 4" xfId="29822" xr:uid="{00000000-0005-0000-0000-00007E740000}"/>
    <cellStyle name="Normal 30 3 5" xfId="29823" xr:uid="{00000000-0005-0000-0000-00007F740000}"/>
    <cellStyle name="Normal 30 4" xfId="29824" xr:uid="{00000000-0005-0000-0000-000080740000}"/>
    <cellStyle name="Normal 30 5" xfId="29825" xr:uid="{00000000-0005-0000-0000-000081740000}"/>
    <cellStyle name="Normal 30 6" xfId="29826" xr:uid="{00000000-0005-0000-0000-000082740000}"/>
    <cellStyle name="Normal 30 7" xfId="29827" xr:uid="{00000000-0005-0000-0000-000083740000}"/>
    <cellStyle name="Normal 30 8" xfId="29828" xr:uid="{00000000-0005-0000-0000-000084740000}"/>
    <cellStyle name="Normal 30 9" xfId="29829" xr:uid="{00000000-0005-0000-0000-000085740000}"/>
    <cellStyle name="Normal 31" xfId="29830" xr:uid="{00000000-0005-0000-0000-000086740000}"/>
    <cellStyle name="Normal 31 10" xfId="29831" xr:uid="{00000000-0005-0000-0000-000087740000}"/>
    <cellStyle name="Normal 31 11" xfId="29832" xr:uid="{00000000-0005-0000-0000-000088740000}"/>
    <cellStyle name="Normal 31 12" xfId="29833" xr:uid="{00000000-0005-0000-0000-000089740000}"/>
    <cellStyle name="Normal 31 13" xfId="29834" xr:uid="{00000000-0005-0000-0000-00008A740000}"/>
    <cellStyle name="Normal 31 14" xfId="29835" xr:uid="{00000000-0005-0000-0000-00008B740000}"/>
    <cellStyle name="Normal 31 15" xfId="29836" xr:uid="{00000000-0005-0000-0000-00008C740000}"/>
    <cellStyle name="Normal 31 16" xfId="29837" xr:uid="{00000000-0005-0000-0000-00008D740000}"/>
    <cellStyle name="Normal 31 17" xfId="29838" xr:uid="{00000000-0005-0000-0000-00008E740000}"/>
    <cellStyle name="Normal 31 18" xfId="29839" xr:uid="{00000000-0005-0000-0000-00008F740000}"/>
    <cellStyle name="Normal 31 19" xfId="29840" xr:uid="{00000000-0005-0000-0000-000090740000}"/>
    <cellStyle name="Normal 31 2" xfId="29841" xr:uid="{00000000-0005-0000-0000-000091740000}"/>
    <cellStyle name="Normal 31 2 2" xfId="29842" xr:uid="{00000000-0005-0000-0000-000092740000}"/>
    <cellStyle name="Normal 31 2 3" xfId="29843" xr:uid="{00000000-0005-0000-0000-000093740000}"/>
    <cellStyle name="Normal 31 20" xfId="29844" xr:uid="{00000000-0005-0000-0000-000094740000}"/>
    <cellStyle name="Normal 31 21" xfId="29845" xr:uid="{00000000-0005-0000-0000-000095740000}"/>
    <cellStyle name="Normal 31 22" xfId="29846" xr:uid="{00000000-0005-0000-0000-000096740000}"/>
    <cellStyle name="Normal 31 23" xfId="29847" xr:uid="{00000000-0005-0000-0000-000097740000}"/>
    <cellStyle name="Normal 31 24" xfId="29848" xr:uid="{00000000-0005-0000-0000-000098740000}"/>
    <cellStyle name="Normal 31 25" xfId="29849" xr:uid="{00000000-0005-0000-0000-000099740000}"/>
    <cellStyle name="Normal 31 26" xfId="29850" xr:uid="{00000000-0005-0000-0000-00009A740000}"/>
    <cellStyle name="Normal 31 3" xfId="29851" xr:uid="{00000000-0005-0000-0000-00009B740000}"/>
    <cellStyle name="Normal 31 3 2" xfId="29852" xr:uid="{00000000-0005-0000-0000-00009C740000}"/>
    <cellStyle name="Normal 31 3 3" xfId="29853" xr:uid="{00000000-0005-0000-0000-00009D740000}"/>
    <cellStyle name="Normal 31 4" xfId="29854" xr:uid="{00000000-0005-0000-0000-00009E740000}"/>
    <cellStyle name="Normal 31 5" xfId="29855" xr:uid="{00000000-0005-0000-0000-00009F740000}"/>
    <cellStyle name="Normal 31 6" xfId="29856" xr:uid="{00000000-0005-0000-0000-0000A0740000}"/>
    <cellStyle name="Normal 31 7" xfId="29857" xr:uid="{00000000-0005-0000-0000-0000A1740000}"/>
    <cellStyle name="Normal 31 8" xfId="29858" xr:uid="{00000000-0005-0000-0000-0000A2740000}"/>
    <cellStyle name="Normal 31 9" xfId="29859" xr:uid="{00000000-0005-0000-0000-0000A3740000}"/>
    <cellStyle name="Normal 32" xfId="29860" xr:uid="{00000000-0005-0000-0000-0000A4740000}"/>
    <cellStyle name="Normal 32 2" xfId="29861" xr:uid="{00000000-0005-0000-0000-0000A5740000}"/>
    <cellStyle name="Normal 32 3" xfId="29862" xr:uid="{00000000-0005-0000-0000-0000A6740000}"/>
    <cellStyle name="Normal 32 4" xfId="29863" xr:uid="{00000000-0005-0000-0000-0000A7740000}"/>
    <cellStyle name="Normal 32 5" xfId="29864" xr:uid="{00000000-0005-0000-0000-0000A8740000}"/>
    <cellStyle name="Normal 33" xfId="29865" xr:uid="{00000000-0005-0000-0000-0000A9740000}"/>
    <cellStyle name="Normal 33 2" xfId="29866" xr:uid="{00000000-0005-0000-0000-0000AA740000}"/>
    <cellStyle name="Normal 33 3" xfId="29867" xr:uid="{00000000-0005-0000-0000-0000AB740000}"/>
    <cellStyle name="Normal 33 4" xfId="29868" xr:uid="{00000000-0005-0000-0000-0000AC740000}"/>
    <cellStyle name="Normal 33 5" xfId="29869" xr:uid="{00000000-0005-0000-0000-0000AD740000}"/>
    <cellStyle name="Normal 34" xfId="29870" xr:uid="{00000000-0005-0000-0000-0000AE740000}"/>
    <cellStyle name="Normal 34 10" xfId="29871" xr:uid="{00000000-0005-0000-0000-0000AF740000}"/>
    <cellStyle name="Normal 34 11" xfId="29872" xr:uid="{00000000-0005-0000-0000-0000B0740000}"/>
    <cellStyle name="Normal 34 12" xfId="29873" xr:uid="{00000000-0005-0000-0000-0000B1740000}"/>
    <cellStyle name="Normal 34 13" xfId="29874" xr:uid="{00000000-0005-0000-0000-0000B2740000}"/>
    <cellStyle name="Normal 34 14" xfId="29875" xr:uid="{00000000-0005-0000-0000-0000B3740000}"/>
    <cellStyle name="Normal 34 15" xfId="29876" xr:uid="{00000000-0005-0000-0000-0000B4740000}"/>
    <cellStyle name="Normal 34 16" xfId="29877" xr:uid="{00000000-0005-0000-0000-0000B5740000}"/>
    <cellStyle name="Normal 34 17" xfId="29878" xr:uid="{00000000-0005-0000-0000-0000B6740000}"/>
    <cellStyle name="Normal 34 18" xfId="29879" xr:uid="{00000000-0005-0000-0000-0000B7740000}"/>
    <cellStyle name="Normal 34 19" xfId="29880" xr:uid="{00000000-0005-0000-0000-0000B8740000}"/>
    <cellStyle name="Normal 34 2" xfId="29881" xr:uid="{00000000-0005-0000-0000-0000B9740000}"/>
    <cellStyle name="Normal 34 2 2" xfId="29882" xr:uid="{00000000-0005-0000-0000-0000BA740000}"/>
    <cellStyle name="Normal 34 2 3" xfId="29883" xr:uid="{00000000-0005-0000-0000-0000BB740000}"/>
    <cellStyle name="Normal 34 20" xfId="29884" xr:uid="{00000000-0005-0000-0000-0000BC740000}"/>
    <cellStyle name="Normal 34 21" xfId="29885" xr:uid="{00000000-0005-0000-0000-0000BD740000}"/>
    <cellStyle name="Normal 34 22" xfId="29886" xr:uid="{00000000-0005-0000-0000-0000BE740000}"/>
    <cellStyle name="Normal 34 23" xfId="29887" xr:uid="{00000000-0005-0000-0000-0000BF740000}"/>
    <cellStyle name="Normal 34 24" xfId="29888" xr:uid="{00000000-0005-0000-0000-0000C0740000}"/>
    <cellStyle name="Normal 34 25" xfId="29889" xr:uid="{00000000-0005-0000-0000-0000C1740000}"/>
    <cellStyle name="Normal 34 26" xfId="29890" xr:uid="{00000000-0005-0000-0000-0000C2740000}"/>
    <cellStyle name="Normal 34 3" xfId="29891" xr:uid="{00000000-0005-0000-0000-0000C3740000}"/>
    <cellStyle name="Normal 34 3 2" xfId="29892" xr:uid="{00000000-0005-0000-0000-0000C4740000}"/>
    <cellStyle name="Normal 34 3 3" xfId="29893" xr:uid="{00000000-0005-0000-0000-0000C5740000}"/>
    <cellStyle name="Normal 34 3 4" xfId="29894" xr:uid="{00000000-0005-0000-0000-0000C6740000}"/>
    <cellStyle name="Normal 34 3 5" xfId="29895" xr:uid="{00000000-0005-0000-0000-0000C7740000}"/>
    <cellStyle name="Normal 34 4" xfId="29896" xr:uid="{00000000-0005-0000-0000-0000C8740000}"/>
    <cellStyle name="Normal 34 5" xfId="29897" xr:uid="{00000000-0005-0000-0000-0000C9740000}"/>
    <cellStyle name="Normal 34 6" xfId="29898" xr:uid="{00000000-0005-0000-0000-0000CA740000}"/>
    <cellStyle name="Normal 34 7" xfId="29899" xr:uid="{00000000-0005-0000-0000-0000CB740000}"/>
    <cellStyle name="Normal 34 8" xfId="29900" xr:uid="{00000000-0005-0000-0000-0000CC740000}"/>
    <cellStyle name="Normal 34 9" xfId="29901" xr:uid="{00000000-0005-0000-0000-0000CD740000}"/>
    <cellStyle name="Normal 35" xfId="29902" xr:uid="{00000000-0005-0000-0000-0000CE740000}"/>
    <cellStyle name="Normal 35 10" xfId="29903" xr:uid="{00000000-0005-0000-0000-0000CF740000}"/>
    <cellStyle name="Normal 35 11" xfId="29904" xr:uid="{00000000-0005-0000-0000-0000D0740000}"/>
    <cellStyle name="Normal 35 12" xfId="29905" xr:uid="{00000000-0005-0000-0000-0000D1740000}"/>
    <cellStyle name="Normal 35 13" xfId="29906" xr:uid="{00000000-0005-0000-0000-0000D2740000}"/>
    <cellStyle name="Normal 35 14" xfId="29907" xr:uid="{00000000-0005-0000-0000-0000D3740000}"/>
    <cellStyle name="Normal 35 15" xfId="29908" xr:uid="{00000000-0005-0000-0000-0000D4740000}"/>
    <cellStyle name="Normal 35 16" xfId="29909" xr:uid="{00000000-0005-0000-0000-0000D5740000}"/>
    <cellStyle name="Normal 35 17" xfId="29910" xr:uid="{00000000-0005-0000-0000-0000D6740000}"/>
    <cellStyle name="Normal 35 18" xfId="29911" xr:uid="{00000000-0005-0000-0000-0000D7740000}"/>
    <cellStyle name="Normal 35 19" xfId="29912" xr:uid="{00000000-0005-0000-0000-0000D8740000}"/>
    <cellStyle name="Normal 35 2" xfId="29913" xr:uid="{00000000-0005-0000-0000-0000D9740000}"/>
    <cellStyle name="Normal 35 2 2" xfId="29914" xr:uid="{00000000-0005-0000-0000-0000DA740000}"/>
    <cellStyle name="Normal 35 2 3" xfId="29915" xr:uid="{00000000-0005-0000-0000-0000DB740000}"/>
    <cellStyle name="Normal 35 20" xfId="29916" xr:uid="{00000000-0005-0000-0000-0000DC740000}"/>
    <cellStyle name="Normal 35 21" xfId="29917" xr:uid="{00000000-0005-0000-0000-0000DD740000}"/>
    <cellStyle name="Normal 35 22" xfId="29918" xr:uid="{00000000-0005-0000-0000-0000DE740000}"/>
    <cellStyle name="Normal 35 23" xfId="29919" xr:uid="{00000000-0005-0000-0000-0000DF740000}"/>
    <cellStyle name="Normal 35 24" xfId="29920" xr:uid="{00000000-0005-0000-0000-0000E0740000}"/>
    <cellStyle name="Normal 35 25" xfId="29921" xr:uid="{00000000-0005-0000-0000-0000E1740000}"/>
    <cellStyle name="Normal 35 3" xfId="29922" xr:uid="{00000000-0005-0000-0000-0000E2740000}"/>
    <cellStyle name="Normal 35 3 2" xfId="29923" xr:uid="{00000000-0005-0000-0000-0000E3740000}"/>
    <cellStyle name="Normal 35 3 3" xfId="29924" xr:uid="{00000000-0005-0000-0000-0000E4740000}"/>
    <cellStyle name="Normal 35 3 4" xfId="29925" xr:uid="{00000000-0005-0000-0000-0000E5740000}"/>
    <cellStyle name="Normal 35 3 5" xfId="29926" xr:uid="{00000000-0005-0000-0000-0000E6740000}"/>
    <cellStyle name="Normal 35 4" xfId="29927" xr:uid="{00000000-0005-0000-0000-0000E7740000}"/>
    <cellStyle name="Normal 35 5" xfId="29928" xr:uid="{00000000-0005-0000-0000-0000E8740000}"/>
    <cellStyle name="Normal 35 6" xfId="29929" xr:uid="{00000000-0005-0000-0000-0000E9740000}"/>
    <cellStyle name="Normal 35 7" xfId="29930" xr:uid="{00000000-0005-0000-0000-0000EA740000}"/>
    <cellStyle name="Normal 35 8" xfId="29931" xr:uid="{00000000-0005-0000-0000-0000EB740000}"/>
    <cellStyle name="Normal 35 9" xfId="29932" xr:uid="{00000000-0005-0000-0000-0000EC740000}"/>
    <cellStyle name="Normal 36" xfId="29933" xr:uid="{00000000-0005-0000-0000-0000ED740000}"/>
    <cellStyle name="Normal 36 2" xfId="29934" xr:uid="{00000000-0005-0000-0000-0000EE740000}"/>
    <cellStyle name="Normal 36 3" xfId="29935" xr:uid="{00000000-0005-0000-0000-0000EF740000}"/>
    <cellStyle name="Normal 36 4" xfId="29936" xr:uid="{00000000-0005-0000-0000-0000F0740000}"/>
    <cellStyle name="Normal 37" xfId="29937" xr:uid="{00000000-0005-0000-0000-0000F1740000}"/>
    <cellStyle name="Normal 37 10" xfId="29938" xr:uid="{00000000-0005-0000-0000-0000F2740000}"/>
    <cellStyle name="Normal 37 11" xfId="29939" xr:uid="{00000000-0005-0000-0000-0000F3740000}"/>
    <cellStyle name="Normal 37 12" xfId="29940" xr:uid="{00000000-0005-0000-0000-0000F4740000}"/>
    <cellStyle name="Normal 37 13" xfId="29941" xr:uid="{00000000-0005-0000-0000-0000F5740000}"/>
    <cellStyle name="Normal 37 14" xfId="29942" xr:uid="{00000000-0005-0000-0000-0000F6740000}"/>
    <cellStyle name="Normal 37 15" xfId="29943" xr:uid="{00000000-0005-0000-0000-0000F7740000}"/>
    <cellStyle name="Normal 37 16" xfId="29944" xr:uid="{00000000-0005-0000-0000-0000F8740000}"/>
    <cellStyle name="Normal 37 17" xfId="29945" xr:uid="{00000000-0005-0000-0000-0000F9740000}"/>
    <cellStyle name="Normal 37 18" xfId="29946" xr:uid="{00000000-0005-0000-0000-0000FA740000}"/>
    <cellStyle name="Normal 37 19" xfId="29947" xr:uid="{00000000-0005-0000-0000-0000FB740000}"/>
    <cellStyle name="Normal 37 2" xfId="29948" xr:uid="{00000000-0005-0000-0000-0000FC740000}"/>
    <cellStyle name="Normal 37 2 2" xfId="29949" xr:uid="{00000000-0005-0000-0000-0000FD740000}"/>
    <cellStyle name="Normal 37 20" xfId="29950" xr:uid="{00000000-0005-0000-0000-0000FE740000}"/>
    <cellStyle name="Normal 37 21" xfId="29951" xr:uid="{00000000-0005-0000-0000-0000FF740000}"/>
    <cellStyle name="Normal 37 22" xfId="29952" xr:uid="{00000000-0005-0000-0000-000000750000}"/>
    <cellStyle name="Normal 37 23" xfId="29953" xr:uid="{00000000-0005-0000-0000-000001750000}"/>
    <cellStyle name="Normal 37 24" xfId="29954" xr:uid="{00000000-0005-0000-0000-000002750000}"/>
    <cellStyle name="Normal 37 25" xfId="29955" xr:uid="{00000000-0005-0000-0000-000003750000}"/>
    <cellStyle name="Normal 37 26" xfId="29956" xr:uid="{00000000-0005-0000-0000-000004750000}"/>
    <cellStyle name="Normal 37 3" xfId="29957" xr:uid="{00000000-0005-0000-0000-000005750000}"/>
    <cellStyle name="Normal 37 3 2" xfId="29958" xr:uid="{00000000-0005-0000-0000-000006750000}"/>
    <cellStyle name="Normal 37 4" xfId="29959" xr:uid="{00000000-0005-0000-0000-000007750000}"/>
    <cellStyle name="Normal 37 4 2" xfId="29960" xr:uid="{00000000-0005-0000-0000-000008750000}"/>
    <cellStyle name="Normal 37 5" xfId="29961" xr:uid="{00000000-0005-0000-0000-000009750000}"/>
    <cellStyle name="Normal 37 5 2" xfId="29962" xr:uid="{00000000-0005-0000-0000-00000A750000}"/>
    <cellStyle name="Normal 37 6" xfId="29963" xr:uid="{00000000-0005-0000-0000-00000B750000}"/>
    <cellStyle name="Normal 37 7" xfId="29964" xr:uid="{00000000-0005-0000-0000-00000C750000}"/>
    <cellStyle name="Normal 37 8" xfId="29965" xr:uid="{00000000-0005-0000-0000-00000D750000}"/>
    <cellStyle name="Normal 37 9" xfId="29966" xr:uid="{00000000-0005-0000-0000-00000E750000}"/>
    <cellStyle name="Normal 38" xfId="29967" xr:uid="{00000000-0005-0000-0000-00000F750000}"/>
    <cellStyle name="Normal 38 10" xfId="29968" xr:uid="{00000000-0005-0000-0000-000010750000}"/>
    <cellStyle name="Normal 38 11" xfId="29969" xr:uid="{00000000-0005-0000-0000-000011750000}"/>
    <cellStyle name="Normal 38 12" xfId="29970" xr:uid="{00000000-0005-0000-0000-000012750000}"/>
    <cellStyle name="Normal 38 13" xfId="29971" xr:uid="{00000000-0005-0000-0000-000013750000}"/>
    <cellStyle name="Normal 38 14" xfId="29972" xr:uid="{00000000-0005-0000-0000-000014750000}"/>
    <cellStyle name="Normal 38 15" xfId="29973" xr:uid="{00000000-0005-0000-0000-000015750000}"/>
    <cellStyle name="Normal 38 16" xfId="29974" xr:uid="{00000000-0005-0000-0000-000016750000}"/>
    <cellStyle name="Normal 38 17" xfId="29975" xr:uid="{00000000-0005-0000-0000-000017750000}"/>
    <cellStyle name="Normal 38 18" xfId="29976" xr:uid="{00000000-0005-0000-0000-000018750000}"/>
    <cellStyle name="Normal 38 19" xfId="29977" xr:uid="{00000000-0005-0000-0000-000019750000}"/>
    <cellStyle name="Normal 38 2" xfId="29978" xr:uid="{00000000-0005-0000-0000-00001A750000}"/>
    <cellStyle name="Normal 38 2 2" xfId="29979" xr:uid="{00000000-0005-0000-0000-00001B750000}"/>
    <cellStyle name="Normal 38 20" xfId="29980" xr:uid="{00000000-0005-0000-0000-00001C750000}"/>
    <cellStyle name="Normal 38 21" xfId="29981" xr:uid="{00000000-0005-0000-0000-00001D750000}"/>
    <cellStyle name="Normal 38 22" xfId="29982" xr:uid="{00000000-0005-0000-0000-00001E750000}"/>
    <cellStyle name="Normal 38 23" xfId="29983" xr:uid="{00000000-0005-0000-0000-00001F750000}"/>
    <cellStyle name="Normal 38 24" xfId="29984" xr:uid="{00000000-0005-0000-0000-000020750000}"/>
    <cellStyle name="Normal 38 25" xfId="29985" xr:uid="{00000000-0005-0000-0000-000021750000}"/>
    <cellStyle name="Normal 38 26" xfId="29986" xr:uid="{00000000-0005-0000-0000-000022750000}"/>
    <cellStyle name="Normal 38 3" xfId="29987" xr:uid="{00000000-0005-0000-0000-000023750000}"/>
    <cellStyle name="Normal 38 3 2" xfId="29988" xr:uid="{00000000-0005-0000-0000-000024750000}"/>
    <cellStyle name="Normal 38 4" xfId="29989" xr:uid="{00000000-0005-0000-0000-000025750000}"/>
    <cellStyle name="Normal 38 4 2" xfId="29990" xr:uid="{00000000-0005-0000-0000-000026750000}"/>
    <cellStyle name="Normal 38 5" xfId="29991" xr:uid="{00000000-0005-0000-0000-000027750000}"/>
    <cellStyle name="Normal 38 5 2" xfId="29992" xr:uid="{00000000-0005-0000-0000-000028750000}"/>
    <cellStyle name="Normal 38 6" xfId="29993" xr:uid="{00000000-0005-0000-0000-000029750000}"/>
    <cellStyle name="Normal 38 7" xfId="29994" xr:uid="{00000000-0005-0000-0000-00002A750000}"/>
    <cellStyle name="Normal 38 8" xfId="29995" xr:uid="{00000000-0005-0000-0000-00002B750000}"/>
    <cellStyle name="Normal 38 9" xfId="29996" xr:uid="{00000000-0005-0000-0000-00002C750000}"/>
    <cellStyle name="Normal 39" xfId="29997" xr:uid="{00000000-0005-0000-0000-00002D750000}"/>
    <cellStyle name="Normal 39 10" xfId="29998" xr:uid="{00000000-0005-0000-0000-00002E750000}"/>
    <cellStyle name="Normal 39 11" xfId="29999" xr:uid="{00000000-0005-0000-0000-00002F750000}"/>
    <cellStyle name="Normal 39 12" xfId="30000" xr:uid="{00000000-0005-0000-0000-000030750000}"/>
    <cellStyle name="Normal 39 13" xfId="30001" xr:uid="{00000000-0005-0000-0000-000031750000}"/>
    <cellStyle name="Normal 39 14" xfId="30002" xr:uid="{00000000-0005-0000-0000-000032750000}"/>
    <cellStyle name="Normal 39 15" xfId="30003" xr:uid="{00000000-0005-0000-0000-000033750000}"/>
    <cellStyle name="Normal 39 16" xfId="30004" xr:uid="{00000000-0005-0000-0000-000034750000}"/>
    <cellStyle name="Normal 39 17" xfId="30005" xr:uid="{00000000-0005-0000-0000-000035750000}"/>
    <cellStyle name="Normal 39 18" xfId="30006" xr:uid="{00000000-0005-0000-0000-000036750000}"/>
    <cellStyle name="Normal 39 19" xfId="30007" xr:uid="{00000000-0005-0000-0000-000037750000}"/>
    <cellStyle name="Normal 39 2" xfId="30008" xr:uid="{00000000-0005-0000-0000-000038750000}"/>
    <cellStyle name="Normal 39 2 2" xfId="30009" xr:uid="{00000000-0005-0000-0000-000039750000}"/>
    <cellStyle name="Normal 39 20" xfId="30010" xr:uid="{00000000-0005-0000-0000-00003A750000}"/>
    <cellStyle name="Normal 39 21" xfId="30011" xr:uid="{00000000-0005-0000-0000-00003B750000}"/>
    <cellStyle name="Normal 39 22" xfId="30012" xr:uid="{00000000-0005-0000-0000-00003C750000}"/>
    <cellStyle name="Normal 39 23" xfId="30013" xr:uid="{00000000-0005-0000-0000-00003D750000}"/>
    <cellStyle name="Normal 39 24" xfId="30014" xr:uid="{00000000-0005-0000-0000-00003E750000}"/>
    <cellStyle name="Normal 39 25" xfId="30015" xr:uid="{00000000-0005-0000-0000-00003F750000}"/>
    <cellStyle name="Normal 39 26" xfId="30016" xr:uid="{00000000-0005-0000-0000-000040750000}"/>
    <cellStyle name="Normal 39 3" xfId="30017" xr:uid="{00000000-0005-0000-0000-000041750000}"/>
    <cellStyle name="Normal 39 3 2" xfId="30018" xr:uid="{00000000-0005-0000-0000-000042750000}"/>
    <cellStyle name="Normal 39 4" xfId="30019" xr:uid="{00000000-0005-0000-0000-000043750000}"/>
    <cellStyle name="Normal 39 4 2" xfId="30020" xr:uid="{00000000-0005-0000-0000-000044750000}"/>
    <cellStyle name="Normal 39 5" xfId="30021" xr:uid="{00000000-0005-0000-0000-000045750000}"/>
    <cellStyle name="Normal 39 5 2" xfId="30022" xr:uid="{00000000-0005-0000-0000-000046750000}"/>
    <cellStyle name="Normal 39 6" xfId="30023" xr:uid="{00000000-0005-0000-0000-000047750000}"/>
    <cellStyle name="Normal 39 7" xfId="30024" xr:uid="{00000000-0005-0000-0000-000048750000}"/>
    <cellStyle name="Normal 39 8" xfId="30025" xr:uid="{00000000-0005-0000-0000-000049750000}"/>
    <cellStyle name="Normal 39 9" xfId="30026" xr:uid="{00000000-0005-0000-0000-00004A750000}"/>
    <cellStyle name="Normal 4" xfId="21" xr:uid="{00000000-0005-0000-0000-000015000000}"/>
    <cellStyle name="Normal 4 10" xfId="30027" xr:uid="{00000000-0005-0000-0000-00004B750000}"/>
    <cellStyle name="Normal 4 10 2" xfId="30028" xr:uid="{00000000-0005-0000-0000-00004C750000}"/>
    <cellStyle name="Normal 4 10 3" xfId="30029" xr:uid="{00000000-0005-0000-0000-00004D750000}"/>
    <cellStyle name="Normal 4 10 4" xfId="30030" xr:uid="{00000000-0005-0000-0000-00004E750000}"/>
    <cellStyle name="Normal 4 10 5" xfId="30031" xr:uid="{00000000-0005-0000-0000-00004F750000}"/>
    <cellStyle name="Normal 4 10_Enlaces" xfId="30032" xr:uid="{00000000-0005-0000-0000-000050750000}"/>
    <cellStyle name="Normal 4 100" xfId="30033" xr:uid="{00000000-0005-0000-0000-000051750000}"/>
    <cellStyle name="Normal 4 100 2" xfId="30034" xr:uid="{00000000-0005-0000-0000-000052750000}"/>
    <cellStyle name="Normal 4 100 3" xfId="30035" xr:uid="{00000000-0005-0000-0000-000053750000}"/>
    <cellStyle name="Normal 4 101" xfId="30036" xr:uid="{00000000-0005-0000-0000-000054750000}"/>
    <cellStyle name="Normal 4 101 2" xfId="30037" xr:uid="{00000000-0005-0000-0000-000055750000}"/>
    <cellStyle name="Normal 4 101 3" xfId="30038" xr:uid="{00000000-0005-0000-0000-000056750000}"/>
    <cellStyle name="Normal 4 102" xfId="30039" xr:uid="{00000000-0005-0000-0000-000057750000}"/>
    <cellStyle name="Normal 4 102 2" xfId="30040" xr:uid="{00000000-0005-0000-0000-000058750000}"/>
    <cellStyle name="Normal 4 102 3" xfId="30041" xr:uid="{00000000-0005-0000-0000-000059750000}"/>
    <cellStyle name="Normal 4 103" xfId="30042" xr:uid="{00000000-0005-0000-0000-00005A750000}"/>
    <cellStyle name="Normal 4 103 2" xfId="30043" xr:uid="{00000000-0005-0000-0000-00005B750000}"/>
    <cellStyle name="Normal 4 103 3" xfId="30044" xr:uid="{00000000-0005-0000-0000-00005C750000}"/>
    <cellStyle name="Normal 4 104" xfId="30045" xr:uid="{00000000-0005-0000-0000-00005D750000}"/>
    <cellStyle name="Normal 4 104 2" xfId="30046" xr:uid="{00000000-0005-0000-0000-00005E750000}"/>
    <cellStyle name="Normal 4 104 3" xfId="30047" xr:uid="{00000000-0005-0000-0000-00005F750000}"/>
    <cellStyle name="Normal 4 105" xfId="30048" xr:uid="{00000000-0005-0000-0000-000060750000}"/>
    <cellStyle name="Normal 4 105 2" xfId="30049" xr:uid="{00000000-0005-0000-0000-000061750000}"/>
    <cellStyle name="Normal 4 105 3" xfId="30050" xr:uid="{00000000-0005-0000-0000-000062750000}"/>
    <cellStyle name="Normal 4 106" xfId="30051" xr:uid="{00000000-0005-0000-0000-000063750000}"/>
    <cellStyle name="Normal 4 106 2" xfId="30052" xr:uid="{00000000-0005-0000-0000-000064750000}"/>
    <cellStyle name="Normal 4 106 3" xfId="30053" xr:uid="{00000000-0005-0000-0000-000065750000}"/>
    <cellStyle name="Normal 4 107" xfId="30054" xr:uid="{00000000-0005-0000-0000-000066750000}"/>
    <cellStyle name="Normal 4 107 2" xfId="30055" xr:uid="{00000000-0005-0000-0000-000067750000}"/>
    <cellStyle name="Normal 4 107 3" xfId="30056" xr:uid="{00000000-0005-0000-0000-000068750000}"/>
    <cellStyle name="Normal 4 108" xfId="30057" xr:uid="{00000000-0005-0000-0000-000069750000}"/>
    <cellStyle name="Normal 4 108 2" xfId="30058" xr:uid="{00000000-0005-0000-0000-00006A750000}"/>
    <cellStyle name="Normal 4 108 3" xfId="30059" xr:uid="{00000000-0005-0000-0000-00006B750000}"/>
    <cellStyle name="Normal 4 109" xfId="30060" xr:uid="{00000000-0005-0000-0000-00006C750000}"/>
    <cellStyle name="Normal 4 109 2" xfId="30061" xr:uid="{00000000-0005-0000-0000-00006D750000}"/>
    <cellStyle name="Normal 4 109 3" xfId="30062" xr:uid="{00000000-0005-0000-0000-00006E750000}"/>
    <cellStyle name="Normal 4 11" xfId="30063" xr:uid="{00000000-0005-0000-0000-00006F750000}"/>
    <cellStyle name="Normal 4 11 2" xfId="30064" xr:uid="{00000000-0005-0000-0000-000070750000}"/>
    <cellStyle name="Normal 4 11 3" xfId="30065" xr:uid="{00000000-0005-0000-0000-000071750000}"/>
    <cellStyle name="Normal 4 11 4" xfId="30066" xr:uid="{00000000-0005-0000-0000-000072750000}"/>
    <cellStyle name="Normal 4 11 5" xfId="30067" xr:uid="{00000000-0005-0000-0000-000073750000}"/>
    <cellStyle name="Normal 4 11_Enlaces" xfId="30068" xr:uid="{00000000-0005-0000-0000-000074750000}"/>
    <cellStyle name="Normal 4 110" xfId="30069" xr:uid="{00000000-0005-0000-0000-000075750000}"/>
    <cellStyle name="Normal 4 110 2" xfId="30070" xr:uid="{00000000-0005-0000-0000-000076750000}"/>
    <cellStyle name="Normal 4 110 3" xfId="30071" xr:uid="{00000000-0005-0000-0000-000077750000}"/>
    <cellStyle name="Normal 4 111" xfId="30072" xr:uid="{00000000-0005-0000-0000-000078750000}"/>
    <cellStyle name="Normal 4 111 2" xfId="30073" xr:uid="{00000000-0005-0000-0000-000079750000}"/>
    <cellStyle name="Normal 4 111 3" xfId="30074" xr:uid="{00000000-0005-0000-0000-00007A750000}"/>
    <cellStyle name="Normal 4 112" xfId="30075" xr:uid="{00000000-0005-0000-0000-00007B750000}"/>
    <cellStyle name="Normal 4 112 2" xfId="30076" xr:uid="{00000000-0005-0000-0000-00007C750000}"/>
    <cellStyle name="Normal 4 112 3" xfId="30077" xr:uid="{00000000-0005-0000-0000-00007D750000}"/>
    <cellStyle name="Normal 4 113" xfId="30078" xr:uid="{00000000-0005-0000-0000-00007E750000}"/>
    <cellStyle name="Normal 4 113 2" xfId="30079" xr:uid="{00000000-0005-0000-0000-00007F750000}"/>
    <cellStyle name="Normal 4 113 3" xfId="30080" xr:uid="{00000000-0005-0000-0000-000080750000}"/>
    <cellStyle name="Normal 4 114" xfId="30081" xr:uid="{00000000-0005-0000-0000-000081750000}"/>
    <cellStyle name="Normal 4 114 2" xfId="30082" xr:uid="{00000000-0005-0000-0000-000082750000}"/>
    <cellStyle name="Normal 4 114 3" xfId="30083" xr:uid="{00000000-0005-0000-0000-000083750000}"/>
    <cellStyle name="Normal 4 115" xfId="30084" xr:uid="{00000000-0005-0000-0000-000084750000}"/>
    <cellStyle name="Normal 4 115 2" xfId="30085" xr:uid="{00000000-0005-0000-0000-000085750000}"/>
    <cellStyle name="Normal 4 115 3" xfId="30086" xr:uid="{00000000-0005-0000-0000-000086750000}"/>
    <cellStyle name="Normal 4 116" xfId="30087" xr:uid="{00000000-0005-0000-0000-000087750000}"/>
    <cellStyle name="Normal 4 116 2" xfId="30088" xr:uid="{00000000-0005-0000-0000-000088750000}"/>
    <cellStyle name="Normal 4 116 3" xfId="30089" xr:uid="{00000000-0005-0000-0000-000089750000}"/>
    <cellStyle name="Normal 4 117" xfId="30090" xr:uid="{00000000-0005-0000-0000-00008A750000}"/>
    <cellStyle name="Normal 4 117 2" xfId="30091" xr:uid="{00000000-0005-0000-0000-00008B750000}"/>
    <cellStyle name="Normal 4 117 3" xfId="30092" xr:uid="{00000000-0005-0000-0000-00008C750000}"/>
    <cellStyle name="Normal 4 118" xfId="30093" xr:uid="{00000000-0005-0000-0000-00008D750000}"/>
    <cellStyle name="Normal 4 118 2" xfId="30094" xr:uid="{00000000-0005-0000-0000-00008E750000}"/>
    <cellStyle name="Normal 4 118 3" xfId="30095" xr:uid="{00000000-0005-0000-0000-00008F750000}"/>
    <cellStyle name="Normal 4 119" xfId="30096" xr:uid="{00000000-0005-0000-0000-000090750000}"/>
    <cellStyle name="Normal 4 119 2" xfId="30097" xr:uid="{00000000-0005-0000-0000-000091750000}"/>
    <cellStyle name="Normal 4 119 3" xfId="30098" xr:uid="{00000000-0005-0000-0000-000092750000}"/>
    <cellStyle name="Normal 4 12" xfId="30099" xr:uid="{00000000-0005-0000-0000-000093750000}"/>
    <cellStyle name="Normal 4 12 2" xfId="30100" xr:uid="{00000000-0005-0000-0000-000094750000}"/>
    <cellStyle name="Normal 4 12 3" xfId="30101" xr:uid="{00000000-0005-0000-0000-000095750000}"/>
    <cellStyle name="Normal 4 12 4" xfId="30102" xr:uid="{00000000-0005-0000-0000-000096750000}"/>
    <cellStyle name="Normal 4 12 5" xfId="30103" xr:uid="{00000000-0005-0000-0000-000097750000}"/>
    <cellStyle name="Normal 4 12_Enlaces" xfId="30104" xr:uid="{00000000-0005-0000-0000-000098750000}"/>
    <cellStyle name="Normal 4 120" xfId="30105" xr:uid="{00000000-0005-0000-0000-000099750000}"/>
    <cellStyle name="Normal 4 120 2" xfId="30106" xr:uid="{00000000-0005-0000-0000-00009A750000}"/>
    <cellStyle name="Normal 4 120 3" xfId="30107" xr:uid="{00000000-0005-0000-0000-00009B750000}"/>
    <cellStyle name="Normal 4 121" xfId="30108" xr:uid="{00000000-0005-0000-0000-00009C750000}"/>
    <cellStyle name="Normal 4 121 2" xfId="30109" xr:uid="{00000000-0005-0000-0000-00009D750000}"/>
    <cellStyle name="Normal 4 121 3" xfId="30110" xr:uid="{00000000-0005-0000-0000-00009E750000}"/>
    <cellStyle name="Normal 4 122" xfId="30111" xr:uid="{00000000-0005-0000-0000-00009F750000}"/>
    <cellStyle name="Normal 4 122 2" xfId="30112" xr:uid="{00000000-0005-0000-0000-0000A0750000}"/>
    <cellStyle name="Normal 4 122 3" xfId="30113" xr:uid="{00000000-0005-0000-0000-0000A1750000}"/>
    <cellStyle name="Normal 4 123" xfId="30114" xr:uid="{00000000-0005-0000-0000-0000A2750000}"/>
    <cellStyle name="Normal 4 123 2" xfId="30115" xr:uid="{00000000-0005-0000-0000-0000A3750000}"/>
    <cellStyle name="Normal 4 123 3" xfId="30116" xr:uid="{00000000-0005-0000-0000-0000A4750000}"/>
    <cellStyle name="Normal 4 124" xfId="30117" xr:uid="{00000000-0005-0000-0000-0000A5750000}"/>
    <cellStyle name="Normal 4 125" xfId="30118" xr:uid="{00000000-0005-0000-0000-0000A6750000}"/>
    <cellStyle name="Normal 4 126" xfId="30119" xr:uid="{00000000-0005-0000-0000-0000A7750000}"/>
    <cellStyle name="Normal 4 127" xfId="30120" xr:uid="{00000000-0005-0000-0000-0000A8750000}"/>
    <cellStyle name="Normal 4 128" xfId="30121" xr:uid="{00000000-0005-0000-0000-0000A9750000}"/>
    <cellStyle name="Normal 4 129" xfId="30122" xr:uid="{00000000-0005-0000-0000-0000AA750000}"/>
    <cellStyle name="Normal 4 13" xfId="30123" xr:uid="{00000000-0005-0000-0000-0000AB750000}"/>
    <cellStyle name="Normal 4 13 2" xfId="30124" xr:uid="{00000000-0005-0000-0000-0000AC750000}"/>
    <cellStyle name="Normal 4 13 3" xfId="30125" xr:uid="{00000000-0005-0000-0000-0000AD750000}"/>
    <cellStyle name="Normal 4 13 4" xfId="30126" xr:uid="{00000000-0005-0000-0000-0000AE750000}"/>
    <cellStyle name="Normal 4 13 5" xfId="30127" xr:uid="{00000000-0005-0000-0000-0000AF750000}"/>
    <cellStyle name="Normal 4 13_Enlaces" xfId="30128" xr:uid="{00000000-0005-0000-0000-0000B0750000}"/>
    <cellStyle name="Normal 4 130" xfId="30129" xr:uid="{00000000-0005-0000-0000-0000B1750000}"/>
    <cellStyle name="Normal 4 131" xfId="30130" xr:uid="{00000000-0005-0000-0000-0000B2750000}"/>
    <cellStyle name="Normal 4 131 2" xfId="30131" xr:uid="{00000000-0005-0000-0000-0000B3750000}"/>
    <cellStyle name="Normal 4 132" xfId="30132" xr:uid="{00000000-0005-0000-0000-0000B4750000}"/>
    <cellStyle name="Normal 4 132 2" xfId="30133" xr:uid="{00000000-0005-0000-0000-0000B5750000}"/>
    <cellStyle name="Normal 4 133" xfId="30134" xr:uid="{00000000-0005-0000-0000-0000B6750000}"/>
    <cellStyle name="Normal 4 133 2" xfId="30135" xr:uid="{00000000-0005-0000-0000-0000B7750000}"/>
    <cellStyle name="Normal 4 134" xfId="30136" xr:uid="{00000000-0005-0000-0000-0000B8750000}"/>
    <cellStyle name="Normal 4 134 2" xfId="30137" xr:uid="{00000000-0005-0000-0000-0000B9750000}"/>
    <cellStyle name="Normal 4 135" xfId="30138" xr:uid="{00000000-0005-0000-0000-0000BA750000}"/>
    <cellStyle name="Normal 4 135 2" xfId="30139" xr:uid="{00000000-0005-0000-0000-0000BB750000}"/>
    <cellStyle name="Normal 4 136" xfId="30140" xr:uid="{00000000-0005-0000-0000-0000BC750000}"/>
    <cellStyle name="Normal 4 136 2" xfId="30141" xr:uid="{00000000-0005-0000-0000-0000BD750000}"/>
    <cellStyle name="Normal 4 137" xfId="30142" xr:uid="{00000000-0005-0000-0000-0000BE750000}"/>
    <cellStyle name="Normal 4 137 2" xfId="30143" xr:uid="{00000000-0005-0000-0000-0000BF750000}"/>
    <cellStyle name="Normal 4 138" xfId="30144" xr:uid="{00000000-0005-0000-0000-0000C0750000}"/>
    <cellStyle name="Normal 4 138 2" xfId="30145" xr:uid="{00000000-0005-0000-0000-0000C1750000}"/>
    <cellStyle name="Normal 4 139" xfId="30146" xr:uid="{00000000-0005-0000-0000-0000C2750000}"/>
    <cellStyle name="Normal 4 139 2" xfId="30147" xr:uid="{00000000-0005-0000-0000-0000C3750000}"/>
    <cellStyle name="Normal 4 14" xfId="30148" xr:uid="{00000000-0005-0000-0000-0000C4750000}"/>
    <cellStyle name="Normal 4 14 2" xfId="30149" xr:uid="{00000000-0005-0000-0000-0000C5750000}"/>
    <cellStyle name="Normal 4 14 3" xfId="30150" xr:uid="{00000000-0005-0000-0000-0000C6750000}"/>
    <cellStyle name="Normal 4 14 4" xfId="30151" xr:uid="{00000000-0005-0000-0000-0000C7750000}"/>
    <cellStyle name="Normal 4 14 5" xfId="30152" xr:uid="{00000000-0005-0000-0000-0000C8750000}"/>
    <cellStyle name="Normal 4 14_Enlaces" xfId="30153" xr:uid="{00000000-0005-0000-0000-0000C9750000}"/>
    <cellStyle name="Normal 4 140" xfId="30154" xr:uid="{00000000-0005-0000-0000-0000CA750000}"/>
    <cellStyle name="Normal 4 140 2" xfId="30155" xr:uid="{00000000-0005-0000-0000-0000CB750000}"/>
    <cellStyle name="Normal 4 141" xfId="30156" xr:uid="{00000000-0005-0000-0000-0000CC750000}"/>
    <cellStyle name="Normal 4 141 2" xfId="30157" xr:uid="{00000000-0005-0000-0000-0000CD750000}"/>
    <cellStyle name="Normal 4 142" xfId="30158" xr:uid="{00000000-0005-0000-0000-0000CE750000}"/>
    <cellStyle name="Normal 4 142 2" xfId="30159" xr:uid="{00000000-0005-0000-0000-0000CF750000}"/>
    <cellStyle name="Normal 4 143" xfId="30160" xr:uid="{00000000-0005-0000-0000-0000D0750000}"/>
    <cellStyle name="Normal 4 143 2" xfId="30161" xr:uid="{00000000-0005-0000-0000-0000D1750000}"/>
    <cellStyle name="Normal 4 144" xfId="30162" xr:uid="{00000000-0005-0000-0000-0000D2750000}"/>
    <cellStyle name="Normal 4 144 2" xfId="30163" xr:uid="{00000000-0005-0000-0000-0000D3750000}"/>
    <cellStyle name="Normal 4 145" xfId="30164" xr:uid="{00000000-0005-0000-0000-0000D4750000}"/>
    <cellStyle name="Normal 4 145 2" xfId="30165" xr:uid="{00000000-0005-0000-0000-0000D5750000}"/>
    <cellStyle name="Normal 4 146" xfId="30166" xr:uid="{00000000-0005-0000-0000-0000D6750000}"/>
    <cellStyle name="Normal 4 146 2" xfId="30167" xr:uid="{00000000-0005-0000-0000-0000D7750000}"/>
    <cellStyle name="Normal 4 147" xfId="30168" xr:uid="{00000000-0005-0000-0000-0000D8750000}"/>
    <cellStyle name="Normal 4 147 2" xfId="30169" xr:uid="{00000000-0005-0000-0000-0000D9750000}"/>
    <cellStyle name="Normal 4 148" xfId="30170" xr:uid="{00000000-0005-0000-0000-0000DA750000}"/>
    <cellStyle name="Normal 4 148 2" xfId="30171" xr:uid="{00000000-0005-0000-0000-0000DB750000}"/>
    <cellStyle name="Normal 4 148 3" xfId="30172" xr:uid="{00000000-0005-0000-0000-0000DC750000}"/>
    <cellStyle name="Normal 4 149" xfId="30173" xr:uid="{00000000-0005-0000-0000-0000DD750000}"/>
    <cellStyle name="Normal 4 149 2" xfId="30174" xr:uid="{00000000-0005-0000-0000-0000DE750000}"/>
    <cellStyle name="Normal 4 149 3" xfId="30175" xr:uid="{00000000-0005-0000-0000-0000DF750000}"/>
    <cellStyle name="Normal 4 15" xfId="30176" xr:uid="{00000000-0005-0000-0000-0000E0750000}"/>
    <cellStyle name="Normal 4 15 2" xfId="30177" xr:uid="{00000000-0005-0000-0000-0000E1750000}"/>
    <cellStyle name="Normal 4 15 3" xfId="30178" xr:uid="{00000000-0005-0000-0000-0000E2750000}"/>
    <cellStyle name="Normal 4 15 4" xfId="30179" xr:uid="{00000000-0005-0000-0000-0000E3750000}"/>
    <cellStyle name="Normal 4 15 5" xfId="30180" xr:uid="{00000000-0005-0000-0000-0000E4750000}"/>
    <cellStyle name="Normal 4 15_Enlaces" xfId="30181" xr:uid="{00000000-0005-0000-0000-0000E5750000}"/>
    <cellStyle name="Normal 4 150" xfId="30182" xr:uid="{00000000-0005-0000-0000-0000E6750000}"/>
    <cellStyle name="Normal 4 150 2" xfId="30183" xr:uid="{00000000-0005-0000-0000-0000E7750000}"/>
    <cellStyle name="Normal 4 150 3" xfId="30184" xr:uid="{00000000-0005-0000-0000-0000E8750000}"/>
    <cellStyle name="Normal 4 151" xfId="30185" xr:uid="{00000000-0005-0000-0000-0000E9750000}"/>
    <cellStyle name="Normal 4 151 2" xfId="30186" xr:uid="{00000000-0005-0000-0000-0000EA750000}"/>
    <cellStyle name="Normal 4 151 3" xfId="30187" xr:uid="{00000000-0005-0000-0000-0000EB750000}"/>
    <cellStyle name="Normal 4 152" xfId="30188" xr:uid="{00000000-0005-0000-0000-0000EC750000}"/>
    <cellStyle name="Normal 4 152 2" xfId="30189" xr:uid="{00000000-0005-0000-0000-0000ED750000}"/>
    <cellStyle name="Normal 4 152 3" xfId="30190" xr:uid="{00000000-0005-0000-0000-0000EE750000}"/>
    <cellStyle name="Normal 4 153" xfId="30191" xr:uid="{00000000-0005-0000-0000-0000EF750000}"/>
    <cellStyle name="Normal 4 153 2" xfId="30192" xr:uid="{00000000-0005-0000-0000-0000F0750000}"/>
    <cellStyle name="Normal 4 154" xfId="30193" xr:uid="{00000000-0005-0000-0000-0000F1750000}"/>
    <cellStyle name="Normal 4 155" xfId="30194" xr:uid="{00000000-0005-0000-0000-0000F2750000}"/>
    <cellStyle name="Normal 4 156" xfId="30195" xr:uid="{00000000-0005-0000-0000-0000F3750000}"/>
    <cellStyle name="Normal 4 157" xfId="30196" xr:uid="{00000000-0005-0000-0000-0000F4750000}"/>
    <cellStyle name="Normal 4 158" xfId="30197" xr:uid="{00000000-0005-0000-0000-0000F5750000}"/>
    <cellStyle name="Normal 4 159" xfId="30198" xr:uid="{00000000-0005-0000-0000-0000F6750000}"/>
    <cellStyle name="Normal 4 16" xfId="30199" xr:uid="{00000000-0005-0000-0000-0000F7750000}"/>
    <cellStyle name="Normal 4 16 2" xfId="30200" xr:uid="{00000000-0005-0000-0000-0000F8750000}"/>
    <cellStyle name="Normal 4 16 3" xfId="30201" xr:uid="{00000000-0005-0000-0000-0000F9750000}"/>
    <cellStyle name="Normal 4 16 4" xfId="30202" xr:uid="{00000000-0005-0000-0000-0000FA750000}"/>
    <cellStyle name="Normal 4 16 5" xfId="30203" xr:uid="{00000000-0005-0000-0000-0000FB750000}"/>
    <cellStyle name="Normal 4 16_Enlaces" xfId="30204" xr:uid="{00000000-0005-0000-0000-0000FC750000}"/>
    <cellStyle name="Normal 4 160" xfId="30205" xr:uid="{00000000-0005-0000-0000-0000FD750000}"/>
    <cellStyle name="Normal 4 161" xfId="30206" xr:uid="{00000000-0005-0000-0000-0000FE750000}"/>
    <cellStyle name="Normal 4 162" xfId="30207" xr:uid="{00000000-0005-0000-0000-0000FF750000}"/>
    <cellStyle name="Normal 4 163" xfId="30208" xr:uid="{00000000-0005-0000-0000-000000760000}"/>
    <cellStyle name="Normal 4 164" xfId="30209" xr:uid="{00000000-0005-0000-0000-000001760000}"/>
    <cellStyle name="Normal 4 165" xfId="30210" xr:uid="{00000000-0005-0000-0000-000002760000}"/>
    <cellStyle name="Normal 4 166" xfId="30211" xr:uid="{00000000-0005-0000-0000-000003760000}"/>
    <cellStyle name="Normal 4 167" xfId="30212" xr:uid="{00000000-0005-0000-0000-000004760000}"/>
    <cellStyle name="Normal 4 168" xfId="30213" xr:uid="{00000000-0005-0000-0000-000005760000}"/>
    <cellStyle name="Normal 4 169" xfId="30214" xr:uid="{00000000-0005-0000-0000-000006760000}"/>
    <cellStyle name="Normal 4 17" xfId="30215" xr:uid="{00000000-0005-0000-0000-000007760000}"/>
    <cellStyle name="Normal 4 17 2" xfId="30216" xr:uid="{00000000-0005-0000-0000-000008760000}"/>
    <cellStyle name="Normal 4 17 3" xfId="30217" xr:uid="{00000000-0005-0000-0000-000009760000}"/>
    <cellStyle name="Normal 4 17 4" xfId="30218" xr:uid="{00000000-0005-0000-0000-00000A760000}"/>
    <cellStyle name="Normal 4 17 5" xfId="30219" xr:uid="{00000000-0005-0000-0000-00000B760000}"/>
    <cellStyle name="Normal 4 17_Enlaces" xfId="30220" xr:uid="{00000000-0005-0000-0000-00000C760000}"/>
    <cellStyle name="Normal 4 170" xfId="30221" xr:uid="{00000000-0005-0000-0000-00000D760000}"/>
    <cellStyle name="Normal 4 171" xfId="30222" xr:uid="{00000000-0005-0000-0000-00000E760000}"/>
    <cellStyle name="Normal 4 18" xfId="30223" xr:uid="{00000000-0005-0000-0000-00000F760000}"/>
    <cellStyle name="Normal 4 18 2" xfId="30224" xr:uid="{00000000-0005-0000-0000-000010760000}"/>
    <cellStyle name="Normal 4 18 3" xfId="30225" xr:uid="{00000000-0005-0000-0000-000011760000}"/>
    <cellStyle name="Normal 4 18 4" xfId="30226" xr:uid="{00000000-0005-0000-0000-000012760000}"/>
    <cellStyle name="Normal 4 18 5" xfId="30227" xr:uid="{00000000-0005-0000-0000-000013760000}"/>
    <cellStyle name="Normal 4 18_Enlaces" xfId="30228" xr:uid="{00000000-0005-0000-0000-000014760000}"/>
    <cellStyle name="Normal 4 19" xfId="30229" xr:uid="{00000000-0005-0000-0000-000015760000}"/>
    <cellStyle name="Normal 4 19 2" xfId="30230" xr:uid="{00000000-0005-0000-0000-000016760000}"/>
    <cellStyle name="Normal 4 19 3" xfId="30231" xr:uid="{00000000-0005-0000-0000-000017760000}"/>
    <cellStyle name="Normal 4 19 4" xfId="30232" xr:uid="{00000000-0005-0000-0000-000018760000}"/>
    <cellStyle name="Normal 4 19 5" xfId="30233" xr:uid="{00000000-0005-0000-0000-000019760000}"/>
    <cellStyle name="Normal 4 19_Enlaces" xfId="30234" xr:uid="{00000000-0005-0000-0000-00001A760000}"/>
    <cellStyle name="Normal 4 2" xfId="30235" xr:uid="{00000000-0005-0000-0000-00001B760000}"/>
    <cellStyle name="Normal 4 2 10" xfId="30236" xr:uid="{00000000-0005-0000-0000-00001C760000}"/>
    <cellStyle name="Normal 4 2 10 2" xfId="30237" xr:uid="{00000000-0005-0000-0000-00001D760000}"/>
    <cellStyle name="Normal 4 2 11" xfId="30238" xr:uid="{00000000-0005-0000-0000-00001E760000}"/>
    <cellStyle name="Normal 4 2 11 2" xfId="30239" xr:uid="{00000000-0005-0000-0000-00001F760000}"/>
    <cellStyle name="Normal 4 2 12" xfId="30240" xr:uid="{00000000-0005-0000-0000-000020760000}"/>
    <cellStyle name="Normal 4 2 12 2" xfId="30241" xr:uid="{00000000-0005-0000-0000-000021760000}"/>
    <cellStyle name="Normal 4 2 13" xfId="30242" xr:uid="{00000000-0005-0000-0000-000022760000}"/>
    <cellStyle name="Normal 4 2 13 2" xfId="30243" xr:uid="{00000000-0005-0000-0000-000023760000}"/>
    <cellStyle name="Normal 4 2 14" xfId="30244" xr:uid="{00000000-0005-0000-0000-000024760000}"/>
    <cellStyle name="Normal 4 2 14 2" xfId="30245" xr:uid="{00000000-0005-0000-0000-000025760000}"/>
    <cellStyle name="Normal 4 2 15" xfId="30246" xr:uid="{00000000-0005-0000-0000-000026760000}"/>
    <cellStyle name="Normal 4 2 15 2" xfId="30247" xr:uid="{00000000-0005-0000-0000-000027760000}"/>
    <cellStyle name="Normal 4 2 16" xfId="30248" xr:uid="{00000000-0005-0000-0000-000028760000}"/>
    <cellStyle name="Normal 4 2 16 2" xfId="30249" xr:uid="{00000000-0005-0000-0000-000029760000}"/>
    <cellStyle name="Normal 4 2 17" xfId="30250" xr:uid="{00000000-0005-0000-0000-00002A760000}"/>
    <cellStyle name="Normal 4 2 17 2" xfId="30251" xr:uid="{00000000-0005-0000-0000-00002B760000}"/>
    <cellStyle name="Normal 4 2 18" xfId="30252" xr:uid="{00000000-0005-0000-0000-00002C760000}"/>
    <cellStyle name="Normal 4 2 18 2" xfId="30253" xr:uid="{00000000-0005-0000-0000-00002D760000}"/>
    <cellStyle name="Normal 4 2 19" xfId="30254" xr:uid="{00000000-0005-0000-0000-00002E760000}"/>
    <cellStyle name="Normal 4 2 19 2" xfId="30255" xr:uid="{00000000-0005-0000-0000-00002F760000}"/>
    <cellStyle name="Normal 4 2 2" xfId="30256" xr:uid="{00000000-0005-0000-0000-000030760000}"/>
    <cellStyle name="Normal 4 2 2 2" xfId="30257" xr:uid="{00000000-0005-0000-0000-000031760000}"/>
    <cellStyle name="Normal 4 2 20" xfId="30258" xr:uid="{00000000-0005-0000-0000-000032760000}"/>
    <cellStyle name="Normal 4 2 20 2" xfId="30259" xr:uid="{00000000-0005-0000-0000-000033760000}"/>
    <cellStyle name="Normal 4 2 21" xfId="30260" xr:uid="{00000000-0005-0000-0000-000034760000}"/>
    <cellStyle name="Normal 4 2 21 2" xfId="30261" xr:uid="{00000000-0005-0000-0000-000035760000}"/>
    <cellStyle name="Normal 4 2 22" xfId="30262" xr:uid="{00000000-0005-0000-0000-000036760000}"/>
    <cellStyle name="Normal 4 2 22 2" xfId="30263" xr:uid="{00000000-0005-0000-0000-000037760000}"/>
    <cellStyle name="Normal 4 2 23" xfId="30264" xr:uid="{00000000-0005-0000-0000-000038760000}"/>
    <cellStyle name="Normal 4 2 23 2" xfId="30265" xr:uid="{00000000-0005-0000-0000-000039760000}"/>
    <cellStyle name="Normal 4 2 24" xfId="30266" xr:uid="{00000000-0005-0000-0000-00003A760000}"/>
    <cellStyle name="Normal 4 2 25" xfId="30267" xr:uid="{00000000-0005-0000-0000-00003B760000}"/>
    <cellStyle name="Normal 4 2 26" xfId="30268" xr:uid="{00000000-0005-0000-0000-00003C760000}"/>
    <cellStyle name="Normal 4 2 27" xfId="30269" xr:uid="{00000000-0005-0000-0000-00003D760000}"/>
    <cellStyle name="Normal 4 2 28" xfId="30270" xr:uid="{00000000-0005-0000-0000-00003E760000}"/>
    <cellStyle name="Normal 4 2 29" xfId="30271" xr:uid="{00000000-0005-0000-0000-00003F760000}"/>
    <cellStyle name="Normal 4 2 3" xfId="30272" xr:uid="{00000000-0005-0000-0000-000040760000}"/>
    <cellStyle name="Normal 4 2 3 2" xfId="30273" xr:uid="{00000000-0005-0000-0000-000041760000}"/>
    <cellStyle name="Normal 4 2 30" xfId="30274" xr:uid="{00000000-0005-0000-0000-000042760000}"/>
    <cellStyle name="Normal 4 2 31" xfId="30275" xr:uid="{00000000-0005-0000-0000-000043760000}"/>
    <cellStyle name="Normal 4 2 32" xfId="30276" xr:uid="{00000000-0005-0000-0000-000044760000}"/>
    <cellStyle name="Normal 4 2 33" xfId="30277" xr:uid="{00000000-0005-0000-0000-000045760000}"/>
    <cellStyle name="Normal 4 2 34" xfId="30278" xr:uid="{00000000-0005-0000-0000-000046760000}"/>
    <cellStyle name="Normal 4 2 35" xfId="30279" xr:uid="{00000000-0005-0000-0000-000047760000}"/>
    <cellStyle name="Normal 4 2 36" xfId="30280" xr:uid="{00000000-0005-0000-0000-000048760000}"/>
    <cellStyle name="Normal 4 2 37" xfId="30281" xr:uid="{00000000-0005-0000-0000-000049760000}"/>
    <cellStyle name="Normal 4 2 38" xfId="30282" xr:uid="{00000000-0005-0000-0000-00004A760000}"/>
    <cellStyle name="Normal 4 2 39" xfId="30283" xr:uid="{00000000-0005-0000-0000-00004B760000}"/>
    <cellStyle name="Normal 4 2 4" xfId="30284" xr:uid="{00000000-0005-0000-0000-00004C760000}"/>
    <cellStyle name="Normal 4 2 4 2" xfId="30285" xr:uid="{00000000-0005-0000-0000-00004D760000}"/>
    <cellStyle name="Normal 4 2 40" xfId="30286" xr:uid="{00000000-0005-0000-0000-00004E760000}"/>
    <cellStyle name="Normal 4 2 41" xfId="30287" xr:uid="{00000000-0005-0000-0000-00004F760000}"/>
    <cellStyle name="Normal 4 2 42" xfId="30288" xr:uid="{00000000-0005-0000-0000-000050760000}"/>
    <cellStyle name="Normal 4 2 43" xfId="30289" xr:uid="{00000000-0005-0000-0000-000051760000}"/>
    <cellStyle name="Normal 4 2 44" xfId="30290" xr:uid="{00000000-0005-0000-0000-000052760000}"/>
    <cellStyle name="Normal 4 2 45" xfId="30291" xr:uid="{00000000-0005-0000-0000-000053760000}"/>
    <cellStyle name="Normal 4 2 46" xfId="30292" xr:uid="{00000000-0005-0000-0000-000054760000}"/>
    <cellStyle name="Normal 4 2 47" xfId="30293" xr:uid="{00000000-0005-0000-0000-000055760000}"/>
    <cellStyle name="Normal 4 2 48" xfId="30294" xr:uid="{00000000-0005-0000-0000-000056760000}"/>
    <cellStyle name="Normal 4 2 49" xfId="30295" xr:uid="{00000000-0005-0000-0000-000057760000}"/>
    <cellStyle name="Normal 4 2 5" xfId="30296" xr:uid="{00000000-0005-0000-0000-000058760000}"/>
    <cellStyle name="Normal 4 2 5 2" xfId="30297" xr:uid="{00000000-0005-0000-0000-000059760000}"/>
    <cellStyle name="Normal 4 2 50" xfId="30298" xr:uid="{00000000-0005-0000-0000-00005A760000}"/>
    <cellStyle name="Normal 4 2 51" xfId="30299" xr:uid="{00000000-0005-0000-0000-00005B760000}"/>
    <cellStyle name="Normal 4 2 52" xfId="30300" xr:uid="{00000000-0005-0000-0000-00005C760000}"/>
    <cellStyle name="Normal 4 2 53" xfId="30301" xr:uid="{00000000-0005-0000-0000-00005D760000}"/>
    <cellStyle name="Normal 4 2 54" xfId="30302" xr:uid="{00000000-0005-0000-0000-00005E760000}"/>
    <cellStyle name="Normal 4 2 55" xfId="30303" xr:uid="{00000000-0005-0000-0000-00005F760000}"/>
    <cellStyle name="Normal 4 2 56" xfId="30304" xr:uid="{00000000-0005-0000-0000-000060760000}"/>
    <cellStyle name="Normal 4 2 57" xfId="30305" xr:uid="{00000000-0005-0000-0000-000061760000}"/>
    <cellStyle name="Normal 4 2 58" xfId="30306" xr:uid="{00000000-0005-0000-0000-000062760000}"/>
    <cellStyle name="Normal 4 2 59" xfId="30307" xr:uid="{00000000-0005-0000-0000-000063760000}"/>
    <cellStyle name="Normal 4 2 6" xfId="30308" xr:uid="{00000000-0005-0000-0000-000064760000}"/>
    <cellStyle name="Normal 4 2 6 2" xfId="30309" xr:uid="{00000000-0005-0000-0000-000065760000}"/>
    <cellStyle name="Normal 4 2 60" xfId="30310" xr:uid="{00000000-0005-0000-0000-000066760000}"/>
    <cellStyle name="Normal 4 2 61" xfId="30311" xr:uid="{00000000-0005-0000-0000-000067760000}"/>
    <cellStyle name="Normal 4 2 62" xfId="30312" xr:uid="{00000000-0005-0000-0000-000068760000}"/>
    <cellStyle name="Normal 4 2 63" xfId="30313" xr:uid="{00000000-0005-0000-0000-000069760000}"/>
    <cellStyle name="Normal 4 2 64" xfId="30314" xr:uid="{00000000-0005-0000-0000-00006A760000}"/>
    <cellStyle name="Normal 4 2 65" xfId="30315" xr:uid="{00000000-0005-0000-0000-00006B760000}"/>
    <cellStyle name="Normal 4 2 66" xfId="30316" xr:uid="{00000000-0005-0000-0000-00006C760000}"/>
    <cellStyle name="Normal 4 2 67" xfId="30317" xr:uid="{00000000-0005-0000-0000-00006D760000}"/>
    <cellStyle name="Normal 4 2 68" xfId="30318" xr:uid="{00000000-0005-0000-0000-00006E760000}"/>
    <cellStyle name="Normal 4 2 69" xfId="30319" xr:uid="{00000000-0005-0000-0000-00006F760000}"/>
    <cellStyle name="Normal 4 2 7" xfId="30320" xr:uid="{00000000-0005-0000-0000-000070760000}"/>
    <cellStyle name="Normal 4 2 7 2" xfId="30321" xr:uid="{00000000-0005-0000-0000-000071760000}"/>
    <cellStyle name="Normal 4 2 70" xfId="30322" xr:uid="{00000000-0005-0000-0000-000072760000}"/>
    <cellStyle name="Normal 4 2 71" xfId="30323" xr:uid="{00000000-0005-0000-0000-000073760000}"/>
    <cellStyle name="Normal 4 2 72" xfId="30324" xr:uid="{00000000-0005-0000-0000-000074760000}"/>
    <cellStyle name="Normal 4 2 73" xfId="30325" xr:uid="{00000000-0005-0000-0000-000075760000}"/>
    <cellStyle name="Normal 4 2 74" xfId="30326" xr:uid="{00000000-0005-0000-0000-000076760000}"/>
    <cellStyle name="Normal 4 2 75" xfId="30327" xr:uid="{00000000-0005-0000-0000-000077760000}"/>
    <cellStyle name="Normal 4 2 76" xfId="30328" xr:uid="{00000000-0005-0000-0000-000078760000}"/>
    <cellStyle name="Normal 4 2 77" xfId="30329" xr:uid="{00000000-0005-0000-0000-000079760000}"/>
    <cellStyle name="Normal 4 2 78" xfId="30330" xr:uid="{00000000-0005-0000-0000-00007A760000}"/>
    <cellStyle name="Normal 4 2 79" xfId="30331" xr:uid="{00000000-0005-0000-0000-00007B760000}"/>
    <cellStyle name="Normal 4 2 8" xfId="30332" xr:uid="{00000000-0005-0000-0000-00007C760000}"/>
    <cellStyle name="Normal 4 2 8 2" xfId="30333" xr:uid="{00000000-0005-0000-0000-00007D760000}"/>
    <cellStyle name="Normal 4 2 80" xfId="30334" xr:uid="{00000000-0005-0000-0000-00007E760000}"/>
    <cellStyle name="Normal 4 2 81" xfId="30335" xr:uid="{00000000-0005-0000-0000-00007F760000}"/>
    <cellStyle name="Normal 4 2 82" xfId="30336" xr:uid="{00000000-0005-0000-0000-000080760000}"/>
    <cellStyle name="Normal 4 2 83" xfId="30337" xr:uid="{00000000-0005-0000-0000-000081760000}"/>
    <cellStyle name="Normal 4 2 84" xfId="30338" xr:uid="{00000000-0005-0000-0000-000082760000}"/>
    <cellStyle name="Normal 4 2 85" xfId="30339" xr:uid="{00000000-0005-0000-0000-000083760000}"/>
    <cellStyle name="Normal 4 2 86" xfId="30340" xr:uid="{00000000-0005-0000-0000-000084760000}"/>
    <cellStyle name="Normal 4 2 87" xfId="30341" xr:uid="{00000000-0005-0000-0000-000085760000}"/>
    <cellStyle name="Normal 4 2 87 2" xfId="30342" xr:uid="{00000000-0005-0000-0000-000086760000}"/>
    <cellStyle name="Normal 4 2 9" xfId="30343" xr:uid="{00000000-0005-0000-0000-000087760000}"/>
    <cellStyle name="Normal 4 2 9 2" xfId="30344" xr:uid="{00000000-0005-0000-0000-000088760000}"/>
    <cellStyle name="Normal 4 2_Xa Parametrización de Usuarios" xfId="30345" xr:uid="{00000000-0005-0000-0000-000089760000}"/>
    <cellStyle name="Normal 4 20" xfId="30346" xr:uid="{00000000-0005-0000-0000-00008A760000}"/>
    <cellStyle name="Normal 4 20 2" xfId="30347" xr:uid="{00000000-0005-0000-0000-00008B760000}"/>
    <cellStyle name="Normal 4 20 3" xfId="30348" xr:uid="{00000000-0005-0000-0000-00008C760000}"/>
    <cellStyle name="Normal 4 20 4" xfId="30349" xr:uid="{00000000-0005-0000-0000-00008D760000}"/>
    <cellStyle name="Normal 4 20_Enlaces" xfId="30350" xr:uid="{00000000-0005-0000-0000-00008E760000}"/>
    <cellStyle name="Normal 4 21" xfId="30351" xr:uid="{00000000-0005-0000-0000-00008F760000}"/>
    <cellStyle name="Normal 4 21 2" xfId="30352" xr:uid="{00000000-0005-0000-0000-000090760000}"/>
    <cellStyle name="Normal 4 21 3" xfId="30353" xr:uid="{00000000-0005-0000-0000-000091760000}"/>
    <cellStyle name="Normal 4 21 4" xfId="30354" xr:uid="{00000000-0005-0000-0000-000092760000}"/>
    <cellStyle name="Normal 4 21_Enlaces" xfId="30355" xr:uid="{00000000-0005-0000-0000-000093760000}"/>
    <cellStyle name="Normal 4 22" xfId="30356" xr:uid="{00000000-0005-0000-0000-000094760000}"/>
    <cellStyle name="Normal 4 22 2" xfId="30357" xr:uid="{00000000-0005-0000-0000-000095760000}"/>
    <cellStyle name="Normal 4 22 3" xfId="30358" xr:uid="{00000000-0005-0000-0000-000096760000}"/>
    <cellStyle name="Normal 4 22 4" xfId="30359" xr:uid="{00000000-0005-0000-0000-000097760000}"/>
    <cellStyle name="Normal 4 22_Enlaces" xfId="30360" xr:uid="{00000000-0005-0000-0000-000098760000}"/>
    <cellStyle name="Normal 4 23" xfId="30361" xr:uid="{00000000-0005-0000-0000-000099760000}"/>
    <cellStyle name="Normal 4 23 2" xfId="30362" xr:uid="{00000000-0005-0000-0000-00009A760000}"/>
    <cellStyle name="Normal 4 23 3" xfId="30363" xr:uid="{00000000-0005-0000-0000-00009B760000}"/>
    <cellStyle name="Normal 4 23 4" xfId="30364" xr:uid="{00000000-0005-0000-0000-00009C760000}"/>
    <cellStyle name="Normal 4 23_Enlaces" xfId="30365" xr:uid="{00000000-0005-0000-0000-00009D760000}"/>
    <cellStyle name="Normal 4 24" xfId="30366" xr:uid="{00000000-0005-0000-0000-00009E760000}"/>
    <cellStyle name="Normal 4 24 2" xfId="30367" xr:uid="{00000000-0005-0000-0000-00009F760000}"/>
    <cellStyle name="Normal 4 24 3" xfId="30368" xr:uid="{00000000-0005-0000-0000-0000A0760000}"/>
    <cellStyle name="Normal 4 24 4" xfId="30369" xr:uid="{00000000-0005-0000-0000-0000A1760000}"/>
    <cellStyle name="Normal 4 24_Enlaces" xfId="30370" xr:uid="{00000000-0005-0000-0000-0000A2760000}"/>
    <cellStyle name="Normal 4 25" xfId="30371" xr:uid="{00000000-0005-0000-0000-0000A3760000}"/>
    <cellStyle name="Normal 4 25 2" xfId="30372" xr:uid="{00000000-0005-0000-0000-0000A4760000}"/>
    <cellStyle name="Normal 4 25 3" xfId="30373" xr:uid="{00000000-0005-0000-0000-0000A5760000}"/>
    <cellStyle name="Normal 4 25 4" xfId="30374" xr:uid="{00000000-0005-0000-0000-0000A6760000}"/>
    <cellStyle name="Normal 4 25_Enlaces" xfId="30375" xr:uid="{00000000-0005-0000-0000-0000A7760000}"/>
    <cellStyle name="Normal 4 26" xfId="30376" xr:uid="{00000000-0005-0000-0000-0000A8760000}"/>
    <cellStyle name="Normal 4 26 2" xfId="30377" xr:uid="{00000000-0005-0000-0000-0000A9760000}"/>
    <cellStyle name="Normal 4 26 3" xfId="30378" xr:uid="{00000000-0005-0000-0000-0000AA760000}"/>
    <cellStyle name="Normal 4 26 4" xfId="30379" xr:uid="{00000000-0005-0000-0000-0000AB760000}"/>
    <cellStyle name="Normal 4 26_Enlaces" xfId="30380" xr:uid="{00000000-0005-0000-0000-0000AC760000}"/>
    <cellStyle name="Normal 4 27" xfId="30381" xr:uid="{00000000-0005-0000-0000-0000AD760000}"/>
    <cellStyle name="Normal 4 27 2" xfId="30382" xr:uid="{00000000-0005-0000-0000-0000AE760000}"/>
    <cellStyle name="Normal 4 27 3" xfId="30383" xr:uid="{00000000-0005-0000-0000-0000AF760000}"/>
    <cellStyle name="Normal 4 28" xfId="30384" xr:uid="{00000000-0005-0000-0000-0000B0760000}"/>
    <cellStyle name="Normal 4 28 2" xfId="30385" xr:uid="{00000000-0005-0000-0000-0000B1760000}"/>
    <cellStyle name="Normal 4 28 3" xfId="30386" xr:uid="{00000000-0005-0000-0000-0000B2760000}"/>
    <cellStyle name="Normal 4 29" xfId="30387" xr:uid="{00000000-0005-0000-0000-0000B3760000}"/>
    <cellStyle name="Normal 4 29 2" xfId="30388" xr:uid="{00000000-0005-0000-0000-0000B4760000}"/>
    <cellStyle name="Normal 4 29 3" xfId="30389" xr:uid="{00000000-0005-0000-0000-0000B5760000}"/>
    <cellStyle name="Normal 4 3" xfId="30390" xr:uid="{00000000-0005-0000-0000-0000B6760000}"/>
    <cellStyle name="Normal 4 3 10" xfId="30391" xr:uid="{00000000-0005-0000-0000-0000B7760000}"/>
    <cellStyle name="Normal 4 3 11" xfId="30392" xr:uid="{00000000-0005-0000-0000-0000B8760000}"/>
    <cellStyle name="Normal 4 3 12" xfId="30393" xr:uid="{00000000-0005-0000-0000-0000B9760000}"/>
    <cellStyle name="Normal 4 3 13" xfId="30394" xr:uid="{00000000-0005-0000-0000-0000BA760000}"/>
    <cellStyle name="Normal 4 3 14" xfId="30395" xr:uid="{00000000-0005-0000-0000-0000BB760000}"/>
    <cellStyle name="Normal 4 3 15" xfId="30396" xr:uid="{00000000-0005-0000-0000-0000BC760000}"/>
    <cellStyle name="Normal 4 3 16" xfId="30397" xr:uid="{00000000-0005-0000-0000-0000BD760000}"/>
    <cellStyle name="Normal 4 3 17" xfId="30398" xr:uid="{00000000-0005-0000-0000-0000BE760000}"/>
    <cellStyle name="Normal 4 3 18" xfId="30399" xr:uid="{00000000-0005-0000-0000-0000BF760000}"/>
    <cellStyle name="Normal 4 3 19" xfId="30400" xr:uid="{00000000-0005-0000-0000-0000C0760000}"/>
    <cellStyle name="Normal 4 3 2" xfId="30401" xr:uid="{00000000-0005-0000-0000-0000C1760000}"/>
    <cellStyle name="Normal 4 3 2 2" xfId="30402" xr:uid="{00000000-0005-0000-0000-0000C2760000}"/>
    <cellStyle name="Normal 4 3 20" xfId="30403" xr:uid="{00000000-0005-0000-0000-0000C3760000}"/>
    <cellStyle name="Normal 4 3 21" xfId="30404" xr:uid="{00000000-0005-0000-0000-0000C4760000}"/>
    <cellStyle name="Normal 4 3 22" xfId="30405" xr:uid="{00000000-0005-0000-0000-0000C5760000}"/>
    <cellStyle name="Normal 4 3 23" xfId="30406" xr:uid="{00000000-0005-0000-0000-0000C6760000}"/>
    <cellStyle name="Normal 4 3 24" xfId="30407" xr:uid="{00000000-0005-0000-0000-0000C7760000}"/>
    <cellStyle name="Normal 4 3 25" xfId="30408" xr:uid="{00000000-0005-0000-0000-0000C8760000}"/>
    <cellStyle name="Normal 4 3 26" xfId="30409" xr:uid="{00000000-0005-0000-0000-0000C9760000}"/>
    <cellStyle name="Normal 4 3 27" xfId="30410" xr:uid="{00000000-0005-0000-0000-0000CA760000}"/>
    <cellStyle name="Normal 4 3 28" xfId="30411" xr:uid="{00000000-0005-0000-0000-0000CB760000}"/>
    <cellStyle name="Normal 4 3 29" xfId="30412" xr:uid="{00000000-0005-0000-0000-0000CC760000}"/>
    <cellStyle name="Normal 4 3 3" xfId="30413" xr:uid="{00000000-0005-0000-0000-0000CD760000}"/>
    <cellStyle name="Normal 4 3 30" xfId="30414" xr:uid="{00000000-0005-0000-0000-0000CE760000}"/>
    <cellStyle name="Normal 4 3 31" xfId="30415" xr:uid="{00000000-0005-0000-0000-0000CF760000}"/>
    <cellStyle name="Normal 4 3 32" xfId="30416" xr:uid="{00000000-0005-0000-0000-0000D0760000}"/>
    <cellStyle name="Normal 4 3 33" xfId="30417" xr:uid="{00000000-0005-0000-0000-0000D1760000}"/>
    <cellStyle name="Normal 4 3 34" xfId="30418" xr:uid="{00000000-0005-0000-0000-0000D2760000}"/>
    <cellStyle name="Normal 4 3 4" xfId="30419" xr:uid="{00000000-0005-0000-0000-0000D3760000}"/>
    <cellStyle name="Normal 4 3 5" xfId="30420" xr:uid="{00000000-0005-0000-0000-0000D4760000}"/>
    <cellStyle name="Normal 4 3 6" xfId="30421" xr:uid="{00000000-0005-0000-0000-0000D5760000}"/>
    <cellStyle name="Normal 4 3 7" xfId="30422" xr:uid="{00000000-0005-0000-0000-0000D6760000}"/>
    <cellStyle name="Normal 4 3 8" xfId="30423" xr:uid="{00000000-0005-0000-0000-0000D7760000}"/>
    <cellStyle name="Normal 4 3 9" xfId="30424" xr:uid="{00000000-0005-0000-0000-0000D8760000}"/>
    <cellStyle name="Normal 4 3_Enlaces" xfId="30425" xr:uid="{00000000-0005-0000-0000-0000D9760000}"/>
    <cellStyle name="Normal 4 30" xfId="30426" xr:uid="{00000000-0005-0000-0000-0000DA760000}"/>
    <cellStyle name="Normal 4 30 2" xfId="30427" xr:uid="{00000000-0005-0000-0000-0000DB760000}"/>
    <cellStyle name="Normal 4 30 3" xfId="30428" xr:uid="{00000000-0005-0000-0000-0000DC760000}"/>
    <cellStyle name="Normal 4 31" xfId="30429" xr:uid="{00000000-0005-0000-0000-0000DD760000}"/>
    <cellStyle name="Normal 4 31 2" xfId="30430" xr:uid="{00000000-0005-0000-0000-0000DE760000}"/>
    <cellStyle name="Normal 4 31 3" xfId="30431" xr:uid="{00000000-0005-0000-0000-0000DF760000}"/>
    <cellStyle name="Normal 4 32" xfId="30432" xr:uid="{00000000-0005-0000-0000-0000E0760000}"/>
    <cellStyle name="Normal 4 32 2" xfId="30433" xr:uid="{00000000-0005-0000-0000-0000E1760000}"/>
    <cellStyle name="Normal 4 32 3" xfId="30434" xr:uid="{00000000-0005-0000-0000-0000E2760000}"/>
    <cellStyle name="Normal 4 33" xfId="30435" xr:uid="{00000000-0005-0000-0000-0000E3760000}"/>
    <cellStyle name="Normal 4 33 2" xfId="30436" xr:uid="{00000000-0005-0000-0000-0000E4760000}"/>
    <cellStyle name="Normal 4 33 3" xfId="30437" xr:uid="{00000000-0005-0000-0000-0000E5760000}"/>
    <cellStyle name="Normal 4 34" xfId="30438" xr:uid="{00000000-0005-0000-0000-0000E6760000}"/>
    <cellStyle name="Normal 4 34 2" xfId="30439" xr:uid="{00000000-0005-0000-0000-0000E7760000}"/>
    <cellStyle name="Normal 4 34 3" xfId="30440" xr:uid="{00000000-0005-0000-0000-0000E8760000}"/>
    <cellStyle name="Normal 4 35" xfId="30441" xr:uid="{00000000-0005-0000-0000-0000E9760000}"/>
    <cellStyle name="Normal 4 35 2" xfId="30442" xr:uid="{00000000-0005-0000-0000-0000EA760000}"/>
    <cellStyle name="Normal 4 35 3" xfId="30443" xr:uid="{00000000-0005-0000-0000-0000EB760000}"/>
    <cellStyle name="Normal 4 36" xfId="30444" xr:uid="{00000000-0005-0000-0000-0000EC760000}"/>
    <cellStyle name="Normal 4 36 2" xfId="30445" xr:uid="{00000000-0005-0000-0000-0000ED760000}"/>
    <cellStyle name="Normal 4 36 3" xfId="30446" xr:uid="{00000000-0005-0000-0000-0000EE760000}"/>
    <cellStyle name="Normal 4 37" xfId="30447" xr:uid="{00000000-0005-0000-0000-0000EF760000}"/>
    <cellStyle name="Normal 4 37 2" xfId="30448" xr:uid="{00000000-0005-0000-0000-0000F0760000}"/>
    <cellStyle name="Normal 4 37 3" xfId="30449" xr:uid="{00000000-0005-0000-0000-0000F1760000}"/>
    <cellStyle name="Normal 4 38" xfId="30450" xr:uid="{00000000-0005-0000-0000-0000F2760000}"/>
    <cellStyle name="Normal 4 38 2" xfId="30451" xr:uid="{00000000-0005-0000-0000-0000F3760000}"/>
    <cellStyle name="Normal 4 38 3" xfId="30452" xr:uid="{00000000-0005-0000-0000-0000F4760000}"/>
    <cellStyle name="Normal 4 39" xfId="30453" xr:uid="{00000000-0005-0000-0000-0000F5760000}"/>
    <cellStyle name="Normal 4 39 2" xfId="30454" xr:uid="{00000000-0005-0000-0000-0000F6760000}"/>
    <cellStyle name="Normal 4 39 3" xfId="30455" xr:uid="{00000000-0005-0000-0000-0000F7760000}"/>
    <cellStyle name="Normal 4 4" xfId="30456" xr:uid="{00000000-0005-0000-0000-0000F8760000}"/>
    <cellStyle name="Normal 4 4 2" xfId="30457" xr:uid="{00000000-0005-0000-0000-0000F9760000}"/>
    <cellStyle name="Normal 4 4 3" xfId="30458" xr:uid="{00000000-0005-0000-0000-0000FA760000}"/>
    <cellStyle name="Normal 4 4 4" xfId="30459" xr:uid="{00000000-0005-0000-0000-0000FB760000}"/>
    <cellStyle name="Normal 4 4 5" xfId="30460" xr:uid="{00000000-0005-0000-0000-0000FC760000}"/>
    <cellStyle name="Normal 4 4_Enlaces" xfId="30461" xr:uid="{00000000-0005-0000-0000-0000FD760000}"/>
    <cellStyle name="Normal 4 40" xfId="30462" xr:uid="{00000000-0005-0000-0000-0000FE760000}"/>
    <cellStyle name="Normal 4 40 2" xfId="30463" xr:uid="{00000000-0005-0000-0000-0000FF760000}"/>
    <cellStyle name="Normal 4 40 3" xfId="30464" xr:uid="{00000000-0005-0000-0000-000000770000}"/>
    <cellStyle name="Normal 4 41" xfId="30465" xr:uid="{00000000-0005-0000-0000-000001770000}"/>
    <cellStyle name="Normal 4 41 2" xfId="30466" xr:uid="{00000000-0005-0000-0000-000002770000}"/>
    <cellStyle name="Normal 4 41 3" xfId="30467" xr:uid="{00000000-0005-0000-0000-000003770000}"/>
    <cellStyle name="Normal 4 42" xfId="30468" xr:uid="{00000000-0005-0000-0000-000004770000}"/>
    <cellStyle name="Normal 4 42 2" xfId="30469" xr:uid="{00000000-0005-0000-0000-000005770000}"/>
    <cellStyle name="Normal 4 42 3" xfId="30470" xr:uid="{00000000-0005-0000-0000-000006770000}"/>
    <cellStyle name="Normal 4 43" xfId="30471" xr:uid="{00000000-0005-0000-0000-000007770000}"/>
    <cellStyle name="Normal 4 43 2" xfId="30472" xr:uid="{00000000-0005-0000-0000-000008770000}"/>
    <cellStyle name="Normal 4 43 3" xfId="30473" xr:uid="{00000000-0005-0000-0000-000009770000}"/>
    <cellStyle name="Normal 4 44" xfId="30474" xr:uid="{00000000-0005-0000-0000-00000A770000}"/>
    <cellStyle name="Normal 4 44 2" xfId="30475" xr:uid="{00000000-0005-0000-0000-00000B770000}"/>
    <cellStyle name="Normal 4 44 3" xfId="30476" xr:uid="{00000000-0005-0000-0000-00000C770000}"/>
    <cellStyle name="Normal 4 45" xfId="30477" xr:uid="{00000000-0005-0000-0000-00000D770000}"/>
    <cellStyle name="Normal 4 45 2" xfId="30478" xr:uid="{00000000-0005-0000-0000-00000E770000}"/>
    <cellStyle name="Normal 4 45 3" xfId="30479" xr:uid="{00000000-0005-0000-0000-00000F770000}"/>
    <cellStyle name="Normal 4 46" xfId="30480" xr:uid="{00000000-0005-0000-0000-000010770000}"/>
    <cellStyle name="Normal 4 46 2" xfId="30481" xr:uid="{00000000-0005-0000-0000-000011770000}"/>
    <cellStyle name="Normal 4 46 3" xfId="30482" xr:uid="{00000000-0005-0000-0000-000012770000}"/>
    <cellStyle name="Normal 4 47" xfId="30483" xr:uid="{00000000-0005-0000-0000-000013770000}"/>
    <cellStyle name="Normal 4 48" xfId="30484" xr:uid="{00000000-0005-0000-0000-000014770000}"/>
    <cellStyle name="Normal 4 49" xfId="30485" xr:uid="{00000000-0005-0000-0000-000015770000}"/>
    <cellStyle name="Normal 4 5" xfId="30486" xr:uid="{00000000-0005-0000-0000-000016770000}"/>
    <cellStyle name="Normal 4 5 2" xfId="30487" xr:uid="{00000000-0005-0000-0000-000017770000}"/>
    <cellStyle name="Normal 4 5 3" xfId="30488" xr:uid="{00000000-0005-0000-0000-000018770000}"/>
    <cellStyle name="Normal 4 5 4" xfId="30489" xr:uid="{00000000-0005-0000-0000-000019770000}"/>
    <cellStyle name="Normal 4 5 5" xfId="30490" xr:uid="{00000000-0005-0000-0000-00001A770000}"/>
    <cellStyle name="Normal 4 5_Enlaces" xfId="30491" xr:uid="{00000000-0005-0000-0000-00001B770000}"/>
    <cellStyle name="Normal 4 50" xfId="30492" xr:uid="{00000000-0005-0000-0000-00001C770000}"/>
    <cellStyle name="Normal 4 51" xfId="30493" xr:uid="{00000000-0005-0000-0000-00001D770000}"/>
    <cellStyle name="Normal 4 52" xfId="30494" xr:uid="{00000000-0005-0000-0000-00001E770000}"/>
    <cellStyle name="Normal 4 53" xfId="30495" xr:uid="{00000000-0005-0000-0000-00001F770000}"/>
    <cellStyle name="Normal 4 54" xfId="30496" xr:uid="{00000000-0005-0000-0000-000020770000}"/>
    <cellStyle name="Normal 4 55" xfId="30497" xr:uid="{00000000-0005-0000-0000-000021770000}"/>
    <cellStyle name="Normal 4 56" xfId="30498" xr:uid="{00000000-0005-0000-0000-000022770000}"/>
    <cellStyle name="Normal 4 57" xfId="30499" xr:uid="{00000000-0005-0000-0000-000023770000}"/>
    <cellStyle name="Normal 4 58" xfId="30500" xr:uid="{00000000-0005-0000-0000-000024770000}"/>
    <cellStyle name="Normal 4 59" xfId="30501" xr:uid="{00000000-0005-0000-0000-000025770000}"/>
    <cellStyle name="Normal 4 6" xfId="30502" xr:uid="{00000000-0005-0000-0000-000026770000}"/>
    <cellStyle name="Normal 4 6 2" xfId="30503" xr:uid="{00000000-0005-0000-0000-000027770000}"/>
    <cellStyle name="Normal 4 6 3" xfId="30504" xr:uid="{00000000-0005-0000-0000-000028770000}"/>
    <cellStyle name="Normal 4 6 4" xfId="30505" xr:uid="{00000000-0005-0000-0000-000029770000}"/>
    <cellStyle name="Normal 4 6 5" xfId="30506" xr:uid="{00000000-0005-0000-0000-00002A770000}"/>
    <cellStyle name="Normal 4 6_Enlaces" xfId="30507" xr:uid="{00000000-0005-0000-0000-00002B770000}"/>
    <cellStyle name="Normal 4 60" xfId="30508" xr:uid="{00000000-0005-0000-0000-00002C770000}"/>
    <cellStyle name="Normal 4 61" xfId="30509" xr:uid="{00000000-0005-0000-0000-00002D770000}"/>
    <cellStyle name="Normal 4 62" xfId="30510" xr:uid="{00000000-0005-0000-0000-00002E770000}"/>
    <cellStyle name="Normal 4 63" xfId="30511" xr:uid="{00000000-0005-0000-0000-00002F770000}"/>
    <cellStyle name="Normal 4 64" xfId="30512" xr:uid="{00000000-0005-0000-0000-000030770000}"/>
    <cellStyle name="Normal 4 65" xfId="30513" xr:uid="{00000000-0005-0000-0000-000031770000}"/>
    <cellStyle name="Normal 4 66" xfId="30514" xr:uid="{00000000-0005-0000-0000-000032770000}"/>
    <cellStyle name="Normal 4 67" xfId="30515" xr:uid="{00000000-0005-0000-0000-000033770000}"/>
    <cellStyle name="Normal 4 68" xfId="30516" xr:uid="{00000000-0005-0000-0000-000034770000}"/>
    <cellStyle name="Normal 4 69" xfId="30517" xr:uid="{00000000-0005-0000-0000-000035770000}"/>
    <cellStyle name="Normal 4 7" xfId="30518" xr:uid="{00000000-0005-0000-0000-000036770000}"/>
    <cellStyle name="Normal 4 7 2" xfId="30519" xr:uid="{00000000-0005-0000-0000-000037770000}"/>
    <cellStyle name="Normal 4 7 3" xfId="30520" xr:uid="{00000000-0005-0000-0000-000038770000}"/>
    <cellStyle name="Normal 4 7 4" xfId="30521" xr:uid="{00000000-0005-0000-0000-000039770000}"/>
    <cellStyle name="Normal 4 7 5" xfId="30522" xr:uid="{00000000-0005-0000-0000-00003A770000}"/>
    <cellStyle name="Normal 4 7_Enlaces" xfId="30523" xr:uid="{00000000-0005-0000-0000-00003B770000}"/>
    <cellStyle name="Normal 4 70" xfId="30524" xr:uid="{00000000-0005-0000-0000-00003C770000}"/>
    <cellStyle name="Normal 4 71" xfId="30525" xr:uid="{00000000-0005-0000-0000-00003D770000}"/>
    <cellStyle name="Normal 4 72" xfId="30526" xr:uid="{00000000-0005-0000-0000-00003E770000}"/>
    <cellStyle name="Normal 4 73" xfId="30527" xr:uid="{00000000-0005-0000-0000-00003F770000}"/>
    <cellStyle name="Normal 4 74" xfId="30528" xr:uid="{00000000-0005-0000-0000-000040770000}"/>
    <cellStyle name="Normal 4 75" xfId="30529" xr:uid="{00000000-0005-0000-0000-000041770000}"/>
    <cellStyle name="Normal 4 76" xfId="30530" xr:uid="{00000000-0005-0000-0000-000042770000}"/>
    <cellStyle name="Normal 4 77" xfId="30531" xr:uid="{00000000-0005-0000-0000-000043770000}"/>
    <cellStyle name="Normal 4 78" xfId="30532" xr:uid="{00000000-0005-0000-0000-000044770000}"/>
    <cellStyle name="Normal 4 79" xfId="30533" xr:uid="{00000000-0005-0000-0000-000045770000}"/>
    <cellStyle name="Normal 4 8" xfId="30534" xr:uid="{00000000-0005-0000-0000-000046770000}"/>
    <cellStyle name="Normal 4 8 2" xfId="30535" xr:uid="{00000000-0005-0000-0000-000047770000}"/>
    <cellStyle name="Normal 4 8 3" xfId="30536" xr:uid="{00000000-0005-0000-0000-000048770000}"/>
    <cellStyle name="Normal 4 8 4" xfId="30537" xr:uid="{00000000-0005-0000-0000-000049770000}"/>
    <cellStyle name="Normal 4 8 5" xfId="30538" xr:uid="{00000000-0005-0000-0000-00004A770000}"/>
    <cellStyle name="Normal 4 8_Enlaces" xfId="30539" xr:uid="{00000000-0005-0000-0000-00004B770000}"/>
    <cellStyle name="Normal 4 80" xfId="30540" xr:uid="{00000000-0005-0000-0000-00004C770000}"/>
    <cellStyle name="Normal 4 81" xfId="30541" xr:uid="{00000000-0005-0000-0000-00004D770000}"/>
    <cellStyle name="Normal 4 82" xfId="30542" xr:uid="{00000000-0005-0000-0000-00004E770000}"/>
    <cellStyle name="Normal 4 83" xfId="30543" xr:uid="{00000000-0005-0000-0000-00004F770000}"/>
    <cellStyle name="Normal 4 84" xfId="30544" xr:uid="{00000000-0005-0000-0000-000050770000}"/>
    <cellStyle name="Normal 4 85" xfId="30545" xr:uid="{00000000-0005-0000-0000-000051770000}"/>
    <cellStyle name="Normal 4 86" xfId="30546" xr:uid="{00000000-0005-0000-0000-000052770000}"/>
    <cellStyle name="Normal 4 87" xfId="30547" xr:uid="{00000000-0005-0000-0000-000053770000}"/>
    <cellStyle name="Normal 4 88" xfId="30548" xr:uid="{00000000-0005-0000-0000-000054770000}"/>
    <cellStyle name="Normal 4 89" xfId="30549" xr:uid="{00000000-0005-0000-0000-000055770000}"/>
    <cellStyle name="Normal 4 9" xfId="30550" xr:uid="{00000000-0005-0000-0000-000056770000}"/>
    <cellStyle name="Normal 4 9 2" xfId="30551" xr:uid="{00000000-0005-0000-0000-000057770000}"/>
    <cellStyle name="Normal 4 9 3" xfId="30552" xr:uid="{00000000-0005-0000-0000-000058770000}"/>
    <cellStyle name="Normal 4 9 4" xfId="30553" xr:uid="{00000000-0005-0000-0000-000059770000}"/>
    <cellStyle name="Normal 4 9 5" xfId="30554" xr:uid="{00000000-0005-0000-0000-00005A770000}"/>
    <cellStyle name="Normal 4 9_Enlaces" xfId="30555" xr:uid="{00000000-0005-0000-0000-00005B770000}"/>
    <cellStyle name="Normal 4 90" xfId="30556" xr:uid="{00000000-0005-0000-0000-00005C770000}"/>
    <cellStyle name="Normal 4 91" xfId="30557" xr:uid="{00000000-0005-0000-0000-00005D770000}"/>
    <cellStyle name="Normal 4 92" xfId="30558" xr:uid="{00000000-0005-0000-0000-00005E770000}"/>
    <cellStyle name="Normal 4 93" xfId="30559" xr:uid="{00000000-0005-0000-0000-00005F770000}"/>
    <cellStyle name="Normal 4 94" xfId="30560" xr:uid="{00000000-0005-0000-0000-000060770000}"/>
    <cellStyle name="Normal 4 95" xfId="30561" xr:uid="{00000000-0005-0000-0000-000061770000}"/>
    <cellStyle name="Normal 4 96" xfId="30562" xr:uid="{00000000-0005-0000-0000-000062770000}"/>
    <cellStyle name="Normal 4 97" xfId="30563" xr:uid="{00000000-0005-0000-0000-000063770000}"/>
    <cellStyle name="Normal 4 98" xfId="30564" xr:uid="{00000000-0005-0000-0000-000064770000}"/>
    <cellStyle name="Normal 4 98 2" xfId="30565" xr:uid="{00000000-0005-0000-0000-000065770000}"/>
    <cellStyle name="Normal 4 98 3" xfId="30566" xr:uid="{00000000-0005-0000-0000-000066770000}"/>
    <cellStyle name="Normal 4 98 4" xfId="30567" xr:uid="{00000000-0005-0000-0000-000067770000}"/>
    <cellStyle name="Normal 4 98 5" xfId="30568" xr:uid="{00000000-0005-0000-0000-000068770000}"/>
    <cellStyle name="Normal 4 98 6" xfId="30569" xr:uid="{00000000-0005-0000-0000-000069770000}"/>
    <cellStyle name="Normal 4 99" xfId="30570" xr:uid="{00000000-0005-0000-0000-00006A770000}"/>
    <cellStyle name="Normal 4 99 2" xfId="30571" xr:uid="{00000000-0005-0000-0000-00006B770000}"/>
    <cellStyle name="Normal 4 99 3" xfId="30572" xr:uid="{00000000-0005-0000-0000-00006C770000}"/>
    <cellStyle name="Normal 4 99 4" xfId="30573" xr:uid="{00000000-0005-0000-0000-00006D770000}"/>
    <cellStyle name="Normal 4 99 5" xfId="30574" xr:uid="{00000000-0005-0000-0000-00006E770000}"/>
    <cellStyle name="Normal 4 99 6" xfId="30575" xr:uid="{00000000-0005-0000-0000-00006F770000}"/>
    <cellStyle name="Normal 4_Enlaces" xfId="30576" xr:uid="{00000000-0005-0000-0000-000070770000}"/>
    <cellStyle name="Normal 40" xfId="30577" xr:uid="{00000000-0005-0000-0000-000071770000}"/>
    <cellStyle name="Normal 40 10" xfId="30578" xr:uid="{00000000-0005-0000-0000-000072770000}"/>
    <cellStyle name="Normal 40 11" xfId="30579" xr:uid="{00000000-0005-0000-0000-000073770000}"/>
    <cellStyle name="Normal 40 12" xfId="30580" xr:uid="{00000000-0005-0000-0000-000074770000}"/>
    <cellStyle name="Normal 40 13" xfId="30581" xr:uid="{00000000-0005-0000-0000-000075770000}"/>
    <cellStyle name="Normal 40 14" xfId="30582" xr:uid="{00000000-0005-0000-0000-000076770000}"/>
    <cellStyle name="Normal 40 15" xfId="30583" xr:uid="{00000000-0005-0000-0000-000077770000}"/>
    <cellStyle name="Normal 40 16" xfId="30584" xr:uid="{00000000-0005-0000-0000-000078770000}"/>
    <cellStyle name="Normal 40 17" xfId="30585" xr:uid="{00000000-0005-0000-0000-000079770000}"/>
    <cellStyle name="Normal 40 18" xfId="30586" xr:uid="{00000000-0005-0000-0000-00007A770000}"/>
    <cellStyle name="Normal 40 19" xfId="30587" xr:uid="{00000000-0005-0000-0000-00007B770000}"/>
    <cellStyle name="Normal 40 2" xfId="30588" xr:uid="{00000000-0005-0000-0000-00007C770000}"/>
    <cellStyle name="Normal 40 2 2" xfId="30589" xr:uid="{00000000-0005-0000-0000-00007D770000}"/>
    <cellStyle name="Normal 40 20" xfId="30590" xr:uid="{00000000-0005-0000-0000-00007E770000}"/>
    <cellStyle name="Normal 40 21" xfId="30591" xr:uid="{00000000-0005-0000-0000-00007F770000}"/>
    <cellStyle name="Normal 40 22" xfId="30592" xr:uid="{00000000-0005-0000-0000-000080770000}"/>
    <cellStyle name="Normal 40 23" xfId="30593" xr:uid="{00000000-0005-0000-0000-000081770000}"/>
    <cellStyle name="Normal 40 24" xfId="30594" xr:uid="{00000000-0005-0000-0000-000082770000}"/>
    <cellStyle name="Normal 40 25" xfId="30595" xr:uid="{00000000-0005-0000-0000-000083770000}"/>
    <cellStyle name="Normal 40 26" xfId="30596" xr:uid="{00000000-0005-0000-0000-000084770000}"/>
    <cellStyle name="Normal 40 3" xfId="30597" xr:uid="{00000000-0005-0000-0000-000085770000}"/>
    <cellStyle name="Normal 40 3 2" xfId="30598" xr:uid="{00000000-0005-0000-0000-000086770000}"/>
    <cellStyle name="Normal 40 4" xfId="30599" xr:uid="{00000000-0005-0000-0000-000087770000}"/>
    <cellStyle name="Normal 40 4 2" xfId="30600" xr:uid="{00000000-0005-0000-0000-000088770000}"/>
    <cellStyle name="Normal 40 5" xfId="30601" xr:uid="{00000000-0005-0000-0000-000089770000}"/>
    <cellStyle name="Normal 40 5 2" xfId="30602" xr:uid="{00000000-0005-0000-0000-00008A770000}"/>
    <cellStyle name="Normal 40 6" xfId="30603" xr:uid="{00000000-0005-0000-0000-00008B770000}"/>
    <cellStyle name="Normal 40 7" xfId="30604" xr:uid="{00000000-0005-0000-0000-00008C770000}"/>
    <cellStyle name="Normal 40 8" xfId="30605" xr:uid="{00000000-0005-0000-0000-00008D770000}"/>
    <cellStyle name="Normal 40 9" xfId="30606" xr:uid="{00000000-0005-0000-0000-00008E770000}"/>
    <cellStyle name="Normal 41" xfId="30607" xr:uid="{00000000-0005-0000-0000-00008F770000}"/>
    <cellStyle name="Normal 41 10" xfId="30608" xr:uid="{00000000-0005-0000-0000-000090770000}"/>
    <cellStyle name="Normal 41 11" xfId="30609" xr:uid="{00000000-0005-0000-0000-000091770000}"/>
    <cellStyle name="Normal 41 12" xfId="30610" xr:uid="{00000000-0005-0000-0000-000092770000}"/>
    <cellStyle name="Normal 41 13" xfId="30611" xr:uid="{00000000-0005-0000-0000-000093770000}"/>
    <cellStyle name="Normal 41 14" xfId="30612" xr:uid="{00000000-0005-0000-0000-000094770000}"/>
    <cellStyle name="Normal 41 15" xfId="30613" xr:uid="{00000000-0005-0000-0000-000095770000}"/>
    <cellStyle name="Normal 41 16" xfId="30614" xr:uid="{00000000-0005-0000-0000-000096770000}"/>
    <cellStyle name="Normal 41 17" xfId="30615" xr:uid="{00000000-0005-0000-0000-000097770000}"/>
    <cellStyle name="Normal 41 18" xfId="30616" xr:uid="{00000000-0005-0000-0000-000098770000}"/>
    <cellStyle name="Normal 41 19" xfId="30617" xr:uid="{00000000-0005-0000-0000-000099770000}"/>
    <cellStyle name="Normal 41 2" xfId="30618" xr:uid="{00000000-0005-0000-0000-00009A770000}"/>
    <cellStyle name="Normal 41 2 2" xfId="30619" xr:uid="{00000000-0005-0000-0000-00009B770000}"/>
    <cellStyle name="Normal 41 20" xfId="30620" xr:uid="{00000000-0005-0000-0000-00009C770000}"/>
    <cellStyle name="Normal 41 21" xfId="30621" xr:uid="{00000000-0005-0000-0000-00009D770000}"/>
    <cellStyle name="Normal 41 22" xfId="30622" xr:uid="{00000000-0005-0000-0000-00009E770000}"/>
    <cellStyle name="Normal 41 23" xfId="30623" xr:uid="{00000000-0005-0000-0000-00009F770000}"/>
    <cellStyle name="Normal 41 24" xfId="30624" xr:uid="{00000000-0005-0000-0000-0000A0770000}"/>
    <cellStyle name="Normal 41 25" xfId="30625" xr:uid="{00000000-0005-0000-0000-0000A1770000}"/>
    <cellStyle name="Normal 41 26" xfId="30626" xr:uid="{00000000-0005-0000-0000-0000A2770000}"/>
    <cellStyle name="Normal 41 3" xfId="30627" xr:uid="{00000000-0005-0000-0000-0000A3770000}"/>
    <cellStyle name="Normal 41 3 2" xfId="30628" xr:uid="{00000000-0005-0000-0000-0000A4770000}"/>
    <cellStyle name="Normal 41 4" xfId="30629" xr:uid="{00000000-0005-0000-0000-0000A5770000}"/>
    <cellStyle name="Normal 41 4 2" xfId="30630" xr:uid="{00000000-0005-0000-0000-0000A6770000}"/>
    <cellStyle name="Normal 41 5" xfId="30631" xr:uid="{00000000-0005-0000-0000-0000A7770000}"/>
    <cellStyle name="Normal 41 5 2" xfId="30632" xr:uid="{00000000-0005-0000-0000-0000A8770000}"/>
    <cellStyle name="Normal 41 6" xfId="30633" xr:uid="{00000000-0005-0000-0000-0000A9770000}"/>
    <cellStyle name="Normal 41 7" xfId="30634" xr:uid="{00000000-0005-0000-0000-0000AA770000}"/>
    <cellStyle name="Normal 41 8" xfId="30635" xr:uid="{00000000-0005-0000-0000-0000AB770000}"/>
    <cellStyle name="Normal 41 9" xfId="30636" xr:uid="{00000000-0005-0000-0000-0000AC770000}"/>
    <cellStyle name="Normal 42" xfId="30637" xr:uid="{00000000-0005-0000-0000-0000AD770000}"/>
    <cellStyle name="Normal 43" xfId="30638" xr:uid="{00000000-0005-0000-0000-0000AE770000}"/>
    <cellStyle name="Normal 43 10" xfId="30639" xr:uid="{00000000-0005-0000-0000-0000AF770000}"/>
    <cellStyle name="Normal 43 11" xfId="30640" xr:uid="{00000000-0005-0000-0000-0000B0770000}"/>
    <cellStyle name="Normal 43 12" xfId="30641" xr:uid="{00000000-0005-0000-0000-0000B1770000}"/>
    <cellStyle name="Normal 43 13" xfId="30642" xr:uid="{00000000-0005-0000-0000-0000B2770000}"/>
    <cellStyle name="Normal 43 14" xfId="30643" xr:uid="{00000000-0005-0000-0000-0000B3770000}"/>
    <cellStyle name="Normal 43 15" xfId="30644" xr:uid="{00000000-0005-0000-0000-0000B4770000}"/>
    <cellStyle name="Normal 43 16" xfId="30645" xr:uid="{00000000-0005-0000-0000-0000B5770000}"/>
    <cellStyle name="Normal 43 17" xfId="30646" xr:uid="{00000000-0005-0000-0000-0000B6770000}"/>
    <cellStyle name="Normal 43 18" xfId="30647" xr:uid="{00000000-0005-0000-0000-0000B7770000}"/>
    <cellStyle name="Normal 43 19" xfId="30648" xr:uid="{00000000-0005-0000-0000-0000B8770000}"/>
    <cellStyle name="Normal 43 2" xfId="30649" xr:uid="{00000000-0005-0000-0000-0000B9770000}"/>
    <cellStyle name="Normal 43 2 2" xfId="30650" xr:uid="{00000000-0005-0000-0000-0000BA770000}"/>
    <cellStyle name="Normal 43 20" xfId="30651" xr:uid="{00000000-0005-0000-0000-0000BB770000}"/>
    <cellStyle name="Normal 43 21" xfId="30652" xr:uid="{00000000-0005-0000-0000-0000BC770000}"/>
    <cellStyle name="Normal 43 22" xfId="30653" xr:uid="{00000000-0005-0000-0000-0000BD770000}"/>
    <cellStyle name="Normal 43 23" xfId="30654" xr:uid="{00000000-0005-0000-0000-0000BE770000}"/>
    <cellStyle name="Normal 43 24" xfId="30655" xr:uid="{00000000-0005-0000-0000-0000BF770000}"/>
    <cellStyle name="Normal 43 25" xfId="30656" xr:uid="{00000000-0005-0000-0000-0000C0770000}"/>
    <cellStyle name="Normal 43 26" xfId="30657" xr:uid="{00000000-0005-0000-0000-0000C1770000}"/>
    <cellStyle name="Normal 43 27" xfId="30658" xr:uid="{00000000-0005-0000-0000-0000C2770000}"/>
    <cellStyle name="Normal 43 28" xfId="30659" xr:uid="{00000000-0005-0000-0000-0000C3770000}"/>
    <cellStyle name="Normal 43 3" xfId="30660" xr:uid="{00000000-0005-0000-0000-0000C4770000}"/>
    <cellStyle name="Normal 43 3 2" xfId="30661" xr:uid="{00000000-0005-0000-0000-0000C5770000}"/>
    <cellStyle name="Normal 43 4" xfId="30662" xr:uid="{00000000-0005-0000-0000-0000C6770000}"/>
    <cellStyle name="Normal 43 4 2" xfId="30663" xr:uid="{00000000-0005-0000-0000-0000C7770000}"/>
    <cellStyle name="Normal 43 5" xfId="30664" xr:uid="{00000000-0005-0000-0000-0000C8770000}"/>
    <cellStyle name="Normal 43 5 2" xfId="30665" xr:uid="{00000000-0005-0000-0000-0000C9770000}"/>
    <cellStyle name="Normal 43 6" xfId="30666" xr:uid="{00000000-0005-0000-0000-0000CA770000}"/>
    <cellStyle name="Normal 43 7" xfId="30667" xr:uid="{00000000-0005-0000-0000-0000CB770000}"/>
    <cellStyle name="Normal 43 8" xfId="30668" xr:uid="{00000000-0005-0000-0000-0000CC770000}"/>
    <cellStyle name="Normal 43 9" xfId="30669" xr:uid="{00000000-0005-0000-0000-0000CD770000}"/>
    <cellStyle name="Normal 44" xfId="30670" xr:uid="{00000000-0005-0000-0000-0000CE770000}"/>
    <cellStyle name="Normal 44 10" xfId="30671" xr:uid="{00000000-0005-0000-0000-0000CF770000}"/>
    <cellStyle name="Normal 44 11" xfId="30672" xr:uid="{00000000-0005-0000-0000-0000D0770000}"/>
    <cellStyle name="Normal 44 12" xfId="30673" xr:uid="{00000000-0005-0000-0000-0000D1770000}"/>
    <cellStyle name="Normal 44 13" xfId="30674" xr:uid="{00000000-0005-0000-0000-0000D2770000}"/>
    <cellStyle name="Normal 44 14" xfId="30675" xr:uid="{00000000-0005-0000-0000-0000D3770000}"/>
    <cellStyle name="Normal 44 15" xfId="30676" xr:uid="{00000000-0005-0000-0000-0000D4770000}"/>
    <cellStyle name="Normal 44 16" xfId="30677" xr:uid="{00000000-0005-0000-0000-0000D5770000}"/>
    <cellStyle name="Normal 44 17" xfId="30678" xr:uid="{00000000-0005-0000-0000-0000D6770000}"/>
    <cellStyle name="Normal 44 18" xfId="30679" xr:uid="{00000000-0005-0000-0000-0000D7770000}"/>
    <cellStyle name="Normal 44 19" xfId="30680" xr:uid="{00000000-0005-0000-0000-0000D8770000}"/>
    <cellStyle name="Normal 44 2" xfId="30681" xr:uid="{00000000-0005-0000-0000-0000D9770000}"/>
    <cellStyle name="Normal 44 2 2" xfId="30682" xr:uid="{00000000-0005-0000-0000-0000DA770000}"/>
    <cellStyle name="Normal 44 20" xfId="30683" xr:uid="{00000000-0005-0000-0000-0000DB770000}"/>
    <cellStyle name="Normal 44 21" xfId="30684" xr:uid="{00000000-0005-0000-0000-0000DC770000}"/>
    <cellStyle name="Normal 44 22" xfId="30685" xr:uid="{00000000-0005-0000-0000-0000DD770000}"/>
    <cellStyle name="Normal 44 23" xfId="30686" xr:uid="{00000000-0005-0000-0000-0000DE770000}"/>
    <cellStyle name="Normal 44 24" xfId="30687" xr:uid="{00000000-0005-0000-0000-0000DF770000}"/>
    <cellStyle name="Normal 44 25" xfId="30688" xr:uid="{00000000-0005-0000-0000-0000E0770000}"/>
    <cellStyle name="Normal 44 26" xfId="30689" xr:uid="{00000000-0005-0000-0000-0000E1770000}"/>
    <cellStyle name="Normal 44 3" xfId="30690" xr:uid="{00000000-0005-0000-0000-0000E2770000}"/>
    <cellStyle name="Normal 44 3 2" xfId="30691" xr:uid="{00000000-0005-0000-0000-0000E3770000}"/>
    <cellStyle name="Normal 44 4" xfId="30692" xr:uid="{00000000-0005-0000-0000-0000E4770000}"/>
    <cellStyle name="Normal 44 4 2" xfId="30693" xr:uid="{00000000-0005-0000-0000-0000E5770000}"/>
    <cellStyle name="Normal 44 5" xfId="30694" xr:uid="{00000000-0005-0000-0000-0000E6770000}"/>
    <cellStyle name="Normal 44 5 2" xfId="30695" xr:uid="{00000000-0005-0000-0000-0000E7770000}"/>
    <cellStyle name="Normal 44 6" xfId="30696" xr:uid="{00000000-0005-0000-0000-0000E8770000}"/>
    <cellStyle name="Normal 44 7" xfId="30697" xr:uid="{00000000-0005-0000-0000-0000E9770000}"/>
    <cellStyle name="Normal 44 8" xfId="30698" xr:uid="{00000000-0005-0000-0000-0000EA770000}"/>
    <cellStyle name="Normal 44 9" xfId="30699" xr:uid="{00000000-0005-0000-0000-0000EB770000}"/>
    <cellStyle name="Normal 45" xfId="30700" xr:uid="{00000000-0005-0000-0000-0000EC770000}"/>
    <cellStyle name="Normal 46" xfId="30701" xr:uid="{00000000-0005-0000-0000-0000ED770000}"/>
    <cellStyle name="Normal 47" xfId="30702" xr:uid="{00000000-0005-0000-0000-0000EE770000}"/>
    <cellStyle name="Normal 48" xfId="30703" xr:uid="{00000000-0005-0000-0000-0000EF770000}"/>
    <cellStyle name="Normal 49" xfId="30704" xr:uid="{00000000-0005-0000-0000-0000F0770000}"/>
    <cellStyle name="Normal 49 10" xfId="30705" xr:uid="{00000000-0005-0000-0000-0000F1770000}"/>
    <cellStyle name="Normal 49 11" xfId="30706" xr:uid="{00000000-0005-0000-0000-0000F2770000}"/>
    <cellStyle name="Normal 49 12" xfId="30707" xr:uid="{00000000-0005-0000-0000-0000F3770000}"/>
    <cellStyle name="Normal 49 13" xfId="30708" xr:uid="{00000000-0005-0000-0000-0000F4770000}"/>
    <cellStyle name="Normal 49 14" xfId="30709" xr:uid="{00000000-0005-0000-0000-0000F5770000}"/>
    <cellStyle name="Normal 49 15" xfId="30710" xr:uid="{00000000-0005-0000-0000-0000F6770000}"/>
    <cellStyle name="Normal 49 16" xfId="30711" xr:uid="{00000000-0005-0000-0000-0000F7770000}"/>
    <cellStyle name="Normal 49 17" xfId="30712" xr:uid="{00000000-0005-0000-0000-0000F8770000}"/>
    <cellStyle name="Normal 49 18" xfId="30713" xr:uid="{00000000-0005-0000-0000-0000F9770000}"/>
    <cellStyle name="Normal 49 19" xfId="30714" xr:uid="{00000000-0005-0000-0000-0000FA770000}"/>
    <cellStyle name="Normal 49 2" xfId="30715" xr:uid="{00000000-0005-0000-0000-0000FB770000}"/>
    <cellStyle name="Normal 49 2 2" xfId="30716" xr:uid="{00000000-0005-0000-0000-0000FC770000}"/>
    <cellStyle name="Normal 49 20" xfId="30717" xr:uid="{00000000-0005-0000-0000-0000FD770000}"/>
    <cellStyle name="Normal 49 21" xfId="30718" xr:uid="{00000000-0005-0000-0000-0000FE770000}"/>
    <cellStyle name="Normal 49 22" xfId="30719" xr:uid="{00000000-0005-0000-0000-0000FF770000}"/>
    <cellStyle name="Normal 49 23" xfId="30720" xr:uid="{00000000-0005-0000-0000-000000780000}"/>
    <cellStyle name="Normal 49 24" xfId="30721" xr:uid="{00000000-0005-0000-0000-000001780000}"/>
    <cellStyle name="Normal 49 25" xfId="30722" xr:uid="{00000000-0005-0000-0000-000002780000}"/>
    <cellStyle name="Normal 49 26" xfId="30723" xr:uid="{00000000-0005-0000-0000-000003780000}"/>
    <cellStyle name="Normal 49 3" xfId="30724" xr:uid="{00000000-0005-0000-0000-000004780000}"/>
    <cellStyle name="Normal 49 3 2" xfId="30725" xr:uid="{00000000-0005-0000-0000-000005780000}"/>
    <cellStyle name="Normal 49 4" xfId="30726" xr:uid="{00000000-0005-0000-0000-000006780000}"/>
    <cellStyle name="Normal 49 4 2" xfId="30727" xr:uid="{00000000-0005-0000-0000-000007780000}"/>
    <cellStyle name="Normal 49 5" xfId="30728" xr:uid="{00000000-0005-0000-0000-000008780000}"/>
    <cellStyle name="Normal 49 5 2" xfId="30729" xr:uid="{00000000-0005-0000-0000-000009780000}"/>
    <cellStyle name="Normal 49 6" xfId="30730" xr:uid="{00000000-0005-0000-0000-00000A780000}"/>
    <cellStyle name="Normal 49 7" xfId="30731" xr:uid="{00000000-0005-0000-0000-00000B780000}"/>
    <cellStyle name="Normal 49 8" xfId="30732" xr:uid="{00000000-0005-0000-0000-00000C780000}"/>
    <cellStyle name="Normal 49 9" xfId="30733" xr:uid="{00000000-0005-0000-0000-00000D780000}"/>
    <cellStyle name="Normal 5" xfId="2" xr:uid="{00000000-0005-0000-0000-000002000000}"/>
    <cellStyle name="Normal 5 10" xfId="30734" xr:uid="{00000000-0005-0000-0000-00000E780000}"/>
    <cellStyle name="Normal 5 10 10" xfId="30735" xr:uid="{00000000-0005-0000-0000-00000F780000}"/>
    <cellStyle name="Normal 5 10 10 10" xfId="30736" xr:uid="{00000000-0005-0000-0000-000010780000}"/>
    <cellStyle name="Normal 5 10 10 11" xfId="30737" xr:uid="{00000000-0005-0000-0000-000011780000}"/>
    <cellStyle name="Normal 5 10 10 12" xfId="30738" xr:uid="{00000000-0005-0000-0000-000012780000}"/>
    <cellStyle name="Normal 5 10 10 13" xfId="30739" xr:uid="{00000000-0005-0000-0000-000013780000}"/>
    <cellStyle name="Normal 5 10 10 14" xfId="30740" xr:uid="{00000000-0005-0000-0000-000014780000}"/>
    <cellStyle name="Normal 5 10 10 2" xfId="30741" xr:uid="{00000000-0005-0000-0000-000015780000}"/>
    <cellStyle name="Normal 5 10 10 2 10" xfId="30742" xr:uid="{00000000-0005-0000-0000-000016780000}"/>
    <cellStyle name="Normal 5 10 10 2 2" xfId="30743" xr:uid="{00000000-0005-0000-0000-000017780000}"/>
    <cellStyle name="Normal 5 10 10 2 3" xfId="30744" xr:uid="{00000000-0005-0000-0000-000018780000}"/>
    <cellStyle name="Normal 5 10 10 2 4" xfId="30745" xr:uid="{00000000-0005-0000-0000-000019780000}"/>
    <cellStyle name="Normal 5 10 10 2 5" xfId="30746" xr:uid="{00000000-0005-0000-0000-00001A780000}"/>
    <cellStyle name="Normal 5 10 10 2 6" xfId="30747" xr:uid="{00000000-0005-0000-0000-00001B780000}"/>
    <cellStyle name="Normal 5 10 10 2 7" xfId="30748" xr:uid="{00000000-0005-0000-0000-00001C780000}"/>
    <cellStyle name="Normal 5 10 10 2 8" xfId="30749" xr:uid="{00000000-0005-0000-0000-00001D780000}"/>
    <cellStyle name="Normal 5 10 10 2 9" xfId="30750" xr:uid="{00000000-0005-0000-0000-00001E780000}"/>
    <cellStyle name="Normal 5 10 10 3" xfId="30751" xr:uid="{00000000-0005-0000-0000-00001F780000}"/>
    <cellStyle name="Normal 5 10 10 3 10" xfId="30752" xr:uid="{00000000-0005-0000-0000-000020780000}"/>
    <cellStyle name="Normal 5 10 10 3 2" xfId="30753" xr:uid="{00000000-0005-0000-0000-000021780000}"/>
    <cellStyle name="Normal 5 10 10 3 3" xfId="30754" xr:uid="{00000000-0005-0000-0000-000022780000}"/>
    <cellStyle name="Normal 5 10 10 3 4" xfId="30755" xr:uid="{00000000-0005-0000-0000-000023780000}"/>
    <cellStyle name="Normal 5 10 10 3 5" xfId="30756" xr:uid="{00000000-0005-0000-0000-000024780000}"/>
    <cellStyle name="Normal 5 10 10 3 6" xfId="30757" xr:uid="{00000000-0005-0000-0000-000025780000}"/>
    <cellStyle name="Normal 5 10 10 3 7" xfId="30758" xr:uid="{00000000-0005-0000-0000-000026780000}"/>
    <cellStyle name="Normal 5 10 10 3 8" xfId="30759" xr:uid="{00000000-0005-0000-0000-000027780000}"/>
    <cellStyle name="Normal 5 10 10 3 9" xfId="30760" xr:uid="{00000000-0005-0000-0000-000028780000}"/>
    <cellStyle name="Normal 5 10 10 4" xfId="30761" xr:uid="{00000000-0005-0000-0000-000029780000}"/>
    <cellStyle name="Normal 5 10 10 4 10" xfId="30762" xr:uid="{00000000-0005-0000-0000-00002A780000}"/>
    <cellStyle name="Normal 5 10 10 4 2" xfId="30763" xr:uid="{00000000-0005-0000-0000-00002B780000}"/>
    <cellStyle name="Normal 5 10 10 4 3" xfId="30764" xr:uid="{00000000-0005-0000-0000-00002C780000}"/>
    <cellStyle name="Normal 5 10 10 4 4" xfId="30765" xr:uid="{00000000-0005-0000-0000-00002D780000}"/>
    <cellStyle name="Normal 5 10 10 4 5" xfId="30766" xr:uid="{00000000-0005-0000-0000-00002E780000}"/>
    <cellStyle name="Normal 5 10 10 4 6" xfId="30767" xr:uid="{00000000-0005-0000-0000-00002F780000}"/>
    <cellStyle name="Normal 5 10 10 4 7" xfId="30768" xr:uid="{00000000-0005-0000-0000-000030780000}"/>
    <cellStyle name="Normal 5 10 10 4 8" xfId="30769" xr:uid="{00000000-0005-0000-0000-000031780000}"/>
    <cellStyle name="Normal 5 10 10 4 9" xfId="30770" xr:uid="{00000000-0005-0000-0000-000032780000}"/>
    <cellStyle name="Normal 5 10 10 5" xfId="30771" xr:uid="{00000000-0005-0000-0000-000033780000}"/>
    <cellStyle name="Normal 5 10 10 5 10" xfId="30772" xr:uid="{00000000-0005-0000-0000-000034780000}"/>
    <cellStyle name="Normal 5 10 10 5 2" xfId="30773" xr:uid="{00000000-0005-0000-0000-000035780000}"/>
    <cellStyle name="Normal 5 10 10 5 3" xfId="30774" xr:uid="{00000000-0005-0000-0000-000036780000}"/>
    <cellStyle name="Normal 5 10 10 5 4" xfId="30775" xr:uid="{00000000-0005-0000-0000-000037780000}"/>
    <cellStyle name="Normal 5 10 10 5 5" xfId="30776" xr:uid="{00000000-0005-0000-0000-000038780000}"/>
    <cellStyle name="Normal 5 10 10 5 6" xfId="30777" xr:uid="{00000000-0005-0000-0000-000039780000}"/>
    <cellStyle name="Normal 5 10 10 5 7" xfId="30778" xr:uid="{00000000-0005-0000-0000-00003A780000}"/>
    <cellStyle name="Normal 5 10 10 5 8" xfId="30779" xr:uid="{00000000-0005-0000-0000-00003B780000}"/>
    <cellStyle name="Normal 5 10 10 5 9" xfId="30780" xr:uid="{00000000-0005-0000-0000-00003C780000}"/>
    <cellStyle name="Normal 5 10 10 6" xfId="30781" xr:uid="{00000000-0005-0000-0000-00003D780000}"/>
    <cellStyle name="Normal 5 10 10 7" xfId="30782" xr:uid="{00000000-0005-0000-0000-00003E780000}"/>
    <cellStyle name="Normal 5 10 10 8" xfId="30783" xr:uid="{00000000-0005-0000-0000-00003F780000}"/>
    <cellStyle name="Normal 5 10 10 9" xfId="30784" xr:uid="{00000000-0005-0000-0000-000040780000}"/>
    <cellStyle name="Normal 5 10 11" xfId="30785" xr:uid="{00000000-0005-0000-0000-000041780000}"/>
    <cellStyle name="Normal 5 10 11 10" xfId="30786" xr:uid="{00000000-0005-0000-0000-000042780000}"/>
    <cellStyle name="Normal 5 10 11 11" xfId="30787" xr:uid="{00000000-0005-0000-0000-000043780000}"/>
    <cellStyle name="Normal 5 10 11 12" xfId="30788" xr:uid="{00000000-0005-0000-0000-000044780000}"/>
    <cellStyle name="Normal 5 10 11 13" xfId="30789" xr:uid="{00000000-0005-0000-0000-000045780000}"/>
    <cellStyle name="Normal 5 10 11 14" xfId="30790" xr:uid="{00000000-0005-0000-0000-000046780000}"/>
    <cellStyle name="Normal 5 10 11 2" xfId="30791" xr:uid="{00000000-0005-0000-0000-000047780000}"/>
    <cellStyle name="Normal 5 10 11 2 10" xfId="30792" xr:uid="{00000000-0005-0000-0000-000048780000}"/>
    <cellStyle name="Normal 5 10 11 2 2" xfId="30793" xr:uid="{00000000-0005-0000-0000-000049780000}"/>
    <cellStyle name="Normal 5 10 11 2 3" xfId="30794" xr:uid="{00000000-0005-0000-0000-00004A780000}"/>
    <cellStyle name="Normal 5 10 11 2 4" xfId="30795" xr:uid="{00000000-0005-0000-0000-00004B780000}"/>
    <cellStyle name="Normal 5 10 11 2 5" xfId="30796" xr:uid="{00000000-0005-0000-0000-00004C780000}"/>
    <cellStyle name="Normal 5 10 11 2 6" xfId="30797" xr:uid="{00000000-0005-0000-0000-00004D780000}"/>
    <cellStyle name="Normal 5 10 11 2 7" xfId="30798" xr:uid="{00000000-0005-0000-0000-00004E780000}"/>
    <cellStyle name="Normal 5 10 11 2 8" xfId="30799" xr:uid="{00000000-0005-0000-0000-00004F780000}"/>
    <cellStyle name="Normal 5 10 11 2 9" xfId="30800" xr:uid="{00000000-0005-0000-0000-000050780000}"/>
    <cellStyle name="Normal 5 10 11 3" xfId="30801" xr:uid="{00000000-0005-0000-0000-000051780000}"/>
    <cellStyle name="Normal 5 10 11 3 10" xfId="30802" xr:uid="{00000000-0005-0000-0000-000052780000}"/>
    <cellStyle name="Normal 5 10 11 3 2" xfId="30803" xr:uid="{00000000-0005-0000-0000-000053780000}"/>
    <cellStyle name="Normal 5 10 11 3 3" xfId="30804" xr:uid="{00000000-0005-0000-0000-000054780000}"/>
    <cellStyle name="Normal 5 10 11 3 4" xfId="30805" xr:uid="{00000000-0005-0000-0000-000055780000}"/>
    <cellStyle name="Normal 5 10 11 3 5" xfId="30806" xr:uid="{00000000-0005-0000-0000-000056780000}"/>
    <cellStyle name="Normal 5 10 11 3 6" xfId="30807" xr:uid="{00000000-0005-0000-0000-000057780000}"/>
    <cellStyle name="Normal 5 10 11 3 7" xfId="30808" xr:uid="{00000000-0005-0000-0000-000058780000}"/>
    <cellStyle name="Normal 5 10 11 3 8" xfId="30809" xr:uid="{00000000-0005-0000-0000-000059780000}"/>
    <cellStyle name="Normal 5 10 11 3 9" xfId="30810" xr:uid="{00000000-0005-0000-0000-00005A780000}"/>
    <cellStyle name="Normal 5 10 11 4" xfId="30811" xr:uid="{00000000-0005-0000-0000-00005B780000}"/>
    <cellStyle name="Normal 5 10 11 4 10" xfId="30812" xr:uid="{00000000-0005-0000-0000-00005C780000}"/>
    <cellStyle name="Normal 5 10 11 4 2" xfId="30813" xr:uid="{00000000-0005-0000-0000-00005D780000}"/>
    <cellStyle name="Normal 5 10 11 4 3" xfId="30814" xr:uid="{00000000-0005-0000-0000-00005E780000}"/>
    <cellStyle name="Normal 5 10 11 4 4" xfId="30815" xr:uid="{00000000-0005-0000-0000-00005F780000}"/>
    <cellStyle name="Normal 5 10 11 4 5" xfId="30816" xr:uid="{00000000-0005-0000-0000-000060780000}"/>
    <cellStyle name="Normal 5 10 11 4 6" xfId="30817" xr:uid="{00000000-0005-0000-0000-000061780000}"/>
    <cellStyle name="Normal 5 10 11 4 7" xfId="30818" xr:uid="{00000000-0005-0000-0000-000062780000}"/>
    <cellStyle name="Normal 5 10 11 4 8" xfId="30819" xr:uid="{00000000-0005-0000-0000-000063780000}"/>
    <cellStyle name="Normal 5 10 11 4 9" xfId="30820" xr:uid="{00000000-0005-0000-0000-000064780000}"/>
    <cellStyle name="Normal 5 10 11 5" xfId="30821" xr:uid="{00000000-0005-0000-0000-000065780000}"/>
    <cellStyle name="Normal 5 10 11 5 10" xfId="30822" xr:uid="{00000000-0005-0000-0000-000066780000}"/>
    <cellStyle name="Normal 5 10 11 5 2" xfId="30823" xr:uid="{00000000-0005-0000-0000-000067780000}"/>
    <cellStyle name="Normal 5 10 11 5 3" xfId="30824" xr:uid="{00000000-0005-0000-0000-000068780000}"/>
    <cellStyle name="Normal 5 10 11 5 4" xfId="30825" xr:uid="{00000000-0005-0000-0000-000069780000}"/>
    <cellStyle name="Normal 5 10 11 5 5" xfId="30826" xr:uid="{00000000-0005-0000-0000-00006A780000}"/>
    <cellStyle name="Normal 5 10 11 5 6" xfId="30827" xr:uid="{00000000-0005-0000-0000-00006B780000}"/>
    <cellStyle name="Normal 5 10 11 5 7" xfId="30828" xr:uid="{00000000-0005-0000-0000-00006C780000}"/>
    <cellStyle name="Normal 5 10 11 5 8" xfId="30829" xr:uid="{00000000-0005-0000-0000-00006D780000}"/>
    <cellStyle name="Normal 5 10 11 5 9" xfId="30830" xr:uid="{00000000-0005-0000-0000-00006E780000}"/>
    <cellStyle name="Normal 5 10 11 6" xfId="30831" xr:uid="{00000000-0005-0000-0000-00006F780000}"/>
    <cellStyle name="Normal 5 10 11 7" xfId="30832" xr:uid="{00000000-0005-0000-0000-000070780000}"/>
    <cellStyle name="Normal 5 10 11 8" xfId="30833" xr:uid="{00000000-0005-0000-0000-000071780000}"/>
    <cellStyle name="Normal 5 10 11 9" xfId="30834" xr:uid="{00000000-0005-0000-0000-000072780000}"/>
    <cellStyle name="Normal 5 10 12" xfId="30835" xr:uid="{00000000-0005-0000-0000-000073780000}"/>
    <cellStyle name="Normal 5 10 12 10" xfId="30836" xr:uid="{00000000-0005-0000-0000-000074780000}"/>
    <cellStyle name="Normal 5 10 12 11" xfId="30837" xr:uid="{00000000-0005-0000-0000-000075780000}"/>
    <cellStyle name="Normal 5 10 12 12" xfId="30838" xr:uid="{00000000-0005-0000-0000-000076780000}"/>
    <cellStyle name="Normal 5 10 12 13" xfId="30839" xr:uid="{00000000-0005-0000-0000-000077780000}"/>
    <cellStyle name="Normal 5 10 12 14" xfId="30840" xr:uid="{00000000-0005-0000-0000-000078780000}"/>
    <cellStyle name="Normal 5 10 12 2" xfId="30841" xr:uid="{00000000-0005-0000-0000-000079780000}"/>
    <cellStyle name="Normal 5 10 12 2 10" xfId="30842" xr:uid="{00000000-0005-0000-0000-00007A780000}"/>
    <cellStyle name="Normal 5 10 12 2 2" xfId="30843" xr:uid="{00000000-0005-0000-0000-00007B780000}"/>
    <cellStyle name="Normal 5 10 12 2 3" xfId="30844" xr:uid="{00000000-0005-0000-0000-00007C780000}"/>
    <cellStyle name="Normal 5 10 12 2 4" xfId="30845" xr:uid="{00000000-0005-0000-0000-00007D780000}"/>
    <cellStyle name="Normal 5 10 12 2 5" xfId="30846" xr:uid="{00000000-0005-0000-0000-00007E780000}"/>
    <cellStyle name="Normal 5 10 12 2 6" xfId="30847" xr:uid="{00000000-0005-0000-0000-00007F780000}"/>
    <cellStyle name="Normal 5 10 12 2 7" xfId="30848" xr:uid="{00000000-0005-0000-0000-000080780000}"/>
    <cellStyle name="Normal 5 10 12 2 8" xfId="30849" xr:uid="{00000000-0005-0000-0000-000081780000}"/>
    <cellStyle name="Normal 5 10 12 2 9" xfId="30850" xr:uid="{00000000-0005-0000-0000-000082780000}"/>
    <cellStyle name="Normal 5 10 12 3" xfId="30851" xr:uid="{00000000-0005-0000-0000-000083780000}"/>
    <cellStyle name="Normal 5 10 12 3 10" xfId="30852" xr:uid="{00000000-0005-0000-0000-000084780000}"/>
    <cellStyle name="Normal 5 10 12 3 2" xfId="30853" xr:uid="{00000000-0005-0000-0000-000085780000}"/>
    <cellStyle name="Normal 5 10 12 3 3" xfId="30854" xr:uid="{00000000-0005-0000-0000-000086780000}"/>
    <cellStyle name="Normal 5 10 12 3 4" xfId="30855" xr:uid="{00000000-0005-0000-0000-000087780000}"/>
    <cellStyle name="Normal 5 10 12 3 5" xfId="30856" xr:uid="{00000000-0005-0000-0000-000088780000}"/>
    <cellStyle name="Normal 5 10 12 3 6" xfId="30857" xr:uid="{00000000-0005-0000-0000-000089780000}"/>
    <cellStyle name="Normal 5 10 12 3 7" xfId="30858" xr:uid="{00000000-0005-0000-0000-00008A780000}"/>
    <cellStyle name="Normal 5 10 12 3 8" xfId="30859" xr:uid="{00000000-0005-0000-0000-00008B780000}"/>
    <cellStyle name="Normal 5 10 12 3 9" xfId="30860" xr:uid="{00000000-0005-0000-0000-00008C780000}"/>
    <cellStyle name="Normal 5 10 12 4" xfId="30861" xr:uid="{00000000-0005-0000-0000-00008D780000}"/>
    <cellStyle name="Normal 5 10 12 4 10" xfId="30862" xr:uid="{00000000-0005-0000-0000-00008E780000}"/>
    <cellStyle name="Normal 5 10 12 4 2" xfId="30863" xr:uid="{00000000-0005-0000-0000-00008F780000}"/>
    <cellStyle name="Normal 5 10 12 4 3" xfId="30864" xr:uid="{00000000-0005-0000-0000-000090780000}"/>
    <cellStyle name="Normal 5 10 12 4 4" xfId="30865" xr:uid="{00000000-0005-0000-0000-000091780000}"/>
    <cellStyle name="Normal 5 10 12 4 5" xfId="30866" xr:uid="{00000000-0005-0000-0000-000092780000}"/>
    <cellStyle name="Normal 5 10 12 4 6" xfId="30867" xr:uid="{00000000-0005-0000-0000-000093780000}"/>
    <cellStyle name="Normal 5 10 12 4 7" xfId="30868" xr:uid="{00000000-0005-0000-0000-000094780000}"/>
    <cellStyle name="Normal 5 10 12 4 8" xfId="30869" xr:uid="{00000000-0005-0000-0000-000095780000}"/>
    <cellStyle name="Normal 5 10 12 4 9" xfId="30870" xr:uid="{00000000-0005-0000-0000-000096780000}"/>
    <cellStyle name="Normal 5 10 12 5" xfId="30871" xr:uid="{00000000-0005-0000-0000-000097780000}"/>
    <cellStyle name="Normal 5 10 12 5 10" xfId="30872" xr:uid="{00000000-0005-0000-0000-000098780000}"/>
    <cellStyle name="Normal 5 10 12 5 2" xfId="30873" xr:uid="{00000000-0005-0000-0000-000099780000}"/>
    <cellStyle name="Normal 5 10 12 5 3" xfId="30874" xr:uid="{00000000-0005-0000-0000-00009A780000}"/>
    <cellStyle name="Normal 5 10 12 5 4" xfId="30875" xr:uid="{00000000-0005-0000-0000-00009B780000}"/>
    <cellStyle name="Normal 5 10 12 5 5" xfId="30876" xr:uid="{00000000-0005-0000-0000-00009C780000}"/>
    <cellStyle name="Normal 5 10 12 5 6" xfId="30877" xr:uid="{00000000-0005-0000-0000-00009D780000}"/>
    <cellStyle name="Normal 5 10 12 5 7" xfId="30878" xr:uid="{00000000-0005-0000-0000-00009E780000}"/>
    <cellStyle name="Normal 5 10 12 5 8" xfId="30879" xr:uid="{00000000-0005-0000-0000-00009F780000}"/>
    <cellStyle name="Normal 5 10 12 5 9" xfId="30880" xr:uid="{00000000-0005-0000-0000-0000A0780000}"/>
    <cellStyle name="Normal 5 10 12 6" xfId="30881" xr:uid="{00000000-0005-0000-0000-0000A1780000}"/>
    <cellStyle name="Normal 5 10 12 7" xfId="30882" xr:uid="{00000000-0005-0000-0000-0000A2780000}"/>
    <cellStyle name="Normal 5 10 12 8" xfId="30883" xr:uid="{00000000-0005-0000-0000-0000A3780000}"/>
    <cellStyle name="Normal 5 10 12 9" xfId="30884" xr:uid="{00000000-0005-0000-0000-0000A4780000}"/>
    <cellStyle name="Normal 5 10 13" xfId="30885" xr:uid="{00000000-0005-0000-0000-0000A5780000}"/>
    <cellStyle name="Normal 5 10 13 10" xfId="30886" xr:uid="{00000000-0005-0000-0000-0000A6780000}"/>
    <cellStyle name="Normal 5 10 13 11" xfId="30887" xr:uid="{00000000-0005-0000-0000-0000A7780000}"/>
    <cellStyle name="Normal 5 10 13 12" xfId="30888" xr:uid="{00000000-0005-0000-0000-0000A8780000}"/>
    <cellStyle name="Normal 5 10 13 13" xfId="30889" xr:uid="{00000000-0005-0000-0000-0000A9780000}"/>
    <cellStyle name="Normal 5 10 13 14" xfId="30890" xr:uid="{00000000-0005-0000-0000-0000AA780000}"/>
    <cellStyle name="Normal 5 10 13 2" xfId="30891" xr:uid="{00000000-0005-0000-0000-0000AB780000}"/>
    <cellStyle name="Normal 5 10 13 2 10" xfId="30892" xr:uid="{00000000-0005-0000-0000-0000AC780000}"/>
    <cellStyle name="Normal 5 10 13 2 2" xfId="30893" xr:uid="{00000000-0005-0000-0000-0000AD780000}"/>
    <cellStyle name="Normal 5 10 13 2 3" xfId="30894" xr:uid="{00000000-0005-0000-0000-0000AE780000}"/>
    <cellStyle name="Normal 5 10 13 2 4" xfId="30895" xr:uid="{00000000-0005-0000-0000-0000AF780000}"/>
    <cellStyle name="Normal 5 10 13 2 5" xfId="30896" xr:uid="{00000000-0005-0000-0000-0000B0780000}"/>
    <cellStyle name="Normal 5 10 13 2 6" xfId="30897" xr:uid="{00000000-0005-0000-0000-0000B1780000}"/>
    <cellStyle name="Normal 5 10 13 2 7" xfId="30898" xr:uid="{00000000-0005-0000-0000-0000B2780000}"/>
    <cellStyle name="Normal 5 10 13 2 8" xfId="30899" xr:uid="{00000000-0005-0000-0000-0000B3780000}"/>
    <cellStyle name="Normal 5 10 13 2 9" xfId="30900" xr:uid="{00000000-0005-0000-0000-0000B4780000}"/>
    <cellStyle name="Normal 5 10 13 3" xfId="30901" xr:uid="{00000000-0005-0000-0000-0000B5780000}"/>
    <cellStyle name="Normal 5 10 13 3 10" xfId="30902" xr:uid="{00000000-0005-0000-0000-0000B6780000}"/>
    <cellStyle name="Normal 5 10 13 3 2" xfId="30903" xr:uid="{00000000-0005-0000-0000-0000B7780000}"/>
    <cellStyle name="Normal 5 10 13 3 3" xfId="30904" xr:uid="{00000000-0005-0000-0000-0000B8780000}"/>
    <cellStyle name="Normal 5 10 13 3 4" xfId="30905" xr:uid="{00000000-0005-0000-0000-0000B9780000}"/>
    <cellStyle name="Normal 5 10 13 3 5" xfId="30906" xr:uid="{00000000-0005-0000-0000-0000BA780000}"/>
    <cellStyle name="Normal 5 10 13 3 6" xfId="30907" xr:uid="{00000000-0005-0000-0000-0000BB780000}"/>
    <cellStyle name="Normal 5 10 13 3 7" xfId="30908" xr:uid="{00000000-0005-0000-0000-0000BC780000}"/>
    <cellStyle name="Normal 5 10 13 3 8" xfId="30909" xr:uid="{00000000-0005-0000-0000-0000BD780000}"/>
    <cellStyle name="Normal 5 10 13 3 9" xfId="30910" xr:uid="{00000000-0005-0000-0000-0000BE780000}"/>
    <cellStyle name="Normal 5 10 13 4" xfId="30911" xr:uid="{00000000-0005-0000-0000-0000BF780000}"/>
    <cellStyle name="Normal 5 10 13 4 10" xfId="30912" xr:uid="{00000000-0005-0000-0000-0000C0780000}"/>
    <cellStyle name="Normal 5 10 13 4 2" xfId="30913" xr:uid="{00000000-0005-0000-0000-0000C1780000}"/>
    <cellStyle name="Normal 5 10 13 4 3" xfId="30914" xr:uid="{00000000-0005-0000-0000-0000C2780000}"/>
    <cellStyle name="Normal 5 10 13 4 4" xfId="30915" xr:uid="{00000000-0005-0000-0000-0000C3780000}"/>
    <cellStyle name="Normal 5 10 13 4 5" xfId="30916" xr:uid="{00000000-0005-0000-0000-0000C4780000}"/>
    <cellStyle name="Normal 5 10 13 4 6" xfId="30917" xr:uid="{00000000-0005-0000-0000-0000C5780000}"/>
    <cellStyle name="Normal 5 10 13 4 7" xfId="30918" xr:uid="{00000000-0005-0000-0000-0000C6780000}"/>
    <cellStyle name="Normal 5 10 13 4 8" xfId="30919" xr:uid="{00000000-0005-0000-0000-0000C7780000}"/>
    <cellStyle name="Normal 5 10 13 4 9" xfId="30920" xr:uid="{00000000-0005-0000-0000-0000C8780000}"/>
    <cellStyle name="Normal 5 10 13 5" xfId="30921" xr:uid="{00000000-0005-0000-0000-0000C9780000}"/>
    <cellStyle name="Normal 5 10 13 5 10" xfId="30922" xr:uid="{00000000-0005-0000-0000-0000CA780000}"/>
    <cellStyle name="Normal 5 10 13 5 2" xfId="30923" xr:uid="{00000000-0005-0000-0000-0000CB780000}"/>
    <cellStyle name="Normal 5 10 13 5 3" xfId="30924" xr:uid="{00000000-0005-0000-0000-0000CC780000}"/>
    <cellStyle name="Normal 5 10 13 5 4" xfId="30925" xr:uid="{00000000-0005-0000-0000-0000CD780000}"/>
    <cellStyle name="Normal 5 10 13 5 5" xfId="30926" xr:uid="{00000000-0005-0000-0000-0000CE780000}"/>
    <cellStyle name="Normal 5 10 13 5 6" xfId="30927" xr:uid="{00000000-0005-0000-0000-0000CF780000}"/>
    <cellStyle name="Normal 5 10 13 5 7" xfId="30928" xr:uid="{00000000-0005-0000-0000-0000D0780000}"/>
    <cellStyle name="Normal 5 10 13 5 8" xfId="30929" xr:uid="{00000000-0005-0000-0000-0000D1780000}"/>
    <cellStyle name="Normal 5 10 13 5 9" xfId="30930" xr:uid="{00000000-0005-0000-0000-0000D2780000}"/>
    <cellStyle name="Normal 5 10 13 6" xfId="30931" xr:uid="{00000000-0005-0000-0000-0000D3780000}"/>
    <cellStyle name="Normal 5 10 13 7" xfId="30932" xr:uid="{00000000-0005-0000-0000-0000D4780000}"/>
    <cellStyle name="Normal 5 10 13 8" xfId="30933" xr:uid="{00000000-0005-0000-0000-0000D5780000}"/>
    <cellStyle name="Normal 5 10 13 9" xfId="30934" xr:uid="{00000000-0005-0000-0000-0000D6780000}"/>
    <cellStyle name="Normal 5 10 14" xfId="30935" xr:uid="{00000000-0005-0000-0000-0000D7780000}"/>
    <cellStyle name="Normal 5 10 14 10" xfId="30936" xr:uid="{00000000-0005-0000-0000-0000D8780000}"/>
    <cellStyle name="Normal 5 10 14 11" xfId="30937" xr:uid="{00000000-0005-0000-0000-0000D9780000}"/>
    <cellStyle name="Normal 5 10 14 12" xfId="30938" xr:uid="{00000000-0005-0000-0000-0000DA780000}"/>
    <cellStyle name="Normal 5 10 14 13" xfId="30939" xr:uid="{00000000-0005-0000-0000-0000DB780000}"/>
    <cellStyle name="Normal 5 10 14 14" xfId="30940" xr:uid="{00000000-0005-0000-0000-0000DC780000}"/>
    <cellStyle name="Normal 5 10 14 2" xfId="30941" xr:uid="{00000000-0005-0000-0000-0000DD780000}"/>
    <cellStyle name="Normal 5 10 14 2 10" xfId="30942" xr:uid="{00000000-0005-0000-0000-0000DE780000}"/>
    <cellStyle name="Normal 5 10 14 2 2" xfId="30943" xr:uid="{00000000-0005-0000-0000-0000DF780000}"/>
    <cellStyle name="Normal 5 10 14 2 3" xfId="30944" xr:uid="{00000000-0005-0000-0000-0000E0780000}"/>
    <cellStyle name="Normal 5 10 14 2 4" xfId="30945" xr:uid="{00000000-0005-0000-0000-0000E1780000}"/>
    <cellStyle name="Normal 5 10 14 2 5" xfId="30946" xr:uid="{00000000-0005-0000-0000-0000E2780000}"/>
    <cellStyle name="Normal 5 10 14 2 6" xfId="30947" xr:uid="{00000000-0005-0000-0000-0000E3780000}"/>
    <cellStyle name="Normal 5 10 14 2 7" xfId="30948" xr:uid="{00000000-0005-0000-0000-0000E4780000}"/>
    <cellStyle name="Normal 5 10 14 2 8" xfId="30949" xr:uid="{00000000-0005-0000-0000-0000E5780000}"/>
    <cellStyle name="Normal 5 10 14 2 9" xfId="30950" xr:uid="{00000000-0005-0000-0000-0000E6780000}"/>
    <cellStyle name="Normal 5 10 14 3" xfId="30951" xr:uid="{00000000-0005-0000-0000-0000E7780000}"/>
    <cellStyle name="Normal 5 10 14 3 10" xfId="30952" xr:uid="{00000000-0005-0000-0000-0000E8780000}"/>
    <cellStyle name="Normal 5 10 14 3 2" xfId="30953" xr:uid="{00000000-0005-0000-0000-0000E9780000}"/>
    <cellStyle name="Normal 5 10 14 3 3" xfId="30954" xr:uid="{00000000-0005-0000-0000-0000EA780000}"/>
    <cellStyle name="Normal 5 10 14 3 4" xfId="30955" xr:uid="{00000000-0005-0000-0000-0000EB780000}"/>
    <cellStyle name="Normal 5 10 14 3 5" xfId="30956" xr:uid="{00000000-0005-0000-0000-0000EC780000}"/>
    <cellStyle name="Normal 5 10 14 3 6" xfId="30957" xr:uid="{00000000-0005-0000-0000-0000ED780000}"/>
    <cellStyle name="Normal 5 10 14 3 7" xfId="30958" xr:uid="{00000000-0005-0000-0000-0000EE780000}"/>
    <cellStyle name="Normal 5 10 14 3 8" xfId="30959" xr:uid="{00000000-0005-0000-0000-0000EF780000}"/>
    <cellStyle name="Normal 5 10 14 3 9" xfId="30960" xr:uid="{00000000-0005-0000-0000-0000F0780000}"/>
    <cellStyle name="Normal 5 10 14 4" xfId="30961" xr:uid="{00000000-0005-0000-0000-0000F1780000}"/>
    <cellStyle name="Normal 5 10 14 4 10" xfId="30962" xr:uid="{00000000-0005-0000-0000-0000F2780000}"/>
    <cellStyle name="Normal 5 10 14 4 2" xfId="30963" xr:uid="{00000000-0005-0000-0000-0000F3780000}"/>
    <cellStyle name="Normal 5 10 14 4 3" xfId="30964" xr:uid="{00000000-0005-0000-0000-0000F4780000}"/>
    <cellStyle name="Normal 5 10 14 4 4" xfId="30965" xr:uid="{00000000-0005-0000-0000-0000F5780000}"/>
    <cellStyle name="Normal 5 10 14 4 5" xfId="30966" xr:uid="{00000000-0005-0000-0000-0000F6780000}"/>
    <cellStyle name="Normal 5 10 14 4 6" xfId="30967" xr:uid="{00000000-0005-0000-0000-0000F7780000}"/>
    <cellStyle name="Normal 5 10 14 4 7" xfId="30968" xr:uid="{00000000-0005-0000-0000-0000F8780000}"/>
    <cellStyle name="Normal 5 10 14 4 8" xfId="30969" xr:uid="{00000000-0005-0000-0000-0000F9780000}"/>
    <cellStyle name="Normal 5 10 14 4 9" xfId="30970" xr:uid="{00000000-0005-0000-0000-0000FA780000}"/>
    <cellStyle name="Normal 5 10 14 5" xfId="30971" xr:uid="{00000000-0005-0000-0000-0000FB780000}"/>
    <cellStyle name="Normal 5 10 14 5 10" xfId="30972" xr:uid="{00000000-0005-0000-0000-0000FC780000}"/>
    <cellStyle name="Normal 5 10 14 5 2" xfId="30973" xr:uid="{00000000-0005-0000-0000-0000FD780000}"/>
    <cellStyle name="Normal 5 10 14 5 3" xfId="30974" xr:uid="{00000000-0005-0000-0000-0000FE780000}"/>
    <cellStyle name="Normal 5 10 14 5 4" xfId="30975" xr:uid="{00000000-0005-0000-0000-0000FF780000}"/>
    <cellStyle name="Normal 5 10 14 5 5" xfId="30976" xr:uid="{00000000-0005-0000-0000-000000790000}"/>
    <cellStyle name="Normal 5 10 14 5 6" xfId="30977" xr:uid="{00000000-0005-0000-0000-000001790000}"/>
    <cellStyle name="Normal 5 10 14 5 7" xfId="30978" xr:uid="{00000000-0005-0000-0000-000002790000}"/>
    <cellStyle name="Normal 5 10 14 5 8" xfId="30979" xr:uid="{00000000-0005-0000-0000-000003790000}"/>
    <cellStyle name="Normal 5 10 14 5 9" xfId="30980" xr:uid="{00000000-0005-0000-0000-000004790000}"/>
    <cellStyle name="Normal 5 10 14 6" xfId="30981" xr:uid="{00000000-0005-0000-0000-000005790000}"/>
    <cellStyle name="Normal 5 10 14 7" xfId="30982" xr:uid="{00000000-0005-0000-0000-000006790000}"/>
    <cellStyle name="Normal 5 10 14 8" xfId="30983" xr:uid="{00000000-0005-0000-0000-000007790000}"/>
    <cellStyle name="Normal 5 10 14 9" xfId="30984" xr:uid="{00000000-0005-0000-0000-000008790000}"/>
    <cellStyle name="Normal 5 10 15" xfId="30985" xr:uid="{00000000-0005-0000-0000-000009790000}"/>
    <cellStyle name="Normal 5 10 15 10" xfId="30986" xr:uid="{00000000-0005-0000-0000-00000A790000}"/>
    <cellStyle name="Normal 5 10 15 11" xfId="30987" xr:uid="{00000000-0005-0000-0000-00000B790000}"/>
    <cellStyle name="Normal 5 10 15 12" xfId="30988" xr:uid="{00000000-0005-0000-0000-00000C790000}"/>
    <cellStyle name="Normal 5 10 15 13" xfId="30989" xr:uid="{00000000-0005-0000-0000-00000D790000}"/>
    <cellStyle name="Normal 5 10 15 14" xfId="30990" xr:uid="{00000000-0005-0000-0000-00000E790000}"/>
    <cellStyle name="Normal 5 10 15 2" xfId="30991" xr:uid="{00000000-0005-0000-0000-00000F790000}"/>
    <cellStyle name="Normal 5 10 15 2 10" xfId="30992" xr:uid="{00000000-0005-0000-0000-000010790000}"/>
    <cellStyle name="Normal 5 10 15 2 2" xfId="30993" xr:uid="{00000000-0005-0000-0000-000011790000}"/>
    <cellStyle name="Normal 5 10 15 2 3" xfId="30994" xr:uid="{00000000-0005-0000-0000-000012790000}"/>
    <cellStyle name="Normal 5 10 15 2 4" xfId="30995" xr:uid="{00000000-0005-0000-0000-000013790000}"/>
    <cellStyle name="Normal 5 10 15 2 5" xfId="30996" xr:uid="{00000000-0005-0000-0000-000014790000}"/>
    <cellStyle name="Normal 5 10 15 2 6" xfId="30997" xr:uid="{00000000-0005-0000-0000-000015790000}"/>
    <cellStyle name="Normal 5 10 15 2 7" xfId="30998" xr:uid="{00000000-0005-0000-0000-000016790000}"/>
    <cellStyle name="Normal 5 10 15 2 8" xfId="30999" xr:uid="{00000000-0005-0000-0000-000017790000}"/>
    <cellStyle name="Normal 5 10 15 2 9" xfId="31000" xr:uid="{00000000-0005-0000-0000-000018790000}"/>
    <cellStyle name="Normal 5 10 15 3" xfId="31001" xr:uid="{00000000-0005-0000-0000-000019790000}"/>
    <cellStyle name="Normal 5 10 15 3 10" xfId="31002" xr:uid="{00000000-0005-0000-0000-00001A790000}"/>
    <cellStyle name="Normal 5 10 15 3 2" xfId="31003" xr:uid="{00000000-0005-0000-0000-00001B790000}"/>
    <cellStyle name="Normal 5 10 15 3 3" xfId="31004" xr:uid="{00000000-0005-0000-0000-00001C790000}"/>
    <cellStyle name="Normal 5 10 15 3 4" xfId="31005" xr:uid="{00000000-0005-0000-0000-00001D790000}"/>
    <cellStyle name="Normal 5 10 15 3 5" xfId="31006" xr:uid="{00000000-0005-0000-0000-00001E790000}"/>
    <cellStyle name="Normal 5 10 15 3 6" xfId="31007" xr:uid="{00000000-0005-0000-0000-00001F790000}"/>
    <cellStyle name="Normal 5 10 15 3 7" xfId="31008" xr:uid="{00000000-0005-0000-0000-000020790000}"/>
    <cellStyle name="Normal 5 10 15 3 8" xfId="31009" xr:uid="{00000000-0005-0000-0000-000021790000}"/>
    <cellStyle name="Normal 5 10 15 3 9" xfId="31010" xr:uid="{00000000-0005-0000-0000-000022790000}"/>
    <cellStyle name="Normal 5 10 15 4" xfId="31011" xr:uid="{00000000-0005-0000-0000-000023790000}"/>
    <cellStyle name="Normal 5 10 15 4 10" xfId="31012" xr:uid="{00000000-0005-0000-0000-000024790000}"/>
    <cellStyle name="Normal 5 10 15 4 2" xfId="31013" xr:uid="{00000000-0005-0000-0000-000025790000}"/>
    <cellStyle name="Normal 5 10 15 4 3" xfId="31014" xr:uid="{00000000-0005-0000-0000-000026790000}"/>
    <cellStyle name="Normal 5 10 15 4 4" xfId="31015" xr:uid="{00000000-0005-0000-0000-000027790000}"/>
    <cellStyle name="Normal 5 10 15 4 5" xfId="31016" xr:uid="{00000000-0005-0000-0000-000028790000}"/>
    <cellStyle name="Normal 5 10 15 4 6" xfId="31017" xr:uid="{00000000-0005-0000-0000-000029790000}"/>
    <cellStyle name="Normal 5 10 15 4 7" xfId="31018" xr:uid="{00000000-0005-0000-0000-00002A790000}"/>
    <cellStyle name="Normal 5 10 15 4 8" xfId="31019" xr:uid="{00000000-0005-0000-0000-00002B790000}"/>
    <cellStyle name="Normal 5 10 15 4 9" xfId="31020" xr:uid="{00000000-0005-0000-0000-00002C790000}"/>
    <cellStyle name="Normal 5 10 15 5" xfId="31021" xr:uid="{00000000-0005-0000-0000-00002D790000}"/>
    <cellStyle name="Normal 5 10 15 5 10" xfId="31022" xr:uid="{00000000-0005-0000-0000-00002E790000}"/>
    <cellStyle name="Normal 5 10 15 5 2" xfId="31023" xr:uid="{00000000-0005-0000-0000-00002F790000}"/>
    <cellStyle name="Normal 5 10 15 5 3" xfId="31024" xr:uid="{00000000-0005-0000-0000-000030790000}"/>
    <cellStyle name="Normal 5 10 15 5 4" xfId="31025" xr:uid="{00000000-0005-0000-0000-000031790000}"/>
    <cellStyle name="Normal 5 10 15 5 5" xfId="31026" xr:uid="{00000000-0005-0000-0000-000032790000}"/>
    <cellStyle name="Normal 5 10 15 5 6" xfId="31027" xr:uid="{00000000-0005-0000-0000-000033790000}"/>
    <cellStyle name="Normal 5 10 15 5 7" xfId="31028" xr:uid="{00000000-0005-0000-0000-000034790000}"/>
    <cellStyle name="Normal 5 10 15 5 8" xfId="31029" xr:uid="{00000000-0005-0000-0000-000035790000}"/>
    <cellStyle name="Normal 5 10 15 5 9" xfId="31030" xr:uid="{00000000-0005-0000-0000-000036790000}"/>
    <cellStyle name="Normal 5 10 15 6" xfId="31031" xr:uid="{00000000-0005-0000-0000-000037790000}"/>
    <cellStyle name="Normal 5 10 15 7" xfId="31032" xr:uid="{00000000-0005-0000-0000-000038790000}"/>
    <cellStyle name="Normal 5 10 15 8" xfId="31033" xr:uid="{00000000-0005-0000-0000-000039790000}"/>
    <cellStyle name="Normal 5 10 15 9" xfId="31034" xr:uid="{00000000-0005-0000-0000-00003A790000}"/>
    <cellStyle name="Normal 5 10 16" xfId="31035" xr:uid="{00000000-0005-0000-0000-00003B790000}"/>
    <cellStyle name="Normal 5 10 16 10" xfId="31036" xr:uid="{00000000-0005-0000-0000-00003C790000}"/>
    <cellStyle name="Normal 5 10 16 11" xfId="31037" xr:uid="{00000000-0005-0000-0000-00003D790000}"/>
    <cellStyle name="Normal 5 10 16 12" xfId="31038" xr:uid="{00000000-0005-0000-0000-00003E790000}"/>
    <cellStyle name="Normal 5 10 16 13" xfId="31039" xr:uid="{00000000-0005-0000-0000-00003F790000}"/>
    <cellStyle name="Normal 5 10 16 14" xfId="31040" xr:uid="{00000000-0005-0000-0000-000040790000}"/>
    <cellStyle name="Normal 5 10 16 2" xfId="31041" xr:uid="{00000000-0005-0000-0000-000041790000}"/>
    <cellStyle name="Normal 5 10 16 2 10" xfId="31042" xr:uid="{00000000-0005-0000-0000-000042790000}"/>
    <cellStyle name="Normal 5 10 16 2 2" xfId="31043" xr:uid="{00000000-0005-0000-0000-000043790000}"/>
    <cellStyle name="Normal 5 10 16 2 3" xfId="31044" xr:uid="{00000000-0005-0000-0000-000044790000}"/>
    <cellStyle name="Normal 5 10 16 2 4" xfId="31045" xr:uid="{00000000-0005-0000-0000-000045790000}"/>
    <cellStyle name="Normal 5 10 16 2 5" xfId="31046" xr:uid="{00000000-0005-0000-0000-000046790000}"/>
    <cellStyle name="Normal 5 10 16 2 6" xfId="31047" xr:uid="{00000000-0005-0000-0000-000047790000}"/>
    <cellStyle name="Normal 5 10 16 2 7" xfId="31048" xr:uid="{00000000-0005-0000-0000-000048790000}"/>
    <cellStyle name="Normal 5 10 16 2 8" xfId="31049" xr:uid="{00000000-0005-0000-0000-000049790000}"/>
    <cellStyle name="Normal 5 10 16 2 9" xfId="31050" xr:uid="{00000000-0005-0000-0000-00004A790000}"/>
    <cellStyle name="Normal 5 10 16 3" xfId="31051" xr:uid="{00000000-0005-0000-0000-00004B790000}"/>
    <cellStyle name="Normal 5 10 16 3 10" xfId="31052" xr:uid="{00000000-0005-0000-0000-00004C790000}"/>
    <cellStyle name="Normal 5 10 16 3 2" xfId="31053" xr:uid="{00000000-0005-0000-0000-00004D790000}"/>
    <cellStyle name="Normal 5 10 16 3 3" xfId="31054" xr:uid="{00000000-0005-0000-0000-00004E790000}"/>
    <cellStyle name="Normal 5 10 16 3 4" xfId="31055" xr:uid="{00000000-0005-0000-0000-00004F790000}"/>
    <cellStyle name="Normal 5 10 16 3 5" xfId="31056" xr:uid="{00000000-0005-0000-0000-000050790000}"/>
    <cellStyle name="Normal 5 10 16 3 6" xfId="31057" xr:uid="{00000000-0005-0000-0000-000051790000}"/>
    <cellStyle name="Normal 5 10 16 3 7" xfId="31058" xr:uid="{00000000-0005-0000-0000-000052790000}"/>
    <cellStyle name="Normal 5 10 16 3 8" xfId="31059" xr:uid="{00000000-0005-0000-0000-000053790000}"/>
    <cellStyle name="Normal 5 10 16 3 9" xfId="31060" xr:uid="{00000000-0005-0000-0000-000054790000}"/>
    <cellStyle name="Normal 5 10 16 4" xfId="31061" xr:uid="{00000000-0005-0000-0000-000055790000}"/>
    <cellStyle name="Normal 5 10 16 4 10" xfId="31062" xr:uid="{00000000-0005-0000-0000-000056790000}"/>
    <cellStyle name="Normal 5 10 16 4 2" xfId="31063" xr:uid="{00000000-0005-0000-0000-000057790000}"/>
    <cellStyle name="Normal 5 10 16 4 3" xfId="31064" xr:uid="{00000000-0005-0000-0000-000058790000}"/>
    <cellStyle name="Normal 5 10 16 4 4" xfId="31065" xr:uid="{00000000-0005-0000-0000-000059790000}"/>
    <cellStyle name="Normal 5 10 16 4 5" xfId="31066" xr:uid="{00000000-0005-0000-0000-00005A790000}"/>
    <cellStyle name="Normal 5 10 16 4 6" xfId="31067" xr:uid="{00000000-0005-0000-0000-00005B790000}"/>
    <cellStyle name="Normal 5 10 16 4 7" xfId="31068" xr:uid="{00000000-0005-0000-0000-00005C790000}"/>
    <cellStyle name="Normal 5 10 16 4 8" xfId="31069" xr:uid="{00000000-0005-0000-0000-00005D790000}"/>
    <cellStyle name="Normal 5 10 16 4 9" xfId="31070" xr:uid="{00000000-0005-0000-0000-00005E790000}"/>
    <cellStyle name="Normal 5 10 16 5" xfId="31071" xr:uid="{00000000-0005-0000-0000-00005F790000}"/>
    <cellStyle name="Normal 5 10 16 5 10" xfId="31072" xr:uid="{00000000-0005-0000-0000-000060790000}"/>
    <cellStyle name="Normal 5 10 16 5 2" xfId="31073" xr:uid="{00000000-0005-0000-0000-000061790000}"/>
    <cellStyle name="Normal 5 10 16 5 3" xfId="31074" xr:uid="{00000000-0005-0000-0000-000062790000}"/>
    <cellStyle name="Normal 5 10 16 5 4" xfId="31075" xr:uid="{00000000-0005-0000-0000-000063790000}"/>
    <cellStyle name="Normal 5 10 16 5 5" xfId="31076" xr:uid="{00000000-0005-0000-0000-000064790000}"/>
    <cellStyle name="Normal 5 10 16 5 6" xfId="31077" xr:uid="{00000000-0005-0000-0000-000065790000}"/>
    <cellStyle name="Normal 5 10 16 5 7" xfId="31078" xr:uid="{00000000-0005-0000-0000-000066790000}"/>
    <cellStyle name="Normal 5 10 16 5 8" xfId="31079" xr:uid="{00000000-0005-0000-0000-000067790000}"/>
    <cellStyle name="Normal 5 10 16 5 9" xfId="31080" xr:uid="{00000000-0005-0000-0000-000068790000}"/>
    <cellStyle name="Normal 5 10 16 6" xfId="31081" xr:uid="{00000000-0005-0000-0000-000069790000}"/>
    <cellStyle name="Normal 5 10 16 7" xfId="31082" xr:uid="{00000000-0005-0000-0000-00006A790000}"/>
    <cellStyle name="Normal 5 10 16 8" xfId="31083" xr:uid="{00000000-0005-0000-0000-00006B790000}"/>
    <cellStyle name="Normal 5 10 16 9" xfId="31084" xr:uid="{00000000-0005-0000-0000-00006C790000}"/>
    <cellStyle name="Normal 5 10 17" xfId="31085" xr:uid="{00000000-0005-0000-0000-00006D790000}"/>
    <cellStyle name="Normal 5 10 17 10" xfId="31086" xr:uid="{00000000-0005-0000-0000-00006E790000}"/>
    <cellStyle name="Normal 5 10 17 11" xfId="31087" xr:uid="{00000000-0005-0000-0000-00006F790000}"/>
    <cellStyle name="Normal 5 10 17 12" xfId="31088" xr:uid="{00000000-0005-0000-0000-000070790000}"/>
    <cellStyle name="Normal 5 10 17 13" xfId="31089" xr:uid="{00000000-0005-0000-0000-000071790000}"/>
    <cellStyle name="Normal 5 10 17 14" xfId="31090" xr:uid="{00000000-0005-0000-0000-000072790000}"/>
    <cellStyle name="Normal 5 10 17 2" xfId="31091" xr:uid="{00000000-0005-0000-0000-000073790000}"/>
    <cellStyle name="Normal 5 10 17 2 10" xfId="31092" xr:uid="{00000000-0005-0000-0000-000074790000}"/>
    <cellStyle name="Normal 5 10 17 2 2" xfId="31093" xr:uid="{00000000-0005-0000-0000-000075790000}"/>
    <cellStyle name="Normal 5 10 17 2 3" xfId="31094" xr:uid="{00000000-0005-0000-0000-000076790000}"/>
    <cellStyle name="Normal 5 10 17 2 4" xfId="31095" xr:uid="{00000000-0005-0000-0000-000077790000}"/>
    <cellStyle name="Normal 5 10 17 2 5" xfId="31096" xr:uid="{00000000-0005-0000-0000-000078790000}"/>
    <cellStyle name="Normal 5 10 17 2 6" xfId="31097" xr:uid="{00000000-0005-0000-0000-000079790000}"/>
    <cellStyle name="Normal 5 10 17 2 7" xfId="31098" xr:uid="{00000000-0005-0000-0000-00007A790000}"/>
    <cellStyle name="Normal 5 10 17 2 8" xfId="31099" xr:uid="{00000000-0005-0000-0000-00007B790000}"/>
    <cellStyle name="Normal 5 10 17 2 9" xfId="31100" xr:uid="{00000000-0005-0000-0000-00007C790000}"/>
    <cellStyle name="Normal 5 10 17 3" xfId="31101" xr:uid="{00000000-0005-0000-0000-00007D790000}"/>
    <cellStyle name="Normal 5 10 17 3 10" xfId="31102" xr:uid="{00000000-0005-0000-0000-00007E790000}"/>
    <cellStyle name="Normal 5 10 17 3 2" xfId="31103" xr:uid="{00000000-0005-0000-0000-00007F790000}"/>
    <cellStyle name="Normal 5 10 17 3 3" xfId="31104" xr:uid="{00000000-0005-0000-0000-000080790000}"/>
    <cellStyle name="Normal 5 10 17 3 4" xfId="31105" xr:uid="{00000000-0005-0000-0000-000081790000}"/>
    <cellStyle name="Normal 5 10 17 3 5" xfId="31106" xr:uid="{00000000-0005-0000-0000-000082790000}"/>
    <cellStyle name="Normal 5 10 17 3 6" xfId="31107" xr:uid="{00000000-0005-0000-0000-000083790000}"/>
    <cellStyle name="Normal 5 10 17 3 7" xfId="31108" xr:uid="{00000000-0005-0000-0000-000084790000}"/>
    <cellStyle name="Normal 5 10 17 3 8" xfId="31109" xr:uid="{00000000-0005-0000-0000-000085790000}"/>
    <cellStyle name="Normal 5 10 17 3 9" xfId="31110" xr:uid="{00000000-0005-0000-0000-000086790000}"/>
    <cellStyle name="Normal 5 10 17 4" xfId="31111" xr:uid="{00000000-0005-0000-0000-000087790000}"/>
    <cellStyle name="Normal 5 10 17 4 10" xfId="31112" xr:uid="{00000000-0005-0000-0000-000088790000}"/>
    <cellStyle name="Normal 5 10 17 4 2" xfId="31113" xr:uid="{00000000-0005-0000-0000-000089790000}"/>
    <cellStyle name="Normal 5 10 17 4 3" xfId="31114" xr:uid="{00000000-0005-0000-0000-00008A790000}"/>
    <cellStyle name="Normal 5 10 17 4 4" xfId="31115" xr:uid="{00000000-0005-0000-0000-00008B790000}"/>
    <cellStyle name="Normal 5 10 17 4 5" xfId="31116" xr:uid="{00000000-0005-0000-0000-00008C790000}"/>
    <cellStyle name="Normal 5 10 17 4 6" xfId="31117" xr:uid="{00000000-0005-0000-0000-00008D790000}"/>
    <cellStyle name="Normal 5 10 17 4 7" xfId="31118" xr:uid="{00000000-0005-0000-0000-00008E790000}"/>
    <cellStyle name="Normal 5 10 17 4 8" xfId="31119" xr:uid="{00000000-0005-0000-0000-00008F790000}"/>
    <cellStyle name="Normal 5 10 17 4 9" xfId="31120" xr:uid="{00000000-0005-0000-0000-000090790000}"/>
    <cellStyle name="Normal 5 10 17 5" xfId="31121" xr:uid="{00000000-0005-0000-0000-000091790000}"/>
    <cellStyle name="Normal 5 10 17 5 10" xfId="31122" xr:uid="{00000000-0005-0000-0000-000092790000}"/>
    <cellStyle name="Normal 5 10 17 5 2" xfId="31123" xr:uid="{00000000-0005-0000-0000-000093790000}"/>
    <cellStyle name="Normal 5 10 17 5 3" xfId="31124" xr:uid="{00000000-0005-0000-0000-000094790000}"/>
    <cellStyle name="Normal 5 10 17 5 4" xfId="31125" xr:uid="{00000000-0005-0000-0000-000095790000}"/>
    <cellStyle name="Normal 5 10 17 5 5" xfId="31126" xr:uid="{00000000-0005-0000-0000-000096790000}"/>
    <cellStyle name="Normal 5 10 17 5 6" xfId="31127" xr:uid="{00000000-0005-0000-0000-000097790000}"/>
    <cellStyle name="Normal 5 10 17 5 7" xfId="31128" xr:uid="{00000000-0005-0000-0000-000098790000}"/>
    <cellStyle name="Normal 5 10 17 5 8" xfId="31129" xr:uid="{00000000-0005-0000-0000-000099790000}"/>
    <cellStyle name="Normal 5 10 17 5 9" xfId="31130" xr:uid="{00000000-0005-0000-0000-00009A790000}"/>
    <cellStyle name="Normal 5 10 17 6" xfId="31131" xr:uid="{00000000-0005-0000-0000-00009B790000}"/>
    <cellStyle name="Normal 5 10 17 7" xfId="31132" xr:uid="{00000000-0005-0000-0000-00009C790000}"/>
    <cellStyle name="Normal 5 10 17 8" xfId="31133" xr:uid="{00000000-0005-0000-0000-00009D790000}"/>
    <cellStyle name="Normal 5 10 17 9" xfId="31134" xr:uid="{00000000-0005-0000-0000-00009E790000}"/>
    <cellStyle name="Normal 5 10 18" xfId="31135" xr:uid="{00000000-0005-0000-0000-00009F790000}"/>
    <cellStyle name="Normal 5 10 18 10" xfId="31136" xr:uid="{00000000-0005-0000-0000-0000A0790000}"/>
    <cellStyle name="Normal 5 10 18 11" xfId="31137" xr:uid="{00000000-0005-0000-0000-0000A1790000}"/>
    <cellStyle name="Normal 5 10 18 12" xfId="31138" xr:uid="{00000000-0005-0000-0000-0000A2790000}"/>
    <cellStyle name="Normal 5 10 18 13" xfId="31139" xr:uid="{00000000-0005-0000-0000-0000A3790000}"/>
    <cellStyle name="Normal 5 10 18 14" xfId="31140" xr:uid="{00000000-0005-0000-0000-0000A4790000}"/>
    <cellStyle name="Normal 5 10 18 2" xfId="31141" xr:uid="{00000000-0005-0000-0000-0000A5790000}"/>
    <cellStyle name="Normal 5 10 18 2 10" xfId="31142" xr:uid="{00000000-0005-0000-0000-0000A6790000}"/>
    <cellStyle name="Normal 5 10 18 2 2" xfId="31143" xr:uid="{00000000-0005-0000-0000-0000A7790000}"/>
    <cellStyle name="Normal 5 10 18 2 3" xfId="31144" xr:uid="{00000000-0005-0000-0000-0000A8790000}"/>
    <cellStyle name="Normal 5 10 18 2 4" xfId="31145" xr:uid="{00000000-0005-0000-0000-0000A9790000}"/>
    <cellStyle name="Normal 5 10 18 2 5" xfId="31146" xr:uid="{00000000-0005-0000-0000-0000AA790000}"/>
    <cellStyle name="Normal 5 10 18 2 6" xfId="31147" xr:uid="{00000000-0005-0000-0000-0000AB790000}"/>
    <cellStyle name="Normal 5 10 18 2 7" xfId="31148" xr:uid="{00000000-0005-0000-0000-0000AC790000}"/>
    <cellStyle name="Normal 5 10 18 2 8" xfId="31149" xr:uid="{00000000-0005-0000-0000-0000AD790000}"/>
    <cellStyle name="Normal 5 10 18 2 9" xfId="31150" xr:uid="{00000000-0005-0000-0000-0000AE790000}"/>
    <cellStyle name="Normal 5 10 18 3" xfId="31151" xr:uid="{00000000-0005-0000-0000-0000AF790000}"/>
    <cellStyle name="Normal 5 10 18 3 10" xfId="31152" xr:uid="{00000000-0005-0000-0000-0000B0790000}"/>
    <cellStyle name="Normal 5 10 18 3 2" xfId="31153" xr:uid="{00000000-0005-0000-0000-0000B1790000}"/>
    <cellStyle name="Normal 5 10 18 3 3" xfId="31154" xr:uid="{00000000-0005-0000-0000-0000B2790000}"/>
    <cellStyle name="Normal 5 10 18 3 4" xfId="31155" xr:uid="{00000000-0005-0000-0000-0000B3790000}"/>
    <cellStyle name="Normal 5 10 18 3 5" xfId="31156" xr:uid="{00000000-0005-0000-0000-0000B4790000}"/>
    <cellStyle name="Normal 5 10 18 3 6" xfId="31157" xr:uid="{00000000-0005-0000-0000-0000B5790000}"/>
    <cellStyle name="Normal 5 10 18 3 7" xfId="31158" xr:uid="{00000000-0005-0000-0000-0000B6790000}"/>
    <cellStyle name="Normal 5 10 18 3 8" xfId="31159" xr:uid="{00000000-0005-0000-0000-0000B7790000}"/>
    <cellStyle name="Normal 5 10 18 3 9" xfId="31160" xr:uid="{00000000-0005-0000-0000-0000B8790000}"/>
    <cellStyle name="Normal 5 10 18 4" xfId="31161" xr:uid="{00000000-0005-0000-0000-0000B9790000}"/>
    <cellStyle name="Normal 5 10 18 4 10" xfId="31162" xr:uid="{00000000-0005-0000-0000-0000BA790000}"/>
    <cellStyle name="Normal 5 10 18 4 2" xfId="31163" xr:uid="{00000000-0005-0000-0000-0000BB790000}"/>
    <cellStyle name="Normal 5 10 18 4 3" xfId="31164" xr:uid="{00000000-0005-0000-0000-0000BC790000}"/>
    <cellStyle name="Normal 5 10 18 4 4" xfId="31165" xr:uid="{00000000-0005-0000-0000-0000BD790000}"/>
    <cellStyle name="Normal 5 10 18 4 5" xfId="31166" xr:uid="{00000000-0005-0000-0000-0000BE790000}"/>
    <cellStyle name="Normal 5 10 18 4 6" xfId="31167" xr:uid="{00000000-0005-0000-0000-0000BF790000}"/>
    <cellStyle name="Normal 5 10 18 4 7" xfId="31168" xr:uid="{00000000-0005-0000-0000-0000C0790000}"/>
    <cellStyle name="Normal 5 10 18 4 8" xfId="31169" xr:uid="{00000000-0005-0000-0000-0000C1790000}"/>
    <cellStyle name="Normal 5 10 18 4 9" xfId="31170" xr:uid="{00000000-0005-0000-0000-0000C2790000}"/>
    <cellStyle name="Normal 5 10 18 5" xfId="31171" xr:uid="{00000000-0005-0000-0000-0000C3790000}"/>
    <cellStyle name="Normal 5 10 18 5 10" xfId="31172" xr:uid="{00000000-0005-0000-0000-0000C4790000}"/>
    <cellStyle name="Normal 5 10 18 5 2" xfId="31173" xr:uid="{00000000-0005-0000-0000-0000C5790000}"/>
    <cellStyle name="Normal 5 10 18 5 3" xfId="31174" xr:uid="{00000000-0005-0000-0000-0000C6790000}"/>
    <cellStyle name="Normal 5 10 18 5 4" xfId="31175" xr:uid="{00000000-0005-0000-0000-0000C7790000}"/>
    <cellStyle name="Normal 5 10 18 5 5" xfId="31176" xr:uid="{00000000-0005-0000-0000-0000C8790000}"/>
    <cellStyle name="Normal 5 10 18 5 6" xfId="31177" xr:uid="{00000000-0005-0000-0000-0000C9790000}"/>
    <cellStyle name="Normal 5 10 18 5 7" xfId="31178" xr:uid="{00000000-0005-0000-0000-0000CA790000}"/>
    <cellStyle name="Normal 5 10 18 5 8" xfId="31179" xr:uid="{00000000-0005-0000-0000-0000CB790000}"/>
    <cellStyle name="Normal 5 10 18 5 9" xfId="31180" xr:uid="{00000000-0005-0000-0000-0000CC790000}"/>
    <cellStyle name="Normal 5 10 18 6" xfId="31181" xr:uid="{00000000-0005-0000-0000-0000CD790000}"/>
    <cellStyle name="Normal 5 10 18 7" xfId="31182" xr:uid="{00000000-0005-0000-0000-0000CE790000}"/>
    <cellStyle name="Normal 5 10 18 8" xfId="31183" xr:uid="{00000000-0005-0000-0000-0000CF790000}"/>
    <cellStyle name="Normal 5 10 18 9" xfId="31184" xr:uid="{00000000-0005-0000-0000-0000D0790000}"/>
    <cellStyle name="Normal 5 10 19" xfId="31185" xr:uid="{00000000-0005-0000-0000-0000D1790000}"/>
    <cellStyle name="Normal 5 10 19 10" xfId="31186" xr:uid="{00000000-0005-0000-0000-0000D2790000}"/>
    <cellStyle name="Normal 5 10 19 11" xfId="31187" xr:uid="{00000000-0005-0000-0000-0000D3790000}"/>
    <cellStyle name="Normal 5 10 19 12" xfId="31188" xr:uid="{00000000-0005-0000-0000-0000D4790000}"/>
    <cellStyle name="Normal 5 10 19 13" xfId="31189" xr:uid="{00000000-0005-0000-0000-0000D5790000}"/>
    <cellStyle name="Normal 5 10 19 14" xfId="31190" xr:uid="{00000000-0005-0000-0000-0000D6790000}"/>
    <cellStyle name="Normal 5 10 19 2" xfId="31191" xr:uid="{00000000-0005-0000-0000-0000D7790000}"/>
    <cellStyle name="Normal 5 10 19 2 10" xfId="31192" xr:uid="{00000000-0005-0000-0000-0000D8790000}"/>
    <cellStyle name="Normal 5 10 19 2 2" xfId="31193" xr:uid="{00000000-0005-0000-0000-0000D9790000}"/>
    <cellStyle name="Normal 5 10 19 2 3" xfId="31194" xr:uid="{00000000-0005-0000-0000-0000DA790000}"/>
    <cellStyle name="Normal 5 10 19 2 4" xfId="31195" xr:uid="{00000000-0005-0000-0000-0000DB790000}"/>
    <cellStyle name="Normal 5 10 19 2 5" xfId="31196" xr:uid="{00000000-0005-0000-0000-0000DC790000}"/>
    <cellStyle name="Normal 5 10 19 2 6" xfId="31197" xr:uid="{00000000-0005-0000-0000-0000DD790000}"/>
    <cellStyle name="Normal 5 10 19 2 7" xfId="31198" xr:uid="{00000000-0005-0000-0000-0000DE790000}"/>
    <cellStyle name="Normal 5 10 19 2 8" xfId="31199" xr:uid="{00000000-0005-0000-0000-0000DF790000}"/>
    <cellStyle name="Normal 5 10 19 2 9" xfId="31200" xr:uid="{00000000-0005-0000-0000-0000E0790000}"/>
    <cellStyle name="Normal 5 10 19 3" xfId="31201" xr:uid="{00000000-0005-0000-0000-0000E1790000}"/>
    <cellStyle name="Normal 5 10 19 3 10" xfId="31202" xr:uid="{00000000-0005-0000-0000-0000E2790000}"/>
    <cellStyle name="Normal 5 10 19 3 2" xfId="31203" xr:uid="{00000000-0005-0000-0000-0000E3790000}"/>
    <cellStyle name="Normal 5 10 19 3 3" xfId="31204" xr:uid="{00000000-0005-0000-0000-0000E4790000}"/>
    <cellStyle name="Normal 5 10 19 3 4" xfId="31205" xr:uid="{00000000-0005-0000-0000-0000E5790000}"/>
    <cellStyle name="Normal 5 10 19 3 5" xfId="31206" xr:uid="{00000000-0005-0000-0000-0000E6790000}"/>
    <cellStyle name="Normal 5 10 19 3 6" xfId="31207" xr:uid="{00000000-0005-0000-0000-0000E7790000}"/>
    <cellStyle name="Normal 5 10 19 3 7" xfId="31208" xr:uid="{00000000-0005-0000-0000-0000E8790000}"/>
    <cellStyle name="Normal 5 10 19 3 8" xfId="31209" xr:uid="{00000000-0005-0000-0000-0000E9790000}"/>
    <cellStyle name="Normal 5 10 19 3 9" xfId="31210" xr:uid="{00000000-0005-0000-0000-0000EA790000}"/>
    <cellStyle name="Normal 5 10 19 4" xfId="31211" xr:uid="{00000000-0005-0000-0000-0000EB790000}"/>
    <cellStyle name="Normal 5 10 19 4 10" xfId="31212" xr:uid="{00000000-0005-0000-0000-0000EC790000}"/>
    <cellStyle name="Normal 5 10 19 4 2" xfId="31213" xr:uid="{00000000-0005-0000-0000-0000ED790000}"/>
    <cellStyle name="Normal 5 10 19 4 3" xfId="31214" xr:uid="{00000000-0005-0000-0000-0000EE790000}"/>
    <cellStyle name="Normal 5 10 19 4 4" xfId="31215" xr:uid="{00000000-0005-0000-0000-0000EF790000}"/>
    <cellStyle name="Normal 5 10 19 4 5" xfId="31216" xr:uid="{00000000-0005-0000-0000-0000F0790000}"/>
    <cellStyle name="Normal 5 10 19 4 6" xfId="31217" xr:uid="{00000000-0005-0000-0000-0000F1790000}"/>
    <cellStyle name="Normal 5 10 19 4 7" xfId="31218" xr:uid="{00000000-0005-0000-0000-0000F2790000}"/>
    <cellStyle name="Normal 5 10 19 4 8" xfId="31219" xr:uid="{00000000-0005-0000-0000-0000F3790000}"/>
    <cellStyle name="Normal 5 10 19 4 9" xfId="31220" xr:uid="{00000000-0005-0000-0000-0000F4790000}"/>
    <cellStyle name="Normal 5 10 19 5" xfId="31221" xr:uid="{00000000-0005-0000-0000-0000F5790000}"/>
    <cellStyle name="Normal 5 10 19 5 10" xfId="31222" xr:uid="{00000000-0005-0000-0000-0000F6790000}"/>
    <cellStyle name="Normal 5 10 19 5 2" xfId="31223" xr:uid="{00000000-0005-0000-0000-0000F7790000}"/>
    <cellStyle name="Normal 5 10 19 5 3" xfId="31224" xr:uid="{00000000-0005-0000-0000-0000F8790000}"/>
    <cellStyle name="Normal 5 10 19 5 4" xfId="31225" xr:uid="{00000000-0005-0000-0000-0000F9790000}"/>
    <cellStyle name="Normal 5 10 19 5 5" xfId="31226" xr:uid="{00000000-0005-0000-0000-0000FA790000}"/>
    <cellStyle name="Normal 5 10 19 5 6" xfId="31227" xr:uid="{00000000-0005-0000-0000-0000FB790000}"/>
    <cellStyle name="Normal 5 10 19 5 7" xfId="31228" xr:uid="{00000000-0005-0000-0000-0000FC790000}"/>
    <cellStyle name="Normal 5 10 19 5 8" xfId="31229" xr:uid="{00000000-0005-0000-0000-0000FD790000}"/>
    <cellStyle name="Normal 5 10 19 5 9" xfId="31230" xr:uid="{00000000-0005-0000-0000-0000FE790000}"/>
    <cellStyle name="Normal 5 10 19 6" xfId="31231" xr:uid="{00000000-0005-0000-0000-0000FF790000}"/>
    <cellStyle name="Normal 5 10 19 7" xfId="31232" xr:uid="{00000000-0005-0000-0000-0000007A0000}"/>
    <cellStyle name="Normal 5 10 19 8" xfId="31233" xr:uid="{00000000-0005-0000-0000-0000017A0000}"/>
    <cellStyle name="Normal 5 10 19 9" xfId="31234" xr:uid="{00000000-0005-0000-0000-0000027A0000}"/>
    <cellStyle name="Normal 5 10 2" xfId="31235" xr:uid="{00000000-0005-0000-0000-0000037A0000}"/>
    <cellStyle name="Normal 5 10 2 10" xfId="31236" xr:uid="{00000000-0005-0000-0000-0000047A0000}"/>
    <cellStyle name="Normal 5 10 2 10 10" xfId="31237" xr:uid="{00000000-0005-0000-0000-0000057A0000}"/>
    <cellStyle name="Normal 5 10 2 10 11" xfId="31238" xr:uid="{00000000-0005-0000-0000-0000067A0000}"/>
    <cellStyle name="Normal 5 10 2 10 12" xfId="31239" xr:uid="{00000000-0005-0000-0000-0000077A0000}"/>
    <cellStyle name="Normal 5 10 2 10 13" xfId="31240" xr:uid="{00000000-0005-0000-0000-0000087A0000}"/>
    <cellStyle name="Normal 5 10 2 10 14" xfId="31241" xr:uid="{00000000-0005-0000-0000-0000097A0000}"/>
    <cellStyle name="Normal 5 10 2 10 2" xfId="31242" xr:uid="{00000000-0005-0000-0000-00000A7A0000}"/>
    <cellStyle name="Normal 5 10 2 10 2 10" xfId="31243" xr:uid="{00000000-0005-0000-0000-00000B7A0000}"/>
    <cellStyle name="Normal 5 10 2 10 2 2" xfId="31244" xr:uid="{00000000-0005-0000-0000-00000C7A0000}"/>
    <cellStyle name="Normal 5 10 2 10 2 3" xfId="31245" xr:uid="{00000000-0005-0000-0000-00000D7A0000}"/>
    <cellStyle name="Normal 5 10 2 10 2 4" xfId="31246" xr:uid="{00000000-0005-0000-0000-00000E7A0000}"/>
    <cellStyle name="Normal 5 10 2 10 2 5" xfId="31247" xr:uid="{00000000-0005-0000-0000-00000F7A0000}"/>
    <cellStyle name="Normal 5 10 2 10 2 6" xfId="31248" xr:uid="{00000000-0005-0000-0000-0000107A0000}"/>
    <cellStyle name="Normal 5 10 2 10 2 7" xfId="31249" xr:uid="{00000000-0005-0000-0000-0000117A0000}"/>
    <cellStyle name="Normal 5 10 2 10 2 8" xfId="31250" xr:uid="{00000000-0005-0000-0000-0000127A0000}"/>
    <cellStyle name="Normal 5 10 2 10 2 9" xfId="31251" xr:uid="{00000000-0005-0000-0000-0000137A0000}"/>
    <cellStyle name="Normal 5 10 2 10 3" xfId="31252" xr:uid="{00000000-0005-0000-0000-0000147A0000}"/>
    <cellStyle name="Normal 5 10 2 10 3 10" xfId="31253" xr:uid="{00000000-0005-0000-0000-0000157A0000}"/>
    <cellStyle name="Normal 5 10 2 10 3 2" xfId="31254" xr:uid="{00000000-0005-0000-0000-0000167A0000}"/>
    <cellStyle name="Normal 5 10 2 10 3 3" xfId="31255" xr:uid="{00000000-0005-0000-0000-0000177A0000}"/>
    <cellStyle name="Normal 5 10 2 10 3 4" xfId="31256" xr:uid="{00000000-0005-0000-0000-0000187A0000}"/>
    <cellStyle name="Normal 5 10 2 10 3 5" xfId="31257" xr:uid="{00000000-0005-0000-0000-0000197A0000}"/>
    <cellStyle name="Normal 5 10 2 10 3 6" xfId="31258" xr:uid="{00000000-0005-0000-0000-00001A7A0000}"/>
    <cellStyle name="Normal 5 10 2 10 3 7" xfId="31259" xr:uid="{00000000-0005-0000-0000-00001B7A0000}"/>
    <cellStyle name="Normal 5 10 2 10 3 8" xfId="31260" xr:uid="{00000000-0005-0000-0000-00001C7A0000}"/>
    <cellStyle name="Normal 5 10 2 10 3 9" xfId="31261" xr:uid="{00000000-0005-0000-0000-00001D7A0000}"/>
    <cellStyle name="Normal 5 10 2 10 4" xfId="31262" xr:uid="{00000000-0005-0000-0000-00001E7A0000}"/>
    <cellStyle name="Normal 5 10 2 10 4 10" xfId="31263" xr:uid="{00000000-0005-0000-0000-00001F7A0000}"/>
    <cellStyle name="Normal 5 10 2 10 4 2" xfId="31264" xr:uid="{00000000-0005-0000-0000-0000207A0000}"/>
    <cellStyle name="Normal 5 10 2 10 4 3" xfId="31265" xr:uid="{00000000-0005-0000-0000-0000217A0000}"/>
    <cellStyle name="Normal 5 10 2 10 4 4" xfId="31266" xr:uid="{00000000-0005-0000-0000-0000227A0000}"/>
    <cellStyle name="Normal 5 10 2 10 4 5" xfId="31267" xr:uid="{00000000-0005-0000-0000-0000237A0000}"/>
    <cellStyle name="Normal 5 10 2 10 4 6" xfId="31268" xr:uid="{00000000-0005-0000-0000-0000247A0000}"/>
    <cellStyle name="Normal 5 10 2 10 4 7" xfId="31269" xr:uid="{00000000-0005-0000-0000-0000257A0000}"/>
    <cellStyle name="Normal 5 10 2 10 4 8" xfId="31270" xr:uid="{00000000-0005-0000-0000-0000267A0000}"/>
    <cellStyle name="Normal 5 10 2 10 4 9" xfId="31271" xr:uid="{00000000-0005-0000-0000-0000277A0000}"/>
    <cellStyle name="Normal 5 10 2 10 5" xfId="31272" xr:uid="{00000000-0005-0000-0000-0000287A0000}"/>
    <cellStyle name="Normal 5 10 2 10 5 10" xfId="31273" xr:uid="{00000000-0005-0000-0000-0000297A0000}"/>
    <cellStyle name="Normal 5 10 2 10 5 2" xfId="31274" xr:uid="{00000000-0005-0000-0000-00002A7A0000}"/>
    <cellStyle name="Normal 5 10 2 10 5 3" xfId="31275" xr:uid="{00000000-0005-0000-0000-00002B7A0000}"/>
    <cellStyle name="Normal 5 10 2 10 5 4" xfId="31276" xr:uid="{00000000-0005-0000-0000-00002C7A0000}"/>
    <cellStyle name="Normal 5 10 2 10 5 5" xfId="31277" xr:uid="{00000000-0005-0000-0000-00002D7A0000}"/>
    <cellStyle name="Normal 5 10 2 10 5 6" xfId="31278" xr:uid="{00000000-0005-0000-0000-00002E7A0000}"/>
    <cellStyle name="Normal 5 10 2 10 5 7" xfId="31279" xr:uid="{00000000-0005-0000-0000-00002F7A0000}"/>
    <cellStyle name="Normal 5 10 2 10 5 8" xfId="31280" xr:uid="{00000000-0005-0000-0000-0000307A0000}"/>
    <cellStyle name="Normal 5 10 2 10 5 9" xfId="31281" xr:uid="{00000000-0005-0000-0000-0000317A0000}"/>
    <cellStyle name="Normal 5 10 2 10 6" xfId="31282" xr:uid="{00000000-0005-0000-0000-0000327A0000}"/>
    <cellStyle name="Normal 5 10 2 10 7" xfId="31283" xr:uid="{00000000-0005-0000-0000-0000337A0000}"/>
    <cellStyle name="Normal 5 10 2 10 8" xfId="31284" xr:uid="{00000000-0005-0000-0000-0000347A0000}"/>
    <cellStyle name="Normal 5 10 2 10 9" xfId="31285" xr:uid="{00000000-0005-0000-0000-0000357A0000}"/>
    <cellStyle name="Normal 5 10 2 11" xfId="31286" xr:uid="{00000000-0005-0000-0000-0000367A0000}"/>
    <cellStyle name="Normal 5 10 2 11 10" xfId="31287" xr:uid="{00000000-0005-0000-0000-0000377A0000}"/>
    <cellStyle name="Normal 5 10 2 11 11" xfId="31288" xr:uid="{00000000-0005-0000-0000-0000387A0000}"/>
    <cellStyle name="Normal 5 10 2 11 12" xfId="31289" xr:uid="{00000000-0005-0000-0000-0000397A0000}"/>
    <cellStyle name="Normal 5 10 2 11 13" xfId="31290" xr:uid="{00000000-0005-0000-0000-00003A7A0000}"/>
    <cellStyle name="Normal 5 10 2 11 14" xfId="31291" xr:uid="{00000000-0005-0000-0000-00003B7A0000}"/>
    <cellStyle name="Normal 5 10 2 11 2" xfId="31292" xr:uid="{00000000-0005-0000-0000-00003C7A0000}"/>
    <cellStyle name="Normal 5 10 2 11 2 10" xfId="31293" xr:uid="{00000000-0005-0000-0000-00003D7A0000}"/>
    <cellStyle name="Normal 5 10 2 11 2 2" xfId="31294" xr:uid="{00000000-0005-0000-0000-00003E7A0000}"/>
    <cellStyle name="Normal 5 10 2 11 2 3" xfId="31295" xr:uid="{00000000-0005-0000-0000-00003F7A0000}"/>
    <cellStyle name="Normal 5 10 2 11 2 4" xfId="31296" xr:uid="{00000000-0005-0000-0000-0000407A0000}"/>
    <cellStyle name="Normal 5 10 2 11 2 5" xfId="31297" xr:uid="{00000000-0005-0000-0000-0000417A0000}"/>
    <cellStyle name="Normal 5 10 2 11 2 6" xfId="31298" xr:uid="{00000000-0005-0000-0000-0000427A0000}"/>
    <cellStyle name="Normal 5 10 2 11 2 7" xfId="31299" xr:uid="{00000000-0005-0000-0000-0000437A0000}"/>
    <cellStyle name="Normal 5 10 2 11 2 8" xfId="31300" xr:uid="{00000000-0005-0000-0000-0000447A0000}"/>
    <cellStyle name="Normal 5 10 2 11 2 9" xfId="31301" xr:uid="{00000000-0005-0000-0000-0000457A0000}"/>
    <cellStyle name="Normal 5 10 2 11 3" xfId="31302" xr:uid="{00000000-0005-0000-0000-0000467A0000}"/>
    <cellStyle name="Normal 5 10 2 11 3 10" xfId="31303" xr:uid="{00000000-0005-0000-0000-0000477A0000}"/>
    <cellStyle name="Normal 5 10 2 11 3 2" xfId="31304" xr:uid="{00000000-0005-0000-0000-0000487A0000}"/>
    <cellStyle name="Normal 5 10 2 11 3 3" xfId="31305" xr:uid="{00000000-0005-0000-0000-0000497A0000}"/>
    <cellStyle name="Normal 5 10 2 11 3 4" xfId="31306" xr:uid="{00000000-0005-0000-0000-00004A7A0000}"/>
    <cellStyle name="Normal 5 10 2 11 3 5" xfId="31307" xr:uid="{00000000-0005-0000-0000-00004B7A0000}"/>
    <cellStyle name="Normal 5 10 2 11 3 6" xfId="31308" xr:uid="{00000000-0005-0000-0000-00004C7A0000}"/>
    <cellStyle name="Normal 5 10 2 11 3 7" xfId="31309" xr:uid="{00000000-0005-0000-0000-00004D7A0000}"/>
    <cellStyle name="Normal 5 10 2 11 3 8" xfId="31310" xr:uid="{00000000-0005-0000-0000-00004E7A0000}"/>
    <cellStyle name="Normal 5 10 2 11 3 9" xfId="31311" xr:uid="{00000000-0005-0000-0000-00004F7A0000}"/>
    <cellStyle name="Normal 5 10 2 11 4" xfId="31312" xr:uid="{00000000-0005-0000-0000-0000507A0000}"/>
    <cellStyle name="Normal 5 10 2 11 4 10" xfId="31313" xr:uid="{00000000-0005-0000-0000-0000517A0000}"/>
    <cellStyle name="Normal 5 10 2 11 4 2" xfId="31314" xr:uid="{00000000-0005-0000-0000-0000527A0000}"/>
    <cellStyle name="Normal 5 10 2 11 4 3" xfId="31315" xr:uid="{00000000-0005-0000-0000-0000537A0000}"/>
    <cellStyle name="Normal 5 10 2 11 4 4" xfId="31316" xr:uid="{00000000-0005-0000-0000-0000547A0000}"/>
    <cellStyle name="Normal 5 10 2 11 4 5" xfId="31317" xr:uid="{00000000-0005-0000-0000-0000557A0000}"/>
    <cellStyle name="Normal 5 10 2 11 4 6" xfId="31318" xr:uid="{00000000-0005-0000-0000-0000567A0000}"/>
    <cellStyle name="Normal 5 10 2 11 4 7" xfId="31319" xr:uid="{00000000-0005-0000-0000-0000577A0000}"/>
    <cellStyle name="Normal 5 10 2 11 4 8" xfId="31320" xr:uid="{00000000-0005-0000-0000-0000587A0000}"/>
    <cellStyle name="Normal 5 10 2 11 4 9" xfId="31321" xr:uid="{00000000-0005-0000-0000-0000597A0000}"/>
    <cellStyle name="Normal 5 10 2 11 5" xfId="31322" xr:uid="{00000000-0005-0000-0000-00005A7A0000}"/>
    <cellStyle name="Normal 5 10 2 11 5 10" xfId="31323" xr:uid="{00000000-0005-0000-0000-00005B7A0000}"/>
    <cellStyle name="Normal 5 10 2 11 5 2" xfId="31324" xr:uid="{00000000-0005-0000-0000-00005C7A0000}"/>
    <cellStyle name="Normal 5 10 2 11 5 3" xfId="31325" xr:uid="{00000000-0005-0000-0000-00005D7A0000}"/>
    <cellStyle name="Normal 5 10 2 11 5 4" xfId="31326" xr:uid="{00000000-0005-0000-0000-00005E7A0000}"/>
    <cellStyle name="Normal 5 10 2 11 5 5" xfId="31327" xr:uid="{00000000-0005-0000-0000-00005F7A0000}"/>
    <cellStyle name="Normal 5 10 2 11 5 6" xfId="31328" xr:uid="{00000000-0005-0000-0000-0000607A0000}"/>
    <cellStyle name="Normal 5 10 2 11 5 7" xfId="31329" xr:uid="{00000000-0005-0000-0000-0000617A0000}"/>
    <cellStyle name="Normal 5 10 2 11 5 8" xfId="31330" xr:uid="{00000000-0005-0000-0000-0000627A0000}"/>
    <cellStyle name="Normal 5 10 2 11 5 9" xfId="31331" xr:uid="{00000000-0005-0000-0000-0000637A0000}"/>
    <cellStyle name="Normal 5 10 2 11 6" xfId="31332" xr:uid="{00000000-0005-0000-0000-0000647A0000}"/>
    <cellStyle name="Normal 5 10 2 11 7" xfId="31333" xr:uid="{00000000-0005-0000-0000-0000657A0000}"/>
    <cellStyle name="Normal 5 10 2 11 8" xfId="31334" xr:uid="{00000000-0005-0000-0000-0000667A0000}"/>
    <cellStyle name="Normal 5 10 2 11 9" xfId="31335" xr:uid="{00000000-0005-0000-0000-0000677A0000}"/>
    <cellStyle name="Normal 5 10 2 12" xfId="31336" xr:uid="{00000000-0005-0000-0000-0000687A0000}"/>
    <cellStyle name="Normal 5 10 2 12 10" xfId="31337" xr:uid="{00000000-0005-0000-0000-0000697A0000}"/>
    <cellStyle name="Normal 5 10 2 12 11" xfId="31338" xr:uid="{00000000-0005-0000-0000-00006A7A0000}"/>
    <cellStyle name="Normal 5 10 2 12 12" xfId="31339" xr:uid="{00000000-0005-0000-0000-00006B7A0000}"/>
    <cellStyle name="Normal 5 10 2 12 13" xfId="31340" xr:uid="{00000000-0005-0000-0000-00006C7A0000}"/>
    <cellStyle name="Normal 5 10 2 12 14" xfId="31341" xr:uid="{00000000-0005-0000-0000-00006D7A0000}"/>
    <cellStyle name="Normal 5 10 2 12 2" xfId="31342" xr:uid="{00000000-0005-0000-0000-00006E7A0000}"/>
    <cellStyle name="Normal 5 10 2 12 2 10" xfId="31343" xr:uid="{00000000-0005-0000-0000-00006F7A0000}"/>
    <cellStyle name="Normal 5 10 2 12 2 2" xfId="31344" xr:uid="{00000000-0005-0000-0000-0000707A0000}"/>
    <cellStyle name="Normal 5 10 2 12 2 3" xfId="31345" xr:uid="{00000000-0005-0000-0000-0000717A0000}"/>
    <cellStyle name="Normal 5 10 2 12 2 4" xfId="31346" xr:uid="{00000000-0005-0000-0000-0000727A0000}"/>
    <cellStyle name="Normal 5 10 2 12 2 5" xfId="31347" xr:uid="{00000000-0005-0000-0000-0000737A0000}"/>
    <cellStyle name="Normal 5 10 2 12 2 6" xfId="31348" xr:uid="{00000000-0005-0000-0000-0000747A0000}"/>
    <cellStyle name="Normal 5 10 2 12 2 7" xfId="31349" xr:uid="{00000000-0005-0000-0000-0000757A0000}"/>
    <cellStyle name="Normal 5 10 2 12 2 8" xfId="31350" xr:uid="{00000000-0005-0000-0000-0000767A0000}"/>
    <cellStyle name="Normal 5 10 2 12 2 9" xfId="31351" xr:uid="{00000000-0005-0000-0000-0000777A0000}"/>
    <cellStyle name="Normal 5 10 2 12 3" xfId="31352" xr:uid="{00000000-0005-0000-0000-0000787A0000}"/>
    <cellStyle name="Normal 5 10 2 12 3 10" xfId="31353" xr:uid="{00000000-0005-0000-0000-0000797A0000}"/>
    <cellStyle name="Normal 5 10 2 12 3 2" xfId="31354" xr:uid="{00000000-0005-0000-0000-00007A7A0000}"/>
    <cellStyle name="Normal 5 10 2 12 3 3" xfId="31355" xr:uid="{00000000-0005-0000-0000-00007B7A0000}"/>
    <cellStyle name="Normal 5 10 2 12 3 4" xfId="31356" xr:uid="{00000000-0005-0000-0000-00007C7A0000}"/>
    <cellStyle name="Normal 5 10 2 12 3 5" xfId="31357" xr:uid="{00000000-0005-0000-0000-00007D7A0000}"/>
    <cellStyle name="Normal 5 10 2 12 3 6" xfId="31358" xr:uid="{00000000-0005-0000-0000-00007E7A0000}"/>
    <cellStyle name="Normal 5 10 2 12 3 7" xfId="31359" xr:uid="{00000000-0005-0000-0000-00007F7A0000}"/>
    <cellStyle name="Normal 5 10 2 12 3 8" xfId="31360" xr:uid="{00000000-0005-0000-0000-0000807A0000}"/>
    <cellStyle name="Normal 5 10 2 12 3 9" xfId="31361" xr:uid="{00000000-0005-0000-0000-0000817A0000}"/>
    <cellStyle name="Normal 5 10 2 12 4" xfId="31362" xr:uid="{00000000-0005-0000-0000-0000827A0000}"/>
    <cellStyle name="Normal 5 10 2 12 4 10" xfId="31363" xr:uid="{00000000-0005-0000-0000-0000837A0000}"/>
    <cellStyle name="Normal 5 10 2 12 4 2" xfId="31364" xr:uid="{00000000-0005-0000-0000-0000847A0000}"/>
    <cellStyle name="Normal 5 10 2 12 4 3" xfId="31365" xr:uid="{00000000-0005-0000-0000-0000857A0000}"/>
    <cellStyle name="Normal 5 10 2 12 4 4" xfId="31366" xr:uid="{00000000-0005-0000-0000-0000867A0000}"/>
    <cellStyle name="Normal 5 10 2 12 4 5" xfId="31367" xr:uid="{00000000-0005-0000-0000-0000877A0000}"/>
    <cellStyle name="Normal 5 10 2 12 4 6" xfId="31368" xr:uid="{00000000-0005-0000-0000-0000887A0000}"/>
    <cellStyle name="Normal 5 10 2 12 4 7" xfId="31369" xr:uid="{00000000-0005-0000-0000-0000897A0000}"/>
    <cellStyle name="Normal 5 10 2 12 4 8" xfId="31370" xr:uid="{00000000-0005-0000-0000-00008A7A0000}"/>
    <cellStyle name="Normal 5 10 2 12 4 9" xfId="31371" xr:uid="{00000000-0005-0000-0000-00008B7A0000}"/>
    <cellStyle name="Normal 5 10 2 12 5" xfId="31372" xr:uid="{00000000-0005-0000-0000-00008C7A0000}"/>
    <cellStyle name="Normal 5 10 2 12 5 10" xfId="31373" xr:uid="{00000000-0005-0000-0000-00008D7A0000}"/>
    <cellStyle name="Normal 5 10 2 12 5 2" xfId="31374" xr:uid="{00000000-0005-0000-0000-00008E7A0000}"/>
    <cellStyle name="Normal 5 10 2 12 5 3" xfId="31375" xr:uid="{00000000-0005-0000-0000-00008F7A0000}"/>
    <cellStyle name="Normal 5 10 2 12 5 4" xfId="31376" xr:uid="{00000000-0005-0000-0000-0000907A0000}"/>
    <cellStyle name="Normal 5 10 2 12 5 5" xfId="31377" xr:uid="{00000000-0005-0000-0000-0000917A0000}"/>
    <cellStyle name="Normal 5 10 2 12 5 6" xfId="31378" xr:uid="{00000000-0005-0000-0000-0000927A0000}"/>
    <cellStyle name="Normal 5 10 2 12 5 7" xfId="31379" xr:uid="{00000000-0005-0000-0000-0000937A0000}"/>
    <cellStyle name="Normal 5 10 2 12 5 8" xfId="31380" xr:uid="{00000000-0005-0000-0000-0000947A0000}"/>
    <cellStyle name="Normal 5 10 2 12 5 9" xfId="31381" xr:uid="{00000000-0005-0000-0000-0000957A0000}"/>
    <cellStyle name="Normal 5 10 2 12 6" xfId="31382" xr:uid="{00000000-0005-0000-0000-0000967A0000}"/>
    <cellStyle name="Normal 5 10 2 12 7" xfId="31383" xr:uid="{00000000-0005-0000-0000-0000977A0000}"/>
    <cellStyle name="Normal 5 10 2 12 8" xfId="31384" xr:uid="{00000000-0005-0000-0000-0000987A0000}"/>
    <cellStyle name="Normal 5 10 2 12 9" xfId="31385" xr:uid="{00000000-0005-0000-0000-0000997A0000}"/>
    <cellStyle name="Normal 5 10 2 13" xfId="31386" xr:uid="{00000000-0005-0000-0000-00009A7A0000}"/>
    <cellStyle name="Normal 5 10 2 13 10" xfId="31387" xr:uid="{00000000-0005-0000-0000-00009B7A0000}"/>
    <cellStyle name="Normal 5 10 2 13 11" xfId="31388" xr:uid="{00000000-0005-0000-0000-00009C7A0000}"/>
    <cellStyle name="Normal 5 10 2 13 12" xfId="31389" xr:uid="{00000000-0005-0000-0000-00009D7A0000}"/>
    <cellStyle name="Normal 5 10 2 13 13" xfId="31390" xr:uid="{00000000-0005-0000-0000-00009E7A0000}"/>
    <cellStyle name="Normal 5 10 2 13 14" xfId="31391" xr:uid="{00000000-0005-0000-0000-00009F7A0000}"/>
    <cellStyle name="Normal 5 10 2 13 2" xfId="31392" xr:uid="{00000000-0005-0000-0000-0000A07A0000}"/>
    <cellStyle name="Normal 5 10 2 13 2 10" xfId="31393" xr:uid="{00000000-0005-0000-0000-0000A17A0000}"/>
    <cellStyle name="Normal 5 10 2 13 2 2" xfId="31394" xr:uid="{00000000-0005-0000-0000-0000A27A0000}"/>
    <cellStyle name="Normal 5 10 2 13 2 3" xfId="31395" xr:uid="{00000000-0005-0000-0000-0000A37A0000}"/>
    <cellStyle name="Normal 5 10 2 13 2 4" xfId="31396" xr:uid="{00000000-0005-0000-0000-0000A47A0000}"/>
    <cellStyle name="Normal 5 10 2 13 2 5" xfId="31397" xr:uid="{00000000-0005-0000-0000-0000A57A0000}"/>
    <cellStyle name="Normal 5 10 2 13 2 6" xfId="31398" xr:uid="{00000000-0005-0000-0000-0000A67A0000}"/>
    <cellStyle name="Normal 5 10 2 13 2 7" xfId="31399" xr:uid="{00000000-0005-0000-0000-0000A77A0000}"/>
    <cellStyle name="Normal 5 10 2 13 2 8" xfId="31400" xr:uid="{00000000-0005-0000-0000-0000A87A0000}"/>
    <cellStyle name="Normal 5 10 2 13 2 9" xfId="31401" xr:uid="{00000000-0005-0000-0000-0000A97A0000}"/>
    <cellStyle name="Normal 5 10 2 13 3" xfId="31402" xr:uid="{00000000-0005-0000-0000-0000AA7A0000}"/>
    <cellStyle name="Normal 5 10 2 13 3 10" xfId="31403" xr:uid="{00000000-0005-0000-0000-0000AB7A0000}"/>
    <cellStyle name="Normal 5 10 2 13 3 2" xfId="31404" xr:uid="{00000000-0005-0000-0000-0000AC7A0000}"/>
    <cellStyle name="Normal 5 10 2 13 3 3" xfId="31405" xr:uid="{00000000-0005-0000-0000-0000AD7A0000}"/>
    <cellStyle name="Normal 5 10 2 13 3 4" xfId="31406" xr:uid="{00000000-0005-0000-0000-0000AE7A0000}"/>
    <cellStyle name="Normal 5 10 2 13 3 5" xfId="31407" xr:uid="{00000000-0005-0000-0000-0000AF7A0000}"/>
    <cellStyle name="Normal 5 10 2 13 3 6" xfId="31408" xr:uid="{00000000-0005-0000-0000-0000B07A0000}"/>
    <cellStyle name="Normal 5 10 2 13 3 7" xfId="31409" xr:uid="{00000000-0005-0000-0000-0000B17A0000}"/>
    <cellStyle name="Normal 5 10 2 13 3 8" xfId="31410" xr:uid="{00000000-0005-0000-0000-0000B27A0000}"/>
    <cellStyle name="Normal 5 10 2 13 3 9" xfId="31411" xr:uid="{00000000-0005-0000-0000-0000B37A0000}"/>
    <cellStyle name="Normal 5 10 2 13 4" xfId="31412" xr:uid="{00000000-0005-0000-0000-0000B47A0000}"/>
    <cellStyle name="Normal 5 10 2 13 4 10" xfId="31413" xr:uid="{00000000-0005-0000-0000-0000B57A0000}"/>
    <cellStyle name="Normal 5 10 2 13 4 2" xfId="31414" xr:uid="{00000000-0005-0000-0000-0000B67A0000}"/>
    <cellStyle name="Normal 5 10 2 13 4 3" xfId="31415" xr:uid="{00000000-0005-0000-0000-0000B77A0000}"/>
    <cellStyle name="Normal 5 10 2 13 4 4" xfId="31416" xr:uid="{00000000-0005-0000-0000-0000B87A0000}"/>
    <cellStyle name="Normal 5 10 2 13 4 5" xfId="31417" xr:uid="{00000000-0005-0000-0000-0000B97A0000}"/>
    <cellStyle name="Normal 5 10 2 13 4 6" xfId="31418" xr:uid="{00000000-0005-0000-0000-0000BA7A0000}"/>
    <cellStyle name="Normal 5 10 2 13 4 7" xfId="31419" xr:uid="{00000000-0005-0000-0000-0000BB7A0000}"/>
    <cellStyle name="Normal 5 10 2 13 4 8" xfId="31420" xr:uid="{00000000-0005-0000-0000-0000BC7A0000}"/>
    <cellStyle name="Normal 5 10 2 13 4 9" xfId="31421" xr:uid="{00000000-0005-0000-0000-0000BD7A0000}"/>
    <cellStyle name="Normal 5 10 2 13 5" xfId="31422" xr:uid="{00000000-0005-0000-0000-0000BE7A0000}"/>
    <cellStyle name="Normal 5 10 2 13 5 10" xfId="31423" xr:uid="{00000000-0005-0000-0000-0000BF7A0000}"/>
    <cellStyle name="Normal 5 10 2 13 5 2" xfId="31424" xr:uid="{00000000-0005-0000-0000-0000C07A0000}"/>
    <cellStyle name="Normal 5 10 2 13 5 3" xfId="31425" xr:uid="{00000000-0005-0000-0000-0000C17A0000}"/>
    <cellStyle name="Normal 5 10 2 13 5 4" xfId="31426" xr:uid="{00000000-0005-0000-0000-0000C27A0000}"/>
    <cellStyle name="Normal 5 10 2 13 5 5" xfId="31427" xr:uid="{00000000-0005-0000-0000-0000C37A0000}"/>
    <cellStyle name="Normal 5 10 2 13 5 6" xfId="31428" xr:uid="{00000000-0005-0000-0000-0000C47A0000}"/>
    <cellStyle name="Normal 5 10 2 13 5 7" xfId="31429" xr:uid="{00000000-0005-0000-0000-0000C57A0000}"/>
    <cellStyle name="Normal 5 10 2 13 5 8" xfId="31430" xr:uid="{00000000-0005-0000-0000-0000C67A0000}"/>
    <cellStyle name="Normal 5 10 2 13 5 9" xfId="31431" xr:uid="{00000000-0005-0000-0000-0000C77A0000}"/>
    <cellStyle name="Normal 5 10 2 13 6" xfId="31432" xr:uid="{00000000-0005-0000-0000-0000C87A0000}"/>
    <cellStyle name="Normal 5 10 2 13 7" xfId="31433" xr:uid="{00000000-0005-0000-0000-0000C97A0000}"/>
    <cellStyle name="Normal 5 10 2 13 8" xfId="31434" xr:uid="{00000000-0005-0000-0000-0000CA7A0000}"/>
    <cellStyle name="Normal 5 10 2 13 9" xfId="31435" xr:uid="{00000000-0005-0000-0000-0000CB7A0000}"/>
    <cellStyle name="Normal 5 10 2 14" xfId="31436" xr:uid="{00000000-0005-0000-0000-0000CC7A0000}"/>
    <cellStyle name="Normal 5 10 2 14 10" xfId="31437" xr:uid="{00000000-0005-0000-0000-0000CD7A0000}"/>
    <cellStyle name="Normal 5 10 2 14 11" xfId="31438" xr:uid="{00000000-0005-0000-0000-0000CE7A0000}"/>
    <cellStyle name="Normal 5 10 2 14 12" xfId="31439" xr:uid="{00000000-0005-0000-0000-0000CF7A0000}"/>
    <cellStyle name="Normal 5 10 2 14 13" xfId="31440" xr:uid="{00000000-0005-0000-0000-0000D07A0000}"/>
    <cellStyle name="Normal 5 10 2 14 14" xfId="31441" xr:uid="{00000000-0005-0000-0000-0000D17A0000}"/>
    <cellStyle name="Normal 5 10 2 14 2" xfId="31442" xr:uid="{00000000-0005-0000-0000-0000D27A0000}"/>
    <cellStyle name="Normal 5 10 2 14 2 10" xfId="31443" xr:uid="{00000000-0005-0000-0000-0000D37A0000}"/>
    <cellStyle name="Normal 5 10 2 14 2 2" xfId="31444" xr:uid="{00000000-0005-0000-0000-0000D47A0000}"/>
    <cellStyle name="Normal 5 10 2 14 2 3" xfId="31445" xr:uid="{00000000-0005-0000-0000-0000D57A0000}"/>
    <cellStyle name="Normal 5 10 2 14 2 4" xfId="31446" xr:uid="{00000000-0005-0000-0000-0000D67A0000}"/>
    <cellStyle name="Normal 5 10 2 14 2 5" xfId="31447" xr:uid="{00000000-0005-0000-0000-0000D77A0000}"/>
    <cellStyle name="Normal 5 10 2 14 2 6" xfId="31448" xr:uid="{00000000-0005-0000-0000-0000D87A0000}"/>
    <cellStyle name="Normal 5 10 2 14 2 7" xfId="31449" xr:uid="{00000000-0005-0000-0000-0000D97A0000}"/>
    <cellStyle name="Normal 5 10 2 14 2 8" xfId="31450" xr:uid="{00000000-0005-0000-0000-0000DA7A0000}"/>
    <cellStyle name="Normal 5 10 2 14 2 9" xfId="31451" xr:uid="{00000000-0005-0000-0000-0000DB7A0000}"/>
    <cellStyle name="Normal 5 10 2 14 3" xfId="31452" xr:uid="{00000000-0005-0000-0000-0000DC7A0000}"/>
    <cellStyle name="Normal 5 10 2 14 3 10" xfId="31453" xr:uid="{00000000-0005-0000-0000-0000DD7A0000}"/>
    <cellStyle name="Normal 5 10 2 14 3 2" xfId="31454" xr:uid="{00000000-0005-0000-0000-0000DE7A0000}"/>
    <cellStyle name="Normal 5 10 2 14 3 3" xfId="31455" xr:uid="{00000000-0005-0000-0000-0000DF7A0000}"/>
    <cellStyle name="Normal 5 10 2 14 3 4" xfId="31456" xr:uid="{00000000-0005-0000-0000-0000E07A0000}"/>
    <cellStyle name="Normal 5 10 2 14 3 5" xfId="31457" xr:uid="{00000000-0005-0000-0000-0000E17A0000}"/>
    <cellStyle name="Normal 5 10 2 14 3 6" xfId="31458" xr:uid="{00000000-0005-0000-0000-0000E27A0000}"/>
    <cellStyle name="Normal 5 10 2 14 3 7" xfId="31459" xr:uid="{00000000-0005-0000-0000-0000E37A0000}"/>
    <cellStyle name="Normal 5 10 2 14 3 8" xfId="31460" xr:uid="{00000000-0005-0000-0000-0000E47A0000}"/>
    <cellStyle name="Normal 5 10 2 14 3 9" xfId="31461" xr:uid="{00000000-0005-0000-0000-0000E57A0000}"/>
    <cellStyle name="Normal 5 10 2 14 4" xfId="31462" xr:uid="{00000000-0005-0000-0000-0000E67A0000}"/>
    <cellStyle name="Normal 5 10 2 14 4 10" xfId="31463" xr:uid="{00000000-0005-0000-0000-0000E77A0000}"/>
    <cellStyle name="Normal 5 10 2 14 4 2" xfId="31464" xr:uid="{00000000-0005-0000-0000-0000E87A0000}"/>
    <cellStyle name="Normal 5 10 2 14 4 3" xfId="31465" xr:uid="{00000000-0005-0000-0000-0000E97A0000}"/>
    <cellStyle name="Normal 5 10 2 14 4 4" xfId="31466" xr:uid="{00000000-0005-0000-0000-0000EA7A0000}"/>
    <cellStyle name="Normal 5 10 2 14 4 5" xfId="31467" xr:uid="{00000000-0005-0000-0000-0000EB7A0000}"/>
    <cellStyle name="Normal 5 10 2 14 4 6" xfId="31468" xr:uid="{00000000-0005-0000-0000-0000EC7A0000}"/>
    <cellStyle name="Normal 5 10 2 14 4 7" xfId="31469" xr:uid="{00000000-0005-0000-0000-0000ED7A0000}"/>
    <cellStyle name="Normal 5 10 2 14 4 8" xfId="31470" xr:uid="{00000000-0005-0000-0000-0000EE7A0000}"/>
    <cellStyle name="Normal 5 10 2 14 4 9" xfId="31471" xr:uid="{00000000-0005-0000-0000-0000EF7A0000}"/>
    <cellStyle name="Normal 5 10 2 14 5" xfId="31472" xr:uid="{00000000-0005-0000-0000-0000F07A0000}"/>
    <cellStyle name="Normal 5 10 2 14 5 10" xfId="31473" xr:uid="{00000000-0005-0000-0000-0000F17A0000}"/>
    <cellStyle name="Normal 5 10 2 14 5 2" xfId="31474" xr:uid="{00000000-0005-0000-0000-0000F27A0000}"/>
    <cellStyle name="Normal 5 10 2 14 5 3" xfId="31475" xr:uid="{00000000-0005-0000-0000-0000F37A0000}"/>
    <cellStyle name="Normal 5 10 2 14 5 4" xfId="31476" xr:uid="{00000000-0005-0000-0000-0000F47A0000}"/>
    <cellStyle name="Normal 5 10 2 14 5 5" xfId="31477" xr:uid="{00000000-0005-0000-0000-0000F57A0000}"/>
    <cellStyle name="Normal 5 10 2 14 5 6" xfId="31478" xr:uid="{00000000-0005-0000-0000-0000F67A0000}"/>
    <cellStyle name="Normal 5 10 2 14 5 7" xfId="31479" xr:uid="{00000000-0005-0000-0000-0000F77A0000}"/>
    <cellStyle name="Normal 5 10 2 14 5 8" xfId="31480" xr:uid="{00000000-0005-0000-0000-0000F87A0000}"/>
    <cellStyle name="Normal 5 10 2 14 5 9" xfId="31481" xr:uid="{00000000-0005-0000-0000-0000F97A0000}"/>
    <cellStyle name="Normal 5 10 2 14 6" xfId="31482" xr:uid="{00000000-0005-0000-0000-0000FA7A0000}"/>
    <cellStyle name="Normal 5 10 2 14 7" xfId="31483" xr:uid="{00000000-0005-0000-0000-0000FB7A0000}"/>
    <cellStyle name="Normal 5 10 2 14 8" xfId="31484" xr:uid="{00000000-0005-0000-0000-0000FC7A0000}"/>
    <cellStyle name="Normal 5 10 2 14 9" xfId="31485" xr:uid="{00000000-0005-0000-0000-0000FD7A0000}"/>
    <cellStyle name="Normal 5 10 2 15" xfId="31486" xr:uid="{00000000-0005-0000-0000-0000FE7A0000}"/>
    <cellStyle name="Normal 5 10 2 15 10" xfId="31487" xr:uid="{00000000-0005-0000-0000-0000FF7A0000}"/>
    <cellStyle name="Normal 5 10 2 15 11" xfId="31488" xr:uid="{00000000-0005-0000-0000-0000007B0000}"/>
    <cellStyle name="Normal 5 10 2 15 12" xfId="31489" xr:uid="{00000000-0005-0000-0000-0000017B0000}"/>
    <cellStyle name="Normal 5 10 2 15 13" xfId="31490" xr:uid="{00000000-0005-0000-0000-0000027B0000}"/>
    <cellStyle name="Normal 5 10 2 15 14" xfId="31491" xr:uid="{00000000-0005-0000-0000-0000037B0000}"/>
    <cellStyle name="Normal 5 10 2 15 2" xfId="31492" xr:uid="{00000000-0005-0000-0000-0000047B0000}"/>
    <cellStyle name="Normal 5 10 2 15 2 10" xfId="31493" xr:uid="{00000000-0005-0000-0000-0000057B0000}"/>
    <cellStyle name="Normal 5 10 2 15 2 2" xfId="31494" xr:uid="{00000000-0005-0000-0000-0000067B0000}"/>
    <cellStyle name="Normal 5 10 2 15 2 3" xfId="31495" xr:uid="{00000000-0005-0000-0000-0000077B0000}"/>
    <cellStyle name="Normal 5 10 2 15 2 4" xfId="31496" xr:uid="{00000000-0005-0000-0000-0000087B0000}"/>
    <cellStyle name="Normal 5 10 2 15 2 5" xfId="31497" xr:uid="{00000000-0005-0000-0000-0000097B0000}"/>
    <cellStyle name="Normal 5 10 2 15 2 6" xfId="31498" xr:uid="{00000000-0005-0000-0000-00000A7B0000}"/>
    <cellStyle name="Normal 5 10 2 15 2 7" xfId="31499" xr:uid="{00000000-0005-0000-0000-00000B7B0000}"/>
    <cellStyle name="Normal 5 10 2 15 2 8" xfId="31500" xr:uid="{00000000-0005-0000-0000-00000C7B0000}"/>
    <cellStyle name="Normal 5 10 2 15 2 9" xfId="31501" xr:uid="{00000000-0005-0000-0000-00000D7B0000}"/>
    <cellStyle name="Normal 5 10 2 15 3" xfId="31502" xr:uid="{00000000-0005-0000-0000-00000E7B0000}"/>
    <cellStyle name="Normal 5 10 2 15 3 10" xfId="31503" xr:uid="{00000000-0005-0000-0000-00000F7B0000}"/>
    <cellStyle name="Normal 5 10 2 15 3 2" xfId="31504" xr:uid="{00000000-0005-0000-0000-0000107B0000}"/>
    <cellStyle name="Normal 5 10 2 15 3 3" xfId="31505" xr:uid="{00000000-0005-0000-0000-0000117B0000}"/>
    <cellStyle name="Normal 5 10 2 15 3 4" xfId="31506" xr:uid="{00000000-0005-0000-0000-0000127B0000}"/>
    <cellStyle name="Normal 5 10 2 15 3 5" xfId="31507" xr:uid="{00000000-0005-0000-0000-0000137B0000}"/>
    <cellStyle name="Normal 5 10 2 15 3 6" xfId="31508" xr:uid="{00000000-0005-0000-0000-0000147B0000}"/>
    <cellStyle name="Normal 5 10 2 15 3 7" xfId="31509" xr:uid="{00000000-0005-0000-0000-0000157B0000}"/>
    <cellStyle name="Normal 5 10 2 15 3 8" xfId="31510" xr:uid="{00000000-0005-0000-0000-0000167B0000}"/>
    <cellStyle name="Normal 5 10 2 15 3 9" xfId="31511" xr:uid="{00000000-0005-0000-0000-0000177B0000}"/>
    <cellStyle name="Normal 5 10 2 15 4" xfId="31512" xr:uid="{00000000-0005-0000-0000-0000187B0000}"/>
    <cellStyle name="Normal 5 10 2 15 4 10" xfId="31513" xr:uid="{00000000-0005-0000-0000-0000197B0000}"/>
    <cellStyle name="Normal 5 10 2 15 4 2" xfId="31514" xr:uid="{00000000-0005-0000-0000-00001A7B0000}"/>
    <cellStyle name="Normal 5 10 2 15 4 3" xfId="31515" xr:uid="{00000000-0005-0000-0000-00001B7B0000}"/>
    <cellStyle name="Normal 5 10 2 15 4 4" xfId="31516" xr:uid="{00000000-0005-0000-0000-00001C7B0000}"/>
    <cellStyle name="Normal 5 10 2 15 4 5" xfId="31517" xr:uid="{00000000-0005-0000-0000-00001D7B0000}"/>
    <cellStyle name="Normal 5 10 2 15 4 6" xfId="31518" xr:uid="{00000000-0005-0000-0000-00001E7B0000}"/>
    <cellStyle name="Normal 5 10 2 15 4 7" xfId="31519" xr:uid="{00000000-0005-0000-0000-00001F7B0000}"/>
    <cellStyle name="Normal 5 10 2 15 4 8" xfId="31520" xr:uid="{00000000-0005-0000-0000-0000207B0000}"/>
    <cellStyle name="Normal 5 10 2 15 4 9" xfId="31521" xr:uid="{00000000-0005-0000-0000-0000217B0000}"/>
    <cellStyle name="Normal 5 10 2 15 5" xfId="31522" xr:uid="{00000000-0005-0000-0000-0000227B0000}"/>
    <cellStyle name="Normal 5 10 2 15 5 10" xfId="31523" xr:uid="{00000000-0005-0000-0000-0000237B0000}"/>
    <cellStyle name="Normal 5 10 2 15 5 2" xfId="31524" xr:uid="{00000000-0005-0000-0000-0000247B0000}"/>
    <cellStyle name="Normal 5 10 2 15 5 3" xfId="31525" xr:uid="{00000000-0005-0000-0000-0000257B0000}"/>
    <cellStyle name="Normal 5 10 2 15 5 4" xfId="31526" xr:uid="{00000000-0005-0000-0000-0000267B0000}"/>
    <cellStyle name="Normal 5 10 2 15 5 5" xfId="31527" xr:uid="{00000000-0005-0000-0000-0000277B0000}"/>
    <cellStyle name="Normal 5 10 2 15 5 6" xfId="31528" xr:uid="{00000000-0005-0000-0000-0000287B0000}"/>
    <cellStyle name="Normal 5 10 2 15 5 7" xfId="31529" xr:uid="{00000000-0005-0000-0000-0000297B0000}"/>
    <cellStyle name="Normal 5 10 2 15 5 8" xfId="31530" xr:uid="{00000000-0005-0000-0000-00002A7B0000}"/>
    <cellStyle name="Normal 5 10 2 15 5 9" xfId="31531" xr:uid="{00000000-0005-0000-0000-00002B7B0000}"/>
    <cellStyle name="Normal 5 10 2 15 6" xfId="31532" xr:uid="{00000000-0005-0000-0000-00002C7B0000}"/>
    <cellStyle name="Normal 5 10 2 15 7" xfId="31533" xr:uid="{00000000-0005-0000-0000-00002D7B0000}"/>
    <cellStyle name="Normal 5 10 2 15 8" xfId="31534" xr:uid="{00000000-0005-0000-0000-00002E7B0000}"/>
    <cellStyle name="Normal 5 10 2 15 9" xfId="31535" xr:uid="{00000000-0005-0000-0000-00002F7B0000}"/>
    <cellStyle name="Normal 5 10 2 16" xfId="31536" xr:uid="{00000000-0005-0000-0000-0000307B0000}"/>
    <cellStyle name="Normal 5 10 2 16 10" xfId="31537" xr:uid="{00000000-0005-0000-0000-0000317B0000}"/>
    <cellStyle name="Normal 5 10 2 16 11" xfId="31538" xr:uid="{00000000-0005-0000-0000-0000327B0000}"/>
    <cellStyle name="Normal 5 10 2 16 12" xfId="31539" xr:uid="{00000000-0005-0000-0000-0000337B0000}"/>
    <cellStyle name="Normal 5 10 2 16 13" xfId="31540" xr:uid="{00000000-0005-0000-0000-0000347B0000}"/>
    <cellStyle name="Normal 5 10 2 16 14" xfId="31541" xr:uid="{00000000-0005-0000-0000-0000357B0000}"/>
    <cellStyle name="Normal 5 10 2 16 2" xfId="31542" xr:uid="{00000000-0005-0000-0000-0000367B0000}"/>
    <cellStyle name="Normal 5 10 2 16 2 10" xfId="31543" xr:uid="{00000000-0005-0000-0000-0000377B0000}"/>
    <cellStyle name="Normal 5 10 2 16 2 2" xfId="31544" xr:uid="{00000000-0005-0000-0000-0000387B0000}"/>
    <cellStyle name="Normal 5 10 2 16 2 3" xfId="31545" xr:uid="{00000000-0005-0000-0000-0000397B0000}"/>
    <cellStyle name="Normal 5 10 2 16 2 4" xfId="31546" xr:uid="{00000000-0005-0000-0000-00003A7B0000}"/>
    <cellStyle name="Normal 5 10 2 16 2 5" xfId="31547" xr:uid="{00000000-0005-0000-0000-00003B7B0000}"/>
    <cellStyle name="Normal 5 10 2 16 2 6" xfId="31548" xr:uid="{00000000-0005-0000-0000-00003C7B0000}"/>
    <cellStyle name="Normal 5 10 2 16 2 7" xfId="31549" xr:uid="{00000000-0005-0000-0000-00003D7B0000}"/>
    <cellStyle name="Normal 5 10 2 16 2 8" xfId="31550" xr:uid="{00000000-0005-0000-0000-00003E7B0000}"/>
    <cellStyle name="Normal 5 10 2 16 2 9" xfId="31551" xr:uid="{00000000-0005-0000-0000-00003F7B0000}"/>
    <cellStyle name="Normal 5 10 2 16 3" xfId="31552" xr:uid="{00000000-0005-0000-0000-0000407B0000}"/>
    <cellStyle name="Normal 5 10 2 16 3 10" xfId="31553" xr:uid="{00000000-0005-0000-0000-0000417B0000}"/>
    <cellStyle name="Normal 5 10 2 16 3 2" xfId="31554" xr:uid="{00000000-0005-0000-0000-0000427B0000}"/>
    <cellStyle name="Normal 5 10 2 16 3 3" xfId="31555" xr:uid="{00000000-0005-0000-0000-0000437B0000}"/>
    <cellStyle name="Normal 5 10 2 16 3 4" xfId="31556" xr:uid="{00000000-0005-0000-0000-0000447B0000}"/>
    <cellStyle name="Normal 5 10 2 16 3 5" xfId="31557" xr:uid="{00000000-0005-0000-0000-0000457B0000}"/>
    <cellStyle name="Normal 5 10 2 16 3 6" xfId="31558" xr:uid="{00000000-0005-0000-0000-0000467B0000}"/>
    <cellStyle name="Normal 5 10 2 16 3 7" xfId="31559" xr:uid="{00000000-0005-0000-0000-0000477B0000}"/>
    <cellStyle name="Normal 5 10 2 16 3 8" xfId="31560" xr:uid="{00000000-0005-0000-0000-0000487B0000}"/>
    <cellStyle name="Normal 5 10 2 16 3 9" xfId="31561" xr:uid="{00000000-0005-0000-0000-0000497B0000}"/>
    <cellStyle name="Normal 5 10 2 16 4" xfId="31562" xr:uid="{00000000-0005-0000-0000-00004A7B0000}"/>
    <cellStyle name="Normal 5 10 2 16 4 10" xfId="31563" xr:uid="{00000000-0005-0000-0000-00004B7B0000}"/>
    <cellStyle name="Normal 5 10 2 16 4 2" xfId="31564" xr:uid="{00000000-0005-0000-0000-00004C7B0000}"/>
    <cellStyle name="Normal 5 10 2 16 4 3" xfId="31565" xr:uid="{00000000-0005-0000-0000-00004D7B0000}"/>
    <cellStyle name="Normal 5 10 2 16 4 4" xfId="31566" xr:uid="{00000000-0005-0000-0000-00004E7B0000}"/>
    <cellStyle name="Normal 5 10 2 16 4 5" xfId="31567" xr:uid="{00000000-0005-0000-0000-00004F7B0000}"/>
    <cellStyle name="Normal 5 10 2 16 4 6" xfId="31568" xr:uid="{00000000-0005-0000-0000-0000507B0000}"/>
    <cellStyle name="Normal 5 10 2 16 4 7" xfId="31569" xr:uid="{00000000-0005-0000-0000-0000517B0000}"/>
    <cellStyle name="Normal 5 10 2 16 4 8" xfId="31570" xr:uid="{00000000-0005-0000-0000-0000527B0000}"/>
    <cellStyle name="Normal 5 10 2 16 4 9" xfId="31571" xr:uid="{00000000-0005-0000-0000-0000537B0000}"/>
    <cellStyle name="Normal 5 10 2 16 5" xfId="31572" xr:uid="{00000000-0005-0000-0000-0000547B0000}"/>
    <cellStyle name="Normal 5 10 2 16 5 10" xfId="31573" xr:uid="{00000000-0005-0000-0000-0000557B0000}"/>
    <cellStyle name="Normal 5 10 2 16 5 2" xfId="31574" xr:uid="{00000000-0005-0000-0000-0000567B0000}"/>
    <cellStyle name="Normal 5 10 2 16 5 3" xfId="31575" xr:uid="{00000000-0005-0000-0000-0000577B0000}"/>
    <cellStyle name="Normal 5 10 2 16 5 4" xfId="31576" xr:uid="{00000000-0005-0000-0000-0000587B0000}"/>
    <cellStyle name="Normal 5 10 2 16 5 5" xfId="31577" xr:uid="{00000000-0005-0000-0000-0000597B0000}"/>
    <cellStyle name="Normal 5 10 2 16 5 6" xfId="31578" xr:uid="{00000000-0005-0000-0000-00005A7B0000}"/>
    <cellStyle name="Normal 5 10 2 16 5 7" xfId="31579" xr:uid="{00000000-0005-0000-0000-00005B7B0000}"/>
    <cellStyle name="Normal 5 10 2 16 5 8" xfId="31580" xr:uid="{00000000-0005-0000-0000-00005C7B0000}"/>
    <cellStyle name="Normal 5 10 2 16 5 9" xfId="31581" xr:uid="{00000000-0005-0000-0000-00005D7B0000}"/>
    <cellStyle name="Normal 5 10 2 16 6" xfId="31582" xr:uid="{00000000-0005-0000-0000-00005E7B0000}"/>
    <cellStyle name="Normal 5 10 2 16 7" xfId="31583" xr:uid="{00000000-0005-0000-0000-00005F7B0000}"/>
    <cellStyle name="Normal 5 10 2 16 8" xfId="31584" xr:uid="{00000000-0005-0000-0000-0000607B0000}"/>
    <cellStyle name="Normal 5 10 2 16 9" xfId="31585" xr:uid="{00000000-0005-0000-0000-0000617B0000}"/>
    <cellStyle name="Normal 5 10 2 17" xfId="31586" xr:uid="{00000000-0005-0000-0000-0000627B0000}"/>
    <cellStyle name="Normal 5 10 2 17 10" xfId="31587" xr:uid="{00000000-0005-0000-0000-0000637B0000}"/>
    <cellStyle name="Normal 5 10 2 17 11" xfId="31588" xr:uid="{00000000-0005-0000-0000-0000647B0000}"/>
    <cellStyle name="Normal 5 10 2 17 12" xfId="31589" xr:uid="{00000000-0005-0000-0000-0000657B0000}"/>
    <cellStyle name="Normal 5 10 2 17 13" xfId="31590" xr:uid="{00000000-0005-0000-0000-0000667B0000}"/>
    <cellStyle name="Normal 5 10 2 17 14" xfId="31591" xr:uid="{00000000-0005-0000-0000-0000677B0000}"/>
    <cellStyle name="Normal 5 10 2 17 2" xfId="31592" xr:uid="{00000000-0005-0000-0000-0000687B0000}"/>
    <cellStyle name="Normal 5 10 2 17 2 10" xfId="31593" xr:uid="{00000000-0005-0000-0000-0000697B0000}"/>
    <cellStyle name="Normal 5 10 2 17 2 2" xfId="31594" xr:uid="{00000000-0005-0000-0000-00006A7B0000}"/>
    <cellStyle name="Normal 5 10 2 17 2 3" xfId="31595" xr:uid="{00000000-0005-0000-0000-00006B7B0000}"/>
    <cellStyle name="Normal 5 10 2 17 2 4" xfId="31596" xr:uid="{00000000-0005-0000-0000-00006C7B0000}"/>
    <cellStyle name="Normal 5 10 2 17 2 5" xfId="31597" xr:uid="{00000000-0005-0000-0000-00006D7B0000}"/>
    <cellStyle name="Normal 5 10 2 17 2 6" xfId="31598" xr:uid="{00000000-0005-0000-0000-00006E7B0000}"/>
    <cellStyle name="Normal 5 10 2 17 2 7" xfId="31599" xr:uid="{00000000-0005-0000-0000-00006F7B0000}"/>
    <cellStyle name="Normal 5 10 2 17 2 8" xfId="31600" xr:uid="{00000000-0005-0000-0000-0000707B0000}"/>
    <cellStyle name="Normal 5 10 2 17 2 9" xfId="31601" xr:uid="{00000000-0005-0000-0000-0000717B0000}"/>
    <cellStyle name="Normal 5 10 2 17 3" xfId="31602" xr:uid="{00000000-0005-0000-0000-0000727B0000}"/>
    <cellStyle name="Normal 5 10 2 17 3 10" xfId="31603" xr:uid="{00000000-0005-0000-0000-0000737B0000}"/>
    <cellStyle name="Normal 5 10 2 17 3 2" xfId="31604" xr:uid="{00000000-0005-0000-0000-0000747B0000}"/>
    <cellStyle name="Normal 5 10 2 17 3 3" xfId="31605" xr:uid="{00000000-0005-0000-0000-0000757B0000}"/>
    <cellStyle name="Normal 5 10 2 17 3 4" xfId="31606" xr:uid="{00000000-0005-0000-0000-0000767B0000}"/>
    <cellStyle name="Normal 5 10 2 17 3 5" xfId="31607" xr:uid="{00000000-0005-0000-0000-0000777B0000}"/>
    <cellStyle name="Normal 5 10 2 17 3 6" xfId="31608" xr:uid="{00000000-0005-0000-0000-0000787B0000}"/>
    <cellStyle name="Normal 5 10 2 17 3 7" xfId="31609" xr:uid="{00000000-0005-0000-0000-0000797B0000}"/>
    <cellStyle name="Normal 5 10 2 17 3 8" xfId="31610" xr:uid="{00000000-0005-0000-0000-00007A7B0000}"/>
    <cellStyle name="Normal 5 10 2 17 3 9" xfId="31611" xr:uid="{00000000-0005-0000-0000-00007B7B0000}"/>
    <cellStyle name="Normal 5 10 2 17 4" xfId="31612" xr:uid="{00000000-0005-0000-0000-00007C7B0000}"/>
    <cellStyle name="Normal 5 10 2 17 4 10" xfId="31613" xr:uid="{00000000-0005-0000-0000-00007D7B0000}"/>
    <cellStyle name="Normal 5 10 2 17 4 2" xfId="31614" xr:uid="{00000000-0005-0000-0000-00007E7B0000}"/>
    <cellStyle name="Normal 5 10 2 17 4 3" xfId="31615" xr:uid="{00000000-0005-0000-0000-00007F7B0000}"/>
    <cellStyle name="Normal 5 10 2 17 4 4" xfId="31616" xr:uid="{00000000-0005-0000-0000-0000807B0000}"/>
    <cellStyle name="Normal 5 10 2 17 4 5" xfId="31617" xr:uid="{00000000-0005-0000-0000-0000817B0000}"/>
    <cellStyle name="Normal 5 10 2 17 4 6" xfId="31618" xr:uid="{00000000-0005-0000-0000-0000827B0000}"/>
    <cellStyle name="Normal 5 10 2 17 4 7" xfId="31619" xr:uid="{00000000-0005-0000-0000-0000837B0000}"/>
    <cellStyle name="Normal 5 10 2 17 4 8" xfId="31620" xr:uid="{00000000-0005-0000-0000-0000847B0000}"/>
    <cellStyle name="Normal 5 10 2 17 4 9" xfId="31621" xr:uid="{00000000-0005-0000-0000-0000857B0000}"/>
    <cellStyle name="Normal 5 10 2 17 5" xfId="31622" xr:uid="{00000000-0005-0000-0000-0000867B0000}"/>
    <cellStyle name="Normal 5 10 2 17 5 10" xfId="31623" xr:uid="{00000000-0005-0000-0000-0000877B0000}"/>
    <cellStyle name="Normal 5 10 2 17 5 2" xfId="31624" xr:uid="{00000000-0005-0000-0000-0000887B0000}"/>
    <cellStyle name="Normal 5 10 2 17 5 3" xfId="31625" xr:uid="{00000000-0005-0000-0000-0000897B0000}"/>
    <cellStyle name="Normal 5 10 2 17 5 4" xfId="31626" xr:uid="{00000000-0005-0000-0000-00008A7B0000}"/>
    <cellStyle name="Normal 5 10 2 17 5 5" xfId="31627" xr:uid="{00000000-0005-0000-0000-00008B7B0000}"/>
    <cellStyle name="Normal 5 10 2 17 5 6" xfId="31628" xr:uid="{00000000-0005-0000-0000-00008C7B0000}"/>
    <cellStyle name="Normal 5 10 2 17 5 7" xfId="31629" xr:uid="{00000000-0005-0000-0000-00008D7B0000}"/>
    <cellStyle name="Normal 5 10 2 17 5 8" xfId="31630" xr:uid="{00000000-0005-0000-0000-00008E7B0000}"/>
    <cellStyle name="Normal 5 10 2 17 5 9" xfId="31631" xr:uid="{00000000-0005-0000-0000-00008F7B0000}"/>
    <cellStyle name="Normal 5 10 2 17 6" xfId="31632" xr:uid="{00000000-0005-0000-0000-0000907B0000}"/>
    <cellStyle name="Normal 5 10 2 17 7" xfId="31633" xr:uid="{00000000-0005-0000-0000-0000917B0000}"/>
    <cellStyle name="Normal 5 10 2 17 8" xfId="31634" xr:uid="{00000000-0005-0000-0000-0000927B0000}"/>
    <cellStyle name="Normal 5 10 2 17 9" xfId="31635" xr:uid="{00000000-0005-0000-0000-0000937B0000}"/>
    <cellStyle name="Normal 5 10 2 18" xfId="31636" xr:uid="{00000000-0005-0000-0000-0000947B0000}"/>
    <cellStyle name="Normal 5 10 2 18 10" xfId="31637" xr:uid="{00000000-0005-0000-0000-0000957B0000}"/>
    <cellStyle name="Normal 5 10 2 18 11" xfId="31638" xr:uid="{00000000-0005-0000-0000-0000967B0000}"/>
    <cellStyle name="Normal 5 10 2 18 12" xfId="31639" xr:uid="{00000000-0005-0000-0000-0000977B0000}"/>
    <cellStyle name="Normal 5 10 2 18 13" xfId="31640" xr:uid="{00000000-0005-0000-0000-0000987B0000}"/>
    <cellStyle name="Normal 5 10 2 18 14" xfId="31641" xr:uid="{00000000-0005-0000-0000-0000997B0000}"/>
    <cellStyle name="Normal 5 10 2 18 2" xfId="31642" xr:uid="{00000000-0005-0000-0000-00009A7B0000}"/>
    <cellStyle name="Normal 5 10 2 18 2 10" xfId="31643" xr:uid="{00000000-0005-0000-0000-00009B7B0000}"/>
    <cellStyle name="Normal 5 10 2 18 2 2" xfId="31644" xr:uid="{00000000-0005-0000-0000-00009C7B0000}"/>
    <cellStyle name="Normal 5 10 2 18 2 3" xfId="31645" xr:uid="{00000000-0005-0000-0000-00009D7B0000}"/>
    <cellStyle name="Normal 5 10 2 18 2 4" xfId="31646" xr:uid="{00000000-0005-0000-0000-00009E7B0000}"/>
    <cellStyle name="Normal 5 10 2 18 2 5" xfId="31647" xr:uid="{00000000-0005-0000-0000-00009F7B0000}"/>
    <cellStyle name="Normal 5 10 2 18 2 6" xfId="31648" xr:uid="{00000000-0005-0000-0000-0000A07B0000}"/>
    <cellStyle name="Normal 5 10 2 18 2 7" xfId="31649" xr:uid="{00000000-0005-0000-0000-0000A17B0000}"/>
    <cellStyle name="Normal 5 10 2 18 2 8" xfId="31650" xr:uid="{00000000-0005-0000-0000-0000A27B0000}"/>
    <cellStyle name="Normal 5 10 2 18 2 9" xfId="31651" xr:uid="{00000000-0005-0000-0000-0000A37B0000}"/>
    <cellStyle name="Normal 5 10 2 18 3" xfId="31652" xr:uid="{00000000-0005-0000-0000-0000A47B0000}"/>
    <cellStyle name="Normal 5 10 2 18 3 10" xfId="31653" xr:uid="{00000000-0005-0000-0000-0000A57B0000}"/>
    <cellStyle name="Normal 5 10 2 18 3 2" xfId="31654" xr:uid="{00000000-0005-0000-0000-0000A67B0000}"/>
    <cellStyle name="Normal 5 10 2 18 3 3" xfId="31655" xr:uid="{00000000-0005-0000-0000-0000A77B0000}"/>
    <cellStyle name="Normal 5 10 2 18 3 4" xfId="31656" xr:uid="{00000000-0005-0000-0000-0000A87B0000}"/>
    <cellStyle name="Normal 5 10 2 18 3 5" xfId="31657" xr:uid="{00000000-0005-0000-0000-0000A97B0000}"/>
    <cellStyle name="Normal 5 10 2 18 3 6" xfId="31658" xr:uid="{00000000-0005-0000-0000-0000AA7B0000}"/>
    <cellStyle name="Normal 5 10 2 18 3 7" xfId="31659" xr:uid="{00000000-0005-0000-0000-0000AB7B0000}"/>
    <cellStyle name="Normal 5 10 2 18 3 8" xfId="31660" xr:uid="{00000000-0005-0000-0000-0000AC7B0000}"/>
    <cellStyle name="Normal 5 10 2 18 3 9" xfId="31661" xr:uid="{00000000-0005-0000-0000-0000AD7B0000}"/>
    <cellStyle name="Normal 5 10 2 18 4" xfId="31662" xr:uid="{00000000-0005-0000-0000-0000AE7B0000}"/>
    <cellStyle name="Normal 5 10 2 18 4 10" xfId="31663" xr:uid="{00000000-0005-0000-0000-0000AF7B0000}"/>
    <cellStyle name="Normal 5 10 2 18 4 2" xfId="31664" xr:uid="{00000000-0005-0000-0000-0000B07B0000}"/>
    <cellStyle name="Normal 5 10 2 18 4 3" xfId="31665" xr:uid="{00000000-0005-0000-0000-0000B17B0000}"/>
    <cellStyle name="Normal 5 10 2 18 4 4" xfId="31666" xr:uid="{00000000-0005-0000-0000-0000B27B0000}"/>
    <cellStyle name="Normal 5 10 2 18 4 5" xfId="31667" xr:uid="{00000000-0005-0000-0000-0000B37B0000}"/>
    <cellStyle name="Normal 5 10 2 18 4 6" xfId="31668" xr:uid="{00000000-0005-0000-0000-0000B47B0000}"/>
    <cellStyle name="Normal 5 10 2 18 4 7" xfId="31669" xr:uid="{00000000-0005-0000-0000-0000B57B0000}"/>
    <cellStyle name="Normal 5 10 2 18 4 8" xfId="31670" xr:uid="{00000000-0005-0000-0000-0000B67B0000}"/>
    <cellStyle name="Normal 5 10 2 18 4 9" xfId="31671" xr:uid="{00000000-0005-0000-0000-0000B77B0000}"/>
    <cellStyle name="Normal 5 10 2 18 5" xfId="31672" xr:uid="{00000000-0005-0000-0000-0000B87B0000}"/>
    <cellStyle name="Normal 5 10 2 18 5 10" xfId="31673" xr:uid="{00000000-0005-0000-0000-0000B97B0000}"/>
    <cellStyle name="Normal 5 10 2 18 5 2" xfId="31674" xr:uid="{00000000-0005-0000-0000-0000BA7B0000}"/>
    <cellStyle name="Normal 5 10 2 18 5 3" xfId="31675" xr:uid="{00000000-0005-0000-0000-0000BB7B0000}"/>
    <cellStyle name="Normal 5 10 2 18 5 4" xfId="31676" xr:uid="{00000000-0005-0000-0000-0000BC7B0000}"/>
    <cellStyle name="Normal 5 10 2 18 5 5" xfId="31677" xr:uid="{00000000-0005-0000-0000-0000BD7B0000}"/>
    <cellStyle name="Normal 5 10 2 18 5 6" xfId="31678" xr:uid="{00000000-0005-0000-0000-0000BE7B0000}"/>
    <cellStyle name="Normal 5 10 2 18 5 7" xfId="31679" xr:uid="{00000000-0005-0000-0000-0000BF7B0000}"/>
    <cellStyle name="Normal 5 10 2 18 5 8" xfId="31680" xr:uid="{00000000-0005-0000-0000-0000C07B0000}"/>
    <cellStyle name="Normal 5 10 2 18 5 9" xfId="31681" xr:uid="{00000000-0005-0000-0000-0000C17B0000}"/>
    <cellStyle name="Normal 5 10 2 18 6" xfId="31682" xr:uid="{00000000-0005-0000-0000-0000C27B0000}"/>
    <cellStyle name="Normal 5 10 2 18 7" xfId="31683" xr:uid="{00000000-0005-0000-0000-0000C37B0000}"/>
    <cellStyle name="Normal 5 10 2 18 8" xfId="31684" xr:uid="{00000000-0005-0000-0000-0000C47B0000}"/>
    <cellStyle name="Normal 5 10 2 18 9" xfId="31685" xr:uid="{00000000-0005-0000-0000-0000C57B0000}"/>
    <cellStyle name="Normal 5 10 2 19" xfId="31686" xr:uid="{00000000-0005-0000-0000-0000C67B0000}"/>
    <cellStyle name="Normal 5 10 2 19 10" xfId="31687" xr:uid="{00000000-0005-0000-0000-0000C77B0000}"/>
    <cellStyle name="Normal 5 10 2 19 11" xfId="31688" xr:uid="{00000000-0005-0000-0000-0000C87B0000}"/>
    <cellStyle name="Normal 5 10 2 19 12" xfId="31689" xr:uid="{00000000-0005-0000-0000-0000C97B0000}"/>
    <cellStyle name="Normal 5 10 2 19 13" xfId="31690" xr:uid="{00000000-0005-0000-0000-0000CA7B0000}"/>
    <cellStyle name="Normal 5 10 2 19 14" xfId="31691" xr:uid="{00000000-0005-0000-0000-0000CB7B0000}"/>
    <cellStyle name="Normal 5 10 2 19 2" xfId="31692" xr:uid="{00000000-0005-0000-0000-0000CC7B0000}"/>
    <cellStyle name="Normal 5 10 2 19 2 10" xfId="31693" xr:uid="{00000000-0005-0000-0000-0000CD7B0000}"/>
    <cellStyle name="Normal 5 10 2 19 2 2" xfId="31694" xr:uid="{00000000-0005-0000-0000-0000CE7B0000}"/>
    <cellStyle name="Normal 5 10 2 19 2 3" xfId="31695" xr:uid="{00000000-0005-0000-0000-0000CF7B0000}"/>
    <cellStyle name="Normal 5 10 2 19 2 4" xfId="31696" xr:uid="{00000000-0005-0000-0000-0000D07B0000}"/>
    <cellStyle name="Normal 5 10 2 19 2 5" xfId="31697" xr:uid="{00000000-0005-0000-0000-0000D17B0000}"/>
    <cellStyle name="Normal 5 10 2 19 2 6" xfId="31698" xr:uid="{00000000-0005-0000-0000-0000D27B0000}"/>
    <cellStyle name="Normal 5 10 2 19 2 7" xfId="31699" xr:uid="{00000000-0005-0000-0000-0000D37B0000}"/>
    <cellStyle name="Normal 5 10 2 19 2 8" xfId="31700" xr:uid="{00000000-0005-0000-0000-0000D47B0000}"/>
    <cellStyle name="Normal 5 10 2 19 2 9" xfId="31701" xr:uid="{00000000-0005-0000-0000-0000D57B0000}"/>
    <cellStyle name="Normal 5 10 2 19 3" xfId="31702" xr:uid="{00000000-0005-0000-0000-0000D67B0000}"/>
    <cellStyle name="Normal 5 10 2 19 3 10" xfId="31703" xr:uid="{00000000-0005-0000-0000-0000D77B0000}"/>
    <cellStyle name="Normal 5 10 2 19 3 2" xfId="31704" xr:uid="{00000000-0005-0000-0000-0000D87B0000}"/>
    <cellStyle name="Normal 5 10 2 19 3 3" xfId="31705" xr:uid="{00000000-0005-0000-0000-0000D97B0000}"/>
    <cellStyle name="Normal 5 10 2 19 3 4" xfId="31706" xr:uid="{00000000-0005-0000-0000-0000DA7B0000}"/>
    <cellStyle name="Normal 5 10 2 19 3 5" xfId="31707" xr:uid="{00000000-0005-0000-0000-0000DB7B0000}"/>
    <cellStyle name="Normal 5 10 2 19 3 6" xfId="31708" xr:uid="{00000000-0005-0000-0000-0000DC7B0000}"/>
    <cellStyle name="Normal 5 10 2 19 3 7" xfId="31709" xr:uid="{00000000-0005-0000-0000-0000DD7B0000}"/>
    <cellStyle name="Normal 5 10 2 19 3 8" xfId="31710" xr:uid="{00000000-0005-0000-0000-0000DE7B0000}"/>
    <cellStyle name="Normal 5 10 2 19 3 9" xfId="31711" xr:uid="{00000000-0005-0000-0000-0000DF7B0000}"/>
    <cellStyle name="Normal 5 10 2 19 4" xfId="31712" xr:uid="{00000000-0005-0000-0000-0000E07B0000}"/>
    <cellStyle name="Normal 5 10 2 19 4 10" xfId="31713" xr:uid="{00000000-0005-0000-0000-0000E17B0000}"/>
    <cellStyle name="Normal 5 10 2 19 4 2" xfId="31714" xr:uid="{00000000-0005-0000-0000-0000E27B0000}"/>
    <cellStyle name="Normal 5 10 2 19 4 3" xfId="31715" xr:uid="{00000000-0005-0000-0000-0000E37B0000}"/>
    <cellStyle name="Normal 5 10 2 19 4 4" xfId="31716" xr:uid="{00000000-0005-0000-0000-0000E47B0000}"/>
    <cellStyle name="Normal 5 10 2 19 4 5" xfId="31717" xr:uid="{00000000-0005-0000-0000-0000E57B0000}"/>
    <cellStyle name="Normal 5 10 2 19 4 6" xfId="31718" xr:uid="{00000000-0005-0000-0000-0000E67B0000}"/>
    <cellStyle name="Normal 5 10 2 19 4 7" xfId="31719" xr:uid="{00000000-0005-0000-0000-0000E77B0000}"/>
    <cellStyle name="Normal 5 10 2 19 4 8" xfId="31720" xr:uid="{00000000-0005-0000-0000-0000E87B0000}"/>
    <cellStyle name="Normal 5 10 2 19 4 9" xfId="31721" xr:uid="{00000000-0005-0000-0000-0000E97B0000}"/>
    <cellStyle name="Normal 5 10 2 19 5" xfId="31722" xr:uid="{00000000-0005-0000-0000-0000EA7B0000}"/>
    <cellStyle name="Normal 5 10 2 19 5 10" xfId="31723" xr:uid="{00000000-0005-0000-0000-0000EB7B0000}"/>
    <cellStyle name="Normal 5 10 2 19 5 2" xfId="31724" xr:uid="{00000000-0005-0000-0000-0000EC7B0000}"/>
    <cellStyle name="Normal 5 10 2 19 5 3" xfId="31725" xr:uid="{00000000-0005-0000-0000-0000ED7B0000}"/>
    <cellStyle name="Normal 5 10 2 19 5 4" xfId="31726" xr:uid="{00000000-0005-0000-0000-0000EE7B0000}"/>
    <cellStyle name="Normal 5 10 2 19 5 5" xfId="31727" xr:uid="{00000000-0005-0000-0000-0000EF7B0000}"/>
    <cellStyle name="Normal 5 10 2 19 5 6" xfId="31728" xr:uid="{00000000-0005-0000-0000-0000F07B0000}"/>
    <cellStyle name="Normal 5 10 2 19 5 7" xfId="31729" xr:uid="{00000000-0005-0000-0000-0000F17B0000}"/>
    <cellStyle name="Normal 5 10 2 19 5 8" xfId="31730" xr:uid="{00000000-0005-0000-0000-0000F27B0000}"/>
    <cellStyle name="Normal 5 10 2 19 5 9" xfId="31731" xr:uid="{00000000-0005-0000-0000-0000F37B0000}"/>
    <cellStyle name="Normal 5 10 2 19 6" xfId="31732" xr:uid="{00000000-0005-0000-0000-0000F47B0000}"/>
    <cellStyle name="Normal 5 10 2 19 7" xfId="31733" xr:uid="{00000000-0005-0000-0000-0000F57B0000}"/>
    <cellStyle name="Normal 5 10 2 19 8" xfId="31734" xr:uid="{00000000-0005-0000-0000-0000F67B0000}"/>
    <cellStyle name="Normal 5 10 2 19 9" xfId="31735" xr:uid="{00000000-0005-0000-0000-0000F77B0000}"/>
    <cellStyle name="Normal 5 10 2 2" xfId="31736" xr:uid="{00000000-0005-0000-0000-0000F87B0000}"/>
    <cellStyle name="Normal 5 10 2 2 10" xfId="31737" xr:uid="{00000000-0005-0000-0000-0000F97B0000}"/>
    <cellStyle name="Normal 5 10 2 2 11" xfId="31738" xr:uid="{00000000-0005-0000-0000-0000FA7B0000}"/>
    <cellStyle name="Normal 5 10 2 2 12" xfId="31739" xr:uid="{00000000-0005-0000-0000-0000FB7B0000}"/>
    <cellStyle name="Normal 5 10 2 2 13" xfId="31740" xr:uid="{00000000-0005-0000-0000-0000FC7B0000}"/>
    <cellStyle name="Normal 5 10 2 2 14" xfId="31741" xr:uid="{00000000-0005-0000-0000-0000FD7B0000}"/>
    <cellStyle name="Normal 5 10 2 2 15" xfId="31742" xr:uid="{00000000-0005-0000-0000-0000FE7B0000}"/>
    <cellStyle name="Normal 5 10 2 2 16" xfId="31743" xr:uid="{00000000-0005-0000-0000-0000FF7B0000}"/>
    <cellStyle name="Normal 5 10 2 2 2" xfId="31744" xr:uid="{00000000-0005-0000-0000-0000007C0000}"/>
    <cellStyle name="Normal 5 10 2 2 2 10" xfId="31745" xr:uid="{00000000-0005-0000-0000-0000017C0000}"/>
    <cellStyle name="Normal 5 10 2 2 2 2" xfId="31746" xr:uid="{00000000-0005-0000-0000-0000027C0000}"/>
    <cellStyle name="Normal 5 10 2 2 2 3" xfId="31747" xr:uid="{00000000-0005-0000-0000-0000037C0000}"/>
    <cellStyle name="Normal 5 10 2 2 2 4" xfId="31748" xr:uid="{00000000-0005-0000-0000-0000047C0000}"/>
    <cellStyle name="Normal 5 10 2 2 2 5" xfId="31749" xr:uid="{00000000-0005-0000-0000-0000057C0000}"/>
    <cellStyle name="Normal 5 10 2 2 2 6" xfId="31750" xr:uid="{00000000-0005-0000-0000-0000067C0000}"/>
    <cellStyle name="Normal 5 10 2 2 2 7" xfId="31751" xr:uid="{00000000-0005-0000-0000-0000077C0000}"/>
    <cellStyle name="Normal 5 10 2 2 2 8" xfId="31752" xr:uid="{00000000-0005-0000-0000-0000087C0000}"/>
    <cellStyle name="Normal 5 10 2 2 2 9" xfId="31753" xr:uid="{00000000-0005-0000-0000-0000097C0000}"/>
    <cellStyle name="Normal 5 10 2 2 3" xfId="31754" xr:uid="{00000000-0005-0000-0000-00000A7C0000}"/>
    <cellStyle name="Normal 5 10 2 2 3 10" xfId="31755" xr:uid="{00000000-0005-0000-0000-00000B7C0000}"/>
    <cellStyle name="Normal 5 10 2 2 3 2" xfId="31756" xr:uid="{00000000-0005-0000-0000-00000C7C0000}"/>
    <cellStyle name="Normal 5 10 2 2 3 3" xfId="31757" xr:uid="{00000000-0005-0000-0000-00000D7C0000}"/>
    <cellStyle name="Normal 5 10 2 2 3 4" xfId="31758" xr:uid="{00000000-0005-0000-0000-00000E7C0000}"/>
    <cellStyle name="Normal 5 10 2 2 3 5" xfId="31759" xr:uid="{00000000-0005-0000-0000-00000F7C0000}"/>
    <cellStyle name="Normal 5 10 2 2 3 6" xfId="31760" xr:uid="{00000000-0005-0000-0000-0000107C0000}"/>
    <cellStyle name="Normal 5 10 2 2 3 7" xfId="31761" xr:uid="{00000000-0005-0000-0000-0000117C0000}"/>
    <cellStyle name="Normal 5 10 2 2 3 8" xfId="31762" xr:uid="{00000000-0005-0000-0000-0000127C0000}"/>
    <cellStyle name="Normal 5 10 2 2 3 9" xfId="31763" xr:uid="{00000000-0005-0000-0000-0000137C0000}"/>
    <cellStyle name="Normal 5 10 2 2 4" xfId="31764" xr:uid="{00000000-0005-0000-0000-0000147C0000}"/>
    <cellStyle name="Normal 5 10 2 2 4 10" xfId="31765" xr:uid="{00000000-0005-0000-0000-0000157C0000}"/>
    <cellStyle name="Normal 5 10 2 2 4 2" xfId="31766" xr:uid="{00000000-0005-0000-0000-0000167C0000}"/>
    <cellStyle name="Normal 5 10 2 2 4 3" xfId="31767" xr:uid="{00000000-0005-0000-0000-0000177C0000}"/>
    <cellStyle name="Normal 5 10 2 2 4 4" xfId="31768" xr:uid="{00000000-0005-0000-0000-0000187C0000}"/>
    <cellStyle name="Normal 5 10 2 2 4 5" xfId="31769" xr:uid="{00000000-0005-0000-0000-0000197C0000}"/>
    <cellStyle name="Normal 5 10 2 2 4 6" xfId="31770" xr:uid="{00000000-0005-0000-0000-00001A7C0000}"/>
    <cellStyle name="Normal 5 10 2 2 4 7" xfId="31771" xr:uid="{00000000-0005-0000-0000-00001B7C0000}"/>
    <cellStyle name="Normal 5 10 2 2 4 8" xfId="31772" xr:uid="{00000000-0005-0000-0000-00001C7C0000}"/>
    <cellStyle name="Normal 5 10 2 2 4 9" xfId="31773" xr:uid="{00000000-0005-0000-0000-00001D7C0000}"/>
    <cellStyle name="Normal 5 10 2 2 5" xfId="31774" xr:uid="{00000000-0005-0000-0000-00001E7C0000}"/>
    <cellStyle name="Normal 5 10 2 2 5 10" xfId="31775" xr:uid="{00000000-0005-0000-0000-00001F7C0000}"/>
    <cellStyle name="Normal 5 10 2 2 5 2" xfId="31776" xr:uid="{00000000-0005-0000-0000-0000207C0000}"/>
    <cellStyle name="Normal 5 10 2 2 5 3" xfId="31777" xr:uid="{00000000-0005-0000-0000-0000217C0000}"/>
    <cellStyle name="Normal 5 10 2 2 5 4" xfId="31778" xr:uid="{00000000-0005-0000-0000-0000227C0000}"/>
    <cellStyle name="Normal 5 10 2 2 5 5" xfId="31779" xr:uid="{00000000-0005-0000-0000-0000237C0000}"/>
    <cellStyle name="Normal 5 10 2 2 5 6" xfId="31780" xr:uid="{00000000-0005-0000-0000-0000247C0000}"/>
    <cellStyle name="Normal 5 10 2 2 5 7" xfId="31781" xr:uid="{00000000-0005-0000-0000-0000257C0000}"/>
    <cellStyle name="Normal 5 10 2 2 5 8" xfId="31782" xr:uid="{00000000-0005-0000-0000-0000267C0000}"/>
    <cellStyle name="Normal 5 10 2 2 5 9" xfId="31783" xr:uid="{00000000-0005-0000-0000-0000277C0000}"/>
    <cellStyle name="Normal 5 10 2 2 6" xfId="31784" xr:uid="{00000000-0005-0000-0000-0000287C0000}"/>
    <cellStyle name="Normal 5 10 2 2 7" xfId="31785" xr:uid="{00000000-0005-0000-0000-0000297C0000}"/>
    <cellStyle name="Normal 5 10 2 2 8" xfId="31786" xr:uid="{00000000-0005-0000-0000-00002A7C0000}"/>
    <cellStyle name="Normal 5 10 2 2 9" xfId="31787" xr:uid="{00000000-0005-0000-0000-00002B7C0000}"/>
    <cellStyle name="Normal 5 10 2 20" xfId="31788" xr:uid="{00000000-0005-0000-0000-00002C7C0000}"/>
    <cellStyle name="Normal 5 10 2 20 10" xfId="31789" xr:uid="{00000000-0005-0000-0000-00002D7C0000}"/>
    <cellStyle name="Normal 5 10 2 20 11" xfId="31790" xr:uid="{00000000-0005-0000-0000-00002E7C0000}"/>
    <cellStyle name="Normal 5 10 2 20 12" xfId="31791" xr:uid="{00000000-0005-0000-0000-00002F7C0000}"/>
    <cellStyle name="Normal 5 10 2 20 13" xfId="31792" xr:uid="{00000000-0005-0000-0000-0000307C0000}"/>
    <cellStyle name="Normal 5 10 2 20 14" xfId="31793" xr:uid="{00000000-0005-0000-0000-0000317C0000}"/>
    <cellStyle name="Normal 5 10 2 20 2" xfId="31794" xr:uid="{00000000-0005-0000-0000-0000327C0000}"/>
    <cellStyle name="Normal 5 10 2 20 2 10" xfId="31795" xr:uid="{00000000-0005-0000-0000-0000337C0000}"/>
    <cellStyle name="Normal 5 10 2 20 2 2" xfId="31796" xr:uid="{00000000-0005-0000-0000-0000347C0000}"/>
    <cellStyle name="Normal 5 10 2 20 2 3" xfId="31797" xr:uid="{00000000-0005-0000-0000-0000357C0000}"/>
    <cellStyle name="Normal 5 10 2 20 2 4" xfId="31798" xr:uid="{00000000-0005-0000-0000-0000367C0000}"/>
    <cellStyle name="Normal 5 10 2 20 2 5" xfId="31799" xr:uid="{00000000-0005-0000-0000-0000377C0000}"/>
    <cellStyle name="Normal 5 10 2 20 2 6" xfId="31800" xr:uid="{00000000-0005-0000-0000-0000387C0000}"/>
    <cellStyle name="Normal 5 10 2 20 2 7" xfId="31801" xr:uid="{00000000-0005-0000-0000-0000397C0000}"/>
    <cellStyle name="Normal 5 10 2 20 2 8" xfId="31802" xr:uid="{00000000-0005-0000-0000-00003A7C0000}"/>
    <cellStyle name="Normal 5 10 2 20 2 9" xfId="31803" xr:uid="{00000000-0005-0000-0000-00003B7C0000}"/>
    <cellStyle name="Normal 5 10 2 20 3" xfId="31804" xr:uid="{00000000-0005-0000-0000-00003C7C0000}"/>
    <cellStyle name="Normal 5 10 2 20 3 10" xfId="31805" xr:uid="{00000000-0005-0000-0000-00003D7C0000}"/>
    <cellStyle name="Normal 5 10 2 20 3 2" xfId="31806" xr:uid="{00000000-0005-0000-0000-00003E7C0000}"/>
    <cellStyle name="Normal 5 10 2 20 3 3" xfId="31807" xr:uid="{00000000-0005-0000-0000-00003F7C0000}"/>
    <cellStyle name="Normal 5 10 2 20 3 4" xfId="31808" xr:uid="{00000000-0005-0000-0000-0000407C0000}"/>
    <cellStyle name="Normal 5 10 2 20 3 5" xfId="31809" xr:uid="{00000000-0005-0000-0000-0000417C0000}"/>
    <cellStyle name="Normal 5 10 2 20 3 6" xfId="31810" xr:uid="{00000000-0005-0000-0000-0000427C0000}"/>
    <cellStyle name="Normal 5 10 2 20 3 7" xfId="31811" xr:uid="{00000000-0005-0000-0000-0000437C0000}"/>
    <cellStyle name="Normal 5 10 2 20 3 8" xfId="31812" xr:uid="{00000000-0005-0000-0000-0000447C0000}"/>
    <cellStyle name="Normal 5 10 2 20 3 9" xfId="31813" xr:uid="{00000000-0005-0000-0000-0000457C0000}"/>
    <cellStyle name="Normal 5 10 2 20 4" xfId="31814" xr:uid="{00000000-0005-0000-0000-0000467C0000}"/>
    <cellStyle name="Normal 5 10 2 20 4 10" xfId="31815" xr:uid="{00000000-0005-0000-0000-0000477C0000}"/>
    <cellStyle name="Normal 5 10 2 20 4 2" xfId="31816" xr:uid="{00000000-0005-0000-0000-0000487C0000}"/>
    <cellStyle name="Normal 5 10 2 20 4 3" xfId="31817" xr:uid="{00000000-0005-0000-0000-0000497C0000}"/>
    <cellStyle name="Normal 5 10 2 20 4 4" xfId="31818" xr:uid="{00000000-0005-0000-0000-00004A7C0000}"/>
    <cellStyle name="Normal 5 10 2 20 4 5" xfId="31819" xr:uid="{00000000-0005-0000-0000-00004B7C0000}"/>
    <cellStyle name="Normal 5 10 2 20 4 6" xfId="31820" xr:uid="{00000000-0005-0000-0000-00004C7C0000}"/>
    <cellStyle name="Normal 5 10 2 20 4 7" xfId="31821" xr:uid="{00000000-0005-0000-0000-00004D7C0000}"/>
    <cellStyle name="Normal 5 10 2 20 4 8" xfId="31822" xr:uid="{00000000-0005-0000-0000-00004E7C0000}"/>
    <cellStyle name="Normal 5 10 2 20 4 9" xfId="31823" xr:uid="{00000000-0005-0000-0000-00004F7C0000}"/>
    <cellStyle name="Normal 5 10 2 20 5" xfId="31824" xr:uid="{00000000-0005-0000-0000-0000507C0000}"/>
    <cellStyle name="Normal 5 10 2 20 5 10" xfId="31825" xr:uid="{00000000-0005-0000-0000-0000517C0000}"/>
    <cellStyle name="Normal 5 10 2 20 5 2" xfId="31826" xr:uid="{00000000-0005-0000-0000-0000527C0000}"/>
    <cellStyle name="Normal 5 10 2 20 5 3" xfId="31827" xr:uid="{00000000-0005-0000-0000-0000537C0000}"/>
    <cellStyle name="Normal 5 10 2 20 5 4" xfId="31828" xr:uid="{00000000-0005-0000-0000-0000547C0000}"/>
    <cellStyle name="Normal 5 10 2 20 5 5" xfId="31829" xr:uid="{00000000-0005-0000-0000-0000557C0000}"/>
    <cellStyle name="Normal 5 10 2 20 5 6" xfId="31830" xr:uid="{00000000-0005-0000-0000-0000567C0000}"/>
    <cellStyle name="Normal 5 10 2 20 5 7" xfId="31831" xr:uid="{00000000-0005-0000-0000-0000577C0000}"/>
    <cellStyle name="Normal 5 10 2 20 5 8" xfId="31832" xr:uid="{00000000-0005-0000-0000-0000587C0000}"/>
    <cellStyle name="Normal 5 10 2 20 5 9" xfId="31833" xr:uid="{00000000-0005-0000-0000-0000597C0000}"/>
    <cellStyle name="Normal 5 10 2 20 6" xfId="31834" xr:uid="{00000000-0005-0000-0000-00005A7C0000}"/>
    <cellStyle name="Normal 5 10 2 20 7" xfId="31835" xr:uid="{00000000-0005-0000-0000-00005B7C0000}"/>
    <cellStyle name="Normal 5 10 2 20 8" xfId="31836" xr:uid="{00000000-0005-0000-0000-00005C7C0000}"/>
    <cellStyle name="Normal 5 10 2 20 9" xfId="31837" xr:uid="{00000000-0005-0000-0000-00005D7C0000}"/>
    <cellStyle name="Normal 5 10 2 21" xfId="31838" xr:uid="{00000000-0005-0000-0000-00005E7C0000}"/>
    <cellStyle name="Normal 5 10 2 21 10" xfId="31839" xr:uid="{00000000-0005-0000-0000-00005F7C0000}"/>
    <cellStyle name="Normal 5 10 2 21 11" xfId="31840" xr:uid="{00000000-0005-0000-0000-0000607C0000}"/>
    <cellStyle name="Normal 5 10 2 21 12" xfId="31841" xr:uid="{00000000-0005-0000-0000-0000617C0000}"/>
    <cellStyle name="Normal 5 10 2 21 13" xfId="31842" xr:uid="{00000000-0005-0000-0000-0000627C0000}"/>
    <cellStyle name="Normal 5 10 2 21 14" xfId="31843" xr:uid="{00000000-0005-0000-0000-0000637C0000}"/>
    <cellStyle name="Normal 5 10 2 21 2" xfId="31844" xr:uid="{00000000-0005-0000-0000-0000647C0000}"/>
    <cellStyle name="Normal 5 10 2 21 2 10" xfId="31845" xr:uid="{00000000-0005-0000-0000-0000657C0000}"/>
    <cellStyle name="Normal 5 10 2 21 2 2" xfId="31846" xr:uid="{00000000-0005-0000-0000-0000667C0000}"/>
    <cellStyle name="Normal 5 10 2 21 2 3" xfId="31847" xr:uid="{00000000-0005-0000-0000-0000677C0000}"/>
    <cellStyle name="Normal 5 10 2 21 2 4" xfId="31848" xr:uid="{00000000-0005-0000-0000-0000687C0000}"/>
    <cellStyle name="Normal 5 10 2 21 2 5" xfId="31849" xr:uid="{00000000-0005-0000-0000-0000697C0000}"/>
    <cellStyle name="Normal 5 10 2 21 2 6" xfId="31850" xr:uid="{00000000-0005-0000-0000-00006A7C0000}"/>
    <cellStyle name="Normal 5 10 2 21 2 7" xfId="31851" xr:uid="{00000000-0005-0000-0000-00006B7C0000}"/>
    <cellStyle name="Normal 5 10 2 21 2 8" xfId="31852" xr:uid="{00000000-0005-0000-0000-00006C7C0000}"/>
    <cellStyle name="Normal 5 10 2 21 2 9" xfId="31853" xr:uid="{00000000-0005-0000-0000-00006D7C0000}"/>
    <cellStyle name="Normal 5 10 2 21 3" xfId="31854" xr:uid="{00000000-0005-0000-0000-00006E7C0000}"/>
    <cellStyle name="Normal 5 10 2 21 3 10" xfId="31855" xr:uid="{00000000-0005-0000-0000-00006F7C0000}"/>
    <cellStyle name="Normal 5 10 2 21 3 2" xfId="31856" xr:uid="{00000000-0005-0000-0000-0000707C0000}"/>
    <cellStyle name="Normal 5 10 2 21 3 3" xfId="31857" xr:uid="{00000000-0005-0000-0000-0000717C0000}"/>
    <cellStyle name="Normal 5 10 2 21 3 4" xfId="31858" xr:uid="{00000000-0005-0000-0000-0000727C0000}"/>
    <cellStyle name="Normal 5 10 2 21 3 5" xfId="31859" xr:uid="{00000000-0005-0000-0000-0000737C0000}"/>
    <cellStyle name="Normal 5 10 2 21 3 6" xfId="31860" xr:uid="{00000000-0005-0000-0000-0000747C0000}"/>
    <cellStyle name="Normal 5 10 2 21 3 7" xfId="31861" xr:uid="{00000000-0005-0000-0000-0000757C0000}"/>
    <cellStyle name="Normal 5 10 2 21 3 8" xfId="31862" xr:uid="{00000000-0005-0000-0000-0000767C0000}"/>
    <cellStyle name="Normal 5 10 2 21 3 9" xfId="31863" xr:uid="{00000000-0005-0000-0000-0000777C0000}"/>
    <cellStyle name="Normal 5 10 2 21 4" xfId="31864" xr:uid="{00000000-0005-0000-0000-0000787C0000}"/>
    <cellStyle name="Normal 5 10 2 21 4 10" xfId="31865" xr:uid="{00000000-0005-0000-0000-0000797C0000}"/>
    <cellStyle name="Normal 5 10 2 21 4 2" xfId="31866" xr:uid="{00000000-0005-0000-0000-00007A7C0000}"/>
    <cellStyle name="Normal 5 10 2 21 4 3" xfId="31867" xr:uid="{00000000-0005-0000-0000-00007B7C0000}"/>
    <cellStyle name="Normal 5 10 2 21 4 4" xfId="31868" xr:uid="{00000000-0005-0000-0000-00007C7C0000}"/>
    <cellStyle name="Normal 5 10 2 21 4 5" xfId="31869" xr:uid="{00000000-0005-0000-0000-00007D7C0000}"/>
    <cellStyle name="Normal 5 10 2 21 4 6" xfId="31870" xr:uid="{00000000-0005-0000-0000-00007E7C0000}"/>
    <cellStyle name="Normal 5 10 2 21 4 7" xfId="31871" xr:uid="{00000000-0005-0000-0000-00007F7C0000}"/>
    <cellStyle name="Normal 5 10 2 21 4 8" xfId="31872" xr:uid="{00000000-0005-0000-0000-0000807C0000}"/>
    <cellStyle name="Normal 5 10 2 21 4 9" xfId="31873" xr:uid="{00000000-0005-0000-0000-0000817C0000}"/>
    <cellStyle name="Normal 5 10 2 21 5" xfId="31874" xr:uid="{00000000-0005-0000-0000-0000827C0000}"/>
    <cellStyle name="Normal 5 10 2 21 5 10" xfId="31875" xr:uid="{00000000-0005-0000-0000-0000837C0000}"/>
    <cellStyle name="Normal 5 10 2 21 5 2" xfId="31876" xr:uid="{00000000-0005-0000-0000-0000847C0000}"/>
    <cellStyle name="Normal 5 10 2 21 5 3" xfId="31877" xr:uid="{00000000-0005-0000-0000-0000857C0000}"/>
    <cellStyle name="Normal 5 10 2 21 5 4" xfId="31878" xr:uid="{00000000-0005-0000-0000-0000867C0000}"/>
    <cellStyle name="Normal 5 10 2 21 5 5" xfId="31879" xr:uid="{00000000-0005-0000-0000-0000877C0000}"/>
    <cellStyle name="Normal 5 10 2 21 5 6" xfId="31880" xr:uid="{00000000-0005-0000-0000-0000887C0000}"/>
    <cellStyle name="Normal 5 10 2 21 5 7" xfId="31881" xr:uid="{00000000-0005-0000-0000-0000897C0000}"/>
    <cellStyle name="Normal 5 10 2 21 5 8" xfId="31882" xr:uid="{00000000-0005-0000-0000-00008A7C0000}"/>
    <cellStyle name="Normal 5 10 2 21 5 9" xfId="31883" xr:uid="{00000000-0005-0000-0000-00008B7C0000}"/>
    <cellStyle name="Normal 5 10 2 21 6" xfId="31884" xr:uid="{00000000-0005-0000-0000-00008C7C0000}"/>
    <cellStyle name="Normal 5 10 2 21 7" xfId="31885" xr:uid="{00000000-0005-0000-0000-00008D7C0000}"/>
    <cellStyle name="Normal 5 10 2 21 8" xfId="31886" xr:uid="{00000000-0005-0000-0000-00008E7C0000}"/>
    <cellStyle name="Normal 5 10 2 21 9" xfId="31887" xr:uid="{00000000-0005-0000-0000-00008F7C0000}"/>
    <cellStyle name="Normal 5 10 2 22" xfId="31888" xr:uid="{00000000-0005-0000-0000-0000907C0000}"/>
    <cellStyle name="Normal 5 10 2 22 10" xfId="31889" xr:uid="{00000000-0005-0000-0000-0000917C0000}"/>
    <cellStyle name="Normal 5 10 2 22 11" xfId="31890" xr:uid="{00000000-0005-0000-0000-0000927C0000}"/>
    <cellStyle name="Normal 5 10 2 22 12" xfId="31891" xr:uid="{00000000-0005-0000-0000-0000937C0000}"/>
    <cellStyle name="Normal 5 10 2 22 13" xfId="31892" xr:uid="{00000000-0005-0000-0000-0000947C0000}"/>
    <cellStyle name="Normal 5 10 2 22 14" xfId="31893" xr:uid="{00000000-0005-0000-0000-0000957C0000}"/>
    <cellStyle name="Normal 5 10 2 22 2" xfId="31894" xr:uid="{00000000-0005-0000-0000-0000967C0000}"/>
    <cellStyle name="Normal 5 10 2 22 2 10" xfId="31895" xr:uid="{00000000-0005-0000-0000-0000977C0000}"/>
    <cellStyle name="Normal 5 10 2 22 2 2" xfId="31896" xr:uid="{00000000-0005-0000-0000-0000987C0000}"/>
    <cellStyle name="Normal 5 10 2 22 2 3" xfId="31897" xr:uid="{00000000-0005-0000-0000-0000997C0000}"/>
    <cellStyle name="Normal 5 10 2 22 2 4" xfId="31898" xr:uid="{00000000-0005-0000-0000-00009A7C0000}"/>
    <cellStyle name="Normal 5 10 2 22 2 5" xfId="31899" xr:uid="{00000000-0005-0000-0000-00009B7C0000}"/>
    <cellStyle name="Normal 5 10 2 22 2 6" xfId="31900" xr:uid="{00000000-0005-0000-0000-00009C7C0000}"/>
    <cellStyle name="Normal 5 10 2 22 2 7" xfId="31901" xr:uid="{00000000-0005-0000-0000-00009D7C0000}"/>
    <cellStyle name="Normal 5 10 2 22 2 8" xfId="31902" xr:uid="{00000000-0005-0000-0000-00009E7C0000}"/>
    <cellStyle name="Normal 5 10 2 22 2 9" xfId="31903" xr:uid="{00000000-0005-0000-0000-00009F7C0000}"/>
    <cellStyle name="Normal 5 10 2 22 3" xfId="31904" xr:uid="{00000000-0005-0000-0000-0000A07C0000}"/>
    <cellStyle name="Normal 5 10 2 22 3 10" xfId="31905" xr:uid="{00000000-0005-0000-0000-0000A17C0000}"/>
    <cellStyle name="Normal 5 10 2 22 3 2" xfId="31906" xr:uid="{00000000-0005-0000-0000-0000A27C0000}"/>
    <cellStyle name="Normal 5 10 2 22 3 3" xfId="31907" xr:uid="{00000000-0005-0000-0000-0000A37C0000}"/>
    <cellStyle name="Normal 5 10 2 22 3 4" xfId="31908" xr:uid="{00000000-0005-0000-0000-0000A47C0000}"/>
    <cellStyle name="Normal 5 10 2 22 3 5" xfId="31909" xr:uid="{00000000-0005-0000-0000-0000A57C0000}"/>
    <cellStyle name="Normal 5 10 2 22 3 6" xfId="31910" xr:uid="{00000000-0005-0000-0000-0000A67C0000}"/>
    <cellStyle name="Normal 5 10 2 22 3 7" xfId="31911" xr:uid="{00000000-0005-0000-0000-0000A77C0000}"/>
    <cellStyle name="Normal 5 10 2 22 3 8" xfId="31912" xr:uid="{00000000-0005-0000-0000-0000A87C0000}"/>
    <cellStyle name="Normal 5 10 2 22 3 9" xfId="31913" xr:uid="{00000000-0005-0000-0000-0000A97C0000}"/>
    <cellStyle name="Normal 5 10 2 22 4" xfId="31914" xr:uid="{00000000-0005-0000-0000-0000AA7C0000}"/>
    <cellStyle name="Normal 5 10 2 22 4 10" xfId="31915" xr:uid="{00000000-0005-0000-0000-0000AB7C0000}"/>
    <cellStyle name="Normal 5 10 2 22 4 2" xfId="31916" xr:uid="{00000000-0005-0000-0000-0000AC7C0000}"/>
    <cellStyle name="Normal 5 10 2 22 4 3" xfId="31917" xr:uid="{00000000-0005-0000-0000-0000AD7C0000}"/>
    <cellStyle name="Normal 5 10 2 22 4 4" xfId="31918" xr:uid="{00000000-0005-0000-0000-0000AE7C0000}"/>
    <cellStyle name="Normal 5 10 2 22 4 5" xfId="31919" xr:uid="{00000000-0005-0000-0000-0000AF7C0000}"/>
    <cellStyle name="Normal 5 10 2 22 4 6" xfId="31920" xr:uid="{00000000-0005-0000-0000-0000B07C0000}"/>
    <cellStyle name="Normal 5 10 2 22 4 7" xfId="31921" xr:uid="{00000000-0005-0000-0000-0000B17C0000}"/>
    <cellStyle name="Normal 5 10 2 22 4 8" xfId="31922" xr:uid="{00000000-0005-0000-0000-0000B27C0000}"/>
    <cellStyle name="Normal 5 10 2 22 4 9" xfId="31923" xr:uid="{00000000-0005-0000-0000-0000B37C0000}"/>
    <cellStyle name="Normal 5 10 2 22 5" xfId="31924" xr:uid="{00000000-0005-0000-0000-0000B47C0000}"/>
    <cellStyle name="Normal 5 10 2 22 5 10" xfId="31925" xr:uid="{00000000-0005-0000-0000-0000B57C0000}"/>
    <cellStyle name="Normal 5 10 2 22 5 2" xfId="31926" xr:uid="{00000000-0005-0000-0000-0000B67C0000}"/>
    <cellStyle name="Normal 5 10 2 22 5 3" xfId="31927" xr:uid="{00000000-0005-0000-0000-0000B77C0000}"/>
    <cellStyle name="Normal 5 10 2 22 5 4" xfId="31928" xr:uid="{00000000-0005-0000-0000-0000B87C0000}"/>
    <cellStyle name="Normal 5 10 2 22 5 5" xfId="31929" xr:uid="{00000000-0005-0000-0000-0000B97C0000}"/>
    <cellStyle name="Normal 5 10 2 22 5 6" xfId="31930" xr:uid="{00000000-0005-0000-0000-0000BA7C0000}"/>
    <cellStyle name="Normal 5 10 2 22 5 7" xfId="31931" xr:uid="{00000000-0005-0000-0000-0000BB7C0000}"/>
    <cellStyle name="Normal 5 10 2 22 5 8" xfId="31932" xr:uid="{00000000-0005-0000-0000-0000BC7C0000}"/>
    <cellStyle name="Normal 5 10 2 22 5 9" xfId="31933" xr:uid="{00000000-0005-0000-0000-0000BD7C0000}"/>
    <cellStyle name="Normal 5 10 2 22 6" xfId="31934" xr:uid="{00000000-0005-0000-0000-0000BE7C0000}"/>
    <cellStyle name="Normal 5 10 2 22 7" xfId="31935" xr:uid="{00000000-0005-0000-0000-0000BF7C0000}"/>
    <cellStyle name="Normal 5 10 2 22 8" xfId="31936" xr:uid="{00000000-0005-0000-0000-0000C07C0000}"/>
    <cellStyle name="Normal 5 10 2 22 9" xfId="31937" xr:uid="{00000000-0005-0000-0000-0000C17C0000}"/>
    <cellStyle name="Normal 5 10 2 23" xfId="31938" xr:uid="{00000000-0005-0000-0000-0000C27C0000}"/>
    <cellStyle name="Normal 5 10 2 23 10" xfId="31939" xr:uid="{00000000-0005-0000-0000-0000C37C0000}"/>
    <cellStyle name="Normal 5 10 2 23 11" xfId="31940" xr:uid="{00000000-0005-0000-0000-0000C47C0000}"/>
    <cellStyle name="Normal 5 10 2 23 12" xfId="31941" xr:uid="{00000000-0005-0000-0000-0000C57C0000}"/>
    <cellStyle name="Normal 5 10 2 23 13" xfId="31942" xr:uid="{00000000-0005-0000-0000-0000C67C0000}"/>
    <cellStyle name="Normal 5 10 2 23 14" xfId="31943" xr:uid="{00000000-0005-0000-0000-0000C77C0000}"/>
    <cellStyle name="Normal 5 10 2 23 2" xfId="31944" xr:uid="{00000000-0005-0000-0000-0000C87C0000}"/>
    <cellStyle name="Normal 5 10 2 23 2 10" xfId="31945" xr:uid="{00000000-0005-0000-0000-0000C97C0000}"/>
    <cellStyle name="Normal 5 10 2 23 2 2" xfId="31946" xr:uid="{00000000-0005-0000-0000-0000CA7C0000}"/>
    <cellStyle name="Normal 5 10 2 23 2 3" xfId="31947" xr:uid="{00000000-0005-0000-0000-0000CB7C0000}"/>
    <cellStyle name="Normal 5 10 2 23 2 4" xfId="31948" xr:uid="{00000000-0005-0000-0000-0000CC7C0000}"/>
    <cellStyle name="Normal 5 10 2 23 2 5" xfId="31949" xr:uid="{00000000-0005-0000-0000-0000CD7C0000}"/>
    <cellStyle name="Normal 5 10 2 23 2 6" xfId="31950" xr:uid="{00000000-0005-0000-0000-0000CE7C0000}"/>
    <cellStyle name="Normal 5 10 2 23 2 7" xfId="31951" xr:uid="{00000000-0005-0000-0000-0000CF7C0000}"/>
    <cellStyle name="Normal 5 10 2 23 2 8" xfId="31952" xr:uid="{00000000-0005-0000-0000-0000D07C0000}"/>
    <cellStyle name="Normal 5 10 2 23 2 9" xfId="31953" xr:uid="{00000000-0005-0000-0000-0000D17C0000}"/>
    <cellStyle name="Normal 5 10 2 23 3" xfId="31954" xr:uid="{00000000-0005-0000-0000-0000D27C0000}"/>
    <cellStyle name="Normal 5 10 2 23 3 10" xfId="31955" xr:uid="{00000000-0005-0000-0000-0000D37C0000}"/>
    <cellStyle name="Normal 5 10 2 23 3 2" xfId="31956" xr:uid="{00000000-0005-0000-0000-0000D47C0000}"/>
    <cellStyle name="Normal 5 10 2 23 3 3" xfId="31957" xr:uid="{00000000-0005-0000-0000-0000D57C0000}"/>
    <cellStyle name="Normal 5 10 2 23 3 4" xfId="31958" xr:uid="{00000000-0005-0000-0000-0000D67C0000}"/>
    <cellStyle name="Normal 5 10 2 23 3 5" xfId="31959" xr:uid="{00000000-0005-0000-0000-0000D77C0000}"/>
    <cellStyle name="Normal 5 10 2 23 3 6" xfId="31960" xr:uid="{00000000-0005-0000-0000-0000D87C0000}"/>
    <cellStyle name="Normal 5 10 2 23 3 7" xfId="31961" xr:uid="{00000000-0005-0000-0000-0000D97C0000}"/>
    <cellStyle name="Normal 5 10 2 23 3 8" xfId="31962" xr:uid="{00000000-0005-0000-0000-0000DA7C0000}"/>
    <cellStyle name="Normal 5 10 2 23 3 9" xfId="31963" xr:uid="{00000000-0005-0000-0000-0000DB7C0000}"/>
    <cellStyle name="Normal 5 10 2 23 4" xfId="31964" xr:uid="{00000000-0005-0000-0000-0000DC7C0000}"/>
    <cellStyle name="Normal 5 10 2 23 4 10" xfId="31965" xr:uid="{00000000-0005-0000-0000-0000DD7C0000}"/>
    <cellStyle name="Normal 5 10 2 23 4 2" xfId="31966" xr:uid="{00000000-0005-0000-0000-0000DE7C0000}"/>
    <cellStyle name="Normal 5 10 2 23 4 3" xfId="31967" xr:uid="{00000000-0005-0000-0000-0000DF7C0000}"/>
    <cellStyle name="Normal 5 10 2 23 4 4" xfId="31968" xr:uid="{00000000-0005-0000-0000-0000E07C0000}"/>
    <cellStyle name="Normal 5 10 2 23 4 5" xfId="31969" xr:uid="{00000000-0005-0000-0000-0000E17C0000}"/>
    <cellStyle name="Normal 5 10 2 23 4 6" xfId="31970" xr:uid="{00000000-0005-0000-0000-0000E27C0000}"/>
    <cellStyle name="Normal 5 10 2 23 4 7" xfId="31971" xr:uid="{00000000-0005-0000-0000-0000E37C0000}"/>
    <cellStyle name="Normal 5 10 2 23 4 8" xfId="31972" xr:uid="{00000000-0005-0000-0000-0000E47C0000}"/>
    <cellStyle name="Normal 5 10 2 23 4 9" xfId="31973" xr:uid="{00000000-0005-0000-0000-0000E57C0000}"/>
    <cellStyle name="Normal 5 10 2 23 5" xfId="31974" xr:uid="{00000000-0005-0000-0000-0000E67C0000}"/>
    <cellStyle name="Normal 5 10 2 23 5 10" xfId="31975" xr:uid="{00000000-0005-0000-0000-0000E77C0000}"/>
    <cellStyle name="Normal 5 10 2 23 5 2" xfId="31976" xr:uid="{00000000-0005-0000-0000-0000E87C0000}"/>
    <cellStyle name="Normal 5 10 2 23 5 3" xfId="31977" xr:uid="{00000000-0005-0000-0000-0000E97C0000}"/>
    <cellStyle name="Normal 5 10 2 23 5 4" xfId="31978" xr:uid="{00000000-0005-0000-0000-0000EA7C0000}"/>
    <cellStyle name="Normal 5 10 2 23 5 5" xfId="31979" xr:uid="{00000000-0005-0000-0000-0000EB7C0000}"/>
    <cellStyle name="Normal 5 10 2 23 5 6" xfId="31980" xr:uid="{00000000-0005-0000-0000-0000EC7C0000}"/>
    <cellStyle name="Normal 5 10 2 23 5 7" xfId="31981" xr:uid="{00000000-0005-0000-0000-0000ED7C0000}"/>
    <cellStyle name="Normal 5 10 2 23 5 8" xfId="31982" xr:uid="{00000000-0005-0000-0000-0000EE7C0000}"/>
    <cellStyle name="Normal 5 10 2 23 5 9" xfId="31983" xr:uid="{00000000-0005-0000-0000-0000EF7C0000}"/>
    <cellStyle name="Normal 5 10 2 23 6" xfId="31984" xr:uid="{00000000-0005-0000-0000-0000F07C0000}"/>
    <cellStyle name="Normal 5 10 2 23 7" xfId="31985" xr:uid="{00000000-0005-0000-0000-0000F17C0000}"/>
    <cellStyle name="Normal 5 10 2 23 8" xfId="31986" xr:uid="{00000000-0005-0000-0000-0000F27C0000}"/>
    <cellStyle name="Normal 5 10 2 23 9" xfId="31987" xr:uid="{00000000-0005-0000-0000-0000F37C0000}"/>
    <cellStyle name="Normal 5 10 2 24" xfId="31988" xr:uid="{00000000-0005-0000-0000-0000F47C0000}"/>
    <cellStyle name="Normal 5 10 2 24 10" xfId="31989" xr:uid="{00000000-0005-0000-0000-0000F57C0000}"/>
    <cellStyle name="Normal 5 10 2 24 11" xfId="31990" xr:uid="{00000000-0005-0000-0000-0000F67C0000}"/>
    <cellStyle name="Normal 5 10 2 24 12" xfId="31991" xr:uid="{00000000-0005-0000-0000-0000F77C0000}"/>
    <cellStyle name="Normal 5 10 2 24 13" xfId="31992" xr:uid="{00000000-0005-0000-0000-0000F87C0000}"/>
    <cellStyle name="Normal 5 10 2 24 14" xfId="31993" xr:uid="{00000000-0005-0000-0000-0000F97C0000}"/>
    <cellStyle name="Normal 5 10 2 24 2" xfId="31994" xr:uid="{00000000-0005-0000-0000-0000FA7C0000}"/>
    <cellStyle name="Normal 5 10 2 24 2 10" xfId="31995" xr:uid="{00000000-0005-0000-0000-0000FB7C0000}"/>
    <cellStyle name="Normal 5 10 2 24 2 2" xfId="31996" xr:uid="{00000000-0005-0000-0000-0000FC7C0000}"/>
    <cellStyle name="Normal 5 10 2 24 2 3" xfId="31997" xr:uid="{00000000-0005-0000-0000-0000FD7C0000}"/>
    <cellStyle name="Normal 5 10 2 24 2 4" xfId="31998" xr:uid="{00000000-0005-0000-0000-0000FE7C0000}"/>
    <cellStyle name="Normal 5 10 2 24 2 5" xfId="31999" xr:uid="{00000000-0005-0000-0000-0000FF7C0000}"/>
    <cellStyle name="Normal 5 10 2 24 2 6" xfId="32000" xr:uid="{00000000-0005-0000-0000-0000007D0000}"/>
    <cellStyle name="Normal 5 10 2 24 2 7" xfId="32001" xr:uid="{00000000-0005-0000-0000-0000017D0000}"/>
    <cellStyle name="Normal 5 10 2 24 2 8" xfId="32002" xr:uid="{00000000-0005-0000-0000-0000027D0000}"/>
    <cellStyle name="Normal 5 10 2 24 2 9" xfId="32003" xr:uid="{00000000-0005-0000-0000-0000037D0000}"/>
    <cellStyle name="Normal 5 10 2 24 3" xfId="32004" xr:uid="{00000000-0005-0000-0000-0000047D0000}"/>
    <cellStyle name="Normal 5 10 2 24 3 10" xfId="32005" xr:uid="{00000000-0005-0000-0000-0000057D0000}"/>
    <cellStyle name="Normal 5 10 2 24 3 2" xfId="32006" xr:uid="{00000000-0005-0000-0000-0000067D0000}"/>
    <cellStyle name="Normal 5 10 2 24 3 3" xfId="32007" xr:uid="{00000000-0005-0000-0000-0000077D0000}"/>
    <cellStyle name="Normal 5 10 2 24 3 4" xfId="32008" xr:uid="{00000000-0005-0000-0000-0000087D0000}"/>
    <cellStyle name="Normal 5 10 2 24 3 5" xfId="32009" xr:uid="{00000000-0005-0000-0000-0000097D0000}"/>
    <cellStyle name="Normal 5 10 2 24 3 6" xfId="32010" xr:uid="{00000000-0005-0000-0000-00000A7D0000}"/>
    <cellStyle name="Normal 5 10 2 24 3 7" xfId="32011" xr:uid="{00000000-0005-0000-0000-00000B7D0000}"/>
    <cellStyle name="Normal 5 10 2 24 3 8" xfId="32012" xr:uid="{00000000-0005-0000-0000-00000C7D0000}"/>
    <cellStyle name="Normal 5 10 2 24 3 9" xfId="32013" xr:uid="{00000000-0005-0000-0000-00000D7D0000}"/>
    <cellStyle name="Normal 5 10 2 24 4" xfId="32014" xr:uid="{00000000-0005-0000-0000-00000E7D0000}"/>
    <cellStyle name="Normal 5 10 2 24 4 10" xfId="32015" xr:uid="{00000000-0005-0000-0000-00000F7D0000}"/>
    <cellStyle name="Normal 5 10 2 24 4 2" xfId="32016" xr:uid="{00000000-0005-0000-0000-0000107D0000}"/>
    <cellStyle name="Normal 5 10 2 24 4 3" xfId="32017" xr:uid="{00000000-0005-0000-0000-0000117D0000}"/>
    <cellStyle name="Normal 5 10 2 24 4 4" xfId="32018" xr:uid="{00000000-0005-0000-0000-0000127D0000}"/>
    <cellStyle name="Normal 5 10 2 24 4 5" xfId="32019" xr:uid="{00000000-0005-0000-0000-0000137D0000}"/>
    <cellStyle name="Normal 5 10 2 24 4 6" xfId="32020" xr:uid="{00000000-0005-0000-0000-0000147D0000}"/>
    <cellStyle name="Normal 5 10 2 24 4 7" xfId="32021" xr:uid="{00000000-0005-0000-0000-0000157D0000}"/>
    <cellStyle name="Normal 5 10 2 24 4 8" xfId="32022" xr:uid="{00000000-0005-0000-0000-0000167D0000}"/>
    <cellStyle name="Normal 5 10 2 24 4 9" xfId="32023" xr:uid="{00000000-0005-0000-0000-0000177D0000}"/>
    <cellStyle name="Normal 5 10 2 24 5" xfId="32024" xr:uid="{00000000-0005-0000-0000-0000187D0000}"/>
    <cellStyle name="Normal 5 10 2 24 5 10" xfId="32025" xr:uid="{00000000-0005-0000-0000-0000197D0000}"/>
    <cellStyle name="Normal 5 10 2 24 5 2" xfId="32026" xr:uid="{00000000-0005-0000-0000-00001A7D0000}"/>
    <cellStyle name="Normal 5 10 2 24 5 3" xfId="32027" xr:uid="{00000000-0005-0000-0000-00001B7D0000}"/>
    <cellStyle name="Normal 5 10 2 24 5 4" xfId="32028" xr:uid="{00000000-0005-0000-0000-00001C7D0000}"/>
    <cellStyle name="Normal 5 10 2 24 5 5" xfId="32029" xr:uid="{00000000-0005-0000-0000-00001D7D0000}"/>
    <cellStyle name="Normal 5 10 2 24 5 6" xfId="32030" xr:uid="{00000000-0005-0000-0000-00001E7D0000}"/>
    <cellStyle name="Normal 5 10 2 24 5 7" xfId="32031" xr:uid="{00000000-0005-0000-0000-00001F7D0000}"/>
    <cellStyle name="Normal 5 10 2 24 5 8" xfId="32032" xr:uid="{00000000-0005-0000-0000-0000207D0000}"/>
    <cellStyle name="Normal 5 10 2 24 5 9" xfId="32033" xr:uid="{00000000-0005-0000-0000-0000217D0000}"/>
    <cellStyle name="Normal 5 10 2 24 6" xfId="32034" xr:uid="{00000000-0005-0000-0000-0000227D0000}"/>
    <cellStyle name="Normal 5 10 2 24 7" xfId="32035" xr:uid="{00000000-0005-0000-0000-0000237D0000}"/>
    <cellStyle name="Normal 5 10 2 24 8" xfId="32036" xr:uid="{00000000-0005-0000-0000-0000247D0000}"/>
    <cellStyle name="Normal 5 10 2 24 9" xfId="32037" xr:uid="{00000000-0005-0000-0000-0000257D0000}"/>
    <cellStyle name="Normal 5 10 2 25" xfId="32038" xr:uid="{00000000-0005-0000-0000-0000267D0000}"/>
    <cellStyle name="Normal 5 10 2 25 10" xfId="32039" xr:uid="{00000000-0005-0000-0000-0000277D0000}"/>
    <cellStyle name="Normal 5 10 2 25 11" xfId="32040" xr:uid="{00000000-0005-0000-0000-0000287D0000}"/>
    <cellStyle name="Normal 5 10 2 25 12" xfId="32041" xr:uid="{00000000-0005-0000-0000-0000297D0000}"/>
    <cellStyle name="Normal 5 10 2 25 13" xfId="32042" xr:uid="{00000000-0005-0000-0000-00002A7D0000}"/>
    <cellStyle name="Normal 5 10 2 25 14" xfId="32043" xr:uid="{00000000-0005-0000-0000-00002B7D0000}"/>
    <cellStyle name="Normal 5 10 2 25 2" xfId="32044" xr:uid="{00000000-0005-0000-0000-00002C7D0000}"/>
    <cellStyle name="Normal 5 10 2 25 2 10" xfId="32045" xr:uid="{00000000-0005-0000-0000-00002D7D0000}"/>
    <cellStyle name="Normal 5 10 2 25 2 2" xfId="32046" xr:uid="{00000000-0005-0000-0000-00002E7D0000}"/>
    <cellStyle name="Normal 5 10 2 25 2 3" xfId="32047" xr:uid="{00000000-0005-0000-0000-00002F7D0000}"/>
    <cellStyle name="Normal 5 10 2 25 2 4" xfId="32048" xr:uid="{00000000-0005-0000-0000-0000307D0000}"/>
    <cellStyle name="Normal 5 10 2 25 2 5" xfId="32049" xr:uid="{00000000-0005-0000-0000-0000317D0000}"/>
    <cellStyle name="Normal 5 10 2 25 2 6" xfId="32050" xr:uid="{00000000-0005-0000-0000-0000327D0000}"/>
    <cellStyle name="Normal 5 10 2 25 2 7" xfId="32051" xr:uid="{00000000-0005-0000-0000-0000337D0000}"/>
    <cellStyle name="Normal 5 10 2 25 2 8" xfId="32052" xr:uid="{00000000-0005-0000-0000-0000347D0000}"/>
    <cellStyle name="Normal 5 10 2 25 2 9" xfId="32053" xr:uid="{00000000-0005-0000-0000-0000357D0000}"/>
    <cellStyle name="Normal 5 10 2 25 3" xfId="32054" xr:uid="{00000000-0005-0000-0000-0000367D0000}"/>
    <cellStyle name="Normal 5 10 2 25 3 10" xfId="32055" xr:uid="{00000000-0005-0000-0000-0000377D0000}"/>
    <cellStyle name="Normal 5 10 2 25 3 2" xfId="32056" xr:uid="{00000000-0005-0000-0000-0000387D0000}"/>
    <cellStyle name="Normal 5 10 2 25 3 3" xfId="32057" xr:uid="{00000000-0005-0000-0000-0000397D0000}"/>
    <cellStyle name="Normal 5 10 2 25 3 4" xfId="32058" xr:uid="{00000000-0005-0000-0000-00003A7D0000}"/>
    <cellStyle name="Normal 5 10 2 25 3 5" xfId="32059" xr:uid="{00000000-0005-0000-0000-00003B7D0000}"/>
    <cellStyle name="Normal 5 10 2 25 3 6" xfId="32060" xr:uid="{00000000-0005-0000-0000-00003C7D0000}"/>
    <cellStyle name="Normal 5 10 2 25 3 7" xfId="32061" xr:uid="{00000000-0005-0000-0000-00003D7D0000}"/>
    <cellStyle name="Normal 5 10 2 25 3 8" xfId="32062" xr:uid="{00000000-0005-0000-0000-00003E7D0000}"/>
    <cellStyle name="Normal 5 10 2 25 3 9" xfId="32063" xr:uid="{00000000-0005-0000-0000-00003F7D0000}"/>
    <cellStyle name="Normal 5 10 2 25 4" xfId="32064" xr:uid="{00000000-0005-0000-0000-0000407D0000}"/>
    <cellStyle name="Normal 5 10 2 25 4 10" xfId="32065" xr:uid="{00000000-0005-0000-0000-0000417D0000}"/>
    <cellStyle name="Normal 5 10 2 25 4 2" xfId="32066" xr:uid="{00000000-0005-0000-0000-0000427D0000}"/>
    <cellStyle name="Normal 5 10 2 25 4 3" xfId="32067" xr:uid="{00000000-0005-0000-0000-0000437D0000}"/>
    <cellStyle name="Normal 5 10 2 25 4 4" xfId="32068" xr:uid="{00000000-0005-0000-0000-0000447D0000}"/>
    <cellStyle name="Normal 5 10 2 25 4 5" xfId="32069" xr:uid="{00000000-0005-0000-0000-0000457D0000}"/>
    <cellStyle name="Normal 5 10 2 25 4 6" xfId="32070" xr:uid="{00000000-0005-0000-0000-0000467D0000}"/>
    <cellStyle name="Normal 5 10 2 25 4 7" xfId="32071" xr:uid="{00000000-0005-0000-0000-0000477D0000}"/>
    <cellStyle name="Normal 5 10 2 25 4 8" xfId="32072" xr:uid="{00000000-0005-0000-0000-0000487D0000}"/>
    <cellStyle name="Normal 5 10 2 25 4 9" xfId="32073" xr:uid="{00000000-0005-0000-0000-0000497D0000}"/>
    <cellStyle name="Normal 5 10 2 25 5" xfId="32074" xr:uid="{00000000-0005-0000-0000-00004A7D0000}"/>
    <cellStyle name="Normal 5 10 2 25 5 10" xfId="32075" xr:uid="{00000000-0005-0000-0000-00004B7D0000}"/>
    <cellStyle name="Normal 5 10 2 25 5 2" xfId="32076" xr:uid="{00000000-0005-0000-0000-00004C7D0000}"/>
    <cellStyle name="Normal 5 10 2 25 5 3" xfId="32077" xr:uid="{00000000-0005-0000-0000-00004D7D0000}"/>
    <cellStyle name="Normal 5 10 2 25 5 4" xfId="32078" xr:uid="{00000000-0005-0000-0000-00004E7D0000}"/>
    <cellStyle name="Normal 5 10 2 25 5 5" xfId="32079" xr:uid="{00000000-0005-0000-0000-00004F7D0000}"/>
    <cellStyle name="Normal 5 10 2 25 5 6" xfId="32080" xr:uid="{00000000-0005-0000-0000-0000507D0000}"/>
    <cellStyle name="Normal 5 10 2 25 5 7" xfId="32081" xr:uid="{00000000-0005-0000-0000-0000517D0000}"/>
    <cellStyle name="Normal 5 10 2 25 5 8" xfId="32082" xr:uid="{00000000-0005-0000-0000-0000527D0000}"/>
    <cellStyle name="Normal 5 10 2 25 5 9" xfId="32083" xr:uid="{00000000-0005-0000-0000-0000537D0000}"/>
    <cellStyle name="Normal 5 10 2 25 6" xfId="32084" xr:uid="{00000000-0005-0000-0000-0000547D0000}"/>
    <cellStyle name="Normal 5 10 2 25 7" xfId="32085" xr:uid="{00000000-0005-0000-0000-0000557D0000}"/>
    <cellStyle name="Normal 5 10 2 25 8" xfId="32086" xr:uid="{00000000-0005-0000-0000-0000567D0000}"/>
    <cellStyle name="Normal 5 10 2 25 9" xfId="32087" xr:uid="{00000000-0005-0000-0000-0000577D0000}"/>
    <cellStyle name="Normal 5 10 2 26" xfId="32088" xr:uid="{00000000-0005-0000-0000-0000587D0000}"/>
    <cellStyle name="Normal 5 10 2 26 10" xfId="32089" xr:uid="{00000000-0005-0000-0000-0000597D0000}"/>
    <cellStyle name="Normal 5 10 2 26 11" xfId="32090" xr:uid="{00000000-0005-0000-0000-00005A7D0000}"/>
    <cellStyle name="Normal 5 10 2 26 12" xfId="32091" xr:uid="{00000000-0005-0000-0000-00005B7D0000}"/>
    <cellStyle name="Normal 5 10 2 26 13" xfId="32092" xr:uid="{00000000-0005-0000-0000-00005C7D0000}"/>
    <cellStyle name="Normal 5 10 2 26 14" xfId="32093" xr:uid="{00000000-0005-0000-0000-00005D7D0000}"/>
    <cellStyle name="Normal 5 10 2 26 2" xfId="32094" xr:uid="{00000000-0005-0000-0000-00005E7D0000}"/>
    <cellStyle name="Normal 5 10 2 26 2 10" xfId="32095" xr:uid="{00000000-0005-0000-0000-00005F7D0000}"/>
    <cellStyle name="Normal 5 10 2 26 2 2" xfId="32096" xr:uid="{00000000-0005-0000-0000-0000607D0000}"/>
    <cellStyle name="Normal 5 10 2 26 2 3" xfId="32097" xr:uid="{00000000-0005-0000-0000-0000617D0000}"/>
    <cellStyle name="Normal 5 10 2 26 2 4" xfId="32098" xr:uid="{00000000-0005-0000-0000-0000627D0000}"/>
    <cellStyle name="Normal 5 10 2 26 2 5" xfId="32099" xr:uid="{00000000-0005-0000-0000-0000637D0000}"/>
    <cellStyle name="Normal 5 10 2 26 2 6" xfId="32100" xr:uid="{00000000-0005-0000-0000-0000647D0000}"/>
    <cellStyle name="Normal 5 10 2 26 2 7" xfId="32101" xr:uid="{00000000-0005-0000-0000-0000657D0000}"/>
    <cellStyle name="Normal 5 10 2 26 2 8" xfId="32102" xr:uid="{00000000-0005-0000-0000-0000667D0000}"/>
    <cellStyle name="Normal 5 10 2 26 2 9" xfId="32103" xr:uid="{00000000-0005-0000-0000-0000677D0000}"/>
    <cellStyle name="Normal 5 10 2 26 3" xfId="32104" xr:uid="{00000000-0005-0000-0000-0000687D0000}"/>
    <cellStyle name="Normal 5 10 2 26 3 10" xfId="32105" xr:uid="{00000000-0005-0000-0000-0000697D0000}"/>
    <cellStyle name="Normal 5 10 2 26 3 2" xfId="32106" xr:uid="{00000000-0005-0000-0000-00006A7D0000}"/>
    <cellStyle name="Normal 5 10 2 26 3 3" xfId="32107" xr:uid="{00000000-0005-0000-0000-00006B7D0000}"/>
    <cellStyle name="Normal 5 10 2 26 3 4" xfId="32108" xr:uid="{00000000-0005-0000-0000-00006C7D0000}"/>
    <cellStyle name="Normal 5 10 2 26 3 5" xfId="32109" xr:uid="{00000000-0005-0000-0000-00006D7D0000}"/>
    <cellStyle name="Normal 5 10 2 26 3 6" xfId="32110" xr:uid="{00000000-0005-0000-0000-00006E7D0000}"/>
    <cellStyle name="Normal 5 10 2 26 3 7" xfId="32111" xr:uid="{00000000-0005-0000-0000-00006F7D0000}"/>
    <cellStyle name="Normal 5 10 2 26 3 8" xfId="32112" xr:uid="{00000000-0005-0000-0000-0000707D0000}"/>
    <cellStyle name="Normal 5 10 2 26 3 9" xfId="32113" xr:uid="{00000000-0005-0000-0000-0000717D0000}"/>
    <cellStyle name="Normal 5 10 2 26 4" xfId="32114" xr:uid="{00000000-0005-0000-0000-0000727D0000}"/>
    <cellStyle name="Normal 5 10 2 26 4 10" xfId="32115" xr:uid="{00000000-0005-0000-0000-0000737D0000}"/>
    <cellStyle name="Normal 5 10 2 26 4 2" xfId="32116" xr:uid="{00000000-0005-0000-0000-0000747D0000}"/>
    <cellStyle name="Normal 5 10 2 26 4 3" xfId="32117" xr:uid="{00000000-0005-0000-0000-0000757D0000}"/>
    <cellStyle name="Normal 5 10 2 26 4 4" xfId="32118" xr:uid="{00000000-0005-0000-0000-0000767D0000}"/>
    <cellStyle name="Normal 5 10 2 26 4 5" xfId="32119" xr:uid="{00000000-0005-0000-0000-0000777D0000}"/>
    <cellStyle name="Normal 5 10 2 26 4 6" xfId="32120" xr:uid="{00000000-0005-0000-0000-0000787D0000}"/>
    <cellStyle name="Normal 5 10 2 26 4 7" xfId="32121" xr:uid="{00000000-0005-0000-0000-0000797D0000}"/>
    <cellStyle name="Normal 5 10 2 26 4 8" xfId="32122" xr:uid="{00000000-0005-0000-0000-00007A7D0000}"/>
    <cellStyle name="Normal 5 10 2 26 4 9" xfId="32123" xr:uid="{00000000-0005-0000-0000-00007B7D0000}"/>
    <cellStyle name="Normal 5 10 2 26 5" xfId="32124" xr:uid="{00000000-0005-0000-0000-00007C7D0000}"/>
    <cellStyle name="Normal 5 10 2 26 5 10" xfId="32125" xr:uid="{00000000-0005-0000-0000-00007D7D0000}"/>
    <cellStyle name="Normal 5 10 2 26 5 2" xfId="32126" xr:uid="{00000000-0005-0000-0000-00007E7D0000}"/>
    <cellStyle name="Normal 5 10 2 26 5 3" xfId="32127" xr:uid="{00000000-0005-0000-0000-00007F7D0000}"/>
    <cellStyle name="Normal 5 10 2 26 5 4" xfId="32128" xr:uid="{00000000-0005-0000-0000-0000807D0000}"/>
    <cellStyle name="Normal 5 10 2 26 5 5" xfId="32129" xr:uid="{00000000-0005-0000-0000-0000817D0000}"/>
    <cellStyle name="Normal 5 10 2 26 5 6" xfId="32130" xr:uid="{00000000-0005-0000-0000-0000827D0000}"/>
    <cellStyle name="Normal 5 10 2 26 5 7" xfId="32131" xr:uid="{00000000-0005-0000-0000-0000837D0000}"/>
    <cellStyle name="Normal 5 10 2 26 5 8" xfId="32132" xr:uid="{00000000-0005-0000-0000-0000847D0000}"/>
    <cellStyle name="Normal 5 10 2 26 5 9" xfId="32133" xr:uid="{00000000-0005-0000-0000-0000857D0000}"/>
    <cellStyle name="Normal 5 10 2 26 6" xfId="32134" xr:uid="{00000000-0005-0000-0000-0000867D0000}"/>
    <cellStyle name="Normal 5 10 2 26 7" xfId="32135" xr:uid="{00000000-0005-0000-0000-0000877D0000}"/>
    <cellStyle name="Normal 5 10 2 26 8" xfId="32136" xr:uid="{00000000-0005-0000-0000-0000887D0000}"/>
    <cellStyle name="Normal 5 10 2 26 9" xfId="32137" xr:uid="{00000000-0005-0000-0000-0000897D0000}"/>
    <cellStyle name="Normal 5 10 2 27" xfId="32138" xr:uid="{00000000-0005-0000-0000-00008A7D0000}"/>
    <cellStyle name="Normal 5 10 2 27 10" xfId="32139" xr:uid="{00000000-0005-0000-0000-00008B7D0000}"/>
    <cellStyle name="Normal 5 10 2 27 11" xfId="32140" xr:uid="{00000000-0005-0000-0000-00008C7D0000}"/>
    <cellStyle name="Normal 5 10 2 27 12" xfId="32141" xr:uid="{00000000-0005-0000-0000-00008D7D0000}"/>
    <cellStyle name="Normal 5 10 2 27 13" xfId="32142" xr:uid="{00000000-0005-0000-0000-00008E7D0000}"/>
    <cellStyle name="Normal 5 10 2 27 14" xfId="32143" xr:uid="{00000000-0005-0000-0000-00008F7D0000}"/>
    <cellStyle name="Normal 5 10 2 27 2" xfId="32144" xr:uid="{00000000-0005-0000-0000-0000907D0000}"/>
    <cellStyle name="Normal 5 10 2 27 2 10" xfId="32145" xr:uid="{00000000-0005-0000-0000-0000917D0000}"/>
    <cellStyle name="Normal 5 10 2 27 2 2" xfId="32146" xr:uid="{00000000-0005-0000-0000-0000927D0000}"/>
    <cellStyle name="Normal 5 10 2 27 2 3" xfId="32147" xr:uid="{00000000-0005-0000-0000-0000937D0000}"/>
    <cellStyle name="Normal 5 10 2 27 2 4" xfId="32148" xr:uid="{00000000-0005-0000-0000-0000947D0000}"/>
    <cellStyle name="Normal 5 10 2 27 2 5" xfId="32149" xr:uid="{00000000-0005-0000-0000-0000957D0000}"/>
    <cellStyle name="Normal 5 10 2 27 2 6" xfId="32150" xr:uid="{00000000-0005-0000-0000-0000967D0000}"/>
    <cellStyle name="Normal 5 10 2 27 2 7" xfId="32151" xr:uid="{00000000-0005-0000-0000-0000977D0000}"/>
    <cellStyle name="Normal 5 10 2 27 2 8" xfId="32152" xr:uid="{00000000-0005-0000-0000-0000987D0000}"/>
    <cellStyle name="Normal 5 10 2 27 2 9" xfId="32153" xr:uid="{00000000-0005-0000-0000-0000997D0000}"/>
    <cellStyle name="Normal 5 10 2 27 3" xfId="32154" xr:uid="{00000000-0005-0000-0000-00009A7D0000}"/>
    <cellStyle name="Normal 5 10 2 27 3 10" xfId="32155" xr:uid="{00000000-0005-0000-0000-00009B7D0000}"/>
    <cellStyle name="Normal 5 10 2 27 3 2" xfId="32156" xr:uid="{00000000-0005-0000-0000-00009C7D0000}"/>
    <cellStyle name="Normal 5 10 2 27 3 3" xfId="32157" xr:uid="{00000000-0005-0000-0000-00009D7D0000}"/>
    <cellStyle name="Normal 5 10 2 27 3 4" xfId="32158" xr:uid="{00000000-0005-0000-0000-00009E7D0000}"/>
    <cellStyle name="Normal 5 10 2 27 3 5" xfId="32159" xr:uid="{00000000-0005-0000-0000-00009F7D0000}"/>
    <cellStyle name="Normal 5 10 2 27 3 6" xfId="32160" xr:uid="{00000000-0005-0000-0000-0000A07D0000}"/>
    <cellStyle name="Normal 5 10 2 27 3 7" xfId="32161" xr:uid="{00000000-0005-0000-0000-0000A17D0000}"/>
    <cellStyle name="Normal 5 10 2 27 3 8" xfId="32162" xr:uid="{00000000-0005-0000-0000-0000A27D0000}"/>
    <cellStyle name="Normal 5 10 2 27 3 9" xfId="32163" xr:uid="{00000000-0005-0000-0000-0000A37D0000}"/>
    <cellStyle name="Normal 5 10 2 27 4" xfId="32164" xr:uid="{00000000-0005-0000-0000-0000A47D0000}"/>
    <cellStyle name="Normal 5 10 2 27 4 10" xfId="32165" xr:uid="{00000000-0005-0000-0000-0000A57D0000}"/>
    <cellStyle name="Normal 5 10 2 27 4 2" xfId="32166" xr:uid="{00000000-0005-0000-0000-0000A67D0000}"/>
    <cellStyle name="Normal 5 10 2 27 4 3" xfId="32167" xr:uid="{00000000-0005-0000-0000-0000A77D0000}"/>
    <cellStyle name="Normal 5 10 2 27 4 4" xfId="32168" xr:uid="{00000000-0005-0000-0000-0000A87D0000}"/>
    <cellStyle name="Normal 5 10 2 27 4 5" xfId="32169" xr:uid="{00000000-0005-0000-0000-0000A97D0000}"/>
    <cellStyle name="Normal 5 10 2 27 4 6" xfId="32170" xr:uid="{00000000-0005-0000-0000-0000AA7D0000}"/>
    <cellStyle name="Normal 5 10 2 27 4 7" xfId="32171" xr:uid="{00000000-0005-0000-0000-0000AB7D0000}"/>
    <cellStyle name="Normal 5 10 2 27 4 8" xfId="32172" xr:uid="{00000000-0005-0000-0000-0000AC7D0000}"/>
    <cellStyle name="Normal 5 10 2 27 4 9" xfId="32173" xr:uid="{00000000-0005-0000-0000-0000AD7D0000}"/>
    <cellStyle name="Normal 5 10 2 27 5" xfId="32174" xr:uid="{00000000-0005-0000-0000-0000AE7D0000}"/>
    <cellStyle name="Normal 5 10 2 27 5 10" xfId="32175" xr:uid="{00000000-0005-0000-0000-0000AF7D0000}"/>
    <cellStyle name="Normal 5 10 2 27 5 2" xfId="32176" xr:uid="{00000000-0005-0000-0000-0000B07D0000}"/>
    <cellStyle name="Normal 5 10 2 27 5 3" xfId="32177" xr:uid="{00000000-0005-0000-0000-0000B17D0000}"/>
    <cellStyle name="Normal 5 10 2 27 5 4" xfId="32178" xr:uid="{00000000-0005-0000-0000-0000B27D0000}"/>
    <cellStyle name="Normal 5 10 2 27 5 5" xfId="32179" xr:uid="{00000000-0005-0000-0000-0000B37D0000}"/>
    <cellStyle name="Normal 5 10 2 27 5 6" xfId="32180" xr:uid="{00000000-0005-0000-0000-0000B47D0000}"/>
    <cellStyle name="Normal 5 10 2 27 5 7" xfId="32181" xr:uid="{00000000-0005-0000-0000-0000B57D0000}"/>
    <cellStyle name="Normal 5 10 2 27 5 8" xfId="32182" xr:uid="{00000000-0005-0000-0000-0000B67D0000}"/>
    <cellStyle name="Normal 5 10 2 27 5 9" xfId="32183" xr:uid="{00000000-0005-0000-0000-0000B77D0000}"/>
    <cellStyle name="Normal 5 10 2 27 6" xfId="32184" xr:uid="{00000000-0005-0000-0000-0000B87D0000}"/>
    <cellStyle name="Normal 5 10 2 27 7" xfId="32185" xr:uid="{00000000-0005-0000-0000-0000B97D0000}"/>
    <cellStyle name="Normal 5 10 2 27 8" xfId="32186" xr:uid="{00000000-0005-0000-0000-0000BA7D0000}"/>
    <cellStyle name="Normal 5 10 2 27 9" xfId="32187" xr:uid="{00000000-0005-0000-0000-0000BB7D0000}"/>
    <cellStyle name="Normal 5 10 2 28" xfId="32188" xr:uid="{00000000-0005-0000-0000-0000BC7D0000}"/>
    <cellStyle name="Normal 5 10 2 28 10" xfId="32189" xr:uid="{00000000-0005-0000-0000-0000BD7D0000}"/>
    <cellStyle name="Normal 5 10 2 28 11" xfId="32190" xr:uid="{00000000-0005-0000-0000-0000BE7D0000}"/>
    <cellStyle name="Normal 5 10 2 28 12" xfId="32191" xr:uid="{00000000-0005-0000-0000-0000BF7D0000}"/>
    <cellStyle name="Normal 5 10 2 28 13" xfId="32192" xr:uid="{00000000-0005-0000-0000-0000C07D0000}"/>
    <cellStyle name="Normal 5 10 2 28 14" xfId="32193" xr:uid="{00000000-0005-0000-0000-0000C17D0000}"/>
    <cellStyle name="Normal 5 10 2 28 2" xfId="32194" xr:uid="{00000000-0005-0000-0000-0000C27D0000}"/>
    <cellStyle name="Normal 5 10 2 28 2 10" xfId="32195" xr:uid="{00000000-0005-0000-0000-0000C37D0000}"/>
    <cellStyle name="Normal 5 10 2 28 2 2" xfId="32196" xr:uid="{00000000-0005-0000-0000-0000C47D0000}"/>
    <cellStyle name="Normal 5 10 2 28 2 3" xfId="32197" xr:uid="{00000000-0005-0000-0000-0000C57D0000}"/>
    <cellStyle name="Normal 5 10 2 28 2 4" xfId="32198" xr:uid="{00000000-0005-0000-0000-0000C67D0000}"/>
    <cellStyle name="Normal 5 10 2 28 2 5" xfId="32199" xr:uid="{00000000-0005-0000-0000-0000C77D0000}"/>
    <cellStyle name="Normal 5 10 2 28 2 6" xfId="32200" xr:uid="{00000000-0005-0000-0000-0000C87D0000}"/>
    <cellStyle name="Normal 5 10 2 28 2 7" xfId="32201" xr:uid="{00000000-0005-0000-0000-0000C97D0000}"/>
    <cellStyle name="Normal 5 10 2 28 2 8" xfId="32202" xr:uid="{00000000-0005-0000-0000-0000CA7D0000}"/>
    <cellStyle name="Normal 5 10 2 28 2 9" xfId="32203" xr:uid="{00000000-0005-0000-0000-0000CB7D0000}"/>
    <cellStyle name="Normal 5 10 2 28 3" xfId="32204" xr:uid="{00000000-0005-0000-0000-0000CC7D0000}"/>
    <cellStyle name="Normal 5 10 2 28 3 10" xfId="32205" xr:uid="{00000000-0005-0000-0000-0000CD7D0000}"/>
    <cellStyle name="Normal 5 10 2 28 3 2" xfId="32206" xr:uid="{00000000-0005-0000-0000-0000CE7D0000}"/>
    <cellStyle name="Normal 5 10 2 28 3 3" xfId="32207" xr:uid="{00000000-0005-0000-0000-0000CF7D0000}"/>
    <cellStyle name="Normal 5 10 2 28 3 4" xfId="32208" xr:uid="{00000000-0005-0000-0000-0000D07D0000}"/>
    <cellStyle name="Normal 5 10 2 28 3 5" xfId="32209" xr:uid="{00000000-0005-0000-0000-0000D17D0000}"/>
    <cellStyle name="Normal 5 10 2 28 3 6" xfId="32210" xr:uid="{00000000-0005-0000-0000-0000D27D0000}"/>
    <cellStyle name="Normal 5 10 2 28 3 7" xfId="32211" xr:uid="{00000000-0005-0000-0000-0000D37D0000}"/>
    <cellStyle name="Normal 5 10 2 28 3 8" xfId="32212" xr:uid="{00000000-0005-0000-0000-0000D47D0000}"/>
    <cellStyle name="Normal 5 10 2 28 3 9" xfId="32213" xr:uid="{00000000-0005-0000-0000-0000D57D0000}"/>
    <cellStyle name="Normal 5 10 2 28 4" xfId="32214" xr:uid="{00000000-0005-0000-0000-0000D67D0000}"/>
    <cellStyle name="Normal 5 10 2 28 4 10" xfId="32215" xr:uid="{00000000-0005-0000-0000-0000D77D0000}"/>
    <cellStyle name="Normal 5 10 2 28 4 2" xfId="32216" xr:uid="{00000000-0005-0000-0000-0000D87D0000}"/>
    <cellStyle name="Normal 5 10 2 28 4 3" xfId="32217" xr:uid="{00000000-0005-0000-0000-0000D97D0000}"/>
    <cellStyle name="Normal 5 10 2 28 4 4" xfId="32218" xr:uid="{00000000-0005-0000-0000-0000DA7D0000}"/>
    <cellStyle name="Normal 5 10 2 28 4 5" xfId="32219" xr:uid="{00000000-0005-0000-0000-0000DB7D0000}"/>
    <cellStyle name="Normal 5 10 2 28 4 6" xfId="32220" xr:uid="{00000000-0005-0000-0000-0000DC7D0000}"/>
    <cellStyle name="Normal 5 10 2 28 4 7" xfId="32221" xr:uid="{00000000-0005-0000-0000-0000DD7D0000}"/>
    <cellStyle name="Normal 5 10 2 28 4 8" xfId="32222" xr:uid="{00000000-0005-0000-0000-0000DE7D0000}"/>
    <cellStyle name="Normal 5 10 2 28 4 9" xfId="32223" xr:uid="{00000000-0005-0000-0000-0000DF7D0000}"/>
    <cellStyle name="Normal 5 10 2 28 5" xfId="32224" xr:uid="{00000000-0005-0000-0000-0000E07D0000}"/>
    <cellStyle name="Normal 5 10 2 28 5 10" xfId="32225" xr:uid="{00000000-0005-0000-0000-0000E17D0000}"/>
    <cellStyle name="Normal 5 10 2 28 5 2" xfId="32226" xr:uid="{00000000-0005-0000-0000-0000E27D0000}"/>
    <cellStyle name="Normal 5 10 2 28 5 3" xfId="32227" xr:uid="{00000000-0005-0000-0000-0000E37D0000}"/>
    <cellStyle name="Normal 5 10 2 28 5 4" xfId="32228" xr:uid="{00000000-0005-0000-0000-0000E47D0000}"/>
    <cellStyle name="Normal 5 10 2 28 5 5" xfId="32229" xr:uid="{00000000-0005-0000-0000-0000E57D0000}"/>
    <cellStyle name="Normal 5 10 2 28 5 6" xfId="32230" xr:uid="{00000000-0005-0000-0000-0000E67D0000}"/>
    <cellStyle name="Normal 5 10 2 28 5 7" xfId="32231" xr:uid="{00000000-0005-0000-0000-0000E77D0000}"/>
    <cellStyle name="Normal 5 10 2 28 5 8" xfId="32232" xr:uid="{00000000-0005-0000-0000-0000E87D0000}"/>
    <cellStyle name="Normal 5 10 2 28 5 9" xfId="32233" xr:uid="{00000000-0005-0000-0000-0000E97D0000}"/>
    <cellStyle name="Normal 5 10 2 28 6" xfId="32234" xr:uid="{00000000-0005-0000-0000-0000EA7D0000}"/>
    <cellStyle name="Normal 5 10 2 28 7" xfId="32235" xr:uid="{00000000-0005-0000-0000-0000EB7D0000}"/>
    <cellStyle name="Normal 5 10 2 28 8" xfId="32236" xr:uid="{00000000-0005-0000-0000-0000EC7D0000}"/>
    <cellStyle name="Normal 5 10 2 28 9" xfId="32237" xr:uid="{00000000-0005-0000-0000-0000ED7D0000}"/>
    <cellStyle name="Normal 5 10 2 29" xfId="32238" xr:uid="{00000000-0005-0000-0000-0000EE7D0000}"/>
    <cellStyle name="Normal 5 10 2 29 10" xfId="32239" xr:uid="{00000000-0005-0000-0000-0000EF7D0000}"/>
    <cellStyle name="Normal 5 10 2 29 11" xfId="32240" xr:uid="{00000000-0005-0000-0000-0000F07D0000}"/>
    <cellStyle name="Normal 5 10 2 29 12" xfId="32241" xr:uid="{00000000-0005-0000-0000-0000F17D0000}"/>
    <cellStyle name="Normal 5 10 2 29 13" xfId="32242" xr:uid="{00000000-0005-0000-0000-0000F27D0000}"/>
    <cellStyle name="Normal 5 10 2 29 14" xfId="32243" xr:uid="{00000000-0005-0000-0000-0000F37D0000}"/>
    <cellStyle name="Normal 5 10 2 29 2" xfId="32244" xr:uid="{00000000-0005-0000-0000-0000F47D0000}"/>
    <cellStyle name="Normal 5 10 2 29 2 10" xfId="32245" xr:uid="{00000000-0005-0000-0000-0000F57D0000}"/>
    <cellStyle name="Normal 5 10 2 29 2 2" xfId="32246" xr:uid="{00000000-0005-0000-0000-0000F67D0000}"/>
    <cellStyle name="Normal 5 10 2 29 2 3" xfId="32247" xr:uid="{00000000-0005-0000-0000-0000F77D0000}"/>
    <cellStyle name="Normal 5 10 2 29 2 4" xfId="32248" xr:uid="{00000000-0005-0000-0000-0000F87D0000}"/>
    <cellStyle name="Normal 5 10 2 29 2 5" xfId="32249" xr:uid="{00000000-0005-0000-0000-0000F97D0000}"/>
    <cellStyle name="Normal 5 10 2 29 2 6" xfId="32250" xr:uid="{00000000-0005-0000-0000-0000FA7D0000}"/>
    <cellStyle name="Normal 5 10 2 29 2 7" xfId="32251" xr:uid="{00000000-0005-0000-0000-0000FB7D0000}"/>
    <cellStyle name="Normal 5 10 2 29 2 8" xfId="32252" xr:uid="{00000000-0005-0000-0000-0000FC7D0000}"/>
    <cellStyle name="Normal 5 10 2 29 2 9" xfId="32253" xr:uid="{00000000-0005-0000-0000-0000FD7D0000}"/>
    <cellStyle name="Normal 5 10 2 29 3" xfId="32254" xr:uid="{00000000-0005-0000-0000-0000FE7D0000}"/>
    <cellStyle name="Normal 5 10 2 29 3 10" xfId="32255" xr:uid="{00000000-0005-0000-0000-0000FF7D0000}"/>
    <cellStyle name="Normal 5 10 2 29 3 2" xfId="32256" xr:uid="{00000000-0005-0000-0000-0000007E0000}"/>
    <cellStyle name="Normal 5 10 2 29 3 3" xfId="32257" xr:uid="{00000000-0005-0000-0000-0000017E0000}"/>
    <cellStyle name="Normal 5 10 2 29 3 4" xfId="32258" xr:uid="{00000000-0005-0000-0000-0000027E0000}"/>
    <cellStyle name="Normal 5 10 2 29 3 5" xfId="32259" xr:uid="{00000000-0005-0000-0000-0000037E0000}"/>
    <cellStyle name="Normal 5 10 2 29 3 6" xfId="32260" xr:uid="{00000000-0005-0000-0000-0000047E0000}"/>
    <cellStyle name="Normal 5 10 2 29 3 7" xfId="32261" xr:uid="{00000000-0005-0000-0000-0000057E0000}"/>
    <cellStyle name="Normal 5 10 2 29 3 8" xfId="32262" xr:uid="{00000000-0005-0000-0000-0000067E0000}"/>
    <cellStyle name="Normal 5 10 2 29 3 9" xfId="32263" xr:uid="{00000000-0005-0000-0000-0000077E0000}"/>
    <cellStyle name="Normal 5 10 2 29 4" xfId="32264" xr:uid="{00000000-0005-0000-0000-0000087E0000}"/>
    <cellStyle name="Normal 5 10 2 29 4 10" xfId="32265" xr:uid="{00000000-0005-0000-0000-0000097E0000}"/>
    <cellStyle name="Normal 5 10 2 29 4 2" xfId="32266" xr:uid="{00000000-0005-0000-0000-00000A7E0000}"/>
    <cellStyle name="Normal 5 10 2 29 4 3" xfId="32267" xr:uid="{00000000-0005-0000-0000-00000B7E0000}"/>
    <cellStyle name="Normal 5 10 2 29 4 4" xfId="32268" xr:uid="{00000000-0005-0000-0000-00000C7E0000}"/>
    <cellStyle name="Normal 5 10 2 29 4 5" xfId="32269" xr:uid="{00000000-0005-0000-0000-00000D7E0000}"/>
    <cellStyle name="Normal 5 10 2 29 4 6" xfId="32270" xr:uid="{00000000-0005-0000-0000-00000E7E0000}"/>
    <cellStyle name="Normal 5 10 2 29 4 7" xfId="32271" xr:uid="{00000000-0005-0000-0000-00000F7E0000}"/>
    <cellStyle name="Normal 5 10 2 29 4 8" xfId="32272" xr:uid="{00000000-0005-0000-0000-0000107E0000}"/>
    <cellStyle name="Normal 5 10 2 29 4 9" xfId="32273" xr:uid="{00000000-0005-0000-0000-0000117E0000}"/>
    <cellStyle name="Normal 5 10 2 29 5" xfId="32274" xr:uid="{00000000-0005-0000-0000-0000127E0000}"/>
    <cellStyle name="Normal 5 10 2 29 5 10" xfId="32275" xr:uid="{00000000-0005-0000-0000-0000137E0000}"/>
    <cellStyle name="Normal 5 10 2 29 5 2" xfId="32276" xr:uid="{00000000-0005-0000-0000-0000147E0000}"/>
    <cellStyle name="Normal 5 10 2 29 5 3" xfId="32277" xr:uid="{00000000-0005-0000-0000-0000157E0000}"/>
    <cellStyle name="Normal 5 10 2 29 5 4" xfId="32278" xr:uid="{00000000-0005-0000-0000-0000167E0000}"/>
    <cellStyle name="Normal 5 10 2 29 5 5" xfId="32279" xr:uid="{00000000-0005-0000-0000-0000177E0000}"/>
    <cellStyle name="Normal 5 10 2 29 5 6" xfId="32280" xr:uid="{00000000-0005-0000-0000-0000187E0000}"/>
    <cellStyle name="Normal 5 10 2 29 5 7" xfId="32281" xr:uid="{00000000-0005-0000-0000-0000197E0000}"/>
    <cellStyle name="Normal 5 10 2 29 5 8" xfId="32282" xr:uid="{00000000-0005-0000-0000-00001A7E0000}"/>
    <cellStyle name="Normal 5 10 2 29 5 9" xfId="32283" xr:uid="{00000000-0005-0000-0000-00001B7E0000}"/>
    <cellStyle name="Normal 5 10 2 29 6" xfId="32284" xr:uid="{00000000-0005-0000-0000-00001C7E0000}"/>
    <cellStyle name="Normal 5 10 2 29 7" xfId="32285" xr:uid="{00000000-0005-0000-0000-00001D7E0000}"/>
    <cellStyle name="Normal 5 10 2 29 8" xfId="32286" xr:uid="{00000000-0005-0000-0000-00001E7E0000}"/>
    <cellStyle name="Normal 5 10 2 29 9" xfId="32287" xr:uid="{00000000-0005-0000-0000-00001F7E0000}"/>
    <cellStyle name="Normal 5 10 2 3" xfId="32288" xr:uid="{00000000-0005-0000-0000-0000207E0000}"/>
    <cellStyle name="Normal 5 10 2 3 10" xfId="32289" xr:uid="{00000000-0005-0000-0000-0000217E0000}"/>
    <cellStyle name="Normal 5 10 2 3 11" xfId="32290" xr:uid="{00000000-0005-0000-0000-0000227E0000}"/>
    <cellStyle name="Normal 5 10 2 3 12" xfId="32291" xr:uid="{00000000-0005-0000-0000-0000237E0000}"/>
    <cellStyle name="Normal 5 10 2 3 13" xfId="32292" xr:uid="{00000000-0005-0000-0000-0000247E0000}"/>
    <cellStyle name="Normal 5 10 2 3 14" xfId="32293" xr:uid="{00000000-0005-0000-0000-0000257E0000}"/>
    <cellStyle name="Normal 5 10 2 3 2" xfId="32294" xr:uid="{00000000-0005-0000-0000-0000267E0000}"/>
    <cellStyle name="Normal 5 10 2 3 2 10" xfId="32295" xr:uid="{00000000-0005-0000-0000-0000277E0000}"/>
    <cellStyle name="Normal 5 10 2 3 2 2" xfId="32296" xr:uid="{00000000-0005-0000-0000-0000287E0000}"/>
    <cellStyle name="Normal 5 10 2 3 2 3" xfId="32297" xr:uid="{00000000-0005-0000-0000-0000297E0000}"/>
    <cellStyle name="Normal 5 10 2 3 2 4" xfId="32298" xr:uid="{00000000-0005-0000-0000-00002A7E0000}"/>
    <cellStyle name="Normal 5 10 2 3 2 5" xfId="32299" xr:uid="{00000000-0005-0000-0000-00002B7E0000}"/>
    <cellStyle name="Normal 5 10 2 3 2 6" xfId="32300" xr:uid="{00000000-0005-0000-0000-00002C7E0000}"/>
    <cellStyle name="Normal 5 10 2 3 2 7" xfId="32301" xr:uid="{00000000-0005-0000-0000-00002D7E0000}"/>
    <cellStyle name="Normal 5 10 2 3 2 8" xfId="32302" xr:uid="{00000000-0005-0000-0000-00002E7E0000}"/>
    <cellStyle name="Normal 5 10 2 3 2 9" xfId="32303" xr:uid="{00000000-0005-0000-0000-00002F7E0000}"/>
    <cellStyle name="Normal 5 10 2 3 3" xfId="32304" xr:uid="{00000000-0005-0000-0000-0000307E0000}"/>
    <cellStyle name="Normal 5 10 2 3 3 10" xfId="32305" xr:uid="{00000000-0005-0000-0000-0000317E0000}"/>
    <cellStyle name="Normal 5 10 2 3 3 2" xfId="32306" xr:uid="{00000000-0005-0000-0000-0000327E0000}"/>
    <cellStyle name="Normal 5 10 2 3 3 3" xfId="32307" xr:uid="{00000000-0005-0000-0000-0000337E0000}"/>
    <cellStyle name="Normal 5 10 2 3 3 4" xfId="32308" xr:uid="{00000000-0005-0000-0000-0000347E0000}"/>
    <cellStyle name="Normal 5 10 2 3 3 5" xfId="32309" xr:uid="{00000000-0005-0000-0000-0000357E0000}"/>
    <cellStyle name="Normal 5 10 2 3 3 6" xfId="32310" xr:uid="{00000000-0005-0000-0000-0000367E0000}"/>
    <cellStyle name="Normal 5 10 2 3 3 7" xfId="32311" xr:uid="{00000000-0005-0000-0000-0000377E0000}"/>
    <cellStyle name="Normal 5 10 2 3 3 8" xfId="32312" xr:uid="{00000000-0005-0000-0000-0000387E0000}"/>
    <cellStyle name="Normal 5 10 2 3 3 9" xfId="32313" xr:uid="{00000000-0005-0000-0000-0000397E0000}"/>
    <cellStyle name="Normal 5 10 2 3 4" xfId="32314" xr:uid="{00000000-0005-0000-0000-00003A7E0000}"/>
    <cellStyle name="Normal 5 10 2 3 4 10" xfId="32315" xr:uid="{00000000-0005-0000-0000-00003B7E0000}"/>
    <cellStyle name="Normal 5 10 2 3 4 2" xfId="32316" xr:uid="{00000000-0005-0000-0000-00003C7E0000}"/>
    <cellStyle name="Normal 5 10 2 3 4 3" xfId="32317" xr:uid="{00000000-0005-0000-0000-00003D7E0000}"/>
    <cellStyle name="Normal 5 10 2 3 4 4" xfId="32318" xr:uid="{00000000-0005-0000-0000-00003E7E0000}"/>
    <cellStyle name="Normal 5 10 2 3 4 5" xfId="32319" xr:uid="{00000000-0005-0000-0000-00003F7E0000}"/>
    <cellStyle name="Normal 5 10 2 3 4 6" xfId="32320" xr:uid="{00000000-0005-0000-0000-0000407E0000}"/>
    <cellStyle name="Normal 5 10 2 3 4 7" xfId="32321" xr:uid="{00000000-0005-0000-0000-0000417E0000}"/>
    <cellStyle name="Normal 5 10 2 3 4 8" xfId="32322" xr:uid="{00000000-0005-0000-0000-0000427E0000}"/>
    <cellStyle name="Normal 5 10 2 3 4 9" xfId="32323" xr:uid="{00000000-0005-0000-0000-0000437E0000}"/>
    <cellStyle name="Normal 5 10 2 3 5" xfId="32324" xr:uid="{00000000-0005-0000-0000-0000447E0000}"/>
    <cellStyle name="Normal 5 10 2 3 5 10" xfId="32325" xr:uid="{00000000-0005-0000-0000-0000457E0000}"/>
    <cellStyle name="Normal 5 10 2 3 5 2" xfId="32326" xr:uid="{00000000-0005-0000-0000-0000467E0000}"/>
    <cellStyle name="Normal 5 10 2 3 5 3" xfId="32327" xr:uid="{00000000-0005-0000-0000-0000477E0000}"/>
    <cellStyle name="Normal 5 10 2 3 5 4" xfId="32328" xr:uid="{00000000-0005-0000-0000-0000487E0000}"/>
    <cellStyle name="Normal 5 10 2 3 5 5" xfId="32329" xr:uid="{00000000-0005-0000-0000-0000497E0000}"/>
    <cellStyle name="Normal 5 10 2 3 5 6" xfId="32330" xr:uid="{00000000-0005-0000-0000-00004A7E0000}"/>
    <cellStyle name="Normal 5 10 2 3 5 7" xfId="32331" xr:uid="{00000000-0005-0000-0000-00004B7E0000}"/>
    <cellStyle name="Normal 5 10 2 3 5 8" xfId="32332" xr:uid="{00000000-0005-0000-0000-00004C7E0000}"/>
    <cellStyle name="Normal 5 10 2 3 5 9" xfId="32333" xr:uid="{00000000-0005-0000-0000-00004D7E0000}"/>
    <cellStyle name="Normal 5 10 2 3 6" xfId="32334" xr:uid="{00000000-0005-0000-0000-00004E7E0000}"/>
    <cellStyle name="Normal 5 10 2 3 7" xfId="32335" xr:uid="{00000000-0005-0000-0000-00004F7E0000}"/>
    <cellStyle name="Normal 5 10 2 3 8" xfId="32336" xr:uid="{00000000-0005-0000-0000-0000507E0000}"/>
    <cellStyle name="Normal 5 10 2 3 9" xfId="32337" xr:uid="{00000000-0005-0000-0000-0000517E0000}"/>
    <cellStyle name="Normal 5 10 2 30" xfId="32338" xr:uid="{00000000-0005-0000-0000-0000527E0000}"/>
    <cellStyle name="Normal 5 10 2 30 10" xfId="32339" xr:uid="{00000000-0005-0000-0000-0000537E0000}"/>
    <cellStyle name="Normal 5 10 2 30 11" xfId="32340" xr:uid="{00000000-0005-0000-0000-0000547E0000}"/>
    <cellStyle name="Normal 5 10 2 30 12" xfId="32341" xr:uid="{00000000-0005-0000-0000-0000557E0000}"/>
    <cellStyle name="Normal 5 10 2 30 13" xfId="32342" xr:uid="{00000000-0005-0000-0000-0000567E0000}"/>
    <cellStyle name="Normal 5 10 2 30 14" xfId="32343" xr:uid="{00000000-0005-0000-0000-0000577E0000}"/>
    <cellStyle name="Normal 5 10 2 30 2" xfId="32344" xr:uid="{00000000-0005-0000-0000-0000587E0000}"/>
    <cellStyle name="Normal 5 10 2 30 2 10" xfId="32345" xr:uid="{00000000-0005-0000-0000-0000597E0000}"/>
    <cellStyle name="Normal 5 10 2 30 2 2" xfId="32346" xr:uid="{00000000-0005-0000-0000-00005A7E0000}"/>
    <cellStyle name="Normal 5 10 2 30 2 3" xfId="32347" xr:uid="{00000000-0005-0000-0000-00005B7E0000}"/>
    <cellStyle name="Normal 5 10 2 30 2 4" xfId="32348" xr:uid="{00000000-0005-0000-0000-00005C7E0000}"/>
    <cellStyle name="Normal 5 10 2 30 2 5" xfId="32349" xr:uid="{00000000-0005-0000-0000-00005D7E0000}"/>
    <cellStyle name="Normal 5 10 2 30 2 6" xfId="32350" xr:uid="{00000000-0005-0000-0000-00005E7E0000}"/>
    <cellStyle name="Normal 5 10 2 30 2 7" xfId="32351" xr:uid="{00000000-0005-0000-0000-00005F7E0000}"/>
    <cellStyle name="Normal 5 10 2 30 2 8" xfId="32352" xr:uid="{00000000-0005-0000-0000-0000607E0000}"/>
    <cellStyle name="Normal 5 10 2 30 2 9" xfId="32353" xr:uid="{00000000-0005-0000-0000-0000617E0000}"/>
    <cellStyle name="Normal 5 10 2 30 3" xfId="32354" xr:uid="{00000000-0005-0000-0000-0000627E0000}"/>
    <cellStyle name="Normal 5 10 2 30 3 10" xfId="32355" xr:uid="{00000000-0005-0000-0000-0000637E0000}"/>
    <cellStyle name="Normal 5 10 2 30 3 2" xfId="32356" xr:uid="{00000000-0005-0000-0000-0000647E0000}"/>
    <cellStyle name="Normal 5 10 2 30 3 3" xfId="32357" xr:uid="{00000000-0005-0000-0000-0000657E0000}"/>
    <cellStyle name="Normal 5 10 2 30 3 4" xfId="32358" xr:uid="{00000000-0005-0000-0000-0000667E0000}"/>
    <cellStyle name="Normal 5 10 2 30 3 5" xfId="32359" xr:uid="{00000000-0005-0000-0000-0000677E0000}"/>
    <cellStyle name="Normal 5 10 2 30 3 6" xfId="32360" xr:uid="{00000000-0005-0000-0000-0000687E0000}"/>
    <cellStyle name="Normal 5 10 2 30 3 7" xfId="32361" xr:uid="{00000000-0005-0000-0000-0000697E0000}"/>
    <cellStyle name="Normal 5 10 2 30 3 8" xfId="32362" xr:uid="{00000000-0005-0000-0000-00006A7E0000}"/>
    <cellStyle name="Normal 5 10 2 30 3 9" xfId="32363" xr:uid="{00000000-0005-0000-0000-00006B7E0000}"/>
    <cellStyle name="Normal 5 10 2 30 4" xfId="32364" xr:uid="{00000000-0005-0000-0000-00006C7E0000}"/>
    <cellStyle name="Normal 5 10 2 30 4 10" xfId="32365" xr:uid="{00000000-0005-0000-0000-00006D7E0000}"/>
    <cellStyle name="Normal 5 10 2 30 4 2" xfId="32366" xr:uid="{00000000-0005-0000-0000-00006E7E0000}"/>
    <cellStyle name="Normal 5 10 2 30 4 3" xfId="32367" xr:uid="{00000000-0005-0000-0000-00006F7E0000}"/>
    <cellStyle name="Normal 5 10 2 30 4 4" xfId="32368" xr:uid="{00000000-0005-0000-0000-0000707E0000}"/>
    <cellStyle name="Normal 5 10 2 30 4 5" xfId="32369" xr:uid="{00000000-0005-0000-0000-0000717E0000}"/>
    <cellStyle name="Normal 5 10 2 30 4 6" xfId="32370" xr:uid="{00000000-0005-0000-0000-0000727E0000}"/>
    <cellStyle name="Normal 5 10 2 30 4 7" xfId="32371" xr:uid="{00000000-0005-0000-0000-0000737E0000}"/>
    <cellStyle name="Normal 5 10 2 30 4 8" xfId="32372" xr:uid="{00000000-0005-0000-0000-0000747E0000}"/>
    <cellStyle name="Normal 5 10 2 30 4 9" xfId="32373" xr:uid="{00000000-0005-0000-0000-0000757E0000}"/>
    <cellStyle name="Normal 5 10 2 30 5" xfId="32374" xr:uid="{00000000-0005-0000-0000-0000767E0000}"/>
    <cellStyle name="Normal 5 10 2 30 5 10" xfId="32375" xr:uid="{00000000-0005-0000-0000-0000777E0000}"/>
    <cellStyle name="Normal 5 10 2 30 5 2" xfId="32376" xr:uid="{00000000-0005-0000-0000-0000787E0000}"/>
    <cellStyle name="Normal 5 10 2 30 5 3" xfId="32377" xr:uid="{00000000-0005-0000-0000-0000797E0000}"/>
    <cellStyle name="Normal 5 10 2 30 5 4" xfId="32378" xr:uid="{00000000-0005-0000-0000-00007A7E0000}"/>
    <cellStyle name="Normal 5 10 2 30 5 5" xfId="32379" xr:uid="{00000000-0005-0000-0000-00007B7E0000}"/>
    <cellStyle name="Normal 5 10 2 30 5 6" xfId="32380" xr:uid="{00000000-0005-0000-0000-00007C7E0000}"/>
    <cellStyle name="Normal 5 10 2 30 5 7" xfId="32381" xr:uid="{00000000-0005-0000-0000-00007D7E0000}"/>
    <cellStyle name="Normal 5 10 2 30 5 8" xfId="32382" xr:uid="{00000000-0005-0000-0000-00007E7E0000}"/>
    <cellStyle name="Normal 5 10 2 30 5 9" xfId="32383" xr:uid="{00000000-0005-0000-0000-00007F7E0000}"/>
    <cellStyle name="Normal 5 10 2 30 6" xfId="32384" xr:uid="{00000000-0005-0000-0000-0000807E0000}"/>
    <cellStyle name="Normal 5 10 2 30 7" xfId="32385" xr:uid="{00000000-0005-0000-0000-0000817E0000}"/>
    <cellStyle name="Normal 5 10 2 30 8" xfId="32386" xr:uid="{00000000-0005-0000-0000-0000827E0000}"/>
    <cellStyle name="Normal 5 10 2 30 9" xfId="32387" xr:uid="{00000000-0005-0000-0000-0000837E0000}"/>
    <cellStyle name="Normal 5 10 2 31" xfId="32388" xr:uid="{00000000-0005-0000-0000-0000847E0000}"/>
    <cellStyle name="Normal 5 10 2 31 10" xfId="32389" xr:uid="{00000000-0005-0000-0000-0000857E0000}"/>
    <cellStyle name="Normal 5 10 2 31 11" xfId="32390" xr:uid="{00000000-0005-0000-0000-0000867E0000}"/>
    <cellStyle name="Normal 5 10 2 31 12" xfId="32391" xr:uid="{00000000-0005-0000-0000-0000877E0000}"/>
    <cellStyle name="Normal 5 10 2 31 13" xfId="32392" xr:uid="{00000000-0005-0000-0000-0000887E0000}"/>
    <cellStyle name="Normal 5 10 2 31 14" xfId="32393" xr:uid="{00000000-0005-0000-0000-0000897E0000}"/>
    <cellStyle name="Normal 5 10 2 31 2" xfId="32394" xr:uid="{00000000-0005-0000-0000-00008A7E0000}"/>
    <cellStyle name="Normal 5 10 2 31 2 10" xfId="32395" xr:uid="{00000000-0005-0000-0000-00008B7E0000}"/>
    <cellStyle name="Normal 5 10 2 31 2 2" xfId="32396" xr:uid="{00000000-0005-0000-0000-00008C7E0000}"/>
    <cellStyle name="Normal 5 10 2 31 2 3" xfId="32397" xr:uid="{00000000-0005-0000-0000-00008D7E0000}"/>
    <cellStyle name="Normal 5 10 2 31 2 4" xfId="32398" xr:uid="{00000000-0005-0000-0000-00008E7E0000}"/>
    <cellStyle name="Normal 5 10 2 31 2 5" xfId="32399" xr:uid="{00000000-0005-0000-0000-00008F7E0000}"/>
    <cellStyle name="Normal 5 10 2 31 2 6" xfId="32400" xr:uid="{00000000-0005-0000-0000-0000907E0000}"/>
    <cellStyle name="Normal 5 10 2 31 2 7" xfId="32401" xr:uid="{00000000-0005-0000-0000-0000917E0000}"/>
    <cellStyle name="Normal 5 10 2 31 2 8" xfId="32402" xr:uid="{00000000-0005-0000-0000-0000927E0000}"/>
    <cellStyle name="Normal 5 10 2 31 2 9" xfId="32403" xr:uid="{00000000-0005-0000-0000-0000937E0000}"/>
    <cellStyle name="Normal 5 10 2 31 3" xfId="32404" xr:uid="{00000000-0005-0000-0000-0000947E0000}"/>
    <cellStyle name="Normal 5 10 2 31 3 10" xfId="32405" xr:uid="{00000000-0005-0000-0000-0000957E0000}"/>
    <cellStyle name="Normal 5 10 2 31 3 2" xfId="32406" xr:uid="{00000000-0005-0000-0000-0000967E0000}"/>
    <cellStyle name="Normal 5 10 2 31 3 3" xfId="32407" xr:uid="{00000000-0005-0000-0000-0000977E0000}"/>
    <cellStyle name="Normal 5 10 2 31 3 4" xfId="32408" xr:uid="{00000000-0005-0000-0000-0000987E0000}"/>
    <cellStyle name="Normal 5 10 2 31 3 5" xfId="32409" xr:uid="{00000000-0005-0000-0000-0000997E0000}"/>
    <cellStyle name="Normal 5 10 2 31 3 6" xfId="32410" xr:uid="{00000000-0005-0000-0000-00009A7E0000}"/>
    <cellStyle name="Normal 5 10 2 31 3 7" xfId="32411" xr:uid="{00000000-0005-0000-0000-00009B7E0000}"/>
    <cellStyle name="Normal 5 10 2 31 3 8" xfId="32412" xr:uid="{00000000-0005-0000-0000-00009C7E0000}"/>
    <cellStyle name="Normal 5 10 2 31 3 9" xfId="32413" xr:uid="{00000000-0005-0000-0000-00009D7E0000}"/>
    <cellStyle name="Normal 5 10 2 31 4" xfId="32414" xr:uid="{00000000-0005-0000-0000-00009E7E0000}"/>
    <cellStyle name="Normal 5 10 2 31 4 10" xfId="32415" xr:uid="{00000000-0005-0000-0000-00009F7E0000}"/>
    <cellStyle name="Normal 5 10 2 31 4 2" xfId="32416" xr:uid="{00000000-0005-0000-0000-0000A07E0000}"/>
    <cellStyle name="Normal 5 10 2 31 4 3" xfId="32417" xr:uid="{00000000-0005-0000-0000-0000A17E0000}"/>
    <cellStyle name="Normal 5 10 2 31 4 4" xfId="32418" xr:uid="{00000000-0005-0000-0000-0000A27E0000}"/>
    <cellStyle name="Normal 5 10 2 31 4 5" xfId="32419" xr:uid="{00000000-0005-0000-0000-0000A37E0000}"/>
    <cellStyle name="Normal 5 10 2 31 4 6" xfId="32420" xr:uid="{00000000-0005-0000-0000-0000A47E0000}"/>
    <cellStyle name="Normal 5 10 2 31 4 7" xfId="32421" xr:uid="{00000000-0005-0000-0000-0000A57E0000}"/>
    <cellStyle name="Normal 5 10 2 31 4 8" xfId="32422" xr:uid="{00000000-0005-0000-0000-0000A67E0000}"/>
    <cellStyle name="Normal 5 10 2 31 4 9" xfId="32423" xr:uid="{00000000-0005-0000-0000-0000A77E0000}"/>
    <cellStyle name="Normal 5 10 2 31 5" xfId="32424" xr:uid="{00000000-0005-0000-0000-0000A87E0000}"/>
    <cellStyle name="Normal 5 10 2 31 5 10" xfId="32425" xr:uid="{00000000-0005-0000-0000-0000A97E0000}"/>
    <cellStyle name="Normal 5 10 2 31 5 2" xfId="32426" xr:uid="{00000000-0005-0000-0000-0000AA7E0000}"/>
    <cellStyle name="Normal 5 10 2 31 5 3" xfId="32427" xr:uid="{00000000-0005-0000-0000-0000AB7E0000}"/>
    <cellStyle name="Normal 5 10 2 31 5 4" xfId="32428" xr:uid="{00000000-0005-0000-0000-0000AC7E0000}"/>
    <cellStyle name="Normal 5 10 2 31 5 5" xfId="32429" xr:uid="{00000000-0005-0000-0000-0000AD7E0000}"/>
    <cellStyle name="Normal 5 10 2 31 5 6" xfId="32430" xr:uid="{00000000-0005-0000-0000-0000AE7E0000}"/>
    <cellStyle name="Normal 5 10 2 31 5 7" xfId="32431" xr:uid="{00000000-0005-0000-0000-0000AF7E0000}"/>
    <cellStyle name="Normal 5 10 2 31 5 8" xfId="32432" xr:uid="{00000000-0005-0000-0000-0000B07E0000}"/>
    <cellStyle name="Normal 5 10 2 31 5 9" xfId="32433" xr:uid="{00000000-0005-0000-0000-0000B17E0000}"/>
    <cellStyle name="Normal 5 10 2 31 6" xfId="32434" xr:uid="{00000000-0005-0000-0000-0000B27E0000}"/>
    <cellStyle name="Normal 5 10 2 31 7" xfId="32435" xr:uid="{00000000-0005-0000-0000-0000B37E0000}"/>
    <cellStyle name="Normal 5 10 2 31 8" xfId="32436" xr:uid="{00000000-0005-0000-0000-0000B47E0000}"/>
    <cellStyle name="Normal 5 10 2 31 9" xfId="32437" xr:uid="{00000000-0005-0000-0000-0000B57E0000}"/>
    <cellStyle name="Normal 5 10 2 32" xfId="32438" xr:uid="{00000000-0005-0000-0000-0000B67E0000}"/>
    <cellStyle name="Normal 5 10 2 32 10" xfId="32439" xr:uid="{00000000-0005-0000-0000-0000B77E0000}"/>
    <cellStyle name="Normal 5 10 2 32 11" xfId="32440" xr:uid="{00000000-0005-0000-0000-0000B87E0000}"/>
    <cellStyle name="Normal 5 10 2 32 12" xfId="32441" xr:uid="{00000000-0005-0000-0000-0000B97E0000}"/>
    <cellStyle name="Normal 5 10 2 32 13" xfId="32442" xr:uid="{00000000-0005-0000-0000-0000BA7E0000}"/>
    <cellStyle name="Normal 5 10 2 32 14" xfId="32443" xr:uid="{00000000-0005-0000-0000-0000BB7E0000}"/>
    <cellStyle name="Normal 5 10 2 32 2" xfId="32444" xr:uid="{00000000-0005-0000-0000-0000BC7E0000}"/>
    <cellStyle name="Normal 5 10 2 32 2 10" xfId="32445" xr:uid="{00000000-0005-0000-0000-0000BD7E0000}"/>
    <cellStyle name="Normal 5 10 2 32 2 2" xfId="32446" xr:uid="{00000000-0005-0000-0000-0000BE7E0000}"/>
    <cellStyle name="Normal 5 10 2 32 2 3" xfId="32447" xr:uid="{00000000-0005-0000-0000-0000BF7E0000}"/>
    <cellStyle name="Normal 5 10 2 32 2 4" xfId="32448" xr:uid="{00000000-0005-0000-0000-0000C07E0000}"/>
    <cellStyle name="Normal 5 10 2 32 2 5" xfId="32449" xr:uid="{00000000-0005-0000-0000-0000C17E0000}"/>
    <cellStyle name="Normal 5 10 2 32 2 6" xfId="32450" xr:uid="{00000000-0005-0000-0000-0000C27E0000}"/>
    <cellStyle name="Normal 5 10 2 32 2 7" xfId="32451" xr:uid="{00000000-0005-0000-0000-0000C37E0000}"/>
    <cellStyle name="Normal 5 10 2 32 2 8" xfId="32452" xr:uid="{00000000-0005-0000-0000-0000C47E0000}"/>
    <cellStyle name="Normal 5 10 2 32 2 9" xfId="32453" xr:uid="{00000000-0005-0000-0000-0000C57E0000}"/>
    <cellStyle name="Normal 5 10 2 32 3" xfId="32454" xr:uid="{00000000-0005-0000-0000-0000C67E0000}"/>
    <cellStyle name="Normal 5 10 2 32 3 10" xfId="32455" xr:uid="{00000000-0005-0000-0000-0000C77E0000}"/>
    <cellStyle name="Normal 5 10 2 32 3 2" xfId="32456" xr:uid="{00000000-0005-0000-0000-0000C87E0000}"/>
    <cellStyle name="Normal 5 10 2 32 3 3" xfId="32457" xr:uid="{00000000-0005-0000-0000-0000C97E0000}"/>
    <cellStyle name="Normal 5 10 2 32 3 4" xfId="32458" xr:uid="{00000000-0005-0000-0000-0000CA7E0000}"/>
    <cellStyle name="Normal 5 10 2 32 3 5" xfId="32459" xr:uid="{00000000-0005-0000-0000-0000CB7E0000}"/>
    <cellStyle name="Normal 5 10 2 32 3 6" xfId="32460" xr:uid="{00000000-0005-0000-0000-0000CC7E0000}"/>
    <cellStyle name="Normal 5 10 2 32 3 7" xfId="32461" xr:uid="{00000000-0005-0000-0000-0000CD7E0000}"/>
    <cellStyle name="Normal 5 10 2 32 3 8" xfId="32462" xr:uid="{00000000-0005-0000-0000-0000CE7E0000}"/>
    <cellStyle name="Normal 5 10 2 32 3 9" xfId="32463" xr:uid="{00000000-0005-0000-0000-0000CF7E0000}"/>
    <cellStyle name="Normal 5 10 2 32 4" xfId="32464" xr:uid="{00000000-0005-0000-0000-0000D07E0000}"/>
    <cellStyle name="Normal 5 10 2 32 4 10" xfId="32465" xr:uid="{00000000-0005-0000-0000-0000D17E0000}"/>
    <cellStyle name="Normal 5 10 2 32 4 2" xfId="32466" xr:uid="{00000000-0005-0000-0000-0000D27E0000}"/>
    <cellStyle name="Normal 5 10 2 32 4 3" xfId="32467" xr:uid="{00000000-0005-0000-0000-0000D37E0000}"/>
    <cellStyle name="Normal 5 10 2 32 4 4" xfId="32468" xr:uid="{00000000-0005-0000-0000-0000D47E0000}"/>
    <cellStyle name="Normal 5 10 2 32 4 5" xfId="32469" xr:uid="{00000000-0005-0000-0000-0000D57E0000}"/>
    <cellStyle name="Normal 5 10 2 32 4 6" xfId="32470" xr:uid="{00000000-0005-0000-0000-0000D67E0000}"/>
    <cellStyle name="Normal 5 10 2 32 4 7" xfId="32471" xr:uid="{00000000-0005-0000-0000-0000D77E0000}"/>
    <cellStyle name="Normal 5 10 2 32 4 8" xfId="32472" xr:uid="{00000000-0005-0000-0000-0000D87E0000}"/>
    <cellStyle name="Normal 5 10 2 32 4 9" xfId="32473" xr:uid="{00000000-0005-0000-0000-0000D97E0000}"/>
    <cellStyle name="Normal 5 10 2 32 5" xfId="32474" xr:uid="{00000000-0005-0000-0000-0000DA7E0000}"/>
    <cellStyle name="Normal 5 10 2 32 5 10" xfId="32475" xr:uid="{00000000-0005-0000-0000-0000DB7E0000}"/>
    <cellStyle name="Normal 5 10 2 32 5 2" xfId="32476" xr:uid="{00000000-0005-0000-0000-0000DC7E0000}"/>
    <cellStyle name="Normal 5 10 2 32 5 3" xfId="32477" xr:uid="{00000000-0005-0000-0000-0000DD7E0000}"/>
    <cellStyle name="Normal 5 10 2 32 5 4" xfId="32478" xr:uid="{00000000-0005-0000-0000-0000DE7E0000}"/>
    <cellStyle name="Normal 5 10 2 32 5 5" xfId="32479" xr:uid="{00000000-0005-0000-0000-0000DF7E0000}"/>
    <cellStyle name="Normal 5 10 2 32 5 6" xfId="32480" xr:uid="{00000000-0005-0000-0000-0000E07E0000}"/>
    <cellStyle name="Normal 5 10 2 32 5 7" xfId="32481" xr:uid="{00000000-0005-0000-0000-0000E17E0000}"/>
    <cellStyle name="Normal 5 10 2 32 5 8" xfId="32482" xr:uid="{00000000-0005-0000-0000-0000E27E0000}"/>
    <cellStyle name="Normal 5 10 2 32 5 9" xfId="32483" xr:uid="{00000000-0005-0000-0000-0000E37E0000}"/>
    <cellStyle name="Normal 5 10 2 32 6" xfId="32484" xr:uid="{00000000-0005-0000-0000-0000E47E0000}"/>
    <cellStyle name="Normal 5 10 2 32 7" xfId="32485" xr:uid="{00000000-0005-0000-0000-0000E57E0000}"/>
    <cellStyle name="Normal 5 10 2 32 8" xfId="32486" xr:uid="{00000000-0005-0000-0000-0000E67E0000}"/>
    <cellStyle name="Normal 5 10 2 32 9" xfId="32487" xr:uid="{00000000-0005-0000-0000-0000E77E0000}"/>
    <cellStyle name="Normal 5 10 2 33" xfId="32488" xr:uid="{00000000-0005-0000-0000-0000E87E0000}"/>
    <cellStyle name="Normal 5 10 2 33 10" xfId="32489" xr:uid="{00000000-0005-0000-0000-0000E97E0000}"/>
    <cellStyle name="Normal 5 10 2 33 11" xfId="32490" xr:uid="{00000000-0005-0000-0000-0000EA7E0000}"/>
    <cellStyle name="Normal 5 10 2 33 12" xfId="32491" xr:uid="{00000000-0005-0000-0000-0000EB7E0000}"/>
    <cellStyle name="Normal 5 10 2 33 13" xfId="32492" xr:uid="{00000000-0005-0000-0000-0000EC7E0000}"/>
    <cellStyle name="Normal 5 10 2 33 14" xfId="32493" xr:uid="{00000000-0005-0000-0000-0000ED7E0000}"/>
    <cellStyle name="Normal 5 10 2 33 2" xfId="32494" xr:uid="{00000000-0005-0000-0000-0000EE7E0000}"/>
    <cellStyle name="Normal 5 10 2 33 2 10" xfId="32495" xr:uid="{00000000-0005-0000-0000-0000EF7E0000}"/>
    <cellStyle name="Normal 5 10 2 33 2 2" xfId="32496" xr:uid="{00000000-0005-0000-0000-0000F07E0000}"/>
    <cellStyle name="Normal 5 10 2 33 2 3" xfId="32497" xr:uid="{00000000-0005-0000-0000-0000F17E0000}"/>
    <cellStyle name="Normal 5 10 2 33 2 4" xfId="32498" xr:uid="{00000000-0005-0000-0000-0000F27E0000}"/>
    <cellStyle name="Normal 5 10 2 33 2 5" xfId="32499" xr:uid="{00000000-0005-0000-0000-0000F37E0000}"/>
    <cellStyle name="Normal 5 10 2 33 2 6" xfId="32500" xr:uid="{00000000-0005-0000-0000-0000F47E0000}"/>
    <cellStyle name="Normal 5 10 2 33 2 7" xfId="32501" xr:uid="{00000000-0005-0000-0000-0000F57E0000}"/>
    <cellStyle name="Normal 5 10 2 33 2 8" xfId="32502" xr:uid="{00000000-0005-0000-0000-0000F67E0000}"/>
    <cellStyle name="Normal 5 10 2 33 2 9" xfId="32503" xr:uid="{00000000-0005-0000-0000-0000F77E0000}"/>
    <cellStyle name="Normal 5 10 2 33 3" xfId="32504" xr:uid="{00000000-0005-0000-0000-0000F87E0000}"/>
    <cellStyle name="Normal 5 10 2 33 3 10" xfId="32505" xr:uid="{00000000-0005-0000-0000-0000F97E0000}"/>
    <cellStyle name="Normal 5 10 2 33 3 2" xfId="32506" xr:uid="{00000000-0005-0000-0000-0000FA7E0000}"/>
    <cellStyle name="Normal 5 10 2 33 3 3" xfId="32507" xr:uid="{00000000-0005-0000-0000-0000FB7E0000}"/>
    <cellStyle name="Normal 5 10 2 33 3 4" xfId="32508" xr:uid="{00000000-0005-0000-0000-0000FC7E0000}"/>
    <cellStyle name="Normal 5 10 2 33 3 5" xfId="32509" xr:uid="{00000000-0005-0000-0000-0000FD7E0000}"/>
    <cellStyle name="Normal 5 10 2 33 3 6" xfId="32510" xr:uid="{00000000-0005-0000-0000-0000FE7E0000}"/>
    <cellStyle name="Normal 5 10 2 33 3 7" xfId="32511" xr:uid="{00000000-0005-0000-0000-0000FF7E0000}"/>
    <cellStyle name="Normal 5 10 2 33 3 8" xfId="32512" xr:uid="{00000000-0005-0000-0000-0000007F0000}"/>
    <cellStyle name="Normal 5 10 2 33 3 9" xfId="32513" xr:uid="{00000000-0005-0000-0000-0000017F0000}"/>
    <cellStyle name="Normal 5 10 2 33 4" xfId="32514" xr:uid="{00000000-0005-0000-0000-0000027F0000}"/>
    <cellStyle name="Normal 5 10 2 33 4 10" xfId="32515" xr:uid="{00000000-0005-0000-0000-0000037F0000}"/>
    <cellStyle name="Normal 5 10 2 33 4 2" xfId="32516" xr:uid="{00000000-0005-0000-0000-0000047F0000}"/>
    <cellStyle name="Normal 5 10 2 33 4 3" xfId="32517" xr:uid="{00000000-0005-0000-0000-0000057F0000}"/>
    <cellStyle name="Normal 5 10 2 33 4 4" xfId="32518" xr:uid="{00000000-0005-0000-0000-0000067F0000}"/>
    <cellStyle name="Normal 5 10 2 33 4 5" xfId="32519" xr:uid="{00000000-0005-0000-0000-0000077F0000}"/>
    <cellStyle name="Normal 5 10 2 33 4 6" xfId="32520" xr:uid="{00000000-0005-0000-0000-0000087F0000}"/>
    <cellStyle name="Normal 5 10 2 33 4 7" xfId="32521" xr:uid="{00000000-0005-0000-0000-0000097F0000}"/>
    <cellStyle name="Normal 5 10 2 33 4 8" xfId="32522" xr:uid="{00000000-0005-0000-0000-00000A7F0000}"/>
    <cellStyle name="Normal 5 10 2 33 4 9" xfId="32523" xr:uid="{00000000-0005-0000-0000-00000B7F0000}"/>
    <cellStyle name="Normal 5 10 2 33 5" xfId="32524" xr:uid="{00000000-0005-0000-0000-00000C7F0000}"/>
    <cellStyle name="Normal 5 10 2 33 5 10" xfId="32525" xr:uid="{00000000-0005-0000-0000-00000D7F0000}"/>
    <cellStyle name="Normal 5 10 2 33 5 2" xfId="32526" xr:uid="{00000000-0005-0000-0000-00000E7F0000}"/>
    <cellStyle name="Normal 5 10 2 33 5 3" xfId="32527" xr:uid="{00000000-0005-0000-0000-00000F7F0000}"/>
    <cellStyle name="Normal 5 10 2 33 5 4" xfId="32528" xr:uid="{00000000-0005-0000-0000-0000107F0000}"/>
    <cellStyle name="Normal 5 10 2 33 5 5" xfId="32529" xr:uid="{00000000-0005-0000-0000-0000117F0000}"/>
    <cellStyle name="Normal 5 10 2 33 5 6" xfId="32530" xr:uid="{00000000-0005-0000-0000-0000127F0000}"/>
    <cellStyle name="Normal 5 10 2 33 5 7" xfId="32531" xr:uid="{00000000-0005-0000-0000-0000137F0000}"/>
    <cellStyle name="Normal 5 10 2 33 5 8" xfId="32532" xr:uid="{00000000-0005-0000-0000-0000147F0000}"/>
    <cellStyle name="Normal 5 10 2 33 5 9" xfId="32533" xr:uid="{00000000-0005-0000-0000-0000157F0000}"/>
    <cellStyle name="Normal 5 10 2 33 6" xfId="32534" xr:uid="{00000000-0005-0000-0000-0000167F0000}"/>
    <cellStyle name="Normal 5 10 2 33 7" xfId="32535" xr:uid="{00000000-0005-0000-0000-0000177F0000}"/>
    <cellStyle name="Normal 5 10 2 33 8" xfId="32536" xr:uid="{00000000-0005-0000-0000-0000187F0000}"/>
    <cellStyle name="Normal 5 10 2 33 9" xfId="32537" xr:uid="{00000000-0005-0000-0000-0000197F0000}"/>
    <cellStyle name="Normal 5 10 2 34" xfId="32538" xr:uid="{00000000-0005-0000-0000-00001A7F0000}"/>
    <cellStyle name="Normal 5 10 2 34 10" xfId="32539" xr:uid="{00000000-0005-0000-0000-00001B7F0000}"/>
    <cellStyle name="Normal 5 10 2 34 2" xfId="32540" xr:uid="{00000000-0005-0000-0000-00001C7F0000}"/>
    <cellStyle name="Normal 5 10 2 34 3" xfId="32541" xr:uid="{00000000-0005-0000-0000-00001D7F0000}"/>
    <cellStyle name="Normal 5 10 2 34 4" xfId="32542" xr:uid="{00000000-0005-0000-0000-00001E7F0000}"/>
    <cellStyle name="Normal 5 10 2 34 5" xfId="32543" xr:uid="{00000000-0005-0000-0000-00001F7F0000}"/>
    <cellStyle name="Normal 5 10 2 34 6" xfId="32544" xr:uid="{00000000-0005-0000-0000-0000207F0000}"/>
    <cellStyle name="Normal 5 10 2 34 7" xfId="32545" xr:uid="{00000000-0005-0000-0000-0000217F0000}"/>
    <cellStyle name="Normal 5 10 2 34 8" xfId="32546" xr:uid="{00000000-0005-0000-0000-0000227F0000}"/>
    <cellStyle name="Normal 5 10 2 34 9" xfId="32547" xr:uid="{00000000-0005-0000-0000-0000237F0000}"/>
    <cellStyle name="Normal 5 10 2 35" xfId="32548" xr:uid="{00000000-0005-0000-0000-0000247F0000}"/>
    <cellStyle name="Normal 5 10 2 35 10" xfId="32549" xr:uid="{00000000-0005-0000-0000-0000257F0000}"/>
    <cellStyle name="Normal 5 10 2 35 2" xfId="32550" xr:uid="{00000000-0005-0000-0000-0000267F0000}"/>
    <cellStyle name="Normal 5 10 2 35 3" xfId="32551" xr:uid="{00000000-0005-0000-0000-0000277F0000}"/>
    <cellStyle name="Normal 5 10 2 35 4" xfId="32552" xr:uid="{00000000-0005-0000-0000-0000287F0000}"/>
    <cellStyle name="Normal 5 10 2 35 5" xfId="32553" xr:uid="{00000000-0005-0000-0000-0000297F0000}"/>
    <cellStyle name="Normal 5 10 2 35 6" xfId="32554" xr:uid="{00000000-0005-0000-0000-00002A7F0000}"/>
    <cellStyle name="Normal 5 10 2 35 7" xfId="32555" xr:uid="{00000000-0005-0000-0000-00002B7F0000}"/>
    <cellStyle name="Normal 5 10 2 35 8" xfId="32556" xr:uid="{00000000-0005-0000-0000-00002C7F0000}"/>
    <cellStyle name="Normal 5 10 2 35 9" xfId="32557" xr:uid="{00000000-0005-0000-0000-00002D7F0000}"/>
    <cellStyle name="Normal 5 10 2 36" xfId="32558" xr:uid="{00000000-0005-0000-0000-00002E7F0000}"/>
    <cellStyle name="Normal 5 10 2 36 10" xfId="32559" xr:uid="{00000000-0005-0000-0000-00002F7F0000}"/>
    <cellStyle name="Normal 5 10 2 36 2" xfId="32560" xr:uid="{00000000-0005-0000-0000-0000307F0000}"/>
    <cellStyle name="Normal 5 10 2 36 3" xfId="32561" xr:uid="{00000000-0005-0000-0000-0000317F0000}"/>
    <cellStyle name="Normal 5 10 2 36 4" xfId="32562" xr:uid="{00000000-0005-0000-0000-0000327F0000}"/>
    <cellStyle name="Normal 5 10 2 36 5" xfId="32563" xr:uid="{00000000-0005-0000-0000-0000337F0000}"/>
    <cellStyle name="Normal 5 10 2 36 6" xfId="32564" xr:uid="{00000000-0005-0000-0000-0000347F0000}"/>
    <cellStyle name="Normal 5 10 2 36 7" xfId="32565" xr:uid="{00000000-0005-0000-0000-0000357F0000}"/>
    <cellStyle name="Normal 5 10 2 36 8" xfId="32566" xr:uid="{00000000-0005-0000-0000-0000367F0000}"/>
    <cellStyle name="Normal 5 10 2 36 9" xfId="32567" xr:uid="{00000000-0005-0000-0000-0000377F0000}"/>
    <cellStyle name="Normal 5 10 2 37" xfId="32568" xr:uid="{00000000-0005-0000-0000-0000387F0000}"/>
    <cellStyle name="Normal 5 10 2 37 10" xfId="32569" xr:uid="{00000000-0005-0000-0000-0000397F0000}"/>
    <cellStyle name="Normal 5 10 2 37 2" xfId="32570" xr:uid="{00000000-0005-0000-0000-00003A7F0000}"/>
    <cellStyle name="Normal 5 10 2 37 3" xfId="32571" xr:uid="{00000000-0005-0000-0000-00003B7F0000}"/>
    <cellStyle name="Normal 5 10 2 37 4" xfId="32572" xr:uid="{00000000-0005-0000-0000-00003C7F0000}"/>
    <cellStyle name="Normal 5 10 2 37 5" xfId="32573" xr:uid="{00000000-0005-0000-0000-00003D7F0000}"/>
    <cellStyle name="Normal 5 10 2 37 6" xfId="32574" xr:uid="{00000000-0005-0000-0000-00003E7F0000}"/>
    <cellStyle name="Normal 5 10 2 37 7" xfId="32575" xr:uid="{00000000-0005-0000-0000-00003F7F0000}"/>
    <cellStyle name="Normal 5 10 2 37 8" xfId="32576" xr:uid="{00000000-0005-0000-0000-0000407F0000}"/>
    <cellStyle name="Normal 5 10 2 37 9" xfId="32577" xr:uid="{00000000-0005-0000-0000-0000417F0000}"/>
    <cellStyle name="Normal 5 10 2 38" xfId="32578" xr:uid="{00000000-0005-0000-0000-0000427F0000}"/>
    <cellStyle name="Normal 5 10 2 39" xfId="32579" xr:uid="{00000000-0005-0000-0000-0000437F0000}"/>
    <cellStyle name="Normal 5 10 2 4" xfId="32580" xr:uid="{00000000-0005-0000-0000-0000447F0000}"/>
    <cellStyle name="Normal 5 10 2 4 10" xfId="32581" xr:uid="{00000000-0005-0000-0000-0000457F0000}"/>
    <cellStyle name="Normal 5 10 2 4 11" xfId="32582" xr:uid="{00000000-0005-0000-0000-0000467F0000}"/>
    <cellStyle name="Normal 5 10 2 4 12" xfId="32583" xr:uid="{00000000-0005-0000-0000-0000477F0000}"/>
    <cellStyle name="Normal 5 10 2 4 13" xfId="32584" xr:uid="{00000000-0005-0000-0000-0000487F0000}"/>
    <cellStyle name="Normal 5 10 2 4 14" xfId="32585" xr:uid="{00000000-0005-0000-0000-0000497F0000}"/>
    <cellStyle name="Normal 5 10 2 4 2" xfId="32586" xr:uid="{00000000-0005-0000-0000-00004A7F0000}"/>
    <cellStyle name="Normal 5 10 2 4 2 10" xfId="32587" xr:uid="{00000000-0005-0000-0000-00004B7F0000}"/>
    <cellStyle name="Normal 5 10 2 4 2 2" xfId="32588" xr:uid="{00000000-0005-0000-0000-00004C7F0000}"/>
    <cellStyle name="Normal 5 10 2 4 2 3" xfId="32589" xr:uid="{00000000-0005-0000-0000-00004D7F0000}"/>
    <cellStyle name="Normal 5 10 2 4 2 4" xfId="32590" xr:uid="{00000000-0005-0000-0000-00004E7F0000}"/>
    <cellStyle name="Normal 5 10 2 4 2 5" xfId="32591" xr:uid="{00000000-0005-0000-0000-00004F7F0000}"/>
    <cellStyle name="Normal 5 10 2 4 2 6" xfId="32592" xr:uid="{00000000-0005-0000-0000-0000507F0000}"/>
    <cellStyle name="Normal 5 10 2 4 2 7" xfId="32593" xr:uid="{00000000-0005-0000-0000-0000517F0000}"/>
    <cellStyle name="Normal 5 10 2 4 2 8" xfId="32594" xr:uid="{00000000-0005-0000-0000-0000527F0000}"/>
    <cellStyle name="Normal 5 10 2 4 2 9" xfId="32595" xr:uid="{00000000-0005-0000-0000-0000537F0000}"/>
    <cellStyle name="Normal 5 10 2 4 3" xfId="32596" xr:uid="{00000000-0005-0000-0000-0000547F0000}"/>
    <cellStyle name="Normal 5 10 2 4 3 10" xfId="32597" xr:uid="{00000000-0005-0000-0000-0000557F0000}"/>
    <cellStyle name="Normal 5 10 2 4 3 2" xfId="32598" xr:uid="{00000000-0005-0000-0000-0000567F0000}"/>
    <cellStyle name="Normal 5 10 2 4 3 3" xfId="32599" xr:uid="{00000000-0005-0000-0000-0000577F0000}"/>
    <cellStyle name="Normal 5 10 2 4 3 4" xfId="32600" xr:uid="{00000000-0005-0000-0000-0000587F0000}"/>
    <cellStyle name="Normal 5 10 2 4 3 5" xfId="32601" xr:uid="{00000000-0005-0000-0000-0000597F0000}"/>
    <cellStyle name="Normal 5 10 2 4 3 6" xfId="32602" xr:uid="{00000000-0005-0000-0000-00005A7F0000}"/>
    <cellStyle name="Normal 5 10 2 4 3 7" xfId="32603" xr:uid="{00000000-0005-0000-0000-00005B7F0000}"/>
    <cellStyle name="Normal 5 10 2 4 3 8" xfId="32604" xr:uid="{00000000-0005-0000-0000-00005C7F0000}"/>
    <cellStyle name="Normal 5 10 2 4 3 9" xfId="32605" xr:uid="{00000000-0005-0000-0000-00005D7F0000}"/>
    <cellStyle name="Normal 5 10 2 4 4" xfId="32606" xr:uid="{00000000-0005-0000-0000-00005E7F0000}"/>
    <cellStyle name="Normal 5 10 2 4 4 10" xfId="32607" xr:uid="{00000000-0005-0000-0000-00005F7F0000}"/>
    <cellStyle name="Normal 5 10 2 4 4 2" xfId="32608" xr:uid="{00000000-0005-0000-0000-0000607F0000}"/>
    <cellStyle name="Normal 5 10 2 4 4 3" xfId="32609" xr:uid="{00000000-0005-0000-0000-0000617F0000}"/>
    <cellStyle name="Normal 5 10 2 4 4 4" xfId="32610" xr:uid="{00000000-0005-0000-0000-0000627F0000}"/>
    <cellStyle name="Normal 5 10 2 4 4 5" xfId="32611" xr:uid="{00000000-0005-0000-0000-0000637F0000}"/>
    <cellStyle name="Normal 5 10 2 4 4 6" xfId="32612" xr:uid="{00000000-0005-0000-0000-0000647F0000}"/>
    <cellStyle name="Normal 5 10 2 4 4 7" xfId="32613" xr:uid="{00000000-0005-0000-0000-0000657F0000}"/>
    <cellStyle name="Normal 5 10 2 4 4 8" xfId="32614" xr:uid="{00000000-0005-0000-0000-0000667F0000}"/>
    <cellStyle name="Normal 5 10 2 4 4 9" xfId="32615" xr:uid="{00000000-0005-0000-0000-0000677F0000}"/>
    <cellStyle name="Normal 5 10 2 4 5" xfId="32616" xr:uid="{00000000-0005-0000-0000-0000687F0000}"/>
    <cellStyle name="Normal 5 10 2 4 5 10" xfId="32617" xr:uid="{00000000-0005-0000-0000-0000697F0000}"/>
    <cellStyle name="Normal 5 10 2 4 5 2" xfId="32618" xr:uid="{00000000-0005-0000-0000-00006A7F0000}"/>
    <cellStyle name="Normal 5 10 2 4 5 3" xfId="32619" xr:uid="{00000000-0005-0000-0000-00006B7F0000}"/>
    <cellStyle name="Normal 5 10 2 4 5 4" xfId="32620" xr:uid="{00000000-0005-0000-0000-00006C7F0000}"/>
    <cellStyle name="Normal 5 10 2 4 5 5" xfId="32621" xr:uid="{00000000-0005-0000-0000-00006D7F0000}"/>
    <cellStyle name="Normal 5 10 2 4 5 6" xfId="32622" xr:uid="{00000000-0005-0000-0000-00006E7F0000}"/>
    <cellStyle name="Normal 5 10 2 4 5 7" xfId="32623" xr:uid="{00000000-0005-0000-0000-00006F7F0000}"/>
    <cellStyle name="Normal 5 10 2 4 5 8" xfId="32624" xr:uid="{00000000-0005-0000-0000-0000707F0000}"/>
    <cellStyle name="Normal 5 10 2 4 5 9" xfId="32625" xr:uid="{00000000-0005-0000-0000-0000717F0000}"/>
    <cellStyle name="Normal 5 10 2 4 6" xfId="32626" xr:uid="{00000000-0005-0000-0000-0000727F0000}"/>
    <cellStyle name="Normal 5 10 2 4 7" xfId="32627" xr:uid="{00000000-0005-0000-0000-0000737F0000}"/>
    <cellStyle name="Normal 5 10 2 4 8" xfId="32628" xr:uid="{00000000-0005-0000-0000-0000747F0000}"/>
    <cellStyle name="Normal 5 10 2 4 9" xfId="32629" xr:uid="{00000000-0005-0000-0000-0000757F0000}"/>
    <cellStyle name="Normal 5 10 2 40" xfId="32630" xr:uid="{00000000-0005-0000-0000-0000767F0000}"/>
    <cellStyle name="Normal 5 10 2 41" xfId="32631" xr:uid="{00000000-0005-0000-0000-0000777F0000}"/>
    <cellStyle name="Normal 5 10 2 42" xfId="32632" xr:uid="{00000000-0005-0000-0000-0000787F0000}"/>
    <cellStyle name="Normal 5 10 2 43" xfId="32633" xr:uid="{00000000-0005-0000-0000-0000797F0000}"/>
    <cellStyle name="Normal 5 10 2 44" xfId="32634" xr:uid="{00000000-0005-0000-0000-00007A7F0000}"/>
    <cellStyle name="Normal 5 10 2 45" xfId="32635" xr:uid="{00000000-0005-0000-0000-00007B7F0000}"/>
    <cellStyle name="Normal 5 10 2 46" xfId="32636" xr:uid="{00000000-0005-0000-0000-00007C7F0000}"/>
    <cellStyle name="Normal 5 10 2 47" xfId="32637" xr:uid="{00000000-0005-0000-0000-00007D7F0000}"/>
    <cellStyle name="Normal 5 10 2 48" xfId="32638" xr:uid="{00000000-0005-0000-0000-00007E7F0000}"/>
    <cellStyle name="Normal 5 10 2 5" xfId="32639" xr:uid="{00000000-0005-0000-0000-00007F7F0000}"/>
    <cellStyle name="Normal 5 10 2 5 10" xfId="32640" xr:uid="{00000000-0005-0000-0000-0000807F0000}"/>
    <cellStyle name="Normal 5 10 2 5 11" xfId="32641" xr:uid="{00000000-0005-0000-0000-0000817F0000}"/>
    <cellStyle name="Normal 5 10 2 5 12" xfId="32642" xr:uid="{00000000-0005-0000-0000-0000827F0000}"/>
    <cellStyle name="Normal 5 10 2 5 13" xfId="32643" xr:uid="{00000000-0005-0000-0000-0000837F0000}"/>
    <cellStyle name="Normal 5 10 2 5 14" xfId="32644" xr:uid="{00000000-0005-0000-0000-0000847F0000}"/>
    <cellStyle name="Normal 5 10 2 5 2" xfId="32645" xr:uid="{00000000-0005-0000-0000-0000857F0000}"/>
    <cellStyle name="Normal 5 10 2 5 2 10" xfId="32646" xr:uid="{00000000-0005-0000-0000-0000867F0000}"/>
    <cellStyle name="Normal 5 10 2 5 2 2" xfId="32647" xr:uid="{00000000-0005-0000-0000-0000877F0000}"/>
    <cellStyle name="Normal 5 10 2 5 2 3" xfId="32648" xr:uid="{00000000-0005-0000-0000-0000887F0000}"/>
    <cellStyle name="Normal 5 10 2 5 2 4" xfId="32649" xr:uid="{00000000-0005-0000-0000-0000897F0000}"/>
    <cellStyle name="Normal 5 10 2 5 2 5" xfId="32650" xr:uid="{00000000-0005-0000-0000-00008A7F0000}"/>
    <cellStyle name="Normal 5 10 2 5 2 6" xfId="32651" xr:uid="{00000000-0005-0000-0000-00008B7F0000}"/>
    <cellStyle name="Normal 5 10 2 5 2 7" xfId="32652" xr:uid="{00000000-0005-0000-0000-00008C7F0000}"/>
    <cellStyle name="Normal 5 10 2 5 2 8" xfId="32653" xr:uid="{00000000-0005-0000-0000-00008D7F0000}"/>
    <cellStyle name="Normal 5 10 2 5 2 9" xfId="32654" xr:uid="{00000000-0005-0000-0000-00008E7F0000}"/>
    <cellStyle name="Normal 5 10 2 5 3" xfId="32655" xr:uid="{00000000-0005-0000-0000-00008F7F0000}"/>
    <cellStyle name="Normal 5 10 2 5 3 10" xfId="32656" xr:uid="{00000000-0005-0000-0000-0000907F0000}"/>
    <cellStyle name="Normal 5 10 2 5 3 2" xfId="32657" xr:uid="{00000000-0005-0000-0000-0000917F0000}"/>
    <cellStyle name="Normal 5 10 2 5 3 3" xfId="32658" xr:uid="{00000000-0005-0000-0000-0000927F0000}"/>
    <cellStyle name="Normal 5 10 2 5 3 4" xfId="32659" xr:uid="{00000000-0005-0000-0000-0000937F0000}"/>
    <cellStyle name="Normal 5 10 2 5 3 5" xfId="32660" xr:uid="{00000000-0005-0000-0000-0000947F0000}"/>
    <cellStyle name="Normal 5 10 2 5 3 6" xfId="32661" xr:uid="{00000000-0005-0000-0000-0000957F0000}"/>
    <cellStyle name="Normal 5 10 2 5 3 7" xfId="32662" xr:uid="{00000000-0005-0000-0000-0000967F0000}"/>
    <cellStyle name="Normal 5 10 2 5 3 8" xfId="32663" xr:uid="{00000000-0005-0000-0000-0000977F0000}"/>
    <cellStyle name="Normal 5 10 2 5 3 9" xfId="32664" xr:uid="{00000000-0005-0000-0000-0000987F0000}"/>
    <cellStyle name="Normal 5 10 2 5 4" xfId="32665" xr:uid="{00000000-0005-0000-0000-0000997F0000}"/>
    <cellStyle name="Normal 5 10 2 5 4 10" xfId="32666" xr:uid="{00000000-0005-0000-0000-00009A7F0000}"/>
    <cellStyle name="Normal 5 10 2 5 4 2" xfId="32667" xr:uid="{00000000-0005-0000-0000-00009B7F0000}"/>
    <cellStyle name="Normal 5 10 2 5 4 3" xfId="32668" xr:uid="{00000000-0005-0000-0000-00009C7F0000}"/>
    <cellStyle name="Normal 5 10 2 5 4 4" xfId="32669" xr:uid="{00000000-0005-0000-0000-00009D7F0000}"/>
    <cellStyle name="Normal 5 10 2 5 4 5" xfId="32670" xr:uid="{00000000-0005-0000-0000-00009E7F0000}"/>
    <cellStyle name="Normal 5 10 2 5 4 6" xfId="32671" xr:uid="{00000000-0005-0000-0000-00009F7F0000}"/>
    <cellStyle name="Normal 5 10 2 5 4 7" xfId="32672" xr:uid="{00000000-0005-0000-0000-0000A07F0000}"/>
    <cellStyle name="Normal 5 10 2 5 4 8" xfId="32673" xr:uid="{00000000-0005-0000-0000-0000A17F0000}"/>
    <cellStyle name="Normal 5 10 2 5 4 9" xfId="32674" xr:uid="{00000000-0005-0000-0000-0000A27F0000}"/>
    <cellStyle name="Normal 5 10 2 5 5" xfId="32675" xr:uid="{00000000-0005-0000-0000-0000A37F0000}"/>
    <cellStyle name="Normal 5 10 2 5 5 10" xfId="32676" xr:uid="{00000000-0005-0000-0000-0000A47F0000}"/>
    <cellStyle name="Normal 5 10 2 5 5 2" xfId="32677" xr:uid="{00000000-0005-0000-0000-0000A57F0000}"/>
    <cellStyle name="Normal 5 10 2 5 5 3" xfId="32678" xr:uid="{00000000-0005-0000-0000-0000A67F0000}"/>
    <cellStyle name="Normal 5 10 2 5 5 4" xfId="32679" xr:uid="{00000000-0005-0000-0000-0000A77F0000}"/>
    <cellStyle name="Normal 5 10 2 5 5 5" xfId="32680" xr:uid="{00000000-0005-0000-0000-0000A87F0000}"/>
    <cellStyle name="Normal 5 10 2 5 5 6" xfId="32681" xr:uid="{00000000-0005-0000-0000-0000A97F0000}"/>
    <cellStyle name="Normal 5 10 2 5 5 7" xfId="32682" xr:uid="{00000000-0005-0000-0000-0000AA7F0000}"/>
    <cellStyle name="Normal 5 10 2 5 5 8" xfId="32683" xr:uid="{00000000-0005-0000-0000-0000AB7F0000}"/>
    <cellStyle name="Normal 5 10 2 5 5 9" xfId="32684" xr:uid="{00000000-0005-0000-0000-0000AC7F0000}"/>
    <cellStyle name="Normal 5 10 2 5 6" xfId="32685" xr:uid="{00000000-0005-0000-0000-0000AD7F0000}"/>
    <cellStyle name="Normal 5 10 2 5 7" xfId="32686" xr:uid="{00000000-0005-0000-0000-0000AE7F0000}"/>
    <cellStyle name="Normal 5 10 2 5 8" xfId="32687" xr:uid="{00000000-0005-0000-0000-0000AF7F0000}"/>
    <cellStyle name="Normal 5 10 2 5 9" xfId="32688" xr:uid="{00000000-0005-0000-0000-0000B07F0000}"/>
    <cellStyle name="Normal 5 10 2 6" xfId="32689" xr:uid="{00000000-0005-0000-0000-0000B17F0000}"/>
    <cellStyle name="Normal 5 10 2 6 10" xfId="32690" xr:uid="{00000000-0005-0000-0000-0000B27F0000}"/>
    <cellStyle name="Normal 5 10 2 6 11" xfId="32691" xr:uid="{00000000-0005-0000-0000-0000B37F0000}"/>
    <cellStyle name="Normal 5 10 2 6 12" xfId="32692" xr:uid="{00000000-0005-0000-0000-0000B47F0000}"/>
    <cellStyle name="Normal 5 10 2 6 13" xfId="32693" xr:uid="{00000000-0005-0000-0000-0000B57F0000}"/>
    <cellStyle name="Normal 5 10 2 6 14" xfId="32694" xr:uid="{00000000-0005-0000-0000-0000B67F0000}"/>
    <cellStyle name="Normal 5 10 2 6 2" xfId="32695" xr:uid="{00000000-0005-0000-0000-0000B77F0000}"/>
    <cellStyle name="Normal 5 10 2 6 2 10" xfId="32696" xr:uid="{00000000-0005-0000-0000-0000B87F0000}"/>
    <cellStyle name="Normal 5 10 2 6 2 2" xfId="32697" xr:uid="{00000000-0005-0000-0000-0000B97F0000}"/>
    <cellStyle name="Normal 5 10 2 6 2 3" xfId="32698" xr:uid="{00000000-0005-0000-0000-0000BA7F0000}"/>
    <cellStyle name="Normal 5 10 2 6 2 4" xfId="32699" xr:uid="{00000000-0005-0000-0000-0000BB7F0000}"/>
    <cellStyle name="Normal 5 10 2 6 2 5" xfId="32700" xr:uid="{00000000-0005-0000-0000-0000BC7F0000}"/>
    <cellStyle name="Normal 5 10 2 6 2 6" xfId="32701" xr:uid="{00000000-0005-0000-0000-0000BD7F0000}"/>
    <cellStyle name="Normal 5 10 2 6 2 7" xfId="32702" xr:uid="{00000000-0005-0000-0000-0000BE7F0000}"/>
    <cellStyle name="Normal 5 10 2 6 2 8" xfId="32703" xr:uid="{00000000-0005-0000-0000-0000BF7F0000}"/>
    <cellStyle name="Normal 5 10 2 6 2 9" xfId="32704" xr:uid="{00000000-0005-0000-0000-0000C07F0000}"/>
    <cellStyle name="Normal 5 10 2 6 3" xfId="32705" xr:uid="{00000000-0005-0000-0000-0000C17F0000}"/>
    <cellStyle name="Normal 5 10 2 6 3 10" xfId="32706" xr:uid="{00000000-0005-0000-0000-0000C27F0000}"/>
    <cellStyle name="Normal 5 10 2 6 3 2" xfId="32707" xr:uid="{00000000-0005-0000-0000-0000C37F0000}"/>
    <cellStyle name="Normal 5 10 2 6 3 3" xfId="32708" xr:uid="{00000000-0005-0000-0000-0000C47F0000}"/>
    <cellStyle name="Normal 5 10 2 6 3 4" xfId="32709" xr:uid="{00000000-0005-0000-0000-0000C57F0000}"/>
    <cellStyle name="Normal 5 10 2 6 3 5" xfId="32710" xr:uid="{00000000-0005-0000-0000-0000C67F0000}"/>
    <cellStyle name="Normal 5 10 2 6 3 6" xfId="32711" xr:uid="{00000000-0005-0000-0000-0000C77F0000}"/>
    <cellStyle name="Normal 5 10 2 6 3 7" xfId="32712" xr:uid="{00000000-0005-0000-0000-0000C87F0000}"/>
    <cellStyle name="Normal 5 10 2 6 3 8" xfId="32713" xr:uid="{00000000-0005-0000-0000-0000C97F0000}"/>
    <cellStyle name="Normal 5 10 2 6 3 9" xfId="32714" xr:uid="{00000000-0005-0000-0000-0000CA7F0000}"/>
    <cellStyle name="Normal 5 10 2 6 4" xfId="32715" xr:uid="{00000000-0005-0000-0000-0000CB7F0000}"/>
    <cellStyle name="Normal 5 10 2 6 4 10" xfId="32716" xr:uid="{00000000-0005-0000-0000-0000CC7F0000}"/>
    <cellStyle name="Normal 5 10 2 6 4 2" xfId="32717" xr:uid="{00000000-0005-0000-0000-0000CD7F0000}"/>
    <cellStyle name="Normal 5 10 2 6 4 3" xfId="32718" xr:uid="{00000000-0005-0000-0000-0000CE7F0000}"/>
    <cellStyle name="Normal 5 10 2 6 4 4" xfId="32719" xr:uid="{00000000-0005-0000-0000-0000CF7F0000}"/>
    <cellStyle name="Normal 5 10 2 6 4 5" xfId="32720" xr:uid="{00000000-0005-0000-0000-0000D07F0000}"/>
    <cellStyle name="Normal 5 10 2 6 4 6" xfId="32721" xr:uid="{00000000-0005-0000-0000-0000D17F0000}"/>
    <cellStyle name="Normal 5 10 2 6 4 7" xfId="32722" xr:uid="{00000000-0005-0000-0000-0000D27F0000}"/>
    <cellStyle name="Normal 5 10 2 6 4 8" xfId="32723" xr:uid="{00000000-0005-0000-0000-0000D37F0000}"/>
    <cellStyle name="Normal 5 10 2 6 4 9" xfId="32724" xr:uid="{00000000-0005-0000-0000-0000D47F0000}"/>
    <cellStyle name="Normal 5 10 2 6 5" xfId="32725" xr:uid="{00000000-0005-0000-0000-0000D57F0000}"/>
    <cellStyle name="Normal 5 10 2 6 5 10" xfId="32726" xr:uid="{00000000-0005-0000-0000-0000D67F0000}"/>
    <cellStyle name="Normal 5 10 2 6 5 2" xfId="32727" xr:uid="{00000000-0005-0000-0000-0000D77F0000}"/>
    <cellStyle name="Normal 5 10 2 6 5 3" xfId="32728" xr:uid="{00000000-0005-0000-0000-0000D87F0000}"/>
    <cellStyle name="Normal 5 10 2 6 5 4" xfId="32729" xr:uid="{00000000-0005-0000-0000-0000D97F0000}"/>
    <cellStyle name="Normal 5 10 2 6 5 5" xfId="32730" xr:uid="{00000000-0005-0000-0000-0000DA7F0000}"/>
    <cellStyle name="Normal 5 10 2 6 5 6" xfId="32731" xr:uid="{00000000-0005-0000-0000-0000DB7F0000}"/>
    <cellStyle name="Normal 5 10 2 6 5 7" xfId="32732" xr:uid="{00000000-0005-0000-0000-0000DC7F0000}"/>
    <cellStyle name="Normal 5 10 2 6 5 8" xfId="32733" xr:uid="{00000000-0005-0000-0000-0000DD7F0000}"/>
    <cellStyle name="Normal 5 10 2 6 5 9" xfId="32734" xr:uid="{00000000-0005-0000-0000-0000DE7F0000}"/>
    <cellStyle name="Normal 5 10 2 6 6" xfId="32735" xr:uid="{00000000-0005-0000-0000-0000DF7F0000}"/>
    <cellStyle name="Normal 5 10 2 6 7" xfId="32736" xr:uid="{00000000-0005-0000-0000-0000E07F0000}"/>
    <cellStyle name="Normal 5 10 2 6 8" xfId="32737" xr:uid="{00000000-0005-0000-0000-0000E17F0000}"/>
    <cellStyle name="Normal 5 10 2 6 9" xfId="32738" xr:uid="{00000000-0005-0000-0000-0000E27F0000}"/>
    <cellStyle name="Normal 5 10 2 7" xfId="32739" xr:uid="{00000000-0005-0000-0000-0000E37F0000}"/>
    <cellStyle name="Normal 5 10 2 7 10" xfId="32740" xr:uid="{00000000-0005-0000-0000-0000E47F0000}"/>
    <cellStyle name="Normal 5 10 2 7 11" xfId="32741" xr:uid="{00000000-0005-0000-0000-0000E57F0000}"/>
    <cellStyle name="Normal 5 10 2 7 12" xfId="32742" xr:uid="{00000000-0005-0000-0000-0000E67F0000}"/>
    <cellStyle name="Normal 5 10 2 7 13" xfId="32743" xr:uid="{00000000-0005-0000-0000-0000E77F0000}"/>
    <cellStyle name="Normal 5 10 2 7 14" xfId="32744" xr:uid="{00000000-0005-0000-0000-0000E87F0000}"/>
    <cellStyle name="Normal 5 10 2 7 2" xfId="32745" xr:uid="{00000000-0005-0000-0000-0000E97F0000}"/>
    <cellStyle name="Normal 5 10 2 7 2 10" xfId="32746" xr:uid="{00000000-0005-0000-0000-0000EA7F0000}"/>
    <cellStyle name="Normal 5 10 2 7 2 2" xfId="32747" xr:uid="{00000000-0005-0000-0000-0000EB7F0000}"/>
    <cellStyle name="Normal 5 10 2 7 2 3" xfId="32748" xr:uid="{00000000-0005-0000-0000-0000EC7F0000}"/>
    <cellStyle name="Normal 5 10 2 7 2 4" xfId="32749" xr:uid="{00000000-0005-0000-0000-0000ED7F0000}"/>
    <cellStyle name="Normal 5 10 2 7 2 5" xfId="32750" xr:uid="{00000000-0005-0000-0000-0000EE7F0000}"/>
    <cellStyle name="Normal 5 10 2 7 2 6" xfId="32751" xr:uid="{00000000-0005-0000-0000-0000EF7F0000}"/>
    <cellStyle name="Normal 5 10 2 7 2 7" xfId="32752" xr:uid="{00000000-0005-0000-0000-0000F07F0000}"/>
    <cellStyle name="Normal 5 10 2 7 2 8" xfId="32753" xr:uid="{00000000-0005-0000-0000-0000F17F0000}"/>
    <cellStyle name="Normal 5 10 2 7 2 9" xfId="32754" xr:uid="{00000000-0005-0000-0000-0000F27F0000}"/>
    <cellStyle name="Normal 5 10 2 7 3" xfId="32755" xr:uid="{00000000-0005-0000-0000-0000F37F0000}"/>
    <cellStyle name="Normal 5 10 2 7 3 10" xfId="32756" xr:uid="{00000000-0005-0000-0000-0000F47F0000}"/>
    <cellStyle name="Normal 5 10 2 7 3 2" xfId="32757" xr:uid="{00000000-0005-0000-0000-0000F57F0000}"/>
    <cellStyle name="Normal 5 10 2 7 3 3" xfId="32758" xr:uid="{00000000-0005-0000-0000-0000F67F0000}"/>
    <cellStyle name="Normal 5 10 2 7 3 4" xfId="32759" xr:uid="{00000000-0005-0000-0000-0000F77F0000}"/>
    <cellStyle name="Normal 5 10 2 7 3 5" xfId="32760" xr:uid="{00000000-0005-0000-0000-0000F87F0000}"/>
    <cellStyle name="Normal 5 10 2 7 3 6" xfId="32761" xr:uid="{00000000-0005-0000-0000-0000F97F0000}"/>
    <cellStyle name="Normal 5 10 2 7 3 7" xfId="32762" xr:uid="{00000000-0005-0000-0000-0000FA7F0000}"/>
    <cellStyle name="Normal 5 10 2 7 3 8" xfId="32763" xr:uid="{00000000-0005-0000-0000-0000FB7F0000}"/>
    <cellStyle name="Normal 5 10 2 7 3 9" xfId="32764" xr:uid="{00000000-0005-0000-0000-0000FC7F0000}"/>
    <cellStyle name="Normal 5 10 2 7 4" xfId="32765" xr:uid="{00000000-0005-0000-0000-0000FD7F0000}"/>
    <cellStyle name="Normal 5 10 2 7 4 10" xfId="32766" xr:uid="{00000000-0005-0000-0000-0000FE7F0000}"/>
    <cellStyle name="Normal 5 10 2 7 4 2" xfId="32767" xr:uid="{00000000-0005-0000-0000-0000FF7F0000}"/>
    <cellStyle name="Normal 5 10 2 7 4 3" xfId="32768" xr:uid="{00000000-0005-0000-0000-000000800000}"/>
    <cellStyle name="Normal 5 10 2 7 4 4" xfId="32769" xr:uid="{00000000-0005-0000-0000-000001800000}"/>
    <cellStyle name="Normal 5 10 2 7 4 5" xfId="32770" xr:uid="{00000000-0005-0000-0000-000002800000}"/>
    <cellStyle name="Normal 5 10 2 7 4 6" xfId="32771" xr:uid="{00000000-0005-0000-0000-000003800000}"/>
    <cellStyle name="Normal 5 10 2 7 4 7" xfId="32772" xr:uid="{00000000-0005-0000-0000-000004800000}"/>
    <cellStyle name="Normal 5 10 2 7 4 8" xfId="32773" xr:uid="{00000000-0005-0000-0000-000005800000}"/>
    <cellStyle name="Normal 5 10 2 7 4 9" xfId="32774" xr:uid="{00000000-0005-0000-0000-000006800000}"/>
    <cellStyle name="Normal 5 10 2 7 5" xfId="32775" xr:uid="{00000000-0005-0000-0000-000007800000}"/>
    <cellStyle name="Normal 5 10 2 7 5 10" xfId="32776" xr:uid="{00000000-0005-0000-0000-000008800000}"/>
    <cellStyle name="Normal 5 10 2 7 5 2" xfId="32777" xr:uid="{00000000-0005-0000-0000-000009800000}"/>
    <cellStyle name="Normal 5 10 2 7 5 3" xfId="32778" xr:uid="{00000000-0005-0000-0000-00000A800000}"/>
    <cellStyle name="Normal 5 10 2 7 5 4" xfId="32779" xr:uid="{00000000-0005-0000-0000-00000B800000}"/>
    <cellStyle name="Normal 5 10 2 7 5 5" xfId="32780" xr:uid="{00000000-0005-0000-0000-00000C800000}"/>
    <cellStyle name="Normal 5 10 2 7 5 6" xfId="32781" xr:uid="{00000000-0005-0000-0000-00000D800000}"/>
    <cellStyle name="Normal 5 10 2 7 5 7" xfId="32782" xr:uid="{00000000-0005-0000-0000-00000E800000}"/>
    <cellStyle name="Normal 5 10 2 7 5 8" xfId="32783" xr:uid="{00000000-0005-0000-0000-00000F800000}"/>
    <cellStyle name="Normal 5 10 2 7 5 9" xfId="32784" xr:uid="{00000000-0005-0000-0000-000010800000}"/>
    <cellStyle name="Normal 5 10 2 7 6" xfId="32785" xr:uid="{00000000-0005-0000-0000-000011800000}"/>
    <cellStyle name="Normal 5 10 2 7 7" xfId="32786" xr:uid="{00000000-0005-0000-0000-000012800000}"/>
    <cellStyle name="Normal 5 10 2 7 8" xfId="32787" xr:uid="{00000000-0005-0000-0000-000013800000}"/>
    <cellStyle name="Normal 5 10 2 7 9" xfId="32788" xr:uid="{00000000-0005-0000-0000-000014800000}"/>
    <cellStyle name="Normal 5 10 2 8" xfId="32789" xr:uid="{00000000-0005-0000-0000-000015800000}"/>
    <cellStyle name="Normal 5 10 2 8 10" xfId="32790" xr:uid="{00000000-0005-0000-0000-000016800000}"/>
    <cellStyle name="Normal 5 10 2 8 11" xfId="32791" xr:uid="{00000000-0005-0000-0000-000017800000}"/>
    <cellStyle name="Normal 5 10 2 8 12" xfId="32792" xr:uid="{00000000-0005-0000-0000-000018800000}"/>
    <cellStyle name="Normal 5 10 2 8 13" xfId="32793" xr:uid="{00000000-0005-0000-0000-000019800000}"/>
    <cellStyle name="Normal 5 10 2 8 14" xfId="32794" xr:uid="{00000000-0005-0000-0000-00001A800000}"/>
    <cellStyle name="Normal 5 10 2 8 2" xfId="32795" xr:uid="{00000000-0005-0000-0000-00001B800000}"/>
    <cellStyle name="Normal 5 10 2 8 2 10" xfId="32796" xr:uid="{00000000-0005-0000-0000-00001C800000}"/>
    <cellStyle name="Normal 5 10 2 8 2 2" xfId="32797" xr:uid="{00000000-0005-0000-0000-00001D800000}"/>
    <cellStyle name="Normal 5 10 2 8 2 3" xfId="32798" xr:uid="{00000000-0005-0000-0000-00001E800000}"/>
    <cellStyle name="Normal 5 10 2 8 2 4" xfId="32799" xr:uid="{00000000-0005-0000-0000-00001F800000}"/>
    <cellStyle name="Normal 5 10 2 8 2 5" xfId="32800" xr:uid="{00000000-0005-0000-0000-000020800000}"/>
    <cellStyle name="Normal 5 10 2 8 2 6" xfId="32801" xr:uid="{00000000-0005-0000-0000-000021800000}"/>
    <cellStyle name="Normal 5 10 2 8 2 7" xfId="32802" xr:uid="{00000000-0005-0000-0000-000022800000}"/>
    <cellStyle name="Normal 5 10 2 8 2 8" xfId="32803" xr:uid="{00000000-0005-0000-0000-000023800000}"/>
    <cellStyle name="Normal 5 10 2 8 2 9" xfId="32804" xr:uid="{00000000-0005-0000-0000-000024800000}"/>
    <cellStyle name="Normal 5 10 2 8 3" xfId="32805" xr:uid="{00000000-0005-0000-0000-000025800000}"/>
    <cellStyle name="Normal 5 10 2 8 3 10" xfId="32806" xr:uid="{00000000-0005-0000-0000-000026800000}"/>
    <cellStyle name="Normal 5 10 2 8 3 2" xfId="32807" xr:uid="{00000000-0005-0000-0000-000027800000}"/>
    <cellStyle name="Normal 5 10 2 8 3 3" xfId="32808" xr:uid="{00000000-0005-0000-0000-000028800000}"/>
    <cellStyle name="Normal 5 10 2 8 3 4" xfId="32809" xr:uid="{00000000-0005-0000-0000-000029800000}"/>
    <cellStyle name="Normal 5 10 2 8 3 5" xfId="32810" xr:uid="{00000000-0005-0000-0000-00002A800000}"/>
    <cellStyle name="Normal 5 10 2 8 3 6" xfId="32811" xr:uid="{00000000-0005-0000-0000-00002B800000}"/>
    <cellStyle name="Normal 5 10 2 8 3 7" xfId="32812" xr:uid="{00000000-0005-0000-0000-00002C800000}"/>
    <cellStyle name="Normal 5 10 2 8 3 8" xfId="32813" xr:uid="{00000000-0005-0000-0000-00002D800000}"/>
    <cellStyle name="Normal 5 10 2 8 3 9" xfId="32814" xr:uid="{00000000-0005-0000-0000-00002E800000}"/>
    <cellStyle name="Normal 5 10 2 8 4" xfId="32815" xr:uid="{00000000-0005-0000-0000-00002F800000}"/>
    <cellStyle name="Normal 5 10 2 8 4 10" xfId="32816" xr:uid="{00000000-0005-0000-0000-000030800000}"/>
    <cellStyle name="Normal 5 10 2 8 4 2" xfId="32817" xr:uid="{00000000-0005-0000-0000-000031800000}"/>
    <cellStyle name="Normal 5 10 2 8 4 3" xfId="32818" xr:uid="{00000000-0005-0000-0000-000032800000}"/>
    <cellStyle name="Normal 5 10 2 8 4 4" xfId="32819" xr:uid="{00000000-0005-0000-0000-000033800000}"/>
    <cellStyle name="Normal 5 10 2 8 4 5" xfId="32820" xr:uid="{00000000-0005-0000-0000-000034800000}"/>
    <cellStyle name="Normal 5 10 2 8 4 6" xfId="32821" xr:uid="{00000000-0005-0000-0000-000035800000}"/>
    <cellStyle name="Normal 5 10 2 8 4 7" xfId="32822" xr:uid="{00000000-0005-0000-0000-000036800000}"/>
    <cellStyle name="Normal 5 10 2 8 4 8" xfId="32823" xr:uid="{00000000-0005-0000-0000-000037800000}"/>
    <cellStyle name="Normal 5 10 2 8 4 9" xfId="32824" xr:uid="{00000000-0005-0000-0000-000038800000}"/>
    <cellStyle name="Normal 5 10 2 8 5" xfId="32825" xr:uid="{00000000-0005-0000-0000-000039800000}"/>
    <cellStyle name="Normal 5 10 2 8 5 10" xfId="32826" xr:uid="{00000000-0005-0000-0000-00003A800000}"/>
    <cellStyle name="Normal 5 10 2 8 5 2" xfId="32827" xr:uid="{00000000-0005-0000-0000-00003B800000}"/>
    <cellStyle name="Normal 5 10 2 8 5 3" xfId="32828" xr:uid="{00000000-0005-0000-0000-00003C800000}"/>
    <cellStyle name="Normal 5 10 2 8 5 4" xfId="32829" xr:uid="{00000000-0005-0000-0000-00003D800000}"/>
    <cellStyle name="Normal 5 10 2 8 5 5" xfId="32830" xr:uid="{00000000-0005-0000-0000-00003E800000}"/>
    <cellStyle name="Normal 5 10 2 8 5 6" xfId="32831" xr:uid="{00000000-0005-0000-0000-00003F800000}"/>
    <cellStyle name="Normal 5 10 2 8 5 7" xfId="32832" xr:uid="{00000000-0005-0000-0000-000040800000}"/>
    <cellStyle name="Normal 5 10 2 8 5 8" xfId="32833" xr:uid="{00000000-0005-0000-0000-000041800000}"/>
    <cellStyle name="Normal 5 10 2 8 5 9" xfId="32834" xr:uid="{00000000-0005-0000-0000-000042800000}"/>
    <cellStyle name="Normal 5 10 2 8 6" xfId="32835" xr:uid="{00000000-0005-0000-0000-000043800000}"/>
    <cellStyle name="Normal 5 10 2 8 7" xfId="32836" xr:uid="{00000000-0005-0000-0000-000044800000}"/>
    <cellStyle name="Normal 5 10 2 8 8" xfId="32837" xr:uid="{00000000-0005-0000-0000-000045800000}"/>
    <cellStyle name="Normal 5 10 2 8 9" xfId="32838" xr:uid="{00000000-0005-0000-0000-000046800000}"/>
    <cellStyle name="Normal 5 10 2 9" xfId="32839" xr:uid="{00000000-0005-0000-0000-000047800000}"/>
    <cellStyle name="Normal 5 10 2 9 10" xfId="32840" xr:uid="{00000000-0005-0000-0000-000048800000}"/>
    <cellStyle name="Normal 5 10 2 9 11" xfId="32841" xr:uid="{00000000-0005-0000-0000-000049800000}"/>
    <cellStyle name="Normal 5 10 2 9 12" xfId="32842" xr:uid="{00000000-0005-0000-0000-00004A800000}"/>
    <cellStyle name="Normal 5 10 2 9 13" xfId="32843" xr:uid="{00000000-0005-0000-0000-00004B800000}"/>
    <cellStyle name="Normal 5 10 2 9 14" xfId="32844" xr:uid="{00000000-0005-0000-0000-00004C800000}"/>
    <cellStyle name="Normal 5 10 2 9 2" xfId="32845" xr:uid="{00000000-0005-0000-0000-00004D800000}"/>
    <cellStyle name="Normal 5 10 2 9 2 10" xfId="32846" xr:uid="{00000000-0005-0000-0000-00004E800000}"/>
    <cellStyle name="Normal 5 10 2 9 2 2" xfId="32847" xr:uid="{00000000-0005-0000-0000-00004F800000}"/>
    <cellStyle name="Normal 5 10 2 9 2 3" xfId="32848" xr:uid="{00000000-0005-0000-0000-000050800000}"/>
    <cellStyle name="Normal 5 10 2 9 2 4" xfId="32849" xr:uid="{00000000-0005-0000-0000-000051800000}"/>
    <cellStyle name="Normal 5 10 2 9 2 5" xfId="32850" xr:uid="{00000000-0005-0000-0000-000052800000}"/>
    <cellStyle name="Normal 5 10 2 9 2 6" xfId="32851" xr:uid="{00000000-0005-0000-0000-000053800000}"/>
    <cellStyle name="Normal 5 10 2 9 2 7" xfId="32852" xr:uid="{00000000-0005-0000-0000-000054800000}"/>
    <cellStyle name="Normal 5 10 2 9 2 8" xfId="32853" xr:uid="{00000000-0005-0000-0000-000055800000}"/>
    <cellStyle name="Normal 5 10 2 9 2 9" xfId="32854" xr:uid="{00000000-0005-0000-0000-000056800000}"/>
    <cellStyle name="Normal 5 10 2 9 3" xfId="32855" xr:uid="{00000000-0005-0000-0000-000057800000}"/>
    <cellStyle name="Normal 5 10 2 9 3 10" xfId="32856" xr:uid="{00000000-0005-0000-0000-000058800000}"/>
    <cellStyle name="Normal 5 10 2 9 3 2" xfId="32857" xr:uid="{00000000-0005-0000-0000-000059800000}"/>
    <cellStyle name="Normal 5 10 2 9 3 3" xfId="32858" xr:uid="{00000000-0005-0000-0000-00005A800000}"/>
    <cellStyle name="Normal 5 10 2 9 3 4" xfId="32859" xr:uid="{00000000-0005-0000-0000-00005B800000}"/>
    <cellStyle name="Normal 5 10 2 9 3 5" xfId="32860" xr:uid="{00000000-0005-0000-0000-00005C800000}"/>
    <cellStyle name="Normal 5 10 2 9 3 6" xfId="32861" xr:uid="{00000000-0005-0000-0000-00005D800000}"/>
    <cellStyle name="Normal 5 10 2 9 3 7" xfId="32862" xr:uid="{00000000-0005-0000-0000-00005E800000}"/>
    <cellStyle name="Normal 5 10 2 9 3 8" xfId="32863" xr:uid="{00000000-0005-0000-0000-00005F800000}"/>
    <cellStyle name="Normal 5 10 2 9 3 9" xfId="32864" xr:uid="{00000000-0005-0000-0000-000060800000}"/>
    <cellStyle name="Normal 5 10 2 9 4" xfId="32865" xr:uid="{00000000-0005-0000-0000-000061800000}"/>
    <cellStyle name="Normal 5 10 2 9 4 10" xfId="32866" xr:uid="{00000000-0005-0000-0000-000062800000}"/>
    <cellStyle name="Normal 5 10 2 9 4 2" xfId="32867" xr:uid="{00000000-0005-0000-0000-000063800000}"/>
    <cellStyle name="Normal 5 10 2 9 4 3" xfId="32868" xr:uid="{00000000-0005-0000-0000-000064800000}"/>
    <cellStyle name="Normal 5 10 2 9 4 4" xfId="32869" xr:uid="{00000000-0005-0000-0000-000065800000}"/>
    <cellStyle name="Normal 5 10 2 9 4 5" xfId="32870" xr:uid="{00000000-0005-0000-0000-000066800000}"/>
    <cellStyle name="Normal 5 10 2 9 4 6" xfId="32871" xr:uid="{00000000-0005-0000-0000-000067800000}"/>
    <cellStyle name="Normal 5 10 2 9 4 7" xfId="32872" xr:uid="{00000000-0005-0000-0000-000068800000}"/>
    <cellStyle name="Normal 5 10 2 9 4 8" xfId="32873" xr:uid="{00000000-0005-0000-0000-000069800000}"/>
    <cellStyle name="Normal 5 10 2 9 4 9" xfId="32874" xr:uid="{00000000-0005-0000-0000-00006A800000}"/>
    <cellStyle name="Normal 5 10 2 9 5" xfId="32875" xr:uid="{00000000-0005-0000-0000-00006B800000}"/>
    <cellStyle name="Normal 5 10 2 9 5 10" xfId="32876" xr:uid="{00000000-0005-0000-0000-00006C800000}"/>
    <cellStyle name="Normal 5 10 2 9 5 2" xfId="32877" xr:uid="{00000000-0005-0000-0000-00006D800000}"/>
    <cellStyle name="Normal 5 10 2 9 5 3" xfId="32878" xr:uid="{00000000-0005-0000-0000-00006E800000}"/>
    <cellStyle name="Normal 5 10 2 9 5 4" xfId="32879" xr:uid="{00000000-0005-0000-0000-00006F800000}"/>
    <cellStyle name="Normal 5 10 2 9 5 5" xfId="32880" xr:uid="{00000000-0005-0000-0000-000070800000}"/>
    <cellStyle name="Normal 5 10 2 9 5 6" xfId="32881" xr:uid="{00000000-0005-0000-0000-000071800000}"/>
    <cellStyle name="Normal 5 10 2 9 5 7" xfId="32882" xr:uid="{00000000-0005-0000-0000-000072800000}"/>
    <cellStyle name="Normal 5 10 2 9 5 8" xfId="32883" xr:uid="{00000000-0005-0000-0000-000073800000}"/>
    <cellStyle name="Normal 5 10 2 9 5 9" xfId="32884" xr:uid="{00000000-0005-0000-0000-000074800000}"/>
    <cellStyle name="Normal 5 10 2 9 6" xfId="32885" xr:uid="{00000000-0005-0000-0000-000075800000}"/>
    <cellStyle name="Normal 5 10 2 9 7" xfId="32886" xr:uid="{00000000-0005-0000-0000-000076800000}"/>
    <cellStyle name="Normal 5 10 2 9 8" xfId="32887" xr:uid="{00000000-0005-0000-0000-000077800000}"/>
    <cellStyle name="Normal 5 10 2 9 9" xfId="32888" xr:uid="{00000000-0005-0000-0000-000078800000}"/>
    <cellStyle name="Normal 5 10 20" xfId="32889" xr:uid="{00000000-0005-0000-0000-000079800000}"/>
    <cellStyle name="Normal 5 10 20 10" xfId="32890" xr:uid="{00000000-0005-0000-0000-00007A800000}"/>
    <cellStyle name="Normal 5 10 20 11" xfId="32891" xr:uid="{00000000-0005-0000-0000-00007B800000}"/>
    <cellStyle name="Normal 5 10 20 12" xfId="32892" xr:uid="{00000000-0005-0000-0000-00007C800000}"/>
    <cellStyle name="Normal 5 10 20 13" xfId="32893" xr:uid="{00000000-0005-0000-0000-00007D800000}"/>
    <cellStyle name="Normal 5 10 20 14" xfId="32894" xr:uid="{00000000-0005-0000-0000-00007E800000}"/>
    <cellStyle name="Normal 5 10 20 2" xfId="32895" xr:uid="{00000000-0005-0000-0000-00007F800000}"/>
    <cellStyle name="Normal 5 10 20 2 10" xfId="32896" xr:uid="{00000000-0005-0000-0000-000080800000}"/>
    <cellStyle name="Normal 5 10 20 2 2" xfId="32897" xr:uid="{00000000-0005-0000-0000-000081800000}"/>
    <cellStyle name="Normal 5 10 20 2 3" xfId="32898" xr:uid="{00000000-0005-0000-0000-000082800000}"/>
    <cellStyle name="Normal 5 10 20 2 4" xfId="32899" xr:uid="{00000000-0005-0000-0000-000083800000}"/>
    <cellStyle name="Normal 5 10 20 2 5" xfId="32900" xr:uid="{00000000-0005-0000-0000-000084800000}"/>
    <cellStyle name="Normal 5 10 20 2 6" xfId="32901" xr:uid="{00000000-0005-0000-0000-000085800000}"/>
    <cellStyle name="Normal 5 10 20 2 7" xfId="32902" xr:uid="{00000000-0005-0000-0000-000086800000}"/>
    <cellStyle name="Normal 5 10 20 2 8" xfId="32903" xr:uid="{00000000-0005-0000-0000-000087800000}"/>
    <cellStyle name="Normal 5 10 20 2 9" xfId="32904" xr:uid="{00000000-0005-0000-0000-000088800000}"/>
    <cellStyle name="Normal 5 10 20 3" xfId="32905" xr:uid="{00000000-0005-0000-0000-000089800000}"/>
    <cellStyle name="Normal 5 10 20 3 10" xfId="32906" xr:uid="{00000000-0005-0000-0000-00008A800000}"/>
    <cellStyle name="Normal 5 10 20 3 2" xfId="32907" xr:uid="{00000000-0005-0000-0000-00008B800000}"/>
    <cellStyle name="Normal 5 10 20 3 3" xfId="32908" xr:uid="{00000000-0005-0000-0000-00008C800000}"/>
    <cellStyle name="Normal 5 10 20 3 4" xfId="32909" xr:uid="{00000000-0005-0000-0000-00008D800000}"/>
    <cellStyle name="Normal 5 10 20 3 5" xfId="32910" xr:uid="{00000000-0005-0000-0000-00008E800000}"/>
    <cellStyle name="Normal 5 10 20 3 6" xfId="32911" xr:uid="{00000000-0005-0000-0000-00008F800000}"/>
    <cellStyle name="Normal 5 10 20 3 7" xfId="32912" xr:uid="{00000000-0005-0000-0000-000090800000}"/>
    <cellStyle name="Normal 5 10 20 3 8" xfId="32913" xr:uid="{00000000-0005-0000-0000-000091800000}"/>
    <cellStyle name="Normal 5 10 20 3 9" xfId="32914" xr:uid="{00000000-0005-0000-0000-000092800000}"/>
    <cellStyle name="Normal 5 10 20 4" xfId="32915" xr:uid="{00000000-0005-0000-0000-000093800000}"/>
    <cellStyle name="Normal 5 10 20 4 10" xfId="32916" xr:uid="{00000000-0005-0000-0000-000094800000}"/>
    <cellStyle name="Normal 5 10 20 4 2" xfId="32917" xr:uid="{00000000-0005-0000-0000-000095800000}"/>
    <cellStyle name="Normal 5 10 20 4 3" xfId="32918" xr:uid="{00000000-0005-0000-0000-000096800000}"/>
    <cellStyle name="Normal 5 10 20 4 4" xfId="32919" xr:uid="{00000000-0005-0000-0000-000097800000}"/>
    <cellStyle name="Normal 5 10 20 4 5" xfId="32920" xr:uid="{00000000-0005-0000-0000-000098800000}"/>
    <cellStyle name="Normal 5 10 20 4 6" xfId="32921" xr:uid="{00000000-0005-0000-0000-000099800000}"/>
    <cellStyle name="Normal 5 10 20 4 7" xfId="32922" xr:uid="{00000000-0005-0000-0000-00009A800000}"/>
    <cellStyle name="Normal 5 10 20 4 8" xfId="32923" xr:uid="{00000000-0005-0000-0000-00009B800000}"/>
    <cellStyle name="Normal 5 10 20 4 9" xfId="32924" xr:uid="{00000000-0005-0000-0000-00009C800000}"/>
    <cellStyle name="Normal 5 10 20 5" xfId="32925" xr:uid="{00000000-0005-0000-0000-00009D800000}"/>
    <cellStyle name="Normal 5 10 20 5 10" xfId="32926" xr:uid="{00000000-0005-0000-0000-00009E800000}"/>
    <cellStyle name="Normal 5 10 20 5 2" xfId="32927" xr:uid="{00000000-0005-0000-0000-00009F800000}"/>
    <cellStyle name="Normal 5 10 20 5 3" xfId="32928" xr:uid="{00000000-0005-0000-0000-0000A0800000}"/>
    <cellStyle name="Normal 5 10 20 5 4" xfId="32929" xr:uid="{00000000-0005-0000-0000-0000A1800000}"/>
    <cellStyle name="Normal 5 10 20 5 5" xfId="32930" xr:uid="{00000000-0005-0000-0000-0000A2800000}"/>
    <cellStyle name="Normal 5 10 20 5 6" xfId="32931" xr:uid="{00000000-0005-0000-0000-0000A3800000}"/>
    <cellStyle name="Normal 5 10 20 5 7" xfId="32932" xr:uid="{00000000-0005-0000-0000-0000A4800000}"/>
    <cellStyle name="Normal 5 10 20 5 8" xfId="32933" xr:uid="{00000000-0005-0000-0000-0000A5800000}"/>
    <cellStyle name="Normal 5 10 20 5 9" xfId="32934" xr:uid="{00000000-0005-0000-0000-0000A6800000}"/>
    <cellStyle name="Normal 5 10 20 6" xfId="32935" xr:uid="{00000000-0005-0000-0000-0000A7800000}"/>
    <cellStyle name="Normal 5 10 20 7" xfId="32936" xr:uid="{00000000-0005-0000-0000-0000A8800000}"/>
    <cellStyle name="Normal 5 10 20 8" xfId="32937" xr:uid="{00000000-0005-0000-0000-0000A9800000}"/>
    <cellStyle name="Normal 5 10 20 9" xfId="32938" xr:uid="{00000000-0005-0000-0000-0000AA800000}"/>
    <cellStyle name="Normal 5 10 21" xfId="32939" xr:uid="{00000000-0005-0000-0000-0000AB800000}"/>
    <cellStyle name="Normal 5 10 21 10" xfId="32940" xr:uid="{00000000-0005-0000-0000-0000AC800000}"/>
    <cellStyle name="Normal 5 10 21 11" xfId="32941" xr:uid="{00000000-0005-0000-0000-0000AD800000}"/>
    <cellStyle name="Normal 5 10 21 12" xfId="32942" xr:uid="{00000000-0005-0000-0000-0000AE800000}"/>
    <cellStyle name="Normal 5 10 21 13" xfId="32943" xr:uid="{00000000-0005-0000-0000-0000AF800000}"/>
    <cellStyle name="Normal 5 10 21 14" xfId="32944" xr:uid="{00000000-0005-0000-0000-0000B0800000}"/>
    <cellStyle name="Normal 5 10 21 2" xfId="32945" xr:uid="{00000000-0005-0000-0000-0000B1800000}"/>
    <cellStyle name="Normal 5 10 21 2 10" xfId="32946" xr:uid="{00000000-0005-0000-0000-0000B2800000}"/>
    <cellStyle name="Normal 5 10 21 2 2" xfId="32947" xr:uid="{00000000-0005-0000-0000-0000B3800000}"/>
    <cellStyle name="Normal 5 10 21 2 3" xfId="32948" xr:uid="{00000000-0005-0000-0000-0000B4800000}"/>
    <cellStyle name="Normal 5 10 21 2 4" xfId="32949" xr:uid="{00000000-0005-0000-0000-0000B5800000}"/>
    <cellStyle name="Normal 5 10 21 2 5" xfId="32950" xr:uid="{00000000-0005-0000-0000-0000B6800000}"/>
    <cellStyle name="Normal 5 10 21 2 6" xfId="32951" xr:uid="{00000000-0005-0000-0000-0000B7800000}"/>
    <cellStyle name="Normal 5 10 21 2 7" xfId="32952" xr:uid="{00000000-0005-0000-0000-0000B8800000}"/>
    <cellStyle name="Normal 5 10 21 2 8" xfId="32953" xr:uid="{00000000-0005-0000-0000-0000B9800000}"/>
    <cellStyle name="Normal 5 10 21 2 9" xfId="32954" xr:uid="{00000000-0005-0000-0000-0000BA800000}"/>
    <cellStyle name="Normal 5 10 21 3" xfId="32955" xr:uid="{00000000-0005-0000-0000-0000BB800000}"/>
    <cellStyle name="Normal 5 10 21 3 10" xfId="32956" xr:uid="{00000000-0005-0000-0000-0000BC800000}"/>
    <cellStyle name="Normal 5 10 21 3 2" xfId="32957" xr:uid="{00000000-0005-0000-0000-0000BD800000}"/>
    <cellStyle name="Normal 5 10 21 3 3" xfId="32958" xr:uid="{00000000-0005-0000-0000-0000BE800000}"/>
    <cellStyle name="Normal 5 10 21 3 4" xfId="32959" xr:uid="{00000000-0005-0000-0000-0000BF800000}"/>
    <cellStyle name="Normal 5 10 21 3 5" xfId="32960" xr:uid="{00000000-0005-0000-0000-0000C0800000}"/>
    <cellStyle name="Normal 5 10 21 3 6" xfId="32961" xr:uid="{00000000-0005-0000-0000-0000C1800000}"/>
    <cellStyle name="Normal 5 10 21 3 7" xfId="32962" xr:uid="{00000000-0005-0000-0000-0000C2800000}"/>
    <cellStyle name="Normal 5 10 21 3 8" xfId="32963" xr:uid="{00000000-0005-0000-0000-0000C3800000}"/>
    <cellStyle name="Normal 5 10 21 3 9" xfId="32964" xr:uid="{00000000-0005-0000-0000-0000C4800000}"/>
    <cellStyle name="Normal 5 10 21 4" xfId="32965" xr:uid="{00000000-0005-0000-0000-0000C5800000}"/>
    <cellStyle name="Normal 5 10 21 4 10" xfId="32966" xr:uid="{00000000-0005-0000-0000-0000C6800000}"/>
    <cellStyle name="Normal 5 10 21 4 2" xfId="32967" xr:uid="{00000000-0005-0000-0000-0000C7800000}"/>
    <cellStyle name="Normal 5 10 21 4 3" xfId="32968" xr:uid="{00000000-0005-0000-0000-0000C8800000}"/>
    <cellStyle name="Normal 5 10 21 4 4" xfId="32969" xr:uid="{00000000-0005-0000-0000-0000C9800000}"/>
    <cellStyle name="Normal 5 10 21 4 5" xfId="32970" xr:uid="{00000000-0005-0000-0000-0000CA800000}"/>
    <cellStyle name="Normal 5 10 21 4 6" xfId="32971" xr:uid="{00000000-0005-0000-0000-0000CB800000}"/>
    <cellStyle name="Normal 5 10 21 4 7" xfId="32972" xr:uid="{00000000-0005-0000-0000-0000CC800000}"/>
    <cellStyle name="Normal 5 10 21 4 8" xfId="32973" xr:uid="{00000000-0005-0000-0000-0000CD800000}"/>
    <cellStyle name="Normal 5 10 21 4 9" xfId="32974" xr:uid="{00000000-0005-0000-0000-0000CE800000}"/>
    <cellStyle name="Normal 5 10 21 5" xfId="32975" xr:uid="{00000000-0005-0000-0000-0000CF800000}"/>
    <cellStyle name="Normal 5 10 21 5 10" xfId="32976" xr:uid="{00000000-0005-0000-0000-0000D0800000}"/>
    <cellStyle name="Normal 5 10 21 5 2" xfId="32977" xr:uid="{00000000-0005-0000-0000-0000D1800000}"/>
    <cellStyle name="Normal 5 10 21 5 3" xfId="32978" xr:uid="{00000000-0005-0000-0000-0000D2800000}"/>
    <cellStyle name="Normal 5 10 21 5 4" xfId="32979" xr:uid="{00000000-0005-0000-0000-0000D3800000}"/>
    <cellStyle name="Normal 5 10 21 5 5" xfId="32980" xr:uid="{00000000-0005-0000-0000-0000D4800000}"/>
    <cellStyle name="Normal 5 10 21 5 6" xfId="32981" xr:uid="{00000000-0005-0000-0000-0000D5800000}"/>
    <cellStyle name="Normal 5 10 21 5 7" xfId="32982" xr:uid="{00000000-0005-0000-0000-0000D6800000}"/>
    <cellStyle name="Normal 5 10 21 5 8" xfId="32983" xr:uid="{00000000-0005-0000-0000-0000D7800000}"/>
    <cellStyle name="Normal 5 10 21 5 9" xfId="32984" xr:uid="{00000000-0005-0000-0000-0000D8800000}"/>
    <cellStyle name="Normal 5 10 21 6" xfId="32985" xr:uid="{00000000-0005-0000-0000-0000D9800000}"/>
    <cellStyle name="Normal 5 10 21 7" xfId="32986" xr:uid="{00000000-0005-0000-0000-0000DA800000}"/>
    <cellStyle name="Normal 5 10 21 8" xfId="32987" xr:uid="{00000000-0005-0000-0000-0000DB800000}"/>
    <cellStyle name="Normal 5 10 21 9" xfId="32988" xr:uid="{00000000-0005-0000-0000-0000DC800000}"/>
    <cellStyle name="Normal 5 10 22" xfId="32989" xr:uid="{00000000-0005-0000-0000-0000DD800000}"/>
    <cellStyle name="Normal 5 10 22 10" xfId="32990" xr:uid="{00000000-0005-0000-0000-0000DE800000}"/>
    <cellStyle name="Normal 5 10 22 11" xfId="32991" xr:uid="{00000000-0005-0000-0000-0000DF800000}"/>
    <cellStyle name="Normal 5 10 22 12" xfId="32992" xr:uid="{00000000-0005-0000-0000-0000E0800000}"/>
    <cellStyle name="Normal 5 10 22 13" xfId="32993" xr:uid="{00000000-0005-0000-0000-0000E1800000}"/>
    <cellStyle name="Normal 5 10 22 14" xfId="32994" xr:uid="{00000000-0005-0000-0000-0000E2800000}"/>
    <cellStyle name="Normal 5 10 22 2" xfId="32995" xr:uid="{00000000-0005-0000-0000-0000E3800000}"/>
    <cellStyle name="Normal 5 10 22 2 10" xfId="32996" xr:uid="{00000000-0005-0000-0000-0000E4800000}"/>
    <cellStyle name="Normal 5 10 22 2 2" xfId="32997" xr:uid="{00000000-0005-0000-0000-0000E5800000}"/>
    <cellStyle name="Normal 5 10 22 2 3" xfId="32998" xr:uid="{00000000-0005-0000-0000-0000E6800000}"/>
    <cellStyle name="Normal 5 10 22 2 4" xfId="32999" xr:uid="{00000000-0005-0000-0000-0000E7800000}"/>
    <cellStyle name="Normal 5 10 22 2 5" xfId="33000" xr:uid="{00000000-0005-0000-0000-0000E8800000}"/>
    <cellStyle name="Normal 5 10 22 2 6" xfId="33001" xr:uid="{00000000-0005-0000-0000-0000E9800000}"/>
    <cellStyle name="Normal 5 10 22 2 7" xfId="33002" xr:uid="{00000000-0005-0000-0000-0000EA800000}"/>
    <cellStyle name="Normal 5 10 22 2 8" xfId="33003" xr:uid="{00000000-0005-0000-0000-0000EB800000}"/>
    <cellStyle name="Normal 5 10 22 2 9" xfId="33004" xr:uid="{00000000-0005-0000-0000-0000EC800000}"/>
    <cellStyle name="Normal 5 10 22 3" xfId="33005" xr:uid="{00000000-0005-0000-0000-0000ED800000}"/>
    <cellStyle name="Normal 5 10 22 3 10" xfId="33006" xr:uid="{00000000-0005-0000-0000-0000EE800000}"/>
    <cellStyle name="Normal 5 10 22 3 2" xfId="33007" xr:uid="{00000000-0005-0000-0000-0000EF800000}"/>
    <cellStyle name="Normal 5 10 22 3 3" xfId="33008" xr:uid="{00000000-0005-0000-0000-0000F0800000}"/>
    <cellStyle name="Normal 5 10 22 3 4" xfId="33009" xr:uid="{00000000-0005-0000-0000-0000F1800000}"/>
    <cellStyle name="Normal 5 10 22 3 5" xfId="33010" xr:uid="{00000000-0005-0000-0000-0000F2800000}"/>
    <cellStyle name="Normal 5 10 22 3 6" xfId="33011" xr:uid="{00000000-0005-0000-0000-0000F3800000}"/>
    <cellStyle name="Normal 5 10 22 3 7" xfId="33012" xr:uid="{00000000-0005-0000-0000-0000F4800000}"/>
    <cellStyle name="Normal 5 10 22 3 8" xfId="33013" xr:uid="{00000000-0005-0000-0000-0000F5800000}"/>
    <cellStyle name="Normal 5 10 22 3 9" xfId="33014" xr:uid="{00000000-0005-0000-0000-0000F6800000}"/>
    <cellStyle name="Normal 5 10 22 4" xfId="33015" xr:uid="{00000000-0005-0000-0000-0000F7800000}"/>
    <cellStyle name="Normal 5 10 22 4 10" xfId="33016" xr:uid="{00000000-0005-0000-0000-0000F8800000}"/>
    <cellStyle name="Normal 5 10 22 4 2" xfId="33017" xr:uid="{00000000-0005-0000-0000-0000F9800000}"/>
    <cellStyle name="Normal 5 10 22 4 3" xfId="33018" xr:uid="{00000000-0005-0000-0000-0000FA800000}"/>
    <cellStyle name="Normal 5 10 22 4 4" xfId="33019" xr:uid="{00000000-0005-0000-0000-0000FB800000}"/>
    <cellStyle name="Normal 5 10 22 4 5" xfId="33020" xr:uid="{00000000-0005-0000-0000-0000FC800000}"/>
    <cellStyle name="Normal 5 10 22 4 6" xfId="33021" xr:uid="{00000000-0005-0000-0000-0000FD800000}"/>
    <cellStyle name="Normal 5 10 22 4 7" xfId="33022" xr:uid="{00000000-0005-0000-0000-0000FE800000}"/>
    <cellStyle name="Normal 5 10 22 4 8" xfId="33023" xr:uid="{00000000-0005-0000-0000-0000FF800000}"/>
    <cellStyle name="Normal 5 10 22 4 9" xfId="33024" xr:uid="{00000000-0005-0000-0000-000000810000}"/>
    <cellStyle name="Normal 5 10 22 5" xfId="33025" xr:uid="{00000000-0005-0000-0000-000001810000}"/>
    <cellStyle name="Normal 5 10 22 5 10" xfId="33026" xr:uid="{00000000-0005-0000-0000-000002810000}"/>
    <cellStyle name="Normal 5 10 22 5 2" xfId="33027" xr:uid="{00000000-0005-0000-0000-000003810000}"/>
    <cellStyle name="Normal 5 10 22 5 3" xfId="33028" xr:uid="{00000000-0005-0000-0000-000004810000}"/>
    <cellStyle name="Normal 5 10 22 5 4" xfId="33029" xr:uid="{00000000-0005-0000-0000-000005810000}"/>
    <cellStyle name="Normal 5 10 22 5 5" xfId="33030" xr:uid="{00000000-0005-0000-0000-000006810000}"/>
    <cellStyle name="Normal 5 10 22 5 6" xfId="33031" xr:uid="{00000000-0005-0000-0000-000007810000}"/>
    <cellStyle name="Normal 5 10 22 5 7" xfId="33032" xr:uid="{00000000-0005-0000-0000-000008810000}"/>
    <cellStyle name="Normal 5 10 22 5 8" xfId="33033" xr:uid="{00000000-0005-0000-0000-000009810000}"/>
    <cellStyle name="Normal 5 10 22 5 9" xfId="33034" xr:uid="{00000000-0005-0000-0000-00000A810000}"/>
    <cellStyle name="Normal 5 10 22 6" xfId="33035" xr:uid="{00000000-0005-0000-0000-00000B810000}"/>
    <cellStyle name="Normal 5 10 22 7" xfId="33036" xr:uid="{00000000-0005-0000-0000-00000C810000}"/>
    <cellStyle name="Normal 5 10 22 8" xfId="33037" xr:uid="{00000000-0005-0000-0000-00000D810000}"/>
    <cellStyle name="Normal 5 10 22 9" xfId="33038" xr:uid="{00000000-0005-0000-0000-00000E810000}"/>
    <cellStyle name="Normal 5 10 23" xfId="33039" xr:uid="{00000000-0005-0000-0000-00000F810000}"/>
    <cellStyle name="Normal 5 10 23 10" xfId="33040" xr:uid="{00000000-0005-0000-0000-000010810000}"/>
    <cellStyle name="Normal 5 10 23 11" xfId="33041" xr:uid="{00000000-0005-0000-0000-000011810000}"/>
    <cellStyle name="Normal 5 10 23 12" xfId="33042" xr:uid="{00000000-0005-0000-0000-000012810000}"/>
    <cellStyle name="Normal 5 10 23 13" xfId="33043" xr:uid="{00000000-0005-0000-0000-000013810000}"/>
    <cellStyle name="Normal 5 10 23 14" xfId="33044" xr:uid="{00000000-0005-0000-0000-000014810000}"/>
    <cellStyle name="Normal 5 10 23 2" xfId="33045" xr:uid="{00000000-0005-0000-0000-000015810000}"/>
    <cellStyle name="Normal 5 10 23 2 10" xfId="33046" xr:uid="{00000000-0005-0000-0000-000016810000}"/>
    <cellStyle name="Normal 5 10 23 2 2" xfId="33047" xr:uid="{00000000-0005-0000-0000-000017810000}"/>
    <cellStyle name="Normal 5 10 23 2 3" xfId="33048" xr:uid="{00000000-0005-0000-0000-000018810000}"/>
    <cellStyle name="Normal 5 10 23 2 4" xfId="33049" xr:uid="{00000000-0005-0000-0000-000019810000}"/>
    <cellStyle name="Normal 5 10 23 2 5" xfId="33050" xr:uid="{00000000-0005-0000-0000-00001A810000}"/>
    <cellStyle name="Normal 5 10 23 2 6" xfId="33051" xr:uid="{00000000-0005-0000-0000-00001B810000}"/>
    <cellStyle name="Normal 5 10 23 2 7" xfId="33052" xr:uid="{00000000-0005-0000-0000-00001C810000}"/>
    <cellStyle name="Normal 5 10 23 2 8" xfId="33053" xr:uid="{00000000-0005-0000-0000-00001D810000}"/>
    <cellStyle name="Normal 5 10 23 2 9" xfId="33054" xr:uid="{00000000-0005-0000-0000-00001E810000}"/>
    <cellStyle name="Normal 5 10 23 3" xfId="33055" xr:uid="{00000000-0005-0000-0000-00001F810000}"/>
    <cellStyle name="Normal 5 10 23 3 10" xfId="33056" xr:uid="{00000000-0005-0000-0000-000020810000}"/>
    <cellStyle name="Normal 5 10 23 3 2" xfId="33057" xr:uid="{00000000-0005-0000-0000-000021810000}"/>
    <cellStyle name="Normal 5 10 23 3 3" xfId="33058" xr:uid="{00000000-0005-0000-0000-000022810000}"/>
    <cellStyle name="Normal 5 10 23 3 4" xfId="33059" xr:uid="{00000000-0005-0000-0000-000023810000}"/>
    <cellStyle name="Normal 5 10 23 3 5" xfId="33060" xr:uid="{00000000-0005-0000-0000-000024810000}"/>
    <cellStyle name="Normal 5 10 23 3 6" xfId="33061" xr:uid="{00000000-0005-0000-0000-000025810000}"/>
    <cellStyle name="Normal 5 10 23 3 7" xfId="33062" xr:uid="{00000000-0005-0000-0000-000026810000}"/>
    <cellStyle name="Normal 5 10 23 3 8" xfId="33063" xr:uid="{00000000-0005-0000-0000-000027810000}"/>
    <cellStyle name="Normal 5 10 23 3 9" xfId="33064" xr:uid="{00000000-0005-0000-0000-000028810000}"/>
    <cellStyle name="Normal 5 10 23 4" xfId="33065" xr:uid="{00000000-0005-0000-0000-000029810000}"/>
    <cellStyle name="Normal 5 10 23 4 10" xfId="33066" xr:uid="{00000000-0005-0000-0000-00002A810000}"/>
    <cellStyle name="Normal 5 10 23 4 2" xfId="33067" xr:uid="{00000000-0005-0000-0000-00002B810000}"/>
    <cellStyle name="Normal 5 10 23 4 3" xfId="33068" xr:uid="{00000000-0005-0000-0000-00002C810000}"/>
    <cellStyle name="Normal 5 10 23 4 4" xfId="33069" xr:uid="{00000000-0005-0000-0000-00002D810000}"/>
    <cellStyle name="Normal 5 10 23 4 5" xfId="33070" xr:uid="{00000000-0005-0000-0000-00002E810000}"/>
    <cellStyle name="Normal 5 10 23 4 6" xfId="33071" xr:uid="{00000000-0005-0000-0000-00002F810000}"/>
    <cellStyle name="Normal 5 10 23 4 7" xfId="33072" xr:uid="{00000000-0005-0000-0000-000030810000}"/>
    <cellStyle name="Normal 5 10 23 4 8" xfId="33073" xr:uid="{00000000-0005-0000-0000-000031810000}"/>
    <cellStyle name="Normal 5 10 23 4 9" xfId="33074" xr:uid="{00000000-0005-0000-0000-000032810000}"/>
    <cellStyle name="Normal 5 10 23 5" xfId="33075" xr:uid="{00000000-0005-0000-0000-000033810000}"/>
    <cellStyle name="Normal 5 10 23 5 10" xfId="33076" xr:uid="{00000000-0005-0000-0000-000034810000}"/>
    <cellStyle name="Normal 5 10 23 5 2" xfId="33077" xr:uid="{00000000-0005-0000-0000-000035810000}"/>
    <cellStyle name="Normal 5 10 23 5 3" xfId="33078" xr:uid="{00000000-0005-0000-0000-000036810000}"/>
    <cellStyle name="Normal 5 10 23 5 4" xfId="33079" xr:uid="{00000000-0005-0000-0000-000037810000}"/>
    <cellStyle name="Normal 5 10 23 5 5" xfId="33080" xr:uid="{00000000-0005-0000-0000-000038810000}"/>
    <cellStyle name="Normal 5 10 23 5 6" xfId="33081" xr:uid="{00000000-0005-0000-0000-000039810000}"/>
    <cellStyle name="Normal 5 10 23 5 7" xfId="33082" xr:uid="{00000000-0005-0000-0000-00003A810000}"/>
    <cellStyle name="Normal 5 10 23 5 8" xfId="33083" xr:uid="{00000000-0005-0000-0000-00003B810000}"/>
    <cellStyle name="Normal 5 10 23 5 9" xfId="33084" xr:uid="{00000000-0005-0000-0000-00003C810000}"/>
    <cellStyle name="Normal 5 10 23 6" xfId="33085" xr:uid="{00000000-0005-0000-0000-00003D810000}"/>
    <cellStyle name="Normal 5 10 23 7" xfId="33086" xr:uid="{00000000-0005-0000-0000-00003E810000}"/>
    <cellStyle name="Normal 5 10 23 8" xfId="33087" xr:uid="{00000000-0005-0000-0000-00003F810000}"/>
    <cellStyle name="Normal 5 10 23 9" xfId="33088" xr:uid="{00000000-0005-0000-0000-000040810000}"/>
    <cellStyle name="Normal 5 10 24" xfId="33089" xr:uid="{00000000-0005-0000-0000-000041810000}"/>
    <cellStyle name="Normal 5 10 24 10" xfId="33090" xr:uid="{00000000-0005-0000-0000-000042810000}"/>
    <cellStyle name="Normal 5 10 24 11" xfId="33091" xr:uid="{00000000-0005-0000-0000-000043810000}"/>
    <cellStyle name="Normal 5 10 24 12" xfId="33092" xr:uid="{00000000-0005-0000-0000-000044810000}"/>
    <cellStyle name="Normal 5 10 24 13" xfId="33093" xr:uid="{00000000-0005-0000-0000-000045810000}"/>
    <cellStyle name="Normal 5 10 24 14" xfId="33094" xr:uid="{00000000-0005-0000-0000-000046810000}"/>
    <cellStyle name="Normal 5 10 24 2" xfId="33095" xr:uid="{00000000-0005-0000-0000-000047810000}"/>
    <cellStyle name="Normal 5 10 24 2 10" xfId="33096" xr:uid="{00000000-0005-0000-0000-000048810000}"/>
    <cellStyle name="Normal 5 10 24 2 2" xfId="33097" xr:uid="{00000000-0005-0000-0000-000049810000}"/>
    <cellStyle name="Normal 5 10 24 2 3" xfId="33098" xr:uid="{00000000-0005-0000-0000-00004A810000}"/>
    <cellStyle name="Normal 5 10 24 2 4" xfId="33099" xr:uid="{00000000-0005-0000-0000-00004B810000}"/>
    <cellStyle name="Normal 5 10 24 2 5" xfId="33100" xr:uid="{00000000-0005-0000-0000-00004C810000}"/>
    <cellStyle name="Normal 5 10 24 2 6" xfId="33101" xr:uid="{00000000-0005-0000-0000-00004D810000}"/>
    <cellStyle name="Normal 5 10 24 2 7" xfId="33102" xr:uid="{00000000-0005-0000-0000-00004E810000}"/>
    <cellStyle name="Normal 5 10 24 2 8" xfId="33103" xr:uid="{00000000-0005-0000-0000-00004F810000}"/>
    <cellStyle name="Normal 5 10 24 2 9" xfId="33104" xr:uid="{00000000-0005-0000-0000-000050810000}"/>
    <cellStyle name="Normal 5 10 24 3" xfId="33105" xr:uid="{00000000-0005-0000-0000-000051810000}"/>
    <cellStyle name="Normal 5 10 24 3 10" xfId="33106" xr:uid="{00000000-0005-0000-0000-000052810000}"/>
    <cellStyle name="Normal 5 10 24 3 2" xfId="33107" xr:uid="{00000000-0005-0000-0000-000053810000}"/>
    <cellStyle name="Normal 5 10 24 3 3" xfId="33108" xr:uid="{00000000-0005-0000-0000-000054810000}"/>
    <cellStyle name="Normal 5 10 24 3 4" xfId="33109" xr:uid="{00000000-0005-0000-0000-000055810000}"/>
    <cellStyle name="Normal 5 10 24 3 5" xfId="33110" xr:uid="{00000000-0005-0000-0000-000056810000}"/>
    <cellStyle name="Normal 5 10 24 3 6" xfId="33111" xr:uid="{00000000-0005-0000-0000-000057810000}"/>
    <cellStyle name="Normal 5 10 24 3 7" xfId="33112" xr:uid="{00000000-0005-0000-0000-000058810000}"/>
    <cellStyle name="Normal 5 10 24 3 8" xfId="33113" xr:uid="{00000000-0005-0000-0000-000059810000}"/>
    <cellStyle name="Normal 5 10 24 3 9" xfId="33114" xr:uid="{00000000-0005-0000-0000-00005A810000}"/>
    <cellStyle name="Normal 5 10 24 4" xfId="33115" xr:uid="{00000000-0005-0000-0000-00005B810000}"/>
    <cellStyle name="Normal 5 10 24 4 10" xfId="33116" xr:uid="{00000000-0005-0000-0000-00005C810000}"/>
    <cellStyle name="Normal 5 10 24 4 2" xfId="33117" xr:uid="{00000000-0005-0000-0000-00005D810000}"/>
    <cellStyle name="Normal 5 10 24 4 3" xfId="33118" xr:uid="{00000000-0005-0000-0000-00005E810000}"/>
    <cellStyle name="Normal 5 10 24 4 4" xfId="33119" xr:uid="{00000000-0005-0000-0000-00005F810000}"/>
    <cellStyle name="Normal 5 10 24 4 5" xfId="33120" xr:uid="{00000000-0005-0000-0000-000060810000}"/>
    <cellStyle name="Normal 5 10 24 4 6" xfId="33121" xr:uid="{00000000-0005-0000-0000-000061810000}"/>
    <cellStyle name="Normal 5 10 24 4 7" xfId="33122" xr:uid="{00000000-0005-0000-0000-000062810000}"/>
    <cellStyle name="Normal 5 10 24 4 8" xfId="33123" xr:uid="{00000000-0005-0000-0000-000063810000}"/>
    <cellStyle name="Normal 5 10 24 4 9" xfId="33124" xr:uid="{00000000-0005-0000-0000-000064810000}"/>
    <cellStyle name="Normal 5 10 24 5" xfId="33125" xr:uid="{00000000-0005-0000-0000-000065810000}"/>
    <cellStyle name="Normal 5 10 24 5 10" xfId="33126" xr:uid="{00000000-0005-0000-0000-000066810000}"/>
    <cellStyle name="Normal 5 10 24 5 2" xfId="33127" xr:uid="{00000000-0005-0000-0000-000067810000}"/>
    <cellStyle name="Normal 5 10 24 5 3" xfId="33128" xr:uid="{00000000-0005-0000-0000-000068810000}"/>
    <cellStyle name="Normal 5 10 24 5 4" xfId="33129" xr:uid="{00000000-0005-0000-0000-000069810000}"/>
    <cellStyle name="Normal 5 10 24 5 5" xfId="33130" xr:uid="{00000000-0005-0000-0000-00006A810000}"/>
    <cellStyle name="Normal 5 10 24 5 6" xfId="33131" xr:uid="{00000000-0005-0000-0000-00006B810000}"/>
    <cellStyle name="Normal 5 10 24 5 7" xfId="33132" xr:uid="{00000000-0005-0000-0000-00006C810000}"/>
    <cellStyle name="Normal 5 10 24 5 8" xfId="33133" xr:uid="{00000000-0005-0000-0000-00006D810000}"/>
    <cellStyle name="Normal 5 10 24 5 9" xfId="33134" xr:uid="{00000000-0005-0000-0000-00006E810000}"/>
    <cellStyle name="Normal 5 10 24 6" xfId="33135" xr:uid="{00000000-0005-0000-0000-00006F810000}"/>
    <cellStyle name="Normal 5 10 24 7" xfId="33136" xr:uid="{00000000-0005-0000-0000-000070810000}"/>
    <cellStyle name="Normal 5 10 24 8" xfId="33137" xr:uid="{00000000-0005-0000-0000-000071810000}"/>
    <cellStyle name="Normal 5 10 24 9" xfId="33138" xr:uid="{00000000-0005-0000-0000-000072810000}"/>
    <cellStyle name="Normal 5 10 25" xfId="33139" xr:uid="{00000000-0005-0000-0000-000073810000}"/>
    <cellStyle name="Normal 5 10 25 10" xfId="33140" xr:uid="{00000000-0005-0000-0000-000074810000}"/>
    <cellStyle name="Normal 5 10 25 11" xfId="33141" xr:uid="{00000000-0005-0000-0000-000075810000}"/>
    <cellStyle name="Normal 5 10 25 12" xfId="33142" xr:uid="{00000000-0005-0000-0000-000076810000}"/>
    <cellStyle name="Normal 5 10 25 13" xfId="33143" xr:uid="{00000000-0005-0000-0000-000077810000}"/>
    <cellStyle name="Normal 5 10 25 14" xfId="33144" xr:uid="{00000000-0005-0000-0000-000078810000}"/>
    <cellStyle name="Normal 5 10 25 2" xfId="33145" xr:uid="{00000000-0005-0000-0000-000079810000}"/>
    <cellStyle name="Normal 5 10 25 2 10" xfId="33146" xr:uid="{00000000-0005-0000-0000-00007A810000}"/>
    <cellStyle name="Normal 5 10 25 2 2" xfId="33147" xr:uid="{00000000-0005-0000-0000-00007B810000}"/>
    <cellStyle name="Normal 5 10 25 2 3" xfId="33148" xr:uid="{00000000-0005-0000-0000-00007C810000}"/>
    <cellStyle name="Normal 5 10 25 2 4" xfId="33149" xr:uid="{00000000-0005-0000-0000-00007D810000}"/>
    <cellStyle name="Normal 5 10 25 2 5" xfId="33150" xr:uid="{00000000-0005-0000-0000-00007E810000}"/>
    <cellStyle name="Normal 5 10 25 2 6" xfId="33151" xr:uid="{00000000-0005-0000-0000-00007F810000}"/>
    <cellStyle name="Normal 5 10 25 2 7" xfId="33152" xr:uid="{00000000-0005-0000-0000-000080810000}"/>
    <cellStyle name="Normal 5 10 25 2 8" xfId="33153" xr:uid="{00000000-0005-0000-0000-000081810000}"/>
    <cellStyle name="Normal 5 10 25 2 9" xfId="33154" xr:uid="{00000000-0005-0000-0000-000082810000}"/>
    <cellStyle name="Normal 5 10 25 3" xfId="33155" xr:uid="{00000000-0005-0000-0000-000083810000}"/>
    <cellStyle name="Normal 5 10 25 3 10" xfId="33156" xr:uid="{00000000-0005-0000-0000-000084810000}"/>
    <cellStyle name="Normal 5 10 25 3 2" xfId="33157" xr:uid="{00000000-0005-0000-0000-000085810000}"/>
    <cellStyle name="Normal 5 10 25 3 3" xfId="33158" xr:uid="{00000000-0005-0000-0000-000086810000}"/>
    <cellStyle name="Normal 5 10 25 3 4" xfId="33159" xr:uid="{00000000-0005-0000-0000-000087810000}"/>
    <cellStyle name="Normal 5 10 25 3 5" xfId="33160" xr:uid="{00000000-0005-0000-0000-000088810000}"/>
    <cellStyle name="Normal 5 10 25 3 6" xfId="33161" xr:uid="{00000000-0005-0000-0000-000089810000}"/>
    <cellStyle name="Normal 5 10 25 3 7" xfId="33162" xr:uid="{00000000-0005-0000-0000-00008A810000}"/>
    <cellStyle name="Normal 5 10 25 3 8" xfId="33163" xr:uid="{00000000-0005-0000-0000-00008B810000}"/>
    <cellStyle name="Normal 5 10 25 3 9" xfId="33164" xr:uid="{00000000-0005-0000-0000-00008C810000}"/>
    <cellStyle name="Normal 5 10 25 4" xfId="33165" xr:uid="{00000000-0005-0000-0000-00008D810000}"/>
    <cellStyle name="Normal 5 10 25 4 10" xfId="33166" xr:uid="{00000000-0005-0000-0000-00008E810000}"/>
    <cellStyle name="Normal 5 10 25 4 2" xfId="33167" xr:uid="{00000000-0005-0000-0000-00008F810000}"/>
    <cellStyle name="Normal 5 10 25 4 3" xfId="33168" xr:uid="{00000000-0005-0000-0000-000090810000}"/>
    <cellStyle name="Normal 5 10 25 4 4" xfId="33169" xr:uid="{00000000-0005-0000-0000-000091810000}"/>
    <cellStyle name="Normal 5 10 25 4 5" xfId="33170" xr:uid="{00000000-0005-0000-0000-000092810000}"/>
    <cellStyle name="Normal 5 10 25 4 6" xfId="33171" xr:uid="{00000000-0005-0000-0000-000093810000}"/>
    <cellStyle name="Normal 5 10 25 4 7" xfId="33172" xr:uid="{00000000-0005-0000-0000-000094810000}"/>
    <cellStyle name="Normal 5 10 25 4 8" xfId="33173" xr:uid="{00000000-0005-0000-0000-000095810000}"/>
    <cellStyle name="Normal 5 10 25 4 9" xfId="33174" xr:uid="{00000000-0005-0000-0000-000096810000}"/>
    <cellStyle name="Normal 5 10 25 5" xfId="33175" xr:uid="{00000000-0005-0000-0000-000097810000}"/>
    <cellStyle name="Normal 5 10 25 5 10" xfId="33176" xr:uid="{00000000-0005-0000-0000-000098810000}"/>
    <cellStyle name="Normal 5 10 25 5 2" xfId="33177" xr:uid="{00000000-0005-0000-0000-000099810000}"/>
    <cellStyle name="Normal 5 10 25 5 3" xfId="33178" xr:uid="{00000000-0005-0000-0000-00009A810000}"/>
    <cellStyle name="Normal 5 10 25 5 4" xfId="33179" xr:uid="{00000000-0005-0000-0000-00009B810000}"/>
    <cellStyle name="Normal 5 10 25 5 5" xfId="33180" xr:uid="{00000000-0005-0000-0000-00009C810000}"/>
    <cellStyle name="Normal 5 10 25 5 6" xfId="33181" xr:uid="{00000000-0005-0000-0000-00009D810000}"/>
    <cellStyle name="Normal 5 10 25 5 7" xfId="33182" xr:uid="{00000000-0005-0000-0000-00009E810000}"/>
    <cellStyle name="Normal 5 10 25 5 8" xfId="33183" xr:uid="{00000000-0005-0000-0000-00009F810000}"/>
    <cellStyle name="Normal 5 10 25 5 9" xfId="33184" xr:uid="{00000000-0005-0000-0000-0000A0810000}"/>
    <cellStyle name="Normal 5 10 25 6" xfId="33185" xr:uid="{00000000-0005-0000-0000-0000A1810000}"/>
    <cellStyle name="Normal 5 10 25 7" xfId="33186" xr:uid="{00000000-0005-0000-0000-0000A2810000}"/>
    <cellStyle name="Normal 5 10 25 8" xfId="33187" xr:uid="{00000000-0005-0000-0000-0000A3810000}"/>
    <cellStyle name="Normal 5 10 25 9" xfId="33188" xr:uid="{00000000-0005-0000-0000-0000A4810000}"/>
    <cellStyle name="Normal 5 10 26" xfId="33189" xr:uid="{00000000-0005-0000-0000-0000A5810000}"/>
    <cellStyle name="Normal 5 10 26 10" xfId="33190" xr:uid="{00000000-0005-0000-0000-0000A6810000}"/>
    <cellStyle name="Normal 5 10 26 11" xfId="33191" xr:uid="{00000000-0005-0000-0000-0000A7810000}"/>
    <cellStyle name="Normal 5 10 26 12" xfId="33192" xr:uid="{00000000-0005-0000-0000-0000A8810000}"/>
    <cellStyle name="Normal 5 10 26 13" xfId="33193" xr:uid="{00000000-0005-0000-0000-0000A9810000}"/>
    <cellStyle name="Normal 5 10 26 14" xfId="33194" xr:uid="{00000000-0005-0000-0000-0000AA810000}"/>
    <cellStyle name="Normal 5 10 26 2" xfId="33195" xr:uid="{00000000-0005-0000-0000-0000AB810000}"/>
    <cellStyle name="Normal 5 10 26 2 10" xfId="33196" xr:uid="{00000000-0005-0000-0000-0000AC810000}"/>
    <cellStyle name="Normal 5 10 26 2 2" xfId="33197" xr:uid="{00000000-0005-0000-0000-0000AD810000}"/>
    <cellStyle name="Normal 5 10 26 2 3" xfId="33198" xr:uid="{00000000-0005-0000-0000-0000AE810000}"/>
    <cellStyle name="Normal 5 10 26 2 4" xfId="33199" xr:uid="{00000000-0005-0000-0000-0000AF810000}"/>
    <cellStyle name="Normal 5 10 26 2 5" xfId="33200" xr:uid="{00000000-0005-0000-0000-0000B0810000}"/>
    <cellStyle name="Normal 5 10 26 2 6" xfId="33201" xr:uid="{00000000-0005-0000-0000-0000B1810000}"/>
    <cellStyle name="Normal 5 10 26 2 7" xfId="33202" xr:uid="{00000000-0005-0000-0000-0000B2810000}"/>
    <cellStyle name="Normal 5 10 26 2 8" xfId="33203" xr:uid="{00000000-0005-0000-0000-0000B3810000}"/>
    <cellStyle name="Normal 5 10 26 2 9" xfId="33204" xr:uid="{00000000-0005-0000-0000-0000B4810000}"/>
    <cellStyle name="Normal 5 10 26 3" xfId="33205" xr:uid="{00000000-0005-0000-0000-0000B5810000}"/>
    <cellStyle name="Normal 5 10 26 3 10" xfId="33206" xr:uid="{00000000-0005-0000-0000-0000B6810000}"/>
    <cellStyle name="Normal 5 10 26 3 2" xfId="33207" xr:uid="{00000000-0005-0000-0000-0000B7810000}"/>
    <cellStyle name="Normal 5 10 26 3 3" xfId="33208" xr:uid="{00000000-0005-0000-0000-0000B8810000}"/>
    <cellStyle name="Normal 5 10 26 3 4" xfId="33209" xr:uid="{00000000-0005-0000-0000-0000B9810000}"/>
    <cellStyle name="Normal 5 10 26 3 5" xfId="33210" xr:uid="{00000000-0005-0000-0000-0000BA810000}"/>
    <cellStyle name="Normal 5 10 26 3 6" xfId="33211" xr:uid="{00000000-0005-0000-0000-0000BB810000}"/>
    <cellStyle name="Normal 5 10 26 3 7" xfId="33212" xr:uid="{00000000-0005-0000-0000-0000BC810000}"/>
    <cellStyle name="Normal 5 10 26 3 8" xfId="33213" xr:uid="{00000000-0005-0000-0000-0000BD810000}"/>
    <cellStyle name="Normal 5 10 26 3 9" xfId="33214" xr:uid="{00000000-0005-0000-0000-0000BE810000}"/>
    <cellStyle name="Normal 5 10 26 4" xfId="33215" xr:uid="{00000000-0005-0000-0000-0000BF810000}"/>
    <cellStyle name="Normal 5 10 26 4 10" xfId="33216" xr:uid="{00000000-0005-0000-0000-0000C0810000}"/>
    <cellStyle name="Normal 5 10 26 4 2" xfId="33217" xr:uid="{00000000-0005-0000-0000-0000C1810000}"/>
    <cellStyle name="Normal 5 10 26 4 3" xfId="33218" xr:uid="{00000000-0005-0000-0000-0000C2810000}"/>
    <cellStyle name="Normal 5 10 26 4 4" xfId="33219" xr:uid="{00000000-0005-0000-0000-0000C3810000}"/>
    <cellStyle name="Normal 5 10 26 4 5" xfId="33220" xr:uid="{00000000-0005-0000-0000-0000C4810000}"/>
    <cellStyle name="Normal 5 10 26 4 6" xfId="33221" xr:uid="{00000000-0005-0000-0000-0000C5810000}"/>
    <cellStyle name="Normal 5 10 26 4 7" xfId="33222" xr:uid="{00000000-0005-0000-0000-0000C6810000}"/>
    <cellStyle name="Normal 5 10 26 4 8" xfId="33223" xr:uid="{00000000-0005-0000-0000-0000C7810000}"/>
    <cellStyle name="Normal 5 10 26 4 9" xfId="33224" xr:uid="{00000000-0005-0000-0000-0000C8810000}"/>
    <cellStyle name="Normal 5 10 26 5" xfId="33225" xr:uid="{00000000-0005-0000-0000-0000C9810000}"/>
    <cellStyle name="Normal 5 10 26 5 10" xfId="33226" xr:uid="{00000000-0005-0000-0000-0000CA810000}"/>
    <cellStyle name="Normal 5 10 26 5 2" xfId="33227" xr:uid="{00000000-0005-0000-0000-0000CB810000}"/>
    <cellStyle name="Normal 5 10 26 5 3" xfId="33228" xr:uid="{00000000-0005-0000-0000-0000CC810000}"/>
    <cellStyle name="Normal 5 10 26 5 4" xfId="33229" xr:uid="{00000000-0005-0000-0000-0000CD810000}"/>
    <cellStyle name="Normal 5 10 26 5 5" xfId="33230" xr:uid="{00000000-0005-0000-0000-0000CE810000}"/>
    <cellStyle name="Normal 5 10 26 5 6" xfId="33231" xr:uid="{00000000-0005-0000-0000-0000CF810000}"/>
    <cellStyle name="Normal 5 10 26 5 7" xfId="33232" xr:uid="{00000000-0005-0000-0000-0000D0810000}"/>
    <cellStyle name="Normal 5 10 26 5 8" xfId="33233" xr:uid="{00000000-0005-0000-0000-0000D1810000}"/>
    <cellStyle name="Normal 5 10 26 5 9" xfId="33234" xr:uid="{00000000-0005-0000-0000-0000D2810000}"/>
    <cellStyle name="Normal 5 10 26 6" xfId="33235" xr:uid="{00000000-0005-0000-0000-0000D3810000}"/>
    <cellStyle name="Normal 5 10 26 7" xfId="33236" xr:uid="{00000000-0005-0000-0000-0000D4810000}"/>
    <cellStyle name="Normal 5 10 26 8" xfId="33237" xr:uid="{00000000-0005-0000-0000-0000D5810000}"/>
    <cellStyle name="Normal 5 10 26 9" xfId="33238" xr:uid="{00000000-0005-0000-0000-0000D6810000}"/>
    <cellStyle name="Normal 5 10 27" xfId="33239" xr:uid="{00000000-0005-0000-0000-0000D7810000}"/>
    <cellStyle name="Normal 5 10 27 10" xfId="33240" xr:uid="{00000000-0005-0000-0000-0000D8810000}"/>
    <cellStyle name="Normal 5 10 27 11" xfId="33241" xr:uid="{00000000-0005-0000-0000-0000D9810000}"/>
    <cellStyle name="Normal 5 10 27 12" xfId="33242" xr:uid="{00000000-0005-0000-0000-0000DA810000}"/>
    <cellStyle name="Normal 5 10 27 13" xfId="33243" xr:uid="{00000000-0005-0000-0000-0000DB810000}"/>
    <cellStyle name="Normal 5 10 27 14" xfId="33244" xr:uid="{00000000-0005-0000-0000-0000DC810000}"/>
    <cellStyle name="Normal 5 10 27 2" xfId="33245" xr:uid="{00000000-0005-0000-0000-0000DD810000}"/>
    <cellStyle name="Normal 5 10 27 2 10" xfId="33246" xr:uid="{00000000-0005-0000-0000-0000DE810000}"/>
    <cellStyle name="Normal 5 10 27 2 2" xfId="33247" xr:uid="{00000000-0005-0000-0000-0000DF810000}"/>
    <cellStyle name="Normal 5 10 27 2 3" xfId="33248" xr:uid="{00000000-0005-0000-0000-0000E0810000}"/>
    <cellStyle name="Normal 5 10 27 2 4" xfId="33249" xr:uid="{00000000-0005-0000-0000-0000E1810000}"/>
    <cellStyle name="Normal 5 10 27 2 5" xfId="33250" xr:uid="{00000000-0005-0000-0000-0000E2810000}"/>
    <cellStyle name="Normal 5 10 27 2 6" xfId="33251" xr:uid="{00000000-0005-0000-0000-0000E3810000}"/>
    <cellStyle name="Normal 5 10 27 2 7" xfId="33252" xr:uid="{00000000-0005-0000-0000-0000E4810000}"/>
    <cellStyle name="Normal 5 10 27 2 8" xfId="33253" xr:uid="{00000000-0005-0000-0000-0000E5810000}"/>
    <cellStyle name="Normal 5 10 27 2 9" xfId="33254" xr:uid="{00000000-0005-0000-0000-0000E6810000}"/>
    <cellStyle name="Normal 5 10 27 3" xfId="33255" xr:uid="{00000000-0005-0000-0000-0000E7810000}"/>
    <cellStyle name="Normal 5 10 27 3 10" xfId="33256" xr:uid="{00000000-0005-0000-0000-0000E8810000}"/>
    <cellStyle name="Normal 5 10 27 3 2" xfId="33257" xr:uid="{00000000-0005-0000-0000-0000E9810000}"/>
    <cellStyle name="Normal 5 10 27 3 3" xfId="33258" xr:uid="{00000000-0005-0000-0000-0000EA810000}"/>
    <cellStyle name="Normal 5 10 27 3 4" xfId="33259" xr:uid="{00000000-0005-0000-0000-0000EB810000}"/>
    <cellStyle name="Normal 5 10 27 3 5" xfId="33260" xr:uid="{00000000-0005-0000-0000-0000EC810000}"/>
    <cellStyle name="Normal 5 10 27 3 6" xfId="33261" xr:uid="{00000000-0005-0000-0000-0000ED810000}"/>
    <cellStyle name="Normal 5 10 27 3 7" xfId="33262" xr:uid="{00000000-0005-0000-0000-0000EE810000}"/>
    <cellStyle name="Normal 5 10 27 3 8" xfId="33263" xr:uid="{00000000-0005-0000-0000-0000EF810000}"/>
    <cellStyle name="Normal 5 10 27 3 9" xfId="33264" xr:uid="{00000000-0005-0000-0000-0000F0810000}"/>
    <cellStyle name="Normal 5 10 27 4" xfId="33265" xr:uid="{00000000-0005-0000-0000-0000F1810000}"/>
    <cellStyle name="Normal 5 10 27 4 10" xfId="33266" xr:uid="{00000000-0005-0000-0000-0000F2810000}"/>
    <cellStyle name="Normal 5 10 27 4 2" xfId="33267" xr:uid="{00000000-0005-0000-0000-0000F3810000}"/>
    <cellStyle name="Normal 5 10 27 4 3" xfId="33268" xr:uid="{00000000-0005-0000-0000-0000F4810000}"/>
    <cellStyle name="Normal 5 10 27 4 4" xfId="33269" xr:uid="{00000000-0005-0000-0000-0000F5810000}"/>
    <cellStyle name="Normal 5 10 27 4 5" xfId="33270" xr:uid="{00000000-0005-0000-0000-0000F6810000}"/>
    <cellStyle name="Normal 5 10 27 4 6" xfId="33271" xr:uid="{00000000-0005-0000-0000-0000F7810000}"/>
    <cellStyle name="Normal 5 10 27 4 7" xfId="33272" xr:uid="{00000000-0005-0000-0000-0000F8810000}"/>
    <cellStyle name="Normal 5 10 27 4 8" xfId="33273" xr:uid="{00000000-0005-0000-0000-0000F9810000}"/>
    <cellStyle name="Normal 5 10 27 4 9" xfId="33274" xr:uid="{00000000-0005-0000-0000-0000FA810000}"/>
    <cellStyle name="Normal 5 10 27 5" xfId="33275" xr:uid="{00000000-0005-0000-0000-0000FB810000}"/>
    <cellStyle name="Normal 5 10 27 5 10" xfId="33276" xr:uid="{00000000-0005-0000-0000-0000FC810000}"/>
    <cellStyle name="Normal 5 10 27 5 2" xfId="33277" xr:uid="{00000000-0005-0000-0000-0000FD810000}"/>
    <cellStyle name="Normal 5 10 27 5 3" xfId="33278" xr:uid="{00000000-0005-0000-0000-0000FE810000}"/>
    <cellStyle name="Normal 5 10 27 5 4" xfId="33279" xr:uid="{00000000-0005-0000-0000-0000FF810000}"/>
    <cellStyle name="Normal 5 10 27 5 5" xfId="33280" xr:uid="{00000000-0005-0000-0000-000000820000}"/>
    <cellStyle name="Normal 5 10 27 5 6" xfId="33281" xr:uid="{00000000-0005-0000-0000-000001820000}"/>
    <cellStyle name="Normal 5 10 27 5 7" xfId="33282" xr:uid="{00000000-0005-0000-0000-000002820000}"/>
    <cellStyle name="Normal 5 10 27 5 8" xfId="33283" xr:uid="{00000000-0005-0000-0000-000003820000}"/>
    <cellStyle name="Normal 5 10 27 5 9" xfId="33284" xr:uid="{00000000-0005-0000-0000-000004820000}"/>
    <cellStyle name="Normal 5 10 27 6" xfId="33285" xr:uid="{00000000-0005-0000-0000-000005820000}"/>
    <cellStyle name="Normal 5 10 27 7" xfId="33286" xr:uid="{00000000-0005-0000-0000-000006820000}"/>
    <cellStyle name="Normal 5 10 27 8" xfId="33287" xr:uid="{00000000-0005-0000-0000-000007820000}"/>
    <cellStyle name="Normal 5 10 27 9" xfId="33288" xr:uid="{00000000-0005-0000-0000-000008820000}"/>
    <cellStyle name="Normal 5 10 28" xfId="33289" xr:uid="{00000000-0005-0000-0000-000009820000}"/>
    <cellStyle name="Normal 5 10 28 10" xfId="33290" xr:uid="{00000000-0005-0000-0000-00000A820000}"/>
    <cellStyle name="Normal 5 10 28 11" xfId="33291" xr:uid="{00000000-0005-0000-0000-00000B820000}"/>
    <cellStyle name="Normal 5 10 28 12" xfId="33292" xr:uid="{00000000-0005-0000-0000-00000C820000}"/>
    <cellStyle name="Normal 5 10 28 13" xfId="33293" xr:uid="{00000000-0005-0000-0000-00000D820000}"/>
    <cellStyle name="Normal 5 10 28 14" xfId="33294" xr:uid="{00000000-0005-0000-0000-00000E820000}"/>
    <cellStyle name="Normal 5 10 28 2" xfId="33295" xr:uid="{00000000-0005-0000-0000-00000F820000}"/>
    <cellStyle name="Normal 5 10 28 2 10" xfId="33296" xr:uid="{00000000-0005-0000-0000-000010820000}"/>
    <cellStyle name="Normal 5 10 28 2 2" xfId="33297" xr:uid="{00000000-0005-0000-0000-000011820000}"/>
    <cellStyle name="Normal 5 10 28 2 3" xfId="33298" xr:uid="{00000000-0005-0000-0000-000012820000}"/>
    <cellStyle name="Normal 5 10 28 2 4" xfId="33299" xr:uid="{00000000-0005-0000-0000-000013820000}"/>
    <cellStyle name="Normal 5 10 28 2 5" xfId="33300" xr:uid="{00000000-0005-0000-0000-000014820000}"/>
    <cellStyle name="Normal 5 10 28 2 6" xfId="33301" xr:uid="{00000000-0005-0000-0000-000015820000}"/>
    <cellStyle name="Normal 5 10 28 2 7" xfId="33302" xr:uid="{00000000-0005-0000-0000-000016820000}"/>
    <cellStyle name="Normal 5 10 28 2 8" xfId="33303" xr:uid="{00000000-0005-0000-0000-000017820000}"/>
    <cellStyle name="Normal 5 10 28 2 9" xfId="33304" xr:uid="{00000000-0005-0000-0000-000018820000}"/>
    <cellStyle name="Normal 5 10 28 3" xfId="33305" xr:uid="{00000000-0005-0000-0000-000019820000}"/>
    <cellStyle name="Normal 5 10 28 3 10" xfId="33306" xr:uid="{00000000-0005-0000-0000-00001A820000}"/>
    <cellStyle name="Normal 5 10 28 3 2" xfId="33307" xr:uid="{00000000-0005-0000-0000-00001B820000}"/>
    <cellStyle name="Normal 5 10 28 3 3" xfId="33308" xr:uid="{00000000-0005-0000-0000-00001C820000}"/>
    <cellStyle name="Normal 5 10 28 3 4" xfId="33309" xr:uid="{00000000-0005-0000-0000-00001D820000}"/>
    <cellStyle name="Normal 5 10 28 3 5" xfId="33310" xr:uid="{00000000-0005-0000-0000-00001E820000}"/>
    <cellStyle name="Normal 5 10 28 3 6" xfId="33311" xr:uid="{00000000-0005-0000-0000-00001F820000}"/>
    <cellStyle name="Normal 5 10 28 3 7" xfId="33312" xr:uid="{00000000-0005-0000-0000-000020820000}"/>
    <cellStyle name="Normal 5 10 28 3 8" xfId="33313" xr:uid="{00000000-0005-0000-0000-000021820000}"/>
    <cellStyle name="Normal 5 10 28 3 9" xfId="33314" xr:uid="{00000000-0005-0000-0000-000022820000}"/>
    <cellStyle name="Normal 5 10 28 4" xfId="33315" xr:uid="{00000000-0005-0000-0000-000023820000}"/>
    <cellStyle name="Normal 5 10 28 4 10" xfId="33316" xr:uid="{00000000-0005-0000-0000-000024820000}"/>
    <cellStyle name="Normal 5 10 28 4 2" xfId="33317" xr:uid="{00000000-0005-0000-0000-000025820000}"/>
    <cellStyle name="Normal 5 10 28 4 3" xfId="33318" xr:uid="{00000000-0005-0000-0000-000026820000}"/>
    <cellStyle name="Normal 5 10 28 4 4" xfId="33319" xr:uid="{00000000-0005-0000-0000-000027820000}"/>
    <cellStyle name="Normal 5 10 28 4 5" xfId="33320" xr:uid="{00000000-0005-0000-0000-000028820000}"/>
    <cellStyle name="Normal 5 10 28 4 6" xfId="33321" xr:uid="{00000000-0005-0000-0000-000029820000}"/>
    <cellStyle name="Normal 5 10 28 4 7" xfId="33322" xr:uid="{00000000-0005-0000-0000-00002A820000}"/>
    <cellStyle name="Normal 5 10 28 4 8" xfId="33323" xr:uid="{00000000-0005-0000-0000-00002B820000}"/>
    <cellStyle name="Normal 5 10 28 4 9" xfId="33324" xr:uid="{00000000-0005-0000-0000-00002C820000}"/>
    <cellStyle name="Normal 5 10 28 5" xfId="33325" xr:uid="{00000000-0005-0000-0000-00002D820000}"/>
    <cellStyle name="Normal 5 10 28 5 10" xfId="33326" xr:uid="{00000000-0005-0000-0000-00002E820000}"/>
    <cellStyle name="Normal 5 10 28 5 2" xfId="33327" xr:uid="{00000000-0005-0000-0000-00002F820000}"/>
    <cellStyle name="Normal 5 10 28 5 3" xfId="33328" xr:uid="{00000000-0005-0000-0000-000030820000}"/>
    <cellStyle name="Normal 5 10 28 5 4" xfId="33329" xr:uid="{00000000-0005-0000-0000-000031820000}"/>
    <cellStyle name="Normal 5 10 28 5 5" xfId="33330" xr:uid="{00000000-0005-0000-0000-000032820000}"/>
    <cellStyle name="Normal 5 10 28 5 6" xfId="33331" xr:uid="{00000000-0005-0000-0000-000033820000}"/>
    <cellStyle name="Normal 5 10 28 5 7" xfId="33332" xr:uid="{00000000-0005-0000-0000-000034820000}"/>
    <cellStyle name="Normal 5 10 28 5 8" xfId="33333" xr:uid="{00000000-0005-0000-0000-000035820000}"/>
    <cellStyle name="Normal 5 10 28 5 9" xfId="33334" xr:uid="{00000000-0005-0000-0000-000036820000}"/>
    <cellStyle name="Normal 5 10 28 6" xfId="33335" xr:uid="{00000000-0005-0000-0000-000037820000}"/>
    <cellStyle name="Normal 5 10 28 7" xfId="33336" xr:uid="{00000000-0005-0000-0000-000038820000}"/>
    <cellStyle name="Normal 5 10 28 8" xfId="33337" xr:uid="{00000000-0005-0000-0000-000039820000}"/>
    <cellStyle name="Normal 5 10 28 9" xfId="33338" xr:uid="{00000000-0005-0000-0000-00003A820000}"/>
    <cellStyle name="Normal 5 10 29" xfId="33339" xr:uid="{00000000-0005-0000-0000-00003B820000}"/>
    <cellStyle name="Normal 5 10 29 10" xfId="33340" xr:uid="{00000000-0005-0000-0000-00003C820000}"/>
    <cellStyle name="Normal 5 10 29 11" xfId="33341" xr:uid="{00000000-0005-0000-0000-00003D820000}"/>
    <cellStyle name="Normal 5 10 29 12" xfId="33342" xr:uid="{00000000-0005-0000-0000-00003E820000}"/>
    <cellStyle name="Normal 5 10 29 13" xfId="33343" xr:uid="{00000000-0005-0000-0000-00003F820000}"/>
    <cellStyle name="Normal 5 10 29 14" xfId="33344" xr:uid="{00000000-0005-0000-0000-000040820000}"/>
    <cellStyle name="Normal 5 10 29 2" xfId="33345" xr:uid="{00000000-0005-0000-0000-000041820000}"/>
    <cellStyle name="Normal 5 10 29 2 10" xfId="33346" xr:uid="{00000000-0005-0000-0000-000042820000}"/>
    <cellStyle name="Normal 5 10 29 2 2" xfId="33347" xr:uid="{00000000-0005-0000-0000-000043820000}"/>
    <cellStyle name="Normal 5 10 29 2 3" xfId="33348" xr:uid="{00000000-0005-0000-0000-000044820000}"/>
    <cellStyle name="Normal 5 10 29 2 4" xfId="33349" xr:uid="{00000000-0005-0000-0000-000045820000}"/>
    <cellStyle name="Normal 5 10 29 2 5" xfId="33350" xr:uid="{00000000-0005-0000-0000-000046820000}"/>
    <cellStyle name="Normal 5 10 29 2 6" xfId="33351" xr:uid="{00000000-0005-0000-0000-000047820000}"/>
    <cellStyle name="Normal 5 10 29 2 7" xfId="33352" xr:uid="{00000000-0005-0000-0000-000048820000}"/>
    <cellStyle name="Normal 5 10 29 2 8" xfId="33353" xr:uid="{00000000-0005-0000-0000-000049820000}"/>
    <cellStyle name="Normal 5 10 29 2 9" xfId="33354" xr:uid="{00000000-0005-0000-0000-00004A820000}"/>
    <cellStyle name="Normal 5 10 29 3" xfId="33355" xr:uid="{00000000-0005-0000-0000-00004B820000}"/>
    <cellStyle name="Normal 5 10 29 3 10" xfId="33356" xr:uid="{00000000-0005-0000-0000-00004C820000}"/>
    <cellStyle name="Normal 5 10 29 3 2" xfId="33357" xr:uid="{00000000-0005-0000-0000-00004D820000}"/>
    <cellStyle name="Normal 5 10 29 3 3" xfId="33358" xr:uid="{00000000-0005-0000-0000-00004E820000}"/>
    <cellStyle name="Normal 5 10 29 3 4" xfId="33359" xr:uid="{00000000-0005-0000-0000-00004F820000}"/>
    <cellStyle name="Normal 5 10 29 3 5" xfId="33360" xr:uid="{00000000-0005-0000-0000-000050820000}"/>
    <cellStyle name="Normal 5 10 29 3 6" xfId="33361" xr:uid="{00000000-0005-0000-0000-000051820000}"/>
    <cellStyle name="Normal 5 10 29 3 7" xfId="33362" xr:uid="{00000000-0005-0000-0000-000052820000}"/>
    <cellStyle name="Normal 5 10 29 3 8" xfId="33363" xr:uid="{00000000-0005-0000-0000-000053820000}"/>
    <cellStyle name="Normal 5 10 29 3 9" xfId="33364" xr:uid="{00000000-0005-0000-0000-000054820000}"/>
    <cellStyle name="Normal 5 10 29 4" xfId="33365" xr:uid="{00000000-0005-0000-0000-000055820000}"/>
    <cellStyle name="Normal 5 10 29 4 10" xfId="33366" xr:uid="{00000000-0005-0000-0000-000056820000}"/>
    <cellStyle name="Normal 5 10 29 4 2" xfId="33367" xr:uid="{00000000-0005-0000-0000-000057820000}"/>
    <cellStyle name="Normal 5 10 29 4 3" xfId="33368" xr:uid="{00000000-0005-0000-0000-000058820000}"/>
    <cellStyle name="Normal 5 10 29 4 4" xfId="33369" xr:uid="{00000000-0005-0000-0000-000059820000}"/>
    <cellStyle name="Normal 5 10 29 4 5" xfId="33370" xr:uid="{00000000-0005-0000-0000-00005A820000}"/>
    <cellStyle name="Normal 5 10 29 4 6" xfId="33371" xr:uid="{00000000-0005-0000-0000-00005B820000}"/>
    <cellStyle name="Normal 5 10 29 4 7" xfId="33372" xr:uid="{00000000-0005-0000-0000-00005C820000}"/>
    <cellStyle name="Normal 5 10 29 4 8" xfId="33373" xr:uid="{00000000-0005-0000-0000-00005D820000}"/>
    <cellStyle name="Normal 5 10 29 4 9" xfId="33374" xr:uid="{00000000-0005-0000-0000-00005E820000}"/>
    <cellStyle name="Normal 5 10 29 5" xfId="33375" xr:uid="{00000000-0005-0000-0000-00005F820000}"/>
    <cellStyle name="Normal 5 10 29 5 10" xfId="33376" xr:uid="{00000000-0005-0000-0000-000060820000}"/>
    <cellStyle name="Normal 5 10 29 5 2" xfId="33377" xr:uid="{00000000-0005-0000-0000-000061820000}"/>
    <cellStyle name="Normal 5 10 29 5 3" xfId="33378" xr:uid="{00000000-0005-0000-0000-000062820000}"/>
    <cellStyle name="Normal 5 10 29 5 4" xfId="33379" xr:uid="{00000000-0005-0000-0000-000063820000}"/>
    <cellStyle name="Normal 5 10 29 5 5" xfId="33380" xr:uid="{00000000-0005-0000-0000-000064820000}"/>
    <cellStyle name="Normal 5 10 29 5 6" xfId="33381" xr:uid="{00000000-0005-0000-0000-000065820000}"/>
    <cellStyle name="Normal 5 10 29 5 7" xfId="33382" xr:uid="{00000000-0005-0000-0000-000066820000}"/>
    <cellStyle name="Normal 5 10 29 5 8" xfId="33383" xr:uid="{00000000-0005-0000-0000-000067820000}"/>
    <cellStyle name="Normal 5 10 29 5 9" xfId="33384" xr:uid="{00000000-0005-0000-0000-000068820000}"/>
    <cellStyle name="Normal 5 10 29 6" xfId="33385" xr:uid="{00000000-0005-0000-0000-000069820000}"/>
    <cellStyle name="Normal 5 10 29 7" xfId="33386" xr:uid="{00000000-0005-0000-0000-00006A820000}"/>
    <cellStyle name="Normal 5 10 29 8" xfId="33387" xr:uid="{00000000-0005-0000-0000-00006B820000}"/>
    <cellStyle name="Normal 5 10 29 9" xfId="33388" xr:uid="{00000000-0005-0000-0000-00006C820000}"/>
    <cellStyle name="Normal 5 10 3" xfId="33389" xr:uid="{00000000-0005-0000-0000-00006D820000}"/>
    <cellStyle name="Normal 5 10 3 10" xfId="33390" xr:uid="{00000000-0005-0000-0000-00006E820000}"/>
    <cellStyle name="Normal 5 10 3 11" xfId="33391" xr:uid="{00000000-0005-0000-0000-00006F820000}"/>
    <cellStyle name="Normal 5 10 3 12" xfId="33392" xr:uid="{00000000-0005-0000-0000-000070820000}"/>
    <cellStyle name="Normal 5 10 3 13" xfId="33393" xr:uid="{00000000-0005-0000-0000-000071820000}"/>
    <cellStyle name="Normal 5 10 3 14" xfId="33394" xr:uid="{00000000-0005-0000-0000-000072820000}"/>
    <cellStyle name="Normal 5 10 3 2" xfId="33395" xr:uid="{00000000-0005-0000-0000-000073820000}"/>
    <cellStyle name="Normal 5 10 3 2 10" xfId="33396" xr:uid="{00000000-0005-0000-0000-000074820000}"/>
    <cellStyle name="Normal 5 10 3 2 2" xfId="33397" xr:uid="{00000000-0005-0000-0000-000075820000}"/>
    <cellStyle name="Normal 5 10 3 2 3" xfId="33398" xr:uid="{00000000-0005-0000-0000-000076820000}"/>
    <cellStyle name="Normal 5 10 3 2 4" xfId="33399" xr:uid="{00000000-0005-0000-0000-000077820000}"/>
    <cellStyle name="Normal 5 10 3 2 5" xfId="33400" xr:uid="{00000000-0005-0000-0000-000078820000}"/>
    <cellStyle name="Normal 5 10 3 2 6" xfId="33401" xr:uid="{00000000-0005-0000-0000-000079820000}"/>
    <cellStyle name="Normal 5 10 3 2 7" xfId="33402" xr:uid="{00000000-0005-0000-0000-00007A820000}"/>
    <cellStyle name="Normal 5 10 3 2 8" xfId="33403" xr:uid="{00000000-0005-0000-0000-00007B820000}"/>
    <cellStyle name="Normal 5 10 3 2 9" xfId="33404" xr:uid="{00000000-0005-0000-0000-00007C820000}"/>
    <cellStyle name="Normal 5 10 3 3" xfId="33405" xr:uid="{00000000-0005-0000-0000-00007D820000}"/>
    <cellStyle name="Normal 5 10 3 3 10" xfId="33406" xr:uid="{00000000-0005-0000-0000-00007E820000}"/>
    <cellStyle name="Normal 5 10 3 3 2" xfId="33407" xr:uid="{00000000-0005-0000-0000-00007F820000}"/>
    <cellStyle name="Normal 5 10 3 3 3" xfId="33408" xr:uid="{00000000-0005-0000-0000-000080820000}"/>
    <cellStyle name="Normal 5 10 3 3 4" xfId="33409" xr:uid="{00000000-0005-0000-0000-000081820000}"/>
    <cellStyle name="Normal 5 10 3 3 5" xfId="33410" xr:uid="{00000000-0005-0000-0000-000082820000}"/>
    <cellStyle name="Normal 5 10 3 3 6" xfId="33411" xr:uid="{00000000-0005-0000-0000-000083820000}"/>
    <cellStyle name="Normal 5 10 3 3 7" xfId="33412" xr:uid="{00000000-0005-0000-0000-000084820000}"/>
    <cellStyle name="Normal 5 10 3 3 8" xfId="33413" xr:uid="{00000000-0005-0000-0000-000085820000}"/>
    <cellStyle name="Normal 5 10 3 3 9" xfId="33414" xr:uid="{00000000-0005-0000-0000-000086820000}"/>
    <cellStyle name="Normal 5 10 3 4" xfId="33415" xr:uid="{00000000-0005-0000-0000-000087820000}"/>
    <cellStyle name="Normal 5 10 3 4 10" xfId="33416" xr:uid="{00000000-0005-0000-0000-000088820000}"/>
    <cellStyle name="Normal 5 10 3 4 2" xfId="33417" xr:uid="{00000000-0005-0000-0000-000089820000}"/>
    <cellStyle name="Normal 5 10 3 4 3" xfId="33418" xr:uid="{00000000-0005-0000-0000-00008A820000}"/>
    <cellStyle name="Normal 5 10 3 4 4" xfId="33419" xr:uid="{00000000-0005-0000-0000-00008B820000}"/>
    <cellStyle name="Normal 5 10 3 4 5" xfId="33420" xr:uid="{00000000-0005-0000-0000-00008C820000}"/>
    <cellStyle name="Normal 5 10 3 4 6" xfId="33421" xr:uid="{00000000-0005-0000-0000-00008D820000}"/>
    <cellStyle name="Normal 5 10 3 4 7" xfId="33422" xr:uid="{00000000-0005-0000-0000-00008E820000}"/>
    <cellStyle name="Normal 5 10 3 4 8" xfId="33423" xr:uid="{00000000-0005-0000-0000-00008F820000}"/>
    <cellStyle name="Normal 5 10 3 4 9" xfId="33424" xr:uid="{00000000-0005-0000-0000-000090820000}"/>
    <cellStyle name="Normal 5 10 3 5" xfId="33425" xr:uid="{00000000-0005-0000-0000-000091820000}"/>
    <cellStyle name="Normal 5 10 3 5 10" xfId="33426" xr:uid="{00000000-0005-0000-0000-000092820000}"/>
    <cellStyle name="Normal 5 10 3 5 2" xfId="33427" xr:uid="{00000000-0005-0000-0000-000093820000}"/>
    <cellStyle name="Normal 5 10 3 5 3" xfId="33428" xr:uid="{00000000-0005-0000-0000-000094820000}"/>
    <cellStyle name="Normal 5 10 3 5 4" xfId="33429" xr:uid="{00000000-0005-0000-0000-000095820000}"/>
    <cellStyle name="Normal 5 10 3 5 5" xfId="33430" xr:uid="{00000000-0005-0000-0000-000096820000}"/>
    <cellStyle name="Normal 5 10 3 5 6" xfId="33431" xr:uid="{00000000-0005-0000-0000-000097820000}"/>
    <cellStyle name="Normal 5 10 3 5 7" xfId="33432" xr:uid="{00000000-0005-0000-0000-000098820000}"/>
    <cellStyle name="Normal 5 10 3 5 8" xfId="33433" xr:uid="{00000000-0005-0000-0000-000099820000}"/>
    <cellStyle name="Normal 5 10 3 5 9" xfId="33434" xr:uid="{00000000-0005-0000-0000-00009A820000}"/>
    <cellStyle name="Normal 5 10 3 6" xfId="33435" xr:uid="{00000000-0005-0000-0000-00009B820000}"/>
    <cellStyle name="Normal 5 10 3 7" xfId="33436" xr:uid="{00000000-0005-0000-0000-00009C820000}"/>
    <cellStyle name="Normal 5 10 3 8" xfId="33437" xr:uid="{00000000-0005-0000-0000-00009D820000}"/>
    <cellStyle name="Normal 5 10 3 9" xfId="33438" xr:uid="{00000000-0005-0000-0000-00009E820000}"/>
    <cellStyle name="Normal 5 10 30" xfId="33439" xr:uid="{00000000-0005-0000-0000-00009F820000}"/>
    <cellStyle name="Normal 5 10 30 10" xfId="33440" xr:uid="{00000000-0005-0000-0000-0000A0820000}"/>
    <cellStyle name="Normal 5 10 30 11" xfId="33441" xr:uid="{00000000-0005-0000-0000-0000A1820000}"/>
    <cellStyle name="Normal 5 10 30 12" xfId="33442" xr:uid="{00000000-0005-0000-0000-0000A2820000}"/>
    <cellStyle name="Normal 5 10 30 13" xfId="33443" xr:uid="{00000000-0005-0000-0000-0000A3820000}"/>
    <cellStyle name="Normal 5 10 30 14" xfId="33444" xr:uid="{00000000-0005-0000-0000-0000A4820000}"/>
    <cellStyle name="Normal 5 10 30 2" xfId="33445" xr:uid="{00000000-0005-0000-0000-0000A5820000}"/>
    <cellStyle name="Normal 5 10 30 2 10" xfId="33446" xr:uid="{00000000-0005-0000-0000-0000A6820000}"/>
    <cellStyle name="Normal 5 10 30 2 2" xfId="33447" xr:uid="{00000000-0005-0000-0000-0000A7820000}"/>
    <cellStyle name="Normal 5 10 30 2 3" xfId="33448" xr:uid="{00000000-0005-0000-0000-0000A8820000}"/>
    <cellStyle name="Normal 5 10 30 2 4" xfId="33449" xr:uid="{00000000-0005-0000-0000-0000A9820000}"/>
    <cellStyle name="Normal 5 10 30 2 5" xfId="33450" xr:uid="{00000000-0005-0000-0000-0000AA820000}"/>
    <cellStyle name="Normal 5 10 30 2 6" xfId="33451" xr:uid="{00000000-0005-0000-0000-0000AB820000}"/>
    <cellStyle name="Normal 5 10 30 2 7" xfId="33452" xr:uid="{00000000-0005-0000-0000-0000AC820000}"/>
    <cellStyle name="Normal 5 10 30 2 8" xfId="33453" xr:uid="{00000000-0005-0000-0000-0000AD820000}"/>
    <cellStyle name="Normal 5 10 30 2 9" xfId="33454" xr:uid="{00000000-0005-0000-0000-0000AE820000}"/>
    <cellStyle name="Normal 5 10 30 3" xfId="33455" xr:uid="{00000000-0005-0000-0000-0000AF820000}"/>
    <cellStyle name="Normal 5 10 30 3 10" xfId="33456" xr:uid="{00000000-0005-0000-0000-0000B0820000}"/>
    <cellStyle name="Normal 5 10 30 3 2" xfId="33457" xr:uid="{00000000-0005-0000-0000-0000B1820000}"/>
    <cellStyle name="Normal 5 10 30 3 3" xfId="33458" xr:uid="{00000000-0005-0000-0000-0000B2820000}"/>
    <cellStyle name="Normal 5 10 30 3 4" xfId="33459" xr:uid="{00000000-0005-0000-0000-0000B3820000}"/>
    <cellStyle name="Normal 5 10 30 3 5" xfId="33460" xr:uid="{00000000-0005-0000-0000-0000B4820000}"/>
    <cellStyle name="Normal 5 10 30 3 6" xfId="33461" xr:uid="{00000000-0005-0000-0000-0000B5820000}"/>
    <cellStyle name="Normal 5 10 30 3 7" xfId="33462" xr:uid="{00000000-0005-0000-0000-0000B6820000}"/>
    <cellStyle name="Normal 5 10 30 3 8" xfId="33463" xr:uid="{00000000-0005-0000-0000-0000B7820000}"/>
    <cellStyle name="Normal 5 10 30 3 9" xfId="33464" xr:uid="{00000000-0005-0000-0000-0000B8820000}"/>
    <cellStyle name="Normal 5 10 30 4" xfId="33465" xr:uid="{00000000-0005-0000-0000-0000B9820000}"/>
    <cellStyle name="Normal 5 10 30 4 10" xfId="33466" xr:uid="{00000000-0005-0000-0000-0000BA820000}"/>
    <cellStyle name="Normal 5 10 30 4 2" xfId="33467" xr:uid="{00000000-0005-0000-0000-0000BB820000}"/>
    <cellStyle name="Normal 5 10 30 4 3" xfId="33468" xr:uid="{00000000-0005-0000-0000-0000BC820000}"/>
    <cellStyle name="Normal 5 10 30 4 4" xfId="33469" xr:uid="{00000000-0005-0000-0000-0000BD820000}"/>
    <cellStyle name="Normal 5 10 30 4 5" xfId="33470" xr:uid="{00000000-0005-0000-0000-0000BE820000}"/>
    <cellStyle name="Normal 5 10 30 4 6" xfId="33471" xr:uid="{00000000-0005-0000-0000-0000BF820000}"/>
    <cellStyle name="Normal 5 10 30 4 7" xfId="33472" xr:uid="{00000000-0005-0000-0000-0000C0820000}"/>
    <cellStyle name="Normal 5 10 30 4 8" xfId="33473" xr:uid="{00000000-0005-0000-0000-0000C1820000}"/>
    <cellStyle name="Normal 5 10 30 4 9" xfId="33474" xr:uid="{00000000-0005-0000-0000-0000C2820000}"/>
    <cellStyle name="Normal 5 10 30 5" xfId="33475" xr:uid="{00000000-0005-0000-0000-0000C3820000}"/>
    <cellStyle name="Normal 5 10 30 5 10" xfId="33476" xr:uid="{00000000-0005-0000-0000-0000C4820000}"/>
    <cellStyle name="Normal 5 10 30 5 2" xfId="33477" xr:uid="{00000000-0005-0000-0000-0000C5820000}"/>
    <cellStyle name="Normal 5 10 30 5 3" xfId="33478" xr:uid="{00000000-0005-0000-0000-0000C6820000}"/>
    <cellStyle name="Normal 5 10 30 5 4" xfId="33479" xr:uid="{00000000-0005-0000-0000-0000C7820000}"/>
    <cellStyle name="Normal 5 10 30 5 5" xfId="33480" xr:uid="{00000000-0005-0000-0000-0000C8820000}"/>
    <cellStyle name="Normal 5 10 30 5 6" xfId="33481" xr:uid="{00000000-0005-0000-0000-0000C9820000}"/>
    <cellStyle name="Normal 5 10 30 5 7" xfId="33482" xr:uid="{00000000-0005-0000-0000-0000CA820000}"/>
    <cellStyle name="Normal 5 10 30 5 8" xfId="33483" xr:uid="{00000000-0005-0000-0000-0000CB820000}"/>
    <cellStyle name="Normal 5 10 30 5 9" xfId="33484" xr:uid="{00000000-0005-0000-0000-0000CC820000}"/>
    <cellStyle name="Normal 5 10 30 6" xfId="33485" xr:uid="{00000000-0005-0000-0000-0000CD820000}"/>
    <cellStyle name="Normal 5 10 30 7" xfId="33486" xr:uid="{00000000-0005-0000-0000-0000CE820000}"/>
    <cellStyle name="Normal 5 10 30 8" xfId="33487" xr:uid="{00000000-0005-0000-0000-0000CF820000}"/>
    <cellStyle name="Normal 5 10 30 9" xfId="33488" xr:uid="{00000000-0005-0000-0000-0000D0820000}"/>
    <cellStyle name="Normal 5 10 31" xfId="33489" xr:uid="{00000000-0005-0000-0000-0000D1820000}"/>
    <cellStyle name="Normal 5 10 31 10" xfId="33490" xr:uid="{00000000-0005-0000-0000-0000D2820000}"/>
    <cellStyle name="Normal 5 10 31 11" xfId="33491" xr:uid="{00000000-0005-0000-0000-0000D3820000}"/>
    <cellStyle name="Normal 5 10 31 12" xfId="33492" xr:uid="{00000000-0005-0000-0000-0000D4820000}"/>
    <cellStyle name="Normal 5 10 31 13" xfId="33493" xr:uid="{00000000-0005-0000-0000-0000D5820000}"/>
    <cellStyle name="Normal 5 10 31 14" xfId="33494" xr:uid="{00000000-0005-0000-0000-0000D6820000}"/>
    <cellStyle name="Normal 5 10 31 2" xfId="33495" xr:uid="{00000000-0005-0000-0000-0000D7820000}"/>
    <cellStyle name="Normal 5 10 31 2 10" xfId="33496" xr:uid="{00000000-0005-0000-0000-0000D8820000}"/>
    <cellStyle name="Normal 5 10 31 2 2" xfId="33497" xr:uid="{00000000-0005-0000-0000-0000D9820000}"/>
    <cellStyle name="Normal 5 10 31 2 3" xfId="33498" xr:uid="{00000000-0005-0000-0000-0000DA820000}"/>
    <cellStyle name="Normal 5 10 31 2 4" xfId="33499" xr:uid="{00000000-0005-0000-0000-0000DB820000}"/>
    <cellStyle name="Normal 5 10 31 2 5" xfId="33500" xr:uid="{00000000-0005-0000-0000-0000DC820000}"/>
    <cellStyle name="Normal 5 10 31 2 6" xfId="33501" xr:uid="{00000000-0005-0000-0000-0000DD820000}"/>
    <cellStyle name="Normal 5 10 31 2 7" xfId="33502" xr:uid="{00000000-0005-0000-0000-0000DE820000}"/>
    <cellStyle name="Normal 5 10 31 2 8" xfId="33503" xr:uid="{00000000-0005-0000-0000-0000DF820000}"/>
    <cellStyle name="Normal 5 10 31 2 9" xfId="33504" xr:uid="{00000000-0005-0000-0000-0000E0820000}"/>
    <cellStyle name="Normal 5 10 31 3" xfId="33505" xr:uid="{00000000-0005-0000-0000-0000E1820000}"/>
    <cellStyle name="Normal 5 10 31 3 10" xfId="33506" xr:uid="{00000000-0005-0000-0000-0000E2820000}"/>
    <cellStyle name="Normal 5 10 31 3 2" xfId="33507" xr:uid="{00000000-0005-0000-0000-0000E3820000}"/>
    <cellStyle name="Normal 5 10 31 3 3" xfId="33508" xr:uid="{00000000-0005-0000-0000-0000E4820000}"/>
    <cellStyle name="Normal 5 10 31 3 4" xfId="33509" xr:uid="{00000000-0005-0000-0000-0000E5820000}"/>
    <cellStyle name="Normal 5 10 31 3 5" xfId="33510" xr:uid="{00000000-0005-0000-0000-0000E6820000}"/>
    <cellStyle name="Normal 5 10 31 3 6" xfId="33511" xr:uid="{00000000-0005-0000-0000-0000E7820000}"/>
    <cellStyle name="Normal 5 10 31 3 7" xfId="33512" xr:uid="{00000000-0005-0000-0000-0000E8820000}"/>
    <cellStyle name="Normal 5 10 31 3 8" xfId="33513" xr:uid="{00000000-0005-0000-0000-0000E9820000}"/>
    <cellStyle name="Normal 5 10 31 3 9" xfId="33514" xr:uid="{00000000-0005-0000-0000-0000EA820000}"/>
    <cellStyle name="Normal 5 10 31 4" xfId="33515" xr:uid="{00000000-0005-0000-0000-0000EB820000}"/>
    <cellStyle name="Normal 5 10 31 4 10" xfId="33516" xr:uid="{00000000-0005-0000-0000-0000EC820000}"/>
    <cellStyle name="Normal 5 10 31 4 2" xfId="33517" xr:uid="{00000000-0005-0000-0000-0000ED820000}"/>
    <cellStyle name="Normal 5 10 31 4 3" xfId="33518" xr:uid="{00000000-0005-0000-0000-0000EE820000}"/>
    <cellStyle name="Normal 5 10 31 4 4" xfId="33519" xr:uid="{00000000-0005-0000-0000-0000EF820000}"/>
    <cellStyle name="Normal 5 10 31 4 5" xfId="33520" xr:uid="{00000000-0005-0000-0000-0000F0820000}"/>
    <cellStyle name="Normal 5 10 31 4 6" xfId="33521" xr:uid="{00000000-0005-0000-0000-0000F1820000}"/>
    <cellStyle name="Normal 5 10 31 4 7" xfId="33522" xr:uid="{00000000-0005-0000-0000-0000F2820000}"/>
    <cellStyle name="Normal 5 10 31 4 8" xfId="33523" xr:uid="{00000000-0005-0000-0000-0000F3820000}"/>
    <cellStyle name="Normal 5 10 31 4 9" xfId="33524" xr:uid="{00000000-0005-0000-0000-0000F4820000}"/>
    <cellStyle name="Normal 5 10 31 5" xfId="33525" xr:uid="{00000000-0005-0000-0000-0000F5820000}"/>
    <cellStyle name="Normal 5 10 31 5 10" xfId="33526" xr:uid="{00000000-0005-0000-0000-0000F6820000}"/>
    <cellStyle name="Normal 5 10 31 5 2" xfId="33527" xr:uid="{00000000-0005-0000-0000-0000F7820000}"/>
    <cellStyle name="Normal 5 10 31 5 3" xfId="33528" xr:uid="{00000000-0005-0000-0000-0000F8820000}"/>
    <cellStyle name="Normal 5 10 31 5 4" xfId="33529" xr:uid="{00000000-0005-0000-0000-0000F9820000}"/>
    <cellStyle name="Normal 5 10 31 5 5" xfId="33530" xr:uid="{00000000-0005-0000-0000-0000FA820000}"/>
    <cellStyle name="Normal 5 10 31 5 6" xfId="33531" xr:uid="{00000000-0005-0000-0000-0000FB820000}"/>
    <cellStyle name="Normal 5 10 31 5 7" xfId="33532" xr:uid="{00000000-0005-0000-0000-0000FC820000}"/>
    <cellStyle name="Normal 5 10 31 5 8" xfId="33533" xr:uid="{00000000-0005-0000-0000-0000FD820000}"/>
    <cellStyle name="Normal 5 10 31 5 9" xfId="33534" xr:uid="{00000000-0005-0000-0000-0000FE820000}"/>
    <cellStyle name="Normal 5 10 31 6" xfId="33535" xr:uid="{00000000-0005-0000-0000-0000FF820000}"/>
    <cellStyle name="Normal 5 10 31 7" xfId="33536" xr:uid="{00000000-0005-0000-0000-000000830000}"/>
    <cellStyle name="Normal 5 10 31 8" xfId="33537" xr:uid="{00000000-0005-0000-0000-000001830000}"/>
    <cellStyle name="Normal 5 10 31 9" xfId="33538" xr:uid="{00000000-0005-0000-0000-000002830000}"/>
    <cellStyle name="Normal 5 10 32" xfId="33539" xr:uid="{00000000-0005-0000-0000-000003830000}"/>
    <cellStyle name="Normal 5 10 32 10" xfId="33540" xr:uid="{00000000-0005-0000-0000-000004830000}"/>
    <cellStyle name="Normal 5 10 32 11" xfId="33541" xr:uid="{00000000-0005-0000-0000-000005830000}"/>
    <cellStyle name="Normal 5 10 32 12" xfId="33542" xr:uid="{00000000-0005-0000-0000-000006830000}"/>
    <cellStyle name="Normal 5 10 32 13" xfId="33543" xr:uid="{00000000-0005-0000-0000-000007830000}"/>
    <cellStyle name="Normal 5 10 32 14" xfId="33544" xr:uid="{00000000-0005-0000-0000-000008830000}"/>
    <cellStyle name="Normal 5 10 32 2" xfId="33545" xr:uid="{00000000-0005-0000-0000-000009830000}"/>
    <cellStyle name="Normal 5 10 32 2 10" xfId="33546" xr:uid="{00000000-0005-0000-0000-00000A830000}"/>
    <cellStyle name="Normal 5 10 32 2 2" xfId="33547" xr:uid="{00000000-0005-0000-0000-00000B830000}"/>
    <cellStyle name="Normal 5 10 32 2 3" xfId="33548" xr:uid="{00000000-0005-0000-0000-00000C830000}"/>
    <cellStyle name="Normal 5 10 32 2 4" xfId="33549" xr:uid="{00000000-0005-0000-0000-00000D830000}"/>
    <cellStyle name="Normal 5 10 32 2 5" xfId="33550" xr:uid="{00000000-0005-0000-0000-00000E830000}"/>
    <cellStyle name="Normal 5 10 32 2 6" xfId="33551" xr:uid="{00000000-0005-0000-0000-00000F830000}"/>
    <cellStyle name="Normal 5 10 32 2 7" xfId="33552" xr:uid="{00000000-0005-0000-0000-000010830000}"/>
    <cellStyle name="Normal 5 10 32 2 8" xfId="33553" xr:uid="{00000000-0005-0000-0000-000011830000}"/>
    <cellStyle name="Normal 5 10 32 2 9" xfId="33554" xr:uid="{00000000-0005-0000-0000-000012830000}"/>
    <cellStyle name="Normal 5 10 32 3" xfId="33555" xr:uid="{00000000-0005-0000-0000-000013830000}"/>
    <cellStyle name="Normal 5 10 32 3 10" xfId="33556" xr:uid="{00000000-0005-0000-0000-000014830000}"/>
    <cellStyle name="Normal 5 10 32 3 2" xfId="33557" xr:uid="{00000000-0005-0000-0000-000015830000}"/>
    <cellStyle name="Normal 5 10 32 3 3" xfId="33558" xr:uid="{00000000-0005-0000-0000-000016830000}"/>
    <cellStyle name="Normal 5 10 32 3 4" xfId="33559" xr:uid="{00000000-0005-0000-0000-000017830000}"/>
    <cellStyle name="Normal 5 10 32 3 5" xfId="33560" xr:uid="{00000000-0005-0000-0000-000018830000}"/>
    <cellStyle name="Normal 5 10 32 3 6" xfId="33561" xr:uid="{00000000-0005-0000-0000-000019830000}"/>
    <cellStyle name="Normal 5 10 32 3 7" xfId="33562" xr:uid="{00000000-0005-0000-0000-00001A830000}"/>
    <cellStyle name="Normal 5 10 32 3 8" xfId="33563" xr:uid="{00000000-0005-0000-0000-00001B830000}"/>
    <cellStyle name="Normal 5 10 32 3 9" xfId="33564" xr:uid="{00000000-0005-0000-0000-00001C830000}"/>
    <cellStyle name="Normal 5 10 32 4" xfId="33565" xr:uid="{00000000-0005-0000-0000-00001D830000}"/>
    <cellStyle name="Normal 5 10 32 4 10" xfId="33566" xr:uid="{00000000-0005-0000-0000-00001E830000}"/>
    <cellStyle name="Normal 5 10 32 4 2" xfId="33567" xr:uid="{00000000-0005-0000-0000-00001F830000}"/>
    <cellStyle name="Normal 5 10 32 4 3" xfId="33568" xr:uid="{00000000-0005-0000-0000-000020830000}"/>
    <cellStyle name="Normal 5 10 32 4 4" xfId="33569" xr:uid="{00000000-0005-0000-0000-000021830000}"/>
    <cellStyle name="Normal 5 10 32 4 5" xfId="33570" xr:uid="{00000000-0005-0000-0000-000022830000}"/>
    <cellStyle name="Normal 5 10 32 4 6" xfId="33571" xr:uid="{00000000-0005-0000-0000-000023830000}"/>
    <cellStyle name="Normal 5 10 32 4 7" xfId="33572" xr:uid="{00000000-0005-0000-0000-000024830000}"/>
    <cellStyle name="Normal 5 10 32 4 8" xfId="33573" xr:uid="{00000000-0005-0000-0000-000025830000}"/>
    <cellStyle name="Normal 5 10 32 4 9" xfId="33574" xr:uid="{00000000-0005-0000-0000-000026830000}"/>
    <cellStyle name="Normal 5 10 32 5" xfId="33575" xr:uid="{00000000-0005-0000-0000-000027830000}"/>
    <cellStyle name="Normal 5 10 32 5 10" xfId="33576" xr:uid="{00000000-0005-0000-0000-000028830000}"/>
    <cellStyle name="Normal 5 10 32 5 2" xfId="33577" xr:uid="{00000000-0005-0000-0000-000029830000}"/>
    <cellStyle name="Normal 5 10 32 5 3" xfId="33578" xr:uid="{00000000-0005-0000-0000-00002A830000}"/>
    <cellStyle name="Normal 5 10 32 5 4" xfId="33579" xr:uid="{00000000-0005-0000-0000-00002B830000}"/>
    <cellStyle name="Normal 5 10 32 5 5" xfId="33580" xr:uid="{00000000-0005-0000-0000-00002C830000}"/>
    <cellStyle name="Normal 5 10 32 5 6" xfId="33581" xr:uid="{00000000-0005-0000-0000-00002D830000}"/>
    <cellStyle name="Normal 5 10 32 5 7" xfId="33582" xr:uid="{00000000-0005-0000-0000-00002E830000}"/>
    <cellStyle name="Normal 5 10 32 5 8" xfId="33583" xr:uid="{00000000-0005-0000-0000-00002F830000}"/>
    <cellStyle name="Normal 5 10 32 5 9" xfId="33584" xr:uid="{00000000-0005-0000-0000-000030830000}"/>
    <cellStyle name="Normal 5 10 32 6" xfId="33585" xr:uid="{00000000-0005-0000-0000-000031830000}"/>
    <cellStyle name="Normal 5 10 32 7" xfId="33586" xr:uid="{00000000-0005-0000-0000-000032830000}"/>
    <cellStyle name="Normal 5 10 32 8" xfId="33587" xr:uid="{00000000-0005-0000-0000-000033830000}"/>
    <cellStyle name="Normal 5 10 32 9" xfId="33588" xr:uid="{00000000-0005-0000-0000-000034830000}"/>
    <cellStyle name="Normal 5 10 33" xfId="33589" xr:uid="{00000000-0005-0000-0000-000035830000}"/>
    <cellStyle name="Normal 5 10 33 10" xfId="33590" xr:uid="{00000000-0005-0000-0000-000036830000}"/>
    <cellStyle name="Normal 5 10 33 11" xfId="33591" xr:uid="{00000000-0005-0000-0000-000037830000}"/>
    <cellStyle name="Normal 5 10 33 12" xfId="33592" xr:uid="{00000000-0005-0000-0000-000038830000}"/>
    <cellStyle name="Normal 5 10 33 13" xfId="33593" xr:uid="{00000000-0005-0000-0000-000039830000}"/>
    <cellStyle name="Normal 5 10 33 14" xfId="33594" xr:uid="{00000000-0005-0000-0000-00003A830000}"/>
    <cellStyle name="Normal 5 10 33 2" xfId="33595" xr:uid="{00000000-0005-0000-0000-00003B830000}"/>
    <cellStyle name="Normal 5 10 33 2 10" xfId="33596" xr:uid="{00000000-0005-0000-0000-00003C830000}"/>
    <cellStyle name="Normal 5 10 33 2 2" xfId="33597" xr:uid="{00000000-0005-0000-0000-00003D830000}"/>
    <cellStyle name="Normal 5 10 33 2 3" xfId="33598" xr:uid="{00000000-0005-0000-0000-00003E830000}"/>
    <cellStyle name="Normal 5 10 33 2 4" xfId="33599" xr:uid="{00000000-0005-0000-0000-00003F830000}"/>
    <cellStyle name="Normal 5 10 33 2 5" xfId="33600" xr:uid="{00000000-0005-0000-0000-000040830000}"/>
    <cellStyle name="Normal 5 10 33 2 6" xfId="33601" xr:uid="{00000000-0005-0000-0000-000041830000}"/>
    <cellStyle name="Normal 5 10 33 2 7" xfId="33602" xr:uid="{00000000-0005-0000-0000-000042830000}"/>
    <cellStyle name="Normal 5 10 33 2 8" xfId="33603" xr:uid="{00000000-0005-0000-0000-000043830000}"/>
    <cellStyle name="Normal 5 10 33 2 9" xfId="33604" xr:uid="{00000000-0005-0000-0000-000044830000}"/>
    <cellStyle name="Normal 5 10 33 3" xfId="33605" xr:uid="{00000000-0005-0000-0000-000045830000}"/>
    <cellStyle name="Normal 5 10 33 3 10" xfId="33606" xr:uid="{00000000-0005-0000-0000-000046830000}"/>
    <cellStyle name="Normal 5 10 33 3 2" xfId="33607" xr:uid="{00000000-0005-0000-0000-000047830000}"/>
    <cellStyle name="Normal 5 10 33 3 3" xfId="33608" xr:uid="{00000000-0005-0000-0000-000048830000}"/>
    <cellStyle name="Normal 5 10 33 3 4" xfId="33609" xr:uid="{00000000-0005-0000-0000-000049830000}"/>
    <cellStyle name="Normal 5 10 33 3 5" xfId="33610" xr:uid="{00000000-0005-0000-0000-00004A830000}"/>
    <cellStyle name="Normal 5 10 33 3 6" xfId="33611" xr:uid="{00000000-0005-0000-0000-00004B830000}"/>
    <cellStyle name="Normal 5 10 33 3 7" xfId="33612" xr:uid="{00000000-0005-0000-0000-00004C830000}"/>
    <cellStyle name="Normal 5 10 33 3 8" xfId="33613" xr:uid="{00000000-0005-0000-0000-00004D830000}"/>
    <cellStyle name="Normal 5 10 33 3 9" xfId="33614" xr:uid="{00000000-0005-0000-0000-00004E830000}"/>
    <cellStyle name="Normal 5 10 33 4" xfId="33615" xr:uid="{00000000-0005-0000-0000-00004F830000}"/>
    <cellStyle name="Normal 5 10 33 4 10" xfId="33616" xr:uid="{00000000-0005-0000-0000-000050830000}"/>
    <cellStyle name="Normal 5 10 33 4 2" xfId="33617" xr:uid="{00000000-0005-0000-0000-000051830000}"/>
    <cellStyle name="Normal 5 10 33 4 3" xfId="33618" xr:uid="{00000000-0005-0000-0000-000052830000}"/>
    <cellStyle name="Normal 5 10 33 4 4" xfId="33619" xr:uid="{00000000-0005-0000-0000-000053830000}"/>
    <cellStyle name="Normal 5 10 33 4 5" xfId="33620" xr:uid="{00000000-0005-0000-0000-000054830000}"/>
    <cellStyle name="Normal 5 10 33 4 6" xfId="33621" xr:uid="{00000000-0005-0000-0000-000055830000}"/>
    <cellStyle name="Normal 5 10 33 4 7" xfId="33622" xr:uid="{00000000-0005-0000-0000-000056830000}"/>
    <cellStyle name="Normal 5 10 33 4 8" xfId="33623" xr:uid="{00000000-0005-0000-0000-000057830000}"/>
    <cellStyle name="Normal 5 10 33 4 9" xfId="33624" xr:uid="{00000000-0005-0000-0000-000058830000}"/>
    <cellStyle name="Normal 5 10 33 5" xfId="33625" xr:uid="{00000000-0005-0000-0000-000059830000}"/>
    <cellStyle name="Normal 5 10 33 5 10" xfId="33626" xr:uid="{00000000-0005-0000-0000-00005A830000}"/>
    <cellStyle name="Normal 5 10 33 5 2" xfId="33627" xr:uid="{00000000-0005-0000-0000-00005B830000}"/>
    <cellStyle name="Normal 5 10 33 5 3" xfId="33628" xr:uid="{00000000-0005-0000-0000-00005C830000}"/>
    <cellStyle name="Normal 5 10 33 5 4" xfId="33629" xr:uid="{00000000-0005-0000-0000-00005D830000}"/>
    <cellStyle name="Normal 5 10 33 5 5" xfId="33630" xr:uid="{00000000-0005-0000-0000-00005E830000}"/>
    <cellStyle name="Normal 5 10 33 5 6" xfId="33631" xr:uid="{00000000-0005-0000-0000-00005F830000}"/>
    <cellStyle name="Normal 5 10 33 5 7" xfId="33632" xr:uid="{00000000-0005-0000-0000-000060830000}"/>
    <cellStyle name="Normal 5 10 33 5 8" xfId="33633" xr:uid="{00000000-0005-0000-0000-000061830000}"/>
    <cellStyle name="Normal 5 10 33 5 9" xfId="33634" xr:uid="{00000000-0005-0000-0000-000062830000}"/>
    <cellStyle name="Normal 5 10 33 6" xfId="33635" xr:uid="{00000000-0005-0000-0000-000063830000}"/>
    <cellStyle name="Normal 5 10 33 7" xfId="33636" xr:uid="{00000000-0005-0000-0000-000064830000}"/>
    <cellStyle name="Normal 5 10 33 8" xfId="33637" xr:uid="{00000000-0005-0000-0000-000065830000}"/>
    <cellStyle name="Normal 5 10 33 9" xfId="33638" xr:uid="{00000000-0005-0000-0000-000066830000}"/>
    <cellStyle name="Normal 5 10 34" xfId="33639" xr:uid="{00000000-0005-0000-0000-000067830000}"/>
    <cellStyle name="Normal 5 10 34 10" xfId="33640" xr:uid="{00000000-0005-0000-0000-000068830000}"/>
    <cellStyle name="Normal 5 10 34 11" xfId="33641" xr:uid="{00000000-0005-0000-0000-000069830000}"/>
    <cellStyle name="Normal 5 10 34 12" xfId="33642" xr:uid="{00000000-0005-0000-0000-00006A830000}"/>
    <cellStyle name="Normal 5 10 34 13" xfId="33643" xr:uid="{00000000-0005-0000-0000-00006B830000}"/>
    <cellStyle name="Normal 5 10 34 14" xfId="33644" xr:uid="{00000000-0005-0000-0000-00006C830000}"/>
    <cellStyle name="Normal 5 10 34 2" xfId="33645" xr:uid="{00000000-0005-0000-0000-00006D830000}"/>
    <cellStyle name="Normal 5 10 34 2 10" xfId="33646" xr:uid="{00000000-0005-0000-0000-00006E830000}"/>
    <cellStyle name="Normal 5 10 34 2 2" xfId="33647" xr:uid="{00000000-0005-0000-0000-00006F830000}"/>
    <cellStyle name="Normal 5 10 34 2 3" xfId="33648" xr:uid="{00000000-0005-0000-0000-000070830000}"/>
    <cellStyle name="Normal 5 10 34 2 4" xfId="33649" xr:uid="{00000000-0005-0000-0000-000071830000}"/>
    <cellStyle name="Normal 5 10 34 2 5" xfId="33650" xr:uid="{00000000-0005-0000-0000-000072830000}"/>
    <cellStyle name="Normal 5 10 34 2 6" xfId="33651" xr:uid="{00000000-0005-0000-0000-000073830000}"/>
    <cellStyle name="Normal 5 10 34 2 7" xfId="33652" xr:uid="{00000000-0005-0000-0000-000074830000}"/>
    <cellStyle name="Normal 5 10 34 2 8" xfId="33653" xr:uid="{00000000-0005-0000-0000-000075830000}"/>
    <cellStyle name="Normal 5 10 34 2 9" xfId="33654" xr:uid="{00000000-0005-0000-0000-000076830000}"/>
    <cellStyle name="Normal 5 10 34 3" xfId="33655" xr:uid="{00000000-0005-0000-0000-000077830000}"/>
    <cellStyle name="Normal 5 10 34 3 10" xfId="33656" xr:uid="{00000000-0005-0000-0000-000078830000}"/>
    <cellStyle name="Normal 5 10 34 3 2" xfId="33657" xr:uid="{00000000-0005-0000-0000-000079830000}"/>
    <cellStyle name="Normal 5 10 34 3 3" xfId="33658" xr:uid="{00000000-0005-0000-0000-00007A830000}"/>
    <cellStyle name="Normal 5 10 34 3 4" xfId="33659" xr:uid="{00000000-0005-0000-0000-00007B830000}"/>
    <cellStyle name="Normal 5 10 34 3 5" xfId="33660" xr:uid="{00000000-0005-0000-0000-00007C830000}"/>
    <cellStyle name="Normal 5 10 34 3 6" xfId="33661" xr:uid="{00000000-0005-0000-0000-00007D830000}"/>
    <cellStyle name="Normal 5 10 34 3 7" xfId="33662" xr:uid="{00000000-0005-0000-0000-00007E830000}"/>
    <cellStyle name="Normal 5 10 34 3 8" xfId="33663" xr:uid="{00000000-0005-0000-0000-00007F830000}"/>
    <cellStyle name="Normal 5 10 34 3 9" xfId="33664" xr:uid="{00000000-0005-0000-0000-000080830000}"/>
    <cellStyle name="Normal 5 10 34 4" xfId="33665" xr:uid="{00000000-0005-0000-0000-000081830000}"/>
    <cellStyle name="Normal 5 10 34 4 10" xfId="33666" xr:uid="{00000000-0005-0000-0000-000082830000}"/>
    <cellStyle name="Normal 5 10 34 4 2" xfId="33667" xr:uid="{00000000-0005-0000-0000-000083830000}"/>
    <cellStyle name="Normal 5 10 34 4 3" xfId="33668" xr:uid="{00000000-0005-0000-0000-000084830000}"/>
    <cellStyle name="Normal 5 10 34 4 4" xfId="33669" xr:uid="{00000000-0005-0000-0000-000085830000}"/>
    <cellStyle name="Normal 5 10 34 4 5" xfId="33670" xr:uid="{00000000-0005-0000-0000-000086830000}"/>
    <cellStyle name="Normal 5 10 34 4 6" xfId="33671" xr:uid="{00000000-0005-0000-0000-000087830000}"/>
    <cellStyle name="Normal 5 10 34 4 7" xfId="33672" xr:uid="{00000000-0005-0000-0000-000088830000}"/>
    <cellStyle name="Normal 5 10 34 4 8" xfId="33673" xr:uid="{00000000-0005-0000-0000-000089830000}"/>
    <cellStyle name="Normal 5 10 34 4 9" xfId="33674" xr:uid="{00000000-0005-0000-0000-00008A830000}"/>
    <cellStyle name="Normal 5 10 34 5" xfId="33675" xr:uid="{00000000-0005-0000-0000-00008B830000}"/>
    <cellStyle name="Normal 5 10 34 5 10" xfId="33676" xr:uid="{00000000-0005-0000-0000-00008C830000}"/>
    <cellStyle name="Normal 5 10 34 5 2" xfId="33677" xr:uid="{00000000-0005-0000-0000-00008D830000}"/>
    <cellStyle name="Normal 5 10 34 5 3" xfId="33678" xr:uid="{00000000-0005-0000-0000-00008E830000}"/>
    <cellStyle name="Normal 5 10 34 5 4" xfId="33679" xr:uid="{00000000-0005-0000-0000-00008F830000}"/>
    <cellStyle name="Normal 5 10 34 5 5" xfId="33680" xr:uid="{00000000-0005-0000-0000-000090830000}"/>
    <cellStyle name="Normal 5 10 34 5 6" xfId="33681" xr:uid="{00000000-0005-0000-0000-000091830000}"/>
    <cellStyle name="Normal 5 10 34 5 7" xfId="33682" xr:uid="{00000000-0005-0000-0000-000092830000}"/>
    <cellStyle name="Normal 5 10 34 5 8" xfId="33683" xr:uid="{00000000-0005-0000-0000-000093830000}"/>
    <cellStyle name="Normal 5 10 34 5 9" xfId="33684" xr:uid="{00000000-0005-0000-0000-000094830000}"/>
    <cellStyle name="Normal 5 10 34 6" xfId="33685" xr:uid="{00000000-0005-0000-0000-000095830000}"/>
    <cellStyle name="Normal 5 10 34 7" xfId="33686" xr:uid="{00000000-0005-0000-0000-000096830000}"/>
    <cellStyle name="Normal 5 10 34 8" xfId="33687" xr:uid="{00000000-0005-0000-0000-000097830000}"/>
    <cellStyle name="Normal 5 10 34 9" xfId="33688" xr:uid="{00000000-0005-0000-0000-000098830000}"/>
    <cellStyle name="Normal 5 10 35" xfId="33689" xr:uid="{00000000-0005-0000-0000-000099830000}"/>
    <cellStyle name="Normal 5 10 35 10" xfId="33690" xr:uid="{00000000-0005-0000-0000-00009A830000}"/>
    <cellStyle name="Normal 5 10 35 2" xfId="33691" xr:uid="{00000000-0005-0000-0000-00009B830000}"/>
    <cellStyle name="Normal 5 10 35 3" xfId="33692" xr:uid="{00000000-0005-0000-0000-00009C830000}"/>
    <cellStyle name="Normal 5 10 35 4" xfId="33693" xr:uid="{00000000-0005-0000-0000-00009D830000}"/>
    <cellStyle name="Normal 5 10 35 5" xfId="33694" xr:uid="{00000000-0005-0000-0000-00009E830000}"/>
    <cellStyle name="Normal 5 10 35 6" xfId="33695" xr:uid="{00000000-0005-0000-0000-00009F830000}"/>
    <cellStyle name="Normal 5 10 35 7" xfId="33696" xr:uid="{00000000-0005-0000-0000-0000A0830000}"/>
    <cellStyle name="Normal 5 10 35 8" xfId="33697" xr:uid="{00000000-0005-0000-0000-0000A1830000}"/>
    <cellStyle name="Normal 5 10 35 9" xfId="33698" xr:uid="{00000000-0005-0000-0000-0000A2830000}"/>
    <cellStyle name="Normal 5 10 36" xfId="33699" xr:uid="{00000000-0005-0000-0000-0000A3830000}"/>
    <cellStyle name="Normal 5 10 36 10" xfId="33700" xr:uid="{00000000-0005-0000-0000-0000A4830000}"/>
    <cellStyle name="Normal 5 10 36 2" xfId="33701" xr:uid="{00000000-0005-0000-0000-0000A5830000}"/>
    <cellStyle name="Normal 5 10 36 3" xfId="33702" xr:uid="{00000000-0005-0000-0000-0000A6830000}"/>
    <cellStyle name="Normal 5 10 36 4" xfId="33703" xr:uid="{00000000-0005-0000-0000-0000A7830000}"/>
    <cellStyle name="Normal 5 10 36 5" xfId="33704" xr:uid="{00000000-0005-0000-0000-0000A8830000}"/>
    <cellStyle name="Normal 5 10 36 6" xfId="33705" xr:uid="{00000000-0005-0000-0000-0000A9830000}"/>
    <cellStyle name="Normal 5 10 36 7" xfId="33706" xr:uid="{00000000-0005-0000-0000-0000AA830000}"/>
    <cellStyle name="Normal 5 10 36 8" xfId="33707" xr:uid="{00000000-0005-0000-0000-0000AB830000}"/>
    <cellStyle name="Normal 5 10 36 9" xfId="33708" xr:uid="{00000000-0005-0000-0000-0000AC830000}"/>
    <cellStyle name="Normal 5 10 37" xfId="33709" xr:uid="{00000000-0005-0000-0000-0000AD830000}"/>
    <cellStyle name="Normal 5 10 37 10" xfId="33710" xr:uid="{00000000-0005-0000-0000-0000AE830000}"/>
    <cellStyle name="Normal 5 10 37 2" xfId="33711" xr:uid="{00000000-0005-0000-0000-0000AF830000}"/>
    <cellStyle name="Normal 5 10 37 3" xfId="33712" xr:uid="{00000000-0005-0000-0000-0000B0830000}"/>
    <cellStyle name="Normal 5 10 37 4" xfId="33713" xr:uid="{00000000-0005-0000-0000-0000B1830000}"/>
    <cellStyle name="Normal 5 10 37 5" xfId="33714" xr:uid="{00000000-0005-0000-0000-0000B2830000}"/>
    <cellStyle name="Normal 5 10 37 6" xfId="33715" xr:uid="{00000000-0005-0000-0000-0000B3830000}"/>
    <cellStyle name="Normal 5 10 37 7" xfId="33716" xr:uid="{00000000-0005-0000-0000-0000B4830000}"/>
    <cellStyle name="Normal 5 10 37 8" xfId="33717" xr:uid="{00000000-0005-0000-0000-0000B5830000}"/>
    <cellStyle name="Normal 5 10 37 9" xfId="33718" xr:uid="{00000000-0005-0000-0000-0000B6830000}"/>
    <cellStyle name="Normal 5 10 38" xfId="33719" xr:uid="{00000000-0005-0000-0000-0000B7830000}"/>
    <cellStyle name="Normal 5 10 38 10" xfId="33720" xr:uid="{00000000-0005-0000-0000-0000B8830000}"/>
    <cellStyle name="Normal 5 10 38 2" xfId="33721" xr:uid="{00000000-0005-0000-0000-0000B9830000}"/>
    <cellStyle name="Normal 5 10 38 3" xfId="33722" xr:uid="{00000000-0005-0000-0000-0000BA830000}"/>
    <cellStyle name="Normal 5 10 38 4" xfId="33723" xr:uid="{00000000-0005-0000-0000-0000BB830000}"/>
    <cellStyle name="Normal 5 10 38 5" xfId="33724" xr:uid="{00000000-0005-0000-0000-0000BC830000}"/>
    <cellStyle name="Normal 5 10 38 6" xfId="33725" xr:uid="{00000000-0005-0000-0000-0000BD830000}"/>
    <cellStyle name="Normal 5 10 38 7" xfId="33726" xr:uid="{00000000-0005-0000-0000-0000BE830000}"/>
    <cellStyle name="Normal 5 10 38 8" xfId="33727" xr:uid="{00000000-0005-0000-0000-0000BF830000}"/>
    <cellStyle name="Normal 5 10 38 9" xfId="33728" xr:uid="{00000000-0005-0000-0000-0000C0830000}"/>
    <cellStyle name="Normal 5 10 39" xfId="33729" xr:uid="{00000000-0005-0000-0000-0000C1830000}"/>
    <cellStyle name="Normal 5 10 4" xfId="33730" xr:uid="{00000000-0005-0000-0000-0000C2830000}"/>
    <cellStyle name="Normal 5 10 4 10" xfId="33731" xr:uid="{00000000-0005-0000-0000-0000C3830000}"/>
    <cellStyle name="Normal 5 10 4 11" xfId="33732" xr:uid="{00000000-0005-0000-0000-0000C4830000}"/>
    <cellStyle name="Normal 5 10 4 12" xfId="33733" xr:uid="{00000000-0005-0000-0000-0000C5830000}"/>
    <cellStyle name="Normal 5 10 4 13" xfId="33734" xr:uid="{00000000-0005-0000-0000-0000C6830000}"/>
    <cellStyle name="Normal 5 10 4 14" xfId="33735" xr:uid="{00000000-0005-0000-0000-0000C7830000}"/>
    <cellStyle name="Normal 5 10 4 2" xfId="33736" xr:uid="{00000000-0005-0000-0000-0000C8830000}"/>
    <cellStyle name="Normal 5 10 4 2 10" xfId="33737" xr:uid="{00000000-0005-0000-0000-0000C9830000}"/>
    <cellStyle name="Normal 5 10 4 2 2" xfId="33738" xr:uid="{00000000-0005-0000-0000-0000CA830000}"/>
    <cellStyle name="Normal 5 10 4 2 3" xfId="33739" xr:uid="{00000000-0005-0000-0000-0000CB830000}"/>
    <cellStyle name="Normal 5 10 4 2 4" xfId="33740" xr:uid="{00000000-0005-0000-0000-0000CC830000}"/>
    <cellStyle name="Normal 5 10 4 2 5" xfId="33741" xr:uid="{00000000-0005-0000-0000-0000CD830000}"/>
    <cellStyle name="Normal 5 10 4 2 6" xfId="33742" xr:uid="{00000000-0005-0000-0000-0000CE830000}"/>
    <cellStyle name="Normal 5 10 4 2 7" xfId="33743" xr:uid="{00000000-0005-0000-0000-0000CF830000}"/>
    <cellStyle name="Normal 5 10 4 2 8" xfId="33744" xr:uid="{00000000-0005-0000-0000-0000D0830000}"/>
    <cellStyle name="Normal 5 10 4 2 9" xfId="33745" xr:uid="{00000000-0005-0000-0000-0000D1830000}"/>
    <cellStyle name="Normal 5 10 4 3" xfId="33746" xr:uid="{00000000-0005-0000-0000-0000D2830000}"/>
    <cellStyle name="Normal 5 10 4 3 10" xfId="33747" xr:uid="{00000000-0005-0000-0000-0000D3830000}"/>
    <cellStyle name="Normal 5 10 4 3 2" xfId="33748" xr:uid="{00000000-0005-0000-0000-0000D4830000}"/>
    <cellStyle name="Normal 5 10 4 3 3" xfId="33749" xr:uid="{00000000-0005-0000-0000-0000D5830000}"/>
    <cellStyle name="Normal 5 10 4 3 4" xfId="33750" xr:uid="{00000000-0005-0000-0000-0000D6830000}"/>
    <cellStyle name="Normal 5 10 4 3 5" xfId="33751" xr:uid="{00000000-0005-0000-0000-0000D7830000}"/>
    <cellStyle name="Normal 5 10 4 3 6" xfId="33752" xr:uid="{00000000-0005-0000-0000-0000D8830000}"/>
    <cellStyle name="Normal 5 10 4 3 7" xfId="33753" xr:uid="{00000000-0005-0000-0000-0000D9830000}"/>
    <cellStyle name="Normal 5 10 4 3 8" xfId="33754" xr:uid="{00000000-0005-0000-0000-0000DA830000}"/>
    <cellStyle name="Normal 5 10 4 3 9" xfId="33755" xr:uid="{00000000-0005-0000-0000-0000DB830000}"/>
    <cellStyle name="Normal 5 10 4 4" xfId="33756" xr:uid="{00000000-0005-0000-0000-0000DC830000}"/>
    <cellStyle name="Normal 5 10 4 4 10" xfId="33757" xr:uid="{00000000-0005-0000-0000-0000DD830000}"/>
    <cellStyle name="Normal 5 10 4 4 2" xfId="33758" xr:uid="{00000000-0005-0000-0000-0000DE830000}"/>
    <cellStyle name="Normal 5 10 4 4 3" xfId="33759" xr:uid="{00000000-0005-0000-0000-0000DF830000}"/>
    <cellStyle name="Normal 5 10 4 4 4" xfId="33760" xr:uid="{00000000-0005-0000-0000-0000E0830000}"/>
    <cellStyle name="Normal 5 10 4 4 5" xfId="33761" xr:uid="{00000000-0005-0000-0000-0000E1830000}"/>
    <cellStyle name="Normal 5 10 4 4 6" xfId="33762" xr:uid="{00000000-0005-0000-0000-0000E2830000}"/>
    <cellStyle name="Normal 5 10 4 4 7" xfId="33763" xr:uid="{00000000-0005-0000-0000-0000E3830000}"/>
    <cellStyle name="Normal 5 10 4 4 8" xfId="33764" xr:uid="{00000000-0005-0000-0000-0000E4830000}"/>
    <cellStyle name="Normal 5 10 4 4 9" xfId="33765" xr:uid="{00000000-0005-0000-0000-0000E5830000}"/>
    <cellStyle name="Normal 5 10 4 5" xfId="33766" xr:uid="{00000000-0005-0000-0000-0000E6830000}"/>
    <cellStyle name="Normal 5 10 4 5 10" xfId="33767" xr:uid="{00000000-0005-0000-0000-0000E7830000}"/>
    <cellStyle name="Normal 5 10 4 5 2" xfId="33768" xr:uid="{00000000-0005-0000-0000-0000E8830000}"/>
    <cellStyle name="Normal 5 10 4 5 3" xfId="33769" xr:uid="{00000000-0005-0000-0000-0000E9830000}"/>
    <cellStyle name="Normal 5 10 4 5 4" xfId="33770" xr:uid="{00000000-0005-0000-0000-0000EA830000}"/>
    <cellStyle name="Normal 5 10 4 5 5" xfId="33771" xr:uid="{00000000-0005-0000-0000-0000EB830000}"/>
    <cellStyle name="Normal 5 10 4 5 6" xfId="33772" xr:uid="{00000000-0005-0000-0000-0000EC830000}"/>
    <cellStyle name="Normal 5 10 4 5 7" xfId="33773" xr:uid="{00000000-0005-0000-0000-0000ED830000}"/>
    <cellStyle name="Normal 5 10 4 5 8" xfId="33774" xr:uid="{00000000-0005-0000-0000-0000EE830000}"/>
    <cellStyle name="Normal 5 10 4 5 9" xfId="33775" xr:uid="{00000000-0005-0000-0000-0000EF830000}"/>
    <cellStyle name="Normal 5 10 4 6" xfId="33776" xr:uid="{00000000-0005-0000-0000-0000F0830000}"/>
    <cellStyle name="Normal 5 10 4 7" xfId="33777" xr:uid="{00000000-0005-0000-0000-0000F1830000}"/>
    <cellStyle name="Normal 5 10 4 8" xfId="33778" xr:uid="{00000000-0005-0000-0000-0000F2830000}"/>
    <cellStyle name="Normal 5 10 4 9" xfId="33779" xr:uid="{00000000-0005-0000-0000-0000F3830000}"/>
    <cellStyle name="Normal 5 10 40" xfId="33780" xr:uid="{00000000-0005-0000-0000-0000F4830000}"/>
    <cellStyle name="Normal 5 10 41" xfId="33781" xr:uid="{00000000-0005-0000-0000-0000F5830000}"/>
    <cellStyle name="Normal 5 10 42" xfId="33782" xr:uid="{00000000-0005-0000-0000-0000F6830000}"/>
    <cellStyle name="Normal 5 10 43" xfId="33783" xr:uid="{00000000-0005-0000-0000-0000F7830000}"/>
    <cellStyle name="Normal 5 10 44" xfId="33784" xr:uid="{00000000-0005-0000-0000-0000F8830000}"/>
    <cellStyle name="Normal 5 10 45" xfId="33785" xr:uid="{00000000-0005-0000-0000-0000F9830000}"/>
    <cellStyle name="Normal 5 10 46" xfId="33786" xr:uid="{00000000-0005-0000-0000-0000FA830000}"/>
    <cellStyle name="Normal 5 10 47" xfId="33787" xr:uid="{00000000-0005-0000-0000-0000FB830000}"/>
    <cellStyle name="Normal 5 10 48" xfId="33788" xr:uid="{00000000-0005-0000-0000-0000FC830000}"/>
    <cellStyle name="Normal 5 10 49" xfId="33789" xr:uid="{00000000-0005-0000-0000-0000FD830000}"/>
    <cellStyle name="Normal 5 10 5" xfId="33790" xr:uid="{00000000-0005-0000-0000-0000FE830000}"/>
    <cellStyle name="Normal 5 10 5 10" xfId="33791" xr:uid="{00000000-0005-0000-0000-0000FF830000}"/>
    <cellStyle name="Normal 5 10 5 11" xfId="33792" xr:uid="{00000000-0005-0000-0000-000000840000}"/>
    <cellStyle name="Normal 5 10 5 12" xfId="33793" xr:uid="{00000000-0005-0000-0000-000001840000}"/>
    <cellStyle name="Normal 5 10 5 13" xfId="33794" xr:uid="{00000000-0005-0000-0000-000002840000}"/>
    <cellStyle name="Normal 5 10 5 14" xfId="33795" xr:uid="{00000000-0005-0000-0000-000003840000}"/>
    <cellStyle name="Normal 5 10 5 2" xfId="33796" xr:uid="{00000000-0005-0000-0000-000004840000}"/>
    <cellStyle name="Normal 5 10 5 2 10" xfId="33797" xr:uid="{00000000-0005-0000-0000-000005840000}"/>
    <cellStyle name="Normal 5 10 5 2 2" xfId="33798" xr:uid="{00000000-0005-0000-0000-000006840000}"/>
    <cellStyle name="Normal 5 10 5 2 3" xfId="33799" xr:uid="{00000000-0005-0000-0000-000007840000}"/>
    <cellStyle name="Normal 5 10 5 2 4" xfId="33800" xr:uid="{00000000-0005-0000-0000-000008840000}"/>
    <cellStyle name="Normal 5 10 5 2 5" xfId="33801" xr:uid="{00000000-0005-0000-0000-000009840000}"/>
    <cellStyle name="Normal 5 10 5 2 6" xfId="33802" xr:uid="{00000000-0005-0000-0000-00000A840000}"/>
    <cellStyle name="Normal 5 10 5 2 7" xfId="33803" xr:uid="{00000000-0005-0000-0000-00000B840000}"/>
    <cellStyle name="Normal 5 10 5 2 8" xfId="33804" xr:uid="{00000000-0005-0000-0000-00000C840000}"/>
    <cellStyle name="Normal 5 10 5 2 9" xfId="33805" xr:uid="{00000000-0005-0000-0000-00000D840000}"/>
    <cellStyle name="Normal 5 10 5 3" xfId="33806" xr:uid="{00000000-0005-0000-0000-00000E840000}"/>
    <cellStyle name="Normal 5 10 5 3 10" xfId="33807" xr:uid="{00000000-0005-0000-0000-00000F840000}"/>
    <cellStyle name="Normal 5 10 5 3 2" xfId="33808" xr:uid="{00000000-0005-0000-0000-000010840000}"/>
    <cellStyle name="Normal 5 10 5 3 3" xfId="33809" xr:uid="{00000000-0005-0000-0000-000011840000}"/>
    <cellStyle name="Normal 5 10 5 3 4" xfId="33810" xr:uid="{00000000-0005-0000-0000-000012840000}"/>
    <cellStyle name="Normal 5 10 5 3 5" xfId="33811" xr:uid="{00000000-0005-0000-0000-000013840000}"/>
    <cellStyle name="Normal 5 10 5 3 6" xfId="33812" xr:uid="{00000000-0005-0000-0000-000014840000}"/>
    <cellStyle name="Normal 5 10 5 3 7" xfId="33813" xr:uid="{00000000-0005-0000-0000-000015840000}"/>
    <cellStyle name="Normal 5 10 5 3 8" xfId="33814" xr:uid="{00000000-0005-0000-0000-000016840000}"/>
    <cellStyle name="Normal 5 10 5 3 9" xfId="33815" xr:uid="{00000000-0005-0000-0000-000017840000}"/>
    <cellStyle name="Normal 5 10 5 4" xfId="33816" xr:uid="{00000000-0005-0000-0000-000018840000}"/>
    <cellStyle name="Normal 5 10 5 4 10" xfId="33817" xr:uid="{00000000-0005-0000-0000-000019840000}"/>
    <cellStyle name="Normal 5 10 5 4 2" xfId="33818" xr:uid="{00000000-0005-0000-0000-00001A840000}"/>
    <cellStyle name="Normal 5 10 5 4 3" xfId="33819" xr:uid="{00000000-0005-0000-0000-00001B840000}"/>
    <cellStyle name="Normal 5 10 5 4 4" xfId="33820" xr:uid="{00000000-0005-0000-0000-00001C840000}"/>
    <cellStyle name="Normal 5 10 5 4 5" xfId="33821" xr:uid="{00000000-0005-0000-0000-00001D840000}"/>
    <cellStyle name="Normal 5 10 5 4 6" xfId="33822" xr:uid="{00000000-0005-0000-0000-00001E840000}"/>
    <cellStyle name="Normal 5 10 5 4 7" xfId="33823" xr:uid="{00000000-0005-0000-0000-00001F840000}"/>
    <cellStyle name="Normal 5 10 5 4 8" xfId="33824" xr:uid="{00000000-0005-0000-0000-000020840000}"/>
    <cellStyle name="Normal 5 10 5 4 9" xfId="33825" xr:uid="{00000000-0005-0000-0000-000021840000}"/>
    <cellStyle name="Normal 5 10 5 5" xfId="33826" xr:uid="{00000000-0005-0000-0000-000022840000}"/>
    <cellStyle name="Normal 5 10 5 5 10" xfId="33827" xr:uid="{00000000-0005-0000-0000-000023840000}"/>
    <cellStyle name="Normal 5 10 5 5 2" xfId="33828" xr:uid="{00000000-0005-0000-0000-000024840000}"/>
    <cellStyle name="Normal 5 10 5 5 3" xfId="33829" xr:uid="{00000000-0005-0000-0000-000025840000}"/>
    <cellStyle name="Normal 5 10 5 5 4" xfId="33830" xr:uid="{00000000-0005-0000-0000-000026840000}"/>
    <cellStyle name="Normal 5 10 5 5 5" xfId="33831" xr:uid="{00000000-0005-0000-0000-000027840000}"/>
    <cellStyle name="Normal 5 10 5 5 6" xfId="33832" xr:uid="{00000000-0005-0000-0000-000028840000}"/>
    <cellStyle name="Normal 5 10 5 5 7" xfId="33833" xr:uid="{00000000-0005-0000-0000-000029840000}"/>
    <cellStyle name="Normal 5 10 5 5 8" xfId="33834" xr:uid="{00000000-0005-0000-0000-00002A840000}"/>
    <cellStyle name="Normal 5 10 5 5 9" xfId="33835" xr:uid="{00000000-0005-0000-0000-00002B840000}"/>
    <cellStyle name="Normal 5 10 5 6" xfId="33836" xr:uid="{00000000-0005-0000-0000-00002C840000}"/>
    <cellStyle name="Normal 5 10 5 7" xfId="33837" xr:uid="{00000000-0005-0000-0000-00002D840000}"/>
    <cellStyle name="Normal 5 10 5 8" xfId="33838" xr:uid="{00000000-0005-0000-0000-00002E840000}"/>
    <cellStyle name="Normal 5 10 5 9" xfId="33839" xr:uid="{00000000-0005-0000-0000-00002F840000}"/>
    <cellStyle name="Normal 5 10 6" xfId="33840" xr:uid="{00000000-0005-0000-0000-000030840000}"/>
    <cellStyle name="Normal 5 10 6 10" xfId="33841" xr:uid="{00000000-0005-0000-0000-000031840000}"/>
    <cellStyle name="Normal 5 10 6 11" xfId="33842" xr:uid="{00000000-0005-0000-0000-000032840000}"/>
    <cellStyle name="Normal 5 10 6 12" xfId="33843" xr:uid="{00000000-0005-0000-0000-000033840000}"/>
    <cellStyle name="Normal 5 10 6 13" xfId="33844" xr:uid="{00000000-0005-0000-0000-000034840000}"/>
    <cellStyle name="Normal 5 10 6 14" xfId="33845" xr:uid="{00000000-0005-0000-0000-000035840000}"/>
    <cellStyle name="Normal 5 10 6 2" xfId="33846" xr:uid="{00000000-0005-0000-0000-000036840000}"/>
    <cellStyle name="Normal 5 10 6 2 10" xfId="33847" xr:uid="{00000000-0005-0000-0000-000037840000}"/>
    <cellStyle name="Normal 5 10 6 2 2" xfId="33848" xr:uid="{00000000-0005-0000-0000-000038840000}"/>
    <cellStyle name="Normal 5 10 6 2 3" xfId="33849" xr:uid="{00000000-0005-0000-0000-000039840000}"/>
    <cellStyle name="Normal 5 10 6 2 4" xfId="33850" xr:uid="{00000000-0005-0000-0000-00003A840000}"/>
    <cellStyle name="Normal 5 10 6 2 5" xfId="33851" xr:uid="{00000000-0005-0000-0000-00003B840000}"/>
    <cellStyle name="Normal 5 10 6 2 6" xfId="33852" xr:uid="{00000000-0005-0000-0000-00003C840000}"/>
    <cellStyle name="Normal 5 10 6 2 7" xfId="33853" xr:uid="{00000000-0005-0000-0000-00003D840000}"/>
    <cellStyle name="Normal 5 10 6 2 8" xfId="33854" xr:uid="{00000000-0005-0000-0000-00003E840000}"/>
    <cellStyle name="Normal 5 10 6 2 9" xfId="33855" xr:uid="{00000000-0005-0000-0000-00003F840000}"/>
    <cellStyle name="Normal 5 10 6 3" xfId="33856" xr:uid="{00000000-0005-0000-0000-000040840000}"/>
    <cellStyle name="Normal 5 10 6 3 10" xfId="33857" xr:uid="{00000000-0005-0000-0000-000041840000}"/>
    <cellStyle name="Normal 5 10 6 3 2" xfId="33858" xr:uid="{00000000-0005-0000-0000-000042840000}"/>
    <cellStyle name="Normal 5 10 6 3 3" xfId="33859" xr:uid="{00000000-0005-0000-0000-000043840000}"/>
    <cellStyle name="Normal 5 10 6 3 4" xfId="33860" xr:uid="{00000000-0005-0000-0000-000044840000}"/>
    <cellStyle name="Normal 5 10 6 3 5" xfId="33861" xr:uid="{00000000-0005-0000-0000-000045840000}"/>
    <cellStyle name="Normal 5 10 6 3 6" xfId="33862" xr:uid="{00000000-0005-0000-0000-000046840000}"/>
    <cellStyle name="Normal 5 10 6 3 7" xfId="33863" xr:uid="{00000000-0005-0000-0000-000047840000}"/>
    <cellStyle name="Normal 5 10 6 3 8" xfId="33864" xr:uid="{00000000-0005-0000-0000-000048840000}"/>
    <cellStyle name="Normal 5 10 6 3 9" xfId="33865" xr:uid="{00000000-0005-0000-0000-000049840000}"/>
    <cellStyle name="Normal 5 10 6 4" xfId="33866" xr:uid="{00000000-0005-0000-0000-00004A840000}"/>
    <cellStyle name="Normal 5 10 6 4 10" xfId="33867" xr:uid="{00000000-0005-0000-0000-00004B840000}"/>
    <cellStyle name="Normal 5 10 6 4 2" xfId="33868" xr:uid="{00000000-0005-0000-0000-00004C840000}"/>
    <cellStyle name="Normal 5 10 6 4 3" xfId="33869" xr:uid="{00000000-0005-0000-0000-00004D840000}"/>
    <cellStyle name="Normal 5 10 6 4 4" xfId="33870" xr:uid="{00000000-0005-0000-0000-00004E840000}"/>
    <cellStyle name="Normal 5 10 6 4 5" xfId="33871" xr:uid="{00000000-0005-0000-0000-00004F840000}"/>
    <cellStyle name="Normal 5 10 6 4 6" xfId="33872" xr:uid="{00000000-0005-0000-0000-000050840000}"/>
    <cellStyle name="Normal 5 10 6 4 7" xfId="33873" xr:uid="{00000000-0005-0000-0000-000051840000}"/>
    <cellStyle name="Normal 5 10 6 4 8" xfId="33874" xr:uid="{00000000-0005-0000-0000-000052840000}"/>
    <cellStyle name="Normal 5 10 6 4 9" xfId="33875" xr:uid="{00000000-0005-0000-0000-000053840000}"/>
    <cellStyle name="Normal 5 10 6 5" xfId="33876" xr:uid="{00000000-0005-0000-0000-000054840000}"/>
    <cellStyle name="Normal 5 10 6 5 10" xfId="33877" xr:uid="{00000000-0005-0000-0000-000055840000}"/>
    <cellStyle name="Normal 5 10 6 5 2" xfId="33878" xr:uid="{00000000-0005-0000-0000-000056840000}"/>
    <cellStyle name="Normal 5 10 6 5 3" xfId="33879" xr:uid="{00000000-0005-0000-0000-000057840000}"/>
    <cellStyle name="Normal 5 10 6 5 4" xfId="33880" xr:uid="{00000000-0005-0000-0000-000058840000}"/>
    <cellStyle name="Normal 5 10 6 5 5" xfId="33881" xr:uid="{00000000-0005-0000-0000-000059840000}"/>
    <cellStyle name="Normal 5 10 6 5 6" xfId="33882" xr:uid="{00000000-0005-0000-0000-00005A840000}"/>
    <cellStyle name="Normal 5 10 6 5 7" xfId="33883" xr:uid="{00000000-0005-0000-0000-00005B840000}"/>
    <cellStyle name="Normal 5 10 6 5 8" xfId="33884" xr:uid="{00000000-0005-0000-0000-00005C840000}"/>
    <cellStyle name="Normal 5 10 6 5 9" xfId="33885" xr:uid="{00000000-0005-0000-0000-00005D840000}"/>
    <cellStyle name="Normal 5 10 6 6" xfId="33886" xr:uid="{00000000-0005-0000-0000-00005E840000}"/>
    <cellStyle name="Normal 5 10 6 7" xfId="33887" xr:uid="{00000000-0005-0000-0000-00005F840000}"/>
    <cellStyle name="Normal 5 10 6 8" xfId="33888" xr:uid="{00000000-0005-0000-0000-000060840000}"/>
    <cellStyle name="Normal 5 10 6 9" xfId="33889" xr:uid="{00000000-0005-0000-0000-000061840000}"/>
    <cellStyle name="Normal 5 10 7" xfId="33890" xr:uid="{00000000-0005-0000-0000-000062840000}"/>
    <cellStyle name="Normal 5 10 7 10" xfId="33891" xr:uid="{00000000-0005-0000-0000-000063840000}"/>
    <cellStyle name="Normal 5 10 7 11" xfId="33892" xr:uid="{00000000-0005-0000-0000-000064840000}"/>
    <cellStyle name="Normal 5 10 7 12" xfId="33893" xr:uid="{00000000-0005-0000-0000-000065840000}"/>
    <cellStyle name="Normal 5 10 7 13" xfId="33894" xr:uid="{00000000-0005-0000-0000-000066840000}"/>
    <cellStyle name="Normal 5 10 7 14" xfId="33895" xr:uid="{00000000-0005-0000-0000-000067840000}"/>
    <cellStyle name="Normal 5 10 7 2" xfId="33896" xr:uid="{00000000-0005-0000-0000-000068840000}"/>
    <cellStyle name="Normal 5 10 7 2 10" xfId="33897" xr:uid="{00000000-0005-0000-0000-000069840000}"/>
    <cellStyle name="Normal 5 10 7 2 2" xfId="33898" xr:uid="{00000000-0005-0000-0000-00006A840000}"/>
    <cellStyle name="Normal 5 10 7 2 3" xfId="33899" xr:uid="{00000000-0005-0000-0000-00006B840000}"/>
    <cellStyle name="Normal 5 10 7 2 4" xfId="33900" xr:uid="{00000000-0005-0000-0000-00006C840000}"/>
    <cellStyle name="Normal 5 10 7 2 5" xfId="33901" xr:uid="{00000000-0005-0000-0000-00006D840000}"/>
    <cellStyle name="Normal 5 10 7 2 6" xfId="33902" xr:uid="{00000000-0005-0000-0000-00006E840000}"/>
    <cellStyle name="Normal 5 10 7 2 7" xfId="33903" xr:uid="{00000000-0005-0000-0000-00006F840000}"/>
    <cellStyle name="Normal 5 10 7 2 8" xfId="33904" xr:uid="{00000000-0005-0000-0000-000070840000}"/>
    <cellStyle name="Normal 5 10 7 2 9" xfId="33905" xr:uid="{00000000-0005-0000-0000-000071840000}"/>
    <cellStyle name="Normal 5 10 7 3" xfId="33906" xr:uid="{00000000-0005-0000-0000-000072840000}"/>
    <cellStyle name="Normal 5 10 7 3 10" xfId="33907" xr:uid="{00000000-0005-0000-0000-000073840000}"/>
    <cellStyle name="Normal 5 10 7 3 2" xfId="33908" xr:uid="{00000000-0005-0000-0000-000074840000}"/>
    <cellStyle name="Normal 5 10 7 3 3" xfId="33909" xr:uid="{00000000-0005-0000-0000-000075840000}"/>
    <cellStyle name="Normal 5 10 7 3 4" xfId="33910" xr:uid="{00000000-0005-0000-0000-000076840000}"/>
    <cellStyle name="Normal 5 10 7 3 5" xfId="33911" xr:uid="{00000000-0005-0000-0000-000077840000}"/>
    <cellStyle name="Normal 5 10 7 3 6" xfId="33912" xr:uid="{00000000-0005-0000-0000-000078840000}"/>
    <cellStyle name="Normal 5 10 7 3 7" xfId="33913" xr:uid="{00000000-0005-0000-0000-000079840000}"/>
    <cellStyle name="Normal 5 10 7 3 8" xfId="33914" xr:uid="{00000000-0005-0000-0000-00007A840000}"/>
    <cellStyle name="Normal 5 10 7 3 9" xfId="33915" xr:uid="{00000000-0005-0000-0000-00007B840000}"/>
    <cellStyle name="Normal 5 10 7 4" xfId="33916" xr:uid="{00000000-0005-0000-0000-00007C840000}"/>
    <cellStyle name="Normal 5 10 7 4 10" xfId="33917" xr:uid="{00000000-0005-0000-0000-00007D840000}"/>
    <cellStyle name="Normal 5 10 7 4 2" xfId="33918" xr:uid="{00000000-0005-0000-0000-00007E840000}"/>
    <cellStyle name="Normal 5 10 7 4 3" xfId="33919" xr:uid="{00000000-0005-0000-0000-00007F840000}"/>
    <cellStyle name="Normal 5 10 7 4 4" xfId="33920" xr:uid="{00000000-0005-0000-0000-000080840000}"/>
    <cellStyle name="Normal 5 10 7 4 5" xfId="33921" xr:uid="{00000000-0005-0000-0000-000081840000}"/>
    <cellStyle name="Normal 5 10 7 4 6" xfId="33922" xr:uid="{00000000-0005-0000-0000-000082840000}"/>
    <cellStyle name="Normal 5 10 7 4 7" xfId="33923" xr:uid="{00000000-0005-0000-0000-000083840000}"/>
    <cellStyle name="Normal 5 10 7 4 8" xfId="33924" xr:uid="{00000000-0005-0000-0000-000084840000}"/>
    <cellStyle name="Normal 5 10 7 4 9" xfId="33925" xr:uid="{00000000-0005-0000-0000-000085840000}"/>
    <cellStyle name="Normal 5 10 7 5" xfId="33926" xr:uid="{00000000-0005-0000-0000-000086840000}"/>
    <cellStyle name="Normal 5 10 7 5 10" xfId="33927" xr:uid="{00000000-0005-0000-0000-000087840000}"/>
    <cellStyle name="Normal 5 10 7 5 2" xfId="33928" xr:uid="{00000000-0005-0000-0000-000088840000}"/>
    <cellStyle name="Normal 5 10 7 5 3" xfId="33929" xr:uid="{00000000-0005-0000-0000-000089840000}"/>
    <cellStyle name="Normal 5 10 7 5 4" xfId="33930" xr:uid="{00000000-0005-0000-0000-00008A840000}"/>
    <cellStyle name="Normal 5 10 7 5 5" xfId="33931" xr:uid="{00000000-0005-0000-0000-00008B840000}"/>
    <cellStyle name="Normal 5 10 7 5 6" xfId="33932" xr:uid="{00000000-0005-0000-0000-00008C840000}"/>
    <cellStyle name="Normal 5 10 7 5 7" xfId="33933" xr:uid="{00000000-0005-0000-0000-00008D840000}"/>
    <cellStyle name="Normal 5 10 7 5 8" xfId="33934" xr:uid="{00000000-0005-0000-0000-00008E840000}"/>
    <cellStyle name="Normal 5 10 7 5 9" xfId="33935" xr:uid="{00000000-0005-0000-0000-00008F840000}"/>
    <cellStyle name="Normal 5 10 7 6" xfId="33936" xr:uid="{00000000-0005-0000-0000-000090840000}"/>
    <cellStyle name="Normal 5 10 7 7" xfId="33937" xr:uid="{00000000-0005-0000-0000-000091840000}"/>
    <cellStyle name="Normal 5 10 7 8" xfId="33938" xr:uid="{00000000-0005-0000-0000-000092840000}"/>
    <cellStyle name="Normal 5 10 7 9" xfId="33939" xr:uid="{00000000-0005-0000-0000-000093840000}"/>
    <cellStyle name="Normal 5 10 8" xfId="33940" xr:uid="{00000000-0005-0000-0000-000094840000}"/>
    <cellStyle name="Normal 5 10 8 10" xfId="33941" xr:uid="{00000000-0005-0000-0000-000095840000}"/>
    <cellStyle name="Normal 5 10 8 11" xfId="33942" xr:uid="{00000000-0005-0000-0000-000096840000}"/>
    <cellStyle name="Normal 5 10 8 12" xfId="33943" xr:uid="{00000000-0005-0000-0000-000097840000}"/>
    <cellStyle name="Normal 5 10 8 13" xfId="33944" xr:uid="{00000000-0005-0000-0000-000098840000}"/>
    <cellStyle name="Normal 5 10 8 14" xfId="33945" xr:uid="{00000000-0005-0000-0000-000099840000}"/>
    <cellStyle name="Normal 5 10 8 2" xfId="33946" xr:uid="{00000000-0005-0000-0000-00009A840000}"/>
    <cellStyle name="Normal 5 10 8 2 10" xfId="33947" xr:uid="{00000000-0005-0000-0000-00009B840000}"/>
    <cellStyle name="Normal 5 10 8 2 2" xfId="33948" xr:uid="{00000000-0005-0000-0000-00009C840000}"/>
    <cellStyle name="Normal 5 10 8 2 3" xfId="33949" xr:uid="{00000000-0005-0000-0000-00009D840000}"/>
    <cellStyle name="Normal 5 10 8 2 4" xfId="33950" xr:uid="{00000000-0005-0000-0000-00009E840000}"/>
    <cellStyle name="Normal 5 10 8 2 5" xfId="33951" xr:uid="{00000000-0005-0000-0000-00009F840000}"/>
    <cellStyle name="Normal 5 10 8 2 6" xfId="33952" xr:uid="{00000000-0005-0000-0000-0000A0840000}"/>
    <cellStyle name="Normal 5 10 8 2 7" xfId="33953" xr:uid="{00000000-0005-0000-0000-0000A1840000}"/>
    <cellStyle name="Normal 5 10 8 2 8" xfId="33954" xr:uid="{00000000-0005-0000-0000-0000A2840000}"/>
    <cellStyle name="Normal 5 10 8 2 9" xfId="33955" xr:uid="{00000000-0005-0000-0000-0000A3840000}"/>
    <cellStyle name="Normal 5 10 8 3" xfId="33956" xr:uid="{00000000-0005-0000-0000-0000A4840000}"/>
    <cellStyle name="Normal 5 10 8 3 10" xfId="33957" xr:uid="{00000000-0005-0000-0000-0000A5840000}"/>
    <cellStyle name="Normal 5 10 8 3 2" xfId="33958" xr:uid="{00000000-0005-0000-0000-0000A6840000}"/>
    <cellStyle name="Normal 5 10 8 3 3" xfId="33959" xr:uid="{00000000-0005-0000-0000-0000A7840000}"/>
    <cellStyle name="Normal 5 10 8 3 4" xfId="33960" xr:uid="{00000000-0005-0000-0000-0000A8840000}"/>
    <cellStyle name="Normal 5 10 8 3 5" xfId="33961" xr:uid="{00000000-0005-0000-0000-0000A9840000}"/>
    <cellStyle name="Normal 5 10 8 3 6" xfId="33962" xr:uid="{00000000-0005-0000-0000-0000AA840000}"/>
    <cellStyle name="Normal 5 10 8 3 7" xfId="33963" xr:uid="{00000000-0005-0000-0000-0000AB840000}"/>
    <cellStyle name="Normal 5 10 8 3 8" xfId="33964" xr:uid="{00000000-0005-0000-0000-0000AC840000}"/>
    <cellStyle name="Normal 5 10 8 3 9" xfId="33965" xr:uid="{00000000-0005-0000-0000-0000AD840000}"/>
    <cellStyle name="Normal 5 10 8 4" xfId="33966" xr:uid="{00000000-0005-0000-0000-0000AE840000}"/>
    <cellStyle name="Normal 5 10 8 4 10" xfId="33967" xr:uid="{00000000-0005-0000-0000-0000AF840000}"/>
    <cellStyle name="Normal 5 10 8 4 2" xfId="33968" xr:uid="{00000000-0005-0000-0000-0000B0840000}"/>
    <cellStyle name="Normal 5 10 8 4 3" xfId="33969" xr:uid="{00000000-0005-0000-0000-0000B1840000}"/>
    <cellStyle name="Normal 5 10 8 4 4" xfId="33970" xr:uid="{00000000-0005-0000-0000-0000B2840000}"/>
    <cellStyle name="Normal 5 10 8 4 5" xfId="33971" xr:uid="{00000000-0005-0000-0000-0000B3840000}"/>
    <cellStyle name="Normal 5 10 8 4 6" xfId="33972" xr:uid="{00000000-0005-0000-0000-0000B4840000}"/>
    <cellStyle name="Normal 5 10 8 4 7" xfId="33973" xr:uid="{00000000-0005-0000-0000-0000B5840000}"/>
    <cellStyle name="Normal 5 10 8 4 8" xfId="33974" xr:uid="{00000000-0005-0000-0000-0000B6840000}"/>
    <cellStyle name="Normal 5 10 8 4 9" xfId="33975" xr:uid="{00000000-0005-0000-0000-0000B7840000}"/>
    <cellStyle name="Normal 5 10 8 5" xfId="33976" xr:uid="{00000000-0005-0000-0000-0000B8840000}"/>
    <cellStyle name="Normal 5 10 8 5 10" xfId="33977" xr:uid="{00000000-0005-0000-0000-0000B9840000}"/>
    <cellStyle name="Normal 5 10 8 5 2" xfId="33978" xr:uid="{00000000-0005-0000-0000-0000BA840000}"/>
    <cellStyle name="Normal 5 10 8 5 3" xfId="33979" xr:uid="{00000000-0005-0000-0000-0000BB840000}"/>
    <cellStyle name="Normal 5 10 8 5 4" xfId="33980" xr:uid="{00000000-0005-0000-0000-0000BC840000}"/>
    <cellStyle name="Normal 5 10 8 5 5" xfId="33981" xr:uid="{00000000-0005-0000-0000-0000BD840000}"/>
    <cellStyle name="Normal 5 10 8 5 6" xfId="33982" xr:uid="{00000000-0005-0000-0000-0000BE840000}"/>
    <cellStyle name="Normal 5 10 8 5 7" xfId="33983" xr:uid="{00000000-0005-0000-0000-0000BF840000}"/>
    <cellStyle name="Normal 5 10 8 5 8" xfId="33984" xr:uid="{00000000-0005-0000-0000-0000C0840000}"/>
    <cellStyle name="Normal 5 10 8 5 9" xfId="33985" xr:uid="{00000000-0005-0000-0000-0000C1840000}"/>
    <cellStyle name="Normal 5 10 8 6" xfId="33986" xr:uid="{00000000-0005-0000-0000-0000C2840000}"/>
    <cellStyle name="Normal 5 10 8 7" xfId="33987" xr:uid="{00000000-0005-0000-0000-0000C3840000}"/>
    <cellStyle name="Normal 5 10 8 8" xfId="33988" xr:uid="{00000000-0005-0000-0000-0000C4840000}"/>
    <cellStyle name="Normal 5 10 8 9" xfId="33989" xr:uid="{00000000-0005-0000-0000-0000C5840000}"/>
    <cellStyle name="Normal 5 10 9" xfId="33990" xr:uid="{00000000-0005-0000-0000-0000C6840000}"/>
    <cellStyle name="Normal 5 10 9 10" xfId="33991" xr:uid="{00000000-0005-0000-0000-0000C7840000}"/>
    <cellStyle name="Normal 5 10 9 11" xfId="33992" xr:uid="{00000000-0005-0000-0000-0000C8840000}"/>
    <cellStyle name="Normal 5 10 9 12" xfId="33993" xr:uid="{00000000-0005-0000-0000-0000C9840000}"/>
    <cellStyle name="Normal 5 10 9 13" xfId="33994" xr:uid="{00000000-0005-0000-0000-0000CA840000}"/>
    <cellStyle name="Normal 5 10 9 14" xfId="33995" xr:uid="{00000000-0005-0000-0000-0000CB840000}"/>
    <cellStyle name="Normal 5 10 9 2" xfId="33996" xr:uid="{00000000-0005-0000-0000-0000CC840000}"/>
    <cellStyle name="Normal 5 10 9 2 10" xfId="33997" xr:uid="{00000000-0005-0000-0000-0000CD840000}"/>
    <cellStyle name="Normal 5 10 9 2 2" xfId="33998" xr:uid="{00000000-0005-0000-0000-0000CE840000}"/>
    <cellStyle name="Normal 5 10 9 2 3" xfId="33999" xr:uid="{00000000-0005-0000-0000-0000CF840000}"/>
    <cellStyle name="Normal 5 10 9 2 4" xfId="34000" xr:uid="{00000000-0005-0000-0000-0000D0840000}"/>
    <cellStyle name="Normal 5 10 9 2 5" xfId="34001" xr:uid="{00000000-0005-0000-0000-0000D1840000}"/>
    <cellStyle name="Normal 5 10 9 2 6" xfId="34002" xr:uid="{00000000-0005-0000-0000-0000D2840000}"/>
    <cellStyle name="Normal 5 10 9 2 7" xfId="34003" xr:uid="{00000000-0005-0000-0000-0000D3840000}"/>
    <cellStyle name="Normal 5 10 9 2 8" xfId="34004" xr:uid="{00000000-0005-0000-0000-0000D4840000}"/>
    <cellStyle name="Normal 5 10 9 2 9" xfId="34005" xr:uid="{00000000-0005-0000-0000-0000D5840000}"/>
    <cellStyle name="Normal 5 10 9 3" xfId="34006" xr:uid="{00000000-0005-0000-0000-0000D6840000}"/>
    <cellStyle name="Normal 5 10 9 3 10" xfId="34007" xr:uid="{00000000-0005-0000-0000-0000D7840000}"/>
    <cellStyle name="Normal 5 10 9 3 2" xfId="34008" xr:uid="{00000000-0005-0000-0000-0000D8840000}"/>
    <cellStyle name="Normal 5 10 9 3 3" xfId="34009" xr:uid="{00000000-0005-0000-0000-0000D9840000}"/>
    <cellStyle name="Normal 5 10 9 3 4" xfId="34010" xr:uid="{00000000-0005-0000-0000-0000DA840000}"/>
    <cellStyle name="Normal 5 10 9 3 5" xfId="34011" xr:uid="{00000000-0005-0000-0000-0000DB840000}"/>
    <cellStyle name="Normal 5 10 9 3 6" xfId="34012" xr:uid="{00000000-0005-0000-0000-0000DC840000}"/>
    <cellStyle name="Normal 5 10 9 3 7" xfId="34013" xr:uid="{00000000-0005-0000-0000-0000DD840000}"/>
    <cellStyle name="Normal 5 10 9 3 8" xfId="34014" xr:uid="{00000000-0005-0000-0000-0000DE840000}"/>
    <cellStyle name="Normal 5 10 9 3 9" xfId="34015" xr:uid="{00000000-0005-0000-0000-0000DF840000}"/>
    <cellStyle name="Normal 5 10 9 4" xfId="34016" xr:uid="{00000000-0005-0000-0000-0000E0840000}"/>
    <cellStyle name="Normal 5 10 9 4 10" xfId="34017" xr:uid="{00000000-0005-0000-0000-0000E1840000}"/>
    <cellStyle name="Normal 5 10 9 4 2" xfId="34018" xr:uid="{00000000-0005-0000-0000-0000E2840000}"/>
    <cellStyle name="Normal 5 10 9 4 3" xfId="34019" xr:uid="{00000000-0005-0000-0000-0000E3840000}"/>
    <cellStyle name="Normal 5 10 9 4 4" xfId="34020" xr:uid="{00000000-0005-0000-0000-0000E4840000}"/>
    <cellStyle name="Normal 5 10 9 4 5" xfId="34021" xr:uid="{00000000-0005-0000-0000-0000E5840000}"/>
    <cellStyle name="Normal 5 10 9 4 6" xfId="34022" xr:uid="{00000000-0005-0000-0000-0000E6840000}"/>
    <cellStyle name="Normal 5 10 9 4 7" xfId="34023" xr:uid="{00000000-0005-0000-0000-0000E7840000}"/>
    <cellStyle name="Normal 5 10 9 4 8" xfId="34024" xr:uid="{00000000-0005-0000-0000-0000E8840000}"/>
    <cellStyle name="Normal 5 10 9 4 9" xfId="34025" xr:uid="{00000000-0005-0000-0000-0000E9840000}"/>
    <cellStyle name="Normal 5 10 9 5" xfId="34026" xr:uid="{00000000-0005-0000-0000-0000EA840000}"/>
    <cellStyle name="Normal 5 10 9 5 10" xfId="34027" xr:uid="{00000000-0005-0000-0000-0000EB840000}"/>
    <cellStyle name="Normal 5 10 9 5 2" xfId="34028" xr:uid="{00000000-0005-0000-0000-0000EC840000}"/>
    <cellStyle name="Normal 5 10 9 5 3" xfId="34029" xr:uid="{00000000-0005-0000-0000-0000ED840000}"/>
    <cellStyle name="Normal 5 10 9 5 4" xfId="34030" xr:uid="{00000000-0005-0000-0000-0000EE840000}"/>
    <cellStyle name="Normal 5 10 9 5 5" xfId="34031" xr:uid="{00000000-0005-0000-0000-0000EF840000}"/>
    <cellStyle name="Normal 5 10 9 5 6" xfId="34032" xr:uid="{00000000-0005-0000-0000-0000F0840000}"/>
    <cellStyle name="Normal 5 10 9 5 7" xfId="34033" xr:uid="{00000000-0005-0000-0000-0000F1840000}"/>
    <cellStyle name="Normal 5 10 9 5 8" xfId="34034" xr:uid="{00000000-0005-0000-0000-0000F2840000}"/>
    <cellStyle name="Normal 5 10 9 5 9" xfId="34035" xr:uid="{00000000-0005-0000-0000-0000F3840000}"/>
    <cellStyle name="Normal 5 10 9 6" xfId="34036" xr:uid="{00000000-0005-0000-0000-0000F4840000}"/>
    <cellStyle name="Normal 5 10 9 7" xfId="34037" xr:uid="{00000000-0005-0000-0000-0000F5840000}"/>
    <cellStyle name="Normal 5 10 9 8" xfId="34038" xr:uid="{00000000-0005-0000-0000-0000F6840000}"/>
    <cellStyle name="Normal 5 10 9 9" xfId="34039" xr:uid="{00000000-0005-0000-0000-0000F7840000}"/>
    <cellStyle name="Normal 5 11" xfId="34040" xr:uid="{00000000-0005-0000-0000-0000F8840000}"/>
    <cellStyle name="Normal 5 11 2" xfId="34041" xr:uid="{00000000-0005-0000-0000-0000F9840000}"/>
    <cellStyle name="Normal 5 11 2 2" xfId="34042" xr:uid="{00000000-0005-0000-0000-0000FA840000}"/>
    <cellStyle name="Normal 5 11 3" xfId="34043" xr:uid="{00000000-0005-0000-0000-0000FB840000}"/>
    <cellStyle name="Normal 5 11 4" xfId="34044" xr:uid="{00000000-0005-0000-0000-0000FC840000}"/>
    <cellStyle name="Normal 5 12" xfId="34045" xr:uid="{00000000-0005-0000-0000-0000FD840000}"/>
    <cellStyle name="Normal 5 12 2" xfId="34046" xr:uid="{00000000-0005-0000-0000-0000FE840000}"/>
    <cellStyle name="Normal 5 12 2 2" xfId="34047" xr:uid="{00000000-0005-0000-0000-0000FF840000}"/>
    <cellStyle name="Normal 5 12 3" xfId="34048" xr:uid="{00000000-0005-0000-0000-000000850000}"/>
    <cellStyle name="Normal 5 12 4" xfId="34049" xr:uid="{00000000-0005-0000-0000-000001850000}"/>
    <cellStyle name="Normal 5 13" xfId="34050" xr:uid="{00000000-0005-0000-0000-000002850000}"/>
    <cellStyle name="Normal 5 13 2" xfId="34051" xr:uid="{00000000-0005-0000-0000-000003850000}"/>
    <cellStyle name="Normal 5 13 2 2" xfId="34052" xr:uid="{00000000-0005-0000-0000-000004850000}"/>
    <cellStyle name="Normal 5 13 3" xfId="34053" xr:uid="{00000000-0005-0000-0000-000005850000}"/>
    <cellStyle name="Normal 5 13 4" xfId="34054" xr:uid="{00000000-0005-0000-0000-000006850000}"/>
    <cellStyle name="Normal 5 14" xfId="34055" xr:uid="{00000000-0005-0000-0000-000007850000}"/>
    <cellStyle name="Normal 5 14 2" xfId="34056" xr:uid="{00000000-0005-0000-0000-000008850000}"/>
    <cellStyle name="Normal 5 14 2 2" xfId="34057" xr:uid="{00000000-0005-0000-0000-000009850000}"/>
    <cellStyle name="Normal 5 14 3" xfId="34058" xr:uid="{00000000-0005-0000-0000-00000A850000}"/>
    <cellStyle name="Normal 5 14 4" xfId="34059" xr:uid="{00000000-0005-0000-0000-00000B850000}"/>
    <cellStyle name="Normal 5 15" xfId="34060" xr:uid="{00000000-0005-0000-0000-00000C850000}"/>
    <cellStyle name="Normal 5 15 2" xfId="34061" xr:uid="{00000000-0005-0000-0000-00000D850000}"/>
    <cellStyle name="Normal 5 15 2 2" xfId="34062" xr:uid="{00000000-0005-0000-0000-00000E850000}"/>
    <cellStyle name="Normal 5 15 3" xfId="34063" xr:uid="{00000000-0005-0000-0000-00000F850000}"/>
    <cellStyle name="Normal 5 15 4" xfId="34064" xr:uid="{00000000-0005-0000-0000-000010850000}"/>
    <cellStyle name="Normal 5 16" xfId="34065" xr:uid="{00000000-0005-0000-0000-000011850000}"/>
    <cellStyle name="Normal 5 16 2" xfId="34066" xr:uid="{00000000-0005-0000-0000-000012850000}"/>
    <cellStyle name="Normal 5 16 2 2" xfId="34067" xr:uid="{00000000-0005-0000-0000-000013850000}"/>
    <cellStyle name="Normal 5 16 3" xfId="34068" xr:uid="{00000000-0005-0000-0000-000014850000}"/>
    <cellStyle name="Normal 5 16 4" xfId="34069" xr:uid="{00000000-0005-0000-0000-000015850000}"/>
    <cellStyle name="Normal 5 17" xfId="34070" xr:uid="{00000000-0005-0000-0000-000016850000}"/>
    <cellStyle name="Normal 5 17 10" xfId="34071" xr:uid="{00000000-0005-0000-0000-000017850000}"/>
    <cellStyle name="Normal 5 17 10 10" xfId="34072" xr:uid="{00000000-0005-0000-0000-000018850000}"/>
    <cellStyle name="Normal 5 17 10 11" xfId="34073" xr:uid="{00000000-0005-0000-0000-000019850000}"/>
    <cellStyle name="Normal 5 17 10 12" xfId="34074" xr:uid="{00000000-0005-0000-0000-00001A850000}"/>
    <cellStyle name="Normal 5 17 10 13" xfId="34075" xr:uid="{00000000-0005-0000-0000-00001B850000}"/>
    <cellStyle name="Normal 5 17 10 14" xfId="34076" xr:uid="{00000000-0005-0000-0000-00001C850000}"/>
    <cellStyle name="Normal 5 17 10 2" xfId="34077" xr:uid="{00000000-0005-0000-0000-00001D850000}"/>
    <cellStyle name="Normal 5 17 10 2 10" xfId="34078" xr:uid="{00000000-0005-0000-0000-00001E850000}"/>
    <cellStyle name="Normal 5 17 10 2 2" xfId="34079" xr:uid="{00000000-0005-0000-0000-00001F850000}"/>
    <cellStyle name="Normal 5 17 10 2 3" xfId="34080" xr:uid="{00000000-0005-0000-0000-000020850000}"/>
    <cellStyle name="Normal 5 17 10 2 4" xfId="34081" xr:uid="{00000000-0005-0000-0000-000021850000}"/>
    <cellStyle name="Normal 5 17 10 2 5" xfId="34082" xr:uid="{00000000-0005-0000-0000-000022850000}"/>
    <cellStyle name="Normal 5 17 10 2 6" xfId="34083" xr:uid="{00000000-0005-0000-0000-000023850000}"/>
    <cellStyle name="Normal 5 17 10 2 7" xfId="34084" xr:uid="{00000000-0005-0000-0000-000024850000}"/>
    <cellStyle name="Normal 5 17 10 2 8" xfId="34085" xr:uid="{00000000-0005-0000-0000-000025850000}"/>
    <cellStyle name="Normal 5 17 10 2 9" xfId="34086" xr:uid="{00000000-0005-0000-0000-000026850000}"/>
    <cellStyle name="Normal 5 17 10 3" xfId="34087" xr:uid="{00000000-0005-0000-0000-000027850000}"/>
    <cellStyle name="Normal 5 17 10 3 10" xfId="34088" xr:uid="{00000000-0005-0000-0000-000028850000}"/>
    <cellStyle name="Normal 5 17 10 3 2" xfId="34089" xr:uid="{00000000-0005-0000-0000-000029850000}"/>
    <cellStyle name="Normal 5 17 10 3 3" xfId="34090" xr:uid="{00000000-0005-0000-0000-00002A850000}"/>
    <cellStyle name="Normal 5 17 10 3 4" xfId="34091" xr:uid="{00000000-0005-0000-0000-00002B850000}"/>
    <cellStyle name="Normal 5 17 10 3 5" xfId="34092" xr:uid="{00000000-0005-0000-0000-00002C850000}"/>
    <cellStyle name="Normal 5 17 10 3 6" xfId="34093" xr:uid="{00000000-0005-0000-0000-00002D850000}"/>
    <cellStyle name="Normal 5 17 10 3 7" xfId="34094" xr:uid="{00000000-0005-0000-0000-00002E850000}"/>
    <cellStyle name="Normal 5 17 10 3 8" xfId="34095" xr:uid="{00000000-0005-0000-0000-00002F850000}"/>
    <cellStyle name="Normal 5 17 10 3 9" xfId="34096" xr:uid="{00000000-0005-0000-0000-000030850000}"/>
    <cellStyle name="Normal 5 17 10 4" xfId="34097" xr:uid="{00000000-0005-0000-0000-000031850000}"/>
    <cellStyle name="Normal 5 17 10 4 10" xfId="34098" xr:uid="{00000000-0005-0000-0000-000032850000}"/>
    <cellStyle name="Normal 5 17 10 4 2" xfId="34099" xr:uid="{00000000-0005-0000-0000-000033850000}"/>
    <cellStyle name="Normal 5 17 10 4 3" xfId="34100" xr:uid="{00000000-0005-0000-0000-000034850000}"/>
    <cellStyle name="Normal 5 17 10 4 4" xfId="34101" xr:uid="{00000000-0005-0000-0000-000035850000}"/>
    <cellStyle name="Normal 5 17 10 4 5" xfId="34102" xr:uid="{00000000-0005-0000-0000-000036850000}"/>
    <cellStyle name="Normal 5 17 10 4 6" xfId="34103" xr:uid="{00000000-0005-0000-0000-000037850000}"/>
    <cellStyle name="Normal 5 17 10 4 7" xfId="34104" xr:uid="{00000000-0005-0000-0000-000038850000}"/>
    <cellStyle name="Normal 5 17 10 4 8" xfId="34105" xr:uid="{00000000-0005-0000-0000-000039850000}"/>
    <cellStyle name="Normal 5 17 10 4 9" xfId="34106" xr:uid="{00000000-0005-0000-0000-00003A850000}"/>
    <cellStyle name="Normal 5 17 10 5" xfId="34107" xr:uid="{00000000-0005-0000-0000-00003B850000}"/>
    <cellStyle name="Normal 5 17 10 5 10" xfId="34108" xr:uid="{00000000-0005-0000-0000-00003C850000}"/>
    <cellStyle name="Normal 5 17 10 5 2" xfId="34109" xr:uid="{00000000-0005-0000-0000-00003D850000}"/>
    <cellStyle name="Normal 5 17 10 5 3" xfId="34110" xr:uid="{00000000-0005-0000-0000-00003E850000}"/>
    <cellStyle name="Normal 5 17 10 5 4" xfId="34111" xr:uid="{00000000-0005-0000-0000-00003F850000}"/>
    <cellStyle name="Normal 5 17 10 5 5" xfId="34112" xr:uid="{00000000-0005-0000-0000-000040850000}"/>
    <cellStyle name="Normal 5 17 10 5 6" xfId="34113" xr:uid="{00000000-0005-0000-0000-000041850000}"/>
    <cellStyle name="Normal 5 17 10 5 7" xfId="34114" xr:uid="{00000000-0005-0000-0000-000042850000}"/>
    <cellStyle name="Normal 5 17 10 5 8" xfId="34115" xr:uid="{00000000-0005-0000-0000-000043850000}"/>
    <cellStyle name="Normal 5 17 10 5 9" xfId="34116" xr:uid="{00000000-0005-0000-0000-000044850000}"/>
    <cellStyle name="Normal 5 17 10 6" xfId="34117" xr:uid="{00000000-0005-0000-0000-000045850000}"/>
    <cellStyle name="Normal 5 17 10 7" xfId="34118" xr:uid="{00000000-0005-0000-0000-000046850000}"/>
    <cellStyle name="Normal 5 17 10 8" xfId="34119" xr:uid="{00000000-0005-0000-0000-000047850000}"/>
    <cellStyle name="Normal 5 17 10 9" xfId="34120" xr:uid="{00000000-0005-0000-0000-000048850000}"/>
    <cellStyle name="Normal 5 17 11" xfId="34121" xr:uid="{00000000-0005-0000-0000-000049850000}"/>
    <cellStyle name="Normal 5 17 11 10" xfId="34122" xr:uid="{00000000-0005-0000-0000-00004A850000}"/>
    <cellStyle name="Normal 5 17 11 11" xfId="34123" xr:uid="{00000000-0005-0000-0000-00004B850000}"/>
    <cellStyle name="Normal 5 17 11 12" xfId="34124" xr:uid="{00000000-0005-0000-0000-00004C850000}"/>
    <cellStyle name="Normal 5 17 11 13" xfId="34125" xr:uid="{00000000-0005-0000-0000-00004D850000}"/>
    <cellStyle name="Normal 5 17 11 14" xfId="34126" xr:uid="{00000000-0005-0000-0000-00004E850000}"/>
    <cellStyle name="Normal 5 17 11 2" xfId="34127" xr:uid="{00000000-0005-0000-0000-00004F850000}"/>
    <cellStyle name="Normal 5 17 11 2 10" xfId="34128" xr:uid="{00000000-0005-0000-0000-000050850000}"/>
    <cellStyle name="Normal 5 17 11 2 2" xfId="34129" xr:uid="{00000000-0005-0000-0000-000051850000}"/>
    <cellStyle name="Normal 5 17 11 2 3" xfId="34130" xr:uid="{00000000-0005-0000-0000-000052850000}"/>
    <cellStyle name="Normal 5 17 11 2 4" xfId="34131" xr:uid="{00000000-0005-0000-0000-000053850000}"/>
    <cellStyle name="Normal 5 17 11 2 5" xfId="34132" xr:uid="{00000000-0005-0000-0000-000054850000}"/>
    <cellStyle name="Normal 5 17 11 2 6" xfId="34133" xr:uid="{00000000-0005-0000-0000-000055850000}"/>
    <cellStyle name="Normal 5 17 11 2 7" xfId="34134" xr:uid="{00000000-0005-0000-0000-000056850000}"/>
    <cellStyle name="Normal 5 17 11 2 8" xfId="34135" xr:uid="{00000000-0005-0000-0000-000057850000}"/>
    <cellStyle name="Normal 5 17 11 2 9" xfId="34136" xr:uid="{00000000-0005-0000-0000-000058850000}"/>
    <cellStyle name="Normal 5 17 11 3" xfId="34137" xr:uid="{00000000-0005-0000-0000-000059850000}"/>
    <cellStyle name="Normal 5 17 11 3 10" xfId="34138" xr:uid="{00000000-0005-0000-0000-00005A850000}"/>
    <cellStyle name="Normal 5 17 11 3 2" xfId="34139" xr:uid="{00000000-0005-0000-0000-00005B850000}"/>
    <cellStyle name="Normal 5 17 11 3 3" xfId="34140" xr:uid="{00000000-0005-0000-0000-00005C850000}"/>
    <cellStyle name="Normal 5 17 11 3 4" xfId="34141" xr:uid="{00000000-0005-0000-0000-00005D850000}"/>
    <cellStyle name="Normal 5 17 11 3 5" xfId="34142" xr:uid="{00000000-0005-0000-0000-00005E850000}"/>
    <cellStyle name="Normal 5 17 11 3 6" xfId="34143" xr:uid="{00000000-0005-0000-0000-00005F850000}"/>
    <cellStyle name="Normal 5 17 11 3 7" xfId="34144" xr:uid="{00000000-0005-0000-0000-000060850000}"/>
    <cellStyle name="Normal 5 17 11 3 8" xfId="34145" xr:uid="{00000000-0005-0000-0000-000061850000}"/>
    <cellStyle name="Normal 5 17 11 3 9" xfId="34146" xr:uid="{00000000-0005-0000-0000-000062850000}"/>
    <cellStyle name="Normal 5 17 11 4" xfId="34147" xr:uid="{00000000-0005-0000-0000-000063850000}"/>
    <cellStyle name="Normal 5 17 11 4 10" xfId="34148" xr:uid="{00000000-0005-0000-0000-000064850000}"/>
    <cellStyle name="Normal 5 17 11 4 2" xfId="34149" xr:uid="{00000000-0005-0000-0000-000065850000}"/>
    <cellStyle name="Normal 5 17 11 4 3" xfId="34150" xr:uid="{00000000-0005-0000-0000-000066850000}"/>
    <cellStyle name="Normal 5 17 11 4 4" xfId="34151" xr:uid="{00000000-0005-0000-0000-000067850000}"/>
    <cellStyle name="Normal 5 17 11 4 5" xfId="34152" xr:uid="{00000000-0005-0000-0000-000068850000}"/>
    <cellStyle name="Normal 5 17 11 4 6" xfId="34153" xr:uid="{00000000-0005-0000-0000-000069850000}"/>
    <cellStyle name="Normal 5 17 11 4 7" xfId="34154" xr:uid="{00000000-0005-0000-0000-00006A850000}"/>
    <cellStyle name="Normal 5 17 11 4 8" xfId="34155" xr:uid="{00000000-0005-0000-0000-00006B850000}"/>
    <cellStyle name="Normal 5 17 11 4 9" xfId="34156" xr:uid="{00000000-0005-0000-0000-00006C850000}"/>
    <cellStyle name="Normal 5 17 11 5" xfId="34157" xr:uid="{00000000-0005-0000-0000-00006D850000}"/>
    <cellStyle name="Normal 5 17 11 5 10" xfId="34158" xr:uid="{00000000-0005-0000-0000-00006E850000}"/>
    <cellStyle name="Normal 5 17 11 5 2" xfId="34159" xr:uid="{00000000-0005-0000-0000-00006F850000}"/>
    <cellStyle name="Normal 5 17 11 5 3" xfId="34160" xr:uid="{00000000-0005-0000-0000-000070850000}"/>
    <cellStyle name="Normal 5 17 11 5 4" xfId="34161" xr:uid="{00000000-0005-0000-0000-000071850000}"/>
    <cellStyle name="Normal 5 17 11 5 5" xfId="34162" xr:uid="{00000000-0005-0000-0000-000072850000}"/>
    <cellStyle name="Normal 5 17 11 5 6" xfId="34163" xr:uid="{00000000-0005-0000-0000-000073850000}"/>
    <cellStyle name="Normal 5 17 11 5 7" xfId="34164" xr:uid="{00000000-0005-0000-0000-000074850000}"/>
    <cellStyle name="Normal 5 17 11 5 8" xfId="34165" xr:uid="{00000000-0005-0000-0000-000075850000}"/>
    <cellStyle name="Normal 5 17 11 5 9" xfId="34166" xr:uid="{00000000-0005-0000-0000-000076850000}"/>
    <cellStyle name="Normal 5 17 11 6" xfId="34167" xr:uid="{00000000-0005-0000-0000-000077850000}"/>
    <cellStyle name="Normal 5 17 11 7" xfId="34168" xr:uid="{00000000-0005-0000-0000-000078850000}"/>
    <cellStyle name="Normal 5 17 11 8" xfId="34169" xr:uid="{00000000-0005-0000-0000-000079850000}"/>
    <cellStyle name="Normal 5 17 11 9" xfId="34170" xr:uid="{00000000-0005-0000-0000-00007A850000}"/>
    <cellStyle name="Normal 5 17 12" xfId="34171" xr:uid="{00000000-0005-0000-0000-00007B850000}"/>
    <cellStyle name="Normal 5 17 12 10" xfId="34172" xr:uid="{00000000-0005-0000-0000-00007C850000}"/>
    <cellStyle name="Normal 5 17 12 11" xfId="34173" xr:uid="{00000000-0005-0000-0000-00007D850000}"/>
    <cellStyle name="Normal 5 17 12 12" xfId="34174" xr:uid="{00000000-0005-0000-0000-00007E850000}"/>
    <cellStyle name="Normal 5 17 12 13" xfId="34175" xr:uid="{00000000-0005-0000-0000-00007F850000}"/>
    <cellStyle name="Normal 5 17 12 14" xfId="34176" xr:uid="{00000000-0005-0000-0000-000080850000}"/>
    <cellStyle name="Normal 5 17 12 2" xfId="34177" xr:uid="{00000000-0005-0000-0000-000081850000}"/>
    <cellStyle name="Normal 5 17 12 2 10" xfId="34178" xr:uid="{00000000-0005-0000-0000-000082850000}"/>
    <cellStyle name="Normal 5 17 12 2 2" xfId="34179" xr:uid="{00000000-0005-0000-0000-000083850000}"/>
    <cellStyle name="Normal 5 17 12 2 3" xfId="34180" xr:uid="{00000000-0005-0000-0000-000084850000}"/>
    <cellStyle name="Normal 5 17 12 2 4" xfId="34181" xr:uid="{00000000-0005-0000-0000-000085850000}"/>
    <cellStyle name="Normal 5 17 12 2 5" xfId="34182" xr:uid="{00000000-0005-0000-0000-000086850000}"/>
    <cellStyle name="Normal 5 17 12 2 6" xfId="34183" xr:uid="{00000000-0005-0000-0000-000087850000}"/>
    <cellStyle name="Normal 5 17 12 2 7" xfId="34184" xr:uid="{00000000-0005-0000-0000-000088850000}"/>
    <cellStyle name="Normal 5 17 12 2 8" xfId="34185" xr:uid="{00000000-0005-0000-0000-000089850000}"/>
    <cellStyle name="Normal 5 17 12 2 9" xfId="34186" xr:uid="{00000000-0005-0000-0000-00008A850000}"/>
    <cellStyle name="Normal 5 17 12 3" xfId="34187" xr:uid="{00000000-0005-0000-0000-00008B850000}"/>
    <cellStyle name="Normal 5 17 12 3 10" xfId="34188" xr:uid="{00000000-0005-0000-0000-00008C850000}"/>
    <cellStyle name="Normal 5 17 12 3 2" xfId="34189" xr:uid="{00000000-0005-0000-0000-00008D850000}"/>
    <cellStyle name="Normal 5 17 12 3 3" xfId="34190" xr:uid="{00000000-0005-0000-0000-00008E850000}"/>
    <cellStyle name="Normal 5 17 12 3 4" xfId="34191" xr:uid="{00000000-0005-0000-0000-00008F850000}"/>
    <cellStyle name="Normal 5 17 12 3 5" xfId="34192" xr:uid="{00000000-0005-0000-0000-000090850000}"/>
    <cellStyle name="Normal 5 17 12 3 6" xfId="34193" xr:uid="{00000000-0005-0000-0000-000091850000}"/>
    <cellStyle name="Normal 5 17 12 3 7" xfId="34194" xr:uid="{00000000-0005-0000-0000-000092850000}"/>
    <cellStyle name="Normal 5 17 12 3 8" xfId="34195" xr:uid="{00000000-0005-0000-0000-000093850000}"/>
    <cellStyle name="Normal 5 17 12 3 9" xfId="34196" xr:uid="{00000000-0005-0000-0000-000094850000}"/>
    <cellStyle name="Normal 5 17 12 4" xfId="34197" xr:uid="{00000000-0005-0000-0000-000095850000}"/>
    <cellStyle name="Normal 5 17 12 4 10" xfId="34198" xr:uid="{00000000-0005-0000-0000-000096850000}"/>
    <cellStyle name="Normal 5 17 12 4 2" xfId="34199" xr:uid="{00000000-0005-0000-0000-000097850000}"/>
    <cellStyle name="Normal 5 17 12 4 3" xfId="34200" xr:uid="{00000000-0005-0000-0000-000098850000}"/>
    <cellStyle name="Normal 5 17 12 4 4" xfId="34201" xr:uid="{00000000-0005-0000-0000-000099850000}"/>
    <cellStyle name="Normal 5 17 12 4 5" xfId="34202" xr:uid="{00000000-0005-0000-0000-00009A850000}"/>
    <cellStyle name="Normal 5 17 12 4 6" xfId="34203" xr:uid="{00000000-0005-0000-0000-00009B850000}"/>
    <cellStyle name="Normal 5 17 12 4 7" xfId="34204" xr:uid="{00000000-0005-0000-0000-00009C850000}"/>
    <cellStyle name="Normal 5 17 12 4 8" xfId="34205" xr:uid="{00000000-0005-0000-0000-00009D850000}"/>
    <cellStyle name="Normal 5 17 12 4 9" xfId="34206" xr:uid="{00000000-0005-0000-0000-00009E850000}"/>
    <cellStyle name="Normal 5 17 12 5" xfId="34207" xr:uid="{00000000-0005-0000-0000-00009F850000}"/>
    <cellStyle name="Normal 5 17 12 5 10" xfId="34208" xr:uid="{00000000-0005-0000-0000-0000A0850000}"/>
    <cellStyle name="Normal 5 17 12 5 2" xfId="34209" xr:uid="{00000000-0005-0000-0000-0000A1850000}"/>
    <cellStyle name="Normal 5 17 12 5 3" xfId="34210" xr:uid="{00000000-0005-0000-0000-0000A2850000}"/>
    <cellStyle name="Normal 5 17 12 5 4" xfId="34211" xr:uid="{00000000-0005-0000-0000-0000A3850000}"/>
    <cellStyle name="Normal 5 17 12 5 5" xfId="34212" xr:uid="{00000000-0005-0000-0000-0000A4850000}"/>
    <cellStyle name="Normal 5 17 12 5 6" xfId="34213" xr:uid="{00000000-0005-0000-0000-0000A5850000}"/>
    <cellStyle name="Normal 5 17 12 5 7" xfId="34214" xr:uid="{00000000-0005-0000-0000-0000A6850000}"/>
    <cellStyle name="Normal 5 17 12 5 8" xfId="34215" xr:uid="{00000000-0005-0000-0000-0000A7850000}"/>
    <cellStyle name="Normal 5 17 12 5 9" xfId="34216" xr:uid="{00000000-0005-0000-0000-0000A8850000}"/>
    <cellStyle name="Normal 5 17 12 6" xfId="34217" xr:uid="{00000000-0005-0000-0000-0000A9850000}"/>
    <cellStyle name="Normal 5 17 12 7" xfId="34218" xr:uid="{00000000-0005-0000-0000-0000AA850000}"/>
    <cellStyle name="Normal 5 17 12 8" xfId="34219" xr:uid="{00000000-0005-0000-0000-0000AB850000}"/>
    <cellStyle name="Normal 5 17 12 9" xfId="34220" xr:uid="{00000000-0005-0000-0000-0000AC850000}"/>
    <cellStyle name="Normal 5 17 13" xfId="34221" xr:uid="{00000000-0005-0000-0000-0000AD850000}"/>
    <cellStyle name="Normal 5 17 13 10" xfId="34222" xr:uid="{00000000-0005-0000-0000-0000AE850000}"/>
    <cellStyle name="Normal 5 17 13 11" xfId="34223" xr:uid="{00000000-0005-0000-0000-0000AF850000}"/>
    <cellStyle name="Normal 5 17 13 12" xfId="34224" xr:uid="{00000000-0005-0000-0000-0000B0850000}"/>
    <cellStyle name="Normal 5 17 13 13" xfId="34225" xr:uid="{00000000-0005-0000-0000-0000B1850000}"/>
    <cellStyle name="Normal 5 17 13 14" xfId="34226" xr:uid="{00000000-0005-0000-0000-0000B2850000}"/>
    <cellStyle name="Normal 5 17 13 2" xfId="34227" xr:uid="{00000000-0005-0000-0000-0000B3850000}"/>
    <cellStyle name="Normal 5 17 13 2 10" xfId="34228" xr:uid="{00000000-0005-0000-0000-0000B4850000}"/>
    <cellStyle name="Normal 5 17 13 2 2" xfId="34229" xr:uid="{00000000-0005-0000-0000-0000B5850000}"/>
    <cellStyle name="Normal 5 17 13 2 3" xfId="34230" xr:uid="{00000000-0005-0000-0000-0000B6850000}"/>
    <cellStyle name="Normal 5 17 13 2 4" xfId="34231" xr:uid="{00000000-0005-0000-0000-0000B7850000}"/>
    <cellStyle name="Normal 5 17 13 2 5" xfId="34232" xr:uid="{00000000-0005-0000-0000-0000B8850000}"/>
    <cellStyle name="Normal 5 17 13 2 6" xfId="34233" xr:uid="{00000000-0005-0000-0000-0000B9850000}"/>
    <cellStyle name="Normal 5 17 13 2 7" xfId="34234" xr:uid="{00000000-0005-0000-0000-0000BA850000}"/>
    <cellStyle name="Normal 5 17 13 2 8" xfId="34235" xr:uid="{00000000-0005-0000-0000-0000BB850000}"/>
    <cellStyle name="Normal 5 17 13 2 9" xfId="34236" xr:uid="{00000000-0005-0000-0000-0000BC850000}"/>
    <cellStyle name="Normal 5 17 13 3" xfId="34237" xr:uid="{00000000-0005-0000-0000-0000BD850000}"/>
    <cellStyle name="Normal 5 17 13 3 10" xfId="34238" xr:uid="{00000000-0005-0000-0000-0000BE850000}"/>
    <cellStyle name="Normal 5 17 13 3 2" xfId="34239" xr:uid="{00000000-0005-0000-0000-0000BF850000}"/>
    <cellStyle name="Normal 5 17 13 3 3" xfId="34240" xr:uid="{00000000-0005-0000-0000-0000C0850000}"/>
    <cellStyle name="Normal 5 17 13 3 4" xfId="34241" xr:uid="{00000000-0005-0000-0000-0000C1850000}"/>
    <cellStyle name="Normal 5 17 13 3 5" xfId="34242" xr:uid="{00000000-0005-0000-0000-0000C2850000}"/>
    <cellStyle name="Normal 5 17 13 3 6" xfId="34243" xr:uid="{00000000-0005-0000-0000-0000C3850000}"/>
    <cellStyle name="Normal 5 17 13 3 7" xfId="34244" xr:uid="{00000000-0005-0000-0000-0000C4850000}"/>
    <cellStyle name="Normal 5 17 13 3 8" xfId="34245" xr:uid="{00000000-0005-0000-0000-0000C5850000}"/>
    <cellStyle name="Normal 5 17 13 3 9" xfId="34246" xr:uid="{00000000-0005-0000-0000-0000C6850000}"/>
    <cellStyle name="Normal 5 17 13 4" xfId="34247" xr:uid="{00000000-0005-0000-0000-0000C7850000}"/>
    <cellStyle name="Normal 5 17 13 4 10" xfId="34248" xr:uid="{00000000-0005-0000-0000-0000C8850000}"/>
    <cellStyle name="Normal 5 17 13 4 2" xfId="34249" xr:uid="{00000000-0005-0000-0000-0000C9850000}"/>
    <cellStyle name="Normal 5 17 13 4 3" xfId="34250" xr:uid="{00000000-0005-0000-0000-0000CA850000}"/>
    <cellStyle name="Normal 5 17 13 4 4" xfId="34251" xr:uid="{00000000-0005-0000-0000-0000CB850000}"/>
    <cellStyle name="Normal 5 17 13 4 5" xfId="34252" xr:uid="{00000000-0005-0000-0000-0000CC850000}"/>
    <cellStyle name="Normal 5 17 13 4 6" xfId="34253" xr:uid="{00000000-0005-0000-0000-0000CD850000}"/>
    <cellStyle name="Normal 5 17 13 4 7" xfId="34254" xr:uid="{00000000-0005-0000-0000-0000CE850000}"/>
    <cellStyle name="Normal 5 17 13 4 8" xfId="34255" xr:uid="{00000000-0005-0000-0000-0000CF850000}"/>
    <cellStyle name="Normal 5 17 13 4 9" xfId="34256" xr:uid="{00000000-0005-0000-0000-0000D0850000}"/>
    <cellStyle name="Normal 5 17 13 5" xfId="34257" xr:uid="{00000000-0005-0000-0000-0000D1850000}"/>
    <cellStyle name="Normal 5 17 13 5 10" xfId="34258" xr:uid="{00000000-0005-0000-0000-0000D2850000}"/>
    <cellStyle name="Normal 5 17 13 5 2" xfId="34259" xr:uid="{00000000-0005-0000-0000-0000D3850000}"/>
    <cellStyle name="Normal 5 17 13 5 3" xfId="34260" xr:uid="{00000000-0005-0000-0000-0000D4850000}"/>
    <cellStyle name="Normal 5 17 13 5 4" xfId="34261" xr:uid="{00000000-0005-0000-0000-0000D5850000}"/>
    <cellStyle name="Normal 5 17 13 5 5" xfId="34262" xr:uid="{00000000-0005-0000-0000-0000D6850000}"/>
    <cellStyle name="Normal 5 17 13 5 6" xfId="34263" xr:uid="{00000000-0005-0000-0000-0000D7850000}"/>
    <cellStyle name="Normal 5 17 13 5 7" xfId="34264" xr:uid="{00000000-0005-0000-0000-0000D8850000}"/>
    <cellStyle name="Normal 5 17 13 5 8" xfId="34265" xr:uid="{00000000-0005-0000-0000-0000D9850000}"/>
    <cellStyle name="Normal 5 17 13 5 9" xfId="34266" xr:uid="{00000000-0005-0000-0000-0000DA850000}"/>
    <cellStyle name="Normal 5 17 13 6" xfId="34267" xr:uid="{00000000-0005-0000-0000-0000DB850000}"/>
    <cellStyle name="Normal 5 17 13 7" xfId="34268" xr:uid="{00000000-0005-0000-0000-0000DC850000}"/>
    <cellStyle name="Normal 5 17 13 8" xfId="34269" xr:uid="{00000000-0005-0000-0000-0000DD850000}"/>
    <cellStyle name="Normal 5 17 13 9" xfId="34270" xr:uid="{00000000-0005-0000-0000-0000DE850000}"/>
    <cellStyle name="Normal 5 17 14" xfId="34271" xr:uid="{00000000-0005-0000-0000-0000DF850000}"/>
    <cellStyle name="Normal 5 17 14 10" xfId="34272" xr:uid="{00000000-0005-0000-0000-0000E0850000}"/>
    <cellStyle name="Normal 5 17 14 11" xfId="34273" xr:uid="{00000000-0005-0000-0000-0000E1850000}"/>
    <cellStyle name="Normal 5 17 14 12" xfId="34274" xr:uid="{00000000-0005-0000-0000-0000E2850000}"/>
    <cellStyle name="Normal 5 17 14 13" xfId="34275" xr:uid="{00000000-0005-0000-0000-0000E3850000}"/>
    <cellStyle name="Normal 5 17 14 14" xfId="34276" xr:uid="{00000000-0005-0000-0000-0000E4850000}"/>
    <cellStyle name="Normal 5 17 14 2" xfId="34277" xr:uid="{00000000-0005-0000-0000-0000E5850000}"/>
    <cellStyle name="Normal 5 17 14 2 10" xfId="34278" xr:uid="{00000000-0005-0000-0000-0000E6850000}"/>
    <cellStyle name="Normal 5 17 14 2 2" xfId="34279" xr:uid="{00000000-0005-0000-0000-0000E7850000}"/>
    <cellStyle name="Normal 5 17 14 2 3" xfId="34280" xr:uid="{00000000-0005-0000-0000-0000E8850000}"/>
    <cellStyle name="Normal 5 17 14 2 4" xfId="34281" xr:uid="{00000000-0005-0000-0000-0000E9850000}"/>
    <cellStyle name="Normal 5 17 14 2 5" xfId="34282" xr:uid="{00000000-0005-0000-0000-0000EA850000}"/>
    <cellStyle name="Normal 5 17 14 2 6" xfId="34283" xr:uid="{00000000-0005-0000-0000-0000EB850000}"/>
    <cellStyle name="Normal 5 17 14 2 7" xfId="34284" xr:uid="{00000000-0005-0000-0000-0000EC850000}"/>
    <cellStyle name="Normal 5 17 14 2 8" xfId="34285" xr:uid="{00000000-0005-0000-0000-0000ED850000}"/>
    <cellStyle name="Normal 5 17 14 2 9" xfId="34286" xr:uid="{00000000-0005-0000-0000-0000EE850000}"/>
    <cellStyle name="Normal 5 17 14 3" xfId="34287" xr:uid="{00000000-0005-0000-0000-0000EF850000}"/>
    <cellStyle name="Normal 5 17 14 3 10" xfId="34288" xr:uid="{00000000-0005-0000-0000-0000F0850000}"/>
    <cellStyle name="Normal 5 17 14 3 2" xfId="34289" xr:uid="{00000000-0005-0000-0000-0000F1850000}"/>
    <cellStyle name="Normal 5 17 14 3 3" xfId="34290" xr:uid="{00000000-0005-0000-0000-0000F2850000}"/>
    <cellStyle name="Normal 5 17 14 3 4" xfId="34291" xr:uid="{00000000-0005-0000-0000-0000F3850000}"/>
    <cellStyle name="Normal 5 17 14 3 5" xfId="34292" xr:uid="{00000000-0005-0000-0000-0000F4850000}"/>
    <cellStyle name="Normal 5 17 14 3 6" xfId="34293" xr:uid="{00000000-0005-0000-0000-0000F5850000}"/>
    <cellStyle name="Normal 5 17 14 3 7" xfId="34294" xr:uid="{00000000-0005-0000-0000-0000F6850000}"/>
    <cellStyle name="Normal 5 17 14 3 8" xfId="34295" xr:uid="{00000000-0005-0000-0000-0000F7850000}"/>
    <cellStyle name="Normal 5 17 14 3 9" xfId="34296" xr:uid="{00000000-0005-0000-0000-0000F8850000}"/>
    <cellStyle name="Normal 5 17 14 4" xfId="34297" xr:uid="{00000000-0005-0000-0000-0000F9850000}"/>
    <cellStyle name="Normal 5 17 14 4 10" xfId="34298" xr:uid="{00000000-0005-0000-0000-0000FA850000}"/>
    <cellStyle name="Normal 5 17 14 4 2" xfId="34299" xr:uid="{00000000-0005-0000-0000-0000FB850000}"/>
    <cellStyle name="Normal 5 17 14 4 3" xfId="34300" xr:uid="{00000000-0005-0000-0000-0000FC850000}"/>
    <cellStyle name="Normal 5 17 14 4 4" xfId="34301" xr:uid="{00000000-0005-0000-0000-0000FD850000}"/>
    <cellStyle name="Normal 5 17 14 4 5" xfId="34302" xr:uid="{00000000-0005-0000-0000-0000FE850000}"/>
    <cellStyle name="Normal 5 17 14 4 6" xfId="34303" xr:uid="{00000000-0005-0000-0000-0000FF850000}"/>
    <cellStyle name="Normal 5 17 14 4 7" xfId="34304" xr:uid="{00000000-0005-0000-0000-000000860000}"/>
    <cellStyle name="Normal 5 17 14 4 8" xfId="34305" xr:uid="{00000000-0005-0000-0000-000001860000}"/>
    <cellStyle name="Normal 5 17 14 4 9" xfId="34306" xr:uid="{00000000-0005-0000-0000-000002860000}"/>
    <cellStyle name="Normal 5 17 14 5" xfId="34307" xr:uid="{00000000-0005-0000-0000-000003860000}"/>
    <cellStyle name="Normal 5 17 14 5 10" xfId="34308" xr:uid="{00000000-0005-0000-0000-000004860000}"/>
    <cellStyle name="Normal 5 17 14 5 2" xfId="34309" xr:uid="{00000000-0005-0000-0000-000005860000}"/>
    <cellStyle name="Normal 5 17 14 5 3" xfId="34310" xr:uid="{00000000-0005-0000-0000-000006860000}"/>
    <cellStyle name="Normal 5 17 14 5 4" xfId="34311" xr:uid="{00000000-0005-0000-0000-000007860000}"/>
    <cellStyle name="Normal 5 17 14 5 5" xfId="34312" xr:uid="{00000000-0005-0000-0000-000008860000}"/>
    <cellStyle name="Normal 5 17 14 5 6" xfId="34313" xr:uid="{00000000-0005-0000-0000-000009860000}"/>
    <cellStyle name="Normal 5 17 14 5 7" xfId="34314" xr:uid="{00000000-0005-0000-0000-00000A860000}"/>
    <cellStyle name="Normal 5 17 14 5 8" xfId="34315" xr:uid="{00000000-0005-0000-0000-00000B860000}"/>
    <cellStyle name="Normal 5 17 14 5 9" xfId="34316" xr:uid="{00000000-0005-0000-0000-00000C860000}"/>
    <cellStyle name="Normal 5 17 14 6" xfId="34317" xr:uid="{00000000-0005-0000-0000-00000D860000}"/>
    <cellStyle name="Normal 5 17 14 7" xfId="34318" xr:uid="{00000000-0005-0000-0000-00000E860000}"/>
    <cellStyle name="Normal 5 17 14 8" xfId="34319" xr:uid="{00000000-0005-0000-0000-00000F860000}"/>
    <cellStyle name="Normal 5 17 14 9" xfId="34320" xr:uid="{00000000-0005-0000-0000-000010860000}"/>
    <cellStyle name="Normal 5 17 15" xfId="34321" xr:uid="{00000000-0005-0000-0000-000011860000}"/>
    <cellStyle name="Normal 5 17 15 10" xfId="34322" xr:uid="{00000000-0005-0000-0000-000012860000}"/>
    <cellStyle name="Normal 5 17 15 11" xfId="34323" xr:uid="{00000000-0005-0000-0000-000013860000}"/>
    <cellStyle name="Normal 5 17 15 12" xfId="34324" xr:uid="{00000000-0005-0000-0000-000014860000}"/>
    <cellStyle name="Normal 5 17 15 13" xfId="34325" xr:uid="{00000000-0005-0000-0000-000015860000}"/>
    <cellStyle name="Normal 5 17 15 14" xfId="34326" xr:uid="{00000000-0005-0000-0000-000016860000}"/>
    <cellStyle name="Normal 5 17 15 2" xfId="34327" xr:uid="{00000000-0005-0000-0000-000017860000}"/>
    <cellStyle name="Normal 5 17 15 2 10" xfId="34328" xr:uid="{00000000-0005-0000-0000-000018860000}"/>
    <cellStyle name="Normal 5 17 15 2 2" xfId="34329" xr:uid="{00000000-0005-0000-0000-000019860000}"/>
    <cellStyle name="Normal 5 17 15 2 3" xfId="34330" xr:uid="{00000000-0005-0000-0000-00001A860000}"/>
    <cellStyle name="Normal 5 17 15 2 4" xfId="34331" xr:uid="{00000000-0005-0000-0000-00001B860000}"/>
    <cellStyle name="Normal 5 17 15 2 5" xfId="34332" xr:uid="{00000000-0005-0000-0000-00001C860000}"/>
    <cellStyle name="Normal 5 17 15 2 6" xfId="34333" xr:uid="{00000000-0005-0000-0000-00001D860000}"/>
    <cellStyle name="Normal 5 17 15 2 7" xfId="34334" xr:uid="{00000000-0005-0000-0000-00001E860000}"/>
    <cellStyle name="Normal 5 17 15 2 8" xfId="34335" xr:uid="{00000000-0005-0000-0000-00001F860000}"/>
    <cellStyle name="Normal 5 17 15 2 9" xfId="34336" xr:uid="{00000000-0005-0000-0000-000020860000}"/>
    <cellStyle name="Normal 5 17 15 3" xfId="34337" xr:uid="{00000000-0005-0000-0000-000021860000}"/>
    <cellStyle name="Normal 5 17 15 3 10" xfId="34338" xr:uid="{00000000-0005-0000-0000-000022860000}"/>
    <cellStyle name="Normal 5 17 15 3 2" xfId="34339" xr:uid="{00000000-0005-0000-0000-000023860000}"/>
    <cellStyle name="Normal 5 17 15 3 3" xfId="34340" xr:uid="{00000000-0005-0000-0000-000024860000}"/>
    <cellStyle name="Normal 5 17 15 3 4" xfId="34341" xr:uid="{00000000-0005-0000-0000-000025860000}"/>
    <cellStyle name="Normal 5 17 15 3 5" xfId="34342" xr:uid="{00000000-0005-0000-0000-000026860000}"/>
    <cellStyle name="Normal 5 17 15 3 6" xfId="34343" xr:uid="{00000000-0005-0000-0000-000027860000}"/>
    <cellStyle name="Normal 5 17 15 3 7" xfId="34344" xr:uid="{00000000-0005-0000-0000-000028860000}"/>
    <cellStyle name="Normal 5 17 15 3 8" xfId="34345" xr:uid="{00000000-0005-0000-0000-000029860000}"/>
    <cellStyle name="Normal 5 17 15 3 9" xfId="34346" xr:uid="{00000000-0005-0000-0000-00002A860000}"/>
    <cellStyle name="Normal 5 17 15 4" xfId="34347" xr:uid="{00000000-0005-0000-0000-00002B860000}"/>
    <cellStyle name="Normal 5 17 15 4 10" xfId="34348" xr:uid="{00000000-0005-0000-0000-00002C860000}"/>
    <cellStyle name="Normal 5 17 15 4 2" xfId="34349" xr:uid="{00000000-0005-0000-0000-00002D860000}"/>
    <cellStyle name="Normal 5 17 15 4 3" xfId="34350" xr:uid="{00000000-0005-0000-0000-00002E860000}"/>
    <cellStyle name="Normal 5 17 15 4 4" xfId="34351" xr:uid="{00000000-0005-0000-0000-00002F860000}"/>
    <cellStyle name="Normal 5 17 15 4 5" xfId="34352" xr:uid="{00000000-0005-0000-0000-000030860000}"/>
    <cellStyle name="Normal 5 17 15 4 6" xfId="34353" xr:uid="{00000000-0005-0000-0000-000031860000}"/>
    <cellStyle name="Normal 5 17 15 4 7" xfId="34354" xr:uid="{00000000-0005-0000-0000-000032860000}"/>
    <cellStyle name="Normal 5 17 15 4 8" xfId="34355" xr:uid="{00000000-0005-0000-0000-000033860000}"/>
    <cellStyle name="Normal 5 17 15 4 9" xfId="34356" xr:uid="{00000000-0005-0000-0000-000034860000}"/>
    <cellStyle name="Normal 5 17 15 5" xfId="34357" xr:uid="{00000000-0005-0000-0000-000035860000}"/>
    <cellStyle name="Normal 5 17 15 5 10" xfId="34358" xr:uid="{00000000-0005-0000-0000-000036860000}"/>
    <cellStyle name="Normal 5 17 15 5 2" xfId="34359" xr:uid="{00000000-0005-0000-0000-000037860000}"/>
    <cellStyle name="Normal 5 17 15 5 3" xfId="34360" xr:uid="{00000000-0005-0000-0000-000038860000}"/>
    <cellStyle name="Normal 5 17 15 5 4" xfId="34361" xr:uid="{00000000-0005-0000-0000-000039860000}"/>
    <cellStyle name="Normal 5 17 15 5 5" xfId="34362" xr:uid="{00000000-0005-0000-0000-00003A860000}"/>
    <cellStyle name="Normal 5 17 15 5 6" xfId="34363" xr:uid="{00000000-0005-0000-0000-00003B860000}"/>
    <cellStyle name="Normal 5 17 15 5 7" xfId="34364" xr:uid="{00000000-0005-0000-0000-00003C860000}"/>
    <cellStyle name="Normal 5 17 15 5 8" xfId="34365" xr:uid="{00000000-0005-0000-0000-00003D860000}"/>
    <cellStyle name="Normal 5 17 15 5 9" xfId="34366" xr:uid="{00000000-0005-0000-0000-00003E860000}"/>
    <cellStyle name="Normal 5 17 15 6" xfId="34367" xr:uid="{00000000-0005-0000-0000-00003F860000}"/>
    <cellStyle name="Normal 5 17 15 7" xfId="34368" xr:uid="{00000000-0005-0000-0000-000040860000}"/>
    <cellStyle name="Normal 5 17 15 8" xfId="34369" xr:uid="{00000000-0005-0000-0000-000041860000}"/>
    <cellStyle name="Normal 5 17 15 9" xfId="34370" xr:uid="{00000000-0005-0000-0000-000042860000}"/>
    <cellStyle name="Normal 5 17 16" xfId="34371" xr:uid="{00000000-0005-0000-0000-000043860000}"/>
    <cellStyle name="Normal 5 17 16 10" xfId="34372" xr:uid="{00000000-0005-0000-0000-000044860000}"/>
    <cellStyle name="Normal 5 17 16 11" xfId="34373" xr:uid="{00000000-0005-0000-0000-000045860000}"/>
    <cellStyle name="Normal 5 17 16 12" xfId="34374" xr:uid="{00000000-0005-0000-0000-000046860000}"/>
    <cellStyle name="Normal 5 17 16 13" xfId="34375" xr:uid="{00000000-0005-0000-0000-000047860000}"/>
    <cellStyle name="Normal 5 17 16 14" xfId="34376" xr:uid="{00000000-0005-0000-0000-000048860000}"/>
    <cellStyle name="Normal 5 17 16 2" xfId="34377" xr:uid="{00000000-0005-0000-0000-000049860000}"/>
    <cellStyle name="Normal 5 17 16 2 10" xfId="34378" xr:uid="{00000000-0005-0000-0000-00004A860000}"/>
    <cellStyle name="Normal 5 17 16 2 2" xfId="34379" xr:uid="{00000000-0005-0000-0000-00004B860000}"/>
    <cellStyle name="Normal 5 17 16 2 3" xfId="34380" xr:uid="{00000000-0005-0000-0000-00004C860000}"/>
    <cellStyle name="Normal 5 17 16 2 4" xfId="34381" xr:uid="{00000000-0005-0000-0000-00004D860000}"/>
    <cellStyle name="Normal 5 17 16 2 5" xfId="34382" xr:uid="{00000000-0005-0000-0000-00004E860000}"/>
    <cellStyle name="Normal 5 17 16 2 6" xfId="34383" xr:uid="{00000000-0005-0000-0000-00004F860000}"/>
    <cellStyle name="Normal 5 17 16 2 7" xfId="34384" xr:uid="{00000000-0005-0000-0000-000050860000}"/>
    <cellStyle name="Normal 5 17 16 2 8" xfId="34385" xr:uid="{00000000-0005-0000-0000-000051860000}"/>
    <cellStyle name="Normal 5 17 16 2 9" xfId="34386" xr:uid="{00000000-0005-0000-0000-000052860000}"/>
    <cellStyle name="Normal 5 17 16 3" xfId="34387" xr:uid="{00000000-0005-0000-0000-000053860000}"/>
    <cellStyle name="Normal 5 17 16 3 10" xfId="34388" xr:uid="{00000000-0005-0000-0000-000054860000}"/>
    <cellStyle name="Normal 5 17 16 3 2" xfId="34389" xr:uid="{00000000-0005-0000-0000-000055860000}"/>
    <cellStyle name="Normal 5 17 16 3 3" xfId="34390" xr:uid="{00000000-0005-0000-0000-000056860000}"/>
    <cellStyle name="Normal 5 17 16 3 4" xfId="34391" xr:uid="{00000000-0005-0000-0000-000057860000}"/>
    <cellStyle name="Normal 5 17 16 3 5" xfId="34392" xr:uid="{00000000-0005-0000-0000-000058860000}"/>
    <cellStyle name="Normal 5 17 16 3 6" xfId="34393" xr:uid="{00000000-0005-0000-0000-000059860000}"/>
    <cellStyle name="Normal 5 17 16 3 7" xfId="34394" xr:uid="{00000000-0005-0000-0000-00005A860000}"/>
    <cellStyle name="Normal 5 17 16 3 8" xfId="34395" xr:uid="{00000000-0005-0000-0000-00005B860000}"/>
    <cellStyle name="Normal 5 17 16 3 9" xfId="34396" xr:uid="{00000000-0005-0000-0000-00005C860000}"/>
    <cellStyle name="Normal 5 17 16 4" xfId="34397" xr:uid="{00000000-0005-0000-0000-00005D860000}"/>
    <cellStyle name="Normal 5 17 16 4 10" xfId="34398" xr:uid="{00000000-0005-0000-0000-00005E860000}"/>
    <cellStyle name="Normal 5 17 16 4 2" xfId="34399" xr:uid="{00000000-0005-0000-0000-00005F860000}"/>
    <cellStyle name="Normal 5 17 16 4 3" xfId="34400" xr:uid="{00000000-0005-0000-0000-000060860000}"/>
    <cellStyle name="Normal 5 17 16 4 4" xfId="34401" xr:uid="{00000000-0005-0000-0000-000061860000}"/>
    <cellStyle name="Normal 5 17 16 4 5" xfId="34402" xr:uid="{00000000-0005-0000-0000-000062860000}"/>
    <cellStyle name="Normal 5 17 16 4 6" xfId="34403" xr:uid="{00000000-0005-0000-0000-000063860000}"/>
    <cellStyle name="Normal 5 17 16 4 7" xfId="34404" xr:uid="{00000000-0005-0000-0000-000064860000}"/>
    <cellStyle name="Normal 5 17 16 4 8" xfId="34405" xr:uid="{00000000-0005-0000-0000-000065860000}"/>
    <cellStyle name="Normal 5 17 16 4 9" xfId="34406" xr:uid="{00000000-0005-0000-0000-000066860000}"/>
    <cellStyle name="Normal 5 17 16 5" xfId="34407" xr:uid="{00000000-0005-0000-0000-000067860000}"/>
    <cellStyle name="Normal 5 17 16 5 10" xfId="34408" xr:uid="{00000000-0005-0000-0000-000068860000}"/>
    <cellStyle name="Normal 5 17 16 5 2" xfId="34409" xr:uid="{00000000-0005-0000-0000-000069860000}"/>
    <cellStyle name="Normal 5 17 16 5 3" xfId="34410" xr:uid="{00000000-0005-0000-0000-00006A860000}"/>
    <cellStyle name="Normal 5 17 16 5 4" xfId="34411" xr:uid="{00000000-0005-0000-0000-00006B860000}"/>
    <cellStyle name="Normal 5 17 16 5 5" xfId="34412" xr:uid="{00000000-0005-0000-0000-00006C860000}"/>
    <cellStyle name="Normal 5 17 16 5 6" xfId="34413" xr:uid="{00000000-0005-0000-0000-00006D860000}"/>
    <cellStyle name="Normal 5 17 16 5 7" xfId="34414" xr:uid="{00000000-0005-0000-0000-00006E860000}"/>
    <cellStyle name="Normal 5 17 16 5 8" xfId="34415" xr:uid="{00000000-0005-0000-0000-00006F860000}"/>
    <cellStyle name="Normal 5 17 16 5 9" xfId="34416" xr:uid="{00000000-0005-0000-0000-000070860000}"/>
    <cellStyle name="Normal 5 17 16 6" xfId="34417" xr:uid="{00000000-0005-0000-0000-000071860000}"/>
    <cellStyle name="Normal 5 17 16 7" xfId="34418" xr:uid="{00000000-0005-0000-0000-000072860000}"/>
    <cellStyle name="Normal 5 17 16 8" xfId="34419" xr:uid="{00000000-0005-0000-0000-000073860000}"/>
    <cellStyle name="Normal 5 17 16 9" xfId="34420" xr:uid="{00000000-0005-0000-0000-000074860000}"/>
    <cellStyle name="Normal 5 17 17" xfId="34421" xr:uid="{00000000-0005-0000-0000-000075860000}"/>
    <cellStyle name="Normal 5 17 17 10" xfId="34422" xr:uid="{00000000-0005-0000-0000-000076860000}"/>
    <cellStyle name="Normal 5 17 17 11" xfId="34423" xr:uid="{00000000-0005-0000-0000-000077860000}"/>
    <cellStyle name="Normal 5 17 17 12" xfId="34424" xr:uid="{00000000-0005-0000-0000-000078860000}"/>
    <cellStyle name="Normal 5 17 17 13" xfId="34425" xr:uid="{00000000-0005-0000-0000-000079860000}"/>
    <cellStyle name="Normal 5 17 17 14" xfId="34426" xr:uid="{00000000-0005-0000-0000-00007A860000}"/>
    <cellStyle name="Normal 5 17 17 2" xfId="34427" xr:uid="{00000000-0005-0000-0000-00007B860000}"/>
    <cellStyle name="Normal 5 17 17 2 10" xfId="34428" xr:uid="{00000000-0005-0000-0000-00007C860000}"/>
    <cellStyle name="Normal 5 17 17 2 2" xfId="34429" xr:uid="{00000000-0005-0000-0000-00007D860000}"/>
    <cellStyle name="Normal 5 17 17 2 3" xfId="34430" xr:uid="{00000000-0005-0000-0000-00007E860000}"/>
    <cellStyle name="Normal 5 17 17 2 4" xfId="34431" xr:uid="{00000000-0005-0000-0000-00007F860000}"/>
    <cellStyle name="Normal 5 17 17 2 5" xfId="34432" xr:uid="{00000000-0005-0000-0000-000080860000}"/>
    <cellStyle name="Normal 5 17 17 2 6" xfId="34433" xr:uid="{00000000-0005-0000-0000-000081860000}"/>
    <cellStyle name="Normal 5 17 17 2 7" xfId="34434" xr:uid="{00000000-0005-0000-0000-000082860000}"/>
    <cellStyle name="Normal 5 17 17 2 8" xfId="34435" xr:uid="{00000000-0005-0000-0000-000083860000}"/>
    <cellStyle name="Normal 5 17 17 2 9" xfId="34436" xr:uid="{00000000-0005-0000-0000-000084860000}"/>
    <cellStyle name="Normal 5 17 17 3" xfId="34437" xr:uid="{00000000-0005-0000-0000-000085860000}"/>
    <cellStyle name="Normal 5 17 17 3 10" xfId="34438" xr:uid="{00000000-0005-0000-0000-000086860000}"/>
    <cellStyle name="Normal 5 17 17 3 2" xfId="34439" xr:uid="{00000000-0005-0000-0000-000087860000}"/>
    <cellStyle name="Normal 5 17 17 3 3" xfId="34440" xr:uid="{00000000-0005-0000-0000-000088860000}"/>
    <cellStyle name="Normal 5 17 17 3 4" xfId="34441" xr:uid="{00000000-0005-0000-0000-000089860000}"/>
    <cellStyle name="Normal 5 17 17 3 5" xfId="34442" xr:uid="{00000000-0005-0000-0000-00008A860000}"/>
    <cellStyle name="Normal 5 17 17 3 6" xfId="34443" xr:uid="{00000000-0005-0000-0000-00008B860000}"/>
    <cellStyle name="Normal 5 17 17 3 7" xfId="34444" xr:uid="{00000000-0005-0000-0000-00008C860000}"/>
    <cellStyle name="Normal 5 17 17 3 8" xfId="34445" xr:uid="{00000000-0005-0000-0000-00008D860000}"/>
    <cellStyle name="Normal 5 17 17 3 9" xfId="34446" xr:uid="{00000000-0005-0000-0000-00008E860000}"/>
    <cellStyle name="Normal 5 17 17 4" xfId="34447" xr:uid="{00000000-0005-0000-0000-00008F860000}"/>
    <cellStyle name="Normal 5 17 17 4 10" xfId="34448" xr:uid="{00000000-0005-0000-0000-000090860000}"/>
    <cellStyle name="Normal 5 17 17 4 2" xfId="34449" xr:uid="{00000000-0005-0000-0000-000091860000}"/>
    <cellStyle name="Normal 5 17 17 4 3" xfId="34450" xr:uid="{00000000-0005-0000-0000-000092860000}"/>
    <cellStyle name="Normal 5 17 17 4 4" xfId="34451" xr:uid="{00000000-0005-0000-0000-000093860000}"/>
    <cellStyle name="Normal 5 17 17 4 5" xfId="34452" xr:uid="{00000000-0005-0000-0000-000094860000}"/>
    <cellStyle name="Normal 5 17 17 4 6" xfId="34453" xr:uid="{00000000-0005-0000-0000-000095860000}"/>
    <cellStyle name="Normal 5 17 17 4 7" xfId="34454" xr:uid="{00000000-0005-0000-0000-000096860000}"/>
    <cellStyle name="Normal 5 17 17 4 8" xfId="34455" xr:uid="{00000000-0005-0000-0000-000097860000}"/>
    <cellStyle name="Normal 5 17 17 4 9" xfId="34456" xr:uid="{00000000-0005-0000-0000-000098860000}"/>
    <cellStyle name="Normal 5 17 17 5" xfId="34457" xr:uid="{00000000-0005-0000-0000-000099860000}"/>
    <cellStyle name="Normal 5 17 17 5 10" xfId="34458" xr:uid="{00000000-0005-0000-0000-00009A860000}"/>
    <cellStyle name="Normal 5 17 17 5 2" xfId="34459" xr:uid="{00000000-0005-0000-0000-00009B860000}"/>
    <cellStyle name="Normal 5 17 17 5 3" xfId="34460" xr:uid="{00000000-0005-0000-0000-00009C860000}"/>
    <cellStyle name="Normal 5 17 17 5 4" xfId="34461" xr:uid="{00000000-0005-0000-0000-00009D860000}"/>
    <cellStyle name="Normal 5 17 17 5 5" xfId="34462" xr:uid="{00000000-0005-0000-0000-00009E860000}"/>
    <cellStyle name="Normal 5 17 17 5 6" xfId="34463" xr:uid="{00000000-0005-0000-0000-00009F860000}"/>
    <cellStyle name="Normal 5 17 17 5 7" xfId="34464" xr:uid="{00000000-0005-0000-0000-0000A0860000}"/>
    <cellStyle name="Normal 5 17 17 5 8" xfId="34465" xr:uid="{00000000-0005-0000-0000-0000A1860000}"/>
    <cellStyle name="Normal 5 17 17 5 9" xfId="34466" xr:uid="{00000000-0005-0000-0000-0000A2860000}"/>
    <cellStyle name="Normal 5 17 17 6" xfId="34467" xr:uid="{00000000-0005-0000-0000-0000A3860000}"/>
    <cellStyle name="Normal 5 17 17 7" xfId="34468" xr:uid="{00000000-0005-0000-0000-0000A4860000}"/>
    <cellStyle name="Normal 5 17 17 8" xfId="34469" xr:uid="{00000000-0005-0000-0000-0000A5860000}"/>
    <cellStyle name="Normal 5 17 17 9" xfId="34470" xr:uid="{00000000-0005-0000-0000-0000A6860000}"/>
    <cellStyle name="Normal 5 17 18" xfId="34471" xr:uid="{00000000-0005-0000-0000-0000A7860000}"/>
    <cellStyle name="Normal 5 17 18 10" xfId="34472" xr:uid="{00000000-0005-0000-0000-0000A8860000}"/>
    <cellStyle name="Normal 5 17 18 11" xfId="34473" xr:uid="{00000000-0005-0000-0000-0000A9860000}"/>
    <cellStyle name="Normal 5 17 18 12" xfId="34474" xr:uid="{00000000-0005-0000-0000-0000AA860000}"/>
    <cellStyle name="Normal 5 17 18 13" xfId="34475" xr:uid="{00000000-0005-0000-0000-0000AB860000}"/>
    <cellStyle name="Normal 5 17 18 14" xfId="34476" xr:uid="{00000000-0005-0000-0000-0000AC860000}"/>
    <cellStyle name="Normal 5 17 18 2" xfId="34477" xr:uid="{00000000-0005-0000-0000-0000AD860000}"/>
    <cellStyle name="Normal 5 17 18 2 10" xfId="34478" xr:uid="{00000000-0005-0000-0000-0000AE860000}"/>
    <cellStyle name="Normal 5 17 18 2 2" xfId="34479" xr:uid="{00000000-0005-0000-0000-0000AF860000}"/>
    <cellStyle name="Normal 5 17 18 2 3" xfId="34480" xr:uid="{00000000-0005-0000-0000-0000B0860000}"/>
    <cellStyle name="Normal 5 17 18 2 4" xfId="34481" xr:uid="{00000000-0005-0000-0000-0000B1860000}"/>
    <cellStyle name="Normal 5 17 18 2 5" xfId="34482" xr:uid="{00000000-0005-0000-0000-0000B2860000}"/>
    <cellStyle name="Normal 5 17 18 2 6" xfId="34483" xr:uid="{00000000-0005-0000-0000-0000B3860000}"/>
    <cellStyle name="Normal 5 17 18 2 7" xfId="34484" xr:uid="{00000000-0005-0000-0000-0000B4860000}"/>
    <cellStyle name="Normal 5 17 18 2 8" xfId="34485" xr:uid="{00000000-0005-0000-0000-0000B5860000}"/>
    <cellStyle name="Normal 5 17 18 2 9" xfId="34486" xr:uid="{00000000-0005-0000-0000-0000B6860000}"/>
    <cellStyle name="Normal 5 17 18 3" xfId="34487" xr:uid="{00000000-0005-0000-0000-0000B7860000}"/>
    <cellStyle name="Normal 5 17 18 3 10" xfId="34488" xr:uid="{00000000-0005-0000-0000-0000B8860000}"/>
    <cellStyle name="Normal 5 17 18 3 2" xfId="34489" xr:uid="{00000000-0005-0000-0000-0000B9860000}"/>
    <cellStyle name="Normal 5 17 18 3 3" xfId="34490" xr:uid="{00000000-0005-0000-0000-0000BA860000}"/>
    <cellStyle name="Normal 5 17 18 3 4" xfId="34491" xr:uid="{00000000-0005-0000-0000-0000BB860000}"/>
    <cellStyle name="Normal 5 17 18 3 5" xfId="34492" xr:uid="{00000000-0005-0000-0000-0000BC860000}"/>
    <cellStyle name="Normal 5 17 18 3 6" xfId="34493" xr:uid="{00000000-0005-0000-0000-0000BD860000}"/>
    <cellStyle name="Normal 5 17 18 3 7" xfId="34494" xr:uid="{00000000-0005-0000-0000-0000BE860000}"/>
    <cellStyle name="Normal 5 17 18 3 8" xfId="34495" xr:uid="{00000000-0005-0000-0000-0000BF860000}"/>
    <cellStyle name="Normal 5 17 18 3 9" xfId="34496" xr:uid="{00000000-0005-0000-0000-0000C0860000}"/>
    <cellStyle name="Normal 5 17 18 4" xfId="34497" xr:uid="{00000000-0005-0000-0000-0000C1860000}"/>
    <cellStyle name="Normal 5 17 18 4 10" xfId="34498" xr:uid="{00000000-0005-0000-0000-0000C2860000}"/>
    <cellStyle name="Normal 5 17 18 4 2" xfId="34499" xr:uid="{00000000-0005-0000-0000-0000C3860000}"/>
    <cellStyle name="Normal 5 17 18 4 3" xfId="34500" xr:uid="{00000000-0005-0000-0000-0000C4860000}"/>
    <cellStyle name="Normal 5 17 18 4 4" xfId="34501" xr:uid="{00000000-0005-0000-0000-0000C5860000}"/>
    <cellStyle name="Normal 5 17 18 4 5" xfId="34502" xr:uid="{00000000-0005-0000-0000-0000C6860000}"/>
    <cellStyle name="Normal 5 17 18 4 6" xfId="34503" xr:uid="{00000000-0005-0000-0000-0000C7860000}"/>
    <cellStyle name="Normal 5 17 18 4 7" xfId="34504" xr:uid="{00000000-0005-0000-0000-0000C8860000}"/>
    <cellStyle name="Normal 5 17 18 4 8" xfId="34505" xr:uid="{00000000-0005-0000-0000-0000C9860000}"/>
    <cellStyle name="Normal 5 17 18 4 9" xfId="34506" xr:uid="{00000000-0005-0000-0000-0000CA860000}"/>
    <cellStyle name="Normal 5 17 18 5" xfId="34507" xr:uid="{00000000-0005-0000-0000-0000CB860000}"/>
    <cellStyle name="Normal 5 17 18 5 10" xfId="34508" xr:uid="{00000000-0005-0000-0000-0000CC860000}"/>
    <cellStyle name="Normal 5 17 18 5 2" xfId="34509" xr:uid="{00000000-0005-0000-0000-0000CD860000}"/>
    <cellStyle name="Normal 5 17 18 5 3" xfId="34510" xr:uid="{00000000-0005-0000-0000-0000CE860000}"/>
    <cellStyle name="Normal 5 17 18 5 4" xfId="34511" xr:uid="{00000000-0005-0000-0000-0000CF860000}"/>
    <cellStyle name="Normal 5 17 18 5 5" xfId="34512" xr:uid="{00000000-0005-0000-0000-0000D0860000}"/>
    <cellStyle name="Normal 5 17 18 5 6" xfId="34513" xr:uid="{00000000-0005-0000-0000-0000D1860000}"/>
    <cellStyle name="Normal 5 17 18 5 7" xfId="34514" xr:uid="{00000000-0005-0000-0000-0000D2860000}"/>
    <cellStyle name="Normal 5 17 18 5 8" xfId="34515" xr:uid="{00000000-0005-0000-0000-0000D3860000}"/>
    <cellStyle name="Normal 5 17 18 5 9" xfId="34516" xr:uid="{00000000-0005-0000-0000-0000D4860000}"/>
    <cellStyle name="Normal 5 17 18 6" xfId="34517" xr:uid="{00000000-0005-0000-0000-0000D5860000}"/>
    <cellStyle name="Normal 5 17 18 7" xfId="34518" xr:uid="{00000000-0005-0000-0000-0000D6860000}"/>
    <cellStyle name="Normal 5 17 18 8" xfId="34519" xr:uid="{00000000-0005-0000-0000-0000D7860000}"/>
    <cellStyle name="Normal 5 17 18 9" xfId="34520" xr:uid="{00000000-0005-0000-0000-0000D8860000}"/>
    <cellStyle name="Normal 5 17 19" xfId="34521" xr:uid="{00000000-0005-0000-0000-0000D9860000}"/>
    <cellStyle name="Normal 5 17 19 10" xfId="34522" xr:uid="{00000000-0005-0000-0000-0000DA860000}"/>
    <cellStyle name="Normal 5 17 19 11" xfId="34523" xr:uid="{00000000-0005-0000-0000-0000DB860000}"/>
    <cellStyle name="Normal 5 17 19 12" xfId="34524" xr:uid="{00000000-0005-0000-0000-0000DC860000}"/>
    <cellStyle name="Normal 5 17 19 13" xfId="34525" xr:uid="{00000000-0005-0000-0000-0000DD860000}"/>
    <cellStyle name="Normal 5 17 19 14" xfId="34526" xr:uid="{00000000-0005-0000-0000-0000DE860000}"/>
    <cellStyle name="Normal 5 17 19 2" xfId="34527" xr:uid="{00000000-0005-0000-0000-0000DF860000}"/>
    <cellStyle name="Normal 5 17 19 2 10" xfId="34528" xr:uid="{00000000-0005-0000-0000-0000E0860000}"/>
    <cellStyle name="Normal 5 17 19 2 2" xfId="34529" xr:uid="{00000000-0005-0000-0000-0000E1860000}"/>
    <cellStyle name="Normal 5 17 19 2 3" xfId="34530" xr:uid="{00000000-0005-0000-0000-0000E2860000}"/>
    <cellStyle name="Normal 5 17 19 2 4" xfId="34531" xr:uid="{00000000-0005-0000-0000-0000E3860000}"/>
    <cellStyle name="Normal 5 17 19 2 5" xfId="34532" xr:uid="{00000000-0005-0000-0000-0000E4860000}"/>
    <cellStyle name="Normal 5 17 19 2 6" xfId="34533" xr:uid="{00000000-0005-0000-0000-0000E5860000}"/>
    <cellStyle name="Normal 5 17 19 2 7" xfId="34534" xr:uid="{00000000-0005-0000-0000-0000E6860000}"/>
    <cellStyle name="Normal 5 17 19 2 8" xfId="34535" xr:uid="{00000000-0005-0000-0000-0000E7860000}"/>
    <cellStyle name="Normal 5 17 19 2 9" xfId="34536" xr:uid="{00000000-0005-0000-0000-0000E8860000}"/>
    <cellStyle name="Normal 5 17 19 3" xfId="34537" xr:uid="{00000000-0005-0000-0000-0000E9860000}"/>
    <cellStyle name="Normal 5 17 19 3 10" xfId="34538" xr:uid="{00000000-0005-0000-0000-0000EA860000}"/>
    <cellStyle name="Normal 5 17 19 3 2" xfId="34539" xr:uid="{00000000-0005-0000-0000-0000EB860000}"/>
    <cellStyle name="Normal 5 17 19 3 3" xfId="34540" xr:uid="{00000000-0005-0000-0000-0000EC860000}"/>
    <cellStyle name="Normal 5 17 19 3 4" xfId="34541" xr:uid="{00000000-0005-0000-0000-0000ED860000}"/>
    <cellStyle name="Normal 5 17 19 3 5" xfId="34542" xr:uid="{00000000-0005-0000-0000-0000EE860000}"/>
    <cellStyle name="Normal 5 17 19 3 6" xfId="34543" xr:uid="{00000000-0005-0000-0000-0000EF860000}"/>
    <cellStyle name="Normal 5 17 19 3 7" xfId="34544" xr:uid="{00000000-0005-0000-0000-0000F0860000}"/>
    <cellStyle name="Normal 5 17 19 3 8" xfId="34545" xr:uid="{00000000-0005-0000-0000-0000F1860000}"/>
    <cellStyle name="Normal 5 17 19 3 9" xfId="34546" xr:uid="{00000000-0005-0000-0000-0000F2860000}"/>
    <cellStyle name="Normal 5 17 19 4" xfId="34547" xr:uid="{00000000-0005-0000-0000-0000F3860000}"/>
    <cellStyle name="Normal 5 17 19 4 10" xfId="34548" xr:uid="{00000000-0005-0000-0000-0000F4860000}"/>
    <cellStyle name="Normal 5 17 19 4 2" xfId="34549" xr:uid="{00000000-0005-0000-0000-0000F5860000}"/>
    <cellStyle name="Normal 5 17 19 4 3" xfId="34550" xr:uid="{00000000-0005-0000-0000-0000F6860000}"/>
    <cellStyle name="Normal 5 17 19 4 4" xfId="34551" xr:uid="{00000000-0005-0000-0000-0000F7860000}"/>
    <cellStyle name="Normal 5 17 19 4 5" xfId="34552" xr:uid="{00000000-0005-0000-0000-0000F8860000}"/>
    <cellStyle name="Normal 5 17 19 4 6" xfId="34553" xr:uid="{00000000-0005-0000-0000-0000F9860000}"/>
    <cellStyle name="Normal 5 17 19 4 7" xfId="34554" xr:uid="{00000000-0005-0000-0000-0000FA860000}"/>
    <cellStyle name="Normal 5 17 19 4 8" xfId="34555" xr:uid="{00000000-0005-0000-0000-0000FB860000}"/>
    <cellStyle name="Normal 5 17 19 4 9" xfId="34556" xr:uid="{00000000-0005-0000-0000-0000FC860000}"/>
    <cellStyle name="Normal 5 17 19 5" xfId="34557" xr:uid="{00000000-0005-0000-0000-0000FD860000}"/>
    <cellStyle name="Normal 5 17 19 5 10" xfId="34558" xr:uid="{00000000-0005-0000-0000-0000FE860000}"/>
    <cellStyle name="Normal 5 17 19 5 2" xfId="34559" xr:uid="{00000000-0005-0000-0000-0000FF860000}"/>
    <cellStyle name="Normal 5 17 19 5 3" xfId="34560" xr:uid="{00000000-0005-0000-0000-000000870000}"/>
    <cellStyle name="Normal 5 17 19 5 4" xfId="34561" xr:uid="{00000000-0005-0000-0000-000001870000}"/>
    <cellStyle name="Normal 5 17 19 5 5" xfId="34562" xr:uid="{00000000-0005-0000-0000-000002870000}"/>
    <cellStyle name="Normal 5 17 19 5 6" xfId="34563" xr:uid="{00000000-0005-0000-0000-000003870000}"/>
    <cellStyle name="Normal 5 17 19 5 7" xfId="34564" xr:uid="{00000000-0005-0000-0000-000004870000}"/>
    <cellStyle name="Normal 5 17 19 5 8" xfId="34565" xr:uid="{00000000-0005-0000-0000-000005870000}"/>
    <cellStyle name="Normal 5 17 19 5 9" xfId="34566" xr:uid="{00000000-0005-0000-0000-000006870000}"/>
    <cellStyle name="Normal 5 17 19 6" xfId="34567" xr:uid="{00000000-0005-0000-0000-000007870000}"/>
    <cellStyle name="Normal 5 17 19 7" xfId="34568" xr:uid="{00000000-0005-0000-0000-000008870000}"/>
    <cellStyle name="Normal 5 17 19 8" xfId="34569" xr:uid="{00000000-0005-0000-0000-000009870000}"/>
    <cellStyle name="Normal 5 17 19 9" xfId="34570" xr:uid="{00000000-0005-0000-0000-00000A870000}"/>
    <cellStyle name="Normal 5 17 2" xfId="34571" xr:uid="{00000000-0005-0000-0000-00000B870000}"/>
    <cellStyle name="Normal 5 17 2 10" xfId="34572" xr:uid="{00000000-0005-0000-0000-00000C870000}"/>
    <cellStyle name="Normal 5 17 2 10 10" xfId="34573" xr:uid="{00000000-0005-0000-0000-00000D870000}"/>
    <cellStyle name="Normal 5 17 2 10 11" xfId="34574" xr:uid="{00000000-0005-0000-0000-00000E870000}"/>
    <cellStyle name="Normal 5 17 2 10 12" xfId="34575" xr:uid="{00000000-0005-0000-0000-00000F870000}"/>
    <cellStyle name="Normal 5 17 2 10 13" xfId="34576" xr:uid="{00000000-0005-0000-0000-000010870000}"/>
    <cellStyle name="Normal 5 17 2 10 14" xfId="34577" xr:uid="{00000000-0005-0000-0000-000011870000}"/>
    <cellStyle name="Normal 5 17 2 10 2" xfId="34578" xr:uid="{00000000-0005-0000-0000-000012870000}"/>
    <cellStyle name="Normal 5 17 2 10 2 10" xfId="34579" xr:uid="{00000000-0005-0000-0000-000013870000}"/>
    <cellStyle name="Normal 5 17 2 10 2 2" xfId="34580" xr:uid="{00000000-0005-0000-0000-000014870000}"/>
    <cellStyle name="Normal 5 17 2 10 2 3" xfId="34581" xr:uid="{00000000-0005-0000-0000-000015870000}"/>
    <cellStyle name="Normal 5 17 2 10 2 4" xfId="34582" xr:uid="{00000000-0005-0000-0000-000016870000}"/>
    <cellStyle name="Normal 5 17 2 10 2 5" xfId="34583" xr:uid="{00000000-0005-0000-0000-000017870000}"/>
    <cellStyle name="Normal 5 17 2 10 2 6" xfId="34584" xr:uid="{00000000-0005-0000-0000-000018870000}"/>
    <cellStyle name="Normal 5 17 2 10 2 7" xfId="34585" xr:uid="{00000000-0005-0000-0000-000019870000}"/>
    <cellStyle name="Normal 5 17 2 10 2 8" xfId="34586" xr:uid="{00000000-0005-0000-0000-00001A870000}"/>
    <cellStyle name="Normal 5 17 2 10 2 9" xfId="34587" xr:uid="{00000000-0005-0000-0000-00001B870000}"/>
    <cellStyle name="Normal 5 17 2 10 3" xfId="34588" xr:uid="{00000000-0005-0000-0000-00001C870000}"/>
    <cellStyle name="Normal 5 17 2 10 3 10" xfId="34589" xr:uid="{00000000-0005-0000-0000-00001D870000}"/>
    <cellStyle name="Normal 5 17 2 10 3 2" xfId="34590" xr:uid="{00000000-0005-0000-0000-00001E870000}"/>
    <cellStyle name="Normal 5 17 2 10 3 3" xfId="34591" xr:uid="{00000000-0005-0000-0000-00001F870000}"/>
    <cellStyle name="Normal 5 17 2 10 3 4" xfId="34592" xr:uid="{00000000-0005-0000-0000-000020870000}"/>
    <cellStyle name="Normal 5 17 2 10 3 5" xfId="34593" xr:uid="{00000000-0005-0000-0000-000021870000}"/>
    <cellStyle name="Normal 5 17 2 10 3 6" xfId="34594" xr:uid="{00000000-0005-0000-0000-000022870000}"/>
    <cellStyle name="Normal 5 17 2 10 3 7" xfId="34595" xr:uid="{00000000-0005-0000-0000-000023870000}"/>
    <cellStyle name="Normal 5 17 2 10 3 8" xfId="34596" xr:uid="{00000000-0005-0000-0000-000024870000}"/>
    <cellStyle name="Normal 5 17 2 10 3 9" xfId="34597" xr:uid="{00000000-0005-0000-0000-000025870000}"/>
    <cellStyle name="Normal 5 17 2 10 4" xfId="34598" xr:uid="{00000000-0005-0000-0000-000026870000}"/>
    <cellStyle name="Normal 5 17 2 10 4 10" xfId="34599" xr:uid="{00000000-0005-0000-0000-000027870000}"/>
    <cellStyle name="Normal 5 17 2 10 4 2" xfId="34600" xr:uid="{00000000-0005-0000-0000-000028870000}"/>
    <cellStyle name="Normal 5 17 2 10 4 3" xfId="34601" xr:uid="{00000000-0005-0000-0000-000029870000}"/>
    <cellStyle name="Normal 5 17 2 10 4 4" xfId="34602" xr:uid="{00000000-0005-0000-0000-00002A870000}"/>
    <cellStyle name="Normal 5 17 2 10 4 5" xfId="34603" xr:uid="{00000000-0005-0000-0000-00002B870000}"/>
    <cellStyle name="Normal 5 17 2 10 4 6" xfId="34604" xr:uid="{00000000-0005-0000-0000-00002C870000}"/>
    <cellStyle name="Normal 5 17 2 10 4 7" xfId="34605" xr:uid="{00000000-0005-0000-0000-00002D870000}"/>
    <cellStyle name="Normal 5 17 2 10 4 8" xfId="34606" xr:uid="{00000000-0005-0000-0000-00002E870000}"/>
    <cellStyle name="Normal 5 17 2 10 4 9" xfId="34607" xr:uid="{00000000-0005-0000-0000-00002F870000}"/>
    <cellStyle name="Normal 5 17 2 10 5" xfId="34608" xr:uid="{00000000-0005-0000-0000-000030870000}"/>
    <cellStyle name="Normal 5 17 2 10 5 10" xfId="34609" xr:uid="{00000000-0005-0000-0000-000031870000}"/>
    <cellStyle name="Normal 5 17 2 10 5 2" xfId="34610" xr:uid="{00000000-0005-0000-0000-000032870000}"/>
    <cellStyle name="Normal 5 17 2 10 5 3" xfId="34611" xr:uid="{00000000-0005-0000-0000-000033870000}"/>
    <cellStyle name="Normal 5 17 2 10 5 4" xfId="34612" xr:uid="{00000000-0005-0000-0000-000034870000}"/>
    <cellStyle name="Normal 5 17 2 10 5 5" xfId="34613" xr:uid="{00000000-0005-0000-0000-000035870000}"/>
    <cellStyle name="Normal 5 17 2 10 5 6" xfId="34614" xr:uid="{00000000-0005-0000-0000-000036870000}"/>
    <cellStyle name="Normal 5 17 2 10 5 7" xfId="34615" xr:uid="{00000000-0005-0000-0000-000037870000}"/>
    <cellStyle name="Normal 5 17 2 10 5 8" xfId="34616" xr:uid="{00000000-0005-0000-0000-000038870000}"/>
    <cellStyle name="Normal 5 17 2 10 5 9" xfId="34617" xr:uid="{00000000-0005-0000-0000-000039870000}"/>
    <cellStyle name="Normal 5 17 2 10 6" xfId="34618" xr:uid="{00000000-0005-0000-0000-00003A870000}"/>
    <cellStyle name="Normal 5 17 2 10 7" xfId="34619" xr:uid="{00000000-0005-0000-0000-00003B870000}"/>
    <cellStyle name="Normal 5 17 2 10 8" xfId="34620" xr:uid="{00000000-0005-0000-0000-00003C870000}"/>
    <cellStyle name="Normal 5 17 2 10 9" xfId="34621" xr:uid="{00000000-0005-0000-0000-00003D870000}"/>
    <cellStyle name="Normal 5 17 2 11" xfId="34622" xr:uid="{00000000-0005-0000-0000-00003E870000}"/>
    <cellStyle name="Normal 5 17 2 11 10" xfId="34623" xr:uid="{00000000-0005-0000-0000-00003F870000}"/>
    <cellStyle name="Normal 5 17 2 11 11" xfId="34624" xr:uid="{00000000-0005-0000-0000-000040870000}"/>
    <cellStyle name="Normal 5 17 2 11 12" xfId="34625" xr:uid="{00000000-0005-0000-0000-000041870000}"/>
    <cellStyle name="Normal 5 17 2 11 13" xfId="34626" xr:uid="{00000000-0005-0000-0000-000042870000}"/>
    <cellStyle name="Normal 5 17 2 11 14" xfId="34627" xr:uid="{00000000-0005-0000-0000-000043870000}"/>
    <cellStyle name="Normal 5 17 2 11 2" xfId="34628" xr:uid="{00000000-0005-0000-0000-000044870000}"/>
    <cellStyle name="Normal 5 17 2 11 2 10" xfId="34629" xr:uid="{00000000-0005-0000-0000-000045870000}"/>
    <cellStyle name="Normal 5 17 2 11 2 2" xfId="34630" xr:uid="{00000000-0005-0000-0000-000046870000}"/>
    <cellStyle name="Normal 5 17 2 11 2 3" xfId="34631" xr:uid="{00000000-0005-0000-0000-000047870000}"/>
    <cellStyle name="Normal 5 17 2 11 2 4" xfId="34632" xr:uid="{00000000-0005-0000-0000-000048870000}"/>
    <cellStyle name="Normal 5 17 2 11 2 5" xfId="34633" xr:uid="{00000000-0005-0000-0000-000049870000}"/>
    <cellStyle name="Normal 5 17 2 11 2 6" xfId="34634" xr:uid="{00000000-0005-0000-0000-00004A870000}"/>
    <cellStyle name="Normal 5 17 2 11 2 7" xfId="34635" xr:uid="{00000000-0005-0000-0000-00004B870000}"/>
    <cellStyle name="Normal 5 17 2 11 2 8" xfId="34636" xr:uid="{00000000-0005-0000-0000-00004C870000}"/>
    <cellStyle name="Normal 5 17 2 11 2 9" xfId="34637" xr:uid="{00000000-0005-0000-0000-00004D870000}"/>
    <cellStyle name="Normal 5 17 2 11 3" xfId="34638" xr:uid="{00000000-0005-0000-0000-00004E870000}"/>
    <cellStyle name="Normal 5 17 2 11 3 10" xfId="34639" xr:uid="{00000000-0005-0000-0000-00004F870000}"/>
    <cellStyle name="Normal 5 17 2 11 3 2" xfId="34640" xr:uid="{00000000-0005-0000-0000-000050870000}"/>
    <cellStyle name="Normal 5 17 2 11 3 3" xfId="34641" xr:uid="{00000000-0005-0000-0000-000051870000}"/>
    <cellStyle name="Normal 5 17 2 11 3 4" xfId="34642" xr:uid="{00000000-0005-0000-0000-000052870000}"/>
    <cellStyle name="Normal 5 17 2 11 3 5" xfId="34643" xr:uid="{00000000-0005-0000-0000-000053870000}"/>
    <cellStyle name="Normal 5 17 2 11 3 6" xfId="34644" xr:uid="{00000000-0005-0000-0000-000054870000}"/>
    <cellStyle name="Normal 5 17 2 11 3 7" xfId="34645" xr:uid="{00000000-0005-0000-0000-000055870000}"/>
    <cellStyle name="Normal 5 17 2 11 3 8" xfId="34646" xr:uid="{00000000-0005-0000-0000-000056870000}"/>
    <cellStyle name="Normal 5 17 2 11 3 9" xfId="34647" xr:uid="{00000000-0005-0000-0000-000057870000}"/>
    <cellStyle name="Normal 5 17 2 11 4" xfId="34648" xr:uid="{00000000-0005-0000-0000-000058870000}"/>
    <cellStyle name="Normal 5 17 2 11 4 10" xfId="34649" xr:uid="{00000000-0005-0000-0000-000059870000}"/>
    <cellStyle name="Normal 5 17 2 11 4 2" xfId="34650" xr:uid="{00000000-0005-0000-0000-00005A870000}"/>
    <cellStyle name="Normal 5 17 2 11 4 3" xfId="34651" xr:uid="{00000000-0005-0000-0000-00005B870000}"/>
    <cellStyle name="Normal 5 17 2 11 4 4" xfId="34652" xr:uid="{00000000-0005-0000-0000-00005C870000}"/>
    <cellStyle name="Normal 5 17 2 11 4 5" xfId="34653" xr:uid="{00000000-0005-0000-0000-00005D870000}"/>
    <cellStyle name="Normal 5 17 2 11 4 6" xfId="34654" xr:uid="{00000000-0005-0000-0000-00005E870000}"/>
    <cellStyle name="Normal 5 17 2 11 4 7" xfId="34655" xr:uid="{00000000-0005-0000-0000-00005F870000}"/>
    <cellStyle name="Normal 5 17 2 11 4 8" xfId="34656" xr:uid="{00000000-0005-0000-0000-000060870000}"/>
    <cellStyle name="Normal 5 17 2 11 4 9" xfId="34657" xr:uid="{00000000-0005-0000-0000-000061870000}"/>
    <cellStyle name="Normal 5 17 2 11 5" xfId="34658" xr:uid="{00000000-0005-0000-0000-000062870000}"/>
    <cellStyle name="Normal 5 17 2 11 5 10" xfId="34659" xr:uid="{00000000-0005-0000-0000-000063870000}"/>
    <cellStyle name="Normal 5 17 2 11 5 2" xfId="34660" xr:uid="{00000000-0005-0000-0000-000064870000}"/>
    <cellStyle name="Normal 5 17 2 11 5 3" xfId="34661" xr:uid="{00000000-0005-0000-0000-000065870000}"/>
    <cellStyle name="Normal 5 17 2 11 5 4" xfId="34662" xr:uid="{00000000-0005-0000-0000-000066870000}"/>
    <cellStyle name="Normal 5 17 2 11 5 5" xfId="34663" xr:uid="{00000000-0005-0000-0000-000067870000}"/>
    <cellStyle name="Normal 5 17 2 11 5 6" xfId="34664" xr:uid="{00000000-0005-0000-0000-000068870000}"/>
    <cellStyle name="Normal 5 17 2 11 5 7" xfId="34665" xr:uid="{00000000-0005-0000-0000-000069870000}"/>
    <cellStyle name="Normal 5 17 2 11 5 8" xfId="34666" xr:uid="{00000000-0005-0000-0000-00006A870000}"/>
    <cellStyle name="Normal 5 17 2 11 5 9" xfId="34667" xr:uid="{00000000-0005-0000-0000-00006B870000}"/>
    <cellStyle name="Normal 5 17 2 11 6" xfId="34668" xr:uid="{00000000-0005-0000-0000-00006C870000}"/>
    <cellStyle name="Normal 5 17 2 11 7" xfId="34669" xr:uid="{00000000-0005-0000-0000-00006D870000}"/>
    <cellStyle name="Normal 5 17 2 11 8" xfId="34670" xr:uid="{00000000-0005-0000-0000-00006E870000}"/>
    <cellStyle name="Normal 5 17 2 11 9" xfId="34671" xr:uid="{00000000-0005-0000-0000-00006F870000}"/>
    <cellStyle name="Normal 5 17 2 12" xfId="34672" xr:uid="{00000000-0005-0000-0000-000070870000}"/>
    <cellStyle name="Normal 5 17 2 12 10" xfId="34673" xr:uid="{00000000-0005-0000-0000-000071870000}"/>
    <cellStyle name="Normal 5 17 2 12 11" xfId="34674" xr:uid="{00000000-0005-0000-0000-000072870000}"/>
    <cellStyle name="Normal 5 17 2 12 12" xfId="34675" xr:uid="{00000000-0005-0000-0000-000073870000}"/>
    <cellStyle name="Normal 5 17 2 12 13" xfId="34676" xr:uid="{00000000-0005-0000-0000-000074870000}"/>
    <cellStyle name="Normal 5 17 2 12 14" xfId="34677" xr:uid="{00000000-0005-0000-0000-000075870000}"/>
    <cellStyle name="Normal 5 17 2 12 2" xfId="34678" xr:uid="{00000000-0005-0000-0000-000076870000}"/>
    <cellStyle name="Normal 5 17 2 12 2 10" xfId="34679" xr:uid="{00000000-0005-0000-0000-000077870000}"/>
    <cellStyle name="Normal 5 17 2 12 2 2" xfId="34680" xr:uid="{00000000-0005-0000-0000-000078870000}"/>
    <cellStyle name="Normal 5 17 2 12 2 3" xfId="34681" xr:uid="{00000000-0005-0000-0000-000079870000}"/>
    <cellStyle name="Normal 5 17 2 12 2 4" xfId="34682" xr:uid="{00000000-0005-0000-0000-00007A870000}"/>
    <cellStyle name="Normal 5 17 2 12 2 5" xfId="34683" xr:uid="{00000000-0005-0000-0000-00007B870000}"/>
    <cellStyle name="Normal 5 17 2 12 2 6" xfId="34684" xr:uid="{00000000-0005-0000-0000-00007C870000}"/>
    <cellStyle name="Normal 5 17 2 12 2 7" xfId="34685" xr:uid="{00000000-0005-0000-0000-00007D870000}"/>
    <cellStyle name="Normal 5 17 2 12 2 8" xfId="34686" xr:uid="{00000000-0005-0000-0000-00007E870000}"/>
    <cellStyle name="Normal 5 17 2 12 2 9" xfId="34687" xr:uid="{00000000-0005-0000-0000-00007F870000}"/>
    <cellStyle name="Normal 5 17 2 12 3" xfId="34688" xr:uid="{00000000-0005-0000-0000-000080870000}"/>
    <cellStyle name="Normal 5 17 2 12 3 10" xfId="34689" xr:uid="{00000000-0005-0000-0000-000081870000}"/>
    <cellStyle name="Normal 5 17 2 12 3 2" xfId="34690" xr:uid="{00000000-0005-0000-0000-000082870000}"/>
    <cellStyle name="Normal 5 17 2 12 3 3" xfId="34691" xr:uid="{00000000-0005-0000-0000-000083870000}"/>
    <cellStyle name="Normal 5 17 2 12 3 4" xfId="34692" xr:uid="{00000000-0005-0000-0000-000084870000}"/>
    <cellStyle name="Normal 5 17 2 12 3 5" xfId="34693" xr:uid="{00000000-0005-0000-0000-000085870000}"/>
    <cellStyle name="Normal 5 17 2 12 3 6" xfId="34694" xr:uid="{00000000-0005-0000-0000-000086870000}"/>
    <cellStyle name="Normal 5 17 2 12 3 7" xfId="34695" xr:uid="{00000000-0005-0000-0000-000087870000}"/>
    <cellStyle name="Normal 5 17 2 12 3 8" xfId="34696" xr:uid="{00000000-0005-0000-0000-000088870000}"/>
    <cellStyle name="Normal 5 17 2 12 3 9" xfId="34697" xr:uid="{00000000-0005-0000-0000-000089870000}"/>
    <cellStyle name="Normal 5 17 2 12 4" xfId="34698" xr:uid="{00000000-0005-0000-0000-00008A870000}"/>
    <cellStyle name="Normal 5 17 2 12 4 10" xfId="34699" xr:uid="{00000000-0005-0000-0000-00008B870000}"/>
    <cellStyle name="Normal 5 17 2 12 4 2" xfId="34700" xr:uid="{00000000-0005-0000-0000-00008C870000}"/>
    <cellStyle name="Normal 5 17 2 12 4 3" xfId="34701" xr:uid="{00000000-0005-0000-0000-00008D870000}"/>
    <cellStyle name="Normal 5 17 2 12 4 4" xfId="34702" xr:uid="{00000000-0005-0000-0000-00008E870000}"/>
    <cellStyle name="Normal 5 17 2 12 4 5" xfId="34703" xr:uid="{00000000-0005-0000-0000-00008F870000}"/>
    <cellStyle name="Normal 5 17 2 12 4 6" xfId="34704" xr:uid="{00000000-0005-0000-0000-000090870000}"/>
    <cellStyle name="Normal 5 17 2 12 4 7" xfId="34705" xr:uid="{00000000-0005-0000-0000-000091870000}"/>
    <cellStyle name="Normal 5 17 2 12 4 8" xfId="34706" xr:uid="{00000000-0005-0000-0000-000092870000}"/>
    <cellStyle name="Normal 5 17 2 12 4 9" xfId="34707" xr:uid="{00000000-0005-0000-0000-000093870000}"/>
    <cellStyle name="Normal 5 17 2 12 5" xfId="34708" xr:uid="{00000000-0005-0000-0000-000094870000}"/>
    <cellStyle name="Normal 5 17 2 12 5 10" xfId="34709" xr:uid="{00000000-0005-0000-0000-000095870000}"/>
    <cellStyle name="Normal 5 17 2 12 5 2" xfId="34710" xr:uid="{00000000-0005-0000-0000-000096870000}"/>
    <cellStyle name="Normal 5 17 2 12 5 3" xfId="34711" xr:uid="{00000000-0005-0000-0000-000097870000}"/>
    <cellStyle name="Normal 5 17 2 12 5 4" xfId="34712" xr:uid="{00000000-0005-0000-0000-000098870000}"/>
    <cellStyle name="Normal 5 17 2 12 5 5" xfId="34713" xr:uid="{00000000-0005-0000-0000-000099870000}"/>
    <cellStyle name="Normal 5 17 2 12 5 6" xfId="34714" xr:uid="{00000000-0005-0000-0000-00009A870000}"/>
    <cellStyle name="Normal 5 17 2 12 5 7" xfId="34715" xr:uid="{00000000-0005-0000-0000-00009B870000}"/>
    <cellStyle name="Normal 5 17 2 12 5 8" xfId="34716" xr:uid="{00000000-0005-0000-0000-00009C870000}"/>
    <cellStyle name="Normal 5 17 2 12 5 9" xfId="34717" xr:uid="{00000000-0005-0000-0000-00009D870000}"/>
    <cellStyle name="Normal 5 17 2 12 6" xfId="34718" xr:uid="{00000000-0005-0000-0000-00009E870000}"/>
    <cellStyle name="Normal 5 17 2 12 7" xfId="34719" xr:uid="{00000000-0005-0000-0000-00009F870000}"/>
    <cellStyle name="Normal 5 17 2 12 8" xfId="34720" xr:uid="{00000000-0005-0000-0000-0000A0870000}"/>
    <cellStyle name="Normal 5 17 2 12 9" xfId="34721" xr:uid="{00000000-0005-0000-0000-0000A1870000}"/>
    <cellStyle name="Normal 5 17 2 13" xfId="34722" xr:uid="{00000000-0005-0000-0000-0000A2870000}"/>
    <cellStyle name="Normal 5 17 2 13 10" xfId="34723" xr:uid="{00000000-0005-0000-0000-0000A3870000}"/>
    <cellStyle name="Normal 5 17 2 13 11" xfId="34724" xr:uid="{00000000-0005-0000-0000-0000A4870000}"/>
    <cellStyle name="Normal 5 17 2 13 12" xfId="34725" xr:uid="{00000000-0005-0000-0000-0000A5870000}"/>
    <cellStyle name="Normal 5 17 2 13 13" xfId="34726" xr:uid="{00000000-0005-0000-0000-0000A6870000}"/>
    <cellStyle name="Normal 5 17 2 13 14" xfId="34727" xr:uid="{00000000-0005-0000-0000-0000A7870000}"/>
    <cellStyle name="Normal 5 17 2 13 2" xfId="34728" xr:uid="{00000000-0005-0000-0000-0000A8870000}"/>
    <cellStyle name="Normal 5 17 2 13 2 10" xfId="34729" xr:uid="{00000000-0005-0000-0000-0000A9870000}"/>
    <cellStyle name="Normal 5 17 2 13 2 2" xfId="34730" xr:uid="{00000000-0005-0000-0000-0000AA870000}"/>
    <cellStyle name="Normal 5 17 2 13 2 3" xfId="34731" xr:uid="{00000000-0005-0000-0000-0000AB870000}"/>
    <cellStyle name="Normal 5 17 2 13 2 4" xfId="34732" xr:uid="{00000000-0005-0000-0000-0000AC870000}"/>
    <cellStyle name="Normal 5 17 2 13 2 5" xfId="34733" xr:uid="{00000000-0005-0000-0000-0000AD870000}"/>
    <cellStyle name="Normal 5 17 2 13 2 6" xfId="34734" xr:uid="{00000000-0005-0000-0000-0000AE870000}"/>
    <cellStyle name="Normal 5 17 2 13 2 7" xfId="34735" xr:uid="{00000000-0005-0000-0000-0000AF870000}"/>
    <cellStyle name="Normal 5 17 2 13 2 8" xfId="34736" xr:uid="{00000000-0005-0000-0000-0000B0870000}"/>
    <cellStyle name="Normal 5 17 2 13 2 9" xfId="34737" xr:uid="{00000000-0005-0000-0000-0000B1870000}"/>
    <cellStyle name="Normal 5 17 2 13 3" xfId="34738" xr:uid="{00000000-0005-0000-0000-0000B2870000}"/>
    <cellStyle name="Normal 5 17 2 13 3 10" xfId="34739" xr:uid="{00000000-0005-0000-0000-0000B3870000}"/>
    <cellStyle name="Normal 5 17 2 13 3 2" xfId="34740" xr:uid="{00000000-0005-0000-0000-0000B4870000}"/>
    <cellStyle name="Normal 5 17 2 13 3 3" xfId="34741" xr:uid="{00000000-0005-0000-0000-0000B5870000}"/>
    <cellStyle name="Normal 5 17 2 13 3 4" xfId="34742" xr:uid="{00000000-0005-0000-0000-0000B6870000}"/>
    <cellStyle name="Normal 5 17 2 13 3 5" xfId="34743" xr:uid="{00000000-0005-0000-0000-0000B7870000}"/>
    <cellStyle name="Normal 5 17 2 13 3 6" xfId="34744" xr:uid="{00000000-0005-0000-0000-0000B8870000}"/>
    <cellStyle name="Normal 5 17 2 13 3 7" xfId="34745" xr:uid="{00000000-0005-0000-0000-0000B9870000}"/>
    <cellStyle name="Normal 5 17 2 13 3 8" xfId="34746" xr:uid="{00000000-0005-0000-0000-0000BA870000}"/>
    <cellStyle name="Normal 5 17 2 13 3 9" xfId="34747" xr:uid="{00000000-0005-0000-0000-0000BB870000}"/>
    <cellStyle name="Normal 5 17 2 13 4" xfId="34748" xr:uid="{00000000-0005-0000-0000-0000BC870000}"/>
    <cellStyle name="Normal 5 17 2 13 4 10" xfId="34749" xr:uid="{00000000-0005-0000-0000-0000BD870000}"/>
    <cellStyle name="Normal 5 17 2 13 4 2" xfId="34750" xr:uid="{00000000-0005-0000-0000-0000BE870000}"/>
    <cellStyle name="Normal 5 17 2 13 4 3" xfId="34751" xr:uid="{00000000-0005-0000-0000-0000BF870000}"/>
    <cellStyle name="Normal 5 17 2 13 4 4" xfId="34752" xr:uid="{00000000-0005-0000-0000-0000C0870000}"/>
    <cellStyle name="Normal 5 17 2 13 4 5" xfId="34753" xr:uid="{00000000-0005-0000-0000-0000C1870000}"/>
    <cellStyle name="Normal 5 17 2 13 4 6" xfId="34754" xr:uid="{00000000-0005-0000-0000-0000C2870000}"/>
    <cellStyle name="Normal 5 17 2 13 4 7" xfId="34755" xr:uid="{00000000-0005-0000-0000-0000C3870000}"/>
    <cellStyle name="Normal 5 17 2 13 4 8" xfId="34756" xr:uid="{00000000-0005-0000-0000-0000C4870000}"/>
    <cellStyle name="Normal 5 17 2 13 4 9" xfId="34757" xr:uid="{00000000-0005-0000-0000-0000C5870000}"/>
    <cellStyle name="Normal 5 17 2 13 5" xfId="34758" xr:uid="{00000000-0005-0000-0000-0000C6870000}"/>
    <cellStyle name="Normal 5 17 2 13 5 10" xfId="34759" xr:uid="{00000000-0005-0000-0000-0000C7870000}"/>
    <cellStyle name="Normal 5 17 2 13 5 2" xfId="34760" xr:uid="{00000000-0005-0000-0000-0000C8870000}"/>
    <cellStyle name="Normal 5 17 2 13 5 3" xfId="34761" xr:uid="{00000000-0005-0000-0000-0000C9870000}"/>
    <cellStyle name="Normal 5 17 2 13 5 4" xfId="34762" xr:uid="{00000000-0005-0000-0000-0000CA870000}"/>
    <cellStyle name="Normal 5 17 2 13 5 5" xfId="34763" xr:uid="{00000000-0005-0000-0000-0000CB870000}"/>
    <cellStyle name="Normal 5 17 2 13 5 6" xfId="34764" xr:uid="{00000000-0005-0000-0000-0000CC870000}"/>
    <cellStyle name="Normal 5 17 2 13 5 7" xfId="34765" xr:uid="{00000000-0005-0000-0000-0000CD870000}"/>
    <cellStyle name="Normal 5 17 2 13 5 8" xfId="34766" xr:uid="{00000000-0005-0000-0000-0000CE870000}"/>
    <cellStyle name="Normal 5 17 2 13 5 9" xfId="34767" xr:uid="{00000000-0005-0000-0000-0000CF870000}"/>
    <cellStyle name="Normal 5 17 2 13 6" xfId="34768" xr:uid="{00000000-0005-0000-0000-0000D0870000}"/>
    <cellStyle name="Normal 5 17 2 13 7" xfId="34769" xr:uid="{00000000-0005-0000-0000-0000D1870000}"/>
    <cellStyle name="Normal 5 17 2 13 8" xfId="34770" xr:uid="{00000000-0005-0000-0000-0000D2870000}"/>
    <cellStyle name="Normal 5 17 2 13 9" xfId="34771" xr:uid="{00000000-0005-0000-0000-0000D3870000}"/>
    <cellStyle name="Normal 5 17 2 14" xfId="34772" xr:uid="{00000000-0005-0000-0000-0000D4870000}"/>
    <cellStyle name="Normal 5 17 2 14 10" xfId="34773" xr:uid="{00000000-0005-0000-0000-0000D5870000}"/>
    <cellStyle name="Normal 5 17 2 14 11" xfId="34774" xr:uid="{00000000-0005-0000-0000-0000D6870000}"/>
    <cellStyle name="Normal 5 17 2 14 12" xfId="34775" xr:uid="{00000000-0005-0000-0000-0000D7870000}"/>
    <cellStyle name="Normal 5 17 2 14 13" xfId="34776" xr:uid="{00000000-0005-0000-0000-0000D8870000}"/>
    <cellStyle name="Normal 5 17 2 14 14" xfId="34777" xr:uid="{00000000-0005-0000-0000-0000D9870000}"/>
    <cellStyle name="Normal 5 17 2 14 2" xfId="34778" xr:uid="{00000000-0005-0000-0000-0000DA870000}"/>
    <cellStyle name="Normal 5 17 2 14 2 10" xfId="34779" xr:uid="{00000000-0005-0000-0000-0000DB870000}"/>
    <cellStyle name="Normal 5 17 2 14 2 2" xfId="34780" xr:uid="{00000000-0005-0000-0000-0000DC870000}"/>
    <cellStyle name="Normal 5 17 2 14 2 3" xfId="34781" xr:uid="{00000000-0005-0000-0000-0000DD870000}"/>
    <cellStyle name="Normal 5 17 2 14 2 4" xfId="34782" xr:uid="{00000000-0005-0000-0000-0000DE870000}"/>
    <cellStyle name="Normal 5 17 2 14 2 5" xfId="34783" xr:uid="{00000000-0005-0000-0000-0000DF870000}"/>
    <cellStyle name="Normal 5 17 2 14 2 6" xfId="34784" xr:uid="{00000000-0005-0000-0000-0000E0870000}"/>
    <cellStyle name="Normal 5 17 2 14 2 7" xfId="34785" xr:uid="{00000000-0005-0000-0000-0000E1870000}"/>
    <cellStyle name="Normal 5 17 2 14 2 8" xfId="34786" xr:uid="{00000000-0005-0000-0000-0000E2870000}"/>
    <cellStyle name="Normal 5 17 2 14 2 9" xfId="34787" xr:uid="{00000000-0005-0000-0000-0000E3870000}"/>
    <cellStyle name="Normal 5 17 2 14 3" xfId="34788" xr:uid="{00000000-0005-0000-0000-0000E4870000}"/>
    <cellStyle name="Normal 5 17 2 14 3 10" xfId="34789" xr:uid="{00000000-0005-0000-0000-0000E5870000}"/>
    <cellStyle name="Normal 5 17 2 14 3 2" xfId="34790" xr:uid="{00000000-0005-0000-0000-0000E6870000}"/>
    <cellStyle name="Normal 5 17 2 14 3 3" xfId="34791" xr:uid="{00000000-0005-0000-0000-0000E7870000}"/>
    <cellStyle name="Normal 5 17 2 14 3 4" xfId="34792" xr:uid="{00000000-0005-0000-0000-0000E8870000}"/>
    <cellStyle name="Normal 5 17 2 14 3 5" xfId="34793" xr:uid="{00000000-0005-0000-0000-0000E9870000}"/>
    <cellStyle name="Normal 5 17 2 14 3 6" xfId="34794" xr:uid="{00000000-0005-0000-0000-0000EA870000}"/>
    <cellStyle name="Normal 5 17 2 14 3 7" xfId="34795" xr:uid="{00000000-0005-0000-0000-0000EB870000}"/>
    <cellStyle name="Normal 5 17 2 14 3 8" xfId="34796" xr:uid="{00000000-0005-0000-0000-0000EC870000}"/>
    <cellStyle name="Normal 5 17 2 14 3 9" xfId="34797" xr:uid="{00000000-0005-0000-0000-0000ED870000}"/>
    <cellStyle name="Normal 5 17 2 14 4" xfId="34798" xr:uid="{00000000-0005-0000-0000-0000EE870000}"/>
    <cellStyle name="Normal 5 17 2 14 4 10" xfId="34799" xr:uid="{00000000-0005-0000-0000-0000EF870000}"/>
    <cellStyle name="Normal 5 17 2 14 4 2" xfId="34800" xr:uid="{00000000-0005-0000-0000-0000F0870000}"/>
    <cellStyle name="Normal 5 17 2 14 4 3" xfId="34801" xr:uid="{00000000-0005-0000-0000-0000F1870000}"/>
    <cellStyle name="Normal 5 17 2 14 4 4" xfId="34802" xr:uid="{00000000-0005-0000-0000-0000F2870000}"/>
    <cellStyle name="Normal 5 17 2 14 4 5" xfId="34803" xr:uid="{00000000-0005-0000-0000-0000F3870000}"/>
    <cellStyle name="Normal 5 17 2 14 4 6" xfId="34804" xr:uid="{00000000-0005-0000-0000-0000F4870000}"/>
    <cellStyle name="Normal 5 17 2 14 4 7" xfId="34805" xr:uid="{00000000-0005-0000-0000-0000F5870000}"/>
    <cellStyle name="Normal 5 17 2 14 4 8" xfId="34806" xr:uid="{00000000-0005-0000-0000-0000F6870000}"/>
    <cellStyle name="Normal 5 17 2 14 4 9" xfId="34807" xr:uid="{00000000-0005-0000-0000-0000F7870000}"/>
    <cellStyle name="Normal 5 17 2 14 5" xfId="34808" xr:uid="{00000000-0005-0000-0000-0000F8870000}"/>
    <cellStyle name="Normal 5 17 2 14 5 10" xfId="34809" xr:uid="{00000000-0005-0000-0000-0000F9870000}"/>
    <cellStyle name="Normal 5 17 2 14 5 2" xfId="34810" xr:uid="{00000000-0005-0000-0000-0000FA870000}"/>
    <cellStyle name="Normal 5 17 2 14 5 3" xfId="34811" xr:uid="{00000000-0005-0000-0000-0000FB870000}"/>
    <cellStyle name="Normal 5 17 2 14 5 4" xfId="34812" xr:uid="{00000000-0005-0000-0000-0000FC870000}"/>
    <cellStyle name="Normal 5 17 2 14 5 5" xfId="34813" xr:uid="{00000000-0005-0000-0000-0000FD870000}"/>
    <cellStyle name="Normal 5 17 2 14 5 6" xfId="34814" xr:uid="{00000000-0005-0000-0000-0000FE870000}"/>
    <cellStyle name="Normal 5 17 2 14 5 7" xfId="34815" xr:uid="{00000000-0005-0000-0000-0000FF870000}"/>
    <cellStyle name="Normal 5 17 2 14 5 8" xfId="34816" xr:uid="{00000000-0005-0000-0000-000000880000}"/>
    <cellStyle name="Normal 5 17 2 14 5 9" xfId="34817" xr:uid="{00000000-0005-0000-0000-000001880000}"/>
    <cellStyle name="Normal 5 17 2 14 6" xfId="34818" xr:uid="{00000000-0005-0000-0000-000002880000}"/>
    <cellStyle name="Normal 5 17 2 14 7" xfId="34819" xr:uid="{00000000-0005-0000-0000-000003880000}"/>
    <cellStyle name="Normal 5 17 2 14 8" xfId="34820" xr:uid="{00000000-0005-0000-0000-000004880000}"/>
    <cellStyle name="Normal 5 17 2 14 9" xfId="34821" xr:uid="{00000000-0005-0000-0000-000005880000}"/>
    <cellStyle name="Normal 5 17 2 15" xfId="34822" xr:uid="{00000000-0005-0000-0000-000006880000}"/>
    <cellStyle name="Normal 5 17 2 15 10" xfId="34823" xr:uid="{00000000-0005-0000-0000-000007880000}"/>
    <cellStyle name="Normal 5 17 2 15 11" xfId="34824" xr:uid="{00000000-0005-0000-0000-000008880000}"/>
    <cellStyle name="Normal 5 17 2 15 12" xfId="34825" xr:uid="{00000000-0005-0000-0000-000009880000}"/>
    <cellStyle name="Normal 5 17 2 15 13" xfId="34826" xr:uid="{00000000-0005-0000-0000-00000A880000}"/>
    <cellStyle name="Normal 5 17 2 15 14" xfId="34827" xr:uid="{00000000-0005-0000-0000-00000B880000}"/>
    <cellStyle name="Normal 5 17 2 15 2" xfId="34828" xr:uid="{00000000-0005-0000-0000-00000C880000}"/>
    <cellStyle name="Normal 5 17 2 15 2 10" xfId="34829" xr:uid="{00000000-0005-0000-0000-00000D880000}"/>
    <cellStyle name="Normal 5 17 2 15 2 2" xfId="34830" xr:uid="{00000000-0005-0000-0000-00000E880000}"/>
    <cellStyle name="Normal 5 17 2 15 2 3" xfId="34831" xr:uid="{00000000-0005-0000-0000-00000F880000}"/>
    <cellStyle name="Normal 5 17 2 15 2 4" xfId="34832" xr:uid="{00000000-0005-0000-0000-000010880000}"/>
    <cellStyle name="Normal 5 17 2 15 2 5" xfId="34833" xr:uid="{00000000-0005-0000-0000-000011880000}"/>
    <cellStyle name="Normal 5 17 2 15 2 6" xfId="34834" xr:uid="{00000000-0005-0000-0000-000012880000}"/>
    <cellStyle name="Normal 5 17 2 15 2 7" xfId="34835" xr:uid="{00000000-0005-0000-0000-000013880000}"/>
    <cellStyle name="Normal 5 17 2 15 2 8" xfId="34836" xr:uid="{00000000-0005-0000-0000-000014880000}"/>
    <cellStyle name="Normal 5 17 2 15 2 9" xfId="34837" xr:uid="{00000000-0005-0000-0000-000015880000}"/>
    <cellStyle name="Normal 5 17 2 15 3" xfId="34838" xr:uid="{00000000-0005-0000-0000-000016880000}"/>
    <cellStyle name="Normal 5 17 2 15 3 10" xfId="34839" xr:uid="{00000000-0005-0000-0000-000017880000}"/>
    <cellStyle name="Normal 5 17 2 15 3 2" xfId="34840" xr:uid="{00000000-0005-0000-0000-000018880000}"/>
    <cellStyle name="Normal 5 17 2 15 3 3" xfId="34841" xr:uid="{00000000-0005-0000-0000-000019880000}"/>
    <cellStyle name="Normal 5 17 2 15 3 4" xfId="34842" xr:uid="{00000000-0005-0000-0000-00001A880000}"/>
    <cellStyle name="Normal 5 17 2 15 3 5" xfId="34843" xr:uid="{00000000-0005-0000-0000-00001B880000}"/>
    <cellStyle name="Normal 5 17 2 15 3 6" xfId="34844" xr:uid="{00000000-0005-0000-0000-00001C880000}"/>
    <cellStyle name="Normal 5 17 2 15 3 7" xfId="34845" xr:uid="{00000000-0005-0000-0000-00001D880000}"/>
    <cellStyle name="Normal 5 17 2 15 3 8" xfId="34846" xr:uid="{00000000-0005-0000-0000-00001E880000}"/>
    <cellStyle name="Normal 5 17 2 15 3 9" xfId="34847" xr:uid="{00000000-0005-0000-0000-00001F880000}"/>
    <cellStyle name="Normal 5 17 2 15 4" xfId="34848" xr:uid="{00000000-0005-0000-0000-000020880000}"/>
    <cellStyle name="Normal 5 17 2 15 4 10" xfId="34849" xr:uid="{00000000-0005-0000-0000-000021880000}"/>
    <cellStyle name="Normal 5 17 2 15 4 2" xfId="34850" xr:uid="{00000000-0005-0000-0000-000022880000}"/>
    <cellStyle name="Normal 5 17 2 15 4 3" xfId="34851" xr:uid="{00000000-0005-0000-0000-000023880000}"/>
    <cellStyle name="Normal 5 17 2 15 4 4" xfId="34852" xr:uid="{00000000-0005-0000-0000-000024880000}"/>
    <cellStyle name="Normal 5 17 2 15 4 5" xfId="34853" xr:uid="{00000000-0005-0000-0000-000025880000}"/>
    <cellStyle name="Normal 5 17 2 15 4 6" xfId="34854" xr:uid="{00000000-0005-0000-0000-000026880000}"/>
    <cellStyle name="Normal 5 17 2 15 4 7" xfId="34855" xr:uid="{00000000-0005-0000-0000-000027880000}"/>
    <cellStyle name="Normal 5 17 2 15 4 8" xfId="34856" xr:uid="{00000000-0005-0000-0000-000028880000}"/>
    <cellStyle name="Normal 5 17 2 15 4 9" xfId="34857" xr:uid="{00000000-0005-0000-0000-000029880000}"/>
    <cellStyle name="Normal 5 17 2 15 5" xfId="34858" xr:uid="{00000000-0005-0000-0000-00002A880000}"/>
    <cellStyle name="Normal 5 17 2 15 5 10" xfId="34859" xr:uid="{00000000-0005-0000-0000-00002B880000}"/>
    <cellStyle name="Normal 5 17 2 15 5 2" xfId="34860" xr:uid="{00000000-0005-0000-0000-00002C880000}"/>
    <cellStyle name="Normal 5 17 2 15 5 3" xfId="34861" xr:uid="{00000000-0005-0000-0000-00002D880000}"/>
    <cellStyle name="Normal 5 17 2 15 5 4" xfId="34862" xr:uid="{00000000-0005-0000-0000-00002E880000}"/>
    <cellStyle name="Normal 5 17 2 15 5 5" xfId="34863" xr:uid="{00000000-0005-0000-0000-00002F880000}"/>
    <cellStyle name="Normal 5 17 2 15 5 6" xfId="34864" xr:uid="{00000000-0005-0000-0000-000030880000}"/>
    <cellStyle name="Normal 5 17 2 15 5 7" xfId="34865" xr:uid="{00000000-0005-0000-0000-000031880000}"/>
    <cellStyle name="Normal 5 17 2 15 5 8" xfId="34866" xr:uid="{00000000-0005-0000-0000-000032880000}"/>
    <cellStyle name="Normal 5 17 2 15 5 9" xfId="34867" xr:uid="{00000000-0005-0000-0000-000033880000}"/>
    <cellStyle name="Normal 5 17 2 15 6" xfId="34868" xr:uid="{00000000-0005-0000-0000-000034880000}"/>
    <cellStyle name="Normal 5 17 2 15 7" xfId="34869" xr:uid="{00000000-0005-0000-0000-000035880000}"/>
    <cellStyle name="Normal 5 17 2 15 8" xfId="34870" xr:uid="{00000000-0005-0000-0000-000036880000}"/>
    <cellStyle name="Normal 5 17 2 15 9" xfId="34871" xr:uid="{00000000-0005-0000-0000-000037880000}"/>
    <cellStyle name="Normal 5 17 2 16" xfId="34872" xr:uid="{00000000-0005-0000-0000-000038880000}"/>
    <cellStyle name="Normal 5 17 2 16 10" xfId="34873" xr:uid="{00000000-0005-0000-0000-000039880000}"/>
    <cellStyle name="Normal 5 17 2 16 11" xfId="34874" xr:uid="{00000000-0005-0000-0000-00003A880000}"/>
    <cellStyle name="Normal 5 17 2 16 12" xfId="34875" xr:uid="{00000000-0005-0000-0000-00003B880000}"/>
    <cellStyle name="Normal 5 17 2 16 13" xfId="34876" xr:uid="{00000000-0005-0000-0000-00003C880000}"/>
    <cellStyle name="Normal 5 17 2 16 14" xfId="34877" xr:uid="{00000000-0005-0000-0000-00003D880000}"/>
    <cellStyle name="Normal 5 17 2 16 2" xfId="34878" xr:uid="{00000000-0005-0000-0000-00003E880000}"/>
    <cellStyle name="Normal 5 17 2 16 2 10" xfId="34879" xr:uid="{00000000-0005-0000-0000-00003F880000}"/>
    <cellStyle name="Normal 5 17 2 16 2 2" xfId="34880" xr:uid="{00000000-0005-0000-0000-000040880000}"/>
    <cellStyle name="Normal 5 17 2 16 2 3" xfId="34881" xr:uid="{00000000-0005-0000-0000-000041880000}"/>
    <cellStyle name="Normal 5 17 2 16 2 4" xfId="34882" xr:uid="{00000000-0005-0000-0000-000042880000}"/>
    <cellStyle name="Normal 5 17 2 16 2 5" xfId="34883" xr:uid="{00000000-0005-0000-0000-000043880000}"/>
    <cellStyle name="Normal 5 17 2 16 2 6" xfId="34884" xr:uid="{00000000-0005-0000-0000-000044880000}"/>
    <cellStyle name="Normal 5 17 2 16 2 7" xfId="34885" xr:uid="{00000000-0005-0000-0000-000045880000}"/>
    <cellStyle name="Normal 5 17 2 16 2 8" xfId="34886" xr:uid="{00000000-0005-0000-0000-000046880000}"/>
    <cellStyle name="Normal 5 17 2 16 2 9" xfId="34887" xr:uid="{00000000-0005-0000-0000-000047880000}"/>
    <cellStyle name="Normal 5 17 2 16 3" xfId="34888" xr:uid="{00000000-0005-0000-0000-000048880000}"/>
    <cellStyle name="Normal 5 17 2 16 3 10" xfId="34889" xr:uid="{00000000-0005-0000-0000-000049880000}"/>
    <cellStyle name="Normal 5 17 2 16 3 2" xfId="34890" xr:uid="{00000000-0005-0000-0000-00004A880000}"/>
    <cellStyle name="Normal 5 17 2 16 3 3" xfId="34891" xr:uid="{00000000-0005-0000-0000-00004B880000}"/>
    <cellStyle name="Normal 5 17 2 16 3 4" xfId="34892" xr:uid="{00000000-0005-0000-0000-00004C880000}"/>
    <cellStyle name="Normal 5 17 2 16 3 5" xfId="34893" xr:uid="{00000000-0005-0000-0000-00004D880000}"/>
    <cellStyle name="Normal 5 17 2 16 3 6" xfId="34894" xr:uid="{00000000-0005-0000-0000-00004E880000}"/>
    <cellStyle name="Normal 5 17 2 16 3 7" xfId="34895" xr:uid="{00000000-0005-0000-0000-00004F880000}"/>
    <cellStyle name="Normal 5 17 2 16 3 8" xfId="34896" xr:uid="{00000000-0005-0000-0000-000050880000}"/>
    <cellStyle name="Normal 5 17 2 16 3 9" xfId="34897" xr:uid="{00000000-0005-0000-0000-000051880000}"/>
    <cellStyle name="Normal 5 17 2 16 4" xfId="34898" xr:uid="{00000000-0005-0000-0000-000052880000}"/>
    <cellStyle name="Normal 5 17 2 16 4 10" xfId="34899" xr:uid="{00000000-0005-0000-0000-000053880000}"/>
    <cellStyle name="Normal 5 17 2 16 4 2" xfId="34900" xr:uid="{00000000-0005-0000-0000-000054880000}"/>
    <cellStyle name="Normal 5 17 2 16 4 3" xfId="34901" xr:uid="{00000000-0005-0000-0000-000055880000}"/>
    <cellStyle name="Normal 5 17 2 16 4 4" xfId="34902" xr:uid="{00000000-0005-0000-0000-000056880000}"/>
    <cellStyle name="Normal 5 17 2 16 4 5" xfId="34903" xr:uid="{00000000-0005-0000-0000-000057880000}"/>
    <cellStyle name="Normal 5 17 2 16 4 6" xfId="34904" xr:uid="{00000000-0005-0000-0000-000058880000}"/>
    <cellStyle name="Normal 5 17 2 16 4 7" xfId="34905" xr:uid="{00000000-0005-0000-0000-000059880000}"/>
    <cellStyle name="Normal 5 17 2 16 4 8" xfId="34906" xr:uid="{00000000-0005-0000-0000-00005A880000}"/>
    <cellStyle name="Normal 5 17 2 16 4 9" xfId="34907" xr:uid="{00000000-0005-0000-0000-00005B880000}"/>
    <cellStyle name="Normal 5 17 2 16 5" xfId="34908" xr:uid="{00000000-0005-0000-0000-00005C880000}"/>
    <cellStyle name="Normal 5 17 2 16 5 10" xfId="34909" xr:uid="{00000000-0005-0000-0000-00005D880000}"/>
    <cellStyle name="Normal 5 17 2 16 5 2" xfId="34910" xr:uid="{00000000-0005-0000-0000-00005E880000}"/>
    <cellStyle name="Normal 5 17 2 16 5 3" xfId="34911" xr:uid="{00000000-0005-0000-0000-00005F880000}"/>
    <cellStyle name="Normal 5 17 2 16 5 4" xfId="34912" xr:uid="{00000000-0005-0000-0000-000060880000}"/>
    <cellStyle name="Normal 5 17 2 16 5 5" xfId="34913" xr:uid="{00000000-0005-0000-0000-000061880000}"/>
    <cellStyle name="Normal 5 17 2 16 5 6" xfId="34914" xr:uid="{00000000-0005-0000-0000-000062880000}"/>
    <cellStyle name="Normal 5 17 2 16 5 7" xfId="34915" xr:uid="{00000000-0005-0000-0000-000063880000}"/>
    <cellStyle name="Normal 5 17 2 16 5 8" xfId="34916" xr:uid="{00000000-0005-0000-0000-000064880000}"/>
    <cellStyle name="Normal 5 17 2 16 5 9" xfId="34917" xr:uid="{00000000-0005-0000-0000-000065880000}"/>
    <cellStyle name="Normal 5 17 2 16 6" xfId="34918" xr:uid="{00000000-0005-0000-0000-000066880000}"/>
    <cellStyle name="Normal 5 17 2 16 7" xfId="34919" xr:uid="{00000000-0005-0000-0000-000067880000}"/>
    <cellStyle name="Normal 5 17 2 16 8" xfId="34920" xr:uid="{00000000-0005-0000-0000-000068880000}"/>
    <cellStyle name="Normal 5 17 2 16 9" xfId="34921" xr:uid="{00000000-0005-0000-0000-000069880000}"/>
    <cellStyle name="Normal 5 17 2 17" xfId="34922" xr:uid="{00000000-0005-0000-0000-00006A880000}"/>
    <cellStyle name="Normal 5 17 2 17 10" xfId="34923" xr:uid="{00000000-0005-0000-0000-00006B880000}"/>
    <cellStyle name="Normal 5 17 2 17 11" xfId="34924" xr:uid="{00000000-0005-0000-0000-00006C880000}"/>
    <cellStyle name="Normal 5 17 2 17 12" xfId="34925" xr:uid="{00000000-0005-0000-0000-00006D880000}"/>
    <cellStyle name="Normal 5 17 2 17 13" xfId="34926" xr:uid="{00000000-0005-0000-0000-00006E880000}"/>
    <cellStyle name="Normal 5 17 2 17 14" xfId="34927" xr:uid="{00000000-0005-0000-0000-00006F880000}"/>
    <cellStyle name="Normal 5 17 2 17 2" xfId="34928" xr:uid="{00000000-0005-0000-0000-000070880000}"/>
    <cellStyle name="Normal 5 17 2 17 2 10" xfId="34929" xr:uid="{00000000-0005-0000-0000-000071880000}"/>
    <cellStyle name="Normal 5 17 2 17 2 2" xfId="34930" xr:uid="{00000000-0005-0000-0000-000072880000}"/>
    <cellStyle name="Normal 5 17 2 17 2 3" xfId="34931" xr:uid="{00000000-0005-0000-0000-000073880000}"/>
    <cellStyle name="Normal 5 17 2 17 2 4" xfId="34932" xr:uid="{00000000-0005-0000-0000-000074880000}"/>
    <cellStyle name="Normal 5 17 2 17 2 5" xfId="34933" xr:uid="{00000000-0005-0000-0000-000075880000}"/>
    <cellStyle name="Normal 5 17 2 17 2 6" xfId="34934" xr:uid="{00000000-0005-0000-0000-000076880000}"/>
    <cellStyle name="Normal 5 17 2 17 2 7" xfId="34935" xr:uid="{00000000-0005-0000-0000-000077880000}"/>
    <cellStyle name="Normal 5 17 2 17 2 8" xfId="34936" xr:uid="{00000000-0005-0000-0000-000078880000}"/>
    <cellStyle name="Normal 5 17 2 17 2 9" xfId="34937" xr:uid="{00000000-0005-0000-0000-000079880000}"/>
    <cellStyle name="Normal 5 17 2 17 3" xfId="34938" xr:uid="{00000000-0005-0000-0000-00007A880000}"/>
    <cellStyle name="Normal 5 17 2 17 3 10" xfId="34939" xr:uid="{00000000-0005-0000-0000-00007B880000}"/>
    <cellStyle name="Normal 5 17 2 17 3 2" xfId="34940" xr:uid="{00000000-0005-0000-0000-00007C880000}"/>
    <cellStyle name="Normal 5 17 2 17 3 3" xfId="34941" xr:uid="{00000000-0005-0000-0000-00007D880000}"/>
    <cellStyle name="Normal 5 17 2 17 3 4" xfId="34942" xr:uid="{00000000-0005-0000-0000-00007E880000}"/>
    <cellStyle name="Normal 5 17 2 17 3 5" xfId="34943" xr:uid="{00000000-0005-0000-0000-00007F880000}"/>
    <cellStyle name="Normal 5 17 2 17 3 6" xfId="34944" xr:uid="{00000000-0005-0000-0000-000080880000}"/>
    <cellStyle name="Normal 5 17 2 17 3 7" xfId="34945" xr:uid="{00000000-0005-0000-0000-000081880000}"/>
    <cellStyle name="Normal 5 17 2 17 3 8" xfId="34946" xr:uid="{00000000-0005-0000-0000-000082880000}"/>
    <cellStyle name="Normal 5 17 2 17 3 9" xfId="34947" xr:uid="{00000000-0005-0000-0000-000083880000}"/>
    <cellStyle name="Normal 5 17 2 17 4" xfId="34948" xr:uid="{00000000-0005-0000-0000-000084880000}"/>
    <cellStyle name="Normal 5 17 2 17 4 10" xfId="34949" xr:uid="{00000000-0005-0000-0000-000085880000}"/>
    <cellStyle name="Normal 5 17 2 17 4 2" xfId="34950" xr:uid="{00000000-0005-0000-0000-000086880000}"/>
    <cellStyle name="Normal 5 17 2 17 4 3" xfId="34951" xr:uid="{00000000-0005-0000-0000-000087880000}"/>
    <cellStyle name="Normal 5 17 2 17 4 4" xfId="34952" xr:uid="{00000000-0005-0000-0000-000088880000}"/>
    <cellStyle name="Normal 5 17 2 17 4 5" xfId="34953" xr:uid="{00000000-0005-0000-0000-000089880000}"/>
    <cellStyle name="Normal 5 17 2 17 4 6" xfId="34954" xr:uid="{00000000-0005-0000-0000-00008A880000}"/>
    <cellStyle name="Normal 5 17 2 17 4 7" xfId="34955" xr:uid="{00000000-0005-0000-0000-00008B880000}"/>
    <cellStyle name="Normal 5 17 2 17 4 8" xfId="34956" xr:uid="{00000000-0005-0000-0000-00008C880000}"/>
    <cellStyle name="Normal 5 17 2 17 4 9" xfId="34957" xr:uid="{00000000-0005-0000-0000-00008D880000}"/>
    <cellStyle name="Normal 5 17 2 17 5" xfId="34958" xr:uid="{00000000-0005-0000-0000-00008E880000}"/>
    <cellStyle name="Normal 5 17 2 17 5 10" xfId="34959" xr:uid="{00000000-0005-0000-0000-00008F880000}"/>
    <cellStyle name="Normal 5 17 2 17 5 2" xfId="34960" xr:uid="{00000000-0005-0000-0000-000090880000}"/>
    <cellStyle name="Normal 5 17 2 17 5 3" xfId="34961" xr:uid="{00000000-0005-0000-0000-000091880000}"/>
    <cellStyle name="Normal 5 17 2 17 5 4" xfId="34962" xr:uid="{00000000-0005-0000-0000-000092880000}"/>
    <cellStyle name="Normal 5 17 2 17 5 5" xfId="34963" xr:uid="{00000000-0005-0000-0000-000093880000}"/>
    <cellStyle name="Normal 5 17 2 17 5 6" xfId="34964" xr:uid="{00000000-0005-0000-0000-000094880000}"/>
    <cellStyle name="Normal 5 17 2 17 5 7" xfId="34965" xr:uid="{00000000-0005-0000-0000-000095880000}"/>
    <cellStyle name="Normal 5 17 2 17 5 8" xfId="34966" xr:uid="{00000000-0005-0000-0000-000096880000}"/>
    <cellStyle name="Normal 5 17 2 17 5 9" xfId="34967" xr:uid="{00000000-0005-0000-0000-000097880000}"/>
    <cellStyle name="Normal 5 17 2 17 6" xfId="34968" xr:uid="{00000000-0005-0000-0000-000098880000}"/>
    <cellStyle name="Normal 5 17 2 17 7" xfId="34969" xr:uid="{00000000-0005-0000-0000-000099880000}"/>
    <cellStyle name="Normal 5 17 2 17 8" xfId="34970" xr:uid="{00000000-0005-0000-0000-00009A880000}"/>
    <cellStyle name="Normal 5 17 2 17 9" xfId="34971" xr:uid="{00000000-0005-0000-0000-00009B880000}"/>
    <cellStyle name="Normal 5 17 2 18" xfId="34972" xr:uid="{00000000-0005-0000-0000-00009C880000}"/>
    <cellStyle name="Normal 5 17 2 18 10" xfId="34973" xr:uid="{00000000-0005-0000-0000-00009D880000}"/>
    <cellStyle name="Normal 5 17 2 18 11" xfId="34974" xr:uid="{00000000-0005-0000-0000-00009E880000}"/>
    <cellStyle name="Normal 5 17 2 18 12" xfId="34975" xr:uid="{00000000-0005-0000-0000-00009F880000}"/>
    <cellStyle name="Normal 5 17 2 18 13" xfId="34976" xr:uid="{00000000-0005-0000-0000-0000A0880000}"/>
    <cellStyle name="Normal 5 17 2 18 14" xfId="34977" xr:uid="{00000000-0005-0000-0000-0000A1880000}"/>
    <cellStyle name="Normal 5 17 2 18 2" xfId="34978" xr:uid="{00000000-0005-0000-0000-0000A2880000}"/>
    <cellStyle name="Normal 5 17 2 18 2 10" xfId="34979" xr:uid="{00000000-0005-0000-0000-0000A3880000}"/>
    <cellStyle name="Normal 5 17 2 18 2 2" xfId="34980" xr:uid="{00000000-0005-0000-0000-0000A4880000}"/>
    <cellStyle name="Normal 5 17 2 18 2 3" xfId="34981" xr:uid="{00000000-0005-0000-0000-0000A5880000}"/>
    <cellStyle name="Normal 5 17 2 18 2 4" xfId="34982" xr:uid="{00000000-0005-0000-0000-0000A6880000}"/>
    <cellStyle name="Normal 5 17 2 18 2 5" xfId="34983" xr:uid="{00000000-0005-0000-0000-0000A7880000}"/>
    <cellStyle name="Normal 5 17 2 18 2 6" xfId="34984" xr:uid="{00000000-0005-0000-0000-0000A8880000}"/>
    <cellStyle name="Normal 5 17 2 18 2 7" xfId="34985" xr:uid="{00000000-0005-0000-0000-0000A9880000}"/>
    <cellStyle name="Normal 5 17 2 18 2 8" xfId="34986" xr:uid="{00000000-0005-0000-0000-0000AA880000}"/>
    <cellStyle name="Normal 5 17 2 18 2 9" xfId="34987" xr:uid="{00000000-0005-0000-0000-0000AB880000}"/>
    <cellStyle name="Normal 5 17 2 18 3" xfId="34988" xr:uid="{00000000-0005-0000-0000-0000AC880000}"/>
    <cellStyle name="Normal 5 17 2 18 3 10" xfId="34989" xr:uid="{00000000-0005-0000-0000-0000AD880000}"/>
    <cellStyle name="Normal 5 17 2 18 3 2" xfId="34990" xr:uid="{00000000-0005-0000-0000-0000AE880000}"/>
    <cellStyle name="Normal 5 17 2 18 3 3" xfId="34991" xr:uid="{00000000-0005-0000-0000-0000AF880000}"/>
    <cellStyle name="Normal 5 17 2 18 3 4" xfId="34992" xr:uid="{00000000-0005-0000-0000-0000B0880000}"/>
    <cellStyle name="Normal 5 17 2 18 3 5" xfId="34993" xr:uid="{00000000-0005-0000-0000-0000B1880000}"/>
    <cellStyle name="Normal 5 17 2 18 3 6" xfId="34994" xr:uid="{00000000-0005-0000-0000-0000B2880000}"/>
    <cellStyle name="Normal 5 17 2 18 3 7" xfId="34995" xr:uid="{00000000-0005-0000-0000-0000B3880000}"/>
    <cellStyle name="Normal 5 17 2 18 3 8" xfId="34996" xr:uid="{00000000-0005-0000-0000-0000B4880000}"/>
    <cellStyle name="Normal 5 17 2 18 3 9" xfId="34997" xr:uid="{00000000-0005-0000-0000-0000B5880000}"/>
    <cellStyle name="Normal 5 17 2 18 4" xfId="34998" xr:uid="{00000000-0005-0000-0000-0000B6880000}"/>
    <cellStyle name="Normal 5 17 2 18 4 10" xfId="34999" xr:uid="{00000000-0005-0000-0000-0000B7880000}"/>
    <cellStyle name="Normal 5 17 2 18 4 2" xfId="35000" xr:uid="{00000000-0005-0000-0000-0000B8880000}"/>
    <cellStyle name="Normal 5 17 2 18 4 3" xfId="35001" xr:uid="{00000000-0005-0000-0000-0000B9880000}"/>
    <cellStyle name="Normal 5 17 2 18 4 4" xfId="35002" xr:uid="{00000000-0005-0000-0000-0000BA880000}"/>
    <cellStyle name="Normal 5 17 2 18 4 5" xfId="35003" xr:uid="{00000000-0005-0000-0000-0000BB880000}"/>
    <cellStyle name="Normal 5 17 2 18 4 6" xfId="35004" xr:uid="{00000000-0005-0000-0000-0000BC880000}"/>
    <cellStyle name="Normal 5 17 2 18 4 7" xfId="35005" xr:uid="{00000000-0005-0000-0000-0000BD880000}"/>
    <cellStyle name="Normal 5 17 2 18 4 8" xfId="35006" xr:uid="{00000000-0005-0000-0000-0000BE880000}"/>
    <cellStyle name="Normal 5 17 2 18 4 9" xfId="35007" xr:uid="{00000000-0005-0000-0000-0000BF880000}"/>
    <cellStyle name="Normal 5 17 2 18 5" xfId="35008" xr:uid="{00000000-0005-0000-0000-0000C0880000}"/>
    <cellStyle name="Normal 5 17 2 18 5 10" xfId="35009" xr:uid="{00000000-0005-0000-0000-0000C1880000}"/>
    <cellStyle name="Normal 5 17 2 18 5 2" xfId="35010" xr:uid="{00000000-0005-0000-0000-0000C2880000}"/>
    <cellStyle name="Normal 5 17 2 18 5 3" xfId="35011" xr:uid="{00000000-0005-0000-0000-0000C3880000}"/>
    <cellStyle name="Normal 5 17 2 18 5 4" xfId="35012" xr:uid="{00000000-0005-0000-0000-0000C4880000}"/>
    <cellStyle name="Normal 5 17 2 18 5 5" xfId="35013" xr:uid="{00000000-0005-0000-0000-0000C5880000}"/>
    <cellStyle name="Normal 5 17 2 18 5 6" xfId="35014" xr:uid="{00000000-0005-0000-0000-0000C6880000}"/>
    <cellStyle name="Normal 5 17 2 18 5 7" xfId="35015" xr:uid="{00000000-0005-0000-0000-0000C7880000}"/>
    <cellStyle name="Normal 5 17 2 18 5 8" xfId="35016" xr:uid="{00000000-0005-0000-0000-0000C8880000}"/>
    <cellStyle name="Normal 5 17 2 18 5 9" xfId="35017" xr:uid="{00000000-0005-0000-0000-0000C9880000}"/>
    <cellStyle name="Normal 5 17 2 18 6" xfId="35018" xr:uid="{00000000-0005-0000-0000-0000CA880000}"/>
    <cellStyle name="Normal 5 17 2 18 7" xfId="35019" xr:uid="{00000000-0005-0000-0000-0000CB880000}"/>
    <cellStyle name="Normal 5 17 2 18 8" xfId="35020" xr:uid="{00000000-0005-0000-0000-0000CC880000}"/>
    <cellStyle name="Normal 5 17 2 18 9" xfId="35021" xr:uid="{00000000-0005-0000-0000-0000CD880000}"/>
    <cellStyle name="Normal 5 17 2 19" xfId="35022" xr:uid="{00000000-0005-0000-0000-0000CE880000}"/>
    <cellStyle name="Normal 5 17 2 19 10" xfId="35023" xr:uid="{00000000-0005-0000-0000-0000CF880000}"/>
    <cellStyle name="Normal 5 17 2 19 11" xfId="35024" xr:uid="{00000000-0005-0000-0000-0000D0880000}"/>
    <cellStyle name="Normal 5 17 2 19 12" xfId="35025" xr:uid="{00000000-0005-0000-0000-0000D1880000}"/>
    <cellStyle name="Normal 5 17 2 19 13" xfId="35026" xr:uid="{00000000-0005-0000-0000-0000D2880000}"/>
    <cellStyle name="Normal 5 17 2 19 14" xfId="35027" xr:uid="{00000000-0005-0000-0000-0000D3880000}"/>
    <cellStyle name="Normal 5 17 2 19 2" xfId="35028" xr:uid="{00000000-0005-0000-0000-0000D4880000}"/>
    <cellStyle name="Normal 5 17 2 19 2 10" xfId="35029" xr:uid="{00000000-0005-0000-0000-0000D5880000}"/>
    <cellStyle name="Normal 5 17 2 19 2 2" xfId="35030" xr:uid="{00000000-0005-0000-0000-0000D6880000}"/>
    <cellStyle name="Normal 5 17 2 19 2 3" xfId="35031" xr:uid="{00000000-0005-0000-0000-0000D7880000}"/>
    <cellStyle name="Normal 5 17 2 19 2 4" xfId="35032" xr:uid="{00000000-0005-0000-0000-0000D8880000}"/>
    <cellStyle name="Normal 5 17 2 19 2 5" xfId="35033" xr:uid="{00000000-0005-0000-0000-0000D9880000}"/>
    <cellStyle name="Normal 5 17 2 19 2 6" xfId="35034" xr:uid="{00000000-0005-0000-0000-0000DA880000}"/>
    <cellStyle name="Normal 5 17 2 19 2 7" xfId="35035" xr:uid="{00000000-0005-0000-0000-0000DB880000}"/>
    <cellStyle name="Normal 5 17 2 19 2 8" xfId="35036" xr:uid="{00000000-0005-0000-0000-0000DC880000}"/>
    <cellStyle name="Normal 5 17 2 19 2 9" xfId="35037" xr:uid="{00000000-0005-0000-0000-0000DD880000}"/>
    <cellStyle name="Normal 5 17 2 19 3" xfId="35038" xr:uid="{00000000-0005-0000-0000-0000DE880000}"/>
    <cellStyle name="Normal 5 17 2 19 3 10" xfId="35039" xr:uid="{00000000-0005-0000-0000-0000DF880000}"/>
    <cellStyle name="Normal 5 17 2 19 3 2" xfId="35040" xr:uid="{00000000-0005-0000-0000-0000E0880000}"/>
    <cellStyle name="Normal 5 17 2 19 3 3" xfId="35041" xr:uid="{00000000-0005-0000-0000-0000E1880000}"/>
    <cellStyle name="Normal 5 17 2 19 3 4" xfId="35042" xr:uid="{00000000-0005-0000-0000-0000E2880000}"/>
    <cellStyle name="Normal 5 17 2 19 3 5" xfId="35043" xr:uid="{00000000-0005-0000-0000-0000E3880000}"/>
    <cellStyle name="Normal 5 17 2 19 3 6" xfId="35044" xr:uid="{00000000-0005-0000-0000-0000E4880000}"/>
    <cellStyle name="Normal 5 17 2 19 3 7" xfId="35045" xr:uid="{00000000-0005-0000-0000-0000E5880000}"/>
    <cellStyle name="Normal 5 17 2 19 3 8" xfId="35046" xr:uid="{00000000-0005-0000-0000-0000E6880000}"/>
    <cellStyle name="Normal 5 17 2 19 3 9" xfId="35047" xr:uid="{00000000-0005-0000-0000-0000E7880000}"/>
    <cellStyle name="Normal 5 17 2 19 4" xfId="35048" xr:uid="{00000000-0005-0000-0000-0000E8880000}"/>
    <cellStyle name="Normal 5 17 2 19 4 10" xfId="35049" xr:uid="{00000000-0005-0000-0000-0000E9880000}"/>
    <cellStyle name="Normal 5 17 2 19 4 2" xfId="35050" xr:uid="{00000000-0005-0000-0000-0000EA880000}"/>
    <cellStyle name="Normal 5 17 2 19 4 3" xfId="35051" xr:uid="{00000000-0005-0000-0000-0000EB880000}"/>
    <cellStyle name="Normal 5 17 2 19 4 4" xfId="35052" xr:uid="{00000000-0005-0000-0000-0000EC880000}"/>
    <cellStyle name="Normal 5 17 2 19 4 5" xfId="35053" xr:uid="{00000000-0005-0000-0000-0000ED880000}"/>
    <cellStyle name="Normal 5 17 2 19 4 6" xfId="35054" xr:uid="{00000000-0005-0000-0000-0000EE880000}"/>
    <cellStyle name="Normal 5 17 2 19 4 7" xfId="35055" xr:uid="{00000000-0005-0000-0000-0000EF880000}"/>
    <cellStyle name="Normal 5 17 2 19 4 8" xfId="35056" xr:uid="{00000000-0005-0000-0000-0000F0880000}"/>
    <cellStyle name="Normal 5 17 2 19 4 9" xfId="35057" xr:uid="{00000000-0005-0000-0000-0000F1880000}"/>
    <cellStyle name="Normal 5 17 2 19 5" xfId="35058" xr:uid="{00000000-0005-0000-0000-0000F2880000}"/>
    <cellStyle name="Normal 5 17 2 19 5 10" xfId="35059" xr:uid="{00000000-0005-0000-0000-0000F3880000}"/>
    <cellStyle name="Normal 5 17 2 19 5 2" xfId="35060" xr:uid="{00000000-0005-0000-0000-0000F4880000}"/>
    <cellStyle name="Normal 5 17 2 19 5 3" xfId="35061" xr:uid="{00000000-0005-0000-0000-0000F5880000}"/>
    <cellStyle name="Normal 5 17 2 19 5 4" xfId="35062" xr:uid="{00000000-0005-0000-0000-0000F6880000}"/>
    <cellStyle name="Normal 5 17 2 19 5 5" xfId="35063" xr:uid="{00000000-0005-0000-0000-0000F7880000}"/>
    <cellStyle name="Normal 5 17 2 19 5 6" xfId="35064" xr:uid="{00000000-0005-0000-0000-0000F8880000}"/>
    <cellStyle name="Normal 5 17 2 19 5 7" xfId="35065" xr:uid="{00000000-0005-0000-0000-0000F9880000}"/>
    <cellStyle name="Normal 5 17 2 19 5 8" xfId="35066" xr:uid="{00000000-0005-0000-0000-0000FA880000}"/>
    <cellStyle name="Normal 5 17 2 19 5 9" xfId="35067" xr:uid="{00000000-0005-0000-0000-0000FB880000}"/>
    <cellStyle name="Normal 5 17 2 19 6" xfId="35068" xr:uid="{00000000-0005-0000-0000-0000FC880000}"/>
    <cellStyle name="Normal 5 17 2 19 7" xfId="35069" xr:uid="{00000000-0005-0000-0000-0000FD880000}"/>
    <cellStyle name="Normal 5 17 2 19 8" xfId="35070" xr:uid="{00000000-0005-0000-0000-0000FE880000}"/>
    <cellStyle name="Normal 5 17 2 19 9" xfId="35071" xr:uid="{00000000-0005-0000-0000-0000FF880000}"/>
    <cellStyle name="Normal 5 17 2 2" xfId="35072" xr:uid="{00000000-0005-0000-0000-000000890000}"/>
    <cellStyle name="Normal 5 17 2 2 10" xfId="35073" xr:uid="{00000000-0005-0000-0000-000001890000}"/>
    <cellStyle name="Normal 5 17 2 2 11" xfId="35074" xr:uid="{00000000-0005-0000-0000-000002890000}"/>
    <cellStyle name="Normal 5 17 2 2 12" xfId="35075" xr:uid="{00000000-0005-0000-0000-000003890000}"/>
    <cellStyle name="Normal 5 17 2 2 13" xfId="35076" xr:uid="{00000000-0005-0000-0000-000004890000}"/>
    <cellStyle name="Normal 5 17 2 2 14" xfId="35077" xr:uid="{00000000-0005-0000-0000-000005890000}"/>
    <cellStyle name="Normal 5 17 2 2 15" xfId="35078" xr:uid="{00000000-0005-0000-0000-000006890000}"/>
    <cellStyle name="Normal 5 17 2 2 16" xfId="35079" xr:uid="{00000000-0005-0000-0000-000007890000}"/>
    <cellStyle name="Normal 5 17 2 2 2" xfId="35080" xr:uid="{00000000-0005-0000-0000-000008890000}"/>
    <cellStyle name="Normal 5 17 2 2 2 10" xfId="35081" xr:uid="{00000000-0005-0000-0000-000009890000}"/>
    <cellStyle name="Normal 5 17 2 2 2 2" xfId="35082" xr:uid="{00000000-0005-0000-0000-00000A890000}"/>
    <cellStyle name="Normal 5 17 2 2 2 3" xfId="35083" xr:uid="{00000000-0005-0000-0000-00000B890000}"/>
    <cellStyle name="Normal 5 17 2 2 2 4" xfId="35084" xr:uid="{00000000-0005-0000-0000-00000C890000}"/>
    <cellStyle name="Normal 5 17 2 2 2 5" xfId="35085" xr:uid="{00000000-0005-0000-0000-00000D890000}"/>
    <cellStyle name="Normal 5 17 2 2 2 6" xfId="35086" xr:uid="{00000000-0005-0000-0000-00000E890000}"/>
    <cellStyle name="Normal 5 17 2 2 2 7" xfId="35087" xr:uid="{00000000-0005-0000-0000-00000F890000}"/>
    <cellStyle name="Normal 5 17 2 2 2 8" xfId="35088" xr:uid="{00000000-0005-0000-0000-000010890000}"/>
    <cellStyle name="Normal 5 17 2 2 2 9" xfId="35089" xr:uid="{00000000-0005-0000-0000-000011890000}"/>
    <cellStyle name="Normal 5 17 2 2 3" xfId="35090" xr:uid="{00000000-0005-0000-0000-000012890000}"/>
    <cellStyle name="Normal 5 17 2 2 3 10" xfId="35091" xr:uid="{00000000-0005-0000-0000-000013890000}"/>
    <cellStyle name="Normal 5 17 2 2 3 2" xfId="35092" xr:uid="{00000000-0005-0000-0000-000014890000}"/>
    <cellStyle name="Normal 5 17 2 2 3 3" xfId="35093" xr:uid="{00000000-0005-0000-0000-000015890000}"/>
    <cellStyle name="Normal 5 17 2 2 3 4" xfId="35094" xr:uid="{00000000-0005-0000-0000-000016890000}"/>
    <cellStyle name="Normal 5 17 2 2 3 5" xfId="35095" xr:uid="{00000000-0005-0000-0000-000017890000}"/>
    <cellStyle name="Normal 5 17 2 2 3 6" xfId="35096" xr:uid="{00000000-0005-0000-0000-000018890000}"/>
    <cellStyle name="Normal 5 17 2 2 3 7" xfId="35097" xr:uid="{00000000-0005-0000-0000-000019890000}"/>
    <cellStyle name="Normal 5 17 2 2 3 8" xfId="35098" xr:uid="{00000000-0005-0000-0000-00001A890000}"/>
    <cellStyle name="Normal 5 17 2 2 3 9" xfId="35099" xr:uid="{00000000-0005-0000-0000-00001B890000}"/>
    <cellStyle name="Normal 5 17 2 2 4" xfId="35100" xr:uid="{00000000-0005-0000-0000-00001C890000}"/>
    <cellStyle name="Normal 5 17 2 2 4 10" xfId="35101" xr:uid="{00000000-0005-0000-0000-00001D890000}"/>
    <cellStyle name="Normal 5 17 2 2 4 2" xfId="35102" xr:uid="{00000000-0005-0000-0000-00001E890000}"/>
    <cellStyle name="Normal 5 17 2 2 4 3" xfId="35103" xr:uid="{00000000-0005-0000-0000-00001F890000}"/>
    <cellStyle name="Normal 5 17 2 2 4 4" xfId="35104" xr:uid="{00000000-0005-0000-0000-000020890000}"/>
    <cellStyle name="Normal 5 17 2 2 4 5" xfId="35105" xr:uid="{00000000-0005-0000-0000-000021890000}"/>
    <cellStyle name="Normal 5 17 2 2 4 6" xfId="35106" xr:uid="{00000000-0005-0000-0000-000022890000}"/>
    <cellStyle name="Normal 5 17 2 2 4 7" xfId="35107" xr:uid="{00000000-0005-0000-0000-000023890000}"/>
    <cellStyle name="Normal 5 17 2 2 4 8" xfId="35108" xr:uid="{00000000-0005-0000-0000-000024890000}"/>
    <cellStyle name="Normal 5 17 2 2 4 9" xfId="35109" xr:uid="{00000000-0005-0000-0000-000025890000}"/>
    <cellStyle name="Normal 5 17 2 2 5" xfId="35110" xr:uid="{00000000-0005-0000-0000-000026890000}"/>
    <cellStyle name="Normal 5 17 2 2 5 10" xfId="35111" xr:uid="{00000000-0005-0000-0000-000027890000}"/>
    <cellStyle name="Normal 5 17 2 2 5 2" xfId="35112" xr:uid="{00000000-0005-0000-0000-000028890000}"/>
    <cellStyle name="Normal 5 17 2 2 5 3" xfId="35113" xr:uid="{00000000-0005-0000-0000-000029890000}"/>
    <cellStyle name="Normal 5 17 2 2 5 4" xfId="35114" xr:uid="{00000000-0005-0000-0000-00002A890000}"/>
    <cellStyle name="Normal 5 17 2 2 5 5" xfId="35115" xr:uid="{00000000-0005-0000-0000-00002B890000}"/>
    <cellStyle name="Normal 5 17 2 2 5 6" xfId="35116" xr:uid="{00000000-0005-0000-0000-00002C890000}"/>
    <cellStyle name="Normal 5 17 2 2 5 7" xfId="35117" xr:uid="{00000000-0005-0000-0000-00002D890000}"/>
    <cellStyle name="Normal 5 17 2 2 5 8" xfId="35118" xr:uid="{00000000-0005-0000-0000-00002E890000}"/>
    <cellStyle name="Normal 5 17 2 2 5 9" xfId="35119" xr:uid="{00000000-0005-0000-0000-00002F890000}"/>
    <cellStyle name="Normal 5 17 2 2 6" xfId="35120" xr:uid="{00000000-0005-0000-0000-000030890000}"/>
    <cellStyle name="Normal 5 17 2 2 7" xfId="35121" xr:uid="{00000000-0005-0000-0000-000031890000}"/>
    <cellStyle name="Normal 5 17 2 2 8" xfId="35122" xr:uid="{00000000-0005-0000-0000-000032890000}"/>
    <cellStyle name="Normal 5 17 2 2 9" xfId="35123" xr:uid="{00000000-0005-0000-0000-000033890000}"/>
    <cellStyle name="Normal 5 17 2 20" xfId="35124" xr:uid="{00000000-0005-0000-0000-000034890000}"/>
    <cellStyle name="Normal 5 17 2 20 10" xfId="35125" xr:uid="{00000000-0005-0000-0000-000035890000}"/>
    <cellStyle name="Normal 5 17 2 20 11" xfId="35126" xr:uid="{00000000-0005-0000-0000-000036890000}"/>
    <cellStyle name="Normal 5 17 2 20 12" xfId="35127" xr:uid="{00000000-0005-0000-0000-000037890000}"/>
    <cellStyle name="Normal 5 17 2 20 13" xfId="35128" xr:uid="{00000000-0005-0000-0000-000038890000}"/>
    <cellStyle name="Normal 5 17 2 20 14" xfId="35129" xr:uid="{00000000-0005-0000-0000-000039890000}"/>
    <cellStyle name="Normal 5 17 2 20 2" xfId="35130" xr:uid="{00000000-0005-0000-0000-00003A890000}"/>
    <cellStyle name="Normal 5 17 2 20 2 10" xfId="35131" xr:uid="{00000000-0005-0000-0000-00003B890000}"/>
    <cellStyle name="Normal 5 17 2 20 2 2" xfId="35132" xr:uid="{00000000-0005-0000-0000-00003C890000}"/>
    <cellStyle name="Normal 5 17 2 20 2 3" xfId="35133" xr:uid="{00000000-0005-0000-0000-00003D890000}"/>
    <cellStyle name="Normal 5 17 2 20 2 4" xfId="35134" xr:uid="{00000000-0005-0000-0000-00003E890000}"/>
    <cellStyle name="Normal 5 17 2 20 2 5" xfId="35135" xr:uid="{00000000-0005-0000-0000-00003F890000}"/>
    <cellStyle name="Normal 5 17 2 20 2 6" xfId="35136" xr:uid="{00000000-0005-0000-0000-000040890000}"/>
    <cellStyle name="Normal 5 17 2 20 2 7" xfId="35137" xr:uid="{00000000-0005-0000-0000-000041890000}"/>
    <cellStyle name="Normal 5 17 2 20 2 8" xfId="35138" xr:uid="{00000000-0005-0000-0000-000042890000}"/>
    <cellStyle name="Normal 5 17 2 20 2 9" xfId="35139" xr:uid="{00000000-0005-0000-0000-000043890000}"/>
    <cellStyle name="Normal 5 17 2 20 3" xfId="35140" xr:uid="{00000000-0005-0000-0000-000044890000}"/>
    <cellStyle name="Normal 5 17 2 20 3 10" xfId="35141" xr:uid="{00000000-0005-0000-0000-000045890000}"/>
    <cellStyle name="Normal 5 17 2 20 3 2" xfId="35142" xr:uid="{00000000-0005-0000-0000-000046890000}"/>
    <cellStyle name="Normal 5 17 2 20 3 3" xfId="35143" xr:uid="{00000000-0005-0000-0000-000047890000}"/>
    <cellStyle name="Normal 5 17 2 20 3 4" xfId="35144" xr:uid="{00000000-0005-0000-0000-000048890000}"/>
    <cellStyle name="Normal 5 17 2 20 3 5" xfId="35145" xr:uid="{00000000-0005-0000-0000-000049890000}"/>
    <cellStyle name="Normal 5 17 2 20 3 6" xfId="35146" xr:uid="{00000000-0005-0000-0000-00004A890000}"/>
    <cellStyle name="Normal 5 17 2 20 3 7" xfId="35147" xr:uid="{00000000-0005-0000-0000-00004B890000}"/>
    <cellStyle name="Normal 5 17 2 20 3 8" xfId="35148" xr:uid="{00000000-0005-0000-0000-00004C890000}"/>
    <cellStyle name="Normal 5 17 2 20 3 9" xfId="35149" xr:uid="{00000000-0005-0000-0000-00004D890000}"/>
    <cellStyle name="Normal 5 17 2 20 4" xfId="35150" xr:uid="{00000000-0005-0000-0000-00004E890000}"/>
    <cellStyle name="Normal 5 17 2 20 4 10" xfId="35151" xr:uid="{00000000-0005-0000-0000-00004F890000}"/>
    <cellStyle name="Normal 5 17 2 20 4 2" xfId="35152" xr:uid="{00000000-0005-0000-0000-000050890000}"/>
    <cellStyle name="Normal 5 17 2 20 4 3" xfId="35153" xr:uid="{00000000-0005-0000-0000-000051890000}"/>
    <cellStyle name="Normal 5 17 2 20 4 4" xfId="35154" xr:uid="{00000000-0005-0000-0000-000052890000}"/>
    <cellStyle name="Normal 5 17 2 20 4 5" xfId="35155" xr:uid="{00000000-0005-0000-0000-000053890000}"/>
    <cellStyle name="Normal 5 17 2 20 4 6" xfId="35156" xr:uid="{00000000-0005-0000-0000-000054890000}"/>
    <cellStyle name="Normal 5 17 2 20 4 7" xfId="35157" xr:uid="{00000000-0005-0000-0000-000055890000}"/>
    <cellStyle name="Normal 5 17 2 20 4 8" xfId="35158" xr:uid="{00000000-0005-0000-0000-000056890000}"/>
    <cellStyle name="Normal 5 17 2 20 4 9" xfId="35159" xr:uid="{00000000-0005-0000-0000-000057890000}"/>
    <cellStyle name="Normal 5 17 2 20 5" xfId="35160" xr:uid="{00000000-0005-0000-0000-000058890000}"/>
    <cellStyle name="Normal 5 17 2 20 5 10" xfId="35161" xr:uid="{00000000-0005-0000-0000-000059890000}"/>
    <cellStyle name="Normal 5 17 2 20 5 2" xfId="35162" xr:uid="{00000000-0005-0000-0000-00005A890000}"/>
    <cellStyle name="Normal 5 17 2 20 5 3" xfId="35163" xr:uid="{00000000-0005-0000-0000-00005B890000}"/>
    <cellStyle name="Normal 5 17 2 20 5 4" xfId="35164" xr:uid="{00000000-0005-0000-0000-00005C890000}"/>
    <cellStyle name="Normal 5 17 2 20 5 5" xfId="35165" xr:uid="{00000000-0005-0000-0000-00005D890000}"/>
    <cellStyle name="Normal 5 17 2 20 5 6" xfId="35166" xr:uid="{00000000-0005-0000-0000-00005E890000}"/>
    <cellStyle name="Normal 5 17 2 20 5 7" xfId="35167" xr:uid="{00000000-0005-0000-0000-00005F890000}"/>
    <cellStyle name="Normal 5 17 2 20 5 8" xfId="35168" xr:uid="{00000000-0005-0000-0000-000060890000}"/>
    <cellStyle name="Normal 5 17 2 20 5 9" xfId="35169" xr:uid="{00000000-0005-0000-0000-000061890000}"/>
    <cellStyle name="Normal 5 17 2 20 6" xfId="35170" xr:uid="{00000000-0005-0000-0000-000062890000}"/>
    <cellStyle name="Normal 5 17 2 20 7" xfId="35171" xr:uid="{00000000-0005-0000-0000-000063890000}"/>
    <cellStyle name="Normal 5 17 2 20 8" xfId="35172" xr:uid="{00000000-0005-0000-0000-000064890000}"/>
    <cellStyle name="Normal 5 17 2 20 9" xfId="35173" xr:uid="{00000000-0005-0000-0000-000065890000}"/>
    <cellStyle name="Normal 5 17 2 21" xfId="35174" xr:uid="{00000000-0005-0000-0000-000066890000}"/>
    <cellStyle name="Normal 5 17 2 21 10" xfId="35175" xr:uid="{00000000-0005-0000-0000-000067890000}"/>
    <cellStyle name="Normal 5 17 2 21 11" xfId="35176" xr:uid="{00000000-0005-0000-0000-000068890000}"/>
    <cellStyle name="Normal 5 17 2 21 12" xfId="35177" xr:uid="{00000000-0005-0000-0000-000069890000}"/>
    <cellStyle name="Normal 5 17 2 21 13" xfId="35178" xr:uid="{00000000-0005-0000-0000-00006A890000}"/>
    <cellStyle name="Normal 5 17 2 21 14" xfId="35179" xr:uid="{00000000-0005-0000-0000-00006B890000}"/>
    <cellStyle name="Normal 5 17 2 21 2" xfId="35180" xr:uid="{00000000-0005-0000-0000-00006C890000}"/>
    <cellStyle name="Normal 5 17 2 21 2 10" xfId="35181" xr:uid="{00000000-0005-0000-0000-00006D890000}"/>
    <cellStyle name="Normal 5 17 2 21 2 2" xfId="35182" xr:uid="{00000000-0005-0000-0000-00006E890000}"/>
    <cellStyle name="Normal 5 17 2 21 2 3" xfId="35183" xr:uid="{00000000-0005-0000-0000-00006F890000}"/>
    <cellStyle name="Normal 5 17 2 21 2 4" xfId="35184" xr:uid="{00000000-0005-0000-0000-000070890000}"/>
    <cellStyle name="Normal 5 17 2 21 2 5" xfId="35185" xr:uid="{00000000-0005-0000-0000-000071890000}"/>
    <cellStyle name="Normal 5 17 2 21 2 6" xfId="35186" xr:uid="{00000000-0005-0000-0000-000072890000}"/>
    <cellStyle name="Normal 5 17 2 21 2 7" xfId="35187" xr:uid="{00000000-0005-0000-0000-000073890000}"/>
    <cellStyle name="Normal 5 17 2 21 2 8" xfId="35188" xr:uid="{00000000-0005-0000-0000-000074890000}"/>
    <cellStyle name="Normal 5 17 2 21 2 9" xfId="35189" xr:uid="{00000000-0005-0000-0000-000075890000}"/>
    <cellStyle name="Normal 5 17 2 21 3" xfId="35190" xr:uid="{00000000-0005-0000-0000-000076890000}"/>
    <cellStyle name="Normal 5 17 2 21 3 10" xfId="35191" xr:uid="{00000000-0005-0000-0000-000077890000}"/>
    <cellStyle name="Normal 5 17 2 21 3 2" xfId="35192" xr:uid="{00000000-0005-0000-0000-000078890000}"/>
    <cellStyle name="Normal 5 17 2 21 3 3" xfId="35193" xr:uid="{00000000-0005-0000-0000-000079890000}"/>
    <cellStyle name="Normal 5 17 2 21 3 4" xfId="35194" xr:uid="{00000000-0005-0000-0000-00007A890000}"/>
    <cellStyle name="Normal 5 17 2 21 3 5" xfId="35195" xr:uid="{00000000-0005-0000-0000-00007B890000}"/>
    <cellStyle name="Normal 5 17 2 21 3 6" xfId="35196" xr:uid="{00000000-0005-0000-0000-00007C890000}"/>
    <cellStyle name="Normal 5 17 2 21 3 7" xfId="35197" xr:uid="{00000000-0005-0000-0000-00007D890000}"/>
    <cellStyle name="Normal 5 17 2 21 3 8" xfId="35198" xr:uid="{00000000-0005-0000-0000-00007E890000}"/>
    <cellStyle name="Normal 5 17 2 21 3 9" xfId="35199" xr:uid="{00000000-0005-0000-0000-00007F890000}"/>
    <cellStyle name="Normal 5 17 2 21 4" xfId="35200" xr:uid="{00000000-0005-0000-0000-000080890000}"/>
    <cellStyle name="Normal 5 17 2 21 4 10" xfId="35201" xr:uid="{00000000-0005-0000-0000-000081890000}"/>
    <cellStyle name="Normal 5 17 2 21 4 2" xfId="35202" xr:uid="{00000000-0005-0000-0000-000082890000}"/>
    <cellStyle name="Normal 5 17 2 21 4 3" xfId="35203" xr:uid="{00000000-0005-0000-0000-000083890000}"/>
    <cellStyle name="Normal 5 17 2 21 4 4" xfId="35204" xr:uid="{00000000-0005-0000-0000-000084890000}"/>
    <cellStyle name="Normal 5 17 2 21 4 5" xfId="35205" xr:uid="{00000000-0005-0000-0000-000085890000}"/>
    <cellStyle name="Normal 5 17 2 21 4 6" xfId="35206" xr:uid="{00000000-0005-0000-0000-000086890000}"/>
    <cellStyle name="Normal 5 17 2 21 4 7" xfId="35207" xr:uid="{00000000-0005-0000-0000-000087890000}"/>
    <cellStyle name="Normal 5 17 2 21 4 8" xfId="35208" xr:uid="{00000000-0005-0000-0000-000088890000}"/>
    <cellStyle name="Normal 5 17 2 21 4 9" xfId="35209" xr:uid="{00000000-0005-0000-0000-000089890000}"/>
    <cellStyle name="Normal 5 17 2 21 5" xfId="35210" xr:uid="{00000000-0005-0000-0000-00008A890000}"/>
    <cellStyle name="Normal 5 17 2 21 5 10" xfId="35211" xr:uid="{00000000-0005-0000-0000-00008B890000}"/>
    <cellStyle name="Normal 5 17 2 21 5 2" xfId="35212" xr:uid="{00000000-0005-0000-0000-00008C890000}"/>
    <cellStyle name="Normal 5 17 2 21 5 3" xfId="35213" xr:uid="{00000000-0005-0000-0000-00008D890000}"/>
    <cellStyle name="Normal 5 17 2 21 5 4" xfId="35214" xr:uid="{00000000-0005-0000-0000-00008E890000}"/>
    <cellStyle name="Normal 5 17 2 21 5 5" xfId="35215" xr:uid="{00000000-0005-0000-0000-00008F890000}"/>
    <cellStyle name="Normal 5 17 2 21 5 6" xfId="35216" xr:uid="{00000000-0005-0000-0000-000090890000}"/>
    <cellStyle name="Normal 5 17 2 21 5 7" xfId="35217" xr:uid="{00000000-0005-0000-0000-000091890000}"/>
    <cellStyle name="Normal 5 17 2 21 5 8" xfId="35218" xr:uid="{00000000-0005-0000-0000-000092890000}"/>
    <cellStyle name="Normal 5 17 2 21 5 9" xfId="35219" xr:uid="{00000000-0005-0000-0000-000093890000}"/>
    <cellStyle name="Normal 5 17 2 21 6" xfId="35220" xr:uid="{00000000-0005-0000-0000-000094890000}"/>
    <cellStyle name="Normal 5 17 2 21 7" xfId="35221" xr:uid="{00000000-0005-0000-0000-000095890000}"/>
    <cellStyle name="Normal 5 17 2 21 8" xfId="35222" xr:uid="{00000000-0005-0000-0000-000096890000}"/>
    <cellStyle name="Normal 5 17 2 21 9" xfId="35223" xr:uid="{00000000-0005-0000-0000-000097890000}"/>
    <cellStyle name="Normal 5 17 2 22" xfId="35224" xr:uid="{00000000-0005-0000-0000-000098890000}"/>
    <cellStyle name="Normal 5 17 2 22 10" xfId="35225" xr:uid="{00000000-0005-0000-0000-000099890000}"/>
    <cellStyle name="Normal 5 17 2 22 11" xfId="35226" xr:uid="{00000000-0005-0000-0000-00009A890000}"/>
    <cellStyle name="Normal 5 17 2 22 12" xfId="35227" xr:uid="{00000000-0005-0000-0000-00009B890000}"/>
    <cellStyle name="Normal 5 17 2 22 13" xfId="35228" xr:uid="{00000000-0005-0000-0000-00009C890000}"/>
    <cellStyle name="Normal 5 17 2 22 14" xfId="35229" xr:uid="{00000000-0005-0000-0000-00009D890000}"/>
    <cellStyle name="Normal 5 17 2 22 2" xfId="35230" xr:uid="{00000000-0005-0000-0000-00009E890000}"/>
    <cellStyle name="Normal 5 17 2 22 2 10" xfId="35231" xr:uid="{00000000-0005-0000-0000-00009F890000}"/>
    <cellStyle name="Normal 5 17 2 22 2 2" xfId="35232" xr:uid="{00000000-0005-0000-0000-0000A0890000}"/>
    <cellStyle name="Normal 5 17 2 22 2 3" xfId="35233" xr:uid="{00000000-0005-0000-0000-0000A1890000}"/>
    <cellStyle name="Normal 5 17 2 22 2 4" xfId="35234" xr:uid="{00000000-0005-0000-0000-0000A2890000}"/>
    <cellStyle name="Normal 5 17 2 22 2 5" xfId="35235" xr:uid="{00000000-0005-0000-0000-0000A3890000}"/>
    <cellStyle name="Normal 5 17 2 22 2 6" xfId="35236" xr:uid="{00000000-0005-0000-0000-0000A4890000}"/>
    <cellStyle name="Normal 5 17 2 22 2 7" xfId="35237" xr:uid="{00000000-0005-0000-0000-0000A5890000}"/>
    <cellStyle name="Normal 5 17 2 22 2 8" xfId="35238" xr:uid="{00000000-0005-0000-0000-0000A6890000}"/>
    <cellStyle name="Normal 5 17 2 22 2 9" xfId="35239" xr:uid="{00000000-0005-0000-0000-0000A7890000}"/>
    <cellStyle name="Normal 5 17 2 22 3" xfId="35240" xr:uid="{00000000-0005-0000-0000-0000A8890000}"/>
    <cellStyle name="Normal 5 17 2 22 3 10" xfId="35241" xr:uid="{00000000-0005-0000-0000-0000A9890000}"/>
    <cellStyle name="Normal 5 17 2 22 3 2" xfId="35242" xr:uid="{00000000-0005-0000-0000-0000AA890000}"/>
    <cellStyle name="Normal 5 17 2 22 3 3" xfId="35243" xr:uid="{00000000-0005-0000-0000-0000AB890000}"/>
    <cellStyle name="Normal 5 17 2 22 3 4" xfId="35244" xr:uid="{00000000-0005-0000-0000-0000AC890000}"/>
    <cellStyle name="Normal 5 17 2 22 3 5" xfId="35245" xr:uid="{00000000-0005-0000-0000-0000AD890000}"/>
    <cellStyle name="Normal 5 17 2 22 3 6" xfId="35246" xr:uid="{00000000-0005-0000-0000-0000AE890000}"/>
    <cellStyle name="Normal 5 17 2 22 3 7" xfId="35247" xr:uid="{00000000-0005-0000-0000-0000AF890000}"/>
    <cellStyle name="Normal 5 17 2 22 3 8" xfId="35248" xr:uid="{00000000-0005-0000-0000-0000B0890000}"/>
    <cellStyle name="Normal 5 17 2 22 3 9" xfId="35249" xr:uid="{00000000-0005-0000-0000-0000B1890000}"/>
    <cellStyle name="Normal 5 17 2 22 4" xfId="35250" xr:uid="{00000000-0005-0000-0000-0000B2890000}"/>
    <cellStyle name="Normal 5 17 2 22 4 10" xfId="35251" xr:uid="{00000000-0005-0000-0000-0000B3890000}"/>
    <cellStyle name="Normal 5 17 2 22 4 2" xfId="35252" xr:uid="{00000000-0005-0000-0000-0000B4890000}"/>
    <cellStyle name="Normal 5 17 2 22 4 3" xfId="35253" xr:uid="{00000000-0005-0000-0000-0000B5890000}"/>
    <cellStyle name="Normal 5 17 2 22 4 4" xfId="35254" xr:uid="{00000000-0005-0000-0000-0000B6890000}"/>
    <cellStyle name="Normal 5 17 2 22 4 5" xfId="35255" xr:uid="{00000000-0005-0000-0000-0000B7890000}"/>
    <cellStyle name="Normal 5 17 2 22 4 6" xfId="35256" xr:uid="{00000000-0005-0000-0000-0000B8890000}"/>
    <cellStyle name="Normal 5 17 2 22 4 7" xfId="35257" xr:uid="{00000000-0005-0000-0000-0000B9890000}"/>
    <cellStyle name="Normal 5 17 2 22 4 8" xfId="35258" xr:uid="{00000000-0005-0000-0000-0000BA890000}"/>
    <cellStyle name="Normal 5 17 2 22 4 9" xfId="35259" xr:uid="{00000000-0005-0000-0000-0000BB890000}"/>
    <cellStyle name="Normal 5 17 2 22 5" xfId="35260" xr:uid="{00000000-0005-0000-0000-0000BC890000}"/>
    <cellStyle name="Normal 5 17 2 22 5 10" xfId="35261" xr:uid="{00000000-0005-0000-0000-0000BD890000}"/>
    <cellStyle name="Normal 5 17 2 22 5 2" xfId="35262" xr:uid="{00000000-0005-0000-0000-0000BE890000}"/>
    <cellStyle name="Normal 5 17 2 22 5 3" xfId="35263" xr:uid="{00000000-0005-0000-0000-0000BF890000}"/>
    <cellStyle name="Normal 5 17 2 22 5 4" xfId="35264" xr:uid="{00000000-0005-0000-0000-0000C0890000}"/>
    <cellStyle name="Normal 5 17 2 22 5 5" xfId="35265" xr:uid="{00000000-0005-0000-0000-0000C1890000}"/>
    <cellStyle name="Normal 5 17 2 22 5 6" xfId="35266" xr:uid="{00000000-0005-0000-0000-0000C2890000}"/>
    <cellStyle name="Normal 5 17 2 22 5 7" xfId="35267" xr:uid="{00000000-0005-0000-0000-0000C3890000}"/>
    <cellStyle name="Normal 5 17 2 22 5 8" xfId="35268" xr:uid="{00000000-0005-0000-0000-0000C4890000}"/>
    <cellStyle name="Normal 5 17 2 22 5 9" xfId="35269" xr:uid="{00000000-0005-0000-0000-0000C5890000}"/>
    <cellStyle name="Normal 5 17 2 22 6" xfId="35270" xr:uid="{00000000-0005-0000-0000-0000C6890000}"/>
    <cellStyle name="Normal 5 17 2 22 7" xfId="35271" xr:uid="{00000000-0005-0000-0000-0000C7890000}"/>
    <cellStyle name="Normal 5 17 2 22 8" xfId="35272" xr:uid="{00000000-0005-0000-0000-0000C8890000}"/>
    <cellStyle name="Normal 5 17 2 22 9" xfId="35273" xr:uid="{00000000-0005-0000-0000-0000C9890000}"/>
    <cellStyle name="Normal 5 17 2 23" xfId="35274" xr:uid="{00000000-0005-0000-0000-0000CA890000}"/>
    <cellStyle name="Normal 5 17 2 23 10" xfId="35275" xr:uid="{00000000-0005-0000-0000-0000CB890000}"/>
    <cellStyle name="Normal 5 17 2 23 11" xfId="35276" xr:uid="{00000000-0005-0000-0000-0000CC890000}"/>
    <cellStyle name="Normal 5 17 2 23 12" xfId="35277" xr:uid="{00000000-0005-0000-0000-0000CD890000}"/>
    <cellStyle name="Normal 5 17 2 23 13" xfId="35278" xr:uid="{00000000-0005-0000-0000-0000CE890000}"/>
    <cellStyle name="Normal 5 17 2 23 14" xfId="35279" xr:uid="{00000000-0005-0000-0000-0000CF890000}"/>
    <cellStyle name="Normal 5 17 2 23 2" xfId="35280" xr:uid="{00000000-0005-0000-0000-0000D0890000}"/>
    <cellStyle name="Normal 5 17 2 23 2 10" xfId="35281" xr:uid="{00000000-0005-0000-0000-0000D1890000}"/>
    <cellStyle name="Normal 5 17 2 23 2 2" xfId="35282" xr:uid="{00000000-0005-0000-0000-0000D2890000}"/>
    <cellStyle name="Normal 5 17 2 23 2 3" xfId="35283" xr:uid="{00000000-0005-0000-0000-0000D3890000}"/>
    <cellStyle name="Normal 5 17 2 23 2 4" xfId="35284" xr:uid="{00000000-0005-0000-0000-0000D4890000}"/>
    <cellStyle name="Normal 5 17 2 23 2 5" xfId="35285" xr:uid="{00000000-0005-0000-0000-0000D5890000}"/>
    <cellStyle name="Normal 5 17 2 23 2 6" xfId="35286" xr:uid="{00000000-0005-0000-0000-0000D6890000}"/>
    <cellStyle name="Normal 5 17 2 23 2 7" xfId="35287" xr:uid="{00000000-0005-0000-0000-0000D7890000}"/>
    <cellStyle name="Normal 5 17 2 23 2 8" xfId="35288" xr:uid="{00000000-0005-0000-0000-0000D8890000}"/>
    <cellStyle name="Normal 5 17 2 23 2 9" xfId="35289" xr:uid="{00000000-0005-0000-0000-0000D9890000}"/>
    <cellStyle name="Normal 5 17 2 23 3" xfId="35290" xr:uid="{00000000-0005-0000-0000-0000DA890000}"/>
    <cellStyle name="Normal 5 17 2 23 3 10" xfId="35291" xr:uid="{00000000-0005-0000-0000-0000DB890000}"/>
    <cellStyle name="Normal 5 17 2 23 3 2" xfId="35292" xr:uid="{00000000-0005-0000-0000-0000DC890000}"/>
    <cellStyle name="Normal 5 17 2 23 3 3" xfId="35293" xr:uid="{00000000-0005-0000-0000-0000DD890000}"/>
    <cellStyle name="Normal 5 17 2 23 3 4" xfId="35294" xr:uid="{00000000-0005-0000-0000-0000DE890000}"/>
    <cellStyle name="Normal 5 17 2 23 3 5" xfId="35295" xr:uid="{00000000-0005-0000-0000-0000DF890000}"/>
    <cellStyle name="Normal 5 17 2 23 3 6" xfId="35296" xr:uid="{00000000-0005-0000-0000-0000E0890000}"/>
    <cellStyle name="Normal 5 17 2 23 3 7" xfId="35297" xr:uid="{00000000-0005-0000-0000-0000E1890000}"/>
    <cellStyle name="Normal 5 17 2 23 3 8" xfId="35298" xr:uid="{00000000-0005-0000-0000-0000E2890000}"/>
    <cellStyle name="Normal 5 17 2 23 3 9" xfId="35299" xr:uid="{00000000-0005-0000-0000-0000E3890000}"/>
    <cellStyle name="Normal 5 17 2 23 4" xfId="35300" xr:uid="{00000000-0005-0000-0000-0000E4890000}"/>
    <cellStyle name="Normal 5 17 2 23 4 10" xfId="35301" xr:uid="{00000000-0005-0000-0000-0000E5890000}"/>
    <cellStyle name="Normal 5 17 2 23 4 2" xfId="35302" xr:uid="{00000000-0005-0000-0000-0000E6890000}"/>
    <cellStyle name="Normal 5 17 2 23 4 3" xfId="35303" xr:uid="{00000000-0005-0000-0000-0000E7890000}"/>
    <cellStyle name="Normal 5 17 2 23 4 4" xfId="35304" xr:uid="{00000000-0005-0000-0000-0000E8890000}"/>
    <cellStyle name="Normal 5 17 2 23 4 5" xfId="35305" xr:uid="{00000000-0005-0000-0000-0000E9890000}"/>
    <cellStyle name="Normal 5 17 2 23 4 6" xfId="35306" xr:uid="{00000000-0005-0000-0000-0000EA890000}"/>
    <cellStyle name="Normal 5 17 2 23 4 7" xfId="35307" xr:uid="{00000000-0005-0000-0000-0000EB890000}"/>
    <cellStyle name="Normal 5 17 2 23 4 8" xfId="35308" xr:uid="{00000000-0005-0000-0000-0000EC890000}"/>
    <cellStyle name="Normal 5 17 2 23 4 9" xfId="35309" xr:uid="{00000000-0005-0000-0000-0000ED890000}"/>
    <cellStyle name="Normal 5 17 2 23 5" xfId="35310" xr:uid="{00000000-0005-0000-0000-0000EE890000}"/>
    <cellStyle name="Normal 5 17 2 23 5 10" xfId="35311" xr:uid="{00000000-0005-0000-0000-0000EF890000}"/>
    <cellStyle name="Normal 5 17 2 23 5 2" xfId="35312" xr:uid="{00000000-0005-0000-0000-0000F0890000}"/>
    <cellStyle name="Normal 5 17 2 23 5 3" xfId="35313" xr:uid="{00000000-0005-0000-0000-0000F1890000}"/>
    <cellStyle name="Normal 5 17 2 23 5 4" xfId="35314" xr:uid="{00000000-0005-0000-0000-0000F2890000}"/>
    <cellStyle name="Normal 5 17 2 23 5 5" xfId="35315" xr:uid="{00000000-0005-0000-0000-0000F3890000}"/>
    <cellStyle name="Normal 5 17 2 23 5 6" xfId="35316" xr:uid="{00000000-0005-0000-0000-0000F4890000}"/>
    <cellStyle name="Normal 5 17 2 23 5 7" xfId="35317" xr:uid="{00000000-0005-0000-0000-0000F5890000}"/>
    <cellStyle name="Normal 5 17 2 23 5 8" xfId="35318" xr:uid="{00000000-0005-0000-0000-0000F6890000}"/>
    <cellStyle name="Normal 5 17 2 23 5 9" xfId="35319" xr:uid="{00000000-0005-0000-0000-0000F7890000}"/>
    <cellStyle name="Normal 5 17 2 23 6" xfId="35320" xr:uid="{00000000-0005-0000-0000-0000F8890000}"/>
    <cellStyle name="Normal 5 17 2 23 7" xfId="35321" xr:uid="{00000000-0005-0000-0000-0000F9890000}"/>
    <cellStyle name="Normal 5 17 2 23 8" xfId="35322" xr:uid="{00000000-0005-0000-0000-0000FA890000}"/>
    <cellStyle name="Normal 5 17 2 23 9" xfId="35323" xr:uid="{00000000-0005-0000-0000-0000FB890000}"/>
    <cellStyle name="Normal 5 17 2 24" xfId="35324" xr:uid="{00000000-0005-0000-0000-0000FC890000}"/>
    <cellStyle name="Normal 5 17 2 24 10" xfId="35325" xr:uid="{00000000-0005-0000-0000-0000FD890000}"/>
    <cellStyle name="Normal 5 17 2 24 11" xfId="35326" xr:uid="{00000000-0005-0000-0000-0000FE890000}"/>
    <cellStyle name="Normal 5 17 2 24 12" xfId="35327" xr:uid="{00000000-0005-0000-0000-0000FF890000}"/>
    <cellStyle name="Normal 5 17 2 24 13" xfId="35328" xr:uid="{00000000-0005-0000-0000-0000008A0000}"/>
    <cellStyle name="Normal 5 17 2 24 14" xfId="35329" xr:uid="{00000000-0005-0000-0000-0000018A0000}"/>
    <cellStyle name="Normal 5 17 2 24 2" xfId="35330" xr:uid="{00000000-0005-0000-0000-0000028A0000}"/>
    <cellStyle name="Normal 5 17 2 24 2 10" xfId="35331" xr:uid="{00000000-0005-0000-0000-0000038A0000}"/>
    <cellStyle name="Normal 5 17 2 24 2 2" xfId="35332" xr:uid="{00000000-0005-0000-0000-0000048A0000}"/>
    <cellStyle name="Normal 5 17 2 24 2 3" xfId="35333" xr:uid="{00000000-0005-0000-0000-0000058A0000}"/>
    <cellStyle name="Normal 5 17 2 24 2 4" xfId="35334" xr:uid="{00000000-0005-0000-0000-0000068A0000}"/>
    <cellStyle name="Normal 5 17 2 24 2 5" xfId="35335" xr:uid="{00000000-0005-0000-0000-0000078A0000}"/>
    <cellStyle name="Normal 5 17 2 24 2 6" xfId="35336" xr:uid="{00000000-0005-0000-0000-0000088A0000}"/>
    <cellStyle name="Normal 5 17 2 24 2 7" xfId="35337" xr:uid="{00000000-0005-0000-0000-0000098A0000}"/>
    <cellStyle name="Normal 5 17 2 24 2 8" xfId="35338" xr:uid="{00000000-0005-0000-0000-00000A8A0000}"/>
    <cellStyle name="Normal 5 17 2 24 2 9" xfId="35339" xr:uid="{00000000-0005-0000-0000-00000B8A0000}"/>
    <cellStyle name="Normal 5 17 2 24 3" xfId="35340" xr:uid="{00000000-0005-0000-0000-00000C8A0000}"/>
    <cellStyle name="Normal 5 17 2 24 3 10" xfId="35341" xr:uid="{00000000-0005-0000-0000-00000D8A0000}"/>
    <cellStyle name="Normal 5 17 2 24 3 2" xfId="35342" xr:uid="{00000000-0005-0000-0000-00000E8A0000}"/>
    <cellStyle name="Normal 5 17 2 24 3 3" xfId="35343" xr:uid="{00000000-0005-0000-0000-00000F8A0000}"/>
    <cellStyle name="Normal 5 17 2 24 3 4" xfId="35344" xr:uid="{00000000-0005-0000-0000-0000108A0000}"/>
    <cellStyle name="Normal 5 17 2 24 3 5" xfId="35345" xr:uid="{00000000-0005-0000-0000-0000118A0000}"/>
    <cellStyle name="Normal 5 17 2 24 3 6" xfId="35346" xr:uid="{00000000-0005-0000-0000-0000128A0000}"/>
    <cellStyle name="Normal 5 17 2 24 3 7" xfId="35347" xr:uid="{00000000-0005-0000-0000-0000138A0000}"/>
    <cellStyle name="Normal 5 17 2 24 3 8" xfId="35348" xr:uid="{00000000-0005-0000-0000-0000148A0000}"/>
    <cellStyle name="Normal 5 17 2 24 3 9" xfId="35349" xr:uid="{00000000-0005-0000-0000-0000158A0000}"/>
    <cellStyle name="Normal 5 17 2 24 4" xfId="35350" xr:uid="{00000000-0005-0000-0000-0000168A0000}"/>
    <cellStyle name="Normal 5 17 2 24 4 10" xfId="35351" xr:uid="{00000000-0005-0000-0000-0000178A0000}"/>
    <cellStyle name="Normal 5 17 2 24 4 2" xfId="35352" xr:uid="{00000000-0005-0000-0000-0000188A0000}"/>
    <cellStyle name="Normal 5 17 2 24 4 3" xfId="35353" xr:uid="{00000000-0005-0000-0000-0000198A0000}"/>
    <cellStyle name="Normal 5 17 2 24 4 4" xfId="35354" xr:uid="{00000000-0005-0000-0000-00001A8A0000}"/>
    <cellStyle name="Normal 5 17 2 24 4 5" xfId="35355" xr:uid="{00000000-0005-0000-0000-00001B8A0000}"/>
    <cellStyle name="Normal 5 17 2 24 4 6" xfId="35356" xr:uid="{00000000-0005-0000-0000-00001C8A0000}"/>
    <cellStyle name="Normal 5 17 2 24 4 7" xfId="35357" xr:uid="{00000000-0005-0000-0000-00001D8A0000}"/>
    <cellStyle name="Normal 5 17 2 24 4 8" xfId="35358" xr:uid="{00000000-0005-0000-0000-00001E8A0000}"/>
    <cellStyle name="Normal 5 17 2 24 4 9" xfId="35359" xr:uid="{00000000-0005-0000-0000-00001F8A0000}"/>
    <cellStyle name="Normal 5 17 2 24 5" xfId="35360" xr:uid="{00000000-0005-0000-0000-0000208A0000}"/>
    <cellStyle name="Normal 5 17 2 24 5 10" xfId="35361" xr:uid="{00000000-0005-0000-0000-0000218A0000}"/>
    <cellStyle name="Normal 5 17 2 24 5 2" xfId="35362" xr:uid="{00000000-0005-0000-0000-0000228A0000}"/>
    <cellStyle name="Normal 5 17 2 24 5 3" xfId="35363" xr:uid="{00000000-0005-0000-0000-0000238A0000}"/>
    <cellStyle name="Normal 5 17 2 24 5 4" xfId="35364" xr:uid="{00000000-0005-0000-0000-0000248A0000}"/>
    <cellStyle name="Normal 5 17 2 24 5 5" xfId="35365" xr:uid="{00000000-0005-0000-0000-0000258A0000}"/>
    <cellStyle name="Normal 5 17 2 24 5 6" xfId="35366" xr:uid="{00000000-0005-0000-0000-0000268A0000}"/>
    <cellStyle name="Normal 5 17 2 24 5 7" xfId="35367" xr:uid="{00000000-0005-0000-0000-0000278A0000}"/>
    <cellStyle name="Normal 5 17 2 24 5 8" xfId="35368" xr:uid="{00000000-0005-0000-0000-0000288A0000}"/>
    <cellStyle name="Normal 5 17 2 24 5 9" xfId="35369" xr:uid="{00000000-0005-0000-0000-0000298A0000}"/>
    <cellStyle name="Normal 5 17 2 24 6" xfId="35370" xr:uid="{00000000-0005-0000-0000-00002A8A0000}"/>
    <cellStyle name="Normal 5 17 2 24 7" xfId="35371" xr:uid="{00000000-0005-0000-0000-00002B8A0000}"/>
    <cellStyle name="Normal 5 17 2 24 8" xfId="35372" xr:uid="{00000000-0005-0000-0000-00002C8A0000}"/>
    <cellStyle name="Normal 5 17 2 24 9" xfId="35373" xr:uid="{00000000-0005-0000-0000-00002D8A0000}"/>
    <cellStyle name="Normal 5 17 2 25" xfId="35374" xr:uid="{00000000-0005-0000-0000-00002E8A0000}"/>
    <cellStyle name="Normal 5 17 2 25 10" xfId="35375" xr:uid="{00000000-0005-0000-0000-00002F8A0000}"/>
    <cellStyle name="Normal 5 17 2 25 11" xfId="35376" xr:uid="{00000000-0005-0000-0000-0000308A0000}"/>
    <cellStyle name="Normal 5 17 2 25 12" xfId="35377" xr:uid="{00000000-0005-0000-0000-0000318A0000}"/>
    <cellStyle name="Normal 5 17 2 25 13" xfId="35378" xr:uid="{00000000-0005-0000-0000-0000328A0000}"/>
    <cellStyle name="Normal 5 17 2 25 14" xfId="35379" xr:uid="{00000000-0005-0000-0000-0000338A0000}"/>
    <cellStyle name="Normal 5 17 2 25 2" xfId="35380" xr:uid="{00000000-0005-0000-0000-0000348A0000}"/>
    <cellStyle name="Normal 5 17 2 25 2 10" xfId="35381" xr:uid="{00000000-0005-0000-0000-0000358A0000}"/>
    <cellStyle name="Normal 5 17 2 25 2 2" xfId="35382" xr:uid="{00000000-0005-0000-0000-0000368A0000}"/>
    <cellStyle name="Normal 5 17 2 25 2 3" xfId="35383" xr:uid="{00000000-0005-0000-0000-0000378A0000}"/>
    <cellStyle name="Normal 5 17 2 25 2 4" xfId="35384" xr:uid="{00000000-0005-0000-0000-0000388A0000}"/>
    <cellStyle name="Normal 5 17 2 25 2 5" xfId="35385" xr:uid="{00000000-0005-0000-0000-0000398A0000}"/>
    <cellStyle name="Normal 5 17 2 25 2 6" xfId="35386" xr:uid="{00000000-0005-0000-0000-00003A8A0000}"/>
    <cellStyle name="Normal 5 17 2 25 2 7" xfId="35387" xr:uid="{00000000-0005-0000-0000-00003B8A0000}"/>
    <cellStyle name="Normal 5 17 2 25 2 8" xfId="35388" xr:uid="{00000000-0005-0000-0000-00003C8A0000}"/>
    <cellStyle name="Normal 5 17 2 25 2 9" xfId="35389" xr:uid="{00000000-0005-0000-0000-00003D8A0000}"/>
    <cellStyle name="Normal 5 17 2 25 3" xfId="35390" xr:uid="{00000000-0005-0000-0000-00003E8A0000}"/>
    <cellStyle name="Normal 5 17 2 25 3 10" xfId="35391" xr:uid="{00000000-0005-0000-0000-00003F8A0000}"/>
    <cellStyle name="Normal 5 17 2 25 3 2" xfId="35392" xr:uid="{00000000-0005-0000-0000-0000408A0000}"/>
    <cellStyle name="Normal 5 17 2 25 3 3" xfId="35393" xr:uid="{00000000-0005-0000-0000-0000418A0000}"/>
    <cellStyle name="Normal 5 17 2 25 3 4" xfId="35394" xr:uid="{00000000-0005-0000-0000-0000428A0000}"/>
    <cellStyle name="Normal 5 17 2 25 3 5" xfId="35395" xr:uid="{00000000-0005-0000-0000-0000438A0000}"/>
    <cellStyle name="Normal 5 17 2 25 3 6" xfId="35396" xr:uid="{00000000-0005-0000-0000-0000448A0000}"/>
    <cellStyle name="Normal 5 17 2 25 3 7" xfId="35397" xr:uid="{00000000-0005-0000-0000-0000458A0000}"/>
    <cellStyle name="Normal 5 17 2 25 3 8" xfId="35398" xr:uid="{00000000-0005-0000-0000-0000468A0000}"/>
    <cellStyle name="Normal 5 17 2 25 3 9" xfId="35399" xr:uid="{00000000-0005-0000-0000-0000478A0000}"/>
    <cellStyle name="Normal 5 17 2 25 4" xfId="35400" xr:uid="{00000000-0005-0000-0000-0000488A0000}"/>
    <cellStyle name="Normal 5 17 2 25 4 10" xfId="35401" xr:uid="{00000000-0005-0000-0000-0000498A0000}"/>
    <cellStyle name="Normal 5 17 2 25 4 2" xfId="35402" xr:uid="{00000000-0005-0000-0000-00004A8A0000}"/>
    <cellStyle name="Normal 5 17 2 25 4 3" xfId="35403" xr:uid="{00000000-0005-0000-0000-00004B8A0000}"/>
    <cellStyle name="Normal 5 17 2 25 4 4" xfId="35404" xr:uid="{00000000-0005-0000-0000-00004C8A0000}"/>
    <cellStyle name="Normal 5 17 2 25 4 5" xfId="35405" xr:uid="{00000000-0005-0000-0000-00004D8A0000}"/>
    <cellStyle name="Normal 5 17 2 25 4 6" xfId="35406" xr:uid="{00000000-0005-0000-0000-00004E8A0000}"/>
    <cellStyle name="Normal 5 17 2 25 4 7" xfId="35407" xr:uid="{00000000-0005-0000-0000-00004F8A0000}"/>
    <cellStyle name="Normal 5 17 2 25 4 8" xfId="35408" xr:uid="{00000000-0005-0000-0000-0000508A0000}"/>
    <cellStyle name="Normal 5 17 2 25 4 9" xfId="35409" xr:uid="{00000000-0005-0000-0000-0000518A0000}"/>
    <cellStyle name="Normal 5 17 2 25 5" xfId="35410" xr:uid="{00000000-0005-0000-0000-0000528A0000}"/>
    <cellStyle name="Normal 5 17 2 25 5 10" xfId="35411" xr:uid="{00000000-0005-0000-0000-0000538A0000}"/>
    <cellStyle name="Normal 5 17 2 25 5 2" xfId="35412" xr:uid="{00000000-0005-0000-0000-0000548A0000}"/>
    <cellStyle name="Normal 5 17 2 25 5 3" xfId="35413" xr:uid="{00000000-0005-0000-0000-0000558A0000}"/>
    <cellStyle name="Normal 5 17 2 25 5 4" xfId="35414" xr:uid="{00000000-0005-0000-0000-0000568A0000}"/>
    <cellStyle name="Normal 5 17 2 25 5 5" xfId="35415" xr:uid="{00000000-0005-0000-0000-0000578A0000}"/>
    <cellStyle name="Normal 5 17 2 25 5 6" xfId="35416" xr:uid="{00000000-0005-0000-0000-0000588A0000}"/>
    <cellStyle name="Normal 5 17 2 25 5 7" xfId="35417" xr:uid="{00000000-0005-0000-0000-0000598A0000}"/>
    <cellStyle name="Normal 5 17 2 25 5 8" xfId="35418" xr:uid="{00000000-0005-0000-0000-00005A8A0000}"/>
    <cellStyle name="Normal 5 17 2 25 5 9" xfId="35419" xr:uid="{00000000-0005-0000-0000-00005B8A0000}"/>
    <cellStyle name="Normal 5 17 2 25 6" xfId="35420" xr:uid="{00000000-0005-0000-0000-00005C8A0000}"/>
    <cellStyle name="Normal 5 17 2 25 7" xfId="35421" xr:uid="{00000000-0005-0000-0000-00005D8A0000}"/>
    <cellStyle name="Normal 5 17 2 25 8" xfId="35422" xr:uid="{00000000-0005-0000-0000-00005E8A0000}"/>
    <cellStyle name="Normal 5 17 2 25 9" xfId="35423" xr:uid="{00000000-0005-0000-0000-00005F8A0000}"/>
    <cellStyle name="Normal 5 17 2 26" xfId="35424" xr:uid="{00000000-0005-0000-0000-0000608A0000}"/>
    <cellStyle name="Normal 5 17 2 26 10" xfId="35425" xr:uid="{00000000-0005-0000-0000-0000618A0000}"/>
    <cellStyle name="Normal 5 17 2 26 11" xfId="35426" xr:uid="{00000000-0005-0000-0000-0000628A0000}"/>
    <cellStyle name="Normal 5 17 2 26 12" xfId="35427" xr:uid="{00000000-0005-0000-0000-0000638A0000}"/>
    <cellStyle name="Normal 5 17 2 26 13" xfId="35428" xr:uid="{00000000-0005-0000-0000-0000648A0000}"/>
    <cellStyle name="Normal 5 17 2 26 14" xfId="35429" xr:uid="{00000000-0005-0000-0000-0000658A0000}"/>
    <cellStyle name="Normal 5 17 2 26 2" xfId="35430" xr:uid="{00000000-0005-0000-0000-0000668A0000}"/>
    <cellStyle name="Normal 5 17 2 26 2 10" xfId="35431" xr:uid="{00000000-0005-0000-0000-0000678A0000}"/>
    <cellStyle name="Normal 5 17 2 26 2 2" xfId="35432" xr:uid="{00000000-0005-0000-0000-0000688A0000}"/>
    <cellStyle name="Normal 5 17 2 26 2 3" xfId="35433" xr:uid="{00000000-0005-0000-0000-0000698A0000}"/>
    <cellStyle name="Normal 5 17 2 26 2 4" xfId="35434" xr:uid="{00000000-0005-0000-0000-00006A8A0000}"/>
    <cellStyle name="Normal 5 17 2 26 2 5" xfId="35435" xr:uid="{00000000-0005-0000-0000-00006B8A0000}"/>
    <cellStyle name="Normal 5 17 2 26 2 6" xfId="35436" xr:uid="{00000000-0005-0000-0000-00006C8A0000}"/>
    <cellStyle name="Normal 5 17 2 26 2 7" xfId="35437" xr:uid="{00000000-0005-0000-0000-00006D8A0000}"/>
    <cellStyle name="Normal 5 17 2 26 2 8" xfId="35438" xr:uid="{00000000-0005-0000-0000-00006E8A0000}"/>
    <cellStyle name="Normal 5 17 2 26 2 9" xfId="35439" xr:uid="{00000000-0005-0000-0000-00006F8A0000}"/>
    <cellStyle name="Normal 5 17 2 26 3" xfId="35440" xr:uid="{00000000-0005-0000-0000-0000708A0000}"/>
    <cellStyle name="Normal 5 17 2 26 3 10" xfId="35441" xr:uid="{00000000-0005-0000-0000-0000718A0000}"/>
    <cellStyle name="Normal 5 17 2 26 3 2" xfId="35442" xr:uid="{00000000-0005-0000-0000-0000728A0000}"/>
    <cellStyle name="Normal 5 17 2 26 3 3" xfId="35443" xr:uid="{00000000-0005-0000-0000-0000738A0000}"/>
    <cellStyle name="Normal 5 17 2 26 3 4" xfId="35444" xr:uid="{00000000-0005-0000-0000-0000748A0000}"/>
    <cellStyle name="Normal 5 17 2 26 3 5" xfId="35445" xr:uid="{00000000-0005-0000-0000-0000758A0000}"/>
    <cellStyle name="Normal 5 17 2 26 3 6" xfId="35446" xr:uid="{00000000-0005-0000-0000-0000768A0000}"/>
    <cellStyle name="Normal 5 17 2 26 3 7" xfId="35447" xr:uid="{00000000-0005-0000-0000-0000778A0000}"/>
    <cellStyle name="Normal 5 17 2 26 3 8" xfId="35448" xr:uid="{00000000-0005-0000-0000-0000788A0000}"/>
    <cellStyle name="Normal 5 17 2 26 3 9" xfId="35449" xr:uid="{00000000-0005-0000-0000-0000798A0000}"/>
    <cellStyle name="Normal 5 17 2 26 4" xfId="35450" xr:uid="{00000000-0005-0000-0000-00007A8A0000}"/>
    <cellStyle name="Normal 5 17 2 26 4 10" xfId="35451" xr:uid="{00000000-0005-0000-0000-00007B8A0000}"/>
    <cellStyle name="Normal 5 17 2 26 4 2" xfId="35452" xr:uid="{00000000-0005-0000-0000-00007C8A0000}"/>
    <cellStyle name="Normal 5 17 2 26 4 3" xfId="35453" xr:uid="{00000000-0005-0000-0000-00007D8A0000}"/>
    <cellStyle name="Normal 5 17 2 26 4 4" xfId="35454" xr:uid="{00000000-0005-0000-0000-00007E8A0000}"/>
    <cellStyle name="Normal 5 17 2 26 4 5" xfId="35455" xr:uid="{00000000-0005-0000-0000-00007F8A0000}"/>
    <cellStyle name="Normal 5 17 2 26 4 6" xfId="35456" xr:uid="{00000000-0005-0000-0000-0000808A0000}"/>
    <cellStyle name="Normal 5 17 2 26 4 7" xfId="35457" xr:uid="{00000000-0005-0000-0000-0000818A0000}"/>
    <cellStyle name="Normal 5 17 2 26 4 8" xfId="35458" xr:uid="{00000000-0005-0000-0000-0000828A0000}"/>
    <cellStyle name="Normal 5 17 2 26 4 9" xfId="35459" xr:uid="{00000000-0005-0000-0000-0000838A0000}"/>
    <cellStyle name="Normal 5 17 2 26 5" xfId="35460" xr:uid="{00000000-0005-0000-0000-0000848A0000}"/>
    <cellStyle name="Normal 5 17 2 26 5 10" xfId="35461" xr:uid="{00000000-0005-0000-0000-0000858A0000}"/>
    <cellStyle name="Normal 5 17 2 26 5 2" xfId="35462" xr:uid="{00000000-0005-0000-0000-0000868A0000}"/>
    <cellStyle name="Normal 5 17 2 26 5 3" xfId="35463" xr:uid="{00000000-0005-0000-0000-0000878A0000}"/>
    <cellStyle name="Normal 5 17 2 26 5 4" xfId="35464" xr:uid="{00000000-0005-0000-0000-0000888A0000}"/>
    <cellStyle name="Normal 5 17 2 26 5 5" xfId="35465" xr:uid="{00000000-0005-0000-0000-0000898A0000}"/>
    <cellStyle name="Normal 5 17 2 26 5 6" xfId="35466" xr:uid="{00000000-0005-0000-0000-00008A8A0000}"/>
    <cellStyle name="Normal 5 17 2 26 5 7" xfId="35467" xr:uid="{00000000-0005-0000-0000-00008B8A0000}"/>
    <cellStyle name="Normal 5 17 2 26 5 8" xfId="35468" xr:uid="{00000000-0005-0000-0000-00008C8A0000}"/>
    <cellStyle name="Normal 5 17 2 26 5 9" xfId="35469" xr:uid="{00000000-0005-0000-0000-00008D8A0000}"/>
    <cellStyle name="Normal 5 17 2 26 6" xfId="35470" xr:uid="{00000000-0005-0000-0000-00008E8A0000}"/>
    <cellStyle name="Normal 5 17 2 26 7" xfId="35471" xr:uid="{00000000-0005-0000-0000-00008F8A0000}"/>
    <cellStyle name="Normal 5 17 2 26 8" xfId="35472" xr:uid="{00000000-0005-0000-0000-0000908A0000}"/>
    <cellStyle name="Normal 5 17 2 26 9" xfId="35473" xr:uid="{00000000-0005-0000-0000-0000918A0000}"/>
    <cellStyle name="Normal 5 17 2 27" xfId="35474" xr:uid="{00000000-0005-0000-0000-0000928A0000}"/>
    <cellStyle name="Normal 5 17 2 27 10" xfId="35475" xr:uid="{00000000-0005-0000-0000-0000938A0000}"/>
    <cellStyle name="Normal 5 17 2 27 11" xfId="35476" xr:uid="{00000000-0005-0000-0000-0000948A0000}"/>
    <cellStyle name="Normal 5 17 2 27 12" xfId="35477" xr:uid="{00000000-0005-0000-0000-0000958A0000}"/>
    <cellStyle name="Normal 5 17 2 27 13" xfId="35478" xr:uid="{00000000-0005-0000-0000-0000968A0000}"/>
    <cellStyle name="Normal 5 17 2 27 14" xfId="35479" xr:uid="{00000000-0005-0000-0000-0000978A0000}"/>
    <cellStyle name="Normal 5 17 2 27 2" xfId="35480" xr:uid="{00000000-0005-0000-0000-0000988A0000}"/>
    <cellStyle name="Normal 5 17 2 27 2 10" xfId="35481" xr:uid="{00000000-0005-0000-0000-0000998A0000}"/>
    <cellStyle name="Normal 5 17 2 27 2 2" xfId="35482" xr:uid="{00000000-0005-0000-0000-00009A8A0000}"/>
    <cellStyle name="Normal 5 17 2 27 2 3" xfId="35483" xr:uid="{00000000-0005-0000-0000-00009B8A0000}"/>
    <cellStyle name="Normal 5 17 2 27 2 4" xfId="35484" xr:uid="{00000000-0005-0000-0000-00009C8A0000}"/>
    <cellStyle name="Normal 5 17 2 27 2 5" xfId="35485" xr:uid="{00000000-0005-0000-0000-00009D8A0000}"/>
    <cellStyle name="Normal 5 17 2 27 2 6" xfId="35486" xr:uid="{00000000-0005-0000-0000-00009E8A0000}"/>
    <cellStyle name="Normal 5 17 2 27 2 7" xfId="35487" xr:uid="{00000000-0005-0000-0000-00009F8A0000}"/>
    <cellStyle name="Normal 5 17 2 27 2 8" xfId="35488" xr:uid="{00000000-0005-0000-0000-0000A08A0000}"/>
    <cellStyle name="Normal 5 17 2 27 2 9" xfId="35489" xr:uid="{00000000-0005-0000-0000-0000A18A0000}"/>
    <cellStyle name="Normal 5 17 2 27 3" xfId="35490" xr:uid="{00000000-0005-0000-0000-0000A28A0000}"/>
    <cellStyle name="Normal 5 17 2 27 3 10" xfId="35491" xr:uid="{00000000-0005-0000-0000-0000A38A0000}"/>
    <cellStyle name="Normal 5 17 2 27 3 2" xfId="35492" xr:uid="{00000000-0005-0000-0000-0000A48A0000}"/>
    <cellStyle name="Normal 5 17 2 27 3 3" xfId="35493" xr:uid="{00000000-0005-0000-0000-0000A58A0000}"/>
    <cellStyle name="Normal 5 17 2 27 3 4" xfId="35494" xr:uid="{00000000-0005-0000-0000-0000A68A0000}"/>
    <cellStyle name="Normal 5 17 2 27 3 5" xfId="35495" xr:uid="{00000000-0005-0000-0000-0000A78A0000}"/>
    <cellStyle name="Normal 5 17 2 27 3 6" xfId="35496" xr:uid="{00000000-0005-0000-0000-0000A88A0000}"/>
    <cellStyle name="Normal 5 17 2 27 3 7" xfId="35497" xr:uid="{00000000-0005-0000-0000-0000A98A0000}"/>
    <cellStyle name="Normal 5 17 2 27 3 8" xfId="35498" xr:uid="{00000000-0005-0000-0000-0000AA8A0000}"/>
    <cellStyle name="Normal 5 17 2 27 3 9" xfId="35499" xr:uid="{00000000-0005-0000-0000-0000AB8A0000}"/>
    <cellStyle name="Normal 5 17 2 27 4" xfId="35500" xr:uid="{00000000-0005-0000-0000-0000AC8A0000}"/>
    <cellStyle name="Normal 5 17 2 27 4 10" xfId="35501" xr:uid="{00000000-0005-0000-0000-0000AD8A0000}"/>
    <cellStyle name="Normal 5 17 2 27 4 2" xfId="35502" xr:uid="{00000000-0005-0000-0000-0000AE8A0000}"/>
    <cellStyle name="Normal 5 17 2 27 4 3" xfId="35503" xr:uid="{00000000-0005-0000-0000-0000AF8A0000}"/>
    <cellStyle name="Normal 5 17 2 27 4 4" xfId="35504" xr:uid="{00000000-0005-0000-0000-0000B08A0000}"/>
    <cellStyle name="Normal 5 17 2 27 4 5" xfId="35505" xr:uid="{00000000-0005-0000-0000-0000B18A0000}"/>
    <cellStyle name="Normal 5 17 2 27 4 6" xfId="35506" xr:uid="{00000000-0005-0000-0000-0000B28A0000}"/>
    <cellStyle name="Normal 5 17 2 27 4 7" xfId="35507" xr:uid="{00000000-0005-0000-0000-0000B38A0000}"/>
    <cellStyle name="Normal 5 17 2 27 4 8" xfId="35508" xr:uid="{00000000-0005-0000-0000-0000B48A0000}"/>
    <cellStyle name="Normal 5 17 2 27 4 9" xfId="35509" xr:uid="{00000000-0005-0000-0000-0000B58A0000}"/>
    <cellStyle name="Normal 5 17 2 27 5" xfId="35510" xr:uid="{00000000-0005-0000-0000-0000B68A0000}"/>
    <cellStyle name="Normal 5 17 2 27 5 10" xfId="35511" xr:uid="{00000000-0005-0000-0000-0000B78A0000}"/>
    <cellStyle name="Normal 5 17 2 27 5 2" xfId="35512" xr:uid="{00000000-0005-0000-0000-0000B88A0000}"/>
    <cellStyle name="Normal 5 17 2 27 5 3" xfId="35513" xr:uid="{00000000-0005-0000-0000-0000B98A0000}"/>
    <cellStyle name="Normal 5 17 2 27 5 4" xfId="35514" xr:uid="{00000000-0005-0000-0000-0000BA8A0000}"/>
    <cellStyle name="Normal 5 17 2 27 5 5" xfId="35515" xr:uid="{00000000-0005-0000-0000-0000BB8A0000}"/>
    <cellStyle name="Normal 5 17 2 27 5 6" xfId="35516" xr:uid="{00000000-0005-0000-0000-0000BC8A0000}"/>
    <cellStyle name="Normal 5 17 2 27 5 7" xfId="35517" xr:uid="{00000000-0005-0000-0000-0000BD8A0000}"/>
    <cellStyle name="Normal 5 17 2 27 5 8" xfId="35518" xr:uid="{00000000-0005-0000-0000-0000BE8A0000}"/>
    <cellStyle name="Normal 5 17 2 27 5 9" xfId="35519" xr:uid="{00000000-0005-0000-0000-0000BF8A0000}"/>
    <cellStyle name="Normal 5 17 2 27 6" xfId="35520" xr:uid="{00000000-0005-0000-0000-0000C08A0000}"/>
    <cellStyle name="Normal 5 17 2 27 7" xfId="35521" xr:uid="{00000000-0005-0000-0000-0000C18A0000}"/>
    <cellStyle name="Normal 5 17 2 27 8" xfId="35522" xr:uid="{00000000-0005-0000-0000-0000C28A0000}"/>
    <cellStyle name="Normal 5 17 2 27 9" xfId="35523" xr:uid="{00000000-0005-0000-0000-0000C38A0000}"/>
    <cellStyle name="Normal 5 17 2 28" xfId="35524" xr:uid="{00000000-0005-0000-0000-0000C48A0000}"/>
    <cellStyle name="Normal 5 17 2 28 10" xfId="35525" xr:uid="{00000000-0005-0000-0000-0000C58A0000}"/>
    <cellStyle name="Normal 5 17 2 28 11" xfId="35526" xr:uid="{00000000-0005-0000-0000-0000C68A0000}"/>
    <cellStyle name="Normal 5 17 2 28 12" xfId="35527" xr:uid="{00000000-0005-0000-0000-0000C78A0000}"/>
    <cellStyle name="Normal 5 17 2 28 13" xfId="35528" xr:uid="{00000000-0005-0000-0000-0000C88A0000}"/>
    <cellStyle name="Normal 5 17 2 28 14" xfId="35529" xr:uid="{00000000-0005-0000-0000-0000C98A0000}"/>
    <cellStyle name="Normal 5 17 2 28 2" xfId="35530" xr:uid="{00000000-0005-0000-0000-0000CA8A0000}"/>
    <cellStyle name="Normal 5 17 2 28 2 10" xfId="35531" xr:uid="{00000000-0005-0000-0000-0000CB8A0000}"/>
    <cellStyle name="Normal 5 17 2 28 2 2" xfId="35532" xr:uid="{00000000-0005-0000-0000-0000CC8A0000}"/>
    <cellStyle name="Normal 5 17 2 28 2 3" xfId="35533" xr:uid="{00000000-0005-0000-0000-0000CD8A0000}"/>
    <cellStyle name="Normal 5 17 2 28 2 4" xfId="35534" xr:uid="{00000000-0005-0000-0000-0000CE8A0000}"/>
    <cellStyle name="Normal 5 17 2 28 2 5" xfId="35535" xr:uid="{00000000-0005-0000-0000-0000CF8A0000}"/>
    <cellStyle name="Normal 5 17 2 28 2 6" xfId="35536" xr:uid="{00000000-0005-0000-0000-0000D08A0000}"/>
    <cellStyle name="Normal 5 17 2 28 2 7" xfId="35537" xr:uid="{00000000-0005-0000-0000-0000D18A0000}"/>
    <cellStyle name="Normal 5 17 2 28 2 8" xfId="35538" xr:uid="{00000000-0005-0000-0000-0000D28A0000}"/>
    <cellStyle name="Normal 5 17 2 28 2 9" xfId="35539" xr:uid="{00000000-0005-0000-0000-0000D38A0000}"/>
    <cellStyle name="Normal 5 17 2 28 3" xfId="35540" xr:uid="{00000000-0005-0000-0000-0000D48A0000}"/>
    <cellStyle name="Normal 5 17 2 28 3 10" xfId="35541" xr:uid="{00000000-0005-0000-0000-0000D58A0000}"/>
    <cellStyle name="Normal 5 17 2 28 3 2" xfId="35542" xr:uid="{00000000-0005-0000-0000-0000D68A0000}"/>
    <cellStyle name="Normal 5 17 2 28 3 3" xfId="35543" xr:uid="{00000000-0005-0000-0000-0000D78A0000}"/>
    <cellStyle name="Normal 5 17 2 28 3 4" xfId="35544" xr:uid="{00000000-0005-0000-0000-0000D88A0000}"/>
    <cellStyle name="Normal 5 17 2 28 3 5" xfId="35545" xr:uid="{00000000-0005-0000-0000-0000D98A0000}"/>
    <cellStyle name="Normal 5 17 2 28 3 6" xfId="35546" xr:uid="{00000000-0005-0000-0000-0000DA8A0000}"/>
    <cellStyle name="Normal 5 17 2 28 3 7" xfId="35547" xr:uid="{00000000-0005-0000-0000-0000DB8A0000}"/>
    <cellStyle name="Normal 5 17 2 28 3 8" xfId="35548" xr:uid="{00000000-0005-0000-0000-0000DC8A0000}"/>
    <cellStyle name="Normal 5 17 2 28 3 9" xfId="35549" xr:uid="{00000000-0005-0000-0000-0000DD8A0000}"/>
    <cellStyle name="Normal 5 17 2 28 4" xfId="35550" xr:uid="{00000000-0005-0000-0000-0000DE8A0000}"/>
    <cellStyle name="Normal 5 17 2 28 4 10" xfId="35551" xr:uid="{00000000-0005-0000-0000-0000DF8A0000}"/>
    <cellStyle name="Normal 5 17 2 28 4 2" xfId="35552" xr:uid="{00000000-0005-0000-0000-0000E08A0000}"/>
    <cellStyle name="Normal 5 17 2 28 4 3" xfId="35553" xr:uid="{00000000-0005-0000-0000-0000E18A0000}"/>
    <cellStyle name="Normal 5 17 2 28 4 4" xfId="35554" xr:uid="{00000000-0005-0000-0000-0000E28A0000}"/>
    <cellStyle name="Normal 5 17 2 28 4 5" xfId="35555" xr:uid="{00000000-0005-0000-0000-0000E38A0000}"/>
    <cellStyle name="Normal 5 17 2 28 4 6" xfId="35556" xr:uid="{00000000-0005-0000-0000-0000E48A0000}"/>
    <cellStyle name="Normal 5 17 2 28 4 7" xfId="35557" xr:uid="{00000000-0005-0000-0000-0000E58A0000}"/>
    <cellStyle name="Normal 5 17 2 28 4 8" xfId="35558" xr:uid="{00000000-0005-0000-0000-0000E68A0000}"/>
    <cellStyle name="Normal 5 17 2 28 4 9" xfId="35559" xr:uid="{00000000-0005-0000-0000-0000E78A0000}"/>
    <cellStyle name="Normal 5 17 2 28 5" xfId="35560" xr:uid="{00000000-0005-0000-0000-0000E88A0000}"/>
    <cellStyle name="Normal 5 17 2 28 5 10" xfId="35561" xr:uid="{00000000-0005-0000-0000-0000E98A0000}"/>
    <cellStyle name="Normal 5 17 2 28 5 2" xfId="35562" xr:uid="{00000000-0005-0000-0000-0000EA8A0000}"/>
    <cellStyle name="Normal 5 17 2 28 5 3" xfId="35563" xr:uid="{00000000-0005-0000-0000-0000EB8A0000}"/>
    <cellStyle name="Normal 5 17 2 28 5 4" xfId="35564" xr:uid="{00000000-0005-0000-0000-0000EC8A0000}"/>
    <cellStyle name="Normal 5 17 2 28 5 5" xfId="35565" xr:uid="{00000000-0005-0000-0000-0000ED8A0000}"/>
    <cellStyle name="Normal 5 17 2 28 5 6" xfId="35566" xr:uid="{00000000-0005-0000-0000-0000EE8A0000}"/>
    <cellStyle name="Normal 5 17 2 28 5 7" xfId="35567" xr:uid="{00000000-0005-0000-0000-0000EF8A0000}"/>
    <cellStyle name="Normal 5 17 2 28 5 8" xfId="35568" xr:uid="{00000000-0005-0000-0000-0000F08A0000}"/>
    <cellStyle name="Normal 5 17 2 28 5 9" xfId="35569" xr:uid="{00000000-0005-0000-0000-0000F18A0000}"/>
    <cellStyle name="Normal 5 17 2 28 6" xfId="35570" xr:uid="{00000000-0005-0000-0000-0000F28A0000}"/>
    <cellStyle name="Normal 5 17 2 28 7" xfId="35571" xr:uid="{00000000-0005-0000-0000-0000F38A0000}"/>
    <cellStyle name="Normal 5 17 2 28 8" xfId="35572" xr:uid="{00000000-0005-0000-0000-0000F48A0000}"/>
    <cellStyle name="Normal 5 17 2 28 9" xfId="35573" xr:uid="{00000000-0005-0000-0000-0000F58A0000}"/>
    <cellStyle name="Normal 5 17 2 29" xfId="35574" xr:uid="{00000000-0005-0000-0000-0000F68A0000}"/>
    <cellStyle name="Normal 5 17 2 29 10" xfId="35575" xr:uid="{00000000-0005-0000-0000-0000F78A0000}"/>
    <cellStyle name="Normal 5 17 2 29 11" xfId="35576" xr:uid="{00000000-0005-0000-0000-0000F88A0000}"/>
    <cellStyle name="Normal 5 17 2 29 12" xfId="35577" xr:uid="{00000000-0005-0000-0000-0000F98A0000}"/>
    <cellStyle name="Normal 5 17 2 29 13" xfId="35578" xr:uid="{00000000-0005-0000-0000-0000FA8A0000}"/>
    <cellStyle name="Normal 5 17 2 29 14" xfId="35579" xr:uid="{00000000-0005-0000-0000-0000FB8A0000}"/>
    <cellStyle name="Normal 5 17 2 29 2" xfId="35580" xr:uid="{00000000-0005-0000-0000-0000FC8A0000}"/>
    <cellStyle name="Normal 5 17 2 29 2 10" xfId="35581" xr:uid="{00000000-0005-0000-0000-0000FD8A0000}"/>
    <cellStyle name="Normal 5 17 2 29 2 2" xfId="35582" xr:uid="{00000000-0005-0000-0000-0000FE8A0000}"/>
    <cellStyle name="Normal 5 17 2 29 2 3" xfId="35583" xr:uid="{00000000-0005-0000-0000-0000FF8A0000}"/>
    <cellStyle name="Normal 5 17 2 29 2 4" xfId="35584" xr:uid="{00000000-0005-0000-0000-0000008B0000}"/>
    <cellStyle name="Normal 5 17 2 29 2 5" xfId="35585" xr:uid="{00000000-0005-0000-0000-0000018B0000}"/>
    <cellStyle name="Normal 5 17 2 29 2 6" xfId="35586" xr:uid="{00000000-0005-0000-0000-0000028B0000}"/>
    <cellStyle name="Normal 5 17 2 29 2 7" xfId="35587" xr:uid="{00000000-0005-0000-0000-0000038B0000}"/>
    <cellStyle name="Normal 5 17 2 29 2 8" xfId="35588" xr:uid="{00000000-0005-0000-0000-0000048B0000}"/>
    <cellStyle name="Normal 5 17 2 29 2 9" xfId="35589" xr:uid="{00000000-0005-0000-0000-0000058B0000}"/>
    <cellStyle name="Normal 5 17 2 29 3" xfId="35590" xr:uid="{00000000-0005-0000-0000-0000068B0000}"/>
    <cellStyle name="Normal 5 17 2 29 3 10" xfId="35591" xr:uid="{00000000-0005-0000-0000-0000078B0000}"/>
    <cellStyle name="Normal 5 17 2 29 3 2" xfId="35592" xr:uid="{00000000-0005-0000-0000-0000088B0000}"/>
    <cellStyle name="Normal 5 17 2 29 3 3" xfId="35593" xr:uid="{00000000-0005-0000-0000-0000098B0000}"/>
    <cellStyle name="Normal 5 17 2 29 3 4" xfId="35594" xr:uid="{00000000-0005-0000-0000-00000A8B0000}"/>
    <cellStyle name="Normal 5 17 2 29 3 5" xfId="35595" xr:uid="{00000000-0005-0000-0000-00000B8B0000}"/>
    <cellStyle name="Normal 5 17 2 29 3 6" xfId="35596" xr:uid="{00000000-0005-0000-0000-00000C8B0000}"/>
    <cellStyle name="Normal 5 17 2 29 3 7" xfId="35597" xr:uid="{00000000-0005-0000-0000-00000D8B0000}"/>
    <cellStyle name="Normal 5 17 2 29 3 8" xfId="35598" xr:uid="{00000000-0005-0000-0000-00000E8B0000}"/>
    <cellStyle name="Normal 5 17 2 29 3 9" xfId="35599" xr:uid="{00000000-0005-0000-0000-00000F8B0000}"/>
    <cellStyle name="Normal 5 17 2 29 4" xfId="35600" xr:uid="{00000000-0005-0000-0000-0000108B0000}"/>
    <cellStyle name="Normal 5 17 2 29 4 10" xfId="35601" xr:uid="{00000000-0005-0000-0000-0000118B0000}"/>
    <cellStyle name="Normal 5 17 2 29 4 2" xfId="35602" xr:uid="{00000000-0005-0000-0000-0000128B0000}"/>
    <cellStyle name="Normal 5 17 2 29 4 3" xfId="35603" xr:uid="{00000000-0005-0000-0000-0000138B0000}"/>
    <cellStyle name="Normal 5 17 2 29 4 4" xfId="35604" xr:uid="{00000000-0005-0000-0000-0000148B0000}"/>
    <cellStyle name="Normal 5 17 2 29 4 5" xfId="35605" xr:uid="{00000000-0005-0000-0000-0000158B0000}"/>
    <cellStyle name="Normal 5 17 2 29 4 6" xfId="35606" xr:uid="{00000000-0005-0000-0000-0000168B0000}"/>
    <cellStyle name="Normal 5 17 2 29 4 7" xfId="35607" xr:uid="{00000000-0005-0000-0000-0000178B0000}"/>
    <cellStyle name="Normal 5 17 2 29 4 8" xfId="35608" xr:uid="{00000000-0005-0000-0000-0000188B0000}"/>
    <cellStyle name="Normal 5 17 2 29 4 9" xfId="35609" xr:uid="{00000000-0005-0000-0000-0000198B0000}"/>
    <cellStyle name="Normal 5 17 2 29 5" xfId="35610" xr:uid="{00000000-0005-0000-0000-00001A8B0000}"/>
    <cellStyle name="Normal 5 17 2 29 5 10" xfId="35611" xr:uid="{00000000-0005-0000-0000-00001B8B0000}"/>
    <cellStyle name="Normal 5 17 2 29 5 2" xfId="35612" xr:uid="{00000000-0005-0000-0000-00001C8B0000}"/>
    <cellStyle name="Normal 5 17 2 29 5 3" xfId="35613" xr:uid="{00000000-0005-0000-0000-00001D8B0000}"/>
    <cellStyle name="Normal 5 17 2 29 5 4" xfId="35614" xr:uid="{00000000-0005-0000-0000-00001E8B0000}"/>
    <cellStyle name="Normal 5 17 2 29 5 5" xfId="35615" xr:uid="{00000000-0005-0000-0000-00001F8B0000}"/>
    <cellStyle name="Normal 5 17 2 29 5 6" xfId="35616" xr:uid="{00000000-0005-0000-0000-0000208B0000}"/>
    <cellStyle name="Normal 5 17 2 29 5 7" xfId="35617" xr:uid="{00000000-0005-0000-0000-0000218B0000}"/>
    <cellStyle name="Normal 5 17 2 29 5 8" xfId="35618" xr:uid="{00000000-0005-0000-0000-0000228B0000}"/>
    <cellStyle name="Normal 5 17 2 29 5 9" xfId="35619" xr:uid="{00000000-0005-0000-0000-0000238B0000}"/>
    <cellStyle name="Normal 5 17 2 29 6" xfId="35620" xr:uid="{00000000-0005-0000-0000-0000248B0000}"/>
    <cellStyle name="Normal 5 17 2 29 7" xfId="35621" xr:uid="{00000000-0005-0000-0000-0000258B0000}"/>
    <cellStyle name="Normal 5 17 2 29 8" xfId="35622" xr:uid="{00000000-0005-0000-0000-0000268B0000}"/>
    <cellStyle name="Normal 5 17 2 29 9" xfId="35623" xr:uid="{00000000-0005-0000-0000-0000278B0000}"/>
    <cellStyle name="Normal 5 17 2 3" xfId="35624" xr:uid="{00000000-0005-0000-0000-0000288B0000}"/>
    <cellStyle name="Normal 5 17 2 3 10" xfId="35625" xr:uid="{00000000-0005-0000-0000-0000298B0000}"/>
    <cellStyle name="Normal 5 17 2 3 11" xfId="35626" xr:uid="{00000000-0005-0000-0000-00002A8B0000}"/>
    <cellStyle name="Normal 5 17 2 3 12" xfId="35627" xr:uid="{00000000-0005-0000-0000-00002B8B0000}"/>
    <cellStyle name="Normal 5 17 2 3 13" xfId="35628" xr:uid="{00000000-0005-0000-0000-00002C8B0000}"/>
    <cellStyle name="Normal 5 17 2 3 14" xfId="35629" xr:uid="{00000000-0005-0000-0000-00002D8B0000}"/>
    <cellStyle name="Normal 5 17 2 3 2" xfId="35630" xr:uid="{00000000-0005-0000-0000-00002E8B0000}"/>
    <cellStyle name="Normal 5 17 2 3 2 10" xfId="35631" xr:uid="{00000000-0005-0000-0000-00002F8B0000}"/>
    <cellStyle name="Normal 5 17 2 3 2 2" xfId="35632" xr:uid="{00000000-0005-0000-0000-0000308B0000}"/>
    <cellStyle name="Normal 5 17 2 3 2 3" xfId="35633" xr:uid="{00000000-0005-0000-0000-0000318B0000}"/>
    <cellStyle name="Normal 5 17 2 3 2 4" xfId="35634" xr:uid="{00000000-0005-0000-0000-0000328B0000}"/>
    <cellStyle name="Normal 5 17 2 3 2 5" xfId="35635" xr:uid="{00000000-0005-0000-0000-0000338B0000}"/>
    <cellStyle name="Normal 5 17 2 3 2 6" xfId="35636" xr:uid="{00000000-0005-0000-0000-0000348B0000}"/>
    <cellStyle name="Normal 5 17 2 3 2 7" xfId="35637" xr:uid="{00000000-0005-0000-0000-0000358B0000}"/>
    <cellStyle name="Normal 5 17 2 3 2 8" xfId="35638" xr:uid="{00000000-0005-0000-0000-0000368B0000}"/>
    <cellStyle name="Normal 5 17 2 3 2 9" xfId="35639" xr:uid="{00000000-0005-0000-0000-0000378B0000}"/>
    <cellStyle name="Normal 5 17 2 3 3" xfId="35640" xr:uid="{00000000-0005-0000-0000-0000388B0000}"/>
    <cellStyle name="Normal 5 17 2 3 3 10" xfId="35641" xr:uid="{00000000-0005-0000-0000-0000398B0000}"/>
    <cellStyle name="Normal 5 17 2 3 3 2" xfId="35642" xr:uid="{00000000-0005-0000-0000-00003A8B0000}"/>
    <cellStyle name="Normal 5 17 2 3 3 3" xfId="35643" xr:uid="{00000000-0005-0000-0000-00003B8B0000}"/>
    <cellStyle name="Normal 5 17 2 3 3 4" xfId="35644" xr:uid="{00000000-0005-0000-0000-00003C8B0000}"/>
    <cellStyle name="Normal 5 17 2 3 3 5" xfId="35645" xr:uid="{00000000-0005-0000-0000-00003D8B0000}"/>
    <cellStyle name="Normal 5 17 2 3 3 6" xfId="35646" xr:uid="{00000000-0005-0000-0000-00003E8B0000}"/>
    <cellStyle name="Normal 5 17 2 3 3 7" xfId="35647" xr:uid="{00000000-0005-0000-0000-00003F8B0000}"/>
    <cellStyle name="Normal 5 17 2 3 3 8" xfId="35648" xr:uid="{00000000-0005-0000-0000-0000408B0000}"/>
    <cellStyle name="Normal 5 17 2 3 3 9" xfId="35649" xr:uid="{00000000-0005-0000-0000-0000418B0000}"/>
    <cellStyle name="Normal 5 17 2 3 4" xfId="35650" xr:uid="{00000000-0005-0000-0000-0000428B0000}"/>
    <cellStyle name="Normal 5 17 2 3 4 10" xfId="35651" xr:uid="{00000000-0005-0000-0000-0000438B0000}"/>
    <cellStyle name="Normal 5 17 2 3 4 2" xfId="35652" xr:uid="{00000000-0005-0000-0000-0000448B0000}"/>
    <cellStyle name="Normal 5 17 2 3 4 3" xfId="35653" xr:uid="{00000000-0005-0000-0000-0000458B0000}"/>
    <cellStyle name="Normal 5 17 2 3 4 4" xfId="35654" xr:uid="{00000000-0005-0000-0000-0000468B0000}"/>
    <cellStyle name="Normal 5 17 2 3 4 5" xfId="35655" xr:uid="{00000000-0005-0000-0000-0000478B0000}"/>
    <cellStyle name="Normal 5 17 2 3 4 6" xfId="35656" xr:uid="{00000000-0005-0000-0000-0000488B0000}"/>
    <cellStyle name="Normal 5 17 2 3 4 7" xfId="35657" xr:uid="{00000000-0005-0000-0000-0000498B0000}"/>
    <cellStyle name="Normal 5 17 2 3 4 8" xfId="35658" xr:uid="{00000000-0005-0000-0000-00004A8B0000}"/>
    <cellStyle name="Normal 5 17 2 3 4 9" xfId="35659" xr:uid="{00000000-0005-0000-0000-00004B8B0000}"/>
    <cellStyle name="Normal 5 17 2 3 5" xfId="35660" xr:uid="{00000000-0005-0000-0000-00004C8B0000}"/>
    <cellStyle name="Normal 5 17 2 3 5 10" xfId="35661" xr:uid="{00000000-0005-0000-0000-00004D8B0000}"/>
    <cellStyle name="Normal 5 17 2 3 5 2" xfId="35662" xr:uid="{00000000-0005-0000-0000-00004E8B0000}"/>
    <cellStyle name="Normal 5 17 2 3 5 3" xfId="35663" xr:uid="{00000000-0005-0000-0000-00004F8B0000}"/>
    <cellStyle name="Normal 5 17 2 3 5 4" xfId="35664" xr:uid="{00000000-0005-0000-0000-0000508B0000}"/>
    <cellStyle name="Normal 5 17 2 3 5 5" xfId="35665" xr:uid="{00000000-0005-0000-0000-0000518B0000}"/>
    <cellStyle name="Normal 5 17 2 3 5 6" xfId="35666" xr:uid="{00000000-0005-0000-0000-0000528B0000}"/>
    <cellStyle name="Normal 5 17 2 3 5 7" xfId="35667" xr:uid="{00000000-0005-0000-0000-0000538B0000}"/>
    <cellStyle name="Normal 5 17 2 3 5 8" xfId="35668" xr:uid="{00000000-0005-0000-0000-0000548B0000}"/>
    <cellStyle name="Normal 5 17 2 3 5 9" xfId="35669" xr:uid="{00000000-0005-0000-0000-0000558B0000}"/>
    <cellStyle name="Normal 5 17 2 3 6" xfId="35670" xr:uid="{00000000-0005-0000-0000-0000568B0000}"/>
    <cellStyle name="Normal 5 17 2 3 7" xfId="35671" xr:uid="{00000000-0005-0000-0000-0000578B0000}"/>
    <cellStyle name="Normal 5 17 2 3 8" xfId="35672" xr:uid="{00000000-0005-0000-0000-0000588B0000}"/>
    <cellStyle name="Normal 5 17 2 3 9" xfId="35673" xr:uid="{00000000-0005-0000-0000-0000598B0000}"/>
    <cellStyle name="Normal 5 17 2 30" xfId="35674" xr:uid="{00000000-0005-0000-0000-00005A8B0000}"/>
    <cellStyle name="Normal 5 17 2 30 10" xfId="35675" xr:uid="{00000000-0005-0000-0000-00005B8B0000}"/>
    <cellStyle name="Normal 5 17 2 30 11" xfId="35676" xr:uid="{00000000-0005-0000-0000-00005C8B0000}"/>
    <cellStyle name="Normal 5 17 2 30 12" xfId="35677" xr:uid="{00000000-0005-0000-0000-00005D8B0000}"/>
    <cellStyle name="Normal 5 17 2 30 13" xfId="35678" xr:uid="{00000000-0005-0000-0000-00005E8B0000}"/>
    <cellStyle name="Normal 5 17 2 30 14" xfId="35679" xr:uid="{00000000-0005-0000-0000-00005F8B0000}"/>
    <cellStyle name="Normal 5 17 2 30 2" xfId="35680" xr:uid="{00000000-0005-0000-0000-0000608B0000}"/>
    <cellStyle name="Normal 5 17 2 30 2 10" xfId="35681" xr:uid="{00000000-0005-0000-0000-0000618B0000}"/>
    <cellStyle name="Normal 5 17 2 30 2 2" xfId="35682" xr:uid="{00000000-0005-0000-0000-0000628B0000}"/>
    <cellStyle name="Normal 5 17 2 30 2 3" xfId="35683" xr:uid="{00000000-0005-0000-0000-0000638B0000}"/>
    <cellStyle name="Normal 5 17 2 30 2 4" xfId="35684" xr:uid="{00000000-0005-0000-0000-0000648B0000}"/>
    <cellStyle name="Normal 5 17 2 30 2 5" xfId="35685" xr:uid="{00000000-0005-0000-0000-0000658B0000}"/>
    <cellStyle name="Normal 5 17 2 30 2 6" xfId="35686" xr:uid="{00000000-0005-0000-0000-0000668B0000}"/>
    <cellStyle name="Normal 5 17 2 30 2 7" xfId="35687" xr:uid="{00000000-0005-0000-0000-0000678B0000}"/>
    <cellStyle name="Normal 5 17 2 30 2 8" xfId="35688" xr:uid="{00000000-0005-0000-0000-0000688B0000}"/>
    <cellStyle name="Normal 5 17 2 30 2 9" xfId="35689" xr:uid="{00000000-0005-0000-0000-0000698B0000}"/>
    <cellStyle name="Normal 5 17 2 30 3" xfId="35690" xr:uid="{00000000-0005-0000-0000-00006A8B0000}"/>
    <cellStyle name="Normal 5 17 2 30 3 10" xfId="35691" xr:uid="{00000000-0005-0000-0000-00006B8B0000}"/>
    <cellStyle name="Normal 5 17 2 30 3 2" xfId="35692" xr:uid="{00000000-0005-0000-0000-00006C8B0000}"/>
    <cellStyle name="Normal 5 17 2 30 3 3" xfId="35693" xr:uid="{00000000-0005-0000-0000-00006D8B0000}"/>
    <cellStyle name="Normal 5 17 2 30 3 4" xfId="35694" xr:uid="{00000000-0005-0000-0000-00006E8B0000}"/>
    <cellStyle name="Normal 5 17 2 30 3 5" xfId="35695" xr:uid="{00000000-0005-0000-0000-00006F8B0000}"/>
    <cellStyle name="Normal 5 17 2 30 3 6" xfId="35696" xr:uid="{00000000-0005-0000-0000-0000708B0000}"/>
    <cellStyle name="Normal 5 17 2 30 3 7" xfId="35697" xr:uid="{00000000-0005-0000-0000-0000718B0000}"/>
    <cellStyle name="Normal 5 17 2 30 3 8" xfId="35698" xr:uid="{00000000-0005-0000-0000-0000728B0000}"/>
    <cellStyle name="Normal 5 17 2 30 3 9" xfId="35699" xr:uid="{00000000-0005-0000-0000-0000738B0000}"/>
    <cellStyle name="Normal 5 17 2 30 4" xfId="35700" xr:uid="{00000000-0005-0000-0000-0000748B0000}"/>
    <cellStyle name="Normal 5 17 2 30 4 10" xfId="35701" xr:uid="{00000000-0005-0000-0000-0000758B0000}"/>
    <cellStyle name="Normal 5 17 2 30 4 2" xfId="35702" xr:uid="{00000000-0005-0000-0000-0000768B0000}"/>
    <cellStyle name="Normal 5 17 2 30 4 3" xfId="35703" xr:uid="{00000000-0005-0000-0000-0000778B0000}"/>
    <cellStyle name="Normal 5 17 2 30 4 4" xfId="35704" xr:uid="{00000000-0005-0000-0000-0000788B0000}"/>
    <cellStyle name="Normal 5 17 2 30 4 5" xfId="35705" xr:uid="{00000000-0005-0000-0000-0000798B0000}"/>
    <cellStyle name="Normal 5 17 2 30 4 6" xfId="35706" xr:uid="{00000000-0005-0000-0000-00007A8B0000}"/>
    <cellStyle name="Normal 5 17 2 30 4 7" xfId="35707" xr:uid="{00000000-0005-0000-0000-00007B8B0000}"/>
    <cellStyle name="Normal 5 17 2 30 4 8" xfId="35708" xr:uid="{00000000-0005-0000-0000-00007C8B0000}"/>
    <cellStyle name="Normal 5 17 2 30 4 9" xfId="35709" xr:uid="{00000000-0005-0000-0000-00007D8B0000}"/>
    <cellStyle name="Normal 5 17 2 30 5" xfId="35710" xr:uid="{00000000-0005-0000-0000-00007E8B0000}"/>
    <cellStyle name="Normal 5 17 2 30 5 10" xfId="35711" xr:uid="{00000000-0005-0000-0000-00007F8B0000}"/>
    <cellStyle name="Normal 5 17 2 30 5 2" xfId="35712" xr:uid="{00000000-0005-0000-0000-0000808B0000}"/>
    <cellStyle name="Normal 5 17 2 30 5 3" xfId="35713" xr:uid="{00000000-0005-0000-0000-0000818B0000}"/>
    <cellStyle name="Normal 5 17 2 30 5 4" xfId="35714" xr:uid="{00000000-0005-0000-0000-0000828B0000}"/>
    <cellStyle name="Normal 5 17 2 30 5 5" xfId="35715" xr:uid="{00000000-0005-0000-0000-0000838B0000}"/>
    <cellStyle name="Normal 5 17 2 30 5 6" xfId="35716" xr:uid="{00000000-0005-0000-0000-0000848B0000}"/>
    <cellStyle name="Normal 5 17 2 30 5 7" xfId="35717" xr:uid="{00000000-0005-0000-0000-0000858B0000}"/>
    <cellStyle name="Normal 5 17 2 30 5 8" xfId="35718" xr:uid="{00000000-0005-0000-0000-0000868B0000}"/>
    <cellStyle name="Normal 5 17 2 30 5 9" xfId="35719" xr:uid="{00000000-0005-0000-0000-0000878B0000}"/>
    <cellStyle name="Normal 5 17 2 30 6" xfId="35720" xr:uid="{00000000-0005-0000-0000-0000888B0000}"/>
    <cellStyle name="Normal 5 17 2 30 7" xfId="35721" xr:uid="{00000000-0005-0000-0000-0000898B0000}"/>
    <cellStyle name="Normal 5 17 2 30 8" xfId="35722" xr:uid="{00000000-0005-0000-0000-00008A8B0000}"/>
    <cellStyle name="Normal 5 17 2 30 9" xfId="35723" xr:uid="{00000000-0005-0000-0000-00008B8B0000}"/>
    <cellStyle name="Normal 5 17 2 31" xfId="35724" xr:uid="{00000000-0005-0000-0000-00008C8B0000}"/>
    <cellStyle name="Normal 5 17 2 31 10" xfId="35725" xr:uid="{00000000-0005-0000-0000-00008D8B0000}"/>
    <cellStyle name="Normal 5 17 2 31 11" xfId="35726" xr:uid="{00000000-0005-0000-0000-00008E8B0000}"/>
    <cellStyle name="Normal 5 17 2 31 12" xfId="35727" xr:uid="{00000000-0005-0000-0000-00008F8B0000}"/>
    <cellStyle name="Normal 5 17 2 31 13" xfId="35728" xr:uid="{00000000-0005-0000-0000-0000908B0000}"/>
    <cellStyle name="Normal 5 17 2 31 14" xfId="35729" xr:uid="{00000000-0005-0000-0000-0000918B0000}"/>
    <cellStyle name="Normal 5 17 2 31 2" xfId="35730" xr:uid="{00000000-0005-0000-0000-0000928B0000}"/>
    <cellStyle name="Normal 5 17 2 31 2 10" xfId="35731" xr:uid="{00000000-0005-0000-0000-0000938B0000}"/>
    <cellStyle name="Normal 5 17 2 31 2 2" xfId="35732" xr:uid="{00000000-0005-0000-0000-0000948B0000}"/>
    <cellStyle name="Normal 5 17 2 31 2 3" xfId="35733" xr:uid="{00000000-0005-0000-0000-0000958B0000}"/>
    <cellStyle name="Normal 5 17 2 31 2 4" xfId="35734" xr:uid="{00000000-0005-0000-0000-0000968B0000}"/>
    <cellStyle name="Normal 5 17 2 31 2 5" xfId="35735" xr:uid="{00000000-0005-0000-0000-0000978B0000}"/>
    <cellStyle name="Normal 5 17 2 31 2 6" xfId="35736" xr:uid="{00000000-0005-0000-0000-0000988B0000}"/>
    <cellStyle name="Normal 5 17 2 31 2 7" xfId="35737" xr:uid="{00000000-0005-0000-0000-0000998B0000}"/>
    <cellStyle name="Normal 5 17 2 31 2 8" xfId="35738" xr:uid="{00000000-0005-0000-0000-00009A8B0000}"/>
    <cellStyle name="Normal 5 17 2 31 2 9" xfId="35739" xr:uid="{00000000-0005-0000-0000-00009B8B0000}"/>
    <cellStyle name="Normal 5 17 2 31 3" xfId="35740" xr:uid="{00000000-0005-0000-0000-00009C8B0000}"/>
    <cellStyle name="Normal 5 17 2 31 3 10" xfId="35741" xr:uid="{00000000-0005-0000-0000-00009D8B0000}"/>
    <cellStyle name="Normal 5 17 2 31 3 2" xfId="35742" xr:uid="{00000000-0005-0000-0000-00009E8B0000}"/>
    <cellStyle name="Normal 5 17 2 31 3 3" xfId="35743" xr:uid="{00000000-0005-0000-0000-00009F8B0000}"/>
    <cellStyle name="Normal 5 17 2 31 3 4" xfId="35744" xr:uid="{00000000-0005-0000-0000-0000A08B0000}"/>
    <cellStyle name="Normal 5 17 2 31 3 5" xfId="35745" xr:uid="{00000000-0005-0000-0000-0000A18B0000}"/>
    <cellStyle name="Normal 5 17 2 31 3 6" xfId="35746" xr:uid="{00000000-0005-0000-0000-0000A28B0000}"/>
    <cellStyle name="Normal 5 17 2 31 3 7" xfId="35747" xr:uid="{00000000-0005-0000-0000-0000A38B0000}"/>
    <cellStyle name="Normal 5 17 2 31 3 8" xfId="35748" xr:uid="{00000000-0005-0000-0000-0000A48B0000}"/>
    <cellStyle name="Normal 5 17 2 31 3 9" xfId="35749" xr:uid="{00000000-0005-0000-0000-0000A58B0000}"/>
    <cellStyle name="Normal 5 17 2 31 4" xfId="35750" xr:uid="{00000000-0005-0000-0000-0000A68B0000}"/>
    <cellStyle name="Normal 5 17 2 31 4 10" xfId="35751" xr:uid="{00000000-0005-0000-0000-0000A78B0000}"/>
    <cellStyle name="Normal 5 17 2 31 4 2" xfId="35752" xr:uid="{00000000-0005-0000-0000-0000A88B0000}"/>
    <cellStyle name="Normal 5 17 2 31 4 3" xfId="35753" xr:uid="{00000000-0005-0000-0000-0000A98B0000}"/>
    <cellStyle name="Normal 5 17 2 31 4 4" xfId="35754" xr:uid="{00000000-0005-0000-0000-0000AA8B0000}"/>
    <cellStyle name="Normal 5 17 2 31 4 5" xfId="35755" xr:uid="{00000000-0005-0000-0000-0000AB8B0000}"/>
    <cellStyle name="Normal 5 17 2 31 4 6" xfId="35756" xr:uid="{00000000-0005-0000-0000-0000AC8B0000}"/>
    <cellStyle name="Normal 5 17 2 31 4 7" xfId="35757" xr:uid="{00000000-0005-0000-0000-0000AD8B0000}"/>
    <cellStyle name="Normal 5 17 2 31 4 8" xfId="35758" xr:uid="{00000000-0005-0000-0000-0000AE8B0000}"/>
    <cellStyle name="Normal 5 17 2 31 4 9" xfId="35759" xr:uid="{00000000-0005-0000-0000-0000AF8B0000}"/>
    <cellStyle name="Normal 5 17 2 31 5" xfId="35760" xr:uid="{00000000-0005-0000-0000-0000B08B0000}"/>
    <cellStyle name="Normal 5 17 2 31 5 10" xfId="35761" xr:uid="{00000000-0005-0000-0000-0000B18B0000}"/>
    <cellStyle name="Normal 5 17 2 31 5 2" xfId="35762" xr:uid="{00000000-0005-0000-0000-0000B28B0000}"/>
    <cellStyle name="Normal 5 17 2 31 5 3" xfId="35763" xr:uid="{00000000-0005-0000-0000-0000B38B0000}"/>
    <cellStyle name="Normal 5 17 2 31 5 4" xfId="35764" xr:uid="{00000000-0005-0000-0000-0000B48B0000}"/>
    <cellStyle name="Normal 5 17 2 31 5 5" xfId="35765" xr:uid="{00000000-0005-0000-0000-0000B58B0000}"/>
    <cellStyle name="Normal 5 17 2 31 5 6" xfId="35766" xr:uid="{00000000-0005-0000-0000-0000B68B0000}"/>
    <cellStyle name="Normal 5 17 2 31 5 7" xfId="35767" xr:uid="{00000000-0005-0000-0000-0000B78B0000}"/>
    <cellStyle name="Normal 5 17 2 31 5 8" xfId="35768" xr:uid="{00000000-0005-0000-0000-0000B88B0000}"/>
    <cellStyle name="Normal 5 17 2 31 5 9" xfId="35769" xr:uid="{00000000-0005-0000-0000-0000B98B0000}"/>
    <cellStyle name="Normal 5 17 2 31 6" xfId="35770" xr:uid="{00000000-0005-0000-0000-0000BA8B0000}"/>
    <cellStyle name="Normal 5 17 2 31 7" xfId="35771" xr:uid="{00000000-0005-0000-0000-0000BB8B0000}"/>
    <cellStyle name="Normal 5 17 2 31 8" xfId="35772" xr:uid="{00000000-0005-0000-0000-0000BC8B0000}"/>
    <cellStyle name="Normal 5 17 2 31 9" xfId="35773" xr:uid="{00000000-0005-0000-0000-0000BD8B0000}"/>
    <cellStyle name="Normal 5 17 2 32" xfId="35774" xr:uid="{00000000-0005-0000-0000-0000BE8B0000}"/>
    <cellStyle name="Normal 5 17 2 32 10" xfId="35775" xr:uid="{00000000-0005-0000-0000-0000BF8B0000}"/>
    <cellStyle name="Normal 5 17 2 32 11" xfId="35776" xr:uid="{00000000-0005-0000-0000-0000C08B0000}"/>
    <cellStyle name="Normal 5 17 2 32 12" xfId="35777" xr:uid="{00000000-0005-0000-0000-0000C18B0000}"/>
    <cellStyle name="Normal 5 17 2 32 13" xfId="35778" xr:uid="{00000000-0005-0000-0000-0000C28B0000}"/>
    <cellStyle name="Normal 5 17 2 32 14" xfId="35779" xr:uid="{00000000-0005-0000-0000-0000C38B0000}"/>
    <cellStyle name="Normal 5 17 2 32 2" xfId="35780" xr:uid="{00000000-0005-0000-0000-0000C48B0000}"/>
    <cellStyle name="Normal 5 17 2 32 2 10" xfId="35781" xr:uid="{00000000-0005-0000-0000-0000C58B0000}"/>
    <cellStyle name="Normal 5 17 2 32 2 2" xfId="35782" xr:uid="{00000000-0005-0000-0000-0000C68B0000}"/>
    <cellStyle name="Normal 5 17 2 32 2 3" xfId="35783" xr:uid="{00000000-0005-0000-0000-0000C78B0000}"/>
    <cellStyle name="Normal 5 17 2 32 2 4" xfId="35784" xr:uid="{00000000-0005-0000-0000-0000C88B0000}"/>
    <cellStyle name="Normal 5 17 2 32 2 5" xfId="35785" xr:uid="{00000000-0005-0000-0000-0000C98B0000}"/>
    <cellStyle name="Normal 5 17 2 32 2 6" xfId="35786" xr:uid="{00000000-0005-0000-0000-0000CA8B0000}"/>
    <cellStyle name="Normal 5 17 2 32 2 7" xfId="35787" xr:uid="{00000000-0005-0000-0000-0000CB8B0000}"/>
    <cellStyle name="Normal 5 17 2 32 2 8" xfId="35788" xr:uid="{00000000-0005-0000-0000-0000CC8B0000}"/>
    <cellStyle name="Normal 5 17 2 32 2 9" xfId="35789" xr:uid="{00000000-0005-0000-0000-0000CD8B0000}"/>
    <cellStyle name="Normal 5 17 2 32 3" xfId="35790" xr:uid="{00000000-0005-0000-0000-0000CE8B0000}"/>
    <cellStyle name="Normal 5 17 2 32 3 10" xfId="35791" xr:uid="{00000000-0005-0000-0000-0000CF8B0000}"/>
    <cellStyle name="Normal 5 17 2 32 3 2" xfId="35792" xr:uid="{00000000-0005-0000-0000-0000D08B0000}"/>
    <cellStyle name="Normal 5 17 2 32 3 3" xfId="35793" xr:uid="{00000000-0005-0000-0000-0000D18B0000}"/>
    <cellStyle name="Normal 5 17 2 32 3 4" xfId="35794" xr:uid="{00000000-0005-0000-0000-0000D28B0000}"/>
    <cellStyle name="Normal 5 17 2 32 3 5" xfId="35795" xr:uid="{00000000-0005-0000-0000-0000D38B0000}"/>
    <cellStyle name="Normal 5 17 2 32 3 6" xfId="35796" xr:uid="{00000000-0005-0000-0000-0000D48B0000}"/>
    <cellStyle name="Normal 5 17 2 32 3 7" xfId="35797" xr:uid="{00000000-0005-0000-0000-0000D58B0000}"/>
    <cellStyle name="Normal 5 17 2 32 3 8" xfId="35798" xr:uid="{00000000-0005-0000-0000-0000D68B0000}"/>
    <cellStyle name="Normal 5 17 2 32 3 9" xfId="35799" xr:uid="{00000000-0005-0000-0000-0000D78B0000}"/>
    <cellStyle name="Normal 5 17 2 32 4" xfId="35800" xr:uid="{00000000-0005-0000-0000-0000D88B0000}"/>
    <cellStyle name="Normal 5 17 2 32 4 10" xfId="35801" xr:uid="{00000000-0005-0000-0000-0000D98B0000}"/>
    <cellStyle name="Normal 5 17 2 32 4 2" xfId="35802" xr:uid="{00000000-0005-0000-0000-0000DA8B0000}"/>
    <cellStyle name="Normal 5 17 2 32 4 3" xfId="35803" xr:uid="{00000000-0005-0000-0000-0000DB8B0000}"/>
    <cellStyle name="Normal 5 17 2 32 4 4" xfId="35804" xr:uid="{00000000-0005-0000-0000-0000DC8B0000}"/>
    <cellStyle name="Normal 5 17 2 32 4 5" xfId="35805" xr:uid="{00000000-0005-0000-0000-0000DD8B0000}"/>
    <cellStyle name="Normal 5 17 2 32 4 6" xfId="35806" xr:uid="{00000000-0005-0000-0000-0000DE8B0000}"/>
    <cellStyle name="Normal 5 17 2 32 4 7" xfId="35807" xr:uid="{00000000-0005-0000-0000-0000DF8B0000}"/>
    <cellStyle name="Normal 5 17 2 32 4 8" xfId="35808" xr:uid="{00000000-0005-0000-0000-0000E08B0000}"/>
    <cellStyle name="Normal 5 17 2 32 4 9" xfId="35809" xr:uid="{00000000-0005-0000-0000-0000E18B0000}"/>
    <cellStyle name="Normal 5 17 2 32 5" xfId="35810" xr:uid="{00000000-0005-0000-0000-0000E28B0000}"/>
    <cellStyle name="Normal 5 17 2 32 5 10" xfId="35811" xr:uid="{00000000-0005-0000-0000-0000E38B0000}"/>
    <cellStyle name="Normal 5 17 2 32 5 2" xfId="35812" xr:uid="{00000000-0005-0000-0000-0000E48B0000}"/>
    <cellStyle name="Normal 5 17 2 32 5 3" xfId="35813" xr:uid="{00000000-0005-0000-0000-0000E58B0000}"/>
    <cellStyle name="Normal 5 17 2 32 5 4" xfId="35814" xr:uid="{00000000-0005-0000-0000-0000E68B0000}"/>
    <cellStyle name="Normal 5 17 2 32 5 5" xfId="35815" xr:uid="{00000000-0005-0000-0000-0000E78B0000}"/>
    <cellStyle name="Normal 5 17 2 32 5 6" xfId="35816" xr:uid="{00000000-0005-0000-0000-0000E88B0000}"/>
    <cellStyle name="Normal 5 17 2 32 5 7" xfId="35817" xr:uid="{00000000-0005-0000-0000-0000E98B0000}"/>
    <cellStyle name="Normal 5 17 2 32 5 8" xfId="35818" xr:uid="{00000000-0005-0000-0000-0000EA8B0000}"/>
    <cellStyle name="Normal 5 17 2 32 5 9" xfId="35819" xr:uid="{00000000-0005-0000-0000-0000EB8B0000}"/>
    <cellStyle name="Normal 5 17 2 32 6" xfId="35820" xr:uid="{00000000-0005-0000-0000-0000EC8B0000}"/>
    <cellStyle name="Normal 5 17 2 32 7" xfId="35821" xr:uid="{00000000-0005-0000-0000-0000ED8B0000}"/>
    <cellStyle name="Normal 5 17 2 32 8" xfId="35822" xr:uid="{00000000-0005-0000-0000-0000EE8B0000}"/>
    <cellStyle name="Normal 5 17 2 32 9" xfId="35823" xr:uid="{00000000-0005-0000-0000-0000EF8B0000}"/>
    <cellStyle name="Normal 5 17 2 33" xfId="35824" xr:uid="{00000000-0005-0000-0000-0000F08B0000}"/>
    <cellStyle name="Normal 5 17 2 33 10" xfId="35825" xr:uid="{00000000-0005-0000-0000-0000F18B0000}"/>
    <cellStyle name="Normal 5 17 2 33 11" xfId="35826" xr:uid="{00000000-0005-0000-0000-0000F28B0000}"/>
    <cellStyle name="Normal 5 17 2 33 12" xfId="35827" xr:uid="{00000000-0005-0000-0000-0000F38B0000}"/>
    <cellStyle name="Normal 5 17 2 33 13" xfId="35828" xr:uid="{00000000-0005-0000-0000-0000F48B0000}"/>
    <cellStyle name="Normal 5 17 2 33 14" xfId="35829" xr:uid="{00000000-0005-0000-0000-0000F58B0000}"/>
    <cellStyle name="Normal 5 17 2 33 2" xfId="35830" xr:uid="{00000000-0005-0000-0000-0000F68B0000}"/>
    <cellStyle name="Normal 5 17 2 33 2 10" xfId="35831" xr:uid="{00000000-0005-0000-0000-0000F78B0000}"/>
    <cellStyle name="Normal 5 17 2 33 2 2" xfId="35832" xr:uid="{00000000-0005-0000-0000-0000F88B0000}"/>
    <cellStyle name="Normal 5 17 2 33 2 3" xfId="35833" xr:uid="{00000000-0005-0000-0000-0000F98B0000}"/>
    <cellStyle name="Normal 5 17 2 33 2 4" xfId="35834" xr:uid="{00000000-0005-0000-0000-0000FA8B0000}"/>
    <cellStyle name="Normal 5 17 2 33 2 5" xfId="35835" xr:uid="{00000000-0005-0000-0000-0000FB8B0000}"/>
    <cellStyle name="Normal 5 17 2 33 2 6" xfId="35836" xr:uid="{00000000-0005-0000-0000-0000FC8B0000}"/>
    <cellStyle name="Normal 5 17 2 33 2 7" xfId="35837" xr:uid="{00000000-0005-0000-0000-0000FD8B0000}"/>
    <cellStyle name="Normal 5 17 2 33 2 8" xfId="35838" xr:uid="{00000000-0005-0000-0000-0000FE8B0000}"/>
    <cellStyle name="Normal 5 17 2 33 2 9" xfId="35839" xr:uid="{00000000-0005-0000-0000-0000FF8B0000}"/>
    <cellStyle name="Normal 5 17 2 33 3" xfId="35840" xr:uid="{00000000-0005-0000-0000-0000008C0000}"/>
    <cellStyle name="Normal 5 17 2 33 3 10" xfId="35841" xr:uid="{00000000-0005-0000-0000-0000018C0000}"/>
    <cellStyle name="Normal 5 17 2 33 3 2" xfId="35842" xr:uid="{00000000-0005-0000-0000-0000028C0000}"/>
    <cellStyle name="Normal 5 17 2 33 3 3" xfId="35843" xr:uid="{00000000-0005-0000-0000-0000038C0000}"/>
    <cellStyle name="Normal 5 17 2 33 3 4" xfId="35844" xr:uid="{00000000-0005-0000-0000-0000048C0000}"/>
    <cellStyle name="Normal 5 17 2 33 3 5" xfId="35845" xr:uid="{00000000-0005-0000-0000-0000058C0000}"/>
    <cellStyle name="Normal 5 17 2 33 3 6" xfId="35846" xr:uid="{00000000-0005-0000-0000-0000068C0000}"/>
    <cellStyle name="Normal 5 17 2 33 3 7" xfId="35847" xr:uid="{00000000-0005-0000-0000-0000078C0000}"/>
    <cellStyle name="Normal 5 17 2 33 3 8" xfId="35848" xr:uid="{00000000-0005-0000-0000-0000088C0000}"/>
    <cellStyle name="Normal 5 17 2 33 3 9" xfId="35849" xr:uid="{00000000-0005-0000-0000-0000098C0000}"/>
    <cellStyle name="Normal 5 17 2 33 4" xfId="35850" xr:uid="{00000000-0005-0000-0000-00000A8C0000}"/>
    <cellStyle name="Normal 5 17 2 33 4 10" xfId="35851" xr:uid="{00000000-0005-0000-0000-00000B8C0000}"/>
    <cellStyle name="Normal 5 17 2 33 4 2" xfId="35852" xr:uid="{00000000-0005-0000-0000-00000C8C0000}"/>
    <cellStyle name="Normal 5 17 2 33 4 3" xfId="35853" xr:uid="{00000000-0005-0000-0000-00000D8C0000}"/>
    <cellStyle name="Normal 5 17 2 33 4 4" xfId="35854" xr:uid="{00000000-0005-0000-0000-00000E8C0000}"/>
    <cellStyle name="Normal 5 17 2 33 4 5" xfId="35855" xr:uid="{00000000-0005-0000-0000-00000F8C0000}"/>
    <cellStyle name="Normal 5 17 2 33 4 6" xfId="35856" xr:uid="{00000000-0005-0000-0000-0000108C0000}"/>
    <cellStyle name="Normal 5 17 2 33 4 7" xfId="35857" xr:uid="{00000000-0005-0000-0000-0000118C0000}"/>
    <cellStyle name="Normal 5 17 2 33 4 8" xfId="35858" xr:uid="{00000000-0005-0000-0000-0000128C0000}"/>
    <cellStyle name="Normal 5 17 2 33 4 9" xfId="35859" xr:uid="{00000000-0005-0000-0000-0000138C0000}"/>
    <cellStyle name="Normal 5 17 2 33 5" xfId="35860" xr:uid="{00000000-0005-0000-0000-0000148C0000}"/>
    <cellStyle name="Normal 5 17 2 33 5 10" xfId="35861" xr:uid="{00000000-0005-0000-0000-0000158C0000}"/>
    <cellStyle name="Normal 5 17 2 33 5 2" xfId="35862" xr:uid="{00000000-0005-0000-0000-0000168C0000}"/>
    <cellStyle name="Normal 5 17 2 33 5 3" xfId="35863" xr:uid="{00000000-0005-0000-0000-0000178C0000}"/>
    <cellStyle name="Normal 5 17 2 33 5 4" xfId="35864" xr:uid="{00000000-0005-0000-0000-0000188C0000}"/>
    <cellStyle name="Normal 5 17 2 33 5 5" xfId="35865" xr:uid="{00000000-0005-0000-0000-0000198C0000}"/>
    <cellStyle name="Normal 5 17 2 33 5 6" xfId="35866" xr:uid="{00000000-0005-0000-0000-00001A8C0000}"/>
    <cellStyle name="Normal 5 17 2 33 5 7" xfId="35867" xr:uid="{00000000-0005-0000-0000-00001B8C0000}"/>
    <cellStyle name="Normal 5 17 2 33 5 8" xfId="35868" xr:uid="{00000000-0005-0000-0000-00001C8C0000}"/>
    <cellStyle name="Normal 5 17 2 33 5 9" xfId="35869" xr:uid="{00000000-0005-0000-0000-00001D8C0000}"/>
    <cellStyle name="Normal 5 17 2 33 6" xfId="35870" xr:uid="{00000000-0005-0000-0000-00001E8C0000}"/>
    <cellStyle name="Normal 5 17 2 33 7" xfId="35871" xr:uid="{00000000-0005-0000-0000-00001F8C0000}"/>
    <cellStyle name="Normal 5 17 2 33 8" xfId="35872" xr:uid="{00000000-0005-0000-0000-0000208C0000}"/>
    <cellStyle name="Normal 5 17 2 33 9" xfId="35873" xr:uid="{00000000-0005-0000-0000-0000218C0000}"/>
    <cellStyle name="Normal 5 17 2 34" xfId="35874" xr:uid="{00000000-0005-0000-0000-0000228C0000}"/>
    <cellStyle name="Normal 5 17 2 34 10" xfId="35875" xr:uid="{00000000-0005-0000-0000-0000238C0000}"/>
    <cellStyle name="Normal 5 17 2 34 2" xfId="35876" xr:uid="{00000000-0005-0000-0000-0000248C0000}"/>
    <cellStyle name="Normal 5 17 2 34 3" xfId="35877" xr:uid="{00000000-0005-0000-0000-0000258C0000}"/>
    <cellStyle name="Normal 5 17 2 34 4" xfId="35878" xr:uid="{00000000-0005-0000-0000-0000268C0000}"/>
    <cellStyle name="Normal 5 17 2 34 5" xfId="35879" xr:uid="{00000000-0005-0000-0000-0000278C0000}"/>
    <cellStyle name="Normal 5 17 2 34 6" xfId="35880" xr:uid="{00000000-0005-0000-0000-0000288C0000}"/>
    <cellStyle name="Normal 5 17 2 34 7" xfId="35881" xr:uid="{00000000-0005-0000-0000-0000298C0000}"/>
    <cellStyle name="Normal 5 17 2 34 8" xfId="35882" xr:uid="{00000000-0005-0000-0000-00002A8C0000}"/>
    <cellStyle name="Normal 5 17 2 34 9" xfId="35883" xr:uid="{00000000-0005-0000-0000-00002B8C0000}"/>
    <cellStyle name="Normal 5 17 2 35" xfId="35884" xr:uid="{00000000-0005-0000-0000-00002C8C0000}"/>
    <cellStyle name="Normal 5 17 2 35 10" xfId="35885" xr:uid="{00000000-0005-0000-0000-00002D8C0000}"/>
    <cellStyle name="Normal 5 17 2 35 2" xfId="35886" xr:uid="{00000000-0005-0000-0000-00002E8C0000}"/>
    <cellStyle name="Normal 5 17 2 35 3" xfId="35887" xr:uid="{00000000-0005-0000-0000-00002F8C0000}"/>
    <cellStyle name="Normal 5 17 2 35 4" xfId="35888" xr:uid="{00000000-0005-0000-0000-0000308C0000}"/>
    <cellStyle name="Normal 5 17 2 35 5" xfId="35889" xr:uid="{00000000-0005-0000-0000-0000318C0000}"/>
    <cellStyle name="Normal 5 17 2 35 6" xfId="35890" xr:uid="{00000000-0005-0000-0000-0000328C0000}"/>
    <cellStyle name="Normal 5 17 2 35 7" xfId="35891" xr:uid="{00000000-0005-0000-0000-0000338C0000}"/>
    <cellStyle name="Normal 5 17 2 35 8" xfId="35892" xr:uid="{00000000-0005-0000-0000-0000348C0000}"/>
    <cellStyle name="Normal 5 17 2 35 9" xfId="35893" xr:uid="{00000000-0005-0000-0000-0000358C0000}"/>
    <cellStyle name="Normal 5 17 2 36" xfId="35894" xr:uid="{00000000-0005-0000-0000-0000368C0000}"/>
    <cellStyle name="Normal 5 17 2 36 10" xfId="35895" xr:uid="{00000000-0005-0000-0000-0000378C0000}"/>
    <cellStyle name="Normal 5 17 2 36 2" xfId="35896" xr:uid="{00000000-0005-0000-0000-0000388C0000}"/>
    <cellStyle name="Normal 5 17 2 36 3" xfId="35897" xr:uid="{00000000-0005-0000-0000-0000398C0000}"/>
    <cellStyle name="Normal 5 17 2 36 4" xfId="35898" xr:uid="{00000000-0005-0000-0000-00003A8C0000}"/>
    <cellStyle name="Normal 5 17 2 36 5" xfId="35899" xr:uid="{00000000-0005-0000-0000-00003B8C0000}"/>
    <cellStyle name="Normal 5 17 2 36 6" xfId="35900" xr:uid="{00000000-0005-0000-0000-00003C8C0000}"/>
    <cellStyle name="Normal 5 17 2 36 7" xfId="35901" xr:uid="{00000000-0005-0000-0000-00003D8C0000}"/>
    <cellStyle name="Normal 5 17 2 36 8" xfId="35902" xr:uid="{00000000-0005-0000-0000-00003E8C0000}"/>
    <cellStyle name="Normal 5 17 2 36 9" xfId="35903" xr:uid="{00000000-0005-0000-0000-00003F8C0000}"/>
    <cellStyle name="Normal 5 17 2 37" xfId="35904" xr:uid="{00000000-0005-0000-0000-0000408C0000}"/>
    <cellStyle name="Normal 5 17 2 37 10" xfId="35905" xr:uid="{00000000-0005-0000-0000-0000418C0000}"/>
    <cellStyle name="Normal 5 17 2 37 2" xfId="35906" xr:uid="{00000000-0005-0000-0000-0000428C0000}"/>
    <cellStyle name="Normal 5 17 2 37 3" xfId="35907" xr:uid="{00000000-0005-0000-0000-0000438C0000}"/>
    <cellStyle name="Normal 5 17 2 37 4" xfId="35908" xr:uid="{00000000-0005-0000-0000-0000448C0000}"/>
    <cellStyle name="Normal 5 17 2 37 5" xfId="35909" xr:uid="{00000000-0005-0000-0000-0000458C0000}"/>
    <cellStyle name="Normal 5 17 2 37 6" xfId="35910" xr:uid="{00000000-0005-0000-0000-0000468C0000}"/>
    <cellStyle name="Normal 5 17 2 37 7" xfId="35911" xr:uid="{00000000-0005-0000-0000-0000478C0000}"/>
    <cellStyle name="Normal 5 17 2 37 8" xfId="35912" xr:uid="{00000000-0005-0000-0000-0000488C0000}"/>
    <cellStyle name="Normal 5 17 2 37 9" xfId="35913" xr:uid="{00000000-0005-0000-0000-0000498C0000}"/>
    <cellStyle name="Normal 5 17 2 38" xfId="35914" xr:uid="{00000000-0005-0000-0000-00004A8C0000}"/>
    <cellStyle name="Normal 5 17 2 39" xfId="35915" xr:uid="{00000000-0005-0000-0000-00004B8C0000}"/>
    <cellStyle name="Normal 5 17 2 4" xfId="35916" xr:uid="{00000000-0005-0000-0000-00004C8C0000}"/>
    <cellStyle name="Normal 5 17 2 4 10" xfId="35917" xr:uid="{00000000-0005-0000-0000-00004D8C0000}"/>
    <cellStyle name="Normal 5 17 2 4 11" xfId="35918" xr:uid="{00000000-0005-0000-0000-00004E8C0000}"/>
    <cellStyle name="Normal 5 17 2 4 12" xfId="35919" xr:uid="{00000000-0005-0000-0000-00004F8C0000}"/>
    <cellStyle name="Normal 5 17 2 4 13" xfId="35920" xr:uid="{00000000-0005-0000-0000-0000508C0000}"/>
    <cellStyle name="Normal 5 17 2 4 14" xfId="35921" xr:uid="{00000000-0005-0000-0000-0000518C0000}"/>
    <cellStyle name="Normal 5 17 2 4 2" xfId="35922" xr:uid="{00000000-0005-0000-0000-0000528C0000}"/>
    <cellStyle name="Normal 5 17 2 4 2 10" xfId="35923" xr:uid="{00000000-0005-0000-0000-0000538C0000}"/>
    <cellStyle name="Normal 5 17 2 4 2 2" xfId="35924" xr:uid="{00000000-0005-0000-0000-0000548C0000}"/>
    <cellStyle name="Normal 5 17 2 4 2 3" xfId="35925" xr:uid="{00000000-0005-0000-0000-0000558C0000}"/>
    <cellStyle name="Normal 5 17 2 4 2 4" xfId="35926" xr:uid="{00000000-0005-0000-0000-0000568C0000}"/>
    <cellStyle name="Normal 5 17 2 4 2 5" xfId="35927" xr:uid="{00000000-0005-0000-0000-0000578C0000}"/>
    <cellStyle name="Normal 5 17 2 4 2 6" xfId="35928" xr:uid="{00000000-0005-0000-0000-0000588C0000}"/>
    <cellStyle name="Normal 5 17 2 4 2 7" xfId="35929" xr:uid="{00000000-0005-0000-0000-0000598C0000}"/>
    <cellStyle name="Normal 5 17 2 4 2 8" xfId="35930" xr:uid="{00000000-0005-0000-0000-00005A8C0000}"/>
    <cellStyle name="Normal 5 17 2 4 2 9" xfId="35931" xr:uid="{00000000-0005-0000-0000-00005B8C0000}"/>
    <cellStyle name="Normal 5 17 2 4 3" xfId="35932" xr:uid="{00000000-0005-0000-0000-00005C8C0000}"/>
    <cellStyle name="Normal 5 17 2 4 3 10" xfId="35933" xr:uid="{00000000-0005-0000-0000-00005D8C0000}"/>
    <cellStyle name="Normal 5 17 2 4 3 2" xfId="35934" xr:uid="{00000000-0005-0000-0000-00005E8C0000}"/>
    <cellStyle name="Normal 5 17 2 4 3 3" xfId="35935" xr:uid="{00000000-0005-0000-0000-00005F8C0000}"/>
    <cellStyle name="Normal 5 17 2 4 3 4" xfId="35936" xr:uid="{00000000-0005-0000-0000-0000608C0000}"/>
    <cellStyle name="Normal 5 17 2 4 3 5" xfId="35937" xr:uid="{00000000-0005-0000-0000-0000618C0000}"/>
    <cellStyle name="Normal 5 17 2 4 3 6" xfId="35938" xr:uid="{00000000-0005-0000-0000-0000628C0000}"/>
    <cellStyle name="Normal 5 17 2 4 3 7" xfId="35939" xr:uid="{00000000-0005-0000-0000-0000638C0000}"/>
    <cellStyle name="Normal 5 17 2 4 3 8" xfId="35940" xr:uid="{00000000-0005-0000-0000-0000648C0000}"/>
    <cellStyle name="Normal 5 17 2 4 3 9" xfId="35941" xr:uid="{00000000-0005-0000-0000-0000658C0000}"/>
    <cellStyle name="Normal 5 17 2 4 4" xfId="35942" xr:uid="{00000000-0005-0000-0000-0000668C0000}"/>
    <cellStyle name="Normal 5 17 2 4 4 10" xfId="35943" xr:uid="{00000000-0005-0000-0000-0000678C0000}"/>
    <cellStyle name="Normal 5 17 2 4 4 2" xfId="35944" xr:uid="{00000000-0005-0000-0000-0000688C0000}"/>
    <cellStyle name="Normal 5 17 2 4 4 3" xfId="35945" xr:uid="{00000000-0005-0000-0000-0000698C0000}"/>
    <cellStyle name="Normal 5 17 2 4 4 4" xfId="35946" xr:uid="{00000000-0005-0000-0000-00006A8C0000}"/>
    <cellStyle name="Normal 5 17 2 4 4 5" xfId="35947" xr:uid="{00000000-0005-0000-0000-00006B8C0000}"/>
    <cellStyle name="Normal 5 17 2 4 4 6" xfId="35948" xr:uid="{00000000-0005-0000-0000-00006C8C0000}"/>
    <cellStyle name="Normal 5 17 2 4 4 7" xfId="35949" xr:uid="{00000000-0005-0000-0000-00006D8C0000}"/>
    <cellStyle name="Normal 5 17 2 4 4 8" xfId="35950" xr:uid="{00000000-0005-0000-0000-00006E8C0000}"/>
    <cellStyle name="Normal 5 17 2 4 4 9" xfId="35951" xr:uid="{00000000-0005-0000-0000-00006F8C0000}"/>
    <cellStyle name="Normal 5 17 2 4 5" xfId="35952" xr:uid="{00000000-0005-0000-0000-0000708C0000}"/>
    <cellStyle name="Normal 5 17 2 4 5 10" xfId="35953" xr:uid="{00000000-0005-0000-0000-0000718C0000}"/>
    <cellStyle name="Normal 5 17 2 4 5 2" xfId="35954" xr:uid="{00000000-0005-0000-0000-0000728C0000}"/>
    <cellStyle name="Normal 5 17 2 4 5 3" xfId="35955" xr:uid="{00000000-0005-0000-0000-0000738C0000}"/>
    <cellStyle name="Normal 5 17 2 4 5 4" xfId="35956" xr:uid="{00000000-0005-0000-0000-0000748C0000}"/>
    <cellStyle name="Normal 5 17 2 4 5 5" xfId="35957" xr:uid="{00000000-0005-0000-0000-0000758C0000}"/>
    <cellStyle name="Normal 5 17 2 4 5 6" xfId="35958" xr:uid="{00000000-0005-0000-0000-0000768C0000}"/>
    <cellStyle name="Normal 5 17 2 4 5 7" xfId="35959" xr:uid="{00000000-0005-0000-0000-0000778C0000}"/>
    <cellStyle name="Normal 5 17 2 4 5 8" xfId="35960" xr:uid="{00000000-0005-0000-0000-0000788C0000}"/>
    <cellStyle name="Normal 5 17 2 4 5 9" xfId="35961" xr:uid="{00000000-0005-0000-0000-0000798C0000}"/>
    <cellStyle name="Normal 5 17 2 4 6" xfId="35962" xr:uid="{00000000-0005-0000-0000-00007A8C0000}"/>
    <cellStyle name="Normal 5 17 2 4 7" xfId="35963" xr:uid="{00000000-0005-0000-0000-00007B8C0000}"/>
    <cellStyle name="Normal 5 17 2 4 8" xfId="35964" xr:uid="{00000000-0005-0000-0000-00007C8C0000}"/>
    <cellStyle name="Normal 5 17 2 4 9" xfId="35965" xr:uid="{00000000-0005-0000-0000-00007D8C0000}"/>
    <cellStyle name="Normal 5 17 2 40" xfId="35966" xr:uid="{00000000-0005-0000-0000-00007E8C0000}"/>
    <cellStyle name="Normal 5 17 2 41" xfId="35967" xr:uid="{00000000-0005-0000-0000-00007F8C0000}"/>
    <cellStyle name="Normal 5 17 2 42" xfId="35968" xr:uid="{00000000-0005-0000-0000-0000808C0000}"/>
    <cellStyle name="Normal 5 17 2 43" xfId="35969" xr:uid="{00000000-0005-0000-0000-0000818C0000}"/>
    <cellStyle name="Normal 5 17 2 44" xfId="35970" xr:uid="{00000000-0005-0000-0000-0000828C0000}"/>
    <cellStyle name="Normal 5 17 2 45" xfId="35971" xr:uid="{00000000-0005-0000-0000-0000838C0000}"/>
    <cellStyle name="Normal 5 17 2 46" xfId="35972" xr:uid="{00000000-0005-0000-0000-0000848C0000}"/>
    <cellStyle name="Normal 5 17 2 47" xfId="35973" xr:uid="{00000000-0005-0000-0000-0000858C0000}"/>
    <cellStyle name="Normal 5 17 2 48" xfId="35974" xr:uid="{00000000-0005-0000-0000-0000868C0000}"/>
    <cellStyle name="Normal 5 17 2 5" xfId="35975" xr:uid="{00000000-0005-0000-0000-0000878C0000}"/>
    <cellStyle name="Normal 5 17 2 5 10" xfId="35976" xr:uid="{00000000-0005-0000-0000-0000888C0000}"/>
    <cellStyle name="Normal 5 17 2 5 11" xfId="35977" xr:uid="{00000000-0005-0000-0000-0000898C0000}"/>
    <cellStyle name="Normal 5 17 2 5 12" xfId="35978" xr:uid="{00000000-0005-0000-0000-00008A8C0000}"/>
    <cellStyle name="Normal 5 17 2 5 13" xfId="35979" xr:uid="{00000000-0005-0000-0000-00008B8C0000}"/>
    <cellStyle name="Normal 5 17 2 5 14" xfId="35980" xr:uid="{00000000-0005-0000-0000-00008C8C0000}"/>
    <cellStyle name="Normal 5 17 2 5 2" xfId="35981" xr:uid="{00000000-0005-0000-0000-00008D8C0000}"/>
    <cellStyle name="Normal 5 17 2 5 2 10" xfId="35982" xr:uid="{00000000-0005-0000-0000-00008E8C0000}"/>
    <cellStyle name="Normal 5 17 2 5 2 2" xfId="35983" xr:uid="{00000000-0005-0000-0000-00008F8C0000}"/>
    <cellStyle name="Normal 5 17 2 5 2 3" xfId="35984" xr:uid="{00000000-0005-0000-0000-0000908C0000}"/>
    <cellStyle name="Normal 5 17 2 5 2 4" xfId="35985" xr:uid="{00000000-0005-0000-0000-0000918C0000}"/>
    <cellStyle name="Normal 5 17 2 5 2 5" xfId="35986" xr:uid="{00000000-0005-0000-0000-0000928C0000}"/>
    <cellStyle name="Normal 5 17 2 5 2 6" xfId="35987" xr:uid="{00000000-0005-0000-0000-0000938C0000}"/>
    <cellStyle name="Normal 5 17 2 5 2 7" xfId="35988" xr:uid="{00000000-0005-0000-0000-0000948C0000}"/>
    <cellStyle name="Normal 5 17 2 5 2 8" xfId="35989" xr:uid="{00000000-0005-0000-0000-0000958C0000}"/>
    <cellStyle name="Normal 5 17 2 5 2 9" xfId="35990" xr:uid="{00000000-0005-0000-0000-0000968C0000}"/>
    <cellStyle name="Normal 5 17 2 5 3" xfId="35991" xr:uid="{00000000-0005-0000-0000-0000978C0000}"/>
    <cellStyle name="Normal 5 17 2 5 3 10" xfId="35992" xr:uid="{00000000-0005-0000-0000-0000988C0000}"/>
    <cellStyle name="Normal 5 17 2 5 3 2" xfId="35993" xr:uid="{00000000-0005-0000-0000-0000998C0000}"/>
    <cellStyle name="Normal 5 17 2 5 3 3" xfId="35994" xr:uid="{00000000-0005-0000-0000-00009A8C0000}"/>
    <cellStyle name="Normal 5 17 2 5 3 4" xfId="35995" xr:uid="{00000000-0005-0000-0000-00009B8C0000}"/>
    <cellStyle name="Normal 5 17 2 5 3 5" xfId="35996" xr:uid="{00000000-0005-0000-0000-00009C8C0000}"/>
    <cellStyle name="Normal 5 17 2 5 3 6" xfId="35997" xr:uid="{00000000-0005-0000-0000-00009D8C0000}"/>
    <cellStyle name="Normal 5 17 2 5 3 7" xfId="35998" xr:uid="{00000000-0005-0000-0000-00009E8C0000}"/>
    <cellStyle name="Normal 5 17 2 5 3 8" xfId="35999" xr:uid="{00000000-0005-0000-0000-00009F8C0000}"/>
    <cellStyle name="Normal 5 17 2 5 3 9" xfId="36000" xr:uid="{00000000-0005-0000-0000-0000A08C0000}"/>
    <cellStyle name="Normal 5 17 2 5 4" xfId="36001" xr:uid="{00000000-0005-0000-0000-0000A18C0000}"/>
    <cellStyle name="Normal 5 17 2 5 4 10" xfId="36002" xr:uid="{00000000-0005-0000-0000-0000A28C0000}"/>
    <cellStyle name="Normal 5 17 2 5 4 2" xfId="36003" xr:uid="{00000000-0005-0000-0000-0000A38C0000}"/>
    <cellStyle name="Normal 5 17 2 5 4 3" xfId="36004" xr:uid="{00000000-0005-0000-0000-0000A48C0000}"/>
    <cellStyle name="Normal 5 17 2 5 4 4" xfId="36005" xr:uid="{00000000-0005-0000-0000-0000A58C0000}"/>
    <cellStyle name="Normal 5 17 2 5 4 5" xfId="36006" xr:uid="{00000000-0005-0000-0000-0000A68C0000}"/>
    <cellStyle name="Normal 5 17 2 5 4 6" xfId="36007" xr:uid="{00000000-0005-0000-0000-0000A78C0000}"/>
    <cellStyle name="Normal 5 17 2 5 4 7" xfId="36008" xr:uid="{00000000-0005-0000-0000-0000A88C0000}"/>
    <cellStyle name="Normal 5 17 2 5 4 8" xfId="36009" xr:uid="{00000000-0005-0000-0000-0000A98C0000}"/>
    <cellStyle name="Normal 5 17 2 5 4 9" xfId="36010" xr:uid="{00000000-0005-0000-0000-0000AA8C0000}"/>
    <cellStyle name="Normal 5 17 2 5 5" xfId="36011" xr:uid="{00000000-0005-0000-0000-0000AB8C0000}"/>
    <cellStyle name="Normal 5 17 2 5 5 10" xfId="36012" xr:uid="{00000000-0005-0000-0000-0000AC8C0000}"/>
    <cellStyle name="Normal 5 17 2 5 5 2" xfId="36013" xr:uid="{00000000-0005-0000-0000-0000AD8C0000}"/>
    <cellStyle name="Normal 5 17 2 5 5 3" xfId="36014" xr:uid="{00000000-0005-0000-0000-0000AE8C0000}"/>
    <cellStyle name="Normal 5 17 2 5 5 4" xfId="36015" xr:uid="{00000000-0005-0000-0000-0000AF8C0000}"/>
    <cellStyle name="Normal 5 17 2 5 5 5" xfId="36016" xr:uid="{00000000-0005-0000-0000-0000B08C0000}"/>
    <cellStyle name="Normal 5 17 2 5 5 6" xfId="36017" xr:uid="{00000000-0005-0000-0000-0000B18C0000}"/>
    <cellStyle name="Normal 5 17 2 5 5 7" xfId="36018" xr:uid="{00000000-0005-0000-0000-0000B28C0000}"/>
    <cellStyle name="Normal 5 17 2 5 5 8" xfId="36019" xr:uid="{00000000-0005-0000-0000-0000B38C0000}"/>
    <cellStyle name="Normal 5 17 2 5 5 9" xfId="36020" xr:uid="{00000000-0005-0000-0000-0000B48C0000}"/>
    <cellStyle name="Normal 5 17 2 5 6" xfId="36021" xr:uid="{00000000-0005-0000-0000-0000B58C0000}"/>
    <cellStyle name="Normal 5 17 2 5 7" xfId="36022" xr:uid="{00000000-0005-0000-0000-0000B68C0000}"/>
    <cellStyle name="Normal 5 17 2 5 8" xfId="36023" xr:uid="{00000000-0005-0000-0000-0000B78C0000}"/>
    <cellStyle name="Normal 5 17 2 5 9" xfId="36024" xr:uid="{00000000-0005-0000-0000-0000B88C0000}"/>
    <cellStyle name="Normal 5 17 2 6" xfId="36025" xr:uid="{00000000-0005-0000-0000-0000B98C0000}"/>
    <cellStyle name="Normal 5 17 2 6 10" xfId="36026" xr:uid="{00000000-0005-0000-0000-0000BA8C0000}"/>
    <cellStyle name="Normal 5 17 2 6 11" xfId="36027" xr:uid="{00000000-0005-0000-0000-0000BB8C0000}"/>
    <cellStyle name="Normal 5 17 2 6 12" xfId="36028" xr:uid="{00000000-0005-0000-0000-0000BC8C0000}"/>
    <cellStyle name="Normal 5 17 2 6 13" xfId="36029" xr:uid="{00000000-0005-0000-0000-0000BD8C0000}"/>
    <cellStyle name="Normal 5 17 2 6 14" xfId="36030" xr:uid="{00000000-0005-0000-0000-0000BE8C0000}"/>
    <cellStyle name="Normal 5 17 2 6 2" xfId="36031" xr:uid="{00000000-0005-0000-0000-0000BF8C0000}"/>
    <cellStyle name="Normal 5 17 2 6 2 10" xfId="36032" xr:uid="{00000000-0005-0000-0000-0000C08C0000}"/>
    <cellStyle name="Normal 5 17 2 6 2 2" xfId="36033" xr:uid="{00000000-0005-0000-0000-0000C18C0000}"/>
    <cellStyle name="Normal 5 17 2 6 2 3" xfId="36034" xr:uid="{00000000-0005-0000-0000-0000C28C0000}"/>
    <cellStyle name="Normal 5 17 2 6 2 4" xfId="36035" xr:uid="{00000000-0005-0000-0000-0000C38C0000}"/>
    <cellStyle name="Normal 5 17 2 6 2 5" xfId="36036" xr:uid="{00000000-0005-0000-0000-0000C48C0000}"/>
    <cellStyle name="Normal 5 17 2 6 2 6" xfId="36037" xr:uid="{00000000-0005-0000-0000-0000C58C0000}"/>
    <cellStyle name="Normal 5 17 2 6 2 7" xfId="36038" xr:uid="{00000000-0005-0000-0000-0000C68C0000}"/>
    <cellStyle name="Normal 5 17 2 6 2 8" xfId="36039" xr:uid="{00000000-0005-0000-0000-0000C78C0000}"/>
    <cellStyle name="Normal 5 17 2 6 2 9" xfId="36040" xr:uid="{00000000-0005-0000-0000-0000C88C0000}"/>
    <cellStyle name="Normal 5 17 2 6 3" xfId="36041" xr:uid="{00000000-0005-0000-0000-0000C98C0000}"/>
    <cellStyle name="Normal 5 17 2 6 3 10" xfId="36042" xr:uid="{00000000-0005-0000-0000-0000CA8C0000}"/>
    <cellStyle name="Normal 5 17 2 6 3 2" xfId="36043" xr:uid="{00000000-0005-0000-0000-0000CB8C0000}"/>
    <cellStyle name="Normal 5 17 2 6 3 3" xfId="36044" xr:uid="{00000000-0005-0000-0000-0000CC8C0000}"/>
    <cellStyle name="Normal 5 17 2 6 3 4" xfId="36045" xr:uid="{00000000-0005-0000-0000-0000CD8C0000}"/>
    <cellStyle name="Normal 5 17 2 6 3 5" xfId="36046" xr:uid="{00000000-0005-0000-0000-0000CE8C0000}"/>
    <cellStyle name="Normal 5 17 2 6 3 6" xfId="36047" xr:uid="{00000000-0005-0000-0000-0000CF8C0000}"/>
    <cellStyle name="Normal 5 17 2 6 3 7" xfId="36048" xr:uid="{00000000-0005-0000-0000-0000D08C0000}"/>
    <cellStyle name="Normal 5 17 2 6 3 8" xfId="36049" xr:uid="{00000000-0005-0000-0000-0000D18C0000}"/>
    <cellStyle name="Normal 5 17 2 6 3 9" xfId="36050" xr:uid="{00000000-0005-0000-0000-0000D28C0000}"/>
    <cellStyle name="Normal 5 17 2 6 4" xfId="36051" xr:uid="{00000000-0005-0000-0000-0000D38C0000}"/>
    <cellStyle name="Normal 5 17 2 6 4 10" xfId="36052" xr:uid="{00000000-0005-0000-0000-0000D48C0000}"/>
    <cellStyle name="Normal 5 17 2 6 4 2" xfId="36053" xr:uid="{00000000-0005-0000-0000-0000D58C0000}"/>
    <cellStyle name="Normal 5 17 2 6 4 3" xfId="36054" xr:uid="{00000000-0005-0000-0000-0000D68C0000}"/>
    <cellStyle name="Normal 5 17 2 6 4 4" xfId="36055" xr:uid="{00000000-0005-0000-0000-0000D78C0000}"/>
    <cellStyle name="Normal 5 17 2 6 4 5" xfId="36056" xr:uid="{00000000-0005-0000-0000-0000D88C0000}"/>
    <cellStyle name="Normal 5 17 2 6 4 6" xfId="36057" xr:uid="{00000000-0005-0000-0000-0000D98C0000}"/>
    <cellStyle name="Normal 5 17 2 6 4 7" xfId="36058" xr:uid="{00000000-0005-0000-0000-0000DA8C0000}"/>
    <cellStyle name="Normal 5 17 2 6 4 8" xfId="36059" xr:uid="{00000000-0005-0000-0000-0000DB8C0000}"/>
    <cellStyle name="Normal 5 17 2 6 4 9" xfId="36060" xr:uid="{00000000-0005-0000-0000-0000DC8C0000}"/>
    <cellStyle name="Normal 5 17 2 6 5" xfId="36061" xr:uid="{00000000-0005-0000-0000-0000DD8C0000}"/>
    <cellStyle name="Normal 5 17 2 6 5 10" xfId="36062" xr:uid="{00000000-0005-0000-0000-0000DE8C0000}"/>
    <cellStyle name="Normal 5 17 2 6 5 2" xfId="36063" xr:uid="{00000000-0005-0000-0000-0000DF8C0000}"/>
    <cellStyle name="Normal 5 17 2 6 5 3" xfId="36064" xr:uid="{00000000-0005-0000-0000-0000E08C0000}"/>
    <cellStyle name="Normal 5 17 2 6 5 4" xfId="36065" xr:uid="{00000000-0005-0000-0000-0000E18C0000}"/>
    <cellStyle name="Normal 5 17 2 6 5 5" xfId="36066" xr:uid="{00000000-0005-0000-0000-0000E28C0000}"/>
    <cellStyle name="Normal 5 17 2 6 5 6" xfId="36067" xr:uid="{00000000-0005-0000-0000-0000E38C0000}"/>
    <cellStyle name="Normal 5 17 2 6 5 7" xfId="36068" xr:uid="{00000000-0005-0000-0000-0000E48C0000}"/>
    <cellStyle name="Normal 5 17 2 6 5 8" xfId="36069" xr:uid="{00000000-0005-0000-0000-0000E58C0000}"/>
    <cellStyle name="Normal 5 17 2 6 5 9" xfId="36070" xr:uid="{00000000-0005-0000-0000-0000E68C0000}"/>
    <cellStyle name="Normal 5 17 2 6 6" xfId="36071" xr:uid="{00000000-0005-0000-0000-0000E78C0000}"/>
    <cellStyle name="Normal 5 17 2 6 7" xfId="36072" xr:uid="{00000000-0005-0000-0000-0000E88C0000}"/>
    <cellStyle name="Normal 5 17 2 6 8" xfId="36073" xr:uid="{00000000-0005-0000-0000-0000E98C0000}"/>
    <cellStyle name="Normal 5 17 2 6 9" xfId="36074" xr:uid="{00000000-0005-0000-0000-0000EA8C0000}"/>
    <cellStyle name="Normal 5 17 2 7" xfId="36075" xr:uid="{00000000-0005-0000-0000-0000EB8C0000}"/>
    <cellStyle name="Normal 5 17 2 7 10" xfId="36076" xr:uid="{00000000-0005-0000-0000-0000EC8C0000}"/>
    <cellStyle name="Normal 5 17 2 7 11" xfId="36077" xr:uid="{00000000-0005-0000-0000-0000ED8C0000}"/>
    <cellStyle name="Normal 5 17 2 7 12" xfId="36078" xr:uid="{00000000-0005-0000-0000-0000EE8C0000}"/>
    <cellStyle name="Normal 5 17 2 7 13" xfId="36079" xr:uid="{00000000-0005-0000-0000-0000EF8C0000}"/>
    <cellStyle name="Normal 5 17 2 7 14" xfId="36080" xr:uid="{00000000-0005-0000-0000-0000F08C0000}"/>
    <cellStyle name="Normal 5 17 2 7 2" xfId="36081" xr:uid="{00000000-0005-0000-0000-0000F18C0000}"/>
    <cellStyle name="Normal 5 17 2 7 2 10" xfId="36082" xr:uid="{00000000-0005-0000-0000-0000F28C0000}"/>
    <cellStyle name="Normal 5 17 2 7 2 2" xfId="36083" xr:uid="{00000000-0005-0000-0000-0000F38C0000}"/>
    <cellStyle name="Normal 5 17 2 7 2 3" xfId="36084" xr:uid="{00000000-0005-0000-0000-0000F48C0000}"/>
    <cellStyle name="Normal 5 17 2 7 2 4" xfId="36085" xr:uid="{00000000-0005-0000-0000-0000F58C0000}"/>
    <cellStyle name="Normal 5 17 2 7 2 5" xfId="36086" xr:uid="{00000000-0005-0000-0000-0000F68C0000}"/>
    <cellStyle name="Normal 5 17 2 7 2 6" xfId="36087" xr:uid="{00000000-0005-0000-0000-0000F78C0000}"/>
    <cellStyle name="Normal 5 17 2 7 2 7" xfId="36088" xr:uid="{00000000-0005-0000-0000-0000F88C0000}"/>
    <cellStyle name="Normal 5 17 2 7 2 8" xfId="36089" xr:uid="{00000000-0005-0000-0000-0000F98C0000}"/>
    <cellStyle name="Normal 5 17 2 7 2 9" xfId="36090" xr:uid="{00000000-0005-0000-0000-0000FA8C0000}"/>
    <cellStyle name="Normal 5 17 2 7 3" xfId="36091" xr:uid="{00000000-0005-0000-0000-0000FB8C0000}"/>
    <cellStyle name="Normal 5 17 2 7 3 10" xfId="36092" xr:uid="{00000000-0005-0000-0000-0000FC8C0000}"/>
    <cellStyle name="Normal 5 17 2 7 3 2" xfId="36093" xr:uid="{00000000-0005-0000-0000-0000FD8C0000}"/>
    <cellStyle name="Normal 5 17 2 7 3 3" xfId="36094" xr:uid="{00000000-0005-0000-0000-0000FE8C0000}"/>
    <cellStyle name="Normal 5 17 2 7 3 4" xfId="36095" xr:uid="{00000000-0005-0000-0000-0000FF8C0000}"/>
    <cellStyle name="Normal 5 17 2 7 3 5" xfId="36096" xr:uid="{00000000-0005-0000-0000-0000008D0000}"/>
    <cellStyle name="Normal 5 17 2 7 3 6" xfId="36097" xr:uid="{00000000-0005-0000-0000-0000018D0000}"/>
    <cellStyle name="Normal 5 17 2 7 3 7" xfId="36098" xr:uid="{00000000-0005-0000-0000-0000028D0000}"/>
    <cellStyle name="Normal 5 17 2 7 3 8" xfId="36099" xr:uid="{00000000-0005-0000-0000-0000038D0000}"/>
    <cellStyle name="Normal 5 17 2 7 3 9" xfId="36100" xr:uid="{00000000-0005-0000-0000-0000048D0000}"/>
    <cellStyle name="Normal 5 17 2 7 4" xfId="36101" xr:uid="{00000000-0005-0000-0000-0000058D0000}"/>
    <cellStyle name="Normal 5 17 2 7 4 10" xfId="36102" xr:uid="{00000000-0005-0000-0000-0000068D0000}"/>
    <cellStyle name="Normal 5 17 2 7 4 2" xfId="36103" xr:uid="{00000000-0005-0000-0000-0000078D0000}"/>
    <cellStyle name="Normal 5 17 2 7 4 3" xfId="36104" xr:uid="{00000000-0005-0000-0000-0000088D0000}"/>
    <cellStyle name="Normal 5 17 2 7 4 4" xfId="36105" xr:uid="{00000000-0005-0000-0000-0000098D0000}"/>
    <cellStyle name="Normal 5 17 2 7 4 5" xfId="36106" xr:uid="{00000000-0005-0000-0000-00000A8D0000}"/>
    <cellStyle name="Normal 5 17 2 7 4 6" xfId="36107" xr:uid="{00000000-0005-0000-0000-00000B8D0000}"/>
    <cellStyle name="Normal 5 17 2 7 4 7" xfId="36108" xr:uid="{00000000-0005-0000-0000-00000C8D0000}"/>
    <cellStyle name="Normal 5 17 2 7 4 8" xfId="36109" xr:uid="{00000000-0005-0000-0000-00000D8D0000}"/>
    <cellStyle name="Normal 5 17 2 7 4 9" xfId="36110" xr:uid="{00000000-0005-0000-0000-00000E8D0000}"/>
    <cellStyle name="Normal 5 17 2 7 5" xfId="36111" xr:uid="{00000000-0005-0000-0000-00000F8D0000}"/>
    <cellStyle name="Normal 5 17 2 7 5 10" xfId="36112" xr:uid="{00000000-0005-0000-0000-0000108D0000}"/>
    <cellStyle name="Normal 5 17 2 7 5 2" xfId="36113" xr:uid="{00000000-0005-0000-0000-0000118D0000}"/>
    <cellStyle name="Normal 5 17 2 7 5 3" xfId="36114" xr:uid="{00000000-0005-0000-0000-0000128D0000}"/>
    <cellStyle name="Normal 5 17 2 7 5 4" xfId="36115" xr:uid="{00000000-0005-0000-0000-0000138D0000}"/>
    <cellStyle name="Normal 5 17 2 7 5 5" xfId="36116" xr:uid="{00000000-0005-0000-0000-0000148D0000}"/>
    <cellStyle name="Normal 5 17 2 7 5 6" xfId="36117" xr:uid="{00000000-0005-0000-0000-0000158D0000}"/>
    <cellStyle name="Normal 5 17 2 7 5 7" xfId="36118" xr:uid="{00000000-0005-0000-0000-0000168D0000}"/>
    <cellStyle name="Normal 5 17 2 7 5 8" xfId="36119" xr:uid="{00000000-0005-0000-0000-0000178D0000}"/>
    <cellStyle name="Normal 5 17 2 7 5 9" xfId="36120" xr:uid="{00000000-0005-0000-0000-0000188D0000}"/>
    <cellStyle name="Normal 5 17 2 7 6" xfId="36121" xr:uid="{00000000-0005-0000-0000-0000198D0000}"/>
    <cellStyle name="Normal 5 17 2 7 7" xfId="36122" xr:uid="{00000000-0005-0000-0000-00001A8D0000}"/>
    <cellStyle name="Normal 5 17 2 7 8" xfId="36123" xr:uid="{00000000-0005-0000-0000-00001B8D0000}"/>
    <cellStyle name="Normal 5 17 2 7 9" xfId="36124" xr:uid="{00000000-0005-0000-0000-00001C8D0000}"/>
    <cellStyle name="Normal 5 17 2 8" xfId="36125" xr:uid="{00000000-0005-0000-0000-00001D8D0000}"/>
    <cellStyle name="Normal 5 17 2 8 10" xfId="36126" xr:uid="{00000000-0005-0000-0000-00001E8D0000}"/>
    <cellStyle name="Normal 5 17 2 8 11" xfId="36127" xr:uid="{00000000-0005-0000-0000-00001F8D0000}"/>
    <cellStyle name="Normal 5 17 2 8 12" xfId="36128" xr:uid="{00000000-0005-0000-0000-0000208D0000}"/>
    <cellStyle name="Normal 5 17 2 8 13" xfId="36129" xr:uid="{00000000-0005-0000-0000-0000218D0000}"/>
    <cellStyle name="Normal 5 17 2 8 14" xfId="36130" xr:uid="{00000000-0005-0000-0000-0000228D0000}"/>
    <cellStyle name="Normal 5 17 2 8 2" xfId="36131" xr:uid="{00000000-0005-0000-0000-0000238D0000}"/>
    <cellStyle name="Normal 5 17 2 8 2 10" xfId="36132" xr:uid="{00000000-0005-0000-0000-0000248D0000}"/>
    <cellStyle name="Normal 5 17 2 8 2 2" xfId="36133" xr:uid="{00000000-0005-0000-0000-0000258D0000}"/>
    <cellStyle name="Normal 5 17 2 8 2 3" xfId="36134" xr:uid="{00000000-0005-0000-0000-0000268D0000}"/>
    <cellStyle name="Normal 5 17 2 8 2 4" xfId="36135" xr:uid="{00000000-0005-0000-0000-0000278D0000}"/>
    <cellStyle name="Normal 5 17 2 8 2 5" xfId="36136" xr:uid="{00000000-0005-0000-0000-0000288D0000}"/>
    <cellStyle name="Normal 5 17 2 8 2 6" xfId="36137" xr:uid="{00000000-0005-0000-0000-0000298D0000}"/>
    <cellStyle name="Normal 5 17 2 8 2 7" xfId="36138" xr:uid="{00000000-0005-0000-0000-00002A8D0000}"/>
    <cellStyle name="Normal 5 17 2 8 2 8" xfId="36139" xr:uid="{00000000-0005-0000-0000-00002B8D0000}"/>
    <cellStyle name="Normal 5 17 2 8 2 9" xfId="36140" xr:uid="{00000000-0005-0000-0000-00002C8D0000}"/>
    <cellStyle name="Normal 5 17 2 8 3" xfId="36141" xr:uid="{00000000-0005-0000-0000-00002D8D0000}"/>
    <cellStyle name="Normal 5 17 2 8 3 10" xfId="36142" xr:uid="{00000000-0005-0000-0000-00002E8D0000}"/>
    <cellStyle name="Normal 5 17 2 8 3 2" xfId="36143" xr:uid="{00000000-0005-0000-0000-00002F8D0000}"/>
    <cellStyle name="Normal 5 17 2 8 3 3" xfId="36144" xr:uid="{00000000-0005-0000-0000-0000308D0000}"/>
    <cellStyle name="Normal 5 17 2 8 3 4" xfId="36145" xr:uid="{00000000-0005-0000-0000-0000318D0000}"/>
    <cellStyle name="Normal 5 17 2 8 3 5" xfId="36146" xr:uid="{00000000-0005-0000-0000-0000328D0000}"/>
    <cellStyle name="Normal 5 17 2 8 3 6" xfId="36147" xr:uid="{00000000-0005-0000-0000-0000338D0000}"/>
    <cellStyle name="Normal 5 17 2 8 3 7" xfId="36148" xr:uid="{00000000-0005-0000-0000-0000348D0000}"/>
    <cellStyle name="Normal 5 17 2 8 3 8" xfId="36149" xr:uid="{00000000-0005-0000-0000-0000358D0000}"/>
    <cellStyle name="Normal 5 17 2 8 3 9" xfId="36150" xr:uid="{00000000-0005-0000-0000-0000368D0000}"/>
    <cellStyle name="Normal 5 17 2 8 4" xfId="36151" xr:uid="{00000000-0005-0000-0000-0000378D0000}"/>
    <cellStyle name="Normal 5 17 2 8 4 10" xfId="36152" xr:uid="{00000000-0005-0000-0000-0000388D0000}"/>
    <cellStyle name="Normal 5 17 2 8 4 2" xfId="36153" xr:uid="{00000000-0005-0000-0000-0000398D0000}"/>
    <cellStyle name="Normal 5 17 2 8 4 3" xfId="36154" xr:uid="{00000000-0005-0000-0000-00003A8D0000}"/>
    <cellStyle name="Normal 5 17 2 8 4 4" xfId="36155" xr:uid="{00000000-0005-0000-0000-00003B8D0000}"/>
    <cellStyle name="Normal 5 17 2 8 4 5" xfId="36156" xr:uid="{00000000-0005-0000-0000-00003C8D0000}"/>
    <cellStyle name="Normal 5 17 2 8 4 6" xfId="36157" xr:uid="{00000000-0005-0000-0000-00003D8D0000}"/>
    <cellStyle name="Normal 5 17 2 8 4 7" xfId="36158" xr:uid="{00000000-0005-0000-0000-00003E8D0000}"/>
    <cellStyle name="Normal 5 17 2 8 4 8" xfId="36159" xr:uid="{00000000-0005-0000-0000-00003F8D0000}"/>
    <cellStyle name="Normal 5 17 2 8 4 9" xfId="36160" xr:uid="{00000000-0005-0000-0000-0000408D0000}"/>
    <cellStyle name="Normal 5 17 2 8 5" xfId="36161" xr:uid="{00000000-0005-0000-0000-0000418D0000}"/>
    <cellStyle name="Normal 5 17 2 8 5 10" xfId="36162" xr:uid="{00000000-0005-0000-0000-0000428D0000}"/>
    <cellStyle name="Normal 5 17 2 8 5 2" xfId="36163" xr:uid="{00000000-0005-0000-0000-0000438D0000}"/>
    <cellStyle name="Normal 5 17 2 8 5 3" xfId="36164" xr:uid="{00000000-0005-0000-0000-0000448D0000}"/>
    <cellStyle name="Normal 5 17 2 8 5 4" xfId="36165" xr:uid="{00000000-0005-0000-0000-0000458D0000}"/>
    <cellStyle name="Normal 5 17 2 8 5 5" xfId="36166" xr:uid="{00000000-0005-0000-0000-0000468D0000}"/>
    <cellStyle name="Normal 5 17 2 8 5 6" xfId="36167" xr:uid="{00000000-0005-0000-0000-0000478D0000}"/>
    <cellStyle name="Normal 5 17 2 8 5 7" xfId="36168" xr:uid="{00000000-0005-0000-0000-0000488D0000}"/>
    <cellStyle name="Normal 5 17 2 8 5 8" xfId="36169" xr:uid="{00000000-0005-0000-0000-0000498D0000}"/>
    <cellStyle name="Normal 5 17 2 8 5 9" xfId="36170" xr:uid="{00000000-0005-0000-0000-00004A8D0000}"/>
    <cellStyle name="Normal 5 17 2 8 6" xfId="36171" xr:uid="{00000000-0005-0000-0000-00004B8D0000}"/>
    <cellStyle name="Normal 5 17 2 8 7" xfId="36172" xr:uid="{00000000-0005-0000-0000-00004C8D0000}"/>
    <cellStyle name="Normal 5 17 2 8 8" xfId="36173" xr:uid="{00000000-0005-0000-0000-00004D8D0000}"/>
    <cellStyle name="Normal 5 17 2 8 9" xfId="36174" xr:uid="{00000000-0005-0000-0000-00004E8D0000}"/>
    <cellStyle name="Normal 5 17 2 9" xfId="36175" xr:uid="{00000000-0005-0000-0000-00004F8D0000}"/>
    <cellStyle name="Normal 5 17 2 9 10" xfId="36176" xr:uid="{00000000-0005-0000-0000-0000508D0000}"/>
    <cellStyle name="Normal 5 17 2 9 11" xfId="36177" xr:uid="{00000000-0005-0000-0000-0000518D0000}"/>
    <cellStyle name="Normal 5 17 2 9 12" xfId="36178" xr:uid="{00000000-0005-0000-0000-0000528D0000}"/>
    <cellStyle name="Normal 5 17 2 9 13" xfId="36179" xr:uid="{00000000-0005-0000-0000-0000538D0000}"/>
    <cellStyle name="Normal 5 17 2 9 14" xfId="36180" xr:uid="{00000000-0005-0000-0000-0000548D0000}"/>
    <cellStyle name="Normal 5 17 2 9 2" xfId="36181" xr:uid="{00000000-0005-0000-0000-0000558D0000}"/>
    <cellStyle name="Normal 5 17 2 9 2 10" xfId="36182" xr:uid="{00000000-0005-0000-0000-0000568D0000}"/>
    <cellStyle name="Normal 5 17 2 9 2 2" xfId="36183" xr:uid="{00000000-0005-0000-0000-0000578D0000}"/>
    <cellStyle name="Normal 5 17 2 9 2 3" xfId="36184" xr:uid="{00000000-0005-0000-0000-0000588D0000}"/>
    <cellStyle name="Normal 5 17 2 9 2 4" xfId="36185" xr:uid="{00000000-0005-0000-0000-0000598D0000}"/>
    <cellStyle name="Normal 5 17 2 9 2 5" xfId="36186" xr:uid="{00000000-0005-0000-0000-00005A8D0000}"/>
    <cellStyle name="Normal 5 17 2 9 2 6" xfId="36187" xr:uid="{00000000-0005-0000-0000-00005B8D0000}"/>
    <cellStyle name="Normal 5 17 2 9 2 7" xfId="36188" xr:uid="{00000000-0005-0000-0000-00005C8D0000}"/>
    <cellStyle name="Normal 5 17 2 9 2 8" xfId="36189" xr:uid="{00000000-0005-0000-0000-00005D8D0000}"/>
    <cellStyle name="Normal 5 17 2 9 2 9" xfId="36190" xr:uid="{00000000-0005-0000-0000-00005E8D0000}"/>
    <cellStyle name="Normal 5 17 2 9 3" xfId="36191" xr:uid="{00000000-0005-0000-0000-00005F8D0000}"/>
    <cellStyle name="Normal 5 17 2 9 3 10" xfId="36192" xr:uid="{00000000-0005-0000-0000-0000608D0000}"/>
    <cellStyle name="Normal 5 17 2 9 3 2" xfId="36193" xr:uid="{00000000-0005-0000-0000-0000618D0000}"/>
    <cellStyle name="Normal 5 17 2 9 3 3" xfId="36194" xr:uid="{00000000-0005-0000-0000-0000628D0000}"/>
    <cellStyle name="Normal 5 17 2 9 3 4" xfId="36195" xr:uid="{00000000-0005-0000-0000-0000638D0000}"/>
    <cellStyle name="Normal 5 17 2 9 3 5" xfId="36196" xr:uid="{00000000-0005-0000-0000-0000648D0000}"/>
    <cellStyle name="Normal 5 17 2 9 3 6" xfId="36197" xr:uid="{00000000-0005-0000-0000-0000658D0000}"/>
    <cellStyle name="Normal 5 17 2 9 3 7" xfId="36198" xr:uid="{00000000-0005-0000-0000-0000668D0000}"/>
    <cellStyle name="Normal 5 17 2 9 3 8" xfId="36199" xr:uid="{00000000-0005-0000-0000-0000678D0000}"/>
    <cellStyle name="Normal 5 17 2 9 3 9" xfId="36200" xr:uid="{00000000-0005-0000-0000-0000688D0000}"/>
    <cellStyle name="Normal 5 17 2 9 4" xfId="36201" xr:uid="{00000000-0005-0000-0000-0000698D0000}"/>
    <cellStyle name="Normal 5 17 2 9 4 10" xfId="36202" xr:uid="{00000000-0005-0000-0000-00006A8D0000}"/>
    <cellStyle name="Normal 5 17 2 9 4 2" xfId="36203" xr:uid="{00000000-0005-0000-0000-00006B8D0000}"/>
    <cellStyle name="Normal 5 17 2 9 4 3" xfId="36204" xr:uid="{00000000-0005-0000-0000-00006C8D0000}"/>
    <cellStyle name="Normal 5 17 2 9 4 4" xfId="36205" xr:uid="{00000000-0005-0000-0000-00006D8D0000}"/>
    <cellStyle name="Normal 5 17 2 9 4 5" xfId="36206" xr:uid="{00000000-0005-0000-0000-00006E8D0000}"/>
    <cellStyle name="Normal 5 17 2 9 4 6" xfId="36207" xr:uid="{00000000-0005-0000-0000-00006F8D0000}"/>
    <cellStyle name="Normal 5 17 2 9 4 7" xfId="36208" xr:uid="{00000000-0005-0000-0000-0000708D0000}"/>
    <cellStyle name="Normal 5 17 2 9 4 8" xfId="36209" xr:uid="{00000000-0005-0000-0000-0000718D0000}"/>
    <cellStyle name="Normal 5 17 2 9 4 9" xfId="36210" xr:uid="{00000000-0005-0000-0000-0000728D0000}"/>
    <cellStyle name="Normal 5 17 2 9 5" xfId="36211" xr:uid="{00000000-0005-0000-0000-0000738D0000}"/>
    <cellStyle name="Normal 5 17 2 9 5 10" xfId="36212" xr:uid="{00000000-0005-0000-0000-0000748D0000}"/>
    <cellStyle name="Normal 5 17 2 9 5 2" xfId="36213" xr:uid="{00000000-0005-0000-0000-0000758D0000}"/>
    <cellStyle name="Normal 5 17 2 9 5 3" xfId="36214" xr:uid="{00000000-0005-0000-0000-0000768D0000}"/>
    <cellStyle name="Normal 5 17 2 9 5 4" xfId="36215" xr:uid="{00000000-0005-0000-0000-0000778D0000}"/>
    <cellStyle name="Normal 5 17 2 9 5 5" xfId="36216" xr:uid="{00000000-0005-0000-0000-0000788D0000}"/>
    <cellStyle name="Normal 5 17 2 9 5 6" xfId="36217" xr:uid="{00000000-0005-0000-0000-0000798D0000}"/>
    <cellStyle name="Normal 5 17 2 9 5 7" xfId="36218" xr:uid="{00000000-0005-0000-0000-00007A8D0000}"/>
    <cellStyle name="Normal 5 17 2 9 5 8" xfId="36219" xr:uid="{00000000-0005-0000-0000-00007B8D0000}"/>
    <cellStyle name="Normal 5 17 2 9 5 9" xfId="36220" xr:uid="{00000000-0005-0000-0000-00007C8D0000}"/>
    <cellStyle name="Normal 5 17 2 9 6" xfId="36221" xr:uid="{00000000-0005-0000-0000-00007D8D0000}"/>
    <cellStyle name="Normal 5 17 2 9 7" xfId="36222" xr:uid="{00000000-0005-0000-0000-00007E8D0000}"/>
    <cellStyle name="Normal 5 17 2 9 8" xfId="36223" xr:uid="{00000000-0005-0000-0000-00007F8D0000}"/>
    <cellStyle name="Normal 5 17 2 9 9" xfId="36224" xr:uid="{00000000-0005-0000-0000-0000808D0000}"/>
    <cellStyle name="Normal 5 17 20" xfId="36225" xr:uid="{00000000-0005-0000-0000-0000818D0000}"/>
    <cellStyle name="Normal 5 17 20 10" xfId="36226" xr:uid="{00000000-0005-0000-0000-0000828D0000}"/>
    <cellStyle name="Normal 5 17 20 11" xfId="36227" xr:uid="{00000000-0005-0000-0000-0000838D0000}"/>
    <cellStyle name="Normal 5 17 20 12" xfId="36228" xr:uid="{00000000-0005-0000-0000-0000848D0000}"/>
    <cellStyle name="Normal 5 17 20 13" xfId="36229" xr:uid="{00000000-0005-0000-0000-0000858D0000}"/>
    <cellStyle name="Normal 5 17 20 14" xfId="36230" xr:uid="{00000000-0005-0000-0000-0000868D0000}"/>
    <cellStyle name="Normal 5 17 20 2" xfId="36231" xr:uid="{00000000-0005-0000-0000-0000878D0000}"/>
    <cellStyle name="Normal 5 17 20 2 10" xfId="36232" xr:uid="{00000000-0005-0000-0000-0000888D0000}"/>
    <cellStyle name="Normal 5 17 20 2 2" xfId="36233" xr:uid="{00000000-0005-0000-0000-0000898D0000}"/>
    <cellStyle name="Normal 5 17 20 2 3" xfId="36234" xr:uid="{00000000-0005-0000-0000-00008A8D0000}"/>
    <cellStyle name="Normal 5 17 20 2 4" xfId="36235" xr:uid="{00000000-0005-0000-0000-00008B8D0000}"/>
    <cellStyle name="Normal 5 17 20 2 5" xfId="36236" xr:uid="{00000000-0005-0000-0000-00008C8D0000}"/>
    <cellStyle name="Normal 5 17 20 2 6" xfId="36237" xr:uid="{00000000-0005-0000-0000-00008D8D0000}"/>
    <cellStyle name="Normal 5 17 20 2 7" xfId="36238" xr:uid="{00000000-0005-0000-0000-00008E8D0000}"/>
    <cellStyle name="Normal 5 17 20 2 8" xfId="36239" xr:uid="{00000000-0005-0000-0000-00008F8D0000}"/>
    <cellStyle name="Normal 5 17 20 2 9" xfId="36240" xr:uid="{00000000-0005-0000-0000-0000908D0000}"/>
    <cellStyle name="Normal 5 17 20 3" xfId="36241" xr:uid="{00000000-0005-0000-0000-0000918D0000}"/>
    <cellStyle name="Normal 5 17 20 3 10" xfId="36242" xr:uid="{00000000-0005-0000-0000-0000928D0000}"/>
    <cellStyle name="Normal 5 17 20 3 2" xfId="36243" xr:uid="{00000000-0005-0000-0000-0000938D0000}"/>
    <cellStyle name="Normal 5 17 20 3 3" xfId="36244" xr:uid="{00000000-0005-0000-0000-0000948D0000}"/>
    <cellStyle name="Normal 5 17 20 3 4" xfId="36245" xr:uid="{00000000-0005-0000-0000-0000958D0000}"/>
    <cellStyle name="Normal 5 17 20 3 5" xfId="36246" xr:uid="{00000000-0005-0000-0000-0000968D0000}"/>
    <cellStyle name="Normal 5 17 20 3 6" xfId="36247" xr:uid="{00000000-0005-0000-0000-0000978D0000}"/>
    <cellStyle name="Normal 5 17 20 3 7" xfId="36248" xr:uid="{00000000-0005-0000-0000-0000988D0000}"/>
    <cellStyle name="Normal 5 17 20 3 8" xfId="36249" xr:uid="{00000000-0005-0000-0000-0000998D0000}"/>
    <cellStyle name="Normal 5 17 20 3 9" xfId="36250" xr:uid="{00000000-0005-0000-0000-00009A8D0000}"/>
    <cellStyle name="Normal 5 17 20 4" xfId="36251" xr:uid="{00000000-0005-0000-0000-00009B8D0000}"/>
    <cellStyle name="Normal 5 17 20 4 10" xfId="36252" xr:uid="{00000000-0005-0000-0000-00009C8D0000}"/>
    <cellStyle name="Normal 5 17 20 4 2" xfId="36253" xr:uid="{00000000-0005-0000-0000-00009D8D0000}"/>
    <cellStyle name="Normal 5 17 20 4 3" xfId="36254" xr:uid="{00000000-0005-0000-0000-00009E8D0000}"/>
    <cellStyle name="Normal 5 17 20 4 4" xfId="36255" xr:uid="{00000000-0005-0000-0000-00009F8D0000}"/>
    <cellStyle name="Normal 5 17 20 4 5" xfId="36256" xr:uid="{00000000-0005-0000-0000-0000A08D0000}"/>
    <cellStyle name="Normal 5 17 20 4 6" xfId="36257" xr:uid="{00000000-0005-0000-0000-0000A18D0000}"/>
    <cellStyle name="Normal 5 17 20 4 7" xfId="36258" xr:uid="{00000000-0005-0000-0000-0000A28D0000}"/>
    <cellStyle name="Normal 5 17 20 4 8" xfId="36259" xr:uid="{00000000-0005-0000-0000-0000A38D0000}"/>
    <cellStyle name="Normal 5 17 20 4 9" xfId="36260" xr:uid="{00000000-0005-0000-0000-0000A48D0000}"/>
    <cellStyle name="Normal 5 17 20 5" xfId="36261" xr:uid="{00000000-0005-0000-0000-0000A58D0000}"/>
    <cellStyle name="Normal 5 17 20 5 10" xfId="36262" xr:uid="{00000000-0005-0000-0000-0000A68D0000}"/>
    <cellStyle name="Normal 5 17 20 5 2" xfId="36263" xr:uid="{00000000-0005-0000-0000-0000A78D0000}"/>
    <cellStyle name="Normal 5 17 20 5 3" xfId="36264" xr:uid="{00000000-0005-0000-0000-0000A88D0000}"/>
    <cellStyle name="Normal 5 17 20 5 4" xfId="36265" xr:uid="{00000000-0005-0000-0000-0000A98D0000}"/>
    <cellStyle name="Normal 5 17 20 5 5" xfId="36266" xr:uid="{00000000-0005-0000-0000-0000AA8D0000}"/>
    <cellStyle name="Normal 5 17 20 5 6" xfId="36267" xr:uid="{00000000-0005-0000-0000-0000AB8D0000}"/>
    <cellStyle name="Normal 5 17 20 5 7" xfId="36268" xr:uid="{00000000-0005-0000-0000-0000AC8D0000}"/>
    <cellStyle name="Normal 5 17 20 5 8" xfId="36269" xr:uid="{00000000-0005-0000-0000-0000AD8D0000}"/>
    <cellStyle name="Normal 5 17 20 5 9" xfId="36270" xr:uid="{00000000-0005-0000-0000-0000AE8D0000}"/>
    <cellStyle name="Normal 5 17 20 6" xfId="36271" xr:uid="{00000000-0005-0000-0000-0000AF8D0000}"/>
    <cellStyle name="Normal 5 17 20 7" xfId="36272" xr:uid="{00000000-0005-0000-0000-0000B08D0000}"/>
    <cellStyle name="Normal 5 17 20 8" xfId="36273" xr:uid="{00000000-0005-0000-0000-0000B18D0000}"/>
    <cellStyle name="Normal 5 17 20 9" xfId="36274" xr:uid="{00000000-0005-0000-0000-0000B28D0000}"/>
    <cellStyle name="Normal 5 17 21" xfId="36275" xr:uid="{00000000-0005-0000-0000-0000B38D0000}"/>
    <cellStyle name="Normal 5 17 21 10" xfId="36276" xr:uid="{00000000-0005-0000-0000-0000B48D0000}"/>
    <cellStyle name="Normal 5 17 21 11" xfId="36277" xr:uid="{00000000-0005-0000-0000-0000B58D0000}"/>
    <cellStyle name="Normal 5 17 21 12" xfId="36278" xr:uid="{00000000-0005-0000-0000-0000B68D0000}"/>
    <cellStyle name="Normal 5 17 21 13" xfId="36279" xr:uid="{00000000-0005-0000-0000-0000B78D0000}"/>
    <cellStyle name="Normal 5 17 21 14" xfId="36280" xr:uid="{00000000-0005-0000-0000-0000B88D0000}"/>
    <cellStyle name="Normal 5 17 21 2" xfId="36281" xr:uid="{00000000-0005-0000-0000-0000B98D0000}"/>
    <cellStyle name="Normal 5 17 21 2 10" xfId="36282" xr:uid="{00000000-0005-0000-0000-0000BA8D0000}"/>
    <cellStyle name="Normal 5 17 21 2 2" xfId="36283" xr:uid="{00000000-0005-0000-0000-0000BB8D0000}"/>
    <cellStyle name="Normal 5 17 21 2 3" xfId="36284" xr:uid="{00000000-0005-0000-0000-0000BC8D0000}"/>
    <cellStyle name="Normal 5 17 21 2 4" xfId="36285" xr:uid="{00000000-0005-0000-0000-0000BD8D0000}"/>
    <cellStyle name="Normal 5 17 21 2 5" xfId="36286" xr:uid="{00000000-0005-0000-0000-0000BE8D0000}"/>
    <cellStyle name="Normal 5 17 21 2 6" xfId="36287" xr:uid="{00000000-0005-0000-0000-0000BF8D0000}"/>
    <cellStyle name="Normal 5 17 21 2 7" xfId="36288" xr:uid="{00000000-0005-0000-0000-0000C08D0000}"/>
    <cellStyle name="Normal 5 17 21 2 8" xfId="36289" xr:uid="{00000000-0005-0000-0000-0000C18D0000}"/>
    <cellStyle name="Normal 5 17 21 2 9" xfId="36290" xr:uid="{00000000-0005-0000-0000-0000C28D0000}"/>
    <cellStyle name="Normal 5 17 21 3" xfId="36291" xr:uid="{00000000-0005-0000-0000-0000C38D0000}"/>
    <cellStyle name="Normal 5 17 21 3 10" xfId="36292" xr:uid="{00000000-0005-0000-0000-0000C48D0000}"/>
    <cellStyle name="Normal 5 17 21 3 2" xfId="36293" xr:uid="{00000000-0005-0000-0000-0000C58D0000}"/>
    <cellStyle name="Normal 5 17 21 3 3" xfId="36294" xr:uid="{00000000-0005-0000-0000-0000C68D0000}"/>
    <cellStyle name="Normal 5 17 21 3 4" xfId="36295" xr:uid="{00000000-0005-0000-0000-0000C78D0000}"/>
    <cellStyle name="Normal 5 17 21 3 5" xfId="36296" xr:uid="{00000000-0005-0000-0000-0000C88D0000}"/>
    <cellStyle name="Normal 5 17 21 3 6" xfId="36297" xr:uid="{00000000-0005-0000-0000-0000C98D0000}"/>
    <cellStyle name="Normal 5 17 21 3 7" xfId="36298" xr:uid="{00000000-0005-0000-0000-0000CA8D0000}"/>
    <cellStyle name="Normal 5 17 21 3 8" xfId="36299" xr:uid="{00000000-0005-0000-0000-0000CB8D0000}"/>
    <cellStyle name="Normal 5 17 21 3 9" xfId="36300" xr:uid="{00000000-0005-0000-0000-0000CC8D0000}"/>
    <cellStyle name="Normal 5 17 21 4" xfId="36301" xr:uid="{00000000-0005-0000-0000-0000CD8D0000}"/>
    <cellStyle name="Normal 5 17 21 4 10" xfId="36302" xr:uid="{00000000-0005-0000-0000-0000CE8D0000}"/>
    <cellStyle name="Normal 5 17 21 4 2" xfId="36303" xr:uid="{00000000-0005-0000-0000-0000CF8D0000}"/>
    <cellStyle name="Normal 5 17 21 4 3" xfId="36304" xr:uid="{00000000-0005-0000-0000-0000D08D0000}"/>
    <cellStyle name="Normal 5 17 21 4 4" xfId="36305" xr:uid="{00000000-0005-0000-0000-0000D18D0000}"/>
    <cellStyle name="Normal 5 17 21 4 5" xfId="36306" xr:uid="{00000000-0005-0000-0000-0000D28D0000}"/>
    <cellStyle name="Normal 5 17 21 4 6" xfId="36307" xr:uid="{00000000-0005-0000-0000-0000D38D0000}"/>
    <cellStyle name="Normal 5 17 21 4 7" xfId="36308" xr:uid="{00000000-0005-0000-0000-0000D48D0000}"/>
    <cellStyle name="Normal 5 17 21 4 8" xfId="36309" xr:uid="{00000000-0005-0000-0000-0000D58D0000}"/>
    <cellStyle name="Normal 5 17 21 4 9" xfId="36310" xr:uid="{00000000-0005-0000-0000-0000D68D0000}"/>
    <cellStyle name="Normal 5 17 21 5" xfId="36311" xr:uid="{00000000-0005-0000-0000-0000D78D0000}"/>
    <cellStyle name="Normal 5 17 21 5 10" xfId="36312" xr:uid="{00000000-0005-0000-0000-0000D88D0000}"/>
    <cellStyle name="Normal 5 17 21 5 2" xfId="36313" xr:uid="{00000000-0005-0000-0000-0000D98D0000}"/>
    <cellStyle name="Normal 5 17 21 5 3" xfId="36314" xr:uid="{00000000-0005-0000-0000-0000DA8D0000}"/>
    <cellStyle name="Normal 5 17 21 5 4" xfId="36315" xr:uid="{00000000-0005-0000-0000-0000DB8D0000}"/>
    <cellStyle name="Normal 5 17 21 5 5" xfId="36316" xr:uid="{00000000-0005-0000-0000-0000DC8D0000}"/>
    <cellStyle name="Normal 5 17 21 5 6" xfId="36317" xr:uid="{00000000-0005-0000-0000-0000DD8D0000}"/>
    <cellStyle name="Normal 5 17 21 5 7" xfId="36318" xr:uid="{00000000-0005-0000-0000-0000DE8D0000}"/>
    <cellStyle name="Normal 5 17 21 5 8" xfId="36319" xr:uid="{00000000-0005-0000-0000-0000DF8D0000}"/>
    <cellStyle name="Normal 5 17 21 5 9" xfId="36320" xr:uid="{00000000-0005-0000-0000-0000E08D0000}"/>
    <cellStyle name="Normal 5 17 21 6" xfId="36321" xr:uid="{00000000-0005-0000-0000-0000E18D0000}"/>
    <cellStyle name="Normal 5 17 21 7" xfId="36322" xr:uid="{00000000-0005-0000-0000-0000E28D0000}"/>
    <cellStyle name="Normal 5 17 21 8" xfId="36323" xr:uid="{00000000-0005-0000-0000-0000E38D0000}"/>
    <cellStyle name="Normal 5 17 21 9" xfId="36324" xr:uid="{00000000-0005-0000-0000-0000E48D0000}"/>
    <cellStyle name="Normal 5 17 22" xfId="36325" xr:uid="{00000000-0005-0000-0000-0000E58D0000}"/>
    <cellStyle name="Normal 5 17 22 10" xfId="36326" xr:uid="{00000000-0005-0000-0000-0000E68D0000}"/>
    <cellStyle name="Normal 5 17 22 11" xfId="36327" xr:uid="{00000000-0005-0000-0000-0000E78D0000}"/>
    <cellStyle name="Normal 5 17 22 12" xfId="36328" xr:uid="{00000000-0005-0000-0000-0000E88D0000}"/>
    <cellStyle name="Normal 5 17 22 13" xfId="36329" xr:uid="{00000000-0005-0000-0000-0000E98D0000}"/>
    <cellStyle name="Normal 5 17 22 14" xfId="36330" xr:uid="{00000000-0005-0000-0000-0000EA8D0000}"/>
    <cellStyle name="Normal 5 17 22 2" xfId="36331" xr:uid="{00000000-0005-0000-0000-0000EB8D0000}"/>
    <cellStyle name="Normal 5 17 22 2 10" xfId="36332" xr:uid="{00000000-0005-0000-0000-0000EC8D0000}"/>
    <cellStyle name="Normal 5 17 22 2 2" xfId="36333" xr:uid="{00000000-0005-0000-0000-0000ED8D0000}"/>
    <cellStyle name="Normal 5 17 22 2 3" xfId="36334" xr:uid="{00000000-0005-0000-0000-0000EE8D0000}"/>
    <cellStyle name="Normal 5 17 22 2 4" xfId="36335" xr:uid="{00000000-0005-0000-0000-0000EF8D0000}"/>
    <cellStyle name="Normal 5 17 22 2 5" xfId="36336" xr:uid="{00000000-0005-0000-0000-0000F08D0000}"/>
    <cellStyle name="Normal 5 17 22 2 6" xfId="36337" xr:uid="{00000000-0005-0000-0000-0000F18D0000}"/>
    <cellStyle name="Normal 5 17 22 2 7" xfId="36338" xr:uid="{00000000-0005-0000-0000-0000F28D0000}"/>
    <cellStyle name="Normal 5 17 22 2 8" xfId="36339" xr:uid="{00000000-0005-0000-0000-0000F38D0000}"/>
    <cellStyle name="Normal 5 17 22 2 9" xfId="36340" xr:uid="{00000000-0005-0000-0000-0000F48D0000}"/>
    <cellStyle name="Normal 5 17 22 3" xfId="36341" xr:uid="{00000000-0005-0000-0000-0000F58D0000}"/>
    <cellStyle name="Normal 5 17 22 3 10" xfId="36342" xr:uid="{00000000-0005-0000-0000-0000F68D0000}"/>
    <cellStyle name="Normal 5 17 22 3 2" xfId="36343" xr:uid="{00000000-0005-0000-0000-0000F78D0000}"/>
    <cellStyle name="Normal 5 17 22 3 3" xfId="36344" xr:uid="{00000000-0005-0000-0000-0000F88D0000}"/>
    <cellStyle name="Normal 5 17 22 3 4" xfId="36345" xr:uid="{00000000-0005-0000-0000-0000F98D0000}"/>
    <cellStyle name="Normal 5 17 22 3 5" xfId="36346" xr:uid="{00000000-0005-0000-0000-0000FA8D0000}"/>
    <cellStyle name="Normal 5 17 22 3 6" xfId="36347" xr:uid="{00000000-0005-0000-0000-0000FB8D0000}"/>
    <cellStyle name="Normal 5 17 22 3 7" xfId="36348" xr:uid="{00000000-0005-0000-0000-0000FC8D0000}"/>
    <cellStyle name="Normal 5 17 22 3 8" xfId="36349" xr:uid="{00000000-0005-0000-0000-0000FD8D0000}"/>
    <cellStyle name="Normal 5 17 22 3 9" xfId="36350" xr:uid="{00000000-0005-0000-0000-0000FE8D0000}"/>
    <cellStyle name="Normal 5 17 22 4" xfId="36351" xr:uid="{00000000-0005-0000-0000-0000FF8D0000}"/>
    <cellStyle name="Normal 5 17 22 4 10" xfId="36352" xr:uid="{00000000-0005-0000-0000-0000008E0000}"/>
    <cellStyle name="Normal 5 17 22 4 2" xfId="36353" xr:uid="{00000000-0005-0000-0000-0000018E0000}"/>
    <cellStyle name="Normal 5 17 22 4 3" xfId="36354" xr:uid="{00000000-0005-0000-0000-0000028E0000}"/>
    <cellStyle name="Normal 5 17 22 4 4" xfId="36355" xr:uid="{00000000-0005-0000-0000-0000038E0000}"/>
    <cellStyle name="Normal 5 17 22 4 5" xfId="36356" xr:uid="{00000000-0005-0000-0000-0000048E0000}"/>
    <cellStyle name="Normal 5 17 22 4 6" xfId="36357" xr:uid="{00000000-0005-0000-0000-0000058E0000}"/>
    <cellStyle name="Normal 5 17 22 4 7" xfId="36358" xr:uid="{00000000-0005-0000-0000-0000068E0000}"/>
    <cellStyle name="Normal 5 17 22 4 8" xfId="36359" xr:uid="{00000000-0005-0000-0000-0000078E0000}"/>
    <cellStyle name="Normal 5 17 22 4 9" xfId="36360" xr:uid="{00000000-0005-0000-0000-0000088E0000}"/>
    <cellStyle name="Normal 5 17 22 5" xfId="36361" xr:uid="{00000000-0005-0000-0000-0000098E0000}"/>
    <cellStyle name="Normal 5 17 22 5 10" xfId="36362" xr:uid="{00000000-0005-0000-0000-00000A8E0000}"/>
    <cellStyle name="Normal 5 17 22 5 2" xfId="36363" xr:uid="{00000000-0005-0000-0000-00000B8E0000}"/>
    <cellStyle name="Normal 5 17 22 5 3" xfId="36364" xr:uid="{00000000-0005-0000-0000-00000C8E0000}"/>
    <cellStyle name="Normal 5 17 22 5 4" xfId="36365" xr:uid="{00000000-0005-0000-0000-00000D8E0000}"/>
    <cellStyle name="Normal 5 17 22 5 5" xfId="36366" xr:uid="{00000000-0005-0000-0000-00000E8E0000}"/>
    <cellStyle name="Normal 5 17 22 5 6" xfId="36367" xr:uid="{00000000-0005-0000-0000-00000F8E0000}"/>
    <cellStyle name="Normal 5 17 22 5 7" xfId="36368" xr:uid="{00000000-0005-0000-0000-0000108E0000}"/>
    <cellStyle name="Normal 5 17 22 5 8" xfId="36369" xr:uid="{00000000-0005-0000-0000-0000118E0000}"/>
    <cellStyle name="Normal 5 17 22 5 9" xfId="36370" xr:uid="{00000000-0005-0000-0000-0000128E0000}"/>
    <cellStyle name="Normal 5 17 22 6" xfId="36371" xr:uid="{00000000-0005-0000-0000-0000138E0000}"/>
    <cellStyle name="Normal 5 17 22 7" xfId="36372" xr:uid="{00000000-0005-0000-0000-0000148E0000}"/>
    <cellStyle name="Normal 5 17 22 8" xfId="36373" xr:uid="{00000000-0005-0000-0000-0000158E0000}"/>
    <cellStyle name="Normal 5 17 22 9" xfId="36374" xr:uid="{00000000-0005-0000-0000-0000168E0000}"/>
    <cellStyle name="Normal 5 17 23" xfId="36375" xr:uid="{00000000-0005-0000-0000-0000178E0000}"/>
    <cellStyle name="Normal 5 17 23 10" xfId="36376" xr:uid="{00000000-0005-0000-0000-0000188E0000}"/>
    <cellStyle name="Normal 5 17 23 11" xfId="36377" xr:uid="{00000000-0005-0000-0000-0000198E0000}"/>
    <cellStyle name="Normal 5 17 23 12" xfId="36378" xr:uid="{00000000-0005-0000-0000-00001A8E0000}"/>
    <cellStyle name="Normal 5 17 23 13" xfId="36379" xr:uid="{00000000-0005-0000-0000-00001B8E0000}"/>
    <cellStyle name="Normal 5 17 23 14" xfId="36380" xr:uid="{00000000-0005-0000-0000-00001C8E0000}"/>
    <cellStyle name="Normal 5 17 23 2" xfId="36381" xr:uid="{00000000-0005-0000-0000-00001D8E0000}"/>
    <cellStyle name="Normal 5 17 23 2 10" xfId="36382" xr:uid="{00000000-0005-0000-0000-00001E8E0000}"/>
    <cellStyle name="Normal 5 17 23 2 2" xfId="36383" xr:uid="{00000000-0005-0000-0000-00001F8E0000}"/>
    <cellStyle name="Normal 5 17 23 2 3" xfId="36384" xr:uid="{00000000-0005-0000-0000-0000208E0000}"/>
    <cellStyle name="Normal 5 17 23 2 4" xfId="36385" xr:uid="{00000000-0005-0000-0000-0000218E0000}"/>
    <cellStyle name="Normal 5 17 23 2 5" xfId="36386" xr:uid="{00000000-0005-0000-0000-0000228E0000}"/>
    <cellStyle name="Normal 5 17 23 2 6" xfId="36387" xr:uid="{00000000-0005-0000-0000-0000238E0000}"/>
    <cellStyle name="Normal 5 17 23 2 7" xfId="36388" xr:uid="{00000000-0005-0000-0000-0000248E0000}"/>
    <cellStyle name="Normal 5 17 23 2 8" xfId="36389" xr:uid="{00000000-0005-0000-0000-0000258E0000}"/>
    <cellStyle name="Normal 5 17 23 2 9" xfId="36390" xr:uid="{00000000-0005-0000-0000-0000268E0000}"/>
    <cellStyle name="Normal 5 17 23 3" xfId="36391" xr:uid="{00000000-0005-0000-0000-0000278E0000}"/>
    <cellStyle name="Normal 5 17 23 3 10" xfId="36392" xr:uid="{00000000-0005-0000-0000-0000288E0000}"/>
    <cellStyle name="Normal 5 17 23 3 2" xfId="36393" xr:uid="{00000000-0005-0000-0000-0000298E0000}"/>
    <cellStyle name="Normal 5 17 23 3 3" xfId="36394" xr:uid="{00000000-0005-0000-0000-00002A8E0000}"/>
    <cellStyle name="Normal 5 17 23 3 4" xfId="36395" xr:uid="{00000000-0005-0000-0000-00002B8E0000}"/>
    <cellStyle name="Normal 5 17 23 3 5" xfId="36396" xr:uid="{00000000-0005-0000-0000-00002C8E0000}"/>
    <cellStyle name="Normal 5 17 23 3 6" xfId="36397" xr:uid="{00000000-0005-0000-0000-00002D8E0000}"/>
    <cellStyle name="Normal 5 17 23 3 7" xfId="36398" xr:uid="{00000000-0005-0000-0000-00002E8E0000}"/>
    <cellStyle name="Normal 5 17 23 3 8" xfId="36399" xr:uid="{00000000-0005-0000-0000-00002F8E0000}"/>
    <cellStyle name="Normal 5 17 23 3 9" xfId="36400" xr:uid="{00000000-0005-0000-0000-0000308E0000}"/>
    <cellStyle name="Normal 5 17 23 4" xfId="36401" xr:uid="{00000000-0005-0000-0000-0000318E0000}"/>
    <cellStyle name="Normal 5 17 23 4 10" xfId="36402" xr:uid="{00000000-0005-0000-0000-0000328E0000}"/>
    <cellStyle name="Normal 5 17 23 4 2" xfId="36403" xr:uid="{00000000-0005-0000-0000-0000338E0000}"/>
    <cellStyle name="Normal 5 17 23 4 3" xfId="36404" xr:uid="{00000000-0005-0000-0000-0000348E0000}"/>
    <cellStyle name="Normal 5 17 23 4 4" xfId="36405" xr:uid="{00000000-0005-0000-0000-0000358E0000}"/>
    <cellStyle name="Normal 5 17 23 4 5" xfId="36406" xr:uid="{00000000-0005-0000-0000-0000368E0000}"/>
    <cellStyle name="Normal 5 17 23 4 6" xfId="36407" xr:uid="{00000000-0005-0000-0000-0000378E0000}"/>
    <cellStyle name="Normal 5 17 23 4 7" xfId="36408" xr:uid="{00000000-0005-0000-0000-0000388E0000}"/>
    <cellStyle name="Normal 5 17 23 4 8" xfId="36409" xr:uid="{00000000-0005-0000-0000-0000398E0000}"/>
    <cellStyle name="Normal 5 17 23 4 9" xfId="36410" xr:uid="{00000000-0005-0000-0000-00003A8E0000}"/>
    <cellStyle name="Normal 5 17 23 5" xfId="36411" xr:uid="{00000000-0005-0000-0000-00003B8E0000}"/>
    <cellStyle name="Normal 5 17 23 5 10" xfId="36412" xr:uid="{00000000-0005-0000-0000-00003C8E0000}"/>
    <cellStyle name="Normal 5 17 23 5 2" xfId="36413" xr:uid="{00000000-0005-0000-0000-00003D8E0000}"/>
    <cellStyle name="Normal 5 17 23 5 3" xfId="36414" xr:uid="{00000000-0005-0000-0000-00003E8E0000}"/>
    <cellStyle name="Normal 5 17 23 5 4" xfId="36415" xr:uid="{00000000-0005-0000-0000-00003F8E0000}"/>
    <cellStyle name="Normal 5 17 23 5 5" xfId="36416" xr:uid="{00000000-0005-0000-0000-0000408E0000}"/>
    <cellStyle name="Normal 5 17 23 5 6" xfId="36417" xr:uid="{00000000-0005-0000-0000-0000418E0000}"/>
    <cellStyle name="Normal 5 17 23 5 7" xfId="36418" xr:uid="{00000000-0005-0000-0000-0000428E0000}"/>
    <cellStyle name="Normal 5 17 23 5 8" xfId="36419" xr:uid="{00000000-0005-0000-0000-0000438E0000}"/>
    <cellStyle name="Normal 5 17 23 5 9" xfId="36420" xr:uid="{00000000-0005-0000-0000-0000448E0000}"/>
    <cellStyle name="Normal 5 17 23 6" xfId="36421" xr:uid="{00000000-0005-0000-0000-0000458E0000}"/>
    <cellStyle name="Normal 5 17 23 7" xfId="36422" xr:uid="{00000000-0005-0000-0000-0000468E0000}"/>
    <cellStyle name="Normal 5 17 23 8" xfId="36423" xr:uid="{00000000-0005-0000-0000-0000478E0000}"/>
    <cellStyle name="Normal 5 17 23 9" xfId="36424" xr:uid="{00000000-0005-0000-0000-0000488E0000}"/>
    <cellStyle name="Normal 5 17 24" xfId="36425" xr:uid="{00000000-0005-0000-0000-0000498E0000}"/>
    <cellStyle name="Normal 5 17 24 10" xfId="36426" xr:uid="{00000000-0005-0000-0000-00004A8E0000}"/>
    <cellStyle name="Normal 5 17 24 11" xfId="36427" xr:uid="{00000000-0005-0000-0000-00004B8E0000}"/>
    <cellStyle name="Normal 5 17 24 12" xfId="36428" xr:uid="{00000000-0005-0000-0000-00004C8E0000}"/>
    <cellStyle name="Normal 5 17 24 13" xfId="36429" xr:uid="{00000000-0005-0000-0000-00004D8E0000}"/>
    <cellStyle name="Normal 5 17 24 14" xfId="36430" xr:uid="{00000000-0005-0000-0000-00004E8E0000}"/>
    <cellStyle name="Normal 5 17 24 2" xfId="36431" xr:uid="{00000000-0005-0000-0000-00004F8E0000}"/>
    <cellStyle name="Normal 5 17 24 2 10" xfId="36432" xr:uid="{00000000-0005-0000-0000-0000508E0000}"/>
    <cellStyle name="Normal 5 17 24 2 2" xfId="36433" xr:uid="{00000000-0005-0000-0000-0000518E0000}"/>
    <cellStyle name="Normal 5 17 24 2 3" xfId="36434" xr:uid="{00000000-0005-0000-0000-0000528E0000}"/>
    <cellStyle name="Normal 5 17 24 2 4" xfId="36435" xr:uid="{00000000-0005-0000-0000-0000538E0000}"/>
    <cellStyle name="Normal 5 17 24 2 5" xfId="36436" xr:uid="{00000000-0005-0000-0000-0000548E0000}"/>
    <cellStyle name="Normal 5 17 24 2 6" xfId="36437" xr:uid="{00000000-0005-0000-0000-0000558E0000}"/>
    <cellStyle name="Normal 5 17 24 2 7" xfId="36438" xr:uid="{00000000-0005-0000-0000-0000568E0000}"/>
    <cellStyle name="Normal 5 17 24 2 8" xfId="36439" xr:uid="{00000000-0005-0000-0000-0000578E0000}"/>
    <cellStyle name="Normal 5 17 24 2 9" xfId="36440" xr:uid="{00000000-0005-0000-0000-0000588E0000}"/>
    <cellStyle name="Normal 5 17 24 3" xfId="36441" xr:uid="{00000000-0005-0000-0000-0000598E0000}"/>
    <cellStyle name="Normal 5 17 24 3 10" xfId="36442" xr:uid="{00000000-0005-0000-0000-00005A8E0000}"/>
    <cellStyle name="Normal 5 17 24 3 2" xfId="36443" xr:uid="{00000000-0005-0000-0000-00005B8E0000}"/>
    <cellStyle name="Normal 5 17 24 3 3" xfId="36444" xr:uid="{00000000-0005-0000-0000-00005C8E0000}"/>
    <cellStyle name="Normal 5 17 24 3 4" xfId="36445" xr:uid="{00000000-0005-0000-0000-00005D8E0000}"/>
    <cellStyle name="Normal 5 17 24 3 5" xfId="36446" xr:uid="{00000000-0005-0000-0000-00005E8E0000}"/>
    <cellStyle name="Normal 5 17 24 3 6" xfId="36447" xr:uid="{00000000-0005-0000-0000-00005F8E0000}"/>
    <cellStyle name="Normal 5 17 24 3 7" xfId="36448" xr:uid="{00000000-0005-0000-0000-0000608E0000}"/>
    <cellStyle name="Normal 5 17 24 3 8" xfId="36449" xr:uid="{00000000-0005-0000-0000-0000618E0000}"/>
    <cellStyle name="Normal 5 17 24 3 9" xfId="36450" xr:uid="{00000000-0005-0000-0000-0000628E0000}"/>
    <cellStyle name="Normal 5 17 24 4" xfId="36451" xr:uid="{00000000-0005-0000-0000-0000638E0000}"/>
    <cellStyle name="Normal 5 17 24 4 10" xfId="36452" xr:uid="{00000000-0005-0000-0000-0000648E0000}"/>
    <cellStyle name="Normal 5 17 24 4 2" xfId="36453" xr:uid="{00000000-0005-0000-0000-0000658E0000}"/>
    <cellStyle name="Normal 5 17 24 4 3" xfId="36454" xr:uid="{00000000-0005-0000-0000-0000668E0000}"/>
    <cellStyle name="Normal 5 17 24 4 4" xfId="36455" xr:uid="{00000000-0005-0000-0000-0000678E0000}"/>
    <cellStyle name="Normal 5 17 24 4 5" xfId="36456" xr:uid="{00000000-0005-0000-0000-0000688E0000}"/>
    <cellStyle name="Normal 5 17 24 4 6" xfId="36457" xr:uid="{00000000-0005-0000-0000-0000698E0000}"/>
    <cellStyle name="Normal 5 17 24 4 7" xfId="36458" xr:uid="{00000000-0005-0000-0000-00006A8E0000}"/>
    <cellStyle name="Normal 5 17 24 4 8" xfId="36459" xr:uid="{00000000-0005-0000-0000-00006B8E0000}"/>
    <cellStyle name="Normal 5 17 24 4 9" xfId="36460" xr:uid="{00000000-0005-0000-0000-00006C8E0000}"/>
    <cellStyle name="Normal 5 17 24 5" xfId="36461" xr:uid="{00000000-0005-0000-0000-00006D8E0000}"/>
    <cellStyle name="Normal 5 17 24 5 10" xfId="36462" xr:uid="{00000000-0005-0000-0000-00006E8E0000}"/>
    <cellStyle name="Normal 5 17 24 5 2" xfId="36463" xr:uid="{00000000-0005-0000-0000-00006F8E0000}"/>
    <cellStyle name="Normal 5 17 24 5 3" xfId="36464" xr:uid="{00000000-0005-0000-0000-0000708E0000}"/>
    <cellStyle name="Normal 5 17 24 5 4" xfId="36465" xr:uid="{00000000-0005-0000-0000-0000718E0000}"/>
    <cellStyle name="Normal 5 17 24 5 5" xfId="36466" xr:uid="{00000000-0005-0000-0000-0000728E0000}"/>
    <cellStyle name="Normal 5 17 24 5 6" xfId="36467" xr:uid="{00000000-0005-0000-0000-0000738E0000}"/>
    <cellStyle name="Normal 5 17 24 5 7" xfId="36468" xr:uid="{00000000-0005-0000-0000-0000748E0000}"/>
    <cellStyle name="Normal 5 17 24 5 8" xfId="36469" xr:uid="{00000000-0005-0000-0000-0000758E0000}"/>
    <cellStyle name="Normal 5 17 24 5 9" xfId="36470" xr:uid="{00000000-0005-0000-0000-0000768E0000}"/>
    <cellStyle name="Normal 5 17 24 6" xfId="36471" xr:uid="{00000000-0005-0000-0000-0000778E0000}"/>
    <cellStyle name="Normal 5 17 24 7" xfId="36472" xr:uid="{00000000-0005-0000-0000-0000788E0000}"/>
    <cellStyle name="Normal 5 17 24 8" xfId="36473" xr:uid="{00000000-0005-0000-0000-0000798E0000}"/>
    <cellStyle name="Normal 5 17 24 9" xfId="36474" xr:uid="{00000000-0005-0000-0000-00007A8E0000}"/>
    <cellStyle name="Normal 5 17 25" xfId="36475" xr:uid="{00000000-0005-0000-0000-00007B8E0000}"/>
    <cellStyle name="Normal 5 17 25 10" xfId="36476" xr:uid="{00000000-0005-0000-0000-00007C8E0000}"/>
    <cellStyle name="Normal 5 17 25 11" xfId="36477" xr:uid="{00000000-0005-0000-0000-00007D8E0000}"/>
    <cellStyle name="Normal 5 17 25 12" xfId="36478" xr:uid="{00000000-0005-0000-0000-00007E8E0000}"/>
    <cellStyle name="Normal 5 17 25 13" xfId="36479" xr:uid="{00000000-0005-0000-0000-00007F8E0000}"/>
    <cellStyle name="Normal 5 17 25 14" xfId="36480" xr:uid="{00000000-0005-0000-0000-0000808E0000}"/>
    <cellStyle name="Normal 5 17 25 2" xfId="36481" xr:uid="{00000000-0005-0000-0000-0000818E0000}"/>
    <cellStyle name="Normal 5 17 25 2 10" xfId="36482" xr:uid="{00000000-0005-0000-0000-0000828E0000}"/>
    <cellStyle name="Normal 5 17 25 2 2" xfId="36483" xr:uid="{00000000-0005-0000-0000-0000838E0000}"/>
    <cellStyle name="Normal 5 17 25 2 3" xfId="36484" xr:uid="{00000000-0005-0000-0000-0000848E0000}"/>
    <cellStyle name="Normal 5 17 25 2 4" xfId="36485" xr:uid="{00000000-0005-0000-0000-0000858E0000}"/>
    <cellStyle name="Normal 5 17 25 2 5" xfId="36486" xr:uid="{00000000-0005-0000-0000-0000868E0000}"/>
    <cellStyle name="Normal 5 17 25 2 6" xfId="36487" xr:uid="{00000000-0005-0000-0000-0000878E0000}"/>
    <cellStyle name="Normal 5 17 25 2 7" xfId="36488" xr:uid="{00000000-0005-0000-0000-0000888E0000}"/>
    <cellStyle name="Normal 5 17 25 2 8" xfId="36489" xr:uid="{00000000-0005-0000-0000-0000898E0000}"/>
    <cellStyle name="Normal 5 17 25 2 9" xfId="36490" xr:uid="{00000000-0005-0000-0000-00008A8E0000}"/>
    <cellStyle name="Normal 5 17 25 3" xfId="36491" xr:uid="{00000000-0005-0000-0000-00008B8E0000}"/>
    <cellStyle name="Normal 5 17 25 3 10" xfId="36492" xr:uid="{00000000-0005-0000-0000-00008C8E0000}"/>
    <cellStyle name="Normal 5 17 25 3 2" xfId="36493" xr:uid="{00000000-0005-0000-0000-00008D8E0000}"/>
    <cellStyle name="Normal 5 17 25 3 3" xfId="36494" xr:uid="{00000000-0005-0000-0000-00008E8E0000}"/>
    <cellStyle name="Normal 5 17 25 3 4" xfId="36495" xr:uid="{00000000-0005-0000-0000-00008F8E0000}"/>
    <cellStyle name="Normal 5 17 25 3 5" xfId="36496" xr:uid="{00000000-0005-0000-0000-0000908E0000}"/>
    <cellStyle name="Normal 5 17 25 3 6" xfId="36497" xr:uid="{00000000-0005-0000-0000-0000918E0000}"/>
    <cellStyle name="Normal 5 17 25 3 7" xfId="36498" xr:uid="{00000000-0005-0000-0000-0000928E0000}"/>
    <cellStyle name="Normal 5 17 25 3 8" xfId="36499" xr:uid="{00000000-0005-0000-0000-0000938E0000}"/>
    <cellStyle name="Normal 5 17 25 3 9" xfId="36500" xr:uid="{00000000-0005-0000-0000-0000948E0000}"/>
    <cellStyle name="Normal 5 17 25 4" xfId="36501" xr:uid="{00000000-0005-0000-0000-0000958E0000}"/>
    <cellStyle name="Normal 5 17 25 4 10" xfId="36502" xr:uid="{00000000-0005-0000-0000-0000968E0000}"/>
    <cellStyle name="Normal 5 17 25 4 2" xfId="36503" xr:uid="{00000000-0005-0000-0000-0000978E0000}"/>
    <cellStyle name="Normal 5 17 25 4 3" xfId="36504" xr:uid="{00000000-0005-0000-0000-0000988E0000}"/>
    <cellStyle name="Normal 5 17 25 4 4" xfId="36505" xr:uid="{00000000-0005-0000-0000-0000998E0000}"/>
    <cellStyle name="Normal 5 17 25 4 5" xfId="36506" xr:uid="{00000000-0005-0000-0000-00009A8E0000}"/>
    <cellStyle name="Normal 5 17 25 4 6" xfId="36507" xr:uid="{00000000-0005-0000-0000-00009B8E0000}"/>
    <cellStyle name="Normal 5 17 25 4 7" xfId="36508" xr:uid="{00000000-0005-0000-0000-00009C8E0000}"/>
    <cellStyle name="Normal 5 17 25 4 8" xfId="36509" xr:uid="{00000000-0005-0000-0000-00009D8E0000}"/>
    <cellStyle name="Normal 5 17 25 4 9" xfId="36510" xr:uid="{00000000-0005-0000-0000-00009E8E0000}"/>
    <cellStyle name="Normal 5 17 25 5" xfId="36511" xr:uid="{00000000-0005-0000-0000-00009F8E0000}"/>
    <cellStyle name="Normal 5 17 25 5 10" xfId="36512" xr:uid="{00000000-0005-0000-0000-0000A08E0000}"/>
    <cellStyle name="Normal 5 17 25 5 2" xfId="36513" xr:uid="{00000000-0005-0000-0000-0000A18E0000}"/>
    <cellStyle name="Normal 5 17 25 5 3" xfId="36514" xr:uid="{00000000-0005-0000-0000-0000A28E0000}"/>
    <cellStyle name="Normal 5 17 25 5 4" xfId="36515" xr:uid="{00000000-0005-0000-0000-0000A38E0000}"/>
    <cellStyle name="Normal 5 17 25 5 5" xfId="36516" xr:uid="{00000000-0005-0000-0000-0000A48E0000}"/>
    <cellStyle name="Normal 5 17 25 5 6" xfId="36517" xr:uid="{00000000-0005-0000-0000-0000A58E0000}"/>
    <cellStyle name="Normal 5 17 25 5 7" xfId="36518" xr:uid="{00000000-0005-0000-0000-0000A68E0000}"/>
    <cellStyle name="Normal 5 17 25 5 8" xfId="36519" xr:uid="{00000000-0005-0000-0000-0000A78E0000}"/>
    <cellStyle name="Normal 5 17 25 5 9" xfId="36520" xr:uid="{00000000-0005-0000-0000-0000A88E0000}"/>
    <cellStyle name="Normal 5 17 25 6" xfId="36521" xr:uid="{00000000-0005-0000-0000-0000A98E0000}"/>
    <cellStyle name="Normal 5 17 25 7" xfId="36522" xr:uid="{00000000-0005-0000-0000-0000AA8E0000}"/>
    <cellStyle name="Normal 5 17 25 8" xfId="36523" xr:uid="{00000000-0005-0000-0000-0000AB8E0000}"/>
    <cellStyle name="Normal 5 17 25 9" xfId="36524" xr:uid="{00000000-0005-0000-0000-0000AC8E0000}"/>
    <cellStyle name="Normal 5 17 26" xfId="36525" xr:uid="{00000000-0005-0000-0000-0000AD8E0000}"/>
    <cellStyle name="Normal 5 17 26 10" xfId="36526" xr:uid="{00000000-0005-0000-0000-0000AE8E0000}"/>
    <cellStyle name="Normal 5 17 26 11" xfId="36527" xr:uid="{00000000-0005-0000-0000-0000AF8E0000}"/>
    <cellStyle name="Normal 5 17 26 12" xfId="36528" xr:uid="{00000000-0005-0000-0000-0000B08E0000}"/>
    <cellStyle name="Normal 5 17 26 13" xfId="36529" xr:uid="{00000000-0005-0000-0000-0000B18E0000}"/>
    <cellStyle name="Normal 5 17 26 14" xfId="36530" xr:uid="{00000000-0005-0000-0000-0000B28E0000}"/>
    <cellStyle name="Normal 5 17 26 2" xfId="36531" xr:uid="{00000000-0005-0000-0000-0000B38E0000}"/>
    <cellStyle name="Normal 5 17 26 2 10" xfId="36532" xr:uid="{00000000-0005-0000-0000-0000B48E0000}"/>
    <cellStyle name="Normal 5 17 26 2 2" xfId="36533" xr:uid="{00000000-0005-0000-0000-0000B58E0000}"/>
    <cellStyle name="Normal 5 17 26 2 3" xfId="36534" xr:uid="{00000000-0005-0000-0000-0000B68E0000}"/>
    <cellStyle name="Normal 5 17 26 2 4" xfId="36535" xr:uid="{00000000-0005-0000-0000-0000B78E0000}"/>
    <cellStyle name="Normal 5 17 26 2 5" xfId="36536" xr:uid="{00000000-0005-0000-0000-0000B88E0000}"/>
    <cellStyle name="Normal 5 17 26 2 6" xfId="36537" xr:uid="{00000000-0005-0000-0000-0000B98E0000}"/>
    <cellStyle name="Normal 5 17 26 2 7" xfId="36538" xr:uid="{00000000-0005-0000-0000-0000BA8E0000}"/>
    <cellStyle name="Normal 5 17 26 2 8" xfId="36539" xr:uid="{00000000-0005-0000-0000-0000BB8E0000}"/>
    <cellStyle name="Normal 5 17 26 2 9" xfId="36540" xr:uid="{00000000-0005-0000-0000-0000BC8E0000}"/>
    <cellStyle name="Normal 5 17 26 3" xfId="36541" xr:uid="{00000000-0005-0000-0000-0000BD8E0000}"/>
    <cellStyle name="Normal 5 17 26 3 10" xfId="36542" xr:uid="{00000000-0005-0000-0000-0000BE8E0000}"/>
    <cellStyle name="Normal 5 17 26 3 2" xfId="36543" xr:uid="{00000000-0005-0000-0000-0000BF8E0000}"/>
    <cellStyle name="Normal 5 17 26 3 3" xfId="36544" xr:uid="{00000000-0005-0000-0000-0000C08E0000}"/>
    <cellStyle name="Normal 5 17 26 3 4" xfId="36545" xr:uid="{00000000-0005-0000-0000-0000C18E0000}"/>
    <cellStyle name="Normal 5 17 26 3 5" xfId="36546" xr:uid="{00000000-0005-0000-0000-0000C28E0000}"/>
    <cellStyle name="Normal 5 17 26 3 6" xfId="36547" xr:uid="{00000000-0005-0000-0000-0000C38E0000}"/>
    <cellStyle name="Normal 5 17 26 3 7" xfId="36548" xr:uid="{00000000-0005-0000-0000-0000C48E0000}"/>
    <cellStyle name="Normal 5 17 26 3 8" xfId="36549" xr:uid="{00000000-0005-0000-0000-0000C58E0000}"/>
    <cellStyle name="Normal 5 17 26 3 9" xfId="36550" xr:uid="{00000000-0005-0000-0000-0000C68E0000}"/>
    <cellStyle name="Normal 5 17 26 4" xfId="36551" xr:uid="{00000000-0005-0000-0000-0000C78E0000}"/>
    <cellStyle name="Normal 5 17 26 4 10" xfId="36552" xr:uid="{00000000-0005-0000-0000-0000C88E0000}"/>
    <cellStyle name="Normal 5 17 26 4 2" xfId="36553" xr:uid="{00000000-0005-0000-0000-0000C98E0000}"/>
    <cellStyle name="Normal 5 17 26 4 3" xfId="36554" xr:uid="{00000000-0005-0000-0000-0000CA8E0000}"/>
    <cellStyle name="Normal 5 17 26 4 4" xfId="36555" xr:uid="{00000000-0005-0000-0000-0000CB8E0000}"/>
    <cellStyle name="Normal 5 17 26 4 5" xfId="36556" xr:uid="{00000000-0005-0000-0000-0000CC8E0000}"/>
    <cellStyle name="Normal 5 17 26 4 6" xfId="36557" xr:uid="{00000000-0005-0000-0000-0000CD8E0000}"/>
    <cellStyle name="Normal 5 17 26 4 7" xfId="36558" xr:uid="{00000000-0005-0000-0000-0000CE8E0000}"/>
    <cellStyle name="Normal 5 17 26 4 8" xfId="36559" xr:uid="{00000000-0005-0000-0000-0000CF8E0000}"/>
    <cellStyle name="Normal 5 17 26 4 9" xfId="36560" xr:uid="{00000000-0005-0000-0000-0000D08E0000}"/>
    <cellStyle name="Normal 5 17 26 5" xfId="36561" xr:uid="{00000000-0005-0000-0000-0000D18E0000}"/>
    <cellStyle name="Normal 5 17 26 5 10" xfId="36562" xr:uid="{00000000-0005-0000-0000-0000D28E0000}"/>
    <cellStyle name="Normal 5 17 26 5 2" xfId="36563" xr:uid="{00000000-0005-0000-0000-0000D38E0000}"/>
    <cellStyle name="Normal 5 17 26 5 3" xfId="36564" xr:uid="{00000000-0005-0000-0000-0000D48E0000}"/>
    <cellStyle name="Normal 5 17 26 5 4" xfId="36565" xr:uid="{00000000-0005-0000-0000-0000D58E0000}"/>
    <cellStyle name="Normal 5 17 26 5 5" xfId="36566" xr:uid="{00000000-0005-0000-0000-0000D68E0000}"/>
    <cellStyle name="Normal 5 17 26 5 6" xfId="36567" xr:uid="{00000000-0005-0000-0000-0000D78E0000}"/>
    <cellStyle name="Normal 5 17 26 5 7" xfId="36568" xr:uid="{00000000-0005-0000-0000-0000D88E0000}"/>
    <cellStyle name="Normal 5 17 26 5 8" xfId="36569" xr:uid="{00000000-0005-0000-0000-0000D98E0000}"/>
    <cellStyle name="Normal 5 17 26 5 9" xfId="36570" xr:uid="{00000000-0005-0000-0000-0000DA8E0000}"/>
    <cellStyle name="Normal 5 17 26 6" xfId="36571" xr:uid="{00000000-0005-0000-0000-0000DB8E0000}"/>
    <cellStyle name="Normal 5 17 26 7" xfId="36572" xr:uid="{00000000-0005-0000-0000-0000DC8E0000}"/>
    <cellStyle name="Normal 5 17 26 8" xfId="36573" xr:uid="{00000000-0005-0000-0000-0000DD8E0000}"/>
    <cellStyle name="Normal 5 17 26 9" xfId="36574" xr:uid="{00000000-0005-0000-0000-0000DE8E0000}"/>
    <cellStyle name="Normal 5 17 27" xfId="36575" xr:uid="{00000000-0005-0000-0000-0000DF8E0000}"/>
    <cellStyle name="Normal 5 17 27 10" xfId="36576" xr:uid="{00000000-0005-0000-0000-0000E08E0000}"/>
    <cellStyle name="Normal 5 17 27 11" xfId="36577" xr:uid="{00000000-0005-0000-0000-0000E18E0000}"/>
    <cellStyle name="Normal 5 17 27 12" xfId="36578" xr:uid="{00000000-0005-0000-0000-0000E28E0000}"/>
    <cellStyle name="Normal 5 17 27 13" xfId="36579" xr:uid="{00000000-0005-0000-0000-0000E38E0000}"/>
    <cellStyle name="Normal 5 17 27 14" xfId="36580" xr:uid="{00000000-0005-0000-0000-0000E48E0000}"/>
    <cellStyle name="Normal 5 17 27 2" xfId="36581" xr:uid="{00000000-0005-0000-0000-0000E58E0000}"/>
    <cellStyle name="Normal 5 17 27 2 10" xfId="36582" xr:uid="{00000000-0005-0000-0000-0000E68E0000}"/>
    <cellStyle name="Normal 5 17 27 2 2" xfId="36583" xr:uid="{00000000-0005-0000-0000-0000E78E0000}"/>
    <cellStyle name="Normal 5 17 27 2 3" xfId="36584" xr:uid="{00000000-0005-0000-0000-0000E88E0000}"/>
    <cellStyle name="Normal 5 17 27 2 4" xfId="36585" xr:uid="{00000000-0005-0000-0000-0000E98E0000}"/>
    <cellStyle name="Normal 5 17 27 2 5" xfId="36586" xr:uid="{00000000-0005-0000-0000-0000EA8E0000}"/>
    <cellStyle name="Normal 5 17 27 2 6" xfId="36587" xr:uid="{00000000-0005-0000-0000-0000EB8E0000}"/>
    <cellStyle name="Normal 5 17 27 2 7" xfId="36588" xr:uid="{00000000-0005-0000-0000-0000EC8E0000}"/>
    <cellStyle name="Normal 5 17 27 2 8" xfId="36589" xr:uid="{00000000-0005-0000-0000-0000ED8E0000}"/>
    <cellStyle name="Normal 5 17 27 2 9" xfId="36590" xr:uid="{00000000-0005-0000-0000-0000EE8E0000}"/>
    <cellStyle name="Normal 5 17 27 3" xfId="36591" xr:uid="{00000000-0005-0000-0000-0000EF8E0000}"/>
    <cellStyle name="Normal 5 17 27 3 10" xfId="36592" xr:uid="{00000000-0005-0000-0000-0000F08E0000}"/>
    <cellStyle name="Normal 5 17 27 3 2" xfId="36593" xr:uid="{00000000-0005-0000-0000-0000F18E0000}"/>
    <cellStyle name="Normal 5 17 27 3 3" xfId="36594" xr:uid="{00000000-0005-0000-0000-0000F28E0000}"/>
    <cellStyle name="Normal 5 17 27 3 4" xfId="36595" xr:uid="{00000000-0005-0000-0000-0000F38E0000}"/>
    <cellStyle name="Normal 5 17 27 3 5" xfId="36596" xr:uid="{00000000-0005-0000-0000-0000F48E0000}"/>
    <cellStyle name="Normal 5 17 27 3 6" xfId="36597" xr:uid="{00000000-0005-0000-0000-0000F58E0000}"/>
    <cellStyle name="Normal 5 17 27 3 7" xfId="36598" xr:uid="{00000000-0005-0000-0000-0000F68E0000}"/>
    <cellStyle name="Normal 5 17 27 3 8" xfId="36599" xr:uid="{00000000-0005-0000-0000-0000F78E0000}"/>
    <cellStyle name="Normal 5 17 27 3 9" xfId="36600" xr:uid="{00000000-0005-0000-0000-0000F88E0000}"/>
    <cellStyle name="Normal 5 17 27 4" xfId="36601" xr:uid="{00000000-0005-0000-0000-0000F98E0000}"/>
    <cellStyle name="Normal 5 17 27 4 10" xfId="36602" xr:uid="{00000000-0005-0000-0000-0000FA8E0000}"/>
    <cellStyle name="Normal 5 17 27 4 2" xfId="36603" xr:uid="{00000000-0005-0000-0000-0000FB8E0000}"/>
    <cellStyle name="Normal 5 17 27 4 3" xfId="36604" xr:uid="{00000000-0005-0000-0000-0000FC8E0000}"/>
    <cellStyle name="Normal 5 17 27 4 4" xfId="36605" xr:uid="{00000000-0005-0000-0000-0000FD8E0000}"/>
    <cellStyle name="Normal 5 17 27 4 5" xfId="36606" xr:uid="{00000000-0005-0000-0000-0000FE8E0000}"/>
    <cellStyle name="Normal 5 17 27 4 6" xfId="36607" xr:uid="{00000000-0005-0000-0000-0000FF8E0000}"/>
    <cellStyle name="Normal 5 17 27 4 7" xfId="36608" xr:uid="{00000000-0005-0000-0000-0000008F0000}"/>
    <cellStyle name="Normal 5 17 27 4 8" xfId="36609" xr:uid="{00000000-0005-0000-0000-0000018F0000}"/>
    <cellStyle name="Normal 5 17 27 4 9" xfId="36610" xr:uid="{00000000-0005-0000-0000-0000028F0000}"/>
    <cellStyle name="Normal 5 17 27 5" xfId="36611" xr:uid="{00000000-0005-0000-0000-0000038F0000}"/>
    <cellStyle name="Normal 5 17 27 5 10" xfId="36612" xr:uid="{00000000-0005-0000-0000-0000048F0000}"/>
    <cellStyle name="Normal 5 17 27 5 2" xfId="36613" xr:uid="{00000000-0005-0000-0000-0000058F0000}"/>
    <cellStyle name="Normal 5 17 27 5 3" xfId="36614" xr:uid="{00000000-0005-0000-0000-0000068F0000}"/>
    <cellStyle name="Normal 5 17 27 5 4" xfId="36615" xr:uid="{00000000-0005-0000-0000-0000078F0000}"/>
    <cellStyle name="Normal 5 17 27 5 5" xfId="36616" xr:uid="{00000000-0005-0000-0000-0000088F0000}"/>
    <cellStyle name="Normal 5 17 27 5 6" xfId="36617" xr:uid="{00000000-0005-0000-0000-0000098F0000}"/>
    <cellStyle name="Normal 5 17 27 5 7" xfId="36618" xr:uid="{00000000-0005-0000-0000-00000A8F0000}"/>
    <cellStyle name="Normal 5 17 27 5 8" xfId="36619" xr:uid="{00000000-0005-0000-0000-00000B8F0000}"/>
    <cellStyle name="Normal 5 17 27 5 9" xfId="36620" xr:uid="{00000000-0005-0000-0000-00000C8F0000}"/>
    <cellStyle name="Normal 5 17 27 6" xfId="36621" xr:uid="{00000000-0005-0000-0000-00000D8F0000}"/>
    <cellStyle name="Normal 5 17 27 7" xfId="36622" xr:uid="{00000000-0005-0000-0000-00000E8F0000}"/>
    <cellStyle name="Normal 5 17 27 8" xfId="36623" xr:uid="{00000000-0005-0000-0000-00000F8F0000}"/>
    <cellStyle name="Normal 5 17 27 9" xfId="36624" xr:uid="{00000000-0005-0000-0000-0000108F0000}"/>
    <cellStyle name="Normal 5 17 28" xfId="36625" xr:uid="{00000000-0005-0000-0000-0000118F0000}"/>
    <cellStyle name="Normal 5 17 28 10" xfId="36626" xr:uid="{00000000-0005-0000-0000-0000128F0000}"/>
    <cellStyle name="Normal 5 17 28 11" xfId="36627" xr:uid="{00000000-0005-0000-0000-0000138F0000}"/>
    <cellStyle name="Normal 5 17 28 12" xfId="36628" xr:uid="{00000000-0005-0000-0000-0000148F0000}"/>
    <cellStyle name="Normal 5 17 28 13" xfId="36629" xr:uid="{00000000-0005-0000-0000-0000158F0000}"/>
    <cellStyle name="Normal 5 17 28 14" xfId="36630" xr:uid="{00000000-0005-0000-0000-0000168F0000}"/>
    <cellStyle name="Normal 5 17 28 2" xfId="36631" xr:uid="{00000000-0005-0000-0000-0000178F0000}"/>
    <cellStyle name="Normal 5 17 28 2 10" xfId="36632" xr:uid="{00000000-0005-0000-0000-0000188F0000}"/>
    <cellStyle name="Normal 5 17 28 2 2" xfId="36633" xr:uid="{00000000-0005-0000-0000-0000198F0000}"/>
    <cellStyle name="Normal 5 17 28 2 3" xfId="36634" xr:uid="{00000000-0005-0000-0000-00001A8F0000}"/>
    <cellStyle name="Normal 5 17 28 2 4" xfId="36635" xr:uid="{00000000-0005-0000-0000-00001B8F0000}"/>
    <cellStyle name="Normal 5 17 28 2 5" xfId="36636" xr:uid="{00000000-0005-0000-0000-00001C8F0000}"/>
    <cellStyle name="Normal 5 17 28 2 6" xfId="36637" xr:uid="{00000000-0005-0000-0000-00001D8F0000}"/>
    <cellStyle name="Normal 5 17 28 2 7" xfId="36638" xr:uid="{00000000-0005-0000-0000-00001E8F0000}"/>
    <cellStyle name="Normal 5 17 28 2 8" xfId="36639" xr:uid="{00000000-0005-0000-0000-00001F8F0000}"/>
    <cellStyle name="Normal 5 17 28 2 9" xfId="36640" xr:uid="{00000000-0005-0000-0000-0000208F0000}"/>
    <cellStyle name="Normal 5 17 28 3" xfId="36641" xr:uid="{00000000-0005-0000-0000-0000218F0000}"/>
    <cellStyle name="Normal 5 17 28 3 10" xfId="36642" xr:uid="{00000000-0005-0000-0000-0000228F0000}"/>
    <cellStyle name="Normal 5 17 28 3 2" xfId="36643" xr:uid="{00000000-0005-0000-0000-0000238F0000}"/>
    <cellStyle name="Normal 5 17 28 3 3" xfId="36644" xr:uid="{00000000-0005-0000-0000-0000248F0000}"/>
    <cellStyle name="Normal 5 17 28 3 4" xfId="36645" xr:uid="{00000000-0005-0000-0000-0000258F0000}"/>
    <cellStyle name="Normal 5 17 28 3 5" xfId="36646" xr:uid="{00000000-0005-0000-0000-0000268F0000}"/>
    <cellStyle name="Normal 5 17 28 3 6" xfId="36647" xr:uid="{00000000-0005-0000-0000-0000278F0000}"/>
    <cellStyle name="Normal 5 17 28 3 7" xfId="36648" xr:uid="{00000000-0005-0000-0000-0000288F0000}"/>
    <cellStyle name="Normal 5 17 28 3 8" xfId="36649" xr:uid="{00000000-0005-0000-0000-0000298F0000}"/>
    <cellStyle name="Normal 5 17 28 3 9" xfId="36650" xr:uid="{00000000-0005-0000-0000-00002A8F0000}"/>
    <cellStyle name="Normal 5 17 28 4" xfId="36651" xr:uid="{00000000-0005-0000-0000-00002B8F0000}"/>
    <cellStyle name="Normal 5 17 28 4 10" xfId="36652" xr:uid="{00000000-0005-0000-0000-00002C8F0000}"/>
    <cellStyle name="Normal 5 17 28 4 2" xfId="36653" xr:uid="{00000000-0005-0000-0000-00002D8F0000}"/>
    <cellStyle name="Normal 5 17 28 4 3" xfId="36654" xr:uid="{00000000-0005-0000-0000-00002E8F0000}"/>
    <cellStyle name="Normal 5 17 28 4 4" xfId="36655" xr:uid="{00000000-0005-0000-0000-00002F8F0000}"/>
    <cellStyle name="Normal 5 17 28 4 5" xfId="36656" xr:uid="{00000000-0005-0000-0000-0000308F0000}"/>
    <cellStyle name="Normal 5 17 28 4 6" xfId="36657" xr:uid="{00000000-0005-0000-0000-0000318F0000}"/>
    <cellStyle name="Normal 5 17 28 4 7" xfId="36658" xr:uid="{00000000-0005-0000-0000-0000328F0000}"/>
    <cellStyle name="Normal 5 17 28 4 8" xfId="36659" xr:uid="{00000000-0005-0000-0000-0000338F0000}"/>
    <cellStyle name="Normal 5 17 28 4 9" xfId="36660" xr:uid="{00000000-0005-0000-0000-0000348F0000}"/>
    <cellStyle name="Normal 5 17 28 5" xfId="36661" xr:uid="{00000000-0005-0000-0000-0000358F0000}"/>
    <cellStyle name="Normal 5 17 28 5 10" xfId="36662" xr:uid="{00000000-0005-0000-0000-0000368F0000}"/>
    <cellStyle name="Normal 5 17 28 5 2" xfId="36663" xr:uid="{00000000-0005-0000-0000-0000378F0000}"/>
    <cellStyle name="Normal 5 17 28 5 3" xfId="36664" xr:uid="{00000000-0005-0000-0000-0000388F0000}"/>
    <cellStyle name="Normal 5 17 28 5 4" xfId="36665" xr:uid="{00000000-0005-0000-0000-0000398F0000}"/>
    <cellStyle name="Normal 5 17 28 5 5" xfId="36666" xr:uid="{00000000-0005-0000-0000-00003A8F0000}"/>
    <cellStyle name="Normal 5 17 28 5 6" xfId="36667" xr:uid="{00000000-0005-0000-0000-00003B8F0000}"/>
    <cellStyle name="Normal 5 17 28 5 7" xfId="36668" xr:uid="{00000000-0005-0000-0000-00003C8F0000}"/>
    <cellStyle name="Normal 5 17 28 5 8" xfId="36669" xr:uid="{00000000-0005-0000-0000-00003D8F0000}"/>
    <cellStyle name="Normal 5 17 28 5 9" xfId="36670" xr:uid="{00000000-0005-0000-0000-00003E8F0000}"/>
    <cellStyle name="Normal 5 17 28 6" xfId="36671" xr:uid="{00000000-0005-0000-0000-00003F8F0000}"/>
    <cellStyle name="Normal 5 17 28 7" xfId="36672" xr:uid="{00000000-0005-0000-0000-0000408F0000}"/>
    <cellStyle name="Normal 5 17 28 8" xfId="36673" xr:uid="{00000000-0005-0000-0000-0000418F0000}"/>
    <cellStyle name="Normal 5 17 28 9" xfId="36674" xr:uid="{00000000-0005-0000-0000-0000428F0000}"/>
    <cellStyle name="Normal 5 17 29" xfId="36675" xr:uid="{00000000-0005-0000-0000-0000438F0000}"/>
    <cellStyle name="Normal 5 17 29 10" xfId="36676" xr:uid="{00000000-0005-0000-0000-0000448F0000}"/>
    <cellStyle name="Normal 5 17 29 11" xfId="36677" xr:uid="{00000000-0005-0000-0000-0000458F0000}"/>
    <cellStyle name="Normal 5 17 29 12" xfId="36678" xr:uid="{00000000-0005-0000-0000-0000468F0000}"/>
    <cellStyle name="Normal 5 17 29 13" xfId="36679" xr:uid="{00000000-0005-0000-0000-0000478F0000}"/>
    <cellStyle name="Normal 5 17 29 14" xfId="36680" xr:uid="{00000000-0005-0000-0000-0000488F0000}"/>
    <cellStyle name="Normal 5 17 29 2" xfId="36681" xr:uid="{00000000-0005-0000-0000-0000498F0000}"/>
    <cellStyle name="Normal 5 17 29 2 10" xfId="36682" xr:uid="{00000000-0005-0000-0000-00004A8F0000}"/>
    <cellStyle name="Normal 5 17 29 2 2" xfId="36683" xr:uid="{00000000-0005-0000-0000-00004B8F0000}"/>
    <cellStyle name="Normal 5 17 29 2 3" xfId="36684" xr:uid="{00000000-0005-0000-0000-00004C8F0000}"/>
    <cellStyle name="Normal 5 17 29 2 4" xfId="36685" xr:uid="{00000000-0005-0000-0000-00004D8F0000}"/>
    <cellStyle name="Normal 5 17 29 2 5" xfId="36686" xr:uid="{00000000-0005-0000-0000-00004E8F0000}"/>
    <cellStyle name="Normal 5 17 29 2 6" xfId="36687" xr:uid="{00000000-0005-0000-0000-00004F8F0000}"/>
    <cellStyle name="Normal 5 17 29 2 7" xfId="36688" xr:uid="{00000000-0005-0000-0000-0000508F0000}"/>
    <cellStyle name="Normal 5 17 29 2 8" xfId="36689" xr:uid="{00000000-0005-0000-0000-0000518F0000}"/>
    <cellStyle name="Normal 5 17 29 2 9" xfId="36690" xr:uid="{00000000-0005-0000-0000-0000528F0000}"/>
    <cellStyle name="Normal 5 17 29 3" xfId="36691" xr:uid="{00000000-0005-0000-0000-0000538F0000}"/>
    <cellStyle name="Normal 5 17 29 3 10" xfId="36692" xr:uid="{00000000-0005-0000-0000-0000548F0000}"/>
    <cellStyle name="Normal 5 17 29 3 2" xfId="36693" xr:uid="{00000000-0005-0000-0000-0000558F0000}"/>
    <cellStyle name="Normal 5 17 29 3 3" xfId="36694" xr:uid="{00000000-0005-0000-0000-0000568F0000}"/>
    <cellStyle name="Normal 5 17 29 3 4" xfId="36695" xr:uid="{00000000-0005-0000-0000-0000578F0000}"/>
    <cellStyle name="Normal 5 17 29 3 5" xfId="36696" xr:uid="{00000000-0005-0000-0000-0000588F0000}"/>
    <cellStyle name="Normal 5 17 29 3 6" xfId="36697" xr:uid="{00000000-0005-0000-0000-0000598F0000}"/>
    <cellStyle name="Normal 5 17 29 3 7" xfId="36698" xr:uid="{00000000-0005-0000-0000-00005A8F0000}"/>
    <cellStyle name="Normal 5 17 29 3 8" xfId="36699" xr:uid="{00000000-0005-0000-0000-00005B8F0000}"/>
    <cellStyle name="Normal 5 17 29 3 9" xfId="36700" xr:uid="{00000000-0005-0000-0000-00005C8F0000}"/>
    <cellStyle name="Normal 5 17 29 4" xfId="36701" xr:uid="{00000000-0005-0000-0000-00005D8F0000}"/>
    <cellStyle name="Normal 5 17 29 4 10" xfId="36702" xr:uid="{00000000-0005-0000-0000-00005E8F0000}"/>
    <cellStyle name="Normal 5 17 29 4 2" xfId="36703" xr:uid="{00000000-0005-0000-0000-00005F8F0000}"/>
    <cellStyle name="Normal 5 17 29 4 3" xfId="36704" xr:uid="{00000000-0005-0000-0000-0000608F0000}"/>
    <cellStyle name="Normal 5 17 29 4 4" xfId="36705" xr:uid="{00000000-0005-0000-0000-0000618F0000}"/>
    <cellStyle name="Normal 5 17 29 4 5" xfId="36706" xr:uid="{00000000-0005-0000-0000-0000628F0000}"/>
    <cellStyle name="Normal 5 17 29 4 6" xfId="36707" xr:uid="{00000000-0005-0000-0000-0000638F0000}"/>
    <cellStyle name="Normal 5 17 29 4 7" xfId="36708" xr:uid="{00000000-0005-0000-0000-0000648F0000}"/>
    <cellStyle name="Normal 5 17 29 4 8" xfId="36709" xr:uid="{00000000-0005-0000-0000-0000658F0000}"/>
    <cellStyle name="Normal 5 17 29 4 9" xfId="36710" xr:uid="{00000000-0005-0000-0000-0000668F0000}"/>
    <cellStyle name="Normal 5 17 29 5" xfId="36711" xr:uid="{00000000-0005-0000-0000-0000678F0000}"/>
    <cellStyle name="Normal 5 17 29 5 10" xfId="36712" xr:uid="{00000000-0005-0000-0000-0000688F0000}"/>
    <cellStyle name="Normal 5 17 29 5 2" xfId="36713" xr:uid="{00000000-0005-0000-0000-0000698F0000}"/>
    <cellStyle name="Normal 5 17 29 5 3" xfId="36714" xr:uid="{00000000-0005-0000-0000-00006A8F0000}"/>
    <cellStyle name="Normal 5 17 29 5 4" xfId="36715" xr:uid="{00000000-0005-0000-0000-00006B8F0000}"/>
    <cellStyle name="Normal 5 17 29 5 5" xfId="36716" xr:uid="{00000000-0005-0000-0000-00006C8F0000}"/>
    <cellStyle name="Normal 5 17 29 5 6" xfId="36717" xr:uid="{00000000-0005-0000-0000-00006D8F0000}"/>
    <cellStyle name="Normal 5 17 29 5 7" xfId="36718" xr:uid="{00000000-0005-0000-0000-00006E8F0000}"/>
    <cellStyle name="Normal 5 17 29 5 8" xfId="36719" xr:uid="{00000000-0005-0000-0000-00006F8F0000}"/>
    <cellStyle name="Normal 5 17 29 5 9" xfId="36720" xr:uid="{00000000-0005-0000-0000-0000708F0000}"/>
    <cellStyle name="Normal 5 17 29 6" xfId="36721" xr:uid="{00000000-0005-0000-0000-0000718F0000}"/>
    <cellStyle name="Normal 5 17 29 7" xfId="36722" xr:uid="{00000000-0005-0000-0000-0000728F0000}"/>
    <cellStyle name="Normal 5 17 29 8" xfId="36723" xr:uid="{00000000-0005-0000-0000-0000738F0000}"/>
    <cellStyle name="Normal 5 17 29 9" xfId="36724" xr:uid="{00000000-0005-0000-0000-0000748F0000}"/>
    <cellStyle name="Normal 5 17 3" xfId="36725" xr:uid="{00000000-0005-0000-0000-0000758F0000}"/>
    <cellStyle name="Normal 5 17 3 10" xfId="36726" xr:uid="{00000000-0005-0000-0000-0000768F0000}"/>
    <cellStyle name="Normal 5 17 3 11" xfId="36727" xr:uid="{00000000-0005-0000-0000-0000778F0000}"/>
    <cellStyle name="Normal 5 17 3 12" xfId="36728" xr:uid="{00000000-0005-0000-0000-0000788F0000}"/>
    <cellStyle name="Normal 5 17 3 13" xfId="36729" xr:uid="{00000000-0005-0000-0000-0000798F0000}"/>
    <cellStyle name="Normal 5 17 3 14" xfId="36730" xr:uid="{00000000-0005-0000-0000-00007A8F0000}"/>
    <cellStyle name="Normal 5 17 3 2" xfId="36731" xr:uid="{00000000-0005-0000-0000-00007B8F0000}"/>
    <cellStyle name="Normal 5 17 3 2 10" xfId="36732" xr:uid="{00000000-0005-0000-0000-00007C8F0000}"/>
    <cellStyle name="Normal 5 17 3 2 2" xfId="36733" xr:uid="{00000000-0005-0000-0000-00007D8F0000}"/>
    <cellStyle name="Normal 5 17 3 2 3" xfId="36734" xr:uid="{00000000-0005-0000-0000-00007E8F0000}"/>
    <cellStyle name="Normal 5 17 3 2 4" xfId="36735" xr:uid="{00000000-0005-0000-0000-00007F8F0000}"/>
    <cellStyle name="Normal 5 17 3 2 5" xfId="36736" xr:uid="{00000000-0005-0000-0000-0000808F0000}"/>
    <cellStyle name="Normal 5 17 3 2 6" xfId="36737" xr:uid="{00000000-0005-0000-0000-0000818F0000}"/>
    <cellStyle name="Normal 5 17 3 2 7" xfId="36738" xr:uid="{00000000-0005-0000-0000-0000828F0000}"/>
    <cellStyle name="Normal 5 17 3 2 8" xfId="36739" xr:uid="{00000000-0005-0000-0000-0000838F0000}"/>
    <cellStyle name="Normal 5 17 3 2 9" xfId="36740" xr:uid="{00000000-0005-0000-0000-0000848F0000}"/>
    <cellStyle name="Normal 5 17 3 3" xfId="36741" xr:uid="{00000000-0005-0000-0000-0000858F0000}"/>
    <cellStyle name="Normal 5 17 3 3 10" xfId="36742" xr:uid="{00000000-0005-0000-0000-0000868F0000}"/>
    <cellStyle name="Normal 5 17 3 3 2" xfId="36743" xr:uid="{00000000-0005-0000-0000-0000878F0000}"/>
    <cellStyle name="Normal 5 17 3 3 3" xfId="36744" xr:uid="{00000000-0005-0000-0000-0000888F0000}"/>
    <cellStyle name="Normal 5 17 3 3 4" xfId="36745" xr:uid="{00000000-0005-0000-0000-0000898F0000}"/>
    <cellStyle name="Normal 5 17 3 3 5" xfId="36746" xr:uid="{00000000-0005-0000-0000-00008A8F0000}"/>
    <cellStyle name="Normal 5 17 3 3 6" xfId="36747" xr:uid="{00000000-0005-0000-0000-00008B8F0000}"/>
    <cellStyle name="Normal 5 17 3 3 7" xfId="36748" xr:uid="{00000000-0005-0000-0000-00008C8F0000}"/>
    <cellStyle name="Normal 5 17 3 3 8" xfId="36749" xr:uid="{00000000-0005-0000-0000-00008D8F0000}"/>
    <cellStyle name="Normal 5 17 3 3 9" xfId="36750" xr:uid="{00000000-0005-0000-0000-00008E8F0000}"/>
    <cellStyle name="Normal 5 17 3 4" xfId="36751" xr:uid="{00000000-0005-0000-0000-00008F8F0000}"/>
    <cellStyle name="Normal 5 17 3 4 10" xfId="36752" xr:uid="{00000000-0005-0000-0000-0000908F0000}"/>
    <cellStyle name="Normal 5 17 3 4 2" xfId="36753" xr:uid="{00000000-0005-0000-0000-0000918F0000}"/>
    <cellStyle name="Normal 5 17 3 4 3" xfId="36754" xr:uid="{00000000-0005-0000-0000-0000928F0000}"/>
    <cellStyle name="Normal 5 17 3 4 4" xfId="36755" xr:uid="{00000000-0005-0000-0000-0000938F0000}"/>
    <cellStyle name="Normal 5 17 3 4 5" xfId="36756" xr:uid="{00000000-0005-0000-0000-0000948F0000}"/>
    <cellStyle name="Normal 5 17 3 4 6" xfId="36757" xr:uid="{00000000-0005-0000-0000-0000958F0000}"/>
    <cellStyle name="Normal 5 17 3 4 7" xfId="36758" xr:uid="{00000000-0005-0000-0000-0000968F0000}"/>
    <cellStyle name="Normal 5 17 3 4 8" xfId="36759" xr:uid="{00000000-0005-0000-0000-0000978F0000}"/>
    <cellStyle name="Normal 5 17 3 4 9" xfId="36760" xr:uid="{00000000-0005-0000-0000-0000988F0000}"/>
    <cellStyle name="Normal 5 17 3 5" xfId="36761" xr:uid="{00000000-0005-0000-0000-0000998F0000}"/>
    <cellStyle name="Normal 5 17 3 5 10" xfId="36762" xr:uid="{00000000-0005-0000-0000-00009A8F0000}"/>
    <cellStyle name="Normal 5 17 3 5 2" xfId="36763" xr:uid="{00000000-0005-0000-0000-00009B8F0000}"/>
    <cellStyle name="Normal 5 17 3 5 3" xfId="36764" xr:uid="{00000000-0005-0000-0000-00009C8F0000}"/>
    <cellStyle name="Normal 5 17 3 5 4" xfId="36765" xr:uid="{00000000-0005-0000-0000-00009D8F0000}"/>
    <cellStyle name="Normal 5 17 3 5 5" xfId="36766" xr:uid="{00000000-0005-0000-0000-00009E8F0000}"/>
    <cellStyle name="Normal 5 17 3 5 6" xfId="36767" xr:uid="{00000000-0005-0000-0000-00009F8F0000}"/>
    <cellStyle name="Normal 5 17 3 5 7" xfId="36768" xr:uid="{00000000-0005-0000-0000-0000A08F0000}"/>
    <cellStyle name="Normal 5 17 3 5 8" xfId="36769" xr:uid="{00000000-0005-0000-0000-0000A18F0000}"/>
    <cellStyle name="Normal 5 17 3 5 9" xfId="36770" xr:uid="{00000000-0005-0000-0000-0000A28F0000}"/>
    <cellStyle name="Normal 5 17 3 6" xfId="36771" xr:uid="{00000000-0005-0000-0000-0000A38F0000}"/>
    <cellStyle name="Normal 5 17 3 7" xfId="36772" xr:uid="{00000000-0005-0000-0000-0000A48F0000}"/>
    <cellStyle name="Normal 5 17 3 8" xfId="36773" xr:uid="{00000000-0005-0000-0000-0000A58F0000}"/>
    <cellStyle name="Normal 5 17 3 9" xfId="36774" xr:uid="{00000000-0005-0000-0000-0000A68F0000}"/>
    <cellStyle name="Normal 5 17 30" xfId="36775" xr:uid="{00000000-0005-0000-0000-0000A78F0000}"/>
    <cellStyle name="Normal 5 17 30 10" xfId="36776" xr:uid="{00000000-0005-0000-0000-0000A88F0000}"/>
    <cellStyle name="Normal 5 17 30 11" xfId="36777" xr:uid="{00000000-0005-0000-0000-0000A98F0000}"/>
    <cellStyle name="Normal 5 17 30 12" xfId="36778" xr:uid="{00000000-0005-0000-0000-0000AA8F0000}"/>
    <cellStyle name="Normal 5 17 30 13" xfId="36779" xr:uid="{00000000-0005-0000-0000-0000AB8F0000}"/>
    <cellStyle name="Normal 5 17 30 14" xfId="36780" xr:uid="{00000000-0005-0000-0000-0000AC8F0000}"/>
    <cellStyle name="Normal 5 17 30 2" xfId="36781" xr:uid="{00000000-0005-0000-0000-0000AD8F0000}"/>
    <cellStyle name="Normal 5 17 30 2 10" xfId="36782" xr:uid="{00000000-0005-0000-0000-0000AE8F0000}"/>
    <cellStyle name="Normal 5 17 30 2 2" xfId="36783" xr:uid="{00000000-0005-0000-0000-0000AF8F0000}"/>
    <cellStyle name="Normal 5 17 30 2 3" xfId="36784" xr:uid="{00000000-0005-0000-0000-0000B08F0000}"/>
    <cellStyle name="Normal 5 17 30 2 4" xfId="36785" xr:uid="{00000000-0005-0000-0000-0000B18F0000}"/>
    <cellStyle name="Normal 5 17 30 2 5" xfId="36786" xr:uid="{00000000-0005-0000-0000-0000B28F0000}"/>
    <cellStyle name="Normal 5 17 30 2 6" xfId="36787" xr:uid="{00000000-0005-0000-0000-0000B38F0000}"/>
    <cellStyle name="Normal 5 17 30 2 7" xfId="36788" xr:uid="{00000000-0005-0000-0000-0000B48F0000}"/>
    <cellStyle name="Normal 5 17 30 2 8" xfId="36789" xr:uid="{00000000-0005-0000-0000-0000B58F0000}"/>
    <cellStyle name="Normal 5 17 30 2 9" xfId="36790" xr:uid="{00000000-0005-0000-0000-0000B68F0000}"/>
    <cellStyle name="Normal 5 17 30 3" xfId="36791" xr:uid="{00000000-0005-0000-0000-0000B78F0000}"/>
    <cellStyle name="Normal 5 17 30 3 10" xfId="36792" xr:uid="{00000000-0005-0000-0000-0000B88F0000}"/>
    <cellStyle name="Normal 5 17 30 3 2" xfId="36793" xr:uid="{00000000-0005-0000-0000-0000B98F0000}"/>
    <cellStyle name="Normal 5 17 30 3 3" xfId="36794" xr:uid="{00000000-0005-0000-0000-0000BA8F0000}"/>
    <cellStyle name="Normal 5 17 30 3 4" xfId="36795" xr:uid="{00000000-0005-0000-0000-0000BB8F0000}"/>
    <cellStyle name="Normal 5 17 30 3 5" xfId="36796" xr:uid="{00000000-0005-0000-0000-0000BC8F0000}"/>
    <cellStyle name="Normal 5 17 30 3 6" xfId="36797" xr:uid="{00000000-0005-0000-0000-0000BD8F0000}"/>
    <cellStyle name="Normal 5 17 30 3 7" xfId="36798" xr:uid="{00000000-0005-0000-0000-0000BE8F0000}"/>
    <cellStyle name="Normal 5 17 30 3 8" xfId="36799" xr:uid="{00000000-0005-0000-0000-0000BF8F0000}"/>
    <cellStyle name="Normal 5 17 30 3 9" xfId="36800" xr:uid="{00000000-0005-0000-0000-0000C08F0000}"/>
    <cellStyle name="Normal 5 17 30 4" xfId="36801" xr:uid="{00000000-0005-0000-0000-0000C18F0000}"/>
    <cellStyle name="Normal 5 17 30 4 10" xfId="36802" xr:uid="{00000000-0005-0000-0000-0000C28F0000}"/>
    <cellStyle name="Normal 5 17 30 4 2" xfId="36803" xr:uid="{00000000-0005-0000-0000-0000C38F0000}"/>
    <cellStyle name="Normal 5 17 30 4 3" xfId="36804" xr:uid="{00000000-0005-0000-0000-0000C48F0000}"/>
    <cellStyle name="Normal 5 17 30 4 4" xfId="36805" xr:uid="{00000000-0005-0000-0000-0000C58F0000}"/>
    <cellStyle name="Normal 5 17 30 4 5" xfId="36806" xr:uid="{00000000-0005-0000-0000-0000C68F0000}"/>
    <cellStyle name="Normal 5 17 30 4 6" xfId="36807" xr:uid="{00000000-0005-0000-0000-0000C78F0000}"/>
    <cellStyle name="Normal 5 17 30 4 7" xfId="36808" xr:uid="{00000000-0005-0000-0000-0000C88F0000}"/>
    <cellStyle name="Normal 5 17 30 4 8" xfId="36809" xr:uid="{00000000-0005-0000-0000-0000C98F0000}"/>
    <cellStyle name="Normal 5 17 30 4 9" xfId="36810" xr:uid="{00000000-0005-0000-0000-0000CA8F0000}"/>
    <cellStyle name="Normal 5 17 30 5" xfId="36811" xr:uid="{00000000-0005-0000-0000-0000CB8F0000}"/>
    <cellStyle name="Normal 5 17 30 5 10" xfId="36812" xr:uid="{00000000-0005-0000-0000-0000CC8F0000}"/>
    <cellStyle name="Normal 5 17 30 5 2" xfId="36813" xr:uid="{00000000-0005-0000-0000-0000CD8F0000}"/>
    <cellStyle name="Normal 5 17 30 5 3" xfId="36814" xr:uid="{00000000-0005-0000-0000-0000CE8F0000}"/>
    <cellStyle name="Normal 5 17 30 5 4" xfId="36815" xr:uid="{00000000-0005-0000-0000-0000CF8F0000}"/>
    <cellStyle name="Normal 5 17 30 5 5" xfId="36816" xr:uid="{00000000-0005-0000-0000-0000D08F0000}"/>
    <cellStyle name="Normal 5 17 30 5 6" xfId="36817" xr:uid="{00000000-0005-0000-0000-0000D18F0000}"/>
    <cellStyle name="Normal 5 17 30 5 7" xfId="36818" xr:uid="{00000000-0005-0000-0000-0000D28F0000}"/>
    <cellStyle name="Normal 5 17 30 5 8" xfId="36819" xr:uid="{00000000-0005-0000-0000-0000D38F0000}"/>
    <cellStyle name="Normal 5 17 30 5 9" xfId="36820" xr:uid="{00000000-0005-0000-0000-0000D48F0000}"/>
    <cellStyle name="Normal 5 17 30 6" xfId="36821" xr:uid="{00000000-0005-0000-0000-0000D58F0000}"/>
    <cellStyle name="Normal 5 17 30 7" xfId="36822" xr:uid="{00000000-0005-0000-0000-0000D68F0000}"/>
    <cellStyle name="Normal 5 17 30 8" xfId="36823" xr:uid="{00000000-0005-0000-0000-0000D78F0000}"/>
    <cellStyle name="Normal 5 17 30 9" xfId="36824" xr:uid="{00000000-0005-0000-0000-0000D88F0000}"/>
    <cellStyle name="Normal 5 17 31" xfId="36825" xr:uid="{00000000-0005-0000-0000-0000D98F0000}"/>
    <cellStyle name="Normal 5 17 31 10" xfId="36826" xr:uid="{00000000-0005-0000-0000-0000DA8F0000}"/>
    <cellStyle name="Normal 5 17 31 11" xfId="36827" xr:uid="{00000000-0005-0000-0000-0000DB8F0000}"/>
    <cellStyle name="Normal 5 17 31 12" xfId="36828" xr:uid="{00000000-0005-0000-0000-0000DC8F0000}"/>
    <cellStyle name="Normal 5 17 31 13" xfId="36829" xr:uid="{00000000-0005-0000-0000-0000DD8F0000}"/>
    <cellStyle name="Normal 5 17 31 14" xfId="36830" xr:uid="{00000000-0005-0000-0000-0000DE8F0000}"/>
    <cellStyle name="Normal 5 17 31 2" xfId="36831" xr:uid="{00000000-0005-0000-0000-0000DF8F0000}"/>
    <cellStyle name="Normal 5 17 31 2 10" xfId="36832" xr:uid="{00000000-0005-0000-0000-0000E08F0000}"/>
    <cellStyle name="Normal 5 17 31 2 2" xfId="36833" xr:uid="{00000000-0005-0000-0000-0000E18F0000}"/>
    <cellStyle name="Normal 5 17 31 2 3" xfId="36834" xr:uid="{00000000-0005-0000-0000-0000E28F0000}"/>
    <cellStyle name="Normal 5 17 31 2 4" xfId="36835" xr:uid="{00000000-0005-0000-0000-0000E38F0000}"/>
    <cellStyle name="Normal 5 17 31 2 5" xfId="36836" xr:uid="{00000000-0005-0000-0000-0000E48F0000}"/>
    <cellStyle name="Normal 5 17 31 2 6" xfId="36837" xr:uid="{00000000-0005-0000-0000-0000E58F0000}"/>
    <cellStyle name="Normal 5 17 31 2 7" xfId="36838" xr:uid="{00000000-0005-0000-0000-0000E68F0000}"/>
    <cellStyle name="Normal 5 17 31 2 8" xfId="36839" xr:uid="{00000000-0005-0000-0000-0000E78F0000}"/>
    <cellStyle name="Normal 5 17 31 2 9" xfId="36840" xr:uid="{00000000-0005-0000-0000-0000E88F0000}"/>
    <cellStyle name="Normal 5 17 31 3" xfId="36841" xr:uid="{00000000-0005-0000-0000-0000E98F0000}"/>
    <cellStyle name="Normal 5 17 31 3 10" xfId="36842" xr:uid="{00000000-0005-0000-0000-0000EA8F0000}"/>
    <cellStyle name="Normal 5 17 31 3 2" xfId="36843" xr:uid="{00000000-0005-0000-0000-0000EB8F0000}"/>
    <cellStyle name="Normal 5 17 31 3 3" xfId="36844" xr:uid="{00000000-0005-0000-0000-0000EC8F0000}"/>
    <cellStyle name="Normal 5 17 31 3 4" xfId="36845" xr:uid="{00000000-0005-0000-0000-0000ED8F0000}"/>
    <cellStyle name="Normal 5 17 31 3 5" xfId="36846" xr:uid="{00000000-0005-0000-0000-0000EE8F0000}"/>
    <cellStyle name="Normal 5 17 31 3 6" xfId="36847" xr:uid="{00000000-0005-0000-0000-0000EF8F0000}"/>
    <cellStyle name="Normal 5 17 31 3 7" xfId="36848" xr:uid="{00000000-0005-0000-0000-0000F08F0000}"/>
    <cellStyle name="Normal 5 17 31 3 8" xfId="36849" xr:uid="{00000000-0005-0000-0000-0000F18F0000}"/>
    <cellStyle name="Normal 5 17 31 3 9" xfId="36850" xr:uid="{00000000-0005-0000-0000-0000F28F0000}"/>
    <cellStyle name="Normal 5 17 31 4" xfId="36851" xr:uid="{00000000-0005-0000-0000-0000F38F0000}"/>
    <cellStyle name="Normal 5 17 31 4 10" xfId="36852" xr:uid="{00000000-0005-0000-0000-0000F48F0000}"/>
    <cellStyle name="Normal 5 17 31 4 2" xfId="36853" xr:uid="{00000000-0005-0000-0000-0000F58F0000}"/>
    <cellStyle name="Normal 5 17 31 4 3" xfId="36854" xr:uid="{00000000-0005-0000-0000-0000F68F0000}"/>
    <cellStyle name="Normal 5 17 31 4 4" xfId="36855" xr:uid="{00000000-0005-0000-0000-0000F78F0000}"/>
    <cellStyle name="Normal 5 17 31 4 5" xfId="36856" xr:uid="{00000000-0005-0000-0000-0000F88F0000}"/>
    <cellStyle name="Normal 5 17 31 4 6" xfId="36857" xr:uid="{00000000-0005-0000-0000-0000F98F0000}"/>
    <cellStyle name="Normal 5 17 31 4 7" xfId="36858" xr:uid="{00000000-0005-0000-0000-0000FA8F0000}"/>
    <cellStyle name="Normal 5 17 31 4 8" xfId="36859" xr:uid="{00000000-0005-0000-0000-0000FB8F0000}"/>
    <cellStyle name="Normal 5 17 31 4 9" xfId="36860" xr:uid="{00000000-0005-0000-0000-0000FC8F0000}"/>
    <cellStyle name="Normal 5 17 31 5" xfId="36861" xr:uid="{00000000-0005-0000-0000-0000FD8F0000}"/>
    <cellStyle name="Normal 5 17 31 5 10" xfId="36862" xr:uid="{00000000-0005-0000-0000-0000FE8F0000}"/>
    <cellStyle name="Normal 5 17 31 5 2" xfId="36863" xr:uid="{00000000-0005-0000-0000-0000FF8F0000}"/>
    <cellStyle name="Normal 5 17 31 5 3" xfId="36864" xr:uid="{00000000-0005-0000-0000-000000900000}"/>
    <cellStyle name="Normal 5 17 31 5 4" xfId="36865" xr:uid="{00000000-0005-0000-0000-000001900000}"/>
    <cellStyle name="Normal 5 17 31 5 5" xfId="36866" xr:uid="{00000000-0005-0000-0000-000002900000}"/>
    <cellStyle name="Normal 5 17 31 5 6" xfId="36867" xr:uid="{00000000-0005-0000-0000-000003900000}"/>
    <cellStyle name="Normal 5 17 31 5 7" xfId="36868" xr:uid="{00000000-0005-0000-0000-000004900000}"/>
    <cellStyle name="Normal 5 17 31 5 8" xfId="36869" xr:uid="{00000000-0005-0000-0000-000005900000}"/>
    <cellStyle name="Normal 5 17 31 5 9" xfId="36870" xr:uid="{00000000-0005-0000-0000-000006900000}"/>
    <cellStyle name="Normal 5 17 31 6" xfId="36871" xr:uid="{00000000-0005-0000-0000-000007900000}"/>
    <cellStyle name="Normal 5 17 31 7" xfId="36872" xr:uid="{00000000-0005-0000-0000-000008900000}"/>
    <cellStyle name="Normal 5 17 31 8" xfId="36873" xr:uid="{00000000-0005-0000-0000-000009900000}"/>
    <cellStyle name="Normal 5 17 31 9" xfId="36874" xr:uid="{00000000-0005-0000-0000-00000A900000}"/>
    <cellStyle name="Normal 5 17 32" xfId="36875" xr:uid="{00000000-0005-0000-0000-00000B900000}"/>
    <cellStyle name="Normal 5 17 32 10" xfId="36876" xr:uid="{00000000-0005-0000-0000-00000C900000}"/>
    <cellStyle name="Normal 5 17 32 11" xfId="36877" xr:uid="{00000000-0005-0000-0000-00000D900000}"/>
    <cellStyle name="Normal 5 17 32 12" xfId="36878" xr:uid="{00000000-0005-0000-0000-00000E900000}"/>
    <cellStyle name="Normal 5 17 32 13" xfId="36879" xr:uid="{00000000-0005-0000-0000-00000F900000}"/>
    <cellStyle name="Normal 5 17 32 14" xfId="36880" xr:uid="{00000000-0005-0000-0000-000010900000}"/>
    <cellStyle name="Normal 5 17 32 2" xfId="36881" xr:uid="{00000000-0005-0000-0000-000011900000}"/>
    <cellStyle name="Normal 5 17 32 2 10" xfId="36882" xr:uid="{00000000-0005-0000-0000-000012900000}"/>
    <cellStyle name="Normal 5 17 32 2 2" xfId="36883" xr:uid="{00000000-0005-0000-0000-000013900000}"/>
    <cellStyle name="Normal 5 17 32 2 3" xfId="36884" xr:uid="{00000000-0005-0000-0000-000014900000}"/>
    <cellStyle name="Normal 5 17 32 2 4" xfId="36885" xr:uid="{00000000-0005-0000-0000-000015900000}"/>
    <cellStyle name="Normal 5 17 32 2 5" xfId="36886" xr:uid="{00000000-0005-0000-0000-000016900000}"/>
    <cellStyle name="Normal 5 17 32 2 6" xfId="36887" xr:uid="{00000000-0005-0000-0000-000017900000}"/>
    <cellStyle name="Normal 5 17 32 2 7" xfId="36888" xr:uid="{00000000-0005-0000-0000-000018900000}"/>
    <cellStyle name="Normal 5 17 32 2 8" xfId="36889" xr:uid="{00000000-0005-0000-0000-000019900000}"/>
    <cellStyle name="Normal 5 17 32 2 9" xfId="36890" xr:uid="{00000000-0005-0000-0000-00001A900000}"/>
    <cellStyle name="Normal 5 17 32 3" xfId="36891" xr:uid="{00000000-0005-0000-0000-00001B900000}"/>
    <cellStyle name="Normal 5 17 32 3 10" xfId="36892" xr:uid="{00000000-0005-0000-0000-00001C900000}"/>
    <cellStyle name="Normal 5 17 32 3 2" xfId="36893" xr:uid="{00000000-0005-0000-0000-00001D900000}"/>
    <cellStyle name="Normal 5 17 32 3 3" xfId="36894" xr:uid="{00000000-0005-0000-0000-00001E900000}"/>
    <cellStyle name="Normal 5 17 32 3 4" xfId="36895" xr:uid="{00000000-0005-0000-0000-00001F900000}"/>
    <cellStyle name="Normal 5 17 32 3 5" xfId="36896" xr:uid="{00000000-0005-0000-0000-000020900000}"/>
    <cellStyle name="Normal 5 17 32 3 6" xfId="36897" xr:uid="{00000000-0005-0000-0000-000021900000}"/>
    <cellStyle name="Normal 5 17 32 3 7" xfId="36898" xr:uid="{00000000-0005-0000-0000-000022900000}"/>
    <cellStyle name="Normal 5 17 32 3 8" xfId="36899" xr:uid="{00000000-0005-0000-0000-000023900000}"/>
    <cellStyle name="Normal 5 17 32 3 9" xfId="36900" xr:uid="{00000000-0005-0000-0000-000024900000}"/>
    <cellStyle name="Normal 5 17 32 4" xfId="36901" xr:uid="{00000000-0005-0000-0000-000025900000}"/>
    <cellStyle name="Normal 5 17 32 4 10" xfId="36902" xr:uid="{00000000-0005-0000-0000-000026900000}"/>
    <cellStyle name="Normal 5 17 32 4 2" xfId="36903" xr:uid="{00000000-0005-0000-0000-000027900000}"/>
    <cellStyle name="Normal 5 17 32 4 3" xfId="36904" xr:uid="{00000000-0005-0000-0000-000028900000}"/>
    <cellStyle name="Normal 5 17 32 4 4" xfId="36905" xr:uid="{00000000-0005-0000-0000-000029900000}"/>
    <cellStyle name="Normal 5 17 32 4 5" xfId="36906" xr:uid="{00000000-0005-0000-0000-00002A900000}"/>
    <cellStyle name="Normal 5 17 32 4 6" xfId="36907" xr:uid="{00000000-0005-0000-0000-00002B900000}"/>
    <cellStyle name="Normal 5 17 32 4 7" xfId="36908" xr:uid="{00000000-0005-0000-0000-00002C900000}"/>
    <cellStyle name="Normal 5 17 32 4 8" xfId="36909" xr:uid="{00000000-0005-0000-0000-00002D900000}"/>
    <cellStyle name="Normal 5 17 32 4 9" xfId="36910" xr:uid="{00000000-0005-0000-0000-00002E900000}"/>
    <cellStyle name="Normal 5 17 32 5" xfId="36911" xr:uid="{00000000-0005-0000-0000-00002F900000}"/>
    <cellStyle name="Normal 5 17 32 5 10" xfId="36912" xr:uid="{00000000-0005-0000-0000-000030900000}"/>
    <cellStyle name="Normal 5 17 32 5 2" xfId="36913" xr:uid="{00000000-0005-0000-0000-000031900000}"/>
    <cellStyle name="Normal 5 17 32 5 3" xfId="36914" xr:uid="{00000000-0005-0000-0000-000032900000}"/>
    <cellStyle name="Normal 5 17 32 5 4" xfId="36915" xr:uid="{00000000-0005-0000-0000-000033900000}"/>
    <cellStyle name="Normal 5 17 32 5 5" xfId="36916" xr:uid="{00000000-0005-0000-0000-000034900000}"/>
    <cellStyle name="Normal 5 17 32 5 6" xfId="36917" xr:uid="{00000000-0005-0000-0000-000035900000}"/>
    <cellStyle name="Normal 5 17 32 5 7" xfId="36918" xr:uid="{00000000-0005-0000-0000-000036900000}"/>
    <cellStyle name="Normal 5 17 32 5 8" xfId="36919" xr:uid="{00000000-0005-0000-0000-000037900000}"/>
    <cellStyle name="Normal 5 17 32 5 9" xfId="36920" xr:uid="{00000000-0005-0000-0000-000038900000}"/>
    <cellStyle name="Normal 5 17 32 6" xfId="36921" xr:uid="{00000000-0005-0000-0000-000039900000}"/>
    <cellStyle name="Normal 5 17 32 7" xfId="36922" xr:uid="{00000000-0005-0000-0000-00003A900000}"/>
    <cellStyle name="Normal 5 17 32 8" xfId="36923" xr:uid="{00000000-0005-0000-0000-00003B900000}"/>
    <cellStyle name="Normal 5 17 32 9" xfId="36924" xr:uid="{00000000-0005-0000-0000-00003C900000}"/>
    <cellStyle name="Normal 5 17 33" xfId="36925" xr:uid="{00000000-0005-0000-0000-00003D900000}"/>
    <cellStyle name="Normal 5 17 33 10" xfId="36926" xr:uid="{00000000-0005-0000-0000-00003E900000}"/>
    <cellStyle name="Normal 5 17 33 11" xfId="36927" xr:uid="{00000000-0005-0000-0000-00003F900000}"/>
    <cellStyle name="Normal 5 17 33 12" xfId="36928" xr:uid="{00000000-0005-0000-0000-000040900000}"/>
    <cellStyle name="Normal 5 17 33 13" xfId="36929" xr:uid="{00000000-0005-0000-0000-000041900000}"/>
    <cellStyle name="Normal 5 17 33 14" xfId="36930" xr:uid="{00000000-0005-0000-0000-000042900000}"/>
    <cellStyle name="Normal 5 17 33 2" xfId="36931" xr:uid="{00000000-0005-0000-0000-000043900000}"/>
    <cellStyle name="Normal 5 17 33 2 10" xfId="36932" xr:uid="{00000000-0005-0000-0000-000044900000}"/>
    <cellStyle name="Normal 5 17 33 2 2" xfId="36933" xr:uid="{00000000-0005-0000-0000-000045900000}"/>
    <cellStyle name="Normal 5 17 33 2 3" xfId="36934" xr:uid="{00000000-0005-0000-0000-000046900000}"/>
    <cellStyle name="Normal 5 17 33 2 4" xfId="36935" xr:uid="{00000000-0005-0000-0000-000047900000}"/>
    <cellStyle name="Normal 5 17 33 2 5" xfId="36936" xr:uid="{00000000-0005-0000-0000-000048900000}"/>
    <cellStyle name="Normal 5 17 33 2 6" xfId="36937" xr:uid="{00000000-0005-0000-0000-000049900000}"/>
    <cellStyle name="Normal 5 17 33 2 7" xfId="36938" xr:uid="{00000000-0005-0000-0000-00004A900000}"/>
    <cellStyle name="Normal 5 17 33 2 8" xfId="36939" xr:uid="{00000000-0005-0000-0000-00004B900000}"/>
    <cellStyle name="Normal 5 17 33 2 9" xfId="36940" xr:uid="{00000000-0005-0000-0000-00004C900000}"/>
    <cellStyle name="Normal 5 17 33 3" xfId="36941" xr:uid="{00000000-0005-0000-0000-00004D900000}"/>
    <cellStyle name="Normal 5 17 33 3 10" xfId="36942" xr:uid="{00000000-0005-0000-0000-00004E900000}"/>
    <cellStyle name="Normal 5 17 33 3 2" xfId="36943" xr:uid="{00000000-0005-0000-0000-00004F900000}"/>
    <cellStyle name="Normal 5 17 33 3 3" xfId="36944" xr:uid="{00000000-0005-0000-0000-000050900000}"/>
    <cellStyle name="Normal 5 17 33 3 4" xfId="36945" xr:uid="{00000000-0005-0000-0000-000051900000}"/>
    <cellStyle name="Normal 5 17 33 3 5" xfId="36946" xr:uid="{00000000-0005-0000-0000-000052900000}"/>
    <cellStyle name="Normal 5 17 33 3 6" xfId="36947" xr:uid="{00000000-0005-0000-0000-000053900000}"/>
    <cellStyle name="Normal 5 17 33 3 7" xfId="36948" xr:uid="{00000000-0005-0000-0000-000054900000}"/>
    <cellStyle name="Normal 5 17 33 3 8" xfId="36949" xr:uid="{00000000-0005-0000-0000-000055900000}"/>
    <cellStyle name="Normal 5 17 33 3 9" xfId="36950" xr:uid="{00000000-0005-0000-0000-000056900000}"/>
    <cellStyle name="Normal 5 17 33 4" xfId="36951" xr:uid="{00000000-0005-0000-0000-000057900000}"/>
    <cellStyle name="Normal 5 17 33 4 10" xfId="36952" xr:uid="{00000000-0005-0000-0000-000058900000}"/>
    <cellStyle name="Normal 5 17 33 4 2" xfId="36953" xr:uid="{00000000-0005-0000-0000-000059900000}"/>
    <cellStyle name="Normal 5 17 33 4 3" xfId="36954" xr:uid="{00000000-0005-0000-0000-00005A900000}"/>
    <cellStyle name="Normal 5 17 33 4 4" xfId="36955" xr:uid="{00000000-0005-0000-0000-00005B900000}"/>
    <cellStyle name="Normal 5 17 33 4 5" xfId="36956" xr:uid="{00000000-0005-0000-0000-00005C900000}"/>
    <cellStyle name="Normal 5 17 33 4 6" xfId="36957" xr:uid="{00000000-0005-0000-0000-00005D900000}"/>
    <cellStyle name="Normal 5 17 33 4 7" xfId="36958" xr:uid="{00000000-0005-0000-0000-00005E900000}"/>
    <cellStyle name="Normal 5 17 33 4 8" xfId="36959" xr:uid="{00000000-0005-0000-0000-00005F900000}"/>
    <cellStyle name="Normal 5 17 33 4 9" xfId="36960" xr:uid="{00000000-0005-0000-0000-000060900000}"/>
    <cellStyle name="Normal 5 17 33 5" xfId="36961" xr:uid="{00000000-0005-0000-0000-000061900000}"/>
    <cellStyle name="Normal 5 17 33 5 10" xfId="36962" xr:uid="{00000000-0005-0000-0000-000062900000}"/>
    <cellStyle name="Normal 5 17 33 5 2" xfId="36963" xr:uid="{00000000-0005-0000-0000-000063900000}"/>
    <cellStyle name="Normal 5 17 33 5 3" xfId="36964" xr:uid="{00000000-0005-0000-0000-000064900000}"/>
    <cellStyle name="Normal 5 17 33 5 4" xfId="36965" xr:uid="{00000000-0005-0000-0000-000065900000}"/>
    <cellStyle name="Normal 5 17 33 5 5" xfId="36966" xr:uid="{00000000-0005-0000-0000-000066900000}"/>
    <cellStyle name="Normal 5 17 33 5 6" xfId="36967" xr:uid="{00000000-0005-0000-0000-000067900000}"/>
    <cellStyle name="Normal 5 17 33 5 7" xfId="36968" xr:uid="{00000000-0005-0000-0000-000068900000}"/>
    <cellStyle name="Normal 5 17 33 5 8" xfId="36969" xr:uid="{00000000-0005-0000-0000-000069900000}"/>
    <cellStyle name="Normal 5 17 33 5 9" xfId="36970" xr:uid="{00000000-0005-0000-0000-00006A900000}"/>
    <cellStyle name="Normal 5 17 33 6" xfId="36971" xr:uid="{00000000-0005-0000-0000-00006B900000}"/>
    <cellStyle name="Normal 5 17 33 7" xfId="36972" xr:uid="{00000000-0005-0000-0000-00006C900000}"/>
    <cellStyle name="Normal 5 17 33 8" xfId="36973" xr:uid="{00000000-0005-0000-0000-00006D900000}"/>
    <cellStyle name="Normal 5 17 33 9" xfId="36974" xr:uid="{00000000-0005-0000-0000-00006E900000}"/>
    <cellStyle name="Normal 5 17 34" xfId="36975" xr:uid="{00000000-0005-0000-0000-00006F900000}"/>
    <cellStyle name="Normal 5 17 34 10" xfId="36976" xr:uid="{00000000-0005-0000-0000-000070900000}"/>
    <cellStyle name="Normal 5 17 34 11" xfId="36977" xr:uid="{00000000-0005-0000-0000-000071900000}"/>
    <cellStyle name="Normal 5 17 34 12" xfId="36978" xr:uid="{00000000-0005-0000-0000-000072900000}"/>
    <cellStyle name="Normal 5 17 34 13" xfId="36979" xr:uid="{00000000-0005-0000-0000-000073900000}"/>
    <cellStyle name="Normal 5 17 34 14" xfId="36980" xr:uid="{00000000-0005-0000-0000-000074900000}"/>
    <cellStyle name="Normal 5 17 34 2" xfId="36981" xr:uid="{00000000-0005-0000-0000-000075900000}"/>
    <cellStyle name="Normal 5 17 34 2 10" xfId="36982" xr:uid="{00000000-0005-0000-0000-000076900000}"/>
    <cellStyle name="Normal 5 17 34 2 2" xfId="36983" xr:uid="{00000000-0005-0000-0000-000077900000}"/>
    <cellStyle name="Normal 5 17 34 2 3" xfId="36984" xr:uid="{00000000-0005-0000-0000-000078900000}"/>
    <cellStyle name="Normal 5 17 34 2 4" xfId="36985" xr:uid="{00000000-0005-0000-0000-000079900000}"/>
    <cellStyle name="Normal 5 17 34 2 5" xfId="36986" xr:uid="{00000000-0005-0000-0000-00007A900000}"/>
    <cellStyle name="Normal 5 17 34 2 6" xfId="36987" xr:uid="{00000000-0005-0000-0000-00007B900000}"/>
    <cellStyle name="Normal 5 17 34 2 7" xfId="36988" xr:uid="{00000000-0005-0000-0000-00007C900000}"/>
    <cellStyle name="Normal 5 17 34 2 8" xfId="36989" xr:uid="{00000000-0005-0000-0000-00007D900000}"/>
    <cellStyle name="Normal 5 17 34 2 9" xfId="36990" xr:uid="{00000000-0005-0000-0000-00007E900000}"/>
    <cellStyle name="Normal 5 17 34 3" xfId="36991" xr:uid="{00000000-0005-0000-0000-00007F900000}"/>
    <cellStyle name="Normal 5 17 34 3 10" xfId="36992" xr:uid="{00000000-0005-0000-0000-000080900000}"/>
    <cellStyle name="Normal 5 17 34 3 2" xfId="36993" xr:uid="{00000000-0005-0000-0000-000081900000}"/>
    <cellStyle name="Normal 5 17 34 3 3" xfId="36994" xr:uid="{00000000-0005-0000-0000-000082900000}"/>
    <cellStyle name="Normal 5 17 34 3 4" xfId="36995" xr:uid="{00000000-0005-0000-0000-000083900000}"/>
    <cellStyle name="Normal 5 17 34 3 5" xfId="36996" xr:uid="{00000000-0005-0000-0000-000084900000}"/>
    <cellStyle name="Normal 5 17 34 3 6" xfId="36997" xr:uid="{00000000-0005-0000-0000-000085900000}"/>
    <cellStyle name="Normal 5 17 34 3 7" xfId="36998" xr:uid="{00000000-0005-0000-0000-000086900000}"/>
    <cellStyle name="Normal 5 17 34 3 8" xfId="36999" xr:uid="{00000000-0005-0000-0000-000087900000}"/>
    <cellStyle name="Normal 5 17 34 3 9" xfId="37000" xr:uid="{00000000-0005-0000-0000-000088900000}"/>
    <cellStyle name="Normal 5 17 34 4" xfId="37001" xr:uid="{00000000-0005-0000-0000-000089900000}"/>
    <cellStyle name="Normal 5 17 34 4 10" xfId="37002" xr:uid="{00000000-0005-0000-0000-00008A900000}"/>
    <cellStyle name="Normal 5 17 34 4 2" xfId="37003" xr:uid="{00000000-0005-0000-0000-00008B900000}"/>
    <cellStyle name="Normal 5 17 34 4 3" xfId="37004" xr:uid="{00000000-0005-0000-0000-00008C900000}"/>
    <cellStyle name="Normal 5 17 34 4 4" xfId="37005" xr:uid="{00000000-0005-0000-0000-00008D900000}"/>
    <cellStyle name="Normal 5 17 34 4 5" xfId="37006" xr:uid="{00000000-0005-0000-0000-00008E900000}"/>
    <cellStyle name="Normal 5 17 34 4 6" xfId="37007" xr:uid="{00000000-0005-0000-0000-00008F900000}"/>
    <cellStyle name="Normal 5 17 34 4 7" xfId="37008" xr:uid="{00000000-0005-0000-0000-000090900000}"/>
    <cellStyle name="Normal 5 17 34 4 8" xfId="37009" xr:uid="{00000000-0005-0000-0000-000091900000}"/>
    <cellStyle name="Normal 5 17 34 4 9" xfId="37010" xr:uid="{00000000-0005-0000-0000-000092900000}"/>
    <cellStyle name="Normal 5 17 34 5" xfId="37011" xr:uid="{00000000-0005-0000-0000-000093900000}"/>
    <cellStyle name="Normal 5 17 34 5 10" xfId="37012" xr:uid="{00000000-0005-0000-0000-000094900000}"/>
    <cellStyle name="Normal 5 17 34 5 2" xfId="37013" xr:uid="{00000000-0005-0000-0000-000095900000}"/>
    <cellStyle name="Normal 5 17 34 5 3" xfId="37014" xr:uid="{00000000-0005-0000-0000-000096900000}"/>
    <cellStyle name="Normal 5 17 34 5 4" xfId="37015" xr:uid="{00000000-0005-0000-0000-000097900000}"/>
    <cellStyle name="Normal 5 17 34 5 5" xfId="37016" xr:uid="{00000000-0005-0000-0000-000098900000}"/>
    <cellStyle name="Normal 5 17 34 5 6" xfId="37017" xr:uid="{00000000-0005-0000-0000-000099900000}"/>
    <cellStyle name="Normal 5 17 34 5 7" xfId="37018" xr:uid="{00000000-0005-0000-0000-00009A900000}"/>
    <cellStyle name="Normal 5 17 34 5 8" xfId="37019" xr:uid="{00000000-0005-0000-0000-00009B900000}"/>
    <cellStyle name="Normal 5 17 34 5 9" xfId="37020" xr:uid="{00000000-0005-0000-0000-00009C900000}"/>
    <cellStyle name="Normal 5 17 34 6" xfId="37021" xr:uid="{00000000-0005-0000-0000-00009D900000}"/>
    <cellStyle name="Normal 5 17 34 7" xfId="37022" xr:uid="{00000000-0005-0000-0000-00009E900000}"/>
    <cellStyle name="Normal 5 17 34 8" xfId="37023" xr:uid="{00000000-0005-0000-0000-00009F900000}"/>
    <cellStyle name="Normal 5 17 34 9" xfId="37024" xr:uid="{00000000-0005-0000-0000-0000A0900000}"/>
    <cellStyle name="Normal 5 17 35" xfId="37025" xr:uid="{00000000-0005-0000-0000-0000A1900000}"/>
    <cellStyle name="Normal 5 17 35 10" xfId="37026" xr:uid="{00000000-0005-0000-0000-0000A2900000}"/>
    <cellStyle name="Normal 5 17 35 2" xfId="37027" xr:uid="{00000000-0005-0000-0000-0000A3900000}"/>
    <cellStyle name="Normal 5 17 35 3" xfId="37028" xr:uid="{00000000-0005-0000-0000-0000A4900000}"/>
    <cellStyle name="Normal 5 17 35 4" xfId="37029" xr:uid="{00000000-0005-0000-0000-0000A5900000}"/>
    <cellStyle name="Normal 5 17 35 5" xfId="37030" xr:uid="{00000000-0005-0000-0000-0000A6900000}"/>
    <cellStyle name="Normal 5 17 35 6" xfId="37031" xr:uid="{00000000-0005-0000-0000-0000A7900000}"/>
    <cellStyle name="Normal 5 17 35 7" xfId="37032" xr:uid="{00000000-0005-0000-0000-0000A8900000}"/>
    <cellStyle name="Normal 5 17 35 8" xfId="37033" xr:uid="{00000000-0005-0000-0000-0000A9900000}"/>
    <cellStyle name="Normal 5 17 35 9" xfId="37034" xr:uid="{00000000-0005-0000-0000-0000AA900000}"/>
    <cellStyle name="Normal 5 17 36" xfId="37035" xr:uid="{00000000-0005-0000-0000-0000AB900000}"/>
    <cellStyle name="Normal 5 17 36 10" xfId="37036" xr:uid="{00000000-0005-0000-0000-0000AC900000}"/>
    <cellStyle name="Normal 5 17 36 2" xfId="37037" xr:uid="{00000000-0005-0000-0000-0000AD900000}"/>
    <cellStyle name="Normal 5 17 36 3" xfId="37038" xr:uid="{00000000-0005-0000-0000-0000AE900000}"/>
    <cellStyle name="Normal 5 17 36 4" xfId="37039" xr:uid="{00000000-0005-0000-0000-0000AF900000}"/>
    <cellStyle name="Normal 5 17 36 5" xfId="37040" xr:uid="{00000000-0005-0000-0000-0000B0900000}"/>
    <cellStyle name="Normal 5 17 36 6" xfId="37041" xr:uid="{00000000-0005-0000-0000-0000B1900000}"/>
    <cellStyle name="Normal 5 17 36 7" xfId="37042" xr:uid="{00000000-0005-0000-0000-0000B2900000}"/>
    <cellStyle name="Normal 5 17 36 8" xfId="37043" xr:uid="{00000000-0005-0000-0000-0000B3900000}"/>
    <cellStyle name="Normal 5 17 36 9" xfId="37044" xr:uid="{00000000-0005-0000-0000-0000B4900000}"/>
    <cellStyle name="Normal 5 17 37" xfId="37045" xr:uid="{00000000-0005-0000-0000-0000B5900000}"/>
    <cellStyle name="Normal 5 17 37 10" xfId="37046" xr:uid="{00000000-0005-0000-0000-0000B6900000}"/>
    <cellStyle name="Normal 5 17 37 2" xfId="37047" xr:uid="{00000000-0005-0000-0000-0000B7900000}"/>
    <cellStyle name="Normal 5 17 37 3" xfId="37048" xr:uid="{00000000-0005-0000-0000-0000B8900000}"/>
    <cellStyle name="Normal 5 17 37 4" xfId="37049" xr:uid="{00000000-0005-0000-0000-0000B9900000}"/>
    <cellStyle name="Normal 5 17 37 5" xfId="37050" xr:uid="{00000000-0005-0000-0000-0000BA900000}"/>
    <cellStyle name="Normal 5 17 37 6" xfId="37051" xr:uid="{00000000-0005-0000-0000-0000BB900000}"/>
    <cellStyle name="Normal 5 17 37 7" xfId="37052" xr:uid="{00000000-0005-0000-0000-0000BC900000}"/>
    <cellStyle name="Normal 5 17 37 8" xfId="37053" xr:uid="{00000000-0005-0000-0000-0000BD900000}"/>
    <cellStyle name="Normal 5 17 37 9" xfId="37054" xr:uid="{00000000-0005-0000-0000-0000BE900000}"/>
    <cellStyle name="Normal 5 17 38" xfId="37055" xr:uid="{00000000-0005-0000-0000-0000BF900000}"/>
    <cellStyle name="Normal 5 17 38 10" xfId="37056" xr:uid="{00000000-0005-0000-0000-0000C0900000}"/>
    <cellStyle name="Normal 5 17 38 2" xfId="37057" xr:uid="{00000000-0005-0000-0000-0000C1900000}"/>
    <cellStyle name="Normal 5 17 38 3" xfId="37058" xr:uid="{00000000-0005-0000-0000-0000C2900000}"/>
    <cellStyle name="Normal 5 17 38 4" xfId="37059" xr:uid="{00000000-0005-0000-0000-0000C3900000}"/>
    <cellStyle name="Normal 5 17 38 5" xfId="37060" xr:uid="{00000000-0005-0000-0000-0000C4900000}"/>
    <cellStyle name="Normal 5 17 38 6" xfId="37061" xr:uid="{00000000-0005-0000-0000-0000C5900000}"/>
    <cellStyle name="Normal 5 17 38 7" xfId="37062" xr:uid="{00000000-0005-0000-0000-0000C6900000}"/>
    <cellStyle name="Normal 5 17 38 8" xfId="37063" xr:uid="{00000000-0005-0000-0000-0000C7900000}"/>
    <cellStyle name="Normal 5 17 38 9" xfId="37064" xr:uid="{00000000-0005-0000-0000-0000C8900000}"/>
    <cellStyle name="Normal 5 17 39" xfId="37065" xr:uid="{00000000-0005-0000-0000-0000C9900000}"/>
    <cellStyle name="Normal 5 17 4" xfId="37066" xr:uid="{00000000-0005-0000-0000-0000CA900000}"/>
    <cellStyle name="Normal 5 17 4 10" xfId="37067" xr:uid="{00000000-0005-0000-0000-0000CB900000}"/>
    <cellStyle name="Normal 5 17 4 11" xfId="37068" xr:uid="{00000000-0005-0000-0000-0000CC900000}"/>
    <cellStyle name="Normal 5 17 4 12" xfId="37069" xr:uid="{00000000-0005-0000-0000-0000CD900000}"/>
    <cellStyle name="Normal 5 17 4 13" xfId="37070" xr:uid="{00000000-0005-0000-0000-0000CE900000}"/>
    <cellStyle name="Normal 5 17 4 14" xfId="37071" xr:uid="{00000000-0005-0000-0000-0000CF900000}"/>
    <cellStyle name="Normal 5 17 4 2" xfId="37072" xr:uid="{00000000-0005-0000-0000-0000D0900000}"/>
    <cellStyle name="Normal 5 17 4 2 10" xfId="37073" xr:uid="{00000000-0005-0000-0000-0000D1900000}"/>
    <cellStyle name="Normal 5 17 4 2 2" xfId="37074" xr:uid="{00000000-0005-0000-0000-0000D2900000}"/>
    <cellStyle name="Normal 5 17 4 2 3" xfId="37075" xr:uid="{00000000-0005-0000-0000-0000D3900000}"/>
    <cellStyle name="Normal 5 17 4 2 4" xfId="37076" xr:uid="{00000000-0005-0000-0000-0000D4900000}"/>
    <cellStyle name="Normal 5 17 4 2 5" xfId="37077" xr:uid="{00000000-0005-0000-0000-0000D5900000}"/>
    <cellStyle name="Normal 5 17 4 2 6" xfId="37078" xr:uid="{00000000-0005-0000-0000-0000D6900000}"/>
    <cellStyle name="Normal 5 17 4 2 7" xfId="37079" xr:uid="{00000000-0005-0000-0000-0000D7900000}"/>
    <cellStyle name="Normal 5 17 4 2 8" xfId="37080" xr:uid="{00000000-0005-0000-0000-0000D8900000}"/>
    <cellStyle name="Normal 5 17 4 2 9" xfId="37081" xr:uid="{00000000-0005-0000-0000-0000D9900000}"/>
    <cellStyle name="Normal 5 17 4 3" xfId="37082" xr:uid="{00000000-0005-0000-0000-0000DA900000}"/>
    <cellStyle name="Normal 5 17 4 3 10" xfId="37083" xr:uid="{00000000-0005-0000-0000-0000DB900000}"/>
    <cellStyle name="Normal 5 17 4 3 2" xfId="37084" xr:uid="{00000000-0005-0000-0000-0000DC900000}"/>
    <cellStyle name="Normal 5 17 4 3 3" xfId="37085" xr:uid="{00000000-0005-0000-0000-0000DD900000}"/>
    <cellStyle name="Normal 5 17 4 3 4" xfId="37086" xr:uid="{00000000-0005-0000-0000-0000DE900000}"/>
    <cellStyle name="Normal 5 17 4 3 5" xfId="37087" xr:uid="{00000000-0005-0000-0000-0000DF900000}"/>
    <cellStyle name="Normal 5 17 4 3 6" xfId="37088" xr:uid="{00000000-0005-0000-0000-0000E0900000}"/>
    <cellStyle name="Normal 5 17 4 3 7" xfId="37089" xr:uid="{00000000-0005-0000-0000-0000E1900000}"/>
    <cellStyle name="Normal 5 17 4 3 8" xfId="37090" xr:uid="{00000000-0005-0000-0000-0000E2900000}"/>
    <cellStyle name="Normal 5 17 4 3 9" xfId="37091" xr:uid="{00000000-0005-0000-0000-0000E3900000}"/>
    <cellStyle name="Normal 5 17 4 4" xfId="37092" xr:uid="{00000000-0005-0000-0000-0000E4900000}"/>
    <cellStyle name="Normal 5 17 4 4 10" xfId="37093" xr:uid="{00000000-0005-0000-0000-0000E5900000}"/>
    <cellStyle name="Normal 5 17 4 4 2" xfId="37094" xr:uid="{00000000-0005-0000-0000-0000E6900000}"/>
    <cellStyle name="Normal 5 17 4 4 3" xfId="37095" xr:uid="{00000000-0005-0000-0000-0000E7900000}"/>
    <cellStyle name="Normal 5 17 4 4 4" xfId="37096" xr:uid="{00000000-0005-0000-0000-0000E8900000}"/>
    <cellStyle name="Normal 5 17 4 4 5" xfId="37097" xr:uid="{00000000-0005-0000-0000-0000E9900000}"/>
    <cellStyle name="Normal 5 17 4 4 6" xfId="37098" xr:uid="{00000000-0005-0000-0000-0000EA900000}"/>
    <cellStyle name="Normal 5 17 4 4 7" xfId="37099" xr:uid="{00000000-0005-0000-0000-0000EB900000}"/>
    <cellStyle name="Normal 5 17 4 4 8" xfId="37100" xr:uid="{00000000-0005-0000-0000-0000EC900000}"/>
    <cellStyle name="Normal 5 17 4 4 9" xfId="37101" xr:uid="{00000000-0005-0000-0000-0000ED900000}"/>
    <cellStyle name="Normal 5 17 4 5" xfId="37102" xr:uid="{00000000-0005-0000-0000-0000EE900000}"/>
    <cellStyle name="Normal 5 17 4 5 10" xfId="37103" xr:uid="{00000000-0005-0000-0000-0000EF900000}"/>
    <cellStyle name="Normal 5 17 4 5 2" xfId="37104" xr:uid="{00000000-0005-0000-0000-0000F0900000}"/>
    <cellStyle name="Normal 5 17 4 5 3" xfId="37105" xr:uid="{00000000-0005-0000-0000-0000F1900000}"/>
    <cellStyle name="Normal 5 17 4 5 4" xfId="37106" xr:uid="{00000000-0005-0000-0000-0000F2900000}"/>
    <cellStyle name="Normal 5 17 4 5 5" xfId="37107" xr:uid="{00000000-0005-0000-0000-0000F3900000}"/>
    <cellStyle name="Normal 5 17 4 5 6" xfId="37108" xr:uid="{00000000-0005-0000-0000-0000F4900000}"/>
    <cellStyle name="Normal 5 17 4 5 7" xfId="37109" xr:uid="{00000000-0005-0000-0000-0000F5900000}"/>
    <cellStyle name="Normal 5 17 4 5 8" xfId="37110" xr:uid="{00000000-0005-0000-0000-0000F6900000}"/>
    <cellStyle name="Normal 5 17 4 5 9" xfId="37111" xr:uid="{00000000-0005-0000-0000-0000F7900000}"/>
    <cellStyle name="Normal 5 17 4 6" xfId="37112" xr:uid="{00000000-0005-0000-0000-0000F8900000}"/>
    <cellStyle name="Normal 5 17 4 7" xfId="37113" xr:uid="{00000000-0005-0000-0000-0000F9900000}"/>
    <cellStyle name="Normal 5 17 4 8" xfId="37114" xr:uid="{00000000-0005-0000-0000-0000FA900000}"/>
    <cellStyle name="Normal 5 17 4 9" xfId="37115" xr:uid="{00000000-0005-0000-0000-0000FB900000}"/>
    <cellStyle name="Normal 5 17 40" xfId="37116" xr:uid="{00000000-0005-0000-0000-0000FC900000}"/>
    <cellStyle name="Normal 5 17 41" xfId="37117" xr:uid="{00000000-0005-0000-0000-0000FD900000}"/>
    <cellStyle name="Normal 5 17 42" xfId="37118" xr:uid="{00000000-0005-0000-0000-0000FE900000}"/>
    <cellStyle name="Normal 5 17 43" xfId="37119" xr:uid="{00000000-0005-0000-0000-0000FF900000}"/>
    <cellStyle name="Normal 5 17 44" xfId="37120" xr:uid="{00000000-0005-0000-0000-000000910000}"/>
    <cellStyle name="Normal 5 17 45" xfId="37121" xr:uid="{00000000-0005-0000-0000-000001910000}"/>
    <cellStyle name="Normal 5 17 46" xfId="37122" xr:uid="{00000000-0005-0000-0000-000002910000}"/>
    <cellStyle name="Normal 5 17 47" xfId="37123" xr:uid="{00000000-0005-0000-0000-000003910000}"/>
    <cellStyle name="Normal 5 17 48" xfId="37124" xr:uid="{00000000-0005-0000-0000-000004910000}"/>
    <cellStyle name="Normal 5 17 49" xfId="37125" xr:uid="{00000000-0005-0000-0000-000005910000}"/>
    <cellStyle name="Normal 5 17 5" xfId="37126" xr:uid="{00000000-0005-0000-0000-000006910000}"/>
    <cellStyle name="Normal 5 17 5 10" xfId="37127" xr:uid="{00000000-0005-0000-0000-000007910000}"/>
    <cellStyle name="Normal 5 17 5 11" xfId="37128" xr:uid="{00000000-0005-0000-0000-000008910000}"/>
    <cellStyle name="Normal 5 17 5 12" xfId="37129" xr:uid="{00000000-0005-0000-0000-000009910000}"/>
    <cellStyle name="Normal 5 17 5 13" xfId="37130" xr:uid="{00000000-0005-0000-0000-00000A910000}"/>
    <cellStyle name="Normal 5 17 5 14" xfId="37131" xr:uid="{00000000-0005-0000-0000-00000B910000}"/>
    <cellStyle name="Normal 5 17 5 2" xfId="37132" xr:uid="{00000000-0005-0000-0000-00000C910000}"/>
    <cellStyle name="Normal 5 17 5 2 10" xfId="37133" xr:uid="{00000000-0005-0000-0000-00000D910000}"/>
    <cellStyle name="Normal 5 17 5 2 2" xfId="37134" xr:uid="{00000000-0005-0000-0000-00000E910000}"/>
    <cellStyle name="Normal 5 17 5 2 3" xfId="37135" xr:uid="{00000000-0005-0000-0000-00000F910000}"/>
    <cellStyle name="Normal 5 17 5 2 4" xfId="37136" xr:uid="{00000000-0005-0000-0000-000010910000}"/>
    <cellStyle name="Normal 5 17 5 2 5" xfId="37137" xr:uid="{00000000-0005-0000-0000-000011910000}"/>
    <cellStyle name="Normal 5 17 5 2 6" xfId="37138" xr:uid="{00000000-0005-0000-0000-000012910000}"/>
    <cellStyle name="Normal 5 17 5 2 7" xfId="37139" xr:uid="{00000000-0005-0000-0000-000013910000}"/>
    <cellStyle name="Normal 5 17 5 2 8" xfId="37140" xr:uid="{00000000-0005-0000-0000-000014910000}"/>
    <cellStyle name="Normal 5 17 5 2 9" xfId="37141" xr:uid="{00000000-0005-0000-0000-000015910000}"/>
    <cellStyle name="Normal 5 17 5 3" xfId="37142" xr:uid="{00000000-0005-0000-0000-000016910000}"/>
    <cellStyle name="Normal 5 17 5 3 10" xfId="37143" xr:uid="{00000000-0005-0000-0000-000017910000}"/>
    <cellStyle name="Normal 5 17 5 3 2" xfId="37144" xr:uid="{00000000-0005-0000-0000-000018910000}"/>
    <cellStyle name="Normal 5 17 5 3 3" xfId="37145" xr:uid="{00000000-0005-0000-0000-000019910000}"/>
    <cellStyle name="Normal 5 17 5 3 4" xfId="37146" xr:uid="{00000000-0005-0000-0000-00001A910000}"/>
    <cellStyle name="Normal 5 17 5 3 5" xfId="37147" xr:uid="{00000000-0005-0000-0000-00001B910000}"/>
    <cellStyle name="Normal 5 17 5 3 6" xfId="37148" xr:uid="{00000000-0005-0000-0000-00001C910000}"/>
    <cellStyle name="Normal 5 17 5 3 7" xfId="37149" xr:uid="{00000000-0005-0000-0000-00001D910000}"/>
    <cellStyle name="Normal 5 17 5 3 8" xfId="37150" xr:uid="{00000000-0005-0000-0000-00001E910000}"/>
    <cellStyle name="Normal 5 17 5 3 9" xfId="37151" xr:uid="{00000000-0005-0000-0000-00001F910000}"/>
    <cellStyle name="Normal 5 17 5 4" xfId="37152" xr:uid="{00000000-0005-0000-0000-000020910000}"/>
    <cellStyle name="Normal 5 17 5 4 10" xfId="37153" xr:uid="{00000000-0005-0000-0000-000021910000}"/>
    <cellStyle name="Normal 5 17 5 4 2" xfId="37154" xr:uid="{00000000-0005-0000-0000-000022910000}"/>
    <cellStyle name="Normal 5 17 5 4 3" xfId="37155" xr:uid="{00000000-0005-0000-0000-000023910000}"/>
    <cellStyle name="Normal 5 17 5 4 4" xfId="37156" xr:uid="{00000000-0005-0000-0000-000024910000}"/>
    <cellStyle name="Normal 5 17 5 4 5" xfId="37157" xr:uid="{00000000-0005-0000-0000-000025910000}"/>
    <cellStyle name="Normal 5 17 5 4 6" xfId="37158" xr:uid="{00000000-0005-0000-0000-000026910000}"/>
    <cellStyle name="Normal 5 17 5 4 7" xfId="37159" xr:uid="{00000000-0005-0000-0000-000027910000}"/>
    <cellStyle name="Normal 5 17 5 4 8" xfId="37160" xr:uid="{00000000-0005-0000-0000-000028910000}"/>
    <cellStyle name="Normal 5 17 5 4 9" xfId="37161" xr:uid="{00000000-0005-0000-0000-000029910000}"/>
    <cellStyle name="Normal 5 17 5 5" xfId="37162" xr:uid="{00000000-0005-0000-0000-00002A910000}"/>
    <cellStyle name="Normal 5 17 5 5 10" xfId="37163" xr:uid="{00000000-0005-0000-0000-00002B910000}"/>
    <cellStyle name="Normal 5 17 5 5 2" xfId="37164" xr:uid="{00000000-0005-0000-0000-00002C910000}"/>
    <cellStyle name="Normal 5 17 5 5 3" xfId="37165" xr:uid="{00000000-0005-0000-0000-00002D910000}"/>
    <cellStyle name="Normal 5 17 5 5 4" xfId="37166" xr:uid="{00000000-0005-0000-0000-00002E910000}"/>
    <cellStyle name="Normal 5 17 5 5 5" xfId="37167" xr:uid="{00000000-0005-0000-0000-00002F910000}"/>
    <cellStyle name="Normal 5 17 5 5 6" xfId="37168" xr:uid="{00000000-0005-0000-0000-000030910000}"/>
    <cellStyle name="Normal 5 17 5 5 7" xfId="37169" xr:uid="{00000000-0005-0000-0000-000031910000}"/>
    <cellStyle name="Normal 5 17 5 5 8" xfId="37170" xr:uid="{00000000-0005-0000-0000-000032910000}"/>
    <cellStyle name="Normal 5 17 5 5 9" xfId="37171" xr:uid="{00000000-0005-0000-0000-000033910000}"/>
    <cellStyle name="Normal 5 17 5 6" xfId="37172" xr:uid="{00000000-0005-0000-0000-000034910000}"/>
    <cellStyle name="Normal 5 17 5 7" xfId="37173" xr:uid="{00000000-0005-0000-0000-000035910000}"/>
    <cellStyle name="Normal 5 17 5 8" xfId="37174" xr:uid="{00000000-0005-0000-0000-000036910000}"/>
    <cellStyle name="Normal 5 17 5 9" xfId="37175" xr:uid="{00000000-0005-0000-0000-000037910000}"/>
    <cellStyle name="Normal 5 17 6" xfId="37176" xr:uid="{00000000-0005-0000-0000-000038910000}"/>
    <cellStyle name="Normal 5 17 6 10" xfId="37177" xr:uid="{00000000-0005-0000-0000-000039910000}"/>
    <cellStyle name="Normal 5 17 6 11" xfId="37178" xr:uid="{00000000-0005-0000-0000-00003A910000}"/>
    <cellStyle name="Normal 5 17 6 12" xfId="37179" xr:uid="{00000000-0005-0000-0000-00003B910000}"/>
    <cellStyle name="Normal 5 17 6 13" xfId="37180" xr:uid="{00000000-0005-0000-0000-00003C910000}"/>
    <cellStyle name="Normal 5 17 6 14" xfId="37181" xr:uid="{00000000-0005-0000-0000-00003D910000}"/>
    <cellStyle name="Normal 5 17 6 2" xfId="37182" xr:uid="{00000000-0005-0000-0000-00003E910000}"/>
    <cellStyle name="Normal 5 17 6 2 10" xfId="37183" xr:uid="{00000000-0005-0000-0000-00003F910000}"/>
    <cellStyle name="Normal 5 17 6 2 2" xfId="37184" xr:uid="{00000000-0005-0000-0000-000040910000}"/>
    <cellStyle name="Normal 5 17 6 2 3" xfId="37185" xr:uid="{00000000-0005-0000-0000-000041910000}"/>
    <cellStyle name="Normal 5 17 6 2 4" xfId="37186" xr:uid="{00000000-0005-0000-0000-000042910000}"/>
    <cellStyle name="Normal 5 17 6 2 5" xfId="37187" xr:uid="{00000000-0005-0000-0000-000043910000}"/>
    <cellStyle name="Normal 5 17 6 2 6" xfId="37188" xr:uid="{00000000-0005-0000-0000-000044910000}"/>
    <cellStyle name="Normal 5 17 6 2 7" xfId="37189" xr:uid="{00000000-0005-0000-0000-000045910000}"/>
    <cellStyle name="Normal 5 17 6 2 8" xfId="37190" xr:uid="{00000000-0005-0000-0000-000046910000}"/>
    <cellStyle name="Normal 5 17 6 2 9" xfId="37191" xr:uid="{00000000-0005-0000-0000-000047910000}"/>
    <cellStyle name="Normal 5 17 6 3" xfId="37192" xr:uid="{00000000-0005-0000-0000-000048910000}"/>
    <cellStyle name="Normal 5 17 6 3 10" xfId="37193" xr:uid="{00000000-0005-0000-0000-000049910000}"/>
    <cellStyle name="Normal 5 17 6 3 2" xfId="37194" xr:uid="{00000000-0005-0000-0000-00004A910000}"/>
    <cellStyle name="Normal 5 17 6 3 3" xfId="37195" xr:uid="{00000000-0005-0000-0000-00004B910000}"/>
    <cellStyle name="Normal 5 17 6 3 4" xfId="37196" xr:uid="{00000000-0005-0000-0000-00004C910000}"/>
    <cellStyle name="Normal 5 17 6 3 5" xfId="37197" xr:uid="{00000000-0005-0000-0000-00004D910000}"/>
    <cellStyle name="Normal 5 17 6 3 6" xfId="37198" xr:uid="{00000000-0005-0000-0000-00004E910000}"/>
    <cellStyle name="Normal 5 17 6 3 7" xfId="37199" xr:uid="{00000000-0005-0000-0000-00004F910000}"/>
    <cellStyle name="Normal 5 17 6 3 8" xfId="37200" xr:uid="{00000000-0005-0000-0000-000050910000}"/>
    <cellStyle name="Normal 5 17 6 3 9" xfId="37201" xr:uid="{00000000-0005-0000-0000-000051910000}"/>
    <cellStyle name="Normal 5 17 6 4" xfId="37202" xr:uid="{00000000-0005-0000-0000-000052910000}"/>
    <cellStyle name="Normal 5 17 6 4 10" xfId="37203" xr:uid="{00000000-0005-0000-0000-000053910000}"/>
    <cellStyle name="Normal 5 17 6 4 2" xfId="37204" xr:uid="{00000000-0005-0000-0000-000054910000}"/>
    <cellStyle name="Normal 5 17 6 4 3" xfId="37205" xr:uid="{00000000-0005-0000-0000-000055910000}"/>
    <cellStyle name="Normal 5 17 6 4 4" xfId="37206" xr:uid="{00000000-0005-0000-0000-000056910000}"/>
    <cellStyle name="Normal 5 17 6 4 5" xfId="37207" xr:uid="{00000000-0005-0000-0000-000057910000}"/>
    <cellStyle name="Normal 5 17 6 4 6" xfId="37208" xr:uid="{00000000-0005-0000-0000-000058910000}"/>
    <cellStyle name="Normal 5 17 6 4 7" xfId="37209" xr:uid="{00000000-0005-0000-0000-000059910000}"/>
    <cellStyle name="Normal 5 17 6 4 8" xfId="37210" xr:uid="{00000000-0005-0000-0000-00005A910000}"/>
    <cellStyle name="Normal 5 17 6 4 9" xfId="37211" xr:uid="{00000000-0005-0000-0000-00005B910000}"/>
    <cellStyle name="Normal 5 17 6 5" xfId="37212" xr:uid="{00000000-0005-0000-0000-00005C910000}"/>
    <cellStyle name="Normal 5 17 6 5 10" xfId="37213" xr:uid="{00000000-0005-0000-0000-00005D910000}"/>
    <cellStyle name="Normal 5 17 6 5 2" xfId="37214" xr:uid="{00000000-0005-0000-0000-00005E910000}"/>
    <cellStyle name="Normal 5 17 6 5 3" xfId="37215" xr:uid="{00000000-0005-0000-0000-00005F910000}"/>
    <cellStyle name="Normal 5 17 6 5 4" xfId="37216" xr:uid="{00000000-0005-0000-0000-000060910000}"/>
    <cellStyle name="Normal 5 17 6 5 5" xfId="37217" xr:uid="{00000000-0005-0000-0000-000061910000}"/>
    <cellStyle name="Normal 5 17 6 5 6" xfId="37218" xr:uid="{00000000-0005-0000-0000-000062910000}"/>
    <cellStyle name="Normal 5 17 6 5 7" xfId="37219" xr:uid="{00000000-0005-0000-0000-000063910000}"/>
    <cellStyle name="Normal 5 17 6 5 8" xfId="37220" xr:uid="{00000000-0005-0000-0000-000064910000}"/>
    <cellStyle name="Normal 5 17 6 5 9" xfId="37221" xr:uid="{00000000-0005-0000-0000-000065910000}"/>
    <cellStyle name="Normal 5 17 6 6" xfId="37222" xr:uid="{00000000-0005-0000-0000-000066910000}"/>
    <cellStyle name="Normal 5 17 6 7" xfId="37223" xr:uid="{00000000-0005-0000-0000-000067910000}"/>
    <cellStyle name="Normal 5 17 6 8" xfId="37224" xr:uid="{00000000-0005-0000-0000-000068910000}"/>
    <cellStyle name="Normal 5 17 6 9" xfId="37225" xr:uid="{00000000-0005-0000-0000-000069910000}"/>
    <cellStyle name="Normal 5 17 7" xfId="37226" xr:uid="{00000000-0005-0000-0000-00006A910000}"/>
    <cellStyle name="Normal 5 17 7 10" xfId="37227" xr:uid="{00000000-0005-0000-0000-00006B910000}"/>
    <cellStyle name="Normal 5 17 7 11" xfId="37228" xr:uid="{00000000-0005-0000-0000-00006C910000}"/>
    <cellStyle name="Normal 5 17 7 12" xfId="37229" xr:uid="{00000000-0005-0000-0000-00006D910000}"/>
    <cellStyle name="Normal 5 17 7 13" xfId="37230" xr:uid="{00000000-0005-0000-0000-00006E910000}"/>
    <cellStyle name="Normal 5 17 7 14" xfId="37231" xr:uid="{00000000-0005-0000-0000-00006F910000}"/>
    <cellStyle name="Normal 5 17 7 2" xfId="37232" xr:uid="{00000000-0005-0000-0000-000070910000}"/>
    <cellStyle name="Normal 5 17 7 2 10" xfId="37233" xr:uid="{00000000-0005-0000-0000-000071910000}"/>
    <cellStyle name="Normal 5 17 7 2 2" xfId="37234" xr:uid="{00000000-0005-0000-0000-000072910000}"/>
    <cellStyle name="Normal 5 17 7 2 3" xfId="37235" xr:uid="{00000000-0005-0000-0000-000073910000}"/>
    <cellStyle name="Normal 5 17 7 2 4" xfId="37236" xr:uid="{00000000-0005-0000-0000-000074910000}"/>
    <cellStyle name="Normal 5 17 7 2 5" xfId="37237" xr:uid="{00000000-0005-0000-0000-000075910000}"/>
    <cellStyle name="Normal 5 17 7 2 6" xfId="37238" xr:uid="{00000000-0005-0000-0000-000076910000}"/>
    <cellStyle name="Normal 5 17 7 2 7" xfId="37239" xr:uid="{00000000-0005-0000-0000-000077910000}"/>
    <cellStyle name="Normal 5 17 7 2 8" xfId="37240" xr:uid="{00000000-0005-0000-0000-000078910000}"/>
    <cellStyle name="Normal 5 17 7 2 9" xfId="37241" xr:uid="{00000000-0005-0000-0000-000079910000}"/>
    <cellStyle name="Normal 5 17 7 3" xfId="37242" xr:uid="{00000000-0005-0000-0000-00007A910000}"/>
    <cellStyle name="Normal 5 17 7 3 10" xfId="37243" xr:uid="{00000000-0005-0000-0000-00007B910000}"/>
    <cellStyle name="Normal 5 17 7 3 2" xfId="37244" xr:uid="{00000000-0005-0000-0000-00007C910000}"/>
    <cellStyle name="Normal 5 17 7 3 3" xfId="37245" xr:uid="{00000000-0005-0000-0000-00007D910000}"/>
    <cellStyle name="Normal 5 17 7 3 4" xfId="37246" xr:uid="{00000000-0005-0000-0000-00007E910000}"/>
    <cellStyle name="Normal 5 17 7 3 5" xfId="37247" xr:uid="{00000000-0005-0000-0000-00007F910000}"/>
    <cellStyle name="Normal 5 17 7 3 6" xfId="37248" xr:uid="{00000000-0005-0000-0000-000080910000}"/>
    <cellStyle name="Normal 5 17 7 3 7" xfId="37249" xr:uid="{00000000-0005-0000-0000-000081910000}"/>
    <cellStyle name="Normal 5 17 7 3 8" xfId="37250" xr:uid="{00000000-0005-0000-0000-000082910000}"/>
    <cellStyle name="Normal 5 17 7 3 9" xfId="37251" xr:uid="{00000000-0005-0000-0000-000083910000}"/>
    <cellStyle name="Normal 5 17 7 4" xfId="37252" xr:uid="{00000000-0005-0000-0000-000084910000}"/>
    <cellStyle name="Normal 5 17 7 4 10" xfId="37253" xr:uid="{00000000-0005-0000-0000-000085910000}"/>
    <cellStyle name="Normal 5 17 7 4 2" xfId="37254" xr:uid="{00000000-0005-0000-0000-000086910000}"/>
    <cellStyle name="Normal 5 17 7 4 3" xfId="37255" xr:uid="{00000000-0005-0000-0000-000087910000}"/>
    <cellStyle name="Normal 5 17 7 4 4" xfId="37256" xr:uid="{00000000-0005-0000-0000-000088910000}"/>
    <cellStyle name="Normal 5 17 7 4 5" xfId="37257" xr:uid="{00000000-0005-0000-0000-000089910000}"/>
    <cellStyle name="Normal 5 17 7 4 6" xfId="37258" xr:uid="{00000000-0005-0000-0000-00008A910000}"/>
    <cellStyle name="Normal 5 17 7 4 7" xfId="37259" xr:uid="{00000000-0005-0000-0000-00008B910000}"/>
    <cellStyle name="Normal 5 17 7 4 8" xfId="37260" xr:uid="{00000000-0005-0000-0000-00008C910000}"/>
    <cellStyle name="Normal 5 17 7 4 9" xfId="37261" xr:uid="{00000000-0005-0000-0000-00008D910000}"/>
    <cellStyle name="Normal 5 17 7 5" xfId="37262" xr:uid="{00000000-0005-0000-0000-00008E910000}"/>
    <cellStyle name="Normal 5 17 7 5 10" xfId="37263" xr:uid="{00000000-0005-0000-0000-00008F910000}"/>
    <cellStyle name="Normal 5 17 7 5 2" xfId="37264" xr:uid="{00000000-0005-0000-0000-000090910000}"/>
    <cellStyle name="Normal 5 17 7 5 3" xfId="37265" xr:uid="{00000000-0005-0000-0000-000091910000}"/>
    <cellStyle name="Normal 5 17 7 5 4" xfId="37266" xr:uid="{00000000-0005-0000-0000-000092910000}"/>
    <cellStyle name="Normal 5 17 7 5 5" xfId="37267" xr:uid="{00000000-0005-0000-0000-000093910000}"/>
    <cellStyle name="Normal 5 17 7 5 6" xfId="37268" xr:uid="{00000000-0005-0000-0000-000094910000}"/>
    <cellStyle name="Normal 5 17 7 5 7" xfId="37269" xr:uid="{00000000-0005-0000-0000-000095910000}"/>
    <cellStyle name="Normal 5 17 7 5 8" xfId="37270" xr:uid="{00000000-0005-0000-0000-000096910000}"/>
    <cellStyle name="Normal 5 17 7 5 9" xfId="37271" xr:uid="{00000000-0005-0000-0000-000097910000}"/>
    <cellStyle name="Normal 5 17 7 6" xfId="37272" xr:uid="{00000000-0005-0000-0000-000098910000}"/>
    <cellStyle name="Normal 5 17 7 7" xfId="37273" xr:uid="{00000000-0005-0000-0000-000099910000}"/>
    <cellStyle name="Normal 5 17 7 8" xfId="37274" xr:uid="{00000000-0005-0000-0000-00009A910000}"/>
    <cellStyle name="Normal 5 17 7 9" xfId="37275" xr:uid="{00000000-0005-0000-0000-00009B910000}"/>
    <cellStyle name="Normal 5 17 8" xfId="37276" xr:uid="{00000000-0005-0000-0000-00009C910000}"/>
    <cellStyle name="Normal 5 17 8 10" xfId="37277" xr:uid="{00000000-0005-0000-0000-00009D910000}"/>
    <cellStyle name="Normal 5 17 8 11" xfId="37278" xr:uid="{00000000-0005-0000-0000-00009E910000}"/>
    <cellStyle name="Normal 5 17 8 12" xfId="37279" xr:uid="{00000000-0005-0000-0000-00009F910000}"/>
    <cellStyle name="Normal 5 17 8 13" xfId="37280" xr:uid="{00000000-0005-0000-0000-0000A0910000}"/>
    <cellStyle name="Normal 5 17 8 14" xfId="37281" xr:uid="{00000000-0005-0000-0000-0000A1910000}"/>
    <cellStyle name="Normal 5 17 8 2" xfId="37282" xr:uid="{00000000-0005-0000-0000-0000A2910000}"/>
    <cellStyle name="Normal 5 17 8 2 10" xfId="37283" xr:uid="{00000000-0005-0000-0000-0000A3910000}"/>
    <cellStyle name="Normal 5 17 8 2 2" xfId="37284" xr:uid="{00000000-0005-0000-0000-0000A4910000}"/>
    <cellStyle name="Normal 5 17 8 2 3" xfId="37285" xr:uid="{00000000-0005-0000-0000-0000A5910000}"/>
    <cellStyle name="Normal 5 17 8 2 4" xfId="37286" xr:uid="{00000000-0005-0000-0000-0000A6910000}"/>
    <cellStyle name="Normal 5 17 8 2 5" xfId="37287" xr:uid="{00000000-0005-0000-0000-0000A7910000}"/>
    <cellStyle name="Normal 5 17 8 2 6" xfId="37288" xr:uid="{00000000-0005-0000-0000-0000A8910000}"/>
    <cellStyle name="Normal 5 17 8 2 7" xfId="37289" xr:uid="{00000000-0005-0000-0000-0000A9910000}"/>
    <cellStyle name="Normal 5 17 8 2 8" xfId="37290" xr:uid="{00000000-0005-0000-0000-0000AA910000}"/>
    <cellStyle name="Normal 5 17 8 2 9" xfId="37291" xr:uid="{00000000-0005-0000-0000-0000AB910000}"/>
    <cellStyle name="Normal 5 17 8 3" xfId="37292" xr:uid="{00000000-0005-0000-0000-0000AC910000}"/>
    <cellStyle name="Normal 5 17 8 3 10" xfId="37293" xr:uid="{00000000-0005-0000-0000-0000AD910000}"/>
    <cellStyle name="Normal 5 17 8 3 2" xfId="37294" xr:uid="{00000000-0005-0000-0000-0000AE910000}"/>
    <cellStyle name="Normal 5 17 8 3 3" xfId="37295" xr:uid="{00000000-0005-0000-0000-0000AF910000}"/>
    <cellStyle name="Normal 5 17 8 3 4" xfId="37296" xr:uid="{00000000-0005-0000-0000-0000B0910000}"/>
    <cellStyle name="Normal 5 17 8 3 5" xfId="37297" xr:uid="{00000000-0005-0000-0000-0000B1910000}"/>
    <cellStyle name="Normal 5 17 8 3 6" xfId="37298" xr:uid="{00000000-0005-0000-0000-0000B2910000}"/>
    <cellStyle name="Normal 5 17 8 3 7" xfId="37299" xr:uid="{00000000-0005-0000-0000-0000B3910000}"/>
    <cellStyle name="Normal 5 17 8 3 8" xfId="37300" xr:uid="{00000000-0005-0000-0000-0000B4910000}"/>
    <cellStyle name="Normal 5 17 8 3 9" xfId="37301" xr:uid="{00000000-0005-0000-0000-0000B5910000}"/>
    <cellStyle name="Normal 5 17 8 4" xfId="37302" xr:uid="{00000000-0005-0000-0000-0000B6910000}"/>
    <cellStyle name="Normal 5 17 8 4 10" xfId="37303" xr:uid="{00000000-0005-0000-0000-0000B7910000}"/>
    <cellStyle name="Normal 5 17 8 4 2" xfId="37304" xr:uid="{00000000-0005-0000-0000-0000B8910000}"/>
    <cellStyle name="Normal 5 17 8 4 3" xfId="37305" xr:uid="{00000000-0005-0000-0000-0000B9910000}"/>
    <cellStyle name="Normal 5 17 8 4 4" xfId="37306" xr:uid="{00000000-0005-0000-0000-0000BA910000}"/>
    <cellStyle name="Normal 5 17 8 4 5" xfId="37307" xr:uid="{00000000-0005-0000-0000-0000BB910000}"/>
    <cellStyle name="Normal 5 17 8 4 6" xfId="37308" xr:uid="{00000000-0005-0000-0000-0000BC910000}"/>
    <cellStyle name="Normal 5 17 8 4 7" xfId="37309" xr:uid="{00000000-0005-0000-0000-0000BD910000}"/>
    <cellStyle name="Normal 5 17 8 4 8" xfId="37310" xr:uid="{00000000-0005-0000-0000-0000BE910000}"/>
    <cellStyle name="Normal 5 17 8 4 9" xfId="37311" xr:uid="{00000000-0005-0000-0000-0000BF910000}"/>
    <cellStyle name="Normal 5 17 8 5" xfId="37312" xr:uid="{00000000-0005-0000-0000-0000C0910000}"/>
    <cellStyle name="Normal 5 17 8 5 10" xfId="37313" xr:uid="{00000000-0005-0000-0000-0000C1910000}"/>
    <cellStyle name="Normal 5 17 8 5 2" xfId="37314" xr:uid="{00000000-0005-0000-0000-0000C2910000}"/>
    <cellStyle name="Normal 5 17 8 5 3" xfId="37315" xr:uid="{00000000-0005-0000-0000-0000C3910000}"/>
    <cellStyle name="Normal 5 17 8 5 4" xfId="37316" xr:uid="{00000000-0005-0000-0000-0000C4910000}"/>
    <cellStyle name="Normal 5 17 8 5 5" xfId="37317" xr:uid="{00000000-0005-0000-0000-0000C5910000}"/>
    <cellStyle name="Normal 5 17 8 5 6" xfId="37318" xr:uid="{00000000-0005-0000-0000-0000C6910000}"/>
    <cellStyle name="Normal 5 17 8 5 7" xfId="37319" xr:uid="{00000000-0005-0000-0000-0000C7910000}"/>
    <cellStyle name="Normal 5 17 8 5 8" xfId="37320" xr:uid="{00000000-0005-0000-0000-0000C8910000}"/>
    <cellStyle name="Normal 5 17 8 5 9" xfId="37321" xr:uid="{00000000-0005-0000-0000-0000C9910000}"/>
    <cellStyle name="Normal 5 17 8 6" xfId="37322" xr:uid="{00000000-0005-0000-0000-0000CA910000}"/>
    <cellStyle name="Normal 5 17 8 7" xfId="37323" xr:uid="{00000000-0005-0000-0000-0000CB910000}"/>
    <cellStyle name="Normal 5 17 8 8" xfId="37324" xr:uid="{00000000-0005-0000-0000-0000CC910000}"/>
    <cellStyle name="Normal 5 17 8 9" xfId="37325" xr:uid="{00000000-0005-0000-0000-0000CD910000}"/>
    <cellStyle name="Normal 5 17 9" xfId="37326" xr:uid="{00000000-0005-0000-0000-0000CE910000}"/>
    <cellStyle name="Normal 5 17 9 10" xfId="37327" xr:uid="{00000000-0005-0000-0000-0000CF910000}"/>
    <cellStyle name="Normal 5 17 9 11" xfId="37328" xr:uid="{00000000-0005-0000-0000-0000D0910000}"/>
    <cellStyle name="Normal 5 17 9 12" xfId="37329" xr:uid="{00000000-0005-0000-0000-0000D1910000}"/>
    <cellStyle name="Normal 5 17 9 13" xfId="37330" xr:uid="{00000000-0005-0000-0000-0000D2910000}"/>
    <cellStyle name="Normal 5 17 9 14" xfId="37331" xr:uid="{00000000-0005-0000-0000-0000D3910000}"/>
    <cellStyle name="Normal 5 17 9 2" xfId="37332" xr:uid="{00000000-0005-0000-0000-0000D4910000}"/>
    <cellStyle name="Normal 5 17 9 2 10" xfId="37333" xr:uid="{00000000-0005-0000-0000-0000D5910000}"/>
    <cellStyle name="Normal 5 17 9 2 2" xfId="37334" xr:uid="{00000000-0005-0000-0000-0000D6910000}"/>
    <cellStyle name="Normal 5 17 9 2 3" xfId="37335" xr:uid="{00000000-0005-0000-0000-0000D7910000}"/>
    <cellStyle name="Normal 5 17 9 2 4" xfId="37336" xr:uid="{00000000-0005-0000-0000-0000D8910000}"/>
    <cellStyle name="Normal 5 17 9 2 5" xfId="37337" xr:uid="{00000000-0005-0000-0000-0000D9910000}"/>
    <cellStyle name="Normal 5 17 9 2 6" xfId="37338" xr:uid="{00000000-0005-0000-0000-0000DA910000}"/>
    <cellStyle name="Normal 5 17 9 2 7" xfId="37339" xr:uid="{00000000-0005-0000-0000-0000DB910000}"/>
    <cellStyle name="Normal 5 17 9 2 8" xfId="37340" xr:uid="{00000000-0005-0000-0000-0000DC910000}"/>
    <cellStyle name="Normal 5 17 9 2 9" xfId="37341" xr:uid="{00000000-0005-0000-0000-0000DD910000}"/>
    <cellStyle name="Normal 5 17 9 3" xfId="37342" xr:uid="{00000000-0005-0000-0000-0000DE910000}"/>
    <cellStyle name="Normal 5 17 9 3 10" xfId="37343" xr:uid="{00000000-0005-0000-0000-0000DF910000}"/>
    <cellStyle name="Normal 5 17 9 3 2" xfId="37344" xr:uid="{00000000-0005-0000-0000-0000E0910000}"/>
    <cellStyle name="Normal 5 17 9 3 3" xfId="37345" xr:uid="{00000000-0005-0000-0000-0000E1910000}"/>
    <cellStyle name="Normal 5 17 9 3 4" xfId="37346" xr:uid="{00000000-0005-0000-0000-0000E2910000}"/>
    <cellStyle name="Normal 5 17 9 3 5" xfId="37347" xr:uid="{00000000-0005-0000-0000-0000E3910000}"/>
    <cellStyle name="Normal 5 17 9 3 6" xfId="37348" xr:uid="{00000000-0005-0000-0000-0000E4910000}"/>
    <cellStyle name="Normal 5 17 9 3 7" xfId="37349" xr:uid="{00000000-0005-0000-0000-0000E5910000}"/>
    <cellStyle name="Normal 5 17 9 3 8" xfId="37350" xr:uid="{00000000-0005-0000-0000-0000E6910000}"/>
    <cellStyle name="Normal 5 17 9 3 9" xfId="37351" xr:uid="{00000000-0005-0000-0000-0000E7910000}"/>
    <cellStyle name="Normal 5 17 9 4" xfId="37352" xr:uid="{00000000-0005-0000-0000-0000E8910000}"/>
    <cellStyle name="Normal 5 17 9 4 10" xfId="37353" xr:uid="{00000000-0005-0000-0000-0000E9910000}"/>
    <cellStyle name="Normal 5 17 9 4 2" xfId="37354" xr:uid="{00000000-0005-0000-0000-0000EA910000}"/>
    <cellStyle name="Normal 5 17 9 4 3" xfId="37355" xr:uid="{00000000-0005-0000-0000-0000EB910000}"/>
    <cellStyle name="Normal 5 17 9 4 4" xfId="37356" xr:uid="{00000000-0005-0000-0000-0000EC910000}"/>
    <cellStyle name="Normal 5 17 9 4 5" xfId="37357" xr:uid="{00000000-0005-0000-0000-0000ED910000}"/>
    <cellStyle name="Normal 5 17 9 4 6" xfId="37358" xr:uid="{00000000-0005-0000-0000-0000EE910000}"/>
    <cellStyle name="Normal 5 17 9 4 7" xfId="37359" xr:uid="{00000000-0005-0000-0000-0000EF910000}"/>
    <cellStyle name="Normal 5 17 9 4 8" xfId="37360" xr:uid="{00000000-0005-0000-0000-0000F0910000}"/>
    <cellStyle name="Normal 5 17 9 4 9" xfId="37361" xr:uid="{00000000-0005-0000-0000-0000F1910000}"/>
    <cellStyle name="Normal 5 17 9 5" xfId="37362" xr:uid="{00000000-0005-0000-0000-0000F2910000}"/>
    <cellStyle name="Normal 5 17 9 5 10" xfId="37363" xr:uid="{00000000-0005-0000-0000-0000F3910000}"/>
    <cellStyle name="Normal 5 17 9 5 2" xfId="37364" xr:uid="{00000000-0005-0000-0000-0000F4910000}"/>
    <cellStyle name="Normal 5 17 9 5 3" xfId="37365" xr:uid="{00000000-0005-0000-0000-0000F5910000}"/>
    <cellStyle name="Normal 5 17 9 5 4" xfId="37366" xr:uid="{00000000-0005-0000-0000-0000F6910000}"/>
    <cellStyle name="Normal 5 17 9 5 5" xfId="37367" xr:uid="{00000000-0005-0000-0000-0000F7910000}"/>
    <cellStyle name="Normal 5 17 9 5 6" xfId="37368" xr:uid="{00000000-0005-0000-0000-0000F8910000}"/>
    <cellStyle name="Normal 5 17 9 5 7" xfId="37369" xr:uid="{00000000-0005-0000-0000-0000F9910000}"/>
    <cellStyle name="Normal 5 17 9 5 8" xfId="37370" xr:uid="{00000000-0005-0000-0000-0000FA910000}"/>
    <cellStyle name="Normal 5 17 9 5 9" xfId="37371" xr:uid="{00000000-0005-0000-0000-0000FB910000}"/>
    <cellStyle name="Normal 5 17 9 6" xfId="37372" xr:uid="{00000000-0005-0000-0000-0000FC910000}"/>
    <cellStyle name="Normal 5 17 9 7" xfId="37373" xr:uid="{00000000-0005-0000-0000-0000FD910000}"/>
    <cellStyle name="Normal 5 17 9 8" xfId="37374" xr:uid="{00000000-0005-0000-0000-0000FE910000}"/>
    <cellStyle name="Normal 5 17 9 9" xfId="37375" xr:uid="{00000000-0005-0000-0000-0000FF910000}"/>
    <cellStyle name="Normal 5 18" xfId="37376" xr:uid="{00000000-0005-0000-0000-000000920000}"/>
    <cellStyle name="Normal 5 18 2" xfId="37377" xr:uid="{00000000-0005-0000-0000-000001920000}"/>
    <cellStyle name="Normal 5 18 2 2" xfId="37378" xr:uid="{00000000-0005-0000-0000-000002920000}"/>
    <cellStyle name="Normal 5 18 3" xfId="37379" xr:uid="{00000000-0005-0000-0000-000003920000}"/>
    <cellStyle name="Normal 5 18 4" xfId="37380" xr:uid="{00000000-0005-0000-0000-000004920000}"/>
    <cellStyle name="Normal 5 19" xfId="37381" xr:uid="{00000000-0005-0000-0000-000005920000}"/>
    <cellStyle name="Normal 5 19 2" xfId="37382" xr:uid="{00000000-0005-0000-0000-000006920000}"/>
    <cellStyle name="Normal 5 19 2 2" xfId="37383" xr:uid="{00000000-0005-0000-0000-000007920000}"/>
    <cellStyle name="Normal 5 19 3" xfId="37384" xr:uid="{00000000-0005-0000-0000-000008920000}"/>
    <cellStyle name="Normal 5 19 4" xfId="37385" xr:uid="{00000000-0005-0000-0000-000009920000}"/>
    <cellStyle name="Normal 5 2" xfId="37386" xr:uid="{00000000-0005-0000-0000-00000A920000}"/>
    <cellStyle name="Normal 5 2 10" xfId="37387" xr:uid="{00000000-0005-0000-0000-00000B920000}"/>
    <cellStyle name="Normal 5 2 11" xfId="37388" xr:uid="{00000000-0005-0000-0000-00000C920000}"/>
    <cellStyle name="Normal 5 2 12" xfId="37389" xr:uid="{00000000-0005-0000-0000-00000D920000}"/>
    <cellStyle name="Normal 5 2 13" xfId="37390" xr:uid="{00000000-0005-0000-0000-00000E920000}"/>
    <cellStyle name="Normal 5 2 14" xfId="37391" xr:uid="{00000000-0005-0000-0000-00000F920000}"/>
    <cellStyle name="Normal 5 2 15" xfId="37392" xr:uid="{00000000-0005-0000-0000-000010920000}"/>
    <cellStyle name="Normal 5 2 16" xfId="37393" xr:uid="{00000000-0005-0000-0000-000011920000}"/>
    <cellStyle name="Normal 5 2 17" xfId="37394" xr:uid="{00000000-0005-0000-0000-000012920000}"/>
    <cellStyle name="Normal 5 2 18" xfId="37395" xr:uid="{00000000-0005-0000-0000-000013920000}"/>
    <cellStyle name="Normal 5 2 19" xfId="37396" xr:uid="{00000000-0005-0000-0000-000014920000}"/>
    <cellStyle name="Normal 5 2 2" xfId="37397" xr:uid="{00000000-0005-0000-0000-000015920000}"/>
    <cellStyle name="Normal 5 2 2 2" xfId="37398" xr:uid="{00000000-0005-0000-0000-000016920000}"/>
    <cellStyle name="Normal 5 2 2 2 2" xfId="37399" xr:uid="{00000000-0005-0000-0000-000017920000}"/>
    <cellStyle name="Normal 5 2 20" xfId="37400" xr:uid="{00000000-0005-0000-0000-000018920000}"/>
    <cellStyle name="Normal 5 2 21" xfId="37401" xr:uid="{00000000-0005-0000-0000-000019920000}"/>
    <cellStyle name="Normal 5 2 22" xfId="37402" xr:uid="{00000000-0005-0000-0000-00001A920000}"/>
    <cellStyle name="Normal 5 2 23" xfId="37403" xr:uid="{00000000-0005-0000-0000-00001B920000}"/>
    <cellStyle name="Normal 5 2 24" xfId="37404" xr:uid="{00000000-0005-0000-0000-00001C920000}"/>
    <cellStyle name="Normal 5 2 25" xfId="37405" xr:uid="{00000000-0005-0000-0000-00001D920000}"/>
    <cellStyle name="Normal 5 2 26" xfId="37406" xr:uid="{00000000-0005-0000-0000-00001E920000}"/>
    <cellStyle name="Normal 5 2 27" xfId="37407" xr:uid="{00000000-0005-0000-0000-00001F920000}"/>
    <cellStyle name="Normal 5 2 28" xfId="37408" xr:uid="{00000000-0005-0000-0000-000020920000}"/>
    <cellStyle name="Normal 5 2 29" xfId="37409" xr:uid="{00000000-0005-0000-0000-000021920000}"/>
    <cellStyle name="Normal 5 2 3" xfId="37410" xr:uid="{00000000-0005-0000-0000-000022920000}"/>
    <cellStyle name="Normal 5 2 30" xfId="37411" xr:uid="{00000000-0005-0000-0000-000023920000}"/>
    <cellStyle name="Normal 5 2 31" xfId="37412" xr:uid="{00000000-0005-0000-0000-000024920000}"/>
    <cellStyle name="Normal 5 2 32" xfId="37413" xr:uid="{00000000-0005-0000-0000-000025920000}"/>
    <cellStyle name="Normal 5 2 33" xfId="37414" xr:uid="{00000000-0005-0000-0000-000026920000}"/>
    <cellStyle name="Normal 5 2 34" xfId="37415" xr:uid="{00000000-0005-0000-0000-000027920000}"/>
    <cellStyle name="Normal 5 2 35" xfId="37416" xr:uid="{00000000-0005-0000-0000-000028920000}"/>
    <cellStyle name="Normal 5 2 36" xfId="37417" xr:uid="{00000000-0005-0000-0000-000029920000}"/>
    <cellStyle name="Normal 5 2 37" xfId="37418" xr:uid="{00000000-0005-0000-0000-00002A920000}"/>
    <cellStyle name="Normal 5 2 38" xfId="37419" xr:uid="{00000000-0005-0000-0000-00002B920000}"/>
    <cellStyle name="Normal 5 2 39" xfId="37420" xr:uid="{00000000-0005-0000-0000-00002C920000}"/>
    <cellStyle name="Normal 5 2 4" xfId="37421" xr:uid="{00000000-0005-0000-0000-00002D920000}"/>
    <cellStyle name="Normal 5 2 40" xfId="37422" xr:uid="{00000000-0005-0000-0000-00002E920000}"/>
    <cellStyle name="Normal 5 2 41" xfId="37423" xr:uid="{00000000-0005-0000-0000-00002F920000}"/>
    <cellStyle name="Normal 5 2 42" xfId="37424" xr:uid="{00000000-0005-0000-0000-000030920000}"/>
    <cellStyle name="Normal 5 2 43" xfId="37425" xr:uid="{00000000-0005-0000-0000-000031920000}"/>
    <cellStyle name="Normal 5 2 44" xfId="37426" xr:uid="{00000000-0005-0000-0000-000032920000}"/>
    <cellStyle name="Normal 5 2 45" xfId="37427" xr:uid="{00000000-0005-0000-0000-000033920000}"/>
    <cellStyle name="Normal 5 2 46" xfId="37428" xr:uid="{00000000-0005-0000-0000-000034920000}"/>
    <cellStyle name="Normal 5 2 47" xfId="37429" xr:uid="{00000000-0005-0000-0000-000035920000}"/>
    <cellStyle name="Normal 5 2 48" xfId="37430" xr:uid="{00000000-0005-0000-0000-000036920000}"/>
    <cellStyle name="Normal 5 2 49" xfId="37431" xr:uid="{00000000-0005-0000-0000-000037920000}"/>
    <cellStyle name="Normal 5 2 5" xfId="37432" xr:uid="{00000000-0005-0000-0000-000038920000}"/>
    <cellStyle name="Normal 5 2 50" xfId="37433" xr:uid="{00000000-0005-0000-0000-000039920000}"/>
    <cellStyle name="Normal 5 2 51" xfId="37434" xr:uid="{00000000-0005-0000-0000-00003A920000}"/>
    <cellStyle name="Normal 5 2 52" xfId="37435" xr:uid="{00000000-0005-0000-0000-00003B920000}"/>
    <cellStyle name="Normal 5 2 53" xfId="37436" xr:uid="{00000000-0005-0000-0000-00003C920000}"/>
    <cellStyle name="Normal 5 2 54" xfId="37437" xr:uid="{00000000-0005-0000-0000-00003D920000}"/>
    <cellStyle name="Normal 5 2 55" xfId="37438" xr:uid="{00000000-0005-0000-0000-00003E920000}"/>
    <cellStyle name="Normal 5 2 56" xfId="37439" xr:uid="{00000000-0005-0000-0000-00003F920000}"/>
    <cellStyle name="Normal 5 2 57" xfId="37440" xr:uid="{00000000-0005-0000-0000-000040920000}"/>
    <cellStyle name="Normal 5 2 58" xfId="37441" xr:uid="{00000000-0005-0000-0000-000041920000}"/>
    <cellStyle name="Normal 5 2 59" xfId="37442" xr:uid="{00000000-0005-0000-0000-000042920000}"/>
    <cellStyle name="Normal 5 2 6" xfId="37443" xr:uid="{00000000-0005-0000-0000-000043920000}"/>
    <cellStyle name="Normal 5 2 60" xfId="37444" xr:uid="{00000000-0005-0000-0000-000044920000}"/>
    <cellStyle name="Normal 5 2 61" xfId="37445" xr:uid="{00000000-0005-0000-0000-000045920000}"/>
    <cellStyle name="Normal 5 2 62" xfId="37446" xr:uid="{00000000-0005-0000-0000-000046920000}"/>
    <cellStyle name="Normal 5 2 63" xfId="37447" xr:uid="{00000000-0005-0000-0000-000047920000}"/>
    <cellStyle name="Normal 5 2 64" xfId="37448" xr:uid="{00000000-0005-0000-0000-000048920000}"/>
    <cellStyle name="Normal 5 2 65" xfId="37449" xr:uid="{00000000-0005-0000-0000-000049920000}"/>
    <cellStyle name="Normal 5 2 66" xfId="37450" xr:uid="{00000000-0005-0000-0000-00004A920000}"/>
    <cellStyle name="Normal 5 2 67" xfId="37451" xr:uid="{00000000-0005-0000-0000-00004B920000}"/>
    <cellStyle name="Normal 5 2 68" xfId="37452" xr:uid="{00000000-0005-0000-0000-00004C920000}"/>
    <cellStyle name="Normal 5 2 69" xfId="37453" xr:uid="{00000000-0005-0000-0000-00004D920000}"/>
    <cellStyle name="Normal 5 2 7" xfId="37454" xr:uid="{00000000-0005-0000-0000-00004E920000}"/>
    <cellStyle name="Normal 5 2 70" xfId="37455" xr:uid="{00000000-0005-0000-0000-00004F920000}"/>
    <cellStyle name="Normal 5 2 71" xfId="37456" xr:uid="{00000000-0005-0000-0000-000050920000}"/>
    <cellStyle name="Normal 5 2 72" xfId="37457" xr:uid="{00000000-0005-0000-0000-000051920000}"/>
    <cellStyle name="Normal 5 2 73" xfId="37458" xr:uid="{00000000-0005-0000-0000-000052920000}"/>
    <cellStyle name="Normal 5 2 74" xfId="37459" xr:uid="{00000000-0005-0000-0000-000053920000}"/>
    <cellStyle name="Normal 5 2 75" xfId="37460" xr:uid="{00000000-0005-0000-0000-000054920000}"/>
    <cellStyle name="Normal 5 2 76" xfId="37461" xr:uid="{00000000-0005-0000-0000-000055920000}"/>
    <cellStyle name="Normal 5 2 77" xfId="37462" xr:uid="{00000000-0005-0000-0000-000056920000}"/>
    <cellStyle name="Normal 5 2 78" xfId="37463" xr:uid="{00000000-0005-0000-0000-000057920000}"/>
    <cellStyle name="Normal 5 2 79" xfId="37464" xr:uid="{00000000-0005-0000-0000-000058920000}"/>
    <cellStyle name="Normal 5 2 8" xfId="37465" xr:uid="{00000000-0005-0000-0000-000059920000}"/>
    <cellStyle name="Normal 5 2 80" xfId="37466" xr:uid="{00000000-0005-0000-0000-00005A920000}"/>
    <cellStyle name="Normal 5 2 81" xfId="37467" xr:uid="{00000000-0005-0000-0000-00005B920000}"/>
    <cellStyle name="Normal 5 2 82" xfId="37468" xr:uid="{00000000-0005-0000-0000-00005C920000}"/>
    <cellStyle name="Normal 5 2 9" xfId="37469" xr:uid="{00000000-0005-0000-0000-00005D920000}"/>
    <cellStyle name="Normal 5 2_Enlaces" xfId="37470" xr:uid="{00000000-0005-0000-0000-00005E920000}"/>
    <cellStyle name="Normal 5 20" xfId="37471" xr:uid="{00000000-0005-0000-0000-00005F920000}"/>
    <cellStyle name="Normal 5 20 2" xfId="37472" xr:uid="{00000000-0005-0000-0000-000060920000}"/>
    <cellStyle name="Normal 5 20 2 2" xfId="37473" xr:uid="{00000000-0005-0000-0000-000061920000}"/>
    <cellStyle name="Normal 5 20 3" xfId="37474" xr:uid="{00000000-0005-0000-0000-000062920000}"/>
    <cellStyle name="Normal 5 20 4" xfId="37475" xr:uid="{00000000-0005-0000-0000-000063920000}"/>
    <cellStyle name="Normal 5 21" xfId="37476" xr:uid="{00000000-0005-0000-0000-000064920000}"/>
    <cellStyle name="Normal 5 21 2" xfId="37477" xr:uid="{00000000-0005-0000-0000-000065920000}"/>
    <cellStyle name="Normal 5 21 2 2" xfId="37478" xr:uid="{00000000-0005-0000-0000-000066920000}"/>
    <cellStyle name="Normal 5 21 3" xfId="37479" xr:uid="{00000000-0005-0000-0000-000067920000}"/>
    <cellStyle name="Normal 5 21 4" xfId="37480" xr:uid="{00000000-0005-0000-0000-000068920000}"/>
    <cellStyle name="Normal 5 22" xfId="37481" xr:uid="{00000000-0005-0000-0000-000069920000}"/>
    <cellStyle name="Normal 5 22 2" xfId="37482" xr:uid="{00000000-0005-0000-0000-00006A920000}"/>
    <cellStyle name="Normal 5 22 3" xfId="37483" xr:uid="{00000000-0005-0000-0000-00006B920000}"/>
    <cellStyle name="Normal 5 23" xfId="37484" xr:uid="{00000000-0005-0000-0000-00006C920000}"/>
    <cellStyle name="Normal 5 24" xfId="37485" xr:uid="{00000000-0005-0000-0000-00006D920000}"/>
    <cellStyle name="Normal 5 25" xfId="37486" xr:uid="{00000000-0005-0000-0000-00006E920000}"/>
    <cellStyle name="Normal 5 26" xfId="37487" xr:uid="{00000000-0005-0000-0000-00006F920000}"/>
    <cellStyle name="Normal 5 27" xfId="37488" xr:uid="{00000000-0005-0000-0000-000070920000}"/>
    <cellStyle name="Normal 5 28" xfId="37489" xr:uid="{00000000-0005-0000-0000-000071920000}"/>
    <cellStyle name="Normal 5 29" xfId="37490" xr:uid="{00000000-0005-0000-0000-000072920000}"/>
    <cellStyle name="Normal 5 3" xfId="37491" xr:uid="{00000000-0005-0000-0000-000073920000}"/>
    <cellStyle name="Normal 5 3 10" xfId="37492" xr:uid="{00000000-0005-0000-0000-000074920000}"/>
    <cellStyle name="Normal 5 3 11" xfId="37493" xr:uid="{00000000-0005-0000-0000-000075920000}"/>
    <cellStyle name="Normal 5 3 12" xfId="37494" xr:uid="{00000000-0005-0000-0000-000076920000}"/>
    <cellStyle name="Normal 5 3 2" xfId="37495" xr:uid="{00000000-0005-0000-0000-000077920000}"/>
    <cellStyle name="Normal 5 3 3" xfId="37496" xr:uid="{00000000-0005-0000-0000-000078920000}"/>
    <cellStyle name="Normal 5 3 4" xfId="37497" xr:uid="{00000000-0005-0000-0000-000079920000}"/>
    <cellStyle name="Normal 5 3 4 2" xfId="37498" xr:uid="{00000000-0005-0000-0000-00007A920000}"/>
    <cellStyle name="Normal 5 3 4 2 2" xfId="37499" xr:uid="{00000000-0005-0000-0000-00007B920000}"/>
    <cellStyle name="Normal 5 3 4 3" xfId="37500" xr:uid="{00000000-0005-0000-0000-00007C920000}"/>
    <cellStyle name="Normal 5 3 5" xfId="37501" xr:uid="{00000000-0005-0000-0000-00007D920000}"/>
    <cellStyle name="Normal 5 3 6" xfId="37502" xr:uid="{00000000-0005-0000-0000-00007E920000}"/>
    <cellStyle name="Normal 5 3 7" xfId="37503" xr:uid="{00000000-0005-0000-0000-00007F920000}"/>
    <cellStyle name="Normal 5 3 7 2" xfId="37504" xr:uid="{00000000-0005-0000-0000-000080920000}"/>
    <cellStyle name="Normal 5 3 8" xfId="37505" xr:uid="{00000000-0005-0000-0000-000081920000}"/>
    <cellStyle name="Normal 5 3 9" xfId="37506" xr:uid="{00000000-0005-0000-0000-000082920000}"/>
    <cellStyle name="Normal 5 3_Implem" xfId="37507" xr:uid="{00000000-0005-0000-0000-000083920000}"/>
    <cellStyle name="Normal 5 30" xfId="37508" xr:uid="{00000000-0005-0000-0000-000084920000}"/>
    <cellStyle name="Normal 5 31" xfId="37509" xr:uid="{00000000-0005-0000-0000-000085920000}"/>
    <cellStyle name="Normal 5 32" xfId="37510" xr:uid="{00000000-0005-0000-0000-000086920000}"/>
    <cellStyle name="Normal 5 33" xfId="37511" xr:uid="{00000000-0005-0000-0000-000087920000}"/>
    <cellStyle name="Normal 5 34" xfId="37512" xr:uid="{00000000-0005-0000-0000-000088920000}"/>
    <cellStyle name="Normal 5 35" xfId="37513" xr:uid="{00000000-0005-0000-0000-000089920000}"/>
    <cellStyle name="Normal 5 36" xfId="37514" xr:uid="{00000000-0005-0000-0000-00008A920000}"/>
    <cellStyle name="Normal 5 37" xfId="37515" xr:uid="{00000000-0005-0000-0000-00008B920000}"/>
    <cellStyle name="Normal 5 38" xfId="37516" xr:uid="{00000000-0005-0000-0000-00008C920000}"/>
    <cellStyle name="Normal 5 39" xfId="37517" xr:uid="{00000000-0005-0000-0000-00008D920000}"/>
    <cellStyle name="Normal 5 4" xfId="37518" xr:uid="{00000000-0005-0000-0000-00008E920000}"/>
    <cellStyle name="Normal 5 4 2" xfId="37519" xr:uid="{00000000-0005-0000-0000-00008F920000}"/>
    <cellStyle name="Normal 5 4 2 2" xfId="37520" xr:uid="{00000000-0005-0000-0000-000090920000}"/>
    <cellStyle name="Normal 5 4 3" xfId="37521" xr:uid="{00000000-0005-0000-0000-000091920000}"/>
    <cellStyle name="Normal 5 4 4" xfId="37522" xr:uid="{00000000-0005-0000-0000-000092920000}"/>
    <cellStyle name="Normal 5 40" xfId="37523" xr:uid="{00000000-0005-0000-0000-000093920000}"/>
    <cellStyle name="Normal 5 41" xfId="37524" xr:uid="{00000000-0005-0000-0000-000094920000}"/>
    <cellStyle name="Normal 5 42" xfId="37525" xr:uid="{00000000-0005-0000-0000-000095920000}"/>
    <cellStyle name="Normal 5 43" xfId="37526" xr:uid="{00000000-0005-0000-0000-000096920000}"/>
    <cellStyle name="Normal 5 44" xfId="37527" xr:uid="{00000000-0005-0000-0000-000097920000}"/>
    <cellStyle name="Normal 5 45" xfId="37528" xr:uid="{00000000-0005-0000-0000-000098920000}"/>
    <cellStyle name="Normal 5 46" xfId="37529" xr:uid="{00000000-0005-0000-0000-000099920000}"/>
    <cellStyle name="Normal 5 47" xfId="37530" xr:uid="{00000000-0005-0000-0000-00009A920000}"/>
    <cellStyle name="Normal 5 48" xfId="37531" xr:uid="{00000000-0005-0000-0000-00009B920000}"/>
    <cellStyle name="Normal 5 49" xfId="37532" xr:uid="{00000000-0005-0000-0000-00009C920000}"/>
    <cellStyle name="Normal 5 5" xfId="37533" xr:uid="{00000000-0005-0000-0000-00009D920000}"/>
    <cellStyle name="Normal 5 5 2" xfId="37534" xr:uid="{00000000-0005-0000-0000-00009E920000}"/>
    <cellStyle name="Normal 5 5 2 2" xfId="37535" xr:uid="{00000000-0005-0000-0000-00009F920000}"/>
    <cellStyle name="Normal 5 5 3" xfId="37536" xr:uid="{00000000-0005-0000-0000-0000A0920000}"/>
    <cellStyle name="Normal 5 5 4" xfId="37537" xr:uid="{00000000-0005-0000-0000-0000A1920000}"/>
    <cellStyle name="Normal 5 50" xfId="37538" xr:uid="{00000000-0005-0000-0000-0000A2920000}"/>
    <cellStyle name="Normal 5 51" xfId="37539" xr:uid="{00000000-0005-0000-0000-0000A3920000}"/>
    <cellStyle name="Normal 5 52" xfId="37540" xr:uid="{00000000-0005-0000-0000-0000A4920000}"/>
    <cellStyle name="Normal 5 53" xfId="37541" xr:uid="{00000000-0005-0000-0000-0000A5920000}"/>
    <cellStyle name="Normal 5 54" xfId="37542" xr:uid="{00000000-0005-0000-0000-0000A6920000}"/>
    <cellStyle name="Normal 5 55" xfId="37543" xr:uid="{00000000-0005-0000-0000-0000A7920000}"/>
    <cellStyle name="Normal 5 56" xfId="37544" xr:uid="{00000000-0005-0000-0000-0000A8920000}"/>
    <cellStyle name="Normal 5 57" xfId="37545" xr:uid="{00000000-0005-0000-0000-0000A9920000}"/>
    <cellStyle name="Normal 5 58" xfId="37546" xr:uid="{00000000-0005-0000-0000-0000AA920000}"/>
    <cellStyle name="Normal 5 59" xfId="37547" xr:uid="{00000000-0005-0000-0000-0000AB920000}"/>
    <cellStyle name="Normal 5 6" xfId="37548" xr:uid="{00000000-0005-0000-0000-0000AC920000}"/>
    <cellStyle name="Normal 5 6 2" xfId="37549" xr:uid="{00000000-0005-0000-0000-0000AD920000}"/>
    <cellStyle name="Normal 5 6 2 2" xfId="37550" xr:uid="{00000000-0005-0000-0000-0000AE920000}"/>
    <cellStyle name="Normal 5 6 3" xfId="37551" xr:uid="{00000000-0005-0000-0000-0000AF920000}"/>
    <cellStyle name="Normal 5 6 4" xfId="37552" xr:uid="{00000000-0005-0000-0000-0000B0920000}"/>
    <cellStyle name="Normal 5 60" xfId="37553" xr:uid="{00000000-0005-0000-0000-0000B1920000}"/>
    <cellStyle name="Normal 5 7" xfId="37554" xr:uid="{00000000-0005-0000-0000-0000B2920000}"/>
    <cellStyle name="Normal 5 7 2" xfId="37555" xr:uid="{00000000-0005-0000-0000-0000B3920000}"/>
    <cellStyle name="Normal 5 7 2 2" xfId="37556" xr:uid="{00000000-0005-0000-0000-0000B4920000}"/>
    <cellStyle name="Normal 5 7 3" xfId="37557" xr:uid="{00000000-0005-0000-0000-0000B5920000}"/>
    <cellStyle name="Normal 5 7 4" xfId="37558" xr:uid="{00000000-0005-0000-0000-0000B6920000}"/>
    <cellStyle name="Normal 5 8" xfId="37559" xr:uid="{00000000-0005-0000-0000-0000B7920000}"/>
    <cellStyle name="Normal 5 8 2" xfId="37560" xr:uid="{00000000-0005-0000-0000-0000B8920000}"/>
    <cellStyle name="Normal 5 8 2 2" xfId="37561" xr:uid="{00000000-0005-0000-0000-0000B9920000}"/>
    <cellStyle name="Normal 5 8 3" xfId="37562" xr:uid="{00000000-0005-0000-0000-0000BA920000}"/>
    <cellStyle name="Normal 5 8 4" xfId="37563" xr:uid="{00000000-0005-0000-0000-0000BB920000}"/>
    <cellStyle name="Normal 5 9" xfId="37564" xr:uid="{00000000-0005-0000-0000-0000BC920000}"/>
    <cellStyle name="Normal 5 9 2" xfId="37565" xr:uid="{00000000-0005-0000-0000-0000BD920000}"/>
    <cellStyle name="Normal 5 9 2 2" xfId="37566" xr:uid="{00000000-0005-0000-0000-0000BE920000}"/>
    <cellStyle name="Normal 5 9 3" xfId="37567" xr:uid="{00000000-0005-0000-0000-0000BF920000}"/>
    <cellStyle name="Normal 5 9 4" xfId="37568" xr:uid="{00000000-0005-0000-0000-0000C0920000}"/>
    <cellStyle name="Normal 50" xfId="37569" xr:uid="{00000000-0005-0000-0000-0000C1920000}"/>
    <cellStyle name="Normal 50 10" xfId="37570" xr:uid="{00000000-0005-0000-0000-0000C2920000}"/>
    <cellStyle name="Normal 50 11" xfId="37571" xr:uid="{00000000-0005-0000-0000-0000C3920000}"/>
    <cellStyle name="Normal 50 12" xfId="37572" xr:uid="{00000000-0005-0000-0000-0000C4920000}"/>
    <cellStyle name="Normal 50 13" xfId="37573" xr:uid="{00000000-0005-0000-0000-0000C5920000}"/>
    <cellStyle name="Normal 50 14" xfId="37574" xr:uid="{00000000-0005-0000-0000-0000C6920000}"/>
    <cellStyle name="Normal 50 15" xfId="37575" xr:uid="{00000000-0005-0000-0000-0000C7920000}"/>
    <cellStyle name="Normal 50 16" xfId="37576" xr:uid="{00000000-0005-0000-0000-0000C8920000}"/>
    <cellStyle name="Normal 50 17" xfId="37577" xr:uid="{00000000-0005-0000-0000-0000C9920000}"/>
    <cellStyle name="Normal 50 18" xfId="37578" xr:uid="{00000000-0005-0000-0000-0000CA920000}"/>
    <cellStyle name="Normal 50 19" xfId="37579" xr:uid="{00000000-0005-0000-0000-0000CB920000}"/>
    <cellStyle name="Normal 50 2" xfId="37580" xr:uid="{00000000-0005-0000-0000-0000CC920000}"/>
    <cellStyle name="Normal 50 2 2" xfId="37581" xr:uid="{00000000-0005-0000-0000-0000CD920000}"/>
    <cellStyle name="Normal 50 20" xfId="37582" xr:uid="{00000000-0005-0000-0000-0000CE920000}"/>
    <cellStyle name="Normal 50 21" xfId="37583" xr:uid="{00000000-0005-0000-0000-0000CF920000}"/>
    <cellStyle name="Normal 50 22" xfId="37584" xr:uid="{00000000-0005-0000-0000-0000D0920000}"/>
    <cellStyle name="Normal 50 23" xfId="37585" xr:uid="{00000000-0005-0000-0000-0000D1920000}"/>
    <cellStyle name="Normal 50 24" xfId="37586" xr:uid="{00000000-0005-0000-0000-0000D2920000}"/>
    <cellStyle name="Normal 50 25" xfId="37587" xr:uid="{00000000-0005-0000-0000-0000D3920000}"/>
    <cellStyle name="Normal 50 26" xfId="37588" xr:uid="{00000000-0005-0000-0000-0000D4920000}"/>
    <cellStyle name="Normal 50 3" xfId="37589" xr:uid="{00000000-0005-0000-0000-0000D5920000}"/>
    <cellStyle name="Normal 50 3 2" xfId="37590" xr:uid="{00000000-0005-0000-0000-0000D6920000}"/>
    <cellStyle name="Normal 50 4" xfId="37591" xr:uid="{00000000-0005-0000-0000-0000D7920000}"/>
    <cellStyle name="Normal 50 4 2" xfId="37592" xr:uid="{00000000-0005-0000-0000-0000D8920000}"/>
    <cellStyle name="Normal 50 5" xfId="37593" xr:uid="{00000000-0005-0000-0000-0000D9920000}"/>
    <cellStyle name="Normal 50 5 2" xfId="37594" xr:uid="{00000000-0005-0000-0000-0000DA920000}"/>
    <cellStyle name="Normal 50 6" xfId="37595" xr:uid="{00000000-0005-0000-0000-0000DB920000}"/>
    <cellStyle name="Normal 50 7" xfId="37596" xr:uid="{00000000-0005-0000-0000-0000DC920000}"/>
    <cellStyle name="Normal 50 8" xfId="37597" xr:uid="{00000000-0005-0000-0000-0000DD920000}"/>
    <cellStyle name="Normal 50 9" xfId="37598" xr:uid="{00000000-0005-0000-0000-0000DE920000}"/>
    <cellStyle name="Normal 51" xfId="37599" xr:uid="{00000000-0005-0000-0000-0000DF920000}"/>
    <cellStyle name="Normal 52" xfId="37600" xr:uid="{00000000-0005-0000-0000-0000E0920000}"/>
    <cellStyle name="Normal 53" xfId="37601" xr:uid="{00000000-0005-0000-0000-0000E1920000}"/>
    <cellStyle name="Normal 54" xfId="37602" xr:uid="{00000000-0005-0000-0000-0000E2920000}"/>
    <cellStyle name="Normal 55" xfId="37603" xr:uid="{00000000-0005-0000-0000-0000E3920000}"/>
    <cellStyle name="Normal 56" xfId="37604" xr:uid="{00000000-0005-0000-0000-0000E4920000}"/>
    <cellStyle name="Normal 57" xfId="37605" xr:uid="{00000000-0005-0000-0000-0000E5920000}"/>
    <cellStyle name="Normal 58" xfId="37606" xr:uid="{00000000-0005-0000-0000-0000E6920000}"/>
    <cellStyle name="Normal 59" xfId="37607" xr:uid="{00000000-0005-0000-0000-0000E7920000}"/>
    <cellStyle name="Normal 6" xfId="37608" xr:uid="{00000000-0005-0000-0000-0000E8920000}"/>
    <cellStyle name="Normal 6 10" xfId="37609" xr:uid="{00000000-0005-0000-0000-0000E9920000}"/>
    <cellStyle name="Normal 6 11" xfId="37610" xr:uid="{00000000-0005-0000-0000-0000EA920000}"/>
    <cellStyle name="Normal 6 12" xfId="37611" xr:uid="{00000000-0005-0000-0000-0000EB920000}"/>
    <cellStyle name="Normal 6 13" xfId="37612" xr:uid="{00000000-0005-0000-0000-0000EC920000}"/>
    <cellStyle name="Normal 6 14" xfId="37613" xr:uid="{00000000-0005-0000-0000-0000ED920000}"/>
    <cellStyle name="Normal 6 15" xfId="37614" xr:uid="{00000000-0005-0000-0000-0000EE920000}"/>
    <cellStyle name="Normal 6 16" xfId="37615" xr:uid="{00000000-0005-0000-0000-0000EF920000}"/>
    <cellStyle name="Normal 6 17" xfId="37616" xr:uid="{00000000-0005-0000-0000-0000F0920000}"/>
    <cellStyle name="Normal 6 18" xfId="37617" xr:uid="{00000000-0005-0000-0000-0000F1920000}"/>
    <cellStyle name="Normal 6 19" xfId="37618" xr:uid="{00000000-0005-0000-0000-0000F2920000}"/>
    <cellStyle name="Normal 6 2" xfId="37619" xr:uid="{00000000-0005-0000-0000-0000F3920000}"/>
    <cellStyle name="Normal 6 2 10" xfId="37620" xr:uid="{00000000-0005-0000-0000-0000F4920000}"/>
    <cellStyle name="Normal 6 2 11" xfId="37621" xr:uid="{00000000-0005-0000-0000-0000F5920000}"/>
    <cellStyle name="Normal 6 2 12" xfId="37622" xr:uid="{00000000-0005-0000-0000-0000F6920000}"/>
    <cellStyle name="Normal 6 2 13" xfId="37623" xr:uid="{00000000-0005-0000-0000-0000F7920000}"/>
    <cellStyle name="Normal 6 2 14" xfId="37624" xr:uid="{00000000-0005-0000-0000-0000F8920000}"/>
    <cellStyle name="Normal 6 2 15" xfId="37625" xr:uid="{00000000-0005-0000-0000-0000F9920000}"/>
    <cellStyle name="Normal 6 2 16" xfId="37626" xr:uid="{00000000-0005-0000-0000-0000FA920000}"/>
    <cellStyle name="Normal 6 2 17" xfId="37627" xr:uid="{00000000-0005-0000-0000-0000FB920000}"/>
    <cellStyle name="Normal 6 2 18" xfId="37628" xr:uid="{00000000-0005-0000-0000-0000FC920000}"/>
    <cellStyle name="Normal 6 2 19" xfId="37629" xr:uid="{00000000-0005-0000-0000-0000FD920000}"/>
    <cellStyle name="Normal 6 2 2" xfId="37630" xr:uid="{00000000-0005-0000-0000-0000FE920000}"/>
    <cellStyle name="Normal 6 2 20" xfId="37631" xr:uid="{00000000-0005-0000-0000-0000FF920000}"/>
    <cellStyle name="Normal 6 2 21" xfId="37632" xr:uid="{00000000-0005-0000-0000-000000930000}"/>
    <cellStyle name="Normal 6 2 22" xfId="37633" xr:uid="{00000000-0005-0000-0000-000001930000}"/>
    <cellStyle name="Normal 6 2 23" xfId="37634" xr:uid="{00000000-0005-0000-0000-000002930000}"/>
    <cellStyle name="Normal 6 2 24" xfId="37635" xr:uid="{00000000-0005-0000-0000-000003930000}"/>
    <cellStyle name="Normal 6 2 25" xfId="37636" xr:uid="{00000000-0005-0000-0000-000004930000}"/>
    <cellStyle name="Normal 6 2 26" xfId="37637" xr:uid="{00000000-0005-0000-0000-000005930000}"/>
    <cellStyle name="Normal 6 2 27" xfId="37638" xr:uid="{00000000-0005-0000-0000-000006930000}"/>
    <cellStyle name="Normal 6 2 28" xfId="37639" xr:uid="{00000000-0005-0000-0000-000007930000}"/>
    <cellStyle name="Normal 6 2 29" xfId="37640" xr:uid="{00000000-0005-0000-0000-000008930000}"/>
    <cellStyle name="Normal 6 2 3" xfId="37641" xr:uid="{00000000-0005-0000-0000-000009930000}"/>
    <cellStyle name="Normal 6 2 30" xfId="37642" xr:uid="{00000000-0005-0000-0000-00000A930000}"/>
    <cellStyle name="Normal 6 2 31" xfId="37643" xr:uid="{00000000-0005-0000-0000-00000B930000}"/>
    <cellStyle name="Normal 6 2 32" xfId="37644" xr:uid="{00000000-0005-0000-0000-00000C930000}"/>
    <cellStyle name="Normal 6 2 33" xfId="37645" xr:uid="{00000000-0005-0000-0000-00000D930000}"/>
    <cellStyle name="Normal 6 2 34" xfId="37646" xr:uid="{00000000-0005-0000-0000-00000E930000}"/>
    <cellStyle name="Normal 6 2 35" xfId="37647" xr:uid="{00000000-0005-0000-0000-00000F930000}"/>
    <cellStyle name="Normal 6 2 36" xfId="37648" xr:uid="{00000000-0005-0000-0000-000010930000}"/>
    <cellStyle name="Normal 6 2 37" xfId="37649" xr:uid="{00000000-0005-0000-0000-000011930000}"/>
    <cellStyle name="Normal 6 2 38" xfId="37650" xr:uid="{00000000-0005-0000-0000-000012930000}"/>
    <cellStyle name="Normal 6 2 39" xfId="37651" xr:uid="{00000000-0005-0000-0000-000013930000}"/>
    <cellStyle name="Normal 6 2 4" xfId="37652" xr:uid="{00000000-0005-0000-0000-000014930000}"/>
    <cellStyle name="Normal 6 2 40" xfId="37653" xr:uid="{00000000-0005-0000-0000-000015930000}"/>
    <cellStyle name="Normal 6 2 41" xfId="37654" xr:uid="{00000000-0005-0000-0000-000016930000}"/>
    <cellStyle name="Normal 6 2 42" xfId="37655" xr:uid="{00000000-0005-0000-0000-000017930000}"/>
    <cellStyle name="Normal 6 2 43" xfId="37656" xr:uid="{00000000-0005-0000-0000-000018930000}"/>
    <cellStyle name="Normal 6 2 44" xfId="37657" xr:uid="{00000000-0005-0000-0000-000019930000}"/>
    <cellStyle name="Normal 6 2 45" xfId="37658" xr:uid="{00000000-0005-0000-0000-00001A930000}"/>
    <cellStyle name="Normal 6 2 46" xfId="37659" xr:uid="{00000000-0005-0000-0000-00001B930000}"/>
    <cellStyle name="Normal 6 2 47" xfId="37660" xr:uid="{00000000-0005-0000-0000-00001C930000}"/>
    <cellStyle name="Normal 6 2 48" xfId="37661" xr:uid="{00000000-0005-0000-0000-00001D930000}"/>
    <cellStyle name="Normal 6 2 49" xfId="37662" xr:uid="{00000000-0005-0000-0000-00001E930000}"/>
    <cellStyle name="Normal 6 2 5" xfId="37663" xr:uid="{00000000-0005-0000-0000-00001F930000}"/>
    <cellStyle name="Normal 6 2 50" xfId="37664" xr:uid="{00000000-0005-0000-0000-000020930000}"/>
    <cellStyle name="Normal 6 2 51" xfId="37665" xr:uid="{00000000-0005-0000-0000-000021930000}"/>
    <cellStyle name="Normal 6 2 52" xfId="37666" xr:uid="{00000000-0005-0000-0000-000022930000}"/>
    <cellStyle name="Normal 6 2 53" xfId="37667" xr:uid="{00000000-0005-0000-0000-000023930000}"/>
    <cellStyle name="Normal 6 2 54" xfId="37668" xr:uid="{00000000-0005-0000-0000-000024930000}"/>
    <cellStyle name="Normal 6 2 55" xfId="37669" xr:uid="{00000000-0005-0000-0000-000025930000}"/>
    <cellStyle name="Normal 6 2 56" xfId="37670" xr:uid="{00000000-0005-0000-0000-000026930000}"/>
    <cellStyle name="Normal 6 2 57" xfId="37671" xr:uid="{00000000-0005-0000-0000-000027930000}"/>
    <cellStyle name="Normal 6 2 58" xfId="37672" xr:uid="{00000000-0005-0000-0000-000028930000}"/>
    <cellStyle name="Normal 6 2 59" xfId="37673" xr:uid="{00000000-0005-0000-0000-000029930000}"/>
    <cellStyle name="Normal 6 2 6" xfId="37674" xr:uid="{00000000-0005-0000-0000-00002A930000}"/>
    <cellStyle name="Normal 6 2 60" xfId="37675" xr:uid="{00000000-0005-0000-0000-00002B930000}"/>
    <cellStyle name="Normal 6 2 61" xfId="37676" xr:uid="{00000000-0005-0000-0000-00002C930000}"/>
    <cellStyle name="Normal 6 2 62" xfId="37677" xr:uid="{00000000-0005-0000-0000-00002D930000}"/>
    <cellStyle name="Normal 6 2 63" xfId="37678" xr:uid="{00000000-0005-0000-0000-00002E930000}"/>
    <cellStyle name="Normal 6 2 64" xfId="37679" xr:uid="{00000000-0005-0000-0000-00002F930000}"/>
    <cellStyle name="Normal 6 2 65" xfId="37680" xr:uid="{00000000-0005-0000-0000-000030930000}"/>
    <cellStyle name="Normal 6 2 66" xfId="37681" xr:uid="{00000000-0005-0000-0000-000031930000}"/>
    <cellStyle name="Normal 6 2 67" xfId="37682" xr:uid="{00000000-0005-0000-0000-000032930000}"/>
    <cellStyle name="Normal 6 2 68" xfId="37683" xr:uid="{00000000-0005-0000-0000-000033930000}"/>
    <cellStyle name="Normal 6 2 69" xfId="37684" xr:uid="{00000000-0005-0000-0000-000034930000}"/>
    <cellStyle name="Normal 6 2 7" xfId="37685" xr:uid="{00000000-0005-0000-0000-000035930000}"/>
    <cellStyle name="Normal 6 2 70" xfId="37686" xr:uid="{00000000-0005-0000-0000-000036930000}"/>
    <cellStyle name="Normal 6 2 71" xfId="37687" xr:uid="{00000000-0005-0000-0000-000037930000}"/>
    <cellStyle name="Normal 6 2 72" xfId="37688" xr:uid="{00000000-0005-0000-0000-000038930000}"/>
    <cellStyle name="Normal 6 2 73" xfId="37689" xr:uid="{00000000-0005-0000-0000-000039930000}"/>
    <cellStyle name="Normal 6 2 74" xfId="37690" xr:uid="{00000000-0005-0000-0000-00003A930000}"/>
    <cellStyle name="Normal 6 2 75" xfId="37691" xr:uid="{00000000-0005-0000-0000-00003B930000}"/>
    <cellStyle name="Normal 6 2 76" xfId="37692" xr:uid="{00000000-0005-0000-0000-00003C930000}"/>
    <cellStyle name="Normal 6 2 77" xfId="37693" xr:uid="{00000000-0005-0000-0000-00003D930000}"/>
    <cellStyle name="Normal 6 2 78" xfId="37694" xr:uid="{00000000-0005-0000-0000-00003E930000}"/>
    <cellStyle name="Normal 6 2 79" xfId="37695" xr:uid="{00000000-0005-0000-0000-00003F930000}"/>
    <cellStyle name="Normal 6 2 8" xfId="37696" xr:uid="{00000000-0005-0000-0000-000040930000}"/>
    <cellStyle name="Normal 6 2 80" xfId="37697" xr:uid="{00000000-0005-0000-0000-000041930000}"/>
    <cellStyle name="Normal 6 2 81" xfId="37698" xr:uid="{00000000-0005-0000-0000-000042930000}"/>
    <cellStyle name="Normal 6 2 82" xfId="37699" xr:uid="{00000000-0005-0000-0000-000043930000}"/>
    <cellStyle name="Normal 6 2 83" xfId="37700" xr:uid="{00000000-0005-0000-0000-000044930000}"/>
    <cellStyle name="Normal 6 2 84" xfId="37701" xr:uid="{00000000-0005-0000-0000-000045930000}"/>
    <cellStyle name="Normal 6 2 85" xfId="37702" xr:uid="{00000000-0005-0000-0000-000046930000}"/>
    <cellStyle name="Normal 6 2 86" xfId="37703" xr:uid="{00000000-0005-0000-0000-000047930000}"/>
    <cellStyle name="Normal 6 2 9" xfId="37704" xr:uid="{00000000-0005-0000-0000-000048930000}"/>
    <cellStyle name="Normal 6 2_Xa Parametrización de Usuarios" xfId="37705" xr:uid="{00000000-0005-0000-0000-000049930000}"/>
    <cellStyle name="Normal 6 20" xfId="37706" xr:uid="{00000000-0005-0000-0000-00004A930000}"/>
    <cellStyle name="Normal 6 21" xfId="37707" xr:uid="{00000000-0005-0000-0000-00004B930000}"/>
    <cellStyle name="Normal 6 22" xfId="37708" xr:uid="{00000000-0005-0000-0000-00004C930000}"/>
    <cellStyle name="Normal 6 23" xfId="37709" xr:uid="{00000000-0005-0000-0000-00004D930000}"/>
    <cellStyle name="Normal 6 24" xfId="37710" xr:uid="{00000000-0005-0000-0000-00004E930000}"/>
    <cellStyle name="Normal 6 25" xfId="37711" xr:uid="{00000000-0005-0000-0000-00004F930000}"/>
    <cellStyle name="Normal 6 26" xfId="37712" xr:uid="{00000000-0005-0000-0000-000050930000}"/>
    <cellStyle name="Normal 6 27" xfId="37713" xr:uid="{00000000-0005-0000-0000-000051930000}"/>
    <cellStyle name="Normal 6 28" xfId="37714" xr:uid="{00000000-0005-0000-0000-000052930000}"/>
    <cellStyle name="Normal 6 29" xfId="37715" xr:uid="{00000000-0005-0000-0000-000053930000}"/>
    <cellStyle name="Normal 6 3" xfId="37716" xr:uid="{00000000-0005-0000-0000-000054930000}"/>
    <cellStyle name="Normal 6 3 10" xfId="37717" xr:uid="{00000000-0005-0000-0000-000055930000}"/>
    <cellStyle name="Normal 6 3 11" xfId="37718" xr:uid="{00000000-0005-0000-0000-000056930000}"/>
    <cellStyle name="Normal 6 3 12" xfId="37719" xr:uid="{00000000-0005-0000-0000-000057930000}"/>
    <cellStyle name="Normal 6 3 2" xfId="37720" xr:uid="{00000000-0005-0000-0000-000058930000}"/>
    <cellStyle name="Normal 6 3 3" xfId="37721" xr:uid="{00000000-0005-0000-0000-000059930000}"/>
    <cellStyle name="Normal 6 3 4" xfId="37722" xr:uid="{00000000-0005-0000-0000-00005A930000}"/>
    <cellStyle name="Normal 6 3 5" xfId="37723" xr:uid="{00000000-0005-0000-0000-00005B930000}"/>
    <cellStyle name="Normal 6 3 6" xfId="37724" xr:uid="{00000000-0005-0000-0000-00005C930000}"/>
    <cellStyle name="Normal 6 3 7" xfId="37725" xr:uid="{00000000-0005-0000-0000-00005D930000}"/>
    <cellStyle name="Normal 6 3 8" xfId="37726" xr:uid="{00000000-0005-0000-0000-00005E930000}"/>
    <cellStyle name="Normal 6 3 9" xfId="37727" xr:uid="{00000000-0005-0000-0000-00005F930000}"/>
    <cellStyle name="Normal 6 3_Xa Parametrización de Usuarios" xfId="37728" xr:uid="{00000000-0005-0000-0000-000060930000}"/>
    <cellStyle name="Normal 6 4" xfId="37729" xr:uid="{00000000-0005-0000-0000-000061930000}"/>
    <cellStyle name="Normal 6 5" xfId="37730" xr:uid="{00000000-0005-0000-0000-000062930000}"/>
    <cellStyle name="Normal 6 6" xfId="37731" xr:uid="{00000000-0005-0000-0000-000063930000}"/>
    <cellStyle name="Normal 6 7" xfId="37732" xr:uid="{00000000-0005-0000-0000-000064930000}"/>
    <cellStyle name="Normal 6 8" xfId="37733" xr:uid="{00000000-0005-0000-0000-000065930000}"/>
    <cellStyle name="Normal 6 9" xfId="37734" xr:uid="{00000000-0005-0000-0000-000066930000}"/>
    <cellStyle name="Normal 60" xfId="37735" xr:uid="{00000000-0005-0000-0000-000067930000}"/>
    <cellStyle name="Normal 61" xfId="37736" xr:uid="{00000000-0005-0000-0000-000068930000}"/>
    <cellStyle name="Normal 61 2" xfId="37737" xr:uid="{00000000-0005-0000-0000-000069930000}"/>
    <cellStyle name="Normal 61 2 2" xfId="37738" xr:uid="{00000000-0005-0000-0000-00006A930000}"/>
    <cellStyle name="Normal 61 2 3" xfId="37739" xr:uid="{00000000-0005-0000-0000-00006B930000}"/>
    <cellStyle name="Normal 61 3" xfId="37740" xr:uid="{00000000-0005-0000-0000-00006C930000}"/>
    <cellStyle name="Normal 62" xfId="37741" xr:uid="{00000000-0005-0000-0000-00006D930000}"/>
    <cellStyle name="Normal 62 2" xfId="37742" xr:uid="{00000000-0005-0000-0000-00006E930000}"/>
    <cellStyle name="Normal 62 3" xfId="37743" xr:uid="{00000000-0005-0000-0000-00006F930000}"/>
    <cellStyle name="Normal 63" xfId="37744" xr:uid="{00000000-0005-0000-0000-000070930000}"/>
    <cellStyle name="Normal 63 2" xfId="37745" xr:uid="{00000000-0005-0000-0000-000071930000}"/>
    <cellStyle name="Normal 63 3" xfId="37746" xr:uid="{00000000-0005-0000-0000-000072930000}"/>
    <cellStyle name="Normal 63 4" xfId="37747" xr:uid="{00000000-0005-0000-0000-000073930000}"/>
    <cellStyle name="Normal 64" xfId="37748" xr:uid="{00000000-0005-0000-0000-000074930000}"/>
    <cellStyle name="Normal 64 2" xfId="37749" xr:uid="{00000000-0005-0000-0000-000075930000}"/>
    <cellStyle name="Normal 64 3" xfId="37750" xr:uid="{00000000-0005-0000-0000-000076930000}"/>
    <cellStyle name="Normal 64 4" xfId="37751" xr:uid="{00000000-0005-0000-0000-000077930000}"/>
    <cellStyle name="Normal 65" xfId="37752" xr:uid="{00000000-0005-0000-0000-000078930000}"/>
    <cellStyle name="Normal 65 2" xfId="37753" xr:uid="{00000000-0005-0000-0000-000079930000}"/>
    <cellStyle name="Normal 65 3" xfId="37754" xr:uid="{00000000-0005-0000-0000-00007A930000}"/>
    <cellStyle name="Normal 66" xfId="37755" xr:uid="{00000000-0005-0000-0000-00007B930000}"/>
    <cellStyle name="Normal 66 2" xfId="37756" xr:uid="{00000000-0005-0000-0000-00007C930000}"/>
    <cellStyle name="Normal 66 3" xfId="37757" xr:uid="{00000000-0005-0000-0000-00007D930000}"/>
    <cellStyle name="Normal 67" xfId="37758" xr:uid="{00000000-0005-0000-0000-00007E930000}"/>
    <cellStyle name="Normal 67 2" xfId="37759" xr:uid="{00000000-0005-0000-0000-00007F930000}"/>
    <cellStyle name="Normal 68" xfId="37760" xr:uid="{00000000-0005-0000-0000-000080930000}"/>
    <cellStyle name="Normal 68 2" xfId="37761" xr:uid="{00000000-0005-0000-0000-000081930000}"/>
    <cellStyle name="Normal 69" xfId="37762" xr:uid="{00000000-0005-0000-0000-000082930000}"/>
    <cellStyle name="Normal 69 2" xfId="37763" xr:uid="{00000000-0005-0000-0000-000083930000}"/>
    <cellStyle name="Normal 69 3" xfId="37764" xr:uid="{00000000-0005-0000-0000-000084930000}"/>
    <cellStyle name="Normal 7" xfId="1" xr:uid="{00000000-0005-0000-0000-000001000000}"/>
    <cellStyle name="Normal 7 10" xfId="37765" xr:uid="{00000000-0005-0000-0000-000085930000}"/>
    <cellStyle name="Normal 7 11" xfId="37766" xr:uid="{00000000-0005-0000-0000-000086930000}"/>
    <cellStyle name="Normal 7 12" xfId="37767" xr:uid="{00000000-0005-0000-0000-000087930000}"/>
    <cellStyle name="Normal 7 13" xfId="37768" xr:uid="{00000000-0005-0000-0000-000088930000}"/>
    <cellStyle name="Normal 7 14" xfId="37769" xr:uid="{00000000-0005-0000-0000-000089930000}"/>
    <cellStyle name="Normal 7 15" xfId="37770" xr:uid="{00000000-0005-0000-0000-00008A930000}"/>
    <cellStyle name="Normal 7 16" xfId="37771" xr:uid="{00000000-0005-0000-0000-00008B930000}"/>
    <cellStyle name="Normal 7 17" xfId="37772" xr:uid="{00000000-0005-0000-0000-00008C930000}"/>
    <cellStyle name="Normal 7 18" xfId="37773" xr:uid="{00000000-0005-0000-0000-00008D930000}"/>
    <cellStyle name="Normal 7 19" xfId="37774" xr:uid="{00000000-0005-0000-0000-00008E930000}"/>
    <cellStyle name="Normal 7 2" xfId="22" xr:uid="{00000000-0005-0000-0000-000016000000}"/>
    <cellStyle name="Normal 7 2 10" xfId="37775" xr:uid="{00000000-0005-0000-0000-00008F930000}"/>
    <cellStyle name="Normal 7 2 11" xfId="37776" xr:uid="{00000000-0005-0000-0000-000090930000}"/>
    <cellStyle name="Normal 7 2 12" xfId="37777" xr:uid="{00000000-0005-0000-0000-000091930000}"/>
    <cellStyle name="Normal 7 2 13" xfId="37778" xr:uid="{00000000-0005-0000-0000-000092930000}"/>
    <cellStyle name="Normal 7 2 14" xfId="37779" xr:uid="{00000000-0005-0000-0000-000093930000}"/>
    <cellStyle name="Normal 7 2 15" xfId="37780" xr:uid="{00000000-0005-0000-0000-000094930000}"/>
    <cellStyle name="Normal 7 2 16" xfId="37781" xr:uid="{00000000-0005-0000-0000-000095930000}"/>
    <cellStyle name="Normal 7 2 17" xfId="37782" xr:uid="{00000000-0005-0000-0000-000096930000}"/>
    <cellStyle name="Normal 7 2 18" xfId="37783" xr:uid="{00000000-0005-0000-0000-000097930000}"/>
    <cellStyle name="Normal 7 2 19" xfId="37784" xr:uid="{00000000-0005-0000-0000-000098930000}"/>
    <cellStyle name="Normal 7 2 2" xfId="37785" xr:uid="{00000000-0005-0000-0000-000099930000}"/>
    <cellStyle name="Normal 7 2 2 2" xfId="37786" xr:uid="{00000000-0005-0000-0000-00009A930000}"/>
    <cellStyle name="Normal 7 2 2 2 2" xfId="37787" xr:uid="{00000000-0005-0000-0000-00009B930000}"/>
    <cellStyle name="Normal 7 2 20" xfId="37788" xr:uid="{00000000-0005-0000-0000-00009C930000}"/>
    <cellStyle name="Normal 7 2 21" xfId="37789" xr:uid="{00000000-0005-0000-0000-00009D930000}"/>
    <cellStyle name="Normal 7 2 22" xfId="37790" xr:uid="{00000000-0005-0000-0000-00009E930000}"/>
    <cellStyle name="Normal 7 2 23" xfId="37791" xr:uid="{00000000-0005-0000-0000-00009F930000}"/>
    <cellStyle name="Normal 7 2 24" xfId="37792" xr:uid="{00000000-0005-0000-0000-0000A0930000}"/>
    <cellStyle name="Normal 7 2 25" xfId="37793" xr:uid="{00000000-0005-0000-0000-0000A1930000}"/>
    <cellStyle name="Normal 7 2 26" xfId="37794" xr:uid="{00000000-0005-0000-0000-0000A2930000}"/>
    <cellStyle name="Normal 7 2 27" xfId="37795" xr:uid="{00000000-0005-0000-0000-0000A3930000}"/>
    <cellStyle name="Normal 7 2 28" xfId="37796" xr:uid="{00000000-0005-0000-0000-0000A4930000}"/>
    <cellStyle name="Normal 7 2 29" xfId="37797" xr:uid="{00000000-0005-0000-0000-0000A5930000}"/>
    <cellStyle name="Normal 7 2 3" xfId="37798" xr:uid="{00000000-0005-0000-0000-0000A6930000}"/>
    <cellStyle name="Normal 7 2 30" xfId="37799" xr:uid="{00000000-0005-0000-0000-0000A7930000}"/>
    <cellStyle name="Normal 7 2 31" xfId="37800" xr:uid="{00000000-0005-0000-0000-0000A8930000}"/>
    <cellStyle name="Normal 7 2 32" xfId="37801" xr:uid="{00000000-0005-0000-0000-0000A9930000}"/>
    <cellStyle name="Normal 7 2 33" xfId="37802" xr:uid="{00000000-0005-0000-0000-0000AA930000}"/>
    <cellStyle name="Normal 7 2 34" xfId="37803" xr:uid="{00000000-0005-0000-0000-0000AB930000}"/>
    <cellStyle name="Normal 7 2 35" xfId="37804" xr:uid="{00000000-0005-0000-0000-0000AC930000}"/>
    <cellStyle name="Normal 7 2 36" xfId="37805" xr:uid="{00000000-0005-0000-0000-0000AD930000}"/>
    <cellStyle name="Normal 7 2 37" xfId="37806" xr:uid="{00000000-0005-0000-0000-0000AE930000}"/>
    <cellStyle name="Normal 7 2 38" xfId="37807" xr:uid="{00000000-0005-0000-0000-0000AF930000}"/>
    <cellStyle name="Normal 7 2 39" xfId="37808" xr:uid="{00000000-0005-0000-0000-0000B0930000}"/>
    <cellStyle name="Normal 7 2 4" xfId="37809" xr:uid="{00000000-0005-0000-0000-0000B1930000}"/>
    <cellStyle name="Normal 7 2 40" xfId="37810" xr:uid="{00000000-0005-0000-0000-0000B2930000}"/>
    <cellStyle name="Normal 7 2 41" xfId="37811" xr:uid="{00000000-0005-0000-0000-0000B3930000}"/>
    <cellStyle name="Normal 7 2 42" xfId="37812" xr:uid="{00000000-0005-0000-0000-0000B4930000}"/>
    <cellStyle name="Normal 7 2 43" xfId="37813" xr:uid="{00000000-0005-0000-0000-0000B5930000}"/>
    <cellStyle name="Normal 7 2 44" xfId="37814" xr:uid="{00000000-0005-0000-0000-0000B6930000}"/>
    <cellStyle name="Normal 7 2 45" xfId="37815" xr:uid="{00000000-0005-0000-0000-0000B7930000}"/>
    <cellStyle name="Normal 7 2 46" xfId="37816" xr:uid="{00000000-0005-0000-0000-0000B8930000}"/>
    <cellStyle name="Normal 7 2 47" xfId="37817" xr:uid="{00000000-0005-0000-0000-0000B9930000}"/>
    <cellStyle name="Normal 7 2 48" xfId="37818" xr:uid="{00000000-0005-0000-0000-0000BA930000}"/>
    <cellStyle name="Normal 7 2 49" xfId="37819" xr:uid="{00000000-0005-0000-0000-0000BB930000}"/>
    <cellStyle name="Normal 7 2 5" xfId="37820" xr:uid="{00000000-0005-0000-0000-0000BC930000}"/>
    <cellStyle name="Normal 7 2 50" xfId="37821" xr:uid="{00000000-0005-0000-0000-0000BD930000}"/>
    <cellStyle name="Normal 7 2 51" xfId="37822" xr:uid="{00000000-0005-0000-0000-0000BE930000}"/>
    <cellStyle name="Normal 7 2 52" xfId="37823" xr:uid="{00000000-0005-0000-0000-0000BF930000}"/>
    <cellStyle name="Normal 7 2 53" xfId="37824" xr:uid="{00000000-0005-0000-0000-0000C0930000}"/>
    <cellStyle name="Normal 7 2 54" xfId="37825" xr:uid="{00000000-0005-0000-0000-0000C1930000}"/>
    <cellStyle name="Normal 7 2 55" xfId="37826" xr:uid="{00000000-0005-0000-0000-0000C2930000}"/>
    <cellStyle name="Normal 7 2 56" xfId="37827" xr:uid="{00000000-0005-0000-0000-0000C3930000}"/>
    <cellStyle name="Normal 7 2 57" xfId="37828" xr:uid="{00000000-0005-0000-0000-0000C4930000}"/>
    <cellStyle name="Normal 7 2 58" xfId="37829" xr:uid="{00000000-0005-0000-0000-0000C5930000}"/>
    <cellStyle name="Normal 7 2 59" xfId="37830" xr:uid="{00000000-0005-0000-0000-0000C6930000}"/>
    <cellStyle name="Normal 7 2 6" xfId="37831" xr:uid="{00000000-0005-0000-0000-0000C7930000}"/>
    <cellStyle name="Normal 7 2 60" xfId="37832" xr:uid="{00000000-0005-0000-0000-0000C8930000}"/>
    <cellStyle name="Normal 7 2 61" xfId="37833" xr:uid="{00000000-0005-0000-0000-0000C9930000}"/>
    <cellStyle name="Normal 7 2 62" xfId="37834" xr:uid="{00000000-0005-0000-0000-0000CA930000}"/>
    <cellStyle name="Normal 7 2 63" xfId="37835" xr:uid="{00000000-0005-0000-0000-0000CB930000}"/>
    <cellStyle name="Normal 7 2 64" xfId="37836" xr:uid="{00000000-0005-0000-0000-0000CC930000}"/>
    <cellStyle name="Normal 7 2 65" xfId="37837" xr:uid="{00000000-0005-0000-0000-0000CD930000}"/>
    <cellStyle name="Normal 7 2 66" xfId="37838" xr:uid="{00000000-0005-0000-0000-0000CE930000}"/>
    <cellStyle name="Normal 7 2 67" xfId="37839" xr:uid="{00000000-0005-0000-0000-0000CF930000}"/>
    <cellStyle name="Normal 7 2 68" xfId="37840" xr:uid="{00000000-0005-0000-0000-0000D0930000}"/>
    <cellStyle name="Normal 7 2 69" xfId="37841" xr:uid="{00000000-0005-0000-0000-0000D1930000}"/>
    <cellStyle name="Normal 7 2 7" xfId="37842" xr:uid="{00000000-0005-0000-0000-0000D2930000}"/>
    <cellStyle name="Normal 7 2 70" xfId="37843" xr:uid="{00000000-0005-0000-0000-0000D3930000}"/>
    <cellStyle name="Normal 7 2 71" xfId="37844" xr:uid="{00000000-0005-0000-0000-0000D4930000}"/>
    <cellStyle name="Normal 7 2 72" xfId="37845" xr:uid="{00000000-0005-0000-0000-0000D5930000}"/>
    <cellStyle name="Normal 7 2 73" xfId="37846" xr:uid="{00000000-0005-0000-0000-0000D6930000}"/>
    <cellStyle name="Normal 7 2 74" xfId="37847" xr:uid="{00000000-0005-0000-0000-0000D7930000}"/>
    <cellStyle name="Normal 7 2 75" xfId="37848" xr:uid="{00000000-0005-0000-0000-0000D8930000}"/>
    <cellStyle name="Normal 7 2 76" xfId="37849" xr:uid="{00000000-0005-0000-0000-0000D9930000}"/>
    <cellStyle name="Normal 7 2 77" xfId="37850" xr:uid="{00000000-0005-0000-0000-0000DA930000}"/>
    <cellStyle name="Normal 7 2 78" xfId="37851" xr:uid="{00000000-0005-0000-0000-0000DB930000}"/>
    <cellStyle name="Normal 7 2 79" xfId="37852" xr:uid="{00000000-0005-0000-0000-0000DC930000}"/>
    <cellStyle name="Normal 7 2 8" xfId="37853" xr:uid="{00000000-0005-0000-0000-0000DD930000}"/>
    <cellStyle name="Normal 7 2 80" xfId="37854" xr:uid="{00000000-0005-0000-0000-0000DE930000}"/>
    <cellStyle name="Normal 7 2 81" xfId="37855" xr:uid="{00000000-0005-0000-0000-0000DF930000}"/>
    <cellStyle name="Normal 7 2 9" xfId="37856" xr:uid="{00000000-0005-0000-0000-0000E0930000}"/>
    <cellStyle name="Normal 7 2_Enlaces" xfId="37857" xr:uid="{00000000-0005-0000-0000-0000E1930000}"/>
    <cellStyle name="Normal 7 20" xfId="37858" xr:uid="{00000000-0005-0000-0000-0000E2930000}"/>
    <cellStyle name="Normal 7 21" xfId="37859" xr:uid="{00000000-0005-0000-0000-0000E3930000}"/>
    <cellStyle name="Normal 7 22" xfId="37860" xr:uid="{00000000-0005-0000-0000-0000E4930000}"/>
    <cellStyle name="Normal 7 23" xfId="37861" xr:uid="{00000000-0005-0000-0000-0000E5930000}"/>
    <cellStyle name="Normal 7 24" xfId="37862" xr:uid="{00000000-0005-0000-0000-0000E6930000}"/>
    <cellStyle name="Normal 7 25" xfId="37863" xr:uid="{00000000-0005-0000-0000-0000E7930000}"/>
    <cellStyle name="Normal 7 26" xfId="37864" xr:uid="{00000000-0005-0000-0000-0000E8930000}"/>
    <cellStyle name="Normal 7 27" xfId="37865" xr:uid="{00000000-0005-0000-0000-0000E9930000}"/>
    <cellStyle name="Normal 7 28" xfId="37866" xr:uid="{00000000-0005-0000-0000-0000EA930000}"/>
    <cellStyle name="Normal 7 29" xfId="37867" xr:uid="{00000000-0005-0000-0000-0000EB930000}"/>
    <cellStyle name="Normal 7 3" xfId="37868" xr:uid="{00000000-0005-0000-0000-0000EC930000}"/>
    <cellStyle name="Normal 7 3 2" xfId="37869" xr:uid="{00000000-0005-0000-0000-0000ED930000}"/>
    <cellStyle name="Normal 7 3 3" xfId="37870" xr:uid="{00000000-0005-0000-0000-0000EE930000}"/>
    <cellStyle name="Normal 7 3 4" xfId="37871" xr:uid="{00000000-0005-0000-0000-0000EF930000}"/>
    <cellStyle name="Normal 7 3 4 2" xfId="37872" xr:uid="{00000000-0005-0000-0000-0000F0930000}"/>
    <cellStyle name="Normal 7 3 4 2 2" xfId="37873" xr:uid="{00000000-0005-0000-0000-0000F1930000}"/>
    <cellStyle name="Normal 7 3 4 3" xfId="37874" xr:uid="{00000000-0005-0000-0000-0000F2930000}"/>
    <cellStyle name="Normal 7 3 5" xfId="37875" xr:uid="{00000000-0005-0000-0000-0000F3930000}"/>
    <cellStyle name="Normal 7 3 6" xfId="37876" xr:uid="{00000000-0005-0000-0000-0000F4930000}"/>
    <cellStyle name="Normal 7 3 7" xfId="37877" xr:uid="{00000000-0005-0000-0000-0000F5930000}"/>
    <cellStyle name="Normal 7 3 7 2" xfId="37878" xr:uid="{00000000-0005-0000-0000-0000F6930000}"/>
    <cellStyle name="Normal 7 3_Implem" xfId="37879" xr:uid="{00000000-0005-0000-0000-0000F7930000}"/>
    <cellStyle name="Normal 7 30" xfId="37880" xr:uid="{00000000-0005-0000-0000-0000F8930000}"/>
    <cellStyle name="Normal 7 30 2" xfId="37881" xr:uid="{00000000-0005-0000-0000-0000F9930000}"/>
    <cellStyle name="Normal 7 31" xfId="37882" xr:uid="{00000000-0005-0000-0000-0000FA930000}"/>
    <cellStyle name="Normal 7 32" xfId="37883" xr:uid="{00000000-0005-0000-0000-0000FB930000}"/>
    <cellStyle name="Normal 7 33" xfId="37884" xr:uid="{00000000-0005-0000-0000-0000FC930000}"/>
    <cellStyle name="Normal 7 34" xfId="37885" xr:uid="{00000000-0005-0000-0000-0000FD930000}"/>
    <cellStyle name="Normal 7 35" xfId="37886" xr:uid="{00000000-0005-0000-0000-0000FE930000}"/>
    <cellStyle name="Normal 7 36" xfId="37887" xr:uid="{00000000-0005-0000-0000-0000FF930000}"/>
    <cellStyle name="Normal 7 37" xfId="37888" xr:uid="{00000000-0005-0000-0000-000000940000}"/>
    <cellStyle name="Normal 7 38" xfId="37889" xr:uid="{00000000-0005-0000-0000-000001940000}"/>
    <cellStyle name="Normal 7 39" xfId="37890" xr:uid="{00000000-0005-0000-0000-000002940000}"/>
    <cellStyle name="Normal 7 4" xfId="37891" xr:uid="{00000000-0005-0000-0000-000003940000}"/>
    <cellStyle name="Normal 7 40" xfId="37892" xr:uid="{00000000-0005-0000-0000-000004940000}"/>
    <cellStyle name="Normal 7 41" xfId="37893" xr:uid="{00000000-0005-0000-0000-000005940000}"/>
    <cellStyle name="Normal 7 42" xfId="37894" xr:uid="{00000000-0005-0000-0000-000006940000}"/>
    <cellStyle name="Normal 7 43" xfId="37895" xr:uid="{00000000-0005-0000-0000-000007940000}"/>
    <cellStyle name="Normal 7 44" xfId="37896" xr:uid="{00000000-0005-0000-0000-000008940000}"/>
    <cellStyle name="Normal 7 45" xfId="37897" xr:uid="{00000000-0005-0000-0000-000009940000}"/>
    <cellStyle name="Normal 7 46" xfId="37898" xr:uid="{00000000-0005-0000-0000-00000A940000}"/>
    <cellStyle name="Normal 7 5" xfId="37899" xr:uid="{00000000-0005-0000-0000-00000B940000}"/>
    <cellStyle name="Normal 7 6" xfId="37900" xr:uid="{00000000-0005-0000-0000-00000C940000}"/>
    <cellStyle name="Normal 7 7" xfId="37901" xr:uid="{00000000-0005-0000-0000-00000D940000}"/>
    <cellStyle name="Normal 7 8" xfId="37902" xr:uid="{00000000-0005-0000-0000-00000E940000}"/>
    <cellStyle name="Normal 7 9" xfId="37903" xr:uid="{00000000-0005-0000-0000-00000F940000}"/>
    <cellStyle name="Normal 70" xfId="37904" xr:uid="{00000000-0005-0000-0000-000010940000}"/>
    <cellStyle name="Normal 70 2" xfId="37905" xr:uid="{00000000-0005-0000-0000-000011940000}"/>
    <cellStyle name="Normal 71" xfId="37906" xr:uid="{00000000-0005-0000-0000-000012940000}"/>
    <cellStyle name="Normal 71 2" xfId="37907" xr:uid="{00000000-0005-0000-0000-000013940000}"/>
    <cellStyle name="Normal 72" xfId="37908" xr:uid="{00000000-0005-0000-0000-000014940000}"/>
    <cellStyle name="Normal 72 2" xfId="37909" xr:uid="{00000000-0005-0000-0000-000015940000}"/>
    <cellStyle name="Normal 72 3" xfId="37910" xr:uid="{00000000-0005-0000-0000-000016940000}"/>
    <cellStyle name="Normal 73" xfId="37911" xr:uid="{00000000-0005-0000-0000-000017940000}"/>
    <cellStyle name="Normal 73 2" xfId="37912" xr:uid="{00000000-0005-0000-0000-000018940000}"/>
    <cellStyle name="Normal 74" xfId="37913" xr:uid="{00000000-0005-0000-0000-000019940000}"/>
    <cellStyle name="Normal 74 2" xfId="37914" xr:uid="{00000000-0005-0000-0000-00001A940000}"/>
    <cellStyle name="Normal 75" xfId="37915" xr:uid="{00000000-0005-0000-0000-00001B940000}"/>
    <cellStyle name="Normal 75 2" xfId="37916" xr:uid="{00000000-0005-0000-0000-00001C940000}"/>
    <cellStyle name="Normal 75 3" xfId="37917" xr:uid="{00000000-0005-0000-0000-00001D940000}"/>
    <cellStyle name="Normal 76" xfId="37918" xr:uid="{00000000-0005-0000-0000-00001E940000}"/>
    <cellStyle name="Normal 76 2" xfId="37919" xr:uid="{00000000-0005-0000-0000-00001F940000}"/>
    <cellStyle name="Normal 76 3" xfId="37920" xr:uid="{00000000-0005-0000-0000-000020940000}"/>
    <cellStyle name="Normal 77" xfId="37921" xr:uid="{00000000-0005-0000-0000-000021940000}"/>
    <cellStyle name="Normal 77 2" xfId="37922" xr:uid="{00000000-0005-0000-0000-000022940000}"/>
    <cellStyle name="Normal 77 3" xfId="37923" xr:uid="{00000000-0005-0000-0000-000023940000}"/>
    <cellStyle name="Normal 78" xfId="37924" xr:uid="{00000000-0005-0000-0000-000024940000}"/>
    <cellStyle name="Normal 78 2" xfId="37925" xr:uid="{00000000-0005-0000-0000-000025940000}"/>
    <cellStyle name="Normal 79" xfId="37926" xr:uid="{00000000-0005-0000-0000-000026940000}"/>
    <cellStyle name="Normal 79 2" xfId="37927" xr:uid="{00000000-0005-0000-0000-000027940000}"/>
    <cellStyle name="Normal 8" xfId="23" xr:uid="{00000000-0005-0000-0000-000017000000}"/>
    <cellStyle name="Normal 8 2" xfId="37928" xr:uid="{00000000-0005-0000-0000-000028940000}"/>
    <cellStyle name="Normal 8 2 2" xfId="37929" xr:uid="{00000000-0005-0000-0000-000029940000}"/>
    <cellStyle name="Normal 8 2 2 2" xfId="37930" xr:uid="{00000000-0005-0000-0000-00002A940000}"/>
    <cellStyle name="Normal 8 2 3" xfId="37931" xr:uid="{00000000-0005-0000-0000-00002B940000}"/>
    <cellStyle name="Normal 8 2 3 2" xfId="37932" xr:uid="{00000000-0005-0000-0000-00002C940000}"/>
    <cellStyle name="Normal 8 3" xfId="37933" xr:uid="{00000000-0005-0000-0000-00002D940000}"/>
    <cellStyle name="Normal 8 4" xfId="37934" xr:uid="{00000000-0005-0000-0000-00002E940000}"/>
    <cellStyle name="Normal 8 5" xfId="37935" xr:uid="{00000000-0005-0000-0000-00002F940000}"/>
    <cellStyle name="Normal 8 6" xfId="37936" xr:uid="{00000000-0005-0000-0000-000030940000}"/>
    <cellStyle name="Normal 8 7" xfId="37937" xr:uid="{00000000-0005-0000-0000-000031940000}"/>
    <cellStyle name="Normal 8 8" xfId="37938" xr:uid="{00000000-0005-0000-0000-000032940000}"/>
    <cellStyle name="Normal 8 8 2" xfId="37939" xr:uid="{00000000-0005-0000-0000-000033940000}"/>
    <cellStyle name="Normal 80" xfId="37940" xr:uid="{00000000-0005-0000-0000-000034940000}"/>
    <cellStyle name="Normal 80 2" xfId="37941" xr:uid="{00000000-0005-0000-0000-000035940000}"/>
    <cellStyle name="Normal 80 3" xfId="37942" xr:uid="{00000000-0005-0000-0000-000036940000}"/>
    <cellStyle name="Normal 81" xfId="24" xr:uid="{00000000-0005-0000-0000-000018000000}"/>
    <cellStyle name="Normal 81 2" xfId="37943" xr:uid="{00000000-0005-0000-0000-000037940000}"/>
    <cellStyle name="Normal 82" xfId="37944" xr:uid="{00000000-0005-0000-0000-000038940000}"/>
    <cellStyle name="Normal 82 2" xfId="37945" xr:uid="{00000000-0005-0000-0000-000039940000}"/>
    <cellStyle name="Normal 83" xfId="37946" xr:uid="{00000000-0005-0000-0000-00003A940000}"/>
    <cellStyle name="Normal 83 2" xfId="37947" xr:uid="{00000000-0005-0000-0000-00003B940000}"/>
    <cellStyle name="Normal 83 3" xfId="37948" xr:uid="{00000000-0005-0000-0000-00003C940000}"/>
    <cellStyle name="Normal 84" xfId="37949" xr:uid="{00000000-0005-0000-0000-00003D940000}"/>
    <cellStyle name="Normal 84 2" xfId="37950" xr:uid="{00000000-0005-0000-0000-00003E940000}"/>
    <cellStyle name="Normal 85" xfId="37951" xr:uid="{00000000-0005-0000-0000-00003F940000}"/>
    <cellStyle name="Normal 85 2" xfId="37952" xr:uid="{00000000-0005-0000-0000-000040940000}"/>
    <cellStyle name="Normal 85 3" xfId="37953" xr:uid="{00000000-0005-0000-0000-000041940000}"/>
    <cellStyle name="Normal 86" xfId="37954" xr:uid="{00000000-0005-0000-0000-000042940000}"/>
    <cellStyle name="Normal 86 2" xfId="37955" xr:uid="{00000000-0005-0000-0000-000043940000}"/>
    <cellStyle name="Normal 86 3" xfId="37956" xr:uid="{00000000-0005-0000-0000-000044940000}"/>
    <cellStyle name="Normal 87" xfId="37957" xr:uid="{00000000-0005-0000-0000-000045940000}"/>
    <cellStyle name="Normal 87 2" xfId="37958" xr:uid="{00000000-0005-0000-0000-000046940000}"/>
    <cellStyle name="Normal 88" xfId="37959" xr:uid="{00000000-0005-0000-0000-000047940000}"/>
    <cellStyle name="Normal 88 2" xfId="37960" xr:uid="{00000000-0005-0000-0000-000048940000}"/>
    <cellStyle name="Normal 88 3" xfId="37961" xr:uid="{00000000-0005-0000-0000-000049940000}"/>
    <cellStyle name="Normal 89" xfId="37962" xr:uid="{00000000-0005-0000-0000-00004A940000}"/>
    <cellStyle name="Normal 89 2" xfId="37963" xr:uid="{00000000-0005-0000-0000-00004B940000}"/>
    <cellStyle name="Normal 9" xfId="37964" xr:uid="{00000000-0005-0000-0000-00004C940000}"/>
    <cellStyle name="Normal 9 10" xfId="37965" xr:uid="{00000000-0005-0000-0000-00004D940000}"/>
    <cellStyle name="Normal 9 11" xfId="37966" xr:uid="{00000000-0005-0000-0000-00004E940000}"/>
    <cellStyle name="Normal 9 12" xfId="37967" xr:uid="{00000000-0005-0000-0000-00004F940000}"/>
    <cellStyle name="Normal 9 13" xfId="37968" xr:uid="{00000000-0005-0000-0000-000050940000}"/>
    <cellStyle name="Normal 9 14" xfId="37969" xr:uid="{00000000-0005-0000-0000-000051940000}"/>
    <cellStyle name="Normal 9 15" xfId="37970" xr:uid="{00000000-0005-0000-0000-000052940000}"/>
    <cellStyle name="Normal 9 16" xfId="37971" xr:uid="{00000000-0005-0000-0000-000053940000}"/>
    <cellStyle name="Normal 9 17" xfId="37972" xr:uid="{00000000-0005-0000-0000-000054940000}"/>
    <cellStyle name="Normal 9 18" xfId="37973" xr:uid="{00000000-0005-0000-0000-000055940000}"/>
    <cellStyle name="Normal 9 19" xfId="37974" xr:uid="{00000000-0005-0000-0000-000056940000}"/>
    <cellStyle name="Normal 9 2" xfId="37975" xr:uid="{00000000-0005-0000-0000-000057940000}"/>
    <cellStyle name="Normal 9 2 10" xfId="37976" xr:uid="{00000000-0005-0000-0000-000058940000}"/>
    <cellStyle name="Normal 9 2 11" xfId="37977" xr:uid="{00000000-0005-0000-0000-000059940000}"/>
    <cellStyle name="Normal 9 2 12" xfId="37978" xr:uid="{00000000-0005-0000-0000-00005A940000}"/>
    <cellStyle name="Normal 9 2 13" xfId="37979" xr:uid="{00000000-0005-0000-0000-00005B940000}"/>
    <cellStyle name="Normal 9 2 14" xfId="37980" xr:uid="{00000000-0005-0000-0000-00005C940000}"/>
    <cellStyle name="Normal 9 2 15" xfId="37981" xr:uid="{00000000-0005-0000-0000-00005D940000}"/>
    <cellStyle name="Normal 9 2 16" xfId="37982" xr:uid="{00000000-0005-0000-0000-00005E940000}"/>
    <cellStyle name="Normal 9 2 17" xfId="37983" xr:uid="{00000000-0005-0000-0000-00005F940000}"/>
    <cellStyle name="Normal 9 2 18" xfId="37984" xr:uid="{00000000-0005-0000-0000-000060940000}"/>
    <cellStyle name="Normal 9 2 19" xfId="37985" xr:uid="{00000000-0005-0000-0000-000061940000}"/>
    <cellStyle name="Normal 9 2 2" xfId="37986" xr:uid="{00000000-0005-0000-0000-000062940000}"/>
    <cellStyle name="Normal 9 2 2 2" xfId="37987" xr:uid="{00000000-0005-0000-0000-000063940000}"/>
    <cellStyle name="Normal 9 2 2 2 2" xfId="37988" xr:uid="{00000000-0005-0000-0000-000064940000}"/>
    <cellStyle name="Normal 9 2 20" xfId="37989" xr:uid="{00000000-0005-0000-0000-000065940000}"/>
    <cellStyle name="Normal 9 2 21" xfId="37990" xr:uid="{00000000-0005-0000-0000-000066940000}"/>
    <cellStyle name="Normal 9 2 22" xfId="37991" xr:uid="{00000000-0005-0000-0000-000067940000}"/>
    <cellStyle name="Normal 9 2 23" xfId="37992" xr:uid="{00000000-0005-0000-0000-000068940000}"/>
    <cellStyle name="Normal 9 2 24" xfId="37993" xr:uid="{00000000-0005-0000-0000-000069940000}"/>
    <cellStyle name="Normal 9 2 25" xfId="37994" xr:uid="{00000000-0005-0000-0000-00006A940000}"/>
    <cellStyle name="Normal 9 2 26" xfId="37995" xr:uid="{00000000-0005-0000-0000-00006B940000}"/>
    <cellStyle name="Normal 9 2 27" xfId="37996" xr:uid="{00000000-0005-0000-0000-00006C940000}"/>
    <cellStyle name="Normal 9 2 28" xfId="37997" xr:uid="{00000000-0005-0000-0000-00006D940000}"/>
    <cellStyle name="Normal 9 2 29" xfId="37998" xr:uid="{00000000-0005-0000-0000-00006E940000}"/>
    <cellStyle name="Normal 9 2 3" xfId="37999" xr:uid="{00000000-0005-0000-0000-00006F940000}"/>
    <cellStyle name="Normal 9 2 30" xfId="38000" xr:uid="{00000000-0005-0000-0000-000070940000}"/>
    <cellStyle name="Normal 9 2 31" xfId="38001" xr:uid="{00000000-0005-0000-0000-000071940000}"/>
    <cellStyle name="Normal 9 2 32" xfId="38002" xr:uid="{00000000-0005-0000-0000-000072940000}"/>
    <cellStyle name="Normal 9 2 33" xfId="38003" xr:uid="{00000000-0005-0000-0000-000073940000}"/>
    <cellStyle name="Normal 9 2 34" xfId="38004" xr:uid="{00000000-0005-0000-0000-000074940000}"/>
    <cellStyle name="Normal 9 2 35" xfId="38005" xr:uid="{00000000-0005-0000-0000-000075940000}"/>
    <cellStyle name="Normal 9 2 36" xfId="38006" xr:uid="{00000000-0005-0000-0000-000076940000}"/>
    <cellStyle name="Normal 9 2 37" xfId="38007" xr:uid="{00000000-0005-0000-0000-000077940000}"/>
    <cellStyle name="Normal 9 2 38" xfId="38008" xr:uid="{00000000-0005-0000-0000-000078940000}"/>
    <cellStyle name="Normal 9 2 39" xfId="38009" xr:uid="{00000000-0005-0000-0000-000079940000}"/>
    <cellStyle name="Normal 9 2 4" xfId="38010" xr:uid="{00000000-0005-0000-0000-00007A940000}"/>
    <cellStyle name="Normal 9 2 40" xfId="38011" xr:uid="{00000000-0005-0000-0000-00007B940000}"/>
    <cellStyle name="Normal 9 2 41" xfId="38012" xr:uid="{00000000-0005-0000-0000-00007C940000}"/>
    <cellStyle name="Normal 9 2 42" xfId="38013" xr:uid="{00000000-0005-0000-0000-00007D940000}"/>
    <cellStyle name="Normal 9 2 43" xfId="38014" xr:uid="{00000000-0005-0000-0000-00007E940000}"/>
    <cellStyle name="Normal 9 2 44" xfId="38015" xr:uid="{00000000-0005-0000-0000-00007F940000}"/>
    <cellStyle name="Normal 9 2 45" xfId="38016" xr:uid="{00000000-0005-0000-0000-000080940000}"/>
    <cellStyle name="Normal 9 2 46" xfId="38017" xr:uid="{00000000-0005-0000-0000-000081940000}"/>
    <cellStyle name="Normal 9 2 47" xfId="38018" xr:uid="{00000000-0005-0000-0000-000082940000}"/>
    <cellStyle name="Normal 9 2 48" xfId="38019" xr:uid="{00000000-0005-0000-0000-000083940000}"/>
    <cellStyle name="Normal 9 2 49" xfId="38020" xr:uid="{00000000-0005-0000-0000-000084940000}"/>
    <cellStyle name="Normal 9 2 5" xfId="38021" xr:uid="{00000000-0005-0000-0000-000085940000}"/>
    <cellStyle name="Normal 9 2 50" xfId="38022" xr:uid="{00000000-0005-0000-0000-000086940000}"/>
    <cellStyle name="Normal 9 2 51" xfId="38023" xr:uid="{00000000-0005-0000-0000-000087940000}"/>
    <cellStyle name="Normal 9 2 52" xfId="38024" xr:uid="{00000000-0005-0000-0000-000088940000}"/>
    <cellStyle name="Normal 9 2 53" xfId="38025" xr:uid="{00000000-0005-0000-0000-000089940000}"/>
    <cellStyle name="Normal 9 2 54" xfId="38026" xr:uid="{00000000-0005-0000-0000-00008A940000}"/>
    <cellStyle name="Normal 9 2 55" xfId="38027" xr:uid="{00000000-0005-0000-0000-00008B940000}"/>
    <cellStyle name="Normal 9 2 56" xfId="38028" xr:uid="{00000000-0005-0000-0000-00008C940000}"/>
    <cellStyle name="Normal 9 2 57" xfId="38029" xr:uid="{00000000-0005-0000-0000-00008D940000}"/>
    <cellStyle name="Normal 9 2 58" xfId="38030" xr:uid="{00000000-0005-0000-0000-00008E940000}"/>
    <cellStyle name="Normal 9 2 59" xfId="38031" xr:uid="{00000000-0005-0000-0000-00008F940000}"/>
    <cellStyle name="Normal 9 2 6" xfId="38032" xr:uid="{00000000-0005-0000-0000-000090940000}"/>
    <cellStyle name="Normal 9 2 60" xfId="38033" xr:uid="{00000000-0005-0000-0000-000091940000}"/>
    <cellStyle name="Normal 9 2 61" xfId="38034" xr:uid="{00000000-0005-0000-0000-000092940000}"/>
    <cellStyle name="Normal 9 2 62" xfId="38035" xr:uid="{00000000-0005-0000-0000-000093940000}"/>
    <cellStyle name="Normal 9 2 63" xfId="38036" xr:uid="{00000000-0005-0000-0000-000094940000}"/>
    <cellStyle name="Normal 9 2 64" xfId="38037" xr:uid="{00000000-0005-0000-0000-000095940000}"/>
    <cellStyle name="Normal 9 2 65" xfId="38038" xr:uid="{00000000-0005-0000-0000-000096940000}"/>
    <cellStyle name="Normal 9 2 66" xfId="38039" xr:uid="{00000000-0005-0000-0000-000097940000}"/>
    <cellStyle name="Normal 9 2 67" xfId="38040" xr:uid="{00000000-0005-0000-0000-000098940000}"/>
    <cellStyle name="Normal 9 2 68" xfId="38041" xr:uid="{00000000-0005-0000-0000-000099940000}"/>
    <cellStyle name="Normal 9 2 69" xfId="38042" xr:uid="{00000000-0005-0000-0000-00009A940000}"/>
    <cellStyle name="Normal 9 2 7" xfId="38043" xr:uid="{00000000-0005-0000-0000-00009B940000}"/>
    <cellStyle name="Normal 9 2 70" xfId="38044" xr:uid="{00000000-0005-0000-0000-00009C940000}"/>
    <cellStyle name="Normal 9 2 71" xfId="38045" xr:uid="{00000000-0005-0000-0000-00009D940000}"/>
    <cellStyle name="Normal 9 2 72" xfId="38046" xr:uid="{00000000-0005-0000-0000-00009E940000}"/>
    <cellStyle name="Normal 9 2 73" xfId="38047" xr:uid="{00000000-0005-0000-0000-00009F940000}"/>
    <cellStyle name="Normal 9 2 74" xfId="38048" xr:uid="{00000000-0005-0000-0000-0000A0940000}"/>
    <cellStyle name="Normal 9 2 75" xfId="38049" xr:uid="{00000000-0005-0000-0000-0000A1940000}"/>
    <cellStyle name="Normal 9 2 76" xfId="38050" xr:uid="{00000000-0005-0000-0000-0000A2940000}"/>
    <cellStyle name="Normal 9 2 77" xfId="38051" xr:uid="{00000000-0005-0000-0000-0000A3940000}"/>
    <cellStyle name="Normal 9 2 78" xfId="38052" xr:uid="{00000000-0005-0000-0000-0000A4940000}"/>
    <cellStyle name="Normal 9 2 79" xfId="38053" xr:uid="{00000000-0005-0000-0000-0000A5940000}"/>
    <cellStyle name="Normal 9 2 8" xfId="38054" xr:uid="{00000000-0005-0000-0000-0000A6940000}"/>
    <cellStyle name="Normal 9 2 9" xfId="38055" xr:uid="{00000000-0005-0000-0000-0000A7940000}"/>
    <cellStyle name="Normal 9 2_Enlaces" xfId="38056" xr:uid="{00000000-0005-0000-0000-0000A8940000}"/>
    <cellStyle name="Normal 9 20" xfId="38057" xr:uid="{00000000-0005-0000-0000-0000A9940000}"/>
    <cellStyle name="Normal 9 20 2" xfId="38058" xr:uid="{00000000-0005-0000-0000-0000AA940000}"/>
    <cellStyle name="Normal 9 20 2 2" xfId="38059" xr:uid="{00000000-0005-0000-0000-0000AB940000}"/>
    <cellStyle name="Normal 9 20 2 3" xfId="38060" xr:uid="{00000000-0005-0000-0000-0000AC940000}"/>
    <cellStyle name="Normal 9 20 3" xfId="38061" xr:uid="{00000000-0005-0000-0000-0000AD940000}"/>
    <cellStyle name="Normal 9 20 4" xfId="38062" xr:uid="{00000000-0005-0000-0000-0000AE940000}"/>
    <cellStyle name="Normal 9 21" xfId="38063" xr:uid="{00000000-0005-0000-0000-0000AF940000}"/>
    <cellStyle name="Normal 9 21 2" xfId="38064" xr:uid="{00000000-0005-0000-0000-0000B0940000}"/>
    <cellStyle name="Normal 9 21 2 2" xfId="38065" xr:uid="{00000000-0005-0000-0000-0000B1940000}"/>
    <cellStyle name="Normal 9 21 2 3" xfId="38066" xr:uid="{00000000-0005-0000-0000-0000B2940000}"/>
    <cellStyle name="Normal 9 21 3" xfId="38067" xr:uid="{00000000-0005-0000-0000-0000B3940000}"/>
    <cellStyle name="Normal 9 21 4" xfId="38068" xr:uid="{00000000-0005-0000-0000-0000B4940000}"/>
    <cellStyle name="Normal 9 22" xfId="38069" xr:uid="{00000000-0005-0000-0000-0000B5940000}"/>
    <cellStyle name="Normal 9 22 2" xfId="38070" xr:uid="{00000000-0005-0000-0000-0000B6940000}"/>
    <cellStyle name="Normal 9 22 2 2" xfId="38071" xr:uid="{00000000-0005-0000-0000-0000B7940000}"/>
    <cellStyle name="Normal 9 22 2 3" xfId="38072" xr:uid="{00000000-0005-0000-0000-0000B8940000}"/>
    <cellStyle name="Normal 9 22 3" xfId="38073" xr:uid="{00000000-0005-0000-0000-0000B9940000}"/>
    <cellStyle name="Normal 9 22 4" xfId="38074" xr:uid="{00000000-0005-0000-0000-0000BA940000}"/>
    <cellStyle name="Normal 9 23" xfId="38075" xr:uid="{00000000-0005-0000-0000-0000BB940000}"/>
    <cellStyle name="Normal 9 23 2" xfId="38076" xr:uid="{00000000-0005-0000-0000-0000BC940000}"/>
    <cellStyle name="Normal 9 23 2 2" xfId="38077" xr:uid="{00000000-0005-0000-0000-0000BD940000}"/>
    <cellStyle name="Normal 9 23 2 3" xfId="38078" xr:uid="{00000000-0005-0000-0000-0000BE940000}"/>
    <cellStyle name="Normal 9 23 3" xfId="38079" xr:uid="{00000000-0005-0000-0000-0000BF940000}"/>
    <cellStyle name="Normal 9 23 4" xfId="38080" xr:uid="{00000000-0005-0000-0000-0000C0940000}"/>
    <cellStyle name="Normal 9 24" xfId="38081" xr:uid="{00000000-0005-0000-0000-0000C1940000}"/>
    <cellStyle name="Normal 9 24 2" xfId="38082" xr:uid="{00000000-0005-0000-0000-0000C2940000}"/>
    <cellStyle name="Normal 9 24 2 2" xfId="38083" xr:uid="{00000000-0005-0000-0000-0000C3940000}"/>
    <cellStyle name="Normal 9 24 2 3" xfId="38084" xr:uid="{00000000-0005-0000-0000-0000C4940000}"/>
    <cellStyle name="Normal 9 24 3" xfId="38085" xr:uid="{00000000-0005-0000-0000-0000C5940000}"/>
    <cellStyle name="Normal 9 24 4" xfId="38086" xr:uid="{00000000-0005-0000-0000-0000C6940000}"/>
    <cellStyle name="Normal 9 25" xfId="38087" xr:uid="{00000000-0005-0000-0000-0000C7940000}"/>
    <cellStyle name="Normal 9 25 2" xfId="38088" xr:uid="{00000000-0005-0000-0000-0000C8940000}"/>
    <cellStyle name="Normal 9 25 2 2" xfId="38089" xr:uid="{00000000-0005-0000-0000-0000C9940000}"/>
    <cellStyle name="Normal 9 25 2 3" xfId="38090" xr:uid="{00000000-0005-0000-0000-0000CA940000}"/>
    <cellStyle name="Normal 9 25 3" xfId="38091" xr:uid="{00000000-0005-0000-0000-0000CB940000}"/>
    <cellStyle name="Normal 9 25 4" xfId="38092" xr:uid="{00000000-0005-0000-0000-0000CC940000}"/>
    <cellStyle name="Normal 9 26" xfId="38093" xr:uid="{00000000-0005-0000-0000-0000CD940000}"/>
    <cellStyle name="Normal 9 26 2" xfId="38094" xr:uid="{00000000-0005-0000-0000-0000CE940000}"/>
    <cellStyle name="Normal 9 26 2 2" xfId="38095" xr:uid="{00000000-0005-0000-0000-0000CF940000}"/>
    <cellStyle name="Normal 9 26 2 3" xfId="38096" xr:uid="{00000000-0005-0000-0000-0000D0940000}"/>
    <cellStyle name="Normal 9 26 3" xfId="38097" xr:uid="{00000000-0005-0000-0000-0000D1940000}"/>
    <cellStyle name="Normal 9 26 4" xfId="38098" xr:uid="{00000000-0005-0000-0000-0000D2940000}"/>
    <cellStyle name="Normal 9 27" xfId="38099" xr:uid="{00000000-0005-0000-0000-0000D3940000}"/>
    <cellStyle name="Normal 9 27 2" xfId="38100" xr:uid="{00000000-0005-0000-0000-0000D4940000}"/>
    <cellStyle name="Normal 9 27 2 2" xfId="38101" xr:uid="{00000000-0005-0000-0000-0000D5940000}"/>
    <cellStyle name="Normal 9 27 2 3" xfId="38102" xr:uid="{00000000-0005-0000-0000-0000D6940000}"/>
    <cellStyle name="Normal 9 27 3" xfId="38103" xr:uid="{00000000-0005-0000-0000-0000D7940000}"/>
    <cellStyle name="Normal 9 27 4" xfId="38104" xr:uid="{00000000-0005-0000-0000-0000D8940000}"/>
    <cellStyle name="Normal 9 28" xfId="38105" xr:uid="{00000000-0005-0000-0000-0000D9940000}"/>
    <cellStyle name="Normal 9 28 2" xfId="38106" xr:uid="{00000000-0005-0000-0000-0000DA940000}"/>
    <cellStyle name="Normal 9 28 2 2" xfId="38107" xr:uid="{00000000-0005-0000-0000-0000DB940000}"/>
    <cellStyle name="Normal 9 28 2 3" xfId="38108" xr:uid="{00000000-0005-0000-0000-0000DC940000}"/>
    <cellStyle name="Normal 9 28 3" xfId="38109" xr:uid="{00000000-0005-0000-0000-0000DD940000}"/>
    <cellStyle name="Normal 9 28 4" xfId="38110" xr:uid="{00000000-0005-0000-0000-0000DE940000}"/>
    <cellStyle name="Normal 9 29" xfId="38111" xr:uid="{00000000-0005-0000-0000-0000DF940000}"/>
    <cellStyle name="Normal 9 29 2" xfId="38112" xr:uid="{00000000-0005-0000-0000-0000E0940000}"/>
    <cellStyle name="Normal 9 29 2 2" xfId="38113" xr:uid="{00000000-0005-0000-0000-0000E1940000}"/>
    <cellStyle name="Normal 9 29 2 3" xfId="38114" xr:uid="{00000000-0005-0000-0000-0000E2940000}"/>
    <cellStyle name="Normal 9 29 3" xfId="38115" xr:uid="{00000000-0005-0000-0000-0000E3940000}"/>
    <cellStyle name="Normal 9 29 4" xfId="38116" xr:uid="{00000000-0005-0000-0000-0000E4940000}"/>
    <cellStyle name="Normal 9 3" xfId="38117" xr:uid="{00000000-0005-0000-0000-0000E5940000}"/>
    <cellStyle name="Normal 9 3 2" xfId="38118" xr:uid="{00000000-0005-0000-0000-0000E6940000}"/>
    <cellStyle name="Normal 9 3 2 2" xfId="38119" xr:uid="{00000000-0005-0000-0000-0000E7940000}"/>
    <cellStyle name="Normal 9 3 2 2 2" xfId="38120" xr:uid="{00000000-0005-0000-0000-0000E8940000}"/>
    <cellStyle name="Normal 9 3 2 2 3" xfId="38121" xr:uid="{00000000-0005-0000-0000-0000E9940000}"/>
    <cellStyle name="Normal 9 3 2 3" xfId="38122" xr:uid="{00000000-0005-0000-0000-0000EA940000}"/>
    <cellStyle name="Normal 9 3 2 4" xfId="38123" xr:uid="{00000000-0005-0000-0000-0000EB940000}"/>
    <cellStyle name="Normal 9 3 3" xfId="38124" xr:uid="{00000000-0005-0000-0000-0000EC940000}"/>
    <cellStyle name="Normal 9 3 3 2" xfId="38125" xr:uid="{00000000-0005-0000-0000-0000ED940000}"/>
    <cellStyle name="Normal 9 3 3 2 2" xfId="38126" xr:uid="{00000000-0005-0000-0000-0000EE940000}"/>
    <cellStyle name="Normal 9 3 3 2 3" xfId="38127" xr:uid="{00000000-0005-0000-0000-0000EF940000}"/>
    <cellStyle name="Normal 9 3 3 3" xfId="38128" xr:uid="{00000000-0005-0000-0000-0000F0940000}"/>
    <cellStyle name="Normal 9 3 3 4" xfId="38129" xr:uid="{00000000-0005-0000-0000-0000F1940000}"/>
    <cellStyle name="Normal 9 3 4" xfId="38130" xr:uid="{00000000-0005-0000-0000-0000F2940000}"/>
    <cellStyle name="Normal 9 3 4 2" xfId="38131" xr:uid="{00000000-0005-0000-0000-0000F3940000}"/>
    <cellStyle name="Normal 9 3 4 2 2" xfId="38132" xr:uid="{00000000-0005-0000-0000-0000F4940000}"/>
    <cellStyle name="Normal 9 3 4 2 2 2" xfId="38133" xr:uid="{00000000-0005-0000-0000-0000F5940000}"/>
    <cellStyle name="Normal 9 3 4 2 2 2 2" xfId="38134" xr:uid="{00000000-0005-0000-0000-0000F6940000}"/>
    <cellStyle name="Normal 9 3 4 2 2 2 3" xfId="38135" xr:uid="{00000000-0005-0000-0000-0000F7940000}"/>
    <cellStyle name="Normal 9 3 4 2 2 3" xfId="38136" xr:uid="{00000000-0005-0000-0000-0000F8940000}"/>
    <cellStyle name="Normal 9 3 4 2 2 4" xfId="38137" xr:uid="{00000000-0005-0000-0000-0000F9940000}"/>
    <cellStyle name="Normal 9 3 4 3" xfId="38138" xr:uid="{00000000-0005-0000-0000-0000FA940000}"/>
    <cellStyle name="Normal 9 3 4 3 2" xfId="38139" xr:uid="{00000000-0005-0000-0000-0000FB940000}"/>
    <cellStyle name="Normal 9 3 4 3 2 2" xfId="38140" xr:uid="{00000000-0005-0000-0000-0000FC940000}"/>
    <cellStyle name="Normal 9 3 4 3 2 3" xfId="38141" xr:uid="{00000000-0005-0000-0000-0000FD940000}"/>
    <cellStyle name="Normal 9 3 4 3 3" xfId="38142" xr:uid="{00000000-0005-0000-0000-0000FE940000}"/>
    <cellStyle name="Normal 9 3 4 3 4" xfId="38143" xr:uid="{00000000-0005-0000-0000-0000FF940000}"/>
    <cellStyle name="Normal 9 3 4 4" xfId="38144" xr:uid="{00000000-0005-0000-0000-000000950000}"/>
    <cellStyle name="Normal 9 3 4 4 2" xfId="38145" xr:uid="{00000000-0005-0000-0000-000001950000}"/>
    <cellStyle name="Normal 9 3 4 4 3" xfId="38146" xr:uid="{00000000-0005-0000-0000-000002950000}"/>
    <cellStyle name="Normal 9 3 4 5" xfId="38147" xr:uid="{00000000-0005-0000-0000-000003950000}"/>
    <cellStyle name="Normal 9 3 5" xfId="38148" xr:uid="{00000000-0005-0000-0000-000004950000}"/>
    <cellStyle name="Normal 9 3 5 2" xfId="38149" xr:uid="{00000000-0005-0000-0000-000005950000}"/>
    <cellStyle name="Normal 9 3 5 2 2" xfId="38150" xr:uid="{00000000-0005-0000-0000-000006950000}"/>
    <cellStyle name="Normal 9 3 5 2 3" xfId="38151" xr:uid="{00000000-0005-0000-0000-000007950000}"/>
    <cellStyle name="Normal 9 3 5 3" xfId="38152" xr:uid="{00000000-0005-0000-0000-000008950000}"/>
    <cellStyle name="Normal 9 3 5 4" xfId="38153" xr:uid="{00000000-0005-0000-0000-000009950000}"/>
    <cellStyle name="Normal 9 3 6" xfId="38154" xr:uid="{00000000-0005-0000-0000-00000A950000}"/>
    <cellStyle name="Normal 9 3 6 2" xfId="38155" xr:uid="{00000000-0005-0000-0000-00000B950000}"/>
    <cellStyle name="Normal 9 3 6 2 2" xfId="38156" xr:uid="{00000000-0005-0000-0000-00000C950000}"/>
    <cellStyle name="Normal 9 3 6 2 3" xfId="38157" xr:uid="{00000000-0005-0000-0000-00000D950000}"/>
    <cellStyle name="Normal 9 3 6 3" xfId="38158" xr:uid="{00000000-0005-0000-0000-00000E950000}"/>
    <cellStyle name="Normal 9 3 6 4" xfId="38159" xr:uid="{00000000-0005-0000-0000-00000F950000}"/>
    <cellStyle name="Normal 9 3 7" xfId="38160" xr:uid="{00000000-0005-0000-0000-000010950000}"/>
    <cellStyle name="Normal 9 3 7 2" xfId="38161" xr:uid="{00000000-0005-0000-0000-000011950000}"/>
    <cellStyle name="Normal 9 3 7 3" xfId="38162" xr:uid="{00000000-0005-0000-0000-000012950000}"/>
    <cellStyle name="Normal 9 3 7 3 2" xfId="38163" xr:uid="{00000000-0005-0000-0000-000013950000}"/>
    <cellStyle name="Normal 9 3 7 3 3" xfId="38164" xr:uid="{00000000-0005-0000-0000-000014950000}"/>
    <cellStyle name="Normal 9 3 7 4" xfId="38165" xr:uid="{00000000-0005-0000-0000-000015950000}"/>
    <cellStyle name="Normal 9 3 8" xfId="38166" xr:uid="{00000000-0005-0000-0000-000016950000}"/>
    <cellStyle name="Normal 9 3 9" xfId="38167" xr:uid="{00000000-0005-0000-0000-000017950000}"/>
    <cellStyle name="Normal 9 3 9 2" xfId="38168" xr:uid="{00000000-0005-0000-0000-000018950000}"/>
    <cellStyle name="Normal 9 3 9 2 2" xfId="38169" xr:uid="{00000000-0005-0000-0000-000019950000}"/>
    <cellStyle name="Normal 9 3 9 2 3" xfId="38170" xr:uid="{00000000-0005-0000-0000-00001A950000}"/>
    <cellStyle name="Normal 9 3 9 3" xfId="38171" xr:uid="{00000000-0005-0000-0000-00001B950000}"/>
    <cellStyle name="Normal 9 3 9 4" xfId="38172" xr:uid="{00000000-0005-0000-0000-00001C950000}"/>
    <cellStyle name="Normal 9 3_Implem" xfId="38173" xr:uid="{00000000-0005-0000-0000-00001D950000}"/>
    <cellStyle name="Normal 9 4" xfId="38174" xr:uid="{00000000-0005-0000-0000-00001E950000}"/>
    <cellStyle name="Normal 9 4 2" xfId="38175" xr:uid="{00000000-0005-0000-0000-00001F950000}"/>
    <cellStyle name="Normal 9 4 2 2" xfId="38176" xr:uid="{00000000-0005-0000-0000-000020950000}"/>
    <cellStyle name="Normal 9 4 2 3" xfId="38177" xr:uid="{00000000-0005-0000-0000-000021950000}"/>
    <cellStyle name="Normal 9 4 3" xfId="38178" xr:uid="{00000000-0005-0000-0000-000022950000}"/>
    <cellStyle name="Normal 9 4 4" xfId="38179" xr:uid="{00000000-0005-0000-0000-000023950000}"/>
    <cellStyle name="Normal 9 5" xfId="38180" xr:uid="{00000000-0005-0000-0000-000024950000}"/>
    <cellStyle name="Normal 9 5 2" xfId="38181" xr:uid="{00000000-0005-0000-0000-000025950000}"/>
    <cellStyle name="Normal 9 5 2 2" xfId="38182" xr:uid="{00000000-0005-0000-0000-000026950000}"/>
    <cellStyle name="Normal 9 5 2 3" xfId="38183" xr:uid="{00000000-0005-0000-0000-000027950000}"/>
    <cellStyle name="Normal 9 5 3" xfId="38184" xr:uid="{00000000-0005-0000-0000-000028950000}"/>
    <cellStyle name="Normal 9 5 4" xfId="38185" xr:uid="{00000000-0005-0000-0000-000029950000}"/>
    <cellStyle name="Normal 9 6" xfId="38186" xr:uid="{00000000-0005-0000-0000-00002A950000}"/>
    <cellStyle name="Normal 9 6 2" xfId="38187" xr:uid="{00000000-0005-0000-0000-00002B950000}"/>
    <cellStyle name="Normal 9 6 2 2" xfId="38188" xr:uid="{00000000-0005-0000-0000-00002C950000}"/>
    <cellStyle name="Normal 9 6 2 3" xfId="38189" xr:uid="{00000000-0005-0000-0000-00002D950000}"/>
    <cellStyle name="Normal 9 6 3" xfId="38190" xr:uid="{00000000-0005-0000-0000-00002E950000}"/>
    <cellStyle name="Normal 9 6 4" xfId="38191" xr:uid="{00000000-0005-0000-0000-00002F950000}"/>
    <cellStyle name="Normal 9 7" xfId="38192" xr:uid="{00000000-0005-0000-0000-000030950000}"/>
    <cellStyle name="Normal 9 7 2" xfId="38193" xr:uid="{00000000-0005-0000-0000-000031950000}"/>
    <cellStyle name="Normal 9 7 2 2" xfId="38194" xr:uid="{00000000-0005-0000-0000-000032950000}"/>
    <cellStyle name="Normal 9 7 2 3" xfId="38195" xr:uid="{00000000-0005-0000-0000-000033950000}"/>
    <cellStyle name="Normal 9 7 3" xfId="38196" xr:uid="{00000000-0005-0000-0000-000034950000}"/>
    <cellStyle name="Normal 9 7 4" xfId="38197" xr:uid="{00000000-0005-0000-0000-000035950000}"/>
    <cellStyle name="Normal 9 8" xfId="38198" xr:uid="{00000000-0005-0000-0000-000036950000}"/>
    <cellStyle name="Normal 9 8 2" xfId="38199" xr:uid="{00000000-0005-0000-0000-000037950000}"/>
    <cellStyle name="Normal 9 8 2 2" xfId="38200" xr:uid="{00000000-0005-0000-0000-000038950000}"/>
    <cellStyle name="Normal 9 8 2 3" xfId="38201" xr:uid="{00000000-0005-0000-0000-000039950000}"/>
    <cellStyle name="Normal 9 8 3" xfId="38202" xr:uid="{00000000-0005-0000-0000-00003A950000}"/>
    <cellStyle name="Normal 9 8 4" xfId="38203" xr:uid="{00000000-0005-0000-0000-00003B950000}"/>
    <cellStyle name="Normal 9 9" xfId="38204" xr:uid="{00000000-0005-0000-0000-00003C950000}"/>
    <cellStyle name="Normal 9 9 2" xfId="38205" xr:uid="{00000000-0005-0000-0000-00003D950000}"/>
    <cellStyle name="Normal 9 9 2 2" xfId="38206" xr:uid="{00000000-0005-0000-0000-00003E950000}"/>
    <cellStyle name="Normal 9 9 2 3" xfId="38207" xr:uid="{00000000-0005-0000-0000-00003F950000}"/>
    <cellStyle name="Normal 9 9 3" xfId="38208" xr:uid="{00000000-0005-0000-0000-000040950000}"/>
    <cellStyle name="Normal 9 9 4" xfId="38209" xr:uid="{00000000-0005-0000-0000-000041950000}"/>
    <cellStyle name="Normal 90" xfId="38210" xr:uid="{00000000-0005-0000-0000-000042950000}"/>
    <cellStyle name="Normal 90 2" xfId="38211" xr:uid="{00000000-0005-0000-0000-000043950000}"/>
    <cellStyle name="Normal 90 2 2" xfId="38212" xr:uid="{00000000-0005-0000-0000-000044950000}"/>
    <cellStyle name="Normal 90 2 2 2" xfId="38213" xr:uid="{00000000-0005-0000-0000-000045950000}"/>
    <cellStyle name="Normal 90 2 2 3" xfId="38214" xr:uid="{00000000-0005-0000-0000-000046950000}"/>
    <cellStyle name="Normal 90 2 3" xfId="38215" xr:uid="{00000000-0005-0000-0000-000047950000}"/>
    <cellStyle name="Normal 90 2 4" xfId="38216" xr:uid="{00000000-0005-0000-0000-000048950000}"/>
    <cellStyle name="Normal 90 3" xfId="38217" xr:uid="{00000000-0005-0000-0000-000049950000}"/>
    <cellStyle name="Normal 90 3 2" xfId="38218" xr:uid="{00000000-0005-0000-0000-00004A950000}"/>
    <cellStyle name="Normal 90 3 3" xfId="38219" xr:uid="{00000000-0005-0000-0000-00004B950000}"/>
    <cellStyle name="Normal 90 4" xfId="38220" xr:uid="{00000000-0005-0000-0000-00004C950000}"/>
    <cellStyle name="Normal 90 5" xfId="38221" xr:uid="{00000000-0005-0000-0000-00004D950000}"/>
    <cellStyle name="Normal 91" xfId="38222" xr:uid="{00000000-0005-0000-0000-00004E950000}"/>
    <cellStyle name="Normal 91 2" xfId="38223" xr:uid="{00000000-0005-0000-0000-00004F950000}"/>
    <cellStyle name="Normal 91 2 2" xfId="38224" xr:uid="{00000000-0005-0000-0000-000050950000}"/>
    <cellStyle name="Normal 91 2 2 2" xfId="38225" xr:uid="{00000000-0005-0000-0000-000051950000}"/>
    <cellStyle name="Normal 91 2 2 3" xfId="38226" xr:uid="{00000000-0005-0000-0000-000052950000}"/>
    <cellStyle name="Normal 91 2 3" xfId="38227" xr:uid="{00000000-0005-0000-0000-000053950000}"/>
    <cellStyle name="Normal 91 2 4" xfId="38228" xr:uid="{00000000-0005-0000-0000-000054950000}"/>
    <cellStyle name="Normal 91 3" xfId="38229" xr:uid="{00000000-0005-0000-0000-000055950000}"/>
    <cellStyle name="Normal 91 3 2" xfId="38230" xr:uid="{00000000-0005-0000-0000-000056950000}"/>
    <cellStyle name="Normal 91 3 3" xfId="38231" xr:uid="{00000000-0005-0000-0000-000057950000}"/>
    <cellStyle name="Normal 91 4" xfId="38232" xr:uid="{00000000-0005-0000-0000-000058950000}"/>
    <cellStyle name="Normal 91 5" xfId="38233" xr:uid="{00000000-0005-0000-0000-000059950000}"/>
    <cellStyle name="Normal 92" xfId="38234" xr:uid="{00000000-0005-0000-0000-00005A950000}"/>
    <cellStyle name="Normal 92 2" xfId="38235" xr:uid="{00000000-0005-0000-0000-00005B950000}"/>
    <cellStyle name="Normal 92 2 2" xfId="38236" xr:uid="{00000000-0005-0000-0000-00005C950000}"/>
    <cellStyle name="Normal 92 2 2 2" xfId="38237" xr:uid="{00000000-0005-0000-0000-00005D950000}"/>
    <cellStyle name="Normal 92 2 2 3" xfId="38238" xr:uid="{00000000-0005-0000-0000-00005E950000}"/>
    <cellStyle name="Normal 92 2 3" xfId="38239" xr:uid="{00000000-0005-0000-0000-00005F950000}"/>
    <cellStyle name="Normal 92 2 4" xfId="38240" xr:uid="{00000000-0005-0000-0000-000060950000}"/>
    <cellStyle name="Normal 92 3" xfId="38241" xr:uid="{00000000-0005-0000-0000-000061950000}"/>
    <cellStyle name="Normal 92 3 2" xfId="38242" xr:uid="{00000000-0005-0000-0000-000062950000}"/>
    <cellStyle name="Normal 92 3 3" xfId="38243" xr:uid="{00000000-0005-0000-0000-000063950000}"/>
    <cellStyle name="Normal 92 4" xfId="38244" xr:uid="{00000000-0005-0000-0000-000064950000}"/>
    <cellStyle name="Normal 92 5" xfId="38245" xr:uid="{00000000-0005-0000-0000-000065950000}"/>
    <cellStyle name="Normal 92 6" xfId="38246" xr:uid="{00000000-0005-0000-0000-000066950000}"/>
    <cellStyle name="Normal 93" xfId="38247" xr:uid="{00000000-0005-0000-0000-000067950000}"/>
    <cellStyle name="Normal 93 2" xfId="38248" xr:uid="{00000000-0005-0000-0000-000068950000}"/>
    <cellStyle name="Normal 93 2 2" xfId="38249" xr:uid="{00000000-0005-0000-0000-000069950000}"/>
    <cellStyle name="Normal 93 2 2 2" xfId="38250" xr:uid="{00000000-0005-0000-0000-00006A950000}"/>
    <cellStyle name="Normal 93 2 2 3" xfId="38251" xr:uid="{00000000-0005-0000-0000-00006B950000}"/>
    <cellStyle name="Normal 93 2 3" xfId="38252" xr:uid="{00000000-0005-0000-0000-00006C950000}"/>
    <cellStyle name="Normal 93 2 4" xfId="38253" xr:uid="{00000000-0005-0000-0000-00006D950000}"/>
    <cellStyle name="Normal 93 3" xfId="38254" xr:uid="{00000000-0005-0000-0000-00006E950000}"/>
    <cellStyle name="Normal 93 3 2" xfId="38255" xr:uid="{00000000-0005-0000-0000-00006F950000}"/>
    <cellStyle name="Normal 93 3 3" xfId="38256" xr:uid="{00000000-0005-0000-0000-000070950000}"/>
    <cellStyle name="Normal 93 4" xfId="38257" xr:uid="{00000000-0005-0000-0000-000071950000}"/>
    <cellStyle name="Normal 93 5" xfId="38258" xr:uid="{00000000-0005-0000-0000-000072950000}"/>
    <cellStyle name="Normal 93 6" xfId="38259" xr:uid="{00000000-0005-0000-0000-000073950000}"/>
    <cellStyle name="Normal 94" xfId="38260" xr:uid="{00000000-0005-0000-0000-000074950000}"/>
    <cellStyle name="Normal 94 2" xfId="38261" xr:uid="{00000000-0005-0000-0000-000075950000}"/>
    <cellStyle name="Normal 94 2 2" xfId="38262" xr:uid="{00000000-0005-0000-0000-000076950000}"/>
    <cellStyle name="Normal 94 2 2 2" xfId="38263" xr:uid="{00000000-0005-0000-0000-000077950000}"/>
    <cellStyle name="Normal 94 2 2 3" xfId="38264" xr:uid="{00000000-0005-0000-0000-000078950000}"/>
    <cellStyle name="Normal 94 2 3" xfId="38265" xr:uid="{00000000-0005-0000-0000-000079950000}"/>
    <cellStyle name="Normal 94 2 4" xfId="38266" xr:uid="{00000000-0005-0000-0000-00007A950000}"/>
    <cellStyle name="Normal 94 3" xfId="38267" xr:uid="{00000000-0005-0000-0000-00007B950000}"/>
    <cellStyle name="Normal 94 3 2" xfId="38268" xr:uid="{00000000-0005-0000-0000-00007C950000}"/>
    <cellStyle name="Normal 94 3 3" xfId="38269" xr:uid="{00000000-0005-0000-0000-00007D950000}"/>
    <cellStyle name="Normal 94 4" xfId="38270" xr:uid="{00000000-0005-0000-0000-00007E950000}"/>
    <cellStyle name="Normal 94 5" xfId="38271" xr:uid="{00000000-0005-0000-0000-00007F950000}"/>
    <cellStyle name="Normal 94 6" xfId="38272" xr:uid="{00000000-0005-0000-0000-000080950000}"/>
    <cellStyle name="Normal 95" xfId="38273" xr:uid="{00000000-0005-0000-0000-000081950000}"/>
    <cellStyle name="Normal 95 2" xfId="38274" xr:uid="{00000000-0005-0000-0000-000082950000}"/>
    <cellStyle name="Normal 95 2 2" xfId="38275" xr:uid="{00000000-0005-0000-0000-000083950000}"/>
    <cellStyle name="Normal 95 2 2 2" xfId="38276" xr:uid="{00000000-0005-0000-0000-000084950000}"/>
    <cellStyle name="Normal 95 2 2 3" xfId="38277" xr:uid="{00000000-0005-0000-0000-000085950000}"/>
    <cellStyle name="Normal 95 2 3" xfId="38278" xr:uid="{00000000-0005-0000-0000-000086950000}"/>
    <cellStyle name="Normal 95 2 4" xfId="38279" xr:uid="{00000000-0005-0000-0000-000087950000}"/>
    <cellStyle name="Normal 95 3" xfId="38280" xr:uid="{00000000-0005-0000-0000-000088950000}"/>
    <cellStyle name="Normal 95 3 2" xfId="38281" xr:uid="{00000000-0005-0000-0000-000089950000}"/>
    <cellStyle name="Normal 95 3 3" xfId="38282" xr:uid="{00000000-0005-0000-0000-00008A950000}"/>
    <cellStyle name="Normal 95 4" xfId="38283" xr:uid="{00000000-0005-0000-0000-00008B950000}"/>
    <cellStyle name="Normal 95 5" xfId="38284" xr:uid="{00000000-0005-0000-0000-00008C950000}"/>
    <cellStyle name="Normal 96" xfId="38285" xr:uid="{00000000-0005-0000-0000-00008D950000}"/>
    <cellStyle name="Normal 96 2" xfId="38286" xr:uid="{00000000-0005-0000-0000-00008E950000}"/>
    <cellStyle name="Normal 96 2 2" xfId="38287" xr:uid="{00000000-0005-0000-0000-00008F950000}"/>
    <cellStyle name="Normal 96 2 2 2" xfId="38288" xr:uid="{00000000-0005-0000-0000-000090950000}"/>
    <cellStyle name="Normal 96 2 2 3" xfId="38289" xr:uid="{00000000-0005-0000-0000-000091950000}"/>
    <cellStyle name="Normal 96 2 3" xfId="38290" xr:uid="{00000000-0005-0000-0000-000092950000}"/>
    <cellStyle name="Normal 96 2 4" xfId="38291" xr:uid="{00000000-0005-0000-0000-000093950000}"/>
    <cellStyle name="Normal 96 3" xfId="38292" xr:uid="{00000000-0005-0000-0000-000094950000}"/>
    <cellStyle name="Normal 96 3 2" xfId="38293" xr:uid="{00000000-0005-0000-0000-000095950000}"/>
    <cellStyle name="Normal 96 3 3" xfId="38294" xr:uid="{00000000-0005-0000-0000-000096950000}"/>
    <cellStyle name="Normal 96 4" xfId="38295" xr:uid="{00000000-0005-0000-0000-000097950000}"/>
    <cellStyle name="Normal 96 5" xfId="38296" xr:uid="{00000000-0005-0000-0000-000098950000}"/>
    <cellStyle name="Normal 96 6" xfId="38297" xr:uid="{00000000-0005-0000-0000-000099950000}"/>
    <cellStyle name="Normal 97" xfId="38298" xr:uid="{00000000-0005-0000-0000-00009A950000}"/>
    <cellStyle name="Normal 97 2" xfId="38299" xr:uid="{00000000-0005-0000-0000-00009B950000}"/>
    <cellStyle name="Normal 97 2 2" xfId="38300" xr:uid="{00000000-0005-0000-0000-00009C950000}"/>
    <cellStyle name="Normal 97 2 2 2" xfId="38301" xr:uid="{00000000-0005-0000-0000-00009D950000}"/>
    <cellStyle name="Normal 97 2 2 3" xfId="38302" xr:uid="{00000000-0005-0000-0000-00009E950000}"/>
    <cellStyle name="Normal 97 2 3" xfId="38303" xr:uid="{00000000-0005-0000-0000-00009F950000}"/>
    <cellStyle name="Normal 97 2 4" xfId="38304" xr:uid="{00000000-0005-0000-0000-0000A0950000}"/>
    <cellStyle name="Normal 97 3" xfId="38305" xr:uid="{00000000-0005-0000-0000-0000A1950000}"/>
    <cellStyle name="Normal 97 3 2" xfId="38306" xr:uid="{00000000-0005-0000-0000-0000A2950000}"/>
    <cellStyle name="Normal 97 3 3" xfId="38307" xr:uid="{00000000-0005-0000-0000-0000A3950000}"/>
    <cellStyle name="Normal 97 4" xfId="38308" xr:uid="{00000000-0005-0000-0000-0000A4950000}"/>
    <cellStyle name="Normal 97 5" xfId="38309" xr:uid="{00000000-0005-0000-0000-0000A5950000}"/>
    <cellStyle name="Normal 98" xfId="38310" xr:uid="{00000000-0005-0000-0000-0000A6950000}"/>
    <cellStyle name="Normal 98 2" xfId="38311" xr:uid="{00000000-0005-0000-0000-0000A7950000}"/>
    <cellStyle name="Normal 98 2 2" xfId="38312" xr:uid="{00000000-0005-0000-0000-0000A8950000}"/>
    <cellStyle name="Normal 98 2 2 2" xfId="38313" xr:uid="{00000000-0005-0000-0000-0000A9950000}"/>
    <cellStyle name="Normal 98 2 2 3" xfId="38314" xr:uid="{00000000-0005-0000-0000-0000AA950000}"/>
    <cellStyle name="Normal 98 2 3" xfId="38315" xr:uid="{00000000-0005-0000-0000-0000AB950000}"/>
    <cellStyle name="Normal 98 2 4" xfId="38316" xr:uid="{00000000-0005-0000-0000-0000AC950000}"/>
    <cellStyle name="Normal 98 3" xfId="38317" xr:uid="{00000000-0005-0000-0000-0000AD950000}"/>
    <cellStyle name="Normal 98 3 2" xfId="38318" xr:uid="{00000000-0005-0000-0000-0000AE950000}"/>
    <cellStyle name="Normal 98 3 3" xfId="38319" xr:uid="{00000000-0005-0000-0000-0000AF950000}"/>
    <cellStyle name="Normal 98 4" xfId="38320" xr:uid="{00000000-0005-0000-0000-0000B0950000}"/>
    <cellStyle name="Normal 98 5" xfId="38321" xr:uid="{00000000-0005-0000-0000-0000B1950000}"/>
    <cellStyle name="Normal 99" xfId="38322" xr:uid="{00000000-0005-0000-0000-0000B2950000}"/>
    <cellStyle name="Normal 99 2" xfId="38323" xr:uid="{00000000-0005-0000-0000-0000B3950000}"/>
    <cellStyle name="Normal 99 2 2" xfId="38324" xr:uid="{00000000-0005-0000-0000-0000B4950000}"/>
    <cellStyle name="Normal 99 2 2 2" xfId="38325" xr:uid="{00000000-0005-0000-0000-0000B5950000}"/>
    <cellStyle name="Normal 99 2 2 3" xfId="38326" xr:uid="{00000000-0005-0000-0000-0000B6950000}"/>
    <cellStyle name="Normal 99 2 3" xfId="38327" xr:uid="{00000000-0005-0000-0000-0000B7950000}"/>
    <cellStyle name="Normal 99 2 4" xfId="38328" xr:uid="{00000000-0005-0000-0000-0000B8950000}"/>
    <cellStyle name="Normal 99 3" xfId="38329" xr:uid="{00000000-0005-0000-0000-0000B9950000}"/>
    <cellStyle name="Normal 99 3 2" xfId="38330" xr:uid="{00000000-0005-0000-0000-0000BA950000}"/>
    <cellStyle name="Normal 99 3 3" xfId="38331" xr:uid="{00000000-0005-0000-0000-0000BB950000}"/>
    <cellStyle name="Normal 99 4" xfId="38332" xr:uid="{00000000-0005-0000-0000-0000BC950000}"/>
    <cellStyle name="Normal 99 5" xfId="38333" xr:uid="{00000000-0005-0000-0000-0000BD950000}"/>
    <cellStyle name="Normal 99 6" xfId="38334" xr:uid="{00000000-0005-0000-0000-0000BE950000}"/>
    <cellStyle name="Notas 10" xfId="38335" xr:uid="{00000000-0005-0000-0000-0000BF950000}"/>
    <cellStyle name="Notas 2" xfId="38336" xr:uid="{00000000-0005-0000-0000-0000C0950000}"/>
    <cellStyle name="Notas 2 2" xfId="38337" xr:uid="{00000000-0005-0000-0000-0000C1950000}"/>
    <cellStyle name="Notas 2 2 2" xfId="38338" xr:uid="{00000000-0005-0000-0000-0000C2950000}"/>
    <cellStyle name="Notas 2 2 2 2" xfId="38339" xr:uid="{00000000-0005-0000-0000-0000C3950000}"/>
    <cellStyle name="Notas 2 2 2 2 2" xfId="38340" xr:uid="{00000000-0005-0000-0000-0000C4950000}"/>
    <cellStyle name="Notas 2 2 2 2 2 2" xfId="38341" xr:uid="{00000000-0005-0000-0000-0000C5950000}"/>
    <cellStyle name="Notas 2 2 2 2 2 2 2" xfId="38342" xr:uid="{00000000-0005-0000-0000-0000C6950000}"/>
    <cellStyle name="Notas 2 2 2 2 2 2 3" xfId="38343" xr:uid="{00000000-0005-0000-0000-0000C7950000}"/>
    <cellStyle name="Notas 2 2 2 2 2 3" xfId="38344" xr:uid="{00000000-0005-0000-0000-0000C8950000}"/>
    <cellStyle name="Notas 2 2 2 2 2 4" xfId="38345" xr:uid="{00000000-0005-0000-0000-0000C9950000}"/>
    <cellStyle name="Notas 2 2 2 2 3" xfId="38346" xr:uid="{00000000-0005-0000-0000-0000CA950000}"/>
    <cellStyle name="Notas 2 2 2 2 3 2" xfId="38347" xr:uid="{00000000-0005-0000-0000-0000CB950000}"/>
    <cellStyle name="Notas 2 2 2 2 3 3" xfId="38348" xr:uid="{00000000-0005-0000-0000-0000CC950000}"/>
    <cellStyle name="Notas 2 2 2 2 4" xfId="38349" xr:uid="{00000000-0005-0000-0000-0000CD950000}"/>
    <cellStyle name="Notas 2 2 2 2 5" xfId="38350" xr:uid="{00000000-0005-0000-0000-0000CE950000}"/>
    <cellStyle name="Notas 2 2 2 3" xfId="38351" xr:uid="{00000000-0005-0000-0000-0000CF950000}"/>
    <cellStyle name="Notas 2 2 2 3 2" xfId="38352" xr:uid="{00000000-0005-0000-0000-0000D0950000}"/>
    <cellStyle name="Notas 2 2 2 3 3" xfId="38353" xr:uid="{00000000-0005-0000-0000-0000D1950000}"/>
    <cellStyle name="Notas 2 2 2 4" xfId="38354" xr:uid="{00000000-0005-0000-0000-0000D2950000}"/>
    <cellStyle name="Notas 2 2 2 5" xfId="38355" xr:uid="{00000000-0005-0000-0000-0000D3950000}"/>
    <cellStyle name="Notas 2 2 3" xfId="38356" xr:uid="{00000000-0005-0000-0000-0000D4950000}"/>
    <cellStyle name="Notas 2 2 3 2" xfId="38357" xr:uid="{00000000-0005-0000-0000-0000D5950000}"/>
    <cellStyle name="Notas 2 2 3 2 2" xfId="38358" xr:uid="{00000000-0005-0000-0000-0000D6950000}"/>
    <cellStyle name="Notas 2 2 3 2 3" xfId="38359" xr:uid="{00000000-0005-0000-0000-0000D7950000}"/>
    <cellStyle name="Notas 2 2 3 3" xfId="38360" xr:uid="{00000000-0005-0000-0000-0000D8950000}"/>
    <cellStyle name="Notas 2 2 3 4" xfId="38361" xr:uid="{00000000-0005-0000-0000-0000D9950000}"/>
    <cellStyle name="Notas 2 2 4" xfId="38362" xr:uid="{00000000-0005-0000-0000-0000DA950000}"/>
    <cellStyle name="Notas 2 2 4 2" xfId="38363" xr:uid="{00000000-0005-0000-0000-0000DB950000}"/>
    <cellStyle name="Notas 2 2 4 2 2" xfId="38364" xr:uid="{00000000-0005-0000-0000-0000DC950000}"/>
    <cellStyle name="Notas 2 2 4 2 3" xfId="38365" xr:uid="{00000000-0005-0000-0000-0000DD950000}"/>
    <cellStyle name="Notas 2 2 4 3" xfId="38366" xr:uid="{00000000-0005-0000-0000-0000DE950000}"/>
    <cellStyle name="Notas 2 2 4 4" xfId="38367" xr:uid="{00000000-0005-0000-0000-0000DF950000}"/>
    <cellStyle name="Notas 2 2 5" xfId="38368" xr:uid="{00000000-0005-0000-0000-0000E0950000}"/>
    <cellStyle name="Notas 2 2 5 2" xfId="38369" xr:uid="{00000000-0005-0000-0000-0000E1950000}"/>
    <cellStyle name="Notas 2 2 5 3" xfId="38370" xr:uid="{00000000-0005-0000-0000-0000E2950000}"/>
    <cellStyle name="Notas 2 2 6" xfId="38371" xr:uid="{00000000-0005-0000-0000-0000E3950000}"/>
    <cellStyle name="Notas 2 2 7" xfId="38372" xr:uid="{00000000-0005-0000-0000-0000E4950000}"/>
    <cellStyle name="Notas 2 3" xfId="38373" xr:uid="{00000000-0005-0000-0000-0000E5950000}"/>
    <cellStyle name="Notas 2 3 2" xfId="38374" xr:uid="{00000000-0005-0000-0000-0000E6950000}"/>
    <cellStyle name="Notas 2 3 2 2" xfId="38375" xr:uid="{00000000-0005-0000-0000-0000E7950000}"/>
    <cellStyle name="Notas 2 3 2 3" xfId="38376" xr:uid="{00000000-0005-0000-0000-0000E8950000}"/>
    <cellStyle name="Notas 2 3 3" xfId="38377" xr:uid="{00000000-0005-0000-0000-0000E9950000}"/>
    <cellStyle name="Notas 2 3 4" xfId="38378" xr:uid="{00000000-0005-0000-0000-0000EA950000}"/>
    <cellStyle name="Notas 2 4" xfId="38379" xr:uid="{00000000-0005-0000-0000-0000EB950000}"/>
    <cellStyle name="Notas 2 4 2" xfId="38380" xr:uid="{00000000-0005-0000-0000-0000EC950000}"/>
    <cellStyle name="Notas 2 4 2 2" xfId="38381" xr:uid="{00000000-0005-0000-0000-0000ED950000}"/>
    <cellStyle name="Notas 2 4 2 3" xfId="38382" xr:uid="{00000000-0005-0000-0000-0000EE950000}"/>
    <cellStyle name="Notas 2 4 3" xfId="38383" xr:uid="{00000000-0005-0000-0000-0000EF950000}"/>
    <cellStyle name="Notas 2 4 4" xfId="38384" xr:uid="{00000000-0005-0000-0000-0000F0950000}"/>
    <cellStyle name="Notas 2 5" xfId="38385" xr:uid="{00000000-0005-0000-0000-0000F1950000}"/>
    <cellStyle name="Notas 2 5 2" xfId="38386" xr:uid="{00000000-0005-0000-0000-0000F2950000}"/>
    <cellStyle name="Notas 2 5 2 2" xfId="38387" xr:uid="{00000000-0005-0000-0000-0000F3950000}"/>
    <cellStyle name="Notas 2 5 2 3" xfId="38388" xr:uid="{00000000-0005-0000-0000-0000F4950000}"/>
    <cellStyle name="Notas 2 5 3" xfId="38389" xr:uid="{00000000-0005-0000-0000-0000F5950000}"/>
    <cellStyle name="Notas 2 5 4" xfId="38390" xr:uid="{00000000-0005-0000-0000-0000F6950000}"/>
    <cellStyle name="Notas 2 6" xfId="38391" xr:uid="{00000000-0005-0000-0000-0000F7950000}"/>
    <cellStyle name="Notas 2 6 2" xfId="38392" xr:uid="{00000000-0005-0000-0000-0000F8950000}"/>
    <cellStyle name="Notas 2 6 3" xfId="38393" xr:uid="{00000000-0005-0000-0000-0000F9950000}"/>
    <cellStyle name="Notas 2 7" xfId="38394" xr:uid="{00000000-0005-0000-0000-0000FA950000}"/>
    <cellStyle name="Notas 2 8" xfId="38395" xr:uid="{00000000-0005-0000-0000-0000FB950000}"/>
    <cellStyle name="Notas 3" xfId="38396" xr:uid="{00000000-0005-0000-0000-0000FC950000}"/>
    <cellStyle name="Notas 3 2" xfId="38397" xr:uid="{00000000-0005-0000-0000-0000FD950000}"/>
    <cellStyle name="Notas 3 2 2" xfId="38398" xr:uid="{00000000-0005-0000-0000-0000FE950000}"/>
    <cellStyle name="Notas 3 2 2 2" xfId="38399" xr:uid="{00000000-0005-0000-0000-0000FF950000}"/>
    <cellStyle name="Notas 3 2 2 3" xfId="38400" xr:uid="{00000000-0005-0000-0000-000000960000}"/>
    <cellStyle name="Notas 3 2 3" xfId="38401" xr:uid="{00000000-0005-0000-0000-000001960000}"/>
    <cellStyle name="Notas 3 2 4" xfId="38402" xr:uid="{00000000-0005-0000-0000-000002960000}"/>
    <cellStyle name="Notas 3 2 5" xfId="38403" xr:uid="{00000000-0005-0000-0000-000003960000}"/>
    <cellStyle name="Notas 3 3" xfId="38404" xr:uid="{00000000-0005-0000-0000-000004960000}"/>
    <cellStyle name="Notas 3 3 2" xfId="38405" xr:uid="{00000000-0005-0000-0000-000005960000}"/>
    <cellStyle name="Notas 3 3 3" xfId="38406" xr:uid="{00000000-0005-0000-0000-000006960000}"/>
    <cellStyle name="Notas 3 4" xfId="38407" xr:uid="{00000000-0005-0000-0000-000007960000}"/>
    <cellStyle name="Notas 3 5" xfId="38408" xr:uid="{00000000-0005-0000-0000-000008960000}"/>
    <cellStyle name="Notas 4" xfId="38409" xr:uid="{00000000-0005-0000-0000-000009960000}"/>
    <cellStyle name="Notas 4 2" xfId="38410" xr:uid="{00000000-0005-0000-0000-00000A960000}"/>
    <cellStyle name="Notas 4 2 2" xfId="38411" xr:uid="{00000000-0005-0000-0000-00000B960000}"/>
    <cellStyle name="Notas 4 2 3" xfId="38412" xr:uid="{00000000-0005-0000-0000-00000C960000}"/>
    <cellStyle name="Notas 4 3" xfId="38413" xr:uid="{00000000-0005-0000-0000-00000D960000}"/>
    <cellStyle name="Notas 4 4" xfId="38414" xr:uid="{00000000-0005-0000-0000-00000E960000}"/>
    <cellStyle name="Notas 5" xfId="38415" xr:uid="{00000000-0005-0000-0000-00000F960000}"/>
    <cellStyle name="Notas 5 2" xfId="38416" xr:uid="{00000000-0005-0000-0000-000010960000}"/>
    <cellStyle name="Notas 5 2 2" xfId="38417" xr:uid="{00000000-0005-0000-0000-000011960000}"/>
    <cellStyle name="Notas 5 2 3" xfId="38418" xr:uid="{00000000-0005-0000-0000-000012960000}"/>
    <cellStyle name="Notas 5 3" xfId="38419" xr:uid="{00000000-0005-0000-0000-000013960000}"/>
    <cellStyle name="Notas 5 4" xfId="38420" xr:uid="{00000000-0005-0000-0000-000014960000}"/>
    <cellStyle name="Notas 6" xfId="38421" xr:uid="{00000000-0005-0000-0000-000015960000}"/>
    <cellStyle name="Notas 6 2" xfId="38422" xr:uid="{00000000-0005-0000-0000-000016960000}"/>
    <cellStyle name="Notas 6 2 2" xfId="38423" xr:uid="{00000000-0005-0000-0000-000017960000}"/>
    <cellStyle name="Notas 6 2 3" xfId="38424" xr:uid="{00000000-0005-0000-0000-000018960000}"/>
    <cellStyle name="Notas 6 3" xfId="38425" xr:uid="{00000000-0005-0000-0000-000019960000}"/>
    <cellStyle name="Notas 6 4" xfId="38426" xr:uid="{00000000-0005-0000-0000-00001A960000}"/>
    <cellStyle name="Notas 7" xfId="38427" xr:uid="{00000000-0005-0000-0000-00001B960000}"/>
    <cellStyle name="Notas 7 2" xfId="38428" xr:uid="{00000000-0005-0000-0000-00001C960000}"/>
    <cellStyle name="Notas 7 2 2" xfId="38429" xr:uid="{00000000-0005-0000-0000-00001D960000}"/>
    <cellStyle name="Notas 7 2 3" xfId="38430" xr:uid="{00000000-0005-0000-0000-00001E960000}"/>
    <cellStyle name="Notas 7 3" xfId="38431" xr:uid="{00000000-0005-0000-0000-00001F960000}"/>
    <cellStyle name="Notas 7 4" xfId="38432" xr:uid="{00000000-0005-0000-0000-000020960000}"/>
    <cellStyle name="Notas 8" xfId="38433" xr:uid="{00000000-0005-0000-0000-000021960000}"/>
    <cellStyle name="Notas 8 2" xfId="38434" xr:uid="{00000000-0005-0000-0000-000022960000}"/>
    <cellStyle name="Notas 8 2 2" xfId="38435" xr:uid="{00000000-0005-0000-0000-000023960000}"/>
    <cellStyle name="Notas 8 2 3" xfId="38436" xr:uid="{00000000-0005-0000-0000-000024960000}"/>
    <cellStyle name="Notas 8 3" xfId="38437" xr:uid="{00000000-0005-0000-0000-000025960000}"/>
    <cellStyle name="Notas 8 4" xfId="38438" xr:uid="{00000000-0005-0000-0000-000026960000}"/>
    <cellStyle name="Notas 9" xfId="38439" xr:uid="{00000000-0005-0000-0000-000027960000}"/>
    <cellStyle name="Notas 9 2" xfId="38440" xr:uid="{00000000-0005-0000-0000-000028960000}"/>
    <cellStyle name="Notas 9 2 2" xfId="38441" xr:uid="{00000000-0005-0000-0000-000029960000}"/>
    <cellStyle name="Notas 9 2 3" xfId="38442" xr:uid="{00000000-0005-0000-0000-00002A960000}"/>
    <cellStyle name="Notas 9 3" xfId="38443" xr:uid="{00000000-0005-0000-0000-00002B960000}"/>
    <cellStyle name="Notas 9 4" xfId="38444" xr:uid="{00000000-0005-0000-0000-00002C960000}"/>
    <cellStyle name="Note" xfId="38445" xr:uid="{00000000-0005-0000-0000-00002D960000}"/>
    <cellStyle name="Note 10" xfId="38446" xr:uid="{00000000-0005-0000-0000-00002E960000}"/>
    <cellStyle name="Note 11" xfId="38447" xr:uid="{00000000-0005-0000-0000-00002F960000}"/>
    <cellStyle name="Note 2" xfId="38448" xr:uid="{00000000-0005-0000-0000-000030960000}"/>
    <cellStyle name="Note 2 2" xfId="38449" xr:uid="{00000000-0005-0000-0000-000031960000}"/>
    <cellStyle name="Note 2 2 2" xfId="38450" xr:uid="{00000000-0005-0000-0000-000032960000}"/>
    <cellStyle name="Note 2 2 2 2" xfId="38451" xr:uid="{00000000-0005-0000-0000-000033960000}"/>
    <cellStyle name="Note 2 2 2 3" xfId="38452" xr:uid="{00000000-0005-0000-0000-000034960000}"/>
    <cellStyle name="Note 2 2 3" xfId="38453" xr:uid="{00000000-0005-0000-0000-000035960000}"/>
    <cellStyle name="Note 2 2 4" xfId="38454" xr:uid="{00000000-0005-0000-0000-000036960000}"/>
    <cellStyle name="Note 2 3" xfId="38455" xr:uid="{00000000-0005-0000-0000-000037960000}"/>
    <cellStyle name="Note 2 3 2" xfId="38456" xr:uid="{00000000-0005-0000-0000-000038960000}"/>
    <cellStyle name="Note 2 3 2 2" xfId="38457" xr:uid="{00000000-0005-0000-0000-000039960000}"/>
    <cellStyle name="Note 2 3 2 3" xfId="38458" xr:uid="{00000000-0005-0000-0000-00003A960000}"/>
    <cellStyle name="Note 2 3 3" xfId="38459" xr:uid="{00000000-0005-0000-0000-00003B960000}"/>
    <cellStyle name="Note 2 3 4" xfId="38460" xr:uid="{00000000-0005-0000-0000-00003C960000}"/>
    <cellStyle name="Note 2 4" xfId="38461" xr:uid="{00000000-0005-0000-0000-00003D960000}"/>
    <cellStyle name="Note 2 4 2" xfId="38462" xr:uid="{00000000-0005-0000-0000-00003E960000}"/>
    <cellStyle name="Note 2 4 2 2" xfId="38463" xr:uid="{00000000-0005-0000-0000-00003F960000}"/>
    <cellStyle name="Note 2 4 2 3" xfId="38464" xr:uid="{00000000-0005-0000-0000-000040960000}"/>
    <cellStyle name="Note 2 4 3" xfId="38465" xr:uid="{00000000-0005-0000-0000-000041960000}"/>
    <cellStyle name="Note 2 4 4" xfId="38466" xr:uid="{00000000-0005-0000-0000-000042960000}"/>
    <cellStyle name="Note 2 5" xfId="38467" xr:uid="{00000000-0005-0000-0000-000043960000}"/>
    <cellStyle name="Note 2 5 2" xfId="38468" xr:uid="{00000000-0005-0000-0000-000044960000}"/>
    <cellStyle name="Note 2 5 3" xfId="38469" xr:uid="{00000000-0005-0000-0000-000045960000}"/>
    <cellStyle name="Note 2 6" xfId="38470" xr:uid="{00000000-0005-0000-0000-000046960000}"/>
    <cellStyle name="Note 2 7" xfId="38471" xr:uid="{00000000-0005-0000-0000-000047960000}"/>
    <cellStyle name="Note 3" xfId="38472" xr:uid="{00000000-0005-0000-0000-000048960000}"/>
    <cellStyle name="Note 3 2" xfId="38473" xr:uid="{00000000-0005-0000-0000-000049960000}"/>
    <cellStyle name="Note 3 2 2" xfId="38474" xr:uid="{00000000-0005-0000-0000-00004A960000}"/>
    <cellStyle name="Note 3 2 2 2" xfId="38475" xr:uid="{00000000-0005-0000-0000-00004B960000}"/>
    <cellStyle name="Note 3 2 2 3" xfId="38476" xr:uid="{00000000-0005-0000-0000-00004C960000}"/>
    <cellStyle name="Note 3 2 3" xfId="38477" xr:uid="{00000000-0005-0000-0000-00004D960000}"/>
    <cellStyle name="Note 3 2 4" xfId="38478" xr:uid="{00000000-0005-0000-0000-00004E960000}"/>
    <cellStyle name="Note 3 3" xfId="38479" xr:uid="{00000000-0005-0000-0000-00004F960000}"/>
    <cellStyle name="Note 3 3 2" xfId="38480" xr:uid="{00000000-0005-0000-0000-000050960000}"/>
    <cellStyle name="Note 3 3 2 2" xfId="38481" xr:uid="{00000000-0005-0000-0000-000051960000}"/>
    <cellStyle name="Note 3 3 2 3" xfId="38482" xr:uid="{00000000-0005-0000-0000-000052960000}"/>
    <cellStyle name="Note 3 3 3" xfId="38483" xr:uid="{00000000-0005-0000-0000-000053960000}"/>
    <cellStyle name="Note 3 3 4" xfId="38484" xr:uid="{00000000-0005-0000-0000-000054960000}"/>
    <cellStyle name="Note 3 4" xfId="38485" xr:uid="{00000000-0005-0000-0000-000055960000}"/>
    <cellStyle name="Note 3 4 2" xfId="38486" xr:uid="{00000000-0005-0000-0000-000056960000}"/>
    <cellStyle name="Note 3 4 2 2" xfId="38487" xr:uid="{00000000-0005-0000-0000-000057960000}"/>
    <cellStyle name="Note 3 4 2 3" xfId="38488" xr:uid="{00000000-0005-0000-0000-000058960000}"/>
    <cellStyle name="Note 3 4 3" xfId="38489" xr:uid="{00000000-0005-0000-0000-000059960000}"/>
    <cellStyle name="Note 3 4 4" xfId="38490" xr:uid="{00000000-0005-0000-0000-00005A960000}"/>
    <cellStyle name="Note 3 5" xfId="38491" xr:uid="{00000000-0005-0000-0000-00005B960000}"/>
    <cellStyle name="Note 3 5 2" xfId="38492" xr:uid="{00000000-0005-0000-0000-00005C960000}"/>
    <cellStyle name="Note 3 5 3" xfId="38493" xr:uid="{00000000-0005-0000-0000-00005D960000}"/>
    <cellStyle name="Note 3 6" xfId="38494" xr:uid="{00000000-0005-0000-0000-00005E960000}"/>
    <cellStyle name="Note 3 7" xfId="38495" xr:uid="{00000000-0005-0000-0000-00005F960000}"/>
    <cellStyle name="Note 4" xfId="38496" xr:uid="{00000000-0005-0000-0000-000060960000}"/>
    <cellStyle name="Note 4 2" xfId="38497" xr:uid="{00000000-0005-0000-0000-000061960000}"/>
    <cellStyle name="Note 4 2 2" xfId="38498" xr:uid="{00000000-0005-0000-0000-000062960000}"/>
    <cellStyle name="Note 4 2 2 2" xfId="38499" xr:uid="{00000000-0005-0000-0000-000063960000}"/>
    <cellStyle name="Note 4 2 2 3" xfId="38500" xr:uid="{00000000-0005-0000-0000-000064960000}"/>
    <cellStyle name="Note 4 2 3" xfId="38501" xr:uid="{00000000-0005-0000-0000-000065960000}"/>
    <cellStyle name="Note 4 2 4" xfId="38502" xr:uid="{00000000-0005-0000-0000-000066960000}"/>
    <cellStyle name="Note 4 3" xfId="38503" xr:uid="{00000000-0005-0000-0000-000067960000}"/>
    <cellStyle name="Note 4 3 2" xfId="38504" xr:uid="{00000000-0005-0000-0000-000068960000}"/>
    <cellStyle name="Note 4 3 2 2" xfId="38505" xr:uid="{00000000-0005-0000-0000-000069960000}"/>
    <cellStyle name="Note 4 3 2 3" xfId="38506" xr:uid="{00000000-0005-0000-0000-00006A960000}"/>
    <cellStyle name="Note 4 3 3" xfId="38507" xr:uid="{00000000-0005-0000-0000-00006B960000}"/>
    <cellStyle name="Note 4 3 4" xfId="38508" xr:uid="{00000000-0005-0000-0000-00006C960000}"/>
    <cellStyle name="Note 4 4" xfId="38509" xr:uid="{00000000-0005-0000-0000-00006D960000}"/>
    <cellStyle name="Note 4 4 2" xfId="38510" xr:uid="{00000000-0005-0000-0000-00006E960000}"/>
    <cellStyle name="Note 4 4 2 2" xfId="38511" xr:uid="{00000000-0005-0000-0000-00006F960000}"/>
    <cellStyle name="Note 4 4 2 3" xfId="38512" xr:uid="{00000000-0005-0000-0000-000070960000}"/>
    <cellStyle name="Note 4 4 3" xfId="38513" xr:uid="{00000000-0005-0000-0000-000071960000}"/>
    <cellStyle name="Note 4 4 4" xfId="38514" xr:uid="{00000000-0005-0000-0000-000072960000}"/>
    <cellStyle name="Note 4 5" xfId="38515" xr:uid="{00000000-0005-0000-0000-000073960000}"/>
    <cellStyle name="Note 4 5 2" xfId="38516" xr:uid="{00000000-0005-0000-0000-000074960000}"/>
    <cellStyle name="Note 4 5 3" xfId="38517" xr:uid="{00000000-0005-0000-0000-000075960000}"/>
    <cellStyle name="Note 4 6" xfId="38518" xr:uid="{00000000-0005-0000-0000-000076960000}"/>
    <cellStyle name="Note 4 7" xfId="38519" xr:uid="{00000000-0005-0000-0000-000077960000}"/>
    <cellStyle name="Note 5" xfId="38520" xr:uid="{00000000-0005-0000-0000-000078960000}"/>
    <cellStyle name="Note 5 2" xfId="38521" xr:uid="{00000000-0005-0000-0000-000079960000}"/>
    <cellStyle name="Note 5 2 2" xfId="38522" xr:uid="{00000000-0005-0000-0000-00007A960000}"/>
    <cellStyle name="Note 5 2 2 2" xfId="38523" xr:uid="{00000000-0005-0000-0000-00007B960000}"/>
    <cellStyle name="Note 5 2 2 3" xfId="38524" xr:uid="{00000000-0005-0000-0000-00007C960000}"/>
    <cellStyle name="Note 5 2 3" xfId="38525" xr:uid="{00000000-0005-0000-0000-00007D960000}"/>
    <cellStyle name="Note 5 2 4" xfId="38526" xr:uid="{00000000-0005-0000-0000-00007E960000}"/>
    <cellStyle name="Note 5 3" xfId="38527" xr:uid="{00000000-0005-0000-0000-00007F960000}"/>
    <cellStyle name="Note 5 3 2" xfId="38528" xr:uid="{00000000-0005-0000-0000-000080960000}"/>
    <cellStyle name="Note 5 3 2 2" xfId="38529" xr:uid="{00000000-0005-0000-0000-000081960000}"/>
    <cellStyle name="Note 5 3 2 3" xfId="38530" xr:uid="{00000000-0005-0000-0000-000082960000}"/>
    <cellStyle name="Note 5 3 3" xfId="38531" xr:uid="{00000000-0005-0000-0000-000083960000}"/>
    <cellStyle name="Note 5 3 4" xfId="38532" xr:uid="{00000000-0005-0000-0000-000084960000}"/>
    <cellStyle name="Note 5 4" xfId="38533" xr:uid="{00000000-0005-0000-0000-000085960000}"/>
    <cellStyle name="Note 5 4 2" xfId="38534" xr:uid="{00000000-0005-0000-0000-000086960000}"/>
    <cellStyle name="Note 5 4 2 2" xfId="38535" xr:uid="{00000000-0005-0000-0000-000087960000}"/>
    <cellStyle name="Note 5 4 2 3" xfId="38536" xr:uid="{00000000-0005-0000-0000-000088960000}"/>
    <cellStyle name="Note 5 4 3" xfId="38537" xr:uid="{00000000-0005-0000-0000-000089960000}"/>
    <cellStyle name="Note 5 4 4" xfId="38538" xr:uid="{00000000-0005-0000-0000-00008A960000}"/>
    <cellStyle name="Note 5 5" xfId="38539" xr:uid="{00000000-0005-0000-0000-00008B960000}"/>
    <cellStyle name="Note 5 5 2" xfId="38540" xr:uid="{00000000-0005-0000-0000-00008C960000}"/>
    <cellStyle name="Note 5 5 3" xfId="38541" xr:uid="{00000000-0005-0000-0000-00008D960000}"/>
    <cellStyle name="Note 5 6" xfId="38542" xr:uid="{00000000-0005-0000-0000-00008E960000}"/>
    <cellStyle name="Note 5 7" xfId="38543" xr:uid="{00000000-0005-0000-0000-00008F960000}"/>
    <cellStyle name="Note 6" xfId="38544" xr:uid="{00000000-0005-0000-0000-000090960000}"/>
    <cellStyle name="Note 6 2" xfId="38545" xr:uid="{00000000-0005-0000-0000-000091960000}"/>
    <cellStyle name="Note 6 2 2" xfId="38546" xr:uid="{00000000-0005-0000-0000-000092960000}"/>
    <cellStyle name="Note 6 2 3" xfId="38547" xr:uid="{00000000-0005-0000-0000-000093960000}"/>
    <cellStyle name="Note 6 3" xfId="38548" xr:uid="{00000000-0005-0000-0000-000094960000}"/>
    <cellStyle name="Note 6 4" xfId="38549" xr:uid="{00000000-0005-0000-0000-000095960000}"/>
    <cellStyle name="Note 7" xfId="38550" xr:uid="{00000000-0005-0000-0000-000096960000}"/>
    <cellStyle name="Note 7 2" xfId="38551" xr:uid="{00000000-0005-0000-0000-000097960000}"/>
    <cellStyle name="Note 7 2 2" xfId="38552" xr:uid="{00000000-0005-0000-0000-000098960000}"/>
    <cellStyle name="Note 7 2 3" xfId="38553" xr:uid="{00000000-0005-0000-0000-000099960000}"/>
    <cellStyle name="Note 7 3" xfId="38554" xr:uid="{00000000-0005-0000-0000-00009A960000}"/>
    <cellStyle name="Note 7 4" xfId="38555" xr:uid="{00000000-0005-0000-0000-00009B960000}"/>
    <cellStyle name="Note 8" xfId="38556" xr:uid="{00000000-0005-0000-0000-00009C960000}"/>
    <cellStyle name="Note 8 2" xfId="38557" xr:uid="{00000000-0005-0000-0000-00009D960000}"/>
    <cellStyle name="Note 8 2 2" xfId="38558" xr:uid="{00000000-0005-0000-0000-00009E960000}"/>
    <cellStyle name="Note 8 2 3" xfId="38559" xr:uid="{00000000-0005-0000-0000-00009F960000}"/>
    <cellStyle name="Note 8 3" xfId="38560" xr:uid="{00000000-0005-0000-0000-0000A0960000}"/>
    <cellStyle name="Note 8 4" xfId="38561" xr:uid="{00000000-0005-0000-0000-0000A1960000}"/>
    <cellStyle name="Note 9" xfId="38562" xr:uid="{00000000-0005-0000-0000-0000A2960000}"/>
    <cellStyle name="Note 9 2" xfId="38563" xr:uid="{00000000-0005-0000-0000-0000A3960000}"/>
    <cellStyle name="Note 9 3" xfId="38564" xr:uid="{00000000-0005-0000-0000-0000A4960000}"/>
    <cellStyle name="Output" xfId="38565" xr:uid="{00000000-0005-0000-0000-0000A5960000}"/>
    <cellStyle name="Output 2" xfId="38566" xr:uid="{00000000-0005-0000-0000-0000A6960000}"/>
    <cellStyle name="Output 2 2" xfId="38567" xr:uid="{00000000-0005-0000-0000-0000A7960000}"/>
    <cellStyle name="Output 2 2 2" xfId="38568" xr:uid="{00000000-0005-0000-0000-0000A8960000}"/>
    <cellStyle name="Output 2 2 3" xfId="38569" xr:uid="{00000000-0005-0000-0000-0000A9960000}"/>
    <cellStyle name="Output 2 3" xfId="38570" xr:uid="{00000000-0005-0000-0000-0000AA960000}"/>
    <cellStyle name="Output 2 4" xfId="38571" xr:uid="{00000000-0005-0000-0000-0000AB960000}"/>
    <cellStyle name="Output 3" xfId="38572" xr:uid="{00000000-0005-0000-0000-0000AC960000}"/>
    <cellStyle name="Output 3 2" xfId="38573" xr:uid="{00000000-0005-0000-0000-0000AD960000}"/>
    <cellStyle name="Output 3 2 2" xfId="38574" xr:uid="{00000000-0005-0000-0000-0000AE960000}"/>
    <cellStyle name="Output 3 2 3" xfId="38575" xr:uid="{00000000-0005-0000-0000-0000AF960000}"/>
    <cellStyle name="Output 3 3" xfId="38576" xr:uid="{00000000-0005-0000-0000-0000B0960000}"/>
    <cellStyle name="Output 3 4" xfId="38577" xr:uid="{00000000-0005-0000-0000-0000B1960000}"/>
    <cellStyle name="Output 4" xfId="38578" xr:uid="{00000000-0005-0000-0000-0000B2960000}"/>
    <cellStyle name="Output 4 2" xfId="38579" xr:uid="{00000000-0005-0000-0000-0000B3960000}"/>
    <cellStyle name="Output 4 2 2" xfId="38580" xr:uid="{00000000-0005-0000-0000-0000B4960000}"/>
    <cellStyle name="Output 4 2 3" xfId="38581" xr:uid="{00000000-0005-0000-0000-0000B5960000}"/>
    <cellStyle name="Output 4 3" xfId="38582" xr:uid="{00000000-0005-0000-0000-0000B6960000}"/>
    <cellStyle name="Output 4 4" xfId="38583" xr:uid="{00000000-0005-0000-0000-0000B7960000}"/>
    <cellStyle name="Output 5" xfId="38584" xr:uid="{00000000-0005-0000-0000-0000B8960000}"/>
    <cellStyle name="Output 5 2" xfId="38585" xr:uid="{00000000-0005-0000-0000-0000B9960000}"/>
    <cellStyle name="Output 5 2 2" xfId="38586" xr:uid="{00000000-0005-0000-0000-0000BA960000}"/>
    <cellStyle name="Output 5 2 3" xfId="38587" xr:uid="{00000000-0005-0000-0000-0000BB960000}"/>
    <cellStyle name="Output 5 3" xfId="38588" xr:uid="{00000000-0005-0000-0000-0000BC960000}"/>
    <cellStyle name="Output 5 4" xfId="38589" xr:uid="{00000000-0005-0000-0000-0000BD960000}"/>
    <cellStyle name="Output 6" xfId="38590" xr:uid="{00000000-0005-0000-0000-0000BE960000}"/>
    <cellStyle name="Output 6 2" xfId="38591" xr:uid="{00000000-0005-0000-0000-0000BF960000}"/>
    <cellStyle name="Output 6 3" xfId="38592" xr:uid="{00000000-0005-0000-0000-0000C0960000}"/>
    <cellStyle name="Output 7" xfId="38593" xr:uid="{00000000-0005-0000-0000-0000C1960000}"/>
    <cellStyle name="Output 8" xfId="38594" xr:uid="{00000000-0005-0000-0000-0000C2960000}"/>
    <cellStyle name="Porcentaje 2" xfId="38595" xr:uid="{00000000-0005-0000-0000-0000C3960000}"/>
    <cellStyle name="Porcentual 2" xfId="38596" xr:uid="{00000000-0005-0000-0000-0000C4960000}"/>
    <cellStyle name="Porcentual 2 2" xfId="38597" xr:uid="{00000000-0005-0000-0000-0000C5960000}"/>
    <cellStyle name="Porcentual 2 2 2" xfId="38598" xr:uid="{00000000-0005-0000-0000-0000C6960000}"/>
    <cellStyle name="Porcentual 2 2 2 2" xfId="38599" xr:uid="{00000000-0005-0000-0000-0000C7960000}"/>
    <cellStyle name="Porcentual 2 2 2 3" xfId="38600" xr:uid="{00000000-0005-0000-0000-0000C8960000}"/>
    <cellStyle name="Porcentual 2 2 3" xfId="38601" xr:uid="{00000000-0005-0000-0000-0000C9960000}"/>
    <cellStyle name="Porcentual 2 2 4" xfId="38602" xr:uid="{00000000-0005-0000-0000-0000CA960000}"/>
    <cellStyle name="Porcentual 2 3" xfId="38603" xr:uid="{00000000-0005-0000-0000-0000CB960000}"/>
    <cellStyle name="Porcentual 2 3 2" xfId="38604" xr:uid="{00000000-0005-0000-0000-0000CC960000}"/>
    <cellStyle name="Porcentual 2 3 2 2" xfId="38605" xr:uid="{00000000-0005-0000-0000-0000CD960000}"/>
    <cellStyle name="Porcentual 2 3 2 3" xfId="38606" xr:uid="{00000000-0005-0000-0000-0000CE960000}"/>
    <cellStyle name="Porcentual 2 3 3" xfId="38607" xr:uid="{00000000-0005-0000-0000-0000CF960000}"/>
    <cellStyle name="Porcentual 2 3 4" xfId="38608" xr:uid="{00000000-0005-0000-0000-0000D0960000}"/>
    <cellStyle name="Porcentual 2 4" xfId="38609" xr:uid="{00000000-0005-0000-0000-0000D1960000}"/>
    <cellStyle name="Porcentual 2 4 2" xfId="38610" xr:uid="{00000000-0005-0000-0000-0000D2960000}"/>
    <cellStyle name="Porcentual 2 4 2 2" xfId="38611" xr:uid="{00000000-0005-0000-0000-0000D3960000}"/>
    <cellStyle name="Porcentual 2 4 2 3" xfId="38612" xr:uid="{00000000-0005-0000-0000-0000D4960000}"/>
    <cellStyle name="Porcentual 2 4 3" xfId="38613" xr:uid="{00000000-0005-0000-0000-0000D5960000}"/>
    <cellStyle name="Porcentual 2 4 4" xfId="38614" xr:uid="{00000000-0005-0000-0000-0000D6960000}"/>
    <cellStyle name="Porcentual 2 5" xfId="38615" xr:uid="{00000000-0005-0000-0000-0000D7960000}"/>
    <cellStyle name="Porcentual 2 5 2" xfId="38616" xr:uid="{00000000-0005-0000-0000-0000D8960000}"/>
    <cellStyle name="Porcentual 2 5 2 2" xfId="38617" xr:uid="{00000000-0005-0000-0000-0000D9960000}"/>
    <cellStyle name="Porcentual 2 5 2 3" xfId="38618" xr:uid="{00000000-0005-0000-0000-0000DA960000}"/>
    <cellStyle name="Porcentual 2 5 3" xfId="38619" xr:uid="{00000000-0005-0000-0000-0000DB960000}"/>
    <cellStyle name="Porcentual 2 5 4" xfId="38620" xr:uid="{00000000-0005-0000-0000-0000DC960000}"/>
    <cellStyle name="Salida 10" xfId="38621" xr:uid="{00000000-0005-0000-0000-0000DD960000}"/>
    <cellStyle name="Salida 11" xfId="38622" xr:uid="{00000000-0005-0000-0000-0000DE960000}"/>
    <cellStyle name="Salida 2" xfId="38623" xr:uid="{00000000-0005-0000-0000-0000DF960000}"/>
    <cellStyle name="Salida 2 2" xfId="38624" xr:uid="{00000000-0005-0000-0000-0000E0960000}"/>
    <cellStyle name="Salida 2 2 2" xfId="38625" xr:uid="{00000000-0005-0000-0000-0000E1960000}"/>
    <cellStyle name="Salida 2 2 3" xfId="38626" xr:uid="{00000000-0005-0000-0000-0000E2960000}"/>
    <cellStyle name="Salida 2 2 4" xfId="38627" xr:uid="{00000000-0005-0000-0000-0000E3960000}"/>
    <cellStyle name="Salida 2 3" xfId="38628" xr:uid="{00000000-0005-0000-0000-0000E4960000}"/>
    <cellStyle name="Salida 2 4" xfId="38629" xr:uid="{00000000-0005-0000-0000-0000E5960000}"/>
    <cellStyle name="Salida 3" xfId="38630" xr:uid="{00000000-0005-0000-0000-0000E6960000}"/>
    <cellStyle name="Salida 3 2" xfId="38631" xr:uid="{00000000-0005-0000-0000-0000E7960000}"/>
    <cellStyle name="Salida 3 2 2" xfId="38632" xr:uid="{00000000-0005-0000-0000-0000E8960000}"/>
    <cellStyle name="Salida 3 2 3" xfId="38633" xr:uid="{00000000-0005-0000-0000-0000E9960000}"/>
    <cellStyle name="Salida 3 3" xfId="38634" xr:uid="{00000000-0005-0000-0000-0000EA960000}"/>
    <cellStyle name="Salida 3 4" xfId="38635" xr:uid="{00000000-0005-0000-0000-0000EB960000}"/>
    <cellStyle name="Salida 4" xfId="38636" xr:uid="{00000000-0005-0000-0000-0000EC960000}"/>
    <cellStyle name="Salida 4 2" xfId="38637" xr:uid="{00000000-0005-0000-0000-0000ED960000}"/>
    <cellStyle name="Salida 4 2 2" xfId="38638" xr:uid="{00000000-0005-0000-0000-0000EE960000}"/>
    <cellStyle name="Salida 4 2 3" xfId="38639" xr:uid="{00000000-0005-0000-0000-0000EF960000}"/>
    <cellStyle name="Salida 4 3" xfId="38640" xr:uid="{00000000-0005-0000-0000-0000F0960000}"/>
    <cellStyle name="Salida 4 4" xfId="38641" xr:uid="{00000000-0005-0000-0000-0000F1960000}"/>
    <cellStyle name="Salida 5" xfId="38642" xr:uid="{00000000-0005-0000-0000-0000F2960000}"/>
    <cellStyle name="Salida 5 2" xfId="38643" xr:uid="{00000000-0005-0000-0000-0000F3960000}"/>
    <cellStyle name="Salida 5 2 2" xfId="38644" xr:uid="{00000000-0005-0000-0000-0000F4960000}"/>
    <cellStyle name="Salida 5 2 3" xfId="38645" xr:uid="{00000000-0005-0000-0000-0000F5960000}"/>
    <cellStyle name="Salida 5 3" xfId="38646" xr:uid="{00000000-0005-0000-0000-0000F6960000}"/>
    <cellStyle name="Salida 5 4" xfId="38647" xr:uid="{00000000-0005-0000-0000-0000F7960000}"/>
    <cellStyle name="Salida 6" xfId="38648" xr:uid="{00000000-0005-0000-0000-0000F8960000}"/>
    <cellStyle name="Salida 6 2" xfId="38649" xr:uid="{00000000-0005-0000-0000-0000F9960000}"/>
    <cellStyle name="Salida 6 2 2" xfId="38650" xr:uid="{00000000-0005-0000-0000-0000FA960000}"/>
    <cellStyle name="Salida 6 2 3" xfId="38651" xr:uid="{00000000-0005-0000-0000-0000FB960000}"/>
    <cellStyle name="Salida 6 3" xfId="38652" xr:uid="{00000000-0005-0000-0000-0000FC960000}"/>
    <cellStyle name="Salida 6 4" xfId="38653" xr:uid="{00000000-0005-0000-0000-0000FD960000}"/>
    <cellStyle name="Salida 7" xfId="38654" xr:uid="{00000000-0005-0000-0000-0000FE960000}"/>
    <cellStyle name="Salida 7 2" xfId="38655" xr:uid="{00000000-0005-0000-0000-0000FF960000}"/>
    <cellStyle name="Salida 7 2 2" xfId="38656" xr:uid="{00000000-0005-0000-0000-000000970000}"/>
    <cellStyle name="Salida 7 2 3" xfId="38657" xr:uid="{00000000-0005-0000-0000-000001970000}"/>
    <cellStyle name="Salida 7 3" xfId="38658" xr:uid="{00000000-0005-0000-0000-000002970000}"/>
    <cellStyle name="Salida 7 4" xfId="38659" xr:uid="{00000000-0005-0000-0000-000003970000}"/>
    <cellStyle name="Salida 8" xfId="38660" xr:uid="{00000000-0005-0000-0000-000004970000}"/>
    <cellStyle name="Salida 8 2" xfId="38661" xr:uid="{00000000-0005-0000-0000-000005970000}"/>
    <cellStyle name="Salida 8 2 2" xfId="38662" xr:uid="{00000000-0005-0000-0000-000006970000}"/>
    <cellStyle name="Salida 8 2 3" xfId="38663" xr:uid="{00000000-0005-0000-0000-000007970000}"/>
    <cellStyle name="Salida 8 3" xfId="38664" xr:uid="{00000000-0005-0000-0000-000008970000}"/>
    <cellStyle name="Salida 8 4" xfId="38665" xr:uid="{00000000-0005-0000-0000-000009970000}"/>
    <cellStyle name="Salida 9" xfId="38666" xr:uid="{00000000-0005-0000-0000-00000A970000}"/>
    <cellStyle name="Salida 9 2" xfId="38667" xr:uid="{00000000-0005-0000-0000-00000B970000}"/>
    <cellStyle name="Salida 9 3" xfId="38668" xr:uid="{00000000-0005-0000-0000-00000C970000}"/>
    <cellStyle name="TableStyleLight1" xfId="38669" xr:uid="{00000000-0005-0000-0000-00000D970000}"/>
    <cellStyle name="TableStyleLight1 2" xfId="38670" xr:uid="{00000000-0005-0000-0000-00000E970000}"/>
    <cellStyle name="TableStyleLight1 2 2" xfId="38671" xr:uid="{00000000-0005-0000-0000-00000F970000}"/>
    <cellStyle name="TableStyleLight1 2 3" xfId="38672" xr:uid="{00000000-0005-0000-0000-000010970000}"/>
    <cellStyle name="TableStyleLight1 3" xfId="38673" xr:uid="{00000000-0005-0000-0000-000011970000}"/>
    <cellStyle name="TableStyleLight1 4" xfId="38674" xr:uid="{00000000-0005-0000-0000-000012970000}"/>
    <cellStyle name="Texto de advertencia 10" xfId="38675" xr:uid="{00000000-0005-0000-0000-000013970000}"/>
    <cellStyle name="Texto de advertencia 10 2" xfId="38676" xr:uid="{00000000-0005-0000-0000-000014970000}"/>
    <cellStyle name="Texto de advertencia 10 3" xfId="38677" xr:uid="{00000000-0005-0000-0000-000015970000}"/>
    <cellStyle name="Texto de advertencia 11" xfId="38678" xr:uid="{00000000-0005-0000-0000-000016970000}"/>
    <cellStyle name="Texto de advertencia 12" xfId="38679" xr:uid="{00000000-0005-0000-0000-000017970000}"/>
    <cellStyle name="Texto de advertencia 2" xfId="38680" xr:uid="{00000000-0005-0000-0000-000018970000}"/>
    <cellStyle name="Texto de advertencia 2 2" xfId="38681" xr:uid="{00000000-0005-0000-0000-000019970000}"/>
    <cellStyle name="Texto de advertencia 2 2 2" xfId="38682" xr:uid="{00000000-0005-0000-0000-00001A970000}"/>
    <cellStyle name="Texto de advertencia 2 2 2 2" xfId="38683" xr:uid="{00000000-0005-0000-0000-00001B970000}"/>
    <cellStyle name="Texto de advertencia 2 2 2 2 2" xfId="38684" xr:uid="{00000000-0005-0000-0000-00001C970000}"/>
    <cellStyle name="Texto de advertencia 2 2 2 2 2 2" xfId="38685" xr:uid="{00000000-0005-0000-0000-00001D970000}"/>
    <cellStyle name="Texto de advertencia 2 2 2 2 2 2 2" xfId="38686" xr:uid="{00000000-0005-0000-0000-00001E970000}"/>
    <cellStyle name="Texto de advertencia 2 2 2 2 2 2 3" xfId="38687" xr:uid="{00000000-0005-0000-0000-00001F970000}"/>
    <cellStyle name="Texto de advertencia 2 2 2 2 2 3" xfId="38688" xr:uid="{00000000-0005-0000-0000-000020970000}"/>
    <cellStyle name="Texto de advertencia 2 2 2 2 2 4" xfId="38689" xr:uid="{00000000-0005-0000-0000-000021970000}"/>
    <cellStyle name="Texto de advertencia 2 2 2 2 3" xfId="38690" xr:uid="{00000000-0005-0000-0000-000022970000}"/>
    <cellStyle name="Texto de advertencia 2 2 2 2 3 2" xfId="38691" xr:uid="{00000000-0005-0000-0000-000023970000}"/>
    <cellStyle name="Texto de advertencia 2 2 2 2 3 3" xfId="38692" xr:uid="{00000000-0005-0000-0000-000024970000}"/>
    <cellStyle name="Texto de advertencia 2 2 2 2 4" xfId="38693" xr:uid="{00000000-0005-0000-0000-000025970000}"/>
    <cellStyle name="Texto de advertencia 2 2 2 2 5" xfId="38694" xr:uid="{00000000-0005-0000-0000-000026970000}"/>
    <cellStyle name="Texto de advertencia 2 2 2 3" xfId="38695" xr:uid="{00000000-0005-0000-0000-000027970000}"/>
    <cellStyle name="Texto de advertencia 2 2 2 3 2" xfId="38696" xr:uid="{00000000-0005-0000-0000-000028970000}"/>
    <cellStyle name="Texto de advertencia 2 2 2 3 3" xfId="38697" xr:uid="{00000000-0005-0000-0000-000029970000}"/>
    <cellStyle name="Texto de advertencia 2 2 2 4" xfId="38698" xr:uid="{00000000-0005-0000-0000-00002A970000}"/>
    <cellStyle name="Texto de advertencia 2 2 2 5" xfId="38699" xr:uid="{00000000-0005-0000-0000-00002B970000}"/>
    <cellStyle name="Texto de advertencia 2 2 3" xfId="38700" xr:uid="{00000000-0005-0000-0000-00002C970000}"/>
    <cellStyle name="Texto de advertencia 2 2 3 2" xfId="38701" xr:uid="{00000000-0005-0000-0000-00002D970000}"/>
    <cellStyle name="Texto de advertencia 2 2 3 2 2" xfId="38702" xr:uid="{00000000-0005-0000-0000-00002E970000}"/>
    <cellStyle name="Texto de advertencia 2 2 3 2 3" xfId="38703" xr:uid="{00000000-0005-0000-0000-00002F970000}"/>
    <cellStyle name="Texto de advertencia 2 2 3 3" xfId="38704" xr:uid="{00000000-0005-0000-0000-000030970000}"/>
    <cellStyle name="Texto de advertencia 2 2 3 4" xfId="38705" xr:uid="{00000000-0005-0000-0000-000031970000}"/>
    <cellStyle name="Texto de advertencia 2 2 4" xfId="38706" xr:uid="{00000000-0005-0000-0000-000032970000}"/>
    <cellStyle name="Texto de advertencia 2 2 4 2" xfId="38707" xr:uid="{00000000-0005-0000-0000-000033970000}"/>
    <cellStyle name="Texto de advertencia 2 2 4 2 2" xfId="38708" xr:uid="{00000000-0005-0000-0000-000034970000}"/>
    <cellStyle name="Texto de advertencia 2 2 4 2 3" xfId="38709" xr:uid="{00000000-0005-0000-0000-000035970000}"/>
    <cellStyle name="Texto de advertencia 2 2 4 3" xfId="38710" xr:uid="{00000000-0005-0000-0000-000036970000}"/>
    <cellStyle name="Texto de advertencia 2 2 4 4" xfId="38711" xr:uid="{00000000-0005-0000-0000-000037970000}"/>
    <cellStyle name="Texto de advertencia 2 2 5" xfId="38712" xr:uid="{00000000-0005-0000-0000-000038970000}"/>
    <cellStyle name="Texto de advertencia 2 2 5 2" xfId="38713" xr:uid="{00000000-0005-0000-0000-000039970000}"/>
    <cellStyle name="Texto de advertencia 2 2 5 3" xfId="38714" xr:uid="{00000000-0005-0000-0000-00003A970000}"/>
    <cellStyle name="Texto de advertencia 2 2 6" xfId="38715" xr:uid="{00000000-0005-0000-0000-00003B970000}"/>
    <cellStyle name="Texto de advertencia 2 2 7" xfId="38716" xr:uid="{00000000-0005-0000-0000-00003C970000}"/>
    <cellStyle name="Texto de advertencia 2 3" xfId="38717" xr:uid="{00000000-0005-0000-0000-00003D970000}"/>
    <cellStyle name="Texto de advertencia 2 3 2" xfId="38718" xr:uid="{00000000-0005-0000-0000-00003E970000}"/>
    <cellStyle name="Texto de advertencia 2 3 2 2" xfId="38719" xr:uid="{00000000-0005-0000-0000-00003F970000}"/>
    <cellStyle name="Texto de advertencia 2 3 2 3" xfId="38720" xr:uid="{00000000-0005-0000-0000-000040970000}"/>
    <cellStyle name="Texto de advertencia 2 3 3" xfId="38721" xr:uid="{00000000-0005-0000-0000-000041970000}"/>
    <cellStyle name="Texto de advertencia 2 3 4" xfId="38722" xr:uid="{00000000-0005-0000-0000-000042970000}"/>
    <cellStyle name="Texto de advertencia 2 4" xfId="38723" xr:uid="{00000000-0005-0000-0000-000043970000}"/>
    <cellStyle name="Texto de advertencia 2 4 2" xfId="38724" xr:uid="{00000000-0005-0000-0000-000044970000}"/>
    <cellStyle name="Texto de advertencia 2 4 2 2" xfId="38725" xr:uid="{00000000-0005-0000-0000-000045970000}"/>
    <cellStyle name="Texto de advertencia 2 4 2 3" xfId="38726" xr:uid="{00000000-0005-0000-0000-000046970000}"/>
    <cellStyle name="Texto de advertencia 2 4 3" xfId="38727" xr:uid="{00000000-0005-0000-0000-000047970000}"/>
    <cellStyle name="Texto de advertencia 2 4 4" xfId="38728" xr:uid="{00000000-0005-0000-0000-000048970000}"/>
    <cellStyle name="Texto de advertencia 2 5" xfId="38729" xr:uid="{00000000-0005-0000-0000-000049970000}"/>
    <cellStyle name="Texto de advertencia 2 5 2" xfId="38730" xr:uid="{00000000-0005-0000-0000-00004A970000}"/>
    <cellStyle name="Texto de advertencia 2 5 3" xfId="38731" xr:uid="{00000000-0005-0000-0000-00004B970000}"/>
    <cellStyle name="Texto de advertencia 2 6" xfId="38732" xr:uid="{00000000-0005-0000-0000-00004C970000}"/>
    <cellStyle name="Texto de advertencia 2 7" xfId="38733" xr:uid="{00000000-0005-0000-0000-00004D970000}"/>
    <cellStyle name="Texto de advertencia 3" xfId="38734" xr:uid="{00000000-0005-0000-0000-00004E970000}"/>
    <cellStyle name="Texto de advertencia 3 2" xfId="38735" xr:uid="{00000000-0005-0000-0000-00004F970000}"/>
    <cellStyle name="Texto de advertencia 3 2 2" xfId="38736" xr:uid="{00000000-0005-0000-0000-000050970000}"/>
    <cellStyle name="Texto de advertencia 3 2 3" xfId="38737" xr:uid="{00000000-0005-0000-0000-000051970000}"/>
    <cellStyle name="Texto de advertencia 3 3" xfId="38738" xr:uid="{00000000-0005-0000-0000-000052970000}"/>
    <cellStyle name="Texto de advertencia 3 4" xfId="38739" xr:uid="{00000000-0005-0000-0000-000053970000}"/>
    <cellStyle name="Texto de advertencia 4" xfId="38740" xr:uid="{00000000-0005-0000-0000-000054970000}"/>
    <cellStyle name="Texto de advertencia 4 2" xfId="38741" xr:uid="{00000000-0005-0000-0000-000055970000}"/>
    <cellStyle name="Texto de advertencia 4 2 2" xfId="38742" xr:uid="{00000000-0005-0000-0000-000056970000}"/>
    <cellStyle name="Texto de advertencia 4 2 3" xfId="38743" xr:uid="{00000000-0005-0000-0000-000057970000}"/>
    <cellStyle name="Texto de advertencia 4 3" xfId="38744" xr:uid="{00000000-0005-0000-0000-000058970000}"/>
    <cellStyle name="Texto de advertencia 4 4" xfId="38745" xr:uid="{00000000-0005-0000-0000-000059970000}"/>
    <cellStyle name="Texto de advertencia 5" xfId="38746" xr:uid="{00000000-0005-0000-0000-00005A970000}"/>
    <cellStyle name="Texto de advertencia 5 2" xfId="38747" xr:uid="{00000000-0005-0000-0000-00005B970000}"/>
    <cellStyle name="Texto de advertencia 5 2 2" xfId="38748" xr:uid="{00000000-0005-0000-0000-00005C970000}"/>
    <cellStyle name="Texto de advertencia 5 2 3" xfId="38749" xr:uid="{00000000-0005-0000-0000-00005D970000}"/>
    <cellStyle name="Texto de advertencia 5 3" xfId="38750" xr:uid="{00000000-0005-0000-0000-00005E970000}"/>
    <cellStyle name="Texto de advertencia 5 4" xfId="38751" xr:uid="{00000000-0005-0000-0000-00005F970000}"/>
    <cellStyle name="Texto de advertencia 6" xfId="38752" xr:uid="{00000000-0005-0000-0000-000060970000}"/>
    <cellStyle name="Texto de advertencia 6 2" xfId="38753" xr:uid="{00000000-0005-0000-0000-000061970000}"/>
    <cellStyle name="Texto de advertencia 6 2 2" xfId="38754" xr:uid="{00000000-0005-0000-0000-000062970000}"/>
    <cellStyle name="Texto de advertencia 6 2 3" xfId="38755" xr:uid="{00000000-0005-0000-0000-000063970000}"/>
    <cellStyle name="Texto de advertencia 6 3" xfId="38756" xr:uid="{00000000-0005-0000-0000-000064970000}"/>
    <cellStyle name="Texto de advertencia 6 4" xfId="38757" xr:uid="{00000000-0005-0000-0000-000065970000}"/>
    <cellStyle name="Texto de advertencia 7" xfId="38758" xr:uid="{00000000-0005-0000-0000-000066970000}"/>
    <cellStyle name="Texto de advertencia 7 2" xfId="38759" xr:uid="{00000000-0005-0000-0000-000067970000}"/>
    <cellStyle name="Texto de advertencia 7 2 2" xfId="38760" xr:uid="{00000000-0005-0000-0000-000068970000}"/>
    <cellStyle name="Texto de advertencia 7 2 3" xfId="38761" xr:uid="{00000000-0005-0000-0000-000069970000}"/>
    <cellStyle name="Texto de advertencia 7 3" xfId="38762" xr:uid="{00000000-0005-0000-0000-00006A970000}"/>
    <cellStyle name="Texto de advertencia 7 4" xfId="38763" xr:uid="{00000000-0005-0000-0000-00006B970000}"/>
    <cellStyle name="Texto de advertencia 8" xfId="38764" xr:uid="{00000000-0005-0000-0000-00006C970000}"/>
    <cellStyle name="Texto de advertencia 8 2" xfId="38765" xr:uid="{00000000-0005-0000-0000-00006D970000}"/>
    <cellStyle name="Texto de advertencia 8 2 2" xfId="38766" xr:uid="{00000000-0005-0000-0000-00006E970000}"/>
    <cellStyle name="Texto de advertencia 8 2 3" xfId="38767" xr:uid="{00000000-0005-0000-0000-00006F970000}"/>
    <cellStyle name="Texto de advertencia 8 3" xfId="38768" xr:uid="{00000000-0005-0000-0000-000070970000}"/>
    <cellStyle name="Texto de advertencia 8 4" xfId="38769" xr:uid="{00000000-0005-0000-0000-000071970000}"/>
    <cellStyle name="Texto de advertencia 9" xfId="38770" xr:uid="{00000000-0005-0000-0000-000072970000}"/>
    <cellStyle name="Texto de advertencia 9 2" xfId="38771" xr:uid="{00000000-0005-0000-0000-000073970000}"/>
    <cellStyle name="Texto de advertencia 9 2 2" xfId="38772" xr:uid="{00000000-0005-0000-0000-000074970000}"/>
    <cellStyle name="Texto de advertencia 9 2 3" xfId="38773" xr:uid="{00000000-0005-0000-0000-000075970000}"/>
    <cellStyle name="Texto de advertencia 9 3" xfId="38774" xr:uid="{00000000-0005-0000-0000-000076970000}"/>
    <cellStyle name="Texto de advertencia 9 4" xfId="38775" xr:uid="{00000000-0005-0000-0000-000077970000}"/>
    <cellStyle name="Texto explicativo 10" xfId="38776" xr:uid="{00000000-0005-0000-0000-000078970000}"/>
    <cellStyle name="Texto explicativo 11" xfId="38777" xr:uid="{00000000-0005-0000-0000-000079970000}"/>
    <cellStyle name="Texto explicativo 2" xfId="38778" xr:uid="{00000000-0005-0000-0000-00007A970000}"/>
    <cellStyle name="Texto explicativo 2 2" xfId="38779" xr:uid="{00000000-0005-0000-0000-00007B970000}"/>
    <cellStyle name="Texto explicativo 2 2 2" xfId="38780" xr:uid="{00000000-0005-0000-0000-00007C970000}"/>
    <cellStyle name="Texto explicativo 2 2 3" xfId="38781" xr:uid="{00000000-0005-0000-0000-00007D970000}"/>
    <cellStyle name="Texto explicativo 2 2 4" xfId="38782" xr:uid="{00000000-0005-0000-0000-00007E970000}"/>
    <cellStyle name="Texto explicativo 2 3" xfId="38783" xr:uid="{00000000-0005-0000-0000-00007F970000}"/>
    <cellStyle name="Texto explicativo 2 4" xfId="38784" xr:uid="{00000000-0005-0000-0000-000080970000}"/>
    <cellStyle name="Texto explicativo 3" xfId="38785" xr:uid="{00000000-0005-0000-0000-000081970000}"/>
    <cellStyle name="Texto explicativo 3 2" xfId="38786" xr:uid="{00000000-0005-0000-0000-000082970000}"/>
    <cellStyle name="Texto explicativo 3 2 2" xfId="38787" xr:uid="{00000000-0005-0000-0000-000083970000}"/>
    <cellStyle name="Texto explicativo 3 2 3" xfId="38788" xr:uid="{00000000-0005-0000-0000-000084970000}"/>
    <cellStyle name="Texto explicativo 3 3" xfId="38789" xr:uid="{00000000-0005-0000-0000-000085970000}"/>
    <cellStyle name="Texto explicativo 3 4" xfId="38790" xr:uid="{00000000-0005-0000-0000-000086970000}"/>
    <cellStyle name="Texto explicativo 4" xfId="38791" xr:uid="{00000000-0005-0000-0000-000087970000}"/>
    <cellStyle name="Texto explicativo 4 2" xfId="38792" xr:uid="{00000000-0005-0000-0000-000088970000}"/>
    <cellStyle name="Texto explicativo 4 2 2" xfId="38793" xr:uid="{00000000-0005-0000-0000-000089970000}"/>
    <cellStyle name="Texto explicativo 4 2 3" xfId="38794" xr:uid="{00000000-0005-0000-0000-00008A970000}"/>
    <cellStyle name="Texto explicativo 4 3" xfId="38795" xr:uid="{00000000-0005-0000-0000-00008B970000}"/>
    <cellStyle name="Texto explicativo 4 4" xfId="38796" xr:uid="{00000000-0005-0000-0000-00008C970000}"/>
    <cellStyle name="Texto explicativo 5" xfId="38797" xr:uid="{00000000-0005-0000-0000-00008D970000}"/>
    <cellStyle name="Texto explicativo 5 2" xfId="38798" xr:uid="{00000000-0005-0000-0000-00008E970000}"/>
    <cellStyle name="Texto explicativo 5 2 2" xfId="38799" xr:uid="{00000000-0005-0000-0000-00008F970000}"/>
    <cellStyle name="Texto explicativo 5 2 3" xfId="38800" xr:uid="{00000000-0005-0000-0000-000090970000}"/>
    <cellStyle name="Texto explicativo 5 3" xfId="38801" xr:uid="{00000000-0005-0000-0000-000091970000}"/>
    <cellStyle name="Texto explicativo 5 4" xfId="38802" xr:uid="{00000000-0005-0000-0000-000092970000}"/>
    <cellStyle name="Texto explicativo 6" xfId="38803" xr:uid="{00000000-0005-0000-0000-000093970000}"/>
    <cellStyle name="Texto explicativo 6 2" xfId="38804" xr:uid="{00000000-0005-0000-0000-000094970000}"/>
    <cellStyle name="Texto explicativo 6 2 2" xfId="38805" xr:uid="{00000000-0005-0000-0000-000095970000}"/>
    <cellStyle name="Texto explicativo 6 2 3" xfId="38806" xr:uid="{00000000-0005-0000-0000-000096970000}"/>
    <cellStyle name="Texto explicativo 6 3" xfId="38807" xr:uid="{00000000-0005-0000-0000-000097970000}"/>
    <cellStyle name="Texto explicativo 6 4" xfId="38808" xr:uid="{00000000-0005-0000-0000-000098970000}"/>
    <cellStyle name="Texto explicativo 7" xfId="38809" xr:uid="{00000000-0005-0000-0000-000099970000}"/>
    <cellStyle name="Texto explicativo 7 2" xfId="38810" xr:uid="{00000000-0005-0000-0000-00009A970000}"/>
    <cellStyle name="Texto explicativo 7 2 2" xfId="38811" xr:uid="{00000000-0005-0000-0000-00009B970000}"/>
    <cellStyle name="Texto explicativo 7 2 3" xfId="38812" xr:uid="{00000000-0005-0000-0000-00009C970000}"/>
    <cellStyle name="Texto explicativo 7 3" xfId="38813" xr:uid="{00000000-0005-0000-0000-00009D970000}"/>
    <cellStyle name="Texto explicativo 7 4" xfId="38814" xr:uid="{00000000-0005-0000-0000-00009E970000}"/>
    <cellStyle name="Texto explicativo 8" xfId="38815" xr:uid="{00000000-0005-0000-0000-00009F970000}"/>
    <cellStyle name="Texto explicativo 8 2" xfId="38816" xr:uid="{00000000-0005-0000-0000-0000A0970000}"/>
    <cellStyle name="Texto explicativo 8 2 2" xfId="38817" xr:uid="{00000000-0005-0000-0000-0000A1970000}"/>
    <cellStyle name="Texto explicativo 8 2 3" xfId="38818" xr:uid="{00000000-0005-0000-0000-0000A2970000}"/>
    <cellStyle name="Texto explicativo 8 3" xfId="38819" xr:uid="{00000000-0005-0000-0000-0000A3970000}"/>
    <cellStyle name="Texto explicativo 8 4" xfId="38820" xr:uid="{00000000-0005-0000-0000-0000A4970000}"/>
    <cellStyle name="Texto explicativo 9" xfId="38821" xr:uid="{00000000-0005-0000-0000-0000A5970000}"/>
    <cellStyle name="Texto explicativo 9 2" xfId="38822" xr:uid="{00000000-0005-0000-0000-0000A6970000}"/>
    <cellStyle name="Texto explicativo 9 3" xfId="38823" xr:uid="{00000000-0005-0000-0000-0000A7970000}"/>
    <cellStyle name="Title" xfId="38824" xr:uid="{00000000-0005-0000-0000-0000A8970000}"/>
    <cellStyle name="Title 2" xfId="38825" xr:uid="{00000000-0005-0000-0000-0000A9970000}"/>
    <cellStyle name="Title 2 2" xfId="38826" xr:uid="{00000000-0005-0000-0000-0000AA970000}"/>
    <cellStyle name="Title 2 2 2" xfId="38827" xr:uid="{00000000-0005-0000-0000-0000AB970000}"/>
    <cellStyle name="Title 2 2 3" xfId="38828" xr:uid="{00000000-0005-0000-0000-0000AC970000}"/>
    <cellStyle name="Title 2 3" xfId="38829" xr:uid="{00000000-0005-0000-0000-0000AD970000}"/>
    <cellStyle name="Title 2 4" xfId="38830" xr:uid="{00000000-0005-0000-0000-0000AE970000}"/>
    <cellStyle name="Title 3" xfId="38831" xr:uid="{00000000-0005-0000-0000-0000AF970000}"/>
    <cellStyle name="Title 3 2" xfId="38832" xr:uid="{00000000-0005-0000-0000-0000B0970000}"/>
    <cellStyle name="Title 3 2 2" xfId="38833" xr:uid="{00000000-0005-0000-0000-0000B1970000}"/>
    <cellStyle name="Title 3 2 3" xfId="38834" xr:uid="{00000000-0005-0000-0000-0000B2970000}"/>
    <cellStyle name="Title 3 3" xfId="38835" xr:uid="{00000000-0005-0000-0000-0000B3970000}"/>
    <cellStyle name="Title 3 4" xfId="38836" xr:uid="{00000000-0005-0000-0000-0000B4970000}"/>
    <cellStyle name="Title 4" xfId="38837" xr:uid="{00000000-0005-0000-0000-0000B5970000}"/>
    <cellStyle name="Title 4 2" xfId="38838" xr:uid="{00000000-0005-0000-0000-0000B6970000}"/>
    <cellStyle name="Title 4 2 2" xfId="38839" xr:uid="{00000000-0005-0000-0000-0000B7970000}"/>
    <cellStyle name="Title 4 2 3" xfId="38840" xr:uid="{00000000-0005-0000-0000-0000B8970000}"/>
    <cellStyle name="Title 4 3" xfId="38841" xr:uid="{00000000-0005-0000-0000-0000B9970000}"/>
    <cellStyle name="Title 4 4" xfId="38842" xr:uid="{00000000-0005-0000-0000-0000BA970000}"/>
    <cellStyle name="Title 5" xfId="38843" xr:uid="{00000000-0005-0000-0000-0000BB970000}"/>
    <cellStyle name="Title 5 2" xfId="38844" xr:uid="{00000000-0005-0000-0000-0000BC970000}"/>
    <cellStyle name="Title 5 2 2" xfId="38845" xr:uid="{00000000-0005-0000-0000-0000BD970000}"/>
    <cellStyle name="Title 5 2 3" xfId="38846" xr:uid="{00000000-0005-0000-0000-0000BE970000}"/>
    <cellStyle name="Title 5 3" xfId="38847" xr:uid="{00000000-0005-0000-0000-0000BF970000}"/>
    <cellStyle name="Title 5 4" xfId="38848" xr:uid="{00000000-0005-0000-0000-0000C0970000}"/>
    <cellStyle name="Title 6" xfId="38849" xr:uid="{00000000-0005-0000-0000-0000C1970000}"/>
    <cellStyle name="Title 6 2" xfId="38850" xr:uid="{00000000-0005-0000-0000-0000C2970000}"/>
    <cellStyle name="Title 6 3" xfId="38851" xr:uid="{00000000-0005-0000-0000-0000C3970000}"/>
    <cellStyle name="Title 7" xfId="38852" xr:uid="{00000000-0005-0000-0000-0000C4970000}"/>
    <cellStyle name="Title 8" xfId="38853" xr:uid="{00000000-0005-0000-0000-0000C5970000}"/>
    <cellStyle name="Título 1 10" xfId="38854" xr:uid="{00000000-0005-0000-0000-0000C6970000}"/>
    <cellStyle name="Título 1 11" xfId="38855" xr:uid="{00000000-0005-0000-0000-0000C7970000}"/>
    <cellStyle name="Título 1 2" xfId="38856" xr:uid="{00000000-0005-0000-0000-0000C8970000}"/>
    <cellStyle name="Título 1 2 2" xfId="38857" xr:uid="{00000000-0005-0000-0000-0000C9970000}"/>
    <cellStyle name="Título 1 2 2 2" xfId="38858" xr:uid="{00000000-0005-0000-0000-0000CA970000}"/>
    <cellStyle name="Título 1 2 2 3" xfId="38859" xr:uid="{00000000-0005-0000-0000-0000CB970000}"/>
    <cellStyle name="Título 1 2 3" xfId="38860" xr:uid="{00000000-0005-0000-0000-0000CC970000}"/>
    <cellStyle name="Título 1 2 4" xfId="38861" xr:uid="{00000000-0005-0000-0000-0000CD970000}"/>
    <cellStyle name="Título 1 3" xfId="38862" xr:uid="{00000000-0005-0000-0000-0000CE970000}"/>
    <cellStyle name="Título 1 3 2" xfId="38863" xr:uid="{00000000-0005-0000-0000-0000CF970000}"/>
    <cellStyle name="Título 1 3 2 2" xfId="38864" xr:uid="{00000000-0005-0000-0000-0000D0970000}"/>
    <cellStyle name="Título 1 3 2 3" xfId="38865" xr:uid="{00000000-0005-0000-0000-0000D1970000}"/>
    <cellStyle name="Título 1 3 3" xfId="38866" xr:uid="{00000000-0005-0000-0000-0000D2970000}"/>
    <cellStyle name="Título 1 3 4" xfId="38867" xr:uid="{00000000-0005-0000-0000-0000D3970000}"/>
    <cellStyle name="Título 1 4" xfId="38868" xr:uid="{00000000-0005-0000-0000-0000D4970000}"/>
    <cellStyle name="Título 1 4 2" xfId="38869" xr:uid="{00000000-0005-0000-0000-0000D5970000}"/>
    <cellStyle name="Título 1 4 2 2" xfId="38870" xr:uid="{00000000-0005-0000-0000-0000D6970000}"/>
    <cellStyle name="Título 1 4 2 3" xfId="38871" xr:uid="{00000000-0005-0000-0000-0000D7970000}"/>
    <cellStyle name="Título 1 4 3" xfId="38872" xr:uid="{00000000-0005-0000-0000-0000D8970000}"/>
    <cellStyle name="Título 1 4 4" xfId="38873" xr:uid="{00000000-0005-0000-0000-0000D9970000}"/>
    <cellStyle name="Título 1 5" xfId="38874" xr:uid="{00000000-0005-0000-0000-0000DA970000}"/>
    <cellStyle name="Título 1 5 2" xfId="38875" xr:uid="{00000000-0005-0000-0000-0000DB970000}"/>
    <cellStyle name="Título 1 5 2 2" xfId="38876" xr:uid="{00000000-0005-0000-0000-0000DC970000}"/>
    <cellStyle name="Título 1 5 2 3" xfId="38877" xr:uid="{00000000-0005-0000-0000-0000DD970000}"/>
    <cellStyle name="Título 1 5 3" xfId="38878" xr:uid="{00000000-0005-0000-0000-0000DE970000}"/>
    <cellStyle name="Título 1 5 4" xfId="38879" xr:uid="{00000000-0005-0000-0000-0000DF970000}"/>
    <cellStyle name="Título 1 6" xfId="38880" xr:uid="{00000000-0005-0000-0000-0000E0970000}"/>
    <cellStyle name="Título 1 6 2" xfId="38881" xr:uid="{00000000-0005-0000-0000-0000E1970000}"/>
    <cellStyle name="Título 1 6 2 2" xfId="38882" xr:uid="{00000000-0005-0000-0000-0000E2970000}"/>
    <cellStyle name="Título 1 6 2 3" xfId="38883" xr:uid="{00000000-0005-0000-0000-0000E3970000}"/>
    <cellStyle name="Título 1 6 3" xfId="38884" xr:uid="{00000000-0005-0000-0000-0000E4970000}"/>
    <cellStyle name="Título 1 6 4" xfId="38885" xr:uid="{00000000-0005-0000-0000-0000E5970000}"/>
    <cellStyle name="Título 1 7" xfId="38886" xr:uid="{00000000-0005-0000-0000-0000E6970000}"/>
    <cellStyle name="Título 1 7 2" xfId="38887" xr:uid="{00000000-0005-0000-0000-0000E7970000}"/>
    <cellStyle name="Título 1 7 2 2" xfId="38888" xr:uid="{00000000-0005-0000-0000-0000E8970000}"/>
    <cellStyle name="Título 1 7 2 3" xfId="38889" xr:uid="{00000000-0005-0000-0000-0000E9970000}"/>
    <cellStyle name="Título 1 7 3" xfId="38890" xr:uid="{00000000-0005-0000-0000-0000EA970000}"/>
    <cellStyle name="Título 1 7 4" xfId="38891" xr:uid="{00000000-0005-0000-0000-0000EB970000}"/>
    <cellStyle name="Título 1 8" xfId="38892" xr:uid="{00000000-0005-0000-0000-0000EC970000}"/>
    <cellStyle name="Título 1 8 2" xfId="38893" xr:uid="{00000000-0005-0000-0000-0000ED970000}"/>
    <cellStyle name="Título 1 8 2 2" xfId="38894" xr:uid="{00000000-0005-0000-0000-0000EE970000}"/>
    <cellStyle name="Título 1 8 2 3" xfId="38895" xr:uid="{00000000-0005-0000-0000-0000EF970000}"/>
    <cellStyle name="Título 1 8 3" xfId="38896" xr:uid="{00000000-0005-0000-0000-0000F0970000}"/>
    <cellStyle name="Título 1 8 4" xfId="38897" xr:uid="{00000000-0005-0000-0000-0000F1970000}"/>
    <cellStyle name="Título 1 9" xfId="38898" xr:uid="{00000000-0005-0000-0000-0000F2970000}"/>
    <cellStyle name="Título 1 9 2" xfId="38899" xr:uid="{00000000-0005-0000-0000-0000F3970000}"/>
    <cellStyle name="Título 1 9 3" xfId="38900" xr:uid="{00000000-0005-0000-0000-0000F4970000}"/>
    <cellStyle name="Título 10" xfId="38901" xr:uid="{00000000-0005-0000-0000-0000F5970000}"/>
    <cellStyle name="Título 10 2" xfId="38902" xr:uid="{00000000-0005-0000-0000-0000F6970000}"/>
    <cellStyle name="Título 10 2 2" xfId="38903" xr:uid="{00000000-0005-0000-0000-0000F7970000}"/>
    <cellStyle name="Título 10 2 3" xfId="38904" xr:uid="{00000000-0005-0000-0000-0000F8970000}"/>
    <cellStyle name="Título 10 3" xfId="38905" xr:uid="{00000000-0005-0000-0000-0000F9970000}"/>
    <cellStyle name="Título 10 4" xfId="38906" xr:uid="{00000000-0005-0000-0000-0000FA970000}"/>
    <cellStyle name="Título 11" xfId="38907" xr:uid="{00000000-0005-0000-0000-0000FB970000}"/>
    <cellStyle name="Título 11 2" xfId="38908" xr:uid="{00000000-0005-0000-0000-0000FC970000}"/>
    <cellStyle name="Título 11 3" xfId="38909" xr:uid="{00000000-0005-0000-0000-0000FD970000}"/>
    <cellStyle name="Título 12" xfId="38910" xr:uid="{00000000-0005-0000-0000-0000FE970000}"/>
    <cellStyle name="Título 13" xfId="38911" xr:uid="{00000000-0005-0000-0000-0000FF970000}"/>
    <cellStyle name="Título 2 10" xfId="38912" xr:uid="{00000000-0005-0000-0000-000000980000}"/>
    <cellStyle name="Título 2 11" xfId="38913" xr:uid="{00000000-0005-0000-0000-000001980000}"/>
    <cellStyle name="Título 2 2" xfId="38914" xr:uid="{00000000-0005-0000-0000-000002980000}"/>
    <cellStyle name="Título 2 2 2" xfId="38915" xr:uid="{00000000-0005-0000-0000-000003980000}"/>
    <cellStyle name="Título 2 2 2 2" xfId="38916" xr:uid="{00000000-0005-0000-0000-000004980000}"/>
    <cellStyle name="Título 2 2 2 3" xfId="38917" xr:uid="{00000000-0005-0000-0000-000005980000}"/>
    <cellStyle name="Título 2 2 2 4" xfId="38918" xr:uid="{00000000-0005-0000-0000-000006980000}"/>
    <cellStyle name="Título 2 2 3" xfId="38919" xr:uid="{00000000-0005-0000-0000-000007980000}"/>
    <cellStyle name="Título 2 2 4" xfId="38920" xr:uid="{00000000-0005-0000-0000-000008980000}"/>
    <cellStyle name="Título 2 3" xfId="38921" xr:uid="{00000000-0005-0000-0000-000009980000}"/>
    <cellStyle name="Título 2 3 2" xfId="38922" xr:uid="{00000000-0005-0000-0000-00000A980000}"/>
    <cellStyle name="Título 2 3 2 2" xfId="38923" xr:uid="{00000000-0005-0000-0000-00000B980000}"/>
    <cellStyle name="Título 2 3 2 3" xfId="38924" xr:uid="{00000000-0005-0000-0000-00000C980000}"/>
    <cellStyle name="Título 2 3 3" xfId="38925" xr:uid="{00000000-0005-0000-0000-00000D980000}"/>
    <cellStyle name="Título 2 3 4" xfId="38926" xr:uid="{00000000-0005-0000-0000-00000E980000}"/>
    <cellStyle name="Título 2 4" xfId="38927" xr:uid="{00000000-0005-0000-0000-00000F980000}"/>
    <cellStyle name="Título 2 4 2" xfId="38928" xr:uid="{00000000-0005-0000-0000-000010980000}"/>
    <cellStyle name="Título 2 4 2 2" xfId="38929" xr:uid="{00000000-0005-0000-0000-000011980000}"/>
    <cellStyle name="Título 2 4 2 3" xfId="38930" xr:uid="{00000000-0005-0000-0000-000012980000}"/>
    <cellStyle name="Título 2 4 3" xfId="38931" xr:uid="{00000000-0005-0000-0000-000013980000}"/>
    <cellStyle name="Título 2 4 4" xfId="38932" xr:uid="{00000000-0005-0000-0000-000014980000}"/>
    <cellStyle name="Título 2 5" xfId="38933" xr:uid="{00000000-0005-0000-0000-000015980000}"/>
    <cellStyle name="Título 2 5 2" xfId="38934" xr:uid="{00000000-0005-0000-0000-000016980000}"/>
    <cellStyle name="Título 2 5 2 2" xfId="38935" xr:uid="{00000000-0005-0000-0000-000017980000}"/>
    <cellStyle name="Título 2 5 2 3" xfId="38936" xr:uid="{00000000-0005-0000-0000-000018980000}"/>
    <cellStyle name="Título 2 5 3" xfId="38937" xr:uid="{00000000-0005-0000-0000-000019980000}"/>
    <cellStyle name="Título 2 5 4" xfId="38938" xr:uid="{00000000-0005-0000-0000-00001A980000}"/>
    <cellStyle name="Título 2 6" xfId="38939" xr:uid="{00000000-0005-0000-0000-00001B980000}"/>
    <cellStyle name="Título 2 6 2" xfId="38940" xr:uid="{00000000-0005-0000-0000-00001C980000}"/>
    <cellStyle name="Título 2 6 2 2" xfId="38941" xr:uid="{00000000-0005-0000-0000-00001D980000}"/>
    <cellStyle name="Título 2 6 2 3" xfId="38942" xr:uid="{00000000-0005-0000-0000-00001E980000}"/>
    <cellStyle name="Título 2 6 3" xfId="38943" xr:uid="{00000000-0005-0000-0000-00001F980000}"/>
    <cellStyle name="Título 2 6 4" xfId="38944" xr:uid="{00000000-0005-0000-0000-000020980000}"/>
    <cellStyle name="Título 2 7" xfId="38945" xr:uid="{00000000-0005-0000-0000-000021980000}"/>
    <cellStyle name="Título 2 7 2" xfId="38946" xr:uid="{00000000-0005-0000-0000-000022980000}"/>
    <cellStyle name="Título 2 7 2 2" xfId="38947" xr:uid="{00000000-0005-0000-0000-000023980000}"/>
    <cellStyle name="Título 2 7 2 3" xfId="38948" xr:uid="{00000000-0005-0000-0000-000024980000}"/>
    <cellStyle name="Título 2 7 3" xfId="38949" xr:uid="{00000000-0005-0000-0000-000025980000}"/>
    <cellStyle name="Título 2 7 4" xfId="38950" xr:uid="{00000000-0005-0000-0000-000026980000}"/>
    <cellStyle name="Título 2 8" xfId="38951" xr:uid="{00000000-0005-0000-0000-000027980000}"/>
    <cellStyle name="Título 2 8 2" xfId="38952" xr:uid="{00000000-0005-0000-0000-000028980000}"/>
    <cellStyle name="Título 2 8 2 2" xfId="38953" xr:uid="{00000000-0005-0000-0000-000029980000}"/>
    <cellStyle name="Título 2 8 2 3" xfId="38954" xr:uid="{00000000-0005-0000-0000-00002A980000}"/>
    <cellStyle name="Título 2 8 3" xfId="38955" xr:uid="{00000000-0005-0000-0000-00002B980000}"/>
    <cellStyle name="Título 2 8 4" xfId="38956" xr:uid="{00000000-0005-0000-0000-00002C980000}"/>
    <cellStyle name="Título 2 9" xfId="38957" xr:uid="{00000000-0005-0000-0000-00002D980000}"/>
    <cellStyle name="Título 2 9 2" xfId="38958" xr:uid="{00000000-0005-0000-0000-00002E980000}"/>
    <cellStyle name="Título 2 9 3" xfId="38959" xr:uid="{00000000-0005-0000-0000-00002F980000}"/>
    <cellStyle name="Título 3 10" xfId="38960" xr:uid="{00000000-0005-0000-0000-000030980000}"/>
    <cellStyle name="Título 3 11" xfId="38961" xr:uid="{00000000-0005-0000-0000-000031980000}"/>
    <cellStyle name="Título 3 2" xfId="38962" xr:uid="{00000000-0005-0000-0000-000032980000}"/>
    <cellStyle name="Título 3 2 2" xfId="38963" xr:uid="{00000000-0005-0000-0000-000033980000}"/>
    <cellStyle name="Título 3 2 2 2" xfId="38964" xr:uid="{00000000-0005-0000-0000-000034980000}"/>
    <cellStyle name="Título 3 2 2 3" xfId="38965" xr:uid="{00000000-0005-0000-0000-000035980000}"/>
    <cellStyle name="Título 3 2 2 4" xfId="38966" xr:uid="{00000000-0005-0000-0000-000036980000}"/>
    <cellStyle name="Título 3 2 3" xfId="38967" xr:uid="{00000000-0005-0000-0000-000037980000}"/>
    <cellStyle name="Título 3 2 4" xfId="38968" xr:uid="{00000000-0005-0000-0000-000038980000}"/>
    <cellStyle name="Título 3 3" xfId="38969" xr:uid="{00000000-0005-0000-0000-000039980000}"/>
    <cellStyle name="Título 3 3 2" xfId="38970" xr:uid="{00000000-0005-0000-0000-00003A980000}"/>
    <cellStyle name="Título 3 3 2 2" xfId="38971" xr:uid="{00000000-0005-0000-0000-00003B980000}"/>
    <cellStyle name="Título 3 3 2 3" xfId="38972" xr:uid="{00000000-0005-0000-0000-00003C980000}"/>
    <cellStyle name="Título 3 3 3" xfId="38973" xr:uid="{00000000-0005-0000-0000-00003D980000}"/>
    <cellStyle name="Título 3 3 4" xfId="38974" xr:uid="{00000000-0005-0000-0000-00003E980000}"/>
    <cellStyle name="Título 3 4" xfId="38975" xr:uid="{00000000-0005-0000-0000-00003F980000}"/>
    <cellStyle name="Título 3 4 2" xfId="38976" xr:uid="{00000000-0005-0000-0000-000040980000}"/>
    <cellStyle name="Título 3 4 2 2" xfId="38977" xr:uid="{00000000-0005-0000-0000-000041980000}"/>
    <cellStyle name="Título 3 4 2 3" xfId="38978" xr:uid="{00000000-0005-0000-0000-000042980000}"/>
    <cellStyle name="Título 3 4 3" xfId="38979" xr:uid="{00000000-0005-0000-0000-000043980000}"/>
    <cellStyle name="Título 3 4 4" xfId="38980" xr:uid="{00000000-0005-0000-0000-000044980000}"/>
    <cellStyle name="Título 3 5" xfId="38981" xr:uid="{00000000-0005-0000-0000-000045980000}"/>
    <cellStyle name="Título 3 5 2" xfId="38982" xr:uid="{00000000-0005-0000-0000-000046980000}"/>
    <cellStyle name="Título 3 5 2 2" xfId="38983" xr:uid="{00000000-0005-0000-0000-000047980000}"/>
    <cellStyle name="Título 3 5 2 3" xfId="38984" xr:uid="{00000000-0005-0000-0000-000048980000}"/>
    <cellStyle name="Título 3 5 3" xfId="38985" xr:uid="{00000000-0005-0000-0000-000049980000}"/>
    <cellStyle name="Título 3 5 4" xfId="38986" xr:uid="{00000000-0005-0000-0000-00004A980000}"/>
    <cellStyle name="Título 3 6" xfId="38987" xr:uid="{00000000-0005-0000-0000-00004B980000}"/>
    <cellStyle name="Título 3 6 2" xfId="38988" xr:uid="{00000000-0005-0000-0000-00004C980000}"/>
    <cellStyle name="Título 3 6 2 2" xfId="38989" xr:uid="{00000000-0005-0000-0000-00004D980000}"/>
    <cellStyle name="Título 3 6 2 3" xfId="38990" xr:uid="{00000000-0005-0000-0000-00004E980000}"/>
    <cellStyle name="Título 3 6 3" xfId="38991" xr:uid="{00000000-0005-0000-0000-00004F980000}"/>
    <cellStyle name="Título 3 6 4" xfId="38992" xr:uid="{00000000-0005-0000-0000-000050980000}"/>
    <cellStyle name="Título 3 7" xfId="38993" xr:uid="{00000000-0005-0000-0000-000051980000}"/>
    <cellStyle name="Título 3 7 2" xfId="38994" xr:uid="{00000000-0005-0000-0000-000052980000}"/>
    <cellStyle name="Título 3 7 2 2" xfId="38995" xr:uid="{00000000-0005-0000-0000-000053980000}"/>
    <cellStyle name="Título 3 7 2 3" xfId="38996" xr:uid="{00000000-0005-0000-0000-000054980000}"/>
    <cellStyle name="Título 3 7 3" xfId="38997" xr:uid="{00000000-0005-0000-0000-000055980000}"/>
    <cellStyle name="Título 3 7 4" xfId="38998" xr:uid="{00000000-0005-0000-0000-000056980000}"/>
    <cellStyle name="Título 3 8" xfId="38999" xr:uid="{00000000-0005-0000-0000-000057980000}"/>
    <cellStyle name="Título 3 8 2" xfId="39000" xr:uid="{00000000-0005-0000-0000-000058980000}"/>
    <cellStyle name="Título 3 8 2 2" xfId="39001" xr:uid="{00000000-0005-0000-0000-000059980000}"/>
    <cellStyle name="Título 3 8 2 3" xfId="39002" xr:uid="{00000000-0005-0000-0000-00005A980000}"/>
    <cellStyle name="Título 3 8 3" xfId="39003" xr:uid="{00000000-0005-0000-0000-00005B980000}"/>
    <cellStyle name="Título 3 8 4" xfId="39004" xr:uid="{00000000-0005-0000-0000-00005C980000}"/>
    <cellStyle name="Título 3 9" xfId="39005" xr:uid="{00000000-0005-0000-0000-00005D980000}"/>
    <cellStyle name="Título 3 9 2" xfId="39006" xr:uid="{00000000-0005-0000-0000-00005E980000}"/>
    <cellStyle name="Título 3 9 3" xfId="39007" xr:uid="{00000000-0005-0000-0000-00005F980000}"/>
    <cellStyle name="Título 4" xfId="39008" xr:uid="{00000000-0005-0000-0000-000060980000}"/>
    <cellStyle name="Título 4 2" xfId="39009" xr:uid="{00000000-0005-0000-0000-000061980000}"/>
    <cellStyle name="Título 4 2 2" xfId="39010" xr:uid="{00000000-0005-0000-0000-000062980000}"/>
    <cellStyle name="Título 4 2 3" xfId="39011" xr:uid="{00000000-0005-0000-0000-000063980000}"/>
    <cellStyle name="Título 4 2 4" xfId="39012" xr:uid="{00000000-0005-0000-0000-000064980000}"/>
    <cellStyle name="Título 4 3" xfId="39013" xr:uid="{00000000-0005-0000-0000-000065980000}"/>
    <cellStyle name="Título 4 4" xfId="39014" xr:uid="{00000000-0005-0000-0000-000066980000}"/>
    <cellStyle name="Título 5" xfId="39015" xr:uid="{00000000-0005-0000-0000-000067980000}"/>
    <cellStyle name="Título 5 2" xfId="39016" xr:uid="{00000000-0005-0000-0000-000068980000}"/>
    <cellStyle name="Título 5 2 2" xfId="39017" xr:uid="{00000000-0005-0000-0000-000069980000}"/>
    <cellStyle name="Título 5 2 3" xfId="39018" xr:uid="{00000000-0005-0000-0000-00006A980000}"/>
    <cellStyle name="Título 5 2 4" xfId="39019" xr:uid="{00000000-0005-0000-0000-00006B980000}"/>
    <cellStyle name="Título 5 3" xfId="39020" xr:uid="{00000000-0005-0000-0000-00006C980000}"/>
    <cellStyle name="Título 5 4" xfId="39021" xr:uid="{00000000-0005-0000-0000-00006D980000}"/>
    <cellStyle name="Título 6" xfId="39022" xr:uid="{00000000-0005-0000-0000-00006E980000}"/>
    <cellStyle name="Título 6 2" xfId="39023" xr:uid="{00000000-0005-0000-0000-00006F980000}"/>
    <cellStyle name="Título 6 2 2" xfId="39024" xr:uid="{00000000-0005-0000-0000-000070980000}"/>
    <cellStyle name="Título 6 2 3" xfId="39025" xr:uid="{00000000-0005-0000-0000-000071980000}"/>
    <cellStyle name="Título 6 3" xfId="39026" xr:uid="{00000000-0005-0000-0000-000072980000}"/>
    <cellStyle name="Título 6 4" xfId="39027" xr:uid="{00000000-0005-0000-0000-000073980000}"/>
    <cellStyle name="Título 7" xfId="39028" xr:uid="{00000000-0005-0000-0000-000074980000}"/>
    <cellStyle name="Título 7 2" xfId="39029" xr:uid="{00000000-0005-0000-0000-000075980000}"/>
    <cellStyle name="Título 7 2 2" xfId="39030" xr:uid="{00000000-0005-0000-0000-000076980000}"/>
    <cellStyle name="Título 7 2 3" xfId="39031" xr:uid="{00000000-0005-0000-0000-000077980000}"/>
    <cellStyle name="Título 7 3" xfId="39032" xr:uid="{00000000-0005-0000-0000-000078980000}"/>
    <cellStyle name="Título 7 4" xfId="39033" xr:uid="{00000000-0005-0000-0000-000079980000}"/>
    <cellStyle name="Título 8" xfId="39034" xr:uid="{00000000-0005-0000-0000-00007A980000}"/>
    <cellStyle name="Título 8 2" xfId="39035" xr:uid="{00000000-0005-0000-0000-00007B980000}"/>
    <cellStyle name="Título 8 2 2" xfId="39036" xr:uid="{00000000-0005-0000-0000-00007C980000}"/>
    <cellStyle name="Título 8 2 3" xfId="39037" xr:uid="{00000000-0005-0000-0000-00007D980000}"/>
    <cellStyle name="Título 8 3" xfId="39038" xr:uid="{00000000-0005-0000-0000-00007E980000}"/>
    <cellStyle name="Título 8 4" xfId="39039" xr:uid="{00000000-0005-0000-0000-00007F980000}"/>
    <cellStyle name="Título 9" xfId="39040" xr:uid="{00000000-0005-0000-0000-000080980000}"/>
    <cellStyle name="Título 9 2" xfId="39041" xr:uid="{00000000-0005-0000-0000-000081980000}"/>
    <cellStyle name="Título 9 2 2" xfId="39042" xr:uid="{00000000-0005-0000-0000-000082980000}"/>
    <cellStyle name="Título 9 2 3" xfId="39043" xr:uid="{00000000-0005-0000-0000-000083980000}"/>
    <cellStyle name="Título 9 3" xfId="39044" xr:uid="{00000000-0005-0000-0000-000084980000}"/>
    <cellStyle name="Título 9 4" xfId="39045" xr:uid="{00000000-0005-0000-0000-000085980000}"/>
    <cellStyle name="Total 2" xfId="39046" xr:uid="{00000000-0005-0000-0000-000086980000}"/>
    <cellStyle name="Total 2 2" xfId="39047" xr:uid="{00000000-0005-0000-0000-000087980000}"/>
    <cellStyle name="Total 2 2 2" xfId="39048" xr:uid="{00000000-0005-0000-0000-000088980000}"/>
    <cellStyle name="Total 2 2 3" xfId="39049" xr:uid="{00000000-0005-0000-0000-000089980000}"/>
    <cellStyle name="Total 2 3" xfId="39050" xr:uid="{00000000-0005-0000-0000-00008A980000}"/>
    <cellStyle name="Total 2 4" xfId="39051" xr:uid="{00000000-0005-0000-0000-00008B980000}"/>
    <cellStyle name="Total 3" xfId="39052" xr:uid="{00000000-0005-0000-0000-00008C980000}"/>
    <cellStyle name="Total 3 2" xfId="39053" xr:uid="{00000000-0005-0000-0000-00008D980000}"/>
    <cellStyle name="Total 3 2 2" xfId="39054" xr:uid="{00000000-0005-0000-0000-00008E980000}"/>
    <cellStyle name="Total 3 2 3" xfId="39055" xr:uid="{00000000-0005-0000-0000-00008F980000}"/>
    <cellStyle name="Total 3 3" xfId="39056" xr:uid="{00000000-0005-0000-0000-000090980000}"/>
    <cellStyle name="Total 3 4" xfId="39057" xr:uid="{00000000-0005-0000-0000-000091980000}"/>
    <cellStyle name="Total 4" xfId="39058" xr:uid="{00000000-0005-0000-0000-000092980000}"/>
    <cellStyle name="Total 4 2" xfId="39059" xr:uid="{00000000-0005-0000-0000-000093980000}"/>
    <cellStyle name="Total 4 2 2" xfId="39060" xr:uid="{00000000-0005-0000-0000-000094980000}"/>
    <cellStyle name="Total 4 2 3" xfId="39061" xr:uid="{00000000-0005-0000-0000-000095980000}"/>
    <cellStyle name="Total 4 3" xfId="39062" xr:uid="{00000000-0005-0000-0000-000096980000}"/>
    <cellStyle name="Total 4 4" xfId="39063" xr:uid="{00000000-0005-0000-0000-000097980000}"/>
    <cellStyle name="Total 5" xfId="39064" xr:uid="{00000000-0005-0000-0000-000098980000}"/>
    <cellStyle name="Total 5 2" xfId="39065" xr:uid="{00000000-0005-0000-0000-000099980000}"/>
    <cellStyle name="Total 5 3" xfId="39066" xr:uid="{00000000-0005-0000-0000-00009A980000}"/>
    <cellStyle name="Total 6" xfId="39067" xr:uid="{00000000-0005-0000-0000-00009B980000}"/>
    <cellStyle name="Total 7" xfId="39068" xr:uid="{00000000-0005-0000-0000-00009C980000}"/>
    <cellStyle name="Warning Text" xfId="39069" xr:uid="{00000000-0005-0000-0000-00009D980000}"/>
    <cellStyle name="Warning Text 2" xfId="39070" xr:uid="{00000000-0005-0000-0000-00009E980000}"/>
    <cellStyle name="Warning Text 2 2" xfId="39071" xr:uid="{00000000-0005-0000-0000-00009F980000}"/>
    <cellStyle name="Warning Text 2 2 2" xfId="39072" xr:uid="{00000000-0005-0000-0000-0000A0980000}"/>
    <cellStyle name="Warning Text 2 2 3" xfId="39073" xr:uid="{00000000-0005-0000-0000-0000A1980000}"/>
    <cellStyle name="Warning Text 2 3" xfId="39074" xr:uid="{00000000-0005-0000-0000-0000A2980000}"/>
    <cellStyle name="Warning Text 2 4" xfId="39075" xr:uid="{00000000-0005-0000-0000-0000A3980000}"/>
    <cellStyle name="Warning Text 3" xfId="39076" xr:uid="{00000000-0005-0000-0000-0000A4980000}"/>
    <cellStyle name="Warning Text 3 2" xfId="39077" xr:uid="{00000000-0005-0000-0000-0000A5980000}"/>
    <cellStyle name="Warning Text 3 2 2" xfId="39078" xr:uid="{00000000-0005-0000-0000-0000A6980000}"/>
    <cellStyle name="Warning Text 3 2 3" xfId="39079" xr:uid="{00000000-0005-0000-0000-0000A7980000}"/>
    <cellStyle name="Warning Text 3 3" xfId="39080" xr:uid="{00000000-0005-0000-0000-0000A8980000}"/>
    <cellStyle name="Warning Text 3 4" xfId="39081" xr:uid="{00000000-0005-0000-0000-0000A9980000}"/>
    <cellStyle name="Warning Text 4" xfId="39082" xr:uid="{00000000-0005-0000-0000-0000AA980000}"/>
    <cellStyle name="Warning Text 4 2" xfId="39083" xr:uid="{00000000-0005-0000-0000-0000AB980000}"/>
    <cellStyle name="Warning Text 4 2 2" xfId="39084" xr:uid="{00000000-0005-0000-0000-0000AC980000}"/>
    <cellStyle name="Warning Text 4 2 3" xfId="39085" xr:uid="{00000000-0005-0000-0000-0000AD980000}"/>
    <cellStyle name="Warning Text 4 3" xfId="39086" xr:uid="{00000000-0005-0000-0000-0000AE980000}"/>
    <cellStyle name="Warning Text 4 4" xfId="39087" xr:uid="{00000000-0005-0000-0000-0000AF980000}"/>
    <cellStyle name="Warning Text 5" xfId="39088" xr:uid="{00000000-0005-0000-0000-0000B0980000}"/>
    <cellStyle name="Warning Text 5 2" xfId="39089" xr:uid="{00000000-0005-0000-0000-0000B1980000}"/>
    <cellStyle name="Warning Text 5 2 2" xfId="39090" xr:uid="{00000000-0005-0000-0000-0000B2980000}"/>
    <cellStyle name="Warning Text 5 2 3" xfId="39091" xr:uid="{00000000-0005-0000-0000-0000B3980000}"/>
    <cellStyle name="Warning Text 5 3" xfId="39092" xr:uid="{00000000-0005-0000-0000-0000B4980000}"/>
    <cellStyle name="Warning Text 5 4" xfId="39093" xr:uid="{00000000-0005-0000-0000-0000B5980000}"/>
    <cellStyle name="Warning Text 6" xfId="39094" xr:uid="{00000000-0005-0000-0000-0000B6980000}"/>
    <cellStyle name="Warning Text 6 2" xfId="39095" xr:uid="{00000000-0005-0000-0000-0000B7980000}"/>
    <cellStyle name="Warning Text 6 3" xfId="39096" xr:uid="{00000000-0005-0000-0000-0000B8980000}"/>
    <cellStyle name="Warning Text 7" xfId="39097" xr:uid="{00000000-0005-0000-0000-0000B9980000}"/>
    <cellStyle name="Warning Text 8" xfId="39098" xr:uid="{00000000-0005-0000-0000-0000BA980000}"/>
    <cellStyle name="好" xfId="39099" xr:uid="{00000000-0005-0000-0000-0000BB980000}"/>
    <cellStyle name="差" xfId="39100" xr:uid="{00000000-0005-0000-0000-0000BC980000}"/>
    <cellStyle name="强调文字颜色 1" xfId="39101" xr:uid="{00000000-0005-0000-0000-0000BD980000}"/>
    <cellStyle name="强调文字颜色 2" xfId="39102" xr:uid="{00000000-0005-0000-0000-0000BE980000}"/>
    <cellStyle name="强调文字颜色 3" xfId="39103" xr:uid="{00000000-0005-0000-0000-0000BF980000}"/>
    <cellStyle name="强调文字颜色 4" xfId="39104" xr:uid="{00000000-0005-0000-0000-0000C0980000}"/>
    <cellStyle name="强调文字颜色 5" xfId="39105" xr:uid="{00000000-0005-0000-0000-0000C1980000}"/>
    <cellStyle name="强调文字颜色 6" xfId="39106" xr:uid="{00000000-0005-0000-0000-0000C2980000}"/>
    <cellStyle name="标题" xfId="39107" xr:uid="{00000000-0005-0000-0000-0000C3980000}"/>
    <cellStyle name="标题 1" xfId="39108" xr:uid="{00000000-0005-0000-0000-0000C4980000}"/>
    <cellStyle name="标题 2" xfId="39109" xr:uid="{00000000-0005-0000-0000-0000C5980000}"/>
    <cellStyle name="标题 3" xfId="39110" xr:uid="{00000000-0005-0000-0000-0000C6980000}"/>
    <cellStyle name="标题 4" xfId="39111" xr:uid="{00000000-0005-0000-0000-0000C7980000}"/>
    <cellStyle name="检查单元格" xfId="39112" xr:uid="{00000000-0005-0000-0000-0000C8980000}"/>
    <cellStyle name="汇总" xfId="39113" xr:uid="{00000000-0005-0000-0000-0000C9980000}"/>
    <cellStyle name="注释" xfId="39114" xr:uid="{00000000-0005-0000-0000-0000CA980000}"/>
    <cellStyle name="解释性文本" xfId="39115" xr:uid="{00000000-0005-0000-0000-0000CB980000}"/>
    <cellStyle name="警告文本" xfId="39116" xr:uid="{00000000-0005-0000-0000-0000CC980000}"/>
    <cellStyle name="计算" xfId="39117" xr:uid="{00000000-0005-0000-0000-0000CD980000}"/>
    <cellStyle name="输入" xfId="39118" xr:uid="{00000000-0005-0000-0000-0000CE980000}"/>
    <cellStyle name="输出" xfId="39119" xr:uid="{00000000-0005-0000-0000-0000CF980000}"/>
    <cellStyle name="适中" xfId="39120" xr:uid="{00000000-0005-0000-0000-0000D0980000}"/>
    <cellStyle name="链接单元格" xfId="39121" xr:uid="{00000000-0005-0000-0000-0000D198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34"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customXml" Target="../customXml/item1.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calcChain" Target="calcChain.xml"/><Relationship Id="rId8" Type="http://schemas.openxmlformats.org/officeDocument/2006/relationships/externalLink" Target="externalLinks/externalLink3.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lineacomunicacionesco.sharepoint.com/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Users\Usuario\Desktop\COORDINACI&#211;N%20NOROCCIDENTE\Operacion\INFORME%20DE%20GESTION%20ESTADO%20DIARIO\MATRIZ%20INFORME%20DE%20GESTION%20JULIO\Matriz%20Formato%20Estado%20Diario%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lineacomunicacionesco.sharepoint.com/ENTREGA%20GERENCIA%20PROYECTO%20BANCO/FACTURACION/AGOSTO/JESSICA/Matriz%20Formato%20Estado%20Diario%20Zonas%20Remotas%20Jul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lineacomunicacionesco.sharepoint.com/BANCA/COORDINACION%20ZONA%20NOROCCIDENTE/ESTADO%20DIARIO/Estado%20Diario%20Diciembre/Copia%20de%20Matriz%20Formato%20Estado%20Diario%20DICIEMBRE.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lineacomunicacionesco.sharepoint.com/Users/lini.hernandez/Downloads/Informe%20Gestion%20de%20Incidentes%20Bancolombia%20Marzo%202021%20(66).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lineacomunicacionesco.sharepoint.com/Users/adriana.galvis/Downloads/Informe%20Gestion%20Ordenes%20de%20cambio%20CB%20Bancolombia%20Noviembre%2001-%20(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lineacomunicacionesco.sharepoint.com/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ANALISTA%20APERTURAS%202016\CRECIMIENTO%20Y%20MIGRACION.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Informe%20Gestion%20Ordenes%20de%20cambio%20CB%20Bancolombia%20Marzo%202021%20(36).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https://lineacomunicacionesco.sharepoint.com/sites/OperacinBanca/Shared%20Documents/GERENCIA%20DE%20OPERACIONES%20REDEBAN/FACTURACION/2025/OCTUBRE/Liquidacion%20CB%20Capacitaciones%20-%20Servicios%20Octubre%20V1.xlsx" TargetMode="External"/><Relationship Id="rId1" Type="http://schemas.openxmlformats.org/officeDocument/2006/relationships/externalLinkPath" Target="https://lineacomunicacionesco.sharepoint.com/sites/OperacinBanca/Shared%20Documents/GERENCIA%20DE%20OPERACIONES%20REDEBAN/FACTURACION/2025/OCTUBRE/Liquidacion%20CB%20Capacitaciones%20-%20Servicios%20Octubre%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row r="1">
          <cell r="B1" t="str">
            <v>Cerrado</v>
          </cell>
        </row>
        <row r="2">
          <cell r="BB2" t="str">
            <v>CAD</v>
          </cell>
        </row>
        <row r="3">
          <cell r="BB3" t="str">
            <v>DMA Barranquilla</v>
          </cell>
        </row>
        <row r="4">
          <cell r="BB4" t="str">
            <v>DMA Bogotá</v>
          </cell>
        </row>
        <row r="5">
          <cell r="BB5" t="str">
            <v xml:space="preserve">DMA Bucaramanga </v>
          </cell>
        </row>
        <row r="6">
          <cell r="BB6" t="str">
            <v>DMA Cali</v>
          </cell>
        </row>
        <row r="7">
          <cell r="BB7" t="str">
            <v>DMA Cartagena</v>
          </cell>
        </row>
        <row r="8">
          <cell r="BB8" t="str">
            <v>DMA Manizales</v>
          </cell>
        </row>
        <row r="9">
          <cell r="BB9" t="str">
            <v>DMA Medellin</v>
          </cell>
        </row>
        <row r="10">
          <cell r="BB10" t="str">
            <v xml:space="preserve">DMA MONTERIA </v>
          </cell>
        </row>
        <row r="11">
          <cell r="BB11" t="str">
            <v>DMA Pasto</v>
          </cell>
        </row>
        <row r="12">
          <cell r="BB12" t="str">
            <v>DMA Valledupar</v>
          </cell>
        </row>
        <row r="13">
          <cell r="BB13" t="str">
            <v>DMA Villavicencio</v>
          </cell>
        </row>
        <row r="14">
          <cell r="BB14" t="str">
            <v>ETB</v>
          </cell>
        </row>
        <row r="15">
          <cell r="BB15" t="str">
            <v>Línea de Comunicaciones</v>
          </cell>
        </row>
        <row r="16">
          <cell r="BB16" t="str">
            <v>Servicios para los clientes</v>
          </cell>
        </row>
        <row r="17">
          <cell r="BB17" t="str">
            <v>UNE</v>
          </cell>
        </row>
      </sheetData>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39">
          <cell r="A1139" t="str">
            <v>AMAZONAS</v>
          </cell>
        </row>
        <row r="1140">
          <cell r="A1140" t="str">
            <v>ANTIOQUIA</v>
          </cell>
        </row>
        <row r="1141">
          <cell r="A1141" t="str">
            <v>ARAUCA</v>
          </cell>
        </row>
        <row r="1142">
          <cell r="A1142" t="str">
            <v>ATLANTICO</v>
          </cell>
        </row>
        <row r="1143">
          <cell r="A1143" t="str">
            <v>BOGOTA</v>
          </cell>
        </row>
        <row r="1144">
          <cell r="A1144" t="str">
            <v>BOLIVAR</v>
          </cell>
        </row>
        <row r="1145">
          <cell r="A1145" t="str">
            <v>BOYACA</v>
          </cell>
        </row>
        <row r="1146">
          <cell r="A1146" t="str">
            <v>CALDAS</v>
          </cell>
        </row>
        <row r="1147">
          <cell r="A1147" t="str">
            <v>CAQUETA</v>
          </cell>
        </row>
        <row r="1148">
          <cell r="A1148" t="str">
            <v>CASANARE</v>
          </cell>
        </row>
        <row r="1149">
          <cell r="A1149" t="str">
            <v>CAUCA</v>
          </cell>
        </row>
        <row r="1150">
          <cell r="A1150" t="str">
            <v>CESAR</v>
          </cell>
        </row>
        <row r="1151">
          <cell r="A1151" t="str">
            <v>CHOCO</v>
          </cell>
        </row>
        <row r="1152">
          <cell r="A1152" t="str">
            <v>CORDOBA</v>
          </cell>
        </row>
        <row r="1153">
          <cell r="A1153" t="str">
            <v>CUNDINAMARCA</v>
          </cell>
        </row>
        <row r="1154">
          <cell r="A1154" t="str">
            <v>GUAINIA</v>
          </cell>
        </row>
        <row r="1155">
          <cell r="A1155" t="str">
            <v>GUAJIRA</v>
          </cell>
        </row>
        <row r="1156">
          <cell r="A1156" t="str">
            <v>GUAVIARE</v>
          </cell>
        </row>
        <row r="1157">
          <cell r="A1157" t="str">
            <v>HUILA</v>
          </cell>
        </row>
        <row r="1158">
          <cell r="A1158" t="str">
            <v>MAGDALENA</v>
          </cell>
        </row>
        <row r="1159">
          <cell r="A1159" t="str">
            <v>META</v>
          </cell>
        </row>
        <row r="1160">
          <cell r="A1160" t="str">
            <v>NORTE_SANTANDER</v>
          </cell>
        </row>
        <row r="1161">
          <cell r="A1161" t="str">
            <v>NARIÑO</v>
          </cell>
        </row>
        <row r="1162">
          <cell r="A1162" t="str">
            <v>PUTUMAYO</v>
          </cell>
        </row>
        <row r="1163">
          <cell r="A1163" t="str">
            <v>QUINDIO</v>
          </cell>
        </row>
        <row r="1164">
          <cell r="A1164" t="str">
            <v>RISARALDA</v>
          </cell>
        </row>
        <row r="1165">
          <cell r="A1165" t="str">
            <v>SAN_ANDRES_PROV</v>
          </cell>
        </row>
        <row r="1166">
          <cell r="A1166" t="str">
            <v>SANTANDER</v>
          </cell>
        </row>
        <row r="1167">
          <cell r="A1167" t="str">
            <v>SUCRE</v>
          </cell>
        </row>
        <row r="1168">
          <cell r="A1168" t="str">
            <v>TOLIMA</v>
          </cell>
        </row>
        <row r="1169">
          <cell r="A1169" t="str">
            <v>VALLE</v>
          </cell>
        </row>
        <row r="1170">
          <cell r="A1170" t="str">
            <v>VAUPES</v>
          </cell>
        </row>
        <row r="1171">
          <cell r="A1171" t="str">
            <v>VICHADA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sheetName val="Cerrados Abril"/>
      <sheetName val="Cerrados Mayo"/>
      <sheetName val="OC Abiertas"/>
      <sheetName val="OC AVAL"/>
      <sheetName val="Cierres"/>
      <sheetName val="Cierres AVAL"/>
      <sheetName val="Rollos RBM"/>
      <sheetName val="Cerrados Marzo"/>
      <sheetName val="TIPOLOGÍAS REALES"/>
      <sheetName val="Listas desplegables"/>
      <sheetName val="Migraciones"/>
      <sheetName val="MEGA LIN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CITACIONES "/>
      <sheetName val="BASE FACTURACION 2025"/>
      <sheetName val="Tabla dinámica"/>
      <sheetName val="CAPACITACIONES APERTURAS"/>
      <sheetName val="CAPACITACION OC "/>
      <sheetName val="CENTRO DE COSTOS"/>
    </sheetNames>
    <sheetDataSet>
      <sheetData sheetId="0" refreshError="1"/>
      <sheetData sheetId="1" refreshError="1"/>
      <sheetData sheetId="2" refreshError="1"/>
      <sheetData sheetId="3" refreshError="1"/>
      <sheetData sheetId="4" refreshError="1">
        <row r="1">
          <cell r="A1" t="str">
            <v>Ciudad Sede</v>
          </cell>
        </row>
        <row r="3">
          <cell r="AW3">
            <v>0</v>
          </cell>
        </row>
      </sheetData>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9915509263" createdVersion="8" refreshedVersion="8" minRefreshableVersion="3" recordCount="74" xr:uid="{A228E379-5B57-4B2F-AA6C-E4DA1A778F95}">
  <cacheSource type="worksheet">
    <worksheetSource ref="A1:AC1048576" sheet="CAPACITACIONES_APERTURAS"/>
  </cacheSource>
  <cacheFields count="29">
    <cacheField name="CIUDAD SEDE" numFmtId="0">
      <sharedItems containsBlank="1"/>
    </cacheField>
    <cacheField name="ZONA" numFmtId="0">
      <sharedItems containsBlank="1" count="9">
        <s v="SUROCCIDENTE Y EJE CAFETERO"/>
        <s v="COSTA"/>
        <s v="NOROCCIDENTE"/>
        <s v="SANTANDERES"/>
        <s v="CENTRO"/>
        <s v="ORIENTE"/>
        <s v="SUROCCIDENTE"/>
        <s v="EJE CAFETERO"/>
        <m/>
      </sharedItems>
    </cacheField>
    <cacheField name="CENTRO DE COSTOS LINEACOM" numFmtId="0">
      <sharedItems containsBlank="1" count="8">
        <s v="0004-0003"/>
        <s v="0004-0002"/>
        <s v="0004-0001"/>
        <s v="0004-0005"/>
        <s v="0004-0008"/>
        <s v="0004-0004"/>
        <s v="0004-0007"/>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11-27T08:00:00" maxDate="2025-12-24T08:00:00"/>
    </cacheField>
    <cacheField name="FECHA ULTIMA ACTUALIZACION" numFmtId="0">
      <sharedItems containsNonDate="0" containsDate="1" containsString="0" containsBlank="1" minDate="2025-12-02T18:33:00" maxDate="2025-12-30T14:39: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CAPACITACION COMPLETA" numFmtId="0">
      <sharedItems containsString="0" containsBlank="1" containsNumber="1" containsInteger="1" minValue="1" maxValue="1"/>
    </cacheField>
    <cacheField name="CAPACITACION ESPECIFICA" numFmtId="0">
      <sharedItems containsString="0" containsBlank="1" containsNumber="1" containsInteger="1" minValue="0" maxValue="0"/>
    </cacheField>
    <cacheField name="VALOR DIAS ACTIVIDAD FACTURABLES" numFmtId="0">
      <sharedItems containsString="0" containsBlank="1" containsNumber="1" containsInteger="1" minValue="122645" maxValue="122645"/>
    </cacheField>
    <cacheField name="VALOR DIAS ACOMPAÑAMIENTO FACTURABLES" numFmtId="0">
      <sharedItems containsString="0" containsBlank="1" containsNumber="1" containsInteger="1" minValue="65165" maxValue="65165"/>
    </cacheField>
    <cacheField name="VALOR TOTAL" numFmtId="0">
      <sharedItems containsString="0" containsBlank="1" containsNumber="1" containsInteger="1" minValue="122645" maxValue="12264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
  <r>
    <s v="PASTO"/>
    <x v="0"/>
    <x v="0"/>
    <s v="86865"/>
    <s v="TA-25-1330515"/>
    <s v="3007082070"/>
    <s v="APERTURA"/>
    <s v="CB CRECIMIENTO ALIANZA - OTRAS LISTAS"/>
    <s v="PUTUMAYO"/>
    <s v="VALLE DEL GUAMUEZ"/>
    <s v="DISTRICOL ESTILO REAL"/>
    <s v="REDEBAN"/>
    <s v="FO-25-1884068"/>
    <d v="2025-11-27T08:00:00"/>
    <d v="2025-12-02T18:33:00"/>
    <s v="AGREGADOR"/>
    <s v="DISTRICOL"/>
    <s v="EJECUTADO"/>
    <s v="26/11/2025 26-11 PROGRAMACION REALIZADA POR LA ALIANZA| INSTALACIÓN PROGRAMADA PARA EL 2025-11-28 | 30/11/2025 SE REALIZARA DESPLAZAMIENTO EL DIA 1 DE DICIEMBRE YA QUE POR CIERRE DE VIA HACIA PUTUMAYO NO SE HA PODIDO REALIZAR | 22/12/2025 SE LLEGA A SITIO A REALIZAR INSTALACIÓN DE CORRESPONSAL BANCARIO SE CONFIGURA EQUIPO SE INICIALIZA SE REALIZA PRUEBAS DE FUNCIONAMIENTO FALLIDAS EQUIPO EN RECHAZO GENERAL SE REALIZA CAMBIO DE EQUIPO FALLA PERSISTE SE ESCALA A RBM MAIRA ALEJANDRO AUTORIZA CERRAR ORDEN POR POSIBLE BLOQUEO POR PARTE DE LA ENTIDAD SE LE INFORMA A CLIENTE QUE SE ESTÁ ALA ESPERA RESPUESTA PARA QUE PUEDA EMPEZAR A OPERAR  INSTALACION DE  PUBLICIDAD OK CAPACITACIÓN OK"/>
    <s v="VISITA TECNICA"/>
    <s v="OB004867"/>
    <s v="TIPO IV"/>
    <s v="TERRESTRE"/>
    <s v="BRAVO MADROÑERO OSCAR ESTEBAN"/>
    <n v="1"/>
    <n v="0"/>
    <n v="122645"/>
    <n v="65165"/>
    <n v="122645"/>
  </r>
  <r>
    <s v="MANIZALES"/>
    <x v="0"/>
    <x v="1"/>
    <s v="17001"/>
    <s v="TA-25-1382428"/>
    <s v="3007082464"/>
    <s v="APERTURA"/>
    <s v="CB CRECIMIENTO ALIANZA - NUEVO"/>
    <s v="CALDAS"/>
    <s v="MANIZALES"/>
    <s v="DISTRICOL DROGUERIA GENERIK"/>
    <s v="REDEBAN"/>
    <s v="FO-25-1949034"/>
    <d v="2025-12-10T08:00:00"/>
    <d v="2025-12-11T17:00:00"/>
    <m/>
    <m/>
    <s v="EJECUTADO"/>
    <s v="09/12/2025 09-12 PROGRAMACION REALIZADA POR LA ALIANZA| INSTALACIÓN PROGRAMADA PARA EL 2025-12-11 | 11/12/2025 SE REALIZA INSTALACIÓN DE DATAFONO Y ACCESORIOS BASE LECTOR 40 ROLLOS Y PUBLICIDAD SE CAPACITA AL COMERCIO SE CREAN USUARIOS SE HACEN PRUEBAS DE CONSULTA DE SALDO SOLAMENTE YA QUE USUARIO NO CUENTA CON HERRAMIENTAS PARA REALIZAR RETIRO RECAUDO NI CONSIGNACIÓN SERVICIO OK"/>
    <s v="VISITA TECNICA"/>
    <s v="DA006233"/>
    <s v="TIPO I"/>
    <s v="TERRESTRE"/>
    <s v="AGUIRRE HENAO RAUL EDUARDO"/>
    <n v="1"/>
    <n v="0"/>
    <n v="122645"/>
    <n v="65165"/>
    <n v="122645"/>
  </r>
  <r>
    <s v="VALLEDUPAR"/>
    <x v="1"/>
    <x v="2"/>
    <s v="20011"/>
    <s v="TA-25-1382429"/>
    <s v="3007082460"/>
    <s v="APERTURA"/>
    <s v="CB CRECIMIENTO ALIANZA - NUEVO"/>
    <s v="CESAR"/>
    <s v="AGUACHICA"/>
    <s v="DISTRIOL PAPELERIA PERF ZAMI"/>
    <s v="REDEBAN"/>
    <s v="FO-25-1949036"/>
    <d v="2025-12-10T08:00:00"/>
    <d v="2025-12-11T12:30:00"/>
    <m/>
    <m/>
    <s v="EJECUTADO"/>
    <s v="09/12/2025 09-12 PROGRAMACION REALIZADA POR LA ALIANZA| INSTALACIÓN PROGRAMADA PARA EL 2025-12-11 | 11/12/2025 SE REALIZA APERTURA DE CB, SE INSTALA DATAFONO, LECTOR Y PINPAD, YA QUE CLIENTE CONTABA CON VIDRIO DE SEGURIDAD, SE INSTALA PUBLICIDAD, SE ENTREGAN 40 ROLLOS, SE BRINDA CAPACITACIÓN, SE REALIZAN PRUEBAS DE TRANSACCIONES, DEJANDO SERVICIO FUNCIONAL AL 100 %"/>
    <s v="VISITA TECNICA"/>
    <s v="DA006234"/>
    <s v="TIPO IV"/>
    <s v="TERRESTRE"/>
    <s v="MONTES DIAZ JOHN FRED"/>
    <n v="1"/>
    <n v="0"/>
    <n v="122645"/>
    <n v="65165"/>
    <n v="122645"/>
  </r>
  <r>
    <s v="PASTO"/>
    <x v="0"/>
    <x v="0"/>
    <s v="52001"/>
    <s v="TA-25-1382430"/>
    <s v="3007082466"/>
    <s v="APERTURA"/>
    <s v="CB CRECIMIENTO ALIANZA - NUEVO"/>
    <s v="NARIÑO"/>
    <s v="PASTO"/>
    <s v="DISTRICOL CENTROMARKET"/>
    <s v="REDEBAN"/>
    <s v="FO-25-1949039"/>
    <d v="2025-12-10T08:00:00"/>
    <d v="2025-12-11T14:56:00"/>
    <m/>
    <m/>
    <s v="EJECUTADO"/>
    <s v="09/12/2025 09-12 PROGRAMACION REALIZADA POR LA ALIANZA| INSTALACIÓN PROGRAMADA PARA EL 2025-12-11 | 11/12/2025 SE REALIZÓ LA INSTALACIÓN DE EQUIPOS PUBLICIDAD Y ACCESORIOS PARA APERTURA CB BANCOLOMBIA SE DIO CAPACITACIÓN MANEJO DE DATÁFONO CB Y SOMOS BANCOLOMBIA SE EJECUTAN PRUEBAS TX EXITOSAS QUEDA OPERATIVO."/>
    <s v="VISITA TECNICA"/>
    <s v="DA006235"/>
    <s v="TIPO I"/>
    <s v="TERRESTRE"/>
    <s v="REMICIO AMADO JOHN HEBER"/>
    <n v="1"/>
    <n v="0"/>
    <n v="122645"/>
    <n v="65165"/>
    <n v="122645"/>
  </r>
  <r>
    <s v="MEDELLIN"/>
    <x v="2"/>
    <x v="3"/>
    <s v="5001"/>
    <s v="TA-25-1393484"/>
    <s v="3007082483"/>
    <s v="APERTURA"/>
    <s v="CB CRECIMIENTO ALIANZA - NUEVO"/>
    <s v="ANTIOQUIA"/>
    <s v="MEDELLIN"/>
    <s v="PTM MEDELLIN PLANET SHOPPING"/>
    <s v="REDEBAN"/>
    <s v="FO-25-1959628"/>
    <d v="2025-12-12T08:00:00"/>
    <d v="2025-12-12T16:20:00"/>
    <s v="AGREGADOR"/>
    <s v="COMCARD - PTM"/>
    <s v="EJECUTADO"/>
    <s v="11/12/2025 11-12 PROGRAMACION REALIZADA POR LA ALIANZA| INSTALACIÓN PROGRAMADA PARA EL 2025-12-12 | 12/12/2025 INSTALACIÓN DE CB MIXTO OK PUBLICIDAD Y CAPACITACIÓN OK PRUEBAS SOLO CONSULTA DE SALDO NO HAY PARA MÁS CUBRE CLAVE OK NO TELECARGA"/>
    <s v="VISITA TECNICA"/>
    <s v="DA007308"/>
    <s v="TIPO I"/>
    <s v="TERRESTRE"/>
    <s v="PAREJA ECHAVARRIA JHON DAVID"/>
    <n v="1"/>
    <n v="0"/>
    <n v="122645"/>
    <n v="65165"/>
    <n v="122645"/>
  </r>
  <r>
    <s v="MEDELLIN"/>
    <x v="2"/>
    <x v="3"/>
    <s v="5001"/>
    <s v="TA-25-1393485"/>
    <s v="3007082484"/>
    <s v="APERTURA"/>
    <s v="CB CRECIMIENTO ALIANZA - NUEVO"/>
    <s v="ANTIOQUIA"/>
    <s v="MEDELLIN"/>
    <s v="PTM MEDELLIN SURTIBELLEZA LOS"/>
    <s v="REDEBAN"/>
    <s v="FO-25-1959631"/>
    <d v="2025-12-12T08:00:00"/>
    <d v="2025-12-12T13:56:00"/>
    <s v="AGREGADOR"/>
    <s v="COMCARD - PTM"/>
    <s v="EJECUTADO"/>
    <s v="11/12/2025 11-12 PROGRAMACION REALIZADA POR LA ALIANZA| INSTALACIÓN PROGRAMADA PARA EL 2025-12-12 | 15/12/2025 INSTALACIÓN DE CB MIXTO OK PUBLICIDAD Y CAPACITACIÓN OK PRUEBAS SOLO CONSULTA SALDO NO HAY MAS CUBRE CLAVE OK NO TELECARGA"/>
    <s v="VISITA TECNICA"/>
    <s v="DA007309"/>
    <s v="TIPO I"/>
    <s v="TERRESTRE"/>
    <s v="PAREJA ECHAVARRIA JHON DAVID"/>
    <n v="1"/>
    <n v="0"/>
    <n v="122645"/>
    <n v="65165"/>
    <n v="122645"/>
  </r>
  <r>
    <s v="MEDELLIN"/>
    <x v="2"/>
    <x v="3"/>
    <s v="5001"/>
    <s v="TA-25-1393486"/>
    <s v="3007082485"/>
    <s v="APERTURA"/>
    <s v="CB CRECIMIENTO ALIANZA - NUEVO"/>
    <s v="ANTIOQUIA"/>
    <s v="MEDELLIN"/>
    <s v="PTM MEDELLIN MINIMERCADO EL MA"/>
    <s v="REDEBAN"/>
    <s v="FO-25-1959633"/>
    <d v="2025-12-12T08:00:00"/>
    <d v="2025-12-12T15:01:00"/>
    <s v="AGREGADOR"/>
    <s v="COMCARD - PTM"/>
    <s v="EJECUTADO"/>
    <s v="11/12/2025 11-12 PROGRAMACION REALIZADA POR LA ALIANZA| INSTALACIÓN PROGRAMADA PARA EL 2025-12-12 | 12/12/2025 SE HACE APERTURA DE CB EXITOSAMENTE"/>
    <s v="VISITA TECNICA"/>
    <s v="DA007310"/>
    <s v="TIPO I"/>
    <s v="TERRESTRE"/>
    <s v="RUA ALVAREZ RICHARD ANDRES"/>
    <n v="1"/>
    <n v="0"/>
    <n v="122645"/>
    <n v="65165"/>
    <n v="122645"/>
  </r>
  <r>
    <s v="TUNJA"/>
    <x v="3"/>
    <x v="4"/>
    <s v="15516"/>
    <s v="TA-25-1393487"/>
    <s v="3007082475"/>
    <s v="APERTURA"/>
    <s v="CB CRECIMIENTO ALIANZA - NUEVO"/>
    <s v="BOYACA"/>
    <s v="PAIPA"/>
    <s v="PTM PAIPA FARMA DIAZ MAS"/>
    <s v="REDEBAN"/>
    <s v="FO-25-1959638"/>
    <d v="2025-12-12T08:00:00"/>
    <d v="2025-12-15T15:19:00"/>
    <s v="AGREGADOR"/>
    <s v="COMCARD - PTM"/>
    <s v="EJECUTADO"/>
    <s v="11/12/2025 11-12 PROGRAMACION REALIZADA POR LA ALIANZA| INSTALACIÓN PROGRAMADA PARA EL 2025-12-15 | 15/12/2025 SE REALIZA VISITA AL COMERCIO, SE INSTALAN EQUIPOS Y ACCESORIOS, SE CAPACITA AL CLIENTE Y SE HACEN PRUEBAS OK."/>
    <s v="VISITA TECNICA"/>
    <s v="DA007311"/>
    <s v="TIPO II"/>
    <s v="TERRESTRE"/>
    <s v="SOLER HOYOS CRISTIAN LEONARDO"/>
    <n v="1"/>
    <n v="0"/>
    <n v="122645"/>
    <n v="65165"/>
    <n v="122645"/>
  </r>
  <r>
    <s v="BOGOTA"/>
    <x v="4"/>
    <x v="5"/>
    <s v="25269"/>
    <s v="TA-25-1393489"/>
    <s v="3007082472"/>
    <s v="APERTURA"/>
    <s v="CB CRECIMIENTO ALIANZA - NUEVO"/>
    <s v="CUNDINAMARCA"/>
    <s v="FACATATIVA"/>
    <s v="PTM FACATATIVA AUTO SERVICIO E"/>
    <s v="REDEBAN"/>
    <s v="FO-25-1959649"/>
    <d v="2025-12-12T08:00:00"/>
    <d v="2025-12-12T13:53:00"/>
    <s v="AGREGADOR"/>
    <s v="COMCARD - PTM"/>
    <s v="EJECUTADO"/>
    <s v="11/12/2025 11-12 PROGRAMACION REALIZADA POR LA ALIANZA| INSTALACIÓN PROGRAMADA PARA EL 2025-12-12 | 12/12/2025 APERTURA BANCOLOMBIA OK CAPACITACIÓN OK PUBLICIDAD OK SERVICIO OPERATIVO SE REALIZA PRUEBAS CON INFORMACIÓN QUE NOS SUMINISTRO EL CLIENTE"/>
    <s v="VISITA TECNICA"/>
    <s v="DA007314 - DA007184"/>
    <s v="TIPO II"/>
    <s v="TERRESTRE"/>
    <s v="HERNANDEZ NARANJO OSCAR EDUARDO"/>
    <n v="1"/>
    <n v="0"/>
    <n v="122645"/>
    <n v="65165"/>
    <n v="122645"/>
  </r>
  <r>
    <s v="BOGOTA"/>
    <x v="4"/>
    <x v="5"/>
    <s v="25473"/>
    <s v="TA-25-1393490"/>
    <s v="3007082474"/>
    <s v="APERTURA"/>
    <s v="CB CRECIMIENTO ALIANZA - NUEVO"/>
    <s v="CUNDINAMARCA"/>
    <s v="MOSQUERA"/>
    <s v="PTM MOSQUERA PAPELERIA LISETTE"/>
    <s v="REDEBAN"/>
    <s v="FO-25-1959655"/>
    <d v="2025-12-12T08:00:00"/>
    <d v="2025-12-12T12:23:00"/>
    <s v="AGREGADOR"/>
    <s v="COMCARD - PTM"/>
    <s v="EJECUTADO"/>
    <s v="11/12/2025 11-12 PROGRAMACION REALIZADA POR LA ALIANZA| INSTALACIÓN PROGRAMADA PARA EL 2025-12-12 | 12/12/2025 SE REALIZA INSTALACIÓN DE DATAFONO LECTOR BASE PUBLICIDAD COMPLETA SE CAPACITA COMERCIO SE REALIZAN PRUEBAS OK NO SE TIENE TARJETA DE BANCOLOMBIA"/>
    <s v="VISITA TECNICA"/>
    <s v="DA007315"/>
    <s v="TIPO I"/>
    <s v="TERRESTRE"/>
    <s v="SOTO LONDOÑO FREDY ALEXANDER"/>
    <n v="1"/>
    <n v="0"/>
    <n v="122645"/>
    <n v="65165"/>
    <n v="122645"/>
  </r>
  <r>
    <s v="BOGOTA"/>
    <x v="4"/>
    <x v="5"/>
    <s v="25817"/>
    <s v="TA-25-1393492"/>
    <s v="3007082480"/>
    <s v="APERTURA"/>
    <s v="CB CRECIMIENTO ALIANZA - NUEVO"/>
    <s v="CUNDINAMARCA"/>
    <s v="TOCANCIPA"/>
    <s v="PTM TOCANCIPA LOKYAN DIVERTPAR"/>
    <s v="REDEBAN"/>
    <s v="FO-25-1959661"/>
    <d v="2025-12-12T08:00:00"/>
    <d v="2025-12-12T13:44:00"/>
    <s v="AGREGADOR"/>
    <s v="COMCARD - PTM"/>
    <s v="EJECUTADO"/>
    <s v="11/12/2025 11-12 PROGRAMACION REALIZADA POR LA ALIANZA| INSTALACIÓN PROGRAMADA PARA EL 2025-12-12 | 12/12/2025 INSTALACIÓN BANCOLOMBIA CON PUBLICIDAD DATAFONO LECTORA ROLLOS BASE FUENTE DATOS SERVICIO OPERATIVO PRUEBAS OK CON UNA CONSULTA DE SALDO NO HAY VINO HACER CONSIGNACION O RETIRO TRNA RBM SE INSTALA CUBRE TECLADO"/>
    <s v="VISITA TECNICA"/>
    <s v="DA007316"/>
    <s v="TIPO II"/>
    <s v="TERRESTRE"/>
    <s v="BUSTOS MORA DIEGO MANUEL"/>
    <n v="1"/>
    <n v="0"/>
    <n v="122645"/>
    <n v="65165"/>
    <n v="122645"/>
  </r>
  <r>
    <s v="MEDELLIN"/>
    <x v="2"/>
    <x v="3"/>
    <s v="27361"/>
    <s v="TA-25-1393494"/>
    <s v="3007082473"/>
    <s v="APERTURA"/>
    <s v="CB CRECIMIENTO ALIANZA - NUEVO"/>
    <s v="CHOCO"/>
    <s v="ISTMINA"/>
    <s v="PTM ISTMINA TIENDA Y VARIEDADE"/>
    <s v="REDEBAN"/>
    <s v="FO-25-1959664"/>
    <d v="2025-12-12T08:00:00"/>
    <d v="2025-12-18T17:04:00"/>
    <s v="AGREGADOR"/>
    <s v="COMCARD - PTM"/>
    <s v="EJECUTADO"/>
    <s v="11/12/2025 11-12 PROGRAMACION REALIZADA POR LA ALIANZA| INSTALACIÓN PROGRAMADA PARA EL 2025-12-18 | 19/12/2025 SE REALIZA INSTALACIÓN, CAPACITACION Y PRUEBAS CON EL CLIENTE YBEL CB QUEDA OPERATIVO"/>
    <s v="VISITA TECNICA"/>
    <s v="DA007188 - DA007317"/>
    <s v="TIPO V"/>
    <s v="AEREO"/>
    <s v="ROBLEDO DIAZ ANDRES FELIPE"/>
    <n v="1"/>
    <n v="0"/>
    <n v="122645"/>
    <n v="65165"/>
    <n v="122645"/>
  </r>
  <r>
    <s v="VILLAVICENCIO"/>
    <x v="5"/>
    <x v="6"/>
    <s v="50573"/>
    <s v="TA-25-1393495"/>
    <s v="3007082479"/>
    <s v="APERTURA"/>
    <s v="CB CRECIMIENTO ALIANZA - NUEVO"/>
    <s v="META"/>
    <s v="PUERTO LOPEZ"/>
    <s v="PTM META VARIEDADES JOBAP"/>
    <s v="REDEBAN"/>
    <s v="FO-25-1959667"/>
    <d v="2025-12-12T08:00:00"/>
    <d v="2025-12-15T13:24:00"/>
    <s v="AGREGADOR"/>
    <s v="COMCARD - PTM"/>
    <s v="EJECUTADO"/>
    <s v="11/12/2025 11-12 PROGRAMACION REALIZADA POR LA ALIANZA| INSTALACIÓN PROGRAMADA PARA EL 2025-12-15 | 17/12/2025 SE REALIZA INSTALACION  CORRESPONSAL BANCOLOMBIA, SE REALIZAN PRUEBAS Y CAPACITACIÓN TODO OK"/>
    <s v="VISITA TECNICA"/>
    <s v="DA007318 - DA007189"/>
    <s v="TIPO II"/>
    <s v="TERRESTRE"/>
    <s v="PEDREROS CONTRERAS MICHAEL STEVENS"/>
    <n v="1"/>
    <n v="0"/>
    <n v="122645"/>
    <n v="65165"/>
    <n v="122645"/>
  </r>
  <r>
    <s v="CALI"/>
    <x v="6"/>
    <x v="0"/>
    <s v="76520"/>
    <s v="TA-25-1393496"/>
    <s v="3007082476"/>
    <s v="APERTURA"/>
    <s v="CB CRECIMIENTO ALIANZA - NUEVO"/>
    <s v="VALLE DEL CAUCA"/>
    <s v="PALMIRA"/>
    <s v="PTM PALMIRA TIENDA Y VARIEDADE"/>
    <s v="REDEBAN"/>
    <s v="FO-25-1959673"/>
    <d v="2025-12-12T08:00:00"/>
    <d v="2025-12-15T06:43:00"/>
    <s v="AGREGADOR"/>
    <s v="COMCARD - PTM"/>
    <s v="EJECUTADO"/>
    <s v="11/12/2025 11-12 PROGRAMACION REALIZADA POR LA ALIANZA| INSTALACIÓN PROGRAMADA PARA EL 2025-12-15 | 15/12/2025 SE REALIZÓ LA INSTALACIÓN DE EL CORRESPONSAL BANCOLOMBIA MIXTO, DATÁFONO, LECTOR, MAGIC BOX 2600 BASE SOPORTE DE EL DATÁFONO Y SE IMPLEMENTARON LOS ROLLOS Y LA PUBLICIDAD DE BANCOLOMBIA,SE BRINDA CAPACITACIÓN Y SE REALIZARON LAS PRUEBAS CON EL CLIENTE DEJANDO EL SERVICIO OPERANDO SIN FALLAS Y SIN NOVEDAD."/>
    <s v="VISITA TECNICA"/>
    <s v="DA007320 -DA007190"/>
    <s v="TIPO I"/>
    <s v="TERRESTRE"/>
    <s v="SANCHEZ URREGO ROBINSON DAVID"/>
    <n v="1"/>
    <n v="0"/>
    <n v="122645"/>
    <n v="65165"/>
    <n v="122645"/>
  </r>
  <r>
    <s v="BOGOTA"/>
    <x v="4"/>
    <x v="5"/>
    <s v="11001"/>
    <s v="TA-25-1393497"/>
    <s v="3007082470"/>
    <s v="APERTURA"/>
    <s v="CB CRECIMIENTO ALIANZA - NUEVO"/>
    <s v="CUNDINAMARCA"/>
    <s v="BOGOTA"/>
    <s v="PTM BOGOTA PAGAYA"/>
    <s v="REDEBAN"/>
    <s v="FO-25-1959679"/>
    <d v="2025-12-12T08:00:00"/>
    <d v="2025-12-12T12:00:00"/>
    <s v="AGREGADOR"/>
    <s v="COMCARD - PTM"/>
    <s v="EJECUTADO"/>
    <s v="11/12/2025 11-12 PROGRAMACION REALIZADA POR LA ALIANZA| INSTALACIÓN PROGRAMADA PARA EL 2025-12-12 | 12/12/2025 INSTALACIÓN DE CORRESPONSAL OK PRUEBA OK CAPACITACIÓN SOMOS BANCOLOMBIA OK CAPACITACIÓN IVA OK CAPACITACIÓN DATAFONO OK PAPELERÍA OK NO SE CUENTA CON TARJETA DE PRUEBA NI POR PARTE DE CLIENTE NO DEL TÉCNICO PARA REALIZAR PRUEBAS"/>
    <s v="VISITA TECNICA"/>
    <s v="DA007322 - AE006288"/>
    <s v="TIPO I"/>
    <s v="TERRESTRE"/>
    <s v="GOMEZ VEGA DAVID SNEYDER"/>
    <n v="1"/>
    <n v="0"/>
    <n v="122645"/>
    <n v="65165"/>
    <n v="122645"/>
  </r>
  <r>
    <s v="MONTERIA"/>
    <x v="1"/>
    <x v="2"/>
    <s v="23555"/>
    <s v="TA-25-1393501"/>
    <s v="3007082477"/>
    <s v="APERTURA"/>
    <s v="CB CRECIMIENTO ALIANZA - NUEVO"/>
    <s v="CORDOBA"/>
    <s v="PLANETA RICA"/>
    <s v="DISTRICOL BARBERIA MR MONKEY"/>
    <s v="REDEBAN"/>
    <s v="FO-25-1959695"/>
    <d v="2025-12-12T08:00:00"/>
    <d v="2025-12-12T14:13:00"/>
    <s v="AGREGADOR"/>
    <s v="DISTRICOL"/>
    <s v="EJECUTADO"/>
    <s v="11/12/2025 11-12 PROGRAMACION REALIZADA POR LA ALIANZA| INSTALACIÓN PROGRAMADA PARA EL 2025-12-12 | 12/12/2025 SE REALIZA APERTURA DE CB, SE DEJA INSTALADO DATAFONO PLACA 1196644, LECTOR ÓPTICO PLACA 114348, AVISO EXTERIOR, FLANGGER, DISPLAY HORARIO, OTROS LUGARES, CUBRE CLAVES Y ACCESORIOS, SE REALIZAN PRUEBAS Y SE DEJA EL CB LISTO PARA OPERACIONES."/>
    <s v="VISITA TECNICA"/>
    <s v="DA007312"/>
    <s v="TIPO II"/>
    <s v="TERRESTRE"/>
    <s v="CASSIANI PEREZ RAUL RAMIRO"/>
    <n v="1"/>
    <n v="0"/>
    <n v="122645"/>
    <n v="65165"/>
    <n v="122645"/>
  </r>
  <r>
    <s v="MONTERIA"/>
    <x v="1"/>
    <x v="2"/>
    <s v="23855"/>
    <s v="TA-25-1393502"/>
    <s v="3007082481"/>
    <s v="APERTURA"/>
    <s v="CB CRECIMIENTO ALIANZA - NUEVO"/>
    <s v="CORDOBA"/>
    <s v="VALENCIA"/>
    <s v="DISTRICOL ABARROTES Y LEGUMBRE"/>
    <s v="REDEBAN"/>
    <s v="FO-25-1959698"/>
    <d v="2025-12-12T08:00:00"/>
    <d v="2025-12-15T15:12:00"/>
    <s v="AGREGADOR"/>
    <s v="DISTRICOL"/>
    <s v="EJECUTADO"/>
    <s v="11/12/2025 11-12 PROGRAMACION REALIZADA POR LA ALIANZA| INSTALACIÓN PROGRAMADA PARA EL 2025-12-15 | 15/12/2025 SE REALIZA VISITA TÉCNICA PARA APERTURA DE CB, SE INSTALA DATAFONO PLACA 1192218, LECTORA SYMBOL PLACA 892689, AVISO EXTERIOR, FLANGGER, DISPLAY HORARIO, OTROS LUGARES, CUBRE CLAVES Y ACCESORIOS, SE REALIZA CAPACITACIÓN Y PRUEBAS DEJANDO CB LISTOS PARA OPERACIONES."/>
    <s v="VISITA TECNICA"/>
    <s v="DA007313"/>
    <s v="TIPO III"/>
    <s v="TERRESTRE"/>
    <s v="CASSIANI PEREZ RAUL RAMIRO"/>
    <n v="1"/>
    <n v="0"/>
    <n v="122645"/>
    <n v="65165"/>
    <n v="122645"/>
  </r>
  <r>
    <s v="CUCUTA"/>
    <x v="3"/>
    <x v="4"/>
    <s v="54001"/>
    <s v="TA-25-1393503"/>
    <s v="3007082471"/>
    <s v="APERTURA"/>
    <s v="CB CRECIMIENTO ALIANZA - NUEVO"/>
    <s v="NORTE DE SANTANDER"/>
    <s v="CUCUTA"/>
    <s v="DISTRICOL SURTI RINCON S"/>
    <s v="REDEBAN"/>
    <s v="FO-25-1959702"/>
    <d v="2025-12-12T08:00:00"/>
    <d v="2025-12-15T13:21:00"/>
    <s v="AGREGADOR"/>
    <s v="DISTRICOL"/>
    <s v="EJECUTADO"/>
    <s v="11/12/2025 11-12 PROGRAMACION REALIZADA POR LA ALIANZA| INSTALACIÓN PROGRAMADA PARA EL 2025-12-15 | 15/12/2025 SE REALIZA LLAMADA TELEFÓNICA AL NÚMERO 3028227979 SE HABLÓ CON EL SR ISLANDER, MANIFIESTA DISPONIBILIDAD, INTERNET TODO OK, SE PROCEDE A REALIZAR VISITA TÉCNICA | 15/12/2025 SE REALIZA VISITA AL COMERCIO Y SE REALIZA INSTALACIÓN DE DATAFONO, LECTORA, CABLEADO, IDENTIFICADOR DE PUNTO, CAPACITACIÓN SOMOS BANCOLOMBIA OK, PUBLICIDAD BANCOLOMBIA INSTALADA OK, PRUEBAS EXITOSAS"/>
    <s v="VISITA TECNICA"/>
    <s v="DA007319"/>
    <s v="TIPO I"/>
    <s v="TERRESTRE"/>
    <s v="MORA VEGA JEAMPIER"/>
    <n v="1"/>
    <n v="0"/>
    <n v="122645"/>
    <n v="65165"/>
    <n v="122645"/>
  </r>
  <r>
    <s v="PASTO"/>
    <x v="6"/>
    <x v="0"/>
    <s v="86568"/>
    <s v="TA-25-1393504"/>
    <s v="3007082478"/>
    <s v="APERTURA"/>
    <s v="CB CRECIMIENTO ALIANZA - NUEVO"/>
    <s v="PUTUMAYO"/>
    <s v="PUERTO ASIS"/>
    <s v="DISTRICOL ESTACION AVENIDA PAP"/>
    <s v="REDEBAN"/>
    <s v="FO-25-1959706"/>
    <d v="2025-12-12T08:00:00"/>
    <d v="2025-12-16T15:29:00"/>
    <s v="AGREGADOR"/>
    <s v="DISTRICOL"/>
    <s v="EJECUTADO"/>
    <s v="11/12/2025 11-12 PROGRAMACION REALIZADA POR LA ALIANZA| INSTALACIÓN PROGRAMADA PARA EL 2025-12-15 | 16/12/2025 SE REALIZA INSTALACIÓN DE CB. SE CAPACITA SOBRE SOMOS BANCOLOMBIA, MANEJO DE DATAFONO Y PARTE ADMINISTRATIVA. SE INSTALA AVISO EXTERIOR, FLANGER Y DISPLAY LEGAL CON INSERTO HORARIO, TARIFAS Y NÚMERO DE CB. SE ENTREGAN 40 ROLLOS. SE REALIZA PRUEBAS TX EXITOSAS. QUEDA OPERATIVO"/>
    <s v="VISITA TECNICA"/>
    <s v="DA007321"/>
    <s v="TIPO IV"/>
    <s v="TERRESTRE"/>
    <s v="CASTILLO HERRERA ALEX RICARDO"/>
    <n v="1"/>
    <n v="0"/>
    <n v="122645"/>
    <n v="65165"/>
    <n v="122645"/>
  </r>
  <r>
    <s v="MEDELLIN"/>
    <x v="2"/>
    <x v="3"/>
    <s v="5001"/>
    <s v="TA-25-1429935"/>
    <s v="3007082514"/>
    <s v="APERTURA"/>
    <s v="CB CRECIMIENTO ALIANZA - NUEVO"/>
    <s v="ANTIOQUIA"/>
    <s v="MEDELLIN"/>
    <s v="DISTRICOL SUPERMERCADO EL PLAN"/>
    <s v="REDEBAN"/>
    <s v="FO-25-1989973"/>
    <d v="2025-12-18T08:00:00"/>
    <d v="2025-12-19T12:22:00"/>
    <s v="AGREGADOR"/>
    <s v="DISTRICOL"/>
    <s v="EJECUTADO"/>
    <s v="17/12/2025 17-12 PROGRAMACION REALIZADA POR LA ALIANZA| INSTALACIÓN PROGRAMADA PARA EL 2025-12-19 | 19/12/2025 INSTALACIÓN DE CB PURO OK PUBLICIDAD Y CAPACITACIÓN OK PRUEBAS SOLO DEPOSITO NO HAY MAS CUBRE CLAVE OK NO TELECARGA"/>
    <s v="VISITA TECNICA"/>
    <s v="FB007684"/>
    <s v="TIPO I"/>
    <s v="TERRESTRE"/>
    <s v="PAREJA ECHAVARRIA JHON DAVID"/>
    <n v="1"/>
    <n v="0"/>
    <n v="122645"/>
    <n v="65165"/>
    <n v="122645"/>
  </r>
  <r>
    <s v="MEDELLIN"/>
    <x v="2"/>
    <x v="3"/>
    <s v="5615"/>
    <s v="TA-25-1429940"/>
    <s v="3007082503"/>
    <s v="APERTURA"/>
    <s v="CB CRECIMIENTO ALIANZA - NUEVO"/>
    <s v="ANTIOQUIA"/>
    <s v="RIONEGRO"/>
    <s v="PTM RIONEGRO LA MEJOR ESQUINA"/>
    <s v="REDEBAN"/>
    <s v="FO-25-1989979"/>
    <d v="2025-12-18T08:00:00"/>
    <d v="2025-12-19T14:05:00"/>
    <s v="AGREGADOR"/>
    <s v="COMCARD - PTM"/>
    <s v="EJECUTADO"/>
    <s v="17/12/2025 17-12 PROGRAMACION REALIZADA POR LA ALIANZA| INSTALACIÓN PROGRAMADA PARA EL 2025-12-19 | 19/12/2025 SE INSTALA CORRESPONSAL BANCARIO, PRUEBAS OK, SE REALIZA CAPACITACIÓN SOMOS BANCOLOMBIA Y DATAFONO"/>
    <s v="VISITA TECNICA"/>
    <s v="FB007686"/>
    <s v="TIPO II"/>
    <s v="TERRESTRE"/>
    <s v="BADEL ACUÑA LUIS ALBERTO"/>
    <n v="1"/>
    <n v="0"/>
    <n v="122645"/>
    <n v="65165"/>
    <n v="122645"/>
  </r>
  <r>
    <s v="MEDELLIN"/>
    <x v="2"/>
    <x v="3"/>
    <s v="5642"/>
    <s v="TA-25-1429942"/>
    <s v="3007082504"/>
    <s v="APERTURA"/>
    <s v="CB CRECIMIENTO ALIANZA - NUEVO"/>
    <s v="ANTIOQUIA"/>
    <s v="SALGAR"/>
    <s v="DISTRICOL ACCESORIOS 30"/>
    <s v="REDEBAN"/>
    <s v="FO-25-1989982"/>
    <d v="2025-12-18T08:00:00"/>
    <d v="2025-12-18T14:59:00"/>
    <s v="AGREGADOR"/>
    <s v="DISTRICOL"/>
    <s v="EJECUTADO"/>
    <s v="17/12/2025 17-12 PROGRAMACION REALIZADA POR LA ALIANZA| INSTALACIÓN PROGRAMADA PARA EL 2025-12-18 | 18/12/2025 SE REALIZA INSTALACIÓN DE EQUIPO, SE CAPACITA Y SE INSTALA PUBLICIDAD PRUEBAS EXITOSAS SERVICIO OPERATIVO OK"/>
    <s v="VISITA TECNICA"/>
    <s v="FB007687"/>
    <s v="TIPO II"/>
    <s v="TERRESTRE"/>
    <s v="ZAPATA LOPEZ EDWARD ASDRUBAL"/>
    <n v="1"/>
    <n v="0"/>
    <n v="122645"/>
    <n v="65165"/>
    <n v="122645"/>
  </r>
  <r>
    <s v="MEDELLIN"/>
    <x v="2"/>
    <x v="3"/>
    <s v="5674"/>
    <s v="TA-25-1429944"/>
    <s v="3007082511"/>
    <s v="APERTURA"/>
    <s v="CB CRECIMIENTO ALIANZA - NUEVO"/>
    <s v="ANTIOQUIA"/>
    <s v="SAN VICENTE"/>
    <s v="DISTRICOL BENDITA BELLEZA"/>
    <s v="REDEBAN"/>
    <s v="FO-25-1989985"/>
    <d v="2025-12-18T08:00:00"/>
    <d v="2025-12-19T15:07:00"/>
    <s v="AGREGADOR"/>
    <s v="DISTRICOL"/>
    <s v="EJECUTADO"/>
    <s v="17/12/2025 17-12 PROGRAMACION REALIZADA POR LA ALIANZA| INSTALACIÓN PROGRAMADA PARA EL 2025-12-19 | 19/12/2025 SE EJECUTA VISITA TÉCNICA PARA LA INSTALACIÓN DEL CORRESPONSAL BANCOLOMBIA EL USUARIO VALIDA SU IDENTIDAD Y DEFINE EL ÁREA DESTINADA PARA LA UBICACIÓN DEL EQUIPO SE VERIFICA QUE EL ESTABLECIMIENTO CUMPLA CON LOS REQUISITOS DE INFRAESTRUCTURA ELÉCTRICA DE RED Y DE SEGURIDAD CONFIRMANDO QUE TODO SE ENCUENTRA CONFORME EL USUARIO INFORMA QUE NO ES VIABLE INSTALAR EL AVISO EXTERIOR EN LA FACHADA DEBIDO A RESTRICCIONES DE DIMENSIONES MATERIAL DE LA SUPERFICIE Y DISPOSICIONES DE INSPECCIÓN MUNICIPAL POR LO CUAL SE PROCEDE A INSTALAR EL AVISO EN ÁREA INTERNA SE REALIZA LA CONFIGURACIÓN COMPLETA DEL TERMINAL INCLUYENDO PARÁMETROS DE RED PERIFÉRICOS Y PRUEBAS DE CONECTIVIDAD POSTERIORMENTE SE DESARROLLA CAPACITACIÓN AL USUARIO SOBRE LA PLATAFORMA SOMOS BANCOLOMBIA OPERACIÓN DE LOS DISPOSITIVOS Y FLUJO DE TRANSACCIONES FINALMENTE SE VALIDAN OPERACIONES DE PRUEBA CON RESULTADOS EXITOSOS DEJANDO EL PUNTO OPERATIVO EN CONDICIONES ÓPTIMAS"/>
    <s v="VISITA TECNICA"/>
    <s v="FB007688"/>
    <s v="TIPO II"/>
    <s v="TERRESTRE"/>
    <s v="MARTINEZ TOVAR OSCAR DAVID"/>
    <n v="1"/>
    <n v="0"/>
    <n v="122645"/>
    <n v="65165"/>
    <n v="122645"/>
  </r>
  <r>
    <s v="MEDELLIN"/>
    <x v="2"/>
    <x v="3"/>
    <s v="5679"/>
    <s v="TA-25-1429946"/>
    <s v="3007082506"/>
    <s v="APERTURA"/>
    <s v="CB CRECIMIENTO ALIANZA - NUEVO"/>
    <s v="ANTIOQUIA"/>
    <s v="SANTA BARBARA"/>
    <s v="PTM CORREGIMIENTO DE VERSALLES"/>
    <s v="REDEBAN"/>
    <s v="FO-25-1989991"/>
    <d v="2025-12-18T08:00:00"/>
    <d v="2025-12-19T14:05:00"/>
    <s v="AGREGADOR"/>
    <s v="COMCARD - PTM"/>
    <s v="EJECUTADO"/>
    <s v="17/12/2025 17-12 PROGRAMACION REALIZADA POR LA ALIANZA| INSTALACIÓN PROGRAMADA PARA EL 2025-12-19 | 19/12/2025 SE INSTALAN EQUIPOS OK"/>
    <s v="VISITA TECNICA"/>
    <s v="FB007689"/>
    <s v="TIPO II"/>
    <s v="TERRESTRE"/>
    <s v="QUINTERO SANCHEZ JUAN SEBASTIAN"/>
    <n v="1"/>
    <n v="0"/>
    <n v="122645"/>
    <n v="65165"/>
    <n v="122645"/>
  </r>
  <r>
    <s v="TUNJA"/>
    <x v="3"/>
    <x v="4"/>
    <s v="15238"/>
    <s v="TA-25-1429950"/>
    <s v="3007082505"/>
    <s v="APERTURA"/>
    <s v="CB CRECIMIENTO ALIANZA - NUEVO"/>
    <s v="BOYACA"/>
    <s v="DUITAMA"/>
    <s v="DISTRICOL GRAN MERKA EXITO"/>
    <s v="REDEBAN"/>
    <s v="FO-25-1989994"/>
    <d v="2025-12-18T08:00:00"/>
    <d v="2025-12-18T14:52:00"/>
    <s v="AGREGADOR"/>
    <s v="DISTRICOL"/>
    <s v="EJECUTADO"/>
    <s v="17/12/2025 17-12 PROGRAMACION REALIZADA POR LA ALIANZA| INSTALACIÓN PROGRAMADA PARA EL 2025-12-18 | 18/12/2025 SE LOGRA COMUNICACION CON EL CLIENTE, CLIENTE CONFIRMA VISITA, CONFIRMA ALTURA DE 2 METROS PARA EL AVISO EXTERIOR Y PUNTO DE RED. | 18/12/2025 SE REALIZA VISITA AL COMERCIO, SE INSTALAN EQUIPOS Y PUBLICIDAD, SE CAPACITA AL CLIENTE Y SE HACEN PRUEBAS OK."/>
    <s v="VISITA TECNICA"/>
    <s v="FB007690"/>
    <s v="TIPO II"/>
    <s v="TERRESTRE"/>
    <s v="SOLER HOYOS CRISTIAN LEONARDO"/>
    <n v="1"/>
    <n v="0"/>
    <n v="122645"/>
    <n v="65165"/>
    <n v="122645"/>
  </r>
  <r>
    <s v="BUCARAMANGA"/>
    <x v="3"/>
    <x v="4"/>
    <s v="20770"/>
    <s v="TA-25-1429953"/>
    <s v="3007082512"/>
    <s v="APERTURA"/>
    <s v="CB CRECIMIENTO ALIANZA - NUEVO"/>
    <s v="CESAR"/>
    <s v="SAN MARTIN"/>
    <s v="PTM SAN MARTIN THE BARBER SHOP"/>
    <s v="REDEBAN"/>
    <s v="FO-25-1989998"/>
    <d v="2025-12-18T08:00:00"/>
    <d v="2025-12-18T19:01:00"/>
    <s v="AGREGADOR"/>
    <s v="COMCARD - PTM"/>
    <s v="EJECUTADO"/>
    <s v="17/12/2025 17-12 PROGRAMACION REALIZADA POR LA ALIANZA| INSTALACIÓN PROGRAMADA PARA EL 2025-12-18 | 18/12/2025 CLIENTE CONTACTADO AL NÚMERO DE TELÉFONO 3184486559 , LA SEÑORITA YOHANA INDICA TENER DISPONIBILIDAD PARA HORAS DE LA TARDE | 19/12/2025 SE REALIZA APERTURA DE CB BANCOLOMBIA MIXTO , SE INSTALA DATAFONO LECTOR DE BARRAS BASE DE DATÁFONO USUARIO CAPACITACIÓN PUBLICIDAD COMPLETA PRUEBAS OK CUBRE CLAVE OK"/>
    <s v="VISITA TECNICA"/>
    <s v="FB007691 - FB007426"/>
    <s v="TIPO III"/>
    <s v="TERRESTRE"/>
    <s v="HERRERA LUQUE SAUL JAVIER"/>
    <n v="1"/>
    <n v="0"/>
    <n v="122645"/>
    <n v="65165"/>
    <n v="122645"/>
  </r>
  <r>
    <s v="BOGOTA"/>
    <x v="4"/>
    <x v="5"/>
    <s v="25307"/>
    <s v="TA-25-1429955"/>
    <s v="3007082507"/>
    <s v="APERTURA"/>
    <s v="CB CRECIMIENTO ALIANZA - NUEVO"/>
    <s v="CUNDINAMARCA"/>
    <s v="GIRARDOT"/>
    <s v="PTM GIRARDOT MISCELANEA YAPAME"/>
    <s v="REDEBAN"/>
    <s v="FO-25-1990000"/>
    <d v="2025-12-18T08:00:00"/>
    <d v="2025-12-19T14:50:00"/>
    <s v="AGREGADOR"/>
    <s v="COMCARD - PTM"/>
    <s v="EJECUTADO"/>
    <s v="17/12/2025 17-12 PROGRAMACION REALIZADA POR LA ALIANZA| INSTALACIÓN PROGRAMADA PARA EL 2025-12-19 | 19/12/2025 SE LLEGA A COMERCIO, SE REALIZA INSTALACIÓN APERTURA BANCOLOMBIA, CREANDO USUARIOS,BASE-DATAFONO-ROLLOS, AVISO EXTERIOR, PRUEBAS EXITOSAS."/>
    <s v="VISITA TECNICA"/>
    <s v="FB007692 - FB007424"/>
    <s v="TIPO III"/>
    <s v="TERRESTRE"/>
    <s v="ARIAS QUILINDO JULIAN"/>
    <n v="1"/>
    <n v="0"/>
    <n v="122645"/>
    <n v="65165"/>
    <n v="122645"/>
  </r>
  <r>
    <s v="VILLAVICENCIO"/>
    <x v="5"/>
    <x v="6"/>
    <s v="50313"/>
    <s v="TA-25-1429957"/>
    <s v="3007082509"/>
    <s v="APERTURA"/>
    <s v="CB CRECIMIENTO ALIANZA - NUEVO"/>
    <s v="META"/>
    <s v="GRANADA"/>
    <s v="DISTRICOL MERCA AHORRO J Y S"/>
    <s v="REDEBAN"/>
    <s v="FO-25-1990007"/>
    <d v="2025-12-18T08:00:00"/>
    <d v="2025-12-18T14:06:00"/>
    <s v="AGREGADOR"/>
    <s v="DISTRICOL"/>
    <s v="EJECUTADO"/>
    <s v="17/12/2025 17-12 PROGRAMACION REALIZADA POR LA ALIANZA| INSTALACIÓN PROGRAMADA PARA EL 2025-12-18 | 18/12/2025 SE REALIZA IMPLEMENTACIÓN DE CORRESPONSAL REALIZANDO CAPACITACIONE ENTREGA DE PUBLICIDAD SE REALIZA TRANZACION DE ENTREGANDO OPERATIVO SIN NOVEDAD"/>
    <s v="VISITA TECNICA"/>
    <s v="FB007693"/>
    <s v="TIPO II"/>
    <s v="TERRESTRE"/>
    <s v="ROZO JIMENEZ EDGAR ARMANDO"/>
    <n v="1"/>
    <n v="0"/>
    <n v="122645"/>
    <n v="65165"/>
    <n v="122645"/>
  </r>
  <r>
    <s v="CUCUTA"/>
    <x v="3"/>
    <x v="4"/>
    <s v="54001"/>
    <s v="TA-25-1429959"/>
    <s v="3007082502"/>
    <s v="APERTURA"/>
    <s v="CB CRECIMIENTO ALIANZA - NUEVO"/>
    <s v="NORTE DE SANTANDER"/>
    <s v="CUCUTA"/>
    <s v="DISTRICOL TUCOLPAGOS"/>
    <s v="REDEBAN"/>
    <s v="FO-25-1990011"/>
    <d v="2025-12-18T08:00:00"/>
    <d v="2025-12-19T13:33:00"/>
    <s v="AGREGADOR"/>
    <s v="DISTRICOL"/>
    <s v="EJECUTADO"/>
    <s v="17/12/2025 17-12 PROGRAMACION REALIZADA POR LA ALIANZA| INSTALACIÓN PROGRAMADA PARA EL 2025-12-19 | 19/12/2025 SE COMUNICA CON LA CLIENTE GRECIA YECENIA AL # 3238162180, NOS CONFIRMA VISITA OK, INSTALACIONES DEL COMERCIO OK, SE PROGRAMA VISITA EN SITIO. | 19/12/2025 SE REALIZA APERTURA, SE INSTALA DATAFONO, BASE, SCANNER, AVISO, PUBLICIDAD DEL BANCO, SE REALIZA CAPACITACION, PRUEBAS Y CIERRES OK, CB OPERATIVO."/>
    <s v="VISITA TECNICA"/>
    <s v="FB007694"/>
    <s v="TIPO I"/>
    <s v="TERRESTRE"/>
    <s v="NARANJO AFANADOR RUBEN JESUS"/>
    <n v="1"/>
    <n v="0"/>
    <n v="122645"/>
    <n v="65165"/>
    <n v="122645"/>
  </r>
  <r>
    <s v="BUCARAMANGA"/>
    <x v="3"/>
    <x v="4"/>
    <s v="68001"/>
    <s v="TA-25-1429961"/>
    <s v="3007082499"/>
    <s v="APERTURA"/>
    <s v="CB CRECIMIENTO ALIANZA - NUEVO"/>
    <s v="SANTANDER"/>
    <s v="BUCARAMANGA"/>
    <s v="DISTRICOL PAPELERIA ESDANY"/>
    <s v="REDEBAN"/>
    <s v="FO-25-1990014"/>
    <d v="2025-12-18T08:00:00"/>
    <d v="2025-12-18T17:08:00"/>
    <s v="AGREGADOR"/>
    <s v="DISTRICOL"/>
    <s v="EJECUTADO"/>
    <s v="17/12/2025 17-12 PROGRAMACION REALIZADA POR LA ALIANZA| INSTALACIÓN PROGRAMADA PARA EL 2025-12-18 | 18/12/2025 SE ESTABLECE COMUNICACIÓN CON LA SEÑORA JENNY AL NÚMERO 3178841399 SE CONFIRMA PUERTO DE RED Y TOMA CORRIENTE DISPONIBLE PARA LA ACTIVIDAD SE PROCEDE CON EL DESPLAZAMIENTO | 18/12/2025 SE HACE PRESENCIA EN COMERCIO SE REALIZA INSTALACIÓN DE 1 DATÁFONO CON SU RESPECTIVO LECTOR DE BARRAS FUENTE Y CABLE DE PODER Y BRAZO DE SOPORTE SE CAPACITA PERSONAL PARA EL MANEJO DEL POS, SE REALIZA INSTALACIÓN DE 1 AVISO EXTERIOR 1 FLANGER Y 1 DISPLAY DE HORARIO _x000a__x000a_SEE REALIZAN PRUEBAS CONSULTA DE SALDO, RETIRO Y DEPÓSITO OK"/>
    <s v="VISITA TECNICA"/>
    <s v="FB007695"/>
    <s v="TIPO I"/>
    <s v="TERRESTRE"/>
    <s v="BARRERA ORTEGA MARLON STWAR"/>
    <n v="1"/>
    <n v="0"/>
    <n v="122645"/>
    <n v="65165"/>
    <n v="122645"/>
  </r>
  <r>
    <s v="BUCARAMANGA"/>
    <x v="3"/>
    <x v="4"/>
    <s v="68307"/>
    <s v="TA-25-1429963"/>
    <s v="3007082508"/>
    <s v="APERTURA"/>
    <s v="CB CRECIMIENTO ALIANZA - NUEVO"/>
    <s v="SANTANDER"/>
    <s v="GIRON"/>
    <s v="DISTRICOL BOMBASTIC MIX"/>
    <s v="REDEBAN"/>
    <s v="FO-25-1990021"/>
    <d v="2025-12-18T08:00:00"/>
    <d v="2025-12-18T14:44:00"/>
    <s v="AGREGADOR"/>
    <s v="DISTRICOL"/>
    <s v="EJECUTADO"/>
    <s v="17/12/2025 17-12 PROGRAMACION REALIZADA POR LA ALIANZA| INSTALACIÓN PROGRAMADA PARA EL 2025-12-18 | 18/12/2025 SE INSTALA DATAFONO, LECTOR, CABLES Y FUENTE DE PODER, SE INSTALA PUBLICIDAD COMPLETA, SE CAPACITA MANEJO CORRESPONSAL, CIERRES, CUADRO DIARIO COMPENSACIÓN, MANEJO DATAFONO OK, PRUEBAS OK, INSTALACIÓN EXITOSA, PÁGINA SOMOS BANCOLOMBIA PRUEBA OK"/>
    <s v="VISITA TECNICA"/>
    <s v="FB007696"/>
    <s v="TIPO I"/>
    <s v="TERRESTRE"/>
    <s v="GELVEZ MOGOLLON JOSE ELISEO"/>
    <n v="1"/>
    <n v="0"/>
    <n v="122645"/>
    <n v="65165"/>
    <n v="122645"/>
  </r>
  <r>
    <s v="BUCARAMANGA"/>
    <x v="3"/>
    <x v="4"/>
    <s v="68547"/>
    <s v="TA-25-1429966"/>
    <s v="3007082510"/>
    <s v="APERTURA"/>
    <s v="CB CRECIMIENTO ALIANZA - NUEVO"/>
    <s v="SANTANDER"/>
    <s v="PIEDECUESTA"/>
    <s v="PTM PIEDECUESTA DROGUERIA Y PA"/>
    <s v="REDEBAN"/>
    <s v="FO-25-1990025"/>
    <d v="2025-12-18T08:00:00"/>
    <d v="2025-12-18T15:28:00"/>
    <s v="AGREGADOR"/>
    <s v="COMCARD - PTM"/>
    <s v="EJECUTADO"/>
    <s v="17/12/2025 17-12 PROGRAMACION REALIZADA POR LA ALIANZA| INSTALACIÓN PROGRAMADA PARA EL 2025-12-18 | 18/12/2025 INSTALACIÓN, CONFIGURACIÓN Y CAPACITACIÓN DE MANEJO DE TERMINAL, PRUEBAS EXITOSA"/>
    <s v="VISITA TECNICA"/>
    <s v="FB007697"/>
    <s v="TIPO II"/>
    <s v="TERRESTRE"/>
    <s v="PEÑA DIAZ IVAN YESID"/>
    <n v="1"/>
    <n v="0"/>
    <n v="122645"/>
    <n v="65165"/>
    <n v="122645"/>
  </r>
  <r>
    <s v="CALI"/>
    <x v="6"/>
    <x v="0"/>
    <s v="76001"/>
    <s v="TA-25-1429969"/>
    <s v="3007082500"/>
    <s v="APERTURA"/>
    <s v="CB CRECIMIENTO ALIANZA - NUEVO"/>
    <s v="VALLE DEL CAUCA"/>
    <s v="CALI"/>
    <s v="PTM CALI MISCELANEA Y PAPELERI"/>
    <s v="REDEBAN"/>
    <s v="FO-25-1990033"/>
    <d v="2025-12-18T08:00:00"/>
    <d v="2025-12-18T14:10:00"/>
    <s v="AGREGADOR"/>
    <s v="COMCARD - PTM"/>
    <s v="EJECUTADO"/>
    <s v="17/12/2025 17-12 PROGRAMACION REALIZADA POR LA ALIANZA| INSTALACIÓN PROGRAMADA PARA EL 2025-12-18 | 18/12/2025 SE LLAMA AL CLIENTE, SE VALIDA LA VISITA DE LA INSTALACION, DIRECCION Y DISPONIBILIDAD, SE VISITA EL COMERCIO, SE INSTALA DATAFONO, LECTORA, ACCESORIOS EN APERTURA CB BANCOLOMBIA MIXTO, INSTALÓ PUBLICIDAD, SE CAPACITA, PRUEBAS OK, TELECARGA TRNA"/>
    <s v="VISITA TECNICA"/>
    <s v="FB007698"/>
    <s v="TIPO I"/>
    <s v="TERRESTRE"/>
    <s v="HERRERA MONAR GEOVANNY"/>
    <n v="1"/>
    <n v="0"/>
    <n v="122645"/>
    <n v="65165"/>
    <n v="122645"/>
  </r>
  <r>
    <s v="CALI"/>
    <x v="6"/>
    <x v="0"/>
    <s v="76834"/>
    <s v="TA-25-1429972"/>
    <s v="3007082513"/>
    <s v="APERTURA"/>
    <s v="CB CRECIMIENTO ALIANZA - NUEVO"/>
    <s v="VALLE DEL CAUCA"/>
    <s v="TULUA"/>
    <s v="PTM TULUA CORREO Y DOMICILIOS"/>
    <s v="REDEBAN"/>
    <s v="FO-25-1999658 | FO-25-1990037"/>
    <d v="2025-12-18T08:00:00"/>
    <d v="2025-12-19T10:31:00"/>
    <s v="AGREGADOR"/>
    <s v="COMCARD - PTM"/>
    <s v="EJECUTADO"/>
    <s v="[FO-25-1999658] 19/12/2025 SE VISITA CORRESPONSAL Y SE PROCEDE A REALIZA INSTALACIÓN DE PIN PAD. TRANSACCIONES DE PRUEBA EXITOSAS || [FO-25-1990037] 17/12/2025 17-12 PROGRAMACION REALIZADA POR LA ALIANZA| INSTALACIÓN PROGRAMADA PARA EL 2025-12-18 | 18/12/2025 SE VISITA ESTABLECIMIENTO, SE REALIZA INSTALACIÓN CORRESPONSAL BANCOLOMBIA. TRANSACCIONES DE PRUEBA EXITOSAS SOLO CON LAS QUE DISPONE EL CLIENTE Y SE REALIZARON PRUEBAS CON TARJETA DE OTRO BANCO PARA SIMULAR PROCESO . SE INSTALA PUBLICIDAD COMPLETA Y SE CAPACITA."/>
    <s v="VISITA TECNICA"/>
    <m/>
    <s v="TIPO II"/>
    <s v="TERRESTRE"/>
    <s v="BOLAÑOS TABORDA JORGE ENRIQUE"/>
    <n v="1"/>
    <n v="0"/>
    <n v="122645"/>
    <n v="65165"/>
    <n v="122645"/>
  </r>
  <r>
    <s v="YOPAL"/>
    <x v="5"/>
    <x v="6"/>
    <s v="85001"/>
    <s v="TA-25-1429974"/>
    <s v="3007082515"/>
    <s v="APERTURA"/>
    <s v="CB CRECIMIENTO ALIANZA - NUEVO"/>
    <s v="CASANARE"/>
    <s v="YOPAL"/>
    <s v="DISTRICOL MISCELANEA LAVADERO"/>
    <s v="REDEBAN"/>
    <s v="FO-25-1990041"/>
    <d v="2025-12-18T08:00:00"/>
    <d v="2025-12-18T16:48:00"/>
    <s v="AGREGADOR"/>
    <s v="DISTRICOL"/>
    <s v="EJECUTADO"/>
    <s v="17/12/2025 17-12 PROGRAMACION REALIZADA POR LA ALIANZA| INSTALACIÓN PROGRAMADA PARA EL 2025-12-18 | 18/12/2025 SE VISITA COMERCIO, SE INSTALA DATÁFONO LECTOR BASE Y CUBRE TECLADO. PRUEBAS OK. OPERATIVO EL SERVICIO. SOMOS BANCOLOMBIA OK. SE CAPACITA CLIENTE. NO SE REALIZA PRUEBA DE TRANSFERENCIA NO SE CUENTA CON TARJETA"/>
    <s v="VISITA TECNICA"/>
    <s v="FB007700"/>
    <s v="TIPO I"/>
    <s v="TERRESTRE"/>
    <s v="BERNAL ELAICA EDGAR ALEXIS"/>
    <n v="1"/>
    <n v="0"/>
    <n v="122645"/>
    <n v="65165"/>
    <n v="122645"/>
  </r>
  <r>
    <s v="YOPAL"/>
    <x v="5"/>
    <x v="6"/>
    <s v="85001"/>
    <s v="TA-25-1429976"/>
    <s v="3007082516"/>
    <s v="APERTURA"/>
    <s v="CB CRECIMIENTO ALIANZA - NUEVO"/>
    <s v="CASANARE"/>
    <s v="YOPAL"/>
    <s v="DISTRICOL CASFARMA YOPAL"/>
    <s v="REDEBAN"/>
    <s v="FO-25-1990045"/>
    <d v="2025-12-18T08:00:00"/>
    <d v="2025-12-19T14:30:00"/>
    <s v="AGREGADOR"/>
    <s v="DISTRICOL"/>
    <s v="EJECUTADO"/>
    <s v="17/12/2025 17-12 PROGRAMACION REALIZADA POR LA ALIANZA| INSTALACIÓN PROGRAMADA PARA EL 2025-12-19 | 20/12/2025 SE VISITA COMERCIO, SE INSTALA DATÁFONO LECTOR BASE Y CUBRE TECLADO. PRUEBAS OK. OPERATIVO EL SERVICIO. SE CAPACITA CLIENTE SOMOS BANCOLOMBIA OK. NO SE REALIZA PRUEBA DE TRANSFERENCIA NO SE CUENTA CON TARJETA"/>
    <s v="VISITA TECNICA"/>
    <s v="FB007701"/>
    <s v="TIPO I"/>
    <s v="TERRESTRE"/>
    <s v="BERNAL ELAICA EDGAR ALEXIS"/>
    <n v="1"/>
    <n v="0"/>
    <n v="122645"/>
    <n v="65165"/>
    <n v="122645"/>
  </r>
  <r>
    <s v="BOGOTA"/>
    <x v="4"/>
    <x v="5"/>
    <s v="11001"/>
    <s v="TA-25-1429979"/>
    <s v="3007082498"/>
    <s v="APERTURA"/>
    <s v="CB CRECIMIENTO ALIANZA - NUEVO"/>
    <s v="CUNDINAMARCA"/>
    <s v="BOGOTA"/>
    <s v="PTM BOGOTA MTG PRINCIPAL"/>
    <s v="REDEBAN"/>
    <s v="FO-25-1990054"/>
    <d v="2025-12-18T08:00:00"/>
    <d v="2025-12-19T12:05:00"/>
    <s v="AGREGADOR"/>
    <s v="COMCARD - PTM"/>
    <s v="EJECUTADO"/>
    <s v="17/12/2025 17-12 PROGRAMACION REALIZADA POR LA ALIANZA| INSTALACIÓN PROGRAMADA PARA EL 2025-12-19 | 26/12/2025 SE REALIZA APERTURA DE CORRESPONSAL BANCOLOMBIA, SE INSTALA PUBLICIDAD, EQUIPOS . SE REALIZA CAPACITACIÓN AL RESPONSABLE DEL CB Y SE ENTREGAN LOS ROLLOS PARA EL PUNTO"/>
    <s v="VISITA TECNICA"/>
    <s v="FB007702"/>
    <s v="TIPO I"/>
    <s v="TERRESTRE"/>
    <s v="ALARCON AREVALO JOHAN STIVEN"/>
    <n v="1"/>
    <n v="0"/>
    <n v="122645"/>
    <n v="65165"/>
    <n v="122645"/>
  </r>
  <r>
    <s v="BOGOTA"/>
    <x v="4"/>
    <x v="5"/>
    <s v="11001"/>
    <s v="TA-25-1429983"/>
    <s v="3007082496"/>
    <s v="APERTURA"/>
    <s v="CB CRECIMIENTO ALIANZA - NUEVO"/>
    <s v="CUNDINAMARCA"/>
    <s v="BOGOTA"/>
    <s v="PTM BOGOTA COMPU EMI"/>
    <s v="REDEBAN"/>
    <s v="FO-25-1990059"/>
    <d v="2025-12-18T08:00:00"/>
    <d v="2025-12-19T13:12:00"/>
    <s v="AGREGADOR"/>
    <s v="COMCARD - PTM"/>
    <s v="EJECUTADO"/>
    <s v="17/12/2025 17-12 PROGRAMACION REALIZADA POR LA ALIANZA| INSTALACIÓN PROGRAMADA PARA EL 2025-12-19 | 19/12/2025 APERTURA BANCOLOMBIA OK CAPACITACIÓN OK PUBLICIDAD OK SERVICIO OPERATIVO"/>
    <s v="VISITA TECNICA"/>
    <s v="FB007703"/>
    <s v="TIPO I"/>
    <s v="TERRESTRE"/>
    <s v="HERNANDEZ NARANJO OSCAR EDUARDO"/>
    <n v="1"/>
    <n v="0"/>
    <n v="122645"/>
    <n v="65165"/>
    <n v="122645"/>
  </r>
  <r>
    <s v="MEDELLIN"/>
    <x v="2"/>
    <x v="3"/>
    <s v="5631"/>
    <s v="TA-25-1429995"/>
    <s v="3007082468"/>
    <s v="APERTURA"/>
    <s v="CB CRECIMIENTO ALIANZA - OTRAS LISTAS"/>
    <s v="ANTIOQUIA"/>
    <s v="SABANETA"/>
    <s v="DISTRICOL PARENTESIS A&amp;C"/>
    <s v="REDEBAN"/>
    <s v="FO-25-1990081"/>
    <d v="2025-12-18T08:00:00"/>
    <d v="2025-12-18T14:17:00"/>
    <s v="AGREGADOR"/>
    <s v="DISTRICOL"/>
    <s v="EJECUTADO"/>
    <s v="17/12/2025 17-12 PROGRAMACION REALIZADA POR LA ALIANZA| INSTALACIÓN PROGRAMADA PARA EL 2025-12-18 | 18/12/2025 SE HACE IMPLEMENTACION OK EQUIPOS OPERATIVOS PRUEBAS EXITOSAS SOMOS BANCOLOMBIA ACTIVO, CAPACITACIÓN Y PUBLICIDAD OK"/>
    <s v="VISITA TECNICA"/>
    <s v="FB007708"/>
    <s v="TIPO I"/>
    <s v="TERRESTRE"/>
    <s v="DIAZ ZABALA FRANCIS DUBAN"/>
    <n v="1"/>
    <n v="0"/>
    <n v="122645"/>
    <n v="65165"/>
    <n v="122645"/>
  </r>
  <r>
    <s v="MEDELLIN"/>
    <x v="2"/>
    <x v="3"/>
    <s v="5001"/>
    <s v="TA-25-1446312"/>
    <s v="3007082585"/>
    <s v="APERTURA"/>
    <s v="CB CRECIMIENTO ALIANZA - NUEVO"/>
    <s v="ANTIOQUIA"/>
    <s v="MEDELLIN"/>
    <s v="DISTRICOL DROGUERIA SIRDALUD"/>
    <s v="REDEBAN"/>
    <s v="FO-25-2024417"/>
    <d v="2025-12-24T08:00:00"/>
    <d v="2025-12-24T11:07:00"/>
    <s v="AGREGADOR"/>
    <s v="DISTRICOL"/>
    <s v="EJECUTADO"/>
    <s v="23/12/2025 23-12 PROGRAMACION REALIZADA POR LA ALIANZA| INSTALACIÓN PROGRAMADA PARA EL 2025-12-24 | 24/12/2025 INSTALACIÓN DE CB PURO OK PUBLICIDAD Y CAPACITACIÓN OK PRUEBAS SOLO CONSULTA DE SALDO NO HAY PARA MÁS CUBRE CLAVE OK NO TELECARGA"/>
    <s v="VISITA TECNICA"/>
    <s v="OB007835"/>
    <s v="TIPO I"/>
    <s v="TERRESTRE"/>
    <s v="PAREJA ECHAVARRIA JHON DAVID"/>
    <n v="1"/>
    <n v="0"/>
    <n v="122645"/>
    <n v="65165"/>
    <n v="122645"/>
  </r>
  <r>
    <s v="MEDELLIN"/>
    <x v="2"/>
    <x v="3"/>
    <s v="5001"/>
    <s v="TA-25-1446314"/>
    <s v="3007082586"/>
    <s v="APERTURA"/>
    <s v="CB CRECIMIENTO ALIANZA - NUEVO"/>
    <s v="ANTIOQUIA"/>
    <s v="MEDELLIN"/>
    <s v="DISTRICOL TIENDA DEL PELUQUERO"/>
    <s v="REDEBAN"/>
    <s v="FO-25-2024424"/>
    <d v="2025-12-24T08:00:00"/>
    <d v="2025-12-24T13:43:00"/>
    <s v="AGREGADOR"/>
    <s v="DISTRICOL"/>
    <s v="EJECUTADO"/>
    <s v="23/12/2025 23-12 PROGRAMACION REALIZADA POR LA ALIANZA| INSTALACIÓN PROGRAMADA PARA EL 2025-12-24 | 24/12/2025 SE INSTALAN EQUIPOS OK"/>
    <s v="VISITA TECNICA"/>
    <s v="OB007836"/>
    <s v="TIPO I"/>
    <s v="TERRESTRE"/>
    <s v="QUINTERO SANCHEZ JUAN SEBASTIAN"/>
    <n v="1"/>
    <n v="0"/>
    <n v="122645"/>
    <n v="65165"/>
    <n v="122645"/>
  </r>
  <r>
    <s v="MEDELLIN"/>
    <x v="2"/>
    <x v="3"/>
    <s v="5001"/>
    <s v="TA-25-1446315"/>
    <s v="3007082587"/>
    <s v="APERTURA"/>
    <s v="CB CRECIMIENTO ALIANZA - NUEVO"/>
    <s v="ANTIOQUIA"/>
    <s v="MEDELLIN"/>
    <s v="DISTRICOL COMERCIALIZADORA KTE"/>
    <s v="REDEBAN"/>
    <s v="FO-25-2024425"/>
    <d v="2025-12-24T08:00:00"/>
    <d v="2025-12-24T12:58:00"/>
    <s v="AGREGADOR"/>
    <s v="DISTRICOL"/>
    <s v="EJECUTADO"/>
    <s v="23/12/2025 23-12 PROGRAMACION REALIZADA POR LA ALIANZA| INSTALACIÓN PROGRAMADA PARA EL 2025-12-24 | 24/12/2025 INSTALACIÓN CB OK"/>
    <s v="VISITA TECNICA"/>
    <s v="OB007837"/>
    <s v="TIPO I"/>
    <s v="TERRESTRE"/>
    <s v="BADEL ACUÑA LUIS ALBERTO"/>
    <n v="1"/>
    <n v="0"/>
    <n v="122645"/>
    <n v="65165"/>
    <n v="122645"/>
  </r>
  <r>
    <s v="MEDELLIN"/>
    <x v="2"/>
    <x v="3"/>
    <s v="5148"/>
    <s v="TA-25-1446316"/>
    <s v="3007082555"/>
    <s v="APERTURA"/>
    <s v="CB CRECIMIENTO ALIANZA - NUEVO"/>
    <s v="ANTIOQUIA"/>
    <s v="EL CARMEN DE VIBORAL"/>
    <s v="DISTRICOL SOLOACEITES"/>
    <s v="REDEBAN"/>
    <s v="FO-25-2024427"/>
    <d v="2025-12-24T08:00:00"/>
    <d v="2025-12-26T15:59:00"/>
    <s v="AGREGADOR"/>
    <s v="DISTRICOL"/>
    <s v="EJECUTADO"/>
    <s v="23/12/2025 23-12 PROGRAMACION REALIZADA POR LA ALIANZA| INSTALACIÓN PROGRAMADA PARA EL 2025-12-26 | 26/12/2025 SE INSTALAN EQUIPOS OK"/>
    <s v="VISITA TECNICA"/>
    <s v="OB007838"/>
    <s v="TIPO II"/>
    <s v="TERRESTRE"/>
    <s v="QUINTERO SANCHEZ JUAN SEBASTIAN"/>
    <n v="1"/>
    <n v="0"/>
    <n v="122645"/>
    <n v="65165"/>
    <n v="122645"/>
  </r>
  <r>
    <s v="MEDELLIN"/>
    <x v="2"/>
    <x v="3"/>
    <s v="5212"/>
    <s v="TA-25-1446317"/>
    <s v="3007082566"/>
    <s v="APERTURA"/>
    <s v="CB CRECIMIENTO ALIANZA - NUEVO"/>
    <s v="ANTIOQUIA"/>
    <s v="COPACABANA"/>
    <s v="DISTRICOL HAPPY PETS"/>
    <s v="REDEBAN"/>
    <s v="FO-25-2024436"/>
    <d v="2025-12-24T08:00:00"/>
    <d v="2025-12-24T13:56:00"/>
    <s v="AGREGADOR"/>
    <s v="DISTRICOL"/>
    <s v="EJECUTADO"/>
    <s v="23/12/2025 23-12 PROGRAMACION REALIZADA POR LA ALIANZA| INSTALACIÓN PROGRAMADA PARA EL 2025-12-24 | 24/12/2025 SE REALIZA VISITA TÉCNICA PARA LA INSTALACIÓN DEL CORRESPONSAL BANCOLOMBIA EL USUARIO CONFIRMA SU IDENTIFICACIÓN Y PRESENTA EL LUGAR DONDE SE LLEVARÁ A CABO LA INSTALACIÓN DEL EQUIPO MOSTRANDO TAMBIÉN LA FACHADA DONDE IRÁ EL AVISO SE VALIDA QUE EL SITIO CUENTE CON LAS CONDICIONES NECESARIAS SE PROCEDE CON LA INSTALACIÓN Y CONFIGURACIÓN DEL EQUIPO PERO ESTE PRESENTA FALLA EN EL PUERTO USB DONDE SE CONECTA EL LECTOR POR LO CUAL SE REALIZA CAMBIO DE EQUIPO DEBIDO AL DAÑO EN LA USB EL NUEVO EQUIPO SE CONFIGURA Y QUEDA OPERATIVO SE LLEVA A CABO LA CAPACITACIÓN SOBRE LA PLATAFORMA SOMOS BANCOLOMBIA Y POSTERIORMENTE EL MANEJO DEL EQUIPO Y LA FORMA DE REALIZAR LAS TRANSACCIONES EL USUARIO QUEDA CON CONOCIMIENTO DEL TEMA LUEGO SE PROCEDE A LA INSTALACIÓN DE LOS AVISOS LOS CUALES SE COLOCAN EN LOS LUGARES INDICADOS POR EL CLIENTE Y FINALMENTE TODO QUEDA OPERATIVO"/>
    <s v="VISITA TECNICA"/>
    <s v="OB007839"/>
    <s v="TIPO I"/>
    <s v="TERRESTRE"/>
    <s v="MARTINEZ TOVAR OSCAR DAVID"/>
    <n v="1"/>
    <n v="0"/>
    <n v="122645"/>
    <n v="65165"/>
    <n v="122645"/>
  </r>
  <r>
    <s v="MEDELLIN"/>
    <x v="2"/>
    <x v="3"/>
    <s v="5308"/>
    <s v="TA-25-1446319"/>
    <s v="3007082543"/>
    <s v="APERTURA"/>
    <s v="CB CRECIMIENTO ALIANZA - NUEVO"/>
    <s v="ANTIOQUIA"/>
    <s v="GIRARDOTA"/>
    <s v="DISTRICOL MARKET FACIL"/>
    <s v="REDEBAN"/>
    <s v="FO-25-2024438"/>
    <d v="2025-12-24T08:00:00"/>
    <d v="2025-12-24T12:39:00"/>
    <s v="AGREGADOR"/>
    <s v="DISTRICOL"/>
    <s v="EJECUTADO"/>
    <s v="23/12/2025 23-12 PROGRAMACION REALIZADA POR LA ALIANZA| INSTALACIÓN PROGRAMADA PARA EL 2025-12-24 | 24/12/2025 SE REALIZA INSTALACIÓN Y CONFIGURACIÓN DEL EQUIPO, SE REALIZA CAPACITACIÓN DEL CORRESPONSAL BANCARIO Y SE INSTALA PUBLICIDAD SE REALIZAN PRUEBAS EXITOSAS SERVICIO OPERATIVO"/>
    <s v="VISITA TECNICA"/>
    <s v="OB007840"/>
    <s v="TIPO I"/>
    <s v="TERRESTRE"/>
    <s v="ZAPATA LOPEZ EDWARD ASDRUBAL"/>
    <n v="1"/>
    <n v="0"/>
    <n v="122645"/>
    <n v="65165"/>
    <n v="122645"/>
  </r>
  <r>
    <s v="MEDELLIN"/>
    <x v="2"/>
    <x v="3"/>
    <s v="5440"/>
    <s v="TA-25-1446321"/>
    <s v="3007082584"/>
    <s v="APERTURA"/>
    <s v="CB CRECIMIENTO ALIANZA - NUEVO"/>
    <s v="ANTIOQUIA"/>
    <s v="MARINILLA"/>
    <s v="DISTRICOL SEX SHOP TIA SEXY"/>
    <s v="REDEBAN"/>
    <s v="FO-25-2024447"/>
    <d v="2025-12-24T08:00:00"/>
    <d v="2025-12-26T15:53:00"/>
    <s v="AGREGADOR"/>
    <s v="DISTRICOL"/>
    <s v="EJECUTADO"/>
    <s v="23/12/2025 23-12 PROGRAMACION REALIZADA POR LA ALIANZA| INSTALACIÓN PROGRAMADA PARA EL 2025-12-26 | 26/12/2025 SE REALIZA VISITA TÉCNICA PARA LA INSTALACIÓN DEL CORRESPONSAL BANCOLOMBIA EL USUARIO CONFIRMA SU IDENTIFICACIÓN Y PRESENTA EL LUGAR DONDE SE LLEVARÁ A CABO LA INSTALACIÓN DEL EQUIPO MOSTRANDO TAMBIÉN LA FACHADA DONDE IRÁ EL AVISO SE VALIDA QUE EL SITIO CUENTE CON LAS CONDICIONES NECESARIAS SE PROCEDE CON LA INSTALACIÓN Y CONFIGURACIÓN DEL EQUIPO  SE LLEVA A CABO LA CAPACITACIÓN SOBRE LA PLATAFORMA SOMOS BANCOLOMBIA Y POSTERIORMENTE EL MANEJO DEL EQUIPO Y LA FORMA DE REALIZAR LAS TRANSACCIONES EL USUARIO QUEDA CON CONOCIMIENTO DEL TEMA LUEGO SE PROCEDE A LA INSTALACIÓN DE LOS AVISOS LOS CUALES SE COLOCAN EN LOS LUGARES INDICADOS POR EL CLIENTE Y FINALMENTE TODO QUEDA OPERATIVO"/>
    <s v="VISITA TECNICA"/>
    <s v="OB007842"/>
    <s v="TIPO II"/>
    <s v="TERRESTRE"/>
    <s v="MARTINEZ TOVAR OSCAR DAVID"/>
    <n v="1"/>
    <n v="0"/>
    <n v="122645"/>
    <n v="65165"/>
    <n v="122645"/>
  </r>
  <r>
    <s v="MEDELLIN"/>
    <x v="2"/>
    <x v="3"/>
    <s v="5736"/>
    <s v="TA-25-1446323"/>
    <s v="3007082552"/>
    <s v="APERTURA"/>
    <s v="CB CRECIMIENTO ALIANZA - NUEVO"/>
    <s v="ANTIOQUIA"/>
    <s v="SEGOVIA"/>
    <s v="DISTRICOL MAYRA SEGOVIA"/>
    <s v="REDEBAN"/>
    <s v="FO-25-2050073 | FO-25-2024451"/>
    <d v="2025-12-24T08:00:00"/>
    <d v="2025-12-30T11:21:00"/>
    <s v="AGREGADOR"/>
    <s v="DISTRICOL"/>
    <s v="EJECUTADO | EJECUTADO/CANCELADO"/>
    <s v="[FO-25-2050073] 30/12/2025 SE TERMINA DE HACER IMPLEMENTACION OK SE INSTALAS PUBLICIDAD OK PRUEBAS EXITOSAS || [FO-25-2024451] 23/12/2025 23-12 PROGRAMACION REALIZADA POR LA ALIANZA| INSTALACIÓN PROGRAMADA PARA EL 2025-12-26 | 26/12/2025 NO SE ENCUENTRA TIQUETE EN TÉRMINAL POR ALTO FLUJO DE PASAJERO. EN TAQUILLA INFORMAN QUE YA ESTÁN SOBRE VENDIDOS SE LE INFORMA AL USUARIO | 29/12/2025 SE ATIENDE IMPLEMENTACION OK, SE CAPACITA EN MENÚ OPERATIVO, SOMOS BANCOLOMBIA OK, SE INICIALIZA EQUIPOS OK. NO SE INSTALA PUBLICIDAD YA QUE SE ENVIÓ DESDE EL DÍA VIERNES Y HOY LUNES LA OFICINA ESTÁ CERRADA. NOS INDICAN QUE PARA EL DÍA DE MAÑANA ABREN NUEVAMENTE. SE DEJA VISITA PARA MAÑANA INSTALAR PUBLICIDAD"/>
    <s v="VISITA TECNICA"/>
    <s v="OB007843"/>
    <s v="TIPO IV"/>
    <s v="TERRESTRE"/>
    <s v="DIAZ ZABALA FRANCIS DUBAN"/>
    <n v="1"/>
    <n v="0"/>
    <n v="122645"/>
    <n v="65165"/>
    <n v="122645"/>
  </r>
  <r>
    <s v="MEDELLIN"/>
    <x v="2"/>
    <x v="3"/>
    <s v="5736"/>
    <s v="TA-25-1446324"/>
    <s v="3007082577"/>
    <s v="APERTURA"/>
    <s v="CB CRECIMIENTO ALIANZA - NUEVO"/>
    <s v="ANTIOQUIA"/>
    <s v="SEGOVIA"/>
    <s v="DISTRICOL PLANETARIO 2000"/>
    <s v="REDEBAN"/>
    <s v="FO-25-2024454"/>
    <d v="2025-12-24T08:00:00"/>
    <d v="2025-12-30T14:39:00"/>
    <s v="AGREGADOR"/>
    <s v="DISTRICOL"/>
    <s v="EJECUTADO"/>
    <s v="23/12/2025 23-12 PROGRAMACION REALIZADA POR LA ALIANZA| INSTALACIÓN PROGRAMADA PARA EL 2025-12-26 | 26/12/2025 NO SE ENCUENTRA TIQUETE EN TÉRMINAL POR ALTO FLUJO DE PASAJERO. EN TAQUILLA INFORMAN QUE YA ESTÁN SOBRE VENDIDOS SE LE INFORMA AL USUARIO | 30/12/2025 SE HACE IMPLEMENTACION OK EQUIPOS OPERATIVOS PRUEBAS EXITOSAS SOMOS BANCOLOMBIA ACTIVO PUBLICIDAD OK EQUIPOS OPERATIVOS SE DA CAPACITACIÓN DEL MENÚS DEL DATAFONO Y SOMOS BANCOLOMBIA OK"/>
    <s v="VISITA TECNICA"/>
    <s v="OB007844"/>
    <s v="TIPO IV"/>
    <s v="TERRESTRE"/>
    <s v="DIAZ ZABALA FRANCIS DUBAN"/>
    <n v="1"/>
    <n v="0"/>
    <n v="122645"/>
    <n v="65165"/>
    <n v="122645"/>
  </r>
  <r>
    <s v="MEDELLIN"/>
    <x v="2"/>
    <x v="3"/>
    <s v="5790"/>
    <s v="TA-25-1446325"/>
    <s v="3007082578"/>
    <s v="APERTURA"/>
    <s v="CB CRECIMIENTO ALIANZA - NUEVO"/>
    <s v="ANTIOQUIA"/>
    <s v="TARAZA"/>
    <s v="DISTRICOL COSTILLAS AHUMADAS"/>
    <s v="REDEBAN"/>
    <s v="FO-25-2024456"/>
    <d v="2025-12-24T08:00:00"/>
    <d v="2025-12-29T18:49:00"/>
    <s v="AGREGADOR"/>
    <s v="DISTRICOL"/>
    <s v="EJECUTADO"/>
    <s v="23/12/2025 23-12 PROGRAMACION REALIZADA POR LA ALIANZA| INSTALACIÓN PROGRAMADA PARA EL 2025-12-26 | 26/12/2025 SE LLEGA A TERMINAR A COMPRAR PASAJE A TARAZA Y EN LAS FLOTAS  Y POR LA AFLUENCIA DE PASAJEROS INDICAN QUE NO HAY CUPO, SE LLAMA A CLIENTE Y SE LE COMENTA LA SITUACIÓN DE LOS PASAJES, SE CONVERSA CON EL SEÑLOR JHON COLORADO E INDICA QUE SE PODRIA HACER EL LUNES | 29/12/2025 INSTALACIÓN CB OK"/>
    <s v="VISITA TECNICA"/>
    <s v="OB007845"/>
    <s v="TIPO IV"/>
    <s v="TERRESTRE"/>
    <s v="BADEL ACUÑA LUIS ALBERTO"/>
    <n v="1"/>
    <n v="0"/>
    <n v="122645"/>
    <n v="65165"/>
    <n v="122645"/>
  </r>
  <r>
    <s v="CARTAGENA"/>
    <x v="1"/>
    <x v="2"/>
    <s v="13001"/>
    <s v="TA-25-1446326"/>
    <s v="3007082564"/>
    <s v="APERTURA"/>
    <s v="CB CRECIMIENTO ALIANZA - NUEVO"/>
    <s v="BOLIVAR"/>
    <s v="CARTAGENA"/>
    <s v="DISTRICOL TIENDA LOS RECUERDOS"/>
    <s v="REDEBAN"/>
    <s v="FO-25-2024462"/>
    <d v="2025-12-24T08:00:00"/>
    <d v="2025-12-26T13:43:00"/>
    <s v="AGREGADOR"/>
    <s v="DISTRICOL"/>
    <s v="EJECUTADO"/>
    <s v="23/12/2025 23-12 PROGRAMACION REALIZADA POR LA ALIANZA| INSTALACIÓN PROGRAMADA PARA EL 2025-12-26 | 26/12/2025 SE INTENTO REALIZAR COMUNICACION CON EL PUNTO EN VARIAS OCACIONES Y NO FUE POSIBLE OBTENER RESPUESTA | 26/12/2025 SE LLEGO AL SITIO Y SE PRESENTÓ NOVEDAD CON EL NOMBRE DEL COMERCIO EL SEÑOR EDINSON SAMBONY AUTORIZA LA INSTALACIÓN | 26/12/2025 SE REALIZA INSTALACIÓN DE CORRESPONSAL SE ESCALO NOVEDAD POR NOMBRE DE COMERCIO E INFORMAN AUTORIZADO PARA REALIZAR LA INSTALACIÓN SE INSTALA DATAFONO SE CAPACITA SE REALIZAN PRUEBAS DE RETIRO Y CONSIGNACIÓN Y SE PRUEBA LECTOR DE BARRAS TODO QUEDA OK"/>
    <s v="VISITA TECNICA"/>
    <s v="OB007846"/>
    <s v="TIPO I"/>
    <s v="TERRESTRE"/>
    <s v="MARTINEZ SALGUEDO ANDRES AUGUSTO"/>
    <n v="1"/>
    <n v="0"/>
    <n v="122645"/>
    <n v="65165"/>
    <n v="122645"/>
  </r>
  <r>
    <s v="CARTAGENA"/>
    <x v="1"/>
    <x v="2"/>
    <s v="13442"/>
    <s v="TA-25-1446327"/>
    <s v="3007082570"/>
    <s v="APERTURA"/>
    <s v="CB CRECIMIENTO ALIANZA - NUEVO"/>
    <s v="BOLIVAR"/>
    <s v="MARIA LA BAJA"/>
    <s v="DISTRICOL ALMACEN LA NACIONAL"/>
    <s v="REDEBAN"/>
    <s v="FO-25-2024464"/>
    <d v="2025-12-24T08:00:00"/>
    <d v="2025-12-29T14:33:00"/>
    <s v="AGREGADOR"/>
    <s v="DISTRICOL"/>
    <s v="EJECUTADO"/>
    <s v="23/12/2025 23-12 PROGRAMACION REALIZADA POR LA ALIANZA| INSTALACIÓN PROGRAMADA PARA EL 2025-12-24 | 24/12/2025 SE MARCA AL NÚMERO 3013367090 CONTESTA EL ESPOSO DE LA SEÑORA FLOR MARÍA SE VALIDA CON EL REAGENDA POR TEMAS DE PROBLEMAS DE TRANSPORTE EN LA VIA EL DIA DE HOY EL CUAL ESTA DE ACUERDO PARA EL DIA 29 DE DICIEMBRE | 29/12/2025 SE REALIZA INSTALACIÓN DE CORRESPONSAL EXITOSAMENTE, SE REALIZA PRUEBA DE  RETIRO Y CONSIGNACIÓN Y SE PRUEBA LECTOR DE BARRAS, SE CAPACITA, SE REALIZA INSTALACIÓN DE PUBLICIDAD Y TODO QUEDA OK"/>
    <s v="VISITA TECNICA"/>
    <s v="OB007847"/>
    <s v="TIPO II"/>
    <s v="TERRESTRE"/>
    <s v="MARTINEZ SALGUEDO ANDRES AUGUSTO"/>
    <n v="1"/>
    <n v="0"/>
    <n v="122645"/>
    <n v="65165"/>
    <n v="122645"/>
  </r>
  <r>
    <s v="YOPAL"/>
    <x v="5"/>
    <x v="6"/>
    <s v="15518"/>
    <s v="TA-25-1446330"/>
    <s v="3007082539"/>
    <s v="APERTURA"/>
    <s v="CB CRECIMIENTO ALIANZA - NUEVO"/>
    <s v="BOYACA"/>
    <s v="PAJARITO"/>
    <s v="DISTRICOL ALMACEN CAFETERO DOS"/>
    <s v="REDEBAN"/>
    <s v="FO-25-2024477"/>
    <d v="2025-12-24T08:00:00"/>
    <d v="2025-12-29T14:21:00"/>
    <s v="AGREGADOR"/>
    <s v="DISTRICOL"/>
    <s v="EJECUTADO"/>
    <s v="23/12/2025 23-12 PROGRAMACION REALIZADA POR LA ALIANZA| INSTALACIÓN PROGRAMADA PARA EL 2025-12-24 | 24/12/2025 EN COMUNICACIÓN EL DIA 24-12-2025 CON LA SEÑORA ANGELA RUEDA AL NUMERO 3143771201, INFORMA NO PUEDE ATENDER LA VISITA, POR DILIGENCIAS PERSONALES, PIDE EL FAVOR SE REALIZAR LA VISITA EL DIA 29-12-2025 | 29/12/2025 SE VISITA COMERCIO, SE INSTALA DATÁFONO LECTOR BASE Y CUBRE TECLADO. PRUEBAS OK. OPERATIVO EL SERVICIO. SOMOS BANCOLOMBIA OK. NO SE REGISTRA PRUEBA DE TRANSFERENCIA NO SE CUENTA CON TARJETA"/>
    <s v="VISITA TECNICA"/>
    <s v="OB007850"/>
    <s v="TIPO III"/>
    <s v="TERRESTRE"/>
    <s v="BERNAL ELAICA EDGAR ALEXIS"/>
    <n v="1"/>
    <n v="0"/>
    <n v="122645"/>
    <n v="65165"/>
    <n v="122645"/>
  </r>
  <r>
    <s v="CALI"/>
    <x v="6"/>
    <x v="0"/>
    <s v="19001"/>
    <s v="TA-25-1446332"/>
    <s v="3007082550"/>
    <s v="APERTURA"/>
    <s v="CB CRECIMIENTO ALIANZA - NUEVO"/>
    <s v="CAUCA"/>
    <s v="POPAYAN"/>
    <s v="DISTRICOL LA TIENDA DE PATY"/>
    <s v="REDEBAN"/>
    <s v="FO-25-2024485"/>
    <d v="2025-12-24T08:00:00"/>
    <d v="2025-12-26T11:53:00"/>
    <s v="AGREGADOR"/>
    <s v="DISTRICOL"/>
    <s v="EJECUTADO"/>
    <s v="23/12/2025 23-12 PROGRAMACION REALIZADA POR LA ALIANZA| INSTALACIÓN PROGRAMADA PARA EL 2025-12-26 | 26/12/2025 SE"/>
    <s v="VISITA TECNICA"/>
    <s v="OB007852"/>
    <s v="TIPO III"/>
    <s v="TERRESTRE"/>
    <s v="GIMBUEL LASSO LUIS GERMAN"/>
    <n v="1"/>
    <n v="0"/>
    <n v="122645"/>
    <n v="65165"/>
    <n v="122645"/>
  </r>
  <r>
    <s v="CALI"/>
    <x v="6"/>
    <x v="0"/>
    <s v="19001"/>
    <s v="TA-25-1446333"/>
    <s v="3007082551"/>
    <s v="APERTURA"/>
    <s v="CB CRECIMIENTO ALIANZA - NUEVO"/>
    <s v="CAUCA"/>
    <s v="POPAYAN"/>
    <s v="DISTRICOL DROGUERIA LA FE SA"/>
    <s v="REDEBAN"/>
    <s v="FO-25-2024488"/>
    <d v="2025-12-24T08:00:00"/>
    <d v="2025-12-26T17:03:00"/>
    <s v="AGREGADOR"/>
    <s v="DISTRICOL"/>
    <s v="EJECUTADO"/>
    <s v="23/12/2025 23-12 PROGRAMACION REALIZADA POR LA ALIANZA| INSTALACIÓN PROGRAMADA PARA EL 2025-12-26 | 30/12/2025 SE INGRESA SE INSTALA BASE FUENTE PATCHCORD CUBRE CLAVE SE HACEN PRUEBAS OK TELECARGA DRNA CAPACITACION AL CB CREACION DE USUARIOS SE INSTALA AVISO EXTERIOR FLANGED DISPLAY LEGAL ENTREGA ROLLOS RBM MARCACION DE CODIGO DEL PUNTO"/>
    <s v="VISITA TECNICA"/>
    <s v="OB007853"/>
    <s v="TIPO III"/>
    <s v="TERRESTRE"/>
    <s v="GIMBUEL LASSO LUIS GERMAN"/>
    <n v="1"/>
    <n v="0"/>
    <n v="122645"/>
    <n v="65165"/>
    <n v="122645"/>
  </r>
  <r>
    <s v="CALI"/>
    <x v="6"/>
    <x v="0"/>
    <s v="19807"/>
    <s v="TA-25-1446335"/>
    <s v="3007082582"/>
    <s v="APERTURA"/>
    <s v="CB CRECIMIENTO ALIANZA - NUEVO"/>
    <s v="CAUCA"/>
    <s v="TIMBIO"/>
    <s v="DISTRICOL DROGUERIA EL ARADO"/>
    <s v="REDEBAN"/>
    <s v="FO-25-2024493"/>
    <d v="2025-12-24T08:00:00"/>
    <d v="2025-12-29T12:10:00"/>
    <s v="AGREGADOR"/>
    <s v="DISTRICOL"/>
    <s v="EJECUTADO"/>
    <s v="23/12/2025 23-12 PROGRAMACION REALIZADA POR LA ALIANZA| INSTALACIÓN PROGRAMADA PARA EL 2025-12-26 | 26/12/2025 NO SE PUEDE REALIZAR DESPLAZMIENTO AL MUNICIPIO DE TIMBIO, YA QUE NO SE PUEDE CONSEGUIR TRANSPORTE, SE VISITARA EL DIA 29 DE DICIEMBRE | 29/12/2025 SE INGRESA SE INSTALA BASE FUENTE CUBRE CLAVE SE INSTALA SISTEMA OPERATIVO VERSION CREACION DE USUARIOS PRUEBAS OK TELECARGA DRNA CAPACITACION AL CB MARCACION DE CODIGO DEL PUNTO ENTREGA ROLLOS RBM SE INSTALA AVISO EXTERIOR FLANGED DISOLAY LEGAL"/>
    <s v="VISITA TECNICA"/>
    <s v="OB007854"/>
    <s v="TIPO III"/>
    <s v="TERRESTRE"/>
    <s v="GIMBUEL LASSO LUIS GERMAN"/>
    <n v="1"/>
    <n v="0"/>
    <n v="122645"/>
    <n v="65165"/>
    <n v="122645"/>
  </r>
  <r>
    <s v="PASTO"/>
    <x v="6"/>
    <x v="0"/>
    <s v="52001"/>
    <s v="TA-25-1446339"/>
    <s v="3007082547"/>
    <s v="APERTURA"/>
    <s v="CB CRECIMIENTO ALIANZA - NUEVO"/>
    <s v="NARIÑO"/>
    <s v="PASTO"/>
    <s v="DISTRICOL TIENDA YISETH"/>
    <s v="REDEBAN"/>
    <s v="FO-25-2024508"/>
    <d v="2025-12-24T08:00:00"/>
    <d v="2025-12-26T16:36:00"/>
    <s v="AGREGADOR"/>
    <s v="DISTRICOL"/>
    <s v="EJECUTADO"/>
    <s v="23/12/2025 23-12 PROGRAMACION REALIZADA POR LA ALIANZA| INSTALACIÓN PROGRAMADA PARA EL 2025-12-26 | 26/12/2025 SE REALIZA INSTALACIÓN DE CB. SE CAPACITA SOBRE SOMOS BANCOLOMBIA, MANEJO DE DATAFONO Y PARTE ADMINISTRATIVA. SE INSTALA AVISO EXTERIOR, FLANGER Y DISPLAY LEGAL CON INSERTO HORARIO, TARIFAS Y NÚMERO DE CB. SE ENTREGAN 40 ROLLOS. SE REALIZA PRUEBAS TX EXITOSAS. QUEDA OPERATIVO"/>
    <s v="VISITA TECNICA"/>
    <s v="OB007857"/>
    <s v="TIPO I"/>
    <s v="TERRESTRE"/>
    <s v="CASTILLO HERRERA ALEX RICARDO"/>
    <n v="1"/>
    <n v="0"/>
    <n v="122645"/>
    <n v="65165"/>
    <n v="122645"/>
  </r>
  <r>
    <s v="PASTO"/>
    <x v="6"/>
    <x v="0"/>
    <s v="52001"/>
    <s v="TA-25-1446345"/>
    <s v="3007082573"/>
    <s v="APERTURA"/>
    <s v="CB CRECIMIENTO ALIANZA - NUEVO"/>
    <s v="NARIÑO"/>
    <s v="PASTO"/>
    <s v="DISTRICOL PAPY VAR SAN IGNACIO"/>
    <s v="REDEBAN"/>
    <s v="FO-25-2024518"/>
    <d v="2025-12-24T08:00:00"/>
    <d v="2025-12-24T14:04:00"/>
    <s v="AGREGADOR"/>
    <s v="DISTRICOL"/>
    <s v="EJECUTADO"/>
    <s v="23/12/2025 23-12 PROGRAMACION REALIZADA POR LA ALIANZA| INSTALACIÓN PROGRAMADA PARA EL 2025-12-24 | 24/12/2025 SE REALIZÓ LA INSTALACIÓN DE EQUIPOS PUBLICIDAD Y ACCESORIOS PARA APERTURA CB BANCOLOMBIA SE DIO CAPACITACIÓN MANEJO DE DATÁFONO CB Y SOMOS BANCOLOMBIA SE EJECUTAN PRUEBAS TX EXITOSAS QUEDA OPERATIVO"/>
    <s v="VISITA TECNICA"/>
    <s v="OB007858"/>
    <s v="TIPO I"/>
    <s v="TERRESTRE"/>
    <s v="REMICIO AMADO JOHN HEBER"/>
    <n v="1"/>
    <n v="0"/>
    <n v="122645"/>
    <n v="65165"/>
    <n v="122645"/>
  </r>
  <r>
    <s v="PASTO"/>
    <x v="6"/>
    <x v="0"/>
    <s v="52001"/>
    <s v="TA-25-1446349"/>
    <s v="3007082574"/>
    <s v="APERTURA"/>
    <s v="CB CRECIMIENTO ALIANZA - NUEVO"/>
    <s v="NARIÑO"/>
    <s v="PASTO"/>
    <s v="DISTRICOL ALM EL KOMPRADERO"/>
    <s v="REDEBAN"/>
    <s v="FO-25-2024520"/>
    <d v="2025-12-24T08:00:00"/>
    <d v="2025-12-26T11:46:00"/>
    <s v="AGREGADOR"/>
    <s v="DISTRICOL"/>
    <s v="EJECUTADO"/>
    <s v="23/12/2025 23-12 PROGRAMACION REALIZADA POR LA ALIANZA| INSTALACIÓN PROGRAMADA PARA EL 2025-12-26 | 26/12/2025 SE REALIZA INSTALACIÓN DE CB. SE CAPACITA SOBRE SOMOS BANCOLOMBIA, MANEJO DE DATAFONO Y PARTE ADMINISTRATIVA. SE INSTALA AVISO EXTERIOR, FLANGER Y DISPLAY LEGAL CON INSERTO HORARIO, TARIFAS Y NÚMERO DE CB. SE ENTREGAN 40 ROLLOS. SE REALIZA PRUEBAS TX EXITOSAS. QUEDA OPERATIVO"/>
    <s v="VISITA TECNICA"/>
    <s v="OB007859"/>
    <s v="TIPO I"/>
    <s v="TERRESTRE"/>
    <s v="CASTILLO HERRERA ALEX RICARDO"/>
    <n v="1"/>
    <n v="0"/>
    <n v="122645"/>
    <n v="65165"/>
    <n v="122645"/>
  </r>
  <r>
    <s v="CUCUTA"/>
    <x v="3"/>
    <x v="4"/>
    <s v="54001"/>
    <s v="TA-25-1446350"/>
    <s v="3007082544"/>
    <s v="APERTURA"/>
    <s v="CB CRECIMIENTO ALIANZA - NUEVO"/>
    <s v="NORTE DE SANTANDER"/>
    <s v="CUCUTA"/>
    <s v="DISTRICOL BREYCAR"/>
    <s v="REDEBAN"/>
    <s v="FO-25-2024524"/>
    <d v="2025-12-24T08:00:00"/>
    <d v="2025-12-26T15:50:00"/>
    <s v="AGREGADOR"/>
    <s v="DISTRICOL"/>
    <s v="EJECUTADO"/>
    <s v="23/12/2025 23-12 PROGRAMACION REALIZADA POR LA ALIANZA| INSTALACIÓN PROGRAMADA PARA EL 2025-12-26 | 26/12/2025 SE REALIZÓ LLAMADA TELEFÓNICA AL NÚMERO 3105209230 SE HABLÓ CON LA SRA YEIMI CL MANIFIESTA QUE REALICEMOS LA VISITA EN HORAS DE LA TARDE YA QUE NO SE ENCUENTRA DISPONIBLE EN HORAS AM, SE PROGRAMA VISITA A LAS 2PM POR DISPONIBILIDAD DEL CLIENTE | 26/12/2025 SE REALIZA VISITA AL COMERCIO Y SE HIZO INSTALACIÓN DE DATAFONO LECTORA CABLEADO PUBLICIDAD BANCOLOMBIA INSTALADA OK, CAPACITACIÓN SOMOS BANCOLOMBIA, PRUEBAS EXITOSAS"/>
    <s v="VISITA TECNICA"/>
    <s v="OB007860"/>
    <s v="TIPO I"/>
    <s v="TERRESTRE"/>
    <s v="MORA VEGA JEAMPIER"/>
    <n v="1"/>
    <n v="0"/>
    <n v="122645"/>
    <n v="65165"/>
    <n v="122645"/>
  </r>
  <r>
    <s v="CUCUTA"/>
    <x v="3"/>
    <x v="4"/>
    <s v="54498"/>
    <s v="TA-25-1446351"/>
    <s v="3007082546"/>
    <s v="APERTURA"/>
    <s v="CB CRECIMIENTO ALIANZA - NUEVO"/>
    <s v="NORTE DE SANTANDER"/>
    <s v="OCAÑA"/>
    <s v="DISTRICOL DROGUERIA AUXILIADOR"/>
    <s v="REDEBAN"/>
    <s v="FO-25-2024526"/>
    <d v="2025-12-24T08:00:00"/>
    <d v="2025-12-30T11:31:00"/>
    <s v="AGREGADOR"/>
    <s v="DISTRICOL"/>
    <s v="EJECUTADO"/>
    <s v="23/12/2025 23-12 PROGRAMACION REALIZADA POR LA ALIANZA| INSTALACIÓN PROGRAMADA PARA EL 2025-12-26 | 29/12/2025 SE CONTACTA TELEFÓNICAMENTE AL CLIENTE, LA SEÑORA LUZ MARINA LÁZARO CONFIRMA DATOS OK. SE LE INFORMA AL CLIENTE QUE EL DÍA DE HOY SE REALIZA EL DESPLAZAMIENTO AL MUNICIPIO DE OCAÑA Y LA INSTALACIÓN SE REALIZARÁ EL DÍA DE MAÑANA 30/12._x000a__x000a_3160420157 | 31/12/2025 SE REALIZA VISITA, SE REALIZA APERTURA DE CB, SE INSTALA DATAFONO CON ACCESORIOS, SE INSTALA ÚLTIMA VERSIÓN, SE CREAN USUARIOS OK, SE CAPACITA COMERCIO, SE REALIZAN PRUEBAS Y CIERRES OK. SE INSTALA PUBLICIDAD Y AVISO EXTERIOR."/>
    <s v="VISITA TECNICA"/>
    <s v="OB007861"/>
    <s v="TIPO IV"/>
    <s v="TERRESTRE"/>
    <s v="PACHECO BUITRAGO JAVIER ALONSO"/>
    <n v="1"/>
    <n v="0"/>
    <n v="122645"/>
    <n v="65165"/>
    <n v="122645"/>
  </r>
  <r>
    <s v="PEREIRA"/>
    <x v="7"/>
    <x v="1"/>
    <s v="63001"/>
    <s v="TA-25-1446352"/>
    <s v="3007082562"/>
    <s v="APERTURA"/>
    <s v="CB CRECIMIENTO ALIANZA - NUEVO"/>
    <s v="QUINDIO"/>
    <s v="ARMENIA"/>
    <s v="DISTRICOL MISCELANEA MAS LICOR"/>
    <s v="REDEBAN"/>
    <s v="FO-25-2024528"/>
    <d v="2025-12-24T08:00:00"/>
    <d v="2025-12-26T14:22:00"/>
    <s v="AGREGADOR"/>
    <s v="DISTRICOL"/>
    <s v="EJECUTADO"/>
    <s v="23/12/2025 23-12 PROGRAMACION REALIZADA POR LA ALIANZA| INSTALACIÓN PROGRAMADA PARA EL 2025-12-26 | 26/12/2025 VISITAMOS COMERCIO REALIZAMOS INSTALACIÓN DE DATÁFONO CON LECTOR DE BARRAS, BRAZO DATÁFONO LO CONFIGURAMOS Y REALIZAMOS PRUEBAS OK, INSTALAMOS TODA LA PUBLICIDAD."/>
    <s v="VISITA TECNICA"/>
    <s v="OB007862"/>
    <s v="TIPO II"/>
    <s v="TERRESTRE"/>
    <s v="ARROYAVE CANO MANUEL GUILLERMO"/>
    <n v="1"/>
    <n v="0"/>
    <n v="122645"/>
    <n v="65165"/>
    <n v="122645"/>
  </r>
  <r>
    <s v="PEREIRA"/>
    <x v="7"/>
    <x v="1"/>
    <s v="66001"/>
    <s v="TA-25-1446353"/>
    <s v="3007082548"/>
    <s v="APERTURA"/>
    <s v="CB CRECIMIENTO ALIANZA - NUEVO"/>
    <s v="RISARALDA"/>
    <s v="PEREIRA"/>
    <s v="DISTRICOL VARIEDADES EL GOCHO"/>
    <s v="REDEBAN"/>
    <s v="FO-25-2024531"/>
    <d v="2025-12-24T08:00:00"/>
    <d v="2025-12-24T13:16:00"/>
    <s v="AGREGADOR"/>
    <s v="DISTRICOL"/>
    <s v="EJECUTADO"/>
    <s v="23/12/2025 23-12 PROGRAMACION REALIZADA POR LA ALIANZA| INSTALACIÓN PROGRAMADA PARA EL 2025-12-24 | 27/12/2025 SE VISITA COMERCIO SE REALIZA APERTURA CB RBM SE INSTALA PUBLICIDAD DATÁFONO BASE MAGIC BOX Y LECTORA SE REALIZA CAPACITACIÓN SE REALIZA PRUEBAS OK"/>
    <s v="VISITA TECNICA"/>
    <s v="OB007863"/>
    <s v="TIPO I"/>
    <s v="TERRESTRE"/>
    <s v="LOAIZA LOPEZ JHON FREDDY"/>
    <n v="1"/>
    <n v="0"/>
    <n v="122645"/>
    <n v="65165"/>
    <n v="122645"/>
  </r>
  <r>
    <s v="PEREIRA"/>
    <x v="7"/>
    <x v="1"/>
    <s v="66001"/>
    <s v="TA-25-1446354"/>
    <s v="3007082575"/>
    <s v="APERTURA"/>
    <s v="CB CRECIMIENTO ALIANZA - NUEVO"/>
    <s v="RISARALDA"/>
    <s v="PEREIRA"/>
    <s v="DISTRICOL SERVIREPUESTOS 2023"/>
    <s v="REDEBAN"/>
    <s v="FO-25-2024537"/>
    <d v="2025-12-24T08:00:00"/>
    <d v="2025-12-26T12:08:00"/>
    <s v="AGREGADOR"/>
    <s v="DISTRICOL"/>
    <s v="EJECUTADO"/>
    <s v="23/12/2025 23-12 PROGRAMACION REALIZADA POR LA ALIANZA| INSTALACIÓN PROGRAMADA PARA EL 2025-12-26 | 02/01/2026 SE VISITA COMERCIO SE REALIZA APERTURA CB RBM SE INSTALA PUBLICIDAD DATÁFONO BASE Y LECTORA SE REALIZA CAPACITACIÓN SE REALIZA PRUEBAS OK"/>
    <s v="VISITA TECNICA"/>
    <s v="OB007864"/>
    <s v="TIPO I"/>
    <s v="TERRESTRE"/>
    <s v="LOAIZA LOPEZ JHON FREDDY"/>
    <n v="1"/>
    <n v="0"/>
    <n v="122645"/>
    <n v="65165"/>
    <n v="122645"/>
  </r>
  <r>
    <s v="BUCARAMANGA"/>
    <x v="3"/>
    <x v="4"/>
    <s v="68276"/>
    <s v="TA-25-1446356"/>
    <s v="3007082545"/>
    <s v="APERTURA"/>
    <s v="CB CRECIMIENTO ALIANZA - NUEVO"/>
    <s v="SANTANDER"/>
    <s v="FLORIDABLANCA"/>
    <s v="DISTRICOL LEON MORALES SAS"/>
    <s v="REDEBAN"/>
    <s v="FO-25-2024543"/>
    <d v="2025-12-24T08:00:00"/>
    <d v="2025-12-26T17:00:00"/>
    <s v="AGREGADOR"/>
    <s v="DISTRICOL"/>
    <s v="EJECUTADO"/>
    <s v="23/12/2025 23-12 PROGRAMACION REALIZADA POR LA ALIANZA| INSTALACIÓN PROGRAMADA PARA EL 2025-12-26 | 26/12/2025 EN COMUNICACIÓN CON EL ADMINISTRADOR AL CELULAR CB, INFORMA TENER DISPONIBILIDAD DESPUÉS DE LAS 11:00 AM YA QUE EN ESTOS MOMENTOS SE ENCUENTRA REALIZANDO UNAS DILIGENCIAS PERSONALES. | 26/12/2025 SE REALIZA INSTALACIÓN DE DATÁFONO, LECTOR DE BARRAS, MAGI BOX, PINPAD BASE DATÁFONO, PASCORD, CUBRE CLAVE, 40 ROLLOS, SE CAPACITA CORRESPONSAL, SOMOS BANCOLOMBIA, PRUEBAS EXITOSA."/>
    <s v="VISITA TECNICA"/>
    <s v="OB007866"/>
    <s v="TIPO I"/>
    <s v="TERRESTRE"/>
    <s v="MARTINEZ FLOREZ DONIS ALBERTO"/>
    <n v="1"/>
    <n v="0"/>
    <n v="122645"/>
    <n v="65165"/>
    <n v="122645"/>
  </r>
  <r>
    <s v="BUCARAMANGA"/>
    <x v="3"/>
    <x v="4"/>
    <s v="68547"/>
    <s v="TA-25-1446358"/>
    <s v="3007082549"/>
    <s v="APERTURA"/>
    <s v="CB CRECIMIENTO ALIANZA - NUEVO"/>
    <s v="SANTANDER"/>
    <s v="PIEDECUESTA"/>
    <s v="DISTRICOL T Y M MUNDO EXPRESS"/>
    <s v="REDEBAN"/>
    <s v="FO-25-2024551"/>
    <d v="2025-12-24T08:00:00"/>
    <d v="2025-12-26T13:34:00"/>
    <s v="AGREGADOR"/>
    <s v="DISTRICOL"/>
    <s v="EJECUTADO"/>
    <s v="23/12/2025 23-12 PROGRAMACION REALIZADA POR LA ALIANZA| INSTALACIÓN PROGRAMADA PARA EL 2025-12-26 | 26/12/2025 SE ESTABLECE COMUNICACIÓN CON EL SR JULIAN ORTIZ AL NÚMERO DE CONTACTO 3163494081, QUIEN COMENTA QUE TIENE LA DISPONIBILIDAD PARA ATENDER LA VISITA TÉCNICA A PARTIR DE LAS 10 AM | 26/12/2025 SE REALIZA VISITA AL COMERCIO SE HACE APERTURA CB BANCOLOMBIA PURO, SE INSTALA AVISO EXTERIOR, FLANGED, DISPLAY, BASE, DATÁFONO, LECTOR DE BARRAS, MÁGIC BOX, PINPAD POR MÓDULO DE VIDRIO,CUBRE CLAVES, SE DEJAN USUARIO CREADOS A GUSTO DEL CLIENTE, SE HACEN PRUEBAS OK, SOMOS BANCOLOMBIA OK, CAPACITACIÓN GENERAL COMPLETA, MANEJO DEL DATÁFONO OK"/>
    <s v="VISITA TECNICA"/>
    <s v="OB007868"/>
    <s v="TIPO II"/>
    <s v="TERRESTRE"/>
    <s v="GONZALEZ ESTUPIÑAN YEISON WALTER ANTONIO"/>
    <n v="1"/>
    <n v="0"/>
    <n v="122645"/>
    <n v="65165"/>
    <n v="122645"/>
  </r>
  <r>
    <s v="IBAGUE"/>
    <x v="5"/>
    <x v="6"/>
    <s v="73411"/>
    <s v="TA-25-1446359"/>
    <s v="3007082567"/>
    <s v="APERTURA"/>
    <s v="CB CRECIMIENTO ALIANZA - NUEVO"/>
    <s v="TOLIMA"/>
    <s v="LIBANO"/>
    <s v="DISTRICOL MEDICLINICAL DROGUER"/>
    <s v="REDEBAN"/>
    <s v="FO-25-2024557"/>
    <d v="2025-12-24T08:00:00"/>
    <d v="2025-12-26T16:28:00"/>
    <s v="AGREGADOR"/>
    <s v="DISTRICOL"/>
    <s v="EJECUTADO"/>
    <s v="23/12/2025 23-12 PROGRAMACION REALIZADA POR LA ALIANZA| INSTALACIÓN PROGRAMADA PARA EL 2025-12-26 | 26/12/2025 SE INSTALA CB BANCOLOMBIA SIN NOVEDAD. SE CAPACITA A LA SEÑORA LEIDY VELOZA, EN EL MANEJO DEL DATÁFONO, SOMOS BANCOLOMBIA, Y PROCESO DE COMPENSACIÓN. SE HACEN LAS PRUEBAS DE TRANSACCIONES TODO OK"/>
    <s v="VISITA TECNICA"/>
    <s v="OB007869"/>
    <s v="TIPO III"/>
    <s v="TERRESTRE"/>
    <s v="VARGAS HERRERA JHON JAIRO"/>
    <n v="1"/>
    <n v="0"/>
    <n v="122645"/>
    <n v="65165"/>
    <n v="122645"/>
  </r>
  <r>
    <s v="CALI"/>
    <x v="6"/>
    <x v="0"/>
    <s v="76001"/>
    <s v="TA-25-1446360"/>
    <s v="3007082541"/>
    <s v="APERTURA"/>
    <s v="CB CRECIMIENTO ALIANZA - NUEVO"/>
    <s v="VALLE DEL CAUCA"/>
    <s v="CALI"/>
    <s v="DISTRICOL C.I.A. SALOMIA"/>
    <s v="REDEBAN"/>
    <s v="FO-25-2024559"/>
    <d v="2025-12-24T08:00:00"/>
    <d v="2025-12-24T12:52:00"/>
    <s v="AGREGADOR"/>
    <s v="DISTRICOL"/>
    <s v="EJECUTADO"/>
    <s v="23/12/2025 23-12 PROGRAMACION REALIZADA POR LA ALIANZA| INSTALACIÓN PROGRAMADA PARA EL 2025-12-24 | 24/12/2025 SE LLAMA AL CLIENTE, SE VÁLIDA INSTALACIÓN, DIRECCIÓN Y DISPONIBILIDAD, SE VISITA EL COMERCIO INSTALO DATAFONO, LECTORA, ACCESORIOS, PUBLICIDAD, SE CAPACITA, PRUEBAS OK, TELECARGA TRNA"/>
    <s v="VISITA TECNICA"/>
    <s v="OB007870"/>
    <s v="TIPO I"/>
    <s v="TERRESTRE"/>
    <s v="HERRERA MONAR GEOVANNY"/>
    <n v="1"/>
    <n v="0"/>
    <n v="122645"/>
    <n v="65165"/>
    <n v="122645"/>
  </r>
  <r>
    <s v="CALI"/>
    <x v="6"/>
    <x v="0"/>
    <s v="76520"/>
    <s v="TA-25-1446361"/>
    <s v="3007082571"/>
    <s v="APERTURA"/>
    <s v="CB CRECIMIENTO ALIANZA - NUEVO"/>
    <s v="VALLE DEL CAUCA"/>
    <s v="PALMIRA"/>
    <s v="DISTRICOL RAPITRAMITE PAISAS 2"/>
    <s v="REDEBAN"/>
    <s v="FO-25-2024561"/>
    <d v="2025-12-24T08:00:00"/>
    <d v="2025-12-24T13:22:00"/>
    <s v="AGREGADOR"/>
    <s v="DISTRICOL"/>
    <s v="EJECUTADO"/>
    <s v="23/12/2025 23-12 PROGRAMACION REALIZADA POR LA ALIANZA| INSTALACIÓN PROGRAMADA PARA EL 2025-12-24 | 24/12/2025 EN LA VISITA TÉCNICA SE REALIZÓ LA INSTALACIÓN DE CORRESPONSAL BANCOLOMBIA PURO,SE INSTALA DATÁFONO,MAGIC BOX 2600, LECTOR,BASE SOPORTE DE DATÁFONO,SE INSTALA PINPAD DESK 1600 YA QUE CONTABA CON VENTANILLA DE SEGURIDAD CON VIDRIO,SE INSTALA LA PUBLICIDAD Y SE IMPLEMENTARON LOS ROLLOS DE REDEBAN,SE REALIZÓ LA CAPACITACIÓN CON LA PERSONA ENCARGADA DE MANEJAR EL CORRESPONSAL, CREACIÓN DE USUARIOS SISTEMA OPERATIVO Y MENU OPERATIVO DEL DATÁFONO, TRANSACCIONES,MALQS PRÁCTICAS SEGURIDAD Y ATENCIÓN AL CLIENTE,EL SERVICIO QUEDÓ OPERANDO SIN FALLAS Y SIN NOVEDAD."/>
    <s v="VISITA TECNICA"/>
    <s v="OB007871"/>
    <s v="TIPO I"/>
    <s v="TERRESTRE"/>
    <s v="SANCHEZ URREGO ROBINSON DAVID"/>
    <n v="1"/>
    <n v="0"/>
    <n v="122645"/>
    <n v="65165"/>
    <n v="122645"/>
  </r>
  <r>
    <s v="CALI"/>
    <x v="6"/>
    <x v="0"/>
    <s v="76520"/>
    <s v="TA-25-1446362"/>
    <s v="3007082572"/>
    <s v="APERTURA"/>
    <s v="CB CRECIMIENTO ALIANZA - NUEVO"/>
    <s v="VALLE DEL CAUCA"/>
    <s v="PALMIRA"/>
    <s v="DISTRICOL CDA TECNO-ROZO"/>
    <s v="REDEBAN"/>
    <s v="FO-25-2024565"/>
    <d v="2025-12-24T08:00:00"/>
    <d v="2025-12-26T16:22:00"/>
    <s v="AGREGADOR"/>
    <s v="DISTRICOL"/>
    <s v="EJECUTADO"/>
    <s v="23/12/2025 23-12 PROGRAMACION REALIZADA POR LA ALIANZA| INSTALACIÓN PROGRAMADA PARA EL 2025-12-26 | 26/12/2025 SE VISITA ESTABLECIMIENTO, SE REALIZA INSTALACIÓN CORRESPONSAL BANCOLOMBIA PURO. TRANSACCIONES DE PRUEBA EXITOSAS. SE CAPACITA Y SE INSTALA PUBLICIDAD COMPLETA."/>
    <s v="VISITA TECNICA"/>
    <s v="OB007872"/>
    <s v="TIPO I"/>
    <s v="TERRESTRE"/>
    <s v="BOLAÑOS TABORDA JORGE ENRIQUE"/>
    <n v="1"/>
    <n v="0"/>
    <n v="122645"/>
    <n v="65165"/>
    <n v="122645"/>
  </r>
  <r>
    <s v="CALI"/>
    <x v="6"/>
    <x v="0"/>
    <s v="76563"/>
    <s v="TA-25-1446363"/>
    <s v="3007082576"/>
    <s v="APERTURA"/>
    <s v="CB CRECIMIENTO ALIANZA - NUEVO"/>
    <s v="VALLE DEL CAUCA"/>
    <s v="PRADERA"/>
    <s v="DISTRICOL COMBUSTIBLES Y LUBRI"/>
    <s v="REDEBAN"/>
    <s v="FO-25-2024570"/>
    <d v="2025-12-24T08:00:00"/>
    <d v="2025-12-26T16:30:00"/>
    <s v="AGREGADOR"/>
    <s v="DISTRICOL"/>
    <s v="EJECUTADO"/>
    <s v="23/12/2025 23-12 PROGRAMACION REALIZADA POR LA ALIANZA| INSTALACIÓN PROGRAMADA PARA EL 2025-12-26 | 26/12/2025 SE REALIZA APERTURA DE CB BANCOLOMBIA PURO, SE INSTALA EQUIPO, ACCESORIOS Y PUBLICIDAD, SE REALIZAN PRUEBAS OK. NO SÉ REALIZAN TODAS LAS PRUEBAS YA QUE EL CLIENTE NO CUENTA CON LOS MEDIOS, SE ENTREGAN 40 ROLLOS TERMICOS REDEBAN."/>
    <s v="VISITA TECNICA"/>
    <s v="OB007873"/>
    <s v="TIPO II"/>
    <s v="TERRESTRE"/>
    <s v="MONTERO MUESES GIAN CARLO"/>
    <n v="1"/>
    <n v="0"/>
    <n v="122645"/>
    <n v="65165"/>
    <n v="122645"/>
  </r>
  <r>
    <s v="PEREIRA"/>
    <x v="7"/>
    <x v="1"/>
    <s v="76828"/>
    <s v="TA-25-1446364"/>
    <s v="3007082553"/>
    <s v="APERTURA"/>
    <s v="CB CRECIMIENTO ALIANZA - NUEVO"/>
    <s v="VALLE DEL CAUCA"/>
    <s v="TRUJILLO"/>
    <s v="DISTRICOL DROG MARIA LILIA"/>
    <s v="REDEBAN"/>
    <s v="FO-25-2024571"/>
    <d v="2025-12-24T08:00:00"/>
    <d v="2025-12-26T22:40:00"/>
    <s v="AGREGADOR"/>
    <s v="DISTRICOL"/>
    <s v="EJECUTADO"/>
    <s v="23/12/2025 23-12 PROGRAMACION REALIZADA POR LA ALIANZA| INSTALACIÓN PROGRAMADA PARA EL 2025-12-26 | 27/12/2025 SE REALIZA INSTALACIÓN DE CB Y  PUBLICIDAD, AVISO EXTERIOR, DISPLAY - FLANGER._x000a_‎SE REALIZA CAPACITACIÓN DE SOMOS BANCOLOMBIA. COMPENSACIÓN - MALAS PRÁCTICA. MANEJO DEL DATÁFONO Y SU RESPECTIVO MENU._x000a_‎SE EXPLICA PROCESO DE CREACIÓN DE USUARIOS._x000a_‎SE REALIZARON PRUEBAS OPERATIVAS SIN NOVEDAD._x000a_‎SE DEJAN 40 ROLLOS TÉRMICOS EN EL CB._x000a_‎CB QUEDA OKEY."/>
    <s v="VISITA TECNICA"/>
    <s v="OB007874"/>
    <s v="TIPO II"/>
    <s v="TERRESTRE"/>
    <s v="TORRES GARCIA JENDRY JOSE"/>
    <n v="1"/>
    <n v="0"/>
    <n v="122645"/>
    <n v="65165"/>
    <n v="122645"/>
  </r>
  <r>
    <s v="CALI"/>
    <x v="6"/>
    <x v="0"/>
    <s v="76834"/>
    <s v="TA-25-1446365"/>
    <s v="3007082554"/>
    <s v="APERTURA"/>
    <s v="CB CRECIMIENTO ALIANZA - NUEVO"/>
    <s v="VALLE DEL CAUCA"/>
    <s v="TULUA"/>
    <s v="DISTRICOL VARIEDADES MELY .SA"/>
    <s v="REDEBAN"/>
    <s v="FO-25-2024574"/>
    <d v="2025-12-24T08:00:00"/>
    <d v="2025-12-26T17:30:00"/>
    <s v="AGREGADOR"/>
    <s v="DISTRICOL"/>
    <s v="EJECUTADO"/>
    <s v="23/12/2025 23-12 PROGRAMACION REALIZADA POR LA ALIANZA| INSTALACIÓN PROGRAMADA PARA EL 2025-12-26 | 26/12/2025 SE REALIZÓ GESTION TELÉFONO PARA CONFIRMAR LA VISITA CON EL CLIENTE,PERO NO HUBO RESPUESTA,SE REALIZÓ EL DESPLAZAMIENTO AL SITIO YA QUE NO HUBO CONTACTO CON EL CLIENTE. | 26/12/2025 EN LA VISITA TÉCNICA SE REALIZÓ LA INSTALACIÓN DE EL CB BANCOLOMBIA PURO,SE INSTALA DATÁFONO, LECTOR, MAGIC BOX 2600,BASE SOPORTE DE DATÁFONO,SE REALIZÓ LA CAPACITACIÓN, INSTALACIÓN DE PUBLICIDAD Y SE IMPLEMENTARON LOS ROLLOS DE REDEBAN,SE REALIZARON TODAS LAS PRUEBAS DURANTE LA CAPACITACIÓN OPERATIVA DEJANDO EL SERVICIO OPERANDO SIN FALLAS Y SIN NOVEDAD."/>
    <s v="VISITA TECNICA"/>
    <s v="OB007876"/>
    <s v="TIPO II"/>
    <s v="TERRESTRE"/>
    <s v="SANCHEZ URREGO ROBINSON DAVID"/>
    <n v="1"/>
    <n v="0"/>
    <n v="122645"/>
    <n v="65165"/>
    <n v="122645"/>
  </r>
  <r>
    <s v="YOPAL"/>
    <x v="5"/>
    <x v="6"/>
    <s v="85410"/>
    <s v="TA-25-1446366"/>
    <s v="3007082581"/>
    <s v="APERTURA"/>
    <s v="CB CRECIMIENTO ALIANZA - NUEVO"/>
    <s v="CASANARE"/>
    <s v="TAURAMENA"/>
    <s v="DISTRICOL CM CORPORATIVO"/>
    <s v="REDEBAN"/>
    <s v="FO-25-2024579"/>
    <d v="2025-12-24T08:00:00"/>
    <d v="2025-12-26T17:44:00"/>
    <s v="AGREGADOR"/>
    <s v="DISTRICOL"/>
    <s v="EJECUTADO"/>
    <s v="23/12/2025 23-12 PROGRAMACION REALIZADA POR LA ALIANZA| INSTALACIÓN PROGRAMADA PARA EL 2025-12-26 | 27/12/2025 SE REALIZA APERTURA CB BANCOLOMBIA PRUEBAS OK SE INSTALA PUBLICIDAD SE INGRESA A SOMOS OK SIN NOVEDAD"/>
    <s v="VISITA TECNICA"/>
    <s v="OB007877"/>
    <s v="TIPO II"/>
    <s v="TERRESTRE"/>
    <s v="CASTRILLON URREA LONDIER LEANDRO"/>
    <n v="1"/>
    <n v="0"/>
    <n v="122645"/>
    <n v="65165"/>
    <n v="122645"/>
  </r>
  <r>
    <m/>
    <x v="8"/>
    <x v="7"/>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87728E-0046-4778-AC2E-16DB549A3F90}" name="TablaDinámica9" cacheId="45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0" firstHeaderRow="1" firstDataRow="1" firstDataCol="1"/>
  <pivotFields count="29">
    <pivotField showAll="0"/>
    <pivotField axis="axisRow" showAll="0">
      <items count="10">
        <item x="4"/>
        <item x="1"/>
        <item x="7"/>
        <item x="2"/>
        <item x="5"/>
        <item x="3"/>
        <item x="6"/>
        <item x="0"/>
        <item x="8"/>
        <item t="default"/>
      </items>
    </pivotField>
    <pivotField axis="axisRow" showAll="0">
      <items count="9">
        <item x="2"/>
        <item x="1"/>
        <item x="0"/>
        <item x="5"/>
        <item x="3"/>
        <item x="6"/>
        <item x="4"/>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2"/>
    <field x="1"/>
  </rowFields>
  <rowItems count="17">
    <i>
      <x/>
    </i>
    <i r="1">
      <x v="1"/>
    </i>
    <i>
      <x v="1"/>
    </i>
    <i r="1">
      <x v="2"/>
    </i>
    <i r="1">
      <x v="7"/>
    </i>
    <i>
      <x v="2"/>
    </i>
    <i r="1">
      <x v="6"/>
    </i>
    <i r="1">
      <x v="7"/>
    </i>
    <i>
      <x v="3"/>
    </i>
    <i r="1">
      <x/>
    </i>
    <i>
      <x v="4"/>
    </i>
    <i r="1">
      <x v="3"/>
    </i>
    <i>
      <x v="5"/>
    </i>
    <i r="1">
      <x v="4"/>
    </i>
    <i>
      <x v="6"/>
    </i>
    <i r="1">
      <x v="5"/>
    </i>
    <i t="grand">
      <x/>
    </i>
  </rowItems>
  <colItems count="1">
    <i/>
  </colItems>
  <dataFields count="1">
    <dataField name="Suma de VALOR TOTAL"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A561F-2B7E-42A9-813F-E9DA0EF6B941}">
  <dimension ref="A1:I4"/>
  <sheetViews>
    <sheetView topLeftCell="E1" workbookViewId="0">
      <selection activeCell="H4" sqref="H4"/>
    </sheetView>
  </sheetViews>
  <sheetFormatPr baseColWidth="10" defaultRowHeight="14.4"/>
  <cols>
    <col min="1" max="1" width="17.109375" bestFit="1" customWidth="1"/>
    <col min="2" max="2" width="13.44140625" bestFit="1" customWidth="1"/>
    <col min="3" max="3" width="76.6640625" bestFit="1" customWidth="1"/>
    <col min="4" max="4" width="48.109375" bestFit="1" customWidth="1"/>
    <col min="5" max="5" width="38.44140625" bestFit="1" customWidth="1"/>
    <col min="6" max="6" width="23.88671875" bestFit="1" customWidth="1"/>
    <col min="7" max="7" width="21.6640625" bestFit="1" customWidth="1"/>
    <col min="8" max="8" width="22.44140625" bestFit="1" customWidth="1"/>
    <col min="9" max="9" width="23.33203125" bestFit="1" customWidth="1"/>
  </cols>
  <sheetData>
    <row r="1" spans="1:9" ht="15" thickBot="1">
      <c r="A1" s="23" t="s">
        <v>715</v>
      </c>
      <c r="B1" s="24" t="s">
        <v>716</v>
      </c>
      <c r="C1" s="24" t="s">
        <v>717</v>
      </c>
      <c r="D1" s="24" t="s">
        <v>718</v>
      </c>
      <c r="E1" s="24" t="s">
        <v>719</v>
      </c>
      <c r="F1" s="24" t="s">
        <v>720</v>
      </c>
      <c r="G1" s="24" t="s">
        <v>721</v>
      </c>
      <c r="H1" s="24" t="s">
        <v>722</v>
      </c>
      <c r="I1" s="24" t="s">
        <v>723</v>
      </c>
    </row>
    <row r="2" spans="1:9" ht="15" thickBot="1">
      <c r="A2" s="25" t="s">
        <v>730</v>
      </c>
      <c r="B2" s="26" t="s">
        <v>724</v>
      </c>
      <c r="C2" s="26" t="s">
        <v>725</v>
      </c>
      <c r="D2" s="26" t="s">
        <v>726</v>
      </c>
      <c r="E2" s="26" t="s">
        <v>727</v>
      </c>
      <c r="F2" s="27">
        <f>COUNTA(CAPACITACIONES_APERTURAS!A:A)-1</f>
        <v>73</v>
      </c>
      <c r="G2" s="28">
        <v>122645</v>
      </c>
      <c r="H2" s="28">
        <f>F2*G2</f>
        <v>8953085</v>
      </c>
      <c r="I2" s="28">
        <f>H2*1.19</f>
        <v>10654171.15</v>
      </c>
    </row>
    <row r="3" spans="1:9" ht="15" thickBot="1">
      <c r="A3" s="25" t="str">
        <f>A2</f>
        <v>DICIEMBRE DE 2025</v>
      </c>
      <c r="B3" s="26" t="s">
        <v>724</v>
      </c>
      <c r="C3" s="26" t="s">
        <v>725</v>
      </c>
      <c r="D3" s="26" t="s">
        <v>728</v>
      </c>
      <c r="E3" s="26" t="s">
        <v>727</v>
      </c>
      <c r="F3" s="27">
        <v>0</v>
      </c>
      <c r="G3" s="28">
        <v>0</v>
      </c>
      <c r="H3" s="28">
        <f>'[25]CAPACITACION OC '!AW3</f>
        <v>0</v>
      </c>
      <c r="I3" s="28">
        <f t="shared" ref="I3" si="0">H3*1.19</f>
        <v>0</v>
      </c>
    </row>
    <row r="4" spans="1:9" ht="15" thickBot="1">
      <c r="A4" s="33" t="s">
        <v>729</v>
      </c>
      <c r="B4" s="34"/>
      <c r="C4" s="34"/>
      <c r="D4" s="35"/>
      <c r="E4" s="29" t="s">
        <v>729</v>
      </c>
      <c r="F4" s="30">
        <f>SUM(F2:F3)</f>
        <v>73</v>
      </c>
      <c r="G4" s="31"/>
      <c r="H4" s="32">
        <f>SUM(H2:H3)</f>
        <v>8953085</v>
      </c>
      <c r="I4" s="32">
        <f>SUM(I2:I3)</f>
        <v>10654171.15</v>
      </c>
    </row>
  </sheetData>
  <mergeCells count="1">
    <mergeCell ref="A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L18"/>
  <sheetViews>
    <sheetView workbookViewId="0">
      <selection activeCell="F4" sqref="F4"/>
    </sheetView>
  </sheetViews>
  <sheetFormatPr baseColWidth="10" defaultColWidth="11.44140625" defaultRowHeight="14.4"/>
  <cols>
    <col min="1" max="1" width="18.33203125" style="1" customWidth="1"/>
    <col min="2" max="2" width="18.5546875" style="1" bestFit="1" customWidth="1"/>
    <col min="3" max="3" width="21" style="1" customWidth="1"/>
    <col min="4" max="4" width="18.109375" style="1" bestFit="1" customWidth="1"/>
    <col min="5" max="5" width="23.109375" style="1" customWidth="1"/>
    <col min="6" max="6" width="11.88671875" style="1" bestFit="1" customWidth="1"/>
    <col min="7" max="7" width="3.88671875" style="1" customWidth="1"/>
    <col min="8" max="8" width="17.5546875" style="1" customWidth="1"/>
    <col min="9" max="9" width="12" style="1" bestFit="1" customWidth="1"/>
    <col min="10" max="11" width="20.6640625" style="1" customWidth="1"/>
  </cols>
  <sheetData>
    <row r="1" spans="1:12">
      <c r="A1" s="39" t="s">
        <v>0</v>
      </c>
      <c r="B1" s="37"/>
      <c r="C1" s="37"/>
      <c r="D1" s="37"/>
      <c r="E1" s="37"/>
      <c r="F1" s="38"/>
      <c r="H1" s="6" t="s">
        <v>1</v>
      </c>
    </row>
    <row r="2" spans="1:12" ht="63.75" customHeight="1">
      <c r="A2" s="5" t="s">
        <v>2</v>
      </c>
      <c r="B2" s="5" t="s">
        <v>3</v>
      </c>
      <c r="C2" s="5" t="s">
        <v>4</v>
      </c>
      <c r="D2" s="5" t="s">
        <v>5</v>
      </c>
      <c r="E2" s="5" t="s">
        <v>6</v>
      </c>
      <c r="F2" s="6" t="s">
        <v>7</v>
      </c>
      <c r="H2" s="16">
        <v>5.1999999999999998E-2</v>
      </c>
    </row>
    <row r="3" spans="1:12">
      <c r="A3" s="17" t="s">
        <v>8</v>
      </c>
      <c r="B3" s="17" t="s">
        <v>9</v>
      </c>
      <c r="C3" s="18">
        <f>116583.13*(1+$H$2)</f>
        <v>122645.45276000001</v>
      </c>
      <c r="D3" s="18">
        <f>186397.63*(1+$H$2)</f>
        <v>196090.30676000001</v>
      </c>
      <c r="E3" s="18">
        <f>36031.04*(1+$H$2)</f>
        <v>37904.65408</v>
      </c>
      <c r="F3" s="18">
        <f>61943.61*(1+$H$2)</f>
        <v>65164.677720000007</v>
      </c>
      <c r="H3" s="2"/>
      <c r="I3" s="2"/>
      <c r="J3" s="2"/>
      <c r="K3" s="2"/>
    </row>
    <row r="4" spans="1:12">
      <c r="A4" s="17" t="s">
        <v>10</v>
      </c>
      <c r="B4" s="17" t="s">
        <v>11</v>
      </c>
      <c r="C4" s="18">
        <f>116583.13*(1+$H$2)</f>
        <v>122645.45276000001</v>
      </c>
      <c r="D4" s="18">
        <f>239830.52*(1+$H$2)</f>
        <v>252301.70704000001</v>
      </c>
      <c r="E4" s="18">
        <f>36031.04*(1+$H$2)</f>
        <v>37904.65408</v>
      </c>
      <c r="F4" s="18">
        <f>61943.61*(1+$H$2)</f>
        <v>65164.677720000007</v>
      </c>
      <c r="H4" s="2"/>
      <c r="I4" s="2"/>
      <c r="J4" s="2"/>
      <c r="K4" s="2"/>
    </row>
    <row r="5" spans="1:12">
      <c r="A5" s="17" t="s">
        <v>12</v>
      </c>
      <c r="B5" s="17" t="s">
        <v>13</v>
      </c>
      <c r="C5" s="18">
        <f>116583.13*(1+$H$2)</f>
        <v>122645.45276000001</v>
      </c>
      <c r="D5" s="18">
        <f>385797.87*(1+$H$2)</f>
        <v>405859.35924000002</v>
      </c>
      <c r="E5" s="18">
        <f>36031.04*(1+$H$2)</f>
        <v>37904.65408</v>
      </c>
      <c r="F5" s="18">
        <f>61943.61*(1+$H$2)</f>
        <v>65164.677720000007</v>
      </c>
      <c r="H5" s="2"/>
      <c r="I5" s="2"/>
      <c r="J5" s="2"/>
      <c r="K5" s="2"/>
    </row>
    <row r="6" spans="1:12">
      <c r="A6" s="17" t="s">
        <v>14</v>
      </c>
      <c r="B6" s="17" t="s">
        <v>15</v>
      </c>
      <c r="C6" s="18">
        <f>116583.13*(1+$H$2)</f>
        <v>122645.45276000001</v>
      </c>
      <c r="D6" s="18">
        <f>579581.34*(1+$H$2)</f>
        <v>609719.56967999996</v>
      </c>
      <c r="E6" s="18">
        <f>36031.04*(1+$H$2)</f>
        <v>37904.65408</v>
      </c>
      <c r="F6" s="18">
        <f>61943.61*(1+$H$2)</f>
        <v>65164.677720000007</v>
      </c>
      <c r="H6" s="2"/>
      <c r="I6" s="2"/>
      <c r="J6" s="2"/>
      <c r="K6" s="2"/>
    </row>
    <row r="7" spans="1:12">
      <c r="A7" s="17" t="s">
        <v>16</v>
      </c>
      <c r="B7" s="17" t="s">
        <v>17</v>
      </c>
      <c r="C7" s="18">
        <f>116583.13*(1+$H$2)</f>
        <v>122645.45276000001</v>
      </c>
      <c r="D7" s="18">
        <f>579581.34*(1+$H$2)</f>
        <v>609719.56967999996</v>
      </c>
      <c r="E7" s="18">
        <f>36031.04*(1+$H$2)</f>
        <v>37904.65408</v>
      </c>
      <c r="F7" s="18">
        <f>61943.61*(1+$H$2)</f>
        <v>65164.677720000007</v>
      </c>
      <c r="H7" s="2"/>
      <c r="I7" s="2"/>
      <c r="J7" s="2"/>
      <c r="K7" s="2"/>
    </row>
    <row r="8" spans="1:12">
      <c r="A8" s="40" t="s">
        <v>18</v>
      </c>
      <c r="B8" s="37"/>
      <c r="C8" s="37"/>
      <c r="D8" s="37"/>
      <c r="E8" s="37"/>
      <c r="F8" s="38"/>
    </row>
    <row r="9" spans="1:12">
      <c r="A9" s="40" t="s">
        <v>19</v>
      </c>
      <c r="B9" s="37"/>
      <c r="C9" s="37"/>
      <c r="D9" s="37"/>
      <c r="E9" s="37"/>
      <c r="F9" s="38"/>
    </row>
    <row r="11" spans="1:12">
      <c r="A11" s="41" t="s">
        <v>20</v>
      </c>
      <c r="B11" s="37"/>
      <c r="C11" s="37"/>
      <c r="D11" s="38"/>
      <c r="E11" s="11"/>
      <c r="F11" s="11"/>
    </row>
    <row r="12" spans="1:12">
      <c r="A12" s="7" t="s">
        <v>2</v>
      </c>
      <c r="B12" s="7" t="s">
        <v>3</v>
      </c>
      <c r="C12" s="7" t="s">
        <v>21</v>
      </c>
      <c r="D12" s="7" t="s">
        <v>22</v>
      </c>
    </row>
    <row r="13" spans="1:12">
      <c r="A13" s="8" t="s">
        <v>8</v>
      </c>
      <c r="B13" s="8" t="s">
        <v>9</v>
      </c>
      <c r="C13" s="19">
        <f>62700.07*(1+$H$2)</f>
        <v>65960.473639999997</v>
      </c>
      <c r="D13" s="19">
        <f>42357.4*(1+$H$2)</f>
        <v>44559.984800000006</v>
      </c>
      <c r="E13" s="2"/>
      <c r="F13" s="2"/>
      <c r="H13" s="2"/>
      <c r="I13" s="2"/>
      <c r="J13" s="2"/>
      <c r="K13" s="2"/>
      <c r="L13" s="2"/>
    </row>
    <row r="14" spans="1:12">
      <c r="A14" s="8" t="s">
        <v>10</v>
      </c>
      <c r="B14" s="8" t="s">
        <v>11</v>
      </c>
      <c r="C14" s="19">
        <f>155716.31*(1+$H$2)</f>
        <v>163813.55812</v>
      </c>
      <c r="D14" s="19">
        <f>127766.53*(1+$H$2)</f>
        <v>134410.38956000001</v>
      </c>
      <c r="E14" s="2"/>
      <c r="F14" s="2"/>
      <c r="H14" s="2"/>
      <c r="I14" s="2"/>
      <c r="J14" s="2"/>
      <c r="K14" s="2"/>
      <c r="L14" s="2"/>
    </row>
    <row r="15" spans="1:12">
      <c r="A15" s="8" t="s">
        <v>12</v>
      </c>
      <c r="B15" s="8" t="s">
        <v>13</v>
      </c>
      <c r="C15" s="19">
        <f>262099.22*(1+$H$2)</f>
        <v>275728.37943999999</v>
      </c>
      <c r="D15" s="19">
        <f>211886.19*(1+$H$2)</f>
        <v>222904.27188000001</v>
      </c>
      <c r="E15" s="2"/>
      <c r="F15" s="2"/>
      <c r="H15" s="2"/>
      <c r="I15" s="2"/>
      <c r="J15" s="2"/>
      <c r="K15" s="2"/>
      <c r="L15" s="2"/>
    </row>
    <row r="16" spans="1:12" ht="15" customHeight="1">
      <c r="A16" s="8" t="s">
        <v>14</v>
      </c>
      <c r="B16" s="8" t="s">
        <v>15</v>
      </c>
      <c r="C16" s="19">
        <f>455883.78*(1+$H$2)</f>
        <v>479589.73656000005</v>
      </c>
      <c r="D16" s="19">
        <f>441833.68*(1+$H$2)</f>
        <v>464809.03136000002</v>
      </c>
      <c r="E16" s="2"/>
      <c r="F16" s="2"/>
      <c r="H16" s="2"/>
      <c r="I16" s="2"/>
      <c r="J16" s="2"/>
      <c r="K16" s="2"/>
      <c r="L16" s="2"/>
    </row>
    <row r="17" spans="1:12" ht="27" customHeight="1">
      <c r="A17" s="8" t="s">
        <v>23</v>
      </c>
      <c r="B17" s="8" t="s">
        <v>24</v>
      </c>
      <c r="C17" s="19">
        <f>455883.78*(1+$H$2)</f>
        <v>479589.73656000005</v>
      </c>
      <c r="D17" s="19">
        <f>441833.68*(1+$H$2)</f>
        <v>464809.03136000002</v>
      </c>
      <c r="E17" s="2"/>
      <c r="F17" s="2"/>
      <c r="H17" s="2"/>
      <c r="I17" s="2"/>
      <c r="J17" s="2"/>
      <c r="K17" s="2"/>
      <c r="L17" s="2"/>
    </row>
    <row r="18" spans="1:12" s="10" customFormat="1" ht="24" customHeight="1">
      <c r="A18" s="36" t="s">
        <v>25</v>
      </c>
      <c r="B18" s="37"/>
      <c r="C18" s="37"/>
      <c r="D18" s="38"/>
      <c r="E18" s="9"/>
    </row>
  </sheetData>
  <mergeCells count="5">
    <mergeCell ref="A18:D18"/>
    <mergeCell ref="A1:F1"/>
    <mergeCell ref="A9:F9"/>
    <mergeCell ref="A8:F8"/>
    <mergeCell ref="A11:D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election activeCell="D10" sqref="D10"/>
    </sheetView>
  </sheetViews>
  <sheetFormatPr baseColWidth="10" defaultColWidth="11.44140625" defaultRowHeight="14.4"/>
  <cols>
    <col min="1" max="1" width="15.33203125" style="4" bestFit="1" customWidth="1"/>
    <col min="2" max="2" width="18.33203125" style="4" bestFit="1" customWidth="1"/>
    <col min="3" max="3" width="30.33203125" style="4" bestFit="1" customWidth="1"/>
    <col min="4" max="4" width="34.109375" style="4" bestFit="1" customWidth="1"/>
    <col min="5" max="5" width="11.44140625" style="4" customWidth="1"/>
    <col min="6" max="16384" width="11.44140625" style="4"/>
  </cols>
  <sheetData>
    <row r="1" spans="1:4">
      <c r="A1" s="3" t="s">
        <v>26</v>
      </c>
      <c r="B1" s="3" t="s">
        <v>27</v>
      </c>
      <c r="C1" s="3" t="s">
        <v>28</v>
      </c>
      <c r="D1" s="3" t="s">
        <v>29</v>
      </c>
    </row>
    <row r="2" spans="1:4">
      <c r="A2" s="12" t="s">
        <v>30</v>
      </c>
      <c r="B2" s="13" t="s">
        <v>31</v>
      </c>
      <c r="C2" s="13" t="s">
        <v>32</v>
      </c>
      <c r="D2" s="13" t="s">
        <v>33</v>
      </c>
    </row>
    <row r="3" spans="1:4">
      <c r="A3" s="14" t="s">
        <v>34</v>
      </c>
      <c r="B3" s="15" t="s">
        <v>35</v>
      </c>
      <c r="C3" s="15" t="s">
        <v>36</v>
      </c>
      <c r="D3" s="15" t="s">
        <v>37</v>
      </c>
    </row>
    <row r="4" spans="1:4">
      <c r="A4" s="14" t="s">
        <v>38</v>
      </c>
      <c r="B4" s="15" t="s">
        <v>39</v>
      </c>
      <c r="C4" s="15" t="s">
        <v>40</v>
      </c>
      <c r="D4" s="15" t="s">
        <v>41</v>
      </c>
    </row>
    <row r="5" spans="1:4">
      <c r="A5" s="14" t="s">
        <v>42</v>
      </c>
      <c r="B5" s="15" t="s">
        <v>43</v>
      </c>
      <c r="C5" s="15" t="s">
        <v>44</v>
      </c>
      <c r="D5" s="15" t="s">
        <v>45</v>
      </c>
    </row>
    <row r="6" spans="1:4">
      <c r="A6" s="14" t="s">
        <v>46</v>
      </c>
      <c r="B6" s="15" t="s">
        <v>47</v>
      </c>
      <c r="C6" s="15" t="s">
        <v>48</v>
      </c>
      <c r="D6" s="15" t="s">
        <v>49</v>
      </c>
    </row>
    <row r="7" spans="1:4">
      <c r="A7" s="14" t="s">
        <v>50</v>
      </c>
      <c r="B7" s="15" t="s">
        <v>35</v>
      </c>
      <c r="C7" s="15" t="s">
        <v>36</v>
      </c>
      <c r="D7" s="15" t="s">
        <v>37</v>
      </c>
    </row>
    <row r="8" spans="1:4">
      <c r="A8" s="14" t="s">
        <v>51</v>
      </c>
      <c r="B8" s="15" t="s">
        <v>43</v>
      </c>
      <c r="C8" s="15" t="s">
        <v>44</v>
      </c>
      <c r="D8" s="15" t="s">
        <v>45</v>
      </c>
    </row>
    <row r="9" spans="1:4">
      <c r="A9" s="14" t="s">
        <v>52</v>
      </c>
      <c r="B9" s="15" t="s">
        <v>53</v>
      </c>
      <c r="C9" s="15" t="s">
        <v>54</v>
      </c>
      <c r="D9" s="15" t="s">
        <v>55</v>
      </c>
    </row>
    <row r="10" spans="1:4">
      <c r="A10" s="14" t="s">
        <v>56</v>
      </c>
      <c r="B10" s="15" t="s">
        <v>53</v>
      </c>
      <c r="C10" s="15" t="s">
        <v>54</v>
      </c>
      <c r="D10" s="15" t="s">
        <v>55</v>
      </c>
    </row>
    <row r="11" spans="1:4">
      <c r="A11" s="14" t="s">
        <v>57</v>
      </c>
      <c r="B11" s="15" t="s">
        <v>58</v>
      </c>
      <c r="C11" s="15" t="s">
        <v>59</v>
      </c>
      <c r="D11" s="15" t="s">
        <v>49</v>
      </c>
    </row>
    <row r="12" spans="1:4">
      <c r="A12" s="14" t="s">
        <v>60</v>
      </c>
      <c r="B12" s="15" t="s">
        <v>31</v>
      </c>
      <c r="C12" s="15" t="s">
        <v>32</v>
      </c>
      <c r="D12" s="15" t="s">
        <v>33</v>
      </c>
    </row>
    <row r="13" spans="1:4">
      <c r="A13" s="14" t="s">
        <v>61</v>
      </c>
      <c r="B13" s="15" t="s">
        <v>35</v>
      </c>
      <c r="C13" s="15" t="s">
        <v>36</v>
      </c>
      <c r="D13" s="15" t="s">
        <v>37</v>
      </c>
    </row>
    <row r="14" spans="1:4">
      <c r="A14" s="14" t="s">
        <v>62</v>
      </c>
      <c r="B14" s="15" t="s">
        <v>53</v>
      </c>
      <c r="C14" s="15" t="s">
        <v>54</v>
      </c>
      <c r="D14" s="15" t="s">
        <v>55</v>
      </c>
    </row>
    <row r="15" spans="1:4">
      <c r="A15" s="14" t="s">
        <v>63</v>
      </c>
      <c r="B15" s="15" t="s">
        <v>47</v>
      </c>
      <c r="C15" s="15" t="s">
        <v>48</v>
      </c>
      <c r="D15" s="15" t="s">
        <v>49</v>
      </c>
    </row>
    <row r="16" spans="1:4">
      <c r="A16" s="14" t="s">
        <v>64</v>
      </c>
      <c r="B16" s="15" t="s">
        <v>58</v>
      </c>
      <c r="C16" s="15" t="s">
        <v>59</v>
      </c>
      <c r="D16" s="15" t="s">
        <v>49</v>
      </c>
    </row>
    <row r="17" spans="1:4">
      <c r="A17" s="14" t="s">
        <v>65</v>
      </c>
      <c r="B17" s="15" t="s">
        <v>47</v>
      </c>
      <c r="C17" s="15" t="s">
        <v>48</v>
      </c>
      <c r="D17" s="15" t="s">
        <v>49</v>
      </c>
    </row>
    <row r="18" spans="1:4">
      <c r="A18" s="14" t="s">
        <v>66</v>
      </c>
      <c r="B18" s="15" t="s">
        <v>35</v>
      </c>
      <c r="C18" s="15" t="s">
        <v>36</v>
      </c>
      <c r="D18" s="15" t="s">
        <v>37</v>
      </c>
    </row>
    <row r="19" spans="1:4">
      <c r="A19" s="14" t="s">
        <v>67</v>
      </c>
      <c r="B19" s="15" t="s">
        <v>35</v>
      </c>
      <c r="C19" s="15" t="s">
        <v>36</v>
      </c>
      <c r="D19" s="15" t="s">
        <v>37</v>
      </c>
    </row>
    <row r="20" spans="1:4">
      <c r="A20" s="14" t="s">
        <v>68</v>
      </c>
      <c r="B20" s="15" t="s">
        <v>43</v>
      </c>
      <c r="C20" s="15" t="s">
        <v>44</v>
      </c>
      <c r="D20" s="15" t="s">
        <v>45</v>
      </c>
    </row>
    <row r="21" spans="1:4">
      <c r="A21" s="14" t="s">
        <v>69</v>
      </c>
      <c r="B21" s="15" t="s">
        <v>35</v>
      </c>
      <c r="C21" s="15" t="s">
        <v>36</v>
      </c>
      <c r="D21" s="15" t="s">
        <v>37</v>
      </c>
    </row>
    <row r="22" spans="1:4">
      <c r="A22" s="14" t="s">
        <v>70</v>
      </c>
      <c r="B22" s="15" t="s">
        <v>53</v>
      </c>
      <c r="C22" s="15" t="s">
        <v>54</v>
      </c>
      <c r="D22" s="15" t="s">
        <v>55</v>
      </c>
    </row>
    <row r="23" spans="1:4">
      <c r="A23" s="14" t="s">
        <v>71</v>
      </c>
      <c r="B23" s="15" t="s">
        <v>53</v>
      </c>
      <c r="C23" s="15" t="s">
        <v>54</v>
      </c>
      <c r="D23" s="15" t="s">
        <v>55</v>
      </c>
    </row>
  </sheetData>
  <autoFilter ref="A1:D23"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DDEB4-32E0-42A5-8701-33BDBD4DB101}">
  <dimension ref="A3:B20"/>
  <sheetViews>
    <sheetView tabSelected="1" workbookViewId="0">
      <selection activeCell="F9" sqref="F9"/>
    </sheetView>
  </sheetViews>
  <sheetFormatPr baseColWidth="10" defaultRowHeight="14.4"/>
  <cols>
    <col min="1" max="1" width="32.109375" bestFit="1" customWidth="1"/>
    <col min="2" max="2" width="20.6640625" bestFit="1" customWidth="1"/>
  </cols>
  <sheetData>
    <row r="3" spans="1:2">
      <c r="A3" s="42" t="s">
        <v>731</v>
      </c>
      <c r="B3" t="s">
        <v>733</v>
      </c>
    </row>
    <row r="4" spans="1:2">
      <c r="A4" s="43" t="s">
        <v>35</v>
      </c>
      <c r="B4" s="45">
        <v>613225</v>
      </c>
    </row>
    <row r="5" spans="1:2">
      <c r="A5" s="44" t="s">
        <v>131</v>
      </c>
      <c r="B5" s="45">
        <v>613225</v>
      </c>
    </row>
    <row r="6" spans="1:2">
      <c r="A6" s="43" t="s">
        <v>58</v>
      </c>
      <c r="B6" s="45">
        <v>613225</v>
      </c>
    </row>
    <row r="7" spans="1:2">
      <c r="A7" s="44" t="s">
        <v>612</v>
      </c>
      <c r="B7" s="45">
        <v>490580</v>
      </c>
    </row>
    <row r="8" spans="1:2">
      <c r="A8" s="44" t="s">
        <v>100</v>
      </c>
      <c r="B8" s="45">
        <v>122645</v>
      </c>
    </row>
    <row r="9" spans="1:2">
      <c r="A9" s="43" t="s">
        <v>47</v>
      </c>
      <c r="B9" s="45">
        <v>2084965</v>
      </c>
    </row>
    <row r="10" spans="1:2">
      <c r="A10" s="44" t="s">
        <v>239</v>
      </c>
      <c r="B10" s="45">
        <v>1839675</v>
      </c>
    </row>
    <row r="11" spans="1:2">
      <c r="A11" s="44" t="s">
        <v>100</v>
      </c>
      <c r="B11" s="45">
        <v>245290</v>
      </c>
    </row>
    <row r="12" spans="1:2">
      <c r="A12" s="43" t="s">
        <v>39</v>
      </c>
      <c r="B12" s="45">
        <v>858515</v>
      </c>
    </row>
    <row r="13" spans="1:2">
      <c r="A13" s="44" t="s">
        <v>187</v>
      </c>
      <c r="B13" s="45">
        <v>858515</v>
      </c>
    </row>
    <row r="14" spans="1:2">
      <c r="A14" s="43" t="s">
        <v>31</v>
      </c>
      <c r="B14" s="45">
        <v>2452900</v>
      </c>
    </row>
    <row r="15" spans="1:2">
      <c r="A15" s="44" t="s">
        <v>151</v>
      </c>
      <c r="B15" s="45">
        <v>2452900</v>
      </c>
    </row>
    <row r="16" spans="1:2">
      <c r="A16" s="43" t="s">
        <v>53</v>
      </c>
      <c r="B16" s="45">
        <v>858515</v>
      </c>
    </row>
    <row r="17" spans="1:2">
      <c r="A17" s="44" t="s">
        <v>228</v>
      </c>
      <c r="B17" s="45">
        <v>858515</v>
      </c>
    </row>
    <row r="18" spans="1:2">
      <c r="A18" s="43" t="s">
        <v>43</v>
      </c>
      <c r="B18" s="45">
        <v>1471740</v>
      </c>
    </row>
    <row r="19" spans="1:2">
      <c r="A19" s="44" t="s">
        <v>175</v>
      </c>
      <c r="B19" s="45">
        <v>1471740</v>
      </c>
    </row>
    <row r="20" spans="1:2">
      <c r="A20" s="43" t="s">
        <v>732</v>
      </c>
      <c r="B20" s="45">
        <v>8953085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4"/>
  <sheetViews>
    <sheetView workbookViewId="0">
      <selection activeCell="X1" sqref="A1:XFD1048576"/>
    </sheetView>
  </sheetViews>
  <sheetFormatPr baseColWidth="10" defaultColWidth="8.886718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39" customWidth="1"/>
    <col min="9" max="9" width="20" customWidth="1"/>
    <col min="10" max="10" width="22" customWidth="1"/>
    <col min="11" max="11" width="32" customWidth="1"/>
    <col min="12" max="12" width="10" customWidth="1"/>
    <col min="13" max="13" width="31" customWidth="1"/>
    <col min="14" max="14" width="21" customWidth="1"/>
    <col min="15" max="15" width="28" customWidth="1"/>
    <col min="16" max="16" width="11" customWidth="1"/>
    <col min="17" max="17" width="15" customWidth="1"/>
    <col min="18" max="18" width="33" customWidth="1"/>
    <col min="19" max="19" width="50" customWidth="1"/>
    <col min="20" max="20" width="19" customWidth="1"/>
    <col min="21" max="21" width="21" customWidth="1"/>
    <col min="22" max="22" width="14" customWidth="1"/>
    <col min="23" max="23" width="18" customWidth="1"/>
    <col min="24" max="24" width="42" customWidth="1"/>
    <col min="25" max="25" width="23" customWidth="1"/>
    <col min="26" max="26" width="25" customWidth="1"/>
    <col min="27" max="27" width="34" customWidth="1"/>
    <col min="28" max="28" width="39" customWidth="1"/>
    <col min="29" max="29" width="13" customWidth="1"/>
  </cols>
  <sheetData>
    <row r="1" spans="1:29" ht="28.8">
      <c r="A1" s="20" t="s">
        <v>72</v>
      </c>
      <c r="B1" s="20" t="s">
        <v>73</v>
      </c>
      <c r="C1" s="20" t="s">
        <v>74</v>
      </c>
      <c r="D1" s="20" t="s">
        <v>75</v>
      </c>
      <c r="E1" s="20" t="s">
        <v>76</v>
      </c>
      <c r="F1" s="20" t="s">
        <v>77</v>
      </c>
      <c r="G1" s="20" t="s">
        <v>78</v>
      </c>
      <c r="H1" s="20" t="s">
        <v>79</v>
      </c>
      <c r="I1" s="20" t="s">
        <v>80</v>
      </c>
      <c r="J1" s="20" t="s">
        <v>26</v>
      </c>
      <c r="K1" s="20" t="s">
        <v>81</v>
      </c>
      <c r="L1" s="20" t="s">
        <v>82</v>
      </c>
      <c r="M1" s="20" t="s">
        <v>83</v>
      </c>
      <c r="N1" s="20" t="s">
        <v>84</v>
      </c>
      <c r="O1" s="20" t="s">
        <v>85</v>
      </c>
      <c r="P1" s="20" t="s">
        <v>86</v>
      </c>
      <c r="Q1" s="20" t="s">
        <v>87</v>
      </c>
      <c r="R1" s="20" t="s">
        <v>88</v>
      </c>
      <c r="S1" s="20" t="s">
        <v>89</v>
      </c>
      <c r="T1" s="20" t="s">
        <v>90</v>
      </c>
      <c r="U1" s="20" t="s">
        <v>91</v>
      </c>
      <c r="V1" s="20" t="s">
        <v>92</v>
      </c>
      <c r="W1" s="20" t="s">
        <v>93</v>
      </c>
      <c r="X1" s="20" t="s">
        <v>94</v>
      </c>
      <c r="Y1" s="20" t="s">
        <v>95</v>
      </c>
      <c r="Z1" s="20" t="s">
        <v>96</v>
      </c>
      <c r="AA1" s="20" t="s">
        <v>97</v>
      </c>
      <c r="AB1" s="20" t="s">
        <v>98</v>
      </c>
      <c r="AC1" s="20" t="s">
        <v>99</v>
      </c>
    </row>
    <row r="2" spans="1:29">
      <c r="A2" t="s">
        <v>63</v>
      </c>
      <c r="B2" t="s">
        <v>100</v>
      </c>
      <c r="C2" t="s">
        <v>47</v>
      </c>
      <c r="D2" t="s">
        <v>101</v>
      </c>
      <c r="E2" t="s">
        <v>102</v>
      </c>
      <c r="F2" t="s">
        <v>103</v>
      </c>
      <c r="G2" t="s">
        <v>104</v>
      </c>
      <c r="H2" t="s">
        <v>105</v>
      </c>
      <c r="I2" t="s">
        <v>106</v>
      </c>
      <c r="J2" t="s">
        <v>107</v>
      </c>
      <c r="K2" t="s">
        <v>108</v>
      </c>
      <c r="L2" t="s">
        <v>109</v>
      </c>
      <c r="M2" t="s">
        <v>110</v>
      </c>
      <c r="N2" s="21">
        <v>45988.333333333343</v>
      </c>
      <c r="O2" s="21">
        <v>45993.772916666669</v>
      </c>
      <c r="P2" t="s">
        <v>111</v>
      </c>
      <c r="Q2" t="s">
        <v>112</v>
      </c>
      <c r="R2" t="s">
        <v>113</v>
      </c>
      <c r="S2" t="s">
        <v>114</v>
      </c>
      <c r="T2" t="s">
        <v>115</v>
      </c>
      <c r="U2" t="s">
        <v>116</v>
      </c>
      <c r="V2" t="s">
        <v>117</v>
      </c>
      <c r="W2" t="s">
        <v>118</v>
      </c>
      <c r="X2" t="s">
        <v>119</v>
      </c>
      <c r="Y2" s="22">
        <v>1</v>
      </c>
      <c r="Z2" s="22">
        <v>0</v>
      </c>
      <c r="AA2" s="22">
        <v>122645</v>
      </c>
      <c r="AB2" s="22">
        <v>65165</v>
      </c>
      <c r="AC2" s="22">
        <v>122645</v>
      </c>
    </row>
    <row r="3" spans="1:29">
      <c r="A3" t="s">
        <v>57</v>
      </c>
      <c r="B3" t="s">
        <v>100</v>
      </c>
      <c r="C3" t="s">
        <v>58</v>
      </c>
      <c r="D3" t="s">
        <v>120</v>
      </c>
      <c r="E3" t="s">
        <v>121</v>
      </c>
      <c r="F3" t="s">
        <v>122</v>
      </c>
      <c r="G3" t="s">
        <v>104</v>
      </c>
      <c r="H3" t="s">
        <v>123</v>
      </c>
      <c r="I3" t="s">
        <v>124</v>
      </c>
      <c r="J3" t="s">
        <v>57</v>
      </c>
      <c r="K3" t="s">
        <v>125</v>
      </c>
      <c r="L3" t="s">
        <v>109</v>
      </c>
      <c r="M3" t="s">
        <v>126</v>
      </c>
      <c r="N3" s="21">
        <v>46001.333333333343</v>
      </c>
      <c r="O3" s="21">
        <v>46002.708333333343</v>
      </c>
      <c r="R3" t="s">
        <v>113</v>
      </c>
      <c r="S3" t="s">
        <v>127</v>
      </c>
      <c r="T3" t="s">
        <v>115</v>
      </c>
      <c r="U3" t="s">
        <v>128</v>
      </c>
      <c r="V3" t="s">
        <v>129</v>
      </c>
      <c r="W3" t="s">
        <v>118</v>
      </c>
      <c r="X3" t="s">
        <v>130</v>
      </c>
      <c r="Y3" s="22">
        <v>1</v>
      </c>
      <c r="Z3" s="22">
        <v>0</v>
      </c>
      <c r="AA3" s="22">
        <v>122645</v>
      </c>
      <c r="AB3" s="22">
        <v>65165</v>
      </c>
      <c r="AC3" s="22">
        <v>122645</v>
      </c>
    </row>
    <row r="4" spans="1:29">
      <c r="A4" t="s">
        <v>69</v>
      </c>
      <c r="B4" t="s">
        <v>131</v>
      </c>
      <c r="C4" t="s">
        <v>35</v>
      </c>
      <c r="D4" t="s">
        <v>132</v>
      </c>
      <c r="E4" t="s">
        <v>133</v>
      </c>
      <c r="F4" t="s">
        <v>134</v>
      </c>
      <c r="G4" t="s">
        <v>104</v>
      </c>
      <c r="H4" t="s">
        <v>123</v>
      </c>
      <c r="I4" t="s">
        <v>135</v>
      </c>
      <c r="J4" t="s">
        <v>136</v>
      </c>
      <c r="K4" t="s">
        <v>137</v>
      </c>
      <c r="L4" t="s">
        <v>109</v>
      </c>
      <c r="M4" t="s">
        <v>138</v>
      </c>
      <c r="N4" s="21">
        <v>46001.333333333343</v>
      </c>
      <c r="O4" s="21">
        <v>46002.520833333343</v>
      </c>
      <c r="R4" t="s">
        <v>113</v>
      </c>
      <c r="S4" t="s">
        <v>139</v>
      </c>
      <c r="T4" t="s">
        <v>115</v>
      </c>
      <c r="U4" t="s">
        <v>140</v>
      </c>
      <c r="V4" t="s">
        <v>117</v>
      </c>
      <c r="W4" t="s">
        <v>118</v>
      </c>
      <c r="X4" t="s">
        <v>141</v>
      </c>
      <c r="Y4" s="22">
        <v>1</v>
      </c>
      <c r="Z4" s="22">
        <v>0</v>
      </c>
      <c r="AA4" s="22">
        <v>122645</v>
      </c>
      <c r="AB4" s="22">
        <v>65165</v>
      </c>
      <c r="AC4" s="22">
        <v>122645</v>
      </c>
    </row>
    <row r="5" spans="1:29">
      <c r="A5" t="s">
        <v>63</v>
      </c>
      <c r="B5" t="s">
        <v>100</v>
      </c>
      <c r="C5" t="s">
        <v>47</v>
      </c>
      <c r="D5" t="s">
        <v>142</v>
      </c>
      <c r="E5" t="s">
        <v>143</v>
      </c>
      <c r="F5" t="s">
        <v>144</v>
      </c>
      <c r="G5" t="s">
        <v>104</v>
      </c>
      <c r="H5" t="s">
        <v>123</v>
      </c>
      <c r="I5" t="s">
        <v>145</v>
      </c>
      <c r="J5" t="s">
        <v>63</v>
      </c>
      <c r="K5" t="s">
        <v>146</v>
      </c>
      <c r="L5" t="s">
        <v>109</v>
      </c>
      <c r="M5" t="s">
        <v>147</v>
      </c>
      <c r="N5" s="21">
        <v>46001.333333333343</v>
      </c>
      <c r="O5" s="21">
        <v>46002.62222222222</v>
      </c>
      <c r="R5" t="s">
        <v>113</v>
      </c>
      <c r="S5" t="s">
        <v>148</v>
      </c>
      <c r="T5" t="s">
        <v>115</v>
      </c>
      <c r="U5" t="s">
        <v>149</v>
      </c>
      <c r="V5" t="s">
        <v>129</v>
      </c>
      <c r="W5" t="s">
        <v>118</v>
      </c>
      <c r="X5" t="s">
        <v>150</v>
      </c>
      <c r="Y5" s="22">
        <v>1</v>
      </c>
      <c r="Z5" s="22">
        <v>0</v>
      </c>
      <c r="AA5" s="22">
        <v>122645</v>
      </c>
      <c r="AB5" s="22">
        <v>65165</v>
      </c>
      <c r="AC5" s="22">
        <v>122645</v>
      </c>
    </row>
    <row r="6" spans="1:29">
      <c r="A6" t="s">
        <v>60</v>
      </c>
      <c r="B6" t="s">
        <v>151</v>
      </c>
      <c r="C6" t="s">
        <v>31</v>
      </c>
      <c r="D6" t="s">
        <v>152</v>
      </c>
      <c r="E6" t="s">
        <v>153</v>
      </c>
      <c r="F6" t="s">
        <v>154</v>
      </c>
      <c r="G6" t="s">
        <v>104</v>
      </c>
      <c r="H6" t="s">
        <v>123</v>
      </c>
      <c r="I6" t="s">
        <v>155</v>
      </c>
      <c r="J6" t="s">
        <v>60</v>
      </c>
      <c r="K6" t="s">
        <v>156</v>
      </c>
      <c r="L6" t="s">
        <v>109</v>
      </c>
      <c r="M6" t="s">
        <v>157</v>
      </c>
      <c r="N6" s="21">
        <v>46003.333333333343</v>
      </c>
      <c r="O6" s="21">
        <v>46003.680555555547</v>
      </c>
      <c r="P6" t="s">
        <v>111</v>
      </c>
      <c r="Q6" t="s">
        <v>158</v>
      </c>
      <c r="R6" t="s">
        <v>113</v>
      </c>
      <c r="S6" t="s">
        <v>159</v>
      </c>
      <c r="T6" t="s">
        <v>115</v>
      </c>
      <c r="U6" t="s">
        <v>160</v>
      </c>
      <c r="V6" t="s">
        <v>129</v>
      </c>
      <c r="W6" t="s">
        <v>118</v>
      </c>
      <c r="X6" t="s">
        <v>161</v>
      </c>
      <c r="Y6" s="22">
        <v>1</v>
      </c>
      <c r="Z6" s="22">
        <v>0</v>
      </c>
      <c r="AA6" s="22">
        <v>122645</v>
      </c>
      <c r="AB6" s="22">
        <v>65165</v>
      </c>
      <c r="AC6" s="22">
        <v>122645</v>
      </c>
    </row>
    <row r="7" spans="1:29">
      <c r="A7" t="s">
        <v>60</v>
      </c>
      <c r="B7" t="s">
        <v>151</v>
      </c>
      <c r="C7" t="s">
        <v>31</v>
      </c>
      <c r="D7" t="s">
        <v>152</v>
      </c>
      <c r="E7" t="s">
        <v>162</v>
      </c>
      <c r="F7" t="s">
        <v>163</v>
      </c>
      <c r="G7" t="s">
        <v>104</v>
      </c>
      <c r="H7" t="s">
        <v>123</v>
      </c>
      <c r="I7" t="s">
        <v>155</v>
      </c>
      <c r="J7" t="s">
        <v>60</v>
      </c>
      <c r="K7" t="s">
        <v>164</v>
      </c>
      <c r="L7" t="s">
        <v>109</v>
      </c>
      <c r="M7" t="s">
        <v>165</v>
      </c>
      <c r="N7" s="21">
        <v>46003.333333333343</v>
      </c>
      <c r="O7" s="21">
        <v>46003.580555555563</v>
      </c>
      <c r="P7" t="s">
        <v>111</v>
      </c>
      <c r="Q7" t="s">
        <v>158</v>
      </c>
      <c r="R7" t="s">
        <v>113</v>
      </c>
      <c r="S7" t="s">
        <v>166</v>
      </c>
      <c r="T7" t="s">
        <v>115</v>
      </c>
      <c r="U7" t="s">
        <v>167</v>
      </c>
      <c r="V7" t="s">
        <v>129</v>
      </c>
      <c r="W7" t="s">
        <v>118</v>
      </c>
      <c r="X7" t="s">
        <v>161</v>
      </c>
      <c r="Y7" s="22">
        <v>1</v>
      </c>
      <c r="Z7" s="22">
        <v>0</v>
      </c>
      <c r="AA7" s="22">
        <v>122645</v>
      </c>
      <c r="AB7" s="22">
        <v>65165</v>
      </c>
      <c r="AC7" s="22">
        <v>122645</v>
      </c>
    </row>
    <row r="8" spans="1:29">
      <c r="A8" t="s">
        <v>60</v>
      </c>
      <c r="B8" t="s">
        <v>151</v>
      </c>
      <c r="C8" t="s">
        <v>31</v>
      </c>
      <c r="D8" t="s">
        <v>152</v>
      </c>
      <c r="E8" t="s">
        <v>168</v>
      </c>
      <c r="F8" t="s">
        <v>169</v>
      </c>
      <c r="G8" t="s">
        <v>104</v>
      </c>
      <c r="H8" t="s">
        <v>123</v>
      </c>
      <c r="I8" t="s">
        <v>155</v>
      </c>
      <c r="J8" t="s">
        <v>60</v>
      </c>
      <c r="K8" t="s">
        <v>170</v>
      </c>
      <c r="L8" t="s">
        <v>109</v>
      </c>
      <c r="M8" t="s">
        <v>171</v>
      </c>
      <c r="N8" s="21">
        <v>46003.333333333343</v>
      </c>
      <c r="O8" s="21">
        <v>46003.625694444447</v>
      </c>
      <c r="P8" t="s">
        <v>111</v>
      </c>
      <c r="Q8" t="s">
        <v>158</v>
      </c>
      <c r="R8" t="s">
        <v>113</v>
      </c>
      <c r="S8" t="s">
        <v>172</v>
      </c>
      <c r="T8" t="s">
        <v>115</v>
      </c>
      <c r="U8" t="s">
        <v>173</v>
      </c>
      <c r="V8" t="s">
        <v>129</v>
      </c>
      <c r="W8" t="s">
        <v>118</v>
      </c>
      <c r="X8" t="s">
        <v>174</v>
      </c>
      <c r="Y8" s="22">
        <v>1</v>
      </c>
      <c r="Z8" s="22">
        <v>0</v>
      </c>
      <c r="AA8" s="22">
        <v>122645</v>
      </c>
      <c r="AB8" s="22">
        <v>65165</v>
      </c>
      <c r="AC8" s="22">
        <v>122645</v>
      </c>
    </row>
    <row r="9" spans="1:29">
      <c r="A9" t="s">
        <v>68</v>
      </c>
      <c r="B9" t="s">
        <v>175</v>
      </c>
      <c r="C9" t="s">
        <v>43</v>
      </c>
      <c r="D9" t="s">
        <v>176</v>
      </c>
      <c r="E9" t="s">
        <v>177</v>
      </c>
      <c r="F9" t="s">
        <v>178</v>
      </c>
      <c r="G9" t="s">
        <v>104</v>
      </c>
      <c r="H9" t="s">
        <v>123</v>
      </c>
      <c r="I9" t="s">
        <v>179</v>
      </c>
      <c r="J9" t="s">
        <v>180</v>
      </c>
      <c r="K9" t="s">
        <v>181</v>
      </c>
      <c r="L9" t="s">
        <v>109</v>
      </c>
      <c r="M9" t="s">
        <v>182</v>
      </c>
      <c r="N9" s="21">
        <v>46003.333333333343</v>
      </c>
      <c r="O9" s="21">
        <v>46006.638194444437</v>
      </c>
      <c r="P9" t="s">
        <v>111</v>
      </c>
      <c r="Q9" t="s">
        <v>158</v>
      </c>
      <c r="R9" t="s">
        <v>113</v>
      </c>
      <c r="S9" t="s">
        <v>183</v>
      </c>
      <c r="T9" t="s">
        <v>115</v>
      </c>
      <c r="U9" t="s">
        <v>184</v>
      </c>
      <c r="V9" t="s">
        <v>185</v>
      </c>
      <c r="W9" t="s">
        <v>118</v>
      </c>
      <c r="X9" t="s">
        <v>186</v>
      </c>
      <c r="Y9" s="22">
        <v>1</v>
      </c>
      <c r="Z9" s="22">
        <v>0</v>
      </c>
      <c r="AA9" s="22">
        <v>122645</v>
      </c>
      <c r="AB9" s="22">
        <v>65165</v>
      </c>
      <c r="AC9" s="22">
        <v>122645</v>
      </c>
    </row>
    <row r="10" spans="1:29">
      <c r="A10" t="s">
        <v>38</v>
      </c>
      <c r="B10" t="s">
        <v>187</v>
      </c>
      <c r="C10" t="s">
        <v>39</v>
      </c>
      <c r="D10" t="s">
        <v>188</v>
      </c>
      <c r="E10" t="s">
        <v>189</v>
      </c>
      <c r="F10" t="s">
        <v>190</v>
      </c>
      <c r="G10" t="s">
        <v>104</v>
      </c>
      <c r="H10" t="s">
        <v>123</v>
      </c>
      <c r="I10" t="s">
        <v>191</v>
      </c>
      <c r="J10" t="s">
        <v>192</v>
      </c>
      <c r="K10" t="s">
        <v>193</v>
      </c>
      <c r="L10" t="s">
        <v>109</v>
      </c>
      <c r="M10" t="s">
        <v>194</v>
      </c>
      <c r="N10" s="21">
        <v>46003.333333333343</v>
      </c>
      <c r="O10" s="21">
        <v>46003.578472222223</v>
      </c>
      <c r="P10" t="s">
        <v>111</v>
      </c>
      <c r="Q10" t="s">
        <v>158</v>
      </c>
      <c r="R10" t="s">
        <v>113</v>
      </c>
      <c r="S10" t="s">
        <v>195</v>
      </c>
      <c r="T10" t="s">
        <v>115</v>
      </c>
      <c r="U10" t="s">
        <v>196</v>
      </c>
      <c r="V10" t="s">
        <v>185</v>
      </c>
      <c r="W10" t="s">
        <v>118</v>
      </c>
      <c r="X10" t="s">
        <v>197</v>
      </c>
      <c r="Y10" s="22">
        <v>1</v>
      </c>
      <c r="Z10" s="22">
        <v>0</v>
      </c>
      <c r="AA10" s="22">
        <v>122645</v>
      </c>
      <c r="AB10" s="22">
        <v>65165</v>
      </c>
      <c r="AC10" s="22">
        <v>122645</v>
      </c>
    </row>
    <row r="11" spans="1:29">
      <c r="A11" t="s">
        <v>38</v>
      </c>
      <c r="B11" t="s">
        <v>187</v>
      </c>
      <c r="C11" t="s">
        <v>39</v>
      </c>
      <c r="D11" t="s">
        <v>198</v>
      </c>
      <c r="E11" t="s">
        <v>199</v>
      </c>
      <c r="F11" t="s">
        <v>200</v>
      </c>
      <c r="G11" t="s">
        <v>104</v>
      </c>
      <c r="H11" t="s">
        <v>123</v>
      </c>
      <c r="I11" t="s">
        <v>191</v>
      </c>
      <c r="J11" t="s">
        <v>201</v>
      </c>
      <c r="K11" t="s">
        <v>202</v>
      </c>
      <c r="L11" t="s">
        <v>109</v>
      </c>
      <c r="M11" t="s">
        <v>203</v>
      </c>
      <c r="N11" s="21">
        <v>46003.333333333343</v>
      </c>
      <c r="O11" s="21">
        <v>46003.515972222223</v>
      </c>
      <c r="P11" t="s">
        <v>111</v>
      </c>
      <c r="Q11" t="s">
        <v>158</v>
      </c>
      <c r="R11" t="s">
        <v>113</v>
      </c>
      <c r="S11" t="s">
        <v>204</v>
      </c>
      <c r="T11" t="s">
        <v>115</v>
      </c>
      <c r="U11" t="s">
        <v>205</v>
      </c>
      <c r="V11" t="s">
        <v>129</v>
      </c>
      <c r="W11" t="s">
        <v>118</v>
      </c>
      <c r="X11" t="s">
        <v>206</v>
      </c>
      <c r="Y11" s="22">
        <v>1</v>
      </c>
      <c r="Z11" s="22">
        <v>0</v>
      </c>
      <c r="AA11" s="22">
        <v>122645</v>
      </c>
      <c r="AB11" s="22">
        <v>65165</v>
      </c>
      <c r="AC11" s="22">
        <v>122645</v>
      </c>
    </row>
    <row r="12" spans="1:29">
      <c r="A12" t="s">
        <v>38</v>
      </c>
      <c r="B12" t="s">
        <v>187</v>
      </c>
      <c r="C12" t="s">
        <v>39</v>
      </c>
      <c r="D12" t="s">
        <v>207</v>
      </c>
      <c r="E12" t="s">
        <v>208</v>
      </c>
      <c r="F12" t="s">
        <v>209</v>
      </c>
      <c r="G12" t="s">
        <v>104</v>
      </c>
      <c r="H12" t="s">
        <v>123</v>
      </c>
      <c r="I12" t="s">
        <v>191</v>
      </c>
      <c r="J12" t="s">
        <v>210</v>
      </c>
      <c r="K12" t="s">
        <v>211</v>
      </c>
      <c r="L12" t="s">
        <v>109</v>
      </c>
      <c r="M12" t="s">
        <v>212</v>
      </c>
      <c r="N12" s="21">
        <v>46003.333333333343</v>
      </c>
      <c r="O12" s="21">
        <v>46003.572222222218</v>
      </c>
      <c r="P12" t="s">
        <v>111</v>
      </c>
      <c r="Q12" t="s">
        <v>158</v>
      </c>
      <c r="R12" t="s">
        <v>113</v>
      </c>
      <c r="S12" t="s">
        <v>213</v>
      </c>
      <c r="T12" t="s">
        <v>115</v>
      </c>
      <c r="U12" t="s">
        <v>214</v>
      </c>
      <c r="V12" t="s">
        <v>185</v>
      </c>
      <c r="W12" t="s">
        <v>118</v>
      </c>
      <c r="X12" t="s">
        <v>215</v>
      </c>
      <c r="Y12" s="22">
        <v>1</v>
      </c>
      <c r="Z12" s="22">
        <v>0</v>
      </c>
      <c r="AA12" s="22">
        <v>122645</v>
      </c>
      <c r="AB12" s="22">
        <v>65165</v>
      </c>
      <c r="AC12" s="22">
        <v>122645</v>
      </c>
    </row>
    <row r="13" spans="1:29">
      <c r="A13" t="s">
        <v>60</v>
      </c>
      <c r="B13" t="s">
        <v>151</v>
      </c>
      <c r="C13" t="s">
        <v>31</v>
      </c>
      <c r="D13" t="s">
        <v>216</v>
      </c>
      <c r="E13" t="s">
        <v>217</v>
      </c>
      <c r="F13" t="s">
        <v>218</v>
      </c>
      <c r="G13" t="s">
        <v>104</v>
      </c>
      <c r="H13" t="s">
        <v>123</v>
      </c>
      <c r="I13" t="s">
        <v>219</v>
      </c>
      <c r="J13" t="s">
        <v>220</v>
      </c>
      <c r="K13" t="s">
        <v>221</v>
      </c>
      <c r="L13" t="s">
        <v>109</v>
      </c>
      <c r="M13" t="s">
        <v>222</v>
      </c>
      <c r="N13" s="21">
        <v>46003.333333333343</v>
      </c>
      <c r="O13" s="21">
        <v>46009.711111111108</v>
      </c>
      <c r="P13" t="s">
        <v>111</v>
      </c>
      <c r="Q13" t="s">
        <v>158</v>
      </c>
      <c r="R13" t="s">
        <v>113</v>
      </c>
      <c r="S13" t="s">
        <v>223</v>
      </c>
      <c r="T13" t="s">
        <v>115</v>
      </c>
      <c r="U13" t="s">
        <v>224</v>
      </c>
      <c r="V13" t="s">
        <v>225</v>
      </c>
      <c r="W13" t="s">
        <v>226</v>
      </c>
      <c r="X13" t="s">
        <v>227</v>
      </c>
      <c r="Y13" s="22">
        <v>1</v>
      </c>
      <c r="Z13" s="22">
        <v>0</v>
      </c>
      <c r="AA13" s="22">
        <v>122645</v>
      </c>
      <c r="AB13" s="22">
        <v>65165</v>
      </c>
      <c r="AC13" s="22">
        <v>122645</v>
      </c>
    </row>
    <row r="14" spans="1:29">
      <c r="A14" t="s">
        <v>70</v>
      </c>
      <c r="B14" t="s">
        <v>228</v>
      </c>
      <c r="C14" t="s">
        <v>53</v>
      </c>
      <c r="D14" t="s">
        <v>229</v>
      </c>
      <c r="E14" t="s">
        <v>230</v>
      </c>
      <c r="F14" t="s">
        <v>231</v>
      </c>
      <c r="G14" t="s">
        <v>104</v>
      </c>
      <c r="H14" t="s">
        <v>123</v>
      </c>
      <c r="I14" t="s">
        <v>232</v>
      </c>
      <c r="J14" t="s">
        <v>233</v>
      </c>
      <c r="K14" t="s">
        <v>234</v>
      </c>
      <c r="L14" t="s">
        <v>109</v>
      </c>
      <c r="M14" t="s">
        <v>235</v>
      </c>
      <c r="N14" s="21">
        <v>46003.333333333343</v>
      </c>
      <c r="O14" s="21">
        <v>46006.558333333327</v>
      </c>
      <c r="P14" t="s">
        <v>111</v>
      </c>
      <c r="Q14" t="s">
        <v>158</v>
      </c>
      <c r="R14" t="s">
        <v>113</v>
      </c>
      <c r="S14" t="s">
        <v>236</v>
      </c>
      <c r="T14" t="s">
        <v>115</v>
      </c>
      <c r="U14" t="s">
        <v>237</v>
      </c>
      <c r="V14" t="s">
        <v>185</v>
      </c>
      <c r="W14" t="s">
        <v>118</v>
      </c>
      <c r="X14" t="s">
        <v>238</v>
      </c>
      <c r="Y14" s="22">
        <v>1</v>
      </c>
      <c r="Z14" s="22">
        <v>0</v>
      </c>
      <c r="AA14" s="22">
        <v>122645</v>
      </c>
      <c r="AB14" s="22">
        <v>65165</v>
      </c>
      <c r="AC14" s="22">
        <v>122645</v>
      </c>
    </row>
    <row r="15" spans="1:29">
      <c r="A15" t="s">
        <v>46</v>
      </c>
      <c r="B15" t="s">
        <v>239</v>
      </c>
      <c r="C15" t="s">
        <v>47</v>
      </c>
      <c r="D15" t="s">
        <v>240</v>
      </c>
      <c r="E15" t="s">
        <v>241</v>
      </c>
      <c r="F15" t="s">
        <v>242</v>
      </c>
      <c r="G15" t="s">
        <v>104</v>
      </c>
      <c r="H15" t="s">
        <v>123</v>
      </c>
      <c r="I15" t="s">
        <v>243</v>
      </c>
      <c r="J15" t="s">
        <v>244</v>
      </c>
      <c r="K15" t="s">
        <v>245</v>
      </c>
      <c r="L15" t="s">
        <v>109</v>
      </c>
      <c r="M15" t="s">
        <v>246</v>
      </c>
      <c r="N15" s="21">
        <v>46003.333333333343</v>
      </c>
      <c r="O15" s="21">
        <v>46006.279861111107</v>
      </c>
      <c r="P15" t="s">
        <v>111</v>
      </c>
      <c r="Q15" t="s">
        <v>158</v>
      </c>
      <c r="R15" t="s">
        <v>113</v>
      </c>
      <c r="S15" t="s">
        <v>247</v>
      </c>
      <c r="T15" t="s">
        <v>115</v>
      </c>
      <c r="U15" t="s">
        <v>248</v>
      </c>
      <c r="V15" t="s">
        <v>129</v>
      </c>
      <c r="W15" t="s">
        <v>118</v>
      </c>
      <c r="X15" t="s">
        <v>249</v>
      </c>
      <c r="Y15" s="22">
        <v>1</v>
      </c>
      <c r="Z15" s="22">
        <v>0</v>
      </c>
      <c r="AA15" s="22">
        <v>122645</v>
      </c>
      <c r="AB15" s="22">
        <v>65165</v>
      </c>
      <c r="AC15" s="22">
        <v>122645</v>
      </c>
    </row>
    <row r="16" spans="1:29">
      <c r="A16" t="s">
        <v>38</v>
      </c>
      <c r="B16" t="s">
        <v>187</v>
      </c>
      <c r="C16" t="s">
        <v>39</v>
      </c>
      <c r="D16" t="s">
        <v>250</v>
      </c>
      <c r="E16" t="s">
        <v>251</v>
      </c>
      <c r="F16" t="s">
        <v>252</v>
      </c>
      <c r="G16" t="s">
        <v>104</v>
      </c>
      <c r="H16" t="s">
        <v>123</v>
      </c>
      <c r="I16" t="s">
        <v>191</v>
      </c>
      <c r="J16" t="s">
        <v>38</v>
      </c>
      <c r="K16" t="s">
        <v>253</v>
      </c>
      <c r="L16" t="s">
        <v>109</v>
      </c>
      <c r="M16" t="s">
        <v>254</v>
      </c>
      <c r="N16" s="21">
        <v>46003.333333333343</v>
      </c>
      <c r="O16" s="21">
        <v>46003.5</v>
      </c>
      <c r="P16" t="s">
        <v>111</v>
      </c>
      <c r="Q16" t="s">
        <v>158</v>
      </c>
      <c r="R16" t="s">
        <v>113</v>
      </c>
      <c r="S16" t="s">
        <v>255</v>
      </c>
      <c r="T16" t="s">
        <v>115</v>
      </c>
      <c r="U16" t="s">
        <v>256</v>
      </c>
      <c r="V16" t="s">
        <v>129</v>
      </c>
      <c r="W16" t="s">
        <v>118</v>
      </c>
      <c r="X16" t="s">
        <v>257</v>
      </c>
      <c r="Y16" s="22">
        <v>1</v>
      </c>
      <c r="Z16" s="22">
        <v>0</v>
      </c>
      <c r="AA16" s="22">
        <v>122645</v>
      </c>
      <c r="AB16" s="22">
        <v>65165</v>
      </c>
      <c r="AC16" s="22">
        <v>122645</v>
      </c>
    </row>
    <row r="17" spans="1:29">
      <c r="A17" t="s">
        <v>61</v>
      </c>
      <c r="B17" t="s">
        <v>131</v>
      </c>
      <c r="C17" t="s">
        <v>35</v>
      </c>
      <c r="D17" t="s">
        <v>258</v>
      </c>
      <c r="E17" t="s">
        <v>259</v>
      </c>
      <c r="F17" t="s">
        <v>260</v>
      </c>
      <c r="G17" t="s">
        <v>104</v>
      </c>
      <c r="H17" t="s">
        <v>123</v>
      </c>
      <c r="I17" t="s">
        <v>261</v>
      </c>
      <c r="J17" t="s">
        <v>262</v>
      </c>
      <c r="K17" t="s">
        <v>263</v>
      </c>
      <c r="L17" t="s">
        <v>109</v>
      </c>
      <c r="M17" t="s">
        <v>264</v>
      </c>
      <c r="N17" s="21">
        <v>46003.333333333343</v>
      </c>
      <c r="O17" s="21">
        <v>46003.592361111107</v>
      </c>
      <c r="P17" t="s">
        <v>111</v>
      </c>
      <c r="Q17" t="s">
        <v>112</v>
      </c>
      <c r="R17" t="s">
        <v>113</v>
      </c>
      <c r="S17" t="s">
        <v>265</v>
      </c>
      <c r="T17" t="s">
        <v>115</v>
      </c>
      <c r="U17" t="s">
        <v>266</v>
      </c>
      <c r="V17" t="s">
        <v>185</v>
      </c>
      <c r="W17" t="s">
        <v>118</v>
      </c>
      <c r="X17" t="s">
        <v>267</v>
      </c>
      <c r="Y17" s="22">
        <v>1</v>
      </c>
      <c r="Z17" s="22">
        <v>0</v>
      </c>
      <c r="AA17" s="22">
        <v>122645</v>
      </c>
      <c r="AB17" s="22">
        <v>65165</v>
      </c>
      <c r="AC17" s="22">
        <v>122645</v>
      </c>
    </row>
    <row r="18" spans="1:29">
      <c r="A18" t="s">
        <v>61</v>
      </c>
      <c r="B18" t="s">
        <v>131</v>
      </c>
      <c r="C18" t="s">
        <v>35</v>
      </c>
      <c r="D18" t="s">
        <v>268</v>
      </c>
      <c r="E18" t="s">
        <v>269</v>
      </c>
      <c r="F18" t="s">
        <v>270</v>
      </c>
      <c r="G18" t="s">
        <v>104</v>
      </c>
      <c r="H18" t="s">
        <v>123</v>
      </c>
      <c r="I18" t="s">
        <v>261</v>
      </c>
      <c r="J18" t="s">
        <v>271</v>
      </c>
      <c r="K18" t="s">
        <v>272</v>
      </c>
      <c r="L18" t="s">
        <v>109</v>
      </c>
      <c r="M18" t="s">
        <v>273</v>
      </c>
      <c r="N18" s="21">
        <v>46003.333333333343</v>
      </c>
      <c r="O18" s="21">
        <v>46006.633333333331</v>
      </c>
      <c r="P18" t="s">
        <v>111</v>
      </c>
      <c r="Q18" t="s">
        <v>112</v>
      </c>
      <c r="R18" t="s">
        <v>113</v>
      </c>
      <c r="S18" t="s">
        <v>274</v>
      </c>
      <c r="T18" t="s">
        <v>115</v>
      </c>
      <c r="U18" t="s">
        <v>275</v>
      </c>
      <c r="V18" t="s">
        <v>276</v>
      </c>
      <c r="W18" t="s">
        <v>118</v>
      </c>
      <c r="X18" t="s">
        <v>267</v>
      </c>
      <c r="Y18" s="22">
        <v>1</v>
      </c>
      <c r="Z18" s="22">
        <v>0</v>
      </c>
      <c r="AA18" s="22">
        <v>122645</v>
      </c>
      <c r="AB18" s="22">
        <v>65165</v>
      </c>
      <c r="AC18" s="22">
        <v>122645</v>
      </c>
    </row>
    <row r="19" spans="1:29">
      <c r="A19" t="s">
        <v>51</v>
      </c>
      <c r="B19" t="s">
        <v>175</v>
      </c>
      <c r="C19" t="s">
        <v>43</v>
      </c>
      <c r="D19" t="s">
        <v>277</v>
      </c>
      <c r="E19" t="s">
        <v>278</v>
      </c>
      <c r="F19" t="s">
        <v>279</v>
      </c>
      <c r="G19" t="s">
        <v>104</v>
      </c>
      <c r="H19" t="s">
        <v>123</v>
      </c>
      <c r="I19" t="s">
        <v>280</v>
      </c>
      <c r="J19" t="s">
        <v>51</v>
      </c>
      <c r="K19" t="s">
        <v>281</v>
      </c>
      <c r="L19" t="s">
        <v>109</v>
      </c>
      <c r="M19" t="s">
        <v>282</v>
      </c>
      <c r="N19" s="21">
        <v>46003.333333333343</v>
      </c>
      <c r="O19" s="21">
        <v>46006.556250000001</v>
      </c>
      <c r="P19" t="s">
        <v>111</v>
      </c>
      <c r="Q19" t="s">
        <v>112</v>
      </c>
      <c r="R19" t="s">
        <v>113</v>
      </c>
      <c r="S19" t="s">
        <v>283</v>
      </c>
      <c r="T19" t="s">
        <v>115</v>
      </c>
      <c r="U19" t="s">
        <v>284</v>
      </c>
      <c r="V19" t="s">
        <v>129</v>
      </c>
      <c r="W19" t="s">
        <v>118</v>
      </c>
      <c r="X19" t="s">
        <v>285</v>
      </c>
      <c r="Y19" s="22">
        <v>1</v>
      </c>
      <c r="Z19" s="22">
        <v>0</v>
      </c>
      <c r="AA19" s="22">
        <v>122645</v>
      </c>
      <c r="AB19" s="22">
        <v>65165</v>
      </c>
      <c r="AC19" s="22">
        <v>122645</v>
      </c>
    </row>
    <row r="20" spans="1:29">
      <c r="A20" t="s">
        <v>63</v>
      </c>
      <c r="B20" t="s">
        <v>239</v>
      </c>
      <c r="C20" t="s">
        <v>47</v>
      </c>
      <c r="D20" t="s">
        <v>286</v>
      </c>
      <c r="E20" t="s">
        <v>287</v>
      </c>
      <c r="F20" t="s">
        <v>288</v>
      </c>
      <c r="G20" t="s">
        <v>104</v>
      </c>
      <c r="H20" t="s">
        <v>123</v>
      </c>
      <c r="I20" t="s">
        <v>106</v>
      </c>
      <c r="J20" t="s">
        <v>289</v>
      </c>
      <c r="K20" t="s">
        <v>290</v>
      </c>
      <c r="L20" t="s">
        <v>109</v>
      </c>
      <c r="M20" t="s">
        <v>291</v>
      </c>
      <c r="N20" s="21">
        <v>46003.333333333343</v>
      </c>
      <c r="O20" s="21">
        <v>46007.645138888889</v>
      </c>
      <c r="P20" t="s">
        <v>111</v>
      </c>
      <c r="Q20" t="s">
        <v>112</v>
      </c>
      <c r="R20" t="s">
        <v>113</v>
      </c>
      <c r="S20" t="s">
        <v>292</v>
      </c>
      <c r="T20" t="s">
        <v>115</v>
      </c>
      <c r="U20" t="s">
        <v>293</v>
      </c>
      <c r="V20" t="s">
        <v>117</v>
      </c>
      <c r="W20" t="s">
        <v>118</v>
      </c>
      <c r="X20" t="s">
        <v>294</v>
      </c>
      <c r="Y20" s="22">
        <v>1</v>
      </c>
      <c r="Z20" s="22">
        <v>0</v>
      </c>
      <c r="AA20" s="22">
        <v>122645</v>
      </c>
      <c r="AB20" s="22">
        <v>65165</v>
      </c>
      <c r="AC20" s="22">
        <v>122645</v>
      </c>
    </row>
    <row r="21" spans="1:29">
      <c r="A21" t="s">
        <v>60</v>
      </c>
      <c r="B21" t="s">
        <v>151</v>
      </c>
      <c r="C21" t="s">
        <v>31</v>
      </c>
      <c r="D21" t="s">
        <v>152</v>
      </c>
      <c r="E21" t="s">
        <v>295</v>
      </c>
      <c r="F21" t="s">
        <v>296</v>
      </c>
      <c r="G21" t="s">
        <v>104</v>
      </c>
      <c r="H21" t="s">
        <v>123</v>
      </c>
      <c r="I21" t="s">
        <v>155</v>
      </c>
      <c r="J21" t="s">
        <v>60</v>
      </c>
      <c r="K21" t="s">
        <v>297</v>
      </c>
      <c r="L21" t="s">
        <v>109</v>
      </c>
      <c r="M21" t="s">
        <v>298</v>
      </c>
      <c r="N21" s="21">
        <v>46009.333333333343</v>
      </c>
      <c r="O21" s="21">
        <v>46010.515277777777</v>
      </c>
      <c r="P21" t="s">
        <v>111</v>
      </c>
      <c r="Q21" t="s">
        <v>112</v>
      </c>
      <c r="R21" t="s">
        <v>113</v>
      </c>
      <c r="S21" t="s">
        <v>299</v>
      </c>
      <c r="T21" t="s">
        <v>115</v>
      </c>
      <c r="U21" t="s">
        <v>300</v>
      </c>
      <c r="V21" t="s">
        <v>129</v>
      </c>
      <c r="W21" t="s">
        <v>118</v>
      </c>
      <c r="X21" t="s">
        <v>161</v>
      </c>
      <c r="Y21" s="22">
        <v>1</v>
      </c>
      <c r="Z21" s="22">
        <v>0</v>
      </c>
      <c r="AA21" s="22">
        <v>122645</v>
      </c>
      <c r="AB21" s="22">
        <v>65165</v>
      </c>
      <c r="AC21" s="22">
        <v>122645</v>
      </c>
    </row>
    <row r="22" spans="1:29">
      <c r="A22" t="s">
        <v>60</v>
      </c>
      <c r="B22" t="s">
        <v>151</v>
      </c>
      <c r="C22" t="s">
        <v>31</v>
      </c>
      <c r="D22" t="s">
        <v>301</v>
      </c>
      <c r="E22" t="s">
        <v>302</v>
      </c>
      <c r="F22" t="s">
        <v>303</v>
      </c>
      <c r="G22" t="s">
        <v>104</v>
      </c>
      <c r="H22" t="s">
        <v>123</v>
      </c>
      <c r="I22" t="s">
        <v>155</v>
      </c>
      <c r="J22" t="s">
        <v>304</v>
      </c>
      <c r="K22" t="s">
        <v>305</v>
      </c>
      <c r="L22" t="s">
        <v>109</v>
      </c>
      <c r="M22" t="s">
        <v>306</v>
      </c>
      <c r="N22" s="21">
        <v>46009.333333333343</v>
      </c>
      <c r="O22" s="21">
        <v>46010.586805555547</v>
      </c>
      <c r="P22" t="s">
        <v>111</v>
      </c>
      <c r="Q22" t="s">
        <v>158</v>
      </c>
      <c r="R22" t="s">
        <v>113</v>
      </c>
      <c r="S22" t="s">
        <v>307</v>
      </c>
      <c r="T22" t="s">
        <v>115</v>
      </c>
      <c r="U22" t="s">
        <v>308</v>
      </c>
      <c r="V22" t="s">
        <v>185</v>
      </c>
      <c r="W22" t="s">
        <v>118</v>
      </c>
      <c r="X22" t="s">
        <v>309</v>
      </c>
      <c r="Y22" s="22">
        <v>1</v>
      </c>
      <c r="Z22" s="22">
        <v>0</v>
      </c>
      <c r="AA22" s="22">
        <v>122645</v>
      </c>
      <c r="AB22" s="22">
        <v>65165</v>
      </c>
      <c r="AC22" s="22">
        <v>122645</v>
      </c>
    </row>
    <row r="23" spans="1:29">
      <c r="A23" t="s">
        <v>60</v>
      </c>
      <c r="B23" t="s">
        <v>151</v>
      </c>
      <c r="C23" t="s">
        <v>31</v>
      </c>
      <c r="D23" t="s">
        <v>310</v>
      </c>
      <c r="E23" t="s">
        <v>311</v>
      </c>
      <c r="F23" t="s">
        <v>312</v>
      </c>
      <c r="G23" t="s">
        <v>104</v>
      </c>
      <c r="H23" t="s">
        <v>123</v>
      </c>
      <c r="I23" t="s">
        <v>155</v>
      </c>
      <c r="J23" t="s">
        <v>313</v>
      </c>
      <c r="K23" t="s">
        <v>314</v>
      </c>
      <c r="L23" t="s">
        <v>109</v>
      </c>
      <c r="M23" t="s">
        <v>315</v>
      </c>
      <c r="N23" s="21">
        <v>46009.333333333343</v>
      </c>
      <c r="O23" s="21">
        <v>46009.624305555553</v>
      </c>
      <c r="P23" t="s">
        <v>111</v>
      </c>
      <c r="Q23" t="s">
        <v>112</v>
      </c>
      <c r="R23" t="s">
        <v>113</v>
      </c>
      <c r="S23" t="s">
        <v>316</v>
      </c>
      <c r="T23" t="s">
        <v>115</v>
      </c>
      <c r="U23" t="s">
        <v>317</v>
      </c>
      <c r="V23" t="s">
        <v>185</v>
      </c>
      <c r="W23" t="s">
        <v>118</v>
      </c>
      <c r="X23" t="s">
        <v>318</v>
      </c>
      <c r="Y23" s="22">
        <v>1</v>
      </c>
      <c r="Z23" s="22">
        <v>0</v>
      </c>
      <c r="AA23" s="22">
        <v>122645</v>
      </c>
      <c r="AB23" s="22">
        <v>65165</v>
      </c>
      <c r="AC23" s="22">
        <v>122645</v>
      </c>
    </row>
    <row r="24" spans="1:29">
      <c r="A24" t="s">
        <v>60</v>
      </c>
      <c r="B24" t="s">
        <v>151</v>
      </c>
      <c r="C24" t="s">
        <v>31</v>
      </c>
      <c r="D24" t="s">
        <v>319</v>
      </c>
      <c r="E24" t="s">
        <v>320</v>
      </c>
      <c r="F24" t="s">
        <v>321</v>
      </c>
      <c r="G24" t="s">
        <v>104</v>
      </c>
      <c r="H24" t="s">
        <v>123</v>
      </c>
      <c r="I24" t="s">
        <v>155</v>
      </c>
      <c r="J24" t="s">
        <v>322</v>
      </c>
      <c r="K24" t="s">
        <v>323</v>
      </c>
      <c r="L24" t="s">
        <v>109</v>
      </c>
      <c r="M24" t="s">
        <v>324</v>
      </c>
      <c r="N24" s="21">
        <v>46009.333333333343</v>
      </c>
      <c r="O24" s="21">
        <v>46010.629861111112</v>
      </c>
      <c r="P24" t="s">
        <v>111</v>
      </c>
      <c r="Q24" t="s">
        <v>112</v>
      </c>
      <c r="R24" t="s">
        <v>113</v>
      </c>
      <c r="S24" t="s">
        <v>325</v>
      </c>
      <c r="T24" t="s">
        <v>115</v>
      </c>
      <c r="U24" t="s">
        <v>326</v>
      </c>
      <c r="V24" t="s">
        <v>185</v>
      </c>
      <c r="W24" t="s">
        <v>118</v>
      </c>
      <c r="X24" t="s">
        <v>327</v>
      </c>
      <c r="Y24" s="22">
        <v>1</v>
      </c>
      <c r="Z24" s="22">
        <v>0</v>
      </c>
      <c r="AA24" s="22">
        <v>122645</v>
      </c>
      <c r="AB24" s="22">
        <v>65165</v>
      </c>
      <c r="AC24" s="22">
        <v>122645</v>
      </c>
    </row>
    <row r="25" spans="1:29">
      <c r="A25" t="s">
        <v>60</v>
      </c>
      <c r="B25" t="s">
        <v>151</v>
      </c>
      <c r="C25" t="s">
        <v>31</v>
      </c>
      <c r="D25" t="s">
        <v>328</v>
      </c>
      <c r="E25" t="s">
        <v>329</v>
      </c>
      <c r="F25" t="s">
        <v>330</v>
      </c>
      <c r="G25" t="s">
        <v>104</v>
      </c>
      <c r="H25" t="s">
        <v>123</v>
      </c>
      <c r="I25" t="s">
        <v>155</v>
      </c>
      <c r="J25" t="s">
        <v>331</v>
      </c>
      <c r="K25" t="s">
        <v>332</v>
      </c>
      <c r="L25" t="s">
        <v>109</v>
      </c>
      <c r="M25" t="s">
        <v>333</v>
      </c>
      <c r="N25" s="21">
        <v>46009.333333333343</v>
      </c>
      <c r="O25" s="21">
        <v>46010.586805555547</v>
      </c>
      <c r="P25" t="s">
        <v>111</v>
      </c>
      <c r="Q25" t="s">
        <v>158</v>
      </c>
      <c r="R25" t="s">
        <v>113</v>
      </c>
      <c r="S25" t="s">
        <v>334</v>
      </c>
      <c r="T25" t="s">
        <v>115</v>
      </c>
      <c r="U25" t="s">
        <v>335</v>
      </c>
      <c r="V25" t="s">
        <v>185</v>
      </c>
      <c r="W25" t="s">
        <v>118</v>
      </c>
      <c r="X25" t="s">
        <v>336</v>
      </c>
      <c r="Y25" s="22">
        <v>1</v>
      </c>
      <c r="Z25" s="22">
        <v>0</v>
      </c>
      <c r="AA25" s="22">
        <v>122645</v>
      </c>
      <c r="AB25" s="22">
        <v>65165</v>
      </c>
      <c r="AC25" s="22">
        <v>122645</v>
      </c>
    </row>
    <row r="26" spans="1:29">
      <c r="A26" t="s">
        <v>68</v>
      </c>
      <c r="B26" t="s">
        <v>175</v>
      </c>
      <c r="C26" t="s">
        <v>43</v>
      </c>
      <c r="D26" t="s">
        <v>337</v>
      </c>
      <c r="E26" t="s">
        <v>338</v>
      </c>
      <c r="F26" t="s">
        <v>339</v>
      </c>
      <c r="G26" t="s">
        <v>104</v>
      </c>
      <c r="H26" t="s">
        <v>123</v>
      </c>
      <c r="I26" t="s">
        <v>179</v>
      </c>
      <c r="J26" t="s">
        <v>340</v>
      </c>
      <c r="K26" t="s">
        <v>341</v>
      </c>
      <c r="L26" t="s">
        <v>109</v>
      </c>
      <c r="M26" t="s">
        <v>342</v>
      </c>
      <c r="N26" s="21">
        <v>46009.333333333343</v>
      </c>
      <c r="O26" s="21">
        <v>46009.619444444441</v>
      </c>
      <c r="P26" t="s">
        <v>111</v>
      </c>
      <c r="Q26" t="s">
        <v>112</v>
      </c>
      <c r="R26" t="s">
        <v>113</v>
      </c>
      <c r="S26" t="s">
        <v>343</v>
      </c>
      <c r="T26" t="s">
        <v>115</v>
      </c>
      <c r="U26" t="s">
        <v>344</v>
      </c>
      <c r="V26" t="s">
        <v>185</v>
      </c>
      <c r="W26" t="s">
        <v>118</v>
      </c>
      <c r="X26" t="s">
        <v>186</v>
      </c>
      <c r="Y26" s="22">
        <v>1</v>
      </c>
      <c r="Z26" s="22">
        <v>0</v>
      </c>
      <c r="AA26" s="22">
        <v>122645</v>
      </c>
      <c r="AB26" s="22">
        <v>65165</v>
      </c>
      <c r="AC26" s="22">
        <v>122645</v>
      </c>
    </row>
    <row r="27" spans="1:29">
      <c r="A27" t="s">
        <v>42</v>
      </c>
      <c r="B27" t="s">
        <v>175</v>
      </c>
      <c r="C27" t="s">
        <v>43</v>
      </c>
      <c r="D27" t="s">
        <v>345</v>
      </c>
      <c r="E27" t="s">
        <v>346</v>
      </c>
      <c r="F27" t="s">
        <v>347</v>
      </c>
      <c r="G27" t="s">
        <v>104</v>
      </c>
      <c r="H27" t="s">
        <v>123</v>
      </c>
      <c r="I27" t="s">
        <v>135</v>
      </c>
      <c r="J27" t="s">
        <v>348</v>
      </c>
      <c r="K27" t="s">
        <v>349</v>
      </c>
      <c r="L27" t="s">
        <v>109</v>
      </c>
      <c r="M27" t="s">
        <v>350</v>
      </c>
      <c r="N27" s="21">
        <v>46009.333333333343</v>
      </c>
      <c r="O27" s="21">
        <v>46009.792361111111</v>
      </c>
      <c r="P27" t="s">
        <v>111</v>
      </c>
      <c r="Q27" t="s">
        <v>158</v>
      </c>
      <c r="R27" t="s">
        <v>113</v>
      </c>
      <c r="S27" t="s">
        <v>351</v>
      </c>
      <c r="T27" t="s">
        <v>115</v>
      </c>
      <c r="U27" t="s">
        <v>352</v>
      </c>
      <c r="V27" t="s">
        <v>276</v>
      </c>
      <c r="W27" t="s">
        <v>118</v>
      </c>
      <c r="X27" t="s">
        <v>353</v>
      </c>
      <c r="Y27" s="22">
        <v>1</v>
      </c>
      <c r="Z27" s="22">
        <v>0</v>
      </c>
      <c r="AA27" s="22">
        <v>122645</v>
      </c>
      <c r="AB27" s="22">
        <v>65165</v>
      </c>
      <c r="AC27" s="22">
        <v>122645</v>
      </c>
    </row>
    <row r="28" spans="1:29">
      <c r="A28" t="s">
        <v>38</v>
      </c>
      <c r="B28" t="s">
        <v>187</v>
      </c>
      <c r="C28" t="s">
        <v>39</v>
      </c>
      <c r="D28" t="s">
        <v>354</v>
      </c>
      <c r="E28" t="s">
        <v>355</v>
      </c>
      <c r="F28" t="s">
        <v>356</v>
      </c>
      <c r="G28" t="s">
        <v>104</v>
      </c>
      <c r="H28" t="s">
        <v>123</v>
      </c>
      <c r="I28" t="s">
        <v>191</v>
      </c>
      <c r="J28" t="s">
        <v>357</v>
      </c>
      <c r="K28" t="s">
        <v>358</v>
      </c>
      <c r="L28" t="s">
        <v>109</v>
      </c>
      <c r="M28" t="s">
        <v>359</v>
      </c>
      <c r="N28" s="21">
        <v>46009.333333333343</v>
      </c>
      <c r="O28" s="21">
        <v>46010.618055555547</v>
      </c>
      <c r="P28" t="s">
        <v>111</v>
      </c>
      <c r="Q28" t="s">
        <v>158</v>
      </c>
      <c r="R28" t="s">
        <v>113</v>
      </c>
      <c r="S28" t="s">
        <v>360</v>
      </c>
      <c r="T28" t="s">
        <v>115</v>
      </c>
      <c r="U28" t="s">
        <v>361</v>
      </c>
      <c r="V28" t="s">
        <v>276</v>
      </c>
      <c r="W28" t="s">
        <v>118</v>
      </c>
      <c r="X28" t="s">
        <v>362</v>
      </c>
      <c r="Y28" s="22">
        <v>1</v>
      </c>
      <c r="Z28" s="22">
        <v>0</v>
      </c>
      <c r="AA28" s="22">
        <v>122645</v>
      </c>
      <c r="AB28" s="22">
        <v>65165</v>
      </c>
      <c r="AC28" s="22">
        <v>122645</v>
      </c>
    </row>
    <row r="29" spans="1:29">
      <c r="A29" t="s">
        <v>70</v>
      </c>
      <c r="B29" t="s">
        <v>228</v>
      </c>
      <c r="C29" t="s">
        <v>53</v>
      </c>
      <c r="D29" t="s">
        <v>363</v>
      </c>
      <c r="E29" t="s">
        <v>364</v>
      </c>
      <c r="F29" t="s">
        <v>365</v>
      </c>
      <c r="G29" t="s">
        <v>104</v>
      </c>
      <c r="H29" t="s">
        <v>123</v>
      </c>
      <c r="I29" t="s">
        <v>232</v>
      </c>
      <c r="J29" t="s">
        <v>366</v>
      </c>
      <c r="K29" t="s">
        <v>367</v>
      </c>
      <c r="L29" t="s">
        <v>109</v>
      </c>
      <c r="M29" t="s">
        <v>368</v>
      </c>
      <c r="N29" s="21">
        <v>46009.333333333343</v>
      </c>
      <c r="O29" s="21">
        <v>46009.587500000001</v>
      </c>
      <c r="P29" t="s">
        <v>111</v>
      </c>
      <c r="Q29" t="s">
        <v>112</v>
      </c>
      <c r="R29" t="s">
        <v>113</v>
      </c>
      <c r="S29" t="s">
        <v>369</v>
      </c>
      <c r="T29" t="s">
        <v>115</v>
      </c>
      <c r="U29" t="s">
        <v>370</v>
      </c>
      <c r="V29" t="s">
        <v>185</v>
      </c>
      <c r="W29" t="s">
        <v>118</v>
      </c>
      <c r="X29" t="s">
        <v>371</v>
      </c>
      <c r="Y29" s="22">
        <v>1</v>
      </c>
      <c r="Z29" s="22">
        <v>0</v>
      </c>
      <c r="AA29" s="22">
        <v>122645</v>
      </c>
      <c r="AB29" s="22">
        <v>65165</v>
      </c>
      <c r="AC29" s="22">
        <v>122645</v>
      </c>
    </row>
    <row r="30" spans="1:29">
      <c r="A30" t="s">
        <v>51</v>
      </c>
      <c r="B30" t="s">
        <v>175</v>
      </c>
      <c r="C30" t="s">
        <v>43</v>
      </c>
      <c r="D30" t="s">
        <v>277</v>
      </c>
      <c r="E30" t="s">
        <v>372</v>
      </c>
      <c r="F30" t="s">
        <v>373</v>
      </c>
      <c r="G30" t="s">
        <v>104</v>
      </c>
      <c r="H30" t="s">
        <v>123</v>
      </c>
      <c r="I30" t="s">
        <v>280</v>
      </c>
      <c r="J30" t="s">
        <v>51</v>
      </c>
      <c r="K30" t="s">
        <v>374</v>
      </c>
      <c r="L30" t="s">
        <v>109</v>
      </c>
      <c r="M30" t="s">
        <v>375</v>
      </c>
      <c r="N30" s="21">
        <v>46009.333333333343</v>
      </c>
      <c r="O30" s="21">
        <v>46010.564583333333</v>
      </c>
      <c r="P30" t="s">
        <v>111</v>
      </c>
      <c r="Q30" t="s">
        <v>112</v>
      </c>
      <c r="R30" t="s">
        <v>113</v>
      </c>
      <c r="S30" t="s">
        <v>376</v>
      </c>
      <c r="T30" t="s">
        <v>115</v>
      </c>
      <c r="U30" t="s">
        <v>377</v>
      </c>
      <c r="V30" t="s">
        <v>129</v>
      </c>
      <c r="W30" t="s">
        <v>118</v>
      </c>
      <c r="X30" t="s">
        <v>378</v>
      </c>
      <c r="Y30" s="22">
        <v>1</v>
      </c>
      <c r="Z30" s="22">
        <v>0</v>
      </c>
      <c r="AA30" s="22">
        <v>122645</v>
      </c>
      <c r="AB30" s="22">
        <v>65165</v>
      </c>
      <c r="AC30" s="22">
        <v>122645</v>
      </c>
    </row>
    <row r="31" spans="1:29">
      <c r="A31" t="s">
        <v>42</v>
      </c>
      <c r="B31" t="s">
        <v>175</v>
      </c>
      <c r="C31" t="s">
        <v>43</v>
      </c>
      <c r="D31" t="s">
        <v>379</v>
      </c>
      <c r="E31" t="s">
        <v>380</v>
      </c>
      <c r="F31" t="s">
        <v>381</v>
      </c>
      <c r="G31" t="s">
        <v>104</v>
      </c>
      <c r="H31" t="s">
        <v>123</v>
      </c>
      <c r="I31" t="s">
        <v>382</v>
      </c>
      <c r="J31" t="s">
        <v>42</v>
      </c>
      <c r="K31" t="s">
        <v>383</v>
      </c>
      <c r="L31" t="s">
        <v>109</v>
      </c>
      <c r="M31" t="s">
        <v>384</v>
      </c>
      <c r="N31" s="21">
        <v>46009.333333333343</v>
      </c>
      <c r="O31" s="21">
        <v>46009.713888888888</v>
      </c>
      <c r="P31" t="s">
        <v>111</v>
      </c>
      <c r="Q31" t="s">
        <v>112</v>
      </c>
      <c r="R31" t="s">
        <v>113</v>
      </c>
      <c r="S31" t="s">
        <v>385</v>
      </c>
      <c r="T31" t="s">
        <v>115</v>
      </c>
      <c r="U31" t="s">
        <v>386</v>
      </c>
      <c r="V31" t="s">
        <v>129</v>
      </c>
      <c r="W31" t="s">
        <v>118</v>
      </c>
      <c r="X31" t="s">
        <v>387</v>
      </c>
      <c r="Y31" s="22">
        <v>1</v>
      </c>
      <c r="Z31" s="22">
        <v>0</v>
      </c>
      <c r="AA31" s="22">
        <v>122645</v>
      </c>
      <c r="AB31" s="22">
        <v>65165</v>
      </c>
      <c r="AC31" s="22">
        <v>122645</v>
      </c>
    </row>
    <row r="32" spans="1:29">
      <c r="A32" t="s">
        <v>42</v>
      </c>
      <c r="B32" t="s">
        <v>175</v>
      </c>
      <c r="C32" t="s">
        <v>43</v>
      </c>
      <c r="D32" t="s">
        <v>388</v>
      </c>
      <c r="E32" t="s">
        <v>389</v>
      </c>
      <c r="F32" t="s">
        <v>390</v>
      </c>
      <c r="G32" t="s">
        <v>104</v>
      </c>
      <c r="H32" t="s">
        <v>123</v>
      </c>
      <c r="I32" t="s">
        <v>382</v>
      </c>
      <c r="J32" t="s">
        <v>391</v>
      </c>
      <c r="K32" t="s">
        <v>392</v>
      </c>
      <c r="L32" t="s">
        <v>109</v>
      </c>
      <c r="M32" t="s">
        <v>393</v>
      </c>
      <c r="N32" s="21">
        <v>46009.333333333343</v>
      </c>
      <c r="O32" s="21">
        <v>46009.613888888889</v>
      </c>
      <c r="P32" t="s">
        <v>111</v>
      </c>
      <c r="Q32" t="s">
        <v>112</v>
      </c>
      <c r="R32" t="s">
        <v>113</v>
      </c>
      <c r="S32" t="s">
        <v>394</v>
      </c>
      <c r="T32" t="s">
        <v>115</v>
      </c>
      <c r="U32" t="s">
        <v>395</v>
      </c>
      <c r="V32" t="s">
        <v>129</v>
      </c>
      <c r="W32" t="s">
        <v>118</v>
      </c>
      <c r="X32" t="s">
        <v>396</v>
      </c>
      <c r="Y32" s="22">
        <v>1</v>
      </c>
      <c r="Z32" s="22">
        <v>0</v>
      </c>
      <c r="AA32" s="22">
        <v>122645</v>
      </c>
      <c r="AB32" s="22">
        <v>65165</v>
      </c>
      <c r="AC32" s="22">
        <v>122645</v>
      </c>
    </row>
    <row r="33" spans="1:29">
      <c r="A33" t="s">
        <v>42</v>
      </c>
      <c r="B33" t="s">
        <v>175</v>
      </c>
      <c r="C33" t="s">
        <v>43</v>
      </c>
      <c r="D33" t="s">
        <v>397</v>
      </c>
      <c r="E33" t="s">
        <v>398</v>
      </c>
      <c r="F33" t="s">
        <v>399</v>
      </c>
      <c r="G33" t="s">
        <v>104</v>
      </c>
      <c r="H33" t="s">
        <v>123</v>
      </c>
      <c r="I33" t="s">
        <v>382</v>
      </c>
      <c r="J33" t="s">
        <v>400</v>
      </c>
      <c r="K33" t="s">
        <v>401</v>
      </c>
      <c r="L33" t="s">
        <v>109</v>
      </c>
      <c r="M33" t="s">
        <v>402</v>
      </c>
      <c r="N33" s="21">
        <v>46009.333333333343</v>
      </c>
      <c r="O33" s="21">
        <v>46009.644444444442</v>
      </c>
      <c r="P33" t="s">
        <v>111</v>
      </c>
      <c r="Q33" t="s">
        <v>158</v>
      </c>
      <c r="R33" t="s">
        <v>113</v>
      </c>
      <c r="S33" t="s">
        <v>403</v>
      </c>
      <c r="T33" t="s">
        <v>115</v>
      </c>
      <c r="U33" t="s">
        <v>404</v>
      </c>
      <c r="V33" t="s">
        <v>185</v>
      </c>
      <c r="W33" t="s">
        <v>118</v>
      </c>
      <c r="X33" t="s">
        <v>405</v>
      </c>
      <c r="Y33" s="22">
        <v>1</v>
      </c>
      <c r="Z33" s="22">
        <v>0</v>
      </c>
      <c r="AA33" s="22">
        <v>122645</v>
      </c>
      <c r="AB33" s="22">
        <v>65165</v>
      </c>
      <c r="AC33" s="22">
        <v>122645</v>
      </c>
    </row>
    <row r="34" spans="1:29">
      <c r="A34" t="s">
        <v>46</v>
      </c>
      <c r="B34" t="s">
        <v>239</v>
      </c>
      <c r="C34" t="s">
        <v>47</v>
      </c>
      <c r="D34" t="s">
        <v>406</v>
      </c>
      <c r="E34" t="s">
        <v>407</v>
      </c>
      <c r="F34" t="s">
        <v>408</v>
      </c>
      <c r="G34" t="s">
        <v>104</v>
      </c>
      <c r="H34" t="s">
        <v>123</v>
      </c>
      <c r="I34" t="s">
        <v>243</v>
      </c>
      <c r="J34" t="s">
        <v>46</v>
      </c>
      <c r="K34" t="s">
        <v>409</v>
      </c>
      <c r="L34" t="s">
        <v>109</v>
      </c>
      <c r="M34" t="s">
        <v>410</v>
      </c>
      <c r="N34" s="21">
        <v>46009.333333333343</v>
      </c>
      <c r="O34" s="21">
        <v>46009.590277777781</v>
      </c>
      <c r="P34" t="s">
        <v>111</v>
      </c>
      <c r="Q34" t="s">
        <v>158</v>
      </c>
      <c r="R34" t="s">
        <v>113</v>
      </c>
      <c r="S34" t="s">
        <v>411</v>
      </c>
      <c r="T34" t="s">
        <v>115</v>
      </c>
      <c r="U34" t="s">
        <v>412</v>
      </c>
      <c r="V34" t="s">
        <v>129</v>
      </c>
      <c r="W34" t="s">
        <v>118</v>
      </c>
      <c r="X34" t="s">
        <v>413</v>
      </c>
      <c r="Y34" s="22">
        <v>1</v>
      </c>
      <c r="Z34" s="22">
        <v>0</v>
      </c>
      <c r="AA34" s="22">
        <v>122645</v>
      </c>
      <c r="AB34" s="22">
        <v>65165</v>
      </c>
      <c r="AC34" s="22">
        <v>122645</v>
      </c>
    </row>
    <row r="35" spans="1:29">
      <c r="A35" t="s">
        <v>46</v>
      </c>
      <c r="B35" t="s">
        <v>239</v>
      </c>
      <c r="C35" t="s">
        <v>47</v>
      </c>
      <c r="D35" t="s">
        <v>414</v>
      </c>
      <c r="E35" t="s">
        <v>415</v>
      </c>
      <c r="F35" t="s">
        <v>416</v>
      </c>
      <c r="G35" t="s">
        <v>104</v>
      </c>
      <c r="H35" t="s">
        <v>123</v>
      </c>
      <c r="I35" t="s">
        <v>243</v>
      </c>
      <c r="J35" t="s">
        <v>417</v>
      </c>
      <c r="K35" t="s">
        <v>418</v>
      </c>
      <c r="L35" t="s">
        <v>109</v>
      </c>
      <c r="M35" t="s">
        <v>419</v>
      </c>
      <c r="N35" s="21">
        <v>46009.333333333343</v>
      </c>
      <c r="O35" s="21">
        <v>46010.438194444447</v>
      </c>
      <c r="P35" t="s">
        <v>111</v>
      </c>
      <c r="Q35" t="s">
        <v>158</v>
      </c>
      <c r="R35" t="s">
        <v>113</v>
      </c>
      <c r="S35" t="s">
        <v>420</v>
      </c>
      <c r="T35" t="s">
        <v>115</v>
      </c>
      <c r="V35" t="s">
        <v>185</v>
      </c>
      <c r="W35" t="s">
        <v>118</v>
      </c>
      <c r="X35" t="s">
        <v>421</v>
      </c>
      <c r="Y35" s="22">
        <v>1</v>
      </c>
      <c r="Z35" s="22">
        <v>0</v>
      </c>
      <c r="AA35" s="22">
        <v>122645</v>
      </c>
      <c r="AB35" s="22">
        <v>65165</v>
      </c>
      <c r="AC35" s="22">
        <v>122645</v>
      </c>
    </row>
    <row r="36" spans="1:29">
      <c r="A36" t="s">
        <v>71</v>
      </c>
      <c r="B36" t="s">
        <v>228</v>
      </c>
      <c r="C36" t="s">
        <v>53</v>
      </c>
      <c r="D36" t="s">
        <v>422</v>
      </c>
      <c r="E36" t="s">
        <v>423</v>
      </c>
      <c r="F36" t="s">
        <v>424</v>
      </c>
      <c r="G36" t="s">
        <v>104</v>
      </c>
      <c r="H36" t="s">
        <v>123</v>
      </c>
      <c r="I36" t="s">
        <v>425</v>
      </c>
      <c r="J36" t="s">
        <v>71</v>
      </c>
      <c r="K36" t="s">
        <v>426</v>
      </c>
      <c r="L36" t="s">
        <v>109</v>
      </c>
      <c r="M36" t="s">
        <v>427</v>
      </c>
      <c r="N36" s="21">
        <v>46009.333333333343</v>
      </c>
      <c r="O36" s="21">
        <v>46009.7</v>
      </c>
      <c r="P36" t="s">
        <v>111</v>
      </c>
      <c r="Q36" t="s">
        <v>112</v>
      </c>
      <c r="R36" t="s">
        <v>113</v>
      </c>
      <c r="S36" t="s">
        <v>428</v>
      </c>
      <c r="T36" t="s">
        <v>115</v>
      </c>
      <c r="U36" t="s">
        <v>429</v>
      </c>
      <c r="V36" t="s">
        <v>129</v>
      </c>
      <c r="W36" t="s">
        <v>118</v>
      </c>
      <c r="X36" t="s">
        <v>430</v>
      </c>
      <c r="Y36" s="22">
        <v>1</v>
      </c>
      <c r="Z36" s="22">
        <v>0</v>
      </c>
      <c r="AA36" s="22">
        <v>122645</v>
      </c>
      <c r="AB36" s="22">
        <v>65165</v>
      </c>
      <c r="AC36" s="22">
        <v>122645</v>
      </c>
    </row>
    <row r="37" spans="1:29">
      <c r="A37" t="s">
        <v>71</v>
      </c>
      <c r="B37" t="s">
        <v>228</v>
      </c>
      <c r="C37" t="s">
        <v>53</v>
      </c>
      <c r="D37" t="s">
        <v>422</v>
      </c>
      <c r="E37" t="s">
        <v>431</v>
      </c>
      <c r="F37" t="s">
        <v>432</v>
      </c>
      <c r="G37" t="s">
        <v>104</v>
      </c>
      <c r="H37" t="s">
        <v>123</v>
      </c>
      <c r="I37" t="s">
        <v>425</v>
      </c>
      <c r="J37" t="s">
        <v>71</v>
      </c>
      <c r="K37" t="s">
        <v>433</v>
      </c>
      <c r="L37" t="s">
        <v>109</v>
      </c>
      <c r="M37" t="s">
        <v>434</v>
      </c>
      <c r="N37" s="21">
        <v>46009.333333333343</v>
      </c>
      <c r="O37" s="21">
        <v>46010.604166666657</v>
      </c>
      <c r="P37" t="s">
        <v>111</v>
      </c>
      <c r="Q37" t="s">
        <v>112</v>
      </c>
      <c r="R37" t="s">
        <v>113</v>
      </c>
      <c r="S37" t="s">
        <v>435</v>
      </c>
      <c r="T37" t="s">
        <v>115</v>
      </c>
      <c r="U37" t="s">
        <v>436</v>
      </c>
      <c r="V37" t="s">
        <v>129</v>
      </c>
      <c r="W37" t="s">
        <v>118</v>
      </c>
      <c r="X37" t="s">
        <v>430</v>
      </c>
      <c r="Y37" s="22">
        <v>1</v>
      </c>
      <c r="Z37" s="22">
        <v>0</v>
      </c>
      <c r="AA37" s="22">
        <v>122645</v>
      </c>
      <c r="AB37" s="22">
        <v>65165</v>
      </c>
      <c r="AC37" s="22">
        <v>122645</v>
      </c>
    </row>
    <row r="38" spans="1:29">
      <c r="A38" t="s">
        <v>38</v>
      </c>
      <c r="B38" t="s">
        <v>187</v>
      </c>
      <c r="C38" t="s">
        <v>39</v>
      </c>
      <c r="D38" t="s">
        <v>250</v>
      </c>
      <c r="E38" t="s">
        <v>437</v>
      </c>
      <c r="F38" t="s">
        <v>438</v>
      </c>
      <c r="G38" t="s">
        <v>104</v>
      </c>
      <c r="H38" t="s">
        <v>123</v>
      </c>
      <c r="I38" t="s">
        <v>191</v>
      </c>
      <c r="J38" t="s">
        <v>38</v>
      </c>
      <c r="K38" t="s">
        <v>439</v>
      </c>
      <c r="L38" t="s">
        <v>109</v>
      </c>
      <c r="M38" t="s">
        <v>440</v>
      </c>
      <c r="N38" s="21">
        <v>46009.333333333343</v>
      </c>
      <c r="O38" s="21">
        <v>46010.503472222219</v>
      </c>
      <c r="P38" t="s">
        <v>111</v>
      </c>
      <c r="Q38" t="s">
        <v>158</v>
      </c>
      <c r="R38" t="s">
        <v>113</v>
      </c>
      <c r="S38" t="s">
        <v>441</v>
      </c>
      <c r="T38" t="s">
        <v>115</v>
      </c>
      <c r="U38" t="s">
        <v>442</v>
      </c>
      <c r="V38" t="s">
        <v>129</v>
      </c>
      <c r="W38" t="s">
        <v>118</v>
      </c>
      <c r="X38" t="s">
        <v>443</v>
      </c>
      <c r="Y38" s="22">
        <v>1</v>
      </c>
      <c r="Z38" s="22">
        <v>0</v>
      </c>
      <c r="AA38" s="22">
        <v>122645</v>
      </c>
      <c r="AB38" s="22">
        <v>65165</v>
      </c>
      <c r="AC38" s="22">
        <v>122645</v>
      </c>
    </row>
    <row r="39" spans="1:29">
      <c r="A39" t="s">
        <v>38</v>
      </c>
      <c r="B39" t="s">
        <v>187</v>
      </c>
      <c r="C39" t="s">
        <v>39</v>
      </c>
      <c r="D39" t="s">
        <v>250</v>
      </c>
      <c r="E39" t="s">
        <v>444</v>
      </c>
      <c r="F39" t="s">
        <v>445</v>
      </c>
      <c r="G39" t="s">
        <v>104</v>
      </c>
      <c r="H39" t="s">
        <v>123</v>
      </c>
      <c r="I39" t="s">
        <v>191</v>
      </c>
      <c r="J39" t="s">
        <v>38</v>
      </c>
      <c r="K39" t="s">
        <v>446</v>
      </c>
      <c r="L39" t="s">
        <v>109</v>
      </c>
      <c r="M39" t="s">
        <v>447</v>
      </c>
      <c r="N39" s="21">
        <v>46009.333333333343</v>
      </c>
      <c r="O39" s="21">
        <v>46010.55</v>
      </c>
      <c r="P39" t="s">
        <v>111</v>
      </c>
      <c r="Q39" t="s">
        <v>158</v>
      </c>
      <c r="R39" t="s">
        <v>113</v>
      </c>
      <c r="S39" t="s">
        <v>448</v>
      </c>
      <c r="T39" t="s">
        <v>115</v>
      </c>
      <c r="U39" t="s">
        <v>449</v>
      </c>
      <c r="V39" t="s">
        <v>129</v>
      </c>
      <c r="W39" t="s">
        <v>118</v>
      </c>
      <c r="X39" t="s">
        <v>197</v>
      </c>
      <c r="Y39" s="22">
        <v>1</v>
      </c>
      <c r="Z39" s="22">
        <v>0</v>
      </c>
      <c r="AA39" s="22">
        <v>122645</v>
      </c>
      <c r="AB39" s="22">
        <v>65165</v>
      </c>
      <c r="AC39" s="22">
        <v>122645</v>
      </c>
    </row>
    <row r="40" spans="1:29">
      <c r="A40" t="s">
        <v>60</v>
      </c>
      <c r="B40" t="s">
        <v>151</v>
      </c>
      <c r="C40" t="s">
        <v>31</v>
      </c>
      <c r="D40" t="s">
        <v>450</v>
      </c>
      <c r="E40" t="s">
        <v>451</v>
      </c>
      <c r="F40" t="s">
        <v>452</v>
      </c>
      <c r="G40" t="s">
        <v>104</v>
      </c>
      <c r="H40" t="s">
        <v>105</v>
      </c>
      <c r="I40" t="s">
        <v>155</v>
      </c>
      <c r="J40" t="s">
        <v>453</v>
      </c>
      <c r="K40" t="s">
        <v>454</v>
      </c>
      <c r="L40" t="s">
        <v>109</v>
      </c>
      <c r="M40" t="s">
        <v>455</v>
      </c>
      <c r="N40" s="21">
        <v>46009.333333333343</v>
      </c>
      <c r="O40" s="21">
        <v>46009.595138888893</v>
      </c>
      <c r="P40" t="s">
        <v>111</v>
      </c>
      <c r="Q40" t="s">
        <v>112</v>
      </c>
      <c r="R40" t="s">
        <v>113</v>
      </c>
      <c r="S40" t="s">
        <v>456</v>
      </c>
      <c r="T40" t="s">
        <v>115</v>
      </c>
      <c r="U40" t="s">
        <v>457</v>
      </c>
      <c r="V40" t="s">
        <v>129</v>
      </c>
      <c r="W40" t="s">
        <v>118</v>
      </c>
      <c r="X40" t="s">
        <v>458</v>
      </c>
      <c r="Y40" s="22">
        <v>1</v>
      </c>
      <c r="Z40" s="22">
        <v>0</v>
      </c>
      <c r="AA40" s="22">
        <v>122645</v>
      </c>
      <c r="AB40" s="22">
        <v>65165</v>
      </c>
      <c r="AC40" s="22">
        <v>122645</v>
      </c>
    </row>
    <row r="41" spans="1:29">
      <c r="A41" t="s">
        <v>60</v>
      </c>
      <c r="B41" t="s">
        <v>151</v>
      </c>
      <c r="C41" t="s">
        <v>31</v>
      </c>
      <c r="D41" t="s">
        <v>152</v>
      </c>
      <c r="E41" t="s">
        <v>459</v>
      </c>
      <c r="F41" t="s">
        <v>460</v>
      </c>
      <c r="G41" t="s">
        <v>104</v>
      </c>
      <c r="H41" t="s">
        <v>123</v>
      </c>
      <c r="I41" t="s">
        <v>155</v>
      </c>
      <c r="J41" t="s">
        <v>60</v>
      </c>
      <c r="K41" t="s">
        <v>461</v>
      </c>
      <c r="L41" t="s">
        <v>109</v>
      </c>
      <c r="M41" t="s">
        <v>462</v>
      </c>
      <c r="N41" s="21">
        <v>46015.333333333343</v>
      </c>
      <c r="O41" s="21">
        <v>46015.463194444441</v>
      </c>
      <c r="P41" t="s">
        <v>111</v>
      </c>
      <c r="Q41" t="s">
        <v>112</v>
      </c>
      <c r="R41" t="s">
        <v>113</v>
      </c>
      <c r="S41" t="s">
        <v>463</v>
      </c>
      <c r="T41" t="s">
        <v>115</v>
      </c>
      <c r="U41" t="s">
        <v>464</v>
      </c>
      <c r="V41" t="s">
        <v>129</v>
      </c>
      <c r="W41" t="s">
        <v>118</v>
      </c>
      <c r="X41" t="s">
        <v>161</v>
      </c>
      <c r="Y41" s="22">
        <v>1</v>
      </c>
      <c r="Z41" s="22">
        <v>0</v>
      </c>
      <c r="AA41" s="22">
        <v>122645</v>
      </c>
      <c r="AB41" s="22">
        <v>65165</v>
      </c>
      <c r="AC41" s="22">
        <v>122645</v>
      </c>
    </row>
    <row r="42" spans="1:29">
      <c r="A42" t="s">
        <v>60</v>
      </c>
      <c r="B42" t="s">
        <v>151</v>
      </c>
      <c r="C42" t="s">
        <v>31</v>
      </c>
      <c r="D42" t="s">
        <v>152</v>
      </c>
      <c r="E42" t="s">
        <v>465</v>
      </c>
      <c r="F42" t="s">
        <v>466</v>
      </c>
      <c r="G42" t="s">
        <v>104</v>
      </c>
      <c r="H42" t="s">
        <v>123</v>
      </c>
      <c r="I42" t="s">
        <v>155</v>
      </c>
      <c r="J42" t="s">
        <v>60</v>
      </c>
      <c r="K42" t="s">
        <v>467</v>
      </c>
      <c r="L42" t="s">
        <v>109</v>
      </c>
      <c r="M42" t="s">
        <v>468</v>
      </c>
      <c r="N42" s="21">
        <v>46015.333333333343</v>
      </c>
      <c r="O42" s="21">
        <v>46015.571527777778</v>
      </c>
      <c r="P42" t="s">
        <v>111</v>
      </c>
      <c r="Q42" t="s">
        <v>112</v>
      </c>
      <c r="R42" t="s">
        <v>113</v>
      </c>
      <c r="S42" t="s">
        <v>469</v>
      </c>
      <c r="T42" t="s">
        <v>115</v>
      </c>
      <c r="U42" t="s">
        <v>470</v>
      </c>
      <c r="V42" t="s">
        <v>129</v>
      </c>
      <c r="W42" t="s">
        <v>118</v>
      </c>
      <c r="X42" t="s">
        <v>336</v>
      </c>
      <c r="Y42" s="22">
        <v>1</v>
      </c>
      <c r="Z42" s="22">
        <v>0</v>
      </c>
      <c r="AA42" s="22">
        <v>122645</v>
      </c>
      <c r="AB42" s="22">
        <v>65165</v>
      </c>
      <c r="AC42" s="22">
        <v>122645</v>
      </c>
    </row>
    <row r="43" spans="1:29">
      <c r="A43" t="s">
        <v>60</v>
      </c>
      <c r="B43" t="s">
        <v>151</v>
      </c>
      <c r="C43" t="s">
        <v>31</v>
      </c>
      <c r="D43" t="s">
        <v>152</v>
      </c>
      <c r="E43" t="s">
        <v>471</v>
      </c>
      <c r="F43" t="s">
        <v>472</v>
      </c>
      <c r="G43" t="s">
        <v>104</v>
      </c>
      <c r="H43" t="s">
        <v>123</v>
      </c>
      <c r="I43" t="s">
        <v>155</v>
      </c>
      <c r="J43" t="s">
        <v>60</v>
      </c>
      <c r="K43" t="s">
        <v>473</v>
      </c>
      <c r="L43" t="s">
        <v>109</v>
      </c>
      <c r="M43" t="s">
        <v>474</v>
      </c>
      <c r="N43" s="21">
        <v>46015.333333333343</v>
      </c>
      <c r="O43" s="21">
        <v>46015.540277777778</v>
      </c>
      <c r="P43" t="s">
        <v>111</v>
      </c>
      <c r="Q43" t="s">
        <v>112</v>
      </c>
      <c r="R43" t="s">
        <v>113</v>
      </c>
      <c r="S43" t="s">
        <v>475</v>
      </c>
      <c r="T43" t="s">
        <v>115</v>
      </c>
      <c r="U43" t="s">
        <v>476</v>
      </c>
      <c r="V43" t="s">
        <v>129</v>
      </c>
      <c r="W43" t="s">
        <v>118</v>
      </c>
      <c r="X43" t="s">
        <v>309</v>
      </c>
      <c r="Y43" s="22">
        <v>1</v>
      </c>
      <c r="Z43" s="22">
        <v>0</v>
      </c>
      <c r="AA43" s="22">
        <v>122645</v>
      </c>
      <c r="AB43" s="22">
        <v>65165</v>
      </c>
      <c r="AC43" s="22">
        <v>122645</v>
      </c>
    </row>
    <row r="44" spans="1:29">
      <c r="A44" t="s">
        <v>60</v>
      </c>
      <c r="B44" t="s">
        <v>151</v>
      </c>
      <c r="C44" t="s">
        <v>31</v>
      </c>
      <c r="D44" t="s">
        <v>477</v>
      </c>
      <c r="E44" t="s">
        <v>478</v>
      </c>
      <c r="F44" t="s">
        <v>479</v>
      </c>
      <c r="G44" t="s">
        <v>104</v>
      </c>
      <c r="H44" t="s">
        <v>123</v>
      </c>
      <c r="I44" t="s">
        <v>155</v>
      </c>
      <c r="J44" t="s">
        <v>480</v>
      </c>
      <c r="K44" t="s">
        <v>481</v>
      </c>
      <c r="L44" t="s">
        <v>109</v>
      </c>
      <c r="M44" t="s">
        <v>482</v>
      </c>
      <c r="N44" s="21">
        <v>46015.333333333343</v>
      </c>
      <c r="O44" s="21">
        <v>46017.665972222218</v>
      </c>
      <c r="P44" t="s">
        <v>111</v>
      </c>
      <c r="Q44" t="s">
        <v>112</v>
      </c>
      <c r="R44" t="s">
        <v>113</v>
      </c>
      <c r="S44" t="s">
        <v>483</v>
      </c>
      <c r="T44" t="s">
        <v>115</v>
      </c>
      <c r="U44" t="s">
        <v>484</v>
      </c>
      <c r="V44" t="s">
        <v>185</v>
      </c>
      <c r="W44" t="s">
        <v>118</v>
      </c>
      <c r="X44" t="s">
        <v>336</v>
      </c>
      <c r="Y44" s="22">
        <v>1</v>
      </c>
      <c r="Z44" s="22">
        <v>0</v>
      </c>
      <c r="AA44" s="22">
        <v>122645</v>
      </c>
      <c r="AB44" s="22">
        <v>65165</v>
      </c>
      <c r="AC44" s="22">
        <v>122645</v>
      </c>
    </row>
    <row r="45" spans="1:29">
      <c r="A45" t="s">
        <v>60</v>
      </c>
      <c r="B45" t="s">
        <v>151</v>
      </c>
      <c r="C45" t="s">
        <v>31</v>
      </c>
      <c r="D45" t="s">
        <v>485</v>
      </c>
      <c r="E45" t="s">
        <v>486</v>
      </c>
      <c r="F45" t="s">
        <v>487</v>
      </c>
      <c r="G45" t="s">
        <v>104</v>
      </c>
      <c r="H45" t="s">
        <v>123</v>
      </c>
      <c r="I45" t="s">
        <v>155</v>
      </c>
      <c r="J45" t="s">
        <v>488</v>
      </c>
      <c r="K45" t="s">
        <v>489</v>
      </c>
      <c r="L45" t="s">
        <v>109</v>
      </c>
      <c r="M45" t="s">
        <v>490</v>
      </c>
      <c r="N45" s="21">
        <v>46015.333333333343</v>
      </c>
      <c r="O45" s="21">
        <v>46015.580555555563</v>
      </c>
      <c r="P45" t="s">
        <v>111</v>
      </c>
      <c r="Q45" t="s">
        <v>112</v>
      </c>
      <c r="R45" t="s">
        <v>113</v>
      </c>
      <c r="S45" t="s">
        <v>491</v>
      </c>
      <c r="T45" t="s">
        <v>115</v>
      </c>
      <c r="U45" t="s">
        <v>492</v>
      </c>
      <c r="V45" t="s">
        <v>129</v>
      </c>
      <c r="W45" t="s">
        <v>118</v>
      </c>
      <c r="X45" t="s">
        <v>327</v>
      </c>
      <c r="Y45" s="22">
        <v>1</v>
      </c>
      <c r="Z45" s="22">
        <v>0</v>
      </c>
      <c r="AA45" s="22">
        <v>122645</v>
      </c>
      <c r="AB45" s="22">
        <v>65165</v>
      </c>
      <c r="AC45" s="22">
        <v>122645</v>
      </c>
    </row>
    <row r="46" spans="1:29">
      <c r="A46" t="s">
        <v>60</v>
      </c>
      <c r="B46" t="s">
        <v>151</v>
      </c>
      <c r="C46" t="s">
        <v>31</v>
      </c>
      <c r="D46" t="s">
        <v>493</v>
      </c>
      <c r="E46" t="s">
        <v>494</v>
      </c>
      <c r="F46" t="s">
        <v>495</v>
      </c>
      <c r="G46" t="s">
        <v>104</v>
      </c>
      <c r="H46" t="s">
        <v>123</v>
      </c>
      <c r="I46" t="s">
        <v>155</v>
      </c>
      <c r="J46" t="s">
        <v>496</v>
      </c>
      <c r="K46" t="s">
        <v>497</v>
      </c>
      <c r="L46" t="s">
        <v>109</v>
      </c>
      <c r="M46" t="s">
        <v>498</v>
      </c>
      <c r="N46" s="21">
        <v>46015.333333333343</v>
      </c>
      <c r="O46" s="21">
        <v>46015.527083333327</v>
      </c>
      <c r="P46" t="s">
        <v>111</v>
      </c>
      <c r="Q46" t="s">
        <v>112</v>
      </c>
      <c r="R46" t="s">
        <v>113</v>
      </c>
      <c r="S46" t="s">
        <v>499</v>
      </c>
      <c r="T46" t="s">
        <v>115</v>
      </c>
      <c r="U46" t="s">
        <v>500</v>
      </c>
      <c r="V46" t="s">
        <v>129</v>
      </c>
      <c r="W46" t="s">
        <v>118</v>
      </c>
      <c r="X46" t="s">
        <v>318</v>
      </c>
      <c r="Y46" s="22">
        <v>1</v>
      </c>
      <c r="Z46" s="22">
        <v>0</v>
      </c>
      <c r="AA46" s="22">
        <v>122645</v>
      </c>
      <c r="AB46" s="22">
        <v>65165</v>
      </c>
      <c r="AC46" s="22">
        <v>122645</v>
      </c>
    </row>
    <row r="47" spans="1:29">
      <c r="A47" t="s">
        <v>60</v>
      </c>
      <c r="B47" t="s">
        <v>151</v>
      </c>
      <c r="C47" t="s">
        <v>31</v>
      </c>
      <c r="D47" t="s">
        <v>501</v>
      </c>
      <c r="E47" t="s">
        <v>502</v>
      </c>
      <c r="F47" t="s">
        <v>503</v>
      </c>
      <c r="G47" t="s">
        <v>104</v>
      </c>
      <c r="H47" t="s">
        <v>123</v>
      </c>
      <c r="I47" t="s">
        <v>155</v>
      </c>
      <c r="J47" t="s">
        <v>504</v>
      </c>
      <c r="K47" t="s">
        <v>505</v>
      </c>
      <c r="L47" t="s">
        <v>109</v>
      </c>
      <c r="M47" t="s">
        <v>506</v>
      </c>
      <c r="N47" s="21">
        <v>46015.333333333343</v>
      </c>
      <c r="O47" s="21">
        <v>46017.661805555559</v>
      </c>
      <c r="P47" t="s">
        <v>111</v>
      </c>
      <c r="Q47" t="s">
        <v>112</v>
      </c>
      <c r="R47" t="s">
        <v>113</v>
      </c>
      <c r="S47" t="s">
        <v>507</v>
      </c>
      <c r="T47" t="s">
        <v>115</v>
      </c>
      <c r="U47" t="s">
        <v>508</v>
      </c>
      <c r="V47" t="s">
        <v>185</v>
      </c>
      <c r="W47" t="s">
        <v>118</v>
      </c>
      <c r="X47" t="s">
        <v>327</v>
      </c>
      <c r="Y47" s="22">
        <v>1</v>
      </c>
      <c r="Z47" s="22">
        <v>0</v>
      </c>
      <c r="AA47" s="22">
        <v>122645</v>
      </c>
      <c r="AB47" s="22">
        <v>65165</v>
      </c>
      <c r="AC47" s="22">
        <v>122645</v>
      </c>
    </row>
    <row r="48" spans="1:29">
      <c r="A48" t="s">
        <v>60</v>
      </c>
      <c r="B48" t="s">
        <v>151</v>
      </c>
      <c r="C48" t="s">
        <v>31</v>
      </c>
      <c r="D48" t="s">
        <v>509</v>
      </c>
      <c r="E48" t="s">
        <v>510</v>
      </c>
      <c r="F48" t="s">
        <v>511</v>
      </c>
      <c r="G48" t="s">
        <v>104</v>
      </c>
      <c r="H48" t="s">
        <v>123</v>
      </c>
      <c r="I48" t="s">
        <v>155</v>
      </c>
      <c r="J48" t="s">
        <v>512</v>
      </c>
      <c r="K48" t="s">
        <v>513</v>
      </c>
      <c r="L48" t="s">
        <v>109</v>
      </c>
      <c r="M48" t="s">
        <v>514</v>
      </c>
      <c r="N48" s="21">
        <v>46015.333333333343</v>
      </c>
      <c r="O48" s="21">
        <v>46021.472916666673</v>
      </c>
      <c r="P48" t="s">
        <v>111</v>
      </c>
      <c r="Q48" t="s">
        <v>112</v>
      </c>
      <c r="R48" t="s">
        <v>515</v>
      </c>
      <c r="S48" t="s">
        <v>516</v>
      </c>
      <c r="T48" t="s">
        <v>115</v>
      </c>
      <c r="U48" t="s">
        <v>517</v>
      </c>
      <c r="V48" t="s">
        <v>117</v>
      </c>
      <c r="W48" t="s">
        <v>118</v>
      </c>
      <c r="X48" t="s">
        <v>458</v>
      </c>
      <c r="Y48" s="22">
        <v>1</v>
      </c>
      <c r="Z48" s="22">
        <v>0</v>
      </c>
      <c r="AA48" s="22">
        <v>122645</v>
      </c>
      <c r="AB48" s="22">
        <v>65165</v>
      </c>
      <c r="AC48" s="22">
        <v>122645</v>
      </c>
    </row>
    <row r="49" spans="1:29">
      <c r="A49" t="s">
        <v>60</v>
      </c>
      <c r="B49" t="s">
        <v>151</v>
      </c>
      <c r="C49" t="s">
        <v>31</v>
      </c>
      <c r="D49" t="s">
        <v>509</v>
      </c>
      <c r="E49" t="s">
        <v>518</v>
      </c>
      <c r="F49" t="s">
        <v>519</v>
      </c>
      <c r="G49" t="s">
        <v>104</v>
      </c>
      <c r="H49" t="s">
        <v>123</v>
      </c>
      <c r="I49" t="s">
        <v>155</v>
      </c>
      <c r="J49" t="s">
        <v>512</v>
      </c>
      <c r="K49" t="s">
        <v>520</v>
      </c>
      <c r="L49" t="s">
        <v>109</v>
      </c>
      <c r="M49" t="s">
        <v>521</v>
      </c>
      <c r="N49" s="21">
        <v>46015.333333333343</v>
      </c>
      <c r="O49" s="21">
        <v>46021.61041666667</v>
      </c>
      <c r="P49" t="s">
        <v>111</v>
      </c>
      <c r="Q49" t="s">
        <v>112</v>
      </c>
      <c r="R49" t="s">
        <v>113</v>
      </c>
      <c r="S49" t="s">
        <v>522</v>
      </c>
      <c r="T49" t="s">
        <v>115</v>
      </c>
      <c r="U49" t="s">
        <v>523</v>
      </c>
      <c r="V49" t="s">
        <v>117</v>
      </c>
      <c r="W49" t="s">
        <v>118</v>
      </c>
      <c r="X49" t="s">
        <v>458</v>
      </c>
      <c r="Y49" s="22">
        <v>1</v>
      </c>
      <c r="Z49" s="22">
        <v>0</v>
      </c>
      <c r="AA49" s="22">
        <v>122645</v>
      </c>
      <c r="AB49" s="22">
        <v>65165</v>
      </c>
      <c r="AC49" s="22">
        <v>122645</v>
      </c>
    </row>
    <row r="50" spans="1:29">
      <c r="A50" t="s">
        <v>60</v>
      </c>
      <c r="B50" t="s">
        <v>151</v>
      </c>
      <c r="C50" t="s">
        <v>31</v>
      </c>
      <c r="D50" t="s">
        <v>524</v>
      </c>
      <c r="E50" t="s">
        <v>525</v>
      </c>
      <c r="F50" t="s">
        <v>526</v>
      </c>
      <c r="G50" t="s">
        <v>104</v>
      </c>
      <c r="H50" t="s">
        <v>123</v>
      </c>
      <c r="I50" t="s">
        <v>155</v>
      </c>
      <c r="J50" t="s">
        <v>527</v>
      </c>
      <c r="K50" t="s">
        <v>528</v>
      </c>
      <c r="L50" t="s">
        <v>109</v>
      </c>
      <c r="M50" t="s">
        <v>529</v>
      </c>
      <c r="N50" s="21">
        <v>46015.333333333343</v>
      </c>
      <c r="O50" s="21">
        <v>46020.78402777778</v>
      </c>
      <c r="P50" t="s">
        <v>111</v>
      </c>
      <c r="Q50" t="s">
        <v>112</v>
      </c>
      <c r="R50" t="s">
        <v>113</v>
      </c>
      <c r="S50" t="s">
        <v>530</v>
      </c>
      <c r="T50" t="s">
        <v>115</v>
      </c>
      <c r="U50" t="s">
        <v>531</v>
      </c>
      <c r="V50" t="s">
        <v>117</v>
      </c>
      <c r="W50" t="s">
        <v>118</v>
      </c>
      <c r="X50" t="s">
        <v>309</v>
      </c>
      <c r="Y50" s="22">
        <v>1</v>
      </c>
      <c r="Z50" s="22">
        <v>0</v>
      </c>
      <c r="AA50" s="22">
        <v>122645</v>
      </c>
      <c r="AB50" s="22">
        <v>65165</v>
      </c>
      <c r="AC50" s="22">
        <v>122645</v>
      </c>
    </row>
    <row r="51" spans="1:29">
      <c r="A51" t="s">
        <v>50</v>
      </c>
      <c r="B51" t="s">
        <v>131</v>
      </c>
      <c r="C51" t="s">
        <v>35</v>
      </c>
      <c r="D51" t="s">
        <v>532</v>
      </c>
      <c r="E51" t="s">
        <v>533</v>
      </c>
      <c r="F51" t="s">
        <v>534</v>
      </c>
      <c r="G51" t="s">
        <v>104</v>
      </c>
      <c r="H51" t="s">
        <v>123</v>
      </c>
      <c r="I51" t="s">
        <v>535</v>
      </c>
      <c r="J51" t="s">
        <v>50</v>
      </c>
      <c r="K51" t="s">
        <v>536</v>
      </c>
      <c r="L51" t="s">
        <v>109</v>
      </c>
      <c r="M51" t="s">
        <v>537</v>
      </c>
      <c r="N51" s="21">
        <v>46015.333333333343</v>
      </c>
      <c r="O51" s="21">
        <v>46017.571527777778</v>
      </c>
      <c r="P51" t="s">
        <v>111</v>
      </c>
      <c r="Q51" t="s">
        <v>112</v>
      </c>
      <c r="R51" t="s">
        <v>113</v>
      </c>
      <c r="S51" t="s">
        <v>538</v>
      </c>
      <c r="T51" t="s">
        <v>115</v>
      </c>
      <c r="U51" t="s">
        <v>539</v>
      </c>
      <c r="V51" t="s">
        <v>129</v>
      </c>
      <c r="W51" t="s">
        <v>118</v>
      </c>
      <c r="X51" t="s">
        <v>540</v>
      </c>
      <c r="Y51" s="22">
        <v>1</v>
      </c>
      <c r="Z51" s="22">
        <v>0</v>
      </c>
      <c r="AA51" s="22">
        <v>122645</v>
      </c>
      <c r="AB51" s="22">
        <v>65165</v>
      </c>
      <c r="AC51" s="22">
        <v>122645</v>
      </c>
    </row>
    <row r="52" spans="1:29">
      <c r="A52" t="s">
        <v>50</v>
      </c>
      <c r="B52" t="s">
        <v>131</v>
      </c>
      <c r="C52" t="s">
        <v>35</v>
      </c>
      <c r="D52" t="s">
        <v>541</v>
      </c>
      <c r="E52" t="s">
        <v>542</v>
      </c>
      <c r="F52" t="s">
        <v>543</v>
      </c>
      <c r="G52" t="s">
        <v>104</v>
      </c>
      <c r="H52" t="s">
        <v>123</v>
      </c>
      <c r="I52" t="s">
        <v>535</v>
      </c>
      <c r="J52" t="s">
        <v>544</v>
      </c>
      <c r="K52" t="s">
        <v>545</v>
      </c>
      <c r="L52" t="s">
        <v>109</v>
      </c>
      <c r="M52" t="s">
        <v>546</v>
      </c>
      <c r="N52" s="21">
        <v>46015.333333333343</v>
      </c>
      <c r="O52" s="21">
        <v>46020.606249999997</v>
      </c>
      <c r="P52" t="s">
        <v>111</v>
      </c>
      <c r="Q52" t="s">
        <v>112</v>
      </c>
      <c r="R52" t="s">
        <v>113</v>
      </c>
      <c r="S52" t="s">
        <v>547</v>
      </c>
      <c r="T52" t="s">
        <v>115</v>
      </c>
      <c r="U52" t="s">
        <v>548</v>
      </c>
      <c r="V52" t="s">
        <v>185</v>
      </c>
      <c r="W52" t="s">
        <v>118</v>
      </c>
      <c r="X52" t="s">
        <v>540</v>
      </c>
      <c r="Y52" s="22">
        <v>1</v>
      </c>
      <c r="Z52" s="22">
        <v>0</v>
      </c>
      <c r="AA52" s="22">
        <v>122645</v>
      </c>
      <c r="AB52" s="22">
        <v>65165</v>
      </c>
      <c r="AC52" s="22">
        <v>122645</v>
      </c>
    </row>
    <row r="53" spans="1:29">
      <c r="A53" t="s">
        <v>71</v>
      </c>
      <c r="B53" t="s">
        <v>228</v>
      </c>
      <c r="C53" t="s">
        <v>53</v>
      </c>
      <c r="D53" t="s">
        <v>549</v>
      </c>
      <c r="E53" t="s">
        <v>550</v>
      </c>
      <c r="F53" t="s">
        <v>551</v>
      </c>
      <c r="G53" t="s">
        <v>104</v>
      </c>
      <c r="H53" t="s">
        <v>123</v>
      </c>
      <c r="I53" t="s">
        <v>179</v>
      </c>
      <c r="J53" t="s">
        <v>552</v>
      </c>
      <c r="K53" t="s">
        <v>553</v>
      </c>
      <c r="L53" t="s">
        <v>109</v>
      </c>
      <c r="M53" t="s">
        <v>554</v>
      </c>
      <c r="N53" s="21">
        <v>46015.333333333343</v>
      </c>
      <c r="O53" s="21">
        <v>46020.597916666673</v>
      </c>
      <c r="P53" t="s">
        <v>111</v>
      </c>
      <c r="Q53" t="s">
        <v>112</v>
      </c>
      <c r="R53" t="s">
        <v>113</v>
      </c>
      <c r="S53" t="s">
        <v>555</v>
      </c>
      <c r="T53" t="s">
        <v>115</v>
      </c>
      <c r="U53" t="s">
        <v>556</v>
      </c>
      <c r="V53" t="s">
        <v>276</v>
      </c>
      <c r="W53" t="s">
        <v>118</v>
      </c>
      <c r="X53" t="s">
        <v>430</v>
      </c>
      <c r="Y53" s="22">
        <v>1</v>
      </c>
      <c r="Z53" s="22">
        <v>0</v>
      </c>
      <c r="AA53" s="22">
        <v>122645</v>
      </c>
      <c r="AB53" s="22">
        <v>65165</v>
      </c>
      <c r="AC53" s="22">
        <v>122645</v>
      </c>
    </row>
    <row r="54" spans="1:29">
      <c r="A54" t="s">
        <v>46</v>
      </c>
      <c r="B54" t="s">
        <v>239</v>
      </c>
      <c r="C54" t="s">
        <v>47</v>
      </c>
      <c r="D54" t="s">
        <v>557</v>
      </c>
      <c r="E54" t="s">
        <v>558</v>
      </c>
      <c r="F54" t="s">
        <v>559</v>
      </c>
      <c r="G54" t="s">
        <v>104</v>
      </c>
      <c r="H54" t="s">
        <v>123</v>
      </c>
      <c r="I54" t="s">
        <v>560</v>
      </c>
      <c r="J54" t="s">
        <v>65</v>
      </c>
      <c r="K54" t="s">
        <v>561</v>
      </c>
      <c r="L54" t="s">
        <v>109</v>
      </c>
      <c r="M54" t="s">
        <v>562</v>
      </c>
      <c r="N54" s="21">
        <v>46015.333333333343</v>
      </c>
      <c r="O54" s="21">
        <v>46017.495138888888</v>
      </c>
      <c r="P54" t="s">
        <v>111</v>
      </c>
      <c r="Q54" t="s">
        <v>112</v>
      </c>
      <c r="R54" t="s">
        <v>113</v>
      </c>
      <c r="S54" t="s">
        <v>563</v>
      </c>
      <c r="T54" t="s">
        <v>115</v>
      </c>
      <c r="U54" t="s">
        <v>564</v>
      </c>
      <c r="V54" t="s">
        <v>276</v>
      </c>
      <c r="W54" t="s">
        <v>118</v>
      </c>
      <c r="X54" t="s">
        <v>565</v>
      </c>
      <c r="Y54" s="22">
        <v>1</v>
      </c>
      <c r="Z54" s="22">
        <v>0</v>
      </c>
      <c r="AA54" s="22">
        <v>122645</v>
      </c>
      <c r="AB54" s="22">
        <v>65165</v>
      </c>
      <c r="AC54" s="22">
        <v>122645</v>
      </c>
    </row>
    <row r="55" spans="1:29">
      <c r="A55" t="s">
        <v>46</v>
      </c>
      <c r="B55" t="s">
        <v>239</v>
      </c>
      <c r="C55" t="s">
        <v>47</v>
      </c>
      <c r="D55" t="s">
        <v>557</v>
      </c>
      <c r="E55" t="s">
        <v>566</v>
      </c>
      <c r="F55" t="s">
        <v>567</v>
      </c>
      <c r="G55" t="s">
        <v>104</v>
      </c>
      <c r="H55" t="s">
        <v>123</v>
      </c>
      <c r="I55" t="s">
        <v>560</v>
      </c>
      <c r="J55" t="s">
        <v>65</v>
      </c>
      <c r="K55" t="s">
        <v>568</v>
      </c>
      <c r="L55" t="s">
        <v>109</v>
      </c>
      <c r="M55" t="s">
        <v>569</v>
      </c>
      <c r="N55" s="21">
        <v>46015.333333333343</v>
      </c>
      <c r="O55" s="21">
        <v>46017.710416666669</v>
      </c>
      <c r="P55" t="s">
        <v>111</v>
      </c>
      <c r="Q55" t="s">
        <v>112</v>
      </c>
      <c r="R55" t="s">
        <v>113</v>
      </c>
      <c r="S55" t="s">
        <v>570</v>
      </c>
      <c r="T55" t="s">
        <v>115</v>
      </c>
      <c r="U55" t="s">
        <v>571</v>
      </c>
      <c r="V55" t="s">
        <v>276</v>
      </c>
      <c r="W55" t="s">
        <v>118</v>
      </c>
      <c r="X55" t="s">
        <v>565</v>
      </c>
      <c r="Y55" s="22">
        <v>1</v>
      </c>
      <c r="Z55" s="22">
        <v>0</v>
      </c>
      <c r="AA55" s="22">
        <v>122645</v>
      </c>
      <c r="AB55" s="22">
        <v>65165</v>
      </c>
      <c r="AC55" s="22">
        <v>122645</v>
      </c>
    </row>
    <row r="56" spans="1:29">
      <c r="A56" t="s">
        <v>46</v>
      </c>
      <c r="B56" t="s">
        <v>239</v>
      </c>
      <c r="C56" t="s">
        <v>47</v>
      </c>
      <c r="D56" t="s">
        <v>572</v>
      </c>
      <c r="E56" t="s">
        <v>573</v>
      </c>
      <c r="F56" t="s">
        <v>574</v>
      </c>
      <c r="G56" t="s">
        <v>104</v>
      </c>
      <c r="H56" t="s">
        <v>123</v>
      </c>
      <c r="I56" t="s">
        <v>560</v>
      </c>
      <c r="J56" t="s">
        <v>575</v>
      </c>
      <c r="K56" t="s">
        <v>576</v>
      </c>
      <c r="L56" t="s">
        <v>109</v>
      </c>
      <c r="M56" t="s">
        <v>577</v>
      </c>
      <c r="N56" s="21">
        <v>46015.333333333343</v>
      </c>
      <c r="O56" s="21">
        <v>46020.506944444453</v>
      </c>
      <c r="P56" t="s">
        <v>111</v>
      </c>
      <c r="Q56" t="s">
        <v>112</v>
      </c>
      <c r="R56" t="s">
        <v>113</v>
      </c>
      <c r="S56" t="s">
        <v>578</v>
      </c>
      <c r="T56" t="s">
        <v>115</v>
      </c>
      <c r="U56" t="s">
        <v>579</v>
      </c>
      <c r="V56" t="s">
        <v>276</v>
      </c>
      <c r="W56" t="s">
        <v>118</v>
      </c>
      <c r="X56" t="s">
        <v>565</v>
      </c>
      <c r="Y56" s="22">
        <v>1</v>
      </c>
      <c r="Z56" s="22">
        <v>0</v>
      </c>
      <c r="AA56" s="22">
        <v>122645</v>
      </c>
      <c r="AB56" s="22">
        <v>65165</v>
      </c>
      <c r="AC56" s="22">
        <v>122645</v>
      </c>
    </row>
    <row r="57" spans="1:29">
      <c r="A57" t="s">
        <v>63</v>
      </c>
      <c r="B57" t="s">
        <v>239</v>
      </c>
      <c r="C57" t="s">
        <v>47</v>
      </c>
      <c r="D57" t="s">
        <v>142</v>
      </c>
      <c r="E57" t="s">
        <v>580</v>
      </c>
      <c r="F57" t="s">
        <v>581</v>
      </c>
      <c r="G57" t="s">
        <v>104</v>
      </c>
      <c r="H57" t="s">
        <v>123</v>
      </c>
      <c r="I57" t="s">
        <v>145</v>
      </c>
      <c r="J57" t="s">
        <v>63</v>
      </c>
      <c r="K57" t="s">
        <v>582</v>
      </c>
      <c r="L57" t="s">
        <v>109</v>
      </c>
      <c r="M57" t="s">
        <v>583</v>
      </c>
      <c r="N57" s="21">
        <v>46015.333333333343</v>
      </c>
      <c r="O57" s="21">
        <v>46017.691666666673</v>
      </c>
      <c r="P57" t="s">
        <v>111</v>
      </c>
      <c r="Q57" t="s">
        <v>112</v>
      </c>
      <c r="R57" t="s">
        <v>113</v>
      </c>
      <c r="S57" t="s">
        <v>584</v>
      </c>
      <c r="T57" t="s">
        <v>115</v>
      </c>
      <c r="U57" t="s">
        <v>585</v>
      </c>
      <c r="V57" t="s">
        <v>129</v>
      </c>
      <c r="W57" t="s">
        <v>118</v>
      </c>
      <c r="X57" t="s">
        <v>294</v>
      </c>
      <c r="Y57" s="22">
        <v>1</v>
      </c>
      <c r="Z57" s="22">
        <v>0</v>
      </c>
      <c r="AA57" s="22">
        <v>122645</v>
      </c>
      <c r="AB57" s="22">
        <v>65165</v>
      </c>
      <c r="AC57" s="22">
        <v>122645</v>
      </c>
    </row>
    <row r="58" spans="1:29">
      <c r="A58" t="s">
        <v>63</v>
      </c>
      <c r="B58" t="s">
        <v>239</v>
      </c>
      <c r="C58" t="s">
        <v>47</v>
      </c>
      <c r="D58" t="s">
        <v>142</v>
      </c>
      <c r="E58" t="s">
        <v>586</v>
      </c>
      <c r="F58" t="s">
        <v>587</v>
      </c>
      <c r="G58" t="s">
        <v>104</v>
      </c>
      <c r="H58" t="s">
        <v>123</v>
      </c>
      <c r="I58" t="s">
        <v>145</v>
      </c>
      <c r="J58" t="s">
        <v>63</v>
      </c>
      <c r="K58" t="s">
        <v>588</v>
      </c>
      <c r="L58" t="s">
        <v>109</v>
      </c>
      <c r="M58" t="s">
        <v>589</v>
      </c>
      <c r="N58" s="21">
        <v>46015.333333333343</v>
      </c>
      <c r="O58" s="21">
        <v>46015.586111111108</v>
      </c>
      <c r="P58" t="s">
        <v>111</v>
      </c>
      <c r="Q58" t="s">
        <v>112</v>
      </c>
      <c r="R58" t="s">
        <v>113</v>
      </c>
      <c r="S58" t="s">
        <v>590</v>
      </c>
      <c r="T58" t="s">
        <v>115</v>
      </c>
      <c r="U58" t="s">
        <v>591</v>
      </c>
      <c r="V58" t="s">
        <v>129</v>
      </c>
      <c r="W58" t="s">
        <v>118</v>
      </c>
      <c r="X58" t="s">
        <v>150</v>
      </c>
      <c r="Y58" s="22">
        <v>1</v>
      </c>
      <c r="Z58" s="22">
        <v>0</v>
      </c>
      <c r="AA58" s="22">
        <v>122645</v>
      </c>
      <c r="AB58" s="22">
        <v>65165</v>
      </c>
      <c r="AC58" s="22">
        <v>122645</v>
      </c>
    </row>
    <row r="59" spans="1:29">
      <c r="A59" t="s">
        <v>63</v>
      </c>
      <c r="B59" t="s">
        <v>239</v>
      </c>
      <c r="C59" t="s">
        <v>47</v>
      </c>
      <c r="D59" t="s">
        <v>142</v>
      </c>
      <c r="E59" t="s">
        <v>592</v>
      </c>
      <c r="F59" t="s">
        <v>593</v>
      </c>
      <c r="G59" t="s">
        <v>104</v>
      </c>
      <c r="H59" t="s">
        <v>123</v>
      </c>
      <c r="I59" t="s">
        <v>145</v>
      </c>
      <c r="J59" t="s">
        <v>63</v>
      </c>
      <c r="K59" t="s">
        <v>594</v>
      </c>
      <c r="L59" t="s">
        <v>109</v>
      </c>
      <c r="M59" t="s">
        <v>595</v>
      </c>
      <c r="N59" s="21">
        <v>46015.333333333343</v>
      </c>
      <c r="O59" s="21">
        <v>46017.490277777782</v>
      </c>
      <c r="P59" t="s">
        <v>111</v>
      </c>
      <c r="Q59" t="s">
        <v>112</v>
      </c>
      <c r="R59" t="s">
        <v>113</v>
      </c>
      <c r="S59" t="s">
        <v>584</v>
      </c>
      <c r="T59" t="s">
        <v>115</v>
      </c>
      <c r="U59" t="s">
        <v>596</v>
      </c>
      <c r="V59" t="s">
        <v>129</v>
      </c>
      <c r="W59" t="s">
        <v>118</v>
      </c>
      <c r="X59" t="s">
        <v>294</v>
      </c>
      <c r="Y59" s="22">
        <v>1</v>
      </c>
      <c r="Z59" s="22">
        <v>0</v>
      </c>
      <c r="AA59" s="22">
        <v>122645</v>
      </c>
      <c r="AB59" s="22">
        <v>65165</v>
      </c>
      <c r="AC59" s="22">
        <v>122645</v>
      </c>
    </row>
    <row r="60" spans="1:29">
      <c r="A60" t="s">
        <v>51</v>
      </c>
      <c r="B60" t="s">
        <v>175</v>
      </c>
      <c r="C60" t="s">
        <v>43</v>
      </c>
      <c r="D60" t="s">
        <v>277</v>
      </c>
      <c r="E60" t="s">
        <v>597</v>
      </c>
      <c r="F60" t="s">
        <v>598</v>
      </c>
      <c r="G60" t="s">
        <v>104</v>
      </c>
      <c r="H60" t="s">
        <v>123</v>
      </c>
      <c r="I60" t="s">
        <v>280</v>
      </c>
      <c r="J60" t="s">
        <v>51</v>
      </c>
      <c r="K60" t="s">
        <v>599</v>
      </c>
      <c r="L60" t="s">
        <v>109</v>
      </c>
      <c r="M60" t="s">
        <v>600</v>
      </c>
      <c r="N60" s="21">
        <v>46015.333333333343</v>
      </c>
      <c r="O60" s="21">
        <v>46017.659722222219</v>
      </c>
      <c r="P60" t="s">
        <v>111</v>
      </c>
      <c r="Q60" t="s">
        <v>112</v>
      </c>
      <c r="R60" t="s">
        <v>113</v>
      </c>
      <c r="S60" t="s">
        <v>601</v>
      </c>
      <c r="T60" t="s">
        <v>115</v>
      </c>
      <c r="U60" t="s">
        <v>602</v>
      </c>
      <c r="V60" t="s">
        <v>129</v>
      </c>
      <c r="W60" t="s">
        <v>118</v>
      </c>
      <c r="X60" t="s">
        <v>285</v>
      </c>
      <c r="Y60" s="22">
        <v>1</v>
      </c>
      <c r="Z60" s="22">
        <v>0</v>
      </c>
      <c r="AA60" s="22">
        <v>122645</v>
      </c>
      <c r="AB60" s="22">
        <v>65165</v>
      </c>
      <c r="AC60" s="22">
        <v>122645</v>
      </c>
    </row>
    <row r="61" spans="1:29">
      <c r="A61" t="s">
        <v>51</v>
      </c>
      <c r="B61" t="s">
        <v>175</v>
      </c>
      <c r="C61" t="s">
        <v>43</v>
      </c>
      <c r="D61" t="s">
        <v>603</v>
      </c>
      <c r="E61" t="s">
        <v>604</v>
      </c>
      <c r="F61" t="s">
        <v>605</v>
      </c>
      <c r="G61" t="s">
        <v>104</v>
      </c>
      <c r="H61" t="s">
        <v>123</v>
      </c>
      <c r="I61" t="s">
        <v>280</v>
      </c>
      <c r="J61" t="s">
        <v>606</v>
      </c>
      <c r="K61" t="s">
        <v>607</v>
      </c>
      <c r="L61" t="s">
        <v>109</v>
      </c>
      <c r="M61" t="s">
        <v>608</v>
      </c>
      <c r="N61" s="21">
        <v>46015.333333333343</v>
      </c>
      <c r="O61" s="21">
        <v>46021.479861111111</v>
      </c>
      <c r="P61" t="s">
        <v>111</v>
      </c>
      <c r="Q61" t="s">
        <v>112</v>
      </c>
      <c r="R61" t="s">
        <v>113</v>
      </c>
      <c r="S61" t="s">
        <v>609</v>
      </c>
      <c r="T61" t="s">
        <v>115</v>
      </c>
      <c r="U61" t="s">
        <v>610</v>
      </c>
      <c r="V61" t="s">
        <v>117</v>
      </c>
      <c r="W61" t="s">
        <v>118</v>
      </c>
      <c r="X61" t="s">
        <v>611</v>
      </c>
      <c r="Y61" s="22">
        <v>1</v>
      </c>
      <c r="Z61" s="22">
        <v>0</v>
      </c>
      <c r="AA61" s="22">
        <v>122645</v>
      </c>
      <c r="AB61" s="22">
        <v>65165</v>
      </c>
      <c r="AC61" s="22">
        <v>122645</v>
      </c>
    </row>
    <row r="62" spans="1:29">
      <c r="A62" t="s">
        <v>64</v>
      </c>
      <c r="B62" t="s">
        <v>612</v>
      </c>
      <c r="C62" t="s">
        <v>58</v>
      </c>
      <c r="D62" t="s">
        <v>613</v>
      </c>
      <c r="E62" t="s">
        <v>614</v>
      </c>
      <c r="F62" t="s">
        <v>615</v>
      </c>
      <c r="G62" t="s">
        <v>104</v>
      </c>
      <c r="H62" t="s">
        <v>123</v>
      </c>
      <c r="I62" t="s">
        <v>616</v>
      </c>
      <c r="J62" t="s">
        <v>617</v>
      </c>
      <c r="K62" t="s">
        <v>618</v>
      </c>
      <c r="L62" t="s">
        <v>109</v>
      </c>
      <c r="M62" t="s">
        <v>619</v>
      </c>
      <c r="N62" s="21">
        <v>46015.333333333343</v>
      </c>
      <c r="O62" s="21">
        <v>46017.598611111112</v>
      </c>
      <c r="P62" t="s">
        <v>111</v>
      </c>
      <c r="Q62" t="s">
        <v>112</v>
      </c>
      <c r="R62" t="s">
        <v>113</v>
      </c>
      <c r="S62" t="s">
        <v>620</v>
      </c>
      <c r="T62" t="s">
        <v>115</v>
      </c>
      <c r="U62" t="s">
        <v>621</v>
      </c>
      <c r="V62" t="s">
        <v>185</v>
      </c>
      <c r="W62" t="s">
        <v>118</v>
      </c>
      <c r="X62" t="s">
        <v>622</v>
      </c>
      <c r="Y62" s="22">
        <v>1</v>
      </c>
      <c r="Z62" s="22">
        <v>0</v>
      </c>
      <c r="AA62" s="22">
        <v>122645</v>
      </c>
      <c r="AB62" s="22">
        <v>65165</v>
      </c>
      <c r="AC62" s="22">
        <v>122645</v>
      </c>
    </row>
    <row r="63" spans="1:29">
      <c r="A63" t="s">
        <v>64</v>
      </c>
      <c r="B63" t="s">
        <v>612</v>
      </c>
      <c r="C63" t="s">
        <v>58</v>
      </c>
      <c r="D63" t="s">
        <v>623</v>
      </c>
      <c r="E63" t="s">
        <v>624</v>
      </c>
      <c r="F63" t="s">
        <v>625</v>
      </c>
      <c r="G63" t="s">
        <v>104</v>
      </c>
      <c r="H63" t="s">
        <v>123</v>
      </c>
      <c r="I63" t="s">
        <v>626</v>
      </c>
      <c r="J63" t="s">
        <v>64</v>
      </c>
      <c r="K63" t="s">
        <v>627</v>
      </c>
      <c r="L63" t="s">
        <v>109</v>
      </c>
      <c r="M63" t="s">
        <v>628</v>
      </c>
      <c r="N63" s="21">
        <v>46015.333333333343</v>
      </c>
      <c r="O63" s="21">
        <v>46015.552777777782</v>
      </c>
      <c r="P63" t="s">
        <v>111</v>
      </c>
      <c r="Q63" t="s">
        <v>112</v>
      </c>
      <c r="R63" t="s">
        <v>113</v>
      </c>
      <c r="S63" t="s">
        <v>629</v>
      </c>
      <c r="T63" t="s">
        <v>115</v>
      </c>
      <c r="U63" t="s">
        <v>630</v>
      </c>
      <c r="V63" t="s">
        <v>129</v>
      </c>
      <c r="W63" t="s">
        <v>118</v>
      </c>
      <c r="X63" t="s">
        <v>631</v>
      </c>
      <c r="Y63" s="22">
        <v>1</v>
      </c>
      <c r="Z63" s="22">
        <v>0</v>
      </c>
      <c r="AA63" s="22">
        <v>122645</v>
      </c>
      <c r="AB63" s="22">
        <v>65165</v>
      </c>
      <c r="AC63" s="22">
        <v>122645</v>
      </c>
    </row>
    <row r="64" spans="1:29">
      <c r="A64" t="s">
        <v>64</v>
      </c>
      <c r="B64" t="s">
        <v>612</v>
      </c>
      <c r="C64" t="s">
        <v>58</v>
      </c>
      <c r="D64" t="s">
        <v>623</v>
      </c>
      <c r="E64" t="s">
        <v>632</v>
      </c>
      <c r="F64" t="s">
        <v>633</v>
      </c>
      <c r="G64" t="s">
        <v>104</v>
      </c>
      <c r="H64" t="s">
        <v>123</v>
      </c>
      <c r="I64" t="s">
        <v>626</v>
      </c>
      <c r="J64" t="s">
        <v>64</v>
      </c>
      <c r="K64" t="s">
        <v>634</v>
      </c>
      <c r="L64" t="s">
        <v>109</v>
      </c>
      <c r="M64" t="s">
        <v>635</v>
      </c>
      <c r="N64" s="21">
        <v>46015.333333333343</v>
      </c>
      <c r="O64" s="21">
        <v>46017.505555555559</v>
      </c>
      <c r="P64" t="s">
        <v>111</v>
      </c>
      <c r="Q64" t="s">
        <v>112</v>
      </c>
      <c r="R64" t="s">
        <v>113</v>
      </c>
      <c r="S64" t="s">
        <v>636</v>
      </c>
      <c r="T64" t="s">
        <v>115</v>
      </c>
      <c r="U64" t="s">
        <v>637</v>
      </c>
      <c r="V64" t="s">
        <v>129</v>
      </c>
      <c r="W64" t="s">
        <v>118</v>
      </c>
      <c r="X64" t="s">
        <v>631</v>
      </c>
      <c r="Y64" s="22">
        <v>1</v>
      </c>
      <c r="Z64" s="22">
        <v>0</v>
      </c>
      <c r="AA64" s="22">
        <v>122645</v>
      </c>
      <c r="AB64" s="22">
        <v>65165</v>
      </c>
      <c r="AC64" s="22">
        <v>122645</v>
      </c>
    </row>
    <row r="65" spans="1:29">
      <c r="A65" t="s">
        <v>42</v>
      </c>
      <c r="B65" t="s">
        <v>175</v>
      </c>
      <c r="C65" t="s">
        <v>43</v>
      </c>
      <c r="D65" t="s">
        <v>638</v>
      </c>
      <c r="E65" t="s">
        <v>639</v>
      </c>
      <c r="F65" t="s">
        <v>640</v>
      </c>
      <c r="G65" t="s">
        <v>104</v>
      </c>
      <c r="H65" t="s">
        <v>123</v>
      </c>
      <c r="I65" t="s">
        <v>382</v>
      </c>
      <c r="J65" t="s">
        <v>641</v>
      </c>
      <c r="K65" t="s">
        <v>642</v>
      </c>
      <c r="L65" t="s">
        <v>109</v>
      </c>
      <c r="M65" t="s">
        <v>643</v>
      </c>
      <c r="N65" s="21">
        <v>46015.333333333343</v>
      </c>
      <c r="O65" s="21">
        <v>46017.708333333343</v>
      </c>
      <c r="P65" t="s">
        <v>111</v>
      </c>
      <c r="Q65" t="s">
        <v>112</v>
      </c>
      <c r="R65" t="s">
        <v>113</v>
      </c>
      <c r="S65" t="s">
        <v>644</v>
      </c>
      <c r="T65" t="s">
        <v>115</v>
      </c>
      <c r="U65" t="s">
        <v>645</v>
      </c>
      <c r="V65" t="s">
        <v>129</v>
      </c>
      <c r="W65" t="s">
        <v>118</v>
      </c>
      <c r="X65" t="s">
        <v>646</v>
      </c>
      <c r="Y65" s="22">
        <v>1</v>
      </c>
      <c r="Z65" s="22">
        <v>0</v>
      </c>
      <c r="AA65" s="22">
        <v>122645</v>
      </c>
      <c r="AB65" s="22">
        <v>65165</v>
      </c>
      <c r="AC65" s="22">
        <v>122645</v>
      </c>
    </row>
    <row r="66" spans="1:29">
      <c r="A66" t="s">
        <v>42</v>
      </c>
      <c r="B66" t="s">
        <v>175</v>
      </c>
      <c r="C66" t="s">
        <v>43</v>
      </c>
      <c r="D66" t="s">
        <v>397</v>
      </c>
      <c r="E66" t="s">
        <v>647</v>
      </c>
      <c r="F66" t="s">
        <v>648</v>
      </c>
      <c r="G66" t="s">
        <v>104</v>
      </c>
      <c r="H66" t="s">
        <v>123</v>
      </c>
      <c r="I66" t="s">
        <v>382</v>
      </c>
      <c r="J66" t="s">
        <v>400</v>
      </c>
      <c r="K66" t="s">
        <v>649</v>
      </c>
      <c r="L66" t="s">
        <v>109</v>
      </c>
      <c r="M66" t="s">
        <v>650</v>
      </c>
      <c r="N66" s="21">
        <v>46015.333333333343</v>
      </c>
      <c r="O66" s="21">
        <v>46017.56527777778</v>
      </c>
      <c r="P66" t="s">
        <v>111</v>
      </c>
      <c r="Q66" t="s">
        <v>112</v>
      </c>
      <c r="R66" t="s">
        <v>113</v>
      </c>
      <c r="S66" t="s">
        <v>651</v>
      </c>
      <c r="T66" t="s">
        <v>115</v>
      </c>
      <c r="U66" t="s">
        <v>652</v>
      </c>
      <c r="V66" t="s">
        <v>185</v>
      </c>
      <c r="W66" t="s">
        <v>118</v>
      </c>
      <c r="X66" t="s">
        <v>653</v>
      </c>
      <c r="Y66" s="22">
        <v>1</v>
      </c>
      <c r="Z66" s="22">
        <v>0</v>
      </c>
      <c r="AA66" s="22">
        <v>122645</v>
      </c>
      <c r="AB66" s="22">
        <v>65165</v>
      </c>
      <c r="AC66" s="22">
        <v>122645</v>
      </c>
    </row>
    <row r="67" spans="1:29">
      <c r="A67" t="s">
        <v>56</v>
      </c>
      <c r="B67" t="s">
        <v>228</v>
      </c>
      <c r="C67" t="s">
        <v>53</v>
      </c>
      <c r="D67" t="s">
        <v>654</v>
      </c>
      <c r="E67" t="s">
        <v>655</v>
      </c>
      <c r="F67" t="s">
        <v>656</v>
      </c>
      <c r="G67" t="s">
        <v>104</v>
      </c>
      <c r="H67" t="s">
        <v>123</v>
      </c>
      <c r="I67" t="s">
        <v>657</v>
      </c>
      <c r="J67" t="s">
        <v>658</v>
      </c>
      <c r="K67" t="s">
        <v>659</v>
      </c>
      <c r="L67" t="s">
        <v>109</v>
      </c>
      <c r="M67" t="s">
        <v>660</v>
      </c>
      <c r="N67" s="21">
        <v>46015.333333333343</v>
      </c>
      <c r="O67" s="21">
        <v>46017.686111111107</v>
      </c>
      <c r="P67" t="s">
        <v>111</v>
      </c>
      <c r="Q67" t="s">
        <v>112</v>
      </c>
      <c r="R67" t="s">
        <v>113</v>
      </c>
      <c r="S67" t="s">
        <v>661</v>
      </c>
      <c r="T67" t="s">
        <v>115</v>
      </c>
      <c r="U67" t="s">
        <v>662</v>
      </c>
      <c r="V67" t="s">
        <v>276</v>
      </c>
      <c r="W67" t="s">
        <v>118</v>
      </c>
      <c r="X67" t="s">
        <v>663</v>
      </c>
      <c r="Y67" s="22">
        <v>1</v>
      </c>
      <c r="Z67" s="22">
        <v>0</v>
      </c>
      <c r="AA67" s="22">
        <v>122645</v>
      </c>
      <c r="AB67" s="22">
        <v>65165</v>
      </c>
      <c r="AC67" s="22">
        <v>122645</v>
      </c>
    </row>
    <row r="68" spans="1:29">
      <c r="A68" t="s">
        <v>46</v>
      </c>
      <c r="B68" t="s">
        <v>239</v>
      </c>
      <c r="C68" t="s">
        <v>47</v>
      </c>
      <c r="D68" t="s">
        <v>406</v>
      </c>
      <c r="E68" t="s">
        <v>664</v>
      </c>
      <c r="F68" t="s">
        <v>665</v>
      </c>
      <c r="G68" t="s">
        <v>104</v>
      </c>
      <c r="H68" t="s">
        <v>123</v>
      </c>
      <c r="I68" t="s">
        <v>243</v>
      </c>
      <c r="J68" t="s">
        <v>46</v>
      </c>
      <c r="K68" t="s">
        <v>666</v>
      </c>
      <c r="L68" t="s">
        <v>109</v>
      </c>
      <c r="M68" t="s">
        <v>667</v>
      </c>
      <c r="N68" s="21">
        <v>46015.333333333343</v>
      </c>
      <c r="O68" s="21">
        <v>46015.536111111112</v>
      </c>
      <c r="P68" t="s">
        <v>111</v>
      </c>
      <c r="Q68" t="s">
        <v>112</v>
      </c>
      <c r="R68" t="s">
        <v>113</v>
      </c>
      <c r="S68" t="s">
        <v>668</v>
      </c>
      <c r="T68" t="s">
        <v>115</v>
      </c>
      <c r="U68" t="s">
        <v>669</v>
      </c>
      <c r="V68" t="s">
        <v>129</v>
      </c>
      <c r="W68" t="s">
        <v>118</v>
      </c>
      <c r="X68" t="s">
        <v>413</v>
      </c>
      <c r="Y68" s="22">
        <v>1</v>
      </c>
      <c r="Z68" s="22">
        <v>0</v>
      </c>
      <c r="AA68" s="22">
        <v>122645</v>
      </c>
      <c r="AB68" s="22">
        <v>65165</v>
      </c>
      <c r="AC68" s="22">
        <v>122645</v>
      </c>
    </row>
    <row r="69" spans="1:29">
      <c r="A69" t="s">
        <v>46</v>
      </c>
      <c r="B69" t="s">
        <v>239</v>
      </c>
      <c r="C69" t="s">
        <v>47</v>
      </c>
      <c r="D69" t="s">
        <v>240</v>
      </c>
      <c r="E69" t="s">
        <v>670</v>
      </c>
      <c r="F69" t="s">
        <v>671</v>
      </c>
      <c r="G69" t="s">
        <v>104</v>
      </c>
      <c r="H69" t="s">
        <v>123</v>
      </c>
      <c r="I69" t="s">
        <v>243</v>
      </c>
      <c r="J69" t="s">
        <v>244</v>
      </c>
      <c r="K69" t="s">
        <v>672</v>
      </c>
      <c r="L69" t="s">
        <v>109</v>
      </c>
      <c r="M69" t="s">
        <v>673</v>
      </c>
      <c r="N69" s="21">
        <v>46015.333333333343</v>
      </c>
      <c r="O69" s="21">
        <v>46015.556944444441</v>
      </c>
      <c r="P69" t="s">
        <v>111</v>
      </c>
      <c r="Q69" t="s">
        <v>112</v>
      </c>
      <c r="R69" t="s">
        <v>113</v>
      </c>
      <c r="S69" t="s">
        <v>674</v>
      </c>
      <c r="T69" t="s">
        <v>115</v>
      </c>
      <c r="U69" t="s">
        <v>675</v>
      </c>
      <c r="V69" t="s">
        <v>129</v>
      </c>
      <c r="W69" t="s">
        <v>118</v>
      </c>
      <c r="X69" t="s">
        <v>249</v>
      </c>
      <c r="Y69" s="22">
        <v>1</v>
      </c>
      <c r="Z69" s="22">
        <v>0</v>
      </c>
      <c r="AA69" s="22">
        <v>122645</v>
      </c>
      <c r="AB69" s="22">
        <v>65165</v>
      </c>
      <c r="AC69" s="22">
        <v>122645</v>
      </c>
    </row>
    <row r="70" spans="1:29">
      <c r="A70" t="s">
        <v>46</v>
      </c>
      <c r="B70" t="s">
        <v>239</v>
      </c>
      <c r="C70" t="s">
        <v>47</v>
      </c>
      <c r="D70" t="s">
        <v>240</v>
      </c>
      <c r="E70" t="s">
        <v>676</v>
      </c>
      <c r="F70" t="s">
        <v>677</v>
      </c>
      <c r="G70" t="s">
        <v>104</v>
      </c>
      <c r="H70" t="s">
        <v>123</v>
      </c>
      <c r="I70" t="s">
        <v>243</v>
      </c>
      <c r="J70" t="s">
        <v>244</v>
      </c>
      <c r="K70" t="s">
        <v>678</v>
      </c>
      <c r="L70" t="s">
        <v>109</v>
      </c>
      <c r="M70" t="s">
        <v>679</v>
      </c>
      <c r="N70" s="21">
        <v>46015.333333333343</v>
      </c>
      <c r="O70" s="21">
        <v>46017.681944444441</v>
      </c>
      <c r="P70" t="s">
        <v>111</v>
      </c>
      <c r="Q70" t="s">
        <v>112</v>
      </c>
      <c r="R70" t="s">
        <v>113</v>
      </c>
      <c r="S70" t="s">
        <v>680</v>
      </c>
      <c r="T70" t="s">
        <v>115</v>
      </c>
      <c r="U70" t="s">
        <v>681</v>
      </c>
      <c r="V70" t="s">
        <v>129</v>
      </c>
      <c r="W70" t="s">
        <v>118</v>
      </c>
      <c r="X70" t="s">
        <v>421</v>
      </c>
      <c r="Y70" s="22">
        <v>1</v>
      </c>
      <c r="Z70" s="22">
        <v>0</v>
      </c>
      <c r="AA70" s="22">
        <v>122645</v>
      </c>
      <c r="AB70" s="22">
        <v>65165</v>
      </c>
      <c r="AC70" s="22">
        <v>122645</v>
      </c>
    </row>
    <row r="71" spans="1:29">
      <c r="A71" t="s">
        <v>46</v>
      </c>
      <c r="B71" t="s">
        <v>239</v>
      </c>
      <c r="C71" t="s">
        <v>47</v>
      </c>
      <c r="D71" t="s">
        <v>682</v>
      </c>
      <c r="E71" t="s">
        <v>683</v>
      </c>
      <c r="F71" t="s">
        <v>684</v>
      </c>
      <c r="G71" t="s">
        <v>104</v>
      </c>
      <c r="H71" t="s">
        <v>123</v>
      </c>
      <c r="I71" t="s">
        <v>243</v>
      </c>
      <c r="J71" t="s">
        <v>685</v>
      </c>
      <c r="K71" t="s">
        <v>686</v>
      </c>
      <c r="L71" t="s">
        <v>109</v>
      </c>
      <c r="M71" t="s">
        <v>687</v>
      </c>
      <c r="N71" s="21">
        <v>46015.333333333343</v>
      </c>
      <c r="O71" s="21">
        <v>46017.6875</v>
      </c>
      <c r="P71" t="s">
        <v>111</v>
      </c>
      <c r="Q71" t="s">
        <v>112</v>
      </c>
      <c r="R71" t="s">
        <v>113</v>
      </c>
      <c r="S71" t="s">
        <v>688</v>
      </c>
      <c r="T71" t="s">
        <v>115</v>
      </c>
      <c r="U71" t="s">
        <v>689</v>
      </c>
      <c r="V71" t="s">
        <v>185</v>
      </c>
      <c r="W71" t="s">
        <v>118</v>
      </c>
      <c r="X71" t="s">
        <v>690</v>
      </c>
      <c r="Y71" s="22">
        <v>1</v>
      </c>
      <c r="Z71" s="22">
        <v>0</v>
      </c>
      <c r="AA71" s="22">
        <v>122645</v>
      </c>
      <c r="AB71" s="22">
        <v>65165</v>
      </c>
      <c r="AC71" s="22">
        <v>122645</v>
      </c>
    </row>
    <row r="72" spans="1:29">
      <c r="A72" t="s">
        <v>64</v>
      </c>
      <c r="B72" t="s">
        <v>612</v>
      </c>
      <c r="C72" t="s">
        <v>58</v>
      </c>
      <c r="D72" t="s">
        <v>691</v>
      </c>
      <c r="E72" t="s">
        <v>692</v>
      </c>
      <c r="F72" t="s">
        <v>693</v>
      </c>
      <c r="G72" t="s">
        <v>104</v>
      </c>
      <c r="H72" t="s">
        <v>123</v>
      </c>
      <c r="I72" t="s">
        <v>243</v>
      </c>
      <c r="J72" t="s">
        <v>694</v>
      </c>
      <c r="K72" t="s">
        <v>695</v>
      </c>
      <c r="L72" t="s">
        <v>109</v>
      </c>
      <c r="M72" t="s">
        <v>696</v>
      </c>
      <c r="N72" s="21">
        <v>46015.333333333343</v>
      </c>
      <c r="O72" s="21">
        <v>46017.944444444453</v>
      </c>
      <c r="P72" t="s">
        <v>111</v>
      </c>
      <c r="Q72" t="s">
        <v>112</v>
      </c>
      <c r="R72" t="s">
        <v>113</v>
      </c>
      <c r="S72" t="s">
        <v>697</v>
      </c>
      <c r="T72" t="s">
        <v>115</v>
      </c>
      <c r="U72" t="s">
        <v>698</v>
      </c>
      <c r="V72" t="s">
        <v>185</v>
      </c>
      <c r="W72" t="s">
        <v>118</v>
      </c>
      <c r="X72" t="s">
        <v>699</v>
      </c>
      <c r="Y72" s="22">
        <v>1</v>
      </c>
      <c r="Z72" s="22">
        <v>0</v>
      </c>
      <c r="AA72" s="22">
        <v>122645</v>
      </c>
      <c r="AB72" s="22">
        <v>65165</v>
      </c>
      <c r="AC72" s="22">
        <v>122645</v>
      </c>
    </row>
    <row r="73" spans="1:29">
      <c r="A73" t="s">
        <v>46</v>
      </c>
      <c r="B73" t="s">
        <v>239</v>
      </c>
      <c r="C73" t="s">
        <v>47</v>
      </c>
      <c r="D73" t="s">
        <v>414</v>
      </c>
      <c r="E73" t="s">
        <v>700</v>
      </c>
      <c r="F73" t="s">
        <v>701</v>
      </c>
      <c r="G73" t="s">
        <v>104</v>
      </c>
      <c r="H73" t="s">
        <v>123</v>
      </c>
      <c r="I73" t="s">
        <v>243</v>
      </c>
      <c r="J73" t="s">
        <v>417</v>
      </c>
      <c r="K73" t="s">
        <v>702</v>
      </c>
      <c r="L73" t="s">
        <v>109</v>
      </c>
      <c r="M73" t="s">
        <v>703</v>
      </c>
      <c r="N73" s="21">
        <v>46015.333333333343</v>
      </c>
      <c r="O73" s="21">
        <v>46017.729166666657</v>
      </c>
      <c r="P73" t="s">
        <v>111</v>
      </c>
      <c r="Q73" t="s">
        <v>112</v>
      </c>
      <c r="R73" t="s">
        <v>113</v>
      </c>
      <c r="S73" t="s">
        <v>704</v>
      </c>
      <c r="T73" t="s">
        <v>115</v>
      </c>
      <c r="U73" t="s">
        <v>705</v>
      </c>
      <c r="V73" t="s">
        <v>185</v>
      </c>
      <c r="W73" t="s">
        <v>118</v>
      </c>
      <c r="X73" t="s">
        <v>249</v>
      </c>
      <c r="Y73" s="22">
        <v>1</v>
      </c>
      <c r="Z73" s="22">
        <v>0</v>
      </c>
      <c r="AA73" s="22">
        <v>122645</v>
      </c>
      <c r="AB73" s="22">
        <v>65165</v>
      </c>
      <c r="AC73" s="22">
        <v>122645</v>
      </c>
    </row>
    <row r="74" spans="1:29">
      <c r="A74" t="s">
        <v>71</v>
      </c>
      <c r="B74" t="s">
        <v>228</v>
      </c>
      <c r="C74" t="s">
        <v>53</v>
      </c>
      <c r="D74" t="s">
        <v>706</v>
      </c>
      <c r="E74" t="s">
        <v>707</v>
      </c>
      <c r="F74" t="s">
        <v>708</v>
      </c>
      <c r="G74" t="s">
        <v>104</v>
      </c>
      <c r="H74" t="s">
        <v>123</v>
      </c>
      <c r="I74" t="s">
        <v>425</v>
      </c>
      <c r="J74" t="s">
        <v>709</v>
      </c>
      <c r="K74" t="s">
        <v>710</v>
      </c>
      <c r="L74" t="s">
        <v>109</v>
      </c>
      <c r="M74" t="s">
        <v>711</v>
      </c>
      <c r="N74" s="21">
        <v>46015.333333333343</v>
      </c>
      <c r="O74" s="21">
        <v>46017.738888888889</v>
      </c>
      <c r="P74" t="s">
        <v>111</v>
      </c>
      <c r="Q74" t="s">
        <v>112</v>
      </c>
      <c r="R74" t="s">
        <v>113</v>
      </c>
      <c r="S74" t="s">
        <v>712</v>
      </c>
      <c r="T74" t="s">
        <v>115</v>
      </c>
      <c r="U74" t="s">
        <v>713</v>
      </c>
      <c r="V74" t="s">
        <v>185</v>
      </c>
      <c r="W74" t="s">
        <v>118</v>
      </c>
      <c r="X74" t="s">
        <v>714</v>
      </c>
      <c r="Y74" s="22">
        <v>1</v>
      </c>
      <c r="Z74" s="22">
        <v>0</v>
      </c>
      <c r="AA74" s="22">
        <v>122645</v>
      </c>
      <c r="AB74" s="22">
        <v>65165</v>
      </c>
      <c r="AC74" s="22">
        <v>122645</v>
      </c>
    </row>
  </sheetData>
  <autoFilter ref="A1:AC74" xr:uid="{00000000-0009-0000-0000-000002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 xmlns="648a81c2-4916-475b-a000-96bb15999f48">
      <Url xsi:nil="true"/>
      <Description xsi:nil="true"/>
    </link>
    <lcf76f155ced4ddcb4097134ff3c332f xmlns="648a81c2-4916-475b-a000-96bb15999f48">
      <Terms xmlns="http://schemas.microsoft.com/office/infopath/2007/PartnerControls"/>
    </lcf76f155ced4ddcb4097134ff3c332f>
    <TaxCatchAll xmlns="119b5519-82bb-48ea-a3c2-7e5a29ecf86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7D0FCA-3703-4673-A476-490AC086E459}">
  <ds:schemaRefs>
    <ds:schemaRef ds:uri="http://schemas.microsoft.com/sharepoint/v3/contenttype/forms"/>
  </ds:schemaRefs>
</ds:datastoreItem>
</file>

<file path=customXml/itemProps2.xml><?xml version="1.0" encoding="utf-8"?>
<ds:datastoreItem xmlns:ds="http://schemas.openxmlformats.org/officeDocument/2006/customXml" ds:itemID="{692F06DA-254F-4314-A4AE-C18DE1E1086F}">
  <ds:schemaRefs>
    <ds:schemaRef ds:uri="http://schemas.microsoft.com/office/2006/metadata/properties"/>
    <ds:schemaRef ds:uri="http://schemas.microsoft.com/office/infopath/2007/PartnerControls"/>
    <ds:schemaRef ds:uri="648a81c2-4916-475b-a000-96bb15999f48"/>
    <ds:schemaRef ds:uri="119b5519-82bb-48ea-a3c2-7e5a29ecf86a"/>
  </ds:schemaRefs>
</ds:datastoreItem>
</file>

<file path=customXml/itemProps3.xml><?xml version="1.0" encoding="utf-8"?>
<ds:datastoreItem xmlns:ds="http://schemas.openxmlformats.org/officeDocument/2006/customXml" ds:itemID="{2490B863-5DD9-41C9-B6DF-7230758518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RESUMEN LIQUIDACIÓN</vt:lpstr>
      <vt:lpstr>BASE FACTURACION 2025</vt:lpstr>
      <vt:lpstr>CENTRO DE COSTOS</vt:lpstr>
      <vt:lpstr>Hoja1</vt:lpstr>
      <vt:lpstr>CAPACITACIONES_APERTURAS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Lini Jhojana Hernandez Mora</cp:lastModifiedBy>
  <dcterms:created xsi:type="dcterms:W3CDTF">2014-05-14T15:22:20Z</dcterms:created>
  <dcterms:modified xsi:type="dcterms:W3CDTF">2026-01-14T20:52:07Z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0x01010053B65F2A1E6B224C9C5044DE90DA3D05</vt:lpwstr>
  </property>
  <property fmtid="{D5CDD505-2E9C-101B-9397-08002B2CF9AE}" pid="3" name="MediaServiceImageTags">
    <vt:lpwstr/>
  </property>
</Properties>
</file>