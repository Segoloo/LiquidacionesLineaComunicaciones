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4" documentId="8_{2606C212-4FBA-4EB3-AE9A-2FE932C10C38}" xr6:coauthVersionLast="47" xr6:coauthVersionMax="47" xr10:uidLastSave="{9D2F0C40-A1B0-4BE2-B2E5-11BE83A8C8B1}"/>
  <bookViews>
    <workbookView xWindow="28680" yWindow="-120" windowWidth="29040" windowHeight="15720" tabRatio="866" xr2:uid="{00000000-000D-0000-FFFF-FFFF00000000}"/>
  </bookViews>
  <sheets>
    <sheet name="RESUMEN LIQUIDACIÓN" sheetId="4" r:id="rId1"/>
    <sheet name="BASE DE LIQUIDACION 2025" sheetId="1" r:id="rId2"/>
    <sheet name="CENTRO DE COSTOS" sheetId="2" state="hidden" r:id="rId3"/>
    <sheet name="Hoja1" sheetId="5" r:id="rId4"/>
    <sheet name="CIERRES" sheetId="3" r:id="rId5"/>
  </sheets>
  <externalReferences>
    <externalReference r:id="rId6"/>
    <externalReference r:id="rId7"/>
    <externalReference r:id="rId8"/>
    <externalReference r:id="rId9"/>
    <externalReference r:id="rId10"/>
  </externalReferences>
  <definedNames>
    <definedName name="_xlnm._FilterDatabase" localSheetId="2" hidden="1">'CENTRO DE COSTOS'!$A$1:$D$23</definedName>
    <definedName name="_xlnm._FilterDatabase" localSheetId="4" hidden="1">CIERRES!$A$1:$AE$82</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9"/>
  <pivotCaches>
    <pivotCache cacheId="476" r:id="rId11"/>
  </pivotCaches>
</workbook>
</file>

<file path=xl/calcChain.xml><?xml version="1.0" encoding="utf-8"?>
<calcChain xmlns="http://schemas.openxmlformats.org/spreadsheetml/2006/main">
  <c r="H5" i="4" l="1"/>
  <c r="I5" i="4" s="1"/>
  <c r="I10" i="4" s="1"/>
  <c r="D6" i="4"/>
  <c r="B6" i="4"/>
  <c r="H10" i="4"/>
  <c r="F2" i="4"/>
  <c r="J5" i="4" l="1"/>
  <c r="J10" i="4" s="1"/>
  <c r="D7" i="4" s="1"/>
  <c r="D8" i="4" s="1"/>
  <c r="D9" i="4" l="1"/>
  <c r="D10" i="4" s="1"/>
  <c r="B9" i="1" l="1"/>
  <c r="C6" i="1"/>
  <c r="C5" i="1"/>
  <c r="C4"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000-000001000000}">
      <text>
        <r>
          <rPr>
            <sz val="11"/>
            <color theme="1"/>
            <rFont val="Calibri"/>
            <family val="2"/>
            <scheme val="minor"/>
          </rPr>
          <t>Zoom</t>
        </r>
      </text>
    </comment>
  </commentList>
</comments>
</file>

<file path=xl/sharedStrings.xml><?xml version="1.0" encoding="utf-8"?>
<sst xmlns="http://schemas.openxmlformats.org/spreadsheetml/2006/main" count="2147" uniqueCount="738">
  <si>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</si>
  <si>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</si>
  <si>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</si>
  <si>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</si>
  <si>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</si>
  <si>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</si>
  <si>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</si>
  <si>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</si>
  <si>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</si>
  <si>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</si>
  <si>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</si>
  <si>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</si>
  <si>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</si>
  <si>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</si>
  <si>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</si>
  <si>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</si>
  <si>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</si>
  <si>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</si>
  <si>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</si>
  <si>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</si>
  <si>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</si>
  <si>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</si>
  <si>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</si>
  <si>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</si>
  <si>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</si>
  <si>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</si>
  <si>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</si>
  <si>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</si>
  <si>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</si>
  <si>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</si>
  <si>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</si>
  <si>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</si>
  <si>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</si>
  <si>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</si>
  <si>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</si>
  <si>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</si>
  <si>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</si>
  <si>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</si>
  <si>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</si>
  <si>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</si>
  <si>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</si>
  <si>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</si>
  <si>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</si>
  <si>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</si>
  <si>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</si>
  <si>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</si>
  <si>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</si>
  <si>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</si>
  <si>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</si>
  <si>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</si>
  <si>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</si>
  <si>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</si>
  <si>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</si>
  <si>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</si>
  <si>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</si>
  <si>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</si>
  <si>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</si>
  <si>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</si>
  <si>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</si>
  <si>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</si>
  <si>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</si>
  <si>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</si>
  <si>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</si>
  <si>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</si>
  <si>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</si>
  <si>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</si>
  <si>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</si>
  <si>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</si>
  <si>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</si>
  <si>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</si>
  <si>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DEPARTAMENTO</t>
  </si>
  <si>
    <t xml:space="preserve">NOMBRE  DEL CB </t>
  </si>
  <si>
    <t>RED</t>
  </si>
  <si>
    <t>FO</t>
  </si>
  <si>
    <t>FECHA ASIGNACION A LINEA COMUNICACIONES</t>
  </si>
  <si>
    <t>FECHA CIERRE DEL TICKET (DD/MM/AAAA HH:MM)</t>
  </si>
  <si>
    <t>ACOMETIDA</t>
  </si>
  <si>
    <t>SOLICITUD</t>
  </si>
  <si>
    <t>FORMATO</t>
  </si>
  <si>
    <t>CADENA</t>
  </si>
  <si>
    <t>ESTADO</t>
  </si>
  <si>
    <t>CAUSAL ESTADO</t>
  </si>
  <si>
    <t>OBSERVACION</t>
  </si>
  <si>
    <t>FORMA DE ATENCION</t>
  </si>
  <si>
    <t>TERMINAL(ES)</t>
  </si>
  <si>
    <t>TIPIFICACION</t>
  </si>
  <si>
    <t>TIPO DE TRAYECTO</t>
  </si>
  <si>
    <t xml:space="preserve">NOMBRE DEL TECNICO </t>
  </si>
  <si>
    <t>DIAS DE VISITA</t>
  </si>
  <si>
    <t>VALOR ACTIVIDAD</t>
  </si>
  <si>
    <t>VALOR TOTAL</t>
  </si>
  <si>
    <t>SUROCCIDENTE Y EJE CAFETERO</t>
  </si>
  <si>
    <t>52001</t>
  </si>
  <si>
    <t>OC CIERRE</t>
  </si>
  <si>
    <t>NARIÑO</t>
  </si>
  <si>
    <t>REDEBAN</t>
  </si>
  <si>
    <t>CIERRE</t>
  </si>
  <si>
    <t>CB UNO A UNO</t>
  </si>
  <si>
    <t>CB NO ENTREGA EQUIPO</t>
  </si>
  <si>
    <t>SOPORTE TELEFONICO</t>
  </si>
  <si>
    <t>TIPO I</t>
  </si>
  <si>
    <t>TERRESTRE</t>
  </si>
  <si>
    <t>NOROCCIDENTE</t>
  </si>
  <si>
    <t>ANTIOQUIA</t>
  </si>
  <si>
    <t>TIPO II</t>
  </si>
  <si>
    <t>TIPO IV</t>
  </si>
  <si>
    <t>PAZ MARTINEZ RICHARD HUMBERTO</t>
  </si>
  <si>
    <t>COSTA</t>
  </si>
  <si>
    <t>5495</t>
  </si>
  <si>
    <t>LC-CS-25-010004</t>
  </si>
  <si>
    <t>3007046864</t>
  </si>
  <si>
    <t>NECHI</t>
  </si>
  <si>
    <t>DISTRICOL PAPELERIA LA 28</t>
  </si>
  <si>
    <t>FO-25-1888729</t>
  </si>
  <si>
    <t>AGREGADOR</t>
  </si>
  <si>
    <t>DISTRICOL</t>
  </si>
  <si>
    <t>EJECUTADO / CANCELADO</t>
  </si>
  <si>
    <t>26/11/2025 SE ESCALA PARA VISITA. CONFIRMAR DATOS PARA LA RECOLECCION DE EQUIPOS | 01/12/2025 SE REALIZA VISITA AL PUNTO PARA CIERRE DE CORRESPONSAL, SE LLEGA AL PUNTO DONDE SE INSTALÓ EL CB PERO LOCAL COMERCIAL SE ENCONTRÓ CERRADO, SE REALIZAN LLAMADAS HASTA QUE SE LOGRÓ COMUNICACION CON EL CLIENTE LA SEÑORA LINA SIERRA QUIEN CONFIRMA QUE EL LOCAL SE ENCIENTRA CERRADO NO ABREN MÁS AL PÚBLICO Y LOS EQUIPOS FUERON ENVIADOS A LA ALIANZA DISTRICOL.</t>
  </si>
  <si>
    <t>VISITA TECNICA</t>
  </si>
  <si>
    <t>SIN INTERVENIR</t>
  </si>
  <si>
    <t>TIPO III</t>
  </si>
  <si>
    <t>GONZALEZ FERRER JESUS ALEXANDER</t>
  </si>
  <si>
    <t>LC-CS-25-010005</t>
  </si>
  <si>
    <t>3007066857</t>
  </si>
  <si>
    <t>DISTRICOL INTER NECHI</t>
  </si>
  <si>
    <t>FO-25-1888720</t>
  </si>
  <si>
    <t>CB CERRADO - DESOCUPADO</t>
  </si>
  <si>
    <t>26/11/2025 SE ESCALA PARA VISITA. CONFIRMAR DATOS PARA LA RECOLECCION DE EQUIPOS | 02/12/2025 SE REALIZA VISITA AL PUNTO PARA CIERRE DE CORRESPONSAL, AL LLEGAR AL PUNTO, DIRECCIÓN DONDE FUE INSTALADO EL CORRESPONSAL SE ENCONTRÓ COMERCIO CERRADO, SE INTENTA COMISIÓN CON EL CLIENTE PERO NO FUE POSIBLE, CONTACTO APAGADOS, SE PREGUNTA EN COMERCIO VECINOS E INDICAN QUE HACE RATO EL CB NO FUNCIONA HAY.</t>
  </si>
  <si>
    <t>NO INTERVENIDA</t>
  </si>
  <si>
    <t>52227</t>
  </si>
  <si>
    <t>LC-CS-25-010006</t>
  </si>
  <si>
    <t>3007073002</t>
  </si>
  <si>
    <t>CUMBAL</t>
  </si>
  <si>
    <t>DISTRICOL EDS CUMBAL</t>
  </si>
  <si>
    <t>FO-25-1888717</t>
  </si>
  <si>
    <t>26/11/2025 SE ESCALA PARA VISITA. CONFIRMAR DATOS PARA LA RECOLECCION DE EQUIPOS | 03/12/2025 SE INTENTÓ REALIZAR COMUNICACIÓN CON LA USUARIA ANTES DEL DESPLAZAMIENTO, PERO NO FUE POSIBLE. AL LLEGAR AL CB, SE ENCUENTRA CERRADO. SE REALIZA NUEVAMENTE LLAMADA A LA USUARIA, QUIEN INFORMA QUE NO SE ENCUENTRA EN EL PUNTO Y ARGUMENTA HABER ENVIADO UN DERECHO DE PETICIÓN A BANCOLOMBIA PARA EVITAR EL CIERRE DEL CB, POR LO QUE NO VA A ENTREGAR LOS ELEMENTOS DEL CORRESPONSAL.</t>
  </si>
  <si>
    <t>LN00S313</t>
  </si>
  <si>
    <t>GUERRERO RAMIREZ OSCAR DARIO</t>
  </si>
  <si>
    <t>SANTANDERES</t>
  </si>
  <si>
    <t>54001</t>
  </si>
  <si>
    <t>LC-CS-25-010007</t>
  </si>
  <si>
    <t>3007064241</t>
  </si>
  <si>
    <t>NORTE DE SANTANDER</t>
  </si>
  <si>
    <t>DISTRICOL VILLAFRAN ESCOBAL</t>
  </si>
  <si>
    <t>FO-25-1888711</t>
  </si>
  <si>
    <t>26/11/2025 SE ESCALA PARA VISITA. CONFIRMAR DATOS PARA LA RECOLECCION DE EQUIPOS | 01/12/2025 SE REALIZA VISITA, COMERCIO NO EXISTE EN LA DIRECCIÓN INDICADA, SE INTENTA CONTACTAR TELEFÓNICAMENTE AL CLIENTE PERO NO RESPONDE EL NÚMERO DE CONTACTO.</t>
  </si>
  <si>
    <t>PACHECO BUITRAGO JAVIER ALONSO</t>
  </si>
  <si>
    <t>CUNDINAMARCA</t>
  </si>
  <si>
    <t>25430</t>
  </si>
  <si>
    <t>LC-CS-25-010010</t>
  </si>
  <si>
    <t>3007060565</t>
  </si>
  <si>
    <t>MADRID</t>
  </si>
  <si>
    <t>BARRIO MADRID MADRID 8</t>
  </si>
  <si>
    <t>FO-25-1888781</t>
  </si>
  <si>
    <t>26/11/2025 SE ESCALA PARA VISITA. CONFIRMAR DATOS PARA LA RECOLECCION DE EQUIPOS | 03/12/2025 SE LLEGA A COMERCIO, INDICA QUE NO FUERON NOTIFICADOS POR BANCOLOMBIA Y NO ENTREGAN EQUIPOS. SE CIERRA.</t>
  </si>
  <si>
    <t>0</t>
  </si>
  <si>
    <t>ARIAS QUILINDO JULIAN</t>
  </si>
  <si>
    <t>23807</t>
  </si>
  <si>
    <t>LC-CS-25-010134</t>
  </si>
  <si>
    <t>3007072859</t>
  </si>
  <si>
    <t>CORDOBA</t>
  </si>
  <si>
    <t>TIERRALTA</t>
  </si>
  <si>
    <t>TIERRALTA 19 MARZO</t>
  </si>
  <si>
    <t>FO-25-1904932</t>
  </si>
  <si>
    <t>UNO A UNO</t>
  </si>
  <si>
    <t>CANCELADO</t>
  </si>
  <si>
    <t>02/12/2025 SE REALIZA COMUNICACIÓN CON LA SEÑORA ZORAIDA NEGRETE QUIEN INDICA NO ENCONTRARSE EN LA LOCALIDAD, SE REALIZA DESPLAZAMIENTO A SITIO Y SE TOMAN LAS EVIDENCIAS CORRESPONDIENTES POR LO CUAL DA CIERRE A LA WO, CLIENTE INDICA COMUNICARSE CON ELLA ANTES PARA PROGRAMAR VISITA | 03/12/2025 SE REALIZA COMUNICACIÓN CON LA SEÑORA ZORAIDA NEGRETE QUIEN INDICA NO ENCONTRARSE EN LA LOCALIDAD, SE REALIZA DESPLAZAMIENTO A SITIO Y SE TOMAN LAS EVIDENCIAS CORRESPONDIENTES POR LO CUAL DA CIERRE A LA WO, CLIENTE INDICA COMUNICARSE CON ELLA ANTES PARA PROGRAMAR VISITA | 03/12/2025 SE REALIZA COMUNICACIÓN CON LA SEÑORA ZORAIDA NEGRETE QUIEN INDICA NO ENCONTRARSE EN LA LOCALIDAD, POR LO CUAL DA CIERRE A LA FO, CLIENTE INDICA COMUNICARSE CON ELLA ANTES PARA PROGRAMAR VISITA</t>
  </si>
  <si>
    <t>MARQUEZ HOYOS JEYSON DANIEL</t>
  </si>
  <si>
    <t>11001</t>
  </si>
  <si>
    <t>LC-CS-25-010140</t>
  </si>
  <si>
    <t>3007014916</t>
  </si>
  <si>
    <t>BARRIO BOSA BETANIA II BOGOTA</t>
  </si>
  <si>
    <t>FO-25-1904919</t>
  </si>
  <si>
    <t>03/12/2025 SE ESCALA PARA VISITA. CONFIRMAR DATOS PARA LA RECOLECCION DE EQUIPOS | 03/12/2025 SE LLEGA AL COMERCIO E INDICAN QUE EL TITULAR SE LLEVÓ LOS EQUIPOS SE PROCEDE A LLAMAR AL NÚMERO #3114504656 PERO NO HAY RESPUESTA</t>
  </si>
  <si>
    <t>1AZZZ228</t>
  </si>
  <si>
    <t>ALARCON AREVALO JOHAN STIVEN</t>
  </si>
  <si>
    <t>5615</t>
  </si>
  <si>
    <t>LC-CS-25-010143</t>
  </si>
  <si>
    <t>3007080483</t>
  </si>
  <si>
    <t>RIONEGRO</t>
  </si>
  <si>
    <t>DISTRICOL ACUNA TIENDA INFANTI</t>
  </si>
  <si>
    <t>FO-25-1904966</t>
  </si>
  <si>
    <t>28/11/2025 SE ESCALA PARA VISITA. CONFIRMAR DATOS PARA LA RECOLECCION DE EQUIPOS | 01/12/2025 SE VISITA PUNTO Y USUARIO MANIFISTA QUÉ YA ENTREGÓ LOS EQUIPOS LA SEMANA PASADA AL ASESOR</t>
  </si>
  <si>
    <t>NA</t>
  </si>
  <si>
    <t>DIAZ ZABALA FRANCIS DUBAN</t>
  </si>
  <si>
    <t>81001</t>
  </si>
  <si>
    <t>LC-CS-25-010148</t>
  </si>
  <si>
    <t>3007070207</t>
  </si>
  <si>
    <t>ARAUCA</t>
  </si>
  <si>
    <t>DISTRICOL CON CELULARES RONDON</t>
  </si>
  <si>
    <t>FO-25-1904957</t>
  </si>
  <si>
    <t>28/11/2025 SE ESCALA PARA VISITA. CONFIRMAR DATOS PARA LA RECOLECCION DE EQUIPOS | 04/12/2025 SE INTENTA LA COMUNICACIÓN CON LOS NÚMEROS DE TELÉFONO QUE INDICA RBM , NO FUE POSIBLE , UNO DE LOS CONTACTOS INDICA QUE ÉL ERA UN EMPLEADO PERO QUE YA NO ESTÁ LABORANDO CON ELLOS Y NO TIENE COMUNICACIÓN , DEBIDO QUE NOS ENCONTRAMOS EN LA ZONA VISITAMOS EL SITIO PERO AL VALIDAR SE ENCUENTRA CERRADO , SE VALIDA CON OTROS COMERCIOS NOS INDICA QUE ELLOS YA SE FUERON Y YA NO HAY SERVICIO, SE EVIDENCIA QUE EL SITIO NO TIENE SERVICIO</t>
  </si>
  <si>
    <t>EF007296</t>
  </si>
  <si>
    <t>TIPO V</t>
  </si>
  <si>
    <t>AEREO</t>
  </si>
  <si>
    <t>HERRERA LUQUE SAUL JAVIER</t>
  </si>
  <si>
    <t>81794</t>
  </si>
  <si>
    <t>LC-CS-25-010149</t>
  </si>
  <si>
    <t>3007062732</t>
  </si>
  <si>
    <t>TAME</t>
  </si>
  <si>
    <t>DISTRICOL YARICELU</t>
  </si>
  <si>
    <t>FO-25-1904944</t>
  </si>
  <si>
    <t>28/11/2025 SE ESCALA PARA VISITA. CONFIRMAR DATOS PARA LA RECOLECCION DE EQUIPOS | 03/12/2025 SE COMUNICA CON EL CLIENTE AL NÚMERO DE TELÉFONO 3102253142 , LA SEÑORITA YARITZA VAQUIRO INDICA QUE LOS EQUIPOS FUERON ENVIADOS A LA CIUDAD DE MEDELLÍN , CLIENTE COMPARTE GUÍA DE ENVÍO DE EQUIPOS</t>
  </si>
  <si>
    <t>5148</t>
  </si>
  <si>
    <t>LC-CS-25-010172</t>
  </si>
  <si>
    <t>3007049930</t>
  </si>
  <si>
    <t>EL CARMEN DE VIBORAL</t>
  </si>
  <si>
    <t>BARRIO HOSPITAL EL CARMEN DE V</t>
  </si>
  <si>
    <t>FO-25-1932768</t>
  </si>
  <si>
    <t>11/12/2025 . | 11/12/2025 SE VISITA DIRECCIÓN Y EN DIRECCIÓN NOS INDICA QUE NO CONOCEN EL SEÑOR MILTO. SE HACEN INTENTOS DE COMUNICACIÓN SIN ÉXITO</t>
  </si>
  <si>
    <t>REMOTAS</t>
  </si>
  <si>
    <t>18592</t>
  </si>
  <si>
    <t>LC-CS-25-010176</t>
  </si>
  <si>
    <t>3007046649</t>
  </si>
  <si>
    <t>CAQUETA</t>
  </si>
  <si>
    <t>PUERTO RICO</t>
  </si>
  <si>
    <t>BARRIO LAS DAMAS PUERTO RICO</t>
  </si>
  <si>
    <t>FO-25-1932739</t>
  </si>
  <si>
    <t>05/12/2025 VISTA EN CALIENTE CLIENTE NO CONTESTA, SE VA A BUZÓN DE VOZ | 05/12/2025 SE LLEGA A LA DIRECCIÓN INDICADA PERO ESTABLECIMIENTO SE ENCUENTRA CERRADO, SE LLAMA AL NÚMERO DE LA ORDEN PERO NADIE CONTESTA.</t>
  </si>
  <si>
    <t>XP007629</t>
  </si>
  <si>
    <t>BERMUDEZ SANCHEZ JOSE NEYBER</t>
  </si>
  <si>
    <t>23001</t>
  </si>
  <si>
    <t>LC-CS-25-010177</t>
  </si>
  <si>
    <t>3007074365</t>
  </si>
  <si>
    <t>BARRIO LA ESMERALDA MONTERIA 1</t>
  </si>
  <si>
    <t>FO-25-1932762</t>
  </si>
  <si>
    <t>06/12/2025 NO SE LOGRA CONTACTAR AL CLIENTE, PROCEDEMOS A DIRIGIRNOS AL SITIO | 06/12/2025 SE LLEGA A LA DIRECCIÓN DEL SITIO CL 26 NO 3W - 04, Y SE ENCUENTRA OTRO NEGOCIO DIFERENTE INFORMAN QUE EL NEGOCIO DEL CB YA LO QUITARON, NO DAN RAZÓN DEL CLIENTE, SE PREGUNTA A NEGOCIOS CERCANOS Y NO SABEN PARA DONDE SE TRASLADARON, SE LLAMA AL CONTÁCTO 3118377386 Y SALE APAGADO, POR TAL RAZÓN SE PROCEDE A FINALIZAR LA TA CON POS ILOCALIZABLES.</t>
  </si>
  <si>
    <t>CASSIANI PEREZ RAUL RAMIRO</t>
  </si>
  <si>
    <t>54172</t>
  </si>
  <si>
    <t>LC-CS-25-010178</t>
  </si>
  <si>
    <t>3007067925</t>
  </si>
  <si>
    <t>CHINACOTA</t>
  </si>
  <si>
    <t>BARRIO EL CENTRO CHINACOTA</t>
  </si>
  <si>
    <t>FO-25-1932750</t>
  </si>
  <si>
    <t>06/12/2025 SE LLAMA AL CLIENTE Y NO SE OBTIENE RESPUESTA SE PROCEDE A VISITA TÉCNICA | 06/12/2025 SE VISITA COMERCIO Y EL CLIENTE NOS INDICA QUE EL DÍA DE AYER COMPENSO Y LLAMO AL BANCO PARA DESBLOQUEO Y LE DIERON EL SIGUIENTE RADICADO 14524362 PARA DESBLOQUEO DEL CB, SE LE INDICA LLAMAR NUEVAMENTE PARA QUE LE ACLAREN EL MOTIVO DEL CIERRE Y VERIFICAR EL DESBLOQUEO DEL CB.</t>
  </si>
  <si>
    <t>TORRES MANTILLA JOSE DANIEL</t>
  </si>
  <si>
    <t>54518</t>
  </si>
  <si>
    <t>LC-CS-25-010179</t>
  </si>
  <si>
    <t>3007016275</t>
  </si>
  <si>
    <t>PAMPLONA</t>
  </si>
  <si>
    <t>BARRIO CALLE REAL PAMPLONA</t>
  </si>
  <si>
    <t>FO-25-1932738</t>
  </si>
  <si>
    <t>05/12/2025 SE LLAMA AL CLIENTE Y NO SE OBTIENE RESPUESTA SE PROCEDE A VISITA TÉCNICA | 05/12/2025 SE VISITA COMERCIO Y EL SEÑOR HERMES NOS INFORMA QUE SE ENCUENTRA EN COMUNICACIÓN CON BANCOLOMBIA PORQUE NO SABE EL MOTIVO DEL CIERRE DEL CORRESPONSAL.</t>
  </si>
  <si>
    <t>86865</t>
  </si>
  <si>
    <t>LC-CS-25-010182</t>
  </si>
  <si>
    <t>3007020573</t>
  </si>
  <si>
    <t>PUTUMAYO</t>
  </si>
  <si>
    <t>VALLE DEL GUAMUEZ</t>
  </si>
  <si>
    <t>CENTRO VALLE DEL GUAMUEZ PUTUM</t>
  </si>
  <si>
    <t>FO-25-1932757</t>
  </si>
  <si>
    <t>RECUPERACION DE EQUIPOS</t>
  </si>
  <si>
    <t>12/12/2025 ESTE CLIENTE YA HABÍA SIDO VISITADO ANTERIORMENTE PERO LA PERSONA ENCARGADA DE LOS EQUIPOS VENDIÓ  EL NEGOCIO Y EL NUEVO DUEÑO NO TENIA CONOCIMIENTO DE EQUIPOS, LA VISITA FUE FALLIDA, EN ESTA OCASIÓN SE LOGRA CONTACTO CON EL CB QUIEN INDICA QUE NO SE ENCUENTRA EN EL MUNICIPIO PERO QUE SI TIENE LOS EQUIPOS, SE VALIDA COMO PODRÍAS REALIZAR LA RECOGIDA, Y  NOS DICE QUE TOCA VALIDAR UNA VEZ REGRESE AL MUNICIPIO, POR LO TANTO SE QUEDA EN CONTACTO CON EL CLIENTE EL SEÑOR CESAR PARA QUE UNA VEZ ESTE DISPONIBLE PODAMOS REALIZAR LA GESTIÓN COMO UN CIERRE VOLUNTARIO Y REALIZAR RECOGIDA A LOS EQUIPOS,</t>
  </si>
  <si>
    <t>HENAO CARDONA DIEGO FERNANDO</t>
  </si>
  <si>
    <t>25307</t>
  </si>
  <si>
    <t>LC-CS-25-010183</t>
  </si>
  <si>
    <t>3007058514</t>
  </si>
  <si>
    <t>GIRARDOT</t>
  </si>
  <si>
    <t>BARRIO SAN JORGE GIRARDOT</t>
  </si>
  <si>
    <t>FO-25-1932778</t>
  </si>
  <si>
    <t>06/12/2025 NO CONTESTAN | 06/12/2025 SE REALIZA VISITA A COMERCIO, SE ENCUENTRA CERRADO, SE TRATA DE CONTACTAR  A LA LÍNEA 3133363722 PERO NO ES POSIBLE CONTACTARLO, SE ESCALA CON EL SUPERVISOR LA NOVEDAD, AUTORIZANDO CIERRE DE LA VISITA.</t>
  </si>
  <si>
    <t>66170</t>
  </si>
  <si>
    <t>LC-CS-25-010185</t>
  </si>
  <si>
    <t>3007076449</t>
  </si>
  <si>
    <t>RISARALDA</t>
  </si>
  <si>
    <t>DOSQUEBRADAS</t>
  </si>
  <si>
    <t>BARRIO FRAILES MONTE BONITO DOSQUEBRADAS</t>
  </si>
  <si>
    <t>FO-25-1932743</t>
  </si>
  <si>
    <t>11/12/2025 SE LLEGA AL PUNTO, EL CLIENTE INDICA NO TIENE TIEMPO PARA ATENDERNOS, INDICA QUE POR FAVOR CUANDO SE VUELVA A VISITAR, AVISAR ANTES DE VISITAR</t>
  </si>
  <si>
    <t>LM0WZ666</t>
  </si>
  <si>
    <t>FRANCO CAÑAVERAL YAMID RAUL</t>
  </si>
  <si>
    <t>66001</t>
  </si>
  <si>
    <t>LC-CS-25-010193</t>
  </si>
  <si>
    <t>3007030806</t>
  </si>
  <si>
    <t>BARRIO LOS ALPES</t>
  </si>
  <si>
    <t>FO-25-1938293</t>
  </si>
  <si>
    <t>05/12/2025 SE ESCALA PARA VISITA. CONFIRMAR DATOS PARA LA RECOLECCION DE EQUIPOS | 11/12/2025 SE LLEGA AL PUNTO, SE ENCUENTRA CERRADO EL CB, SE LLAMA Y NO CONTESTAN, EL VIGILANTE DEL EDIFICIO INDICA QUE CERRARON DESDE EL MEDIO DÍA.</t>
  </si>
  <si>
    <t>BRZZZ257</t>
  </si>
  <si>
    <t>LC-CS-25-010194</t>
  </si>
  <si>
    <t>3007052333</t>
  </si>
  <si>
    <t>BARRIO LAS MARGARITAS BOGOTA</t>
  </si>
  <si>
    <t>FO-25-1938280</t>
  </si>
  <si>
    <t>05/12/2025 SE ESCALA PARA VISITA. CONFIRMAR DATOS PARA LA RECOLECCION DE EQUIPOS | 10/12/2025 COMERCIO CERRADO SE COMUNICA CON EL NÚMERO 3103378080 Y NO HAY RESPUESTA</t>
  </si>
  <si>
    <t>GONZALEZ FANDIÑO SANTIAGO ERNESTO</t>
  </si>
  <si>
    <t>5088</t>
  </si>
  <si>
    <t>LC-CS-25-010200</t>
  </si>
  <si>
    <t>3007066370</t>
  </si>
  <si>
    <t>BELLO</t>
  </si>
  <si>
    <t>DISTRICOL PANADERIA LA CHOCHA</t>
  </si>
  <si>
    <t>FO-25-1938346</t>
  </si>
  <si>
    <t>05/12/2025 SE ESCALA PARA VISITA. CONFIRMAR DATOS PARA LA RECOLECCION DE EQUIPOS | 15/12/2025 SE VISITA COMERCIO Y LA ADMINISTRADORA ME INDICA QUE YA ENVIÓ LOS EQUIPOS A DISTRICOL</t>
  </si>
  <si>
    <t>MARTINEZ TOVAR OSCAR DAVID</t>
  </si>
  <si>
    <t>LC-CS-25-010202</t>
  </si>
  <si>
    <t>3007072820</t>
  </si>
  <si>
    <t>PTM GRUPO CONSTRUCTEK S.A.S BE</t>
  </si>
  <si>
    <t>FO-25-1938367</t>
  </si>
  <si>
    <t>COMCARD - PTM</t>
  </si>
  <si>
    <t>05/12/2025 SE ESCALA PARA VISITA. CONFIRMAR DATOS PARA LA RECOLECCION DE EQUIPOS | 09/12/2025 SE REALIZA LLAMADA TELEFÓNICA AL USUARIO CON EL FIN DE CONFIRMAR EL RETIRO DE LOS EQUIPOS REDEBAN DEL CORRESPONSAL BANCOLOMBIA. EL USUARIO INFORMA QUE ACTUALMENTE LOS EQUIPOS SE ENCUENTRAN EN TARAZÁ, ANTIOQUIA | 15/12/2025 SE REALIZA LLAMADA TELEFÓNICA AL USUARIO PARA CONFIRMAR EL RETIRO DE LOS EQUIPOS ASOCIADOS AL PROCESO DE CIERRE DEL CORRESPONSAL BANCOLOMBIA INDICANDO EL USUARIO QUE LOS EQUIPOS SE ENCUENTRAN EN TARAZÁ ANTIOQUIA Y QUE EN EL MOMENTO NO SE ENCUENTRA EN MEDELLÍN</t>
  </si>
  <si>
    <t>68001</t>
  </si>
  <si>
    <t>LC-CS-25-010203</t>
  </si>
  <si>
    <t>3007064943</t>
  </si>
  <si>
    <t>SANTANDER</t>
  </si>
  <si>
    <t>DISTRICOL LA FORMULA</t>
  </si>
  <si>
    <t>FO-25-1938335</t>
  </si>
  <si>
    <t>05/12/2025 SE ESCALA PARA VISITA. CONFIRMAR DATOS PARA LA RECOLECCION DE EQUIPOS | 06/12/2025 SE HACE PRESENCIA EN COMERCIO SE ENCUENTRA CERRADO SE TRATA DE ESTABLECER COMUNICACIÓN CON EL CLIENTE AL NÚMERO 3165454428 RELACIONADO EN LA ORDEN SIN RESPUESTA</t>
  </si>
  <si>
    <t>COMERCIO CERRADO</t>
  </si>
  <si>
    <t>BARRERA ORTEGA MARLON STWAR</t>
  </si>
  <si>
    <t>8001</t>
  </si>
  <si>
    <t>LC-CS-25-010205</t>
  </si>
  <si>
    <t>3007080994</t>
  </si>
  <si>
    <t>ATLANTICO</t>
  </si>
  <si>
    <t>DISTRICOL Q´CHICHA S.A.S.</t>
  </si>
  <si>
    <t>FO-25-1938325</t>
  </si>
  <si>
    <t>05/12/2025 SE ESCALA PARA VISITA. CONFIRMAR DATOS PARA LA RECOLECCION DE EQUIPOS | 10/12/2025 SE REALIZA LLAMADA A LA SEÑORA HELLEN ALEAN NÚMERO DE CONTACTO 3043763742, EL CUAL SE LE INDICA SOBRE LA VISITA PARA RETIRAR LOS EQUIPOS ,DEL CUAL ELLA AGREGA LOS SGTE: DICE QUE ELLA YA ENVIÓ LOS EQUIPOS POR MEDIO LOGÍSTICO A LOS GESTORES DE LA ALIANZA DISTRICOL ,DICE QUE NO TIENE LOS EQUIPOS EN EL SITIO.</t>
  </si>
  <si>
    <t>PORRAS CASTRO DARLON NASCK</t>
  </si>
  <si>
    <t>76001</t>
  </si>
  <si>
    <t>LC-CS-25-010209</t>
  </si>
  <si>
    <t>3007078927</t>
  </si>
  <si>
    <t>VALLE DEL CAUCA</t>
  </si>
  <si>
    <t>DISTRICOL VALENCIA TABARES</t>
  </si>
  <si>
    <t>FO-25-1938356</t>
  </si>
  <si>
    <t>10/12/2025 SE ESCALA PARA VISITA. CONFIRMAR DATOS PARA LA RECOLECCION DE EQUIPOS | 10/12/2025 SE LLAMA AL COMERCIO EL CORRESPONSAL NO EXISTE SE LLAMA AL NÚMERO 3246335535 CONTESTA EL SEÑOR VÍCTOR HUGO VALENCIA E INFORMA QUE ÉL HIZO LA ENTREGA DE LOS EQUIPOS AL COORDINADOR DE DISTRICCOL CARLOS ALDANA QUE ÉL YA NO TIENE LOS EQUIPOS</t>
  </si>
  <si>
    <t>PALACIOS GOMEZ BRAHIAN ANDRES</t>
  </si>
  <si>
    <t>LC-CS-25-010213</t>
  </si>
  <si>
    <t>3007068926</t>
  </si>
  <si>
    <t>PTM VALLE DEL CAUCA PAGOSYA SE</t>
  </si>
  <si>
    <t>FO-25-1938308</t>
  </si>
  <si>
    <t>05/12/2025 SE ESCALA PARA VISITA. CONFIRMAR DATOS PARA LA RECOLECCION DE EQUIPOS | 11/12/2025 SE VISITA EL COMERCIO ESTA CERRADO, SE LLAMA AL CLIENTE AL NÚMERO 3243579751 PARA VALIDAR SOLICITUD DEL CIERRE DEL CB SIN RESPUESTA, LA VISITA ES FALLIDA, CIERRE NO EXITOSO</t>
  </si>
  <si>
    <t>HERRERA MONAR GEOVANNY</t>
  </si>
  <si>
    <t>76147</t>
  </si>
  <si>
    <t>LC-CS-25-010214</t>
  </si>
  <si>
    <t>3007076540</t>
  </si>
  <si>
    <t>CARTAGO</t>
  </si>
  <si>
    <t>DISTRICOL RAPITIENDA MANA</t>
  </si>
  <si>
    <t>FO-25-1938299</t>
  </si>
  <si>
    <t>05/12/2025 SE ESCALA PARA VISITA. CONFIRMAR DATOS PARA LA RECOLECCION DE EQUIPOS | 10/12/2025 VISITAMOS COMERCIO PERO NO ES POSIBLE RETIRAR LOS EQUIPOS YA QUE ESTA CERRADO REALIZAMOS LLAMADA A LA SRA VANESSA PERO NO CONTESTA LE ESCRIBIMOS POR WHATSAPP PERO NO CONTESTA,REALIZAMOS CIERRE DE ACTIVIDADES YA QUE NO FUE POSIBLE CONTRATAR AL CLIENTE.</t>
  </si>
  <si>
    <t>ARROYAVE CANO MANUEL GUILLERMO</t>
  </si>
  <si>
    <t>LC-CS-25-010216</t>
  </si>
  <si>
    <t>3007039201</t>
  </si>
  <si>
    <t>PTM BOGOTA JURISNET</t>
  </si>
  <si>
    <t>FO-25-1938348</t>
  </si>
  <si>
    <t>05/12/2025 SE ESCALA PARA VISITA. CONFIRMAR DATOS PARA LA RECOLECCION DE EQUIPOS | 09/12/2025 SE LLEGA A LA DIRECCIÓN INDICADA Y SE ENCUENTRA COMERCIO CERRADO SE INTENTA ESTÁ COMUNICACIÓN CON EL #3143301928 PERO NO ES POSIBLE. SE ESPERA 20 MINUTOS PERO COMERCIO CONTINUA CERRADO , SE ESCALA A COORDINAR QUIEN AUTORIZA EL CIERRE DE LA ACTIVIDAD</t>
  </si>
  <si>
    <t>GARCIA PASTRANA KEVIN FERNANDO</t>
  </si>
  <si>
    <t>LC-CS-25-010218</t>
  </si>
  <si>
    <t>3007071783</t>
  </si>
  <si>
    <t>PTM  BOGOTA MISCELANIA Y VARIE</t>
  </si>
  <si>
    <t>FO-25-1938370</t>
  </si>
  <si>
    <t>05/12/2025 SE ESCALA PARA VISITA. CONFIRMAR DATOS PARA LA RECOLECCION DE EQUIPOS | 10/12/2025 SE LLEGA AL COMERCIO PARA RECOGER LOS EQUIPOS POR EL CIERRE EL CORRESPONSAL SE VALÍA CERRADO SE MARCA EL NÚMERO DE CONTACTO 3013809681 FUERA DE SERVICIO.</t>
  </si>
  <si>
    <t>GOMEZ VEGA DAVID SNEYDER</t>
  </si>
  <si>
    <t>LC-CS-25-010224</t>
  </si>
  <si>
    <t>3007058738</t>
  </si>
  <si>
    <t>PTM BOGOTA PUNTOSERVIS CORTES</t>
  </si>
  <si>
    <t>FO-25-1950575</t>
  </si>
  <si>
    <t>11/12/2025 SE ESCALA PARA VISITA. CONFIRMAR DATOS PARA LA RECOLECCION DE EQUIPOS | 12/12/2025 SE VISITA COMERCIO PERO ESTÁ CERRADO. SE LLAMA AL USUARIO, PERO NO CONTESTA</t>
  </si>
  <si>
    <t>LEAL POVEDA YOHAN SEBASTIAN</t>
  </si>
  <si>
    <t>LC-CS-25-010233</t>
  </si>
  <si>
    <t>3007068175</t>
  </si>
  <si>
    <t>PALERMO BOGOTA CUNDINAMARCA</t>
  </si>
  <si>
    <t>FO-25-1978475 | FO-25-1950622</t>
  </si>
  <si>
    <t>[FO-25-1978475] 16/12/2025 CLIENTE INDICA QUE NO PUEDE ATENDER LA VISITA EL DÍA DE HOY QUE REPROGRAMEN PARA OTRO DÍA SE CIERRA EL CASO | 16/12/2025 CLIENTE INDICA QUE NO PUEDE ATENDER LA VISITA EL DÍA DE HOY QUE REPROGRAMEN PARA OTRO DÍA SE CIERRA EL CASO || [FO-25-1950622] 15/12/2025 SE VISITA DIRECCIÓN DADA EN LA ORDEN PARA RETIRAR LOS EQUIPOS, EN EL SITIO LLAMAMOS AL CLIENTE YA QUE EN PREVIOS INTENTOS NO HUBO CONTACTO, SE HABLA CON EL SR DANIEL RAMÍREZ QUIEN NOS INDICA QUE ESTA DE VIAJE Y VUELVE HASTA EL DÍA MIÉRCOLES 17 DE DICIEMBRE QUE NOS PUEDE ATENDER ESE DÍA EN LA FRANJA DE LA TARDE, SE ESCALA CON EL COORDINADOR Y SE DEJA PARA DICHA FECHA.</t>
  </si>
  <si>
    <t>VEGA MANRIQUE JONATAN MAURICIO</t>
  </si>
  <si>
    <t>5284</t>
  </si>
  <si>
    <t>LC-CS-25-010234</t>
  </si>
  <si>
    <t>3007066053</t>
  </si>
  <si>
    <t>FRONTINO</t>
  </si>
  <si>
    <t>DISTRICOL AGROPECUARIA EL BODE</t>
  </si>
  <si>
    <t>FO-25-1951952</t>
  </si>
  <si>
    <t>11/12/2025 OK | 11/12/2025 EN COMUNICACIÓN CON EL SEÑOR JOSÉ JULIÁN CARRASCAL AL NÚMERO 3105101138 ESTE INFORMA QUE EN MOMENTO NO SE ENCUENTRA EN CGTO DE MURRI ESTÁ EN OTRO LUGAR ADICIONAL A ESO INDICA QUE EL DÍA DE AYER SE REUNIÓ EN MEDELLÍN EN LA OFICINA DE DISTRICOL PARA SOLICITAR LA REACTIVACIÓN DEL SERVICIO YA QUE ES EL ÚNICO CORRESPONSAL QUE ESTÁ EN EL CORREGIMIENTO DE MURRI FRONTINO ZONA DE DIFÍCIL ACCESO A MÁS DE 5 HORAS DEL CASCO URBANO, USUARIO ESTÁ A LA ESPERA DE RESPUESTA DE LOS AGENTES DE DISTRICOL, EN CASO TAL DE NO LLEGAR A UN ACUERDO EL USUARIO INDICA QUE HARÍA LLEGAR LOS EQUIPOS AL CASCO URBANO DE FRONTINO</t>
  </si>
  <si>
    <t>BARRIENTOS HERNANDEZ CRISTIAN HORACIO</t>
  </si>
  <si>
    <t>LC-CS-25-010237</t>
  </si>
  <si>
    <t>3007072989</t>
  </si>
  <si>
    <t>DISTRICOL VARIEDADES HISA</t>
  </si>
  <si>
    <t>FO-25-1951983</t>
  </si>
  <si>
    <t>12/12/2025 EN COMUNICACIÓN CON EL CLIENTE INDICA QUE REALIZO EL ENVÍO DE EQUIPOS AL ALIADO DISTRICOL | 12/12/2025 SE ESTABLECE COMUNIÓN VÍA WASAPP CON LA SEÑORA  VIVÍANA  MADRID, QUIEN INFORMA QUE REALIZO EL ENVÍO DE LOS EQUIPOS A LA OFICINA DE DISTRICOL,  SE CIERRA LA ORDEN POR ENVÍO AL ALIADO, SE CONFIRMA INFORMACIÓN CON EL CLIENTE OK</t>
  </si>
  <si>
    <t>5736</t>
  </si>
  <si>
    <t>LC-CS-25-010239</t>
  </si>
  <si>
    <t>3007068647</t>
  </si>
  <si>
    <t>SEGOVIA</t>
  </si>
  <si>
    <t>DISTRICOL BURGUER HOUSE</t>
  </si>
  <si>
    <t>FO-25-1951949</t>
  </si>
  <si>
    <t>12/12/2025 SE HACEN LLAMADAS DESDE EL DÍA DE AYER , SE HABLA POR WPP PERO NO SE TIENE CONTACTO CON EL USUARIO , EL DÍA DE HOY SE LLAMA DE NUEVO PERO NO SE LOGRA CONTACTAR AL USUARIO SE VÁLIDA EN VISITA ANTERIORES Y SE EVIDENCIA QUE YA ESTÁBA MARCADO COMO SITIO ROJO DE ALTO RIESGO , HE INGRESO DE DIFÍCIL ACCESO POR ORDEN PÚBLICO , NO SE LOGRA COMUNICACIÓN EN NINGÚN MOMENTO CON EL USUARIO | 12/12/2025 SE HACEN LLAMADAS DESDE EL DÍA DE AYER , SE HABLA POR WPP PERO NO SE TIENE CONTACTO CON EL USUARIO , EL DÍA DE HOY SE LLAMA DE NUEVO PERO NO SE LOGRA CONTACTAR AL USUARIO SE VÁLIDA EN VISITA ANTERIORES Y SE EVIDENCIA QUE YA ESTÁBA MARCADO COMO SITIO ROJO DE ALTO RIESGO , HE INGRESO DE DIFÍCIL ACCESO POR ORDEN PÚBLICO , NO SE LOGRA COMUNICACIÓN EN NINGÚN MOMENTO CON EL USUARIO</t>
  </si>
  <si>
    <t>MONTOYA VELEZ ANDRES FELIPE</t>
  </si>
  <si>
    <t>76606</t>
  </si>
  <si>
    <t>LC-CS-25-010240</t>
  </si>
  <si>
    <t>3007067345</t>
  </si>
  <si>
    <t>RESTREPO</t>
  </si>
  <si>
    <t>DISTRICOL EL TERTULIADERO MAMC</t>
  </si>
  <si>
    <t>FO-25-1951974</t>
  </si>
  <si>
    <t>16/12/2025 NO SÉ PUDO COMUNICAR | 16/12/2025 SE LLEGA AL COMERCIO ESTÁ CERRADO SE COMUNICA POR LLAMADA AL NÚMERO 3157304771 NO ES POSIBLE LA COMUNICACIÓN SE ESCRIBE POR WHATSAPP Y LA SEÑORA MARIA ESNEDA CALERO COBO INFORMA QUE HIZO EL ENVÍO DE LOS EQUIPOS A DISTRICOL POR INTER RAPIDÍSIMO</t>
  </si>
  <si>
    <t>N/A</t>
  </si>
  <si>
    <t>13688</t>
  </si>
  <si>
    <t>LC-CS-25-010241</t>
  </si>
  <si>
    <t>3007067317</t>
  </si>
  <si>
    <t>BOLIVAR</t>
  </si>
  <si>
    <t>SANTA ROSA DEL SUR</t>
  </si>
  <si>
    <t>DISTRICOL SERVITIENDA LA BENDI</t>
  </si>
  <si>
    <t>FO-25-1951961</t>
  </si>
  <si>
    <t>11/12/2025 SE COMUNIC CON EL SEÑOR ROBER QUIEN INDICA  LOS DATAFONOS FUERON ENTREGADOA | 11/12/2025 EN COMUNICACIÓN CON CLIENTE AL NÚMERO 3175375185 NOS CONTESTA EL SEÑOR ROBER FORMA, Y NOS INDICA QUE LO EQUIPOS YA FUERON ENVIADO DIRECTAMENTE A DISTRITOS, QUE LO LLAMARON Y SOLICITARON Q LOS ENVIARAN, SE PROCEDE  CERRAR ORDEN</t>
  </si>
  <si>
    <t>TERRESTRE/FLUVIAL</t>
  </si>
  <si>
    <t>GELVEZ MOGOLLON JOSE ELISEO</t>
  </si>
  <si>
    <t>19001</t>
  </si>
  <si>
    <t>LC-CS-25-010243</t>
  </si>
  <si>
    <t>3007045734</t>
  </si>
  <si>
    <t>CAUCA</t>
  </si>
  <si>
    <t>DISTRICOL FOTOCOPIAS Y MÀS</t>
  </si>
  <si>
    <t>FO-25-1951955</t>
  </si>
  <si>
    <t>16/12/2025 SE REALIZA LLAMADA AL CLIENTE , PARA PODER VISITAR YA QUE LA ZONA DEL CAUCA SE ENCUENTRA CON PROBLEMAS DE MOVILIDAD POR EL PARO ARMADO DEL ELN, LA USUARIA NO SE ENCUENTRA EN LA ZONA, INDICA QUE UNA VEZ RETORNE CONFIRMARA PARA LA ENTREGA DE LOS EQUIPOS, POR TANTO SE CIERRA LA ORDEN Y SE ESPERA CONFIRMACION PARA PODER PROCEDER CON EL RETIRO VOLUNTARIO</t>
  </si>
  <si>
    <t>LC-CS-25-010244</t>
  </si>
  <si>
    <t>3007069241</t>
  </si>
  <si>
    <t>DISTRICOL COSMETICS STORE SYS</t>
  </si>
  <si>
    <t>FO-25-1957173 | FO-25-1951946</t>
  </si>
  <si>
    <t>EJECUTADO | EJECUTADO / CANCELADO</t>
  </si>
  <si>
    <t>CIERRE EXITOSO</t>
  </si>
  <si>
    <t>[FO-25-1957173] 11/12/2025 SE ESCALA PARA VISITA. CONFIRMAR DATOS PARA LA RECOLECCION DE EQUIPOS | 11/12/2025 SE REALIZA CIERRE TOTAL DE CB,SE RETIRA DESK3500, LECTORA, ENSORTIJADO Y CARGADOR, CLIENTE INDICA PUBLICIDAD YA FUE RETIRADA Y DESTRUIDA. || [FO-25-1951946] 10/12/2025 CLIENTE INDICA NO SE ENCUENTRA EN LA DIRECCIÓN SUMINISTRADA, INDICA PUEDE REALIZAR ENTREGA EL DÍA DE MAÑANA 11-12-2025 DE 09:00 A 10:00 | 10/12/2025 CLIENTE INDICA NO SE ENCUENTRA EN LA DIRECCIÓN SUMINISTRADA, INDICA PUEDE REALIZAR ENTREGA EL DÍA DE MAÑANA 11-12-2025 DE 09:00 A 10:00 | 11/12/2025 CLIENTE INDICA NO SE ENCUENTRA EN LA DIRECCIÓN SUMINISTRADA, INDICA PUEDE REALIZAR ENTREGA EL DÍA DE MAÑANA 11-12-2025 DE 09:00 A 10:00</t>
  </si>
  <si>
    <t>A303Z050</t>
  </si>
  <si>
    <t>ECHEVERRI ECHEVERRI EVELIN DANIELA</t>
  </si>
  <si>
    <t>LC-CS-25-010246</t>
  </si>
  <si>
    <t>3007069222</t>
  </si>
  <si>
    <t>DISTRICOL TIENDA VAR EL VECINO</t>
  </si>
  <si>
    <t>FO-25-1951957</t>
  </si>
  <si>
    <t>12/12/2025 SE REALIZA VARIAS LLAMADAS AL CLIENTE PERO NO SE LOGRA CONTACTO TELEFÓNICO | 12/12/2025 SE REALIZA VARIAS LLAMADAS AL NÚMERO INDICADO 3213700718 PERO NO SE OBTIENE RESPUESTA, SE REALIZA VISITA EN FRÍO PERO SE ENCUENTRA COMERCIO CERRADO POR LO CUAL NO SE PUEDE REALIZAR EL CIERRE, SE CIERRA TA POR ORDEN DEL COORDINADOR</t>
  </si>
  <si>
    <t>A301Z307</t>
  </si>
  <si>
    <t>LC-CS-25-010247</t>
  </si>
  <si>
    <t>3007051670</t>
  </si>
  <si>
    <t>PTM CALI  SERVI TG</t>
  </si>
  <si>
    <t>FO-25-1952013</t>
  </si>
  <si>
    <t>16/12/2025 NO SÉ REALIZA GESTIÓN TELEFÓNICA | 18/12/2025 SE REALIZA VISITA PERO EN EL COMERCIO NO SE ENCUENTRA LA ENCARGADA DEL CB, SE COMUNICA CON ELLA Y INDICA QUE POR FAVOR SE VISITE EN HORAS DE LA MAÑANA.</t>
  </si>
  <si>
    <t>NO SÉ INTERVIENE EQUIPO</t>
  </si>
  <si>
    <t>MONTERO MUESES GIAN CARLO</t>
  </si>
  <si>
    <t>20001</t>
  </si>
  <si>
    <t>LC-CS-25-010250</t>
  </si>
  <si>
    <t>3007071591</t>
  </si>
  <si>
    <t>CESAR</t>
  </si>
  <si>
    <t>BARRIO  LA NEVADA VALLEDUPAR</t>
  </si>
  <si>
    <t>FO-25-1983987 | FO-25-1954709</t>
  </si>
  <si>
    <t>[FO-25-1983987] 17/12/2025 NO CONTESTA | 17/12/2025 BUENOS DÍAS SE VISITA CB Y SE LE HACE CIERRE || [FO-25-1954709] 16/12/2025 NO CONTESTA | 16/12/2025 SE VISITA CB Y LA ENCARGADA DEL LOCAL INFORMA QUE LA TITULAR LE DICE QUE HOY NO SE PUEDE HACER EL CIERRE YA QUE MAÑANA ES QUE ESTÁ EN EL LOCAL, ENTONCES ELLA AUTORIZA EL CIERRE SIEMPRE Y CUANDO ESTÉ ELLA MISMA PRESENTE</t>
  </si>
  <si>
    <t>LN00F219</t>
  </si>
  <si>
    <t>BENITEZ CARVAJAL ALVARO JAVIER</t>
  </si>
  <si>
    <t>13001</t>
  </si>
  <si>
    <t>LC-CS-25-010268</t>
  </si>
  <si>
    <t>3007060545</t>
  </si>
  <si>
    <t>BARRIO LA PLAZUELA CARTAGENA D</t>
  </si>
  <si>
    <t>FO-25-1980365 | FO-25-1961887</t>
  </si>
  <si>
    <t>[FO-25-1980365] 18/12/2025 SIN RESPUESTA | 18/12/2025 SI VISITA DIRECCIÓN NUEVAMENTE Y NO HAY NADIE EN EL LOCAL SE VALIDA CON EL COMERCIO DE AL LADO INFORMAN QUE ESE LOCAL YA NO LO ABREN SE MARCA AL NÚMERO 3182410358 Y NO HAY RESPUESTA , SE MARCA AL OTRO NUMERO DE CONTACTO 3052929658 INFORMAN VIA WS QUE NO SABEN NADA SOBRE EL TEMA QUE LA TIA ES LA ENCARGADA PERO NO CONTESTA NO FUE POSIBLE REALIZAR EL CIERRE NI FUE POSIBLE RETIRAR ROLLOS NI ACCESORIOS POR LA MISMA NOVEDAD || [FO-25-1961887] 13/12/2025 NO HAY RESPUESTA | 16/12/2025 SE LLAMO AL CLIENTE EN VARIAS OCACIONES Y NO RESPONDIO SE VA A BUZÓN SE LLEGO AL SITIO SE TOCO LA PUERTA Y TAMPOCO HUBO RESPUESTA NO CONTESTA NI MENSAJES DE WS VISITA FALLIDA NOSE PUDO RETIRAR NADA</t>
  </si>
  <si>
    <t>MARTINEZ SALGUEDO ANDRES AUGUSTO</t>
  </si>
  <si>
    <t>15001</t>
  </si>
  <si>
    <t>LC-CS-25-010270</t>
  </si>
  <si>
    <t>3007075455</t>
  </si>
  <si>
    <t>BOYACA</t>
  </si>
  <si>
    <t>BARRIO MESOPOTAMIA TUNJA 2</t>
  </si>
  <si>
    <t>FO-25-1961897</t>
  </si>
  <si>
    <t>15/12/2025 CLIENTE LA SEÑORA ALEJANDRA RESPONDE NUMERO CELULAR CONFIRMA WUE SI SE HABLA CON ELLA Y SE CAE LA LLAMADA , YA NO RESPONDE NÚMERO SE VISITARA EN FRIO | 15/12/2025 SE ESTABLECE COMUNICACIÓN CON EL NÚMERO CELULAR 3218928878 SEÑORA ALEJANDRA , EL OBJETIVO DE LA LLAMADA ES PARA CONFIRMAR VISITA Y LA ENTREGA DE LOS EQUIPOS , LA SEÑORA ALEJANDRA CONFIRMA QUE SI SE HABLA CON ELLA LA LLAMADA SE CAE SE VUELVE A MARCAR Y YA NO RESOONDE , SE VISITARÁ EN FRIO YA QUE ME ENCUENTRO CERCA A LA DIRECCIÓN | 15/12/2025 SE REALIZA COMUNICACIÓN CON LA SEÑORA ALEJANDRA DIAZ AL NÚMERO CELULAR 3218928878 EN EL TRANSCURSO DE LA LLAMADA A LO QUE LA SEÑORA ALEJANDRA CONFIRMA QUE SI SE HABLA CON ELLA LA LLAMADA SE CAE , SE REALIZA NUEVAMENTE LLAMADA Y NO RESPONDE , SE VA A BUZÓN DE VOZ , SE DEJA MENSAJE VIA WHATSAPP Y TAMPOCO HAY RESPUESTA , SE PROCEDE A VISITAR EN FRIO Y COMERCIO YA NO EXISTE. YA QUE LA COMUNICACIÓN CON LA SEÑORA  ALEJANDRA NO ES EXITOSA SE PROCEDERÁ A CERRAR ORDEN</t>
  </si>
  <si>
    <t>ALVARADO MORENO CRISTHIAN</t>
  </si>
  <si>
    <t>15897</t>
  </si>
  <si>
    <t>LC-CS-25-010271</t>
  </si>
  <si>
    <t>3007012770</t>
  </si>
  <si>
    <t>ZETAQUIRA</t>
  </si>
  <si>
    <t>ZETAQUIRA BOYACA</t>
  </si>
  <si>
    <t>FO-25-1961829</t>
  </si>
  <si>
    <t>18/12/2025 CLIENTE SE ENCUENTRA DE VIAJE | 17/12/2025 SE INTENTA CONTACTAR TELEFÓNICAMENTE A LA SEÑORA ANA ELVIA ARIAS AVILA AL NÚMERO DE CONTACTO 3143633905  CLIENTE NO RESPONDE PARA CONFIRMACIÓN DE LA VISITA. | 17/12/2025 SE INTENTA CONTACTAR NUEVAMENTE A LA SEÑORA ANA ELVIA ARIAS AVILA AL NÚMERO DE CONTACTO 3143633905 CLIENTE NO CONTESTA ENVÍA UN MENSAJE INDICANDO QUE MÁS TARDE SE ESTARÁ COMUNICANDO SE LE DEJAN MENSAJE POR WHATSAPP INDICANDO SOBRE LA VISITA NO SE OPTIENE UNA RESPUESTA A ESPERA DE QUE EL CLIENTE RESPONDA. | 17/12/2025 SE LOGRA ESTABLECER COMUNICACIÓN CON LA SEÑORA ANA ELVIA ARIAS AVILA AL NÚMERO DE CONTACTO 3143633905 CLIENTE INDICA QUE SE ENCUENTRA DE VIAJE NO ESTÁ EN EL MUNICIPIO PARA LA ENTREGA DE LOS EQUIPOS INDICA REPROGRAMAR LA VISITA PARA EL DÍA VIERNES 19/12/2025 INDICA LLAMARLA EL DÍA JUEVES PARA CONFIRMACIÓN DE LA VISITA. | 18/12/2025 SE  ESTABLECER NUEVAMENTE COMUNICACIÓN CON LA SEÑORA ANA ELVIA ARIAS AVILA AL NÚMERO DE CONTACTO 3143633905 CLIENTE INDICA QUE SE ENCUENTRA DE VIAJE NO ESTÁ EN EL MUNICIPIO PARA LA ENTREGA DE LOS EQUIPOS SE LE INDICA QUE POR TEMAS DE VENCIMIENTOS LA ORDEN DEBER DE CERRADA SE LE INFORMA QUE CUANDO SE ENCUENTRE EN EL MUNICIPIO DE ZETAQUIRA SE DEBE COMUNICAR CON LA ENTIDAD A LA LÍNEA 018000953344 PARA SOLICITAR LA RECOGIDA DE LOS EQUIPOS CLIENTE CONFORME.</t>
  </si>
  <si>
    <t>RODRIGUEZ MURCIA YERSON IVAN</t>
  </si>
  <si>
    <t>25290</t>
  </si>
  <si>
    <t>LC-CS-25-010273</t>
  </si>
  <si>
    <t>3007067584</t>
  </si>
  <si>
    <t>FUSAGASUGA</t>
  </si>
  <si>
    <t>BARRIO CAMBULOS FUSAGASUGA</t>
  </si>
  <si>
    <t>FO-25-1961861</t>
  </si>
  <si>
    <t>12/12/2025 NO CONTESTAN | 12/12/2025 SE LLEGA A COMERCIO Y CB NO EXISTE EN DIRECCIÓN, SE LLAMA AL NÚMERO 3222216288 NO ES POSIBLE CONTACTARLO, SE CIERRA</t>
  </si>
  <si>
    <t>ORTIZ MARTINEZ STIVEN</t>
  </si>
  <si>
    <t>25754</t>
  </si>
  <si>
    <t>LC-CS-25-010274</t>
  </si>
  <si>
    <t>3007076979</t>
  </si>
  <si>
    <t>SOACHA</t>
  </si>
  <si>
    <t>BARRIO BUENOS AIRES SOACHA</t>
  </si>
  <si>
    <t>FO-25-1961874</t>
  </si>
  <si>
    <t>15/12/2025 NA | 15/12/2025 CIERRE FALLIDO 
SE REALIZA VISITA AL COMERCIO NOS ATIENDES LA SEÑORA JENNY TELLEZ LA CULA NOS INDICA QUE SE ENCUENTRA A AL A ESPERA DE LA RESPUESTA DEL BANCO PARA NO REALIZAR EL CIERRE DEL CB NOS PERMITEN RETIRAR EQUIPOS</t>
  </si>
  <si>
    <t>HERNANDEZ NARANJO OSCAR EDUARDO</t>
  </si>
  <si>
    <t>50245</t>
  </si>
  <si>
    <t>LC-CS-25-010275</t>
  </si>
  <si>
    <t>3007065060</t>
  </si>
  <si>
    <t>META</t>
  </si>
  <si>
    <t>EL CALVARIO</t>
  </si>
  <si>
    <t>BARRIO CENTRO EL CALVARIO 3</t>
  </si>
  <si>
    <t>FO-25-1961848</t>
  </si>
  <si>
    <t>15/12/2025 SE CONTACTA AL SEÑOR ROSEMBER ALFEREZ E INDICA QUE ESTA CERRADA LA CARRERERA Y HASTA AHORA LA COMUNIDAD ESTA REALIZADO ARREGLOS EN LA VIA PARA DQR PASO PROVICIONAL Y SI ALGO COMO TIENE VIAJAR A VILLAO LOS TRAE SE LE INFORMA A JEFE DE ZONA | 18/12/2025 NOS COMUNICAMOS CON EL SEÑOR SNEIDER ALFEREZ AL NÚMERO 3212162190 EL CUAL POR PROBLEMAS EN LA VIA NO HAY PASO POR EL MOMENTO YA QUE HAY UN DERRUMBE QUE ESTÁN INCOMUNICADOS INFORMA QUE A PRINCIPIO DE ENERO YA SE TENGA PASO PARA PODER ENTREGAR LOS EQUIPOS</t>
  </si>
  <si>
    <t>ROZO JIMENEZ EDGAR ARMANDO</t>
  </si>
  <si>
    <t>73001</t>
  </si>
  <si>
    <t>LC-CS-25-010279</t>
  </si>
  <si>
    <t>3007080272</t>
  </si>
  <si>
    <t>TOLIMA</t>
  </si>
  <si>
    <t>BARRIO JORDAN 8 ETAPA IBAGUE 3</t>
  </si>
  <si>
    <t>FO-25-1961870</t>
  </si>
  <si>
    <t>17/12/2025 SE COMUNICA AL NÚMERO 3215823498 SIN NINGÚN RESULTADO SE DETERMINA VISITAR SITIO. | 17/12/2025 SE VISITA COMERCIO PERO SE ENCUENTRA CERRADO, SE LOGRA COMUNICAR AL NÚMERO 3215823498 LA SEÑORA LINA MARÍA PARRA INDICA QUE SE ENCUENTRA EN UN PROCESO CON EL BANCO DEBIDO A UN CASO DE ROBO DE CUPO; INDICA QUE ESTÁ ESPERANDO RESPUESTA PARA PODER CONTINUAR CON EL SERVICIO DE CB.</t>
  </si>
  <si>
    <t>BARRAGAN TAFUR EDWIN ESTEBAN</t>
  </si>
  <si>
    <t>LC-CS-25-010281</t>
  </si>
  <si>
    <t>3007022964</t>
  </si>
  <si>
    <t>BARRIO ALIRIO MORA BELTRAN CAL</t>
  </si>
  <si>
    <t>FO-25-1961855</t>
  </si>
  <si>
    <t>12/12/2025 OK | 12/12/2025 SE COMUNICA CON EL SEÑOR GILDARDO MARIN AL NÚMERO  3113486713 E INFORMA QUE NO SE ENCUENTRA EN EL LUGAR Y QUE NO PERMITE LA RECOLECCIÓN DE EQUIPOS YA QUE ESTÁ EN PROCESO DE QUE BANCOLOMBIA NO LE CIERRE EL CORRESPONSAL</t>
  </si>
  <si>
    <t>85263</t>
  </si>
  <si>
    <t>LC-CS-25-010283</t>
  </si>
  <si>
    <t>3007067152</t>
  </si>
  <si>
    <t>CASANARE</t>
  </si>
  <si>
    <t>PORE</t>
  </si>
  <si>
    <t>BARRIO SIMON BOLIVAR PORE</t>
  </si>
  <si>
    <t>FO-25-1961893</t>
  </si>
  <si>
    <t>19/12/2025 NO CONTACTO | 19/12/2025 SE VISITA COMERCIO, SE ENCUENTRA CERRADO, COEMRCIOS CERCANOS INDICA QUE HACE UNA SEMANA NO HAY SERVICIO Y NO SABEN DE LOS DUEÑOS. SE INTENTA COMUNICACIÓN AL NUMERO REGISTRADO Y NO HAY RESPUESTA</t>
  </si>
  <si>
    <t>BERNAL ELAICA EDGAR ALEXIS</t>
  </si>
  <si>
    <t>25295</t>
  </si>
  <si>
    <t>LC-CS-25-010292</t>
  </si>
  <si>
    <t>3007079941</t>
  </si>
  <si>
    <t>GACHANCIPA</t>
  </si>
  <si>
    <t>BARRIO CENTRO GACHANCIPA 8</t>
  </si>
  <si>
    <t>FO-25-1989526 | FO-25-1979314</t>
  </si>
  <si>
    <t>[FO-25-1989526] 22/12/2025 NO CONTESTAN | 22/12/2025 SE LLEGA A COMERCIO, PARA RECOGIDA DE EQUIPOS ENCONTRANDO CERRADO, SE LLAMA AL CONTACTO NÚMERO 3197805333 NO SE LOGRA CONTACTARLO. SE DEJA EVIDENCIA FOTOGRÁFICA || [FO-25-1979314] 17/12/2025 . | 17/12/2025 COMERCIO CERRADO AL MOMENTO DE LA VISITA, SE LLAMA AL NÚMERO DE CONTACTO INDICAN QUE HOY NO VAN A ABRIR YA QUE NO SE ENCUENTRAN EN EL PUEBLO, SE LE INFORMA AL COORDINADOR QUIEN AUTORIZA REPROGRAMACIÓN</t>
  </si>
  <si>
    <t>52381</t>
  </si>
  <si>
    <t>LC-CS-25-010295</t>
  </si>
  <si>
    <t>3007063799</t>
  </si>
  <si>
    <t>LA FLORIDA</t>
  </si>
  <si>
    <t>BARRIO SECTOR LA INMACULADA LA</t>
  </si>
  <si>
    <t>FO-25-1981023</t>
  </si>
  <si>
    <t>19/12/2025 SE CON LA SEÑORA PATRICIA BRAVO PARA VISITA | 19/12/2025 SE CONTACTA CON LA SEÑORA PATRICIA BRAVO PARA REALIZAR VISITA PERO ELLA INFORMA QUE PARA LLEGAR AL CORREGIMIENTO DE MATITUY SOLO SE PUEDE LLEGAR EN TRANSPORTE PROPIO PORQUE NO HAY TRANSPORTE PÚBLICO PARA LLEGAR Y ELLA INFORMA QUE EL DÍA LUNES VIAJA A PASTO Y VIAJARÍA CON LOS EQUIPOS PARA HACER ENTREGA EN PASTO DE ELLOS MISMOS POR LO CUAL SE ESPERA HASTA EL DÍA LUNES... | 22/12/2025 SE REALIZA LLAMADA TELEFÓNICA PARA CONFIRMAR VISITA SE CONTACTA CON LA SEÑORA PATRICIA BRAVO LA CUAL INFORMA QUE NO SE ENCUENTRA EN EL MUNICIPIO MATITUY QUÉ SE ENCUENTRA VIAJANDO A PASTO NARIÑO Y QUE CUANDO SE ENCUENTRE EN PASTO NARIÑO LLAMARA  PARÁ HACER ENTREGA VOLUNTARIA DE LOS EQUIPOS EN PASTO.... POR LO CUAL SE CIERRA LA TA</t>
  </si>
  <si>
    <t>17541</t>
  </si>
  <si>
    <t>LC-CS-25-010297</t>
  </si>
  <si>
    <t>3007018305</t>
  </si>
  <si>
    <t>CALDAS</t>
  </si>
  <si>
    <t>PENSILVANIA</t>
  </si>
  <si>
    <t>CORREGIMIENTO DE BOL PENSILVAN</t>
  </si>
  <si>
    <t>FO-25-1979297</t>
  </si>
  <si>
    <t>22/12/2025 SE HABLA CON LA SEÑORA ANA HERRERA HERMANA DEL SEÑOR ARTURO INDICA QUE ELLOS YA NO ESTAN EN EL CORREGIMIENTO DE BOLIVIA PUES VENDIERON EL NEGOCIO Y LOS EQUIPOS LOS TIENEN CON ELLOS PERO ESTAN VIAJANDO, INDICA VALIDARA EN LOS PROXIMOS DIAS UNA VEZ REGRESEN A MANIZALES PARA QUE LOS EQUIPOS PUEDAN SER RECOJIDOS EN EL LOCAL QUE TIENEN EN MANIZALES, POR VENCIEMIENTO DEL TICKET SE CIERRA Y SE REALIZARIA COMO RETIRO VOLUNTARIO</t>
  </si>
  <si>
    <t>5001</t>
  </si>
  <si>
    <t>LC-CS-25-010300</t>
  </si>
  <si>
    <t>3007074667</t>
  </si>
  <si>
    <t>PTM MEDELLIN IMPRESIONES Y VAR</t>
  </si>
  <si>
    <t>FO-25-1979345</t>
  </si>
  <si>
    <t>23/12/2025 LA PERSONA QUE TIENE A CARGO EL CB INFORMA QUE NO CONTINUARON CON EL PACK ENTONCES ESTÁ TRABAJANDO TANTO ÉL COMO LA MUJER, POR LO CUAL NO TIENE LA FORMA DE REALIZAR LA ENTREGA. SE LE INFORMA QUE PUEDE ENTREGARLO A PTM Y DICE QUE LO VA A HACER DE ESA MANERA YA SEA QUE SE TENGA QUE COMUNICAR CON SU ASESOR PARA SABER A DÓNDE HACERLO LLEGAR.</t>
  </si>
  <si>
    <t>NO SE INTERVIENE</t>
  </si>
  <si>
    <t>MARIN PIEDRAHITA JIMMY ALEXIS</t>
  </si>
  <si>
    <t>68655</t>
  </si>
  <si>
    <t>LC-CS-25-010309</t>
  </si>
  <si>
    <t>3007053945</t>
  </si>
  <si>
    <t>SABANA DE TORRES</t>
  </si>
  <si>
    <t>PTM SABANA DE TORRES REPUESTOS</t>
  </si>
  <si>
    <t>FO-25-1980988</t>
  </si>
  <si>
    <t>18/12/2025 SE INTENTA COMUNICACIÓN CON EL CLIENTE AL TELÉFONO 6050962 Y NO FUE POSIBLE, SE REALIZA DESPLAZAMIENTO A SITIO Y LOCAL SE ENCUENTRA CERRADO, SE LE PREGUNTA AL LOCAL DE AL LADO Y NOS SUMINISTRA ELSIGUIENTE NÚMERO 3152142489, EL CUAL NOS CONTESTA EL SEÑOR ELKIN, NOS INFORMA QUE NO PUEDE ATENDERNOS EN ESTOS MOMENTOS YA QUE ELLOS SE ENCUENTRAN FUERA DE SABANA DE TORRES, QUE ESTÁN EN BARRANQUILLA QUE ESTÁN RETORNANDO APARTIR DEL SÁBADO APROXIMADAMENTE, SE LE INDICA AL CLIENTE QUE CUANDO ESTE EN SABANA DE TORRES NUEVAMENTE MARCAR A LA LÍNEA DE CORRESPONSAL 018000953344, PARA QUE SOLICITE LA RECOGIDA DE LOS EQUIPOS.</t>
  </si>
  <si>
    <t>XP1ZZ966</t>
  </si>
  <si>
    <t>MARTINEZ FLOREZ DONIS ALBERTO</t>
  </si>
  <si>
    <t>LC-CS-25-010311</t>
  </si>
  <si>
    <t>3007064869</t>
  </si>
  <si>
    <t>PTM IBAGUE MISCELANEA DULCE AM</t>
  </si>
  <si>
    <t>FO-25-1980985</t>
  </si>
  <si>
    <t>19/12/2025 SE COMUNICA AL NÚMERO 3044843353, LA SEÑORA DIANA CAROLINA GUTIERREZ MORENO INDICA QUE LOS EQUIPOS FUERON ENVIADOS ALA CIUDAD DE MEDELLÍN SEGÚN INDICACIONES DE PTM. | 19/12/2025 SE COMUNICA AL NÚMERO 3044843353, LA SEÑORA DIANA CAROLINA GUTIERREZ MORENO INDICA QUE LOS EQUIPOS FUERON ENVIADOS ALA CIUDAD DE MEDELLÍN SEGÚN INDICACIONES DE PTM. NOS INFORMA QUE HIZO DISPOSICIÓN FINAL DE LA PUBLICIDAD.</t>
  </si>
  <si>
    <t>LC-CS-25-010313</t>
  </si>
  <si>
    <t>3007066766</t>
  </si>
  <si>
    <t>DISTRICOL LUNA COWORKING</t>
  </si>
  <si>
    <t>FO-25-1980971</t>
  </si>
  <si>
    <t>16/12/2025 VISITA | 17/12/2025 SE REALIZA VISITA ME INFORMA LA PERSONA ENCARGADA DEL COMERCIO QUE NO TIENEN CONOCIMIENTO DE LOS EQUIPOS YA QUE LA PERSONA QUE SE ENCARGABA DE EL CORRESPONSAL YA NO LABORA CON ELLOS Y NO SE LOGRÓ COMUNICACIÓN PARA CON LA SRA LILIANA PARA SABER UBICACIÓN DE LOS EQUIPOS, SE LES INFORMA QUE SI LLEGAN A APARECER LLAMAR NUEVAMENTE AL BANCO PARA SOLICITAR RECOLECCIÓN</t>
  </si>
  <si>
    <t>DURAN ACOSTA FRANK YONNY</t>
  </si>
  <si>
    <t>LC-CS-25-010315</t>
  </si>
  <si>
    <t>3007075826</t>
  </si>
  <si>
    <t>PTM CALI ATENAS VIRTUAL LIBRER</t>
  </si>
  <si>
    <t>FO-25-1979317</t>
  </si>
  <si>
    <t>18/12/2025 . | 18/12/2025 SE LLEGA A EL SITIO Y SE ENCUETRA CERRADO, SE CONTACTA CON LA SEÑORA SOFIA Y MANIFIESTA QUE EN ESTE MOMENTO NO SE ENCUENTRA, INDICA QUE PARA LA PROXIMA VISITA LA LLAMEN CON ANTICIPACIÓN.
PARA PODER CUADRAR TODO.</t>
  </si>
  <si>
    <t>00000000</t>
  </si>
  <si>
    <t>TORRES GARCIA JENDRY JOSE</t>
  </si>
  <si>
    <t>LC-CS-25-010316</t>
  </si>
  <si>
    <t>3007058807</t>
  </si>
  <si>
    <t>PTM CALI VARIEDADES JHON</t>
  </si>
  <si>
    <t>FO-25-1981030</t>
  </si>
  <si>
    <t>19/12/2025 NO SE REALIZA LLAMADA TELEFÓNICA | 19/12/2025 SE REALIZA VISITA TÉCNICA EN LA DIRECCIÓN CORRESPONDIENTE, QUE ESTÁ EN LAS OBSERVACIONES DE SYTEX, DONDE VALIDAMOS QUE EL COMERCIO SE ENCUENTRA CERRADO SE PROCEDE A REALIZAR LLAMADA TELEFÓNICA AL SEÑOR JHONIER DONDE ME INDICA QUE EL DÍA QUE HOY NO ABRE EL COMERCIO</t>
  </si>
  <si>
    <t>0000</t>
  </si>
  <si>
    <t>ESCOBAR LENIS JUAN SEBASTIAN</t>
  </si>
  <si>
    <t>LC-CS-25-010317</t>
  </si>
  <si>
    <t>3007079695</t>
  </si>
  <si>
    <t>PTM CALI PUNTO RAJAAM</t>
  </si>
  <si>
    <t>FO-25-1979329</t>
  </si>
  <si>
    <t>19/12/2025 . | 19/12/2025 SE LLEGA A EL SITIO Y EL SEÑOR WILLIAM YA NO SE ENCUENTRA EN EL PUNTO, LA NUEVA DUEÑA INDICA QUE EL SEÑOR ENVÍO LOS EQUIPOS A MEDELLÍN Y QUE TIENE LA GUIA 9187572326 CON SERVIENTREGA.</t>
  </si>
  <si>
    <t>85001</t>
  </si>
  <si>
    <t>LC-CS-25-010318</t>
  </si>
  <si>
    <t>3007064700</t>
  </si>
  <si>
    <t>DISTRICOL TORNILLOS Y HERRAMIE</t>
  </si>
  <si>
    <t>FO-25-1981018</t>
  </si>
  <si>
    <t>17/12/2025 SE VISITA COMERCIO, SE ENCUENTRA CERRADO, COMERCIOS CERCANOS INFORMA QUE EL CB CERRO HACE SEMANAS. SE INTENTA COMUNICACIÓN A EL NUMERO REGISTRADO Y NO HAY RESPUESTA. | 17/12/2025 SE VISITA COMERCIO, SE ENCUENTRA CERRADO. COMERCIOS CERCANOS INDICAN EL CORRESPONSAL CERRO HACE SEMANAS INDICAN NO SABER DE LOS DUEÑOS. SE INTENTA COMUNICACIÓN AL NUMERO REGISTRA Y NO HAY RESPUESTA</t>
  </si>
  <si>
    <t>LC-CS-25-010319</t>
  </si>
  <si>
    <t>3007038561</t>
  </si>
  <si>
    <t>PTM BOGOTA DIMESALUD</t>
  </si>
  <si>
    <t>FO-25-1981027</t>
  </si>
  <si>
    <t>16/12/2025 VISITA TÉCNICA | 16/12/2025 SE LLEGA AL COMERCIO SE VALÍA CERRADO CON UN LETRERO DE SE ARRIENDA . SE MARCA EL NÚMERO DE CONTACTO 3017530022 SALE MENSAJE TEMPORALMENTE FUERA DE SERVICIO.</t>
  </si>
  <si>
    <t>LC-CS-25-010321</t>
  </si>
  <si>
    <t>3007069693</t>
  </si>
  <si>
    <t>PTM BOGOTA COMERCIALIZORA L&amp;R</t>
  </si>
  <si>
    <t>FO-25-1980966</t>
  </si>
  <si>
    <t>17/12/2025 SE REALIZA VISITA DE CAMPO ENCONTRADO QUE COMERCIO NO EXISTE EN DIRECCIÓN INDICADA EN RUTA, SE INTENTA COMUNICACIÓN A LA LÍNEA 3142690852 DONDE NO HAY RESPUESTA, SE INFORMA A SUPERVISOR QUIEN AUTORIZA CIERRE DE SOLICITUD.</t>
  </si>
  <si>
    <t>LOZADA ROJAS CHRISTIAN ANDRES</t>
  </si>
  <si>
    <t>5034</t>
  </si>
  <si>
    <t>LC-CS-25-010329</t>
  </si>
  <si>
    <t>3007061741</t>
  </si>
  <si>
    <t>ANDES</t>
  </si>
  <si>
    <t>DISTRICOL TIENDA ROBERT</t>
  </si>
  <si>
    <t>FO-25-1980969</t>
  </si>
  <si>
    <t>17/12/2025 O ROLLOS, OK | 17/12/2025 PERSONAL DE ALIANZA INFORMA QUE ESTOS EQUIPOS AUN NO LE LLEGAN, AUN NO LE LLEGAN POR PARTE DE USUARIO. NO ES POSIBLE RETIRAR EL DATAFONO Y LECTORA DEL CORRESPONSAL, DEBIDO A QUE NO HA LLEGADO. FUNCIONARIA DE DISTRICOL INFORMA QUE PONDRA NUEVA SOLICITUD CUANDO LE LLEGUEN LOS EQUIPOS.</t>
  </si>
  <si>
    <t>HENAO JARAMILLO JUAN JOSE</t>
  </si>
  <si>
    <t>LC-CS-25-010344</t>
  </si>
  <si>
    <t>3007014543</t>
  </si>
  <si>
    <t>BARRIO LA 14 IBAGUE</t>
  </si>
  <si>
    <t>FO-25-1985329</t>
  </si>
  <si>
    <t>19/12/2025 SE VALIDA CONTACTO TELEFÓNICO AL NÚMERO 3127167783, CONTESTA PERO INDICA QUE NO TIENE CONOCIMIENTO DE LA ACTIVIDAD. | 22/12/2025 SE VISITA EL SITIO PERO LA PERSONA ENCARGADA NO ESTÁ AUTORIZADA PARA RECIBIR LA ACTIVIDAD. SE LOGRA CONTACTAR AL NÚMERO 3177417429 LA SEÑORA XIOMARA HERNÁNDEZ INDICA QUE LOS EQUIPOS NO SE ENCUENTRAN EN EL COMERCIO Y TAMPOCO SE ENCUENTRA LA PERSONA ENCARGADA EN LA CIUDAD. NO ES POSIBLE REALIZAR CIERRE.</t>
  </si>
  <si>
    <t>LC-CS-25-010347</t>
  </si>
  <si>
    <t>3007037180</t>
  </si>
  <si>
    <t>BARRIO NUEVA FLORESTA CALI 1</t>
  </si>
  <si>
    <t>FO-25-1985357</t>
  </si>
  <si>
    <t>17/12/2025 CLIENTE NO CONTESTA | 18/12/2025 SE LLAMA EL CLIENTE NO CONTESTA, SE LLEGA AL COMERCIO Y SE ENCUENTRA CERRADO, SE PREGUNTA A VECINOS E INDICAN QUE LLEVA TIEMPO CERRADO</t>
  </si>
  <si>
    <t>CUERO RUIZ JHONNY</t>
  </si>
  <si>
    <t>50568</t>
  </si>
  <si>
    <t>LC-CS-25-011866</t>
  </si>
  <si>
    <t>3007081095</t>
  </si>
  <si>
    <t>PUERTO GAITAN</t>
  </si>
  <si>
    <t>BARRIO PERLAS DEL NANACACIAS PUERTO GAITAN</t>
  </si>
  <si>
    <t>FO-25-2009863</t>
  </si>
  <si>
    <t>23/12/2025 SIN RESPUESTA | 29/12/2025 NO SE TIENE COMUNICACIÓN TELEFÓNICA PREVIA AL DESPLAZAMIENTO A SITIO AL LLEGAR SE ENCUENTRA COMERCIO CERRADO, SE INTENTA NUEVA COMUNICACIÓN SE HABLA CON LA SRA. JENNY ALEXANDRA RUIZ CRISTANCHO AL NÚMERO 3165793508 INFORMA QUE NO ESTÁ EN EL MUNICIPIO, QUE REGRESA EL DÍA 26-12-2025 Y ESTÁ DISPONIBLE PARA ENTREGA DE EQUIPOS EL DÍA 27-12-20205 O EL DÍA 29-12-2025, SE INDICA QUE LA VISITA SE PROGRAMARA SEGÚN DISPONIBILIDAD DE AGENDA DE LA OPERACIÓN, SE INFORMA A LA CLIENTE QUE UNA VEZ ESTE DE NUEVO EL MUNICIPIO DEBE SOLICITAR RETIRO VOLUNTARIO CON LA ENTIDAD</t>
  </si>
  <si>
    <t>SGZZZ995</t>
  </si>
  <si>
    <t>MURCIA HERNANDEZ HARVEY IGNACIO</t>
  </si>
  <si>
    <t>LC-CS-25-011873</t>
  </si>
  <si>
    <t>FO-25-2009862</t>
  </si>
  <si>
    <t>EJECUTADO</t>
  </si>
  <si>
    <t>20/12/2025 SE ESCALA PARA VISITA. CONFIRMAR DATOS PARA LA RECOLECCION DE EQUIPOS | 27/12/2025 CLIENTE INFORMA QUE REALIZÓ ENVÍO DE LOS EQUIPOS A LA CIUDAD DE MEDELLÍN EL DÍA 18/12/2025 CON GUÍA # 9187352927, EN SITIO SOLO TENÍA EL AVISO EXTERIOR, EL CUAL SE LE DESINSTALA Y DESTRUYE EN SITIO, CLIENTE INFORMA QUE NO TIENE ROLLOS PARA ENTREGAR</t>
  </si>
  <si>
    <t>103ZZ220</t>
  </si>
  <si>
    <t>CAÑAS MENDEZ GUSTAVO ADOLFO</t>
  </si>
  <si>
    <t>LC-CS-25-011934</t>
  </si>
  <si>
    <t>3007076608</t>
  </si>
  <si>
    <t>BARRIO MEJIA ROBLEDO PEREIRA</t>
  </si>
  <si>
    <t>FO-25-2021048</t>
  </si>
  <si>
    <t>23/12/2025 SE ESCALA PARA VISITA. CONFIRMAR DATOS PARA LA RECOLECCION DE EQUIPOS | 26/12/2025 EN COMUNICACIÓN TELEFÓNICA CON EL CLIENTE ANTONIO BEDOYA INDICA QUE YA NO ADMINISTRA EL COMERCIO QUE SE DEBE ACERCAR AL PUNTO AL LLEGAR SE ENCUENTRA CERRADO NADIE DA RAZÓN DEL COMERCIO</t>
  </si>
  <si>
    <t>V14ZZ284</t>
  </si>
  <si>
    <t>LOAIZA LOPEZ JHON FREDDY</t>
  </si>
  <si>
    <t>95001</t>
  </si>
  <si>
    <t>LC-CS-25-011936</t>
  </si>
  <si>
    <t>3007073388</t>
  </si>
  <si>
    <t>GUAVIARE</t>
  </si>
  <si>
    <t>SAN JOSE DEL GUAVIARE</t>
  </si>
  <si>
    <t>BARRIO BICENTENARIO 1 SAN JOSE</t>
  </si>
  <si>
    <t>FO-25-2021040</t>
  </si>
  <si>
    <t>23/12/2025 SE ESCALA PARA VISITA. CONFIRMAR DATOS PARA LA RECOLECCION DE EQUIPOS | 26/12/2025 SE REALIZA LLAMADA AL USUARIO FRAY GONZALEZ CC. 1120565480 Y CELULAR 3204325123 PARA CONFIRMAR LA VISITA. LA USUARIA ME COMENTA QUE NO TENÍA CONOCIMIENTO DEL CIERRE, QUE NO HABÍA SIDO NOTIFICADA EN NINGÚN MOMENTO, ME INFORMA QUE HABÍA TENIDO PROBLEMAS CON EL CUPO QUE CADA DIA CAMBIA DE VALOR Y QUE SE HABÍA COMUNICADO CON UNA ASESORA PERO NO LE HABÍA DEJADO MUY EN CLARO PORQUE ESTABA BAJANDO EL CUPO, NOS INFORMA QUE REALIZO UNA PQR CON RADICADO: 14594652 Y ESTABA A PRONTA RESPUESTA Y POR ESE MOTIVO NO ENTREGARIA LOS EQUIPOS.</t>
  </si>
  <si>
    <t>MOLINA CASTRO JAVIER ALBERTO</t>
  </si>
  <si>
    <t>LC-CS-25-011944</t>
  </si>
  <si>
    <t>3007070542</t>
  </si>
  <si>
    <t>BARRIO SABANAS DEL DORADO 4</t>
  </si>
  <si>
    <t>FO-25-2025496</t>
  </si>
  <si>
    <t>23/12/2025 SE ESCALA PARA VISITA. CONFIRMAR DATOS PARA LA RECOLECCION DE EQUIPOS | 31/12/2025 SE VISITA COMERCIO PERO ESTÁ CERRADO SE LLAMA LA PERSONA NO CONTESTA AL NÚMERO 3134297574</t>
  </si>
  <si>
    <t>LC-CS-25-011945</t>
  </si>
  <si>
    <t>FO-25-2025489</t>
  </si>
  <si>
    <t>23/12/2025 SE ESCALA PARA VISITA. CONFIRMAR DATOS PARA LA RECOLECCION DE EQUIPOS | 29/12/2025 SE LLEGA AL COMERCIO INDICAN QUE SE REPROGRAME LA VISITA YA QUE LA PERSONA ENCARGADA DEL CB NO SE ENCUENTRA EN EL PUNTO SE ENCUENTRA HACIENDO COMPENSACION</t>
  </si>
  <si>
    <t>LC-CS-25-011947</t>
  </si>
  <si>
    <t>3007078037</t>
  </si>
  <si>
    <t>PTM CALI PAPELERIA DONA ROSA</t>
  </si>
  <si>
    <t>FO-25-2027718</t>
  </si>
  <si>
    <t>24/12/2025 SE ESCALA PARA VISITA. CONFIRMAR DATOS PARA LA RECOLECCION DE EQUIPOS | 30/12/2025 SE VISITA ESTABLECIMIENTO, SE ENCONTRÓ COMERCIO, VACÍO Y SE LLAMA AL CONTACTO E INDICA QUE SE TRASLADÓ  DE DIRECCIÓN Y CERRÓ EL CORRESPONSAL, PERO QUE EN EL MOMENTO DEL TRASTEO AL PARECER SE LE ROBARON LOS EQUIPOS, PIDE POR FAVOR DARLOS DE BAJA Y PASAR LA CUENTA DE COBRO. LA PUBLICIDAD Y ROLLOS LO DESECHO.</t>
  </si>
  <si>
    <t>BOLAÑOS TABORDA JORGE ENRIQUE</t>
  </si>
  <si>
    <t>LC-CS-25-011955</t>
  </si>
  <si>
    <t>3007080325</t>
  </si>
  <si>
    <t>PTM CALI TIENDA MIXTA DONA MAR</t>
  </si>
  <si>
    <t>FO-25-2027729</t>
  </si>
  <si>
    <t>24/12/2025 SE ESCALA PARA VISITA. CONFIRMAR DATOS PARA LA RECOLECCION DE EQUIPOS | 29/12/2025 SE SOLICITA LA CANCELACIÓN DE LA ACTIVIDAD, YA QUE LOS EQUIPOS AÚN NO SE ENCUENTRAN EN POSESIÓN, SEGÚN LO INFORMADO POR EL USUARIO; POR LO TANTO, NO ES POSIBLE REALIZAR EL REGISTRO, SE CANCELA CIERRE</t>
  </si>
  <si>
    <t>HERNANDEZ CHAVARRIA JUAN CAMILO</t>
  </si>
  <si>
    <t>LC-CS-25-011994</t>
  </si>
  <si>
    <t>3007080777</t>
  </si>
  <si>
    <t>BARRIO SAN PASCUAL CALI 2</t>
  </si>
  <si>
    <t>FO-25-2048500</t>
  </si>
  <si>
    <t>29/12/2025 SE ESCALA PARA VISITA. CONFIRMAR DATOS PARA LA RECOLECCION DE EQUIPOS | 30/12/2025 SE LLEGA AL COMERCIO EL SEÑOR MARTÍN MORENO NO PERMITE LE RETIRO DE LOS EQUIPOS YA QUE INFORMA QUE ESTÁ HABLANDO CON BANCOLOMBIA PORQUE TIENE UN PROCESO PENDIENTE</t>
  </si>
  <si>
    <t>TA-25-1406942</t>
  </si>
  <si>
    <t>3007030779</t>
  </si>
  <si>
    <t>BARRIO SOHACHA</t>
  </si>
  <si>
    <t>FO-25-1975160</t>
  </si>
  <si>
    <t>RETIRO VOLUNTARIO</t>
  </si>
  <si>
    <t>PARCIAL EXITOSO PTE. DATAFONO</t>
  </si>
  <si>
    <t>15/12/2025 NA | 16/12/2025 SE REALIZA EL RETIRO VOLUNTARIO DE PIN PAD Y HUB. .  YA RETIRADOS PREVIAMENTE DEL COMERCIO  COMO MIGRACIÓN WOMPI</t>
  </si>
  <si>
    <t>18001</t>
  </si>
  <si>
    <t>TA-25-1426631</t>
  </si>
  <si>
    <t>3007077356</t>
  </si>
  <si>
    <t>BARRIO LOS ALPES FLORENCIA</t>
  </si>
  <si>
    <t>FO-25-1986243</t>
  </si>
  <si>
    <t>17/12/2025 OK | 17/12/2025 LA SEÑORITA NATALIA TAPIERO ENTREEAB LECTORA DE BARRAS DE FORMA VOLUNTARIA, LO ANTERIOR DEBIDO A QUE SE ESTABA REALIZANDO VISITA PARA EL CIERRE DEL CB 76638 (25-010298)  Y ELLA APROVECHANDO LA VISITA REALIZA LA ENTREGA</t>
  </si>
  <si>
    <t>00000</t>
  </si>
  <si>
    <t>ANDRADE HERNANDEZ JUAN CARLOS</t>
  </si>
  <si>
    <t>TA-25-1437564</t>
  </si>
  <si>
    <t>3007015611</t>
  </si>
  <si>
    <t>CENTRO COMERCIAL OMNICENTRO</t>
  </si>
  <si>
    <t>FO-25-2007654</t>
  </si>
  <si>
    <t>19/12/2025 SE HACE PRESENCIA EN DIRECCIÓN INDICADA POR EL CLIENTE SE REALIZA RETIRO VOLUNTARIO DE 1 LECTOR DE BARRAS AUTORIZADO POR REDEBAN</t>
  </si>
  <si>
    <t>SE RETIRÓ LECTOR EN DIRECCIÓN DIFERENTE</t>
  </si>
  <si>
    <t>70215</t>
  </si>
  <si>
    <t>TA-25-1460485</t>
  </si>
  <si>
    <t>3007034492</t>
  </si>
  <si>
    <t>SUCRE</t>
  </si>
  <si>
    <t>COROZAL</t>
  </si>
  <si>
    <t>DISTRICOL COPY EXPRESS M Y M</t>
  </si>
  <si>
    <t>FO-25-2038469</t>
  </si>
  <si>
    <t>26/12/2025 NA | 26/12/2025 SE RETIRA LECTORA DEL CORRESPONSAL BANCARIO</t>
  </si>
  <si>
    <t>BL014257</t>
  </si>
  <si>
    <t>8758</t>
  </si>
  <si>
    <t>TA-25-1460720</t>
  </si>
  <si>
    <t>3007069885</t>
  </si>
  <si>
    <t>SOLEDAD</t>
  </si>
  <si>
    <t>BARRIO CIUDADELA METROPOLITANA</t>
  </si>
  <si>
    <t>FO-25-2040688</t>
  </si>
  <si>
    <t>27/12/2025 NO SÉ RETIRA LLAMADA TELEFÓNICA DEBIDO A QUE EL CB ESTÁ ACTIVO. | 29/12/2025 SE REALIZA VISITA TÉCNICA, SE RETIRA DEL SITIO DATAFONO, NO SÉ RETIRA LECTOR DE BARRAS, QUEDA PENDIENTE POR QUÉ EL CLIENTE NO SABE DÓNDE SE ENCUENTRA, EQUIPO SE ENVÍA A BODEGA DE LÍNEA COMUNICACIONES EN LA CIUDAD DE BARRANQUILLA.</t>
  </si>
  <si>
    <t>TV000646</t>
  </si>
  <si>
    <t>DE AGUAS MUÑOZ DAVID JOSE</t>
  </si>
  <si>
    <t>68081</t>
  </si>
  <si>
    <t>TA-25-1462578</t>
  </si>
  <si>
    <t>3007064830</t>
  </si>
  <si>
    <t>BARRANCABERMEJA</t>
  </si>
  <si>
    <t>PTM BARRANCABERMEJA  PUNTOSERV</t>
  </si>
  <si>
    <t>FO-25-2045992</t>
  </si>
  <si>
    <t>29/12/2025 PROGRAMADO | 29/12/2025 SE SOLICITA LA CANCELACIÓN DE LA ACTIVIDAD, YA QUE LOS EQUIPOS AÚN NO SE ENCUENTRAN EN POSESIÓN, SEGÚN LO INFORMADO POR EL USUARIO; POR LO TANTO, NO ES POSIBLE REALIZAR EL REGISTRO, SE CANCELA CIERRE</t>
  </si>
  <si>
    <t>LÍNEA COMUNICACIONES S.A.S</t>
  </si>
  <si>
    <t>FACTURACIÓN CORRESPONSALES BANCARIOS TIQUIETES AÉREOS</t>
  </si>
  <si>
    <t>FACTURACIÓN VISITAS FALLIDAS CORRESPONSALES BANCARIOS</t>
  </si>
  <si>
    <t>CONCEPTOS</t>
  </si>
  <si>
    <t>TRAYECTOS</t>
  </si>
  <si>
    <t>TOTAL</t>
  </si>
  <si>
    <t>% ADMINISTRACIÓN</t>
  </si>
  <si>
    <t>CANT</t>
  </si>
  <si>
    <t>CIERRES NO EXITOSOS NOVIEMBRE 2025</t>
  </si>
  <si>
    <t xml:space="preserve">$ -   </t>
  </si>
  <si>
    <t xml:space="preserve"> $ -   </t>
  </si>
  <si>
    <t>TIQUETES</t>
  </si>
  <si>
    <t>SUBTOTAL</t>
  </si>
  <si>
    <t>IVA</t>
  </si>
  <si>
    <t>NO_EXITOSO</t>
  </si>
  <si>
    <t>ILOCALIZADO</t>
  </si>
  <si>
    <t>EJECUTADO_EXITOSO</t>
  </si>
  <si>
    <t>EJECUTADO_CANCELADO</t>
  </si>
  <si>
    <t>ESTADO FINAL(CONSOLIDADOS)</t>
  </si>
  <si>
    <t>CIERRE CB 70207</t>
  </si>
  <si>
    <t>BUCARAMANGA - ARAUCA - BUCARAMANGA</t>
  </si>
  <si>
    <t>Etiquetas de fila</t>
  </si>
  <si>
    <t>Total general</t>
  </si>
  <si>
    <t>Suma de VALOR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</si>
</sst>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quot;$&quot;\ * #,##0.00_-;\-&quot;$&quot;\ * #,##0.00_-;_-&quot;$&quot;\ * &quot;-&quot;??_-;_-@_-"/>
    <numFmt numFmtId="164" formatCode="_(&quot;$&quot;\ * #,##0.00_);_(&quot;$&quot;\ * \(#,##0.00\);_(&quot;$&quot;\ * &quot;-&quot;??_);_(@_)"/>
    <numFmt numFmtId="165" formatCode="_(&quot;$&quot;\ * #,##0_);_(&quot;$&quot;\ * \(#,##0\);_(&quot;$&quot;\ * &quot;-&quot;??_);_(@_)"/>
    <numFmt numFmtId="166" formatCode="dd/mm/yyyy"/>
    <numFmt numFmtId="167" formatCode="_-&quot;$&quot;\ * #,##0_-;\-&quot;$&quot;\ * #,##0_-;_-&quot;$&quot;\ * &quot;-&quot;??_-;_-@_-"/>
  </numFmts>
  <fonts count="17">
    <font>
      <sz val="11"/>
      <color theme="1"/>
      <name val="Calibri"/>
      <family val="2"/>
      <scheme val="minor"/>
    </font>
    <font>
      <sz val="11"/>
      <color theme="1"/>
      <name val="Calibri"/>
      <family val="2"/>
      <scheme val="minor"/>
    </font>
    <font>
      <sz val="10"/>
      <color theme="1"/>
      <name val="Apex"/>
      <family val="2"/>
    </font>
    <font>
      <sz val="10"/>
      <name val="Arial"/>
      <family val="2"/>
    </font>
    <font>
      <sz val="8"/>
      <color theme="1"/>
      <name val="Gelion Thin"/>
    </font>
    <font>
      <b/>
      <sz val="10"/>
      <name val="Gelion Thin"/>
    </font>
    <font>
      <sz val="10"/>
      <color rgb="FF000000"/>
      <name val="Gelion Thin"/>
    </font>
    <font>
      <sz val="10"/>
      <color theme="1"/>
      <name val="Gelion Thin"/>
    </font>
    <font>
      <sz val="8"/>
      <color rgb="FF000000"/>
      <name val="Gelion Thin"/>
    </font>
    <font>
      <b/>
      <sz val="11"/>
      <color theme="1"/>
      <name val="Gelion Thin"/>
    </font>
    <font>
      <sz val="11"/>
      <color rgb="FF000000"/>
      <name val="Gelion Thin"/>
    </font>
    <font>
      <b/>
      <sz val="11"/>
      <color rgb="FFFFFFFF"/>
      <name val="Calibri"/>
      <family val="2"/>
    </font>
    <font>
      <sz val="11"/>
      <color rgb="FF000000"/>
      <name val="Calibri"/>
      <family val="2"/>
      <scheme val="minor"/>
    </font>
    <font>
      <b/>
      <sz val="8"/>
      <name val="Gelion Thin"/>
    </font>
    <font>
      <sz val="8"/>
      <name val="Gelion Light"/>
    </font>
    <font>
      <sz val="10"/>
      <name val="Gelion Thin"/>
    </font>
    <font>
      <sz val="8"/>
      <name val="Gelion Thin"/>
    </font>
  </fonts>
  <fills count="7">
    <fill>
      <patternFill patternType="none"/>
    </fill>
    <fill>
      <patternFill patternType="gray125"/>
    </fill>
    <fill>
      <patternFill patternType="solid">
        <fgColor theme="0" tint="-0.34998626667073579"/>
        <bgColor indexed="64"/>
      </patternFill>
    </fill>
    <fill>
      <patternFill patternType="solid">
        <fgColor rgb="FF92D050"/>
        <bgColor indexed="64"/>
      </patternFill>
    </fill>
    <fill>
      <patternFill patternType="solid">
        <fgColor theme="6" tint="0.79998168889431442"/>
        <bgColor indexed="64"/>
      </patternFill>
    </fill>
    <fill>
      <patternFill patternType="solid">
        <fgColor rgb="FF001D62"/>
        <bgColor rgb="FF001D62"/>
      </patternFill>
    </fill>
    <fill>
      <patternFill patternType="solid">
        <fgColor rgb="FF9B9B9A"/>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s>
  <cellStyleXfs count="7">
    <xf numFmtId="0" fontId="0" fillId="0" borderId="0"/>
    <xf numFmtId="0" fontId="1" fillId="0" borderId="0"/>
    <xf numFmtId="0" fontId="2" fillId="0" borderId="0"/>
    <xf numFmtId="164" fontId="3" fillId="0" borderId="0"/>
    <xf numFmtId="0" fontId="3" fillId="0" borderId="0"/>
    <xf numFmtId="0" fontId="1" fillId="0" borderId="0"/>
    <xf numFmtId="44" fontId="1" fillId="0" borderId="0" applyFont="0" applyFill="0" applyBorder="0" applyAlignment="0" applyProtection="0"/>
  </cellStyleXfs>
  <cellXfs count="64">
    <xf numFmtId="0" fontId="0" fillId="0" borderId="0" xfId="0"/>
    <xf numFmtId="164" fontId="5" fillId="2" borderId="1" xfId="3" applyFont="1" applyFill="1" applyBorder="1" applyAlignment="1">
      <alignment horizontal="center" vertical="center"/>
    </xf>
    <xf numFmtId="0" fontId="6" fillId="0" borderId="1" xfId="0" applyFont="1" applyBorder="1" applyAlignment="1">
      <alignment vertical="center"/>
    </xf>
    <xf numFmtId="6" fontId="7" fillId="0" borderId="1" xfId="0" applyNumberFormat="1" applyFont="1" applyBorder="1" applyAlignment="1">
      <alignment vertical="center" wrapText="1"/>
    </xf>
    <xf numFmtId="0" fontId="8" fillId="0" borderId="2" xfId="0" applyFont="1" applyBorder="1" applyAlignment="1">
      <alignment vertical="center"/>
    </xf>
    <xf numFmtId="0" fontId="8" fillId="0" borderId="0" xfId="0" applyFont="1" applyAlignment="1">
      <alignment vertical="center"/>
    </xf>
    <xf numFmtId="165" fontId="4" fillId="0" borderId="0" xfId="3" applyNumberFormat="1" applyFont="1" applyAlignment="1">
      <alignment horizontal="center" vertical="center"/>
    </xf>
    <xf numFmtId="0" fontId="8" fillId="0" borderId="1" xfId="0" applyFont="1" applyBorder="1" applyAlignment="1">
      <alignment vertical="center"/>
    </xf>
    <xf numFmtId="0" fontId="4" fillId="0" borderId="0" xfId="0" applyFont="1"/>
    <xf numFmtId="0" fontId="9" fillId="0" borderId="1" xfId="0" applyFont="1" applyBorder="1"/>
    <xf numFmtId="0" fontId="9" fillId="0" borderId="1" xfId="5" applyFont="1" applyBorder="1"/>
    <xf numFmtId="0" fontId="10" fillId="0" borderId="1" xfId="0" applyFont="1" applyBorder="1"/>
    <xf numFmtId="0" fontId="10" fillId="0" borderId="4" xfId="0" applyFont="1" applyBorder="1"/>
    <xf numFmtId="0" fontId="10" fillId="0" borderId="5" xfId="0" applyFont="1" applyBorder="1"/>
    <xf numFmtId="0" fontId="10" fillId="0" borderId="8" xfId="0" applyFont="1" applyBorder="1"/>
    <xf numFmtId="6" fontId="0" fillId="0" borderId="0" xfId="0" applyNumberFormat="1"/>
    <xf numFmtId="10" fontId="0" fillId="3" borderId="6" xfId="0" applyNumberFormat="1" applyFill="1" applyBorder="1" applyAlignment="1">
      <alignment horizontal="center"/>
    </xf>
    <xf numFmtId="164" fontId="5" fillId="2" borderId="3" xfId="3" applyFont="1" applyFill="1" applyBorder="1" applyAlignment="1">
      <alignment horizontal="center" vertical="center"/>
    </xf>
    <xf numFmtId="164" fontId="5" fillId="2" borderId="7" xfId="3" applyFont="1" applyFill="1" applyBorder="1" applyAlignment="1">
      <alignment horizontal="center" vertical="center"/>
    </xf>
    <xf numFmtId="6" fontId="7" fillId="4" borderId="1" xfId="0" applyNumberFormat="1" applyFont="1" applyFill="1" applyBorder="1" applyAlignment="1">
      <alignment horizontal="center"/>
    </xf>
    <xf numFmtId="165" fontId="4" fillId="4" borderId="1" xfId="3" applyNumberFormat="1" applyFont="1" applyFill="1" applyBorder="1" applyAlignment="1">
      <alignment horizontal="center" vertical="center"/>
    </xf>
    <xf numFmtId="0" fontId="11" fillId="5" borderId="0" xfId="0" applyFont="1" applyFill="1" applyAlignment="1">
      <alignment horizontal="center" vertical="center" wrapText="1"/>
    </xf>
    <xf numFmtId="166" fontId="0" fillId="0" borderId="0" xfId="0" applyNumberFormat="1"/>
    <xf numFmtId="1" fontId="0" fillId="0" borderId="0" xfId="0" applyNumberFormat="1"/>
    <xf numFmtId="0" fontId="12" fillId="0" borderId="0" xfId="0" applyFont="1"/>
    <xf numFmtId="0" fontId="8" fillId="0" borderId="1" xfId="0" applyFont="1" applyBorder="1"/>
    <xf numFmtId="0" fontId="5" fillId="0" borderId="1" xfId="0" applyFont="1" applyBorder="1" applyAlignment="1">
      <alignment horizontal="center"/>
    </xf>
    <xf numFmtId="0" fontId="13" fillId="6" borderId="7" xfId="0" applyFont="1" applyFill="1" applyBorder="1" applyAlignment="1">
      <alignment horizontal="center"/>
    </xf>
    <xf numFmtId="0" fontId="13" fillId="6" borderId="1" xfId="0" applyFont="1" applyFill="1" applyBorder="1" applyAlignment="1">
      <alignment horizontal="center"/>
    </xf>
    <xf numFmtId="0" fontId="13" fillId="6" borderId="1" xfId="0" applyFont="1" applyFill="1" applyBorder="1" applyAlignment="1">
      <alignment horizontal="center" vertical="center"/>
    </xf>
    <xf numFmtId="0" fontId="5" fillId="6" borderId="1" xfId="0" applyFont="1" applyFill="1" applyBorder="1"/>
    <xf numFmtId="0" fontId="15" fillId="0" borderId="7" xfId="0" applyFont="1" applyBorder="1"/>
    <xf numFmtId="6" fontId="15" fillId="0" borderId="7" xfId="0" applyNumberFormat="1" applyFont="1" applyBorder="1"/>
    <xf numFmtId="0" fontId="14" fillId="0" borderId="10" xfId="0" applyFont="1" applyBorder="1" applyAlignment="1">
      <alignment horizontal="center"/>
    </xf>
    <xf numFmtId="167" fontId="8" fillId="0" borderId="7" xfId="6" applyNumberFormat="1" applyFont="1" applyBorder="1" applyAlignment="1">
      <alignment vertical="center"/>
    </xf>
    <xf numFmtId="0" fontId="15" fillId="0" borderId="1" xfId="0" applyFont="1" applyBorder="1"/>
    <xf numFmtId="6" fontId="15" fillId="0" borderId="1" xfId="0" applyNumberFormat="1" applyFont="1" applyBorder="1"/>
    <xf numFmtId="0" fontId="16" fillId="0" borderId="6" xfId="0" applyFont="1" applyBorder="1"/>
    <xf numFmtId="167" fontId="8" fillId="0" borderId="6" xfId="6" applyNumberFormat="1" applyFont="1" applyBorder="1" applyAlignment="1">
      <alignment vertical="center"/>
    </xf>
    <xf numFmtId="6" fontId="15" fillId="0" borderId="5" xfId="0" applyNumberFormat="1" applyFont="1" applyBorder="1"/>
    <xf numFmtId="0" fontId="8" fillId="0" borderId="6" xfId="0" applyFont="1" applyBorder="1" applyAlignment="1">
      <alignment horizontal="center" vertical="center"/>
    </xf>
    <xf numFmtId="6" fontId="5" fillId="0" borderId="1" xfId="0" applyNumberFormat="1" applyFont="1" applyBorder="1"/>
    <xf numFmtId="6" fontId="5" fillId="6" borderId="1" xfId="0" applyNumberFormat="1" applyFont="1" applyFill="1" applyBorder="1"/>
    <xf numFmtId="0" fontId="13" fillId="6" borderId="11" xfId="0" applyFont="1" applyFill="1" applyBorder="1" applyAlignment="1">
      <alignment horizontal="center" vertical="center"/>
    </xf>
    <xf numFmtId="0" fontId="13" fillId="6" borderId="8" xfId="0" applyFont="1" applyFill="1" applyBorder="1" applyAlignment="1">
      <alignment horizontal="center" vertical="center"/>
    </xf>
    <xf numFmtId="167" fontId="13" fillId="6" borderId="5" xfId="6" applyNumberFormat="1" applyFont="1" applyFill="1" applyBorder="1" applyAlignment="1">
      <alignment horizontal="center" vertical="center"/>
    </xf>
    <xf numFmtId="167" fontId="14" fillId="0" borderId="6" xfId="6" applyNumberFormat="1" applyFont="1" applyBorder="1" applyAlignment="1">
      <alignment horizontal="center"/>
    </xf>
    <xf numFmtId="0" fontId="5" fillId="6" borderId="3" xfId="0" applyFont="1" applyFill="1" applyBorder="1" applyAlignment="1">
      <alignment horizontal="center"/>
    </xf>
    <xf numFmtId="0" fontId="5" fillId="6" borderId="4" xfId="0" applyFont="1" applyFill="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5" fillId="0" borderId="3" xfId="0" applyFont="1" applyBorder="1" applyAlignment="1">
      <alignment horizontal="center"/>
    </xf>
    <xf numFmtId="0" fontId="5" fillId="0" borderId="9" xfId="0" applyFont="1" applyBorder="1" applyAlignment="1">
      <alignment horizontal="center"/>
    </xf>
    <xf numFmtId="0" fontId="5" fillId="0" borderId="4" xfId="0" applyFont="1" applyBorder="1" applyAlignment="1">
      <alignment horizontal="center"/>
    </xf>
    <xf numFmtId="0" fontId="5" fillId="6" borderId="9" xfId="0" applyFont="1" applyFill="1" applyBorder="1" applyAlignment="1">
      <alignment horizontal="center"/>
    </xf>
    <xf numFmtId="17" fontId="5" fillId="6" borderId="3" xfId="0" applyNumberFormat="1" applyFont="1" applyFill="1" applyBorder="1" applyAlignment="1">
      <alignment horizontal="center"/>
    </xf>
    <xf numFmtId="17" fontId="5" fillId="6" borderId="9" xfId="0" applyNumberFormat="1" applyFont="1" applyFill="1" applyBorder="1" applyAlignment="1">
      <alignment horizontal="center"/>
    </xf>
    <xf numFmtId="17" fontId="5" fillId="6" borderId="4" xfId="0" applyNumberFormat="1" applyFont="1" applyFill="1" applyBorder="1" applyAlignment="1">
      <alignment horizontal="center"/>
    </xf>
    <xf numFmtId="0" fontId="5" fillId="2" borderId="0" xfId="0" applyFont="1" applyFill="1" applyAlignment="1">
      <alignment horizontal="center"/>
    </xf>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7">
    <cellStyle name="Moneda" xfId="6" builtinId="4"/>
    <cellStyle name="Moneda 2 10" xfId="3" xr:uid="{00000000-0005-0000-0000-000003000000}"/>
    <cellStyle name="Normal" xfId="0" builtinId="0"/>
    <cellStyle name="Normal 172" xfId="2" xr:uid="{00000000-0005-0000-0000-000002000000}"/>
    <cellStyle name="Normal 177" xfId="5" xr:uid="{00000000-0005-0000-0000-000005000000}"/>
    <cellStyle name="Normal 2 10 2" xfId="4" xr:uid="{00000000-0005-0000-0000-000004000000}"/>
    <cellStyle name="Normal 2 2 2 2 6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6857465278" createdVersion="8" refreshedVersion="8" minRefreshableVersion="3" recordCount="82" xr:uid="{BB311DF4-59E0-48E5-9525-F95E77FC28DE}">
  <cacheSource type="worksheet">
    <worksheetSource ref="A1:AE1048576" sheet="CIERRES"/>
  </cacheSource>
  <cacheFields count="31">
    <cacheField name="CIUDAD SEDE" numFmtId="0">
      <sharedItems containsBlank="1"/>
    </cacheField>
    <cacheField name="ZONA" numFmtId="0">
      <sharedItems containsBlank="1" count="7">
        <s v="COSTA"/>
        <s v="SUROCCIDENTE Y EJE CAFETERO"/>
        <s v="SANTANDERES"/>
        <s v="CUNDINAMARCA"/>
        <s v="NOROCCIDENTE"/>
        <s v="REMOTAS"/>
        <m/>
      </sharedItems>
    </cacheField>
    <cacheField name="CENTRO DE COSTOS LINEACOM" numFmtId="0">
      <sharedItems containsBlank="1" count="8">
        <s v="0004-0001"/>
        <s v="0004-0003"/>
        <s v="0004-0008"/>
        <s v="0004-0004"/>
        <s v="0004-0005"/>
        <s v="0004-0007"/>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7T08:00:00" maxDate="2025-12-29T15:49:00"/>
    </cacheField>
    <cacheField name="FECHA CIERRE DEL TICKET (DD/MM/AAAA HH:MM)" numFmtId="0">
      <sharedItems containsNonDate="0" containsDate="1" containsString="0" containsBlank="1" minDate="2025-12-01T15:02:00" maxDate="2025-12-31T07:01:00"/>
    </cacheField>
    <cacheField name="ACOMETID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ESTADO FINAL(CONSOLIDADOS)"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VALOR ACTIVIDAD" numFmtId="0">
      <sharedItems containsString="0" containsBlank="1" containsNumber="1" containsInteger="1" minValue="37905" maxValue="988463"/>
    </cacheField>
    <cacheField name="VALOR TOTAL" numFmtId="0">
      <sharedItems containsString="0" containsBlank="1" containsNumber="1" containsInteger="1" minValue="37905" maxValue="9884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s v="MONTERIA"/>
    <x v="0"/>
    <x v="0"/>
    <s v="5495"/>
    <s v="LC-CS-25-010004"/>
    <s v="3007046864"/>
    <s v="OC CIERRE"/>
    <s v="ANTIOQUIA"/>
    <s v="NECHI"/>
    <s v="DISTRICOL PAPELERIA LA 28"/>
    <s v="REDEBAN"/>
    <s v="FO-25-1888729"/>
    <d v="2025-11-27T08:00:00"/>
    <d v="2025-12-01T15:43:00"/>
    <m/>
    <s v="CIERRE"/>
    <s v="CIERRE"/>
    <s v="AGREGADOR"/>
    <s v="DISTRICOL"/>
    <s v="EJECUTADO / CANCELADO"/>
    <s v="NO_EXITOSO"/>
    <s v="CB NO ENTREGA EQUIPO"/>
    <s v="26/11/2025 SE ESCALA PARA VISITA. CONFIRMAR DATOS PARA LA RECOLECCION DE EQUIPOS | 01/12/2025 SE REALIZA VISITA AL PUNTO PARA CIERRE DE CORRESPONSAL, SE LLEGA AL PUNTO DONDE SE INSTALÓ EL CB PERO LOCAL COMERCIAL SE ENCONTRÓ CERRADO, SE REALIZAN LLAMADAS HASTA QUE SE LOGRÓ COMUNICACION CON EL CLIENTE LA SEÑORA LINA SIERRA QUIEN CONFIRMA QUE EL LOCAL SE ENCIENTRA CERRADO NO ABREN MÁS AL PÚBLICO Y LOS EQUIPOS FUERON ENVIADOS A LA ALIANZA DISTRICOL."/>
    <s v="VISITA TECNICA"/>
    <s v="SIN INTERVENIR"/>
    <s v="TIPO III"/>
    <s v="TERRESTRE"/>
    <s v="GONZALEZ FERRER JESUS ALEXANDER"/>
    <n v="1"/>
    <n v="222904"/>
    <n v="222904"/>
  </r>
  <r>
    <s v="MONTERIA"/>
    <x v="0"/>
    <x v="0"/>
    <s v="5495"/>
    <s v="LC-CS-25-010005"/>
    <s v="3007066857"/>
    <s v="OC CIERRE"/>
    <s v="ANTIOQUIA"/>
    <s v="NECHI"/>
    <s v="DISTRICOL INTER NECHI"/>
    <s v="REDEBAN"/>
    <s v="FO-25-1888720"/>
    <d v="2025-11-27T08:00:00"/>
    <d v="2025-12-01T16:17:00"/>
    <m/>
    <s v="CIERRE"/>
    <s v="CIERRE"/>
    <s v="AGREGADOR"/>
    <s v="DISTRICOL"/>
    <s v="EJECUTADO / CANCELADO"/>
    <s v="ILOCALIZADO"/>
    <s v="CB CERRADO - DESOCUPADO"/>
    <s v="26/11/2025 SE ESCALA PARA VISITA. CONFIRMAR DATOS PARA LA RECOLECCION DE EQUIPOS | 02/12/2025 SE REALIZA VISITA AL PUNTO PARA CIERRE DE CORRESPONSAL, AL LLEGAR AL PUNTO, DIRECCIÓN DONDE FUE INSTALADO EL CORRESPONSAL SE ENCONTRÓ COMERCIO CERRADO, SE INTENTA COMISIÓN CON EL CLIENTE PERO NO FUE POSIBLE, CONTACTO APAGADOS, SE PREGUNTA EN COMERCIO VECINOS E INDICAN QUE HACE RATO EL CB NO FUNCIONA HAY."/>
    <s v="VISITA TECNICA"/>
    <s v="NO INTERVENIDA"/>
    <s v="TIPO III"/>
    <s v="TERRESTRE"/>
    <s v="GONZALEZ FERRER JESUS ALEXANDER"/>
    <n v="1"/>
    <n v="222904"/>
    <n v="222904"/>
  </r>
  <r>
    <s v="PASTO"/>
    <x v="1"/>
    <x v="1"/>
    <s v="52227"/>
    <s v="LC-CS-25-010006"/>
    <s v="3007073002"/>
    <s v="OC CIERRE"/>
    <s v="NARIÑO"/>
    <s v="CUMBAL"/>
    <s v="DISTRICOL EDS CUMBAL"/>
    <s v="REDEBAN"/>
    <s v="FO-25-1888717"/>
    <d v="2025-11-27T08:00:00"/>
    <d v="2025-12-03T14:13:00"/>
    <m/>
    <s v="CIERRE"/>
    <s v="CIERRE"/>
    <s v="AGREGADOR"/>
    <s v="DISTRICOL"/>
    <s v="EJECUTADO / CANCELADO"/>
    <s v="NO_EXITOSO"/>
    <s v="CB NO ENTREGA EQUIPO"/>
    <s v="26/11/2025 SE ESCALA PARA VISITA. CONFIRMAR DATOS PARA LA RECOLECCION DE EQUIPOS | 03/12/2025 SE INTENTÓ REALIZAR COMUNICACIÓN CON LA USUARIA ANTES DEL DESPLAZAMIENTO, PERO NO FUE POSIBLE. AL LLEGAR AL CB, SE ENCUENTRA CERRADO. SE REALIZA NUEVAMENTE LLAMADA A LA USUARIA, QUIEN INFORMA QUE NO SE ENCUENTRA EN EL PUNTO Y ARGUMENTA HABER ENVIADO UN DERECHO DE PETICIÓN A BANCOLOMBIA PARA EVITAR EL CIERRE DEL CB, POR LO QUE NO VA A ENTREGAR LOS ELEMENTOS DEL CORRESPONSAL."/>
    <s v="VISITA TECNICA"/>
    <s v="LN00S313"/>
    <s v="TIPO III"/>
    <s v="TERRESTRE"/>
    <s v="GUERRERO RAMIREZ OSCAR DARIO"/>
    <n v="1"/>
    <n v="222904"/>
    <n v="222904"/>
  </r>
  <r>
    <s v="CUCUTA"/>
    <x v="2"/>
    <x v="2"/>
    <s v="54001"/>
    <s v="LC-CS-25-010007"/>
    <s v="3007064241"/>
    <s v="OC CIERRE"/>
    <s v="NORTE DE SANTANDER"/>
    <s v="CUCUTA"/>
    <s v="DISTRICOL VILLAFRAN ESCOBAL"/>
    <s v="REDEBAN"/>
    <s v="FO-25-1888711"/>
    <d v="2025-11-27T08:00:00"/>
    <d v="2025-12-02T08:50:00"/>
    <m/>
    <s v="CIERRE"/>
    <s v="CIERRE"/>
    <s v="AGREGADOR"/>
    <s v="DISTRICOL"/>
    <s v="EJECUTADO / CANCELADO"/>
    <s v="ILOCALIZADO"/>
    <s v="CB CERRADO - DESOCUPADO"/>
    <s v="26/11/2025 SE ESCALA PARA VISITA. CONFIRMAR DATOS PARA LA RECOLECCION DE EQUIPOS | 01/12/2025 SE REALIZA VISITA, COMERCIO NO EXISTE EN LA DIRECCIÓN INDICADA, SE INTENTA CONTACTAR TELEFÓNICAMENTE AL CLIENTE PERO NO RESPONDE EL NÚMERO DE CONTACTO."/>
    <s v="VISITA TECNICA"/>
    <m/>
    <s v="TIPO I"/>
    <s v="TERRESTRE"/>
    <s v="PACHECO BUITRAGO JAVIER ALONSO"/>
    <n v="1"/>
    <n v="44560"/>
    <n v="44560"/>
  </r>
  <r>
    <s v="BOGOTA"/>
    <x v="3"/>
    <x v="3"/>
    <s v="25430"/>
    <s v="LC-CS-25-010010"/>
    <s v="3007060565"/>
    <s v="OC CIERRE"/>
    <s v="CUNDINAMARCA"/>
    <s v="MADRID"/>
    <s v="BARRIO MADRID MADRID 8"/>
    <s v="REDEBAN"/>
    <s v="FO-25-1888781"/>
    <d v="2025-11-27T08:00:00"/>
    <d v="2025-12-03T18:32:00"/>
    <m/>
    <s v="CIERRE"/>
    <s v="CIERRE"/>
    <s v="CB UNO A UNO"/>
    <s v="CB UNO A UNO"/>
    <s v="EJECUTADO / CANCELADO"/>
    <s v="NO_EXITOSO"/>
    <s v="CB NO ENTREGA EQUIPO"/>
    <s v="26/11/2025 SE ESCALA PARA VISITA. CONFIRMAR DATOS PARA LA RECOLECCION DE EQUIPOS | 03/12/2025 SE LLEGA A COMERCIO, INDICA QUE NO FUERON NOTIFICADOS POR BANCOLOMBIA Y NO ENTREGAN EQUIPOS. SE CIERRA."/>
    <s v="VISITA TECNICA"/>
    <s v="0"/>
    <s v="TIPO II"/>
    <s v="TERRESTRE"/>
    <s v="ARIAS QUILINDO JULIAN"/>
    <n v="1"/>
    <n v="134411"/>
    <n v="134411"/>
  </r>
  <r>
    <s v="MONTERIA"/>
    <x v="0"/>
    <x v="0"/>
    <s v="23807"/>
    <s v="LC-CS-25-010134"/>
    <s v="3007072859"/>
    <s v="OC CIERRE"/>
    <s v="CORDOBA"/>
    <s v="TIERRALTA"/>
    <s v="TIERRALTA 19 MARZO"/>
    <s v="REDEBAN"/>
    <s v="FO-25-1904932"/>
    <d v="2025-11-28T15:56:00"/>
    <d v="2025-12-04T07:48:00"/>
    <m/>
    <s v="CIERRE"/>
    <s v="CIERRE"/>
    <s v="UNO A UNO"/>
    <s v="UNO A UNO"/>
    <s v="CANCELADO"/>
    <s v="NO_EXITOSO"/>
    <s v="CB NO ENTREGA EQUIPO"/>
    <s v="02/12/2025 SE REALIZA COMUNICACIÓN CON LA SEÑORA ZORAIDA NEGRETE QUIEN INDICA NO ENCONTRARSE EN LA LOCALIDAD, SE REALIZA DESPLAZAMIENTO A SITIO Y SE TOMAN LAS EVIDENCIAS CORRESPONDIENTES POR LO CUAL DA CIERRE A LA WO, CLIENTE INDICA COMUNICARSE CON ELLA ANTES PARA PROGRAMAR VISITA | 03/12/2025 SE REALIZA COMUNICACIÓN CON LA SEÑORA ZORAIDA NEGRETE QUIEN INDICA NO ENCONTRARSE EN LA LOCALIDAD, SE REALIZA DESPLAZAMIENTO A SITIO Y SE TOMAN LAS EVIDENCIAS CORRESPONDIENTES POR LO CUAL DA CIERRE A LA WO, CLIENTE INDICA COMUNICARSE CON ELLA ANTES PARA PROGRAMAR VISITA | 03/12/2025 SE REALIZA COMUNICACIÓN CON LA SEÑORA ZORAIDA NEGRETE QUIEN INDICA NO ENCONTRARSE EN LA LOCALIDAD, POR LO CUAL DA CIERRE A LA FO, CLIENTE INDICA COMUNICARSE CON ELLA ANTES PARA PROGRAMAR VISITA"/>
    <s v="VISITA TECNICA"/>
    <m/>
    <s v="TIPO III"/>
    <s v="TERRESTRE"/>
    <s v="MARQUEZ HOYOS JEYSON DANIEL"/>
    <n v="1"/>
    <n v="222904"/>
    <n v="222904"/>
  </r>
  <r>
    <s v="BOGOTA"/>
    <x v="3"/>
    <x v="3"/>
    <s v="11001"/>
    <s v="LC-CS-25-010140"/>
    <s v="3007014916"/>
    <s v="OC CIERRE"/>
    <s v="CUNDINAMARCA"/>
    <s v="BOGOTA"/>
    <s v="BARRIO BOSA BETANIA II BOGOTA"/>
    <s v="REDEBAN"/>
    <s v="FO-25-1904919"/>
    <d v="2025-11-28T15:56:00"/>
    <d v="2025-12-03T15:47:00"/>
    <m/>
    <s v="CIERRE"/>
    <s v="CIERRE"/>
    <s v="CB UNO A UNO"/>
    <s v="CB UNO A UNO"/>
    <s v="EJECUTADO / CANCELADO"/>
    <s v="NO_EXITOSO"/>
    <s v="CB NO ENTREGA EQUIPO"/>
    <s v="03/12/2025 SE ESCALA PARA VISITA. CONFIRMAR DATOS PARA LA RECOLECCION DE EQUIPOS | 03/12/2025 SE LLEGA AL COMERCIO E INDICAN QUE EL TITULAR SE LLEVÓ LOS EQUIPOS SE PROCEDE A LLAMAR AL NÚMERO #3114504656 PERO NO HAY RESPUESTA"/>
    <s v="VISITA TECNICA"/>
    <s v="1AZZZ228"/>
    <s v="TIPO I"/>
    <s v="TERRESTRE"/>
    <s v="ALARCON AREVALO JOHAN STIVEN"/>
    <n v="1"/>
    <n v="44560"/>
    <n v="44560"/>
  </r>
  <r>
    <s v="MEDELLIN"/>
    <x v="4"/>
    <x v="4"/>
    <s v="5615"/>
    <s v="LC-CS-25-010143"/>
    <s v="3007080483"/>
    <s v="OC CIERRE"/>
    <s v="ANTIOQUIA"/>
    <s v="RIONEGRO"/>
    <s v="DISTRICOL ACUNA TIENDA INFANTI"/>
    <s v="REDEBAN"/>
    <s v="FO-25-1904966"/>
    <d v="2025-11-28T15:56:00"/>
    <d v="2025-12-01T15:02:00"/>
    <m/>
    <s v="CIERRE"/>
    <s v="CIERRE"/>
    <s v="AGREGADOR"/>
    <s v="DISTRICOL"/>
    <s v="EJECUTADO / CANCELADO"/>
    <s v="NO_EXITOSO"/>
    <s v="CB NO ENTREGA EQUIPO"/>
    <s v="28/11/2025 SE ESCALA PARA VISITA. CONFIRMAR DATOS PARA LA RECOLECCION DE EQUIPOS | 01/12/2025 SE VISITA PUNTO Y USUARIO MANIFISTA QUÉ YA ENTREGÓ LOS EQUIPOS LA SEMANA PASADA AL ASESOR"/>
    <s v="VISITA TECNICA"/>
    <s v="NA"/>
    <s v="TIPO II"/>
    <s v="TERRESTRE"/>
    <s v="DIAZ ZABALA FRANCIS DUBAN"/>
    <n v="1"/>
    <n v="134411"/>
    <n v="134411"/>
  </r>
  <r>
    <s v="BUCARAMANGA"/>
    <x v="2"/>
    <x v="2"/>
    <s v="81001"/>
    <s v="LC-CS-25-010148"/>
    <s v="3007070207"/>
    <s v="OC CIERRE"/>
    <s v="ARAUCA"/>
    <s v="ARAUCA"/>
    <s v="DISTRICOL CON CELULARES RONDON"/>
    <s v="REDEBAN"/>
    <s v="FO-25-1904957"/>
    <d v="2025-11-28T15:56:00"/>
    <d v="2025-12-04T11:20:00"/>
    <m/>
    <s v="CIERRE"/>
    <s v="CIERRE"/>
    <s v="AGREGADOR"/>
    <s v="DISTRICOL"/>
    <s v="EJECUTADO / CANCELADO"/>
    <s v="ILOCALIZADO"/>
    <s v="CB CERRADO - DESOCUPADO"/>
    <s v="28/11/2025 SE ESCALA PARA VISITA. CONFIRMAR DATOS PARA LA RECOLECCION DE EQUIPOS | 04/12/2025 SE INTENTA LA COMUNICACIÓN CON LOS NÚMEROS DE TELÉFONO QUE INDICA RBM , NO FUE POSIBLE , UNO DE LOS CONTACTOS INDICA QUE ÉL ERA UN EMPLEADO PERO QUE YA NO ESTÁ LABORANDO CON ELLOS Y NO TIENE COMUNICACIÓN , DEBIDO QUE NOS ENCONTRAMOS EN LA ZONA VISITAMOS EL SITIO PERO AL VALIDAR SE ENCUENTRA CERRADO , SE VALIDA CON OTROS COMERCIOS NOS INDICA QUE ELLOS YA SE FUERON Y YA NO HAY SERVICIO, SE EVIDENCIA QUE EL SITIO NO TIENE SERVICIO"/>
    <s v="VISITA TECNICA"/>
    <s v="EF007296"/>
    <s v="TIPO V"/>
    <s v="AEREO"/>
    <s v="HERRERA LUQUE SAUL JAVIER"/>
    <n v="1"/>
    <n v="988463"/>
    <n v="988463"/>
  </r>
  <r>
    <s v="BUCARAMANGA"/>
    <x v="2"/>
    <x v="2"/>
    <s v="81794"/>
    <s v="LC-CS-25-010149"/>
    <s v="3007062732"/>
    <s v="OC CIERRE"/>
    <s v="ARAUCA"/>
    <s v="TAME"/>
    <s v="DISTRICOL YARICELU"/>
    <s v="REDEBAN"/>
    <s v="FO-25-1904944"/>
    <d v="2025-11-28T15:56:00"/>
    <d v="2025-12-03T09:02:00"/>
    <m/>
    <s v="CIERRE"/>
    <s v="CIERRE"/>
    <s v="AGREGADOR"/>
    <s v="DISTRICOL"/>
    <m/>
    <s v="NO_EXITOSO"/>
    <s v="CB NO ENTREGA EQUIPO"/>
    <s v="28/11/2025 SE ESCALA PARA VISITA. CONFIRMAR DATOS PARA LA RECOLECCION DE EQUIPOS | 03/12/2025 SE COMUNICA CON EL CLIENTE AL NÚMERO DE TELÉFONO 3102253142 , LA SEÑORITA YARITZA VAQUIRO INDICA QUE LOS EQUIPOS FUERON ENVIADOS A LA CIUDAD DE MEDELLÍN , CLIENTE COMPARTE GUÍA DE ENVÍO DE EQUIPOS"/>
    <s v="SOPORTE TELEFONICO"/>
    <m/>
    <s v="TIPO V"/>
    <s v="AEREO"/>
    <s v="HERRERA LUQUE SAUL JAVIER"/>
    <n v="0"/>
    <n v="37905"/>
    <n v="37905"/>
  </r>
  <r>
    <s v="MEDELLIN"/>
    <x v="4"/>
    <x v="4"/>
    <s v="5148"/>
    <s v="LC-CS-25-010172"/>
    <s v="3007049930"/>
    <s v="OC CIERRE"/>
    <s v="ANTIOQUIA"/>
    <s v="EL CARMEN DE VIBORAL"/>
    <s v="BARRIO HOSPITAL EL CARMEN DE V"/>
    <s v="REDEBAN"/>
    <s v="FO-25-1932768"/>
    <d v="2025-12-04T16:29:00"/>
    <d v="2025-12-12T07:01:00"/>
    <m/>
    <s v="CIERRE"/>
    <s v="CIERRE"/>
    <s v="UNO A UNO"/>
    <s v="CB UNO A UNO"/>
    <s v="EJECUTADO / CANCELADO"/>
    <s v="ILOCALIZADO"/>
    <s v="CB CERRADO - DESOCUPADO"/>
    <s v="11/12/2025 . | 11/12/2025 SE VISITA DIRECCIÓN Y EN DIRECCIÓN NOS INDICA QUE NO CONOCEN EL SEÑOR MILTO. SE HACEN INTENTOS DE COMUNICACIÓN SIN ÉXITO"/>
    <s v="VISITA TECNICA"/>
    <m/>
    <s v="TIPO II"/>
    <s v="TERRESTRE"/>
    <s v="DIAZ ZABALA FRANCIS DUBAN"/>
    <n v="1"/>
    <n v="134411"/>
    <n v="134411"/>
  </r>
  <r>
    <s v="NEIVA"/>
    <x v="5"/>
    <x v="5"/>
    <s v="18592"/>
    <s v="LC-CS-25-010176"/>
    <s v="3007046649"/>
    <s v="OC CIERRE"/>
    <s v="CAQUETA"/>
    <s v="PUERTO RICO"/>
    <s v="BARRIO LAS DAMAS PUERTO RICO"/>
    <s v="REDEBAN"/>
    <s v="FO-25-1932739"/>
    <d v="2025-12-04T16:29:00"/>
    <d v="2025-12-05T14:43:00"/>
    <m/>
    <s v="CIERRE"/>
    <s v="CIERRE"/>
    <s v="CB UNO A UNO"/>
    <s v="CB UNO A UNO"/>
    <s v="EJECUTADO / CANCELADO"/>
    <s v="ILOCALIZADO"/>
    <s v="CB CERRADO - DESOCUPADO"/>
    <s v="05/12/2025 VISTA EN CALIENTE CLIENTE NO CONTESTA, SE VA A BUZÓN DE VOZ | 05/12/2025 SE LLEGA A LA DIRECCIÓN INDICADA PERO ESTABLECIMIENTO SE ENCUENTRA CERRADO, SE LLAMA AL NÚMERO DE LA ORDEN PERO NADIE CONTESTA."/>
    <s v="VISITA TECNICA"/>
    <s v="XP007629"/>
    <s v="TIPO V"/>
    <s v="TERRESTRE"/>
    <s v="BERMUDEZ SANCHEZ JOSE NEYBER"/>
    <n v="1"/>
    <n v="464809"/>
    <n v="464809"/>
  </r>
  <r>
    <s v="MONTERIA"/>
    <x v="0"/>
    <x v="0"/>
    <s v="23001"/>
    <s v="LC-CS-25-010177"/>
    <s v="3007074365"/>
    <s v="OC CIERRE"/>
    <s v="CORDOBA"/>
    <s v="MONTERIA"/>
    <s v="BARRIO LA ESMERALDA MONTERIA 1"/>
    <s v="REDEBAN"/>
    <s v="FO-25-1932762"/>
    <d v="2025-12-04T16:29:00"/>
    <d v="2025-12-06T11:40:00"/>
    <m/>
    <s v="CIERRE"/>
    <s v="CIERRE"/>
    <s v="CB UNO A UNO"/>
    <s v="CB UNO A UNO"/>
    <s v="EJECUTADO / CANCELADO"/>
    <s v="ILOCALIZADO"/>
    <s v="CB CERRADO - DESOCUPADO"/>
    <s v="06/12/2025 NO SE LOGRA CONTACTAR AL CLIENTE, PROCEDEMOS A DIRIGIRNOS AL SITIO | 06/12/2025 SE LLEGA A LA DIRECCIÓN DEL SITIO CL 26 NO 3W - 04, Y SE ENCUENTRA OTRO NEGOCIO DIFERENTE INFORMAN QUE EL NEGOCIO DEL CB YA LO QUITARON, NO DAN RAZÓN DEL CLIENTE, SE PREGUNTA A NEGOCIOS CERCANOS Y NO SABEN PARA DONDE SE TRASLADARON, SE LLAMA AL CONTÁCTO 3118377386 Y SALE APAGADO, POR TAL RAZÓN SE PROCEDE A FINALIZAR LA TA CON POS ILOCALIZABLES."/>
    <s v="VISITA TECNICA"/>
    <m/>
    <s v="TIPO I"/>
    <s v="TERRESTRE"/>
    <s v="CASSIANI PEREZ RAUL RAMIRO"/>
    <n v="1"/>
    <n v="44560"/>
    <n v="44560"/>
  </r>
  <r>
    <s v="CUCUTA"/>
    <x v="2"/>
    <x v="2"/>
    <s v="54172"/>
    <s v="LC-CS-25-010178"/>
    <s v="3007067925"/>
    <s v="OC CIERRE"/>
    <s v="NORTE DE SANTANDER"/>
    <s v="CHINACOTA"/>
    <s v="BARRIO EL CENTRO CHINACOTA"/>
    <s v="REDEBAN"/>
    <s v="FO-25-1932750"/>
    <d v="2025-12-04T16:29:00"/>
    <d v="2025-12-06T11:07:00"/>
    <m/>
    <s v="CIERRE"/>
    <s v="CIERRE"/>
    <s v="UNO A UNO"/>
    <s v="CB UNO A UNO"/>
    <s v="EJECUTADO / CANCELADO"/>
    <s v="NO_EXITOSO"/>
    <s v="CB NO ENTREGA EQUIPO"/>
    <s v="06/12/2025 SE LLAMA AL CLIENTE Y NO SE OBTIENE RESPUESTA SE PROCEDE A VISITA TÉCNICA | 06/12/2025 SE VISITA COMERCIO Y EL CLIENTE NOS INDICA QUE EL DÍA DE AYER COMPENSO Y LLAMO AL BANCO PARA DESBLOQUEO Y LE DIERON EL SIGUIENTE RADICADO 14524362 PARA DESBLOQUEO DEL CB, SE LE INDICA LLAMAR NUEVAMENTE PARA QUE LE ACLAREN EL MOTIVO DEL CIERRE Y VERIFICAR EL DESBLOQUEO DEL CB."/>
    <s v="VISITA TECNICA"/>
    <s v="NA"/>
    <s v="TIPO II"/>
    <s v="TERRESTRE"/>
    <s v="TORRES MANTILLA JOSE DANIEL"/>
    <n v="1"/>
    <n v="134411"/>
    <n v="134411"/>
  </r>
  <r>
    <s v="CUCUTA"/>
    <x v="2"/>
    <x v="2"/>
    <s v="54518"/>
    <s v="LC-CS-25-010179"/>
    <s v="3007016275"/>
    <s v="OC CIERRE"/>
    <s v="NORTE DE SANTANDER"/>
    <s v="PAMPLONA"/>
    <s v="BARRIO CALLE REAL PAMPLONA"/>
    <s v="REDEBAN"/>
    <s v="FO-25-1932738"/>
    <d v="2025-12-04T16:29:00"/>
    <d v="2025-12-05T10:24:00"/>
    <m/>
    <s v="CIERRE"/>
    <s v="CIERRE"/>
    <s v="UNO A UNO"/>
    <s v="CB UNO A UNO"/>
    <s v="EJECUTADO / CANCELADO"/>
    <s v="NO_EXITOSO"/>
    <s v="CB NO ENTREGA EQUIPO"/>
    <s v="05/12/2025 SE LLAMA AL CLIENTE Y NO SE OBTIENE RESPUESTA SE PROCEDE A VISITA TÉCNICA | 05/12/2025 SE VISITA COMERCIO Y EL SEÑOR HERMES NOS INFORMA QUE SE ENCUENTRA EN COMUNICACIÓN CON BANCOLOMBIA PORQUE NO SABE EL MOTIVO DEL CIERRE DEL CORRESPONSAL."/>
    <s v="VISITA TECNICA"/>
    <s v="NA"/>
    <s v="TIPO III"/>
    <s v="TERRESTRE"/>
    <s v="TORRES MANTILLA JOSE DANIEL"/>
    <n v="1"/>
    <n v="222904"/>
    <n v="222904"/>
  </r>
  <r>
    <s v="PASTO"/>
    <x v="1"/>
    <x v="1"/>
    <s v="86865"/>
    <s v="LC-CS-25-010182"/>
    <s v="3007020573"/>
    <s v="OC CIERRE"/>
    <s v="PUTUMAYO"/>
    <s v="VALLE DEL GUAMUEZ"/>
    <s v="CENTRO VALLE DEL GUAMUEZ PUTUM"/>
    <s v="REDEBAN"/>
    <s v="FO-25-1932757"/>
    <d v="2025-12-04T16:29:00"/>
    <d v="2025-12-12T11:52:00"/>
    <m/>
    <s v="CIERRE"/>
    <s v="RECUPERACION DE EQUIPOS"/>
    <s v="CB UNO A UNO"/>
    <s v="CB UNO A UNO"/>
    <m/>
    <s v="NO_EXITOSO"/>
    <s v="CB NO ENTREGA EQUIPO"/>
    <s v="12/12/2025 ESTE CLIENTE YA HABÍA SIDO VISITADO ANTERIORMENTE PERO LA PERSONA ENCARGADA DE LOS EQUIPOS VENDIÓ  EL NEGOCIO Y EL NUEVO DUEÑO NO TENIA CONOCIMIENTO DE EQUIPOS, LA VISITA FUE FALLIDA, EN ESTA OCASIÓN SE LOGRA CONTACTO CON EL CB QUIEN INDICA QUE NO SE ENCUENTRA EN EL MUNICIPIO PERO QUE SI TIENE LOS EQUIPOS, SE VALIDA COMO PODRÍAS REALIZAR LA RECOGIDA, Y  NOS DICE QUE TOCA VALIDAR UNA VEZ REGRESE AL MUNICIPIO, POR LO TANTO SE QUEDA EN CONTACTO CON EL CLIENTE EL SEÑOR CESAR PARA QUE UNA VEZ ESTE DISPONIBLE PODAMOS REALIZAR LA GESTIÓN COMO UN CIERRE VOLUNTARIO Y REALIZAR RECOGIDA A LOS EQUIPOS,"/>
    <s v="SOPORTE TELEFONICO"/>
    <m/>
    <s v="TIPO IV"/>
    <s v="TERRESTRE"/>
    <s v="HENAO CARDONA DIEGO FERNANDO"/>
    <n v="0"/>
    <n v="37905"/>
    <n v="37905"/>
  </r>
  <r>
    <s v="BOGOTA"/>
    <x v="3"/>
    <x v="3"/>
    <s v="25307"/>
    <s v="LC-CS-25-010183"/>
    <s v="3007058514"/>
    <s v="OC CIERRE"/>
    <s v="CUNDINAMARCA"/>
    <s v="GIRARDOT"/>
    <s v="BARRIO SAN JORGE GIRARDOT"/>
    <s v="REDEBAN"/>
    <s v="FO-25-1932778"/>
    <d v="2025-12-04T16:29:00"/>
    <d v="2025-12-08T11:43:00"/>
    <m/>
    <s v="CIERRE"/>
    <s v="RECUPERACION DE EQUIPOS"/>
    <s v="CB UNO A UNO"/>
    <s v="CB UNO A UNO"/>
    <s v="EJECUTADO / CANCELADO"/>
    <s v="ILOCALIZADO"/>
    <s v="CB CERRADO - DESOCUPADO"/>
    <s v="06/12/2025 NO CONTESTAN | 06/12/2025 SE REALIZA VISITA A COMERCIO, SE ENCUENTRA CERRADO, SE TRATA DE CONTACTAR  A LA LÍNEA 3133363722 PERO NO ES POSIBLE CONTACTARLO, SE ESCALA CON EL SUPERVISOR LA NOVEDAD, AUTORIZANDO CIERRE DE LA VISITA."/>
    <s v="VISITA TECNICA"/>
    <m/>
    <s v="TIPO III"/>
    <s v="TERRESTRE"/>
    <s v="ARIAS QUILINDO JULIAN"/>
    <n v="1"/>
    <n v="222904"/>
    <n v="222904"/>
  </r>
  <r>
    <s v="PEREIRA"/>
    <x v="1"/>
    <x v="6"/>
    <s v="66170"/>
    <s v="LC-CS-25-010185"/>
    <s v="3007076449"/>
    <s v="OC CIERRE"/>
    <s v="RISARALDA"/>
    <s v="DOSQUEBRADAS"/>
    <s v="BARRIO FRAILES MONTE BONITO DOSQUEBRADAS"/>
    <s v="REDEBAN"/>
    <s v="FO-25-1932743"/>
    <d v="2025-12-04T16:29:00"/>
    <d v="2025-12-11T09:36:00"/>
    <m/>
    <s v="CIERRE"/>
    <s v="RECUPERACION DE EQUIPOS"/>
    <s v="UNO A UNO"/>
    <s v="UNO A UNO"/>
    <s v="EJECUTADO / CANCELADO"/>
    <s v="NO_EXITOSO"/>
    <s v="CB NO ENTREGA EQUIPO"/>
    <s v="11/12/2025 SE LLEGA AL PUNTO, EL CLIENTE INDICA NO TIENE TIEMPO PARA ATENDERNOS, INDICA QUE POR FAVOR CUANDO SE VUELVA A VISITAR, AVISAR ANTES DE VISITAR"/>
    <s v="VISITA TECNICA"/>
    <s v="LM0WZ666"/>
    <s v="TIPO I"/>
    <s v="TERRESTRE"/>
    <s v="FRANCO CAÑAVERAL YAMID RAUL"/>
    <n v="1"/>
    <n v="44560"/>
    <n v="44560"/>
  </r>
  <r>
    <s v="PEREIRA"/>
    <x v="1"/>
    <x v="6"/>
    <s v="66001"/>
    <s v="LC-CS-25-010193"/>
    <s v="3007030806"/>
    <s v="OC CIERRE"/>
    <s v="RISARALDA"/>
    <s v="PEREIRA"/>
    <s v="BARRIO LOS ALPES"/>
    <s v="REDEBAN"/>
    <s v="FO-25-1938293"/>
    <d v="2025-12-05T16:12:00"/>
    <d v="2025-12-11T09:30:00"/>
    <m/>
    <s v="CIERRE"/>
    <s v="CIERRE"/>
    <s v="UNO A UNO"/>
    <s v="CB UNO A UNO"/>
    <s v="EJECUTADO / CANCELADO"/>
    <s v="ILOCALIZADO"/>
    <s v="CB CERRADO - DESOCUPADO"/>
    <s v="05/12/2025 SE ESCALA PARA VISITA. CONFIRMAR DATOS PARA LA RECOLECCION DE EQUIPOS | 11/12/2025 SE LLEGA AL PUNTO, SE ENCUENTRA CERRADO EL CB, SE LLAMA Y NO CONTESTAN, EL VIGILANTE DEL EDIFICIO INDICA QUE CERRARON DESDE EL MEDIO DÍA."/>
    <s v="VISITA TECNICA"/>
    <s v="BRZZZ257"/>
    <s v="TIPO I"/>
    <s v="TERRESTRE"/>
    <s v="FRANCO CAÑAVERAL YAMID RAUL"/>
    <n v="1"/>
    <n v="44560"/>
    <n v="44560"/>
  </r>
  <r>
    <s v="BOGOTA"/>
    <x v="3"/>
    <x v="3"/>
    <s v="11001"/>
    <s v="LC-CS-25-010194"/>
    <s v="3007052333"/>
    <s v="OC CIERRE"/>
    <s v="CUNDINAMARCA"/>
    <s v="BOGOTA"/>
    <s v="BARRIO LAS MARGARITAS BOGOTA"/>
    <s v="REDEBAN"/>
    <s v="FO-25-1938280"/>
    <d v="2025-12-05T16:12:00"/>
    <d v="2025-12-09T14:28:00"/>
    <m/>
    <s v="CIERRE"/>
    <s v="CIERRE"/>
    <s v="UNO A UNO"/>
    <s v="CB UNO A UNO"/>
    <s v="EJECUTADO / CANCELADO"/>
    <s v="ILOCALIZADO"/>
    <s v="CB CERRADO - DESOCUPADO"/>
    <s v="05/12/2025 SE ESCALA PARA VISITA. CONFIRMAR DATOS PARA LA RECOLECCION DE EQUIPOS | 10/12/2025 COMERCIO CERRADO SE COMUNICA CON EL NÚMERO 3103378080 Y NO HAY RESPUESTA"/>
    <s v="VISITA TECNICA"/>
    <s v="0"/>
    <s v="TIPO I"/>
    <s v="TERRESTRE"/>
    <s v="GONZALEZ FANDIÑO SANTIAGO ERNESTO"/>
    <n v="1"/>
    <n v="44560"/>
    <n v="44560"/>
  </r>
  <r>
    <s v="MEDELLIN"/>
    <x v="4"/>
    <x v="4"/>
    <s v="5088"/>
    <s v="LC-CS-25-010200"/>
    <s v="3007066370"/>
    <s v="OC CIERRE"/>
    <s v="ANTIOQUIA"/>
    <s v="BELLO"/>
    <s v="DISTRICOL PANADERIA LA CHOCHA"/>
    <s v="REDEBAN"/>
    <s v="FO-25-1938346"/>
    <d v="2025-12-05T16:10:00"/>
    <d v="2025-12-15T10:25:00"/>
    <m/>
    <s v="CIERRE"/>
    <s v="CIERRE"/>
    <s v="AGREGADOR"/>
    <s v="DISTRICOL"/>
    <s v="EJECUTADO / CANCELADO"/>
    <s v="NO_EXITOSO"/>
    <s v="CB NO ENTREGA EQUIPO"/>
    <s v="05/12/2025 SE ESCALA PARA VISITA. CONFIRMAR DATOS PARA LA RECOLECCION DE EQUIPOS | 15/12/2025 SE VISITA COMERCIO Y LA ADMINISTRADORA ME INDICA QUE YA ENVIÓ LOS EQUIPOS A DISTRICOL"/>
    <s v="VISITA TECNICA"/>
    <m/>
    <s v="TIPO I"/>
    <s v="TERRESTRE"/>
    <s v="MARTINEZ TOVAR OSCAR DAVID"/>
    <n v="1"/>
    <n v="44560"/>
    <n v="44560"/>
  </r>
  <r>
    <s v="MEDELLIN"/>
    <x v="4"/>
    <x v="4"/>
    <s v="5088"/>
    <s v="LC-CS-25-010202"/>
    <s v="3007072820"/>
    <s v="OC CIERRE"/>
    <s v="ANTIOQUIA"/>
    <s v="BELLO"/>
    <s v="PTM GRUPO CONSTRUCTEK S.A.S BE"/>
    <s v="REDEBAN"/>
    <s v="FO-25-1938367"/>
    <d v="2025-12-05T16:10:00"/>
    <d v="2025-12-15T09:39:00"/>
    <m/>
    <s v="CIERRE"/>
    <s v="CIERRE"/>
    <s v="AGREGADOR"/>
    <s v="COMCARD - PTM"/>
    <m/>
    <s v="NO_EXITOSO"/>
    <s v="CB NO ENTREGA EQUIPO"/>
    <s v="05/12/2025 SE ESCALA PARA VISITA. CONFIRMAR DATOS PARA LA RECOLECCION DE EQUIPOS | 09/12/2025 SE REALIZA LLAMADA TELEFÓNICA AL USUARIO CON EL FIN DE CONFIRMAR EL RETIRO DE LOS EQUIPOS REDEBAN DEL CORRESPONSAL BANCOLOMBIA. EL USUARIO INFORMA QUE ACTUALMENTE LOS EQUIPOS SE ENCUENTRAN EN TARAZÁ, ANTIOQUIA | 15/12/2025 SE REALIZA LLAMADA TELEFÓNICA AL USUARIO PARA CONFIRMAR EL RETIRO DE LOS EQUIPOS ASOCIADOS AL PROCESO DE CIERRE DEL CORRESPONSAL BANCOLOMBIA INDICANDO EL USUARIO QUE LOS EQUIPOS SE ENCUENTRAN EN TARAZÁ ANTIOQUIA Y QUE EN EL MOMENTO NO SE ENCUENTRA EN MEDELLÍN"/>
    <s v="SOPORTE TELEFONICO"/>
    <m/>
    <s v="TIPO I"/>
    <s v="TERRESTRE"/>
    <s v="MARTINEZ TOVAR OSCAR DAVID"/>
    <n v="0"/>
    <n v="37905"/>
    <n v="37905"/>
  </r>
  <r>
    <s v="BUCARAMANGA"/>
    <x v="2"/>
    <x v="2"/>
    <s v="68001"/>
    <s v="LC-CS-25-010203"/>
    <s v="3007064943"/>
    <s v="OC CIERRE"/>
    <s v="SANTANDER"/>
    <s v="BUCARAMANGA"/>
    <s v="DISTRICOL LA FORMULA"/>
    <s v="REDEBAN"/>
    <s v="FO-25-1938335"/>
    <d v="2025-12-05T16:10:00"/>
    <d v="2025-12-06T11:12:00"/>
    <m/>
    <s v="CIERRE"/>
    <s v="CIERRE"/>
    <s v="AGREGADOR"/>
    <s v="DISTRICOL"/>
    <s v="EJECUTADO / CANCELADO"/>
    <s v="ILOCALIZADO"/>
    <s v="CB CERRADO - DESOCUPADO"/>
    <s v="05/12/2025 SE ESCALA PARA VISITA. CONFIRMAR DATOS PARA LA RECOLECCION DE EQUIPOS | 06/12/2025 SE HACE PRESENCIA EN COMERCIO SE ENCUENTRA CERRADO SE TRATA DE ESTABLECER COMUNICACIÓN CON EL CLIENTE AL NÚMERO 3165454428 RELACIONADO EN LA ORDEN SIN RESPUESTA"/>
    <s v="VISITA TECNICA"/>
    <s v="COMERCIO CERRADO"/>
    <s v="TIPO I"/>
    <s v="TERRESTRE"/>
    <s v="BARRERA ORTEGA MARLON STWAR"/>
    <n v="1"/>
    <n v="44560"/>
    <n v="44560"/>
  </r>
  <r>
    <s v="BARRANQUILLA"/>
    <x v="0"/>
    <x v="0"/>
    <s v="8001"/>
    <s v="LC-CS-25-010205"/>
    <s v="3007080994"/>
    <s v="OC CIERRE"/>
    <s v="ATLANTICO"/>
    <s v="BARRANQUILLA"/>
    <s v="DISTRICOL Q´CHICHA S.A.S."/>
    <s v="REDEBAN"/>
    <s v="FO-25-1938325"/>
    <d v="2025-12-05T16:10:00"/>
    <d v="2025-12-10T06:21:00"/>
    <m/>
    <s v="CIERRE"/>
    <s v="CIERRE"/>
    <s v="AGREGADOR"/>
    <s v="DISTRICOL"/>
    <m/>
    <s v="NO_EXITOSO"/>
    <s v="CB NO ENTREGA EQUIPO"/>
    <s v="05/12/2025 SE ESCALA PARA VISITA. CONFIRMAR DATOS PARA LA RECOLECCION DE EQUIPOS | 10/12/2025 SE REALIZA LLAMADA A LA SEÑORA HELLEN ALEAN NÚMERO DE CONTACTO 3043763742, EL CUAL SE LE INDICA SOBRE LA VISITA PARA RETIRAR LOS EQUIPOS ,DEL CUAL ELLA AGREGA LOS SGTE: DICE QUE ELLA YA ENVIÓ LOS EQUIPOS POR MEDIO LOGÍSTICO A LOS GESTORES DE LA ALIANZA DISTRICOL ,DICE QUE NO TIENE LOS EQUIPOS EN EL SITIO."/>
    <s v="SOPORTE TELEFONICO"/>
    <m/>
    <s v="TIPO I"/>
    <s v="TERRESTRE"/>
    <s v="PORRAS CASTRO DARLON NASCK"/>
    <n v="0"/>
    <n v="37905"/>
    <n v="37905"/>
  </r>
  <r>
    <s v="CALI"/>
    <x v="1"/>
    <x v="1"/>
    <s v="76001"/>
    <s v="LC-CS-25-010209"/>
    <s v="3007078927"/>
    <s v="OC CIERRE"/>
    <s v="VALLE DEL CAUCA"/>
    <s v="CALI"/>
    <s v="DISTRICOL VALENCIA TABARES"/>
    <s v="REDEBAN"/>
    <s v="FO-25-1938356"/>
    <d v="2025-12-05T16:10:00"/>
    <d v="2025-12-10T11:57:00"/>
    <m/>
    <s v="CIERRE"/>
    <s v="CIERRE"/>
    <s v="AGREGADOR"/>
    <s v="DISTRICOL"/>
    <s v="EJECUTADO / CANCELADO"/>
    <s v="NO_EXITOSO"/>
    <s v="CB NO ENTREGA EQUIPO"/>
    <s v="10/12/2025 SE ESCALA PARA VISITA. CONFIRMAR DATOS PARA LA RECOLECCION DE EQUIPOS | 10/12/2025 SE LLAMA AL COMERCIO EL CORRESPONSAL NO EXISTE SE LLAMA AL NÚMERO 3246335535 CONTESTA EL SEÑOR VÍCTOR HUGO VALENCIA E INFORMA QUE ÉL HIZO LA ENTREGA DE LOS EQUIPOS AL COORDINADOR DE DISTRICCOL CARLOS ALDANA QUE ÉL YA NO TIENE LOS EQUIPOS"/>
    <s v="VISITA TECNICA"/>
    <m/>
    <s v="TIPO I"/>
    <s v="TERRESTRE"/>
    <s v="PALACIOS GOMEZ BRAHIAN ANDRES"/>
    <n v="1"/>
    <n v="44560"/>
    <n v="44560"/>
  </r>
  <r>
    <s v="CALI"/>
    <x v="1"/>
    <x v="1"/>
    <s v="76001"/>
    <s v="LC-CS-25-010213"/>
    <s v="3007068926"/>
    <s v="OC CIERRE"/>
    <s v="VALLE DEL CAUCA"/>
    <s v="CALI"/>
    <s v="PTM VALLE DEL CAUCA PAGOSYA SE"/>
    <s v="REDEBAN"/>
    <s v="FO-25-1938308"/>
    <d v="2025-12-05T16:10:00"/>
    <d v="2025-12-11T14:41:00"/>
    <m/>
    <s v="CIERRE"/>
    <s v="CIERRE"/>
    <s v="AGREGADOR"/>
    <s v="COMCARD - PTM"/>
    <s v="EJECUTADO / CANCELADO"/>
    <s v="ILOCALIZADO"/>
    <s v="CB CERRADO - DESOCUPADO"/>
    <s v="05/12/2025 SE ESCALA PARA VISITA. CONFIRMAR DATOS PARA LA RECOLECCION DE EQUIPOS | 11/12/2025 SE VISITA EL COMERCIO ESTA CERRADO, SE LLAMA AL CLIENTE AL NÚMERO 3243579751 PARA VALIDAR SOLICITUD DEL CIERRE DEL CB SIN RESPUESTA, LA VISITA ES FALLIDA, CIERRE NO EXITOSO"/>
    <s v="VISITA TECNICA"/>
    <m/>
    <s v="TIPO I"/>
    <s v="TERRESTRE"/>
    <s v="HERRERA MONAR GEOVANNY"/>
    <n v="1"/>
    <n v="44560"/>
    <n v="44560"/>
  </r>
  <r>
    <s v="PEREIRA"/>
    <x v="1"/>
    <x v="6"/>
    <s v="76147"/>
    <s v="LC-CS-25-010214"/>
    <s v="3007076540"/>
    <s v="OC CIERRE"/>
    <s v="VALLE DEL CAUCA"/>
    <s v="CARTAGO"/>
    <s v="DISTRICOL RAPITIENDA MANA"/>
    <s v="REDEBAN"/>
    <s v="FO-25-1938299"/>
    <d v="2025-12-05T16:10:00"/>
    <d v="2025-12-10T16:35:00"/>
    <m/>
    <s v="CIERRE"/>
    <s v="CIERRE"/>
    <s v="AGREGADOR"/>
    <s v="DISTRICOL"/>
    <s v="EJECUTADO / CANCELADO"/>
    <s v="ILOCALIZADO"/>
    <s v="CB CERRADO - DESOCUPADO"/>
    <s v="05/12/2025 SE ESCALA PARA VISITA. CONFIRMAR DATOS PARA LA RECOLECCION DE EQUIPOS | 10/12/2025 VISITAMOS COMERCIO PERO NO ES POSIBLE RETIRAR LOS EQUIPOS YA QUE ESTA CERRADO REALIZAMOS LLAMADA A LA SRA VANESSA PERO NO CONTESTA LE ESCRIBIMOS POR WHATSAPP PERO NO CONTESTA,REALIZAMOS CIERRE DE ACTIVIDADES YA QUE NO FUE POSIBLE CONTRATAR AL CLIENTE."/>
    <s v="VISITA TECNICA"/>
    <m/>
    <s v="TIPO I"/>
    <s v="TERRESTRE"/>
    <s v="ARROYAVE CANO MANUEL GUILLERMO"/>
    <n v="1"/>
    <n v="44560"/>
    <n v="44560"/>
  </r>
  <r>
    <s v="BOGOTA"/>
    <x v="3"/>
    <x v="3"/>
    <s v="11001"/>
    <s v="LC-CS-25-010216"/>
    <s v="3007039201"/>
    <s v="OC CIERRE"/>
    <s v="CUNDINAMARCA"/>
    <s v="BOGOTA"/>
    <s v="PTM BOGOTA JURISNET"/>
    <s v="REDEBAN"/>
    <s v="FO-25-1938348"/>
    <d v="2025-12-05T16:10:00"/>
    <d v="2025-12-09T09:55:00"/>
    <m/>
    <s v="CIERRE"/>
    <s v="CIERRE"/>
    <s v="AGREGADOR"/>
    <s v="COMCARD - PTM"/>
    <s v="EJECUTADO / CANCELADO"/>
    <s v="ILOCALIZADO"/>
    <s v="CB CERRADO - DESOCUPADO"/>
    <s v="05/12/2025 SE ESCALA PARA VISITA. CONFIRMAR DATOS PARA LA RECOLECCION DE EQUIPOS | 09/12/2025 SE LLEGA A LA DIRECCIÓN INDICADA Y SE ENCUENTRA COMERCIO CERRADO SE INTENTA ESTÁ COMUNICACIÓN CON EL #3143301928 PERO NO ES POSIBLE. SE ESPERA 20 MINUTOS PERO COMERCIO CONTINUA CERRADO , SE ESCALA A COORDINAR QUIEN AUTORIZA EL CIERRE DE LA ACTIVIDAD"/>
    <s v="VISITA TECNICA"/>
    <s v="0"/>
    <s v="TIPO I"/>
    <s v="TERRESTRE"/>
    <s v="GARCIA PASTRANA KEVIN FERNANDO"/>
    <n v="1"/>
    <n v="44560"/>
    <n v="44560"/>
  </r>
  <r>
    <s v="BOGOTA"/>
    <x v="3"/>
    <x v="3"/>
    <s v="11001"/>
    <s v="LC-CS-25-010218"/>
    <s v="3007071783"/>
    <s v="OC CIERRE"/>
    <s v="CUNDINAMARCA"/>
    <s v="BOGOTA"/>
    <s v="PTM  BOGOTA MISCELANIA Y VARIE"/>
    <s v="REDEBAN"/>
    <s v="FO-25-1938370"/>
    <d v="2025-12-05T16:10:00"/>
    <d v="2025-12-10T11:36:00"/>
    <m/>
    <s v="CIERRE"/>
    <s v="CIERRE"/>
    <s v="AGREGADOR"/>
    <s v="COMCARD - PTM"/>
    <s v="EJECUTADO / CANCELADO"/>
    <s v="ILOCALIZADO"/>
    <s v="CB CERRADO - DESOCUPADO"/>
    <s v="05/12/2025 SE ESCALA PARA VISITA. CONFIRMAR DATOS PARA LA RECOLECCION DE EQUIPOS | 10/12/2025 SE LLEGA AL COMERCIO PARA RECOGER LOS EQUIPOS POR EL CIERRE EL CORRESPONSAL SE VALÍA CERRADO SE MARCA EL NÚMERO DE CONTACTO 3013809681 FUERA DE SERVICIO."/>
    <s v="VISITA TECNICA"/>
    <s v="0"/>
    <s v="TIPO I"/>
    <s v="TERRESTRE"/>
    <s v="GOMEZ VEGA DAVID SNEYDER"/>
    <n v="1"/>
    <n v="44560"/>
    <n v="44560"/>
  </r>
  <r>
    <s v="BOGOTA"/>
    <x v="3"/>
    <x v="3"/>
    <s v="11001"/>
    <s v="LC-CS-25-010224"/>
    <s v="3007058738"/>
    <s v="OC CIERRE"/>
    <s v="CUNDINAMARCA"/>
    <s v="BOGOTA"/>
    <s v="PTM BOGOTA PUNTOSERVIS CORTES"/>
    <s v="REDEBAN"/>
    <s v="FO-25-1950575"/>
    <d v="2025-12-10T08:00:00"/>
    <d v="2025-12-11T16:53:00"/>
    <m/>
    <s v="CIERRE"/>
    <s v="CIERRE"/>
    <s v="AGREGADOR"/>
    <s v="COMCARD - PTM"/>
    <s v="EJECUTADO / CANCELADO"/>
    <s v="ILOCALIZADO"/>
    <s v="CB CERRADO - DESOCUPADO"/>
    <s v="11/12/2025 SE ESCALA PARA VISITA. CONFIRMAR DATOS PARA LA RECOLECCION DE EQUIPOS | 12/12/2025 SE VISITA COMERCIO PERO ESTÁ CERRADO. SE LLAMA AL USUARIO, PERO NO CONTESTA"/>
    <s v="VISITA TECNICA"/>
    <s v="NA"/>
    <s v="TIPO I"/>
    <s v="TERRESTRE"/>
    <s v="LEAL POVEDA YOHAN SEBASTIAN"/>
    <n v="1"/>
    <n v="44560"/>
    <n v="44560"/>
  </r>
  <r>
    <s v="BOGOTA"/>
    <x v="3"/>
    <x v="3"/>
    <s v="11001"/>
    <s v="LC-CS-25-010233"/>
    <s v="3007068175"/>
    <s v="OC CIERRE"/>
    <s v="CUNDINAMARCA"/>
    <s v="BOGOTA"/>
    <s v="PALERMO BOGOTA CUNDINAMARCA"/>
    <s v="REDEBAN"/>
    <s v="FO-25-1978475 | FO-25-1950622"/>
    <d v="2025-12-10T08:00:00"/>
    <d v="2025-12-17T07:32:00"/>
    <m/>
    <s v="CIERRE"/>
    <s v="RECUPERACION DE EQUIPOS"/>
    <s v="UNO A UNO"/>
    <s v="CB UNO A UNO"/>
    <s v="EJECUTADO / CANCELADO"/>
    <s v="NO_EXITOSO"/>
    <s v="CB NO ENTREGA EQUIPO"/>
    <s v="[FO-25-1978475] 16/12/2025 CLIENTE INDICA QUE NO PUEDE ATENDER LA VISITA EL DÍA DE HOY QUE REPROGRAMEN PARA OTRO DÍA SE CIERRA EL CASO | 16/12/2025 CLIENTE INDICA QUE NO PUEDE ATENDER LA VISITA EL DÍA DE HOY QUE REPROGRAMEN PARA OTRO DÍA SE CIERRA EL CASO || [FO-25-1950622] 15/12/2025 SE VISITA DIRECCIÓN DADA EN LA ORDEN PARA RETIRAR LOS EQUIPOS, EN EL SITIO LLAMAMOS AL CLIENTE YA QUE EN PREVIOS INTENTOS NO HUBO CONTACTO, SE HABLA CON EL SR DANIEL RAMÍREZ QUIEN NOS INDICA QUE ESTA DE VIAJE Y VUELVE HASTA EL DÍA MIÉRCOLES 17 DE DICIEMBRE QUE NOS PUEDE ATENDER ESE DÍA EN LA FRANJA DE LA TARDE, SE ESCALA CON EL COORDINADOR Y SE DEJA PARA DICHA FECHA."/>
    <s v="VISITA TECNICA"/>
    <m/>
    <s v="TIPO I"/>
    <s v="TERRESTRE"/>
    <s v="VEGA MANRIQUE JONATAN MAURICIO"/>
    <n v="1"/>
    <n v="44560"/>
    <n v="44560"/>
  </r>
  <r>
    <s v="MEDELLIN"/>
    <x v="4"/>
    <x v="4"/>
    <s v="5284"/>
    <s v="LC-CS-25-010234"/>
    <s v="3007066053"/>
    <s v="OC CIERRE"/>
    <s v="ANTIOQUIA"/>
    <s v="FRONTINO"/>
    <s v="DISTRICOL AGROPECUARIA EL BODE"/>
    <s v="REDEBAN"/>
    <s v="FO-25-1951952"/>
    <d v="2025-12-10T08:50:00"/>
    <d v="2025-12-11T13:53:00"/>
    <m/>
    <s v="CIERRE"/>
    <s v="CIERRE"/>
    <s v="AGREGADOR"/>
    <s v="DISTRICOL"/>
    <m/>
    <s v="NO_EXITOSO"/>
    <s v="CB NO ENTREGA EQUIPO"/>
    <s v="11/12/2025 OK | 11/12/2025 EN COMUNICACIÓN CON EL SEÑOR JOSÉ JULIÁN CARRASCAL AL NÚMERO 3105101138 ESTE INFORMA QUE EN MOMENTO NO SE ENCUENTRA EN CGTO DE MURRI ESTÁ EN OTRO LUGAR ADICIONAL A ESO INDICA QUE EL DÍA DE AYER SE REUNIÓ EN MEDELLÍN EN LA OFICINA DE DISTRICOL PARA SOLICITAR LA REACTIVACIÓN DEL SERVICIO YA QUE ES EL ÚNICO CORRESPONSAL QUE ESTÁ EN EL CORREGIMIENTO DE MURRI FRONTINO ZONA DE DIFÍCIL ACCESO A MÁS DE 5 HORAS DEL CASCO URBANO, USUARIO ESTÁ A LA ESPERA DE RESPUESTA DE LOS AGENTES DE DISTRICOL, EN CASO TAL DE NO LLEGAR A UN ACUERDO EL USUARIO INDICA QUE HARÍA LLEGAR LOS EQUIPOS AL CASCO URBANO DE FRONTINO"/>
    <s v="SOPORTE TELEFONICO"/>
    <m/>
    <s v="TIPO IV"/>
    <s v="TERRESTRE"/>
    <s v="BARRIENTOS HERNANDEZ CRISTIAN HORACIO"/>
    <n v="0"/>
    <n v="37905"/>
    <n v="37905"/>
  </r>
  <r>
    <s v="MONTERIA"/>
    <x v="0"/>
    <x v="0"/>
    <s v="5495"/>
    <s v="LC-CS-25-010237"/>
    <s v="3007072989"/>
    <s v="OC CIERRE"/>
    <s v="ANTIOQUIA"/>
    <s v="NECHI"/>
    <s v="DISTRICOL VARIEDADES HISA"/>
    <s v="REDEBAN"/>
    <s v="FO-25-1951983"/>
    <d v="2025-12-10T08:50:00"/>
    <d v="2025-12-12T14:55:00"/>
    <m/>
    <s v="CIERRE"/>
    <s v="CIERRE"/>
    <s v="AGREGADOR"/>
    <s v="DISTRICOL"/>
    <m/>
    <s v="NO_EXITOSO"/>
    <s v="CB NO ENTREGA EQUIPO"/>
    <s v="12/12/2025 EN COMUNICACIÓN CON EL CLIENTE INDICA QUE REALIZO EL ENVÍO DE EQUIPOS AL ALIADO DISTRICOL | 12/12/2025 SE ESTABLECE COMUNIÓN VÍA WASAPP CON LA SEÑORA  VIVÍANA  MADRID, QUIEN INFORMA QUE REALIZO EL ENVÍO DE LOS EQUIPOS A LA OFICINA DE DISTRICOL,  SE CIERRA LA ORDEN POR ENVÍO AL ALIADO, SE CONFIRMA INFORMACIÓN CON EL CLIENTE OK"/>
    <s v="SOPORTE TELEFONICO"/>
    <m/>
    <s v="TIPO III"/>
    <s v="TERRESTRE"/>
    <s v="GONZALEZ FERRER JESUS ALEXANDER"/>
    <n v="0"/>
    <n v="37905"/>
    <n v="37905"/>
  </r>
  <r>
    <s v="MEDELLIN"/>
    <x v="4"/>
    <x v="4"/>
    <s v="5736"/>
    <s v="LC-CS-25-010239"/>
    <s v="3007068647"/>
    <s v="OC CIERRE"/>
    <s v="ANTIOQUIA"/>
    <s v="SEGOVIA"/>
    <s v="DISTRICOL BURGUER HOUSE"/>
    <s v="REDEBAN"/>
    <s v="FO-25-1951949"/>
    <d v="2025-12-10T08:50:00"/>
    <d v="2025-12-12T11:35:00"/>
    <m/>
    <s v="CIERRE"/>
    <s v="CIERRE"/>
    <s v="AGREGADOR"/>
    <s v="DISTRICOL"/>
    <m/>
    <s v="NO_EXITOSO"/>
    <s v="CB NO ENTREGA EQUIPO"/>
    <s v="12/12/2025 SE HACEN LLAMADAS DESDE EL DÍA DE AYER , SE HABLA POR WPP PERO NO SE TIENE CONTACTO CON EL USUARIO , EL DÍA DE HOY SE LLAMA DE NUEVO PERO NO SE LOGRA CONTACTAR AL USUARIO SE VÁLIDA EN VISITA ANTERIORES Y SE EVIDENCIA QUE YA ESTÁBA MARCADO COMO SITIO ROJO DE ALTO RIESGO , HE INGRESO DE DIFÍCIL ACCESO POR ORDEN PÚBLICO , NO SE LOGRA COMUNICACIÓN EN NINGÚN MOMENTO CON EL USUARIO | 12/12/2025 SE HACEN LLAMADAS DESDE EL DÍA DE AYER , SE HABLA POR WPP PERO NO SE TIENE CONTACTO CON EL USUARIO , EL DÍA DE HOY SE LLAMA DE NUEVO PERO NO SE LOGRA CONTACTAR AL USUARIO SE VÁLIDA EN VISITA ANTERIORES Y SE EVIDENCIA QUE YA ESTÁBA MARCADO COMO SITIO ROJO DE ALTO RIESGO , HE INGRESO DE DIFÍCIL ACCESO POR ORDEN PÚBLICO , NO SE LOGRA COMUNICACIÓN EN NINGÚN MOMENTO CON EL USUARIO"/>
    <s v="SOPORTE TELEFONICO"/>
    <m/>
    <s v="TIPO IV"/>
    <s v="TERRESTRE"/>
    <s v="MONTOYA VELEZ ANDRES FELIPE"/>
    <n v="0"/>
    <n v="37905"/>
    <n v="37905"/>
  </r>
  <r>
    <s v="CALI"/>
    <x v="1"/>
    <x v="1"/>
    <s v="76606"/>
    <s v="LC-CS-25-010240"/>
    <s v="3007067345"/>
    <s v="OC CIERRE"/>
    <s v="VALLE DEL CAUCA"/>
    <s v="RESTREPO"/>
    <s v="DISTRICOL EL TERTULIADERO MAMC"/>
    <s v="REDEBAN"/>
    <s v="FO-25-1951974"/>
    <d v="2025-12-10T08:50:00"/>
    <d v="2025-12-16T11:32:00"/>
    <m/>
    <s v="CIERRE"/>
    <s v="CIERRE"/>
    <s v="AGREGADOR"/>
    <s v="DISTRICOL"/>
    <s v="EJECUTADO / CANCELADO"/>
    <s v="NO_EXITOSO"/>
    <s v="CB NO ENTREGA EQUIPO"/>
    <s v="16/12/2025 NO SÉ PUDO COMUNICAR | 16/12/2025 SE LLEGA AL COMERCIO ESTÁ CERRADO SE COMUNICA POR LLAMADA AL NÚMERO 3157304771 NO ES POSIBLE LA COMUNICACIÓN SE ESCRIBE POR WHATSAPP Y LA SEÑORA MARIA ESNEDA CALERO COBO INFORMA QUE HIZO EL ENVÍO DE LOS EQUIPOS A DISTRICOL POR INTER RAPIDÍSIMO"/>
    <s v="VISITA TECNICA"/>
    <s v="N/A"/>
    <s v="TIPO II"/>
    <s v="TERRESTRE"/>
    <s v="PALACIOS GOMEZ BRAHIAN ANDRES"/>
    <n v="1"/>
    <n v="134411"/>
    <n v="134411"/>
  </r>
  <r>
    <s v="BUCARAMANGA"/>
    <x v="2"/>
    <x v="2"/>
    <s v="13688"/>
    <s v="LC-CS-25-010241"/>
    <s v="3007067317"/>
    <s v="OC CIERRE"/>
    <s v="BOLIVAR"/>
    <s v="SANTA ROSA DEL SUR"/>
    <s v="DISTRICOL SERVITIENDA LA BENDI"/>
    <s v="REDEBAN"/>
    <s v="FO-25-1951961"/>
    <d v="2025-12-10T08:50:00"/>
    <d v="2025-12-11T10:03:00"/>
    <m/>
    <s v="CIERRE"/>
    <s v="CIERRE"/>
    <s v="AGREGADOR"/>
    <s v="DISTRICOL"/>
    <m/>
    <s v="NO_EXITOSO"/>
    <s v="CB NO ENTREGA EQUIPO"/>
    <s v="11/12/2025 SE COMUNIC CON EL SEÑOR ROBER QUIEN INDICA  LOS DATAFONOS FUERON ENTREGADOA | 11/12/2025 EN COMUNICACIÓN CON CLIENTE AL NÚMERO 3175375185 NOS CONTESTA EL SEÑOR ROBER FORMA, Y NOS INDICA QUE LO EQUIPOS YA FUERON ENVIADO DIRECTAMENTE A DISTRITOS, QUE LO LLAMARON Y SOLICITARON Q LOS ENVIARAN, SE PROCEDE  CERRAR ORDEN"/>
    <s v="SOPORTE TELEFONICO"/>
    <m/>
    <s v="TIPO V"/>
    <s v="TERRESTRE/FLUVIAL"/>
    <s v="GELVEZ MOGOLLON JOSE ELISEO"/>
    <n v="0"/>
    <n v="37905"/>
    <n v="37905"/>
  </r>
  <r>
    <s v="CALI"/>
    <x v="1"/>
    <x v="1"/>
    <s v="19001"/>
    <s v="LC-CS-25-010243"/>
    <s v="3007045734"/>
    <s v="OC CIERRE"/>
    <s v="CAUCA"/>
    <s v="POPAYAN"/>
    <s v="DISTRICOL FOTOCOPIAS Y MÀS"/>
    <s v="REDEBAN"/>
    <s v="FO-25-1951955"/>
    <d v="2025-12-10T08:50:00"/>
    <d v="2025-12-17T07:21:00"/>
    <m/>
    <s v="CIERRE"/>
    <s v="CIERRE"/>
    <s v="AGREGADOR"/>
    <s v="DISTRICOL"/>
    <m/>
    <s v="NO_EXITOSO"/>
    <s v="CB NO ENTREGA EQUIPO"/>
    <s v="16/12/2025 SE REALIZA LLAMADA AL CLIENTE , PARA PODER VISITAR YA QUE LA ZONA DEL CAUCA SE ENCUENTRA CON PROBLEMAS DE MOVILIDAD POR EL PARO ARMADO DEL ELN, LA USUARIA NO SE ENCUENTRA EN LA ZONA, INDICA QUE UNA VEZ RETORNE CONFIRMARA PARA LA ENTREGA DE LOS EQUIPOS, POR TANTO SE CIERRA LA ORDEN Y SE ESPERA CONFIRMACION PARA PODER PROCEDER CON EL RETIRO VOLUNTARIO"/>
    <s v="SOPORTE TELEFONICO"/>
    <m/>
    <s v="TIPO III"/>
    <s v="TERRESTRE"/>
    <s v="HENAO CARDONA DIEGO FERNANDO"/>
    <n v="0"/>
    <n v="37905"/>
    <n v="37905"/>
  </r>
  <r>
    <s v="MONTERIA"/>
    <x v="0"/>
    <x v="0"/>
    <s v="23001"/>
    <s v="LC-CS-25-010244"/>
    <s v="3007069241"/>
    <s v="OC CIERRE"/>
    <s v="CORDOBA"/>
    <s v="MONTERIA"/>
    <s v="DISTRICOL COSMETICS STORE SYS"/>
    <s v="REDEBAN"/>
    <s v="FO-25-1957173 | FO-25-1951946"/>
    <d v="2025-12-10T08:50:00"/>
    <d v="2025-12-11T11:39:00"/>
    <m/>
    <s v="CIERRE"/>
    <s v="CIERRE"/>
    <s v="AGREGADOR"/>
    <s v="DISTRICOL"/>
    <s v="EJECUTADO | EJECUTADO / CANCELADO"/>
    <s v="EJECUTADO_EXITOSO"/>
    <s v="CIERRE EXITOSO"/>
    <s v="[FO-25-1957173] 11/12/2025 SE ESCALA PARA VISITA. CONFIRMAR DATOS PARA LA RECOLECCION DE EQUIPOS | 11/12/2025 SE REALIZA CIERRE TOTAL DE CB,SE RETIRA DESK3500, LECTORA, ENSORTIJADO Y CARGADOR, CLIENTE INDICA PUBLICIDAD YA FUE RETIRADA Y DESTRUIDA. || [FO-25-1951946] 10/12/2025 CLIENTE INDICA NO SE ENCUENTRA EN LA DIRECCIÓN SUMINISTRADA, INDICA PUEDE REALIZAR ENTREGA EL DÍA DE MAÑANA 11-12-2025 DE 09:00 A 10:00 | 10/12/2025 CLIENTE INDICA NO SE ENCUENTRA EN LA DIRECCIÓN SUMINISTRADA, INDICA PUEDE REALIZAR ENTREGA EL DÍA DE MAÑANA 11-12-2025 DE 09:00 A 10:00 | 11/12/2025 CLIENTE INDICA NO SE ENCUENTRA EN LA DIRECCIÓN SUMINISTRADA, INDICA PUEDE REALIZAR ENTREGA EL DÍA DE MAÑANA 11-12-2025 DE 09:00 A 10:00"/>
    <s v="VISITA TECNICA"/>
    <s v="A303Z050"/>
    <s v="TIPO I"/>
    <s v="TERRESTRE"/>
    <s v="ECHEVERRI ECHEVERRI EVELIN DANIELA"/>
    <n v="1"/>
    <n v="44560"/>
    <n v="44560"/>
  </r>
  <r>
    <s v="PASTO"/>
    <x v="1"/>
    <x v="1"/>
    <s v="52001"/>
    <s v="LC-CS-25-010246"/>
    <s v="3007069222"/>
    <s v="OC CIERRE"/>
    <s v="NARIÑO"/>
    <s v="PASTO"/>
    <s v="DISTRICOL TIENDA VAR EL VECINO"/>
    <s v="REDEBAN"/>
    <s v="FO-25-1951957"/>
    <d v="2025-12-10T08:50:00"/>
    <d v="2025-12-12T16:37:00"/>
    <m/>
    <s v="CIERRE"/>
    <s v="CIERRE"/>
    <s v="AGREGADOR"/>
    <s v="DISTRICOL"/>
    <s v="EJECUTADO / CANCELADO"/>
    <s v="ILOCALIZADO"/>
    <s v="CB CERRADO - DESOCUPADO"/>
    <s v="12/12/2025 SE REALIZA VARIAS LLAMADAS AL CLIENTE PERO NO SE LOGRA CONTACTO TELEFÓNICO | 12/12/2025 SE REALIZA VARIAS LLAMADAS AL NÚMERO INDICADO 3213700718 PERO NO SE OBTIENE RESPUESTA, SE REALIZA VISITA EN FRÍO PERO SE ENCUENTRA COMERCIO CERRADO POR LO CUAL NO SE PUEDE REALIZAR EL CIERRE, SE CIERRA TA POR ORDEN DEL COORDINADOR"/>
    <s v="VISITA TECNICA"/>
    <s v="A301Z307"/>
    <s v="TIPO I"/>
    <s v="TERRESTRE"/>
    <s v="PAZ MARTINEZ RICHARD HUMBERTO"/>
    <n v="1"/>
    <n v="44560"/>
    <n v="44560"/>
  </r>
  <r>
    <s v="CALI"/>
    <x v="1"/>
    <x v="1"/>
    <s v="76001"/>
    <s v="LC-CS-25-010247"/>
    <s v="3007051670"/>
    <s v="OC CIERRE"/>
    <s v="VALLE DEL CAUCA"/>
    <s v="CALI"/>
    <s v="PTM CALI  SERVI TG"/>
    <s v="REDEBAN"/>
    <s v="FO-25-1952013"/>
    <d v="2025-12-10T08:50:00"/>
    <d v="2025-12-17T07:19:00"/>
    <m/>
    <s v="CIERRE"/>
    <s v="CIERRE"/>
    <s v="AGREGADOR"/>
    <s v="COMCARD - PTM"/>
    <s v="EJECUTADO / CANCELADO"/>
    <s v="NO_EXITOSO"/>
    <s v="CB NO ENTREGA EQUIPO"/>
    <s v="16/12/2025 NO SÉ REALIZA GESTIÓN TELEFÓNICA | 18/12/2025 SE REALIZA VISITA PERO EN EL COMERCIO NO SE ENCUENTRA LA ENCARGADA DEL CB, SE COMUNICA CON ELLA Y INDICA QUE POR FAVOR SE VISITE EN HORAS DE LA MAÑANA."/>
    <s v="VISITA TECNICA"/>
    <s v="NO SÉ INTERVIENE EQUIPO"/>
    <s v="TIPO I"/>
    <s v="TERRESTRE"/>
    <s v="MONTERO MUESES GIAN CARLO"/>
    <n v="1"/>
    <n v="44560"/>
    <n v="44560"/>
  </r>
  <r>
    <s v="VALLEDUPAR"/>
    <x v="0"/>
    <x v="0"/>
    <s v="20001"/>
    <s v="LC-CS-25-010250"/>
    <s v="3007071591"/>
    <s v="OC CIERRE"/>
    <s v="CESAR"/>
    <s v="VALLEDUPAR"/>
    <s v="BARRIO  LA NEVADA VALLEDUPAR"/>
    <s v="REDEBAN"/>
    <s v="FO-25-1983987 | FO-25-1954709"/>
    <d v="2025-12-10T12:51:00"/>
    <d v="2025-12-17T10:19:00"/>
    <m/>
    <s v="CIERRE"/>
    <s v="CIERRE"/>
    <s v="CB UNO A UNO"/>
    <s v="CB UNO A UNO"/>
    <s v="EJECUTADO | EJECUTADO / CANCELADO"/>
    <s v="EJECUTADO_EXITOSO"/>
    <s v="CIERRE EXITOSO"/>
    <s v="[FO-25-1983987] 17/12/2025 NO CONTESTA | 17/12/2025 BUENOS DÍAS SE VISITA CB Y SE LE HACE CIERRE || [FO-25-1954709] 16/12/2025 NO CONTESTA | 16/12/2025 SE VISITA CB Y LA ENCARGADA DEL LOCAL INFORMA QUE LA TITULAR LE DICE QUE HOY NO SE PUEDE HACER EL CIERRE YA QUE MAÑANA ES QUE ESTÁ EN EL LOCAL, ENTONCES ELLA AUTORIZA EL CIERRE SIEMPRE Y CUANDO ESTÉ ELLA MISMA PRESENTE"/>
    <s v="VISITA TECNICA"/>
    <s v="LN00F219"/>
    <s v="TIPO I"/>
    <s v="TERRESTRE"/>
    <s v="BENITEZ CARVAJAL ALVARO JAVIER"/>
    <n v="1"/>
    <n v="44560"/>
    <n v="44560"/>
  </r>
  <r>
    <s v="CARTAGENA"/>
    <x v="0"/>
    <x v="0"/>
    <s v="13001"/>
    <s v="LC-CS-25-010268"/>
    <s v="3007060545"/>
    <s v="OC CIERRE"/>
    <s v="BOLIVAR"/>
    <s v="CARTAGENA"/>
    <s v="BARRIO LA PLAZUELA CARTAGENA D"/>
    <s v="REDEBAN"/>
    <s v="FO-25-1980365 | FO-25-1961887"/>
    <d v="2025-12-11T16:10:00"/>
    <d v="2025-12-18T14:41:00"/>
    <m/>
    <s v="CIERRE"/>
    <s v="CIERRE"/>
    <s v="CB UNO A UNO"/>
    <s v="CB UNO A UNO"/>
    <s v="EJECUTADO / CANCELADO"/>
    <s v="ILOCALIZADO"/>
    <s v="CB CERRADO - DESOCUPADO"/>
    <s v="[FO-25-1980365] 18/12/2025 SIN RESPUESTA | 18/12/2025 SI VISITA DIRECCIÓN NUEVAMENTE Y NO HAY NADIE EN EL LOCAL SE VALIDA CON EL COMERCIO DE AL LADO INFORMAN QUE ESE LOCAL YA NO LO ABREN SE MARCA AL NÚMERO 3182410358 Y NO HAY RESPUESTA , SE MARCA AL OTRO NUMERO DE CONTACTO 3052929658 INFORMAN VIA WS QUE NO SABEN NADA SOBRE EL TEMA QUE LA TIA ES LA ENCARGADA PERO NO CONTESTA NO FUE POSIBLE REALIZAR EL CIERRE NI FUE POSIBLE RETIRAR ROLLOS NI ACCESORIOS POR LA MISMA NOVEDAD || [FO-25-1961887] 13/12/2025 NO HAY RESPUESTA | 16/12/2025 SE LLAMO AL CLIENTE EN VARIAS OCACIONES Y NO RESPONDIO SE VA A BUZÓN SE LLEGO AL SITIO SE TOCO LA PUERTA Y TAMPOCO HUBO RESPUESTA NO CONTESTA NI MENSAJES DE WS VISITA FALLIDA NOSE PUDO RETIRAR NADA"/>
    <s v="VISITA TECNICA"/>
    <s v="NA"/>
    <s v="TIPO I"/>
    <s v="TERRESTRE"/>
    <s v="MARTINEZ SALGUEDO ANDRES AUGUSTO"/>
    <n v="2"/>
    <n v="44560"/>
    <n v="89120"/>
  </r>
  <r>
    <s v="TUNJA"/>
    <x v="2"/>
    <x v="2"/>
    <s v="15001"/>
    <s v="LC-CS-25-010270"/>
    <s v="3007075455"/>
    <s v="OC CIERRE"/>
    <s v="BOYACA"/>
    <s v="TUNJA"/>
    <s v="BARRIO MESOPOTAMIA TUNJA 2"/>
    <s v="REDEBAN"/>
    <s v="FO-25-1961897"/>
    <d v="2025-12-11T16:10:00"/>
    <d v="2025-12-15T13:30:00"/>
    <m/>
    <s v="CIERRE"/>
    <s v="CIERRE"/>
    <s v="UNO A UNO"/>
    <s v="UNO A UNO"/>
    <s v="EJECUTADO / CANCELADO"/>
    <s v="ILOCALIZADO"/>
    <s v="CB CERRADO - DESOCUPADO"/>
    <s v="15/12/2025 CLIENTE LA SEÑORA ALEJANDRA RESPONDE NUMERO CELULAR CONFIRMA WUE SI SE HABLA CON ELLA Y SE CAE LA LLAMADA , YA NO RESPONDE NÚMERO SE VISITARA EN FRIO | 15/12/2025 SE ESTABLECE COMUNICACIÓN CON EL NÚMERO CELULAR 3218928878 SEÑORA ALEJANDRA , EL OBJETIVO DE LA LLAMADA ES PARA CONFIRMAR VISITA Y LA ENTREGA DE LOS EQUIPOS , LA SEÑORA ALEJANDRA CONFIRMA QUE SI SE HABLA CON ELLA LA LLAMADA SE CAE SE VUELVE A MARCAR Y YA NO RESOONDE , SE VISITARÁ EN FRIO YA QUE ME ENCUENTRO CERCA A LA DIRECCIÓN | 15/12/2025 SE REALIZA COMUNICACIÓN CON LA SEÑORA ALEJANDRA DIAZ AL NÚMERO CELULAR 3218928878 EN EL TRANSCURSO DE LA LLAMADA A LO QUE LA SEÑORA ALEJANDRA CONFIRMA QUE SI SE HABLA CON ELLA LA LLAMADA SE CAE , SE REALIZA NUEVAMENTE LLAMADA Y NO RESPONDE , SE VA A BUZÓN DE VOZ , SE DEJA MENSAJE VIA WHATSAPP Y TAMPOCO HAY RESPUESTA , SE PROCEDE A VISITAR EN FRIO Y COMERCIO YA NO EXISTE. YA QUE LA COMUNICACIÓN CON LA SEÑORA  ALEJANDRA NO ES EXITOSA SE PROCEDERÁ A CERRAR ORDEN"/>
    <s v="VISITA TECNICA"/>
    <m/>
    <s v="TIPO I"/>
    <s v="TERRESTRE"/>
    <s v="ALVARADO MORENO CRISTHIAN"/>
    <n v="1"/>
    <n v="44560"/>
    <n v="44560"/>
  </r>
  <r>
    <s v="TUNJA"/>
    <x v="2"/>
    <x v="2"/>
    <s v="15897"/>
    <s v="LC-CS-25-010271"/>
    <s v="3007012770"/>
    <s v="OC CIERRE"/>
    <s v="BOYACA"/>
    <s v="ZETAQUIRA"/>
    <s v="ZETAQUIRA BOYACA"/>
    <s v="REDEBAN"/>
    <s v="FO-25-1961829"/>
    <d v="2025-12-11T16:10:00"/>
    <d v="2025-12-18T13:57:00"/>
    <m/>
    <s v="CIERRE"/>
    <s v="CIERRE"/>
    <s v="UNO A UNO"/>
    <s v="CB UNO A UNO"/>
    <m/>
    <s v="NO_EXITOSO"/>
    <s v="CB NO ENTREGA EQUIPO"/>
    <s v="18/12/2025 CLIENTE SE ENCUENTRA DE VIAJE | 17/12/2025 SE INTENTA CONTACTAR TELEFÓNICAMENTE A LA SEÑORA ANA ELVIA ARIAS AVILA AL NÚMERO DE CONTACTO 3143633905  CLIENTE NO RESPONDE PARA CONFIRMACIÓN DE LA VISITA. | 17/12/2025 SE INTENTA CONTACTAR NUEVAMENTE A LA SEÑORA ANA ELVIA ARIAS AVILA AL NÚMERO DE CONTACTO 3143633905 CLIENTE NO CONTESTA ENVÍA UN MENSAJE INDICANDO QUE MÁS TARDE SE ESTARÁ COMUNICANDO SE LE DEJAN MENSAJE POR WHATSAPP INDICANDO SOBRE LA VISITA NO SE OPTIENE UNA RESPUESTA A ESPERA DE QUE EL CLIENTE RESPONDA. | 17/12/2025 SE LOGRA ESTABLECER COMUNICACIÓN CON LA SEÑORA ANA ELVIA ARIAS AVILA AL NÚMERO DE CONTACTO 3143633905 CLIENTE INDICA QUE SE ENCUENTRA DE VIAJE NO ESTÁ EN EL MUNICIPIO PARA LA ENTREGA DE LOS EQUIPOS INDICA REPROGRAMAR LA VISITA PARA EL DÍA VIERNES 19/12/2025 INDICA LLAMARLA EL DÍA JUEVES PARA CONFIRMACIÓN DE LA VISITA. | 18/12/2025 SE  ESTABLECER NUEVAMENTE COMUNICACIÓN CON LA SEÑORA ANA ELVIA ARIAS AVILA AL NÚMERO DE CONTACTO 3143633905 CLIENTE INDICA QUE SE ENCUENTRA DE VIAJE NO ESTÁ EN EL MUNICIPIO PARA LA ENTREGA DE LOS EQUIPOS SE LE INDICA QUE POR TEMAS DE VENCIMIENTOS LA ORDEN DEBER DE CERRADA SE LE INFORMA QUE CUANDO SE ENCUENTRE EN EL MUNICIPIO DE ZETAQUIRA SE DEBE COMUNICAR CON LA ENTIDAD A LA LÍNEA 018000953344 PARA SOLICITAR LA RECOGIDA DE LOS EQUIPOS CLIENTE CONFORME."/>
    <s v="SOPORTE TELEFONICO"/>
    <m/>
    <s v="TIPO III"/>
    <s v="TERRESTRE"/>
    <s v="RODRIGUEZ MURCIA YERSON IVAN"/>
    <n v="0"/>
    <n v="37905"/>
    <n v="37905"/>
  </r>
  <r>
    <s v="BOGOTA"/>
    <x v="3"/>
    <x v="3"/>
    <s v="25290"/>
    <s v="LC-CS-25-010273"/>
    <s v="3007067584"/>
    <s v="OC CIERRE"/>
    <s v="CUNDINAMARCA"/>
    <s v="FUSAGASUGA"/>
    <s v="BARRIO CAMBULOS FUSAGASUGA"/>
    <s v="REDEBAN"/>
    <s v="FO-25-1961861"/>
    <d v="2025-12-11T16:10:00"/>
    <d v="2025-12-13T09:46:00"/>
    <m/>
    <s v="CIERRE"/>
    <s v="CIERRE"/>
    <s v="CB UNO A UNO"/>
    <s v="CB UNO A UNO"/>
    <s v="EJECUTADO / CANCELADO"/>
    <s v="ILOCALIZADO"/>
    <s v="CB CERRADO - DESOCUPADO"/>
    <s v="12/12/2025 NO CONTESTAN | 12/12/2025 SE LLEGA A COMERCIO Y CB NO EXISTE EN DIRECCIÓN, SE LLAMA AL NÚMERO 3222216288 NO ES POSIBLE CONTACTARLO, SE CIERRA"/>
    <s v="VISITA TECNICA"/>
    <m/>
    <s v="TIPO II"/>
    <s v="TERRESTRE"/>
    <s v="ORTIZ MARTINEZ STIVEN"/>
    <n v="1"/>
    <n v="134411"/>
    <n v="134411"/>
  </r>
  <r>
    <s v="BOGOTA"/>
    <x v="3"/>
    <x v="3"/>
    <s v="25754"/>
    <s v="LC-CS-25-010274"/>
    <s v="3007076979"/>
    <s v="OC CIERRE"/>
    <s v="CUNDINAMARCA"/>
    <s v="SOACHA"/>
    <s v="BARRIO BUENOS AIRES SOACHA"/>
    <s v="REDEBAN"/>
    <s v="FO-25-1961874"/>
    <d v="2025-12-11T16:10:00"/>
    <d v="2025-12-15T15:39:00"/>
    <m/>
    <s v="CIERRE"/>
    <s v="CIERRE"/>
    <s v="UNO A UNO"/>
    <s v="UNO A UNO"/>
    <s v="EJECUTADO / CANCELADO"/>
    <s v="NO_EXITOSO"/>
    <s v="CB NO ENTREGA EQUIPO"/>
    <s v="15/12/2025 NA | 15/12/2025 CIERRE FALLIDO _x000a_SE REALIZA VISITA AL COMERCIO NOS ATIENDES LA SEÑORA JENNY TELLEZ LA CULA NOS INDICA QUE SE ENCUENTRA A AL A ESPERA DE LA RESPUESTA DEL BANCO PARA NO REALIZAR EL CIERRE DEL CB NOS PERMITEN RETIRAR EQUIPOS"/>
    <s v="VISITA TECNICA"/>
    <s v="NA"/>
    <s v="TIPO I"/>
    <s v="TERRESTRE"/>
    <s v="HERNANDEZ NARANJO OSCAR EDUARDO"/>
    <n v="1"/>
    <n v="44560"/>
    <n v="44560"/>
  </r>
  <r>
    <s v="VILLAVICENCIO"/>
    <x v="5"/>
    <x v="5"/>
    <s v="50245"/>
    <s v="LC-CS-25-010275"/>
    <s v="3007065060"/>
    <s v="OC CIERRE"/>
    <s v="META"/>
    <s v="EL CALVARIO"/>
    <s v="BARRIO CENTRO EL CALVARIO 3"/>
    <s v="REDEBAN"/>
    <s v="FO-25-1961848"/>
    <d v="2025-12-11T16:10:00"/>
    <d v="2025-12-18T15:53:00"/>
    <m/>
    <s v="CIERRE"/>
    <s v="CIERRE"/>
    <s v="UNO A UNO"/>
    <s v="CB UNO A UNO"/>
    <m/>
    <s v="NO_EXITOSO"/>
    <s v="CB NO ENTREGA EQUIPO"/>
    <s v="15/12/2025 SE CONTACTA AL SEÑOR ROSEMBER ALFEREZ E INDICA QUE ESTA CERRADA LA CARRERERA Y HASTA AHORA LA COMUNIDAD ESTA REALIZADO ARREGLOS EN LA VIA PARA DQR PASO PROVICIONAL Y SI ALGO COMO TIENE VIAJAR A VILLAO LOS TRAE SE LE INFORMA A JEFE DE ZONA | 18/12/2025 NOS COMUNICAMOS CON EL SEÑOR SNEIDER ALFEREZ AL NÚMERO 3212162190 EL CUAL POR PROBLEMAS EN LA VIA NO HAY PASO POR EL MOMENTO YA QUE HAY UN DERRUMBE QUE ESTÁN INCOMUNICADOS INFORMA QUE A PRINCIPIO DE ENERO YA SE TENGA PASO PARA PODER ENTREGAR LOS EQUIPOS"/>
    <s v="SOPORTE TELEFONICO"/>
    <m/>
    <s v="TIPO IV"/>
    <s v="TERRESTRE"/>
    <s v="ROZO JIMENEZ EDGAR ARMANDO"/>
    <n v="0"/>
    <n v="37905"/>
    <n v="37905"/>
  </r>
  <r>
    <s v="IBAGUE"/>
    <x v="5"/>
    <x v="5"/>
    <s v="73001"/>
    <s v="LC-CS-25-010279"/>
    <s v="3007080272"/>
    <s v="OC CIERRE"/>
    <s v="TOLIMA"/>
    <s v="IBAGUE"/>
    <s v="BARRIO JORDAN 8 ETAPA IBAGUE 3"/>
    <s v="REDEBAN"/>
    <s v="FO-25-1961870"/>
    <d v="2025-12-11T16:10:00"/>
    <d v="2025-12-17T16:41:00"/>
    <m/>
    <s v="CIERRE"/>
    <s v="CIERRE"/>
    <s v="UNO A UNO"/>
    <s v="UNO A UNO"/>
    <s v="EJECUTADO / CANCELADO"/>
    <s v="NO_EXITOSO"/>
    <s v="CB NO ENTREGA EQUIPO"/>
    <s v="17/12/2025 SE COMUNICA AL NÚMERO 3215823498 SIN NINGÚN RESULTADO SE DETERMINA VISITAR SITIO. | 17/12/2025 SE VISITA COMERCIO PERO SE ENCUENTRA CERRADO, SE LOGRA COMUNICAR AL NÚMERO 3215823498 LA SEÑORA LINA MARÍA PARRA INDICA QUE SE ENCUENTRA EN UN PROCESO CON EL BANCO DEBIDO A UN CASO DE ROBO DE CUPO; INDICA QUE ESTÁ ESPERANDO RESPUESTA PARA PODER CONTINUAR CON EL SERVICIO DE CB."/>
    <s v="VISITA TECNICA"/>
    <m/>
    <s v="TIPO I"/>
    <s v="TERRESTRE"/>
    <s v="BARRAGAN TAFUR EDWIN ESTEBAN"/>
    <n v="1"/>
    <n v="44560"/>
    <n v="44560"/>
  </r>
  <r>
    <s v="CALI"/>
    <x v="1"/>
    <x v="1"/>
    <s v="76001"/>
    <s v="LC-CS-25-010281"/>
    <s v="3007022964"/>
    <s v="OC CIERRE"/>
    <s v="VALLE DEL CAUCA"/>
    <s v="CALI"/>
    <s v="BARRIO ALIRIO MORA BELTRAN CAL"/>
    <s v="REDEBAN"/>
    <s v="FO-25-1961855"/>
    <d v="2025-12-11T16:10:00"/>
    <d v="2025-12-12T14:44:00"/>
    <m/>
    <s v="CIERRE"/>
    <s v="CIERRE"/>
    <s v="CB UNO A UNO"/>
    <s v="CB UNO A UNO"/>
    <s v="CANCELADO"/>
    <s v="NO_EXITOSO"/>
    <s v="CB NO ENTREGA EQUIPO"/>
    <s v="12/12/2025 OK | 12/12/2025 SE COMUNICA CON EL SEÑOR GILDARDO MARIN AL NÚMERO  3113486713 E INFORMA QUE NO SE ENCUENTRA EN EL LUGAR Y QUE NO PERMITE LA RECOLECCIÓN DE EQUIPOS YA QUE ESTÁ EN PROCESO DE QUE BANCOLOMBIA NO LE CIERRE EL CORRESPONSAL"/>
    <s v="VISITA TECNICA"/>
    <s v="N/A"/>
    <s v="TIPO I"/>
    <s v="TERRESTRE"/>
    <s v="PALACIOS GOMEZ BRAHIAN ANDRES"/>
    <n v="1"/>
    <n v="44560"/>
    <n v="44560"/>
  </r>
  <r>
    <s v="YOPAL"/>
    <x v="5"/>
    <x v="5"/>
    <s v="85263"/>
    <s v="LC-CS-25-010283"/>
    <s v="3007067152"/>
    <s v="OC CIERRE"/>
    <s v="CASANARE"/>
    <s v="PORE"/>
    <s v="BARRIO SIMON BOLIVAR PORE"/>
    <s v="REDEBAN"/>
    <s v="FO-25-1961893"/>
    <d v="2025-12-11T16:10:00"/>
    <d v="2025-12-19T16:57:00"/>
    <m/>
    <s v="CIERRE"/>
    <s v="CIERRE"/>
    <s v="CB UNO A UNO"/>
    <s v="CB UNO A UNO"/>
    <s v="EJECUTADO / CANCELADO"/>
    <s v="ILOCALIZADO"/>
    <s v="CB CERRADO - DESOCUPADO"/>
    <s v="19/12/2025 NO CONTACTO | 19/12/2025 SE VISITA COMERCIO, SE ENCUENTRA CERRADO, COEMRCIOS CERCANOS INDICA QUE HACE UNA SEMANA NO HAY SERVICIO Y NO SABEN DE LOS DUEÑOS. SE INTENTA COMUNICACIÓN AL NUMERO REGISTRADO Y NO HAY RESPUESTA"/>
    <s v="VISITA TECNICA"/>
    <m/>
    <s v="TIPO II"/>
    <s v="TERRESTRE"/>
    <s v="BERNAL ELAICA EDGAR ALEXIS"/>
    <n v="1"/>
    <n v="134411"/>
    <n v="134411"/>
  </r>
  <r>
    <s v="BOGOTA"/>
    <x v="3"/>
    <x v="3"/>
    <s v="25295"/>
    <s v="LC-CS-25-010292"/>
    <s v="3007079941"/>
    <s v="OC CIERRE"/>
    <s v="CUNDINAMARCA"/>
    <s v="GACHANCIPA"/>
    <s v="BARRIO CENTRO GACHANCIPA 8"/>
    <s v="REDEBAN"/>
    <s v="FO-25-1989526 | FO-25-1979314"/>
    <d v="2025-12-16T08:00:00"/>
    <d v="2025-12-22T13:27:00"/>
    <m/>
    <s v="CIERRE"/>
    <s v="CIERRE"/>
    <s v="UNO A UNO"/>
    <s v="UNO A UNO"/>
    <s v="EJECUTADO / CANCELADO"/>
    <s v="ILOCALIZADO"/>
    <s v="CB CERRADO - DESOCUPADO"/>
    <s v="[FO-25-1989526] 22/12/2025 NO CONTESTAN | 22/12/2025 SE LLEGA A COMERCIO, PARA RECOGIDA DE EQUIPOS ENCONTRANDO CERRADO, SE LLAMA AL CONTACTO NÚMERO 3197805333 NO SE LOGRA CONTACTARLO. SE DEJA EVIDENCIA FOTOGRÁFICA || [FO-25-1979314] 17/12/2025 . | 17/12/2025 COMERCIO CERRADO AL MOMENTO DE LA VISITA, SE LLAMA AL NÚMERO DE CONTACTO INDICAN QUE HOY NO VAN A ABRIR YA QUE NO SE ENCUENTRAN EN EL PUEBLO, SE LE INFORMA AL COORDINADOR QUIEN AUTORIZA REPROGRAMACIÓN"/>
    <s v="VISITA TECNICA"/>
    <s v="0"/>
    <s v="TIPO II"/>
    <s v="TERRESTRE"/>
    <s v="ARIAS QUILINDO JULIAN"/>
    <n v="2"/>
    <n v="134411"/>
    <n v="268822"/>
  </r>
  <r>
    <s v="PASTO"/>
    <x v="1"/>
    <x v="1"/>
    <s v="52381"/>
    <s v="LC-CS-25-010295"/>
    <s v="3007063799"/>
    <s v="OC CIERRE"/>
    <s v="NARIÑO"/>
    <s v="LA FLORIDA"/>
    <s v="BARRIO SECTOR LA INMACULADA LA"/>
    <s v="REDEBAN"/>
    <s v="FO-25-1981023"/>
    <d v="2025-12-16T08:00:00"/>
    <d v="2025-12-22T16:30:00"/>
    <m/>
    <s v="CIERRE"/>
    <s v="RECUPERACION DE EQUIPOS"/>
    <s v="UNO A UNO"/>
    <s v="CB UNO A UNO"/>
    <m/>
    <s v="NO_EXITOSO"/>
    <s v="CB NO ENTREGA EQUIPO"/>
    <s v="19/12/2025 SE CON LA SEÑORA PATRICIA BRAVO PARA VISITA | 19/12/2025 SE CONTACTA CON LA SEÑORA PATRICIA BRAVO PARA REALIZAR VISITA PERO ELLA INFORMA QUE PARA LLEGAR AL CORREGIMIENTO DE MATITUY SOLO SE PUEDE LLEGAR EN TRANSPORTE PROPIO PORQUE NO HAY TRANSPORTE PÚBLICO PARA LLEGAR Y ELLA INFORMA QUE EL DÍA LUNES VIAJA A PASTO Y VIAJARÍA CON LOS EQUIPOS PARA HACER ENTREGA EN PASTO DE ELLOS MISMOS POR LO CUAL SE ESPERA HASTA EL DÍA LUNES... | 22/12/2025 SE REALIZA LLAMADA TELEFÓNICA PARA CONFIRMAR VISITA SE CONTACTA CON LA SEÑORA PATRICIA BRAVO LA CUAL INFORMA QUE NO SE ENCUENTRA EN EL MUNICIPIO MATITUY QUÉ SE ENCUENTRA VIAJANDO A PASTO NARIÑO Y QUE CUANDO SE ENCUENTRE EN PASTO NARIÑO LLAMARA  PARÁ HACER ENTREGA VOLUNTARIA DE LOS EQUIPOS EN PASTO.... POR LO CUAL SE CIERRA LA TA"/>
    <s v="SOPORTE TELEFONICO"/>
    <m/>
    <s v="TIPO II"/>
    <s v="TERRESTRE"/>
    <s v="PAZ MARTINEZ RICHARD HUMBERTO"/>
    <n v="0"/>
    <n v="37905"/>
    <n v="37905"/>
  </r>
  <r>
    <s v="MANIZALES"/>
    <x v="1"/>
    <x v="6"/>
    <s v="17541"/>
    <s v="LC-CS-25-010297"/>
    <s v="3007018305"/>
    <s v="OC CIERRE"/>
    <s v="CALDAS"/>
    <s v="PENSILVANIA"/>
    <s v="CORREGIMIENTO DE BOL PENSILVAN"/>
    <s v="REDEBAN"/>
    <s v="FO-25-1979297"/>
    <d v="2025-12-16T08:00:00"/>
    <d v="2025-12-22T18:25:00"/>
    <m/>
    <s v="CIERRE"/>
    <s v="CIERRE"/>
    <s v="UNO A UNO"/>
    <s v="CB UNO A UNO"/>
    <m/>
    <s v="NO_EXITOSO"/>
    <s v="CB NO ENTREGA EQUIPO"/>
    <s v="22/12/2025 SE HABLA CON LA SEÑORA ANA HERRERA HERMANA DEL SEÑOR ARTURO INDICA QUE ELLOS YA NO ESTAN EN EL CORREGIMIENTO DE BOLIVIA PUES VENDIERON EL NEGOCIO Y LOS EQUIPOS LOS TIENEN CON ELLOS PERO ESTAN VIAJANDO, INDICA VALIDARA EN LOS PROXIMOS DIAS UNA VEZ REGRESEN A MANIZALES PARA QUE LOS EQUIPOS PUEDAN SER RECOJIDOS EN EL LOCAL QUE TIENEN EN MANIZALES, POR VENCIEMIENTO DEL TICKET SE CIERRA Y SE REALIZARIA COMO RETIRO VOLUNTARIO"/>
    <s v="SOPORTE TELEFONICO"/>
    <m/>
    <s v="TIPO III"/>
    <s v="TERRESTRE"/>
    <s v="HENAO CARDONA DIEGO FERNANDO"/>
    <n v="0"/>
    <n v="37905"/>
    <n v="37905"/>
  </r>
  <r>
    <s v="MEDELLIN"/>
    <x v="4"/>
    <x v="4"/>
    <s v="5001"/>
    <s v="LC-CS-25-010300"/>
    <s v="3007074667"/>
    <s v="OC CIERRE"/>
    <s v="ANTIOQUIA"/>
    <s v="MEDELLIN"/>
    <s v="PTM MEDELLIN IMPRESIONES Y VAR"/>
    <s v="REDEBAN"/>
    <s v="FO-25-1979345"/>
    <d v="2025-12-16T08:00:00"/>
    <d v="2025-12-17T10:16:00"/>
    <m/>
    <s v="CIERRE"/>
    <s v="CIERRE"/>
    <s v="AGREGADOR"/>
    <s v="COMCARD - PTM"/>
    <s v="EJECUTADO / CANCELADO"/>
    <s v="NO_EXITOSO"/>
    <s v="CB NO ENTREGA EQUIPO"/>
    <s v="23/12/2025 LA PERSONA QUE TIENE A CARGO EL CB INFORMA QUE NO CONTINUARON CON EL PACK ENTONCES ESTÁ TRABAJANDO TANTO ÉL COMO LA MUJER, POR LO CUAL NO TIENE LA FORMA DE REALIZAR LA ENTREGA. SE LE INFORMA QUE PUEDE ENTREGARLO A PTM Y DICE QUE LO VA A HACER DE ESA MANERA YA SEA QUE SE TENGA QUE COMUNICAR CON SU ASESOR PARA SABER A DÓNDE HACERLO LLEGAR."/>
    <s v="VISITA TECNICA"/>
    <s v="NO SE INTERVIENE"/>
    <s v="TIPO I"/>
    <s v="TERRESTRE"/>
    <s v="MARIN PIEDRAHITA JIMMY ALEXIS"/>
    <n v="1"/>
    <n v="44560"/>
    <n v="44560"/>
  </r>
  <r>
    <s v="BUCARAMANGA"/>
    <x v="2"/>
    <x v="2"/>
    <s v="68655"/>
    <s v="LC-CS-25-010309"/>
    <s v="3007053945"/>
    <s v="OC CIERRE"/>
    <s v="SANTANDER"/>
    <s v="SABANA DE TORRES"/>
    <s v="PTM SABANA DE TORRES REPUESTOS"/>
    <s v="REDEBAN"/>
    <s v="FO-25-1980988"/>
    <d v="2025-12-16T08:00:00"/>
    <d v="2025-12-17T17:43:00"/>
    <m/>
    <s v="CIERRE"/>
    <s v="CIERRE"/>
    <s v="AGREGADOR"/>
    <s v="COMCARD - PTM"/>
    <s v="EJECUTADO / CANCELADO"/>
    <s v="NO_EXITOSO"/>
    <s v="CB NO ENTREGA EQUIPO"/>
    <s v="18/12/2025 SE INTENTA COMUNICACIÓN CON EL CLIENTE AL TELÉFONO 6050962 Y NO FUE POSIBLE, SE REALIZA DESPLAZAMIENTO A SITIO Y LOCAL SE ENCUENTRA CERRADO, SE LE PREGUNTA AL LOCAL DE AL LADO Y NOS SUMINISTRA ELSIGUIENTE NÚMERO 3152142489, EL CUAL NOS CONTESTA EL SEÑOR ELKIN, NOS INFORMA QUE NO PUEDE ATENDERNOS EN ESTOS MOMENTOS YA QUE ELLOS SE ENCUENTRAN FUERA DE SABANA DE TORRES, QUE ESTÁN EN BARRANQUILLA QUE ESTÁN RETORNANDO APARTIR DEL SÁBADO APROXIMADAMENTE, SE LE INDICA AL CLIENTE QUE CUANDO ESTE EN SABANA DE TORRES NUEVAMENTE MARCAR A LA LÍNEA DE CORRESPONSAL 018000953344, PARA QUE SOLICITE LA RECOGIDA DE LOS EQUIPOS."/>
    <s v="VISITA TECNICA"/>
    <s v="XP1ZZ966"/>
    <s v="TIPO III"/>
    <s v="TERRESTRE"/>
    <s v="MARTINEZ FLOREZ DONIS ALBERTO"/>
    <n v="1"/>
    <n v="222904"/>
    <n v="222904"/>
  </r>
  <r>
    <s v="IBAGUE"/>
    <x v="5"/>
    <x v="5"/>
    <s v="73001"/>
    <s v="LC-CS-25-010311"/>
    <s v="3007064869"/>
    <s v="OC CIERRE"/>
    <s v="TOLIMA"/>
    <s v="IBAGUE"/>
    <s v="PTM IBAGUE MISCELANEA DULCE AM"/>
    <s v="REDEBAN"/>
    <s v="FO-25-1980985"/>
    <d v="2025-12-16T08:00:00"/>
    <d v="2025-12-19T11:29:00"/>
    <m/>
    <s v="CIERRE"/>
    <s v="CIERRE"/>
    <s v="AGREGADOR"/>
    <s v="COMCARD - PTM"/>
    <m/>
    <s v="NO_EXITOSO"/>
    <s v="CB NO ENTREGA EQUIPO"/>
    <s v="19/12/2025 SE COMUNICA AL NÚMERO 3044843353, LA SEÑORA DIANA CAROLINA GUTIERREZ MORENO INDICA QUE LOS EQUIPOS FUERON ENVIADOS ALA CIUDAD DE MEDELLÍN SEGÚN INDICACIONES DE PTM. | 19/12/2025 SE COMUNICA AL NÚMERO 3044843353, LA SEÑORA DIANA CAROLINA GUTIERREZ MORENO INDICA QUE LOS EQUIPOS FUERON ENVIADOS ALA CIUDAD DE MEDELLÍN SEGÚN INDICACIONES DE PTM. NOS INFORMA QUE HIZO DISPOSICIÓN FINAL DE LA PUBLICIDAD."/>
    <s v="SOPORTE TELEFONICO"/>
    <m/>
    <s v="TIPO I"/>
    <s v="TERRESTRE"/>
    <s v="BARRAGAN TAFUR EDWIN ESTEBAN"/>
    <n v="0"/>
    <n v="37905"/>
    <n v="37905"/>
  </r>
  <r>
    <s v="CUCUTA"/>
    <x v="2"/>
    <x v="2"/>
    <s v="54001"/>
    <s v="LC-CS-25-010313"/>
    <s v="3007066766"/>
    <s v="OC CIERRE"/>
    <s v="NORTE DE SANTANDER"/>
    <s v="CUCUTA"/>
    <s v="DISTRICOL LUNA COWORKING"/>
    <s v="REDEBAN"/>
    <s v="FO-25-1980971"/>
    <d v="2025-12-16T08:00:00"/>
    <d v="2025-12-16T17:40:00"/>
    <m/>
    <s v="CIERRE"/>
    <s v="CIERRE"/>
    <s v="AGREGADOR"/>
    <s v="DISTRICOL"/>
    <s v="EJECUTADO / CANCELADO"/>
    <s v="ILOCALIZADO"/>
    <s v="CB CERRADO - DESOCUPADO"/>
    <s v="16/12/2025 VISITA | 17/12/2025 SE REALIZA VISITA ME INFORMA LA PERSONA ENCARGADA DEL COMERCIO QUE NO TIENEN CONOCIMIENTO DE LOS EQUIPOS YA QUE LA PERSONA QUE SE ENCARGABA DE EL CORRESPONSAL YA NO LABORA CON ELLOS Y NO SE LOGRÓ COMUNICACIÓN PARA CON LA SRA LILIANA PARA SABER UBICACIÓN DE LOS EQUIPOS, SE LES INFORMA QUE SI LLEGAN A APARECER LLAMAR NUEVAMENTE AL BANCO PARA SOLICITAR RECOLECCIÓN"/>
    <s v="VISITA TECNICA"/>
    <m/>
    <s v="TIPO I"/>
    <s v="TERRESTRE"/>
    <s v="DURAN ACOSTA FRANK YONNY"/>
    <n v="1"/>
    <n v="44560"/>
    <n v="44560"/>
  </r>
  <r>
    <s v="CALI"/>
    <x v="1"/>
    <x v="1"/>
    <s v="76001"/>
    <s v="LC-CS-25-010315"/>
    <s v="3007075826"/>
    <s v="OC CIERRE"/>
    <s v="VALLE DEL CAUCA"/>
    <s v="CALI"/>
    <s v="PTM CALI ATENAS VIRTUAL LIBRER"/>
    <s v="REDEBAN"/>
    <s v="FO-25-1979317"/>
    <d v="2025-12-16T08:00:00"/>
    <d v="2025-12-18T14:24:00"/>
    <m/>
    <s v="CIERRE"/>
    <s v="CIERRE"/>
    <s v="AGREGADOR"/>
    <s v="COMCARD - PTM"/>
    <s v="EJECUTADO / CANCELADO"/>
    <s v="NO_EXITOSO"/>
    <s v="CB NO ENTREGA EQUIPO"/>
    <s v="18/12/2025 . | 18/12/2025 SE LLEGA A EL SITIO Y SE ENCUETRA CERRADO, SE CONTACTA CON LA SEÑORA SOFIA Y MANIFIESTA QUE EN ESTE MOMENTO NO SE ENCUENTRA, INDICA QUE PARA LA PROXIMA VISITA LA LLAMEN CON ANTICIPACIÓN._x000a_PARA PODER CUADRAR TODO."/>
    <s v="VISITA TECNICA"/>
    <s v="00000000"/>
    <s v="TIPO I"/>
    <s v="TERRESTRE"/>
    <s v="TORRES GARCIA JENDRY JOSE"/>
    <n v="1"/>
    <n v="44560"/>
    <n v="44560"/>
  </r>
  <r>
    <s v="CALI"/>
    <x v="1"/>
    <x v="1"/>
    <s v="76001"/>
    <s v="LC-CS-25-010316"/>
    <s v="3007058807"/>
    <s v="OC CIERRE"/>
    <s v="VALLE DEL CAUCA"/>
    <s v="CALI"/>
    <s v="PTM CALI VARIEDADES JHON"/>
    <s v="REDEBAN"/>
    <s v="FO-25-1981030"/>
    <d v="2025-12-16T08:00:00"/>
    <d v="2025-12-19T09:33:00"/>
    <m/>
    <s v="CIERRE"/>
    <s v="CIERRE"/>
    <s v="AGREGADOR"/>
    <s v="COMCARD - PTM"/>
    <s v="CANCELADO"/>
    <s v="NO_EXITOSO"/>
    <s v="CB NO ENTREGA EQUIPO"/>
    <s v="19/12/2025 NO SE REALIZA LLAMADA TELEFÓNICA | 19/12/2025 SE REALIZA VISITA TÉCNICA EN LA DIRECCIÓN CORRESPONDIENTE, QUE ESTÁ EN LAS OBSERVACIONES DE SYTEX, DONDE VALIDAMOS QUE EL COMERCIO SE ENCUENTRA CERRADO SE PROCEDE A REALIZAR LLAMADA TELEFÓNICA AL SEÑOR JHONIER DONDE ME INDICA QUE EL DÍA QUE HOY NO ABRE EL COMERCIO"/>
    <s v="VISITA TECNICA"/>
    <s v="0000"/>
    <s v="TIPO I"/>
    <s v="TERRESTRE"/>
    <s v="ESCOBAR LENIS JUAN SEBASTIAN"/>
    <n v="1"/>
    <n v="44560"/>
    <n v="44560"/>
  </r>
  <r>
    <s v="CALI"/>
    <x v="1"/>
    <x v="1"/>
    <s v="76001"/>
    <s v="LC-CS-25-010317"/>
    <s v="3007079695"/>
    <s v="OC CIERRE"/>
    <s v="VALLE DEL CAUCA"/>
    <s v="CALI"/>
    <s v="PTM CALI PUNTO RAJAAM"/>
    <s v="REDEBAN"/>
    <s v="FO-25-1979329"/>
    <d v="2025-12-16T08:00:00"/>
    <d v="2025-12-19T12:20:00"/>
    <m/>
    <s v="CIERRE"/>
    <s v="CIERRE"/>
    <s v="AGREGADOR"/>
    <s v="COMCARD - PTM"/>
    <s v="EJECUTADO / CANCELADO"/>
    <s v="NO_EXITOSO"/>
    <s v="CB NO ENTREGA EQUIPO"/>
    <s v="19/12/2025 . | 19/12/2025 SE LLEGA A EL SITIO Y EL SEÑOR WILLIAM YA NO SE ENCUENTRA EN EL PUNTO, LA NUEVA DUEÑA INDICA QUE EL SEÑOR ENVÍO LOS EQUIPOS A MEDELLÍN Y QUE TIENE LA GUIA 9187572326 CON SERVIENTREGA."/>
    <s v="VISITA TECNICA"/>
    <s v="00000000"/>
    <s v="TIPO I"/>
    <s v="TERRESTRE"/>
    <s v="TORRES GARCIA JENDRY JOSE"/>
    <n v="1"/>
    <n v="44560"/>
    <n v="44560"/>
  </r>
  <r>
    <s v="YOPAL"/>
    <x v="5"/>
    <x v="5"/>
    <s v="85001"/>
    <s v="LC-CS-25-010318"/>
    <s v="3007064700"/>
    <s v="OC CIERRE"/>
    <s v="CASANARE"/>
    <s v="YOPAL"/>
    <s v="DISTRICOL TORNILLOS Y HERRAMIE"/>
    <s v="REDEBAN"/>
    <s v="FO-25-1981018"/>
    <d v="2025-12-16T08:00:00"/>
    <d v="2025-12-17T16:32:00"/>
    <m/>
    <s v="CIERRE"/>
    <s v="CIERRE"/>
    <s v="AGREGADOR"/>
    <s v="DISTRICOL"/>
    <s v="EJECUTADO / CANCELADO"/>
    <s v="ILOCALIZADO"/>
    <s v="CB CERRADO - DESOCUPADO"/>
    <s v="17/12/2025 SE VISITA COMERCIO, SE ENCUENTRA CERRADO, COMERCIOS CERCANOS INFORMA QUE EL CB CERRO HACE SEMANAS. SE INTENTA COMUNICACIÓN A EL NUMERO REGISTRADO Y NO HAY RESPUESTA. | 17/12/2025 SE VISITA COMERCIO, SE ENCUENTRA CERRADO. COMERCIOS CERCANOS INDICAN EL CORRESPONSAL CERRO HACE SEMANAS INDICAN NO SABER DE LOS DUEÑOS. SE INTENTA COMUNICACIÓN AL NUMERO REGISTRA Y NO HAY RESPUESTA"/>
    <s v="VISITA TECNICA"/>
    <m/>
    <s v="TIPO I"/>
    <s v="TERRESTRE"/>
    <s v="BERNAL ELAICA EDGAR ALEXIS"/>
    <n v="1"/>
    <n v="44560"/>
    <n v="44560"/>
  </r>
  <r>
    <s v="BOGOTA"/>
    <x v="3"/>
    <x v="3"/>
    <s v="11001"/>
    <s v="LC-CS-25-010319"/>
    <s v="3007038561"/>
    <s v="OC CIERRE"/>
    <s v="CUNDINAMARCA"/>
    <s v="BOGOTA"/>
    <s v="PTM BOGOTA DIMESALUD"/>
    <s v="REDEBAN"/>
    <s v="FO-25-1981027"/>
    <d v="2025-12-16T08:00:00"/>
    <d v="2025-12-16T13:16:00"/>
    <m/>
    <s v="CIERRE"/>
    <s v="CIERRE"/>
    <s v="AGREGADOR"/>
    <s v="COMCARD - PTM"/>
    <s v="EJECUTADO / CANCELADO"/>
    <s v="ILOCALIZADO"/>
    <s v="CB CERRADO - DESOCUPADO"/>
    <s v="16/12/2025 VISITA TÉCNICA | 16/12/2025 SE LLEGA AL COMERCIO SE VALÍA CERRADO CON UN LETRERO DE SE ARRIENDA . SE MARCA EL NÚMERO DE CONTACTO 3017530022 SALE MENSAJE TEMPORALMENTE FUERA DE SERVICIO."/>
    <s v="VISITA TECNICA"/>
    <m/>
    <s v="TIPO I"/>
    <s v="TERRESTRE"/>
    <s v="GOMEZ VEGA DAVID SNEYDER"/>
    <n v="1"/>
    <n v="44560"/>
    <n v="44560"/>
  </r>
  <r>
    <s v="BOGOTA"/>
    <x v="3"/>
    <x v="3"/>
    <s v="11001"/>
    <s v="LC-CS-25-010321"/>
    <s v="3007069693"/>
    <s v="OC CIERRE"/>
    <s v="CUNDINAMARCA"/>
    <s v="BOGOTA"/>
    <s v="PTM BOGOTA COMERCIALIZORA L&amp;R"/>
    <s v="REDEBAN"/>
    <s v="FO-25-1980966"/>
    <d v="2025-12-16T08:00:00"/>
    <d v="2025-12-18T07:07:00"/>
    <m/>
    <s v="CIERRE"/>
    <s v="CIERRE"/>
    <s v="AGREGADOR"/>
    <s v="COMCARD - PTM"/>
    <s v="EJECUTADO / CANCELADO"/>
    <s v="ILOCALIZADO"/>
    <s v="CB CERRADO - DESOCUPADO"/>
    <s v="17/12/2025 SE REALIZA VISITA DE CAMPO ENCONTRADO QUE COMERCIO NO EXISTE EN DIRECCIÓN INDICADA EN RUTA, SE INTENTA COMUNICACIÓN A LA LÍNEA 3142690852 DONDE NO HAY RESPUESTA, SE INFORMA A SUPERVISOR QUIEN AUTORIZA CIERRE DE SOLICITUD."/>
    <s v="VISITA TECNICA"/>
    <m/>
    <s v="TIPO I"/>
    <s v="TERRESTRE"/>
    <s v="LOZADA ROJAS CHRISTIAN ANDRES"/>
    <n v="1"/>
    <n v="44560"/>
    <n v="44560"/>
  </r>
  <r>
    <s v="MEDELLIN"/>
    <x v="4"/>
    <x v="4"/>
    <s v="5034"/>
    <s v="LC-CS-25-010329"/>
    <s v="3007061741"/>
    <s v="OC CIERRE"/>
    <s v="ANTIOQUIA"/>
    <s v="ANDES"/>
    <s v="DISTRICOL TIENDA ROBERT"/>
    <s v="REDEBAN"/>
    <s v="FO-25-1980969"/>
    <d v="2025-12-16T08:00:00"/>
    <d v="2025-12-17T16:10:00"/>
    <m/>
    <s v="CIERRE"/>
    <s v="RECUPERACION DE EQUIPOS"/>
    <s v="AGREGADOR"/>
    <s v="DISTRICOL"/>
    <m/>
    <s v="NO_EXITOSO"/>
    <s v="CB NO ENTREGA EQUIPO"/>
    <s v="17/12/2025 O ROLLOS, OK | 17/12/2025 PERSONAL DE ALIANZA INFORMA QUE ESTOS EQUIPOS AUN NO LE LLEGAN, AUN NO LE LLEGAN POR PARTE DE USUARIO. NO ES POSIBLE RETIRAR EL DATAFONO Y LECTORA DEL CORRESPONSAL, DEBIDO A QUE NO HA LLEGADO. FUNCIONARIA DE DISTRICOL INFORMA QUE PONDRA NUEVA SOLICITUD CUANDO LE LLEGUEN LOS EQUIPOS."/>
    <s v="SOPORTE TELEFONICO"/>
    <m/>
    <s v="TIPO III"/>
    <s v="TERRESTRE"/>
    <s v="HENAO JARAMILLO JUAN JOSE"/>
    <n v="0"/>
    <n v="37905"/>
    <n v="37905"/>
  </r>
  <r>
    <s v="IBAGUE"/>
    <x v="5"/>
    <x v="5"/>
    <s v="73001"/>
    <s v="LC-CS-25-010344"/>
    <s v="3007014543"/>
    <s v="OC CIERRE"/>
    <s v="TOLIMA"/>
    <s v="IBAGUE"/>
    <s v="BARRIO LA 14 IBAGUE"/>
    <s v="REDEBAN"/>
    <s v="FO-25-1985329"/>
    <d v="2025-12-17T08:00:00"/>
    <d v="2025-12-19T14:50:00"/>
    <m/>
    <s v="CIERRE"/>
    <s v="CIERRE"/>
    <s v="CB UNO A UNO"/>
    <s v="CB UNO A UNO"/>
    <s v="EJECUTADO / CANCELADO"/>
    <s v="NO_EXITOSO"/>
    <s v="CB NO ENTREGA EQUIPO"/>
    <s v="19/12/2025 SE VALIDA CONTACTO TELEFÓNICO AL NÚMERO 3127167783, CONTESTA PERO INDICA QUE NO TIENE CONOCIMIENTO DE LA ACTIVIDAD. | 22/12/2025 SE VISITA EL SITIO PERO LA PERSONA ENCARGADA NO ESTÁ AUTORIZADA PARA RECIBIR LA ACTIVIDAD. SE LOGRA CONTACTAR AL NÚMERO 3177417429 LA SEÑORA XIOMARA HERNÁNDEZ INDICA QUE LOS EQUIPOS NO SE ENCUENTRAN EN EL COMERCIO Y TAMPOCO SE ENCUENTRA LA PERSONA ENCARGADA EN LA CIUDAD. NO ES POSIBLE REALIZAR CIERRE."/>
    <s v="VISITA TECNICA"/>
    <m/>
    <s v="TIPO I"/>
    <s v="TERRESTRE"/>
    <s v="BARRAGAN TAFUR EDWIN ESTEBAN"/>
    <n v="1"/>
    <n v="44560"/>
    <n v="44560"/>
  </r>
  <r>
    <s v="CALI"/>
    <x v="1"/>
    <x v="1"/>
    <s v="76001"/>
    <s v="LC-CS-25-010347"/>
    <s v="3007037180"/>
    <s v="OC CIERRE"/>
    <s v="VALLE DEL CAUCA"/>
    <s v="CALI"/>
    <s v="BARRIO NUEVA FLORESTA CALI 1"/>
    <s v="REDEBAN"/>
    <s v="FO-25-1985357"/>
    <d v="2025-12-17T08:00:00"/>
    <d v="2025-12-17T17:01:00"/>
    <m/>
    <s v="CIERRE"/>
    <s v="RECUPERACION DE EQUIPOS"/>
    <s v="CB UNO A UNO"/>
    <s v="CB UNO A UNO"/>
    <s v="EJECUTADO / CANCELADO"/>
    <s v="ILOCALIZADO"/>
    <s v="CB CERRADO - DESOCUPADO"/>
    <s v="17/12/2025 CLIENTE NO CONTESTA | 18/12/2025 SE LLAMA EL CLIENTE NO CONTESTA, SE LLEGA AL COMERCIO Y SE ENCUENTRA CERRADO, SE PREGUNTA A VECINOS E INDICAN QUE LLEVA TIEMPO CERRADO"/>
    <s v="VISITA TECNICA"/>
    <m/>
    <s v="TIPO I"/>
    <s v="TERRESTRE"/>
    <s v="CUERO RUIZ JHONNY"/>
    <n v="1"/>
    <n v="44560"/>
    <n v="44560"/>
  </r>
  <r>
    <s v="VILLAVICENCIO"/>
    <x v="5"/>
    <x v="5"/>
    <s v="50568"/>
    <s v="LC-CS-25-011866"/>
    <s v="3007081095"/>
    <s v="OC CIERRE"/>
    <s v="META"/>
    <s v="PUERTO GAITAN"/>
    <s v="BARRIO PERLAS DEL NANACACIAS PUERTO GAITAN"/>
    <s v="REDEBAN"/>
    <s v="FO-25-2009863"/>
    <d v="2025-12-20T09:00:00"/>
    <d v="2025-12-29T08:51:00"/>
    <m/>
    <s v="CIERRE"/>
    <s v="CIERRE"/>
    <s v="UNO A UNO"/>
    <s v="UNO A UNO"/>
    <s v="EJECUTADO / CANCELADO"/>
    <s v="NO_EXITOSO"/>
    <s v="CB NO ENTREGA EQUIPO"/>
    <s v="23/12/2025 SIN RESPUESTA | 29/12/2025 NO SE TIENE COMUNICACIÓN TELEFÓNICA PREVIA AL DESPLAZAMIENTO A SITIO AL LLEGAR SE ENCUENTRA COMERCIO CERRADO, SE INTENTA NUEVA COMUNICACIÓN SE HABLA CON LA SRA. JENNY ALEXANDRA RUIZ CRISTANCHO AL NÚMERO 3165793508 INFORMA QUE NO ESTÁ EN EL MUNICIPIO, QUE REGRESA EL DÍA 26-12-2025 Y ESTÁ DISPONIBLE PARA ENTREGA DE EQUIPOS EL DÍA 27-12-20205 O EL DÍA 29-12-2025, SE INDICA QUE LA VISITA SE PROGRAMARA SEGÚN DISPONIBILIDAD DE AGENDA DE LA OPERACIÓN, SE INFORMA A LA CLIENTE QUE UNA VEZ ESTE DE NUEVO EL MUNICIPIO DEBE SOLICITAR RETIRO VOLUNTARIO CON LA ENTIDAD"/>
    <s v="VISITA TECNICA"/>
    <s v="SGZZZ995"/>
    <s v="TIPO III"/>
    <s v="TERRESTRE"/>
    <s v="MURCIA HERNANDEZ HARVEY IGNACIO"/>
    <n v="1"/>
    <n v="222904"/>
    <n v="222904"/>
  </r>
  <r>
    <s v="PEREIRA"/>
    <x v="1"/>
    <x v="6"/>
    <s v="76147"/>
    <s v="LC-CS-25-011873"/>
    <s v="3007076540"/>
    <s v="OC CIERRE"/>
    <s v="VALLE DEL CAUCA"/>
    <s v="CARTAGO"/>
    <s v="DISTRICOL RAPITIENDA MANA"/>
    <s v="REDEBAN"/>
    <s v="FO-25-2009862"/>
    <d v="2025-12-20T09:00:00"/>
    <d v="2025-12-28T09:43:00"/>
    <m/>
    <s v="CIERRE"/>
    <s v="RECUPERACION DE EQUIPOS"/>
    <s v="AGREGADOR"/>
    <s v="DISTRICOL"/>
    <s v="EJECUTADO"/>
    <s v="NO_EXITOSO"/>
    <s v="CB NO ENTREGA EQUIPO"/>
    <s v="20/12/2025 SE ESCALA PARA VISITA. CONFIRMAR DATOS PARA LA RECOLECCION DE EQUIPOS | 27/12/2025 CLIENTE INFORMA QUE REALIZÓ ENVÍO DE LOS EQUIPOS A LA CIUDAD DE MEDELLÍN EL DÍA 18/12/2025 CON GUÍA # 9187352927, EN SITIO SOLO TENÍA EL AVISO EXTERIOR, EL CUAL SE LE DESINSTALA Y DESTRUYE EN SITIO, CLIENTE INFORMA QUE NO TIENE ROLLOS PARA ENTREGAR"/>
    <s v="VISITA TECNICA"/>
    <s v="103ZZ220"/>
    <s v="TIPO I"/>
    <s v="TERRESTRE"/>
    <s v="CAÑAS MENDEZ GUSTAVO ADOLFO"/>
    <n v="1"/>
    <n v="44560"/>
    <n v="44560"/>
  </r>
  <r>
    <s v="PEREIRA"/>
    <x v="1"/>
    <x v="6"/>
    <s v="66001"/>
    <s v="LC-CS-25-011934"/>
    <s v="3007076608"/>
    <s v="OC CIERRE"/>
    <s v="RISARALDA"/>
    <s v="PEREIRA"/>
    <s v="BARRIO MEJIA ROBLEDO PEREIRA"/>
    <s v="REDEBAN"/>
    <s v="FO-25-2021048"/>
    <d v="2025-12-23T08:00:00"/>
    <d v="2025-12-26T15:48:00"/>
    <m/>
    <s v="CIERRE"/>
    <s v="CIERRE"/>
    <s v="UNO A UNO"/>
    <s v="UNO A UNO"/>
    <s v="EJECUTADO"/>
    <s v="ILOCALIZADO"/>
    <s v="CB CERRADO - DESOCUPADO"/>
    <s v="23/12/2025 SE ESCALA PARA VISITA. CONFIRMAR DATOS PARA LA RECOLECCION DE EQUIPOS | 26/12/2025 EN COMUNICACIÓN TELEFÓNICA CON EL CLIENTE ANTONIO BEDOYA INDICA QUE YA NO ADMINISTRA EL COMERCIO QUE SE DEBE ACERCAR AL PUNTO AL LLEGAR SE ENCUENTRA CERRADO NADIE DA RAZÓN DEL COMERCIO"/>
    <s v="VISITA TECNICA"/>
    <s v="V14ZZ284"/>
    <s v="TIPO I"/>
    <s v="TERRESTRE"/>
    <s v="LOAIZA LOPEZ JHON FREDDY"/>
    <n v="1"/>
    <n v="44560"/>
    <n v="44560"/>
  </r>
  <r>
    <s v="VILLAVICENCIO"/>
    <x v="5"/>
    <x v="5"/>
    <s v="95001"/>
    <s v="LC-CS-25-011936"/>
    <s v="3007073388"/>
    <s v="OC CIERRE"/>
    <s v="GUAVIARE"/>
    <s v="SAN JOSE DEL GUAVIARE"/>
    <s v="BARRIO BICENTENARIO 1 SAN JOSE"/>
    <s v="REDEBAN"/>
    <s v="FO-25-2021040"/>
    <d v="2025-12-23T08:00:00"/>
    <d v="2025-12-26T10:47:00"/>
    <m/>
    <s v="CIERRE"/>
    <s v="CIERRE"/>
    <s v="CB UNO A UNO"/>
    <s v="CB UNO A UNO"/>
    <m/>
    <s v="NO_EXITOSO"/>
    <s v="CB NO ENTREGA EQUIPO"/>
    <s v="23/12/2025 SE ESCALA PARA VISITA. CONFIRMAR DATOS PARA LA RECOLECCION DE EQUIPOS | 26/12/2025 SE REALIZA LLAMADA AL USUARIO FRAY GONZALEZ CC. 1120565480 Y CELULAR 3204325123 PARA CONFIRMAR LA VISITA. LA USUARIA ME COMENTA QUE NO TENÍA CONOCIMIENTO DEL CIERRE, QUE NO HABÍA SIDO NOTIFICADA EN NINGÚN MOMENTO, ME INFORMA QUE HABÍA TENIDO PROBLEMAS CON EL CUPO QUE CADA DIA CAMBIA DE VALOR Y QUE SE HABÍA COMUNICADO CON UNA ASESORA PERO NO LE HABÍA DEJADO MUY EN CLARO PORQUE ESTABA BAJANDO EL CUPO, NOS INFORMA QUE REALIZO UNA PQR CON RADICADO: 14594652 Y ESTABA A PRONTA RESPUESTA Y POR ESE MOTIVO NO ENTREGARIA LOS EQUIPOS."/>
    <s v="SOPORTE TELEFONICO"/>
    <m/>
    <s v="TIPO IV"/>
    <s v="TERRESTRE"/>
    <s v="MOLINA CASTRO JAVIER ALBERTO"/>
    <n v="0"/>
    <n v="37905"/>
    <n v="37905"/>
  </r>
  <r>
    <s v="BOGOTA"/>
    <x v="3"/>
    <x v="3"/>
    <s v="11001"/>
    <s v="LC-CS-25-011944"/>
    <s v="3007070542"/>
    <s v="OC CIERRE"/>
    <s v="CUNDINAMARCA"/>
    <s v="BOGOTA"/>
    <s v="BARRIO SABANAS DEL DORADO 4"/>
    <s v="REDEBAN"/>
    <s v="FO-25-2025496"/>
    <d v="2025-12-24T08:00:00"/>
    <d v="2025-12-31T07:01:00"/>
    <m/>
    <s v="CIERRE"/>
    <s v="RECUPERACION DE EQUIPOS"/>
    <s v="UNO A UNO"/>
    <s v="CB UNO A UNO"/>
    <s v="EJECUTADO / CANCELADO"/>
    <s v="NO_EXITOSO"/>
    <s v="CB CERRADO - DESOCUPADO"/>
    <s v="23/12/2025 SE ESCALA PARA VISITA. CONFIRMAR DATOS PARA LA RECOLECCION DE EQUIPOS | 31/12/2025 SE VISITA COMERCIO PERO ESTÁ CERRADO SE LLAMA LA PERSONA NO CONTESTA AL NÚMERO 3134297574"/>
    <s v="VISITA TECNICA"/>
    <s v="NA"/>
    <s v="TIPO I"/>
    <s v="TERRESTRE"/>
    <s v="LEAL POVEDA YOHAN SEBASTIAN"/>
    <n v="1"/>
    <n v="44560"/>
    <n v="44560"/>
  </r>
  <r>
    <s v="BOGOTA"/>
    <x v="3"/>
    <x v="3"/>
    <s v="25754"/>
    <s v="LC-CS-25-011945"/>
    <s v="3007076979"/>
    <s v="OC CIERRE"/>
    <s v="CUNDINAMARCA"/>
    <s v="SOACHA"/>
    <s v="BARRIO BUENOS AIRES SOACHA"/>
    <s v="REDEBAN"/>
    <s v="FO-25-2025489"/>
    <d v="2025-12-24T08:00:00"/>
    <d v="2025-12-31T06:58:00"/>
    <m/>
    <s v="CIERRE"/>
    <s v="RECUPERACION DE EQUIPOS"/>
    <s v="UNO A UNO"/>
    <s v="UNO A UNO"/>
    <s v="EJECUTADO / CANCELADO"/>
    <s v="NO_EXITOSO"/>
    <s v="CB NO ENTREGA EQUIPO"/>
    <s v="23/12/2025 SE ESCALA PARA VISITA. CONFIRMAR DATOS PARA LA RECOLECCION DE EQUIPOS | 29/12/2025 SE LLEGA AL COMERCIO INDICAN QUE SE REPROGRAME LA VISITA YA QUE LA PERSONA ENCARGADA DEL CB NO SE ENCUENTRA EN EL PUNTO SE ENCUENTRA HACIENDO COMPENSACION"/>
    <s v="VISITA TECNICA"/>
    <s v="0"/>
    <s v="TIPO I"/>
    <s v="TERRESTRE"/>
    <s v="GONZALEZ FANDIÑO SANTIAGO ERNESTO"/>
    <n v="1"/>
    <n v="44560"/>
    <n v="44560"/>
  </r>
  <r>
    <s v="CALI"/>
    <x v="1"/>
    <x v="1"/>
    <s v="76001"/>
    <s v="LC-CS-25-011947"/>
    <s v="3007078037"/>
    <s v="OC CIERRE"/>
    <s v="VALLE DEL CAUCA"/>
    <s v="CALI"/>
    <s v="PTM CALI PAPELERIA DONA ROSA"/>
    <s v="REDEBAN"/>
    <s v="FO-25-2027718"/>
    <d v="2025-12-24T11:53:00"/>
    <d v="2025-12-30T17:16:00"/>
    <m/>
    <s v="CIERRE"/>
    <s v="CIERRE"/>
    <s v="AGREGADOR"/>
    <s v="COMCARD - PTM"/>
    <s v="EJECUTADO / CANCELADO"/>
    <s v="NO_EXITOSO"/>
    <s v="CB NO ENTREGA EQUIPO"/>
    <s v="24/12/2025 SE ESCALA PARA VISITA. CONFIRMAR DATOS PARA LA RECOLECCION DE EQUIPOS | 30/12/2025 SE VISITA ESTABLECIMIENTO, SE ENCONTRÓ COMERCIO, VACÍO Y SE LLAMA AL CONTACTO E INDICA QUE SE TRASLADÓ  DE DIRECCIÓN Y CERRÓ EL CORRESPONSAL, PERO QUE EN EL MOMENTO DEL TRASTEO AL PARECER SE LE ROBARON LOS EQUIPOS, PIDE POR FAVOR DARLOS DE BAJA Y PASAR LA CUENTA DE COBRO. LA PUBLICIDAD Y ROLLOS LO DESECHO."/>
    <s v="VISITA TECNICA"/>
    <m/>
    <s v="TIPO I"/>
    <s v="TERRESTRE"/>
    <s v="BOLAÑOS TABORDA JORGE ENRIQUE"/>
    <n v="1"/>
    <n v="44560"/>
    <n v="44560"/>
  </r>
  <r>
    <s v="CALI"/>
    <x v="1"/>
    <x v="1"/>
    <s v="76001"/>
    <s v="LC-CS-25-011955"/>
    <s v="3007080325"/>
    <s v="OC CIERRE"/>
    <s v="VALLE DEL CAUCA"/>
    <s v="CALI"/>
    <s v="PTM CALI TIENDA MIXTA DONA MAR"/>
    <s v="REDEBAN"/>
    <s v="FO-25-2027729"/>
    <d v="2025-12-24T11:53:00"/>
    <d v="2025-12-29T16:30:00"/>
    <m/>
    <s v="CIERRE"/>
    <s v="CIERRE"/>
    <s v="AGREGADOR"/>
    <s v="COMCARD - PTM"/>
    <m/>
    <s v="NO_EXITOSO"/>
    <s v="CB NO ENTREGA EQUIPO"/>
    <s v="24/12/2025 SE ESCALA PARA VISITA. CONFIRMAR DATOS PARA LA RECOLECCION DE EQUIPOS | 29/12/2025 SE SOLICITA LA CANCELACIÓN DE LA ACTIVIDAD, YA QUE LOS EQUIPOS AÚN NO SE ENCUENTRAN EN POSESIÓN, SEGÚN LO INFORMADO POR EL USUARIO; POR LO TANTO, NO ES POSIBLE REALIZAR EL REGISTRO, SE CANCELA CIERRE"/>
    <s v="SOPORTE TELEFONICO"/>
    <m/>
    <s v="TIPO I"/>
    <s v="TERRESTRE"/>
    <s v="HERNANDEZ CHAVARRIA JUAN CAMILO"/>
    <n v="0"/>
    <n v="37905"/>
    <n v="37905"/>
  </r>
  <r>
    <s v="CALI"/>
    <x v="1"/>
    <x v="1"/>
    <s v="76001"/>
    <s v="LC-CS-25-011994"/>
    <s v="3007080777"/>
    <s v="OC CIERRE"/>
    <s v="VALLE DEL CAUCA"/>
    <s v="CALI"/>
    <s v="BARRIO SAN PASCUAL CALI 2"/>
    <s v="REDEBAN"/>
    <s v="FO-25-2048500"/>
    <d v="2025-12-29T15:49:00"/>
    <d v="2025-12-30T10:15:00"/>
    <m/>
    <s v="CIERRE"/>
    <s v="CIERRE"/>
    <s v="UNO A UNO"/>
    <s v="UNO A UNO"/>
    <s v="EJECUTADO / CANCELADO"/>
    <s v="EJECUTADO_CANCELADO"/>
    <m/>
    <s v="29/12/2025 SE ESCALA PARA VISITA. CONFIRMAR DATOS PARA LA RECOLECCION DE EQUIPOS | 30/12/2025 SE LLEGA AL COMERCIO EL SEÑOR MARTÍN MORENO NO PERMITE LE RETIRO DE LOS EQUIPOS YA QUE INFORMA QUE ESTÁ HABLANDO CON BANCOLOMBIA PORQUE TIENE UN PROCESO PENDIENTE"/>
    <s v="VISITA TECNICA"/>
    <s v="N/A"/>
    <s v="TIPO I"/>
    <s v="TERRESTRE"/>
    <s v="PALACIOS GOMEZ BRAHIAN ANDRES"/>
    <n v="1"/>
    <n v="44560"/>
    <n v="44560"/>
  </r>
  <r>
    <s v="BOGOTA"/>
    <x v="3"/>
    <x v="3"/>
    <s v="25754"/>
    <s v="TA-25-1406942"/>
    <s v="3007030779"/>
    <s v="OC CIERRE"/>
    <s v="CUNDINAMARCA"/>
    <s v="SOACHA"/>
    <s v="BARRIO SOHACHA"/>
    <s v="REDEBAN"/>
    <s v="FO-25-1975160"/>
    <d v="2025-12-15T13:29:00"/>
    <d v="2025-12-16T08:10:00"/>
    <m/>
    <s v="CIERRE"/>
    <s v="RETIRO VOLUNTARIO"/>
    <s v="UNO A UNO"/>
    <s v="CB UNO A UNO"/>
    <s v="EJECUTADO"/>
    <s v="NO_EXITOSO"/>
    <s v="PARCIAL EXITOSO PTE. DATAFONO"/>
    <s v="15/12/2025 NA | 16/12/2025 SE REALIZA EL RETIRO VOLUNTARIO DE PIN PAD Y HUB. .  YA RETIRADOS PREVIAMENTE DEL COMERCIO  COMO MIGRACIÓN WOMPI"/>
    <s v="VISITA TECNICA"/>
    <s v="NA"/>
    <s v="TIPO I"/>
    <s v="TERRESTRE"/>
    <s v="ORTIZ MARTINEZ STIVEN"/>
    <n v="1"/>
    <n v="44560"/>
    <n v="44560"/>
  </r>
  <r>
    <s v="NEIVA"/>
    <x v="5"/>
    <x v="5"/>
    <s v="18001"/>
    <s v="TA-25-1426631"/>
    <s v="3007077356"/>
    <s v="OC CIERRE"/>
    <s v="CAQUETA"/>
    <s v="FLORENCIA"/>
    <s v="BARRIO LOS ALPES FLORENCIA"/>
    <s v="REDEBAN"/>
    <s v="FO-25-1986243"/>
    <d v="2025-12-17T08:52:00"/>
    <d v="2025-12-17T10:09:00"/>
    <m/>
    <s v="CIERRE"/>
    <s v="RETIRO VOLUNTARIO"/>
    <s v="CB UNO A UNO"/>
    <s v="CB UNO A UNO"/>
    <s v="EJECUTADO"/>
    <s v="NO_EXITOSO"/>
    <s v="PARCIAL EXITOSO PTE. DATAFONO"/>
    <s v="17/12/2025 OK | 17/12/2025 LA SEÑORITA NATALIA TAPIERO ENTREEAB LECTORA DE BARRAS DE FORMA VOLUNTARIA, LO ANTERIOR DEBIDO A QUE SE ESTABA REALIZANDO VISITA PARA EL CIERRE DEL CB 76638 (25-010298)  Y ELLA APROVECHANDO LA VISITA REALIZA LA ENTREGA"/>
    <s v="VISITA TECNICA"/>
    <s v="00000"/>
    <s v="TIPO IV"/>
    <s v="TERRESTRE"/>
    <s v="ANDRADE HERNANDEZ JUAN CARLOS"/>
    <n v="1"/>
    <n v="464809"/>
    <n v="464809"/>
  </r>
  <r>
    <s v="BUCARAMANGA"/>
    <x v="2"/>
    <x v="2"/>
    <s v="68001"/>
    <s v="TA-25-1437564"/>
    <s v="3007015611"/>
    <s v="OC CIERRE"/>
    <s v="SANTANDER"/>
    <s v="BUCARAMANGA"/>
    <s v="CENTRO COMERCIAL OMNICENTRO"/>
    <s v="REDEBAN"/>
    <s v="FO-25-2007654"/>
    <d v="2025-12-19T15:35:00"/>
    <d v="2025-12-19T16:56:00"/>
    <m/>
    <s v="CIERRE"/>
    <s v="RECUPERACION DE EQUIPOS"/>
    <s v="CB UNO A UNO"/>
    <s v="CB UNO A UNO"/>
    <s v="EJECUTADO"/>
    <s v="NO_EXITOSO"/>
    <s v="CB NO ENTREGA EQUIPO"/>
    <s v="19/12/2025 SE HACE PRESENCIA EN DIRECCIÓN INDICADA POR EL CLIENTE SE REALIZA RETIRO VOLUNTARIO DE 1 LECTOR DE BARRAS AUTORIZADO POR REDEBAN"/>
    <s v="VISITA TECNICA"/>
    <s v="SE RETIRÓ LECTOR EN DIRECCIÓN DIFERENTE"/>
    <s v="TIPO I"/>
    <s v="TERRESTRE"/>
    <s v="BARRERA ORTEGA MARLON STWAR"/>
    <n v="1"/>
    <n v="44560"/>
    <n v="44560"/>
  </r>
  <r>
    <s v="SINCELEJO"/>
    <x v="0"/>
    <x v="0"/>
    <s v="70215"/>
    <s v="TA-25-1460485"/>
    <s v="3007034492"/>
    <s v="OC CIERRE"/>
    <s v="SUCRE"/>
    <s v="COROZAL"/>
    <s v="DISTRICOL COPY EXPRESS M Y M"/>
    <s v="REDEBAN"/>
    <s v="FO-25-2038469"/>
    <d v="2025-12-26T15:15:00"/>
    <d v="2025-12-26T15:46:00"/>
    <m/>
    <s v="CIERRE"/>
    <s v="RETIRO VOLUNTARIO"/>
    <s v="AGREGADOR"/>
    <s v="DISTRICOL"/>
    <s v="EJECUTADO"/>
    <s v="NO_EXITOSO"/>
    <s v="CB NO ENTREGA EQUIPO"/>
    <s v="26/12/2025 NA | 26/12/2025 SE RETIRA LECTORA DEL CORRESPONSAL BANCARIO"/>
    <s v="VISITA TECNICA"/>
    <s v="BL014257"/>
    <s v="TIPO II"/>
    <s v="TERRESTRE"/>
    <s v="LEAL POVEDA YOHAN SEBASTIAN"/>
    <n v="1"/>
    <n v="134411"/>
    <n v="134411"/>
  </r>
  <r>
    <s v="BARRANQUILLA"/>
    <x v="0"/>
    <x v="0"/>
    <s v="8758"/>
    <s v="TA-25-1460720"/>
    <s v="3007069885"/>
    <s v="OC CIERRE"/>
    <s v="ATLANTICO"/>
    <s v="SOLEDAD"/>
    <s v="BARRIO CIUDADELA METROPOLITANA"/>
    <s v="REDEBAN"/>
    <s v="FO-25-2040688"/>
    <d v="2025-12-27T11:18:00"/>
    <d v="2025-12-29T09:06:00"/>
    <m/>
    <s v="CIERRE"/>
    <s v="RETIRO VOLUNTARIO"/>
    <s v="CB UNO A UNO"/>
    <s v="CB UNO A UNO"/>
    <s v="EJECUTADO"/>
    <s v="NO_EXITOSO"/>
    <s v="PARCIAL EXITOSO PTE. DATAFONO"/>
    <s v="27/12/2025 NO SÉ RETIRA LLAMADA TELEFÓNICA DEBIDO A QUE EL CB ESTÁ ACTIVO. | 29/12/2025 SE REALIZA VISITA TÉCNICA, SE RETIRA DEL SITIO DATAFONO, NO SÉ RETIRA LECTOR DE BARRAS, QUEDA PENDIENTE POR QUÉ EL CLIENTE NO SABE DÓNDE SE ENCUENTRA, EQUIPO SE ENVÍA A BODEGA DE LÍNEA COMUNICACIONES EN LA CIUDAD DE BARRANQUILLA."/>
    <s v="VISITA TECNICA"/>
    <s v="TV000646"/>
    <s v="TIPO I"/>
    <s v="TERRESTRE"/>
    <s v="DE AGUAS MUÑOZ DAVID JOSE"/>
    <n v="1"/>
    <n v="44560"/>
    <n v="44560"/>
  </r>
  <r>
    <s v="BUCARAMANGA"/>
    <x v="2"/>
    <x v="2"/>
    <s v="68081"/>
    <s v="TA-25-1462578"/>
    <s v="3007064830"/>
    <s v="OC CIERRE"/>
    <s v="SANTANDER"/>
    <s v="BARRANCABERMEJA"/>
    <s v="PTM BARRANCABERMEJA  PUNTOSERV"/>
    <s v="REDEBAN"/>
    <s v="FO-25-2045992"/>
    <d v="2025-12-29T11:06:00"/>
    <d v="2025-12-29T16:33:00"/>
    <m/>
    <s v="CIERRE"/>
    <s v="RETIRO VOLUNTARIO"/>
    <s v="AGREGADOR"/>
    <s v="COMCARD - PTM"/>
    <m/>
    <s v="NO_EXITOSO"/>
    <s v="CB NO ENTREGA EQUIPO"/>
    <s v="29/12/2025 PROGRAMADO | 29/12/2025 SE SOLICITA LA CANCELACIÓN DE LA ACTIVIDAD, YA QUE LOS EQUIPOS AÚN NO SE ENCUENTRAN EN POSESIÓN, SEGÚN LO INFORMADO POR EL USUARIO; POR LO TANTO, NO ES POSIBLE REALIZAR EL REGISTRO, SE CANCELA CIERRE"/>
    <s v="SOPORTE TELEFONICO"/>
    <m/>
    <s v="TIPO III"/>
    <s v="TERRESTRE"/>
    <s v="HERNANDEZ CHAVARRIA JUAN CAMILO"/>
    <n v="0"/>
    <n v="37905"/>
    <n v="37905"/>
  </r>
  <r>
    <m/>
    <x v="6"/>
    <x v="7"/>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FFDFA8-181F-4BFA-AF80-005A412A60E3}" name="TablaDinámica13" cacheId="4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8" firstHeaderRow="1" firstDataRow="1" firstDataCol="1"/>
  <pivotFields count="31">
    <pivotField showAll="0"/>
    <pivotField axis="axisRow" showAll="0">
      <items count="8">
        <item x="0"/>
        <item x="3"/>
        <item x="4"/>
        <item x="5"/>
        <item x="2"/>
        <item x="1"/>
        <item x="6"/>
        <item t="default"/>
      </items>
    </pivotField>
    <pivotField axis="axisRow" showAll="0">
      <items count="9">
        <item x="0"/>
        <item x="6"/>
        <item x="1"/>
        <item x="3"/>
        <item x="4"/>
        <item x="5"/>
        <item x="2"/>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5">
    <i>
      <x/>
    </i>
    <i r="1">
      <x/>
    </i>
    <i>
      <x v="1"/>
    </i>
    <i r="1">
      <x v="5"/>
    </i>
    <i>
      <x v="2"/>
    </i>
    <i r="1">
      <x v="5"/>
    </i>
    <i>
      <x v="3"/>
    </i>
    <i r="1">
      <x v="1"/>
    </i>
    <i>
      <x v="4"/>
    </i>
    <i r="1">
      <x v="2"/>
    </i>
    <i>
      <x v="5"/>
    </i>
    <i r="1">
      <x v="3"/>
    </i>
    <i>
      <x v="6"/>
    </i>
    <i r="1">
      <x v="4"/>
    </i>
    <i t="grand">
      <x/>
    </i>
  </rowItems>
  <colItems count="1">
    <i/>
  </colItems>
  <dataFields count="1">
    <dataField name="Suma de VALOR TOTAL"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89C8-16A9-401D-A149-9CEF76782A94}">
  <dimension ref="A1:J10"/>
  <sheetViews>
    <sheetView tabSelected="1" workbookViewId="0">
      <selection activeCell="J15" sqref="J15"/>
    </sheetView>
  </sheetViews>
  <sheetFormatPr baseColWidth="10" defaultRowHeight="14.4"/>
  <cols>
    <col min="1" max="1" width="31.5546875" bestFit="1" customWidth="1"/>
    <col min="6" max="6" width="13.6640625" bestFit="1" customWidth="1"/>
    <col min="7" max="7" width="29.5546875" bestFit="1" customWidth="1"/>
    <col min="8" max="8" width="10.5546875" bestFit="1" customWidth="1"/>
    <col min="9" max="9" width="16.44140625" bestFit="1" customWidth="1"/>
  </cols>
  <sheetData>
    <row r="1" spans="1:10">
      <c r="A1" s="47" t="s">
        <v>714</v>
      </c>
      <c r="B1" s="54"/>
      <c r="C1" s="54"/>
      <c r="D1" s="48"/>
      <c r="E1" s="24"/>
      <c r="F1" s="47" t="s">
        <v>715</v>
      </c>
      <c r="G1" s="54"/>
      <c r="H1" s="54"/>
      <c r="I1" s="54"/>
      <c r="J1" s="54"/>
    </row>
    <row r="2" spans="1:10">
      <c r="A2" s="47" t="s">
        <v>716</v>
      </c>
      <c r="B2" s="54"/>
      <c r="C2" s="54"/>
      <c r="D2" s="48"/>
      <c r="E2" s="24"/>
      <c r="F2" s="55">
        <f>A3</f>
        <v>45992</v>
      </c>
      <c r="G2" s="56"/>
      <c r="H2" s="56"/>
      <c r="I2" s="56"/>
      <c r="J2" s="56"/>
    </row>
    <row r="3" spans="1:10">
      <c r="A3" s="55">
        <v>45992</v>
      </c>
      <c r="B3" s="56"/>
      <c r="C3" s="56"/>
      <c r="D3" s="57"/>
      <c r="E3" s="24"/>
      <c r="F3" s="25"/>
      <c r="G3" s="25"/>
      <c r="H3" s="25"/>
      <c r="I3" s="25"/>
      <c r="J3" s="25"/>
    </row>
    <row r="4" spans="1:10">
      <c r="A4" s="26"/>
      <c r="B4" s="51"/>
      <c r="C4" s="53"/>
      <c r="D4" s="26"/>
      <c r="E4" s="24"/>
      <c r="F4" s="27" t="s">
        <v>717</v>
      </c>
      <c r="G4" s="28" t="s">
        <v>718</v>
      </c>
      <c r="H4" s="28" t="s">
        <v>719</v>
      </c>
      <c r="I4" s="28" t="s">
        <v>720</v>
      </c>
      <c r="J4" s="29" t="s">
        <v>719</v>
      </c>
    </row>
    <row r="5" spans="1:10">
      <c r="A5" s="30" t="s">
        <v>717</v>
      </c>
      <c r="B5" s="47" t="s">
        <v>721</v>
      </c>
      <c r="C5" s="48"/>
      <c r="D5" s="30" t="s">
        <v>719</v>
      </c>
      <c r="E5" s="24"/>
      <c r="F5" s="46" t="s">
        <v>733</v>
      </c>
      <c r="G5" s="46" t="s">
        <v>734</v>
      </c>
      <c r="H5" s="46">
        <f>399550+268250</f>
        <v>667800</v>
      </c>
      <c r="I5" s="46">
        <f>H5*0.12</f>
        <v>80136</v>
      </c>
      <c r="J5" s="46">
        <f>H5+I5</f>
        <v>747936</v>
      </c>
    </row>
    <row r="6" spans="1:10">
      <c r="A6" s="31" t="s">
        <v>722</v>
      </c>
      <c r="B6" s="49">
        <f>COUNTA(CIERRES!A:A)-1</f>
        <v>81</v>
      </c>
      <c r="C6" s="50"/>
      <c r="D6" s="32">
        <f>SUM(CIERRES!AE2:AE10000)</f>
        <v>7688353</v>
      </c>
      <c r="E6" s="24"/>
      <c r="F6" s="33"/>
      <c r="G6" s="33"/>
      <c r="H6" s="34"/>
      <c r="I6" s="34" t="s">
        <v>723</v>
      </c>
      <c r="J6" s="34" t="s">
        <v>724</v>
      </c>
    </row>
    <row r="7" spans="1:10">
      <c r="A7" s="35" t="s">
        <v>725</v>
      </c>
      <c r="B7" s="49">
        <v>0</v>
      </c>
      <c r="C7" s="50"/>
      <c r="D7" s="36">
        <f>J10</f>
        <v>747936</v>
      </c>
      <c r="E7" s="24"/>
      <c r="F7" s="37"/>
      <c r="G7" s="37"/>
      <c r="H7" s="38"/>
      <c r="I7" s="38" t="s">
        <v>723</v>
      </c>
      <c r="J7" s="38" t="s">
        <v>724</v>
      </c>
    </row>
    <row r="8" spans="1:10">
      <c r="A8" s="51" t="s">
        <v>726</v>
      </c>
      <c r="B8" s="52"/>
      <c r="C8" s="53"/>
      <c r="D8" s="39">
        <f>SUM(D6:D7)</f>
        <v>8436289</v>
      </c>
      <c r="E8" s="24"/>
      <c r="F8" s="37"/>
      <c r="G8" s="40"/>
      <c r="H8" s="38"/>
      <c r="I8" s="38"/>
      <c r="J8" s="38"/>
    </row>
    <row r="9" spans="1:10">
      <c r="A9" s="51" t="s">
        <v>727</v>
      </c>
      <c r="B9" s="52"/>
      <c r="C9" s="53"/>
      <c r="D9" s="41">
        <f>D8*0.19</f>
        <v>1602894.91</v>
      </c>
      <c r="E9" s="24"/>
      <c r="F9" s="37"/>
      <c r="G9" s="40"/>
      <c r="H9" s="38"/>
      <c r="I9" s="38"/>
      <c r="J9" s="38"/>
    </row>
    <row r="10" spans="1:10">
      <c r="A10" s="47" t="s">
        <v>719</v>
      </c>
      <c r="B10" s="54"/>
      <c r="C10" s="48"/>
      <c r="D10" s="42">
        <f>D8+D9</f>
        <v>10039183.91</v>
      </c>
      <c r="E10" s="24"/>
      <c r="F10" s="43" t="s">
        <v>719</v>
      </c>
      <c r="G10" s="44"/>
      <c r="H10" s="45">
        <f>SUM(H5:H9)</f>
        <v>667800</v>
      </c>
      <c r="I10" s="45">
        <f t="shared" ref="I10:J10" si="0">SUM(I5:I9)</f>
        <v>80136</v>
      </c>
      <c r="J10" s="45">
        <f t="shared" si="0"/>
        <v>747936</v>
      </c>
    </row>
  </sheetData>
  <mergeCells count="12">
    <mergeCell ref="A10:C10"/>
    <mergeCell ref="A1:D1"/>
    <mergeCell ref="F1:J1"/>
    <mergeCell ref="A2:D2"/>
    <mergeCell ref="F2:J2"/>
    <mergeCell ref="A3:D3"/>
    <mergeCell ref="B4:C4"/>
    <mergeCell ref="B5:C5"/>
    <mergeCell ref="B6:C6"/>
    <mergeCell ref="B7:C7"/>
    <mergeCell ref="A8:C8"/>
    <mergeCell ref="A9:C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C22" sqref="C22"/>
    </sheetView>
  </sheetViews>
  <sheetFormatPr baseColWidth="10" defaultColWidth="11.44140625" defaultRowHeight="14.4"/>
  <cols>
    <col min="1" max="1" width="15" bestFit="1" customWidth="1"/>
    <col min="2" max="2" width="22.6640625" bestFit="1" customWidth="1"/>
    <col min="3" max="3" width="42" customWidth="1"/>
    <col min="4" max="4" width="14.44140625" customWidth="1"/>
  </cols>
  <sheetData>
    <row r="1" spans="1:4">
      <c r="A1" s="58" t="s">
        <v>0</v>
      </c>
      <c r="B1" s="59"/>
      <c r="C1" s="59"/>
      <c r="D1" s="18" t="s">
        <v>1</v>
      </c>
    </row>
    <row r="2" spans="1:4">
      <c r="A2" s="1" t="s">
        <v>2</v>
      </c>
      <c r="B2" s="1" t="s">
        <v>3</v>
      </c>
      <c r="C2" s="17" t="s">
        <v>4</v>
      </c>
      <c r="D2" s="16">
        <v>5.1999999999999998E-2</v>
      </c>
    </row>
    <row r="3" spans="1:4">
      <c r="A3" s="2" t="s">
        <v>5</v>
      </c>
      <c r="B3" s="2" t="s">
        <v>6</v>
      </c>
      <c r="C3" s="19">
        <f>42357*(1+$D$2)</f>
        <v>44559.563999999998</v>
      </c>
      <c r="D3" s="15"/>
    </row>
    <row r="4" spans="1:4">
      <c r="A4" s="2" t="s">
        <v>7</v>
      </c>
      <c r="B4" s="2" t="s">
        <v>8</v>
      </c>
      <c r="C4" s="19">
        <f>127767*(1+$D$2)</f>
        <v>134410.88400000002</v>
      </c>
      <c r="D4" s="15"/>
    </row>
    <row r="5" spans="1:4">
      <c r="A5" s="2" t="s">
        <v>9</v>
      </c>
      <c r="B5" s="2" t="s">
        <v>10</v>
      </c>
      <c r="C5" s="19">
        <f>211886*(1+$D$2)</f>
        <v>222904.07200000001</v>
      </c>
      <c r="D5" s="15"/>
    </row>
    <row r="6" spans="1:4">
      <c r="A6" s="2" t="s">
        <v>11</v>
      </c>
      <c r="B6" s="2" t="s">
        <v>12</v>
      </c>
      <c r="C6" s="19">
        <f>441834*(1+$D$2)</f>
        <v>464809.36800000002</v>
      </c>
      <c r="D6" s="15"/>
    </row>
    <row r="7" spans="1:4" ht="24.75" customHeight="1">
      <c r="A7" s="2" t="s">
        <v>13</v>
      </c>
      <c r="B7" s="2" t="s">
        <v>14</v>
      </c>
      <c r="C7" s="3" t="s">
        <v>15</v>
      </c>
      <c r="D7" s="15"/>
    </row>
    <row r="8" spans="1:4">
      <c r="A8" s="4"/>
      <c r="B8" s="5"/>
      <c r="C8" s="6"/>
    </row>
    <row r="9" spans="1:4">
      <c r="A9" s="7" t="s">
        <v>16</v>
      </c>
      <c r="B9" s="20">
        <f>36031*(1+$D$2)</f>
        <v>37904.612000000001</v>
      </c>
      <c r="C9" s="8"/>
    </row>
  </sheetData>
  <mergeCells count="1">
    <mergeCell ref="A1:C1"/>
  </mergeCell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7" workbookViewId="0">
      <selection activeCell="E17" sqref="E17"/>
    </sheetView>
  </sheetViews>
  <sheetFormatPr baseColWidth="10" defaultColWidth="11.44140625" defaultRowHeight="14.4"/>
  <cols>
    <col min="1" max="1" width="15.33203125" bestFit="1" customWidth="1"/>
    <col min="2" max="2" width="18.33203125" bestFit="1" customWidth="1"/>
    <col min="3" max="3" width="30.33203125" bestFit="1" customWidth="1"/>
    <col min="4" max="4" width="34.109375" bestFit="1" customWidth="1"/>
  </cols>
  <sheetData>
    <row r="1" spans="1:4">
      <c r="A1" s="9" t="s">
        <v>17</v>
      </c>
      <c r="B1" s="9" t="s">
        <v>18</v>
      </c>
      <c r="C1" s="9" t="s">
        <v>19</v>
      </c>
      <c r="D1" s="10" t="s">
        <v>20</v>
      </c>
    </row>
    <row r="2" spans="1:4">
      <c r="A2" s="11" t="s">
        <v>21</v>
      </c>
      <c r="B2" s="12" t="s">
        <v>22</v>
      </c>
      <c r="C2" s="12" t="s">
        <v>23</v>
      </c>
      <c r="D2" s="12" t="s">
        <v>24</v>
      </c>
    </row>
    <row r="3" spans="1:4">
      <c r="A3" s="13" t="s">
        <v>25</v>
      </c>
      <c r="B3" s="14" t="s">
        <v>26</v>
      </c>
      <c r="C3" s="14" t="s">
        <v>27</v>
      </c>
      <c r="D3" s="14" t="s">
        <v>28</v>
      </c>
    </row>
    <row r="4" spans="1:4">
      <c r="A4" s="13" t="s">
        <v>29</v>
      </c>
      <c r="B4" s="14" t="s">
        <v>30</v>
      </c>
      <c r="C4" s="14" t="s">
        <v>31</v>
      </c>
      <c r="D4" s="14" t="s">
        <v>32</v>
      </c>
    </row>
    <row r="5" spans="1:4">
      <c r="A5" s="13" t="s">
        <v>33</v>
      </c>
      <c r="B5" s="14" t="s">
        <v>34</v>
      </c>
      <c r="C5" s="14" t="s">
        <v>35</v>
      </c>
      <c r="D5" s="14" t="s">
        <v>36</v>
      </c>
    </row>
    <row r="6" spans="1:4">
      <c r="A6" s="13" t="s">
        <v>37</v>
      </c>
      <c r="B6" s="14" t="s">
        <v>38</v>
      </c>
      <c r="C6" s="14" t="s">
        <v>39</v>
      </c>
      <c r="D6" s="14" t="s">
        <v>40</v>
      </c>
    </row>
    <row r="7" spans="1:4">
      <c r="A7" s="13" t="s">
        <v>41</v>
      </c>
      <c r="B7" s="14" t="s">
        <v>26</v>
      </c>
      <c r="C7" s="14" t="s">
        <v>27</v>
      </c>
      <c r="D7" s="14" t="s">
        <v>28</v>
      </c>
    </row>
    <row r="8" spans="1:4">
      <c r="A8" s="13" t="s">
        <v>42</v>
      </c>
      <c r="B8" s="14" t="s">
        <v>34</v>
      </c>
      <c r="C8" s="14" t="s">
        <v>35</v>
      </c>
      <c r="D8" s="14" t="s">
        <v>36</v>
      </c>
    </row>
    <row r="9" spans="1:4">
      <c r="A9" s="13" t="s">
        <v>43</v>
      </c>
      <c r="B9" s="14" t="s">
        <v>44</v>
      </c>
      <c r="C9" s="14" t="s">
        <v>45</v>
      </c>
      <c r="D9" s="14" t="s">
        <v>46</v>
      </c>
    </row>
    <row r="10" spans="1:4">
      <c r="A10" s="13" t="s">
        <v>47</v>
      </c>
      <c r="B10" s="14" t="s">
        <v>44</v>
      </c>
      <c r="C10" s="14" t="s">
        <v>45</v>
      </c>
      <c r="D10" s="14" t="s">
        <v>46</v>
      </c>
    </row>
    <row r="11" spans="1:4">
      <c r="A11" s="13" t="s">
        <v>48</v>
      </c>
      <c r="B11" s="14" t="s">
        <v>49</v>
      </c>
      <c r="C11" s="14" t="s">
        <v>50</v>
      </c>
      <c r="D11" s="14" t="s">
        <v>40</v>
      </c>
    </row>
    <row r="12" spans="1:4">
      <c r="A12" s="13" t="s">
        <v>51</v>
      </c>
      <c r="B12" s="14" t="s">
        <v>22</v>
      </c>
      <c r="C12" s="14" t="s">
        <v>23</v>
      </c>
      <c r="D12" s="14" t="s">
        <v>24</v>
      </c>
    </row>
    <row r="13" spans="1:4">
      <c r="A13" s="13" t="s">
        <v>52</v>
      </c>
      <c r="B13" s="14" t="s">
        <v>26</v>
      </c>
      <c r="C13" s="14" t="s">
        <v>27</v>
      </c>
      <c r="D13" s="14" t="s">
        <v>28</v>
      </c>
    </row>
    <row r="14" spans="1:4">
      <c r="A14" s="13" t="s">
        <v>53</v>
      </c>
      <c r="B14" s="14" t="s">
        <v>44</v>
      </c>
      <c r="C14" s="14" t="s">
        <v>45</v>
      </c>
      <c r="D14" s="14" t="s">
        <v>46</v>
      </c>
    </row>
    <row r="15" spans="1:4">
      <c r="A15" s="13" t="s">
        <v>54</v>
      </c>
      <c r="B15" s="14" t="s">
        <v>38</v>
      </c>
      <c r="C15" s="14" t="s">
        <v>39</v>
      </c>
      <c r="D15" s="14" t="s">
        <v>40</v>
      </c>
    </row>
    <row r="16" spans="1:4">
      <c r="A16" s="13" t="s">
        <v>55</v>
      </c>
      <c r="B16" s="14" t="s">
        <v>49</v>
      </c>
      <c r="C16" s="14" t="s">
        <v>50</v>
      </c>
      <c r="D16" s="14" t="s">
        <v>40</v>
      </c>
    </row>
    <row r="17" spans="1:4">
      <c r="A17" s="13" t="s">
        <v>56</v>
      </c>
      <c r="B17" s="14" t="s">
        <v>38</v>
      </c>
      <c r="C17" s="14" t="s">
        <v>39</v>
      </c>
      <c r="D17" s="14" t="s">
        <v>40</v>
      </c>
    </row>
    <row r="18" spans="1:4">
      <c r="A18" s="13" t="s">
        <v>57</v>
      </c>
      <c r="B18" s="14" t="s">
        <v>26</v>
      </c>
      <c r="C18" s="14" t="s">
        <v>27</v>
      </c>
      <c r="D18" s="14" t="s">
        <v>28</v>
      </c>
    </row>
    <row r="19" spans="1:4">
      <c r="A19" s="13" t="s">
        <v>58</v>
      </c>
      <c r="B19" s="14" t="s">
        <v>26</v>
      </c>
      <c r="C19" s="14" t="s">
        <v>27</v>
      </c>
      <c r="D19" s="14" t="s">
        <v>28</v>
      </c>
    </row>
    <row r="20" spans="1:4">
      <c r="A20" s="13" t="s">
        <v>59</v>
      </c>
      <c r="B20" s="14" t="s">
        <v>34</v>
      </c>
      <c r="C20" s="14" t="s">
        <v>35</v>
      </c>
      <c r="D20" s="14" t="s">
        <v>36</v>
      </c>
    </row>
    <row r="21" spans="1:4">
      <c r="A21" s="13" t="s">
        <v>60</v>
      </c>
      <c r="B21" s="14" t="s">
        <v>26</v>
      </c>
      <c r="C21" s="14" t="s">
        <v>27</v>
      </c>
      <c r="D21" s="14" t="s">
        <v>28</v>
      </c>
    </row>
    <row r="22" spans="1:4">
      <c r="A22" s="13" t="s">
        <v>61</v>
      </c>
      <c r="B22" s="14" t="s">
        <v>44</v>
      </c>
      <c r="C22" s="14" t="s">
        <v>45</v>
      </c>
      <c r="D22" s="14" t="s">
        <v>46</v>
      </c>
    </row>
    <row r="23" spans="1:4">
      <c r="A23" s="13" t="s">
        <v>62</v>
      </c>
      <c r="B23" s="14" t="s">
        <v>44</v>
      </c>
      <c r="C23" s="14" t="s">
        <v>45</v>
      </c>
      <c r="D23" s="14" t="s">
        <v>46</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5C33-26F8-431F-B180-775917F72A2D}">
  <dimension ref="A3:B18"/>
  <sheetViews>
    <sheetView workbookViewId="0">
      <selection activeCell="B16" sqref="B16"/>
    </sheetView>
  </sheetViews>
  <sheetFormatPr baseColWidth="10" defaultRowHeight="14.4"/>
  <cols>
    <col min="1" max="1" width="32.109375" bestFit="1" customWidth="1"/>
    <col min="2" max="2" width="20.6640625" bestFit="1" customWidth="1"/>
  </cols>
  <sheetData>
    <row r="3" spans="1:2">
      <c r="A3" s="60" t="s">
        <v>735</v>
      </c>
      <c r="B3" t="s">
        <v>737</v>
      </c>
    </row>
    <row r="4" spans="1:2">
      <c r="A4" s="61" t="s">
        <v>26</v>
      </c>
      <c r="B4" s="63">
        <v>1146293</v>
      </c>
    </row>
    <row r="5" spans="1:2">
      <c r="A5" s="62" t="s">
        <v>107</v>
      </c>
      <c r="B5" s="63">
        <v>1146293</v>
      </c>
    </row>
    <row r="6" spans="1:2">
      <c r="A6" s="61" t="s">
        <v>49</v>
      </c>
      <c r="B6" s="63">
        <v>260705</v>
      </c>
    </row>
    <row r="7" spans="1:2">
      <c r="A7" s="62" t="s">
        <v>91</v>
      </c>
      <c r="B7" s="63">
        <v>260705</v>
      </c>
    </row>
    <row r="8" spans="1:2">
      <c r="A8" s="61" t="s">
        <v>38</v>
      </c>
      <c r="B8" s="63">
        <v>999095</v>
      </c>
    </row>
    <row r="9" spans="1:2">
      <c r="A9" s="62" t="s">
        <v>91</v>
      </c>
      <c r="B9" s="63">
        <v>999095</v>
      </c>
    </row>
    <row r="10" spans="1:2">
      <c r="A10" s="61" t="s">
        <v>30</v>
      </c>
      <c r="B10" s="63">
        <v>1295268</v>
      </c>
    </row>
    <row r="11" spans="1:2">
      <c r="A11" s="62" t="s">
        <v>147</v>
      </c>
      <c r="B11" s="63">
        <v>1295268</v>
      </c>
    </row>
    <row r="12" spans="1:2">
      <c r="A12" s="61" t="s">
        <v>22</v>
      </c>
      <c r="B12" s="63">
        <v>509562</v>
      </c>
    </row>
    <row r="13" spans="1:2">
      <c r="A13" s="62" t="s">
        <v>102</v>
      </c>
      <c r="B13" s="63">
        <v>509562</v>
      </c>
    </row>
    <row r="14" spans="1:2">
      <c r="A14" s="61" t="s">
        <v>44</v>
      </c>
      <c r="B14" s="63">
        <v>1534328</v>
      </c>
    </row>
    <row r="15" spans="1:2">
      <c r="A15" s="62" t="s">
        <v>210</v>
      </c>
      <c r="B15" s="63">
        <v>1534328</v>
      </c>
    </row>
    <row r="16" spans="1:2">
      <c r="A16" s="61" t="s">
        <v>34</v>
      </c>
      <c r="B16" s="63">
        <v>1943102</v>
      </c>
    </row>
    <row r="17" spans="1:2">
      <c r="A17" s="62" t="s">
        <v>138</v>
      </c>
      <c r="B17" s="63">
        <v>1943102</v>
      </c>
    </row>
    <row r="18" spans="1:2">
      <c r="A18" s="61" t="s">
        <v>736</v>
      </c>
      <c r="B18" s="63">
        <v>7688353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82"/>
  <sheetViews>
    <sheetView workbookViewId="0">
      <selection activeCell="X1" sqref="A1:XFD1048576"/>
    </sheetView>
  </sheetViews>
  <sheetFormatPr baseColWidth="10" defaultColWidth="8.886718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3" customWidth="1"/>
    <col min="10" max="10" width="44" customWidth="1"/>
    <col min="11" max="11" width="10" customWidth="1"/>
    <col min="12" max="12" width="31" customWidth="1"/>
    <col min="13" max="13" width="41" customWidth="1"/>
    <col min="14" max="14" width="44" customWidth="1"/>
    <col min="15" max="16" width="11" customWidth="1"/>
    <col min="17" max="17" width="25" customWidth="1"/>
    <col min="18" max="18" width="14" customWidth="1"/>
    <col min="19" max="19" width="15" customWidth="1"/>
    <col min="20" max="21" width="35" customWidth="1"/>
    <col min="22" max="22" width="31" customWidth="1"/>
    <col min="23" max="23" width="50" customWidth="1"/>
    <col min="24" max="24" width="20" customWidth="1"/>
    <col min="25" max="25" width="41" customWidth="1"/>
    <col min="26" max="26" width="14" customWidth="1"/>
    <col min="27" max="27" width="19" customWidth="1"/>
    <col min="28" max="28" width="39" customWidth="1"/>
    <col min="29" max="29" width="16" customWidth="1"/>
    <col min="30" max="30" width="17" customWidth="1"/>
    <col min="31" max="31" width="13" customWidth="1"/>
  </cols>
  <sheetData>
    <row r="1" spans="1:31" ht="28.8">
      <c r="A1" s="21" t="s">
        <v>63</v>
      </c>
      <c r="B1" s="21" t="s">
        <v>64</v>
      </c>
      <c r="C1" s="21" t="s">
        <v>65</v>
      </c>
      <c r="D1" s="21" t="s">
        <v>66</v>
      </c>
      <c r="E1" s="21" t="s">
        <v>67</v>
      </c>
      <c r="F1" s="21" t="s">
        <v>68</v>
      </c>
      <c r="G1" s="21" t="s">
        <v>69</v>
      </c>
      <c r="H1" s="21" t="s">
        <v>70</v>
      </c>
      <c r="I1" s="21" t="s">
        <v>17</v>
      </c>
      <c r="J1" s="21" t="s">
        <v>71</v>
      </c>
      <c r="K1" s="21" t="s">
        <v>72</v>
      </c>
      <c r="L1" s="21" t="s">
        <v>73</v>
      </c>
      <c r="M1" s="21" t="s">
        <v>74</v>
      </c>
      <c r="N1" s="21" t="s">
        <v>75</v>
      </c>
      <c r="O1" s="21" t="s">
        <v>76</v>
      </c>
      <c r="P1" s="21" t="s">
        <v>77</v>
      </c>
      <c r="Q1" s="21" t="s">
        <v>19</v>
      </c>
      <c r="R1" s="21" t="s">
        <v>78</v>
      </c>
      <c r="S1" s="21" t="s">
        <v>79</v>
      </c>
      <c r="T1" s="21" t="s">
        <v>80</v>
      </c>
      <c r="U1" s="21" t="s">
        <v>732</v>
      </c>
      <c r="V1" s="21" t="s">
        <v>81</v>
      </c>
      <c r="W1" s="21" t="s">
        <v>82</v>
      </c>
      <c r="X1" s="21" t="s">
        <v>83</v>
      </c>
      <c r="Y1" s="21" t="s">
        <v>84</v>
      </c>
      <c r="Z1" s="21" t="s">
        <v>85</v>
      </c>
      <c r="AA1" s="21" t="s">
        <v>86</v>
      </c>
      <c r="AB1" s="21" t="s">
        <v>87</v>
      </c>
      <c r="AC1" s="21" t="s">
        <v>88</v>
      </c>
      <c r="AD1" s="21" t="s">
        <v>89</v>
      </c>
      <c r="AE1" s="21" t="s">
        <v>90</v>
      </c>
    </row>
    <row r="2" spans="1:31">
      <c r="A2" t="s">
        <v>52</v>
      </c>
      <c r="B2" t="s">
        <v>107</v>
      </c>
      <c r="C2" t="s">
        <v>26</v>
      </c>
      <c r="D2" t="s">
        <v>108</v>
      </c>
      <c r="E2" t="s">
        <v>109</v>
      </c>
      <c r="F2" t="s">
        <v>110</v>
      </c>
      <c r="G2" t="s">
        <v>93</v>
      </c>
      <c r="H2" t="s">
        <v>103</v>
      </c>
      <c r="I2" t="s">
        <v>111</v>
      </c>
      <c r="J2" t="s">
        <v>112</v>
      </c>
      <c r="K2" t="s">
        <v>95</v>
      </c>
      <c r="L2" t="s">
        <v>113</v>
      </c>
      <c r="M2" s="22">
        <v>45988.333333333343</v>
      </c>
      <c r="N2" s="22">
        <v>45992.654861111107</v>
      </c>
      <c r="P2" t="s">
        <v>96</v>
      </c>
      <c r="Q2" t="s">
        <v>96</v>
      </c>
      <c r="R2" t="s">
        <v>114</v>
      </c>
      <c r="S2" t="s">
        <v>115</v>
      </c>
      <c r="T2" t="s">
        <v>116</v>
      </c>
      <c r="U2" t="s">
        <v>728</v>
      </c>
      <c r="V2" t="s">
        <v>98</v>
      </c>
      <c r="W2" t="s">
        <v>117</v>
      </c>
      <c r="X2" t="s">
        <v>118</v>
      </c>
      <c r="Y2" t="s">
        <v>119</v>
      </c>
      <c r="Z2" t="s">
        <v>120</v>
      </c>
      <c r="AA2" t="s">
        <v>101</v>
      </c>
      <c r="AB2" t="s">
        <v>121</v>
      </c>
      <c r="AC2" s="23">
        <v>1</v>
      </c>
      <c r="AD2" s="23">
        <v>222904</v>
      </c>
      <c r="AE2" s="23">
        <v>222904</v>
      </c>
    </row>
    <row r="3" spans="1:31">
      <c r="A3" t="s">
        <v>52</v>
      </c>
      <c r="B3" t="s">
        <v>107</v>
      </c>
      <c r="C3" t="s">
        <v>26</v>
      </c>
      <c r="D3" t="s">
        <v>108</v>
      </c>
      <c r="E3" t="s">
        <v>122</v>
      </c>
      <c r="F3" t="s">
        <v>123</v>
      </c>
      <c r="G3" t="s">
        <v>93</v>
      </c>
      <c r="H3" t="s">
        <v>103</v>
      </c>
      <c r="I3" t="s">
        <v>111</v>
      </c>
      <c r="J3" t="s">
        <v>124</v>
      </c>
      <c r="K3" t="s">
        <v>95</v>
      </c>
      <c r="L3" t="s">
        <v>125</v>
      </c>
      <c r="M3" s="22">
        <v>45988.333333333343</v>
      </c>
      <c r="N3" s="22">
        <v>45992.678472222222</v>
      </c>
      <c r="P3" t="s">
        <v>96</v>
      </c>
      <c r="Q3" t="s">
        <v>96</v>
      </c>
      <c r="R3" t="s">
        <v>114</v>
      </c>
      <c r="S3" t="s">
        <v>115</v>
      </c>
      <c r="T3" t="s">
        <v>116</v>
      </c>
      <c r="U3" t="s">
        <v>729</v>
      </c>
      <c r="V3" t="s">
        <v>126</v>
      </c>
      <c r="W3" t="s">
        <v>127</v>
      </c>
      <c r="X3" t="s">
        <v>118</v>
      </c>
      <c r="Y3" t="s">
        <v>128</v>
      </c>
      <c r="Z3" t="s">
        <v>120</v>
      </c>
      <c r="AA3" t="s">
        <v>101</v>
      </c>
      <c r="AB3" t="s">
        <v>121</v>
      </c>
      <c r="AC3" s="23">
        <v>1</v>
      </c>
      <c r="AD3" s="23">
        <v>222904</v>
      </c>
      <c r="AE3" s="23">
        <v>222904</v>
      </c>
    </row>
    <row r="4" spans="1:31">
      <c r="A4" t="s">
        <v>54</v>
      </c>
      <c r="B4" t="s">
        <v>91</v>
      </c>
      <c r="C4" t="s">
        <v>38</v>
      </c>
      <c r="D4" t="s">
        <v>129</v>
      </c>
      <c r="E4" t="s">
        <v>130</v>
      </c>
      <c r="F4" t="s">
        <v>131</v>
      </c>
      <c r="G4" t="s">
        <v>93</v>
      </c>
      <c r="H4" t="s">
        <v>94</v>
      </c>
      <c r="I4" t="s">
        <v>132</v>
      </c>
      <c r="J4" t="s">
        <v>133</v>
      </c>
      <c r="K4" t="s">
        <v>95</v>
      </c>
      <c r="L4" t="s">
        <v>134</v>
      </c>
      <c r="M4" s="22">
        <v>45988.333333333343</v>
      </c>
      <c r="N4" s="22">
        <v>45994.592361111107</v>
      </c>
      <c r="P4" t="s">
        <v>96</v>
      </c>
      <c r="Q4" t="s">
        <v>96</v>
      </c>
      <c r="R4" t="s">
        <v>114</v>
      </c>
      <c r="S4" t="s">
        <v>115</v>
      </c>
      <c r="T4" t="s">
        <v>116</v>
      </c>
      <c r="U4" t="s">
        <v>728</v>
      </c>
      <c r="V4" t="s">
        <v>98</v>
      </c>
      <c r="W4" t="s">
        <v>135</v>
      </c>
      <c r="X4" t="s">
        <v>118</v>
      </c>
      <c r="Y4" t="s">
        <v>136</v>
      </c>
      <c r="Z4" t="s">
        <v>120</v>
      </c>
      <c r="AA4" t="s">
        <v>101</v>
      </c>
      <c r="AB4" t="s">
        <v>137</v>
      </c>
      <c r="AC4" s="23">
        <v>1</v>
      </c>
      <c r="AD4" s="23">
        <v>222904</v>
      </c>
      <c r="AE4" s="23">
        <v>222904</v>
      </c>
    </row>
    <row r="5" spans="1:31">
      <c r="A5" t="s">
        <v>42</v>
      </c>
      <c r="B5" t="s">
        <v>138</v>
      </c>
      <c r="C5" t="s">
        <v>34</v>
      </c>
      <c r="D5" t="s">
        <v>139</v>
      </c>
      <c r="E5" t="s">
        <v>140</v>
      </c>
      <c r="F5" t="s">
        <v>141</v>
      </c>
      <c r="G5" t="s">
        <v>93</v>
      </c>
      <c r="H5" t="s">
        <v>142</v>
      </c>
      <c r="I5" t="s">
        <v>42</v>
      </c>
      <c r="J5" t="s">
        <v>143</v>
      </c>
      <c r="K5" t="s">
        <v>95</v>
      </c>
      <c r="L5" t="s">
        <v>144</v>
      </c>
      <c r="M5" s="22">
        <v>45988.333333333343</v>
      </c>
      <c r="N5" s="22">
        <v>45993.368055555547</v>
      </c>
      <c r="P5" t="s">
        <v>96</v>
      </c>
      <c r="Q5" t="s">
        <v>96</v>
      </c>
      <c r="R5" t="s">
        <v>114</v>
      </c>
      <c r="S5" t="s">
        <v>115</v>
      </c>
      <c r="T5" t="s">
        <v>116</v>
      </c>
      <c r="U5" t="s">
        <v>729</v>
      </c>
      <c r="V5" t="s">
        <v>126</v>
      </c>
      <c r="W5" t="s">
        <v>145</v>
      </c>
      <c r="X5" t="s">
        <v>118</v>
      </c>
      <c r="Z5" t="s">
        <v>100</v>
      </c>
      <c r="AA5" t="s">
        <v>101</v>
      </c>
      <c r="AB5" t="s">
        <v>146</v>
      </c>
      <c r="AC5" s="23">
        <v>1</v>
      </c>
      <c r="AD5" s="23">
        <v>44560</v>
      </c>
      <c r="AE5" s="23">
        <v>44560</v>
      </c>
    </row>
    <row r="6" spans="1:31">
      <c r="A6" t="s">
        <v>29</v>
      </c>
      <c r="B6" t="s">
        <v>147</v>
      </c>
      <c r="C6" t="s">
        <v>30</v>
      </c>
      <c r="D6" t="s">
        <v>148</v>
      </c>
      <c r="E6" t="s">
        <v>149</v>
      </c>
      <c r="F6" t="s">
        <v>150</v>
      </c>
      <c r="G6" t="s">
        <v>93</v>
      </c>
      <c r="H6" t="s">
        <v>147</v>
      </c>
      <c r="I6" t="s">
        <v>151</v>
      </c>
      <c r="J6" t="s">
        <v>152</v>
      </c>
      <c r="K6" t="s">
        <v>95</v>
      </c>
      <c r="L6" t="s">
        <v>153</v>
      </c>
      <c r="M6" s="22">
        <v>45988.333333333343</v>
      </c>
      <c r="N6" s="22">
        <v>45994.772222222222</v>
      </c>
      <c r="P6" t="s">
        <v>96</v>
      </c>
      <c r="Q6" t="s">
        <v>96</v>
      </c>
      <c r="R6" t="s">
        <v>97</v>
      </c>
      <c r="S6" t="s">
        <v>97</v>
      </c>
      <c r="T6" t="s">
        <v>116</v>
      </c>
      <c r="U6" t="s">
        <v>728</v>
      </c>
      <c r="V6" t="s">
        <v>98</v>
      </c>
      <c r="W6" t="s">
        <v>154</v>
      </c>
      <c r="X6" t="s">
        <v>118</v>
      </c>
      <c r="Y6" t="s">
        <v>155</v>
      </c>
      <c r="Z6" t="s">
        <v>104</v>
      </c>
      <c r="AA6" t="s">
        <v>101</v>
      </c>
      <c r="AB6" t="s">
        <v>156</v>
      </c>
      <c r="AC6" s="23">
        <v>1</v>
      </c>
      <c r="AD6" s="23">
        <v>134411</v>
      </c>
      <c r="AE6" s="23">
        <v>134411</v>
      </c>
    </row>
    <row r="7" spans="1:31">
      <c r="A7" t="s">
        <v>52</v>
      </c>
      <c r="B7" t="s">
        <v>107</v>
      </c>
      <c r="C7" t="s">
        <v>26</v>
      </c>
      <c r="D7" t="s">
        <v>157</v>
      </c>
      <c r="E7" t="s">
        <v>158</v>
      </c>
      <c r="F7" t="s">
        <v>159</v>
      </c>
      <c r="G7" t="s">
        <v>93</v>
      </c>
      <c r="H7" t="s">
        <v>160</v>
      </c>
      <c r="I7" t="s">
        <v>161</v>
      </c>
      <c r="J7" t="s">
        <v>162</v>
      </c>
      <c r="K7" t="s">
        <v>95</v>
      </c>
      <c r="L7" t="s">
        <v>163</v>
      </c>
      <c r="M7" s="22">
        <v>45989.663888888892</v>
      </c>
      <c r="N7" s="22">
        <v>45995.324999999997</v>
      </c>
      <c r="P7" t="s">
        <v>96</v>
      </c>
      <c r="Q7" t="s">
        <v>96</v>
      </c>
      <c r="R7" t="s">
        <v>164</v>
      </c>
      <c r="S7" t="s">
        <v>164</v>
      </c>
      <c r="T7" t="s">
        <v>165</v>
      </c>
      <c r="U7" t="s">
        <v>728</v>
      </c>
      <c r="V7" t="s">
        <v>98</v>
      </c>
      <c r="W7" t="s">
        <v>166</v>
      </c>
      <c r="X7" t="s">
        <v>118</v>
      </c>
      <c r="Z7" t="s">
        <v>120</v>
      </c>
      <c r="AA7" t="s">
        <v>101</v>
      </c>
      <c r="AB7" t="s">
        <v>167</v>
      </c>
      <c r="AC7" s="23">
        <v>1</v>
      </c>
      <c r="AD7" s="23">
        <v>222904</v>
      </c>
      <c r="AE7" s="23">
        <v>222904</v>
      </c>
    </row>
    <row r="8" spans="1:31">
      <c r="A8" t="s">
        <v>29</v>
      </c>
      <c r="B8" t="s">
        <v>147</v>
      </c>
      <c r="C8" t="s">
        <v>30</v>
      </c>
      <c r="D8" t="s">
        <v>168</v>
      </c>
      <c r="E8" t="s">
        <v>169</v>
      </c>
      <c r="F8" t="s">
        <v>170</v>
      </c>
      <c r="G8" t="s">
        <v>93</v>
      </c>
      <c r="H8" t="s">
        <v>147</v>
      </c>
      <c r="I8" t="s">
        <v>29</v>
      </c>
      <c r="J8" t="s">
        <v>171</v>
      </c>
      <c r="K8" t="s">
        <v>95</v>
      </c>
      <c r="L8" t="s">
        <v>172</v>
      </c>
      <c r="M8" s="22">
        <v>45989.663888888892</v>
      </c>
      <c r="N8" s="22">
        <v>45994.657638888893</v>
      </c>
      <c r="P8" t="s">
        <v>96</v>
      </c>
      <c r="Q8" t="s">
        <v>96</v>
      </c>
      <c r="R8" t="s">
        <v>97</v>
      </c>
      <c r="S8" t="s">
        <v>97</v>
      </c>
      <c r="T8" t="s">
        <v>116</v>
      </c>
      <c r="U8" t="s">
        <v>728</v>
      </c>
      <c r="V8" t="s">
        <v>98</v>
      </c>
      <c r="W8" t="s">
        <v>173</v>
      </c>
      <c r="X8" t="s">
        <v>118</v>
      </c>
      <c r="Y8" t="s">
        <v>174</v>
      </c>
      <c r="Z8" t="s">
        <v>100</v>
      </c>
      <c r="AA8" t="s">
        <v>101</v>
      </c>
      <c r="AB8" t="s">
        <v>175</v>
      </c>
      <c r="AC8" s="23">
        <v>1</v>
      </c>
      <c r="AD8" s="23">
        <v>44560</v>
      </c>
      <c r="AE8" s="23">
        <v>44560</v>
      </c>
    </row>
    <row r="9" spans="1:31">
      <c r="A9" t="s">
        <v>51</v>
      </c>
      <c r="B9" t="s">
        <v>102</v>
      </c>
      <c r="C9" t="s">
        <v>22</v>
      </c>
      <c r="D9" t="s">
        <v>176</v>
      </c>
      <c r="E9" t="s">
        <v>177</v>
      </c>
      <c r="F9" t="s">
        <v>178</v>
      </c>
      <c r="G9" t="s">
        <v>93</v>
      </c>
      <c r="H9" t="s">
        <v>103</v>
      </c>
      <c r="I9" t="s">
        <v>179</v>
      </c>
      <c r="J9" t="s">
        <v>180</v>
      </c>
      <c r="K9" t="s">
        <v>95</v>
      </c>
      <c r="L9" t="s">
        <v>181</v>
      </c>
      <c r="M9" s="22">
        <v>45989.663888888892</v>
      </c>
      <c r="N9" s="22">
        <v>45992.626388888893</v>
      </c>
      <c r="P9" t="s">
        <v>96</v>
      </c>
      <c r="Q9" t="s">
        <v>96</v>
      </c>
      <c r="R9" t="s">
        <v>114</v>
      </c>
      <c r="S9" t="s">
        <v>115</v>
      </c>
      <c r="T9" t="s">
        <v>116</v>
      </c>
      <c r="U9" t="s">
        <v>728</v>
      </c>
      <c r="V9" t="s">
        <v>98</v>
      </c>
      <c r="W9" t="s">
        <v>182</v>
      </c>
      <c r="X9" t="s">
        <v>118</v>
      </c>
      <c r="Y9" t="s">
        <v>183</v>
      </c>
      <c r="Z9" t="s">
        <v>104</v>
      </c>
      <c r="AA9" t="s">
        <v>101</v>
      </c>
      <c r="AB9" t="s">
        <v>184</v>
      </c>
      <c r="AC9" s="23">
        <v>1</v>
      </c>
      <c r="AD9" s="23">
        <v>134411</v>
      </c>
      <c r="AE9" s="23">
        <v>134411</v>
      </c>
    </row>
    <row r="10" spans="1:31">
      <c r="A10" t="s">
        <v>33</v>
      </c>
      <c r="B10" t="s">
        <v>138</v>
      </c>
      <c r="C10" t="s">
        <v>34</v>
      </c>
      <c r="D10" t="s">
        <v>185</v>
      </c>
      <c r="E10" t="s">
        <v>186</v>
      </c>
      <c r="F10" t="s">
        <v>187</v>
      </c>
      <c r="G10" t="s">
        <v>93</v>
      </c>
      <c r="H10" t="s">
        <v>188</v>
      </c>
      <c r="I10" t="s">
        <v>188</v>
      </c>
      <c r="J10" t="s">
        <v>189</v>
      </c>
      <c r="K10" t="s">
        <v>95</v>
      </c>
      <c r="L10" t="s">
        <v>190</v>
      </c>
      <c r="M10" s="22">
        <v>45989.663888888892</v>
      </c>
      <c r="N10" s="22">
        <v>45995.472222222219</v>
      </c>
      <c r="P10" t="s">
        <v>96</v>
      </c>
      <c r="Q10" t="s">
        <v>96</v>
      </c>
      <c r="R10" t="s">
        <v>114</v>
      </c>
      <c r="S10" t="s">
        <v>115</v>
      </c>
      <c r="T10" t="s">
        <v>116</v>
      </c>
      <c r="U10" t="s">
        <v>729</v>
      </c>
      <c r="V10" t="s">
        <v>126</v>
      </c>
      <c r="W10" t="s">
        <v>191</v>
      </c>
      <c r="X10" t="s">
        <v>118</v>
      </c>
      <c r="Y10" t="s">
        <v>192</v>
      </c>
      <c r="Z10" t="s">
        <v>193</v>
      </c>
      <c r="AA10" t="s">
        <v>194</v>
      </c>
      <c r="AB10" t="s">
        <v>195</v>
      </c>
      <c r="AC10" s="23">
        <v>1</v>
      </c>
      <c r="AD10" s="23">
        <v>988463</v>
      </c>
      <c r="AE10" s="23">
        <v>988463</v>
      </c>
    </row>
    <row r="11" spans="1:31">
      <c r="A11" t="s">
        <v>33</v>
      </c>
      <c r="B11" t="s">
        <v>138</v>
      </c>
      <c r="C11" t="s">
        <v>34</v>
      </c>
      <c r="D11" t="s">
        <v>196</v>
      </c>
      <c r="E11" t="s">
        <v>197</v>
      </c>
      <c r="F11" t="s">
        <v>198</v>
      </c>
      <c r="G11" t="s">
        <v>93</v>
      </c>
      <c r="H11" t="s">
        <v>188</v>
      </c>
      <c r="I11" t="s">
        <v>199</v>
      </c>
      <c r="J11" t="s">
        <v>200</v>
      </c>
      <c r="K11" t="s">
        <v>95</v>
      </c>
      <c r="L11" t="s">
        <v>201</v>
      </c>
      <c r="M11" s="22">
        <v>45989.663888888892</v>
      </c>
      <c r="N11" s="22">
        <v>45994.376388888893</v>
      </c>
      <c r="P11" t="s">
        <v>96</v>
      </c>
      <c r="Q11" t="s">
        <v>96</v>
      </c>
      <c r="R11" t="s">
        <v>114</v>
      </c>
      <c r="S11" t="s">
        <v>115</v>
      </c>
      <c r="U11" t="s">
        <v>728</v>
      </c>
      <c r="V11" t="s">
        <v>98</v>
      </c>
      <c r="W11" t="s">
        <v>202</v>
      </c>
      <c r="X11" t="s">
        <v>99</v>
      </c>
      <c r="Z11" t="s">
        <v>193</v>
      </c>
      <c r="AA11" t="s">
        <v>194</v>
      </c>
      <c r="AB11" t="s">
        <v>195</v>
      </c>
      <c r="AC11" s="23">
        <v>0</v>
      </c>
      <c r="AD11" s="23">
        <v>37905</v>
      </c>
      <c r="AE11" s="23">
        <v>37905</v>
      </c>
    </row>
    <row r="12" spans="1:31">
      <c r="A12" t="s">
        <v>51</v>
      </c>
      <c r="B12" t="s">
        <v>102</v>
      </c>
      <c r="C12" t="s">
        <v>22</v>
      </c>
      <c r="D12" t="s">
        <v>203</v>
      </c>
      <c r="E12" t="s">
        <v>204</v>
      </c>
      <c r="F12" t="s">
        <v>205</v>
      </c>
      <c r="G12" t="s">
        <v>93</v>
      </c>
      <c r="H12" t="s">
        <v>103</v>
      </c>
      <c r="I12" t="s">
        <v>206</v>
      </c>
      <c r="J12" t="s">
        <v>207</v>
      </c>
      <c r="K12" t="s">
        <v>95</v>
      </c>
      <c r="L12" t="s">
        <v>208</v>
      </c>
      <c r="M12" s="22">
        <v>45995.686805555553</v>
      </c>
      <c r="N12" s="22">
        <v>46003.292361111111</v>
      </c>
      <c r="P12" t="s">
        <v>96</v>
      </c>
      <c r="Q12" t="s">
        <v>96</v>
      </c>
      <c r="R12" t="s">
        <v>164</v>
      </c>
      <c r="S12" t="s">
        <v>97</v>
      </c>
      <c r="T12" t="s">
        <v>116</v>
      </c>
      <c r="U12" t="s">
        <v>729</v>
      </c>
      <c r="V12" t="s">
        <v>126</v>
      </c>
      <c r="W12" t="s">
        <v>209</v>
      </c>
      <c r="X12" t="s">
        <v>118</v>
      </c>
      <c r="Z12" t="s">
        <v>104</v>
      </c>
      <c r="AA12" t="s">
        <v>101</v>
      </c>
      <c r="AB12" t="s">
        <v>184</v>
      </c>
      <c r="AC12" s="23">
        <v>1</v>
      </c>
      <c r="AD12" s="23">
        <v>134411</v>
      </c>
      <c r="AE12" s="23">
        <v>134411</v>
      </c>
    </row>
    <row r="13" spans="1:31">
      <c r="A13" t="s">
        <v>53</v>
      </c>
      <c r="B13" t="s">
        <v>210</v>
      </c>
      <c r="C13" t="s">
        <v>44</v>
      </c>
      <c r="D13" t="s">
        <v>211</v>
      </c>
      <c r="E13" t="s">
        <v>212</v>
      </c>
      <c r="F13" t="s">
        <v>213</v>
      </c>
      <c r="G13" t="s">
        <v>93</v>
      </c>
      <c r="H13" t="s">
        <v>214</v>
      </c>
      <c r="I13" t="s">
        <v>215</v>
      </c>
      <c r="J13" t="s">
        <v>216</v>
      </c>
      <c r="K13" t="s">
        <v>95</v>
      </c>
      <c r="L13" t="s">
        <v>217</v>
      </c>
      <c r="M13" s="22">
        <v>45995.686805555553</v>
      </c>
      <c r="N13" s="22">
        <v>45996.613194444442</v>
      </c>
      <c r="P13" t="s">
        <v>96</v>
      </c>
      <c r="Q13" t="s">
        <v>96</v>
      </c>
      <c r="R13" t="s">
        <v>97</v>
      </c>
      <c r="S13" t="s">
        <v>97</v>
      </c>
      <c r="T13" t="s">
        <v>116</v>
      </c>
      <c r="U13" t="s">
        <v>729</v>
      </c>
      <c r="V13" t="s">
        <v>126</v>
      </c>
      <c r="W13" t="s">
        <v>218</v>
      </c>
      <c r="X13" t="s">
        <v>118</v>
      </c>
      <c r="Y13" t="s">
        <v>219</v>
      </c>
      <c r="Z13" t="s">
        <v>193</v>
      </c>
      <c r="AA13" t="s">
        <v>101</v>
      </c>
      <c r="AB13" t="s">
        <v>220</v>
      </c>
      <c r="AC13" s="23">
        <v>1</v>
      </c>
      <c r="AD13" s="23">
        <v>464809</v>
      </c>
      <c r="AE13" s="23">
        <v>464809</v>
      </c>
    </row>
    <row r="14" spans="1:31">
      <c r="A14" t="s">
        <v>52</v>
      </c>
      <c r="B14" t="s">
        <v>107</v>
      </c>
      <c r="C14" t="s">
        <v>26</v>
      </c>
      <c r="D14" t="s">
        <v>221</v>
      </c>
      <c r="E14" t="s">
        <v>222</v>
      </c>
      <c r="F14" t="s">
        <v>223</v>
      </c>
      <c r="G14" t="s">
        <v>93</v>
      </c>
      <c r="H14" t="s">
        <v>160</v>
      </c>
      <c r="I14" t="s">
        <v>52</v>
      </c>
      <c r="J14" t="s">
        <v>224</v>
      </c>
      <c r="K14" t="s">
        <v>95</v>
      </c>
      <c r="L14" t="s">
        <v>225</v>
      </c>
      <c r="M14" s="22">
        <v>45995.686805555553</v>
      </c>
      <c r="N14" s="22">
        <v>45997.486111111109</v>
      </c>
      <c r="P14" t="s">
        <v>96</v>
      </c>
      <c r="Q14" t="s">
        <v>96</v>
      </c>
      <c r="R14" t="s">
        <v>97</v>
      </c>
      <c r="S14" t="s">
        <v>97</v>
      </c>
      <c r="T14" t="s">
        <v>116</v>
      </c>
      <c r="U14" t="s">
        <v>729</v>
      </c>
      <c r="V14" t="s">
        <v>126</v>
      </c>
      <c r="W14" t="s">
        <v>226</v>
      </c>
      <c r="X14" t="s">
        <v>118</v>
      </c>
      <c r="Z14" t="s">
        <v>100</v>
      </c>
      <c r="AA14" t="s">
        <v>101</v>
      </c>
      <c r="AB14" t="s">
        <v>227</v>
      </c>
      <c r="AC14" s="23">
        <v>1</v>
      </c>
      <c r="AD14" s="23">
        <v>44560</v>
      </c>
      <c r="AE14" s="23">
        <v>44560</v>
      </c>
    </row>
    <row r="15" spans="1:31">
      <c r="A15" t="s">
        <v>42</v>
      </c>
      <c r="B15" t="s">
        <v>138</v>
      </c>
      <c r="C15" t="s">
        <v>34</v>
      </c>
      <c r="D15" t="s">
        <v>228</v>
      </c>
      <c r="E15" t="s">
        <v>229</v>
      </c>
      <c r="F15" t="s">
        <v>230</v>
      </c>
      <c r="G15" t="s">
        <v>93</v>
      </c>
      <c r="H15" t="s">
        <v>142</v>
      </c>
      <c r="I15" t="s">
        <v>231</v>
      </c>
      <c r="J15" t="s">
        <v>232</v>
      </c>
      <c r="K15" t="s">
        <v>95</v>
      </c>
      <c r="L15" t="s">
        <v>233</v>
      </c>
      <c r="M15" s="22">
        <v>45995.686805555553</v>
      </c>
      <c r="N15" s="22">
        <v>45997.463194444441</v>
      </c>
      <c r="P15" t="s">
        <v>96</v>
      </c>
      <c r="Q15" t="s">
        <v>96</v>
      </c>
      <c r="R15" t="s">
        <v>164</v>
      </c>
      <c r="S15" t="s">
        <v>97</v>
      </c>
      <c r="T15" t="s">
        <v>116</v>
      </c>
      <c r="U15" t="s">
        <v>728</v>
      </c>
      <c r="V15" t="s">
        <v>98</v>
      </c>
      <c r="W15" t="s">
        <v>234</v>
      </c>
      <c r="X15" t="s">
        <v>118</v>
      </c>
      <c r="Y15" t="s">
        <v>183</v>
      </c>
      <c r="Z15" t="s">
        <v>104</v>
      </c>
      <c r="AA15" t="s">
        <v>101</v>
      </c>
      <c r="AB15" t="s">
        <v>235</v>
      </c>
      <c r="AC15" s="23">
        <v>1</v>
      </c>
      <c r="AD15" s="23">
        <v>134411</v>
      </c>
      <c r="AE15" s="23">
        <v>134411</v>
      </c>
    </row>
    <row r="16" spans="1:31">
      <c r="A16" t="s">
        <v>42</v>
      </c>
      <c r="B16" t="s">
        <v>138</v>
      </c>
      <c r="C16" t="s">
        <v>34</v>
      </c>
      <c r="D16" t="s">
        <v>236</v>
      </c>
      <c r="E16" t="s">
        <v>237</v>
      </c>
      <c r="F16" t="s">
        <v>238</v>
      </c>
      <c r="G16" t="s">
        <v>93</v>
      </c>
      <c r="H16" t="s">
        <v>142</v>
      </c>
      <c r="I16" t="s">
        <v>239</v>
      </c>
      <c r="J16" t="s">
        <v>240</v>
      </c>
      <c r="K16" t="s">
        <v>95</v>
      </c>
      <c r="L16" t="s">
        <v>241</v>
      </c>
      <c r="M16" s="22">
        <v>45995.686805555553</v>
      </c>
      <c r="N16" s="22">
        <v>45996.433333333327</v>
      </c>
      <c r="P16" t="s">
        <v>96</v>
      </c>
      <c r="Q16" t="s">
        <v>96</v>
      </c>
      <c r="R16" t="s">
        <v>164</v>
      </c>
      <c r="S16" t="s">
        <v>97</v>
      </c>
      <c r="T16" t="s">
        <v>116</v>
      </c>
      <c r="U16" t="s">
        <v>728</v>
      </c>
      <c r="V16" t="s">
        <v>98</v>
      </c>
      <c r="W16" t="s">
        <v>242</v>
      </c>
      <c r="X16" t="s">
        <v>118</v>
      </c>
      <c r="Y16" t="s">
        <v>183</v>
      </c>
      <c r="Z16" t="s">
        <v>120</v>
      </c>
      <c r="AA16" t="s">
        <v>101</v>
      </c>
      <c r="AB16" t="s">
        <v>235</v>
      </c>
      <c r="AC16" s="23">
        <v>1</v>
      </c>
      <c r="AD16" s="23">
        <v>222904</v>
      </c>
      <c r="AE16" s="23">
        <v>222904</v>
      </c>
    </row>
    <row r="17" spans="1:31">
      <c r="A17" t="s">
        <v>54</v>
      </c>
      <c r="B17" t="s">
        <v>91</v>
      </c>
      <c r="C17" t="s">
        <v>38</v>
      </c>
      <c r="D17" t="s">
        <v>243</v>
      </c>
      <c r="E17" t="s">
        <v>244</v>
      </c>
      <c r="F17" t="s">
        <v>245</v>
      </c>
      <c r="G17" t="s">
        <v>93</v>
      </c>
      <c r="H17" t="s">
        <v>246</v>
      </c>
      <c r="I17" t="s">
        <v>247</v>
      </c>
      <c r="J17" t="s">
        <v>248</v>
      </c>
      <c r="K17" t="s">
        <v>95</v>
      </c>
      <c r="L17" t="s">
        <v>249</v>
      </c>
      <c r="M17" s="22">
        <v>45995.686805555553</v>
      </c>
      <c r="N17" s="22">
        <v>46003.494444444441</v>
      </c>
      <c r="P17" t="s">
        <v>96</v>
      </c>
      <c r="Q17" t="s">
        <v>250</v>
      </c>
      <c r="R17" t="s">
        <v>97</v>
      </c>
      <c r="S17" t="s">
        <v>97</v>
      </c>
      <c r="U17" t="s">
        <v>728</v>
      </c>
      <c r="V17" t="s">
        <v>98</v>
      </c>
      <c r="W17" t="s">
        <v>251</v>
      </c>
      <c r="X17" t="s">
        <v>99</v>
      </c>
      <c r="Z17" t="s">
        <v>105</v>
      </c>
      <c r="AA17" t="s">
        <v>101</v>
      </c>
      <c r="AB17" t="s">
        <v>252</v>
      </c>
      <c r="AC17" s="23">
        <v>0</v>
      </c>
      <c r="AD17" s="23">
        <v>37905</v>
      </c>
      <c r="AE17" s="23">
        <v>37905</v>
      </c>
    </row>
    <row r="18" spans="1:31">
      <c r="A18" t="s">
        <v>29</v>
      </c>
      <c r="B18" t="s">
        <v>147</v>
      </c>
      <c r="C18" t="s">
        <v>30</v>
      </c>
      <c r="D18" t="s">
        <v>253</v>
      </c>
      <c r="E18" t="s">
        <v>254</v>
      </c>
      <c r="F18" t="s">
        <v>255</v>
      </c>
      <c r="G18" t="s">
        <v>93</v>
      </c>
      <c r="H18" t="s">
        <v>147</v>
      </c>
      <c r="I18" t="s">
        <v>256</v>
      </c>
      <c r="J18" t="s">
        <v>257</v>
      </c>
      <c r="K18" t="s">
        <v>95</v>
      </c>
      <c r="L18" t="s">
        <v>258</v>
      </c>
      <c r="M18" s="22">
        <v>45995.686805555553</v>
      </c>
      <c r="N18" s="22">
        <v>45999.488194444442</v>
      </c>
      <c r="P18" t="s">
        <v>96</v>
      </c>
      <c r="Q18" t="s">
        <v>250</v>
      </c>
      <c r="R18" t="s">
        <v>97</v>
      </c>
      <c r="S18" t="s">
        <v>97</v>
      </c>
      <c r="T18" t="s">
        <v>116</v>
      </c>
      <c r="U18" t="s">
        <v>729</v>
      </c>
      <c r="V18" t="s">
        <v>126</v>
      </c>
      <c r="W18" t="s">
        <v>259</v>
      </c>
      <c r="X18" t="s">
        <v>118</v>
      </c>
      <c r="Z18" t="s">
        <v>120</v>
      </c>
      <c r="AA18" t="s">
        <v>101</v>
      </c>
      <c r="AB18" t="s">
        <v>156</v>
      </c>
      <c r="AC18" s="23">
        <v>1</v>
      </c>
      <c r="AD18" s="23">
        <v>222904</v>
      </c>
      <c r="AE18" s="23">
        <v>222904</v>
      </c>
    </row>
    <row r="19" spans="1:31">
      <c r="A19" t="s">
        <v>55</v>
      </c>
      <c r="B19" t="s">
        <v>91</v>
      </c>
      <c r="C19" t="s">
        <v>49</v>
      </c>
      <c r="D19" t="s">
        <v>260</v>
      </c>
      <c r="E19" t="s">
        <v>261</v>
      </c>
      <c r="F19" t="s">
        <v>262</v>
      </c>
      <c r="G19" t="s">
        <v>93</v>
      </c>
      <c r="H19" t="s">
        <v>263</v>
      </c>
      <c r="I19" t="s">
        <v>264</v>
      </c>
      <c r="J19" t="s">
        <v>265</v>
      </c>
      <c r="K19" t="s">
        <v>95</v>
      </c>
      <c r="L19" t="s">
        <v>266</v>
      </c>
      <c r="M19" s="22">
        <v>45995.686805555553</v>
      </c>
      <c r="N19" s="22">
        <v>46002.400000000001</v>
      </c>
      <c r="P19" t="s">
        <v>96</v>
      </c>
      <c r="Q19" t="s">
        <v>250</v>
      </c>
      <c r="R19" t="s">
        <v>164</v>
      </c>
      <c r="S19" t="s">
        <v>164</v>
      </c>
      <c r="T19" t="s">
        <v>116</v>
      </c>
      <c r="U19" t="s">
        <v>728</v>
      </c>
      <c r="V19" t="s">
        <v>98</v>
      </c>
      <c r="W19" t="s">
        <v>267</v>
      </c>
      <c r="X19" t="s">
        <v>118</v>
      </c>
      <c r="Y19" t="s">
        <v>268</v>
      </c>
      <c r="Z19" t="s">
        <v>100</v>
      </c>
      <c r="AA19" t="s">
        <v>101</v>
      </c>
      <c r="AB19" t="s">
        <v>269</v>
      </c>
      <c r="AC19" s="23">
        <v>1</v>
      </c>
      <c r="AD19" s="23">
        <v>44560</v>
      </c>
      <c r="AE19" s="23">
        <v>44560</v>
      </c>
    </row>
    <row r="20" spans="1:31">
      <c r="A20" t="s">
        <v>55</v>
      </c>
      <c r="B20" t="s">
        <v>91</v>
      </c>
      <c r="C20" t="s">
        <v>49</v>
      </c>
      <c r="D20" t="s">
        <v>270</v>
      </c>
      <c r="E20" t="s">
        <v>271</v>
      </c>
      <c r="F20" t="s">
        <v>272</v>
      </c>
      <c r="G20" t="s">
        <v>93</v>
      </c>
      <c r="H20" t="s">
        <v>263</v>
      </c>
      <c r="I20" t="s">
        <v>55</v>
      </c>
      <c r="J20" t="s">
        <v>273</v>
      </c>
      <c r="K20" t="s">
        <v>95</v>
      </c>
      <c r="L20" t="s">
        <v>274</v>
      </c>
      <c r="M20" s="22">
        <v>45996.675000000003</v>
      </c>
      <c r="N20" s="22">
        <v>46002.395833333343</v>
      </c>
      <c r="P20" t="s">
        <v>96</v>
      </c>
      <c r="Q20" t="s">
        <v>96</v>
      </c>
      <c r="R20" t="s">
        <v>164</v>
      </c>
      <c r="S20" t="s">
        <v>97</v>
      </c>
      <c r="T20" t="s">
        <v>116</v>
      </c>
      <c r="U20" t="s">
        <v>729</v>
      </c>
      <c r="V20" t="s">
        <v>126</v>
      </c>
      <c r="W20" t="s">
        <v>275</v>
      </c>
      <c r="X20" t="s">
        <v>118</v>
      </c>
      <c r="Y20" t="s">
        <v>276</v>
      </c>
      <c r="Z20" t="s">
        <v>100</v>
      </c>
      <c r="AA20" t="s">
        <v>101</v>
      </c>
      <c r="AB20" t="s">
        <v>269</v>
      </c>
      <c r="AC20" s="23">
        <v>1</v>
      </c>
      <c r="AD20" s="23">
        <v>44560</v>
      </c>
      <c r="AE20" s="23">
        <v>44560</v>
      </c>
    </row>
    <row r="21" spans="1:31">
      <c r="A21" t="s">
        <v>29</v>
      </c>
      <c r="B21" t="s">
        <v>147</v>
      </c>
      <c r="C21" t="s">
        <v>30</v>
      </c>
      <c r="D21" t="s">
        <v>168</v>
      </c>
      <c r="E21" t="s">
        <v>277</v>
      </c>
      <c r="F21" t="s">
        <v>278</v>
      </c>
      <c r="G21" t="s">
        <v>93</v>
      </c>
      <c r="H21" t="s">
        <v>147</v>
      </c>
      <c r="I21" t="s">
        <v>29</v>
      </c>
      <c r="J21" t="s">
        <v>279</v>
      </c>
      <c r="K21" t="s">
        <v>95</v>
      </c>
      <c r="L21" t="s">
        <v>280</v>
      </c>
      <c r="M21" s="22">
        <v>45996.675000000003</v>
      </c>
      <c r="N21" s="22">
        <v>46000.602777777778</v>
      </c>
      <c r="P21" t="s">
        <v>96</v>
      </c>
      <c r="Q21" t="s">
        <v>96</v>
      </c>
      <c r="R21" t="s">
        <v>164</v>
      </c>
      <c r="S21" t="s">
        <v>97</v>
      </c>
      <c r="T21" t="s">
        <v>116</v>
      </c>
      <c r="U21" t="s">
        <v>729</v>
      </c>
      <c r="V21" t="s">
        <v>126</v>
      </c>
      <c r="W21" t="s">
        <v>281</v>
      </c>
      <c r="X21" t="s">
        <v>118</v>
      </c>
      <c r="Y21" t="s">
        <v>155</v>
      </c>
      <c r="Z21" t="s">
        <v>100</v>
      </c>
      <c r="AA21" t="s">
        <v>101</v>
      </c>
      <c r="AB21" t="s">
        <v>282</v>
      </c>
      <c r="AC21" s="23">
        <v>1</v>
      </c>
      <c r="AD21" s="23">
        <v>44560</v>
      </c>
      <c r="AE21" s="23">
        <v>44560</v>
      </c>
    </row>
    <row r="22" spans="1:31">
      <c r="A22" t="s">
        <v>51</v>
      </c>
      <c r="B22" t="s">
        <v>102</v>
      </c>
      <c r="C22" t="s">
        <v>22</v>
      </c>
      <c r="D22" t="s">
        <v>283</v>
      </c>
      <c r="E22" t="s">
        <v>284</v>
      </c>
      <c r="F22" t="s">
        <v>285</v>
      </c>
      <c r="G22" t="s">
        <v>93</v>
      </c>
      <c r="H22" t="s">
        <v>103</v>
      </c>
      <c r="I22" t="s">
        <v>286</v>
      </c>
      <c r="J22" t="s">
        <v>287</v>
      </c>
      <c r="K22" t="s">
        <v>95</v>
      </c>
      <c r="L22" t="s">
        <v>288</v>
      </c>
      <c r="M22" s="22">
        <v>45996.673611111109</v>
      </c>
      <c r="N22" s="22">
        <v>46006.434027777781</v>
      </c>
      <c r="P22" t="s">
        <v>96</v>
      </c>
      <c r="Q22" t="s">
        <v>96</v>
      </c>
      <c r="R22" t="s">
        <v>114</v>
      </c>
      <c r="S22" t="s">
        <v>115</v>
      </c>
      <c r="T22" t="s">
        <v>116</v>
      </c>
      <c r="U22" t="s">
        <v>728</v>
      </c>
      <c r="V22" t="s">
        <v>98</v>
      </c>
      <c r="W22" t="s">
        <v>289</v>
      </c>
      <c r="X22" t="s">
        <v>118</v>
      </c>
      <c r="Z22" t="s">
        <v>100</v>
      </c>
      <c r="AA22" t="s">
        <v>101</v>
      </c>
      <c r="AB22" t="s">
        <v>290</v>
      </c>
      <c r="AC22" s="23">
        <v>1</v>
      </c>
      <c r="AD22" s="23">
        <v>44560</v>
      </c>
      <c r="AE22" s="23">
        <v>44560</v>
      </c>
    </row>
    <row r="23" spans="1:31">
      <c r="A23" t="s">
        <v>51</v>
      </c>
      <c r="B23" t="s">
        <v>102</v>
      </c>
      <c r="C23" t="s">
        <v>22</v>
      </c>
      <c r="D23" t="s">
        <v>283</v>
      </c>
      <c r="E23" t="s">
        <v>291</v>
      </c>
      <c r="F23" t="s">
        <v>292</v>
      </c>
      <c r="G23" t="s">
        <v>93</v>
      </c>
      <c r="H23" t="s">
        <v>103</v>
      </c>
      <c r="I23" t="s">
        <v>286</v>
      </c>
      <c r="J23" t="s">
        <v>293</v>
      </c>
      <c r="K23" t="s">
        <v>95</v>
      </c>
      <c r="L23" t="s">
        <v>294</v>
      </c>
      <c r="M23" s="22">
        <v>45996.673611111109</v>
      </c>
      <c r="N23" s="22">
        <v>46006.402083333327</v>
      </c>
      <c r="P23" t="s">
        <v>96</v>
      </c>
      <c r="Q23" t="s">
        <v>96</v>
      </c>
      <c r="R23" t="s">
        <v>114</v>
      </c>
      <c r="S23" t="s">
        <v>295</v>
      </c>
      <c r="U23" t="s">
        <v>728</v>
      </c>
      <c r="V23" t="s">
        <v>98</v>
      </c>
      <c r="W23" t="s">
        <v>296</v>
      </c>
      <c r="X23" t="s">
        <v>99</v>
      </c>
      <c r="Z23" t="s">
        <v>100</v>
      </c>
      <c r="AA23" t="s">
        <v>101</v>
      </c>
      <c r="AB23" t="s">
        <v>290</v>
      </c>
      <c r="AC23" s="23">
        <v>0</v>
      </c>
      <c r="AD23" s="23">
        <v>37905</v>
      </c>
      <c r="AE23" s="23">
        <v>37905</v>
      </c>
    </row>
    <row r="24" spans="1:31">
      <c r="A24" t="s">
        <v>33</v>
      </c>
      <c r="B24" t="s">
        <v>138</v>
      </c>
      <c r="C24" t="s">
        <v>34</v>
      </c>
      <c r="D24" t="s">
        <v>297</v>
      </c>
      <c r="E24" t="s">
        <v>298</v>
      </c>
      <c r="F24" t="s">
        <v>299</v>
      </c>
      <c r="G24" t="s">
        <v>93</v>
      </c>
      <c r="H24" t="s">
        <v>300</v>
      </c>
      <c r="I24" t="s">
        <v>33</v>
      </c>
      <c r="J24" t="s">
        <v>301</v>
      </c>
      <c r="K24" t="s">
        <v>95</v>
      </c>
      <c r="L24" t="s">
        <v>302</v>
      </c>
      <c r="M24" s="22">
        <v>45996.673611111109</v>
      </c>
      <c r="N24" s="22">
        <v>45997.466666666667</v>
      </c>
      <c r="P24" t="s">
        <v>96</v>
      </c>
      <c r="Q24" t="s">
        <v>96</v>
      </c>
      <c r="R24" t="s">
        <v>114</v>
      </c>
      <c r="S24" t="s">
        <v>115</v>
      </c>
      <c r="T24" t="s">
        <v>116</v>
      </c>
      <c r="U24" t="s">
        <v>729</v>
      </c>
      <c r="V24" t="s">
        <v>126</v>
      </c>
      <c r="W24" t="s">
        <v>303</v>
      </c>
      <c r="X24" t="s">
        <v>118</v>
      </c>
      <c r="Y24" t="s">
        <v>304</v>
      </c>
      <c r="Z24" t="s">
        <v>100</v>
      </c>
      <c r="AA24" t="s">
        <v>101</v>
      </c>
      <c r="AB24" t="s">
        <v>305</v>
      </c>
      <c r="AC24" s="23">
        <v>1</v>
      </c>
      <c r="AD24" s="23">
        <v>44560</v>
      </c>
      <c r="AE24" s="23">
        <v>44560</v>
      </c>
    </row>
    <row r="25" spans="1:31">
      <c r="A25" t="s">
        <v>25</v>
      </c>
      <c r="B25" t="s">
        <v>107</v>
      </c>
      <c r="C25" t="s">
        <v>26</v>
      </c>
      <c r="D25" t="s">
        <v>306</v>
      </c>
      <c r="E25" t="s">
        <v>307</v>
      </c>
      <c r="F25" t="s">
        <v>308</v>
      </c>
      <c r="G25" t="s">
        <v>93</v>
      </c>
      <c r="H25" t="s">
        <v>309</v>
      </c>
      <c r="I25" t="s">
        <v>25</v>
      </c>
      <c r="J25" t="s">
        <v>310</v>
      </c>
      <c r="K25" t="s">
        <v>95</v>
      </c>
      <c r="L25" t="s">
        <v>311</v>
      </c>
      <c r="M25" s="22">
        <v>45996.673611111109</v>
      </c>
      <c r="N25" s="22">
        <v>46001.26458333333</v>
      </c>
      <c r="P25" t="s">
        <v>96</v>
      </c>
      <c r="Q25" t="s">
        <v>96</v>
      </c>
      <c r="R25" t="s">
        <v>114</v>
      </c>
      <c r="S25" t="s">
        <v>115</v>
      </c>
      <c r="U25" t="s">
        <v>728</v>
      </c>
      <c r="V25" t="s">
        <v>98</v>
      </c>
      <c r="W25" t="s">
        <v>312</v>
      </c>
      <c r="X25" t="s">
        <v>99</v>
      </c>
      <c r="Z25" t="s">
        <v>100</v>
      </c>
      <c r="AA25" t="s">
        <v>101</v>
      </c>
      <c r="AB25" t="s">
        <v>313</v>
      </c>
      <c r="AC25" s="23">
        <v>0</v>
      </c>
      <c r="AD25" s="23">
        <v>37905</v>
      </c>
      <c r="AE25" s="23">
        <v>37905</v>
      </c>
    </row>
    <row r="26" spans="1:31">
      <c r="A26" t="s">
        <v>37</v>
      </c>
      <c r="B26" t="s">
        <v>91</v>
      </c>
      <c r="C26" t="s">
        <v>38</v>
      </c>
      <c r="D26" t="s">
        <v>314</v>
      </c>
      <c r="E26" t="s">
        <v>315</v>
      </c>
      <c r="F26" t="s">
        <v>316</v>
      </c>
      <c r="G26" t="s">
        <v>93</v>
      </c>
      <c r="H26" t="s">
        <v>317</v>
      </c>
      <c r="I26" t="s">
        <v>37</v>
      </c>
      <c r="J26" t="s">
        <v>318</v>
      </c>
      <c r="K26" t="s">
        <v>95</v>
      </c>
      <c r="L26" t="s">
        <v>319</v>
      </c>
      <c r="M26" s="22">
        <v>45996.673611111109</v>
      </c>
      <c r="N26" s="22">
        <v>46001.497916666667</v>
      </c>
      <c r="P26" t="s">
        <v>96</v>
      </c>
      <c r="Q26" t="s">
        <v>96</v>
      </c>
      <c r="R26" t="s">
        <v>114</v>
      </c>
      <c r="S26" t="s">
        <v>115</v>
      </c>
      <c r="T26" t="s">
        <v>116</v>
      </c>
      <c r="U26" t="s">
        <v>728</v>
      </c>
      <c r="V26" t="s">
        <v>98</v>
      </c>
      <c r="W26" t="s">
        <v>320</v>
      </c>
      <c r="X26" t="s">
        <v>118</v>
      </c>
      <c r="Z26" t="s">
        <v>100</v>
      </c>
      <c r="AA26" t="s">
        <v>101</v>
      </c>
      <c r="AB26" t="s">
        <v>321</v>
      </c>
      <c r="AC26" s="23">
        <v>1</v>
      </c>
      <c r="AD26" s="23">
        <v>44560</v>
      </c>
      <c r="AE26" s="23">
        <v>44560</v>
      </c>
    </row>
    <row r="27" spans="1:31">
      <c r="A27" t="s">
        <v>37</v>
      </c>
      <c r="B27" t="s">
        <v>91</v>
      </c>
      <c r="C27" t="s">
        <v>38</v>
      </c>
      <c r="D27" t="s">
        <v>314</v>
      </c>
      <c r="E27" t="s">
        <v>322</v>
      </c>
      <c r="F27" t="s">
        <v>323</v>
      </c>
      <c r="G27" t="s">
        <v>93</v>
      </c>
      <c r="H27" t="s">
        <v>317</v>
      </c>
      <c r="I27" t="s">
        <v>37</v>
      </c>
      <c r="J27" t="s">
        <v>324</v>
      </c>
      <c r="K27" t="s">
        <v>95</v>
      </c>
      <c r="L27" t="s">
        <v>325</v>
      </c>
      <c r="M27" s="22">
        <v>45996.673611111109</v>
      </c>
      <c r="N27" s="22">
        <v>46002.611805555563</v>
      </c>
      <c r="P27" t="s">
        <v>96</v>
      </c>
      <c r="Q27" t="s">
        <v>96</v>
      </c>
      <c r="R27" t="s">
        <v>114</v>
      </c>
      <c r="S27" t="s">
        <v>295</v>
      </c>
      <c r="T27" t="s">
        <v>116</v>
      </c>
      <c r="U27" t="s">
        <v>729</v>
      </c>
      <c r="V27" t="s">
        <v>126</v>
      </c>
      <c r="W27" t="s">
        <v>326</v>
      </c>
      <c r="X27" t="s">
        <v>118</v>
      </c>
      <c r="Z27" t="s">
        <v>100</v>
      </c>
      <c r="AA27" t="s">
        <v>101</v>
      </c>
      <c r="AB27" t="s">
        <v>327</v>
      </c>
      <c r="AC27" s="23">
        <v>1</v>
      </c>
      <c r="AD27" s="23">
        <v>44560</v>
      </c>
      <c r="AE27" s="23">
        <v>44560</v>
      </c>
    </row>
    <row r="28" spans="1:31">
      <c r="A28" t="s">
        <v>55</v>
      </c>
      <c r="B28" t="s">
        <v>91</v>
      </c>
      <c r="C28" t="s">
        <v>49</v>
      </c>
      <c r="D28" t="s">
        <v>328</v>
      </c>
      <c r="E28" t="s">
        <v>329</v>
      </c>
      <c r="F28" t="s">
        <v>330</v>
      </c>
      <c r="G28" t="s">
        <v>93</v>
      </c>
      <c r="H28" t="s">
        <v>317</v>
      </c>
      <c r="I28" t="s">
        <v>331</v>
      </c>
      <c r="J28" t="s">
        <v>332</v>
      </c>
      <c r="K28" t="s">
        <v>95</v>
      </c>
      <c r="L28" t="s">
        <v>333</v>
      </c>
      <c r="M28" s="22">
        <v>45996.673611111109</v>
      </c>
      <c r="N28" s="22">
        <v>46001.690972222219</v>
      </c>
      <c r="P28" t="s">
        <v>96</v>
      </c>
      <c r="Q28" t="s">
        <v>96</v>
      </c>
      <c r="R28" t="s">
        <v>114</v>
      </c>
      <c r="S28" t="s">
        <v>115</v>
      </c>
      <c r="T28" t="s">
        <v>116</v>
      </c>
      <c r="U28" t="s">
        <v>729</v>
      </c>
      <c r="V28" t="s">
        <v>126</v>
      </c>
      <c r="W28" t="s">
        <v>334</v>
      </c>
      <c r="X28" t="s">
        <v>118</v>
      </c>
      <c r="Z28" t="s">
        <v>100</v>
      </c>
      <c r="AA28" t="s">
        <v>101</v>
      </c>
      <c r="AB28" t="s">
        <v>335</v>
      </c>
      <c r="AC28" s="23">
        <v>1</v>
      </c>
      <c r="AD28" s="23">
        <v>44560</v>
      </c>
      <c r="AE28" s="23">
        <v>44560</v>
      </c>
    </row>
    <row r="29" spans="1:31">
      <c r="A29" t="s">
        <v>29</v>
      </c>
      <c r="B29" t="s">
        <v>147</v>
      </c>
      <c r="C29" t="s">
        <v>30</v>
      </c>
      <c r="D29" t="s">
        <v>168</v>
      </c>
      <c r="E29" t="s">
        <v>336</v>
      </c>
      <c r="F29" t="s">
        <v>337</v>
      </c>
      <c r="G29" t="s">
        <v>93</v>
      </c>
      <c r="H29" t="s">
        <v>147</v>
      </c>
      <c r="I29" t="s">
        <v>29</v>
      </c>
      <c r="J29" t="s">
        <v>338</v>
      </c>
      <c r="K29" t="s">
        <v>95</v>
      </c>
      <c r="L29" t="s">
        <v>339</v>
      </c>
      <c r="M29" s="22">
        <v>45996.673611111109</v>
      </c>
      <c r="N29" s="22">
        <v>46000.413194444453</v>
      </c>
      <c r="P29" t="s">
        <v>96</v>
      </c>
      <c r="Q29" t="s">
        <v>96</v>
      </c>
      <c r="R29" t="s">
        <v>114</v>
      </c>
      <c r="S29" t="s">
        <v>295</v>
      </c>
      <c r="T29" t="s">
        <v>116</v>
      </c>
      <c r="U29" t="s">
        <v>729</v>
      </c>
      <c r="V29" t="s">
        <v>126</v>
      </c>
      <c r="W29" t="s">
        <v>340</v>
      </c>
      <c r="X29" t="s">
        <v>118</v>
      </c>
      <c r="Y29" t="s">
        <v>155</v>
      </c>
      <c r="Z29" t="s">
        <v>100</v>
      </c>
      <c r="AA29" t="s">
        <v>101</v>
      </c>
      <c r="AB29" t="s">
        <v>341</v>
      </c>
      <c r="AC29" s="23">
        <v>1</v>
      </c>
      <c r="AD29" s="23">
        <v>44560</v>
      </c>
      <c r="AE29" s="23">
        <v>44560</v>
      </c>
    </row>
    <row r="30" spans="1:31">
      <c r="A30" t="s">
        <v>29</v>
      </c>
      <c r="B30" t="s">
        <v>147</v>
      </c>
      <c r="C30" t="s">
        <v>30</v>
      </c>
      <c r="D30" t="s">
        <v>168</v>
      </c>
      <c r="E30" t="s">
        <v>342</v>
      </c>
      <c r="F30" t="s">
        <v>343</v>
      </c>
      <c r="G30" t="s">
        <v>93</v>
      </c>
      <c r="H30" t="s">
        <v>147</v>
      </c>
      <c r="I30" t="s">
        <v>29</v>
      </c>
      <c r="J30" t="s">
        <v>344</v>
      </c>
      <c r="K30" t="s">
        <v>95</v>
      </c>
      <c r="L30" t="s">
        <v>345</v>
      </c>
      <c r="M30" s="22">
        <v>45996.673611111109</v>
      </c>
      <c r="N30" s="22">
        <v>46001.48333333333</v>
      </c>
      <c r="P30" t="s">
        <v>96</v>
      </c>
      <c r="Q30" t="s">
        <v>96</v>
      </c>
      <c r="R30" t="s">
        <v>114</v>
      </c>
      <c r="S30" t="s">
        <v>295</v>
      </c>
      <c r="T30" t="s">
        <v>116</v>
      </c>
      <c r="U30" t="s">
        <v>729</v>
      </c>
      <c r="V30" t="s">
        <v>126</v>
      </c>
      <c r="W30" t="s">
        <v>346</v>
      </c>
      <c r="X30" t="s">
        <v>118</v>
      </c>
      <c r="Y30" t="s">
        <v>155</v>
      </c>
      <c r="Z30" t="s">
        <v>100</v>
      </c>
      <c r="AA30" t="s">
        <v>101</v>
      </c>
      <c r="AB30" t="s">
        <v>347</v>
      </c>
      <c r="AC30" s="23">
        <v>1</v>
      </c>
      <c r="AD30" s="23">
        <v>44560</v>
      </c>
      <c r="AE30" s="23">
        <v>44560</v>
      </c>
    </row>
    <row r="31" spans="1:31">
      <c r="A31" t="s">
        <v>29</v>
      </c>
      <c r="B31" t="s">
        <v>147</v>
      </c>
      <c r="C31" t="s">
        <v>30</v>
      </c>
      <c r="D31" t="s">
        <v>168</v>
      </c>
      <c r="E31" t="s">
        <v>348</v>
      </c>
      <c r="F31" t="s">
        <v>349</v>
      </c>
      <c r="G31" t="s">
        <v>93</v>
      </c>
      <c r="H31" t="s">
        <v>147</v>
      </c>
      <c r="I31" t="s">
        <v>29</v>
      </c>
      <c r="J31" t="s">
        <v>350</v>
      </c>
      <c r="K31" t="s">
        <v>95</v>
      </c>
      <c r="L31" t="s">
        <v>351</v>
      </c>
      <c r="M31" s="22">
        <v>46001.333333333343</v>
      </c>
      <c r="N31" s="22">
        <v>46002.703472222223</v>
      </c>
      <c r="P31" t="s">
        <v>96</v>
      </c>
      <c r="Q31" t="s">
        <v>96</v>
      </c>
      <c r="R31" t="s">
        <v>114</v>
      </c>
      <c r="S31" t="s">
        <v>295</v>
      </c>
      <c r="T31" t="s">
        <v>116</v>
      </c>
      <c r="U31" t="s">
        <v>729</v>
      </c>
      <c r="V31" t="s">
        <v>126</v>
      </c>
      <c r="W31" t="s">
        <v>352</v>
      </c>
      <c r="X31" t="s">
        <v>118</v>
      </c>
      <c r="Y31" t="s">
        <v>183</v>
      </c>
      <c r="Z31" t="s">
        <v>100</v>
      </c>
      <c r="AA31" t="s">
        <v>101</v>
      </c>
      <c r="AB31" t="s">
        <v>353</v>
      </c>
      <c r="AC31" s="23">
        <v>1</v>
      </c>
      <c r="AD31" s="23">
        <v>44560</v>
      </c>
      <c r="AE31" s="23">
        <v>44560</v>
      </c>
    </row>
    <row r="32" spans="1:31">
      <c r="A32" t="s">
        <v>29</v>
      </c>
      <c r="B32" t="s">
        <v>147</v>
      </c>
      <c r="C32" t="s">
        <v>30</v>
      </c>
      <c r="D32" t="s">
        <v>168</v>
      </c>
      <c r="E32" t="s">
        <v>354</v>
      </c>
      <c r="F32" t="s">
        <v>355</v>
      </c>
      <c r="G32" t="s">
        <v>93</v>
      </c>
      <c r="H32" t="s">
        <v>147</v>
      </c>
      <c r="I32" t="s">
        <v>29</v>
      </c>
      <c r="J32" t="s">
        <v>356</v>
      </c>
      <c r="K32" t="s">
        <v>95</v>
      </c>
      <c r="L32" t="s">
        <v>357</v>
      </c>
      <c r="M32" s="22">
        <v>46001.333333333343</v>
      </c>
      <c r="N32" s="22">
        <v>46008.313888888893</v>
      </c>
      <c r="P32" t="s">
        <v>96</v>
      </c>
      <c r="Q32" t="s">
        <v>250</v>
      </c>
      <c r="R32" t="s">
        <v>164</v>
      </c>
      <c r="S32" t="s">
        <v>97</v>
      </c>
      <c r="T32" t="s">
        <v>116</v>
      </c>
      <c r="U32" t="s">
        <v>728</v>
      </c>
      <c r="V32" t="s">
        <v>98</v>
      </c>
      <c r="W32" t="s">
        <v>358</v>
      </c>
      <c r="X32" t="s">
        <v>118</v>
      </c>
      <c r="Z32" t="s">
        <v>100</v>
      </c>
      <c r="AA32" t="s">
        <v>101</v>
      </c>
      <c r="AB32" t="s">
        <v>359</v>
      </c>
      <c r="AC32" s="23">
        <v>1</v>
      </c>
      <c r="AD32" s="23">
        <v>44560</v>
      </c>
      <c r="AE32" s="23">
        <v>44560</v>
      </c>
    </row>
    <row r="33" spans="1:31">
      <c r="A33" t="s">
        <v>51</v>
      </c>
      <c r="B33" t="s">
        <v>102</v>
      </c>
      <c r="C33" t="s">
        <v>22</v>
      </c>
      <c r="D33" t="s">
        <v>360</v>
      </c>
      <c r="E33" t="s">
        <v>361</v>
      </c>
      <c r="F33" t="s">
        <v>362</v>
      </c>
      <c r="G33" t="s">
        <v>93</v>
      </c>
      <c r="H33" t="s">
        <v>103</v>
      </c>
      <c r="I33" t="s">
        <v>363</v>
      </c>
      <c r="J33" t="s">
        <v>364</v>
      </c>
      <c r="K33" t="s">
        <v>95</v>
      </c>
      <c r="L33" t="s">
        <v>365</v>
      </c>
      <c r="M33" s="22">
        <v>46001.368055555547</v>
      </c>
      <c r="N33" s="22">
        <v>46002.578472222223</v>
      </c>
      <c r="P33" t="s">
        <v>96</v>
      </c>
      <c r="Q33" t="s">
        <v>96</v>
      </c>
      <c r="R33" t="s">
        <v>114</v>
      </c>
      <c r="S33" t="s">
        <v>115</v>
      </c>
      <c r="U33" t="s">
        <v>728</v>
      </c>
      <c r="V33" t="s">
        <v>98</v>
      </c>
      <c r="W33" t="s">
        <v>366</v>
      </c>
      <c r="X33" t="s">
        <v>99</v>
      </c>
      <c r="Z33" t="s">
        <v>105</v>
      </c>
      <c r="AA33" t="s">
        <v>101</v>
      </c>
      <c r="AB33" t="s">
        <v>367</v>
      </c>
      <c r="AC33" s="23">
        <v>0</v>
      </c>
      <c r="AD33" s="23">
        <v>37905</v>
      </c>
      <c r="AE33" s="23">
        <v>37905</v>
      </c>
    </row>
    <row r="34" spans="1:31">
      <c r="A34" t="s">
        <v>52</v>
      </c>
      <c r="B34" t="s">
        <v>107</v>
      </c>
      <c r="C34" t="s">
        <v>26</v>
      </c>
      <c r="D34" t="s">
        <v>108</v>
      </c>
      <c r="E34" t="s">
        <v>368</v>
      </c>
      <c r="F34" t="s">
        <v>369</v>
      </c>
      <c r="G34" t="s">
        <v>93</v>
      </c>
      <c r="H34" t="s">
        <v>103</v>
      </c>
      <c r="I34" t="s">
        <v>111</v>
      </c>
      <c r="J34" t="s">
        <v>370</v>
      </c>
      <c r="K34" t="s">
        <v>95</v>
      </c>
      <c r="L34" t="s">
        <v>371</v>
      </c>
      <c r="M34" s="22">
        <v>46001.368055555547</v>
      </c>
      <c r="N34" s="22">
        <v>46003.621527777781</v>
      </c>
      <c r="P34" t="s">
        <v>96</v>
      </c>
      <c r="Q34" t="s">
        <v>96</v>
      </c>
      <c r="R34" t="s">
        <v>114</v>
      </c>
      <c r="S34" t="s">
        <v>115</v>
      </c>
      <c r="U34" t="s">
        <v>728</v>
      </c>
      <c r="V34" t="s">
        <v>98</v>
      </c>
      <c r="W34" t="s">
        <v>372</v>
      </c>
      <c r="X34" t="s">
        <v>99</v>
      </c>
      <c r="Z34" t="s">
        <v>120</v>
      </c>
      <c r="AA34" t="s">
        <v>101</v>
      </c>
      <c r="AB34" t="s">
        <v>121</v>
      </c>
      <c r="AC34" s="23">
        <v>0</v>
      </c>
      <c r="AD34" s="23">
        <v>37905</v>
      </c>
      <c r="AE34" s="23">
        <v>37905</v>
      </c>
    </row>
    <row r="35" spans="1:31">
      <c r="A35" t="s">
        <v>51</v>
      </c>
      <c r="B35" t="s">
        <v>102</v>
      </c>
      <c r="C35" t="s">
        <v>22</v>
      </c>
      <c r="D35" t="s">
        <v>373</v>
      </c>
      <c r="E35" t="s">
        <v>374</v>
      </c>
      <c r="F35" t="s">
        <v>375</v>
      </c>
      <c r="G35" t="s">
        <v>93</v>
      </c>
      <c r="H35" t="s">
        <v>103</v>
      </c>
      <c r="I35" t="s">
        <v>376</v>
      </c>
      <c r="J35" t="s">
        <v>377</v>
      </c>
      <c r="K35" t="s">
        <v>95</v>
      </c>
      <c r="L35" t="s">
        <v>378</v>
      </c>
      <c r="M35" s="22">
        <v>46001.368055555547</v>
      </c>
      <c r="N35" s="22">
        <v>46003.482638888891</v>
      </c>
      <c r="P35" t="s">
        <v>96</v>
      </c>
      <c r="Q35" t="s">
        <v>96</v>
      </c>
      <c r="R35" t="s">
        <v>114</v>
      </c>
      <c r="S35" t="s">
        <v>115</v>
      </c>
      <c r="U35" t="s">
        <v>728</v>
      </c>
      <c r="V35" t="s">
        <v>98</v>
      </c>
      <c r="W35" t="s">
        <v>379</v>
      </c>
      <c r="X35" t="s">
        <v>99</v>
      </c>
      <c r="Z35" t="s">
        <v>105</v>
      </c>
      <c r="AA35" t="s">
        <v>101</v>
      </c>
      <c r="AB35" t="s">
        <v>380</v>
      </c>
      <c r="AC35" s="23">
        <v>0</v>
      </c>
      <c r="AD35" s="23">
        <v>37905</v>
      </c>
      <c r="AE35" s="23">
        <v>37905</v>
      </c>
    </row>
    <row r="36" spans="1:31">
      <c r="A36" t="s">
        <v>37</v>
      </c>
      <c r="B36" t="s">
        <v>91</v>
      </c>
      <c r="C36" t="s">
        <v>38</v>
      </c>
      <c r="D36" t="s">
        <v>381</v>
      </c>
      <c r="E36" t="s">
        <v>382</v>
      </c>
      <c r="F36" t="s">
        <v>383</v>
      </c>
      <c r="G36" t="s">
        <v>93</v>
      </c>
      <c r="H36" t="s">
        <v>317</v>
      </c>
      <c r="I36" t="s">
        <v>384</v>
      </c>
      <c r="J36" t="s">
        <v>385</v>
      </c>
      <c r="K36" t="s">
        <v>95</v>
      </c>
      <c r="L36" t="s">
        <v>386</v>
      </c>
      <c r="M36" s="22">
        <v>46001.368055555547</v>
      </c>
      <c r="N36" s="22">
        <v>46007.480555555558</v>
      </c>
      <c r="P36" t="s">
        <v>96</v>
      </c>
      <c r="Q36" t="s">
        <v>96</v>
      </c>
      <c r="R36" t="s">
        <v>114</v>
      </c>
      <c r="S36" t="s">
        <v>115</v>
      </c>
      <c r="T36" t="s">
        <v>116</v>
      </c>
      <c r="U36" t="s">
        <v>728</v>
      </c>
      <c r="V36" t="s">
        <v>98</v>
      </c>
      <c r="W36" t="s">
        <v>387</v>
      </c>
      <c r="X36" t="s">
        <v>118</v>
      </c>
      <c r="Y36" t="s">
        <v>388</v>
      </c>
      <c r="Z36" t="s">
        <v>104</v>
      </c>
      <c r="AA36" t="s">
        <v>101</v>
      </c>
      <c r="AB36" t="s">
        <v>321</v>
      </c>
      <c r="AC36" s="23">
        <v>1</v>
      </c>
      <c r="AD36" s="23">
        <v>134411</v>
      </c>
      <c r="AE36" s="23">
        <v>134411</v>
      </c>
    </row>
    <row r="37" spans="1:31">
      <c r="A37" t="s">
        <v>33</v>
      </c>
      <c r="B37" t="s">
        <v>138</v>
      </c>
      <c r="C37" t="s">
        <v>34</v>
      </c>
      <c r="D37" t="s">
        <v>389</v>
      </c>
      <c r="E37" t="s">
        <v>390</v>
      </c>
      <c r="F37" t="s">
        <v>391</v>
      </c>
      <c r="G37" t="s">
        <v>93</v>
      </c>
      <c r="H37" t="s">
        <v>392</v>
      </c>
      <c r="I37" t="s">
        <v>393</v>
      </c>
      <c r="J37" t="s">
        <v>394</v>
      </c>
      <c r="K37" t="s">
        <v>95</v>
      </c>
      <c r="L37" t="s">
        <v>395</v>
      </c>
      <c r="M37" s="22">
        <v>46001.368055555547</v>
      </c>
      <c r="N37" s="22">
        <v>46002.418749999997</v>
      </c>
      <c r="P37" t="s">
        <v>96</v>
      </c>
      <c r="Q37" t="s">
        <v>96</v>
      </c>
      <c r="R37" t="s">
        <v>114</v>
      </c>
      <c r="S37" t="s">
        <v>115</v>
      </c>
      <c r="U37" t="s">
        <v>728</v>
      </c>
      <c r="V37" t="s">
        <v>98</v>
      </c>
      <c r="W37" t="s">
        <v>396</v>
      </c>
      <c r="X37" t="s">
        <v>99</v>
      </c>
      <c r="Z37" t="s">
        <v>193</v>
      </c>
      <c r="AA37" t="s">
        <v>397</v>
      </c>
      <c r="AB37" t="s">
        <v>398</v>
      </c>
      <c r="AC37" s="23">
        <v>0</v>
      </c>
      <c r="AD37" s="23">
        <v>37905</v>
      </c>
      <c r="AE37" s="23">
        <v>37905</v>
      </c>
    </row>
    <row r="38" spans="1:31">
      <c r="A38" t="s">
        <v>37</v>
      </c>
      <c r="B38" t="s">
        <v>91</v>
      </c>
      <c r="C38" t="s">
        <v>38</v>
      </c>
      <c r="D38" t="s">
        <v>399</v>
      </c>
      <c r="E38" t="s">
        <v>400</v>
      </c>
      <c r="F38" t="s">
        <v>401</v>
      </c>
      <c r="G38" t="s">
        <v>93</v>
      </c>
      <c r="H38" t="s">
        <v>402</v>
      </c>
      <c r="I38" t="s">
        <v>56</v>
      </c>
      <c r="J38" t="s">
        <v>403</v>
      </c>
      <c r="K38" t="s">
        <v>95</v>
      </c>
      <c r="L38" t="s">
        <v>404</v>
      </c>
      <c r="M38" s="22">
        <v>46001.368055555547</v>
      </c>
      <c r="N38" s="22">
        <v>46008.306250000001</v>
      </c>
      <c r="P38" t="s">
        <v>96</v>
      </c>
      <c r="Q38" t="s">
        <v>96</v>
      </c>
      <c r="R38" t="s">
        <v>114</v>
      </c>
      <c r="S38" t="s">
        <v>115</v>
      </c>
      <c r="U38" t="s">
        <v>728</v>
      </c>
      <c r="V38" t="s">
        <v>98</v>
      </c>
      <c r="W38" t="s">
        <v>405</v>
      </c>
      <c r="X38" t="s">
        <v>99</v>
      </c>
      <c r="Z38" t="s">
        <v>120</v>
      </c>
      <c r="AA38" t="s">
        <v>101</v>
      </c>
      <c r="AB38" t="s">
        <v>252</v>
      </c>
      <c r="AC38" s="23">
        <v>0</v>
      </c>
      <c r="AD38" s="23">
        <v>37905</v>
      </c>
      <c r="AE38" s="23">
        <v>37905</v>
      </c>
    </row>
    <row r="39" spans="1:31">
      <c r="A39" t="s">
        <v>52</v>
      </c>
      <c r="B39" t="s">
        <v>107</v>
      </c>
      <c r="C39" t="s">
        <v>26</v>
      </c>
      <c r="D39" t="s">
        <v>221</v>
      </c>
      <c r="E39" t="s">
        <v>406</v>
      </c>
      <c r="F39" t="s">
        <v>407</v>
      </c>
      <c r="G39" t="s">
        <v>93</v>
      </c>
      <c r="H39" t="s">
        <v>160</v>
      </c>
      <c r="I39" t="s">
        <v>52</v>
      </c>
      <c r="J39" t="s">
        <v>408</v>
      </c>
      <c r="K39" t="s">
        <v>95</v>
      </c>
      <c r="L39" t="s">
        <v>409</v>
      </c>
      <c r="M39" s="22">
        <v>46001.368055555547</v>
      </c>
      <c r="N39" s="22">
        <v>46002.48541666667</v>
      </c>
      <c r="P39" t="s">
        <v>96</v>
      </c>
      <c r="Q39" t="s">
        <v>96</v>
      </c>
      <c r="R39" t="s">
        <v>114</v>
      </c>
      <c r="S39" t="s">
        <v>115</v>
      </c>
      <c r="T39" t="s">
        <v>410</v>
      </c>
      <c r="U39" t="s">
        <v>730</v>
      </c>
      <c r="V39" t="s">
        <v>411</v>
      </c>
      <c r="W39" t="s">
        <v>412</v>
      </c>
      <c r="X39" t="s">
        <v>118</v>
      </c>
      <c r="Y39" t="s">
        <v>413</v>
      </c>
      <c r="Z39" t="s">
        <v>100</v>
      </c>
      <c r="AA39" t="s">
        <v>101</v>
      </c>
      <c r="AB39" t="s">
        <v>414</v>
      </c>
      <c r="AC39" s="23">
        <v>1</v>
      </c>
      <c r="AD39" s="23">
        <v>44560</v>
      </c>
      <c r="AE39" s="23">
        <v>44560</v>
      </c>
    </row>
    <row r="40" spans="1:31">
      <c r="A40" t="s">
        <v>54</v>
      </c>
      <c r="B40" t="s">
        <v>91</v>
      </c>
      <c r="C40" t="s">
        <v>38</v>
      </c>
      <c r="D40" t="s">
        <v>92</v>
      </c>
      <c r="E40" t="s">
        <v>415</v>
      </c>
      <c r="F40" t="s">
        <v>416</v>
      </c>
      <c r="G40" t="s">
        <v>93</v>
      </c>
      <c r="H40" t="s">
        <v>94</v>
      </c>
      <c r="I40" t="s">
        <v>54</v>
      </c>
      <c r="J40" t="s">
        <v>417</v>
      </c>
      <c r="K40" t="s">
        <v>95</v>
      </c>
      <c r="L40" t="s">
        <v>418</v>
      </c>
      <c r="M40" s="22">
        <v>46001.368055555547</v>
      </c>
      <c r="N40" s="22">
        <v>46003.692361111112</v>
      </c>
      <c r="P40" t="s">
        <v>96</v>
      </c>
      <c r="Q40" t="s">
        <v>96</v>
      </c>
      <c r="R40" t="s">
        <v>114</v>
      </c>
      <c r="S40" t="s">
        <v>115</v>
      </c>
      <c r="T40" t="s">
        <v>116</v>
      </c>
      <c r="U40" t="s">
        <v>729</v>
      </c>
      <c r="V40" t="s">
        <v>126</v>
      </c>
      <c r="W40" t="s">
        <v>419</v>
      </c>
      <c r="X40" t="s">
        <v>118</v>
      </c>
      <c r="Y40" t="s">
        <v>420</v>
      </c>
      <c r="Z40" t="s">
        <v>100</v>
      </c>
      <c r="AA40" t="s">
        <v>101</v>
      </c>
      <c r="AB40" t="s">
        <v>106</v>
      </c>
      <c r="AC40" s="23">
        <v>1</v>
      </c>
      <c r="AD40" s="23">
        <v>44560</v>
      </c>
      <c r="AE40" s="23">
        <v>44560</v>
      </c>
    </row>
    <row r="41" spans="1:31">
      <c r="A41" t="s">
        <v>37</v>
      </c>
      <c r="B41" t="s">
        <v>91</v>
      </c>
      <c r="C41" t="s">
        <v>38</v>
      </c>
      <c r="D41" t="s">
        <v>314</v>
      </c>
      <c r="E41" t="s">
        <v>421</v>
      </c>
      <c r="F41" t="s">
        <v>422</v>
      </c>
      <c r="G41" t="s">
        <v>93</v>
      </c>
      <c r="H41" t="s">
        <v>317</v>
      </c>
      <c r="I41" t="s">
        <v>37</v>
      </c>
      <c r="J41" t="s">
        <v>423</v>
      </c>
      <c r="K41" t="s">
        <v>95</v>
      </c>
      <c r="L41" t="s">
        <v>424</v>
      </c>
      <c r="M41" s="22">
        <v>46001.368055555547</v>
      </c>
      <c r="N41" s="22">
        <v>46008.304861111108</v>
      </c>
      <c r="P41" t="s">
        <v>96</v>
      </c>
      <c r="Q41" t="s">
        <v>96</v>
      </c>
      <c r="R41" t="s">
        <v>114</v>
      </c>
      <c r="S41" t="s">
        <v>295</v>
      </c>
      <c r="T41" t="s">
        <v>116</v>
      </c>
      <c r="U41" t="s">
        <v>728</v>
      </c>
      <c r="V41" t="s">
        <v>98</v>
      </c>
      <c r="W41" t="s">
        <v>425</v>
      </c>
      <c r="X41" t="s">
        <v>118</v>
      </c>
      <c r="Y41" t="s">
        <v>426</v>
      </c>
      <c r="Z41" t="s">
        <v>100</v>
      </c>
      <c r="AA41" t="s">
        <v>101</v>
      </c>
      <c r="AB41" t="s">
        <v>427</v>
      </c>
      <c r="AC41" s="23">
        <v>1</v>
      </c>
      <c r="AD41" s="23">
        <v>44560</v>
      </c>
      <c r="AE41" s="23">
        <v>44560</v>
      </c>
    </row>
    <row r="42" spans="1:31">
      <c r="A42" t="s">
        <v>60</v>
      </c>
      <c r="B42" t="s">
        <v>107</v>
      </c>
      <c r="C42" t="s">
        <v>26</v>
      </c>
      <c r="D42" t="s">
        <v>428</v>
      </c>
      <c r="E42" t="s">
        <v>429</v>
      </c>
      <c r="F42" t="s">
        <v>430</v>
      </c>
      <c r="G42" t="s">
        <v>93</v>
      </c>
      <c r="H42" t="s">
        <v>431</v>
      </c>
      <c r="I42" t="s">
        <v>60</v>
      </c>
      <c r="J42" t="s">
        <v>432</v>
      </c>
      <c r="K42" t="s">
        <v>95</v>
      </c>
      <c r="L42" t="s">
        <v>433</v>
      </c>
      <c r="M42" s="22">
        <v>46001.535416666673</v>
      </c>
      <c r="N42" s="22">
        <v>46008.429861111108</v>
      </c>
      <c r="P42" t="s">
        <v>96</v>
      </c>
      <c r="Q42" t="s">
        <v>96</v>
      </c>
      <c r="R42" t="s">
        <v>97</v>
      </c>
      <c r="S42" t="s">
        <v>97</v>
      </c>
      <c r="T42" t="s">
        <v>410</v>
      </c>
      <c r="U42" t="s">
        <v>730</v>
      </c>
      <c r="V42" t="s">
        <v>411</v>
      </c>
      <c r="W42" t="s">
        <v>434</v>
      </c>
      <c r="X42" t="s">
        <v>118</v>
      </c>
      <c r="Y42" t="s">
        <v>435</v>
      </c>
      <c r="Z42" t="s">
        <v>100</v>
      </c>
      <c r="AA42" t="s">
        <v>101</v>
      </c>
      <c r="AB42" t="s">
        <v>436</v>
      </c>
      <c r="AC42" s="23">
        <v>1</v>
      </c>
      <c r="AD42" s="23">
        <v>44560</v>
      </c>
      <c r="AE42" s="23">
        <v>44560</v>
      </c>
    </row>
    <row r="43" spans="1:31">
      <c r="A43" t="s">
        <v>41</v>
      </c>
      <c r="B43" t="s">
        <v>107</v>
      </c>
      <c r="C43" t="s">
        <v>26</v>
      </c>
      <c r="D43" t="s">
        <v>437</v>
      </c>
      <c r="E43" t="s">
        <v>438</v>
      </c>
      <c r="F43" t="s">
        <v>439</v>
      </c>
      <c r="G43" t="s">
        <v>93</v>
      </c>
      <c r="H43" t="s">
        <v>392</v>
      </c>
      <c r="I43" t="s">
        <v>41</v>
      </c>
      <c r="J43" t="s">
        <v>440</v>
      </c>
      <c r="K43" t="s">
        <v>95</v>
      </c>
      <c r="L43" t="s">
        <v>441</v>
      </c>
      <c r="M43" s="22">
        <v>46002.673611111109</v>
      </c>
      <c r="N43" s="22">
        <v>46009.611805555563</v>
      </c>
      <c r="P43" t="s">
        <v>96</v>
      </c>
      <c r="Q43" t="s">
        <v>96</v>
      </c>
      <c r="R43" t="s">
        <v>97</v>
      </c>
      <c r="S43" t="s">
        <v>97</v>
      </c>
      <c r="T43" t="s">
        <v>116</v>
      </c>
      <c r="U43" t="s">
        <v>729</v>
      </c>
      <c r="V43" t="s">
        <v>126</v>
      </c>
      <c r="W43" t="s">
        <v>442</v>
      </c>
      <c r="X43" t="s">
        <v>118</v>
      </c>
      <c r="Y43" t="s">
        <v>183</v>
      </c>
      <c r="Z43" t="s">
        <v>100</v>
      </c>
      <c r="AA43" t="s">
        <v>101</v>
      </c>
      <c r="AB43" t="s">
        <v>443</v>
      </c>
      <c r="AC43" s="23">
        <v>2</v>
      </c>
      <c r="AD43" s="23">
        <v>44560</v>
      </c>
      <c r="AE43" s="23">
        <v>89120</v>
      </c>
    </row>
    <row r="44" spans="1:31">
      <c r="A44" t="s">
        <v>59</v>
      </c>
      <c r="B44" t="s">
        <v>138</v>
      </c>
      <c r="C44" t="s">
        <v>34</v>
      </c>
      <c r="D44" t="s">
        <v>444</v>
      </c>
      <c r="E44" t="s">
        <v>445</v>
      </c>
      <c r="F44" t="s">
        <v>446</v>
      </c>
      <c r="G44" t="s">
        <v>93</v>
      </c>
      <c r="H44" t="s">
        <v>447</v>
      </c>
      <c r="I44" t="s">
        <v>59</v>
      </c>
      <c r="J44" t="s">
        <v>448</v>
      </c>
      <c r="K44" t="s">
        <v>95</v>
      </c>
      <c r="L44" t="s">
        <v>449</v>
      </c>
      <c r="M44" s="22">
        <v>46002.673611111109</v>
      </c>
      <c r="N44" s="22">
        <v>46006.5625</v>
      </c>
      <c r="P44" t="s">
        <v>96</v>
      </c>
      <c r="Q44" t="s">
        <v>96</v>
      </c>
      <c r="R44" t="s">
        <v>164</v>
      </c>
      <c r="S44" t="s">
        <v>164</v>
      </c>
      <c r="T44" t="s">
        <v>116</v>
      </c>
      <c r="U44" t="s">
        <v>729</v>
      </c>
      <c r="V44" t="s">
        <v>126</v>
      </c>
      <c r="W44" t="s">
        <v>450</v>
      </c>
      <c r="X44" t="s">
        <v>118</v>
      </c>
      <c r="Z44" t="s">
        <v>100</v>
      </c>
      <c r="AA44" t="s">
        <v>101</v>
      </c>
      <c r="AB44" t="s">
        <v>451</v>
      </c>
      <c r="AC44" s="23">
        <v>1</v>
      </c>
      <c r="AD44" s="23">
        <v>44560</v>
      </c>
      <c r="AE44" s="23">
        <v>44560</v>
      </c>
    </row>
    <row r="45" spans="1:31">
      <c r="A45" t="s">
        <v>59</v>
      </c>
      <c r="B45" t="s">
        <v>138</v>
      </c>
      <c r="C45" t="s">
        <v>34</v>
      </c>
      <c r="D45" t="s">
        <v>452</v>
      </c>
      <c r="E45" t="s">
        <v>453</v>
      </c>
      <c r="F45" t="s">
        <v>454</v>
      </c>
      <c r="G45" t="s">
        <v>93</v>
      </c>
      <c r="H45" t="s">
        <v>447</v>
      </c>
      <c r="I45" t="s">
        <v>455</v>
      </c>
      <c r="J45" t="s">
        <v>456</v>
      </c>
      <c r="K45" t="s">
        <v>95</v>
      </c>
      <c r="L45" t="s">
        <v>457</v>
      </c>
      <c r="M45" s="22">
        <v>46002.673611111109</v>
      </c>
      <c r="N45" s="22">
        <v>46009.581250000003</v>
      </c>
      <c r="P45" t="s">
        <v>96</v>
      </c>
      <c r="Q45" t="s">
        <v>96</v>
      </c>
      <c r="R45" t="s">
        <v>164</v>
      </c>
      <c r="S45" t="s">
        <v>97</v>
      </c>
      <c r="U45" t="s">
        <v>728</v>
      </c>
      <c r="V45" t="s">
        <v>98</v>
      </c>
      <c r="W45" t="s">
        <v>458</v>
      </c>
      <c r="X45" t="s">
        <v>99</v>
      </c>
      <c r="Z45" t="s">
        <v>120</v>
      </c>
      <c r="AA45" t="s">
        <v>101</v>
      </c>
      <c r="AB45" t="s">
        <v>459</v>
      </c>
      <c r="AC45" s="23">
        <v>0</v>
      </c>
      <c r="AD45" s="23">
        <v>37905</v>
      </c>
      <c r="AE45" s="23">
        <v>37905</v>
      </c>
    </row>
    <row r="46" spans="1:31">
      <c r="A46" t="s">
        <v>29</v>
      </c>
      <c r="B46" t="s">
        <v>147</v>
      </c>
      <c r="C46" t="s">
        <v>30</v>
      </c>
      <c r="D46" t="s">
        <v>460</v>
      </c>
      <c r="E46" t="s">
        <v>461</v>
      </c>
      <c r="F46" t="s">
        <v>462</v>
      </c>
      <c r="G46" t="s">
        <v>93</v>
      </c>
      <c r="H46" t="s">
        <v>147</v>
      </c>
      <c r="I46" t="s">
        <v>463</v>
      </c>
      <c r="J46" t="s">
        <v>464</v>
      </c>
      <c r="K46" t="s">
        <v>95</v>
      </c>
      <c r="L46" t="s">
        <v>465</v>
      </c>
      <c r="M46" s="22">
        <v>46002.673611111109</v>
      </c>
      <c r="N46" s="22">
        <v>46004.406944444447</v>
      </c>
      <c r="P46" t="s">
        <v>96</v>
      </c>
      <c r="Q46" t="s">
        <v>96</v>
      </c>
      <c r="R46" t="s">
        <v>97</v>
      </c>
      <c r="S46" t="s">
        <v>97</v>
      </c>
      <c r="T46" t="s">
        <v>116</v>
      </c>
      <c r="U46" t="s">
        <v>729</v>
      </c>
      <c r="V46" t="s">
        <v>126</v>
      </c>
      <c r="W46" t="s">
        <v>466</v>
      </c>
      <c r="X46" t="s">
        <v>118</v>
      </c>
      <c r="Z46" t="s">
        <v>104</v>
      </c>
      <c r="AA46" t="s">
        <v>101</v>
      </c>
      <c r="AB46" t="s">
        <v>467</v>
      </c>
      <c r="AC46" s="23">
        <v>1</v>
      </c>
      <c r="AD46" s="23">
        <v>134411</v>
      </c>
      <c r="AE46" s="23">
        <v>134411</v>
      </c>
    </row>
    <row r="47" spans="1:31">
      <c r="A47" t="s">
        <v>29</v>
      </c>
      <c r="B47" t="s">
        <v>147</v>
      </c>
      <c r="C47" t="s">
        <v>30</v>
      </c>
      <c r="D47" t="s">
        <v>468</v>
      </c>
      <c r="E47" t="s">
        <v>469</v>
      </c>
      <c r="F47" t="s">
        <v>470</v>
      </c>
      <c r="G47" t="s">
        <v>93</v>
      </c>
      <c r="H47" t="s">
        <v>147</v>
      </c>
      <c r="I47" t="s">
        <v>471</v>
      </c>
      <c r="J47" t="s">
        <v>472</v>
      </c>
      <c r="K47" t="s">
        <v>95</v>
      </c>
      <c r="L47" t="s">
        <v>473</v>
      </c>
      <c r="M47" s="22">
        <v>46002.673611111109</v>
      </c>
      <c r="N47" s="22">
        <v>46006.652083333327</v>
      </c>
      <c r="P47" t="s">
        <v>96</v>
      </c>
      <c r="Q47" t="s">
        <v>96</v>
      </c>
      <c r="R47" t="s">
        <v>164</v>
      </c>
      <c r="S47" t="s">
        <v>164</v>
      </c>
      <c r="T47" t="s">
        <v>116</v>
      </c>
      <c r="U47" t="s">
        <v>728</v>
      </c>
      <c r="V47" t="s">
        <v>98</v>
      </c>
      <c r="W47" t="s">
        <v>474</v>
      </c>
      <c r="X47" t="s">
        <v>118</v>
      </c>
      <c r="Y47" t="s">
        <v>183</v>
      </c>
      <c r="Z47" t="s">
        <v>100</v>
      </c>
      <c r="AA47" t="s">
        <v>101</v>
      </c>
      <c r="AB47" t="s">
        <v>475</v>
      </c>
      <c r="AC47" s="23">
        <v>1</v>
      </c>
      <c r="AD47" s="23">
        <v>44560</v>
      </c>
      <c r="AE47" s="23">
        <v>44560</v>
      </c>
    </row>
    <row r="48" spans="1:31">
      <c r="A48" t="s">
        <v>61</v>
      </c>
      <c r="B48" t="s">
        <v>210</v>
      </c>
      <c r="C48" t="s">
        <v>44</v>
      </c>
      <c r="D48" t="s">
        <v>476</v>
      </c>
      <c r="E48" t="s">
        <v>477</v>
      </c>
      <c r="F48" t="s">
        <v>478</v>
      </c>
      <c r="G48" t="s">
        <v>93</v>
      </c>
      <c r="H48" t="s">
        <v>479</v>
      </c>
      <c r="I48" t="s">
        <v>480</v>
      </c>
      <c r="J48" t="s">
        <v>481</v>
      </c>
      <c r="K48" t="s">
        <v>95</v>
      </c>
      <c r="L48" t="s">
        <v>482</v>
      </c>
      <c r="M48" s="22">
        <v>46002.673611111109</v>
      </c>
      <c r="N48" s="22">
        <v>46009.661805555559</v>
      </c>
      <c r="P48" t="s">
        <v>96</v>
      </c>
      <c r="Q48" t="s">
        <v>96</v>
      </c>
      <c r="R48" t="s">
        <v>164</v>
      </c>
      <c r="S48" t="s">
        <v>97</v>
      </c>
      <c r="U48" t="s">
        <v>728</v>
      </c>
      <c r="V48" t="s">
        <v>98</v>
      </c>
      <c r="W48" t="s">
        <v>483</v>
      </c>
      <c r="X48" t="s">
        <v>99</v>
      </c>
      <c r="Z48" t="s">
        <v>105</v>
      </c>
      <c r="AA48" t="s">
        <v>101</v>
      </c>
      <c r="AB48" t="s">
        <v>484</v>
      </c>
      <c r="AC48" s="23">
        <v>0</v>
      </c>
      <c r="AD48" s="23">
        <v>37905</v>
      </c>
      <c r="AE48" s="23">
        <v>37905</v>
      </c>
    </row>
    <row r="49" spans="1:31">
      <c r="A49" t="s">
        <v>47</v>
      </c>
      <c r="B49" t="s">
        <v>210</v>
      </c>
      <c r="C49" t="s">
        <v>44</v>
      </c>
      <c r="D49" t="s">
        <v>485</v>
      </c>
      <c r="E49" t="s">
        <v>486</v>
      </c>
      <c r="F49" t="s">
        <v>487</v>
      </c>
      <c r="G49" t="s">
        <v>93</v>
      </c>
      <c r="H49" t="s">
        <v>488</v>
      </c>
      <c r="I49" t="s">
        <v>47</v>
      </c>
      <c r="J49" t="s">
        <v>489</v>
      </c>
      <c r="K49" t="s">
        <v>95</v>
      </c>
      <c r="L49" t="s">
        <v>490</v>
      </c>
      <c r="M49" s="22">
        <v>46002.673611111109</v>
      </c>
      <c r="N49" s="22">
        <v>46008.695138888892</v>
      </c>
      <c r="P49" t="s">
        <v>96</v>
      </c>
      <c r="Q49" t="s">
        <v>96</v>
      </c>
      <c r="R49" t="s">
        <v>164</v>
      </c>
      <c r="S49" t="s">
        <v>164</v>
      </c>
      <c r="T49" t="s">
        <v>116</v>
      </c>
      <c r="U49" t="s">
        <v>728</v>
      </c>
      <c r="V49" t="s">
        <v>98</v>
      </c>
      <c r="W49" t="s">
        <v>491</v>
      </c>
      <c r="X49" t="s">
        <v>118</v>
      </c>
      <c r="Z49" t="s">
        <v>100</v>
      </c>
      <c r="AA49" t="s">
        <v>101</v>
      </c>
      <c r="AB49" t="s">
        <v>492</v>
      </c>
      <c r="AC49" s="23">
        <v>1</v>
      </c>
      <c r="AD49" s="23">
        <v>44560</v>
      </c>
      <c r="AE49" s="23">
        <v>44560</v>
      </c>
    </row>
    <row r="50" spans="1:31">
      <c r="A50" t="s">
        <v>37</v>
      </c>
      <c r="B50" t="s">
        <v>91</v>
      </c>
      <c r="C50" t="s">
        <v>38</v>
      </c>
      <c r="D50" t="s">
        <v>314</v>
      </c>
      <c r="E50" t="s">
        <v>493</v>
      </c>
      <c r="F50" t="s">
        <v>494</v>
      </c>
      <c r="G50" t="s">
        <v>93</v>
      </c>
      <c r="H50" t="s">
        <v>317</v>
      </c>
      <c r="I50" t="s">
        <v>37</v>
      </c>
      <c r="J50" t="s">
        <v>495</v>
      </c>
      <c r="K50" t="s">
        <v>95</v>
      </c>
      <c r="L50" t="s">
        <v>496</v>
      </c>
      <c r="M50" s="22">
        <v>46002.673611111109</v>
      </c>
      <c r="N50" s="22">
        <v>46003.613888888889</v>
      </c>
      <c r="P50" t="s">
        <v>96</v>
      </c>
      <c r="Q50" t="s">
        <v>96</v>
      </c>
      <c r="R50" t="s">
        <v>97</v>
      </c>
      <c r="S50" t="s">
        <v>97</v>
      </c>
      <c r="T50" t="s">
        <v>165</v>
      </c>
      <c r="U50" t="s">
        <v>728</v>
      </c>
      <c r="V50" t="s">
        <v>98</v>
      </c>
      <c r="W50" t="s">
        <v>497</v>
      </c>
      <c r="X50" t="s">
        <v>118</v>
      </c>
      <c r="Y50" t="s">
        <v>388</v>
      </c>
      <c r="Z50" t="s">
        <v>100</v>
      </c>
      <c r="AA50" t="s">
        <v>101</v>
      </c>
      <c r="AB50" t="s">
        <v>321</v>
      </c>
      <c r="AC50" s="23">
        <v>1</v>
      </c>
      <c r="AD50" s="23">
        <v>44560</v>
      </c>
      <c r="AE50" s="23">
        <v>44560</v>
      </c>
    </row>
    <row r="51" spans="1:31">
      <c r="A51" t="s">
        <v>62</v>
      </c>
      <c r="B51" t="s">
        <v>210</v>
      </c>
      <c r="C51" t="s">
        <v>44</v>
      </c>
      <c r="D51" t="s">
        <v>498</v>
      </c>
      <c r="E51" t="s">
        <v>499</v>
      </c>
      <c r="F51" t="s">
        <v>500</v>
      </c>
      <c r="G51" t="s">
        <v>93</v>
      </c>
      <c r="H51" t="s">
        <v>501</v>
      </c>
      <c r="I51" t="s">
        <v>502</v>
      </c>
      <c r="J51" t="s">
        <v>503</v>
      </c>
      <c r="K51" t="s">
        <v>95</v>
      </c>
      <c r="L51" t="s">
        <v>504</v>
      </c>
      <c r="M51" s="22">
        <v>46002.673611111109</v>
      </c>
      <c r="N51" s="22">
        <v>46010.706250000003</v>
      </c>
      <c r="P51" t="s">
        <v>96</v>
      </c>
      <c r="Q51" t="s">
        <v>96</v>
      </c>
      <c r="R51" t="s">
        <v>97</v>
      </c>
      <c r="S51" t="s">
        <v>97</v>
      </c>
      <c r="T51" t="s">
        <v>116</v>
      </c>
      <c r="U51" t="s">
        <v>729</v>
      </c>
      <c r="V51" t="s">
        <v>126</v>
      </c>
      <c r="W51" t="s">
        <v>505</v>
      </c>
      <c r="X51" t="s">
        <v>118</v>
      </c>
      <c r="Z51" t="s">
        <v>104</v>
      </c>
      <c r="AA51" t="s">
        <v>101</v>
      </c>
      <c r="AB51" t="s">
        <v>506</v>
      </c>
      <c r="AC51" s="23">
        <v>1</v>
      </c>
      <c r="AD51" s="23">
        <v>134411</v>
      </c>
      <c r="AE51" s="23">
        <v>134411</v>
      </c>
    </row>
    <row r="52" spans="1:31">
      <c r="A52" t="s">
        <v>29</v>
      </c>
      <c r="B52" t="s">
        <v>147</v>
      </c>
      <c r="C52" t="s">
        <v>30</v>
      </c>
      <c r="D52" t="s">
        <v>507</v>
      </c>
      <c r="E52" t="s">
        <v>508</v>
      </c>
      <c r="F52" t="s">
        <v>509</v>
      </c>
      <c r="G52" t="s">
        <v>93</v>
      </c>
      <c r="H52" t="s">
        <v>147</v>
      </c>
      <c r="I52" t="s">
        <v>510</v>
      </c>
      <c r="J52" t="s">
        <v>511</v>
      </c>
      <c r="K52" t="s">
        <v>95</v>
      </c>
      <c r="L52" t="s">
        <v>512</v>
      </c>
      <c r="M52" s="22">
        <v>46007.333333333343</v>
      </c>
      <c r="N52" s="22">
        <v>46013.560416666667</v>
      </c>
      <c r="P52" t="s">
        <v>96</v>
      </c>
      <c r="Q52" t="s">
        <v>96</v>
      </c>
      <c r="R52" t="s">
        <v>164</v>
      </c>
      <c r="S52" t="s">
        <v>164</v>
      </c>
      <c r="T52" t="s">
        <v>116</v>
      </c>
      <c r="U52" t="s">
        <v>729</v>
      </c>
      <c r="V52" t="s">
        <v>126</v>
      </c>
      <c r="W52" t="s">
        <v>513</v>
      </c>
      <c r="X52" t="s">
        <v>118</v>
      </c>
      <c r="Y52" t="s">
        <v>155</v>
      </c>
      <c r="Z52" t="s">
        <v>104</v>
      </c>
      <c r="AA52" t="s">
        <v>101</v>
      </c>
      <c r="AB52" t="s">
        <v>156</v>
      </c>
      <c r="AC52" s="23">
        <v>2</v>
      </c>
      <c r="AD52" s="23">
        <v>134411</v>
      </c>
      <c r="AE52" s="23">
        <v>268822</v>
      </c>
    </row>
    <row r="53" spans="1:31">
      <c r="A53" t="s">
        <v>54</v>
      </c>
      <c r="B53" t="s">
        <v>91</v>
      </c>
      <c r="C53" t="s">
        <v>38</v>
      </c>
      <c r="D53" t="s">
        <v>514</v>
      </c>
      <c r="E53" t="s">
        <v>515</v>
      </c>
      <c r="F53" t="s">
        <v>516</v>
      </c>
      <c r="G53" t="s">
        <v>93</v>
      </c>
      <c r="H53" t="s">
        <v>94</v>
      </c>
      <c r="I53" t="s">
        <v>517</v>
      </c>
      <c r="J53" t="s">
        <v>518</v>
      </c>
      <c r="K53" t="s">
        <v>95</v>
      </c>
      <c r="L53" t="s">
        <v>519</v>
      </c>
      <c r="M53" s="22">
        <v>46007.333333333343</v>
      </c>
      <c r="N53" s="22">
        <v>46013.6875</v>
      </c>
      <c r="P53" t="s">
        <v>96</v>
      </c>
      <c r="Q53" t="s">
        <v>250</v>
      </c>
      <c r="R53" t="s">
        <v>164</v>
      </c>
      <c r="S53" t="s">
        <v>97</v>
      </c>
      <c r="U53" t="s">
        <v>728</v>
      </c>
      <c r="V53" t="s">
        <v>98</v>
      </c>
      <c r="W53" t="s">
        <v>520</v>
      </c>
      <c r="X53" t="s">
        <v>99</v>
      </c>
      <c r="Z53" t="s">
        <v>104</v>
      </c>
      <c r="AA53" t="s">
        <v>101</v>
      </c>
      <c r="AB53" t="s">
        <v>106</v>
      </c>
      <c r="AC53" s="23">
        <v>0</v>
      </c>
      <c r="AD53" s="23">
        <v>37905</v>
      </c>
      <c r="AE53" s="23">
        <v>37905</v>
      </c>
    </row>
    <row r="54" spans="1:31">
      <c r="A54" t="s">
        <v>48</v>
      </c>
      <c r="B54" t="s">
        <v>91</v>
      </c>
      <c r="C54" t="s">
        <v>49</v>
      </c>
      <c r="D54" t="s">
        <v>521</v>
      </c>
      <c r="E54" t="s">
        <v>522</v>
      </c>
      <c r="F54" t="s">
        <v>523</v>
      </c>
      <c r="G54" t="s">
        <v>93</v>
      </c>
      <c r="H54" t="s">
        <v>524</v>
      </c>
      <c r="I54" t="s">
        <v>525</v>
      </c>
      <c r="J54" t="s">
        <v>526</v>
      </c>
      <c r="K54" t="s">
        <v>95</v>
      </c>
      <c r="L54" t="s">
        <v>527</v>
      </c>
      <c r="M54" s="22">
        <v>46007.333333333343</v>
      </c>
      <c r="N54" s="22">
        <v>46013.767361111109</v>
      </c>
      <c r="P54" t="s">
        <v>96</v>
      </c>
      <c r="Q54" t="s">
        <v>96</v>
      </c>
      <c r="R54" t="s">
        <v>164</v>
      </c>
      <c r="S54" t="s">
        <v>97</v>
      </c>
      <c r="U54" t="s">
        <v>728</v>
      </c>
      <c r="V54" t="s">
        <v>98</v>
      </c>
      <c r="W54" t="s">
        <v>528</v>
      </c>
      <c r="X54" t="s">
        <v>99</v>
      </c>
      <c r="Z54" t="s">
        <v>120</v>
      </c>
      <c r="AA54" t="s">
        <v>101</v>
      </c>
      <c r="AB54" t="s">
        <v>252</v>
      </c>
      <c r="AC54" s="23">
        <v>0</v>
      </c>
      <c r="AD54" s="23">
        <v>37905</v>
      </c>
      <c r="AE54" s="23">
        <v>37905</v>
      </c>
    </row>
    <row r="55" spans="1:31">
      <c r="A55" t="s">
        <v>51</v>
      </c>
      <c r="B55" t="s">
        <v>102</v>
      </c>
      <c r="C55" t="s">
        <v>22</v>
      </c>
      <c r="D55" t="s">
        <v>529</v>
      </c>
      <c r="E55" t="s">
        <v>530</v>
      </c>
      <c r="F55" t="s">
        <v>531</v>
      </c>
      <c r="G55" t="s">
        <v>93</v>
      </c>
      <c r="H55" t="s">
        <v>103</v>
      </c>
      <c r="I55" t="s">
        <v>51</v>
      </c>
      <c r="J55" t="s">
        <v>532</v>
      </c>
      <c r="K55" t="s">
        <v>95</v>
      </c>
      <c r="L55" t="s">
        <v>533</v>
      </c>
      <c r="M55" s="22">
        <v>46007.333333333343</v>
      </c>
      <c r="N55" s="22">
        <v>46008.427777777782</v>
      </c>
      <c r="P55" t="s">
        <v>96</v>
      </c>
      <c r="Q55" t="s">
        <v>96</v>
      </c>
      <c r="R55" t="s">
        <v>114</v>
      </c>
      <c r="S55" t="s">
        <v>295</v>
      </c>
      <c r="T55" t="s">
        <v>116</v>
      </c>
      <c r="U55" t="s">
        <v>728</v>
      </c>
      <c r="V55" t="s">
        <v>98</v>
      </c>
      <c r="W55" t="s">
        <v>534</v>
      </c>
      <c r="X55" t="s">
        <v>118</v>
      </c>
      <c r="Y55" t="s">
        <v>535</v>
      </c>
      <c r="Z55" t="s">
        <v>100</v>
      </c>
      <c r="AA55" t="s">
        <v>101</v>
      </c>
      <c r="AB55" t="s">
        <v>536</v>
      </c>
      <c r="AC55" s="23">
        <v>1</v>
      </c>
      <c r="AD55" s="23">
        <v>44560</v>
      </c>
      <c r="AE55" s="23">
        <v>44560</v>
      </c>
    </row>
    <row r="56" spans="1:31">
      <c r="A56" t="s">
        <v>33</v>
      </c>
      <c r="B56" t="s">
        <v>138</v>
      </c>
      <c r="C56" t="s">
        <v>34</v>
      </c>
      <c r="D56" t="s">
        <v>537</v>
      </c>
      <c r="E56" t="s">
        <v>538</v>
      </c>
      <c r="F56" t="s">
        <v>539</v>
      </c>
      <c r="G56" t="s">
        <v>93</v>
      </c>
      <c r="H56" t="s">
        <v>300</v>
      </c>
      <c r="I56" t="s">
        <v>540</v>
      </c>
      <c r="J56" t="s">
        <v>541</v>
      </c>
      <c r="K56" t="s">
        <v>95</v>
      </c>
      <c r="L56" t="s">
        <v>542</v>
      </c>
      <c r="M56" s="22">
        <v>46007.333333333343</v>
      </c>
      <c r="N56" s="22">
        <v>46008.738194444442</v>
      </c>
      <c r="P56" t="s">
        <v>96</v>
      </c>
      <c r="Q56" t="s">
        <v>96</v>
      </c>
      <c r="R56" t="s">
        <v>114</v>
      </c>
      <c r="S56" t="s">
        <v>295</v>
      </c>
      <c r="T56" t="s">
        <v>116</v>
      </c>
      <c r="U56" t="s">
        <v>728</v>
      </c>
      <c r="V56" t="s">
        <v>98</v>
      </c>
      <c r="W56" t="s">
        <v>543</v>
      </c>
      <c r="X56" t="s">
        <v>118</v>
      </c>
      <c r="Y56" t="s">
        <v>544</v>
      </c>
      <c r="Z56" t="s">
        <v>120</v>
      </c>
      <c r="AA56" t="s">
        <v>101</v>
      </c>
      <c r="AB56" t="s">
        <v>545</v>
      </c>
      <c r="AC56" s="23">
        <v>1</v>
      </c>
      <c r="AD56" s="23">
        <v>222904</v>
      </c>
      <c r="AE56" s="23">
        <v>222904</v>
      </c>
    </row>
    <row r="57" spans="1:31">
      <c r="A57" t="s">
        <v>47</v>
      </c>
      <c r="B57" t="s">
        <v>210</v>
      </c>
      <c r="C57" t="s">
        <v>44</v>
      </c>
      <c r="D57" t="s">
        <v>485</v>
      </c>
      <c r="E57" t="s">
        <v>546</v>
      </c>
      <c r="F57" t="s">
        <v>547</v>
      </c>
      <c r="G57" t="s">
        <v>93</v>
      </c>
      <c r="H57" t="s">
        <v>488</v>
      </c>
      <c r="I57" t="s">
        <v>47</v>
      </c>
      <c r="J57" t="s">
        <v>548</v>
      </c>
      <c r="K57" t="s">
        <v>95</v>
      </c>
      <c r="L57" t="s">
        <v>549</v>
      </c>
      <c r="M57" s="22">
        <v>46007.333333333343</v>
      </c>
      <c r="N57" s="22">
        <v>46010.478472222218</v>
      </c>
      <c r="P57" t="s">
        <v>96</v>
      </c>
      <c r="Q57" t="s">
        <v>96</v>
      </c>
      <c r="R57" t="s">
        <v>114</v>
      </c>
      <c r="S57" t="s">
        <v>295</v>
      </c>
      <c r="U57" t="s">
        <v>728</v>
      </c>
      <c r="V57" t="s">
        <v>98</v>
      </c>
      <c r="W57" t="s">
        <v>550</v>
      </c>
      <c r="X57" t="s">
        <v>99</v>
      </c>
      <c r="Z57" t="s">
        <v>100</v>
      </c>
      <c r="AA57" t="s">
        <v>101</v>
      </c>
      <c r="AB57" t="s">
        <v>492</v>
      </c>
      <c r="AC57" s="23">
        <v>0</v>
      </c>
      <c r="AD57" s="23">
        <v>37905</v>
      </c>
      <c r="AE57" s="23">
        <v>37905</v>
      </c>
    </row>
    <row r="58" spans="1:31">
      <c r="A58" t="s">
        <v>42</v>
      </c>
      <c r="B58" t="s">
        <v>138</v>
      </c>
      <c r="C58" t="s">
        <v>34</v>
      </c>
      <c r="D58" t="s">
        <v>139</v>
      </c>
      <c r="E58" t="s">
        <v>551</v>
      </c>
      <c r="F58" t="s">
        <v>552</v>
      </c>
      <c r="G58" t="s">
        <v>93</v>
      </c>
      <c r="H58" t="s">
        <v>142</v>
      </c>
      <c r="I58" t="s">
        <v>42</v>
      </c>
      <c r="J58" t="s">
        <v>553</v>
      </c>
      <c r="K58" t="s">
        <v>95</v>
      </c>
      <c r="L58" t="s">
        <v>554</v>
      </c>
      <c r="M58" s="22">
        <v>46007.333333333343</v>
      </c>
      <c r="N58" s="22">
        <v>46007.736111111109</v>
      </c>
      <c r="P58" t="s">
        <v>96</v>
      </c>
      <c r="Q58" t="s">
        <v>96</v>
      </c>
      <c r="R58" t="s">
        <v>114</v>
      </c>
      <c r="S58" t="s">
        <v>115</v>
      </c>
      <c r="T58" t="s">
        <v>116</v>
      </c>
      <c r="U58" t="s">
        <v>729</v>
      </c>
      <c r="V58" t="s">
        <v>126</v>
      </c>
      <c r="W58" t="s">
        <v>555</v>
      </c>
      <c r="X58" t="s">
        <v>118</v>
      </c>
      <c r="Z58" t="s">
        <v>100</v>
      </c>
      <c r="AA58" t="s">
        <v>101</v>
      </c>
      <c r="AB58" t="s">
        <v>556</v>
      </c>
      <c r="AC58" s="23">
        <v>1</v>
      </c>
      <c r="AD58" s="23">
        <v>44560</v>
      </c>
      <c r="AE58" s="23">
        <v>44560</v>
      </c>
    </row>
    <row r="59" spans="1:31">
      <c r="A59" t="s">
        <v>37</v>
      </c>
      <c r="B59" t="s">
        <v>91</v>
      </c>
      <c r="C59" t="s">
        <v>38</v>
      </c>
      <c r="D59" t="s">
        <v>314</v>
      </c>
      <c r="E59" t="s">
        <v>557</v>
      </c>
      <c r="F59" t="s">
        <v>558</v>
      </c>
      <c r="G59" t="s">
        <v>93</v>
      </c>
      <c r="H59" t="s">
        <v>317</v>
      </c>
      <c r="I59" t="s">
        <v>37</v>
      </c>
      <c r="J59" t="s">
        <v>559</v>
      </c>
      <c r="K59" t="s">
        <v>95</v>
      </c>
      <c r="L59" t="s">
        <v>560</v>
      </c>
      <c r="M59" s="22">
        <v>46007.333333333343</v>
      </c>
      <c r="N59" s="22">
        <v>46009.599999999999</v>
      </c>
      <c r="P59" t="s">
        <v>96</v>
      </c>
      <c r="Q59" t="s">
        <v>96</v>
      </c>
      <c r="R59" t="s">
        <v>114</v>
      </c>
      <c r="S59" t="s">
        <v>295</v>
      </c>
      <c r="T59" t="s">
        <v>116</v>
      </c>
      <c r="U59" t="s">
        <v>728</v>
      </c>
      <c r="V59" t="s">
        <v>98</v>
      </c>
      <c r="W59" t="s">
        <v>561</v>
      </c>
      <c r="X59" t="s">
        <v>118</v>
      </c>
      <c r="Y59" t="s">
        <v>562</v>
      </c>
      <c r="Z59" t="s">
        <v>100</v>
      </c>
      <c r="AA59" t="s">
        <v>101</v>
      </c>
      <c r="AB59" t="s">
        <v>563</v>
      </c>
      <c r="AC59" s="23">
        <v>1</v>
      </c>
      <c r="AD59" s="23">
        <v>44560</v>
      </c>
      <c r="AE59" s="23">
        <v>44560</v>
      </c>
    </row>
    <row r="60" spans="1:31">
      <c r="A60" t="s">
        <v>37</v>
      </c>
      <c r="B60" t="s">
        <v>91</v>
      </c>
      <c r="C60" t="s">
        <v>38</v>
      </c>
      <c r="D60" t="s">
        <v>314</v>
      </c>
      <c r="E60" t="s">
        <v>564</v>
      </c>
      <c r="F60" t="s">
        <v>565</v>
      </c>
      <c r="G60" t="s">
        <v>93</v>
      </c>
      <c r="H60" t="s">
        <v>317</v>
      </c>
      <c r="I60" t="s">
        <v>37</v>
      </c>
      <c r="J60" t="s">
        <v>566</v>
      </c>
      <c r="K60" t="s">
        <v>95</v>
      </c>
      <c r="L60" t="s">
        <v>567</v>
      </c>
      <c r="M60" s="22">
        <v>46007.333333333343</v>
      </c>
      <c r="N60" s="22">
        <v>46010.397916666669</v>
      </c>
      <c r="P60" t="s">
        <v>96</v>
      </c>
      <c r="Q60" t="s">
        <v>96</v>
      </c>
      <c r="R60" t="s">
        <v>114</v>
      </c>
      <c r="S60" t="s">
        <v>295</v>
      </c>
      <c r="T60" t="s">
        <v>165</v>
      </c>
      <c r="U60" t="s">
        <v>728</v>
      </c>
      <c r="V60" t="s">
        <v>98</v>
      </c>
      <c r="W60" t="s">
        <v>568</v>
      </c>
      <c r="X60" t="s">
        <v>118</v>
      </c>
      <c r="Y60" t="s">
        <v>569</v>
      </c>
      <c r="Z60" t="s">
        <v>100</v>
      </c>
      <c r="AA60" t="s">
        <v>101</v>
      </c>
      <c r="AB60" t="s">
        <v>570</v>
      </c>
      <c r="AC60" s="23">
        <v>1</v>
      </c>
      <c r="AD60" s="23">
        <v>44560</v>
      </c>
      <c r="AE60" s="23">
        <v>44560</v>
      </c>
    </row>
    <row r="61" spans="1:31">
      <c r="A61" t="s">
        <v>37</v>
      </c>
      <c r="B61" t="s">
        <v>91</v>
      </c>
      <c r="C61" t="s">
        <v>38</v>
      </c>
      <c r="D61" t="s">
        <v>314</v>
      </c>
      <c r="E61" t="s">
        <v>571</v>
      </c>
      <c r="F61" t="s">
        <v>572</v>
      </c>
      <c r="G61" t="s">
        <v>93</v>
      </c>
      <c r="H61" t="s">
        <v>317</v>
      </c>
      <c r="I61" t="s">
        <v>37</v>
      </c>
      <c r="J61" t="s">
        <v>573</v>
      </c>
      <c r="K61" t="s">
        <v>95</v>
      </c>
      <c r="L61" t="s">
        <v>574</v>
      </c>
      <c r="M61" s="22">
        <v>46007.333333333343</v>
      </c>
      <c r="N61" s="22">
        <v>46010.513888888891</v>
      </c>
      <c r="P61" t="s">
        <v>96</v>
      </c>
      <c r="Q61" t="s">
        <v>96</v>
      </c>
      <c r="R61" t="s">
        <v>114</v>
      </c>
      <c r="S61" t="s">
        <v>295</v>
      </c>
      <c r="T61" t="s">
        <v>116</v>
      </c>
      <c r="U61" t="s">
        <v>728</v>
      </c>
      <c r="V61" t="s">
        <v>98</v>
      </c>
      <c r="W61" t="s">
        <v>575</v>
      </c>
      <c r="X61" t="s">
        <v>118</v>
      </c>
      <c r="Y61" t="s">
        <v>562</v>
      </c>
      <c r="Z61" t="s">
        <v>100</v>
      </c>
      <c r="AA61" t="s">
        <v>101</v>
      </c>
      <c r="AB61" t="s">
        <v>563</v>
      </c>
      <c r="AC61" s="23">
        <v>1</v>
      </c>
      <c r="AD61" s="23">
        <v>44560</v>
      </c>
      <c r="AE61" s="23">
        <v>44560</v>
      </c>
    </row>
    <row r="62" spans="1:31">
      <c r="A62" t="s">
        <v>62</v>
      </c>
      <c r="B62" t="s">
        <v>210</v>
      </c>
      <c r="C62" t="s">
        <v>44</v>
      </c>
      <c r="D62" t="s">
        <v>576</v>
      </c>
      <c r="E62" t="s">
        <v>577</v>
      </c>
      <c r="F62" t="s">
        <v>578</v>
      </c>
      <c r="G62" t="s">
        <v>93</v>
      </c>
      <c r="H62" t="s">
        <v>501</v>
      </c>
      <c r="I62" t="s">
        <v>62</v>
      </c>
      <c r="J62" t="s">
        <v>579</v>
      </c>
      <c r="K62" t="s">
        <v>95</v>
      </c>
      <c r="L62" t="s">
        <v>580</v>
      </c>
      <c r="M62" s="22">
        <v>46007.333333333343</v>
      </c>
      <c r="N62" s="22">
        <v>46008.688888888893</v>
      </c>
      <c r="P62" t="s">
        <v>96</v>
      </c>
      <c r="Q62" t="s">
        <v>96</v>
      </c>
      <c r="R62" t="s">
        <v>114</v>
      </c>
      <c r="S62" t="s">
        <v>115</v>
      </c>
      <c r="T62" t="s">
        <v>116</v>
      </c>
      <c r="U62" t="s">
        <v>729</v>
      </c>
      <c r="V62" t="s">
        <v>126</v>
      </c>
      <c r="W62" t="s">
        <v>581</v>
      </c>
      <c r="X62" t="s">
        <v>118</v>
      </c>
      <c r="Z62" t="s">
        <v>100</v>
      </c>
      <c r="AA62" t="s">
        <v>101</v>
      </c>
      <c r="AB62" t="s">
        <v>506</v>
      </c>
      <c r="AC62" s="23">
        <v>1</v>
      </c>
      <c r="AD62" s="23">
        <v>44560</v>
      </c>
      <c r="AE62" s="23">
        <v>44560</v>
      </c>
    </row>
    <row r="63" spans="1:31">
      <c r="A63" t="s">
        <v>29</v>
      </c>
      <c r="B63" t="s">
        <v>147</v>
      </c>
      <c r="C63" t="s">
        <v>30</v>
      </c>
      <c r="D63" t="s">
        <v>168</v>
      </c>
      <c r="E63" t="s">
        <v>582</v>
      </c>
      <c r="F63" t="s">
        <v>583</v>
      </c>
      <c r="G63" t="s">
        <v>93</v>
      </c>
      <c r="H63" t="s">
        <v>147</v>
      </c>
      <c r="I63" t="s">
        <v>29</v>
      </c>
      <c r="J63" t="s">
        <v>584</v>
      </c>
      <c r="K63" t="s">
        <v>95</v>
      </c>
      <c r="L63" t="s">
        <v>585</v>
      </c>
      <c r="M63" s="22">
        <v>46007.333333333343</v>
      </c>
      <c r="N63" s="22">
        <v>46007.552777777782</v>
      </c>
      <c r="P63" t="s">
        <v>96</v>
      </c>
      <c r="Q63" t="s">
        <v>96</v>
      </c>
      <c r="R63" t="s">
        <v>114</v>
      </c>
      <c r="S63" t="s">
        <v>295</v>
      </c>
      <c r="T63" t="s">
        <v>116</v>
      </c>
      <c r="U63" t="s">
        <v>729</v>
      </c>
      <c r="V63" t="s">
        <v>126</v>
      </c>
      <c r="W63" t="s">
        <v>586</v>
      </c>
      <c r="X63" t="s">
        <v>118</v>
      </c>
      <c r="Z63" t="s">
        <v>100</v>
      </c>
      <c r="AA63" t="s">
        <v>101</v>
      </c>
      <c r="AB63" t="s">
        <v>347</v>
      </c>
      <c r="AC63" s="23">
        <v>1</v>
      </c>
      <c r="AD63" s="23">
        <v>44560</v>
      </c>
      <c r="AE63" s="23">
        <v>44560</v>
      </c>
    </row>
    <row r="64" spans="1:31">
      <c r="A64" t="s">
        <v>29</v>
      </c>
      <c r="B64" t="s">
        <v>147</v>
      </c>
      <c r="C64" t="s">
        <v>30</v>
      </c>
      <c r="D64" t="s">
        <v>168</v>
      </c>
      <c r="E64" t="s">
        <v>587</v>
      </c>
      <c r="F64" t="s">
        <v>588</v>
      </c>
      <c r="G64" t="s">
        <v>93</v>
      </c>
      <c r="H64" t="s">
        <v>147</v>
      </c>
      <c r="I64" t="s">
        <v>29</v>
      </c>
      <c r="J64" t="s">
        <v>589</v>
      </c>
      <c r="K64" t="s">
        <v>95</v>
      </c>
      <c r="L64" t="s">
        <v>590</v>
      </c>
      <c r="M64" s="22">
        <v>46007.333333333343</v>
      </c>
      <c r="N64" s="22">
        <v>46009.296527777777</v>
      </c>
      <c r="P64" t="s">
        <v>96</v>
      </c>
      <c r="Q64" t="s">
        <v>96</v>
      </c>
      <c r="R64" t="s">
        <v>114</v>
      </c>
      <c r="S64" t="s">
        <v>295</v>
      </c>
      <c r="T64" t="s">
        <v>116</v>
      </c>
      <c r="U64" t="s">
        <v>729</v>
      </c>
      <c r="V64" t="s">
        <v>126</v>
      </c>
      <c r="W64" t="s">
        <v>591</v>
      </c>
      <c r="X64" t="s">
        <v>118</v>
      </c>
      <c r="Z64" t="s">
        <v>100</v>
      </c>
      <c r="AA64" t="s">
        <v>101</v>
      </c>
      <c r="AB64" t="s">
        <v>592</v>
      </c>
      <c r="AC64" s="23">
        <v>1</v>
      </c>
      <c r="AD64" s="23">
        <v>44560</v>
      </c>
      <c r="AE64" s="23">
        <v>44560</v>
      </c>
    </row>
    <row r="65" spans="1:31">
      <c r="A65" t="s">
        <v>51</v>
      </c>
      <c r="B65" t="s">
        <v>102</v>
      </c>
      <c r="C65" t="s">
        <v>22</v>
      </c>
      <c r="D65" t="s">
        <v>593</v>
      </c>
      <c r="E65" t="s">
        <v>594</v>
      </c>
      <c r="F65" t="s">
        <v>595</v>
      </c>
      <c r="G65" t="s">
        <v>93</v>
      </c>
      <c r="H65" t="s">
        <v>103</v>
      </c>
      <c r="I65" t="s">
        <v>596</v>
      </c>
      <c r="J65" t="s">
        <v>597</v>
      </c>
      <c r="K65" t="s">
        <v>95</v>
      </c>
      <c r="L65" t="s">
        <v>598</v>
      </c>
      <c r="M65" s="22">
        <v>46007.333333333343</v>
      </c>
      <c r="N65" s="22">
        <v>46008.673611111109</v>
      </c>
      <c r="P65" t="s">
        <v>96</v>
      </c>
      <c r="Q65" t="s">
        <v>250</v>
      </c>
      <c r="R65" t="s">
        <v>114</v>
      </c>
      <c r="S65" t="s">
        <v>115</v>
      </c>
      <c r="U65" t="s">
        <v>728</v>
      </c>
      <c r="V65" t="s">
        <v>98</v>
      </c>
      <c r="W65" t="s">
        <v>599</v>
      </c>
      <c r="X65" t="s">
        <v>99</v>
      </c>
      <c r="Z65" t="s">
        <v>120</v>
      </c>
      <c r="AA65" t="s">
        <v>101</v>
      </c>
      <c r="AB65" t="s">
        <v>600</v>
      </c>
      <c r="AC65" s="23">
        <v>0</v>
      </c>
      <c r="AD65" s="23">
        <v>37905</v>
      </c>
      <c r="AE65" s="23">
        <v>37905</v>
      </c>
    </row>
    <row r="66" spans="1:31">
      <c r="A66" t="s">
        <v>47</v>
      </c>
      <c r="B66" t="s">
        <v>210</v>
      </c>
      <c r="C66" t="s">
        <v>44</v>
      </c>
      <c r="D66" t="s">
        <v>485</v>
      </c>
      <c r="E66" t="s">
        <v>601</v>
      </c>
      <c r="F66" t="s">
        <v>602</v>
      </c>
      <c r="G66" t="s">
        <v>93</v>
      </c>
      <c r="H66" t="s">
        <v>488</v>
      </c>
      <c r="I66" t="s">
        <v>47</v>
      </c>
      <c r="J66" t="s">
        <v>603</v>
      </c>
      <c r="K66" t="s">
        <v>95</v>
      </c>
      <c r="L66" t="s">
        <v>604</v>
      </c>
      <c r="M66" s="22">
        <v>46008.333333333343</v>
      </c>
      <c r="N66" s="22">
        <v>46010.618055555547</v>
      </c>
      <c r="P66" t="s">
        <v>96</v>
      </c>
      <c r="Q66" t="s">
        <v>96</v>
      </c>
      <c r="R66" t="s">
        <v>97</v>
      </c>
      <c r="S66" t="s">
        <v>97</v>
      </c>
      <c r="T66" t="s">
        <v>116</v>
      </c>
      <c r="U66" t="s">
        <v>728</v>
      </c>
      <c r="V66" t="s">
        <v>98</v>
      </c>
      <c r="W66" t="s">
        <v>605</v>
      </c>
      <c r="X66" t="s">
        <v>118</v>
      </c>
      <c r="Z66" t="s">
        <v>100</v>
      </c>
      <c r="AA66" t="s">
        <v>101</v>
      </c>
      <c r="AB66" t="s">
        <v>492</v>
      </c>
      <c r="AC66" s="23">
        <v>1</v>
      </c>
      <c r="AD66" s="23">
        <v>44560</v>
      </c>
      <c r="AE66" s="23">
        <v>44560</v>
      </c>
    </row>
    <row r="67" spans="1:31">
      <c r="A67" t="s">
        <v>37</v>
      </c>
      <c r="B67" t="s">
        <v>91</v>
      </c>
      <c r="C67" t="s">
        <v>38</v>
      </c>
      <c r="D67" t="s">
        <v>314</v>
      </c>
      <c r="E67" t="s">
        <v>606</v>
      </c>
      <c r="F67" t="s">
        <v>607</v>
      </c>
      <c r="G67" t="s">
        <v>93</v>
      </c>
      <c r="H67" t="s">
        <v>317</v>
      </c>
      <c r="I67" t="s">
        <v>37</v>
      </c>
      <c r="J67" t="s">
        <v>608</v>
      </c>
      <c r="K67" t="s">
        <v>95</v>
      </c>
      <c r="L67" t="s">
        <v>609</v>
      </c>
      <c r="M67" s="22">
        <v>46008.333333333343</v>
      </c>
      <c r="N67" s="22">
        <v>46008.709027777782</v>
      </c>
      <c r="P67" t="s">
        <v>96</v>
      </c>
      <c r="Q67" t="s">
        <v>250</v>
      </c>
      <c r="R67" t="s">
        <v>97</v>
      </c>
      <c r="S67" t="s">
        <v>97</v>
      </c>
      <c r="T67" t="s">
        <v>116</v>
      </c>
      <c r="U67" t="s">
        <v>729</v>
      </c>
      <c r="V67" t="s">
        <v>126</v>
      </c>
      <c r="W67" t="s">
        <v>610</v>
      </c>
      <c r="X67" t="s">
        <v>118</v>
      </c>
      <c r="Z67" t="s">
        <v>100</v>
      </c>
      <c r="AA67" t="s">
        <v>101</v>
      </c>
      <c r="AB67" t="s">
        <v>611</v>
      </c>
      <c r="AC67" s="23">
        <v>1</v>
      </c>
      <c r="AD67" s="23">
        <v>44560</v>
      </c>
      <c r="AE67" s="23">
        <v>44560</v>
      </c>
    </row>
    <row r="68" spans="1:31">
      <c r="A68" t="s">
        <v>61</v>
      </c>
      <c r="B68" t="s">
        <v>210</v>
      </c>
      <c r="C68" t="s">
        <v>44</v>
      </c>
      <c r="D68" t="s">
        <v>612</v>
      </c>
      <c r="E68" t="s">
        <v>613</v>
      </c>
      <c r="F68" t="s">
        <v>614</v>
      </c>
      <c r="G68" t="s">
        <v>93</v>
      </c>
      <c r="H68" t="s">
        <v>479</v>
      </c>
      <c r="I68" t="s">
        <v>615</v>
      </c>
      <c r="J68" t="s">
        <v>616</v>
      </c>
      <c r="K68" t="s">
        <v>95</v>
      </c>
      <c r="L68" t="s">
        <v>617</v>
      </c>
      <c r="M68" s="22">
        <v>46011.375</v>
      </c>
      <c r="N68" s="22">
        <v>46020.368750000001</v>
      </c>
      <c r="P68" t="s">
        <v>96</v>
      </c>
      <c r="Q68" t="s">
        <v>96</v>
      </c>
      <c r="R68" t="s">
        <v>164</v>
      </c>
      <c r="S68" t="s">
        <v>164</v>
      </c>
      <c r="T68" t="s">
        <v>116</v>
      </c>
      <c r="U68" t="s">
        <v>728</v>
      </c>
      <c r="V68" t="s">
        <v>98</v>
      </c>
      <c r="W68" t="s">
        <v>618</v>
      </c>
      <c r="X68" t="s">
        <v>118</v>
      </c>
      <c r="Y68" t="s">
        <v>619</v>
      </c>
      <c r="Z68" t="s">
        <v>120</v>
      </c>
      <c r="AA68" t="s">
        <v>101</v>
      </c>
      <c r="AB68" t="s">
        <v>620</v>
      </c>
      <c r="AC68" s="23">
        <v>1</v>
      </c>
      <c r="AD68" s="23">
        <v>222904</v>
      </c>
      <c r="AE68" s="23">
        <v>222904</v>
      </c>
    </row>
    <row r="69" spans="1:31">
      <c r="A69" t="s">
        <v>55</v>
      </c>
      <c r="B69" t="s">
        <v>91</v>
      </c>
      <c r="C69" t="s">
        <v>49</v>
      </c>
      <c r="D69" t="s">
        <v>328</v>
      </c>
      <c r="E69" t="s">
        <v>621</v>
      </c>
      <c r="F69" t="s">
        <v>330</v>
      </c>
      <c r="G69" t="s">
        <v>93</v>
      </c>
      <c r="H69" t="s">
        <v>317</v>
      </c>
      <c r="I69" t="s">
        <v>331</v>
      </c>
      <c r="J69" t="s">
        <v>332</v>
      </c>
      <c r="K69" t="s">
        <v>95</v>
      </c>
      <c r="L69" t="s">
        <v>622</v>
      </c>
      <c r="M69" s="22">
        <v>46011.375</v>
      </c>
      <c r="N69" s="22">
        <v>46019.404861111107</v>
      </c>
      <c r="P69" t="s">
        <v>96</v>
      </c>
      <c r="Q69" t="s">
        <v>250</v>
      </c>
      <c r="R69" t="s">
        <v>114</v>
      </c>
      <c r="S69" t="s">
        <v>115</v>
      </c>
      <c r="T69" t="s">
        <v>623</v>
      </c>
      <c r="U69" t="s">
        <v>728</v>
      </c>
      <c r="V69" t="s">
        <v>98</v>
      </c>
      <c r="W69" t="s">
        <v>624</v>
      </c>
      <c r="X69" t="s">
        <v>118</v>
      </c>
      <c r="Y69" t="s">
        <v>625</v>
      </c>
      <c r="Z69" t="s">
        <v>100</v>
      </c>
      <c r="AA69" t="s">
        <v>101</v>
      </c>
      <c r="AB69" t="s">
        <v>626</v>
      </c>
      <c r="AC69" s="23">
        <v>1</v>
      </c>
      <c r="AD69" s="23">
        <v>44560</v>
      </c>
      <c r="AE69" s="23">
        <v>44560</v>
      </c>
    </row>
    <row r="70" spans="1:31">
      <c r="A70" t="s">
        <v>55</v>
      </c>
      <c r="B70" t="s">
        <v>91</v>
      </c>
      <c r="C70" t="s">
        <v>49</v>
      </c>
      <c r="D70" t="s">
        <v>270</v>
      </c>
      <c r="E70" t="s">
        <v>627</v>
      </c>
      <c r="F70" t="s">
        <v>628</v>
      </c>
      <c r="G70" t="s">
        <v>93</v>
      </c>
      <c r="H70" t="s">
        <v>263</v>
      </c>
      <c r="I70" t="s">
        <v>55</v>
      </c>
      <c r="J70" t="s">
        <v>629</v>
      </c>
      <c r="K70" t="s">
        <v>95</v>
      </c>
      <c r="L70" t="s">
        <v>630</v>
      </c>
      <c r="M70" s="22">
        <v>46014.333333333343</v>
      </c>
      <c r="N70" s="22">
        <v>46017.658333333333</v>
      </c>
      <c r="P70" t="s">
        <v>96</v>
      </c>
      <c r="Q70" t="s">
        <v>96</v>
      </c>
      <c r="R70" t="s">
        <v>164</v>
      </c>
      <c r="S70" t="s">
        <v>164</v>
      </c>
      <c r="T70" t="s">
        <v>623</v>
      </c>
      <c r="U70" t="s">
        <v>729</v>
      </c>
      <c r="V70" t="s">
        <v>126</v>
      </c>
      <c r="W70" t="s">
        <v>631</v>
      </c>
      <c r="X70" t="s">
        <v>118</v>
      </c>
      <c r="Y70" t="s">
        <v>632</v>
      </c>
      <c r="Z70" t="s">
        <v>100</v>
      </c>
      <c r="AA70" t="s">
        <v>101</v>
      </c>
      <c r="AB70" t="s">
        <v>633</v>
      </c>
      <c r="AC70" s="23">
        <v>1</v>
      </c>
      <c r="AD70" s="23">
        <v>44560</v>
      </c>
      <c r="AE70" s="23">
        <v>44560</v>
      </c>
    </row>
    <row r="71" spans="1:31">
      <c r="A71" t="s">
        <v>61</v>
      </c>
      <c r="B71" t="s">
        <v>210</v>
      </c>
      <c r="C71" t="s">
        <v>44</v>
      </c>
      <c r="D71" t="s">
        <v>634</v>
      </c>
      <c r="E71" t="s">
        <v>635</v>
      </c>
      <c r="F71" t="s">
        <v>636</v>
      </c>
      <c r="G71" t="s">
        <v>93</v>
      </c>
      <c r="H71" t="s">
        <v>637</v>
      </c>
      <c r="I71" t="s">
        <v>638</v>
      </c>
      <c r="J71" t="s">
        <v>639</v>
      </c>
      <c r="K71" t="s">
        <v>95</v>
      </c>
      <c r="L71" t="s">
        <v>640</v>
      </c>
      <c r="M71" s="22">
        <v>46014.333333333343</v>
      </c>
      <c r="N71" s="22">
        <v>46017.449305555558</v>
      </c>
      <c r="P71" t="s">
        <v>96</v>
      </c>
      <c r="Q71" t="s">
        <v>96</v>
      </c>
      <c r="R71" t="s">
        <v>97</v>
      </c>
      <c r="S71" t="s">
        <v>97</v>
      </c>
      <c r="U71" t="s">
        <v>728</v>
      </c>
      <c r="V71" t="s">
        <v>98</v>
      </c>
      <c r="W71" t="s">
        <v>641</v>
      </c>
      <c r="X71" t="s">
        <v>99</v>
      </c>
      <c r="Z71" t="s">
        <v>105</v>
      </c>
      <c r="AA71" t="s">
        <v>101</v>
      </c>
      <c r="AB71" t="s">
        <v>642</v>
      </c>
      <c r="AC71" s="23">
        <v>0</v>
      </c>
      <c r="AD71" s="23">
        <v>37905</v>
      </c>
      <c r="AE71" s="23">
        <v>37905</v>
      </c>
    </row>
    <row r="72" spans="1:31">
      <c r="A72" t="s">
        <v>29</v>
      </c>
      <c r="B72" t="s">
        <v>147</v>
      </c>
      <c r="C72" t="s">
        <v>30</v>
      </c>
      <c r="D72" t="s">
        <v>168</v>
      </c>
      <c r="E72" t="s">
        <v>643</v>
      </c>
      <c r="F72" t="s">
        <v>644</v>
      </c>
      <c r="G72" t="s">
        <v>93</v>
      </c>
      <c r="H72" t="s">
        <v>147</v>
      </c>
      <c r="I72" t="s">
        <v>29</v>
      </c>
      <c r="J72" t="s">
        <v>645</v>
      </c>
      <c r="K72" t="s">
        <v>95</v>
      </c>
      <c r="L72" t="s">
        <v>646</v>
      </c>
      <c r="M72" s="22">
        <v>46015.333333333343</v>
      </c>
      <c r="N72" s="22">
        <v>46022.292361111111</v>
      </c>
      <c r="P72" t="s">
        <v>96</v>
      </c>
      <c r="Q72" t="s">
        <v>250</v>
      </c>
      <c r="R72" t="s">
        <v>164</v>
      </c>
      <c r="S72" t="s">
        <v>97</v>
      </c>
      <c r="T72" t="s">
        <v>116</v>
      </c>
      <c r="U72" t="s">
        <v>728</v>
      </c>
      <c r="V72" t="s">
        <v>126</v>
      </c>
      <c r="W72" t="s">
        <v>647</v>
      </c>
      <c r="X72" t="s">
        <v>118</v>
      </c>
      <c r="Y72" t="s">
        <v>183</v>
      </c>
      <c r="Z72" t="s">
        <v>100</v>
      </c>
      <c r="AA72" t="s">
        <v>101</v>
      </c>
      <c r="AB72" t="s">
        <v>353</v>
      </c>
      <c r="AC72" s="23">
        <v>1</v>
      </c>
      <c r="AD72" s="23">
        <v>44560</v>
      </c>
      <c r="AE72" s="23">
        <v>44560</v>
      </c>
    </row>
    <row r="73" spans="1:31">
      <c r="A73" t="s">
        <v>29</v>
      </c>
      <c r="B73" t="s">
        <v>147</v>
      </c>
      <c r="C73" t="s">
        <v>30</v>
      </c>
      <c r="D73" t="s">
        <v>468</v>
      </c>
      <c r="E73" t="s">
        <v>648</v>
      </c>
      <c r="F73" t="s">
        <v>470</v>
      </c>
      <c r="G73" t="s">
        <v>93</v>
      </c>
      <c r="H73" t="s">
        <v>147</v>
      </c>
      <c r="I73" t="s">
        <v>471</v>
      </c>
      <c r="J73" t="s">
        <v>472</v>
      </c>
      <c r="K73" t="s">
        <v>95</v>
      </c>
      <c r="L73" t="s">
        <v>649</v>
      </c>
      <c r="M73" s="22">
        <v>46015.333333333343</v>
      </c>
      <c r="N73" s="22">
        <v>46022.290277777778</v>
      </c>
      <c r="P73" t="s">
        <v>96</v>
      </c>
      <c r="Q73" t="s">
        <v>250</v>
      </c>
      <c r="R73" t="s">
        <v>164</v>
      </c>
      <c r="S73" t="s">
        <v>164</v>
      </c>
      <c r="T73" t="s">
        <v>116</v>
      </c>
      <c r="U73" t="s">
        <v>728</v>
      </c>
      <c r="V73" t="s">
        <v>98</v>
      </c>
      <c r="W73" t="s">
        <v>650</v>
      </c>
      <c r="X73" t="s">
        <v>118</v>
      </c>
      <c r="Y73" t="s">
        <v>155</v>
      </c>
      <c r="Z73" t="s">
        <v>100</v>
      </c>
      <c r="AA73" t="s">
        <v>101</v>
      </c>
      <c r="AB73" t="s">
        <v>282</v>
      </c>
      <c r="AC73" s="23">
        <v>1</v>
      </c>
      <c r="AD73" s="23">
        <v>44560</v>
      </c>
      <c r="AE73" s="23">
        <v>44560</v>
      </c>
    </row>
    <row r="74" spans="1:31">
      <c r="A74" t="s">
        <v>37</v>
      </c>
      <c r="B74" t="s">
        <v>91</v>
      </c>
      <c r="C74" t="s">
        <v>38</v>
      </c>
      <c r="D74" t="s">
        <v>314</v>
      </c>
      <c r="E74" t="s">
        <v>651</v>
      </c>
      <c r="F74" t="s">
        <v>652</v>
      </c>
      <c r="G74" t="s">
        <v>93</v>
      </c>
      <c r="H74" t="s">
        <v>317</v>
      </c>
      <c r="I74" t="s">
        <v>37</v>
      </c>
      <c r="J74" t="s">
        <v>653</v>
      </c>
      <c r="K74" t="s">
        <v>95</v>
      </c>
      <c r="L74" t="s">
        <v>654</v>
      </c>
      <c r="M74" s="22">
        <v>46015.495138888888</v>
      </c>
      <c r="N74" s="22">
        <v>46021.719444444447</v>
      </c>
      <c r="P74" t="s">
        <v>96</v>
      </c>
      <c r="Q74" t="s">
        <v>96</v>
      </c>
      <c r="R74" t="s">
        <v>114</v>
      </c>
      <c r="S74" t="s">
        <v>295</v>
      </c>
      <c r="T74" t="s">
        <v>116</v>
      </c>
      <c r="U74" t="s">
        <v>728</v>
      </c>
      <c r="V74" t="s">
        <v>98</v>
      </c>
      <c r="W74" t="s">
        <v>655</v>
      </c>
      <c r="X74" t="s">
        <v>118</v>
      </c>
      <c r="Z74" t="s">
        <v>100</v>
      </c>
      <c r="AA74" t="s">
        <v>101</v>
      </c>
      <c r="AB74" t="s">
        <v>656</v>
      </c>
      <c r="AC74" s="23">
        <v>1</v>
      </c>
      <c r="AD74" s="23">
        <v>44560</v>
      </c>
      <c r="AE74" s="23">
        <v>44560</v>
      </c>
    </row>
    <row r="75" spans="1:31">
      <c r="A75" t="s">
        <v>37</v>
      </c>
      <c r="B75" t="s">
        <v>91</v>
      </c>
      <c r="C75" t="s">
        <v>38</v>
      </c>
      <c r="D75" t="s">
        <v>314</v>
      </c>
      <c r="E75" t="s">
        <v>657</v>
      </c>
      <c r="F75" t="s">
        <v>658</v>
      </c>
      <c r="G75" t="s">
        <v>93</v>
      </c>
      <c r="H75" t="s">
        <v>317</v>
      </c>
      <c r="I75" t="s">
        <v>37</v>
      </c>
      <c r="J75" t="s">
        <v>659</v>
      </c>
      <c r="K75" t="s">
        <v>95</v>
      </c>
      <c r="L75" t="s">
        <v>660</v>
      </c>
      <c r="M75" s="22">
        <v>46015.495138888888</v>
      </c>
      <c r="N75" s="22">
        <v>46020.6875</v>
      </c>
      <c r="P75" t="s">
        <v>96</v>
      </c>
      <c r="Q75" t="s">
        <v>96</v>
      </c>
      <c r="R75" t="s">
        <v>114</v>
      </c>
      <c r="S75" t="s">
        <v>295</v>
      </c>
      <c r="U75" t="s">
        <v>728</v>
      </c>
      <c r="V75" t="s">
        <v>98</v>
      </c>
      <c r="W75" t="s">
        <v>661</v>
      </c>
      <c r="X75" t="s">
        <v>99</v>
      </c>
      <c r="Z75" t="s">
        <v>100</v>
      </c>
      <c r="AA75" t="s">
        <v>101</v>
      </c>
      <c r="AB75" t="s">
        <v>662</v>
      </c>
      <c r="AC75" s="23">
        <v>0</v>
      </c>
      <c r="AD75" s="23">
        <v>37905</v>
      </c>
      <c r="AE75" s="23">
        <v>37905</v>
      </c>
    </row>
    <row r="76" spans="1:31">
      <c r="A76" t="s">
        <v>37</v>
      </c>
      <c r="B76" t="s">
        <v>91</v>
      </c>
      <c r="C76" t="s">
        <v>38</v>
      </c>
      <c r="D76" t="s">
        <v>314</v>
      </c>
      <c r="E76" t="s">
        <v>663</v>
      </c>
      <c r="F76" t="s">
        <v>664</v>
      </c>
      <c r="G76" t="s">
        <v>93</v>
      </c>
      <c r="H76" t="s">
        <v>317</v>
      </c>
      <c r="I76" t="s">
        <v>37</v>
      </c>
      <c r="J76" t="s">
        <v>665</v>
      </c>
      <c r="K76" t="s">
        <v>95</v>
      </c>
      <c r="L76" t="s">
        <v>666</v>
      </c>
      <c r="M76" s="22">
        <v>46020.65902777778</v>
      </c>
      <c r="N76" s="22">
        <v>46021.427083333343</v>
      </c>
      <c r="P76" t="s">
        <v>96</v>
      </c>
      <c r="Q76" t="s">
        <v>96</v>
      </c>
      <c r="R76" t="s">
        <v>164</v>
      </c>
      <c r="S76" t="s">
        <v>164</v>
      </c>
      <c r="T76" t="s">
        <v>116</v>
      </c>
      <c r="U76" t="s">
        <v>731</v>
      </c>
      <c r="W76" t="s">
        <v>667</v>
      </c>
      <c r="X76" t="s">
        <v>118</v>
      </c>
      <c r="Y76" t="s">
        <v>388</v>
      </c>
      <c r="Z76" t="s">
        <v>100</v>
      </c>
      <c r="AA76" t="s">
        <v>101</v>
      </c>
      <c r="AB76" t="s">
        <v>321</v>
      </c>
      <c r="AC76" s="23">
        <v>1</v>
      </c>
      <c r="AD76" s="23">
        <v>44560</v>
      </c>
      <c r="AE76" s="23">
        <v>44560</v>
      </c>
    </row>
    <row r="77" spans="1:31">
      <c r="A77" t="s">
        <v>29</v>
      </c>
      <c r="B77" t="s">
        <v>147</v>
      </c>
      <c r="C77" t="s">
        <v>30</v>
      </c>
      <c r="D77" t="s">
        <v>468</v>
      </c>
      <c r="E77" t="s">
        <v>668</v>
      </c>
      <c r="F77" t="s">
        <v>669</v>
      </c>
      <c r="G77" t="s">
        <v>93</v>
      </c>
      <c r="H77" t="s">
        <v>147</v>
      </c>
      <c r="I77" t="s">
        <v>471</v>
      </c>
      <c r="J77" t="s">
        <v>670</v>
      </c>
      <c r="K77" t="s">
        <v>95</v>
      </c>
      <c r="L77" t="s">
        <v>671</v>
      </c>
      <c r="M77" s="22">
        <v>46006.561805555553</v>
      </c>
      <c r="N77" s="22">
        <v>46007.340277777781</v>
      </c>
      <c r="P77" t="s">
        <v>96</v>
      </c>
      <c r="Q77" t="s">
        <v>672</v>
      </c>
      <c r="R77" t="s">
        <v>164</v>
      </c>
      <c r="S77" t="s">
        <v>97</v>
      </c>
      <c r="T77" t="s">
        <v>623</v>
      </c>
      <c r="U77" t="s">
        <v>728</v>
      </c>
      <c r="V77" t="s">
        <v>673</v>
      </c>
      <c r="W77" t="s">
        <v>674</v>
      </c>
      <c r="X77" t="s">
        <v>118</v>
      </c>
      <c r="Y77" t="s">
        <v>183</v>
      </c>
      <c r="Z77" t="s">
        <v>100</v>
      </c>
      <c r="AA77" t="s">
        <v>101</v>
      </c>
      <c r="AB77" t="s">
        <v>467</v>
      </c>
      <c r="AC77" s="23">
        <v>1</v>
      </c>
      <c r="AD77" s="23">
        <v>44560</v>
      </c>
      <c r="AE77" s="23">
        <v>44560</v>
      </c>
    </row>
    <row r="78" spans="1:31">
      <c r="A78" t="s">
        <v>53</v>
      </c>
      <c r="B78" t="s">
        <v>210</v>
      </c>
      <c r="C78" t="s">
        <v>44</v>
      </c>
      <c r="D78" t="s">
        <v>675</v>
      </c>
      <c r="E78" t="s">
        <v>676</v>
      </c>
      <c r="F78" t="s">
        <v>677</v>
      </c>
      <c r="G78" t="s">
        <v>93</v>
      </c>
      <c r="H78" t="s">
        <v>214</v>
      </c>
      <c r="I78" t="s">
        <v>43</v>
      </c>
      <c r="J78" t="s">
        <v>678</v>
      </c>
      <c r="K78" t="s">
        <v>95</v>
      </c>
      <c r="L78" t="s">
        <v>679</v>
      </c>
      <c r="M78" s="22">
        <v>46008.369444444441</v>
      </c>
      <c r="N78" s="22">
        <v>46008.42291666667</v>
      </c>
      <c r="P78" t="s">
        <v>96</v>
      </c>
      <c r="Q78" t="s">
        <v>672</v>
      </c>
      <c r="R78" t="s">
        <v>97</v>
      </c>
      <c r="S78" t="s">
        <v>97</v>
      </c>
      <c r="T78" t="s">
        <v>623</v>
      </c>
      <c r="U78" t="s">
        <v>728</v>
      </c>
      <c r="V78" t="s">
        <v>673</v>
      </c>
      <c r="W78" t="s">
        <v>680</v>
      </c>
      <c r="X78" t="s">
        <v>118</v>
      </c>
      <c r="Y78" t="s">
        <v>681</v>
      </c>
      <c r="Z78" t="s">
        <v>105</v>
      </c>
      <c r="AA78" t="s">
        <v>101</v>
      </c>
      <c r="AB78" t="s">
        <v>682</v>
      </c>
      <c r="AC78" s="23">
        <v>1</v>
      </c>
      <c r="AD78" s="23">
        <v>464809</v>
      </c>
      <c r="AE78" s="23">
        <v>464809</v>
      </c>
    </row>
    <row r="79" spans="1:31">
      <c r="A79" t="s">
        <v>33</v>
      </c>
      <c r="B79" t="s">
        <v>138</v>
      </c>
      <c r="C79" t="s">
        <v>34</v>
      </c>
      <c r="D79" t="s">
        <v>297</v>
      </c>
      <c r="E79" t="s">
        <v>683</v>
      </c>
      <c r="F79" t="s">
        <v>684</v>
      </c>
      <c r="G79" t="s">
        <v>93</v>
      </c>
      <c r="H79" t="s">
        <v>300</v>
      </c>
      <c r="I79" t="s">
        <v>33</v>
      </c>
      <c r="J79" t="s">
        <v>685</v>
      </c>
      <c r="K79" t="s">
        <v>95</v>
      </c>
      <c r="L79" t="s">
        <v>686</v>
      </c>
      <c r="M79" s="22">
        <v>46010.649305555547</v>
      </c>
      <c r="N79" s="22">
        <v>46010.705555555563</v>
      </c>
      <c r="P79" t="s">
        <v>96</v>
      </c>
      <c r="Q79" t="s">
        <v>250</v>
      </c>
      <c r="R79" t="s">
        <v>97</v>
      </c>
      <c r="S79" t="s">
        <v>97</v>
      </c>
      <c r="T79" t="s">
        <v>623</v>
      </c>
      <c r="U79" t="s">
        <v>728</v>
      </c>
      <c r="V79" t="s">
        <v>98</v>
      </c>
      <c r="W79" t="s">
        <v>687</v>
      </c>
      <c r="X79" t="s">
        <v>118</v>
      </c>
      <c r="Y79" t="s">
        <v>688</v>
      </c>
      <c r="Z79" t="s">
        <v>100</v>
      </c>
      <c r="AA79" t="s">
        <v>101</v>
      </c>
      <c r="AB79" t="s">
        <v>305</v>
      </c>
      <c r="AC79" s="23">
        <v>1</v>
      </c>
      <c r="AD79" s="23">
        <v>44560</v>
      </c>
      <c r="AE79" s="23">
        <v>44560</v>
      </c>
    </row>
    <row r="80" spans="1:31">
      <c r="A80" t="s">
        <v>58</v>
      </c>
      <c r="B80" t="s">
        <v>107</v>
      </c>
      <c r="C80" t="s">
        <v>26</v>
      </c>
      <c r="D80" t="s">
        <v>689</v>
      </c>
      <c r="E80" t="s">
        <v>690</v>
      </c>
      <c r="F80" t="s">
        <v>691</v>
      </c>
      <c r="G80" t="s">
        <v>93</v>
      </c>
      <c r="H80" t="s">
        <v>692</v>
      </c>
      <c r="I80" t="s">
        <v>693</v>
      </c>
      <c r="J80" t="s">
        <v>694</v>
      </c>
      <c r="K80" t="s">
        <v>95</v>
      </c>
      <c r="L80" t="s">
        <v>695</v>
      </c>
      <c r="M80" s="22">
        <v>46017.635416666657</v>
      </c>
      <c r="N80" s="22">
        <v>46017.656944444447</v>
      </c>
      <c r="P80" t="s">
        <v>96</v>
      </c>
      <c r="Q80" t="s">
        <v>672</v>
      </c>
      <c r="R80" t="s">
        <v>114</v>
      </c>
      <c r="S80" t="s">
        <v>115</v>
      </c>
      <c r="T80" t="s">
        <v>623</v>
      </c>
      <c r="U80" t="s">
        <v>728</v>
      </c>
      <c r="V80" t="s">
        <v>98</v>
      </c>
      <c r="W80" t="s">
        <v>696</v>
      </c>
      <c r="X80" t="s">
        <v>118</v>
      </c>
      <c r="Y80" t="s">
        <v>697</v>
      </c>
      <c r="Z80" t="s">
        <v>104</v>
      </c>
      <c r="AA80" t="s">
        <v>101</v>
      </c>
      <c r="AB80" t="s">
        <v>353</v>
      </c>
      <c r="AC80" s="23">
        <v>1</v>
      </c>
      <c r="AD80" s="23">
        <v>134411</v>
      </c>
      <c r="AE80" s="23">
        <v>134411</v>
      </c>
    </row>
    <row r="81" spans="1:31">
      <c r="A81" t="s">
        <v>25</v>
      </c>
      <c r="B81" t="s">
        <v>107</v>
      </c>
      <c r="C81" t="s">
        <v>26</v>
      </c>
      <c r="D81" t="s">
        <v>698</v>
      </c>
      <c r="E81" t="s">
        <v>699</v>
      </c>
      <c r="F81" t="s">
        <v>700</v>
      </c>
      <c r="G81" t="s">
        <v>93</v>
      </c>
      <c r="H81" t="s">
        <v>309</v>
      </c>
      <c r="I81" t="s">
        <v>701</v>
      </c>
      <c r="J81" t="s">
        <v>702</v>
      </c>
      <c r="K81" t="s">
        <v>95</v>
      </c>
      <c r="L81" t="s">
        <v>703</v>
      </c>
      <c r="M81" s="22">
        <v>46018.470833333333</v>
      </c>
      <c r="N81" s="22">
        <v>46020.379166666673</v>
      </c>
      <c r="P81" t="s">
        <v>96</v>
      </c>
      <c r="Q81" t="s">
        <v>672</v>
      </c>
      <c r="R81" t="s">
        <v>97</v>
      </c>
      <c r="S81" t="s">
        <v>97</v>
      </c>
      <c r="T81" t="s">
        <v>623</v>
      </c>
      <c r="U81" t="s">
        <v>728</v>
      </c>
      <c r="V81" t="s">
        <v>673</v>
      </c>
      <c r="W81" t="s">
        <v>704</v>
      </c>
      <c r="X81" t="s">
        <v>118</v>
      </c>
      <c r="Y81" t="s">
        <v>705</v>
      </c>
      <c r="Z81" t="s">
        <v>100</v>
      </c>
      <c r="AA81" t="s">
        <v>101</v>
      </c>
      <c r="AB81" t="s">
        <v>706</v>
      </c>
      <c r="AC81" s="23">
        <v>1</v>
      </c>
      <c r="AD81" s="23">
        <v>44560</v>
      </c>
      <c r="AE81" s="23">
        <v>44560</v>
      </c>
    </row>
    <row r="82" spans="1:31">
      <c r="A82" t="s">
        <v>33</v>
      </c>
      <c r="B82" t="s">
        <v>138</v>
      </c>
      <c r="C82" t="s">
        <v>34</v>
      </c>
      <c r="D82" t="s">
        <v>707</v>
      </c>
      <c r="E82" t="s">
        <v>708</v>
      </c>
      <c r="F82" t="s">
        <v>709</v>
      </c>
      <c r="G82" t="s">
        <v>93</v>
      </c>
      <c r="H82" t="s">
        <v>300</v>
      </c>
      <c r="I82" t="s">
        <v>710</v>
      </c>
      <c r="J82" t="s">
        <v>711</v>
      </c>
      <c r="K82" t="s">
        <v>95</v>
      </c>
      <c r="L82" t="s">
        <v>712</v>
      </c>
      <c r="M82" s="22">
        <v>46020.462500000001</v>
      </c>
      <c r="N82" s="22">
        <v>46020.689583333333</v>
      </c>
      <c r="P82" t="s">
        <v>96</v>
      </c>
      <c r="Q82" t="s">
        <v>672</v>
      </c>
      <c r="R82" t="s">
        <v>114</v>
      </c>
      <c r="S82" t="s">
        <v>295</v>
      </c>
      <c r="U82" t="s">
        <v>728</v>
      </c>
      <c r="V82" t="s">
        <v>98</v>
      </c>
      <c r="W82" t="s">
        <v>713</v>
      </c>
      <c r="X82" t="s">
        <v>99</v>
      </c>
      <c r="Z82" t="s">
        <v>120</v>
      </c>
      <c r="AA82" t="s">
        <v>101</v>
      </c>
      <c r="AB82" t="s">
        <v>662</v>
      </c>
      <c r="AC82" s="23">
        <v>0</v>
      </c>
      <c r="AD82" s="23">
        <v>37905</v>
      </c>
      <c r="AE82" s="23">
        <v>37905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Props1.xml><?xml version="1.0" encoding="utf-8"?>
<ds:datastoreItem xmlns:ds="http://schemas.openxmlformats.org/officeDocument/2006/customXml" ds:itemID="{78C76078-529C-46BA-A3D2-1AA12FC10B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09EA2C-EA3C-4D4A-9D8E-46619DF9CC83}">
  <ds:schemaRefs>
    <ds:schemaRef ds:uri="http://schemas.microsoft.com/sharepoint/v3/contenttype/forms"/>
  </ds:schemaRefs>
</ds:datastoreItem>
</file>

<file path=customXml/itemProps3.xml><?xml version="1.0" encoding="utf-8"?>
<ds:datastoreItem xmlns:ds="http://schemas.openxmlformats.org/officeDocument/2006/customXml" ds:itemID="{DA092AC0-2ADF-4654-8BB5-DCB36B4C2E0D}">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RESUMEN LIQUIDACIÓN</vt:lpstr>
      <vt:lpstr>BASE DE LIQUIDACION 2025</vt:lpstr>
      <vt:lpstr>CENTRO DE COSTOS</vt:lpstr>
      <vt:lpstr>Hoja1</vt:lpstr>
      <vt:lpstr>CIERRES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2015-11-09T13:46:27Z</dcterms:created>
  <dcterms:modified xsi:type="dcterms:W3CDTF">2026-01-14T21:08:01Z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