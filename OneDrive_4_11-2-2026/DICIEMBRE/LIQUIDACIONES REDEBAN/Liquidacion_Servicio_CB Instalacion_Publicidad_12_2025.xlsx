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REDEBAN/"/>
    </mc:Choice>
  </mc:AlternateContent>
  <xr:revisionPtr revIDLastSave="2" documentId="8_{9330B971-0648-4726-B082-6ECE76043218}" xr6:coauthVersionLast="47" xr6:coauthVersionMax="47" xr10:uidLastSave="{2FE67112-9A01-43BF-8677-1637398BBCDA}"/>
  <bookViews>
    <workbookView xWindow="28680" yWindow="-120" windowWidth="29040" windowHeight="15720" tabRatio="940" xr2:uid="{00000000-000D-0000-FFFF-FFFF00000000}"/>
  </bookViews>
  <sheets>
    <sheet name="RESUMEN LIQUIDACIÓN" sheetId="5" r:id="rId1"/>
    <sheet name="BASE DE LIQUIDACION 2025" sheetId="1" r:id="rId2"/>
    <sheet name="CENTRO DE COSTOS" sheetId="2" r:id="rId3"/>
    <sheet name="Hoja1" sheetId="6" r:id="rId4"/>
    <sheet name="PUBLICIDAD_APERTURAS" sheetId="3" r:id="rId5"/>
    <sheet name="PUBLICIDAD_OC" sheetId="4"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2" hidden="1">'CENTRO DE COSTOS'!$A$1:$D$23</definedName>
    <definedName name="_xlnm._FilterDatabase" localSheetId="4" hidden="1">PUBLICIDAD_APERTURAS!$A$1:$AE$79</definedName>
    <definedName name="_xlnm._FilterDatabase" localSheetId="5" hidden="1">PUBLICIDAD_OC!$A$1:$AF$49</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2">[6]Clientes!$A$2:$A$100</definedName>
    <definedName name="Clientes">[2]Clientes!$A$2:$A$100</definedName>
    <definedName name="COORDINADOR">[1]Hoja2!$D$2:$D$30</definedName>
    <definedName name="Coordinadores" localSheetId="2">[7]Coordinadores!$A$2:$A$1000</definedName>
    <definedName name="Coordinadores">[2]Coordinadores!$A$2:$A$1000</definedName>
    <definedName name="DOCUMENTADOR">[1]Hoja2!$A$2:$A$30</definedName>
    <definedName name="ES">[1]Hoja2!$K$2:$K$30</definedName>
    <definedName name="ESS">[1]Hoja2!$K$2:$K$30</definedName>
    <definedName name="Estado" localSheetId="2">[6]Formulas!$K$2:$K$5000</definedName>
    <definedName name="Estado">[2]Formulas!$K$2:$K$5000</definedName>
    <definedName name="ESTADOACTIVIDAD">[1]Hoja2!$M$2:$M$30</definedName>
    <definedName name="ESTADOS" localSheetId="2">'[8]Listas desplegables'!$B$1:$D$1</definedName>
    <definedName name="ESTADOS">'[9]Listas desplegables'!$B$1:$D$1</definedName>
    <definedName name="ESTADOSCIERRES">'[10]lista desplegable'!$CX$1:$DA$1</definedName>
    <definedName name="Facturacion">'[11]Listas desplegables'!$AO$1:$AR$1</definedName>
    <definedName name="FACTURACIÓN" localSheetId="2">'[8]Listas desplegables'!$Y$1:$AB$1</definedName>
    <definedName name="FACTURACIÓN">'[9]Listas desplegables'!$Y$1:$AB$1</definedName>
    <definedName name="falla">#REF!</definedName>
    <definedName name="Fallas" localSheetId="2">'[12]Listas desplegables'!$F$2:$L$2</definedName>
    <definedName name="Fallas">'[13]Listas desplegables'!$F$2:$L$2</definedName>
    <definedName name="Grupo_Falla" localSheetId="2">'[14]Listas Desplegables'!$CH$2:$CH$5</definedName>
    <definedName name="Grupo_Falla">'[15]Listas Desplegables'!$CH$2:$CH$5</definedName>
    <definedName name="inconservmanager" localSheetId="2">'[16]Listas desplegables'!$BC$2:$BC$100</definedName>
    <definedName name="inconservmanager">'[4]Listas desplegables'!$BC$2:$BC$100</definedName>
    <definedName name="INCUMPLIMIENTO" localSheetId="2">'[4]Listas desplegables'!$AK$1:$AN$1</definedName>
    <definedName name="INCUMPLIMIENTO">'[17]Listas desplegables'!$AT$1:$AX$1</definedName>
    <definedName name="LISTA" localSheetId="2">[18]Dptos!$A$1139:$A$1171</definedName>
    <definedName name="LISTA">[19]Dptos!$A$1139:$A$1171</definedName>
    <definedName name="LISTA2" localSheetId="2">#REF!</definedName>
    <definedName name="LISTA2">[20]Hoja3!$A$1:$A$26</definedName>
    <definedName name="LOLO">[21]Coordinadores!$A$2:$A$1000</definedName>
    <definedName name="solicitudes" localSheetId="2">'[11]Listas desplegables'!$U$1:$AF$1</definedName>
    <definedName name="solicitudes">'[11]Listas desplegables'!$U$1:$AF$1</definedName>
    <definedName name="Tecnicos" localSheetId="2">[6]Tecnicos!$A$2:$A$1000</definedName>
    <definedName name="Tecnicos">[2]Tecnicos!$A$2:$A$1000</definedName>
    <definedName name="Version" localSheetId="2">[22]Formulas!$I$2:$I$3</definedName>
    <definedName name="Version">[2]Formulas!$I$2:$I$3</definedName>
  </definedNames>
  <calcPr calcId="191029"/>
  <pivotCaches>
    <pivotCache cacheId="459" r:id="rId29"/>
    <pivotCache cacheId="463" r:id="rId30"/>
    <pivotCache cacheId="471" r:id="rId31"/>
  </pivotCaches>
</workbook>
</file>

<file path=xl/calcChain.xml><?xml version="1.0" encoding="utf-8"?>
<calcChain xmlns="http://schemas.openxmlformats.org/spreadsheetml/2006/main">
  <c r="D38" i="6" l="1"/>
  <c r="C38" i="6"/>
  <c r="D36" i="6"/>
  <c r="C36" i="6"/>
  <c r="D34" i="6"/>
  <c r="C34" i="6"/>
  <c r="D32" i="6"/>
  <c r="C32" i="6"/>
  <c r="D30" i="6"/>
  <c r="C30" i="6"/>
  <c r="D28" i="6"/>
  <c r="C28" i="6"/>
  <c r="D26" i="6"/>
  <c r="C26" i="6"/>
  <c r="D19" i="6"/>
  <c r="C19" i="6"/>
  <c r="D16" i="6"/>
  <c r="C16" i="6"/>
  <c r="D14" i="6"/>
  <c r="C14" i="6"/>
  <c r="D12" i="6"/>
  <c r="C12" i="6"/>
  <c r="D9" i="6"/>
  <c r="C9" i="6"/>
  <c r="D6" i="6"/>
  <c r="C6" i="6"/>
  <c r="D4" i="6"/>
  <c r="C4" i="6"/>
  <c r="G4" i="5"/>
  <c r="H4" i="5" s="1"/>
  <c r="F4" i="5"/>
  <c r="G3" i="5"/>
  <c r="F3" i="5"/>
  <c r="M6" i="5"/>
  <c r="N6" i="5" s="1"/>
  <c r="F5" i="5"/>
  <c r="M4" i="5"/>
  <c r="N4" i="5" s="1"/>
  <c r="A4" i="5"/>
  <c r="A5" i="5" s="1"/>
  <c r="M3" i="5"/>
  <c r="A1" i="5"/>
  <c r="F6" i="5" l="1"/>
  <c r="L7" i="5"/>
  <c r="H3" i="5"/>
  <c r="N3" i="5"/>
  <c r="M5" i="5"/>
  <c r="M7" i="5" s="1"/>
  <c r="N5" i="5" l="1"/>
  <c r="N7" i="5"/>
  <c r="G5" i="5" s="1"/>
  <c r="H5" i="5" l="1"/>
  <c r="H6" i="5" s="1"/>
  <c r="G6" i="5"/>
  <c r="L8" i="1" l="1"/>
  <c r="K8" i="1"/>
  <c r="J8" i="1"/>
  <c r="I8" i="1"/>
  <c r="L7" i="1"/>
  <c r="K7" i="1"/>
  <c r="J7" i="1"/>
  <c r="I7" i="1"/>
  <c r="L6" i="1"/>
  <c r="K6" i="1"/>
  <c r="J6" i="1"/>
  <c r="I6" i="1"/>
  <c r="L5" i="1"/>
  <c r="K5" i="1"/>
  <c r="J5" i="1"/>
  <c r="I5" i="1"/>
  <c r="L4" i="1"/>
  <c r="K4" i="1"/>
  <c r="J4" i="1"/>
  <c r="I4" i="1"/>
  <c r="E4" i="1"/>
  <c r="D4" i="1"/>
  <c r="C4" i="1"/>
  <c r="B4" i="1"/>
  <c r="E3" i="1"/>
  <c r="D3" i="1"/>
  <c r="C3" i="1"/>
  <c r="B3" i="1"/>
</calcChain>
</file>

<file path=xl/sharedStrings.xml><?xml version="1.0" encoding="utf-8"?>
<sst xmlns="http://schemas.openxmlformats.org/spreadsheetml/2006/main" count="3069" uniqueCount="1098">
  <si>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</si>
  <si>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</si>
  <si>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</si>
  <si>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</si>
  <si>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</si>
  <si>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</si>
  <si>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</si>
  <si>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</si>
  <si>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</si>
  <si>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</si>
  <si>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</si>
  <si>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</si>
  <si>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</si>
  <si>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</si>
  <si>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</si>
  <si>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</si>
  <si>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</si>
  <si>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</si>
  <si>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</si>
  <si>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</si>
  <si>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</si>
  <si>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</si>
  <si>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</si>
  <si>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</si>
  <si>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</si>
  <si>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</si>
  <si>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</si>
  <si>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</si>
  <si>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</si>
  <si>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</si>
  <si>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</si>
  <si>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</si>
  <si>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</si>
  <si>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</si>
  <si>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</si>
  <si>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</si>
  <si>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</si>
  <si>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</si>
  <si>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</si>
  <si>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</si>
  <si>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</si>
  <si>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</si>
  <si>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</si>
  <si>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</si>
  <si>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</si>
  <si>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</si>
  <si>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</si>
  <si>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</si>
  <si>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</si>
  <si>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</si>
  <si>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</si>
  <si>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</si>
  <si>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</si>
  <si>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</si>
  <si>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</si>
  <si>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</si>
  <si>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</si>
  <si>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</si>
  <si>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</si>
  <si>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</si>
  <si>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</si>
  <si>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</si>
  <si>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</si>
  <si>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</si>
  <si>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</si>
  <si>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</si>
  <si>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</si>
  <si>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</si>
  <si>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</si>
  <si>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</si>
  <si>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</si>
  <si>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</si>
  <si>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</si>
  <si>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</si>
  <si>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</si>
  <si>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</si>
  <si>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</si>
  <si>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</si>
  <si>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</si>
  <si>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</si>
  <si>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</si>
  <si>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</si>
  <si>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</si>
  <si>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</si>
  <si>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</si>
  <si>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</si>
  <si>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</si>
  <si>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</si>
  <si>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</si>
  <si>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</si>
  <si>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</si>
  <si>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</si>
  <si>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</si>
  <si>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</si>
  <si>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</si>
  <si>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</si>
  <si>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FLANGER, DISPLAY LEGAL, DISPLAY CARTA O TABLOIDE</t>
  </si>
  <si>
    <t xml:space="preserve">INSTALACION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</si>
  <si>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</si>
  <si>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</si>
  <si>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</si>
  <si>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</si>
  <si>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</si>
  <si>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SUROCCIDENTE Y EJE CAFETERO</t>
  </si>
  <si>
    <t>76001</t>
  </si>
  <si>
    <t>TA-25-1330514</t>
  </si>
  <si>
    <t>3007082238</t>
  </si>
  <si>
    <t>APERTURA</t>
  </si>
  <si>
    <t>CB CRECIMIENTO ALIANZA - OTRAS LISTAS</t>
  </si>
  <si>
    <t>VALLE DEL CAUCA</t>
  </si>
  <si>
    <t>PTM CALI DISTRIBUIDORA LA 23 S</t>
  </si>
  <si>
    <t>REDEBAN</t>
  </si>
  <si>
    <t>FO-25-1905019 | FO-25-1884065</t>
  </si>
  <si>
    <t>CANCELADO | EJECUTADO/CANCELADO</t>
  </si>
  <si>
    <t>[FO-25-1905019] 02/12/2025 ‎POR MOTIVO QUE EL CLIENTE TUVO DILIGENCIAS MÉDICAS, "DIÓ A LUZ" NO SE PODRÁ ATENDER LA INSTALACIÓN EL DÍA DE HOY, QUEDAMOS EN REPROGRAMAR DICHO SERVICIO. | 18/12/2025 ‎SE REALIZA COMUNICACIÓN CON LA SEÑORA ISABEL CRISTINA E INDICA QUE EL DÍA DE AYER 17 DE DICIEMBRE REALIZÓ EL PROCESO DE CANCELACIÓN PORQUE SE ENCUENTRA INDISPUESTA DE SALUD QUE PARA ENERO RETOMA LA SOLICITUD DE INSTALACIÓN CON PTM. || [FO-25-1884065] 26/11/2025 26-11 PROGRAMACION REALIZADA POR LA ALIANZA| INSTALACIÓN PROGRAMADA PARA EL 2025-11-28 | 28/11/2025 SE LLEGO A EL CB DESDE TEMPRANO, POR INCONVENIENTE CON LAS TERMINALES REDEBAN REALIZO CAMBIO DE LA MISMA A UNAS NUEVAS.
‎SE CONFIGURA LA NUEVA TERMINAL COMO PURA POR SOLICITUD DE REDEBAN Y SIENDO LAS 17:00 LA TERMINAL AUN PRESENTA INCONVENIENTES, LAS CUALES AL REALIZAR PRUEBAS DA RECHAZOS GENERAL.
‎SE INDAGO CON PTM Y BANCOLOMBIA POSIBLES BLOQUEO Y ANTES LAS ENTIDADES ESTA BIEN.
‎CLIENTE INDICA QUE NO PUEDE SEGUIR CON EL PROCESO DESPUES DE LAS 5 POR MOTIVO DE SEGURIDAD DE LA ZONA Y SOLICITA LA REPROGRAMACIÓN PARA EL DIA MARTES.
‎PD. POR SOLICITUD DE REDEBAN EQUIPO QUEDARIA CON TERMINAL PURA</t>
  </si>
  <si>
    <t>SOPORTE TELEFONICO</t>
  </si>
  <si>
    <t>TERRESTRE</t>
  </si>
  <si>
    <t>TORRES GARCIA JENDRY JOSE</t>
  </si>
  <si>
    <t>86865</t>
  </si>
  <si>
    <t>TA-25-1330515</t>
  </si>
  <si>
    <t>3007082070</t>
  </si>
  <si>
    <t>PUTUMAYO</t>
  </si>
  <si>
    <t>VALLE DEL GUAMUEZ</t>
  </si>
  <si>
    <t>DISTRICOL ESTILO REAL</t>
  </si>
  <si>
    <t>FO-25-1884068</t>
  </si>
  <si>
    <t>AGREGADOR</t>
  </si>
  <si>
    <t>DISTRICOL</t>
  </si>
  <si>
    <t>EJECUTADO</t>
  </si>
  <si>
    <t>26/11/2025 26-11 PROGRAMACION REALIZADA POR LA ALIANZA| INSTALACIÓN PROGRAMADA PARA EL 2025-11-28 | 30/11/2025 SE REALIZARA DESPLAZAMIENTO EL DIA 1 DE DICIEMBRE YA QUE POR CIERRE DE VIA HACIA PUTUMAYO NO SE HA PODIDO REALIZAR | 22/12/2025 SE LLEGA A SITIO A REALIZAR INSTALACIÓN DE CORRESPONSAL BANCARIO SE CONFIGURA EQUIPO SE INICIALIZA SE REALIZA PRUEBAS DE FUNCIONAMIENTO FALLIDAS EQUIPO EN RECHAZO GENERAL SE REALIZA CAMBIO DE EQUIPO FALLA PERSISTE SE ESCALA A RBM MAIRA ALEJANDRO AUTORIZA CERRAR ORDEN POR POSIBLE BLOQUEO POR PARTE DE LA ENTIDAD SE LE INFORMA A CLIENTE QUE SE ESTÁ ALA ESPERA RESPUESTA PARA QUE PUEDA EMPEZAR A OPERAR  INSTALACION DE  PUBLICIDAD OK CAPACITACIÓN OK</t>
  </si>
  <si>
    <t>VISITA TECNICA</t>
  </si>
  <si>
    <t>OB004867</t>
  </si>
  <si>
    <t>TIPO IV</t>
  </si>
  <si>
    <t>BRAVO MADROÑERO OSCAR ESTEBAN</t>
  </si>
  <si>
    <t>REMOTAS</t>
  </si>
  <si>
    <t>73001</t>
  </si>
  <si>
    <t>TA-25-1330683</t>
  </si>
  <si>
    <t>3007082329</t>
  </si>
  <si>
    <t>CB CRECIMIENTO ALIANZA - NUEVO</t>
  </si>
  <si>
    <t>TOLIMA</t>
  </si>
  <si>
    <t>PTM  IBAGUE EL MANA DE LOS PLA</t>
  </si>
  <si>
    <t>FO-25-1898216 | FO-25-1884319</t>
  </si>
  <si>
    <t>[FO-25-1898216] 02/12/2025 CONFIRMO LA CANCELACIÓN DE LA IMPLEMENTACIÓN DEL CB 82329 POR PARTE DEL USUARIO DEBIDO A QUE EN LA PLATAFORMA DE SOMOD BANCOLOMBIA NO LE FUNCIONA EL USUARIO Y CONTRASEÑA || [FO-25-1884319] 26/11/2025 26-11 PROGRAMACION REALIZADA POR LA ALIANZA| INSTALACIÓN PROGRAMADA PARA EL 2025-11-27 | 27/11/2025 SE VISITA DIRECCIÓN INDICADA DE INSTALACIÓN DE CB, SE VALIDA CORREO DE USUARIO PARA LA PLATAFORMA SOMOS BANCOLOMBIA . EVIDENCIA QUE PRESENTA INCONSISTENCIA . POR TAL MOTIVO NO ES POSIBLE EL INGRESO A SOMOS BANCOLOMBIA
EL CLIENTE MANIFIESTA NO RECIBIR LA INSTALACIÓN DEL CB YA QUE NO PUEDE VISUALIZAR LOS MOVIMIENTOS DE LA PLATAFORMA ESTAR SEGURA DE LA OPERATIVIDAD DEL CB
INFORMA QUE SE COMUNICARA CON EL PTM PARA CORRECCIÓN DE CORREO</t>
  </si>
  <si>
    <t>GUTIERREZ  CAMILO ANDRES</t>
  </si>
  <si>
    <t>17001</t>
  </si>
  <si>
    <t>TA-25-1382428</t>
  </si>
  <si>
    <t>3007082464</t>
  </si>
  <si>
    <t>CALDAS</t>
  </si>
  <si>
    <t>DISTRICOL DROGUERIA GENERIK</t>
  </si>
  <si>
    <t>FO-25-1949034</t>
  </si>
  <si>
    <t>09/12/2025 09-12 PROGRAMACION REALIZADA POR LA ALIANZA| INSTALACIÓN PROGRAMADA PARA EL 2025-12-11 | 11/12/2025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</si>
  <si>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DA006233</t>
  </si>
  <si>
    <t>AGUIRRE HENAO RAUL EDUARDO</t>
  </si>
  <si>
    <t>COSTA</t>
  </si>
  <si>
    <t>20011</t>
  </si>
  <si>
    <t>TA-25-1382429</t>
  </si>
  <si>
    <t>3007082460</t>
  </si>
  <si>
    <t>CESAR</t>
  </si>
  <si>
    <t>AGUACHICA</t>
  </si>
  <si>
    <t>DISTRIOL PAPELERIA PERF ZAMI</t>
  </si>
  <si>
    <t>FO-25-1949036</t>
  </si>
  <si>
    <t>09/12/2025 09-12 PROGRAMACION REALIZADA POR LA ALIANZA| INSTALACIÓN PROGRAMADA PARA EL 2025-12-11 | 11/12/2025 SE REALIZA APERTURA DE CB, SE INSTALA DATAFONO, LECTOR Y PINPAD, YA QUE CLIENTE CONTABA CON VIDRIO DE SEGURIDAD, SE INSTALA PUBLICIDAD, SE ENTREGAN 40 ROLLOS, SE BRINDA CAPACITACIÓN, SE REALIZAN PRUEBAS DE TRANSACCIONES, DEJANDO SERVICIO FUNCIONAL AL 100 %</t>
  </si>
  <si>
    <t>DA006234</t>
  </si>
  <si>
    <t>MONTES DIAZ JOHN FRED</t>
  </si>
  <si>
    <t>52001</t>
  </si>
  <si>
    <t>TA-25-1382430</t>
  </si>
  <si>
    <t>3007082466</t>
  </si>
  <si>
    <t>NARIÑO</t>
  </si>
  <si>
    <t>DISTRICOL CENTROMARKET</t>
  </si>
  <si>
    <t>FO-25-1949039</t>
  </si>
  <si>
    <t>09/12/2025 09-12 PROGRAMACION REALIZADA POR LA ALIANZA| INSTALACIÓN PROGRAMADA PARA EL 2025-12-11 | 11/12/2025 SE REALIZÓ LA INSTALACIÓN DE EQUIPOS PUBLICIDAD Y ACCESORIOS PARA APERTURA CB BANCOLOMBIA SE DIO CAPACITACIÓN MANEJO DE DATÁFONO CB Y SOMOS BANCOLOMBIA SE EJECUTAN PRUEBAS TX EXITOSAS QUEDA OPERATIVO.</t>
  </si>
  <si>
    <t>DA006235</t>
  </si>
  <si>
    <t>REMICIO AMADO JOHN HEBER</t>
  </si>
  <si>
    <t>NOROCCIDENTE</t>
  </si>
  <si>
    <t>5628</t>
  </si>
  <si>
    <t>TA-25-1382432</t>
  </si>
  <si>
    <t>3007067237</t>
  </si>
  <si>
    <t>DATAFONO ADICIONAL - ALIANZA</t>
  </si>
  <si>
    <t>ANTIOQUIA</t>
  </si>
  <si>
    <t>SABANALARGA</t>
  </si>
  <si>
    <t>PTM SABANALARGA TU DROGUERIA</t>
  </si>
  <si>
    <t>FO-25-1949046</t>
  </si>
  <si>
    <t>COMCARD - PTM</t>
  </si>
  <si>
    <t>09/12/2025 09-12 PROGRAMACION REALIZADA POR LA ALIANZA| INSTALACIÓN PROGRAMADA PARA EL 2025-12-11 | 11/12/2025 SE REALIZA INSTALACIÓN DE DATAFONO ADICIONAL OK</t>
  </si>
  <si>
    <t>DA006237</t>
  </si>
  <si>
    <t>TIPO III</t>
  </si>
  <si>
    <t>QUINTERO SANCHEZ JUAN SEBASTIAN</t>
  </si>
  <si>
    <t>5001</t>
  </si>
  <si>
    <t>TA-25-1393484</t>
  </si>
  <si>
    <t>3007082483</t>
  </si>
  <si>
    <t>PTM MEDELLIN PLANET SHOPPING</t>
  </si>
  <si>
    <t>FO-25-1959628</t>
  </si>
  <si>
    <t>11/12/2025 11-12 PROGRAMACION REALIZADA POR LA ALIANZA| INSTALACIÓN PROGRAMADA PARA EL 2025-12-12 | 12/12/2025 INSTALACIÓN DE CB MIXTO OK PUBLICIDAD Y CAPACITACIÓN OK PRUEBAS SOLO CONSULTA DE SALDO NO HAY PARA MÁS CUBRE CLAVE OK NO TELECARGA</t>
  </si>
  <si>
    <t>DA007308</t>
  </si>
  <si>
    <t>PAREJA ECHAVARRIA JHON DAVID</t>
  </si>
  <si>
    <t>TA-25-1393485</t>
  </si>
  <si>
    <t>3007082484</t>
  </si>
  <si>
    <t>PTM MEDELLIN SURTIBELLEZA LOS</t>
  </si>
  <si>
    <t>FO-25-1959631</t>
  </si>
  <si>
    <t>11/12/2025 11-12 PROGRAMACION REALIZADA POR LA ALIANZA| INSTALACIÓN PROGRAMADA PARA EL 2025-12-12 | 15/12/2025 INSTALACIÓN DE CB MIXTO OK PUBLICIDAD Y CAPACITACIÓN OK PRUEBAS SOLO CONSULTA SALDO NO HAY MAS CUBRE CLAVE OK NO TELECARGA</t>
  </si>
  <si>
    <t>DA007309</t>
  </si>
  <si>
    <t>TA-25-1393486</t>
  </si>
  <si>
    <t>3007082485</t>
  </si>
  <si>
    <t>PTM MEDELLIN MINIMERCADO EL MA</t>
  </si>
  <si>
    <t>FO-25-1959633</t>
  </si>
  <si>
    <t>11/12/2025 11-12 PROGRAMACION REALIZADA POR LA ALIANZA| INSTALACIÓN PROGRAMADA PARA EL 2025-12-12 | 12/12/2025 SE HACE APERTURA DE CB EXITOSAMENTE</t>
  </si>
  <si>
    <t>DA007310</t>
  </si>
  <si>
    <t>RUA ALVAREZ RICHARD ANDRES</t>
  </si>
  <si>
    <t>SANTANDERES</t>
  </si>
  <si>
    <t>15516</t>
  </si>
  <si>
    <t>TA-25-1393487</t>
  </si>
  <si>
    <t>3007082475</t>
  </si>
  <si>
    <t>BOYACA</t>
  </si>
  <si>
    <t>PAIPA</t>
  </si>
  <si>
    <t>PTM PAIPA FARMA DIAZ MAS</t>
  </si>
  <si>
    <t>FO-25-1959638</t>
  </si>
  <si>
    <t>11/12/2025 11-12 PROGRAMACION REALIZADA POR LA ALIANZA| INSTALACIÓN PROGRAMADA PARA EL 2025-12-15 | 15/12/2025 SE REALIZA VISITA AL COMERCIO, SE INSTALAN EQUIPOS Y ACCESORIOS, SE CAPACITA AL CLIENTE Y SE HACEN PRUEBAS OK.</t>
  </si>
  <si>
    <t>DA007311</t>
  </si>
  <si>
    <t>TIPO II</t>
  </si>
  <si>
    <t>SOLER HOYOS CRISTIAN LEONARDO</t>
  </si>
  <si>
    <t>CENTRO</t>
  </si>
  <si>
    <t>25269</t>
  </si>
  <si>
    <t>TA-25-1393489</t>
  </si>
  <si>
    <t>3007082472</t>
  </si>
  <si>
    <t>CUNDINAMARCA</t>
  </si>
  <si>
    <t>FACATATIVA</t>
  </si>
  <si>
    <t>PTM FACATATIVA AUTO SERVICIO E</t>
  </si>
  <si>
    <t>FO-25-1959649</t>
  </si>
  <si>
    <t>11/12/2025 11-12 PROGRAMACION REALIZADA POR LA ALIANZA| INSTALACIÓN PROGRAMADA PARA EL 2025-12-12 | 12/12/2025 APERTURA BANCOLOMBIA OK CAPACITACIÓN OK PUBLICIDAD OK SERVICIO OPERATIVO SE REALIZA PRUEBAS CON INFORMACIÓN QUE NOS SUMINISTRO EL CLIENTE</t>
  </si>
  <si>
    <t>DA007314 - DA007184</t>
  </si>
  <si>
    <t>HERNANDEZ NARANJO OSCAR EDUARDO</t>
  </si>
  <si>
    <t>25473</t>
  </si>
  <si>
    <t>TA-25-1393490</t>
  </si>
  <si>
    <t>3007082474</t>
  </si>
  <si>
    <t>MOSQUERA</t>
  </si>
  <si>
    <t>PTM MOSQUERA PAPELERIA LISETTE</t>
  </si>
  <si>
    <t>FO-25-1959655</t>
  </si>
  <si>
    <t>11/12/2025 11-12 PROGRAMACION REALIZADA POR LA ALIANZA| INSTALACIÓN PROGRAMADA PARA EL 2025-12-12 | 12/12/2025 SE REALIZA INSTALACIÓN DE DATAFONO LECTOR BASE PUBLICIDAD COMPLETA SE CAPACITA COMERCIO SE REALIZAN PRUEBAS OK NO SE TIENE TARJETA DE BANCOLOMBIA</t>
  </si>
  <si>
    <t>DA007315</t>
  </si>
  <si>
    <t>SOTO LONDOÑO FREDY ALEXANDER</t>
  </si>
  <si>
    <t>25817</t>
  </si>
  <si>
    <t>TA-25-1393492</t>
  </si>
  <si>
    <t>3007082480</t>
  </si>
  <si>
    <t>TOCANCIPA</t>
  </si>
  <si>
    <t>PTM TOCANCIPA LOKYAN DIVERTPAR</t>
  </si>
  <si>
    <t>FO-25-1959661</t>
  </si>
  <si>
    <t>11/12/2025 11-12 PROGRAMACION REALIZADA POR LA ALIANZA| INSTALACIÓN PROGRAMADA PARA EL 2025-12-12 | 12/12/2025 INSTALACIÓN BANCOLOMBIA CON PUBLICIDAD DATAFONO LECTORA ROLLOS BASE FUENTE DATOS SERVICIO OPERATIVO PRUEBAS OK CON UNA CONSULTA DE SALDO NO HAY VINO HACER CONSIGNACION O RETIRO TRNA RBM SE INSTALA CUBRE TECLADO</t>
  </si>
  <si>
    <t>DA007316</t>
  </si>
  <si>
    <t>BUSTOS MORA DIEGO MANUEL</t>
  </si>
  <si>
    <t>27361</t>
  </si>
  <si>
    <t>TA-25-1393494</t>
  </si>
  <si>
    <t>3007082473</t>
  </si>
  <si>
    <t>CHOCO</t>
  </si>
  <si>
    <t>ISTMINA</t>
  </si>
  <si>
    <t>PTM ISTMINA TIENDA Y VARIEDADE</t>
  </si>
  <si>
    <t>FO-25-1959664</t>
  </si>
  <si>
    <t>11/12/2025 11-12 PROGRAMACION REALIZADA POR LA ALIANZA| INSTALACIÓN PROGRAMADA PARA EL 2025-12-18 | 19/12/2025 SE REALIZA INSTALACIÓN, CAPACITACION Y PRUEBAS CON EL CLIENTE YBEL CB QUEDA OPERATIVO</t>
  </si>
  <si>
    <t>DA007188 - DA007317</t>
  </si>
  <si>
    <t>TIPO V</t>
  </si>
  <si>
    <t>AEREO</t>
  </si>
  <si>
    <t>ROBLEDO DIAZ ANDRES FELIPE</t>
  </si>
  <si>
    <t>ORIENTE</t>
  </si>
  <si>
    <t>50573</t>
  </si>
  <si>
    <t>TA-25-1393495</t>
  </si>
  <si>
    <t>3007082479</t>
  </si>
  <si>
    <t>META</t>
  </si>
  <si>
    <t>PUERTO LOPEZ</t>
  </si>
  <si>
    <t>PTM META VARIEDADES JOBAP</t>
  </si>
  <si>
    <t>FO-25-1959667</t>
  </si>
  <si>
    <t>11/12/2025 11-12 PROGRAMACION REALIZADA POR LA ALIANZA| INSTALACIÓN PROGRAMADA PARA EL 2025-12-15 | 17/12/2025 SE REALIZA INSTALACION  CORRESPONSAL BANCOLOMBIA, SE REALIZAN PRUEBAS Y CAPACITACIÓN TODO OK</t>
  </si>
  <si>
    <t>DA007318 - DA007189</t>
  </si>
  <si>
    <t>PEDREROS CONTRERAS MICHAEL STEVENS</t>
  </si>
  <si>
    <t>SUROCCIDENTE</t>
  </si>
  <si>
    <t>76520</t>
  </si>
  <si>
    <t>TA-25-1393496</t>
  </si>
  <si>
    <t>3007082476</t>
  </si>
  <si>
    <t>PALMIRA</t>
  </si>
  <si>
    <t>PTM PALMIRA TIENDA Y VARIEDADE</t>
  </si>
  <si>
    <t>FO-25-1959673</t>
  </si>
  <si>
    <t>11/12/2025 11-12 PROGRAMACION REALIZADA POR LA ALIANZA| INSTALACIÓN PROGRAMADA PARA EL 2025-12-15 | 15/12/2025 SE REALIZÓ LA INSTALACIÓN DE EL CORRESPONSAL BANCOLOMBIA MIXTO, DATÁFONO, LECTOR, MAGIC BOX 2600 BASE SOPORTE DE EL DATÁFONO Y SE IMPLEMENTARON LOS ROLLOS Y LA PUBLICIDAD DE BANCOLOMBIA,SE BRINDA CAPACITACIÓN Y SE REALIZARON LAS PRUEBAS CON EL CLIENTE DEJANDO EL SERVICIO OPERANDO SIN FALLAS Y SIN NOVEDAD.</t>
  </si>
  <si>
    <t>DA007320 -DA007190</t>
  </si>
  <si>
    <t>SANCHEZ URREGO ROBINSON DAVID</t>
  </si>
  <si>
    <t>11001</t>
  </si>
  <si>
    <t>TA-25-1393497</t>
  </si>
  <si>
    <t>3007082470</t>
  </si>
  <si>
    <t>PTM BOGOTA PAGAYA</t>
  </si>
  <si>
    <t>FO-25-1959679</t>
  </si>
  <si>
    <t>11/12/2025 11-12 PROGRAMACION REALIZADA POR LA ALIANZA| INSTALACIÓN PROGRAMADA PARA EL 2025-12-12 | 12/12/2025 INSTALACIÓN DE CORRESPONSAL OK PRUEBA OK CAPACITACIÓN SOMOS BANCOLOMBIA OK CAPACITACIÓN IVA OK CAPACITACIÓN DATAFONO OK PAPELERÍA OK NO SE CUENTA CON TARJETA DE PRUEBA NI POR PARTE DE CLIENTE NO DEL TÉCNICO PARA REALIZAR PRUEBAS</t>
  </si>
  <si>
    <t>DA007322 - AE006288</t>
  </si>
  <si>
    <t>GOMEZ VEGA DAVID SNEYDER</t>
  </si>
  <si>
    <t>TA-25-1393500</t>
  </si>
  <si>
    <t>3007082482</t>
  </si>
  <si>
    <t>DISTRICOL JUGOS Y DOGS</t>
  </si>
  <si>
    <t>FO-25-1959693</t>
  </si>
  <si>
    <t>EJECUTADO/CANCELADO</t>
  </si>
  <si>
    <t>11/12/2025 11-12 PROGRAMACION REALIZADA POR LA ALIANZA| INSTALACIÓN PROGRAMADA PARA EL 2025-12-12 | 12/12/2025 LA DIRECCIÓN A LA QUE DEBO INSTALAR EL CB BANCARIO ESTÁ ERRADA, LA USUARIA INDICA QUE SE PASARON DE LOCAL HACE POCO</t>
  </si>
  <si>
    <t>23555</t>
  </si>
  <si>
    <t>TA-25-1393501</t>
  </si>
  <si>
    <t>3007082477</t>
  </si>
  <si>
    <t>CORDOBA</t>
  </si>
  <si>
    <t>PLANETA RICA</t>
  </si>
  <si>
    <t>DISTRICOL BARBERIA MR MONKEY</t>
  </si>
  <si>
    <t>FO-25-1959695</t>
  </si>
  <si>
    <t>11/12/2025 11-12 PROGRAMACION REALIZADA POR LA ALIANZA| INSTALACIÓN PROGRAMADA PARA EL 2025-12-12 | 12/12/2025 SE REALIZA APERTURA DE CB, SE DEJA INSTALADO DATAFONO PLACA 1196644, LECTOR ÓPTICO PLACA 114348, AVISO EXTERIOR, FLANGGER, DISPLAY HORARIO, OTROS LUGARES, CUBRE CLAVES Y ACCESORIOS, SE REALIZAN PRUEBAS Y SE DEJA EL CB LISTO PARA OPERACIONES.</t>
  </si>
  <si>
    <t>DA007312</t>
  </si>
  <si>
    <t>CASSIANI PEREZ RAUL RAMIRO</t>
  </si>
  <si>
    <t>23855</t>
  </si>
  <si>
    <t>TA-25-1393502</t>
  </si>
  <si>
    <t>3007082481</t>
  </si>
  <si>
    <t>VALENCIA</t>
  </si>
  <si>
    <t>DISTRICOL ABARROTES Y LEGUMBRE</t>
  </si>
  <si>
    <t>FO-25-1959698</t>
  </si>
  <si>
    <t>11/12/2025 11-12 PROGRAMACION REALIZADA POR LA ALIANZA| INSTALACIÓN PROGRAMADA PARA EL 2025-12-15 | 15/12/2025 SE REALIZA VISITA TÉCNICA PARA APERTURA DE CB, SE INSTALA DATAFONO PLACA 1192218, LECTORA SYMBOL PLACA 892689, AVISO EXTERIOR, FLANGGER, DISPLAY HORARIO, OTROS LUGARES, CUBRE CLAVES Y ACCESORIOS, SE REALIZA CAPACITACIÓN Y PRUEBAS DEJANDO CB LISTOS PARA OPERACIONES.</t>
  </si>
  <si>
    <t>DA007313</t>
  </si>
  <si>
    <t>54001</t>
  </si>
  <si>
    <t>TA-25-1393503</t>
  </si>
  <si>
    <t>3007082471</t>
  </si>
  <si>
    <t>NORTE DE SANTANDER</t>
  </si>
  <si>
    <t>DISTRICOL SURTI RINCON S</t>
  </si>
  <si>
    <t>FO-25-1959702</t>
  </si>
  <si>
    <t>11/12/2025 11-12 PROGRAMACION REALIZADA POR LA ALIANZA| INSTALACIÓN PROGRAMADA PARA EL 2025-12-15 | 15/12/2025 SE REALIZA LLAMADA TELEFÓNICA AL NÚMERO 3028227979 SE HABLÓ CON EL SR ISLANDER, MANIFIESTA DISPONIBILIDAD, INTERNET TODO OK, SE PROCEDE A REALIZAR VISITA TÉCNICA | 15/12/2025 SE REALIZA VISITA AL COMERCIO Y SE REALIZA INSTALACIÓN DE DATAFONO, LECTORA, CABLEADO, IDENTIFICADOR DE PUNTO, CAPACITACIÓN SOMOS BANCOLOMBIA OK, PUBLICIDAD BANCOLOMBIA INSTALADA OK, PRUEBAS EXITOSAS</t>
  </si>
  <si>
    <t>DA007319</t>
  </si>
  <si>
    <t>MORA VEGA JEAMPIER</t>
  </si>
  <si>
    <t>86568</t>
  </si>
  <si>
    <t>TA-25-1393504</t>
  </si>
  <si>
    <t>3007082478</t>
  </si>
  <si>
    <t>PUERTO ASIS</t>
  </si>
  <si>
    <t>DISTRICOL ESTACION AVENIDA PAP</t>
  </si>
  <si>
    <t>FO-25-1959706</t>
  </si>
  <si>
    <t>11/12/2025 11-12 PROGRAMACION REALIZADA POR LA ALIANZA| INSTALACIÓN PROGRAMADA PARA EL 2025-12-15 | 16/12/2025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</si>
  <si>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DA007321</t>
  </si>
  <si>
    <t>CASTILLO HERRERA ALEX RICARDO</t>
  </si>
  <si>
    <t>76834</t>
  </si>
  <si>
    <t>TA-25-1393507</t>
  </si>
  <si>
    <t>3007081266</t>
  </si>
  <si>
    <t>TULUA</t>
  </si>
  <si>
    <t>DISTRICOL PAGOS Y MAX</t>
  </si>
  <si>
    <t>FO-25-1959714</t>
  </si>
  <si>
    <t>11/12/2025 11-12 PROGRAMACION REALIZADA POR LA ALIANZA| INSTALACIÓN PROGRAMADA PARA EL 2025-12-12 | 12/12/2025 EN LA VISITA TÉCNICA SE REALIZÓ LA INSTALACIÓN DE DATÁFONO ADICIONAL,CON LECTOR DE CÓDIGO DE BARRAS, MAGIC BOX 2600,BASE SOPORTE DE DATÁFONO,SE IMPLEMENTARON LOS ROLLOS DE REDEBAN,SE REPASA MANUAL OPERATIVO Y CAPACITACIÓN,SE CREARON LOS USUARIOS Y SE REALIZA LA OPERACIÓN DE PRUEBA CON EL CLIENTE DEJANDO EL SERVICIO OPERANDO SIN FALLAS Y SIN NOVEDAD</t>
  </si>
  <si>
    <t>DA007324</t>
  </si>
  <si>
    <t>TA-25-1429935</t>
  </si>
  <si>
    <t>3007082514</t>
  </si>
  <si>
    <t>DISTRICOL SUPERMERCADO EL PLAN</t>
  </si>
  <si>
    <t>FO-25-1989973</t>
  </si>
  <si>
    <t>17/12/2025 17-12 PROGRAMACION REALIZADA POR LA ALIANZA| INSTALACIÓN PROGRAMADA PARA EL 2025-12-19 | 19/12/2025 INSTALACIÓN DE CB PURO OK PUBLICIDAD Y CAPACITACIÓN OK PRUEBAS SOLO DEPOSITO NO HAY MAS CUBRE CLAVE OK NO TELECARGA</t>
  </si>
  <si>
    <t>FB007684</t>
  </si>
  <si>
    <t>5615</t>
  </si>
  <si>
    <t>TA-25-1429940</t>
  </si>
  <si>
    <t>3007082503</t>
  </si>
  <si>
    <t>RIONEGRO</t>
  </si>
  <si>
    <t>PTM RIONEGRO LA MEJOR ESQUINA</t>
  </si>
  <si>
    <t>FO-25-1989979</t>
  </si>
  <si>
    <t>17/12/2025 17-12 PROGRAMACION REALIZADA POR LA ALIANZA| INSTALACIÓN PROGRAMADA PARA EL 2025-12-19 | 19/12/2025 SE INSTALA CORRESPONSAL BANCARIO, PRUEBAS OK, SE REALIZA CAPACITACIÓN SOMOS BANCOLOMBIA Y DATAFONO</t>
  </si>
  <si>
    <t>FB007686</t>
  </si>
  <si>
    <t>BADEL ACUÑA LUIS ALBERTO</t>
  </si>
  <si>
    <t>5642</t>
  </si>
  <si>
    <t>TA-25-1429942</t>
  </si>
  <si>
    <t>3007082504</t>
  </si>
  <si>
    <t>SALGAR</t>
  </si>
  <si>
    <t>DISTRICOL ACCESORIOS 30</t>
  </si>
  <si>
    <t>FO-25-1989982</t>
  </si>
  <si>
    <t>17/12/2025 17-12 PROGRAMACION REALIZADA POR LA ALIANZA| INSTALACIÓN PROGRAMADA PARA EL 2025-12-18 | 18/12/2025 SE REALIZA INSTALACIÓN DE EQUIPO, SE CAPACITA Y SE INSTALA PUBLICIDAD PRUEBAS EXITOSAS SERVICIO OPERATIVO OK</t>
  </si>
  <si>
    <t>FB007687</t>
  </si>
  <si>
    <t>ZAPATA LOPEZ EDWARD ASDRUBAL</t>
  </si>
  <si>
    <t>5674</t>
  </si>
  <si>
    <t>TA-25-1429944</t>
  </si>
  <si>
    <t>3007082511</t>
  </si>
  <si>
    <t>SAN VICENTE</t>
  </si>
  <si>
    <t>DISTRICOL BENDITA BELLEZA</t>
  </si>
  <si>
    <t>FO-25-1989985</t>
  </si>
  <si>
    <t>17/12/2025 17-12 PROGRAMACION REALIZADA POR LA ALIANZA| INSTALACIÓN PROGRAMADA PARA EL 2025-12-19 | 19/12/2025 SE EJECUTA VISITA TÉCNICA PARA LA INSTALACIÓN DEL CORRESPONSAL BANCOLOMBIA EL USUARIO VALIDA SU IDENTIDAD Y DEFINE EL ÁREA DESTINADA PARA LA UBICACIÓN DEL EQUIPO SE VERIFICA QUE EL ESTABLECIMIENTO CUMPLA CON LOS REQUISITOS DE INFRAESTRUCTURA ELÉCTRICA DE RED Y DE SEGURIDAD CONFIRMANDO QUE TODO SE ENCUENTRA CONFORME EL USUARIO INFORMA QUE NO ES VIABLE INSTALAR EL AVISO EXTERIOR EN LA FACHADA DEBIDO A RESTRICCIONES DE DIMENSIONES MATERIAL DE LA SUPERFICIE Y DISPOSICIONES DE INSPECCIÓN MUNICIPAL POR LO CUAL SE PROCEDE A INSTALAR EL AVISO EN ÁREA INTERNA SE REALIZA LA CONFIGURACIÓN COMPLETA DEL TERMINAL INCLUYENDO PARÁMETROS DE RED PERIFÉRICOS Y PRUEBAS DE CONECTIVIDAD POSTERIORMENTE SE DESARROLLA CAPACITACIÓN AL USUARIO SOBRE LA PLATAFORMA SOMOS BANCOLOMBIA OPERACIÓN DE LOS DISPOSITIVOS Y FLUJO DE TRANSACCIONES FINALMENTE SE VALIDAN OPERACIONES DE PRUEBA CON RESULTADOS EXITOSOS DEJANDO EL PUNTO OPERATIVO EN CONDICIONES ÓPTIMAS</t>
  </si>
  <si>
    <t>FB007688</t>
  </si>
  <si>
    <t>MARTINEZ TOVAR OSCAR DAVID</t>
  </si>
  <si>
    <t>5679</t>
  </si>
  <si>
    <t>TA-25-1429946</t>
  </si>
  <si>
    <t>3007082506</t>
  </si>
  <si>
    <t>SANTA BARBARA</t>
  </si>
  <si>
    <t>PTM CORREGIMIENTO DE VERSALLES</t>
  </si>
  <si>
    <t>FO-25-1989991</t>
  </si>
  <si>
    <t>17/12/2025 17-12 PROGRAMACION REALIZADA POR LA ALIANZA| INSTALACIÓN PROGRAMADA PARA EL 2025-12-19 | 19/12/2025 SE INSTALAN EQUIPOS OK</t>
  </si>
  <si>
    <t>FB007689</t>
  </si>
  <si>
    <t>15238</t>
  </si>
  <si>
    <t>TA-25-1429950</t>
  </si>
  <si>
    <t>3007082505</t>
  </si>
  <si>
    <t>DUITAMA</t>
  </si>
  <si>
    <t>DISTRICOL GRAN MERKA EXITO</t>
  </si>
  <si>
    <t>FO-25-1989994</t>
  </si>
  <si>
    <t>17/12/2025 17-12 PROGRAMACION REALIZADA POR LA ALIANZA| INSTALACIÓN PROGRAMADA PARA EL 2025-12-18 | 18/12/2025 SE LOGRA COMUNICACION CON EL CLIENTE, CLIENTE CONFIRMA VISITA, CONFIRMA ALTURA DE 2 METROS PARA EL AVISO EXTERIOR Y PUNTO DE RED. | 18/12/2025 SE REALIZA VISITA AL COMERCIO, SE INSTALAN EQUIPOS Y PUBLICIDAD, SE CAPACITA AL CLIENTE Y SE HACEN PRUEBAS OK.</t>
  </si>
  <si>
    <t>FB007690</t>
  </si>
  <si>
    <t>20770</t>
  </si>
  <si>
    <t>TA-25-1429953</t>
  </si>
  <si>
    <t>3007082512</t>
  </si>
  <si>
    <t>SAN MARTIN</t>
  </si>
  <si>
    <t>PTM SAN MARTIN THE BARBER SHOP</t>
  </si>
  <si>
    <t>FO-25-1989998</t>
  </si>
  <si>
    <t>17/12/2025 17-12 PROGRAMACION REALIZADA POR LA ALIANZA| INSTALACIÓN PROGRAMADA PARA EL 2025-12-18 | 18/12/2025 CLIENTE CONTACTADO AL NÚMERO DE TELÉFONO 3184486559 , LA SEÑORITA YOHANA INDICA TENER DISPONIBILIDAD PARA HORAS DE LA TARDE | 19/12/2025 SE REALIZA APERTURA DE CB BANCOLOMBIA MIXTO , SE INSTALA DATAFONO LECTOR DE BARRAS BASE DE DATÁFONO USUARIO CAPACITACIÓN PUBLICIDAD COMPLETA PRUEBAS OK CUBRE CLAVE OK</t>
  </si>
  <si>
    <t>FB007691 - FB007426</t>
  </si>
  <si>
    <t>HERRERA LUQUE SAUL JAVIER</t>
  </si>
  <si>
    <t>25307</t>
  </si>
  <si>
    <t>TA-25-1429955</t>
  </si>
  <si>
    <t>3007082507</t>
  </si>
  <si>
    <t>GIRARDOT</t>
  </si>
  <si>
    <t>PTM GIRARDOT MISCELANEA YAPAME</t>
  </si>
  <si>
    <t>FO-25-1990000</t>
  </si>
  <si>
    <t>17/12/2025 17-12 PROGRAMACION REALIZADA POR LA ALIANZA| INSTALACIÓN PROGRAMADA PARA EL 2025-12-19 | 19/12/2025 SE LLEGA A COMERCIO, SE REALIZA INSTALACIÓN APERTURA BANCOLOMBIA, CREANDO USUARIOS,BASE-DATAFONO-ROLLOS, AVISO EXTERIOR, PRUEBAS EXITOSAS.</t>
  </si>
  <si>
    <t>FB007692 - FB007424</t>
  </si>
  <si>
    <t>ARIAS QUILINDO JULIAN</t>
  </si>
  <si>
    <t>50313</t>
  </si>
  <si>
    <t>TA-25-1429957</t>
  </si>
  <si>
    <t>3007082509</t>
  </si>
  <si>
    <t>GRANADA</t>
  </si>
  <si>
    <t>DISTRICOL MERCA AHORRO J Y S</t>
  </si>
  <si>
    <t>FO-25-1990007</t>
  </si>
  <si>
    <t>17/12/2025 17-12 PROGRAMACION REALIZADA POR LA ALIANZA| INSTALACIÓN PROGRAMADA PARA EL 2025-12-18 | 18/12/2025 SE REALIZA IMPLEMENTACIÓN DE CORRESPONSAL REALIZANDO CAPACITACIONE ENTREGA DE PUBLICIDAD SE REALIZA TRANZACION DE ENTREGANDO OPERATIVO SIN NOVEDAD</t>
  </si>
  <si>
    <t>FB007693</t>
  </si>
  <si>
    <t>ROZO JIMENEZ EDGAR ARMANDO</t>
  </si>
  <si>
    <t>TA-25-1429959</t>
  </si>
  <si>
    <t>3007082502</t>
  </si>
  <si>
    <t>DISTRICOL TUCOLPAGOS</t>
  </si>
  <si>
    <t>FO-25-1990011</t>
  </si>
  <si>
    <t>17/12/2025 17-12 PROGRAMACION REALIZADA POR LA ALIANZA| INSTALACIÓN PROGRAMADA PARA EL 2025-12-19 | 19/12/2025 SE COMUNICA CON LA CLIENTE GRECIA YECENIA AL # 3238162180, NOS CONFIRMA VISITA OK, INSTALACIONES DEL COMERCIO OK, SE PROGRAMA VISITA EN SITIO. | 19/12/2025 SE REALIZA APERTURA, SE INSTALA DATAFONO, BASE, SCANNER, AVISO, PUBLICIDAD DEL BANCO, SE REALIZA CAPACITACION, PRUEBAS Y CIERRES OK, CB OPERATIVO.</t>
  </si>
  <si>
    <t>FB007694</t>
  </si>
  <si>
    <t>NARANJO AFANADOR RUBEN JESUS</t>
  </si>
  <si>
    <t>68001</t>
  </si>
  <si>
    <t>TA-25-1429961</t>
  </si>
  <si>
    <t>3007082499</t>
  </si>
  <si>
    <t>SANTANDER</t>
  </si>
  <si>
    <t>DISTRICOL PAPELERIA ESDANY</t>
  </si>
  <si>
    <t>FO-25-1990014</t>
  </si>
  <si>
    <t>17/12/2025 17-12 PROGRAMACION REALIZADA POR LA ALIANZA| INSTALACIÓN PROGRAMADA PARA EL 2025-12-18 | 18/12/2025 SE ESTABLECE COMUNICACIÓN CON LA SEÑORA JENNY AL NÚMERO 3178841399 SE CONFIRMA PUERTO DE RED Y TOMA CORRIENTE DISPONIBLE PARA LA ACTIVIDAD SE PROCEDE CON EL DESPLAZAMIENTO | 18/12/2025 SE HACE PRESENCIA EN COMERCIO SE REALIZA INSTALACIÓN DE 1 DATÁFONO CON SU RESPECTIVO LECTOR DE BARRAS FUENTE Y CABLE DE PODER Y BRAZO DE SOPORTE SE CAPACITA PERSONAL PARA EL MANEJO DEL POS, SE REALIZA INSTALACIÓN DE 1 AVISO EXTERIOR 1 FLANGER Y 1 DISPLAY DE HORARIO 
SEE REALIZAN PRUEBAS CONSULTA DE SALDO, RETIRO Y DEPÓSITO OK</t>
  </si>
  <si>
    <t>FB007695</t>
  </si>
  <si>
    <t>BARRERA ORTEGA MARLON STWAR</t>
  </si>
  <si>
    <t>68307</t>
  </si>
  <si>
    <t>TA-25-1429963</t>
  </si>
  <si>
    <t>3007082508</t>
  </si>
  <si>
    <t>GIRON</t>
  </si>
  <si>
    <t>DISTRICOL BOMBASTIC MIX</t>
  </si>
  <si>
    <t>FO-25-1990021</t>
  </si>
  <si>
    <t>17/12/2025 17-12 PROGRAMACION REALIZADA POR LA ALIANZA| INSTALACIÓN PROGRAMADA PARA EL 2025-12-18 | 18/12/2025 SE INSTALA DATAFONO, LECTOR, CABLES Y FUENTE DE PODER, SE INSTALA PUBLICIDAD COMPLETA, SE CAPACITA MANEJO CORRESPONSAL, CIERRES, CUADRO DIARIO COMPENSACIÓN, MANEJO DATAFONO OK, PRUEBAS OK, INSTALACIÓN EXITOSA, PÁGINA SOMOS BANCOLOMBIA PRUEBA OK</t>
  </si>
  <si>
    <t>FB007696</t>
  </si>
  <si>
    <t>GELVEZ MOGOLLON JOSE ELISEO</t>
  </si>
  <si>
    <t>68547</t>
  </si>
  <si>
    <t>TA-25-1429966</t>
  </si>
  <si>
    <t>3007082510</t>
  </si>
  <si>
    <t>PIEDECUESTA</t>
  </si>
  <si>
    <t>PTM PIEDECUESTA DROGUERIA Y PA</t>
  </si>
  <si>
    <t>FO-25-1990025</t>
  </si>
  <si>
    <t>17/12/2025 17-12 PROGRAMACION REALIZADA POR LA ALIANZA| INSTALACIÓN PROGRAMADA PARA EL 2025-12-18 | 18/12/2025 INSTALACIÓN, CONFIGURACIÓN Y CAPACITACIÓN DE MANEJO DE TERMINAL, PRUEBAS EXITOSA</t>
  </si>
  <si>
    <t>FB007697</t>
  </si>
  <si>
    <t>PEÑA DIAZ IVAN YESID</t>
  </si>
  <si>
    <t>TA-25-1429969</t>
  </si>
  <si>
    <t>3007082500</t>
  </si>
  <si>
    <t>PTM CALI MISCELANEA Y PAPELERI</t>
  </si>
  <si>
    <t>FO-25-1990033</t>
  </si>
  <si>
    <t>17/12/2025 17-12 PROGRAMACION REALIZADA POR LA ALIANZA| INSTALACIÓN PROGRAMADA PARA EL 2025-12-18 | 18/12/2025 SE LLAMA AL CLIENTE, SE VALIDA LA VISITA DE LA INSTALACION, DIRECCION Y DISPONIBILIDAD, SE VISITA EL COMERCIO, SE INSTALA DATAFONO, LECTORA, ACCESORIOS EN APERTURA CB BANCOLOMBIA MIXTO, INSTALÓ PUBLICIDAD, SE CAPACITA, PRUEBAS OK, TELECARGA TRNA</t>
  </si>
  <si>
    <t>FB007698</t>
  </si>
  <si>
    <t>HERRERA MONAR GEOVANNY</t>
  </si>
  <si>
    <t>TA-25-1429972</t>
  </si>
  <si>
    <t>3007082513</t>
  </si>
  <si>
    <t>PTM TULUA CORREO Y DOMICILIOS</t>
  </si>
  <si>
    <t>FO-25-1999658 | FO-25-1990037</t>
  </si>
  <si>
    <t>[FO-25-1999658] 19/12/2025 SE VISITA CORRESPONSAL Y SE PROCEDE A REALIZA INSTALACIÓN DE PIN PAD. TRANSACCIONES DE PRUEBA EXITOSAS || [FO-25-1990037] 17/12/2025 17-12 PROGRAMACION REALIZADA POR LA ALIANZA| INSTALACIÓN PROGRAMADA PARA EL 2025-12-18 | 18/12/2025 SE VISITA ESTABLECIMIENTO, SE REALIZA INSTALACIÓN CORRESPONSAL BANCOLOMBIA. TRANSACCIONES DE PRUEBA EXITOSAS SOLO CON LAS QUE DISPONE EL CLIENTE Y SE REALIZARON PRUEBAS CON TARJETA DE OTRO BANCO PARA SIMULAR PROCESO . SE INSTALA PUBLICIDAD COMPLETA Y SE CAPACITA.</t>
  </si>
  <si>
    <t>BOLAÑOS TABORDA JORGE ENRIQUE</t>
  </si>
  <si>
    <t>85001</t>
  </si>
  <si>
    <t>TA-25-1429974</t>
  </si>
  <si>
    <t>3007082515</t>
  </si>
  <si>
    <t>CASANARE</t>
  </si>
  <si>
    <t>DISTRICOL MISCELANEA LAVADERO</t>
  </si>
  <si>
    <t>FO-25-1990041</t>
  </si>
  <si>
    <t>17/12/2025 17-12 PROGRAMACION REALIZADA POR LA ALIANZA| INSTALACIÓN PROGRAMADA PARA EL 2025-12-18 | 18/12/2025 SE VISITA COMERCIO, SE INSTALA DATÁFONO LECTOR BASE Y CUBRE TECLADO. PRUEBAS OK. OPERATIVO EL SERVICIO. SOMOS BANCOLOMBIA OK. SE CAPACITA CLIENTE. NO SE REALIZA PRUEBA DE TRANSFERENCIA NO SE CUENTA CON TARJETA</t>
  </si>
  <si>
    <t>FB007700</t>
  </si>
  <si>
    <t>BERNAL ELAICA EDGAR ALEXIS</t>
  </si>
  <si>
    <t>TA-25-1429976</t>
  </si>
  <si>
    <t>3007082516</t>
  </si>
  <si>
    <t>DISTRICOL CASFARMA YOPAL</t>
  </si>
  <si>
    <t>FO-25-1990045</t>
  </si>
  <si>
    <t>17/12/2025 17-12 PROGRAMACION REALIZADA POR LA ALIANZA| INSTALACIÓN PROGRAMADA PARA EL 2025-12-19 | 20/12/2025 SE VISITA COMERCIO, SE INSTALA DATÁFONO LECTOR BASE Y CUBRE TECLADO. PRUEBAS OK. OPERATIVO EL SERVICIO. SE CAPACITA CLIENTE SOMOS BANCOLOMBIA OK. NO SE REALIZA PRUEBA DE TRANSFERENCIA NO SE CUENTA CON TARJETA</t>
  </si>
  <si>
    <t>FB007701</t>
  </si>
  <si>
    <t>TA-25-1429979</t>
  </si>
  <si>
    <t>3007082498</t>
  </si>
  <si>
    <t>PTM BOGOTA MTG PRINCIPAL</t>
  </si>
  <si>
    <t>FO-25-1990054</t>
  </si>
  <si>
    <t>17/12/2025 17-12 PROGRAMACION REALIZADA POR LA ALIANZA| INSTALACIÓN PROGRAMADA PARA EL 2025-12-19 | 26/12/2025 SE REALIZA APERTURA DE CORRESPONSAL BANCOLOMBIA, SE INSTALA PUBLICIDAD, EQUIPOS . SE REALIZA CAPACITACIÓN AL RESPONSABLE DEL CB Y SE ENTREGAN LOS ROLLOS PARA EL PUNTO</t>
  </si>
  <si>
    <t>FB007702</t>
  </si>
  <si>
    <t>ALARCON AREVALO JOHAN STIVEN</t>
  </si>
  <si>
    <t>TA-25-1429983</t>
  </si>
  <si>
    <t>3007082496</t>
  </si>
  <si>
    <t>PTM BOGOTA COMPU EMI</t>
  </si>
  <si>
    <t>FO-25-1990059</t>
  </si>
  <si>
    <t>17/12/2025 17-12 PROGRAMACION REALIZADA POR LA ALIANZA| INSTALACIÓN PROGRAMADA PARA EL 2025-12-19 | 19/12/2025 APERTURA BANCOLOMBIA OK CAPACITACIÓN OK PUBLICIDAD OK SERVICIO OPERATIVO</t>
  </si>
  <si>
    <t>FB007703</t>
  </si>
  <si>
    <t>5631</t>
  </si>
  <si>
    <t>TA-25-1429995</t>
  </si>
  <si>
    <t>3007082468</t>
  </si>
  <si>
    <t>SABANETA</t>
  </si>
  <si>
    <t>DISTRICOL PARENTESIS A&amp;C</t>
  </si>
  <si>
    <t>FO-25-1990081</t>
  </si>
  <si>
    <t>17/12/2025 17-12 PROGRAMACION REALIZADA POR LA ALIANZA| INSTALACIÓN PROGRAMADA PARA EL 2025-12-18 | 18/12/2025 SE HACE IMPLEMENTACION OK EQUIPOS OPERATIVOS PRUEBAS EXITOSAS SOMOS BANCOLOMBIA ACTIVO, CAPACITACIÓN Y PUBLICIDAD OK</t>
  </si>
  <si>
    <t>FB007708</t>
  </si>
  <si>
    <t>DIAZ ZABALA FRANCIS DUBAN</t>
  </si>
  <si>
    <t>TA-25-1446312</t>
  </si>
  <si>
    <t>3007082585</t>
  </si>
  <si>
    <t>DISTRICOL DROGUERIA SIRDALUD</t>
  </si>
  <si>
    <t>FO-25-2024417</t>
  </si>
  <si>
    <t>23/12/2025 23-12 PROGRAMACION REALIZADA POR LA ALIANZA| INSTALACIÓN PROGRAMADA PARA EL 2025-12-24 | 24/12/2025 INSTALACIÓN DE CB PURO OK PUBLICIDAD Y CAPACITACIÓN OK PRUEBAS SOLO CONSULTA DE SALDO NO HAY PARA MÁS CUBRE CLAVE OK NO TELECARGA</t>
  </si>
  <si>
    <t>OB007835</t>
  </si>
  <si>
    <t>TA-25-1446314</t>
  </si>
  <si>
    <t>3007082586</t>
  </si>
  <si>
    <t>DISTRICOL TIENDA DEL PELUQUERO</t>
  </si>
  <si>
    <t>FO-25-2024424</t>
  </si>
  <si>
    <t>23/12/2025 23-12 PROGRAMACION REALIZADA POR LA ALIANZA| INSTALACIÓN PROGRAMADA PARA EL 2025-12-24 | 24/12/2025 SE INSTALAN EQUIPOS OK</t>
  </si>
  <si>
    <t>OB007836</t>
  </si>
  <si>
    <t>TA-25-1446315</t>
  </si>
  <si>
    <t>3007082587</t>
  </si>
  <si>
    <t>DISTRICOL COMERCIALIZADORA KTE</t>
  </si>
  <si>
    <t>FO-25-2024425</t>
  </si>
  <si>
    <t>23/12/2025 23-12 PROGRAMACION REALIZADA POR LA ALIANZA| INSTALACIÓN PROGRAMADA PARA EL 2025-12-24 | 24/12/2025 INSTALACIÓN CB OK</t>
  </si>
  <si>
    <t>OB007837</t>
  </si>
  <si>
    <t>5148</t>
  </si>
  <si>
    <t>TA-25-1446316</t>
  </si>
  <si>
    <t>3007082555</t>
  </si>
  <si>
    <t>EL CARMEN DE VIBORAL</t>
  </si>
  <si>
    <t>DISTRICOL SOLOACEITES</t>
  </si>
  <si>
    <t>FO-25-2024427</t>
  </si>
  <si>
    <t>23/12/2025 23-12 PROGRAMACION REALIZADA POR LA ALIANZA| INSTALACIÓN PROGRAMADA PARA EL 2025-12-26 | 26/12/2025 SE INSTALAN EQUIPOS OK</t>
  </si>
  <si>
    <t>OB007838</t>
  </si>
  <si>
    <t>5212</t>
  </si>
  <si>
    <t>TA-25-1446317</t>
  </si>
  <si>
    <t>3007082566</t>
  </si>
  <si>
    <t>COPACABANA</t>
  </si>
  <si>
    <t>DISTRICOL HAPPY PETS</t>
  </si>
  <si>
    <t>FO-25-2024436</t>
  </si>
  <si>
    <t>23/12/2025 23-12 PROGRAMACION REALIZADA POR LA ALIANZA| INSTALACIÓN PROGRAMADA PARA EL 2025-12-24 | 24/12/2025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PERO ESTE PRESENTA FALLA EN EL PUERTO USB DONDE SE CONECTA EL LECTOR POR LO CUAL SE REALIZA CAMBIO DE EQUIPO DEBIDO AL DAÑO EN LA USB EL NUEVO EQUIPO SE CONFIGURA Y QUEDA OPERATIVO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t>
  </si>
  <si>
    <t>OB007839</t>
  </si>
  <si>
    <t>5308</t>
  </si>
  <si>
    <t>TA-25-1446319</t>
  </si>
  <si>
    <t>3007082543</t>
  </si>
  <si>
    <t>GIRARDOTA</t>
  </si>
  <si>
    <t>DISTRICOL MARKET FACIL</t>
  </si>
  <si>
    <t>FO-25-2024438</t>
  </si>
  <si>
    <t>23/12/2025 23-12 PROGRAMACION REALIZADA POR LA ALIANZA| INSTALACIÓN PROGRAMADA PARA EL 2025-12-24 | 24/12/2025 SE REALIZA INSTALACIÓN Y CONFIGURACIÓN DEL EQUIPO, SE REALIZA CAPACITACIÓN DEL CORRESPONSAL BANCARIO Y SE INSTALA PUBLICIDAD SE REALIZAN PRUEBAS EXITOSAS SERVICIO OPERATIVO</t>
  </si>
  <si>
    <t>OB007840</t>
  </si>
  <si>
    <t>5440</t>
  </si>
  <si>
    <t>TA-25-1446321</t>
  </si>
  <si>
    <t>3007082584</t>
  </si>
  <si>
    <t>MARINILLA</t>
  </si>
  <si>
    <t>DISTRICOL SEX SHOP TIA SEXY</t>
  </si>
  <si>
    <t>FO-25-2024447</t>
  </si>
  <si>
    <t>23/12/2025 23-12 PROGRAMACION REALIZADA POR LA ALIANZA| INSTALACIÓN PROGRAMADA PARA EL 2025-12-26 | 26/12/2025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t>
  </si>
  <si>
    <t>OB007842</t>
  </si>
  <si>
    <t>5736</t>
  </si>
  <si>
    <t>TA-25-1446323</t>
  </si>
  <si>
    <t>3007082552</t>
  </si>
  <si>
    <t>SEGOVIA</t>
  </si>
  <si>
    <t>DISTRICOL MAYRA SEGOVIA</t>
  </si>
  <si>
    <t>FO-25-2050073 | FO-25-2024451</t>
  </si>
  <si>
    <t>EJECUTADO | EJECUTADO/CANCELADO</t>
  </si>
  <si>
    <t>[FO-25-2050073]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t>
  </si>
  <si>
    <t>OB007843</t>
  </si>
  <si>
    <t>TA-25-1446324</t>
  </si>
  <si>
    <t>3007082577</t>
  </si>
  <si>
    <t>DISTRICOL PLANETARIO 2000</t>
  </si>
  <si>
    <t>FO-25-2024454</t>
  </si>
  <si>
    <t>23/12/2025 23-12 PROGRAMACION REALIZADA POR LA ALIANZA| INSTALACIÓN PROGRAMADA PARA EL 2025-12-26 | 26/12/2025 NO SE ENCUENTRA TIQUETE EN TÉRMINAL POR ALTO FLUJO DE PASAJERO. EN TAQUILLA INFORMAN QUE YA ESTÁN SOBRE VENDIDOS SE LE INFORMA AL USUARIO | 30/12/2025 SE HACE IMPLEMENTACION OK EQUIPOS OPERATIVOS PRUEBAS EXITOSAS SOMOS BANCOLOMBIA ACTIVO PUBLICIDAD OK EQUIPOS OPERATIVOS SE DA CAPACITACIÓN DEL MENÚS DEL DATAFONO Y SOMOS BANCOLOMBIA OK</t>
  </si>
  <si>
    <t>OB007844</t>
  </si>
  <si>
    <t>5790</t>
  </si>
  <si>
    <t>TA-25-1446325</t>
  </si>
  <si>
    <t>3007082578</t>
  </si>
  <si>
    <t>TARAZA</t>
  </si>
  <si>
    <t>DISTRICOL COSTILLAS AHUMADAS</t>
  </si>
  <si>
    <t>FO-25-2024456</t>
  </si>
  <si>
    <t>23/12/2025 23-12 PROGRAMACION REALIZADA POR LA ALIANZA| INSTALACIÓN PROGRAMADA PARA EL 2025-12-26 | 26/12/2025 SE LLEGA A TERMINAR A COMPRAR PASAJE A TARAZA Y EN LAS FLOTAS  Y POR LA AFLUENCIA DE PASAJEROS INDICAN QUE NO HAY CUPO, SE LLAMA A CLIENTE Y SE LE COMENTA LA SITUACIÓN DE LOS PASAJES, SE CONVERSA CON EL SEÑLOR JHON COLORADO E INDICA QUE SE PODRIA HACER EL LUNES | 29/12/2025 INSTALACIÓN CB OK</t>
  </si>
  <si>
    <t>OB007845</t>
  </si>
  <si>
    <t>13001</t>
  </si>
  <si>
    <t>TA-25-1446326</t>
  </si>
  <si>
    <t>3007082564</t>
  </si>
  <si>
    <t>BOLIVAR</t>
  </si>
  <si>
    <t>DISTRICOL TIENDA LOS RECUERDOS</t>
  </si>
  <si>
    <t>FO-25-2024462</t>
  </si>
  <si>
    <t>23/12/2025 23-12 PROGRAMACION REALIZADA POR LA ALIANZA| INSTALACIÓN PROGRAMADA PARA EL 2025-12-26 | 26/12/2025 SE INTENTO REALIZAR COMUNICACION CON EL PUNTO EN VARIAS OCACIONES Y NO FUE POSIBLE OBTENER RESPUESTA | 26/12/2025 SE LLEGO AL SITIO Y SE PRESENTÓ NOVEDAD CON EL NOMBRE DEL COMERCIO EL SEÑOR EDINSON SAMBONY AUTORIZA LA INSTALACIÓN | 26/12/2025 SE REALIZA INSTALACIÓN DE CORRESPONSAL SE ESCALO NOVEDAD POR NOMBRE DE COMERCIO E INFORMAN AUTORIZADO PARA REALIZAR LA INSTALACIÓN SE INSTALA DATAFONO SE CAPACITA SE REALIZAN PRUEBAS DE RETIRO Y CONSIGNACIÓN Y SE PRUEBA LECTOR DE BARRAS TODO QUEDA OK</t>
  </si>
  <si>
    <t>OB007846</t>
  </si>
  <si>
    <t>MARTINEZ SALGUEDO ANDRES AUGUSTO</t>
  </si>
  <si>
    <t>13442</t>
  </si>
  <si>
    <t>TA-25-1446327</t>
  </si>
  <si>
    <t>3007082570</t>
  </si>
  <si>
    <t>MARIA LA BAJA</t>
  </si>
  <si>
    <t>DISTRICOL ALMACEN LA NACIONAL</t>
  </si>
  <si>
    <t>FO-25-2024464</t>
  </si>
  <si>
    <t>23/12/2025 23-12 PROGRAMACION REALIZADA POR LA ALIANZA| INSTALACIÓN PROGRAMADA PARA EL 2025-12-24 | 24/12/2025 SE MARCA AL NÚMERO 3013367090 CONTESTA EL ESPOSO DE LA SEÑORA FLOR MARÍA SE VALIDA CON EL REAGENDA POR TEMAS DE PROBLEMAS DE TRANSPORTE EN LA VIA EL DIA DE HOY EL CUAL ESTA DE ACUERDO PARA EL DIA 29 DE DICIEMBRE | 29/12/2025 SE REALIZA INSTALACIÓN DE CORRESPONSAL EXITOSAMENTE, SE REALIZA PRUEBA DE  RETIRO Y CONSIGNACIÓN Y SE PRUEBA LECTOR DE BARRAS, SE CAPACITA, SE REALIZA INSTALACIÓN DE PUBLICIDAD Y TODO QUEDA OK</t>
  </si>
  <si>
    <t>OB007847</t>
  </si>
  <si>
    <t>15518</t>
  </si>
  <si>
    <t>TA-25-1446330</t>
  </si>
  <si>
    <t>3007082539</t>
  </si>
  <si>
    <t>PAJARITO</t>
  </si>
  <si>
    <t>DISTRICOL ALMACEN CAFETERO DOS</t>
  </si>
  <si>
    <t>FO-25-2024477</t>
  </si>
  <si>
    <t>23/12/2025 23-12 PROGRAMACION REALIZADA POR LA ALIANZA| INSTALACIÓN PROGRAMADA PARA EL 2025-12-24 | 24/12/2025 EN COMUNICACIÓN EL DIA 24-12-2025 CON LA SEÑORA ANGELA RUEDA AL NUMERO 3143771201, INFORMA NO PUEDE ATENDER LA VISITA, POR DILIGENCIAS PERSONALES, PIDE EL FAVOR SE REALIZAR LA VISITA EL DIA 29-12-2025 | 29/12/2025 SE VISITA COMERCIO, SE INSTALA DATÁFONO LECTOR BASE Y CUBRE TECLADO. PRUEBAS OK. OPERATIVO EL SERVICIO. SOMOS BANCOLOMBIA OK. NO SE REGISTRA PRUEBA DE TRANSFERENCIA NO SE CUENTA CON TARJETA</t>
  </si>
  <si>
    <t>OB007850</t>
  </si>
  <si>
    <t>19001</t>
  </si>
  <si>
    <t>TA-25-1446332</t>
  </si>
  <si>
    <t>3007082550</t>
  </si>
  <si>
    <t>CAUCA</t>
  </si>
  <si>
    <t>DISTRICOL LA TIENDA DE PATY</t>
  </si>
  <si>
    <t>FO-25-2024485</t>
  </si>
  <si>
    <t>23/12/2025 23-12 PROGRAMACION REALIZADA POR LA ALIANZA| INSTALACIÓN PROGRAMADA PARA EL 2025-12-26 | 26/12/2025 SE</t>
  </si>
  <si>
    <t>OB007852</t>
  </si>
  <si>
    <t>GIMBUEL LASSO LUIS GERMAN</t>
  </si>
  <si>
    <t>TA-25-1446333</t>
  </si>
  <si>
    <t>3007082551</t>
  </si>
  <si>
    <t>DISTRICOL DROGUERIA LA FE SA</t>
  </si>
  <si>
    <t>FO-25-2024488</t>
  </si>
  <si>
    <t>23/12/2025 23-12 PROGRAMACION REALIZADA POR LA ALIANZA| INSTALACIÓN PROGRAMADA PARA EL 2025-12-26 | 30/12/2025 SE INGRESA SE INSTALA BASE FUENTE PATCHCORD CUBRE CLAVE SE HACEN PRUEBAS OK TELECARGA DRNA CAPACITACION AL CB CREACION DE USUARIOS SE INSTALA AVISO EXTERIOR FLANGED DISPLAY LEGAL ENTREGA ROLLOS RBM MARCACION DE CODIGO DEL PUNTO</t>
  </si>
  <si>
    <t>OB007853</t>
  </si>
  <si>
    <t>19807</t>
  </si>
  <si>
    <t>TA-25-1446335</t>
  </si>
  <si>
    <t>3007082582</t>
  </si>
  <si>
    <t>TIMBIO</t>
  </si>
  <si>
    <t>DISTRICOL DROGUERIA EL ARADO</t>
  </si>
  <si>
    <t>FO-25-2024493</t>
  </si>
  <si>
    <t>23/12/2025 23-12 PROGRAMACION REALIZADA POR LA ALIANZA| INSTALACIÓN PROGRAMADA PARA EL 2025-12-26 | 26/12/2025 NO SE PUEDE REALIZAR DESPLAZMIENTO AL MUNICIPIO DE TIMBIO, YA QUE NO SE PUEDE CONSEGUIR TRANSPORTE, SE VISITARA EL DIA 29 DE DICIEMBRE | 29/12/2025 SE INGRESA SE INSTALA BASE FUENTE CUBRE CLAVE SE INSTALA SISTEMA OPERATIVO VERSION CREACION DE USUARIOS PRUEBAS OK TELECARGA DRNA CAPACITACION AL CB MARCACION DE CODIGO DEL PUNTO ENTREGA ROLLOS RBM SE INSTALA AVISO EXTERIOR FLANGED DISOLAY LEGAL</t>
  </si>
  <si>
    <t>OB007854</t>
  </si>
  <si>
    <t>TA-25-1446339</t>
  </si>
  <si>
    <t>3007082547</t>
  </si>
  <si>
    <t>DISTRICOL TIENDA YISETH</t>
  </si>
  <si>
    <t>FO-25-2024508</t>
  </si>
  <si>
    <t>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</si>
  <si>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OB007857</t>
  </si>
  <si>
    <t>TA-25-1446345</t>
  </si>
  <si>
    <t>3007082573</t>
  </si>
  <si>
    <t>DISTRICOL PAPY VAR SAN IGNACIO</t>
  </si>
  <si>
    <t>FO-25-2024518</t>
  </si>
  <si>
    <t>23/12/2025 23-12 PROGRAMACION REALIZADA POR LA ALIANZA| INSTALACIÓN PROGRAMADA PARA EL 2025-12-24 | 24/12/2025 SE REALIZÓ LA INSTALACIÓN DE EQUIPOS PUBLICIDAD Y ACCESORIOS PARA APERTURA CB BANCOLOMBIA SE DIO CAPACITACIÓN MANEJO DE DATÁFONO CB Y SOMOS BANCOLOMBIA SE EJECUTAN PRUEBAS TX EXITOSAS QUEDA OPERATIVO</t>
  </si>
  <si>
    <t>OB007858</t>
  </si>
  <si>
    <t>TA-25-1446349</t>
  </si>
  <si>
    <t>3007082574</t>
  </si>
  <si>
    <t>DISTRICOL ALM EL KOMPRADERO</t>
  </si>
  <si>
    <t>FO-25-2024520</t>
  </si>
  <si>
    <t>OB007859</t>
  </si>
  <si>
    <t>TA-25-1446350</t>
  </si>
  <si>
    <t>3007082544</t>
  </si>
  <si>
    <t>DISTRICOL BREYCAR</t>
  </si>
  <si>
    <t>FO-25-2024524</t>
  </si>
  <si>
    <t>23/12/2025 23-12 PROGRAMACION REALIZADA POR LA ALIANZA| INSTALACIÓN PROGRAMADA PARA EL 2025-12-26 | 26/12/2025 SE REALIZÓ LLAMADA TELEFÓNICA AL NÚMERO 3105209230 SE HABLÓ CON LA SRA YEIMI CL MANIFIESTA QUE REALICEMOS LA VISITA EN HORAS DE LA TARDE YA QUE NO SE ENCUENTRA DISPONIBLE EN HORAS AM, SE PROGRAMA VISITA A LAS 2PM POR DISPONIBILIDAD DEL CLIENTE | 26/12/2025 SE REALIZA VISITA AL COMERCIO Y SE HIZO INSTALACIÓN DE DATAFONO LECTORA CABLEADO PUBLICIDAD BANCOLOMBIA INSTALADA OK, CAPACITACIÓN SOMOS BANCOLOMBIA, PRUEBAS EXITOSAS</t>
  </si>
  <si>
    <t>OB007860</t>
  </si>
  <si>
    <t>54498</t>
  </si>
  <si>
    <t>TA-25-1446351</t>
  </si>
  <si>
    <t>3007082546</t>
  </si>
  <si>
    <t>OCAÑA</t>
  </si>
  <si>
    <t>DISTRICOL DROGUERIA AUXILIADOR</t>
  </si>
  <si>
    <t>FO-25-2024526</t>
  </si>
  <si>
    <t>23/12/2025 23-12 PROGRAMACION REALIZADA POR LA ALIANZA| INSTALACIÓN PROGRAMADA PARA EL 2025-12-26 | 29/12/2025 SE CONTACTA TELEFÓNICAMENTE AL CLIENTE, LA SEÑORA LUZ MARINA LÁZARO CONFIRMA DATOS OK. SE LE INFORMA AL CLIENTE QUE EL DÍA DE HOY SE REALIZA EL DESPLAZAMIENTO AL MUNICIPIO DE OCAÑA Y LA INSTALACIÓN SE REALIZARÁ EL DÍA DE MAÑANA 30/12.
3160420157 | 31/12/2025 SE REALIZA VISITA, SE REALIZA APERTURA DE CB, SE INSTALA DATAFONO CON ACCESORIOS, SE INSTALA ÚLTIMA VERSIÓN, SE CREAN USUARIOS OK, SE CAPACITA COMERCIO, SE REALIZAN PRUEBAS Y CIERRES OK. SE INSTALA PUBLICIDAD Y AVISO EXTERIOR.</t>
  </si>
  <si>
    <t>OB007861</t>
  </si>
  <si>
    <t>PACHECO BUITRAGO JAVIER ALONSO</t>
  </si>
  <si>
    <t>EJE CAFETERO</t>
  </si>
  <si>
    <t>63001</t>
  </si>
  <si>
    <t>TA-25-1446352</t>
  </si>
  <si>
    <t>3007082562</t>
  </si>
  <si>
    <t>QUINDIO</t>
  </si>
  <si>
    <t>ARMENIA</t>
  </si>
  <si>
    <t>DISTRICOL MISCELANEA MAS LICOR</t>
  </si>
  <si>
    <t>FO-25-2024528</t>
  </si>
  <si>
    <t>23/12/2025 23-12 PROGRAMACION REALIZADA POR LA ALIANZA| INSTALACIÓN PROGRAMADA PARA EL 2025-12-26 | 26/12/2025 VISITAMOS COMERCIO REALIZAMOS INSTALACIÓN DE DATÁFONO CON LECTOR DE BARRAS, BRAZO DATÁFONO LO CONFIGURAMOS Y REALIZAMOS PRUEBAS OK, INSTALAMOS TODA LA PUBLICIDAD.</t>
  </si>
  <si>
    <t>OB007862</t>
  </si>
  <si>
    <t>ARROYAVE CANO MANUEL GUILLERMO</t>
  </si>
  <si>
    <t>66001</t>
  </si>
  <si>
    <t>TA-25-1446353</t>
  </si>
  <si>
    <t>3007082548</t>
  </si>
  <si>
    <t>RISARALDA</t>
  </si>
  <si>
    <t>DISTRICOL VARIEDADES EL GOCHO</t>
  </si>
  <si>
    <t>FO-25-2024531</t>
  </si>
  <si>
    <t>23/12/2025 23-12 PROGRAMACION REALIZADA POR LA ALIANZA| INSTALACIÓN PROGRAMADA PARA EL 2025-12-24 | 27/12/2025 SE VISITA COMERCIO SE REALIZA APERTURA CB RBM SE INSTALA PUBLICIDAD DATÁFONO BASE MAGIC BOX Y LECTORA SE REALIZA CAPACITACIÓN SE REALIZA PRUEBAS OK</t>
  </si>
  <si>
    <t>OB007863</t>
  </si>
  <si>
    <t>LOAIZA LOPEZ JHON FREDDY</t>
  </si>
  <si>
    <t>TA-25-1446354</t>
  </si>
  <si>
    <t>3007082575</t>
  </si>
  <si>
    <t>DISTRICOL SERVIREPUESTOS 2023</t>
  </si>
  <si>
    <t>FO-25-2024537</t>
  </si>
  <si>
    <t>23/12/2025 23-12 PROGRAMACION REALIZADA POR LA ALIANZA| INSTALACIÓN PROGRAMADA PARA EL 2025-12-26 | 02/01/2026 SE VISITA COMERCIO SE REALIZA APERTURA CB RBM SE INSTALA PUBLICIDAD DATÁFONO BASE Y LECTORA SE REALIZA CAPACITACIÓN SE REALIZA PRUEBAS OK</t>
  </si>
  <si>
    <t>OB007864</t>
  </si>
  <si>
    <t>68276</t>
  </si>
  <si>
    <t>TA-25-1446356</t>
  </si>
  <si>
    <t>3007082545</t>
  </si>
  <si>
    <t>FLORIDABLANCA</t>
  </si>
  <si>
    <t>DISTRICOL LEON MORALES SAS</t>
  </si>
  <si>
    <t>FO-25-2024543</t>
  </si>
  <si>
    <t>23/12/2025 23-12 PROGRAMACION REALIZADA POR LA ALIANZA| INSTALACIÓN PROGRAMADA PARA EL 2025-12-26 | 26/12/2025 EN COMUNICACIÓN CON EL ADMINISTRADOR AL CELULAR CB, INFORMA TENER DISPONIBILIDAD DESPUÉS DE LAS 11:00 AM YA QUE EN ESTOS MOMENTOS SE ENCUENTRA REALIZANDO UNAS DILIGENCIAS PERSONALES. | 26/12/2025 SE REALIZA INSTALACIÓN DE DATÁFONO, LECTOR DE BARRAS, MAGI BOX, PINPAD BASE DATÁFONO, PASCORD, CUBRE CLAVE, 40 ROLLOS, SE CAPACITA CORRESPONSAL, SOMOS BANCOLOMBIA, PRUEBAS EXITOSA.</t>
  </si>
  <si>
    <t>OB007866</t>
  </si>
  <si>
    <t>MARTINEZ FLOREZ DONIS ALBERTO</t>
  </si>
  <si>
    <t>TA-25-1446358</t>
  </si>
  <si>
    <t>3007082549</t>
  </si>
  <si>
    <t>DISTRICOL T Y M MUNDO EXPRESS</t>
  </si>
  <si>
    <t>FO-25-2024551</t>
  </si>
  <si>
    <t>23/12/2025 23-12 PROGRAMACION REALIZADA POR LA ALIANZA| INSTALACIÓN PROGRAMADA PARA EL 2025-12-26 | 26/12/2025 SE ESTABLECE COMUNICACIÓN CON EL SR JULIAN ORTIZ AL NÚMERO DE CONTACTO 3163494081, QUIEN COMENTA QUE TIENE LA DISPONIBILIDAD PARA ATENDER LA VISITA TÉCNICA A PARTIR DE LAS 10 AM | 26/12/2025 SE REALIZA VISITA AL COMERCIO SE HACE APERTURA CB BANCOLOMBIA PURO, SE INSTALA AVISO EXTERIOR, FLANGED, DISPLAY, BASE, DATÁFONO, LECTOR DE BARRAS, MÁGIC BOX, PINPAD POR MÓDULO DE VIDRIO,CUBRE CLAVES, SE DEJAN USUARIO CREADOS A GUSTO DEL CLIENTE, SE HACEN PRUEBAS OK, SOMOS BANCOLOMBIA OK, CAPACITACIÓN GENERAL COMPLETA, MANEJO DEL DATÁFONO OK</t>
  </si>
  <si>
    <t>OB007868</t>
  </si>
  <si>
    <t>GONZALEZ ESTUPIÑAN YEISON WALTER ANTONIO</t>
  </si>
  <si>
    <t>73411</t>
  </si>
  <si>
    <t>TA-25-1446359</t>
  </si>
  <si>
    <t>3007082567</t>
  </si>
  <si>
    <t>LIBANO</t>
  </si>
  <si>
    <t>DISTRICOL MEDICLINICAL DROGUER</t>
  </si>
  <si>
    <t>FO-25-2024557</t>
  </si>
  <si>
    <t>23/12/2025 23-12 PROGRAMACION REALIZADA POR LA ALIANZA| INSTALACIÓN PROGRAMADA PARA EL 2025-12-26 | 26/12/2025 SE INSTALA CB BANCOLOMBIA SIN NOVEDAD. SE CAPACITA A LA SEÑORA LEIDY VELOZA, EN EL MANEJO DEL DATÁFONO, SOMOS BANCOLOMBIA, Y PROCESO DE COMPENSACIÓN. SE HACEN LAS PRUEBAS DE TRANSACCIONES TODO OK</t>
  </si>
  <si>
    <t>OB007869</t>
  </si>
  <si>
    <t>VARGAS HERRERA JHON JAIRO</t>
  </si>
  <si>
    <t>TA-25-1446360</t>
  </si>
  <si>
    <t>3007082541</t>
  </si>
  <si>
    <t>DISTRICOL C.I.A. SALOMIA</t>
  </si>
  <si>
    <t>FO-25-2024559</t>
  </si>
  <si>
    <t>23/12/2025 23-12 PROGRAMACION REALIZADA POR LA ALIANZA| INSTALACIÓN PROGRAMADA PARA EL 2025-12-24 | 24/12/2025 SE LLAMA AL CLIENTE, SE VÁLIDA INSTALACIÓN, DIRECCIÓN Y DISPONIBILIDAD, SE VISITA EL COMERCIO INSTALO DATAFONO, LECTORA, ACCESORIOS, PUBLICIDAD, SE CAPACITA, PRUEBAS OK, TELECARGA TRNA</t>
  </si>
  <si>
    <t>OB007870</t>
  </si>
  <si>
    <t>TA-25-1446361</t>
  </si>
  <si>
    <t>3007082571</t>
  </si>
  <si>
    <t>DISTRICOL RAPITRAMITE PAISAS 2</t>
  </si>
  <si>
    <t>FO-25-2024561</t>
  </si>
  <si>
    <t>23/12/2025 23-12 PROGRAMACION REALIZADA POR LA ALIANZA| INSTALACIÓN PROGRAMADA PARA EL 2025-12-24 | 24/12/2025 EN LA VISITA TÉCNICA SE REALIZÓ LA INSTALACIÓN DE CORRESPONSAL BANCOLOMBIA PURO,SE INSTALA DATÁFONO,MAGIC BOX 2600, LECTOR,BASE SOPORTE DE DATÁFONO,SE INSTALA PINPAD DESK 1600 YA QUE CONTABA CON VENTANILLA DE SEGURIDAD CON VIDRIO,SE INSTALA LA PUBLICIDAD Y SE IMPLEMENTARON LOS ROLLOS DE REDEBAN,SE REALIZÓ LA CAPACITACIÓN CON LA PERSONA ENCARGADA DE MANEJAR EL CORRESPONSAL, CREACIÓN DE USUARIOS SISTEMA OPERATIVO Y MENU OPERATIVO DEL DATÁFONO, TRANSACCIONES,MALQS PRÁCTICAS SEGURIDAD Y ATENCIÓN AL CLIENTE,EL SERVICIO QUEDÓ OPERANDO SIN FALLAS Y SIN NOVEDAD.</t>
  </si>
  <si>
    <t>OB007871</t>
  </si>
  <si>
    <t>TA-25-1446362</t>
  </si>
  <si>
    <t>3007082572</t>
  </si>
  <si>
    <t>DISTRICOL CDA TECNO-ROZO</t>
  </si>
  <si>
    <t>FO-25-2024565</t>
  </si>
  <si>
    <t>23/12/2025 23-12 PROGRAMACION REALIZADA POR LA ALIANZA| INSTALACIÓN PROGRAMADA PARA EL 2025-12-26 | 26/12/2025 SE VISITA ESTABLECIMIENTO, SE REALIZA INSTALACIÓN CORRESPONSAL BANCOLOMBIA PURO. TRANSACCIONES DE PRUEBA EXITOSAS. SE CAPACITA Y SE INSTALA PUBLICIDAD COMPLETA.</t>
  </si>
  <si>
    <t>OB007872</t>
  </si>
  <si>
    <t>76563</t>
  </si>
  <si>
    <t>TA-25-1446363</t>
  </si>
  <si>
    <t>3007082576</t>
  </si>
  <si>
    <t>PRADERA</t>
  </si>
  <si>
    <t>DISTRICOL COMBUSTIBLES Y LUBRI</t>
  </si>
  <si>
    <t>FO-25-2024570</t>
  </si>
  <si>
    <t>23/12/2025 23-12 PROGRAMACION REALIZADA POR LA ALIANZA| INSTALACIÓN PROGRAMADA PARA EL 2025-12-26 | 26/12/2025 SE REALIZA APERTURA DE CB BANCOLOMBIA PURO, SE INSTALA EQUIPO, ACCESORIOS Y PUBLICIDAD, SE REALIZAN PRUEBAS OK. NO SÉ REALIZAN TODAS LAS PRUEBAS YA QUE EL CLIENTE NO CUENTA CON LOS MEDIOS, SE ENTREGAN 40 ROLLOS TERMICOS REDEBAN.</t>
  </si>
  <si>
    <t>OB007873</t>
  </si>
  <si>
    <t>MONTERO MUESES GIAN CARLO</t>
  </si>
  <si>
    <t>76828</t>
  </si>
  <si>
    <t>TA-25-1446364</t>
  </si>
  <si>
    <t>3007082553</t>
  </si>
  <si>
    <t>TRUJILLO</t>
  </si>
  <si>
    <t>DISTRICOL DROG MARIA LILIA</t>
  </si>
  <si>
    <t>FO-25-2024571</t>
  </si>
  <si>
    <t>23/12/2025 23-12 PROGRAMACION REALIZADA POR LA ALIANZA| INSTALACIÓN PROGRAMADA PARA EL 2025-12-26 | 27/12/2025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t>
  </si>
  <si>
    <t>OB007874</t>
  </si>
  <si>
    <t>TA-25-1446365</t>
  </si>
  <si>
    <t>3007082554</t>
  </si>
  <si>
    <t>DISTRICOL VARIEDADES MELY .SA</t>
  </si>
  <si>
    <t>FO-25-2024574</t>
  </si>
  <si>
    <t>23/12/2025 23-12 PROGRAMACION REALIZADA POR LA ALIANZA| INSTALACIÓN PROGRAMADA PARA EL 2025-12-26 | 26/12/2025 SE REALIZÓ GESTION TELÉFONO PARA CONFIRMAR LA VISITA CON EL CLIENTE,PERO NO HUBO RESPUESTA,SE REALIZÓ EL DESPLAZAMIENTO AL SITIO YA QUE NO HUBO CONTACTO CON EL CLIENTE. | 26/12/2025 EN LA VISITA TÉCNICA SE REALIZÓ LA INSTALACIÓN DE EL CB BANCOLOMBIA PURO,SE INSTALA DATÁFONO, LECTOR, MAGIC BOX 2600,BASE SOPORTE DE DATÁFONO,SE REALIZÓ LA CAPACITACIÓN, INSTALACIÓN DE PUBLICIDAD Y SE IMPLEMENTARON LOS ROLLOS DE REDEBAN,SE REALIZARON TODAS LAS PRUEBAS DURANTE LA CAPACITACIÓN OPERATIVA DEJANDO EL SERVICIO OPERANDO SIN FALLAS Y SIN NOVEDAD.</t>
  </si>
  <si>
    <t>OB007876</t>
  </si>
  <si>
    <t>85410</t>
  </si>
  <si>
    <t>TA-25-1446366</t>
  </si>
  <si>
    <t>3007082581</t>
  </si>
  <si>
    <t>TAURAMENA</t>
  </si>
  <si>
    <t>DISTRICOL CM CORPORATIVO</t>
  </si>
  <si>
    <t>FO-25-2024579</t>
  </si>
  <si>
    <t>23/12/2025 23-12 PROGRAMACION REALIZADA POR LA ALIANZA| INSTALACIÓN PROGRAMADA PARA EL 2025-12-26 | 27/12/2025 SE REALIZA APERTURA CB BANCOLOMBIA PRUEBAS OK SE INSTALA PUBLICIDAD SE INGRESA A SOMOS OK SIN NOVEDAD</t>
  </si>
  <si>
    <t>OB007877</t>
  </si>
  <si>
    <t>CASTRILLON URREA LONDIER LEANDRO</t>
  </si>
  <si>
    <t>FECHA ASIGNACION A LINEA COMUNICACIONES</t>
  </si>
  <si>
    <t>FECHA CIERRE DEL TICKET (DD/MM/AAAA HH:MM)</t>
  </si>
  <si>
    <t>ACOMETIDA</t>
  </si>
  <si>
    <t>SOLICITUD</t>
  </si>
  <si>
    <t>CAUSAL ESTADO</t>
  </si>
  <si>
    <t>OBSERVACION</t>
  </si>
  <si>
    <t>DIAS DE VISITA</t>
  </si>
  <si>
    <t>TRANSPORTE AVISO EXTERIOR</t>
  </si>
  <si>
    <t>VALOR ACTIVIDAD</t>
  </si>
  <si>
    <t>VALOR TRANSPORTE AVISO</t>
  </si>
  <si>
    <t>5266</t>
  </si>
  <si>
    <t>3059805</t>
  </si>
  <si>
    <t>3007078771</t>
  </si>
  <si>
    <t>OC PUBLICIDAD</t>
  </si>
  <si>
    <t>ENVIGADO</t>
  </si>
  <si>
    <t>DISTRICOL LICORERA CENTRAL</t>
  </si>
  <si>
    <t>FO-25-1876044</t>
  </si>
  <si>
    <t>PUBLICIDAD</t>
  </si>
  <si>
    <t>AVISO EXTERIOR</t>
  </si>
  <si>
    <t>EJECUTADO / CANCELADO</t>
  </si>
  <si>
    <t>PETICIÓN USUARIO</t>
  </si>
  <si>
    <t>25/11/2025 POR FAVOR, COMUNICARSE CON USUARIO PARA CONFIRMAR UBICACION, SOLICITUD Y PROGRAMAR VISITA TECNICA | 02/12/2025 SE LLAMA AL NÚMERO INDICADO PARA CONFIRMAR LA VISITA Y EL USUARIO INDICA QUE NO ME PUEDE ATENDER EL DÍA DE HOY 02/12/2025 PORQUE NO ABRIRÁ EL COMERCIO</t>
  </si>
  <si>
    <t>70523</t>
  </si>
  <si>
    <t>3064043</t>
  </si>
  <si>
    <t>3007038723</t>
  </si>
  <si>
    <t>SUCRE</t>
  </si>
  <si>
    <t>PALMITO</t>
  </si>
  <si>
    <t>ARRIO BARRIO ARRIBA PALMITO</t>
  </si>
  <si>
    <t>FO-25-1881478</t>
  </si>
  <si>
    <t>CB UNO A UNO</t>
  </si>
  <si>
    <t>EJECUTADO EXITOSO</t>
  </si>
  <si>
    <t>26/11/2025 POR FAVOR, COMUNICARSE CON USUARIO PARA CONFIRMAR UBICACION, SOLICITUD Y PROGRAMAR VISITA TECNICA | 02/12/2025 SE VISITA SITIO SE VERIFICA INFORMACIÓN SE REALIZA INSTALACIÓN DE AVISO EXTERIOR ÚNICAMENTE, NO SE MANIPULA EQUIPOS.</t>
  </si>
  <si>
    <t>SANTOS GUZMAN CHRISTIAN FELIPE</t>
  </si>
  <si>
    <t>3068818</t>
  </si>
  <si>
    <t>3007077759</t>
  </si>
  <si>
    <t>BARRIO CENTRO MEDELLIN 105</t>
  </si>
  <si>
    <t>FO-25-1912872</t>
  </si>
  <si>
    <t>01/12/2025 SE REALIZA VISITA TÉCNICA CON EL OBJETIVO DE INSTALAR UN NUEVO AVISO EXTERIOR, DEBIDO A QUE EL ANTERIOR FUE SUSTRAÍDO.  - DURANTE LA VISITA, SE PROCEDE A LA INSTALACIÓN DEL AVISO EXTERIOR SIGUIENDO LAS ESPECIFICACIONES Y DIRECTRICES PROPORCIONADAS POR EL CLIENTE.  - EL TRABAJO SE EJECUTA GARANTIZANDO LA CORRECTA FIJACIÓN, VISIBILIDAD Y CUMPLIMIENTO DE LOS REQUERIMIENTOS ACORDADOS.</t>
  </si>
  <si>
    <t>97161</t>
  </si>
  <si>
    <t>3069701</t>
  </si>
  <si>
    <t>3007066339</t>
  </si>
  <si>
    <t>VAUPES</t>
  </si>
  <si>
    <t>CARURU</t>
  </si>
  <si>
    <t>BARRIO CENTRO CARURU 2</t>
  </si>
  <si>
    <t>FO-25-1895367</t>
  </si>
  <si>
    <t>27/11/2025 POR FAVOR, COMUNICARSE CON USUARIO PARA CONFIRMAR UBICACION, SOLICITUD Y PROGRAMAR VISITA TECNICA | 04/12/2025 POR DISPONIBILIDAD DE VUELO TIQUETES COMPRADOS PARA EL 04/112/2025 | 04/12/2025 POR DISPONIBILIDAD DE VUELO SE APLAZA LA INSTALACIÓN DE AVISO | 10/12/2025 SE REALIZA INSTALACIÓN DE AVISO EXTERIOR BANCOLOMBIA</t>
  </si>
  <si>
    <t>3076380</t>
  </si>
  <si>
    <t>3007059781</t>
  </si>
  <si>
    <t>PTM BOGOTA MEDISALITRE MB</t>
  </si>
  <si>
    <t>FO-25-1903178</t>
  </si>
  <si>
    <t>28/11/2025 POR FAVOR, COMUNICARSE CON USUARIO PARA CONFIRMAR UBICACION, SOLICITUD Y PROGRAMAR VISITA TECNICA | 04/12/2025 SE REALIZA INTALACION DE AVISO EXTERIOR</t>
  </si>
  <si>
    <t>INFANTE SIERRA MANUEL FERNANDO</t>
  </si>
  <si>
    <t>3076487</t>
  </si>
  <si>
    <t>3007056374</t>
  </si>
  <si>
    <t>DISTRICOL UNIVERSO INFANTIL</t>
  </si>
  <si>
    <t>FO-25-1903476</t>
  </si>
  <si>
    <t>28/11/2025 POR FAVOR, COMUNICARSE CON USUARIO PARA CONFIRMAR UBICACION, SOLICITUD Y PROGRAMAR VISITA TECNICA | 02/12/2025 SE VISITA COMERCIO SE REALIZÓ INSTALACIÓN AVISÓ EXTERIOR NUEVO.</t>
  </si>
  <si>
    <t>SANCHEZ SOLORZANO JUAN SEBASTIAN</t>
  </si>
  <si>
    <t>3077207</t>
  </si>
  <si>
    <t>3007027419</t>
  </si>
  <si>
    <t>BARRIO BOLIVAR 3 POPAYAN</t>
  </si>
  <si>
    <t>FO-25-1904152</t>
  </si>
  <si>
    <t>UNO A UNO</t>
  </si>
  <si>
    <t>28/11/2025 POR FAVOR, COMUNICARSE CON USUARIO PARA CONFIRMAR UBICACION, SOLICITUD Y PROGRAMAR VISITA TECNICA | 06/12/2025 SE LLEGA ALA DIRECCION SE ENCUENTRA CERRADO CB SE LLAMA AL CLIEMTE NO RESPONDE</t>
  </si>
  <si>
    <t>76147</t>
  </si>
  <si>
    <t>3078532</t>
  </si>
  <si>
    <t>3007065769</t>
  </si>
  <si>
    <t>CARTAGO</t>
  </si>
  <si>
    <t>BARRIO BOTERO OBIRNE CARTAGO</t>
  </si>
  <si>
    <t>FO-25-1906315</t>
  </si>
  <si>
    <t>29/11/2025 POR FAVOR, COMUNICARSE CON USUARIO PARA CONFIRMAR UBICACION, SOLICITUD Y PROGRAMAR VISITA TECNICA | 01/12/2025 SE VISITA COMERCIO SE REALIZA INSTALACIÓN DE PUBLICIDAD</t>
  </si>
  <si>
    <t>3078916</t>
  </si>
  <si>
    <t>3007043100</t>
  </si>
  <si>
    <t>BARRIO VICTORIA TULUA 2</t>
  </si>
  <si>
    <t>FO-25-1906648</t>
  </si>
  <si>
    <t>29/11/2025 POR FAVOR, COMUNICARSE CON USUARIO PARA CONFIRMAR UBICACION, SOLICITUD Y PROGRAMAR VISITA TECNICA | 01/12/2025 SE VISITA CORRESPONSAL Y SE INSTALA AVISO EXTERIOR</t>
  </si>
  <si>
    <t>3082477</t>
  </si>
  <si>
    <t>3007078748</t>
  </si>
  <si>
    <t>COMCARD MEDELLIN TECSIS JV</t>
  </si>
  <si>
    <t>FO-25-1913007</t>
  </si>
  <si>
    <t>01/12/2025 POR FAVOR, COMUNICARSE CON USUARIO PARA CONFIRMAR UBICACION, SOLICITUD Y PROGRAMAR VISITA TECNICA | 02/12/2025 SE INSTALA AVISO EXTERIOR OK</t>
  </si>
  <si>
    <t>66170</t>
  </si>
  <si>
    <t>3087282</t>
  </si>
  <si>
    <t>3007078153</t>
  </si>
  <si>
    <t>DOSQUEBRADAS</t>
  </si>
  <si>
    <t>BARRIO LA AURORA DOSQUEBRADAS  1</t>
  </si>
  <si>
    <t>FO-25-1916515</t>
  </si>
  <si>
    <t>02/12/2025 POR FAVOR, COMUNICARSE CON USUARIO PARA CONFIRMAR UBICACION, SOLICITUD Y PROGRAMAR VISITA TECNICA | 04/12/2025 SE INSTALA AVISO EXTERIOR</t>
  </si>
  <si>
    <t>FRANCO CAÑAVERAL YAMID RAUL</t>
  </si>
  <si>
    <t>3093289</t>
  </si>
  <si>
    <t>3007024390</t>
  </si>
  <si>
    <t>EL PRADO MARIA LA BAJA BOLIVAR</t>
  </si>
  <si>
    <t>FO-25-1922015</t>
  </si>
  <si>
    <t>02/12/2025 POR FAVOR, COMUNICARSE CON USUARIO PARA CONFIRMAR UBICACION, SOLICITUD Y PROGRAMAR VISITA TECNICA | 05/12/2025 SE REALIZA INSTALACIÓN DE AVISO EXTERIOR POR SOLICITUD YA QUE EL ANTERIOR INFORMAN QUE SE ROMPIÓ Y SE VOTO</t>
  </si>
  <si>
    <t>3095226</t>
  </si>
  <si>
    <t>3007032122</t>
  </si>
  <si>
    <t>BARRIO 7 DE AGOSTO 10 BOGOTA</t>
  </si>
  <si>
    <t>FO-25-1925214</t>
  </si>
  <si>
    <t>03/12/2025 POR FAVOR, COMUNICARSE CON USUARIO PARA CONFIRMAR UBICACION, SOLICITUD Y PROGRAMAR VISITA TECNICA | 04/12/2025 INSTALACIÓN DE AVISO EXTERIOR POR VANDALISMO NO SE MANIPULA TERMINAL</t>
  </si>
  <si>
    <t>3097348</t>
  </si>
  <si>
    <t>3007068770</t>
  </si>
  <si>
    <t>PTM RIONEGRO BLOOMERS STORE</t>
  </si>
  <si>
    <t>FO-25-1926449</t>
  </si>
  <si>
    <t>03/12/2025 POR FAVOR, COMUNICARSE CON USUARIO PARA CONFIRMAR UBICACION, SOLICITUD Y PROGRAMAR VISITA TECNICA | 04/12/2025 SE REALIZA INSTALACIÓN EXITOSA DE AVISO POR DAÑO DEL AVISO ANTERIOR TODO QUEDA OK</t>
  </si>
  <si>
    <t>ALVAREZ ARENAS VICTOR HUGO</t>
  </si>
  <si>
    <t>52411</t>
  </si>
  <si>
    <t>3103156</t>
  </si>
  <si>
    <t>3007024832</t>
  </si>
  <si>
    <t>LINARES</t>
  </si>
  <si>
    <t>BARRIO GOLGOTA DE LINARES LI</t>
  </si>
  <si>
    <t>FO-25-1931921</t>
  </si>
  <si>
    <t>04/12/2025 POR FAVOR, COMUNICARSE CON USUARIO PARA CONFIRMAR UBICACION, SOLICITUD Y PROGRAMAR VISITA TECNICA | 10/12/2025 SE REALIZA INSTALACIÓN DE AVISO EXTERIOR POR DAÑO SE DEJA INSTALADO Y ASEGURADO INSTALACIÓN OK</t>
  </si>
  <si>
    <t>3104501</t>
  </si>
  <si>
    <t>3007077644</t>
  </si>
  <si>
    <t>BARRIO RINCON BOGOTA  9</t>
  </si>
  <si>
    <t>FO-25-1932281</t>
  </si>
  <si>
    <t>04/12/2025 POR FAVOR, COMUNICARSE CON USUARIO PARA CONFIRMAR UBICACION, SOLICITUD Y PROGRAMAR VISITA TECNICA | 15/12/2025 SE VISITA COMERCIO CB BANCOLOMBIA, SE INSTALA AVISO EXTERIOR SOLICITADO, NO UPS, NO SE MANIPULAN EQUIPOS, CLIENTE PIDE QUE SEA INSTALADO SIN MARCO POR QUE DE LO CONTRARIO SE LO ROBAN POR EL ALUMINIO.</t>
  </si>
  <si>
    <t>VEGA MANRIQUE JONATAN MAURICIO</t>
  </si>
  <si>
    <t>41001</t>
  </si>
  <si>
    <t>3106589</t>
  </si>
  <si>
    <t>3007081846</t>
  </si>
  <si>
    <t>HUILA</t>
  </si>
  <si>
    <t>DISTRICOL DROGUERIA FAMIPHARMA</t>
  </si>
  <si>
    <t>FO-25-1936129</t>
  </si>
  <si>
    <t>05/12/2025 POR FAVOR, COMUNICARSE CON USUARIO PARA CONFIRMAR UBICACION, SOLICITUD Y PROGRAMAR VISITA TECNICA | 06/12/2025 SE REALIZA VISITA AL PUNTO SE IMPLEMENTAN AVISO EXTERIOR CON ÉXITO</t>
  </si>
  <si>
    <t>DEVIA REINOSO JUAN CARLOS</t>
  </si>
  <si>
    <t>3108327</t>
  </si>
  <si>
    <t>3007056894</t>
  </si>
  <si>
    <t>PTM CUCUTA FRUTAS VERDURAS Y</t>
  </si>
  <si>
    <t>FO-25-1936463</t>
  </si>
  <si>
    <t>05/12/2025 POR FAVOR, COMUNICARSE CON USUARIO PARA CONFIRMAR UBICACION, SOLICITUD Y PROGRAMAR VISITA TECNICA | 09/12/2025 SE VISITA COMERCIO, SE INSTALA AVISO EXTERIOR EXITOSO</t>
  </si>
  <si>
    <t>5858</t>
  </si>
  <si>
    <t>3109026</t>
  </si>
  <si>
    <t>3007029784</t>
  </si>
  <si>
    <t>VEGACHI</t>
  </si>
  <si>
    <t>BARRIO CALLE PRINCIPAL 2 VEGAC</t>
  </si>
  <si>
    <t>FO-25-1937463</t>
  </si>
  <si>
    <t>05/12/2025 POR FAVOR, COMUNICARSE CON USUARIO PARA CONFIRMAR UBICACION, SOLICITUD Y PROGRAMAR VISITA TECNICA | 12/12/2025 SE REALIZA LA INSTALACION DEL AVISO EXTERIOR OK A PETICIÓN DEL USUARIO</t>
  </si>
  <si>
    <t>MONTOYA VELEZ ANDRES FELIPE</t>
  </si>
  <si>
    <t>3110284</t>
  </si>
  <si>
    <t>3007044618</t>
  </si>
  <si>
    <t>PTM NEIVA MINI SERVICIO ARLEN</t>
  </si>
  <si>
    <t>FO-25-1939514</t>
  </si>
  <si>
    <t>06/12/2025 POR FAVOR, COMUNICARSE CON USUARIO PARA CONFIRMAR UBICACION, SOLICITUD Y PROGRAMAR VISITA TECNICA | 06/12/2025 SE REALIZA VISITA AL PUNTO IMPLEMENTA AVISO EXTERIOR CON ÉXITO</t>
  </si>
  <si>
    <t>3111144</t>
  </si>
  <si>
    <t>3007060042</t>
  </si>
  <si>
    <t>BARRIO ROBLEDO MEDELLIN 20</t>
  </si>
  <si>
    <t>FO-25-1941493</t>
  </si>
  <si>
    <t>06/12/2025 POR FAVOR, COMUNICARSE CON USUARIO PARA CONFIRMAR UBICACION, SOLICITUD Y PROGRAMAR VISITA TECNICA | 15/12/2025 SE REALIZA INSTALACIÓN DE NUEVO AVISO EXTERIOR YA QUE EL QUE TENÍAN LO TUMBÓ EL VIENTO Y SE PARTIÓ.</t>
  </si>
  <si>
    <t>MARIN PIEDRAHITA JIMMY ALEXIS</t>
  </si>
  <si>
    <t>3111160</t>
  </si>
  <si>
    <t>3007030107</t>
  </si>
  <si>
    <t>BARRIO ALTO POMPEYA PUERTO LOP</t>
  </si>
  <si>
    <t>FO-25-1943127</t>
  </si>
  <si>
    <t>08/12/2025 SE REALIZA GESTION AL 3176984531 PARA VALIDAR SOLICITUD PERO MOVIL SE ENCUENTRA APAGADO SE ESCALA PARA VISITA FAVOR LLAMAR ANTES DE INICIAR DESPLAZAMIENTO PARA VALIDAR SOLICITUD Y DATOS | 09/12/2025 SE REALIZA VISITA AL CB POR SOLICITUD AVISO EXTERIOR, SE LLEGA AL LUGAR DONDE SE EVIDENCIA QUE NO TIENE AVISO EXTERIOR SE PROCEDE ALA INSTALACIÓN DONDE SE CONCUERDA EL LUGAR CON LA ADMINISTRADORA Y SE REALIZA LA INSTALACIÓN</t>
  </si>
  <si>
    <t>MOLINA CASTRO JAVIER ALBERTO</t>
  </si>
  <si>
    <t>3113707</t>
  </si>
  <si>
    <t>3007054643</t>
  </si>
  <si>
    <t>PTM CALI MANI YOLI Y PRODUCTO</t>
  </si>
  <si>
    <t>FO-25-1950912</t>
  </si>
  <si>
    <t>09/12/2005 POR FAVOR, COMUNICARSE CON USUARIO PARA CONFIRMAR UBICACION, SOLICITUD Y PROGRAMAR VISITA TECNICA | 11/12/2025 SE ESTÁ A LA ESPERA DE SUMINISTRO EN BODEGA YA QUE NO SE CUENTA CON AVISOS EXTERIORES | 17/12/2025 SE REALIZA LA INSTALACIÓN DE NUEVO AVISO EXTERIOR DEBIDO A QUE EL ANTERIOR SE DAÑÓ</t>
  </si>
  <si>
    <t>73671</t>
  </si>
  <si>
    <t>3115591</t>
  </si>
  <si>
    <t>3007066591</t>
  </si>
  <si>
    <t>SALDAÑA</t>
  </si>
  <si>
    <t>BARRIO EL PALMAR SALDANA</t>
  </si>
  <si>
    <t>FO-25-1950909</t>
  </si>
  <si>
    <t>09/12/2005 POR FAVOR, COMUNICARSE CON USUARIO PARA CONFIRMAR UBICACION, SOLICITUD Y PROGRAMAR VISITA TECNICA | 16/12/2025 CIERRE INTERMITENTE EN LA VÍA NEIVA - PURIFICACIÓN . POR PARE Y SIGA . | 16/12/2025 SE REALIZA VISITA AL PUNTO SE IMPLEMENTA CON ÉXITO AVISO EXTERIOR</t>
  </si>
  <si>
    <t>3115982</t>
  </si>
  <si>
    <t>3007073143</t>
  </si>
  <si>
    <t>DISTRICOL CELESTE</t>
  </si>
  <si>
    <t>FO-25-1950908</t>
  </si>
  <si>
    <t>09/12/2005 POR FAVOR, COMUNICARSE CON USUARIO PARA CONFIRMAR UBICACION, SOLICITUD Y PROGRAMAR VISITA TECNICA | 13/12/2025 INSTALACIÓN DE AVISO EXTERIOR OK</t>
  </si>
  <si>
    <t>3117843</t>
  </si>
  <si>
    <t>3007079689</t>
  </si>
  <si>
    <t>PTM BOGOTA LENCERIA PEREZ FRIA</t>
  </si>
  <si>
    <t>FO-25-1950903</t>
  </si>
  <si>
    <t>09/12/2005 POR FAVOR, COMUNICARSE CON USUARIO PARA CONFIRMAR UBICACION, SOLICITUD Y PROGRAMAR VISITA TECNICA | 13/12/2025 SE REALIZA INSTALACIÓN DE PUBLICIDAD BANCOLOMBIA</t>
  </si>
  <si>
    <t>GONZALEZ FANDIÑO SANTIAGO ERNESTO</t>
  </si>
  <si>
    <t>5380</t>
  </si>
  <si>
    <t>3121497</t>
  </si>
  <si>
    <t>3007055109</t>
  </si>
  <si>
    <t>LA ESTRELLA</t>
  </si>
  <si>
    <t>PTM LA ESTRELLA MAX PHONE A O</t>
  </si>
  <si>
    <t>FO-25-1954066</t>
  </si>
  <si>
    <t>PETICIÓN BANCOLOMBIA</t>
  </si>
  <si>
    <t>10/12/2025 SE ESCALA PARA VISITA. LLAMAR ANTES DE VISITAR, CONFIRMAR FALLA Y DATOS | 17/12/2025 SE EVIDENCIA QUE CORRESPONSAL TIENE AVISO INSTALADO POR LO TANTO YA NO NECESITA ESTE OTRO, YA HABÍA ANTERIORMENTE HABÍA REPORTADO Y SE CERRÓ POR LO MISMO</t>
  </si>
  <si>
    <t>CASTAÑEDA PALACIO CARLOS FELIPE</t>
  </si>
  <si>
    <t>3127606</t>
  </si>
  <si>
    <t>3007080206</t>
  </si>
  <si>
    <t>PTM BOGOTA REGALARTE MAS</t>
  </si>
  <si>
    <t>FO-25-1959824</t>
  </si>
  <si>
    <t>11/12/2025 SE ESCALA PARA VISITA. LLAMAR ANTES DE VISITAR, CONFIRMAR FALLA Y DATOS | 16/12/2025 SE REALIZA INSTALACIÓN DE AVISO EXTERIOR BANCOLOMBIA</t>
  </si>
  <si>
    <t>68406</t>
  </si>
  <si>
    <t>3129932</t>
  </si>
  <si>
    <t>3007081527</t>
  </si>
  <si>
    <t>LEBRIJA</t>
  </si>
  <si>
    <t>PTM LEBRIJA TIENDA J.V</t>
  </si>
  <si>
    <t>FO-25-1963045</t>
  </si>
  <si>
    <t>12/12/2025 SE ESCALA PARA VISITA. LLAMAR ANTES DE VISITAR, CONFIRMAR FALLA Y DATOS | 12/12/2025 INSTALACIÓN DE AVISO EXTERIOR, NO SE MANIPULA EQUIPOS</t>
  </si>
  <si>
    <t>SANTOS GONZALEZ JOHAN FABIAN</t>
  </si>
  <si>
    <t>3132849</t>
  </si>
  <si>
    <t>3007081644</t>
  </si>
  <si>
    <t>DISTRICOL DROG MEDICAR CARTAGO</t>
  </si>
  <si>
    <t>FO-25-1967801</t>
  </si>
  <si>
    <t>13/12/2025 SE INSTALA NUEVAMENTE EL AVISO</t>
  </si>
  <si>
    <t>3135316</t>
  </si>
  <si>
    <t>3007075584</t>
  </si>
  <si>
    <t>PTM BUCARAMANGA PAPELERIA TITI</t>
  </si>
  <si>
    <t>FO-25-1972844</t>
  </si>
  <si>
    <t>15/12/2025 SE ESCALA PARA VISITA. LLAMAR ANTES DE VISITAR, CONFIRMAR FALLA Y DATOS | 15/12/2025 EN COMUNICACIÓN CON LA SEÑORA ANDREA KATHERINE PORRAS ORTEGA AL NÚMERO 3176770297 NOS INDICA REALIZAR LA VISITA EL DÍA DE MAÑANA A PARTIR DE LAS 8AM DEBIDO A QUE EL DÍA DE HOY TIENE CITA MÉDICA EN HORAS DE LA TARDE | 16/12/2025 SE REALIZA VISITA AL COMERCIO SE INSTALA AVISÓ EXTERIOR DEBIDO A QUE SE PARTIÓ</t>
  </si>
  <si>
    <t>MARIÑO PABON JORGE ENRIQUE</t>
  </si>
  <si>
    <t>3138597</t>
  </si>
  <si>
    <t>3007049595</t>
  </si>
  <si>
    <t>PTM  BOGOTA PAPELERIA J Y L</t>
  </si>
  <si>
    <t>FO-25-1976223</t>
  </si>
  <si>
    <t>15/12/2025 SE ESCALA PARA VISITA. LLAMAR ANTES DE VISITAR, CONFIRMAR FALLA Y DATOS | 16/12/2025 SE REALIZA INSTALACIÓN DE AVISO EXTERIOR DE BANCOLOMBIA</t>
  </si>
  <si>
    <t>70001</t>
  </si>
  <si>
    <t>3138941</t>
  </si>
  <si>
    <t>3007019213</t>
  </si>
  <si>
    <t>BARRIO MOCHILA SINCELEJO</t>
  </si>
  <si>
    <t>FO-25-1976221</t>
  </si>
  <si>
    <t>15/12/2025 SE ESCALA PARA VISITA. LLAMAR ANTES DE VISITAR, CONFIRMAR FALLA Y DATOS | 20/12/2025 SE VISITA COMERCIO Y SE HACE INSTALACIÓN DE AVISÓ EXTERIOR YA QUE SE LO ROBARON.</t>
  </si>
  <si>
    <t>CACERES HERNANDEZ ANDRES</t>
  </si>
  <si>
    <t>3139208</t>
  </si>
  <si>
    <t>3007038914</t>
  </si>
  <si>
    <t>DISTRICOL MINIMARKET BOQUERON</t>
  </si>
  <si>
    <t>FO-25-1976343</t>
  </si>
  <si>
    <t>15/12/2025 SE ESCALA PARA VISITA. LLAMAR ANTES DE VISITAR, CONFIRMAR FALLA Y DATOS | 22/12/2025 SE REALIZA INSTALACIÓN DE AVISÓ EXTERIOR POR SOLICITUD DEL CLIENTE CON MARCO.</t>
  </si>
  <si>
    <t>BARRAGAN TAFUR EDWIN ESTEBAN</t>
  </si>
  <si>
    <t>50001</t>
  </si>
  <si>
    <t>3140797</t>
  </si>
  <si>
    <t>3007013774</t>
  </si>
  <si>
    <t>BARRIO URB LA SABANA VILLAV</t>
  </si>
  <si>
    <t>FO-25-1979382</t>
  </si>
  <si>
    <t>16/12/2025 SE ESCALA PARA VISITA. LLAMAR ANTES DE VISITAR, CONFIRMAR FALLA Y DATOS | 16/12/2025 SE REALIZA VISTA AL CB POR SOLICITUD DE AVISO EXTERIOR, NOS RECIBE LA VISTA EL SEÑOR ALBERTO PARRA   3504005511 SE INSTALA EL AVISO SIN NOVEDAD TODO QUEDA OK</t>
  </si>
  <si>
    <t>3142501</t>
  </si>
  <si>
    <t>3007044648</t>
  </si>
  <si>
    <t>DISTRICOL OZURE NET</t>
  </si>
  <si>
    <t>FO-25-1980885</t>
  </si>
  <si>
    <t>16/12/2025 SE ESCALA PARA VISITA. LLAMAR ANTES DE VISITAR, CONFIRMAR FALLA Y DATOS | 17/12/2025 EN LA VISITA TÉCNICA SE REALIZÓ LA INSTALACIÓN DE LA PUBLICIDAD,YA QUE SE HABÍA CAÍDO Y SE HABÍA PARTIDO.</t>
  </si>
  <si>
    <t>3143268</t>
  </si>
  <si>
    <t>3007055429</t>
  </si>
  <si>
    <t>DISTRICOL BEAUTI PARIS</t>
  </si>
  <si>
    <t>FO-25-1981846</t>
  </si>
  <si>
    <t>16/12/2025 SE ESCALA PARA VISITA. LLAMAR ANTES DE VISITAR, CONFIRMAR FALLA Y DATOS | 17/12/2025 SE INSTALA AVISO EXTERIOR DE BANCOLOMBIA PORNQUE EL QUE TENÍA SE LO ROBARON</t>
  </si>
  <si>
    <t>LEAL POVEDA YOHAN SEBASTIAN</t>
  </si>
  <si>
    <t>5360</t>
  </si>
  <si>
    <t>3149071</t>
  </si>
  <si>
    <t>3007032339</t>
  </si>
  <si>
    <t>ITAGUI</t>
  </si>
  <si>
    <t>COMCARD ITAGUI BADAJOMAR</t>
  </si>
  <si>
    <t>FO-25-1988412</t>
  </si>
  <si>
    <t>17/12/2025 SE ESCALA PARA VISITA. LLAMAR ANTES DE VISITAR, CONFIRMAR FALLA Y DATOS | 19/12/2025 SE REALIZA INSTALACIÓN DE AVISO EXTERIOR</t>
  </si>
  <si>
    <t>HERNANDEZ CHAVARRIA JUAN CAMILO</t>
  </si>
  <si>
    <t>8001</t>
  </si>
  <si>
    <t>3149261</t>
  </si>
  <si>
    <t>3007040480</t>
  </si>
  <si>
    <t>ATLANTICO</t>
  </si>
  <si>
    <t>DISTRICOL FERREALMACEN LA ESTR</t>
  </si>
  <si>
    <t>FO-25-1991210</t>
  </si>
  <si>
    <t>17/12/2025 SE ESCALA PARA VISITA. LLAMAR ANTES DE VISITAR, CONFIRMAR FALLA Y DATOS | 22/12/2025 SE INSTALA AVISO EXTERIOR, EL QUE ESTABA SE LO ROBARON</t>
  </si>
  <si>
    <t>DE AVILA SIADES ALBERTO ENRIQUE</t>
  </si>
  <si>
    <t>5604</t>
  </si>
  <si>
    <t>3153079</t>
  </si>
  <si>
    <t>3007042855</t>
  </si>
  <si>
    <t>REMEDIOS</t>
  </si>
  <si>
    <t>DISTRICOL FERROELECTRICOS LA A</t>
  </si>
  <si>
    <t>FO-25-1995852</t>
  </si>
  <si>
    <t>18/12/2025 SE ESCALA PARA VISITA. LLAMAR ANTES DE VISITAR, CONFIRMAR FALLA Y DATOS | 23/12/2025 SE ENVÍA PUBLICIDAD POR FLOTA DESDE MEDELLÍN EL DÍA LUNES Y HOY MARTES SE ESTUVO PREGUNTADO EN OFC DE SEGOVIA Y NOS DICES QUE AUN NO HA LLEGADO, LAS ENCOMIENDA ESTÁN RETRASADAS POR LA ALTA DEMANDA | 26/12/2025 SE VALIDA EN TÉRMINAL Y NO SE ENCUENTRA TIQUETE POR ALTO FLUJO DE PASAJERO. | 30/12/2025 SE INSTALA UN AVISO EXTERIOR OK</t>
  </si>
  <si>
    <t>23001</t>
  </si>
  <si>
    <t>3159374</t>
  </si>
  <si>
    <t>3007069037</t>
  </si>
  <si>
    <t>6 DE MARZO, MONTERIA</t>
  </si>
  <si>
    <t>FO-25-2008687</t>
  </si>
  <si>
    <t>20/12/2025 SE REALIZA VISITA TÉCNICA PARA INSTALACIÓN DE AVISO EXTERIOR, YA QUE EL ANTIGUO AVISO SE PARTIÓ Y CLIENTE HIZO DISPOSICIÓN FINAL, SE INSTALA NUEVO AVISO SIN NOVEDAD</t>
  </si>
  <si>
    <t>3160011</t>
  </si>
  <si>
    <t>3007079882</t>
  </si>
  <si>
    <t>DISTRICOL AURORA COMERCIAL</t>
  </si>
  <si>
    <t>FO-25-2007557</t>
  </si>
  <si>
    <t>19/12/2025 SE ESCALA PARA VISITA. LLAMAR ANTES DE VISITAR, CONFIRMAR FALLA Y DATOS | 21/12/2025 SE REALIZA VISITA AL COMERCIO PARA REALIZAR CAMBIO DE AVISO EXTERIOR, YA QUE EL COMERCIO NO LO TENÍA</t>
  </si>
  <si>
    <t>ESCOBAR LENIS JUAN SEBASTIAN</t>
  </si>
  <si>
    <t>5837</t>
  </si>
  <si>
    <t>3166127</t>
  </si>
  <si>
    <t>3007081655</t>
  </si>
  <si>
    <t>TURBO</t>
  </si>
  <si>
    <t>DISTRICOL EL PRIMO</t>
  </si>
  <si>
    <t>FO-25-2015708</t>
  </si>
  <si>
    <t>22/12/2025 SE ESCALA PARA VISITA. LLAMAR ANTES DE VISITAR, CONFIRMAR FALLA Y DATOS | 29/12/2025 SE INSTALA AVISO EXTERIOR YA QUE EL ANTERIOR SE DAÑÓ EN LA ZONA HUBO UNA TORMENTA Y UN VENTARRÓN LO TIRÓ AL SUELO SE INSTALA NUEVO AVISO</t>
  </si>
  <si>
    <t>SALDARRIAGA MIRANDA SANTIAGO</t>
  </si>
  <si>
    <t>3168267</t>
  </si>
  <si>
    <t>3007066694</t>
  </si>
  <si>
    <t>DISTRICOL TEOCELL COMUNICACION</t>
  </si>
  <si>
    <t>FO-25-2020914</t>
  </si>
  <si>
    <t>23/12/2025 SE ESCALA PARA VISITA. LLAMAR ANTES DE VISITAR, CONFIRMAR FALLA Y DATOS | 26/12/2025 INSTALACIÓN DE AVISO EXTERIOR OK</t>
  </si>
  <si>
    <t>3172048</t>
  </si>
  <si>
    <t>3007069677</t>
  </si>
  <si>
    <t>PTM PASTO  MINIMARKET SAN SEBA</t>
  </si>
  <si>
    <t>FO-25-2024315</t>
  </si>
  <si>
    <t>23/12/2025 SE ESCALA PARA VISITA. LLAMAR ANTES DE VISITAR, CONFIRMAR FALLA Y DATOS | 24/12/2025 SE REALIZA INSTALACIÓN DE AVISO EXTERIOR POR MOTIVO DE ROBO</t>
  </si>
  <si>
    <t>PAZ MARTINEZ RICHARD HUMBERTO</t>
  </si>
  <si>
    <t>3172080</t>
  </si>
  <si>
    <t>3007024053</t>
  </si>
  <si>
    <t>COMCARD UNIVERSIDAD IMPLEMENTO</t>
  </si>
  <si>
    <t>FO-25-2024313</t>
  </si>
  <si>
    <t>3179601</t>
  </si>
  <si>
    <t>3007044239</t>
  </si>
  <si>
    <t>DISTRICOL MERCADOS LOS TABARES</t>
  </si>
  <si>
    <t>FO-25-2038438</t>
  </si>
  <si>
    <t>26/12/2025 SE ESCALA PARA VISITA. LLAMAR ANTES DE VISITAR, CONFIRMAR FALLA Y DATOS | 30/12/2025 SE INSTALA AVISO EXTERIOR OK</t>
  </si>
  <si>
    <t>3182923</t>
  </si>
  <si>
    <t>3007054029</t>
  </si>
  <si>
    <t>DISTRICOL MERCAFRUVER</t>
  </si>
  <si>
    <t>FO-25-2044928</t>
  </si>
  <si>
    <t>29/12/2025 SE ESCALA PARA VISITA. LLAMAR ANTES DE VISITAR, CONFIRMAR FALLA Y DATOS | 31/12/2025 SE INSTALA AVISO EXTERIOR SIN NOVEDAD</t>
  </si>
  <si>
    <t>CAÑAS MENDEZ GUSTAVO ADOLFO</t>
  </si>
  <si>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</si>
  <si>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</si>
  <si>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</si>
  <si>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</si>
  <si>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</si>
  <si>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</si>
  <si>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</si>
  <si>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</si>
  <si>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</si>
  <si>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</si>
  <si>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</si>
  <si>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</si>
  <si>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</si>
  <si>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811013990-5</t>
  </si>
  <si>
    <t>LINEA COMUNICACIONES S.A.S</t>
  </si>
  <si>
    <t>INSTALACION PUBLICIDAD APERTURAS CORRESPONSALES BANCARIOS</t>
  </si>
  <si>
    <t xml:space="preserve">OPERADOR DEL CORRESPONSAL BANCARIO </t>
  </si>
  <si>
    <t>ORDENES DE CAMBIO POR DEMANDA</t>
  </si>
  <si>
    <t>TRAYECTOS ESPECIALES OC</t>
  </si>
  <si>
    <t>TOTAL A FACTURAR</t>
  </si>
  <si>
    <t>DICIEMBRE DE 2025</t>
  </si>
  <si>
    <t>APERTURAS CB 82473</t>
  </si>
  <si>
    <t>MEDELLIN - ITSMINA- MEDELLIN</t>
  </si>
  <si>
    <t>Etiquetas de fila</t>
  </si>
  <si>
    <t>Total general</t>
  </si>
  <si>
    <t>Suma de VALOR TOTAL INSTALACION DE PUBLICIDAD</t>
  </si>
  <si>
    <t>CC</t>
  </si>
  <si>
    <t>VALOR</t>
  </si>
  <si>
    <t>Suma de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</si>
</sst>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 #,##0.00_-;\-&quot;$&quot;\ * #,##0.00_-;_-&quot;$&quot;\ * &quot;-&quot;??_-;_-@_-"/>
    <numFmt numFmtId="43" formatCode="_-* #,##0.00_-;\-* #,##0.00_-;_-* &quot;-&quot;??_-;_-@_-"/>
    <numFmt numFmtId="164" formatCode="_(&quot;$&quot;\ * #,##0.00_);_(&quot;$&quot;\ * \(#,##0.00\);_(&quot;$&quot;\ * &quot;-&quot;??_);_(@_)"/>
    <numFmt numFmtId="165" formatCode="_(&quot;$&quot;\ * #,##0_);_(&quot;$&quot;\ * \(#,##0\);_(&quot;$&quot;\ * &quot;-&quot;??_);_(@_)"/>
    <numFmt numFmtId="166" formatCode="&quot;$&quot;#,##0.00;\-&quot;$&quot;#,##0.00"/>
    <numFmt numFmtId="167" formatCode="dd/mm/yyyy"/>
    <numFmt numFmtId="168" formatCode="[$-409]d\-m\-yy\ h:mm\ AM/PM;@"/>
    <numFmt numFmtId="169" formatCode="_ &quot;$&quot;\ * #,##0_ ;_ &quot;$&quot;\ * \-#,##0_ ;_ &quot;$&quot;\ * &quot;-&quot;??_ ;_ @_ "/>
    <numFmt numFmtId="170" formatCode="[$-240A]dddd\,\ dd&quot; de &quot;mmmm&quot; de &quot;yyyy"/>
    <numFmt numFmtId="171" formatCode="_ * #,##0.00_ ;_ * \-#,##0.00_ ;_ * &quot;-&quot;??_ ;_ @_ "/>
    <numFmt numFmtId="172" formatCode="_-* #,##0.00\ _€_-;\-* #,##0.00\ _€_-;_-* &quot;-&quot;??\ _€_-;_-@_-"/>
    <numFmt numFmtId="173" formatCode="_-&quot;$&quot;* #,##0.00_-;\-&quot;$&quot;* #,##0.00_-;_-&quot;$&quot;* &quot;-&quot;??_-;_-@_-"/>
    <numFmt numFmtId="174" formatCode="_-&quot;$&quot;* #,##0_-;\-&quot;$&quot;* #,##0_-;_-&quot;$&quot;* &quot;-&quot;_-;_-@_-"/>
    <numFmt numFmtId="175" formatCode="&quot;$&quot;\ #,##0"/>
    <numFmt numFmtId="176" formatCode="_-&quot;$&quot;* #,##0_-;\-&quot;$&quot;* #,##0_-;_-&quot;$&quot;* &quot;-&quot;??_-;_-@_-"/>
    <numFmt numFmtId="177" formatCode="0.0"/>
  </numFmts>
  <fonts count="17">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sz val="11"/>
      <color rgb="FF000000"/>
      <name val="Gelion Thin"/>
    </font>
    <font>
      <b/>
      <sz val="11"/>
      <color rgb="FFFFFFFF"/>
      <name val="Calibri"/>
      <family val="2"/>
    </font>
    <font>
      <b/>
      <sz val="11"/>
      <name val="Gelion Thin"/>
    </font>
    <font>
      <sz val="8"/>
      <name val="Gelion Thin"/>
    </font>
  </fonts>
  <fills count="6">
    <fill>
      <patternFill patternType="none"/>
    </fill>
    <fill>
      <patternFill patternType="gray125"/>
    </fill>
    <fill>
      <patternFill patternType="solid">
        <fgColor rgb="FF9B9B9A"/>
        <bgColor indexed="64"/>
      </patternFill>
    </fill>
    <fill>
      <patternFill patternType="solid">
        <fgColor rgb="FFB0F70A"/>
        <bgColor indexed="64"/>
      </patternFill>
    </fill>
    <fill>
      <patternFill patternType="solid">
        <fgColor theme="6" tint="0.79998168889431442"/>
        <bgColor indexed="64"/>
      </patternFill>
    </fill>
    <fill>
      <patternFill patternType="solid">
        <fgColor rgb="FF001D62"/>
        <bgColor rgb="FF001D6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85">
    <xf numFmtId="0" fontId="0" fillId="0" borderId="0"/>
    <xf numFmtId="164" fontId="1" fillId="0" borderId="0"/>
    <xf numFmtId="0" fontId="2" fillId="0" borderId="0"/>
    <xf numFmtId="164" fontId="1" fillId="0" borderId="0"/>
    <xf numFmtId="0" fontId="2" fillId="0" borderId="0"/>
    <xf numFmtId="164" fontId="2" fillId="0" borderId="0"/>
    <xf numFmtId="0" fontId="1" fillId="0" borderId="0"/>
    <xf numFmtId="164" fontId="2" fillId="0" borderId="0"/>
    <xf numFmtId="0" fontId="3" fillId="0" borderId="0"/>
    <xf numFmtId="0" fontId="1" fillId="0" borderId="0"/>
    <xf numFmtId="0" fontId="2" fillId="0" borderId="0"/>
    <xf numFmtId="0" fontId="2" fillId="0" borderId="0"/>
    <xf numFmtId="168" fontId="2" fillId="0" borderId="0"/>
    <xf numFmtId="169" fontId="2" fillId="0" borderId="0"/>
    <xf numFmtId="0" fontId="2" fillId="0" borderId="0"/>
    <xf numFmtId="0" fontId="2" fillId="0" borderId="0"/>
    <xf numFmtId="0" fontId="1" fillId="0" borderId="0"/>
    <xf numFmtId="0" fontId="2" fillId="0" borderId="0"/>
    <xf numFmtId="168" fontId="1" fillId="0" borderId="0"/>
    <xf numFmtId="0" fontId="5" fillId="0" borderId="0"/>
    <xf numFmtId="170" fontId="2" fillId="0" borderId="0"/>
    <xf numFmtId="168" fontId="1" fillId="0" borderId="0"/>
    <xf numFmtId="0" fontId="6" fillId="0" borderId="0"/>
    <xf numFmtId="0" fontId="6" fillId="0" borderId="0"/>
    <xf numFmtId="0" fontId="1" fillId="0" borderId="0"/>
    <xf numFmtId="0" fontId="1" fillId="0" borderId="0"/>
    <xf numFmtId="0" fontId="1" fillId="0" borderId="0"/>
    <xf numFmtId="43" fontId="1" fillId="0" borderId="0"/>
    <xf numFmtId="0" fontId="2" fillId="0" borderId="0"/>
    <xf numFmtId="171" fontId="2" fillId="0" borderId="0"/>
    <xf numFmtId="168" fontId="2" fillId="0" borderId="0"/>
    <xf numFmtId="0" fontId="1" fillId="0" borderId="0"/>
    <xf numFmtId="168" fontId="2" fillId="0" borderId="0"/>
    <xf numFmtId="0" fontId="2" fillId="0" borderId="0"/>
    <xf numFmtId="0" fontId="1" fillId="0" borderId="0"/>
    <xf numFmtId="0" fontId="1" fillId="0" borderId="0"/>
    <xf numFmtId="0" fontId="2" fillId="0" borderId="0"/>
    <xf numFmtId="43" fontId="2" fillId="0" borderId="0"/>
    <xf numFmtId="0" fontId="2" fillId="0" borderId="0"/>
    <xf numFmtId="0" fontId="3" fillId="0" borderId="0"/>
    <xf numFmtId="0" fontId="1" fillId="0" borderId="0"/>
    <xf numFmtId="168" fontId="1" fillId="0" borderId="0"/>
    <xf numFmtId="0" fontId="1" fillId="0" borderId="0"/>
    <xf numFmtId="0" fontId="1" fillId="0" borderId="0"/>
    <xf numFmtId="171" fontId="2" fillId="0" borderId="0"/>
    <xf numFmtId="0" fontId="1" fillId="0" borderId="0"/>
    <xf numFmtId="0" fontId="1" fillId="0" borderId="0"/>
    <xf numFmtId="0" fontId="1" fillId="0" borderId="0"/>
    <xf numFmtId="0" fontId="1" fillId="0" borderId="0"/>
    <xf numFmtId="0" fontId="7" fillId="0" borderId="0"/>
    <xf numFmtId="0" fontId="1" fillId="0" borderId="0"/>
    <xf numFmtId="43" fontId="1" fillId="0" borderId="0"/>
    <xf numFmtId="172" fontId="1" fillId="0" borderId="0"/>
    <xf numFmtId="173" fontId="3" fillId="0" borderId="0"/>
    <xf numFmtId="164"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68" fontId="2" fillId="0" borderId="0"/>
    <xf numFmtId="171" fontId="2" fillId="0" borderId="0"/>
    <xf numFmtId="0" fontId="1" fillId="0" borderId="0"/>
    <xf numFmtId="174" fontId="2" fillId="0" borderId="0"/>
    <xf numFmtId="0" fontId="1" fillId="0" borderId="0"/>
    <xf numFmtId="0" fontId="1" fillId="0" borderId="0"/>
    <xf numFmtId="0" fontId="1" fillId="0" borderId="0"/>
    <xf numFmtId="173" fontId="1" fillId="0" borderId="0"/>
    <xf numFmtId="164" fontId="2" fillId="0" borderId="0"/>
    <xf numFmtId="164" fontId="1" fillId="0" borderId="0"/>
    <xf numFmtId="0" fontId="1" fillId="0" borderId="0"/>
    <xf numFmtId="173" fontId="1" fillId="0" borderId="0"/>
    <xf numFmtId="173" fontId="1" fillId="0" borderId="0"/>
    <xf numFmtId="0" fontId="1" fillId="0" borderId="0"/>
    <xf numFmtId="44" fontId="1" fillId="0" borderId="0" applyFont="0" applyFill="0" applyBorder="0" applyAlignment="0" applyProtection="0"/>
  </cellStyleXfs>
  <cellXfs count="59">
    <xf numFmtId="0" fontId="0" fillId="0" borderId="0" xfId="0"/>
    <xf numFmtId="0" fontId="4" fillId="0" borderId="0" xfId="0" applyFont="1"/>
    <xf numFmtId="0" fontId="12" fillId="0" borderId="0" xfId="0" applyFont="1"/>
    <xf numFmtId="164" fontId="12" fillId="0" borderId="1" xfId="3"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5" fontId="12" fillId="0" borderId="0" xfId="0" applyNumberFormat="1" applyFont="1"/>
    <xf numFmtId="0" fontId="9" fillId="0" borderId="1" xfId="83" applyFont="1" applyBorder="1"/>
    <xf numFmtId="0" fontId="1" fillId="0" borderId="0" xfId="83"/>
    <xf numFmtId="0" fontId="10" fillId="2" borderId="1" xfId="0" applyFont="1" applyFill="1" applyBorder="1" applyAlignment="1">
      <alignment vertical="center" wrapText="1"/>
    </xf>
    <xf numFmtId="0" fontId="10" fillId="2" borderId="1" xfId="0" applyFont="1" applyFill="1" applyBorder="1" applyAlignment="1">
      <alignment horizontal="center" vertical="center" wrapText="1"/>
    </xf>
    <xf numFmtId="166" fontId="10" fillId="2" borderId="1" xfId="0" applyNumberFormat="1" applyFont="1" applyFill="1" applyBorder="1" applyAlignment="1">
      <alignment horizontal="left" vertical="center" wrapText="1"/>
    </xf>
    <xf numFmtId="0" fontId="13" fillId="0" borderId="1" xfId="0" applyFont="1" applyBorder="1"/>
    <xf numFmtId="0" fontId="13" fillId="0" borderId="5" xfId="0" applyFont="1" applyBorder="1"/>
    <xf numFmtId="0" fontId="13" fillId="0" borderId="3" xfId="0" applyFont="1" applyBorder="1"/>
    <xf numFmtId="0" fontId="13" fillId="0" borderId="7" xfId="0" applyFont="1" applyBorder="1"/>
    <xf numFmtId="10" fontId="4" fillId="3" borderId="0" xfId="0" applyNumberFormat="1" applyFont="1" applyFill="1" applyAlignment="1">
      <alignment horizontal="center"/>
    </xf>
    <xf numFmtId="165" fontId="12" fillId="4" borderId="1" xfId="3" applyNumberFormat="1" applyFont="1" applyFill="1" applyBorder="1" applyAlignment="1">
      <alignment horizontal="center" vertical="center"/>
    </xf>
    <xf numFmtId="165" fontId="12" fillId="4" borderId="2" xfId="3" applyNumberFormat="1" applyFont="1" applyFill="1" applyBorder="1" applyAlignment="1">
      <alignment horizontal="center" vertical="center"/>
    </xf>
    <xf numFmtId="165" fontId="12" fillId="4" borderId="1" xfId="3" applyNumberFormat="1" applyFont="1" applyFill="1" applyBorder="1" applyAlignment="1">
      <alignment vertical="center" wrapText="1"/>
    </xf>
    <xf numFmtId="165" fontId="12" fillId="4" borderId="1" xfId="3" applyNumberFormat="1" applyFont="1" applyFill="1" applyBorder="1" applyAlignment="1">
      <alignment horizontal="center"/>
    </xf>
    <xf numFmtId="0" fontId="10" fillId="2" borderId="1" xfId="0" applyFont="1" applyFill="1" applyBorder="1" applyAlignment="1">
      <alignment horizontal="center" vertical="center"/>
    </xf>
    <xf numFmtId="0" fontId="14" fillId="5" borderId="0" xfId="0" applyFont="1" applyFill="1" applyAlignment="1">
      <alignment horizontal="center" vertical="center" wrapText="1"/>
    </xf>
    <xf numFmtId="167" fontId="0" fillId="0" borderId="0" xfId="0" applyNumberFormat="1"/>
    <xf numFmtId="1" fontId="0" fillId="0" borderId="0" xfId="0" applyNumberFormat="1"/>
    <xf numFmtId="0" fontId="10" fillId="2" borderId="4" xfId="11" applyFont="1" applyFill="1" applyBorder="1" applyAlignment="1">
      <alignment horizontal="center"/>
    </xf>
    <xf numFmtId="175" fontId="10" fillId="2" borderId="4" xfId="11" applyNumberFormat="1" applyFont="1" applyFill="1" applyBorder="1" applyAlignment="1">
      <alignment horizontal="center" vertical="center"/>
    </xf>
    <xf numFmtId="17" fontId="11" fillId="0" borderId="1" xfId="0" applyNumberFormat="1" applyFont="1" applyBorder="1" applyAlignment="1">
      <alignment vertical="center"/>
    </xf>
    <xf numFmtId="0" fontId="11" fillId="0" borderId="1" xfId="0" applyFont="1" applyBorder="1" applyAlignment="1">
      <alignment horizontal="center" vertical="center"/>
    </xf>
    <xf numFmtId="176" fontId="11" fillId="0" borderId="1" xfId="0" applyNumberFormat="1" applyFont="1" applyBorder="1" applyAlignment="1">
      <alignment vertical="center"/>
    </xf>
    <xf numFmtId="176" fontId="0" fillId="0" borderId="0" xfId="0" applyNumberFormat="1"/>
    <xf numFmtId="0" fontId="16" fillId="0" borderId="1" xfId="0" applyFont="1" applyBorder="1" applyAlignment="1">
      <alignment horizontal="center" vertical="center"/>
    </xf>
    <xf numFmtId="176" fontId="16" fillId="0" borderId="1" xfId="84" applyNumberFormat="1" applyFont="1" applyBorder="1" applyAlignment="1">
      <alignment horizontal="center" vertical="center"/>
    </xf>
    <xf numFmtId="165" fontId="16" fillId="0" borderId="1" xfId="11" applyNumberFormat="1" applyFont="1" applyBorder="1" applyAlignment="1">
      <alignment vertical="center"/>
    </xf>
    <xf numFmtId="43" fontId="0" fillId="0" borderId="0" xfId="0" applyNumberFormat="1"/>
    <xf numFmtId="176" fontId="10" fillId="2" borderId="1" xfId="84" applyNumberFormat="1" applyFont="1" applyFill="1" applyBorder="1" applyAlignment="1">
      <alignment vertical="center" wrapText="1"/>
    </xf>
    <xf numFmtId="175" fontId="10" fillId="2" borderId="10" xfId="11" applyNumberFormat="1" applyFont="1" applyFill="1" applyBorder="1" applyAlignment="1">
      <alignment horizontal="center" vertical="center"/>
    </xf>
    <xf numFmtId="175" fontId="10" fillId="2" borderId="7" xfId="11" applyNumberFormat="1" applyFont="1" applyFill="1" applyBorder="1" applyAlignment="1">
      <alignment horizontal="center" vertical="center"/>
    </xf>
    <xf numFmtId="175" fontId="10" fillId="2" borderId="3" xfId="11" applyNumberFormat="1" applyFont="1" applyFill="1" applyBorder="1" applyAlignment="1">
      <alignment horizontal="center" vertical="center"/>
    </xf>
    <xf numFmtId="0" fontId="15" fillId="2" borderId="1" xfId="0" applyFont="1" applyFill="1" applyBorder="1" applyAlignment="1">
      <alignment horizontal="center" vertical="center"/>
    </xf>
    <xf numFmtId="0" fontId="10" fillId="2" borderId="2" xfId="11" applyFont="1" applyFill="1" applyBorder="1" applyAlignment="1">
      <alignment horizontal="center"/>
    </xf>
    <xf numFmtId="0" fontId="10" fillId="2" borderId="6" xfId="11" applyFont="1" applyFill="1" applyBorder="1" applyAlignment="1">
      <alignment horizontal="center"/>
    </xf>
    <xf numFmtId="0" fontId="10" fillId="2" borderId="5" xfId="11" applyFont="1" applyFill="1" applyBorder="1" applyAlignment="1">
      <alignment horizontal="center"/>
    </xf>
    <xf numFmtId="0" fontId="15" fillId="2" borderId="1" xfId="0" applyFont="1" applyFill="1" applyBorder="1" applyAlignment="1">
      <alignment horizontal="center"/>
    </xf>
    <xf numFmtId="0" fontId="10" fillId="2" borderId="1" xfId="0" applyFont="1" applyFill="1" applyBorder="1" applyAlignment="1">
      <alignment horizontal="center"/>
    </xf>
    <xf numFmtId="0" fontId="0" fillId="0" borderId="6" xfId="0" applyBorder="1"/>
    <xf numFmtId="0" fontId="0" fillId="0" borderId="5" xfId="0" applyBorder="1"/>
    <xf numFmtId="0" fontId="11" fillId="0" borderId="1" xfId="0" applyFont="1" applyBorder="1" applyAlignment="1">
      <alignment horizontal="left" vertical="center"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7" xfId="0" applyBorder="1"/>
    <xf numFmtId="0" fontId="10"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77" fontId="0" fillId="0" borderId="0" xfId="0" applyNumberFormat="1"/>
  </cellXfs>
  <cellStyles count="85">
    <cellStyle name="Excel Built-in Normal" xfId="19" xr:uid="{00000000-0005-0000-0000-000013000000}"/>
    <cellStyle name="Hyperlink" xfId="49" xr:uid="{00000000-0005-0000-0000-000031000000}"/>
    <cellStyle name="Millares 2" xfId="27" xr:uid="{00000000-0005-0000-0000-00001B000000}"/>
    <cellStyle name="Millares 2 2" xfId="37" xr:uid="{00000000-0005-0000-0000-000025000000}"/>
    <cellStyle name="Millares 2 3" xfId="51" xr:uid="{00000000-0005-0000-0000-000033000000}"/>
    <cellStyle name="Millares 3" xfId="52" xr:uid="{00000000-0005-0000-0000-000034000000}"/>
    <cellStyle name="Moneda" xfId="84" builtinId="4"/>
    <cellStyle name="Moneda [0] 2" xfId="73" xr:uid="{00000000-0005-0000-0000-000049000000}"/>
    <cellStyle name="Moneda 2" xfId="5" xr:uid="{00000000-0005-0000-0000-000005000000}"/>
    <cellStyle name="Moneda 2 10" xfId="7" xr:uid="{00000000-0005-0000-0000-000007000000}"/>
    <cellStyle name="Moneda 2 10 2" xfId="78" xr:uid="{00000000-0005-0000-0000-00004E000000}"/>
    <cellStyle name="Moneda 2 2 2" xfId="1" xr:uid="{00000000-0005-0000-0000-000001000000}"/>
    <cellStyle name="Moneda 3" xfId="53" xr:uid="{00000000-0005-0000-0000-000035000000}"/>
    <cellStyle name="Moneda 3 7" xfId="82" xr:uid="{00000000-0005-0000-0000-000052000000}"/>
    <cellStyle name="Moneda 4" xfId="3" xr:uid="{00000000-0005-0000-0000-000003000000}"/>
    <cellStyle name="Moneda 4 2" xfId="54" xr:uid="{00000000-0005-0000-0000-000036000000}"/>
    <cellStyle name="Moneda 4 3" xfId="79" xr:uid="{00000000-0005-0000-0000-00004F000000}"/>
    <cellStyle name="Moneda 5" xfId="77" xr:uid="{00000000-0005-0000-0000-00004D000000}"/>
    <cellStyle name="Moneda 6" xfId="81" xr:uid="{00000000-0005-0000-0000-000051000000}"/>
    <cellStyle name="Normal" xfId="0" builtinId="0"/>
    <cellStyle name="Normal 10" xfId="39" xr:uid="{00000000-0005-0000-0000-000027000000}"/>
    <cellStyle name="Normal 10 2 10" xfId="21" xr:uid="{00000000-0005-0000-0000-000015000000}"/>
    <cellStyle name="Normal 10 2 10 2" xfId="55" xr:uid="{00000000-0005-0000-0000-000037000000}"/>
    <cellStyle name="Normal 10 2 10 3" xfId="41" xr:uid="{00000000-0005-0000-0000-000029000000}"/>
    <cellStyle name="Normal 10 2 10 50" xfId="31" xr:uid="{00000000-0005-0000-0000-00001F000000}"/>
    <cellStyle name="Normal 10 2 10 50 2" xfId="56" xr:uid="{00000000-0005-0000-0000-000038000000}"/>
    <cellStyle name="Normal 11" xfId="74" xr:uid="{00000000-0005-0000-0000-00004A000000}"/>
    <cellStyle name="Normal 12" xfId="75" xr:uid="{00000000-0005-0000-0000-00004B000000}"/>
    <cellStyle name="Normal 15" xfId="28" xr:uid="{00000000-0005-0000-0000-00001C000000}"/>
    <cellStyle name="Normal 17" xfId="29" xr:uid="{00000000-0005-0000-0000-00001D000000}"/>
    <cellStyle name="Normal 172" xfId="8" xr:uid="{00000000-0005-0000-0000-000008000000}"/>
    <cellStyle name="Normal 177" xfId="83" xr:uid="{00000000-0005-0000-0000-000053000000}"/>
    <cellStyle name="Normal 2" xfId="16" xr:uid="{00000000-0005-0000-0000-000010000000}"/>
    <cellStyle name="Normal 2 10" xfId="10" xr:uid="{00000000-0005-0000-0000-00000A000000}"/>
    <cellStyle name="Normal 2 10 2" xfId="11" xr:uid="{00000000-0005-0000-0000-00000B000000}"/>
    <cellStyle name="Normal 2 10 3" xfId="24" xr:uid="{00000000-0005-0000-0000-000018000000}"/>
    <cellStyle name="Normal 2 2" xfId="18" xr:uid="{00000000-0005-0000-0000-000012000000}"/>
    <cellStyle name="Normal 2 2 2" xfId="2" xr:uid="{00000000-0005-0000-0000-000002000000}"/>
    <cellStyle name="Normal 2 2 2 2" xfId="12" xr:uid="{00000000-0005-0000-0000-00000C000000}"/>
    <cellStyle name="Normal 2 2 2 2 2" xfId="32" xr:uid="{00000000-0005-0000-0000-000020000000}"/>
    <cellStyle name="Normal 2 2 2 2 3" xfId="57" xr:uid="{00000000-0005-0000-0000-000039000000}"/>
    <cellStyle name="Normal 2 2 2 2 6 2" xfId="6" xr:uid="{00000000-0005-0000-0000-000006000000}"/>
    <cellStyle name="Normal 2 2 2 2 6 2 2" xfId="76" xr:uid="{00000000-0005-0000-0000-00004C000000}"/>
    <cellStyle name="Normal 2 2 2 2 6 2 3" xfId="80" xr:uid="{00000000-0005-0000-0000-000050000000}"/>
    <cellStyle name="Normal 2 2 2 3" xfId="4" xr:uid="{00000000-0005-0000-0000-000004000000}"/>
    <cellStyle name="Normal 2 2 2 3 49" xfId="38" xr:uid="{00000000-0005-0000-0000-000026000000}"/>
    <cellStyle name="Normal 2 2 2 4" xfId="20" xr:uid="{00000000-0005-0000-0000-000014000000}"/>
    <cellStyle name="Normal 2 2 3" xfId="34" xr:uid="{00000000-0005-0000-0000-000022000000}"/>
    <cellStyle name="Normal 2 2 3 2" xfId="58" xr:uid="{00000000-0005-0000-0000-00003A000000}"/>
    <cellStyle name="Normal 2 2 4" xfId="25" xr:uid="{00000000-0005-0000-0000-000019000000}"/>
    <cellStyle name="Normal 2 2 4 2" xfId="59" xr:uid="{00000000-0005-0000-0000-00003B000000}"/>
    <cellStyle name="Normal 2 2 5" xfId="42" xr:uid="{00000000-0005-0000-0000-00002A000000}"/>
    <cellStyle name="Normal 2 2 52" xfId="60" xr:uid="{00000000-0005-0000-0000-00003C000000}"/>
    <cellStyle name="Normal 2 3" xfId="35" xr:uid="{00000000-0005-0000-0000-000023000000}"/>
    <cellStyle name="Normal 2 3 2" xfId="61" xr:uid="{00000000-0005-0000-0000-00003D000000}"/>
    <cellStyle name="Normal 2 4" xfId="22" xr:uid="{00000000-0005-0000-0000-000016000000}"/>
    <cellStyle name="Normal 2 4 2" xfId="62" xr:uid="{00000000-0005-0000-0000-00003E000000}"/>
    <cellStyle name="Normal 2 41" xfId="30" xr:uid="{00000000-0005-0000-0000-00001E000000}"/>
    <cellStyle name="Normal 2 5" xfId="40" xr:uid="{00000000-0005-0000-0000-000028000000}"/>
    <cellStyle name="Normal 3" xfId="23" xr:uid="{00000000-0005-0000-0000-000017000000}"/>
    <cellStyle name="Normal 3 2" xfId="63" xr:uid="{00000000-0005-0000-0000-00003F000000}"/>
    <cellStyle name="Normal 3 3" xfId="64" xr:uid="{00000000-0005-0000-0000-000040000000}"/>
    <cellStyle name="Normal 3 4" xfId="46" xr:uid="{00000000-0005-0000-0000-00002E000000}"/>
    <cellStyle name="Normal 4" xfId="26" xr:uid="{00000000-0005-0000-0000-00001A000000}"/>
    <cellStyle name="Normal 4 2" xfId="65" xr:uid="{00000000-0005-0000-0000-000041000000}"/>
    <cellStyle name="Normal 4 3" xfId="47" xr:uid="{00000000-0005-0000-0000-00002F000000}"/>
    <cellStyle name="Normal 5" xfId="9" xr:uid="{00000000-0005-0000-0000-000009000000}"/>
    <cellStyle name="Normal 5 10" xfId="43" xr:uid="{00000000-0005-0000-0000-00002B000000}"/>
    <cellStyle name="Normal 5 10 2" xfId="66" xr:uid="{00000000-0005-0000-0000-000042000000}"/>
    <cellStyle name="Normal 5 2" xfId="36" xr:uid="{00000000-0005-0000-0000-000024000000}"/>
    <cellStyle name="Normal 5 2 2" xfId="67" xr:uid="{00000000-0005-0000-0000-000043000000}"/>
    <cellStyle name="Normal 5 3" xfId="68" xr:uid="{00000000-0005-0000-0000-000044000000}"/>
    <cellStyle name="Normal 5 4" xfId="48" xr:uid="{00000000-0005-0000-0000-000030000000}"/>
    <cellStyle name="Normal 5 5" xfId="33" xr:uid="{00000000-0005-0000-0000-000021000000}"/>
    <cellStyle name="Normal 6" xfId="50" xr:uid="{00000000-0005-0000-0000-000032000000}"/>
    <cellStyle name="Normal 7" xfId="14" xr:uid="{00000000-0005-0000-0000-00000E000000}"/>
    <cellStyle name="Normal 7 10" xfId="69" xr:uid="{00000000-0005-0000-0000-000045000000}"/>
    <cellStyle name="Normal 7 2" xfId="17" xr:uid="{00000000-0005-0000-0000-000011000000}"/>
    <cellStyle name="Normal 7 4" xfId="70" xr:uid="{00000000-0005-0000-0000-000046000000}"/>
    <cellStyle name="Normal 8" xfId="13" xr:uid="{00000000-0005-0000-0000-00000D000000}"/>
    <cellStyle name="Normal 8 2" xfId="71" xr:uid="{00000000-0005-0000-0000-000047000000}"/>
    <cellStyle name="Normal 8 3" xfId="44" xr:uid="{00000000-0005-0000-0000-00002C000000}"/>
    <cellStyle name="Normal 81" xfId="15" xr:uid="{00000000-0005-0000-0000-00000F000000}"/>
    <cellStyle name="Normal 9" xfId="45" xr:uid="{00000000-0005-0000-0000-00002D000000}"/>
    <cellStyle name="Normal 9 2" xfId="72" xr:uid="{00000000-0005-0000-0000-000048000000}"/>
  </cellStyles>
  <dxfs count="8">
    <dxf>
      <numFmt numFmtId="177" formatCode="0.0"/>
    </dxf>
    <dxf>
      <numFmt numFmtId="1" formatCode="0"/>
    </dxf>
    <dxf>
      <numFmt numFmtId="177" formatCode="0.0"/>
    </dxf>
    <dxf>
      <numFmt numFmtId="2" formatCode="0.00"/>
    </dxf>
    <dxf>
      <numFmt numFmtId="177" formatCode="0.0"/>
    </dxf>
    <dxf>
      <numFmt numFmtId="2" formatCode="0.00"/>
    </dxf>
    <dxf>
      <numFmt numFmtId="177" formatCode="0.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34" Type="http://schemas.openxmlformats.org/officeDocument/2006/relationships/sharedStrings" Target="sharedString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ustomXml" Target="../customXml/item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pivotCacheDefinition" Target="pivotCache/pivotCacheDefinition2.xml"/><Relationship Id="rId35" Type="http://schemas.openxmlformats.org/officeDocument/2006/relationships/calcChain" Target="calcChain.xml"/><Relationship Id="rId8" Type="http://schemas.openxmlformats.org/officeDocument/2006/relationships/externalLink" Target="externalLinks/externalLink2.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12</xdr:col>
      <xdr:colOff>752475</xdr:colOff>
      <xdr:row>2</xdr:row>
      <xdr:rowOff>0</xdr:rowOff>
    </xdr:from>
    <xdr:to>
      <xdr:col>12</xdr:col>
      <xdr:colOff>758190</xdr:colOff>
      <xdr:row>2</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F829D98F-328C-42A5-BD46-8C328D190F0E}"/>
            </a:ext>
          </a:extLst>
        </xdr:cNvPr>
        <xdr:cNvSpPr/>
      </xdr:nvSpPr>
      <xdr:spPr bwMode="auto">
        <a:xfrm>
          <a:off x="23086695" y="36576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0</xdr:row>
      <xdr:rowOff>0</xdr:rowOff>
    </xdr:from>
    <xdr:to>
      <xdr:col>12</xdr:col>
      <xdr:colOff>758190</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BA91BF8A-C1EB-4904-B1B2-6C1F0E3F3183}"/>
            </a:ext>
          </a:extLst>
        </xdr:cNvPr>
        <xdr:cNvSpPr/>
      </xdr:nvSpPr>
      <xdr:spPr bwMode="auto">
        <a:xfrm>
          <a:off x="23086695" y="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3</xdr:row>
      <xdr:rowOff>0</xdr:rowOff>
    </xdr:from>
    <xdr:ext cx="5715"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CB2F6F23-5BC1-4DC8-A3AD-BE311CCDD5FF}"/>
            </a:ext>
          </a:extLst>
        </xdr:cNvPr>
        <xdr:cNvSpPr/>
      </xdr:nvSpPr>
      <xdr:spPr bwMode="auto">
        <a:xfrm>
          <a:off x="23086695" y="54864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4</xdr:row>
      <xdr:rowOff>0</xdr:rowOff>
    </xdr:from>
    <xdr:ext cx="571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FC28E93A-B3D1-4EF9-B1DA-4D93456165BF}"/>
            </a:ext>
          </a:extLst>
        </xdr:cNvPr>
        <xdr:cNvSpPr/>
      </xdr:nvSpPr>
      <xdr:spPr bwMode="auto">
        <a:xfrm>
          <a:off x="23086695" y="73152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5</xdr:row>
      <xdr:rowOff>0</xdr:rowOff>
    </xdr:from>
    <xdr:ext cx="5715" cy="76200"/>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14E730A8-4ABE-4798-8B60-6D620282CD44}"/>
            </a:ext>
          </a:extLst>
        </xdr:cNvPr>
        <xdr:cNvSpPr/>
      </xdr:nvSpPr>
      <xdr:spPr bwMode="auto">
        <a:xfrm>
          <a:off x="23086695" y="91440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lineacomunicacionesco.sharepoint.com/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lineacomunicacionesco.sharepoint.com/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61930092596" createdVersion="8" refreshedVersion="8" minRefreshableVersion="3" recordCount="79" xr:uid="{EDC550DF-9224-42D9-82EF-B72FA5E558A5}">
  <cacheSource type="worksheet">
    <worksheetSource ref="A1:AE1048576" sheet="PUBLICIDAD_APERTURAS"/>
  </cacheSource>
  <cacheFields count="31">
    <cacheField name="CIUDAD SEDE" numFmtId="0">
      <sharedItems containsBlank="1"/>
    </cacheField>
    <cacheField name="ZONA" numFmtId="0">
      <sharedItems containsBlank="1" count="10">
        <s v="SUROCCIDENTE Y EJE CAFETERO"/>
        <s v="REMOTAS"/>
        <s v="COSTA"/>
        <s v="NOROCCIDENTE"/>
        <s v="SANTANDERES"/>
        <s v="CENTRO"/>
        <s v="ORIENTE"/>
        <s v="SUROCCIDENTE"/>
        <s v="EJE CAFETERO"/>
        <m/>
      </sharedItems>
    </cacheField>
    <cacheField name="CENTRO DE COSTOS LINEACOM" numFmtId="0">
      <sharedItems containsBlank="1" count="8">
        <s v="0004-0003"/>
        <s v="0004-0007"/>
        <s v="0004-0002"/>
        <s v="0004-0001"/>
        <s v="0004-0005"/>
        <s v="0004-0008"/>
        <s v="0004-0004"/>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1-27T08:00:00" maxDate="2025-12-24T08:00:00"/>
    </cacheField>
    <cacheField name="FECHA ULTIMA ACTUALIZACION" numFmtId="0">
      <sharedItems containsNonDate="0" containsDate="1" containsString="0" containsBlank="1" minDate="2025-12-02T10:04:00" maxDate="2025-12-30T14:39: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FLANGER, DISPLAY LEGAL, DISPLAY CARTA O TABLOIDE" numFmtId="0">
      <sharedItems containsString="0" containsBlank="1" containsNumber="1" containsInteger="1" minValue="0" maxValue="1"/>
    </cacheField>
    <cacheField name="INSTALACION DE AVISOS EXTERNOS " numFmtId="0">
      <sharedItems containsString="0" containsBlank="1" containsNumber="1" containsInteger="1" minValue="0" maxValue="1"/>
    </cacheField>
    <cacheField name="TRANSPORTE DE AVISO  POR INSTALACION O POR NO INSTALACION (IDA-REGRESO)" numFmtId="0">
      <sharedItems containsString="0" containsBlank="1" containsNumber="1" containsInteger="1" minValue="0" maxValue="3"/>
    </cacheField>
    <cacheField name="VALOR FLANGER, SEPARADOR, STICKER, DISPLAY" numFmtId="0">
      <sharedItems containsString="0" containsBlank="1" containsNumber="1" containsInteger="1" minValue="0" maxValue="11251"/>
    </cacheField>
    <cacheField name="VALOR INSTALACIÓN DE AVISOS EXTERNOS " numFmtId="0">
      <sharedItems containsString="0" containsBlank="1" containsNumber="1" containsInteger="1" minValue="0" maxValue="126317"/>
    </cacheField>
    <cacheField name="VALOR TRANSPORTE DE AVISO" numFmtId="0">
      <sharedItems containsString="0" containsBlank="1" containsNumber="1" minValue="0" maxValue="332424.82536000002"/>
    </cacheField>
    <cacheField name="VALOR TOTAL INSTALACION DE PUBLICIDAD" numFmtId="0">
      <sharedItems containsString="0" containsBlank="1" containsNumber="1" containsInteger="1" minValue="11251" maxValue="4699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62360416667" createdVersion="8" refreshedVersion="8" minRefreshableVersion="3" recordCount="49" xr:uid="{FF1E8884-3533-4BA1-86FC-DC48E2061F7D}">
  <cacheSource type="worksheet">
    <worksheetSource ref="A1:AF1048576" sheet="PUBLICIDAD_OC"/>
  </cacheSource>
  <cacheFields count="32">
    <cacheField name="CIUDAD SEDE" numFmtId="0">
      <sharedItems containsBlank="1"/>
    </cacheField>
    <cacheField name="ZONA" numFmtId="0">
      <sharedItems containsBlank="1" count="7">
        <s v="NOROCCIDENTE"/>
        <s v="COSTA"/>
        <s v="REMOTAS"/>
        <s v="CUNDINAMARCA"/>
        <s v="SUROCCIDENTE Y EJE CAFETERO"/>
        <s v="SANTANDERES"/>
        <m/>
      </sharedItems>
    </cacheField>
    <cacheField name="CENTRO DE COSTOS LINEACOM" numFmtId="0">
      <sharedItems containsBlank="1" count="8">
        <s v="0004-0005"/>
        <s v="0004-0001"/>
        <s v="0004-0007"/>
        <s v="0004-0004"/>
        <s v="0004-0002"/>
        <s v="0004-0003"/>
        <s v="0004-0008"/>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5T10:43:00" maxDate="2025-12-29T08:53:00"/>
    </cacheField>
    <cacheField name="FECHA CIERRE DEL TICKET (DD/MM/AAAA HH:MM)" numFmtId="0">
      <sharedItems containsNonDate="0" containsDate="1" containsString="0" containsBlank="1" minDate="2025-12-01T14:56:00" maxDate="2025-12-31T10:57:00"/>
    </cacheField>
    <cacheField name="ACOMETIDA" numFmtId="0">
      <sharedItems containsNonDate="0" containsString="0"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NonDate="0" containsString="0"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TRANSPORTE AVISO EXTERIOR" numFmtId="0">
      <sharedItems containsString="0" containsBlank="1" containsNumber="1" containsInteger="1" minValue="0" maxValue="1"/>
    </cacheField>
    <cacheField name="VALOR ACTIVIDAD" numFmtId="0">
      <sharedItems containsString="0" containsBlank="1" containsNumber="1" containsInteger="1" minValue="37905" maxValue="988463"/>
    </cacheField>
    <cacheField name="VALOR TRANSPORTE AVISO" numFmtId="0">
      <sharedItems containsString="0" containsBlank="1" containsNumber="1" minValue="0" maxValue="110808.27512000001"/>
    </cacheField>
    <cacheField name="VALOR TOTAL INSTALACION DE PUBLICIDAD" numFmtId="0">
      <sharedItems containsString="0" containsBlank="1" containsNumber="1" minValue="37905" maxValue="109927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63166666665" createdVersion="8" refreshedVersion="8" minRefreshableVersion="3" recordCount="35" xr:uid="{EDAB7C8A-D78C-477A-9756-1B721B8D913A}">
  <cacheSource type="worksheet">
    <worksheetSource ref="C3:D38" sheet="Hoja1"/>
  </cacheSource>
  <cacheFields count="2">
    <cacheField name="CC" numFmtId="0">
      <sharedItems containsBlank="1" count="8">
        <s v="0004-0001"/>
        <m/>
        <s v="0004-0002"/>
        <s v="0004-0003"/>
        <s v="0004-0004"/>
        <s v="0004-0005"/>
        <s v="0004-0007"/>
        <s v="0004-0008"/>
      </sharedItems>
    </cacheField>
    <cacheField name="VALOR" numFmtId="0">
      <sharedItems containsString="0" containsBlank="1" containsNumber="1" minValue="650519" maxValue="47812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s v="CALI"/>
    <x v="0"/>
    <x v="0"/>
    <s v="76001"/>
    <s v="TA-25-1330514"/>
    <s v="3007082238"/>
    <s v="APERTURA"/>
    <s v="CB CRECIMIENTO ALIANZA - OTRAS LISTAS"/>
    <s v="VALLE DEL CAUCA"/>
    <s v="CALI"/>
    <s v="PTM CALI DISTRIBUIDORA LA 23 S"/>
    <s v="REDEBAN"/>
    <s v="FO-25-1905019 | FO-25-1884065"/>
    <d v="2025-11-27T08:00:00"/>
    <d v="2025-12-18T11:05:00"/>
    <m/>
    <m/>
    <s v="CANCELADO | EJECUTADO/CANCELADO"/>
    <s v="[FO-25-1905019] 02/12/2025 ‎POR MOTIVO QUE EL CLIENTE TUVO DILIGENCIAS MÉDICAS, &quot;DIÓ A LUZ&quot; NO SE PODRÁ ATENDER LA INSTALACIÓN EL DÍA DE HOY, QUEDAMOS EN REPROGRAMAR DICHO SERVICIO. | 18/12/2025 ‎SE REALIZA COMUNICACIÓN CON LA SEÑORA ISABEL CRISTINA E INDICA QUE EL DÍA DE AYER 17 DE DICIEMBRE REALIZÓ EL PROCESO DE CANCELACIÓN PORQUE SE ENCUENTRA INDISPUESTA DE SALUD QUE PARA ENERO RETOMA LA SOLICITUD DE INSTALACIÓN CON PTM. || [FO-25-1884065] 26/11/2025 26-11 PROGRAMACION REALIZADA POR LA ALIANZA| INSTALACIÓN PROGRAMADA PARA EL 2025-11-28 | 28/11/2025 SE LLEGO A EL CB DESDE TEMPRANO, POR INCONVENIENTE CON LAS TERMINALES REDEBAN REALIZO CAMBIO DE LA MISMA A UNAS NUEVAS._x000a_‎SE CONFIGURA LA NUEVA TERMINAL COMO PURA POR SOLICITUD DE REDEBAN Y SIENDO LAS 17:00 LA TERMINAL AUN PRESENTA INCONVENIENTES, LAS CUALES AL REALIZAR PRUEBAS DA RECHAZOS GENERAL._x000a_‎SE INDAGO CON PTM Y BANCOLOMBIA POSIBLES BLOQUEO Y ANTES LAS ENTIDADES ESTA BIEN._x000a_‎CLIENTE INDICA QUE NO PUEDE SEGUIR CON EL PROCESO DESPUES DE LAS 5 POR MOTIVO DE SEGURIDAD DE LA ZONA Y SOLICITA LA REPROGRAMACIÓN PARA EL DIA MARTES._x000a_‎PD. POR SOLICITUD DE REDEBAN EQUIPO QUEDARIA CON TERMINAL PURA"/>
    <s v="SOPORTE TELEFONICO"/>
    <m/>
    <s v="TIPO I"/>
    <s v="TERRESTRE"/>
    <s v="TORRES GARCIA JENDRY JOSE"/>
    <n v="0"/>
    <n v="0"/>
    <n v="1"/>
    <n v="0"/>
    <n v="0"/>
    <n v="0"/>
    <n v="57415"/>
  </r>
  <r>
    <s v="PASTO"/>
    <x v="0"/>
    <x v="0"/>
    <s v="86865"/>
    <s v="TA-25-1330515"/>
    <s v="3007082070"/>
    <s v="APERTURA"/>
    <s v="CB CRECIMIENTO ALIANZA - OTRAS LISTAS"/>
    <s v="PUTUMAYO"/>
    <s v="VALLE DEL GUAMUEZ"/>
    <s v="DISTRICOL ESTILO REAL"/>
    <s v="REDEBAN"/>
    <s v="FO-25-1884068"/>
    <d v="2025-11-27T08:00:00"/>
    <d v="2025-12-02T18:33:00"/>
    <s v="AGREGADOR"/>
    <s v="DISTRICOL"/>
    <s v="EJECUTADO"/>
    <s v="26/11/2025 26-11 PROGRAMACION REALIZADA POR LA ALIANZA| INSTALACIÓN PROGRAMADA PARA EL 2025-11-28 | 30/11/2025 SE REALIZARA DESPLAZAMIENTO EL DIA 1 DE DICIEMBRE YA QUE POR CIERRE DE VIA HACIA PUTUMAYO NO SE HA PODIDO REALIZAR | 22/12/2025 SE LLEGA A SITIO A REALIZAR INSTALACIÓN DE CORRESPONSAL BANCARIO SE CONFIGURA EQUIPO SE INICIALIZA SE REALIZA PRUEBAS DE FUNCIONAMIENTO FALLIDAS EQUIPO EN RECHAZO GENERAL SE REALIZA CAMBIO DE EQUIPO FALLA PERSISTE SE ESCALA A RBM MAIRA ALEJANDRO AUTORIZA CERRAR ORDEN POR POSIBLE BLOQUEO POR PARTE DE LA ENTIDAD SE LE INFORMA A CLIENTE QUE SE ESTÁ ALA ESPERA RESPUESTA PARA QUE PUEDA EMPEZAR A OPERAR  INSTALACION DE  PUBLICIDAD OK CAPACITACIÓN OK"/>
    <s v="VISITA TECNICA"/>
    <s v="OB004867"/>
    <s v="TIPO IV"/>
    <s v="TERRESTRE"/>
    <s v="BRAVO MADROÑERO OSCAR ESTEBAN"/>
    <n v="1"/>
    <n v="1"/>
    <n v="1"/>
    <n v="11251"/>
    <n v="126317"/>
    <n v="110808"/>
    <n v="248376"/>
  </r>
  <r>
    <s v="IBAGUE"/>
    <x v="1"/>
    <x v="1"/>
    <s v="73001"/>
    <s v="TA-25-1330683"/>
    <s v="3007082329"/>
    <s v="APERTURA"/>
    <s v="CB CRECIMIENTO ALIANZA - NUEVO"/>
    <s v="TOLIMA"/>
    <s v="IBAGUE"/>
    <s v="PTM  IBAGUE EL MANA DE LOS PLA"/>
    <s v="REDEBAN"/>
    <s v="FO-25-1898216 | FO-25-1884319"/>
    <d v="2025-11-27T08:00:00"/>
    <d v="2025-12-02T10:04:00"/>
    <m/>
    <m/>
    <s v="CANCELADO | EJECUTADO/CANCELADO"/>
    <s v="[FO-25-1898216] 02/12/2025 CONFIRMO LA CANCELACIÓN DE LA IMPLEMENTACIÓN DEL CB 82329 POR PARTE DEL USUARIO DEBIDO A QUE EN LA PLATAFORMA DE SOMOD BANCOLOMBIA NO LE FUNCIONA EL USUARIO Y CONTRASEÑA || [FO-25-1884319] 26/11/2025 26-11 PROGRAMACION REALIZADA POR LA ALIANZA| INSTALACIÓN PROGRAMADA PARA EL 2025-11-27 | 27/11/2025 SE VISITA DIRECCIÓN INDICADA DE INSTALACIÓN DE CB, SE VALIDA CORREO DE USUARIO PARA LA PLATAFORMA SOMOS BANCOLOMBIA . EVIDENCIA QUE PRESENTA INCONSISTENCIA . POR TAL MOTIVO NO ES POSIBLE EL INGRESO A SOMOS BANCOLOMBIA_x000a_EL CLIENTE MANIFIESTA NO RECIBIR LA INSTALACIÓN DEL CB YA QUE NO PUEDE VISUALIZAR LOS MOVIMIENTOS DE LA PLATAFORMA ESTAR SEGURA DE LA OPERATIVIDAD DEL CB_x000a_INFORMA QUE SE COMUNICARA CON EL PTM PARA CORRECCIÓN DE CORREO"/>
    <s v="SOPORTE TELEFONICO"/>
    <m/>
    <s v="TIPO I"/>
    <s v="TERRESTRE"/>
    <s v="GUTIERREZ  CAMILO ANDRES"/>
    <n v="0"/>
    <n v="0"/>
    <n v="1"/>
    <n v="0"/>
    <n v="0"/>
    <n v="0"/>
    <n v="57415"/>
  </r>
  <r>
    <s v="MANIZALES"/>
    <x v="0"/>
    <x v="2"/>
    <s v="17001"/>
    <s v="TA-25-1382428"/>
    <s v="3007082464"/>
    <s v="APERTURA"/>
    <s v="CB CRECIMIENTO ALIANZA - NUEVO"/>
    <s v="CALDAS"/>
    <s v="MANIZALES"/>
    <s v="DISTRICOL DROGUERIA GENERIK"/>
    <s v="REDEBAN"/>
    <s v="FO-25-1949034"/>
    <d v="2025-12-10T08:00:00"/>
    <d v="2025-12-11T17:00:00"/>
    <m/>
    <m/>
    <s v="EJECUTADO"/>
    <s v="09/12/2025 09-12 PROGRAMACION REALIZADA POR LA ALIANZA| INSTALACIÓN PROGRAMADA PARA EL 2025-12-11 | 11/12/2025 SE REALIZA INSTALACIÓN DE DATAFONO Y ACCESORIOS BASE LECTOR 40 ROLLOS Y PUBLICIDAD SE CAPACITA AL COMERCIO SE CREAN USUARIOS SE HACEN PRUEBAS DE CONSULTA DE SALDO SOLAMENTE YA QUE USUARIO NO CUENTA CON HERRAMIENTAS PARA REALIZAR RETIRO RECAUDO NI CONSIGNACIÓN SERVICIO OK"/>
    <s v="VISITA TECNICA"/>
    <s v="DA006233"/>
    <s v="TIPO I"/>
    <s v="TERRESTRE"/>
    <s v="AGUIRRE HENAO RAUL EDUARDO"/>
    <n v="1"/>
    <n v="1"/>
    <n v="1"/>
    <n v="11251"/>
    <n v="126317"/>
    <n v="57415"/>
    <n v="194983"/>
  </r>
  <r>
    <s v="VALLEDUPAR"/>
    <x v="2"/>
    <x v="3"/>
    <s v="20011"/>
    <s v="TA-25-1382429"/>
    <s v="3007082460"/>
    <s v="APERTURA"/>
    <s v="CB CRECIMIENTO ALIANZA - NUEVO"/>
    <s v="CESAR"/>
    <s v="AGUACHICA"/>
    <s v="DISTRIOL PAPELERIA PERF ZAMI"/>
    <s v="REDEBAN"/>
    <s v="FO-25-1949036"/>
    <d v="2025-12-10T08:00:00"/>
    <d v="2025-12-11T12:30:00"/>
    <m/>
    <m/>
    <s v="EJECUTADO"/>
    <s v="09/12/2025 09-12 PROGRAMACION REALIZADA POR LA ALIANZA| INSTALACIÓN PROGRAMADA PARA EL 2025-12-11 | 11/12/2025 SE REALIZA APERTURA DE CB, SE INSTALA DATAFONO, LECTOR Y PINPAD, YA QUE CLIENTE CONTABA CON VIDRIO DE SEGURIDAD, SE INSTALA PUBLICIDAD, SE ENTREGAN 40 ROLLOS, SE BRINDA CAPACITACIÓN, SE REALIZAN PRUEBAS DE TRANSACCIONES, DEJANDO SERVICIO FUNCIONAL AL 100 %"/>
    <s v="VISITA TECNICA"/>
    <s v="DA006234"/>
    <s v="TIPO IV"/>
    <s v="TERRESTRE"/>
    <s v="MONTES DIAZ JOHN FRED"/>
    <n v="1"/>
    <n v="1"/>
    <n v="1"/>
    <n v="11251"/>
    <n v="126317"/>
    <n v="110808"/>
    <n v="248376"/>
  </r>
  <r>
    <s v="PASTO"/>
    <x v="0"/>
    <x v="0"/>
    <s v="52001"/>
    <s v="TA-25-1382430"/>
    <s v="3007082466"/>
    <s v="APERTURA"/>
    <s v="CB CRECIMIENTO ALIANZA - NUEVO"/>
    <s v="NARIÑO"/>
    <s v="PASTO"/>
    <s v="DISTRICOL CENTROMARKET"/>
    <s v="REDEBAN"/>
    <s v="FO-25-1949039"/>
    <d v="2025-12-10T08:00:00"/>
    <d v="2025-12-11T14:56:00"/>
    <m/>
    <m/>
    <s v="EJECUTADO"/>
    <s v="09/12/2025 09-12 PROGRAMACION REALIZADA POR LA ALIANZA| INSTALACIÓN PROGRAMADA PARA EL 2025-12-11 | 11/12/2025 SE REALIZÓ LA INSTALACIÓN DE EQUIPOS PUBLICIDAD Y ACCESORIOS PARA APERTURA CB BANCOLOMBIA SE DIO CAPACITACIÓN MANEJO DE DATÁFONO CB Y SOMOS BANCOLOMBIA SE EJECUTAN PRUEBAS TX EXITOSAS QUEDA OPERATIVO."/>
    <s v="VISITA TECNICA"/>
    <s v="DA006235"/>
    <s v="TIPO I"/>
    <s v="TERRESTRE"/>
    <s v="REMICIO AMADO JOHN HEBER"/>
    <n v="1"/>
    <n v="1"/>
    <n v="1"/>
    <n v="11251"/>
    <n v="126317"/>
    <n v="57415"/>
    <n v="194983"/>
  </r>
  <r>
    <s v="MEDELLIN"/>
    <x v="3"/>
    <x v="4"/>
    <s v="5628"/>
    <s v="TA-25-1382432"/>
    <s v="3007067237"/>
    <s v="APERTURA"/>
    <s v="DATAFONO ADICIONAL - ALIANZA"/>
    <s v="ANTIOQUIA"/>
    <s v="SABANALARGA"/>
    <s v="PTM SABANALARGA TU DROGUERIA"/>
    <s v="REDEBAN"/>
    <s v="FO-25-1949046"/>
    <d v="2025-12-10T08:00:00"/>
    <d v="2025-12-11T16:50:00"/>
    <s v="AGREGADOR"/>
    <s v="COMCARD - PTM"/>
    <s v="EJECUTADO"/>
    <s v="09/12/2025 09-12 PROGRAMACION REALIZADA POR LA ALIANZA| INSTALACIÓN PROGRAMADA PARA EL 2025-12-11 | 11/12/2025 SE REALIZA INSTALACIÓN DE DATAFONO ADICIONAL OK"/>
    <s v="VISITA TECNICA"/>
    <s v="DA006237"/>
    <s v="TIPO III"/>
    <s v="TERRESTRE"/>
    <s v="QUINTERO SANCHEZ JUAN SEBASTIAN"/>
    <n v="0"/>
    <n v="1"/>
    <n v="0"/>
    <n v="11251"/>
    <n v="0"/>
    <n v="0"/>
    <n v="11251"/>
  </r>
  <r>
    <s v="MEDELLIN"/>
    <x v="3"/>
    <x v="4"/>
    <s v="5001"/>
    <s v="TA-25-1393484"/>
    <s v="3007082483"/>
    <s v="APERTURA"/>
    <s v="CB CRECIMIENTO ALIANZA - NUEVO"/>
    <s v="ANTIOQUIA"/>
    <s v="MEDELLIN"/>
    <s v="PTM MEDELLIN PLANET SHOPPING"/>
    <s v="REDEBAN"/>
    <s v="FO-25-1959628"/>
    <d v="2025-12-12T08:00:00"/>
    <d v="2025-12-12T16:20:00"/>
    <s v="AGREGADOR"/>
    <s v="COMCARD - PTM"/>
    <s v="EJECUTADO"/>
    <s v="11/12/2025 11-12 PROGRAMACION REALIZADA POR LA ALIANZA| INSTALACIÓN PROGRAMADA PARA EL 2025-12-12 | 12/12/2025 INSTALACIÓN DE CB MIXTO OK PUBLICIDAD Y CAPACITACIÓN OK PRUEBAS SOLO CONSULTA DE SALDO NO HAY PARA MÁS CUBRE CLAVE OK NO TELECARGA"/>
    <s v="VISITA TECNICA"/>
    <s v="DA007308"/>
    <s v="TIPO I"/>
    <s v="TERRESTRE"/>
    <s v="PAREJA ECHAVARRIA JHON DAVID"/>
    <n v="1"/>
    <n v="1"/>
    <n v="1"/>
    <n v="11251"/>
    <n v="126317"/>
    <n v="57415"/>
    <n v="194983"/>
  </r>
  <r>
    <s v="MEDELLIN"/>
    <x v="3"/>
    <x v="4"/>
    <s v="5001"/>
    <s v="TA-25-1393485"/>
    <s v="3007082484"/>
    <s v="APERTURA"/>
    <s v="CB CRECIMIENTO ALIANZA - NUEVO"/>
    <s v="ANTIOQUIA"/>
    <s v="MEDELLIN"/>
    <s v="PTM MEDELLIN SURTIBELLEZA LOS"/>
    <s v="REDEBAN"/>
    <s v="FO-25-1959631"/>
    <d v="2025-12-12T08:00:00"/>
    <d v="2025-12-12T13:56:00"/>
    <s v="AGREGADOR"/>
    <s v="COMCARD - PTM"/>
    <s v="EJECUTADO"/>
    <s v="11/12/2025 11-12 PROGRAMACION REALIZADA POR LA ALIANZA| INSTALACIÓN PROGRAMADA PARA EL 2025-12-12 | 15/12/2025 INSTALACIÓN DE CB MIXTO OK PUBLICIDAD Y CAPACITACIÓN OK PRUEBAS SOLO CONSULTA SALDO NO HAY MAS CUBRE CLAVE OK NO TELECARGA"/>
    <s v="VISITA TECNICA"/>
    <s v="DA007309"/>
    <s v="TIPO I"/>
    <s v="TERRESTRE"/>
    <s v="PAREJA ECHAVARRIA JHON DAVID"/>
    <n v="1"/>
    <n v="1"/>
    <n v="1"/>
    <n v="11251"/>
    <n v="126317"/>
    <n v="57415"/>
    <n v="194983"/>
  </r>
  <r>
    <s v="MEDELLIN"/>
    <x v="3"/>
    <x v="4"/>
    <s v="5001"/>
    <s v="TA-25-1393486"/>
    <s v="3007082485"/>
    <s v="APERTURA"/>
    <s v="CB CRECIMIENTO ALIANZA - NUEVO"/>
    <s v="ANTIOQUIA"/>
    <s v="MEDELLIN"/>
    <s v="PTM MEDELLIN MINIMERCADO EL MA"/>
    <s v="REDEBAN"/>
    <s v="FO-25-1959633"/>
    <d v="2025-12-12T08:00:00"/>
    <d v="2025-12-12T15:01:00"/>
    <s v="AGREGADOR"/>
    <s v="COMCARD - PTM"/>
    <s v="EJECUTADO"/>
    <s v="11/12/2025 11-12 PROGRAMACION REALIZADA POR LA ALIANZA| INSTALACIÓN PROGRAMADA PARA EL 2025-12-12 | 12/12/2025 SE HACE APERTURA DE CB EXITOSAMENTE"/>
    <s v="VISITA TECNICA"/>
    <s v="DA007310"/>
    <s v="TIPO I"/>
    <s v="TERRESTRE"/>
    <s v="RUA ALVAREZ RICHARD ANDRES"/>
    <n v="1"/>
    <n v="1"/>
    <n v="1"/>
    <n v="11251"/>
    <n v="126317"/>
    <n v="57415"/>
    <n v="194983"/>
  </r>
  <r>
    <s v="TUNJA"/>
    <x v="4"/>
    <x v="5"/>
    <s v="15516"/>
    <s v="TA-25-1393487"/>
    <s v="3007082475"/>
    <s v="APERTURA"/>
    <s v="CB CRECIMIENTO ALIANZA - NUEVO"/>
    <s v="BOYACA"/>
    <s v="PAIPA"/>
    <s v="PTM PAIPA FARMA DIAZ MAS"/>
    <s v="REDEBAN"/>
    <s v="FO-25-1959638"/>
    <d v="2025-12-12T08:00:00"/>
    <d v="2025-12-15T15:19:00"/>
    <s v="AGREGADOR"/>
    <s v="COMCARD - PTM"/>
    <s v="EJECUTADO"/>
    <s v="11/12/2025 11-12 PROGRAMACION REALIZADA POR LA ALIANZA| INSTALACIÓN PROGRAMADA PARA EL 2025-12-15 | 15/12/2025 SE REALIZA VISITA AL COMERCIO, SE INSTALAN EQUIPOS Y ACCESORIOS, SE CAPACITA AL CLIENTE Y SE HACEN PRUEBAS OK."/>
    <s v="VISITA TECNICA"/>
    <s v="DA007311"/>
    <s v="TIPO II"/>
    <s v="TERRESTRE"/>
    <s v="SOLER HOYOS CRISTIAN LEONARDO"/>
    <n v="1"/>
    <n v="1"/>
    <n v="1"/>
    <n v="11251"/>
    <n v="126317"/>
    <n v="110808"/>
    <n v="248376"/>
  </r>
  <r>
    <s v="BOGOTA"/>
    <x v="5"/>
    <x v="6"/>
    <s v="25269"/>
    <s v="TA-25-1393489"/>
    <s v="3007082472"/>
    <s v="APERTURA"/>
    <s v="CB CRECIMIENTO ALIANZA - NUEVO"/>
    <s v="CUNDINAMARCA"/>
    <s v="FACATATIVA"/>
    <s v="PTM FACATATIVA AUTO SERVICIO E"/>
    <s v="REDEBAN"/>
    <s v="FO-25-1959649"/>
    <d v="2025-12-12T08:00:00"/>
    <d v="2025-12-12T13:53:00"/>
    <s v="AGREGADOR"/>
    <s v="COMCARD - PTM"/>
    <s v="EJECUTADO"/>
    <s v="11/12/2025 11-12 PROGRAMACION REALIZADA POR LA ALIANZA| INSTALACIÓN PROGRAMADA PARA EL 2025-12-12 | 12/12/2025 APERTURA BANCOLOMBIA OK CAPACITACIÓN OK PUBLICIDAD OK SERVICIO OPERATIVO SE REALIZA PRUEBAS CON INFORMACIÓN QUE NOS SUMINISTRO EL CLIENTE"/>
    <s v="VISITA TECNICA"/>
    <s v="DA007314 - DA007184"/>
    <s v="TIPO II"/>
    <s v="TERRESTRE"/>
    <s v="HERNANDEZ NARANJO OSCAR EDUARDO"/>
    <n v="1"/>
    <n v="1"/>
    <n v="1"/>
    <n v="11251"/>
    <n v="126317"/>
    <n v="110808"/>
    <n v="248376"/>
  </r>
  <r>
    <s v="BOGOTA"/>
    <x v="5"/>
    <x v="6"/>
    <s v="25473"/>
    <s v="TA-25-1393490"/>
    <s v="3007082474"/>
    <s v="APERTURA"/>
    <s v="CB CRECIMIENTO ALIANZA - NUEVO"/>
    <s v="CUNDINAMARCA"/>
    <s v="MOSQUERA"/>
    <s v="PTM MOSQUERA PAPELERIA LISETTE"/>
    <s v="REDEBAN"/>
    <s v="FO-25-1959655"/>
    <d v="2025-12-12T08:00:00"/>
    <d v="2025-12-12T12:23:00"/>
    <s v="AGREGADOR"/>
    <s v="COMCARD - PTM"/>
    <s v="EJECUTADO"/>
    <s v="11/12/2025 11-12 PROGRAMACION REALIZADA POR LA ALIANZA| INSTALACIÓN PROGRAMADA PARA EL 2025-12-12 | 12/12/2025 SE REALIZA INSTALACIÓN DE DATAFONO LECTOR BASE PUBLICIDAD COMPLETA SE CAPACITA COMERCIO SE REALIZAN PRUEBAS OK NO SE TIENE TARJETA DE BANCOLOMBIA"/>
    <s v="VISITA TECNICA"/>
    <s v="DA007315"/>
    <s v="TIPO I"/>
    <s v="TERRESTRE"/>
    <s v="SOTO LONDOÑO FREDY ALEXANDER"/>
    <n v="1"/>
    <n v="1"/>
    <n v="1"/>
    <n v="11251"/>
    <n v="126317"/>
    <n v="57415"/>
    <n v="194983"/>
  </r>
  <r>
    <s v="BOGOTA"/>
    <x v="5"/>
    <x v="6"/>
    <s v="25817"/>
    <s v="TA-25-1393492"/>
    <s v="3007082480"/>
    <s v="APERTURA"/>
    <s v="CB CRECIMIENTO ALIANZA - NUEVO"/>
    <s v="CUNDINAMARCA"/>
    <s v="TOCANCIPA"/>
    <s v="PTM TOCANCIPA LOKYAN DIVERTPAR"/>
    <s v="REDEBAN"/>
    <s v="FO-25-1959661"/>
    <d v="2025-12-12T08:00:00"/>
    <d v="2025-12-12T13:44:00"/>
    <s v="AGREGADOR"/>
    <s v="COMCARD - PTM"/>
    <s v="EJECUTADO"/>
    <s v="11/12/2025 11-12 PROGRAMACION REALIZADA POR LA ALIANZA| INSTALACIÓN PROGRAMADA PARA EL 2025-12-12 | 12/12/2025 INSTALACIÓN BANCOLOMBIA CON PUBLICIDAD DATAFONO LECTORA ROLLOS BASE FUENTE DATOS SERVICIO OPERATIVO PRUEBAS OK CON UNA CONSULTA DE SALDO NO HAY VINO HACER CONSIGNACION O RETIRO TRNA RBM SE INSTALA CUBRE TECLADO"/>
    <s v="VISITA TECNICA"/>
    <s v="DA007316"/>
    <s v="TIPO II"/>
    <s v="TERRESTRE"/>
    <s v="BUSTOS MORA DIEGO MANUEL"/>
    <n v="1"/>
    <n v="1"/>
    <n v="1"/>
    <n v="11251"/>
    <n v="126317"/>
    <n v="110808"/>
    <n v="248376"/>
  </r>
  <r>
    <s v="MEDELLIN"/>
    <x v="3"/>
    <x v="4"/>
    <s v="27361"/>
    <s v="TA-25-1393494"/>
    <s v="3007082473"/>
    <s v="APERTURA"/>
    <s v="CB CRECIMIENTO ALIANZA - NUEVO"/>
    <s v="CHOCO"/>
    <s v="ISTMINA"/>
    <s v="PTM ISTMINA TIENDA Y VARIEDADE"/>
    <s v="REDEBAN"/>
    <s v="FO-25-1959664"/>
    <d v="2025-12-12T08:00:00"/>
    <d v="2025-12-18T17:04:00"/>
    <s v="AGREGADOR"/>
    <s v="COMCARD - PTM"/>
    <s v="EJECUTADO"/>
    <s v="11/12/2025 11-12 PROGRAMACION REALIZADA POR LA ALIANZA| INSTALACIÓN PROGRAMADA PARA EL 2025-12-18 | 19/12/2025 SE REALIZA INSTALACIÓN, CAPACITACION Y PRUEBAS CON EL CLIENTE YBEL CB QUEDA OPERATIVO"/>
    <s v="VISITA TECNICA"/>
    <s v="DA007188 - DA007317"/>
    <s v="TIPO V"/>
    <s v="AEREO"/>
    <s v="ROBLEDO DIAZ ANDRES FELIPE"/>
    <n v="1"/>
    <n v="1"/>
    <n v="1"/>
    <n v="11251"/>
    <n v="126317"/>
    <n v="110808"/>
    <n v="248376"/>
  </r>
  <r>
    <s v="VILLAVICENCIO"/>
    <x v="6"/>
    <x v="1"/>
    <s v="50573"/>
    <s v="TA-25-1393495"/>
    <s v="3007082479"/>
    <s v="APERTURA"/>
    <s v="CB CRECIMIENTO ALIANZA - NUEVO"/>
    <s v="META"/>
    <s v="PUERTO LOPEZ"/>
    <s v="PTM META VARIEDADES JOBAP"/>
    <s v="REDEBAN"/>
    <s v="FO-25-1959667"/>
    <d v="2025-12-12T08:00:00"/>
    <d v="2025-12-15T13:24:00"/>
    <s v="AGREGADOR"/>
    <s v="COMCARD - PTM"/>
    <s v="EJECUTADO"/>
    <s v="11/12/2025 11-12 PROGRAMACION REALIZADA POR LA ALIANZA| INSTALACIÓN PROGRAMADA PARA EL 2025-12-15 | 17/12/2025 SE REALIZA INSTALACION  CORRESPONSAL BANCOLOMBIA, SE REALIZAN PRUEBAS Y CAPACITACIÓN TODO OK"/>
    <s v="VISITA TECNICA"/>
    <s v="DA007318 - DA007189"/>
    <s v="TIPO II"/>
    <s v="TERRESTRE"/>
    <s v="PEDREROS CONTRERAS MICHAEL STEVENS"/>
    <n v="1"/>
    <n v="1"/>
    <n v="1"/>
    <n v="11251"/>
    <n v="126317"/>
    <n v="110808"/>
    <n v="248376"/>
  </r>
  <r>
    <s v="CALI"/>
    <x v="7"/>
    <x v="0"/>
    <s v="76520"/>
    <s v="TA-25-1393496"/>
    <s v="3007082476"/>
    <s v="APERTURA"/>
    <s v="CB CRECIMIENTO ALIANZA - NUEVO"/>
    <s v="VALLE DEL CAUCA"/>
    <s v="PALMIRA"/>
    <s v="PTM PALMIRA TIENDA Y VARIEDADE"/>
    <s v="REDEBAN"/>
    <s v="FO-25-1959673"/>
    <d v="2025-12-12T08:00:00"/>
    <d v="2025-12-15T06:43:00"/>
    <s v="AGREGADOR"/>
    <s v="COMCARD - PTM"/>
    <s v="EJECUTADO"/>
    <s v="11/12/2025 11-12 PROGRAMACION REALIZADA POR LA ALIANZA| INSTALACIÓN PROGRAMADA PARA EL 2025-12-15 | 15/12/2025 SE REALIZÓ LA INSTALACIÓN DE EL CORRESPONSAL BANCOLOMBIA MIXTO, DATÁFONO, LECTOR, MAGIC BOX 2600 BASE SOPORTE DE EL DATÁFONO Y SE IMPLEMENTARON LOS ROLLOS Y LA PUBLICIDAD DE BANCOLOMBIA,SE BRINDA CAPACITACIÓN Y SE REALIZARON LAS PRUEBAS CON EL CLIENTE DEJANDO EL SERVICIO OPERANDO SIN FALLAS Y SIN NOVEDAD."/>
    <s v="VISITA TECNICA"/>
    <s v="DA007320 -DA007190"/>
    <s v="TIPO I"/>
    <s v="TERRESTRE"/>
    <s v="SANCHEZ URREGO ROBINSON DAVID"/>
    <n v="1"/>
    <n v="1"/>
    <n v="1"/>
    <n v="11251"/>
    <n v="126317"/>
    <n v="57415"/>
    <n v="194983"/>
  </r>
  <r>
    <s v="BOGOTA"/>
    <x v="5"/>
    <x v="6"/>
    <s v="11001"/>
    <s v="TA-25-1393497"/>
    <s v="3007082470"/>
    <s v="APERTURA"/>
    <s v="CB CRECIMIENTO ALIANZA - NUEVO"/>
    <s v="CUNDINAMARCA"/>
    <s v="BOGOTA"/>
    <s v="PTM BOGOTA PAGAYA"/>
    <s v="REDEBAN"/>
    <s v="FO-25-1959679"/>
    <d v="2025-12-12T08:00:00"/>
    <d v="2025-12-12T12:00:00"/>
    <s v="AGREGADOR"/>
    <s v="COMCARD - PTM"/>
    <s v="EJECUTADO"/>
    <s v="11/12/2025 11-12 PROGRAMACION REALIZADA POR LA ALIANZA| INSTALACIÓN PROGRAMADA PARA EL 2025-12-12 | 12/12/2025 INSTALACIÓN DE CORRESPONSAL OK PRUEBA OK CAPACITACIÓN SOMOS BANCOLOMBIA OK CAPACITACIÓN IVA OK CAPACITACIÓN DATAFONO OK PAPELERÍA OK NO SE CUENTA CON TARJETA DE PRUEBA NI POR PARTE DE CLIENTE NO DEL TÉCNICO PARA REALIZAR PRUEBAS"/>
    <s v="VISITA TECNICA"/>
    <s v="DA007322 - AE006288"/>
    <s v="TIPO I"/>
    <s v="TERRESTRE"/>
    <s v="GOMEZ VEGA DAVID SNEYDER"/>
    <n v="1"/>
    <n v="1"/>
    <n v="1"/>
    <n v="11251"/>
    <n v="126317"/>
    <n v="57415"/>
    <n v="194983"/>
  </r>
  <r>
    <s v="MEDELLIN"/>
    <x v="3"/>
    <x v="4"/>
    <s v="5001"/>
    <s v="TA-25-1393500"/>
    <s v="3007082482"/>
    <s v="APERTURA"/>
    <s v="CB CRECIMIENTO ALIANZA - NUEVO"/>
    <s v="ANTIOQUIA"/>
    <s v="MEDELLIN"/>
    <s v="DISTRICOL JUGOS Y DOGS"/>
    <s v="REDEBAN"/>
    <s v="FO-25-1959693"/>
    <d v="2025-12-12T08:00:00"/>
    <d v="2025-12-12T16:50:00"/>
    <s v="AGREGADOR"/>
    <s v="DISTRICOL"/>
    <s v="EJECUTADO/CANCELADO"/>
    <s v="11/12/2025 11-12 PROGRAMACION REALIZADA POR LA ALIANZA| INSTALACIÓN PROGRAMADA PARA EL 2025-12-12 | 12/12/2025 LA DIRECCIÓN A LA QUE DEBO INSTALAR EL CB BANCARIO ESTÁ ERRADA, LA USUARIA INDICA QUE SE PASARON DE LOCAL HACE POCO"/>
    <s v="VISITA TECNICA"/>
    <m/>
    <s v="TIPO I"/>
    <s v="TERRESTRE"/>
    <s v="RUA ALVAREZ RICHARD ANDRES"/>
    <n v="0"/>
    <n v="0"/>
    <n v="2"/>
    <n v="0"/>
    <n v="0"/>
    <n v="57415"/>
    <n v="114830"/>
  </r>
  <r>
    <s v="MONTERIA"/>
    <x v="2"/>
    <x v="3"/>
    <s v="23555"/>
    <s v="TA-25-1393501"/>
    <s v="3007082477"/>
    <s v="APERTURA"/>
    <s v="CB CRECIMIENTO ALIANZA - NUEVO"/>
    <s v="CORDOBA"/>
    <s v="PLANETA RICA"/>
    <s v="DISTRICOL BARBERIA MR MONKEY"/>
    <s v="REDEBAN"/>
    <s v="FO-25-1959695"/>
    <d v="2025-12-12T08:00:00"/>
    <d v="2025-12-12T14:13:00"/>
    <s v="AGREGADOR"/>
    <s v="DISTRICOL"/>
    <s v="EJECUTADO"/>
    <s v="11/12/2025 11-12 PROGRAMACION REALIZADA POR LA ALIANZA| INSTALACIÓN PROGRAMADA PARA EL 2025-12-12 | 12/12/2025 SE REALIZA APERTURA DE CB, SE DEJA INSTALADO DATAFONO PLACA 1196644, LECTOR ÓPTICO PLACA 114348, AVISO EXTERIOR, FLANGGER, DISPLAY HORARIO, OTROS LUGARES, CUBRE CLAVES Y ACCESORIOS, SE REALIZAN PRUEBAS Y SE DEJA EL CB LISTO PARA OPERACIONES."/>
    <s v="VISITA TECNICA"/>
    <s v="DA007312"/>
    <s v="TIPO II"/>
    <s v="TERRESTRE"/>
    <s v="CASSIANI PEREZ RAUL RAMIRO"/>
    <n v="1"/>
    <n v="1"/>
    <n v="1"/>
    <n v="11251"/>
    <n v="126317"/>
    <n v="110808"/>
    <n v="248376"/>
  </r>
  <r>
    <s v="MONTERIA"/>
    <x v="2"/>
    <x v="3"/>
    <s v="23855"/>
    <s v="TA-25-1393502"/>
    <s v="3007082481"/>
    <s v="APERTURA"/>
    <s v="CB CRECIMIENTO ALIANZA - NUEVO"/>
    <s v="CORDOBA"/>
    <s v="VALENCIA"/>
    <s v="DISTRICOL ABARROTES Y LEGUMBRE"/>
    <s v="REDEBAN"/>
    <s v="FO-25-1959698"/>
    <d v="2025-12-12T08:00:00"/>
    <d v="2025-12-15T15:12:00"/>
    <s v="AGREGADOR"/>
    <s v="DISTRICOL"/>
    <s v="EJECUTADO"/>
    <s v="11/12/2025 11-12 PROGRAMACION REALIZADA POR LA ALIANZA| INSTALACIÓN PROGRAMADA PARA EL 2025-12-15 | 15/12/2025 SE REALIZA VISITA TÉCNICA PARA APERTURA DE CB, SE INSTALA DATAFONO PLACA 1192218, LECTORA SYMBOL PLACA 892689, AVISO EXTERIOR, FLANGGER, DISPLAY HORARIO, OTROS LUGARES, CUBRE CLAVES Y ACCESORIOS, SE REALIZA CAPACITACIÓN Y PRUEBAS DEJANDO CB LISTOS PARA OPERACIONES."/>
    <s v="VISITA TECNICA"/>
    <s v="DA007313"/>
    <s v="TIPO III"/>
    <s v="TERRESTRE"/>
    <s v="CASSIANI PEREZ RAUL RAMIRO"/>
    <n v="1"/>
    <n v="1"/>
    <n v="1"/>
    <n v="11251"/>
    <n v="126317"/>
    <n v="110808"/>
    <n v="248376"/>
  </r>
  <r>
    <s v="CUCUTA"/>
    <x v="4"/>
    <x v="5"/>
    <s v="54001"/>
    <s v="TA-25-1393503"/>
    <s v="3007082471"/>
    <s v="APERTURA"/>
    <s v="CB CRECIMIENTO ALIANZA - NUEVO"/>
    <s v="NORTE DE SANTANDER"/>
    <s v="CUCUTA"/>
    <s v="DISTRICOL SURTI RINCON S"/>
    <s v="REDEBAN"/>
    <s v="FO-25-1959702"/>
    <d v="2025-12-12T08:00:00"/>
    <d v="2025-12-15T13:21:00"/>
    <s v="AGREGADOR"/>
    <s v="DISTRICOL"/>
    <s v="EJECUTADO"/>
    <s v="11/12/2025 11-12 PROGRAMACION REALIZADA POR LA ALIANZA| INSTALACIÓN PROGRAMADA PARA EL 2025-12-15 | 15/12/2025 SE REALIZA LLAMADA TELEFÓNICA AL NÚMERO 3028227979 SE HABLÓ CON EL SR ISLANDER, MANIFIESTA DISPONIBILIDAD, INTERNET TODO OK, SE PROCEDE A REALIZAR VISITA TÉCNICA | 15/12/2025 SE REALIZA VISITA AL COMERCIO Y SE REALIZA INSTALACIÓN DE DATAFONO, LECTORA, CABLEADO, IDENTIFICADOR DE PUNTO, CAPACITACIÓN SOMOS BANCOLOMBIA OK, PUBLICIDAD BANCOLOMBIA INSTALADA OK, PRUEBAS EXITOSAS"/>
    <s v="VISITA TECNICA"/>
    <s v="DA007319"/>
    <s v="TIPO I"/>
    <s v="TERRESTRE"/>
    <s v="MORA VEGA JEAMPIER"/>
    <n v="1"/>
    <n v="1"/>
    <n v="1"/>
    <n v="11251"/>
    <n v="126317"/>
    <n v="57415"/>
    <n v="194983"/>
  </r>
  <r>
    <s v="PASTO"/>
    <x v="7"/>
    <x v="0"/>
    <s v="86568"/>
    <s v="TA-25-1393504"/>
    <s v="3007082478"/>
    <s v="APERTURA"/>
    <s v="CB CRECIMIENTO ALIANZA - NUEVO"/>
    <s v="PUTUMAYO"/>
    <s v="PUERTO ASIS"/>
    <s v="DISTRICOL ESTACION AVENIDA PAP"/>
    <s v="REDEBAN"/>
    <s v="FO-25-1959706"/>
    <d v="2025-12-12T08:00:00"/>
    <d v="2025-12-16T15:29:00"/>
    <s v="AGREGADOR"/>
    <s v="DISTRICOL"/>
    <s v="EJECUTADO"/>
    <s v="11/12/2025 11-12 PROGRAMACION REALIZADA POR LA ALIANZA| INSTALACIÓN PROGRAMADA PARA EL 2025-12-15 | 1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DA007321"/>
    <s v="TIPO IV"/>
    <s v="TERRESTRE"/>
    <s v="CASTILLO HERRERA ALEX RICARDO"/>
    <n v="1"/>
    <n v="1"/>
    <n v="1"/>
    <n v="11251"/>
    <n v="126317"/>
    <n v="110808"/>
    <n v="248376"/>
  </r>
  <r>
    <s v="CALI"/>
    <x v="7"/>
    <x v="0"/>
    <s v="76834"/>
    <s v="TA-25-1393507"/>
    <s v="3007081266"/>
    <s v="APERTURA"/>
    <s v="DATAFONO ADICIONAL - ALIANZA"/>
    <s v="VALLE DEL CAUCA"/>
    <s v="TULUA"/>
    <s v="DISTRICOL PAGOS Y MAX"/>
    <s v="REDEBAN"/>
    <s v="FO-25-1959714"/>
    <d v="2025-12-12T08:00:00"/>
    <d v="2025-12-12T15:30:00"/>
    <s v="AGREGADOR"/>
    <s v="DISTRICOL"/>
    <s v="EJECUTADO"/>
    <s v="11/12/2025 11-12 PROGRAMACION REALIZADA POR LA ALIANZA| INSTALACIÓN PROGRAMADA PARA EL 2025-12-12 | 12/12/2025 EN LA VISITA TÉCNICA SE REALIZÓ LA INSTALACIÓN DE DATÁFONO ADICIONAL,CON LECTOR DE CÓDIGO DE BARRAS, MAGIC BOX 2600,BASE SOPORTE DE DATÁFONO,SE IMPLEMENTARON LOS ROLLOS DE REDEBAN,SE REPASA MANUAL OPERATIVO Y CAPACITACIÓN,SE CREARON LOS USUARIOS Y SE REALIZA LA OPERACIÓN DE PRUEBA CON EL CLIENTE DEJANDO EL SERVICIO OPERANDO SIN FALLAS Y SIN NOVEDAD"/>
    <s v="VISITA TECNICA"/>
    <s v="DA007324"/>
    <s v="TIPO II"/>
    <s v="TERRESTRE"/>
    <s v="SANCHEZ URREGO ROBINSON DAVID"/>
    <n v="0"/>
    <n v="1"/>
    <n v="0"/>
    <n v="11251"/>
    <n v="0"/>
    <n v="0"/>
    <n v="11251"/>
  </r>
  <r>
    <s v="MEDELLIN"/>
    <x v="3"/>
    <x v="4"/>
    <s v="5001"/>
    <s v="TA-25-1429935"/>
    <s v="3007082514"/>
    <s v="APERTURA"/>
    <s v="CB CRECIMIENTO ALIANZA - NUEVO"/>
    <s v="ANTIOQUIA"/>
    <s v="MEDELLIN"/>
    <s v="DISTRICOL SUPERMERCADO EL PLAN"/>
    <s v="REDEBAN"/>
    <s v="FO-25-1989973"/>
    <d v="2025-12-18T08:00:00"/>
    <d v="2025-12-19T12:22:00"/>
    <s v="AGREGADOR"/>
    <s v="DISTRICOL"/>
    <s v="EJECUTADO"/>
    <s v="17/12/2025 17-12 PROGRAMACION REALIZADA POR LA ALIANZA| INSTALACIÓN PROGRAMADA PARA EL 2025-12-19 | 19/12/2025 INSTALACIÓN DE CB PURO OK PUBLICIDAD Y CAPACITACIÓN OK PRUEBAS SOLO DEPOSITO NO HAY MAS CUBRE CLAVE OK NO TELECARGA"/>
    <s v="VISITA TECNICA"/>
    <s v="FB007684"/>
    <s v="TIPO I"/>
    <s v="TERRESTRE"/>
    <s v="PAREJA ECHAVARRIA JHON DAVID"/>
    <n v="1"/>
    <n v="1"/>
    <n v="1"/>
    <n v="11251"/>
    <n v="126317"/>
    <n v="57415"/>
    <n v="194983"/>
  </r>
  <r>
    <s v="MEDELLIN"/>
    <x v="3"/>
    <x v="4"/>
    <s v="5615"/>
    <s v="TA-25-1429940"/>
    <s v="3007082503"/>
    <s v="APERTURA"/>
    <s v="CB CRECIMIENTO ALIANZA - NUEVO"/>
    <s v="ANTIOQUIA"/>
    <s v="RIONEGRO"/>
    <s v="PTM RIONEGRO LA MEJOR ESQUINA"/>
    <s v="REDEBAN"/>
    <s v="FO-25-1989979"/>
    <d v="2025-12-18T08:00:00"/>
    <d v="2025-12-19T14:05:00"/>
    <s v="AGREGADOR"/>
    <s v="COMCARD - PTM"/>
    <s v="EJECUTADO"/>
    <s v="17/12/2025 17-12 PROGRAMACION REALIZADA POR LA ALIANZA| INSTALACIÓN PROGRAMADA PARA EL 2025-12-19 | 19/12/2025 SE INSTALA CORRESPONSAL BANCARIO, PRUEBAS OK, SE REALIZA CAPACITACIÓN SOMOS BANCOLOMBIA Y DATAFONO"/>
    <s v="VISITA TECNICA"/>
    <s v="FB007686"/>
    <s v="TIPO II"/>
    <s v="TERRESTRE"/>
    <s v="BADEL ACUÑA LUIS ALBERTO"/>
    <n v="1"/>
    <n v="1"/>
    <n v="1"/>
    <n v="11251"/>
    <n v="126317"/>
    <n v="110808"/>
    <n v="248376"/>
  </r>
  <r>
    <s v="MEDELLIN"/>
    <x v="3"/>
    <x v="4"/>
    <s v="5642"/>
    <s v="TA-25-1429942"/>
    <s v="3007082504"/>
    <s v="APERTURA"/>
    <s v="CB CRECIMIENTO ALIANZA - NUEVO"/>
    <s v="ANTIOQUIA"/>
    <s v="SALGAR"/>
    <s v="DISTRICOL ACCESORIOS 30"/>
    <s v="REDEBAN"/>
    <s v="FO-25-1989982"/>
    <d v="2025-12-18T08:00:00"/>
    <d v="2025-12-18T14:59:00"/>
    <s v="AGREGADOR"/>
    <s v="DISTRICOL"/>
    <s v="EJECUTADO"/>
    <s v="17/12/2025 17-12 PROGRAMACION REALIZADA POR LA ALIANZA| INSTALACIÓN PROGRAMADA PARA EL 2025-12-18 | 18/12/2025 SE REALIZA INSTALACIÓN DE EQUIPO, SE CAPACITA Y SE INSTALA PUBLICIDAD PRUEBAS EXITOSAS SERVICIO OPERATIVO OK"/>
    <s v="VISITA TECNICA"/>
    <s v="FB007687"/>
    <s v="TIPO II"/>
    <s v="TERRESTRE"/>
    <s v="ZAPATA LOPEZ EDWARD ASDRUBAL"/>
    <n v="1"/>
    <n v="1"/>
    <n v="1"/>
    <n v="11251"/>
    <n v="126317"/>
    <n v="110808"/>
    <n v="248376"/>
  </r>
  <r>
    <s v="MEDELLIN"/>
    <x v="3"/>
    <x v="4"/>
    <s v="5674"/>
    <s v="TA-25-1429944"/>
    <s v="3007082511"/>
    <s v="APERTURA"/>
    <s v="CB CRECIMIENTO ALIANZA - NUEVO"/>
    <s v="ANTIOQUIA"/>
    <s v="SAN VICENTE"/>
    <s v="DISTRICOL BENDITA BELLEZA"/>
    <s v="REDEBAN"/>
    <s v="FO-25-1989985"/>
    <d v="2025-12-18T08:00:00"/>
    <d v="2025-12-19T15:07:00"/>
    <s v="AGREGADOR"/>
    <s v="DISTRICOL"/>
    <s v="EJECUTADO"/>
    <s v="17/12/2025 17-12 PROGRAMACION REALIZADA POR LA ALIANZA| INSTALACIÓN PROGRAMADA PARA EL 2025-12-19 | 19/12/2025 SE EJECUTA VISITA TÉCNICA PARA LA INSTALACIÓN DEL CORRESPONSAL BANCOLOMBIA EL USUARIO VALIDA SU IDENTIDAD Y DEFINE EL ÁREA DESTINADA PARA LA UBICACIÓN DEL EQUIPO SE VERIFICA QUE EL ESTABLECIMIENTO CUMPLA CON LOS REQUISITOS DE INFRAESTRUCTURA ELÉCTRICA DE RED Y DE SEGURIDAD CONFIRMANDO QUE TODO SE ENCUENTRA CONFORME EL USUARIO INFORMA QUE NO ES VIABLE INSTALAR EL AVISO EXTERIOR EN LA FACHADA DEBIDO A RESTRICCIONES DE DIMENSIONES MATERIAL DE LA SUPERFICIE Y DISPOSICIONES DE INSPECCIÓN MUNICIPAL POR LO CUAL SE PROCEDE A INSTALAR EL AVISO EN ÁREA INTERNA SE REALIZA LA CONFIGURACIÓN COMPLETA DEL TERMINAL INCLUYENDO PARÁMETROS DE RED PERIFÉRICOS Y PRUEBAS DE CONECTIVIDAD POSTERIORMENTE SE DESARROLLA CAPACITACIÓN AL USUARIO SOBRE LA PLATAFORMA SOMOS BANCOLOMBIA OPERACIÓN DE LOS DISPOSITIVOS Y FLUJO DE TRANSACCIONES FINALMENTE SE VALIDAN OPERACIONES DE PRUEBA CON RESULTADOS EXITOSOS DEJANDO EL PUNTO OPERATIVO EN CONDICIONES ÓPTIMAS"/>
    <s v="VISITA TECNICA"/>
    <s v="FB007688"/>
    <s v="TIPO II"/>
    <s v="TERRESTRE"/>
    <s v="MARTINEZ TOVAR OSCAR DAVID"/>
    <n v="1"/>
    <n v="1"/>
    <n v="1"/>
    <n v="11251"/>
    <n v="126317"/>
    <n v="110808"/>
    <n v="248376"/>
  </r>
  <r>
    <s v="MEDELLIN"/>
    <x v="3"/>
    <x v="4"/>
    <s v="5679"/>
    <s v="TA-25-1429946"/>
    <s v="3007082506"/>
    <s v="APERTURA"/>
    <s v="CB CRECIMIENTO ALIANZA - NUEVO"/>
    <s v="ANTIOQUIA"/>
    <s v="SANTA BARBARA"/>
    <s v="PTM CORREGIMIENTO DE VERSALLES"/>
    <s v="REDEBAN"/>
    <s v="FO-25-1989991"/>
    <d v="2025-12-18T08:00:00"/>
    <d v="2025-12-19T14:05:00"/>
    <s v="AGREGADOR"/>
    <s v="COMCARD - PTM"/>
    <s v="EJECUTADO"/>
    <s v="17/12/2025 17-12 PROGRAMACION REALIZADA POR LA ALIANZA| INSTALACIÓN PROGRAMADA PARA EL 2025-12-19 | 19/12/2025 SE INSTALAN EQUIPOS OK"/>
    <s v="VISITA TECNICA"/>
    <s v="FB007689"/>
    <s v="TIPO II"/>
    <s v="TERRESTRE"/>
    <s v="QUINTERO SANCHEZ JUAN SEBASTIAN"/>
    <n v="1"/>
    <n v="1"/>
    <n v="1"/>
    <n v="11251"/>
    <n v="126317"/>
    <n v="110808"/>
    <n v="248376"/>
  </r>
  <r>
    <s v="TUNJA"/>
    <x v="4"/>
    <x v="5"/>
    <s v="15238"/>
    <s v="TA-25-1429950"/>
    <s v="3007082505"/>
    <s v="APERTURA"/>
    <s v="CB CRECIMIENTO ALIANZA - NUEVO"/>
    <s v="BOYACA"/>
    <s v="DUITAMA"/>
    <s v="DISTRICOL GRAN MERKA EXITO"/>
    <s v="REDEBAN"/>
    <s v="FO-25-1989994"/>
    <d v="2025-12-18T08:00:00"/>
    <d v="2025-12-18T14:52:00"/>
    <s v="AGREGADOR"/>
    <s v="DISTRICOL"/>
    <s v="EJECUTADO"/>
    <s v="17/12/2025 17-12 PROGRAMACION REALIZADA POR LA ALIANZA| INSTALACIÓN PROGRAMADA PARA EL 2025-12-18 | 18/12/2025 SE LOGRA COMUNICACION CON EL CLIENTE, CLIENTE CONFIRMA VISITA, CONFIRMA ALTURA DE 2 METROS PARA EL AVISO EXTERIOR Y PUNTO DE RED. | 18/12/2025 SE REALIZA VISITA AL COMERCIO, SE INSTALAN EQUIPOS Y PUBLICIDAD, SE CAPACITA AL CLIENTE Y SE HACEN PRUEBAS OK."/>
    <s v="VISITA TECNICA"/>
    <s v="FB007690"/>
    <s v="TIPO II"/>
    <s v="TERRESTRE"/>
    <s v="SOLER HOYOS CRISTIAN LEONARDO"/>
    <n v="1"/>
    <n v="1"/>
    <n v="1"/>
    <n v="11251"/>
    <n v="126317"/>
    <n v="110808"/>
    <n v="248376"/>
  </r>
  <r>
    <s v="BUCARAMANGA"/>
    <x v="4"/>
    <x v="5"/>
    <s v="20770"/>
    <s v="TA-25-1429953"/>
    <s v="3007082512"/>
    <s v="APERTURA"/>
    <s v="CB CRECIMIENTO ALIANZA - NUEVO"/>
    <s v="CESAR"/>
    <s v="SAN MARTIN"/>
    <s v="PTM SAN MARTIN THE BARBER SHOP"/>
    <s v="REDEBAN"/>
    <s v="FO-25-1989998"/>
    <d v="2025-12-18T08:00:00"/>
    <d v="2025-12-18T19:01:00"/>
    <s v="AGREGADOR"/>
    <s v="COMCARD - PTM"/>
    <s v="EJECUTADO"/>
    <s v="17/12/2025 17-12 PROGRAMACION REALIZADA POR LA ALIANZA| INSTALACIÓN PROGRAMADA PARA EL 2025-12-18 | 18/12/2025 CLIENTE CONTACTADO AL NÚMERO DE TELÉFONO 3184486559 , LA SEÑORITA YOHANA INDICA TENER DISPONIBILIDAD PARA HORAS DE LA TARDE | 19/12/2025 SE REALIZA APERTURA DE CB BANCOLOMBIA MIXTO , SE INSTALA DATAFONO LECTOR DE BARRAS BASE DE DATÁFONO USUARIO CAPACITACIÓN PUBLICIDAD COMPLETA PRUEBAS OK CUBRE CLAVE OK"/>
    <s v="VISITA TECNICA"/>
    <s v="FB007691 - FB007426"/>
    <s v="TIPO III"/>
    <s v="TERRESTRE"/>
    <s v="HERRERA LUQUE SAUL JAVIER"/>
    <n v="1"/>
    <n v="1"/>
    <n v="1"/>
    <n v="11251"/>
    <n v="126317"/>
    <n v="110808"/>
    <n v="248376"/>
  </r>
  <r>
    <s v="BOGOTA"/>
    <x v="5"/>
    <x v="6"/>
    <s v="25307"/>
    <s v="TA-25-1429955"/>
    <s v="3007082507"/>
    <s v="APERTURA"/>
    <s v="CB CRECIMIENTO ALIANZA - NUEVO"/>
    <s v="CUNDINAMARCA"/>
    <s v="GIRARDOT"/>
    <s v="PTM GIRARDOT MISCELANEA YAPAME"/>
    <s v="REDEBAN"/>
    <s v="FO-25-1990000"/>
    <d v="2025-12-18T08:00:00"/>
    <d v="2025-12-19T14:50:00"/>
    <s v="AGREGADOR"/>
    <s v="COMCARD - PTM"/>
    <s v="EJECUTADO"/>
    <s v="17/12/2025 17-12 PROGRAMACION REALIZADA POR LA ALIANZA| INSTALACIÓN PROGRAMADA PARA EL 2025-12-19 | 19/12/2025 SE LLEGA A COMERCIO, SE REALIZA INSTALACIÓN APERTURA BANCOLOMBIA, CREANDO USUARIOS,BASE-DATAFONO-ROLLOS, AVISO EXTERIOR, PRUEBAS EXITOSAS."/>
    <s v="VISITA TECNICA"/>
    <s v="FB007692 - FB007424"/>
    <s v="TIPO III"/>
    <s v="TERRESTRE"/>
    <s v="ARIAS QUILINDO JULIAN"/>
    <n v="1"/>
    <n v="1"/>
    <n v="1"/>
    <n v="11251"/>
    <n v="126317"/>
    <n v="110808"/>
    <n v="248376"/>
  </r>
  <r>
    <s v="VILLAVICENCIO"/>
    <x v="6"/>
    <x v="1"/>
    <s v="50313"/>
    <s v="TA-25-1429957"/>
    <s v="3007082509"/>
    <s v="APERTURA"/>
    <s v="CB CRECIMIENTO ALIANZA - NUEVO"/>
    <s v="META"/>
    <s v="GRANADA"/>
    <s v="DISTRICOL MERCA AHORRO J Y S"/>
    <s v="REDEBAN"/>
    <s v="FO-25-1990007"/>
    <d v="2025-12-18T08:00:00"/>
    <d v="2025-12-18T14:06:00"/>
    <s v="AGREGADOR"/>
    <s v="DISTRICOL"/>
    <s v="EJECUTADO"/>
    <s v="17/12/2025 17-12 PROGRAMACION REALIZADA POR LA ALIANZA| INSTALACIÓN PROGRAMADA PARA EL 2025-12-18 | 18/12/2025 SE REALIZA IMPLEMENTACIÓN DE CORRESPONSAL REALIZANDO CAPACITACIONE ENTREGA DE PUBLICIDAD SE REALIZA TRANZACION DE ENTREGANDO OPERATIVO SIN NOVEDAD"/>
    <s v="VISITA TECNICA"/>
    <s v="FB007693"/>
    <s v="TIPO II"/>
    <s v="TERRESTRE"/>
    <s v="ROZO JIMENEZ EDGAR ARMANDO"/>
    <n v="1"/>
    <n v="1"/>
    <n v="1"/>
    <n v="11251"/>
    <n v="126317"/>
    <n v="110808"/>
    <n v="248376"/>
  </r>
  <r>
    <s v="CUCUTA"/>
    <x v="4"/>
    <x v="5"/>
    <s v="54001"/>
    <s v="TA-25-1429959"/>
    <s v="3007082502"/>
    <s v="APERTURA"/>
    <s v="CB CRECIMIENTO ALIANZA - NUEVO"/>
    <s v="NORTE DE SANTANDER"/>
    <s v="CUCUTA"/>
    <s v="DISTRICOL TUCOLPAGOS"/>
    <s v="REDEBAN"/>
    <s v="FO-25-1990011"/>
    <d v="2025-12-18T08:00:00"/>
    <d v="2025-12-19T13:33:00"/>
    <s v="AGREGADOR"/>
    <s v="DISTRICOL"/>
    <s v="EJECUTADO"/>
    <s v="17/12/2025 17-12 PROGRAMACION REALIZADA POR LA ALIANZA| INSTALACIÓN PROGRAMADA PARA EL 2025-12-19 | 19/12/2025 SE COMUNICA CON LA CLIENTE GRECIA YECENIA AL # 3238162180, NOS CONFIRMA VISITA OK, INSTALACIONES DEL COMERCIO OK, SE PROGRAMA VISITA EN SITIO. | 19/12/2025 SE REALIZA APERTURA, SE INSTALA DATAFONO, BASE, SCANNER, AVISO, PUBLICIDAD DEL BANCO, SE REALIZA CAPACITACION, PRUEBAS Y CIERRES OK, CB OPERATIVO."/>
    <s v="VISITA TECNICA"/>
    <s v="FB007694"/>
    <s v="TIPO I"/>
    <s v="TERRESTRE"/>
    <s v="NARANJO AFANADOR RUBEN JESUS"/>
    <n v="1"/>
    <n v="1"/>
    <n v="1"/>
    <n v="11251"/>
    <n v="126317"/>
    <n v="57415"/>
    <n v="194983"/>
  </r>
  <r>
    <s v="BUCARAMANGA"/>
    <x v="4"/>
    <x v="5"/>
    <s v="68001"/>
    <s v="TA-25-1429961"/>
    <s v="3007082499"/>
    <s v="APERTURA"/>
    <s v="CB CRECIMIENTO ALIANZA - NUEVO"/>
    <s v="SANTANDER"/>
    <s v="BUCARAMANGA"/>
    <s v="DISTRICOL PAPELERIA ESDANY"/>
    <s v="REDEBAN"/>
    <s v="FO-25-1990014"/>
    <d v="2025-12-18T08:00:00"/>
    <d v="2025-12-18T17:08:00"/>
    <s v="AGREGADOR"/>
    <s v="DISTRICOL"/>
    <s v="EJECUTADO"/>
    <s v="17/12/2025 17-12 PROGRAMACION REALIZADA POR LA ALIANZA| INSTALACIÓN PROGRAMADA PARA EL 2025-12-18 | 18/12/2025 SE ESTABLECE COMUNICACIÓN CON LA SEÑORA JENNY AL NÚMERO 3178841399 SE CONFIRMA PUERTO DE RED Y TOMA CORRIENTE DISPONIBLE PARA LA ACTIVIDAD SE PROCEDE CON EL DESPLAZAMIENTO | 18/12/2025 SE HACE PRESENCIA EN COMERCIO SE REALIZA INSTALACIÓN DE 1 DATÁFONO CON SU RESPECTIVO LECTOR DE BARRAS FUENTE Y CABLE DE PODER Y BRAZO DE SOPORTE SE CAPACITA PERSONAL PARA EL MANEJO DEL POS, SE REALIZA INSTALACIÓN DE 1 AVISO EXTERIOR 1 FLANGER Y 1 DISPLAY DE HORARIO _x000a__x000a_SEE REALIZAN PRUEBAS CONSULTA DE SALDO, RETIRO Y DEPÓSITO OK"/>
    <s v="VISITA TECNICA"/>
    <s v="FB007695"/>
    <s v="TIPO I"/>
    <s v="TERRESTRE"/>
    <s v="BARRERA ORTEGA MARLON STWAR"/>
    <n v="1"/>
    <n v="1"/>
    <n v="1"/>
    <n v="11251"/>
    <n v="126317"/>
    <n v="57415"/>
    <n v="194983"/>
  </r>
  <r>
    <s v="BUCARAMANGA"/>
    <x v="4"/>
    <x v="5"/>
    <s v="68307"/>
    <s v="TA-25-1429963"/>
    <s v="3007082508"/>
    <s v="APERTURA"/>
    <s v="CB CRECIMIENTO ALIANZA - NUEVO"/>
    <s v="SANTANDER"/>
    <s v="GIRON"/>
    <s v="DISTRICOL BOMBASTIC MIX"/>
    <s v="REDEBAN"/>
    <s v="FO-25-1990021"/>
    <d v="2025-12-18T08:00:00"/>
    <d v="2025-12-18T14:44:00"/>
    <s v="AGREGADOR"/>
    <s v="DISTRICOL"/>
    <s v="EJECUTADO"/>
    <s v="17/12/2025 17-12 PROGRAMACION REALIZADA POR LA ALIANZA| INSTALACIÓN PROGRAMADA PARA EL 2025-12-18 | 18/12/2025 SE INSTALA DATAFONO, LECTOR, CABLES Y FUENTE DE PODER, SE INSTALA PUBLICIDAD COMPLETA, SE CAPACITA MANEJO CORRESPONSAL, CIERRES, CUADRO DIARIO COMPENSACIÓN, MANEJO DATAFONO OK, PRUEBAS OK, INSTALACIÓN EXITOSA, PÁGINA SOMOS BANCOLOMBIA PRUEBA OK"/>
    <s v="VISITA TECNICA"/>
    <s v="FB007696"/>
    <s v="TIPO I"/>
    <s v="TERRESTRE"/>
    <s v="GELVEZ MOGOLLON JOSE ELISEO"/>
    <n v="1"/>
    <n v="1"/>
    <n v="1"/>
    <n v="11251"/>
    <n v="126317"/>
    <n v="57415"/>
    <n v="194983"/>
  </r>
  <r>
    <s v="BUCARAMANGA"/>
    <x v="4"/>
    <x v="5"/>
    <s v="68547"/>
    <s v="TA-25-1429966"/>
    <s v="3007082510"/>
    <s v="APERTURA"/>
    <s v="CB CRECIMIENTO ALIANZA - NUEVO"/>
    <s v="SANTANDER"/>
    <s v="PIEDECUESTA"/>
    <s v="PTM PIEDECUESTA DROGUERIA Y PA"/>
    <s v="REDEBAN"/>
    <s v="FO-25-1990025"/>
    <d v="2025-12-18T08:00:00"/>
    <d v="2025-12-18T15:28:00"/>
    <s v="AGREGADOR"/>
    <s v="COMCARD - PTM"/>
    <s v="EJECUTADO"/>
    <s v="17/12/2025 17-12 PROGRAMACION REALIZADA POR LA ALIANZA| INSTALACIÓN PROGRAMADA PARA EL 2025-12-18 | 18/12/2025 INSTALACIÓN, CONFIGURACIÓN Y CAPACITACIÓN DE MANEJO DE TERMINAL, PRUEBAS EXITOSA"/>
    <s v="VISITA TECNICA"/>
    <s v="FB007697"/>
    <s v="TIPO II"/>
    <s v="TERRESTRE"/>
    <s v="PEÑA DIAZ IVAN YESID"/>
    <n v="1"/>
    <n v="1"/>
    <n v="1"/>
    <n v="11251"/>
    <n v="126317"/>
    <n v="110808"/>
    <n v="248376"/>
  </r>
  <r>
    <s v="CALI"/>
    <x v="7"/>
    <x v="0"/>
    <s v="76001"/>
    <s v="TA-25-1429969"/>
    <s v="3007082500"/>
    <s v="APERTURA"/>
    <s v="CB CRECIMIENTO ALIANZA - NUEVO"/>
    <s v="VALLE DEL CAUCA"/>
    <s v="CALI"/>
    <s v="PTM CALI MISCELANEA Y PAPELERI"/>
    <s v="REDEBAN"/>
    <s v="FO-25-1990033"/>
    <d v="2025-12-18T08:00:00"/>
    <d v="2025-12-18T14:10:00"/>
    <s v="AGREGADOR"/>
    <s v="COMCARD - PTM"/>
    <s v="EJECUTADO"/>
    <s v="17/12/2025 17-12 PROGRAMACION REALIZADA POR LA ALIANZA| INSTALACIÓN PROGRAMADA PARA EL 2025-12-18 | 18/12/2025 SE LLAMA AL CLIENTE, SE VALIDA LA VISITA DE LA INSTALACION, DIRECCION Y DISPONIBILIDAD, SE VISITA EL COMERCIO, SE INSTALA DATAFONO, LECTORA, ACCESORIOS EN APERTURA CB BANCOLOMBIA MIXTO, INSTALÓ PUBLICIDAD, SE CAPACITA, PRUEBAS OK, TELECARGA TRNA"/>
    <s v="VISITA TECNICA"/>
    <s v="FB007698"/>
    <s v="TIPO I"/>
    <s v="TERRESTRE"/>
    <s v="HERRERA MONAR GEOVANNY"/>
    <n v="1"/>
    <n v="1"/>
    <n v="1"/>
    <n v="11251"/>
    <n v="126317"/>
    <n v="57415"/>
    <n v="194983"/>
  </r>
  <r>
    <s v="CALI"/>
    <x v="7"/>
    <x v="0"/>
    <s v="76834"/>
    <s v="TA-25-1429972"/>
    <s v="3007082513"/>
    <s v="APERTURA"/>
    <s v="CB CRECIMIENTO ALIANZA - NUEVO"/>
    <s v="VALLE DEL CAUCA"/>
    <s v="TULUA"/>
    <s v="PTM TULUA CORREO Y DOMICILIOS"/>
    <s v="REDEBAN"/>
    <s v="FO-25-1999658 | FO-25-1990037"/>
    <d v="2025-12-18T08:00:00"/>
    <d v="2025-12-19T10:31:00"/>
    <s v="AGREGADOR"/>
    <s v="COMCARD - PTM"/>
    <s v="EJECUTADO"/>
    <s v="[FO-25-1999658] 19/12/2025 SE VISITA CORRESPONSAL Y SE PROCEDE A REALIZA INSTALACIÓN DE PIN PAD. TRANSACCIONES DE PRUEBA EXITOSAS || [FO-25-1990037] 17/12/2025 17-12 PROGRAMACION REALIZADA POR LA ALIANZA| INSTALACIÓN PROGRAMADA PARA EL 2025-12-18 | 18/12/2025 SE VISITA ESTABLECIMIENTO, SE REALIZA INSTALACIÓN CORRESPONSAL BANCOLOMBIA. TRANSACCIONES DE PRUEBA EXITOSAS SOLO CON LAS QUE DISPONE EL CLIENTE Y SE REALIZARON PRUEBAS CON TARJETA DE OTRO BANCO PARA SIMULAR PROCESO . SE INSTALA PUBLICIDAD COMPLETA Y SE CAPACITA."/>
    <s v="VISITA TECNICA"/>
    <m/>
    <s v="TIPO II"/>
    <s v="TERRESTRE"/>
    <s v="BOLAÑOS TABORDA JORGE ENRIQUE"/>
    <n v="1"/>
    <n v="1"/>
    <n v="1"/>
    <n v="0"/>
    <n v="0"/>
    <n v="0"/>
    <n v="248376"/>
  </r>
  <r>
    <s v="YOPAL"/>
    <x v="6"/>
    <x v="1"/>
    <s v="85001"/>
    <s v="TA-25-1429974"/>
    <s v="3007082515"/>
    <s v="APERTURA"/>
    <s v="CB CRECIMIENTO ALIANZA - NUEVO"/>
    <s v="CASANARE"/>
    <s v="YOPAL"/>
    <s v="DISTRICOL MISCELANEA LAVADERO"/>
    <s v="REDEBAN"/>
    <s v="FO-25-1990041"/>
    <d v="2025-12-18T08:00:00"/>
    <d v="2025-12-18T16:48:00"/>
    <s v="AGREGADOR"/>
    <s v="DISTRICOL"/>
    <s v="EJECUTADO"/>
    <s v="17/12/2025 17-12 PROGRAMACION REALIZADA POR LA ALIANZA| INSTALACIÓN PROGRAMADA PARA EL 2025-12-18 | 18/12/2025 SE VISITA COMERCIO, SE INSTALA DATÁFONO LECTOR BASE Y CUBRE TECLADO. PRUEBAS OK. OPERATIVO EL SERVICIO. SOMOS BANCOLOMBIA OK. SE CAPACITA CLIENTE. NO SE REALIZA PRUEBA DE TRANSFERENCIA NO SE CUENTA CON TARJETA"/>
    <s v="VISITA TECNICA"/>
    <s v="FB007700"/>
    <s v="TIPO I"/>
    <s v="TERRESTRE"/>
    <s v="BERNAL ELAICA EDGAR ALEXIS"/>
    <n v="1"/>
    <n v="1"/>
    <n v="1"/>
    <n v="11251"/>
    <n v="126317"/>
    <n v="57415"/>
    <n v="194983"/>
  </r>
  <r>
    <s v="YOPAL"/>
    <x v="6"/>
    <x v="1"/>
    <s v="85001"/>
    <s v="TA-25-1429976"/>
    <s v="3007082516"/>
    <s v="APERTURA"/>
    <s v="CB CRECIMIENTO ALIANZA - NUEVO"/>
    <s v="CASANARE"/>
    <s v="YOPAL"/>
    <s v="DISTRICOL CASFARMA YOPAL"/>
    <s v="REDEBAN"/>
    <s v="FO-25-1990045"/>
    <d v="2025-12-18T08:00:00"/>
    <d v="2025-12-19T14:30:00"/>
    <s v="AGREGADOR"/>
    <s v="DISTRICOL"/>
    <s v="EJECUTADO"/>
    <s v="17/12/2025 17-12 PROGRAMACION REALIZADA POR LA ALIANZA| INSTALACIÓN PROGRAMADA PARA EL 2025-12-19 | 20/12/2025 SE VISITA COMERCIO, SE INSTALA DATÁFONO LECTOR BASE Y CUBRE TECLADO. PRUEBAS OK. OPERATIVO EL SERVICIO. SE CAPACITA CLIENTE SOMOS BANCOLOMBIA OK. NO SE REALIZA PRUEBA DE TRANSFERENCIA NO SE CUENTA CON TARJETA"/>
    <s v="VISITA TECNICA"/>
    <s v="FB007701"/>
    <s v="TIPO I"/>
    <s v="TERRESTRE"/>
    <s v="BERNAL ELAICA EDGAR ALEXIS"/>
    <n v="1"/>
    <n v="1"/>
    <n v="1"/>
    <n v="11251"/>
    <n v="126317"/>
    <n v="57415"/>
    <n v="194983"/>
  </r>
  <r>
    <s v="BOGOTA"/>
    <x v="5"/>
    <x v="6"/>
    <s v="11001"/>
    <s v="TA-25-1429979"/>
    <s v="3007082498"/>
    <s v="APERTURA"/>
    <s v="CB CRECIMIENTO ALIANZA - NUEVO"/>
    <s v="CUNDINAMARCA"/>
    <s v="BOGOTA"/>
    <s v="PTM BOGOTA MTG PRINCIPAL"/>
    <s v="REDEBAN"/>
    <s v="FO-25-1990054"/>
    <d v="2025-12-18T08:00:00"/>
    <d v="2025-12-19T12:05:00"/>
    <s v="AGREGADOR"/>
    <s v="COMCARD - PTM"/>
    <s v="EJECUTADO"/>
    <s v="17/12/2025 17-12 PROGRAMACION REALIZADA POR LA ALIANZA| INSTALACIÓN PROGRAMADA PARA EL 2025-12-19 | 26/12/2025 SE REALIZA APERTURA DE CORRESPONSAL BANCOLOMBIA, SE INSTALA PUBLICIDAD, EQUIPOS . SE REALIZA CAPACITACIÓN AL RESPONSABLE DEL CB Y SE ENTREGAN LOS ROLLOS PARA EL PUNTO"/>
    <s v="VISITA TECNICA"/>
    <s v="FB007702"/>
    <s v="TIPO I"/>
    <s v="TERRESTRE"/>
    <s v="ALARCON AREVALO JOHAN STIVEN"/>
    <n v="1"/>
    <n v="1"/>
    <n v="1"/>
    <n v="11251"/>
    <n v="126317"/>
    <n v="57415"/>
    <n v="194983"/>
  </r>
  <r>
    <s v="BOGOTA"/>
    <x v="5"/>
    <x v="6"/>
    <s v="11001"/>
    <s v="TA-25-1429983"/>
    <s v="3007082496"/>
    <s v="APERTURA"/>
    <s v="CB CRECIMIENTO ALIANZA - NUEVO"/>
    <s v="CUNDINAMARCA"/>
    <s v="BOGOTA"/>
    <s v="PTM BOGOTA COMPU EMI"/>
    <s v="REDEBAN"/>
    <s v="FO-25-1990059"/>
    <d v="2025-12-18T08:00:00"/>
    <d v="2025-12-19T13:12:00"/>
    <s v="AGREGADOR"/>
    <s v="COMCARD - PTM"/>
    <s v="EJECUTADO"/>
    <s v="17/12/2025 17-12 PROGRAMACION REALIZADA POR LA ALIANZA| INSTALACIÓN PROGRAMADA PARA EL 2025-12-19 | 19/12/2025 APERTURA BANCOLOMBIA OK CAPACITACIÓN OK PUBLICIDAD OK SERVICIO OPERATIVO"/>
    <s v="VISITA TECNICA"/>
    <s v="FB007703"/>
    <s v="TIPO I"/>
    <s v="TERRESTRE"/>
    <s v="HERNANDEZ NARANJO OSCAR EDUARDO"/>
    <n v="1"/>
    <n v="1"/>
    <n v="1"/>
    <n v="11251"/>
    <n v="126317"/>
    <n v="57415"/>
    <n v="194983"/>
  </r>
  <r>
    <s v="MEDELLIN"/>
    <x v="3"/>
    <x v="4"/>
    <s v="5631"/>
    <s v="TA-25-1429995"/>
    <s v="3007082468"/>
    <s v="APERTURA"/>
    <s v="CB CRECIMIENTO ALIANZA - OTRAS LISTAS"/>
    <s v="ANTIOQUIA"/>
    <s v="SABANETA"/>
    <s v="DISTRICOL PARENTESIS A&amp;C"/>
    <s v="REDEBAN"/>
    <s v="FO-25-1990081"/>
    <d v="2025-12-18T08:00:00"/>
    <d v="2025-12-18T14:17:00"/>
    <s v="AGREGADOR"/>
    <s v="DISTRICOL"/>
    <s v="EJECUTADO"/>
    <s v="17/12/2025 17-12 PROGRAMACION REALIZADA POR LA ALIANZA| INSTALACIÓN PROGRAMADA PARA EL 2025-12-18 | 18/12/2025 SE HACE IMPLEMENTACION OK EQUIPOS OPERATIVOS PRUEBAS EXITOSAS SOMOS BANCOLOMBIA ACTIVO, CAPACITACIÓN Y PUBLICIDAD OK"/>
    <s v="VISITA TECNICA"/>
    <s v="FB007708"/>
    <s v="TIPO I"/>
    <s v="TERRESTRE"/>
    <s v="DIAZ ZABALA FRANCIS DUBAN"/>
    <n v="1"/>
    <n v="1"/>
    <n v="1"/>
    <n v="11251"/>
    <n v="126317"/>
    <n v="57415"/>
    <n v="194983"/>
  </r>
  <r>
    <s v="MEDELLIN"/>
    <x v="3"/>
    <x v="4"/>
    <s v="5001"/>
    <s v="TA-25-1446312"/>
    <s v="3007082585"/>
    <s v="APERTURA"/>
    <s v="CB CRECIMIENTO ALIANZA - NUEVO"/>
    <s v="ANTIOQUIA"/>
    <s v="MEDELLIN"/>
    <s v="DISTRICOL DROGUERIA SIRDALUD"/>
    <s v="REDEBAN"/>
    <s v="FO-25-2024417"/>
    <d v="2025-12-24T08:00:00"/>
    <d v="2025-12-24T11:07:00"/>
    <s v="AGREGADOR"/>
    <s v="DISTRICOL"/>
    <s v="EJECUTADO"/>
    <s v="23/12/2025 23-12 PROGRAMACION REALIZADA POR LA ALIANZA| INSTALACIÓN PROGRAMADA PARA EL 2025-12-24 | 24/12/2025 INSTALACIÓN DE CB PURO OK PUBLICIDAD Y CAPACITACIÓN OK PRUEBAS SOLO CONSULTA DE SALDO NO HAY PARA MÁS CUBRE CLAVE OK NO TELECARGA"/>
    <s v="VISITA TECNICA"/>
    <s v="OB007835"/>
    <s v="TIPO I"/>
    <s v="TERRESTRE"/>
    <s v="PAREJA ECHAVARRIA JHON DAVID"/>
    <n v="1"/>
    <n v="1"/>
    <n v="1"/>
    <n v="11251"/>
    <n v="126317"/>
    <n v="57415"/>
    <n v="194983"/>
  </r>
  <r>
    <s v="MEDELLIN"/>
    <x v="3"/>
    <x v="4"/>
    <s v="5001"/>
    <s v="TA-25-1446314"/>
    <s v="3007082586"/>
    <s v="APERTURA"/>
    <s v="CB CRECIMIENTO ALIANZA - NUEVO"/>
    <s v="ANTIOQUIA"/>
    <s v="MEDELLIN"/>
    <s v="DISTRICOL TIENDA DEL PELUQUERO"/>
    <s v="REDEBAN"/>
    <s v="FO-25-2024424"/>
    <d v="2025-12-24T08:00:00"/>
    <d v="2025-12-24T13:43:00"/>
    <s v="AGREGADOR"/>
    <s v="DISTRICOL"/>
    <s v="EJECUTADO"/>
    <s v="23/12/2025 23-12 PROGRAMACION REALIZADA POR LA ALIANZA| INSTALACIÓN PROGRAMADA PARA EL 2025-12-24 | 24/12/2025 SE INSTALAN EQUIPOS OK"/>
    <s v="VISITA TECNICA"/>
    <s v="OB007836"/>
    <s v="TIPO I"/>
    <s v="TERRESTRE"/>
    <s v="QUINTERO SANCHEZ JUAN SEBASTIAN"/>
    <n v="1"/>
    <n v="1"/>
    <n v="1"/>
    <n v="11251"/>
    <n v="126317"/>
    <n v="57415"/>
    <n v="194983"/>
  </r>
  <r>
    <s v="MEDELLIN"/>
    <x v="3"/>
    <x v="4"/>
    <s v="5001"/>
    <s v="TA-25-1446315"/>
    <s v="3007082587"/>
    <s v="APERTURA"/>
    <s v="CB CRECIMIENTO ALIANZA - NUEVO"/>
    <s v="ANTIOQUIA"/>
    <s v="MEDELLIN"/>
    <s v="DISTRICOL COMERCIALIZADORA KTE"/>
    <s v="REDEBAN"/>
    <s v="FO-25-2024425"/>
    <d v="2025-12-24T08:00:00"/>
    <d v="2025-12-24T12:58:00"/>
    <s v="AGREGADOR"/>
    <s v="DISTRICOL"/>
    <s v="EJECUTADO"/>
    <s v="23/12/2025 23-12 PROGRAMACION REALIZADA POR LA ALIANZA| INSTALACIÓN PROGRAMADA PARA EL 2025-12-24 | 24/12/2025 INSTALACIÓN CB OK"/>
    <s v="VISITA TECNICA"/>
    <s v="OB007837"/>
    <s v="TIPO I"/>
    <s v="TERRESTRE"/>
    <s v="BADEL ACUÑA LUIS ALBERTO"/>
    <n v="1"/>
    <n v="1"/>
    <n v="1"/>
    <n v="11251"/>
    <n v="126317"/>
    <n v="57415"/>
    <n v="194983"/>
  </r>
  <r>
    <s v="MEDELLIN"/>
    <x v="3"/>
    <x v="4"/>
    <s v="5148"/>
    <s v="TA-25-1446316"/>
    <s v="3007082555"/>
    <s v="APERTURA"/>
    <s v="CB CRECIMIENTO ALIANZA - NUEVO"/>
    <s v="ANTIOQUIA"/>
    <s v="EL CARMEN DE VIBORAL"/>
    <s v="DISTRICOL SOLOACEITES"/>
    <s v="REDEBAN"/>
    <s v="FO-25-2024427"/>
    <d v="2025-12-24T08:00:00"/>
    <d v="2025-12-26T15:59:00"/>
    <s v="AGREGADOR"/>
    <s v="DISTRICOL"/>
    <s v="EJECUTADO"/>
    <s v="23/12/2025 23-12 PROGRAMACION REALIZADA POR LA ALIANZA| INSTALACIÓN PROGRAMADA PARA EL 2025-12-26 | 26/12/2025 SE INSTALAN EQUIPOS OK"/>
    <s v="VISITA TECNICA"/>
    <s v="OB007838"/>
    <s v="TIPO II"/>
    <s v="TERRESTRE"/>
    <s v="QUINTERO SANCHEZ JUAN SEBASTIAN"/>
    <n v="1"/>
    <n v="1"/>
    <n v="1"/>
    <n v="11251"/>
    <n v="126317"/>
    <n v="110808"/>
    <n v="248376"/>
  </r>
  <r>
    <s v="MEDELLIN"/>
    <x v="3"/>
    <x v="4"/>
    <s v="5212"/>
    <s v="TA-25-1446317"/>
    <s v="3007082566"/>
    <s v="APERTURA"/>
    <s v="CB CRECIMIENTO ALIANZA - NUEVO"/>
    <s v="ANTIOQUIA"/>
    <s v="COPACABANA"/>
    <s v="DISTRICOL HAPPY PETS"/>
    <s v="REDEBAN"/>
    <s v="FO-25-2024436"/>
    <d v="2025-12-24T08:00:00"/>
    <d v="2025-12-24T13:56:00"/>
    <s v="AGREGADOR"/>
    <s v="DISTRICOL"/>
    <s v="EJECUTADO"/>
    <s v="23/12/2025 23-12 PROGRAMACION REALIZADA POR LA ALIANZA| INSTALACIÓN PROGRAMADA PARA EL 2025-12-24 | 24/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PERO ESTE PRESENTA FALLA EN EL PUERTO USB DONDE SE CONECTA EL LECTOR POR LO CUAL SE REALIZA CAMBIO DE EQUIPO DEBIDO AL DAÑO EN LA USB EL NUEVO EQUIPO SE CONFIGURA Y QUEDA OPERATIV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
    <s v="VISITA TECNICA"/>
    <s v="OB007839"/>
    <s v="TIPO I"/>
    <s v="TERRESTRE"/>
    <s v="MARTINEZ TOVAR OSCAR DAVID"/>
    <n v="1"/>
    <n v="1"/>
    <n v="1"/>
    <n v="11251"/>
    <n v="126317"/>
    <n v="57415"/>
    <n v="194983"/>
  </r>
  <r>
    <s v="MEDELLIN"/>
    <x v="3"/>
    <x v="4"/>
    <s v="5308"/>
    <s v="TA-25-1446319"/>
    <s v="3007082543"/>
    <s v="APERTURA"/>
    <s v="CB CRECIMIENTO ALIANZA - NUEVO"/>
    <s v="ANTIOQUIA"/>
    <s v="GIRARDOTA"/>
    <s v="DISTRICOL MARKET FACIL"/>
    <s v="REDEBAN"/>
    <s v="FO-25-2024438"/>
    <d v="2025-12-24T08:00:00"/>
    <d v="2025-12-24T12:39:00"/>
    <s v="AGREGADOR"/>
    <s v="DISTRICOL"/>
    <s v="EJECUTADO"/>
    <s v="23/12/2025 23-12 PROGRAMACION REALIZADA POR LA ALIANZA| INSTALACIÓN PROGRAMADA PARA EL 2025-12-24 | 24/12/2025 SE REALIZA INSTALACIÓN Y CONFIGURACIÓN DEL EQUIPO, SE REALIZA CAPACITACIÓN DEL CORRESPONSAL BANCARIO Y SE INSTALA PUBLICIDAD SE REALIZAN PRUEBAS EXITOSAS SERVICIO OPERATIVO"/>
    <s v="VISITA TECNICA"/>
    <s v="OB007840"/>
    <s v="TIPO I"/>
    <s v="TERRESTRE"/>
    <s v="ZAPATA LOPEZ EDWARD ASDRUBAL"/>
    <n v="1"/>
    <n v="1"/>
    <n v="1"/>
    <n v="11251"/>
    <n v="126317"/>
    <n v="57415"/>
    <n v="194983"/>
  </r>
  <r>
    <s v="MEDELLIN"/>
    <x v="3"/>
    <x v="4"/>
    <s v="5440"/>
    <s v="TA-25-1446321"/>
    <s v="3007082584"/>
    <s v="APERTURA"/>
    <s v="CB CRECIMIENTO ALIANZA - NUEVO"/>
    <s v="ANTIOQUIA"/>
    <s v="MARINILLA"/>
    <s v="DISTRICOL SEX SHOP TIA SEXY"/>
    <s v="REDEBAN"/>
    <s v="FO-25-2024447"/>
    <d v="2025-12-24T08:00:00"/>
    <d v="2025-12-26T15:53:00"/>
    <s v="AGREGADOR"/>
    <s v="DISTRICOL"/>
    <s v="EJECUTADO"/>
    <s v="23/12/2025 23-12 PROGRAMACION REALIZADA POR LA ALIANZA| INSTALACIÓN PROGRAMADA PARA EL 2025-12-26 | 26/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
    <s v="VISITA TECNICA"/>
    <s v="OB007842"/>
    <s v="TIPO II"/>
    <s v="TERRESTRE"/>
    <s v="MARTINEZ TOVAR OSCAR DAVID"/>
    <n v="1"/>
    <n v="1"/>
    <n v="1"/>
    <n v="11251"/>
    <n v="126317"/>
    <n v="110808"/>
    <n v="248376"/>
  </r>
  <r>
    <s v="MEDELLIN"/>
    <x v="3"/>
    <x v="4"/>
    <s v="5736"/>
    <s v="TA-25-1446323"/>
    <s v="3007082552"/>
    <s v="APERTURA"/>
    <s v="CB CRECIMIENTO ALIANZA - NUEVO"/>
    <s v="ANTIOQUIA"/>
    <s v="SEGOVIA"/>
    <s v="DISTRICOL MAYRA SEGOVIA"/>
    <s v="REDEBAN"/>
    <s v="FO-25-2050073 | FO-25-2024451"/>
    <d v="2025-12-24T08:00:00"/>
    <d v="2025-12-30T11:21:00"/>
    <s v="AGREGADOR"/>
    <s v="DISTRICOL"/>
    <s v="EJECUTADO | EJECUTADO/CANCELADO"/>
    <s v="[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
    <s v="VISITA TECNICA"/>
    <s v="OB007843"/>
    <s v="TIPO IV"/>
    <s v="TERRESTRE"/>
    <s v="DIAZ ZABALA FRANCIS DUBAN"/>
    <n v="1"/>
    <n v="1"/>
    <n v="3"/>
    <n v="11251"/>
    <n v="126317"/>
    <n v="332424.82536000002"/>
    <n v="469992"/>
  </r>
  <r>
    <s v="MEDELLIN"/>
    <x v="3"/>
    <x v="4"/>
    <s v="5736"/>
    <s v="TA-25-1446324"/>
    <s v="3007082577"/>
    <s v="APERTURA"/>
    <s v="CB CRECIMIENTO ALIANZA - NUEVO"/>
    <s v="ANTIOQUIA"/>
    <s v="SEGOVIA"/>
    <s v="DISTRICOL PLANETARIO 2000"/>
    <s v="REDEBAN"/>
    <s v="FO-25-2024454"/>
    <d v="2025-12-24T08:00:00"/>
    <d v="2025-12-30T14:39:00"/>
    <s v="AGREGADOR"/>
    <s v="DISTRICOL"/>
    <s v="EJECUTADO"/>
    <s v="23/12/2025 23-12 PROGRAMACION REALIZADA POR LA ALIANZA| INSTALACIÓN PROGRAMADA PARA EL 2025-12-26 | 26/12/2025 NO SE ENCUENTRA TIQUETE EN TÉRMINAL POR ALTO FLUJO DE PASAJERO. EN TAQUILLA INFORMAN QUE YA ESTÁN SOBRE VENDIDOS SE LE INFORMA AL USUARIO | 30/12/2025 SE HACE IMPLEMENTACION OK EQUIPOS OPERATIVOS PRUEBAS EXITOSAS SOMOS BANCOLOMBIA ACTIVO PUBLICIDAD OK EQUIPOS OPERATIVOS SE DA CAPACITACIÓN DEL MENÚS DEL DATAFONO Y SOMOS BANCOLOMBIA OK"/>
    <s v="VISITA TECNICA"/>
    <s v="OB007844"/>
    <s v="TIPO IV"/>
    <s v="TERRESTRE"/>
    <s v="DIAZ ZABALA FRANCIS DUBAN"/>
    <n v="1"/>
    <n v="1"/>
    <n v="1"/>
    <n v="11251"/>
    <n v="126317"/>
    <n v="110808"/>
    <n v="248376"/>
  </r>
  <r>
    <s v="MEDELLIN"/>
    <x v="3"/>
    <x v="4"/>
    <s v="5790"/>
    <s v="TA-25-1446325"/>
    <s v="3007082578"/>
    <s v="APERTURA"/>
    <s v="CB CRECIMIENTO ALIANZA - NUEVO"/>
    <s v="ANTIOQUIA"/>
    <s v="TARAZA"/>
    <s v="DISTRICOL COSTILLAS AHUMADAS"/>
    <s v="REDEBAN"/>
    <s v="FO-25-2024456"/>
    <d v="2025-12-24T08:00:00"/>
    <d v="2025-12-29T18:49:00"/>
    <s v="AGREGADOR"/>
    <s v="DISTRICOL"/>
    <s v="EJECUTADO"/>
    <s v="23/12/2025 23-12 PROGRAMACION REALIZADA POR LA ALIANZA| INSTALACIÓN PROGRAMADA PARA EL 2025-12-26 | 26/12/2025 SE LLEGA A TERMINAR A COMPRAR PASAJE A TARAZA Y EN LAS FLOTAS  Y POR LA AFLUENCIA DE PASAJEROS INDICAN QUE NO HAY CUPO, SE LLAMA A CLIENTE Y SE LE COMENTA LA SITUACIÓN DE LOS PASAJES, SE CONVERSA CON EL SEÑLOR JHON COLORADO E INDICA QUE SE PODRIA HACER EL LUNES | 29/12/2025 INSTALACIÓN CB OK"/>
    <s v="VISITA TECNICA"/>
    <s v="OB007845"/>
    <s v="TIPO IV"/>
    <s v="TERRESTRE"/>
    <s v="BADEL ACUÑA LUIS ALBERTO"/>
    <n v="1"/>
    <n v="1"/>
    <n v="1"/>
    <n v="11251"/>
    <n v="126317"/>
    <n v="110808"/>
    <n v="248376"/>
  </r>
  <r>
    <s v="CARTAGENA"/>
    <x v="2"/>
    <x v="3"/>
    <s v="13001"/>
    <s v="TA-25-1446326"/>
    <s v="3007082564"/>
    <s v="APERTURA"/>
    <s v="CB CRECIMIENTO ALIANZA - NUEVO"/>
    <s v="BOLIVAR"/>
    <s v="CARTAGENA"/>
    <s v="DISTRICOL TIENDA LOS RECUERDOS"/>
    <s v="REDEBAN"/>
    <s v="FO-25-2024462"/>
    <d v="2025-12-24T08:00:00"/>
    <d v="2025-12-26T13:43:00"/>
    <s v="AGREGADOR"/>
    <s v="DISTRICOL"/>
    <s v="EJECUTADO"/>
    <s v="23/12/2025 23-12 PROGRAMACION REALIZADA POR LA ALIANZA| INSTALACIÓN PROGRAMADA PARA EL 2025-12-26 | 26/12/2025 SE INTENTO REALIZAR COMUNICACION CON EL PUNTO EN VARIAS OCACIONES Y NO FUE POSIBLE OBTENER RESPUESTA | 26/12/2025 SE LLEGO AL SITIO Y SE PRESENTÓ NOVEDAD CON EL NOMBRE DEL COMERCIO EL SEÑOR EDINSON SAMBONY AUTORIZA LA INSTALACIÓN | 26/12/2025 SE REALIZA INSTALACIÓN DE CORRESPONSAL SE ESCALO NOVEDAD POR NOMBRE DE COMERCIO E INFORMAN AUTORIZADO PARA REALIZAR LA INSTALACIÓN SE INSTALA DATAFONO SE CAPACITA SE REALIZAN PRUEBAS DE RETIRO Y CONSIGNACIÓN Y SE PRUEBA LECTOR DE BARRAS TODO QUEDA OK"/>
    <s v="VISITA TECNICA"/>
    <s v="OB007846"/>
    <s v="TIPO I"/>
    <s v="TERRESTRE"/>
    <s v="MARTINEZ SALGUEDO ANDRES AUGUSTO"/>
    <n v="1"/>
    <n v="1"/>
    <n v="1"/>
    <n v="11251"/>
    <n v="126317"/>
    <n v="57415"/>
    <n v="194983"/>
  </r>
  <r>
    <s v="CARTAGENA"/>
    <x v="2"/>
    <x v="3"/>
    <s v="13442"/>
    <s v="TA-25-1446327"/>
    <s v="3007082570"/>
    <s v="APERTURA"/>
    <s v="CB CRECIMIENTO ALIANZA - NUEVO"/>
    <s v="BOLIVAR"/>
    <s v="MARIA LA BAJA"/>
    <s v="DISTRICOL ALMACEN LA NACIONAL"/>
    <s v="REDEBAN"/>
    <s v="FO-25-2024464"/>
    <d v="2025-12-24T08:00:00"/>
    <d v="2025-12-29T14:33:00"/>
    <s v="AGREGADOR"/>
    <s v="DISTRICOL"/>
    <s v="EJECUTADO"/>
    <s v="23/12/2025 23-12 PROGRAMACION REALIZADA POR LA ALIANZA| INSTALACIÓN PROGRAMADA PARA EL 2025-12-24 | 24/12/2025 SE MARCA AL NÚMERO 3013367090 CONTESTA EL ESPOSO DE LA SEÑORA FLOR MARÍA SE VALIDA CON EL REAGENDA POR TEMAS DE PROBLEMAS DE TRANSPORTE EN LA VIA EL DIA DE HOY EL CUAL ESTA DE ACUERDO PARA EL DIA 29 DE DICIEMBRE | 29/12/2025 SE REALIZA INSTALACIÓN DE CORRESPONSAL EXITOSAMENTE, SE REALIZA PRUEBA DE  RETIRO Y CONSIGNACIÓN Y SE PRUEBA LECTOR DE BARRAS, SE CAPACITA, SE REALIZA INSTALACIÓN DE PUBLICIDAD Y TODO QUEDA OK"/>
    <s v="VISITA TECNICA"/>
    <s v="OB007847"/>
    <s v="TIPO II"/>
    <s v="TERRESTRE"/>
    <s v="MARTINEZ SALGUEDO ANDRES AUGUSTO"/>
    <n v="1"/>
    <n v="1"/>
    <n v="1"/>
    <n v="11251"/>
    <n v="126317"/>
    <n v="110808"/>
    <n v="248376"/>
  </r>
  <r>
    <s v="YOPAL"/>
    <x v="6"/>
    <x v="1"/>
    <s v="15518"/>
    <s v="TA-25-1446330"/>
    <s v="3007082539"/>
    <s v="APERTURA"/>
    <s v="CB CRECIMIENTO ALIANZA - NUEVO"/>
    <s v="BOYACA"/>
    <s v="PAJARITO"/>
    <s v="DISTRICOL ALMACEN CAFETERO DOS"/>
    <s v="REDEBAN"/>
    <s v="FO-25-2024477"/>
    <d v="2025-12-24T08:00:00"/>
    <d v="2025-12-29T14:21:00"/>
    <s v="AGREGADOR"/>
    <s v="DISTRICOL"/>
    <s v="EJECUTADO"/>
    <s v="23/12/2025 23-12 PROGRAMACION REALIZADA POR LA ALIANZA| INSTALACIÓN PROGRAMADA PARA EL 2025-12-24 | 24/12/2025 EN COMUNICACIÓN EL DIA 24-12-2025 CON LA SEÑORA ANGELA RUEDA AL NUMERO 3143771201, INFORMA NO PUEDE ATENDER LA VISITA, POR DILIGENCIAS PERSONALES, PIDE EL FAVOR SE REALIZAR LA VISITA EL DIA 29-12-2025 | 29/12/2025 SE VISITA COMERCIO, SE INSTALA DATÁFONO LECTOR BASE Y CUBRE TECLADO. PRUEBAS OK. OPERATIVO EL SERVICIO. SOMOS BANCOLOMBIA OK. NO SE REGISTRA PRUEBA DE TRANSFERENCIA NO SE CUENTA CON TARJETA"/>
    <s v="VISITA TECNICA"/>
    <s v="OB007850"/>
    <s v="TIPO III"/>
    <s v="TERRESTRE"/>
    <s v="BERNAL ELAICA EDGAR ALEXIS"/>
    <n v="1"/>
    <n v="1"/>
    <n v="1"/>
    <n v="11251"/>
    <n v="126317"/>
    <n v="110808"/>
    <n v="248376"/>
  </r>
  <r>
    <s v="CALI"/>
    <x v="7"/>
    <x v="0"/>
    <s v="19001"/>
    <s v="TA-25-1446332"/>
    <s v="3007082550"/>
    <s v="APERTURA"/>
    <s v="CB CRECIMIENTO ALIANZA - NUEVO"/>
    <s v="CAUCA"/>
    <s v="POPAYAN"/>
    <s v="DISTRICOL LA TIENDA DE PATY"/>
    <s v="REDEBAN"/>
    <s v="FO-25-2024485"/>
    <d v="2025-12-24T08:00:00"/>
    <d v="2025-12-26T11:53:00"/>
    <s v="AGREGADOR"/>
    <s v="DISTRICOL"/>
    <s v="EJECUTADO"/>
    <s v="23/12/2025 23-12 PROGRAMACION REALIZADA POR LA ALIANZA| INSTALACIÓN PROGRAMADA PARA EL 2025-12-26 | 26/12/2025 SE"/>
    <s v="VISITA TECNICA"/>
    <s v="OB007852"/>
    <s v="TIPO III"/>
    <s v="TERRESTRE"/>
    <s v="GIMBUEL LASSO LUIS GERMAN"/>
    <n v="1"/>
    <n v="1"/>
    <n v="1"/>
    <n v="11251"/>
    <n v="126317"/>
    <n v="110808"/>
    <n v="248376"/>
  </r>
  <r>
    <s v="CALI"/>
    <x v="7"/>
    <x v="0"/>
    <s v="19001"/>
    <s v="TA-25-1446333"/>
    <s v="3007082551"/>
    <s v="APERTURA"/>
    <s v="CB CRECIMIENTO ALIANZA - NUEVO"/>
    <s v="CAUCA"/>
    <s v="POPAYAN"/>
    <s v="DISTRICOL DROGUERIA LA FE SA"/>
    <s v="REDEBAN"/>
    <s v="FO-25-2024488"/>
    <d v="2025-12-24T08:00:00"/>
    <d v="2025-12-26T17:03:00"/>
    <s v="AGREGADOR"/>
    <s v="DISTRICOL"/>
    <s v="EJECUTADO"/>
    <s v="23/12/2025 23-12 PROGRAMACION REALIZADA POR LA ALIANZA| INSTALACIÓN PROGRAMADA PARA EL 2025-12-26 | 30/12/2025 SE INGRESA SE INSTALA BASE FUENTE PATCHCORD CUBRE CLAVE SE HACEN PRUEBAS OK TELECARGA DRNA CAPACITACION AL CB CREACION DE USUARIOS SE INSTALA AVISO EXTERIOR FLANGED DISPLAY LEGAL ENTREGA ROLLOS RBM MARCACION DE CODIGO DEL PUNTO"/>
    <s v="VISITA TECNICA"/>
    <s v="OB007853"/>
    <s v="TIPO III"/>
    <s v="TERRESTRE"/>
    <s v="GIMBUEL LASSO LUIS GERMAN"/>
    <n v="1"/>
    <n v="1"/>
    <n v="1"/>
    <n v="11251"/>
    <n v="126317"/>
    <n v="110808"/>
    <n v="248376"/>
  </r>
  <r>
    <s v="CALI"/>
    <x v="7"/>
    <x v="0"/>
    <s v="19807"/>
    <s v="TA-25-1446335"/>
    <s v="3007082582"/>
    <s v="APERTURA"/>
    <s v="CB CRECIMIENTO ALIANZA - NUEVO"/>
    <s v="CAUCA"/>
    <s v="TIMBIO"/>
    <s v="DISTRICOL DROGUERIA EL ARADO"/>
    <s v="REDEBAN"/>
    <s v="FO-25-2024493"/>
    <d v="2025-12-24T08:00:00"/>
    <d v="2025-12-29T12:10:00"/>
    <s v="AGREGADOR"/>
    <s v="DISTRICOL"/>
    <s v="EJECUTADO"/>
    <s v="23/12/2025 23-12 PROGRAMACION REALIZADA POR LA ALIANZA| INSTALACIÓN PROGRAMADA PARA EL 2025-12-26 | 26/12/2025 NO SE PUEDE REALIZAR DESPLAZMIENTO AL MUNICIPIO DE TIMBIO, YA QUE NO SE PUEDE CONSEGUIR TRANSPORTE, SE VISITARA EL DIA 29 DE DICIEMBRE | 29/12/2025 SE INGRESA SE INSTALA BASE FUENTE CUBRE CLAVE SE INSTALA SISTEMA OPERATIVO VERSION CREACION DE USUARIOS PRUEBAS OK TELECARGA DRNA CAPACITACION AL CB MARCACION DE CODIGO DEL PUNTO ENTREGA ROLLOS RBM SE INSTALA AVISO EXTERIOR FLANGED DISOLAY LEGAL"/>
    <s v="VISITA TECNICA"/>
    <s v="OB007854"/>
    <s v="TIPO III"/>
    <s v="TERRESTRE"/>
    <s v="GIMBUEL LASSO LUIS GERMAN"/>
    <n v="1"/>
    <n v="1"/>
    <n v="1"/>
    <n v="11251"/>
    <n v="126317"/>
    <n v="110808"/>
    <n v="248376"/>
  </r>
  <r>
    <s v="PASTO"/>
    <x v="7"/>
    <x v="0"/>
    <s v="52001"/>
    <s v="TA-25-1446339"/>
    <s v="3007082547"/>
    <s v="APERTURA"/>
    <s v="CB CRECIMIENTO ALIANZA - NUEVO"/>
    <s v="NARIÑO"/>
    <s v="PASTO"/>
    <s v="DISTRICOL TIENDA YISETH"/>
    <s v="REDEBAN"/>
    <s v="FO-25-2024508"/>
    <d v="2025-12-24T08:00:00"/>
    <d v="2025-12-26T16:36:00"/>
    <s v="AGREGADOR"/>
    <s v="DISTRICOL"/>
    <s v="EJECUTADO"/>
    <s v="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OB007857"/>
    <s v="TIPO I"/>
    <s v="TERRESTRE"/>
    <s v="CASTILLO HERRERA ALEX RICARDO"/>
    <n v="1"/>
    <n v="1"/>
    <n v="1"/>
    <n v="11251"/>
    <n v="126317"/>
    <n v="57415"/>
    <n v="194983"/>
  </r>
  <r>
    <s v="PASTO"/>
    <x v="7"/>
    <x v="0"/>
    <s v="52001"/>
    <s v="TA-25-1446345"/>
    <s v="3007082573"/>
    <s v="APERTURA"/>
    <s v="CB CRECIMIENTO ALIANZA - NUEVO"/>
    <s v="NARIÑO"/>
    <s v="PASTO"/>
    <s v="DISTRICOL PAPY VAR SAN IGNACIO"/>
    <s v="REDEBAN"/>
    <s v="FO-25-2024518"/>
    <d v="2025-12-24T08:00:00"/>
    <d v="2025-12-24T14:04:00"/>
    <s v="AGREGADOR"/>
    <s v="DISTRICOL"/>
    <s v="EJECUTADO"/>
    <s v="23/12/2025 23-12 PROGRAMACION REALIZADA POR LA ALIANZA| INSTALACIÓN PROGRAMADA PARA EL 2025-12-24 | 24/12/2025 SE REALIZÓ LA INSTALACIÓN DE EQUIPOS PUBLICIDAD Y ACCESORIOS PARA APERTURA CB BANCOLOMBIA SE DIO CAPACITACIÓN MANEJO DE DATÁFONO CB Y SOMOS BANCOLOMBIA SE EJECUTAN PRUEBAS TX EXITOSAS QUEDA OPERATIVO"/>
    <s v="VISITA TECNICA"/>
    <s v="OB007858"/>
    <s v="TIPO I"/>
    <s v="TERRESTRE"/>
    <s v="REMICIO AMADO JOHN HEBER"/>
    <n v="1"/>
    <n v="1"/>
    <n v="1"/>
    <n v="11251"/>
    <n v="126317"/>
    <n v="57415"/>
    <n v="194983"/>
  </r>
  <r>
    <s v="PASTO"/>
    <x v="7"/>
    <x v="0"/>
    <s v="52001"/>
    <s v="TA-25-1446349"/>
    <s v="3007082574"/>
    <s v="APERTURA"/>
    <s v="CB CRECIMIENTO ALIANZA - NUEVO"/>
    <s v="NARIÑO"/>
    <s v="PASTO"/>
    <s v="DISTRICOL ALM EL KOMPRADERO"/>
    <s v="REDEBAN"/>
    <s v="FO-25-2024520"/>
    <d v="2025-12-24T08:00:00"/>
    <d v="2025-12-26T11:46:00"/>
    <s v="AGREGADOR"/>
    <s v="DISTRICOL"/>
    <s v="EJECUTADO"/>
    <s v="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OB007859"/>
    <s v="TIPO I"/>
    <s v="TERRESTRE"/>
    <s v="CASTILLO HERRERA ALEX RICARDO"/>
    <n v="1"/>
    <n v="1"/>
    <n v="1"/>
    <n v="11251"/>
    <n v="126317"/>
    <n v="57415"/>
    <n v="194983"/>
  </r>
  <r>
    <s v="CUCUTA"/>
    <x v="4"/>
    <x v="5"/>
    <s v="54001"/>
    <s v="TA-25-1446350"/>
    <s v="3007082544"/>
    <s v="APERTURA"/>
    <s v="CB CRECIMIENTO ALIANZA - NUEVO"/>
    <s v="NORTE DE SANTANDER"/>
    <s v="CUCUTA"/>
    <s v="DISTRICOL BREYCAR"/>
    <s v="REDEBAN"/>
    <s v="FO-25-2024524"/>
    <d v="2025-12-24T08:00:00"/>
    <d v="2025-12-26T15:50:00"/>
    <s v="AGREGADOR"/>
    <s v="DISTRICOL"/>
    <s v="EJECUTADO"/>
    <s v="23/12/2025 23-12 PROGRAMACION REALIZADA POR LA ALIANZA| INSTALACIÓN PROGRAMADA PARA EL 2025-12-26 | 26/12/2025 SE REALIZÓ LLAMADA TELEFÓNICA AL NÚMERO 3105209230 SE HABLÓ CON LA SRA YEIMI CL MANIFIESTA QUE REALICEMOS LA VISITA EN HORAS DE LA TARDE YA QUE NO SE ENCUENTRA DISPONIBLE EN HORAS AM, SE PROGRAMA VISITA A LAS 2PM POR DISPONIBILIDAD DEL CLIENTE | 26/12/2025 SE REALIZA VISITA AL COMERCIO Y SE HIZO INSTALACIÓN DE DATAFONO LECTORA CABLEADO PUBLICIDAD BANCOLOMBIA INSTALADA OK, CAPACITACIÓN SOMOS BANCOLOMBIA, PRUEBAS EXITOSAS"/>
    <s v="VISITA TECNICA"/>
    <s v="OB007860"/>
    <s v="TIPO I"/>
    <s v="TERRESTRE"/>
    <s v="MORA VEGA JEAMPIER"/>
    <n v="1"/>
    <n v="1"/>
    <n v="1"/>
    <n v="11251"/>
    <n v="126317"/>
    <n v="57415"/>
    <n v="194983"/>
  </r>
  <r>
    <s v="CUCUTA"/>
    <x v="4"/>
    <x v="5"/>
    <s v="54498"/>
    <s v="TA-25-1446351"/>
    <s v="3007082546"/>
    <s v="APERTURA"/>
    <s v="CB CRECIMIENTO ALIANZA - NUEVO"/>
    <s v="NORTE DE SANTANDER"/>
    <s v="OCAÑA"/>
    <s v="DISTRICOL DROGUERIA AUXILIADOR"/>
    <s v="REDEBAN"/>
    <s v="FO-25-2024526"/>
    <d v="2025-12-24T08:00:00"/>
    <d v="2025-12-30T11:31:00"/>
    <s v="AGREGADOR"/>
    <s v="DISTRICOL"/>
    <s v="EJECUTADO"/>
    <s v="23/12/2025 23-12 PROGRAMACION REALIZADA POR LA ALIANZA| INSTALACIÓN PROGRAMADA PARA EL 2025-12-26 | 29/12/2025 SE CONTACTA TELEFÓNICAMENTE AL CLIENTE, LA SEÑORA LUZ MARINA LÁZARO CONFIRMA DATOS OK. SE LE INFORMA AL CLIENTE QUE EL DÍA DE HOY SE REALIZA EL DESPLAZAMIENTO AL MUNICIPIO DE OCAÑA Y LA INSTALACIÓN SE REALIZARÁ EL DÍA DE MAÑANA 30/12._x000a__x000a_3160420157 | 31/12/2025 SE REALIZA VISITA, SE REALIZA APERTURA DE CB, SE INSTALA DATAFONO CON ACCESORIOS, SE INSTALA ÚLTIMA VERSIÓN, SE CREAN USUARIOS OK, SE CAPACITA COMERCIO, SE REALIZAN PRUEBAS Y CIERRES OK. SE INSTALA PUBLICIDAD Y AVISO EXTERIOR."/>
    <s v="VISITA TECNICA"/>
    <s v="OB007861"/>
    <s v="TIPO IV"/>
    <s v="TERRESTRE"/>
    <s v="PACHECO BUITRAGO JAVIER ALONSO"/>
    <n v="1"/>
    <n v="1"/>
    <n v="1"/>
    <n v="11251"/>
    <n v="126317"/>
    <n v="110808"/>
    <n v="248376"/>
  </r>
  <r>
    <s v="PEREIRA"/>
    <x v="8"/>
    <x v="2"/>
    <s v="63001"/>
    <s v="TA-25-1446352"/>
    <s v="3007082562"/>
    <s v="APERTURA"/>
    <s v="CB CRECIMIENTO ALIANZA - NUEVO"/>
    <s v="QUINDIO"/>
    <s v="ARMENIA"/>
    <s v="DISTRICOL MISCELANEA MAS LICOR"/>
    <s v="REDEBAN"/>
    <s v="FO-25-2024528"/>
    <d v="2025-12-24T08:00:00"/>
    <d v="2025-12-26T14:22:00"/>
    <s v="AGREGADOR"/>
    <s v="DISTRICOL"/>
    <s v="EJECUTADO"/>
    <s v="23/12/2025 23-12 PROGRAMACION REALIZADA POR LA ALIANZA| INSTALACIÓN PROGRAMADA PARA EL 2025-12-26 | 26/12/2025 VISITAMOS COMERCIO REALIZAMOS INSTALACIÓN DE DATÁFONO CON LECTOR DE BARRAS, BRAZO DATÁFONO LO CONFIGURAMOS Y REALIZAMOS PRUEBAS OK, INSTALAMOS TODA LA PUBLICIDAD."/>
    <s v="VISITA TECNICA"/>
    <s v="OB007862"/>
    <s v="TIPO II"/>
    <s v="TERRESTRE"/>
    <s v="ARROYAVE CANO MANUEL GUILLERMO"/>
    <n v="1"/>
    <n v="1"/>
    <n v="1"/>
    <n v="11251"/>
    <n v="126317"/>
    <n v="110808"/>
    <n v="248376"/>
  </r>
  <r>
    <s v="PEREIRA"/>
    <x v="8"/>
    <x v="2"/>
    <s v="66001"/>
    <s v="TA-25-1446353"/>
    <s v="3007082548"/>
    <s v="APERTURA"/>
    <s v="CB CRECIMIENTO ALIANZA - NUEVO"/>
    <s v="RISARALDA"/>
    <s v="PEREIRA"/>
    <s v="DISTRICOL VARIEDADES EL GOCHO"/>
    <s v="REDEBAN"/>
    <s v="FO-25-2024531"/>
    <d v="2025-12-24T08:00:00"/>
    <d v="2025-12-24T13:16:00"/>
    <s v="AGREGADOR"/>
    <s v="DISTRICOL"/>
    <s v="EJECUTADO"/>
    <s v="23/12/2025 23-12 PROGRAMACION REALIZADA POR LA ALIANZA| INSTALACIÓN PROGRAMADA PARA EL 2025-12-24 | 27/12/2025 SE VISITA COMERCIO SE REALIZA APERTURA CB RBM SE INSTALA PUBLICIDAD DATÁFONO BASE MAGIC BOX Y LECTORA SE REALIZA CAPACITACIÓN SE REALIZA PRUEBAS OK"/>
    <s v="VISITA TECNICA"/>
    <s v="OB007863"/>
    <s v="TIPO I"/>
    <s v="TERRESTRE"/>
    <s v="LOAIZA LOPEZ JHON FREDDY"/>
    <n v="1"/>
    <n v="1"/>
    <n v="1"/>
    <n v="11251"/>
    <n v="126317"/>
    <n v="57415"/>
    <n v="194983"/>
  </r>
  <r>
    <s v="PEREIRA"/>
    <x v="8"/>
    <x v="2"/>
    <s v="66001"/>
    <s v="TA-25-1446354"/>
    <s v="3007082575"/>
    <s v="APERTURA"/>
    <s v="CB CRECIMIENTO ALIANZA - NUEVO"/>
    <s v="RISARALDA"/>
    <s v="PEREIRA"/>
    <s v="DISTRICOL SERVIREPUESTOS 2023"/>
    <s v="REDEBAN"/>
    <s v="FO-25-2024537"/>
    <d v="2025-12-24T08:00:00"/>
    <d v="2025-12-26T12:08:00"/>
    <s v="AGREGADOR"/>
    <s v="DISTRICOL"/>
    <s v="EJECUTADO"/>
    <s v="23/12/2025 23-12 PROGRAMACION REALIZADA POR LA ALIANZA| INSTALACIÓN PROGRAMADA PARA EL 2025-12-26 | 02/01/2026 SE VISITA COMERCIO SE REALIZA APERTURA CB RBM SE INSTALA PUBLICIDAD DATÁFONO BASE Y LECTORA SE REALIZA CAPACITACIÓN SE REALIZA PRUEBAS OK"/>
    <s v="VISITA TECNICA"/>
    <s v="OB007864"/>
    <s v="TIPO I"/>
    <s v="TERRESTRE"/>
    <s v="LOAIZA LOPEZ JHON FREDDY"/>
    <n v="1"/>
    <n v="1"/>
    <n v="1"/>
    <n v="11251"/>
    <n v="126317"/>
    <n v="57415"/>
    <n v="194983"/>
  </r>
  <r>
    <s v="BUCARAMANGA"/>
    <x v="4"/>
    <x v="5"/>
    <s v="68276"/>
    <s v="TA-25-1446356"/>
    <s v="3007082545"/>
    <s v="APERTURA"/>
    <s v="CB CRECIMIENTO ALIANZA - NUEVO"/>
    <s v="SANTANDER"/>
    <s v="FLORIDABLANCA"/>
    <s v="DISTRICOL LEON MORALES SAS"/>
    <s v="REDEBAN"/>
    <s v="FO-25-2024543"/>
    <d v="2025-12-24T08:00:00"/>
    <d v="2025-12-26T17:00:00"/>
    <s v="AGREGADOR"/>
    <s v="DISTRICOL"/>
    <s v="EJECUTADO"/>
    <s v="23/12/2025 23-12 PROGRAMACION REALIZADA POR LA ALIANZA| INSTALACIÓN PROGRAMADA PARA EL 2025-12-26 | 26/12/2025 EN COMUNICACIÓN CON EL ADMINISTRADOR AL CELULAR CB, INFORMA TENER DISPONIBILIDAD DESPUÉS DE LAS 11:00 AM YA QUE EN ESTOS MOMENTOS SE ENCUENTRA REALIZANDO UNAS DILIGENCIAS PERSONALES. | 26/12/2025 SE REALIZA INSTALACIÓN DE DATÁFONO, LECTOR DE BARRAS, MAGI BOX, PINPAD BASE DATÁFONO, PASCORD, CUBRE CLAVE, 40 ROLLOS, SE CAPACITA CORRESPONSAL, SOMOS BANCOLOMBIA, PRUEBAS EXITOSA."/>
    <s v="VISITA TECNICA"/>
    <s v="OB007866"/>
    <s v="TIPO I"/>
    <s v="TERRESTRE"/>
    <s v="MARTINEZ FLOREZ DONIS ALBERTO"/>
    <n v="1"/>
    <n v="1"/>
    <n v="1"/>
    <n v="11251"/>
    <n v="126317"/>
    <n v="57415"/>
    <n v="194983"/>
  </r>
  <r>
    <s v="BUCARAMANGA"/>
    <x v="4"/>
    <x v="5"/>
    <s v="68547"/>
    <s v="TA-25-1446358"/>
    <s v="3007082549"/>
    <s v="APERTURA"/>
    <s v="CB CRECIMIENTO ALIANZA - NUEVO"/>
    <s v="SANTANDER"/>
    <s v="PIEDECUESTA"/>
    <s v="DISTRICOL T Y M MUNDO EXPRESS"/>
    <s v="REDEBAN"/>
    <s v="FO-25-2024551"/>
    <d v="2025-12-24T08:00:00"/>
    <d v="2025-12-26T13:34:00"/>
    <s v="AGREGADOR"/>
    <s v="DISTRICOL"/>
    <s v="EJECUTADO"/>
    <s v="23/12/2025 23-12 PROGRAMACION REALIZADA POR LA ALIANZA| INSTALACIÓN PROGRAMADA PARA EL 2025-12-26 | 26/12/2025 SE ESTABLECE COMUNICACIÓN CON EL SR JULIAN ORTIZ AL NÚMERO DE CONTACTO 3163494081, QUIEN COMENTA QUE TIENE LA DISPONIBILIDAD PARA ATENDER LA VISITA TÉCNICA A PARTIR DE LAS 10 AM | 26/12/2025 SE REALIZA VISITA AL COMERCIO SE HACE APERTURA CB BANCOLOMBIA PURO, SE INSTALA AVISO EXTERIOR, FLANGED, DISPLAY, BASE, DATÁFONO, LECTOR DE BARRAS, MÁGIC BOX, PINPAD POR MÓDULO DE VIDRIO,CUBRE CLAVES, SE DEJAN USUARIO CREADOS A GUSTO DEL CLIENTE, SE HACEN PRUEBAS OK, SOMOS BANCOLOMBIA OK, CAPACITACIÓN GENERAL COMPLETA, MANEJO DEL DATÁFONO OK"/>
    <s v="VISITA TECNICA"/>
    <s v="OB007868"/>
    <s v="TIPO II"/>
    <s v="TERRESTRE"/>
    <s v="GONZALEZ ESTUPIÑAN YEISON WALTER ANTONIO"/>
    <n v="1"/>
    <n v="1"/>
    <n v="1"/>
    <n v="11251"/>
    <n v="126317"/>
    <n v="110808"/>
    <n v="248376"/>
  </r>
  <r>
    <s v="IBAGUE"/>
    <x v="6"/>
    <x v="1"/>
    <s v="73411"/>
    <s v="TA-25-1446359"/>
    <s v="3007082567"/>
    <s v="APERTURA"/>
    <s v="CB CRECIMIENTO ALIANZA - NUEVO"/>
    <s v="TOLIMA"/>
    <s v="LIBANO"/>
    <s v="DISTRICOL MEDICLINICAL DROGUER"/>
    <s v="REDEBAN"/>
    <s v="FO-25-2024557"/>
    <d v="2025-12-24T08:00:00"/>
    <d v="2025-12-26T16:28:00"/>
    <s v="AGREGADOR"/>
    <s v="DISTRICOL"/>
    <s v="EJECUTADO"/>
    <s v="23/12/2025 23-12 PROGRAMACION REALIZADA POR LA ALIANZA| INSTALACIÓN PROGRAMADA PARA EL 2025-12-26 | 26/12/2025 SE INSTALA CB BANCOLOMBIA SIN NOVEDAD. SE CAPACITA A LA SEÑORA LEIDY VELOZA, EN EL MANEJO DEL DATÁFONO, SOMOS BANCOLOMBIA, Y PROCESO DE COMPENSACIÓN. SE HACEN LAS PRUEBAS DE TRANSACCIONES TODO OK"/>
    <s v="VISITA TECNICA"/>
    <s v="OB007869"/>
    <s v="TIPO III"/>
    <s v="TERRESTRE"/>
    <s v="VARGAS HERRERA JHON JAIRO"/>
    <n v="1"/>
    <n v="1"/>
    <n v="1"/>
    <n v="11251"/>
    <n v="126317"/>
    <n v="110808"/>
    <n v="248376"/>
  </r>
  <r>
    <s v="CALI"/>
    <x v="7"/>
    <x v="0"/>
    <s v="76001"/>
    <s v="TA-25-1446360"/>
    <s v="3007082541"/>
    <s v="APERTURA"/>
    <s v="CB CRECIMIENTO ALIANZA - NUEVO"/>
    <s v="VALLE DEL CAUCA"/>
    <s v="CALI"/>
    <s v="DISTRICOL C.I.A. SALOMIA"/>
    <s v="REDEBAN"/>
    <s v="FO-25-2024559"/>
    <d v="2025-12-24T08:00:00"/>
    <d v="2025-12-24T12:52:00"/>
    <s v="AGREGADOR"/>
    <s v="DISTRICOL"/>
    <s v="EJECUTADO"/>
    <s v="23/12/2025 23-12 PROGRAMACION REALIZADA POR LA ALIANZA| INSTALACIÓN PROGRAMADA PARA EL 2025-12-24 | 24/12/2025 SE LLAMA AL CLIENTE, SE VÁLIDA INSTALACIÓN, DIRECCIÓN Y DISPONIBILIDAD, SE VISITA EL COMERCIO INSTALO DATAFONO, LECTORA, ACCESORIOS, PUBLICIDAD, SE CAPACITA, PRUEBAS OK, TELECARGA TRNA"/>
    <s v="VISITA TECNICA"/>
    <s v="OB007870"/>
    <s v="TIPO I"/>
    <s v="TERRESTRE"/>
    <s v="HERRERA MONAR GEOVANNY"/>
    <n v="1"/>
    <n v="1"/>
    <n v="1"/>
    <n v="11251"/>
    <n v="126317"/>
    <n v="57415"/>
    <n v="194983"/>
  </r>
  <r>
    <s v="CALI"/>
    <x v="7"/>
    <x v="0"/>
    <s v="76520"/>
    <s v="TA-25-1446361"/>
    <s v="3007082571"/>
    <s v="APERTURA"/>
    <s v="CB CRECIMIENTO ALIANZA - NUEVO"/>
    <s v="VALLE DEL CAUCA"/>
    <s v="PALMIRA"/>
    <s v="DISTRICOL RAPITRAMITE PAISAS 2"/>
    <s v="REDEBAN"/>
    <s v="FO-25-2024561"/>
    <d v="2025-12-24T08:00:00"/>
    <d v="2025-12-24T13:22:00"/>
    <s v="AGREGADOR"/>
    <s v="DISTRICOL"/>
    <s v="EJECUTADO"/>
    <s v="23/12/2025 23-12 PROGRAMACION REALIZADA POR LA ALIANZA| INSTALACIÓN PROGRAMADA PARA EL 2025-12-24 | 24/12/2025 EN LA VISITA TÉCNICA SE REALIZÓ LA INSTALACIÓN DE CORRESPONSAL BANCOLOMBIA PURO,SE INSTALA DATÁFONO,MAGIC BOX 2600, LECTOR,BASE SOPORTE DE DATÁFONO,SE INSTALA PINPAD DESK 1600 YA QUE CONTABA CON VENTANILLA DE SEGURIDAD CON VIDRIO,SE INSTALA LA PUBLICIDAD Y SE IMPLEMENTARON LOS ROLLOS DE REDEBAN,SE REALIZÓ LA CAPACITACIÓN CON LA PERSONA ENCARGADA DE MANEJAR EL CORRESPONSAL, CREACIÓN DE USUARIOS SISTEMA OPERATIVO Y MENU OPERATIVO DEL DATÁFONO, TRANSACCIONES,MALQS PRÁCTICAS SEGURIDAD Y ATENCIÓN AL CLIENTE,EL SERVICIO QUEDÓ OPERANDO SIN FALLAS Y SIN NOVEDAD."/>
    <s v="VISITA TECNICA"/>
    <s v="OB007871"/>
    <s v="TIPO I"/>
    <s v="TERRESTRE"/>
    <s v="SANCHEZ URREGO ROBINSON DAVID"/>
    <n v="1"/>
    <n v="1"/>
    <n v="1"/>
    <n v="11251"/>
    <n v="126317"/>
    <n v="57415"/>
    <n v="194983"/>
  </r>
  <r>
    <s v="CALI"/>
    <x v="7"/>
    <x v="0"/>
    <s v="76520"/>
    <s v="TA-25-1446362"/>
    <s v="3007082572"/>
    <s v="APERTURA"/>
    <s v="CB CRECIMIENTO ALIANZA - NUEVO"/>
    <s v="VALLE DEL CAUCA"/>
    <s v="PALMIRA"/>
    <s v="DISTRICOL CDA TECNO-ROZO"/>
    <s v="REDEBAN"/>
    <s v="FO-25-2024565"/>
    <d v="2025-12-24T08:00:00"/>
    <d v="2025-12-26T16:22:00"/>
    <s v="AGREGADOR"/>
    <s v="DISTRICOL"/>
    <s v="EJECUTADO"/>
    <s v="23/12/2025 23-12 PROGRAMACION REALIZADA POR LA ALIANZA| INSTALACIÓN PROGRAMADA PARA EL 2025-12-26 | 26/12/2025 SE VISITA ESTABLECIMIENTO, SE REALIZA INSTALACIÓN CORRESPONSAL BANCOLOMBIA PURO. TRANSACCIONES DE PRUEBA EXITOSAS. SE CAPACITA Y SE INSTALA PUBLICIDAD COMPLETA."/>
    <s v="VISITA TECNICA"/>
    <s v="OB007872"/>
    <s v="TIPO I"/>
    <s v="TERRESTRE"/>
    <s v="BOLAÑOS TABORDA JORGE ENRIQUE"/>
    <n v="1"/>
    <n v="1"/>
    <n v="1"/>
    <n v="11251"/>
    <n v="126317"/>
    <n v="57415"/>
    <n v="194983"/>
  </r>
  <r>
    <s v="CALI"/>
    <x v="7"/>
    <x v="0"/>
    <s v="76563"/>
    <s v="TA-25-1446363"/>
    <s v="3007082576"/>
    <s v="APERTURA"/>
    <s v="CB CRECIMIENTO ALIANZA - NUEVO"/>
    <s v="VALLE DEL CAUCA"/>
    <s v="PRADERA"/>
    <s v="DISTRICOL COMBUSTIBLES Y LUBRI"/>
    <s v="REDEBAN"/>
    <s v="FO-25-2024570"/>
    <d v="2025-12-24T08:00:00"/>
    <d v="2025-12-26T16:30:00"/>
    <s v="AGREGADOR"/>
    <s v="DISTRICOL"/>
    <s v="EJECUTADO"/>
    <s v="23/12/2025 23-12 PROGRAMACION REALIZADA POR LA ALIANZA| INSTALACIÓN PROGRAMADA PARA EL 2025-12-26 | 26/12/2025 SE REALIZA APERTURA DE CB BANCOLOMBIA PURO, SE INSTALA EQUIPO, ACCESORIOS Y PUBLICIDAD, SE REALIZAN PRUEBAS OK. NO SÉ REALIZAN TODAS LAS PRUEBAS YA QUE EL CLIENTE NO CUENTA CON LOS MEDIOS, SE ENTREGAN 40 ROLLOS TERMICOS REDEBAN."/>
    <s v="VISITA TECNICA"/>
    <s v="OB007873"/>
    <s v="TIPO II"/>
    <s v="TERRESTRE"/>
    <s v="MONTERO MUESES GIAN CARLO"/>
    <n v="1"/>
    <n v="1"/>
    <n v="1"/>
    <n v="11251"/>
    <n v="126317"/>
    <n v="110808"/>
    <n v="248376"/>
  </r>
  <r>
    <s v="PEREIRA"/>
    <x v="8"/>
    <x v="2"/>
    <s v="76828"/>
    <s v="TA-25-1446364"/>
    <s v="3007082553"/>
    <s v="APERTURA"/>
    <s v="CB CRECIMIENTO ALIANZA - NUEVO"/>
    <s v="VALLE DEL CAUCA"/>
    <s v="TRUJILLO"/>
    <s v="DISTRICOL DROG MARIA LILIA"/>
    <s v="REDEBAN"/>
    <s v="FO-25-2024571"/>
    <d v="2025-12-24T08:00:00"/>
    <d v="2025-12-26T22:40:00"/>
    <s v="AGREGADOR"/>
    <s v="DISTRICOL"/>
    <s v="EJECUTADO"/>
    <s v="23/12/2025 23-12 PROGRAMACION REALIZADA POR LA ALIANZA| INSTALACIÓN PROGRAMADA PARA EL 2025-12-26 | 27/12/2025 SE REALIZA INSTALACIÓN DE CB Y  PUBLICIDAD, AVISO EXTERIOR, DISPLAY - FLANGER._x000a_‎SE REALIZA CAPACITACIÓN DE SOMOS BANCOLOMBIA. COMPENSACIÓN - MALAS PRÁCTICA. MANEJO DEL DATÁFONO Y SU RESPECTIVO MENU._x000a_‎SE EXPLICA PROCESO DE CREACIÓN DE USUARIOS._x000a_‎SE REALIZARON PRUEBAS OPERATIVAS SIN NOVEDAD._x000a_‎SE DEJAN 40 ROLLOS TÉRMICOS EN EL CB._x000a_‎CB QUEDA OKEY."/>
    <s v="VISITA TECNICA"/>
    <s v="OB007874"/>
    <s v="TIPO II"/>
    <s v="TERRESTRE"/>
    <s v="TORRES GARCIA JENDRY JOSE"/>
    <n v="1"/>
    <n v="1"/>
    <n v="1"/>
    <n v="11251"/>
    <n v="126317"/>
    <n v="110808"/>
    <n v="248376"/>
  </r>
  <r>
    <s v="CALI"/>
    <x v="7"/>
    <x v="0"/>
    <s v="76834"/>
    <s v="TA-25-1446365"/>
    <s v="3007082554"/>
    <s v="APERTURA"/>
    <s v="CB CRECIMIENTO ALIANZA - NUEVO"/>
    <s v="VALLE DEL CAUCA"/>
    <s v="TULUA"/>
    <s v="DISTRICOL VARIEDADES MELY .SA"/>
    <s v="REDEBAN"/>
    <s v="FO-25-2024574"/>
    <d v="2025-12-24T08:00:00"/>
    <d v="2025-12-26T17:30:00"/>
    <s v="AGREGADOR"/>
    <s v="DISTRICOL"/>
    <s v="EJECUTADO"/>
    <s v="23/12/2025 23-12 PROGRAMACION REALIZADA POR LA ALIANZA| INSTALACIÓN PROGRAMADA PARA EL 2025-12-26 | 26/12/2025 SE REALIZÓ GESTION TELÉFONO PARA CONFIRMAR LA VISITA CON EL CLIENTE,PERO NO HUBO RESPUESTA,SE REALIZÓ EL DESPLAZAMIENTO AL SITIO YA QUE NO HUBO CONTACTO CON EL CLIENTE. | 26/12/2025 EN LA VISITA TÉCNICA SE REALIZÓ LA INSTALACIÓN DE EL CB BANCOLOMBIA PURO,SE INSTALA DATÁFONO, LECTOR, MAGIC BOX 2600,BASE SOPORTE DE DATÁFONO,SE REALIZÓ LA CAPACITACIÓN, INSTALACIÓN DE PUBLICIDAD Y SE IMPLEMENTARON LOS ROLLOS DE REDEBAN,SE REALIZARON TODAS LAS PRUEBAS DURANTE LA CAPACITACIÓN OPERATIVA DEJANDO EL SERVICIO OPERANDO SIN FALLAS Y SIN NOVEDAD."/>
    <s v="VISITA TECNICA"/>
    <s v="OB007876"/>
    <s v="TIPO II"/>
    <s v="TERRESTRE"/>
    <s v="SANCHEZ URREGO ROBINSON DAVID"/>
    <n v="1"/>
    <n v="1"/>
    <n v="1"/>
    <n v="11251"/>
    <n v="126317"/>
    <n v="110808"/>
    <n v="248376"/>
  </r>
  <r>
    <s v="YOPAL"/>
    <x v="6"/>
    <x v="1"/>
    <s v="85410"/>
    <s v="TA-25-1446366"/>
    <s v="3007082581"/>
    <s v="APERTURA"/>
    <s v="CB CRECIMIENTO ALIANZA - NUEVO"/>
    <s v="CASANARE"/>
    <s v="TAURAMENA"/>
    <s v="DISTRICOL CM CORPORATIVO"/>
    <s v="REDEBAN"/>
    <s v="FO-25-2024579"/>
    <d v="2025-12-24T08:00:00"/>
    <d v="2025-12-26T17:44:00"/>
    <s v="AGREGADOR"/>
    <s v="DISTRICOL"/>
    <s v="EJECUTADO"/>
    <s v="23/12/2025 23-12 PROGRAMACION REALIZADA POR LA ALIANZA| INSTALACIÓN PROGRAMADA PARA EL 2025-12-26 | 27/12/2025 SE REALIZA APERTURA CB BANCOLOMBIA PRUEBAS OK SE INSTALA PUBLICIDAD SE INGRESA A SOMOS OK SIN NOVEDAD"/>
    <s v="VISITA TECNICA"/>
    <s v="OB007877"/>
    <s v="TIPO II"/>
    <s v="TERRESTRE"/>
    <s v="CASTRILLON URREA LONDIER LEANDRO"/>
    <n v="1"/>
    <n v="1"/>
    <n v="1"/>
    <n v="11251"/>
    <n v="126317"/>
    <n v="110808"/>
    <n v="248376"/>
  </r>
  <r>
    <m/>
    <x v="9"/>
    <x v="7"/>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MEDELLIN"/>
    <x v="0"/>
    <x v="0"/>
    <s v="5266"/>
    <s v="3059805"/>
    <s v="3007078771"/>
    <s v="OC PUBLICIDAD"/>
    <s v="ANTIOQUIA"/>
    <s v="ENVIGADO"/>
    <s v="DISTRICOL LICORERA CENTRAL"/>
    <s v="REDEBAN"/>
    <s v="FO-25-1876044"/>
    <d v="2025-11-25T10:43:00"/>
    <d v="2025-12-02T10:26:00"/>
    <m/>
    <s v="PUBLICIDAD"/>
    <s v="AVISO EXTERIOR"/>
    <s v="AGREGADOR"/>
    <s v="DISTRICOL"/>
    <s v="EJECUTADO / CANCELADO"/>
    <s v="PETICIÓN USUARIO"/>
    <s v="25/11/2025 POR FAVOR, COMUNICARSE CON USUARIO PARA CONFIRMAR UBICACION, SOLICITUD Y PROGRAMAR VISITA TECNICA | 02/12/2025 SE LLAMA AL NÚMERO INDICADO PARA CONFIRMAR LA VISITA Y EL USUARIO INDICA QUE NO ME PUEDE ATENDER EL DÍA DE HOY 02/12/2025 PORQUE NO ABRIRÁ EL COMERCIO"/>
    <s v="SOPORTE TELEFONICO"/>
    <m/>
    <s v="TIPO I"/>
    <s v="TERRESTRE"/>
    <s v="RUA ALVAREZ RICHARD ANDRES"/>
    <n v="0"/>
    <n v="0"/>
    <n v="37905"/>
    <n v="0"/>
    <n v="37905"/>
  </r>
  <r>
    <s v="SINCELEJO"/>
    <x v="1"/>
    <x v="1"/>
    <s v="70523"/>
    <s v="3064043"/>
    <s v="3007038723"/>
    <s v="OC PUBLICIDAD"/>
    <s v="SUCRE"/>
    <s v="PALMITO"/>
    <s v="ARRIO BARRIO ARRIBA PALMITO"/>
    <s v="REDEBAN"/>
    <s v="FO-25-1881478"/>
    <d v="2025-11-26T08:32:00"/>
    <d v="2025-12-02T15:03:00"/>
    <m/>
    <s v="PUBLICIDAD"/>
    <s v="AVISO EXTERIOR"/>
    <s v="CB UNO A UNO"/>
    <s v="CB UNO A UNO"/>
    <s v="EJECUTADO"/>
    <s v="EJECUTADO EXITOSO"/>
    <s v="26/11/2025 POR FAVOR, COMUNICARSE CON USUARIO PARA CONFIRMAR UBICACION, SOLICITUD Y PROGRAMAR VISITA TECNICA | 02/12/2025 SE VISITA SITIO SE VERIFICA INFORMACIÓN SE REALIZA INSTALACIÓN DE AVISO EXTERIOR ÚNICAMENTE, NO SE MANIPULA EQUIPOS."/>
    <s v="VISITA TECNICA"/>
    <m/>
    <s v="TIPO II"/>
    <s v="TERRESTRE"/>
    <s v="SANTOS GUZMAN CHRISTIAN FELIPE"/>
    <n v="1"/>
    <n v="1"/>
    <n v="232859"/>
    <n v="110808"/>
    <n v="343667"/>
  </r>
  <r>
    <s v="MEDELLIN"/>
    <x v="0"/>
    <x v="0"/>
    <s v="5001"/>
    <s v="3068818"/>
    <s v="3007077759"/>
    <s v="OC PUBLICIDAD"/>
    <s v="ANTIOQUIA"/>
    <s v="MEDELLIN"/>
    <s v="BARRIO CENTRO MEDELLIN 105"/>
    <s v="REDEBAN"/>
    <s v="FO-25-1912872"/>
    <d v="2025-11-27T08:00:00"/>
    <d v="2025-12-01T14:59:00"/>
    <m/>
    <s v="PUBLICIDAD"/>
    <s v="AVISO EXTERIOR"/>
    <s v="CB UNO A UNO"/>
    <s v="CB UNO A UNO"/>
    <s v="EJECUTADO"/>
    <s v="EJECUTADO EXITOSO"/>
    <s v="01/12/2025 SE REALIZA VISITA TÉCNICA CON EL OBJETIVO DE INSTALAR UN NUEVO AVISO EXTERIOR, DEBIDO A QUE EL ANTERIOR FUE SUSTRAÍDO.  - DURANTE LA VISITA, SE PROCEDE A LA INSTALACIÓN DEL AVISO EXTERIOR SIGUIENDO LAS ESPECIFICACIONES Y DIRECTRICES PROPORCIONADAS POR EL CLIENTE.  - EL TRABAJO SE EJECUTA GARANTIZANDO LA CORRECTA FIJACIÓN, VISIBILIDAD Y CUMPLIMIENTO DE LOS REQUERIMIENTOS ACORDADOS."/>
    <s v="VISITA TECNICA"/>
    <m/>
    <s v="TIPO I"/>
    <s v="TERRESTRE"/>
    <s v="MARTINEZ TOVAR OSCAR DAVID"/>
    <n v="1"/>
    <n v="1"/>
    <n v="96011"/>
    <n v="57415"/>
    <n v="153426"/>
  </r>
  <r>
    <s v="VILLAVICENCIO"/>
    <x v="2"/>
    <x v="2"/>
    <s v="97161"/>
    <s v="3069701"/>
    <s v="3007066339"/>
    <s v="OC PUBLICIDAD"/>
    <s v="VAUPES"/>
    <s v="CARURU"/>
    <s v="BARRIO CENTRO CARURU 2"/>
    <s v="REDEBAN"/>
    <s v="FO-25-1895367"/>
    <d v="2025-11-27T08:16:00"/>
    <d v="2025-12-10T09:44:00"/>
    <m/>
    <s v="PUBLICIDAD"/>
    <s v="AVISO EXTERIOR"/>
    <s v="CB UNO A UNO"/>
    <s v="CB UNO A UNO"/>
    <s v="EJECUTADO"/>
    <s v="EJECUTADO EXITOSO"/>
    <s v="27/11/2025 POR FAVOR, COMUNICARSE CON USUARIO PARA CONFIRMAR UBICACION, SOLICITUD Y PROGRAMAR VISITA TECNICA | 04/12/2025 POR DISPONIBILIDAD DE VUELO TIQUETES COMPRADOS PARA EL 04/112/2025 | 04/12/2025 POR DISPONIBILIDAD DE VUELO SE APLAZA LA INSTALACIÓN DE AVISO | 10/12/2025 SE REALIZA INSTALACIÓN DE AVISO EXTERIOR BANCOLOMBIA"/>
    <s v="VISITA TECNICA"/>
    <m/>
    <s v="TIPO V"/>
    <s v="AEREO"/>
    <s v="PEDREROS CONTRERAS MICHAEL STEVENS"/>
    <n v="1"/>
    <n v="1"/>
    <n v="988463"/>
    <n v="110808"/>
    <n v="1099271"/>
  </r>
  <r>
    <s v="BOGOTA"/>
    <x v="3"/>
    <x v="3"/>
    <s v="11001"/>
    <s v="3076380"/>
    <s v="3007059781"/>
    <s v="OC PUBLICIDAD"/>
    <s v="CUNDINAMARCA"/>
    <s v="BOGOTA"/>
    <s v="PTM BOGOTA MEDISALITRE MB"/>
    <s v="REDEBAN"/>
    <s v="FO-25-1903178"/>
    <d v="2025-11-28T12:31:00"/>
    <d v="2025-12-04T11:10:00"/>
    <m/>
    <s v="PUBLICIDAD"/>
    <s v="AVISO EXTERIOR"/>
    <s v="AGREGADOR"/>
    <s v="COMCARD - PTM"/>
    <s v="EJECUTADO"/>
    <s v="EJECUTADO EXITOSO"/>
    <s v="28/11/2025 POR FAVOR, COMUNICARSE CON USUARIO PARA CONFIRMAR UBICACION, SOLICITUD Y PROGRAMAR VISITA TECNICA | 04/12/2025 SE REALIZA INTALACION DE AVISO EXTERIOR"/>
    <s v="VISITA TECNICA"/>
    <m/>
    <s v="TIPO I"/>
    <s v="TERRESTRE"/>
    <s v="INFANTE SIERRA MANUEL FERNANDO"/>
    <n v="1"/>
    <n v="1"/>
    <n v="96011"/>
    <n v="57415"/>
    <n v="153426"/>
  </r>
  <r>
    <s v="PEREIRA"/>
    <x v="4"/>
    <x v="4"/>
    <s v="63001"/>
    <s v="3076487"/>
    <s v="3007056374"/>
    <s v="OC PUBLICIDAD"/>
    <s v="QUINDIO"/>
    <s v="ARMENIA"/>
    <s v="DISTRICOL UNIVERSO INFANTIL"/>
    <s v="REDEBAN"/>
    <s v="FO-25-1903476"/>
    <d v="2025-11-28T13:50:00"/>
    <d v="2025-12-02T10:53:00"/>
    <m/>
    <s v="PUBLICIDAD"/>
    <s v="AVISO EXTERIOR"/>
    <s v="AGREGADOR"/>
    <s v="DISTRICOL"/>
    <s v="EJECUTADO"/>
    <s v="EJECUTADO EXITOSO"/>
    <s v="28/11/2025 POR FAVOR, COMUNICARSE CON USUARIO PARA CONFIRMAR UBICACION, SOLICITUD Y PROGRAMAR VISITA TECNICA | 02/12/2025 SE VISITA COMERCIO SE REALIZÓ INSTALACIÓN AVISÓ EXTERIOR NUEVO."/>
    <s v="VISITA TECNICA"/>
    <m/>
    <s v="TIPO II"/>
    <s v="TERRESTRE"/>
    <s v="SANCHEZ SOLORZANO JUAN SEBASTIAN"/>
    <n v="1"/>
    <n v="1"/>
    <n v="232859"/>
    <n v="110808"/>
    <n v="343667"/>
  </r>
  <r>
    <s v="CALI"/>
    <x v="4"/>
    <x v="5"/>
    <s v="19001"/>
    <s v="3077207"/>
    <s v="3007027419"/>
    <s v="OC PUBLICIDAD"/>
    <s v="CAUCA"/>
    <s v="POPAYAN"/>
    <s v="BARRIO BOLIVAR 3 POPAYAN"/>
    <s v="REDEBAN"/>
    <s v="FO-25-1904152"/>
    <d v="2025-11-28T15:17:00"/>
    <d v="2025-12-06T15:16:00"/>
    <m/>
    <s v="PUBLICIDAD"/>
    <s v="AVISO EXTERIOR"/>
    <s v="UNO A UNO"/>
    <s v="CB UNO A UNO"/>
    <s v="EJECUTADO"/>
    <s v="PETICIÓN USUARIO"/>
    <s v="28/11/2025 POR FAVOR, COMUNICARSE CON USUARIO PARA CONFIRMAR UBICACION, SOLICITUD Y PROGRAMAR VISITA TECNICA | 06/12/2025 SE LLEGA ALA DIRECCION SE ENCUENTRA CERRADO CB SE LLAMA AL CLIEMTE NO RESPONDE"/>
    <s v="VISITA TECNICA"/>
    <m/>
    <s v="TIPO III"/>
    <s v="TERRESTRE"/>
    <s v="GIMBUEL LASSO LUIS GERMAN"/>
    <n v="1"/>
    <n v="1"/>
    <n v="344775"/>
    <n v="110808.27512000001"/>
    <n v="455583.27512000001"/>
  </r>
  <r>
    <s v="PEREIRA"/>
    <x v="4"/>
    <x v="4"/>
    <s v="76147"/>
    <s v="3078532"/>
    <s v="3007065769"/>
    <s v="OC PUBLICIDAD"/>
    <s v="VALLE DEL CAUCA"/>
    <s v="CARTAGO"/>
    <s v="BARRIO BOTERO OBIRNE CARTAGO"/>
    <s v="REDEBAN"/>
    <s v="FO-25-1906315"/>
    <d v="2025-11-29T10:03:00"/>
    <d v="2025-12-01T15:34:00"/>
    <m/>
    <s v="PUBLICIDAD"/>
    <s v="AVISO EXTERIOR"/>
    <s v="CB UNO A UNO"/>
    <s v="CB UNO A UNO"/>
    <s v="EJECUTADO"/>
    <s v="EJECUTADO EXITOSO"/>
    <s v="29/11/2025 POR FAVOR, COMUNICARSE CON USUARIO PARA CONFIRMAR UBICACION, SOLICITUD Y PROGRAMAR VISITA TECNICA | 01/12/2025 SE VISITA COMERCIO SE REALIZA INSTALACIÓN DE PUBLICIDAD"/>
    <s v="VISITA TECNICA"/>
    <m/>
    <s v="TIPO I"/>
    <s v="TERRESTRE"/>
    <s v="LOAIZA LOPEZ JHON FREDDY"/>
    <n v="1"/>
    <n v="1"/>
    <n v="96011"/>
    <n v="57415"/>
    <n v="153426"/>
  </r>
  <r>
    <s v="CALI"/>
    <x v="4"/>
    <x v="5"/>
    <s v="76834"/>
    <s v="3078916"/>
    <s v="3007043100"/>
    <s v="OC PUBLICIDAD"/>
    <s v="VALLE DEL CAUCA"/>
    <s v="TULUA"/>
    <s v="BARRIO VICTORIA TULUA 2"/>
    <s v="REDEBAN"/>
    <s v="FO-25-1906648"/>
    <d v="2025-11-29T10:37:00"/>
    <d v="2025-12-01T14:56:00"/>
    <m/>
    <s v="PUBLICIDAD"/>
    <s v="AVISO EXTERIOR"/>
    <s v="CB UNO A UNO"/>
    <s v="CB UNO A UNO"/>
    <s v="EJECUTADO"/>
    <s v="EJECUTADO EXITOSO"/>
    <s v="29/11/2025 POR FAVOR, COMUNICARSE CON USUARIO PARA CONFIRMAR UBICACION, SOLICITUD Y PROGRAMAR VISITA TECNICA | 01/12/2025 SE VISITA CORRESPONSAL Y SE INSTALA AVISO EXTERIOR"/>
    <s v="VISITA TECNICA"/>
    <m/>
    <s v="TIPO II"/>
    <s v="TERRESTRE"/>
    <s v="BOLAÑOS TABORDA JORGE ENRIQUE"/>
    <n v="1"/>
    <n v="1"/>
    <n v="232859"/>
    <n v="110808"/>
    <n v="343667"/>
  </r>
  <r>
    <s v="MEDELLIN"/>
    <x v="0"/>
    <x v="0"/>
    <s v="5001"/>
    <s v="3082477"/>
    <s v="3007078748"/>
    <s v="OC PUBLICIDAD"/>
    <s v="ANTIOQUIA"/>
    <s v="MEDELLIN"/>
    <s v="COMCARD MEDELLIN TECSIS JV"/>
    <s v="REDEBAN"/>
    <s v="FO-25-1913007"/>
    <d v="2025-12-01T10:30:00"/>
    <d v="2025-12-02T11:16:00"/>
    <m/>
    <s v="PUBLICIDAD"/>
    <s v="AVISO EXTERIOR"/>
    <s v="AGREGADOR"/>
    <s v="COMCARD - PTM"/>
    <s v="EJECUTADO"/>
    <s v="EJECUTADO EXITOSO"/>
    <s v="01/12/2025 POR FAVOR, COMUNICARSE CON USUARIO PARA CONFIRMAR UBICACION, SOLICITUD Y PROGRAMAR VISITA TECNICA | 02/12/2025 SE INSTALA AVISO EXTERIOR OK"/>
    <s v="VISITA TECNICA"/>
    <m/>
    <s v="TIPO I"/>
    <s v="TERRESTRE"/>
    <s v="QUINTERO SANCHEZ JUAN SEBASTIAN"/>
    <n v="1"/>
    <n v="1"/>
    <n v="96011"/>
    <n v="57415"/>
    <n v="153426"/>
  </r>
  <r>
    <s v="PEREIRA"/>
    <x v="4"/>
    <x v="4"/>
    <s v="66170"/>
    <s v="3087282"/>
    <s v="3007078153"/>
    <s v="OC PUBLICIDAD"/>
    <s v="RISARALDA"/>
    <s v="DOSQUEBRADAS"/>
    <s v="BARRIO LA AURORA DOSQUEBRADAS  1"/>
    <s v="REDEBAN"/>
    <s v="FO-25-1916515"/>
    <d v="2025-12-02T08:00:00"/>
    <d v="2025-12-04T15:31:00"/>
    <m/>
    <s v="PUBLICIDAD"/>
    <s v="AVISO EXTERIOR"/>
    <s v="UNO A UNO"/>
    <s v="UNO A UNO"/>
    <s v="EJECUTADO"/>
    <s v="EJECUTADO EXITOSO"/>
    <s v="02/12/2025 POR FAVOR, COMUNICARSE CON USUARIO PARA CONFIRMAR UBICACION, SOLICITUD Y PROGRAMAR VISITA TECNICA | 04/12/2025 SE INSTALA AVISO EXTERIOR"/>
    <s v="VISITA TECNICA"/>
    <m/>
    <s v="TIPO I"/>
    <s v="TERRESTRE"/>
    <s v="FRANCO CAÑAVERAL YAMID RAUL"/>
    <n v="1"/>
    <n v="1"/>
    <n v="96011"/>
    <n v="57415"/>
    <n v="153426"/>
  </r>
  <r>
    <s v="CARTAGENA"/>
    <x v="1"/>
    <x v="1"/>
    <s v="13442"/>
    <s v="3093289"/>
    <s v="3007024390"/>
    <s v="OC PUBLICIDAD"/>
    <s v="BOLIVAR"/>
    <s v="MARIA LA BAJA"/>
    <s v="EL PRADO MARIA LA BAJA BOLIVAR"/>
    <s v="REDEBAN"/>
    <s v="FO-25-1922015"/>
    <d v="2025-12-02T16:52:00"/>
    <d v="2025-12-05T12:58:00"/>
    <m/>
    <s v="PUBLICIDAD"/>
    <s v="AVISO EXTERIOR"/>
    <s v="CB UNO A UNO"/>
    <s v="CB UNO A UNO"/>
    <s v="EJECUTADO"/>
    <s v="EJECUTADO EXITOSO"/>
    <s v="02/12/2025 POR FAVOR, COMUNICARSE CON USUARIO PARA CONFIRMAR UBICACION, SOLICITUD Y PROGRAMAR VISITA TECNICA | 05/12/2025 SE REALIZA INSTALACIÓN DE AVISO EXTERIOR POR SOLICITUD YA QUE EL ANTERIOR INFORMAN QUE SE ROMPIÓ Y SE VOTO"/>
    <s v="VISITA TECNICA"/>
    <m/>
    <s v="TIPO II"/>
    <s v="TERRESTRE"/>
    <s v="MARTINEZ SALGUEDO ANDRES AUGUSTO"/>
    <n v="1"/>
    <n v="1"/>
    <n v="232859"/>
    <n v="110808"/>
    <n v="343667"/>
  </r>
  <r>
    <s v="BOGOTA"/>
    <x v="3"/>
    <x v="3"/>
    <s v="11001"/>
    <s v="3095226"/>
    <s v="3007032122"/>
    <s v="OC PUBLICIDAD"/>
    <s v="CUNDINAMARCA"/>
    <s v="BOGOTA"/>
    <s v="BARRIO 7 DE AGOSTO 10 BOGOTA"/>
    <s v="REDEBAN"/>
    <s v="FO-25-1925214"/>
    <d v="2025-12-03T09:12:00"/>
    <d v="2025-12-04T11:11:00"/>
    <m/>
    <s v="PUBLICIDAD"/>
    <s v="AVISO EXTERIOR"/>
    <s v="CB UNO A UNO"/>
    <s v="CB UNO A UNO"/>
    <s v="EJECUTADO"/>
    <s v="EJECUTADO EXITOSO"/>
    <s v="03/12/2025 POR FAVOR, COMUNICARSE CON USUARIO PARA CONFIRMAR UBICACION, SOLICITUD Y PROGRAMAR VISITA TECNICA | 04/12/2025 INSTALACIÓN DE AVISO EXTERIOR POR VANDALISMO NO SE MANIPULA TERMINAL"/>
    <s v="VISITA TECNICA"/>
    <m/>
    <s v="TIPO I"/>
    <s v="TERRESTRE"/>
    <s v="BUSTOS MORA DIEGO MANUEL"/>
    <n v="1"/>
    <n v="1"/>
    <n v="96011"/>
    <n v="57415"/>
    <n v="153426"/>
  </r>
  <r>
    <s v="MEDELLIN"/>
    <x v="0"/>
    <x v="0"/>
    <s v="5615"/>
    <s v="3097348"/>
    <s v="3007068770"/>
    <s v="OC PUBLICIDAD"/>
    <s v="ANTIOQUIA"/>
    <s v="RIONEGRO"/>
    <s v="PTM RIONEGRO BLOOMERS STORE"/>
    <s v="REDEBAN"/>
    <s v="FO-25-1926449"/>
    <d v="2025-12-03T12:38:00"/>
    <d v="2025-12-04T15:33:00"/>
    <m/>
    <s v="PUBLICIDAD"/>
    <s v="AVISO EXTERIOR"/>
    <s v="AGREGADOR"/>
    <s v="COMCARD - PTM"/>
    <s v="EJECUTADO"/>
    <s v="EJECUTADO EXITOSO"/>
    <s v="03/12/2025 POR FAVOR, COMUNICARSE CON USUARIO PARA CONFIRMAR UBICACION, SOLICITUD Y PROGRAMAR VISITA TECNICA | 04/12/2025 SE REALIZA INSTALACIÓN EXITOSA DE AVISO POR DAÑO DEL AVISO ANTERIOR TODO QUEDA OK"/>
    <s v="VISITA TECNICA"/>
    <m/>
    <s v="TIPO II"/>
    <s v="TERRESTRE"/>
    <s v="ALVAREZ ARENAS VICTOR HUGO"/>
    <n v="1"/>
    <n v="1"/>
    <n v="232859"/>
    <n v="110808"/>
    <n v="343667"/>
  </r>
  <r>
    <s v="PASTO"/>
    <x v="4"/>
    <x v="5"/>
    <s v="52411"/>
    <s v="3103156"/>
    <s v="3007024832"/>
    <s v="OC PUBLICIDAD"/>
    <s v="NARIÑO"/>
    <s v="LINARES"/>
    <s v="BARRIO GOLGOTA DE LINARES LI"/>
    <s v="REDEBAN"/>
    <s v="FO-25-1931921"/>
    <d v="2025-12-04T12:29:00"/>
    <d v="2025-12-10T11:19:00"/>
    <m/>
    <s v="PUBLICIDAD"/>
    <s v="AVISO EXTERIOR"/>
    <s v="UNO A UNO"/>
    <s v="CB UNO A UNO"/>
    <s v="EJECUTADO"/>
    <s v="EJECUTADO EXITOSO"/>
    <s v="04/12/2025 POR FAVOR, COMUNICARSE CON USUARIO PARA CONFIRMAR UBICACION, SOLICITUD Y PROGRAMAR VISITA TECNICA | 10/12/2025 SE REALIZA INSTALACIÓN DE AVISO EXTERIOR POR DAÑO SE DEJA INSTALADO Y ASEGURADO INSTALACIÓN OK"/>
    <s v="VISITA TECNICA"/>
    <m/>
    <s v="TIPO III"/>
    <s v="TERRESTRE"/>
    <s v="BRAVO MADROÑERO OSCAR ESTEBAN"/>
    <n v="1"/>
    <n v="1"/>
    <n v="344775"/>
    <n v="110808"/>
    <n v="455583"/>
  </r>
  <r>
    <s v="BOGOTA"/>
    <x v="3"/>
    <x v="3"/>
    <s v="11001"/>
    <s v="3104501"/>
    <s v="3007077644"/>
    <s v="OC PUBLICIDAD"/>
    <s v="CUNDINAMARCA"/>
    <s v="BOGOTA"/>
    <s v="BARRIO RINCON BOGOTA  9"/>
    <s v="REDEBAN"/>
    <s v="FO-25-1932281"/>
    <d v="2025-12-04T15:30:00"/>
    <d v="2025-12-12T15:55:00"/>
    <m/>
    <s v="PUBLICIDAD"/>
    <s v="AVISO EXTERIOR"/>
    <s v="UNO A UNO"/>
    <s v="UNO A UNO"/>
    <s v="EJECUTADO"/>
    <s v="EJECUTADO EXITOSO"/>
    <s v="04/12/2025 POR FAVOR, COMUNICARSE CON USUARIO PARA CONFIRMAR UBICACION, SOLICITUD Y PROGRAMAR VISITA TECNICA | 15/12/2025 SE VISITA COMERCIO CB BANCOLOMBIA, SE INSTALA AVISO EXTERIOR SOLICITADO, NO UPS, NO SE MANIPULAN EQUIPOS, CLIENTE PIDE QUE SEA INSTALADO SIN MARCO POR QUE DE LO CONTRARIO SE LO ROBAN POR EL ALUMINIO."/>
    <s v="VISITA TECNICA"/>
    <m/>
    <s v="TIPO I"/>
    <s v="TERRESTRE"/>
    <s v="VEGA MANRIQUE JONATAN MAURICIO"/>
    <n v="1"/>
    <n v="1"/>
    <n v="96011"/>
    <n v="57415"/>
    <n v="153426"/>
  </r>
  <r>
    <s v="NEIVA"/>
    <x v="2"/>
    <x v="2"/>
    <s v="41001"/>
    <s v="3106589"/>
    <s v="3007081846"/>
    <s v="OC PUBLICIDAD"/>
    <s v="HUILA"/>
    <s v="NEIVA"/>
    <s v="DISTRICOL DROGUERIA FAMIPHARMA"/>
    <s v="REDEBAN"/>
    <s v="FO-25-1936129"/>
    <d v="2025-12-05T09:57:00"/>
    <d v="2025-12-06T12:10:00"/>
    <m/>
    <s v="PUBLICIDAD"/>
    <s v="AVISO EXTERIOR"/>
    <s v="AGREGADOR"/>
    <s v="DISTRICOL"/>
    <s v="EJECUTADO"/>
    <s v="EJECUTADO EXITOSO"/>
    <s v="05/12/2025 POR FAVOR, COMUNICARSE CON USUARIO PARA CONFIRMAR UBICACION, SOLICITUD Y PROGRAMAR VISITA TECNICA | 06/12/2025 SE REALIZA VISITA AL PUNTO SE IMPLEMENTAN AVISO EXTERIOR CON ÉXITO"/>
    <s v="VISITA TECNICA"/>
    <m/>
    <s v="TIPO I"/>
    <s v="TERRESTRE"/>
    <s v="DEVIA REINOSO JUAN CARLOS"/>
    <n v="1"/>
    <n v="1"/>
    <n v="96011"/>
    <n v="57415"/>
    <n v="153426"/>
  </r>
  <r>
    <s v="CUCUTA"/>
    <x v="5"/>
    <x v="6"/>
    <s v="54001"/>
    <s v="3108327"/>
    <s v="3007056894"/>
    <s v="OC PUBLICIDAD"/>
    <s v="NORTE DE SANTANDER"/>
    <s v="CUCUTA"/>
    <s v="PTM CUCUTA FRUTAS VERDURAS Y"/>
    <s v="REDEBAN"/>
    <s v="FO-25-1936463"/>
    <d v="2025-12-05T12:14:00"/>
    <d v="2025-12-09T21:54:00"/>
    <m/>
    <s v="PUBLICIDAD"/>
    <s v="AVISO EXTERIOR"/>
    <s v="AGREGADOR"/>
    <s v="COMCARD - PTM"/>
    <s v="EJECUTADO"/>
    <s v="EJECUTADO EXITOSO"/>
    <s v="05/12/2025 POR FAVOR, COMUNICARSE CON USUARIO PARA CONFIRMAR UBICACION, SOLICITUD Y PROGRAMAR VISITA TECNICA | 09/12/2025 SE VISITA COMERCIO, SE INSTALA AVISO EXTERIOR EXITOSO"/>
    <s v="VISITA TECNICA"/>
    <m/>
    <s v="TIPO I"/>
    <s v="TERRESTRE"/>
    <s v="NARANJO AFANADOR RUBEN JESUS"/>
    <n v="1"/>
    <n v="1"/>
    <n v="96011"/>
    <n v="57415"/>
    <n v="153426"/>
  </r>
  <r>
    <s v="MEDELLIN"/>
    <x v="0"/>
    <x v="0"/>
    <s v="5858"/>
    <s v="3109026"/>
    <s v="3007029784"/>
    <s v="OC PUBLICIDAD"/>
    <s v="ANTIOQUIA"/>
    <s v="VEGACHI"/>
    <s v="BARRIO CALLE PRINCIPAL 2 VEGAC"/>
    <s v="REDEBAN"/>
    <s v="FO-25-1937463"/>
    <d v="2025-12-05T14:28:00"/>
    <d v="2025-12-12T10:59:00"/>
    <m/>
    <s v="PUBLICIDAD"/>
    <s v="AVISO EXTERIOR"/>
    <s v="CB UNO A UNO"/>
    <s v="CB UNO A UNO"/>
    <s v="EJECUTADO"/>
    <s v="EJECUTADO EXITOSO"/>
    <s v="05/12/2025 POR FAVOR, COMUNICARSE CON USUARIO PARA CONFIRMAR UBICACION, SOLICITUD Y PROGRAMAR VISITA TECNICA | 12/12/2025 SE REALIZA LA INSTALACION DEL AVISO EXTERIOR OK A PETICIÓN DEL USUARIO"/>
    <s v="VISITA TECNICA"/>
    <m/>
    <s v="TIPO III"/>
    <s v="TERRESTRE"/>
    <s v="MONTOYA VELEZ ANDRES FELIPE"/>
    <n v="1"/>
    <n v="1"/>
    <n v="344775"/>
    <n v="110808"/>
    <n v="455583"/>
  </r>
  <r>
    <s v="NEIVA"/>
    <x v="2"/>
    <x v="2"/>
    <s v="41001"/>
    <s v="3110284"/>
    <s v="3007044618"/>
    <s v="OC PUBLICIDAD"/>
    <s v="HUILA"/>
    <s v="NEIVA"/>
    <s v="PTM NEIVA MINI SERVICIO ARLEN"/>
    <s v="REDEBAN"/>
    <s v="FO-25-1939514"/>
    <d v="2025-12-06T09:00:00"/>
    <d v="2025-12-06T13:00:00"/>
    <m/>
    <s v="PUBLICIDAD"/>
    <s v="AVISO EXTERIOR"/>
    <s v="AGREGADOR"/>
    <s v="COMCARD - PTM"/>
    <s v="EJECUTADO"/>
    <s v="EJECUTADO EXITOSO"/>
    <s v="06/12/2025 POR FAVOR, COMUNICARSE CON USUARIO PARA CONFIRMAR UBICACION, SOLICITUD Y PROGRAMAR VISITA TECNICA | 06/12/2025 SE REALIZA VISITA AL PUNTO IMPLEMENTA AVISO EXTERIOR CON ÉXITO"/>
    <s v="VISITA TECNICA"/>
    <m/>
    <s v="TIPO I"/>
    <s v="TERRESTRE"/>
    <s v="DEVIA REINOSO JUAN CARLOS"/>
    <n v="1"/>
    <n v="1"/>
    <n v="96011"/>
    <n v="57415"/>
    <n v="153426"/>
  </r>
  <r>
    <s v="MEDELLIN"/>
    <x v="0"/>
    <x v="0"/>
    <s v="5001"/>
    <s v="3111144"/>
    <s v="3007060042"/>
    <s v="OC PUBLICIDAD"/>
    <s v="ANTIOQUIA"/>
    <s v="MEDELLIN"/>
    <s v="BARRIO ROBLEDO MEDELLIN 20"/>
    <s v="REDEBAN"/>
    <s v="FO-25-1941493"/>
    <d v="2025-12-09T08:00:00"/>
    <d v="2025-12-15T07:50:00"/>
    <m/>
    <s v="PUBLICIDAD"/>
    <s v="AVISO EXTERIOR"/>
    <s v="CB UNO A UNO"/>
    <s v="CB UNO A UNO"/>
    <s v="EJECUTADO"/>
    <s v="EJECUTADO EXITOSO"/>
    <s v="06/12/2025 POR FAVOR, COMUNICARSE CON USUARIO PARA CONFIRMAR UBICACION, SOLICITUD Y PROGRAMAR VISITA TECNICA | 15/12/2025 SE REALIZA INSTALACIÓN DE NUEVO AVISO EXTERIOR YA QUE EL QUE TENÍAN LO TUMBÓ EL VIENTO Y SE PARTIÓ."/>
    <s v="VISITA TECNICA"/>
    <m/>
    <s v="TIPO I"/>
    <s v="TERRESTRE"/>
    <s v="MARIN PIEDRAHITA JIMMY ALEXIS"/>
    <n v="1"/>
    <n v="1"/>
    <n v="96011"/>
    <n v="57415"/>
    <n v="153426"/>
  </r>
  <r>
    <s v="VILLAVICENCIO"/>
    <x v="2"/>
    <x v="2"/>
    <s v="50573"/>
    <s v="3111160"/>
    <s v="3007030107"/>
    <s v="OC PUBLICIDAD"/>
    <s v="META"/>
    <s v="PUERTO LOPEZ"/>
    <s v="BARRIO ALTO POMPEYA PUERTO LOP"/>
    <s v="REDEBAN"/>
    <s v="FO-25-1943127"/>
    <d v="2025-12-09T08:00:00"/>
    <d v="2025-12-09T12:34:00"/>
    <m/>
    <s v="PUBLICIDAD"/>
    <s v="AVISO EXTERIOR"/>
    <s v="CB UNO A UNO"/>
    <s v="CB UNO A UNO"/>
    <s v="EJECUTADO"/>
    <s v="EJECUTADO EXITOSO"/>
    <s v="08/12/2025 SE REALIZA GESTION AL 3176984531 PARA VALIDAR SOLICITUD PERO MOVIL SE ENCUENTRA APAGADO SE ESCALA PARA VISITA FAVOR LLAMAR ANTES DE INICIAR DESPLAZAMIENTO PARA VALIDAR SOLICITUD Y DATOS | 09/12/2025 SE REALIZA VISITA AL CB POR SOLICITUD AVISO EXTERIOR, SE LLEGA AL LUGAR DONDE SE EVIDENCIA QUE NO TIENE AVISO EXTERIOR SE PROCEDE ALA INSTALACIÓN DONDE SE CONCUERDA EL LUGAR CON LA ADMINISTRADORA Y SE REALIZA LA INSTALACIÓN"/>
    <s v="VISITA TECNICA"/>
    <m/>
    <s v="TIPO II"/>
    <s v="TERRESTRE"/>
    <s v="MOLINA CASTRO JAVIER ALBERTO"/>
    <n v="1"/>
    <n v="1"/>
    <n v="232859"/>
    <n v="110808"/>
    <n v="343667"/>
  </r>
  <r>
    <s v="CALI"/>
    <x v="4"/>
    <x v="5"/>
    <s v="76001"/>
    <s v="3113707"/>
    <s v="3007054643"/>
    <s v="OC PUBLICIDAD"/>
    <s v="VALLE DEL CAUCA"/>
    <s v="CALI"/>
    <s v="PTM CALI MANI YOLI Y PRODUCTO"/>
    <s v="REDEBAN"/>
    <s v="FO-25-1950912"/>
    <d v="2025-12-09T09:06:00"/>
    <d v="2025-12-17T12:12:00"/>
    <m/>
    <s v="PUBLICIDAD"/>
    <s v="AVISO EXTERIOR"/>
    <s v="AGREGADOR"/>
    <s v="COMCARD - PTM"/>
    <s v="EJECUTADO"/>
    <s v="EJECUTADO EXITOSO"/>
    <s v="09/12/2005 POR FAVOR, COMUNICARSE CON USUARIO PARA CONFIRMAR UBICACION, SOLICITUD Y PROGRAMAR VISITA TECNICA | 11/12/2025 SE ESTÁ A LA ESPERA DE SUMINISTRO EN BODEGA YA QUE NO SE CUENTA CON AVISOS EXTERIORES | 17/12/2025 SE REALIZA LA INSTALACIÓN DE NUEVO AVISO EXTERIOR DEBIDO A QUE EL ANTERIOR SE DAÑÓ"/>
    <s v="VISITA TECNICA"/>
    <m/>
    <s v="TIPO I"/>
    <s v="TERRESTRE"/>
    <s v="MONTERO MUESES GIAN CARLO"/>
    <n v="1"/>
    <n v="1"/>
    <n v="96011"/>
    <n v="57415"/>
    <n v="153426"/>
  </r>
  <r>
    <s v="IBAGUE"/>
    <x v="2"/>
    <x v="2"/>
    <s v="73671"/>
    <s v="3115591"/>
    <s v="3007066591"/>
    <s v="OC PUBLICIDAD"/>
    <s v="TOLIMA"/>
    <s v="SALDAÑA"/>
    <s v="BARRIO EL PALMAR SALDANA"/>
    <s v="REDEBAN"/>
    <s v="FO-25-1950909"/>
    <d v="2025-12-09T11:32:00"/>
    <d v="2025-12-16T14:13:00"/>
    <m/>
    <s v="PUBLICIDAD"/>
    <s v="AVISO EXTERIOR"/>
    <s v="CB UNO A UNO"/>
    <s v="CB UNO A UNO"/>
    <s v="EJECUTADO"/>
    <s v="EJECUTADO EXITOSO"/>
    <s v="09/12/2005 POR FAVOR, COMUNICARSE CON USUARIO PARA CONFIRMAR UBICACION, SOLICITUD Y PROGRAMAR VISITA TECNICA | 16/12/2025 CIERRE INTERMITENTE EN LA VÍA NEIVA - PURIFICACIÓN . POR PARE Y SIGA . | 16/12/2025 SE REALIZA VISITA AL PUNTO SE IMPLEMENTA CON ÉXITO AVISO EXTERIOR"/>
    <s v="VISITA TECNICA"/>
    <m/>
    <s v="TIPO II"/>
    <s v="TERRESTRE"/>
    <s v="DEVIA REINOSO JUAN CARLOS"/>
    <n v="1"/>
    <n v="1"/>
    <n v="232859"/>
    <n v="110808"/>
    <n v="343667"/>
  </r>
  <r>
    <s v="MEDELLIN"/>
    <x v="0"/>
    <x v="0"/>
    <s v="5001"/>
    <s v="3115982"/>
    <s v="3007073143"/>
    <s v="OC PUBLICIDAD"/>
    <s v="ANTIOQUIA"/>
    <s v="MEDELLIN"/>
    <s v="DISTRICOL CELESTE"/>
    <s v="REDEBAN"/>
    <s v="FO-25-1950908"/>
    <d v="2025-12-09T12:45:00"/>
    <d v="2025-12-13T12:44:00"/>
    <m/>
    <s v="PUBLICIDAD"/>
    <s v="AVISO EXTERIOR"/>
    <s v="AGREGADOR"/>
    <s v="DISTRICOL"/>
    <s v="EJECUTADO"/>
    <s v="EJECUTADO EXITOSO"/>
    <s v="09/12/2005 POR FAVOR, COMUNICARSE CON USUARIO PARA CONFIRMAR UBICACION, SOLICITUD Y PROGRAMAR VISITA TECNICA | 13/12/2025 INSTALACIÓN DE AVISO EXTERIOR OK"/>
    <s v="VISITA TECNICA"/>
    <m/>
    <s v="TIPO I"/>
    <s v="TERRESTRE"/>
    <s v="PAREJA ECHAVARRIA JHON DAVID"/>
    <n v="1"/>
    <n v="1"/>
    <n v="96011"/>
    <n v="57415"/>
    <n v="153426"/>
  </r>
  <r>
    <s v="BOGOTA"/>
    <x v="3"/>
    <x v="3"/>
    <s v="11001"/>
    <s v="3117843"/>
    <s v="3007079689"/>
    <s v="OC PUBLICIDAD"/>
    <s v="CUNDINAMARCA"/>
    <s v="BOGOTA"/>
    <s v="PTM BOGOTA LENCERIA PEREZ FRIA"/>
    <s v="REDEBAN"/>
    <s v="FO-25-1950903"/>
    <d v="2025-12-09T15:41:00"/>
    <d v="2025-12-13T12:52:00"/>
    <m/>
    <s v="PUBLICIDAD"/>
    <s v="AVISO EXTERIOR"/>
    <s v="AGREGADOR"/>
    <s v="COMCARD - PTM"/>
    <s v="EJECUTADO"/>
    <s v="EJECUTADO EXITOSO"/>
    <s v="09/12/2005 POR FAVOR, COMUNICARSE CON USUARIO PARA CONFIRMAR UBICACION, SOLICITUD Y PROGRAMAR VISITA TECNICA | 13/12/2025 SE REALIZA INSTALACIÓN DE PUBLICIDAD BANCOLOMBIA"/>
    <s v="VISITA TECNICA"/>
    <m/>
    <s v="TIPO I"/>
    <s v="TERRESTRE"/>
    <s v="GONZALEZ FANDIÑO SANTIAGO ERNESTO"/>
    <n v="1"/>
    <n v="1"/>
    <n v="96011"/>
    <n v="57415"/>
    <n v="153426"/>
  </r>
  <r>
    <s v="MEDELLIN"/>
    <x v="0"/>
    <x v="0"/>
    <s v="5380"/>
    <s v="3121497"/>
    <s v="3007055109"/>
    <s v="OC PUBLICIDAD"/>
    <s v="ANTIOQUIA"/>
    <s v="LA ESTRELLA"/>
    <s v="PTM LA ESTRELLA MAX PHONE A O"/>
    <s v="REDEBAN"/>
    <s v="FO-25-1954066"/>
    <d v="2025-12-10T11:50:00"/>
    <d v="2025-12-17T10:03:00"/>
    <m/>
    <s v="PUBLICIDAD"/>
    <s v="AVISO EXTERIOR"/>
    <s v="AGREGADOR"/>
    <s v="COMCARD - PTM"/>
    <s v="EJECUTADO / CANCELADO"/>
    <s v="PETICIÓN BANCOLOMBIA"/>
    <s v="10/12/2025 SE ESCALA PARA VISITA. LLAMAR ANTES DE VISITAR, CONFIRMAR FALLA Y DATOS | 17/12/2025 SE EVIDENCIA QUE CORRESPONSAL TIENE AVISO INSTALADO POR LO TANTO YA NO NECESITA ESTE OTRO, YA HABÍA ANTERIORMENTE HABÍA REPORTADO Y SE CERRÓ POR LO MISMO"/>
    <s v="SOPORTE TELEFONICO"/>
    <m/>
    <s v="TIPO I"/>
    <s v="TERRESTRE"/>
    <s v="CASTAÑEDA PALACIO CARLOS FELIPE"/>
    <n v="0"/>
    <n v="0"/>
    <n v="37905"/>
    <n v="0"/>
    <n v="37905"/>
  </r>
  <r>
    <s v="BOGOTA"/>
    <x v="3"/>
    <x v="3"/>
    <s v="11001"/>
    <s v="3127606"/>
    <s v="3007080206"/>
    <s v="OC PUBLICIDAD"/>
    <s v="CUNDINAMARCA"/>
    <s v="BOGOTA"/>
    <s v="PTM BOGOTA REGALARTE MAS"/>
    <s v="REDEBAN"/>
    <s v="FO-25-1959824"/>
    <d v="2025-12-11T12:14:00"/>
    <d v="2025-12-16T14:18:00"/>
    <m/>
    <s v="PUBLICIDAD"/>
    <s v="AVISO EXTERIOR"/>
    <s v="AGREGADOR"/>
    <s v="COMCARD - PTM"/>
    <s v="EJECUTADO"/>
    <s v="EJECUTADO EXITOSO"/>
    <s v="11/12/2025 SE ESCALA PARA VISITA. LLAMAR ANTES DE VISITAR, CONFIRMAR FALLA Y DATOS | 16/12/2025 SE REALIZA INSTALACIÓN DE AVISO EXTERIOR BANCOLOMBIA"/>
    <s v="VISITA TECNICA"/>
    <m/>
    <s v="TIPO I"/>
    <s v="TERRESTRE"/>
    <s v="GONZALEZ FANDIÑO SANTIAGO ERNESTO"/>
    <n v="1"/>
    <n v="1"/>
    <n v="96011"/>
    <n v="57415"/>
    <n v="153426"/>
  </r>
  <r>
    <s v="BUCARAMANGA"/>
    <x v="5"/>
    <x v="6"/>
    <s v="68406"/>
    <s v="3129932"/>
    <s v="3007081527"/>
    <s v="OC PUBLICIDAD"/>
    <s v="SANTANDER"/>
    <s v="LEBRIJA"/>
    <s v="PTM LEBRIJA TIENDA J.V"/>
    <s v="REDEBAN"/>
    <s v="FO-25-1963045"/>
    <d v="2025-12-12T08:00:00"/>
    <d v="2025-12-12T15:35:00"/>
    <m/>
    <s v="PUBLICIDAD"/>
    <s v="AVISO EXTERIOR"/>
    <s v="AGREGADOR"/>
    <s v="COMCARD - PTM"/>
    <s v="EJECUTADO"/>
    <s v="EJECUTADO EXITOSO"/>
    <s v="12/12/2025 SE ESCALA PARA VISITA. LLAMAR ANTES DE VISITAR, CONFIRMAR FALLA Y DATOS | 12/12/2025 INSTALACIÓN DE AVISO EXTERIOR, NO SE MANIPULA EQUIPOS"/>
    <s v="VISITA TECNICA"/>
    <m/>
    <s v="TIPO II"/>
    <s v="TERRESTRE"/>
    <s v="SANTOS GONZALEZ JOHAN FABIAN"/>
    <n v="1"/>
    <n v="1"/>
    <n v="232859"/>
    <n v="110808"/>
    <n v="343667"/>
  </r>
  <r>
    <s v="PEREIRA"/>
    <x v="4"/>
    <x v="4"/>
    <s v="76147"/>
    <s v="3132849"/>
    <s v="3007081644"/>
    <s v="OC PUBLICIDAD"/>
    <s v="VALLE DEL CAUCA"/>
    <s v="CARTAGO"/>
    <s v="DISTRICOL DROG MEDICAR CARTAGO"/>
    <s v="REDEBAN"/>
    <s v="FO-25-1967801"/>
    <d v="2025-12-12T14:30:00"/>
    <d v="2025-12-13T13:16:00"/>
    <m/>
    <s v="PUBLICIDAD"/>
    <s v="AVISO EXTERIOR"/>
    <s v="AGREGADOR"/>
    <s v="DISTRICOL"/>
    <s v="EJECUTADO"/>
    <s v="EJECUTADO EXITOSO"/>
    <s v="13/12/2025 SE INSTALA NUEVAMENTE EL AVISO"/>
    <s v="VISITA TECNICA"/>
    <m/>
    <s v="TIPO I"/>
    <s v="TERRESTRE"/>
    <s v="FRANCO CAÑAVERAL YAMID RAUL"/>
    <n v="1"/>
    <n v="1"/>
    <n v="96011"/>
    <n v="57415"/>
    <n v="153426"/>
  </r>
  <r>
    <s v="BUCARAMANGA"/>
    <x v="5"/>
    <x v="6"/>
    <s v="68001"/>
    <s v="3135316"/>
    <s v="3007075584"/>
    <s v="OC PUBLICIDAD"/>
    <s v="SANTANDER"/>
    <s v="BUCARAMANGA"/>
    <s v="PTM BUCARAMANGA PAPELERIA TITI"/>
    <s v="REDEBAN"/>
    <s v="FO-25-1972844"/>
    <d v="2025-12-15T08:00:00"/>
    <d v="2025-12-16T10:04:00"/>
    <m/>
    <s v="PUBLICIDAD"/>
    <s v="AVISO EXTERIOR"/>
    <s v="AGREGADOR"/>
    <s v="COMCARD - PTM"/>
    <s v="EJECUTADO"/>
    <s v="EJECUTADO EXITOSO"/>
    <s v="15/12/2025 SE ESCALA PARA VISITA. LLAMAR ANTES DE VISITAR, CONFIRMAR FALLA Y DATOS | 15/12/2025 EN COMUNICACIÓN CON LA SEÑORA ANDREA KATHERINE PORRAS ORTEGA AL NÚMERO 3176770297 NOS INDICA REALIZAR LA VISITA EL DÍA DE MAÑANA A PARTIR DE LAS 8AM DEBIDO A QUE EL DÍA DE HOY TIENE CITA MÉDICA EN HORAS DE LA TARDE | 16/12/2025 SE REALIZA VISITA AL COMERCIO SE INSTALA AVISÓ EXTERIOR DEBIDO A QUE SE PARTIÓ"/>
    <s v="VISITA TECNICA"/>
    <m/>
    <s v="TIPO I"/>
    <s v="TERRESTRE"/>
    <s v="MARIÑO PABON JORGE ENRIQUE"/>
    <n v="1"/>
    <n v="1"/>
    <n v="96011"/>
    <n v="57415"/>
    <n v="153426"/>
  </r>
  <r>
    <s v="BOGOTA"/>
    <x v="3"/>
    <x v="3"/>
    <s v="11001"/>
    <s v="3138597"/>
    <s v="3007049595"/>
    <s v="OC PUBLICIDAD"/>
    <s v="CUNDINAMARCA"/>
    <s v="BOGOTA"/>
    <s v="PTM  BOGOTA PAPELERIA J Y L"/>
    <s v="REDEBAN"/>
    <s v="FO-25-1976223"/>
    <d v="2025-12-15T13:30:00"/>
    <d v="2025-12-16T14:46:00"/>
    <m/>
    <s v="PUBLICIDAD"/>
    <s v="AVISO EXTERIOR"/>
    <s v="AGREGADOR"/>
    <s v="COMCARD - PTM"/>
    <s v="EJECUTADO"/>
    <s v="EJECUTADO EXITOSO"/>
    <s v="15/12/2025 SE ESCALA PARA VISITA. LLAMAR ANTES DE VISITAR, CONFIRMAR FALLA Y DATOS | 16/12/2025 SE REALIZA INSTALACIÓN DE AVISO EXTERIOR DE BANCOLOMBIA"/>
    <s v="VISITA TECNICA"/>
    <m/>
    <s v="TIPO I"/>
    <s v="TERRESTRE"/>
    <s v="GONZALEZ FANDIÑO SANTIAGO ERNESTO"/>
    <n v="1"/>
    <n v="1"/>
    <n v="96011"/>
    <n v="57415"/>
    <n v="153426"/>
  </r>
  <r>
    <s v="SINCELEJO"/>
    <x v="1"/>
    <x v="1"/>
    <s v="70001"/>
    <s v="3138941"/>
    <s v="3007019213"/>
    <s v="OC PUBLICIDAD"/>
    <s v="SUCRE"/>
    <s v="SINCELEJO"/>
    <s v="BARRIO MOCHILA SINCELEJO"/>
    <s v="REDEBAN"/>
    <s v="FO-25-1976221"/>
    <d v="2025-12-15T14:02:00"/>
    <d v="2025-12-20T08:34:00"/>
    <m/>
    <s v="PUBLICIDAD"/>
    <s v="AVISO EXTERIOR"/>
    <s v="CB UNO A UNO"/>
    <s v="CB UNO A UNO"/>
    <s v="EJECUTADO"/>
    <s v="EJECUTADO EXITOSO"/>
    <s v="15/12/2025 SE ESCALA PARA VISITA. LLAMAR ANTES DE VISITAR, CONFIRMAR FALLA Y DATOS | 20/12/2025 SE VISITA COMERCIO Y SE HACE INSTALACIÓN DE AVISÓ EXTERIOR YA QUE SE LO ROBARON."/>
    <s v="VISITA TECNICA"/>
    <m/>
    <s v="TIPO I"/>
    <s v="TERRESTRE"/>
    <s v="CACERES HERNANDEZ ANDRES"/>
    <n v="1"/>
    <n v="1"/>
    <n v="96011"/>
    <n v="57415"/>
    <n v="153426"/>
  </r>
  <r>
    <s v="IBAGUE"/>
    <x v="2"/>
    <x v="2"/>
    <s v="73001"/>
    <s v="3139208"/>
    <s v="3007038914"/>
    <s v="OC PUBLICIDAD"/>
    <s v="TOLIMA"/>
    <s v="IBAGUE"/>
    <s v="DISTRICOL MINIMARKET BOQUERON"/>
    <s v="REDEBAN"/>
    <s v="FO-25-1976343"/>
    <d v="2025-12-15T14:10:00"/>
    <d v="2025-12-22T12:15:00"/>
    <m/>
    <s v="PUBLICIDAD"/>
    <s v="AVISO EXTERIOR"/>
    <s v="AGREGADOR"/>
    <s v="DISTRICOL"/>
    <s v="EJECUTADO"/>
    <s v="EJECUTADO EXITOSO"/>
    <s v="15/12/2025 SE ESCALA PARA VISITA. LLAMAR ANTES DE VISITAR, CONFIRMAR FALLA Y DATOS | 22/12/2025 SE REALIZA INSTALACIÓN DE AVISÓ EXTERIOR POR SOLICITUD DEL CLIENTE CON MARCO."/>
    <s v="VISITA TECNICA"/>
    <m/>
    <s v="TIPO I"/>
    <s v="TERRESTRE"/>
    <s v="BARRAGAN TAFUR EDWIN ESTEBAN"/>
    <n v="1"/>
    <n v="1"/>
    <n v="96011"/>
    <n v="57415"/>
    <n v="153426"/>
  </r>
  <r>
    <s v="VILLAVICENCIO"/>
    <x v="2"/>
    <x v="2"/>
    <s v="50001"/>
    <s v="3140797"/>
    <s v="3007013774"/>
    <s v="OC PUBLICIDAD"/>
    <s v="META"/>
    <s v="VILLAVICENCIO"/>
    <s v="BARRIO URB LA SABANA VILLAV"/>
    <s v="REDEBAN"/>
    <s v="FO-25-1979382"/>
    <d v="2025-12-16T08:00:00"/>
    <d v="2025-12-16T12:12:00"/>
    <m/>
    <s v="PUBLICIDAD"/>
    <s v="AVISO EXTERIOR"/>
    <s v="CB UNO A UNO"/>
    <s v="CB UNO A UNO"/>
    <s v="EJECUTADO"/>
    <s v="EJECUTADO EXITOSO"/>
    <s v="16/12/2025 SE ESCALA PARA VISITA. LLAMAR ANTES DE VISITAR, CONFIRMAR FALLA Y DATOS | 16/12/2025 SE REALIZA VISTA AL CB POR SOLICITUD DE AVISO EXTERIOR, NOS RECIBE LA VISTA EL SEÑOR ALBERTO PARRA   3504005511 SE INSTALA EL AVISO SIN NOVEDAD TODO QUEDA OK"/>
    <s v="VISITA TECNICA"/>
    <m/>
    <s v="TIPO I"/>
    <s v="TERRESTRE"/>
    <s v="MOLINA CASTRO JAVIER ALBERTO"/>
    <n v="1"/>
    <n v="1"/>
    <n v="96011"/>
    <n v="57415"/>
    <n v="153426"/>
  </r>
  <r>
    <s v="CALI"/>
    <x v="4"/>
    <x v="5"/>
    <s v="76520"/>
    <s v="3142501"/>
    <s v="3007044648"/>
    <s v="OC PUBLICIDAD"/>
    <s v="VALLE DEL CAUCA"/>
    <s v="PALMIRA"/>
    <s v="DISTRICOL OZURE NET"/>
    <s v="REDEBAN"/>
    <s v="FO-25-1980885"/>
    <d v="2025-12-16T09:27:00"/>
    <d v="2025-12-17T12:21:00"/>
    <m/>
    <s v="PUBLICIDAD"/>
    <s v="AVISO EXTERIOR"/>
    <s v="AGREGADOR"/>
    <s v="DISTRICOL"/>
    <s v="EJECUTADO"/>
    <s v="EJECUTADO EXITOSO"/>
    <s v="16/12/2025 SE ESCALA PARA VISITA. LLAMAR ANTES DE VISITAR, CONFIRMAR FALLA Y DATOS | 17/12/2025 EN LA VISITA TÉCNICA SE REALIZÓ LA INSTALACIÓN DE LA PUBLICIDAD,YA QUE SE HABÍA CAÍDO Y SE HABÍA PARTIDO."/>
    <s v="VISITA TECNICA"/>
    <m/>
    <s v="TIPO I"/>
    <s v="TERRESTRE"/>
    <s v="SANCHEZ URREGO ROBINSON DAVID"/>
    <n v="1"/>
    <n v="1"/>
    <n v="96011"/>
    <n v="57415"/>
    <n v="153426"/>
  </r>
  <r>
    <s v="BOGOTA"/>
    <x v="3"/>
    <x v="3"/>
    <s v="11001"/>
    <s v="3143268"/>
    <s v="3007055429"/>
    <s v="OC PUBLICIDAD"/>
    <s v="CUNDINAMARCA"/>
    <s v="BOGOTA"/>
    <s v="DISTRICOL BEAUTI PARIS"/>
    <s v="REDEBAN"/>
    <s v="FO-25-1981846"/>
    <d v="2025-12-16T10:52:00"/>
    <d v="2025-12-18T10:08:00"/>
    <m/>
    <s v="PUBLICIDAD"/>
    <s v="AVISO EXTERIOR"/>
    <s v="AGREGADOR"/>
    <s v="DISTRICOL"/>
    <s v="EJECUTADO"/>
    <s v="EJECUTADO EXITOSO"/>
    <s v="16/12/2025 SE ESCALA PARA VISITA. LLAMAR ANTES DE VISITAR, CONFIRMAR FALLA Y DATOS | 17/12/2025 SE INSTALA AVISO EXTERIOR DE BANCOLOMBIA PORNQUE EL QUE TENÍA SE LO ROBARON"/>
    <s v="VISITA TECNICA"/>
    <m/>
    <s v="TIPO I"/>
    <s v="TERRESTRE"/>
    <s v="LEAL POVEDA YOHAN SEBASTIAN"/>
    <n v="1"/>
    <n v="1"/>
    <n v="96011"/>
    <n v="57415"/>
    <n v="153426"/>
  </r>
  <r>
    <s v="MEDELLIN"/>
    <x v="0"/>
    <x v="0"/>
    <s v="5360"/>
    <s v="3149071"/>
    <s v="3007032339"/>
    <s v="OC PUBLICIDAD"/>
    <s v="ANTIOQUIA"/>
    <s v="ITAGUI"/>
    <s v="COMCARD ITAGUI BADAJOMAR"/>
    <s v="REDEBAN"/>
    <s v="FO-25-1988412"/>
    <d v="2025-12-17T11:52:00"/>
    <d v="2025-12-18T16:08:00"/>
    <m/>
    <s v="PUBLICIDAD"/>
    <s v="AVISO EXTERIOR"/>
    <s v="AGREGADOR"/>
    <s v="COMCARD - PTM"/>
    <s v="EJECUTADO"/>
    <s v="EJECUTADO EXITOSO"/>
    <s v="17/12/2025 SE ESCALA PARA VISITA. LLAMAR ANTES DE VISITAR, CONFIRMAR FALLA Y DATOS | 19/12/2025 SE REALIZA INSTALACIÓN DE AVISO EXTERIOR"/>
    <s v="VISITA TECNICA"/>
    <m/>
    <s v="TIPO I"/>
    <s v="TERRESTRE"/>
    <s v="HERNANDEZ CHAVARRIA JUAN CAMILO"/>
    <n v="1"/>
    <n v="1"/>
    <n v="96011"/>
    <n v="57415"/>
    <n v="153426"/>
  </r>
  <r>
    <s v="BARRANQUILLA"/>
    <x v="1"/>
    <x v="1"/>
    <s v="8001"/>
    <s v="3149261"/>
    <s v="3007040480"/>
    <s v="OC PUBLICIDAD"/>
    <s v="ATLANTICO"/>
    <s v="BARRANQUILLA"/>
    <s v="DISTRICOL FERREALMACEN LA ESTR"/>
    <s v="REDEBAN"/>
    <s v="FO-25-1991210"/>
    <d v="2025-12-17T12:11:00"/>
    <d v="2025-12-22T15:01:00"/>
    <m/>
    <s v="PUBLICIDAD"/>
    <s v="AVISO EXTERIOR"/>
    <s v="AGREGADOR"/>
    <s v="DISTRICOL"/>
    <s v="EJECUTADO"/>
    <s v="EJECUTADO EXITOSO"/>
    <s v="17/12/2025 SE ESCALA PARA VISITA. LLAMAR ANTES DE VISITAR, CONFIRMAR FALLA Y DATOS | 22/12/2025 SE INSTALA AVISO EXTERIOR, EL QUE ESTABA SE LO ROBARON"/>
    <s v="VISITA TECNICA"/>
    <m/>
    <s v="TIPO I"/>
    <s v="TERRESTRE"/>
    <s v="DE AVILA SIADES ALBERTO ENRIQUE"/>
    <n v="1"/>
    <n v="1"/>
    <n v="96011"/>
    <n v="57415"/>
    <n v="153426"/>
  </r>
  <r>
    <s v="MEDELLIN"/>
    <x v="0"/>
    <x v="0"/>
    <s v="5604"/>
    <s v="3153079"/>
    <s v="3007042855"/>
    <s v="OC PUBLICIDAD"/>
    <s v="ANTIOQUIA"/>
    <s v="REMEDIOS"/>
    <s v="DISTRICOL FERROELECTRICOS LA A"/>
    <s v="REDEBAN"/>
    <s v="FO-25-1995852"/>
    <d v="2025-12-18T09:41:00"/>
    <d v="2025-12-30T15:54:00"/>
    <m/>
    <s v="PUBLICIDAD"/>
    <s v="AVISO EXTERIOR"/>
    <s v="AGREGADOR"/>
    <s v="DISTRICOL"/>
    <s v="EJECUTADO"/>
    <s v="EJECUTADO EXITOSO"/>
    <s v="18/12/2025 SE ESCALA PARA VISITA. LLAMAR ANTES DE VISITAR, CONFIRMAR FALLA Y DATOS | 23/12/2025 SE ENVÍA PUBLICIDAD POR FLOTA DESDE MEDELLÍN EL DÍA LUNES Y HOY MARTES SE ESTUVO PREGUNTADO EN OFC DE SEGOVIA Y NOS DICES QUE AUN NO HA LLEGADO, LAS ENCOMIENDA ESTÁN RETRASADAS POR LA ALTA DEMANDA | 26/12/2025 SE VALIDA EN TÉRMINAL Y NO SE ENCUENTRA TIQUETE POR ALTO FLUJO DE PASAJERO. | 30/12/2025 SE INSTALA UN AVISO EXTERIOR OK"/>
    <s v="VISITA TECNICA"/>
    <m/>
    <s v="TIPO IV"/>
    <s v="TERRESTRE"/>
    <s v="DIAZ ZABALA FRANCIS DUBAN"/>
    <n v="1"/>
    <n v="1"/>
    <n v="548634"/>
    <n v="110808"/>
    <n v="659442"/>
  </r>
  <r>
    <s v="MONTERIA"/>
    <x v="1"/>
    <x v="1"/>
    <s v="23001"/>
    <s v="3159374"/>
    <s v="3007069037"/>
    <s v="OC PUBLICIDAD"/>
    <s v="CORDOBA"/>
    <s v="MONTERIA"/>
    <s v="6 DE MARZO, MONTERIA"/>
    <s v="REDEBAN"/>
    <s v="FO-25-2008687"/>
    <d v="2025-12-19T11:58:00"/>
    <d v="2025-12-20T14:36:00"/>
    <m/>
    <s v="PUBLICIDAD"/>
    <s v="AVISO EXTERIOR"/>
    <s v="CB UNO A UNO"/>
    <s v="CB UNO A UNO"/>
    <s v="EJECUTADO"/>
    <s v="EJECUTADO EXITOSO"/>
    <s v="20/12/2025 SE REALIZA VISITA TÉCNICA PARA INSTALACIÓN DE AVISO EXTERIOR, YA QUE EL ANTIGUO AVISO SE PARTIÓ Y CLIENTE HIZO DISPOSICIÓN FINAL, SE INSTALA NUEVO AVISO SIN NOVEDAD"/>
    <s v="VISITA TECNICA"/>
    <m/>
    <s v="TIPO I"/>
    <s v="TERRESTRE"/>
    <s v="CASSIANI PEREZ RAUL RAMIRO"/>
    <n v="1"/>
    <n v="1"/>
    <n v="96011"/>
    <n v="57415"/>
    <n v="153426"/>
  </r>
  <r>
    <s v="CALI"/>
    <x v="4"/>
    <x v="5"/>
    <s v="76001"/>
    <s v="3160011"/>
    <s v="3007079882"/>
    <s v="OC PUBLICIDAD"/>
    <s v="VALLE DEL CAUCA"/>
    <s v="CALI"/>
    <s v="DISTRICOL AURORA COMERCIAL"/>
    <s v="REDEBAN"/>
    <s v="FO-25-2007557"/>
    <d v="2025-12-19T14:05:00"/>
    <d v="2025-12-21T15:00:00"/>
    <m/>
    <s v="PUBLICIDAD"/>
    <s v="AVISO EXTERIOR"/>
    <s v="AGREGADOR"/>
    <s v="DISTRICOL"/>
    <s v="EJECUTADO"/>
    <s v="EJECUTADO EXITOSO"/>
    <s v="19/12/2025 SE ESCALA PARA VISITA. LLAMAR ANTES DE VISITAR, CONFIRMAR FALLA Y DATOS | 21/12/2025 SE REALIZA VISITA AL COMERCIO PARA REALIZAR CAMBIO DE AVISO EXTERIOR, YA QUE EL COMERCIO NO LO TENÍA"/>
    <s v="VISITA TECNICA"/>
    <m/>
    <s v="TIPO I"/>
    <s v="TERRESTRE"/>
    <s v="ESCOBAR LENIS JUAN SEBASTIAN"/>
    <n v="1"/>
    <n v="1"/>
    <n v="96011"/>
    <n v="57415"/>
    <n v="153426"/>
  </r>
  <r>
    <s v="APARTADO"/>
    <x v="0"/>
    <x v="0"/>
    <s v="5837"/>
    <s v="3166127"/>
    <s v="3007081655"/>
    <s v="OC PUBLICIDAD"/>
    <s v="ANTIOQUIA"/>
    <s v="TURBO"/>
    <s v="DISTRICOL EL PRIMO"/>
    <s v="REDEBAN"/>
    <s v="FO-25-2015708"/>
    <d v="2025-12-22T12:16:00"/>
    <d v="2025-12-29T09:10:00"/>
    <m/>
    <s v="PUBLICIDAD"/>
    <s v="AVISO EXTERIOR"/>
    <s v="AGREGADOR"/>
    <s v="DISTRICOL"/>
    <s v="EJECUTADO"/>
    <s v="EJECUTADO EXITOSO"/>
    <s v="22/12/2025 SE ESCALA PARA VISITA. LLAMAR ANTES DE VISITAR, CONFIRMAR FALLA Y DATOS | 29/12/2025 SE INSTALA AVISO EXTERIOR YA QUE EL ANTERIOR SE DAÑÓ EN LA ZONA HUBO UNA TORMENTA Y UN VENTARRÓN LO TIRÓ AL SUELO SE INSTALA NUEVO AVISO"/>
    <s v="VISITA TECNICA"/>
    <m/>
    <s v="TIPO II"/>
    <s v="TERRESTRE"/>
    <s v="SALDARRIAGA MIRANDA SANTIAGO"/>
    <n v="1"/>
    <n v="1"/>
    <n v="232859"/>
    <n v="110808"/>
    <n v="343667"/>
  </r>
  <r>
    <s v="MEDELLIN"/>
    <x v="0"/>
    <x v="0"/>
    <s v="5001"/>
    <s v="3168267"/>
    <s v="3007066694"/>
    <s v="OC PUBLICIDAD"/>
    <s v="ANTIOQUIA"/>
    <s v="MEDELLIN"/>
    <s v="DISTRICOL TEOCELL COMUNICACION"/>
    <s v="REDEBAN"/>
    <s v="FO-25-2020914"/>
    <d v="2025-12-23T08:00:00"/>
    <d v="2025-12-26T11:51:00"/>
    <m/>
    <s v="PUBLICIDAD"/>
    <s v="AVISO EXTERIOR"/>
    <s v="AGREGADOR"/>
    <s v="DISTRICOL"/>
    <s v="EJECUTADO"/>
    <s v="EJECUTADO EXITOSO"/>
    <s v="23/12/2025 SE ESCALA PARA VISITA. LLAMAR ANTES DE VISITAR, CONFIRMAR FALLA Y DATOS | 26/12/2025 INSTALACIÓN DE AVISO EXTERIOR OK"/>
    <s v="VISITA TECNICA"/>
    <m/>
    <s v="TIPO I"/>
    <s v="TERRESTRE"/>
    <s v="PAREJA ECHAVARRIA JHON DAVID"/>
    <n v="1"/>
    <n v="1"/>
    <n v="96011"/>
    <n v="57415"/>
    <n v="153426"/>
  </r>
  <r>
    <s v="PASTO"/>
    <x v="4"/>
    <x v="5"/>
    <s v="52001"/>
    <s v="3172048"/>
    <s v="3007069677"/>
    <s v="OC PUBLICIDAD"/>
    <s v="NARIÑO"/>
    <s v="PASTO"/>
    <s v="PTM PASTO  MINIMARKET SAN SEBA"/>
    <s v="REDEBAN"/>
    <s v="FO-25-2024315"/>
    <d v="2025-12-23T14:35:00"/>
    <d v="2025-12-25T10:23:00"/>
    <m/>
    <s v="PUBLICIDAD"/>
    <s v="AVISO EXTERIOR"/>
    <s v="AGREGADOR"/>
    <s v="COMCARD - PTM"/>
    <s v="EJECUTADO"/>
    <s v="EJECUTADO EXITOSO"/>
    <s v="23/12/2025 SE ESCALA PARA VISITA. LLAMAR ANTES DE VISITAR, CONFIRMAR FALLA Y DATOS | 24/12/2025 SE REALIZA INSTALACIÓN DE AVISO EXTERIOR POR MOTIVO DE ROBO"/>
    <s v="VISITA TECNICA"/>
    <m/>
    <s v="TIPO I"/>
    <s v="TERRESTRE"/>
    <s v="PAZ MARTINEZ RICHARD HUMBERTO"/>
    <n v="1"/>
    <n v="1"/>
    <n v="96011"/>
    <n v="57415"/>
    <n v="153426"/>
  </r>
  <r>
    <s v="MEDELLIN"/>
    <x v="0"/>
    <x v="0"/>
    <s v="5001"/>
    <s v="3172080"/>
    <s v="3007024053"/>
    <s v="OC PUBLICIDAD"/>
    <s v="ANTIOQUIA"/>
    <s v="MEDELLIN"/>
    <s v="COMCARD UNIVERSIDAD IMPLEMENTO"/>
    <s v="REDEBAN"/>
    <s v="FO-25-2024313"/>
    <d v="2025-12-23T14:50:00"/>
    <d v="2025-12-26T11:09:00"/>
    <m/>
    <s v="PUBLICIDAD"/>
    <s v="AVISO EXTERIOR"/>
    <s v="AGREGADOR"/>
    <s v="COMCARD - PTM"/>
    <s v="EJECUTADO"/>
    <s v="EJECUTADO EXITOSO"/>
    <s v="23/12/2025 SE ESCALA PARA VISITA. LLAMAR ANTES DE VISITAR, CONFIRMAR FALLA Y DATOS | 26/12/2025 INSTALACIÓN DE AVISO EXTERIOR OK"/>
    <s v="VISITA TECNICA"/>
    <m/>
    <s v="TIPO I"/>
    <s v="TERRESTRE"/>
    <s v="PAREJA ECHAVARRIA JHON DAVID"/>
    <n v="1"/>
    <n v="1"/>
    <n v="96011"/>
    <n v="57415"/>
    <n v="153426"/>
  </r>
  <r>
    <s v="MEDELLIN"/>
    <x v="0"/>
    <x v="0"/>
    <s v="5001"/>
    <s v="3179601"/>
    <s v="3007044239"/>
    <s v="OC PUBLICIDAD"/>
    <s v="ANTIOQUIA"/>
    <s v="MEDELLIN"/>
    <s v="DISTRICOL MERCADOS LOS TABARES"/>
    <s v="REDEBAN"/>
    <s v="FO-25-2038438"/>
    <d v="2025-12-26T13:54:00"/>
    <d v="2025-12-30T10:23:00"/>
    <m/>
    <s v="PUBLICIDAD"/>
    <s v="AVISO EXTERIOR"/>
    <s v="AGREGADOR"/>
    <s v="DISTRICOL"/>
    <s v="EJECUTADO"/>
    <s v="EJECUTADO EXITOSO"/>
    <s v="26/12/2025 SE ESCALA PARA VISITA. LLAMAR ANTES DE VISITAR, CONFIRMAR FALLA Y DATOS | 30/12/2025 SE INSTALA AVISO EXTERIOR OK"/>
    <s v="VISITA TECNICA"/>
    <m/>
    <s v="TIPO I"/>
    <s v="TERRESTRE"/>
    <s v="QUINTERO SANCHEZ JUAN SEBASTIAN"/>
    <n v="1"/>
    <n v="1"/>
    <n v="96011"/>
    <n v="57415"/>
    <n v="153426"/>
  </r>
  <r>
    <s v="PEREIRA"/>
    <x v="4"/>
    <x v="4"/>
    <s v="66170"/>
    <s v="3182923"/>
    <s v="3007054029"/>
    <s v="OC PUBLICIDAD"/>
    <s v="RISARALDA"/>
    <s v="DOSQUEBRADAS"/>
    <s v="DISTRICOL MERCAFRUVER"/>
    <s v="REDEBAN"/>
    <s v="FO-25-2044928"/>
    <d v="2025-12-29T08:53:00"/>
    <d v="2025-12-31T10:57:00"/>
    <m/>
    <s v="PUBLICIDAD"/>
    <s v="AVISO EXTERIOR"/>
    <s v="AGREGADOR"/>
    <s v="DISTRICOL"/>
    <s v="EJECUTADO"/>
    <s v="EJECUTADO EXITOSO"/>
    <s v="29/12/2025 SE ESCALA PARA VISITA. LLAMAR ANTES DE VISITAR, CONFIRMAR FALLA Y DATOS | 31/12/2025 SE INSTALA AVISO EXTERIOR SIN NOVEDAD"/>
    <s v="VISITA TECNICA"/>
    <m/>
    <s v="TIPO I"/>
    <s v="TERRESTRE"/>
    <s v="CAÑAS MENDEZ GUSTAVO ADOLFO"/>
    <n v="1"/>
    <n v="1"/>
    <n v="96011"/>
    <n v="57415"/>
    <n v="153426"/>
  </r>
  <r>
    <m/>
    <x v="6"/>
    <x v="7"/>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1188487"/>
  </r>
  <r>
    <x v="1"/>
    <m/>
  </r>
  <r>
    <x v="2"/>
    <n v="1081701"/>
  </r>
  <r>
    <x v="1"/>
    <m/>
  </r>
  <r>
    <x v="1"/>
    <m/>
  </r>
  <r>
    <x v="3"/>
    <n v="3810521"/>
  </r>
  <r>
    <x v="1"/>
    <m/>
  </r>
  <r>
    <x v="1"/>
    <m/>
  </r>
  <r>
    <x v="4"/>
    <n v="1525060"/>
  </r>
  <r>
    <x v="1"/>
    <m/>
  </r>
  <r>
    <x v="5"/>
    <n v="4781287"/>
  </r>
  <r>
    <x v="1"/>
    <m/>
  </r>
  <r>
    <x v="6"/>
    <n v="1689261"/>
  </r>
  <r>
    <x v="1"/>
    <m/>
  </r>
  <r>
    <x v="1"/>
    <m/>
  </r>
  <r>
    <x v="7"/>
    <n v="2660154"/>
  </r>
  <r>
    <x v="1"/>
    <m/>
  </r>
  <r>
    <x v="1"/>
    <m/>
  </r>
  <r>
    <x v="1"/>
    <m/>
  </r>
  <r>
    <x v="1"/>
    <m/>
  </r>
  <r>
    <x v="1"/>
    <m/>
  </r>
  <r>
    <x v="1"/>
    <m/>
  </r>
  <r>
    <x v="0"/>
    <n v="1147612"/>
  </r>
  <r>
    <x v="1"/>
    <m/>
  </r>
  <r>
    <x v="2"/>
    <n v="957371"/>
  </r>
  <r>
    <x v="1"/>
    <m/>
  </r>
  <r>
    <x v="3"/>
    <n v="1868537.2751199999"/>
  </r>
  <r>
    <x v="1"/>
    <m/>
  </r>
  <r>
    <x v="4"/>
    <n v="1073982"/>
  </r>
  <r>
    <x v="1"/>
    <m/>
  </r>
  <r>
    <x v="5"/>
    <n v="3105577"/>
  </r>
  <r>
    <x v="1"/>
    <m/>
  </r>
  <r>
    <x v="6"/>
    <n v="2400309"/>
  </r>
  <r>
    <x v="1"/>
    <m/>
  </r>
  <r>
    <x v="7"/>
    <n v="6505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E2FEB-7182-42A1-AC4D-D1DD0CAE4B3E}" name="TablaDinámica12" cacheId="47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H12" firstHeaderRow="1" firstDataRow="1" firstDataCol="1"/>
  <pivotFields count="2">
    <pivotField axis="axisRow" showAll="0">
      <items count="9">
        <item x="0"/>
        <item x="2"/>
        <item x="3"/>
        <item x="4"/>
        <item x="5"/>
        <item x="6"/>
        <item x="7"/>
        <item h="1" x="1"/>
        <item t="default"/>
      </items>
    </pivotField>
    <pivotField dataField="1" showAll="0"/>
  </pivotFields>
  <rowFields count="1">
    <field x="0"/>
  </rowFields>
  <rowItems count="8">
    <i>
      <x/>
    </i>
    <i>
      <x v="1"/>
    </i>
    <i>
      <x v="2"/>
    </i>
    <i>
      <x v="3"/>
    </i>
    <i>
      <x v="4"/>
    </i>
    <i>
      <x v="5"/>
    </i>
    <i>
      <x v="6"/>
    </i>
    <i t="grand">
      <x/>
    </i>
  </rowItems>
  <colItems count="1">
    <i/>
  </colItems>
  <dataFields count="1">
    <dataField name="Suma de VALOR" fld="1"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D6014-17CF-4897-834F-CDDE576C634E}" name="TablaDinámica11" cacheId="46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5:B40" firstHeaderRow="1" firstDataRow="1" firstDataCol="1"/>
  <pivotFields count="32">
    <pivotField showAll="0"/>
    <pivotField axis="axisRow" showAll="0">
      <items count="8">
        <item x="1"/>
        <item x="0"/>
        <item x="2"/>
        <item x="5"/>
        <item x="4"/>
        <item x="6"/>
        <item x="3"/>
        <item t="default"/>
      </items>
    </pivotField>
    <pivotField axis="axisRow" showAll="0">
      <items count="9">
        <item x="1"/>
        <item x="4"/>
        <item x="5"/>
        <item x="3"/>
        <item x="0"/>
        <item x="2"/>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5">
    <i>
      <x/>
    </i>
    <i r="1">
      <x/>
    </i>
    <i>
      <x v="1"/>
    </i>
    <i r="1">
      <x v="4"/>
    </i>
    <i>
      <x v="2"/>
    </i>
    <i r="1">
      <x v="4"/>
    </i>
    <i>
      <x v="3"/>
    </i>
    <i r="1">
      <x v="6"/>
    </i>
    <i>
      <x v="4"/>
    </i>
    <i r="1">
      <x v="1"/>
    </i>
    <i>
      <x v="5"/>
    </i>
    <i r="1">
      <x v="2"/>
    </i>
    <i>
      <x v="6"/>
    </i>
    <i r="1">
      <x v="3"/>
    </i>
    <i t="grand">
      <x/>
    </i>
  </rowItems>
  <colItems count="1">
    <i/>
  </colItems>
  <dataFields count="1">
    <dataField name="Suma de VALOR TOTAL INSTALACION DE PUBLICIDAD" fld="31" baseField="0" baseItem="0"/>
  </dataFields>
  <formats count="2">
    <format dxfId="6">
      <pivotArea collapsedLevelsAreSubtotals="1" fieldPosition="0">
        <references count="1">
          <reference field="2" count="1">
            <x v="2"/>
          </reference>
        </references>
      </pivotArea>
    </format>
    <format dxfId="4">
      <pivotArea collapsedLevelsAreSubtotals="1" fieldPosition="0">
        <references count="2">
          <reference field="1" count="1">
            <x v="4"/>
          </reference>
          <reference field="2"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67D137-9418-4063-B952-80C8A0C711F1}" name="TablaDinámica10" cacheId="45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1" firstHeaderRow="1" firstDataRow="1" firstDataCol="1"/>
  <pivotFields count="31">
    <pivotField showAll="0"/>
    <pivotField axis="axisRow" showAll="0">
      <items count="11">
        <item x="5"/>
        <item x="2"/>
        <item x="8"/>
        <item x="3"/>
        <item x="6"/>
        <item x="1"/>
        <item x="4"/>
        <item x="7"/>
        <item x="0"/>
        <item x="9"/>
        <item t="default"/>
      </items>
    </pivotField>
    <pivotField axis="axisRow" showAll="0">
      <items count="9">
        <item x="3"/>
        <item x="2"/>
        <item x="0"/>
        <item x="6"/>
        <item x="4"/>
        <item x="1"/>
        <item x="5"/>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8">
    <i>
      <x/>
    </i>
    <i r="1">
      <x v="1"/>
    </i>
    <i>
      <x v="1"/>
    </i>
    <i r="1">
      <x v="2"/>
    </i>
    <i r="1">
      <x v="8"/>
    </i>
    <i>
      <x v="2"/>
    </i>
    <i r="1">
      <x v="7"/>
    </i>
    <i r="1">
      <x v="8"/>
    </i>
    <i>
      <x v="3"/>
    </i>
    <i r="1">
      <x/>
    </i>
    <i>
      <x v="4"/>
    </i>
    <i r="1">
      <x v="3"/>
    </i>
    <i>
      <x v="5"/>
    </i>
    <i r="1">
      <x v="4"/>
    </i>
    <i r="1">
      <x v="5"/>
    </i>
    <i>
      <x v="6"/>
    </i>
    <i r="1">
      <x v="6"/>
    </i>
    <i t="grand">
      <x/>
    </i>
  </rowItems>
  <colItems count="1">
    <i/>
  </colItems>
  <dataFields count="1">
    <dataField name="Suma de VALOR TOTAL INSTALACION DE PUBLICIDAD"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2D80-4D60-4D4E-94DA-0BB2B4E6F0ED}">
  <dimension ref="A1:N7"/>
  <sheetViews>
    <sheetView tabSelected="1" topLeftCell="F1" workbookViewId="0">
      <selection activeCell="N3" sqref="N3"/>
    </sheetView>
  </sheetViews>
  <sheetFormatPr baseColWidth="10" defaultRowHeight="14.4"/>
  <cols>
    <col min="1" max="1" width="14.6640625" bestFit="1" customWidth="1"/>
    <col min="3" max="3" width="66.6640625" bestFit="1" customWidth="1"/>
    <col min="4" max="4" width="49" bestFit="1" customWidth="1"/>
    <col min="5" max="5" width="31.5546875" bestFit="1" customWidth="1"/>
    <col min="6" max="6" width="21.33203125" bestFit="1" customWidth="1"/>
    <col min="7" max="7" width="19.5546875" bestFit="1" customWidth="1"/>
    <col min="8" max="8" width="20.33203125" bestFit="1" customWidth="1"/>
    <col min="10" max="10" width="30.5546875" customWidth="1"/>
    <col min="11" max="11" width="37.33203125" customWidth="1"/>
  </cols>
  <sheetData>
    <row r="1" spans="1:14">
      <c r="A1" s="39" t="str">
        <f>CONCATENATE("TOTAL GENERAL MES ",A3)</f>
        <v>TOTAL GENERAL MES DICIEMBRE DE 2025</v>
      </c>
      <c r="B1" s="39"/>
      <c r="C1" s="39"/>
      <c r="D1" s="39"/>
      <c r="E1" s="39"/>
      <c r="F1" s="39"/>
      <c r="G1" s="39"/>
      <c r="H1" s="39"/>
      <c r="J1" s="40" t="s">
        <v>1069</v>
      </c>
      <c r="K1" s="41"/>
      <c r="L1" s="41"/>
      <c r="M1" s="41"/>
      <c r="N1" s="42"/>
    </row>
    <row r="2" spans="1:14">
      <c r="A2" s="21" t="s">
        <v>1070</v>
      </c>
      <c r="B2" s="21" t="s">
        <v>1071</v>
      </c>
      <c r="C2" s="21" t="s">
        <v>1072</v>
      </c>
      <c r="D2" s="21" t="s">
        <v>1073</v>
      </c>
      <c r="E2" s="21" t="s">
        <v>1074</v>
      </c>
      <c r="F2" s="21" t="s">
        <v>1075</v>
      </c>
      <c r="G2" s="21" t="s">
        <v>1076</v>
      </c>
      <c r="H2" s="21" t="s">
        <v>1077</v>
      </c>
      <c r="J2" s="25" t="s">
        <v>1078</v>
      </c>
      <c r="K2" s="25" t="s">
        <v>1079</v>
      </c>
      <c r="L2" s="25" t="s">
        <v>1080</v>
      </c>
      <c r="M2" s="25" t="s">
        <v>1081</v>
      </c>
      <c r="N2" s="26" t="s">
        <v>1080</v>
      </c>
    </row>
    <row r="3" spans="1:14">
      <c r="A3" s="27" t="s">
        <v>1089</v>
      </c>
      <c r="B3" s="4" t="s">
        <v>1082</v>
      </c>
      <c r="C3" s="4" t="s">
        <v>1083</v>
      </c>
      <c r="D3" s="4" t="s">
        <v>1084</v>
      </c>
      <c r="E3" s="4" t="s">
        <v>1085</v>
      </c>
      <c r="F3" s="28">
        <f>COUNTA(PUBLICIDAD_APERTURAS!A:A)-1</f>
        <v>78</v>
      </c>
      <c r="G3" s="29">
        <f>SUM(PUBLICIDAD_APERTURAS!AE2:AE126)</f>
        <v>16736471</v>
      </c>
      <c r="H3" s="29">
        <f>G3*1.19</f>
        <v>19916400.489999998</v>
      </c>
      <c r="I3" s="30"/>
      <c r="J3" s="31" t="s">
        <v>1090</v>
      </c>
      <c r="K3" s="31" t="s">
        <v>1091</v>
      </c>
      <c r="L3" s="32">
        <v>572600</v>
      </c>
      <c r="M3" s="33">
        <f t="shared" ref="M3:M6" si="0">L3*0.12</f>
        <v>68712</v>
      </c>
      <c r="N3" s="33">
        <f t="shared" ref="N3:N6" si="1">L3+M3</f>
        <v>641312</v>
      </c>
    </row>
    <row r="4" spans="1:14">
      <c r="A4" s="27" t="str">
        <f>A3</f>
        <v>DICIEMBRE DE 2025</v>
      </c>
      <c r="B4" s="4" t="s">
        <v>1082</v>
      </c>
      <c r="C4" s="4" t="s">
        <v>1083</v>
      </c>
      <c r="D4" s="4" t="s">
        <v>1086</v>
      </c>
      <c r="E4" s="4" t="s">
        <v>1085</v>
      </c>
      <c r="F4" s="28">
        <f>COUNTA(PUBLICIDAD_OC!A:A)-1</f>
        <v>48</v>
      </c>
      <c r="G4" s="29">
        <f>SUM(PUBLICIDAD_OC!AF2:AF75)</f>
        <v>11203907.275119999</v>
      </c>
      <c r="H4" s="29">
        <f>G4*1.19</f>
        <v>13332649.657392798</v>
      </c>
      <c r="I4" s="34"/>
      <c r="J4" s="31"/>
      <c r="K4" s="31"/>
      <c r="L4" s="32"/>
      <c r="M4" s="33">
        <f t="shared" si="0"/>
        <v>0</v>
      </c>
      <c r="N4" s="33">
        <f t="shared" si="1"/>
        <v>0</v>
      </c>
    </row>
    <row r="5" spans="1:14">
      <c r="A5" s="27" t="str">
        <f>A4</f>
        <v>DICIEMBRE DE 2025</v>
      </c>
      <c r="B5" s="4" t="s">
        <v>1082</v>
      </c>
      <c r="C5" s="4" t="s">
        <v>1083</v>
      </c>
      <c r="D5" s="4" t="s">
        <v>1087</v>
      </c>
      <c r="E5" s="4" t="s">
        <v>1085</v>
      </c>
      <c r="F5" s="28">
        <f>COUNTA(J3:J19)-1</f>
        <v>1</v>
      </c>
      <c r="G5" s="29">
        <f>N7</f>
        <v>641312</v>
      </c>
      <c r="H5" s="29">
        <f>G5*1.19</f>
        <v>763161.27999999991</v>
      </c>
      <c r="I5" s="34"/>
      <c r="J5" s="31"/>
      <c r="K5" s="31"/>
      <c r="L5" s="32"/>
      <c r="M5" s="33">
        <f t="shared" si="0"/>
        <v>0</v>
      </c>
      <c r="N5" s="33">
        <f t="shared" si="1"/>
        <v>0</v>
      </c>
    </row>
    <row r="6" spans="1:14">
      <c r="A6" s="43" t="s">
        <v>1088</v>
      </c>
      <c r="B6" s="43"/>
      <c r="C6" s="43"/>
      <c r="D6" s="43"/>
      <c r="E6" s="43"/>
      <c r="F6" s="10">
        <f>SUM(F3:F5)</f>
        <v>127</v>
      </c>
      <c r="G6" s="35">
        <f>SUM(G3:G5)</f>
        <v>28581690.275119998</v>
      </c>
      <c r="H6" s="35">
        <f>SUM(H3:H5)</f>
        <v>34012211.427392796</v>
      </c>
      <c r="J6" s="31"/>
      <c r="K6" s="31"/>
      <c r="L6" s="32"/>
      <c r="M6" s="33">
        <f t="shared" si="0"/>
        <v>0</v>
      </c>
      <c r="N6" s="33">
        <f t="shared" si="1"/>
        <v>0</v>
      </c>
    </row>
    <row r="7" spans="1:14">
      <c r="J7" s="36" t="s">
        <v>1080</v>
      </c>
      <c r="K7" s="37"/>
      <c r="L7" s="38">
        <f>SUM(L3:L6)</f>
        <v>572600</v>
      </c>
      <c r="M7" s="38">
        <f>SUM(M3:M6)</f>
        <v>68712</v>
      </c>
      <c r="N7" s="38">
        <f>SUM(N3:N6)</f>
        <v>641312</v>
      </c>
    </row>
  </sheetData>
  <mergeCells count="3">
    <mergeCell ref="A1:H1"/>
    <mergeCell ref="J1:N1"/>
    <mergeCell ref="A6: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120" zoomScaleNormal="120" workbookViewId="0">
      <selection activeCell="D4" sqref="D4"/>
    </sheetView>
  </sheetViews>
  <sheetFormatPr baseColWidth="10" defaultColWidth="11.44140625" defaultRowHeight="10.8"/>
  <cols>
    <col min="1" max="1" width="17.5546875" style="2" bestFit="1" customWidth="1"/>
    <col min="2" max="2" width="16.5546875" style="2" customWidth="1"/>
    <col min="3" max="3" width="15.109375" style="2" customWidth="1"/>
    <col min="4" max="4" width="20.109375" style="2" customWidth="1"/>
    <col min="5" max="5" width="14.109375" style="2" customWidth="1"/>
    <col min="6" max="6" width="2" style="2" customWidth="1"/>
    <col min="7" max="7" width="12.6640625" style="2" bestFit="1" customWidth="1"/>
    <col min="8" max="11" width="11.44140625" style="2" customWidth="1"/>
    <col min="12" max="12" width="15" style="2" bestFit="1" customWidth="1"/>
    <col min="13" max="13" width="11.44140625" style="1" customWidth="1"/>
    <col min="14" max="16384" width="11.44140625" style="1"/>
  </cols>
  <sheetData>
    <row r="1" spans="1:14" ht="21" customHeight="1">
      <c r="A1" s="44" t="s">
        <v>0</v>
      </c>
      <c r="B1" s="45"/>
      <c r="C1" s="45"/>
      <c r="D1" s="45"/>
      <c r="E1" s="46"/>
      <c r="G1" s="44" t="s">
        <v>0</v>
      </c>
      <c r="H1" s="45"/>
      <c r="I1" s="45"/>
      <c r="J1" s="45"/>
      <c r="K1" s="45"/>
      <c r="L1" s="46"/>
      <c r="N1" s="10" t="s">
        <v>1</v>
      </c>
    </row>
    <row r="2" spans="1:14" ht="31.5" customHeight="1">
      <c r="A2" s="11" t="s">
        <v>2</v>
      </c>
      <c r="B2" s="10" t="s">
        <v>3</v>
      </c>
      <c r="C2" s="10" t="s">
        <v>4</v>
      </c>
      <c r="D2" s="10" t="s">
        <v>5</v>
      </c>
      <c r="E2" s="11" t="s">
        <v>6</v>
      </c>
      <c r="G2" s="53" t="s">
        <v>7</v>
      </c>
      <c r="H2" s="45"/>
      <c r="I2" s="45"/>
      <c r="J2" s="45"/>
      <c r="K2" s="45"/>
      <c r="L2" s="46"/>
      <c r="N2" s="16">
        <v>5.1999999999999998E-2</v>
      </c>
    </row>
    <row r="3" spans="1:14" ht="31.5" customHeight="1">
      <c r="A3" s="3" t="s">
        <v>8</v>
      </c>
      <c r="B3" s="17">
        <f>10695.08*(1+$N$2)</f>
        <v>11251.22416</v>
      </c>
      <c r="C3" s="18">
        <f>120073.31*(1+$N$2)</f>
        <v>126317.12212</v>
      </c>
      <c r="D3" s="18">
        <f>54574.12*(1+$N$2)</f>
        <v>57411.974240000003</v>
      </c>
      <c r="E3" s="19">
        <f>185342.51*(1+$N$2)</f>
        <v>194980.32052000001</v>
      </c>
      <c r="G3" s="9" t="s">
        <v>9</v>
      </c>
      <c r="H3" s="9" t="s">
        <v>10</v>
      </c>
      <c r="I3" s="9" t="s">
        <v>11</v>
      </c>
      <c r="J3" s="9" t="s">
        <v>12</v>
      </c>
      <c r="K3" s="9" t="s">
        <v>13</v>
      </c>
      <c r="L3" s="9" t="s">
        <v>14</v>
      </c>
    </row>
    <row r="4" spans="1:14">
      <c r="A4" s="3" t="s">
        <v>15</v>
      </c>
      <c r="B4" s="17">
        <f>10695.08*(1+$N$2)</f>
        <v>11251.22416</v>
      </c>
      <c r="C4" s="18">
        <f>120073.31*(1+$N$2)</f>
        <v>126317.12212</v>
      </c>
      <c r="D4" s="18">
        <f>105331.06*(1+$N$2)</f>
        <v>110808.27512000001</v>
      </c>
      <c r="E4" s="19">
        <f>236099.45*(1+$N$2)</f>
        <v>248376.62140000003</v>
      </c>
      <c r="G4" s="4" t="s">
        <v>16</v>
      </c>
      <c r="H4" s="4" t="s">
        <v>17</v>
      </c>
      <c r="I4" s="20">
        <f>91255.89*(1+$N$2)</f>
        <v>96001.196280000004</v>
      </c>
      <c r="J4" s="20">
        <f>54574.12*(1+$N$2)</f>
        <v>57411.974240000003</v>
      </c>
      <c r="K4" s="20">
        <f>53547.34*(1+$N$2)</f>
        <v>56331.801679999997</v>
      </c>
      <c r="L4" s="20">
        <f>36031.04*(1+$N$2)</f>
        <v>37904.65408</v>
      </c>
    </row>
    <row r="5" spans="1:14">
      <c r="G5" s="4" t="s">
        <v>18</v>
      </c>
      <c r="H5" s="4" t="s">
        <v>19</v>
      </c>
      <c r="I5" s="20">
        <f>221348.48*(1+$N$2)</f>
        <v>232858.60096000001</v>
      </c>
      <c r="J5" s="20">
        <f>105331.06*(1+$N$2)</f>
        <v>110808.27512000001</v>
      </c>
      <c r="K5" s="20">
        <f>53547.34*(1+$N$2)</f>
        <v>56331.801679999997</v>
      </c>
      <c r="L5" s="20">
        <f>36031.04*(1+$N$2)</f>
        <v>37904.65408</v>
      </c>
    </row>
    <row r="6" spans="1:14">
      <c r="G6" s="4" t="s">
        <v>20</v>
      </c>
      <c r="H6" s="4" t="s">
        <v>21</v>
      </c>
      <c r="I6" s="20">
        <f>327732.48*(1+$N$2)</f>
        <v>344774.56896</v>
      </c>
      <c r="J6" s="20">
        <f>105331.06*(1+$N$2)</f>
        <v>110808.27512000001</v>
      </c>
      <c r="K6" s="20">
        <f>53547.34*(1+$N$2)</f>
        <v>56331.801679999997</v>
      </c>
      <c r="L6" s="20">
        <f>36031.04*(1+$N$2)</f>
        <v>37904.65408</v>
      </c>
    </row>
    <row r="7" spans="1:14">
      <c r="B7" s="6"/>
      <c r="C7" s="6"/>
      <c r="D7" s="6"/>
      <c r="E7" s="6"/>
      <c r="G7" s="4" t="s">
        <v>22</v>
      </c>
      <c r="H7" s="4" t="s">
        <v>23</v>
      </c>
      <c r="I7" s="20">
        <f>521514.86*(1+$N$2)</f>
        <v>548633.63271999999</v>
      </c>
      <c r="J7" s="20">
        <f>105331.06*(1+$N$2)</f>
        <v>110808.27512000001</v>
      </c>
      <c r="K7" s="20">
        <f>53547.34*(1+$N$2)</f>
        <v>56331.801679999997</v>
      </c>
      <c r="L7" s="20">
        <f>36031.04*(1+$N$2)</f>
        <v>37904.65408</v>
      </c>
    </row>
    <row r="8" spans="1:14">
      <c r="D8" s="6"/>
      <c r="E8" s="6"/>
      <c r="G8" s="5" t="s">
        <v>24</v>
      </c>
      <c r="H8" s="5" t="s">
        <v>25</v>
      </c>
      <c r="I8" s="20">
        <f>521514.86*(1+$N$2)</f>
        <v>548633.63271999999</v>
      </c>
      <c r="J8" s="20">
        <f>105331.06*(1+$N$2)</f>
        <v>110808.27512000001</v>
      </c>
      <c r="K8" s="20">
        <f>53547.34*(1+$N$2)</f>
        <v>56331.801679999997</v>
      </c>
      <c r="L8" s="20">
        <f>36031.04*(1+$N$2)</f>
        <v>37904.65408</v>
      </c>
    </row>
    <row r="9" spans="1:14">
      <c r="G9" s="47" t="s">
        <v>26</v>
      </c>
      <c r="H9" s="48"/>
      <c r="I9" s="48"/>
      <c r="J9" s="48"/>
      <c r="K9" s="48"/>
      <c r="L9" s="49"/>
    </row>
    <row r="10" spans="1:14">
      <c r="B10" s="6"/>
      <c r="C10" s="6"/>
      <c r="D10" s="6"/>
      <c r="E10" s="6"/>
      <c r="G10" s="50"/>
      <c r="H10" s="51"/>
      <c r="I10" s="51"/>
      <c r="J10" s="51"/>
      <c r="K10" s="51"/>
      <c r="L10" s="52"/>
    </row>
    <row r="11" spans="1:14">
      <c r="B11" s="6"/>
      <c r="C11" s="6"/>
      <c r="D11" s="6"/>
      <c r="E11" s="6"/>
    </row>
    <row r="12" spans="1:14">
      <c r="I12" s="6"/>
      <c r="J12" s="6"/>
      <c r="K12" s="6"/>
      <c r="L12" s="6"/>
    </row>
    <row r="13" spans="1:14">
      <c r="I13" s="6"/>
      <c r="J13" s="6"/>
      <c r="K13" s="6"/>
      <c r="L13" s="6"/>
    </row>
    <row r="14" spans="1:14">
      <c r="I14" s="6"/>
      <c r="J14" s="6"/>
      <c r="K14" s="6"/>
      <c r="L14" s="6"/>
    </row>
    <row r="15" spans="1:14">
      <c r="I15" s="6"/>
      <c r="J15" s="6"/>
      <c r="K15" s="6"/>
      <c r="L15" s="6"/>
    </row>
    <row r="16" spans="1:14">
      <c r="C16" s="6"/>
      <c r="G16" s="6"/>
      <c r="I16" s="6"/>
      <c r="J16" s="6"/>
      <c r="K16" s="6"/>
      <c r="L16" s="6"/>
    </row>
    <row r="17" spans="7:12">
      <c r="G17" s="6"/>
      <c r="I17" s="6"/>
      <c r="J17" s="6"/>
      <c r="K17" s="6"/>
      <c r="L17" s="6"/>
    </row>
    <row r="18" spans="7:12">
      <c r="G18" s="6"/>
    </row>
    <row r="19" spans="7:12">
      <c r="G19" s="6"/>
    </row>
    <row r="20" spans="7:12">
      <c r="G20" s="6"/>
    </row>
    <row r="21" spans="7:12">
      <c r="G21" s="6"/>
    </row>
  </sheetData>
  <mergeCells count="4">
    <mergeCell ref="G1:L1"/>
    <mergeCell ref="G9:L10"/>
    <mergeCell ref="A1:E1"/>
    <mergeCell ref="G2:L2"/>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H24" sqref="H24"/>
    </sheetView>
  </sheetViews>
  <sheetFormatPr baseColWidth="10" defaultColWidth="11.44140625" defaultRowHeight="14.4"/>
  <cols>
    <col min="1" max="1" width="15.33203125" style="8" bestFit="1" customWidth="1"/>
    <col min="2" max="2" width="18.33203125" style="8" bestFit="1" customWidth="1"/>
    <col min="3" max="4" width="30.33203125" style="8" bestFit="1" customWidth="1"/>
    <col min="5" max="5" width="11.44140625" style="8" customWidth="1"/>
    <col min="6" max="16384" width="11.44140625" style="8"/>
  </cols>
  <sheetData>
    <row r="1" spans="1:4">
      <c r="A1" s="7" t="s">
        <v>27</v>
      </c>
      <c r="B1" s="7" t="s">
        <v>28</v>
      </c>
      <c r="C1" s="7" t="s">
        <v>29</v>
      </c>
      <c r="D1" s="7" t="s">
        <v>30</v>
      </c>
    </row>
    <row r="2" spans="1:4">
      <c r="A2" s="12" t="s">
        <v>31</v>
      </c>
      <c r="B2" s="13" t="s">
        <v>32</v>
      </c>
      <c r="C2" s="13" t="s">
        <v>33</v>
      </c>
      <c r="D2" s="13" t="s">
        <v>34</v>
      </c>
    </row>
    <row r="3" spans="1:4">
      <c r="A3" s="14" t="s">
        <v>35</v>
      </c>
      <c r="B3" s="15" t="s">
        <v>36</v>
      </c>
      <c r="C3" s="15" t="s">
        <v>37</v>
      </c>
      <c r="D3" s="15" t="s">
        <v>38</v>
      </c>
    </row>
    <row r="4" spans="1:4">
      <c r="A4" s="14" t="s">
        <v>39</v>
      </c>
      <c r="B4" s="15" t="s">
        <v>40</v>
      </c>
      <c r="C4" s="15" t="s">
        <v>41</v>
      </c>
      <c r="D4" s="15" t="s">
        <v>42</v>
      </c>
    </row>
    <row r="5" spans="1:4">
      <c r="A5" s="14" t="s">
        <v>43</v>
      </c>
      <c r="B5" s="15" t="s">
        <v>44</v>
      </c>
      <c r="C5" s="15" t="s">
        <v>45</v>
      </c>
      <c r="D5" s="15" t="s">
        <v>46</v>
      </c>
    </row>
    <row r="6" spans="1:4">
      <c r="A6" s="14" t="s">
        <v>47</v>
      </c>
      <c r="B6" s="15" t="s">
        <v>48</v>
      </c>
      <c r="C6" s="15" t="s">
        <v>49</v>
      </c>
      <c r="D6" s="15" t="s">
        <v>50</v>
      </c>
    </row>
    <row r="7" spans="1:4">
      <c r="A7" s="14" t="s">
        <v>51</v>
      </c>
      <c r="B7" s="15" t="s">
        <v>36</v>
      </c>
      <c r="C7" s="15" t="s">
        <v>37</v>
      </c>
      <c r="D7" s="15" t="s">
        <v>38</v>
      </c>
    </row>
    <row r="8" spans="1:4">
      <c r="A8" s="14" t="s">
        <v>52</v>
      </c>
      <c r="B8" s="15" t="s">
        <v>44</v>
      </c>
      <c r="C8" s="15" t="s">
        <v>45</v>
      </c>
      <c r="D8" s="15" t="s">
        <v>46</v>
      </c>
    </row>
    <row r="9" spans="1:4">
      <c r="A9" s="14" t="s">
        <v>53</v>
      </c>
      <c r="B9" s="15" t="s">
        <v>54</v>
      </c>
      <c r="C9" s="15" t="s">
        <v>55</v>
      </c>
      <c r="D9" s="15" t="s">
        <v>56</v>
      </c>
    </row>
    <row r="10" spans="1:4">
      <c r="A10" s="14" t="s">
        <v>57</v>
      </c>
      <c r="B10" s="15" t="s">
        <v>54</v>
      </c>
      <c r="C10" s="15" t="s">
        <v>55</v>
      </c>
      <c r="D10" s="15" t="s">
        <v>56</v>
      </c>
    </row>
    <row r="11" spans="1:4">
      <c r="A11" s="14" t="s">
        <v>58</v>
      </c>
      <c r="B11" s="15" t="s">
        <v>59</v>
      </c>
      <c r="C11" s="15" t="s">
        <v>60</v>
      </c>
      <c r="D11" s="15" t="s">
        <v>50</v>
      </c>
    </row>
    <row r="12" spans="1:4">
      <c r="A12" s="14" t="s">
        <v>61</v>
      </c>
      <c r="B12" s="15" t="s">
        <v>32</v>
      </c>
      <c r="C12" s="15" t="s">
        <v>33</v>
      </c>
      <c r="D12" s="15" t="s">
        <v>34</v>
      </c>
    </row>
    <row r="13" spans="1:4">
      <c r="A13" s="14" t="s">
        <v>62</v>
      </c>
      <c r="B13" s="15" t="s">
        <v>36</v>
      </c>
      <c r="C13" s="15" t="s">
        <v>37</v>
      </c>
      <c r="D13" s="15" t="s">
        <v>38</v>
      </c>
    </row>
    <row r="14" spans="1:4">
      <c r="A14" s="14" t="s">
        <v>63</v>
      </c>
      <c r="B14" s="15" t="s">
        <v>54</v>
      </c>
      <c r="C14" s="15" t="s">
        <v>55</v>
      </c>
      <c r="D14" s="15" t="s">
        <v>56</v>
      </c>
    </row>
    <row r="15" spans="1:4">
      <c r="A15" s="14" t="s">
        <v>64</v>
      </c>
      <c r="B15" s="15" t="s">
        <v>48</v>
      </c>
      <c r="C15" s="15" t="s">
        <v>49</v>
      </c>
      <c r="D15" s="15" t="s">
        <v>50</v>
      </c>
    </row>
    <row r="16" spans="1:4">
      <c r="A16" s="14" t="s">
        <v>65</v>
      </c>
      <c r="B16" s="15" t="s">
        <v>59</v>
      </c>
      <c r="C16" s="15" t="s">
        <v>60</v>
      </c>
      <c r="D16" s="15" t="s">
        <v>50</v>
      </c>
    </row>
    <row r="17" spans="1:4">
      <c r="A17" s="14" t="s">
        <v>66</v>
      </c>
      <c r="B17" s="15" t="s">
        <v>48</v>
      </c>
      <c r="C17" s="15" t="s">
        <v>49</v>
      </c>
      <c r="D17" s="15" t="s">
        <v>50</v>
      </c>
    </row>
    <row r="18" spans="1:4">
      <c r="A18" s="14" t="s">
        <v>67</v>
      </c>
      <c r="B18" s="15" t="s">
        <v>36</v>
      </c>
      <c r="C18" s="15" t="s">
        <v>37</v>
      </c>
      <c r="D18" s="15" t="s">
        <v>38</v>
      </c>
    </row>
    <row r="19" spans="1:4">
      <c r="A19" s="14" t="s">
        <v>68</v>
      </c>
      <c r="B19" s="15" t="s">
        <v>36</v>
      </c>
      <c r="C19" s="15" t="s">
        <v>37</v>
      </c>
      <c r="D19" s="15" t="s">
        <v>38</v>
      </c>
    </row>
    <row r="20" spans="1:4">
      <c r="A20" s="14" t="s">
        <v>69</v>
      </c>
      <c r="B20" s="15" t="s">
        <v>44</v>
      </c>
      <c r="C20" s="15" t="s">
        <v>45</v>
      </c>
      <c r="D20" s="15" t="s">
        <v>46</v>
      </c>
    </row>
    <row r="21" spans="1:4">
      <c r="A21" s="14" t="s">
        <v>70</v>
      </c>
      <c r="B21" s="15" t="s">
        <v>36</v>
      </c>
      <c r="C21" s="15" t="s">
        <v>37</v>
      </c>
      <c r="D21" s="15" t="s">
        <v>38</v>
      </c>
    </row>
    <row r="22" spans="1:4">
      <c r="A22" s="14" t="s">
        <v>71</v>
      </c>
      <c r="B22" s="15" t="s">
        <v>54</v>
      </c>
      <c r="C22" s="15" t="s">
        <v>55</v>
      </c>
      <c r="D22" s="15" t="s">
        <v>56</v>
      </c>
    </row>
    <row r="23" spans="1:4">
      <c r="A23" s="14" t="s">
        <v>72</v>
      </c>
      <c r="B23" s="15" t="s">
        <v>54</v>
      </c>
      <c r="C23" s="15" t="s">
        <v>55</v>
      </c>
      <c r="D23" s="15" t="s">
        <v>56</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323B-4E9E-44F2-A8B2-2AF1D5EC25B3}">
  <dimension ref="A3:H40"/>
  <sheetViews>
    <sheetView topLeftCell="A3" workbookViewId="0">
      <selection activeCell="H11" sqref="H11"/>
    </sheetView>
  </sheetViews>
  <sheetFormatPr baseColWidth="10" defaultRowHeight="14.4"/>
  <cols>
    <col min="1" max="1" width="32.109375" bestFit="1" customWidth="1"/>
    <col min="2" max="2" width="46.88671875" bestFit="1" customWidth="1"/>
    <col min="7" max="7" width="17.109375" bestFit="1" customWidth="1"/>
    <col min="8" max="8" width="14.5546875" bestFit="1" customWidth="1"/>
  </cols>
  <sheetData>
    <row r="3" spans="1:8">
      <c r="A3" s="54" t="s">
        <v>1092</v>
      </c>
      <c r="B3" t="s">
        <v>1094</v>
      </c>
      <c r="C3" t="s">
        <v>1095</v>
      </c>
      <c r="D3" t="s">
        <v>1096</v>
      </c>
    </row>
    <row r="4" spans="1:8">
      <c r="A4" s="55" t="s">
        <v>36</v>
      </c>
      <c r="B4" s="57">
        <v>1188487</v>
      </c>
      <c r="C4" t="str">
        <f>A4</f>
        <v>0004-0001</v>
      </c>
      <c r="D4">
        <f>B4</f>
        <v>1188487</v>
      </c>
      <c r="G4" s="54" t="s">
        <v>1092</v>
      </c>
      <c r="H4" t="s">
        <v>1097</v>
      </c>
    </row>
    <row r="5" spans="1:8">
      <c r="A5" s="56" t="s">
        <v>152</v>
      </c>
      <c r="B5" s="57">
        <v>1188487</v>
      </c>
      <c r="G5" s="55" t="s">
        <v>36</v>
      </c>
      <c r="H5" s="24">
        <v>2336099</v>
      </c>
    </row>
    <row r="6" spans="1:8">
      <c r="A6" s="55" t="s">
        <v>59</v>
      </c>
      <c r="B6" s="57">
        <v>1081701</v>
      </c>
      <c r="C6" t="str">
        <f>A6</f>
        <v>0004-0002</v>
      </c>
      <c r="D6">
        <f>B6</f>
        <v>1081701</v>
      </c>
      <c r="G6" s="55" t="s">
        <v>59</v>
      </c>
      <c r="H6" s="24">
        <v>2039072</v>
      </c>
    </row>
    <row r="7" spans="1:8">
      <c r="A7" s="56" t="s">
        <v>652</v>
      </c>
      <c r="B7" s="57">
        <v>886718</v>
      </c>
      <c r="G7" s="55" t="s">
        <v>48</v>
      </c>
      <c r="H7" s="24">
        <v>5679058.2751199994</v>
      </c>
    </row>
    <row r="8" spans="1:8">
      <c r="A8" s="56" t="s">
        <v>103</v>
      </c>
      <c r="B8" s="57">
        <v>194983</v>
      </c>
      <c r="G8" s="55" t="s">
        <v>40</v>
      </c>
      <c r="H8" s="24">
        <v>2599042</v>
      </c>
    </row>
    <row r="9" spans="1:8">
      <c r="A9" s="55" t="s">
        <v>48</v>
      </c>
      <c r="B9" s="57">
        <v>3810521</v>
      </c>
      <c r="C9" t="str">
        <f>A9</f>
        <v>0004-0003</v>
      </c>
      <c r="D9">
        <f>B9</f>
        <v>3810521</v>
      </c>
      <c r="G9" s="55" t="s">
        <v>32</v>
      </c>
      <c r="H9" s="24">
        <v>7886864</v>
      </c>
    </row>
    <row r="10" spans="1:8">
      <c r="A10" s="56" t="s">
        <v>271</v>
      </c>
      <c r="B10" s="57">
        <v>3309747</v>
      </c>
      <c r="G10" s="55" t="s">
        <v>54</v>
      </c>
      <c r="H10" s="24">
        <v>4089570</v>
      </c>
    </row>
    <row r="11" spans="1:8">
      <c r="A11" s="56" t="s">
        <v>103</v>
      </c>
      <c r="B11" s="57">
        <v>500774</v>
      </c>
      <c r="G11" s="55" t="s">
        <v>44</v>
      </c>
      <c r="H11" s="24">
        <v>3310673</v>
      </c>
    </row>
    <row r="12" spans="1:8">
      <c r="A12" s="55" t="s">
        <v>40</v>
      </c>
      <c r="B12" s="57">
        <v>1525060</v>
      </c>
      <c r="C12" t="str">
        <f>A12</f>
        <v>0004-0004</v>
      </c>
      <c r="D12">
        <f>B12</f>
        <v>1525060</v>
      </c>
      <c r="G12" s="55" t="s">
        <v>1093</v>
      </c>
      <c r="H12" s="24">
        <v>27940378.275119998</v>
      </c>
    </row>
    <row r="13" spans="1:8">
      <c r="A13" s="56" t="s">
        <v>219</v>
      </c>
      <c r="B13" s="57">
        <v>1525060</v>
      </c>
    </row>
    <row r="14" spans="1:8">
      <c r="A14" s="55" t="s">
        <v>32</v>
      </c>
      <c r="B14" s="57">
        <v>4781287</v>
      </c>
      <c r="C14" t="str">
        <f>A14</f>
        <v>0004-0005</v>
      </c>
      <c r="D14">
        <f>B14</f>
        <v>4781287</v>
      </c>
    </row>
    <row r="15" spans="1:8">
      <c r="A15" s="56" t="s">
        <v>172</v>
      </c>
      <c r="B15" s="57">
        <v>4781287</v>
      </c>
    </row>
    <row r="16" spans="1:8">
      <c r="A16" s="55" t="s">
        <v>54</v>
      </c>
      <c r="B16" s="57">
        <v>1689261</v>
      </c>
      <c r="C16" t="str">
        <f>A16</f>
        <v>0004-0007</v>
      </c>
      <c r="D16">
        <f>B16</f>
        <v>1689261</v>
      </c>
    </row>
    <row r="17" spans="1:4">
      <c r="A17" s="56" t="s">
        <v>260</v>
      </c>
      <c r="B17" s="57">
        <v>1631846</v>
      </c>
    </row>
    <row r="18" spans="1:4">
      <c r="A18" s="56" t="s">
        <v>133</v>
      </c>
      <c r="B18" s="57">
        <v>57415</v>
      </c>
    </row>
    <row r="19" spans="1:4">
      <c r="A19" s="55" t="s">
        <v>44</v>
      </c>
      <c r="B19" s="57">
        <v>2660154</v>
      </c>
      <c r="C19" t="str">
        <f>A19</f>
        <v>0004-0008</v>
      </c>
      <c r="D19">
        <f>B19</f>
        <v>2660154</v>
      </c>
    </row>
    <row r="20" spans="1:4">
      <c r="A20" s="56" t="s">
        <v>207</v>
      </c>
      <c r="B20" s="57">
        <v>2660154</v>
      </c>
    </row>
    <row r="21" spans="1:4">
      <c r="A21" s="55" t="s">
        <v>1093</v>
      </c>
      <c r="B21" s="57">
        <v>16736471</v>
      </c>
    </row>
    <row r="25" spans="1:4">
      <c r="A25" s="54" t="s">
        <v>1092</v>
      </c>
      <c r="B25" t="s">
        <v>1094</v>
      </c>
    </row>
    <row r="26" spans="1:4">
      <c r="A26" s="55" t="s">
        <v>36</v>
      </c>
      <c r="B26" s="57">
        <v>1147612</v>
      </c>
      <c r="C26" t="str">
        <f>A26</f>
        <v>0004-0001</v>
      </c>
      <c r="D26">
        <f>B26</f>
        <v>1147612</v>
      </c>
    </row>
    <row r="27" spans="1:4">
      <c r="A27" s="56" t="s">
        <v>152</v>
      </c>
      <c r="B27" s="57">
        <v>1147612</v>
      </c>
    </row>
    <row r="28" spans="1:4">
      <c r="A28" s="55" t="s">
        <v>59</v>
      </c>
      <c r="B28" s="57">
        <v>957371</v>
      </c>
      <c r="C28" t="str">
        <f>A28</f>
        <v>0004-0002</v>
      </c>
      <c r="D28">
        <f>B28</f>
        <v>957371</v>
      </c>
    </row>
    <row r="29" spans="1:4">
      <c r="A29" s="56" t="s">
        <v>103</v>
      </c>
      <c r="B29" s="57">
        <v>957371</v>
      </c>
    </row>
    <row r="30" spans="1:4">
      <c r="A30" s="55" t="s">
        <v>48</v>
      </c>
      <c r="B30" s="58">
        <v>1868537.2751199999</v>
      </c>
      <c r="C30" t="str">
        <f>A30</f>
        <v>0004-0003</v>
      </c>
      <c r="D30">
        <f>B30</f>
        <v>1868537.2751199999</v>
      </c>
    </row>
    <row r="31" spans="1:4">
      <c r="A31" s="56" t="s">
        <v>103</v>
      </c>
      <c r="B31" s="58">
        <v>1868537.2751199999</v>
      </c>
    </row>
    <row r="32" spans="1:4">
      <c r="A32" s="55" t="s">
        <v>40</v>
      </c>
      <c r="B32" s="57">
        <v>1073982</v>
      </c>
      <c r="C32" t="str">
        <f>A32</f>
        <v>0004-0004</v>
      </c>
      <c r="D32">
        <f>B32</f>
        <v>1073982</v>
      </c>
    </row>
    <row r="33" spans="1:4">
      <c r="A33" s="56" t="s">
        <v>223</v>
      </c>
      <c r="B33" s="57">
        <v>1073982</v>
      </c>
    </row>
    <row r="34" spans="1:4">
      <c r="A34" s="55" t="s">
        <v>32</v>
      </c>
      <c r="B34" s="57">
        <v>3105577</v>
      </c>
      <c r="C34" t="str">
        <f>A34</f>
        <v>0004-0005</v>
      </c>
      <c r="D34">
        <f>B34</f>
        <v>3105577</v>
      </c>
    </row>
    <row r="35" spans="1:4">
      <c r="A35" s="56" t="s">
        <v>172</v>
      </c>
      <c r="B35" s="57">
        <v>3105577</v>
      </c>
    </row>
    <row r="36" spans="1:4">
      <c r="A36" s="55" t="s">
        <v>54</v>
      </c>
      <c r="B36" s="57">
        <v>2400309</v>
      </c>
      <c r="C36" t="str">
        <f>A36</f>
        <v>0004-0007</v>
      </c>
      <c r="D36">
        <f>B36</f>
        <v>2400309</v>
      </c>
    </row>
    <row r="37" spans="1:4">
      <c r="A37" s="56" t="s">
        <v>133</v>
      </c>
      <c r="B37" s="57">
        <v>2400309</v>
      </c>
    </row>
    <row r="38" spans="1:4">
      <c r="A38" s="55" t="s">
        <v>44</v>
      </c>
      <c r="B38" s="57">
        <v>650519</v>
      </c>
      <c r="C38" t="str">
        <f>A38</f>
        <v>0004-0008</v>
      </c>
      <c r="D38">
        <f>B38</f>
        <v>650519</v>
      </c>
    </row>
    <row r="39" spans="1:4">
      <c r="A39" s="56" t="s">
        <v>207</v>
      </c>
      <c r="B39" s="57">
        <v>650519</v>
      </c>
    </row>
    <row r="40" spans="1:4">
      <c r="A40" s="55" t="s">
        <v>1093</v>
      </c>
      <c r="B40" s="57">
        <v>11203907.275119999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79"/>
  <sheetViews>
    <sheetView workbookViewId="0">
      <selection activeCell="D1" sqref="A1:XFD1048576"/>
    </sheetView>
  </sheetViews>
  <sheetFormatPr baseColWidth="10" defaultColWidth="8.886718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2"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20" customWidth="1"/>
    <col min="21" max="21" width="21" customWidth="1"/>
    <col min="22" max="22" width="14" customWidth="1"/>
    <col min="23" max="23" width="18" customWidth="1"/>
    <col min="24" max="24" width="42" customWidth="1"/>
    <col min="25" max="25" width="50" customWidth="1"/>
    <col min="26" max="26" width="33" customWidth="1"/>
    <col min="27" max="27" width="50" customWidth="1"/>
    <col min="28" max="28" width="44" customWidth="1"/>
    <col min="29" max="29" width="39" customWidth="1"/>
    <col min="30" max="30" width="27" customWidth="1"/>
    <col min="31" max="31" width="39" customWidth="1"/>
  </cols>
  <sheetData>
    <row r="1" spans="1:31" ht="28.8">
      <c r="A1" s="22" t="s">
        <v>73</v>
      </c>
      <c r="B1" s="22" t="s">
        <v>74</v>
      </c>
      <c r="C1" s="22" t="s">
        <v>75</v>
      </c>
      <c r="D1" s="22" t="s">
        <v>76</v>
      </c>
      <c r="E1" s="22" t="s">
        <v>77</v>
      </c>
      <c r="F1" s="22" t="s">
        <v>78</v>
      </c>
      <c r="G1" s="22" t="s">
        <v>79</v>
      </c>
      <c r="H1" s="22" t="s">
        <v>80</v>
      </c>
      <c r="I1" s="22" t="s">
        <v>81</v>
      </c>
      <c r="J1" s="22" t="s">
        <v>27</v>
      </c>
      <c r="K1" s="22" t="s">
        <v>82</v>
      </c>
      <c r="L1" s="22" t="s">
        <v>83</v>
      </c>
      <c r="M1" s="22" t="s">
        <v>84</v>
      </c>
      <c r="N1" s="22" t="s">
        <v>85</v>
      </c>
      <c r="O1" s="22" t="s">
        <v>86</v>
      </c>
      <c r="P1" s="22" t="s">
        <v>87</v>
      </c>
      <c r="Q1" s="22" t="s">
        <v>88</v>
      </c>
      <c r="R1" s="22" t="s">
        <v>89</v>
      </c>
      <c r="S1" s="22" t="s">
        <v>90</v>
      </c>
      <c r="T1" s="22" t="s">
        <v>91</v>
      </c>
      <c r="U1" s="22" t="s">
        <v>92</v>
      </c>
      <c r="V1" s="22" t="s">
        <v>93</v>
      </c>
      <c r="W1" s="22" t="s">
        <v>94</v>
      </c>
      <c r="X1" s="22" t="s">
        <v>95</v>
      </c>
      <c r="Y1" s="22" t="s">
        <v>96</v>
      </c>
      <c r="Z1" s="22" t="s">
        <v>97</v>
      </c>
      <c r="AA1" s="22" t="s">
        <v>98</v>
      </c>
      <c r="AB1" s="22" t="s">
        <v>99</v>
      </c>
      <c r="AC1" s="22" t="s">
        <v>100</v>
      </c>
      <c r="AD1" s="22" t="s">
        <v>101</v>
      </c>
      <c r="AE1" s="22" t="s">
        <v>102</v>
      </c>
    </row>
    <row r="2" spans="1:31">
      <c r="A2" t="s">
        <v>47</v>
      </c>
      <c r="B2" t="s">
        <v>103</v>
      </c>
      <c r="C2" t="s">
        <v>48</v>
      </c>
      <c r="D2" t="s">
        <v>104</v>
      </c>
      <c r="E2" t="s">
        <v>105</v>
      </c>
      <c r="F2" t="s">
        <v>106</v>
      </c>
      <c r="G2" t="s">
        <v>107</v>
      </c>
      <c r="H2" t="s">
        <v>108</v>
      </c>
      <c r="I2" t="s">
        <v>109</v>
      </c>
      <c r="J2" t="s">
        <v>47</v>
      </c>
      <c r="K2" t="s">
        <v>110</v>
      </c>
      <c r="L2" t="s">
        <v>111</v>
      </c>
      <c r="M2" t="s">
        <v>112</v>
      </c>
      <c r="N2" s="23">
        <v>45988.333333333343</v>
      </c>
      <c r="O2" s="23">
        <v>46009.461805555547</v>
      </c>
      <c r="R2" t="s">
        <v>113</v>
      </c>
      <c r="S2" t="s">
        <v>114</v>
      </c>
      <c r="T2" t="s">
        <v>115</v>
      </c>
      <c r="V2" t="s">
        <v>8</v>
      </c>
      <c r="W2" t="s">
        <v>116</v>
      </c>
      <c r="X2" t="s">
        <v>117</v>
      </c>
      <c r="Y2" s="24">
        <v>0</v>
      </c>
      <c r="Z2" s="24">
        <v>0</v>
      </c>
      <c r="AA2" s="24">
        <v>1</v>
      </c>
      <c r="AB2" s="24">
        <v>0</v>
      </c>
      <c r="AC2" s="24">
        <v>0</v>
      </c>
      <c r="AD2" s="24">
        <v>0</v>
      </c>
      <c r="AE2" s="24">
        <v>57415</v>
      </c>
    </row>
    <row r="3" spans="1:31">
      <c r="A3" t="s">
        <v>64</v>
      </c>
      <c r="B3" t="s">
        <v>103</v>
      </c>
      <c r="C3" t="s">
        <v>48</v>
      </c>
      <c r="D3" t="s">
        <v>118</v>
      </c>
      <c r="E3" t="s">
        <v>119</v>
      </c>
      <c r="F3" t="s">
        <v>120</v>
      </c>
      <c r="G3" t="s">
        <v>107</v>
      </c>
      <c r="H3" t="s">
        <v>108</v>
      </c>
      <c r="I3" t="s">
        <v>121</v>
      </c>
      <c r="J3" t="s">
        <v>122</v>
      </c>
      <c r="K3" t="s">
        <v>123</v>
      </c>
      <c r="L3" t="s">
        <v>111</v>
      </c>
      <c r="M3" t="s">
        <v>124</v>
      </c>
      <c r="N3" s="23">
        <v>45988.333333333343</v>
      </c>
      <c r="O3" s="23">
        <v>45993.772916666669</v>
      </c>
      <c r="P3" t="s">
        <v>125</v>
      </c>
      <c r="Q3" t="s">
        <v>126</v>
      </c>
      <c r="R3" t="s">
        <v>127</v>
      </c>
      <c r="S3" t="s">
        <v>128</v>
      </c>
      <c r="T3" t="s">
        <v>129</v>
      </c>
      <c r="U3" t="s">
        <v>130</v>
      </c>
      <c r="V3" t="s">
        <v>131</v>
      </c>
      <c r="W3" t="s">
        <v>116</v>
      </c>
      <c r="X3" t="s">
        <v>132</v>
      </c>
      <c r="Y3" s="24">
        <v>1</v>
      </c>
      <c r="Z3" s="24">
        <v>1</v>
      </c>
      <c r="AA3" s="24">
        <v>1</v>
      </c>
      <c r="AB3" s="24">
        <v>11251</v>
      </c>
      <c r="AC3" s="24">
        <v>126317</v>
      </c>
      <c r="AD3" s="24">
        <v>110808</v>
      </c>
      <c r="AE3" s="24">
        <v>248376</v>
      </c>
    </row>
    <row r="4" spans="1:31">
      <c r="A4" t="s">
        <v>57</v>
      </c>
      <c r="B4" t="s">
        <v>133</v>
      </c>
      <c r="C4" t="s">
        <v>54</v>
      </c>
      <c r="D4" t="s">
        <v>134</v>
      </c>
      <c r="E4" t="s">
        <v>135</v>
      </c>
      <c r="F4" t="s">
        <v>136</v>
      </c>
      <c r="G4" t="s">
        <v>107</v>
      </c>
      <c r="H4" t="s">
        <v>137</v>
      </c>
      <c r="I4" t="s">
        <v>138</v>
      </c>
      <c r="J4" t="s">
        <v>57</v>
      </c>
      <c r="K4" t="s">
        <v>139</v>
      </c>
      <c r="L4" t="s">
        <v>111</v>
      </c>
      <c r="M4" t="s">
        <v>140</v>
      </c>
      <c r="N4" s="23">
        <v>45988.333333333343</v>
      </c>
      <c r="O4" s="23">
        <v>45993.419444444437</v>
      </c>
      <c r="R4" t="s">
        <v>113</v>
      </c>
      <c r="S4" t="s">
        <v>141</v>
      </c>
      <c r="T4" t="s">
        <v>115</v>
      </c>
      <c r="V4" t="s">
        <v>8</v>
      </c>
      <c r="W4" t="s">
        <v>116</v>
      </c>
      <c r="X4" t="s">
        <v>142</v>
      </c>
      <c r="Y4" s="24">
        <v>0</v>
      </c>
      <c r="Z4" s="24">
        <v>0</v>
      </c>
      <c r="AA4" s="24">
        <v>1</v>
      </c>
      <c r="AB4" s="24">
        <v>0</v>
      </c>
      <c r="AC4" s="24">
        <v>0</v>
      </c>
      <c r="AD4" s="24">
        <v>0</v>
      </c>
      <c r="AE4" s="24">
        <v>57415</v>
      </c>
    </row>
    <row r="5" spans="1:31">
      <c r="A5" t="s">
        <v>58</v>
      </c>
      <c r="B5" t="s">
        <v>103</v>
      </c>
      <c r="C5" t="s">
        <v>59</v>
      </c>
      <c r="D5" t="s">
        <v>143</v>
      </c>
      <c r="E5" t="s">
        <v>144</v>
      </c>
      <c r="F5" t="s">
        <v>145</v>
      </c>
      <c r="G5" t="s">
        <v>107</v>
      </c>
      <c r="H5" t="s">
        <v>137</v>
      </c>
      <c r="I5" t="s">
        <v>146</v>
      </c>
      <c r="J5" t="s">
        <v>58</v>
      </c>
      <c r="K5" t="s">
        <v>147</v>
      </c>
      <c r="L5" t="s">
        <v>111</v>
      </c>
      <c r="M5" t="s">
        <v>148</v>
      </c>
      <c r="N5" s="23">
        <v>46001.333333333343</v>
      </c>
      <c r="O5" s="23">
        <v>46002.708333333343</v>
      </c>
      <c r="R5" t="s">
        <v>127</v>
      </c>
      <c r="S5" t="s">
        <v>149</v>
      </c>
      <c r="T5" t="s">
        <v>129</v>
      </c>
      <c r="U5" t="s">
        <v>150</v>
      </c>
      <c r="V5" t="s">
        <v>8</v>
      </c>
      <c r="W5" t="s">
        <v>116</v>
      </c>
      <c r="X5" t="s">
        <v>151</v>
      </c>
      <c r="Y5" s="24">
        <v>1</v>
      </c>
      <c r="Z5" s="24">
        <v>1</v>
      </c>
      <c r="AA5" s="24">
        <v>1</v>
      </c>
      <c r="AB5" s="24">
        <v>11251</v>
      </c>
      <c r="AC5" s="24">
        <v>126317</v>
      </c>
      <c r="AD5" s="24">
        <v>57415</v>
      </c>
      <c r="AE5" s="24">
        <v>194983</v>
      </c>
    </row>
    <row r="6" spans="1:31">
      <c r="A6" t="s">
        <v>70</v>
      </c>
      <c r="B6" t="s">
        <v>152</v>
      </c>
      <c r="C6" t="s">
        <v>36</v>
      </c>
      <c r="D6" t="s">
        <v>153</v>
      </c>
      <c r="E6" t="s">
        <v>154</v>
      </c>
      <c r="F6" t="s">
        <v>155</v>
      </c>
      <c r="G6" t="s">
        <v>107</v>
      </c>
      <c r="H6" t="s">
        <v>137</v>
      </c>
      <c r="I6" t="s">
        <v>156</v>
      </c>
      <c r="J6" t="s">
        <v>157</v>
      </c>
      <c r="K6" t="s">
        <v>158</v>
      </c>
      <c r="L6" t="s">
        <v>111</v>
      </c>
      <c r="M6" t="s">
        <v>159</v>
      </c>
      <c r="N6" s="23">
        <v>46001.333333333343</v>
      </c>
      <c r="O6" s="23">
        <v>46002.520833333343</v>
      </c>
      <c r="R6" t="s">
        <v>127</v>
      </c>
      <c r="S6" t="s">
        <v>160</v>
      </c>
      <c r="T6" t="s">
        <v>129</v>
      </c>
      <c r="U6" t="s">
        <v>161</v>
      </c>
      <c r="V6" t="s">
        <v>131</v>
      </c>
      <c r="W6" t="s">
        <v>116</v>
      </c>
      <c r="X6" t="s">
        <v>162</v>
      </c>
      <c r="Y6" s="24">
        <v>1</v>
      </c>
      <c r="Z6" s="24">
        <v>1</v>
      </c>
      <c r="AA6" s="24">
        <v>1</v>
      </c>
      <c r="AB6" s="24">
        <v>11251</v>
      </c>
      <c r="AC6" s="24">
        <v>126317</v>
      </c>
      <c r="AD6" s="24">
        <v>110808</v>
      </c>
      <c r="AE6" s="24">
        <v>248376</v>
      </c>
    </row>
    <row r="7" spans="1:31">
      <c r="A7" t="s">
        <v>64</v>
      </c>
      <c r="B7" t="s">
        <v>103</v>
      </c>
      <c r="C7" t="s">
        <v>48</v>
      </c>
      <c r="D7" t="s">
        <v>163</v>
      </c>
      <c r="E7" t="s">
        <v>164</v>
      </c>
      <c r="F7" t="s">
        <v>165</v>
      </c>
      <c r="G7" t="s">
        <v>107</v>
      </c>
      <c r="H7" t="s">
        <v>137</v>
      </c>
      <c r="I7" t="s">
        <v>166</v>
      </c>
      <c r="J7" t="s">
        <v>64</v>
      </c>
      <c r="K7" t="s">
        <v>167</v>
      </c>
      <c r="L7" t="s">
        <v>111</v>
      </c>
      <c r="M7" t="s">
        <v>168</v>
      </c>
      <c r="N7" s="23">
        <v>46001.333333333343</v>
      </c>
      <c r="O7" s="23">
        <v>46002.62222222222</v>
      </c>
      <c r="R7" t="s">
        <v>127</v>
      </c>
      <c r="S7" t="s">
        <v>169</v>
      </c>
      <c r="T7" t="s">
        <v>129</v>
      </c>
      <c r="U7" t="s">
        <v>170</v>
      </c>
      <c r="V7" t="s">
        <v>8</v>
      </c>
      <c r="W7" t="s">
        <v>116</v>
      </c>
      <c r="X7" t="s">
        <v>171</v>
      </c>
      <c r="Y7" s="24">
        <v>1</v>
      </c>
      <c r="Z7" s="24">
        <v>1</v>
      </c>
      <c r="AA7" s="24">
        <v>1</v>
      </c>
      <c r="AB7" s="24">
        <v>11251</v>
      </c>
      <c r="AC7" s="24">
        <v>126317</v>
      </c>
      <c r="AD7" s="24">
        <v>57415</v>
      </c>
      <c r="AE7" s="24">
        <v>194983</v>
      </c>
    </row>
    <row r="8" spans="1:31">
      <c r="A8" t="s">
        <v>61</v>
      </c>
      <c r="B8" t="s">
        <v>172</v>
      </c>
      <c r="C8" t="s">
        <v>32</v>
      </c>
      <c r="D8" t="s">
        <v>173</v>
      </c>
      <c r="E8" t="s">
        <v>174</v>
      </c>
      <c r="F8" t="s">
        <v>175</v>
      </c>
      <c r="G8" t="s">
        <v>107</v>
      </c>
      <c r="H8" t="s">
        <v>176</v>
      </c>
      <c r="I8" t="s">
        <v>177</v>
      </c>
      <c r="J8" t="s">
        <v>178</v>
      </c>
      <c r="K8" t="s">
        <v>179</v>
      </c>
      <c r="L8" t="s">
        <v>111</v>
      </c>
      <c r="M8" t="s">
        <v>180</v>
      </c>
      <c r="N8" s="23">
        <v>46001.333333333343</v>
      </c>
      <c r="O8" s="23">
        <v>46002.701388888891</v>
      </c>
      <c r="P8" t="s">
        <v>125</v>
      </c>
      <c r="Q8" t="s">
        <v>181</v>
      </c>
      <c r="R8" t="s">
        <v>127</v>
      </c>
      <c r="S8" t="s">
        <v>182</v>
      </c>
      <c r="T8" t="s">
        <v>129</v>
      </c>
      <c r="U8" t="s">
        <v>183</v>
      </c>
      <c r="V8" t="s">
        <v>184</v>
      </c>
      <c r="W8" t="s">
        <v>116</v>
      </c>
      <c r="X8" t="s">
        <v>185</v>
      </c>
      <c r="Y8" s="24">
        <v>0</v>
      </c>
      <c r="Z8" s="24">
        <v>1</v>
      </c>
      <c r="AA8" s="24">
        <v>0</v>
      </c>
      <c r="AB8" s="24">
        <v>11251</v>
      </c>
      <c r="AC8" s="24">
        <v>0</v>
      </c>
      <c r="AD8" s="24">
        <v>0</v>
      </c>
      <c r="AE8" s="24">
        <v>11251</v>
      </c>
    </row>
    <row r="9" spans="1:31">
      <c r="A9" t="s">
        <v>61</v>
      </c>
      <c r="B9" t="s">
        <v>172</v>
      </c>
      <c r="C9" t="s">
        <v>32</v>
      </c>
      <c r="D9" t="s">
        <v>186</v>
      </c>
      <c r="E9" t="s">
        <v>187</v>
      </c>
      <c r="F9" t="s">
        <v>188</v>
      </c>
      <c r="G9" t="s">
        <v>107</v>
      </c>
      <c r="H9" t="s">
        <v>137</v>
      </c>
      <c r="I9" t="s">
        <v>177</v>
      </c>
      <c r="J9" t="s">
        <v>61</v>
      </c>
      <c r="K9" t="s">
        <v>189</v>
      </c>
      <c r="L9" t="s">
        <v>111</v>
      </c>
      <c r="M9" t="s">
        <v>190</v>
      </c>
      <c r="N9" s="23">
        <v>46003.333333333343</v>
      </c>
      <c r="O9" s="23">
        <v>46003.680555555547</v>
      </c>
      <c r="P9" t="s">
        <v>125</v>
      </c>
      <c r="Q9" t="s">
        <v>181</v>
      </c>
      <c r="R9" t="s">
        <v>127</v>
      </c>
      <c r="S9" t="s">
        <v>191</v>
      </c>
      <c r="T9" t="s">
        <v>129</v>
      </c>
      <c r="U9" t="s">
        <v>192</v>
      </c>
      <c r="V9" t="s">
        <v>8</v>
      </c>
      <c r="W9" t="s">
        <v>116</v>
      </c>
      <c r="X9" t="s">
        <v>193</v>
      </c>
      <c r="Y9" s="24">
        <v>1</v>
      </c>
      <c r="Z9" s="24">
        <v>1</v>
      </c>
      <c r="AA9" s="24">
        <v>1</v>
      </c>
      <c r="AB9" s="24">
        <v>11251</v>
      </c>
      <c r="AC9" s="24">
        <v>126317</v>
      </c>
      <c r="AD9" s="24">
        <v>57415</v>
      </c>
      <c r="AE9" s="24">
        <v>194983</v>
      </c>
    </row>
    <row r="10" spans="1:31">
      <c r="A10" t="s">
        <v>61</v>
      </c>
      <c r="B10" t="s">
        <v>172</v>
      </c>
      <c r="C10" t="s">
        <v>32</v>
      </c>
      <c r="D10" t="s">
        <v>186</v>
      </c>
      <c r="E10" t="s">
        <v>194</v>
      </c>
      <c r="F10" t="s">
        <v>195</v>
      </c>
      <c r="G10" t="s">
        <v>107</v>
      </c>
      <c r="H10" t="s">
        <v>137</v>
      </c>
      <c r="I10" t="s">
        <v>177</v>
      </c>
      <c r="J10" t="s">
        <v>61</v>
      </c>
      <c r="K10" t="s">
        <v>196</v>
      </c>
      <c r="L10" t="s">
        <v>111</v>
      </c>
      <c r="M10" t="s">
        <v>197</v>
      </c>
      <c r="N10" s="23">
        <v>46003.333333333343</v>
      </c>
      <c r="O10" s="23">
        <v>46003.580555555563</v>
      </c>
      <c r="P10" t="s">
        <v>125</v>
      </c>
      <c r="Q10" t="s">
        <v>181</v>
      </c>
      <c r="R10" t="s">
        <v>127</v>
      </c>
      <c r="S10" t="s">
        <v>198</v>
      </c>
      <c r="T10" t="s">
        <v>129</v>
      </c>
      <c r="U10" t="s">
        <v>199</v>
      </c>
      <c r="V10" t="s">
        <v>8</v>
      </c>
      <c r="W10" t="s">
        <v>116</v>
      </c>
      <c r="X10" t="s">
        <v>193</v>
      </c>
      <c r="Y10" s="24">
        <v>1</v>
      </c>
      <c r="Z10" s="24">
        <v>1</v>
      </c>
      <c r="AA10" s="24">
        <v>1</v>
      </c>
      <c r="AB10" s="24">
        <v>11251</v>
      </c>
      <c r="AC10" s="24">
        <v>126317</v>
      </c>
      <c r="AD10" s="24">
        <v>57415</v>
      </c>
      <c r="AE10" s="24">
        <v>194983</v>
      </c>
    </row>
    <row r="11" spans="1:31">
      <c r="A11" t="s">
        <v>61</v>
      </c>
      <c r="B11" t="s">
        <v>172</v>
      </c>
      <c r="C11" t="s">
        <v>32</v>
      </c>
      <c r="D11" t="s">
        <v>186</v>
      </c>
      <c r="E11" t="s">
        <v>200</v>
      </c>
      <c r="F11" t="s">
        <v>201</v>
      </c>
      <c r="G11" t="s">
        <v>107</v>
      </c>
      <c r="H11" t="s">
        <v>137</v>
      </c>
      <c r="I11" t="s">
        <v>177</v>
      </c>
      <c r="J11" t="s">
        <v>61</v>
      </c>
      <c r="K11" t="s">
        <v>202</v>
      </c>
      <c r="L11" t="s">
        <v>111</v>
      </c>
      <c r="M11" t="s">
        <v>203</v>
      </c>
      <c r="N11" s="23">
        <v>46003.333333333343</v>
      </c>
      <c r="O11" s="23">
        <v>46003.625694444447</v>
      </c>
      <c r="P11" t="s">
        <v>125</v>
      </c>
      <c r="Q11" t="s">
        <v>181</v>
      </c>
      <c r="R11" t="s">
        <v>127</v>
      </c>
      <c r="S11" t="s">
        <v>204</v>
      </c>
      <c r="T11" t="s">
        <v>129</v>
      </c>
      <c r="U11" t="s">
        <v>205</v>
      </c>
      <c r="V11" t="s">
        <v>8</v>
      </c>
      <c r="W11" t="s">
        <v>116</v>
      </c>
      <c r="X11" t="s">
        <v>206</v>
      </c>
      <c r="Y11" s="24">
        <v>1</v>
      </c>
      <c r="Z11" s="24">
        <v>1</v>
      </c>
      <c r="AA11" s="24">
        <v>1</v>
      </c>
      <c r="AB11" s="24">
        <v>11251</v>
      </c>
      <c r="AC11" s="24">
        <v>126317</v>
      </c>
      <c r="AD11" s="24">
        <v>57415</v>
      </c>
      <c r="AE11" s="24">
        <v>194983</v>
      </c>
    </row>
    <row r="12" spans="1:31">
      <c r="A12" t="s">
        <v>69</v>
      </c>
      <c r="B12" t="s">
        <v>207</v>
      </c>
      <c r="C12" t="s">
        <v>44</v>
      </c>
      <c r="D12" t="s">
        <v>208</v>
      </c>
      <c r="E12" t="s">
        <v>209</v>
      </c>
      <c r="F12" t="s">
        <v>210</v>
      </c>
      <c r="G12" t="s">
        <v>107</v>
      </c>
      <c r="H12" t="s">
        <v>137</v>
      </c>
      <c r="I12" t="s">
        <v>211</v>
      </c>
      <c r="J12" t="s">
        <v>212</v>
      </c>
      <c r="K12" t="s">
        <v>213</v>
      </c>
      <c r="L12" t="s">
        <v>111</v>
      </c>
      <c r="M12" t="s">
        <v>214</v>
      </c>
      <c r="N12" s="23">
        <v>46003.333333333343</v>
      </c>
      <c r="O12" s="23">
        <v>46006.638194444437</v>
      </c>
      <c r="P12" t="s">
        <v>125</v>
      </c>
      <c r="Q12" t="s">
        <v>181</v>
      </c>
      <c r="R12" t="s">
        <v>127</v>
      </c>
      <c r="S12" t="s">
        <v>215</v>
      </c>
      <c r="T12" t="s">
        <v>129</v>
      </c>
      <c r="U12" t="s">
        <v>216</v>
      </c>
      <c r="V12" t="s">
        <v>217</v>
      </c>
      <c r="W12" t="s">
        <v>116</v>
      </c>
      <c r="X12" t="s">
        <v>218</v>
      </c>
      <c r="Y12" s="24">
        <v>1</v>
      </c>
      <c r="Z12" s="24">
        <v>1</v>
      </c>
      <c r="AA12" s="24">
        <v>1</v>
      </c>
      <c r="AB12" s="24">
        <v>11251</v>
      </c>
      <c r="AC12" s="24">
        <v>126317</v>
      </c>
      <c r="AD12" s="24">
        <v>110808</v>
      </c>
      <c r="AE12" s="24">
        <v>248376</v>
      </c>
    </row>
    <row r="13" spans="1:31">
      <c r="A13" t="s">
        <v>39</v>
      </c>
      <c r="B13" t="s">
        <v>219</v>
      </c>
      <c r="C13" t="s">
        <v>40</v>
      </c>
      <c r="D13" t="s">
        <v>220</v>
      </c>
      <c r="E13" t="s">
        <v>221</v>
      </c>
      <c r="F13" t="s">
        <v>222</v>
      </c>
      <c r="G13" t="s">
        <v>107</v>
      </c>
      <c r="H13" t="s">
        <v>137</v>
      </c>
      <c r="I13" t="s">
        <v>223</v>
      </c>
      <c r="J13" t="s">
        <v>224</v>
      </c>
      <c r="K13" t="s">
        <v>225</v>
      </c>
      <c r="L13" t="s">
        <v>111</v>
      </c>
      <c r="M13" t="s">
        <v>226</v>
      </c>
      <c r="N13" s="23">
        <v>46003.333333333343</v>
      </c>
      <c r="O13" s="23">
        <v>46003.578472222223</v>
      </c>
      <c r="P13" t="s">
        <v>125</v>
      </c>
      <c r="Q13" t="s">
        <v>181</v>
      </c>
      <c r="R13" t="s">
        <v>127</v>
      </c>
      <c r="S13" t="s">
        <v>227</v>
      </c>
      <c r="T13" t="s">
        <v>129</v>
      </c>
      <c r="U13" t="s">
        <v>228</v>
      </c>
      <c r="V13" t="s">
        <v>217</v>
      </c>
      <c r="W13" t="s">
        <v>116</v>
      </c>
      <c r="X13" t="s">
        <v>229</v>
      </c>
      <c r="Y13" s="24">
        <v>1</v>
      </c>
      <c r="Z13" s="24">
        <v>1</v>
      </c>
      <c r="AA13" s="24">
        <v>1</v>
      </c>
      <c r="AB13" s="24">
        <v>11251</v>
      </c>
      <c r="AC13" s="24">
        <v>126317</v>
      </c>
      <c r="AD13" s="24">
        <v>110808</v>
      </c>
      <c r="AE13" s="24">
        <v>248376</v>
      </c>
    </row>
    <row r="14" spans="1:31">
      <c r="A14" t="s">
        <v>39</v>
      </c>
      <c r="B14" t="s">
        <v>219</v>
      </c>
      <c r="C14" t="s">
        <v>40</v>
      </c>
      <c r="D14" t="s">
        <v>230</v>
      </c>
      <c r="E14" t="s">
        <v>231</v>
      </c>
      <c r="F14" t="s">
        <v>232</v>
      </c>
      <c r="G14" t="s">
        <v>107</v>
      </c>
      <c r="H14" t="s">
        <v>137</v>
      </c>
      <c r="I14" t="s">
        <v>223</v>
      </c>
      <c r="J14" t="s">
        <v>233</v>
      </c>
      <c r="K14" t="s">
        <v>234</v>
      </c>
      <c r="L14" t="s">
        <v>111</v>
      </c>
      <c r="M14" t="s">
        <v>235</v>
      </c>
      <c r="N14" s="23">
        <v>46003.333333333343</v>
      </c>
      <c r="O14" s="23">
        <v>46003.515972222223</v>
      </c>
      <c r="P14" t="s">
        <v>125</v>
      </c>
      <c r="Q14" t="s">
        <v>181</v>
      </c>
      <c r="R14" t="s">
        <v>127</v>
      </c>
      <c r="S14" t="s">
        <v>236</v>
      </c>
      <c r="T14" t="s">
        <v>129</v>
      </c>
      <c r="U14" t="s">
        <v>237</v>
      </c>
      <c r="V14" t="s">
        <v>8</v>
      </c>
      <c r="W14" t="s">
        <v>116</v>
      </c>
      <c r="X14" t="s">
        <v>238</v>
      </c>
      <c r="Y14" s="24">
        <v>1</v>
      </c>
      <c r="Z14" s="24">
        <v>1</v>
      </c>
      <c r="AA14" s="24">
        <v>1</v>
      </c>
      <c r="AB14" s="24">
        <v>11251</v>
      </c>
      <c r="AC14" s="24">
        <v>126317</v>
      </c>
      <c r="AD14" s="24">
        <v>57415</v>
      </c>
      <c r="AE14" s="24">
        <v>194983</v>
      </c>
    </row>
    <row r="15" spans="1:31">
      <c r="A15" t="s">
        <v>39</v>
      </c>
      <c r="B15" t="s">
        <v>219</v>
      </c>
      <c r="C15" t="s">
        <v>40</v>
      </c>
      <c r="D15" t="s">
        <v>239</v>
      </c>
      <c r="E15" t="s">
        <v>240</v>
      </c>
      <c r="F15" t="s">
        <v>241</v>
      </c>
      <c r="G15" t="s">
        <v>107</v>
      </c>
      <c r="H15" t="s">
        <v>137</v>
      </c>
      <c r="I15" t="s">
        <v>223</v>
      </c>
      <c r="J15" t="s">
        <v>242</v>
      </c>
      <c r="K15" t="s">
        <v>243</v>
      </c>
      <c r="L15" t="s">
        <v>111</v>
      </c>
      <c r="M15" t="s">
        <v>244</v>
      </c>
      <c r="N15" s="23">
        <v>46003.333333333343</v>
      </c>
      <c r="O15" s="23">
        <v>46003.572222222218</v>
      </c>
      <c r="P15" t="s">
        <v>125</v>
      </c>
      <c r="Q15" t="s">
        <v>181</v>
      </c>
      <c r="R15" t="s">
        <v>127</v>
      </c>
      <c r="S15" t="s">
        <v>245</v>
      </c>
      <c r="T15" t="s">
        <v>129</v>
      </c>
      <c r="U15" t="s">
        <v>246</v>
      </c>
      <c r="V15" t="s">
        <v>217</v>
      </c>
      <c r="W15" t="s">
        <v>116</v>
      </c>
      <c r="X15" t="s">
        <v>247</v>
      </c>
      <c r="Y15" s="24">
        <v>1</v>
      </c>
      <c r="Z15" s="24">
        <v>1</v>
      </c>
      <c r="AA15" s="24">
        <v>1</v>
      </c>
      <c r="AB15" s="24">
        <v>11251</v>
      </c>
      <c r="AC15" s="24">
        <v>126317</v>
      </c>
      <c r="AD15" s="24">
        <v>110808</v>
      </c>
      <c r="AE15" s="24">
        <v>248376</v>
      </c>
    </row>
    <row r="16" spans="1:31">
      <c r="A16" t="s">
        <v>61</v>
      </c>
      <c r="B16" t="s">
        <v>172</v>
      </c>
      <c r="C16" t="s">
        <v>32</v>
      </c>
      <c r="D16" t="s">
        <v>248</v>
      </c>
      <c r="E16" t="s">
        <v>249</v>
      </c>
      <c r="F16" t="s">
        <v>250</v>
      </c>
      <c r="G16" t="s">
        <v>107</v>
      </c>
      <c r="H16" t="s">
        <v>137</v>
      </c>
      <c r="I16" t="s">
        <v>251</v>
      </c>
      <c r="J16" t="s">
        <v>252</v>
      </c>
      <c r="K16" t="s">
        <v>253</v>
      </c>
      <c r="L16" t="s">
        <v>111</v>
      </c>
      <c r="M16" t="s">
        <v>254</v>
      </c>
      <c r="N16" s="23">
        <v>46003.333333333343</v>
      </c>
      <c r="O16" s="23">
        <v>46009.711111111108</v>
      </c>
      <c r="P16" t="s">
        <v>125</v>
      </c>
      <c r="Q16" t="s">
        <v>181</v>
      </c>
      <c r="R16" t="s">
        <v>127</v>
      </c>
      <c r="S16" t="s">
        <v>255</v>
      </c>
      <c r="T16" t="s">
        <v>129</v>
      </c>
      <c r="U16" t="s">
        <v>256</v>
      </c>
      <c r="V16" t="s">
        <v>257</v>
      </c>
      <c r="W16" t="s">
        <v>258</v>
      </c>
      <c r="X16" t="s">
        <v>259</v>
      </c>
      <c r="Y16" s="24">
        <v>1</v>
      </c>
      <c r="Z16" s="24">
        <v>1</v>
      </c>
      <c r="AA16" s="24">
        <v>1</v>
      </c>
      <c r="AB16" s="24">
        <v>11251</v>
      </c>
      <c r="AC16" s="24">
        <v>126317</v>
      </c>
      <c r="AD16" s="24">
        <v>110808</v>
      </c>
      <c r="AE16" s="24">
        <v>248376</v>
      </c>
    </row>
    <row r="17" spans="1:31">
      <c r="A17" t="s">
        <v>71</v>
      </c>
      <c r="B17" t="s">
        <v>260</v>
      </c>
      <c r="C17" t="s">
        <v>54</v>
      </c>
      <c r="D17" t="s">
        <v>261</v>
      </c>
      <c r="E17" t="s">
        <v>262</v>
      </c>
      <c r="F17" t="s">
        <v>263</v>
      </c>
      <c r="G17" t="s">
        <v>107</v>
      </c>
      <c r="H17" t="s">
        <v>137</v>
      </c>
      <c r="I17" t="s">
        <v>264</v>
      </c>
      <c r="J17" t="s">
        <v>265</v>
      </c>
      <c r="K17" t="s">
        <v>266</v>
      </c>
      <c r="L17" t="s">
        <v>111</v>
      </c>
      <c r="M17" t="s">
        <v>267</v>
      </c>
      <c r="N17" s="23">
        <v>46003.333333333343</v>
      </c>
      <c r="O17" s="23">
        <v>46006.558333333327</v>
      </c>
      <c r="P17" t="s">
        <v>125</v>
      </c>
      <c r="Q17" t="s">
        <v>181</v>
      </c>
      <c r="R17" t="s">
        <v>127</v>
      </c>
      <c r="S17" t="s">
        <v>268</v>
      </c>
      <c r="T17" t="s">
        <v>129</v>
      </c>
      <c r="U17" t="s">
        <v>269</v>
      </c>
      <c r="V17" t="s">
        <v>217</v>
      </c>
      <c r="W17" t="s">
        <v>116</v>
      </c>
      <c r="X17" t="s">
        <v>270</v>
      </c>
      <c r="Y17" s="24">
        <v>1</v>
      </c>
      <c r="Z17" s="24">
        <v>1</v>
      </c>
      <c r="AA17" s="24">
        <v>1</v>
      </c>
      <c r="AB17" s="24">
        <v>11251</v>
      </c>
      <c r="AC17" s="24">
        <v>126317</v>
      </c>
      <c r="AD17" s="24">
        <v>110808</v>
      </c>
      <c r="AE17" s="24">
        <v>248376</v>
      </c>
    </row>
    <row r="18" spans="1:31">
      <c r="A18" t="s">
        <v>47</v>
      </c>
      <c r="B18" t="s">
        <v>271</v>
      </c>
      <c r="C18" t="s">
        <v>48</v>
      </c>
      <c r="D18" t="s">
        <v>272</v>
      </c>
      <c r="E18" t="s">
        <v>273</v>
      </c>
      <c r="F18" t="s">
        <v>274</v>
      </c>
      <c r="G18" t="s">
        <v>107</v>
      </c>
      <c r="H18" t="s">
        <v>137</v>
      </c>
      <c r="I18" t="s">
        <v>109</v>
      </c>
      <c r="J18" t="s">
        <v>275</v>
      </c>
      <c r="K18" t="s">
        <v>276</v>
      </c>
      <c r="L18" t="s">
        <v>111</v>
      </c>
      <c r="M18" t="s">
        <v>277</v>
      </c>
      <c r="N18" s="23">
        <v>46003.333333333343</v>
      </c>
      <c r="O18" s="23">
        <v>46006.279861111107</v>
      </c>
      <c r="P18" t="s">
        <v>125</v>
      </c>
      <c r="Q18" t="s">
        <v>181</v>
      </c>
      <c r="R18" t="s">
        <v>127</v>
      </c>
      <c r="S18" t="s">
        <v>278</v>
      </c>
      <c r="T18" t="s">
        <v>129</v>
      </c>
      <c r="U18" t="s">
        <v>279</v>
      </c>
      <c r="V18" t="s">
        <v>8</v>
      </c>
      <c r="W18" t="s">
        <v>116</v>
      </c>
      <c r="X18" t="s">
        <v>280</v>
      </c>
      <c r="Y18" s="24">
        <v>1</v>
      </c>
      <c r="Z18" s="24">
        <v>1</v>
      </c>
      <c r="AA18" s="24">
        <v>1</v>
      </c>
      <c r="AB18" s="24">
        <v>11251</v>
      </c>
      <c r="AC18" s="24">
        <v>126317</v>
      </c>
      <c r="AD18" s="24">
        <v>57415</v>
      </c>
      <c r="AE18" s="24">
        <v>194983</v>
      </c>
    </row>
    <row r="19" spans="1:31">
      <c r="A19" t="s">
        <v>39</v>
      </c>
      <c r="B19" t="s">
        <v>219</v>
      </c>
      <c r="C19" t="s">
        <v>40</v>
      </c>
      <c r="D19" t="s">
        <v>281</v>
      </c>
      <c r="E19" t="s">
        <v>282</v>
      </c>
      <c r="F19" t="s">
        <v>283</v>
      </c>
      <c r="G19" t="s">
        <v>107</v>
      </c>
      <c r="H19" t="s">
        <v>137</v>
      </c>
      <c r="I19" t="s">
        <v>223</v>
      </c>
      <c r="J19" t="s">
        <v>39</v>
      </c>
      <c r="K19" t="s">
        <v>284</v>
      </c>
      <c r="L19" t="s">
        <v>111</v>
      </c>
      <c r="M19" t="s">
        <v>285</v>
      </c>
      <c r="N19" s="23">
        <v>46003.333333333343</v>
      </c>
      <c r="O19" s="23">
        <v>46003.5</v>
      </c>
      <c r="P19" t="s">
        <v>125</v>
      </c>
      <c r="Q19" t="s">
        <v>181</v>
      </c>
      <c r="R19" t="s">
        <v>127</v>
      </c>
      <c r="S19" t="s">
        <v>286</v>
      </c>
      <c r="T19" t="s">
        <v>129</v>
      </c>
      <c r="U19" t="s">
        <v>287</v>
      </c>
      <c r="V19" t="s">
        <v>8</v>
      </c>
      <c r="W19" t="s">
        <v>116</v>
      </c>
      <c r="X19" t="s">
        <v>288</v>
      </c>
      <c r="Y19" s="24">
        <v>1</v>
      </c>
      <c r="Z19" s="24">
        <v>1</v>
      </c>
      <c r="AA19" s="24">
        <v>1</v>
      </c>
      <c r="AB19" s="24">
        <v>11251</v>
      </c>
      <c r="AC19" s="24">
        <v>126317</v>
      </c>
      <c r="AD19" s="24">
        <v>57415</v>
      </c>
      <c r="AE19" s="24">
        <v>194983</v>
      </c>
    </row>
    <row r="20" spans="1:31">
      <c r="A20" t="s">
        <v>61</v>
      </c>
      <c r="B20" t="s">
        <v>172</v>
      </c>
      <c r="C20" t="s">
        <v>32</v>
      </c>
      <c r="D20" t="s">
        <v>186</v>
      </c>
      <c r="E20" t="s">
        <v>289</v>
      </c>
      <c r="F20" t="s">
        <v>290</v>
      </c>
      <c r="G20" t="s">
        <v>107</v>
      </c>
      <c r="H20" t="s">
        <v>137</v>
      </c>
      <c r="I20" t="s">
        <v>177</v>
      </c>
      <c r="J20" t="s">
        <v>61</v>
      </c>
      <c r="K20" t="s">
        <v>291</v>
      </c>
      <c r="L20" t="s">
        <v>111</v>
      </c>
      <c r="M20" t="s">
        <v>292</v>
      </c>
      <c r="N20" s="23">
        <v>46003.333333333343</v>
      </c>
      <c r="O20" s="23">
        <v>46003.701388888891</v>
      </c>
      <c r="P20" t="s">
        <v>125</v>
      </c>
      <c r="Q20" t="s">
        <v>126</v>
      </c>
      <c r="R20" t="s">
        <v>293</v>
      </c>
      <c r="S20" t="s">
        <v>294</v>
      </c>
      <c r="T20" t="s">
        <v>129</v>
      </c>
      <c r="V20" t="s">
        <v>8</v>
      </c>
      <c r="W20" t="s">
        <v>116</v>
      </c>
      <c r="X20" t="s">
        <v>206</v>
      </c>
      <c r="Y20" s="24">
        <v>0</v>
      </c>
      <c r="Z20" s="24">
        <v>0</v>
      </c>
      <c r="AA20" s="24">
        <v>2</v>
      </c>
      <c r="AB20" s="24">
        <v>0</v>
      </c>
      <c r="AC20" s="24">
        <v>0</v>
      </c>
      <c r="AD20" s="24">
        <v>57415</v>
      </c>
      <c r="AE20" s="24">
        <v>114830</v>
      </c>
    </row>
    <row r="21" spans="1:31">
      <c r="A21" t="s">
        <v>62</v>
      </c>
      <c r="B21" t="s">
        <v>152</v>
      </c>
      <c r="C21" t="s">
        <v>36</v>
      </c>
      <c r="D21" t="s">
        <v>295</v>
      </c>
      <c r="E21" t="s">
        <v>296</v>
      </c>
      <c r="F21" t="s">
        <v>297</v>
      </c>
      <c r="G21" t="s">
        <v>107</v>
      </c>
      <c r="H21" t="s">
        <v>137</v>
      </c>
      <c r="I21" t="s">
        <v>298</v>
      </c>
      <c r="J21" t="s">
        <v>299</v>
      </c>
      <c r="K21" t="s">
        <v>300</v>
      </c>
      <c r="L21" t="s">
        <v>111</v>
      </c>
      <c r="M21" t="s">
        <v>301</v>
      </c>
      <c r="N21" s="23">
        <v>46003.333333333343</v>
      </c>
      <c r="O21" s="23">
        <v>46003.592361111107</v>
      </c>
      <c r="P21" t="s">
        <v>125</v>
      </c>
      <c r="Q21" t="s">
        <v>126</v>
      </c>
      <c r="R21" t="s">
        <v>127</v>
      </c>
      <c r="S21" t="s">
        <v>302</v>
      </c>
      <c r="T21" t="s">
        <v>129</v>
      </c>
      <c r="U21" t="s">
        <v>303</v>
      </c>
      <c r="V21" t="s">
        <v>217</v>
      </c>
      <c r="W21" t="s">
        <v>116</v>
      </c>
      <c r="X21" t="s">
        <v>304</v>
      </c>
      <c r="Y21" s="24">
        <v>1</v>
      </c>
      <c r="Z21" s="24">
        <v>1</v>
      </c>
      <c r="AA21" s="24">
        <v>1</v>
      </c>
      <c r="AB21" s="24">
        <v>11251</v>
      </c>
      <c r="AC21" s="24">
        <v>126317</v>
      </c>
      <c r="AD21" s="24">
        <v>110808</v>
      </c>
      <c r="AE21" s="24">
        <v>248376</v>
      </c>
    </row>
    <row r="22" spans="1:31">
      <c r="A22" t="s">
        <v>62</v>
      </c>
      <c r="B22" t="s">
        <v>152</v>
      </c>
      <c r="C22" t="s">
        <v>36</v>
      </c>
      <c r="D22" t="s">
        <v>305</v>
      </c>
      <c r="E22" t="s">
        <v>306</v>
      </c>
      <c r="F22" t="s">
        <v>307</v>
      </c>
      <c r="G22" t="s">
        <v>107</v>
      </c>
      <c r="H22" t="s">
        <v>137</v>
      </c>
      <c r="I22" t="s">
        <v>298</v>
      </c>
      <c r="J22" t="s">
        <v>308</v>
      </c>
      <c r="K22" t="s">
        <v>309</v>
      </c>
      <c r="L22" t="s">
        <v>111</v>
      </c>
      <c r="M22" t="s">
        <v>310</v>
      </c>
      <c r="N22" s="23">
        <v>46003.333333333343</v>
      </c>
      <c r="O22" s="23">
        <v>46006.633333333331</v>
      </c>
      <c r="P22" t="s">
        <v>125</v>
      </c>
      <c r="Q22" t="s">
        <v>126</v>
      </c>
      <c r="R22" t="s">
        <v>127</v>
      </c>
      <c r="S22" t="s">
        <v>311</v>
      </c>
      <c r="T22" t="s">
        <v>129</v>
      </c>
      <c r="U22" t="s">
        <v>312</v>
      </c>
      <c r="V22" t="s">
        <v>184</v>
      </c>
      <c r="W22" t="s">
        <v>116</v>
      </c>
      <c r="X22" t="s">
        <v>304</v>
      </c>
      <c r="Y22" s="24">
        <v>1</v>
      </c>
      <c r="Z22" s="24">
        <v>1</v>
      </c>
      <c r="AA22" s="24">
        <v>1</v>
      </c>
      <c r="AB22" s="24">
        <v>11251</v>
      </c>
      <c r="AC22" s="24">
        <v>126317</v>
      </c>
      <c r="AD22" s="24">
        <v>110808</v>
      </c>
      <c r="AE22" s="24">
        <v>248376</v>
      </c>
    </row>
    <row r="23" spans="1:31">
      <c r="A23" t="s">
        <v>52</v>
      </c>
      <c r="B23" t="s">
        <v>207</v>
      </c>
      <c r="C23" t="s">
        <v>44</v>
      </c>
      <c r="D23" t="s">
        <v>313</v>
      </c>
      <c r="E23" t="s">
        <v>314</v>
      </c>
      <c r="F23" t="s">
        <v>315</v>
      </c>
      <c r="G23" t="s">
        <v>107</v>
      </c>
      <c r="H23" t="s">
        <v>137</v>
      </c>
      <c r="I23" t="s">
        <v>316</v>
      </c>
      <c r="J23" t="s">
        <v>52</v>
      </c>
      <c r="K23" t="s">
        <v>317</v>
      </c>
      <c r="L23" t="s">
        <v>111</v>
      </c>
      <c r="M23" t="s">
        <v>318</v>
      </c>
      <c r="N23" s="23">
        <v>46003.333333333343</v>
      </c>
      <c r="O23" s="23">
        <v>46006.556250000001</v>
      </c>
      <c r="P23" t="s">
        <v>125</v>
      </c>
      <c r="Q23" t="s">
        <v>126</v>
      </c>
      <c r="R23" t="s">
        <v>127</v>
      </c>
      <c r="S23" t="s">
        <v>319</v>
      </c>
      <c r="T23" t="s">
        <v>129</v>
      </c>
      <c r="U23" t="s">
        <v>320</v>
      </c>
      <c r="V23" t="s">
        <v>8</v>
      </c>
      <c r="W23" t="s">
        <v>116</v>
      </c>
      <c r="X23" t="s">
        <v>321</v>
      </c>
      <c r="Y23" s="24">
        <v>1</v>
      </c>
      <c r="Z23" s="24">
        <v>1</v>
      </c>
      <c r="AA23" s="24">
        <v>1</v>
      </c>
      <c r="AB23" s="24">
        <v>11251</v>
      </c>
      <c r="AC23" s="24">
        <v>126317</v>
      </c>
      <c r="AD23" s="24">
        <v>57415</v>
      </c>
      <c r="AE23" s="24">
        <v>194983</v>
      </c>
    </row>
    <row r="24" spans="1:31">
      <c r="A24" t="s">
        <v>64</v>
      </c>
      <c r="B24" t="s">
        <v>271</v>
      </c>
      <c r="C24" t="s">
        <v>48</v>
      </c>
      <c r="D24" t="s">
        <v>322</v>
      </c>
      <c r="E24" t="s">
        <v>323</v>
      </c>
      <c r="F24" t="s">
        <v>324</v>
      </c>
      <c r="G24" t="s">
        <v>107</v>
      </c>
      <c r="H24" t="s">
        <v>137</v>
      </c>
      <c r="I24" t="s">
        <v>121</v>
      </c>
      <c r="J24" t="s">
        <v>325</v>
      </c>
      <c r="K24" t="s">
        <v>326</v>
      </c>
      <c r="L24" t="s">
        <v>111</v>
      </c>
      <c r="M24" t="s">
        <v>327</v>
      </c>
      <c r="N24" s="23">
        <v>46003.333333333343</v>
      </c>
      <c r="O24" s="23">
        <v>46007.645138888889</v>
      </c>
      <c r="P24" t="s">
        <v>125</v>
      </c>
      <c r="Q24" t="s">
        <v>126</v>
      </c>
      <c r="R24" t="s">
        <v>127</v>
      </c>
      <c r="S24" t="s">
        <v>328</v>
      </c>
      <c r="T24" t="s">
        <v>129</v>
      </c>
      <c r="U24" t="s">
        <v>329</v>
      </c>
      <c r="V24" t="s">
        <v>131</v>
      </c>
      <c r="W24" t="s">
        <v>116</v>
      </c>
      <c r="X24" t="s">
        <v>330</v>
      </c>
      <c r="Y24" s="24">
        <v>1</v>
      </c>
      <c r="Z24" s="24">
        <v>1</v>
      </c>
      <c r="AA24" s="24">
        <v>1</v>
      </c>
      <c r="AB24" s="24">
        <v>11251</v>
      </c>
      <c r="AC24" s="24">
        <v>126317</v>
      </c>
      <c r="AD24" s="24">
        <v>110808</v>
      </c>
      <c r="AE24" s="24">
        <v>248376</v>
      </c>
    </row>
    <row r="25" spans="1:31">
      <c r="A25" t="s">
        <v>47</v>
      </c>
      <c r="B25" t="s">
        <v>271</v>
      </c>
      <c r="C25" t="s">
        <v>48</v>
      </c>
      <c r="D25" t="s">
        <v>331</v>
      </c>
      <c r="E25" t="s">
        <v>332</v>
      </c>
      <c r="F25" t="s">
        <v>333</v>
      </c>
      <c r="G25" t="s">
        <v>107</v>
      </c>
      <c r="H25" t="s">
        <v>176</v>
      </c>
      <c r="I25" t="s">
        <v>109</v>
      </c>
      <c r="J25" t="s">
        <v>334</v>
      </c>
      <c r="K25" t="s">
        <v>335</v>
      </c>
      <c r="L25" t="s">
        <v>111</v>
      </c>
      <c r="M25" t="s">
        <v>336</v>
      </c>
      <c r="N25" s="23">
        <v>46003.333333333343</v>
      </c>
      <c r="O25" s="23">
        <v>46003.645833333343</v>
      </c>
      <c r="P25" t="s">
        <v>125</v>
      </c>
      <c r="Q25" t="s">
        <v>126</v>
      </c>
      <c r="R25" t="s">
        <v>127</v>
      </c>
      <c r="S25" t="s">
        <v>337</v>
      </c>
      <c r="T25" t="s">
        <v>129</v>
      </c>
      <c r="U25" t="s">
        <v>338</v>
      </c>
      <c r="V25" t="s">
        <v>217</v>
      </c>
      <c r="W25" t="s">
        <v>116</v>
      </c>
      <c r="X25" t="s">
        <v>280</v>
      </c>
      <c r="Y25" s="24">
        <v>0</v>
      </c>
      <c r="Z25" s="24">
        <v>1</v>
      </c>
      <c r="AA25" s="24">
        <v>0</v>
      </c>
      <c r="AB25" s="24">
        <v>11251</v>
      </c>
      <c r="AC25" s="24">
        <v>0</v>
      </c>
      <c r="AD25" s="24">
        <v>0</v>
      </c>
      <c r="AE25" s="24">
        <v>11251</v>
      </c>
    </row>
    <row r="26" spans="1:31">
      <c r="A26" t="s">
        <v>61</v>
      </c>
      <c r="B26" t="s">
        <v>172</v>
      </c>
      <c r="C26" t="s">
        <v>32</v>
      </c>
      <c r="D26" t="s">
        <v>186</v>
      </c>
      <c r="E26" t="s">
        <v>339</v>
      </c>
      <c r="F26" t="s">
        <v>340</v>
      </c>
      <c r="G26" t="s">
        <v>107</v>
      </c>
      <c r="H26" t="s">
        <v>137</v>
      </c>
      <c r="I26" t="s">
        <v>177</v>
      </c>
      <c r="J26" t="s">
        <v>61</v>
      </c>
      <c r="K26" t="s">
        <v>341</v>
      </c>
      <c r="L26" t="s">
        <v>111</v>
      </c>
      <c r="M26" t="s">
        <v>342</v>
      </c>
      <c r="N26" s="23">
        <v>46009.333333333343</v>
      </c>
      <c r="O26" s="23">
        <v>46010.515277777777</v>
      </c>
      <c r="P26" t="s">
        <v>125</v>
      </c>
      <c r="Q26" t="s">
        <v>126</v>
      </c>
      <c r="R26" t="s">
        <v>127</v>
      </c>
      <c r="S26" t="s">
        <v>343</v>
      </c>
      <c r="T26" t="s">
        <v>129</v>
      </c>
      <c r="U26" t="s">
        <v>344</v>
      </c>
      <c r="V26" t="s">
        <v>8</v>
      </c>
      <c r="W26" t="s">
        <v>116</v>
      </c>
      <c r="X26" t="s">
        <v>193</v>
      </c>
      <c r="Y26" s="24">
        <v>1</v>
      </c>
      <c r="Z26" s="24">
        <v>1</v>
      </c>
      <c r="AA26" s="24">
        <v>1</v>
      </c>
      <c r="AB26" s="24">
        <v>11251</v>
      </c>
      <c r="AC26" s="24">
        <v>126317</v>
      </c>
      <c r="AD26" s="24">
        <v>57415</v>
      </c>
      <c r="AE26" s="24">
        <v>194983</v>
      </c>
    </row>
    <row r="27" spans="1:31">
      <c r="A27" t="s">
        <v>61</v>
      </c>
      <c r="B27" t="s">
        <v>172</v>
      </c>
      <c r="C27" t="s">
        <v>32</v>
      </c>
      <c r="D27" t="s">
        <v>345</v>
      </c>
      <c r="E27" t="s">
        <v>346</v>
      </c>
      <c r="F27" t="s">
        <v>347</v>
      </c>
      <c r="G27" t="s">
        <v>107</v>
      </c>
      <c r="H27" t="s">
        <v>137</v>
      </c>
      <c r="I27" t="s">
        <v>177</v>
      </c>
      <c r="J27" t="s">
        <v>348</v>
      </c>
      <c r="K27" t="s">
        <v>349</v>
      </c>
      <c r="L27" t="s">
        <v>111</v>
      </c>
      <c r="M27" t="s">
        <v>350</v>
      </c>
      <c r="N27" s="23">
        <v>46009.333333333343</v>
      </c>
      <c r="O27" s="23">
        <v>46010.586805555547</v>
      </c>
      <c r="P27" t="s">
        <v>125</v>
      </c>
      <c r="Q27" t="s">
        <v>181</v>
      </c>
      <c r="R27" t="s">
        <v>127</v>
      </c>
      <c r="S27" t="s">
        <v>351</v>
      </c>
      <c r="T27" t="s">
        <v>129</v>
      </c>
      <c r="U27" t="s">
        <v>352</v>
      </c>
      <c r="V27" t="s">
        <v>217</v>
      </c>
      <c r="W27" t="s">
        <v>116</v>
      </c>
      <c r="X27" t="s">
        <v>353</v>
      </c>
      <c r="Y27" s="24">
        <v>1</v>
      </c>
      <c r="Z27" s="24">
        <v>1</v>
      </c>
      <c r="AA27" s="24">
        <v>1</v>
      </c>
      <c r="AB27" s="24">
        <v>11251</v>
      </c>
      <c r="AC27" s="24">
        <v>126317</v>
      </c>
      <c r="AD27" s="24">
        <v>110808</v>
      </c>
      <c r="AE27" s="24">
        <v>248376</v>
      </c>
    </row>
    <row r="28" spans="1:31">
      <c r="A28" t="s">
        <v>61</v>
      </c>
      <c r="B28" t="s">
        <v>172</v>
      </c>
      <c r="C28" t="s">
        <v>32</v>
      </c>
      <c r="D28" t="s">
        <v>354</v>
      </c>
      <c r="E28" t="s">
        <v>355</v>
      </c>
      <c r="F28" t="s">
        <v>356</v>
      </c>
      <c r="G28" t="s">
        <v>107</v>
      </c>
      <c r="H28" t="s">
        <v>137</v>
      </c>
      <c r="I28" t="s">
        <v>177</v>
      </c>
      <c r="J28" t="s">
        <v>357</v>
      </c>
      <c r="K28" t="s">
        <v>358</v>
      </c>
      <c r="L28" t="s">
        <v>111</v>
      </c>
      <c r="M28" t="s">
        <v>359</v>
      </c>
      <c r="N28" s="23">
        <v>46009.333333333343</v>
      </c>
      <c r="O28" s="23">
        <v>46009.624305555553</v>
      </c>
      <c r="P28" t="s">
        <v>125</v>
      </c>
      <c r="Q28" t="s">
        <v>126</v>
      </c>
      <c r="R28" t="s">
        <v>127</v>
      </c>
      <c r="S28" t="s">
        <v>360</v>
      </c>
      <c r="T28" t="s">
        <v>129</v>
      </c>
      <c r="U28" t="s">
        <v>361</v>
      </c>
      <c r="V28" t="s">
        <v>217</v>
      </c>
      <c r="W28" t="s">
        <v>116</v>
      </c>
      <c r="X28" t="s">
        <v>362</v>
      </c>
      <c r="Y28" s="24">
        <v>1</v>
      </c>
      <c r="Z28" s="24">
        <v>1</v>
      </c>
      <c r="AA28" s="24">
        <v>1</v>
      </c>
      <c r="AB28" s="24">
        <v>11251</v>
      </c>
      <c r="AC28" s="24">
        <v>126317</v>
      </c>
      <c r="AD28" s="24">
        <v>110808</v>
      </c>
      <c r="AE28" s="24">
        <v>248376</v>
      </c>
    </row>
    <row r="29" spans="1:31">
      <c r="A29" t="s">
        <v>61</v>
      </c>
      <c r="B29" t="s">
        <v>172</v>
      </c>
      <c r="C29" t="s">
        <v>32</v>
      </c>
      <c r="D29" t="s">
        <v>363</v>
      </c>
      <c r="E29" t="s">
        <v>364</v>
      </c>
      <c r="F29" t="s">
        <v>365</v>
      </c>
      <c r="G29" t="s">
        <v>107</v>
      </c>
      <c r="H29" t="s">
        <v>137</v>
      </c>
      <c r="I29" t="s">
        <v>177</v>
      </c>
      <c r="J29" t="s">
        <v>366</v>
      </c>
      <c r="K29" t="s">
        <v>367</v>
      </c>
      <c r="L29" t="s">
        <v>111</v>
      </c>
      <c r="M29" t="s">
        <v>368</v>
      </c>
      <c r="N29" s="23">
        <v>46009.333333333343</v>
      </c>
      <c r="O29" s="23">
        <v>46010.629861111112</v>
      </c>
      <c r="P29" t="s">
        <v>125</v>
      </c>
      <c r="Q29" t="s">
        <v>126</v>
      </c>
      <c r="R29" t="s">
        <v>127</v>
      </c>
      <c r="S29" t="s">
        <v>369</v>
      </c>
      <c r="T29" t="s">
        <v>129</v>
      </c>
      <c r="U29" t="s">
        <v>370</v>
      </c>
      <c r="V29" t="s">
        <v>217</v>
      </c>
      <c r="W29" t="s">
        <v>116</v>
      </c>
      <c r="X29" t="s">
        <v>371</v>
      </c>
      <c r="Y29" s="24">
        <v>1</v>
      </c>
      <c r="Z29" s="24">
        <v>1</v>
      </c>
      <c r="AA29" s="24">
        <v>1</v>
      </c>
      <c r="AB29" s="24">
        <v>11251</v>
      </c>
      <c r="AC29" s="24">
        <v>126317</v>
      </c>
      <c r="AD29" s="24">
        <v>110808</v>
      </c>
      <c r="AE29" s="24">
        <v>248376</v>
      </c>
    </row>
    <row r="30" spans="1:31">
      <c r="A30" t="s">
        <v>61</v>
      </c>
      <c r="B30" t="s">
        <v>172</v>
      </c>
      <c r="C30" t="s">
        <v>32</v>
      </c>
      <c r="D30" t="s">
        <v>372</v>
      </c>
      <c r="E30" t="s">
        <v>373</v>
      </c>
      <c r="F30" t="s">
        <v>374</v>
      </c>
      <c r="G30" t="s">
        <v>107</v>
      </c>
      <c r="H30" t="s">
        <v>137</v>
      </c>
      <c r="I30" t="s">
        <v>177</v>
      </c>
      <c r="J30" t="s">
        <v>375</v>
      </c>
      <c r="K30" t="s">
        <v>376</v>
      </c>
      <c r="L30" t="s">
        <v>111</v>
      </c>
      <c r="M30" t="s">
        <v>377</v>
      </c>
      <c r="N30" s="23">
        <v>46009.333333333343</v>
      </c>
      <c r="O30" s="23">
        <v>46010.586805555547</v>
      </c>
      <c r="P30" t="s">
        <v>125</v>
      </c>
      <c r="Q30" t="s">
        <v>181</v>
      </c>
      <c r="R30" t="s">
        <v>127</v>
      </c>
      <c r="S30" t="s">
        <v>378</v>
      </c>
      <c r="T30" t="s">
        <v>129</v>
      </c>
      <c r="U30" t="s">
        <v>379</v>
      </c>
      <c r="V30" t="s">
        <v>217</v>
      </c>
      <c r="W30" t="s">
        <v>116</v>
      </c>
      <c r="X30" t="s">
        <v>185</v>
      </c>
      <c r="Y30" s="24">
        <v>1</v>
      </c>
      <c r="Z30" s="24">
        <v>1</v>
      </c>
      <c r="AA30" s="24">
        <v>1</v>
      </c>
      <c r="AB30" s="24">
        <v>11251</v>
      </c>
      <c r="AC30" s="24">
        <v>126317</v>
      </c>
      <c r="AD30" s="24">
        <v>110808</v>
      </c>
      <c r="AE30" s="24">
        <v>248376</v>
      </c>
    </row>
    <row r="31" spans="1:31">
      <c r="A31" t="s">
        <v>69</v>
      </c>
      <c r="B31" t="s">
        <v>207</v>
      </c>
      <c r="C31" t="s">
        <v>44</v>
      </c>
      <c r="D31" t="s">
        <v>380</v>
      </c>
      <c r="E31" t="s">
        <v>381</v>
      </c>
      <c r="F31" t="s">
        <v>382</v>
      </c>
      <c r="G31" t="s">
        <v>107</v>
      </c>
      <c r="H31" t="s">
        <v>137</v>
      </c>
      <c r="I31" t="s">
        <v>211</v>
      </c>
      <c r="J31" t="s">
        <v>383</v>
      </c>
      <c r="K31" t="s">
        <v>384</v>
      </c>
      <c r="L31" t="s">
        <v>111</v>
      </c>
      <c r="M31" t="s">
        <v>385</v>
      </c>
      <c r="N31" s="23">
        <v>46009.333333333343</v>
      </c>
      <c r="O31" s="23">
        <v>46009.619444444441</v>
      </c>
      <c r="P31" t="s">
        <v>125</v>
      </c>
      <c r="Q31" t="s">
        <v>126</v>
      </c>
      <c r="R31" t="s">
        <v>127</v>
      </c>
      <c r="S31" t="s">
        <v>386</v>
      </c>
      <c r="T31" t="s">
        <v>129</v>
      </c>
      <c r="U31" t="s">
        <v>387</v>
      </c>
      <c r="V31" t="s">
        <v>217</v>
      </c>
      <c r="W31" t="s">
        <v>116</v>
      </c>
      <c r="X31" t="s">
        <v>218</v>
      </c>
      <c r="Y31" s="24">
        <v>1</v>
      </c>
      <c r="Z31" s="24">
        <v>1</v>
      </c>
      <c r="AA31" s="24">
        <v>1</v>
      </c>
      <c r="AB31" s="24">
        <v>11251</v>
      </c>
      <c r="AC31" s="24">
        <v>126317</v>
      </c>
      <c r="AD31" s="24">
        <v>110808</v>
      </c>
      <c r="AE31" s="24">
        <v>248376</v>
      </c>
    </row>
    <row r="32" spans="1:31">
      <c r="A32" t="s">
        <v>43</v>
      </c>
      <c r="B32" t="s">
        <v>207</v>
      </c>
      <c r="C32" t="s">
        <v>44</v>
      </c>
      <c r="D32" t="s">
        <v>388</v>
      </c>
      <c r="E32" t="s">
        <v>389</v>
      </c>
      <c r="F32" t="s">
        <v>390</v>
      </c>
      <c r="G32" t="s">
        <v>107</v>
      </c>
      <c r="H32" t="s">
        <v>137</v>
      </c>
      <c r="I32" t="s">
        <v>156</v>
      </c>
      <c r="J32" t="s">
        <v>391</v>
      </c>
      <c r="K32" t="s">
        <v>392</v>
      </c>
      <c r="L32" t="s">
        <v>111</v>
      </c>
      <c r="M32" t="s">
        <v>393</v>
      </c>
      <c r="N32" s="23">
        <v>46009.333333333343</v>
      </c>
      <c r="O32" s="23">
        <v>46009.792361111111</v>
      </c>
      <c r="P32" t="s">
        <v>125</v>
      </c>
      <c r="Q32" t="s">
        <v>181</v>
      </c>
      <c r="R32" t="s">
        <v>127</v>
      </c>
      <c r="S32" t="s">
        <v>394</v>
      </c>
      <c r="T32" t="s">
        <v>129</v>
      </c>
      <c r="U32" t="s">
        <v>395</v>
      </c>
      <c r="V32" t="s">
        <v>184</v>
      </c>
      <c r="W32" t="s">
        <v>116</v>
      </c>
      <c r="X32" t="s">
        <v>396</v>
      </c>
      <c r="Y32" s="24">
        <v>1</v>
      </c>
      <c r="Z32" s="24">
        <v>1</v>
      </c>
      <c r="AA32" s="24">
        <v>1</v>
      </c>
      <c r="AB32" s="24">
        <v>11251</v>
      </c>
      <c r="AC32" s="24">
        <v>126317</v>
      </c>
      <c r="AD32" s="24">
        <v>110808</v>
      </c>
      <c r="AE32" s="24">
        <v>248376</v>
      </c>
    </row>
    <row r="33" spans="1:31">
      <c r="A33" t="s">
        <v>39</v>
      </c>
      <c r="B33" t="s">
        <v>219</v>
      </c>
      <c r="C33" t="s">
        <v>40</v>
      </c>
      <c r="D33" t="s">
        <v>397</v>
      </c>
      <c r="E33" t="s">
        <v>398</v>
      </c>
      <c r="F33" t="s">
        <v>399</v>
      </c>
      <c r="G33" t="s">
        <v>107</v>
      </c>
      <c r="H33" t="s">
        <v>137</v>
      </c>
      <c r="I33" t="s">
        <v>223</v>
      </c>
      <c r="J33" t="s">
        <v>400</v>
      </c>
      <c r="K33" t="s">
        <v>401</v>
      </c>
      <c r="L33" t="s">
        <v>111</v>
      </c>
      <c r="M33" t="s">
        <v>402</v>
      </c>
      <c r="N33" s="23">
        <v>46009.333333333343</v>
      </c>
      <c r="O33" s="23">
        <v>46010.618055555547</v>
      </c>
      <c r="P33" t="s">
        <v>125</v>
      </c>
      <c r="Q33" t="s">
        <v>181</v>
      </c>
      <c r="R33" t="s">
        <v>127</v>
      </c>
      <c r="S33" t="s">
        <v>403</v>
      </c>
      <c r="T33" t="s">
        <v>129</v>
      </c>
      <c r="U33" t="s">
        <v>404</v>
      </c>
      <c r="V33" t="s">
        <v>184</v>
      </c>
      <c r="W33" t="s">
        <v>116</v>
      </c>
      <c r="X33" t="s">
        <v>405</v>
      </c>
      <c r="Y33" s="24">
        <v>1</v>
      </c>
      <c r="Z33" s="24">
        <v>1</v>
      </c>
      <c r="AA33" s="24">
        <v>1</v>
      </c>
      <c r="AB33" s="24">
        <v>11251</v>
      </c>
      <c r="AC33" s="24">
        <v>126317</v>
      </c>
      <c r="AD33" s="24">
        <v>110808</v>
      </c>
      <c r="AE33" s="24">
        <v>248376</v>
      </c>
    </row>
    <row r="34" spans="1:31">
      <c r="A34" t="s">
        <v>71</v>
      </c>
      <c r="B34" t="s">
        <v>260</v>
      </c>
      <c r="C34" t="s">
        <v>54</v>
      </c>
      <c r="D34" t="s">
        <v>406</v>
      </c>
      <c r="E34" t="s">
        <v>407</v>
      </c>
      <c r="F34" t="s">
        <v>408</v>
      </c>
      <c r="G34" t="s">
        <v>107</v>
      </c>
      <c r="H34" t="s">
        <v>137</v>
      </c>
      <c r="I34" t="s">
        <v>264</v>
      </c>
      <c r="J34" t="s">
        <v>409</v>
      </c>
      <c r="K34" t="s">
        <v>410</v>
      </c>
      <c r="L34" t="s">
        <v>111</v>
      </c>
      <c r="M34" t="s">
        <v>411</v>
      </c>
      <c r="N34" s="23">
        <v>46009.333333333343</v>
      </c>
      <c r="O34" s="23">
        <v>46009.587500000001</v>
      </c>
      <c r="P34" t="s">
        <v>125</v>
      </c>
      <c r="Q34" t="s">
        <v>126</v>
      </c>
      <c r="R34" t="s">
        <v>127</v>
      </c>
      <c r="S34" t="s">
        <v>412</v>
      </c>
      <c r="T34" t="s">
        <v>129</v>
      </c>
      <c r="U34" t="s">
        <v>413</v>
      </c>
      <c r="V34" t="s">
        <v>217</v>
      </c>
      <c r="W34" t="s">
        <v>116</v>
      </c>
      <c r="X34" t="s">
        <v>414</v>
      </c>
      <c r="Y34" s="24">
        <v>1</v>
      </c>
      <c r="Z34" s="24">
        <v>1</v>
      </c>
      <c r="AA34" s="24">
        <v>1</v>
      </c>
      <c r="AB34" s="24">
        <v>11251</v>
      </c>
      <c r="AC34" s="24">
        <v>126317</v>
      </c>
      <c r="AD34" s="24">
        <v>110808</v>
      </c>
      <c r="AE34" s="24">
        <v>248376</v>
      </c>
    </row>
    <row r="35" spans="1:31">
      <c r="A35" t="s">
        <v>52</v>
      </c>
      <c r="B35" t="s">
        <v>207</v>
      </c>
      <c r="C35" t="s">
        <v>44</v>
      </c>
      <c r="D35" t="s">
        <v>313</v>
      </c>
      <c r="E35" t="s">
        <v>415</v>
      </c>
      <c r="F35" t="s">
        <v>416</v>
      </c>
      <c r="G35" t="s">
        <v>107</v>
      </c>
      <c r="H35" t="s">
        <v>137</v>
      </c>
      <c r="I35" t="s">
        <v>316</v>
      </c>
      <c r="J35" t="s">
        <v>52</v>
      </c>
      <c r="K35" t="s">
        <v>417</v>
      </c>
      <c r="L35" t="s">
        <v>111</v>
      </c>
      <c r="M35" t="s">
        <v>418</v>
      </c>
      <c r="N35" s="23">
        <v>46009.333333333343</v>
      </c>
      <c r="O35" s="23">
        <v>46010.564583333333</v>
      </c>
      <c r="P35" t="s">
        <v>125</v>
      </c>
      <c r="Q35" t="s">
        <v>126</v>
      </c>
      <c r="R35" t="s">
        <v>127</v>
      </c>
      <c r="S35" t="s">
        <v>419</v>
      </c>
      <c r="T35" t="s">
        <v>129</v>
      </c>
      <c r="U35" t="s">
        <v>420</v>
      </c>
      <c r="V35" t="s">
        <v>8</v>
      </c>
      <c r="W35" t="s">
        <v>116</v>
      </c>
      <c r="X35" t="s">
        <v>421</v>
      </c>
      <c r="Y35" s="24">
        <v>1</v>
      </c>
      <c r="Z35" s="24">
        <v>1</v>
      </c>
      <c r="AA35" s="24">
        <v>1</v>
      </c>
      <c r="AB35" s="24">
        <v>11251</v>
      </c>
      <c r="AC35" s="24">
        <v>126317</v>
      </c>
      <c r="AD35" s="24">
        <v>57415</v>
      </c>
      <c r="AE35" s="24">
        <v>194983</v>
      </c>
    </row>
    <row r="36" spans="1:31">
      <c r="A36" t="s">
        <v>43</v>
      </c>
      <c r="B36" t="s">
        <v>207</v>
      </c>
      <c r="C36" t="s">
        <v>44</v>
      </c>
      <c r="D36" t="s">
        <v>422</v>
      </c>
      <c r="E36" t="s">
        <v>423</v>
      </c>
      <c r="F36" t="s">
        <v>424</v>
      </c>
      <c r="G36" t="s">
        <v>107</v>
      </c>
      <c r="H36" t="s">
        <v>137</v>
      </c>
      <c r="I36" t="s">
        <v>425</v>
      </c>
      <c r="J36" t="s">
        <v>43</v>
      </c>
      <c r="K36" t="s">
        <v>426</v>
      </c>
      <c r="L36" t="s">
        <v>111</v>
      </c>
      <c r="M36" t="s">
        <v>427</v>
      </c>
      <c r="N36" s="23">
        <v>46009.333333333343</v>
      </c>
      <c r="O36" s="23">
        <v>46009.713888888888</v>
      </c>
      <c r="P36" t="s">
        <v>125</v>
      </c>
      <c r="Q36" t="s">
        <v>126</v>
      </c>
      <c r="R36" t="s">
        <v>127</v>
      </c>
      <c r="S36" t="s">
        <v>428</v>
      </c>
      <c r="T36" t="s">
        <v>129</v>
      </c>
      <c r="U36" t="s">
        <v>429</v>
      </c>
      <c r="V36" t="s">
        <v>8</v>
      </c>
      <c r="W36" t="s">
        <v>116</v>
      </c>
      <c r="X36" t="s">
        <v>430</v>
      </c>
      <c r="Y36" s="24">
        <v>1</v>
      </c>
      <c r="Z36" s="24">
        <v>1</v>
      </c>
      <c r="AA36" s="24">
        <v>1</v>
      </c>
      <c r="AB36" s="24">
        <v>11251</v>
      </c>
      <c r="AC36" s="24">
        <v>126317</v>
      </c>
      <c r="AD36" s="24">
        <v>57415</v>
      </c>
      <c r="AE36" s="24">
        <v>194983</v>
      </c>
    </row>
    <row r="37" spans="1:31">
      <c r="A37" t="s">
        <v>43</v>
      </c>
      <c r="B37" t="s">
        <v>207</v>
      </c>
      <c r="C37" t="s">
        <v>44</v>
      </c>
      <c r="D37" t="s">
        <v>431</v>
      </c>
      <c r="E37" t="s">
        <v>432</v>
      </c>
      <c r="F37" t="s">
        <v>433</v>
      </c>
      <c r="G37" t="s">
        <v>107</v>
      </c>
      <c r="H37" t="s">
        <v>137</v>
      </c>
      <c r="I37" t="s">
        <v>425</v>
      </c>
      <c r="J37" t="s">
        <v>434</v>
      </c>
      <c r="K37" t="s">
        <v>435</v>
      </c>
      <c r="L37" t="s">
        <v>111</v>
      </c>
      <c r="M37" t="s">
        <v>436</v>
      </c>
      <c r="N37" s="23">
        <v>46009.333333333343</v>
      </c>
      <c r="O37" s="23">
        <v>46009.613888888889</v>
      </c>
      <c r="P37" t="s">
        <v>125</v>
      </c>
      <c r="Q37" t="s">
        <v>126</v>
      </c>
      <c r="R37" t="s">
        <v>127</v>
      </c>
      <c r="S37" t="s">
        <v>437</v>
      </c>
      <c r="T37" t="s">
        <v>129</v>
      </c>
      <c r="U37" t="s">
        <v>438</v>
      </c>
      <c r="V37" t="s">
        <v>8</v>
      </c>
      <c r="W37" t="s">
        <v>116</v>
      </c>
      <c r="X37" t="s">
        <v>439</v>
      </c>
      <c r="Y37" s="24">
        <v>1</v>
      </c>
      <c r="Z37" s="24">
        <v>1</v>
      </c>
      <c r="AA37" s="24">
        <v>1</v>
      </c>
      <c r="AB37" s="24">
        <v>11251</v>
      </c>
      <c r="AC37" s="24">
        <v>126317</v>
      </c>
      <c r="AD37" s="24">
        <v>57415</v>
      </c>
      <c r="AE37" s="24">
        <v>194983</v>
      </c>
    </row>
    <row r="38" spans="1:31">
      <c r="A38" t="s">
        <v>43</v>
      </c>
      <c r="B38" t="s">
        <v>207</v>
      </c>
      <c r="C38" t="s">
        <v>44</v>
      </c>
      <c r="D38" t="s">
        <v>440</v>
      </c>
      <c r="E38" t="s">
        <v>441</v>
      </c>
      <c r="F38" t="s">
        <v>442</v>
      </c>
      <c r="G38" t="s">
        <v>107</v>
      </c>
      <c r="H38" t="s">
        <v>137</v>
      </c>
      <c r="I38" t="s">
        <v>425</v>
      </c>
      <c r="J38" t="s">
        <v>443</v>
      </c>
      <c r="K38" t="s">
        <v>444</v>
      </c>
      <c r="L38" t="s">
        <v>111</v>
      </c>
      <c r="M38" t="s">
        <v>445</v>
      </c>
      <c r="N38" s="23">
        <v>46009.333333333343</v>
      </c>
      <c r="O38" s="23">
        <v>46009.644444444442</v>
      </c>
      <c r="P38" t="s">
        <v>125</v>
      </c>
      <c r="Q38" t="s">
        <v>181</v>
      </c>
      <c r="R38" t="s">
        <v>127</v>
      </c>
      <c r="S38" t="s">
        <v>446</v>
      </c>
      <c r="T38" t="s">
        <v>129</v>
      </c>
      <c r="U38" t="s">
        <v>447</v>
      </c>
      <c r="V38" t="s">
        <v>217</v>
      </c>
      <c r="W38" t="s">
        <v>116</v>
      </c>
      <c r="X38" t="s">
        <v>448</v>
      </c>
      <c r="Y38" s="24">
        <v>1</v>
      </c>
      <c r="Z38" s="24">
        <v>1</v>
      </c>
      <c r="AA38" s="24">
        <v>1</v>
      </c>
      <c r="AB38" s="24">
        <v>11251</v>
      </c>
      <c r="AC38" s="24">
        <v>126317</v>
      </c>
      <c r="AD38" s="24">
        <v>110808</v>
      </c>
      <c r="AE38" s="24">
        <v>248376</v>
      </c>
    </row>
    <row r="39" spans="1:31">
      <c r="A39" t="s">
        <v>47</v>
      </c>
      <c r="B39" t="s">
        <v>271</v>
      </c>
      <c r="C39" t="s">
        <v>48</v>
      </c>
      <c r="D39" t="s">
        <v>104</v>
      </c>
      <c r="E39" t="s">
        <v>449</v>
      </c>
      <c r="F39" t="s">
        <v>450</v>
      </c>
      <c r="G39" t="s">
        <v>107</v>
      </c>
      <c r="H39" t="s">
        <v>137</v>
      </c>
      <c r="I39" t="s">
        <v>109</v>
      </c>
      <c r="J39" t="s">
        <v>47</v>
      </c>
      <c r="K39" t="s">
        <v>451</v>
      </c>
      <c r="L39" t="s">
        <v>111</v>
      </c>
      <c r="M39" t="s">
        <v>452</v>
      </c>
      <c r="N39" s="23">
        <v>46009.333333333343</v>
      </c>
      <c r="O39" s="23">
        <v>46009.590277777781</v>
      </c>
      <c r="P39" t="s">
        <v>125</v>
      </c>
      <c r="Q39" t="s">
        <v>181</v>
      </c>
      <c r="R39" t="s">
        <v>127</v>
      </c>
      <c r="S39" t="s">
        <v>453</v>
      </c>
      <c r="T39" t="s">
        <v>129</v>
      </c>
      <c r="U39" t="s">
        <v>454</v>
      </c>
      <c r="V39" t="s">
        <v>8</v>
      </c>
      <c r="W39" t="s">
        <v>116</v>
      </c>
      <c r="X39" t="s">
        <v>455</v>
      </c>
      <c r="Y39" s="24">
        <v>1</v>
      </c>
      <c r="Z39" s="24">
        <v>1</v>
      </c>
      <c r="AA39" s="24">
        <v>1</v>
      </c>
      <c r="AB39" s="24">
        <v>11251</v>
      </c>
      <c r="AC39" s="24">
        <v>126317</v>
      </c>
      <c r="AD39" s="24">
        <v>57415</v>
      </c>
      <c r="AE39" s="24">
        <v>194983</v>
      </c>
    </row>
    <row r="40" spans="1:31">
      <c r="A40" t="s">
        <v>47</v>
      </c>
      <c r="B40" t="s">
        <v>271</v>
      </c>
      <c r="C40" t="s">
        <v>48</v>
      </c>
      <c r="D40" t="s">
        <v>331</v>
      </c>
      <c r="E40" t="s">
        <v>456</v>
      </c>
      <c r="F40" t="s">
        <v>457</v>
      </c>
      <c r="G40" t="s">
        <v>107</v>
      </c>
      <c r="H40" t="s">
        <v>137</v>
      </c>
      <c r="I40" t="s">
        <v>109</v>
      </c>
      <c r="J40" t="s">
        <v>334</v>
      </c>
      <c r="K40" t="s">
        <v>458</v>
      </c>
      <c r="L40" t="s">
        <v>111</v>
      </c>
      <c r="M40" t="s">
        <v>459</v>
      </c>
      <c r="N40" s="23">
        <v>46009.333333333343</v>
      </c>
      <c r="O40" s="23">
        <v>46010.438194444447</v>
      </c>
      <c r="P40" t="s">
        <v>125</v>
      </c>
      <c r="Q40" t="s">
        <v>181</v>
      </c>
      <c r="R40" t="s">
        <v>127</v>
      </c>
      <c r="S40" t="s">
        <v>460</v>
      </c>
      <c r="T40" t="s">
        <v>129</v>
      </c>
      <c r="V40" t="s">
        <v>217</v>
      </c>
      <c r="W40" t="s">
        <v>116</v>
      </c>
      <c r="X40" t="s">
        <v>461</v>
      </c>
      <c r="Y40" s="24">
        <v>1</v>
      </c>
      <c r="Z40" s="24">
        <v>1</v>
      </c>
      <c r="AA40" s="24">
        <v>1</v>
      </c>
      <c r="AB40" s="24">
        <v>0</v>
      </c>
      <c r="AC40" s="24">
        <v>0</v>
      </c>
      <c r="AD40" s="24">
        <v>0</v>
      </c>
      <c r="AE40" s="24">
        <v>248376</v>
      </c>
    </row>
    <row r="41" spans="1:31">
      <c r="A41" t="s">
        <v>72</v>
      </c>
      <c r="B41" t="s">
        <v>260</v>
      </c>
      <c r="C41" t="s">
        <v>54</v>
      </c>
      <c r="D41" t="s">
        <v>462</v>
      </c>
      <c r="E41" t="s">
        <v>463</v>
      </c>
      <c r="F41" t="s">
        <v>464</v>
      </c>
      <c r="G41" t="s">
        <v>107</v>
      </c>
      <c r="H41" t="s">
        <v>137</v>
      </c>
      <c r="I41" t="s">
        <v>465</v>
      </c>
      <c r="J41" t="s">
        <v>72</v>
      </c>
      <c r="K41" t="s">
        <v>466</v>
      </c>
      <c r="L41" t="s">
        <v>111</v>
      </c>
      <c r="M41" t="s">
        <v>467</v>
      </c>
      <c r="N41" s="23">
        <v>46009.333333333343</v>
      </c>
      <c r="O41" s="23">
        <v>46009.7</v>
      </c>
      <c r="P41" t="s">
        <v>125</v>
      </c>
      <c r="Q41" t="s">
        <v>126</v>
      </c>
      <c r="R41" t="s">
        <v>127</v>
      </c>
      <c r="S41" t="s">
        <v>468</v>
      </c>
      <c r="T41" t="s">
        <v>129</v>
      </c>
      <c r="U41" t="s">
        <v>469</v>
      </c>
      <c r="V41" t="s">
        <v>8</v>
      </c>
      <c r="W41" t="s">
        <v>116</v>
      </c>
      <c r="X41" t="s">
        <v>470</v>
      </c>
      <c r="Y41" s="24">
        <v>1</v>
      </c>
      <c r="Z41" s="24">
        <v>1</v>
      </c>
      <c r="AA41" s="24">
        <v>1</v>
      </c>
      <c r="AB41" s="24">
        <v>11251</v>
      </c>
      <c r="AC41" s="24">
        <v>126317</v>
      </c>
      <c r="AD41" s="24">
        <v>57415</v>
      </c>
      <c r="AE41" s="24">
        <v>194983</v>
      </c>
    </row>
    <row r="42" spans="1:31">
      <c r="A42" t="s">
        <v>72</v>
      </c>
      <c r="B42" t="s">
        <v>260</v>
      </c>
      <c r="C42" t="s">
        <v>54</v>
      </c>
      <c r="D42" t="s">
        <v>462</v>
      </c>
      <c r="E42" t="s">
        <v>471</v>
      </c>
      <c r="F42" t="s">
        <v>472</v>
      </c>
      <c r="G42" t="s">
        <v>107</v>
      </c>
      <c r="H42" t="s">
        <v>137</v>
      </c>
      <c r="I42" t="s">
        <v>465</v>
      </c>
      <c r="J42" t="s">
        <v>72</v>
      </c>
      <c r="K42" t="s">
        <v>473</v>
      </c>
      <c r="L42" t="s">
        <v>111</v>
      </c>
      <c r="M42" t="s">
        <v>474</v>
      </c>
      <c r="N42" s="23">
        <v>46009.333333333343</v>
      </c>
      <c r="O42" s="23">
        <v>46010.604166666657</v>
      </c>
      <c r="P42" t="s">
        <v>125</v>
      </c>
      <c r="Q42" t="s">
        <v>126</v>
      </c>
      <c r="R42" t="s">
        <v>127</v>
      </c>
      <c r="S42" t="s">
        <v>475</v>
      </c>
      <c r="T42" t="s">
        <v>129</v>
      </c>
      <c r="U42" t="s">
        <v>476</v>
      </c>
      <c r="V42" t="s">
        <v>8</v>
      </c>
      <c r="W42" t="s">
        <v>116</v>
      </c>
      <c r="X42" t="s">
        <v>470</v>
      </c>
      <c r="Y42" s="24">
        <v>1</v>
      </c>
      <c r="Z42" s="24">
        <v>1</v>
      </c>
      <c r="AA42" s="24">
        <v>1</v>
      </c>
      <c r="AB42" s="24">
        <v>11251</v>
      </c>
      <c r="AC42" s="24">
        <v>126317</v>
      </c>
      <c r="AD42" s="24">
        <v>57415</v>
      </c>
      <c r="AE42" s="24">
        <v>194983</v>
      </c>
    </row>
    <row r="43" spans="1:31">
      <c r="A43" t="s">
        <v>39</v>
      </c>
      <c r="B43" t="s">
        <v>219</v>
      </c>
      <c r="C43" t="s">
        <v>40</v>
      </c>
      <c r="D43" t="s">
        <v>281</v>
      </c>
      <c r="E43" t="s">
        <v>477</v>
      </c>
      <c r="F43" t="s">
        <v>478</v>
      </c>
      <c r="G43" t="s">
        <v>107</v>
      </c>
      <c r="H43" t="s">
        <v>137</v>
      </c>
      <c r="I43" t="s">
        <v>223</v>
      </c>
      <c r="J43" t="s">
        <v>39</v>
      </c>
      <c r="K43" t="s">
        <v>479</v>
      </c>
      <c r="L43" t="s">
        <v>111</v>
      </c>
      <c r="M43" t="s">
        <v>480</v>
      </c>
      <c r="N43" s="23">
        <v>46009.333333333343</v>
      </c>
      <c r="O43" s="23">
        <v>46010.503472222219</v>
      </c>
      <c r="P43" t="s">
        <v>125</v>
      </c>
      <c r="Q43" t="s">
        <v>181</v>
      </c>
      <c r="R43" t="s">
        <v>127</v>
      </c>
      <c r="S43" t="s">
        <v>481</v>
      </c>
      <c r="T43" t="s">
        <v>129</v>
      </c>
      <c r="U43" t="s">
        <v>482</v>
      </c>
      <c r="V43" t="s">
        <v>8</v>
      </c>
      <c r="W43" t="s">
        <v>116</v>
      </c>
      <c r="X43" t="s">
        <v>483</v>
      </c>
      <c r="Y43" s="24">
        <v>1</v>
      </c>
      <c r="Z43" s="24">
        <v>1</v>
      </c>
      <c r="AA43" s="24">
        <v>1</v>
      </c>
      <c r="AB43" s="24">
        <v>11251</v>
      </c>
      <c r="AC43" s="24">
        <v>126317</v>
      </c>
      <c r="AD43" s="24">
        <v>57415</v>
      </c>
      <c r="AE43" s="24">
        <v>194983</v>
      </c>
    </row>
    <row r="44" spans="1:31">
      <c r="A44" t="s">
        <v>39</v>
      </c>
      <c r="B44" t="s">
        <v>219</v>
      </c>
      <c r="C44" t="s">
        <v>40</v>
      </c>
      <c r="D44" t="s">
        <v>281</v>
      </c>
      <c r="E44" t="s">
        <v>484</v>
      </c>
      <c r="F44" t="s">
        <v>485</v>
      </c>
      <c r="G44" t="s">
        <v>107</v>
      </c>
      <c r="H44" t="s">
        <v>137</v>
      </c>
      <c r="I44" t="s">
        <v>223</v>
      </c>
      <c r="J44" t="s">
        <v>39</v>
      </c>
      <c r="K44" t="s">
        <v>486</v>
      </c>
      <c r="L44" t="s">
        <v>111</v>
      </c>
      <c r="M44" t="s">
        <v>487</v>
      </c>
      <c r="N44" s="23">
        <v>46009.333333333343</v>
      </c>
      <c r="O44" s="23">
        <v>46010.55</v>
      </c>
      <c r="P44" t="s">
        <v>125</v>
      </c>
      <c r="Q44" t="s">
        <v>181</v>
      </c>
      <c r="R44" t="s">
        <v>127</v>
      </c>
      <c r="S44" t="s">
        <v>488</v>
      </c>
      <c r="T44" t="s">
        <v>129</v>
      </c>
      <c r="U44" t="s">
        <v>489</v>
      </c>
      <c r="V44" t="s">
        <v>8</v>
      </c>
      <c r="W44" t="s">
        <v>116</v>
      </c>
      <c r="X44" t="s">
        <v>229</v>
      </c>
      <c r="Y44" s="24">
        <v>1</v>
      </c>
      <c r="Z44" s="24">
        <v>1</v>
      </c>
      <c r="AA44" s="24">
        <v>1</v>
      </c>
      <c r="AB44" s="24">
        <v>11251</v>
      </c>
      <c r="AC44" s="24">
        <v>126317</v>
      </c>
      <c r="AD44" s="24">
        <v>57415</v>
      </c>
      <c r="AE44" s="24">
        <v>194983</v>
      </c>
    </row>
    <row r="45" spans="1:31">
      <c r="A45" t="s">
        <v>61</v>
      </c>
      <c r="B45" t="s">
        <v>172</v>
      </c>
      <c r="C45" t="s">
        <v>32</v>
      </c>
      <c r="D45" t="s">
        <v>490</v>
      </c>
      <c r="E45" t="s">
        <v>491</v>
      </c>
      <c r="F45" t="s">
        <v>492</v>
      </c>
      <c r="G45" t="s">
        <v>107</v>
      </c>
      <c r="H45" t="s">
        <v>108</v>
      </c>
      <c r="I45" t="s">
        <v>177</v>
      </c>
      <c r="J45" t="s">
        <v>493</v>
      </c>
      <c r="K45" t="s">
        <v>494</v>
      </c>
      <c r="L45" t="s">
        <v>111</v>
      </c>
      <c r="M45" t="s">
        <v>495</v>
      </c>
      <c r="N45" s="23">
        <v>46009.333333333343</v>
      </c>
      <c r="O45" s="23">
        <v>46009.595138888893</v>
      </c>
      <c r="P45" t="s">
        <v>125</v>
      </c>
      <c r="Q45" t="s">
        <v>126</v>
      </c>
      <c r="R45" t="s">
        <v>127</v>
      </c>
      <c r="S45" t="s">
        <v>496</v>
      </c>
      <c r="T45" t="s">
        <v>129</v>
      </c>
      <c r="U45" t="s">
        <v>497</v>
      </c>
      <c r="V45" t="s">
        <v>8</v>
      </c>
      <c r="W45" t="s">
        <v>116</v>
      </c>
      <c r="X45" t="s">
        <v>498</v>
      </c>
      <c r="Y45" s="24">
        <v>1</v>
      </c>
      <c r="Z45" s="24">
        <v>1</v>
      </c>
      <c r="AA45" s="24">
        <v>1</v>
      </c>
      <c r="AB45" s="24">
        <v>11251</v>
      </c>
      <c r="AC45" s="24">
        <v>126317</v>
      </c>
      <c r="AD45" s="24">
        <v>57415</v>
      </c>
      <c r="AE45" s="24">
        <v>194983</v>
      </c>
    </row>
    <row r="46" spans="1:31">
      <c r="A46" t="s">
        <v>61</v>
      </c>
      <c r="B46" t="s">
        <v>172</v>
      </c>
      <c r="C46" t="s">
        <v>32</v>
      </c>
      <c r="D46" t="s">
        <v>186</v>
      </c>
      <c r="E46" t="s">
        <v>499</v>
      </c>
      <c r="F46" t="s">
        <v>500</v>
      </c>
      <c r="G46" t="s">
        <v>107</v>
      </c>
      <c r="H46" t="s">
        <v>137</v>
      </c>
      <c r="I46" t="s">
        <v>177</v>
      </c>
      <c r="J46" t="s">
        <v>61</v>
      </c>
      <c r="K46" t="s">
        <v>501</v>
      </c>
      <c r="L46" t="s">
        <v>111</v>
      </c>
      <c r="M46" t="s">
        <v>502</v>
      </c>
      <c r="N46" s="23">
        <v>46015.333333333343</v>
      </c>
      <c r="O46" s="23">
        <v>46015.463194444441</v>
      </c>
      <c r="P46" t="s">
        <v>125</v>
      </c>
      <c r="Q46" t="s">
        <v>126</v>
      </c>
      <c r="R46" t="s">
        <v>127</v>
      </c>
      <c r="S46" t="s">
        <v>503</v>
      </c>
      <c r="T46" t="s">
        <v>129</v>
      </c>
      <c r="U46" t="s">
        <v>504</v>
      </c>
      <c r="V46" t="s">
        <v>8</v>
      </c>
      <c r="W46" t="s">
        <v>116</v>
      </c>
      <c r="X46" t="s">
        <v>193</v>
      </c>
      <c r="Y46" s="24">
        <v>1</v>
      </c>
      <c r="Z46" s="24">
        <v>1</v>
      </c>
      <c r="AA46" s="24">
        <v>1</v>
      </c>
      <c r="AB46" s="24">
        <v>11251</v>
      </c>
      <c r="AC46" s="24">
        <v>126317</v>
      </c>
      <c r="AD46" s="24">
        <v>57415</v>
      </c>
      <c r="AE46" s="24">
        <v>194983</v>
      </c>
    </row>
    <row r="47" spans="1:31">
      <c r="A47" t="s">
        <v>61</v>
      </c>
      <c r="B47" t="s">
        <v>172</v>
      </c>
      <c r="C47" t="s">
        <v>32</v>
      </c>
      <c r="D47" t="s">
        <v>186</v>
      </c>
      <c r="E47" t="s">
        <v>505</v>
      </c>
      <c r="F47" t="s">
        <v>506</v>
      </c>
      <c r="G47" t="s">
        <v>107</v>
      </c>
      <c r="H47" t="s">
        <v>137</v>
      </c>
      <c r="I47" t="s">
        <v>177</v>
      </c>
      <c r="J47" t="s">
        <v>61</v>
      </c>
      <c r="K47" t="s">
        <v>507</v>
      </c>
      <c r="L47" t="s">
        <v>111</v>
      </c>
      <c r="M47" t="s">
        <v>508</v>
      </c>
      <c r="N47" s="23">
        <v>46015.333333333343</v>
      </c>
      <c r="O47" s="23">
        <v>46015.571527777778</v>
      </c>
      <c r="P47" t="s">
        <v>125</v>
      </c>
      <c r="Q47" t="s">
        <v>126</v>
      </c>
      <c r="R47" t="s">
        <v>127</v>
      </c>
      <c r="S47" t="s">
        <v>509</v>
      </c>
      <c r="T47" t="s">
        <v>129</v>
      </c>
      <c r="U47" t="s">
        <v>510</v>
      </c>
      <c r="V47" t="s">
        <v>8</v>
      </c>
      <c r="W47" t="s">
        <v>116</v>
      </c>
      <c r="X47" t="s">
        <v>185</v>
      </c>
      <c r="Y47" s="24">
        <v>1</v>
      </c>
      <c r="Z47" s="24">
        <v>1</v>
      </c>
      <c r="AA47" s="24">
        <v>1</v>
      </c>
      <c r="AB47" s="24">
        <v>11251</v>
      </c>
      <c r="AC47" s="24">
        <v>126317</v>
      </c>
      <c r="AD47" s="24">
        <v>57415</v>
      </c>
      <c r="AE47" s="24">
        <v>194983</v>
      </c>
    </row>
    <row r="48" spans="1:31">
      <c r="A48" t="s">
        <v>61</v>
      </c>
      <c r="B48" t="s">
        <v>172</v>
      </c>
      <c r="C48" t="s">
        <v>32</v>
      </c>
      <c r="D48" t="s">
        <v>186</v>
      </c>
      <c r="E48" t="s">
        <v>511</v>
      </c>
      <c r="F48" t="s">
        <v>512</v>
      </c>
      <c r="G48" t="s">
        <v>107</v>
      </c>
      <c r="H48" t="s">
        <v>137</v>
      </c>
      <c r="I48" t="s">
        <v>177</v>
      </c>
      <c r="J48" t="s">
        <v>61</v>
      </c>
      <c r="K48" t="s">
        <v>513</v>
      </c>
      <c r="L48" t="s">
        <v>111</v>
      </c>
      <c r="M48" t="s">
        <v>514</v>
      </c>
      <c r="N48" s="23">
        <v>46015.333333333343</v>
      </c>
      <c r="O48" s="23">
        <v>46015.540277777778</v>
      </c>
      <c r="P48" t="s">
        <v>125</v>
      </c>
      <c r="Q48" t="s">
        <v>126</v>
      </c>
      <c r="R48" t="s">
        <v>127</v>
      </c>
      <c r="S48" t="s">
        <v>515</v>
      </c>
      <c r="T48" t="s">
        <v>129</v>
      </c>
      <c r="U48" t="s">
        <v>516</v>
      </c>
      <c r="V48" t="s">
        <v>8</v>
      </c>
      <c r="W48" t="s">
        <v>116</v>
      </c>
      <c r="X48" t="s">
        <v>353</v>
      </c>
      <c r="Y48" s="24">
        <v>1</v>
      </c>
      <c r="Z48" s="24">
        <v>1</v>
      </c>
      <c r="AA48" s="24">
        <v>1</v>
      </c>
      <c r="AB48" s="24">
        <v>11251</v>
      </c>
      <c r="AC48" s="24">
        <v>126317</v>
      </c>
      <c r="AD48" s="24">
        <v>57415</v>
      </c>
      <c r="AE48" s="24">
        <v>194983</v>
      </c>
    </row>
    <row r="49" spans="1:31">
      <c r="A49" t="s">
        <v>61</v>
      </c>
      <c r="B49" t="s">
        <v>172</v>
      </c>
      <c r="C49" t="s">
        <v>32</v>
      </c>
      <c r="D49" t="s">
        <v>517</v>
      </c>
      <c r="E49" t="s">
        <v>518</v>
      </c>
      <c r="F49" t="s">
        <v>519</v>
      </c>
      <c r="G49" t="s">
        <v>107</v>
      </c>
      <c r="H49" t="s">
        <v>137</v>
      </c>
      <c r="I49" t="s">
        <v>177</v>
      </c>
      <c r="J49" t="s">
        <v>520</v>
      </c>
      <c r="K49" t="s">
        <v>521</v>
      </c>
      <c r="L49" t="s">
        <v>111</v>
      </c>
      <c r="M49" t="s">
        <v>522</v>
      </c>
      <c r="N49" s="23">
        <v>46015.333333333343</v>
      </c>
      <c r="O49" s="23">
        <v>46017.665972222218</v>
      </c>
      <c r="P49" t="s">
        <v>125</v>
      </c>
      <c r="Q49" t="s">
        <v>126</v>
      </c>
      <c r="R49" t="s">
        <v>127</v>
      </c>
      <c r="S49" t="s">
        <v>523</v>
      </c>
      <c r="T49" t="s">
        <v>129</v>
      </c>
      <c r="U49" t="s">
        <v>524</v>
      </c>
      <c r="V49" t="s">
        <v>217</v>
      </c>
      <c r="W49" t="s">
        <v>116</v>
      </c>
      <c r="X49" t="s">
        <v>185</v>
      </c>
      <c r="Y49" s="24">
        <v>1</v>
      </c>
      <c r="Z49" s="24">
        <v>1</v>
      </c>
      <c r="AA49" s="24">
        <v>1</v>
      </c>
      <c r="AB49" s="24">
        <v>11251</v>
      </c>
      <c r="AC49" s="24">
        <v>126317</v>
      </c>
      <c r="AD49" s="24">
        <v>110808</v>
      </c>
      <c r="AE49" s="24">
        <v>248376</v>
      </c>
    </row>
    <row r="50" spans="1:31">
      <c r="A50" t="s">
        <v>61</v>
      </c>
      <c r="B50" t="s">
        <v>172</v>
      </c>
      <c r="C50" t="s">
        <v>32</v>
      </c>
      <c r="D50" t="s">
        <v>525</v>
      </c>
      <c r="E50" t="s">
        <v>526</v>
      </c>
      <c r="F50" t="s">
        <v>527</v>
      </c>
      <c r="G50" t="s">
        <v>107</v>
      </c>
      <c r="H50" t="s">
        <v>137</v>
      </c>
      <c r="I50" t="s">
        <v>177</v>
      </c>
      <c r="J50" t="s">
        <v>528</v>
      </c>
      <c r="K50" t="s">
        <v>529</v>
      </c>
      <c r="L50" t="s">
        <v>111</v>
      </c>
      <c r="M50" t="s">
        <v>530</v>
      </c>
      <c r="N50" s="23">
        <v>46015.333333333343</v>
      </c>
      <c r="O50" s="23">
        <v>46015.580555555563</v>
      </c>
      <c r="P50" t="s">
        <v>125</v>
      </c>
      <c r="Q50" t="s">
        <v>126</v>
      </c>
      <c r="R50" t="s">
        <v>127</v>
      </c>
      <c r="S50" t="s">
        <v>531</v>
      </c>
      <c r="T50" t="s">
        <v>129</v>
      </c>
      <c r="U50" t="s">
        <v>532</v>
      </c>
      <c r="V50" t="s">
        <v>8</v>
      </c>
      <c r="W50" t="s">
        <v>116</v>
      </c>
      <c r="X50" t="s">
        <v>371</v>
      </c>
      <c r="Y50" s="24">
        <v>1</v>
      </c>
      <c r="Z50" s="24">
        <v>1</v>
      </c>
      <c r="AA50" s="24">
        <v>1</v>
      </c>
      <c r="AB50" s="24">
        <v>11251</v>
      </c>
      <c r="AC50" s="24">
        <v>126317</v>
      </c>
      <c r="AD50" s="24">
        <v>57415</v>
      </c>
      <c r="AE50" s="24">
        <v>194983</v>
      </c>
    </row>
    <row r="51" spans="1:31">
      <c r="A51" t="s">
        <v>61</v>
      </c>
      <c r="B51" t="s">
        <v>172</v>
      </c>
      <c r="C51" t="s">
        <v>32</v>
      </c>
      <c r="D51" t="s">
        <v>533</v>
      </c>
      <c r="E51" t="s">
        <v>534</v>
      </c>
      <c r="F51" t="s">
        <v>535</v>
      </c>
      <c r="G51" t="s">
        <v>107</v>
      </c>
      <c r="H51" t="s">
        <v>137</v>
      </c>
      <c r="I51" t="s">
        <v>177</v>
      </c>
      <c r="J51" t="s">
        <v>536</v>
      </c>
      <c r="K51" t="s">
        <v>537</v>
      </c>
      <c r="L51" t="s">
        <v>111</v>
      </c>
      <c r="M51" t="s">
        <v>538</v>
      </c>
      <c r="N51" s="23">
        <v>46015.333333333343</v>
      </c>
      <c r="O51" s="23">
        <v>46015.527083333327</v>
      </c>
      <c r="P51" t="s">
        <v>125</v>
      </c>
      <c r="Q51" t="s">
        <v>126</v>
      </c>
      <c r="R51" t="s">
        <v>127</v>
      </c>
      <c r="S51" t="s">
        <v>539</v>
      </c>
      <c r="T51" t="s">
        <v>129</v>
      </c>
      <c r="U51" t="s">
        <v>540</v>
      </c>
      <c r="V51" t="s">
        <v>8</v>
      </c>
      <c r="W51" t="s">
        <v>116</v>
      </c>
      <c r="X51" t="s">
        <v>362</v>
      </c>
      <c r="Y51" s="24">
        <v>1</v>
      </c>
      <c r="Z51" s="24">
        <v>1</v>
      </c>
      <c r="AA51" s="24">
        <v>1</v>
      </c>
      <c r="AB51" s="24">
        <v>11251</v>
      </c>
      <c r="AC51" s="24">
        <v>126317</v>
      </c>
      <c r="AD51" s="24">
        <v>57415</v>
      </c>
      <c r="AE51" s="24">
        <v>194983</v>
      </c>
    </row>
    <row r="52" spans="1:31">
      <c r="A52" t="s">
        <v>61</v>
      </c>
      <c r="B52" t="s">
        <v>172</v>
      </c>
      <c r="C52" t="s">
        <v>32</v>
      </c>
      <c r="D52" t="s">
        <v>541</v>
      </c>
      <c r="E52" t="s">
        <v>542</v>
      </c>
      <c r="F52" t="s">
        <v>543</v>
      </c>
      <c r="G52" t="s">
        <v>107</v>
      </c>
      <c r="H52" t="s">
        <v>137</v>
      </c>
      <c r="I52" t="s">
        <v>177</v>
      </c>
      <c r="J52" t="s">
        <v>544</v>
      </c>
      <c r="K52" t="s">
        <v>545</v>
      </c>
      <c r="L52" t="s">
        <v>111</v>
      </c>
      <c r="M52" t="s">
        <v>546</v>
      </c>
      <c r="N52" s="23">
        <v>46015.333333333343</v>
      </c>
      <c r="O52" s="23">
        <v>46017.661805555559</v>
      </c>
      <c r="P52" t="s">
        <v>125</v>
      </c>
      <c r="Q52" t="s">
        <v>126</v>
      </c>
      <c r="R52" t="s">
        <v>127</v>
      </c>
      <c r="S52" t="s">
        <v>547</v>
      </c>
      <c r="T52" t="s">
        <v>129</v>
      </c>
      <c r="U52" t="s">
        <v>548</v>
      </c>
      <c r="V52" t="s">
        <v>217</v>
      </c>
      <c r="W52" t="s">
        <v>116</v>
      </c>
      <c r="X52" t="s">
        <v>371</v>
      </c>
      <c r="Y52" s="24">
        <v>1</v>
      </c>
      <c r="Z52" s="24">
        <v>1</v>
      </c>
      <c r="AA52" s="24">
        <v>1</v>
      </c>
      <c r="AB52" s="24">
        <v>11251</v>
      </c>
      <c r="AC52" s="24">
        <v>126317</v>
      </c>
      <c r="AD52" s="24">
        <v>110808</v>
      </c>
      <c r="AE52" s="24">
        <v>248376</v>
      </c>
    </row>
    <row r="53" spans="1:31">
      <c r="A53" t="s">
        <v>61</v>
      </c>
      <c r="B53" t="s">
        <v>172</v>
      </c>
      <c r="C53" t="s">
        <v>32</v>
      </c>
      <c r="D53" t="s">
        <v>549</v>
      </c>
      <c r="E53" t="s">
        <v>550</v>
      </c>
      <c r="F53" t="s">
        <v>551</v>
      </c>
      <c r="G53" t="s">
        <v>107</v>
      </c>
      <c r="H53" t="s">
        <v>137</v>
      </c>
      <c r="I53" t="s">
        <v>177</v>
      </c>
      <c r="J53" t="s">
        <v>552</v>
      </c>
      <c r="K53" t="s">
        <v>553</v>
      </c>
      <c r="L53" t="s">
        <v>111</v>
      </c>
      <c r="M53" t="s">
        <v>554</v>
      </c>
      <c r="N53" s="23">
        <v>46015.333333333343</v>
      </c>
      <c r="O53" s="23">
        <v>46021.472916666673</v>
      </c>
      <c r="P53" t="s">
        <v>125</v>
      </c>
      <c r="Q53" t="s">
        <v>126</v>
      </c>
      <c r="R53" t="s">
        <v>555</v>
      </c>
      <c r="S53" t="s">
        <v>556</v>
      </c>
      <c r="T53" t="s">
        <v>129</v>
      </c>
      <c r="U53" t="s">
        <v>557</v>
      </c>
      <c r="V53" t="s">
        <v>131</v>
      </c>
      <c r="W53" t="s">
        <v>116</v>
      </c>
      <c r="X53" t="s">
        <v>498</v>
      </c>
      <c r="Y53" s="24">
        <v>1</v>
      </c>
      <c r="Z53" s="24">
        <v>1</v>
      </c>
      <c r="AA53" s="24">
        <v>3</v>
      </c>
      <c r="AB53" s="24">
        <v>11251</v>
      </c>
      <c r="AC53" s="24">
        <v>126317</v>
      </c>
      <c r="AD53" s="24">
        <v>332424.82536000002</v>
      </c>
      <c r="AE53" s="24">
        <v>469992</v>
      </c>
    </row>
    <row r="54" spans="1:31">
      <c r="A54" t="s">
        <v>61</v>
      </c>
      <c r="B54" t="s">
        <v>172</v>
      </c>
      <c r="C54" t="s">
        <v>32</v>
      </c>
      <c r="D54" t="s">
        <v>549</v>
      </c>
      <c r="E54" t="s">
        <v>558</v>
      </c>
      <c r="F54" t="s">
        <v>559</v>
      </c>
      <c r="G54" t="s">
        <v>107</v>
      </c>
      <c r="H54" t="s">
        <v>137</v>
      </c>
      <c r="I54" t="s">
        <v>177</v>
      </c>
      <c r="J54" t="s">
        <v>552</v>
      </c>
      <c r="K54" t="s">
        <v>560</v>
      </c>
      <c r="L54" t="s">
        <v>111</v>
      </c>
      <c r="M54" t="s">
        <v>561</v>
      </c>
      <c r="N54" s="23">
        <v>46015.333333333343</v>
      </c>
      <c r="O54" s="23">
        <v>46021.61041666667</v>
      </c>
      <c r="P54" t="s">
        <v>125</v>
      </c>
      <c r="Q54" t="s">
        <v>126</v>
      </c>
      <c r="R54" t="s">
        <v>127</v>
      </c>
      <c r="S54" t="s">
        <v>562</v>
      </c>
      <c r="T54" t="s">
        <v>129</v>
      </c>
      <c r="U54" t="s">
        <v>563</v>
      </c>
      <c r="V54" t="s">
        <v>131</v>
      </c>
      <c r="W54" t="s">
        <v>116</v>
      </c>
      <c r="X54" t="s">
        <v>498</v>
      </c>
      <c r="Y54" s="24">
        <v>1</v>
      </c>
      <c r="Z54" s="24">
        <v>1</v>
      </c>
      <c r="AA54" s="24">
        <v>1</v>
      </c>
      <c r="AB54" s="24">
        <v>11251</v>
      </c>
      <c r="AC54" s="24">
        <v>126317</v>
      </c>
      <c r="AD54" s="24">
        <v>110808</v>
      </c>
      <c r="AE54" s="24">
        <v>248376</v>
      </c>
    </row>
    <row r="55" spans="1:31">
      <c r="A55" t="s">
        <v>61</v>
      </c>
      <c r="B55" t="s">
        <v>172</v>
      </c>
      <c r="C55" t="s">
        <v>32</v>
      </c>
      <c r="D55" t="s">
        <v>564</v>
      </c>
      <c r="E55" t="s">
        <v>565</v>
      </c>
      <c r="F55" t="s">
        <v>566</v>
      </c>
      <c r="G55" t="s">
        <v>107</v>
      </c>
      <c r="H55" t="s">
        <v>137</v>
      </c>
      <c r="I55" t="s">
        <v>177</v>
      </c>
      <c r="J55" t="s">
        <v>567</v>
      </c>
      <c r="K55" t="s">
        <v>568</v>
      </c>
      <c r="L55" t="s">
        <v>111</v>
      </c>
      <c r="M55" t="s">
        <v>569</v>
      </c>
      <c r="N55" s="23">
        <v>46015.333333333343</v>
      </c>
      <c r="O55" s="23">
        <v>46020.78402777778</v>
      </c>
      <c r="P55" t="s">
        <v>125</v>
      </c>
      <c r="Q55" t="s">
        <v>126</v>
      </c>
      <c r="R55" t="s">
        <v>127</v>
      </c>
      <c r="S55" t="s">
        <v>570</v>
      </c>
      <c r="T55" t="s">
        <v>129</v>
      </c>
      <c r="U55" t="s">
        <v>571</v>
      </c>
      <c r="V55" t="s">
        <v>131</v>
      </c>
      <c r="W55" t="s">
        <v>116</v>
      </c>
      <c r="X55" t="s">
        <v>353</v>
      </c>
      <c r="Y55" s="24">
        <v>1</v>
      </c>
      <c r="Z55" s="24">
        <v>1</v>
      </c>
      <c r="AA55" s="24">
        <v>1</v>
      </c>
      <c r="AB55" s="24">
        <v>11251</v>
      </c>
      <c r="AC55" s="24">
        <v>126317</v>
      </c>
      <c r="AD55" s="24">
        <v>110808</v>
      </c>
      <c r="AE55" s="24">
        <v>248376</v>
      </c>
    </row>
    <row r="56" spans="1:31">
      <c r="A56" t="s">
        <v>51</v>
      </c>
      <c r="B56" t="s">
        <v>152</v>
      </c>
      <c r="C56" t="s">
        <v>36</v>
      </c>
      <c r="D56" t="s">
        <v>572</v>
      </c>
      <c r="E56" t="s">
        <v>573</v>
      </c>
      <c r="F56" t="s">
        <v>574</v>
      </c>
      <c r="G56" t="s">
        <v>107</v>
      </c>
      <c r="H56" t="s">
        <v>137</v>
      </c>
      <c r="I56" t="s">
        <v>575</v>
      </c>
      <c r="J56" t="s">
        <v>51</v>
      </c>
      <c r="K56" t="s">
        <v>576</v>
      </c>
      <c r="L56" t="s">
        <v>111</v>
      </c>
      <c r="M56" t="s">
        <v>577</v>
      </c>
      <c r="N56" s="23">
        <v>46015.333333333343</v>
      </c>
      <c r="O56" s="23">
        <v>46017.571527777778</v>
      </c>
      <c r="P56" t="s">
        <v>125</v>
      </c>
      <c r="Q56" t="s">
        <v>126</v>
      </c>
      <c r="R56" t="s">
        <v>127</v>
      </c>
      <c r="S56" t="s">
        <v>578</v>
      </c>
      <c r="T56" t="s">
        <v>129</v>
      </c>
      <c r="U56" t="s">
        <v>579</v>
      </c>
      <c r="V56" t="s">
        <v>8</v>
      </c>
      <c r="W56" t="s">
        <v>116</v>
      </c>
      <c r="X56" t="s">
        <v>580</v>
      </c>
      <c r="Y56" s="24">
        <v>1</v>
      </c>
      <c r="Z56" s="24">
        <v>1</v>
      </c>
      <c r="AA56" s="24">
        <v>1</v>
      </c>
      <c r="AB56" s="24">
        <v>11251</v>
      </c>
      <c r="AC56" s="24">
        <v>126317</v>
      </c>
      <c r="AD56" s="24">
        <v>57415</v>
      </c>
      <c r="AE56" s="24">
        <v>194983</v>
      </c>
    </row>
    <row r="57" spans="1:31">
      <c r="A57" t="s">
        <v>51</v>
      </c>
      <c r="B57" t="s">
        <v>152</v>
      </c>
      <c r="C57" t="s">
        <v>36</v>
      </c>
      <c r="D57" t="s">
        <v>581</v>
      </c>
      <c r="E57" t="s">
        <v>582</v>
      </c>
      <c r="F57" t="s">
        <v>583</v>
      </c>
      <c r="G57" t="s">
        <v>107</v>
      </c>
      <c r="H57" t="s">
        <v>137</v>
      </c>
      <c r="I57" t="s">
        <v>575</v>
      </c>
      <c r="J57" t="s">
        <v>584</v>
      </c>
      <c r="K57" t="s">
        <v>585</v>
      </c>
      <c r="L57" t="s">
        <v>111</v>
      </c>
      <c r="M57" t="s">
        <v>586</v>
      </c>
      <c r="N57" s="23">
        <v>46015.333333333343</v>
      </c>
      <c r="O57" s="23">
        <v>46020.606249999997</v>
      </c>
      <c r="P57" t="s">
        <v>125</v>
      </c>
      <c r="Q57" t="s">
        <v>126</v>
      </c>
      <c r="R57" t="s">
        <v>127</v>
      </c>
      <c r="S57" t="s">
        <v>587</v>
      </c>
      <c r="T57" t="s">
        <v>129</v>
      </c>
      <c r="U57" t="s">
        <v>588</v>
      </c>
      <c r="V57" t="s">
        <v>217</v>
      </c>
      <c r="W57" t="s">
        <v>116</v>
      </c>
      <c r="X57" t="s">
        <v>580</v>
      </c>
      <c r="Y57" s="24">
        <v>1</v>
      </c>
      <c r="Z57" s="24">
        <v>1</v>
      </c>
      <c r="AA57" s="24">
        <v>1</v>
      </c>
      <c r="AB57" s="24">
        <v>11251</v>
      </c>
      <c r="AC57" s="24">
        <v>126317</v>
      </c>
      <c r="AD57" s="24">
        <v>110808</v>
      </c>
      <c r="AE57" s="24">
        <v>248376</v>
      </c>
    </row>
    <row r="58" spans="1:31">
      <c r="A58" t="s">
        <v>72</v>
      </c>
      <c r="B58" t="s">
        <v>260</v>
      </c>
      <c r="C58" t="s">
        <v>54</v>
      </c>
      <c r="D58" t="s">
        <v>589</v>
      </c>
      <c r="E58" t="s">
        <v>590</v>
      </c>
      <c r="F58" t="s">
        <v>591</v>
      </c>
      <c r="G58" t="s">
        <v>107</v>
      </c>
      <c r="H58" t="s">
        <v>137</v>
      </c>
      <c r="I58" t="s">
        <v>211</v>
      </c>
      <c r="J58" t="s">
        <v>592</v>
      </c>
      <c r="K58" t="s">
        <v>593</v>
      </c>
      <c r="L58" t="s">
        <v>111</v>
      </c>
      <c r="M58" t="s">
        <v>594</v>
      </c>
      <c r="N58" s="23">
        <v>46015.333333333343</v>
      </c>
      <c r="O58" s="23">
        <v>46020.597916666673</v>
      </c>
      <c r="P58" t="s">
        <v>125</v>
      </c>
      <c r="Q58" t="s">
        <v>126</v>
      </c>
      <c r="R58" t="s">
        <v>127</v>
      </c>
      <c r="S58" t="s">
        <v>595</v>
      </c>
      <c r="T58" t="s">
        <v>129</v>
      </c>
      <c r="U58" t="s">
        <v>596</v>
      </c>
      <c r="V58" t="s">
        <v>184</v>
      </c>
      <c r="W58" t="s">
        <v>116</v>
      </c>
      <c r="X58" t="s">
        <v>470</v>
      </c>
      <c r="Y58" s="24">
        <v>1</v>
      </c>
      <c r="Z58" s="24">
        <v>1</v>
      </c>
      <c r="AA58" s="24">
        <v>1</v>
      </c>
      <c r="AB58" s="24">
        <v>11251</v>
      </c>
      <c r="AC58" s="24">
        <v>126317</v>
      </c>
      <c r="AD58" s="24">
        <v>110808</v>
      </c>
      <c r="AE58" s="24">
        <v>248376</v>
      </c>
    </row>
    <row r="59" spans="1:31">
      <c r="A59" t="s">
        <v>47</v>
      </c>
      <c r="B59" t="s">
        <v>271</v>
      </c>
      <c r="C59" t="s">
        <v>48</v>
      </c>
      <c r="D59" t="s">
        <v>597</v>
      </c>
      <c r="E59" t="s">
        <v>598</v>
      </c>
      <c r="F59" t="s">
        <v>599</v>
      </c>
      <c r="G59" t="s">
        <v>107</v>
      </c>
      <c r="H59" t="s">
        <v>137</v>
      </c>
      <c r="I59" t="s">
        <v>600</v>
      </c>
      <c r="J59" t="s">
        <v>66</v>
      </c>
      <c r="K59" t="s">
        <v>601</v>
      </c>
      <c r="L59" t="s">
        <v>111</v>
      </c>
      <c r="M59" t="s">
        <v>602</v>
      </c>
      <c r="N59" s="23">
        <v>46015.333333333343</v>
      </c>
      <c r="O59" s="23">
        <v>46017.495138888888</v>
      </c>
      <c r="P59" t="s">
        <v>125</v>
      </c>
      <c r="Q59" t="s">
        <v>126</v>
      </c>
      <c r="R59" t="s">
        <v>127</v>
      </c>
      <c r="S59" t="s">
        <v>603</v>
      </c>
      <c r="T59" t="s">
        <v>129</v>
      </c>
      <c r="U59" t="s">
        <v>604</v>
      </c>
      <c r="V59" t="s">
        <v>184</v>
      </c>
      <c r="W59" t="s">
        <v>116</v>
      </c>
      <c r="X59" t="s">
        <v>605</v>
      </c>
      <c r="Y59" s="24">
        <v>1</v>
      </c>
      <c r="Z59" s="24">
        <v>1</v>
      </c>
      <c r="AA59" s="24">
        <v>1</v>
      </c>
      <c r="AB59" s="24">
        <v>11251</v>
      </c>
      <c r="AC59" s="24">
        <v>126317</v>
      </c>
      <c r="AD59" s="24">
        <v>110808</v>
      </c>
      <c r="AE59" s="24">
        <v>248376</v>
      </c>
    </row>
    <row r="60" spans="1:31">
      <c r="A60" t="s">
        <v>47</v>
      </c>
      <c r="B60" t="s">
        <v>271</v>
      </c>
      <c r="C60" t="s">
        <v>48</v>
      </c>
      <c r="D60" t="s">
        <v>597</v>
      </c>
      <c r="E60" t="s">
        <v>606</v>
      </c>
      <c r="F60" t="s">
        <v>607</v>
      </c>
      <c r="G60" t="s">
        <v>107</v>
      </c>
      <c r="H60" t="s">
        <v>137</v>
      </c>
      <c r="I60" t="s">
        <v>600</v>
      </c>
      <c r="J60" t="s">
        <v>66</v>
      </c>
      <c r="K60" t="s">
        <v>608</v>
      </c>
      <c r="L60" t="s">
        <v>111</v>
      </c>
      <c r="M60" t="s">
        <v>609</v>
      </c>
      <c r="N60" s="23">
        <v>46015.333333333343</v>
      </c>
      <c r="O60" s="23">
        <v>46017.710416666669</v>
      </c>
      <c r="P60" t="s">
        <v>125</v>
      </c>
      <c r="Q60" t="s">
        <v>126</v>
      </c>
      <c r="R60" t="s">
        <v>127</v>
      </c>
      <c r="S60" t="s">
        <v>610</v>
      </c>
      <c r="T60" t="s">
        <v>129</v>
      </c>
      <c r="U60" t="s">
        <v>611</v>
      </c>
      <c r="V60" t="s">
        <v>184</v>
      </c>
      <c r="W60" t="s">
        <v>116</v>
      </c>
      <c r="X60" t="s">
        <v>605</v>
      </c>
      <c r="Y60" s="24">
        <v>1</v>
      </c>
      <c r="Z60" s="24">
        <v>1</v>
      </c>
      <c r="AA60" s="24">
        <v>1</v>
      </c>
      <c r="AB60" s="24">
        <v>11251</v>
      </c>
      <c r="AC60" s="24">
        <v>126317</v>
      </c>
      <c r="AD60" s="24">
        <v>110808</v>
      </c>
      <c r="AE60" s="24">
        <v>248376</v>
      </c>
    </row>
    <row r="61" spans="1:31">
      <c r="A61" t="s">
        <v>47</v>
      </c>
      <c r="B61" t="s">
        <v>271</v>
      </c>
      <c r="C61" t="s">
        <v>48</v>
      </c>
      <c r="D61" t="s">
        <v>612</v>
      </c>
      <c r="E61" t="s">
        <v>613</v>
      </c>
      <c r="F61" t="s">
        <v>614</v>
      </c>
      <c r="G61" t="s">
        <v>107</v>
      </c>
      <c r="H61" t="s">
        <v>137</v>
      </c>
      <c r="I61" t="s">
        <v>600</v>
      </c>
      <c r="J61" t="s">
        <v>615</v>
      </c>
      <c r="K61" t="s">
        <v>616</v>
      </c>
      <c r="L61" t="s">
        <v>111</v>
      </c>
      <c r="M61" t="s">
        <v>617</v>
      </c>
      <c r="N61" s="23">
        <v>46015.333333333343</v>
      </c>
      <c r="O61" s="23">
        <v>46020.506944444453</v>
      </c>
      <c r="P61" t="s">
        <v>125</v>
      </c>
      <c r="Q61" t="s">
        <v>126</v>
      </c>
      <c r="R61" t="s">
        <v>127</v>
      </c>
      <c r="S61" t="s">
        <v>618</v>
      </c>
      <c r="T61" t="s">
        <v>129</v>
      </c>
      <c r="U61" t="s">
        <v>619</v>
      </c>
      <c r="V61" t="s">
        <v>184</v>
      </c>
      <c r="W61" t="s">
        <v>116</v>
      </c>
      <c r="X61" t="s">
        <v>605</v>
      </c>
      <c r="Y61" s="24">
        <v>1</v>
      </c>
      <c r="Z61" s="24">
        <v>1</v>
      </c>
      <c r="AA61" s="24">
        <v>1</v>
      </c>
      <c r="AB61" s="24">
        <v>11251</v>
      </c>
      <c r="AC61" s="24">
        <v>126317</v>
      </c>
      <c r="AD61" s="24">
        <v>110808</v>
      </c>
      <c r="AE61" s="24">
        <v>248376</v>
      </c>
    </row>
    <row r="62" spans="1:31">
      <c r="A62" t="s">
        <v>64</v>
      </c>
      <c r="B62" t="s">
        <v>271</v>
      </c>
      <c r="C62" t="s">
        <v>48</v>
      </c>
      <c r="D62" t="s">
        <v>163</v>
      </c>
      <c r="E62" t="s">
        <v>620</v>
      </c>
      <c r="F62" t="s">
        <v>621</v>
      </c>
      <c r="G62" t="s">
        <v>107</v>
      </c>
      <c r="H62" t="s">
        <v>137</v>
      </c>
      <c r="I62" t="s">
        <v>166</v>
      </c>
      <c r="J62" t="s">
        <v>64</v>
      </c>
      <c r="K62" t="s">
        <v>622</v>
      </c>
      <c r="L62" t="s">
        <v>111</v>
      </c>
      <c r="M62" t="s">
        <v>623</v>
      </c>
      <c r="N62" s="23">
        <v>46015.333333333343</v>
      </c>
      <c r="O62" s="23">
        <v>46017.691666666673</v>
      </c>
      <c r="P62" t="s">
        <v>125</v>
      </c>
      <c r="Q62" t="s">
        <v>126</v>
      </c>
      <c r="R62" t="s">
        <v>127</v>
      </c>
      <c r="S62" t="s">
        <v>624</v>
      </c>
      <c r="T62" t="s">
        <v>129</v>
      </c>
      <c r="U62" t="s">
        <v>625</v>
      </c>
      <c r="V62" t="s">
        <v>8</v>
      </c>
      <c r="W62" t="s">
        <v>116</v>
      </c>
      <c r="X62" t="s">
        <v>330</v>
      </c>
      <c r="Y62" s="24">
        <v>1</v>
      </c>
      <c r="Z62" s="24">
        <v>1</v>
      </c>
      <c r="AA62" s="24">
        <v>1</v>
      </c>
      <c r="AB62" s="24">
        <v>11251</v>
      </c>
      <c r="AC62" s="24">
        <v>126317</v>
      </c>
      <c r="AD62" s="24">
        <v>57415</v>
      </c>
      <c r="AE62" s="24">
        <v>194983</v>
      </c>
    </row>
    <row r="63" spans="1:31">
      <c r="A63" t="s">
        <v>64</v>
      </c>
      <c r="B63" t="s">
        <v>271</v>
      </c>
      <c r="C63" t="s">
        <v>48</v>
      </c>
      <c r="D63" t="s">
        <v>163</v>
      </c>
      <c r="E63" t="s">
        <v>626</v>
      </c>
      <c r="F63" t="s">
        <v>627</v>
      </c>
      <c r="G63" t="s">
        <v>107</v>
      </c>
      <c r="H63" t="s">
        <v>137</v>
      </c>
      <c r="I63" t="s">
        <v>166</v>
      </c>
      <c r="J63" t="s">
        <v>64</v>
      </c>
      <c r="K63" t="s">
        <v>628</v>
      </c>
      <c r="L63" t="s">
        <v>111</v>
      </c>
      <c r="M63" t="s">
        <v>629</v>
      </c>
      <c r="N63" s="23">
        <v>46015.333333333343</v>
      </c>
      <c r="O63" s="23">
        <v>46015.586111111108</v>
      </c>
      <c r="P63" t="s">
        <v>125</v>
      </c>
      <c r="Q63" t="s">
        <v>126</v>
      </c>
      <c r="R63" t="s">
        <v>127</v>
      </c>
      <c r="S63" t="s">
        <v>630</v>
      </c>
      <c r="T63" t="s">
        <v>129</v>
      </c>
      <c r="U63" t="s">
        <v>631</v>
      </c>
      <c r="V63" t="s">
        <v>8</v>
      </c>
      <c r="W63" t="s">
        <v>116</v>
      </c>
      <c r="X63" t="s">
        <v>171</v>
      </c>
      <c r="Y63" s="24">
        <v>1</v>
      </c>
      <c r="Z63" s="24">
        <v>1</v>
      </c>
      <c r="AA63" s="24">
        <v>1</v>
      </c>
      <c r="AB63" s="24">
        <v>11251</v>
      </c>
      <c r="AC63" s="24">
        <v>126317</v>
      </c>
      <c r="AD63" s="24">
        <v>57415</v>
      </c>
      <c r="AE63" s="24">
        <v>194983</v>
      </c>
    </row>
    <row r="64" spans="1:31">
      <c r="A64" t="s">
        <v>64</v>
      </c>
      <c r="B64" t="s">
        <v>271</v>
      </c>
      <c r="C64" t="s">
        <v>48</v>
      </c>
      <c r="D64" t="s">
        <v>163</v>
      </c>
      <c r="E64" t="s">
        <v>632</v>
      </c>
      <c r="F64" t="s">
        <v>633</v>
      </c>
      <c r="G64" t="s">
        <v>107</v>
      </c>
      <c r="H64" t="s">
        <v>137</v>
      </c>
      <c r="I64" t="s">
        <v>166</v>
      </c>
      <c r="J64" t="s">
        <v>64</v>
      </c>
      <c r="K64" t="s">
        <v>634</v>
      </c>
      <c r="L64" t="s">
        <v>111</v>
      </c>
      <c r="M64" t="s">
        <v>635</v>
      </c>
      <c r="N64" s="23">
        <v>46015.333333333343</v>
      </c>
      <c r="O64" s="23">
        <v>46017.490277777782</v>
      </c>
      <c r="P64" t="s">
        <v>125</v>
      </c>
      <c r="Q64" t="s">
        <v>126</v>
      </c>
      <c r="R64" t="s">
        <v>127</v>
      </c>
      <c r="S64" t="s">
        <v>624</v>
      </c>
      <c r="T64" t="s">
        <v>129</v>
      </c>
      <c r="U64" t="s">
        <v>636</v>
      </c>
      <c r="V64" t="s">
        <v>8</v>
      </c>
      <c r="W64" t="s">
        <v>116</v>
      </c>
      <c r="X64" t="s">
        <v>330</v>
      </c>
      <c r="Y64" s="24">
        <v>1</v>
      </c>
      <c r="Z64" s="24">
        <v>1</v>
      </c>
      <c r="AA64" s="24">
        <v>1</v>
      </c>
      <c r="AB64" s="24">
        <v>11251</v>
      </c>
      <c r="AC64" s="24">
        <v>126317</v>
      </c>
      <c r="AD64" s="24">
        <v>57415</v>
      </c>
      <c r="AE64" s="24">
        <v>194983</v>
      </c>
    </row>
    <row r="65" spans="1:31">
      <c r="A65" t="s">
        <v>52</v>
      </c>
      <c r="B65" t="s">
        <v>207</v>
      </c>
      <c r="C65" t="s">
        <v>44</v>
      </c>
      <c r="D65" t="s">
        <v>313</v>
      </c>
      <c r="E65" t="s">
        <v>637</v>
      </c>
      <c r="F65" t="s">
        <v>638</v>
      </c>
      <c r="G65" t="s">
        <v>107</v>
      </c>
      <c r="H65" t="s">
        <v>137</v>
      </c>
      <c r="I65" t="s">
        <v>316</v>
      </c>
      <c r="J65" t="s">
        <v>52</v>
      </c>
      <c r="K65" t="s">
        <v>639</v>
      </c>
      <c r="L65" t="s">
        <v>111</v>
      </c>
      <c r="M65" t="s">
        <v>640</v>
      </c>
      <c r="N65" s="23">
        <v>46015.333333333343</v>
      </c>
      <c r="O65" s="23">
        <v>46017.659722222219</v>
      </c>
      <c r="P65" t="s">
        <v>125</v>
      </c>
      <c r="Q65" t="s">
        <v>126</v>
      </c>
      <c r="R65" t="s">
        <v>127</v>
      </c>
      <c r="S65" t="s">
        <v>641</v>
      </c>
      <c r="T65" t="s">
        <v>129</v>
      </c>
      <c r="U65" t="s">
        <v>642</v>
      </c>
      <c r="V65" t="s">
        <v>8</v>
      </c>
      <c r="W65" t="s">
        <v>116</v>
      </c>
      <c r="X65" t="s">
        <v>321</v>
      </c>
      <c r="Y65" s="24">
        <v>1</v>
      </c>
      <c r="Z65" s="24">
        <v>1</v>
      </c>
      <c r="AA65" s="24">
        <v>1</v>
      </c>
      <c r="AB65" s="24">
        <v>11251</v>
      </c>
      <c r="AC65" s="24">
        <v>126317</v>
      </c>
      <c r="AD65" s="24">
        <v>57415</v>
      </c>
      <c r="AE65" s="24">
        <v>194983</v>
      </c>
    </row>
    <row r="66" spans="1:31">
      <c r="A66" t="s">
        <v>52</v>
      </c>
      <c r="B66" t="s">
        <v>207</v>
      </c>
      <c r="C66" t="s">
        <v>44</v>
      </c>
      <c r="D66" t="s">
        <v>643</v>
      </c>
      <c r="E66" t="s">
        <v>644</v>
      </c>
      <c r="F66" t="s">
        <v>645</v>
      </c>
      <c r="G66" t="s">
        <v>107</v>
      </c>
      <c r="H66" t="s">
        <v>137</v>
      </c>
      <c r="I66" t="s">
        <v>316</v>
      </c>
      <c r="J66" t="s">
        <v>646</v>
      </c>
      <c r="K66" t="s">
        <v>647</v>
      </c>
      <c r="L66" t="s">
        <v>111</v>
      </c>
      <c r="M66" t="s">
        <v>648</v>
      </c>
      <c r="N66" s="23">
        <v>46015.333333333343</v>
      </c>
      <c r="O66" s="23">
        <v>46021.479861111111</v>
      </c>
      <c r="P66" t="s">
        <v>125</v>
      </c>
      <c r="Q66" t="s">
        <v>126</v>
      </c>
      <c r="R66" t="s">
        <v>127</v>
      </c>
      <c r="S66" t="s">
        <v>649</v>
      </c>
      <c r="T66" t="s">
        <v>129</v>
      </c>
      <c r="U66" t="s">
        <v>650</v>
      </c>
      <c r="V66" t="s">
        <v>131</v>
      </c>
      <c r="W66" t="s">
        <v>116</v>
      </c>
      <c r="X66" t="s">
        <v>651</v>
      </c>
      <c r="Y66" s="24">
        <v>1</v>
      </c>
      <c r="Z66" s="24">
        <v>1</v>
      </c>
      <c r="AA66" s="24">
        <v>1</v>
      </c>
      <c r="AB66" s="24">
        <v>11251</v>
      </c>
      <c r="AC66" s="24">
        <v>126317</v>
      </c>
      <c r="AD66" s="24">
        <v>110808</v>
      </c>
      <c r="AE66" s="24">
        <v>248376</v>
      </c>
    </row>
    <row r="67" spans="1:31">
      <c r="A67" t="s">
        <v>65</v>
      </c>
      <c r="B67" t="s">
        <v>652</v>
      </c>
      <c r="C67" t="s">
        <v>59</v>
      </c>
      <c r="D67" t="s">
        <v>653</v>
      </c>
      <c r="E67" t="s">
        <v>654</v>
      </c>
      <c r="F67" t="s">
        <v>655</v>
      </c>
      <c r="G67" t="s">
        <v>107</v>
      </c>
      <c r="H67" t="s">
        <v>137</v>
      </c>
      <c r="I67" t="s">
        <v>656</v>
      </c>
      <c r="J67" t="s">
        <v>657</v>
      </c>
      <c r="K67" t="s">
        <v>658</v>
      </c>
      <c r="L67" t="s">
        <v>111</v>
      </c>
      <c r="M67" t="s">
        <v>659</v>
      </c>
      <c r="N67" s="23">
        <v>46015.333333333343</v>
      </c>
      <c r="O67" s="23">
        <v>46017.598611111112</v>
      </c>
      <c r="P67" t="s">
        <v>125</v>
      </c>
      <c r="Q67" t="s">
        <v>126</v>
      </c>
      <c r="R67" t="s">
        <v>127</v>
      </c>
      <c r="S67" t="s">
        <v>660</v>
      </c>
      <c r="T67" t="s">
        <v>129</v>
      </c>
      <c r="U67" t="s">
        <v>661</v>
      </c>
      <c r="V67" t="s">
        <v>217</v>
      </c>
      <c r="W67" t="s">
        <v>116</v>
      </c>
      <c r="X67" t="s">
        <v>662</v>
      </c>
      <c r="Y67" s="24">
        <v>1</v>
      </c>
      <c r="Z67" s="24">
        <v>1</v>
      </c>
      <c r="AA67" s="24">
        <v>1</v>
      </c>
      <c r="AB67" s="24">
        <v>11251</v>
      </c>
      <c r="AC67" s="24">
        <v>126317</v>
      </c>
      <c r="AD67" s="24">
        <v>110808</v>
      </c>
      <c r="AE67" s="24">
        <v>248376</v>
      </c>
    </row>
    <row r="68" spans="1:31">
      <c r="A68" t="s">
        <v>65</v>
      </c>
      <c r="B68" t="s">
        <v>652</v>
      </c>
      <c r="C68" t="s">
        <v>59</v>
      </c>
      <c r="D68" t="s">
        <v>663</v>
      </c>
      <c r="E68" t="s">
        <v>664</v>
      </c>
      <c r="F68" t="s">
        <v>665</v>
      </c>
      <c r="G68" t="s">
        <v>107</v>
      </c>
      <c r="H68" t="s">
        <v>137</v>
      </c>
      <c r="I68" t="s">
        <v>666</v>
      </c>
      <c r="J68" t="s">
        <v>65</v>
      </c>
      <c r="K68" t="s">
        <v>667</v>
      </c>
      <c r="L68" t="s">
        <v>111</v>
      </c>
      <c r="M68" t="s">
        <v>668</v>
      </c>
      <c r="N68" s="23">
        <v>46015.333333333343</v>
      </c>
      <c r="O68" s="23">
        <v>46015.552777777782</v>
      </c>
      <c r="P68" t="s">
        <v>125</v>
      </c>
      <c r="Q68" t="s">
        <v>126</v>
      </c>
      <c r="R68" t="s">
        <v>127</v>
      </c>
      <c r="S68" t="s">
        <v>669</v>
      </c>
      <c r="T68" t="s">
        <v>129</v>
      </c>
      <c r="U68" t="s">
        <v>670</v>
      </c>
      <c r="V68" t="s">
        <v>8</v>
      </c>
      <c r="W68" t="s">
        <v>116</v>
      </c>
      <c r="X68" t="s">
        <v>671</v>
      </c>
      <c r="Y68" s="24">
        <v>1</v>
      </c>
      <c r="Z68" s="24">
        <v>1</v>
      </c>
      <c r="AA68" s="24">
        <v>1</v>
      </c>
      <c r="AB68" s="24">
        <v>11251</v>
      </c>
      <c r="AC68" s="24">
        <v>126317</v>
      </c>
      <c r="AD68" s="24">
        <v>57415</v>
      </c>
      <c r="AE68" s="24">
        <v>194983</v>
      </c>
    </row>
    <row r="69" spans="1:31">
      <c r="A69" t="s">
        <v>65</v>
      </c>
      <c r="B69" t="s">
        <v>652</v>
      </c>
      <c r="C69" t="s">
        <v>59</v>
      </c>
      <c r="D69" t="s">
        <v>663</v>
      </c>
      <c r="E69" t="s">
        <v>672</v>
      </c>
      <c r="F69" t="s">
        <v>673</v>
      </c>
      <c r="G69" t="s">
        <v>107</v>
      </c>
      <c r="H69" t="s">
        <v>137</v>
      </c>
      <c r="I69" t="s">
        <v>666</v>
      </c>
      <c r="J69" t="s">
        <v>65</v>
      </c>
      <c r="K69" t="s">
        <v>674</v>
      </c>
      <c r="L69" t="s">
        <v>111</v>
      </c>
      <c r="M69" t="s">
        <v>675</v>
      </c>
      <c r="N69" s="23">
        <v>46015.333333333343</v>
      </c>
      <c r="O69" s="23">
        <v>46017.505555555559</v>
      </c>
      <c r="P69" t="s">
        <v>125</v>
      </c>
      <c r="Q69" t="s">
        <v>126</v>
      </c>
      <c r="R69" t="s">
        <v>127</v>
      </c>
      <c r="S69" t="s">
        <v>676</v>
      </c>
      <c r="T69" t="s">
        <v>129</v>
      </c>
      <c r="U69" t="s">
        <v>677</v>
      </c>
      <c r="V69" t="s">
        <v>8</v>
      </c>
      <c r="W69" t="s">
        <v>116</v>
      </c>
      <c r="X69" t="s">
        <v>671</v>
      </c>
      <c r="Y69" s="24">
        <v>1</v>
      </c>
      <c r="Z69" s="24">
        <v>1</v>
      </c>
      <c r="AA69" s="24">
        <v>1</v>
      </c>
      <c r="AB69" s="24">
        <v>11251</v>
      </c>
      <c r="AC69" s="24">
        <v>126317</v>
      </c>
      <c r="AD69" s="24">
        <v>57415</v>
      </c>
      <c r="AE69" s="24">
        <v>194983</v>
      </c>
    </row>
    <row r="70" spans="1:31">
      <c r="A70" t="s">
        <v>43</v>
      </c>
      <c r="B70" t="s">
        <v>207</v>
      </c>
      <c r="C70" t="s">
        <v>44</v>
      </c>
      <c r="D70" t="s">
        <v>678</v>
      </c>
      <c r="E70" t="s">
        <v>679</v>
      </c>
      <c r="F70" t="s">
        <v>680</v>
      </c>
      <c r="G70" t="s">
        <v>107</v>
      </c>
      <c r="H70" t="s">
        <v>137</v>
      </c>
      <c r="I70" t="s">
        <v>425</v>
      </c>
      <c r="J70" t="s">
        <v>681</v>
      </c>
      <c r="K70" t="s">
        <v>682</v>
      </c>
      <c r="L70" t="s">
        <v>111</v>
      </c>
      <c r="M70" t="s">
        <v>683</v>
      </c>
      <c r="N70" s="23">
        <v>46015.333333333343</v>
      </c>
      <c r="O70" s="23">
        <v>46017.708333333343</v>
      </c>
      <c r="P70" t="s">
        <v>125</v>
      </c>
      <c r="Q70" t="s">
        <v>126</v>
      </c>
      <c r="R70" t="s">
        <v>127</v>
      </c>
      <c r="S70" t="s">
        <v>684</v>
      </c>
      <c r="T70" t="s">
        <v>129</v>
      </c>
      <c r="U70" t="s">
        <v>685</v>
      </c>
      <c r="V70" t="s">
        <v>8</v>
      </c>
      <c r="W70" t="s">
        <v>116</v>
      </c>
      <c r="X70" t="s">
        <v>686</v>
      </c>
      <c r="Y70" s="24">
        <v>1</v>
      </c>
      <c r="Z70" s="24">
        <v>1</v>
      </c>
      <c r="AA70" s="24">
        <v>1</v>
      </c>
      <c r="AB70" s="24">
        <v>11251</v>
      </c>
      <c r="AC70" s="24">
        <v>126317</v>
      </c>
      <c r="AD70" s="24">
        <v>57415</v>
      </c>
      <c r="AE70" s="24">
        <v>194983</v>
      </c>
    </row>
    <row r="71" spans="1:31">
      <c r="A71" t="s">
        <v>43</v>
      </c>
      <c r="B71" t="s">
        <v>207</v>
      </c>
      <c r="C71" t="s">
        <v>44</v>
      </c>
      <c r="D71" t="s">
        <v>440</v>
      </c>
      <c r="E71" t="s">
        <v>687</v>
      </c>
      <c r="F71" t="s">
        <v>688</v>
      </c>
      <c r="G71" t="s">
        <v>107</v>
      </c>
      <c r="H71" t="s">
        <v>137</v>
      </c>
      <c r="I71" t="s">
        <v>425</v>
      </c>
      <c r="J71" t="s">
        <v>443</v>
      </c>
      <c r="K71" t="s">
        <v>689</v>
      </c>
      <c r="L71" t="s">
        <v>111</v>
      </c>
      <c r="M71" t="s">
        <v>690</v>
      </c>
      <c r="N71" s="23">
        <v>46015.333333333343</v>
      </c>
      <c r="O71" s="23">
        <v>46017.56527777778</v>
      </c>
      <c r="P71" t="s">
        <v>125</v>
      </c>
      <c r="Q71" t="s">
        <v>126</v>
      </c>
      <c r="R71" t="s">
        <v>127</v>
      </c>
      <c r="S71" t="s">
        <v>691</v>
      </c>
      <c r="T71" t="s">
        <v>129</v>
      </c>
      <c r="U71" t="s">
        <v>692</v>
      </c>
      <c r="V71" t="s">
        <v>217</v>
      </c>
      <c r="W71" t="s">
        <v>116</v>
      </c>
      <c r="X71" t="s">
        <v>693</v>
      </c>
      <c r="Y71" s="24">
        <v>1</v>
      </c>
      <c r="Z71" s="24">
        <v>1</v>
      </c>
      <c r="AA71" s="24">
        <v>1</v>
      </c>
      <c r="AB71" s="24">
        <v>11251</v>
      </c>
      <c r="AC71" s="24">
        <v>126317</v>
      </c>
      <c r="AD71" s="24">
        <v>110808</v>
      </c>
      <c r="AE71" s="24">
        <v>248376</v>
      </c>
    </row>
    <row r="72" spans="1:31">
      <c r="A72" t="s">
        <v>57</v>
      </c>
      <c r="B72" t="s">
        <v>260</v>
      </c>
      <c r="C72" t="s">
        <v>54</v>
      </c>
      <c r="D72" t="s">
        <v>694</v>
      </c>
      <c r="E72" t="s">
        <v>695</v>
      </c>
      <c r="F72" t="s">
        <v>696</v>
      </c>
      <c r="G72" t="s">
        <v>107</v>
      </c>
      <c r="H72" t="s">
        <v>137</v>
      </c>
      <c r="I72" t="s">
        <v>138</v>
      </c>
      <c r="J72" t="s">
        <v>697</v>
      </c>
      <c r="K72" t="s">
        <v>698</v>
      </c>
      <c r="L72" t="s">
        <v>111</v>
      </c>
      <c r="M72" t="s">
        <v>699</v>
      </c>
      <c r="N72" s="23">
        <v>46015.333333333343</v>
      </c>
      <c r="O72" s="23">
        <v>46017.686111111107</v>
      </c>
      <c r="P72" t="s">
        <v>125</v>
      </c>
      <c r="Q72" t="s">
        <v>126</v>
      </c>
      <c r="R72" t="s">
        <v>127</v>
      </c>
      <c r="S72" t="s">
        <v>700</v>
      </c>
      <c r="T72" t="s">
        <v>129</v>
      </c>
      <c r="U72" t="s">
        <v>701</v>
      </c>
      <c r="V72" t="s">
        <v>184</v>
      </c>
      <c r="W72" t="s">
        <v>116</v>
      </c>
      <c r="X72" t="s">
        <v>702</v>
      </c>
      <c r="Y72" s="24">
        <v>1</v>
      </c>
      <c r="Z72" s="24">
        <v>1</v>
      </c>
      <c r="AA72" s="24">
        <v>1</v>
      </c>
      <c r="AB72" s="24">
        <v>11251</v>
      </c>
      <c r="AC72" s="24">
        <v>126317</v>
      </c>
      <c r="AD72" s="24">
        <v>110808</v>
      </c>
      <c r="AE72" s="24">
        <v>248376</v>
      </c>
    </row>
    <row r="73" spans="1:31">
      <c r="A73" t="s">
        <v>47</v>
      </c>
      <c r="B73" t="s">
        <v>271</v>
      </c>
      <c r="C73" t="s">
        <v>48</v>
      </c>
      <c r="D73" t="s">
        <v>104</v>
      </c>
      <c r="E73" t="s">
        <v>703</v>
      </c>
      <c r="F73" t="s">
        <v>704</v>
      </c>
      <c r="G73" t="s">
        <v>107</v>
      </c>
      <c r="H73" t="s">
        <v>137</v>
      </c>
      <c r="I73" t="s">
        <v>109</v>
      </c>
      <c r="J73" t="s">
        <v>47</v>
      </c>
      <c r="K73" t="s">
        <v>705</v>
      </c>
      <c r="L73" t="s">
        <v>111</v>
      </c>
      <c r="M73" t="s">
        <v>706</v>
      </c>
      <c r="N73" s="23">
        <v>46015.333333333343</v>
      </c>
      <c r="O73" s="23">
        <v>46015.536111111112</v>
      </c>
      <c r="P73" t="s">
        <v>125</v>
      </c>
      <c r="Q73" t="s">
        <v>126</v>
      </c>
      <c r="R73" t="s">
        <v>127</v>
      </c>
      <c r="S73" t="s">
        <v>707</v>
      </c>
      <c r="T73" t="s">
        <v>129</v>
      </c>
      <c r="U73" t="s">
        <v>708</v>
      </c>
      <c r="V73" t="s">
        <v>8</v>
      </c>
      <c r="W73" t="s">
        <v>116</v>
      </c>
      <c r="X73" t="s">
        <v>455</v>
      </c>
      <c r="Y73" s="24">
        <v>1</v>
      </c>
      <c r="Z73" s="24">
        <v>1</v>
      </c>
      <c r="AA73" s="24">
        <v>1</v>
      </c>
      <c r="AB73" s="24">
        <v>11251</v>
      </c>
      <c r="AC73" s="24">
        <v>126317</v>
      </c>
      <c r="AD73" s="24">
        <v>57415</v>
      </c>
      <c r="AE73" s="24">
        <v>194983</v>
      </c>
    </row>
    <row r="74" spans="1:31">
      <c r="A74" t="s">
        <v>47</v>
      </c>
      <c r="B74" t="s">
        <v>271</v>
      </c>
      <c r="C74" t="s">
        <v>48</v>
      </c>
      <c r="D74" t="s">
        <v>272</v>
      </c>
      <c r="E74" t="s">
        <v>709</v>
      </c>
      <c r="F74" t="s">
        <v>710</v>
      </c>
      <c r="G74" t="s">
        <v>107</v>
      </c>
      <c r="H74" t="s">
        <v>137</v>
      </c>
      <c r="I74" t="s">
        <v>109</v>
      </c>
      <c r="J74" t="s">
        <v>275</v>
      </c>
      <c r="K74" t="s">
        <v>711</v>
      </c>
      <c r="L74" t="s">
        <v>111</v>
      </c>
      <c r="M74" t="s">
        <v>712</v>
      </c>
      <c r="N74" s="23">
        <v>46015.333333333343</v>
      </c>
      <c r="O74" s="23">
        <v>46015.556944444441</v>
      </c>
      <c r="P74" t="s">
        <v>125</v>
      </c>
      <c r="Q74" t="s">
        <v>126</v>
      </c>
      <c r="R74" t="s">
        <v>127</v>
      </c>
      <c r="S74" t="s">
        <v>713</v>
      </c>
      <c r="T74" t="s">
        <v>129</v>
      </c>
      <c r="U74" t="s">
        <v>714</v>
      </c>
      <c r="V74" t="s">
        <v>8</v>
      </c>
      <c r="W74" t="s">
        <v>116</v>
      </c>
      <c r="X74" t="s">
        <v>280</v>
      </c>
      <c r="Y74" s="24">
        <v>1</v>
      </c>
      <c r="Z74" s="24">
        <v>1</v>
      </c>
      <c r="AA74" s="24">
        <v>1</v>
      </c>
      <c r="AB74" s="24">
        <v>11251</v>
      </c>
      <c r="AC74" s="24">
        <v>126317</v>
      </c>
      <c r="AD74" s="24">
        <v>57415</v>
      </c>
      <c r="AE74" s="24">
        <v>194983</v>
      </c>
    </row>
    <row r="75" spans="1:31">
      <c r="A75" t="s">
        <v>47</v>
      </c>
      <c r="B75" t="s">
        <v>271</v>
      </c>
      <c r="C75" t="s">
        <v>48</v>
      </c>
      <c r="D75" t="s">
        <v>272</v>
      </c>
      <c r="E75" t="s">
        <v>715</v>
      </c>
      <c r="F75" t="s">
        <v>716</v>
      </c>
      <c r="G75" t="s">
        <v>107</v>
      </c>
      <c r="H75" t="s">
        <v>137</v>
      </c>
      <c r="I75" t="s">
        <v>109</v>
      </c>
      <c r="J75" t="s">
        <v>275</v>
      </c>
      <c r="K75" t="s">
        <v>717</v>
      </c>
      <c r="L75" t="s">
        <v>111</v>
      </c>
      <c r="M75" t="s">
        <v>718</v>
      </c>
      <c r="N75" s="23">
        <v>46015.333333333343</v>
      </c>
      <c r="O75" s="23">
        <v>46017.681944444441</v>
      </c>
      <c r="P75" t="s">
        <v>125</v>
      </c>
      <c r="Q75" t="s">
        <v>126</v>
      </c>
      <c r="R75" t="s">
        <v>127</v>
      </c>
      <c r="S75" t="s">
        <v>719</v>
      </c>
      <c r="T75" t="s">
        <v>129</v>
      </c>
      <c r="U75" t="s">
        <v>720</v>
      </c>
      <c r="V75" t="s">
        <v>8</v>
      </c>
      <c r="W75" t="s">
        <v>116</v>
      </c>
      <c r="X75" t="s">
        <v>461</v>
      </c>
      <c r="Y75" s="24">
        <v>1</v>
      </c>
      <c r="Z75" s="24">
        <v>1</v>
      </c>
      <c r="AA75" s="24">
        <v>1</v>
      </c>
      <c r="AB75" s="24">
        <v>11251</v>
      </c>
      <c r="AC75" s="24">
        <v>126317</v>
      </c>
      <c r="AD75" s="24">
        <v>57415</v>
      </c>
      <c r="AE75" s="24">
        <v>194983</v>
      </c>
    </row>
    <row r="76" spans="1:31">
      <c r="A76" t="s">
        <v>47</v>
      </c>
      <c r="B76" t="s">
        <v>271</v>
      </c>
      <c r="C76" t="s">
        <v>48</v>
      </c>
      <c r="D76" t="s">
        <v>721</v>
      </c>
      <c r="E76" t="s">
        <v>722</v>
      </c>
      <c r="F76" t="s">
        <v>723</v>
      </c>
      <c r="G76" t="s">
        <v>107</v>
      </c>
      <c r="H76" t="s">
        <v>137</v>
      </c>
      <c r="I76" t="s">
        <v>109</v>
      </c>
      <c r="J76" t="s">
        <v>724</v>
      </c>
      <c r="K76" t="s">
        <v>725</v>
      </c>
      <c r="L76" t="s">
        <v>111</v>
      </c>
      <c r="M76" t="s">
        <v>726</v>
      </c>
      <c r="N76" s="23">
        <v>46015.333333333343</v>
      </c>
      <c r="O76" s="23">
        <v>46017.6875</v>
      </c>
      <c r="P76" t="s">
        <v>125</v>
      </c>
      <c r="Q76" t="s">
        <v>126</v>
      </c>
      <c r="R76" t="s">
        <v>127</v>
      </c>
      <c r="S76" t="s">
        <v>727</v>
      </c>
      <c r="T76" t="s">
        <v>129</v>
      </c>
      <c r="U76" t="s">
        <v>728</v>
      </c>
      <c r="V76" t="s">
        <v>217</v>
      </c>
      <c r="W76" t="s">
        <v>116</v>
      </c>
      <c r="X76" t="s">
        <v>729</v>
      </c>
      <c r="Y76" s="24">
        <v>1</v>
      </c>
      <c r="Z76" s="24">
        <v>1</v>
      </c>
      <c r="AA76" s="24">
        <v>1</v>
      </c>
      <c r="AB76" s="24">
        <v>11251</v>
      </c>
      <c r="AC76" s="24">
        <v>126317</v>
      </c>
      <c r="AD76" s="24">
        <v>110808</v>
      </c>
      <c r="AE76" s="24">
        <v>248376</v>
      </c>
    </row>
    <row r="77" spans="1:31">
      <c r="A77" t="s">
        <v>65</v>
      </c>
      <c r="B77" t="s">
        <v>652</v>
      </c>
      <c r="C77" t="s">
        <v>59</v>
      </c>
      <c r="D77" t="s">
        <v>730</v>
      </c>
      <c r="E77" t="s">
        <v>731</v>
      </c>
      <c r="F77" t="s">
        <v>732</v>
      </c>
      <c r="G77" t="s">
        <v>107</v>
      </c>
      <c r="H77" t="s">
        <v>137</v>
      </c>
      <c r="I77" t="s">
        <v>109</v>
      </c>
      <c r="J77" t="s">
        <v>733</v>
      </c>
      <c r="K77" t="s">
        <v>734</v>
      </c>
      <c r="L77" t="s">
        <v>111</v>
      </c>
      <c r="M77" t="s">
        <v>735</v>
      </c>
      <c r="N77" s="23">
        <v>46015.333333333343</v>
      </c>
      <c r="O77" s="23">
        <v>46017.944444444453</v>
      </c>
      <c r="P77" t="s">
        <v>125</v>
      </c>
      <c r="Q77" t="s">
        <v>126</v>
      </c>
      <c r="R77" t="s">
        <v>127</v>
      </c>
      <c r="S77" t="s">
        <v>736</v>
      </c>
      <c r="T77" t="s">
        <v>129</v>
      </c>
      <c r="U77" t="s">
        <v>737</v>
      </c>
      <c r="V77" t="s">
        <v>217</v>
      </c>
      <c r="W77" t="s">
        <v>116</v>
      </c>
      <c r="X77" t="s">
        <v>117</v>
      </c>
      <c r="Y77" s="24">
        <v>1</v>
      </c>
      <c r="Z77" s="24">
        <v>1</v>
      </c>
      <c r="AA77" s="24">
        <v>1</v>
      </c>
      <c r="AB77" s="24">
        <v>11251</v>
      </c>
      <c r="AC77" s="24">
        <v>126317</v>
      </c>
      <c r="AD77" s="24">
        <v>110808</v>
      </c>
      <c r="AE77" s="24">
        <v>248376</v>
      </c>
    </row>
    <row r="78" spans="1:31">
      <c r="A78" t="s">
        <v>47</v>
      </c>
      <c r="B78" t="s">
        <v>271</v>
      </c>
      <c r="C78" t="s">
        <v>48</v>
      </c>
      <c r="D78" t="s">
        <v>331</v>
      </c>
      <c r="E78" t="s">
        <v>738</v>
      </c>
      <c r="F78" t="s">
        <v>739</v>
      </c>
      <c r="G78" t="s">
        <v>107</v>
      </c>
      <c r="H78" t="s">
        <v>137</v>
      </c>
      <c r="I78" t="s">
        <v>109</v>
      </c>
      <c r="J78" t="s">
        <v>334</v>
      </c>
      <c r="K78" t="s">
        <v>740</v>
      </c>
      <c r="L78" t="s">
        <v>111</v>
      </c>
      <c r="M78" t="s">
        <v>741</v>
      </c>
      <c r="N78" s="23">
        <v>46015.333333333343</v>
      </c>
      <c r="O78" s="23">
        <v>46017.729166666657</v>
      </c>
      <c r="P78" t="s">
        <v>125</v>
      </c>
      <c r="Q78" t="s">
        <v>126</v>
      </c>
      <c r="R78" t="s">
        <v>127</v>
      </c>
      <c r="S78" t="s">
        <v>742</v>
      </c>
      <c r="T78" t="s">
        <v>129</v>
      </c>
      <c r="U78" t="s">
        <v>743</v>
      </c>
      <c r="V78" t="s">
        <v>217</v>
      </c>
      <c r="W78" t="s">
        <v>116</v>
      </c>
      <c r="X78" t="s">
        <v>280</v>
      </c>
      <c r="Y78" s="24">
        <v>1</v>
      </c>
      <c r="Z78" s="24">
        <v>1</v>
      </c>
      <c r="AA78" s="24">
        <v>1</v>
      </c>
      <c r="AB78" s="24">
        <v>11251</v>
      </c>
      <c r="AC78" s="24">
        <v>126317</v>
      </c>
      <c r="AD78" s="24">
        <v>110808</v>
      </c>
      <c r="AE78" s="24">
        <v>248376</v>
      </c>
    </row>
    <row r="79" spans="1:31">
      <c r="A79" t="s">
        <v>72</v>
      </c>
      <c r="B79" t="s">
        <v>260</v>
      </c>
      <c r="C79" t="s">
        <v>54</v>
      </c>
      <c r="D79" t="s">
        <v>744</v>
      </c>
      <c r="E79" t="s">
        <v>745</v>
      </c>
      <c r="F79" t="s">
        <v>746</v>
      </c>
      <c r="G79" t="s">
        <v>107</v>
      </c>
      <c r="H79" t="s">
        <v>137</v>
      </c>
      <c r="I79" t="s">
        <v>465</v>
      </c>
      <c r="J79" t="s">
        <v>747</v>
      </c>
      <c r="K79" t="s">
        <v>748</v>
      </c>
      <c r="L79" t="s">
        <v>111</v>
      </c>
      <c r="M79" t="s">
        <v>749</v>
      </c>
      <c r="N79" s="23">
        <v>46015.333333333343</v>
      </c>
      <c r="O79" s="23">
        <v>46017.738888888889</v>
      </c>
      <c r="P79" t="s">
        <v>125</v>
      </c>
      <c r="Q79" t="s">
        <v>126</v>
      </c>
      <c r="R79" t="s">
        <v>127</v>
      </c>
      <c r="S79" t="s">
        <v>750</v>
      </c>
      <c r="T79" t="s">
        <v>129</v>
      </c>
      <c r="U79" t="s">
        <v>751</v>
      </c>
      <c r="V79" t="s">
        <v>217</v>
      </c>
      <c r="W79" t="s">
        <v>116</v>
      </c>
      <c r="X79" t="s">
        <v>752</v>
      </c>
      <c r="Y79" s="24">
        <v>1</v>
      </c>
      <c r="Z79" s="24">
        <v>1</v>
      </c>
      <c r="AA79" s="24">
        <v>1</v>
      </c>
      <c r="AB79" s="24">
        <v>11251</v>
      </c>
      <c r="AC79" s="24">
        <v>126317</v>
      </c>
      <c r="AD79" s="24">
        <v>110808</v>
      </c>
      <c r="AE79" s="24">
        <v>248376</v>
      </c>
    </row>
  </sheetData>
  <autoFilter ref="A1:AE79" xr:uid="{00000000-0001-0000-0200-000000000000}"/>
  <conditionalFormatting sqref="E1:E1048576">
    <cfRule type="duplicateValues" dxfId="7" priority="1"/>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9"/>
  <sheetViews>
    <sheetView topLeftCell="W1" workbookViewId="0">
      <selection activeCell="AF1" sqref="AF1:AF1048576"/>
    </sheetView>
  </sheetViews>
  <sheetFormatPr baseColWidth="10" defaultColWidth="8.88671875" defaultRowHeight="14.4"/>
  <cols>
    <col min="1" max="1" width="15" customWidth="1"/>
    <col min="2" max="2" width="29" customWidth="1"/>
    <col min="3" max="3" width="27" customWidth="1"/>
    <col min="4" max="4" width="13" customWidth="1"/>
    <col min="5" max="5" width="21" customWidth="1"/>
    <col min="6" max="6" width="12" customWidth="1"/>
    <col min="7" max="7" width="15" customWidth="1"/>
    <col min="8" max="8" width="20" customWidth="1"/>
    <col min="9" max="9" width="15" customWidth="1"/>
    <col min="10" max="10" width="34" customWidth="1"/>
    <col min="11" max="11" width="10" customWidth="1"/>
    <col min="12" max="12" width="15" customWidth="1"/>
    <col min="13" max="13" width="41" customWidth="1"/>
    <col min="14" max="14" width="44" customWidth="1"/>
    <col min="15" max="15" width="11" customWidth="1"/>
    <col min="16" max="16" width="12" customWidth="1"/>
    <col min="17" max="17" width="16" customWidth="1"/>
    <col min="18" max="18" width="14" customWidth="1"/>
    <col min="19" max="19" width="15" customWidth="1"/>
    <col min="20" max="20" width="23" customWidth="1"/>
    <col min="21" max="21" width="22" customWidth="1"/>
    <col min="22" max="22" width="50" customWidth="1"/>
    <col min="23" max="23" width="20" customWidth="1"/>
    <col min="24" max="25" width="14" customWidth="1"/>
    <col min="26" max="26" width="18" customWidth="1"/>
    <col min="27" max="27" width="36" customWidth="1"/>
    <col min="28" max="28" width="16" customWidth="1"/>
    <col min="29" max="29" width="27" customWidth="1"/>
    <col min="30" max="30" width="17" customWidth="1"/>
    <col min="31" max="31" width="24" customWidth="1"/>
    <col min="32" max="32" width="39" customWidth="1"/>
  </cols>
  <sheetData>
    <row r="1" spans="1:32" ht="28.8">
      <c r="A1" s="22" t="s">
        <v>73</v>
      </c>
      <c r="B1" s="22" t="s">
        <v>74</v>
      </c>
      <c r="C1" s="22" t="s">
        <v>75</v>
      </c>
      <c r="D1" s="22" t="s">
        <v>76</v>
      </c>
      <c r="E1" s="22" t="s">
        <v>77</v>
      </c>
      <c r="F1" s="22" t="s">
        <v>78</v>
      </c>
      <c r="G1" s="22" t="s">
        <v>79</v>
      </c>
      <c r="H1" s="22" t="s">
        <v>81</v>
      </c>
      <c r="I1" s="22" t="s">
        <v>27</v>
      </c>
      <c r="J1" s="22" t="s">
        <v>82</v>
      </c>
      <c r="K1" s="22" t="s">
        <v>83</v>
      </c>
      <c r="L1" s="22" t="s">
        <v>84</v>
      </c>
      <c r="M1" s="22" t="s">
        <v>753</v>
      </c>
      <c r="N1" s="22" t="s">
        <v>754</v>
      </c>
      <c r="O1" s="22" t="s">
        <v>755</v>
      </c>
      <c r="P1" s="22" t="s">
        <v>756</v>
      </c>
      <c r="Q1" s="22" t="s">
        <v>29</v>
      </c>
      <c r="R1" s="22" t="s">
        <v>87</v>
      </c>
      <c r="S1" s="22" t="s">
        <v>88</v>
      </c>
      <c r="T1" s="22" t="s">
        <v>89</v>
      </c>
      <c r="U1" s="22" t="s">
        <v>757</v>
      </c>
      <c r="V1" s="22" t="s">
        <v>758</v>
      </c>
      <c r="W1" s="22" t="s">
        <v>91</v>
      </c>
      <c r="X1" s="22" t="s">
        <v>92</v>
      </c>
      <c r="Y1" s="22" t="s">
        <v>93</v>
      </c>
      <c r="Z1" s="22" t="s">
        <v>94</v>
      </c>
      <c r="AA1" s="22" t="s">
        <v>95</v>
      </c>
      <c r="AB1" s="22" t="s">
        <v>759</v>
      </c>
      <c r="AC1" s="22" t="s">
        <v>760</v>
      </c>
      <c r="AD1" s="22" t="s">
        <v>761</v>
      </c>
      <c r="AE1" s="22" t="s">
        <v>762</v>
      </c>
      <c r="AF1" s="22" t="s">
        <v>102</v>
      </c>
    </row>
    <row r="2" spans="1:32">
      <c r="A2" t="s">
        <v>61</v>
      </c>
      <c r="B2" t="s">
        <v>172</v>
      </c>
      <c r="C2" t="s">
        <v>32</v>
      </c>
      <c r="D2" t="s">
        <v>763</v>
      </c>
      <c r="E2" t="s">
        <v>764</v>
      </c>
      <c r="F2" t="s">
        <v>765</v>
      </c>
      <c r="G2" t="s">
        <v>766</v>
      </c>
      <c r="H2" t="s">
        <v>177</v>
      </c>
      <c r="I2" t="s">
        <v>767</v>
      </c>
      <c r="J2" t="s">
        <v>768</v>
      </c>
      <c r="K2" t="s">
        <v>111</v>
      </c>
      <c r="L2" t="s">
        <v>769</v>
      </c>
      <c r="M2" s="23">
        <v>45986.446527777778</v>
      </c>
      <c r="N2" s="23">
        <v>45993.43472222222</v>
      </c>
      <c r="P2" t="s">
        <v>770</v>
      </c>
      <c r="Q2" t="s">
        <v>771</v>
      </c>
      <c r="R2" t="s">
        <v>125</v>
      </c>
      <c r="S2" t="s">
        <v>126</v>
      </c>
      <c r="T2" t="s">
        <v>772</v>
      </c>
      <c r="U2" t="s">
        <v>773</v>
      </c>
      <c r="V2" t="s">
        <v>774</v>
      </c>
      <c r="W2" t="s">
        <v>115</v>
      </c>
      <c r="Y2" t="s">
        <v>8</v>
      </c>
      <c r="Z2" t="s">
        <v>116</v>
      </c>
      <c r="AA2" t="s">
        <v>206</v>
      </c>
      <c r="AB2" s="24">
        <v>0</v>
      </c>
      <c r="AC2" s="24">
        <v>0</v>
      </c>
      <c r="AD2" s="24">
        <v>37905</v>
      </c>
      <c r="AE2" s="24">
        <v>0</v>
      </c>
      <c r="AF2" s="24">
        <v>37905</v>
      </c>
    </row>
    <row r="3" spans="1:32">
      <c r="A3" t="s">
        <v>68</v>
      </c>
      <c r="B3" t="s">
        <v>152</v>
      </c>
      <c r="C3" t="s">
        <v>36</v>
      </c>
      <c r="D3" t="s">
        <v>775</v>
      </c>
      <c r="E3" t="s">
        <v>776</v>
      </c>
      <c r="F3" t="s">
        <v>777</v>
      </c>
      <c r="G3" t="s">
        <v>766</v>
      </c>
      <c r="H3" t="s">
        <v>778</v>
      </c>
      <c r="I3" t="s">
        <v>779</v>
      </c>
      <c r="J3" t="s">
        <v>780</v>
      </c>
      <c r="K3" t="s">
        <v>111</v>
      </c>
      <c r="L3" t="s">
        <v>781</v>
      </c>
      <c r="M3" s="23">
        <v>45987.355555555558</v>
      </c>
      <c r="N3" s="23">
        <v>45993.627083333333</v>
      </c>
      <c r="P3" t="s">
        <v>770</v>
      </c>
      <c r="Q3" t="s">
        <v>771</v>
      </c>
      <c r="R3" t="s">
        <v>782</v>
      </c>
      <c r="S3" t="s">
        <v>782</v>
      </c>
      <c r="T3" t="s">
        <v>127</v>
      </c>
      <c r="U3" t="s">
        <v>783</v>
      </c>
      <c r="V3" t="s">
        <v>784</v>
      </c>
      <c r="W3" t="s">
        <v>129</v>
      </c>
      <c r="Y3" t="s">
        <v>217</v>
      </c>
      <c r="Z3" t="s">
        <v>116</v>
      </c>
      <c r="AA3" t="s">
        <v>785</v>
      </c>
      <c r="AB3" s="24">
        <v>1</v>
      </c>
      <c r="AC3" s="24">
        <v>1</v>
      </c>
      <c r="AD3" s="24">
        <v>232859</v>
      </c>
      <c r="AE3" s="24">
        <v>110808</v>
      </c>
      <c r="AF3" s="24">
        <v>343667</v>
      </c>
    </row>
    <row r="4" spans="1:32">
      <c r="A4" t="s">
        <v>61</v>
      </c>
      <c r="B4" t="s">
        <v>172</v>
      </c>
      <c r="C4" t="s">
        <v>32</v>
      </c>
      <c r="D4" t="s">
        <v>186</v>
      </c>
      <c r="E4" t="s">
        <v>786</v>
      </c>
      <c r="F4" t="s">
        <v>787</v>
      </c>
      <c r="G4" t="s">
        <v>766</v>
      </c>
      <c r="H4" t="s">
        <v>177</v>
      </c>
      <c r="I4" t="s">
        <v>61</v>
      </c>
      <c r="J4" t="s">
        <v>788</v>
      </c>
      <c r="K4" t="s">
        <v>111</v>
      </c>
      <c r="L4" t="s">
        <v>789</v>
      </c>
      <c r="M4" s="23">
        <v>45988.333333333343</v>
      </c>
      <c r="N4" s="23">
        <v>45992.624305555553</v>
      </c>
      <c r="P4" t="s">
        <v>770</v>
      </c>
      <c r="Q4" t="s">
        <v>771</v>
      </c>
      <c r="R4" t="s">
        <v>782</v>
      </c>
      <c r="S4" t="s">
        <v>782</v>
      </c>
      <c r="T4" t="s">
        <v>127</v>
      </c>
      <c r="U4" t="s">
        <v>783</v>
      </c>
      <c r="V4" t="s">
        <v>790</v>
      </c>
      <c r="W4" t="s">
        <v>129</v>
      </c>
      <c r="Y4" t="s">
        <v>8</v>
      </c>
      <c r="Z4" t="s">
        <v>116</v>
      </c>
      <c r="AA4" t="s">
        <v>371</v>
      </c>
      <c r="AB4" s="24">
        <v>1</v>
      </c>
      <c r="AC4" s="24">
        <v>1</v>
      </c>
      <c r="AD4" s="24">
        <v>96011</v>
      </c>
      <c r="AE4" s="24">
        <v>57415</v>
      </c>
      <c r="AF4" s="24">
        <v>153426</v>
      </c>
    </row>
    <row r="5" spans="1:32">
      <c r="A5" t="s">
        <v>71</v>
      </c>
      <c r="B5" t="s">
        <v>133</v>
      </c>
      <c r="C5" t="s">
        <v>54</v>
      </c>
      <c r="D5" t="s">
        <v>791</v>
      </c>
      <c r="E5" t="s">
        <v>792</v>
      </c>
      <c r="F5" t="s">
        <v>793</v>
      </c>
      <c r="G5" t="s">
        <v>766</v>
      </c>
      <c r="H5" t="s">
        <v>794</v>
      </c>
      <c r="I5" t="s">
        <v>795</v>
      </c>
      <c r="J5" t="s">
        <v>796</v>
      </c>
      <c r="K5" t="s">
        <v>111</v>
      </c>
      <c r="L5" t="s">
        <v>797</v>
      </c>
      <c r="M5" s="23">
        <v>45988.344444444447</v>
      </c>
      <c r="N5" s="23">
        <v>46001.405555555553</v>
      </c>
      <c r="P5" t="s">
        <v>770</v>
      </c>
      <c r="Q5" t="s">
        <v>771</v>
      </c>
      <c r="R5" t="s">
        <v>782</v>
      </c>
      <c r="S5" t="s">
        <v>782</v>
      </c>
      <c r="T5" t="s">
        <v>127</v>
      </c>
      <c r="U5" t="s">
        <v>783</v>
      </c>
      <c r="V5" t="s">
        <v>798</v>
      </c>
      <c r="W5" t="s">
        <v>129</v>
      </c>
      <c r="Y5" t="s">
        <v>257</v>
      </c>
      <c r="Z5" t="s">
        <v>258</v>
      </c>
      <c r="AA5" t="s">
        <v>270</v>
      </c>
      <c r="AB5" s="24">
        <v>1</v>
      </c>
      <c r="AC5" s="24">
        <v>1</v>
      </c>
      <c r="AD5" s="24">
        <v>988463</v>
      </c>
      <c r="AE5" s="24">
        <v>110808</v>
      </c>
      <c r="AF5" s="24">
        <v>1099271</v>
      </c>
    </row>
    <row r="6" spans="1:32">
      <c r="A6" t="s">
        <v>39</v>
      </c>
      <c r="B6" t="s">
        <v>223</v>
      </c>
      <c r="C6" t="s">
        <v>40</v>
      </c>
      <c r="D6" t="s">
        <v>281</v>
      </c>
      <c r="E6" t="s">
        <v>799</v>
      </c>
      <c r="F6" t="s">
        <v>800</v>
      </c>
      <c r="G6" t="s">
        <v>766</v>
      </c>
      <c r="H6" t="s">
        <v>223</v>
      </c>
      <c r="I6" t="s">
        <v>39</v>
      </c>
      <c r="J6" t="s">
        <v>801</v>
      </c>
      <c r="K6" t="s">
        <v>111</v>
      </c>
      <c r="L6" t="s">
        <v>802</v>
      </c>
      <c r="M6" s="23">
        <v>45989.521527777782</v>
      </c>
      <c r="N6" s="23">
        <v>45995.465277777781</v>
      </c>
      <c r="P6" t="s">
        <v>770</v>
      </c>
      <c r="Q6" t="s">
        <v>771</v>
      </c>
      <c r="R6" t="s">
        <v>125</v>
      </c>
      <c r="S6" t="s">
        <v>181</v>
      </c>
      <c r="T6" t="s">
        <v>127</v>
      </c>
      <c r="U6" t="s">
        <v>783</v>
      </c>
      <c r="V6" t="s">
        <v>803</v>
      </c>
      <c r="W6" t="s">
        <v>129</v>
      </c>
      <c r="Y6" t="s">
        <v>8</v>
      </c>
      <c r="Z6" t="s">
        <v>116</v>
      </c>
      <c r="AA6" t="s">
        <v>804</v>
      </c>
      <c r="AB6" s="24">
        <v>1</v>
      </c>
      <c r="AC6" s="24">
        <v>1</v>
      </c>
      <c r="AD6" s="24">
        <v>96011</v>
      </c>
      <c r="AE6" s="24">
        <v>57415</v>
      </c>
      <c r="AF6" s="24">
        <v>153426</v>
      </c>
    </row>
    <row r="7" spans="1:32">
      <c r="A7" t="s">
        <v>65</v>
      </c>
      <c r="B7" t="s">
        <v>103</v>
      </c>
      <c r="C7" t="s">
        <v>59</v>
      </c>
      <c r="D7" t="s">
        <v>653</v>
      </c>
      <c r="E7" t="s">
        <v>805</v>
      </c>
      <c r="F7" t="s">
        <v>806</v>
      </c>
      <c r="G7" t="s">
        <v>766</v>
      </c>
      <c r="H7" t="s">
        <v>656</v>
      </c>
      <c r="I7" t="s">
        <v>657</v>
      </c>
      <c r="J7" t="s">
        <v>807</v>
      </c>
      <c r="K7" t="s">
        <v>111</v>
      </c>
      <c r="L7" t="s">
        <v>808</v>
      </c>
      <c r="M7" s="23">
        <v>45989.576388888891</v>
      </c>
      <c r="N7" s="23">
        <v>45993.453472222223</v>
      </c>
      <c r="P7" t="s">
        <v>770</v>
      </c>
      <c r="Q7" t="s">
        <v>771</v>
      </c>
      <c r="R7" t="s">
        <v>125</v>
      </c>
      <c r="S7" t="s">
        <v>126</v>
      </c>
      <c r="T7" t="s">
        <v>127</v>
      </c>
      <c r="U7" t="s">
        <v>783</v>
      </c>
      <c r="V7" t="s">
        <v>809</v>
      </c>
      <c r="W7" t="s">
        <v>129</v>
      </c>
      <c r="Y7" t="s">
        <v>217</v>
      </c>
      <c r="Z7" t="s">
        <v>116</v>
      </c>
      <c r="AA7" t="s">
        <v>810</v>
      </c>
      <c r="AB7" s="24">
        <v>1</v>
      </c>
      <c r="AC7" s="24">
        <v>1</v>
      </c>
      <c r="AD7" s="24">
        <v>232859</v>
      </c>
      <c r="AE7" s="24">
        <v>110808</v>
      </c>
      <c r="AF7" s="24">
        <v>343667</v>
      </c>
    </row>
    <row r="8" spans="1:32">
      <c r="A8" t="s">
        <v>47</v>
      </c>
      <c r="B8" t="s">
        <v>103</v>
      </c>
      <c r="C8" t="s">
        <v>48</v>
      </c>
      <c r="D8" t="s">
        <v>597</v>
      </c>
      <c r="E8" t="s">
        <v>811</v>
      </c>
      <c r="F8" t="s">
        <v>812</v>
      </c>
      <c r="G8" t="s">
        <v>766</v>
      </c>
      <c r="H8" t="s">
        <v>600</v>
      </c>
      <c r="I8" t="s">
        <v>66</v>
      </c>
      <c r="J8" t="s">
        <v>813</v>
      </c>
      <c r="K8" t="s">
        <v>111</v>
      </c>
      <c r="L8" t="s">
        <v>814</v>
      </c>
      <c r="M8" s="23">
        <v>45989.636805555558</v>
      </c>
      <c r="N8" s="23">
        <v>45997.636111111111</v>
      </c>
      <c r="P8" t="s">
        <v>770</v>
      </c>
      <c r="Q8" t="s">
        <v>771</v>
      </c>
      <c r="R8" t="s">
        <v>815</v>
      </c>
      <c r="S8" t="s">
        <v>782</v>
      </c>
      <c r="T8" t="s">
        <v>127</v>
      </c>
      <c r="U8" t="s">
        <v>773</v>
      </c>
      <c r="V8" t="s">
        <v>816</v>
      </c>
      <c r="W8" t="s">
        <v>129</v>
      </c>
      <c r="Y8" t="s">
        <v>184</v>
      </c>
      <c r="Z8" t="s">
        <v>116</v>
      </c>
      <c r="AA8" t="s">
        <v>605</v>
      </c>
      <c r="AB8" s="24">
        <v>1</v>
      </c>
      <c r="AC8" s="24">
        <v>1</v>
      </c>
      <c r="AD8" s="24">
        <v>344775</v>
      </c>
      <c r="AE8" s="24">
        <v>110808.27512000001</v>
      </c>
      <c r="AF8" s="24">
        <v>455583.27512000001</v>
      </c>
    </row>
    <row r="9" spans="1:32">
      <c r="A9" t="s">
        <v>65</v>
      </c>
      <c r="B9" t="s">
        <v>103</v>
      </c>
      <c r="C9" t="s">
        <v>59</v>
      </c>
      <c r="D9" t="s">
        <v>817</v>
      </c>
      <c r="E9" t="s">
        <v>818</v>
      </c>
      <c r="F9" t="s">
        <v>819</v>
      </c>
      <c r="G9" t="s">
        <v>766</v>
      </c>
      <c r="H9" t="s">
        <v>109</v>
      </c>
      <c r="I9" t="s">
        <v>820</v>
      </c>
      <c r="J9" t="s">
        <v>821</v>
      </c>
      <c r="K9" t="s">
        <v>111</v>
      </c>
      <c r="L9" t="s">
        <v>822</v>
      </c>
      <c r="M9" s="23">
        <v>45990.418749999997</v>
      </c>
      <c r="N9" s="23">
        <v>45992.648611111108</v>
      </c>
      <c r="P9" t="s">
        <v>770</v>
      </c>
      <c r="Q9" t="s">
        <v>771</v>
      </c>
      <c r="R9" t="s">
        <v>782</v>
      </c>
      <c r="S9" t="s">
        <v>782</v>
      </c>
      <c r="T9" t="s">
        <v>127</v>
      </c>
      <c r="U9" t="s">
        <v>783</v>
      </c>
      <c r="V9" t="s">
        <v>823</v>
      </c>
      <c r="W9" t="s">
        <v>129</v>
      </c>
      <c r="Y9" t="s">
        <v>8</v>
      </c>
      <c r="Z9" t="s">
        <v>116</v>
      </c>
      <c r="AA9" t="s">
        <v>671</v>
      </c>
      <c r="AB9" s="24">
        <v>1</v>
      </c>
      <c r="AC9" s="24">
        <v>1</v>
      </c>
      <c r="AD9" s="24">
        <v>96011</v>
      </c>
      <c r="AE9" s="24">
        <v>57415</v>
      </c>
      <c r="AF9" s="24">
        <v>153426</v>
      </c>
    </row>
    <row r="10" spans="1:32">
      <c r="A10" t="s">
        <v>47</v>
      </c>
      <c r="B10" t="s">
        <v>103</v>
      </c>
      <c r="C10" t="s">
        <v>48</v>
      </c>
      <c r="D10" t="s">
        <v>331</v>
      </c>
      <c r="E10" t="s">
        <v>824</v>
      </c>
      <c r="F10" t="s">
        <v>825</v>
      </c>
      <c r="G10" t="s">
        <v>766</v>
      </c>
      <c r="H10" t="s">
        <v>109</v>
      </c>
      <c r="I10" t="s">
        <v>334</v>
      </c>
      <c r="J10" t="s">
        <v>826</v>
      </c>
      <c r="K10" t="s">
        <v>111</v>
      </c>
      <c r="L10" t="s">
        <v>827</v>
      </c>
      <c r="M10" s="23">
        <v>45990.442361111112</v>
      </c>
      <c r="N10" s="23">
        <v>45992.62222222222</v>
      </c>
      <c r="P10" t="s">
        <v>770</v>
      </c>
      <c r="Q10" t="s">
        <v>771</v>
      </c>
      <c r="R10" t="s">
        <v>782</v>
      </c>
      <c r="S10" t="s">
        <v>782</v>
      </c>
      <c r="T10" t="s">
        <v>127</v>
      </c>
      <c r="U10" t="s">
        <v>783</v>
      </c>
      <c r="V10" t="s">
        <v>828</v>
      </c>
      <c r="W10" t="s">
        <v>129</v>
      </c>
      <c r="Y10" t="s">
        <v>217</v>
      </c>
      <c r="Z10" t="s">
        <v>116</v>
      </c>
      <c r="AA10" t="s">
        <v>461</v>
      </c>
      <c r="AB10" s="24">
        <v>1</v>
      </c>
      <c r="AC10" s="24">
        <v>1</v>
      </c>
      <c r="AD10" s="24">
        <v>232859</v>
      </c>
      <c r="AE10" s="24">
        <v>110808</v>
      </c>
      <c r="AF10" s="24">
        <v>343667</v>
      </c>
    </row>
    <row r="11" spans="1:32">
      <c r="A11" t="s">
        <v>61</v>
      </c>
      <c r="B11" t="s">
        <v>172</v>
      </c>
      <c r="C11" t="s">
        <v>32</v>
      </c>
      <c r="D11" t="s">
        <v>186</v>
      </c>
      <c r="E11" t="s">
        <v>829</v>
      </c>
      <c r="F11" t="s">
        <v>830</v>
      </c>
      <c r="G11" t="s">
        <v>766</v>
      </c>
      <c r="H11" t="s">
        <v>177</v>
      </c>
      <c r="I11" t="s">
        <v>61</v>
      </c>
      <c r="J11" t="s">
        <v>831</v>
      </c>
      <c r="K11" t="s">
        <v>111</v>
      </c>
      <c r="L11" t="s">
        <v>832</v>
      </c>
      <c r="M11" s="23">
        <v>45992.4375</v>
      </c>
      <c r="N11" s="23">
        <v>45993.469444444447</v>
      </c>
      <c r="P11" t="s">
        <v>770</v>
      </c>
      <c r="Q11" t="s">
        <v>771</v>
      </c>
      <c r="R11" t="s">
        <v>125</v>
      </c>
      <c r="S11" t="s">
        <v>181</v>
      </c>
      <c r="T11" t="s">
        <v>127</v>
      </c>
      <c r="U11" t="s">
        <v>783</v>
      </c>
      <c r="V11" t="s">
        <v>833</v>
      </c>
      <c r="W11" t="s">
        <v>129</v>
      </c>
      <c r="Y11" t="s">
        <v>8</v>
      </c>
      <c r="Z11" t="s">
        <v>116</v>
      </c>
      <c r="AA11" t="s">
        <v>185</v>
      </c>
      <c r="AB11" s="24">
        <v>1</v>
      </c>
      <c r="AC11" s="24">
        <v>1</v>
      </c>
      <c r="AD11" s="24">
        <v>96011</v>
      </c>
      <c r="AE11" s="24">
        <v>57415</v>
      </c>
      <c r="AF11" s="24">
        <v>153426</v>
      </c>
    </row>
    <row r="12" spans="1:32">
      <c r="A12" t="s">
        <v>65</v>
      </c>
      <c r="B12" t="s">
        <v>103</v>
      </c>
      <c r="C12" t="s">
        <v>59</v>
      </c>
      <c r="D12" t="s">
        <v>834</v>
      </c>
      <c r="E12" t="s">
        <v>835</v>
      </c>
      <c r="F12" t="s">
        <v>836</v>
      </c>
      <c r="G12" t="s">
        <v>766</v>
      </c>
      <c r="H12" t="s">
        <v>666</v>
      </c>
      <c r="I12" t="s">
        <v>837</v>
      </c>
      <c r="J12" t="s">
        <v>838</v>
      </c>
      <c r="K12" t="s">
        <v>111</v>
      </c>
      <c r="L12" t="s">
        <v>839</v>
      </c>
      <c r="M12" s="23">
        <v>45993.333333333343</v>
      </c>
      <c r="N12" s="23">
        <v>45995.646527777782</v>
      </c>
      <c r="P12" t="s">
        <v>770</v>
      </c>
      <c r="Q12" t="s">
        <v>771</v>
      </c>
      <c r="R12" t="s">
        <v>815</v>
      </c>
      <c r="S12" t="s">
        <v>815</v>
      </c>
      <c r="T12" t="s">
        <v>127</v>
      </c>
      <c r="U12" t="s">
        <v>783</v>
      </c>
      <c r="V12" t="s">
        <v>840</v>
      </c>
      <c r="W12" t="s">
        <v>129</v>
      </c>
      <c r="Y12" t="s">
        <v>8</v>
      </c>
      <c r="Z12" t="s">
        <v>116</v>
      </c>
      <c r="AA12" t="s">
        <v>841</v>
      </c>
      <c r="AB12" s="24">
        <v>1</v>
      </c>
      <c r="AC12" s="24">
        <v>1</v>
      </c>
      <c r="AD12" s="24">
        <v>96011</v>
      </c>
      <c r="AE12" s="24">
        <v>57415</v>
      </c>
      <c r="AF12" s="24">
        <v>153426</v>
      </c>
    </row>
    <row r="13" spans="1:32">
      <c r="A13" t="s">
        <v>51</v>
      </c>
      <c r="B13" t="s">
        <v>152</v>
      </c>
      <c r="C13" t="s">
        <v>36</v>
      </c>
      <c r="D13" t="s">
        <v>581</v>
      </c>
      <c r="E13" t="s">
        <v>842</v>
      </c>
      <c r="F13" t="s">
        <v>843</v>
      </c>
      <c r="G13" t="s">
        <v>766</v>
      </c>
      <c r="H13" t="s">
        <v>575</v>
      </c>
      <c r="I13" t="s">
        <v>584</v>
      </c>
      <c r="J13" t="s">
        <v>844</v>
      </c>
      <c r="K13" t="s">
        <v>111</v>
      </c>
      <c r="L13" t="s">
        <v>845</v>
      </c>
      <c r="M13" s="23">
        <v>45993.702777777777</v>
      </c>
      <c r="N13" s="23">
        <v>45996.540277777778</v>
      </c>
      <c r="P13" t="s">
        <v>770</v>
      </c>
      <c r="Q13" t="s">
        <v>771</v>
      </c>
      <c r="R13" t="s">
        <v>782</v>
      </c>
      <c r="S13" t="s">
        <v>782</v>
      </c>
      <c r="T13" t="s">
        <v>127</v>
      </c>
      <c r="U13" t="s">
        <v>783</v>
      </c>
      <c r="V13" t="s">
        <v>846</v>
      </c>
      <c r="W13" t="s">
        <v>129</v>
      </c>
      <c r="Y13" t="s">
        <v>217</v>
      </c>
      <c r="Z13" t="s">
        <v>116</v>
      </c>
      <c r="AA13" t="s">
        <v>580</v>
      </c>
      <c r="AB13" s="24">
        <v>1</v>
      </c>
      <c r="AC13" s="24">
        <v>1</v>
      </c>
      <c r="AD13" s="24">
        <v>232859</v>
      </c>
      <c r="AE13" s="24">
        <v>110808</v>
      </c>
      <c r="AF13" s="24">
        <v>343667</v>
      </c>
    </row>
    <row r="14" spans="1:32">
      <c r="A14" t="s">
        <v>39</v>
      </c>
      <c r="B14" t="s">
        <v>223</v>
      </c>
      <c r="C14" t="s">
        <v>40</v>
      </c>
      <c r="D14" t="s">
        <v>281</v>
      </c>
      <c r="E14" t="s">
        <v>847</v>
      </c>
      <c r="F14" t="s">
        <v>848</v>
      </c>
      <c r="G14" t="s">
        <v>766</v>
      </c>
      <c r="H14" t="s">
        <v>223</v>
      </c>
      <c r="I14" t="s">
        <v>39</v>
      </c>
      <c r="J14" t="s">
        <v>849</v>
      </c>
      <c r="K14" t="s">
        <v>111</v>
      </c>
      <c r="L14" t="s">
        <v>850</v>
      </c>
      <c r="M14" s="23">
        <v>45994.383333333331</v>
      </c>
      <c r="N14" s="23">
        <v>45995.46597222222</v>
      </c>
      <c r="P14" t="s">
        <v>770</v>
      </c>
      <c r="Q14" t="s">
        <v>771</v>
      </c>
      <c r="R14" t="s">
        <v>782</v>
      </c>
      <c r="S14" t="s">
        <v>782</v>
      </c>
      <c r="T14" t="s">
        <v>127</v>
      </c>
      <c r="U14" t="s">
        <v>783</v>
      </c>
      <c r="V14" t="s">
        <v>851</v>
      </c>
      <c r="W14" t="s">
        <v>129</v>
      </c>
      <c r="Y14" t="s">
        <v>8</v>
      </c>
      <c r="Z14" t="s">
        <v>116</v>
      </c>
      <c r="AA14" t="s">
        <v>247</v>
      </c>
      <c r="AB14" s="24">
        <v>1</v>
      </c>
      <c r="AC14" s="24">
        <v>1</v>
      </c>
      <c r="AD14" s="24">
        <v>96011</v>
      </c>
      <c r="AE14" s="24">
        <v>57415</v>
      </c>
      <c r="AF14" s="24">
        <v>153426</v>
      </c>
    </row>
    <row r="15" spans="1:32">
      <c r="A15" t="s">
        <v>61</v>
      </c>
      <c r="B15" t="s">
        <v>172</v>
      </c>
      <c r="C15" t="s">
        <v>32</v>
      </c>
      <c r="D15" t="s">
        <v>345</v>
      </c>
      <c r="E15" t="s">
        <v>852</v>
      </c>
      <c r="F15" t="s">
        <v>853</v>
      </c>
      <c r="G15" t="s">
        <v>766</v>
      </c>
      <c r="H15" t="s">
        <v>177</v>
      </c>
      <c r="I15" t="s">
        <v>348</v>
      </c>
      <c r="J15" t="s">
        <v>854</v>
      </c>
      <c r="K15" t="s">
        <v>111</v>
      </c>
      <c r="L15" t="s">
        <v>855</v>
      </c>
      <c r="M15" s="23">
        <v>45994.526388888888</v>
      </c>
      <c r="N15" s="23">
        <v>45995.647916666669</v>
      </c>
      <c r="P15" t="s">
        <v>770</v>
      </c>
      <c r="Q15" t="s">
        <v>771</v>
      </c>
      <c r="R15" t="s">
        <v>125</v>
      </c>
      <c r="S15" t="s">
        <v>181</v>
      </c>
      <c r="T15" t="s">
        <v>127</v>
      </c>
      <c r="U15" t="s">
        <v>783</v>
      </c>
      <c r="V15" t="s">
        <v>856</v>
      </c>
      <c r="W15" t="s">
        <v>129</v>
      </c>
      <c r="Y15" t="s">
        <v>217</v>
      </c>
      <c r="Z15" t="s">
        <v>116</v>
      </c>
      <c r="AA15" t="s">
        <v>857</v>
      </c>
      <c r="AB15" s="24">
        <v>1</v>
      </c>
      <c r="AC15" s="24">
        <v>1</v>
      </c>
      <c r="AD15" s="24">
        <v>232859</v>
      </c>
      <c r="AE15" s="24">
        <v>110808</v>
      </c>
      <c r="AF15" s="24">
        <v>343667</v>
      </c>
    </row>
    <row r="16" spans="1:32">
      <c r="A16" t="s">
        <v>64</v>
      </c>
      <c r="B16" t="s">
        <v>103</v>
      </c>
      <c r="C16" t="s">
        <v>48</v>
      </c>
      <c r="D16" t="s">
        <v>858</v>
      </c>
      <c r="E16" t="s">
        <v>859</v>
      </c>
      <c r="F16" t="s">
        <v>860</v>
      </c>
      <c r="G16" t="s">
        <v>766</v>
      </c>
      <c r="H16" t="s">
        <v>166</v>
      </c>
      <c r="I16" t="s">
        <v>861</v>
      </c>
      <c r="J16" t="s">
        <v>862</v>
      </c>
      <c r="K16" t="s">
        <v>111</v>
      </c>
      <c r="L16" t="s">
        <v>863</v>
      </c>
      <c r="M16" s="23">
        <v>45995.520138888889</v>
      </c>
      <c r="N16" s="23">
        <v>46001.47152777778</v>
      </c>
      <c r="P16" t="s">
        <v>770</v>
      </c>
      <c r="Q16" t="s">
        <v>771</v>
      </c>
      <c r="R16" t="s">
        <v>815</v>
      </c>
      <c r="S16" t="s">
        <v>782</v>
      </c>
      <c r="T16" t="s">
        <v>127</v>
      </c>
      <c r="U16" t="s">
        <v>783</v>
      </c>
      <c r="V16" t="s">
        <v>864</v>
      </c>
      <c r="W16" t="s">
        <v>129</v>
      </c>
      <c r="Y16" t="s">
        <v>184</v>
      </c>
      <c r="Z16" t="s">
        <v>116</v>
      </c>
      <c r="AA16" t="s">
        <v>132</v>
      </c>
      <c r="AB16" s="24">
        <v>1</v>
      </c>
      <c r="AC16" s="24">
        <v>1</v>
      </c>
      <c r="AD16" s="24">
        <v>344775</v>
      </c>
      <c r="AE16" s="24">
        <v>110808</v>
      </c>
      <c r="AF16" s="24">
        <v>455583</v>
      </c>
    </row>
    <row r="17" spans="1:32">
      <c r="A17" t="s">
        <v>39</v>
      </c>
      <c r="B17" t="s">
        <v>223</v>
      </c>
      <c r="C17" t="s">
        <v>40</v>
      </c>
      <c r="D17" t="s">
        <v>281</v>
      </c>
      <c r="E17" t="s">
        <v>865</v>
      </c>
      <c r="F17" t="s">
        <v>866</v>
      </c>
      <c r="G17" t="s">
        <v>766</v>
      </c>
      <c r="H17" t="s">
        <v>223</v>
      </c>
      <c r="I17" t="s">
        <v>39</v>
      </c>
      <c r="J17" t="s">
        <v>867</v>
      </c>
      <c r="K17" t="s">
        <v>111</v>
      </c>
      <c r="L17" t="s">
        <v>868</v>
      </c>
      <c r="M17" s="23">
        <v>45995.645833333343</v>
      </c>
      <c r="N17" s="23">
        <v>46003.663194444453</v>
      </c>
      <c r="P17" t="s">
        <v>770</v>
      </c>
      <c r="Q17" t="s">
        <v>771</v>
      </c>
      <c r="R17" t="s">
        <v>815</v>
      </c>
      <c r="S17" t="s">
        <v>815</v>
      </c>
      <c r="T17" t="s">
        <v>127</v>
      </c>
      <c r="U17" t="s">
        <v>783</v>
      </c>
      <c r="V17" t="s">
        <v>869</v>
      </c>
      <c r="W17" t="s">
        <v>129</v>
      </c>
      <c r="Y17" t="s">
        <v>8</v>
      </c>
      <c r="Z17" t="s">
        <v>116</v>
      </c>
      <c r="AA17" t="s">
        <v>870</v>
      </c>
      <c r="AB17" s="24">
        <v>1</v>
      </c>
      <c r="AC17" s="24">
        <v>1</v>
      </c>
      <c r="AD17" s="24">
        <v>96011</v>
      </c>
      <c r="AE17" s="24">
        <v>57415</v>
      </c>
      <c r="AF17" s="24">
        <v>153426</v>
      </c>
    </row>
    <row r="18" spans="1:32">
      <c r="A18" t="s">
        <v>63</v>
      </c>
      <c r="B18" t="s">
        <v>133</v>
      </c>
      <c r="C18" t="s">
        <v>54</v>
      </c>
      <c r="D18" t="s">
        <v>871</v>
      </c>
      <c r="E18" t="s">
        <v>872</v>
      </c>
      <c r="F18" t="s">
        <v>873</v>
      </c>
      <c r="G18" t="s">
        <v>766</v>
      </c>
      <c r="H18" t="s">
        <v>874</v>
      </c>
      <c r="I18" t="s">
        <v>63</v>
      </c>
      <c r="J18" t="s">
        <v>875</v>
      </c>
      <c r="K18" t="s">
        <v>111</v>
      </c>
      <c r="L18" t="s">
        <v>876</v>
      </c>
      <c r="M18" s="23">
        <v>45996.414583333331</v>
      </c>
      <c r="N18" s="23">
        <v>45997.506944444453</v>
      </c>
      <c r="P18" t="s">
        <v>770</v>
      </c>
      <c r="Q18" t="s">
        <v>771</v>
      </c>
      <c r="R18" t="s">
        <v>125</v>
      </c>
      <c r="S18" t="s">
        <v>126</v>
      </c>
      <c r="T18" t="s">
        <v>127</v>
      </c>
      <c r="U18" t="s">
        <v>783</v>
      </c>
      <c r="V18" t="s">
        <v>877</v>
      </c>
      <c r="W18" t="s">
        <v>129</v>
      </c>
      <c r="Y18" t="s">
        <v>8</v>
      </c>
      <c r="Z18" t="s">
        <v>116</v>
      </c>
      <c r="AA18" t="s">
        <v>878</v>
      </c>
      <c r="AB18" s="24">
        <v>1</v>
      </c>
      <c r="AC18" s="24">
        <v>1</v>
      </c>
      <c r="AD18" s="24">
        <v>96011</v>
      </c>
      <c r="AE18" s="24">
        <v>57415</v>
      </c>
      <c r="AF18" s="24">
        <v>153426</v>
      </c>
    </row>
    <row r="19" spans="1:32">
      <c r="A19" t="s">
        <v>52</v>
      </c>
      <c r="B19" t="s">
        <v>207</v>
      </c>
      <c r="C19" t="s">
        <v>44</v>
      </c>
      <c r="D19" t="s">
        <v>313</v>
      </c>
      <c r="E19" t="s">
        <v>879</v>
      </c>
      <c r="F19" t="s">
        <v>880</v>
      </c>
      <c r="G19" t="s">
        <v>766</v>
      </c>
      <c r="H19" t="s">
        <v>316</v>
      </c>
      <c r="I19" t="s">
        <v>52</v>
      </c>
      <c r="J19" t="s">
        <v>881</v>
      </c>
      <c r="K19" t="s">
        <v>111</v>
      </c>
      <c r="L19" t="s">
        <v>882</v>
      </c>
      <c r="M19" s="23">
        <v>45996.509722222218</v>
      </c>
      <c r="N19" s="23">
        <v>46000.912499999999</v>
      </c>
      <c r="P19" t="s">
        <v>770</v>
      </c>
      <c r="Q19" t="s">
        <v>771</v>
      </c>
      <c r="R19" t="s">
        <v>125</v>
      </c>
      <c r="S19" t="s">
        <v>181</v>
      </c>
      <c r="T19" t="s">
        <v>127</v>
      </c>
      <c r="U19" t="s">
        <v>783</v>
      </c>
      <c r="V19" t="s">
        <v>883</v>
      </c>
      <c r="W19" t="s">
        <v>129</v>
      </c>
      <c r="Y19" t="s">
        <v>8</v>
      </c>
      <c r="Z19" t="s">
        <v>116</v>
      </c>
      <c r="AA19" t="s">
        <v>421</v>
      </c>
      <c r="AB19" s="24">
        <v>1</v>
      </c>
      <c r="AC19" s="24">
        <v>1</v>
      </c>
      <c r="AD19" s="24">
        <v>96011</v>
      </c>
      <c r="AE19" s="24">
        <v>57415</v>
      </c>
      <c r="AF19" s="24">
        <v>153426</v>
      </c>
    </row>
    <row r="20" spans="1:32">
      <c r="A20" t="s">
        <v>61</v>
      </c>
      <c r="B20" t="s">
        <v>172</v>
      </c>
      <c r="C20" t="s">
        <v>32</v>
      </c>
      <c r="D20" t="s">
        <v>884</v>
      </c>
      <c r="E20" t="s">
        <v>885</v>
      </c>
      <c r="F20" t="s">
        <v>886</v>
      </c>
      <c r="G20" t="s">
        <v>766</v>
      </c>
      <c r="H20" t="s">
        <v>177</v>
      </c>
      <c r="I20" t="s">
        <v>887</v>
      </c>
      <c r="J20" t="s">
        <v>888</v>
      </c>
      <c r="K20" t="s">
        <v>111</v>
      </c>
      <c r="L20" t="s">
        <v>889</v>
      </c>
      <c r="M20" s="23">
        <v>45996.602777777778</v>
      </c>
      <c r="N20" s="23">
        <v>46003.457638888889</v>
      </c>
      <c r="P20" t="s">
        <v>770</v>
      </c>
      <c r="Q20" t="s">
        <v>771</v>
      </c>
      <c r="R20" t="s">
        <v>782</v>
      </c>
      <c r="S20" t="s">
        <v>782</v>
      </c>
      <c r="T20" t="s">
        <v>127</v>
      </c>
      <c r="U20" t="s">
        <v>783</v>
      </c>
      <c r="V20" t="s">
        <v>890</v>
      </c>
      <c r="W20" t="s">
        <v>129</v>
      </c>
      <c r="Y20" t="s">
        <v>184</v>
      </c>
      <c r="Z20" t="s">
        <v>116</v>
      </c>
      <c r="AA20" t="s">
        <v>891</v>
      </c>
      <c r="AB20" s="24">
        <v>1</v>
      </c>
      <c r="AC20" s="24">
        <v>1</v>
      </c>
      <c r="AD20" s="24">
        <v>344775</v>
      </c>
      <c r="AE20" s="24">
        <v>110808</v>
      </c>
      <c r="AF20" s="24">
        <v>455583</v>
      </c>
    </row>
    <row r="21" spans="1:32">
      <c r="A21" t="s">
        <v>63</v>
      </c>
      <c r="B21" t="s">
        <v>133</v>
      </c>
      <c r="C21" t="s">
        <v>54</v>
      </c>
      <c r="D21" t="s">
        <v>871</v>
      </c>
      <c r="E21" t="s">
        <v>892</v>
      </c>
      <c r="F21" t="s">
        <v>893</v>
      </c>
      <c r="G21" t="s">
        <v>766</v>
      </c>
      <c r="H21" t="s">
        <v>874</v>
      </c>
      <c r="I21" t="s">
        <v>63</v>
      </c>
      <c r="J21" t="s">
        <v>894</v>
      </c>
      <c r="K21" t="s">
        <v>111</v>
      </c>
      <c r="L21" t="s">
        <v>895</v>
      </c>
      <c r="M21" s="23">
        <v>45997.375</v>
      </c>
      <c r="N21" s="23">
        <v>45997.541666666657</v>
      </c>
      <c r="P21" t="s">
        <v>770</v>
      </c>
      <c r="Q21" t="s">
        <v>771</v>
      </c>
      <c r="R21" t="s">
        <v>125</v>
      </c>
      <c r="S21" t="s">
        <v>181</v>
      </c>
      <c r="T21" t="s">
        <v>127</v>
      </c>
      <c r="U21" t="s">
        <v>783</v>
      </c>
      <c r="V21" t="s">
        <v>896</v>
      </c>
      <c r="W21" t="s">
        <v>129</v>
      </c>
      <c r="Y21" t="s">
        <v>8</v>
      </c>
      <c r="Z21" t="s">
        <v>116</v>
      </c>
      <c r="AA21" t="s">
        <v>878</v>
      </c>
      <c r="AB21" s="24">
        <v>1</v>
      </c>
      <c r="AC21" s="24">
        <v>1</v>
      </c>
      <c r="AD21" s="24">
        <v>96011</v>
      </c>
      <c r="AE21" s="24">
        <v>57415</v>
      </c>
      <c r="AF21" s="24">
        <v>153426</v>
      </c>
    </row>
    <row r="22" spans="1:32">
      <c r="A22" t="s">
        <v>61</v>
      </c>
      <c r="B22" t="s">
        <v>172</v>
      </c>
      <c r="C22" t="s">
        <v>32</v>
      </c>
      <c r="D22" t="s">
        <v>186</v>
      </c>
      <c r="E22" t="s">
        <v>897</v>
      </c>
      <c r="F22" t="s">
        <v>898</v>
      </c>
      <c r="G22" t="s">
        <v>766</v>
      </c>
      <c r="H22" t="s">
        <v>177</v>
      </c>
      <c r="I22" t="s">
        <v>61</v>
      </c>
      <c r="J22" t="s">
        <v>899</v>
      </c>
      <c r="K22" t="s">
        <v>111</v>
      </c>
      <c r="L22" t="s">
        <v>900</v>
      </c>
      <c r="M22" s="23">
        <v>46000.333333333343</v>
      </c>
      <c r="N22" s="23">
        <v>46006.326388888891</v>
      </c>
      <c r="P22" t="s">
        <v>770</v>
      </c>
      <c r="Q22" t="s">
        <v>771</v>
      </c>
      <c r="R22" t="s">
        <v>782</v>
      </c>
      <c r="S22" t="s">
        <v>782</v>
      </c>
      <c r="T22" t="s">
        <v>127</v>
      </c>
      <c r="U22" t="s">
        <v>783</v>
      </c>
      <c r="V22" t="s">
        <v>901</v>
      </c>
      <c r="W22" t="s">
        <v>129</v>
      </c>
      <c r="Y22" t="s">
        <v>8</v>
      </c>
      <c r="Z22" t="s">
        <v>116</v>
      </c>
      <c r="AA22" t="s">
        <v>902</v>
      </c>
      <c r="AB22" s="24">
        <v>1</v>
      </c>
      <c r="AC22" s="24">
        <v>1</v>
      </c>
      <c r="AD22" s="24">
        <v>96011</v>
      </c>
      <c r="AE22" s="24">
        <v>57415</v>
      </c>
      <c r="AF22" s="24">
        <v>153426</v>
      </c>
    </row>
    <row r="23" spans="1:32">
      <c r="A23" t="s">
        <v>71</v>
      </c>
      <c r="B23" t="s">
        <v>133</v>
      </c>
      <c r="C23" t="s">
        <v>54</v>
      </c>
      <c r="D23" t="s">
        <v>261</v>
      </c>
      <c r="E23" t="s">
        <v>903</v>
      </c>
      <c r="F23" t="s">
        <v>904</v>
      </c>
      <c r="G23" t="s">
        <v>766</v>
      </c>
      <c r="H23" t="s">
        <v>264</v>
      </c>
      <c r="I23" t="s">
        <v>265</v>
      </c>
      <c r="J23" t="s">
        <v>905</v>
      </c>
      <c r="K23" t="s">
        <v>111</v>
      </c>
      <c r="L23" t="s">
        <v>906</v>
      </c>
      <c r="M23" s="23">
        <v>46000.333333333343</v>
      </c>
      <c r="N23" s="23">
        <v>46000.523611111108</v>
      </c>
      <c r="P23" t="s">
        <v>770</v>
      </c>
      <c r="Q23" t="s">
        <v>771</v>
      </c>
      <c r="R23" t="s">
        <v>782</v>
      </c>
      <c r="S23" t="s">
        <v>782</v>
      </c>
      <c r="T23" t="s">
        <v>127</v>
      </c>
      <c r="U23" t="s">
        <v>783</v>
      </c>
      <c r="V23" t="s">
        <v>907</v>
      </c>
      <c r="W23" t="s">
        <v>129</v>
      </c>
      <c r="Y23" t="s">
        <v>217</v>
      </c>
      <c r="Z23" t="s">
        <v>116</v>
      </c>
      <c r="AA23" t="s">
        <v>908</v>
      </c>
      <c r="AB23" s="24">
        <v>1</v>
      </c>
      <c r="AC23" s="24">
        <v>1</v>
      </c>
      <c r="AD23" s="24">
        <v>232859</v>
      </c>
      <c r="AE23" s="24">
        <v>110808</v>
      </c>
      <c r="AF23" s="24">
        <v>343667</v>
      </c>
    </row>
    <row r="24" spans="1:32">
      <c r="A24" t="s">
        <v>47</v>
      </c>
      <c r="B24" t="s">
        <v>103</v>
      </c>
      <c r="C24" t="s">
        <v>48</v>
      </c>
      <c r="D24" t="s">
        <v>104</v>
      </c>
      <c r="E24" t="s">
        <v>909</v>
      </c>
      <c r="F24" t="s">
        <v>910</v>
      </c>
      <c r="G24" t="s">
        <v>766</v>
      </c>
      <c r="H24" t="s">
        <v>109</v>
      </c>
      <c r="I24" t="s">
        <v>47</v>
      </c>
      <c r="J24" t="s">
        <v>911</v>
      </c>
      <c r="K24" t="s">
        <v>111</v>
      </c>
      <c r="L24" t="s">
        <v>912</v>
      </c>
      <c r="M24" s="23">
        <v>46000.379166666673</v>
      </c>
      <c r="N24" s="23">
        <v>46008.508333333331</v>
      </c>
      <c r="P24" t="s">
        <v>770</v>
      </c>
      <c r="Q24" t="s">
        <v>771</v>
      </c>
      <c r="R24" t="s">
        <v>125</v>
      </c>
      <c r="S24" t="s">
        <v>181</v>
      </c>
      <c r="T24" t="s">
        <v>127</v>
      </c>
      <c r="U24" t="s">
        <v>783</v>
      </c>
      <c r="V24" t="s">
        <v>913</v>
      </c>
      <c r="W24" t="s">
        <v>129</v>
      </c>
      <c r="Y24" t="s">
        <v>8</v>
      </c>
      <c r="Z24" t="s">
        <v>116</v>
      </c>
      <c r="AA24" t="s">
        <v>729</v>
      </c>
      <c r="AB24" s="24">
        <v>1</v>
      </c>
      <c r="AC24" s="24">
        <v>1</v>
      </c>
      <c r="AD24" s="24">
        <v>96011</v>
      </c>
      <c r="AE24" s="24">
        <v>57415</v>
      </c>
      <c r="AF24" s="24">
        <v>153426</v>
      </c>
    </row>
    <row r="25" spans="1:32">
      <c r="A25" t="s">
        <v>57</v>
      </c>
      <c r="B25" t="s">
        <v>133</v>
      </c>
      <c r="C25" t="s">
        <v>54</v>
      </c>
      <c r="D25" t="s">
        <v>914</v>
      </c>
      <c r="E25" t="s">
        <v>915</v>
      </c>
      <c r="F25" t="s">
        <v>916</v>
      </c>
      <c r="G25" t="s">
        <v>766</v>
      </c>
      <c r="H25" t="s">
        <v>138</v>
      </c>
      <c r="I25" t="s">
        <v>917</v>
      </c>
      <c r="J25" t="s">
        <v>918</v>
      </c>
      <c r="K25" t="s">
        <v>111</v>
      </c>
      <c r="L25" t="s">
        <v>919</v>
      </c>
      <c r="M25" s="23">
        <v>46000.480555555558</v>
      </c>
      <c r="N25" s="23">
        <v>46007.592361111107</v>
      </c>
      <c r="P25" t="s">
        <v>770</v>
      </c>
      <c r="Q25" t="s">
        <v>771</v>
      </c>
      <c r="R25" t="s">
        <v>782</v>
      </c>
      <c r="S25" t="s">
        <v>782</v>
      </c>
      <c r="T25" t="s">
        <v>127</v>
      </c>
      <c r="U25" t="s">
        <v>783</v>
      </c>
      <c r="V25" t="s">
        <v>920</v>
      </c>
      <c r="W25" t="s">
        <v>129</v>
      </c>
      <c r="Y25" t="s">
        <v>217</v>
      </c>
      <c r="Z25" t="s">
        <v>116</v>
      </c>
      <c r="AA25" t="s">
        <v>878</v>
      </c>
      <c r="AB25" s="24">
        <v>1</v>
      </c>
      <c r="AC25" s="24">
        <v>1</v>
      </c>
      <c r="AD25" s="24">
        <v>232859</v>
      </c>
      <c r="AE25" s="24">
        <v>110808</v>
      </c>
      <c r="AF25" s="24">
        <v>343667</v>
      </c>
    </row>
    <row r="26" spans="1:32">
      <c r="A26" t="s">
        <v>61</v>
      </c>
      <c r="B26" t="s">
        <v>172</v>
      </c>
      <c r="C26" t="s">
        <v>32</v>
      </c>
      <c r="D26" t="s">
        <v>186</v>
      </c>
      <c r="E26" t="s">
        <v>921</v>
      </c>
      <c r="F26" t="s">
        <v>922</v>
      </c>
      <c r="G26" t="s">
        <v>766</v>
      </c>
      <c r="H26" t="s">
        <v>177</v>
      </c>
      <c r="I26" t="s">
        <v>61</v>
      </c>
      <c r="J26" t="s">
        <v>923</v>
      </c>
      <c r="K26" t="s">
        <v>111</v>
      </c>
      <c r="L26" t="s">
        <v>924</v>
      </c>
      <c r="M26" s="23">
        <v>46000.53125</v>
      </c>
      <c r="N26" s="23">
        <v>46004.530555555553</v>
      </c>
      <c r="P26" t="s">
        <v>770</v>
      </c>
      <c r="Q26" t="s">
        <v>771</v>
      </c>
      <c r="R26" t="s">
        <v>125</v>
      </c>
      <c r="S26" t="s">
        <v>126</v>
      </c>
      <c r="T26" t="s">
        <v>127</v>
      </c>
      <c r="U26" t="s">
        <v>783</v>
      </c>
      <c r="V26" t="s">
        <v>925</v>
      </c>
      <c r="W26" t="s">
        <v>129</v>
      </c>
      <c r="Y26" t="s">
        <v>8</v>
      </c>
      <c r="Z26" t="s">
        <v>116</v>
      </c>
      <c r="AA26" t="s">
        <v>193</v>
      </c>
      <c r="AB26" s="24">
        <v>1</v>
      </c>
      <c r="AC26" s="24">
        <v>1</v>
      </c>
      <c r="AD26" s="24">
        <v>96011</v>
      </c>
      <c r="AE26" s="24">
        <v>57415</v>
      </c>
      <c r="AF26" s="24">
        <v>153426</v>
      </c>
    </row>
    <row r="27" spans="1:32">
      <c r="A27" t="s">
        <v>39</v>
      </c>
      <c r="B27" t="s">
        <v>223</v>
      </c>
      <c r="C27" t="s">
        <v>40</v>
      </c>
      <c r="D27" t="s">
        <v>281</v>
      </c>
      <c r="E27" t="s">
        <v>926</v>
      </c>
      <c r="F27" t="s">
        <v>927</v>
      </c>
      <c r="G27" t="s">
        <v>766</v>
      </c>
      <c r="H27" t="s">
        <v>223</v>
      </c>
      <c r="I27" t="s">
        <v>39</v>
      </c>
      <c r="J27" t="s">
        <v>928</v>
      </c>
      <c r="K27" t="s">
        <v>111</v>
      </c>
      <c r="L27" t="s">
        <v>929</v>
      </c>
      <c r="M27" s="23">
        <v>46000.65347222222</v>
      </c>
      <c r="N27" s="23">
        <v>46004.536111111112</v>
      </c>
      <c r="P27" t="s">
        <v>770</v>
      </c>
      <c r="Q27" t="s">
        <v>771</v>
      </c>
      <c r="R27" t="s">
        <v>125</v>
      </c>
      <c r="S27" t="s">
        <v>181</v>
      </c>
      <c r="T27" t="s">
        <v>127</v>
      </c>
      <c r="U27" t="s">
        <v>783</v>
      </c>
      <c r="V27" t="s">
        <v>930</v>
      </c>
      <c r="W27" t="s">
        <v>129</v>
      </c>
      <c r="Y27" t="s">
        <v>8</v>
      </c>
      <c r="Z27" t="s">
        <v>116</v>
      </c>
      <c r="AA27" t="s">
        <v>931</v>
      </c>
      <c r="AB27" s="24">
        <v>1</v>
      </c>
      <c r="AC27" s="24">
        <v>1</v>
      </c>
      <c r="AD27" s="24">
        <v>96011</v>
      </c>
      <c r="AE27" s="24">
        <v>57415</v>
      </c>
      <c r="AF27" s="24">
        <v>153426</v>
      </c>
    </row>
    <row r="28" spans="1:32">
      <c r="A28" t="s">
        <v>61</v>
      </c>
      <c r="B28" t="s">
        <v>172</v>
      </c>
      <c r="C28" t="s">
        <v>32</v>
      </c>
      <c r="D28" t="s">
        <v>932</v>
      </c>
      <c r="E28" t="s">
        <v>933</v>
      </c>
      <c r="F28" t="s">
        <v>934</v>
      </c>
      <c r="G28" t="s">
        <v>766</v>
      </c>
      <c r="H28" t="s">
        <v>177</v>
      </c>
      <c r="I28" t="s">
        <v>935</v>
      </c>
      <c r="J28" t="s">
        <v>936</v>
      </c>
      <c r="K28" t="s">
        <v>111</v>
      </c>
      <c r="L28" t="s">
        <v>937</v>
      </c>
      <c r="M28" s="23">
        <v>46001.493055555547</v>
      </c>
      <c r="N28" s="23">
        <v>46008.418749999997</v>
      </c>
      <c r="P28" t="s">
        <v>770</v>
      </c>
      <c r="Q28" t="s">
        <v>771</v>
      </c>
      <c r="R28" t="s">
        <v>125</v>
      </c>
      <c r="S28" t="s">
        <v>181</v>
      </c>
      <c r="T28" t="s">
        <v>772</v>
      </c>
      <c r="U28" t="s">
        <v>938</v>
      </c>
      <c r="V28" t="s">
        <v>939</v>
      </c>
      <c r="W28" t="s">
        <v>115</v>
      </c>
      <c r="Y28" t="s">
        <v>8</v>
      </c>
      <c r="Z28" t="s">
        <v>116</v>
      </c>
      <c r="AA28" t="s">
        <v>940</v>
      </c>
      <c r="AB28" s="24">
        <v>0</v>
      </c>
      <c r="AC28" s="24">
        <v>0</v>
      </c>
      <c r="AD28" s="24">
        <v>37905</v>
      </c>
      <c r="AE28" s="24">
        <v>0</v>
      </c>
      <c r="AF28" s="24">
        <v>37905</v>
      </c>
    </row>
    <row r="29" spans="1:32">
      <c r="A29" t="s">
        <v>39</v>
      </c>
      <c r="B29" t="s">
        <v>223</v>
      </c>
      <c r="C29" t="s">
        <v>40</v>
      </c>
      <c r="D29" t="s">
        <v>281</v>
      </c>
      <c r="E29" t="s">
        <v>941</v>
      </c>
      <c r="F29" t="s">
        <v>942</v>
      </c>
      <c r="G29" t="s">
        <v>766</v>
      </c>
      <c r="H29" t="s">
        <v>223</v>
      </c>
      <c r="I29" t="s">
        <v>39</v>
      </c>
      <c r="J29" t="s">
        <v>943</v>
      </c>
      <c r="K29" t="s">
        <v>111</v>
      </c>
      <c r="L29" t="s">
        <v>944</v>
      </c>
      <c r="M29" s="23">
        <v>46002.509722222218</v>
      </c>
      <c r="N29" s="23">
        <v>46007.595833333333</v>
      </c>
      <c r="P29" t="s">
        <v>770</v>
      </c>
      <c r="Q29" t="s">
        <v>771</v>
      </c>
      <c r="R29" t="s">
        <v>125</v>
      </c>
      <c r="S29" t="s">
        <v>181</v>
      </c>
      <c r="T29" t="s">
        <v>127</v>
      </c>
      <c r="U29" t="s">
        <v>783</v>
      </c>
      <c r="V29" t="s">
        <v>945</v>
      </c>
      <c r="W29" t="s">
        <v>129</v>
      </c>
      <c r="Y29" t="s">
        <v>8</v>
      </c>
      <c r="Z29" t="s">
        <v>116</v>
      </c>
      <c r="AA29" t="s">
        <v>931</v>
      </c>
      <c r="AB29" s="24">
        <v>1</v>
      </c>
      <c r="AC29" s="24">
        <v>1</v>
      </c>
      <c r="AD29" s="24">
        <v>96011</v>
      </c>
      <c r="AE29" s="24">
        <v>57415</v>
      </c>
      <c r="AF29" s="24">
        <v>153426</v>
      </c>
    </row>
    <row r="30" spans="1:32">
      <c r="A30" t="s">
        <v>43</v>
      </c>
      <c r="B30" t="s">
        <v>207</v>
      </c>
      <c r="C30" t="s">
        <v>44</v>
      </c>
      <c r="D30" t="s">
        <v>946</v>
      </c>
      <c r="E30" t="s">
        <v>947</v>
      </c>
      <c r="F30" t="s">
        <v>948</v>
      </c>
      <c r="G30" t="s">
        <v>766</v>
      </c>
      <c r="H30" t="s">
        <v>425</v>
      </c>
      <c r="I30" t="s">
        <v>949</v>
      </c>
      <c r="J30" t="s">
        <v>950</v>
      </c>
      <c r="K30" t="s">
        <v>111</v>
      </c>
      <c r="L30" t="s">
        <v>951</v>
      </c>
      <c r="M30" s="23">
        <v>46003.333333333343</v>
      </c>
      <c r="N30" s="23">
        <v>46003.649305555547</v>
      </c>
      <c r="P30" t="s">
        <v>770</v>
      </c>
      <c r="Q30" t="s">
        <v>771</v>
      </c>
      <c r="R30" t="s">
        <v>125</v>
      </c>
      <c r="S30" t="s">
        <v>181</v>
      </c>
      <c r="T30" t="s">
        <v>127</v>
      </c>
      <c r="U30" t="s">
        <v>783</v>
      </c>
      <c r="V30" t="s">
        <v>952</v>
      </c>
      <c r="W30" t="s">
        <v>129</v>
      </c>
      <c r="Y30" t="s">
        <v>217</v>
      </c>
      <c r="Z30" t="s">
        <v>116</v>
      </c>
      <c r="AA30" t="s">
        <v>953</v>
      </c>
      <c r="AB30" s="24">
        <v>1</v>
      </c>
      <c r="AC30" s="24">
        <v>1</v>
      </c>
      <c r="AD30" s="24">
        <v>232859</v>
      </c>
      <c r="AE30" s="24">
        <v>110808</v>
      </c>
      <c r="AF30" s="24">
        <v>343667</v>
      </c>
    </row>
    <row r="31" spans="1:32">
      <c r="A31" t="s">
        <v>65</v>
      </c>
      <c r="B31" t="s">
        <v>103</v>
      </c>
      <c r="C31" t="s">
        <v>59</v>
      </c>
      <c r="D31" t="s">
        <v>817</v>
      </c>
      <c r="E31" t="s">
        <v>954</v>
      </c>
      <c r="F31" t="s">
        <v>955</v>
      </c>
      <c r="G31" t="s">
        <v>766</v>
      </c>
      <c r="H31" t="s">
        <v>109</v>
      </c>
      <c r="I31" t="s">
        <v>820</v>
      </c>
      <c r="J31" t="s">
        <v>956</v>
      </c>
      <c r="K31" t="s">
        <v>111</v>
      </c>
      <c r="L31" t="s">
        <v>957</v>
      </c>
      <c r="M31" s="23">
        <v>46003.604166666657</v>
      </c>
      <c r="N31" s="23">
        <v>46004.552777777782</v>
      </c>
      <c r="P31" t="s">
        <v>770</v>
      </c>
      <c r="Q31" t="s">
        <v>771</v>
      </c>
      <c r="R31" t="s">
        <v>125</v>
      </c>
      <c r="S31" t="s">
        <v>126</v>
      </c>
      <c r="T31" t="s">
        <v>127</v>
      </c>
      <c r="U31" t="s">
        <v>783</v>
      </c>
      <c r="V31" t="s">
        <v>958</v>
      </c>
      <c r="W31" t="s">
        <v>129</v>
      </c>
      <c r="Y31" t="s">
        <v>8</v>
      </c>
      <c r="Z31" t="s">
        <v>116</v>
      </c>
      <c r="AA31" t="s">
        <v>841</v>
      </c>
      <c r="AB31" s="24">
        <v>1</v>
      </c>
      <c r="AC31" s="24">
        <v>1</v>
      </c>
      <c r="AD31" s="24">
        <v>96011</v>
      </c>
      <c r="AE31" s="24">
        <v>57415</v>
      </c>
      <c r="AF31" s="24">
        <v>153426</v>
      </c>
    </row>
    <row r="32" spans="1:32">
      <c r="A32" t="s">
        <v>43</v>
      </c>
      <c r="B32" t="s">
        <v>207</v>
      </c>
      <c r="C32" t="s">
        <v>44</v>
      </c>
      <c r="D32" t="s">
        <v>422</v>
      </c>
      <c r="E32" t="s">
        <v>959</v>
      </c>
      <c r="F32" t="s">
        <v>960</v>
      </c>
      <c r="G32" t="s">
        <v>766</v>
      </c>
      <c r="H32" t="s">
        <v>425</v>
      </c>
      <c r="I32" t="s">
        <v>43</v>
      </c>
      <c r="J32" t="s">
        <v>961</v>
      </c>
      <c r="K32" t="s">
        <v>111</v>
      </c>
      <c r="L32" t="s">
        <v>962</v>
      </c>
      <c r="M32" s="23">
        <v>46006.333333333343</v>
      </c>
      <c r="N32" s="23">
        <v>46007.419444444437</v>
      </c>
      <c r="P32" t="s">
        <v>770</v>
      </c>
      <c r="Q32" t="s">
        <v>771</v>
      </c>
      <c r="R32" t="s">
        <v>125</v>
      </c>
      <c r="S32" t="s">
        <v>181</v>
      </c>
      <c r="T32" t="s">
        <v>127</v>
      </c>
      <c r="U32" t="s">
        <v>783</v>
      </c>
      <c r="V32" t="s">
        <v>963</v>
      </c>
      <c r="W32" t="s">
        <v>129</v>
      </c>
      <c r="Y32" t="s">
        <v>8</v>
      </c>
      <c r="Z32" t="s">
        <v>116</v>
      </c>
      <c r="AA32" t="s">
        <v>964</v>
      </c>
      <c r="AB32" s="24">
        <v>1</v>
      </c>
      <c r="AC32" s="24">
        <v>1</v>
      </c>
      <c r="AD32" s="24">
        <v>96011</v>
      </c>
      <c r="AE32" s="24">
        <v>57415</v>
      </c>
      <c r="AF32" s="24">
        <v>153426</v>
      </c>
    </row>
    <row r="33" spans="1:32">
      <c r="A33" t="s">
        <v>39</v>
      </c>
      <c r="B33" t="s">
        <v>223</v>
      </c>
      <c r="C33" t="s">
        <v>40</v>
      </c>
      <c r="D33" t="s">
        <v>281</v>
      </c>
      <c r="E33" t="s">
        <v>965</v>
      </c>
      <c r="F33" t="s">
        <v>966</v>
      </c>
      <c r="G33" t="s">
        <v>766</v>
      </c>
      <c r="H33" t="s">
        <v>223</v>
      </c>
      <c r="I33" t="s">
        <v>39</v>
      </c>
      <c r="J33" t="s">
        <v>967</v>
      </c>
      <c r="K33" t="s">
        <v>111</v>
      </c>
      <c r="L33" t="s">
        <v>968</v>
      </c>
      <c r="M33" s="23">
        <v>46006.5625</v>
      </c>
      <c r="N33" s="23">
        <v>46007.615277777782</v>
      </c>
      <c r="P33" t="s">
        <v>770</v>
      </c>
      <c r="Q33" t="s">
        <v>771</v>
      </c>
      <c r="R33" t="s">
        <v>125</v>
      </c>
      <c r="S33" t="s">
        <v>181</v>
      </c>
      <c r="T33" t="s">
        <v>127</v>
      </c>
      <c r="U33" t="s">
        <v>783</v>
      </c>
      <c r="V33" t="s">
        <v>969</v>
      </c>
      <c r="W33" t="s">
        <v>129</v>
      </c>
      <c r="Y33" t="s">
        <v>8</v>
      </c>
      <c r="Z33" t="s">
        <v>116</v>
      </c>
      <c r="AA33" t="s">
        <v>931</v>
      </c>
      <c r="AB33" s="24">
        <v>1</v>
      </c>
      <c r="AC33" s="24">
        <v>1</v>
      </c>
      <c r="AD33" s="24">
        <v>96011</v>
      </c>
      <c r="AE33" s="24">
        <v>57415</v>
      </c>
      <c r="AF33" s="24">
        <v>153426</v>
      </c>
    </row>
    <row r="34" spans="1:32">
      <c r="A34" t="s">
        <v>68</v>
      </c>
      <c r="B34" t="s">
        <v>152</v>
      </c>
      <c r="C34" t="s">
        <v>36</v>
      </c>
      <c r="D34" t="s">
        <v>970</v>
      </c>
      <c r="E34" t="s">
        <v>971</v>
      </c>
      <c r="F34" t="s">
        <v>972</v>
      </c>
      <c r="G34" t="s">
        <v>766</v>
      </c>
      <c r="H34" t="s">
        <v>778</v>
      </c>
      <c r="I34" t="s">
        <v>68</v>
      </c>
      <c r="J34" t="s">
        <v>973</v>
      </c>
      <c r="K34" t="s">
        <v>111</v>
      </c>
      <c r="L34" t="s">
        <v>974</v>
      </c>
      <c r="M34" s="23">
        <v>46006.584722222222</v>
      </c>
      <c r="N34" s="23">
        <v>46011.356944444437</v>
      </c>
      <c r="P34" t="s">
        <v>770</v>
      </c>
      <c r="Q34" t="s">
        <v>771</v>
      </c>
      <c r="R34" t="s">
        <v>782</v>
      </c>
      <c r="S34" t="s">
        <v>782</v>
      </c>
      <c r="T34" t="s">
        <v>127</v>
      </c>
      <c r="U34" t="s">
        <v>783</v>
      </c>
      <c r="V34" t="s">
        <v>975</v>
      </c>
      <c r="W34" t="s">
        <v>129</v>
      </c>
      <c r="Y34" t="s">
        <v>8</v>
      </c>
      <c r="Z34" t="s">
        <v>116</v>
      </c>
      <c r="AA34" t="s">
        <v>976</v>
      </c>
      <c r="AB34" s="24">
        <v>1</v>
      </c>
      <c r="AC34" s="24">
        <v>1</v>
      </c>
      <c r="AD34" s="24">
        <v>96011</v>
      </c>
      <c r="AE34" s="24">
        <v>57415</v>
      </c>
      <c r="AF34" s="24">
        <v>153426</v>
      </c>
    </row>
    <row r="35" spans="1:32">
      <c r="A35" t="s">
        <v>57</v>
      </c>
      <c r="B35" t="s">
        <v>133</v>
      </c>
      <c r="C35" t="s">
        <v>54</v>
      </c>
      <c r="D35" t="s">
        <v>134</v>
      </c>
      <c r="E35" t="s">
        <v>977</v>
      </c>
      <c r="F35" t="s">
        <v>978</v>
      </c>
      <c r="G35" t="s">
        <v>766</v>
      </c>
      <c r="H35" t="s">
        <v>138</v>
      </c>
      <c r="I35" t="s">
        <v>57</v>
      </c>
      <c r="J35" t="s">
        <v>979</v>
      </c>
      <c r="K35" t="s">
        <v>111</v>
      </c>
      <c r="L35" t="s">
        <v>980</v>
      </c>
      <c r="M35" s="23">
        <v>46006.590277777781</v>
      </c>
      <c r="N35" s="23">
        <v>46013.510416666657</v>
      </c>
      <c r="P35" t="s">
        <v>770</v>
      </c>
      <c r="Q35" t="s">
        <v>771</v>
      </c>
      <c r="R35" t="s">
        <v>125</v>
      </c>
      <c r="S35" t="s">
        <v>126</v>
      </c>
      <c r="T35" t="s">
        <v>127</v>
      </c>
      <c r="U35" t="s">
        <v>783</v>
      </c>
      <c r="V35" t="s">
        <v>981</v>
      </c>
      <c r="W35" t="s">
        <v>129</v>
      </c>
      <c r="Y35" t="s">
        <v>8</v>
      </c>
      <c r="Z35" t="s">
        <v>116</v>
      </c>
      <c r="AA35" t="s">
        <v>982</v>
      </c>
      <c r="AB35" s="24">
        <v>1</v>
      </c>
      <c r="AC35" s="24">
        <v>1</v>
      </c>
      <c r="AD35" s="24">
        <v>96011</v>
      </c>
      <c r="AE35" s="24">
        <v>57415</v>
      </c>
      <c r="AF35" s="24">
        <v>153426</v>
      </c>
    </row>
    <row r="36" spans="1:32">
      <c r="A36" t="s">
        <v>71</v>
      </c>
      <c r="B36" t="s">
        <v>133</v>
      </c>
      <c r="C36" t="s">
        <v>54</v>
      </c>
      <c r="D36" t="s">
        <v>983</v>
      </c>
      <c r="E36" t="s">
        <v>984</v>
      </c>
      <c r="F36" t="s">
        <v>985</v>
      </c>
      <c r="G36" t="s">
        <v>766</v>
      </c>
      <c r="H36" t="s">
        <v>264</v>
      </c>
      <c r="I36" t="s">
        <v>71</v>
      </c>
      <c r="J36" t="s">
        <v>986</v>
      </c>
      <c r="K36" t="s">
        <v>111</v>
      </c>
      <c r="L36" t="s">
        <v>987</v>
      </c>
      <c r="M36" s="23">
        <v>46007.333333333343</v>
      </c>
      <c r="N36" s="23">
        <v>46007.508333333331</v>
      </c>
      <c r="P36" t="s">
        <v>770</v>
      </c>
      <c r="Q36" t="s">
        <v>771</v>
      </c>
      <c r="R36" t="s">
        <v>782</v>
      </c>
      <c r="S36" t="s">
        <v>782</v>
      </c>
      <c r="T36" t="s">
        <v>127</v>
      </c>
      <c r="U36" t="s">
        <v>783</v>
      </c>
      <c r="V36" t="s">
        <v>988</v>
      </c>
      <c r="W36" t="s">
        <v>129</v>
      </c>
      <c r="Y36" t="s">
        <v>8</v>
      </c>
      <c r="Z36" t="s">
        <v>116</v>
      </c>
      <c r="AA36" t="s">
        <v>908</v>
      </c>
      <c r="AB36" s="24">
        <v>1</v>
      </c>
      <c r="AC36" s="24">
        <v>1</v>
      </c>
      <c r="AD36" s="24">
        <v>96011</v>
      </c>
      <c r="AE36" s="24">
        <v>57415</v>
      </c>
      <c r="AF36" s="24">
        <v>153426</v>
      </c>
    </row>
    <row r="37" spans="1:32">
      <c r="A37" t="s">
        <v>47</v>
      </c>
      <c r="B37" t="s">
        <v>103</v>
      </c>
      <c r="C37" t="s">
        <v>48</v>
      </c>
      <c r="D37" t="s">
        <v>272</v>
      </c>
      <c r="E37" t="s">
        <v>989</v>
      </c>
      <c r="F37" t="s">
        <v>990</v>
      </c>
      <c r="G37" t="s">
        <v>766</v>
      </c>
      <c r="H37" t="s">
        <v>109</v>
      </c>
      <c r="I37" t="s">
        <v>275</v>
      </c>
      <c r="J37" t="s">
        <v>991</v>
      </c>
      <c r="K37" t="s">
        <v>111</v>
      </c>
      <c r="L37" t="s">
        <v>992</v>
      </c>
      <c r="M37" s="23">
        <v>46007.393750000003</v>
      </c>
      <c r="N37" s="23">
        <v>46008.51458333333</v>
      </c>
      <c r="P37" t="s">
        <v>770</v>
      </c>
      <c r="Q37" t="s">
        <v>771</v>
      </c>
      <c r="R37" t="s">
        <v>125</v>
      </c>
      <c r="S37" t="s">
        <v>126</v>
      </c>
      <c r="T37" t="s">
        <v>127</v>
      </c>
      <c r="U37" t="s">
        <v>783</v>
      </c>
      <c r="V37" t="s">
        <v>993</v>
      </c>
      <c r="W37" t="s">
        <v>129</v>
      </c>
      <c r="Y37" t="s">
        <v>8</v>
      </c>
      <c r="Z37" t="s">
        <v>116</v>
      </c>
      <c r="AA37" t="s">
        <v>280</v>
      </c>
      <c r="AB37" s="24">
        <v>1</v>
      </c>
      <c r="AC37" s="24">
        <v>1</v>
      </c>
      <c r="AD37" s="24">
        <v>96011</v>
      </c>
      <c r="AE37" s="24">
        <v>57415</v>
      </c>
      <c r="AF37" s="24">
        <v>153426</v>
      </c>
    </row>
    <row r="38" spans="1:32">
      <c r="A38" t="s">
        <v>39</v>
      </c>
      <c r="B38" t="s">
        <v>223</v>
      </c>
      <c r="C38" t="s">
        <v>40</v>
      </c>
      <c r="D38" t="s">
        <v>281</v>
      </c>
      <c r="E38" t="s">
        <v>994</v>
      </c>
      <c r="F38" t="s">
        <v>995</v>
      </c>
      <c r="G38" t="s">
        <v>766</v>
      </c>
      <c r="H38" t="s">
        <v>223</v>
      </c>
      <c r="I38" t="s">
        <v>39</v>
      </c>
      <c r="J38" t="s">
        <v>996</v>
      </c>
      <c r="K38" t="s">
        <v>111</v>
      </c>
      <c r="L38" t="s">
        <v>997</v>
      </c>
      <c r="M38" s="23">
        <v>46007.452777777777</v>
      </c>
      <c r="N38" s="23">
        <v>46009.422222222223</v>
      </c>
      <c r="P38" t="s">
        <v>770</v>
      </c>
      <c r="Q38" t="s">
        <v>771</v>
      </c>
      <c r="R38" t="s">
        <v>125</v>
      </c>
      <c r="S38" t="s">
        <v>126</v>
      </c>
      <c r="T38" t="s">
        <v>127</v>
      </c>
      <c r="U38" t="s">
        <v>783</v>
      </c>
      <c r="V38" t="s">
        <v>998</v>
      </c>
      <c r="W38" t="s">
        <v>129</v>
      </c>
      <c r="Y38" t="s">
        <v>8</v>
      </c>
      <c r="Z38" t="s">
        <v>116</v>
      </c>
      <c r="AA38" t="s">
        <v>999</v>
      </c>
      <c r="AB38" s="24">
        <v>1</v>
      </c>
      <c r="AC38" s="24">
        <v>1</v>
      </c>
      <c r="AD38" s="24">
        <v>96011</v>
      </c>
      <c r="AE38" s="24">
        <v>57415</v>
      </c>
      <c r="AF38" s="24">
        <v>153426</v>
      </c>
    </row>
    <row r="39" spans="1:32">
      <c r="A39" t="s">
        <v>61</v>
      </c>
      <c r="B39" t="s">
        <v>172</v>
      </c>
      <c r="C39" t="s">
        <v>32</v>
      </c>
      <c r="D39" t="s">
        <v>1000</v>
      </c>
      <c r="E39" t="s">
        <v>1001</v>
      </c>
      <c r="F39" t="s">
        <v>1002</v>
      </c>
      <c r="G39" t="s">
        <v>766</v>
      </c>
      <c r="H39" t="s">
        <v>177</v>
      </c>
      <c r="I39" t="s">
        <v>1003</v>
      </c>
      <c r="J39" t="s">
        <v>1004</v>
      </c>
      <c r="K39" t="s">
        <v>111</v>
      </c>
      <c r="L39" t="s">
        <v>1005</v>
      </c>
      <c r="M39" s="23">
        <v>46008.494444444441</v>
      </c>
      <c r="N39" s="23">
        <v>46009.672222222223</v>
      </c>
      <c r="P39" t="s">
        <v>770</v>
      </c>
      <c r="Q39" t="s">
        <v>771</v>
      </c>
      <c r="R39" t="s">
        <v>125</v>
      </c>
      <c r="S39" t="s">
        <v>181</v>
      </c>
      <c r="T39" t="s">
        <v>127</v>
      </c>
      <c r="U39" t="s">
        <v>783</v>
      </c>
      <c r="V39" t="s">
        <v>1006</v>
      </c>
      <c r="W39" t="s">
        <v>129</v>
      </c>
      <c r="Y39" t="s">
        <v>8</v>
      </c>
      <c r="Z39" t="s">
        <v>116</v>
      </c>
      <c r="AA39" t="s">
        <v>1007</v>
      </c>
      <c r="AB39" s="24">
        <v>1</v>
      </c>
      <c r="AC39" s="24">
        <v>1</v>
      </c>
      <c r="AD39" s="24">
        <v>96011</v>
      </c>
      <c r="AE39" s="24">
        <v>57415</v>
      </c>
      <c r="AF39" s="24">
        <v>153426</v>
      </c>
    </row>
    <row r="40" spans="1:32">
      <c r="A40" t="s">
        <v>35</v>
      </c>
      <c r="B40" t="s">
        <v>152</v>
      </c>
      <c r="C40" t="s">
        <v>36</v>
      </c>
      <c r="D40" t="s">
        <v>1008</v>
      </c>
      <c r="E40" t="s">
        <v>1009</v>
      </c>
      <c r="F40" t="s">
        <v>1010</v>
      </c>
      <c r="G40" t="s">
        <v>766</v>
      </c>
      <c r="H40" t="s">
        <v>1011</v>
      </c>
      <c r="I40" t="s">
        <v>35</v>
      </c>
      <c r="J40" t="s">
        <v>1012</v>
      </c>
      <c r="K40" t="s">
        <v>111</v>
      </c>
      <c r="L40" t="s">
        <v>1013</v>
      </c>
      <c r="M40" s="23">
        <v>46008.507638888892</v>
      </c>
      <c r="N40" s="23">
        <v>46013.625694444447</v>
      </c>
      <c r="P40" t="s">
        <v>770</v>
      </c>
      <c r="Q40" t="s">
        <v>771</v>
      </c>
      <c r="R40" t="s">
        <v>125</v>
      </c>
      <c r="S40" t="s">
        <v>126</v>
      </c>
      <c r="T40" t="s">
        <v>127</v>
      </c>
      <c r="U40" t="s">
        <v>783</v>
      </c>
      <c r="V40" t="s">
        <v>1014</v>
      </c>
      <c r="W40" t="s">
        <v>129</v>
      </c>
      <c r="Y40" t="s">
        <v>8</v>
      </c>
      <c r="Z40" t="s">
        <v>116</v>
      </c>
      <c r="AA40" t="s">
        <v>1015</v>
      </c>
      <c r="AB40" s="24">
        <v>1</v>
      </c>
      <c r="AC40" s="24">
        <v>1</v>
      </c>
      <c r="AD40" s="24">
        <v>96011</v>
      </c>
      <c r="AE40" s="24">
        <v>57415</v>
      </c>
      <c r="AF40" s="24">
        <v>153426</v>
      </c>
    </row>
    <row r="41" spans="1:32">
      <c r="A41" t="s">
        <v>61</v>
      </c>
      <c r="B41" t="s">
        <v>172</v>
      </c>
      <c r="C41" t="s">
        <v>32</v>
      </c>
      <c r="D41" t="s">
        <v>1016</v>
      </c>
      <c r="E41" t="s">
        <v>1017</v>
      </c>
      <c r="F41" t="s">
        <v>1018</v>
      </c>
      <c r="G41" t="s">
        <v>766</v>
      </c>
      <c r="H41" t="s">
        <v>177</v>
      </c>
      <c r="I41" t="s">
        <v>1019</v>
      </c>
      <c r="J41" t="s">
        <v>1020</v>
      </c>
      <c r="K41" t="s">
        <v>111</v>
      </c>
      <c r="L41" t="s">
        <v>1021</v>
      </c>
      <c r="M41" s="23">
        <v>46009.40347222222</v>
      </c>
      <c r="N41" s="23">
        <v>46021.662499999999</v>
      </c>
      <c r="P41" t="s">
        <v>770</v>
      </c>
      <c r="Q41" t="s">
        <v>771</v>
      </c>
      <c r="R41" t="s">
        <v>125</v>
      </c>
      <c r="S41" t="s">
        <v>126</v>
      </c>
      <c r="T41" t="s">
        <v>127</v>
      </c>
      <c r="U41" t="s">
        <v>783</v>
      </c>
      <c r="V41" t="s">
        <v>1022</v>
      </c>
      <c r="W41" t="s">
        <v>129</v>
      </c>
      <c r="Y41" t="s">
        <v>131</v>
      </c>
      <c r="Z41" t="s">
        <v>116</v>
      </c>
      <c r="AA41" t="s">
        <v>498</v>
      </c>
      <c r="AB41" s="24">
        <v>1</v>
      </c>
      <c r="AC41" s="24">
        <v>1</v>
      </c>
      <c r="AD41" s="24">
        <v>548634</v>
      </c>
      <c r="AE41" s="24">
        <v>110808</v>
      </c>
      <c r="AF41" s="24">
        <v>659442</v>
      </c>
    </row>
    <row r="42" spans="1:32">
      <c r="A42" t="s">
        <v>62</v>
      </c>
      <c r="B42" t="s">
        <v>152</v>
      </c>
      <c r="C42" t="s">
        <v>36</v>
      </c>
      <c r="D42" t="s">
        <v>1023</v>
      </c>
      <c r="E42" t="s">
        <v>1024</v>
      </c>
      <c r="F42" t="s">
        <v>1025</v>
      </c>
      <c r="G42" t="s">
        <v>766</v>
      </c>
      <c r="H42" t="s">
        <v>298</v>
      </c>
      <c r="I42" t="s">
        <v>62</v>
      </c>
      <c r="J42" t="s">
        <v>1026</v>
      </c>
      <c r="K42" t="s">
        <v>111</v>
      </c>
      <c r="L42" t="s">
        <v>1027</v>
      </c>
      <c r="M42" s="23">
        <v>46010.498611111107</v>
      </c>
      <c r="N42" s="23">
        <v>46011.60833333333</v>
      </c>
      <c r="P42" t="s">
        <v>770</v>
      </c>
      <c r="Q42" t="s">
        <v>771</v>
      </c>
      <c r="R42" t="s">
        <v>782</v>
      </c>
      <c r="S42" t="s">
        <v>782</v>
      </c>
      <c r="T42" t="s">
        <v>127</v>
      </c>
      <c r="U42" t="s">
        <v>783</v>
      </c>
      <c r="V42" t="s">
        <v>1028</v>
      </c>
      <c r="W42" t="s">
        <v>129</v>
      </c>
      <c r="Y42" t="s">
        <v>8</v>
      </c>
      <c r="Z42" t="s">
        <v>116</v>
      </c>
      <c r="AA42" t="s">
        <v>304</v>
      </c>
      <c r="AB42" s="24">
        <v>1</v>
      </c>
      <c r="AC42" s="24">
        <v>1</v>
      </c>
      <c r="AD42" s="24">
        <v>96011</v>
      </c>
      <c r="AE42" s="24">
        <v>57415</v>
      </c>
      <c r="AF42" s="24">
        <v>153426</v>
      </c>
    </row>
    <row r="43" spans="1:32">
      <c r="A43" t="s">
        <v>47</v>
      </c>
      <c r="B43" t="s">
        <v>103</v>
      </c>
      <c r="C43" t="s">
        <v>48</v>
      </c>
      <c r="D43" t="s">
        <v>104</v>
      </c>
      <c r="E43" t="s">
        <v>1029</v>
      </c>
      <c r="F43" t="s">
        <v>1030</v>
      </c>
      <c r="G43" t="s">
        <v>766</v>
      </c>
      <c r="H43" t="s">
        <v>109</v>
      </c>
      <c r="I43" t="s">
        <v>47</v>
      </c>
      <c r="J43" t="s">
        <v>1031</v>
      </c>
      <c r="K43" t="s">
        <v>111</v>
      </c>
      <c r="L43" t="s">
        <v>1032</v>
      </c>
      <c r="M43" s="23">
        <v>46010.586805555547</v>
      </c>
      <c r="N43" s="23">
        <v>46012.625</v>
      </c>
      <c r="P43" t="s">
        <v>770</v>
      </c>
      <c r="Q43" t="s">
        <v>771</v>
      </c>
      <c r="R43" t="s">
        <v>125</v>
      </c>
      <c r="S43" t="s">
        <v>126</v>
      </c>
      <c r="T43" t="s">
        <v>127</v>
      </c>
      <c r="U43" t="s">
        <v>783</v>
      </c>
      <c r="V43" t="s">
        <v>1033</v>
      </c>
      <c r="W43" t="s">
        <v>129</v>
      </c>
      <c r="Y43" t="s">
        <v>8</v>
      </c>
      <c r="Z43" t="s">
        <v>116</v>
      </c>
      <c r="AA43" t="s">
        <v>1034</v>
      </c>
      <c r="AB43" s="24">
        <v>1</v>
      </c>
      <c r="AC43" s="24">
        <v>1</v>
      </c>
      <c r="AD43" s="24">
        <v>96011</v>
      </c>
      <c r="AE43" s="24">
        <v>57415</v>
      </c>
      <c r="AF43" s="24">
        <v>153426</v>
      </c>
    </row>
    <row r="44" spans="1:32">
      <c r="A44" t="s">
        <v>31</v>
      </c>
      <c r="B44" t="s">
        <v>172</v>
      </c>
      <c r="C44" t="s">
        <v>32</v>
      </c>
      <c r="D44" t="s">
        <v>1035</v>
      </c>
      <c r="E44" t="s">
        <v>1036</v>
      </c>
      <c r="F44" t="s">
        <v>1037</v>
      </c>
      <c r="G44" t="s">
        <v>766</v>
      </c>
      <c r="H44" t="s">
        <v>177</v>
      </c>
      <c r="I44" t="s">
        <v>1038</v>
      </c>
      <c r="J44" t="s">
        <v>1039</v>
      </c>
      <c r="K44" t="s">
        <v>111</v>
      </c>
      <c r="L44" t="s">
        <v>1040</v>
      </c>
      <c r="M44" s="23">
        <v>46013.511111111111</v>
      </c>
      <c r="N44" s="23">
        <v>46020.381944444453</v>
      </c>
      <c r="P44" t="s">
        <v>770</v>
      </c>
      <c r="Q44" t="s">
        <v>771</v>
      </c>
      <c r="R44" t="s">
        <v>125</v>
      </c>
      <c r="S44" t="s">
        <v>126</v>
      </c>
      <c r="T44" t="s">
        <v>127</v>
      </c>
      <c r="U44" t="s">
        <v>783</v>
      </c>
      <c r="V44" t="s">
        <v>1041</v>
      </c>
      <c r="W44" t="s">
        <v>129</v>
      </c>
      <c r="Y44" t="s">
        <v>217</v>
      </c>
      <c r="Z44" t="s">
        <v>116</v>
      </c>
      <c r="AA44" t="s">
        <v>1042</v>
      </c>
      <c r="AB44" s="24">
        <v>1</v>
      </c>
      <c r="AC44" s="24">
        <v>1</v>
      </c>
      <c r="AD44" s="24">
        <v>232859</v>
      </c>
      <c r="AE44" s="24">
        <v>110808</v>
      </c>
      <c r="AF44" s="24">
        <v>343667</v>
      </c>
    </row>
    <row r="45" spans="1:32">
      <c r="A45" t="s">
        <v>61</v>
      </c>
      <c r="B45" t="s">
        <v>172</v>
      </c>
      <c r="C45" t="s">
        <v>32</v>
      </c>
      <c r="D45" t="s">
        <v>186</v>
      </c>
      <c r="E45" t="s">
        <v>1043</v>
      </c>
      <c r="F45" t="s">
        <v>1044</v>
      </c>
      <c r="G45" t="s">
        <v>766</v>
      </c>
      <c r="H45" t="s">
        <v>177</v>
      </c>
      <c r="I45" t="s">
        <v>61</v>
      </c>
      <c r="J45" t="s">
        <v>1045</v>
      </c>
      <c r="K45" t="s">
        <v>111</v>
      </c>
      <c r="L45" t="s">
        <v>1046</v>
      </c>
      <c r="M45" s="23">
        <v>46014.333333333343</v>
      </c>
      <c r="N45" s="23">
        <v>46017.493750000001</v>
      </c>
      <c r="P45" t="s">
        <v>770</v>
      </c>
      <c r="Q45" t="s">
        <v>771</v>
      </c>
      <c r="R45" t="s">
        <v>125</v>
      </c>
      <c r="S45" t="s">
        <v>126</v>
      </c>
      <c r="T45" t="s">
        <v>127</v>
      </c>
      <c r="U45" t="s">
        <v>783</v>
      </c>
      <c r="V45" t="s">
        <v>1047</v>
      </c>
      <c r="W45" t="s">
        <v>129</v>
      </c>
      <c r="Y45" t="s">
        <v>8</v>
      </c>
      <c r="Z45" t="s">
        <v>116</v>
      </c>
      <c r="AA45" t="s">
        <v>193</v>
      </c>
      <c r="AB45" s="24">
        <v>1</v>
      </c>
      <c r="AC45" s="24">
        <v>1</v>
      </c>
      <c r="AD45" s="24">
        <v>96011</v>
      </c>
      <c r="AE45" s="24">
        <v>57415</v>
      </c>
      <c r="AF45" s="24">
        <v>153426</v>
      </c>
    </row>
    <row r="46" spans="1:32">
      <c r="A46" t="s">
        <v>64</v>
      </c>
      <c r="B46" t="s">
        <v>103</v>
      </c>
      <c r="C46" t="s">
        <v>48</v>
      </c>
      <c r="D46" t="s">
        <v>163</v>
      </c>
      <c r="E46" t="s">
        <v>1048</v>
      </c>
      <c r="F46" t="s">
        <v>1049</v>
      </c>
      <c r="G46" t="s">
        <v>766</v>
      </c>
      <c r="H46" t="s">
        <v>166</v>
      </c>
      <c r="I46" t="s">
        <v>64</v>
      </c>
      <c r="J46" t="s">
        <v>1050</v>
      </c>
      <c r="K46" t="s">
        <v>111</v>
      </c>
      <c r="L46" t="s">
        <v>1051</v>
      </c>
      <c r="M46" s="23">
        <v>46014.607638888891</v>
      </c>
      <c r="N46" s="23">
        <v>46016.432638888888</v>
      </c>
      <c r="P46" t="s">
        <v>770</v>
      </c>
      <c r="Q46" t="s">
        <v>771</v>
      </c>
      <c r="R46" t="s">
        <v>125</v>
      </c>
      <c r="S46" t="s">
        <v>181</v>
      </c>
      <c r="T46" t="s">
        <v>127</v>
      </c>
      <c r="U46" t="s">
        <v>783</v>
      </c>
      <c r="V46" t="s">
        <v>1052</v>
      </c>
      <c r="W46" t="s">
        <v>129</v>
      </c>
      <c r="Y46" t="s">
        <v>8</v>
      </c>
      <c r="Z46" t="s">
        <v>116</v>
      </c>
      <c r="AA46" t="s">
        <v>1053</v>
      </c>
      <c r="AB46" s="24">
        <v>1</v>
      </c>
      <c r="AC46" s="24">
        <v>1</v>
      </c>
      <c r="AD46" s="24">
        <v>96011</v>
      </c>
      <c r="AE46" s="24">
        <v>57415</v>
      </c>
      <c r="AF46" s="24">
        <v>153426</v>
      </c>
    </row>
    <row r="47" spans="1:32">
      <c r="A47" t="s">
        <v>61</v>
      </c>
      <c r="B47" t="s">
        <v>172</v>
      </c>
      <c r="C47" t="s">
        <v>32</v>
      </c>
      <c r="D47" t="s">
        <v>186</v>
      </c>
      <c r="E47" t="s">
        <v>1054</v>
      </c>
      <c r="F47" t="s">
        <v>1055</v>
      </c>
      <c r="G47" t="s">
        <v>766</v>
      </c>
      <c r="H47" t="s">
        <v>177</v>
      </c>
      <c r="I47" t="s">
        <v>61</v>
      </c>
      <c r="J47" t="s">
        <v>1056</v>
      </c>
      <c r="K47" t="s">
        <v>111</v>
      </c>
      <c r="L47" t="s">
        <v>1057</v>
      </c>
      <c r="M47" s="23">
        <v>46014.618055555547</v>
      </c>
      <c r="N47" s="23">
        <v>46017.464583333327</v>
      </c>
      <c r="P47" t="s">
        <v>770</v>
      </c>
      <c r="Q47" t="s">
        <v>771</v>
      </c>
      <c r="R47" t="s">
        <v>125</v>
      </c>
      <c r="S47" t="s">
        <v>181</v>
      </c>
      <c r="T47" t="s">
        <v>127</v>
      </c>
      <c r="U47" t="s">
        <v>783</v>
      </c>
      <c r="V47" t="s">
        <v>1047</v>
      </c>
      <c r="W47" t="s">
        <v>129</v>
      </c>
      <c r="Y47" t="s">
        <v>8</v>
      </c>
      <c r="Z47" t="s">
        <v>116</v>
      </c>
      <c r="AA47" t="s">
        <v>193</v>
      </c>
      <c r="AB47" s="24">
        <v>1</v>
      </c>
      <c r="AC47" s="24">
        <v>1</v>
      </c>
      <c r="AD47" s="24">
        <v>96011</v>
      </c>
      <c r="AE47" s="24">
        <v>57415</v>
      </c>
      <c r="AF47" s="24">
        <v>153426</v>
      </c>
    </row>
    <row r="48" spans="1:32">
      <c r="A48" t="s">
        <v>61</v>
      </c>
      <c r="B48" t="s">
        <v>172</v>
      </c>
      <c r="C48" t="s">
        <v>32</v>
      </c>
      <c r="D48" t="s">
        <v>186</v>
      </c>
      <c r="E48" t="s">
        <v>1058</v>
      </c>
      <c r="F48" t="s">
        <v>1059</v>
      </c>
      <c r="G48" t="s">
        <v>766</v>
      </c>
      <c r="H48" t="s">
        <v>177</v>
      </c>
      <c r="I48" t="s">
        <v>61</v>
      </c>
      <c r="J48" t="s">
        <v>1060</v>
      </c>
      <c r="K48" t="s">
        <v>111</v>
      </c>
      <c r="L48" t="s">
        <v>1061</v>
      </c>
      <c r="M48" s="23">
        <v>46017.57916666667</v>
      </c>
      <c r="N48" s="23">
        <v>46021.432638888888</v>
      </c>
      <c r="P48" t="s">
        <v>770</v>
      </c>
      <c r="Q48" t="s">
        <v>771</v>
      </c>
      <c r="R48" t="s">
        <v>125</v>
      </c>
      <c r="S48" t="s">
        <v>126</v>
      </c>
      <c r="T48" t="s">
        <v>127</v>
      </c>
      <c r="U48" t="s">
        <v>783</v>
      </c>
      <c r="V48" t="s">
        <v>1062</v>
      </c>
      <c r="W48" t="s">
        <v>129</v>
      </c>
      <c r="Y48" t="s">
        <v>8</v>
      </c>
      <c r="Z48" t="s">
        <v>116</v>
      </c>
      <c r="AA48" t="s">
        <v>185</v>
      </c>
      <c r="AB48" s="24">
        <v>1</v>
      </c>
      <c r="AC48" s="24">
        <v>1</v>
      </c>
      <c r="AD48" s="24">
        <v>96011</v>
      </c>
      <c r="AE48" s="24">
        <v>57415</v>
      </c>
      <c r="AF48" s="24">
        <v>153426</v>
      </c>
    </row>
    <row r="49" spans="1:32">
      <c r="A49" t="s">
        <v>65</v>
      </c>
      <c r="B49" t="s">
        <v>103</v>
      </c>
      <c r="C49" t="s">
        <v>59</v>
      </c>
      <c r="D49" t="s">
        <v>834</v>
      </c>
      <c r="E49" t="s">
        <v>1063</v>
      </c>
      <c r="F49" t="s">
        <v>1064</v>
      </c>
      <c r="G49" t="s">
        <v>766</v>
      </c>
      <c r="H49" t="s">
        <v>666</v>
      </c>
      <c r="I49" t="s">
        <v>837</v>
      </c>
      <c r="J49" t="s">
        <v>1065</v>
      </c>
      <c r="K49" t="s">
        <v>111</v>
      </c>
      <c r="L49" t="s">
        <v>1066</v>
      </c>
      <c r="M49" s="23">
        <v>46020.370138888888</v>
      </c>
      <c r="N49" s="23">
        <v>46022.456250000003</v>
      </c>
      <c r="P49" t="s">
        <v>770</v>
      </c>
      <c r="Q49" t="s">
        <v>771</v>
      </c>
      <c r="R49" t="s">
        <v>125</v>
      </c>
      <c r="S49" t="s">
        <v>126</v>
      </c>
      <c r="T49" t="s">
        <v>127</v>
      </c>
      <c r="U49" t="s">
        <v>783</v>
      </c>
      <c r="V49" t="s">
        <v>1067</v>
      </c>
      <c r="W49" t="s">
        <v>129</v>
      </c>
      <c r="Y49" t="s">
        <v>8</v>
      </c>
      <c r="Z49" t="s">
        <v>116</v>
      </c>
      <c r="AA49" t="s">
        <v>1068</v>
      </c>
      <c r="AB49" s="24">
        <v>1</v>
      </c>
      <c r="AC49" s="24">
        <v>1</v>
      </c>
      <c r="AD49" s="24">
        <v>96011</v>
      </c>
      <c r="AE49" s="24">
        <v>57415</v>
      </c>
      <c r="AF49" s="24">
        <v>153426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ADBA54-0C84-4F2B-8A2D-252EE0349A17}">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89B28A6A-8A63-4567-9355-E4EBBA3E8A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1D9AC2-6494-454E-9A69-53E045E173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 LIQUIDACIÓN</vt:lpstr>
      <vt:lpstr>BASE DE LIQUIDACION 2025</vt:lpstr>
      <vt:lpstr>CENTRO DE COSTOS</vt:lpstr>
      <vt:lpstr>Hoja1</vt:lpstr>
      <vt:lpstr>PUBLICIDAD_APERTURAS</vt:lpstr>
      <vt:lpstr>PUBLICIDAD_OC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Lini Jhojana Hernandez Mora</cp:lastModifiedBy>
  <dcterms:created xsi:type="dcterms:W3CDTF">2015-02-09T21:21:29Z</dcterms:created>
  <dcterms:modified xsi:type="dcterms:W3CDTF">2026-01-14T20:57:48Z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