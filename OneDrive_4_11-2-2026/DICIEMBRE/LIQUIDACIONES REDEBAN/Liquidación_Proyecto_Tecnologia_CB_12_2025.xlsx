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2025/DICIEMBRE/LIQUIDACIONES REDEBAN/"/>
    </mc:Choice>
  </mc:AlternateContent>
  <xr:revisionPtr revIDLastSave="3" documentId="8_{67302A00-0DA4-4537-A94A-DD27BA81E0D1}" xr6:coauthVersionLast="47" xr6:coauthVersionMax="47" xr10:uidLastSave="{26B7E186-7CB4-4E52-BE62-C8CEE091E0B0}"/>
  <bookViews>
    <workbookView xWindow="28680" yWindow="-120" windowWidth="29040" windowHeight="15720" tabRatio="896" xr2:uid="{00000000-000D-0000-FFFF-FFFF00000000}"/>
  </bookViews>
  <sheets>
    <sheet name="RESUMEN LIQUIDACIONES" sheetId="5" r:id="rId1"/>
    <sheet name="BASE LIQUIDACION" sheetId="1" r:id="rId2"/>
    <sheet name="Hoja1" sheetId="6" r:id="rId3"/>
    <sheet name="ADECUCACIONES" sheetId="2" r:id="rId4"/>
    <sheet name="INCIDENTES" sheetId="3" r:id="rId5"/>
    <sheet name="OC" sheetId="4"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3" hidden="1">ADECUCACIONES!$A$1:$AE$6</definedName>
    <definedName name="_xlnm._FilterDatabase" localSheetId="4" hidden="1">INCIDENTES!$A$1:$AH$93</definedName>
    <definedName name="_xlnm._FilterDatabase" localSheetId="5" hidden="1">OC!$A$1:$AG$8</definedName>
    <definedName name="A">#REF!</definedName>
    <definedName name="Actividad">[1]Formulas!$H$2:$H$5000</definedName>
    <definedName name="arearesponsable">'[2]Listas desplegables'!$BB$2:$BB$100</definedName>
    <definedName name="Clientes">[1]Clientes!$A$2:$A$100</definedName>
    <definedName name="COORDINADOR">[3]Hoja2!$D$2:$D$30</definedName>
    <definedName name="Coordinadores">[1]Coordinadores!$A$2:$A$1000</definedName>
    <definedName name="DOCUMENTADOR">[3]Hoja2!$A$2:$A$30</definedName>
    <definedName name="ES">[3]Hoja2!$K$2:$K$30</definedName>
    <definedName name="ESS">[3]Hoja2!$K$2:$K$30</definedName>
    <definedName name="Estado">[1]Formulas!$K$2:$K$5000</definedName>
    <definedName name="ESTADOACTIVIDAD">[3]Hoja2!$M$2:$M$30</definedName>
    <definedName name="ESTADOS">'[4]Listas desplegables'!$B$1:$D$1</definedName>
    <definedName name="ESTADOSCIERRES">'[5]lista desplegable'!$CX$1:$DA$1</definedName>
    <definedName name="Facturacion">'[6]Listas desplegables'!$AO$1:$AR$1</definedName>
    <definedName name="FACTURACIÓN">'[4]Listas desplegables'!$Y$1:$AB$1</definedName>
    <definedName name="falla">#REF!</definedName>
    <definedName name="Fallas">'[7]Listas desplegables'!$F$2:$L$2</definedName>
    <definedName name="Grupo_Falla">'[8]Listas Desplegables'!$CH$2:$CH$5</definedName>
    <definedName name="inconservmanager">'[9]Listas desplegables'!$BC$2:$BC$100</definedName>
    <definedName name="INCUMPLIMIENTO">'[2]Listas desplegables'!$AK$1:$AN$1</definedName>
    <definedName name="LISTA">[10]Dptos!$A$1139:$A$1171</definedName>
    <definedName name="LISTA2">#REF!</definedName>
    <definedName name="LOLO">[11]Coordinadores!$A$2:$A$1000</definedName>
    <definedName name="solicitudes">'[12]Listas desplegables'!$AF$1:$AQ$1</definedName>
    <definedName name="Tecnicos">[1]Tecnicos!$A$2:$A$1000</definedName>
    <definedName name="Version">[1]Formulas!$I$2:$I$3</definedName>
  </definedNames>
  <calcPr calcId="191029"/>
  <pivotCaches>
    <pivotCache cacheId="437" r:id="rId19"/>
    <pivotCache cacheId="441" r:id="rId20"/>
    <pivotCache cacheId="445" r:id="rId21"/>
    <pivotCache cacheId="449" r:id="rId22"/>
  </pivotCaches>
</workbook>
</file>

<file path=xl/calcChain.xml><?xml version="1.0" encoding="utf-8"?>
<calcChain xmlns="http://schemas.openxmlformats.org/spreadsheetml/2006/main">
  <c r="D49" i="6" l="1"/>
  <c r="C49" i="6"/>
  <c r="D47" i="6"/>
  <c r="C47" i="6"/>
  <c r="D45" i="6"/>
  <c r="C45" i="6"/>
  <c r="D43" i="6"/>
  <c r="C43" i="6"/>
  <c r="D32" i="6"/>
  <c r="C32" i="6"/>
  <c r="D30" i="6"/>
  <c r="C30" i="6"/>
  <c r="D28" i="6"/>
  <c r="C28" i="6"/>
  <c r="D26" i="6"/>
  <c r="C26" i="6"/>
  <c r="D24" i="6"/>
  <c r="C24" i="6"/>
  <c r="D22" i="6"/>
  <c r="C22" i="6"/>
  <c r="D20" i="6"/>
  <c r="C20" i="6"/>
  <c r="D10" i="6"/>
  <c r="C10" i="6"/>
  <c r="D8" i="6"/>
  <c r="C8" i="6"/>
  <c r="D6" i="6"/>
  <c r="C6" i="6"/>
  <c r="D4" i="6"/>
  <c r="C4" i="6"/>
  <c r="I7" i="5"/>
  <c r="J7" i="5" s="1"/>
  <c r="D8" i="5"/>
  <c r="D7" i="5"/>
  <c r="D6" i="5"/>
  <c r="B8" i="5"/>
  <c r="B7" i="5"/>
  <c r="B6" i="5"/>
  <c r="I11" i="5"/>
  <c r="J11" i="5" s="1"/>
  <c r="I10" i="5"/>
  <c r="J10" i="5" s="1"/>
  <c r="I9" i="5"/>
  <c r="J9" i="5" s="1"/>
  <c r="I8" i="5"/>
  <c r="J8" i="5" s="1"/>
  <c r="I6" i="5"/>
  <c r="J6" i="5" s="1"/>
  <c r="H5" i="5"/>
  <c r="F2" i="5"/>
  <c r="J5" i="5" l="1"/>
  <c r="J12" i="5" s="1"/>
  <c r="D9" i="5" s="1"/>
  <c r="D10" i="5" s="1"/>
  <c r="I5" i="5"/>
  <c r="I12" i="5" s="1"/>
  <c r="H12" i="5"/>
  <c r="D11" i="5" l="1"/>
  <c r="D12" i="5" s="1"/>
  <c r="B15" i="1" l="1"/>
  <c r="B14" i="1"/>
  <c r="B13" i="1"/>
  <c r="B12" i="1"/>
  <c r="B11" i="1"/>
  <c r="B10" i="1"/>
  <c r="D7" i="1"/>
  <c r="C7" i="1"/>
  <c r="D6" i="1"/>
  <c r="C6" i="1"/>
  <c r="D5" i="1"/>
  <c r="C5" i="1"/>
  <c r="D4" i="1"/>
  <c r="C4" i="1"/>
  <c r="D3" i="1"/>
  <c r="C3" i="1"/>
</calcChain>
</file>

<file path=xl/sharedStrings.xml><?xml version="1.0" encoding="utf-8"?>
<sst xmlns="http://schemas.openxmlformats.org/spreadsheetml/2006/main" count="2711" uniqueCount="990">
  <si>
    <t>TARIFAS 2025</t>
  </si>
  <si>
    <t>Incremento 2025</t>
  </si>
  <si>
    <t xml:space="preserve">Tipificación </t>
  </si>
  <si>
    <t>Descripción</t>
  </si>
  <si>
    <t>Dia actividad Exitosa</t>
  </si>
  <si>
    <t>Dia actividad Fallida</t>
  </si>
  <si>
    <t>Tipo I</t>
  </si>
  <si>
    <t>Metropolitano</t>
  </si>
  <si>
    <t>Tipo II</t>
  </si>
  <si>
    <t>Hasta 3 horas</t>
  </si>
  <si>
    <t>Tipo III</t>
  </si>
  <si>
    <t>De 3 a 5 horas</t>
  </si>
  <si>
    <t>Tipo IV</t>
  </si>
  <si>
    <t>Más de 5 horas</t>
  </si>
  <si>
    <t>Destino aereo</t>
  </si>
  <si>
    <t>No incluye valor del Tiquete</t>
  </si>
  <si>
    <t>*Donde se requiera transporte aéreo o fluvial se factura adicional a tarifa TIPO IV el valor del tiquete + el 12% de admon.</t>
  </si>
  <si>
    <t>Gestión Telefónica</t>
  </si>
  <si>
    <t>Mts Acometida electrica</t>
  </si>
  <si>
    <t>Mts Acometida datos</t>
  </si>
  <si>
    <t>switche</t>
  </si>
  <si>
    <t>Router</t>
  </si>
  <si>
    <t>Envio operador Logistico</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</si>
  <si>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</si>
  <si>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</si>
  <si>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</si>
  <si>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</si>
  <si>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</si>
  <si>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</si>
  <si>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</si>
  <si>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</si>
  <si>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</si>
  <si>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</si>
  <si>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</si>
  <si>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</si>
  <si>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</si>
  <si>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</si>
  <si>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</si>
  <si>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</si>
  <si>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</si>
  <si>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</si>
  <si>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</si>
  <si>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</si>
  <si>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</si>
  <si>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</si>
  <si>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</si>
  <si>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</si>
  <si>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ACOMETIDA DATOS</t>
  </si>
  <si>
    <t>ACOMETIDA ELECTRICA</t>
  </si>
  <si>
    <t>SWITCH</t>
  </si>
  <si>
    <t>ROUTER</t>
  </si>
  <si>
    <t>VALOR DIAS ACTIVIDAD FACTURABLES</t>
  </si>
  <si>
    <t>DIAS ACTIVIDAD FACTURABLES</t>
  </si>
  <si>
    <t>VALOR TOTAL INSTALACION DE PUBLICIDAD</t>
  </si>
  <si>
    <t>CALI</t>
  </si>
  <si>
    <t>SUROCCIDENTE Y EJE CAFETERO</t>
  </si>
  <si>
    <t>0004-0003</t>
  </si>
  <si>
    <t>76001</t>
  </si>
  <si>
    <t>TA-25-1330514</t>
  </si>
  <si>
    <t>3007082238</t>
  </si>
  <si>
    <t>APERTURA</t>
  </si>
  <si>
    <t>CB CRECIMIENTO ALIANZA - OTRAS LISTAS</t>
  </si>
  <si>
    <t>VALLE DEL CAUCA</t>
  </si>
  <si>
    <t>PTM CALI DISTRIBUIDORA LA 23 S</t>
  </si>
  <si>
    <t>REDEBAN</t>
  </si>
  <si>
    <t>FO-25-1905019 | FO-25-1884065</t>
  </si>
  <si>
    <t>CANCELADO | EJECUTADO/CANCELADO</t>
  </si>
  <si>
    <t>[FO-25-1905019] 02/12/2025 ‎POR MOTIVO QUE EL CLIENTE TUVO DILIGENCIAS MÉDICAS, "DIÓ A LUZ" NO SE PODRÁ ATENDER LA INSTALACIÓN EL DÍA DE HOY, QUEDAMOS EN REPROGRAMAR DICHO SERVICIO. | 18/12/2025 ‎SE REALIZA COMUNICACIÓN CON LA SEÑORA ISABEL CRISTINA E INDICA QUE EL DÍA DE AYER 17 DE DICIEMBRE REALIZÓ EL PROCESO DE CANCELACIÓN PORQUE SE ENCUENTRA INDISPUESTA DE SALUD QUE PARA ENERO RETOMA LA SOLICITUD DE INSTALACIÓN CON PTM. || [FO-25-1884065] 26/11/2025 26-11 PROGRAMACION REALIZADA POR LA ALIANZA| INSTALACIÓN PROGRAMADA PARA EL 2025-11-28 | 28/11/2025 SE LLEGO A EL CB DESDE TEMPRANO, POR INCONVENIENTE CON LAS TERMINALES REDEBAN REALIZO CAMBIO DE LA MISMA A UNAS NUEVAS.
‎SE CONFIGURA LA NUEVA TERMINAL COMO PURA POR SOLICITUD DE REDEBAN Y SIENDO LAS 17:00 LA TERMINAL AUN PRESENTA INCONVENIENTES, LAS CUALES AL REALIZAR PRUEBAS DA RECHAZOS GENERAL.
‎SE INDAGO CON PTM Y BANCOLOMBIA POSIBLES BLOQUEO Y ANTES LAS ENTIDADES ESTA BIEN.
‎CLIENTE INDICA QUE NO PUEDE SEGUIR CON EL PROCESO DESPUES DE LAS 5 POR MOTIVO DE SEGURIDAD DE LA ZONA Y SOLICITA LA REPROGRAMACIÓN PARA EL DIA MARTES.
‎PD. POR SOLICITUD DE REDEBAN EQUIPO QUEDARIA CON TERMINAL PURA</t>
  </si>
  <si>
    <t>SOPORTE TELEFONICO</t>
  </si>
  <si>
    <t>TIPO I</t>
  </si>
  <si>
    <t>TERRESTRE</t>
  </si>
  <si>
    <t>TORRES GARCIA JENDRY JOSE</t>
  </si>
  <si>
    <t>IBAGUE</t>
  </si>
  <si>
    <t>REMOTAS</t>
  </si>
  <si>
    <t>0004-0007</t>
  </si>
  <si>
    <t>73001</t>
  </si>
  <si>
    <t>TA-25-1330683</t>
  </si>
  <si>
    <t>3007082329</t>
  </si>
  <si>
    <t>CB CRECIMIENTO ALIANZA - NUEVO</t>
  </si>
  <si>
    <t>TOLIMA</t>
  </si>
  <si>
    <t>PTM  IBAGUE EL MANA DE LOS PLA</t>
  </si>
  <si>
    <t>FO-25-1898216 | FO-25-1884319</t>
  </si>
  <si>
    <t>[FO-25-1898216] 02/12/2025 CONFIRMO LA CANCELACIÓN DE LA IMPLEMENTACIÓN DEL CB 82329 POR PARTE DEL USUARIO DEBIDO A QUE EN LA PLATAFORMA DE SOMOD BANCOLOMBIA NO LE FUNCIONA EL USUARIO Y CONTRASEÑA || [FO-25-1884319] 26/11/2025 26-11 PROGRAMACION REALIZADA POR LA ALIANZA| INSTALACIÓN PROGRAMADA PARA EL 2025-11-27 | 27/11/2025 SE VISITA DIRECCIÓN INDICADA DE INSTALACIÓN DE CB, SE VALIDA CORREO DE USUARIO PARA LA PLATAFORMA SOMOS BANCOLOMBIA . EVIDENCIA QUE PRESENTA INCONSISTENCIA . POR TAL MOTIVO NO ES POSIBLE EL INGRESO A SOMOS BANCOLOMBIA
EL CLIENTE MANIFIESTA NO RECIBIR LA INSTALACIÓN DEL CB YA QUE NO PUEDE VISUALIZAR LOS MOVIMIENTOS DE LA PLATAFORMA ESTAR SEGURA DE LA OPERATIVIDAD DEL CB
INFORMA QUE SE COMUNICARA CON EL PTM PARA CORRECCIÓN DE CORREO</t>
  </si>
  <si>
    <t>GUTIERREZ  CAMILO ANDRES</t>
  </si>
  <si>
    <t>VALLEDUPAR</t>
  </si>
  <si>
    <t>COSTA</t>
  </si>
  <si>
    <t>0004-0001</t>
  </si>
  <si>
    <t>44378</t>
  </si>
  <si>
    <t>TA-25-1341466</t>
  </si>
  <si>
    <t>3007057635</t>
  </si>
  <si>
    <t>DATAFONO ADICIONAL - ALIANZA</t>
  </si>
  <si>
    <t>LA GUAJIRA</t>
  </si>
  <si>
    <t>HATONUEVO</t>
  </si>
  <si>
    <t>MULTIPAGAS  HATONUEVO</t>
  </si>
  <si>
    <t>FO-25-1921921 | FO-25-1911535</t>
  </si>
  <si>
    <t>ROBUSTO</t>
  </si>
  <si>
    <t>MULTIPAGAS</t>
  </si>
  <si>
    <t>EJECUTADO | EJECUTADO/CANCELADO</t>
  </si>
  <si>
    <t>[FO-25-1921921] 09/12/2025 SE REALIZA INSTALACIÓN DE DATAFONO ADICIONAL, SE INSTALA DATAFONO, LECTOR, PINPAD Y MAGICBOX 2600, SE ENTREGAN 40 ROLLOS, SE BRINDA CAPACITACIÓN, SE REALIZAN PRUEBAS DE TRANSACCIONES, DEJANDO SERVICIO FUNCIONAL AL 100 % || [FO-25-1911535] 01/12/2025 01-12 SE REALIZA LLAMADA AL CLIENTE, SE HABLA CON LA SRA TATIANA TOLOZA SE VALIDA DIRECCIÓN OK, CANAL OK, DISPONIBILIDAD TOTAL, LLAMAR EL DÍA LA INSTALACIÓN PARA CONFIRMAR VISITA | 03/12/2025 SE LLEGA A SITIO, COMERCIO INDICA QUE PARA PODER INGRESAR SE NECESITA LA AUTORIZACIÓN Y VALIDACION DE BANCOLOMBIA, PROCEDEN A LLAMAR A LA LINEA PERO ESTA NO RESPONDEN, SE INTENTA POR OTROS MEDIOS COMO WPP Y TAMPOCO CONTESTAN, SE LE INDICA AL JEFE DEL MULTIPAGAS QUE VAMOS A REALIZAR UNA INSTALACIÓN DE UN DATAFONO ADICIONAL Y ESTE INDICA QUE SIN LA AUTORIZACIÓN DEL BANCO, NO ME PERMITEN EL INGRESO, SE INTENTA COMUNICAR CON LA LINEA DE BANCOLOMBIA EN UN LAPSO DE TIEMPO DE UNA HORA Y MEDIA, Y NUNCA CONTESTARON, ME COMUNICO CON EL COORDINADOR JOSE HERNÁNDEZ Y ESTE MANIFIESTA QUE SE TIENE QUE REAGENDAR LA VISITA Y QUE ME RETIRE DEL SITIO</t>
  </si>
  <si>
    <t>VISITA TECNICA</t>
  </si>
  <si>
    <t>AE007354</t>
  </si>
  <si>
    <t>TIPO III</t>
  </si>
  <si>
    <t>MONTES DIAZ JOHN FRED</t>
  </si>
  <si>
    <t>MEDELLIN</t>
  </si>
  <si>
    <t>NOROCCIDENTE</t>
  </si>
  <si>
    <t>0004-0005</t>
  </si>
  <si>
    <t>5001</t>
  </si>
  <si>
    <t>TA-25-1393500</t>
  </si>
  <si>
    <t>3007082482</t>
  </si>
  <si>
    <t>ANTIOQUIA</t>
  </si>
  <si>
    <t>DISTRICOL JUGOS Y DOGS</t>
  </si>
  <si>
    <t>FO-25-1959693</t>
  </si>
  <si>
    <t>AGREGADOR</t>
  </si>
  <si>
    <t>DISTRICOL</t>
  </si>
  <si>
    <t>EJECUTADO/CANCELADO</t>
  </si>
  <si>
    <t>11/12/2025 11-12 PROGRAMACION REALIZADA POR LA ALIANZA| INSTALACIÓN PROGRAMADA PARA EL 2025-12-12 | 12/12/2025 LA DIRECCIÓN A LA QUE DEBO INSTALAR EL CB BANCARIO ESTÁ ERRADA, LA USUARIA INDICA QUE SE PASARON DE LOCAL HACE POCO</t>
  </si>
  <si>
    <t>RUA ALVAREZ RICHARD ANDRES</t>
  </si>
  <si>
    <t>5736</t>
  </si>
  <si>
    <t>TA-25-1446323</t>
  </si>
  <si>
    <t>3007082552</t>
  </si>
  <si>
    <t>SEGOVIA</t>
  </si>
  <si>
    <t>DISTRICOL MAYRA SEGOVIA</t>
  </si>
  <si>
    <t>FO-25-2050073 | FO-25-2024451</t>
  </si>
  <si>
    <t>[FO-25-2050073]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t>
  </si>
  <si>
    <t>OB007843</t>
  </si>
  <si>
    <t>TIPO IV</t>
  </si>
  <si>
    <t>DIAZ ZABALA FRANCIS DUBAN</t>
  </si>
  <si>
    <t>FECHA ASIGNACION A LINEA COMUNICACIONES</t>
  </si>
  <si>
    <t>FECHA CIERRE DEL TICKET (DD/MM/AAAA HH:MM)</t>
  </si>
  <si>
    <t>ACOMETIDA</t>
  </si>
  <si>
    <t>GRUPO_FALLA</t>
  </si>
  <si>
    <t>CATEGORIA</t>
  </si>
  <si>
    <t>FALLA</t>
  </si>
  <si>
    <t>OBSERVACION</t>
  </si>
  <si>
    <t>DIAS DE VISITA</t>
  </si>
  <si>
    <t>ACOMETIDA ELÉCTRICA</t>
  </si>
  <si>
    <t>VILLAVICENCIO</t>
  </si>
  <si>
    <t>50313</t>
  </si>
  <si>
    <t>3069845</t>
  </si>
  <si>
    <t>3007050504</t>
  </si>
  <si>
    <t>INCIDENTE</t>
  </si>
  <si>
    <t>META</t>
  </si>
  <si>
    <t>GRANADA</t>
  </si>
  <si>
    <t>BARRIO ZONA RURAL GRANADA META</t>
  </si>
  <si>
    <t>FO-25-1895555</t>
  </si>
  <si>
    <t>NO</t>
  </si>
  <si>
    <t>USUARIO</t>
  </si>
  <si>
    <t>MANTENIMIENTO</t>
  </si>
  <si>
    <t>MANTENIMIENTO GENERAL</t>
  </si>
  <si>
    <t>CB UNO A UNO</t>
  </si>
  <si>
    <t>27/11/2025 SE ESCALA PARA VISITA. LLAMAR ANTES DE VISITAR, CONFIRMAR FALLA Y DATOS | 30/11/2025 CLIENTE INFORMA QUE NOS RECIBE EL LUNES YA QUE NO SE ENCUENTRA DISPONIBLE | 01/12/2025 SE REALIZA CONTACTO TELEFONICO CON EL CLIENTE Y SE LE INFORMA EL CAMBIO DE CONTRASEÑA Y QUEDAN OPERANDO OK</t>
  </si>
  <si>
    <t>TIPO II</t>
  </si>
  <si>
    <t>PEDREROS CONTRERAS MICHAEL STEVENS</t>
  </si>
  <si>
    <t>17495</t>
  </si>
  <si>
    <t>3073674</t>
  </si>
  <si>
    <t>3007067178</t>
  </si>
  <si>
    <t>CALDAS</t>
  </si>
  <si>
    <t>NORCASIA</t>
  </si>
  <si>
    <t>DISTRICOL PAPE &amp; DET MIL IDEAS</t>
  </si>
  <si>
    <t>FO-25-1899864</t>
  </si>
  <si>
    <t>COMUNICACION</t>
  </si>
  <si>
    <t>CONEXIONES DE COMERCIO</t>
  </si>
  <si>
    <t>27/11/2025 SE ESCALA PARA VISITA. LLAMAR ANTES DE VISITAR, CONFIRMAR FALLA Y DATOS | 04/12/2025 SE LLAMA AL SEÑOR JOHAN CORTES, AL NÚMERO DE TELÉFONO 3128503919 Y ME INDICA QUE EL DATAFONO ESTÁ FUNCIONANDO CORRECTAMENTE. QUE PARECE QUE SOLO ERA BAJONES DE ENERGÍA.</t>
  </si>
  <si>
    <t>VARGAS HERRERA JHON JAIRO</t>
  </si>
  <si>
    <t>76834</t>
  </si>
  <si>
    <t>3079308</t>
  </si>
  <si>
    <t>3007068412</t>
  </si>
  <si>
    <t>TULUA</t>
  </si>
  <si>
    <t>BARRIO MARACAIBO TULUA 4</t>
  </si>
  <si>
    <t>FO-25-1908630</t>
  </si>
  <si>
    <t>30/11/2025 SE ESCALA PARA VISITA. LLAMAR ANTES DE VISITAR, CONFIRMAR FALLA Y DATOS | 01/12/2025 SE HABLA CON LA SRA FANNY CASTRO E INDICA QUE YA EL EQUIPO ESTA OPERATIVO, QUE CONECTO EL DATAFONO A OTRO PUERTO Y REINICIO EL MODEM Y TODO QUEDO OK, CB OPERATIVO Y  OK, LA CLIENTA AUTORIZA CERRAR LA ORDEN</t>
  </si>
  <si>
    <t>PAREDES CASTILLO DIEGO</t>
  </si>
  <si>
    <t>5579</t>
  </si>
  <si>
    <t>3082818</t>
  </si>
  <si>
    <t>3007081068</t>
  </si>
  <si>
    <t>PUERTO BERRIO</t>
  </si>
  <si>
    <t>BARRIO CENTRO PUERTO BERRIO 9</t>
  </si>
  <si>
    <t>FO-25-1912127</t>
  </si>
  <si>
    <t>UNO A UNO</t>
  </si>
  <si>
    <t>EJECUTADO</t>
  </si>
  <si>
    <t>01/12/2025 SE ESCALA PARA VISITA. LLAMAR ANTES DE VISITAR, CONFIRMAR FALLA Y DATOS | 03/12/2025 SE HACE MANTENIMIENTO OK SE VALIDA CABLEADO DEL CLIENTE SE EVIDENCIA QUE TIENE DOS MULTIPUNTOS DE INTERNET MAL CONECTADOS, OCASIONADO LA INTERMITENCIA EN EL DATAFONO. SE ORGANIZA CABLE Y SE ENTREGA NUEVAMENTE DATAFONO FUNCIONANDO CORRECTAMENTE.</t>
  </si>
  <si>
    <t>SHZZZ029</t>
  </si>
  <si>
    <t>5101</t>
  </si>
  <si>
    <t>3083235</t>
  </si>
  <si>
    <t>3007066781</t>
  </si>
  <si>
    <t>CIUDAD BOLIVAR</t>
  </si>
  <si>
    <t>BARRIO CIUDAD BOLIVAR CIUDAD B</t>
  </si>
  <si>
    <t>FO-25-1912725</t>
  </si>
  <si>
    <t>NO ENCIENDE</t>
  </si>
  <si>
    <t>01/12/2025 SE ESCALA PARA VISITA. LLAMAR ANTES DE VISITAR, CONFIRMAR FALLA Y DATOS | 02/12/2025 SE VERIFICACION DE LA CONEXIÓN DEL CB SE CAMBIA DE TOMA DE ALIMENTACIÓN</t>
  </si>
  <si>
    <t>3A0CZ741</t>
  </si>
  <si>
    <t>CASTAÑEDA PALACIO CARLOS FELIPE</t>
  </si>
  <si>
    <t>5308</t>
  </si>
  <si>
    <t>3085365</t>
  </si>
  <si>
    <t>3007082034</t>
  </si>
  <si>
    <t>GIRARDOTA</t>
  </si>
  <si>
    <t>DISTRICOL PELUQUERÍA CANINA</t>
  </si>
  <si>
    <t>FO-25-1914679</t>
  </si>
  <si>
    <t>01/12/2025 SE ESCALA PARA VISITA. LLAMAR ANTES DE VISITAR, CONFIRMAR FALLA Y DATOS | 02/12/2025 SE REALIZÓ LLAMADA TELEFÓNICA AL CORRESPONSAL BANCOLOMBIA PARA VERIFICAR EL ESTADO DEL INCIDENTE REPORTADO CON EL DATÁFONO. EL USUARIO INFORMÓ QUE EL DISPOSITIVO YA SE ENCUENTRA EN FUNCIONAMIENTO Y QUE NO ES NECESARIA LA VISITA TÉCNICA, DADO QUE LA FALLA ESTABA ASOCIADA A LA CONEXIÓN DE INTERNET DEL COMERCIO Y FUE SOLUCIONADA.</t>
  </si>
  <si>
    <t>MARTINEZ TOVAR OSCAR DAVID</t>
  </si>
  <si>
    <t>MONTERIA</t>
  </si>
  <si>
    <t>23675</t>
  </si>
  <si>
    <t>3087575</t>
  </si>
  <si>
    <t>3007079907</t>
  </si>
  <si>
    <t>CORDOBA</t>
  </si>
  <si>
    <t>SAN BERNARDO DEL VIENTO</t>
  </si>
  <si>
    <t>DISTRICOL EL CAMPESINO GRANERO</t>
  </si>
  <si>
    <t>FO-25-1916922</t>
  </si>
  <si>
    <t>02/12/2025 SE ESCALA ACTIVIDAD PARA GESTION WOMPI | 02/12/2025 SE REALIZA VISITA TÉCNICA Y SE CORRIGE COMUNICACIÓN ETHERNET CON EL DATAFONO, IDENTIFICADO EL INCONVENIENTE EN EL PUERTO ETHERNET DEL MODEM DEL CLIENTE REALIZANDO CAMBIO DE PUERTO PARA ASÍ RESTABLECER NUEVAMENTE LA COMUNICACIÓN Y DEJAR EL SERVICIO OPERATIVO DANDO SOLUCIÓN AL PROBLEMA.</t>
  </si>
  <si>
    <t>SAUZZ956</t>
  </si>
  <si>
    <t>CASSIANI PEREZ RAUL RAMIRO</t>
  </si>
  <si>
    <t>CUCUTA</t>
  </si>
  <si>
    <t>SANTANDERES</t>
  </si>
  <si>
    <t>0004-0008</t>
  </si>
  <si>
    <t>54001</t>
  </si>
  <si>
    <t>3097841</t>
  </si>
  <si>
    <t>3007061712</t>
  </si>
  <si>
    <t>NORTE DE SANTANDER</t>
  </si>
  <si>
    <t>PTM CUCUTA VARIEDADES REYMAR 3</t>
  </si>
  <si>
    <t>FO-25-1926607</t>
  </si>
  <si>
    <t>COMCARD - PTM</t>
  </si>
  <si>
    <t>03/12/2025 SE ESCALA PARA VISITA. LLAMAR ANTES DE VISITAR, CONFIRMAR FALLA Y DATOS | 04/12/2025 SE ENCONTRÓ TAPA MAL CERRADA,SE REALIZA MANTENIMIENTO CIERRES Y PRUEBAS OK</t>
  </si>
  <si>
    <t>FUA0L506 FUA0L603</t>
  </si>
  <si>
    <t>DURAN ACOSTA FRANK YONNY</t>
  </si>
  <si>
    <t>3098032</t>
  </si>
  <si>
    <t>3007040255</t>
  </si>
  <si>
    <t>PTM CALI MUNDO MOVIL</t>
  </si>
  <si>
    <t>FO-25-1926596</t>
  </si>
  <si>
    <t>03/12/2025 SE ESCALA PARA VISITA. LLAMAR ANTES DE VISITAR, CONFIRMAR FALLA Y DATOS | 03/12/2025 SE LLEGA AL COMERCIO SE ENCUENTRA QUE ESTÁ DESCONECTADO EL INTERNET DEL ROUTER SE CONECTA SE HACEN PRUEBAS EXITOSAS</t>
  </si>
  <si>
    <t>AB0HZ961 UV001663</t>
  </si>
  <si>
    <t>PALACIOS GOMEZ BRAHIAN ANDRES</t>
  </si>
  <si>
    <t>73585</t>
  </si>
  <si>
    <t>3099382</t>
  </si>
  <si>
    <t>3007032656</t>
  </si>
  <si>
    <t>PURIFICACION</t>
  </si>
  <si>
    <t>BARRIO LOS CAMBULOS PURIFICACI</t>
  </si>
  <si>
    <t>FO-25-1927810</t>
  </si>
  <si>
    <t>03/12/2025 SE ESCALA PARA VISITA. LLAMAR ANTES DE VISITAR, CONFIRMAR FALLA Y DATOS | 04/12/2025 SE REALIZA VISITA AL PUNTO, SE CONECTA DE FORMA CORRECTA EL PINPAD ,EQUIPO FUNCIONA DE FORMA EXITOSA, CB OPERATIVO</t>
  </si>
  <si>
    <t>BL01X782</t>
  </si>
  <si>
    <t>DEVIA REINOSO JUAN CARLOS</t>
  </si>
  <si>
    <t>BOGOTA</t>
  </si>
  <si>
    <t>CUNDINAMARCA</t>
  </si>
  <si>
    <t>0004-0004</t>
  </si>
  <si>
    <t>11001</t>
  </si>
  <si>
    <t>3101986</t>
  </si>
  <si>
    <t>3007076110</t>
  </si>
  <si>
    <t>PTM BOGOTA HERRAJES E INSUMOS</t>
  </si>
  <si>
    <t>FO-25-1929961</t>
  </si>
  <si>
    <t>04/12/2025 SE ESCALA PARA VISITA. LLAMAR ANTES DE VISITAR, CONFIRMAR FALLA Y DATOS | 05/12/2025 EN CAMINO CLIENTE SOLICITA SER ATENDIDO DESPUÉS DE LAS 11 AM YA QUE SE ENCUENTRA EN DILIGENCIAS PERSONALES | 05/12/2025 FALLA EN EL CABLE DE RED DEL CLIENTE SE REALIZA REPARACIÓN CON PONCHADORA DEL TÉCNICO PRUEBAS OK NO TIENEN TARJETA PARA REALIZAR PRUEBAS DE ADQUIRENCIA</t>
  </si>
  <si>
    <t>SX0GZ261 SX0HZ210</t>
  </si>
  <si>
    <t>GOMEZ VEGA DAVID SNEYDER</t>
  </si>
  <si>
    <t>BARRANQUILLA</t>
  </si>
  <si>
    <t>8638</t>
  </si>
  <si>
    <t>3101991</t>
  </si>
  <si>
    <t>3007048428</t>
  </si>
  <si>
    <t>ATLANTICO</t>
  </si>
  <si>
    <t>SABANALARGA</t>
  </si>
  <si>
    <t>PTM  SABANALARGA  MULTISERVICI</t>
  </si>
  <si>
    <t>FO-25-1929960</t>
  </si>
  <si>
    <t>ENTIDAD</t>
  </si>
  <si>
    <t>ERROR DE TRANSACCIONES</t>
  </si>
  <si>
    <t>TRANSACCION NO PERMITIDA</t>
  </si>
  <si>
    <t>04/12/2025 SE ESCALA PARA VISITA. LLAMAR ANTES DE VISITAR, CONFIRMAR FALLA Y DATOS | 05/12/2025 DESPUÉS ESTAR HACIENDO PRUEBAS TODO EL DÍA,EL SEÑOR EDINSON SAMBONI DE SOPORTE RBM,  ME INFORMA LO SIGUIENTE 
EL ERROR PROVIENE DE UN PROCESAMIENTO ERRADO EN EL TRASLADO DESDE LA ENTIDAD QUE GENERÓ ERROR EN LA PLATAFORMA DE BASE24 Y EL CASO ESTÁ EN PROCESO DE SOLUCIÓN EN NIVEL 3 CON TI, OPERACIONES Y BACKOFFICE.
LA ENTIDAD PROCEDO MAL LOS PUNTOS
POR ORDEN DE SOPORTE RBM, NOS RETIRAMOS DEL SITIO 
UNO DE LOS DATADONOS ERA MIXTO, Y SE DEJA PURO, CLIENTE TE DICE QUE NO USA LA FRANQUICIA,  LA TERMINAL MA00B931 CON LA PLACA 771708, SE ANULA POR ORDEN DE SOPORTE RBM
QUEDA A LA ESPERA DE LA SOLUCIÓN</t>
  </si>
  <si>
    <t>IIRZZ937 -NA00K179</t>
  </si>
  <si>
    <t>DE AVILA SIADES ALBERTO ENRIQUE</t>
  </si>
  <si>
    <t>APARTADO</t>
  </si>
  <si>
    <t>5837</t>
  </si>
  <si>
    <t>3106177</t>
  </si>
  <si>
    <t>3007038814</t>
  </si>
  <si>
    <t>TURBO</t>
  </si>
  <si>
    <t>PTM VARILOCHE ALL FASHION</t>
  </si>
  <si>
    <t>FO-25-1934649</t>
  </si>
  <si>
    <t>05/12/2025 SE ESCALA PARA VISITA. LLAMAR ANTES DE VISITAR, CONFIRMAR FALLA Y DATOS | 05/12/2025 SE LE INDICA AL CLIENTE QUE LOS DATAFONOS DESK 2600 VIENEN CON FALLAS DE FABRICA, COMO EN ESTE CASO NOS TOCA CONVIVIR CON ELLA, SE LE EXPLICA AL CLIENTE COMO OPERAR LA IMPRESORA PARA QUE EL VOUCHER IMPRIMA BIEN HACIENDO PRESIÓN SOBRE LA TAPA.</t>
  </si>
  <si>
    <t>MAA00L465</t>
  </si>
  <si>
    <t>CASTRO HENAO DANIEL ESTEBAN</t>
  </si>
  <si>
    <t>50568</t>
  </si>
  <si>
    <t>3106528</t>
  </si>
  <si>
    <t>3007050427</t>
  </si>
  <si>
    <t>PUERTO GAITAN</t>
  </si>
  <si>
    <t>PTM PUERTO GAITAN SERVI LA 18</t>
  </si>
  <si>
    <t>FO-25-1935156</t>
  </si>
  <si>
    <t>LECTOR DE BARRAS</t>
  </si>
  <si>
    <t>CAPACITACION MANIPULACION DE COMERCIO</t>
  </si>
  <si>
    <t>05/12/2025 SE ESCALA PARA VISITA. LLAMAR ANTES DE VISITAR, CONFIRMAR FALLA Y DATOS | 09/12/2025 SE VISITA EL CB POR SOLICITUD LECTORA DE BARRAS, SE LLEGA Y SE VERIFICA Y ESTABA MA CONECTADA SE CONECTA BIEN Y FUNCIONA CON NORMALIDAD SE REALIZAN PRUEBAS Y TODO OK</t>
  </si>
  <si>
    <t>TR00W392</t>
  </si>
  <si>
    <t>MOLINA CASTRO JAVIER ALBERTO</t>
  </si>
  <si>
    <t>76109</t>
  </si>
  <si>
    <t>3107267</t>
  </si>
  <si>
    <t>3007010970</t>
  </si>
  <si>
    <t>BUENAVENTURA</t>
  </si>
  <si>
    <t>BARRIO EL DORADO - BUENAVENTUR</t>
  </si>
  <si>
    <t>FO-25-1935702</t>
  </si>
  <si>
    <t>CANAL DEL COMERCIO</t>
  </si>
  <si>
    <t>05/12/2025 SE ESCALA PARA VISITA. LLAMAR ANTES DE VISITAR, CONFIRMAR FALLA Y DATOS | 06/12/2025 SE VALIDA CON EL CLIENTE PERO SE ENCUENTRA PROBLEMAS CON EL CANAL DE INTERNET EL CUAL ESTA PRESENTANDO CAIDA Y ESO OCACIONA QUE EL DATAFONO TENGA CAIDAS, EL CANAL ES UN CANAL QUE EL CLIENTE TIENE HACE MUCHO INSTALADO POR BANCOLOMBIA, PERO SE LE INDICA QUE SOBRE ESTOS CANALES DEBE SOLICITAR SOPORTE A LA ENTIDAD. SE LE INFORMA QUE EN LO POSIBLE HAGA LA CONEXION CON UN CANAL PROPIO.</t>
  </si>
  <si>
    <t>HENAO CARDONA DIEGO FERNANDO</t>
  </si>
  <si>
    <t>5237</t>
  </si>
  <si>
    <t>3109370</t>
  </si>
  <si>
    <t>3007034409</t>
  </si>
  <si>
    <t>DON MATIAS</t>
  </si>
  <si>
    <t>COMCARD DON MATIAS INT ZONE</t>
  </si>
  <si>
    <t>FO-25-1938040</t>
  </si>
  <si>
    <t>05/12/2025 SE ESCALA PARA VISITA. LLAMAR ANTES DE VISITAR, CONFIRMAR FALLA Y DATOS | 06/12/2025 SE LLAMA AL 3135404048 CLIENTE E INFORMA QUE LOS DATAFONO YA ESTÁN FUNCIONANDO BIEN Y NO NECESITA VISITA POR LO QUE SE CIERRA ACTIVIDAD</t>
  </si>
  <si>
    <t>ALVAREZ ARENAS VICTOR HUGO</t>
  </si>
  <si>
    <t>3109371</t>
  </si>
  <si>
    <t>3007055435</t>
  </si>
  <si>
    <t>BARRIO DON MATIAS DONMATIAS 2</t>
  </si>
  <si>
    <t>FO-25-1938036</t>
  </si>
  <si>
    <t>05/12/2025 SE ESCALA PARA VISITA. LLAMAR ANTES DE VISITAR, CONFIRMAR FALLA Y DATOS | 06/12/2025 SE LLEGA AL PUNTO PERO CB YA ESTABA OPERATIVO PARECE SER QUE ERA EL CANAL DEL CLIENTE</t>
  </si>
  <si>
    <t>9BGZZ206</t>
  </si>
  <si>
    <t>3109620</t>
  </si>
  <si>
    <t>3007029892</t>
  </si>
  <si>
    <t>BARRIO PARQUE 3 DONMATIAS</t>
  </si>
  <si>
    <t>FO-25-1938032</t>
  </si>
  <si>
    <t>05/12/2025 SE ESCALA PARA VISITA. LLAMAR ANTES DE VISITAR, CONFIRMAR FALLA Y DATOS | 06/12/2025 SE LLAMA AL 3193812221 SE HABLA CON RAÚL GONZÁLES EL CUAL INFORMA QUE HOY AMANECIÓ BIEN EL CB AL PARECER HUBO UNA FALLA DE CANAL EN EL PUEBLO Y QUE YA NO NECESITA VISITA POR LO QUE SE CIERRA LA TA</t>
  </si>
  <si>
    <t>5890</t>
  </si>
  <si>
    <t>3111188</t>
  </si>
  <si>
    <t>3007047258</t>
  </si>
  <si>
    <t>YOLOMBO</t>
  </si>
  <si>
    <t>BARRIO EL HORMIGUERO YOLOMBO</t>
  </si>
  <si>
    <t>FO-25-1942691</t>
  </si>
  <si>
    <t>07/12/2025 SE ESCALA PARA VISITA. LLAMAR ANTES DE VISITAR, CONFIRMAR FALLA Y DATOS | 09/12/2025 EN COMUNICACIÓN CON LA SEÑORA BEATRIZ MANIFIESTA QUE YA EL EQUIPO ESTÁ OPERANDO CON NORMALIDAD. LA FALLA ERA UNA CAÍDA DEL INTERNET DEL COMERCIO
EQUIPO OPERANDO CON NORMALIDAD</t>
  </si>
  <si>
    <t>5088</t>
  </si>
  <si>
    <t>3111252</t>
  </si>
  <si>
    <t>3007059337</t>
  </si>
  <si>
    <t>BELLO</t>
  </si>
  <si>
    <t>DISTRICOL TIENDA FERSAN</t>
  </si>
  <si>
    <t>FO-25-1942127</t>
  </si>
  <si>
    <t>ERROR PAGOS PARCIALES DE FACTURAS</t>
  </si>
  <si>
    <t>07/12/2025 SE ESCALA PARA VISITA. LLAMAR ANTES DE VISITAR, CONFIRMAR FALLA Y DATOS | 07/12/2025 SE REALIZÓ LLAMADA TELEFÓNICA AL CORRESPONSAL BANCOLOMBIA PARA CONFIRMAR EL INCIDENTE REPORTADO CON EL LECTOR DE CÓDIGOS DE BARRAS. EL USUARIO INFORMÓ QUE EL DÍA ANTERIOR EL DISPOSITIVO PRESENTÓ FALLAS AL MOMENTO DE LEER ALGUNAS FACTURAS; SIN EMBARGO, INDICÓ QUE EN LA FECHA ACTUAL EL LECTOR FUNCIONA DE MANERA NORMAL. POR TAL MOTIVO, EL USUARIO MANIFESTÓ QUE NO ES NECESARIA  UNA VISITA TÉCNICA.</t>
  </si>
  <si>
    <t>3113118</t>
  </si>
  <si>
    <t>3007030812</t>
  </si>
  <si>
    <t>BARRIO CADIZ 4</t>
  </si>
  <si>
    <t>FO-25-1945924</t>
  </si>
  <si>
    <t>09/12/2025 SE ESCALA PARA VISITA. LLAMAR ANTES DE VISITAR, CONFIRMAR FALLA Y DATOS | 10/12/2025 SE COMUNICA AL NÚMERO 3015973051, EL SEÑOR WILFRIDO MORALES INDICA QUE ESTÁ PRESENTANDO ERROR EN TRANSACCIONES MARCA NO HABILITADA, DEBIDO A QUE NO FUE POSIBLE REALIZAR LA MIGRACIÓN A WOMPI POR TEMAS DE RAZÓN SOCIAL. SE LE RECOMIENDA AL CLIENTE QUE SE COMUNIQUE DIRECTAMENTE CON EL BANCO PARA QUE LE HABILITEN EL CB NUEVAMENTE. GESTIÓN TELEFÓNICA</t>
  </si>
  <si>
    <t>BARRAGAN TAFUR EDWIN ESTEBAN</t>
  </si>
  <si>
    <t>73555</t>
  </si>
  <si>
    <t>3114244</t>
  </si>
  <si>
    <t>3007079015</t>
  </si>
  <si>
    <t>PLANADAS</t>
  </si>
  <si>
    <t>PTM PLANADAS HUEVOS DEL SUR DI</t>
  </si>
  <si>
    <t>FO-25-1946837</t>
  </si>
  <si>
    <t>09/12/2025 SE ESCALA PARA VISITA. LLAMAR ANTES DE VISITAR, CONFIRMAR FALLA Y DATOS | 12/12/2025 SE REALIZA VISITA AL PUNTO, SE EVIDENCIA COMERCIO PRESENTA INTERMITENCIA EN EL INTERNET INSTALADO EN EL PUNTO, SE REVISAN CONEXIONES Y CABLES DEL EQUIPO Y ESTÁN EN BUEN ESTADO.EQUIPO OPERATIVO. PRUEBAS OK</t>
  </si>
  <si>
    <t>SASZZ590 SASZZ754</t>
  </si>
  <si>
    <t>3114593</t>
  </si>
  <si>
    <t>3007082168</t>
  </si>
  <si>
    <t>PTM CALI VARIEDADES BLU</t>
  </si>
  <si>
    <t>FO-25-1947294</t>
  </si>
  <si>
    <t>HARDWARE</t>
  </si>
  <si>
    <t>MENSAJE CABLE DE RED DESCONECTADO</t>
  </si>
  <si>
    <t>09/12/2025 SE ESCALA PARA VISITA. LLAMAR ANTES DE VISITAR, CONFIRMAR FALLA Y DATOS | 09/12/2025 SE VISITA CORRESPONSAL Y SE REPARA CABLE DE RED DE ACOMETIDA DAÑADO.( PONCHADO) TRANSACCIÓNES DE PRUEBA  EXITOSAS.</t>
  </si>
  <si>
    <t>FB001822 FB001570</t>
  </si>
  <si>
    <t>BOLAÑOS TABORDA JORGE ENRIQUE</t>
  </si>
  <si>
    <t>54498</t>
  </si>
  <si>
    <t>3120323</t>
  </si>
  <si>
    <t>3007029042</t>
  </si>
  <si>
    <t>OCAÑA</t>
  </si>
  <si>
    <t>BARRIO CENTRO OCANA</t>
  </si>
  <si>
    <t>FO-25-1952613</t>
  </si>
  <si>
    <t>COOGUASIMALES</t>
  </si>
  <si>
    <t>10/12/2025 SE ESCALA PARA VISITA. LLAMAR ANTES DE VISITAR, CONFIRMAR FALLA Y DATOS | 11/12/2025 SE REALIZA VISITA AL COMERCIO Y SE REVISAN CONEXIONES DEL CONEXIONES DEL DATAFONO Y PARÁMETROS TODO OK, SE EVIDENCIA QUE LA FALLA SON LAS CONEXIONES PARTE INTERNA DEL COMERCIO, SE HABLÓ CON LA SRA JEFE DEL ÁREA DEL PAGO FACIL, SRA BRENDA SUJEY  MANIFIESTA QUE LE DEJEMOS EL DATAFONO SIN CONEXIÓN A LA CAJA.</t>
  </si>
  <si>
    <t>BBBBF023</t>
  </si>
  <si>
    <t>MORA VEGA JEAMPIER</t>
  </si>
  <si>
    <t>76892</t>
  </si>
  <si>
    <t>3120999</t>
  </si>
  <si>
    <t>3007021211</t>
  </si>
  <si>
    <t>YUMBO</t>
  </si>
  <si>
    <t>BARRIO CENTRO VIII YUMBO</t>
  </si>
  <si>
    <t>FO-25-1953530</t>
  </si>
  <si>
    <t>USUARIOS</t>
  </si>
  <si>
    <t>TAPA MAL ASEGURADA</t>
  </si>
  <si>
    <t>10/12/2025 SE ESCALA PARA VISITA. LLAMAR ANTES DE VISITAR, CONFIRMAR FALLA Y DATOS | 11/12/2025 SE VISITA CORRESPONSAL Y SE ENCONTRÓ DATÁFONO EN BUEN ESTADO. IMPRIME CORRECTAMENTE. TRANSACCIONES DE PRUEBA EXITOSAS.</t>
  </si>
  <si>
    <t>9B2ZZ833</t>
  </si>
  <si>
    <t>5045</t>
  </si>
  <si>
    <t>3125304</t>
  </si>
  <si>
    <t>3007032310</t>
  </si>
  <si>
    <t>PAGAFACIL APARTADO CENTRO II</t>
  </si>
  <si>
    <t>FO-25-1957611</t>
  </si>
  <si>
    <t>CIERRE</t>
  </si>
  <si>
    <t>COMERCIO NO REALIZA CIERRE</t>
  </si>
  <si>
    <t>PAGAFACIL</t>
  </si>
  <si>
    <t>11/12/2025 SE ESCALA PARA VISITA. LLAMAR ANTES DE VISITAR, CONFIRMAR FALLA Y DATOS | 11/12/2025 SE REALIZA REPISADO DE PARAMETRO Y INICIALIZACION. DATAFONO QUEDA OPERATIVO.</t>
  </si>
  <si>
    <t>111JZ555</t>
  </si>
  <si>
    <t>50287</t>
  </si>
  <si>
    <t>3126154</t>
  </si>
  <si>
    <t>3007080450</t>
  </si>
  <si>
    <t>FUENTE DE ORO</t>
  </si>
  <si>
    <t>BARRIO CENTRO FUENTE DE ORO 5</t>
  </si>
  <si>
    <t>FO-25-1958710</t>
  </si>
  <si>
    <t>11/12/2025 SE ESCALA PARA VISITA. LLAMAR ANTES DE VISITAR, CONFIRMAR FALLA Y DATOS | 12/12/2025 SE REALIZA VISITA AL CB POR SOLICITUD DATÁFONO NO PRENDE LA USUARIA TATIANA GONZALES NOS  RECIBE LA VISITA,SE VERIFICA LAS CONEXIONES DEL COMERCIO Y DEL EQUIPO Y SE EVIDENCIA QUE NO SE ENCUENTRA BIEN CONECTADO EL CABLE FUENTE DE PODER, SE CONECTA BIEN Y EL EQUIPO ENCIENDE CON NORMALIDAD, PROCEDO A REALIZAR PRUEBAS Y TODO SALE CORRECTO SE DEJA FUNCIONAL DÁNDOLE SOLUCIÓN AL PROBLEMA QUE PRESENTABA EL USUARIO</t>
  </si>
  <si>
    <t>SAZZZ799</t>
  </si>
  <si>
    <t>TUNJA</t>
  </si>
  <si>
    <t>15646</t>
  </si>
  <si>
    <t>3127796</t>
  </si>
  <si>
    <t>3007080299</t>
  </si>
  <si>
    <t>BOYACA</t>
  </si>
  <si>
    <t>SAMACA</t>
  </si>
  <si>
    <t>BARRIO VEREDA CHURUVITA SAMACA</t>
  </si>
  <si>
    <t>FO-25-1960579</t>
  </si>
  <si>
    <t>11/12/2025 SE ESCALA PARA VISITA. LLAMAR ANTES DE VISITAR, CONFIRMAR FALLA Y DATOS | 13/12/2025 SE VISITA PUNTO EVIDENCIANDO QUE EL EQUIPO NO TIENE COMUNICACIÓN ROUTER REPETIDOR DESCONFIGURADO DEBIDO AL CAMBIO DE CLAVE DEL ROUTER PRINCIPAL SE PROCEDE A REALIZAR LAS CORRECCIONES CORRESPONDIENTES PRUEBAS EXITOSAS CLIENTE CONFORME.</t>
  </si>
  <si>
    <t>FAZZZ477</t>
  </si>
  <si>
    <t>RODRIGUEZ MURCIA YERSON IVAN</t>
  </si>
  <si>
    <t>3128766</t>
  </si>
  <si>
    <t>FO-25-1961434</t>
  </si>
  <si>
    <t>11/12/2025 SE ESCALA PARA VISITA. LLAMAR ANTES DE VISITAR, CONFIRMAR FALLA Y DATOS | 12/12/2025 SE REALIZA VISITA AL COMERCIO Y SE REALIZA INTEGRACIÓN A CAJA, SE REALIZAN PRUEBAS EXITOSAS</t>
  </si>
  <si>
    <t>25754</t>
  </si>
  <si>
    <t>3130682</t>
  </si>
  <si>
    <t>3007072701</t>
  </si>
  <si>
    <t>SOACHA</t>
  </si>
  <si>
    <t>PRADO VEGAS SOACHA 2</t>
  </si>
  <si>
    <t>FO-25-1964892</t>
  </si>
  <si>
    <t>12/12/2025 SE ESCALA PARA VISITA. LLAMAR ANTES DE VISITAR, CONFIRMAR FALLA Y DATOS | 13/12/2025 SE REALIZA LLAMADA A NÚMEROS REGISTRADOS 3183835633-3138784133 NO HAY CONTACTO, TÉCNICO REALIZARÁ DESPLAZAMIENTO A SITIO DEMORAS EN TRAFICO POR SALIDA DE CARROS DE BOGOTÁ POR SOACHA Y OBRAS DE TRANSMILENIO DEL MUNICIPIO | 13/12/2025 SE REALIZA VISITA TÉCNICA EN SITIO YA QUE NO HUBO CONTACTO PREVIO, ATIENDE DANNA NO INDICA APELLIDO DICE QUE NO TIENE CONOCIMIENTO DE LA VISITA Y QUE EL DATAFONO ESTÁ OPERANDO SIN PROBLEMAS NO ENTREGA SOPORTES Y NO FIRMA CONTROL SERVICIO ESTÁ OPERATIVO TÉCNICO NO MANIPULA TERMINAL</t>
  </si>
  <si>
    <t>0</t>
  </si>
  <si>
    <t>BUSTOS MORA DIEGO MANUEL</t>
  </si>
  <si>
    <t>3132042</t>
  </si>
  <si>
    <t>3007015529</t>
  </si>
  <si>
    <t>MULTIPAGAS LA MOTA</t>
  </si>
  <si>
    <t>FO-25-1965873</t>
  </si>
  <si>
    <t>12/12/2025 SE ESCALA PARA VISITA. LLAMAR ANTES DE VISITAR, CONFIRMAR FALLA Y DATOS | 12/12/2025 SE CONTACTA CON USUARIO ANDERSON DEL RIO - 3215189192 SE EVIDENCIA FALLA DEL INTERNET DEL COMERCIO, SE VERIFICA AJUSTES Y TODO OK, PRUEBAS DE CONEXIÓN OK, USUARIO INFORMA TRABAJAR SIN NOVEDAD, CB OPERATIVO</t>
  </si>
  <si>
    <t>HERNANDEZ CHAVARRIA JUAN CAMILO</t>
  </si>
  <si>
    <t>NEIVA</t>
  </si>
  <si>
    <t>41551</t>
  </si>
  <si>
    <t>3132225</t>
  </si>
  <si>
    <t>3007017502</t>
  </si>
  <si>
    <t>HUILA</t>
  </si>
  <si>
    <t>PITALITO</t>
  </si>
  <si>
    <t>CENTRO PITALITO HUILA</t>
  </si>
  <si>
    <t>FO-25-1966140</t>
  </si>
  <si>
    <t>EJECUTADO / CANCELADO</t>
  </si>
  <si>
    <t>12/12/2025 SE ESCALA PARA VISITA. LLAMAR ANTES DE VISITAR, CONFIRMAR FALLA Y DATOS | 13/12/2025 SE LLEGA AL PUNTO, LA SEÑORITA CAROLINA MURCIA COMENTA QUE EL DATAFONO ESTÁ TRABAJANDO OK , ELLA MOVIÓ CABLES Y TRABAJO EL EQUIPO, NO HUBO NECESIDAD DE INGRESO A MANIPULAR EQUIPOS.</t>
  </si>
  <si>
    <t>00000</t>
  </si>
  <si>
    <t>ANDRADE HERNANDEZ JUAN CARLOS</t>
  </si>
  <si>
    <t>5631</t>
  </si>
  <si>
    <t>3133920</t>
  </si>
  <si>
    <t>3007069707</t>
  </si>
  <si>
    <t>SABANETA</t>
  </si>
  <si>
    <t>DISTRICOL  RESPLANDOR TODO PAR</t>
  </si>
  <si>
    <t>FO-25-1968243</t>
  </si>
  <si>
    <t>12/12/2025 SE ESCALA PARA VISITA. LLAMAR ANTES DE VISITAR, CONFIRMAR FALLA Y DATOS | 13/12/2025 EQUIPO DESCONFIGURADO, SE VUELVE A CONFIGURAR PARAMETROS, PRUEBAS Y TODO OK</t>
  </si>
  <si>
    <t>MN002473</t>
  </si>
  <si>
    <t>3134639</t>
  </si>
  <si>
    <t>3007070262</t>
  </si>
  <si>
    <t>DISTRICOL  AL NATURAL JUGS</t>
  </si>
  <si>
    <t>FO-25-1970121</t>
  </si>
  <si>
    <t>13/12/2025 SE ESCALA PARA VISITA. LLAMAR ANTES DE VISITAR, CONFIRMAR FALLA Y DATOS | 13/12/2025 SE RELAIZO CONTACTO TELEFONICO SE HABLO LA SEÑORA BEATRIZ EUGENIA VELAZQUEZ EN EL TELEFONO 3016249493 SE HACEN LA VALIDACIONES DE CONEXION DEL DATAFANO SE ENCUENTRA NORMAL, APARENTE PUERTO LAN DEL DATAFONO AVERIADO NNO SE ALCANZA A VISITAR, REDEBAN SOLO FUNCIONA PARA CAMBIOS HASTA LA 1PM | 15/12/2025 CLIENTE INDICA QUE NO TENÍA INTERNET EN SU COMERCIO, AL VERIFICAR EL SWICTH Y REINICIALO RETOMO EL INTERNET EN EL DATAFONO.</t>
  </si>
  <si>
    <t>BUCARAMANGA</t>
  </si>
  <si>
    <t>68406</t>
  </si>
  <si>
    <t>3134640</t>
  </si>
  <si>
    <t>3007067508</t>
  </si>
  <si>
    <t>SANTANDER</t>
  </si>
  <si>
    <t>LEBRIJA</t>
  </si>
  <si>
    <t>PTM LEBRIJA VARIEDADES LIYU</t>
  </si>
  <si>
    <t>FO-25-1970386</t>
  </si>
  <si>
    <t>13/12/2025 SE ESCALA PARA VISITA. LLAMAR ANTES DE VISITAR, CONFIRMAR FALLA Y DATOS | 15/12/2025 EN COMUNICACIÓN CON LA SEÑORA YULITZA AL MOVIL 3203770878, INDICA QUE EL LECTOR DE CÓDIGO DE BARRAS ESTA OPERANDO CORRECTAMENTE, INDICA QUE NO REQUIERE DE LA VISITA TÉCNICA, SE LE INDICA QUE SE PROCEDE A CERRAR LA ORDEN QUÉ ANTE UNA NUEVA NOVEDAD DEBE SOLICITAR UNA NUEVA ORDEN.</t>
  </si>
  <si>
    <t>SANTOS GONZALEZ JOHAN FABIAN</t>
  </si>
  <si>
    <t>73616</t>
  </si>
  <si>
    <t>3134646</t>
  </si>
  <si>
    <t>3007028327</t>
  </si>
  <si>
    <t>RIOBLANCO</t>
  </si>
  <si>
    <t>CENTRO HERRERA RIOBLANCO   TOL</t>
  </si>
  <si>
    <t>FO-25-1970375</t>
  </si>
  <si>
    <t>13/12/2025 SE ESCALA PARA VISITA. LLAMAR ANTES DE VISITAR, CONFIRMAR FALLA Y DATOS | 22/12/2025 SE LLAMA AL SEÑOR WILINTON GONZÁLEZ, AL NÚMERO 3209271925, ME INDICA QUE EL DATAFONO ESTÁ FUNCIONANDO CORRECTAMENTE Y QUE EL PROBLEMA DE LA IMPRESORA ERA EL ROLLO QUE ESTABA MALO, LO CAMBIO Y EL DATÁFONO ESTÁ IMPRIMIENDO BIEN.</t>
  </si>
  <si>
    <t>95001</t>
  </si>
  <si>
    <t>3134649</t>
  </si>
  <si>
    <t>3007062794</t>
  </si>
  <si>
    <t>GUAVIARE</t>
  </si>
  <si>
    <t>SAN JOSE DEL GUAVIARE</t>
  </si>
  <si>
    <t>BARRIO EL PORVENIR SAN JOSE DE</t>
  </si>
  <si>
    <t>FO-25-1970167</t>
  </si>
  <si>
    <t>13/12/2025 SE ESCALA PARA VISITA. LLAMAR ANTES DE VISITAR, CONFIRMAR FALLA Y DATOS | 15/12/2025 SE CONTACTA A LA SEÑORA YURLEY BARRETO CRISTANCHO 3222173240 AL NUMERO  SE REALIZA VALIDACION SE LE INDICA COMERCIO QUE DEBE LLAMAR A GESTION PARA RELIZAR BORRADO U OTRAS CONFUGURACIONES PARA QUE NO DESCONFIGURE O MANIPIULE CONFIGURACIONES DEL EQUIPO SEENTREGA OPERATIVO SIN NOVEDAS</t>
  </si>
  <si>
    <t>ROZO JIMENEZ EDGAR ARMANDO</t>
  </si>
  <si>
    <t>3134694</t>
  </si>
  <si>
    <t>3007047760</t>
  </si>
  <si>
    <t>BARRIO EL TRIANGULO PURIFICACI</t>
  </si>
  <si>
    <t>FO-25-1971818</t>
  </si>
  <si>
    <t>14/12/2025 SE ESCALA PARA VISITA. LLAMAR ANTES DE VISITAR, CONFIRMAR FALLA Y DATOS | 16/12/2025 EN COMUNICACIÓN CON EL CLIENTE EL SEÑOR CÉSAR RODRÍGUEZ,AL NÚMERO +57 311 5152036, INDICA QUE NOS PUEDE RECIBIR SOLO HASTA  DESPUÉS DE LAS 2 DE LA TARDE YA QUE SE ENCUENTRA HACIENDO UNA DILIGENCIA FUERA DEL MUNICIPIO | 16/12/2025 EN COMUNICACIÓN CON EL CLIENTE VÍA TELEFÓNICA, EL SEÑOR CÉSAR RODRÍGUEZ VÍA +573115152036, SE CREA USUARIO SUPERVISOR PRUEBAS OK, CB OPERATIVO</t>
  </si>
  <si>
    <t>3134828</t>
  </si>
  <si>
    <t>3007075926</t>
  </si>
  <si>
    <t>BARRIO COLSEGUROS CALI 1</t>
  </si>
  <si>
    <t>FO-25-1970362</t>
  </si>
  <si>
    <t>13/12/2025 SE ESCALA PARA VISITA. LLAMAR ANTES DE VISITAR, CONFIRMAR FALLA Y DATOS | 14/12/2025 SE REALIZARA VISITA EL DIA LUNES YA QUE EL CLIENTE SOLO LABORA LOS SABADOS HASTA MEDIO DIA. Y NO LABORA LOS DIAS DOMINGO | 15/12/2025 SE LLEGA AL COMERCIO LA SEÑORA MARÍA PAULA INFORMA QUE EL EQUIPO YA ESTÁ BUENO NO PERMITEN INGRESO YA QUE NO HAY AUTORIZACIÓN TAMPOCO FIRMA LOS SOLAMENTE NOS COMPARTE UN RECIBO DEL DÍA DE HOY</t>
  </si>
  <si>
    <t>5172</t>
  </si>
  <si>
    <t>3137415</t>
  </si>
  <si>
    <t>3007038905</t>
  </si>
  <si>
    <t>CHIGORODO</t>
  </si>
  <si>
    <t>DISTRICOL CELULARES XIMENA</t>
  </si>
  <si>
    <t>FO-25-1974545</t>
  </si>
  <si>
    <t>15/12/2025 SE ESCALA PARA VISITA. LLAMAR ANTES DE VISITAR, CONFIRMAR FALLA Y DATOS | 16/12/2025 SE CAPACITACIÓN AL CLIENTE EN EL USO DEL DATAFONO, COMO RETIRAR LA TIRILLA Y COMO REINICIAR DATAFONO CADA VEZ QUE SE BLOQUEE</t>
  </si>
  <si>
    <t>HA007027</t>
  </si>
  <si>
    <t>17380</t>
  </si>
  <si>
    <t>3137587</t>
  </si>
  <si>
    <t>3007078708</t>
  </si>
  <si>
    <t>LA DORADA</t>
  </si>
  <si>
    <t>PTM LA DORADA D D MULTISERVICI</t>
  </si>
  <si>
    <t>FO-25-1974851</t>
  </si>
  <si>
    <t>15/12/2025 SE ESCALA PARA VISITA. LLAMAR ANTES DE VISITAR, CONFIRMAR FALLA Y DATOS | 22/12/2025 SE VISITA COMERCIO PERO INDICA QUE EL DATÁFONO YA ESTÁ EN BUEN FUNCIONAMIENTO SE VERIFICA TRANSACCIONES OK</t>
  </si>
  <si>
    <t>A1RZZ258</t>
  </si>
  <si>
    <t>LEAL POVEDA YOHAN SEBASTIAN</t>
  </si>
  <si>
    <t>3139291</t>
  </si>
  <si>
    <t>3007061651</t>
  </si>
  <si>
    <t>PAGAFACIL  PLAZA DEL RIO</t>
  </si>
  <si>
    <t>FO-25-1976527</t>
  </si>
  <si>
    <t>15/12/2025 SE ESCALA PARA VISITA. LLAMAR ANTES DE VISITAR, CONFIRMAR FALLA Y DATOS | 16/12/2025 SE VERIFICA DATAFONO DESK 2600, SE LE INDICA A CLIENTE QUE DEBE REINICIAR EL DATAFONO RETIRANDO BATERÍA Y CABLE DE DATOS PARA DARLE UN REINICIO PROFUNDO, DATAFONO SE ENCUENTRA OPERATIVO. EVIDENCIAS ADJUNTAS.</t>
  </si>
  <si>
    <t>FUA0K569</t>
  </si>
  <si>
    <t>3139592</t>
  </si>
  <si>
    <t>3007043390</t>
  </si>
  <si>
    <t>PTM OCANA EL CAMPEON</t>
  </si>
  <si>
    <t>FO-25-1977118</t>
  </si>
  <si>
    <t>15/12/2025 SE ESCALA PARA VISITA. LLAMAR ANTES DE VISITAR, CONFIRMAR FALLA Y DATOS | 16/12/2025 SE REALIZA LLAMADA TELEFÓNICA AL NÚMERO 3132568932 SE HABLÓ CON LA SRA NATALIA, SE LE MANIFIESTA QUE POR MOTIVO DE PARO A NIVEL NACIONAL, NO SE ESTÁ VIAJANDO A LA ZONA DE OCAÑA, HASTA NUEVA ORDEN. | 23/12/2025 SE COMUNICA CON LA CLIENTE NATALIA ARIAS AL #3132568932, NOS INFORMA QUE LA FALLA DEL LECTOR DE BARRAS YA SE SOLUCIONO. CB OPERATIVO.</t>
  </si>
  <si>
    <t>NARANJO AFANADOR RUBEN JESUS</t>
  </si>
  <si>
    <t>SINCELEJO</t>
  </si>
  <si>
    <t>70708</t>
  </si>
  <si>
    <t>3140500</t>
  </si>
  <si>
    <t>3007082064</t>
  </si>
  <si>
    <t>SUCRE</t>
  </si>
  <si>
    <t>SAN MARCOS</t>
  </si>
  <si>
    <t>DISTRICOL DROGUERÍA FARMASUCRE</t>
  </si>
  <si>
    <t>FO-25-1978337</t>
  </si>
  <si>
    <t>15/12/2025 SE ESCALA PARA VISITA. LLAMAR ANTES DE VISITAR, CONFIRMAR FALLA Y DATOS | 17/12/2025 SE VISITA COMERCIO POR FALLA, YA QUE NO LE ESTABA IMPRIMIENDO LOS VOUCHER, SE VERIFICA Y SE EVIDENCIA TAPA MAL ASEGURADA, SE LE EXPLICA A LA ENCARGADA DEL FUNCIONAMIENTO, SE ENCUENTRA CON LA VERSIÓN 10.3, SE REALIZAN PRUEBAS OK.</t>
  </si>
  <si>
    <t>CA001882</t>
  </si>
  <si>
    <t>CACERES HERNANDEZ ANDRES</t>
  </si>
  <si>
    <t>19001</t>
  </si>
  <si>
    <t>3141948</t>
  </si>
  <si>
    <t>3007074737</t>
  </si>
  <si>
    <t>CAUCA</t>
  </si>
  <si>
    <t>POPAYAN</t>
  </si>
  <si>
    <t>BARRIO SAN CAMILO POPAYAN 1</t>
  </si>
  <si>
    <t>FO-25-1980965</t>
  </si>
  <si>
    <t>16/12/2025 SE PROCEDE A CERRAR CASO POR ROBO DE DATAFONO SE INTENTA COMUNICACION CON EL USUARIO PERO NO CONTESTA | 16/12/2025 SE PROCEDE A CERRAR CASO POR ROBO DE DATAFONO SE INTENTA COMUNICACION CON EL USUARIO PERO NO CONTESTA | 16/12/2025 SE PROCEDE A CERRAR CASO POR ROBO DE DATAFONO SE INTENTA COMUNICACION CON EL USUARIO PERO NO CONTESTA</t>
  </si>
  <si>
    <t>68307</t>
  </si>
  <si>
    <t>3144980</t>
  </si>
  <si>
    <t>3007040306</t>
  </si>
  <si>
    <t>GIRON</t>
  </si>
  <si>
    <t>BARRIO CENTRO COMERCIAL CHIMIT</t>
  </si>
  <si>
    <t>FO-25-1983310</t>
  </si>
  <si>
    <t>16/12/2025 SE ESCALA PARA VISITA. LLAMAR ANTES DE VISITAR, CONFIRMAR FALLA Y DATOS | 17/12/2025 DATAFONO ARROJA CABLE DE RED DESCONECTADO, PROCEDE  VALIDAR CON OTRA CONEXIÓN Y FUNCIONA CORRECTAMENTE, SE LE INDICA AL CLIENTE QUE LA FALLA EN EL OPERADOR DE INTERNET, SE HACEN PRUEBAS OK</t>
  </si>
  <si>
    <t>AA0JZ985</t>
  </si>
  <si>
    <t>GELVEZ MOGOLLON JOSE ELISEO</t>
  </si>
  <si>
    <t>3145077</t>
  </si>
  <si>
    <t>3007058748</t>
  </si>
  <si>
    <t>REVAL CADE LUCEROS</t>
  </si>
  <si>
    <t>FO-25-1983404</t>
  </si>
  <si>
    <t>REVAL</t>
  </si>
  <si>
    <t>16/12/2025 SE ESCALA PARA VISITA. LLAMAR ANTES DE VISITAR, CONFIRMAR FALLA Y DATOS | 17/12/2025 SE REALIZA VISITA A COMERCIO, SE VALIDA CONEXIONES POR PARTE DEL COMERCIO, Y NO TENIA ACCESO A INTERNET, SE PROCEDE A REALIZAR CONEXIONES, DE REALIZAN PRUEBAS EXITOSAS SIN NOVEDAD.</t>
  </si>
  <si>
    <t>JA001232</t>
  </si>
  <si>
    <t>ARIAS QUILINDO JULIAN</t>
  </si>
  <si>
    <t>5212</t>
  </si>
  <si>
    <t>3146554</t>
  </si>
  <si>
    <t>3007030570</t>
  </si>
  <si>
    <t>COPACABANA</t>
  </si>
  <si>
    <t>ARRIO VILLA NUEVA COPACABANA</t>
  </si>
  <si>
    <t>FO-25-1985774</t>
  </si>
  <si>
    <t>17/12/2025 SE ESCALA PARA VISITA. LLAMAR ANTES DE VISITAR, CONFIRMAR FALLA Y DATOS | 17/12/2025 SE VERIFICAN CONEXIONES DEL COMERCIO Y SE IDENTIFICA EL CABLE DE RED MAL CONECTADO, SE DEJAN SERVICIOS FUNCIONANDO CORRECTAMENTE</t>
  </si>
  <si>
    <t>BL01Y284</t>
  </si>
  <si>
    <t>BARRIENTOS HERNANDEZ CRISTIAN HORACIO</t>
  </si>
  <si>
    <t>76248</t>
  </si>
  <si>
    <t>3146575</t>
  </si>
  <si>
    <t>3007016798</t>
  </si>
  <si>
    <t>EL CERRITO</t>
  </si>
  <si>
    <t>BARRIO LA ESTRELLA EL CERRITO</t>
  </si>
  <si>
    <t>FO-25-1985902</t>
  </si>
  <si>
    <t>CREACION DE USUARIOS</t>
  </si>
  <si>
    <t>17/12/2025 SE ESCALA PARA VISITA. LLAMAR ANTES DE VISITAR, CONFIRMAR FALLA Y DATOS | 17/12/2025 SE REALIZA VISITA TÉCNICA AL COMERCIO PARA REALIZAR CAMBIO DE CLAVE DE USUARIO YA QUE AL CLIENTE SE EL OLVIDO EL USUARIO PARA ENTRAR</t>
  </si>
  <si>
    <t>JFZZZ742</t>
  </si>
  <si>
    <t>ESCOBAR LENIS JUAN SEBASTIAN</t>
  </si>
  <si>
    <t>PEREIRA</t>
  </si>
  <si>
    <t>0004-0002</t>
  </si>
  <si>
    <t>63001</t>
  </si>
  <si>
    <t>3150587</t>
  </si>
  <si>
    <t>3007018910</t>
  </si>
  <si>
    <t>QUINDIO</t>
  </si>
  <si>
    <t>ARMENIA</t>
  </si>
  <si>
    <t>MULTIPAGAS ARMENIA</t>
  </si>
  <si>
    <t>FO-25-1992298</t>
  </si>
  <si>
    <t>17/12/2025 SE ESCALA PARA VISITA. LLAMAR ANTES DE VISITAR, CONFIRMAR FALLA Y DATOS | 18/12/2025 SE VISITA COMERCIO SE REALIZÓ VERIFICACIÓN DE CONEXIONES, VERIFICACIÓN DE EQUIPOS, SE REALIZÓ PRUEBAS OK.</t>
  </si>
  <si>
    <t>GZ0OZ597</t>
  </si>
  <si>
    <t>SANCHEZ SOLORZANO JUAN SEBASTIAN</t>
  </si>
  <si>
    <t>5480</t>
  </si>
  <si>
    <t>3150901</t>
  </si>
  <si>
    <t>3007030310</t>
  </si>
  <si>
    <t>MUTATA</t>
  </si>
  <si>
    <t>BARRIO CALLE PRINCIPAL MUTATA</t>
  </si>
  <si>
    <t>FO-25-1992223</t>
  </si>
  <si>
    <t>17/12/2025 SE ESCALA PARA VISITA. LLAMAR ANTES DE VISITAR, CONFIRMAR FALLA Y DATOS | 19/12/2025 SE REALIZA REPISADO DE PARÁMETROS Y QUEDA OK</t>
  </si>
  <si>
    <t>BRZZZ288</t>
  </si>
  <si>
    <t>5604</t>
  </si>
  <si>
    <t>3153174</t>
  </si>
  <si>
    <t>3007080457</t>
  </si>
  <si>
    <t>REMEDIOS</t>
  </si>
  <si>
    <t>BARRIO REMEDIOS REMEDIOS 1</t>
  </si>
  <si>
    <t>FO-25-1996041</t>
  </si>
  <si>
    <t>18/12/2025 SE ESCALA PARA VISITA. LLAMAR ANTES DE VISITAR, CONFIRMAR FALLA Y DATOS | 18/12/2025 SE VERIFICAN SERVICIOS Y CONEXIONES, SERVICIOS ESTÁN OK POSIBLE CAÍDA DEL CANAL DEL COMERCIO</t>
  </si>
  <si>
    <t>SAZZZ791</t>
  </si>
  <si>
    <t>3155311</t>
  </si>
  <si>
    <t>3007076270</t>
  </si>
  <si>
    <t>BARRIO BELEN GRANDA</t>
  </si>
  <si>
    <t>FO-25-1997120</t>
  </si>
  <si>
    <t>18/12/2025 SE ESCALA PARA VISITA. LLAMAR ANTES DE VISITAR, CONFIRMAR FALLA Y DATOS | 18/12/2025 SE AJUSTA CONEXIÓN DE CABLE DE PODER YA QUE DEBAJO DE LA VITRINA SE ENCONTRÓ DESCONECTADO SE LE INFORMA A LA PERSONA QUE ATIENDE AJUSTANDO LAS CONEXIONES Y ENTREGANDO OPERATIVO SIN NOVEDAD JANEY TRIANA</t>
  </si>
  <si>
    <t>EG0OZ132</t>
  </si>
  <si>
    <t>76828</t>
  </si>
  <si>
    <t>3156309</t>
  </si>
  <si>
    <t>3007011694</t>
  </si>
  <si>
    <t>TRUJILLO</t>
  </si>
  <si>
    <t>TRUJILLO  VALLE DEL CAUCA</t>
  </si>
  <si>
    <t>FO-25-1998373</t>
  </si>
  <si>
    <t>18/12/2025 SE ESCALA PARA VISITA. LLAMAR ANTES DE VISITAR, CONFIRMAR FALLA Y DATOS | 19/12/2025 VISITAMOS COMERCIO LA TAPA DE LA IMPRESORA ESTABA MAL PUESTA  LA AJUSTAMOS BIEN REALIZAMOS PRUEBAS OK DATÁFONO QUEDA FUNCIONANDO.</t>
  </si>
  <si>
    <t>JAAAD113</t>
  </si>
  <si>
    <t>ARROYAVE CANO MANUEL GUILLERMO</t>
  </si>
  <si>
    <t>3156454</t>
  </si>
  <si>
    <t>3007023659</t>
  </si>
  <si>
    <t>COMCARD MEDELLIN SALVADOR BELL</t>
  </si>
  <si>
    <t>FO-25-1998588</t>
  </si>
  <si>
    <t>18/12/2025 SE ESCALA PARA VISITA. LLAMAR ANTES DE VISITAR, CONFIRMAR FALLA Y DATOS | 19/12/2025 SE VISITA Y SE ENCUENTRA OPERANDO NORMAL EL CANAL DEL COMERCIO ESTABA CAÍDO PRUEBAS OK</t>
  </si>
  <si>
    <t>ABC0D992 NA001792</t>
  </si>
  <si>
    <t>MARIN PIEDRAHITA JIMMY ALEXIS</t>
  </si>
  <si>
    <t>27615</t>
  </si>
  <si>
    <t>3156570</t>
  </si>
  <si>
    <t>3007063236</t>
  </si>
  <si>
    <t>CHOCO</t>
  </si>
  <si>
    <t>RIOSUCIO</t>
  </si>
  <si>
    <t>DISTRICOL TECNOCHUY 2</t>
  </si>
  <si>
    <t>FO-25-1999797</t>
  </si>
  <si>
    <t>19/12/2025 SE ESCALA PARA VISITA. LLAMAR ANTES DE VISITAR, CONFIRMAR FALLA Y DATOS | 19/12/2025 SE VERIFICA IMPRESORA Y SE ENCUENTRA BUENA, SE IMPRIME VARIOS VOUCHER SE EVIDENCIA TODO OK</t>
  </si>
  <si>
    <t>FUA00713</t>
  </si>
  <si>
    <t>TIPO V</t>
  </si>
  <si>
    <t>TERRESTRE/FLUVIAL</t>
  </si>
  <si>
    <t>3157851</t>
  </si>
  <si>
    <t>3007079826</t>
  </si>
  <si>
    <t>BARRIO CALAMO PITALITO 3</t>
  </si>
  <si>
    <t>FO-25-2000550</t>
  </si>
  <si>
    <t>19/12/2025 SE ESCALA PARA VISITA. LLAMAR ANTES DE VISITAR, CONFIRMAR FALLA Y DATOS | 19/12/2025 SE REALIZA VISITA AL PUNTO, SE EVIDENCIA EQUIPO NO SE ENCUENTRA CONECTADO AL LA CORRIENTE CONTINUAMENTE POR ESE MOTIVO LA BATERÍA INTERNA DEL EQUIPO DSK2600 NO CARGA AL 100% ,ESTO HACE QUE AL MOMENTO QUE EL EQUIPO VA GENERAR VAUCHER SE QUEDA CORTA DE ENERGÍA . PRUEBAS OK, CB OPERATIVO. SE LE INDICA AL CLIENTE QUE DEBE VALIDAR SIEMPRE QUE LA BATERÍA ESTE CARGADA AL 100 % PARA QUE EL DATAFONO FUNCIONE DE FORMA ÓPTIMA .</t>
  </si>
  <si>
    <t>F1XZZ058</t>
  </si>
  <si>
    <t>18001</t>
  </si>
  <si>
    <t>3158278</t>
  </si>
  <si>
    <t>3007037490</t>
  </si>
  <si>
    <t>CAQUETA</t>
  </si>
  <si>
    <t>FLORENCIA</t>
  </si>
  <si>
    <t>BARRIO CENTRO FLORENCIA 1</t>
  </si>
  <si>
    <t>FO-25-2001022</t>
  </si>
  <si>
    <t>19/12/2025 SE ESCALA PARA VISITA. LLAMAR ANTES DE VISITAR, CONFIRMAR FALLA Y DATOS | 23/12/2025 EN COMUNICACIÓN VÍA TELEFÓNICA CON EL SEÑOR DIEGO CARVAJAL AL NÚMERO 3208358585, INDICA QUE EL EQUIPO SE ENCUENTRA FUNCIONANDO DE MANERA NORMAL , QUE EL PROBLEMA QUE NO ENCENDÍA SE DEBIÓ A UNA MALA CONEXIÓN ,PERO QUE YA ESTÁ OPERANDO CON NORMALIDAD PIDE Y POR FAVOR SE CANCELA LA VISITA</t>
  </si>
  <si>
    <t>15047</t>
  </si>
  <si>
    <t>3158628</t>
  </si>
  <si>
    <t>3007039481</t>
  </si>
  <si>
    <t>AQUITANIA</t>
  </si>
  <si>
    <t>BARRIO PLAYA BLANCA AQUITANIA</t>
  </si>
  <si>
    <t>FO-25-2040746</t>
  </si>
  <si>
    <t>27/12/2025 CENTRO DE GESTION REALIZÓ EL CARGUE DE LA ORDEN CON FECHA VENCIDA , ES UNA TA QUE TUVIERON TA  QUE CREAR NUEVA ( TA-25-3158628)- YA QUE HABIAN CREADO UNA TA QUE BAJO  COMO OC  BASE   DATAGONO Y MA ORDEN TENIA QUE SER COMO INCIDENTE .SE VISITARA PUNTO CONFIRMADA VISITA CON EL SEÑOR YESID SANTOS . | 27/12/2025 SE REALIZA BORRADO DE EQUIPO CARGANDO VERSIÓN 9_90 , SE REALIZA VALIDACIONES DE CONEXIÓN EXITOSAMENTE , SE REALIZA CAMBIO DEL LECTOR DE BARRRAS POR DAÑO CABLE MAL ESTADO , SE CABIA CABLE TEF ENTORCHADO POR MANTENIMIENTO PREVENTIVO DEJANDO PRUEBAS OK ,SIN TELECARGA NO AUTORIZADA</t>
  </si>
  <si>
    <t>GZ08Z101</t>
  </si>
  <si>
    <t>ALVARADO MORENO CRISTHIAN</t>
  </si>
  <si>
    <t>73067</t>
  </si>
  <si>
    <t>3159596</t>
  </si>
  <si>
    <t>3007057307</t>
  </si>
  <si>
    <t>ATACO</t>
  </si>
  <si>
    <t>BARRIO CORREGIMIENTO SANTIAGO</t>
  </si>
  <si>
    <t>FO-25-2006868</t>
  </si>
  <si>
    <t>19/12/2025 SE ESCALA PARA VISITA. LLAMAR ANTES DE VISITAR, CONFIRMAR FALLA Y DATOS | 22/12/2025 LLAMO A LA SEÑORA ARCILA MORENO, AL NÚMERO 3118056638 PARA EL MANTENIMIENTO DE CONEXIÓN A INTERNET Y ELLA ME INDICA QUE EL DATÁFONO ESTÁ FUNCIONANDO CORRECTAMENTE. QUE REINICIO EL MÓDEM Y QUE SE SOLUCIONO EL PROBLEMA DE INTERNET.</t>
  </si>
  <si>
    <t>15248</t>
  </si>
  <si>
    <t>3159658</t>
  </si>
  <si>
    <t>3007011094</t>
  </si>
  <si>
    <t>EL ESPINO</t>
  </si>
  <si>
    <t>EL ESPINO - BOYACA</t>
  </si>
  <si>
    <t>FO-25-2006308</t>
  </si>
  <si>
    <t>CANCELADO</t>
  </si>
  <si>
    <t>19/12/2025 SE ESCALA PARA VISITA. LLAMAR ANTES DE VISITAR, CONFIRMAR FALLA Y DATOS | 22/12/2025 SE REALIZA INTENTO DE COMUNICACION CON EL CLIENTE PARA VALIDAR LA FALLA YA QUE EN OCACIONES ANTERIORES LA FALLA QUE PRESENTA EL CLIENTE ES A CAUSA DE EL INTERNET DEL COMERCIO, POR LO CUAL NO SE PUEDE REALIZAR NINGUNA CORRECCION A LOS EQUIPOS, SE INTETARA COMUNICACION EN HORAS DE AM PARA VALIDAR LA FALLA Y CONFIRMAR LA VISITA YA QUE POR LEJANIA, ZONA EN ALERTA POR GRUPOS ARMADOS ILEGALES Y TRANSPORTE AL LUGAR ES COMPLICADO VISITAR. | 23/12/2025 SE REALIZA INTENTO DE COMUNICACION CON EL CLIENTE PARA VALIDAR LA FALLA YA QUE EN OCACIONES ANTERIORES LA FALLA QUE PRESENTA EL CLIENTE ES A CAUSA DE EL INTERNET DEL COMERCIO, POR LO CUAL NO SE PUEDE REALIZAR NINGUNA CORRECCION A LOS EQUIPOS, SE INTETARA COMUNICACION EN HORAS DE AM PARA VALIDAR LA FALLA Y CONFIRMAR LA VISITA YA QUE POR LEJANIA, ZONA EN ALERTA POR GRUPOS ARMADOS ILEGALES Y TRANSPORTE AL LUGAR ES COMPLICADO VISITAR. | 29/12/2025 DESPLAZAMIENTO HACIA SITIO CLIENTE CONFIRMA FUNCIONAMIENTO DE EQUIPO, FALLA QUE PRESENTA ES EN INTERNET SUMINISTRADO POR ENTIDAD PERO EQUIPO NO TIENE FALLA Y YA SE ENCUENTRA OPERANDO NORMALMENTE</t>
  </si>
  <si>
    <t>GONZALEZ GONZALEZ MARIO ALBERTO</t>
  </si>
  <si>
    <t>50006</t>
  </si>
  <si>
    <t>3160158</t>
  </si>
  <si>
    <t>3007080573</t>
  </si>
  <si>
    <t>ACACIAS</t>
  </si>
  <si>
    <t>BARRIO CENTRO ACACIAS 16</t>
  </si>
  <si>
    <t>FO-25-2007316</t>
  </si>
  <si>
    <t>19/12/2025 SE ESCALA PARA VISITA. LLAMAR ANTES DE VISITAR, CONFIRMAR FALLA Y DATOS | 20/12/2025 SE REALIZA VISTA AL CB, POR SOLICITUD DE PANTALLA BLOQUEADA SE LLEGA AL LUGAR PERO SE OBSERVA QUE SE ENCUENTRA CERRADO, SE LLAMA AL USUARIO FELIPE DÍAZ 3219620617 PERO NO CONTESTA NO ES POSIBLE REALIZAR LA VISITA</t>
  </si>
  <si>
    <t>5034</t>
  </si>
  <si>
    <t>3162097</t>
  </si>
  <si>
    <t>3007058974</t>
  </si>
  <si>
    <t>ANDES</t>
  </si>
  <si>
    <t>BARRIO CENTRO ANDES 1</t>
  </si>
  <si>
    <t>FO-25-2011592</t>
  </si>
  <si>
    <t>LECTOR DE TARJETAS</t>
  </si>
  <si>
    <t>OBSTRUCCION DEL LECTOR</t>
  </si>
  <si>
    <t>21/12/2025 SE ESCALA PARA VISITA. LLAMAR ANTES DE VISITAR, CONFIRMAR FALLA Y DATOS | 22/12/2025 SE REALIZÓ LIMPIEZA DE LECTOR CHIP, PRUEBAS OK CB OPERATIVO</t>
  </si>
  <si>
    <t>LA002189</t>
  </si>
  <si>
    <t>17877</t>
  </si>
  <si>
    <t>3163255</t>
  </si>
  <si>
    <t>3007074680</t>
  </si>
  <si>
    <t>VITERBO</t>
  </si>
  <si>
    <t>PTM VITERBO PUNTO SERVIS VITER</t>
  </si>
  <si>
    <t>FO-25-2013504</t>
  </si>
  <si>
    <t>22/12/2025 SE ESCALA PARA VISITA. LLAMAR ANTES DE VISITAR, CONFIRMAR FALLA Y DATOS | 22/12/2025 EN COMUNICACIÓN CON LA SR DORIS INDICA QUE EL EQUIPO YA ESTA FUNCIONANDO CORRECTAMENTE, SE PROCEDE CON EL CIERRA DE LA ACTIVIDAD</t>
  </si>
  <si>
    <t>3166264</t>
  </si>
  <si>
    <t>3007078638</t>
  </si>
  <si>
    <t>DISTRICOL VMJ BOCHALEMA</t>
  </si>
  <si>
    <t>FO-25-2015902</t>
  </si>
  <si>
    <t>MALA MANIPULACION POS</t>
  </si>
  <si>
    <t>22/12/2025 SE ESCALA PARA VISITA. LLAMAR ANTES DE VISITAR, CONFIRMAR FALLA Y DATOS | 23/12/2025 SE LLAMA AL CLIENTE AL NÚMERO 3225887906 HABLO CON LA SEÑORA PATRICIA INFORMA EL DÍA DE AYER NO LE FUNCIONÓ LA CLAVE 1526 PARA IMPRIMIR DUPLICADOS, SE REALIZA SOPORTE TELEFÓNICO SOLICITÁNDOLE EL PROBLEMA Y EL CLIENTE INDICA QUE YA NO REQUIERE VISITA TÉCNICA</t>
  </si>
  <si>
    <t>HERRERA MONAR GEOVANNY</t>
  </si>
  <si>
    <t>3171472</t>
  </si>
  <si>
    <t>3007082268</t>
  </si>
  <si>
    <t>DISTRICOL LLAVE MAGICA DISTRIB</t>
  </si>
  <si>
    <t>FO-25-2023553</t>
  </si>
  <si>
    <t>23/12/2025 SE ESCALA PARA VISITA. LLAMAR ANTES DE VISITAR, CONFIRMAR FALLA Y DATOS | 23/12/2025 SE LE EXPLICA AL USUARIO EL CORRECTO FUNCIONAMIENTO DE LA LECTORA Y LA POSICIÓN CORRECTA DEL LECTOR PRUEBAS EXITOSAS SERVICIO OPERATIVO</t>
  </si>
  <si>
    <t>0B002009</t>
  </si>
  <si>
    <t>RIOS CASTRILLON JUAN SEBASTIAN</t>
  </si>
  <si>
    <t>3172074</t>
  </si>
  <si>
    <t>3007033988</t>
  </si>
  <si>
    <t>PAGAFACIL LA 14 ARMENIA</t>
  </si>
  <si>
    <t>FO-25-2024290</t>
  </si>
  <si>
    <t>23/12/2025 SE ESCALA PARA VISITA. LLAMAR ANTES DE VISITAR, CONFIRMAR FALLA Y DATOS | 24/12/2025 SE VISITA COMERCIO SE REALIZÓ VERIFICACIÓN DE CABLEADO Y DE EQUIPOS SE REALIZÓ PRUEBAS OK.</t>
  </si>
  <si>
    <t>1KZZZ682</t>
  </si>
  <si>
    <t>76403</t>
  </si>
  <si>
    <t>3172107</t>
  </si>
  <si>
    <t>3007031089</t>
  </si>
  <si>
    <t>LA VICTORIA</t>
  </si>
  <si>
    <t>BARRIO CENTRO 5</t>
  </si>
  <si>
    <t>FO-25-2024201</t>
  </si>
  <si>
    <t>23/12/2025 SE ESCALA PARA VISITA. LLAMAR ANTES DE VISITAR, CONFIRMAR FALLA Y DATOS | 23/12/2025 SE HABLA CON EL CLIENTE, EL SEÑOR ANDRES MANIFIESTA QUE EL DATAFONO LE ARROJA UN ERROR DE CONEXIÓN PERO TIENE EL ICONO DE LA RED EN VERDE, SE LE SOLITA REINICIAR EL ROUTER DE INTERNET DESDE EL RACK, EL CLIENTE REALIZA EL REINICIO DE SUS EQUIPOS Y REALIZA UNA PRUEBA EXITOSA</t>
  </si>
  <si>
    <t>66170</t>
  </si>
  <si>
    <t>3172424</t>
  </si>
  <si>
    <t>3007079238</t>
  </si>
  <si>
    <t>RISARALDA</t>
  </si>
  <si>
    <t>DOSQUEBRADAS</t>
  </si>
  <si>
    <t>DISTRICOL VARIEDADES MIFER</t>
  </si>
  <si>
    <t>FO-25-2024937</t>
  </si>
  <si>
    <t>23/12/2025 SE ESCALA PARA VISITA. LLAMAR ANTES DE VISITAR, CONFIRMAR FALLA Y DATOS | 24/12/2025 VISITAMOS COMERCIO EL DATÁFONO NO IMPRIME LAS TRX DESCONECTAMOS Y CONECTAMOS LA BATERÍA DEL DATAFONO REALIZAMOS MOVIMIENTO A LA IMPRESORA TÉRMICA REALIZAMOS PRUEBAS OK LE EXPLICAMOS AL CLIENTE QUE DEBE HACER CUANDO EL DATAFONO PRESENTE EL MISMO INCONVENIENTE.</t>
  </si>
  <si>
    <t>A4WZZ115</t>
  </si>
  <si>
    <t>27361</t>
  </si>
  <si>
    <t>3173413</t>
  </si>
  <si>
    <t>3007067920</t>
  </si>
  <si>
    <t>ISTMINA</t>
  </si>
  <si>
    <t>BARRIO INDEPENDENCIA ISTMINA</t>
  </si>
  <si>
    <t>FO-25-2025560</t>
  </si>
  <si>
    <t>23/12/2025 SE ESCALA PARA VISITA. LLAMAR ANTES DE VISITAR, CONFIRMAR FALLA Y DATOS | 26/12/2025 SE REALIZA CONTACTO TELEFÓNICO CON LA CLIENTE Y REPORTA QUE EL CB YA SE ENCUENTRA OPERATIVO YA QUE LA ZONA ESTABA PRESENTANDO PROBLEMAS DE COMUNICACIÓN PERO YA ESTA FUNCIONANDO CON NORMALIDAD</t>
  </si>
  <si>
    <t>AEREO</t>
  </si>
  <si>
    <t>ROBLEDO DIAZ ANDRES FELIPE</t>
  </si>
  <si>
    <t>23660</t>
  </si>
  <si>
    <t>3173658</t>
  </si>
  <si>
    <t>3007037366</t>
  </si>
  <si>
    <t>SAHAGUN</t>
  </si>
  <si>
    <t>ARRIO CENTRO SAHAGUN 1</t>
  </si>
  <si>
    <t>FO-25-2026234</t>
  </si>
  <si>
    <t>24/12/2025 SE ESCALA PARA VISITA. LLAMAR ANTES DE VISITAR, CONFIRMAR FALLA Y DATOS | 24/12/2025 SE REQUIERE CAMBIO DE EQUIPO Y NO HAY SOPORTE REDEBAN, SE REAGENDA PARA EL 26 DE DICIEMBRE. | 26/12/2025 SE VISITA SITIO SE VERIFICA INFORMACIÓN SE REALIZA PRIMEROS, SE REALIZA LIMPIEZA DEL LECTOR SE RETIRA LA OBSTRUCCIÓN , SE REALIZA PRUEBA TRX EXITOSA, TECLADO OK, IMPRESIÓN OK, SELLOS OK.</t>
  </si>
  <si>
    <t>AB00N078</t>
  </si>
  <si>
    <t>SANTOS GUZMAN CHRISTIAN FELIPE</t>
  </si>
  <si>
    <t>3177110</t>
  </si>
  <si>
    <t>3007041259</t>
  </si>
  <si>
    <t>PTM MEDELLIN MONTESSORI</t>
  </si>
  <si>
    <t>FO-25-2029481</t>
  </si>
  <si>
    <t>26/12/2025 SE ESCALA PARA VISITA. LLAMAR ANTES DE VISITAR, CONFIRMAR FALLA Y DATOS | 26/12/2025 SE REORGANIZA ACOMETIDA DE CABLE DE DATOS, SE ANULA UNIÓN RJ45 SE QUITA BISEL SE PASA CABLEADO Y SE VUELVE A PONER BISEL SE HACEN PRUEBAS OK</t>
  </si>
  <si>
    <t>AA0QZ372 IIHZZ255</t>
  </si>
  <si>
    <t>MONTOYA VELEZ ANDRES FELIPE</t>
  </si>
  <si>
    <t>3177549</t>
  </si>
  <si>
    <t>3007081938</t>
  </si>
  <si>
    <t>PTM CALI INTERLADO</t>
  </si>
  <si>
    <t>FO-25-2029780</t>
  </si>
  <si>
    <t>26/12/2025 SE ESCALA PARA VISITA. LLAMAR ANTES DE VISITAR, CONFIRMAR FALLA Y DATOS | 26/12/2025 SE REALIZA LLAMADA TELEFÓNICA A LA SEÑORA ADRIANA DONDE ME INDICA QUE ESTÁ DE VIAJE Y NO PUEDE ATENDER LA APERTURA YA QUE ELLA NO ESTÁ PRESENTE, SE LE INFORMAR QUE SI TIENE ALGÚN PERSONAL ATENDIENDO EL NEGOCIO PARA HACER LA INSTALACIÓN PERO ME DICE QUE LA SEÑORA ADRIANA QUE LE GUSTARÁ PRESENCIAR LA INSTALACIÓN Y QUE EL DÍA DE HOY NO ME PUEDE ATENDER YA QUE NO SE ENCUENTRA EN LA CIUDAD Y QUIERE PRESENCIAR LA INSTALACIÓN DEL EQUIPO</t>
  </si>
  <si>
    <t>DA005927</t>
  </si>
  <si>
    <t>70713</t>
  </si>
  <si>
    <t>3180857</t>
  </si>
  <si>
    <t>3007038418</t>
  </si>
  <si>
    <t>SAN ONOFRE</t>
  </si>
  <si>
    <t>DISTRICOL PANADERIA LA ESPIGA</t>
  </si>
  <si>
    <t>FO-25-2040452</t>
  </si>
  <si>
    <t>27/12/2025 SE ESCALA PARA VISITA. LLAMAR ANTES DE VISITAR, CONFIRMAR FALLA Y DATOS | 28/12/2025 SE REQUIERE CAMBIO DE EQUIPO Y NO HAY SOPORTE REDEBAN SE REAGENDA PARA EL 29 DICIEMBRE A PARTIR DEL MEDIO DÍA. | 29/12/2025 SE VISITA SITIO, SE VERIFICA INFORMACIÓN, SE REALIZA PRIMEROS AUXILIOS, SE RECONFIGURA ESCÁNER, LECTURA OK, SE RETROALIMENTA AL ENCARGADO QUE LAS CÓDIGOS DE BARRAS IMPRESOS DEBEN  ESTAR NÍTIDOS PARA UNA LECTURA RAPIDA, SE REALIZA PRUEBA TRX EXITOSA.</t>
  </si>
  <si>
    <t>AA00X613</t>
  </si>
  <si>
    <t>19573</t>
  </si>
  <si>
    <t>3180893</t>
  </si>
  <si>
    <t>3007051873</t>
  </si>
  <si>
    <t>PUERTO TEJADA</t>
  </si>
  <si>
    <t>PTM PUERTO TEJADA  MISCELANEA</t>
  </si>
  <si>
    <t>FO-25-2041027</t>
  </si>
  <si>
    <t>27/12/2025 SE ESCALA PARA VISITA. LLAMAR ANTES DE VISITAR, CONFIRMAR FALLA Y DATOS | 29/12/2025 SE LLEGA AL COMERCIO EL CUAL LA SEÑORA ALEJANDRA PASTRANA INDICA QUE EL EQUIPO ESTÁ FUNCIONANDO BIEN NO PERMITE LA MANIPULACIÓN Y REVISIÓN DEL EQUIPO YA QUE LA PERSONA ENCARGADA NO SE ENCUENTRA Y NO CONTESTA</t>
  </si>
  <si>
    <t>BA0BZ027</t>
  </si>
  <si>
    <t>5360</t>
  </si>
  <si>
    <t>3181348</t>
  </si>
  <si>
    <t>3007074670</t>
  </si>
  <si>
    <t>ITAGUI</t>
  </si>
  <si>
    <t>PTM ITAGUI RAPITIENDA LA PLACI</t>
  </si>
  <si>
    <t>FO-25-2040453</t>
  </si>
  <si>
    <t>27/12/2025 SE REALIZA VISITA TÉCNICA POR REPORTE DE POSIBLE BLOQUEO O CAÍDA DE LA ENTIDAD. AL MOMENTO DE LA ATENCIÓN, EL USUARIO NO CUENTA CON SUMINISTRO DE LUZ, POR LO CUAL NO ES POSIBLE VALIDAR EL FUNCIONAMIENTO DEL SERVICIO. SE INFORMA AL USUARIO QUE DEBE COMUNICARSE CON LA LÍNEA DE ATENCIÓN CORRESPONDIENTE PARA VALIDAR SI EXISTE BLOQUEO DE LA ENTIDAD; DE LO CONTRARIO, SI NO PRESENTA BLOQUEO, DEBERÁ VOLVER A COMUNICARSE PARA SOLICITAR UNA NUEVA VISITA UNA VEZ CUENTE CON SUMINISTRO ELÉCTRICO Y ASÍ PODER REALIZAR LAS VALIDACIONES CORRESPONDIENTES.</t>
  </si>
  <si>
    <t>EGQZZ162 LNPZZ494</t>
  </si>
  <si>
    <t>3181355</t>
  </si>
  <si>
    <t>3007079925</t>
  </si>
  <si>
    <t>DISTRICOL PALACIO DE LA LENCER</t>
  </si>
  <si>
    <t>FO-25-2040539</t>
  </si>
  <si>
    <t>27/12/2025 SE REALIZA LIMPIEZA DE LECTOR CHIP CON OBSTRUCCIÓN OK PRUEBAS OK NO TELECARGA</t>
  </si>
  <si>
    <t>SAUZZ940</t>
  </si>
  <si>
    <t>PAREJA ECHAVARRIA JHON DAVID</t>
  </si>
  <si>
    <t>20001</t>
  </si>
  <si>
    <t>3181616</t>
  </si>
  <si>
    <t>3007069837</t>
  </si>
  <si>
    <t>CESAR</t>
  </si>
  <si>
    <t>PTM VALLEDUPAR DISTRIBUCIONES</t>
  </si>
  <si>
    <t>FO-25-2041643</t>
  </si>
  <si>
    <t>27/12/2025 SE ESCALA PARA VISITA. LLAMAR ANTES DE VISITAR, CONFIRMAR FALLA Y DATOS | 28/12/2025 SE REALIZA GESTIÓN TELEFÓNICA ATIENDE LA SRA ANGIE  DIAZ LA CUAL NOS INDICA QUE EL DIA DE AYER EL DATÁFONO NO LE PERMITIA REALIZAR TX PERO EL DIA DE HOY ESTA FUNCIONANDO PERFECTAMENTE</t>
  </si>
  <si>
    <t>MAESTRE MENGUAL EDGAR ENRIQUE</t>
  </si>
  <si>
    <t>25899</t>
  </si>
  <si>
    <t>3181632</t>
  </si>
  <si>
    <t>3007017931</t>
  </si>
  <si>
    <t>ZIPAQUIRA</t>
  </si>
  <si>
    <t>BARRIO CENTRO VII ZIPAQUIRA</t>
  </si>
  <si>
    <t>FO-25-2042183</t>
  </si>
  <si>
    <t>28/12/2025 SE ESCALA PARA VISITA. LLAMAR ANTES DE VISITAR, CONFIRMAR FALLA Y DATOS | 29/12/2025 SE REALIZA VISITA DE CAMPO ENCONTRADO QUE COMERCIO ESTA CERRADO SE INTENTA COMUNICACIÓN A LA LÍNEA 3138162283 PERO NO HAY RESPUESTA, SE INFORMA A SUPERVISOR QUIEN AUTORIZA CIERRE DE SOLICITUD.</t>
  </si>
  <si>
    <t>LOZADA ROJAS CHRISTIAN ANDRES</t>
  </si>
  <si>
    <t>5756</t>
  </si>
  <si>
    <t>3181662</t>
  </si>
  <si>
    <t>3007059025</t>
  </si>
  <si>
    <t>SONSON</t>
  </si>
  <si>
    <t>BARRIO SONSON SONSON 3</t>
  </si>
  <si>
    <t>FO-25-2043197</t>
  </si>
  <si>
    <t>28/12/2025 SE ESCALA PARA VISITA. LLAMAR ANTES DE VISITAR, CONFIRMAR FALLA Y DATOS | 29/12/2025 SE REVISA EQUIPO Y SE EVIDENCIA QUE LOS PARÁMETROS ESTABAN BORRADOS, PROCEDO A FORMATEAR EL EQUIPO E INICIALIZAR, EQUIPO QUEDA OK Y FUNCIONANDO CORRECTAMENTE</t>
  </si>
  <si>
    <t>MA002184</t>
  </si>
  <si>
    <t>5670</t>
  </si>
  <si>
    <t>3183256</t>
  </si>
  <si>
    <t>3007048502</t>
  </si>
  <si>
    <t>SAN ROQUE</t>
  </si>
  <si>
    <t>BARRIO JUAN 23 SAN ROQUE</t>
  </si>
  <si>
    <t>FO-25-2045841</t>
  </si>
  <si>
    <t>29/12/2025 EN COMUNICACION CON EL SR OSCAR JARAMILLO AL NUMERO 3164197228   SE CONFIRMAR FALLA  DATAFONO NO RESIVE CONEXION A INTERNET Y DATOS CODIGO DEL PUNTO 48502 DIRECCION VRD SAN JOSE DEL BUS BARRIO JU . SE ESCALA PARA VISITA. | 31/12/2025 SE VISITA COMERCIO Y EL USUARIO NOS MANIFIESTA QUE PUSO UN INTENET NUEVO Y NO LE COGE EL INTERNET PERO CON EL ANTERIOR SI, SE HACEN VALIDACIONES DE CABLE DEL DATAFONO Y FUNCIONA CORRECTAMENTE SE REVISA EL MONDEN NUEVO DEL CLIENTE Y SE EVIDENCIA QUE LOS PUERTOS ESTÁN QUEDANDO YA QUE SE CONETA UNA CÁMARA Y UN COMPUTADOR Y QUEDAN SIN INTERNET. SE LE INDICA AL USUARIO QUE DEBE PEDIR LA REVISIÓN TÉCNICA DEL PROVEEDOR DE INTERNET. YA QUE EL EQUIPO ESTÁ OPERANDO CON NORMALIDAD CON OTRO MODEN</t>
  </si>
  <si>
    <t>II00J449</t>
  </si>
  <si>
    <t>27001</t>
  </si>
  <si>
    <t>3183532</t>
  </si>
  <si>
    <t>3007076854</t>
  </si>
  <si>
    <t>QUIBDO</t>
  </si>
  <si>
    <t>BARR CABI VIA YUTO QUIBDO</t>
  </si>
  <si>
    <t>FO-25-2045837</t>
  </si>
  <si>
    <t>29/12/2025 EN COMUNICACION CON EL SR LORENA AL NUMERO 3142533824SE CONFIRMAR FALLA  DATAFONO ERROR DE CONEXION  Y DATOS CODIGO DEL PUNTO 76854 DIRECCION CABI VIA YUTO QUEBRADA DESECHO . SE ESCALA PARA VISITA. | 30/12/2025 SE REALIZA BORRADO DE VERSION, SE VUELVE A CARGAR, SE RELAIZAN PRUEBAS Y EL CB QUEDA OPERATIVO</t>
  </si>
  <si>
    <t>108ZZ458</t>
  </si>
  <si>
    <t>5147</t>
  </si>
  <si>
    <t>3183904</t>
  </si>
  <si>
    <t>3007070444</t>
  </si>
  <si>
    <t>CAREPA</t>
  </si>
  <si>
    <t>BARRIO CENTRO CAREPA</t>
  </si>
  <si>
    <t>FO-25-2045833</t>
  </si>
  <si>
    <t>29/12/2025 SE ESCALA PARA VISITA. LLAMAR ANTES DE VISITAR, CONFIRMAR FALLA Y DATOS | 29/12/2025 SE REALIZA FORMATEO Y REPISADO DE PARÁMETROS EQUIPOS SE ENCUENTRA OPERATIVO.</t>
  </si>
  <si>
    <t>0N008851</t>
  </si>
  <si>
    <t>5861</t>
  </si>
  <si>
    <t>3184669</t>
  </si>
  <si>
    <t>3007045982</t>
  </si>
  <si>
    <t>VENECIA</t>
  </si>
  <si>
    <t>BARRIO MALL POLLOS MARIO VENEC</t>
  </si>
  <si>
    <t>FO-25-2046366</t>
  </si>
  <si>
    <t>29/12/2025 SE ESCALA PARA VISITA. LLAMAR ANTES DE VISITAR, CONFIRMAR FALLA Y DATOS | 30/12/2025 SE LLAMA AL USUARIO E INDICA QUE YA SE LE HIZO EL CAMBIO DEL EQUIPO Y QUEDO OK</t>
  </si>
  <si>
    <t>3185433</t>
  </si>
  <si>
    <t>3007080605</t>
  </si>
  <si>
    <t>BARRIO LA GAVIOTA IBAGUE 8</t>
  </si>
  <si>
    <t>FO-25-2046922</t>
  </si>
  <si>
    <t>29/12/2025 SE ESCALA PARA VISITA. LLAMAR ANTES DE VISITAR, CONFIRMAR FALLA Y DATOS | 30/12/2025 SE HABLA CON LA SEÑORA ALEJANDRA CEDIEL, POR EL NÚMERO DE TELÉFONO 3138388765, ME INDICA QUE EL DATÁFONO ESTÁ FUNCIONANDO CORRECTAMENTE E IMPRIME CORRECTAMENTE.</t>
  </si>
  <si>
    <t>3185446</t>
  </si>
  <si>
    <t>FO-25-2047116</t>
  </si>
  <si>
    <t>29/12/2025 SE ESCALA PARA VISITA. LLAMAR ANTES DE VISITAR, CONFIRMAR FALLA Y DATOS | 30/12/2025 SE HABLA CON EL CLIENTE QUIEN INDICA QUE NO PUEDO REALIZAR EL CIERRE EL DIA DE AYER NO LE GENERO CIERRE LE SALIA ERROR EN LA CLAVE, SE REALIZA LLAMADA AL CLIENTE Y VALIDACION DEL PROCESO ADECUADO DE CIERRE, Y SE ENCUENTRA QUE EL CLIENTE ESTABA REALIZANDO MAL LA GESTION DEL CIERRE, PUES INGRESABA A BORRAR TRANSACCIONES Y DESPUES INGRESABA POR COMERCIO A REALIZAR EL CIERRE, SE LE EXPLICA LA MANERA ADECUADA DE REALIZAR EL CIERRE Y EL NO PROCEDER A BORRAR TRANSACCIONES SIN EL ACOMPAÑAMIENTO DE LA LINEA PERO EL DATAFONO ESTA OPERANDO NORMAL CON SUS USUARIOS.</t>
  </si>
  <si>
    <t>MANIZALES</t>
  </si>
  <si>
    <t>17001</t>
  </si>
  <si>
    <t>3188457</t>
  </si>
  <si>
    <t>3007018888</t>
  </si>
  <si>
    <t>MULTIPAGAS FUNDADORES</t>
  </si>
  <si>
    <t>FO-25-2051393</t>
  </si>
  <si>
    <t>30/12/2025 SE ESCALA PARA VISITA. LLAMAR ANTES DE VISITAR, CONFIRMAR FALLA Y DATOS | 31/12/2025 SE LLEGA A LUGAR DE LA VISITA EL CUAL INDICAN PODER ATENDER SOBRE LAS 9AM MIENTRAS ABREN Y DAN AUTORIZACIÓN DE INGRESO | 31/12/2025 SE REALIZA VISITA SE EVIDENCIA QUE CAJA DE CONEXIONES PARA EL CABLE ETHERNET PRESENTA FALLAS, SE PRUEBA EN OTRA CAJA DE ETHERNET Y SI DA CONEXIÓN SE HACEN PRUEBAS SERVICIO OK, SE LE EXPLICA AL USUARIO QUE SON SUS CONEXIONES</t>
  </si>
  <si>
    <t>TZZZZ177</t>
  </si>
  <si>
    <t>AGUIRRE HENAO RAUL EDUARDO</t>
  </si>
  <si>
    <t>3191142</t>
  </si>
  <si>
    <t>3007042332</t>
  </si>
  <si>
    <t>DISTRICOL MERQUEMAS ARANJUEZ</t>
  </si>
  <si>
    <t>FO-25-2055303</t>
  </si>
  <si>
    <t>31/12/2025 SE ESCALA PARA VISITA. LLAMAR ANTES DE VISITAR, CONFIRMAR FALLA Y DATOS | 31/12/2025 SE REALIZA LLAMADA CON USUARIO PARA VALIDAR FALLA, INDICA QUE NO LE ESTABA INGRESANDO LA CLAVE 1526 PARA CIERRES PERO HOY QUE DE REALIZAN PRUEBAS EN LLAMADA INDICA QUE YA LE ESTA FUNCIONANDO BIEN Y LO DEJA INGRESAR CON NORMALIDAD, AL PARECER LA ESTABA INGRESANDO MAL, SE HACEN PRUEBAS EN LLAMADA, SERVICIO OK</t>
  </si>
  <si>
    <t>3191492</t>
  </si>
  <si>
    <t>3007032347</t>
  </si>
  <si>
    <t>MULTIPAGAS GUATAPURI</t>
  </si>
  <si>
    <t>FO-25-2056336</t>
  </si>
  <si>
    <t>31/12/2025 SE ESCALA PARA VISITA. LLAMAR ANTES DE VISITAR, CONFIRMAR FALLA Y DATOS | 31/12/2025 SE REALIZA GESTIÓN TELEFÓNICA CLIENTE INDICA QUE EL LECTOR DE BARRAS YA LE ESTÁ FUNCIONANDO BIEN</t>
  </si>
  <si>
    <t>YOPAL</t>
  </si>
  <si>
    <t>85001</t>
  </si>
  <si>
    <t>TA-25-1364353</t>
  </si>
  <si>
    <t>3007078773</t>
  </si>
  <si>
    <t>CASANARE</t>
  </si>
  <si>
    <t>DISTRICOL DROGUERIA DROVITAL S</t>
  </si>
  <si>
    <t>FO-25-1930783</t>
  </si>
  <si>
    <t>04/12/2025 SE VISITA COMERCIO, SE REALIZA INICIALIZACION A LA NUEVA TERMINAL. PRUEBAS OK. OPERATIVO EL SERVICIO.</t>
  </si>
  <si>
    <t>AE005095</t>
  </si>
  <si>
    <t>BERNAL ELAICA EDGAR ALEXIS</t>
  </si>
  <si>
    <t>TA-25-1423059</t>
  </si>
  <si>
    <t>3007016764</t>
  </si>
  <si>
    <t>BRR SANCHEZ DON MATIAS</t>
  </si>
  <si>
    <t>FO-25-1980415</t>
  </si>
  <si>
    <t>16/12/2025 SE REALIZA VISITA TÉCNICA AL CORRESPONSAL BANCOLOMBIA POR INCIDENTE REPORTADO CON EL DATÁFONO EL USUARIO CONFIRMA SU IDENTIFICACIÓN E INFORMA QUE EL EQUIPO PRESENTÓ UN ERROR DE CONEXIÓN PERO QUE LE HABÍAN REALIZADO UNOS PRIMEROS AUXILIOS Y CON ELLO FUNCIONÓ EL USUARIO AUTORIZA LA VERIFICACIÓN PARA DETERMINAR LA CAUSA DE LA NOVEDAD SE REVISA LA CONFIGURACIÓN Y TODO SE ENCUENTRA NORMAL SE EJECUTAN PRUEBAS QUE RESULTAN EXITOSAS IDENTIFICANDO QUE LA AFECTACIÓN CORRESPONDE A PROBLEMAS DE CONEXIÓN PROPIOS DEL COMERCIO</t>
  </si>
  <si>
    <t>JEZZZ364</t>
  </si>
  <si>
    <t>68276</t>
  </si>
  <si>
    <t>TA-25-1445579</t>
  </si>
  <si>
    <t>3007081858</t>
  </si>
  <si>
    <t>FLORIDABLANCA</t>
  </si>
  <si>
    <t>PTM FLORIDABLANCA TIENDA LA AN</t>
  </si>
  <si>
    <t>FO-25-2022782</t>
  </si>
  <si>
    <t>23/12/2025 SE ESTABLECE CONTACTO VÍA WHATSAPP AL NÚMERO 3228385680 CON  MARIELA MANCILLA CASTRO PARA VALIDAR HORARIO DE ATENCIÓN PARA INICIAR EL RESPECTIVO DESPLAZAMIENTO AL PUNTO EN COMUNICACIÓN CLIENTE NOS INDICA QUE SE COMUNICA A REALIZAR CONSULTA POR QUE EL DATAFONO NO LE IMPRIMIA LO CUAL SE DEBIA AL MAL POCISIONAMIENTO DEL ROLLO DEL DATAFONO NOS INDICA QUE TODO ESTA FUNCIONANDO BIEN Y NO REQUIERE EL SERVICIO TÉCNICO AGRADECE POR LA ATENCIÓN PRESTADA</t>
  </si>
  <si>
    <t>REYES RAMIREZ DIEGO ALEXANDER</t>
  </si>
  <si>
    <t>SOLICITUD</t>
  </si>
  <si>
    <t>DESCRIPCION</t>
  </si>
  <si>
    <t>CAUSAL ESTADO</t>
  </si>
  <si>
    <t>VALOR ACTIVIDAD</t>
  </si>
  <si>
    <t>VALOR TOTAL</t>
  </si>
  <si>
    <t>15693</t>
  </si>
  <si>
    <t>14463423</t>
  </si>
  <si>
    <t>3007080298</t>
  </si>
  <si>
    <t>OC TRASLADO</t>
  </si>
  <si>
    <t>SANTA ROSA DE VITERBO</t>
  </si>
  <si>
    <t>BARRIO CENTRO SANTA ROSA DE VITERBO 10</t>
  </si>
  <si>
    <t>FO-25-1938750 | FO-25-1930207</t>
  </si>
  <si>
    <t>TRASLADO</t>
  </si>
  <si>
    <t>TRASLADO EXTERNO</t>
  </si>
  <si>
    <t>EJECUTADO EXITOSO</t>
  </si>
  <si>
    <t>[FO-25-1938750] 10/12/2025 SE REALIZÓ LA VISITA Y SE EJECUTARON LOS PROCEDIMIENTOS INDICADOS POR REDEBAN. SE FORMATEA EL EQUIPO, SE MONTA LA VERSIÓN CORRESPONDIENTE Y SE INSTALA EL SISTEMA OPERATIVO; SIN EMBARGO, EL PROCEDIMIENTO NO RESULTA EFECTIVO. SE ESCALA NUEVAMENTE EL CASO CON REDEBAN, DONDE PAOLA GARZÓN REALIZA EL DEBIDO ESCALAMIENTO CON OPERACIONES, QUIENES AUTORIZAN EL CAMBIO DE LA TERMINAL. SE DEJA INSTALADA LA TERMINAL DA006757 Y SE REALIZAN LAS RESPECTIVAS CONFIGURACIONES, OBTENIENDO PRUEBAS EXITOSAS. PROCEDIMIENTO REALIZADO POR PAOLA GARZÓN DE REDEBAN. CLIENTE CONFORME. || [FO-25-1930207] 04/12/2025 POR FAVOR, COMUNICARSE CON USUARIO PARA CONFIRMAR UBICACION, SOLICITUD Y PROGRAMAR VISITA TECNICA | 04/12/2025 SE ESTABLECE COMUNICACIÓN CON LA SEÑORA SANDRA RINCÓN AL NÚMERO DE CONTACTO 3135875987 CLIENTE INDICA QUE AÚN NO LE HAN REALIZADO LA INSTALACIÓN DEL PUNTO DE INTERNET EN LA NUEVA DIRECCIÓN INFORMA QUE SE VA A COMUNICAR CON EL PROVEEDOR DE INTERNET PARA COORDINAR LA INSTALACIÓN TAN PRONTO TENGA UNA RESPUESTA NO LA COMUNICA PARA PROGRAMAR LA VISITA PARA EL TRASLADO. | 05/12/2025 SE EJECUTA TRASLADO EXTERNO INSTALANDO EQUIPOS Y PUBLICIDAD NO ES POSIBLE EJECUTAR LA INICIALIZACION PRESENTA ERROR AL INICIALIZAR AL EQUIPO SE ESCALA A REDEBAN EL CASO INDICAN QUE EL ERROR PROVIENE DE UN PROCEDIMIENTO ERRADO EN EL TRASLADO DESDE LA ENTIDAD QUE GENERÓ ERROR EN LA PLATAFORMA DE BESE 24 EL CASO ESTÁ EN PROCESO DE SOLUCIÓN EN NIVEL 3 CON TI OPERACIONES Y BACKOFFICE AUTORIZAN RETIRARNOS DEL PUNTO DEJANDO EL CASO ABIERTO REPROGRAMAR VISITA.</t>
  </si>
  <si>
    <t>DA006757</t>
  </si>
  <si>
    <t>5138</t>
  </si>
  <si>
    <t>14481176</t>
  </si>
  <si>
    <t>3007070983</t>
  </si>
  <si>
    <t>CAÑASGORDAS</t>
  </si>
  <si>
    <t>BARRIO CANASGORDAS CANASGORDA</t>
  </si>
  <si>
    <t>FO-25-1950930</t>
  </si>
  <si>
    <t>PETICIÓN USUARIO</t>
  </si>
  <si>
    <t>09/12/2025 POR FAVOR, COMUNICARSE CON USUARIO PARA CONFIRMAR UBICACION, SOLICITUD Y PROGRAMAR VISITA TECNICA</t>
  </si>
  <si>
    <t>14493357</t>
  </si>
  <si>
    <t>3007043354</t>
  </si>
  <si>
    <t>BARRIO BOSA BRASIL BOGOTA 2</t>
  </si>
  <si>
    <t>FO-25-1950925</t>
  </si>
  <si>
    <t>HERNANDEZ NARANJO OSCAR EDUARDO</t>
  </si>
  <si>
    <t>14494063</t>
  </si>
  <si>
    <t>3007037905</t>
  </si>
  <si>
    <t>BARRIO LOPEZ DE MESA MEDELLIN</t>
  </si>
  <si>
    <t>FO-25-1930242</t>
  </si>
  <si>
    <t>TRASLADO INTERNO</t>
  </si>
  <si>
    <t>04/12/2025 POR FAVOR, COMUNICARSE CON USUARIO PARA CONFIRMAR UBICACION, SOLICITUD Y PROGRAMAR VISITA TECNICA | 10/12/2025 EN LA DESCRIPCIÓN DE SOLICITUD DE TRASLADO, NO HAY NINGÚN NÚMERO ANEXADO, POR LO TANTO, SE VISITA EL SITIO YA QUE DICE QUE EL MOVIMIENTO QUE HICIERON ES EN EL MISMO PUNTO. DESPUÉS DE VISITAR EL SITIO, QUIÉN YA ES EL NUEVO ADMINISTRADOR, INFORMA QUE EL CB LO QUITARON Y QUE NO SABEN ACERCA DE LA CONTINUIDAD DEL CB EN ALGUNA OTRA DIRECCIÓN Y COMO NO HAY UN NÚMERO DE CONTACTO, NO SE PUEDE VALIDAR.</t>
  </si>
  <si>
    <t>41001</t>
  </si>
  <si>
    <t>14516194</t>
  </si>
  <si>
    <t>3007081806</t>
  </si>
  <si>
    <t>PTM NEIVA SERVICIOS PROFESIONA</t>
  </si>
  <si>
    <t>FO-25-1992654</t>
  </si>
  <si>
    <t>CANCELADO POR EL USUARIO</t>
  </si>
  <si>
    <t>17/12/2025 SE  REALIZAN VARIOS INTLA GESTIONENTOS DE COMUNICACION CON LOS USUARIOS Y NO SE LOGRA ESTABLECER CONTACTO, PORFAVOR LLAMAR ANTES DE REALIZAR</t>
  </si>
  <si>
    <t>DIAZ VARGAS JONATHAN MIGUEL</t>
  </si>
  <si>
    <t>25885</t>
  </si>
  <si>
    <t>14536522</t>
  </si>
  <si>
    <t>3007074206</t>
  </si>
  <si>
    <t>YACOPI</t>
  </si>
  <si>
    <t>BARRIO CENTRO YACOPÍ</t>
  </si>
  <si>
    <t>FO-25-2001064</t>
  </si>
  <si>
    <t>PETICIÓN RED</t>
  </si>
  <si>
    <t>19/12/2025 SE REALIZARON VARIOS INTENTOS PARA REALIZAR LA VERIFICACION Y ACTUALIZACION  DE DATOS AL NUMERO  AL NUMERO 3025865277 PERO EN NINGUNO DE LOS INTENTOS LA COMUNICACION FUE EXITOSA.PORFAVOR LLAMAR ANTES DE REALIZAR LA GESTION</t>
  </si>
  <si>
    <t>INFANTE SIERRA MANUEL FERNANDO</t>
  </si>
  <si>
    <t>14576180</t>
  </si>
  <si>
    <t>FO-25-2027033</t>
  </si>
  <si>
    <t>DIRECCION ERRADA</t>
  </si>
  <si>
    <t>24/12/2025 "SE ESTABLECE  COMUNICACION CON LA SEÑORA BLANCA RAMIREZ CON NUMERO DE TELEFONO 3213815155.SE REALIZA CONFIRMACION DE DIRECCION DE LA DIRECCION EN LA CUAL QUEDARA INSTALADO  EL SERVICIO CR 88 I # 51 A 10 SUR CUNDINAMARCA</t>
  </si>
  <si>
    <t>ALARCON AREVALO JOHAN STIVEN</t>
  </si>
  <si>
    <t>LÍNEA COMUNICACIONES S.A.S</t>
  </si>
  <si>
    <t>FACTURACIÓN CORRESPONSALES BANCARIOS TIQUIETES AEREOS</t>
  </si>
  <si>
    <t>FACTURACIÓN PROYECTO CB BANCOLOMBIA</t>
  </si>
  <si>
    <t>CONCEPTOS</t>
  </si>
  <si>
    <t>TRAYECTOS</t>
  </si>
  <si>
    <t>TOTAL</t>
  </si>
  <si>
    <t xml:space="preserve">% Administración </t>
  </si>
  <si>
    <t>CANTIDAD</t>
  </si>
  <si>
    <t>VALOR UNITARIO</t>
  </si>
  <si>
    <t>INCIDENTE 3003898</t>
  </si>
  <si>
    <t>BUCARAMANGA - ARAUCA - BUCARAMANGA</t>
  </si>
  <si>
    <t>Adecuaciones CB</t>
  </si>
  <si>
    <t>Incidentes</t>
  </si>
  <si>
    <t>Ordenes de Cambio</t>
  </si>
  <si>
    <t>Tiquetes</t>
  </si>
  <si>
    <t>SUBTOTAL</t>
  </si>
  <si>
    <t>Iva</t>
  </si>
  <si>
    <t>VALOR DIAS ACOMPAÑAMIENTO FACTURABLE</t>
  </si>
  <si>
    <t>MEDELLIN - RIOSUCIO- MEDELLIN</t>
  </si>
  <si>
    <t>MEDELLIN - QUIBDÓ- MEDELLIN</t>
  </si>
  <si>
    <t>INCIDENTE 63236 -3156570</t>
  </si>
  <si>
    <t>INCIDENTE 76854-3183532</t>
  </si>
  <si>
    <t>Etiquetas de fila</t>
  </si>
  <si>
    <t>Total general</t>
  </si>
  <si>
    <t>Suma de VALOR TOTAL INSTALACION DE PUBLICIDAD</t>
  </si>
  <si>
    <t>ADEC</t>
  </si>
  <si>
    <t>INC</t>
  </si>
  <si>
    <t>Suma de VALOR DIAS ACOMPAÑAMIENTO FACTURABLE</t>
  </si>
  <si>
    <t>OC</t>
  </si>
  <si>
    <t>Suma de VALOR TOTAL</t>
  </si>
  <si>
    <t>CC</t>
  </si>
  <si>
    <t>VALOR</t>
  </si>
  <si>
    <t>Suma de VALOR</t>
  </si>
  <si>
    <t>EJE</t>
  </si>
  <si>
    <t>SUR</t>
  </si>
  <si>
    <t>NOR</t>
  </si>
  <si>
    <t>REM</t>
  </si>
  <si>
    <t>COS</t>
  </si>
  <si>
    <t>CEN</t>
  </si>
  <si>
    <t>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</si>
</sst>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 #,##0.00_-;\-&quot;$&quot;\ * #,##0.00_-;_-&quot;$&quot;\ * &quot;-&quot;??_-;_-@_-"/>
    <numFmt numFmtId="43" formatCode="_-* #,##0.00_-;\-* #,##0.00_-;_-* &quot;-&quot;??_-;_-@_-"/>
    <numFmt numFmtId="164" formatCode="_(&quot;$&quot;\ * #,##0_);_(&quot;$&quot;\ * \(#,##0\);_(&quot;$&quot;\ * &quot;-&quot;??_);_(@_)"/>
    <numFmt numFmtId="165" formatCode="_(&quot;$&quot;\ * #,##0.00_);_(&quot;$&quot;\ * \(#,##0.00\);_(&quot;$&quot;\ * &quot;-&quot;??_);_(@_)"/>
    <numFmt numFmtId="166" formatCode="dd/mm/yyyy"/>
    <numFmt numFmtId="167" formatCode="_ &quot;$&quot;\ * #,##0_ ;_ &quot;$&quot;\ * \-#,##0_ ;_ &quot;$&quot;\ * &quot;-&quot;??_ ;_ @_ "/>
    <numFmt numFmtId="168" formatCode="[$-409]d\-m\-yy\ h:mm\ AM/PM;@"/>
    <numFmt numFmtId="169" formatCode="[$-240A]dddd\,\ dd&quot; de &quot;mmmm&quot; de &quot;yyyy"/>
    <numFmt numFmtId="170" formatCode="_ * #,##0.00_ ;_ * \-#,##0.00_ ;_ * &quot;-&quot;??_ ;_ @_ "/>
    <numFmt numFmtId="171" formatCode="_-&quot;$&quot;* #,##0.00_-;\-&quot;$&quot;* #,##0.00_-;_-&quot;$&quot;* &quot;-&quot;??_-;_-@_-"/>
    <numFmt numFmtId="172" formatCode="_ [$€-2]\ * #,##0.00_ ;_ [$€-2]\ * \-#,##0.00_ ;_ [$€-2]\ * &quot;-&quot;??_ "/>
    <numFmt numFmtId="173" formatCode="[$-C0A]d\-mmm\-yy;@"/>
    <numFmt numFmtId="174" formatCode="[$-240A]General"/>
    <numFmt numFmtId="175" formatCode="_-* #,##0.00\ _€_-;\-* #,##0.00\ _€_-;_-* &quot;-&quot;??\ _€_-;_-@_-"/>
    <numFmt numFmtId="176" formatCode="0.000%"/>
    <numFmt numFmtId="177" formatCode="_ * #,##0.00_ ;_ * \-#,##0.00_ ;_ * \-??_ ;_ @_ "/>
    <numFmt numFmtId="178" formatCode="_ &quot;$&quot;\ * #,##0.00_ ;_ &quot;$&quot;\ * \-#,##0.00_ ;_ &quot;$&quot;\ * &quot;-&quot;??_ ;_ @_ "/>
    <numFmt numFmtId="179" formatCode="&quot;$&quot;\ #,##0"/>
    <numFmt numFmtId="180" formatCode="_-[$$-240A]\ * #,##0.00_-;\-[$$-240A]\ * #,##0.00_-;_-[$$-240A]\ * &quot;-&quot;??_-;_-@_-"/>
  </numFmts>
  <fonts count="80">
    <font>
      <sz val="10"/>
      <name val="Arial"/>
    </font>
    <font>
      <sz val="11"/>
      <color theme="1"/>
      <name val="Calibri"/>
      <family val="2"/>
      <scheme val="minor"/>
    </font>
    <font>
      <sz val="10"/>
      <name val="Arial"/>
      <family val="2"/>
    </font>
    <font>
      <sz val="11"/>
      <color indexed="8"/>
      <name val="Calibri"/>
      <family val="2"/>
    </font>
    <font>
      <sz val="10"/>
      <color rgb="FF000000"/>
      <name val="Arial"/>
      <family val="2"/>
    </font>
    <font>
      <sz val="10"/>
      <name val="Arial"/>
      <family val="2"/>
    </font>
    <font>
      <sz val="10"/>
      <color theme="1"/>
      <name val="Apex"/>
      <family val="2"/>
    </font>
    <font>
      <u/>
      <sz val="11"/>
      <color theme="10"/>
      <name val="Calibri"/>
      <family val="2"/>
      <scheme val="minor"/>
    </font>
    <font>
      <sz val="12"/>
      <color theme="1"/>
      <name val="Trebuchet MS"/>
      <family val="2"/>
    </font>
    <font>
      <sz val="10"/>
      <name val="Century Gothic"/>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000000"/>
      <name val="Arial"/>
      <family val="2"/>
    </font>
    <font>
      <sz val="11"/>
      <color indexed="9"/>
      <name val="Calibri"/>
      <family val="2"/>
    </font>
    <font>
      <sz val="11"/>
      <color rgb="FFFFFFFF"/>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rgb="FF000000"/>
      <name val="Calibri"/>
      <family val="2"/>
    </font>
    <font>
      <u/>
      <sz val="10"/>
      <color indexed="12"/>
      <name val="Arial"/>
      <family val="2"/>
    </font>
    <font>
      <u/>
      <sz val="11"/>
      <color theme="10"/>
      <name val="Calibri"/>
      <family val="2"/>
    </font>
    <font>
      <u/>
      <sz val="12.1"/>
      <color theme="10"/>
      <name val="Calibri"/>
      <family val="2"/>
    </font>
    <font>
      <sz val="11"/>
      <color indexed="20"/>
      <name val="Calibri"/>
      <family val="2"/>
    </font>
    <font>
      <sz val="11"/>
      <color indexed="60"/>
      <name val="Calibri"/>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b/>
      <sz val="11"/>
      <color indexed="63"/>
      <name val="Calibri"/>
      <family val="2"/>
    </font>
    <font>
      <sz val="11"/>
      <color rgb="FF000000"/>
      <name val="Calibri"/>
      <family val="2"/>
      <charset val="1"/>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color theme="1"/>
      <name val="Calibri"/>
      <family val="2"/>
      <scheme val="minor"/>
    </font>
    <font>
      <b/>
      <sz val="8"/>
      <name val="Gelion Thin"/>
    </font>
    <font>
      <sz val="10"/>
      <name val="Gelion Thin"/>
    </font>
    <font>
      <sz val="8"/>
      <color theme="1"/>
      <name val="Gelion Thin"/>
    </font>
    <font>
      <b/>
      <sz val="10"/>
      <name val="Gelion Thin"/>
    </font>
    <font>
      <sz val="8"/>
      <color rgb="FF000000"/>
      <name val="Gelion Thin"/>
    </font>
    <font>
      <b/>
      <sz val="11"/>
      <color rgb="FFFFFFFF"/>
      <name val="Arial"/>
      <family val="2"/>
    </font>
    <font>
      <sz val="8"/>
      <name val="Gelion Thin"/>
    </font>
    <font>
      <sz val="8"/>
      <name val="Gelion Light"/>
    </font>
    <font>
      <sz val="9"/>
      <color rgb="FF000000"/>
      <name val="Courier New"/>
      <family val="3"/>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9B9B9A"/>
        <bgColor indexed="64"/>
      </patternFill>
    </fill>
    <fill>
      <patternFill patternType="solid">
        <fgColor rgb="FFBAF50A"/>
        <bgColor indexed="64"/>
      </patternFill>
    </fill>
    <fill>
      <patternFill patternType="solid">
        <fgColor theme="6" tint="0.79998168889431442"/>
        <bgColor indexed="64"/>
      </patternFill>
    </fill>
    <fill>
      <patternFill patternType="solid">
        <fgColor rgb="FF001D62"/>
        <bgColor rgb="FF001D62"/>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indexed="64"/>
      </left>
      <right/>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9250">
    <xf numFmtId="0" fontId="0" fillId="0" borderId="0"/>
    <xf numFmtId="167" fontId="5" fillId="0" borderId="0"/>
    <xf numFmtId="0" fontId="5" fillId="0" borderId="0"/>
    <xf numFmtId="0" fontId="5" fillId="0" borderId="0"/>
    <xf numFmtId="0" fontId="1" fillId="0" borderId="0"/>
    <xf numFmtId="165" fontId="5" fillId="0" borderId="0"/>
    <xf numFmtId="0" fontId="5" fillId="0" borderId="0"/>
    <xf numFmtId="168" fontId="1" fillId="0" borderId="0"/>
    <xf numFmtId="0" fontId="3" fillId="0" borderId="0"/>
    <xf numFmtId="169" fontId="5" fillId="0" borderId="0"/>
    <xf numFmtId="168" fontId="1" fillId="0" borderId="0"/>
    <xf numFmtId="0" fontId="4" fillId="0" borderId="0"/>
    <xf numFmtId="0" fontId="4" fillId="0" borderId="0"/>
    <xf numFmtId="0" fontId="1" fillId="0" borderId="0"/>
    <xf numFmtId="0" fontId="1" fillId="0" borderId="0"/>
    <xf numFmtId="0" fontId="1" fillId="0" borderId="0"/>
    <xf numFmtId="43" fontId="1" fillId="0" borderId="0"/>
    <xf numFmtId="0" fontId="5" fillId="0" borderId="0"/>
    <xf numFmtId="170" fontId="5" fillId="0" borderId="0"/>
    <xf numFmtId="0" fontId="5" fillId="0" borderId="0"/>
    <xf numFmtId="168" fontId="5" fillId="0" borderId="0"/>
    <xf numFmtId="0" fontId="1" fillId="0" borderId="0"/>
    <xf numFmtId="168" fontId="5" fillId="0" borderId="0"/>
    <xf numFmtId="0" fontId="5" fillId="0" borderId="0"/>
    <xf numFmtId="0" fontId="1" fillId="0" borderId="0"/>
    <xf numFmtId="0" fontId="1" fillId="0" borderId="0"/>
    <xf numFmtId="0" fontId="1" fillId="0" borderId="0"/>
    <xf numFmtId="0" fontId="5" fillId="0" borderId="0"/>
    <xf numFmtId="43" fontId="5" fillId="0" borderId="0"/>
    <xf numFmtId="0" fontId="5" fillId="0" borderId="0"/>
    <xf numFmtId="165" fontId="5" fillId="0" borderId="0"/>
    <xf numFmtId="165" fontId="1" fillId="0" borderId="0"/>
    <xf numFmtId="0" fontId="6" fillId="0" borderId="0"/>
    <xf numFmtId="0" fontId="1" fillId="0" borderId="0"/>
    <xf numFmtId="168" fontId="1" fillId="0" borderId="0"/>
    <xf numFmtId="0" fontId="1" fillId="0" borderId="0"/>
    <xf numFmtId="0" fontId="1" fillId="0" borderId="0"/>
    <xf numFmtId="170" fontId="5" fillId="0" borderId="0"/>
    <xf numFmtId="0" fontId="1" fillId="0" borderId="0"/>
    <xf numFmtId="0" fontId="1" fillId="0" borderId="0"/>
    <xf numFmtId="0" fontId="1" fillId="0" borderId="0"/>
    <xf numFmtId="0" fontId="1" fillId="0" borderId="0"/>
    <xf numFmtId="0" fontId="7" fillId="0" borderId="0"/>
    <xf numFmtId="0" fontId="1" fillId="0" borderId="0"/>
    <xf numFmtId="43" fontId="1" fillId="0" borderId="0"/>
    <xf numFmtId="43" fontId="1" fillId="0" borderId="0"/>
    <xf numFmtId="165" fontId="1" fillId="0" borderId="0"/>
    <xf numFmtId="171" fontId="6" fillId="0" borderId="0"/>
    <xf numFmtId="165" fontId="1" fillId="0" borderId="0"/>
    <xf numFmtId="168"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168" fontId="5" fillId="0" borderId="0"/>
    <xf numFmtId="170" fontId="5" fillId="0" borderId="0"/>
    <xf numFmtId="0" fontId="1" fillId="0" borderId="0"/>
    <xf numFmtId="0" fontId="1" fillId="0" borderId="0"/>
    <xf numFmtId="0" fontId="6" fillId="0" borderId="0"/>
    <xf numFmtId="0" fontId="1" fillId="0" borderId="0"/>
    <xf numFmtId="0" fontId="5" fillId="0" borderId="0"/>
    <xf numFmtId="0" fontId="1" fillId="0" borderId="0"/>
    <xf numFmtId="0" fontId="1" fillId="0" borderId="0"/>
    <xf numFmtId="171" fontId="1" fillId="0" borderId="0"/>
    <xf numFmtId="165" fontId="5" fillId="0" borderId="0"/>
    <xf numFmtId="165" fontId="1" fillId="0" borderId="0"/>
    <xf numFmtId="0" fontId="1" fillId="0" borderId="0"/>
    <xf numFmtId="171" fontId="1" fillId="0" borderId="0"/>
    <xf numFmtId="0" fontId="1" fillId="0" borderId="0"/>
    <xf numFmtId="171" fontId="1" fillId="0" borderId="0"/>
    <xf numFmtId="0" fontId="1" fillId="0" borderId="0"/>
    <xf numFmtId="0" fontId="1" fillId="10" borderId="0"/>
    <xf numFmtId="0" fontId="1" fillId="10" borderId="0"/>
    <xf numFmtId="0" fontId="1" fillId="10" borderId="0"/>
    <xf numFmtId="0" fontId="1" fillId="10" borderId="0"/>
    <xf numFmtId="0" fontId="1" fillId="10" borderId="0"/>
    <xf numFmtId="0" fontId="1" fillId="14" borderId="0"/>
    <xf numFmtId="0" fontId="1" fillId="14" borderId="0"/>
    <xf numFmtId="0" fontId="1" fillId="14" borderId="0"/>
    <xf numFmtId="0" fontId="1" fillId="14" borderId="0"/>
    <xf numFmtId="0" fontId="1" fillId="14" borderId="0"/>
    <xf numFmtId="0" fontId="1" fillId="18" borderId="0"/>
    <xf numFmtId="0" fontId="1" fillId="18" borderId="0"/>
    <xf numFmtId="0" fontId="1" fillId="18" borderId="0"/>
    <xf numFmtId="0" fontId="1" fillId="18" borderId="0"/>
    <xf numFmtId="0" fontId="1" fillId="18" borderId="0"/>
    <xf numFmtId="0" fontId="1" fillId="22" borderId="0"/>
    <xf numFmtId="0" fontId="1" fillId="22" borderId="0"/>
    <xf numFmtId="0" fontId="1" fillId="22" borderId="0"/>
    <xf numFmtId="0" fontId="1" fillId="22" borderId="0"/>
    <xf numFmtId="0" fontId="1" fillId="22" borderId="0"/>
    <xf numFmtId="0" fontId="1" fillId="26" borderId="0"/>
    <xf numFmtId="0" fontId="1" fillId="26" borderId="0"/>
    <xf numFmtId="0" fontId="1" fillId="26" borderId="0"/>
    <xf numFmtId="0" fontId="1" fillId="26" borderId="0"/>
    <xf numFmtId="0" fontId="1" fillId="26" borderId="0"/>
    <xf numFmtId="0" fontId="1" fillId="30" borderId="0"/>
    <xf numFmtId="0" fontId="1" fillId="30" borderId="0"/>
    <xf numFmtId="0" fontId="1" fillId="30" borderId="0"/>
    <xf numFmtId="0" fontId="1" fillId="30" borderId="0"/>
    <xf numFmtId="0" fontId="1" fillId="30" borderId="0"/>
    <xf numFmtId="0" fontId="3" fillId="33" borderId="0"/>
    <xf numFmtId="0" fontId="1" fillId="10" borderId="0"/>
    <xf numFmtId="0" fontId="3" fillId="33" borderId="0"/>
    <xf numFmtId="0" fontId="3" fillId="33" borderId="0"/>
    <xf numFmtId="0" fontId="1" fillId="10" borderId="0"/>
    <xf numFmtId="0" fontId="1" fillId="10" borderId="0"/>
    <xf numFmtId="0" fontId="1" fillId="10" borderId="0"/>
    <xf numFmtId="0" fontId="1" fillId="10" borderId="0"/>
    <xf numFmtId="0" fontId="3" fillId="34" borderId="0"/>
    <xf numFmtId="0" fontId="1" fillId="14" borderId="0"/>
    <xf numFmtId="0" fontId="3" fillId="34" borderId="0"/>
    <xf numFmtId="0" fontId="3" fillId="34" borderId="0"/>
    <xf numFmtId="0" fontId="1" fillId="14" borderId="0"/>
    <xf numFmtId="0" fontId="1" fillId="14" borderId="0"/>
    <xf numFmtId="0" fontId="1" fillId="14" borderId="0"/>
    <xf numFmtId="0" fontId="1" fillId="14" borderId="0"/>
    <xf numFmtId="0" fontId="3" fillId="35" borderId="0"/>
    <xf numFmtId="0" fontId="1" fillId="18" borderId="0"/>
    <xf numFmtId="0" fontId="3" fillId="35" borderId="0"/>
    <xf numFmtId="0" fontId="3" fillId="35" borderId="0"/>
    <xf numFmtId="0" fontId="1" fillId="18" borderId="0"/>
    <xf numFmtId="0" fontId="1" fillId="18" borderId="0"/>
    <xf numFmtId="0" fontId="1" fillId="18" borderId="0"/>
    <xf numFmtId="0" fontId="1" fillId="18" borderId="0"/>
    <xf numFmtId="0" fontId="3" fillId="36" borderId="0"/>
    <xf numFmtId="0" fontId="1" fillId="22" borderId="0"/>
    <xf numFmtId="0" fontId="3" fillId="36" borderId="0"/>
    <xf numFmtId="0" fontId="3" fillId="36" borderId="0"/>
    <xf numFmtId="0" fontId="1" fillId="22" borderId="0"/>
    <xf numFmtId="0" fontId="1" fillId="22" borderId="0"/>
    <xf numFmtId="0" fontId="1" fillId="22" borderId="0"/>
    <xf numFmtId="0" fontId="1" fillId="22" borderId="0"/>
    <xf numFmtId="0" fontId="3" fillId="37" borderId="0"/>
    <xf numFmtId="0" fontId="1" fillId="26" borderId="0"/>
    <xf numFmtId="0" fontId="3" fillId="37" borderId="0"/>
    <xf numFmtId="0" fontId="3" fillId="37" borderId="0"/>
    <xf numFmtId="0" fontId="1" fillId="26" borderId="0"/>
    <xf numFmtId="0" fontId="1" fillId="26" borderId="0"/>
    <xf numFmtId="0" fontId="1" fillId="26" borderId="0"/>
    <xf numFmtId="0" fontId="1" fillId="26" borderId="0"/>
    <xf numFmtId="0" fontId="3" fillId="38" borderId="0"/>
    <xf numFmtId="0" fontId="1" fillId="30" borderId="0"/>
    <xf numFmtId="0" fontId="3" fillId="38" borderId="0"/>
    <xf numFmtId="0" fontId="3" fillId="38" borderId="0"/>
    <xf numFmtId="0" fontId="1" fillId="30" borderId="0"/>
    <xf numFmtId="0" fontId="1" fillId="30" borderId="0"/>
    <xf numFmtId="0" fontId="1" fillId="30" borderId="0"/>
    <xf numFmtId="0" fontId="1" fillId="30" borderId="0"/>
    <xf numFmtId="0" fontId="26" fillId="39" borderId="0"/>
    <xf numFmtId="0" fontId="26" fillId="40" borderId="0"/>
    <xf numFmtId="0" fontId="26" fillId="41" borderId="0"/>
    <xf numFmtId="0" fontId="26" fillId="42" borderId="0"/>
    <xf numFmtId="0" fontId="26" fillId="43" borderId="0"/>
    <xf numFmtId="0" fontId="26" fillId="44" borderId="0"/>
    <xf numFmtId="0" fontId="1" fillId="11" borderId="0"/>
    <xf numFmtId="0" fontId="1" fillId="11" borderId="0"/>
    <xf numFmtId="0" fontId="1" fillId="11" borderId="0"/>
    <xf numFmtId="0" fontId="1" fillId="11" borderId="0"/>
    <xf numFmtId="0" fontId="1" fillId="11" borderId="0"/>
    <xf numFmtId="0" fontId="1" fillId="15" borderId="0"/>
    <xf numFmtId="0" fontId="1" fillId="15" borderId="0"/>
    <xf numFmtId="0" fontId="1" fillId="15" borderId="0"/>
    <xf numFmtId="0" fontId="1" fillId="15" borderId="0"/>
    <xf numFmtId="0" fontId="1" fillId="15" borderId="0"/>
    <xf numFmtId="0" fontId="1" fillId="19" borderId="0"/>
    <xf numFmtId="0" fontId="1" fillId="19" borderId="0"/>
    <xf numFmtId="0" fontId="1" fillId="19" borderId="0"/>
    <xf numFmtId="0" fontId="1" fillId="19" borderId="0"/>
    <xf numFmtId="0" fontId="1" fillId="19" borderId="0"/>
    <xf numFmtId="0" fontId="1" fillId="23" borderId="0"/>
    <xf numFmtId="0" fontId="1" fillId="23" borderId="0"/>
    <xf numFmtId="0" fontId="1" fillId="23" borderId="0"/>
    <xf numFmtId="0" fontId="1" fillId="23" borderId="0"/>
    <xf numFmtId="0" fontId="1" fillId="23" borderId="0"/>
    <xf numFmtId="0" fontId="1" fillId="27" borderId="0"/>
    <xf numFmtId="0" fontId="1" fillId="27" borderId="0"/>
    <xf numFmtId="0" fontId="1" fillId="27" borderId="0"/>
    <xf numFmtId="0" fontId="1" fillId="27" borderId="0"/>
    <xf numFmtId="0" fontId="1" fillId="27" borderId="0"/>
    <xf numFmtId="0" fontId="1" fillId="31" borderId="0"/>
    <xf numFmtId="0" fontId="1" fillId="31" borderId="0"/>
    <xf numFmtId="0" fontId="1" fillId="31" borderId="0"/>
    <xf numFmtId="0" fontId="1" fillId="31" borderId="0"/>
    <xf numFmtId="0" fontId="1" fillId="31" borderId="0"/>
    <xf numFmtId="0" fontId="3" fillId="45" borderId="0"/>
    <xf numFmtId="0" fontId="1" fillId="11" borderId="0"/>
    <xf numFmtId="0" fontId="3" fillId="45" borderId="0"/>
    <xf numFmtId="0" fontId="3" fillId="45" borderId="0"/>
    <xf numFmtId="0" fontId="1" fillId="11" borderId="0"/>
    <xf numFmtId="0" fontId="1" fillId="11" borderId="0"/>
    <xf numFmtId="0" fontId="1" fillId="11" borderId="0"/>
    <xf numFmtId="0" fontId="1" fillId="11" borderId="0"/>
    <xf numFmtId="0" fontId="3" fillId="46" borderId="0"/>
    <xf numFmtId="0" fontId="1" fillId="15" borderId="0"/>
    <xf numFmtId="0" fontId="3" fillId="46" borderId="0"/>
    <xf numFmtId="0" fontId="3" fillId="46" borderId="0"/>
    <xf numFmtId="0" fontId="1" fillId="15" borderId="0"/>
    <xf numFmtId="0" fontId="1" fillId="15" borderId="0"/>
    <xf numFmtId="0" fontId="1" fillId="15" borderId="0"/>
    <xf numFmtId="0" fontId="1" fillId="15" borderId="0"/>
    <xf numFmtId="0" fontId="3" fillId="47" borderId="0"/>
    <xf numFmtId="0" fontId="1" fillId="19" borderId="0"/>
    <xf numFmtId="0" fontId="3" fillId="47" borderId="0"/>
    <xf numFmtId="0" fontId="3" fillId="47" borderId="0"/>
    <xf numFmtId="0" fontId="1" fillId="19" borderId="0"/>
    <xf numFmtId="0" fontId="1" fillId="19" borderId="0"/>
    <xf numFmtId="0" fontId="1" fillId="19" borderId="0"/>
    <xf numFmtId="0" fontId="1" fillId="19" borderId="0"/>
    <xf numFmtId="0" fontId="3" fillId="36" borderId="0"/>
    <xf numFmtId="0" fontId="1" fillId="23" borderId="0"/>
    <xf numFmtId="0" fontId="3" fillId="36" borderId="0"/>
    <xf numFmtId="0" fontId="3" fillId="36" borderId="0"/>
    <xf numFmtId="0" fontId="1" fillId="23" borderId="0"/>
    <xf numFmtId="0" fontId="1" fillId="23" borderId="0"/>
    <xf numFmtId="0" fontId="1" fillId="23" borderId="0"/>
    <xf numFmtId="0" fontId="1" fillId="23" borderId="0"/>
    <xf numFmtId="0" fontId="3" fillId="45" borderId="0"/>
    <xf numFmtId="0" fontId="1" fillId="27" borderId="0"/>
    <xf numFmtId="0" fontId="3" fillId="45" borderId="0"/>
    <xf numFmtId="0" fontId="3" fillId="45" borderId="0"/>
    <xf numFmtId="0" fontId="1" fillId="27" borderId="0"/>
    <xf numFmtId="0" fontId="1" fillId="27" borderId="0"/>
    <xf numFmtId="0" fontId="1" fillId="27" borderId="0"/>
    <xf numFmtId="0" fontId="1" fillId="27" borderId="0"/>
    <xf numFmtId="0" fontId="3" fillId="48" borderId="0"/>
    <xf numFmtId="0" fontId="1" fillId="31" borderId="0"/>
    <xf numFmtId="0" fontId="3" fillId="48" borderId="0"/>
    <xf numFmtId="0" fontId="3" fillId="48" borderId="0"/>
    <xf numFmtId="0" fontId="1" fillId="31" borderId="0"/>
    <xf numFmtId="0" fontId="1" fillId="31" borderId="0"/>
    <xf numFmtId="0" fontId="1" fillId="31" borderId="0"/>
    <xf numFmtId="0" fontId="1" fillId="31" borderId="0"/>
    <xf numFmtId="0" fontId="26" fillId="49" borderId="0"/>
    <xf numFmtId="0" fontId="26" fillId="50" borderId="0"/>
    <xf numFmtId="0" fontId="26" fillId="51" borderId="0"/>
    <xf numFmtId="0" fontId="26" fillId="52" borderId="0"/>
    <xf numFmtId="0" fontId="26" fillId="53" borderId="0"/>
    <xf numFmtId="0" fontId="26" fillId="54" borderId="0"/>
    <xf numFmtId="0" fontId="23" fillId="12" borderId="0"/>
    <xf numFmtId="0" fontId="23" fillId="12" borderId="0"/>
    <xf numFmtId="0" fontId="23" fillId="12" borderId="0"/>
    <xf numFmtId="0" fontId="23" fillId="12" borderId="0"/>
    <xf numFmtId="0" fontId="23" fillId="12" borderId="0"/>
    <xf numFmtId="0" fontId="23" fillId="16" borderId="0"/>
    <xf numFmtId="0" fontId="23" fillId="16" borderId="0"/>
    <xf numFmtId="0" fontId="23" fillId="16" borderId="0"/>
    <xf numFmtId="0" fontId="23" fillId="16" borderId="0"/>
    <xf numFmtId="0" fontId="23" fillId="16" borderId="0"/>
    <xf numFmtId="0" fontId="23" fillId="20" borderId="0"/>
    <xf numFmtId="0" fontId="23" fillId="20" borderId="0"/>
    <xf numFmtId="0" fontId="23" fillId="20" borderId="0"/>
    <xf numFmtId="0" fontId="23" fillId="20" borderId="0"/>
    <xf numFmtId="0" fontId="23" fillId="20" borderId="0"/>
    <xf numFmtId="0" fontId="23" fillId="24" borderId="0"/>
    <xf numFmtId="0" fontId="23" fillId="24" borderId="0"/>
    <xf numFmtId="0" fontId="23" fillId="24" borderId="0"/>
    <xf numFmtId="0" fontId="23" fillId="24" borderId="0"/>
    <xf numFmtId="0" fontId="23" fillId="24" borderId="0"/>
    <xf numFmtId="0" fontId="23" fillId="28" borderId="0"/>
    <xf numFmtId="0" fontId="23" fillId="28" borderId="0"/>
    <xf numFmtId="0" fontId="23" fillId="28" borderId="0"/>
    <xf numFmtId="0" fontId="23" fillId="28" borderId="0"/>
    <xf numFmtId="0" fontId="23" fillId="28" borderId="0"/>
    <xf numFmtId="0" fontId="23" fillId="32" borderId="0"/>
    <xf numFmtId="0" fontId="23" fillId="32" borderId="0"/>
    <xf numFmtId="0" fontId="23" fillId="32" borderId="0"/>
    <xf numFmtId="0" fontId="23" fillId="32" borderId="0"/>
    <xf numFmtId="0" fontId="23" fillId="32" borderId="0"/>
    <xf numFmtId="0" fontId="27" fillId="55" borderId="0"/>
    <xf numFmtId="0" fontId="23" fillId="12" borderId="0"/>
    <xf numFmtId="0" fontId="27" fillId="55" borderId="0"/>
    <xf numFmtId="0" fontId="27" fillId="55" borderId="0"/>
    <xf numFmtId="0" fontId="23" fillId="12" borderId="0"/>
    <xf numFmtId="0" fontId="23" fillId="12" borderId="0"/>
    <xf numFmtId="0" fontId="23" fillId="12" borderId="0"/>
    <xf numFmtId="0" fontId="23" fillId="12" borderId="0"/>
    <xf numFmtId="0" fontId="27" fillId="46" borderId="0"/>
    <xf numFmtId="0" fontId="23" fillId="16" borderId="0"/>
    <xf numFmtId="0" fontId="27" fillId="46" borderId="0"/>
    <xf numFmtId="0" fontId="27" fillId="46" borderId="0"/>
    <xf numFmtId="0" fontId="23" fillId="16" borderId="0"/>
    <xf numFmtId="0" fontId="23" fillId="16" borderId="0"/>
    <xf numFmtId="0" fontId="23" fillId="16" borderId="0"/>
    <xf numFmtId="0" fontId="23" fillId="16" borderId="0"/>
    <xf numFmtId="0" fontId="27" fillId="47" borderId="0"/>
    <xf numFmtId="0" fontId="23" fillId="20" borderId="0"/>
    <xf numFmtId="0" fontId="27" fillId="47" borderId="0"/>
    <xf numFmtId="0" fontId="27" fillId="47" borderId="0"/>
    <xf numFmtId="0" fontId="23" fillId="20" borderId="0"/>
    <xf numFmtId="0" fontId="23" fillId="20" borderId="0"/>
    <xf numFmtId="0" fontId="23" fillId="20" borderId="0"/>
    <xf numFmtId="0" fontId="23" fillId="20" borderId="0"/>
    <xf numFmtId="0" fontId="27" fillId="56" borderId="0"/>
    <xf numFmtId="0" fontId="23" fillId="24" borderId="0"/>
    <xf numFmtId="0" fontId="27" fillId="56" borderId="0"/>
    <xf numFmtId="0" fontId="27" fillId="56" borderId="0"/>
    <xf numFmtId="0" fontId="23" fillId="24" borderId="0"/>
    <xf numFmtId="0" fontId="23" fillId="24" borderId="0"/>
    <xf numFmtId="0" fontId="23" fillId="24" borderId="0"/>
    <xf numFmtId="0" fontId="23" fillId="24" borderId="0"/>
    <xf numFmtId="0" fontId="27" fillId="57" borderId="0"/>
    <xf numFmtId="0" fontId="23" fillId="28" borderId="0"/>
    <xf numFmtId="0" fontId="27" fillId="57" borderId="0"/>
    <xf numFmtId="0" fontId="27" fillId="57" borderId="0"/>
    <xf numFmtId="0" fontId="23" fillId="28" borderId="0"/>
    <xf numFmtId="0" fontId="23" fillId="28" borderId="0"/>
    <xf numFmtId="0" fontId="23" fillId="28" borderId="0"/>
    <xf numFmtId="0" fontId="23" fillId="28" borderId="0"/>
    <xf numFmtId="0" fontId="27" fillId="58" borderId="0"/>
    <xf numFmtId="0" fontId="23" fillId="32" borderId="0"/>
    <xf numFmtId="0" fontId="27" fillId="58" borderId="0"/>
    <xf numFmtId="0" fontId="27" fillId="58" borderId="0"/>
    <xf numFmtId="0" fontId="23" fillId="32" borderId="0"/>
    <xf numFmtId="0" fontId="23" fillId="32" borderId="0"/>
    <xf numFmtId="0" fontId="23" fillId="32" borderId="0"/>
    <xf numFmtId="0" fontId="23" fillId="32" borderId="0"/>
    <xf numFmtId="0" fontId="28" fillId="59" borderId="0"/>
    <xf numFmtId="0" fontId="28" fillId="60" borderId="0"/>
    <xf numFmtId="0" fontId="28" fillId="61" borderId="0"/>
    <xf numFmtId="0" fontId="28" fillId="62" borderId="0"/>
    <xf numFmtId="0" fontId="28" fillId="63" borderId="0"/>
    <xf numFmtId="0" fontId="28" fillId="64" borderId="0"/>
    <xf numFmtId="0" fontId="23" fillId="9" borderId="0"/>
    <xf numFmtId="0" fontId="23" fillId="9" borderId="0"/>
    <xf numFmtId="0" fontId="23" fillId="9" borderId="0"/>
    <xf numFmtId="0" fontId="23" fillId="9" borderId="0"/>
    <xf numFmtId="0" fontId="23" fillId="9" borderId="0"/>
    <xf numFmtId="0" fontId="23" fillId="13" borderId="0"/>
    <xf numFmtId="0" fontId="23" fillId="13" borderId="0"/>
    <xf numFmtId="0" fontId="23" fillId="13" borderId="0"/>
    <xf numFmtId="0" fontId="23" fillId="13" borderId="0"/>
    <xf numFmtId="0" fontId="23" fillId="13" borderId="0"/>
    <xf numFmtId="0" fontId="23" fillId="17" borderId="0"/>
    <xf numFmtId="0" fontId="23" fillId="17" borderId="0"/>
    <xf numFmtId="0" fontId="23" fillId="17" borderId="0"/>
    <xf numFmtId="0" fontId="23" fillId="17" borderId="0"/>
    <xf numFmtId="0" fontId="23" fillId="17" borderId="0"/>
    <xf numFmtId="0" fontId="23" fillId="21" borderId="0"/>
    <xf numFmtId="0" fontId="23" fillId="21" borderId="0"/>
    <xf numFmtId="0" fontId="23" fillId="21" borderId="0"/>
    <xf numFmtId="0" fontId="23" fillId="21" borderId="0"/>
    <xf numFmtId="0" fontId="23" fillId="21" borderId="0"/>
    <xf numFmtId="0" fontId="23" fillId="25" borderId="0"/>
    <xf numFmtId="0" fontId="23" fillId="25" borderId="0"/>
    <xf numFmtId="0" fontId="23" fillId="25" borderId="0"/>
    <xf numFmtId="0" fontId="23" fillId="25" borderId="0"/>
    <xf numFmtId="0" fontId="23" fillId="25" borderId="0"/>
    <xf numFmtId="0" fontId="23" fillId="29" borderId="0"/>
    <xf numFmtId="0" fontId="23" fillId="29" borderId="0"/>
    <xf numFmtId="0" fontId="23" fillId="29" borderId="0"/>
    <xf numFmtId="0" fontId="23" fillId="29" borderId="0"/>
    <xf numFmtId="0" fontId="23" fillId="29" borderId="0"/>
    <xf numFmtId="0" fontId="14" fillId="3" borderId="0"/>
    <xf numFmtId="0" fontId="14" fillId="3" borderId="0"/>
    <xf numFmtId="0" fontId="14" fillId="3" borderId="0"/>
    <xf numFmtId="0" fontId="14" fillId="3" borderId="0"/>
    <xf numFmtId="0" fontId="14" fillId="3" borderId="0"/>
    <xf numFmtId="0" fontId="29" fillId="35" borderId="0"/>
    <xf numFmtId="0" fontId="13" fillId="2" borderId="0"/>
    <xf numFmtId="0" fontId="29" fillId="35" borderId="0"/>
    <xf numFmtId="0" fontId="13" fillId="2" borderId="0"/>
    <xf numFmtId="0" fontId="29" fillId="35" borderId="0"/>
    <xf numFmtId="0" fontId="29" fillId="35" borderId="0"/>
    <xf numFmtId="0" fontId="29" fillId="35" borderId="0"/>
    <xf numFmtId="0" fontId="13" fillId="2" borderId="0"/>
    <xf numFmtId="0" fontId="13" fillId="2" borderId="0"/>
    <xf numFmtId="0" fontId="29" fillId="35" borderId="0"/>
    <xf numFmtId="0" fontId="29" fillId="35" borderId="0"/>
    <xf numFmtId="0" fontId="13" fillId="2" borderId="0"/>
    <xf numFmtId="0" fontId="13" fillId="2" borderId="0"/>
    <xf numFmtId="0" fontId="13" fillId="2" borderId="0"/>
    <xf numFmtId="0" fontId="13" fillId="2" borderId="0"/>
    <xf numFmtId="0" fontId="13" fillId="2" borderId="0"/>
    <xf numFmtId="0" fontId="17" fillId="6" borderId="9"/>
    <xf numFmtId="0" fontId="17" fillId="6" borderId="9"/>
    <xf numFmtId="0" fontId="17" fillId="6" borderId="9"/>
    <xf numFmtId="0" fontId="17" fillId="6" borderId="9"/>
    <xf numFmtId="0" fontId="17" fillId="6" borderId="9"/>
    <xf numFmtId="0" fontId="30" fillId="65" borderId="15"/>
    <xf numFmtId="0" fontId="17" fillId="6" borderId="9"/>
    <xf numFmtId="0" fontId="30" fillId="65" borderId="15"/>
    <xf numFmtId="0" fontId="30" fillId="65" borderId="15"/>
    <xf numFmtId="0" fontId="17" fillId="6" borderId="9"/>
    <xf numFmtId="0" fontId="17" fillId="6" borderId="9"/>
    <xf numFmtId="0" fontId="17" fillId="6" borderId="9"/>
    <xf numFmtId="0" fontId="17" fillId="6" borderId="9"/>
    <xf numFmtId="0" fontId="31" fillId="66" borderId="16"/>
    <xf numFmtId="0" fontId="19" fillId="7" borderId="12"/>
    <xf numFmtId="0" fontId="31" fillId="66" borderId="16"/>
    <xf numFmtId="0" fontId="19" fillId="7" borderId="12"/>
    <xf numFmtId="0" fontId="31" fillId="66" borderId="16"/>
    <xf numFmtId="0" fontId="31" fillId="66" borderId="16"/>
    <xf numFmtId="0" fontId="31" fillId="66" borderId="16"/>
    <xf numFmtId="0" fontId="19" fillId="7" borderId="12"/>
    <xf numFmtId="0" fontId="19" fillId="7" borderId="12"/>
    <xf numFmtId="0" fontId="31" fillId="66" borderId="16"/>
    <xf numFmtId="0" fontId="31" fillId="66" borderId="16"/>
    <xf numFmtId="0" fontId="19" fillId="7" borderId="12"/>
    <xf numFmtId="0" fontId="19" fillId="7" borderId="12"/>
    <xf numFmtId="0" fontId="19" fillId="7" borderId="12"/>
    <xf numFmtId="0" fontId="19" fillId="7" borderId="12"/>
    <xf numFmtId="0" fontId="19" fillId="7" borderId="12"/>
    <xf numFmtId="0" fontId="32" fillId="0" borderId="17"/>
    <xf numFmtId="0" fontId="18" fillId="0" borderId="11"/>
    <xf numFmtId="0" fontId="32" fillId="0" borderId="17"/>
    <xf numFmtId="0" fontId="18" fillId="0" borderId="11"/>
    <xf numFmtId="0" fontId="32" fillId="0" borderId="17"/>
    <xf numFmtId="0" fontId="32" fillId="0" borderId="17"/>
    <xf numFmtId="0" fontId="32" fillId="0" borderId="17"/>
    <xf numFmtId="0" fontId="18" fillId="0" borderId="11"/>
    <xf numFmtId="0" fontId="18" fillId="0" borderId="11"/>
    <xf numFmtId="0" fontId="32" fillId="0" borderId="17"/>
    <xf numFmtId="0" fontId="32" fillId="0" borderId="17"/>
    <xf numFmtId="0" fontId="18" fillId="0" borderId="11"/>
    <xf numFmtId="0" fontId="18" fillId="0" borderId="11"/>
    <xf numFmtId="0" fontId="18" fillId="0" borderId="11"/>
    <xf numFmtId="0" fontId="18" fillId="0" borderId="11"/>
    <xf numFmtId="0" fontId="18" fillId="0" borderId="11"/>
    <xf numFmtId="0" fontId="19" fillId="7" borderId="12"/>
    <xf numFmtId="0" fontId="19" fillId="7" borderId="12"/>
    <xf numFmtId="0" fontId="19" fillId="7" borderId="12"/>
    <xf numFmtId="0" fontId="19" fillId="7" borderId="12"/>
    <xf numFmtId="0" fontId="19" fillId="7" borderId="12"/>
    <xf numFmtId="43" fontId="5" fillId="0" borderId="0"/>
    <xf numFmtId="0" fontId="33" fillId="0" borderId="0"/>
    <xf numFmtId="0" fontId="12" fillId="0" borderId="0"/>
    <xf numFmtId="0" fontId="33" fillId="0" borderId="0"/>
    <xf numFmtId="0" fontId="12" fillId="0" borderId="0"/>
    <xf numFmtId="0" fontId="33" fillId="0" borderId="0"/>
    <xf numFmtId="0" fontId="33" fillId="0" borderId="0"/>
    <xf numFmtId="0" fontId="33" fillId="0" borderId="0"/>
    <xf numFmtId="0" fontId="12" fillId="0" borderId="0"/>
    <xf numFmtId="0" fontId="12" fillId="0" borderId="0"/>
    <xf numFmtId="0" fontId="33" fillId="0" borderId="0"/>
    <xf numFmtId="0" fontId="33" fillId="0" borderId="0"/>
    <xf numFmtId="0" fontId="12" fillId="0" borderId="0"/>
    <xf numFmtId="0" fontId="12" fillId="0" borderId="0"/>
    <xf numFmtId="0" fontId="12" fillId="0" borderId="0"/>
    <xf numFmtId="0" fontId="12" fillId="0" borderId="0"/>
    <xf numFmtId="0" fontId="12" fillId="0" borderId="0"/>
    <xf numFmtId="0" fontId="27" fillId="67" borderId="0"/>
    <xf numFmtId="0" fontId="23" fillId="9" borderId="0"/>
    <xf numFmtId="0" fontId="27" fillId="67" borderId="0"/>
    <xf numFmtId="0" fontId="27" fillId="67" borderId="0"/>
    <xf numFmtId="0" fontId="23" fillId="9" borderId="0"/>
    <xf numFmtId="0" fontId="23" fillId="9" borderId="0"/>
    <xf numFmtId="0" fontId="23" fillId="9" borderId="0"/>
    <xf numFmtId="0" fontId="23" fillId="9" borderId="0"/>
    <xf numFmtId="0" fontId="27" fillId="68" borderId="0"/>
    <xf numFmtId="0" fontId="23" fillId="13" borderId="0"/>
    <xf numFmtId="0" fontId="27" fillId="68" borderId="0"/>
    <xf numFmtId="0" fontId="27" fillId="68" borderId="0"/>
    <xf numFmtId="0" fontId="23" fillId="13" borderId="0"/>
    <xf numFmtId="0" fontId="23" fillId="13" borderId="0"/>
    <xf numFmtId="0" fontId="23" fillId="13" borderId="0"/>
    <xf numFmtId="0" fontId="23" fillId="13" borderId="0"/>
    <xf numFmtId="0" fontId="27" fillId="69" borderId="0"/>
    <xf numFmtId="0" fontId="23" fillId="17" borderId="0"/>
    <xf numFmtId="0" fontId="27" fillId="69" borderId="0"/>
    <xf numFmtId="0" fontId="27" fillId="69" borderId="0"/>
    <xf numFmtId="0" fontId="23" fillId="17" borderId="0"/>
    <xf numFmtId="0" fontId="23" fillId="17" borderId="0"/>
    <xf numFmtId="0" fontId="23" fillId="17" borderId="0"/>
    <xf numFmtId="0" fontId="23" fillId="17" borderId="0"/>
    <xf numFmtId="0" fontId="27" fillId="56" borderId="0"/>
    <xf numFmtId="0" fontId="23" fillId="21" borderId="0"/>
    <xf numFmtId="0" fontId="27" fillId="56" borderId="0"/>
    <xf numFmtId="0" fontId="27" fillId="56" borderId="0"/>
    <xf numFmtId="0" fontId="23" fillId="21" borderId="0"/>
    <xf numFmtId="0" fontId="23" fillId="21" borderId="0"/>
    <xf numFmtId="0" fontId="23" fillId="21" borderId="0"/>
    <xf numFmtId="0" fontId="23" fillId="21" borderId="0"/>
    <xf numFmtId="0" fontId="27" fillId="57" borderId="0"/>
    <xf numFmtId="0" fontId="23" fillId="25" borderId="0"/>
    <xf numFmtId="0" fontId="27" fillId="57" borderId="0"/>
    <xf numFmtId="0" fontId="27" fillId="57" borderId="0"/>
    <xf numFmtId="0" fontId="23" fillId="25" borderId="0"/>
    <xf numFmtId="0" fontId="23" fillId="25" borderId="0"/>
    <xf numFmtId="0" fontId="23" fillId="25" borderId="0"/>
    <xf numFmtId="0" fontId="23" fillId="25" borderId="0"/>
    <xf numFmtId="0" fontId="27" fillId="70" borderId="0"/>
    <xf numFmtId="0" fontId="23" fillId="29" borderId="0"/>
    <xf numFmtId="0" fontId="27" fillId="70" borderId="0"/>
    <xf numFmtId="0" fontId="27" fillId="70" borderId="0"/>
    <xf numFmtId="0" fontId="23" fillId="29" borderId="0"/>
    <xf numFmtId="0" fontId="23" fillId="29" borderId="0"/>
    <xf numFmtId="0" fontId="23" fillId="29" borderId="0"/>
    <xf numFmtId="0" fontId="23" fillId="29" borderId="0"/>
    <xf numFmtId="0" fontId="34" fillId="38" borderId="15"/>
    <xf numFmtId="0" fontId="15" fillId="5" borderId="9"/>
    <xf numFmtId="0" fontId="34" fillId="38" borderId="15"/>
    <xf numFmtId="0" fontId="15" fillId="5" borderId="9"/>
    <xf numFmtId="0" fontId="34" fillId="38" borderId="15"/>
    <xf numFmtId="0" fontId="34" fillId="38" borderId="15"/>
    <xf numFmtId="0" fontId="34" fillId="38" borderId="15"/>
    <xf numFmtId="0" fontId="15" fillId="5" borderId="9"/>
    <xf numFmtId="0" fontId="15" fillId="5" borderId="9"/>
    <xf numFmtId="0" fontId="34" fillId="38" borderId="15"/>
    <xf numFmtId="0" fontId="34" fillId="38" borderId="15"/>
    <xf numFmtId="0" fontId="15" fillId="5" borderId="9"/>
    <xf numFmtId="0" fontId="15" fillId="5" borderId="9"/>
    <xf numFmtId="0" fontId="15" fillId="5" borderId="9"/>
    <xf numFmtId="0" fontId="15" fillId="5" borderId="9"/>
    <xf numFmtId="0" fontId="15" fillId="5" borderId="9"/>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2"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173" fontId="3" fillId="0" borderId="0"/>
    <xf numFmtId="174" fontId="35" fillId="0" borderId="0"/>
    <xf numFmtId="0" fontId="21" fillId="0" borderId="0"/>
    <xf numFmtId="0" fontId="21" fillId="0" borderId="0"/>
    <xf numFmtId="0" fontId="21" fillId="0" borderId="0"/>
    <xf numFmtId="0" fontId="21" fillId="0" borderId="0"/>
    <xf numFmtId="0" fontId="21" fillId="0" borderId="0"/>
    <xf numFmtId="0" fontId="13" fillId="2" borderId="0"/>
    <xf numFmtId="0" fontId="13" fillId="2" borderId="0"/>
    <xf numFmtId="0" fontId="13" fillId="2" borderId="0"/>
    <xf numFmtId="0" fontId="13" fillId="2" borderId="0"/>
    <xf numFmtId="0" fontId="13" fillId="2" borderId="0"/>
    <xf numFmtId="0" fontId="10" fillId="0" borderId="6"/>
    <xf numFmtId="0" fontId="10" fillId="0" borderId="6"/>
    <xf numFmtId="0" fontId="10" fillId="0" borderId="6"/>
    <xf numFmtId="0" fontId="10" fillId="0" borderId="6"/>
    <xf numFmtId="0" fontId="10" fillId="0" borderId="6"/>
    <xf numFmtId="0" fontId="11" fillId="0" borderId="7"/>
    <xf numFmtId="0" fontId="11" fillId="0" borderId="7"/>
    <xf numFmtId="0" fontId="11" fillId="0" borderId="7"/>
    <xf numFmtId="0" fontId="11" fillId="0" borderId="7"/>
    <xf numFmtId="0" fontId="11" fillId="0" borderId="7"/>
    <xf numFmtId="0" fontId="12" fillId="0" borderId="8"/>
    <xf numFmtId="0" fontId="12" fillId="0" borderId="8"/>
    <xf numFmtId="0" fontId="12" fillId="0" borderId="8"/>
    <xf numFmtId="0" fontId="12" fillId="0" borderId="8"/>
    <xf numFmtId="0" fontId="12" fillId="0" borderId="8"/>
    <xf numFmtId="0" fontId="12" fillId="0" borderId="0"/>
    <xf numFmtId="0" fontId="12" fillId="0" borderId="0"/>
    <xf numFmtId="0" fontId="12" fillId="0" borderId="0"/>
    <xf numFmtId="0" fontId="12" fillId="0" borderId="0"/>
    <xf numFmtId="0" fontId="12" fillId="0" borderId="0"/>
    <xf numFmtId="0" fontId="36" fillId="0" borderId="0">
      <alignment vertical="top"/>
      <protection locked="0"/>
    </xf>
    <xf numFmtId="0" fontId="36" fillId="0" borderId="0"/>
    <xf numFmtId="0" fontId="37" fillId="0" borderId="0">
      <alignment vertical="top"/>
      <protection locked="0"/>
    </xf>
    <xf numFmtId="0" fontId="7" fillId="0" borderId="0"/>
    <xf numFmtId="0" fontId="37" fillId="0" borderId="0">
      <alignment vertical="top"/>
      <protection locked="0"/>
    </xf>
    <xf numFmtId="0" fontId="38" fillId="0" borderId="0">
      <alignment vertical="top"/>
      <protection locked="0"/>
    </xf>
    <xf numFmtId="173" fontId="7" fillId="0" borderId="0"/>
    <xf numFmtId="0" fontId="39" fillId="34" borderId="0"/>
    <xf numFmtId="0" fontId="14" fillId="3" borderId="0"/>
    <xf numFmtId="0" fontId="39" fillId="34" borderId="0"/>
    <xf numFmtId="0" fontId="39" fillId="34" borderId="0"/>
    <xf numFmtId="0" fontId="14" fillId="3" borderId="0"/>
    <xf numFmtId="0" fontId="14" fillId="3" borderId="0"/>
    <xf numFmtId="0" fontId="14" fillId="3" borderId="0"/>
    <xf numFmtId="0" fontId="14" fillId="3" borderId="0"/>
    <xf numFmtId="0" fontId="15" fillId="5" borderId="9"/>
    <xf numFmtId="0" fontId="15" fillId="5" borderId="9"/>
    <xf numFmtId="0" fontId="15" fillId="5" borderId="9"/>
    <xf numFmtId="0" fontId="15" fillId="5" borderId="9"/>
    <xf numFmtId="0" fontId="15" fillId="5" borderId="9"/>
    <xf numFmtId="0" fontId="18" fillId="0" borderId="11"/>
    <xf numFmtId="0" fontId="18" fillId="0" borderId="11"/>
    <xf numFmtId="0" fontId="18" fillId="0" borderId="11"/>
    <xf numFmtId="0" fontId="18" fillId="0" borderId="11"/>
    <xf numFmtId="0" fontId="18" fillId="0" borderId="11"/>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43" fontId="1" fillId="0" borderId="0"/>
    <xf numFmtId="170" fontId="5" fillId="0" borderId="0"/>
    <xf numFmtId="170" fontId="5" fillId="0" borderId="0"/>
    <xf numFmtId="43" fontId="8" fillId="0" borderId="0"/>
    <xf numFmtId="170" fontId="5" fillId="0" borderId="0"/>
    <xf numFmtId="170" fontId="5" fillId="0" borderId="0"/>
    <xf numFmtId="170" fontId="5" fillId="0" borderId="0"/>
    <xf numFmtId="176" fontId="5" fillId="0" borderId="0"/>
    <xf numFmtId="170" fontId="5" fillId="0" borderId="0"/>
    <xf numFmtId="43" fontId="1" fillId="0" borderId="0"/>
    <xf numFmtId="170" fontId="5" fillId="0" borderId="0"/>
    <xf numFmtId="170" fontId="5" fillId="0" borderId="0"/>
    <xf numFmtId="43"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8"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7"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7"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43" fontId="8" fillId="0" borderId="0"/>
    <xf numFmtId="170" fontId="5" fillId="0" borderId="0"/>
    <xf numFmtId="170" fontId="5" fillId="0" borderId="0"/>
    <xf numFmtId="175" fontId="1" fillId="0" borderId="0"/>
    <xf numFmtId="170" fontId="5" fillId="0" borderId="0"/>
    <xf numFmtId="170" fontId="5" fillId="0" borderId="0"/>
    <xf numFmtId="43" fontId="8" fillId="0" borderId="0"/>
    <xf numFmtId="170" fontId="5" fillId="0" borderId="0"/>
    <xf numFmtId="170" fontId="5" fillId="0" borderId="0"/>
    <xf numFmtId="43" fontId="8" fillId="0" borderId="0"/>
    <xf numFmtId="170" fontId="5" fillId="0" borderId="0"/>
    <xf numFmtId="170" fontId="5" fillId="0" borderId="0"/>
    <xf numFmtId="43" fontId="8" fillId="0" borderId="0"/>
    <xf numFmtId="170" fontId="5" fillId="0" borderId="0"/>
    <xf numFmtId="170" fontId="5" fillId="0" borderId="0"/>
    <xf numFmtId="170" fontId="5" fillId="0" borderId="0"/>
    <xf numFmtId="170" fontId="5" fillId="0" borderId="0"/>
    <xf numFmtId="43"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5" fontId="1" fillId="0" borderId="0"/>
    <xf numFmtId="175" fontId="1"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5" fontId="1" fillId="0" borderId="0"/>
    <xf numFmtId="175" fontId="1"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5" fontId="1" fillId="0" borderId="0"/>
    <xf numFmtId="170" fontId="5" fillId="0" borderId="0"/>
    <xf numFmtId="175" fontId="1" fillId="0" borderId="0"/>
    <xf numFmtId="170" fontId="5" fillId="0" borderId="0"/>
    <xf numFmtId="175" fontId="1" fillId="0" borderId="0"/>
    <xf numFmtId="175" fontId="1" fillId="0" borderId="0"/>
    <xf numFmtId="170" fontId="5" fillId="0" borderId="0"/>
    <xf numFmtId="175" fontId="1" fillId="0" borderId="0"/>
    <xf numFmtId="175" fontId="1" fillId="0" borderId="0"/>
    <xf numFmtId="175" fontId="1"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5"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8" fontId="5" fillId="0" borderId="0"/>
    <xf numFmtId="165" fontId="1" fillId="0" borderId="0"/>
    <xf numFmtId="165" fontId="1" fillId="0" borderId="0"/>
    <xf numFmtId="178" fontId="5" fillId="0" borderId="0"/>
    <xf numFmtId="165" fontId="1" fillId="0" borderId="0"/>
    <xf numFmtId="178" fontId="5" fillId="0" borderId="0"/>
    <xf numFmtId="165" fontId="1" fillId="0" borderId="0"/>
    <xf numFmtId="178" fontId="5" fillId="0" borderId="0"/>
    <xf numFmtId="165" fontId="1" fillId="0" borderId="0"/>
    <xf numFmtId="178" fontId="5" fillId="0" borderId="0"/>
    <xf numFmtId="178" fontId="5" fillId="0" borderId="0"/>
    <xf numFmtId="178" fontId="5" fillId="0" borderId="0"/>
    <xf numFmtId="178" fontId="5" fillId="0" borderId="0"/>
    <xf numFmtId="178" fontId="5" fillId="0" borderId="0"/>
    <xf numFmtId="165" fontId="5" fillId="0" borderId="0"/>
    <xf numFmtId="165"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8" fontId="5" fillId="0" borderId="0"/>
    <xf numFmtId="171" fontId="1" fillId="0" borderId="0"/>
    <xf numFmtId="178" fontId="5" fillId="0" borderId="0"/>
    <xf numFmtId="178" fontId="5" fillId="0" borderId="0"/>
    <xf numFmtId="178" fontId="5" fillId="0" borderId="0"/>
    <xf numFmtId="178" fontId="5" fillId="0" borderId="0"/>
    <xf numFmtId="178" fontId="5" fillId="0" borderId="0"/>
    <xf numFmtId="171" fontId="1" fillId="0" borderId="0"/>
    <xf numFmtId="171" fontId="1" fillId="0" borderId="0"/>
    <xf numFmtId="165" fontId="1" fillId="0" borderId="0"/>
    <xf numFmtId="0" fontId="40" fillId="71" borderId="0"/>
    <xf numFmtId="0" fontId="40" fillId="71" borderId="0"/>
    <xf numFmtId="0" fontId="40" fillId="71"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168" fontId="5" fillId="0" borderId="0"/>
    <xf numFmtId="0" fontId="1" fillId="0" borderId="0"/>
    <xf numFmtId="0" fontId="5" fillId="0" borderId="0">
      <alignment vertical="top"/>
    </xf>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173"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173" fontId="5" fillId="0" borderId="0"/>
    <xf numFmtId="0"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8"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8"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168"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168"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168"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5"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68" fontId="5" fillId="0" borderId="0"/>
    <xf numFmtId="168" fontId="5" fillId="0" borderId="0"/>
    <xf numFmtId="168" fontId="5"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0" fontId="1"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0" fontId="5" fillId="0" borderId="0">
      <alignment vertical="top"/>
    </xf>
    <xf numFmtId="168" fontId="5" fillId="0" borderId="0"/>
    <xf numFmtId="173" fontId="1" fillId="0" borderId="0"/>
    <xf numFmtId="168" fontId="5" fillId="0" borderId="0"/>
    <xf numFmtId="173" fontId="1" fillId="0" borderId="0"/>
    <xf numFmtId="168"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5" fillId="0" borderId="0"/>
    <xf numFmtId="173" fontId="5" fillId="0" borderId="0"/>
    <xf numFmtId="168" fontId="5" fillId="0" borderId="0"/>
    <xf numFmtId="173" fontId="1" fillId="0" borderId="0"/>
    <xf numFmtId="173" fontId="1" fillId="0" borderId="0"/>
    <xf numFmtId="173" fontId="1" fillId="0" borderId="0"/>
    <xf numFmtId="173" fontId="1" fillId="0" borderId="0"/>
    <xf numFmtId="173" fontId="1" fillId="0" borderId="0"/>
    <xf numFmtId="168"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1" fillId="0" borderId="0"/>
    <xf numFmtId="0" fontId="5" fillId="0" borderId="0"/>
    <xf numFmtId="173" fontId="5" fillId="0" borderId="0"/>
    <xf numFmtId="0"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5"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173" fontId="1" fillId="0" borderId="0"/>
    <xf numFmtId="173" fontId="1" fillId="0" borderId="0"/>
    <xf numFmtId="173" fontId="1" fillId="0" borderId="0"/>
    <xf numFmtId="173" fontId="1"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5"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5" fillId="0" borderId="0"/>
    <xf numFmtId="0" fontId="1" fillId="0" borderId="0"/>
    <xf numFmtId="173" fontId="1"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alignment vertical="top"/>
    </xf>
    <xf numFmtId="0" fontId="5" fillId="0" borderId="0">
      <alignment vertical="top"/>
    </xf>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8"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5"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0"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0" fontId="5" fillId="0" borderId="0"/>
    <xf numFmtId="173" fontId="5" fillId="0" borderId="0"/>
    <xf numFmtId="0" fontId="5" fillId="0" borderId="0"/>
    <xf numFmtId="0" fontId="5" fillId="0" borderId="0"/>
    <xf numFmtId="0" fontId="26" fillId="0" borderId="0"/>
    <xf numFmtId="173" fontId="8" fillId="0" borderId="0"/>
    <xf numFmtId="0" fontId="5" fillId="0" borderId="0"/>
    <xf numFmtId="0" fontId="5" fillId="0" borderId="0"/>
    <xf numFmtId="0" fontId="26" fillId="0" borderId="0"/>
    <xf numFmtId="173" fontId="8" fillId="0" borderId="0"/>
    <xf numFmtId="0" fontId="5" fillId="0" borderId="0"/>
    <xf numFmtId="0" fontId="5" fillId="0" borderId="0"/>
    <xf numFmtId="0" fontId="42" fillId="0" borderId="0"/>
    <xf numFmtId="0" fontId="26" fillId="0" borderId="0"/>
    <xf numFmtId="0" fontId="42" fillId="0" borderId="0"/>
    <xf numFmtId="0" fontId="42" fillId="0" borderId="0"/>
    <xf numFmtId="0" fontId="26" fillId="0" borderId="0"/>
    <xf numFmtId="173" fontId="8" fillId="0" borderId="0"/>
    <xf numFmtId="0" fontId="42" fillId="0" borderId="0"/>
    <xf numFmtId="0" fontId="26" fillId="0" borderId="0"/>
    <xf numFmtId="0" fontId="42" fillId="0" borderId="0"/>
    <xf numFmtId="0" fontId="5" fillId="0" borderId="0"/>
    <xf numFmtId="0" fontId="5" fillId="0" borderId="0"/>
    <xf numFmtId="0" fontId="26" fillId="0" borderId="0"/>
    <xf numFmtId="173" fontId="5" fillId="0" borderId="0"/>
    <xf numFmtId="0" fontId="5" fillId="0" borderId="0"/>
    <xf numFmtId="0" fontId="5" fillId="0" borderId="0"/>
    <xf numFmtId="0" fontId="26" fillId="0" borderId="0"/>
    <xf numFmtId="173" fontId="8" fillId="0" borderId="0"/>
    <xf numFmtId="0" fontId="5" fillId="0" borderId="0"/>
    <xf numFmtId="0" fontId="5" fillId="0" borderId="0"/>
    <xf numFmtId="0" fontId="42" fillId="0" borderId="0"/>
    <xf numFmtId="173"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6" fillId="0" borderId="0"/>
    <xf numFmtId="0" fontId="5" fillId="0" borderId="0"/>
    <xf numFmtId="0" fontId="26" fillId="0" borderId="0"/>
    <xf numFmtId="0" fontId="5" fillId="0" borderId="0"/>
    <xf numFmtId="0" fontId="26" fillId="0" borderId="0"/>
    <xf numFmtId="0" fontId="26" fillId="0" borderId="0"/>
    <xf numFmtId="0" fontId="5" fillId="0" borderId="0"/>
    <xf numFmtId="0" fontId="26" fillId="0" borderId="0"/>
    <xf numFmtId="0" fontId="5" fillId="0" borderId="0"/>
    <xf numFmtId="168" fontId="8" fillId="0" borderId="0"/>
    <xf numFmtId="0" fontId="5" fillId="0" borderId="0"/>
    <xf numFmtId="0" fontId="2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8" fillId="0" borderId="0"/>
    <xf numFmtId="0" fontId="8" fillId="0" borderId="0"/>
    <xf numFmtId="0" fontId="5" fillId="0" borderId="0"/>
    <xf numFmtId="168" fontId="8" fillId="0" borderId="0"/>
    <xf numFmtId="0" fontId="5" fillId="0" borderId="0"/>
    <xf numFmtId="0" fontId="26" fillId="0" borderId="0"/>
    <xf numFmtId="173" fontId="8" fillId="0" borderId="0"/>
    <xf numFmtId="0" fontId="26" fillId="0" borderId="0"/>
    <xf numFmtId="168" fontId="8" fillId="0" borderId="0"/>
    <xf numFmtId="0" fontId="26" fillId="0" borderId="0"/>
    <xf numFmtId="0" fontId="26" fillId="0" borderId="0"/>
    <xf numFmtId="0" fontId="26" fillId="0" borderId="0"/>
    <xf numFmtId="0" fontId="26" fillId="0" borderId="0"/>
    <xf numFmtId="0" fontId="5" fillId="0" borderId="0"/>
    <xf numFmtId="0" fontId="5" fillId="0" borderId="0"/>
    <xf numFmtId="173"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168" fontId="5" fillId="0" borderId="0"/>
    <xf numFmtId="173"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0" fontId="5" fillId="0" borderId="0"/>
    <xf numFmtId="173" fontId="5" fillId="0" borderId="0"/>
    <xf numFmtId="0" fontId="5" fillId="0" borderId="0"/>
    <xf numFmtId="0" fontId="5" fillId="0" borderId="0"/>
    <xf numFmtId="173" fontId="8" fillId="0" borderId="0"/>
    <xf numFmtId="0" fontId="5" fillId="0" borderId="0"/>
    <xf numFmtId="0" fontId="5" fillId="0" borderId="0"/>
    <xf numFmtId="173" fontId="5" fillId="0" borderId="0"/>
    <xf numFmtId="0"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5"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8" fillId="0" borderId="0"/>
    <xf numFmtId="0" fontId="5" fillId="0" borderId="0"/>
    <xf numFmtId="173" fontId="5" fillId="0" borderId="0"/>
    <xf numFmtId="0" fontId="26"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68" fontId="1" fillId="0" borderId="0"/>
    <xf numFmtId="168" fontId="1" fillId="0" borderId="0"/>
    <xf numFmtId="173" fontId="5" fillId="0" borderId="0"/>
    <xf numFmtId="0" fontId="42" fillId="0" borderId="0"/>
    <xf numFmtId="173" fontId="5" fillId="0" borderId="0"/>
    <xf numFmtId="173" fontId="5" fillId="0" borderId="0"/>
    <xf numFmtId="173" fontId="5" fillId="0" borderId="0"/>
    <xf numFmtId="173" fontId="5" fillId="0" borderId="0"/>
    <xf numFmtId="0" fontId="5" fillId="0" borderId="0"/>
    <xf numFmtId="173" fontId="8" fillId="0" borderId="0"/>
    <xf numFmtId="173" fontId="5" fillId="0" borderId="0"/>
    <xf numFmtId="0" fontId="5" fillId="0" borderId="0"/>
    <xf numFmtId="173" fontId="5" fillId="0" borderId="0"/>
    <xf numFmtId="0" fontId="26" fillId="0" borderId="0"/>
    <xf numFmtId="173" fontId="5" fillId="0" borderId="0"/>
    <xf numFmtId="0" fontId="42" fillId="0" borderId="0"/>
    <xf numFmtId="173" fontId="5" fillId="0" borderId="0"/>
    <xf numFmtId="0" fontId="42" fillId="0" borderId="0"/>
    <xf numFmtId="173" fontId="5" fillId="0" borderId="0"/>
    <xf numFmtId="173"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5" fillId="0" borderId="0"/>
    <xf numFmtId="0" fontId="5" fillId="0" borderId="0"/>
    <xf numFmtId="0" fontId="5" fillId="0" borderId="0"/>
    <xf numFmtId="0" fontId="5" fillId="0" borderId="0"/>
    <xf numFmtId="0" fontId="5" fillId="0" borderId="0"/>
    <xf numFmtId="173" fontId="5" fillId="0" borderId="0"/>
    <xf numFmtId="0"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0" fontId="5"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8" fillId="0" borderId="0"/>
    <xf numFmtId="173" fontId="5" fillId="0" borderId="0"/>
    <xf numFmtId="0" fontId="5" fillId="0" borderId="0"/>
    <xf numFmtId="173" fontId="8"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173" fontId="5" fillId="0" borderId="0"/>
    <xf numFmtId="0" fontId="5" fillId="0" borderId="0"/>
    <xf numFmtId="0" fontId="5" fillId="0" borderId="0"/>
    <xf numFmtId="168" fontId="5" fillId="0" borderId="0"/>
    <xf numFmtId="0" fontId="5" fillId="0" borderId="0"/>
    <xf numFmtId="168" fontId="5" fillId="0" borderId="0"/>
    <xf numFmtId="0" fontId="5" fillId="0" borderId="0"/>
    <xf numFmtId="0" fontId="5" fillId="0" borderId="0"/>
    <xf numFmtId="0" fontId="5" fillId="0" borderId="0"/>
    <xf numFmtId="173"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0" fontId="41" fillId="0" borderId="0"/>
    <xf numFmtId="0" fontId="5" fillId="0" borderId="0"/>
    <xf numFmtId="0" fontId="5" fillId="0" borderId="0"/>
    <xf numFmtId="173" fontId="5" fillId="0" borderId="0"/>
    <xf numFmtId="0" fontId="5" fillId="0" borderId="0"/>
    <xf numFmtId="0" fontId="41" fillId="0" borderId="0"/>
    <xf numFmtId="173" fontId="5" fillId="0" borderId="0"/>
    <xf numFmtId="0" fontId="5" fillId="0" borderId="0"/>
    <xf numFmtId="0" fontId="5" fillId="0" borderId="0"/>
    <xf numFmtId="0" fontId="5" fillId="0" borderId="0"/>
    <xf numFmtId="0" fontId="5" fillId="0" borderId="0"/>
    <xf numFmtId="173" fontId="5" fillId="0" borderId="0"/>
    <xf numFmtId="0"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41"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168" fontId="5"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1"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1" fillId="0" borderId="0"/>
    <xf numFmtId="0" fontId="43" fillId="0" borderId="0"/>
    <xf numFmtId="0" fontId="5" fillId="0" borderId="0"/>
    <xf numFmtId="0" fontId="5" fillId="0" borderId="0"/>
    <xf numFmtId="0" fontId="43"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43" fillId="0" borderId="0"/>
    <xf numFmtId="0" fontId="5" fillId="0" borderId="0"/>
    <xf numFmtId="0" fontId="5" fillId="0" borderId="0"/>
    <xf numFmtId="0" fontId="43" fillId="0" borderId="0"/>
    <xf numFmtId="0" fontId="5" fillId="0" borderId="0"/>
    <xf numFmtId="0" fontId="5" fillId="0" borderId="0"/>
    <xf numFmtId="0" fontId="43" fillId="0" borderId="0"/>
    <xf numFmtId="0" fontId="5" fillId="0" borderId="0"/>
    <xf numFmtId="0" fontId="5"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5" fillId="0" borderId="0"/>
    <xf numFmtId="0" fontId="5" fillId="0" borderId="0"/>
    <xf numFmtId="0" fontId="5" fillId="0" borderId="0"/>
    <xf numFmtId="0" fontId="5" fillId="0" borderId="0"/>
    <xf numFmtId="173" fontId="8" fillId="0" borderId="0"/>
    <xf numFmtId="0" fontId="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 fillId="0" borderId="0"/>
    <xf numFmtId="0" fontId="5" fillId="0" borderId="0"/>
    <xf numFmtId="0" fontId="5" fillId="0" borderId="0"/>
    <xf numFmtId="0" fontId="5" fillId="0" borderId="0"/>
    <xf numFmtId="173" fontId="8" fillId="0" borderId="0"/>
    <xf numFmtId="0" fontId="5" fillId="0" borderId="0"/>
    <xf numFmtId="0" fontId="43" fillId="0" borderId="0"/>
    <xf numFmtId="0" fontId="43"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5"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173"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1" fillId="0" borderId="0"/>
    <xf numFmtId="0" fontId="5" fillId="0" borderId="0">
      <alignment vertical="top"/>
    </xf>
    <xf numFmtId="173" fontId="8" fillId="0" borderId="0"/>
    <xf numFmtId="0" fontId="5" fillId="0" borderId="0">
      <alignment vertical="top"/>
    </xf>
    <xf numFmtId="0" fontId="5"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5" fillId="0" borderId="0"/>
    <xf numFmtId="0" fontId="5" fillId="0" borderId="0"/>
    <xf numFmtId="173" fontId="8"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alignment vertical="top"/>
    </xf>
    <xf numFmtId="168" fontId="5" fillId="0" borderId="0"/>
    <xf numFmtId="0" fontId="5" fillId="0" borderId="0">
      <alignment vertical="top"/>
    </xf>
    <xf numFmtId="173" fontId="8" fillId="0" borderId="0"/>
    <xf numFmtId="0" fontId="5" fillId="0" borderId="0"/>
    <xf numFmtId="0" fontId="5" fillId="0" borderId="0"/>
    <xf numFmtId="0" fontId="5" fillId="0" borderId="0"/>
    <xf numFmtId="0" fontId="5" fillId="0" borderId="0">
      <alignment vertical="top"/>
    </xf>
    <xf numFmtId="0" fontId="5" fillId="0" borderId="0"/>
    <xf numFmtId="0" fontId="5" fillId="0" borderId="0"/>
    <xf numFmtId="0" fontId="5" fillId="0" borderId="0"/>
    <xf numFmtId="0" fontId="5" fillId="0" borderId="0"/>
    <xf numFmtId="0" fontId="5" fillId="0" borderId="0"/>
    <xf numFmtId="0" fontId="5" fillId="0" borderId="0">
      <alignment vertical="top"/>
    </xf>
    <xf numFmtId="0" fontId="5" fillId="0" borderId="0">
      <alignment vertical="top"/>
    </xf>
    <xf numFmtId="0" fontId="1" fillId="0" borderId="0"/>
    <xf numFmtId="0" fontId="5"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173" fontId="8"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173" fontId="8"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1" fillId="0" borderId="0"/>
    <xf numFmtId="0" fontId="5" fillId="0" borderId="0"/>
    <xf numFmtId="0" fontId="1" fillId="0" borderId="0"/>
    <xf numFmtId="0" fontId="1" fillId="0" borderId="0"/>
    <xf numFmtId="173"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173" fontId="5" fillId="0" borderId="0"/>
    <xf numFmtId="0" fontId="41" fillId="0" borderId="0"/>
    <xf numFmtId="0" fontId="1" fillId="0" borderId="0"/>
    <xf numFmtId="0" fontId="44" fillId="0" borderId="0"/>
    <xf numFmtId="0" fontId="41" fillId="0" borderId="0"/>
    <xf numFmtId="0" fontId="44" fillId="0" borderId="0"/>
    <xf numFmtId="168" fontId="1" fillId="0" borderId="0"/>
    <xf numFmtId="0" fontId="44" fillId="0" borderId="0"/>
    <xf numFmtId="0" fontId="41" fillId="0" borderId="0"/>
    <xf numFmtId="0" fontId="1" fillId="0" borderId="0"/>
    <xf numFmtId="0" fontId="1" fillId="0" borderId="0"/>
    <xf numFmtId="0" fontId="44" fillId="0" borderId="0"/>
    <xf numFmtId="0" fontId="41" fillId="0" borderId="0"/>
    <xf numFmtId="0" fontId="44" fillId="0" borderId="0"/>
    <xf numFmtId="0" fontId="44" fillId="0" borderId="0"/>
    <xf numFmtId="0" fontId="41" fillId="0" borderId="0"/>
    <xf numFmtId="0" fontId="44" fillId="0" borderId="0"/>
    <xf numFmtId="0" fontId="44" fillId="0" borderId="0"/>
    <xf numFmtId="0" fontId="41" fillId="0" borderId="0"/>
    <xf numFmtId="0" fontId="45" fillId="0" borderId="0"/>
    <xf numFmtId="0" fontId="41" fillId="0" borderId="0"/>
    <xf numFmtId="0" fontId="45" fillId="0" borderId="0"/>
    <xf numFmtId="0" fontId="41" fillId="0" borderId="0"/>
    <xf numFmtId="0" fontId="44" fillId="0" borderId="0"/>
    <xf numFmtId="0" fontId="4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168" fontId="5" fillId="0" borderId="0"/>
    <xf numFmtId="173"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0"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168"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46" fillId="0" borderId="0"/>
    <xf numFmtId="0" fontId="1" fillId="0" borderId="0"/>
    <xf numFmtId="0" fontId="5" fillId="0" borderId="0"/>
    <xf numFmtId="0" fontId="5" fillId="0" borderId="0"/>
    <xf numFmtId="0" fontId="5" fillId="0" borderId="0"/>
    <xf numFmtId="0" fontId="5" fillId="0" borderId="0"/>
    <xf numFmtId="167" fontId="5" fillId="0" borderId="0"/>
    <xf numFmtId="173"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4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5" fillId="0" borderId="0"/>
    <xf numFmtId="0" fontId="5" fillId="0" borderId="0"/>
    <xf numFmtId="0" fontId="1" fillId="0" borderId="0"/>
    <xf numFmtId="0" fontId="5" fillId="0" borderId="0"/>
    <xf numFmtId="0" fontId="1" fillId="0" borderId="0"/>
    <xf numFmtId="168" fontId="5" fillId="0" borderId="0"/>
    <xf numFmtId="168" fontId="5" fillId="0" borderId="0"/>
    <xf numFmtId="168" fontId="5" fillId="0" borderId="0"/>
    <xf numFmtId="0" fontId="1" fillId="0" borderId="0"/>
    <xf numFmtId="0" fontId="1" fillId="0" borderId="0"/>
    <xf numFmtId="168" fontId="5"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4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3" fillId="72" borderId="18"/>
    <xf numFmtId="0" fontId="5" fillId="72" borderId="18"/>
    <xf numFmtId="0" fontId="3" fillId="8" borderId="13"/>
    <xf numFmtId="0" fontId="5" fillId="72" borderId="18"/>
    <xf numFmtId="0" fontId="3" fillId="8" borderId="13"/>
    <xf numFmtId="0" fontId="5" fillId="72" borderId="18"/>
    <xf numFmtId="0" fontId="5" fillId="72" borderId="18"/>
    <xf numFmtId="0" fontId="5" fillId="72" borderId="18"/>
    <xf numFmtId="0" fontId="1" fillId="0" borderId="0"/>
    <xf numFmtId="0" fontId="1" fillId="0" borderId="0"/>
    <xf numFmtId="0" fontId="5" fillId="72" borderId="18"/>
    <xf numFmtId="0" fontId="3" fillId="8" borderId="13"/>
    <xf numFmtId="0" fontId="3" fillId="8" borderId="13"/>
    <xf numFmtId="0" fontId="1" fillId="0" borderId="0"/>
    <xf numFmtId="0" fontId="1" fillId="0" borderId="0"/>
    <xf numFmtId="0" fontId="3" fillId="8" borderId="13"/>
    <xf numFmtId="0" fontId="5" fillId="72" borderId="18"/>
    <xf numFmtId="0" fontId="5" fillId="72" borderId="18"/>
    <xf numFmtId="0" fontId="1" fillId="0" borderId="0"/>
    <xf numFmtId="0" fontId="1" fillId="0" borderId="0"/>
    <xf numFmtId="0" fontId="5" fillId="72" borderId="18"/>
    <xf numFmtId="0" fontId="5" fillId="72" borderId="18"/>
    <xf numFmtId="0" fontId="5" fillId="72" borderId="18"/>
    <xf numFmtId="0" fontId="5" fillId="72" borderId="18"/>
    <xf numFmtId="0" fontId="1" fillId="0" borderId="0"/>
    <xf numFmtId="0" fontId="1" fillId="0" borderId="0"/>
    <xf numFmtId="0" fontId="5" fillId="72" borderId="18"/>
    <xf numFmtId="0" fontId="5" fillId="72" borderId="18"/>
    <xf numFmtId="0" fontId="5" fillId="72" borderId="18"/>
    <xf numFmtId="0" fontId="5" fillId="72" borderId="18"/>
    <xf numFmtId="0" fontId="1" fillId="0" borderId="0"/>
    <xf numFmtId="0" fontId="1" fillId="0" borderId="0"/>
    <xf numFmtId="0" fontId="5" fillId="72" borderId="18"/>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1" fillId="8" borderId="13"/>
    <xf numFmtId="0" fontId="1" fillId="8" borderId="13"/>
    <xf numFmtId="0" fontId="1" fillId="8" borderId="13"/>
    <xf numFmtId="0" fontId="1" fillId="0" borderId="0"/>
    <xf numFmtId="0" fontId="1" fillId="0" borderId="0"/>
    <xf numFmtId="0" fontId="1" fillId="8" borderId="13"/>
    <xf numFmtId="0" fontId="5" fillId="72" borderId="18"/>
    <xf numFmtId="0" fontId="5" fillId="72" borderId="18"/>
    <xf numFmtId="0" fontId="1" fillId="0" borderId="0"/>
    <xf numFmtId="0" fontId="1" fillId="0" borderId="0"/>
    <xf numFmtId="0" fontId="5" fillId="72" borderId="18"/>
    <xf numFmtId="0" fontId="5" fillId="72" borderId="18"/>
    <xf numFmtId="0" fontId="1" fillId="8" borderId="13"/>
    <xf numFmtId="0" fontId="1" fillId="8" borderId="13"/>
    <xf numFmtId="0" fontId="1" fillId="8" borderId="13"/>
    <xf numFmtId="0" fontId="1" fillId="0" borderId="0"/>
    <xf numFmtId="0" fontId="1" fillId="0" borderId="0"/>
    <xf numFmtId="0" fontId="1" fillId="8" borderId="13"/>
    <xf numFmtId="0" fontId="3" fillId="72" borderId="18"/>
    <xf numFmtId="0" fontId="5" fillId="72" borderId="18"/>
    <xf numFmtId="0" fontId="5" fillId="72" borderId="18"/>
    <xf numFmtId="0" fontId="1" fillId="0" borderId="0"/>
    <xf numFmtId="0" fontId="1" fillId="0" borderId="0"/>
    <xf numFmtId="0" fontId="5" fillId="72" borderId="18"/>
    <xf numFmtId="0" fontId="5" fillId="72" borderId="18"/>
    <xf numFmtId="0" fontId="5" fillId="72" borderId="18"/>
    <xf numFmtId="0" fontId="5" fillId="72" borderId="18"/>
    <xf numFmtId="0" fontId="1" fillId="0" borderId="0"/>
    <xf numFmtId="0" fontId="1" fillId="0" borderId="0"/>
    <xf numFmtId="0" fontId="5" fillId="72" borderId="18"/>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3" fillId="8" borderId="13"/>
    <xf numFmtId="0" fontId="1" fillId="0" borderId="0"/>
    <xf numFmtId="0" fontId="1" fillId="0" borderId="0"/>
    <xf numFmtId="0" fontId="3" fillId="8" borderId="13"/>
    <xf numFmtId="0" fontId="3" fillId="8" borderId="13"/>
    <xf numFmtId="0" fontId="3" fillId="8" borderId="13"/>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 fillId="0" borderId="0"/>
    <xf numFmtId="0" fontId="1" fillId="0" borderId="0"/>
    <xf numFmtId="0" fontId="16" fillId="6" borderId="10"/>
    <xf numFmtId="9" fontId="5"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9" fontId="5" fillId="0" borderId="0"/>
    <xf numFmtId="9" fontId="5" fillId="0" borderId="0"/>
    <xf numFmtId="9" fontId="5" fillId="0" borderId="0"/>
    <xf numFmtId="0" fontId="1" fillId="0" borderId="0"/>
    <xf numFmtId="0" fontId="1" fillId="0" borderId="0"/>
    <xf numFmtId="9" fontId="5" fillId="0" borderId="0"/>
    <xf numFmtId="0" fontId="1" fillId="0" borderId="0"/>
    <xf numFmtId="0" fontId="16" fillId="6" borderId="10"/>
    <xf numFmtId="0" fontId="47" fillId="65" borderId="19"/>
    <xf numFmtId="0" fontId="47" fillId="65" borderId="19"/>
    <xf numFmtId="0" fontId="47" fillId="65" borderId="19"/>
    <xf numFmtId="0" fontId="1" fillId="0" borderId="0"/>
    <xf numFmtId="0" fontId="16" fillId="6" borderId="10"/>
    <xf numFmtId="0" fontId="1" fillId="0" borderId="0"/>
    <xf numFmtId="0" fontId="47" fillId="65" borderId="19"/>
    <xf numFmtId="0" fontId="47" fillId="65" borderId="19"/>
    <xf numFmtId="0" fontId="47" fillId="65" borderId="19"/>
    <xf numFmtId="0" fontId="47" fillId="65" borderId="19"/>
    <xf numFmtId="0" fontId="1" fillId="0" borderId="0"/>
    <xf numFmtId="0" fontId="1" fillId="0" borderId="0"/>
    <xf numFmtId="0" fontId="47" fillId="65" borderId="19"/>
    <xf numFmtId="0" fontId="47" fillId="65" borderId="19"/>
    <xf numFmtId="0" fontId="47" fillId="65" borderId="19"/>
    <xf numFmtId="0" fontId="47" fillId="65" borderId="19"/>
    <xf numFmtId="0" fontId="1" fillId="0" borderId="0"/>
    <xf numFmtId="0" fontId="1" fillId="0" borderId="0"/>
    <xf numFmtId="0" fontId="47" fillId="65" borderId="19"/>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6" fillId="6" borderId="10"/>
    <xf numFmtId="0" fontId="1" fillId="0" borderId="0"/>
    <xf numFmtId="0" fontId="1" fillId="0" borderId="0"/>
    <xf numFmtId="0" fontId="16" fillId="6" borderId="10"/>
    <xf numFmtId="0" fontId="16" fillId="6" borderId="10"/>
    <xf numFmtId="0" fontId="16" fillId="6" borderId="10"/>
    <xf numFmtId="0" fontId="1" fillId="0" borderId="0"/>
    <xf numFmtId="0" fontId="48" fillId="0" borderId="0"/>
    <xf numFmtId="0" fontId="48" fillId="0" borderId="0"/>
    <xf numFmtId="0" fontId="48" fillId="0" borderId="0"/>
    <xf numFmtId="0" fontId="1" fillId="0" borderId="0"/>
    <xf numFmtId="0" fontId="1" fillId="0" borderId="0"/>
    <xf numFmtId="0" fontId="48" fillId="0" borderId="0"/>
    <xf numFmtId="0" fontId="20" fillId="0" borderId="0"/>
    <xf numFmtId="0" fontId="20" fillId="0" borderId="0"/>
    <xf numFmtId="0" fontId="1" fillId="0" borderId="0"/>
    <xf numFmtId="0" fontId="1" fillId="0" borderId="0"/>
    <xf numFmtId="0" fontId="20" fillId="0" borderId="0"/>
    <xf numFmtId="0" fontId="49" fillId="0" borderId="0"/>
    <xf numFmtId="0" fontId="20" fillId="0" borderId="0"/>
    <xf numFmtId="0" fontId="49" fillId="0" borderId="0"/>
    <xf numFmtId="0" fontId="20"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1" fillId="0" borderId="0"/>
    <xf numFmtId="0" fontId="1" fillId="0" borderId="0"/>
    <xf numFmtId="0" fontId="20"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49" fillId="0" borderId="0"/>
    <xf numFmtId="0" fontId="49" fillId="0" borderId="0"/>
    <xf numFmtId="0" fontId="49" fillId="0" borderId="0"/>
    <xf numFmtId="0" fontId="1" fillId="0" borderId="0"/>
    <xf numFmtId="0" fontId="1" fillId="0" borderId="0"/>
    <xf numFmtId="0" fontId="49"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1" fillId="0" borderId="0"/>
    <xf numFmtId="0" fontId="21" fillId="0" borderId="0"/>
    <xf numFmtId="0" fontId="50" fillId="0" borderId="0"/>
    <xf numFmtId="0" fontId="50" fillId="0" borderId="0"/>
    <xf numFmtId="0" fontId="50" fillId="0" borderId="0"/>
    <xf numFmtId="0" fontId="1" fillId="0" borderId="0"/>
    <xf numFmtId="0" fontId="21" fillId="0" borderId="0"/>
    <xf numFmtId="0" fontId="1" fillId="0" borderId="0"/>
    <xf numFmtId="0" fontId="50" fillId="0" borderId="0"/>
    <xf numFmtId="0" fontId="50" fillId="0" borderId="0"/>
    <xf numFmtId="0" fontId="50" fillId="0" borderId="0"/>
    <xf numFmtId="0" fontId="50" fillId="0" borderId="0"/>
    <xf numFmtId="0" fontId="1" fillId="0" borderId="0"/>
    <xf numFmtId="0" fontId="1" fillId="0" borderId="0"/>
    <xf numFmtId="0" fontId="50" fillId="0" borderId="0"/>
    <xf numFmtId="0" fontId="50" fillId="0" borderId="0"/>
    <xf numFmtId="0" fontId="50" fillId="0" borderId="0"/>
    <xf numFmtId="0" fontId="50" fillId="0" borderId="0"/>
    <xf numFmtId="0" fontId="1" fillId="0" borderId="0"/>
    <xf numFmtId="0" fontId="1" fillId="0" borderId="0"/>
    <xf numFmtId="0" fontId="50"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21" fillId="0" borderId="0"/>
    <xf numFmtId="0" fontId="1" fillId="0" borderId="0"/>
    <xf numFmtId="0" fontId="1" fillId="0" borderId="0"/>
    <xf numFmtId="0" fontId="21" fillId="0" borderId="0"/>
    <xf numFmtId="0" fontId="21" fillId="0" borderId="0"/>
    <xf numFmtId="0" fontId="2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1" fillId="0" borderId="0"/>
    <xf numFmtId="0" fontId="1" fillId="0" borderId="0"/>
    <xf numFmtId="0" fontId="25" fillId="0" borderId="0"/>
    <xf numFmtId="0" fontId="1" fillId="0" borderId="0"/>
    <xf numFmtId="0" fontId="10" fillId="0" borderId="6"/>
    <xf numFmtId="0" fontId="51" fillId="0" borderId="20"/>
    <xf numFmtId="0" fontId="51" fillId="0" borderId="20"/>
    <xf numFmtId="0" fontId="51" fillId="0" borderId="20"/>
    <xf numFmtId="0" fontId="1" fillId="0" borderId="0"/>
    <xf numFmtId="0" fontId="1" fillId="0" borderId="0"/>
    <xf numFmtId="0" fontId="51" fillId="0" borderId="20"/>
    <xf numFmtId="0" fontId="51" fillId="0" borderId="20"/>
    <xf numFmtId="0" fontId="51" fillId="0" borderId="20"/>
    <xf numFmtId="0" fontId="51" fillId="0" borderId="20"/>
    <xf numFmtId="0" fontId="1" fillId="0" borderId="0"/>
    <xf numFmtId="0" fontId="1" fillId="0" borderId="0"/>
    <xf numFmtId="0" fontId="51" fillId="0" borderId="20"/>
    <xf numFmtId="0" fontId="51" fillId="0" borderId="20"/>
    <xf numFmtId="0" fontId="51" fillId="0" borderId="20"/>
    <xf numFmtId="0" fontId="51" fillId="0" borderId="20"/>
    <xf numFmtId="0" fontId="1" fillId="0" borderId="0"/>
    <xf numFmtId="0" fontId="1" fillId="0" borderId="0"/>
    <xf numFmtId="0" fontId="51" fillId="0" borderId="20"/>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0" fillId="0" borderId="6"/>
    <xf numFmtId="0" fontId="1" fillId="0" borderId="0"/>
    <xf numFmtId="0" fontId="1" fillId="0" borderId="0"/>
    <xf numFmtId="0" fontId="10" fillId="0" borderId="6"/>
    <xf numFmtId="0" fontId="10" fillId="0" borderId="6"/>
    <xf numFmtId="0" fontId="10" fillId="0" borderId="6"/>
    <xf numFmtId="0" fontId="1"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1" fillId="0" borderId="0"/>
    <xf numFmtId="0" fontId="1" fillId="0" borderId="0"/>
    <xf numFmtId="0" fontId="25" fillId="0" borderId="0"/>
    <xf numFmtId="0" fontId="1" fillId="0" borderId="0"/>
    <xf numFmtId="0" fontId="11" fillId="0" borderId="7"/>
    <xf numFmtId="0" fontId="52" fillId="0" borderId="21"/>
    <xf numFmtId="0" fontId="52" fillId="0" borderId="21"/>
    <xf numFmtId="0" fontId="52" fillId="0" borderId="21"/>
    <xf numFmtId="0" fontId="1" fillId="0" borderId="0"/>
    <xf numFmtId="0" fontId="11" fillId="0" borderId="7"/>
    <xf numFmtId="0" fontId="1" fillId="0" borderId="0"/>
    <xf numFmtId="0" fontId="52" fillId="0" borderId="21"/>
    <xf numFmtId="0" fontId="52" fillId="0" borderId="21"/>
    <xf numFmtId="0" fontId="52" fillId="0" borderId="21"/>
    <xf numFmtId="0" fontId="52" fillId="0" borderId="21"/>
    <xf numFmtId="0" fontId="1" fillId="0" borderId="0"/>
    <xf numFmtId="0" fontId="1" fillId="0" borderId="0"/>
    <xf numFmtId="0" fontId="52" fillId="0" borderId="21"/>
    <xf numFmtId="0" fontId="52" fillId="0" borderId="21"/>
    <xf numFmtId="0" fontId="52" fillId="0" borderId="21"/>
    <xf numFmtId="0" fontId="52" fillId="0" borderId="21"/>
    <xf numFmtId="0" fontId="1" fillId="0" borderId="0"/>
    <xf numFmtId="0" fontId="1" fillId="0" borderId="0"/>
    <xf numFmtId="0" fontId="52" fillId="0" borderId="21"/>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1" fillId="0" borderId="7"/>
    <xf numFmtId="0" fontId="1" fillId="0" borderId="0"/>
    <xf numFmtId="0" fontId="1" fillId="0" borderId="0"/>
    <xf numFmtId="0" fontId="11" fillId="0" borderId="7"/>
    <xf numFmtId="0" fontId="11" fillId="0" borderId="7"/>
    <xf numFmtId="0" fontId="11" fillId="0" borderId="7"/>
    <xf numFmtId="0" fontId="1" fillId="0" borderId="0"/>
    <xf numFmtId="0" fontId="1" fillId="0" borderId="0"/>
    <xf numFmtId="0" fontId="12" fillId="0" borderId="8"/>
    <xf numFmtId="0" fontId="33" fillId="0" borderId="22"/>
    <xf numFmtId="0" fontId="33" fillId="0" borderId="22"/>
    <xf numFmtId="0" fontId="33" fillId="0" borderId="22"/>
    <xf numFmtId="0" fontId="1" fillId="0" borderId="0"/>
    <xf numFmtId="0" fontId="12" fillId="0" borderId="8"/>
    <xf numFmtId="0" fontId="1" fillId="0" borderId="0"/>
    <xf numFmtId="0" fontId="33" fillId="0" borderId="22"/>
    <xf numFmtId="0" fontId="33" fillId="0" borderId="22"/>
    <xf numFmtId="0" fontId="33" fillId="0" borderId="22"/>
    <xf numFmtId="0" fontId="33" fillId="0" borderId="22"/>
    <xf numFmtId="0" fontId="1" fillId="0" borderId="0"/>
    <xf numFmtId="0" fontId="1" fillId="0" borderId="0"/>
    <xf numFmtId="0" fontId="33" fillId="0" borderId="22"/>
    <xf numFmtId="0" fontId="33" fillId="0" borderId="22"/>
    <xf numFmtId="0" fontId="33" fillId="0" borderId="22"/>
    <xf numFmtId="0" fontId="33" fillId="0" borderId="22"/>
    <xf numFmtId="0" fontId="1" fillId="0" borderId="0"/>
    <xf numFmtId="0" fontId="1" fillId="0" borderId="0"/>
    <xf numFmtId="0" fontId="33" fillId="0" borderId="22"/>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2" fillId="0" borderId="8"/>
    <xf numFmtId="0" fontId="1" fillId="0" borderId="0"/>
    <xf numFmtId="0" fontId="1" fillId="0" borderId="0"/>
    <xf numFmtId="0" fontId="12" fillId="0" borderId="8"/>
    <xf numFmtId="0" fontId="12" fillId="0" borderId="8"/>
    <xf numFmtId="0" fontId="12" fillId="0" borderId="8"/>
    <xf numFmtId="0" fontId="1" fillId="0" borderId="0"/>
    <xf numFmtId="0" fontId="53" fillId="0" borderId="0"/>
    <xf numFmtId="0" fontId="53" fillId="0" borderId="0"/>
    <xf numFmtId="0" fontId="53" fillId="0" borderId="0"/>
    <xf numFmtId="0" fontId="1" fillId="0" borderId="0"/>
    <xf numFmtId="0" fontId="25" fillId="0" borderId="0"/>
    <xf numFmtId="0" fontId="1" fillId="0" borderId="0"/>
    <xf numFmtId="0" fontId="53" fillId="0" borderId="0"/>
    <xf numFmtId="0" fontId="53" fillId="0" borderId="0"/>
    <xf numFmtId="0" fontId="53" fillId="0" borderId="0"/>
    <xf numFmtId="0" fontId="53" fillId="0" borderId="0"/>
    <xf numFmtId="0" fontId="1" fillId="0" borderId="0"/>
    <xf numFmtId="0" fontId="25" fillId="0" borderId="0"/>
    <xf numFmtId="0" fontId="1" fillId="0" borderId="0"/>
    <xf numFmtId="0" fontId="53" fillId="0" borderId="0"/>
    <xf numFmtId="0" fontId="53" fillId="0" borderId="0"/>
    <xf numFmtId="0" fontId="53" fillId="0" borderId="0"/>
    <xf numFmtId="0" fontId="53" fillId="0" borderId="0"/>
    <xf numFmtId="0" fontId="1" fillId="0" borderId="0"/>
    <xf numFmtId="0" fontId="1" fillId="0" borderId="0"/>
    <xf numFmtId="0" fontId="53"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25" fillId="0" borderId="0"/>
    <xf numFmtId="0" fontId="25" fillId="0" borderId="0"/>
    <xf numFmtId="0" fontId="25" fillId="0" borderId="0"/>
    <xf numFmtId="0" fontId="1" fillId="0" borderId="0"/>
    <xf numFmtId="0" fontId="1" fillId="0" borderId="0"/>
    <xf numFmtId="0" fontId="25" fillId="0" borderId="0"/>
    <xf numFmtId="0" fontId="54" fillId="0" borderId="23"/>
    <xf numFmtId="0" fontId="54" fillId="0" borderId="23"/>
    <xf numFmtId="0" fontId="54" fillId="0" borderId="23"/>
    <xf numFmtId="0" fontId="1" fillId="0" borderId="0"/>
    <xf numFmtId="0" fontId="1" fillId="0" borderId="0"/>
    <xf numFmtId="0" fontId="54" fillId="0" borderId="23"/>
    <xf numFmtId="0" fontId="54" fillId="0" borderId="23"/>
    <xf numFmtId="0" fontId="54" fillId="0" borderId="23"/>
    <xf numFmtId="0" fontId="54" fillId="0" borderId="23"/>
    <xf numFmtId="0" fontId="1" fillId="0" borderId="0"/>
    <xf numFmtId="0" fontId="1" fillId="0" borderId="0"/>
    <xf numFmtId="0" fontId="54" fillId="0" borderId="23"/>
    <xf numFmtId="0" fontId="54" fillId="0" borderId="23"/>
    <xf numFmtId="0" fontId="54" fillId="0" borderId="23"/>
    <xf numFmtId="0" fontId="54" fillId="0" borderId="23"/>
    <xf numFmtId="0" fontId="1" fillId="0" borderId="0"/>
    <xf numFmtId="0" fontId="1" fillId="0" borderId="0"/>
    <xf numFmtId="0" fontId="54" fillId="0" borderId="23"/>
    <xf numFmtId="0" fontId="22" fillId="0" borderId="14"/>
    <xf numFmtId="0" fontId="22" fillId="0" borderId="14"/>
    <xf numFmtId="0" fontId="1" fillId="0" borderId="0"/>
    <xf numFmtId="0" fontId="1" fillId="0" borderId="0"/>
    <xf numFmtId="0" fontId="22" fillId="0" borderId="14"/>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20" fillId="0" borderId="0"/>
    <xf numFmtId="0" fontId="1" fillId="0" borderId="0"/>
    <xf numFmtId="0" fontId="1" fillId="0" borderId="0"/>
    <xf numFmtId="0" fontId="20" fillId="0" borderId="0"/>
    <xf numFmtId="0" fontId="20" fillId="0" borderId="0"/>
    <xf numFmtId="0" fontId="20" fillId="0" borderId="0"/>
    <xf numFmtId="0" fontId="1" fillId="0" borderId="0"/>
    <xf numFmtId="0" fontId="1" fillId="0" borderId="0"/>
    <xf numFmtId="0" fontId="20" fillId="0" borderId="0"/>
    <xf numFmtId="0" fontId="55" fillId="2" borderId="0"/>
    <xf numFmtId="0" fontId="56" fillId="3" borderId="0"/>
    <xf numFmtId="0" fontId="28" fillId="73" borderId="0"/>
    <xf numFmtId="0" fontId="28" fillId="74" borderId="0"/>
    <xf numFmtId="0" fontId="28" fillId="75" borderId="0"/>
    <xf numFmtId="0" fontId="28" fillId="76" borderId="0"/>
    <xf numFmtId="0" fontId="28" fillId="77" borderId="0"/>
    <xf numFmtId="0" fontId="28" fillId="78" borderId="0"/>
    <xf numFmtId="0" fontId="57" fillId="0" borderId="0"/>
    <xf numFmtId="0" fontId="58" fillId="0" borderId="24"/>
    <xf numFmtId="0" fontId="59" fillId="0" borderId="25"/>
    <xf numFmtId="0" fontId="60" fillId="0" borderId="26"/>
    <xf numFmtId="0" fontId="60" fillId="0" borderId="0"/>
    <xf numFmtId="0" fontId="61" fillId="7" borderId="12"/>
    <xf numFmtId="0" fontId="62" fillId="0" borderId="27"/>
    <xf numFmtId="0" fontId="26" fillId="8" borderId="13"/>
    <xf numFmtId="0" fontId="63" fillId="0" borderId="0"/>
    <xf numFmtId="0" fontId="64" fillId="0" borderId="0"/>
    <xf numFmtId="0" fontId="65" fillId="6" borderId="9"/>
    <xf numFmtId="0" fontId="66" fillId="5" borderId="9"/>
    <xf numFmtId="0" fontId="67" fillId="6" borderId="10"/>
    <xf numFmtId="0" fontId="68" fillId="4" borderId="0"/>
    <xf numFmtId="0" fontId="69" fillId="0" borderId="11"/>
    <xf numFmtId="0" fontId="6" fillId="0" borderId="0"/>
    <xf numFmtId="0" fontId="70" fillId="0" borderId="0"/>
    <xf numFmtId="0" fontId="70" fillId="0" borderId="0"/>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4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44" fontId="2" fillId="0" borderId="0" applyFont="0" applyFill="0" applyBorder="0" applyAlignment="0" applyProtection="0"/>
    <xf numFmtId="165" fontId="2" fillId="0" borderId="0"/>
  </cellStyleXfs>
  <cellXfs count="73">
    <xf numFmtId="0" fontId="0" fillId="0" borderId="0" xfId="0"/>
    <xf numFmtId="0" fontId="9" fillId="0" borderId="0" xfId="0" applyFont="1"/>
    <xf numFmtId="164" fontId="9" fillId="0" borderId="0" xfId="0" applyNumberFormat="1" applyFont="1"/>
    <xf numFmtId="0" fontId="72" fillId="0" borderId="0" xfId="0" applyFont="1"/>
    <xf numFmtId="0" fontId="75" fillId="0" borderId="1" xfId="0" applyFont="1" applyBorder="1" applyAlignment="1">
      <alignment vertical="center"/>
    </xf>
    <xf numFmtId="0" fontId="75" fillId="0" borderId="4" xfId="0" applyFont="1" applyBorder="1" applyAlignment="1">
      <alignment vertical="center"/>
    </xf>
    <xf numFmtId="0" fontId="75" fillId="0" borderId="0" xfId="0" applyFont="1" applyAlignment="1">
      <alignment vertical="center"/>
    </xf>
    <xf numFmtId="164" fontId="73" fillId="0" borderId="0" xfId="30" applyNumberFormat="1" applyFont="1" applyAlignment="1">
      <alignment horizontal="center" vertical="center"/>
    </xf>
    <xf numFmtId="165" fontId="71" fillId="79" borderId="1" xfId="30" applyFont="1" applyFill="1" applyBorder="1" applyAlignment="1">
      <alignment horizontal="center" vertical="center"/>
    </xf>
    <xf numFmtId="10" fontId="9" fillId="80" borderId="0" xfId="0" applyNumberFormat="1" applyFont="1" applyFill="1" applyAlignment="1">
      <alignment horizontal="center"/>
    </xf>
    <xf numFmtId="164" fontId="73" fillId="81" borderId="1" xfId="30" applyNumberFormat="1" applyFont="1" applyFill="1" applyBorder="1" applyAlignment="1">
      <alignment horizontal="center" vertical="center"/>
    </xf>
    <xf numFmtId="164" fontId="73" fillId="81" borderId="1" xfId="31" applyNumberFormat="1" applyFont="1" applyFill="1" applyBorder="1" applyAlignment="1">
      <alignment horizontal="center"/>
    </xf>
    <xf numFmtId="0" fontId="76" fillId="82" borderId="0" xfId="0" applyFont="1" applyFill="1" applyAlignment="1">
      <alignment horizontal="center" vertical="center" wrapText="1"/>
    </xf>
    <xf numFmtId="166" fontId="0" fillId="0" borderId="0" xfId="0" applyNumberFormat="1"/>
    <xf numFmtId="1" fontId="0" fillId="0" borderId="0" xfId="0" applyNumberFormat="1"/>
    <xf numFmtId="0" fontId="72" fillId="0" borderId="0" xfId="39246" applyFont="1"/>
    <xf numFmtId="0" fontId="2" fillId="0" borderId="0" xfId="39246"/>
    <xf numFmtId="0" fontId="71" fillId="79" borderId="1" xfId="39246" applyFont="1" applyFill="1" applyBorder="1" applyAlignment="1">
      <alignment horizontal="center"/>
    </xf>
    <xf numFmtId="0" fontId="73" fillId="0" borderId="1" xfId="39247" applyFont="1" applyBorder="1" applyProtection="1">
      <protection locked="0"/>
    </xf>
    <xf numFmtId="0" fontId="73" fillId="0" borderId="1" xfId="39247" applyFont="1" applyBorder="1"/>
    <xf numFmtId="0" fontId="77" fillId="0" borderId="1" xfId="39246" applyFont="1" applyBorder="1" applyAlignment="1">
      <alignment horizontal="center"/>
    </xf>
    <xf numFmtId="0" fontId="71" fillId="79" borderId="1" xfId="39247" applyFont="1" applyFill="1" applyBorder="1" applyAlignment="1">
      <alignment horizontal="center"/>
    </xf>
    <xf numFmtId="0" fontId="71" fillId="79" borderId="29" xfId="39247" applyFont="1" applyFill="1" applyBorder="1" applyAlignment="1">
      <alignment horizontal="center"/>
    </xf>
    <xf numFmtId="179" fontId="71" fillId="79" borderId="1" xfId="39247" applyNumberFormat="1" applyFont="1" applyFill="1" applyBorder="1" applyAlignment="1">
      <alignment horizontal="center" vertical="center"/>
    </xf>
    <xf numFmtId="0" fontId="71" fillId="79" borderId="1" xfId="39246" applyFont="1" applyFill="1" applyBorder="1"/>
    <xf numFmtId="44" fontId="71" fillId="79" borderId="1" xfId="39248" applyFont="1" applyFill="1" applyBorder="1"/>
    <xf numFmtId="0" fontId="78" fillId="0" borderId="1" xfId="39246" applyFont="1" applyBorder="1" applyAlignment="1">
      <alignment horizontal="center"/>
    </xf>
    <xf numFmtId="164" fontId="73" fillId="0" borderId="3" xfId="39247" applyNumberFormat="1" applyFont="1" applyBorder="1" applyAlignment="1">
      <alignment vertical="center"/>
    </xf>
    <xf numFmtId="164" fontId="73" fillId="0" borderId="1" xfId="39247" applyNumberFormat="1" applyFont="1" applyBorder="1" applyAlignment="1">
      <alignment vertical="center"/>
    </xf>
    <xf numFmtId="0" fontId="77" fillId="0" borderId="1" xfId="39246" applyFont="1" applyBorder="1"/>
    <xf numFmtId="180" fontId="77" fillId="0" borderId="1" xfId="39246" applyNumberFormat="1" applyFont="1" applyBorder="1" applyAlignment="1">
      <alignment horizontal="center"/>
    </xf>
    <xf numFmtId="164" fontId="77" fillId="0" borderId="1" xfId="39248" applyNumberFormat="1" applyFont="1" applyBorder="1"/>
    <xf numFmtId="164" fontId="77" fillId="0" borderId="1" xfId="39248" applyNumberFormat="1" applyFont="1" applyFill="1" applyBorder="1"/>
    <xf numFmtId="0" fontId="75" fillId="0" borderId="30" xfId="39246" applyFont="1" applyBorder="1"/>
    <xf numFmtId="0" fontId="73" fillId="0" borderId="2" xfId="39247" applyFont="1" applyBorder="1" applyAlignment="1" applyProtection="1">
      <alignment horizontal="center" vertical="center"/>
      <protection locked="0"/>
    </xf>
    <xf numFmtId="0" fontId="79" fillId="0" borderId="31" xfId="39246" applyFont="1" applyBorder="1"/>
    <xf numFmtId="164" fontId="71" fillId="0" borderId="35" xfId="39248" applyNumberFormat="1" applyFont="1" applyBorder="1" applyAlignment="1">
      <alignment horizontal="center" vertical="center"/>
    </xf>
    <xf numFmtId="164" fontId="71" fillId="0" borderId="1" xfId="39248" applyNumberFormat="1" applyFont="1" applyBorder="1"/>
    <xf numFmtId="164" fontId="71" fillId="79" borderId="1" xfId="39248" applyNumberFormat="1" applyFont="1" applyFill="1" applyBorder="1"/>
    <xf numFmtId="179" fontId="71" fillId="79" borderId="2" xfId="39247" applyNumberFormat="1" applyFont="1" applyFill="1" applyBorder="1" applyAlignment="1">
      <alignment horizontal="center" vertical="center"/>
    </xf>
    <xf numFmtId="179" fontId="71" fillId="79" borderId="3" xfId="39247" applyNumberFormat="1" applyFont="1" applyFill="1" applyBorder="1" applyAlignment="1">
      <alignment horizontal="center" vertical="center"/>
    </xf>
    <xf numFmtId="179" fontId="71" fillId="79" borderId="35" xfId="39247" applyNumberFormat="1" applyFont="1" applyFill="1" applyBorder="1" applyAlignment="1">
      <alignment horizontal="center" vertical="center"/>
    </xf>
    <xf numFmtId="0" fontId="61" fillId="82" borderId="0" xfId="0" applyFont="1" applyFill="1" applyAlignment="1">
      <alignment horizontal="center" vertical="center" wrapText="1"/>
    </xf>
    <xf numFmtId="0" fontId="71" fillId="0" borderId="32" xfId="39246" applyFont="1" applyBorder="1" applyAlignment="1">
      <alignment horizontal="right"/>
    </xf>
    <xf numFmtId="0" fontId="71" fillId="0" borderId="33" xfId="39246" applyFont="1" applyBorder="1" applyAlignment="1">
      <alignment horizontal="right"/>
    </xf>
    <xf numFmtId="0" fontId="71" fillId="0" borderId="34" xfId="39246" applyFont="1" applyBorder="1" applyAlignment="1">
      <alignment horizontal="right"/>
    </xf>
    <xf numFmtId="165" fontId="71" fillId="0" borderId="2" xfId="39249" applyFont="1" applyBorder="1" applyAlignment="1">
      <alignment horizontal="right" indent="1"/>
    </xf>
    <xf numFmtId="165" fontId="71" fillId="0" borderId="5" xfId="39249" applyFont="1" applyBorder="1" applyAlignment="1">
      <alignment horizontal="right" indent="1"/>
    </xf>
    <xf numFmtId="165" fontId="71" fillId="0" borderId="3" xfId="39249" applyFont="1" applyBorder="1" applyAlignment="1">
      <alignment horizontal="right" indent="1"/>
    </xf>
    <xf numFmtId="165" fontId="71" fillId="79" borderId="2" xfId="39249" applyFont="1" applyFill="1" applyBorder="1" applyAlignment="1">
      <alignment horizontal="right"/>
    </xf>
    <xf numFmtId="165" fontId="71" fillId="79" borderId="5" xfId="39249" applyFont="1" applyFill="1" applyBorder="1" applyAlignment="1">
      <alignment horizontal="right"/>
    </xf>
    <xf numFmtId="165" fontId="71" fillId="79" borderId="3" xfId="39249" applyFont="1" applyFill="1" applyBorder="1" applyAlignment="1">
      <alignment horizontal="right"/>
    </xf>
    <xf numFmtId="0" fontId="71" fillId="79" borderId="28" xfId="39246" applyFont="1" applyFill="1" applyBorder="1" applyAlignment="1">
      <alignment horizontal="center"/>
    </xf>
    <xf numFmtId="0" fontId="71" fillId="79" borderId="0" xfId="39246" applyFont="1" applyFill="1" applyAlignment="1">
      <alignment horizontal="center"/>
    </xf>
    <xf numFmtId="0" fontId="71" fillId="79" borderId="2" xfId="39247" applyFont="1" applyFill="1" applyBorder="1" applyAlignment="1">
      <alignment horizontal="center"/>
    </xf>
    <xf numFmtId="0" fontId="71" fillId="79" borderId="5" xfId="39247" applyFont="1" applyFill="1" applyBorder="1" applyAlignment="1">
      <alignment horizontal="center"/>
    </xf>
    <xf numFmtId="0" fontId="71" fillId="79" borderId="3" xfId="39247" applyFont="1" applyFill="1" applyBorder="1" applyAlignment="1">
      <alignment horizontal="center"/>
    </xf>
    <xf numFmtId="0" fontId="71" fillId="79" borderId="1" xfId="39246" applyFont="1" applyFill="1" applyBorder="1" applyAlignment="1">
      <alignment horizontal="center"/>
    </xf>
    <xf numFmtId="17" fontId="71" fillId="79" borderId="2" xfId="39247" applyNumberFormat="1" applyFont="1" applyFill="1" applyBorder="1" applyAlignment="1" applyProtection="1">
      <alignment horizontal="center"/>
      <protection locked="0"/>
    </xf>
    <xf numFmtId="17" fontId="71" fillId="79" borderId="5" xfId="39247" applyNumberFormat="1" applyFont="1" applyFill="1" applyBorder="1" applyAlignment="1" applyProtection="1">
      <alignment horizontal="center"/>
      <protection locked="0"/>
    </xf>
    <xf numFmtId="17" fontId="71" fillId="79" borderId="3" xfId="39247" applyNumberFormat="1" applyFont="1" applyFill="1" applyBorder="1" applyAlignment="1" applyProtection="1">
      <alignment horizontal="center"/>
      <protection locked="0"/>
    </xf>
    <xf numFmtId="17" fontId="71" fillId="79" borderId="1" xfId="39246" applyNumberFormat="1" applyFont="1" applyFill="1" applyBorder="1" applyAlignment="1">
      <alignment horizontal="center"/>
    </xf>
    <xf numFmtId="0" fontId="77" fillId="0" borderId="1" xfId="39246" applyFont="1" applyBorder="1" applyAlignment="1">
      <alignment horizontal="center"/>
    </xf>
    <xf numFmtId="0" fontId="74" fillId="79" borderId="1" xfId="0" applyFont="1" applyFill="1" applyBorder="1" applyAlignment="1">
      <alignment horizontal="center"/>
    </xf>
    <xf numFmtId="0" fontId="0" fillId="0" borderId="5" xfId="0" applyBorder="1"/>
    <xf numFmtId="0" fontId="0" fillId="0" borderId="3" xfId="0" applyBorder="1"/>
    <xf numFmtId="0" fontId="75"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 fillId="0" borderId="0" xfId="0" applyFont="1"/>
    <xf numFmtId="164" fontId="2" fillId="0" borderId="0" xfId="39246" applyNumberFormat="1"/>
  </cellXfs>
  <cellStyles count="39250">
    <cellStyle name="20% - Accent1" xfId="81" xr:uid="{00000000-0005-0000-0000-000051000000}"/>
    <cellStyle name="20% - Accent1 2" xfId="82" xr:uid="{00000000-0005-0000-0000-000052000000}"/>
    <cellStyle name="20% - Accent1 3" xfId="83" xr:uid="{00000000-0005-0000-0000-000053000000}"/>
    <cellStyle name="20% - Accent1 4" xfId="84" xr:uid="{00000000-0005-0000-0000-000054000000}"/>
    <cellStyle name="20% - Accent1 5" xfId="85" xr:uid="{00000000-0005-0000-0000-000055000000}"/>
    <cellStyle name="20% - Accent2" xfId="86" xr:uid="{00000000-0005-0000-0000-000056000000}"/>
    <cellStyle name="20% - Accent2 2" xfId="87" xr:uid="{00000000-0005-0000-0000-000057000000}"/>
    <cellStyle name="20% - Accent2 3" xfId="88" xr:uid="{00000000-0005-0000-0000-000058000000}"/>
    <cellStyle name="20% - Accent2 4" xfId="89" xr:uid="{00000000-0005-0000-0000-000059000000}"/>
    <cellStyle name="20% - Accent2 5" xfId="90" xr:uid="{00000000-0005-0000-0000-00005A000000}"/>
    <cellStyle name="20% - Accent3" xfId="91" xr:uid="{00000000-0005-0000-0000-00005B000000}"/>
    <cellStyle name="20% - Accent3 2" xfId="92" xr:uid="{00000000-0005-0000-0000-00005C000000}"/>
    <cellStyle name="20% - Accent3 3" xfId="93" xr:uid="{00000000-0005-0000-0000-00005D000000}"/>
    <cellStyle name="20% - Accent3 4" xfId="94" xr:uid="{00000000-0005-0000-0000-00005E000000}"/>
    <cellStyle name="20% - Accent3 5" xfId="95" xr:uid="{00000000-0005-0000-0000-00005F000000}"/>
    <cellStyle name="20% - Accent4" xfId="96" xr:uid="{00000000-0005-0000-0000-000060000000}"/>
    <cellStyle name="20% - Accent4 2" xfId="97" xr:uid="{00000000-0005-0000-0000-000061000000}"/>
    <cellStyle name="20% - Accent4 3" xfId="98" xr:uid="{00000000-0005-0000-0000-000062000000}"/>
    <cellStyle name="20% - Accent4 4" xfId="99" xr:uid="{00000000-0005-0000-0000-000063000000}"/>
    <cellStyle name="20% - Accent4 5" xfId="100" xr:uid="{00000000-0005-0000-0000-000064000000}"/>
    <cellStyle name="20% - Accent5" xfId="101" xr:uid="{00000000-0005-0000-0000-000065000000}"/>
    <cellStyle name="20% - Accent5 2" xfId="102" xr:uid="{00000000-0005-0000-0000-000066000000}"/>
    <cellStyle name="20% - Accent5 3" xfId="103" xr:uid="{00000000-0005-0000-0000-000067000000}"/>
    <cellStyle name="20% - Accent5 4" xfId="104" xr:uid="{00000000-0005-0000-0000-000068000000}"/>
    <cellStyle name="20% - Accent5 5" xfId="105" xr:uid="{00000000-0005-0000-0000-000069000000}"/>
    <cellStyle name="20% - Accent6" xfId="106" xr:uid="{00000000-0005-0000-0000-00006A000000}"/>
    <cellStyle name="20% - Accent6 2" xfId="107" xr:uid="{00000000-0005-0000-0000-00006B000000}"/>
    <cellStyle name="20% - Accent6 3" xfId="108" xr:uid="{00000000-0005-0000-0000-00006C000000}"/>
    <cellStyle name="20% - Accent6 4" xfId="109" xr:uid="{00000000-0005-0000-0000-00006D000000}"/>
    <cellStyle name="20% - Accent6 5" xfId="110" xr:uid="{00000000-0005-0000-0000-00006E000000}"/>
    <cellStyle name="20% - Énfasis1 2" xfId="111" xr:uid="{00000000-0005-0000-0000-00006F000000}"/>
    <cellStyle name="20% - Énfasis1 2 2" xfId="112" xr:uid="{00000000-0005-0000-0000-000070000000}"/>
    <cellStyle name="20% - Énfasis1 3" xfId="113" xr:uid="{00000000-0005-0000-0000-000071000000}"/>
    <cellStyle name="20% - Énfasis1 4" xfId="114" xr:uid="{00000000-0005-0000-0000-000072000000}"/>
    <cellStyle name="20% - Énfasis1 5" xfId="115" xr:uid="{00000000-0005-0000-0000-000073000000}"/>
    <cellStyle name="20% - Énfasis1 6" xfId="116" xr:uid="{00000000-0005-0000-0000-000074000000}"/>
    <cellStyle name="20% - Énfasis1 7" xfId="117" xr:uid="{00000000-0005-0000-0000-000075000000}"/>
    <cellStyle name="20% - Énfasis1 8" xfId="118" xr:uid="{00000000-0005-0000-0000-000076000000}"/>
    <cellStyle name="20% - Énfasis2 2" xfId="119" xr:uid="{00000000-0005-0000-0000-000077000000}"/>
    <cellStyle name="20% - Énfasis2 2 2" xfId="120" xr:uid="{00000000-0005-0000-0000-000078000000}"/>
    <cellStyle name="20% - Énfasis2 3" xfId="121" xr:uid="{00000000-0005-0000-0000-000079000000}"/>
    <cellStyle name="20% - Énfasis2 4" xfId="122" xr:uid="{00000000-0005-0000-0000-00007A000000}"/>
    <cellStyle name="20% - Énfasis2 5" xfId="123" xr:uid="{00000000-0005-0000-0000-00007B000000}"/>
    <cellStyle name="20% - Énfasis2 6" xfId="124" xr:uid="{00000000-0005-0000-0000-00007C000000}"/>
    <cellStyle name="20% - Énfasis2 7" xfId="125" xr:uid="{00000000-0005-0000-0000-00007D000000}"/>
    <cellStyle name="20% - Énfasis2 8" xfId="126" xr:uid="{00000000-0005-0000-0000-00007E000000}"/>
    <cellStyle name="20% - Énfasis3 2" xfId="127" xr:uid="{00000000-0005-0000-0000-00007F000000}"/>
    <cellStyle name="20% - Énfasis3 2 2" xfId="128" xr:uid="{00000000-0005-0000-0000-000080000000}"/>
    <cellStyle name="20% - Énfasis3 3" xfId="129" xr:uid="{00000000-0005-0000-0000-000081000000}"/>
    <cellStyle name="20% - Énfasis3 4" xfId="130" xr:uid="{00000000-0005-0000-0000-000082000000}"/>
    <cellStyle name="20% - Énfasis3 5" xfId="131" xr:uid="{00000000-0005-0000-0000-000083000000}"/>
    <cellStyle name="20% - Énfasis3 6" xfId="132" xr:uid="{00000000-0005-0000-0000-000084000000}"/>
    <cellStyle name="20% - Énfasis3 7" xfId="133" xr:uid="{00000000-0005-0000-0000-000085000000}"/>
    <cellStyle name="20% - Énfasis3 8" xfId="134" xr:uid="{00000000-0005-0000-0000-000086000000}"/>
    <cellStyle name="20% - Énfasis4 2" xfId="135" xr:uid="{00000000-0005-0000-0000-000087000000}"/>
    <cellStyle name="20% - Énfasis4 2 2" xfId="136" xr:uid="{00000000-0005-0000-0000-000088000000}"/>
    <cellStyle name="20% - Énfasis4 3" xfId="137" xr:uid="{00000000-0005-0000-0000-000089000000}"/>
    <cellStyle name="20% - Énfasis4 4" xfId="138" xr:uid="{00000000-0005-0000-0000-00008A000000}"/>
    <cellStyle name="20% - Énfasis4 5" xfId="139" xr:uid="{00000000-0005-0000-0000-00008B000000}"/>
    <cellStyle name="20% - Énfasis4 6" xfId="140" xr:uid="{00000000-0005-0000-0000-00008C000000}"/>
    <cellStyle name="20% - Énfasis4 7" xfId="141" xr:uid="{00000000-0005-0000-0000-00008D000000}"/>
    <cellStyle name="20% - Énfasis4 8" xfId="142" xr:uid="{00000000-0005-0000-0000-00008E000000}"/>
    <cellStyle name="20% - Énfasis5 2" xfId="143" xr:uid="{00000000-0005-0000-0000-00008F000000}"/>
    <cellStyle name="20% - Énfasis5 2 2" xfId="144" xr:uid="{00000000-0005-0000-0000-000090000000}"/>
    <cellStyle name="20% - Énfasis5 3" xfId="145" xr:uid="{00000000-0005-0000-0000-000091000000}"/>
    <cellStyle name="20% - Énfasis5 4" xfId="146" xr:uid="{00000000-0005-0000-0000-000092000000}"/>
    <cellStyle name="20% - Énfasis5 5" xfId="147" xr:uid="{00000000-0005-0000-0000-000093000000}"/>
    <cellStyle name="20% - Énfasis5 6" xfId="148" xr:uid="{00000000-0005-0000-0000-000094000000}"/>
    <cellStyle name="20% - Énfasis5 7" xfId="149" xr:uid="{00000000-0005-0000-0000-000095000000}"/>
    <cellStyle name="20% - Énfasis5 8" xfId="150" xr:uid="{00000000-0005-0000-0000-000096000000}"/>
    <cellStyle name="20% - Énfasis6 2" xfId="151" xr:uid="{00000000-0005-0000-0000-000097000000}"/>
    <cellStyle name="20% - Énfasis6 2 2" xfId="152" xr:uid="{00000000-0005-0000-0000-000098000000}"/>
    <cellStyle name="20% - Énfasis6 3" xfId="153" xr:uid="{00000000-0005-0000-0000-000099000000}"/>
    <cellStyle name="20% - Énfasis6 4" xfId="154" xr:uid="{00000000-0005-0000-0000-00009A000000}"/>
    <cellStyle name="20% - Énfasis6 5" xfId="155" xr:uid="{00000000-0005-0000-0000-00009B000000}"/>
    <cellStyle name="20% - Énfasis6 6" xfId="156" xr:uid="{00000000-0005-0000-0000-00009C000000}"/>
    <cellStyle name="20% - Énfasis6 7" xfId="157" xr:uid="{00000000-0005-0000-0000-00009D000000}"/>
    <cellStyle name="20% - Énfasis6 8" xfId="158" xr:uid="{00000000-0005-0000-0000-00009E000000}"/>
    <cellStyle name="20% - 强调文字颜色 1" xfId="159" xr:uid="{00000000-0005-0000-0000-00009F000000}"/>
    <cellStyle name="20% - 强调文字颜色 2" xfId="160" xr:uid="{00000000-0005-0000-0000-0000A0000000}"/>
    <cellStyle name="20% - 强调文字颜色 3" xfId="161" xr:uid="{00000000-0005-0000-0000-0000A1000000}"/>
    <cellStyle name="20% - 强调文字颜色 4" xfId="162" xr:uid="{00000000-0005-0000-0000-0000A2000000}"/>
    <cellStyle name="20% - 强调文字颜色 5" xfId="163" xr:uid="{00000000-0005-0000-0000-0000A3000000}"/>
    <cellStyle name="20% - 强调文字颜色 6" xfId="164" xr:uid="{00000000-0005-0000-0000-0000A4000000}"/>
    <cellStyle name="40% - Accent1" xfId="165" xr:uid="{00000000-0005-0000-0000-0000A5000000}"/>
    <cellStyle name="40% - Accent1 2" xfId="166" xr:uid="{00000000-0005-0000-0000-0000A6000000}"/>
    <cellStyle name="40% - Accent1 3" xfId="167" xr:uid="{00000000-0005-0000-0000-0000A7000000}"/>
    <cellStyle name="40% - Accent1 4" xfId="168" xr:uid="{00000000-0005-0000-0000-0000A8000000}"/>
    <cellStyle name="40% - Accent1 5" xfId="169" xr:uid="{00000000-0005-0000-0000-0000A9000000}"/>
    <cellStyle name="40% - Accent2" xfId="170" xr:uid="{00000000-0005-0000-0000-0000AA000000}"/>
    <cellStyle name="40% - Accent2 2" xfId="171" xr:uid="{00000000-0005-0000-0000-0000AB000000}"/>
    <cellStyle name="40% - Accent2 3" xfId="172" xr:uid="{00000000-0005-0000-0000-0000AC000000}"/>
    <cellStyle name="40% - Accent2 4" xfId="173" xr:uid="{00000000-0005-0000-0000-0000AD000000}"/>
    <cellStyle name="40% - Accent2 5" xfId="174" xr:uid="{00000000-0005-0000-0000-0000AE000000}"/>
    <cellStyle name="40% - Accent3" xfId="175" xr:uid="{00000000-0005-0000-0000-0000AF000000}"/>
    <cellStyle name="40% - Accent3 2" xfId="176" xr:uid="{00000000-0005-0000-0000-0000B0000000}"/>
    <cellStyle name="40% - Accent3 3" xfId="177" xr:uid="{00000000-0005-0000-0000-0000B1000000}"/>
    <cellStyle name="40% - Accent3 4" xfId="178" xr:uid="{00000000-0005-0000-0000-0000B2000000}"/>
    <cellStyle name="40% - Accent3 5" xfId="179" xr:uid="{00000000-0005-0000-0000-0000B3000000}"/>
    <cellStyle name="40% - Accent4" xfId="180" xr:uid="{00000000-0005-0000-0000-0000B4000000}"/>
    <cellStyle name="40% - Accent4 2" xfId="181" xr:uid="{00000000-0005-0000-0000-0000B5000000}"/>
    <cellStyle name="40% - Accent4 3" xfId="182" xr:uid="{00000000-0005-0000-0000-0000B6000000}"/>
    <cellStyle name="40% - Accent4 4" xfId="183" xr:uid="{00000000-0005-0000-0000-0000B7000000}"/>
    <cellStyle name="40% - Accent4 5" xfId="184" xr:uid="{00000000-0005-0000-0000-0000B8000000}"/>
    <cellStyle name="40% - Accent5" xfId="185" xr:uid="{00000000-0005-0000-0000-0000B9000000}"/>
    <cellStyle name="40% - Accent5 2" xfId="186" xr:uid="{00000000-0005-0000-0000-0000BA000000}"/>
    <cellStyle name="40% - Accent5 3" xfId="187" xr:uid="{00000000-0005-0000-0000-0000BB000000}"/>
    <cellStyle name="40% - Accent5 4" xfId="188" xr:uid="{00000000-0005-0000-0000-0000BC000000}"/>
    <cellStyle name="40% - Accent5 5" xfId="189" xr:uid="{00000000-0005-0000-0000-0000BD000000}"/>
    <cellStyle name="40% - Accent6" xfId="190" xr:uid="{00000000-0005-0000-0000-0000BE000000}"/>
    <cellStyle name="40% - Accent6 2" xfId="191" xr:uid="{00000000-0005-0000-0000-0000BF000000}"/>
    <cellStyle name="40% - Accent6 3" xfId="192" xr:uid="{00000000-0005-0000-0000-0000C0000000}"/>
    <cellStyle name="40% - Accent6 4" xfId="193" xr:uid="{00000000-0005-0000-0000-0000C1000000}"/>
    <cellStyle name="40% - Accent6 5" xfId="194" xr:uid="{00000000-0005-0000-0000-0000C2000000}"/>
    <cellStyle name="40% - Énfasis1 2" xfId="195" xr:uid="{00000000-0005-0000-0000-0000C3000000}"/>
    <cellStyle name="40% - Énfasis1 2 2" xfId="196" xr:uid="{00000000-0005-0000-0000-0000C4000000}"/>
    <cellStyle name="40% - Énfasis1 3" xfId="197" xr:uid="{00000000-0005-0000-0000-0000C5000000}"/>
    <cellStyle name="40% - Énfasis1 4" xfId="198" xr:uid="{00000000-0005-0000-0000-0000C6000000}"/>
    <cellStyle name="40% - Énfasis1 5" xfId="199" xr:uid="{00000000-0005-0000-0000-0000C7000000}"/>
    <cellStyle name="40% - Énfasis1 6" xfId="200" xr:uid="{00000000-0005-0000-0000-0000C8000000}"/>
    <cellStyle name="40% - Énfasis1 7" xfId="201" xr:uid="{00000000-0005-0000-0000-0000C9000000}"/>
    <cellStyle name="40% - Énfasis1 8" xfId="202" xr:uid="{00000000-0005-0000-0000-0000CA000000}"/>
    <cellStyle name="40% - Énfasis2 2" xfId="203" xr:uid="{00000000-0005-0000-0000-0000CB000000}"/>
    <cellStyle name="40% - Énfasis2 2 2" xfId="204" xr:uid="{00000000-0005-0000-0000-0000CC000000}"/>
    <cellStyle name="40% - Énfasis2 3" xfId="205" xr:uid="{00000000-0005-0000-0000-0000CD000000}"/>
    <cellStyle name="40% - Énfasis2 4" xfId="206" xr:uid="{00000000-0005-0000-0000-0000CE000000}"/>
    <cellStyle name="40% - Énfasis2 5" xfId="207" xr:uid="{00000000-0005-0000-0000-0000CF000000}"/>
    <cellStyle name="40% - Énfasis2 6" xfId="208" xr:uid="{00000000-0005-0000-0000-0000D0000000}"/>
    <cellStyle name="40% - Énfasis2 7" xfId="209" xr:uid="{00000000-0005-0000-0000-0000D1000000}"/>
    <cellStyle name="40% - Énfasis2 8" xfId="210" xr:uid="{00000000-0005-0000-0000-0000D2000000}"/>
    <cellStyle name="40% - Énfasis3 2" xfId="211" xr:uid="{00000000-0005-0000-0000-0000D3000000}"/>
    <cellStyle name="40% - Énfasis3 2 2" xfId="212" xr:uid="{00000000-0005-0000-0000-0000D4000000}"/>
    <cellStyle name="40% - Énfasis3 3" xfId="213" xr:uid="{00000000-0005-0000-0000-0000D5000000}"/>
    <cellStyle name="40% - Énfasis3 4" xfId="214" xr:uid="{00000000-0005-0000-0000-0000D6000000}"/>
    <cellStyle name="40% - Énfasis3 5" xfId="215" xr:uid="{00000000-0005-0000-0000-0000D7000000}"/>
    <cellStyle name="40% - Énfasis3 6" xfId="216" xr:uid="{00000000-0005-0000-0000-0000D8000000}"/>
    <cellStyle name="40% - Énfasis3 7" xfId="217" xr:uid="{00000000-0005-0000-0000-0000D9000000}"/>
    <cellStyle name="40% - Énfasis3 8" xfId="218" xr:uid="{00000000-0005-0000-0000-0000DA000000}"/>
    <cellStyle name="40% - Énfasis4 2" xfId="219" xr:uid="{00000000-0005-0000-0000-0000DB000000}"/>
    <cellStyle name="40% - Énfasis4 2 2" xfId="220" xr:uid="{00000000-0005-0000-0000-0000DC000000}"/>
    <cellStyle name="40% - Énfasis4 3" xfId="221" xr:uid="{00000000-0005-0000-0000-0000DD000000}"/>
    <cellStyle name="40% - Énfasis4 4" xfId="222" xr:uid="{00000000-0005-0000-0000-0000DE000000}"/>
    <cellStyle name="40% - Énfasis4 5" xfId="223" xr:uid="{00000000-0005-0000-0000-0000DF000000}"/>
    <cellStyle name="40% - Énfasis4 6" xfId="224" xr:uid="{00000000-0005-0000-0000-0000E0000000}"/>
    <cellStyle name="40% - Énfasis4 7" xfId="225" xr:uid="{00000000-0005-0000-0000-0000E1000000}"/>
    <cellStyle name="40% - Énfasis4 8" xfId="226" xr:uid="{00000000-0005-0000-0000-0000E2000000}"/>
    <cellStyle name="40% - Énfasis5 2" xfId="227" xr:uid="{00000000-0005-0000-0000-0000E3000000}"/>
    <cellStyle name="40% - Énfasis5 2 2" xfId="228" xr:uid="{00000000-0005-0000-0000-0000E4000000}"/>
    <cellStyle name="40% - Énfasis5 3" xfId="229" xr:uid="{00000000-0005-0000-0000-0000E5000000}"/>
    <cellStyle name="40% - Énfasis5 4" xfId="230" xr:uid="{00000000-0005-0000-0000-0000E6000000}"/>
    <cellStyle name="40% - Énfasis5 5" xfId="231" xr:uid="{00000000-0005-0000-0000-0000E7000000}"/>
    <cellStyle name="40% - Énfasis5 6" xfId="232" xr:uid="{00000000-0005-0000-0000-0000E8000000}"/>
    <cellStyle name="40% - Énfasis5 7" xfId="233" xr:uid="{00000000-0005-0000-0000-0000E9000000}"/>
    <cellStyle name="40% - Énfasis5 8" xfId="234" xr:uid="{00000000-0005-0000-0000-0000EA000000}"/>
    <cellStyle name="40% - Énfasis6 2" xfId="235" xr:uid="{00000000-0005-0000-0000-0000EB000000}"/>
    <cellStyle name="40% - Énfasis6 2 2" xfId="236" xr:uid="{00000000-0005-0000-0000-0000EC000000}"/>
    <cellStyle name="40% - Énfasis6 3" xfId="237" xr:uid="{00000000-0005-0000-0000-0000ED000000}"/>
    <cellStyle name="40% - Énfasis6 4" xfId="238" xr:uid="{00000000-0005-0000-0000-0000EE000000}"/>
    <cellStyle name="40% - Énfasis6 5" xfId="239" xr:uid="{00000000-0005-0000-0000-0000EF000000}"/>
    <cellStyle name="40% - Énfasis6 6" xfId="240" xr:uid="{00000000-0005-0000-0000-0000F0000000}"/>
    <cellStyle name="40% - Énfasis6 7" xfId="241" xr:uid="{00000000-0005-0000-0000-0000F1000000}"/>
    <cellStyle name="40% - Énfasis6 8" xfId="242" xr:uid="{00000000-0005-0000-0000-0000F2000000}"/>
    <cellStyle name="40% - 强调文字颜色 1" xfId="243" xr:uid="{00000000-0005-0000-0000-0000F3000000}"/>
    <cellStyle name="40% - 强调文字颜色 2" xfId="244" xr:uid="{00000000-0005-0000-0000-0000F4000000}"/>
    <cellStyle name="40% - 强调文字颜色 3" xfId="245" xr:uid="{00000000-0005-0000-0000-0000F5000000}"/>
    <cellStyle name="40% - 强调文字颜色 4" xfId="246" xr:uid="{00000000-0005-0000-0000-0000F6000000}"/>
    <cellStyle name="40% - 强调文字颜色 5" xfId="247" xr:uid="{00000000-0005-0000-0000-0000F7000000}"/>
    <cellStyle name="40% - 强调文字颜色 6" xfId="248" xr:uid="{00000000-0005-0000-0000-0000F8000000}"/>
    <cellStyle name="60% - Accent1" xfId="249" xr:uid="{00000000-0005-0000-0000-0000F9000000}"/>
    <cellStyle name="60% - Accent1 2" xfId="250" xr:uid="{00000000-0005-0000-0000-0000FA000000}"/>
    <cellStyle name="60% - Accent1 3" xfId="251" xr:uid="{00000000-0005-0000-0000-0000FB000000}"/>
    <cellStyle name="60% - Accent1 4" xfId="252" xr:uid="{00000000-0005-0000-0000-0000FC000000}"/>
    <cellStyle name="60% - Accent1 5" xfId="253" xr:uid="{00000000-0005-0000-0000-0000FD000000}"/>
    <cellStyle name="60% - Accent2" xfId="254" xr:uid="{00000000-0005-0000-0000-0000FE000000}"/>
    <cellStyle name="60% - Accent2 2" xfId="255" xr:uid="{00000000-0005-0000-0000-0000FF000000}"/>
    <cellStyle name="60% - Accent2 3" xfId="256" xr:uid="{00000000-0005-0000-0000-000000010000}"/>
    <cellStyle name="60% - Accent2 4" xfId="257" xr:uid="{00000000-0005-0000-0000-000001010000}"/>
    <cellStyle name="60% - Accent2 5" xfId="258" xr:uid="{00000000-0005-0000-0000-000002010000}"/>
    <cellStyle name="60% - Accent3" xfId="259" xr:uid="{00000000-0005-0000-0000-000003010000}"/>
    <cellStyle name="60% - Accent3 2" xfId="260" xr:uid="{00000000-0005-0000-0000-000004010000}"/>
    <cellStyle name="60% - Accent3 3" xfId="261" xr:uid="{00000000-0005-0000-0000-000005010000}"/>
    <cellStyle name="60% - Accent3 4" xfId="262" xr:uid="{00000000-0005-0000-0000-000006010000}"/>
    <cellStyle name="60% - Accent3 5" xfId="263" xr:uid="{00000000-0005-0000-0000-000007010000}"/>
    <cellStyle name="60% - Accent4" xfId="264" xr:uid="{00000000-0005-0000-0000-000008010000}"/>
    <cellStyle name="60% - Accent4 2" xfId="265" xr:uid="{00000000-0005-0000-0000-000009010000}"/>
    <cellStyle name="60% - Accent4 3" xfId="266" xr:uid="{00000000-0005-0000-0000-00000A010000}"/>
    <cellStyle name="60% - Accent4 4" xfId="267" xr:uid="{00000000-0005-0000-0000-00000B010000}"/>
    <cellStyle name="60% - Accent4 5" xfId="268" xr:uid="{00000000-0005-0000-0000-00000C010000}"/>
    <cellStyle name="60% - Accent5" xfId="269" xr:uid="{00000000-0005-0000-0000-00000D010000}"/>
    <cellStyle name="60% - Accent5 2" xfId="270" xr:uid="{00000000-0005-0000-0000-00000E010000}"/>
    <cellStyle name="60% - Accent5 3" xfId="271" xr:uid="{00000000-0005-0000-0000-00000F010000}"/>
    <cellStyle name="60% - Accent5 4" xfId="272" xr:uid="{00000000-0005-0000-0000-000010010000}"/>
    <cellStyle name="60% - Accent5 5" xfId="273" xr:uid="{00000000-0005-0000-0000-000011010000}"/>
    <cellStyle name="60% - Accent6" xfId="274" xr:uid="{00000000-0005-0000-0000-000012010000}"/>
    <cellStyle name="60% - Accent6 2" xfId="275" xr:uid="{00000000-0005-0000-0000-000013010000}"/>
    <cellStyle name="60% - Accent6 3" xfId="276" xr:uid="{00000000-0005-0000-0000-000014010000}"/>
    <cellStyle name="60% - Accent6 4" xfId="277" xr:uid="{00000000-0005-0000-0000-000015010000}"/>
    <cellStyle name="60% - Accent6 5" xfId="278" xr:uid="{00000000-0005-0000-0000-000016010000}"/>
    <cellStyle name="60% - Énfasis1 2" xfId="279" xr:uid="{00000000-0005-0000-0000-000017010000}"/>
    <cellStyle name="60% - Énfasis1 2 2" xfId="280" xr:uid="{00000000-0005-0000-0000-000018010000}"/>
    <cellStyle name="60% - Énfasis1 3" xfId="281" xr:uid="{00000000-0005-0000-0000-000019010000}"/>
    <cellStyle name="60% - Énfasis1 4" xfId="282" xr:uid="{00000000-0005-0000-0000-00001A010000}"/>
    <cellStyle name="60% - Énfasis1 5" xfId="283" xr:uid="{00000000-0005-0000-0000-00001B010000}"/>
    <cellStyle name="60% - Énfasis1 6" xfId="284" xr:uid="{00000000-0005-0000-0000-00001C010000}"/>
    <cellStyle name="60% - Énfasis1 7" xfId="285" xr:uid="{00000000-0005-0000-0000-00001D010000}"/>
    <cellStyle name="60% - Énfasis1 8" xfId="286" xr:uid="{00000000-0005-0000-0000-00001E010000}"/>
    <cellStyle name="60% - Énfasis2 2" xfId="287" xr:uid="{00000000-0005-0000-0000-00001F010000}"/>
    <cellStyle name="60% - Énfasis2 2 2" xfId="288" xr:uid="{00000000-0005-0000-0000-000020010000}"/>
    <cellStyle name="60% - Énfasis2 3" xfId="289" xr:uid="{00000000-0005-0000-0000-000021010000}"/>
    <cellStyle name="60% - Énfasis2 4" xfId="290" xr:uid="{00000000-0005-0000-0000-000022010000}"/>
    <cellStyle name="60% - Énfasis2 5" xfId="291" xr:uid="{00000000-0005-0000-0000-000023010000}"/>
    <cellStyle name="60% - Énfasis2 6" xfId="292" xr:uid="{00000000-0005-0000-0000-000024010000}"/>
    <cellStyle name="60% - Énfasis2 7" xfId="293" xr:uid="{00000000-0005-0000-0000-000025010000}"/>
    <cellStyle name="60% - Énfasis2 8" xfId="294" xr:uid="{00000000-0005-0000-0000-000026010000}"/>
    <cellStyle name="60% - Énfasis3 2" xfId="295" xr:uid="{00000000-0005-0000-0000-000027010000}"/>
    <cellStyle name="60% - Énfasis3 2 2" xfId="296" xr:uid="{00000000-0005-0000-0000-000028010000}"/>
    <cellStyle name="60% - Énfasis3 3" xfId="297" xr:uid="{00000000-0005-0000-0000-000029010000}"/>
    <cellStyle name="60% - Énfasis3 4" xfId="298" xr:uid="{00000000-0005-0000-0000-00002A010000}"/>
    <cellStyle name="60% - Énfasis3 5" xfId="299" xr:uid="{00000000-0005-0000-0000-00002B010000}"/>
    <cellStyle name="60% - Énfasis3 6" xfId="300" xr:uid="{00000000-0005-0000-0000-00002C010000}"/>
    <cellStyle name="60% - Énfasis3 7" xfId="301" xr:uid="{00000000-0005-0000-0000-00002D010000}"/>
    <cellStyle name="60% - Énfasis3 8" xfId="302" xr:uid="{00000000-0005-0000-0000-00002E010000}"/>
    <cellStyle name="60% - Énfasis4 2" xfId="303" xr:uid="{00000000-0005-0000-0000-00002F010000}"/>
    <cellStyle name="60% - Énfasis4 2 2" xfId="304" xr:uid="{00000000-0005-0000-0000-000030010000}"/>
    <cellStyle name="60% - Énfasis4 3" xfId="305" xr:uid="{00000000-0005-0000-0000-000031010000}"/>
    <cellStyle name="60% - Énfasis4 4" xfId="306" xr:uid="{00000000-0005-0000-0000-000032010000}"/>
    <cellStyle name="60% - Énfasis4 5" xfId="307" xr:uid="{00000000-0005-0000-0000-000033010000}"/>
    <cellStyle name="60% - Énfasis4 6" xfId="308" xr:uid="{00000000-0005-0000-0000-000034010000}"/>
    <cellStyle name="60% - Énfasis4 7" xfId="309" xr:uid="{00000000-0005-0000-0000-000035010000}"/>
    <cellStyle name="60% - Énfasis4 8" xfId="310" xr:uid="{00000000-0005-0000-0000-000036010000}"/>
    <cellStyle name="60% - Énfasis5 2" xfId="311" xr:uid="{00000000-0005-0000-0000-000037010000}"/>
    <cellStyle name="60% - Énfasis5 2 2" xfId="312" xr:uid="{00000000-0005-0000-0000-000038010000}"/>
    <cellStyle name="60% - Énfasis5 3" xfId="313" xr:uid="{00000000-0005-0000-0000-000039010000}"/>
    <cellStyle name="60% - Énfasis5 4" xfId="314" xr:uid="{00000000-0005-0000-0000-00003A010000}"/>
    <cellStyle name="60% - Énfasis5 5" xfId="315" xr:uid="{00000000-0005-0000-0000-00003B010000}"/>
    <cellStyle name="60% - Énfasis5 6" xfId="316" xr:uid="{00000000-0005-0000-0000-00003C010000}"/>
    <cellStyle name="60% - Énfasis5 7" xfId="317" xr:uid="{00000000-0005-0000-0000-00003D010000}"/>
    <cellStyle name="60% - Énfasis5 8" xfId="318" xr:uid="{00000000-0005-0000-0000-00003E010000}"/>
    <cellStyle name="60% - Énfasis6 2" xfId="319" xr:uid="{00000000-0005-0000-0000-00003F010000}"/>
    <cellStyle name="60% - Énfasis6 2 2" xfId="320" xr:uid="{00000000-0005-0000-0000-000040010000}"/>
    <cellStyle name="60% - Énfasis6 3" xfId="321" xr:uid="{00000000-0005-0000-0000-000041010000}"/>
    <cellStyle name="60% - Énfasis6 4" xfId="322" xr:uid="{00000000-0005-0000-0000-000042010000}"/>
    <cellStyle name="60% - Énfasis6 5" xfId="323" xr:uid="{00000000-0005-0000-0000-000043010000}"/>
    <cellStyle name="60% - Énfasis6 6" xfId="324" xr:uid="{00000000-0005-0000-0000-000044010000}"/>
    <cellStyle name="60% - Énfasis6 7" xfId="325" xr:uid="{00000000-0005-0000-0000-000045010000}"/>
    <cellStyle name="60% - Énfasis6 8" xfId="326" xr:uid="{00000000-0005-0000-0000-000046010000}"/>
    <cellStyle name="60% - 强调文字颜色 1" xfId="327" xr:uid="{00000000-0005-0000-0000-000047010000}"/>
    <cellStyle name="60% - 强调文字颜色 2" xfId="328" xr:uid="{00000000-0005-0000-0000-000048010000}"/>
    <cellStyle name="60% - 强调文字颜色 3" xfId="329" xr:uid="{00000000-0005-0000-0000-000049010000}"/>
    <cellStyle name="60% - 强调文字颜色 4" xfId="330" xr:uid="{00000000-0005-0000-0000-00004A010000}"/>
    <cellStyle name="60% - 强调文字颜色 5" xfId="331" xr:uid="{00000000-0005-0000-0000-00004B010000}"/>
    <cellStyle name="60% - 强调文字颜色 6" xfId="332" xr:uid="{00000000-0005-0000-0000-00004C010000}"/>
    <cellStyle name="Accent1" xfId="333" xr:uid="{00000000-0005-0000-0000-00004D010000}"/>
    <cellStyle name="Accent1 2" xfId="334" xr:uid="{00000000-0005-0000-0000-00004E010000}"/>
    <cellStyle name="Accent1 3" xfId="335" xr:uid="{00000000-0005-0000-0000-00004F010000}"/>
    <cellStyle name="Accent1 4" xfId="336" xr:uid="{00000000-0005-0000-0000-000050010000}"/>
    <cellStyle name="Accent1 5" xfId="337" xr:uid="{00000000-0005-0000-0000-000051010000}"/>
    <cellStyle name="Accent2" xfId="338" xr:uid="{00000000-0005-0000-0000-000052010000}"/>
    <cellStyle name="Accent2 2" xfId="339" xr:uid="{00000000-0005-0000-0000-000053010000}"/>
    <cellStyle name="Accent2 3" xfId="340" xr:uid="{00000000-0005-0000-0000-000054010000}"/>
    <cellStyle name="Accent2 4" xfId="341" xr:uid="{00000000-0005-0000-0000-000055010000}"/>
    <cellStyle name="Accent2 5" xfId="342" xr:uid="{00000000-0005-0000-0000-000056010000}"/>
    <cellStyle name="Accent3" xfId="343" xr:uid="{00000000-0005-0000-0000-000057010000}"/>
    <cellStyle name="Accent3 2" xfId="344" xr:uid="{00000000-0005-0000-0000-000058010000}"/>
    <cellStyle name="Accent3 3" xfId="345" xr:uid="{00000000-0005-0000-0000-000059010000}"/>
    <cellStyle name="Accent3 4" xfId="346" xr:uid="{00000000-0005-0000-0000-00005A010000}"/>
    <cellStyle name="Accent3 5" xfId="347" xr:uid="{00000000-0005-0000-0000-00005B010000}"/>
    <cellStyle name="Accent4" xfId="348" xr:uid="{00000000-0005-0000-0000-00005C010000}"/>
    <cellStyle name="Accent4 2" xfId="349" xr:uid="{00000000-0005-0000-0000-00005D010000}"/>
    <cellStyle name="Accent4 3" xfId="350" xr:uid="{00000000-0005-0000-0000-00005E010000}"/>
    <cellStyle name="Accent4 4" xfId="351" xr:uid="{00000000-0005-0000-0000-00005F010000}"/>
    <cellStyle name="Accent4 5" xfId="352" xr:uid="{00000000-0005-0000-0000-000060010000}"/>
    <cellStyle name="Accent5" xfId="353" xr:uid="{00000000-0005-0000-0000-000061010000}"/>
    <cellStyle name="Accent5 2" xfId="354" xr:uid="{00000000-0005-0000-0000-000062010000}"/>
    <cellStyle name="Accent5 3" xfId="355" xr:uid="{00000000-0005-0000-0000-000063010000}"/>
    <cellStyle name="Accent5 4" xfId="356" xr:uid="{00000000-0005-0000-0000-000064010000}"/>
    <cellStyle name="Accent5 5" xfId="357" xr:uid="{00000000-0005-0000-0000-000065010000}"/>
    <cellStyle name="Accent6" xfId="358" xr:uid="{00000000-0005-0000-0000-000066010000}"/>
    <cellStyle name="Accent6 2" xfId="359" xr:uid="{00000000-0005-0000-0000-000067010000}"/>
    <cellStyle name="Accent6 3" xfId="360" xr:uid="{00000000-0005-0000-0000-000068010000}"/>
    <cellStyle name="Accent6 4" xfId="361" xr:uid="{00000000-0005-0000-0000-000069010000}"/>
    <cellStyle name="Accent6 5" xfId="362" xr:uid="{00000000-0005-0000-0000-00006A010000}"/>
    <cellStyle name="Bad" xfId="363" xr:uid="{00000000-0005-0000-0000-00006B010000}"/>
    <cellStyle name="Bad 2" xfId="364" xr:uid="{00000000-0005-0000-0000-00006C010000}"/>
    <cellStyle name="Bad 3" xfId="365" xr:uid="{00000000-0005-0000-0000-00006D010000}"/>
    <cellStyle name="Bad 4" xfId="366" xr:uid="{00000000-0005-0000-0000-00006E010000}"/>
    <cellStyle name="Bad 5" xfId="367" xr:uid="{00000000-0005-0000-0000-00006F010000}"/>
    <cellStyle name="Buena 2" xfId="368" xr:uid="{00000000-0005-0000-0000-000070010000}"/>
    <cellStyle name="Buena 2 2" xfId="369" xr:uid="{00000000-0005-0000-0000-000071010000}"/>
    <cellStyle name="Buena 2 2 2" xfId="370" xr:uid="{00000000-0005-0000-0000-000072010000}"/>
    <cellStyle name="Buena 2 2 2 2" xfId="371" xr:uid="{00000000-0005-0000-0000-000073010000}"/>
    <cellStyle name="Buena 2 2 2 2 2" xfId="372" xr:uid="{00000000-0005-0000-0000-000074010000}"/>
    <cellStyle name="Buena 2 2 3" xfId="373" xr:uid="{00000000-0005-0000-0000-000075010000}"/>
    <cellStyle name="Buena 2 2 4" xfId="374" xr:uid="{00000000-0005-0000-0000-000076010000}"/>
    <cellStyle name="Buena 2 3" xfId="375" xr:uid="{00000000-0005-0000-0000-000077010000}"/>
    <cellStyle name="Buena 2 4" xfId="376" xr:uid="{00000000-0005-0000-0000-000078010000}"/>
    <cellStyle name="Buena 3" xfId="377" xr:uid="{00000000-0005-0000-0000-000079010000}"/>
    <cellStyle name="Buena 4" xfId="378" xr:uid="{00000000-0005-0000-0000-00007A010000}"/>
    <cellStyle name="Buena 5" xfId="379" xr:uid="{00000000-0005-0000-0000-00007B010000}"/>
    <cellStyle name="Buena 6" xfId="380" xr:uid="{00000000-0005-0000-0000-00007C010000}"/>
    <cellStyle name="Buena 7" xfId="381" xr:uid="{00000000-0005-0000-0000-00007D010000}"/>
    <cellStyle name="Buena 8" xfId="382" xr:uid="{00000000-0005-0000-0000-00007E010000}"/>
    <cellStyle name="Buena 9" xfId="383" xr:uid="{00000000-0005-0000-0000-00007F010000}"/>
    <cellStyle name="Calculation" xfId="384" xr:uid="{00000000-0005-0000-0000-000080010000}"/>
    <cellStyle name="Calculation 2" xfId="385" xr:uid="{00000000-0005-0000-0000-000081010000}"/>
    <cellStyle name="Calculation 3" xfId="386" xr:uid="{00000000-0005-0000-0000-000082010000}"/>
    <cellStyle name="Calculation 4" xfId="387" xr:uid="{00000000-0005-0000-0000-000083010000}"/>
    <cellStyle name="Calculation 5" xfId="388" xr:uid="{00000000-0005-0000-0000-000084010000}"/>
    <cellStyle name="Cálculo 2" xfId="389" xr:uid="{00000000-0005-0000-0000-000085010000}"/>
    <cellStyle name="Cálculo 2 2" xfId="390" xr:uid="{00000000-0005-0000-0000-000086010000}"/>
    <cellStyle name="Cálculo 3" xfId="391" xr:uid="{00000000-0005-0000-0000-000087010000}"/>
    <cellStyle name="Cálculo 4" xfId="392" xr:uid="{00000000-0005-0000-0000-000088010000}"/>
    <cellStyle name="Cálculo 5" xfId="393" xr:uid="{00000000-0005-0000-0000-000089010000}"/>
    <cellStyle name="Cálculo 6" xfId="394" xr:uid="{00000000-0005-0000-0000-00008A010000}"/>
    <cellStyle name="Cálculo 7" xfId="395" xr:uid="{00000000-0005-0000-0000-00008B010000}"/>
    <cellStyle name="Cálculo 8" xfId="396" xr:uid="{00000000-0005-0000-0000-00008C010000}"/>
    <cellStyle name="Celda de comprobación 2" xfId="397" xr:uid="{00000000-0005-0000-0000-00008D010000}"/>
    <cellStyle name="Celda de comprobación 2 2" xfId="398" xr:uid="{00000000-0005-0000-0000-00008E010000}"/>
    <cellStyle name="Celda de comprobación 2 2 2" xfId="399" xr:uid="{00000000-0005-0000-0000-00008F010000}"/>
    <cellStyle name="Celda de comprobación 2 2 2 2" xfId="400" xr:uid="{00000000-0005-0000-0000-000090010000}"/>
    <cellStyle name="Celda de comprobación 2 2 2 2 2" xfId="401" xr:uid="{00000000-0005-0000-0000-000091010000}"/>
    <cellStyle name="Celda de comprobación 2 2 3" xfId="402" xr:uid="{00000000-0005-0000-0000-000092010000}"/>
    <cellStyle name="Celda de comprobación 2 2 4" xfId="403" xr:uid="{00000000-0005-0000-0000-000093010000}"/>
    <cellStyle name="Celda de comprobación 2 3" xfId="404" xr:uid="{00000000-0005-0000-0000-000094010000}"/>
    <cellStyle name="Celda de comprobación 2 4" xfId="405" xr:uid="{00000000-0005-0000-0000-000095010000}"/>
    <cellStyle name="Celda de comprobación 3" xfId="406" xr:uid="{00000000-0005-0000-0000-000096010000}"/>
    <cellStyle name="Celda de comprobación 4" xfId="407" xr:uid="{00000000-0005-0000-0000-000097010000}"/>
    <cellStyle name="Celda de comprobación 5" xfId="408" xr:uid="{00000000-0005-0000-0000-000098010000}"/>
    <cellStyle name="Celda de comprobación 6" xfId="409" xr:uid="{00000000-0005-0000-0000-000099010000}"/>
    <cellStyle name="Celda de comprobación 7" xfId="410" xr:uid="{00000000-0005-0000-0000-00009A010000}"/>
    <cellStyle name="Celda de comprobación 8" xfId="411" xr:uid="{00000000-0005-0000-0000-00009B010000}"/>
    <cellStyle name="Celda de comprobación 9" xfId="412" xr:uid="{00000000-0005-0000-0000-00009C010000}"/>
    <cellStyle name="Celda vinculada 2" xfId="413" xr:uid="{00000000-0005-0000-0000-00009D010000}"/>
    <cellStyle name="Celda vinculada 2 2" xfId="414" xr:uid="{00000000-0005-0000-0000-00009E010000}"/>
    <cellStyle name="Celda vinculada 2 2 2" xfId="415" xr:uid="{00000000-0005-0000-0000-00009F010000}"/>
    <cellStyle name="Celda vinculada 2 2 2 2" xfId="416" xr:uid="{00000000-0005-0000-0000-0000A0010000}"/>
    <cellStyle name="Celda vinculada 2 2 2 2 2" xfId="417" xr:uid="{00000000-0005-0000-0000-0000A1010000}"/>
    <cellStyle name="Celda vinculada 2 2 3" xfId="418" xr:uid="{00000000-0005-0000-0000-0000A2010000}"/>
    <cellStyle name="Celda vinculada 2 2 4" xfId="419" xr:uid="{00000000-0005-0000-0000-0000A3010000}"/>
    <cellStyle name="Celda vinculada 2 3" xfId="420" xr:uid="{00000000-0005-0000-0000-0000A4010000}"/>
    <cellStyle name="Celda vinculada 2 4" xfId="421" xr:uid="{00000000-0005-0000-0000-0000A5010000}"/>
    <cellStyle name="Celda vinculada 3" xfId="422" xr:uid="{00000000-0005-0000-0000-0000A6010000}"/>
    <cellStyle name="Celda vinculada 4" xfId="423" xr:uid="{00000000-0005-0000-0000-0000A7010000}"/>
    <cellStyle name="Celda vinculada 5" xfId="424" xr:uid="{00000000-0005-0000-0000-0000A8010000}"/>
    <cellStyle name="Celda vinculada 6" xfId="425" xr:uid="{00000000-0005-0000-0000-0000A9010000}"/>
    <cellStyle name="Celda vinculada 7" xfId="426" xr:uid="{00000000-0005-0000-0000-0000AA010000}"/>
    <cellStyle name="Celda vinculada 8" xfId="427" xr:uid="{00000000-0005-0000-0000-0000AB010000}"/>
    <cellStyle name="Celda vinculada 9" xfId="428" xr:uid="{00000000-0005-0000-0000-0000AC010000}"/>
    <cellStyle name="Check Cell" xfId="429" xr:uid="{00000000-0005-0000-0000-0000AD010000}"/>
    <cellStyle name="Check Cell 2" xfId="430" xr:uid="{00000000-0005-0000-0000-0000AE010000}"/>
    <cellStyle name="Check Cell 3" xfId="431" xr:uid="{00000000-0005-0000-0000-0000AF010000}"/>
    <cellStyle name="Check Cell 4" xfId="432" xr:uid="{00000000-0005-0000-0000-0000B0010000}"/>
    <cellStyle name="Check Cell 5" xfId="433" xr:uid="{00000000-0005-0000-0000-0000B1010000}"/>
    <cellStyle name="Coma 2" xfId="434" xr:uid="{00000000-0005-0000-0000-0000B2010000}"/>
    <cellStyle name="Encabezado 4 2" xfId="435" xr:uid="{00000000-0005-0000-0000-0000B3010000}"/>
    <cellStyle name="Encabezado 4 2 2" xfId="436" xr:uid="{00000000-0005-0000-0000-0000B4010000}"/>
    <cellStyle name="Encabezado 4 2 2 2" xfId="437" xr:uid="{00000000-0005-0000-0000-0000B5010000}"/>
    <cellStyle name="Encabezado 4 2 2 2 2" xfId="438" xr:uid="{00000000-0005-0000-0000-0000B6010000}"/>
    <cellStyle name="Encabezado 4 2 2 2 2 2" xfId="439" xr:uid="{00000000-0005-0000-0000-0000B7010000}"/>
    <cellStyle name="Encabezado 4 2 2 3" xfId="440" xr:uid="{00000000-0005-0000-0000-0000B8010000}"/>
    <cellStyle name="Encabezado 4 2 2 4" xfId="441" xr:uid="{00000000-0005-0000-0000-0000B9010000}"/>
    <cellStyle name="Encabezado 4 2 3" xfId="442" xr:uid="{00000000-0005-0000-0000-0000BA010000}"/>
    <cellStyle name="Encabezado 4 2 4" xfId="443" xr:uid="{00000000-0005-0000-0000-0000BB010000}"/>
    <cellStyle name="Encabezado 4 3" xfId="444" xr:uid="{00000000-0005-0000-0000-0000BC010000}"/>
    <cellStyle name="Encabezado 4 4" xfId="445" xr:uid="{00000000-0005-0000-0000-0000BD010000}"/>
    <cellStyle name="Encabezado 4 5" xfId="446" xr:uid="{00000000-0005-0000-0000-0000BE010000}"/>
    <cellStyle name="Encabezado 4 6" xfId="447" xr:uid="{00000000-0005-0000-0000-0000BF010000}"/>
    <cellStyle name="Encabezado 4 7" xfId="448" xr:uid="{00000000-0005-0000-0000-0000C0010000}"/>
    <cellStyle name="Encabezado 4 8" xfId="449" xr:uid="{00000000-0005-0000-0000-0000C1010000}"/>
    <cellStyle name="Encabezado 4 9" xfId="450" xr:uid="{00000000-0005-0000-0000-0000C2010000}"/>
    <cellStyle name="Énfasis1 2" xfId="451" xr:uid="{00000000-0005-0000-0000-0000C3010000}"/>
    <cellStyle name="Énfasis1 2 2" xfId="452" xr:uid="{00000000-0005-0000-0000-0000C4010000}"/>
    <cellStyle name="Énfasis1 3" xfId="453" xr:uid="{00000000-0005-0000-0000-0000C5010000}"/>
    <cellStyle name="Énfasis1 4" xfId="454" xr:uid="{00000000-0005-0000-0000-0000C6010000}"/>
    <cellStyle name="Énfasis1 5" xfId="455" xr:uid="{00000000-0005-0000-0000-0000C7010000}"/>
    <cellStyle name="Énfasis1 6" xfId="456" xr:uid="{00000000-0005-0000-0000-0000C8010000}"/>
    <cellStyle name="Énfasis1 7" xfId="457" xr:uid="{00000000-0005-0000-0000-0000C9010000}"/>
    <cellStyle name="Énfasis1 8" xfId="458" xr:uid="{00000000-0005-0000-0000-0000CA010000}"/>
    <cellStyle name="Énfasis2 2" xfId="459" xr:uid="{00000000-0005-0000-0000-0000CB010000}"/>
    <cellStyle name="Énfasis2 2 2" xfId="460" xr:uid="{00000000-0005-0000-0000-0000CC010000}"/>
    <cellStyle name="Énfasis2 3" xfId="461" xr:uid="{00000000-0005-0000-0000-0000CD010000}"/>
    <cellStyle name="Énfasis2 4" xfId="462" xr:uid="{00000000-0005-0000-0000-0000CE010000}"/>
    <cellStyle name="Énfasis2 5" xfId="463" xr:uid="{00000000-0005-0000-0000-0000CF010000}"/>
    <cellStyle name="Énfasis2 6" xfId="464" xr:uid="{00000000-0005-0000-0000-0000D0010000}"/>
    <cellStyle name="Énfasis2 7" xfId="465" xr:uid="{00000000-0005-0000-0000-0000D1010000}"/>
    <cellStyle name="Énfasis2 8" xfId="466" xr:uid="{00000000-0005-0000-0000-0000D2010000}"/>
    <cellStyle name="Énfasis3 2" xfId="467" xr:uid="{00000000-0005-0000-0000-0000D3010000}"/>
    <cellStyle name="Énfasis3 2 2" xfId="468" xr:uid="{00000000-0005-0000-0000-0000D4010000}"/>
    <cellStyle name="Énfasis3 3" xfId="469" xr:uid="{00000000-0005-0000-0000-0000D5010000}"/>
    <cellStyle name="Énfasis3 4" xfId="470" xr:uid="{00000000-0005-0000-0000-0000D6010000}"/>
    <cellStyle name="Énfasis3 5" xfId="471" xr:uid="{00000000-0005-0000-0000-0000D7010000}"/>
    <cellStyle name="Énfasis3 6" xfId="472" xr:uid="{00000000-0005-0000-0000-0000D8010000}"/>
    <cellStyle name="Énfasis3 7" xfId="473" xr:uid="{00000000-0005-0000-0000-0000D9010000}"/>
    <cellStyle name="Énfasis3 8" xfId="474" xr:uid="{00000000-0005-0000-0000-0000DA010000}"/>
    <cellStyle name="Énfasis4 2" xfId="475" xr:uid="{00000000-0005-0000-0000-0000DB010000}"/>
    <cellStyle name="Énfasis4 2 2" xfId="476" xr:uid="{00000000-0005-0000-0000-0000DC010000}"/>
    <cellStyle name="Énfasis4 3" xfId="477" xr:uid="{00000000-0005-0000-0000-0000DD010000}"/>
    <cellStyle name="Énfasis4 4" xfId="478" xr:uid="{00000000-0005-0000-0000-0000DE010000}"/>
    <cellStyle name="Énfasis4 5" xfId="479" xr:uid="{00000000-0005-0000-0000-0000DF010000}"/>
    <cellStyle name="Énfasis4 6" xfId="480" xr:uid="{00000000-0005-0000-0000-0000E0010000}"/>
    <cellStyle name="Énfasis4 7" xfId="481" xr:uid="{00000000-0005-0000-0000-0000E1010000}"/>
    <cellStyle name="Énfasis4 8" xfId="482" xr:uid="{00000000-0005-0000-0000-0000E2010000}"/>
    <cellStyle name="Énfasis5 2" xfId="483" xr:uid="{00000000-0005-0000-0000-0000E3010000}"/>
    <cellStyle name="Énfasis5 2 2" xfId="484" xr:uid="{00000000-0005-0000-0000-0000E4010000}"/>
    <cellStyle name="Énfasis5 3" xfId="485" xr:uid="{00000000-0005-0000-0000-0000E5010000}"/>
    <cellStyle name="Énfasis5 4" xfId="486" xr:uid="{00000000-0005-0000-0000-0000E6010000}"/>
    <cellStyle name="Énfasis5 5" xfId="487" xr:uid="{00000000-0005-0000-0000-0000E7010000}"/>
    <cellStyle name="Énfasis5 6" xfId="488" xr:uid="{00000000-0005-0000-0000-0000E8010000}"/>
    <cellStyle name="Énfasis5 7" xfId="489" xr:uid="{00000000-0005-0000-0000-0000E9010000}"/>
    <cellStyle name="Énfasis5 8" xfId="490" xr:uid="{00000000-0005-0000-0000-0000EA010000}"/>
    <cellStyle name="Énfasis6 2" xfId="491" xr:uid="{00000000-0005-0000-0000-0000EB010000}"/>
    <cellStyle name="Énfasis6 2 2" xfId="492" xr:uid="{00000000-0005-0000-0000-0000EC010000}"/>
    <cellStyle name="Énfasis6 3" xfId="493" xr:uid="{00000000-0005-0000-0000-0000ED010000}"/>
    <cellStyle name="Énfasis6 4" xfId="494" xr:uid="{00000000-0005-0000-0000-0000EE010000}"/>
    <cellStyle name="Énfasis6 5" xfId="495" xr:uid="{00000000-0005-0000-0000-0000EF010000}"/>
    <cellStyle name="Énfasis6 6" xfId="496" xr:uid="{00000000-0005-0000-0000-0000F0010000}"/>
    <cellStyle name="Énfasis6 7" xfId="497" xr:uid="{00000000-0005-0000-0000-0000F1010000}"/>
    <cellStyle name="Énfasis6 8" xfId="498" xr:uid="{00000000-0005-0000-0000-0000F2010000}"/>
    <cellStyle name="Entrada 2" xfId="499" xr:uid="{00000000-0005-0000-0000-0000F3010000}"/>
    <cellStyle name="Entrada 2 2" xfId="500" xr:uid="{00000000-0005-0000-0000-0000F4010000}"/>
    <cellStyle name="Entrada 2 2 2" xfId="501" xr:uid="{00000000-0005-0000-0000-0000F5010000}"/>
    <cellStyle name="Entrada 2 2 2 2" xfId="502" xr:uid="{00000000-0005-0000-0000-0000F6010000}"/>
    <cellStyle name="Entrada 2 2 2 2 2" xfId="503" xr:uid="{00000000-0005-0000-0000-0000F7010000}"/>
    <cellStyle name="Entrada 2 2 3" xfId="504" xr:uid="{00000000-0005-0000-0000-0000F8010000}"/>
    <cellStyle name="Entrada 2 2 4" xfId="505" xr:uid="{00000000-0005-0000-0000-0000F9010000}"/>
    <cellStyle name="Entrada 2 3" xfId="506" xr:uid="{00000000-0005-0000-0000-0000FA010000}"/>
    <cellStyle name="Entrada 2 4" xfId="507" xr:uid="{00000000-0005-0000-0000-0000FB010000}"/>
    <cellStyle name="Entrada 3" xfId="508" xr:uid="{00000000-0005-0000-0000-0000FC010000}"/>
    <cellStyle name="Entrada 4" xfId="509" xr:uid="{00000000-0005-0000-0000-0000FD010000}"/>
    <cellStyle name="Entrada 5" xfId="510" xr:uid="{00000000-0005-0000-0000-0000FE010000}"/>
    <cellStyle name="Entrada 6" xfId="511" xr:uid="{00000000-0005-0000-0000-0000FF010000}"/>
    <cellStyle name="Entrada 7" xfId="512" xr:uid="{00000000-0005-0000-0000-000000020000}"/>
    <cellStyle name="Entrada 8" xfId="513" xr:uid="{00000000-0005-0000-0000-000001020000}"/>
    <cellStyle name="Entrada 9" xfId="514" xr:uid="{00000000-0005-0000-0000-000002020000}"/>
    <cellStyle name="Estilo 1" xfId="515" xr:uid="{00000000-0005-0000-0000-000003020000}"/>
    <cellStyle name="Estilo 1 10" xfId="516" xr:uid="{00000000-0005-0000-0000-000004020000}"/>
    <cellStyle name="Estilo 1 10 2" xfId="517" xr:uid="{00000000-0005-0000-0000-000005020000}"/>
    <cellStyle name="Estilo 1 10 3" xfId="518" xr:uid="{00000000-0005-0000-0000-000006020000}"/>
    <cellStyle name="Estilo 1 10_Enlaces" xfId="519" xr:uid="{00000000-0005-0000-0000-000007020000}"/>
    <cellStyle name="Estilo 1 100" xfId="520" xr:uid="{00000000-0005-0000-0000-000008020000}"/>
    <cellStyle name="Estilo 1 100 2" xfId="521" xr:uid="{00000000-0005-0000-0000-000009020000}"/>
    <cellStyle name="Estilo 1 101" xfId="522" xr:uid="{00000000-0005-0000-0000-00000A020000}"/>
    <cellStyle name="Estilo 1 101 2" xfId="523" xr:uid="{00000000-0005-0000-0000-00000B020000}"/>
    <cellStyle name="Estilo 1 102" xfId="524" xr:uid="{00000000-0005-0000-0000-00000C020000}"/>
    <cellStyle name="Estilo 1 102 2" xfId="525" xr:uid="{00000000-0005-0000-0000-00000D020000}"/>
    <cellStyle name="Estilo 1 103" xfId="526" xr:uid="{00000000-0005-0000-0000-00000E020000}"/>
    <cellStyle name="Estilo 1 103 2" xfId="527" xr:uid="{00000000-0005-0000-0000-00000F020000}"/>
    <cellStyle name="Estilo 1 104" xfId="528" xr:uid="{00000000-0005-0000-0000-000010020000}"/>
    <cellStyle name="Estilo 1 104 2" xfId="529" xr:uid="{00000000-0005-0000-0000-000011020000}"/>
    <cellStyle name="Estilo 1 105" xfId="530" xr:uid="{00000000-0005-0000-0000-000012020000}"/>
    <cellStyle name="Estilo 1 105 2" xfId="531" xr:uid="{00000000-0005-0000-0000-000013020000}"/>
    <cellStyle name="Estilo 1 106" xfId="532" xr:uid="{00000000-0005-0000-0000-000014020000}"/>
    <cellStyle name="Estilo 1 106 2" xfId="533" xr:uid="{00000000-0005-0000-0000-000015020000}"/>
    <cellStyle name="Estilo 1 107" xfId="534" xr:uid="{00000000-0005-0000-0000-000016020000}"/>
    <cellStyle name="Estilo 1 107 2" xfId="535" xr:uid="{00000000-0005-0000-0000-000017020000}"/>
    <cellStyle name="Estilo 1 108" xfId="536" xr:uid="{00000000-0005-0000-0000-000018020000}"/>
    <cellStyle name="Estilo 1 108 2" xfId="537" xr:uid="{00000000-0005-0000-0000-000019020000}"/>
    <cellStyle name="Estilo 1 109" xfId="538" xr:uid="{00000000-0005-0000-0000-00001A020000}"/>
    <cellStyle name="Estilo 1 109 2" xfId="539" xr:uid="{00000000-0005-0000-0000-00001B020000}"/>
    <cellStyle name="Estilo 1 11" xfId="540" xr:uid="{00000000-0005-0000-0000-00001C020000}"/>
    <cellStyle name="Estilo 1 11 2" xfId="541" xr:uid="{00000000-0005-0000-0000-00001D020000}"/>
    <cellStyle name="Estilo 1 11 3" xfId="542" xr:uid="{00000000-0005-0000-0000-00001E020000}"/>
    <cellStyle name="Estilo 1 11_Enlaces" xfId="543" xr:uid="{00000000-0005-0000-0000-00001F020000}"/>
    <cellStyle name="Estilo 1 110" xfId="544" xr:uid="{00000000-0005-0000-0000-000020020000}"/>
    <cellStyle name="Estilo 1 110 2" xfId="545" xr:uid="{00000000-0005-0000-0000-000021020000}"/>
    <cellStyle name="Estilo 1 111" xfId="546" xr:uid="{00000000-0005-0000-0000-000022020000}"/>
    <cellStyle name="Estilo 1 111 2" xfId="547" xr:uid="{00000000-0005-0000-0000-000023020000}"/>
    <cellStyle name="Estilo 1 112" xfId="548" xr:uid="{00000000-0005-0000-0000-000024020000}"/>
    <cellStyle name="Estilo 1 112 2" xfId="549" xr:uid="{00000000-0005-0000-0000-000025020000}"/>
    <cellStyle name="Estilo 1 113" xfId="550" xr:uid="{00000000-0005-0000-0000-000026020000}"/>
    <cellStyle name="Estilo 1 113 2" xfId="551" xr:uid="{00000000-0005-0000-0000-000027020000}"/>
    <cellStyle name="Estilo 1 114" xfId="552" xr:uid="{00000000-0005-0000-0000-000028020000}"/>
    <cellStyle name="Estilo 1 114 2" xfId="553" xr:uid="{00000000-0005-0000-0000-000029020000}"/>
    <cellStyle name="Estilo 1 115" xfId="554" xr:uid="{00000000-0005-0000-0000-00002A020000}"/>
    <cellStyle name="Estilo 1 115 2" xfId="555" xr:uid="{00000000-0005-0000-0000-00002B020000}"/>
    <cellStyle name="Estilo 1 116" xfId="556" xr:uid="{00000000-0005-0000-0000-00002C020000}"/>
    <cellStyle name="Estilo 1 116 2" xfId="557" xr:uid="{00000000-0005-0000-0000-00002D020000}"/>
    <cellStyle name="Estilo 1 117" xfId="558" xr:uid="{00000000-0005-0000-0000-00002E020000}"/>
    <cellStyle name="Estilo 1 117 2" xfId="559" xr:uid="{00000000-0005-0000-0000-00002F020000}"/>
    <cellStyle name="Estilo 1 118" xfId="560" xr:uid="{00000000-0005-0000-0000-000030020000}"/>
    <cellStyle name="Estilo 1 118 2" xfId="561" xr:uid="{00000000-0005-0000-0000-000031020000}"/>
    <cellStyle name="Estilo 1 119" xfId="562" xr:uid="{00000000-0005-0000-0000-000032020000}"/>
    <cellStyle name="Estilo 1 119 2" xfId="563" xr:uid="{00000000-0005-0000-0000-000033020000}"/>
    <cellStyle name="Estilo 1 12" xfId="564" xr:uid="{00000000-0005-0000-0000-000034020000}"/>
    <cellStyle name="Estilo 1 12 2" xfId="565" xr:uid="{00000000-0005-0000-0000-000035020000}"/>
    <cellStyle name="Estilo 1 12 3" xfId="566" xr:uid="{00000000-0005-0000-0000-000036020000}"/>
    <cellStyle name="Estilo 1 12_Enlaces" xfId="567" xr:uid="{00000000-0005-0000-0000-000037020000}"/>
    <cellStyle name="Estilo 1 120" xfId="568" xr:uid="{00000000-0005-0000-0000-000038020000}"/>
    <cellStyle name="Estilo 1 120 2" xfId="569" xr:uid="{00000000-0005-0000-0000-000039020000}"/>
    <cellStyle name="Estilo 1 121" xfId="570" xr:uid="{00000000-0005-0000-0000-00003A020000}"/>
    <cellStyle name="Estilo 1 121 2" xfId="571" xr:uid="{00000000-0005-0000-0000-00003B020000}"/>
    <cellStyle name="Estilo 1 122" xfId="572" xr:uid="{00000000-0005-0000-0000-00003C020000}"/>
    <cellStyle name="Estilo 1 122 2" xfId="573" xr:uid="{00000000-0005-0000-0000-00003D020000}"/>
    <cellStyle name="Estilo 1 123" xfId="574" xr:uid="{00000000-0005-0000-0000-00003E020000}"/>
    <cellStyle name="Estilo 1 123 2" xfId="575" xr:uid="{00000000-0005-0000-0000-00003F020000}"/>
    <cellStyle name="Estilo 1 124" xfId="576" xr:uid="{00000000-0005-0000-0000-000040020000}"/>
    <cellStyle name="Estilo 1 124 2" xfId="577" xr:uid="{00000000-0005-0000-0000-000041020000}"/>
    <cellStyle name="Estilo 1 125" xfId="578" xr:uid="{00000000-0005-0000-0000-000042020000}"/>
    <cellStyle name="Estilo 1 125 2" xfId="579" xr:uid="{00000000-0005-0000-0000-000043020000}"/>
    <cellStyle name="Estilo 1 126" xfId="580" xr:uid="{00000000-0005-0000-0000-000044020000}"/>
    <cellStyle name="Estilo 1 126 2" xfId="581" xr:uid="{00000000-0005-0000-0000-000045020000}"/>
    <cellStyle name="Estilo 1 127" xfId="582" xr:uid="{00000000-0005-0000-0000-000046020000}"/>
    <cellStyle name="Estilo 1 127 2" xfId="583" xr:uid="{00000000-0005-0000-0000-000047020000}"/>
    <cellStyle name="Estilo 1 128" xfId="584" xr:uid="{00000000-0005-0000-0000-000048020000}"/>
    <cellStyle name="Estilo 1 128 2" xfId="585" xr:uid="{00000000-0005-0000-0000-000049020000}"/>
    <cellStyle name="Estilo 1 129" xfId="586" xr:uid="{00000000-0005-0000-0000-00004A020000}"/>
    <cellStyle name="Estilo 1 129 2" xfId="587" xr:uid="{00000000-0005-0000-0000-00004B020000}"/>
    <cellStyle name="Estilo 1 13" xfId="588" xr:uid="{00000000-0005-0000-0000-00004C020000}"/>
    <cellStyle name="Estilo 1 13 2" xfId="589" xr:uid="{00000000-0005-0000-0000-00004D020000}"/>
    <cellStyle name="Estilo 1 13 3" xfId="590" xr:uid="{00000000-0005-0000-0000-00004E020000}"/>
    <cellStyle name="Estilo 1 13_Enlaces" xfId="591" xr:uid="{00000000-0005-0000-0000-00004F020000}"/>
    <cellStyle name="Estilo 1 130" xfId="592" xr:uid="{00000000-0005-0000-0000-000050020000}"/>
    <cellStyle name="Estilo 1 130 2" xfId="593" xr:uid="{00000000-0005-0000-0000-000051020000}"/>
    <cellStyle name="Estilo 1 131" xfId="594" xr:uid="{00000000-0005-0000-0000-000052020000}"/>
    <cellStyle name="Estilo 1 131 2" xfId="595" xr:uid="{00000000-0005-0000-0000-000053020000}"/>
    <cellStyle name="Estilo 1 132" xfId="596" xr:uid="{00000000-0005-0000-0000-000054020000}"/>
    <cellStyle name="Estilo 1 132 2" xfId="597" xr:uid="{00000000-0005-0000-0000-000055020000}"/>
    <cellStyle name="Estilo 1 133" xfId="598" xr:uid="{00000000-0005-0000-0000-000056020000}"/>
    <cellStyle name="Estilo 1 133 2" xfId="599" xr:uid="{00000000-0005-0000-0000-000057020000}"/>
    <cellStyle name="Estilo 1 134" xfId="600" xr:uid="{00000000-0005-0000-0000-000058020000}"/>
    <cellStyle name="Estilo 1 134 2" xfId="601" xr:uid="{00000000-0005-0000-0000-000059020000}"/>
    <cellStyle name="Estilo 1 135" xfId="602" xr:uid="{00000000-0005-0000-0000-00005A020000}"/>
    <cellStyle name="Estilo 1 135 2" xfId="603" xr:uid="{00000000-0005-0000-0000-00005B020000}"/>
    <cellStyle name="Estilo 1 136" xfId="604" xr:uid="{00000000-0005-0000-0000-00005C020000}"/>
    <cellStyle name="Estilo 1 136 2" xfId="605" xr:uid="{00000000-0005-0000-0000-00005D020000}"/>
    <cellStyle name="Estilo 1 137" xfId="606" xr:uid="{00000000-0005-0000-0000-00005E020000}"/>
    <cellStyle name="Estilo 1 137 2" xfId="607" xr:uid="{00000000-0005-0000-0000-00005F020000}"/>
    <cellStyle name="Estilo 1 138" xfId="608" xr:uid="{00000000-0005-0000-0000-000060020000}"/>
    <cellStyle name="Estilo 1 138 2" xfId="609" xr:uid="{00000000-0005-0000-0000-000061020000}"/>
    <cellStyle name="Estilo 1 139" xfId="610" xr:uid="{00000000-0005-0000-0000-000062020000}"/>
    <cellStyle name="Estilo 1 139 2" xfId="611" xr:uid="{00000000-0005-0000-0000-000063020000}"/>
    <cellStyle name="Estilo 1 14" xfId="612" xr:uid="{00000000-0005-0000-0000-000064020000}"/>
    <cellStyle name="Estilo 1 14 2" xfId="613" xr:uid="{00000000-0005-0000-0000-000065020000}"/>
    <cellStyle name="Estilo 1 14 3" xfId="614" xr:uid="{00000000-0005-0000-0000-000066020000}"/>
    <cellStyle name="Estilo 1 14_Enlaces" xfId="615" xr:uid="{00000000-0005-0000-0000-000067020000}"/>
    <cellStyle name="Estilo 1 140" xfId="616" xr:uid="{00000000-0005-0000-0000-000068020000}"/>
    <cellStyle name="Estilo 1 140 2" xfId="617" xr:uid="{00000000-0005-0000-0000-000069020000}"/>
    <cellStyle name="Estilo 1 141" xfId="618" xr:uid="{00000000-0005-0000-0000-00006A020000}"/>
    <cellStyle name="Estilo 1 141 2" xfId="619" xr:uid="{00000000-0005-0000-0000-00006B020000}"/>
    <cellStyle name="Estilo 1 142" xfId="620" xr:uid="{00000000-0005-0000-0000-00006C020000}"/>
    <cellStyle name="Estilo 1 142 2" xfId="621" xr:uid="{00000000-0005-0000-0000-00006D020000}"/>
    <cellStyle name="Estilo 1 143" xfId="622" xr:uid="{00000000-0005-0000-0000-00006E020000}"/>
    <cellStyle name="Estilo 1 143 2" xfId="623" xr:uid="{00000000-0005-0000-0000-00006F020000}"/>
    <cellStyle name="Estilo 1 144" xfId="624" xr:uid="{00000000-0005-0000-0000-000070020000}"/>
    <cellStyle name="Estilo 1 144 2" xfId="625" xr:uid="{00000000-0005-0000-0000-000071020000}"/>
    <cellStyle name="Estilo 1 145" xfId="626" xr:uid="{00000000-0005-0000-0000-000072020000}"/>
    <cellStyle name="Estilo 1 145 2" xfId="627" xr:uid="{00000000-0005-0000-0000-000073020000}"/>
    <cellStyle name="Estilo 1 146" xfId="628" xr:uid="{00000000-0005-0000-0000-000074020000}"/>
    <cellStyle name="Estilo 1 146 2" xfId="629" xr:uid="{00000000-0005-0000-0000-000075020000}"/>
    <cellStyle name="Estilo 1 147" xfId="630" xr:uid="{00000000-0005-0000-0000-000076020000}"/>
    <cellStyle name="Estilo 1 147 2" xfId="631" xr:uid="{00000000-0005-0000-0000-000077020000}"/>
    <cellStyle name="Estilo 1 148" xfId="632" xr:uid="{00000000-0005-0000-0000-000078020000}"/>
    <cellStyle name="Estilo 1 148 2" xfId="633" xr:uid="{00000000-0005-0000-0000-000079020000}"/>
    <cellStyle name="Estilo 1 149" xfId="634" xr:uid="{00000000-0005-0000-0000-00007A020000}"/>
    <cellStyle name="Estilo 1 149 2" xfId="635" xr:uid="{00000000-0005-0000-0000-00007B020000}"/>
    <cellStyle name="Estilo 1 15" xfId="636" xr:uid="{00000000-0005-0000-0000-00007C020000}"/>
    <cellStyle name="Estilo 1 15 2" xfId="637" xr:uid="{00000000-0005-0000-0000-00007D020000}"/>
    <cellStyle name="Estilo 1 15 3" xfId="638" xr:uid="{00000000-0005-0000-0000-00007E020000}"/>
    <cellStyle name="Estilo 1 15_Enlaces" xfId="639" xr:uid="{00000000-0005-0000-0000-00007F020000}"/>
    <cellStyle name="Estilo 1 150" xfId="640" xr:uid="{00000000-0005-0000-0000-000080020000}"/>
    <cellStyle name="Estilo 1 150 2" xfId="641" xr:uid="{00000000-0005-0000-0000-000081020000}"/>
    <cellStyle name="Estilo 1 151" xfId="642" xr:uid="{00000000-0005-0000-0000-000082020000}"/>
    <cellStyle name="Estilo 1 151 2" xfId="643" xr:uid="{00000000-0005-0000-0000-000083020000}"/>
    <cellStyle name="Estilo 1 152" xfId="644" xr:uid="{00000000-0005-0000-0000-000084020000}"/>
    <cellStyle name="Estilo 1 152 2" xfId="645" xr:uid="{00000000-0005-0000-0000-000085020000}"/>
    <cellStyle name="Estilo 1 153" xfId="646" xr:uid="{00000000-0005-0000-0000-000086020000}"/>
    <cellStyle name="Estilo 1 153 2" xfId="647" xr:uid="{00000000-0005-0000-0000-000087020000}"/>
    <cellStyle name="Estilo 1 154" xfId="648" xr:uid="{00000000-0005-0000-0000-000088020000}"/>
    <cellStyle name="Estilo 1 154 2" xfId="649" xr:uid="{00000000-0005-0000-0000-000089020000}"/>
    <cellStyle name="Estilo 1 155" xfId="650" xr:uid="{00000000-0005-0000-0000-00008A020000}"/>
    <cellStyle name="Estilo 1 155 2" xfId="651" xr:uid="{00000000-0005-0000-0000-00008B020000}"/>
    <cellStyle name="Estilo 1 156" xfId="652" xr:uid="{00000000-0005-0000-0000-00008C020000}"/>
    <cellStyle name="Estilo 1 156 2" xfId="653" xr:uid="{00000000-0005-0000-0000-00008D020000}"/>
    <cellStyle name="Estilo 1 157" xfId="654" xr:uid="{00000000-0005-0000-0000-00008E020000}"/>
    <cellStyle name="Estilo 1 157 2" xfId="655" xr:uid="{00000000-0005-0000-0000-00008F020000}"/>
    <cellStyle name="Estilo 1 158" xfId="656" xr:uid="{00000000-0005-0000-0000-000090020000}"/>
    <cellStyle name="Estilo 1 158 2" xfId="657" xr:uid="{00000000-0005-0000-0000-000091020000}"/>
    <cellStyle name="Estilo 1 159" xfId="658" xr:uid="{00000000-0005-0000-0000-000092020000}"/>
    <cellStyle name="Estilo 1 159 2" xfId="659" xr:uid="{00000000-0005-0000-0000-000093020000}"/>
    <cellStyle name="Estilo 1 16" xfId="660" xr:uid="{00000000-0005-0000-0000-000094020000}"/>
    <cellStyle name="Estilo 1 16 2" xfId="661" xr:uid="{00000000-0005-0000-0000-000095020000}"/>
    <cellStyle name="Estilo 1 16 3" xfId="662" xr:uid="{00000000-0005-0000-0000-000096020000}"/>
    <cellStyle name="Estilo 1 16_Enlaces" xfId="663" xr:uid="{00000000-0005-0000-0000-000097020000}"/>
    <cellStyle name="Estilo 1 160" xfId="664" xr:uid="{00000000-0005-0000-0000-000098020000}"/>
    <cellStyle name="Estilo 1 160 2" xfId="665" xr:uid="{00000000-0005-0000-0000-000099020000}"/>
    <cellStyle name="Estilo 1 161" xfId="666" xr:uid="{00000000-0005-0000-0000-00009A020000}"/>
    <cellStyle name="Estilo 1 161 2" xfId="667" xr:uid="{00000000-0005-0000-0000-00009B020000}"/>
    <cellStyle name="Estilo 1 162" xfId="668" xr:uid="{00000000-0005-0000-0000-00009C020000}"/>
    <cellStyle name="Estilo 1 162 2" xfId="669" xr:uid="{00000000-0005-0000-0000-00009D020000}"/>
    <cellStyle name="Estilo 1 163" xfId="670" xr:uid="{00000000-0005-0000-0000-00009E020000}"/>
    <cellStyle name="Estilo 1 163 2" xfId="671" xr:uid="{00000000-0005-0000-0000-00009F020000}"/>
    <cellStyle name="Estilo 1 164" xfId="672" xr:uid="{00000000-0005-0000-0000-0000A0020000}"/>
    <cellStyle name="Estilo 1 164 2" xfId="673" xr:uid="{00000000-0005-0000-0000-0000A1020000}"/>
    <cellStyle name="Estilo 1 165" xfId="674" xr:uid="{00000000-0005-0000-0000-0000A2020000}"/>
    <cellStyle name="Estilo 1 165 2" xfId="675" xr:uid="{00000000-0005-0000-0000-0000A3020000}"/>
    <cellStyle name="Estilo 1 166" xfId="676" xr:uid="{00000000-0005-0000-0000-0000A4020000}"/>
    <cellStyle name="Estilo 1 166 2" xfId="677" xr:uid="{00000000-0005-0000-0000-0000A5020000}"/>
    <cellStyle name="Estilo 1 167" xfId="678" xr:uid="{00000000-0005-0000-0000-0000A6020000}"/>
    <cellStyle name="Estilo 1 167 2" xfId="679" xr:uid="{00000000-0005-0000-0000-0000A7020000}"/>
    <cellStyle name="Estilo 1 168" xfId="680" xr:uid="{00000000-0005-0000-0000-0000A8020000}"/>
    <cellStyle name="Estilo 1 168 2" xfId="681" xr:uid="{00000000-0005-0000-0000-0000A9020000}"/>
    <cellStyle name="Estilo 1 169" xfId="682" xr:uid="{00000000-0005-0000-0000-0000AA020000}"/>
    <cellStyle name="Estilo 1 169 2" xfId="683" xr:uid="{00000000-0005-0000-0000-0000AB020000}"/>
    <cellStyle name="Estilo 1 17" xfId="684" xr:uid="{00000000-0005-0000-0000-0000AC020000}"/>
    <cellStyle name="Estilo 1 17 2" xfId="685" xr:uid="{00000000-0005-0000-0000-0000AD020000}"/>
    <cellStyle name="Estilo 1 17 3" xfId="686" xr:uid="{00000000-0005-0000-0000-0000AE020000}"/>
    <cellStyle name="Estilo 1 17_Enlaces" xfId="687" xr:uid="{00000000-0005-0000-0000-0000AF020000}"/>
    <cellStyle name="Estilo 1 170" xfId="688" xr:uid="{00000000-0005-0000-0000-0000B0020000}"/>
    <cellStyle name="Estilo 1 170 2" xfId="689" xr:uid="{00000000-0005-0000-0000-0000B1020000}"/>
    <cellStyle name="Estilo 1 171" xfId="690" xr:uid="{00000000-0005-0000-0000-0000B2020000}"/>
    <cellStyle name="Estilo 1 171 2" xfId="691" xr:uid="{00000000-0005-0000-0000-0000B3020000}"/>
    <cellStyle name="Estilo 1 172" xfId="692" xr:uid="{00000000-0005-0000-0000-0000B4020000}"/>
    <cellStyle name="Estilo 1 172 2" xfId="693" xr:uid="{00000000-0005-0000-0000-0000B5020000}"/>
    <cellStyle name="Estilo 1 173" xfId="694" xr:uid="{00000000-0005-0000-0000-0000B6020000}"/>
    <cellStyle name="Estilo 1 173 2" xfId="695" xr:uid="{00000000-0005-0000-0000-0000B7020000}"/>
    <cellStyle name="Estilo 1 174" xfId="696" xr:uid="{00000000-0005-0000-0000-0000B8020000}"/>
    <cellStyle name="Estilo 1 174 2" xfId="697" xr:uid="{00000000-0005-0000-0000-0000B9020000}"/>
    <cellStyle name="Estilo 1 175" xfId="698" xr:uid="{00000000-0005-0000-0000-0000BA020000}"/>
    <cellStyle name="Estilo 1 175 2" xfId="699" xr:uid="{00000000-0005-0000-0000-0000BB020000}"/>
    <cellStyle name="Estilo 1 176" xfId="700" xr:uid="{00000000-0005-0000-0000-0000BC020000}"/>
    <cellStyle name="Estilo 1 176 2" xfId="701" xr:uid="{00000000-0005-0000-0000-0000BD020000}"/>
    <cellStyle name="Estilo 1 177" xfId="702" xr:uid="{00000000-0005-0000-0000-0000BE020000}"/>
    <cellStyle name="Estilo 1 177 2" xfId="703" xr:uid="{00000000-0005-0000-0000-0000BF020000}"/>
    <cellStyle name="Estilo 1 178" xfId="704" xr:uid="{00000000-0005-0000-0000-0000C0020000}"/>
    <cellStyle name="Estilo 1 178 2" xfId="705" xr:uid="{00000000-0005-0000-0000-0000C1020000}"/>
    <cellStyle name="Estilo 1 179" xfId="706" xr:uid="{00000000-0005-0000-0000-0000C2020000}"/>
    <cellStyle name="Estilo 1 179 2" xfId="707" xr:uid="{00000000-0005-0000-0000-0000C3020000}"/>
    <cellStyle name="Estilo 1 18" xfId="708" xr:uid="{00000000-0005-0000-0000-0000C4020000}"/>
    <cellStyle name="Estilo 1 18 2" xfId="709" xr:uid="{00000000-0005-0000-0000-0000C5020000}"/>
    <cellStyle name="Estilo 1 18 3" xfId="710" xr:uid="{00000000-0005-0000-0000-0000C6020000}"/>
    <cellStyle name="Estilo 1 18_Enlaces" xfId="711" xr:uid="{00000000-0005-0000-0000-0000C7020000}"/>
    <cellStyle name="Estilo 1 180" xfId="712" xr:uid="{00000000-0005-0000-0000-0000C8020000}"/>
    <cellStyle name="Estilo 1 180 2" xfId="713" xr:uid="{00000000-0005-0000-0000-0000C9020000}"/>
    <cellStyle name="Estilo 1 181" xfId="714" xr:uid="{00000000-0005-0000-0000-0000CA020000}"/>
    <cellStyle name="Estilo 1 181 2" xfId="715" xr:uid="{00000000-0005-0000-0000-0000CB020000}"/>
    <cellStyle name="Estilo 1 182" xfId="716" xr:uid="{00000000-0005-0000-0000-0000CC020000}"/>
    <cellStyle name="Estilo 1 182 2" xfId="717" xr:uid="{00000000-0005-0000-0000-0000CD020000}"/>
    <cellStyle name="Estilo 1 183" xfId="718" xr:uid="{00000000-0005-0000-0000-0000CE020000}"/>
    <cellStyle name="Estilo 1 183 2" xfId="719" xr:uid="{00000000-0005-0000-0000-0000CF020000}"/>
    <cellStyle name="Estilo 1 184" xfId="720" xr:uid="{00000000-0005-0000-0000-0000D0020000}"/>
    <cellStyle name="Estilo 1 184 2" xfId="721" xr:uid="{00000000-0005-0000-0000-0000D1020000}"/>
    <cellStyle name="Estilo 1 185" xfId="722" xr:uid="{00000000-0005-0000-0000-0000D2020000}"/>
    <cellStyle name="Estilo 1 185 2" xfId="723" xr:uid="{00000000-0005-0000-0000-0000D3020000}"/>
    <cellStyle name="Estilo 1 186" xfId="724" xr:uid="{00000000-0005-0000-0000-0000D4020000}"/>
    <cellStyle name="Estilo 1 186 2" xfId="725" xr:uid="{00000000-0005-0000-0000-0000D5020000}"/>
    <cellStyle name="Estilo 1 187" xfId="726" xr:uid="{00000000-0005-0000-0000-0000D6020000}"/>
    <cellStyle name="Estilo 1 187 2" xfId="727" xr:uid="{00000000-0005-0000-0000-0000D7020000}"/>
    <cellStyle name="Estilo 1 188" xfId="728" xr:uid="{00000000-0005-0000-0000-0000D8020000}"/>
    <cellStyle name="Estilo 1 188 2" xfId="729" xr:uid="{00000000-0005-0000-0000-0000D9020000}"/>
    <cellStyle name="Estilo 1 189" xfId="730" xr:uid="{00000000-0005-0000-0000-0000DA020000}"/>
    <cellStyle name="Estilo 1 189 2" xfId="731" xr:uid="{00000000-0005-0000-0000-0000DB020000}"/>
    <cellStyle name="Estilo 1 19" xfId="732" xr:uid="{00000000-0005-0000-0000-0000DC020000}"/>
    <cellStyle name="Estilo 1 19 2" xfId="733" xr:uid="{00000000-0005-0000-0000-0000DD020000}"/>
    <cellStyle name="Estilo 1 19 3" xfId="734" xr:uid="{00000000-0005-0000-0000-0000DE020000}"/>
    <cellStyle name="Estilo 1 19_Enlaces" xfId="735" xr:uid="{00000000-0005-0000-0000-0000DF020000}"/>
    <cellStyle name="Estilo 1 190" xfId="736" xr:uid="{00000000-0005-0000-0000-0000E0020000}"/>
    <cellStyle name="Estilo 1 190 2" xfId="737" xr:uid="{00000000-0005-0000-0000-0000E1020000}"/>
    <cellStyle name="Estilo 1 191" xfId="738" xr:uid="{00000000-0005-0000-0000-0000E2020000}"/>
    <cellStyle name="Estilo 1 191 2" xfId="739" xr:uid="{00000000-0005-0000-0000-0000E3020000}"/>
    <cellStyle name="Estilo 1 192" xfId="740" xr:uid="{00000000-0005-0000-0000-0000E4020000}"/>
    <cellStyle name="Estilo 1 192 2" xfId="741" xr:uid="{00000000-0005-0000-0000-0000E5020000}"/>
    <cellStyle name="Estilo 1 193" xfId="742" xr:uid="{00000000-0005-0000-0000-0000E6020000}"/>
    <cellStyle name="Estilo 1 193 2" xfId="743" xr:uid="{00000000-0005-0000-0000-0000E7020000}"/>
    <cellStyle name="Estilo 1 194" xfId="744" xr:uid="{00000000-0005-0000-0000-0000E8020000}"/>
    <cellStyle name="Estilo 1 194 2" xfId="745" xr:uid="{00000000-0005-0000-0000-0000E9020000}"/>
    <cellStyle name="Estilo 1 195" xfId="746" xr:uid="{00000000-0005-0000-0000-0000EA020000}"/>
    <cellStyle name="Estilo 1 195 2" xfId="747" xr:uid="{00000000-0005-0000-0000-0000EB020000}"/>
    <cellStyle name="Estilo 1 196" xfId="748" xr:uid="{00000000-0005-0000-0000-0000EC020000}"/>
    <cellStyle name="Estilo 1 196 2" xfId="749" xr:uid="{00000000-0005-0000-0000-0000ED020000}"/>
    <cellStyle name="Estilo 1 197" xfId="750" xr:uid="{00000000-0005-0000-0000-0000EE020000}"/>
    <cellStyle name="Estilo 1 197 2" xfId="751" xr:uid="{00000000-0005-0000-0000-0000EF020000}"/>
    <cellStyle name="Estilo 1 198" xfId="752" xr:uid="{00000000-0005-0000-0000-0000F0020000}"/>
    <cellStyle name="Estilo 1 198 2" xfId="753" xr:uid="{00000000-0005-0000-0000-0000F1020000}"/>
    <cellStyle name="Estilo 1 199" xfId="754" xr:uid="{00000000-0005-0000-0000-0000F2020000}"/>
    <cellStyle name="Estilo 1 199 2" xfId="755" xr:uid="{00000000-0005-0000-0000-0000F3020000}"/>
    <cellStyle name="Estilo 1 2" xfId="756" xr:uid="{00000000-0005-0000-0000-0000F4020000}"/>
    <cellStyle name="Estilo 1 2 2" xfId="757" xr:uid="{00000000-0005-0000-0000-0000F5020000}"/>
    <cellStyle name="Estilo 1 2 2 2" xfId="758" xr:uid="{00000000-0005-0000-0000-0000F6020000}"/>
    <cellStyle name="Estilo 1 2 3" xfId="759" xr:uid="{00000000-0005-0000-0000-0000F7020000}"/>
    <cellStyle name="Estilo 1 2 3 2" xfId="760" xr:uid="{00000000-0005-0000-0000-0000F8020000}"/>
    <cellStyle name="Estilo 1 2 4" xfId="761" xr:uid="{00000000-0005-0000-0000-0000F9020000}"/>
    <cellStyle name="Estilo 1 2 4 2" xfId="762" xr:uid="{00000000-0005-0000-0000-0000FA020000}"/>
    <cellStyle name="Estilo 1 2 5" xfId="763" xr:uid="{00000000-0005-0000-0000-0000FB020000}"/>
    <cellStyle name="Estilo 1 2 6" xfId="764" xr:uid="{00000000-0005-0000-0000-0000FC020000}"/>
    <cellStyle name="Estilo 1 2 7" xfId="765" xr:uid="{00000000-0005-0000-0000-0000FD020000}"/>
    <cellStyle name="Estilo 1 2 7 2" xfId="766" xr:uid="{00000000-0005-0000-0000-0000FE020000}"/>
    <cellStyle name="Estilo 1 2_Enlaces" xfId="767" xr:uid="{00000000-0005-0000-0000-0000FF020000}"/>
    <cellStyle name="Estilo 1 20" xfId="768" xr:uid="{00000000-0005-0000-0000-000000030000}"/>
    <cellStyle name="Estilo 1 20 2" xfId="769" xr:uid="{00000000-0005-0000-0000-000001030000}"/>
    <cellStyle name="Estilo 1 20 3" xfId="770" xr:uid="{00000000-0005-0000-0000-000002030000}"/>
    <cellStyle name="Estilo 1 20_Enlaces" xfId="771" xr:uid="{00000000-0005-0000-0000-000003030000}"/>
    <cellStyle name="Estilo 1 200" xfId="772" xr:uid="{00000000-0005-0000-0000-000004030000}"/>
    <cellStyle name="Estilo 1 200 2" xfId="773" xr:uid="{00000000-0005-0000-0000-000005030000}"/>
    <cellStyle name="Estilo 1 21" xfId="774" xr:uid="{00000000-0005-0000-0000-000006030000}"/>
    <cellStyle name="Estilo 1 21 2" xfId="775" xr:uid="{00000000-0005-0000-0000-000007030000}"/>
    <cellStyle name="Estilo 1 21_Enlaces" xfId="776" xr:uid="{00000000-0005-0000-0000-000008030000}"/>
    <cellStyle name="Estilo 1 22" xfId="777" xr:uid="{00000000-0005-0000-0000-000009030000}"/>
    <cellStyle name="Estilo 1 22 2" xfId="778" xr:uid="{00000000-0005-0000-0000-00000A030000}"/>
    <cellStyle name="Estilo 1 22_Enlaces" xfId="779" xr:uid="{00000000-0005-0000-0000-00000B030000}"/>
    <cellStyle name="Estilo 1 23" xfId="780" xr:uid="{00000000-0005-0000-0000-00000C030000}"/>
    <cellStyle name="Estilo 1 23 2" xfId="781" xr:uid="{00000000-0005-0000-0000-00000D030000}"/>
    <cellStyle name="Estilo 1 23_Enlaces" xfId="782" xr:uid="{00000000-0005-0000-0000-00000E030000}"/>
    <cellStyle name="Estilo 1 24" xfId="783" xr:uid="{00000000-0005-0000-0000-00000F030000}"/>
    <cellStyle name="Estilo 1 24 2" xfId="784" xr:uid="{00000000-0005-0000-0000-000010030000}"/>
    <cellStyle name="Estilo 1 24_Enlaces" xfId="785" xr:uid="{00000000-0005-0000-0000-000011030000}"/>
    <cellStyle name="Estilo 1 25" xfId="786" xr:uid="{00000000-0005-0000-0000-000012030000}"/>
    <cellStyle name="Estilo 1 25 2" xfId="787" xr:uid="{00000000-0005-0000-0000-000013030000}"/>
    <cellStyle name="Estilo 1 25_Enlaces" xfId="788" xr:uid="{00000000-0005-0000-0000-000014030000}"/>
    <cellStyle name="Estilo 1 26" xfId="789" xr:uid="{00000000-0005-0000-0000-000015030000}"/>
    <cellStyle name="Estilo 1 26 2" xfId="790" xr:uid="{00000000-0005-0000-0000-000016030000}"/>
    <cellStyle name="Estilo 1 26_Enlaces" xfId="791" xr:uid="{00000000-0005-0000-0000-000017030000}"/>
    <cellStyle name="Estilo 1 27" xfId="792" xr:uid="{00000000-0005-0000-0000-000018030000}"/>
    <cellStyle name="Estilo 1 27 2" xfId="793" xr:uid="{00000000-0005-0000-0000-000019030000}"/>
    <cellStyle name="Estilo 1 27_Enlaces" xfId="794" xr:uid="{00000000-0005-0000-0000-00001A030000}"/>
    <cellStyle name="Estilo 1 28" xfId="795" xr:uid="{00000000-0005-0000-0000-00001B030000}"/>
    <cellStyle name="Estilo 1 29" xfId="796" xr:uid="{00000000-0005-0000-0000-00001C030000}"/>
    <cellStyle name="Estilo 1 3" xfId="797" xr:uid="{00000000-0005-0000-0000-00001D030000}"/>
    <cellStyle name="Estilo 1 3 2" xfId="798" xr:uid="{00000000-0005-0000-0000-00001E030000}"/>
    <cellStyle name="Estilo 1 3 3" xfId="799" xr:uid="{00000000-0005-0000-0000-00001F030000}"/>
    <cellStyle name="Estilo 1 3_Enlaces" xfId="800" xr:uid="{00000000-0005-0000-0000-000020030000}"/>
    <cellStyle name="Estilo 1 30" xfId="801" xr:uid="{00000000-0005-0000-0000-000021030000}"/>
    <cellStyle name="Estilo 1 31" xfId="802" xr:uid="{00000000-0005-0000-0000-000022030000}"/>
    <cellStyle name="Estilo 1 32" xfId="803" xr:uid="{00000000-0005-0000-0000-000023030000}"/>
    <cellStyle name="Estilo 1 33" xfId="804" xr:uid="{00000000-0005-0000-0000-000024030000}"/>
    <cellStyle name="Estilo 1 34" xfId="805" xr:uid="{00000000-0005-0000-0000-000025030000}"/>
    <cellStyle name="Estilo 1 35" xfId="806" xr:uid="{00000000-0005-0000-0000-000026030000}"/>
    <cellStyle name="Estilo 1 36" xfId="807" xr:uid="{00000000-0005-0000-0000-000027030000}"/>
    <cellStyle name="Estilo 1 37" xfId="808" xr:uid="{00000000-0005-0000-0000-000028030000}"/>
    <cellStyle name="Estilo 1 38" xfId="809" xr:uid="{00000000-0005-0000-0000-000029030000}"/>
    <cellStyle name="Estilo 1 39" xfId="810" xr:uid="{00000000-0005-0000-0000-00002A030000}"/>
    <cellStyle name="Estilo 1 4" xfId="811" xr:uid="{00000000-0005-0000-0000-00002B030000}"/>
    <cellStyle name="Estilo 1 4 2" xfId="812" xr:uid="{00000000-0005-0000-0000-00002C030000}"/>
    <cellStyle name="Estilo 1 4 3" xfId="813" xr:uid="{00000000-0005-0000-0000-00002D030000}"/>
    <cellStyle name="Estilo 1 4_Enlaces" xfId="814" xr:uid="{00000000-0005-0000-0000-00002E030000}"/>
    <cellStyle name="Estilo 1 40" xfId="815" xr:uid="{00000000-0005-0000-0000-00002F030000}"/>
    <cellStyle name="Estilo 1 41" xfId="816" xr:uid="{00000000-0005-0000-0000-000030030000}"/>
    <cellStyle name="Estilo 1 42" xfId="817" xr:uid="{00000000-0005-0000-0000-000031030000}"/>
    <cellStyle name="Estilo 1 43" xfId="818" xr:uid="{00000000-0005-0000-0000-000032030000}"/>
    <cellStyle name="Estilo 1 44" xfId="819" xr:uid="{00000000-0005-0000-0000-000033030000}"/>
    <cellStyle name="Estilo 1 45" xfId="820" xr:uid="{00000000-0005-0000-0000-000034030000}"/>
    <cellStyle name="Estilo 1 46" xfId="821" xr:uid="{00000000-0005-0000-0000-000035030000}"/>
    <cellStyle name="Estilo 1 47" xfId="822" xr:uid="{00000000-0005-0000-0000-000036030000}"/>
    <cellStyle name="Estilo 1 48" xfId="823" xr:uid="{00000000-0005-0000-0000-000037030000}"/>
    <cellStyle name="Estilo 1 49" xfId="824" xr:uid="{00000000-0005-0000-0000-000038030000}"/>
    <cellStyle name="Estilo 1 5" xfId="825" xr:uid="{00000000-0005-0000-0000-000039030000}"/>
    <cellStyle name="Estilo 1 5 2" xfId="826" xr:uid="{00000000-0005-0000-0000-00003A030000}"/>
    <cellStyle name="Estilo 1 5 3" xfId="827" xr:uid="{00000000-0005-0000-0000-00003B030000}"/>
    <cellStyle name="Estilo 1 5_Enlaces" xfId="828" xr:uid="{00000000-0005-0000-0000-00003C030000}"/>
    <cellStyle name="Estilo 1 50" xfId="829" xr:uid="{00000000-0005-0000-0000-00003D030000}"/>
    <cellStyle name="Estilo 1 51" xfId="830" xr:uid="{00000000-0005-0000-0000-00003E030000}"/>
    <cellStyle name="Estilo 1 52" xfId="831" xr:uid="{00000000-0005-0000-0000-00003F030000}"/>
    <cellStyle name="Estilo 1 53" xfId="832" xr:uid="{00000000-0005-0000-0000-000040030000}"/>
    <cellStyle name="Estilo 1 54" xfId="833" xr:uid="{00000000-0005-0000-0000-000041030000}"/>
    <cellStyle name="Estilo 1 55" xfId="834" xr:uid="{00000000-0005-0000-0000-000042030000}"/>
    <cellStyle name="Estilo 1 56" xfId="835" xr:uid="{00000000-0005-0000-0000-000043030000}"/>
    <cellStyle name="Estilo 1 57" xfId="836" xr:uid="{00000000-0005-0000-0000-000044030000}"/>
    <cellStyle name="Estilo 1 57 2" xfId="837" xr:uid="{00000000-0005-0000-0000-000045030000}"/>
    <cellStyle name="Estilo 1 57 3" xfId="838" xr:uid="{00000000-0005-0000-0000-000046030000}"/>
    <cellStyle name="Estilo 1 57 4" xfId="839" xr:uid="{00000000-0005-0000-0000-000047030000}"/>
    <cellStyle name="Estilo 1 57 5" xfId="840" xr:uid="{00000000-0005-0000-0000-000048030000}"/>
    <cellStyle name="Estilo 1 57 6" xfId="841" xr:uid="{00000000-0005-0000-0000-000049030000}"/>
    <cellStyle name="Estilo 1 58" xfId="842" xr:uid="{00000000-0005-0000-0000-00004A030000}"/>
    <cellStyle name="Estilo 1 58 2" xfId="843" xr:uid="{00000000-0005-0000-0000-00004B030000}"/>
    <cellStyle name="Estilo 1 58 3" xfId="844" xr:uid="{00000000-0005-0000-0000-00004C030000}"/>
    <cellStyle name="Estilo 1 58 4" xfId="845" xr:uid="{00000000-0005-0000-0000-00004D030000}"/>
    <cellStyle name="Estilo 1 58 5" xfId="846" xr:uid="{00000000-0005-0000-0000-00004E030000}"/>
    <cellStyle name="Estilo 1 58 6" xfId="847" xr:uid="{00000000-0005-0000-0000-00004F030000}"/>
    <cellStyle name="Estilo 1 59" xfId="848" xr:uid="{00000000-0005-0000-0000-000050030000}"/>
    <cellStyle name="Estilo 1 59 2" xfId="849" xr:uid="{00000000-0005-0000-0000-000051030000}"/>
    <cellStyle name="Estilo 1 59 3" xfId="850" xr:uid="{00000000-0005-0000-0000-000052030000}"/>
    <cellStyle name="Estilo 1 6" xfId="851" xr:uid="{00000000-0005-0000-0000-000053030000}"/>
    <cellStyle name="Estilo 1 6 2" xfId="852" xr:uid="{00000000-0005-0000-0000-000054030000}"/>
    <cellStyle name="Estilo 1 6 3" xfId="853" xr:uid="{00000000-0005-0000-0000-000055030000}"/>
    <cellStyle name="Estilo 1 6_Enlaces" xfId="854" xr:uid="{00000000-0005-0000-0000-000056030000}"/>
    <cellStyle name="Estilo 1 60" xfId="855" xr:uid="{00000000-0005-0000-0000-000057030000}"/>
    <cellStyle name="Estilo 1 60 2" xfId="856" xr:uid="{00000000-0005-0000-0000-000058030000}"/>
    <cellStyle name="Estilo 1 60 3" xfId="857" xr:uid="{00000000-0005-0000-0000-000059030000}"/>
    <cellStyle name="Estilo 1 61" xfId="858" xr:uid="{00000000-0005-0000-0000-00005A030000}"/>
    <cellStyle name="Estilo 1 61 2" xfId="859" xr:uid="{00000000-0005-0000-0000-00005B030000}"/>
    <cellStyle name="Estilo 1 61 3" xfId="860" xr:uid="{00000000-0005-0000-0000-00005C030000}"/>
    <cellStyle name="Estilo 1 62" xfId="861" xr:uid="{00000000-0005-0000-0000-00005D030000}"/>
    <cellStyle name="Estilo 1 62 2" xfId="862" xr:uid="{00000000-0005-0000-0000-00005E030000}"/>
    <cellStyle name="Estilo 1 62 3" xfId="863" xr:uid="{00000000-0005-0000-0000-00005F030000}"/>
    <cellStyle name="Estilo 1 63" xfId="864" xr:uid="{00000000-0005-0000-0000-000060030000}"/>
    <cellStyle name="Estilo 1 63 2" xfId="865" xr:uid="{00000000-0005-0000-0000-000061030000}"/>
    <cellStyle name="Estilo 1 63 3" xfId="866" xr:uid="{00000000-0005-0000-0000-000062030000}"/>
    <cellStyle name="Estilo 1 64" xfId="867" xr:uid="{00000000-0005-0000-0000-000063030000}"/>
    <cellStyle name="Estilo 1 64 2" xfId="868" xr:uid="{00000000-0005-0000-0000-000064030000}"/>
    <cellStyle name="Estilo 1 64 3" xfId="869" xr:uid="{00000000-0005-0000-0000-000065030000}"/>
    <cellStyle name="Estilo 1 65" xfId="870" xr:uid="{00000000-0005-0000-0000-000066030000}"/>
    <cellStyle name="Estilo 1 65 2" xfId="871" xr:uid="{00000000-0005-0000-0000-000067030000}"/>
    <cellStyle name="Estilo 1 65 3" xfId="872" xr:uid="{00000000-0005-0000-0000-000068030000}"/>
    <cellStyle name="Estilo 1 66" xfId="873" xr:uid="{00000000-0005-0000-0000-000069030000}"/>
    <cellStyle name="Estilo 1 66 2" xfId="874" xr:uid="{00000000-0005-0000-0000-00006A030000}"/>
    <cellStyle name="Estilo 1 66 3" xfId="875" xr:uid="{00000000-0005-0000-0000-00006B030000}"/>
    <cellStyle name="Estilo 1 67" xfId="876" xr:uid="{00000000-0005-0000-0000-00006C030000}"/>
    <cellStyle name="Estilo 1 67 2" xfId="877" xr:uid="{00000000-0005-0000-0000-00006D030000}"/>
    <cellStyle name="Estilo 1 67 3" xfId="878" xr:uid="{00000000-0005-0000-0000-00006E030000}"/>
    <cellStyle name="Estilo 1 68" xfId="879" xr:uid="{00000000-0005-0000-0000-00006F030000}"/>
    <cellStyle name="Estilo 1 68 2" xfId="880" xr:uid="{00000000-0005-0000-0000-000070030000}"/>
    <cellStyle name="Estilo 1 68 3" xfId="881" xr:uid="{00000000-0005-0000-0000-000071030000}"/>
    <cellStyle name="Estilo 1 69" xfId="882" xr:uid="{00000000-0005-0000-0000-000072030000}"/>
    <cellStyle name="Estilo 1 69 2" xfId="883" xr:uid="{00000000-0005-0000-0000-000073030000}"/>
    <cellStyle name="Estilo 1 69 3" xfId="884" xr:uid="{00000000-0005-0000-0000-000074030000}"/>
    <cellStyle name="Estilo 1 7" xfId="885" xr:uid="{00000000-0005-0000-0000-000075030000}"/>
    <cellStyle name="Estilo 1 7 2" xfId="886" xr:uid="{00000000-0005-0000-0000-000076030000}"/>
    <cellStyle name="Estilo 1 7 3" xfId="887" xr:uid="{00000000-0005-0000-0000-000077030000}"/>
    <cellStyle name="Estilo 1 7_Enlaces" xfId="888" xr:uid="{00000000-0005-0000-0000-000078030000}"/>
    <cellStyle name="Estilo 1 70" xfId="889" xr:uid="{00000000-0005-0000-0000-000079030000}"/>
    <cellStyle name="Estilo 1 70 2" xfId="890" xr:uid="{00000000-0005-0000-0000-00007A030000}"/>
    <cellStyle name="Estilo 1 70 3" xfId="891" xr:uid="{00000000-0005-0000-0000-00007B030000}"/>
    <cellStyle name="Estilo 1 71" xfId="892" xr:uid="{00000000-0005-0000-0000-00007C030000}"/>
    <cellStyle name="Estilo 1 71 2" xfId="893" xr:uid="{00000000-0005-0000-0000-00007D030000}"/>
    <cellStyle name="Estilo 1 71 3" xfId="894" xr:uid="{00000000-0005-0000-0000-00007E030000}"/>
    <cellStyle name="Estilo 1 72" xfId="895" xr:uid="{00000000-0005-0000-0000-00007F030000}"/>
    <cellStyle name="Estilo 1 72 2" xfId="896" xr:uid="{00000000-0005-0000-0000-000080030000}"/>
    <cellStyle name="Estilo 1 72 3" xfId="897" xr:uid="{00000000-0005-0000-0000-000081030000}"/>
    <cellStyle name="Estilo 1 73" xfId="898" xr:uid="{00000000-0005-0000-0000-000082030000}"/>
    <cellStyle name="Estilo 1 73 2" xfId="899" xr:uid="{00000000-0005-0000-0000-000083030000}"/>
    <cellStyle name="Estilo 1 73 3" xfId="900" xr:uid="{00000000-0005-0000-0000-000084030000}"/>
    <cellStyle name="Estilo 1 74" xfId="901" xr:uid="{00000000-0005-0000-0000-000085030000}"/>
    <cellStyle name="Estilo 1 74 2" xfId="902" xr:uid="{00000000-0005-0000-0000-000086030000}"/>
    <cellStyle name="Estilo 1 74 3" xfId="903" xr:uid="{00000000-0005-0000-0000-000087030000}"/>
    <cellStyle name="Estilo 1 75" xfId="904" xr:uid="{00000000-0005-0000-0000-000088030000}"/>
    <cellStyle name="Estilo 1 75 2" xfId="905" xr:uid="{00000000-0005-0000-0000-000089030000}"/>
    <cellStyle name="Estilo 1 75 3" xfId="906" xr:uid="{00000000-0005-0000-0000-00008A030000}"/>
    <cellStyle name="Estilo 1 76" xfId="907" xr:uid="{00000000-0005-0000-0000-00008B030000}"/>
    <cellStyle name="Estilo 1 76 2" xfId="908" xr:uid="{00000000-0005-0000-0000-00008C030000}"/>
    <cellStyle name="Estilo 1 76 3" xfId="909" xr:uid="{00000000-0005-0000-0000-00008D030000}"/>
    <cellStyle name="Estilo 1 77" xfId="910" xr:uid="{00000000-0005-0000-0000-00008E030000}"/>
    <cellStyle name="Estilo 1 77 2" xfId="911" xr:uid="{00000000-0005-0000-0000-00008F030000}"/>
    <cellStyle name="Estilo 1 77 3" xfId="912" xr:uid="{00000000-0005-0000-0000-000090030000}"/>
    <cellStyle name="Estilo 1 78" xfId="913" xr:uid="{00000000-0005-0000-0000-000091030000}"/>
    <cellStyle name="Estilo 1 78 2" xfId="914" xr:uid="{00000000-0005-0000-0000-000092030000}"/>
    <cellStyle name="Estilo 1 78 3" xfId="915" xr:uid="{00000000-0005-0000-0000-000093030000}"/>
    <cellStyle name="Estilo 1 79" xfId="916" xr:uid="{00000000-0005-0000-0000-000094030000}"/>
    <cellStyle name="Estilo 1 79 2" xfId="917" xr:uid="{00000000-0005-0000-0000-000095030000}"/>
    <cellStyle name="Estilo 1 79 3" xfId="918" xr:uid="{00000000-0005-0000-0000-000096030000}"/>
    <cellStyle name="Estilo 1 8" xfId="919" xr:uid="{00000000-0005-0000-0000-000097030000}"/>
    <cellStyle name="Estilo 1 8 2" xfId="920" xr:uid="{00000000-0005-0000-0000-000098030000}"/>
    <cellStyle name="Estilo 1 8 3" xfId="921" xr:uid="{00000000-0005-0000-0000-000099030000}"/>
    <cellStyle name="Estilo 1 8_Enlaces" xfId="922" xr:uid="{00000000-0005-0000-0000-00009A030000}"/>
    <cellStyle name="Estilo 1 80" xfId="923" xr:uid="{00000000-0005-0000-0000-00009B030000}"/>
    <cellStyle name="Estilo 1 80 2" xfId="924" xr:uid="{00000000-0005-0000-0000-00009C030000}"/>
    <cellStyle name="Estilo 1 80 3" xfId="925" xr:uid="{00000000-0005-0000-0000-00009D030000}"/>
    <cellStyle name="Estilo 1 81" xfId="926" xr:uid="{00000000-0005-0000-0000-00009E030000}"/>
    <cellStyle name="Estilo 1 81 2" xfId="927" xr:uid="{00000000-0005-0000-0000-00009F030000}"/>
    <cellStyle name="Estilo 1 81 3" xfId="928" xr:uid="{00000000-0005-0000-0000-0000A0030000}"/>
    <cellStyle name="Estilo 1 82" xfId="929" xr:uid="{00000000-0005-0000-0000-0000A1030000}"/>
    <cellStyle name="Estilo 1 82 2" xfId="930" xr:uid="{00000000-0005-0000-0000-0000A2030000}"/>
    <cellStyle name="Estilo 1 82 3" xfId="931" xr:uid="{00000000-0005-0000-0000-0000A3030000}"/>
    <cellStyle name="Estilo 1 83" xfId="932" xr:uid="{00000000-0005-0000-0000-0000A4030000}"/>
    <cellStyle name="Estilo 1 84" xfId="933" xr:uid="{00000000-0005-0000-0000-0000A5030000}"/>
    <cellStyle name="Estilo 1 85" xfId="934" xr:uid="{00000000-0005-0000-0000-0000A6030000}"/>
    <cellStyle name="Estilo 1 86" xfId="935" xr:uid="{00000000-0005-0000-0000-0000A7030000}"/>
    <cellStyle name="Estilo 1 87" xfId="936" xr:uid="{00000000-0005-0000-0000-0000A8030000}"/>
    <cellStyle name="Estilo 1 88" xfId="937" xr:uid="{00000000-0005-0000-0000-0000A9030000}"/>
    <cellStyle name="Estilo 1 89" xfId="938" xr:uid="{00000000-0005-0000-0000-0000AA030000}"/>
    <cellStyle name="Estilo 1 9" xfId="939" xr:uid="{00000000-0005-0000-0000-0000AB030000}"/>
    <cellStyle name="Estilo 1 9 2" xfId="940" xr:uid="{00000000-0005-0000-0000-0000AC030000}"/>
    <cellStyle name="Estilo 1 9 3" xfId="941" xr:uid="{00000000-0005-0000-0000-0000AD030000}"/>
    <cellStyle name="Estilo 1 9_Enlaces" xfId="942" xr:uid="{00000000-0005-0000-0000-0000AE030000}"/>
    <cellStyle name="Estilo 1 90" xfId="943" xr:uid="{00000000-0005-0000-0000-0000AF030000}"/>
    <cellStyle name="Estilo 1 90 2" xfId="944" xr:uid="{00000000-0005-0000-0000-0000B0030000}"/>
    <cellStyle name="Estilo 1 91" xfId="945" xr:uid="{00000000-0005-0000-0000-0000B1030000}"/>
    <cellStyle name="Estilo 1 91 2" xfId="946" xr:uid="{00000000-0005-0000-0000-0000B2030000}"/>
    <cellStyle name="Estilo 1 92" xfId="947" xr:uid="{00000000-0005-0000-0000-0000B3030000}"/>
    <cellStyle name="Estilo 1 92 2" xfId="948" xr:uid="{00000000-0005-0000-0000-0000B4030000}"/>
    <cellStyle name="Estilo 1 93" xfId="949" xr:uid="{00000000-0005-0000-0000-0000B5030000}"/>
    <cellStyle name="Estilo 1 93 2" xfId="950" xr:uid="{00000000-0005-0000-0000-0000B6030000}"/>
    <cellStyle name="Estilo 1 94" xfId="951" xr:uid="{00000000-0005-0000-0000-0000B7030000}"/>
    <cellStyle name="Estilo 1 94 2" xfId="952" xr:uid="{00000000-0005-0000-0000-0000B8030000}"/>
    <cellStyle name="Estilo 1 95" xfId="953" xr:uid="{00000000-0005-0000-0000-0000B9030000}"/>
    <cellStyle name="Estilo 1 95 2" xfId="954" xr:uid="{00000000-0005-0000-0000-0000BA030000}"/>
    <cellStyle name="Estilo 1 96" xfId="955" xr:uid="{00000000-0005-0000-0000-0000BB030000}"/>
    <cellStyle name="Estilo 1 96 2" xfId="956" xr:uid="{00000000-0005-0000-0000-0000BC030000}"/>
    <cellStyle name="Estilo 1 97" xfId="957" xr:uid="{00000000-0005-0000-0000-0000BD030000}"/>
    <cellStyle name="Estilo 1 97 2" xfId="958" xr:uid="{00000000-0005-0000-0000-0000BE030000}"/>
    <cellStyle name="Estilo 1 98" xfId="959" xr:uid="{00000000-0005-0000-0000-0000BF030000}"/>
    <cellStyle name="Estilo 1 98 2" xfId="960" xr:uid="{00000000-0005-0000-0000-0000C0030000}"/>
    <cellStyle name="Estilo 1 99" xfId="961" xr:uid="{00000000-0005-0000-0000-0000C1030000}"/>
    <cellStyle name="Estilo 1 99 2" xfId="962" xr:uid="{00000000-0005-0000-0000-0000C2030000}"/>
    <cellStyle name="Estilo 1_Enlaces" xfId="963" xr:uid="{00000000-0005-0000-0000-0000C3030000}"/>
    <cellStyle name="Euro" xfId="964" xr:uid="{00000000-0005-0000-0000-0000C4030000}"/>
    <cellStyle name="Euro 10" xfId="965" xr:uid="{00000000-0005-0000-0000-0000C5030000}"/>
    <cellStyle name="Euro 11" xfId="966" xr:uid="{00000000-0005-0000-0000-0000C6030000}"/>
    <cellStyle name="Euro 12" xfId="967" xr:uid="{00000000-0005-0000-0000-0000C7030000}"/>
    <cellStyle name="Euro 13" xfId="968" xr:uid="{00000000-0005-0000-0000-0000C8030000}"/>
    <cellStyle name="Euro 14" xfId="969" xr:uid="{00000000-0005-0000-0000-0000C9030000}"/>
    <cellStyle name="Euro 15" xfId="970" xr:uid="{00000000-0005-0000-0000-0000CA030000}"/>
    <cellStyle name="Euro 16" xfId="971" xr:uid="{00000000-0005-0000-0000-0000CB030000}"/>
    <cellStyle name="Euro 17" xfId="972" xr:uid="{00000000-0005-0000-0000-0000CC030000}"/>
    <cellStyle name="Euro 18" xfId="973" xr:uid="{00000000-0005-0000-0000-0000CD030000}"/>
    <cellStyle name="Euro 19" xfId="974" xr:uid="{00000000-0005-0000-0000-0000CE030000}"/>
    <cellStyle name="Euro 2" xfId="975" xr:uid="{00000000-0005-0000-0000-0000CF030000}"/>
    <cellStyle name="Euro 2 2" xfId="976" xr:uid="{00000000-0005-0000-0000-0000D0030000}"/>
    <cellStyle name="Euro 20" xfId="977" xr:uid="{00000000-0005-0000-0000-0000D1030000}"/>
    <cellStyle name="Euro 21" xfId="978" xr:uid="{00000000-0005-0000-0000-0000D2030000}"/>
    <cellStyle name="Euro 3" xfId="979" xr:uid="{00000000-0005-0000-0000-0000D3030000}"/>
    <cellStyle name="Euro 4" xfId="980" xr:uid="{00000000-0005-0000-0000-0000D4030000}"/>
    <cellStyle name="Euro 5" xfId="981" xr:uid="{00000000-0005-0000-0000-0000D5030000}"/>
    <cellStyle name="Euro 6" xfId="982" xr:uid="{00000000-0005-0000-0000-0000D6030000}"/>
    <cellStyle name="Euro 7" xfId="983" xr:uid="{00000000-0005-0000-0000-0000D7030000}"/>
    <cellStyle name="Euro 8" xfId="984" xr:uid="{00000000-0005-0000-0000-0000D8030000}"/>
    <cellStyle name="Euro 9" xfId="985" xr:uid="{00000000-0005-0000-0000-0000D9030000}"/>
    <cellStyle name="Excel Built-in Normal" xfId="8" xr:uid="{00000000-0005-0000-0000-000008000000}"/>
    <cellStyle name="Excel Built-in Normal 2" xfId="986" xr:uid="{00000000-0005-0000-0000-0000DA030000}"/>
    <cellStyle name="Excel Built-in Normal 2 2" xfId="987" xr:uid="{00000000-0005-0000-0000-0000DB030000}"/>
    <cellStyle name="Excel Built-in Normal 3" xfId="988" xr:uid="{00000000-0005-0000-0000-0000DC030000}"/>
    <cellStyle name="Explanatory Text" xfId="989" xr:uid="{00000000-0005-0000-0000-0000DD030000}"/>
    <cellStyle name="Explanatory Text 2" xfId="990" xr:uid="{00000000-0005-0000-0000-0000DE030000}"/>
    <cellStyle name="Explanatory Text 3" xfId="991" xr:uid="{00000000-0005-0000-0000-0000DF030000}"/>
    <cellStyle name="Explanatory Text 4" xfId="992" xr:uid="{00000000-0005-0000-0000-0000E0030000}"/>
    <cellStyle name="Explanatory Text 5" xfId="993" xr:uid="{00000000-0005-0000-0000-0000E1030000}"/>
    <cellStyle name="Good" xfId="994" xr:uid="{00000000-0005-0000-0000-0000E2030000}"/>
    <cellStyle name="Good 2" xfId="995" xr:uid="{00000000-0005-0000-0000-0000E3030000}"/>
    <cellStyle name="Good 3" xfId="996" xr:uid="{00000000-0005-0000-0000-0000E4030000}"/>
    <cellStyle name="Good 4" xfId="997" xr:uid="{00000000-0005-0000-0000-0000E5030000}"/>
    <cellStyle name="Good 5" xfId="998" xr:uid="{00000000-0005-0000-0000-0000E6030000}"/>
    <cellStyle name="Heading 1" xfId="999" xr:uid="{00000000-0005-0000-0000-0000E7030000}"/>
    <cellStyle name="Heading 1 2" xfId="1000" xr:uid="{00000000-0005-0000-0000-0000E8030000}"/>
    <cellStyle name="Heading 1 3" xfId="1001" xr:uid="{00000000-0005-0000-0000-0000E9030000}"/>
    <cellStyle name="Heading 1 4" xfId="1002" xr:uid="{00000000-0005-0000-0000-0000EA030000}"/>
    <cellStyle name="Heading 1 5" xfId="1003" xr:uid="{00000000-0005-0000-0000-0000EB030000}"/>
    <cellStyle name="Heading 2" xfId="1004" xr:uid="{00000000-0005-0000-0000-0000EC030000}"/>
    <cellStyle name="Heading 2 2" xfId="1005" xr:uid="{00000000-0005-0000-0000-0000ED030000}"/>
    <cellStyle name="Heading 2 3" xfId="1006" xr:uid="{00000000-0005-0000-0000-0000EE030000}"/>
    <cellStyle name="Heading 2 4" xfId="1007" xr:uid="{00000000-0005-0000-0000-0000EF030000}"/>
    <cellStyle name="Heading 2 5" xfId="1008" xr:uid="{00000000-0005-0000-0000-0000F0030000}"/>
    <cellStyle name="Heading 3" xfId="1009" xr:uid="{00000000-0005-0000-0000-0000F1030000}"/>
    <cellStyle name="Heading 3 2" xfId="1010" xr:uid="{00000000-0005-0000-0000-0000F2030000}"/>
    <cellStyle name="Heading 3 3" xfId="1011" xr:uid="{00000000-0005-0000-0000-0000F3030000}"/>
    <cellStyle name="Heading 3 4" xfId="1012" xr:uid="{00000000-0005-0000-0000-0000F4030000}"/>
    <cellStyle name="Heading 3 5" xfId="1013" xr:uid="{00000000-0005-0000-0000-0000F5030000}"/>
    <cellStyle name="Heading 4" xfId="1014" xr:uid="{00000000-0005-0000-0000-0000F6030000}"/>
    <cellStyle name="Heading 4 2" xfId="1015" xr:uid="{00000000-0005-0000-0000-0000F7030000}"/>
    <cellStyle name="Heading 4 3" xfId="1016" xr:uid="{00000000-0005-0000-0000-0000F8030000}"/>
    <cellStyle name="Heading 4 4" xfId="1017" xr:uid="{00000000-0005-0000-0000-0000F9030000}"/>
    <cellStyle name="Heading 4 5" xfId="1018" xr:uid="{00000000-0005-0000-0000-0000FA030000}"/>
    <cellStyle name="Hipervínculo 2" xfId="1019" xr:uid="{00000000-0005-0000-0000-0000FB030000}"/>
    <cellStyle name="Hipervínculo 2 2" xfId="1020" xr:uid="{00000000-0005-0000-0000-0000FC030000}"/>
    <cellStyle name="Hipervínculo 3" xfId="1021" xr:uid="{00000000-0005-0000-0000-0000FD030000}"/>
    <cellStyle name="Hipervínculo 3 2" xfId="1022" xr:uid="{00000000-0005-0000-0000-0000FE030000}"/>
    <cellStyle name="Hipervínculo 4" xfId="1023" xr:uid="{00000000-0005-0000-0000-0000FF030000}"/>
    <cellStyle name="Hipervínculo 5" xfId="1024" xr:uid="{00000000-0005-0000-0000-000000040000}"/>
    <cellStyle name="Hipervínculo 6" xfId="1025" xr:uid="{00000000-0005-0000-0000-000001040000}"/>
    <cellStyle name="Hyperlink" xfId="42" xr:uid="{00000000-0005-0000-0000-00002A000000}"/>
    <cellStyle name="Incorrecto 2" xfId="1026" xr:uid="{00000000-0005-0000-0000-000002040000}"/>
    <cellStyle name="Incorrecto 2 2" xfId="1027" xr:uid="{00000000-0005-0000-0000-000003040000}"/>
    <cellStyle name="Incorrecto 3" xfId="1028" xr:uid="{00000000-0005-0000-0000-000004040000}"/>
    <cellStyle name="Incorrecto 4" xfId="1029" xr:uid="{00000000-0005-0000-0000-000005040000}"/>
    <cellStyle name="Incorrecto 5" xfId="1030" xr:uid="{00000000-0005-0000-0000-000006040000}"/>
    <cellStyle name="Incorrecto 6" xfId="1031" xr:uid="{00000000-0005-0000-0000-000007040000}"/>
    <cellStyle name="Incorrecto 7" xfId="1032" xr:uid="{00000000-0005-0000-0000-000008040000}"/>
    <cellStyle name="Incorrecto 8" xfId="1033" xr:uid="{00000000-0005-0000-0000-000009040000}"/>
    <cellStyle name="Input" xfId="1034" xr:uid="{00000000-0005-0000-0000-00000A040000}"/>
    <cellStyle name="Input 2" xfId="1035" xr:uid="{00000000-0005-0000-0000-00000B040000}"/>
    <cellStyle name="Input 3" xfId="1036" xr:uid="{00000000-0005-0000-0000-00000C040000}"/>
    <cellStyle name="Input 4" xfId="1037" xr:uid="{00000000-0005-0000-0000-00000D040000}"/>
    <cellStyle name="Input 5" xfId="1038" xr:uid="{00000000-0005-0000-0000-00000E040000}"/>
    <cellStyle name="Linked Cell" xfId="1039" xr:uid="{00000000-0005-0000-0000-00000F040000}"/>
    <cellStyle name="Linked Cell 2" xfId="1040" xr:uid="{00000000-0005-0000-0000-000010040000}"/>
    <cellStyle name="Linked Cell 3" xfId="1041" xr:uid="{00000000-0005-0000-0000-000011040000}"/>
    <cellStyle name="Linked Cell 4" xfId="1042" xr:uid="{00000000-0005-0000-0000-000012040000}"/>
    <cellStyle name="Linked Cell 5" xfId="1043" xr:uid="{00000000-0005-0000-0000-000013040000}"/>
    <cellStyle name="Millares 10" xfId="1044" xr:uid="{00000000-0005-0000-0000-000014040000}"/>
    <cellStyle name="Millares 10 10" xfId="1045" xr:uid="{00000000-0005-0000-0000-000015040000}"/>
    <cellStyle name="Millares 10 11" xfId="1046" xr:uid="{00000000-0005-0000-0000-000016040000}"/>
    <cellStyle name="Millares 10 12" xfId="1047" xr:uid="{00000000-0005-0000-0000-000017040000}"/>
    <cellStyle name="Millares 10 13" xfId="1048" xr:uid="{00000000-0005-0000-0000-000018040000}"/>
    <cellStyle name="Millares 10 14" xfId="1049" xr:uid="{00000000-0005-0000-0000-000019040000}"/>
    <cellStyle name="Millares 10 15" xfId="1050" xr:uid="{00000000-0005-0000-0000-00001A040000}"/>
    <cellStyle name="Millares 10 16" xfId="1051" xr:uid="{00000000-0005-0000-0000-00001B040000}"/>
    <cellStyle name="Millares 10 17" xfId="1052" xr:uid="{00000000-0005-0000-0000-00001C040000}"/>
    <cellStyle name="Millares 10 18" xfId="1053" xr:uid="{00000000-0005-0000-0000-00001D040000}"/>
    <cellStyle name="Millares 10 19" xfId="1054" xr:uid="{00000000-0005-0000-0000-00001E040000}"/>
    <cellStyle name="Millares 10 2" xfId="1055" xr:uid="{00000000-0005-0000-0000-00001F040000}"/>
    <cellStyle name="Millares 10 2 2" xfId="1056" xr:uid="{00000000-0005-0000-0000-000020040000}"/>
    <cellStyle name="Millares 10 2 3" xfId="1057" xr:uid="{00000000-0005-0000-0000-000021040000}"/>
    <cellStyle name="Millares 10 20" xfId="1058" xr:uid="{00000000-0005-0000-0000-000022040000}"/>
    <cellStyle name="Millares 10 21" xfId="1059" xr:uid="{00000000-0005-0000-0000-000023040000}"/>
    <cellStyle name="Millares 10 22" xfId="1060" xr:uid="{00000000-0005-0000-0000-000024040000}"/>
    <cellStyle name="Millares 10 23" xfId="1061" xr:uid="{00000000-0005-0000-0000-000025040000}"/>
    <cellStyle name="Millares 10 24" xfId="1062" xr:uid="{00000000-0005-0000-0000-000026040000}"/>
    <cellStyle name="Millares 10 25" xfId="1063" xr:uid="{00000000-0005-0000-0000-000027040000}"/>
    <cellStyle name="Millares 10 3" xfId="1064" xr:uid="{00000000-0005-0000-0000-000028040000}"/>
    <cellStyle name="Millares 10 3 2" xfId="1065" xr:uid="{00000000-0005-0000-0000-000029040000}"/>
    <cellStyle name="Millares 10 3 3" xfId="1066" xr:uid="{00000000-0005-0000-0000-00002A040000}"/>
    <cellStyle name="Millares 10 4" xfId="1067" xr:uid="{00000000-0005-0000-0000-00002B040000}"/>
    <cellStyle name="Millares 10 5" xfId="1068" xr:uid="{00000000-0005-0000-0000-00002C040000}"/>
    <cellStyle name="Millares 10 6" xfId="1069" xr:uid="{00000000-0005-0000-0000-00002D040000}"/>
    <cellStyle name="Millares 10 7" xfId="1070" xr:uid="{00000000-0005-0000-0000-00002E040000}"/>
    <cellStyle name="Millares 10 8" xfId="1071" xr:uid="{00000000-0005-0000-0000-00002F040000}"/>
    <cellStyle name="Millares 10 9" xfId="1072" xr:uid="{00000000-0005-0000-0000-000030040000}"/>
    <cellStyle name="Millares 11" xfId="1073" xr:uid="{00000000-0005-0000-0000-000031040000}"/>
    <cellStyle name="Millares 11 2" xfId="1074" xr:uid="{00000000-0005-0000-0000-000032040000}"/>
    <cellStyle name="Millares 12" xfId="1075" xr:uid="{00000000-0005-0000-0000-000033040000}"/>
    <cellStyle name="Millares 12 2" xfId="1076" xr:uid="{00000000-0005-0000-0000-000034040000}"/>
    <cellStyle name="Millares 13" xfId="1077" xr:uid="{00000000-0005-0000-0000-000035040000}"/>
    <cellStyle name="Millares 13 2" xfId="1078" xr:uid="{00000000-0005-0000-0000-000036040000}"/>
    <cellStyle name="Millares 14" xfId="1079" xr:uid="{00000000-0005-0000-0000-000037040000}"/>
    <cellStyle name="Millares 15" xfId="1080" xr:uid="{00000000-0005-0000-0000-000038040000}"/>
    <cellStyle name="Millares 15 2" xfId="1081" xr:uid="{00000000-0005-0000-0000-000039040000}"/>
    <cellStyle name="Millares 16" xfId="1082" xr:uid="{00000000-0005-0000-0000-00003A040000}"/>
    <cellStyle name="Millares 16 2" xfId="1083" xr:uid="{00000000-0005-0000-0000-00003B040000}"/>
    <cellStyle name="Millares 17" xfId="1084" xr:uid="{00000000-0005-0000-0000-00003C040000}"/>
    <cellStyle name="Millares 17 2" xfId="1085" xr:uid="{00000000-0005-0000-0000-00003D040000}"/>
    <cellStyle name="Millares 18" xfId="1086" xr:uid="{00000000-0005-0000-0000-00003E040000}"/>
    <cellStyle name="Millares 19" xfId="1087" xr:uid="{00000000-0005-0000-0000-00003F040000}"/>
    <cellStyle name="Millares 19 2" xfId="1088" xr:uid="{00000000-0005-0000-0000-000040040000}"/>
    <cellStyle name="Millares 19 3" xfId="1089" xr:uid="{00000000-0005-0000-0000-000041040000}"/>
    <cellStyle name="Millares 2" xfId="16" xr:uid="{00000000-0005-0000-0000-000010000000}"/>
    <cellStyle name="Millares 2 10" xfId="1091" xr:uid="{00000000-0005-0000-0000-000043040000}"/>
    <cellStyle name="Millares 2 10 2" xfId="1092" xr:uid="{00000000-0005-0000-0000-000044040000}"/>
    <cellStyle name="Millares 2 10 3" xfId="1093" xr:uid="{00000000-0005-0000-0000-000045040000}"/>
    <cellStyle name="Millares 2 11" xfId="1094" xr:uid="{00000000-0005-0000-0000-000046040000}"/>
    <cellStyle name="Millares 2 12" xfId="1095" xr:uid="{00000000-0005-0000-0000-000047040000}"/>
    <cellStyle name="Millares 2 13" xfId="1096" xr:uid="{00000000-0005-0000-0000-000048040000}"/>
    <cellStyle name="Millares 2 13 2" xfId="1097" xr:uid="{00000000-0005-0000-0000-000049040000}"/>
    <cellStyle name="Millares 2 13 2 2" xfId="1098" xr:uid="{00000000-0005-0000-0000-00004A040000}"/>
    <cellStyle name="Millares 2 14" xfId="1099" xr:uid="{00000000-0005-0000-0000-00004B040000}"/>
    <cellStyle name="Millares 2 14 2" xfId="1100" xr:uid="{00000000-0005-0000-0000-00004C040000}"/>
    <cellStyle name="Millares 2 14 3" xfId="1101" xr:uid="{00000000-0005-0000-0000-00004D040000}"/>
    <cellStyle name="Millares 2 15" xfId="1102" xr:uid="{00000000-0005-0000-0000-00004E040000}"/>
    <cellStyle name="Millares 2 15 2" xfId="1103" xr:uid="{00000000-0005-0000-0000-00004F040000}"/>
    <cellStyle name="Millares 2 15 3" xfId="1104" xr:uid="{00000000-0005-0000-0000-000050040000}"/>
    <cellStyle name="Millares 2 16" xfId="1105" xr:uid="{00000000-0005-0000-0000-000051040000}"/>
    <cellStyle name="Millares 2 16 2" xfId="1106" xr:uid="{00000000-0005-0000-0000-000052040000}"/>
    <cellStyle name="Millares 2 17" xfId="1107" xr:uid="{00000000-0005-0000-0000-000053040000}"/>
    <cellStyle name="Millares 2 17 2" xfId="1108" xr:uid="{00000000-0005-0000-0000-000054040000}"/>
    <cellStyle name="Millares 2 18" xfId="1109" xr:uid="{00000000-0005-0000-0000-000055040000}"/>
    <cellStyle name="Millares 2 19" xfId="1110" xr:uid="{00000000-0005-0000-0000-000056040000}"/>
    <cellStyle name="Millares 2 2" xfId="28" xr:uid="{00000000-0005-0000-0000-00001C000000}"/>
    <cellStyle name="Millares 2 2 10" xfId="1112" xr:uid="{00000000-0005-0000-0000-000058040000}"/>
    <cellStyle name="Millares 2 2 11" xfId="1113" xr:uid="{00000000-0005-0000-0000-000059040000}"/>
    <cellStyle name="Millares 2 2 12" xfId="1114" xr:uid="{00000000-0005-0000-0000-00005A040000}"/>
    <cellStyle name="Millares 2 2 13" xfId="1115" xr:uid="{00000000-0005-0000-0000-00005B040000}"/>
    <cellStyle name="Millares 2 2 14" xfId="1116" xr:uid="{00000000-0005-0000-0000-00005C040000}"/>
    <cellStyle name="Millares 2 2 15" xfId="1117" xr:uid="{00000000-0005-0000-0000-00005D040000}"/>
    <cellStyle name="Millares 2 2 16" xfId="1118" xr:uid="{00000000-0005-0000-0000-00005E040000}"/>
    <cellStyle name="Millares 2 2 17" xfId="1119" xr:uid="{00000000-0005-0000-0000-00005F040000}"/>
    <cellStyle name="Millares 2 2 18" xfId="1120" xr:uid="{00000000-0005-0000-0000-000060040000}"/>
    <cellStyle name="Millares 2 2 19" xfId="1121" xr:uid="{00000000-0005-0000-0000-000061040000}"/>
    <cellStyle name="Millares 2 2 2" xfId="1122" xr:uid="{00000000-0005-0000-0000-000062040000}"/>
    <cellStyle name="Millares 2 2 2 10" xfId="1123" xr:uid="{00000000-0005-0000-0000-000063040000}"/>
    <cellStyle name="Millares 2 2 2 11" xfId="1124" xr:uid="{00000000-0005-0000-0000-000064040000}"/>
    <cellStyle name="Millares 2 2 2 12" xfId="1125" xr:uid="{00000000-0005-0000-0000-000065040000}"/>
    <cellStyle name="Millares 2 2 2 13" xfId="1126" xr:uid="{00000000-0005-0000-0000-000066040000}"/>
    <cellStyle name="Millares 2 2 2 14" xfId="1127" xr:uid="{00000000-0005-0000-0000-000067040000}"/>
    <cellStyle name="Millares 2 2 2 15" xfId="1128" xr:uid="{00000000-0005-0000-0000-000068040000}"/>
    <cellStyle name="Millares 2 2 2 16" xfId="1129" xr:uid="{00000000-0005-0000-0000-000069040000}"/>
    <cellStyle name="Millares 2 2 2 17" xfId="1130" xr:uid="{00000000-0005-0000-0000-00006A040000}"/>
    <cellStyle name="Millares 2 2 2 18" xfId="1131" xr:uid="{00000000-0005-0000-0000-00006B040000}"/>
    <cellStyle name="Millares 2 2 2 19" xfId="1132" xr:uid="{00000000-0005-0000-0000-00006C040000}"/>
    <cellStyle name="Millares 2 2 2 2" xfId="1133" xr:uid="{00000000-0005-0000-0000-00006D040000}"/>
    <cellStyle name="Millares 2 2 2 2 10" xfId="1134" xr:uid="{00000000-0005-0000-0000-00006E040000}"/>
    <cellStyle name="Millares 2 2 2 2 11" xfId="1135" xr:uid="{00000000-0005-0000-0000-00006F040000}"/>
    <cellStyle name="Millares 2 2 2 2 12" xfId="1136" xr:uid="{00000000-0005-0000-0000-000070040000}"/>
    <cellStyle name="Millares 2 2 2 2 13" xfId="1137" xr:uid="{00000000-0005-0000-0000-000071040000}"/>
    <cellStyle name="Millares 2 2 2 2 14" xfId="1138" xr:uid="{00000000-0005-0000-0000-000072040000}"/>
    <cellStyle name="Millares 2 2 2 2 15" xfId="1139" xr:uid="{00000000-0005-0000-0000-000073040000}"/>
    <cellStyle name="Millares 2 2 2 2 16" xfId="1140" xr:uid="{00000000-0005-0000-0000-000074040000}"/>
    <cellStyle name="Millares 2 2 2 2 17" xfId="1141" xr:uid="{00000000-0005-0000-0000-000075040000}"/>
    <cellStyle name="Millares 2 2 2 2 18" xfId="1142" xr:uid="{00000000-0005-0000-0000-000076040000}"/>
    <cellStyle name="Millares 2 2 2 2 19" xfId="1143" xr:uid="{00000000-0005-0000-0000-000077040000}"/>
    <cellStyle name="Millares 2 2 2 2 2" xfId="1144" xr:uid="{00000000-0005-0000-0000-000078040000}"/>
    <cellStyle name="Millares 2 2 2 2 2 10" xfId="1145" xr:uid="{00000000-0005-0000-0000-000079040000}"/>
    <cellStyle name="Millares 2 2 2 2 2 11" xfId="1146" xr:uid="{00000000-0005-0000-0000-00007A040000}"/>
    <cellStyle name="Millares 2 2 2 2 2 12" xfId="1147" xr:uid="{00000000-0005-0000-0000-00007B040000}"/>
    <cellStyle name="Millares 2 2 2 2 2 13" xfId="1148" xr:uid="{00000000-0005-0000-0000-00007C040000}"/>
    <cellStyle name="Millares 2 2 2 2 2 14" xfId="1149" xr:uid="{00000000-0005-0000-0000-00007D040000}"/>
    <cellStyle name="Millares 2 2 2 2 2 15" xfId="1150" xr:uid="{00000000-0005-0000-0000-00007E040000}"/>
    <cellStyle name="Millares 2 2 2 2 2 16" xfId="1151" xr:uid="{00000000-0005-0000-0000-00007F040000}"/>
    <cellStyle name="Millares 2 2 2 2 2 17" xfId="1152" xr:uid="{00000000-0005-0000-0000-000080040000}"/>
    <cellStyle name="Millares 2 2 2 2 2 18" xfId="1153" xr:uid="{00000000-0005-0000-0000-000081040000}"/>
    <cellStyle name="Millares 2 2 2 2 2 19" xfId="1154" xr:uid="{00000000-0005-0000-0000-000082040000}"/>
    <cellStyle name="Millares 2 2 2 2 2 2" xfId="1155" xr:uid="{00000000-0005-0000-0000-000083040000}"/>
    <cellStyle name="Millares 2 2 2 2 2 2 10" xfId="1156" xr:uid="{00000000-0005-0000-0000-000084040000}"/>
    <cellStyle name="Millares 2 2 2 2 2 2 11" xfId="1157" xr:uid="{00000000-0005-0000-0000-000085040000}"/>
    <cellStyle name="Millares 2 2 2 2 2 2 12" xfId="1158" xr:uid="{00000000-0005-0000-0000-000086040000}"/>
    <cellStyle name="Millares 2 2 2 2 2 2 13" xfId="1159" xr:uid="{00000000-0005-0000-0000-000087040000}"/>
    <cellStyle name="Millares 2 2 2 2 2 2 14" xfId="1160" xr:uid="{00000000-0005-0000-0000-000088040000}"/>
    <cellStyle name="Millares 2 2 2 2 2 2 15" xfId="1161" xr:uid="{00000000-0005-0000-0000-000089040000}"/>
    <cellStyle name="Millares 2 2 2 2 2 2 16" xfId="1162" xr:uid="{00000000-0005-0000-0000-00008A040000}"/>
    <cellStyle name="Millares 2 2 2 2 2 2 17" xfId="1163" xr:uid="{00000000-0005-0000-0000-00008B040000}"/>
    <cellStyle name="Millares 2 2 2 2 2 2 18" xfId="1164" xr:uid="{00000000-0005-0000-0000-00008C040000}"/>
    <cellStyle name="Millares 2 2 2 2 2 2 19" xfId="1165" xr:uid="{00000000-0005-0000-0000-00008D040000}"/>
    <cellStyle name="Millares 2 2 2 2 2 2 2" xfId="1166" xr:uid="{00000000-0005-0000-0000-00008E040000}"/>
    <cellStyle name="Millares 2 2 2 2 2 2 2 10" xfId="1167" xr:uid="{00000000-0005-0000-0000-00008F040000}"/>
    <cellStyle name="Millares 2 2 2 2 2 2 2 11" xfId="1168" xr:uid="{00000000-0005-0000-0000-000090040000}"/>
    <cellStyle name="Millares 2 2 2 2 2 2 2 12" xfId="1169" xr:uid="{00000000-0005-0000-0000-000091040000}"/>
    <cellStyle name="Millares 2 2 2 2 2 2 2 13" xfId="1170" xr:uid="{00000000-0005-0000-0000-000092040000}"/>
    <cellStyle name="Millares 2 2 2 2 2 2 2 14" xfId="1171" xr:uid="{00000000-0005-0000-0000-000093040000}"/>
    <cellStyle name="Millares 2 2 2 2 2 2 2 15" xfId="1172" xr:uid="{00000000-0005-0000-0000-000094040000}"/>
    <cellStyle name="Millares 2 2 2 2 2 2 2 16" xfId="1173" xr:uid="{00000000-0005-0000-0000-000095040000}"/>
    <cellStyle name="Millares 2 2 2 2 2 2 2 17" xfId="1174" xr:uid="{00000000-0005-0000-0000-000096040000}"/>
    <cellStyle name="Millares 2 2 2 2 2 2 2 18" xfId="1175" xr:uid="{00000000-0005-0000-0000-000097040000}"/>
    <cellStyle name="Millares 2 2 2 2 2 2 2 19" xfId="1176" xr:uid="{00000000-0005-0000-0000-000098040000}"/>
    <cellStyle name="Millares 2 2 2 2 2 2 2 2" xfId="1177" xr:uid="{00000000-0005-0000-0000-000099040000}"/>
    <cellStyle name="Millares 2 2 2 2 2 2 2 2 10" xfId="1178" xr:uid="{00000000-0005-0000-0000-00009A040000}"/>
    <cellStyle name="Millares 2 2 2 2 2 2 2 2 11" xfId="1179" xr:uid="{00000000-0005-0000-0000-00009B040000}"/>
    <cellStyle name="Millares 2 2 2 2 2 2 2 2 12" xfId="1180" xr:uid="{00000000-0005-0000-0000-00009C040000}"/>
    <cellStyle name="Millares 2 2 2 2 2 2 2 2 13" xfId="1181" xr:uid="{00000000-0005-0000-0000-00009D040000}"/>
    <cellStyle name="Millares 2 2 2 2 2 2 2 2 14" xfId="1182" xr:uid="{00000000-0005-0000-0000-00009E040000}"/>
    <cellStyle name="Millares 2 2 2 2 2 2 2 2 15" xfId="1183" xr:uid="{00000000-0005-0000-0000-00009F040000}"/>
    <cellStyle name="Millares 2 2 2 2 2 2 2 2 2" xfId="1184" xr:uid="{00000000-0005-0000-0000-0000A0040000}"/>
    <cellStyle name="Millares 2 2 2 2 2 2 2 2 2 10" xfId="1185" xr:uid="{00000000-0005-0000-0000-0000A1040000}"/>
    <cellStyle name="Millares 2 2 2 2 2 2 2 2 2 11" xfId="1186" xr:uid="{00000000-0005-0000-0000-0000A2040000}"/>
    <cellStyle name="Millares 2 2 2 2 2 2 2 2 2 12" xfId="1187" xr:uid="{00000000-0005-0000-0000-0000A3040000}"/>
    <cellStyle name="Millares 2 2 2 2 2 2 2 2 2 13" xfId="1188" xr:uid="{00000000-0005-0000-0000-0000A4040000}"/>
    <cellStyle name="Millares 2 2 2 2 2 2 2 2 2 14" xfId="1189" xr:uid="{00000000-0005-0000-0000-0000A5040000}"/>
    <cellStyle name="Millares 2 2 2 2 2 2 2 2 2 15" xfId="1190" xr:uid="{00000000-0005-0000-0000-0000A6040000}"/>
    <cellStyle name="Millares 2 2 2 2 2 2 2 2 2 2" xfId="1191" xr:uid="{00000000-0005-0000-0000-0000A7040000}"/>
    <cellStyle name="Millares 2 2 2 2 2 2 2 2 2 2 10" xfId="1192" xr:uid="{00000000-0005-0000-0000-0000A8040000}"/>
    <cellStyle name="Millares 2 2 2 2 2 2 2 2 2 2 11" xfId="1193" xr:uid="{00000000-0005-0000-0000-0000A9040000}"/>
    <cellStyle name="Millares 2 2 2 2 2 2 2 2 2 2 12" xfId="1194" xr:uid="{00000000-0005-0000-0000-0000AA040000}"/>
    <cellStyle name="Millares 2 2 2 2 2 2 2 2 2 2 2" xfId="1195" xr:uid="{00000000-0005-0000-0000-0000AB040000}"/>
    <cellStyle name="Millares 2 2 2 2 2 2 2 2 2 2 2 10" xfId="1196" xr:uid="{00000000-0005-0000-0000-0000AC040000}"/>
    <cellStyle name="Millares 2 2 2 2 2 2 2 2 2 2 2 2" xfId="1197" xr:uid="{00000000-0005-0000-0000-0000AD040000}"/>
    <cellStyle name="Millares 2 2 2 2 2 2 2 2 2 2 2 3" xfId="1198" xr:uid="{00000000-0005-0000-0000-0000AE040000}"/>
    <cellStyle name="Millares 2 2 2 2 2 2 2 2 2 2 2 4" xfId="1199" xr:uid="{00000000-0005-0000-0000-0000AF040000}"/>
    <cellStyle name="Millares 2 2 2 2 2 2 2 2 2 2 2 5" xfId="1200" xr:uid="{00000000-0005-0000-0000-0000B0040000}"/>
    <cellStyle name="Millares 2 2 2 2 2 2 2 2 2 2 2 6" xfId="1201" xr:uid="{00000000-0005-0000-0000-0000B1040000}"/>
    <cellStyle name="Millares 2 2 2 2 2 2 2 2 2 2 2 7" xfId="1202" xr:uid="{00000000-0005-0000-0000-0000B2040000}"/>
    <cellStyle name="Millares 2 2 2 2 2 2 2 2 2 2 2 8" xfId="1203" xr:uid="{00000000-0005-0000-0000-0000B3040000}"/>
    <cellStyle name="Millares 2 2 2 2 2 2 2 2 2 2 2 9" xfId="1204" xr:uid="{00000000-0005-0000-0000-0000B4040000}"/>
    <cellStyle name="Millares 2 2 2 2 2 2 2 2 2 2 3" xfId="1205" xr:uid="{00000000-0005-0000-0000-0000B5040000}"/>
    <cellStyle name="Millares 2 2 2 2 2 2 2 2 2 2 4" xfId="1206" xr:uid="{00000000-0005-0000-0000-0000B6040000}"/>
    <cellStyle name="Millares 2 2 2 2 2 2 2 2 2 2 5" xfId="1207" xr:uid="{00000000-0005-0000-0000-0000B7040000}"/>
    <cellStyle name="Millares 2 2 2 2 2 2 2 2 2 2 6" xfId="1208" xr:uid="{00000000-0005-0000-0000-0000B8040000}"/>
    <cellStyle name="Millares 2 2 2 2 2 2 2 2 2 2 7" xfId="1209" xr:uid="{00000000-0005-0000-0000-0000B9040000}"/>
    <cellStyle name="Millares 2 2 2 2 2 2 2 2 2 2 8" xfId="1210" xr:uid="{00000000-0005-0000-0000-0000BA040000}"/>
    <cellStyle name="Millares 2 2 2 2 2 2 2 2 2 2 9" xfId="1211" xr:uid="{00000000-0005-0000-0000-0000BB040000}"/>
    <cellStyle name="Millares 2 2 2 2 2 2 2 2 2 3" xfId="1212" xr:uid="{00000000-0005-0000-0000-0000BC040000}"/>
    <cellStyle name="Millares 2 2 2 2 2 2 2 2 2 4" xfId="1213" xr:uid="{00000000-0005-0000-0000-0000BD040000}"/>
    <cellStyle name="Millares 2 2 2 2 2 2 2 2 2 5" xfId="1214" xr:uid="{00000000-0005-0000-0000-0000BE040000}"/>
    <cellStyle name="Millares 2 2 2 2 2 2 2 2 2 6" xfId="1215" xr:uid="{00000000-0005-0000-0000-0000BF040000}"/>
    <cellStyle name="Millares 2 2 2 2 2 2 2 2 2 6 10" xfId="1216" xr:uid="{00000000-0005-0000-0000-0000C0040000}"/>
    <cellStyle name="Millares 2 2 2 2 2 2 2 2 2 6 2" xfId="1217" xr:uid="{00000000-0005-0000-0000-0000C1040000}"/>
    <cellStyle name="Millares 2 2 2 2 2 2 2 2 2 6 3" xfId="1218" xr:uid="{00000000-0005-0000-0000-0000C2040000}"/>
    <cellStyle name="Millares 2 2 2 2 2 2 2 2 2 6 4" xfId="1219" xr:uid="{00000000-0005-0000-0000-0000C3040000}"/>
    <cellStyle name="Millares 2 2 2 2 2 2 2 2 2 6 5" xfId="1220" xr:uid="{00000000-0005-0000-0000-0000C4040000}"/>
    <cellStyle name="Millares 2 2 2 2 2 2 2 2 2 6 6" xfId="1221" xr:uid="{00000000-0005-0000-0000-0000C5040000}"/>
    <cellStyle name="Millares 2 2 2 2 2 2 2 2 2 6 7" xfId="1222" xr:uid="{00000000-0005-0000-0000-0000C6040000}"/>
    <cellStyle name="Millares 2 2 2 2 2 2 2 2 2 6 8" xfId="1223" xr:uid="{00000000-0005-0000-0000-0000C7040000}"/>
    <cellStyle name="Millares 2 2 2 2 2 2 2 2 2 6 9" xfId="1224" xr:uid="{00000000-0005-0000-0000-0000C8040000}"/>
    <cellStyle name="Millares 2 2 2 2 2 2 2 2 2 7" xfId="1225" xr:uid="{00000000-0005-0000-0000-0000C9040000}"/>
    <cellStyle name="Millares 2 2 2 2 2 2 2 2 2 8" xfId="1226" xr:uid="{00000000-0005-0000-0000-0000CA040000}"/>
    <cellStyle name="Millares 2 2 2 2 2 2 2 2 2 9" xfId="1227" xr:uid="{00000000-0005-0000-0000-0000CB040000}"/>
    <cellStyle name="Millares 2 2 2 2 2 2 2 2 3" xfId="1228" xr:uid="{00000000-0005-0000-0000-0000CC040000}"/>
    <cellStyle name="Millares 2 2 2 2 2 2 2 2 4" xfId="1229" xr:uid="{00000000-0005-0000-0000-0000CD040000}"/>
    <cellStyle name="Millares 2 2 2 2 2 2 2 2 5" xfId="1230" xr:uid="{00000000-0005-0000-0000-0000CE040000}"/>
    <cellStyle name="Millares 2 2 2 2 2 2 2 2 6" xfId="1231" xr:uid="{00000000-0005-0000-0000-0000CF040000}"/>
    <cellStyle name="Millares 2 2 2 2 2 2 2 2 6 10" xfId="1232" xr:uid="{00000000-0005-0000-0000-0000D0040000}"/>
    <cellStyle name="Millares 2 2 2 2 2 2 2 2 6 2" xfId="1233" xr:uid="{00000000-0005-0000-0000-0000D1040000}"/>
    <cellStyle name="Millares 2 2 2 2 2 2 2 2 6 3" xfId="1234" xr:uid="{00000000-0005-0000-0000-0000D2040000}"/>
    <cellStyle name="Millares 2 2 2 2 2 2 2 2 6 4" xfId="1235" xr:uid="{00000000-0005-0000-0000-0000D3040000}"/>
    <cellStyle name="Millares 2 2 2 2 2 2 2 2 6 5" xfId="1236" xr:uid="{00000000-0005-0000-0000-0000D4040000}"/>
    <cellStyle name="Millares 2 2 2 2 2 2 2 2 6 6" xfId="1237" xr:uid="{00000000-0005-0000-0000-0000D5040000}"/>
    <cellStyle name="Millares 2 2 2 2 2 2 2 2 6 7" xfId="1238" xr:uid="{00000000-0005-0000-0000-0000D6040000}"/>
    <cellStyle name="Millares 2 2 2 2 2 2 2 2 6 8" xfId="1239" xr:uid="{00000000-0005-0000-0000-0000D7040000}"/>
    <cellStyle name="Millares 2 2 2 2 2 2 2 2 6 9" xfId="1240" xr:uid="{00000000-0005-0000-0000-0000D8040000}"/>
    <cellStyle name="Millares 2 2 2 2 2 2 2 2 7" xfId="1241" xr:uid="{00000000-0005-0000-0000-0000D9040000}"/>
    <cellStyle name="Millares 2 2 2 2 2 2 2 2 8" xfId="1242" xr:uid="{00000000-0005-0000-0000-0000DA040000}"/>
    <cellStyle name="Millares 2 2 2 2 2 2 2 2 9" xfId="1243" xr:uid="{00000000-0005-0000-0000-0000DB040000}"/>
    <cellStyle name="Millares 2 2 2 2 2 2 2 20" xfId="1244" xr:uid="{00000000-0005-0000-0000-0000DC040000}"/>
    <cellStyle name="Millares 2 2 2 2 2 2 2 21" xfId="1245" xr:uid="{00000000-0005-0000-0000-0000DD040000}"/>
    <cellStyle name="Millares 2 2 2 2 2 2 2 22" xfId="1246" xr:uid="{00000000-0005-0000-0000-0000DE040000}"/>
    <cellStyle name="Millares 2 2 2 2 2 2 2 23" xfId="1247" xr:uid="{00000000-0005-0000-0000-0000DF040000}"/>
    <cellStyle name="Millares 2 2 2 2 2 2 2 24" xfId="1248" xr:uid="{00000000-0005-0000-0000-0000E0040000}"/>
    <cellStyle name="Millares 2 2 2 2 2 2 2 25" xfId="1249" xr:uid="{00000000-0005-0000-0000-0000E1040000}"/>
    <cellStyle name="Millares 2 2 2 2 2 2 2 25 10" xfId="1250" xr:uid="{00000000-0005-0000-0000-0000E2040000}"/>
    <cellStyle name="Millares 2 2 2 2 2 2 2 25 2" xfId="1251" xr:uid="{00000000-0005-0000-0000-0000E3040000}"/>
    <cellStyle name="Millares 2 2 2 2 2 2 2 25 3" xfId="1252" xr:uid="{00000000-0005-0000-0000-0000E4040000}"/>
    <cellStyle name="Millares 2 2 2 2 2 2 2 25 4" xfId="1253" xr:uid="{00000000-0005-0000-0000-0000E5040000}"/>
    <cellStyle name="Millares 2 2 2 2 2 2 2 25 5" xfId="1254" xr:uid="{00000000-0005-0000-0000-0000E6040000}"/>
    <cellStyle name="Millares 2 2 2 2 2 2 2 25 6" xfId="1255" xr:uid="{00000000-0005-0000-0000-0000E7040000}"/>
    <cellStyle name="Millares 2 2 2 2 2 2 2 25 7" xfId="1256" xr:uid="{00000000-0005-0000-0000-0000E8040000}"/>
    <cellStyle name="Millares 2 2 2 2 2 2 2 25 8" xfId="1257" xr:uid="{00000000-0005-0000-0000-0000E9040000}"/>
    <cellStyle name="Millares 2 2 2 2 2 2 2 25 9" xfId="1258" xr:uid="{00000000-0005-0000-0000-0000EA040000}"/>
    <cellStyle name="Millares 2 2 2 2 2 2 2 26" xfId="1259" xr:uid="{00000000-0005-0000-0000-0000EB040000}"/>
    <cellStyle name="Millares 2 2 2 2 2 2 2 27" xfId="1260" xr:uid="{00000000-0005-0000-0000-0000EC040000}"/>
    <cellStyle name="Millares 2 2 2 2 2 2 2 28" xfId="1261" xr:uid="{00000000-0005-0000-0000-0000ED040000}"/>
    <cellStyle name="Millares 2 2 2 2 2 2 2 29" xfId="1262" xr:uid="{00000000-0005-0000-0000-0000EE040000}"/>
    <cellStyle name="Millares 2 2 2 2 2 2 2 3" xfId="1263" xr:uid="{00000000-0005-0000-0000-0000EF040000}"/>
    <cellStyle name="Millares 2 2 2 2 2 2 2 30" xfId="1264" xr:uid="{00000000-0005-0000-0000-0000F0040000}"/>
    <cellStyle name="Millares 2 2 2 2 2 2 2 31" xfId="1265" xr:uid="{00000000-0005-0000-0000-0000F1040000}"/>
    <cellStyle name="Millares 2 2 2 2 2 2 2 32" xfId="1266" xr:uid="{00000000-0005-0000-0000-0000F2040000}"/>
    <cellStyle name="Millares 2 2 2 2 2 2 2 33" xfId="1267" xr:uid="{00000000-0005-0000-0000-0000F3040000}"/>
    <cellStyle name="Millares 2 2 2 2 2 2 2 34" xfId="1268" xr:uid="{00000000-0005-0000-0000-0000F4040000}"/>
    <cellStyle name="Millares 2 2 2 2 2 2 2 4" xfId="1269" xr:uid="{00000000-0005-0000-0000-0000F5040000}"/>
    <cellStyle name="Millares 2 2 2 2 2 2 2 5" xfId="1270" xr:uid="{00000000-0005-0000-0000-0000F6040000}"/>
    <cellStyle name="Millares 2 2 2 2 2 2 2 6" xfId="1271" xr:uid="{00000000-0005-0000-0000-0000F7040000}"/>
    <cellStyle name="Millares 2 2 2 2 2 2 2 7" xfId="1272" xr:uid="{00000000-0005-0000-0000-0000F8040000}"/>
    <cellStyle name="Millares 2 2 2 2 2 2 2 8" xfId="1273" xr:uid="{00000000-0005-0000-0000-0000F9040000}"/>
    <cellStyle name="Millares 2 2 2 2 2 2 2 9" xfId="1274" xr:uid="{00000000-0005-0000-0000-0000FA040000}"/>
    <cellStyle name="Millares 2 2 2 2 2 2 20" xfId="1275" xr:uid="{00000000-0005-0000-0000-0000FB040000}"/>
    <cellStyle name="Millares 2 2 2 2 2 2 21" xfId="1276" xr:uid="{00000000-0005-0000-0000-0000FC040000}"/>
    <cellStyle name="Millares 2 2 2 2 2 2 22" xfId="1277" xr:uid="{00000000-0005-0000-0000-0000FD040000}"/>
    <cellStyle name="Millares 2 2 2 2 2 2 23" xfId="1278" xr:uid="{00000000-0005-0000-0000-0000FE040000}"/>
    <cellStyle name="Millares 2 2 2 2 2 2 24" xfId="1279" xr:uid="{00000000-0005-0000-0000-0000FF040000}"/>
    <cellStyle name="Millares 2 2 2 2 2 2 25" xfId="1280" xr:uid="{00000000-0005-0000-0000-000000050000}"/>
    <cellStyle name="Millares 2 2 2 2 2 2 25 10" xfId="1281" xr:uid="{00000000-0005-0000-0000-000001050000}"/>
    <cellStyle name="Millares 2 2 2 2 2 2 25 2" xfId="1282" xr:uid="{00000000-0005-0000-0000-000002050000}"/>
    <cellStyle name="Millares 2 2 2 2 2 2 25 3" xfId="1283" xr:uid="{00000000-0005-0000-0000-000003050000}"/>
    <cellStyle name="Millares 2 2 2 2 2 2 25 4" xfId="1284" xr:uid="{00000000-0005-0000-0000-000004050000}"/>
    <cellStyle name="Millares 2 2 2 2 2 2 25 5" xfId="1285" xr:uid="{00000000-0005-0000-0000-000005050000}"/>
    <cellStyle name="Millares 2 2 2 2 2 2 25 6" xfId="1286" xr:uid="{00000000-0005-0000-0000-000006050000}"/>
    <cellStyle name="Millares 2 2 2 2 2 2 25 7" xfId="1287" xr:uid="{00000000-0005-0000-0000-000007050000}"/>
    <cellStyle name="Millares 2 2 2 2 2 2 25 8" xfId="1288" xr:uid="{00000000-0005-0000-0000-000008050000}"/>
    <cellStyle name="Millares 2 2 2 2 2 2 25 9" xfId="1289" xr:uid="{00000000-0005-0000-0000-000009050000}"/>
    <cellStyle name="Millares 2 2 2 2 2 2 26" xfId="1290" xr:uid="{00000000-0005-0000-0000-00000A050000}"/>
    <cellStyle name="Millares 2 2 2 2 2 2 27" xfId="1291" xr:uid="{00000000-0005-0000-0000-00000B050000}"/>
    <cellStyle name="Millares 2 2 2 2 2 2 28" xfId="1292" xr:uid="{00000000-0005-0000-0000-00000C050000}"/>
    <cellStyle name="Millares 2 2 2 2 2 2 29" xfId="1293" xr:uid="{00000000-0005-0000-0000-00000D050000}"/>
    <cellStyle name="Millares 2 2 2 2 2 2 3" xfId="1294" xr:uid="{00000000-0005-0000-0000-00000E050000}"/>
    <cellStyle name="Millares 2 2 2 2 2 2 30" xfId="1295" xr:uid="{00000000-0005-0000-0000-00000F050000}"/>
    <cellStyle name="Millares 2 2 2 2 2 2 31" xfId="1296" xr:uid="{00000000-0005-0000-0000-000010050000}"/>
    <cellStyle name="Millares 2 2 2 2 2 2 32" xfId="1297" xr:uid="{00000000-0005-0000-0000-000011050000}"/>
    <cellStyle name="Millares 2 2 2 2 2 2 33" xfId="1298" xr:uid="{00000000-0005-0000-0000-000012050000}"/>
    <cellStyle name="Millares 2 2 2 2 2 2 34" xfId="1299" xr:uid="{00000000-0005-0000-0000-000013050000}"/>
    <cellStyle name="Millares 2 2 2 2 2 2 35" xfId="1300" xr:uid="{00000000-0005-0000-0000-000014050000}"/>
    <cellStyle name="Millares 2 2 2 2 2 2 4" xfId="1301" xr:uid="{00000000-0005-0000-0000-000015050000}"/>
    <cellStyle name="Millares 2 2 2 2 2 2 5" xfId="1302" xr:uid="{00000000-0005-0000-0000-000016050000}"/>
    <cellStyle name="Millares 2 2 2 2 2 2 6" xfId="1303" xr:uid="{00000000-0005-0000-0000-000017050000}"/>
    <cellStyle name="Millares 2 2 2 2 2 2 7" xfId="1304" xr:uid="{00000000-0005-0000-0000-000018050000}"/>
    <cellStyle name="Millares 2 2 2 2 2 2 8" xfId="1305" xr:uid="{00000000-0005-0000-0000-000019050000}"/>
    <cellStyle name="Millares 2 2 2 2 2 2 9" xfId="1306" xr:uid="{00000000-0005-0000-0000-00001A050000}"/>
    <cellStyle name="Millares 2 2 2 2 2 20" xfId="1307" xr:uid="{00000000-0005-0000-0000-00001B050000}"/>
    <cellStyle name="Millares 2 2 2 2 2 21" xfId="1308" xr:uid="{00000000-0005-0000-0000-00001C050000}"/>
    <cellStyle name="Millares 2 2 2 2 2 22" xfId="1309" xr:uid="{00000000-0005-0000-0000-00001D050000}"/>
    <cellStyle name="Millares 2 2 2 2 2 23" xfId="1310" xr:uid="{00000000-0005-0000-0000-00001E050000}"/>
    <cellStyle name="Millares 2 2 2 2 2 24" xfId="1311" xr:uid="{00000000-0005-0000-0000-00001F050000}"/>
    <cellStyle name="Millares 2 2 2 2 2 25" xfId="1312" xr:uid="{00000000-0005-0000-0000-000020050000}"/>
    <cellStyle name="Millares 2 2 2 2 2 26" xfId="1313" xr:uid="{00000000-0005-0000-0000-000021050000}"/>
    <cellStyle name="Millares 2 2 2 2 2 27" xfId="1314" xr:uid="{00000000-0005-0000-0000-000022050000}"/>
    <cellStyle name="Millares 2 2 2 2 2 28" xfId="1315" xr:uid="{00000000-0005-0000-0000-000023050000}"/>
    <cellStyle name="Millares 2 2 2 2 2 29" xfId="1316" xr:uid="{00000000-0005-0000-0000-000024050000}"/>
    <cellStyle name="Millares 2 2 2 2 2 3" xfId="1317" xr:uid="{00000000-0005-0000-0000-000025050000}"/>
    <cellStyle name="Millares 2 2 2 2 2 30" xfId="1318" xr:uid="{00000000-0005-0000-0000-000026050000}"/>
    <cellStyle name="Millares 2 2 2 2 2 31" xfId="1319" xr:uid="{00000000-0005-0000-0000-000027050000}"/>
    <cellStyle name="Millares 2 2 2 2 2 32" xfId="1320" xr:uid="{00000000-0005-0000-0000-000028050000}"/>
    <cellStyle name="Millares 2 2 2 2 2 33" xfId="1321" xr:uid="{00000000-0005-0000-0000-000029050000}"/>
    <cellStyle name="Millares 2 2 2 2 2 34" xfId="1322" xr:uid="{00000000-0005-0000-0000-00002A050000}"/>
    <cellStyle name="Millares 2 2 2 2 2 35" xfId="1323" xr:uid="{00000000-0005-0000-0000-00002B050000}"/>
    <cellStyle name="Millares 2 2 2 2 2 36" xfId="1324" xr:uid="{00000000-0005-0000-0000-00002C050000}"/>
    <cellStyle name="Millares 2 2 2 2 2 37" xfId="1325" xr:uid="{00000000-0005-0000-0000-00002D050000}"/>
    <cellStyle name="Millares 2 2 2 2 2 38" xfId="1326" xr:uid="{00000000-0005-0000-0000-00002E050000}"/>
    <cellStyle name="Millares 2 2 2 2 2 38 10" xfId="1327" xr:uid="{00000000-0005-0000-0000-00002F050000}"/>
    <cellStyle name="Millares 2 2 2 2 2 38 2" xfId="1328" xr:uid="{00000000-0005-0000-0000-000030050000}"/>
    <cellStyle name="Millares 2 2 2 2 2 38 3" xfId="1329" xr:uid="{00000000-0005-0000-0000-000031050000}"/>
    <cellStyle name="Millares 2 2 2 2 2 38 4" xfId="1330" xr:uid="{00000000-0005-0000-0000-000032050000}"/>
    <cellStyle name="Millares 2 2 2 2 2 38 5" xfId="1331" xr:uid="{00000000-0005-0000-0000-000033050000}"/>
    <cellStyle name="Millares 2 2 2 2 2 38 6" xfId="1332" xr:uid="{00000000-0005-0000-0000-000034050000}"/>
    <cellStyle name="Millares 2 2 2 2 2 38 7" xfId="1333" xr:uid="{00000000-0005-0000-0000-000035050000}"/>
    <cellStyle name="Millares 2 2 2 2 2 38 8" xfId="1334" xr:uid="{00000000-0005-0000-0000-000036050000}"/>
    <cellStyle name="Millares 2 2 2 2 2 38 9" xfId="1335" xr:uid="{00000000-0005-0000-0000-000037050000}"/>
    <cellStyle name="Millares 2 2 2 2 2 39" xfId="1336" xr:uid="{00000000-0005-0000-0000-000038050000}"/>
    <cellStyle name="Millares 2 2 2 2 2 4" xfId="1337" xr:uid="{00000000-0005-0000-0000-000039050000}"/>
    <cellStyle name="Millares 2 2 2 2 2 40" xfId="1338" xr:uid="{00000000-0005-0000-0000-00003A050000}"/>
    <cellStyle name="Millares 2 2 2 2 2 41" xfId="1339" xr:uid="{00000000-0005-0000-0000-00003B050000}"/>
    <cellStyle name="Millares 2 2 2 2 2 42" xfId="1340" xr:uid="{00000000-0005-0000-0000-00003C050000}"/>
    <cellStyle name="Millares 2 2 2 2 2 43" xfId="1341" xr:uid="{00000000-0005-0000-0000-00003D050000}"/>
    <cellStyle name="Millares 2 2 2 2 2 44" xfId="1342" xr:uid="{00000000-0005-0000-0000-00003E050000}"/>
    <cellStyle name="Millares 2 2 2 2 2 45" xfId="1343" xr:uid="{00000000-0005-0000-0000-00003F050000}"/>
    <cellStyle name="Millares 2 2 2 2 2 46" xfId="1344" xr:uid="{00000000-0005-0000-0000-000040050000}"/>
    <cellStyle name="Millares 2 2 2 2 2 47" xfId="1345" xr:uid="{00000000-0005-0000-0000-000041050000}"/>
    <cellStyle name="Millares 2 2 2 2 2 48" xfId="1346" xr:uid="{00000000-0005-0000-0000-000042050000}"/>
    <cellStyle name="Millares 2 2 2 2 2 5" xfId="1347" xr:uid="{00000000-0005-0000-0000-000043050000}"/>
    <cellStyle name="Millares 2 2 2 2 2 6" xfId="1348" xr:uid="{00000000-0005-0000-0000-000044050000}"/>
    <cellStyle name="Millares 2 2 2 2 2 7" xfId="1349" xr:uid="{00000000-0005-0000-0000-000045050000}"/>
    <cellStyle name="Millares 2 2 2 2 2 8" xfId="1350" xr:uid="{00000000-0005-0000-0000-000046050000}"/>
    <cellStyle name="Millares 2 2 2 2 2 9" xfId="1351" xr:uid="{00000000-0005-0000-0000-000047050000}"/>
    <cellStyle name="Millares 2 2 2 2 20" xfId="1352" xr:uid="{00000000-0005-0000-0000-000048050000}"/>
    <cellStyle name="Millares 2 2 2 2 21" xfId="1353" xr:uid="{00000000-0005-0000-0000-000049050000}"/>
    <cellStyle name="Millares 2 2 2 2 22" xfId="1354" xr:uid="{00000000-0005-0000-0000-00004A050000}"/>
    <cellStyle name="Millares 2 2 2 2 23" xfId="1355" xr:uid="{00000000-0005-0000-0000-00004B050000}"/>
    <cellStyle name="Millares 2 2 2 2 24" xfId="1356" xr:uid="{00000000-0005-0000-0000-00004C050000}"/>
    <cellStyle name="Millares 2 2 2 2 25" xfId="1357" xr:uid="{00000000-0005-0000-0000-00004D050000}"/>
    <cellStyle name="Millares 2 2 2 2 26" xfId="1358" xr:uid="{00000000-0005-0000-0000-00004E050000}"/>
    <cellStyle name="Millares 2 2 2 2 27" xfId="1359" xr:uid="{00000000-0005-0000-0000-00004F050000}"/>
    <cellStyle name="Millares 2 2 2 2 28" xfId="1360" xr:uid="{00000000-0005-0000-0000-000050050000}"/>
    <cellStyle name="Millares 2 2 2 2 29" xfId="1361" xr:uid="{00000000-0005-0000-0000-000051050000}"/>
    <cellStyle name="Millares 2 2 2 2 3" xfId="1362" xr:uid="{00000000-0005-0000-0000-000052050000}"/>
    <cellStyle name="Millares 2 2 2 2 30" xfId="1363" xr:uid="{00000000-0005-0000-0000-000053050000}"/>
    <cellStyle name="Millares 2 2 2 2 31" xfId="1364" xr:uid="{00000000-0005-0000-0000-000054050000}"/>
    <cellStyle name="Millares 2 2 2 2 32" xfId="1365" xr:uid="{00000000-0005-0000-0000-000055050000}"/>
    <cellStyle name="Millares 2 2 2 2 33" xfId="1366" xr:uid="{00000000-0005-0000-0000-000056050000}"/>
    <cellStyle name="Millares 2 2 2 2 34" xfId="1367" xr:uid="{00000000-0005-0000-0000-000057050000}"/>
    <cellStyle name="Millares 2 2 2 2 35" xfId="1368" xr:uid="{00000000-0005-0000-0000-000058050000}"/>
    <cellStyle name="Millares 2 2 2 2 36" xfId="1369" xr:uid="{00000000-0005-0000-0000-000059050000}"/>
    <cellStyle name="Millares 2 2 2 2 37" xfId="1370" xr:uid="{00000000-0005-0000-0000-00005A050000}"/>
    <cellStyle name="Millares 2 2 2 2 38" xfId="1371" xr:uid="{00000000-0005-0000-0000-00005B050000}"/>
    <cellStyle name="Millares 2 2 2 2 39" xfId="1372" xr:uid="{00000000-0005-0000-0000-00005C050000}"/>
    <cellStyle name="Millares 2 2 2 2 39 10" xfId="1373" xr:uid="{00000000-0005-0000-0000-00005D050000}"/>
    <cellStyle name="Millares 2 2 2 2 39 2" xfId="1374" xr:uid="{00000000-0005-0000-0000-00005E050000}"/>
    <cellStyle name="Millares 2 2 2 2 39 3" xfId="1375" xr:uid="{00000000-0005-0000-0000-00005F050000}"/>
    <cellStyle name="Millares 2 2 2 2 39 4" xfId="1376" xr:uid="{00000000-0005-0000-0000-000060050000}"/>
    <cellStyle name="Millares 2 2 2 2 39 5" xfId="1377" xr:uid="{00000000-0005-0000-0000-000061050000}"/>
    <cellStyle name="Millares 2 2 2 2 39 6" xfId="1378" xr:uid="{00000000-0005-0000-0000-000062050000}"/>
    <cellStyle name="Millares 2 2 2 2 39 7" xfId="1379" xr:uid="{00000000-0005-0000-0000-000063050000}"/>
    <cellStyle name="Millares 2 2 2 2 39 8" xfId="1380" xr:uid="{00000000-0005-0000-0000-000064050000}"/>
    <cellStyle name="Millares 2 2 2 2 39 9" xfId="1381" xr:uid="{00000000-0005-0000-0000-000065050000}"/>
    <cellStyle name="Millares 2 2 2 2 4" xfId="1382" xr:uid="{00000000-0005-0000-0000-000066050000}"/>
    <cellStyle name="Millares 2 2 2 2 4 10" xfId="1383" xr:uid="{00000000-0005-0000-0000-000067050000}"/>
    <cellStyle name="Millares 2 2 2 2 4 11" xfId="1384" xr:uid="{00000000-0005-0000-0000-000068050000}"/>
    <cellStyle name="Millares 2 2 2 2 4 12" xfId="1385" xr:uid="{00000000-0005-0000-0000-000069050000}"/>
    <cellStyle name="Millares 2 2 2 2 4 13" xfId="1386" xr:uid="{00000000-0005-0000-0000-00006A050000}"/>
    <cellStyle name="Millares 2 2 2 2 4 14" xfId="1387" xr:uid="{00000000-0005-0000-0000-00006B050000}"/>
    <cellStyle name="Millares 2 2 2 2 4 15" xfId="1388" xr:uid="{00000000-0005-0000-0000-00006C050000}"/>
    <cellStyle name="Millares 2 2 2 2 4 16" xfId="1389" xr:uid="{00000000-0005-0000-0000-00006D050000}"/>
    <cellStyle name="Millares 2 2 2 2 4 17" xfId="1390" xr:uid="{00000000-0005-0000-0000-00006E050000}"/>
    <cellStyle name="Millares 2 2 2 2 4 18" xfId="1391" xr:uid="{00000000-0005-0000-0000-00006F050000}"/>
    <cellStyle name="Millares 2 2 2 2 4 19" xfId="1392" xr:uid="{00000000-0005-0000-0000-000070050000}"/>
    <cellStyle name="Millares 2 2 2 2 4 2" xfId="1393" xr:uid="{00000000-0005-0000-0000-000071050000}"/>
    <cellStyle name="Millares 2 2 2 2 4 2 10" xfId="1394" xr:uid="{00000000-0005-0000-0000-000072050000}"/>
    <cellStyle name="Millares 2 2 2 2 4 2 11" xfId="1395" xr:uid="{00000000-0005-0000-0000-000073050000}"/>
    <cellStyle name="Millares 2 2 2 2 4 2 12" xfId="1396" xr:uid="{00000000-0005-0000-0000-000074050000}"/>
    <cellStyle name="Millares 2 2 2 2 4 2 13" xfId="1397" xr:uid="{00000000-0005-0000-0000-000075050000}"/>
    <cellStyle name="Millares 2 2 2 2 4 2 14" xfId="1398" xr:uid="{00000000-0005-0000-0000-000076050000}"/>
    <cellStyle name="Millares 2 2 2 2 4 2 15" xfId="1399" xr:uid="{00000000-0005-0000-0000-000077050000}"/>
    <cellStyle name="Millares 2 2 2 2 4 2 16" xfId="1400" xr:uid="{00000000-0005-0000-0000-000078050000}"/>
    <cellStyle name="Millares 2 2 2 2 4 2 17" xfId="1401" xr:uid="{00000000-0005-0000-0000-000079050000}"/>
    <cellStyle name="Millares 2 2 2 2 4 2 18" xfId="1402" xr:uid="{00000000-0005-0000-0000-00007A050000}"/>
    <cellStyle name="Millares 2 2 2 2 4 2 19" xfId="1403" xr:uid="{00000000-0005-0000-0000-00007B050000}"/>
    <cellStyle name="Millares 2 2 2 2 4 2 2" xfId="1404" xr:uid="{00000000-0005-0000-0000-00007C050000}"/>
    <cellStyle name="Millares 2 2 2 2 4 2 20" xfId="1405" xr:uid="{00000000-0005-0000-0000-00007D050000}"/>
    <cellStyle name="Millares 2 2 2 2 4 2 3" xfId="1406" xr:uid="{00000000-0005-0000-0000-00007E050000}"/>
    <cellStyle name="Millares 2 2 2 2 4 2 4" xfId="1407" xr:uid="{00000000-0005-0000-0000-00007F050000}"/>
    <cellStyle name="Millares 2 2 2 2 4 2 5" xfId="1408" xr:uid="{00000000-0005-0000-0000-000080050000}"/>
    <cellStyle name="Millares 2 2 2 2 4 2 6" xfId="1409" xr:uid="{00000000-0005-0000-0000-000081050000}"/>
    <cellStyle name="Millares 2 2 2 2 4 2 7" xfId="1410" xr:uid="{00000000-0005-0000-0000-000082050000}"/>
    <cellStyle name="Millares 2 2 2 2 4 2 8" xfId="1411" xr:uid="{00000000-0005-0000-0000-000083050000}"/>
    <cellStyle name="Millares 2 2 2 2 4 2 9" xfId="1412" xr:uid="{00000000-0005-0000-0000-000084050000}"/>
    <cellStyle name="Millares 2 2 2 2 4 20" xfId="1413" xr:uid="{00000000-0005-0000-0000-000085050000}"/>
    <cellStyle name="Millares 2 2 2 2 4 3" xfId="1414" xr:uid="{00000000-0005-0000-0000-000086050000}"/>
    <cellStyle name="Millares 2 2 2 2 4 4" xfId="1415" xr:uid="{00000000-0005-0000-0000-000087050000}"/>
    <cellStyle name="Millares 2 2 2 2 4 5" xfId="1416" xr:uid="{00000000-0005-0000-0000-000088050000}"/>
    <cellStyle name="Millares 2 2 2 2 4 6" xfId="1417" xr:uid="{00000000-0005-0000-0000-000089050000}"/>
    <cellStyle name="Millares 2 2 2 2 4 7" xfId="1418" xr:uid="{00000000-0005-0000-0000-00008A050000}"/>
    <cellStyle name="Millares 2 2 2 2 4 8" xfId="1419" xr:uid="{00000000-0005-0000-0000-00008B050000}"/>
    <cellStyle name="Millares 2 2 2 2 4 9" xfId="1420" xr:uid="{00000000-0005-0000-0000-00008C050000}"/>
    <cellStyle name="Millares 2 2 2 2 40" xfId="1421" xr:uid="{00000000-0005-0000-0000-00008D050000}"/>
    <cellStyle name="Millares 2 2 2 2 41" xfId="1422" xr:uid="{00000000-0005-0000-0000-00008E050000}"/>
    <cellStyle name="Millares 2 2 2 2 42" xfId="1423" xr:uid="{00000000-0005-0000-0000-00008F050000}"/>
    <cellStyle name="Millares 2 2 2 2 43" xfId="1424" xr:uid="{00000000-0005-0000-0000-000090050000}"/>
    <cellStyle name="Millares 2 2 2 2 44" xfId="1425" xr:uid="{00000000-0005-0000-0000-000091050000}"/>
    <cellStyle name="Millares 2 2 2 2 45" xfId="1426" xr:uid="{00000000-0005-0000-0000-000092050000}"/>
    <cellStyle name="Millares 2 2 2 2 46" xfId="1427" xr:uid="{00000000-0005-0000-0000-000093050000}"/>
    <cellStyle name="Millares 2 2 2 2 47" xfId="1428" xr:uid="{00000000-0005-0000-0000-000094050000}"/>
    <cellStyle name="Millares 2 2 2 2 48" xfId="1429" xr:uid="{00000000-0005-0000-0000-000095050000}"/>
    <cellStyle name="Millares 2 2 2 2 5" xfId="1430" xr:uid="{00000000-0005-0000-0000-000096050000}"/>
    <cellStyle name="Millares 2 2 2 2 6" xfId="1431" xr:uid="{00000000-0005-0000-0000-000097050000}"/>
    <cellStyle name="Millares 2 2 2 2 7" xfId="1432" xr:uid="{00000000-0005-0000-0000-000098050000}"/>
    <cellStyle name="Millares 2 2 2 2 8" xfId="1433" xr:uid="{00000000-0005-0000-0000-000099050000}"/>
    <cellStyle name="Millares 2 2 2 2 9" xfId="1434" xr:uid="{00000000-0005-0000-0000-00009A050000}"/>
    <cellStyle name="Millares 2 2 2 20" xfId="1435" xr:uid="{00000000-0005-0000-0000-00009B050000}"/>
    <cellStyle name="Millares 2 2 2 21" xfId="1436" xr:uid="{00000000-0005-0000-0000-00009C050000}"/>
    <cellStyle name="Millares 2 2 2 22" xfId="1437" xr:uid="{00000000-0005-0000-0000-00009D050000}"/>
    <cellStyle name="Millares 2 2 2 23" xfId="1438" xr:uid="{00000000-0005-0000-0000-00009E050000}"/>
    <cellStyle name="Millares 2 2 2 24" xfId="1439" xr:uid="{00000000-0005-0000-0000-00009F050000}"/>
    <cellStyle name="Millares 2 2 2 25" xfId="1440" xr:uid="{00000000-0005-0000-0000-0000A0050000}"/>
    <cellStyle name="Millares 2 2 2 26" xfId="1441" xr:uid="{00000000-0005-0000-0000-0000A1050000}"/>
    <cellStyle name="Millares 2 2 2 27" xfId="1442" xr:uid="{00000000-0005-0000-0000-0000A2050000}"/>
    <cellStyle name="Millares 2 2 2 28" xfId="1443" xr:uid="{00000000-0005-0000-0000-0000A3050000}"/>
    <cellStyle name="Millares 2 2 2 29" xfId="1444" xr:uid="{00000000-0005-0000-0000-0000A4050000}"/>
    <cellStyle name="Millares 2 2 2 3" xfId="1445" xr:uid="{00000000-0005-0000-0000-0000A5050000}"/>
    <cellStyle name="Millares 2 2 2 3 10" xfId="1446" xr:uid="{00000000-0005-0000-0000-0000A6050000}"/>
    <cellStyle name="Millares 2 2 2 3 11" xfId="1447" xr:uid="{00000000-0005-0000-0000-0000A7050000}"/>
    <cellStyle name="Millares 2 2 2 3 12" xfId="1448" xr:uid="{00000000-0005-0000-0000-0000A8050000}"/>
    <cellStyle name="Millares 2 2 2 3 13" xfId="1449" xr:uid="{00000000-0005-0000-0000-0000A9050000}"/>
    <cellStyle name="Millares 2 2 2 3 14" xfId="1450" xr:uid="{00000000-0005-0000-0000-0000AA050000}"/>
    <cellStyle name="Millares 2 2 2 3 15" xfId="1451" xr:uid="{00000000-0005-0000-0000-0000AB050000}"/>
    <cellStyle name="Millares 2 2 2 3 16" xfId="1452" xr:uid="{00000000-0005-0000-0000-0000AC050000}"/>
    <cellStyle name="Millares 2 2 2 3 17" xfId="1453" xr:uid="{00000000-0005-0000-0000-0000AD050000}"/>
    <cellStyle name="Millares 2 2 2 3 18" xfId="1454" xr:uid="{00000000-0005-0000-0000-0000AE050000}"/>
    <cellStyle name="Millares 2 2 2 3 19" xfId="1455" xr:uid="{00000000-0005-0000-0000-0000AF050000}"/>
    <cellStyle name="Millares 2 2 2 3 2" xfId="1456" xr:uid="{00000000-0005-0000-0000-0000B0050000}"/>
    <cellStyle name="Millares 2 2 2 3 2 10" xfId="1457" xr:uid="{00000000-0005-0000-0000-0000B1050000}"/>
    <cellStyle name="Millares 2 2 2 3 2 11" xfId="1458" xr:uid="{00000000-0005-0000-0000-0000B2050000}"/>
    <cellStyle name="Millares 2 2 2 3 2 12" xfId="1459" xr:uid="{00000000-0005-0000-0000-0000B3050000}"/>
    <cellStyle name="Millares 2 2 2 3 2 13" xfId="1460" xr:uid="{00000000-0005-0000-0000-0000B4050000}"/>
    <cellStyle name="Millares 2 2 2 3 2 14" xfId="1461" xr:uid="{00000000-0005-0000-0000-0000B5050000}"/>
    <cellStyle name="Millares 2 2 2 3 2 15" xfId="1462" xr:uid="{00000000-0005-0000-0000-0000B6050000}"/>
    <cellStyle name="Millares 2 2 2 3 2 16" xfId="1463" xr:uid="{00000000-0005-0000-0000-0000B7050000}"/>
    <cellStyle name="Millares 2 2 2 3 2 17" xfId="1464" xr:uid="{00000000-0005-0000-0000-0000B8050000}"/>
    <cellStyle name="Millares 2 2 2 3 2 18" xfId="1465" xr:uid="{00000000-0005-0000-0000-0000B9050000}"/>
    <cellStyle name="Millares 2 2 2 3 2 19" xfId="1466" xr:uid="{00000000-0005-0000-0000-0000BA050000}"/>
    <cellStyle name="Millares 2 2 2 3 2 2" xfId="1467" xr:uid="{00000000-0005-0000-0000-0000BB050000}"/>
    <cellStyle name="Millares 2 2 2 3 2 2 10" xfId="1468" xr:uid="{00000000-0005-0000-0000-0000BC050000}"/>
    <cellStyle name="Millares 2 2 2 3 2 2 11" xfId="1469" xr:uid="{00000000-0005-0000-0000-0000BD050000}"/>
    <cellStyle name="Millares 2 2 2 3 2 2 12" xfId="1470" xr:uid="{00000000-0005-0000-0000-0000BE050000}"/>
    <cellStyle name="Millares 2 2 2 3 2 2 13" xfId="1471" xr:uid="{00000000-0005-0000-0000-0000BF050000}"/>
    <cellStyle name="Millares 2 2 2 3 2 2 14" xfId="1472" xr:uid="{00000000-0005-0000-0000-0000C0050000}"/>
    <cellStyle name="Millares 2 2 2 3 2 2 15" xfId="1473" xr:uid="{00000000-0005-0000-0000-0000C1050000}"/>
    <cellStyle name="Millares 2 2 2 3 2 2 16" xfId="1474" xr:uid="{00000000-0005-0000-0000-0000C2050000}"/>
    <cellStyle name="Millares 2 2 2 3 2 2 17" xfId="1475" xr:uid="{00000000-0005-0000-0000-0000C3050000}"/>
    <cellStyle name="Millares 2 2 2 3 2 2 18" xfId="1476" xr:uid="{00000000-0005-0000-0000-0000C4050000}"/>
    <cellStyle name="Millares 2 2 2 3 2 2 19" xfId="1477" xr:uid="{00000000-0005-0000-0000-0000C5050000}"/>
    <cellStyle name="Millares 2 2 2 3 2 2 2" xfId="1478" xr:uid="{00000000-0005-0000-0000-0000C6050000}"/>
    <cellStyle name="Millares 2 2 2 3 2 2 20" xfId="1479" xr:uid="{00000000-0005-0000-0000-0000C7050000}"/>
    <cellStyle name="Millares 2 2 2 3 2 2 3" xfId="1480" xr:uid="{00000000-0005-0000-0000-0000C8050000}"/>
    <cellStyle name="Millares 2 2 2 3 2 2 4" xfId="1481" xr:uid="{00000000-0005-0000-0000-0000C9050000}"/>
    <cellStyle name="Millares 2 2 2 3 2 2 5" xfId="1482" xr:uid="{00000000-0005-0000-0000-0000CA050000}"/>
    <cellStyle name="Millares 2 2 2 3 2 2 6" xfId="1483" xr:uid="{00000000-0005-0000-0000-0000CB050000}"/>
    <cellStyle name="Millares 2 2 2 3 2 2 7" xfId="1484" xr:uid="{00000000-0005-0000-0000-0000CC050000}"/>
    <cellStyle name="Millares 2 2 2 3 2 2 8" xfId="1485" xr:uid="{00000000-0005-0000-0000-0000CD050000}"/>
    <cellStyle name="Millares 2 2 2 3 2 2 9" xfId="1486" xr:uid="{00000000-0005-0000-0000-0000CE050000}"/>
    <cellStyle name="Millares 2 2 2 3 2 20" xfId="1487" xr:uid="{00000000-0005-0000-0000-0000CF050000}"/>
    <cellStyle name="Millares 2 2 2 3 2 3" xfId="1488" xr:uid="{00000000-0005-0000-0000-0000D0050000}"/>
    <cellStyle name="Millares 2 2 2 3 2 4" xfId="1489" xr:uid="{00000000-0005-0000-0000-0000D1050000}"/>
    <cellStyle name="Millares 2 2 2 3 2 5" xfId="1490" xr:uid="{00000000-0005-0000-0000-0000D2050000}"/>
    <cellStyle name="Millares 2 2 2 3 2 6" xfId="1491" xr:uid="{00000000-0005-0000-0000-0000D3050000}"/>
    <cellStyle name="Millares 2 2 2 3 2 7" xfId="1492" xr:uid="{00000000-0005-0000-0000-0000D4050000}"/>
    <cellStyle name="Millares 2 2 2 3 2 8" xfId="1493" xr:uid="{00000000-0005-0000-0000-0000D5050000}"/>
    <cellStyle name="Millares 2 2 2 3 2 9" xfId="1494" xr:uid="{00000000-0005-0000-0000-0000D6050000}"/>
    <cellStyle name="Millares 2 2 2 3 20" xfId="1495" xr:uid="{00000000-0005-0000-0000-0000D7050000}"/>
    <cellStyle name="Millares 2 2 2 3 21" xfId="1496" xr:uid="{00000000-0005-0000-0000-0000D8050000}"/>
    <cellStyle name="Millares 2 2 2 3 22" xfId="1497" xr:uid="{00000000-0005-0000-0000-0000D9050000}"/>
    <cellStyle name="Millares 2 2 2 3 23" xfId="1498" xr:uid="{00000000-0005-0000-0000-0000DA050000}"/>
    <cellStyle name="Millares 2 2 2 3 24" xfId="1499" xr:uid="{00000000-0005-0000-0000-0000DB050000}"/>
    <cellStyle name="Millares 2 2 2 3 25" xfId="1500" xr:uid="{00000000-0005-0000-0000-0000DC050000}"/>
    <cellStyle name="Millares 2 2 2 3 26" xfId="1501" xr:uid="{00000000-0005-0000-0000-0000DD050000}"/>
    <cellStyle name="Millares 2 2 2 3 27" xfId="1502" xr:uid="{00000000-0005-0000-0000-0000DE050000}"/>
    <cellStyle name="Millares 2 2 2 3 28" xfId="1503" xr:uid="{00000000-0005-0000-0000-0000DF050000}"/>
    <cellStyle name="Millares 2 2 2 3 29" xfId="1504" xr:uid="{00000000-0005-0000-0000-0000E0050000}"/>
    <cellStyle name="Millares 2 2 2 3 3" xfId="1505" xr:uid="{00000000-0005-0000-0000-0000E1050000}"/>
    <cellStyle name="Millares 2 2 2 3 30" xfId="1506" xr:uid="{00000000-0005-0000-0000-0000E2050000}"/>
    <cellStyle name="Millares 2 2 2 3 31" xfId="1507" xr:uid="{00000000-0005-0000-0000-0000E3050000}"/>
    <cellStyle name="Millares 2 2 2 3 32" xfId="1508" xr:uid="{00000000-0005-0000-0000-0000E4050000}"/>
    <cellStyle name="Millares 2 2 2 3 33" xfId="1509" xr:uid="{00000000-0005-0000-0000-0000E5050000}"/>
    <cellStyle name="Millares 2 2 2 3 4" xfId="1510" xr:uid="{00000000-0005-0000-0000-0000E6050000}"/>
    <cellStyle name="Millares 2 2 2 3 5" xfId="1511" xr:uid="{00000000-0005-0000-0000-0000E7050000}"/>
    <cellStyle name="Millares 2 2 2 3 6" xfId="1512" xr:uid="{00000000-0005-0000-0000-0000E8050000}"/>
    <cellStyle name="Millares 2 2 2 3 7" xfId="1513" xr:uid="{00000000-0005-0000-0000-0000E9050000}"/>
    <cellStyle name="Millares 2 2 2 3 8" xfId="1514" xr:uid="{00000000-0005-0000-0000-0000EA050000}"/>
    <cellStyle name="Millares 2 2 2 3 9" xfId="1515" xr:uid="{00000000-0005-0000-0000-0000EB050000}"/>
    <cellStyle name="Millares 2 2 2 30" xfId="1516" xr:uid="{00000000-0005-0000-0000-0000EC050000}"/>
    <cellStyle name="Millares 2 2 2 31" xfId="1517" xr:uid="{00000000-0005-0000-0000-0000ED050000}"/>
    <cellStyle name="Millares 2 2 2 32" xfId="1518" xr:uid="{00000000-0005-0000-0000-0000EE050000}"/>
    <cellStyle name="Millares 2 2 2 33" xfId="1519" xr:uid="{00000000-0005-0000-0000-0000EF050000}"/>
    <cellStyle name="Millares 2 2 2 34" xfId="1520" xr:uid="{00000000-0005-0000-0000-0000F0050000}"/>
    <cellStyle name="Millares 2 2 2 35" xfId="1521" xr:uid="{00000000-0005-0000-0000-0000F1050000}"/>
    <cellStyle name="Millares 2 2 2 36" xfId="1522" xr:uid="{00000000-0005-0000-0000-0000F2050000}"/>
    <cellStyle name="Millares 2 2 2 37" xfId="1523" xr:uid="{00000000-0005-0000-0000-0000F3050000}"/>
    <cellStyle name="Millares 2 2 2 38" xfId="1524" xr:uid="{00000000-0005-0000-0000-0000F4050000}"/>
    <cellStyle name="Millares 2 2 2 39" xfId="1525" xr:uid="{00000000-0005-0000-0000-0000F5050000}"/>
    <cellStyle name="Millares 2 2 2 39 10" xfId="1526" xr:uid="{00000000-0005-0000-0000-0000F6050000}"/>
    <cellStyle name="Millares 2 2 2 39 2" xfId="1527" xr:uid="{00000000-0005-0000-0000-0000F7050000}"/>
    <cellStyle name="Millares 2 2 2 39 3" xfId="1528" xr:uid="{00000000-0005-0000-0000-0000F8050000}"/>
    <cellStyle name="Millares 2 2 2 39 4" xfId="1529" xr:uid="{00000000-0005-0000-0000-0000F9050000}"/>
    <cellStyle name="Millares 2 2 2 39 5" xfId="1530" xr:uid="{00000000-0005-0000-0000-0000FA050000}"/>
    <cellStyle name="Millares 2 2 2 39 6" xfId="1531" xr:uid="{00000000-0005-0000-0000-0000FB050000}"/>
    <cellStyle name="Millares 2 2 2 39 7" xfId="1532" xr:uid="{00000000-0005-0000-0000-0000FC050000}"/>
    <cellStyle name="Millares 2 2 2 39 8" xfId="1533" xr:uid="{00000000-0005-0000-0000-0000FD050000}"/>
    <cellStyle name="Millares 2 2 2 39 9" xfId="1534" xr:uid="{00000000-0005-0000-0000-0000FE050000}"/>
    <cellStyle name="Millares 2 2 2 4" xfId="1535" xr:uid="{00000000-0005-0000-0000-0000FF050000}"/>
    <cellStyle name="Millares 2 2 2 4 10" xfId="1536" xr:uid="{00000000-0005-0000-0000-000000060000}"/>
    <cellStyle name="Millares 2 2 2 4 11" xfId="1537" xr:uid="{00000000-0005-0000-0000-000001060000}"/>
    <cellStyle name="Millares 2 2 2 4 12" xfId="1538" xr:uid="{00000000-0005-0000-0000-000002060000}"/>
    <cellStyle name="Millares 2 2 2 4 13" xfId="1539" xr:uid="{00000000-0005-0000-0000-000003060000}"/>
    <cellStyle name="Millares 2 2 2 4 14" xfId="1540" xr:uid="{00000000-0005-0000-0000-000004060000}"/>
    <cellStyle name="Millares 2 2 2 4 15" xfId="1541" xr:uid="{00000000-0005-0000-0000-000005060000}"/>
    <cellStyle name="Millares 2 2 2 4 16" xfId="1542" xr:uid="{00000000-0005-0000-0000-000006060000}"/>
    <cellStyle name="Millares 2 2 2 4 17" xfId="1543" xr:uid="{00000000-0005-0000-0000-000007060000}"/>
    <cellStyle name="Millares 2 2 2 4 18" xfId="1544" xr:uid="{00000000-0005-0000-0000-000008060000}"/>
    <cellStyle name="Millares 2 2 2 4 19" xfId="1545" xr:uid="{00000000-0005-0000-0000-000009060000}"/>
    <cellStyle name="Millares 2 2 2 4 2" xfId="1546" xr:uid="{00000000-0005-0000-0000-00000A060000}"/>
    <cellStyle name="Millares 2 2 2 4 2 10" xfId="1547" xr:uid="{00000000-0005-0000-0000-00000B060000}"/>
    <cellStyle name="Millares 2 2 2 4 2 11" xfId="1548" xr:uid="{00000000-0005-0000-0000-00000C060000}"/>
    <cellStyle name="Millares 2 2 2 4 2 12" xfId="1549" xr:uid="{00000000-0005-0000-0000-00000D060000}"/>
    <cellStyle name="Millares 2 2 2 4 2 13" xfId="1550" xr:uid="{00000000-0005-0000-0000-00000E060000}"/>
    <cellStyle name="Millares 2 2 2 4 2 14" xfId="1551" xr:uid="{00000000-0005-0000-0000-00000F060000}"/>
    <cellStyle name="Millares 2 2 2 4 2 15" xfId="1552" xr:uid="{00000000-0005-0000-0000-000010060000}"/>
    <cellStyle name="Millares 2 2 2 4 2 16" xfId="1553" xr:uid="{00000000-0005-0000-0000-000011060000}"/>
    <cellStyle name="Millares 2 2 2 4 2 17" xfId="1554" xr:uid="{00000000-0005-0000-0000-000012060000}"/>
    <cellStyle name="Millares 2 2 2 4 2 18" xfId="1555" xr:uid="{00000000-0005-0000-0000-000013060000}"/>
    <cellStyle name="Millares 2 2 2 4 2 19" xfId="1556" xr:uid="{00000000-0005-0000-0000-000014060000}"/>
    <cellStyle name="Millares 2 2 2 4 2 2" xfId="1557" xr:uid="{00000000-0005-0000-0000-000015060000}"/>
    <cellStyle name="Millares 2 2 2 4 2 20" xfId="1558" xr:uid="{00000000-0005-0000-0000-000016060000}"/>
    <cellStyle name="Millares 2 2 2 4 2 3" xfId="1559" xr:uid="{00000000-0005-0000-0000-000017060000}"/>
    <cellStyle name="Millares 2 2 2 4 2 4" xfId="1560" xr:uid="{00000000-0005-0000-0000-000018060000}"/>
    <cellStyle name="Millares 2 2 2 4 2 5" xfId="1561" xr:uid="{00000000-0005-0000-0000-000019060000}"/>
    <cellStyle name="Millares 2 2 2 4 2 6" xfId="1562" xr:uid="{00000000-0005-0000-0000-00001A060000}"/>
    <cellStyle name="Millares 2 2 2 4 2 7" xfId="1563" xr:uid="{00000000-0005-0000-0000-00001B060000}"/>
    <cellStyle name="Millares 2 2 2 4 2 8" xfId="1564" xr:uid="{00000000-0005-0000-0000-00001C060000}"/>
    <cellStyle name="Millares 2 2 2 4 2 9" xfId="1565" xr:uid="{00000000-0005-0000-0000-00001D060000}"/>
    <cellStyle name="Millares 2 2 2 4 20" xfId="1566" xr:uid="{00000000-0005-0000-0000-00001E060000}"/>
    <cellStyle name="Millares 2 2 2 4 3" xfId="1567" xr:uid="{00000000-0005-0000-0000-00001F060000}"/>
    <cellStyle name="Millares 2 2 2 4 4" xfId="1568" xr:uid="{00000000-0005-0000-0000-000020060000}"/>
    <cellStyle name="Millares 2 2 2 4 5" xfId="1569" xr:uid="{00000000-0005-0000-0000-000021060000}"/>
    <cellStyle name="Millares 2 2 2 4 6" xfId="1570" xr:uid="{00000000-0005-0000-0000-000022060000}"/>
    <cellStyle name="Millares 2 2 2 4 7" xfId="1571" xr:uid="{00000000-0005-0000-0000-000023060000}"/>
    <cellStyle name="Millares 2 2 2 4 8" xfId="1572" xr:uid="{00000000-0005-0000-0000-000024060000}"/>
    <cellStyle name="Millares 2 2 2 4 9" xfId="1573" xr:uid="{00000000-0005-0000-0000-000025060000}"/>
    <cellStyle name="Millares 2 2 2 40" xfId="1574" xr:uid="{00000000-0005-0000-0000-000026060000}"/>
    <cellStyle name="Millares 2 2 2 41" xfId="1575" xr:uid="{00000000-0005-0000-0000-000027060000}"/>
    <cellStyle name="Millares 2 2 2 42" xfId="1576" xr:uid="{00000000-0005-0000-0000-000028060000}"/>
    <cellStyle name="Millares 2 2 2 43" xfId="1577" xr:uid="{00000000-0005-0000-0000-000029060000}"/>
    <cellStyle name="Millares 2 2 2 44" xfId="1578" xr:uid="{00000000-0005-0000-0000-00002A060000}"/>
    <cellStyle name="Millares 2 2 2 45" xfId="1579" xr:uid="{00000000-0005-0000-0000-00002B060000}"/>
    <cellStyle name="Millares 2 2 2 46" xfId="1580" xr:uid="{00000000-0005-0000-0000-00002C060000}"/>
    <cellStyle name="Millares 2 2 2 47" xfId="1581" xr:uid="{00000000-0005-0000-0000-00002D060000}"/>
    <cellStyle name="Millares 2 2 2 48" xfId="1582" xr:uid="{00000000-0005-0000-0000-00002E060000}"/>
    <cellStyle name="Millares 2 2 2 49" xfId="1583" xr:uid="{00000000-0005-0000-0000-00002F060000}"/>
    <cellStyle name="Millares 2 2 2 5" xfId="1584" xr:uid="{00000000-0005-0000-0000-000030060000}"/>
    <cellStyle name="Millares 2 2 2 6" xfId="1585" xr:uid="{00000000-0005-0000-0000-000031060000}"/>
    <cellStyle name="Millares 2 2 2 7" xfId="1586" xr:uid="{00000000-0005-0000-0000-000032060000}"/>
    <cellStyle name="Millares 2 2 2 8" xfId="1587" xr:uid="{00000000-0005-0000-0000-000033060000}"/>
    <cellStyle name="Millares 2 2 2 9" xfId="1588" xr:uid="{00000000-0005-0000-0000-000034060000}"/>
    <cellStyle name="Millares 2 2 20" xfId="1589" xr:uid="{00000000-0005-0000-0000-000035060000}"/>
    <cellStyle name="Millares 2 2 21" xfId="1590" xr:uid="{00000000-0005-0000-0000-000036060000}"/>
    <cellStyle name="Millares 2 2 22" xfId="1591" xr:uid="{00000000-0005-0000-0000-000037060000}"/>
    <cellStyle name="Millares 2 2 23" xfId="1592" xr:uid="{00000000-0005-0000-0000-000038060000}"/>
    <cellStyle name="Millares 2 2 24" xfId="1593" xr:uid="{00000000-0005-0000-0000-000039060000}"/>
    <cellStyle name="Millares 2 2 25" xfId="1594" xr:uid="{00000000-0005-0000-0000-00003A060000}"/>
    <cellStyle name="Millares 2 2 26" xfId="1595" xr:uid="{00000000-0005-0000-0000-00003B060000}"/>
    <cellStyle name="Millares 2 2 27" xfId="1596" xr:uid="{00000000-0005-0000-0000-00003C060000}"/>
    <cellStyle name="Millares 2 2 28" xfId="1597" xr:uid="{00000000-0005-0000-0000-00003D060000}"/>
    <cellStyle name="Millares 2 2 29" xfId="1598" xr:uid="{00000000-0005-0000-0000-00003E060000}"/>
    <cellStyle name="Millares 2 2 3" xfId="1599" xr:uid="{00000000-0005-0000-0000-00003F060000}"/>
    <cellStyle name="Millares 2 2 3 10" xfId="1600" xr:uid="{00000000-0005-0000-0000-000040060000}"/>
    <cellStyle name="Millares 2 2 3 11" xfId="1601" xr:uid="{00000000-0005-0000-0000-000041060000}"/>
    <cellStyle name="Millares 2 2 3 12" xfId="1602" xr:uid="{00000000-0005-0000-0000-000042060000}"/>
    <cellStyle name="Millares 2 2 3 13" xfId="1603" xr:uid="{00000000-0005-0000-0000-000043060000}"/>
    <cellStyle name="Millares 2 2 3 14" xfId="1604" xr:uid="{00000000-0005-0000-0000-000044060000}"/>
    <cellStyle name="Millares 2 2 3 15" xfId="1605" xr:uid="{00000000-0005-0000-0000-000045060000}"/>
    <cellStyle name="Millares 2 2 3 16" xfId="1606" xr:uid="{00000000-0005-0000-0000-000046060000}"/>
    <cellStyle name="Millares 2 2 3 17" xfId="1607" xr:uid="{00000000-0005-0000-0000-000047060000}"/>
    <cellStyle name="Millares 2 2 3 18" xfId="1608" xr:uid="{00000000-0005-0000-0000-000048060000}"/>
    <cellStyle name="Millares 2 2 3 19" xfId="1609" xr:uid="{00000000-0005-0000-0000-000049060000}"/>
    <cellStyle name="Millares 2 2 3 2" xfId="1610" xr:uid="{00000000-0005-0000-0000-00004A060000}"/>
    <cellStyle name="Millares 2 2 3 2 10" xfId="1611" xr:uid="{00000000-0005-0000-0000-00004B060000}"/>
    <cellStyle name="Millares 2 2 3 2 11" xfId="1612" xr:uid="{00000000-0005-0000-0000-00004C060000}"/>
    <cellStyle name="Millares 2 2 3 2 12" xfId="1613" xr:uid="{00000000-0005-0000-0000-00004D060000}"/>
    <cellStyle name="Millares 2 2 3 2 13" xfId="1614" xr:uid="{00000000-0005-0000-0000-00004E060000}"/>
    <cellStyle name="Millares 2 2 3 2 14" xfId="1615" xr:uid="{00000000-0005-0000-0000-00004F060000}"/>
    <cellStyle name="Millares 2 2 3 2 15" xfId="1616" xr:uid="{00000000-0005-0000-0000-000050060000}"/>
    <cellStyle name="Millares 2 2 3 2 16" xfId="1617" xr:uid="{00000000-0005-0000-0000-000051060000}"/>
    <cellStyle name="Millares 2 2 3 2 17" xfId="1618" xr:uid="{00000000-0005-0000-0000-000052060000}"/>
    <cellStyle name="Millares 2 2 3 2 18" xfId="1619" xr:uid="{00000000-0005-0000-0000-000053060000}"/>
    <cellStyle name="Millares 2 2 3 2 19" xfId="1620" xr:uid="{00000000-0005-0000-0000-000054060000}"/>
    <cellStyle name="Millares 2 2 3 2 2" xfId="1621" xr:uid="{00000000-0005-0000-0000-000055060000}"/>
    <cellStyle name="Millares 2 2 3 2 2 10" xfId="1622" xr:uid="{00000000-0005-0000-0000-000056060000}"/>
    <cellStyle name="Millares 2 2 3 2 2 11" xfId="1623" xr:uid="{00000000-0005-0000-0000-000057060000}"/>
    <cellStyle name="Millares 2 2 3 2 2 12" xfId="1624" xr:uid="{00000000-0005-0000-0000-000058060000}"/>
    <cellStyle name="Millares 2 2 3 2 2 13" xfId="1625" xr:uid="{00000000-0005-0000-0000-000059060000}"/>
    <cellStyle name="Millares 2 2 3 2 2 14" xfId="1626" xr:uid="{00000000-0005-0000-0000-00005A060000}"/>
    <cellStyle name="Millares 2 2 3 2 2 15" xfId="1627" xr:uid="{00000000-0005-0000-0000-00005B060000}"/>
    <cellStyle name="Millares 2 2 3 2 2 16" xfId="1628" xr:uid="{00000000-0005-0000-0000-00005C060000}"/>
    <cellStyle name="Millares 2 2 3 2 2 17" xfId="1629" xr:uid="{00000000-0005-0000-0000-00005D060000}"/>
    <cellStyle name="Millares 2 2 3 2 2 18" xfId="1630" xr:uid="{00000000-0005-0000-0000-00005E060000}"/>
    <cellStyle name="Millares 2 2 3 2 2 19" xfId="1631" xr:uid="{00000000-0005-0000-0000-00005F060000}"/>
    <cellStyle name="Millares 2 2 3 2 2 2" xfId="1632" xr:uid="{00000000-0005-0000-0000-000060060000}"/>
    <cellStyle name="Millares 2 2 3 2 2 20" xfId="1633" xr:uid="{00000000-0005-0000-0000-000061060000}"/>
    <cellStyle name="Millares 2 2 3 2 2 3" xfId="1634" xr:uid="{00000000-0005-0000-0000-000062060000}"/>
    <cellStyle name="Millares 2 2 3 2 2 4" xfId="1635" xr:uid="{00000000-0005-0000-0000-000063060000}"/>
    <cellStyle name="Millares 2 2 3 2 2 5" xfId="1636" xr:uid="{00000000-0005-0000-0000-000064060000}"/>
    <cellStyle name="Millares 2 2 3 2 2 6" xfId="1637" xr:uid="{00000000-0005-0000-0000-000065060000}"/>
    <cellStyle name="Millares 2 2 3 2 2 7" xfId="1638" xr:uid="{00000000-0005-0000-0000-000066060000}"/>
    <cellStyle name="Millares 2 2 3 2 2 8" xfId="1639" xr:uid="{00000000-0005-0000-0000-000067060000}"/>
    <cellStyle name="Millares 2 2 3 2 2 9" xfId="1640" xr:uid="{00000000-0005-0000-0000-000068060000}"/>
    <cellStyle name="Millares 2 2 3 2 20" xfId="1641" xr:uid="{00000000-0005-0000-0000-000069060000}"/>
    <cellStyle name="Millares 2 2 3 2 3" xfId="1642" xr:uid="{00000000-0005-0000-0000-00006A060000}"/>
    <cellStyle name="Millares 2 2 3 2 4" xfId="1643" xr:uid="{00000000-0005-0000-0000-00006B060000}"/>
    <cellStyle name="Millares 2 2 3 2 5" xfId="1644" xr:uid="{00000000-0005-0000-0000-00006C060000}"/>
    <cellStyle name="Millares 2 2 3 2 6" xfId="1645" xr:uid="{00000000-0005-0000-0000-00006D060000}"/>
    <cellStyle name="Millares 2 2 3 2 7" xfId="1646" xr:uid="{00000000-0005-0000-0000-00006E060000}"/>
    <cellStyle name="Millares 2 2 3 2 8" xfId="1647" xr:uid="{00000000-0005-0000-0000-00006F060000}"/>
    <cellStyle name="Millares 2 2 3 2 9" xfId="1648" xr:uid="{00000000-0005-0000-0000-000070060000}"/>
    <cellStyle name="Millares 2 2 3 20" xfId="1649" xr:uid="{00000000-0005-0000-0000-000071060000}"/>
    <cellStyle name="Millares 2 2 3 21" xfId="1650" xr:uid="{00000000-0005-0000-0000-000072060000}"/>
    <cellStyle name="Millares 2 2 3 22" xfId="1651" xr:uid="{00000000-0005-0000-0000-000073060000}"/>
    <cellStyle name="Millares 2 2 3 23" xfId="1652" xr:uid="{00000000-0005-0000-0000-000074060000}"/>
    <cellStyle name="Millares 2 2 3 24" xfId="1653" xr:uid="{00000000-0005-0000-0000-000075060000}"/>
    <cellStyle name="Millares 2 2 3 25" xfId="1654" xr:uid="{00000000-0005-0000-0000-000076060000}"/>
    <cellStyle name="Millares 2 2 3 26" xfId="1655" xr:uid="{00000000-0005-0000-0000-000077060000}"/>
    <cellStyle name="Millares 2 2 3 27" xfId="1656" xr:uid="{00000000-0005-0000-0000-000078060000}"/>
    <cellStyle name="Millares 2 2 3 28" xfId="1657" xr:uid="{00000000-0005-0000-0000-000079060000}"/>
    <cellStyle name="Millares 2 2 3 29" xfId="1658" xr:uid="{00000000-0005-0000-0000-00007A060000}"/>
    <cellStyle name="Millares 2 2 3 3" xfId="1659" xr:uid="{00000000-0005-0000-0000-00007B060000}"/>
    <cellStyle name="Millares 2 2 3 30" xfId="1660" xr:uid="{00000000-0005-0000-0000-00007C060000}"/>
    <cellStyle name="Millares 2 2 3 31" xfId="1661" xr:uid="{00000000-0005-0000-0000-00007D060000}"/>
    <cellStyle name="Millares 2 2 3 32" xfId="1662" xr:uid="{00000000-0005-0000-0000-00007E060000}"/>
    <cellStyle name="Millares 2 2 3 33" xfId="1663" xr:uid="{00000000-0005-0000-0000-00007F060000}"/>
    <cellStyle name="Millares 2 2 3 34" xfId="1664" xr:uid="{00000000-0005-0000-0000-000080060000}"/>
    <cellStyle name="Millares 2 2 3 35" xfId="1665" xr:uid="{00000000-0005-0000-0000-000081060000}"/>
    <cellStyle name="Millares 2 2 3 4" xfId="1666" xr:uid="{00000000-0005-0000-0000-000082060000}"/>
    <cellStyle name="Millares 2 2 3 5" xfId="1667" xr:uid="{00000000-0005-0000-0000-000083060000}"/>
    <cellStyle name="Millares 2 2 3 6" xfId="1668" xr:uid="{00000000-0005-0000-0000-000084060000}"/>
    <cellStyle name="Millares 2 2 3 7" xfId="1669" xr:uid="{00000000-0005-0000-0000-000085060000}"/>
    <cellStyle name="Millares 2 2 3 8" xfId="1670" xr:uid="{00000000-0005-0000-0000-000086060000}"/>
    <cellStyle name="Millares 2 2 3 9" xfId="1671" xr:uid="{00000000-0005-0000-0000-000087060000}"/>
    <cellStyle name="Millares 2 2 30" xfId="1672" xr:uid="{00000000-0005-0000-0000-000088060000}"/>
    <cellStyle name="Millares 2 2 31" xfId="1673" xr:uid="{00000000-0005-0000-0000-000089060000}"/>
    <cellStyle name="Millares 2 2 32" xfId="1674" xr:uid="{00000000-0005-0000-0000-00008A060000}"/>
    <cellStyle name="Millares 2 2 33" xfId="1675" xr:uid="{00000000-0005-0000-0000-00008B060000}"/>
    <cellStyle name="Millares 2 2 34" xfId="1676" xr:uid="{00000000-0005-0000-0000-00008C060000}"/>
    <cellStyle name="Millares 2 2 35" xfId="1677" xr:uid="{00000000-0005-0000-0000-00008D060000}"/>
    <cellStyle name="Millares 2 2 36" xfId="1678" xr:uid="{00000000-0005-0000-0000-00008E060000}"/>
    <cellStyle name="Millares 2 2 37" xfId="1679" xr:uid="{00000000-0005-0000-0000-00008F060000}"/>
    <cellStyle name="Millares 2 2 38" xfId="1680" xr:uid="{00000000-0005-0000-0000-000090060000}"/>
    <cellStyle name="Millares 2 2 39" xfId="1681" xr:uid="{00000000-0005-0000-0000-000091060000}"/>
    <cellStyle name="Millares 2 2 39 10" xfId="1682" xr:uid="{00000000-0005-0000-0000-000092060000}"/>
    <cellStyle name="Millares 2 2 39 2" xfId="1683" xr:uid="{00000000-0005-0000-0000-000093060000}"/>
    <cellStyle name="Millares 2 2 39 3" xfId="1684" xr:uid="{00000000-0005-0000-0000-000094060000}"/>
    <cellStyle name="Millares 2 2 39 4" xfId="1685" xr:uid="{00000000-0005-0000-0000-000095060000}"/>
    <cellStyle name="Millares 2 2 39 5" xfId="1686" xr:uid="{00000000-0005-0000-0000-000096060000}"/>
    <cellStyle name="Millares 2 2 39 6" xfId="1687" xr:uid="{00000000-0005-0000-0000-000097060000}"/>
    <cellStyle name="Millares 2 2 39 7" xfId="1688" xr:uid="{00000000-0005-0000-0000-000098060000}"/>
    <cellStyle name="Millares 2 2 39 8" xfId="1689" xr:uid="{00000000-0005-0000-0000-000099060000}"/>
    <cellStyle name="Millares 2 2 39 9" xfId="1690" xr:uid="{00000000-0005-0000-0000-00009A060000}"/>
    <cellStyle name="Millares 2 2 4" xfId="1691" xr:uid="{00000000-0005-0000-0000-00009B060000}"/>
    <cellStyle name="Millares 2 2 4 10" xfId="1692" xr:uid="{00000000-0005-0000-0000-00009C060000}"/>
    <cellStyle name="Millares 2 2 4 11" xfId="1693" xr:uid="{00000000-0005-0000-0000-00009D060000}"/>
    <cellStyle name="Millares 2 2 4 12" xfId="1694" xr:uid="{00000000-0005-0000-0000-00009E060000}"/>
    <cellStyle name="Millares 2 2 4 13" xfId="1695" xr:uid="{00000000-0005-0000-0000-00009F060000}"/>
    <cellStyle name="Millares 2 2 4 14" xfId="1696" xr:uid="{00000000-0005-0000-0000-0000A0060000}"/>
    <cellStyle name="Millares 2 2 4 15" xfId="1697" xr:uid="{00000000-0005-0000-0000-0000A1060000}"/>
    <cellStyle name="Millares 2 2 4 16" xfId="1698" xr:uid="{00000000-0005-0000-0000-0000A2060000}"/>
    <cellStyle name="Millares 2 2 4 17" xfId="1699" xr:uid="{00000000-0005-0000-0000-0000A3060000}"/>
    <cellStyle name="Millares 2 2 4 18" xfId="1700" xr:uid="{00000000-0005-0000-0000-0000A4060000}"/>
    <cellStyle name="Millares 2 2 4 19" xfId="1701" xr:uid="{00000000-0005-0000-0000-0000A5060000}"/>
    <cellStyle name="Millares 2 2 4 2" xfId="1702" xr:uid="{00000000-0005-0000-0000-0000A6060000}"/>
    <cellStyle name="Millares 2 2 4 2 10" xfId="1703" xr:uid="{00000000-0005-0000-0000-0000A7060000}"/>
    <cellStyle name="Millares 2 2 4 2 11" xfId="1704" xr:uid="{00000000-0005-0000-0000-0000A8060000}"/>
    <cellStyle name="Millares 2 2 4 2 12" xfId="1705" xr:uid="{00000000-0005-0000-0000-0000A9060000}"/>
    <cellStyle name="Millares 2 2 4 2 13" xfId="1706" xr:uid="{00000000-0005-0000-0000-0000AA060000}"/>
    <cellStyle name="Millares 2 2 4 2 14" xfId="1707" xr:uid="{00000000-0005-0000-0000-0000AB060000}"/>
    <cellStyle name="Millares 2 2 4 2 15" xfId="1708" xr:uid="{00000000-0005-0000-0000-0000AC060000}"/>
    <cellStyle name="Millares 2 2 4 2 16" xfId="1709" xr:uid="{00000000-0005-0000-0000-0000AD060000}"/>
    <cellStyle name="Millares 2 2 4 2 17" xfId="1710" xr:uid="{00000000-0005-0000-0000-0000AE060000}"/>
    <cellStyle name="Millares 2 2 4 2 18" xfId="1711" xr:uid="{00000000-0005-0000-0000-0000AF060000}"/>
    <cellStyle name="Millares 2 2 4 2 19" xfId="1712" xr:uid="{00000000-0005-0000-0000-0000B0060000}"/>
    <cellStyle name="Millares 2 2 4 2 2" xfId="1713" xr:uid="{00000000-0005-0000-0000-0000B1060000}"/>
    <cellStyle name="Millares 2 2 4 2 20" xfId="1714" xr:uid="{00000000-0005-0000-0000-0000B2060000}"/>
    <cellStyle name="Millares 2 2 4 2 3" xfId="1715" xr:uid="{00000000-0005-0000-0000-0000B3060000}"/>
    <cellStyle name="Millares 2 2 4 2 4" xfId="1716" xr:uid="{00000000-0005-0000-0000-0000B4060000}"/>
    <cellStyle name="Millares 2 2 4 2 5" xfId="1717" xr:uid="{00000000-0005-0000-0000-0000B5060000}"/>
    <cellStyle name="Millares 2 2 4 2 6" xfId="1718" xr:uid="{00000000-0005-0000-0000-0000B6060000}"/>
    <cellStyle name="Millares 2 2 4 2 7" xfId="1719" xr:uid="{00000000-0005-0000-0000-0000B7060000}"/>
    <cellStyle name="Millares 2 2 4 2 8" xfId="1720" xr:uid="{00000000-0005-0000-0000-0000B8060000}"/>
    <cellStyle name="Millares 2 2 4 2 9" xfId="1721" xr:uid="{00000000-0005-0000-0000-0000B9060000}"/>
    <cellStyle name="Millares 2 2 4 20" xfId="1722" xr:uid="{00000000-0005-0000-0000-0000BA060000}"/>
    <cellStyle name="Millares 2 2 4 3" xfId="1723" xr:uid="{00000000-0005-0000-0000-0000BB060000}"/>
    <cellStyle name="Millares 2 2 4 4" xfId="1724" xr:uid="{00000000-0005-0000-0000-0000BC060000}"/>
    <cellStyle name="Millares 2 2 4 5" xfId="1725" xr:uid="{00000000-0005-0000-0000-0000BD060000}"/>
    <cellStyle name="Millares 2 2 4 6" xfId="1726" xr:uid="{00000000-0005-0000-0000-0000BE060000}"/>
    <cellStyle name="Millares 2 2 4 7" xfId="1727" xr:uid="{00000000-0005-0000-0000-0000BF060000}"/>
    <cellStyle name="Millares 2 2 4 8" xfId="1728" xr:uid="{00000000-0005-0000-0000-0000C0060000}"/>
    <cellStyle name="Millares 2 2 4 9" xfId="1729" xr:uid="{00000000-0005-0000-0000-0000C1060000}"/>
    <cellStyle name="Millares 2 2 40" xfId="1730" xr:uid="{00000000-0005-0000-0000-0000C2060000}"/>
    <cellStyle name="Millares 2 2 41" xfId="1731" xr:uid="{00000000-0005-0000-0000-0000C3060000}"/>
    <cellStyle name="Millares 2 2 42" xfId="1732" xr:uid="{00000000-0005-0000-0000-0000C4060000}"/>
    <cellStyle name="Millares 2 2 43" xfId="1733" xr:uid="{00000000-0005-0000-0000-0000C5060000}"/>
    <cellStyle name="Millares 2 2 44" xfId="1734" xr:uid="{00000000-0005-0000-0000-0000C6060000}"/>
    <cellStyle name="Millares 2 2 45" xfId="1735" xr:uid="{00000000-0005-0000-0000-0000C7060000}"/>
    <cellStyle name="Millares 2 2 46" xfId="1736" xr:uid="{00000000-0005-0000-0000-0000C8060000}"/>
    <cellStyle name="Millares 2 2 47" xfId="1737" xr:uid="{00000000-0005-0000-0000-0000C9060000}"/>
    <cellStyle name="Millares 2 2 48" xfId="1738" xr:uid="{00000000-0005-0000-0000-0000CA060000}"/>
    <cellStyle name="Millares 2 2 49" xfId="1111" xr:uid="{00000000-0005-0000-0000-000057040000}"/>
    <cellStyle name="Millares 2 2 5" xfId="1739" xr:uid="{00000000-0005-0000-0000-0000CB060000}"/>
    <cellStyle name="Millares 2 2 6" xfId="1740" xr:uid="{00000000-0005-0000-0000-0000CC060000}"/>
    <cellStyle name="Millares 2 2 7" xfId="1741" xr:uid="{00000000-0005-0000-0000-0000CD060000}"/>
    <cellStyle name="Millares 2 2 8" xfId="1742" xr:uid="{00000000-0005-0000-0000-0000CE060000}"/>
    <cellStyle name="Millares 2 2 9" xfId="1743" xr:uid="{00000000-0005-0000-0000-0000CF060000}"/>
    <cellStyle name="Millares 2 20" xfId="1744" xr:uid="{00000000-0005-0000-0000-0000D0060000}"/>
    <cellStyle name="Millares 2 21" xfId="1090" xr:uid="{00000000-0005-0000-0000-000042040000}"/>
    <cellStyle name="Millares 2 22" xfId="1745" xr:uid="{00000000-0005-0000-0000-0000D1060000}"/>
    <cellStyle name="Millares 2 24" xfId="1746" xr:uid="{00000000-0005-0000-0000-0000D2060000}"/>
    <cellStyle name="Millares 2 26" xfId="1747" xr:uid="{00000000-0005-0000-0000-0000D3060000}"/>
    <cellStyle name="Millares 2 28" xfId="1748" xr:uid="{00000000-0005-0000-0000-0000D4060000}"/>
    <cellStyle name="Millares 2 3" xfId="44" xr:uid="{00000000-0005-0000-0000-00002C000000}"/>
    <cellStyle name="Millares 2 3 2" xfId="1750" xr:uid="{00000000-0005-0000-0000-0000D6060000}"/>
    <cellStyle name="Millares 2 3 3" xfId="1751" xr:uid="{00000000-0005-0000-0000-0000D7060000}"/>
    <cellStyle name="Millares 2 3 4" xfId="1752" xr:uid="{00000000-0005-0000-0000-0000D8060000}"/>
    <cellStyle name="Millares 2 3 5" xfId="1753" xr:uid="{00000000-0005-0000-0000-0000D9060000}"/>
    <cellStyle name="Millares 2 3 6" xfId="1754" xr:uid="{00000000-0005-0000-0000-0000DA060000}"/>
    <cellStyle name="Millares 2 3 7" xfId="1749" xr:uid="{00000000-0005-0000-0000-0000D5060000}"/>
    <cellStyle name="Millares 2 30" xfId="1755" xr:uid="{00000000-0005-0000-0000-0000DB060000}"/>
    <cellStyle name="Millares 2 32" xfId="1756" xr:uid="{00000000-0005-0000-0000-0000DC060000}"/>
    <cellStyle name="Millares 2 34" xfId="1757" xr:uid="{00000000-0005-0000-0000-0000DD060000}"/>
    <cellStyle name="Millares 2 36" xfId="1758" xr:uid="{00000000-0005-0000-0000-0000DE060000}"/>
    <cellStyle name="Millares 2 4" xfId="1759" xr:uid="{00000000-0005-0000-0000-0000DF060000}"/>
    <cellStyle name="Millares 2 4 2" xfId="1760" xr:uid="{00000000-0005-0000-0000-0000E0060000}"/>
    <cellStyle name="Millares 2 4 3" xfId="1761" xr:uid="{00000000-0005-0000-0000-0000E1060000}"/>
    <cellStyle name="Millares 2 4 4" xfId="1762" xr:uid="{00000000-0005-0000-0000-0000E2060000}"/>
    <cellStyle name="Millares 2 4 5" xfId="1763" xr:uid="{00000000-0005-0000-0000-0000E3060000}"/>
    <cellStyle name="Millares 2 4 6" xfId="1764" xr:uid="{00000000-0005-0000-0000-0000E4060000}"/>
    <cellStyle name="Millares 2 4 7" xfId="1765" xr:uid="{00000000-0005-0000-0000-0000E5060000}"/>
    <cellStyle name="Millares 2 4 8" xfId="1766" xr:uid="{00000000-0005-0000-0000-0000E6060000}"/>
    <cellStyle name="Millares 2 5" xfId="1767" xr:uid="{00000000-0005-0000-0000-0000E7060000}"/>
    <cellStyle name="Millares 2 6" xfId="1768" xr:uid="{00000000-0005-0000-0000-0000E8060000}"/>
    <cellStyle name="Millares 2 6 2" xfId="1769" xr:uid="{00000000-0005-0000-0000-0000E9060000}"/>
    <cellStyle name="Millares 2 7" xfId="1770" xr:uid="{00000000-0005-0000-0000-0000EA060000}"/>
    <cellStyle name="Millares 2 7 2" xfId="1771" xr:uid="{00000000-0005-0000-0000-0000EB060000}"/>
    <cellStyle name="Millares 2 7 3" xfId="1772" xr:uid="{00000000-0005-0000-0000-0000EC060000}"/>
    <cellStyle name="Millares 2 8" xfId="1773" xr:uid="{00000000-0005-0000-0000-0000ED060000}"/>
    <cellStyle name="Millares 2 8 2" xfId="1774" xr:uid="{00000000-0005-0000-0000-0000EE060000}"/>
    <cellStyle name="Millares 2 8 3" xfId="1775" xr:uid="{00000000-0005-0000-0000-0000EF060000}"/>
    <cellStyle name="Millares 2 9" xfId="1776" xr:uid="{00000000-0005-0000-0000-0000F0060000}"/>
    <cellStyle name="Millares 2 9 2" xfId="1777" xr:uid="{00000000-0005-0000-0000-0000F1060000}"/>
    <cellStyle name="Millares 2 9 3" xfId="1778" xr:uid="{00000000-0005-0000-0000-0000F2060000}"/>
    <cellStyle name="Millares 20" xfId="1779" xr:uid="{00000000-0005-0000-0000-0000F3060000}"/>
    <cellStyle name="Millares 20 2" xfId="1780" xr:uid="{00000000-0005-0000-0000-0000F4060000}"/>
    <cellStyle name="Millares 21" xfId="1781" xr:uid="{00000000-0005-0000-0000-0000F5060000}"/>
    <cellStyle name="Millares 21 2" xfId="1782" xr:uid="{00000000-0005-0000-0000-0000F6060000}"/>
    <cellStyle name="Millares 22" xfId="1783" xr:uid="{00000000-0005-0000-0000-0000F7060000}"/>
    <cellStyle name="Millares 28" xfId="1784" xr:uid="{00000000-0005-0000-0000-0000F8060000}"/>
    <cellStyle name="Millares 28 10" xfId="1785" xr:uid="{00000000-0005-0000-0000-0000F9060000}"/>
    <cellStyle name="Millares 28 11" xfId="1786" xr:uid="{00000000-0005-0000-0000-0000FA060000}"/>
    <cellStyle name="Millares 28 12" xfId="1787" xr:uid="{00000000-0005-0000-0000-0000FB060000}"/>
    <cellStyle name="Millares 28 13" xfId="1788" xr:uid="{00000000-0005-0000-0000-0000FC060000}"/>
    <cellStyle name="Millares 28 14" xfId="1789" xr:uid="{00000000-0005-0000-0000-0000FD060000}"/>
    <cellStyle name="Millares 28 15" xfId="1790" xr:uid="{00000000-0005-0000-0000-0000FE060000}"/>
    <cellStyle name="Millares 28 16" xfId="1791" xr:uid="{00000000-0005-0000-0000-0000FF060000}"/>
    <cellStyle name="Millares 28 17" xfId="1792" xr:uid="{00000000-0005-0000-0000-000000070000}"/>
    <cellStyle name="Millares 28 18" xfId="1793" xr:uid="{00000000-0005-0000-0000-000001070000}"/>
    <cellStyle name="Millares 28 19" xfId="1794" xr:uid="{00000000-0005-0000-0000-000002070000}"/>
    <cellStyle name="Millares 28 2" xfId="1795" xr:uid="{00000000-0005-0000-0000-000003070000}"/>
    <cellStyle name="Millares 28 2 2" xfId="1796" xr:uid="{00000000-0005-0000-0000-000004070000}"/>
    <cellStyle name="Millares 28 2 3" xfId="1797" xr:uid="{00000000-0005-0000-0000-000005070000}"/>
    <cellStyle name="Millares 28 20" xfId="1798" xr:uid="{00000000-0005-0000-0000-000006070000}"/>
    <cellStyle name="Millares 28 21" xfId="1799" xr:uid="{00000000-0005-0000-0000-000007070000}"/>
    <cellStyle name="Millares 28 22" xfId="1800" xr:uid="{00000000-0005-0000-0000-000008070000}"/>
    <cellStyle name="Millares 28 23" xfId="1801" xr:uid="{00000000-0005-0000-0000-000009070000}"/>
    <cellStyle name="Millares 28 24" xfId="1802" xr:uid="{00000000-0005-0000-0000-00000A070000}"/>
    <cellStyle name="Millares 28 25" xfId="1803" xr:uid="{00000000-0005-0000-0000-00000B070000}"/>
    <cellStyle name="Millares 28 3" xfId="1804" xr:uid="{00000000-0005-0000-0000-00000C070000}"/>
    <cellStyle name="Millares 28 3 2" xfId="1805" xr:uid="{00000000-0005-0000-0000-00000D070000}"/>
    <cellStyle name="Millares 28 3 3" xfId="1806" xr:uid="{00000000-0005-0000-0000-00000E070000}"/>
    <cellStyle name="Millares 28 4" xfId="1807" xr:uid="{00000000-0005-0000-0000-00000F070000}"/>
    <cellStyle name="Millares 28 5" xfId="1808" xr:uid="{00000000-0005-0000-0000-000010070000}"/>
    <cellStyle name="Millares 28 6" xfId="1809" xr:uid="{00000000-0005-0000-0000-000011070000}"/>
    <cellStyle name="Millares 28 7" xfId="1810" xr:uid="{00000000-0005-0000-0000-000012070000}"/>
    <cellStyle name="Millares 28 8" xfId="1811" xr:uid="{00000000-0005-0000-0000-000013070000}"/>
    <cellStyle name="Millares 28 9" xfId="1812" xr:uid="{00000000-0005-0000-0000-000014070000}"/>
    <cellStyle name="Millares 29" xfId="1813" xr:uid="{00000000-0005-0000-0000-000015070000}"/>
    <cellStyle name="Millares 29 10" xfId="1814" xr:uid="{00000000-0005-0000-0000-000016070000}"/>
    <cellStyle name="Millares 29 11" xfId="1815" xr:uid="{00000000-0005-0000-0000-000017070000}"/>
    <cellStyle name="Millares 29 12" xfId="1816" xr:uid="{00000000-0005-0000-0000-000018070000}"/>
    <cellStyle name="Millares 29 13" xfId="1817" xr:uid="{00000000-0005-0000-0000-000019070000}"/>
    <cellStyle name="Millares 29 14" xfId="1818" xr:uid="{00000000-0005-0000-0000-00001A070000}"/>
    <cellStyle name="Millares 29 15" xfId="1819" xr:uid="{00000000-0005-0000-0000-00001B070000}"/>
    <cellStyle name="Millares 29 16" xfId="1820" xr:uid="{00000000-0005-0000-0000-00001C070000}"/>
    <cellStyle name="Millares 29 17" xfId="1821" xr:uid="{00000000-0005-0000-0000-00001D070000}"/>
    <cellStyle name="Millares 29 18" xfId="1822" xr:uid="{00000000-0005-0000-0000-00001E070000}"/>
    <cellStyle name="Millares 29 19" xfId="1823" xr:uid="{00000000-0005-0000-0000-00001F070000}"/>
    <cellStyle name="Millares 29 2" xfId="1824" xr:uid="{00000000-0005-0000-0000-000020070000}"/>
    <cellStyle name="Millares 29 2 2" xfId="1825" xr:uid="{00000000-0005-0000-0000-000021070000}"/>
    <cellStyle name="Millares 29 2 3" xfId="1826" xr:uid="{00000000-0005-0000-0000-000022070000}"/>
    <cellStyle name="Millares 29 20" xfId="1827" xr:uid="{00000000-0005-0000-0000-000023070000}"/>
    <cellStyle name="Millares 29 21" xfId="1828" xr:uid="{00000000-0005-0000-0000-000024070000}"/>
    <cellStyle name="Millares 29 22" xfId="1829" xr:uid="{00000000-0005-0000-0000-000025070000}"/>
    <cellStyle name="Millares 29 23" xfId="1830" xr:uid="{00000000-0005-0000-0000-000026070000}"/>
    <cellStyle name="Millares 29 24" xfId="1831" xr:uid="{00000000-0005-0000-0000-000027070000}"/>
    <cellStyle name="Millares 29 25" xfId="1832" xr:uid="{00000000-0005-0000-0000-000028070000}"/>
    <cellStyle name="Millares 29 3" xfId="1833" xr:uid="{00000000-0005-0000-0000-000029070000}"/>
    <cellStyle name="Millares 29 3 2" xfId="1834" xr:uid="{00000000-0005-0000-0000-00002A070000}"/>
    <cellStyle name="Millares 29 3 3" xfId="1835" xr:uid="{00000000-0005-0000-0000-00002B070000}"/>
    <cellStyle name="Millares 29 4" xfId="1836" xr:uid="{00000000-0005-0000-0000-00002C070000}"/>
    <cellStyle name="Millares 29 5" xfId="1837" xr:uid="{00000000-0005-0000-0000-00002D070000}"/>
    <cellStyle name="Millares 29 6" xfId="1838" xr:uid="{00000000-0005-0000-0000-00002E070000}"/>
    <cellStyle name="Millares 29 7" xfId="1839" xr:uid="{00000000-0005-0000-0000-00002F070000}"/>
    <cellStyle name="Millares 29 8" xfId="1840" xr:uid="{00000000-0005-0000-0000-000030070000}"/>
    <cellStyle name="Millares 29 9" xfId="1841" xr:uid="{00000000-0005-0000-0000-000031070000}"/>
    <cellStyle name="Millares 3" xfId="45" xr:uid="{00000000-0005-0000-0000-00002D000000}"/>
    <cellStyle name="Millares 3 10" xfId="1843" xr:uid="{00000000-0005-0000-0000-000033070000}"/>
    <cellStyle name="Millares 3 10 10" xfId="1844" xr:uid="{00000000-0005-0000-0000-000034070000}"/>
    <cellStyle name="Millares 3 10 11" xfId="1845" xr:uid="{00000000-0005-0000-0000-000035070000}"/>
    <cellStyle name="Millares 3 10 12" xfId="1846" xr:uid="{00000000-0005-0000-0000-000036070000}"/>
    <cellStyle name="Millares 3 10 13" xfId="1847" xr:uid="{00000000-0005-0000-0000-000037070000}"/>
    <cellStyle name="Millares 3 10 14" xfId="1848" xr:uid="{00000000-0005-0000-0000-000038070000}"/>
    <cellStyle name="Millares 3 10 15" xfId="1849" xr:uid="{00000000-0005-0000-0000-000039070000}"/>
    <cellStyle name="Millares 3 10 16" xfId="1850" xr:uid="{00000000-0005-0000-0000-00003A070000}"/>
    <cellStyle name="Millares 3 10 17" xfId="1851" xr:uid="{00000000-0005-0000-0000-00003B070000}"/>
    <cellStyle name="Millares 3 10 18" xfId="1852" xr:uid="{00000000-0005-0000-0000-00003C070000}"/>
    <cellStyle name="Millares 3 10 19" xfId="1853" xr:uid="{00000000-0005-0000-0000-00003D070000}"/>
    <cellStyle name="Millares 3 10 2" xfId="1854" xr:uid="{00000000-0005-0000-0000-00003E070000}"/>
    <cellStyle name="Millares 3 10 2 10" xfId="1855" xr:uid="{00000000-0005-0000-0000-00003F070000}"/>
    <cellStyle name="Millares 3 10 2 11" xfId="1856" xr:uid="{00000000-0005-0000-0000-000040070000}"/>
    <cellStyle name="Millares 3 10 2 12" xfId="1857" xr:uid="{00000000-0005-0000-0000-000041070000}"/>
    <cellStyle name="Millares 3 10 2 13" xfId="1858" xr:uid="{00000000-0005-0000-0000-000042070000}"/>
    <cellStyle name="Millares 3 10 2 14" xfId="1859" xr:uid="{00000000-0005-0000-0000-000043070000}"/>
    <cellStyle name="Millares 3 10 2 15" xfId="1860" xr:uid="{00000000-0005-0000-0000-000044070000}"/>
    <cellStyle name="Millares 3 10 2 16" xfId="1861" xr:uid="{00000000-0005-0000-0000-000045070000}"/>
    <cellStyle name="Millares 3 10 2 17" xfId="1862" xr:uid="{00000000-0005-0000-0000-000046070000}"/>
    <cellStyle name="Millares 3 10 2 2" xfId="1863" xr:uid="{00000000-0005-0000-0000-000047070000}"/>
    <cellStyle name="Millares 3 10 2 3" xfId="1864" xr:uid="{00000000-0005-0000-0000-000048070000}"/>
    <cellStyle name="Millares 3 10 2 3 2" xfId="1865" xr:uid="{00000000-0005-0000-0000-000049070000}"/>
    <cellStyle name="Millares 3 10 2 4" xfId="1866" xr:uid="{00000000-0005-0000-0000-00004A070000}"/>
    <cellStyle name="Millares 3 10 2 5" xfId="1867" xr:uid="{00000000-0005-0000-0000-00004B070000}"/>
    <cellStyle name="Millares 3 10 2 6" xfId="1868" xr:uid="{00000000-0005-0000-0000-00004C070000}"/>
    <cellStyle name="Millares 3 10 2 7" xfId="1869" xr:uid="{00000000-0005-0000-0000-00004D070000}"/>
    <cellStyle name="Millares 3 10 2 8" xfId="1870" xr:uid="{00000000-0005-0000-0000-00004E070000}"/>
    <cellStyle name="Millares 3 10 2 9" xfId="1871" xr:uid="{00000000-0005-0000-0000-00004F070000}"/>
    <cellStyle name="Millares 3 10 3" xfId="1872" xr:uid="{00000000-0005-0000-0000-000050070000}"/>
    <cellStyle name="Millares 3 10 4" xfId="1873" xr:uid="{00000000-0005-0000-0000-000051070000}"/>
    <cellStyle name="Millares 3 10 5" xfId="1874" xr:uid="{00000000-0005-0000-0000-000052070000}"/>
    <cellStyle name="Millares 3 10 6" xfId="1875" xr:uid="{00000000-0005-0000-0000-000053070000}"/>
    <cellStyle name="Millares 3 10 7" xfId="1876" xr:uid="{00000000-0005-0000-0000-000054070000}"/>
    <cellStyle name="Millares 3 10 8" xfId="1877" xr:uid="{00000000-0005-0000-0000-000055070000}"/>
    <cellStyle name="Millares 3 10 9" xfId="1878" xr:uid="{00000000-0005-0000-0000-000056070000}"/>
    <cellStyle name="Millares 3 11" xfId="1879" xr:uid="{00000000-0005-0000-0000-000057070000}"/>
    <cellStyle name="Millares 3 11 10" xfId="1880" xr:uid="{00000000-0005-0000-0000-000058070000}"/>
    <cellStyle name="Millares 3 11 11" xfId="1881" xr:uid="{00000000-0005-0000-0000-000059070000}"/>
    <cellStyle name="Millares 3 11 12" xfId="1882" xr:uid="{00000000-0005-0000-0000-00005A070000}"/>
    <cellStyle name="Millares 3 11 13" xfId="1883" xr:uid="{00000000-0005-0000-0000-00005B070000}"/>
    <cellStyle name="Millares 3 11 14" xfId="1884" xr:uid="{00000000-0005-0000-0000-00005C070000}"/>
    <cellStyle name="Millares 3 11 15" xfId="1885" xr:uid="{00000000-0005-0000-0000-00005D070000}"/>
    <cellStyle name="Millares 3 11 16" xfId="1886" xr:uid="{00000000-0005-0000-0000-00005E070000}"/>
    <cellStyle name="Millares 3 11 17" xfId="1887" xr:uid="{00000000-0005-0000-0000-00005F070000}"/>
    <cellStyle name="Millares 3 11 18" xfId="1888" xr:uid="{00000000-0005-0000-0000-000060070000}"/>
    <cellStyle name="Millares 3 11 19" xfId="1889" xr:uid="{00000000-0005-0000-0000-000061070000}"/>
    <cellStyle name="Millares 3 11 2" xfId="1890" xr:uid="{00000000-0005-0000-0000-000062070000}"/>
    <cellStyle name="Millares 3 11 2 10" xfId="1891" xr:uid="{00000000-0005-0000-0000-000063070000}"/>
    <cellStyle name="Millares 3 11 2 11" xfId="1892" xr:uid="{00000000-0005-0000-0000-000064070000}"/>
    <cellStyle name="Millares 3 11 2 12" xfId="1893" xr:uid="{00000000-0005-0000-0000-000065070000}"/>
    <cellStyle name="Millares 3 11 2 13" xfId="1894" xr:uid="{00000000-0005-0000-0000-000066070000}"/>
    <cellStyle name="Millares 3 11 2 14" xfId="1895" xr:uid="{00000000-0005-0000-0000-000067070000}"/>
    <cellStyle name="Millares 3 11 2 15" xfId="1896" xr:uid="{00000000-0005-0000-0000-000068070000}"/>
    <cellStyle name="Millares 3 11 2 16" xfId="1897" xr:uid="{00000000-0005-0000-0000-000069070000}"/>
    <cellStyle name="Millares 3 11 2 17" xfId="1898" xr:uid="{00000000-0005-0000-0000-00006A070000}"/>
    <cellStyle name="Millares 3 11 2 2" xfId="1899" xr:uid="{00000000-0005-0000-0000-00006B070000}"/>
    <cellStyle name="Millares 3 11 2 3" xfId="1900" xr:uid="{00000000-0005-0000-0000-00006C070000}"/>
    <cellStyle name="Millares 3 11 2 3 2" xfId="1901" xr:uid="{00000000-0005-0000-0000-00006D070000}"/>
    <cellStyle name="Millares 3 11 2 4" xfId="1902" xr:uid="{00000000-0005-0000-0000-00006E070000}"/>
    <cellStyle name="Millares 3 11 2 5" xfId="1903" xr:uid="{00000000-0005-0000-0000-00006F070000}"/>
    <cellStyle name="Millares 3 11 2 6" xfId="1904" xr:uid="{00000000-0005-0000-0000-000070070000}"/>
    <cellStyle name="Millares 3 11 2 7" xfId="1905" xr:uid="{00000000-0005-0000-0000-000071070000}"/>
    <cellStyle name="Millares 3 11 2 8" xfId="1906" xr:uid="{00000000-0005-0000-0000-000072070000}"/>
    <cellStyle name="Millares 3 11 2 9" xfId="1907" xr:uid="{00000000-0005-0000-0000-000073070000}"/>
    <cellStyle name="Millares 3 11 3" xfId="1908" xr:uid="{00000000-0005-0000-0000-000074070000}"/>
    <cellStyle name="Millares 3 11 4" xfId="1909" xr:uid="{00000000-0005-0000-0000-000075070000}"/>
    <cellStyle name="Millares 3 11 5" xfId="1910" xr:uid="{00000000-0005-0000-0000-000076070000}"/>
    <cellStyle name="Millares 3 11 6" xfId="1911" xr:uid="{00000000-0005-0000-0000-000077070000}"/>
    <cellStyle name="Millares 3 11 7" xfId="1912" xr:uid="{00000000-0005-0000-0000-000078070000}"/>
    <cellStyle name="Millares 3 11 8" xfId="1913" xr:uid="{00000000-0005-0000-0000-000079070000}"/>
    <cellStyle name="Millares 3 11 9" xfId="1914" xr:uid="{00000000-0005-0000-0000-00007A070000}"/>
    <cellStyle name="Millares 3 12" xfId="1915" xr:uid="{00000000-0005-0000-0000-00007B070000}"/>
    <cellStyle name="Millares 3 12 10" xfId="1916" xr:uid="{00000000-0005-0000-0000-00007C070000}"/>
    <cellStyle name="Millares 3 12 11" xfId="1917" xr:uid="{00000000-0005-0000-0000-00007D070000}"/>
    <cellStyle name="Millares 3 12 12" xfId="1918" xr:uid="{00000000-0005-0000-0000-00007E070000}"/>
    <cellStyle name="Millares 3 12 13" xfId="1919" xr:uid="{00000000-0005-0000-0000-00007F070000}"/>
    <cellStyle name="Millares 3 12 14" xfId="1920" xr:uid="{00000000-0005-0000-0000-000080070000}"/>
    <cellStyle name="Millares 3 12 15" xfId="1921" xr:uid="{00000000-0005-0000-0000-000081070000}"/>
    <cellStyle name="Millares 3 12 16" xfId="1922" xr:uid="{00000000-0005-0000-0000-000082070000}"/>
    <cellStyle name="Millares 3 12 17" xfId="1923" xr:uid="{00000000-0005-0000-0000-000083070000}"/>
    <cellStyle name="Millares 3 12 2" xfId="1924" xr:uid="{00000000-0005-0000-0000-000084070000}"/>
    <cellStyle name="Millares 3 12 3" xfId="1925" xr:uid="{00000000-0005-0000-0000-000085070000}"/>
    <cellStyle name="Millares 3 12 3 2" xfId="1926" xr:uid="{00000000-0005-0000-0000-000086070000}"/>
    <cellStyle name="Millares 3 12 4" xfId="1927" xr:uid="{00000000-0005-0000-0000-000087070000}"/>
    <cellStyle name="Millares 3 12 5" xfId="1928" xr:uid="{00000000-0005-0000-0000-000088070000}"/>
    <cellStyle name="Millares 3 12 6" xfId="1929" xr:uid="{00000000-0005-0000-0000-000089070000}"/>
    <cellStyle name="Millares 3 12 7" xfId="1930" xr:uid="{00000000-0005-0000-0000-00008A070000}"/>
    <cellStyle name="Millares 3 12 8" xfId="1931" xr:uid="{00000000-0005-0000-0000-00008B070000}"/>
    <cellStyle name="Millares 3 12 9" xfId="1932" xr:uid="{00000000-0005-0000-0000-00008C070000}"/>
    <cellStyle name="Millares 3 13" xfId="1933" xr:uid="{00000000-0005-0000-0000-00008D070000}"/>
    <cellStyle name="Millares 3 13 10" xfId="1934" xr:uid="{00000000-0005-0000-0000-00008E070000}"/>
    <cellStyle name="Millares 3 13 11" xfId="1935" xr:uid="{00000000-0005-0000-0000-00008F070000}"/>
    <cellStyle name="Millares 3 13 12" xfId="1936" xr:uid="{00000000-0005-0000-0000-000090070000}"/>
    <cellStyle name="Millares 3 13 13" xfId="1937" xr:uid="{00000000-0005-0000-0000-000091070000}"/>
    <cellStyle name="Millares 3 13 14" xfId="1938" xr:uid="{00000000-0005-0000-0000-000092070000}"/>
    <cellStyle name="Millares 3 13 15" xfId="1939" xr:uid="{00000000-0005-0000-0000-000093070000}"/>
    <cellStyle name="Millares 3 13 16" xfId="1940" xr:uid="{00000000-0005-0000-0000-000094070000}"/>
    <cellStyle name="Millares 3 13 17" xfId="1941" xr:uid="{00000000-0005-0000-0000-000095070000}"/>
    <cellStyle name="Millares 3 13 2" xfId="1942" xr:uid="{00000000-0005-0000-0000-000096070000}"/>
    <cellStyle name="Millares 3 13 3" xfId="1943" xr:uid="{00000000-0005-0000-0000-000097070000}"/>
    <cellStyle name="Millares 3 13 3 2" xfId="1944" xr:uid="{00000000-0005-0000-0000-000098070000}"/>
    <cellStyle name="Millares 3 13 4" xfId="1945" xr:uid="{00000000-0005-0000-0000-000099070000}"/>
    <cellStyle name="Millares 3 13 5" xfId="1946" xr:uid="{00000000-0005-0000-0000-00009A070000}"/>
    <cellStyle name="Millares 3 13 6" xfId="1947" xr:uid="{00000000-0005-0000-0000-00009B070000}"/>
    <cellStyle name="Millares 3 13 7" xfId="1948" xr:uid="{00000000-0005-0000-0000-00009C070000}"/>
    <cellStyle name="Millares 3 13 8" xfId="1949" xr:uid="{00000000-0005-0000-0000-00009D070000}"/>
    <cellStyle name="Millares 3 13 9" xfId="1950" xr:uid="{00000000-0005-0000-0000-00009E070000}"/>
    <cellStyle name="Millares 3 14" xfId="1951" xr:uid="{00000000-0005-0000-0000-00009F070000}"/>
    <cellStyle name="Millares 3 14 10" xfId="1952" xr:uid="{00000000-0005-0000-0000-0000A0070000}"/>
    <cellStyle name="Millares 3 14 11" xfId="1953" xr:uid="{00000000-0005-0000-0000-0000A1070000}"/>
    <cellStyle name="Millares 3 14 12" xfId="1954" xr:uid="{00000000-0005-0000-0000-0000A2070000}"/>
    <cellStyle name="Millares 3 14 13" xfId="1955" xr:uid="{00000000-0005-0000-0000-0000A3070000}"/>
    <cellStyle name="Millares 3 14 14" xfId="1956" xr:uid="{00000000-0005-0000-0000-0000A4070000}"/>
    <cellStyle name="Millares 3 14 15" xfId="1957" xr:uid="{00000000-0005-0000-0000-0000A5070000}"/>
    <cellStyle name="Millares 3 14 16" xfId="1958" xr:uid="{00000000-0005-0000-0000-0000A6070000}"/>
    <cellStyle name="Millares 3 14 17" xfId="1959" xr:uid="{00000000-0005-0000-0000-0000A7070000}"/>
    <cellStyle name="Millares 3 14 2" xfId="1960" xr:uid="{00000000-0005-0000-0000-0000A8070000}"/>
    <cellStyle name="Millares 3 14 3" xfId="1961" xr:uid="{00000000-0005-0000-0000-0000A9070000}"/>
    <cellStyle name="Millares 3 14 3 2" xfId="1962" xr:uid="{00000000-0005-0000-0000-0000AA070000}"/>
    <cellStyle name="Millares 3 14 4" xfId="1963" xr:uid="{00000000-0005-0000-0000-0000AB070000}"/>
    <cellStyle name="Millares 3 14 5" xfId="1964" xr:uid="{00000000-0005-0000-0000-0000AC070000}"/>
    <cellStyle name="Millares 3 14 6" xfId="1965" xr:uid="{00000000-0005-0000-0000-0000AD070000}"/>
    <cellStyle name="Millares 3 14 7" xfId="1966" xr:uid="{00000000-0005-0000-0000-0000AE070000}"/>
    <cellStyle name="Millares 3 14 8" xfId="1967" xr:uid="{00000000-0005-0000-0000-0000AF070000}"/>
    <cellStyle name="Millares 3 14 9" xfId="1968" xr:uid="{00000000-0005-0000-0000-0000B0070000}"/>
    <cellStyle name="Millares 3 15" xfId="1969" xr:uid="{00000000-0005-0000-0000-0000B1070000}"/>
    <cellStyle name="Millares 3 16" xfId="1970" xr:uid="{00000000-0005-0000-0000-0000B2070000}"/>
    <cellStyle name="Millares 3 17" xfId="1971" xr:uid="{00000000-0005-0000-0000-0000B3070000}"/>
    <cellStyle name="Millares 3 18" xfId="1972" xr:uid="{00000000-0005-0000-0000-0000B4070000}"/>
    <cellStyle name="Millares 3 19" xfId="1973" xr:uid="{00000000-0005-0000-0000-0000B5070000}"/>
    <cellStyle name="Millares 3 2" xfId="1974" xr:uid="{00000000-0005-0000-0000-0000B6070000}"/>
    <cellStyle name="Millares 3 2 10" xfId="1975" xr:uid="{00000000-0005-0000-0000-0000B7070000}"/>
    <cellStyle name="Millares 3 2 11" xfId="1976" xr:uid="{00000000-0005-0000-0000-0000B8070000}"/>
    <cellStyle name="Millares 3 2 12" xfId="1977" xr:uid="{00000000-0005-0000-0000-0000B9070000}"/>
    <cellStyle name="Millares 3 2 13" xfId="1978" xr:uid="{00000000-0005-0000-0000-0000BA070000}"/>
    <cellStyle name="Millares 3 2 14" xfId="1979" xr:uid="{00000000-0005-0000-0000-0000BB070000}"/>
    <cellStyle name="Millares 3 2 15" xfId="1980" xr:uid="{00000000-0005-0000-0000-0000BC070000}"/>
    <cellStyle name="Millares 3 2 16" xfId="1981" xr:uid="{00000000-0005-0000-0000-0000BD070000}"/>
    <cellStyle name="Millares 3 2 17" xfId="1982" xr:uid="{00000000-0005-0000-0000-0000BE070000}"/>
    <cellStyle name="Millares 3 2 18" xfId="1983" xr:uid="{00000000-0005-0000-0000-0000BF070000}"/>
    <cellStyle name="Millares 3 2 19" xfId="1984" xr:uid="{00000000-0005-0000-0000-0000C0070000}"/>
    <cellStyle name="Millares 3 2 2" xfId="1985" xr:uid="{00000000-0005-0000-0000-0000C1070000}"/>
    <cellStyle name="Millares 3 2 2 10" xfId="1986" xr:uid="{00000000-0005-0000-0000-0000C2070000}"/>
    <cellStyle name="Millares 3 2 2 11" xfId="1987" xr:uid="{00000000-0005-0000-0000-0000C3070000}"/>
    <cellStyle name="Millares 3 2 2 12" xfId="1988" xr:uid="{00000000-0005-0000-0000-0000C4070000}"/>
    <cellStyle name="Millares 3 2 2 13" xfId="1989" xr:uid="{00000000-0005-0000-0000-0000C5070000}"/>
    <cellStyle name="Millares 3 2 2 14" xfId="1990" xr:uid="{00000000-0005-0000-0000-0000C6070000}"/>
    <cellStyle name="Millares 3 2 2 15" xfId="1991" xr:uid="{00000000-0005-0000-0000-0000C7070000}"/>
    <cellStyle name="Millares 3 2 2 16" xfId="1992" xr:uid="{00000000-0005-0000-0000-0000C8070000}"/>
    <cellStyle name="Millares 3 2 2 17" xfId="1993" xr:uid="{00000000-0005-0000-0000-0000C9070000}"/>
    <cellStyle name="Millares 3 2 2 18" xfId="1994" xr:uid="{00000000-0005-0000-0000-0000CA070000}"/>
    <cellStyle name="Millares 3 2 2 2" xfId="1995" xr:uid="{00000000-0005-0000-0000-0000CB070000}"/>
    <cellStyle name="Millares 3 2 2 2 2" xfId="1996" xr:uid="{00000000-0005-0000-0000-0000CC070000}"/>
    <cellStyle name="Millares 3 2 2 2 2 2" xfId="1997" xr:uid="{00000000-0005-0000-0000-0000CD070000}"/>
    <cellStyle name="Millares 3 2 2 2 2 2 2" xfId="1998" xr:uid="{00000000-0005-0000-0000-0000CE070000}"/>
    <cellStyle name="Millares 3 2 2 2 2 2 2 2" xfId="1999" xr:uid="{00000000-0005-0000-0000-0000CF070000}"/>
    <cellStyle name="Millares 3 2 2 2 2 2 2 3" xfId="2000" xr:uid="{00000000-0005-0000-0000-0000D0070000}"/>
    <cellStyle name="Millares 3 2 2 2 2 2 3" xfId="2001" xr:uid="{00000000-0005-0000-0000-0000D1070000}"/>
    <cellStyle name="Millares 3 2 2 2 2 3" xfId="2002" xr:uid="{00000000-0005-0000-0000-0000D2070000}"/>
    <cellStyle name="Millares 3 2 2 2 2 4" xfId="2003" xr:uid="{00000000-0005-0000-0000-0000D3070000}"/>
    <cellStyle name="Millares 3 2 2 2 2 5" xfId="2004" xr:uid="{00000000-0005-0000-0000-0000D4070000}"/>
    <cellStyle name="Millares 3 2 2 2 3" xfId="2005" xr:uid="{00000000-0005-0000-0000-0000D5070000}"/>
    <cellStyle name="Millares 3 2 2 2 4" xfId="2006" xr:uid="{00000000-0005-0000-0000-0000D6070000}"/>
    <cellStyle name="Millares 3 2 2 2 5" xfId="2007" xr:uid="{00000000-0005-0000-0000-0000D7070000}"/>
    <cellStyle name="Millares 3 2 2 3" xfId="2008" xr:uid="{00000000-0005-0000-0000-0000D8070000}"/>
    <cellStyle name="Millares 3 2 2 4" xfId="2009" xr:uid="{00000000-0005-0000-0000-0000D9070000}"/>
    <cellStyle name="Millares 3 2 2 5" xfId="2010" xr:uid="{00000000-0005-0000-0000-0000DA070000}"/>
    <cellStyle name="Millares 3 2 2 5 10" xfId="2011" xr:uid="{00000000-0005-0000-0000-0000DB070000}"/>
    <cellStyle name="Millares 3 2 2 5 11" xfId="2012" xr:uid="{00000000-0005-0000-0000-0000DC070000}"/>
    <cellStyle name="Millares 3 2 2 5 12" xfId="2013" xr:uid="{00000000-0005-0000-0000-0000DD070000}"/>
    <cellStyle name="Millares 3 2 2 5 13" xfId="2014" xr:uid="{00000000-0005-0000-0000-0000DE070000}"/>
    <cellStyle name="Millares 3 2 2 5 14" xfId="2015" xr:uid="{00000000-0005-0000-0000-0000DF070000}"/>
    <cellStyle name="Millares 3 2 2 5 15" xfId="2016" xr:uid="{00000000-0005-0000-0000-0000E0070000}"/>
    <cellStyle name="Millares 3 2 2 5 16" xfId="2017" xr:uid="{00000000-0005-0000-0000-0000E1070000}"/>
    <cellStyle name="Millares 3 2 2 5 17" xfId="2018" xr:uid="{00000000-0005-0000-0000-0000E2070000}"/>
    <cellStyle name="Millares 3 2 2 5 18" xfId="2019" xr:uid="{00000000-0005-0000-0000-0000E3070000}"/>
    <cellStyle name="Millares 3 2 2 5 2" xfId="2020" xr:uid="{00000000-0005-0000-0000-0000E4070000}"/>
    <cellStyle name="Millares 3 2 2 5 2 10" xfId="2021" xr:uid="{00000000-0005-0000-0000-0000E5070000}"/>
    <cellStyle name="Millares 3 2 2 5 2 11" xfId="2022" xr:uid="{00000000-0005-0000-0000-0000E6070000}"/>
    <cellStyle name="Millares 3 2 2 5 2 12" xfId="2023" xr:uid="{00000000-0005-0000-0000-0000E7070000}"/>
    <cellStyle name="Millares 3 2 2 5 2 13" xfId="2024" xr:uid="{00000000-0005-0000-0000-0000E8070000}"/>
    <cellStyle name="Millares 3 2 2 5 2 14" xfId="2025" xr:uid="{00000000-0005-0000-0000-0000E9070000}"/>
    <cellStyle name="Millares 3 2 2 5 2 15" xfId="2026" xr:uid="{00000000-0005-0000-0000-0000EA070000}"/>
    <cellStyle name="Millares 3 2 2 5 2 2" xfId="2027" xr:uid="{00000000-0005-0000-0000-0000EB070000}"/>
    <cellStyle name="Millares 3 2 2 5 2 2 2" xfId="2028" xr:uid="{00000000-0005-0000-0000-0000EC070000}"/>
    <cellStyle name="Millares 3 2 2 5 2 2 3" xfId="2029" xr:uid="{00000000-0005-0000-0000-0000ED070000}"/>
    <cellStyle name="Millares 3 2 2 5 2 2 4" xfId="2030" xr:uid="{00000000-0005-0000-0000-0000EE070000}"/>
    <cellStyle name="Millares 3 2 2 5 2 2 5" xfId="2031" xr:uid="{00000000-0005-0000-0000-0000EF070000}"/>
    <cellStyle name="Millares 3 2 2 5 2 2 6" xfId="2032" xr:uid="{00000000-0005-0000-0000-0000F0070000}"/>
    <cellStyle name="Millares 3 2 2 5 2 3" xfId="2033" xr:uid="{00000000-0005-0000-0000-0000F1070000}"/>
    <cellStyle name="Millares 3 2 2 5 2 4" xfId="2034" xr:uid="{00000000-0005-0000-0000-0000F2070000}"/>
    <cellStyle name="Millares 3 2 2 5 2 5" xfId="2035" xr:uid="{00000000-0005-0000-0000-0000F3070000}"/>
    <cellStyle name="Millares 3 2 2 5 2 6" xfId="2036" xr:uid="{00000000-0005-0000-0000-0000F4070000}"/>
    <cellStyle name="Millares 3 2 2 5 2 7" xfId="2037" xr:uid="{00000000-0005-0000-0000-0000F5070000}"/>
    <cellStyle name="Millares 3 2 2 5 2 8" xfId="2038" xr:uid="{00000000-0005-0000-0000-0000F6070000}"/>
    <cellStyle name="Millares 3 2 2 5 2 9" xfId="2039" xr:uid="{00000000-0005-0000-0000-0000F7070000}"/>
    <cellStyle name="Millares 3 2 2 5 3" xfId="2040" xr:uid="{00000000-0005-0000-0000-0000F8070000}"/>
    <cellStyle name="Millares 3 2 2 5 3 10" xfId="2041" xr:uid="{00000000-0005-0000-0000-0000F9070000}"/>
    <cellStyle name="Millares 3 2 2 5 3 2" xfId="2042" xr:uid="{00000000-0005-0000-0000-0000FA070000}"/>
    <cellStyle name="Millares 3 2 2 5 3 3" xfId="2043" xr:uid="{00000000-0005-0000-0000-0000FB070000}"/>
    <cellStyle name="Millares 3 2 2 5 3 4" xfId="2044" xr:uid="{00000000-0005-0000-0000-0000FC070000}"/>
    <cellStyle name="Millares 3 2 2 5 3 5" xfId="2045" xr:uid="{00000000-0005-0000-0000-0000FD070000}"/>
    <cellStyle name="Millares 3 2 2 5 3 6" xfId="2046" xr:uid="{00000000-0005-0000-0000-0000FE070000}"/>
    <cellStyle name="Millares 3 2 2 5 3 7" xfId="2047" xr:uid="{00000000-0005-0000-0000-0000FF070000}"/>
    <cellStyle name="Millares 3 2 2 5 3 8" xfId="2048" xr:uid="{00000000-0005-0000-0000-000000080000}"/>
    <cellStyle name="Millares 3 2 2 5 3 9" xfId="2049" xr:uid="{00000000-0005-0000-0000-000001080000}"/>
    <cellStyle name="Millares 3 2 2 5 4" xfId="2050" xr:uid="{00000000-0005-0000-0000-000002080000}"/>
    <cellStyle name="Millares 3 2 2 5 5" xfId="2051" xr:uid="{00000000-0005-0000-0000-000003080000}"/>
    <cellStyle name="Millares 3 2 2 5 6" xfId="2052" xr:uid="{00000000-0005-0000-0000-000004080000}"/>
    <cellStyle name="Millares 3 2 2 5 7" xfId="2053" xr:uid="{00000000-0005-0000-0000-000005080000}"/>
    <cellStyle name="Millares 3 2 2 5 8" xfId="2054" xr:uid="{00000000-0005-0000-0000-000006080000}"/>
    <cellStyle name="Millares 3 2 2 5 9" xfId="2055" xr:uid="{00000000-0005-0000-0000-000007080000}"/>
    <cellStyle name="Millares 3 2 2 6" xfId="2056" xr:uid="{00000000-0005-0000-0000-000008080000}"/>
    <cellStyle name="Millares 3 2 2 7" xfId="2057" xr:uid="{00000000-0005-0000-0000-000009080000}"/>
    <cellStyle name="Millares 3 2 2 8" xfId="2058" xr:uid="{00000000-0005-0000-0000-00000A080000}"/>
    <cellStyle name="Millares 3 2 2 9" xfId="2059" xr:uid="{00000000-0005-0000-0000-00000B080000}"/>
    <cellStyle name="Millares 3 2 20" xfId="2060" xr:uid="{00000000-0005-0000-0000-00000C080000}"/>
    <cellStyle name="Millares 3 2 21" xfId="2061" xr:uid="{00000000-0005-0000-0000-00000D080000}"/>
    <cellStyle name="Millares 3 2 22" xfId="2062" xr:uid="{00000000-0005-0000-0000-00000E080000}"/>
    <cellStyle name="Millares 3 2 23" xfId="2063" xr:uid="{00000000-0005-0000-0000-00000F080000}"/>
    <cellStyle name="Millares 3 2 24" xfId="2064" xr:uid="{00000000-0005-0000-0000-000010080000}"/>
    <cellStyle name="Millares 3 2 3" xfId="2065" xr:uid="{00000000-0005-0000-0000-000011080000}"/>
    <cellStyle name="Millares 3 2 4" xfId="2066" xr:uid="{00000000-0005-0000-0000-000012080000}"/>
    <cellStyle name="Millares 3 2 5" xfId="2067" xr:uid="{00000000-0005-0000-0000-000013080000}"/>
    <cellStyle name="Millares 3 2 6" xfId="2068" xr:uid="{00000000-0005-0000-0000-000014080000}"/>
    <cellStyle name="Millares 3 2 7" xfId="2069" xr:uid="{00000000-0005-0000-0000-000015080000}"/>
    <cellStyle name="Millares 3 2 8" xfId="2070" xr:uid="{00000000-0005-0000-0000-000016080000}"/>
    <cellStyle name="Millares 3 2 9" xfId="2071" xr:uid="{00000000-0005-0000-0000-000017080000}"/>
    <cellStyle name="Millares 3 20" xfId="2072" xr:uid="{00000000-0005-0000-0000-000018080000}"/>
    <cellStyle name="Millares 3 21" xfId="2073" xr:uid="{00000000-0005-0000-0000-000019080000}"/>
    <cellStyle name="Millares 3 22" xfId="2074" xr:uid="{00000000-0005-0000-0000-00001A080000}"/>
    <cellStyle name="Millares 3 23" xfId="2075" xr:uid="{00000000-0005-0000-0000-00001B080000}"/>
    <cellStyle name="Millares 3 24" xfId="2076" xr:uid="{00000000-0005-0000-0000-00001C080000}"/>
    <cellStyle name="Millares 3 25" xfId="2077" xr:uid="{00000000-0005-0000-0000-00001D080000}"/>
    <cellStyle name="Millares 3 26" xfId="2078" xr:uid="{00000000-0005-0000-0000-00001E080000}"/>
    <cellStyle name="Millares 3 27" xfId="2079" xr:uid="{00000000-0005-0000-0000-00001F080000}"/>
    <cellStyle name="Millares 3 28" xfId="2080" xr:uid="{00000000-0005-0000-0000-000020080000}"/>
    <cellStyle name="Millares 3 29" xfId="2081" xr:uid="{00000000-0005-0000-0000-000021080000}"/>
    <cellStyle name="Millares 3 3" xfId="2082" xr:uid="{00000000-0005-0000-0000-000022080000}"/>
    <cellStyle name="Millares 3 30" xfId="2083" xr:uid="{00000000-0005-0000-0000-000023080000}"/>
    <cellStyle name="Millares 3 31" xfId="1842" xr:uid="{00000000-0005-0000-0000-000032070000}"/>
    <cellStyle name="Millares 3 4" xfId="2084" xr:uid="{00000000-0005-0000-0000-000024080000}"/>
    <cellStyle name="Millares 3 5" xfId="2085" xr:uid="{00000000-0005-0000-0000-000025080000}"/>
    <cellStyle name="Millares 3 6" xfId="2086" xr:uid="{00000000-0005-0000-0000-000026080000}"/>
    <cellStyle name="Millares 3 7" xfId="2087" xr:uid="{00000000-0005-0000-0000-000027080000}"/>
    <cellStyle name="Millares 3 8" xfId="2088" xr:uid="{00000000-0005-0000-0000-000028080000}"/>
    <cellStyle name="Millares 3 9" xfId="2089" xr:uid="{00000000-0005-0000-0000-000029080000}"/>
    <cellStyle name="Millares 30" xfId="2090" xr:uid="{00000000-0005-0000-0000-00002A080000}"/>
    <cellStyle name="Millares 30 10" xfId="2091" xr:uid="{00000000-0005-0000-0000-00002B080000}"/>
    <cellStyle name="Millares 30 11" xfId="2092" xr:uid="{00000000-0005-0000-0000-00002C080000}"/>
    <cellStyle name="Millares 30 12" xfId="2093" xr:uid="{00000000-0005-0000-0000-00002D080000}"/>
    <cellStyle name="Millares 30 13" xfId="2094" xr:uid="{00000000-0005-0000-0000-00002E080000}"/>
    <cellStyle name="Millares 30 14" xfId="2095" xr:uid="{00000000-0005-0000-0000-00002F080000}"/>
    <cellStyle name="Millares 30 15" xfId="2096" xr:uid="{00000000-0005-0000-0000-000030080000}"/>
    <cellStyle name="Millares 30 16" xfId="2097" xr:uid="{00000000-0005-0000-0000-000031080000}"/>
    <cellStyle name="Millares 30 17" xfId="2098" xr:uid="{00000000-0005-0000-0000-000032080000}"/>
    <cellStyle name="Millares 30 18" xfId="2099" xr:uid="{00000000-0005-0000-0000-000033080000}"/>
    <cellStyle name="Millares 30 19" xfId="2100" xr:uid="{00000000-0005-0000-0000-000034080000}"/>
    <cellStyle name="Millares 30 2" xfId="2101" xr:uid="{00000000-0005-0000-0000-000035080000}"/>
    <cellStyle name="Millares 30 2 2" xfId="2102" xr:uid="{00000000-0005-0000-0000-000036080000}"/>
    <cellStyle name="Millares 30 2 3" xfId="2103" xr:uid="{00000000-0005-0000-0000-000037080000}"/>
    <cellStyle name="Millares 30 20" xfId="2104" xr:uid="{00000000-0005-0000-0000-000038080000}"/>
    <cellStyle name="Millares 30 21" xfId="2105" xr:uid="{00000000-0005-0000-0000-000039080000}"/>
    <cellStyle name="Millares 30 22" xfId="2106" xr:uid="{00000000-0005-0000-0000-00003A080000}"/>
    <cellStyle name="Millares 30 23" xfId="2107" xr:uid="{00000000-0005-0000-0000-00003B080000}"/>
    <cellStyle name="Millares 30 24" xfId="2108" xr:uid="{00000000-0005-0000-0000-00003C080000}"/>
    <cellStyle name="Millares 30 25" xfId="2109" xr:uid="{00000000-0005-0000-0000-00003D080000}"/>
    <cellStyle name="Millares 30 3" xfId="2110" xr:uid="{00000000-0005-0000-0000-00003E080000}"/>
    <cellStyle name="Millares 30 3 2" xfId="2111" xr:uid="{00000000-0005-0000-0000-00003F080000}"/>
    <cellStyle name="Millares 30 3 3" xfId="2112" xr:uid="{00000000-0005-0000-0000-000040080000}"/>
    <cellStyle name="Millares 30 4" xfId="2113" xr:uid="{00000000-0005-0000-0000-000041080000}"/>
    <cellStyle name="Millares 30 5" xfId="2114" xr:uid="{00000000-0005-0000-0000-000042080000}"/>
    <cellStyle name="Millares 30 6" xfId="2115" xr:uid="{00000000-0005-0000-0000-000043080000}"/>
    <cellStyle name="Millares 30 7" xfId="2116" xr:uid="{00000000-0005-0000-0000-000044080000}"/>
    <cellStyle name="Millares 30 8" xfId="2117" xr:uid="{00000000-0005-0000-0000-000045080000}"/>
    <cellStyle name="Millares 30 9" xfId="2118" xr:uid="{00000000-0005-0000-0000-000046080000}"/>
    <cellStyle name="Millares 4" xfId="2119" xr:uid="{00000000-0005-0000-0000-000047080000}"/>
    <cellStyle name="Millares 4 2" xfId="2120" xr:uid="{00000000-0005-0000-0000-000048080000}"/>
    <cellStyle name="Millares 4 3" xfId="2121" xr:uid="{00000000-0005-0000-0000-000049080000}"/>
    <cellStyle name="Millares 5" xfId="2122" xr:uid="{00000000-0005-0000-0000-00004A080000}"/>
    <cellStyle name="Millares 5 10" xfId="2123" xr:uid="{00000000-0005-0000-0000-00004B080000}"/>
    <cellStyle name="Millares 5 11" xfId="2124" xr:uid="{00000000-0005-0000-0000-00004C080000}"/>
    <cellStyle name="Millares 5 12" xfId="2125" xr:uid="{00000000-0005-0000-0000-00004D080000}"/>
    <cellStyle name="Millares 5 13" xfId="2126" xr:uid="{00000000-0005-0000-0000-00004E080000}"/>
    <cellStyle name="Millares 5 14" xfId="2127" xr:uid="{00000000-0005-0000-0000-00004F080000}"/>
    <cellStyle name="Millares 5 15" xfId="2128" xr:uid="{00000000-0005-0000-0000-000050080000}"/>
    <cellStyle name="Millares 5 16" xfId="2129" xr:uid="{00000000-0005-0000-0000-000051080000}"/>
    <cellStyle name="Millares 5 17" xfId="2130" xr:uid="{00000000-0005-0000-0000-000052080000}"/>
    <cellStyle name="Millares 5 18" xfId="2131" xr:uid="{00000000-0005-0000-0000-000053080000}"/>
    <cellStyle name="Millares 5 19" xfId="2132" xr:uid="{00000000-0005-0000-0000-000054080000}"/>
    <cellStyle name="Millares 5 2" xfId="2133" xr:uid="{00000000-0005-0000-0000-000055080000}"/>
    <cellStyle name="Millares 5 2 2" xfId="2134" xr:uid="{00000000-0005-0000-0000-000056080000}"/>
    <cellStyle name="Millares 5 20" xfId="2135" xr:uid="{00000000-0005-0000-0000-000057080000}"/>
    <cellStyle name="Millares 5 21" xfId="2136" xr:uid="{00000000-0005-0000-0000-000058080000}"/>
    <cellStyle name="Millares 5 22" xfId="2137" xr:uid="{00000000-0005-0000-0000-000059080000}"/>
    <cellStyle name="Millares 5 23" xfId="2138" xr:uid="{00000000-0005-0000-0000-00005A080000}"/>
    <cellStyle name="Millares 5 24" xfId="2139" xr:uid="{00000000-0005-0000-0000-00005B080000}"/>
    <cellStyle name="Millares 5 25" xfId="2140" xr:uid="{00000000-0005-0000-0000-00005C080000}"/>
    <cellStyle name="Millares 5 26" xfId="2141" xr:uid="{00000000-0005-0000-0000-00005D080000}"/>
    <cellStyle name="Millares 5 3" xfId="2142" xr:uid="{00000000-0005-0000-0000-00005E080000}"/>
    <cellStyle name="Millares 5 4" xfId="2143" xr:uid="{00000000-0005-0000-0000-00005F080000}"/>
    <cellStyle name="Millares 5 5" xfId="2144" xr:uid="{00000000-0005-0000-0000-000060080000}"/>
    <cellStyle name="Millares 5 6" xfId="2145" xr:uid="{00000000-0005-0000-0000-000061080000}"/>
    <cellStyle name="Millares 5 7" xfId="2146" xr:uid="{00000000-0005-0000-0000-000062080000}"/>
    <cellStyle name="Millares 5 8" xfId="2147" xr:uid="{00000000-0005-0000-0000-000063080000}"/>
    <cellStyle name="Millares 5 9" xfId="2148" xr:uid="{00000000-0005-0000-0000-000064080000}"/>
    <cellStyle name="Millares 6" xfId="2149" xr:uid="{00000000-0005-0000-0000-000065080000}"/>
    <cellStyle name="Millares 6 2" xfId="2150" xr:uid="{00000000-0005-0000-0000-000066080000}"/>
    <cellStyle name="Millares 7" xfId="2151" xr:uid="{00000000-0005-0000-0000-000067080000}"/>
    <cellStyle name="Millares 7 10" xfId="2152" xr:uid="{00000000-0005-0000-0000-000068080000}"/>
    <cellStyle name="Millares 7 11" xfId="2153" xr:uid="{00000000-0005-0000-0000-000069080000}"/>
    <cellStyle name="Millares 7 12" xfId="2154" xr:uid="{00000000-0005-0000-0000-00006A080000}"/>
    <cellStyle name="Millares 7 13" xfId="2155" xr:uid="{00000000-0005-0000-0000-00006B080000}"/>
    <cellStyle name="Millares 7 14" xfId="2156" xr:uid="{00000000-0005-0000-0000-00006C080000}"/>
    <cellStyle name="Millares 7 15" xfId="2157" xr:uid="{00000000-0005-0000-0000-00006D080000}"/>
    <cellStyle name="Millares 7 16" xfId="2158" xr:uid="{00000000-0005-0000-0000-00006E080000}"/>
    <cellStyle name="Millares 7 17" xfId="2159" xr:uid="{00000000-0005-0000-0000-00006F080000}"/>
    <cellStyle name="Millares 7 18" xfId="2160" xr:uid="{00000000-0005-0000-0000-000070080000}"/>
    <cellStyle name="Millares 7 19" xfId="2161" xr:uid="{00000000-0005-0000-0000-000071080000}"/>
    <cellStyle name="Millares 7 2" xfId="2162" xr:uid="{00000000-0005-0000-0000-000072080000}"/>
    <cellStyle name="Millares 7 20" xfId="2163" xr:uid="{00000000-0005-0000-0000-000073080000}"/>
    <cellStyle name="Millares 7 21" xfId="2164" xr:uid="{00000000-0005-0000-0000-000074080000}"/>
    <cellStyle name="Millares 7 22" xfId="2165" xr:uid="{00000000-0005-0000-0000-000075080000}"/>
    <cellStyle name="Millares 7 23" xfId="2166" xr:uid="{00000000-0005-0000-0000-000076080000}"/>
    <cellStyle name="Millares 7 24" xfId="2167" xr:uid="{00000000-0005-0000-0000-000077080000}"/>
    <cellStyle name="Millares 7 3" xfId="2168" xr:uid="{00000000-0005-0000-0000-000078080000}"/>
    <cellStyle name="Millares 7 4" xfId="2169" xr:uid="{00000000-0005-0000-0000-000079080000}"/>
    <cellStyle name="Millares 7 5" xfId="2170" xr:uid="{00000000-0005-0000-0000-00007A080000}"/>
    <cellStyle name="Millares 7 6" xfId="2171" xr:uid="{00000000-0005-0000-0000-00007B080000}"/>
    <cellStyle name="Millares 7 7" xfId="2172" xr:uid="{00000000-0005-0000-0000-00007C080000}"/>
    <cellStyle name="Millares 7 8" xfId="2173" xr:uid="{00000000-0005-0000-0000-00007D080000}"/>
    <cellStyle name="Millares 7 9" xfId="2174" xr:uid="{00000000-0005-0000-0000-00007E080000}"/>
    <cellStyle name="Millares 8" xfId="2175" xr:uid="{00000000-0005-0000-0000-00007F080000}"/>
    <cellStyle name="Millares 8 10" xfId="2176" xr:uid="{00000000-0005-0000-0000-000080080000}"/>
    <cellStyle name="Millares 8 11" xfId="2177" xr:uid="{00000000-0005-0000-0000-000081080000}"/>
    <cellStyle name="Millares 8 12" xfId="2178" xr:uid="{00000000-0005-0000-0000-000082080000}"/>
    <cellStyle name="Millares 8 13" xfId="2179" xr:uid="{00000000-0005-0000-0000-000083080000}"/>
    <cellStyle name="Millares 8 14" xfId="2180" xr:uid="{00000000-0005-0000-0000-000084080000}"/>
    <cellStyle name="Millares 8 15" xfId="2181" xr:uid="{00000000-0005-0000-0000-000085080000}"/>
    <cellStyle name="Millares 8 16" xfId="2182" xr:uid="{00000000-0005-0000-0000-000086080000}"/>
    <cellStyle name="Millares 8 17" xfId="2183" xr:uid="{00000000-0005-0000-0000-000087080000}"/>
    <cellStyle name="Millares 8 18" xfId="2184" xr:uid="{00000000-0005-0000-0000-000088080000}"/>
    <cellStyle name="Millares 8 19" xfId="2185" xr:uid="{00000000-0005-0000-0000-000089080000}"/>
    <cellStyle name="Millares 8 2" xfId="2186" xr:uid="{00000000-0005-0000-0000-00008A080000}"/>
    <cellStyle name="Millares 8 20" xfId="2187" xr:uid="{00000000-0005-0000-0000-00008B080000}"/>
    <cellStyle name="Millares 8 21" xfId="2188" xr:uid="{00000000-0005-0000-0000-00008C080000}"/>
    <cellStyle name="Millares 8 22" xfId="2189" xr:uid="{00000000-0005-0000-0000-00008D080000}"/>
    <cellStyle name="Millares 8 23" xfId="2190" xr:uid="{00000000-0005-0000-0000-00008E080000}"/>
    <cellStyle name="Millares 8 24" xfId="2191" xr:uid="{00000000-0005-0000-0000-00008F080000}"/>
    <cellStyle name="Millares 8 3" xfId="2192" xr:uid="{00000000-0005-0000-0000-000090080000}"/>
    <cellStyle name="Millares 8 4" xfId="2193" xr:uid="{00000000-0005-0000-0000-000091080000}"/>
    <cellStyle name="Millares 8 5" xfId="2194" xr:uid="{00000000-0005-0000-0000-000092080000}"/>
    <cellStyle name="Millares 8 6" xfId="2195" xr:uid="{00000000-0005-0000-0000-000093080000}"/>
    <cellStyle name="Millares 8 7" xfId="2196" xr:uid="{00000000-0005-0000-0000-000094080000}"/>
    <cellStyle name="Millares 8 8" xfId="2197" xr:uid="{00000000-0005-0000-0000-000095080000}"/>
    <cellStyle name="Millares 8 9" xfId="2198" xr:uid="{00000000-0005-0000-0000-000096080000}"/>
    <cellStyle name="Millares 9" xfId="2199" xr:uid="{00000000-0005-0000-0000-000097080000}"/>
    <cellStyle name="Moneda 2" xfId="5" xr:uid="{00000000-0005-0000-0000-000005000000}"/>
    <cellStyle name="Moneda 2 10" xfId="30" xr:uid="{00000000-0005-0000-0000-00001E000000}"/>
    <cellStyle name="Moneda 2 10 2" xfId="74" xr:uid="{00000000-0005-0000-0000-00004A000000}"/>
    <cellStyle name="Moneda 2 11" xfId="39249" xr:uid="{400E133D-50C3-4271-B6D0-FC57F1B3EE31}"/>
    <cellStyle name="Moneda 2 2" xfId="2200" xr:uid="{00000000-0005-0000-0000-000098080000}"/>
    <cellStyle name="Moneda 2 2 2" xfId="46" xr:uid="{00000000-0005-0000-0000-00002E000000}"/>
    <cellStyle name="Moneda 2 2 2 2" xfId="2201" xr:uid="{00000000-0005-0000-0000-000099080000}"/>
    <cellStyle name="Moneda 2 2 3" xfId="2202" xr:uid="{00000000-0005-0000-0000-00009A080000}"/>
    <cellStyle name="Moneda 2 3" xfId="2203" xr:uid="{00000000-0005-0000-0000-00009B080000}"/>
    <cellStyle name="Moneda 2 3 2" xfId="2204" xr:uid="{00000000-0005-0000-0000-00009C080000}"/>
    <cellStyle name="Moneda 2 4" xfId="2205" xr:uid="{00000000-0005-0000-0000-00009D080000}"/>
    <cellStyle name="Moneda 2 4 2" xfId="2206" xr:uid="{00000000-0005-0000-0000-00009E080000}"/>
    <cellStyle name="Moneda 2 5" xfId="2207" xr:uid="{00000000-0005-0000-0000-00009F080000}"/>
    <cellStyle name="Moneda 2 5 2" xfId="2208" xr:uid="{00000000-0005-0000-0000-0000A0080000}"/>
    <cellStyle name="Moneda 2 6" xfId="2209" xr:uid="{00000000-0005-0000-0000-0000A1080000}"/>
    <cellStyle name="Moneda 2 6 2" xfId="2210" xr:uid="{00000000-0005-0000-0000-0000A2080000}"/>
    <cellStyle name="Moneda 2 7" xfId="2211" xr:uid="{00000000-0005-0000-0000-0000A3080000}"/>
    <cellStyle name="Moneda 2 7 2" xfId="2212" xr:uid="{00000000-0005-0000-0000-0000A4080000}"/>
    <cellStyle name="Moneda 2 8" xfId="2213" xr:uid="{00000000-0005-0000-0000-0000A5080000}"/>
    <cellStyle name="Moneda 2 8 2" xfId="2214" xr:uid="{00000000-0005-0000-0000-0000A6080000}"/>
    <cellStyle name="Moneda 2 9" xfId="2215" xr:uid="{00000000-0005-0000-0000-0000A7080000}"/>
    <cellStyle name="Moneda 26" xfId="2216" xr:uid="{00000000-0005-0000-0000-0000A8080000}"/>
    <cellStyle name="Moneda 26 2" xfId="2217" xr:uid="{00000000-0005-0000-0000-0000A9080000}"/>
    <cellStyle name="Moneda 26 2 2" xfId="2218" xr:uid="{00000000-0005-0000-0000-0000AA080000}"/>
    <cellStyle name="Moneda 26 2 3" xfId="2219" xr:uid="{00000000-0005-0000-0000-0000AB080000}"/>
    <cellStyle name="Moneda 26 3" xfId="2220" xr:uid="{00000000-0005-0000-0000-0000AC080000}"/>
    <cellStyle name="Moneda 26 3 2" xfId="2221" xr:uid="{00000000-0005-0000-0000-0000AD080000}"/>
    <cellStyle name="Moneda 26 3 3" xfId="2222" xr:uid="{00000000-0005-0000-0000-0000AE080000}"/>
    <cellStyle name="Moneda 26 4" xfId="2223" xr:uid="{00000000-0005-0000-0000-0000AF080000}"/>
    <cellStyle name="Moneda 3" xfId="47" xr:uid="{00000000-0005-0000-0000-00002F000000}"/>
    <cellStyle name="Moneda 3 2" xfId="2225" xr:uid="{00000000-0005-0000-0000-0000B1080000}"/>
    <cellStyle name="Moneda 3 3" xfId="2226" xr:uid="{00000000-0005-0000-0000-0000B2080000}"/>
    <cellStyle name="Moneda 3 4" xfId="2227" xr:uid="{00000000-0005-0000-0000-0000B3080000}"/>
    <cellStyle name="Moneda 3 5" xfId="2228" xr:uid="{00000000-0005-0000-0000-0000B4080000}"/>
    <cellStyle name="Moneda 3 6" xfId="2229" xr:uid="{00000000-0005-0000-0000-0000B5080000}"/>
    <cellStyle name="Moneda 3 7" xfId="79" xr:uid="{00000000-0005-0000-0000-00004F000000}"/>
    <cellStyle name="Moneda 3 7 2" xfId="2230" xr:uid="{00000000-0005-0000-0000-0000B6080000}"/>
    <cellStyle name="Moneda 3 8" xfId="2231" xr:uid="{00000000-0005-0000-0000-0000B7080000}"/>
    <cellStyle name="Moneda 3 9" xfId="2224" xr:uid="{00000000-0005-0000-0000-0000B0080000}"/>
    <cellStyle name="Moneda 4" xfId="31" xr:uid="{00000000-0005-0000-0000-00001F000000}"/>
    <cellStyle name="Moneda 4 2" xfId="48" xr:uid="{00000000-0005-0000-0000-000030000000}"/>
    <cellStyle name="Moneda 4 3" xfId="75" xr:uid="{00000000-0005-0000-0000-00004B000000}"/>
    <cellStyle name="Moneda 4 4" xfId="2232" xr:uid="{00000000-0005-0000-0000-0000B8080000}"/>
    <cellStyle name="Moneda 5" xfId="73" xr:uid="{00000000-0005-0000-0000-000049000000}"/>
    <cellStyle name="Moneda 6" xfId="77" xr:uid="{00000000-0005-0000-0000-00004D000000}"/>
    <cellStyle name="Moneda 7" xfId="39248" xr:uid="{0844E722-4AC8-4F91-B0F3-6AE5114BA2D4}"/>
    <cellStyle name="Neutral 2" xfId="2233" xr:uid="{00000000-0005-0000-0000-0000B9080000}"/>
    <cellStyle name="Neutral 3" xfId="2234" xr:uid="{00000000-0005-0000-0000-0000BA080000}"/>
    <cellStyle name="Neutral 4" xfId="2235" xr:uid="{00000000-0005-0000-0000-0000BB080000}"/>
    <cellStyle name="Normal" xfId="0" builtinId="0"/>
    <cellStyle name="Normal 10" xfId="32" xr:uid="{00000000-0005-0000-0000-000020000000}"/>
    <cellStyle name="Normal 10 10" xfId="2237" xr:uid="{00000000-0005-0000-0000-0000BD080000}"/>
    <cellStyle name="Normal 10 11" xfId="2238" xr:uid="{00000000-0005-0000-0000-0000BE080000}"/>
    <cellStyle name="Normal 10 12" xfId="2239" xr:uid="{00000000-0005-0000-0000-0000BF080000}"/>
    <cellStyle name="Normal 10 13" xfId="2240" xr:uid="{00000000-0005-0000-0000-0000C0080000}"/>
    <cellStyle name="Normal 10 14" xfId="2241" xr:uid="{00000000-0005-0000-0000-0000C1080000}"/>
    <cellStyle name="Normal 10 15" xfId="2242" xr:uid="{00000000-0005-0000-0000-0000C2080000}"/>
    <cellStyle name="Normal 10 16" xfId="2243" xr:uid="{00000000-0005-0000-0000-0000C3080000}"/>
    <cellStyle name="Normal 10 17" xfId="2244" xr:uid="{00000000-0005-0000-0000-0000C4080000}"/>
    <cellStyle name="Normal 10 18" xfId="2245" xr:uid="{00000000-0005-0000-0000-0000C5080000}"/>
    <cellStyle name="Normal 10 19" xfId="2246" xr:uid="{00000000-0005-0000-0000-0000C6080000}"/>
    <cellStyle name="Normal 10 2" xfId="2247" xr:uid="{00000000-0005-0000-0000-0000C7080000}"/>
    <cellStyle name="Normal 10 2 10" xfId="10" xr:uid="{00000000-0005-0000-0000-00000A000000}"/>
    <cellStyle name="Normal 10 2 10 10" xfId="2249" xr:uid="{00000000-0005-0000-0000-0000C9080000}"/>
    <cellStyle name="Normal 10 2 10 10 10" xfId="2250" xr:uid="{00000000-0005-0000-0000-0000CA080000}"/>
    <cellStyle name="Normal 10 2 10 10 11" xfId="2251" xr:uid="{00000000-0005-0000-0000-0000CB080000}"/>
    <cellStyle name="Normal 10 2 10 10 12" xfId="2252" xr:uid="{00000000-0005-0000-0000-0000CC080000}"/>
    <cellStyle name="Normal 10 2 10 10 13" xfId="2253" xr:uid="{00000000-0005-0000-0000-0000CD080000}"/>
    <cellStyle name="Normal 10 2 10 10 14" xfId="2254" xr:uid="{00000000-0005-0000-0000-0000CE080000}"/>
    <cellStyle name="Normal 10 2 10 10 2" xfId="2255" xr:uid="{00000000-0005-0000-0000-0000CF080000}"/>
    <cellStyle name="Normal 10 2 10 10 2 10" xfId="2256" xr:uid="{00000000-0005-0000-0000-0000D0080000}"/>
    <cellStyle name="Normal 10 2 10 10 2 2" xfId="2257" xr:uid="{00000000-0005-0000-0000-0000D1080000}"/>
    <cellStyle name="Normal 10 2 10 10 2 3" xfId="2258" xr:uid="{00000000-0005-0000-0000-0000D2080000}"/>
    <cellStyle name="Normal 10 2 10 10 2 4" xfId="2259" xr:uid="{00000000-0005-0000-0000-0000D3080000}"/>
    <cellStyle name="Normal 10 2 10 10 2 5" xfId="2260" xr:uid="{00000000-0005-0000-0000-0000D4080000}"/>
    <cellStyle name="Normal 10 2 10 10 2 6" xfId="2261" xr:uid="{00000000-0005-0000-0000-0000D5080000}"/>
    <cellStyle name="Normal 10 2 10 10 2 7" xfId="2262" xr:uid="{00000000-0005-0000-0000-0000D6080000}"/>
    <cellStyle name="Normal 10 2 10 10 2 8" xfId="2263" xr:uid="{00000000-0005-0000-0000-0000D7080000}"/>
    <cellStyle name="Normal 10 2 10 10 2 9" xfId="2264" xr:uid="{00000000-0005-0000-0000-0000D8080000}"/>
    <cellStyle name="Normal 10 2 10 10 3" xfId="2265" xr:uid="{00000000-0005-0000-0000-0000D9080000}"/>
    <cellStyle name="Normal 10 2 10 10 3 10" xfId="2266" xr:uid="{00000000-0005-0000-0000-0000DA080000}"/>
    <cellStyle name="Normal 10 2 10 10 3 2" xfId="2267" xr:uid="{00000000-0005-0000-0000-0000DB080000}"/>
    <cellStyle name="Normal 10 2 10 10 3 3" xfId="2268" xr:uid="{00000000-0005-0000-0000-0000DC080000}"/>
    <cellStyle name="Normal 10 2 10 10 3 4" xfId="2269" xr:uid="{00000000-0005-0000-0000-0000DD080000}"/>
    <cellStyle name="Normal 10 2 10 10 3 5" xfId="2270" xr:uid="{00000000-0005-0000-0000-0000DE080000}"/>
    <cellStyle name="Normal 10 2 10 10 3 6" xfId="2271" xr:uid="{00000000-0005-0000-0000-0000DF080000}"/>
    <cellStyle name="Normal 10 2 10 10 3 7" xfId="2272" xr:uid="{00000000-0005-0000-0000-0000E0080000}"/>
    <cellStyle name="Normal 10 2 10 10 3 8" xfId="2273" xr:uid="{00000000-0005-0000-0000-0000E1080000}"/>
    <cellStyle name="Normal 10 2 10 10 3 9" xfId="2274" xr:uid="{00000000-0005-0000-0000-0000E2080000}"/>
    <cellStyle name="Normal 10 2 10 10 4" xfId="2275" xr:uid="{00000000-0005-0000-0000-0000E3080000}"/>
    <cellStyle name="Normal 10 2 10 10 4 10" xfId="2276" xr:uid="{00000000-0005-0000-0000-0000E4080000}"/>
    <cellStyle name="Normal 10 2 10 10 4 2" xfId="2277" xr:uid="{00000000-0005-0000-0000-0000E5080000}"/>
    <cellStyle name="Normal 10 2 10 10 4 3" xfId="2278" xr:uid="{00000000-0005-0000-0000-0000E6080000}"/>
    <cellStyle name="Normal 10 2 10 10 4 4" xfId="2279" xr:uid="{00000000-0005-0000-0000-0000E7080000}"/>
    <cellStyle name="Normal 10 2 10 10 4 5" xfId="2280" xr:uid="{00000000-0005-0000-0000-0000E8080000}"/>
    <cellStyle name="Normal 10 2 10 10 4 6" xfId="2281" xr:uid="{00000000-0005-0000-0000-0000E9080000}"/>
    <cellStyle name="Normal 10 2 10 10 4 7" xfId="2282" xr:uid="{00000000-0005-0000-0000-0000EA080000}"/>
    <cellStyle name="Normal 10 2 10 10 4 8" xfId="2283" xr:uid="{00000000-0005-0000-0000-0000EB080000}"/>
    <cellStyle name="Normal 10 2 10 10 4 9" xfId="2284" xr:uid="{00000000-0005-0000-0000-0000EC080000}"/>
    <cellStyle name="Normal 10 2 10 10 5" xfId="2285" xr:uid="{00000000-0005-0000-0000-0000ED080000}"/>
    <cellStyle name="Normal 10 2 10 10 5 10" xfId="2286" xr:uid="{00000000-0005-0000-0000-0000EE080000}"/>
    <cellStyle name="Normal 10 2 10 10 5 2" xfId="2287" xr:uid="{00000000-0005-0000-0000-0000EF080000}"/>
    <cellStyle name="Normal 10 2 10 10 5 3" xfId="2288" xr:uid="{00000000-0005-0000-0000-0000F0080000}"/>
    <cellStyle name="Normal 10 2 10 10 5 4" xfId="2289" xr:uid="{00000000-0005-0000-0000-0000F1080000}"/>
    <cellStyle name="Normal 10 2 10 10 5 5" xfId="2290" xr:uid="{00000000-0005-0000-0000-0000F2080000}"/>
    <cellStyle name="Normal 10 2 10 10 5 6" xfId="2291" xr:uid="{00000000-0005-0000-0000-0000F3080000}"/>
    <cellStyle name="Normal 10 2 10 10 5 7" xfId="2292" xr:uid="{00000000-0005-0000-0000-0000F4080000}"/>
    <cellStyle name="Normal 10 2 10 10 5 8" xfId="2293" xr:uid="{00000000-0005-0000-0000-0000F5080000}"/>
    <cellStyle name="Normal 10 2 10 10 5 9" xfId="2294" xr:uid="{00000000-0005-0000-0000-0000F6080000}"/>
    <cellStyle name="Normal 10 2 10 10 6" xfId="2295" xr:uid="{00000000-0005-0000-0000-0000F7080000}"/>
    <cellStyle name="Normal 10 2 10 10 7" xfId="2296" xr:uid="{00000000-0005-0000-0000-0000F8080000}"/>
    <cellStyle name="Normal 10 2 10 10 8" xfId="2297" xr:uid="{00000000-0005-0000-0000-0000F9080000}"/>
    <cellStyle name="Normal 10 2 10 10 9" xfId="2298" xr:uid="{00000000-0005-0000-0000-0000FA080000}"/>
    <cellStyle name="Normal 10 2 10 11" xfId="2299" xr:uid="{00000000-0005-0000-0000-0000FB080000}"/>
    <cellStyle name="Normal 10 2 10 11 10" xfId="2300" xr:uid="{00000000-0005-0000-0000-0000FC080000}"/>
    <cellStyle name="Normal 10 2 10 11 11" xfId="2301" xr:uid="{00000000-0005-0000-0000-0000FD080000}"/>
    <cellStyle name="Normal 10 2 10 11 12" xfId="2302" xr:uid="{00000000-0005-0000-0000-0000FE080000}"/>
    <cellStyle name="Normal 10 2 10 11 13" xfId="2303" xr:uid="{00000000-0005-0000-0000-0000FF080000}"/>
    <cellStyle name="Normal 10 2 10 11 14" xfId="2304" xr:uid="{00000000-0005-0000-0000-000000090000}"/>
    <cellStyle name="Normal 10 2 10 11 2" xfId="2305" xr:uid="{00000000-0005-0000-0000-000001090000}"/>
    <cellStyle name="Normal 10 2 10 11 2 10" xfId="2306" xr:uid="{00000000-0005-0000-0000-000002090000}"/>
    <cellStyle name="Normal 10 2 10 11 2 2" xfId="2307" xr:uid="{00000000-0005-0000-0000-000003090000}"/>
    <cellStyle name="Normal 10 2 10 11 2 3" xfId="2308" xr:uid="{00000000-0005-0000-0000-000004090000}"/>
    <cellStyle name="Normal 10 2 10 11 2 4" xfId="2309" xr:uid="{00000000-0005-0000-0000-000005090000}"/>
    <cellStyle name="Normal 10 2 10 11 2 5" xfId="2310" xr:uid="{00000000-0005-0000-0000-000006090000}"/>
    <cellStyle name="Normal 10 2 10 11 2 6" xfId="2311" xr:uid="{00000000-0005-0000-0000-000007090000}"/>
    <cellStyle name="Normal 10 2 10 11 2 7" xfId="2312" xr:uid="{00000000-0005-0000-0000-000008090000}"/>
    <cellStyle name="Normal 10 2 10 11 2 8" xfId="2313" xr:uid="{00000000-0005-0000-0000-000009090000}"/>
    <cellStyle name="Normal 10 2 10 11 2 9" xfId="2314" xr:uid="{00000000-0005-0000-0000-00000A090000}"/>
    <cellStyle name="Normal 10 2 10 11 3" xfId="2315" xr:uid="{00000000-0005-0000-0000-00000B090000}"/>
    <cellStyle name="Normal 10 2 10 11 3 10" xfId="2316" xr:uid="{00000000-0005-0000-0000-00000C090000}"/>
    <cellStyle name="Normal 10 2 10 11 3 2" xfId="2317" xr:uid="{00000000-0005-0000-0000-00000D090000}"/>
    <cellStyle name="Normal 10 2 10 11 3 3" xfId="2318" xr:uid="{00000000-0005-0000-0000-00000E090000}"/>
    <cellStyle name="Normal 10 2 10 11 3 4" xfId="2319" xr:uid="{00000000-0005-0000-0000-00000F090000}"/>
    <cellStyle name="Normal 10 2 10 11 3 5" xfId="2320" xr:uid="{00000000-0005-0000-0000-000010090000}"/>
    <cellStyle name="Normal 10 2 10 11 3 6" xfId="2321" xr:uid="{00000000-0005-0000-0000-000011090000}"/>
    <cellStyle name="Normal 10 2 10 11 3 7" xfId="2322" xr:uid="{00000000-0005-0000-0000-000012090000}"/>
    <cellStyle name="Normal 10 2 10 11 3 8" xfId="2323" xr:uid="{00000000-0005-0000-0000-000013090000}"/>
    <cellStyle name="Normal 10 2 10 11 3 9" xfId="2324" xr:uid="{00000000-0005-0000-0000-000014090000}"/>
    <cellStyle name="Normal 10 2 10 11 4" xfId="2325" xr:uid="{00000000-0005-0000-0000-000015090000}"/>
    <cellStyle name="Normal 10 2 10 11 4 10" xfId="2326" xr:uid="{00000000-0005-0000-0000-000016090000}"/>
    <cellStyle name="Normal 10 2 10 11 4 2" xfId="2327" xr:uid="{00000000-0005-0000-0000-000017090000}"/>
    <cellStyle name="Normal 10 2 10 11 4 3" xfId="2328" xr:uid="{00000000-0005-0000-0000-000018090000}"/>
    <cellStyle name="Normal 10 2 10 11 4 4" xfId="2329" xr:uid="{00000000-0005-0000-0000-000019090000}"/>
    <cellStyle name="Normal 10 2 10 11 4 5" xfId="2330" xr:uid="{00000000-0005-0000-0000-00001A090000}"/>
    <cellStyle name="Normal 10 2 10 11 4 6" xfId="2331" xr:uid="{00000000-0005-0000-0000-00001B090000}"/>
    <cellStyle name="Normal 10 2 10 11 4 7" xfId="2332" xr:uid="{00000000-0005-0000-0000-00001C090000}"/>
    <cellStyle name="Normal 10 2 10 11 4 8" xfId="2333" xr:uid="{00000000-0005-0000-0000-00001D090000}"/>
    <cellStyle name="Normal 10 2 10 11 4 9" xfId="2334" xr:uid="{00000000-0005-0000-0000-00001E090000}"/>
    <cellStyle name="Normal 10 2 10 11 5" xfId="2335" xr:uid="{00000000-0005-0000-0000-00001F090000}"/>
    <cellStyle name="Normal 10 2 10 11 5 10" xfId="2336" xr:uid="{00000000-0005-0000-0000-000020090000}"/>
    <cellStyle name="Normal 10 2 10 11 5 2" xfId="2337" xr:uid="{00000000-0005-0000-0000-000021090000}"/>
    <cellStyle name="Normal 10 2 10 11 5 3" xfId="2338" xr:uid="{00000000-0005-0000-0000-000022090000}"/>
    <cellStyle name="Normal 10 2 10 11 5 4" xfId="2339" xr:uid="{00000000-0005-0000-0000-000023090000}"/>
    <cellStyle name="Normal 10 2 10 11 5 5" xfId="2340" xr:uid="{00000000-0005-0000-0000-000024090000}"/>
    <cellStyle name="Normal 10 2 10 11 5 6" xfId="2341" xr:uid="{00000000-0005-0000-0000-000025090000}"/>
    <cellStyle name="Normal 10 2 10 11 5 7" xfId="2342" xr:uid="{00000000-0005-0000-0000-000026090000}"/>
    <cellStyle name="Normal 10 2 10 11 5 8" xfId="2343" xr:uid="{00000000-0005-0000-0000-000027090000}"/>
    <cellStyle name="Normal 10 2 10 11 5 9" xfId="2344" xr:uid="{00000000-0005-0000-0000-000028090000}"/>
    <cellStyle name="Normal 10 2 10 11 6" xfId="2345" xr:uid="{00000000-0005-0000-0000-000029090000}"/>
    <cellStyle name="Normal 10 2 10 11 7" xfId="2346" xr:uid="{00000000-0005-0000-0000-00002A090000}"/>
    <cellStyle name="Normal 10 2 10 11 8" xfId="2347" xr:uid="{00000000-0005-0000-0000-00002B090000}"/>
    <cellStyle name="Normal 10 2 10 11 9" xfId="2348" xr:uid="{00000000-0005-0000-0000-00002C090000}"/>
    <cellStyle name="Normal 10 2 10 12" xfId="2349" xr:uid="{00000000-0005-0000-0000-00002D090000}"/>
    <cellStyle name="Normal 10 2 10 12 10" xfId="2350" xr:uid="{00000000-0005-0000-0000-00002E090000}"/>
    <cellStyle name="Normal 10 2 10 12 11" xfId="2351" xr:uid="{00000000-0005-0000-0000-00002F090000}"/>
    <cellStyle name="Normal 10 2 10 12 12" xfId="2352" xr:uid="{00000000-0005-0000-0000-000030090000}"/>
    <cellStyle name="Normal 10 2 10 12 13" xfId="2353" xr:uid="{00000000-0005-0000-0000-000031090000}"/>
    <cellStyle name="Normal 10 2 10 12 14" xfId="2354" xr:uid="{00000000-0005-0000-0000-000032090000}"/>
    <cellStyle name="Normal 10 2 10 12 2" xfId="2355" xr:uid="{00000000-0005-0000-0000-000033090000}"/>
    <cellStyle name="Normal 10 2 10 12 2 10" xfId="2356" xr:uid="{00000000-0005-0000-0000-000034090000}"/>
    <cellStyle name="Normal 10 2 10 12 2 2" xfId="2357" xr:uid="{00000000-0005-0000-0000-000035090000}"/>
    <cellStyle name="Normal 10 2 10 12 2 3" xfId="2358" xr:uid="{00000000-0005-0000-0000-000036090000}"/>
    <cellStyle name="Normal 10 2 10 12 2 4" xfId="2359" xr:uid="{00000000-0005-0000-0000-000037090000}"/>
    <cellStyle name="Normal 10 2 10 12 2 5" xfId="2360" xr:uid="{00000000-0005-0000-0000-000038090000}"/>
    <cellStyle name="Normal 10 2 10 12 2 6" xfId="2361" xr:uid="{00000000-0005-0000-0000-000039090000}"/>
    <cellStyle name="Normal 10 2 10 12 2 7" xfId="2362" xr:uid="{00000000-0005-0000-0000-00003A090000}"/>
    <cellStyle name="Normal 10 2 10 12 2 8" xfId="2363" xr:uid="{00000000-0005-0000-0000-00003B090000}"/>
    <cellStyle name="Normal 10 2 10 12 2 9" xfId="2364" xr:uid="{00000000-0005-0000-0000-00003C090000}"/>
    <cellStyle name="Normal 10 2 10 12 3" xfId="2365" xr:uid="{00000000-0005-0000-0000-00003D090000}"/>
    <cellStyle name="Normal 10 2 10 12 3 10" xfId="2366" xr:uid="{00000000-0005-0000-0000-00003E090000}"/>
    <cellStyle name="Normal 10 2 10 12 3 2" xfId="2367" xr:uid="{00000000-0005-0000-0000-00003F090000}"/>
    <cellStyle name="Normal 10 2 10 12 3 3" xfId="2368" xr:uid="{00000000-0005-0000-0000-000040090000}"/>
    <cellStyle name="Normal 10 2 10 12 3 4" xfId="2369" xr:uid="{00000000-0005-0000-0000-000041090000}"/>
    <cellStyle name="Normal 10 2 10 12 3 5" xfId="2370" xr:uid="{00000000-0005-0000-0000-000042090000}"/>
    <cellStyle name="Normal 10 2 10 12 3 6" xfId="2371" xr:uid="{00000000-0005-0000-0000-000043090000}"/>
    <cellStyle name="Normal 10 2 10 12 3 7" xfId="2372" xr:uid="{00000000-0005-0000-0000-000044090000}"/>
    <cellStyle name="Normal 10 2 10 12 3 8" xfId="2373" xr:uid="{00000000-0005-0000-0000-000045090000}"/>
    <cellStyle name="Normal 10 2 10 12 3 9" xfId="2374" xr:uid="{00000000-0005-0000-0000-000046090000}"/>
    <cellStyle name="Normal 10 2 10 12 4" xfId="2375" xr:uid="{00000000-0005-0000-0000-000047090000}"/>
    <cellStyle name="Normal 10 2 10 12 4 10" xfId="2376" xr:uid="{00000000-0005-0000-0000-000048090000}"/>
    <cellStyle name="Normal 10 2 10 12 4 2" xfId="2377" xr:uid="{00000000-0005-0000-0000-000049090000}"/>
    <cellStyle name="Normal 10 2 10 12 4 3" xfId="2378" xr:uid="{00000000-0005-0000-0000-00004A090000}"/>
    <cellStyle name="Normal 10 2 10 12 4 4" xfId="2379" xr:uid="{00000000-0005-0000-0000-00004B090000}"/>
    <cellStyle name="Normal 10 2 10 12 4 5" xfId="2380" xr:uid="{00000000-0005-0000-0000-00004C090000}"/>
    <cellStyle name="Normal 10 2 10 12 4 6" xfId="2381" xr:uid="{00000000-0005-0000-0000-00004D090000}"/>
    <cellStyle name="Normal 10 2 10 12 4 7" xfId="2382" xr:uid="{00000000-0005-0000-0000-00004E090000}"/>
    <cellStyle name="Normal 10 2 10 12 4 8" xfId="2383" xr:uid="{00000000-0005-0000-0000-00004F090000}"/>
    <cellStyle name="Normal 10 2 10 12 4 9" xfId="2384" xr:uid="{00000000-0005-0000-0000-000050090000}"/>
    <cellStyle name="Normal 10 2 10 12 5" xfId="2385" xr:uid="{00000000-0005-0000-0000-000051090000}"/>
    <cellStyle name="Normal 10 2 10 12 5 10" xfId="2386" xr:uid="{00000000-0005-0000-0000-000052090000}"/>
    <cellStyle name="Normal 10 2 10 12 5 2" xfId="2387" xr:uid="{00000000-0005-0000-0000-000053090000}"/>
    <cellStyle name="Normal 10 2 10 12 5 3" xfId="2388" xr:uid="{00000000-0005-0000-0000-000054090000}"/>
    <cellStyle name="Normal 10 2 10 12 5 4" xfId="2389" xr:uid="{00000000-0005-0000-0000-000055090000}"/>
    <cellStyle name="Normal 10 2 10 12 5 5" xfId="2390" xr:uid="{00000000-0005-0000-0000-000056090000}"/>
    <cellStyle name="Normal 10 2 10 12 5 6" xfId="2391" xr:uid="{00000000-0005-0000-0000-000057090000}"/>
    <cellStyle name="Normal 10 2 10 12 5 7" xfId="2392" xr:uid="{00000000-0005-0000-0000-000058090000}"/>
    <cellStyle name="Normal 10 2 10 12 5 8" xfId="2393" xr:uid="{00000000-0005-0000-0000-000059090000}"/>
    <cellStyle name="Normal 10 2 10 12 5 9" xfId="2394" xr:uid="{00000000-0005-0000-0000-00005A090000}"/>
    <cellStyle name="Normal 10 2 10 12 6" xfId="2395" xr:uid="{00000000-0005-0000-0000-00005B090000}"/>
    <cellStyle name="Normal 10 2 10 12 7" xfId="2396" xr:uid="{00000000-0005-0000-0000-00005C090000}"/>
    <cellStyle name="Normal 10 2 10 12 8" xfId="2397" xr:uid="{00000000-0005-0000-0000-00005D090000}"/>
    <cellStyle name="Normal 10 2 10 12 9" xfId="2398" xr:uid="{00000000-0005-0000-0000-00005E090000}"/>
    <cellStyle name="Normal 10 2 10 13" xfId="2399" xr:uid="{00000000-0005-0000-0000-00005F090000}"/>
    <cellStyle name="Normal 10 2 10 13 10" xfId="2400" xr:uid="{00000000-0005-0000-0000-000060090000}"/>
    <cellStyle name="Normal 10 2 10 13 11" xfId="2401" xr:uid="{00000000-0005-0000-0000-000061090000}"/>
    <cellStyle name="Normal 10 2 10 13 12" xfId="2402" xr:uid="{00000000-0005-0000-0000-000062090000}"/>
    <cellStyle name="Normal 10 2 10 13 13" xfId="2403" xr:uid="{00000000-0005-0000-0000-000063090000}"/>
    <cellStyle name="Normal 10 2 10 13 14" xfId="2404" xr:uid="{00000000-0005-0000-0000-000064090000}"/>
    <cellStyle name="Normal 10 2 10 13 2" xfId="2405" xr:uid="{00000000-0005-0000-0000-000065090000}"/>
    <cellStyle name="Normal 10 2 10 13 2 10" xfId="2406" xr:uid="{00000000-0005-0000-0000-000066090000}"/>
    <cellStyle name="Normal 10 2 10 13 2 2" xfId="2407" xr:uid="{00000000-0005-0000-0000-000067090000}"/>
    <cellStyle name="Normal 10 2 10 13 2 3" xfId="2408" xr:uid="{00000000-0005-0000-0000-000068090000}"/>
    <cellStyle name="Normal 10 2 10 13 2 4" xfId="2409" xr:uid="{00000000-0005-0000-0000-000069090000}"/>
    <cellStyle name="Normal 10 2 10 13 2 5" xfId="2410" xr:uid="{00000000-0005-0000-0000-00006A090000}"/>
    <cellStyle name="Normal 10 2 10 13 2 6" xfId="2411" xr:uid="{00000000-0005-0000-0000-00006B090000}"/>
    <cellStyle name="Normal 10 2 10 13 2 7" xfId="2412" xr:uid="{00000000-0005-0000-0000-00006C090000}"/>
    <cellStyle name="Normal 10 2 10 13 2 8" xfId="2413" xr:uid="{00000000-0005-0000-0000-00006D090000}"/>
    <cellStyle name="Normal 10 2 10 13 2 9" xfId="2414" xr:uid="{00000000-0005-0000-0000-00006E090000}"/>
    <cellStyle name="Normal 10 2 10 13 3" xfId="2415" xr:uid="{00000000-0005-0000-0000-00006F090000}"/>
    <cellStyle name="Normal 10 2 10 13 3 10" xfId="2416" xr:uid="{00000000-0005-0000-0000-000070090000}"/>
    <cellStyle name="Normal 10 2 10 13 3 2" xfId="2417" xr:uid="{00000000-0005-0000-0000-000071090000}"/>
    <cellStyle name="Normal 10 2 10 13 3 3" xfId="2418" xr:uid="{00000000-0005-0000-0000-000072090000}"/>
    <cellStyle name="Normal 10 2 10 13 3 4" xfId="2419" xr:uid="{00000000-0005-0000-0000-000073090000}"/>
    <cellStyle name="Normal 10 2 10 13 3 5" xfId="2420" xr:uid="{00000000-0005-0000-0000-000074090000}"/>
    <cellStyle name="Normal 10 2 10 13 3 6" xfId="2421" xr:uid="{00000000-0005-0000-0000-000075090000}"/>
    <cellStyle name="Normal 10 2 10 13 3 7" xfId="2422" xr:uid="{00000000-0005-0000-0000-000076090000}"/>
    <cellStyle name="Normal 10 2 10 13 3 8" xfId="2423" xr:uid="{00000000-0005-0000-0000-000077090000}"/>
    <cellStyle name="Normal 10 2 10 13 3 9" xfId="2424" xr:uid="{00000000-0005-0000-0000-000078090000}"/>
    <cellStyle name="Normal 10 2 10 13 4" xfId="2425" xr:uid="{00000000-0005-0000-0000-000079090000}"/>
    <cellStyle name="Normal 10 2 10 13 4 10" xfId="2426" xr:uid="{00000000-0005-0000-0000-00007A090000}"/>
    <cellStyle name="Normal 10 2 10 13 4 2" xfId="2427" xr:uid="{00000000-0005-0000-0000-00007B090000}"/>
    <cellStyle name="Normal 10 2 10 13 4 3" xfId="2428" xr:uid="{00000000-0005-0000-0000-00007C090000}"/>
    <cellStyle name="Normal 10 2 10 13 4 4" xfId="2429" xr:uid="{00000000-0005-0000-0000-00007D090000}"/>
    <cellStyle name="Normal 10 2 10 13 4 5" xfId="2430" xr:uid="{00000000-0005-0000-0000-00007E090000}"/>
    <cellStyle name="Normal 10 2 10 13 4 6" xfId="2431" xr:uid="{00000000-0005-0000-0000-00007F090000}"/>
    <cellStyle name="Normal 10 2 10 13 4 7" xfId="2432" xr:uid="{00000000-0005-0000-0000-000080090000}"/>
    <cellStyle name="Normal 10 2 10 13 4 8" xfId="2433" xr:uid="{00000000-0005-0000-0000-000081090000}"/>
    <cellStyle name="Normal 10 2 10 13 4 9" xfId="2434" xr:uid="{00000000-0005-0000-0000-000082090000}"/>
    <cellStyle name="Normal 10 2 10 13 5" xfId="2435" xr:uid="{00000000-0005-0000-0000-000083090000}"/>
    <cellStyle name="Normal 10 2 10 13 5 10" xfId="2436" xr:uid="{00000000-0005-0000-0000-000084090000}"/>
    <cellStyle name="Normal 10 2 10 13 5 2" xfId="2437" xr:uid="{00000000-0005-0000-0000-000085090000}"/>
    <cellStyle name="Normal 10 2 10 13 5 3" xfId="2438" xr:uid="{00000000-0005-0000-0000-000086090000}"/>
    <cellStyle name="Normal 10 2 10 13 5 4" xfId="2439" xr:uid="{00000000-0005-0000-0000-000087090000}"/>
    <cellStyle name="Normal 10 2 10 13 5 5" xfId="2440" xr:uid="{00000000-0005-0000-0000-000088090000}"/>
    <cellStyle name="Normal 10 2 10 13 5 6" xfId="2441" xr:uid="{00000000-0005-0000-0000-000089090000}"/>
    <cellStyle name="Normal 10 2 10 13 5 7" xfId="2442" xr:uid="{00000000-0005-0000-0000-00008A090000}"/>
    <cellStyle name="Normal 10 2 10 13 5 8" xfId="2443" xr:uid="{00000000-0005-0000-0000-00008B090000}"/>
    <cellStyle name="Normal 10 2 10 13 5 9" xfId="2444" xr:uid="{00000000-0005-0000-0000-00008C090000}"/>
    <cellStyle name="Normal 10 2 10 13 6" xfId="2445" xr:uid="{00000000-0005-0000-0000-00008D090000}"/>
    <cellStyle name="Normal 10 2 10 13 7" xfId="2446" xr:uid="{00000000-0005-0000-0000-00008E090000}"/>
    <cellStyle name="Normal 10 2 10 13 8" xfId="2447" xr:uid="{00000000-0005-0000-0000-00008F090000}"/>
    <cellStyle name="Normal 10 2 10 13 9" xfId="2448" xr:uid="{00000000-0005-0000-0000-000090090000}"/>
    <cellStyle name="Normal 10 2 10 14" xfId="2449" xr:uid="{00000000-0005-0000-0000-000091090000}"/>
    <cellStyle name="Normal 10 2 10 14 10" xfId="2450" xr:uid="{00000000-0005-0000-0000-000092090000}"/>
    <cellStyle name="Normal 10 2 10 14 11" xfId="2451" xr:uid="{00000000-0005-0000-0000-000093090000}"/>
    <cellStyle name="Normal 10 2 10 14 12" xfId="2452" xr:uid="{00000000-0005-0000-0000-000094090000}"/>
    <cellStyle name="Normal 10 2 10 14 13" xfId="2453" xr:uid="{00000000-0005-0000-0000-000095090000}"/>
    <cellStyle name="Normal 10 2 10 14 14" xfId="2454" xr:uid="{00000000-0005-0000-0000-000096090000}"/>
    <cellStyle name="Normal 10 2 10 14 2" xfId="2455" xr:uid="{00000000-0005-0000-0000-000097090000}"/>
    <cellStyle name="Normal 10 2 10 14 2 10" xfId="2456" xr:uid="{00000000-0005-0000-0000-000098090000}"/>
    <cellStyle name="Normal 10 2 10 14 2 2" xfId="2457" xr:uid="{00000000-0005-0000-0000-000099090000}"/>
    <cellStyle name="Normal 10 2 10 14 2 3" xfId="2458" xr:uid="{00000000-0005-0000-0000-00009A090000}"/>
    <cellStyle name="Normal 10 2 10 14 2 4" xfId="2459" xr:uid="{00000000-0005-0000-0000-00009B090000}"/>
    <cellStyle name="Normal 10 2 10 14 2 5" xfId="2460" xr:uid="{00000000-0005-0000-0000-00009C090000}"/>
    <cellStyle name="Normal 10 2 10 14 2 6" xfId="2461" xr:uid="{00000000-0005-0000-0000-00009D090000}"/>
    <cellStyle name="Normal 10 2 10 14 2 7" xfId="2462" xr:uid="{00000000-0005-0000-0000-00009E090000}"/>
    <cellStyle name="Normal 10 2 10 14 2 8" xfId="2463" xr:uid="{00000000-0005-0000-0000-00009F090000}"/>
    <cellStyle name="Normal 10 2 10 14 2 9" xfId="2464" xr:uid="{00000000-0005-0000-0000-0000A0090000}"/>
    <cellStyle name="Normal 10 2 10 14 3" xfId="2465" xr:uid="{00000000-0005-0000-0000-0000A1090000}"/>
    <cellStyle name="Normal 10 2 10 14 3 10" xfId="2466" xr:uid="{00000000-0005-0000-0000-0000A2090000}"/>
    <cellStyle name="Normal 10 2 10 14 3 2" xfId="2467" xr:uid="{00000000-0005-0000-0000-0000A3090000}"/>
    <cellStyle name="Normal 10 2 10 14 3 3" xfId="2468" xr:uid="{00000000-0005-0000-0000-0000A4090000}"/>
    <cellStyle name="Normal 10 2 10 14 3 4" xfId="2469" xr:uid="{00000000-0005-0000-0000-0000A5090000}"/>
    <cellStyle name="Normal 10 2 10 14 3 5" xfId="2470" xr:uid="{00000000-0005-0000-0000-0000A6090000}"/>
    <cellStyle name="Normal 10 2 10 14 3 6" xfId="2471" xr:uid="{00000000-0005-0000-0000-0000A7090000}"/>
    <cellStyle name="Normal 10 2 10 14 3 7" xfId="2472" xr:uid="{00000000-0005-0000-0000-0000A8090000}"/>
    <cellStyle name="Normal 10 2 10 14 3 8" xfId="2473" xr:uid="{00000000-0005-0000-0000-0000A9090000}"/>
    <cellStyle name="Normal 10 2 10 14 3 9" xfId="2474" xr:uid="{00000000-0005-0000-0000-0000AA090000}"/>
    <cellStyle name="Normal 10 2 10 14 4" xfId="2475" xr:uid="{00000000-0005-0000-0000-0000AB090000}"/>
    <cellStyle name="Normal 10 2 10 14 4 10" xfId="2476" xr:uid="{00000000-0005-0000-0000-0000AC090000}"/>
    <cellStyle name="Normal 10 2 10 14 4 2" xfId="2477" xr:uid="{00000000-0005-0000-0000-0000AD090000}"/>
    <cellStyle name="Normal 10 2 10 14 4 3" xfId="2478" xr:uid="{00000000-0005-0000-0000-0000AE090000}"/>
    <cellStyle name="Normal 10 2 10 14 4 4" xfId="2479" xr:uid="{00000000-0005-0000-0000-0000AF090000}"/>
    <cellStyle name="Normal 10 2 10 14 4 5" xfId="2480" xr:uid="{00000000-0005-0000-0000-0000B0090000}"/>
    <cellStyle name="Normal 10 2 10 14 4 6" xfId="2481" xr:uid="{00000000-0005-0000-0000-0000B1090000}"/>
    <cellStyle name="Normal 10 2 10 14 4 7" xfId="2482" xr:uid="{00000000-0005-0000-0000-0000B2090000}"/>
    <cellStyle name="Normal 10 2 10 14 4 8" xfId="2483" xr:uid="{00000000-0005-0000-0000-0000B3090000}"/>
    <cellStyle name="Normal 10 2 10 14 4 9" xfId="2484" xr:uid="{00000000-0005-0000-0000-0000B4090000}"/>
    <cellStyle name="Normal 10 2 10 14 5" xfId="2485" xr:uid="{00000000-0005-0000-0000-0000B5090000}"/>
    <cellStyle name="Normal 10 2 10 14 5 10" xfId="2486" xr:uid="{00000000-0005-0000-0000-0000B6090000}"/>
    <cellStyle name="Normal 10 2 10 14 5 2" xfId="2487" xr:uid="{00000000-0005-0000-0000-0000B7090000}"/>
    <cellStyle name="Normal 10 2 10 14 5 3" xfId="2488" xr:uid="{00000000-0005-0000-0000-0000B8090000}"/>
    <cellStyle name="Normal 10 2 10 14 5 4" xfId="2489" xr:uid="{00000000-0005-0000-0000-0000B9090000}"/>
    <cellStyle name="Normal 10 2 10 14 5 5" xfId="2490" xr:uid="{00000000-0005-0000-0000-0000BA090000}"/>
    <cellStyle name="Normal 10 2 10 14 5 6" xfId="2491" xr:uid="{00000000-0005-0000-0000-0000BB090000}"/>
    <cellStyle name="Normal 10 2 10 14 5 7" xfId="2492" xr:uid="{00000000-0005-0000-0000-0000BC090000}"/>
    <cellStyle name="Normal 10 2 10 14 5 8" xfId="2493" xr:uid="{00000000-0005-0000-0000-0000BD090000}"/>
    <cellStyle name="Normal 10 2 10 14 5 9" xfId="2494" xr:uid="{00000000-0005-0000-0000-0000BE090000}"/>
    <cellStyle name="Normal 10 2 10 14 6" xfId="2495" xr:uid="{00000000-0005-0000-0000-0000BF090000}"/>
    <cellStyle name="Normal 10 2 10 14 7" xfId="2496" xr:uid="{00000000-0005-0000-0000-0000C0090000}"/>
    <cellStyle name="Normal 10 2 10 14 8" xfId="2497" xr:uid="{00000000-0005-0000-0000-0000C1090000}"/>
    <cellStyle name="Normal 10 2 10 14 9" xfId="2498" xr:uid="{00000000-0005-0000-0000-0000C2090000}"/>
    <cellStyle name="Normal 10 2 10 15" xfId="2499" xr:uid="{00000000-0005-0000-0000-0000C3090000}"/>
    <cellStyle name="Normal 10 2 10 15 10" xfId="2500" xr:uid="{00000000-0005-0000-0000-0000C4090000}"/>
    <cellStyle name="Normal 10 2 10 15 11" xfId="2501" xr:uid="{00000000-0005-0000-0000-0000C5090000}"/>
    <cellStyle name="Normal 10 2 10 15 12" xfId="2502" xr:uid="{00000000-0005-0000-0000-0000C6090000}"/>
    <cellStyle name="Normal 10 2 10 15 13" xfId="2503" xr:uid="{00000000-0005-0000-0000-0000C7090000}"/>
    <cellStyle name="Normal 10 2 10 15 14" xfId="2504" xr:uid="{00000000-0005-0000-0000-0000C8090000}"/>
    <cellStyle name="Normal 10 2 10 15 2" xfId="2505" xr:uid="{00000000-0005-0000-0000-0000C9090000}"/>
    <cellStyle name="Normal 10 2 10 15 2 10" xfId="2506" xr:uid="{00000000-0005-0000-0000-0000CA090000}"/>
    <cellStyle name="Normal 10 2 10 15 2 2" xfId="2507" xr:uid="{00000000-0005-0000-0000-0000CB090000}"/>
    <cellStyle name="Normal 10 2 10 15 2 3" xfId="2508" xr:uid="{00000000-0005-0000-0000-0000CC090000}"/>
    <cellStyle name="Normal 10 2 10 15 2 4" xfId="2509" xr:uid="{00000000-0005-0000-0000-0000CD090000}"/>
    <cellStyle name="Normal 10 2 10 15 2 5" xfId="2510" xr:uid="{00000000-0005-0000-0000-0000CE090000}"/>
    <cellStyle name="Normal 10 2 10 15 2 6" xfId="2511" xr:uid="{00000000-0005-0000-0000-0000CF090000}"/>
    <cellStyle name="Normal 10 2 10 15 2 7" xfId="2512" xr:uid="{00000000-0005-0000-0000-0000D0090000}"/>
    <cellStyle name="Normal 10 2 10 15 2 8" xfId="2513" xr:uid="{00000000-0005-0000-0000-0000D1090000}"/>
    <cellStyle name="Normal 10 2 10 15 2 9" xfId="2514" xr:uid="{00000000-0005-0000-0000-0000D2090000}"/>
    <cellStyle name="Normal 10 2 10 15 3" xfId="2515" xr:uid="{00000000-0005-0000-0000-0000D3090000}"/>
    <cellStyle name="Normal 10 2 10 15 3 10" xfId="2516" xr:uid="{00000000-0005-0000-0000-0000D4090000}"/>
    <cellStyle name="Normal 10 2 10 15 3 2" xfId="2517" xr:uid="{00000000-0005-0000-0000-0000D5090000}"/>
    <cellStyle name="Normal 10 2 10 15 3 3" xfId="2518" xr:uid="{00000000-0005-0000-0000-0000D6090000}"/>
    <cellStyle name="Normal 10 2 10 15 3 4" xfId="2519" xr:uid="{00000000-0005-0000-0000-0000D7090000}"/>
    <cellStyle name="Normal 10 2 10 15 3 5" xfId="2520" xr:uid="{00000000-0005-0000-0000-0000D8090000}"/>
    <cellStyle name="Normal 10 2 10 15 3 6" xfId="2521" xr:uid="{00000000-0005-0000-0000-0000D9090000}"/>
    <cellStyle name="Normal 10 2 10 15 3 7" xfId="2522" xr:uid="{00000000-0005-0000-0000-0000DA090000}"/>
    <cellStyle name="Normal 10 2 10 15 3 8" xfId="2523" xr:uid="{00000000-0005-0000-0000-0000DB090000}"/>
    <cellStyle name="Normal 10 2 10 15 3 9" xfId="2524" xr:uid="{00000000-0005-0000-0000-0000DC090000}"/>
    <cellStyle name="Normal 10 2 10 15 4" xfId="2525" xr:uid="{00000000-0005-0000-0000-0000DD090000}"/>
    <cellStyle name="Normal 10 2 10 15 4 10" xfId="2526" xr:uid="{00000000-0005-0000-0000-0000DE090000}"/>
    <cellStyle name="Normal 10 2 10 15 4 2" xfId="2527" xr:uid="{00000000-0005-0000-0000-0000DF090000}"/>
    <cellStyle name="Normal 10 2 10 15 4 3" xfId="2528" xr:uid="{00000000-0005-0000-0000-0000E0090000}"/>
    <cellStyle name="Normal 10 2 10 15 4 4" xfId="2529" xr:uid="{00000000-0005-0000-0000-0000E1090000}"/>
    <cellStyle name="Normal 10 2 10 15 4 5" xfId="2530" xr:uid="{00000000-0005-0000-0000-0000E2090000}"/>
    <cellStyle name="Normal 10 2 10 15 4 6" xfId="2531" xr:uid="{00000000-0005-0000-0000-0000E3090000}"/>
    <cellStyle name="Normal 10 2 10 15 4 7" xfId="2532" xr:uid="{00000000-0005-0000-0000-0000E4090000}"/>
    <cellStyle name="Normal 10 2 10 15 4 8" xfId="2533" xr:uid="{00000000-0005-0000-0000-0000E5090000}"/>
    <cellStyle name="Normal 10 2 10 15 4 9" xfId="2534" xr:uid="{00000000-0005-0000-0000-0000E6090000}"/>
    <cellStyle name="Normal 10 2 10 15 5" xfId="2535" xr:uid="{00000000-0005-0000-0000-0000E7090000}"/>
    <cellStyle name="Normal 10 2 10 15 5 10" xfId="2536" xr:uid="{00000000-0005-0000-0000-0000E8090000}"/>
    <cellStyle name="Normal 10 2 10 15 5 2" xfId="2537" xr:uid="{00000000-0005-0000-0000-0000E9090000}"/>
    <cellStyle name="Normal 10 2 10 15 5 3" xfId="2538" xr:uid="{00000000-0005-0000-0000-0000EA090000}"/>
    <cellStyle name="Normal 10 2 10 15 5 4" xfId="2539" xr:uid="{00000000-0005-0000-0000-0000EB090000}"/>
    <cellStyle name="Normal 10 2 10 15 5 5" xfId="2540" xr:uid="{00000000-0005-0000-0000-0000EC090000}"/>
    <cellStyle name="Normal 10 2 10 15 5 6" xfId="2541" xr:uid="{00000000-0005-0000-0000-0000ED090000}"/>
    <cellStyle name="Normal 10 2 10 15 5 7" xfId="2542" xr:uid="{00000000-0005-0000-0000-0000EE090000}"/>
    <cellStyle name="Normal 10 2 10 15 5 8" xfId="2543" xr:uid="{00000000-0005-0000-0000-0000EF090000}"/>
    <cellStyle name="Normal 10 2 10 15 5 9" xfId="2544" xr:uid="{00000000-0005-0000-0000-0000F0090000}"/>
    <cellStyle name="Normal 10 2 10 15 6" xfId="2545" xr:uid="{00000000-0005-0000-0000-0000F1090000}"/>
    <cellStyle name="Normal 10 2 10 15 7" xfId="2546" xr:uid="{00000000-0005-0000-0000-0000F2090000}"/>
    <cellStyle name="Normal 10 2 10 15 8" xfId="2547" xr:uid="{00000000-0005-0000-0000-0000F3090000}"/>
    <cellStyle name="Normal 10 2 10 15 9" xfId="2548" xr:uid="{00000000-0005-0000-0000-0000F4090000}"/>
    <cellStyle name="Normal 10 2 10 16" xfId="2549" xr:uid="{00000000-0005-0000-0000-0000F5090000}"/>
    <cellStyle name="Normal 10 2 10 16 10" xfId="2550" xr:uid="{00000000-0005-0000-0000-0000F6090000}"/>
    <cellStyle name="Normal 10 2 10 16 11" xfId="2551" xr:uid="{00000000-0005-0000-0000-0000F7090000}"/>
    <cellStyle name="Normal 10 2 10 16 12" xfId="2552" xr:uid="{00000000-0005-0000-0000-0000F8090000}"/>
    <cellStyle name="Normal 10 2 10 16 13" xfId="2553" xr:uid="{00000000-0005-0000-0000-0000F9090000}"/>
    <cellStyle name="Normal 10 2 10 16 14" xfId="2554" xr:uid="{00000000-0005-0000-0000-0000FA090000}"/>
    <cellStyle name="Normal 10 2 10 16 2" xfId="2555" xr:uid="{00000000-0005-0000-0000-0000FB090000}"/>
    <cellStyle name="Normal 10 2 10 16 2 10" xfId="2556" xr:uid="{00000000-0005-0000-0000-0000FC090000}"/>
    <cellStyle name="Normal 10 2 10 16 2 2" xfId="2557" xr:uid="{00000000-0005-0000-0000-0000FD090000}"/>
    <cellStyle name="Normal 10 2 10 16 2 3" xfId="2558" xr:uid="{00000000-0005-0000-0000-0000FE090000}"/>
    <cellStyle name="Normal 10 2 10 16 2 4" xfId="2559" xr:uid="{00000000-0005-0000-0000-0000FF090000}"/>
    <cellStyle name="Normal 10 2 10 16 2 5" xfId="2560" xr:uid="{00000000-0005-0000-0000-0000000A0000}"/>
    <cellStyle name="Normal 10 2 10 16 2 6" xfId="2561" xr:uid="{00000000-0005-0000-0000-0000010A0000}"/>
    <cellStyle name="Normal 10 2 10 16 2 7" xfId="2562" xr:uid="{00000000-0005-0000-0000-0000020A0000}"/>
    <cellStyle name="Normal 10 2 10 16 2 8" xfId="2563" xr:uid="{00000000-0005-0000-0000-0000030A0000}"/>
    <cellStyle name="Normal 10 2 10 16 2 9" xfId="2564" xr:uid="{00000000-0005-0000-0000-0000040A0000}"/>
    <cellStyle name="Normal 10 2 10 16 3" xfId="2565" xr:uid="{00000000-0005-0000-0000-0000050A0000}"/>
    <cellStyle name="Normal 10 2 10 16 3 10" xfId="2566" xr:uid="{00000000-0005-0000-0000-0000060A0000}"/>
    <cellStyle name="Normal 10 2 10 16 3 2" xfId="2567" xr:uid="{00000000-0005-0000-0000-0000070A0000}"/>
    <cellStyle name="Normal 10 2 10 16 3 3" xfId="2568" xr:uid="{00000000-0005-0000-0000-0000080A0000}"/>
    <cellStyle name="Normal 10 2 10 16 3 4" xfId="2569" xr:uid="{00000000-0005-0000-0000-0000090A0000}"/>
    <cellStyle name="Normal 10 2 10 16 3 5" xfId="2570" xr:uid="{00000000-0005-0000-0000-00000A0A0000}"/>
    <cellStyle name="Normal 10 2 10 16 3 6" xfId="2571" xr:uid="{00000000-0005-0000-0000-00000B0A0000}"/>
    <cellStyle name="Normal 10 2 10 16 3 7" xfId="2572" xr:uid="{00000000-0005-0000-0000-00000C0A0000}"/>
    <cellStyle name="Normal 10 2 10 16 3 8" xfId="2573" xr:uid="{00000000-0005-0000-0000-00000D0A0000}"/>
    <cellStyle name="Normal 10 2 10 16 3 9" xfId="2574" xr:uid="{00000000-0005-0000-0000-00000E0A0000}"/>
    <cellStyle name="Normal 10 2 10 16 4" xfId="2575" xr:uid="{00000000-0005-0000-0000-00000F0A0000}"/>
    <cellStyle name="Normal 10 2 10 16 4 10" xfId="2576" xr:uid="{00000000-0005-0000-0000-0000100A0000}"/>
    <cellStyle name="Normal 10 2 10 16 4 2" xfId="2577" xr:uid="{00000000-0005-0000-0000-0000110A0000}"/>
    <cellStyle name="Normal 10 2 10 16 4 3" xfId="2578" xr:uid="{00000000-0005-0000-0000-0000120A0000}"/>
    <cellStyle name="Normal 10 2 10 16 4 4" xfId="2579" xr:uid="{00000000-0005-0000-0000-0000130A0000}"/>
    <cellStyle name="Normal 10 2 10 16 4 5" xfId="2580" xr:uid="{00000000-0005-0000-0000-0000140A0000}"/>
    <cellStyle name="Normal 10 2 10 16 4 6" xfId="2581" xr:uid="{00000000-0005-0000-0000-0000150A0000}"/>
    <cellStyle name="Normal 10 2 10 16 4 7" xfId="2582" xr:uid="{00000000-0005-0000-0000-0000160A0000}"/>
    <cellStyle name="Normal 10 2 10 16 4 8" xfId="2583" xr:uid="{00000000-0005-0000-0000-0000170A0000}"/>
    <cellStyle name="Normal 10 2 10 16 4 9" xfId="2584" xr:uid="{00000000-0005-0000-0000-0000180A0000}"/>
    <cellStyle name="Normal 10 2 10 16 5" xfId="2585" xr:uid="{00000000-0005-0000-0000-0000190A0000}"/>
    <cellStyle name="Normal 10 2 10 16 5 10" xfId="2586" xr:uid="{00000000-0005-0000-0000-00001A0A0000}"/>
    <cellStyle name="Normal 10 2 10 16 5 2" xfId="2587" xr:uid="{00000000-0005-0000-0000-00001B0A0000}"/>
    <cellStyle name="Normal 10 2 10 16 5 3" xfId="2588" xr:uid="{00000000-0005-0000-0000-00001C0A0000}"/>
    <cellStyle name="Normal 10 2 10 16 5 4" xfId="2589" xr:uid="{00000000-0005-0000-0000-00001D0A0000}"/>
    <cellStyle name="Normal 10 2 10 16 5 5" xfId="2590" xr:uid="{00000000-0005-0000-0000-00001E0A0000}"/>
    <cellStyle name="Normal 10 2 10 16 5 6" xfId="2591" xr:uid="{00000000-0005-0000-0000-00001F0A0000}"/>
    <cellStyle name="Normal 10 2 10 16 5 7" xfId="2592" xr:uid="{00000000-0005-0000-0000-0000200A0000}"/>
    <cellStyle name="Normal 10 2 10 16 5 8" xfId="2593" xr:uid="{00000000-0005-0000-0000-0000210A0000}"/>
    <cellStyle name="Normal 10 2 10 16 5 9" xfId="2594" xr:uid="{00000000-0005-0000-0000-0000220A0000}"/>
    <cellStyle name="Normal 10 2 10 16 6" xfId="2595" xr:uid="{00000000-0005-0000-0000-0000230A0000}"/>
    <cellStyle name="Normal 10 2 10 16 7" xfId="2596" xr:uid="{00000000-0005-0000-0000-0000240A0000}"/>
    <cellStyle name="Normal 10 2 10 16 8" xfId="2597" xr:uid="{00000000-0005-0000-0000-0000250A0000}"/>
    <cellStyle name="Normal 10 2 10 16 9" xfId="2598" xr:uid="{00000000-0005-0000-0000-0000260A0000}"/>
    <cellStyle name="Normal 10 2 10 17" xfId="2599" xr:uid="{00000000-0005-0000-0000-0000270A0000}"/>
    <cellStyle name="Normal 10 2 10 17 10" xfId="2600" xr:uid="{00000000-0005-0000-0000-0000280A0000}"/>
    <cellStyle name="Normal 10 2 10 17 11" xfId="2601" xr:uid="{00000000-0005-0000-0000-0000290A0000}"/>
    <cellStyle name="Normal 10 2 10 17 12" xfId="2602" xr:uid="{00000000-0005-0000-0000-00002A0A0000}"/>
    <cellStyle name="Normal 10 2 10 17 13" xfId="2603" xr:uid="{00000000-0005-0000-0000-00002B0A0000}"/>
    <cellStyle name="Normal 10 2 10 17 14" xfId="2604" xr:uid="{00000000-0005-0000-0000-00002C0A0000}"/>
    <cellStyle name="Normal 10 2 10 17 2" xfId="2605" xr:uid="{00000000-0005-0000-0000-00002D0A0000}"/>
    <cellStyle name="Normal 10 2 10 17 2 10" xfId="2606" xr:uid="{00000000-0005-0000-0000-00002E0A0000}"/>
    <cellStyle name="Normal 10 2 10 17 2 2" xfId="2607" xr:uid="{00000000-0005-0000-0000-00002F0A0000}"/>
    <cellStyle name="Normal 10 2 10 17 2 3" xfId="2608" xr:uid="{00000000-0005-0000-0000-0000300A0000}"/>
    <cellStyle name="Normal 10 2 10 17 2 4" xfId="2609" xr:uid="{00000000-0005-0000-0000-0000310A0000}"/>
    <cellStyle name="Normal 10 2 10 17 2 5" xfId="2610" xr:uid="{00000000-0005-0000-0000-0000320A0000}"/>
    <cellStyle name="Normal 10 2 10 17 2 6" xfId="2611" xr:uid="{00000000-0005-0000-0000-0000330A0000}"/>
    <cellStyle name="Normal 10 2 10 17 2 7" xfId="2612" xr:uid="{00000000-0005-0000-0000-0000340A0000}"/>
    <cellStyle name="Normal 10 2 10 17 2 8" xfId="2613" xr:uid="{00000000-0005-0000-0000-0000350A0000}"/>
    <cellStyle name="Normal 10 2 10 17 2 9" xfId="2614" xr:uid="{00000000-0005-0000-0000-0000360A0000}"/>
    <cellStyle name="Normal 10 2 10 17 3" xfId="2615" xr:uid="{00000000-0005-0000-0000-0000370A0000}"/>
    <cellStyle name="Normal 10 2 10 17 3 10" xfId="2616" xr:uid="{00000000-0005-0000-0000-0000380A0000}"/>
    <cellStyle name="Normal 10 2 10 17 3 2" xfId="2617" xr:uid="{00000000-0005-0000-0000-0000390A0000}"/>
    <cellStyle name="Normal 10 2 10 17 3 3" xfId="2618" xr:uid="{00000000-0005-0000-0000-00003A0A0000}"/>
    <cellStyle name="Normal 10 2 10 17 3 4" xfId="2619" xr:uid="{00000000-0005-0000-0000-00003B0A0000}"/>
    <cellStyle name="Normal 10 2 10 17 3 5" xfId="2620" xr:uid="{00000000-0005-0000-0000-00003C0A0000}"/>
    <cellStyle name="Normal 10 2 10 17 3 6" xfId="2621" xr:uid="{00000000-0005-0000-0000-00003D0A0000}"/>
    <cellStyle name="Normal 10 2 10 17 3 7" xfId="2622" xr:uid="{00000000-0005-0000-0000-00003E0A0000}"/>
    <cellStyle name="Normal 10 2 10 17 3 8" xfId="2623" xr:uid="{00000000-0005-0000-0000-00003F0A0000}"/>
    <cellStyle name="Normal 10 2 10 17 3 9" xfId="2624" xr:uid="{00000000-0005-0000-0000-0000400A0000}"/>
    <cellStyle name="Normal 10 2 10 17 4" xfId="2625" xr:uid="{00000000-0005-0000-0000-0000410A0000}"/>
    <cellStyle name="Normal 10 2 10 17 4 10" xfId="2626" xr:uid="{00000000-0005-0000-0000-0000420A0000}"/>
    <cellStyle name="Normal 10 2 10 17 4 2" xfId="2627" xr:uid="{00000000-0005-0000-0000-0000430A0000}"/>
    <cellStyle name="Normal 10 2 10 17 4 3" xfId="2628" xr:uid="{00000000-0005-0000-0000-0000440A0000}"/>
    <cellStyle name="Normal 10 2 10 17 4 4" xfId="2629" xr:uid="{00000000-0005-0000-0000-0000450A0000}"/>
    <cellStyle name="Normal 10 2 10 17 4 5" xfId="2630" xr:uid="{00000000-0005-0000-0000-0000460A0000}"/>
    <cellStyle name="Normal 10 2 10 17 4 6" xfId="2631" xr:uid="{00000000-0005-0000-0000-0000470A0000}"/>
    <cellStyle name="Normal 10 2 10 17 4 7" xfId="2632" xr:uid="{00000000-0005-0000-0000-0000480A0000}"/>
    <cellStyle name="Normal 10 2 10 17 4 8" xfId="2633" xr:uid="{00000000-0005-0000-0000-0000490A0000}"/>
    <cellStyle name="Normal 10 2 10 17 4 9" xfId="2634" xr:uid="{00000000-0005-0000-0000-00004A0A0000}"/>
    <cellStyle name="Normal 10 2 10 17 5" xfId="2635" xr:uid="{00000000-0005-0000-0000-00004B0A0000}"/>
    <cellStyle name="Normal 10 2 10 17 5 10" xfId="2636" xr:uid="{00000000-0005-0000-0000-00004C0A0000}"/>
    <cellStyle name="Normal 10 2 10 17 5 2" xfId="2637" xr:uid="{00000000-0005-0000-0000-00004D0A0000}"/>
    <cellStyle name="Normal 10 2 10 17 5 3" xfId="2638" xr:uid="{00000000-0005-0000-0000-00004E0A0000}"/>
    <cellStyle name="Normal 10 2 10 17 5 4" xfId="2639" xr:uid="{00000000-0005-0000-0000-00004F0A0000}"/>
    <cellStyle name="Normal 10 2 10 17 5 5" xfId="2640" xr:uid="{00000000-0005-0000-0000-0000500A0000}"/>
    <cellStyle name="Normal 10 2 10 17 5 6" xfId="2641" xr:uid="{00000000-0005-0000-0000-0000510A0000}"/>
    <cellStyle name="Normal 10 2 10 17 5 7" xfId="2642" xr:uid="{00000000-0005-0000-0000-0000520A0000}"/>
    <cellStyle name="Normal 10 2 10 17 5 8" xfId="2643" xr:uid="{00000000-0005-0000-0000-0000530A0000}"/>
    <cellStyle name="Normal 10 2 10 17 5 9" xfId="2644" xr:uid="{00000000-0005-0000-0000-0000540A0000}"/>
    <cellStyle name="Normal 10 2 10 17 6" xfId="2645" xr:uid="{00000000-0005-0000-0000-0000550A0000}"/>
    <cellStyle name="Normal 10 2 10 17 7" xfId="2646" xr:uid="{00000000-0005-0000-0000-0000560A0000}"/>
    <cellStyle name="Normal 10 2 10 17 8" xfId="2647" xr:uid="{00000000-0005-0000-0000-0000570A0000}"/>
    <cellStyle name="Normal 10 2 10 17 9" xfId="2648" xr:uid="{00000000-0005-0000-0000-0000580A0000}"/>
    <cellStyle name="Normal 10 2 10 18" xfId="2649" xr:uid="{00000000-0005-0000-0000-0000590A0000}"/>
    <cellStyle name="Normal 10 2 10 18 10" xfId="2650" xr:uid="{00000000-0005-0000-0000-00005A0A0000}"/>
    <cellStyle name="Normal 10 2 10 18 11" xfId="2651" xr:uid="{00000000-0005-0000-0000-00005B0A0000}"/>
    <cellStyle name="Normal 10 2 10 18 12" xfId="2652" xr:uid="{00000000-0005-0000-0000-00005C0A0000}"/>
    <cellStyle name="Normal 10 2 10 18 13" xfId="2653" xr:uid="{00000000-0005-0000-0000-00005D0A0000}"/>
    <cellStyle name="Normal 10 2 10 18 14" xfId="2654" xr:uid="{00000000-0005-0000-0000-00005E0A0000}"/>
    <cellStyle name="Normal 10 2 10 18 2" xfId="2655" xr:uid="{00000000-0005-0000-0000-00005F0A0000}"/>
    <cellStyle name="Normal 10 2 10 18 2 10" xfId="2656" xr:uid="{00000000-0005-0000-0000-0000600A0000}"/>
    <cellStyle name="Normal 10 2 10 18 2 2" xfId="2657" xr:uid="{00000000-0005-0000-0000-0000610A0000}"/>
    <cellStyle name="Normal 10 2 10 18 2 3" xfId="2658" xr:uid="{00000000-0005-0000-0000-0000620A0000}"/>
    <cellStyle name="Normal 10 2 10 18 2 4" xfId="2659" xr:uid="{00000000-0005-0000-0000-0000630A0000}"/>
    <cellStyle name="Normal 10 2 10 18 2 5" xfId="2660" xr:uid="{00000000-0005-0000-0000-0000640A0000}"/>
    <cellStyle name="Normal 10 2 10 18 2 6" xfId="2661" xr:uid="{00000000-0005-0000-0000-0000650A0000}"/>
    <cellStyle name="Normal 10 2 10 18 2 7" xfId="2662" xr:uid="{00000000-0005-0000-0000-0000660A0000}"/>
    <cellStyle name="Normal 10 2 10 18 2 8" xfId="2663" xr:uid="{00000000-0005-0000-0000-0000670A0000}"/>
    <cellStyle name="Normal 10 2 10 18 2 9" xfId="2664" xr:uid="{00000000-0005-0000-0000-0000680A0000}"/>
    <cellStyle name="Normal 10 2 10 18 3" xfId="2665" xr:uid="{00000000-0005-0000-0000-0000690A0000}"/>
    <cellStyle name="Normal 10 2 10 18 3 10" xfId="2666" xr:uid="{00000000-0005-0000-0000-00006A0A0000}"/>
    <cellStyle name="Normal 10 2 10 18 3 2" xfId="2667" xr:uid="{00000000-0005-0000-0000-00006B0A0000}"/>
    <cellStyle name="Normal 10 2 10 18 3 3" xfId="2668" xr:uid="{00000000-0005-0000-0000-00006C0A0000}"/>
    <cellStyle name="Normal 10 2 10 18 3 4" xfId="2669" xr:uid="{00000000-0005-0000-0000-00006D0A0000}"/>
    <cellStyle name="Normal 10 2 10 18 3 5" xfId="2670" xr:uid="{00000000-0005-0000-0000-00006E0A0000}"/>
    <cellStyle name="Normal 10 2 10 18 3 6" xfId="2671" xr:uid="{00000000-0005-0000-0000-00006F0A0000}"/>
    <cellStyle name="Normal 10 2 10 18 3 7" xfId="2672" xr:uid="{00000000-0005-0000-0000-0000700A0000}"/>
    <cellStyle name="Normal 10 2 10 18 3 8" xfId="2673" xr:uid="{00000000-0005-0000-0000-0000710A0000}"/>
    <cellStyle name="Normal 10 2 10 18 3 9" xfId="2674" xr:uid="{00000000-0005-0000-0000-0000720A0000}"/>
    <cellStyle name="Normal 10 2 10 18 4" xfId="2675" xr:uid="{00000000-0005-0000-0000-0000730A0000}"/>
    <cellStyle name="Normal 10 2 10 18 4 10" xfId="2676" xr:uid="{00000000-0005-0000-0000-0000740A0000}"/>
    <cellStyle name="Normal 10 2 10 18 4 2" xfId="2677" xr:uid="{00000000-0005-0000-0000-0000750A0000}"/>
    <cellStyle name="Normal 10 2 10 18 4 3" xfId="2678" xr:uid="{00000000-0005-0000-0000-0000760A0000}"/>
    <cellStyle name="Normal 10 2 10 18 4 4" xfId="2679" xr:uid="{00000000-0005-0000-0000-0000770A0000}"/>
    <cellStyle name="Normal 10 2 10 18 4 5" xfId="2680" xr:uid="{00000000-0005-0000-0000-0000780A0000}"/>
    <cellStyle name="Normal 10 2 10 18 4 6" xfId="2681" xr:uid="{00000000-0005-0000-0000-0000790A0000}"/>
    <cellStyle name="Normal 10 2 10 18 4 7" xfId="2682" xr:uid="{00000000-0005-0000-0000-00007A0A0000}"/>
    <cellStyle name="Normal 10 2 10 18 4 8" xfId="2683" xr:uid="{00000000-0005-0000-0000-00007B0A0000}"/>
    <cellStyle name="Normal 10 2 10 18 4 9" xfId="2684" xr:uid="{00000000-0005-0000-0000-00007C0A0000}"/>
    <cellStyle name="Normal 10 2 10 18 5" xfId="2685" xr:uid="{00000000-0005-0000-0000-00007D0A0000}"/>
    <cellStyle name="Normal 10 2 10 18 5 10" xfId="2686" xr:uid="{00000000-0005-0000-0000-00007E0A0000}"/>
    <cellStyle name="Normal 10 2 10 18 5 2" xfId="2687" xr:uid="{00000000-0005-0000-0000-00007F0A0000}"/>
    <cellStyle name="Normal 10 2 10 18 5 3" xfId="2688" xr:uid="{00000000-0005-0000-0000-0000800A0000}"/>
    <cellStyle name="Normal 10 2 10 18 5 4" xfId="2689" xr:uid="{00000000-0005-0000-0000-0000810A0000}"/>
    <cellStyle name="Normal 10 2 10 18 5 5" xfId="2690" xr:uid="{00000000-0005-0000-0000-0000820A0000}"/>
    <cellStyle name="Normal 10 2 10 18 5 6" xfId="2691" xr:uid="{00000000-0005-0000-0000-0000830A0000}"/>
    <cellStyle name="Normal 10 2 10 18 5 7" xfId="2692" xr:uid="{00000000-0005-0000-0000-0000840A0000}"/>
    <cellStyle name="Normal 10 2 10 18 5 8" xfId="2693" xr:uid="{00000000-0005-0000-0000-0000850A0000}"/>
    <cellStyle name="Normal 10 2 10 18 5 9" xfId="2694" xr:uid="{00000000-0005-0000-0000-0000860A0000}"/>
    <cellStyle name="Normal 10 2 10 18 6" xfId="2695" xr:uid="{00000000-0005-0000-0000-0000870A0000}"/>
    <cellStyle name="Normal 10 2 10 18 7" xfId="2696" xr:uid="{00000000-0005-0000-0000-0000880A0000}"/>
    <cellStyle name="Normal 10 2 10 18 8" xfId="2697" xr:uid="{00000000-0005-0000-0000-0000890A0000}"/>
    <cellStyle name="Normal 10 2 10 18 9" xfId="2698" xr:uid="{00000000-0005-0000-0000-00008A0A0000}"/>
    <cellStyle name="Normal 10 2 10 19" xfId="2699" xr:uid="{00000000-0005-0000-0000-00008B0A0000}"/>
    <cellStyle name="Normal 10 2 10 19 10" xfId="2700" xr:uid="{00000000-0005-0000-0000-00008C0A0000}"/>
    <cellStyle name="Normal 10 2 10 19 11" xfId="2701" xr:uid="{00000000-0005-0000-0000-00008D0A0000}"/>
    <cellStyle name="Normal 10 2 10 19 12" xfId="2702" xr:uid="{00000000-0005-0000-0000-00008E0A0000}"/>
    <cellStyle name="Normal 10 2 10 19 13" xfId="2703" xr:uid="{00000000-0005-0000-0000-00008F0A0000}"/>
    <cellStyle name="Normal 10 2 10 19 14" xfId="2704" xr:uid="{00000000-0005-0000-0000-0000900A0000}"/>
    <cellStyle name="Normal 10 2 10 19 2" xfId="2705" xr:uid="{00000000-0005-0000-0000-0000910A0000}"/>
    <cellStyle name="Normal 10 2 10 19 2 10" xfId="2706" xr:uid="{00000000-0005-0000-0000-0000920A0000}"/>
    <cellStyle name="Normal 10 2 10 19 2 2" xfId="2707" xr:uid="{00000000-0005-0000-0000-0000930A0000}"/>
    <cellStyle name="Normal 10 2 10 19 2 3" xfId="2708" xr:uid="{00000000-0005-0000-0000-0000940A0000}"/>
    <cellStyle name="Normal 10 2 10 19 2 4" xfId="2709" xr:uid="{00000000-0005-0000-0000-0000950A0000}"/>
    <cellStyle name="Normal 10 2 10 19 2 5" xfId="2710" xr:uid="{00000000-0005-0000-0000-0000960A0000}"/>
    <cellStyle name="Normal 10 2 10 19 2 6" xfId="2711" xr:uid="{00000000-0005-0000-0000-0000970A0000}"/>
    <cellStyle name="Normal 10 2 10 19 2 7" xfId="2712" xr:uid="{00000000-0005-0000-0000-0000980A0000}"/>
    <cellStyle name="Normal 10 2 10 19 2 8" xfId="2713" xr:uid="{00000000-0005-0000-0000-0000990A0000}"/>
    <cellStyle name="Normal 10 2 10 19 2 9" xfId="2714" xr:uid="{00000000-0005-0000-0000-00009A0A0000}"/>
    <cellStyle name="Normal 10 2 10 19 3" xfId="2715" xr:uid="{00000000-0005-0000-0000-00009B0A0000}"/>
    <cellStyle name="Normal 10 2 10 19 3 10" xfId="2716" xr:uid="{00000000-0005-0000-0000-00009C0A0000}"/>
    <cellStyle name="Normal 10 2 10 19 3 2" xfId="2717" xr:uid="{00000000-0005-0000-0000-00009D0A0000}"/>
    <cellStyle name="Normal 10 2 10 19 3 3" xfId="2718" xr:uid="{00000000-0005-0000-0000-00009E0A0000}"/>
    <cellStyle name="Normal 10 2 10 19 3 4" xfId="2719" xr:uid="{00000000-0005-0000-0000-00009F0A0000}"/>
    <cellStyle name="Normal 10 2 10 19 3 5" xfId="2720" xr:uid="{00000000-0005-0000-0000-0000A00A0000}"/>
    <cellStyle name="Normal 10 2 10 19 3 6" xfId="2721" xr:uid="{00000000-0005-0000-0000-0000A10A0000}"/>
    <cellStyle name="Normal 10 2 10 19 3 7" xfId="2722" xr:uid="{00000000-0005-0000-0000-0000A20A0000}"/>
    <cellStyle name="Normal 10 2 10 19 3 8" xfId="2723" xr:uid="{00000000-0005-0000-0000-0000A30A0000}"/>
    <cellStyle name="Normal 10 2 10 19 3 9" xfId="2724" xr:uid="{00000000-0005-0000-0000-0000A40A0000}"/>
    <cellStyle name="Normal 10 2 10 19 4" xfId="2725" xr:uid="{00000000-0005-0000-0000-0000A50A0000}"/>
    <cellStyle name="Normal 10 2 10 19 4 10" xfId="2726" xr:uid="{00000000-0005-0000-0000-0000A60A0000}"/>
    <cellStyle name="Normal 10 2 10 19 4 2" xfId="2727" xr:uid="{00000000-0005-0000-0000-0000A70A0000}"/>
    <cellStyle name="Normal 10 2 10 19 4 3" xfId="2728" xr:uid="{00000000-0005-0000-0000-0000A80A0000}"/>
    <cellStyle name="Normal 10 2 10 19 4 4" xfId="2729" xr:uid="{00000000-0005-0000-0000-0000A90A0000}"/>
    <cellStyle name="Normal 10 2 10 19 4 5" xfId="2730" xr:uid="{00000000-0005-0000-0000-0000AA0A0000}"/>
    <cellStyle name="Normal 10 2 10 19 4 6" xfId="2731" xr:uid="{00000000-0005-0000-0000-0000AB0A0000}"/>
    <cellStyle name="Normal 10 2 10 19 4 7" xfId="2732" xr:uid="{00000000-0005-0000-0000-0000AC0A0000}"/>
    <cellStyle name="Normal 10 2 10 19 4 8" xfId="2733" xr:uid="{00000000-0005-0000-0000-0000AD0A0000}"/>
    <cellStyle name="Normal 10 2 10 19 4 9" xfId="2734" xr:uid="{00000000-0005-0000-0000-0000AE0A0000}"/>
    <cellStyle name="Normal 10 2 10 19 5" xfId="2735" xr:uid="{00000000-0005-0000-0000-0000AF0A0000}"/>
    <cellStyle name="Normal 10 2 10 19 5 10" xfId="2736" xr:uid="{00000000-0005-0000-0000-0000B00A0000}"/>
    <cellStyle name="Normal 10 2 10 19 5 2" xfId="2737" xr:uid="{00000000-0005-0000-0000-0000B10A0000}"/>
    <cellStyle name="Normal 10 2 10 19 5 3" xfId="2738" xr:uid="{00000000-0005-0000-0000-0000B20A0000}"/>
    <cellStyle name="Normal 10 2 10 19 5 4" xfId="2739" xr:uid="{00000000-0005-0000-0000-0000B30A0000}"/>
    <cellStyle name="Normal 10 2 10 19 5 5" xfId="2740" xr:uid="{00000000-0005-0000-0000-0000B40A0000}"/>
    <cellStyle name="Normal 10 2 10 19 5 6" xfId="2741" xr:uid="{00000000-0005-0000-0000-0000B50A0000}"/>
    <cellStyle name="Normal 10 2 10 19 5 7" xfId="2742" xr:uid="{00000000-0005-0000-0000-0000B60A0000}"/>
    <cellStyle name="Normal 10 2 10 19 5 8" xfId="2743" xr:uid="{00000000-0005-0000-0000-0000B70A0000}"/>
    <cellStyle name="Normal 10 2 10 19 5 9" xfId="2744" xr:uid="{00000000-0005-0000-0000-0000B80A0000}"/>
    <cellStyle name="Normal 10 2 10 19 6" xfId="2745" xr:uid="{00000000-0005-0000-0000-0000B90A0000}"/>
    <cellStyle name="Normal 10 2 10 19 7" xfId="2746" xr:uid="{00000000-0005-0000-0000-0000BA0A0000}"/>
    <cellStyle name="Normal 10 2 10 19 8" xfId="2747" xr:uid="{00000000-0005-0000-0000-0000BB0A0000}"/>
    <cellStyle name="Normal 10 2 10 19 9" xfId="2748" xr:uid="{00000000-0005-0000-0000-0000BC0A0000}"/>
    <cellStyle name="Normal 10 2 10 2" xfId="49" xr:uid="{00000000-0005-0000-0000-000031000000}"/>
    <cellStyle name="Normal 10 2 10 2 10" xfId="2750" xr:uid="{00000000-0005-0000-0000-0000BE0A0000}"/>
    <cellStyle name="Normal 10 2 10 2 10 10" xfId="2751" xr:uid="{00000000-0005-0000-0000-0000BF0A0000}"/>
    <cellStyle name="Normal 10 2 10 2 10 11" xfId="2752" xr:uid="{00000000-0005-0000-0000-0000C00A0000}"/>
    <cellStyle name="Normal 10 2 10 2 10 12" xfId="2753" xr:uid="{00000000-0005-0000-0000-0000C10A0000}"/>
    <cellStyle name="Normal 10 2 10 2 10 13" xfId="2754" xr:uid="{00000000-0005-0000-0000-0000C20A0000}"/>
    <cellStyle name="Normal 10 2 10 2 10 14" xfId="2755" xr:uid="{00000000-0005-0000-0000-0000C30A0000}"/>
    <cellStyle name="Normal 10 2 10 2 10 2" xfId="2756" xr:uid="{00000000-0005-0000-0000-0000C40A0000}"/>
    <cellStyle name="Normal 10 2 10 2 10 2 10" xfId="2757" xr:uid="{00000000-0005-0000-0000-0000C50A0000}"/>
    <cellStyle name="Normal 10 2 10 2 10 2 2" xfId="2758" xr:uid="{00000000-0005-0000-0000-0000C60A0000}"/>
    <cellStyle name="Normal 10 2 10 2 10 2 3" xfId="2759" xr:uid="{00000000-0005-0000-0000-0000C70A0000}"/>
    <cellStyle name="Normal 10 2 10 2 10 2 4" xfId="2760" xr:uid="{00000000-0005-0000-0000-0000C80A0000}"/>
    <cellStyle name="Normal 10 2 10 2 10 2 5" xfId="2761" xr:uid="{00000000-0005-0000-0000-0000C90A0000}"/>
    <cellStyle name="Normal 10 2 10 2 10 2 6" xfId="2762" xr:uid="{00000000-0005-0000-0000-0000CA0A0000}"/>
    <cellStyle name="Normal 10 2 10 2 10 2 7" xfId="2763" xr:uid="{00000000-0005-0000-0000-0000CB0A0000}"/>
    <cellStyle name="Normal 10 2 10 2 10 2 8" xfId="2764" xr:uid="{00000000-0005-0000-0000-0000CC0A0000}"/>
    <cellStyle name="Normal 10 2 10 2 10 2 9" xfId="2765" xr:uid="{00000000-0005-0000-0000-0000CD0A0000}"/>
    <cellStyle name="Normal 10 2 10 2 10 3" xfId="2766" xr:uid="{00000000-0005-0000-0000-0000CE0A0000}"/>
    <cellStyle name="Normal 10 2 10 2 10 3 10" xfId="2767" xr:uid="{00000000-0005-0000-0000-0000CF0A0000}"/>
    <cellStyle name="Normal 10 2 10 2 10 3 2" xfId="2768" xr:uid="{00000000-0005-0000-0000-0000D00A0000}"/>
    <cellStyle name="Normal 10 2 10 2 10 3 3" xfId="2769" xr:uid="{00000000-0005-0000-0000-0000D10A0000}"/>
    <cellStyle name="Normal 10 2 10 2 10 3 4" xfId="2770" xr:uid="{00000000-0005-0000-0000-0000D20A0000}"/>
    <cellStyle name="Normal 10 2 10 2 10 3 5" xfId="2771" xr:uid="{00000000-0005-0000-0000-0000D30A0000}"/>
    <cellStyle name="Normal 10 2 10 2 10 3 6" xfId="2772" xr:uid="{00000000-0005-0000-0000-0000D40A0000}"/>
    <cellStyle name="Normal 10 2 10 2 10 3 7" xfId="2773" xr:uid="{00000000-0005-0000-0000-0000D50A0000}"/>
    <cellStyle name="Normal 10 2 10 2 10 3 8" xfId="2774" xr:uid="{00000000-0005-0000-0000-0000D60A0000}"/>
    <cellStyle name="Normal 10 2 10 2 10 3 9" xfId="2775" xr:uid="{00000000-0005-0000-0000-0000D70A0000}"/>
    <cellStyle name="Normal 10 2 10 2 10 4" xfId="2776" xr:uid="{00000000-0005-0000-0000-0000D80A0000}"/>
    <cellStyle name="Normal 10 2 10 2 10 4 10" xfId="2777" xr:uid="{00000000-0005-0000-0000-0000D90A0000}"/>
    <cellStyle name="Normal 10 2 10 2 10 4 2" xfId="2778" xr:uid="{00000000-0005-0000-0000-0000DA0A0000}"/>
    <cellStyle name="Normal 10 2 10 2 10 4 3" xfId="2779" xr:uid="{00000000-0005-0000-0000-0000DB0A0000}"/>
    <cellStyle name="Normal 10 2 10 2 10 4 4" xfId="2780" xr:uid="{00000000-0005-0000-0000-0000DC0A0000}"/>
    <cellStyle name="Normal 10 2 10 2 10 4 5" xfId="2781" xr:uid="{00000000-0005-0000-0000-0000DD0A0000}"/>
    <cellStyle name="Normal 10 2 10 2 10 4 6" xfId="2782" xr:uid="{00000000-0005-0000-0000-0000DE0A0000}"/>
    <cellStyle name="Normal 10 2 10 2 10 4 7" xfId="2783" xr:uid="{00000000-0005-0000-0000-0000DF0A0000}"/>
    <cellStyle name="Normal 10 2 10 2 10 4 8" xfId="2784" xr:uid="{00000000-0005-0000-0000-0000E00A0000}"/>
    <cellStyle name="Normal 10 2 10 2 10 4 9" xfId="2785" xr:uid="{00000000-0005-0000-0000-0000E10A0000}"/>
    <cellStyle name="Normal 10 2 10 2 10 5" xfId="2786" xr:uid="{00000000-0005-0000-0000-0000E20A0000}"/>
    <cellStyle name="Normal 10 2 10 2 10 5 10" xfId="2787" xr:uid="{00000000-0005-0000-0000-0000E30A0000}"/>
    <cellStyle name="Normal 10 2 10 2 10 5 2" xfId="2788" xr:uid="{00000000-0005-0000-0000-0000E40A0000}"/>
    <cellStyle name="Normal 10 2 10 2 10 5 3" xfId="2789" xr:uid="{00000000-0005-0000-0000-0000E50A0000}"/>
    <cellStyle name="Normal 10 2 10 2 10 5 4" xfId="2790" xr:uid="{00000000-0005-0000-0000-0000E60A0000}"/>
    <cellStyle name="Normal 10 2 10 2 10 5 5" xfId="2791" xr:uid="{00000000-0005-0000-0000-0000E70A0000}"/>
    <cellStyle name="Normal 10 2 10 2 10 5 6" xfId="2792" xr:uid="{00000000-0005-0000-0000-0000E80A0000}"/>
    <cellStyle name="Normal 10 2 10 2 10 5 7" xfId="2793" xr:uid="{00000000-0005-0000-0000-0000E90A0000}"/>
    <cellStyle name="Normal 10 2 10 2 10 5 8" xfId="2794" xr:uid="{00000000-0005-0000-0000-0000EA0A0000}"/>
    <cellStyle name="Normal 10 2 10 2 10 5 9" xfId="2795" xr:uid="{00000000-0005-0000-0000-0000EB0A0000}"/>
    <cellStyle name="Normal 10 2 10 2 10 6" xfId="2796" xr:uid="{00000000-0005-0000-0000-0000EC0A0000}"/>
    <cellStyle name="Normal 10 2 10 2 10 7" xfId="2797" xr:uid="{00000000-0005-0000-0000-0000ED0A0000}"/>
    <cellStyle name="Normal 10 2 10 2 10 8" xfId="2798" xr:uid="{00000000-0005-0000-0000-0000EE0A0000}"/>
    <cellStyle name="Normal 10 2 10 2 10 9" xfId="2799" xr:uid="{00000000-0005-0000-0000-0000EF0A0000}"/>
    <cellStyle name="Normal 10 2 10 2 11" xfId="2800" xr:uid="{00000000-0005-0000-0000-0000F00A0000}"/>
    <cellStyle name="Normal 10 2 10 2 11 10" xfId="2801" xr:uid="{00000000-0005-0000-0000-0000F10A0000}"/>
    <cellStyle name="Normal 10 2 10 2 11 11" xfId="2802" xr:uid="{00000000-0005-0000-0000-0000F20A0000}"/>
    <cellStyle name="Normal 10 2 10 2 11 12" xfId="2803" xr:uid="{00000000-0005-0000-0000-0000F30A0000}"/>
    <cellStyle name="Normal 10 2 10 2 11 13" xfId="2804" xr:uid="{00000000-0005-0000-0000-0000F40A0000}"/>
    <cellStyle name="Normal 10 2 10 2 11 14" xfId="2805" xr:uid="{00000000-0005-0000-0000-0000F50A0000}"/>
    <cellStyle name="Normal 10 2 10 2 11 2" xfId="2806" xr:uid="{00000000-0005-0000-0000-0000F60A0000}"/>
    <cellStyle name="Normal 10 2 10 2 11 2 10" xfId="2807" xr:uid="{00000000-0005-0000-0000-0000F70A0000}"/>
    <cellStyle name="Normal 10 2 10 2 11 2 2" xfId="2808" xr:uid="{00000000-0005-0000-0000-0000F80A0000}"/>
    <cellStyle name="Normal 10 2 10 2 11 2 3" xfId="2809" xr:uid="{00000000-0005-0000-0000-0000F90A0000}"/>
    <cellStyle name="Normal 10 2 10 2 11 2 4" xfId="2810" xr:uid="{00000000-0005-0000-0000-0000FA0A0000}"/>
    <cellStyle name="Normal 10 2 10 2 11 2 5" xfId="2811" xr:uid="{00000000-0005-0000-0000-0000FB0A0000}"/>
    <cellStyle name="Normal 10 2 10 2 11 2 6" xfId="2812" xr:uid="{00000000-0005-0000-0000-0000FC0A0000}"/>
    <cellStyle name="Normal 10 2 10 2 11 2 7" xfId="2813" xr:uid="{00000000-0005-0000-0000-0000FD0A0000}"/>
    <cellStyle name="Normal 10 2 10 2 11 2 8" xfId="2814" xr:uid="{00000000-0005-0000-0000-0000FE0A0000}"/>
    <cellStyle name="Normal 10 2 10 2 11 2 9" xfId="2815" xr:uid="{00000000-0005-0000-0000-0000FF0A0000}"/>
    <cellStyle name="Normal 10 2 10 2 11 3" xfId="2816" xr:uid="{00000000-0005-0000-0000-0000000B0000}"/>
    <cellStyle name="Normal 10 2 10 2 11 3 10" xfId="2817" xr:uid="{00000000-0005-0000-0000-0000010B0000}"/>
    <cellStyle name="Normal 10 2 10 2 11 3 2" xfId="2818" xr:uid="{00000000-0005-0000-0000-0000020B0000}"/>
    <cellStyle name="Normal 10 2 10 2 11 3 3" xfId="2819" xr:uid="{00000000-0005-0000-0000-0000030B0000}"/>
    <cellStyle name="Normal 10 2 10 2 11 3 4" xfId="2820" xr:uid="{00000000-0005-0000-0000-0000040B0000}"/>
    <cellStyle name="Normal 10 2 10 2 11 3 5" xfId="2821" xr:uid="{00000000-0005-0000-0000-0000050B0000}"/>
    <cellStyle name="Normal 10 2 10 2 11 3 6" xfId="2822" xr:uid="{00000000-0005-0000-0000-0000060B0000}"/>
    <cellStyle name="Normal 10 2 10 2 11 3 7" xfId="2823" xr:uid="{00000000-0005-0000-0000-0000070B0000}"/>
    <cellStyle name="Normal 10 2 10 2 11 3 8" xfId="2824" xr:uid="{00000000-0005-0000-0000-0000080B0000}"/>
    <cellStyle name="Normal 10 2 10 2 11 3 9" xfId="2825" xr:uid="{00000000-0005-0000-0000-0000090B0000}"/>
    <cellStyle name="Normal 10 2 10 2 11 4" xfId="2826" xr:uid="{00000000-0005-0000-0000-00000A0B0000}"/>
    <cellStyle name="Normal 10 2 10 2 11 4 10" xfId="2827" xr:uid="{00000000-0005-0000-0000-00000B0B0000}"/>
    <cellStyle name="Normal 10 2 10 2 11 4 2" xfId="2828" xr:uid="{00000000-0005-0000-0000-00000C0B0000}"/>
    <cellStyle name="Normal 10 2 10 2 11 4 3" xfId="2829" xr:uid="{00000000-0005-0000-0000-00000D0B0000}"/>
    <cellStyle name="Normal 10 2 10 2 11 4 4" xfId="2830" xr:uid="{00000000-0005-0000-0000-00000E0B0000}"/>
    <cellStyle name="Normal 10 2 10 2 11 4 5" xfId="2831" xr:uid="{00000000-0005-0000-0000-00000F0B0000}"/>
    <cellStyle name="Normal 10 2 10 2 11 4 6" xfId="2832" xr:uid="{00000000-0005-0000-0000-0000100B0000}"/>
    <cellStyle name="Normal 10 2 10 2 11 4 7" xfId="2833" xr:uid="{00000000-0005-0000-0000-0000110B0000}"/>
    <cellStyle name="Normal 10 2 10 2 11 4 8" xfId="2834" xr:uid="{00000000-0005-0000-0000-0000120B0000}"/>
    <cellStyle name="Normal 10 2 10 2 11 4 9" xfId="2835" xr:uid="{00000000-0005-0000-0000-0000130B0000}"/>
    <cellStyle name="Normal 10 2 10 2 11 5" xfId="2836" xr:uid="{00000000-0005-0000-0000-0000140B0000}"/>
    <cellStyle name="Normal 10 2 10 2 11 5 10" xfId="2837" xr:uid="{00000000-0005-0000-0000-0000150B0000}"/>
    <cellStyle name="Normal 10 2 10 2 11 5 2" xfId="2838" xr:uid="{00000000-0005-0000-0000-0000160B0000}"/>
    <cellStyle name="Normal 10 2 10 2 11 5 3" xfId="2839" xr:uid="{00000000-0005-0000-0000-0000170B0000}"/>
    <cellStyle name="Normal 10 2 10 2 11 5 4" xfId="2840" xr:uid="{00000000-0005-0000-0000-0000180B0000}"/>
    <cellStyle name="Normal 10 2 10 2 11 5 5" xfId="2841" xr:uid="{00000000-0005-0000-0000-0000190B0000}"/>
    <cellStyle name="Normal 10 2 10 2 11 5 6" xfId="2842" xr:uid="{00000000-0005-0000-0000-00001A0B0000}"/>
    <cellStyle name="Normal 10 2 10 2 11 5 7" xfId="2843" xr:uid="{00000000-0005-0000-0000-00001B0B0000}"/>
    <cellStyle name="Normal 10 2 10 2 11 5 8" xfId="2844" xr:uid="{00000000-0005-0000-0000-00001C0B0000}"/>
    <cellStyle name="Normal 10 2 10 2 11 5 9" xfId="2845" xr:uid="{00000000-0005-0000-0000-00001D0B0000}"/>
    <cellStyle name="Normal 10 2 10 2 11 6" xfId="2846" xr:uid="{00000000-0005-0000-0000-00001E0B0000}"/>
    <cellStyle name="Normal 10 2 10 2 11 7" xfId="2847" xr:uid="{00000000-0005-0000-0000-00001F0B0000}"/>
    <cellStyle name="Normal 10 2 10 2 11 8" xfId="2848" xr:uid="{00000000-0005-0000-0000-0000200B0000}"/>
    <cellStyle name="Normal 10 2 10 2 11 9" xfId="2849" xr:uid="{00000000-0005-0000-0000-0000210B0000}"/>
    <cellStyle name="Normal 10 2 10 2 12" xfId="2850" xr:uid="{00000000-0005-0000-0000-0000220B0000}"/>
    <cellStyle name="Normal 10 2 10 2 12 10" xfId="2851" xr:uid="{00000000-0005-0000-0000-0000230B0000}"/>
    <cellStyle name="Normal 10 2 10 2 12 11" xfId="2852" xr:uid="{00000000-0005-0000-0000-0000240B0000}"/>
    <cellStyle name="Normal 10 2 10 2 12 12" xfId="2853" xr:uid="{00000000-0005-0000-0000-0000250B0000}"/>
    <cellStyle name="Normal 10 2 10 2 12 13" xfId="2854" xr:uid="{00000000-0005-0000-0000-0000260B0000}"/>
    <cellStyle name="Normal 10 2 10 2 12 14" xfId="2855" xr:uid="{00000000-0005-0000-0000-0000270B0000}"/>
    <cellStyle name="Normal 10 2 10 2 12 2" xfId="2856" xr:uid="{00000000-0005-0000-0000-0000280B0000}"/>
    <cellStyle name="Normal 10 2 10 2 12 2 10" xfId="2857" xr:uid="{00000000-0005-0000-0000-0000290B0000}"/>
    <cellStyle name="Normal 10 2 10 2 12 2 2" xfId="2858" xr:uid="{00000000-0005-0000-0000-00002A0B0000}"/>
    <cellStyle name="Normal 10 2 10 2 12 2 3" xfId="2859" xr:uid="{00000000-0005-0000-0000-00002B0B0000}"/>
    <cellStyle name="Normal 10 2 10 2 12 2 4" xfId="2860" xr:uid="{00000000-0005-0000-0000-00002C0B0000}"/>
    <cellStyle name="Normal 10 2 10 2 12 2 5" xfId="2861" xr:uid="{00000000-0005-0000-0000-00002D0B0000}"/>
    <cellStyle name="Normal 10 2 10 2 12 2 6" xfId="2862" xr:uid="{00000000-0005-0000-0000-00002E0B0000}"/>
    <cellStyle name="Normal 10 2 10 2 12 2 7" xfId="2863" xr:uid="{00000000-0005-0000-0000-00002F0B0000}"/>
    <cellStyle name="Normal 10 2 10 2 12 2 8" xfId="2864" xr:uid="{00000000-0005-0000-0000-0000300B0000}"/>
    <cellStyle name="Normal 10 2 10 2 12 2 9" xfId="2865" xr:uid="{00000000-0005-0000-0000-0000310B0000}"/>
    <cellStyle name="Normal 10 2 10 2 12 3" xfId="2866" xr:uid="{00000000-0005-0000-0000-0000320B0000}"/>
    <cellStyle name="Normal 10 2 10 2 12 3 10" xfId="2867" xr:uid="{00000000-0005-0000-0000-0000330B0000}"/>
    <cellStyle name="Normal 10 2 10 2 12 3 2" xfId="2868" xr:uid="{00000000-0005-0000-0000-0000340B0000}"/>
    <cellStyle name="Normal 10 2 10 2 12 3 3" xfId="2869" xr:uid="{00000000-0005-0000-0000-0000350B0000}"/>
    <cellStyle name="Normal 10 2 10 2 12 3 4" xfId="2870" xr:uid="{00000000-0005-0000-0000-0000360B0000}"/>
    <cellStyle name="Normal 10 2 10 2 12 3 5" xfId="2871" xr:uid="{00000000-0005-0000-0000-0000370B0000}"/>
    <cellStyle name="Normal 10 2 10 2 12 3 6" xfId="2872" xr:uid="{00000000-0005-0000-0000-0000380B0000}"/>
    <cellStyle name="Normal 10 2 10 2 12 3 7" xfId="2873" xr:uid="{00000000-0005-0000-0000-0000390B0000}"/>
    <cellStyle name="Normal 10 2 10 2 12 3 8" xfId="2874" xr:uid="{00000000-0005-0000-0000-00003A0B0000}"/>
    <cellStyle name="Normal 10 2 10 2 12 3 9" xfId="2875" xr:uid="{00000000-0005-0000-0000-00003B0B0000}"/>
    <cellStyle name="Normal 10 2 10 2 12 4" xfId="2876" xr:uid="{00000000-0005-0000-0000-00003C0B0000}"/>
    <cellStyle name="Normal 10 2 10 2 12 4 10" xfId="2877" xr:uid="{00000000-0005-0000-0000-00003D0B0000}"/>
    <cellStyle name="Normal 10 2 10 2 12 4 2" xfId="2878" xr:uid="{00000000-0005-0000-0000-00003E0B0000}"/>
    <cellStyle name="Normal 10 2 10 2 12 4 3" xfId="2879" xr:uid="{00000000-0005-0000-0000-00003F0B0000}"/>
    <cellStyle name="Normal 10 2 10 2 12 4 4" xfId="2880" xr:uid="{00000000-0005-0000-0000-0000400B0000}"/>
    <cellStyle name="Normal 10 2 10 2 12 4 5" xfId="2881" xr:uid="{00000000-0005-0000-0000-0000410B0000}"/>
    <cellStyle name="Normal 10 2 10 2 12 4 6" xfId="2882" xr:uid="{00000000-0005-0000-0000-0000420B0000}"/>
    <cellStyle name="Normal 10 2 10 2 12 4 7" xfId="2883" xr:uid="{00000000-0005-0000-0000-0000430B0000}"/>
    <cellStyle name="Normal 10 2 10 2 12 4 8" xfId="2884" xr:uid="{00000000-0005-0000-0000-0000440B0000}"/>
    <cellStyle name="Normal 10 2 10 2 12 4 9" xfId="2885" xr:uid="{00000000-0005-0000-0000-0000450B0000}"/>
    <cellStyle name="Normal 10 2 10 2 12 5" xfId="2886" xr:uid="{00000000-0005-0000-0000-0000460B0000}"/>
    <cellStyle name="Normal 10 2 10 2 12 5 10" xfId="2887" xr:uid="{00000000-0005-0000-0000-0000470B0000}"/>
    <cellStyle name="Normal 10 2 10 2 12 5 2" xfId="2888" xr:uid="{00000000-0005-0000-0000-0000480B0000}"/>
    <cellStyle name="Normal 10 2 10 2 12 5 3" xfId="2889" xr:uid="{00000000-0005-0000-0000-0000490B0000}"/>
    <cellStyle name="Normal 10 2 10 2 12 5 4" xfId="2890" xr:uid="{00000000-0005-0000-0000-00004A0B0000}"/>
    <cellStyle name="Normal 10 2 10 2 12 5 5" xfId="2891" xr:uid="{00000000-0005-0000-0000-00004B0B0000}"/>
    <cellStyle name="Normal 10 2 10 2 12 5 6" xfId="2892" xr:uid="{00000000-0005-0000-0000-00004C0B0000}"/>
    <cellStyle name="Normal 10 2 10 2 12 5 7" xfId="2893" xr:uid="{00000000-0005-0000-0000-00004D0B0000}"/>
    <cellStyle name="Normal 10 2 10 2 12 5 8" xfId="2894" xr:uid="{00000000-0005-0000-0000-00004E0B0000}"/>
    <cellStyle name="Normal 10 2 10 2 12 5 9" xfId="2895" xr:uid="{00000000-0005-0000-0000-00004F0B0000}"/>
    <cellStyle name="Normal 10 2 10 2 12 6" xfId="2896" xr:uid="{00000000-0005-0000-0000-0000500B0000}"/>
    <cellStyle name="Normal 10 2 10 2 12 7" xfId="2897" xr:uid="{00000000-0005-0000-0000-0000510B0000}"/>
    <cellStyle name="Normal 10 2 10 2 12 8" xfId="2898" xr:uid="{00000000-0005-0000-0000-0000520B0000}"/>
    <cellStyle name="Normal 10 2 10 2 12 9" xfId="2899" xr:uid="{00000000-0005-0000-0000-0000530B0000}"/>
    <cellStyle name="Normal 10 2 10 2 13" xfId="2900" xr:uid="{00000000-0005-0000-0000-0000540B0000}"/>
    <cellStyle name="Normal 10 2 10 2 13 10" xfId="2901" xr:uid="{00000000-0005-0000-0000-0000550B0000}"/>
    <cellStyle name="Normal 10 2 10 2 13 11" xfId="2902" xr:uid="{00000000-0005-0000-0000-0000560B0000}"/>
    <cellStyle name="Normal 10 2 10 2 13 12" xfId="2903" xr:uid="{00000000-0005-0000-0000-0000570B0000}"/>
    <cellStyle name="Normal 10 2 10 2 13 13" xfId="2904" xr:uid="{00000000-0005-0000-0000-0000580B0000}"/>
    <cellStyle name="Normal 10 2 10 2 13 14" xfId="2905" xr:uid="{00000000-0005-0000-0000-0000590B0000}"/>
    <cellStyle name="Normal 10 2 10 2 13 2" xfId="2906" xr:uid="{00000000-0005-0000-0000-00005A0B0000}"/>
    <cellStyle name="Normal 10 2 10 2 13 2 10" xfId="2907" xr:uid="{00000000-0005-0000-0000-00005B0B0000}"/>
    <cellStyle name="Normal 10 2 10 2 13 2 2" xfId="2908" xr:uid="{00000000-0005-0000-0000-00005C0B0000}"/>
    <cellStyle name="Normal 10 2 10 2 13 2 3" xfId="2909" xr:uid="{00000000-0005-0000-0000-00005D0B0000}"/>
    <cellStyle name="Normal 10 2 10 2 13 2 4" xfId="2910" xr:uid="{00000000-0005-0000-0000-00005E0B0000}"/>
    <cellStyle name="Normal 10 2 10 2 13 2 5" xfId="2911" xr:uid="{00000000-0005-0000-0000-00005F0B0000}"/>
    <cellStyle name="Normal 10 2 10 2 13 2 6" xfId="2912" xr:uid="{00000000-0005-0000-0000-0000600B0000}"/>
    <cellStyle name="Normal 10 2 10 2 13 2 7" xfId="2913" xr:uid="{00000000-0005-0000-0000-0000610B0000}"/>
    <cellStyle name="Normal 10 2 10 2 13 2 8" xfId="2914" xr:uid="{00000000-0005-0000-0000-0000620B0000}"/>
    <cellStyle name="Normal 10 2 10 2 13 2 9" xfId="2915" xr:uid="{00000000-0005-0000-0000-0000630B0000}"/>
    <cellStyle name="Normal 10 2 10 2 13 3" xfId="2916" xr:uid="{00000000-0005-0000-0000-0000640B0000}"/>
    <cellStyle name="Normal 10 2 10 2 13 3 10" xfId="2917" xr:uid="{00000000-0005-0000-0000-0000650B0000}"/>
    <cellStyle name="Normal 10 2 10 2 13 3 2" xfId="2918" xr:uid="{00000000-0005-0000-0000-0000660B0000}"/>
    <cellStyle name="Normal 10 2 10 2 13 3 3" xfId="2919" xr:uid="{00000000-0005-0000-0000-0000670B0000}"/>
    <cellStyle name="Normal 10 2 10 2 13 3 4" xfId="2920" xr:uid="{00000000-0005-0000-0000-0000680B0000}"/>
    <cellStyle name="Normal 10 2 10 2 13 3 5" xfId="2921" xr:uid="{00000000-0005-0000-0000-0000690B0000}"/>
    <cellStyle name="Normal 10 2 10 2 13 3 6" xfId="2922" xr:uid="{00000000-0005-0000-0000-00006A0B0000}"/>
    <cellStyle name="Normal 10 2 10 2 13 3 7" xfId="2923" xr:uid="{00000000-0005-0000-0000-00006B0B0000}"/>
    <cellStyle name="Normal 10 2 10 2 13 3 8" xfId="2924" xr:uid="{00000000-0005-0000-0000-00006C0B0000}"/>
    <cellStyle name="Normal 10 2 10 2 13 3 9" xfId="2925" xr:uid="{00000000-0005-0000-0000-00006D0B0000}"/>
    <cellStyle name="Normal 10 2 10 2 13 4" xfId="2926" xr:uid="{00000000-0005-0000-0000-00006E0B0000}"/>
    <cellStyle name="Normal 10 2 10 2 13 4 10" xfId="2927" xr:uid="{00000000-0005-0000-0000-00006F0B0000}"/>
    <cellStyle name="Normal 10 2 10 2 13 4 2" xfId="2928" xr:uid="{00000000-0005-0000-0000-0000700B0000}"/>
    <cellStyle name="Normal 10 2 10 2 13 4 3" xfId="2929" xr:uid="{00000000-0005-0000-0000-0000710B0000}"/>
    <cellStyle name="Normal 10 2 10 2 13 4 4" xfId="2930" xr:uid="{00000000-0005-0000-0000-0000720B0000}"/>
    <cellStyle name="Normal 10 2 10 2 13 4 5" xfId="2931" xr:uid="{00000000-0005-0000-0000-0000730B0000}"/>
    <cellStyle name="Normal 10 2 10 2 13 4 6" xfId="2932" xr:uid="{00000000-0005-0000-0000-0000740B0000}"/>
    <cellStyle name="Normal 10 2 10 2 13 4 7" xfId="2933" xr:uid="{00000000-0005-0000-0000-0000750B0000}"/>
    <cellStyle name="Normal 10 2 10 2 13 4 8" xfId="2934" xr:uid="{00000000-0005-0000-0000-0000760B0000}"/>
    <cellStyle name="Normal 10 2 10 2 13 4 9" xfId="2935" xr:uid="{00000000-0005-0000-0000-0000770B0000}"/>
    <cellStyle name="Normal 10 2 10 2 13 5" xfId="2936" xr:uid="{00000000-0005-0000-0000-0000780B0000}"/>
    <cellStyle name="Normal 10 2 10 2 13 5 10" xfId="2937" xr:uid="{00000000-0005-0000-0000-0000790B0000}"/>
    <cellStyle name="Normal 10 2 10 2 13 5 2" xfId="2938" xr:uid="{00000000-0005-0000-0000-00007A0B0000}"/>
    <cellStyle name="Normal 10 2 10 2 13 5 3" xfId="2939" xr:uid="{00000000-0005-0000-0000-00007B0B0000}"/>
    <cellStyle name="Normal 10 2 10 2 13 5 4" xfId="2940" xr:uid="{00000000-0005-0000-0000-00007C0B0000}"/>
    <cellStyle name="Normal 10 2 10 2 13 5 5" xfId="2941" xr:uid="{00000000-0005-0000-0000-00007D0B0000}"/>
    <cellStyle name="Normal 10 2 10 2 13 5 6" xfId="2942" xr:uid="{00000000-0005-0000-0000-00007E0B0000}"/>
    <cellStyle name="Normal 10 2 10 2 13 5 7" xfId="2943" xr:uid="{00000000-0005-0000-0000-00007F0B0000}"/>
    <cellStyle name="Normal 10 2 10 2 13 5 8" xfId="2944" xr:uid="{00000000-0005-0000-0000-0000800B0000}"/>
    <cellStyle name="Normal 10 2 10 2 13 5 9" xfId="2945" xr:uid="{00000000-0005-0000-0000-0000810B0000}"/>
    <cellStyle name="Normal 10 2 10 2 13 6" xfId="2946" xr:uid="{00000000-0005-0000-0000-0000820B0000}"/>
    <cellStyle name="Normal 10 2 10 2 13 7" xfId="2947" xr:uid="{00000000-0005-0000-0000-0000830B0000}"/>
    <cellStyle name="Normal 10 2 10 2 13 8" xfId="2948" xr:uid="{00000000-0005-0000-0000-0000840B0000}"/>
    <cellStyle name="Normal 10 2 10 2 13 9" xfId="2949" xr:uid="{00000000-0005-0000-0000-0000850B0000}"/>
    <cellStyle name="Normal 10 2 10 2 14" xfId="2950" xr:uid="{00000000-0005-0000-0000-0000860B0000}"/>
    <cellStyle name="Normal 10 2 10 2 14 10" xfId="2951" xr:uid="{00000000-0005-0000-0000-0000870B0000}"/>
    <cellStyle name="Normal 10 2 10 2 14 11" xfId="2952" xr:uid="{00000000-0005-0000-0000-0000880B0000}"/>
    <cellStyle name="Normal 10 2 10 2 14 12" xfId="2953" xr:uid="{00000000-0005-0000-0000-0000890B0000}"/>
    <cellStyle name="Normal 10 2 10 2 14 13" xfId="2954" xr:uid="{00000000-0005-0000-0000-00008A0B0000}"/>
    <cellStyle name="Normal 10 2 10 2 14 14" xfId="2955" xr:uid="{00000000-0005-0000-0000-00008B0B0000}"/>
    <cellStyle name="Normal 10 2 10 2 14 2" xfId="2956" xr:uid="{00000000-0005-0000-0000-00008C0B0000}"/>
    <cellStyle name="Normal 10 2 10 2 14 2 10" xfId="2957" xr:uid="{00000000-0005-0000-0000-00008D0B0000}"/>
    <cellStyle name="Normal 10 2 10 2 14 2 2" xfId="2958" xr:uid="{00000000-0005-0000-0000-00008E0B0000}"/>
    <cellStyle name="Normal 10 2 10 2 14 2 3" xfId="2959" xr:uid="{00000000-0005-0000-0000-00008F0B0000}"/>
    <cellStyle name="Normal 10 2 10 2 14 2 4" xfId="2960" xr:uid="{00000000-0005-0000-0000-0000900B0000}"/>
    <cellStyle name="Normal 10 2 10 2 14 2 5" xfId="2961" xr:uid="{00000000-0005-0000-0000-0000910B0000}"/>
    <cellStyle name="Normal 10 2 10 2 14 2 6" xfId="2962" xr:uid="{00000000-0005-0000-0000-0000920B0000}"/>
    <cellStyle name="Normal 10 2 10 2 14 2 7" xfId="2963" xr:uid="{00000000-0005-0000-0000-0000930B0000}"/>
    <cellStyle name="Normal 10 2 10 2 14 2 8" xfId="2964" xr:uid="{00000000-0005-0000-0000-0000940B0000}"/>
    <cellStyle name="Normal 10 2 10 2 14 2 9" xfId="2965" xr:uid="{00000000-0005-0000-0000-0000950B0000}"/>
    <cellStyle name="Normal 10 2 10 2 14 3" xfId="2966" xr:uid="{00000000-0005-0000-0000-0000960B0000}"/>
    <cellStyle name="Normal 10 2 10 2 14 3 10" xfId="2967" xr:uid="{00000000-0005-0000-0000-0000970B0000}"/>
    <cellStyle name="Normal 10 2 10 2 14 3 2" xfId="2968" xr:uid="{00000000-0005-0000-0000-0000980B0000}"/>
    <cellStyle name="Normal 10 2 10 2 14 3 3" xfId="2969" xr:uid="{00000000-0005-0000-0000-0000990B0000}"/>
    <cellStyle name="Normal 10 2 10 2 14 3 4" xfId="2970" xr:uid="{00000000-0005-0000-0000-00009A0B0000}"/>
    <cellStyle name="Normal 10 2 10 2 14 3 5" xfId="2971" xr:uid="{00000000-0005-0000-0000-00009B0B0000}"/>
    <cellStyle name="Normal 10 2 10 2 14 3 6" xfId="2972" xr:uid="{00000000-0005-0000-0000-00009C0B0000}"/>
    <cellStyle name="Normal 10 2 10 2 14 3 7" xfId="2973" xr:uid="{00000000-0005-0000-0000-00009D0B0000}"/>
    <cellStyle name="Normal 10 2 10 2 14 3 8" xfId="2974" xr:uid="{00000000-0005-0000-0000-00009E0B0000}"/>
    <cellStyle name="Normal 10 2 10 2 14 3 9" xfId="2975" xr:uid="{00000000-0005-0000-0000-00009F0B0000}"/>
    <cellStyle name="Normal 10 2 10 2 14 4" xfId="2976" xr:uid="{00000000-0005-0000-0000-0000A00B0000}"/>
    <cellStyle name="Normal 10 2 10 2 14 4 10" xfId="2977" xr:uid="{00000000-0005-0000-0000-0000A10B0000}"/>
    <cellStyle name="Normal 10 2 10 2 14 4 2" xfId="2978" xr:uid="{00000000-0005-0000-0000-0000A20B0000}"/>
    <cellStyle name="Normal 10 2 10 2 14 4 3" xfId="2979" xr:uid="{00000000-0005-0000-0000-0000A30B0000}"/>
    <cellStyle name="Normal 10 2 10 2 14 4 4" xfId="2980" xr:uid="{00000000-0005-0000-0000-0000A40B0000}"/>
    <cellStyle name="Normal 10 2 10 2 14 4 5" xfId="2981" xr:uid="{00000000-0005-0000-0000-0000A50B0000}"/>
    <cellStyle name="Normal 10 2 10 2 14 4 6" xfId="2982" xr:uid="{00000000-0005-0000-0000-0000A60B0000}"/>
    <cellStyle name="Normal 10 2 10 2 14 4 7" xfId="2983" xr:uid="{00000000-0005-0000-0000-0000A70B0000}"/>
    <cellStyle name="Normal 10 2 10 2 14 4 8" xfId="2984" xr:uid="{00000000-0005-0000-0000-0000A80B0000}"/>
    <cellStyle name="Normal 10 2 10 2 14 4 9" xfId="2985" xr:uid="{00000000-0005-0000-0000-0000A90B0000}"/>
    <cellStyle name="Normal 10 2 10 2 14 5" xfId="2986" xr:uid="{00000000-0005-0000-0000-0000AA0B0000}"/>
    <cellStyle name="Normal 10 2 10 2 14 5 10" xfId="2987" xr:uid="{00000000-0005-0000-0000-0000AB0B0000}"/>
    <cellStyle name="Normal 10 2 10 2 14 5 2" xfId="2988" xr:uid="{00000000-0005-0000-0000-0000AC0B0000}"/>
    <cellStyle name="Normal 10 2 10 2 14 5 3" xfId="2989" xr:uid="{00000000-0005-0000-0000-0000AD0B0000}"/>
    <cellStyle name="Normal 10 2 10 2 14 5 4" xfId="2990" xr:uid="{00000000-0005-0000-0000-0000AE0B0000}"/>
    <cellStyle name="Normal 10 2 10 2 14 5 5" xfId="2991" xr:uid="{00000000-0005-0000-0000-0000AF0B0000}"/>
    <cellStyle name="Normal 10 2 10 2 14 5 6" xfId="2992" xr:uid="{00000000-0005-0000-0000-0000B00B0000}"/>
    <cellStyle name="Normal 10 2 10 2 14 5 7" xfId="2993" xr:uid="{00000000-0005-0000-0000-0000B10B0000}"/>
    <cellStyle name="Normal 10 2 10 2 14 5 8" xfId="2994" xr:uid="{00000000-0005-0000-0000-0000B20B0000}"/>
    <cellStyle name="Normal 10 2 10 2 14 5 9" xfId="2995" xr:uid="{00000000-0005-0000-0000-0000B30B0000}"/>
    <cellStyle name="Normal 10 2 10 2 14 6" xfId="2996" xr:uid="{00000000-0005-0000-0000-0000B40B0000}"/>
    <cellStyle name="Normal 10 2 10 2 14 7" xfId="2997" xr:uid="{00000000-0005-0000-0000-0000B50B0000}"/>
    <cellStyle name="Normal 10 2 10 2 14 8" xfId="2998" xr:uid="{00000000-0005-0000-0000-0000B60B0000}"/>
    <cellStyle name="Normal 10 2 10 2 14 9" xfId="2999" xr:uid="{00000000-0005-0000-0000-0000B70B0000}"/>
    <cellStyle name="Normal 10 2 10 2 15" xfId="3000" xr:uid="{00000000-0005-0000-0000-0000B80B0000}"/>
    <cellStyle name="Normal 10 2 10 2 15 10" xfId="3001" xr:uid="{00000000-0005-0000-0000-0000B90B0000}"/>
    <cellStyle name="Normal 10 2 10 2 15 11" xfId="3002" xr:uid="{00000000-0005-0000-0000-0000BA0B0000}"/>
    <cellStyle name="Normal 10 2 10 2 15 12" xfId="3003" xr:uid="{00000000-0005-0000-0000-0000BB0B0000}"/>
    <cellStyle name="Normal 10 2 10 2 15 13" xfId="3004" xr:uid="{00000000-0005-0000-0000-0000BC0B0000}"/>
    <cellStyle name="Normal 10 2 10 2 15 14" xfId="3005" xr:uid="{00000000-0005-0000-0000-0000BD0B0000}"/>
    <cellStyle name="Normal 10 2 10 2 15 2" xfId="3006" xr:uid="{00000000-0005-0000-0000-0000BE0B0000}"/>
    <cellStyle name="Normal 10 2 10 2 15 2 10" xfId="3007" xr:uid="{00000000-0005-0000-0000-0000BF0B0000}"/>
    <cellStyle name="Normal 10 2 10 2 15 2 2" xfId="3008" xr:uid="{00000000-0005-0000-0000-0000C00B0000}"/>
    <cellStyle name="Normal 10 2 10 2 15 2 3" xfId="3009" xr:uid="{00000000-0005-0000-0000-0000C10B0000}"/>
    <cellStyle name="Normal 10 2 10 2 15 2 4" xfId="3010" xr:uid="{00000000-0005-0000-0000-0000C20B0000}"/>
    <cellStyle name="Normal 10 2 10 2 15 2 5" xfId="3011" xr:uid="{00000000-0005-0000-0000-0000C30B0000}"/>
    <cellStyle name="Normal 10 2 10 2 15 2 6" xfId="3012" xr:uid="{00000000-0005-0000-0000-0000C40B0000}"/>
    <cellStyle name="Normal 10 2 10 2 15 2 7" xfId="3013" xr:uid="{00000000-0005-0000-0000-0000C50B0000}"/>
    <cellStyle name="Normal 10 2 10 2 15 2 8" xfId="3014" xr:uid="{00000000-0005-0000-0000-0000C60B0000}"/>
    <cellStyle name="Normal 10 2 10 2 15 2 9" xfId="3015" xr:uid="{00000000-0005-0000-0000-0000C70B0000}"/>
    <cellStyle name="Normal 10 2 10 2 15 3" xfId="3016" xr:uid="{00000000-0005-0000-0000-0000C80B0000}"/>
    <cellStyle name="Normal 10 2 10 2 15 3 10" xfId="3017" xr:uid="{00000000-0005-0000-0000-0000C90B0000}"/>
    <cellStyle name="Normal 10 2 10 2 15 3 2" xfId="3018" xr:uid="{00000000-0005-0000-0000-0000CA0B0000}"/>
    <cellStyle name="Normal 10 2 10 2 15 3 3" xfId="3019" xr:uid="{00000000-0005-0000-0000-0000CB0B0000}"/>
    <cellStyle name="Normal 10 2 10 2 15 3 4" xfId="3020" xr:uid="{00000000-0005-0000-0000-0000CC0B0000}"/>
    <cellStyle name="Normal 10 2 10 2 15 3 5" xfId="3021" xr:uid="{00000000-0005-0000-0000-0000CD0B0000}"/>
    <cellStyle name="Normal 10 2 10 2 15 3 6" xfId="3022" xr:uid="{00000000-0005-0000-0000-0000CE0B0000}"/>
    <cellStyle name="Normal 10 2 10 2 15 3 7" xfId="3023" xr:uid="{00000000-0005-0000-0000-0000CF0B0000}"/>
    <cellStyle name="Normal 10 2 10 2 15 3 8" xfId="3024" xr:uid="{00000000-0005-0000-0000-0000D00B0000}"/>
    <cellStyle name="Normal 10 2 10 2 15 3 9" xfId="3025" xr:uid="{00000000-0005-0000-0000-0000D10B0000}"/>
    <cellStyle name="Normal 10 2 10 2 15 4" xfId="3026" xr:uid="{00000000-0005-0000-0000-0000D20B0000}"/>
    <cellStyle name="Normal 10 2 10 2 15 4 10" xfId="3027" xr:uid="{00000000-0005-0000-0000-0000D30B0000}"/>
    <cellStyle name="Normal 10 2 10 2 15 4 2" xfId="3028" xr:uid="{00000000-0005-0000-0000-0000D40B0000}"/>
    <cellStyle name="Normal 10 2 10 2 15 4 3" xfId="3029" xr:uid="{00000000-0005-0000-0000-0000D50B0000}"/>
    <cellStyle name="Normal 10 2 10 2 15 4 4" xfId="3030" xr:uid="{00000000-0005-0000-0000-0000D60B0000}"/>
    <cellStyle name="Normal 10 2 10 2 15 4 5" xfId="3031" xr:uid="{00000000-0005-0000-0000-0000D70B0000}"/>
    <cellStyle name="Normal 10 2 10 2 15 4 6" xfId="3032" xr:uid="{00000000-0005-0000-0000-0000D80B0000}"/>
    <cellStyle name="Normal 10 2 10 2 15 4 7" xfId="3033" xr:uid="{00000000-0005-0000-0000-0000D90B0000}"/>
    <cellStyle name="Normal 10 2 10 2 15 4 8" xfId="3034" xr:uid="{00000000-0005-0000-0000-0000DA0B0000}"/>
    <cellStyle name="Normal 10 2 10 2 15 4 9" xfId="3035" xr:uid="{00000000-0005-0000-0000-0000DB0B0000}"/>
    <cellStyle name="Normal 10 2 10 2 15 5" xfId="3036" xr:uid="{00000000-0005-0000-0000-0000DC0B0000}"/>
    <cellStyle name="Normal 10 2 10 2 15 5 10" xfId="3037" xr:uid="{00000000-0005-0000-0000-0000DD0B0000}"/>
    <cellStyle name="Normal 10 2 10 2 15 5 2" xfId="3038" xr:uid="{00000000-0005-0000-0000-0000DE0B0000}"/>
    <cellStyle name="Normal 10 2 10 2 15 5 3" xfId="3039" xr:uid="{00000000-0005-0000-0000-0000DF0B0000}"/>
    <cellStyle name="Normal 10 2 10 2 15 5 4" xfId="3040" xr:uid="{00000000-0005-0000-0000-0000E00B0000}"/>
    <cellStyle name="Normal 10 2 10 2 15 5 5" xfId="3041" xr:uid="{00000000-0005-0000-0000-0000E10B0000}"/>
    <cellStyle name="Normal 10 2 10 2 15 5 6" xfId="3042" xr:uid="{00000000-0005-0000-0000-0000E20B0000}"/>
    <cellStyle name="Normal 10 2 10 2 15 5 7" xfId="3043" xr:uid="{00000000-0005-0000-0000-0000E30B0000}"/>
    <cellStyle name="Normal 10 2 10 2 15 5 8" xfId="3044" xr:uid="{00000000-0005-0000-0000-0000E40B0000}"/>
    <cellStyle name="Normal 10 2 10 2 15 5 9" xfId="3045" xr:uid="{00000000-0005-0000-0000-0000E50B0000}"/>
    <cellStyle name="Normal 10 2 10 2 15 6" xfId="3046" xr:uid="{00000000-0005-0000-0000-0000E60B0000}"/>
    <cellStyle name="Normal 10 2 10 2 15 7" xfId="3047" xr:uid="{00000000-0005-0000-0000-0000E70B0000}"/>
    <cellStyle name="Normal 10 2 10 2 15 8" xfId="3048" xr:uid="{00000000-0005-0000-0000-0000E80B0000}"/>
    <cellStyle name="Normal 10 2 10 2 15 9" xfId="3049" xr:uid="{00000000-0005-0000-0000-0000E90B0000}"/>
    <cellStyle name="Normal 10 2 10 2 16" xfId="3050" xr:uid="{00000000-0005-0000-0000-0000EA0B0000}"/>
    <cellStyle name="Normal 10 2 10 2 16 10" xfId="3051" xr:uid="{00000000-0005-0000-0000-0000EB0B0000}"/>
    <cellStyle name="Normal 10 2 10 2 16 11" xfId="3052" xr:uid="{00000000-0005-0000-0000-0000EC0B0000}"/>
    <cellStyle name="Normal 10 2 10 2 16 12" xfId="3053" xr:uid="{00000000-0005-0000-0000-0000ED0B0000}"/>
    <cellStyle name="Normal 10 2 10 2 16 13" xfId="3054" xr:uid="{00000000-0005-0000-0000-0000EE0B0000}"/>
    <cellStyle name="Normal 10 2 10 2 16 14" xfId="3055" xr:uid="{00000000-0005-0000-0000-0000EF0B0000}"/>
    <cellStyle name="Normal 10 2 10 2 16 2" xfId="3056" xr:uid="{00000000-0005-0000-0000-0000F00B0000}"/>
    <cellStyle name="Normal 10 2 10 2 16 2 10" xfId="3057" xr:uid="{00000000-0005-0000-0000-0000F10B0000}"/>
    <cellStyle name="Normal 10 2 10 2 16 2 2" xfId="3058" xr:uid="{00000000-0005-0000-0000-0000F20B0000}"/>
    <cellStyle name="Normal 10 2 10 2 16 2 3" xfId="3059" xr:uid="{00000000-0005-0000-0000-0000F30B0000}"/>
    <cellStyle name="Normal 10 2 10 2 16 2 4" xfId="3060" xr:uid="{00000000-0005-0000-0000-0000F40B0000}"/>
    <cellStyle name="Normal 10 2 10 2 16 2 5" xfId="3061" xr:uid="{00000000-0005-0000-0000-0000F50B0000}"/>
    <cellStyle name="Normal 10 2 10 2 16 2 6" xfId="3062" xr:uid="{00000000-0005-0000-0000-0000F60B0000}"/>
    <cellStyle name="Normal 10 2 10 2 16 2 7" xfId="3063" xr:uid="{00000000-0005-0000-0000-0000F70B0000}"/>
    <cellStyle name="Normal 10 2 10 2 16 2 8" xfId="3064" xr:uid="{00000000-0005-0000-0000-0000F80B0000}"/>
    <cellStyle name="Normal 10 2 10 2 16 2 9" xfId="3065" xr:uid="{00000000-0005-0000-0000-0000F90B0000}"/>
    <cellStyle name="Normal 10 2 10 2 16 3" xfId="3066" xr:uid="{00000000-0005-0000-0000-0000FA0B0000}"/>
    <cellStyle name="Normal 10 2 10 2 16 3 10" xfId="3067" xr:uid="{00000000-0005-0000-0000-0000FB0B0000}"/>
    <cellStyle name="Normal 10 2 10 2 16 3 2" xfId="3068" xr:uid="{00000000-0005-0000-0000-0000FC0B0000}"/>
    <cellStyle name="Normal 10 2 10 2 16 3 3" xfId="3069" xr:uid="{00000000-0005-0000-0000-0000FD0B0000}"/>
    <cellStyle name="Normal 10 2 10 2 16 3 4" xfId="3070" xr:uid="{00000000-0005-0000-0000-0000FE0B0000}"/>
    <cellStyle name="Normal 10 2 10 2 16 3 5" xfId="3071" xr:uid="{00000000-0005-0000-0000-0000FF0B0000}"/>
    <cellStyle name="Normal 10 2 10 2 16 3 6" xfId="3072" xr:uid="{00000000-0005-0000-0000-0000000C0000}"/>
    <cellStyle name="Normal 10 2 10 2 16 3 7" xfId="3073" xr:uid="{00000000-0005-0000-0000-0000010C0000}"/>
    <cellStyle name="Normal 10 2 10 2 16 3 8" xfId="3074" xr:uid="{00000000-0005-0000-0000-0000020C0000}"/>
    <cellStyle name="Normal 10 2 10 2 16 3 9" xfId="3075" xr:uid="{00000000-0005-0000-0000-0000030C0000}"/>
    <cellStyle name="Normal 10 2 10 2 16 4" xfId="3076" xr:uid="{00000000-0005-0000-0000-0000040C0000}"/>
    <cellStyle name="Normal 10 2 10 2 16 4 10" xfId="3077" xr:uid="{00000000-0005-0000-0000-0000050C0000}"/>
    <cellStyle name="Normal 10 2 10 2 16 4 2" xfId="3078" xr:uid="{00000000-0005-0000-0000-0000060C0000}"/>
    <cellStyle name="Normal 10 2 10 2 16 4 3" xfId="3079" xr:uid="{00000000-0005-0000-0000-0000070C0000}"/>
    <cellStyle name="Normal 10 2 10 2 16 4 4" xfId="3080" xr:uid="{00000000-0005-0000-0000-0000080C0000}"/>
    <cellStyle name="Normal 10 2 10 2 16 4 5" xfId="3081" xr:uid="{00000000-0005-0000-0000-0000090C0000}"/>
    <cellStyle name="Normal 10 2 10 2 16 4 6" xfId="3082" xr:uid="{00000000-0005-0000-0000-00000A0C0000}"/>
    <cellStyle name="Normal 10 2 10 2 16 4 7" xfId="3083" xr:uid="{00000000-0005-0000-0000-00000B0C0000}"/>
    <cellStyle name="Normal 10 2 10 2 16 4 8" xfId="3084" xr:uid="{00000000-0005-0000-0000-00000C0C0000}"/>
    <cellStyle name="Normal 10 2 10 2 16 4 9" xfId="3085" xr:uid="{00000000-0005-0000-0000-00000D0C0000}"/>
    <cellStyle name="Normal 10 2 10 2 16 5" xfId="3086" xr:uid="{00000000-0005-0000-0000-00000E0C0000}"/>
    <cellStyle name="Normal 10 2 10 2 16 5 10" xfId="3087" xr:uid="{00000000-0005-0000-0000-00000F0C0000}"/>
    <cellStyle name="Normal 10 2 10 2 16 5 2" xfId="3088" xr:uid="{00000000-0005-0000-0000-0000100C0000}"/>
    <cellStyle name="Normal 10 2 10 2 16 5 3" xfId="3089" xr:uid="{00000000-0005-0000-0000-0000110C0000}"/>
    <cellStyle name="Normal 10 2 10 2 16 5 4" xfId="3090" xr:uid="{00000000-0005-0000-0000-0000120C0000}"/>
    <cellStyle name="Normal 10 2 10 2 16 5 5" xfId="3091" xr:uid="{00000000-0005-0000-0000-0000130C0000}"/>
    <cellStyle name="Normal 10 2 10 2 16 5 6" xfId="3092" xr:uid="{00000000-0005-0000-0000-0000140C0000}"/>
    <cellStyle name="Normal 10 2 10 2 16 5 7" xfId="3093" xr:uid="{00000000-0005-0000-0000-0000150C0000}"/>
    <cellStyle name="Normal 10 2 10 2 16 5 8" xfId="3094" xr:uid="{00000000-0005-0000-0000-0000160C0000}"/>
    <cellStyle name="Normal 10 2 10 2 16 5 9" xfId="3095" xr:uid="{00000000-0005-0000-0000-0000170C0000}"/>
    <cellStyle name="Normal 10 2 10 2 16 6" xfId="3096" xr:uid="{00000000-0005-0000-0000-0000180C0000}"/>
    <cellStyle name="Normal 10 2 10 2 16 7" xfId="3097" xr:uid="{00000000-0005-0000-0000-0000190C0000}"/>
    <cellStyle name="Normal 10 2 10 2 16 8" xfId="3098" xr:uid="{00000000-0005-0000-0000-00001A0C0000}"/>
    <cellStyle name="Normal 10 2 10 2 16 9" xfId="3099" xr:uid="{00000000-0005-0000-0000-00001B0C0000}"/>
    <cellStyle name="Normal 10 2 10 2 17" xfId="3100" xr:uid="{00000000-0005-0000-0000-00001C0C0000}"/>
    <cellStyle name="Normal 10 2 10 2 17 10" xfId="3101" xr:uid="{00000000-0005-0000-0000-00001D0C0000}"/>
    <cellStyle name="Normal 10 2 10 2 17 11" xfId="3102" xr:uid="{00000000-0005-0000-0000-00001E0C0000}"/>
    <cellStyle name="Normal 10 2 10 2 17 12" xfId="3103" xr:uid="{00000000-0005-0000-0000-00001F0C0000}"/>
    <cellStyle name="Normal 10 2 10 2 17 13" xfId="3104" xr:uid="{00000000-0005-0000-0000-0000200C0000}"/>
    <cellStyle name="Normal 10 2 10 2 17 14" xfId="3105" xr:uid="{00000000-0005-0000-0000-0000210C0000}"/>
    <cellStyle name="Normal 10 2 10 2 17 2" xfId="3106" xr:uid="{00000000-0005-0000-0000-0000220C0000}"/>
    <cellStyle name="Normal 10 2 10 2 17 2 10" xfId="3107" xr:uid="{00000000-0005-0000-0000-0000230C0000}"/>
    <cellStyle name="Normal 10 2 10 2 17 2 2" xfId="3108" xr:uid="{00000000-0005-0000-0000-0000240C0000}"/>
    <cellStyle name="Normal 10 2 10 2 17 2 3" xfId="3109" xr:uid="{00000000-0005-0000-0000-0000250C0000}"/>
    <cellStyle name="Normal 10 2 10 2 17 2 4" xfId="3110" xr:uid="{00000000-0005-0000-0000-0000260C0000}"/>
    <cellStyle name="Normal 10 2 10 2 17 2 5" xfId="3111" xr:uid="{00000000-0005-0000-0000-0000270C0000}"/>
    <cellStyle name="Normal 10 2 10 2 17 2 6" xfId="3112" xr:uid="{00000000-0005-0000-0000-0000280C0000}"/>
    <cellStyle name="Normal 10 2 10 2 17 2 7" xfId="3113" xr:uid="{00000000-0005-0000-0000-0000290C0000}"/>
    <cellStyle name="Normal 10 2 10 2 17 2 8" xfId="3114" xr:uid="{00000000-0005-0000-0000-00002A0C0000}"/>
    <cellStyle name="Normal 10 2 10 2 17 2 9" xfId="3115" xr:uid="{00000000-0005-0000-0000-00002B0C0000}"/>
    <cellStyle name="Normal 10 2 10 2 17 3" xfId="3116" xr:uid="{00000000-0005-0000-0000-00002C0C0000}"/>
    <cellStyle name="Normal 10 2 10 2 17 3 10" xfId="3117" xr:uid="{00000000-0005-0000-0000-00002D0C0000}"/>
    <cellStyle name="Normal 10 2 10 2 17 3 2" xfId="3118" xr:uid="{00000000-0005-0000-0000-00002E0C0000}"/>
    <cellStyle name="Normal 10 2 10 2 17 3 3" xfId="3119" xr:uid="{00000000-0005-0000-0000-00002F0C0000}"/>
    <cellStyle name="Normal 10 2 10 2 17 3 4" xfId="3120" xr:uid="{00000000-0005-0000-0000-0000300C0000}"/>
    <cellStyle name="Normal 10 2 10 2 17 3 5" xfId="3121" xr:uid="{00000000-0005-0000-0000-0000310C0000}"/>
    <cellStyle name="Normal 10 2 10 2 17 3 6" xfId="3122" xr:uid="{00000000-0005-0000-0000-0000320C0000}"/>
    <cellStyle name="Normal 10 2 10 2 17 3 7" xfId="3123" xr:uid="{00000000-0005-0000-0000-0000330C0000}"/>
    <cellStyle name="Normal 10 2 10 2 17 3 8" xfId="3124" xr:uid="{00000000-0005-0000-0000-0000340C0000}"/>
    <cellStyle name="Normal 10 2 10 2 17 3 9" xfId="3125" xr:uid="{00000000-0005-0000-0000-0000350C0000}"/>
    <cellStyle name="Normal 10 2 10 2 17 4" xfId="3126" xr:uid="{00000000-0005-0000-0000-0000360C0000}"/>
    <cellStyle name="Normal 10 2 10 2 17 4 10" xfId="3127" xr:uid="{00000000-0005-0000-0000-0000370C0000}"/>
    <cellStyle name="Normal 10 2 10 2 17 4 2" xfId="3128" xr:uid="{00000000-0005-0000-0000-0000380C0000}"/>
    <cellStyle name="Normal 10 2 10 2 17 4 3" xfId="3129" xr:uid="{00000000-0005-0000-0000-0000390C0000}"/>
    <cellStyle name="Normal 10 2 10 2 17 4 4" xfId="3130" xr:uid="{00000000-0005-0000-0000-00003A0C0000}"/>
    <cellStyle name="Normal 10 2 10 2 17 4 5" xfId="3131" xr:uid="{00000000-0005-0000-0000-00003B0C0000}"/>
    <cellStyle name="Normal 10 2 10 2 17 4 6" xfId="3132" xr:uid="{00000000-0005-0000-0000-00003C0C0000}"/>
    <cellStyle name="Normal 10 2 10 2 17 4 7" xfId="3133" xr:uid="{00000000-0005-0000-0000-00003D0C0000}"/>
    <cellStyle name="Normal 10 2 10 2 17 4 8" xfId="3134" xr:uid="{00000000-0005-0000-0000-00003E0C0000}"/>
    <cellStyle name="Normal 10 2 10 2 17 4 9" xfId="3135" xr:uid="{00000000-0005-0000-0000-00003F0C0000}"/>
    <cellStyle name="Normal 10 2 10 2 17 5" xfId="3136" xr:uid="{00000000-0005-0000-0000-0000400C0000}"/>
    <cellStyle name="Normal 10 2 10 2 17 5 10" xfId="3137" xr:uid="{00000000-0005-0000-0000-0000410C0000}"/>
    <cellStyle name="Normal 10 2 10 2 17 5 2" xfId="3138" xr:uid="{00000000-0005-0000-0000-0000420C0000}"/>
    <cellStyle name="Normal 10 2 10 2 17 5 3" xfId="3139" xr:uid="{00000000-0005-0000-0000-0000430C0000}"/>
    <cellStyle name="Normal 10 2 10 2 17 5 4" xfId="3140" xr:uid="{00000000-0005-0000-0000-0000440C0000}"/>
    <cellStyle name="Normal 10 2 10 2 17 5 5" xfId="3141" xr:uid="{00000000-0005-0000-0000-0000450C0000}"/>
    <cellStyle name="Normal 10 2 10 2 17 5 6" xfId="3142" xr:uid="{00000000-0005-0000-0000-0000460C0000}"/>
    <cellStyle name="Normal 10 2 10 2 17 5 7" xfId="3143" xr:uid="{00000000-0005-0000-0000-0000470C0000}"/>
    <cellStyle name="Normal 10 2 10 2 17 5 8" xfId="3144" xr:uid="{00000000-0005-0000-0000-0000480C0000}"/>
    <cellStyle name="Normal 10 2 10 2 17 5 9" xfId="3145" xr:uid="{00000000-0005-0000-0000-0000490C0000}"/>
    <cellStyle name="Normal 10 2 10 2 17 6" xfId="3146" xr:uid="{00000000-0005-0000-0000-00004A0C0000}"/>
    <cellStyle name="Normal 10 2 10 2 17 7" xfId="3147" xr:uid="{00000000-0005-0000-0000-00004B0C0000}"/>
    <cellStyle name="Normal 10 2 10 2 17 8" xfId="3148" xr:uid="{00000000-0005-0000-0000-00004C0C0000}"/>
    <cellStyle name="Normal 10 2 10 2 17 9" xfId="3149" xr:uid="{00000000-0005-0000-0000-00004D0C0000}"/>
    <cellStyle name="Normal 10 2 10 2 18" xfId="3150" xr:uid="{00000000-0005-0000-0000-00004E0C0000}"/>
    <cellStyle name="Normal 10 2 10 2 18 10" xfId="3151" xr:uid="{00000000-0005-0000-0000-00004F0C0000}"/>
    <cellStyle name="Normal 10 2 10 2 18 11" xfId="3152" xr:uid="{00000000-0005-0000-0000-0000500C0000}"/>
    <cellStyle name="Normal 10 2 10 2 18 12" xfId="3153" xr:uid="{00000000-0005-0000-0000-0000510C0000}"/>
    <cellStyle name="Normal 10 2 10 2 18 13" xfId="3154" xr:uid="{00000000-0005-0000-0000-0000520C0000}"/>
    <cellStyle name="Normal 10 2 10 2 18 14" xfId="3155" xr:uid="{00000000-0005-0000-0000-0000530C0000}"/>
    <cellStyle name="Normal 10 2 10 2 18 2" xfId="3156" xr:uid="{00000000-0005-0000-0000-0000540C0000}"/>
    <cellStyle name="Normal 10 2 10 2 18 2 10" xfId="3157" xr:uid="{00000000-0005-0000-0000-0000550C0000}"/>
    <cellStyle name="Normal 10 2 10 2 18 2 2" xfId="3158" xr:uid="{00000000-0005-0000-0000-0000560C0000}"/>
    <cellStyle name="Normal 10 2 10 2 18 2 3" xfId="3159" xr:uid="{00000000-0005-0000-0000-0000570C0000}"/>
    <cellStyle name="Normal 10 2 10 2 18 2 4" xfId="3160" xr:uid="{00000000-0005-0000-0000-0000580C0000}"/>
    <cellStyle name="Normal 10 2 10 2 18 2 5" xfId="3161" xr:uid="{00000000-0005-0000-0000-0000590C0000}"/>
    <cellStyle name="Normal 10 2 10 2 18 2 6" xfId="3162" xr:uid="{00000000-0005-0000-0000-00005A0C0000}"/>
    <cellStyle name="Normal 10 2 10 2 18 2 7" xfId="3163" xr:uid="{00000000-0005-0000-0000-00005B0C0000}"/>
    <cellStyle name="Normal 10 2 10 2 18 2 8" xfId="3164" xr:uid="{00000000-0005-0000-0000-00005C0C0000}"/>
    <cellStyle name="Normal 10 2 10 2 18 2 9" xfId="3165" xr:uid="{00000000-0005-0000-0000-00005D0C0000}"/>
    <cellStyle name="Normal 10 2 10 2 18 3" xfId="3166" xr:uid="{00000000-0005-0000-0000-00005E0C0000}"/>
    <cellStyle name="Normal 10 2 10 2 18 3 10" xfId="3167" xr:uid="{00000000-0005-0000-0000-00005F0C0000}"/>
    <cellStyle name="Normal 10 2 10 2 18 3 2" xfId="3168" xr:uid="{00000000-0005-0000-0000-0000600C0000}"/>
    <cellStyle name="Normal 10 2 10 2 18 3 3" xfId="3169" xr:uid="{00000000-0005-0000-0000-0000610C0000}"/>
    <cellStyle name="Normal 10 2 10 2 18 3 4" xfId="3170" xr:uid="{00000000-0005-0000-0000-0000620C0000}"/>
    <cellStyle name="Normal 10 2 10 2 18 3 5" xfId="3171" xr:uid="{00000000-0005-0000-0000-0000630C0000}"/>
    <cellStyle name="Normal 10 2 10 2 18 3 6" xfId="3172" xr:uid="{00000000-0005-0000-0000-0000640C0000}"/>
    <cellStyle name="Normal 10 2 10 2 18 3 7" xfId="3173" xr:uid="{00000000-0005-0000-0000-0000650C0000}"/>
    <cellStyle name="Normal 10 2 10 2 18 3 8" xfId="3174" xr:uid="{00000000-0005-0000-0000-0000660C0000}"/>
    <cellStyle name="Normal 10 2 10 2 18 3 9" xfId="3175" xr:uid="{00000000-0005-0000-0000-0000670C0000}"/>
    <cellStyle name="Normal 10 2 10 2 18 4" xfId="3176" xr:uid="{00000000-0005-0000-0000-0000680C0000}"/>
    <cellStyle name="Normal 10 2 10 2 18 4 10" xfId="3177" xr:uid="{00000000-0005-0000-0000-0000690C0000}"/>
    <cellStyle name="Normal 10 2 10 2 18 4 2" xfId="3178" xr:uid="{00000000-0005-0000-0000-00006A0C0000}"/>
    <cellStyle name="Normal 10 2 10 2 18 4 3" xfId="3179" xr:uid="{00000000-0005-0000-0000-00006B0C0000}"/>
    <cellStyle name="Normal 10 2 10 2 18 4 4" xfId="3180" xr:uid="{00000000-0005-0000-0000-00006C0C0000}"/>
    <cellStyle name="Normal 10 2 10 2 18 4 5" xfId="3181" xr:uid="{00000000-0005-0000-0000-00006D0C0000}"/>
    <cellStyle name="Normal 10 2 10 2 18 4 6" xfId="3182" xr:uid="{00000000-0005-0000-0000-00006E0C0000}"/>
    <cellStyle name="Normal 10 2 10 2 18 4 7" xfId="3183" xr:uid="{00000000-0005-0000-0000-00006F0C0000}"/>
    <cellStyle name="Normal 10 2 10 2 18 4 8" xfId="3184" xr:uid="{00000000-0005-0000-0000-0000700C0000}"/>
    <cellStyle name="Normal 10 2 10 2 18 4 9" xfId="3185" xr:uid="{00000000-0005-0000-0000-0000710C0000}"/>
    <cellStyle name="Normal 10 2 10 2 18 5" xfId="3186" xr:uid="{00000000-0005-0000-0000-0000720C0000}"/>
    <cellStyle name="Normal 10 2 10 2 18 5 10" xfId="3187" xr:uid="{00000000-0005-0000-0000-0000730C0000}"/>
    <cellStyle name="Normal 10 2 10 2 18 5 2" xfId="3188" xr:uid="{00000000-0005-0000-0000-0000740C0000}"/>
    <cellStyle name="Normal 10 2 10 2 18 5 3" xfId="3189" xr:uid="{00000000-0005-0000-0000-0000750C0000}"/>
    <cellStyle name="Normal 10 2 10 2 18 5 4" xfId="3190" xr:uid="{00000000-0005-0000-0000-0000760C0000}"/>
    <cellStyle name="Normal 10 2 10 2 18 5 5" xfId="3191" xr:uid="{00000000-0005-0000-0000-0000770C0000}"/>
    <cellStyle name="Normal 10 2 10 2 18 5 6" xfId="3192" xr:uid="{00000000-0005-0000-0000-0000780C0000}"/>
    <cellStyle name="Normal 10 2 10 2 18 5 7" xfId="3193" xr:uid="{00000000-0005-0000-0000-0000790C0000}"/>
    <cellStyle name="Normal 10 2 10 2 18 5 8" xfId="3194" xr:uid="{00000000-0005-0000-0000-00007A0C0000}"/>
    <cellStyle name="Normal 10 2 10 2 18 5 9" xfId="3195" xr:uid="{00000000-0005-0000-0000-00007B0C0000}"/>
    <cellStyle name="Normal 10 2 10 2 18 6" xfId="3196" xr:uid="{00000000-0005-0000-0000-00007C0C0000}"/>
    <cellStyle name="Normal 10 2 10 2 18 7" xfId="3197" xr:uid="{00000000-0005-0000-0000-00007D0C0000}"/>
    <cellStyle name="Normal 10 2 10 2 18 8" xfId="3198" xr:uid="{00000000-0005-0000-0000-00007E0C0000}"/>
    <cellStyle name="Normal 10 2 10 2 18 9" xfId="3199" xr:uid="{00000000-0005-0000-0000-00007F0C0000}"/>
    <cellStyle name="Normal 10 2 10 2 19" xfId="3200" xr:uid="{00000000-0005-0000-0000-0000800C0000}"/>
    <cellStyle name="Normal 10 2 10 2 19 10" xfId="3201" xr:uid="{00000000-0005-0000-0000-0000810C0000}"/>
    <cellStyle name="Normal 10 2 10 2 19 11" xfId="3202" xr:uid="{00000000-0005-0000-0000-0000820C0000}"/>
    <cellStyle name="Normal 10 2 10 2 19 12" xfId="3203" xr:uid="{00000000-0005-0000-0000-0000830C0000}"/>
    <cellStyle name="Normal 10 2 10 2 19 13" xfId="3204" xr:uid="{00000000-0005-0000-0000-0000840C0000}"/>
    <cellStyle name="Normal 10 2 10 2 19 14" xfId="3205" xr:uid="{00000000-0005-0000-0000-0000850C0000}"/>
    <cellStyle name="Normal 10 2 10 2 19 2" xfId="3206" xr:uid="{00000000-0005-0000-0000-0000860C0000}"/>
    <cellStyle name="Normal 10 2 10 2 19 2 10" xfId="3207" xr:uid="{00000000-0005-0000-0000-0000870C0000}"/>
    <cellStyle name="Normal 10 2 10 2 19 2 2" xfId="3208" xr:uid="{00000000-0005-0000-0000-0000880C0000}"/>
    <cellStyle name="Normal 10 2 10 2 19 2 3" xfId="3209" xr:uid="{00000000-0005-0000-0000-0000890C0000}"/>
    <cellStyle name="Normal 10 2 10 2 19 2 4" xfId="3210" xr:uid="{00000000-0005-0000-0000-00008A0C0000}"/>
    <cellStyle name="Normal 10 2 10 2 19 2 5" xfId="3211" xr:uid="{00000000-0005-0000-0000-00008B0C0000}"/>
    <cellStyle name="Normal 10 2 10 2 19 2 6" xfId="3212" xr:uid="{00000000-0005-0000-0000-00008C0C0000}"/>
    <cellStyle name="Normal 10 2 10 2 19 2 7" xfId="3213" xr:uid="{00000000-0005-0000-0000-00008D0C0000}"/>
    <cellStyle name="Normal 10 2 10 2 19 2 8" xfId="3214" xr:uid="{00000000-0005-0000-0000-00008E0C0000}"/>
    <cellStyle name="Normal 10 2 10 2 19 2 9" xfId="3215" xr:uid="{00000000-0005-0000-0000-00008F0C0000}"/>
    <cellStyle name="Normal 10 2 10 2 19 3" xfId="3216" xr:uid="{00000000-0005-0000-0000-0000900C0000}"/>
    <cellStyle name="Normal 10 2 10 2 19 3 10" xfId="3217" xr:uid="{00000000-0005-0000-0000-0000910C0000}"/>
    <cellStyle name="Normal 10 2 10 2 19 3 2" xfId="3218" xr:uid="{00000000-0005-0000-0000-0000920C0000}"/>
    <cellStyle name="Normal 10 2 10 2 19 3 3" xfId="3219" xr:uid="{00000000-0005-0000-0000-0000930C0000}"/>
    <cellStyle name="Normal 10 2 10 2 19 3 4" xfId="3220" xr:uid="{00000000-0005-0000-0000-0000940C0000}"/>
    <cellStyle name="Normal 10 2 10 2 19 3 5" xfId="3221" xr:uid="{00000000-0005-0000-0000-0000950C0000}"/>
    <cellStyle name="Normal 10 2 10 2 19 3 6" xfId="3222" xr:uid="{00000000-0005-0000-0000-0000960C0000}"/>
    <cellStyle name="Normal 10 2 10 2 19 3 7" xfId="3223" xr:uid="{00000000-0005-0000-0000-0000970C0000}"/>
    <cellStyle name="Normal 10 2 10 2 19 3 8" xfId="3224" xr:uid="{00000000-0005-0000-0000-0000980C0000}"/>
    <cellStyle name="Normal 10 2 10 2 19 3 9" xfId="3225" xr:uid="{00000000-0005-0000-0000-0000990C0000}"/>
    <cellStyle name="Normal 10 2 10 2 19 4" xfId="3226" xr:uid="{00000000-0005-0000-0000-00009A0C0000}"/>
    <cellStyle name="Normal 10 2 10 2 19 4 10" xfId="3227" xr:uid="{00000000-0005-0000-0000-00009B0C0000}"/>
    <cellStyle name="Normal 10 2 10 2 19 4 2" xfId="3228" xr:uid="{00000000-0005-0000-0000-00009C0C0000}"/>
    <cellStyle name="Normal 10 2 10 2 19 4 3" xfId="3229" xr:uid="{00000000-0005-0000-0000-00009D0C0000}"/>
    <cellStyle name="Normal 10 2 10 2 19 4 4" xfId="3230" xr:uid="{00000000-0005-0000-0000-00009E0C0000}"/>
    <cellStyle name="Normal 10 2 10 2 19 4 5" xfId="3231" xr:uid="{00000000-0005-0000-0000-00009F0C0000}"/>
    <cellStyle name="Normal 10 2 10 2 19 4 6" xfId="3232" xr:uid="{00000000-0005-0000-0000-0000A00C0000}"/>
    <cellStyle name="Normal 10 2 10 2 19 4 7" xfId="3233" xr:uid="{00000000-0005-0000-0000-0000A10C0000}"/>
    <cellStyle name="Normal 10 2 10 2 19 4 8" xfId="3234" xr:uid="{00000000-0005-0000-0000-0000A20C0000}"/>
    <cellStyle name="Normal 10 2 10 2 19 4 9" xfId="3235" xr:uid="{00000000-0005-0000-0000-0000A30C0000}"/>
    <cellStyle name="Normal 10 2 10 2 19 5" xfId="3236" xr:uid="{00000000-0005-0000-0000-0000A40C0000}"/>
    <cellStyle name="Normal 10 2 10 2 19 5 10" xfId="3237" xr:uid="{00000000-0005-0000-0000-0000A50C0000}"/>
    <cellStyle name="Normal 10 2 10 2 19 5 2" xfId="3238" xr:uid="{00000000-0005-0000-0000-0000A60C0000}"/>
    <cellStyle name="Normal 10 2 10 2 19 5 3" xfId="3239" xr:uid="{00000000-0005-0000-0000-0000A70C0000}"/>
    <cellStyle name="Normal 10 2 10 2 19 5 4" xfId="3240" xr:uid="{00000000-0005-0000-0000-0000A80C0000}"/>
    <cellStyle name="Normal 10 2 10 2 19 5 5" xfId="3241" xr:uid="{00000000-0005-0000-0000-0000A90C0000}"/>
    <cellStyle name="Normal 10 2 10 2 19 5 6" xfId="3242" xr:uid="{00000000-0005-0000-0000-0000AA0C0000}"/>
    <cellStyle name="Normal 10 2 10 2 19 5 7" xfId="3243" xr:uid="{00000000-0005-0000-0000-0000AB0C0000}"/>
    <cellStyle name="Normal 10 2 10 2 19 5 8" xfId="3244" xr:uid="{00000000-0005-0000-0000-0000AC0C0000}"/>
    <cellStyle name="Normal 10 2 10 2 19 5 9" xfId="3245" xr:uid="{00000000-0005-0000-0000-0000AD0C0000}"/>
    <cellStyle name="Normal 10 2 10 2 19 6" xfId="3246" xr:uid="{00000000-0005-0000-0000-0000AE0C0000}"/>
    <cellStyle name="Normal 10 2 10 2 19 7" xfId="3247" xr:uid="{00000000-0005-0000-0000-0000AF0C0000}"/>
    <cellStyle name="Normal 10 2 10 2 19 8" xfId="3248" xr:uid="{00000000-0005-0000-0000-0000B00C0000}"/>
    <cellStyle name="Normal 10 2 10 2 19 9" xfId="3249" xr:uid="{00000000-0005-0000-0000-0000B10C0000}"/>
    <cellStyle name="Normal 10 2 10 2 2" xfId="3250" xr:uid="{00000000-0005-0000-0000-0000B20C0000}"/>
    <cellStyle name="Normal 10 2 10 2 2 10" xfId="3251" xr:uid="{00000000-0005-0000-0000-0000B30C0000}"/>
    <cellStyle name="Normal 10 2 10 2 2 11" xfId="3252" xr:uid="{00000000-0005-0000-0000-0000B40C0000}"/>
    <cellStyle name="Normal 10 2 10 2 2 12" xfId="3253" xr:uid="{00000000-0005-0000-0000-0000B50C0000}"/>
    <cellStyle name="Normal 10 2 10 2 2 13" xfId="3254" xr:uid="{00000000-0005-0000-0000-0000B60C0000}"/>
    <cellStyle name="Normal 10 2 10 2 2 14" xfId="3255" xr:uid="{00000000-0005-0000-0000-0000B70C0000}"/>
    <cellStyle name="Normal 10 2 10 2 2 2" xfId="3256" xr:uid="{00000000-0005-0000-0000-0000B80C0000}"/>
    <cellStyle name="Normal 10 2 10 2 2 2 10" xfId="3257" xr:uid="{00000000-0005-0000-0000-0000B90C0000}"/>
    <cellStyle name="Normal 10 2 10 2 2 2 2" xfId="3258" xr:uid="{00000000-0005-0000-0000-0000BA0C0000}"/>
    <cellStyle name="Normal 10 2 10 2 2 2 3" xfId="3259" xr:uid="{00000000-0005-0000-0000-0000BB0C0000}"/>
    <cellStyle name="Normal 10 2 10 2 2 2 4" xfId="3260" xr:uid="{00000000-0005-0000-0000-0000BC0C0000}"/>
    <cellStyle name="Normal 10 2 10 2 2 2 5" xfId="3261" xr:uid="{00000000-0005-0000-0000-0000BD0C0000}"/>
    <cellStyle name="Normal 10 2 10 2 2 2 6" xfId="3262" xr:uid="{00000000-0005-0000-0000-0000BE0C0000}"/>
    <cellStyle name="Normal 10 2 10 2 2 2 7" xfId="3263" xr:uid="{00000000-0005-0000-0000-0000BF0C0000}"/>
    <cellStyle name="Normal 10 2 10 2 2 2 8" xfId="3264" xr:uid="{00000000-0005-0000-0000-0000C00C0000}"/>
    <cellStyle name="Normal 10 2 10 2 2 2 9" xfId="3265" xr:uid="{00000000-0005-0000-0000-0000C10C0000}"/>
    <cellStyle name="Normal 10 2 10 2 2 3" xfId="3266" xr:uid="{00000000-0005-0000-0000-0000C20C0000}"/>
    <cellStyle name="Normal 10 2 10 2 2 3 10" xfId="3267" xr:uid="{00000000-0005-0000-0000-0000C30C0000}"/>
    <cellStyle name="Normal 10 2 10 2 2 3 2" xfId="3268" xr:uid="{00000000-0005-0000-0000-0000C40C0000}"/>
    <cellStyle name="Normal 10 2 10 2 2 3 3" xfId="3269" xr:uid="{00000000-0005-0000-0000-0000C50C0000}"/>
    <cellStyle name="Normal 10 2 10 2 2 3 4" xfId="3270" xr:uid="{00000000-0005-0000-0000-0000C60C0000}"/>
    <cellStyle name="Normal 10 2 10 2 2 3 5" xfId="3271" xr:uid="{00000000-0005-0000-0000-0000C70C0000}"/>
    <cellStyle name="Normal 10 2 10 2 2 3 6" xfId="3272" xr:uid="{00000000-0005-0000-0000-0000C80C0000}"/>
    <cellStyle name="Normal 10 2 10 2 2 3 7" xfId="3273" xr:uid="{00000000-0005-0000-0000-0000C90C0000}"/>
    <cellStyle name="Normal 10 2 10 2 2 3 8" xfId="3274" xr:uid="{00000000-0005-0000-0000-0000CA0C0000}"/>
    <cellStyle name="Normal 10 2 10 2 2 3 9" xfId="3275" xr:uid="{00000000-0005-0000-0000-0000CB0C0000}"/>
    <cellStyle name="Normal 10 2 10 2 2 4" xfId="3276" xr:uid="{00000000-0005-0000-0000-0000CC0C0000}"/>
    <cellStyle name="Normal 10 2 10 2 2 4 10" xfId="3277" xr:uid="{00000000-0005-0000-0000-0000CD0C0000}"/>
    <cellStyle name="Normal 10 2 10 2 2 4 2" xfId="3278" xr:uid="{00000000-0005-0000-0000-0000CE0C0000}"/>
    <cellStyle name="Normal 10 2 10 2 2 4 3" xfId="3279" xr:uid="{00000000-0005-0000-0000-0000CF0C0000}"/>
    <cellStyle name="Normal 10 2 10 2 2 4 4" xfId="3280" xr:uid="{00000000-0005-0000-0000-0000D00C0000}"/>
    <cellStyle name="Normal 10 2 10 2 2 4 5" xfId="3281" xr:uid="{00000000-0005-0000-0000-0000D10C0000}"/>
    <cellStyle name="Normal 10 2 10 2 2 4 6" xfId="3282" xr:uid="{00000000-0005-0000-0000-0000D20C0000}"/>
    <cellStyle name="Normal 10 2 10 2 2 4 7" xfId="3283" xr:uid="{00000000-0005-0000-0000-0000D30C0000}"/>
    <cellStyle name="Normal 10 2 10 2 2 4 8" xfId="3284" xr:uid="{00000000-0005-0000-0000-0000D40C0000}"/>
    <cellStyle name="Normal 10 2 10 2 2 4 9" xfId="3285" xr:uid="{00000000-0005-0000-0000-0000D50C0000}"/>
    <cellStyle name="Normal 10 2 10 2 2 5" xfId="3286" xr:uid="{00000000-0005-0000-0000-0000D60C0000}"/>
    <cellStyle name="Normal 10 2 10 2 2 5 10" xfId="3287" xr:uid="{00000000-0005-0000-0000-0000D70C0000}"/>
    <cellStyle name="Normal 10 2 10 2 2 5 2" xfId="3288" xr:uid="{00000000-0005-0000-0000-0000D80C0000}"/>
    <cellStyle name="Normal 10 2 10 2 2 5 3" xfId="3289" xr:uid="{00000000-0005-0000-0000-0000D90C0000}"/>
    <cellStyle name="Normal 10 2 10 2 2 5 4" xfId="3290" xr:uid="{00000000-0005-0000-0000-0000DA0C0000}"/>
    <cellStyle name="Normal 10 2 10 2 2 5 5" xfId="3291" xr:uid="{00000000-0005-0000-0000-0000DB0C0000}"/>
    <cellStyle name="Normal 10 2 10 2 2 5 6" xfId="3292" xr:uid="{00000000-0005-0000-0000-0000DC0C0000}"/>
    <cellStyle name="Normal 10 2 10 2 2 5 7" xfId="3293" xr:uid="{00000000-0005-0000-0000-0000DD0C0000}"/>
    <cellStyle name="Normal 10 2 10 2 2 5 8" xfId="3294" xr:uid="{00000000-0005-0000-0000-0000DE0C0000}"/>
    <cellStyle name="Normal 10 2 10 2 2 5 9" xfId="3295" xr:uid="{00000000-0005-0000-0000-0000DF0C0000}"/>
    <cellStyle name="Normal 10 2 10 2 2 6" xfId="3296" xr:uid="{00000000-0005-0000-0000-0000E00C0000}"/>
    <cellStyle name="Normal 10 2 10 2 2 7" xfId="3297" xr:uid="{00000000-0005-0000-0000-0000E10C0000}"/>
    <cellStyle name="Normal 10 2 10 2 2 8" xfId="3298" xr:uid="{00000000-0005-0000-0000-0000E20C0000}"/>
    <cellStyle name="Normal 10 2 10 2 2 9" xfId="3299" xr:uid="{00000000-0005-0000-0000-0000E30C0000}"/>
    <cellStyle name="Normal 10 2 10 2 20" xfId="3300" xr:uid="{00000000-0005-0000-0000-0000E40C0000}"/>
    <cellStyle name="Normal 10 2 10 2 20 10" xfId="3301" xr:uid="{00000000-0005-0000-0000-0000E50C0000}"/>
    <cellStyle name="Normal 10 2 10 2 20 11" xfId="3302" xr:uid="{00000000-0005-0000-0000-0000E60C0000}"/>
    <cellStyle name="Normal 10 2 10 2 20 12" xfId="3303" xr:uid="{00000000-0005-0000-0000-0000E70C0000}"/>
    <cellStyle name="Normal 10 2 10 2 20 13" xfId="3304" xr:uid="{00000000-0005-0000-0000-0000E80C0000}"/>
    <cellStyle name="Normal 10 2 10 2 20 14" xfId="3305" xr:uid="{00000000-0005-0000-0000-0000E90C0000}"/>
    <cellStyle name="Normal 10 2 10 2 20 2" xfId="3306" xr:uid="{00000000-0005-0000-0000-0000EA0C0000}"/>
    <cellStyle name="Normal 10 2 10 2 20 2 10" xfId="3307" xr:uid="{00000000-0005-0000-0000-0000EB0C0000}"/>
    <cellStyle name="Normal 10 2 10 2 20 2 2" xfId="3308" xr:uid="{00000000-0005-0000-0000-0000EC0C0000}"/>
    <cellStyle name="Normal 10 2 10 2 20 2 3" xfId="3309" xr:uid="{00000000-0005-0000-0000-0000ED0C0000}"/>
    <cellStyle name="Normal 10 2 10 2 20 2 4" xfId="3310" xr:uid="{00000000-0005-0000-0000-0000EE0C0000}"/>
    <cellStyle name="Normal 10 2 10 2 20 2 5" xfId="3311" xr:uid="{00000000-0005-0000-0000-0000EF0C0000}"/>
    <cellStyle name="Normal 10 2 10 2 20 2 6" xfId="3312" xr:uid="{00000000-0005-0000-0000-0000F00C0000}"/>
    <cellStyle name="Normal 10 2 10 2 20 2 7" xfId="3313" xr:uid="{00000000-0005-0000-0000-0000F10C0000}"/>
    <cellStyle name="Normal 10 2 10 2 20 2 8" xfId="3314" xr:uid="{00000000-0005-0000-0000-0000F20C0000}"/>
    <cellStyle name="Normal 10 2 10 2 20 2 9" xfId="3315" xr:uid="{00000000-0005-0000-0000-0000F30C0000}"/>
    <cellStyle name="Normal 10 2 10 2 20 3" xfId="3316" xr:uid="{00000000-0005-0000-0000-0000F40C0000}"/>
    <cellStyle name="Normal 10 2 10 2 20 3 10" xfId="3317" xr:uid="{00000000-0005-0000-0000-0000F50C0000}"/>
    <cellStyle name="Normal 10 2 10 2 20 3 2" xfId="3318" xr:uid="{00000000-0005-0000-0000-0000F60C0000}"/>
    <cellStyle name="Normal 10 2 10 2 20 3 3" xfId="3319" xr:uid="{00000000-0005-0000-0000-0000F70C0000}"/>
    <cellStyle name="Normal 10 2 10 2 20 3 4" xfId="3320" xr:uid="{00000000-0005-0000-0000-0000F80C0000}"/>
    <cellStyle name="Normal 10 2 10 2 20 3 5" xfId="3321" xr:uid="{00000000-0005-0000-0000-0000F90C0000}"/>
    <cellStyle name="Normal 10 2 10 2 20 3 6" xfId="3322" xr:uid="{00000000-0005-0000-0000-0000FA0C0000}"/>
    <cellStyle name="Normal 10 2 10 2 20 3 7" xfId="3323" xr:uid="{00000000-0005-0000-0000-0000FB0C0000}"/>
    <cellStyle name="Normal 10 2 10 2 20 3 8" xfId="3324" xr:uid="{00000000-0005-0000-0000-0000FC0C0000}"/>
    <cellStyle name="Normal 10 2 10 2 20 3 9" xfId="3325" xr:uid="{00000000-0005-0000-0000-0000FD0C0000}"/>
    <cellStyle name="Normal 10 2 10 2 20 4" xfId="3326" xr:uid="{00000000-0005-0000-0000-0000FE0C0000}"/>
    <cellStyle name="Normal 10 2 10 2 20 4 10" xfId="3327" xr:uid="{00000000-0005-0000-0000-0000FF0C0000}"/>
    <cellStyle name="Normal 10 2 10 2 20 4 2" xfId="3328" xr:uid="{00000000-0005-0000-0000-0000000D0000}"/>
    <cellStyle name="Normal 10 2 10 2 20 4 3" xfId="3329" xr:uid="{00000000-0005-0000-0000-0000010D0000}"/>
    <cellStyle name="Normal 10 2 10 2 20 4 4" xfId="3330" xr:uid="{00000000-0005-0000-0000-0000020D0000}"/>
    <cellStyle name="Normal 10 2 10 2 20 4 5" xfId="3331" xr:uid="{00000000-0005-0000-0000-0000030D0000}"/>
    <cellStyle name="Normal 10 2 10 2 20 4 6" xfId="3332" xr:uid="{00000000-0005-0000-0000-0000040D0000}"/>
    <cellStyle name="Normal 10 2 10 2 20 4 7" xfId="3333" xr:uid="{00000000-0005-0000-0000-0000050D0000}"/>
    <cellStyle name="Normal 10 2 10 2 20 4 8" xfId="3334" xr:uid="{00000000-0005-0000-0000-0000060D0000}"/>
    <cellStyle name="Normal 10 2 10 2 20 4 9" xfId="3335" xr:uid="{00000000-0005-0000-0000-0000070D0000}"/>
    <cellStyle name="Normal 10 2 10 2 20 5" xfId="3336" xr:uid="{00000000-0005-0000-0000-0000080D0000}"/>
    <cellStyle name="Normal 10 2 10 2 20 5 10" xfId="3337" xr:uid="{00000000-0005-0000-0000-0000090D0000}"/>
    <cellStyle name="Normal 10 2 10 2 20 5 2" xfId="3338" xr:uid="{00000000-0005-0000-0000-00000A0D0000}"/>
    <cellStyle name="Normal 10 2 10 2 20 5 3" xfId="3339" xr:uid="{00000000-0005-0000-0000-00000B0D0000}"/>
    <cellStyle name="Normal 10 2 10 2 20 5 4" xfId="3340" xr:uid="{00000000-0005-0000-0000-00000C0D0000}"/>
    <cellStyle name="Normal 10 2 10 2 20 5 5" xfId="3341" xr:uid="{00000000-0005-0000-0000-00000D0D0000}"/>
    <cellStyle name="Normal 10 2 10 2 20 5 6" xfId="3342" xr:uid="{00000000-0005-0000-0000-00000E0D0000}"/>
    <cellStyle name="Normal 10 2 10 2 20 5 7" xfId="3343" xr:uid="{00000000-0005-0000-0000-00000F0D0000}"/>
    <cellStyle name="Normal 10 2 10 2 20 5 8" xfId="3344" xr:uid="{00000000-0005-0000-0000-0000100D0000}"/>
    <cellStyle name="Normal 10 2 10 2 20 5 9" xfId="3345" xr:uid="{00000000-0005-0000-0000-0000110D0000}"/>
    <cellStyle name="Normal 10 2 10 2 20 6" xfId="3346" xr:uid="{00000000-0005-0000-0000-0000120D0000}"/>
    <cellStyle name="Normal 10 2 10 2 20 7" xfId="3347" xr:uid="{00000000-0005-0000-0000-0000130D0000}"/>
    <cellStyle name="Normal 10 2 10 2 20 8" xfId="3348" xr:uid="{00000000-0005-0000-0000-0000140D0000}"/>
    <cellStyle name="Normal 10 2 10 2 20 9" xfId="3349" xr:uid="{00000000-0005-0000-0000-0000150D0000}"/>
    <cellStyle name="Normal 10 2 10 2 21" xfId="3350" xr:uid="{00000000-0005-0000-0000-0000160D0000}"/>
    <cellStyle name="Normal 10 2 10 2 21 10" xfId="3351" xr:uid="{00000000-0005-0000-0000-0000170D0000}"/>
    <cellStyle name="Normal 10 2 10 2 21 11" xfId="3352" xr:uid="{00000000-0005-0000-0000-0000180D0000}"/>
    <cellStyle name="Normal 10 2 10 2 21 12" xfId="3353" xr:uid="{00000000-0005-0000-0000-0000190D0000}"/>
    <cellStyle name="Normal 10 2 10 2 21 13" xfId="3354" xr:uid="{00000000-0005-0000-0000-00001A0D0000}"/>
    <cellStyle name="Normal 10 2 10 2 21 14" xfId="3355" xr:uid="{00000000-0005-0000-0000-00001B0D0000}"/>
    <cellStyle name="Normal 10 2 10 2 21 2" xfId="3356" xr:uid="{00000000-0005-0000-0000-00001C0D0000}"/>
    <cellStyle name="Normal 10 2 10 2 21 2 10" xfId="3357" xr:uid="{00000000-0005-0000-0000-00001D0D0000}"/>
    <cellStyle name="Normal 10 2 10 2 21 2 2" xfId="3358" xr:uid="{00000000-0005-0000-0000-00001E0D0000}"/>
    <cellStyle name="Normal 10 2 10 2 21 2 3" xfId="3359" xr:uid="{00000000-0005-0000-0000-00001F0D0000}"/>
    <cellStyle name="Normal 10 2 10 2 21 2 4" xfId="3360" xr:uid="{00000000-0005-0000-0000-0000200D0000}"/>
    <cellStyle name="Normal 10 2 10 2 21 2 5" xfId="3361" xr:uid="{00000000-0005-0000-0000-0000210D0000}"/>
    <cellStyle name="Normal 10 2 10 2 21 2 6" xfId="3362" xr:uid="{00000000-0005-0000-0000-0000220D0000}"/>
    <cellStyle name="Normal 10 2 10 2 21 2 7" xfId="3363" xr:uid="{00000000-0005-0000-0000-0000230D0000}"/>
    <cellStyle name="Normal 10 2 10 2 21 2 8" xfId="3364" xr:uid="{00000000-0005-0000-0000-0000240D0000}"/>
    <cellStyle name="Normal 10 2 10 2 21 2 9" xfId="3365" xr:uid="{00000000-0005-0000-0000-0000250D0000}"/>
    <cellStyle name="Normal 10 2 10 2 21 3" xfId="3366" xr:uid="{00000000-0005-0000-0000-0000260D0000}"/>
    <cellStyle name="Normal 10 2 10 2 21 3 10" xfId="3367" xr:uid="{00000000-0005-0000-0000-0000270D0000}"/>
    <cellStyle name="Normal 10 2 10 2 21 3 2" xfId="3368" xr:uid="{00000000-0005-0000-0000-0000280D0000}"/>
    <cellStyle name="Normal 10 2 10 2 21 3 3" xfId="3369" xr:uid="{00000000-0005-0000-0000-0000290D0000}"/>
    <cellStyle name="Normal 10 2 10 2 21 3 4" xfId="3370" xr:uid="{00000000-0005-0000-0000-00002A0D0000}"/>
    <cellStyle name="Normal 10 2 10 2 21 3 5" xfId="3371" xr:uid="{00000000-0005-0000-0000-00002B0D0000}"/>
    <cellStyle name="Normal 10 2 10 2 21 3 6" xfId="3372" xr:uid="{00000000-0005-0000-0000-00002C0D0000}"/>
    <cellStyle name="Normal 10 2 10 2 21 3 7" xfId="3373" xr:uid="{00000000-0005-0000-0000-00002D0D0000}"/>
    <cellStyle name="Normal 10 2 10 2 21 3 8" xfId="3374" xr:uid="{00000000-0005-0000-0000-00002E0D0000}"/>
    <cellStyle name="Normal 10 2 10 2 21 3 9" xfId="3375" xr:uid="{00000000-0005-0000-0000-00002F0D0000}"/>
    <cellStyle name="Normal 10 2 10 2 21 4" xfId="3376" xr:uid="{00000000-0005-0000-0000-0000300D0000}"/>
    <cellStyle name="Normal 10 2 10 2 21 4 10" xfId="3377" xr:uid="{00000000-0005-0000-0000-0000310D0000}"/>
    <cellStyle name="Normal 10 2 10 2 21 4 2" xfId="3378" xr:uid="{00000000-0005-0000-0000-0000320D0000}"/>
    <cellStyle name="Normal 10 2 10 2 21 4 3" xfId="3379" xr:uid="{00000000-0005-0000-0000-0000330D0000}"/>
    <cellStyle name="Normal 10 2 10 2 21 4 4" xfId="3380" xr:uid="{00000000-0005-0000-0000-0000340D0000}"/>
    <cellStyle name="Normal 10 2 10 2 21 4 5" xfId="3381" xr:uid="{00000000-0005-0000-0000-0000350D0000}"/>
    <cellStyle name="Normal 10 2 10 2 21 4 6" xfId="3382" xr:uid="{00000000-0005-0000-0000-0000360D0000}"/>
    <cellStyle name="Normal 10 2 10 2 21 4 7" xfId="3383" xr:uid="{00000000-0005-0000-0000-0000370D0000}"/>
    <cellStyle name="Normal 10 2 10 2 21 4 8" xfId="3384" xr:uid="{00000000-0005-0000-0000-0000380D0000}"/>
    <cellStyle name="Normal 10 2 10 2 21 4 9" xfId="3385" xr:uid="{00000000-0005-0000-0000-0000390D0000}"/>
    <cellStyle name="Normal 10 2 10 2 21 5" xfId="3386" xr:uid="{00000000-0005-0000-0000-00003A0D0000}"/>
    <cellStyle name="Normal 10 2 10 2 21 5 10" xfId="3387" xr:uid="{00000000-0005-0000-0000-00003B0D0000}"/>
    <cellStyle name="Normal 10 2 10 2 21 5 2" xfId="3388" xr:uid="{00000000-0005-0000-0000-00003C0D0000}"/>
    <cellStyle name="Normal 10 2 10 2 21 5 3" xfId="3389" xr:uid="{00000000-0005-0000-0000-00003D0D0000}"/>
    <cellStyle name="Normal 10 2 10 2 21 5 4" xfId="3390" xr:uid="{00000000-0005-0000-0000-00003E0D0000}"/>
    <cellStyle name="Normal 10 2 10 2 21 5 5" xfId="3391" xr:uid="{00000000-0005-0000-0000-00003F0D0000}"/>
    <cellStyle name="Normal 10 2 10 2 21 5 6" xfId="3392" xr:uid="{00000000-0005-0000-0000-0000400D0000}"/>
    <cellStyle name="Normal 10 2 10 2 21 5 7" xfId="3393" xr:uid="{00000000-0005-0000-0000-0000410D0000}"/>
    <cellStyle name="Normal 10 2 10 2 21 5 8" xfId="3394" xr:uid="{00000000-0005-0000-0000-0000420D0000}"/>
    <cellStyle name="Normal 10 2 10 2 21 5 9" xfId="3395" xr:uid="{00000000-0005-0000-0000-0000430D0000}"/>
    <cellStyle name="Normal 10 2 10 2 21 6" xfId="3396" xr:uid="{00000000-0005-0000-0000-0000440D0000}"/>
    <cellStyle name="Normal 10 2 10 2 21 7" xfId="3397" xr:uid="{00000000-0005-0000-0000-0000450D0000}"/>
    <cellStyle name="Normal 10 2 10 2 21 8" xfId="3398" xr:uid="{00000000-0005-0000-0000-0000460D0000}"/>
    <cellStyle name="Normal 10 2 10 2 21 9" xfId="3399" xr:uid="{00000000-0005-0000-0000-0000470D0000}"/>
    <cellStyle name="Normal 10 2 10 2 22" xfId="3400" xr:uid="{00000000-0005-0000-0000-0000480D0000}"/>
    <cellStyle name="Normal 10 2 10 2 22 10" xfId="3401" xr:uid="{00000000-0005-0000-0000-0000490D0000}"/>
    <cellStyle name="Normal 10 2 10 2 22 11" xfId="3402" xr:uid="{00000000-0005-0000-0000-00004A0D0000}"/>
    <cellStyle name="Normal 10 2 10 2 22 12" xfId="3403" xr:uid="{00000000-0005-0000-0000-00004B0D0000}"/>
    <cellStyle name="Normal 10 2 10 2 22 13" xfId="3404" xr:uid="{00000000-0005-0000-0000-00004C0D0000}"/>
    <cellStyle name="Normal 10 2 10 2 22 14" xfId="3405" xr:uid="{00000000-0005-0000-0000-00004D0D0000}"/>
    <cellStyle name="Normal 10 2 10 2 22 2" xfId="3406" xr:uid="{00000000-0005-0000-0000-00004E0D0000}"/>
    <cellStyle name="Normal 10 2 10 2 22 2 10" xfId="3407" xr:uid="{00000000-0005-0000-0000-00004F0D0000}"/>
    <cellStyle name="Normal 10 2 10 2 22 2 2" xfId="3408" xr:uid="{00000000-0005-0000-0000-0000500D0000}"/>
    <cellStyle name="Normal 10 2 10 2 22 2 3" xfId="3409" xr:uid="{00000000-0005-0000-0000-0000510D0000}"/>
    <cellStyle name="Normal 10 2 10 2 22 2 4" xfId="3410" xr:uid="{00000000-0005-0000-0000-0000520D0000}"/>
    <cellStyle name="Normal 10 2 10 2 22 2 5" xfId="3411" xr:uid="{00000000-0005-0000-0000-0000530D0000}"/>
    <cellStyle name="Normal 10 2 10 2 22 2 6" xfId="3412" xr:uid="{00000000-0005-0000-0000-0000540D0000}"/>
    <cellStyle name="Normal 10 2 10 2 22 2 7" xfId="3413" xr:uid="{00000000-0005-0000-0000-0000550D0000}"/>
    <cellStyle name="Normal 10 2 10 2 22 2 8" xfId="3414" xr:uid="{00000000-0005-0000-0000-0000560D0000}"/>
    <cellStyle name="Normal 10 2 10 2 22 2 9" xfId="3415" xr:uid="{00000000-0005-0000-0000-0000570D0000}"/>
    <cellStyle name="Normal 10 2 10 2 22 3" xfId="3416" xr:uid="{00000000-0005-0000-0000-0000580D0000}"/>
    <cellStyle name="Normal 10 2 10 2 22 3 10" xfId="3417" xr:uid="{00000000-0005-0000-0000-0000590D0000}"/>
    <cellStyle name="Normal 10 2 10 2 22 3 2" xfId="3418" xr:uid="{00000000-0005-0000-0000-00005A0D0000}"/>
    <cellStyle name="Normal 10 2 10 2 22 3 3" xfId="3419" xr:uid="{00000000-0005-0000-0000-00005B0D0000}"/>
    <cellStyle name="Normal 10 2 10 2 22 3 4" xfId="3420" xr:uid="{00000000-0005-0000-0000-00005C0D0000}"/>
    <cellStyle name="Normal 10 2 10 2 22 3 5" xfId="3421" xr:uid="{00000000-0005-0000-0000-00005D0D0000}"/>
    <cellStyle name="Normal 10 2 10 2 22 3 6" xfId="3422" xr:uid="{00000000-0005-0000-0000-00005E0D0000}"/>
    <cellStyle name="Normal 10 2 10 2 22 3 7" xfId="3423" xr:uid="{00000000-0005-0000-0000-00005F0D0000}"/>
    <cellStyle name="Normal 10 2 10 2 22 3 8" xfId="3424" xr:uid="{00000000-0005-0000-0000-0000600D0000}"/>
    <cellStyle name="Normal 10 2 10 2 22 3 9" xfId="3425" xr:uid="{00000000-0005-0000-0000-0000610D0000}"/>
    <cellStyle name="Normal 10 2 10 2 22 4" xfId="3426" xr:uid="{00000000-0005-0000-0000-0000620D0000}"/>
    <cellStyle name="Normal 10 2 10 2 22 4 10" xfId="3427" xr:uid="{00000000-0005-0000-0000-0000630D0000}"/>
    <cellStyle name="Normal 10 2 10 2 22 4 2" xfId="3428" xr:uid="{00000000-0005-0000-0000-0000640D0000}"/>
    <cellStyle name="Normal 10 2 10 2 22 4 3" xfId="3429" xr:uid="{00000000-0005-0000-0000-0000650D0000}"/>
    <cellStyle name="Normal 10 2 10 2 22 4 4" xfId="3430" xr:uid="{00000000-0005-0000-0000-0000660D0000}"/>
    <cellStyle name="Normal 10 2 10 2 22 4 5" xfId="3431" xr:uid="{00000000-0005-0000-0000-0000670D0000}"/>
    <cellStyle name="Normal 10 2 10 2 22 4 6" xfId="3432" xr:uid="{00000000-0005-0000-0000-0000680D0000}"/>
    <cellStyle name="Normal 10 2 10 2 22 4 7" xfId="3433" xr:uid="{00000000-0005-0000-0000-0000690D0000}"/>
    <cellStyle name="Normal 10 2 10 2 22 4 8" xfId="3434" xr:uid="{00000000-0005-0000-0000-00006A0D0000}"/>
    <cellStyle name="Normal 10 2 10 2 22 4 9" xfId="3435" xr:uid="{00000000-0005-0000-0000-00006B0D0000}"/>
    <cellStyle name="Normal 10 2 10 2 22 5" xfId="3436" xr:uid="{00000000-0005-0000-0000-00006C0D0000}"/>
    <cellStyle name="Normal 10 2 10 2 22 5 10" xfId="3437" xr:uid="{00000000-0005-0000-0000-00006D0D0000}"/>
    <cellStyle name="Normal 10 2 10 2 22 5 2" xfId="3438" xr:uid="{00000000-0005-0000-0000-00006E0D0000}"/>
    <cellStyle name="Normal 10 2 10 2 22 5 3" xfId="3439" xr:uid="{00000000-0005-0000-0000-00006F0D0000}"/>
    <cellStyle name="Normal 10 2 10 2 22 5 4" xfId="3440" xr:uid="{00000000-0005-0000-0000-0000700D0000}"/>
    <cellStyle name="Normal 10 2 10 2 22 5 5" xfId="3441" xr:uid="{00000000-0005-0000-0000-0000710D0000}"/>
    <cellStyle name="Normal 10 2 10 2 22 5 6" xfId="3442" xr:uid="{00000000-0005-0000-0000-0000720D0000}"/>
    <cellStyle name="Normal 10 2 10 2 22 5 7" xfId="3443" xr:uid="{00000000-0005-0000-0000-0000730D0000}"/>
    <cellStyle name="Normal 10 2 10 2 22 5 8" xfId="3444" xr:uid="{00000000-0005-0000-0000-0000740D0000}"/>
    <cellStyle name="Normal 10 2 10 2 22 5 9" xfId="3445" xr:uid="{00000000-0005-0000-0000-0000750D0000}"/>
    <cellStyle name="Normal 10 2 10 2 22 6" xfId="3446" xr:uid="{00000000-0005-0000-0000-0000760D0000}"/>
    <cellStyle name="Normal 10 2 10 2 22 7" xfId="3447" xr:uid="{00000000-0005-0000-0000-0000770D0000}"/>
    <cellStyle name="Normal 10 2 10 2 22 8" xfId="3448" xr:uid="{00000000-0005-0000-0000-0000780D0000}"/>
    <cellStyle name="Normal 10 2 10 2 22 9" xfId="3449" xr:uid="{00000000-0005-0000-0000-0000790D0000}"/>
    <cellStyle name="Normal 10 2 10 2 23" xfId="3450" xr:uid="{00000000-0005-0000-0000-00007A0D0000}"/>
    <cellStyle name="Normal 10 2 10 2 23 10" xfId="3451" xr:uid="{00000000-0005-0000-0000-00007B0D0000}"/>
    <cellStyle name="Normal 10 2 10 2 23 11" xfId="3452" xr:uid="{00000000-0005-0000-0000-00007C0D0000}"/>
    <cellStyle name="Normal 10 2 10 2 23 12" xfId="3453" xr:uid="{00000000-0005-0000-0000-00007D0D0000}"/>
    <cellStyle name="Normal 10 2 10 2 23 13" xfId="3454" xr:uid="{00000000-0005-0000-0000-00007E0D0000}"/>
    <cellStyle name="Normal 10 2 10 2 23 14" xfId="3455" xr:uid="{00000000-0005-0000-0000-00007F0D0000}"/>
    <cellStyle name="Normal 10 2 10 2 23 2" xfId="3456" xr:uid="{00000000-0005-0000-0000-0000800D0000}"/>
    <cellStyle name="Normal 10 2 10 2 23 2 10" xfId="3457" xr:uid="{00000000-0005-0000-0000-0000810D0000}"/>
    <cellStyle name="Normal 10 2 10 2 23 2 2" xfId="3458" xr:uid="{00000000-0005-0000-0000-0000820D0000}"/>
    <cellStyle name="Normal 10 2 10 2 23 2 3" xfId="3459" xr:uid="{00000000-0005-0000-0000-0000830D0000}"/>
    <cellStyle name="Normal 10 2 10 2 23 2 4" xfId="3460" xr:uid="{00000000-0005-0000-0000-0000840D0000}"/>
    <cellStyle name="Normal 10 2 10 2 23 2 5" xfId="3461" xr:uid="{00000000-0005-0000-0000-0000850D0000}"/>
    <cellStyle name="Normal 10 2 10 2 23 2 6" xfId="3462" xr:uid="{00000000-0005-0000-0000-0000860D0000}"/>
    <cellStyle name="Normal 10 2 10 2 23 2 7" xfId="3463" xr:uid="{00000000-0005-0000-0000-0000870D0000}"/>
    <cellStyle name="Normal 10 2 10 2 23 2 8" xfId="3464" xr:uid="{00000000-0005-0000-0000-0000880D0000}"/>
    <cellStyle name="Normal 10 2 10 2 23 2 9" xfId="3465" xr:uid="{00000000-0005-0000-0000-0000890D0000}"/>
    <cellStyle name="Normal 10 2 10 2 23 3" xfId="3466" xr:uid="{00000000-0005-0000-0000-00008A0D0000}"/>
    <cellStyle name="Normal 10 2 10 2 23 3 10" xfId="3467" xr:uid="{00000000-0005-0000-0000-00008B0D0000}"/>
    <cellStyle name="Normal 10 2 10 2 23 3 2" xfId="3468" xr:uid="{00000000-0005-0000-0000-00008C0D0000}"/>
    <cellStyle name="Normal 10 2 10 2 23 3 3" xfId="3469" xr:uid="{00000000-0005-0000-0000-00008D0D0000}"/>
    <cellStyle name="Normal 10 2 10 2 23 3 4" xfId="3470" xr:uid="{00000000-0005-0000-0000-00008E0D0000}"/>
    <cellStyle name="Normal 10 2 10 2 23 3 5" xfId="3471" xr:uid="{00000000-0005-0000-0000-00008F0D0000}"/>
    <cellStyle name="Normal 10 2 10 2 23 3 6" xfId="3472" xr:uid="{00000000-0005-0000-0000-0000900D0000}"/>
    <cellStyle name="Normal 10 2 10 2 23 3 7" xfId="3473" xr:uid="{00000000-0005-0000-0000-0000910D0000}"/>
    <cellStyle name="Normal 10 2 10 2 23 3 8" xfId="3474" xr:uid="{00000000-0005-0000-0000-0000920D0000}"/>
    <cellStyle name="Normal 10 2 10 2 23 3 9" xfId="3475" xr:uid="{00000000-0005-0000-0000-0000930D0000}"/>
    <cellStyle name="Normal 10 2 10 2 23 4" xfId="3476" xr:uid="{00000000-0005-0000-0000-0000940D0000}"/>
    <cellStyle name="Normal 10 2 10 2 23 4 10" xfId="3477" xr:uid="{00000000-0005-0000-0000-0000950D0000}"/>
    <cellStyle name="Normal 10 2 10 2 23 4 2" xfId="3478" xr:uid="{00000000-0005-0000-0000-0000960D0000}"/>
    <cellStyle name="Normal 10 2 10 2 23 4 3" xfId="3479" xr:uid="{00000000-0005-0000-0000-0000970D0000}"/>
    <cellStyle name="Normal 10 2 10 2 23 4 4" xfId="3480" xr:uid="{00000000-0005-0000-0000-0000980D0000}"/>
    <cellStyle name="Normal 10 2 10 2 23 4 5" xfId="3481" xr:uid="{00000000-0005-0000-0000-0000990D0000}"/>
    <cellStyle name="Normal 10 2 10 2 23 4 6" xfId="3482" xr:uid="{00000000-0005-0000-0000-00009A0D0000}"/>
    <cellStyle name="Normal 10 2 10 2 23 4 7" xfId="3483" xr:uid="{00000000-0005-0000-0000-00009B0D0000}"/>
    <cellStyle name="Normal 10 2 10 2 23 4 8" xfId="3484" xr:uid="{00000000-0005-0000-0000-00009C0D0000}"/>
    <cellStyle name="Normal 10 2 10 2 23 4 9" xfId="3485" xr:uid="{00000000-0005-0000-0000-00009D0D0000}"/>
    <cellStyle name="Normal 10 2 10 2 23 5" xfId="3486" xr:uid="{00000000-0005-0000-0000-00009E0D0000}"/>
    <cellStyle name="Normal 10 2 10 2 23 5 10" xfId="3487" xr:uid="{00000000-0005-0000-0000-00009F0D0000}"/>
    <cellStyle name="Normal 10 2 10 2 23 5 2" xfId="3488" xr:uid="{00000000-0005-0000-0000-0000A00D0000}"/>
    <cellStyle name="Normal 10 2 10 2 23 5 3" xfId="3489" xr:uid="{00000000-0005-0000-0000-0000A10D0000}"/>
    <cellStyle name="Normal 10 2 10 2 23 5 4" xfId="3490" xr:uid="{00000000-0005-0000-0000-0000A20D0000}"/>
    <cellStyle name="Normal 10 2 10 2 23 5 5" xfId="3491" xr:uid="{00000000-0005-0000-0000-0000A30D0000}"/>
    <cellStyle name="Normal 10 2 10 2 23 5 6" xfId="3492" xr:uid="{00000000-0005-0000-0000-0000A40D0000}"/>
    <cellStyle name="Normal 10 2 10 2 23 5 7" xfId="3493" xr:uid="{00000000-0005-0000-0000-0000A50D0000}"/>
    <cellStyle name="Normal 10 2 10 2 23 5 8" xfId="3494" xr:uid="{00000000-0005-0000-0000-0000A60D0000}"/>
    <cellStyle name="Normal 10 2 10 2 23 5 9" xfId="3495" xr:uid="{00000000-0005-0000-0000-0000A70D0000}"/>
    <cellStyle name="Normal 10 2 10 2 23 6" xfId="3496" xr:uid="{00000000-0005-0000-0000-0000A80D0000}"/>
    <cellStyle name="Normal 10 2 10 2 23 7" xfId="3497" xr:uid="{00000000-0005-0000-0000-0000A90D0000}"/>
    <cellStyle name="Normal 10 2 10 2 23 8" xfId="3498" xr:uid="{00000000-0005-0000-0000-0000AA0D0000}"/>
    <cellStyle name="Normal 10 2 10 2 23 9" xfId="3499" xr:uid="{00000000-0005-0000-0000-0000AB0D0000}"/>
    <cellStyle name="Normal 10 2 10 2 24" xfId="3500" xr:uid="{00000000-0005-0000-0000-0000AC0D0000}"/>
    <cellStyle name="Normal 10 2 10 2 24 10" xfId="3501" xr:uid="{00000000-0005-0000-0000-0000AD0D0000}"/>
    <cellStyle name="Normal 10 2 10 2 24 11" xfId="3502" xr:uid="{00000000-0005-0000-0000-0000AE0D0000}"/>
    <cellStyle name="Normal 10 2 10 2 24 12" xfId="3503" xr:uid="{00000000-0005-0000-0000-0000AF0D0000}"/>
    <cellStyle name="Normal 10 2 10 2 24 13" xfId="3504" xr:uid="{00000000-0005-0000-0000-0000B00D0000}"/>
    <cellStyle name="Normal 10 2 10 2 24 14" xfId="3505" xr:uid="{00000000-0005-0000-0000-0000B10D0000}"/>
    <cellStyle name="Normal 10 2 10 2 24 2" xfId="3506" xr:uid="{00000000-0005-0000-0000-0000B20D0000}"/>
    <cellStyle name="Normal 10 2 10 2 24 2 10" xfId="3507" xr:uid="{00000000-0005-0000-0000-0000B30D0000}"/>
    <cellStyle name="Normal 10 2 10 2 24 2 2" xfId="3508" xr:uid="{00000000-0005-0000-0000-0000B40D0000}"/>
    <cellStyle name="Normal 10 2 10 2 24 2 3" xfId="3509" xr:uid="{00000000-0005-0000-0000-0000B50D0000}"/>
    <cellStyle name="Normal 10 2 10 2 24 2 4" xfId="3510" xr:uid="{00000000-0005-0000-0000-0000B60D0000}"/>
    <cellStyle name="Normal 10 2 10 2 24 2 5" xfId="3511" xr:uid="{00000000-0005-0000-0000-0000B70D0000}"/>
    <cellStyle name="Normal 10 2 10 2 24 2 6" xfId="3512" xr:uid="{00000000-0005-0000-0000-0000B80D0000}"/>
    <cellStyle name="Normal 10 2 10 2 24 2 7" xfId="3513" xr:uid="{00000000-0005-0000-0000-0000B90D0000}"/>
    <cellStyle name="Normal 10 2 10 2 24 2 8" xfId="3514" xr:uid="{00000000-0005-0000-0000-0000BA0D0000}"/>
    <cellStyle name="Normal 10 2 10 2 24 2 9" xfId="3515" xr:uid="{00000000-0005-0000-0000-0000BB0D0000}"/>
    <cellStyle name="Normal 10 2 10 2 24 3" xfId="3516" xr:uid="{00000000-0005-0000-0000-0000BC0D0000}"/>
    <cellStyle name="Normal 10 2 10 2 24 3 10" xfId="3517" xr:uid="{00000000-0005-0000-0000-0000BD0D0000}"/>
    <cellStyle name="Normal 10 2 10 2 24 3 2" xfId="3518" xr:uid="{00000000-0005-0000-0000-0000BE0D0000}"/>
    <cellStyle name="Normal 10 2 10 2 24 3 3" xfId="3519" xr:uid="{00000000-0005-0000-0000-0000BF0D0000}"/>
    <cellStyle name="Normal 10 2 10 2 24 3 4" xfId="3520" xr:uid="{00000000-0005-0000-0000-0000C00D0000}"/>
    <cellStyle name="Normal 10 2 10 2 24 3 5" xfId="3521" xr:uid="{00000000-0005-0000-0000-0000C10D0000}"/>
    <cellStyle name="Normal 10 2 10 2 24 3 6" xfId="3522" xr:uid="{00000000-0005-0000-0000-0000C20D0000}"/>
    <cellStyle name="Normal 10 2 10 2 24 3 7" xfId="3523" xr:uid="{00000000-0005-0000-0000-0000C30D0000}"/>
    <cellStyle name="Normal 10 2 10 2 24 3 8" xfId="3524" xr:uid="{00000000-0005-0000-0000-0000C40D0000}"/>
    <cellStyle name="Normal 10 2 10 2 24 3 9" xfId="3525" xr:uid="{00000000-0005-0000-0000-0000C50D0000}"/>
    <cellStyle name="Normal 10 2 10 2 24 4" xfId="3526" xr:uid="{00000000-0005-0000-0000-0000C60D0000}"/>
    <cellStyle name="Normal 10 2 10 2 24 4 10" xfId="3527" xr:uid="{00000000-0005-0000-0000-0000C70D0000}"/>
    <cellStyle name="Normal 10 2 10 2 24 4 2" xfId="3528" xr:uid="{00000000-0005-0000-0000-0000C80D0000}"/>
    <cellStyle name="Normal 10 2 10 2 24 4 3" xfId="3529" xr:uid="{00000000-0005-0000-0000-0000C90D0000}"/>
    <cellStyle name="Normal 10 2 10 2 24 4 4" xfId="3530" xr:uid="{00000000-0005-0000-0000-0000CA0D0000}"/>
    <cellStyle name="Normal 10 2 10 2 24 4 5" xfId="3531" xr:uid="{00000000-0005-0000-0000-0000CB0D0000}"/>
    <cellStyle name="Normal 10 2 10 2 24 4 6" xfId="3532" xr:uid="{00000000-0005-0000-0000-0000CC0D0000}"/>
    <cellStyle name="Normal 10 2 10 2 24 4 7" xfId="3533" xr:uid="{00000000-0005-0000-0000-0000CD0D0000}"/>
    <cellStyle name="Normal 10 2 10 2 24 4 8" xfId="3534" xr:uid="{00000000-0005-0000-0000-0000CE0D0000}"/>
    <cellStyle name="Normal 10 2 10 2 24 4 9" xfId="3535" xr:uid="{00000000-0005-0000-0000-0000CF0D0000}"/>
    <cellStyle name="Normal 10 2 10 2 24 5" xfId="3536" xr:uid="{00000000-0005-0000-0000-0000D00D0000}"/>
    <cellStyle name="Normal 10 2 10 2 24 5 10" xfId="3537" xr:uid="{00000000-0005-0000-0000-0000D10D0000}"/>
    <cellStyle name="Normal 10 2 10 2 24 5 2" xfId="3538" xr:uid="{00000000-0005-0000-0000-0000D20D0000}"/>
    <cellStyle name="Normal 10 2 10 2 24 5 3" xfId="3539" xr:uid="{00000000-0005-0000-0000-0000D30D0000}"/>
    <cellStyle name="Normal 10 2 10 2 24 5 4" xfId="3540" xr:uid="{00000000-0005-0000-0000-0000D40D0000}"/>
    <cellStyle name="Normal 10 2 10 2 24 5 5" xfId="3541" xr:uid="{00000000-0005-0000-0000-0000D50D0000}"/>
    <cellStyle name="Normal 10 2 10 2 24 5 6" xfId="3542" xr:uid="{00000000-0005-0000-0000-0000D60D0000}"/>
    <cellStyle name="Normal 10 2 10 2 24 5 7" xfId="3543" xr:uid="{00000000-0005-0000-0000-0000D70D0000}"/>
    <cellStyle name="Normal 10 2 10 2 24 5 8" xfId="3544" xr:uid="{00000000-0005-0000-0000-0000D80D0000}"/>
    <cellStyle name="Normal 10 2 10 2 24 5 9" xfId="3545" xr:uid="{00000000-0005-0000-0000-0000D90D0000}"/>
    <cellStyle name="Normal 10 2 10 2 24 6" xfId="3546" xr:uid="{00000000-0005-0000-0000-0000DA0D0000}"/>
    <cellStyle name="Normal 10 2 10 2 24 7" xfId="3547" xr:uid="{00000000-0005-0000-0000-0000DB0D0000}"/>
    <cellStyle name="Normal 10 2 10 2 24 8" xfId="3548" xr:uid="{00000000-0005-0000-0000-0000DC0D0000}"/>
    <cellStyle name="Normal 10 2 10 2 24 9" xfId="3549" xr:uid="{00000000-0005-0000-0000-0000DD0D0000}"/>
    <cellStyle name="Normal 10 2 10 2 25" xfId="3550" xr:uid="{00000000-0005-0000-0000-0000DE0D0000}"/>
    <cellStyle name="Normal 10 2 10 2 25 10" xfId="3551" xr:uid="{00000000-0005-0000-0000-0000DF0D0000}"/>
    <cellStyle name="Normal 10 2 10 2 25 11" xfId="3552" xr:uid="{00000000-0005-0000-0000-0000E00D0000}"/>
    <cellStyle name="Normal 10 2 10 2 25 12" xfId="3553" xr:uid="{00000000-0005-0000-0000-0000E10D0000}"/>
    <cellStyle name="Normal 10 2 10 2 25 13" xfId="3554" xr:uid="{00000000-0005-0000-0000-0000E20D0000}"/>
    <cellStyle name="Normal 10 2 10 2 25 14" xfId="3555" xr:uid="{00000000-0005-0000-0000-0000E30D0000}"/>
    <cellStyle name="Normal 10 2 10 2 25 2" xfId="3556" xr:uid="{00000000-0005-0000-0000-0000E40D0000}"/>
    <cellStyle name="Normal 10 2 10 2 25 2 10" xfId="3557" xr:uid="{00000000-0005-0000-0000-0000E50D0000}"/>
    <cellStyle name="Normal 10 2 10 2 25 2 2" xfId="3558" xr:uid="{00000000-0005-0000-0000-0000E60D0000}"/>
    <cellStyle name="Normal 10 2 10 2 25 2 3" xfId="3559" xr:uid="{00000000-0005-0000-0000-0000E70D0000}"/>
    <cellStyle name="Normal 10 2 10 2 25 2 4" xfId="3560" xr:uid="{00000000-0005-0000-0000-0000E80D0000}"/>
    <cellStyle name="Normal 10 2 10 2 25 2 5" xfId="3561" xr:uid="{00000000-0005-0000-0000-0000E90D0000}"/>
    <cellStyle name="Normal 10 2 10 2 25 2 6" xfId="3562" xr:uid="{00000000-0005-0000-0000-0000EA0D0000}"/>
    <cellStyle name="Normal 10 2 10 2 25 2 7" xfId="3563" xr:uid="{00000000-0005-0000-0000-0000EB0D0000}"/>
    <cellStyle name="Normal 10 2 10 2 25 2 8" xfId="3564" xr:uid="{00000000-0005-0000-0000-0000EC0D0000}"/>
    <cellStyle name="Normal 10 2 10 2 25 2 9" xfId="3565" xr:uid="{00000000-0005-0000-0000-0000ED0D0000}"/>
    <cellStyle name="Normal 10 2 10 2 25 3" xfId="3566" xr:uid="{00000000-0005-0000-0000-0000EE0D0000}"/>
    <cellStyle name="Normal 10 2 10 2 25 3 10" xfId="3567" xr:uid="{00000000-0005-0000-0000-0000EF0D0000}"/>
    <cellStyle name="Normal 10 2 10 2 25 3 2" xfId="3568" xr:uid="{00000000-0005-0000-0000-0000F00D0000}"/>
    <cellStyle name="Normal 10 2 10 2 25 3 3" xfId="3569" xr:uid="{00000000-0005-0000-0000-0000F10D0000}"/>
    <cellStyle name="Normal 10 2 10 2 25 3 4" xfId="3570" xr:uid="{00000000-0005-0000-0000-0000F20D0000}"/>
    <cellStyle name="Normal 10 2 10 2 25 3 5" xfId="3571" xr:uid="{00000000-0005-0000-0000-0000F30D0000}"/>
    <cellStyle name="Normal 10 2 10 2 25 3 6" xfId="3572" xr:uid="{00000000-0005-0000-0000-0000F40D0000}"/>
    <cellStyle name="Normal 10 2 10 2 25 3 7" xfId="3573" xr:uid="{00000000-0005-0000-0000-0000F50D0000}"/>
    <cellStyle name="Normal 10 2 10 2 25 3 8" xfId="3574" xr:uid="{00000000-0005-0000-0000-0000F60D0000}"/>
    <cellStyle name="Normal 10 2 10 2 25 3 9" xfId="3575" xr:uid="{00000000-0005-0000-0000-0000F70D0000}"/>
    <cellStyle name="Normal 10 2 10 2 25 4" xfId="3576" xr:uid="{00000000-0005-0000-0000-0000F80D0000}"/>
    <cellStyle name="Normal 10 2 10 2 25 4 10" xfId="3577" xr:uid="{00000000-0005-0000-0000-0000F90D0000}"/>
    <cellStyle name="Normal 10 2 10 2 25 4 2" xfId="3578" xr:uid="{00000000-0005-0000-0000-0000FA0D0000}"/>
    <cellStyle name="Normal 10 2 10 2 25 4 3" xfId="3579" xr:uid="{00000000-0005-0000-0000-0000FB0D0000}"/>
    <cellStyle name="Normal 10 2 10 2 25 4 4" xfId="3580" xr:uid="{00000000-0005-0000-0000-0000FC0D0000}"/>
    <cellStyle name="Normal 10 2 10 2 25 4 5" xfId="3581" xr:uid="{00000000-0005-0000-0000-0000FD0D0000}"/>
    <cellStyle name="Normal 10 2 10 2 25 4 6" xfId="3582" xr:uid="{00000000-0005-0000-0000-0000FE0D0000}"/>
    <cellStyle name="Normal 10 2 10 2 25 4 7" xfId="3583" xr:uid="{00000000-0005-0000-0000-0000FF0D0000}"/>
    <cellStyle name="Normal 10 2 10 2 25 4 8" xfId="3584" xr:uid="{00000000-0005-0000-0000-0000000E0000}"/>
    <cellStyle name="Normal 10 2 10 2 25 4 9" xfId="3585" xr:uid="{00000000-0005-0000-0000-0000010E0000}"/>
    <cellStyle name="Normal 10 2 10 2 25 5" xfId="3586" xr:uid="{00000000-0005-0000-0000-0000020E0000}"/>
    <cellStyle name="Normal 10 2 10 2 25 5 10" xfId="3587" xr:uid="{00000000-0005-0000-0000-0000030E0000}"/>
    <cellStyle name="Normal 10 2 10 2 25 5 2" xfId="3588" xr:uid="{00000000-0005-0000-0000-0000040E0000}"/>
    <cellStyle name="Normal 10 2 10 2 25 5 3" xfId="3589" xr:uid="{00000000-0005-0000-0000-0000050E0000}"/>
    <cellStyle name="Normal 10 2 10 2 25 5 4" xfId="3590" xr:uid="{00000000-0005-0000-0000-0000060E0000}"/>
    <cellStyle name="Normal 10 2 10 2 25 5 5" xfId="3591" xr:uid="{00000000-0005-0000-0000-0000070E0000}"/>
    <cellStyle name="Normal 10 2 10 2 25 5 6" xfId="3592" xr:uid="{00000000-0005-0000-0000-0000080E0000}"/>
    <cellStyle name="Normal 10 2 10 2 25 5 7" xfId="3593" xr:uid="{00000000-0005-0000-0000-0000090E0000}"/>
    <cellStyle name="Normal 10 2 10 2 25 5 8" xfId="3594" xr:uid="{00000000-0005-0000-0000-00000A0E0000}"/>
    <cellStyle name="Normal 10 2 10 2 25 5 9" xfId="3595" xr:uid="{00000000-0005-0000-0000-00000B0E0000}"/>
    <cellStyle name="Normal 10 2 10 2 25 6" xfId="3596" xr:uid="{00000000-0005-0000-0000-00000C0E0000}"/>
    <cellStyle name="Normal 10 2 10 2 25 7" xfId="3597" xr:uid="{00000000-0005-0000-0000-00000D0E0000}"/>
    <cellStyle name="Normal 10 2 10 2 25 8" xfId="3598" xr:uid="{00000000-0005-0000-0000-00000E0E0000}"/>
    <cellStyle name="Normal 10 2 10 2 25 9" xfId="3599" xr:uid="{00000000-0005-0000-0000-00000F0E0000}"/>
    <cellStyle name="Normal 10 2 10 2 26" xfId="3600" xr:uid="{00000000-0005-0000-0000-0000100E0000}"/>
    <cellStyle name="Normal 10 2 10 2 26 10" xfId="3601" xr:uid="{00000000-0005-0000-0000-0000110E0000}"/>
    <cellStyle name="Normal 10 2 10 2 26 11" xfId="3602" xr:uid="{00000000-0005-0000-0000-0000120E0000}"/>
    <cellStyle name="Normal 10 2 10 2 26 12" xfId="3603" xr:uid="{00000000-0005-0000-0000-0000130E0000}"/>
    <cellStyle name="Normal 10 2 10 2 26 13" xfId="3604" xr:uid="{00000000-0005-0000-0000-0000140E0000}"/>
    <cellStyle name="Normal 10 2 10 2 26 14" xfId="3605" xr:uid="{00000000-0005-0000-0000-0000150E0000}"/>
    <cellStyle name="Normal 10 2 10 2 26 2" xfId="3606" xr:uid="{00000000-0005-0000-0000-0000160E0000}"/>
    <cellStyle name="Normal 10 2 10 2 26 2 10" xfId="3607" xr:uid="{00000000-0005-0000-0000-0000170E0000}"/>
    <cellStyle name="Normal 10 2 10 2 26 2 2" xfId="3608" xr:uid="{00000000-0005-0000-0000-0000180E0000}"/>
    <cellStyle name="Normal 10 2 10 2 26 2 3" xfId="3609" xr:uid="{00000000-0005-0000-0000-0000190E0000}"/>
    <cellStyle name="Normal 10 2 10 2 26 2 4" xfId="3610" xr:uid="{00000000-0005-0000-0000-00001A0E0000}"/>
    <cellStyle name="Normal 10 2 10 2 26 2 5" xfId="3611" xr:uid="{00000000-0005-0000-0000-00001B0E0000}"/>
    <cellStyle name="Normal 10 2 10 2 26 2 6" xfId="3612" xr:uid="{00000000-0005-0000-0000-00001C0E0000}"/>
    <cellStyle name="Normal 10 2 10 2 26 2 7" xfId="3613" xr:uid="{00000000-0005-0000-0000-00001D0E0000}"/>
    <cellStyle name="Normal 10 2 10 2 26 2 8" xfId="3614" xr:uid="{00000000-0005-0000-0000-00001E0E0000}"/>
    <cellStyle name="Normal 10 2 10 2 26 2 9" xfId="3615" xr:uid="{00000000-0005-0000-0000-00001F0E0000}"/>
    <cellStyle name="Normal 10 2 10 2 26 3" xfId="3616" xr:uid="{00000000-0005-0000-0000-0000200E0000}"/>
    <cellStyle name="Normal 10 2 10 2 26 3 10" xfId="3617" xr:uid="{00000000-0005-0000-0000-0000210E0000}"/>
    <cellStyle name="Normal 10 2 10 2 26 3 2" xfId="3618" xr:uid="{00000000-0005-0000-0000-0000220E0000}"/>
    <cellStyle name="Normal 10 2 10 2 26 3 3" xfId="3619" xr:uid="{00000000-0005-0000-0000-0000230E0000}"/>
    <cellStyle name="Normal 10 2 10 2 26 3 4" xfId="3620" xr:uid="{00000000-0005-0000-0000-0000240E0000}"/>
    <cellStyle name="Normal 10 2 10 2 26 3 5" xfId="3621" xr:uid="{00000000-0005-0000-0000-0000250E0000}"/>
    <cellStyle name="Normal 10 2 10 2 26 3 6" xfId="3622" xr:uid="{00000000-0005-0000-0000-0000260E0000}"/>
    <cellStyle name="Normal 10 2 10 2 26 3 7" xfId="3623" xr:uid="{00000000-0005-0000-0000-0000270E0000}"/>
    <cellStyle name="Normal 10 2 10 2 26 3 8" xfId="3624" xr:uid="{00000000-0005-0000-0000-0000280E0000}"/>
    <cellStyle name="Normal 10 2 10 2 26 3 9" xfId="3625" xr:uid="{00000000-0005-0000-0000-0000290E0000}"/>
    <cellStyle name="Normal 10 2 10 2 26 4" xfId="3626" xr:uid="{00000000-0005-0000-0000-00002A0E0000}"/>
    <cellStyle name="Normal 10 2 10 2 26 4 10" xfId="3627" xr:uid="{00000000-0005-0000-0000-00002B0E0000}"/>
    <cellStyle name="Normal 10 2 10 2 26 4 2" xfId="3628" xr:uid="{00000000-0005-0000-0000-00002C0E0000}"/>
    <cellStyle name="Normal 10 2 10 2 26 4 3" xfId="3629" xr:uid="{00000000-0005-0000-0000-00002D0E0000}"/>
    <cellStyle name="Normal 10 2 10 2 26 4 4" xfId="3630" xr:uid="{00000000-0005-0000-0000-00002E0E0000}"/>
    <cellStyle name="Normal 10 2 10 2 26 4 5" xfId="3631" xr:uid="{00000000-0005-0000-0000-00002F0E0000}"/>
    <cellStyle name="Normal 10 2 10 2 26 4 6" xfId="3632" xr:uid="{00000000-0005-0000-0000-0000300E0000}"/>
    <cellStyle name="Normal 10 2 10 2 26 4 7" xfId="3633" xr:uid="{00000000-0005-0000-0000-0000310E0000}"/>
    <cellStyle name="Normal 10 2 10 2 26 4 8" xfId="3634" xr:uid="{00000000-0005-0000-0000-0000320E0000}"/>
    <cellStyle name="Normal 10 2 10 2 26 4 9" xfId="3635" xr:uid="{00000000-0005-0000-0000-0000330E0000}"/>
    <cellStyle name="Normal 10 2 10 2 26 5" xfId="3636" xr:uid="{00000000-0005-0000-0000-0000340E0000}"/>
    <cellStyle name="Normal 10 2 10 2 26 5 10" xfId="3637" xr:uid="{00000000-0005-0000-0000-0000350E0000}"/>
    <cellStyle name="Normal 10 2 10 2 26 5 2" xfId="3638" xr:uid="{00000000-0005-0000-0000-0000360E0000}"/>
    <cellStyle name="Normal 10 2 10 2 26 5 3" xfId="3639" xr:uid="{00000000-0005-0000-0000-0000370E0000}"/>
    <cellStyle name="Normal 10 2 10 2 26 5 4" xfId="3640" xr:uid="{00000000-0005-0000-0000-0000380E0000}"/>
    <cellStyle name="Normal 10 2 10 2 26 5 5" xfId="3641" xr:uid="{00000000-0005-0000-0000-0000390E0000}"/>
    <cellStyle name="Normal 10 2 10 2 26 5 6" xfId="3642" xr:uid="{00000000-0005-0000-0000-00003A0E0000}"/>
    <cellStyle name="Normal 10 2 10 2 26 5 7" xfId="3643" xr:uid="{00000000-0005-0000-0000-00003B0E0000}"/>
    <cellStyle name="Normal 10 2 10 2 26 5 8" xfId="3644" xr:uid="{00000000-0005-0000-0000-00003C0E0000}"/>
    <cellStyle name="Normal 10 2 10 2 26 5 9" xfId="3645" xr:uid="{00000000-0005-0000-0000-00003D0E0000}"/>
    <cellStyle name="Normal 10 2 10 2 26 6" xfId="3646" xr:uid="{00000000-0005-0000-0000-00003E0E0000}"/>
    <cellStyle name="Normal 10 2 10 2 26 7" xfId="3647" xr:uid="{00000000-0005-0000-0000-00003F0E0000}"/>
    <cellStyle name="Normal 10 2 10 2 26 8" xfId="3648" xr:uid="{00000000-0005-0000-0000-0000400E0000}"/>
    <cellStyle name="Normal 10 2 10 2 26 9" xfId="3649" xr:uid="{00000000-0005-0000-0000-0000410E0000}"/>
    <cellStyle name="Normal 10 2 10 2 27" xfId="3650" xr:uid="{00000000-0005-0000-0000-0000420E0000}"/>
    <cellStyle name="Normal 10 2 10 2 27 10" xfId="3651" xr:uid="{00000000-0005-0000-0000-0000430E0000}"/>
    <cellStyle name="Normal 10 2 10 2 27 11" xfId="3652" xr:uid="{00000000-0005-0000-0000-0000440E0000}"/>
    <cellStyle name="Normal 10 2 10 2 27 12" xfId="3653" xr:uid="{00000000-0005-0000-0000-0000450E0000}"/>
    <cellStyle name="Normal 10 2 10 2 27 13" xfId="3654" xr:uid="{00000000-0005-0000-0000-0000460E0000}"/>
    <cellStyle name="Normal 10 2 10 2 27 14" xfId="3655" xr:uid="{00000000-0005-0000-0000-0000470E0000}"/>
    <cellStyle name="Normal 10 2 10 2 27 2" xfId="3656" xr:uid="{00000000-0005-0000-0000-0000480E0000}"/>
    <cellStyle name="Normal 10 2 10 2 27 2 10" xfId="3657" xr:uid="{00000000-0005-0000-0000-0000490E0000}"/>
    <cellStyle name="Normal 10 2 10 2 27 2 2" xfId="3658" xr:uid="{00000000-0005-0000-0000-00004A0E0000}"/>
    <cellStyle name="Normal 10 2 10 2 27 2 3" xfId="3659" xr:uid="{00000000-0005-0000-0000-00004B0E0000}"/>
    <cellStyle name="Normal 10 2 10 2 27 2 4" xfId="3660" xr:uid="{00000000-0005-0000-0000-00004C0E0000}"/>
    <cellStyle name="Normal 10 2 10 2 27 2 5" xfId="3661" xr:uid="{00000000-0005-0000-0000-00004D0E0000}"/>
    <cellStyle name="Normal 10 2 10 2 27 2 6" xfId="3662" xr:uid="{00000000-0005-0000-0000-00004E0E0000}"/>
    <cellStyle name="Normal 10 2 10 2 27 2 7" xfId="3663" xr:uid="{00000000-0005-0000-0000-00004F0E0000}"/>
    <cellStyle name="Normal 10 2 10 2 27 2 8" xfId="3664" xr:uid="{00000000-0005-0000-0000-0000500E0000}"/>
    <cellStyle name="Normal 10 2 10 2 27 2 9" xfId="3665" xr:uid="{00000000-0005-0000-0000-0000510E0000}"/>
    <cellStyle name="Normal 10 2 10 2 27 3" xfId="3666" xr:uid="{00000000-0005-0000-0000-0000520E0000}"/>
    <cellStyle name="Normal 10 2 10 2 27 3 10" xfId="3667" xr:uid="{00000000-0005-0000-0000-0000530E0000}"/>
    <cellStyle name="Normal 10 2 10 2 27 3 2" xfId="3668" xr:uid="{00000000-0005-0000-0000-0000540E0000}"/>
    <cellStyle name="Normal 10 2 10 2 27 3 3" xfId="3669" xr:uid="{00000000-0005-0000-0000-0000550E0000}"/>
    <cellStyle name="Normal 10 2 10 2 27 3 4" xfId="3670" xr:uid="{00000000-0005-0000-0000-0000560E0000}"/>
    <cellStyle name="Normal 10 2 10 2 27 3 5" xfId="3671" xr:uid="{00000000-0005-0000-0000-0000570E0000}"/>
    <cellStyle name="Normal 10 2 10 2 27 3 6" xfId="3672" xr:uid="{00000000-0005-0000-0000-0000580E0000}"/>
    <cellStyle name="Normal 10 2 10 2 27 3 7" xfId="3673" xr:uid="{00000000-0005-0000-0000-0000590E0000}"/>
    <cellStyle name="Normal 10 2 10 2 27 3 8" xfId="3674" xr:uid="{00000000-0005-0000-0000-00005A0E0000}"/>
    <cellStyle name="Normal 10 2 10 2 27 3 9" xfId="3675" xr:uid="{00000000-0005-0000-0000-00005B0E0000}"/>
    <cellStyle name="Normal 10 2 10 2 27 4" xfId="3676" xr:uid="{00000000-0005-0000-0000-00005C0E0000}"/>
    <cellStyle name="Normal 10 2 10 2 27 4 10" xfId="3677" xr:uid="{00000000-0005-0000-0000-00005D0E0000}"/>
    <cellStyle name="Normal 10 2 10 2 27 4 2" xfId="3678" xr:uid="{00000000-0005-0000-0000-00005E0E0000}"/>
    <cellStyle name="Normal 10 2 10 2 27 4 3" xfId="3679" xr:uid="{00000000-0005-0000-0000-00005F0E0000}"/>
    <cellStyle name="Normal 10 2 10 2 27 4 4" xfId="3680" xr:uid="{00000000-0005-0000-0000-0000600E0000}"/>
    <cellStyle name="Normal 10 2 10 2 27 4 5" xfId="3681" xr:uid="{00000000-0005-0000-0000-0000610E0000}"/>
    <cellStyle name="Normal 10 2 10 2 27 4 6" xfId="3682" xr:uid="{00000000-0005-0000-0000-0000620E0000}"/>
    <cellStyle name="Normal 10 2 10 2 27 4 7" xfId="3683" xr:uid="{00000000-0005-0000-0000-0000630E0000}"/>
    <cellStyle name="Normal 10 2 10 2 27 4 8" xfId="3684" xr:uid="{00000000-0005-0000-0000-0000640E0000}"/>
    <cellStyle name="Normal 10 2 10 2 27 4 9" xfId="3685" xr:uid="{00000000-0005-0000-0000-0000650E0000}"/>
    <cellStyle name="Normal 10 2 10 2 27 5" xfId="3686" xr:uid="{00000000-0005-0000-0000-0000660E0000}"/>
    <cellStyle name="Normal 10 2 10 2 27 5 10" xfId="3687" xr:uid="{00000000-0005-0000-0000-0000670E0000}"/>
    <cellStyle name="Normal 10 2 10 2 27 5 2" xfId="3688" xr:uid="{00000000-0005-0000-0000-0000680E0000}"/>
    <cellStyle name="Normal 10 2 10 2 27 5 3" xfId="3689" xr:uid="{00000000-0005-0000-0000-0000690E0000}"/>
    <cellStyle name="Normal 10 2 10 2 27 5 4" xfId="3690" xr:uid="{00000000-0005-0000-0000-00006A0E0000}"/>
    <cellStyle name="Normal 10 2 10 2 27 5 5" xfId="3691" xr:uid="{00000000-0005-0000-0000-00006B0E0000}"/>
    <cellStyle name="Normal 10 2 10 2 27 5 6" xfId="3692" xr:uid="{00000000-0005-0000-0000-00006C0E0000}"/>
    <cellStyle name="Normal 10 2 10 2 27 5 7" xfId="3693" xr:uid="{00000000-0005-0000-0000-00006D0E0000}"/>
    <cellStyle name="Normal 10 2 10 2 27 5 8" xfId="3694" xr:uid="{00000000-0005-0000-0000-00006E0E0000}"/>
    <cellStyle name="Normal 10 2 10 2 27 5 9" xfId="3695" xr:uid="{00000000-0005-0000-0000-00006F0E0000}"/>
    <cellStyle name="Normal 10 2 10 2 27 6" xfId="3696" xr:uid="{00000000-0005-0000-0000-0000700E0000}"/>
    <cellStyle name="Normal 10 2 10 2 27 7" xfId="3697" xr:uid="{00000000-0005-0000-0000-0000710E0000}"/>
    <cellStyle name="Normal 10 2 10 2 27 8" xfId="3698" xr:uid="{00000000-0005-0000-0000-0000720E0000}"/>
    <cellStyle name="Normal 10 2 10 2 27 9" xfId="3699" xr:uid="{00000000-0005-0000-0000-0000730E0000}"/>
    <cellStyle name="Normal 10 2 10 2 28" xfId="3700" xr:uid="{00000000-0005-0000-0000-0000740E0000}"/>
    <cellStyle name="Normal 10 2 10 2 28 10" xfId="3701" xr:uid="{00000000-0005-0000-0000-0000750E0000}"/>
    <cellStyle name="Normal 10 2 10 2 28 11" xfId="3702" xr:uid="{00000000-0005-0000-0000-0000760E0000}"/>
    <cellStyle name="Normal 10 2 10 2 28 12" xfId="3703" xr:uid="{00000000-0005-0000-0000-0000770E0000}"/>
    <cellStyle name="Normal 10 2 10 2 28 13" xfId="3704" xr:uid="{00000000-0005-0000-0000-0000780E0000}"/>
    <cellStyle name="Normal 10 2 10 2 28 14" xfId="3705" xr:uid="{00000000-0005-0000-0000-0000790E0000}"/>
    <cellStyle name="Normal 10 2 10 2 28 2" xfId="3706" xr:uid="{00000000-0005-0000-0000-00007A0E0000}"/>
    <cellStyle name="Normal 10 2 10 2 28 2 10" xfId="3707" xr:uid="{00000000-0005-0000-0000-00007B0E0000}"/>
    <cellStyle name="Normal 10 2 10 2 28 2 2" xfId="3708" xr:uid="{00000000-0005-0000-0000-00007C0E0000}"/>
    <cellStyle name="Normal 10 2 10 2 28 2 3" xfId="3709" xr:uid="{00000000-0005-0000-0000-00007D0E0000}"/>
    <cellStyle name="Normal 10 2 10 2 28 2 4" xfId="3710" xr:uid="{00000000-0005-0000-0000-00007E0E0000}"/>
    <cellStyle name="Normal 10 2 10 2 28 2 5" xfId="3711" xr:uid="{00000000-0005-0000-0000-00007F0E0000}"/>
    <cellStyle name="Normal 10 2 10 2 28 2 6" xfId="3712" xr:uid="{00000000-0005-0000-0000-0000800E0000}"/>
    <cellStyle name="Normal 10 2 10 2 28 2 7" xfId="3713" xr:uid="{00000000-0005-0000-0000-0000810E0000}"/>
    <cellStyle name="Normal 10 2 10 2 28 2 8" xfId="3714" xr:uid="{00000000-0005-0000-0000-0000820E0000}"/>
    <cellStyle name="Normal 10 2 10 2 28 2 9" xfId="3715" xr:uid="{00000000-0005-0000-0000-0000830E0000}"/>
    <cellStyle name="Normal 10 2 10 2 28 3" xfId="3716" xr:uid="{00000000-0005-0000-0000-0000840E0000}"/>
    <cellStyle name="Normal 10 2 10 2 28 3 10" xfId="3717" xr:uid="{00000000-0005-0000-0000-0000850E0000}"/>
    <cellStyle name="Normal 10 2 10 2 28 3 2" xfId="3718" xr:uid="{00000000-0005-0000-0000-0000860E0000}"/>
    <cellStyle name="Normal 10 2 10 2 28 3 3" xfId="3719" xr:uid="{00000000-0005-0000-0000-0000870E0000}"/>
    <cellStyle name="Normal 10 2 10 2 28 3 4" xfId="3720" xr:uid="{00000000-0005-0000-0000-0000880E0000}"/>
    <cellStyle name="Normal 10 2 10 2 28 3 5" xfId="3721" xr:uid="{00000000-0005-0000-0000-0000890E0000}"/>
    <cellStyle name="Normal 10 2 10 2 28 3 6" xfId="3722" xr:uid="{00000000-0005-0000-0000-00008A0E0000}"/>
    <cellStyle name="Normal 10 2 10 2 28 3 7" xfId="3723" xr:uid="{00000000-0005-0000-0000-00008B0E0000}"/>
    <cellStyle name="Normal 10 2 10 2 28 3 8" xfId="3724" xr:uid="{00000000-0005-0000-0000-00008C0E0000}"/>
    <cellStyle name="Normal 10 2 10 2 28 3 9" xfId="3725" xr:uid="{00000000-0005-0000-0000-00008D0E0000}"/>
    <cellStyle name="Normal 10 2 10 2 28 4" xfId="3726" xr:uid="{00000000-0005-0000-0000-00008E0E0000}"/>
    <cellStyle name="Normal 10 2 10 2 28 4 10" xfId="3727" xr:uid="{00000000-0005-0000-0000-00008F0E0000}"/>
    <cellStyle name="Normal 10 2 10 2 28 4 2" xfId="3728" xr:uid="{00000000-0005-0000-0000-0000900E0000}"/>
    <cellStyle name="Normal 10 2 10 2 28 4 3" xfId="3729" xr:uid="{00000000-0005-0000-0000-0000910E0000}"/>
    <cellStyle name="Normal 10 2 10 2 28 4 4" xfId="3730" xr:uid="{00000000-0005-0000-0000-0000920E0000}"/>
    <cellStyle name="Normal 10 2 10 2 28 4 5" xfId="3731" xr:uid="{00000000-0005-0000-0000-0000930E0000}"/>
    <cellStyle name="Normal 10 2 10 2 28 4 6" xfId="3732" xr:uid="{00000000-0005-0000-0000-0000940E0000}"/>
    <cellStyle name="Normal 10 2 10 2 28 4 7" xfId="3733" xr:uid="{00000000-0005-0000-0000-0000950E0000}"/>
    <cellStyle name="Normal 10 2 10 2 28 4 8" xfId="3734" xr:uid="{00000000-0005-0000-0000-0000960E0000}"/>
    <cellStyle name="Normal 10 2 10 2 28 4 9" xfId="3735" xr:uid="{00000000-0005-0000-0000-0000970E0000}"/>
    <cellStyle name="Normal 10 2 10 2 28 5" xfId="3736" xr:uid="{00000000-0005-0000-0000-0000980E0000}"/>
    <cellStyle name="Normal 10 2 10 2 28 5 10" xfId="3737" xr:uid="{00000000-0005-0000-0000-0000990E0000}"/>
    <cellStyle name="Normal 10 2 10 2 28 5 2" xfId="3738" xr:uid="{00000000-0005-0000-0000-00009A0E0000}"/>
    <cellStyle name="Normal 10 2 10 2 28 5 3" xfId="3739" xr:uid="{00000000-0005-0000-0000-00009B0E0000}"/>
    <cellStyle name="Normal 10 2 10 2 28 5 4" xfId="3740" xr:uid="{00000000-0005-0000-0000-00009C0E0000}"/>
    <cellStyle name="Normal 10 2 10 2 28 5 5" xfId="3741" xr:uid="{00000000-0005-0000-0000-00009D0E0000}"/>
    <cellStyle name="Normal 10 2 10 2 28 5 6" xfId="3742" xr:uid="{00000000-0005-0000-0000-00009E0E0000}"/>
    <cellStyle name="Normal 10 2 10 2 28 5 7" xfId="3743" xr:uid="{00000000-0005-0000-0000-00009F0E0000}"/>
    <cellStyle name="Normal 10 2 10 2 28 5 8" xfId="3744" xr:uid="{00000000-0005-0000-0000-0000A00E0000}"/>
    <cellStyle name="Normal 10 2 10 2 28 5 9" xfId="3745" xr:uid="{00000000-0005-0000-0000-0000A10E0000}"/>
    <cellStyle name="Normal 10 2 10 2 28 6" xfId="3746" xr:uid="{00000000-0005-0000-0000-0000A20E0000}"/>
    <cellStyle name="Normal 10 2 10 2 28 7" xfId="3747" xr:uid="{00000000-0005-0000-0000-0000A30E0000}"/>
    <cellStyle name="Normal 10 2 10 2 28 8" xfId="3748" xr:uid="{00000000-0005-0000-0000-0000A40E0000}"/>
    <cellStyle name="Normal 10 2 10 2 28 9" xfId="3749" xr:uid="{00000000-0005-0000-0000-0000A50E0000}"/>
    <cellStyle name="Normal 10 2 10 2 29" xfId="3750" xr:uid="{00000000-0005-0000-0000-0000A60E0000}"/>
    <cellStyle name="Normal 10 2 10 2 29 10" xfId="3751" xr:uid="{00000000-0005-0000-0000-0000A70E0000}"/>
    <cellStyle name="Normal 10 2 10 2 29 11" xfId="3752" xr:uid="{00000000-0005-0000-0000-0000A80E0000}"/>
    <cellStyle name="Normal 10 2 10 2 29 12" xfId="3753" xr:uid="{00000000-0005-0000-0000-0000A90E0000}"/>
    <cellStyle name="Normal 10 2 10 2 29 13" xfId="3754" xr:uid="{00000000-0005-0000-0000-0000AA0E0000}"/>
    <cellStyle name="Normal 10 2 10 2 29 14" xfId="3755" xr:uid="{00000000-0005-0000-0000-0000AB0E0000}"/>
    <cellStyle name="Normal 10 2 10 2 29 2" xfId="3756" xr:uid="{00000000-0005-0000-0000-0000AC0E0000}"/>
    <cellStyle name="Normal 10 2 10 2 29 2 10" xfId="3757" xr:uid="{00000000-0005-0000-0000-0000AD0E0000}"/>
    <cellStyle name="Normal 10 2 10 2 29 2 2" xfId="3758" xr:uid="{00000000-0005-0000-0000-0000AE0E0000}"/>
    <cellStyle name="Normal 10 2 10 2 29 2 3" xfId="3759" xr:uid="{00000000-0005-0000-0000-0000AF0E0000}"/>
    <cellStyle name="Normal 10 2 10 2 29 2 4" xfId="3760" xr:uid="{00000000-0005-0000-0000-0000B00E0000}"/>
    <cellStyle name="Normal 10 2 10 2 29 2 5" xfId="3761" xr:uid="{00000000-0005-0000-0000-0000B10E0000}"/>
    <cellStyle name="Normal 10 2 10 2 29 2 6" xfId="3762" xr:uid="{00000000-0005-0000-0000-0000B20E0000}"/>
    <cellStyle name="Normal 10 2 10 2 29 2 7" xfId="3763" xr:uid="{00000000-0005-0000-0000-0000B30E0000}"/>
    <cellStyle name="Normal 10 2 10 2 29 2 8" xfId="3764" xr:uid="{00000000-0005-0000-0000-0000B40E0000}"/>
    <cellStyle name="Normal 10 2 10 2 29 2 9" xfId="3765" xr:uid="{00000000-0005-0000-0000-0000B50E0000}"/>
    <cellStyle name="Normal 10 2 10 2 29 3" xfId="3766" xr:uid="{00000000-0005-0000-0000-0000B60E0000}"/>
    <cellStyle name="Normal 10 2 10 2 29 3 10" xfId="3767" xr:uid="{00000000-0005-0000-0000-0000B70E0000}"/>
    <cellStyle name="Normal 10 2 10 2 29 3 2" xfId="3768" xr:uid="{00000000-0005-0000-0000-0000B80E0000}"/>
    <cellStyle name="Normal 10 2 10 2 29 3 3" xfId="3769" xr:uid="{00000000-0005-0000-0000-0000B90E0000}"/>
    <cellStyle name="Normal 10 2 10 2 29 3 4" xfId="3770" xr:uid="{00000000-0005-0000-0000-0000BA0E0000}"/>
    <cellStyle name="Normal 10 2 10 2 29 3 5" xfId="3771" xr:uid="{00000000-0005-0000-0000-0000BB0E0000}"/>
    <cellStyle name="Normal 10 2 10 2 29 3 6" xfId="3772" xr:uid="{00000000-0005-0000-0000-0000BC0E0000}"/>
    <cellStyle name="Normal 10 2 10 2 29 3 7" xfId="3773" xr:uid="{00000000-0005-0000-0000-0000BD0E0000}"/>
    <cellStyle name="Normal 10 2 10 2 29 3 8" xfId="3774" xr:uid="{00000000-0005-0000-0000-0000BE0E0000}"/>
    <cellStyle name="Normal 10 2 10 2 29 3 9" xfId="3775" xr:uid="{00000000-0005-0000-0000-0000BF0E0000}"/>
    <cellStyle name="Normal 10 2 10 2 29 4" xfId="3776" xr:uid="{00000000-0005-0000-0000-0000C00E0000}"/>
    <cellStyle name="Normal 10 2 10 2 29 4 10" xfId="3777" xr:uid="{00000000-0005-0000-0000-0000C10E0000}"/>
    <cellStyle name="Normal 10 2 10 2 29 4 2" xfId="3778" xr:uid="{00000000-0005-0000-0000-0000C20E0000}"/>
    <cellStyle name="Normal 10 2 10 2 29 4 3" xfId="3779" xr:uid="{00000000-0005-0000-0000-0000C30E0000}"/>
    <cellStyle name="Normal 10 2 10 2 29 4 4" xfId="3780" xr:uid="{00000000-0005-0000-0000-0000C40E0000}"/>
    <cellStyle name="Normal 10 2 10 2 29 4 5" xfId="3781" xr:uid="{00000000-0005-0000-0000-0000C50E0000}"/>
    <cellStyle name="Normal 10 2 10 2 29 4 6" xfId="3782" xr:uid="{00000000-0005-0000-0000-0000C60E0000}"/>
    <cellStyle name="Normal 10 2 10 2 29 4 7" xfId="3783" xr:uid="{00000000-0005-0000-0000-0000C70E0000}"/>
    <cellStyle name="Normal 10 2 10 2 29 4 8" xfId="3784" xr:uid="{00000000-0005-0000-0000-0000C80E0000}"/>
    <cellStyle name="Normal 10 2 10 2 29 4 9" xfId="3785" xr:uid="{00000000-0005-0000-0000-0000C90E0000}"/>
    <cellStyle name="Normal 10 2 10 2 29 5" xfId="3786" xr:uid="{00000000-0005-0000-0000-0000CA0E0000}"/>
    <cellStyle name="Normal 10 2 10 2 29 5 10" xfId="3787" xr:uid="{00000000-0005-0000-0000-0000CB0E0000}"/>
    <cellStyle name="Normal 10 2 10 2 29 5 2" xfId="3788" xr:uid="{00000000-0005-0000-0000-0000CC0E0000}"/>
    <cellStyle name="Normal 10 2 10 2 29 5 3" xfId="3789" xr:uid="{00000000-0005-0000-0000-0000CD0E0000}"/>
    <cellStyle name="Normal 10 2 10 2 29 5 4" xfId="3790" xr:uid="{00000000-0005-0000-0000-0000CE0E0000}"/>
    <cellStyle name="Normal 10 2 10 2 29 5 5" xfId="3791" xr:uid="{00000000-0005-0000-0000-0000CF0E0000}"/>
    <cellStyle name="Normal 10 2 10 2 29 5 6" xfId="3792" xr:uid="{00000000-0005-0000-0000-0000D00E0000}"/>
    <cellStyle name="Normal 10 2 10 2 29 5 7" xfId="3793" xr:uid="{00000000-0005-0000-0000-0000D10E0000}"/>
    <cellStyle name="Normal 10 2 10 2 29 5 8" xfId="3794" xr:uid="{00000000-0005-0000-0000-0000D20E0000}"/>
    <cellStyle name="Normal 10 2 10 2 29 5 9" xfId="3795" xr:uid="{00000000-0005-0000-0000-0000D30E0000}"/>
    <cellStyle name="Normal 10 2 10 2 29 6" xfId="3796" xr:uid="{00000000-0005-0000-0000-0000D40E0000}"/>
    <cellStyle name="Normal 10 2 10 2 29 7" xfId="3797" xr:uid="{00000000-0005-0000-0000-0000D50E0000}"/>
    <cellStyle name="Normal 10 2 10 2 29 8" xfId="3798" xr:uid="{00000000-0005-0000-0000-0000D60E0000}"/>
    <cellStyle name="Normal 10 2 10 2 29 9" xfId="3799" xr:uid="{00000000-0005-0000-0000-0000D70E0000}"/>
    <cellStyle name="Normal 10 2 10 2 3" xfId="3800" xr:uid="{00000000-0005-0000-0000-0000D80E0000}"/>
    <cellStyle name="Normal 10 2 10 2 3 10" xfId="3801" xr:uid="{00000000-0005-0000-0000-0000D90E0000}"/>
    <cellStyle name="Normal 10 2 10 2 3 11" xfId="3802" xr:uid="{00000000-0005-0000-0000-0000DA0E0000}"/>
    <cellStyle name="Normal 10 2 10 2 3 12" xfId="3803" xr:uid="{00000000-0005-0000-0000-0000DB0E0000}"/>
    <cellStyle name="Normal 10 2 10 2 3 13" xfId="3804" xr:uid="{00000000-0005-0000-0000-0000DC0E0000}"/>
    <cellStyle name="Normal 10 2 10 2 3 14" xfId="3805" xr:uid="{00000000-0005-0000-0000-0000DD0E0000}"/>
    <cellStyle name="Normal 10 2 10 2 3 2" xfId="3806" xr:uid="{00000000-0005-0000-0000-0000DE0E0000}"/>
    <cellStyle name="Normal 10 2 10 2 3 2 10" xfId="3807" xr:uid="{00000000-0005-0000-0000-0000DF0E0000}"/>
    <cellStyle name="Normal 10 2 10 2 3 2 2" xfId="3808" xr:uid="{00000000-0005-0000-0000-0000E00E0000}"/>
    <cellStyle name="Normal 10 2 10 2 3 2 3" xfId="3809" xr:uid="{00000000-0005-0000-0000-0000E10E0000}"/>
    <cellStyle name="Normal 10 2 10 2 3 2 4" xfId="3810" xr:uid="{00000000-0005-0000-0000-0000E20E0000}"/>
    <cellStyle name="Normal 10 2 10 2 3 2 5" xfId="3811" xr:uid="{00000000-0005-0000-0000-0000E30E0000}"/>
    <cellStyle name="Normal 10 2 10 2 3 2 6" xfId="3812" xr:uid="{00000000-0005-0000-0000-0000E40E0000}"/>
    <cellStyle name="Normal 10 2 10 2 3 2 7" xfId="3813" xr:uid="{00000000-0005-0000-0000-0000E50E0000}"/>
    <cellStyle name="Normal 10 2 10 2 3 2 8" xfId="3814" xr:uid="{00000000-0005-0000-0000-0000E60E0000}"/>
    <cellStyle name="Normal 10 2 10 2 3 2 9" xfId="3815" xr:uid="{00000000-0005-0000-0000-0000E70E0000}"/>
    <cellStyle name="Normal 10 2 10 2 3 3" xfId="3816" xr:uid="{00000000-0005-0000-0000-0000E80E0000}"/>
    <cellStyle name="Normal 10 2 10 2 3 3 10" xfId="3817" xr:uid="{00000000-0005-0000-0000-0000E90E0000}"/>
    <cellStyle name="Normal 10 2 10 2 3 3 2" xfId="3818" xr:uid="{00000000-0005-0000-0000-0000EA0E0000}"/>
    <cellStyle name="Normal 10 2 10 2 3 3 3" xfId="3819" xr:uid="{00000000-0005-0000-0000-0000EB0E0000}"/>
    <cellStyle name="Normal 10 2 10 2 3 3 4" xfId="3820" xr:uid="{00000000-0005-0000-0000-0000EC0E0000}"/>
    <cellStyle name="Normal 10 2 10 2 3 3 5" xfId="3821" xr:uid="{00000000-0005-0000-0000-0000ED0E0000}"/>
    <cellStyle name="Normal 10 2 10 2 3 3 6" xfId="3822" xr:uid="{00000000-0005-0000-0000-0000EE0E0000}"/>
    <cellStyle name="Normal 10 2 10 2 3 3 7" xfId="3823" xr:uid="{00000000-0005-0000-0000-0000EF0E0000}"/>
    <cellStyle name="Normal 10 2 10 2 3 3 8" xfId="3824" xr:uid="{00000000-0005-0000-0000-0000F00E0000}"/>
    <cellStyle name="Normal 10 2 10 2 3 3 9" xfId="3825" xr:uid="{00000000-0005-0000-0000-0000F10E0000}"/>
    <cellStyle name="Normal 10 2 10 2 3 4" xfId="3826" xr:uid="{00000000-0005-0000-0000-0000F20E0000}"/>
    <cellStyle name="Normal 10 2 10 2 3 4 10" xfId="3827" xr:uid="{00000000-0005-0000-0000-0000F30E0000}"/>
    <cellStyle name="Normal 10 2 10 2 3 4 2" xfId="3828" xr:uid="{00000000-0005-0000-0000-0000F40E0000}"/>
    <cellStyle name="Normal 10 2 10 2 3 4 3" xfId="3829" xr:uid="{00000000-0005-0000-0000-0000F50E0000}"/>
    <cellStyle name="Normal 10 2 10 2 3 4 4" xfId="3830" xr:uid="{00000000-0005-0000-0000-0000F60E0000}"/>
    <cellStyle name="Normal 10 2 10 2 3 4 5" xfId="3831" xr:uid="{00000000-0005-0000-0000-0000F70E0000}"/>
    <cellStyle name="Normal 10 2 10 2 3 4 6" xfId="3832" xr:uid="{00000000-0005-0000-0000-0000F80E0000}"/>
    <cellStyle name="Normal 10 2 10 2 3 4 7" xfId="3833" xr:uid="{00000000-0005-0000-0000-0000F90E0000}"/>
    <cellStyle name="Normal 10 2 10 2 3 4 8" xfId="3834" xr:uid="{00000000-0005-0000-0000-0000FA0E0000}"/>
    <cellStyle name="Normal 10 2 10 2 3 4 9" xfId="3835" xr:uid="{00000000-0005-0000-0000-0000FB0E0000}"/>
    <cellStyle name="Normal 10 2 10 2 3 5" xfId="3836" xr:uid="{00000000-0005-0000-0000-0000FC0E0000}"/>
    <cellStyle name="Normal 10 2 10 2 3 5 10" xfId="3837" xr:uid="{00000000-0005-0000-0000-0000FD0E0000}"/>
    <cellStyle name="Normal 10 2 10 2 3 5 2" xfId="3838" xr:uid="{00000000-0005-0000-0000-0000FE0E0000}"/>
    <cellStyle name="Normal 10 2 10 2 3 5 3" xfId="3839" xr:uid="{00000000-0005-0000-0000-0000FF0E0000}"/>
    <cellStyle name="Normal 10 2 10 2 3 5 4" xfId="3840" xr:uid="{00000000-0005-0000-0000-0000000F0000}"/>
    <cellStyle name="Normal 10 2 10 2 3 5 5" xfId="3841" xr:uid="{00000000-0005-0000-0000-0000010F0000}"/>
    <cellStyle name="Normal 10 2 10 2 3 5 6" xfId="3842" xr:uid="{00000000-0005-0000-0000-0000020F0000}"/>
    <cellStyle name="Normal 10 2 10 2 3 5 7" xfId="3843" xr:uid="{00000000-0005-0000-0000-0000030F0000}"/>
    <cellStyle name="Normal 10 2 10 2 3 5 8" xfId="3844" xr:uid="{00000000-0005-0000-0000-0000040F0000}"/>
    <cellStyle name="Normal 10 2 10 2 3 5 9" xfId="3845" xr:uid="{00000000-0005-0000-0000-0000050F0000}"/>
    <cellStyle name="Normal 10 2 10 2 3 6" xfId="3846" xr:uid="{00000000-0005-0000-0000-0000060F0000}"/>
    <cellStyle name="Normal 10 2 10 2 3 7" xfId="3847" xr:uid="{00000000-0005-0000-0000-0000070F0000}"/>
    <cellStyle name="Normal 10 2 10 2 3 8" xfId="3848" xr:uid="{00000000-0005-0000-0000-0000080F0000}"/>
    <cellStyle name="Normal 10 2 10 2 3 9" xfId="3849" xr:uid="{00000000-0005-0000-0000-0000090F0000}"/>
    <cellStyle name="Normal 10 2 10 2 30" xfId="3850" xr:uid="{00000000-0005-0000-0000-00000A0F0000}"/>
    <cellStyle name="Normal 10 2 10 2 30 10" xfId="3851" xr:uid="{00000000-0005-0000-0000-00000B0F0000}"/>
    <cellStyle name="Normal 10 2 10 2 30 11" xfId="3852" xr:uid="{00000000-0005-0000-0000-00000C0F0000}"/>
    <cellStyle name="Normal 10 2 10 2 30 12" xfId="3853" xr:uid="{00000000-0005-0000-0000-00000D0F0000}"/>
    <cellStyle name="Normal 10 2 10 2 30 13" xfId="3854" xr:uid="{00000000-0005-0000-0000-00000E0F0000}"/>
    <cellStyle name="Normal 10 2 10 2 30 14" xfId="3855" xr:uid="{00000000-0005-0000-0000-00000F0F0000}"/>
    <cellStyle name="Normal 10 2 10 2 30 2" xfId="3856" xr:uid="{00000000-0005-0000-0000-0000100F0000}"/>
    <cellStyle name="Normal 10 2 10 2 30 2 10" xfId="3857" xr:uid="{00000000-0005-0000-0000-0000110F0000}"/>
    <cellStyle name="Normal 10 2 10 2 30 2 2" xfId="3858" xr:uid="{00000000-0005-0000-0000-0000120F0000}"/>
    <cellStyle name="Normal 10 2 10 2 30 2 3" xfId="3859" xr:uid="{00000000-0005-0000-0000-0000130F0000}"/>
    <cellStyle name="Normal 10 2 10 2 30 2 4" xfId="3860" xr:uid="{00000000-0005-0000-0000-0000140F0000}"/>
    <cellStyle name="Normal 10 2 10 2 30 2 5" xfId="3861" xr:uid="{00000000-0005-0000-0000-0000150F0000}"/>
    <cellStyle name="Normal 10 2 10 2 30 2 6" xfId="3862" xr:uid="{00000000-0005-0000-0000-0000160F0000}"/>
    <cellStyle name="Normal 10 2 10 2 30 2 7" xfId="3863" xr:uid="{00000000-0005-0000-0000-0000170F0000}"/>
    <cellStyle name="Normal 10 2 10 2 30 2 8" xfId="3864" xr:uid="{00000000-0005-0000-0000-0000180F0000}"/>
    <cellStyle name="Normal 10 2 10 2 30 2 9" xfId="3865" xr:uid="{00000000-0005-0000-0000-0000190F0000}"/>
    <cellStyle name="Normal 10 2 10 2 30 3" xfId="3866" xr:uid="{00000000-0005-0000-0000-00001A0F0000}"/>
    <cellStyle name="Normal 10 2 10 2 30 3 10" xfId="3867" xr:uid="{00000000-0005-0000-0000-00001B0F0000}"/>
    <cellStyle name="Normal 10 2 10 2 30 3 2" xfId="3868" xr:uid="{00000000-0005-0000-0000-00001C0F0000}"/>
    <cellStyle name="Normal 10 2 10 2 30 3 3" xfId="3869" xr:uid="{00000000-0005-0000-0000-00001D0F0000}"/>
    <cellStyle name="Normal 10 2 10 2 30 3 4" xfId="3870" xr:uid="{00000000-0005-0000-0000-00001E0F0000}"/>
    <cellStyle name="Normal 10 2 10 2 30 3 5" xfId="3871" xr:uid="{00000000-0005-0000-0000-00001F0F0000}"/>
    <cellStyle name="Normal 10 2 10 2 30 3 6" xfId="3872" xr:uid="{00000000-0005-0000-0000-0000200F0000}"/>
    <cellStyle name="Normal 10 2 10 2 30 3 7" xfId="3873" xr:uid="{00000000-0005-0000-0000-0000210F0000}"/>
    <cellStyle name="Normal 10 2 10 2 30 3 8" xfId="3874" xr:uid="{00000000-0005-0000-0000-0000220F0000}"/>
    <cellStyle name="Normal 10 2 10 2 30 3 9" xfId="3875" xr:uid="{00000000-0005-0000-0000-0000230F0000}"/>
    <cellStyle name="Normal 10 2 10 2 30 4" xfId="3876" xr:uid="{00000000-0005-0000-0000-0000240F0000}"/>
    <cellStyle name="Normal 10 2 10 2 30 4 10" xfId="3877" xr:uid="{00000000-0005-0000-0000-0000250F0000}"/>
    <cellStyle name="Normal 10 2 10 2 30 4 2" xfId="3878" xr:uid="{00000000-0005-0000-0000-0000260F0000}"/>
    <cellStyle name="Normal 10 2 10 2 30 4 3" xfId="3879" xr:uid="{00000000-0005-0000-0000-0000270F0000}"/>
    <cellStyle name="Normal 10 2 10 2 30 4 4" xfId="3880" xr:uid="{00000000-0005-0000-0000-0000280F0000}"/>
    <cellStyle name="Normal 10 2 10 2 30 4 5" xfId="3881" xr:uid="{00000000-0005-0000-0000-0000290F0000}"/>
    <cellStyle name="Normal 10 2 10 2 30 4 6" xfId="3882" xr:uid="{00000000-0005-0000-0000-00002A0F0000}"/>
    <cellStyle name="Normal 10 2 10 2 30 4 7" xfId="3883" xr:uid="{00000000-0005-0000-0000-00002B0F0000}"/>
    <cellStyle name="Normal 10 2 10 2 30 4 8" xfId="3884" xr:uid="{00000000-0005-0000-0000-00002C0F0000}"/>
    <cellStyle name="Normal 10 2 10 2 30 4 9" xfId="3885" xr:uid="{00000000-0005-0000-0000-00002D0F0000}"/>
    <cellStyle name="Normal 10 2 10 2 30 5" xfId="3886" xr:uid="{00000000-0005-0000-0000-00002E0F0000}"/>
    <cellStyle name="Normal 10 2 10 2 30 5 10" xfId="3887" xr:uid="{00000000-0005-0000-0000-00002F0F0000}"/>
    <cellStyle name="Normal 10 2 10 2 30 5 2" xfId="3888" xr:uid="{00000000-0005-0000-0000-0000300F0000}"/>
    <cellStyle name="Normal 10 2 10 2 30 5 3" xfId="3889" xr:uid="{00000000-0005-0000-0000-0000310F0000}"/>
    <cellStyle name="Normal 10 2 10 2 30 5 4" xfId="3890" xr:uid="{00000000-0005-0000-0000-0000320F0000}"/>
    <cellStyle name="Normal 10 2 10 2 30 5 5" xfId="3891" xr:uid="{00000000-0005-0000-0000-0000330F0000}"/>
    <cellStyle name="Normal 10 2 10 2 30 5 6" xfId="3892" xr:uid="{00000000-0005-0000-0000-0000340F0000}"/>
    <cellStyle name="Normal 10 2 10 2 30 5 7" xfId="3893" xr:uid="{00000000-0005-0000-0000-0000350F0000}"/>
    <cellStyle name="Normal 10 2 10 2 30 5 8" xfId="3894" xr:uid="{00000000-0005-0000-0000-0000360F0000}"/>
    <cellStyle name="Normal 10 2 10 2 30 5 9" xfId="3895" xr:uid="{00000000-0005-0000-0000-0000370F0000}"/>
    <cellStyle name="Normal 10 2 10 2 30 6" xfId="3896" xr:uid="{00000000-0005-0000-0000-0000380F0000}"/>
    <cellStyle name="Normal 10 2 10 2 30 7" xfId="3897" xr:uid="{00000000-0005-0000-0000-0000390F0000}"/>
    <cellStyle name="Normal 10 2 10 2 30 8" xfId="3898" xr:uid="{00000000-0005-0000-0000-00003A0F0000}"/>
    <cellStyle name="Normal 10 2 10 2 30 9" xfId="3899" xr:uid="{00000000-0005-0000-0000-00003B0F0000}"/>
    <cellStyle name="Normal 10 2 10 2 31" xfId="3900" xr:uid="{00000000-0005-0000-0000-00003C0F0000}"/>
    <cellStyle name="Normal 10 2 10 2 31 10" xfId="3901" xr:uid="{00000000-0005-0000-0000-00003D0F0000}"/>
    <cellStyle name="Normal 10 2 10 2 31 11" xfId="3902" xr:uid="{00000000-0005-0000-0000-00003E0F0000}"/>
    <cellStyle name="Normal 10 2 10 2 31 12" xfId="3903" xr:uid="{00000000-0005-0000-0000-00003F0F0000}"/>
    <cellStyle name="Normal 10 2 10 2 31 13" xfId="3904" xr:uid="{00000000-0005-0000-0000-0000400F0000}"/>
    <cellStyle name="Normal 10 2 10 2 31 14" xfId="3905" xr:uid="{00000000-0005-0000-0000-0000410F0000}"/>
    <cellStyle name="Normal 10 2 10 2 31 2" xfId="3906" xr:uid="{00000000-0005-0000-0000-0000420F0000}"/>
    <cellStyle name="Normal 10 2 10 2 31 2 10" xfId="3907" xr:uid="{00000000-0005-0000-0000-0000430F0000}"/>
    <cellStyle name="Normal 10 2 10 2 31 2 2" xfId="3908" xr:uid="{00000000-0005-0000-0000-0000440F0000}"/>
    <cellStyle name="Normal 10 2 10 2 31 2 3" xfId="3909" xr:uid="{00000000-0005-0000-0000-0000450F0000}"/>
    <cellStyle name="Normal 10 2 10 2 31 2 4" xfId="3910" xr:uid="{00000000-0005-0000-0000-0000460F0000}"/>
    <cellStyle name="Normal 10 2 10 2 31 2 5" xfId="3911" xr:uid="{00000000-0005-0000-0000-0000470F0000}"/>
    <cellStyle name="Normal 10 2 10 2 31 2 6" xfId="3912" xr:uid="{00000000-0005-0000-0000-0000480F0000}"/>
    <cellStyle name="Normal 10 2 10 2 31 2 7" xfId="3913" xr:uid="{00000000-0005-0000-0000-0000490F0000}"/>
    <cellStyle name="Normal 10 2 10 2 31 2 8" xfId="3914" xr:uid="{00000000-0005-0000-0000-00004A0F0000}"/>
    <cellStyle name="Normal 10 2 10 2 31 2 9" xfId="3915" xr:uid="{00000000-0005-0000-0000-00004B0F0000}"/>
    <cellStyle name="Normal 10 2 10 2 31 3" xfId="3916" xr:uid="{00000000-0005-0000-0000-00004C0F0000}"/>
    <cellStyle name="Normal 10 2 10 2 31 3 10" xfId="3917" xr:uid="{00000000-0005-0000-0000-00004D0F0000}"/>
    <cellStyle name="Normal 10 2 10 2 31 3 2" xfId="3918" xr:uid="{00000000-0005-0000-0000-00004E0F0000}"/>
    <cellStyle name="Normal 10 2 10 2 31 3 3" xfId="3919" xr:uid="{00000000-0005-0000-0000-00004F0F0000}"/>
    <cellStyle name="Normal 10 2 10 2 31 3 4" xfId="3920" xr:uid="{00000000-0005-0000-0000-0000500F0000}"/>
    <cellStyle name="Normal 10 2 10 2 31 3 5" xfId="3921" xr:uid="{00000000-0005-0000-0000-0000510F0000}"/>
    <cellStyle name="Normal 10 2 10 2 31 3 6" xfId="3922" xr:uid="{00000000-0005-0000-0000-0000520F0000}"/>
    <cellStyle name="Normal 10 2 10 2 31 3 7" xfId="3923" xr:uid="{00000000-0005-0000-0000-0000530F0000}"/>
    <cellStyle name="Normal 10 2 10 2 31 3 8" xfId="3924" xr:uid="{00000000-0005-0000-0000-0000540F0000}"/>
    <cellStyle name="Normal 10 2 10 2 31 3 9" xfId="3925" xr:uid="{00000000-0005-0000-0000-0000550F0000}"/>
    <cellStyle name="Normal 10 2 10 2 31 4" xfId="3926" xr:uid="{00000000-0005-0000-0000-0000560F0000}"/>
    <cellStyle name="Normal 10 2 10 2 31 4 10" xfId="3927" xr:uid="{00000000-0005-0000-0000-0000570F0000}"/>
    <cellStyle name="Normal 10 2 10 2 31 4 2" xfId="3928" xr:uid="{00000000-0005-0000-0000-0000580F0000}"/>
    <cellStyle name="Normal 10 2 10 2 31 4 3" xfId="3929" xr:uid="{00000000-0005-0000-0000-0000590F0000}"/>
    <cellStyle name="Normal 10 2 10 2 31 4 4" xfId="3930" xr:uid="{00000000-0005-0000-0000-00005A0F0000}"/>
    <cellStyle name="Normal 10 2 10 2 31 4 5" xfId="3931" xr:uid="{00000000-0005-0000-0000-00005B0F0000}"/>
    <cellStyle name="Normal 10 2 10 2 31 4 6" xfId="3932" xr:uid="{00000000-0005-0000-0000-00005C0F0000}"/>
    <cellStyle name="Normal 10 2 10 2 31 4 7" xfId="3933" xr:uid="{00000000-0005-0000-0000-00005D0F0000}"/>
    <cellStyle name="Normal 10 2 10 2 31 4 8" xfId="3934" xr:uid="{00000000-0005-0000-0000-00005E0F0000}"/>
    <cellStyle name="Normal 10 2 10 2 31 4 9" xfId="3935" xr:uid="{00000000-0005-0000-0000-00005F0F0000}"/>
    <cellStyle name="Normal 10 2 10 2 31 5" xfId="3936" xr:uid="{00000000-0005-0000-0000-0000600F0000}"/>
    <cellStyle name="Normal 10 2 10 2 31 5 10" xfId="3937" xr:uid="{00000000-0005-0000-0000-0000610F0000}"/>
    <cellStyle name="Normal 10 2 10 2 31 5 2" xfId="3938" xr:uid="{00000000-0005-0000-0000-0000620F0000}"/>
    <cellStyle name="Normal 10 2 10 2 31 5 3" xfId="3939" xr:uid="{00000000-0005-0000-0000-0000630F0000}"/>
    <cellStyle name="Normal 10 2 10 2 31 5 4" xfId="3940" xr:uid="{00000000-0005-0000-0000-0000640F0000}"/>
    <cellStyle name="Normal 10 2 10 2 31 5 5" xfId="3941" xr:uid="{00000000-0005-0000-0000-0000650F0000}"/>
    <cellStyle name="Normal 10 2 10 2 31 5 6" xfId="3942" xr:uid="{00000000-0005-0000-0000-0000660F0000}"/>
    <cellStyle name="Normal 10 2 10 2 31 5 7" xfId="3943" xr:uid="{00000000-0005-0000-0000-0000670F0000}"/>
    <cellStyle name="Normal 10 2 10 2 31 5 8" xfId="3944" xr:uid="{00000000-0005-0000-0000-0000680F0000}"/>
    <cellStyle name="Normal 10 2 10 2 31 5 9" xfId="3945" xr:uid="{00000000-0005-0000-0000-0000690F0000}"/>
    <cellStyle name="Normal 10 2 10 2 31 6" xfId="3946" xr:uid="{00000000-0005-0000-0000-00006A0F0000}"/>
    <cellStyle name="Normal 10 2 10 2 31 7" xfId="3947" xr:uid="{00000000-0005-0000-0000-00006B0F0000}"/>
    <cellStyle name="Normal 10 2 10 2 31 8" xfId="3948" xr:uid="{00000000-0005-0000-0000-00006C0F0000}"/>
    <cellStyle name="Normal 10 2 10 2 31 9" xfId="3949" xr:uid="{00000000-0005-0000-0000-00006D0F0000}"/>
    <cellStyle name="Normal 10 2 10 2 32" xfId="3950" xr:uid="{00000000-0005-0000-0000-00006E0F0000}"/>
    <cellStyle name="Normal 10 2 10 2 32 10" xfId="3951" xr:uid="{00000000-0005-0000-0000-00006F0F0000}"/>
    <cellStyle name="Normal 10 2 10 2 32 11" xfId="3952" xr:uid="{00000000-0005-0000-0000-0000700F0000}"/>
    <cellStyle name="Normal 10 2 10 2 32 12" xfId="3953" xr:uid="{00000000-0005-0000-0000-0000710F0000}"/>
    <cellStyle name="Normal 10 2 10 2 32 13" xfId="3954" xr:uid="{00000000-0005-0000-0000-0000720F0000}"/>
    <cellStyle name="Normal 10 2 10 2 32 14" xfId="3955" xr:uid="{00000000-0005-0000-0000-0000730F0000}"/>
    <cellStyle name="Normal 10 2 10 2 32 2" xfId="3956" xr:uid="{00000000-0005-0000-0000-0000740F0000}"/>
    <cellStyle name="Normal 10 2 10 2 32 2 10" xfId="3957" xr:uid="{00000000-0005-0000-0000-0000750F0000}"/>
    <cellStyle name="Normal 10 2 10 2 32 2 2" xfId="3958" xr:uid="{00000000-0005-0000-0000-0000760F0000}"/>
    <cellStyle name="Normal 10 2 10 2 32 2 3" xfId="3959" xr:uid="{00000000-0005-0000-0000-0000770F0000}"/>
    <cellStyle name="Normal 10 2 10 2 32 2 4" xfId="3960" xr:uid="{00000000-0005-0000-0000-0000780F0000}"/>
    <cellStyle name="Normal 10 2 10 2 32 2 5" xfId="3961" xr:uid="{00000000-0005-0000-0000-0000790F0000}"/>
    <cellStyle name="Normal 10 2 10 2 32 2 6" xfId="3962" xr:uid="{00000000-0005-0000-0000-00007A0F0000}"/>
    <cellStyle name="Normal 10 2 10 2 32 2 7" xfId="3963" xr:uid="{00000000-0005-0000-0000-00007B0F0000}"/>
    <cellStyle name="Normal 10 2 10 2 32 2 8" xfId="3964" xr:uid="{00000000-0005-0000-0000-00007C0F0000}"/>
    <cellStyle name="Normal 10 2 10 2 32 2 9" xfId="3965" xr:uid="{00000000-0005-0000-0000-00007D0F0000}"/>
    <cellStyle name="Normal 10 2 10 2 32 3" xfId="3966" xr:uid="{00000000-0005-0000-0000-00007E0F0000}"/>
    <cellStyle name="Normal 10 2 10 2 32 3 10" xfId="3967" xr:uid="{00000000-0005-0000-0000-00007F0F0000}"/>
    <cellStyle name="Normal 10 2 10 2 32 3 2" xfId="3968" xr:uid="{00000000-0005-0000-0000-0000800F0000}"/>
    <cellStyle name="Normal 10 2 10 2 32 3 3" xfId="3969" xr:uid="{00000000-0005-0000-0000-0000810F0000}"/>
    <cellStyle name="Normal 10 2 10 2 32 3 4" xfId="3970" xr:uid="{00000000-0005-0000-0000-0000820F0000}"/>
    <cellStyle name="Normal 10 2 10 2 32 3 5" xfId="3971" xr:uid="{00000000-0005-0000-0000-0000830F0000}"/>
    <cellStyle name="Normal 10 2 10 2 32 3 6" xfId="3972" xr:uid="{00000000-0005-0000-0000-0000840F0000}"/>
    <cellStyle name="Normal 10 2 10 2 32 3 7" xfId="3973" xr:uid="{00000000-0005-0000-0000-0000850F0000}"/>
    <cellStyle name="Normal 10 2 10 2 32 3 8" xfId="3974" xr:uid="{00000000-0005-0000-0000-0000860F0000}"/>
    <cellStyle name="Normal 10 2 10 2 32 3 9" xfId="3975" xr:uid="{00000000-0005-0000-0000-0000870F0000}"/>
    <cellStyle name="Normal 10 2 10 2 32 4" xfId="3976" xr:uid="{00000000-0005-0000-0000-0000880F0000}"/>
    <cellStyle name="Normal 10 2 10 2 32 4 10" xfId="3977" xr:uid="{00000000-0005-0000-0000-0000890F0000}"/>
    <cellStyle name="Normal 10 2 10 2 32 4 2" xfId="3978" xr:uid="{00000000-0005-0000-0000-00008A0F0000}"/>
    <cellStyle name="Normal 10 2 10 2 32 4 3" xfId="3979" xr:uid="{00000000-0005-0000-0000-00008B0F0000}"/>
    <cellStyle name="Normal 10 2 10 2 32 4 4" xfId="3980" xr:uid="{00000000-0005-0000-0000-00008C0F0000}"/>
    <cellStyle name="Normal 10 2 10 2 32 4 5" xfId="3981" xr:uid="{00000000-0005-0000-0000-00008D0F0000}"/>
    <cellStyle name="Normal 10 2 10 2 32 4 6" xfId="3982" xr:uid="{00000000-0005-0000-0000-00008E0F0000}"/>
    <cellStyle name="Normal 10 2 10 2 32 4 7" xfId="3983" xr:uid="{00000000-0005-0000-0000-00008F0F0000}"/>
    <cellStyle name="Normal 10 2 10 2 32 4 8" xfId="3984" xr:uid="{00000000-0005-0000-0000-0000900F0000}"/>
    <cellStyle name="Normal 10 2 10 2 32 4 9" xfId="3985" xr:uid="{00000000-0005-0000-0000-0000910F0000}"/>
    <cellStyle name="Normal 10 2 10 2 32 5" xfId="3986" xr:uid="{00000000-0005-0000-0000-0000920F0000}"/>
    <cellStyle name="Normal 10 2 10 2 32 5 10" xfId="3987" xr:uid="{00000000-0005-0000-0000-0000930F0000}"/>
    <cellStyle name="Normal 10 2 10 2 32 5 2" xfId="3988" xr:uid="{00000000-0005-0000-0000-0000940F0000}"/>
    <cellStyle name="Normal 10 2 10 2 32 5 3" xfId="3989" xr:uid="{00000000-0005-0000-0000-0000950F0000}"/>
    <cellStyle name="Normal 10 2 10 2 32 5 4" xfId="3990" xr:uid="{00000000-0005-0000-0000-0000960F0000}"/>
    <cellStyle name="Normal 10 2 10 2 32 5 5" xfId="3991" xr:uid="{00000000-0005-0000-0000-0000970F0000}"/>
    <cellStyle name="Normal 10 2 10 2 32 5 6" xfId="3992" xr:uid="{00000000-0005-0000-0000-0000980F0000}"/>
    <cellStyle name="Normal 10 2 10 2 32 5 7" xfId="3993" xr:uid="{00000000-0005-0000-0000-0000990F0000}"/>
    <cellStyle name="Normal 10 2 10 2 32 5 8" xfId="3994" xr:uid="{00000000-0005-0000-0000-00009A0F0000}"/>
    <cellStyle name="Normal 10 2 10 2 32 5 9" xfId="3995" xr:uid="{00000000-0005-0000-0000-00009B0F0000}"/>
    <cellStyle name="Normal 10 2 10 2 32 6" xfId="3996" xr:uid="{00000000-0005-0000-0000-00009C0F0000}"/>
    <cellStyle name="Normal 10 2 10 2 32 7" xfId="3997" xr:uid="{00000000-0005-0000-0000-00009D0F0000}"/>
    <cellStyle name="Normal 10 2 10 2 32 8" xfId="3998" xr:uid="{00000000-0005-0000-0000-00009E0F0000}"/>
    <cellStyle name="Normal 10 2 10 2 32 9" xfId="3999" xr:uid="{00000000-0005-0000-0000-00009F0F0000}"/>
    <cellStyle name="Normal 10 2 10 2 33" xfId="4000" xr:uid="{00000000-0005-0000-0000-0000A00F0000}"/>
    <cellStyle name="Normal 10 2 10 2 33 10" xfId="4001" xr:uid="{00000000-0005-0000-0000-0000A10F0000}"/>
    <cellStyle name="Normal 10 2 10 2 33 11" xfId="4002" xr:uid="{00000000-0005-0000-0000-0000A20F0000}"/>
    <cellStyle name="Normal 10 2 10 2 33 12" xfId="4003" xr:uid="{00000000-0005-0000-0000-0000A30F0000}"/>
    <cellStyle name="Normal 10 2 10 2 33 13" xfId="4004" xr:uid="{00000000-0005-0000-0000-0000A40F0000}"/>
    <cellStyle name="Normal 10 2 10 2 33 14" xfId="4005" xr:uid="{00000000-0005-0000-0000-0000A50F0000}"/>
    <cellStyle name="Normal 10 2 10 2 33 2" xfId="4006" xr:uid="{00000000-0005-0000-0000-0000A60F0000}"/>
    <cellStyle name="Normal 10 2 10 2 33 2 10" xfId="4007" xr:uid="{00000000-0005-0000-0000-0000A70F0000}"/>
    <cellStyle name="Normal 10 2 10 2 33 2 2" xfId="4008" xr:uid="{00000000-0005-0000-0000-0000A80F0000}"/>
    <cellStyle name="Normal 10 2 10 2 33 2 3" xfId="4009" xr:uid="{00000000-0005-0000-0000-0000A90F0000}"/>
    <cellStyle name="Normal 10 2 10 2 33 2 4" xfId="4010" xr:uid="{00000000-0005-0000-0000-0000AA0F0000}"/>
    <cellStyle name="Normal 10 2 10 2 33 2 5" xfId="4011" xr:uid="{00000000-0005-0000-0000-0000AB0F0000}"/>
    <cellStyle name="Normal 10 2 10 2 33 2 6" xfId="4012" xr:uid="{00000000-0005-0000-0000-0000AC0F0000}"/>
    <cellStyle name="Normal 10 2 10 2 33 2 7" xfId="4013" xr:uid="{00000000-0005-0000-0000-0000AD0F0000}"/>
    <cellStyle name="Normal 10 2 10 2 33 2 8" xfId="4014" xr:uid="{00000000-0005-0000-0000-0000AE0F0000}"/>
    <cellStyle name="Normal 10 2 10 2 33 2 9" xfId="4015" xr:uid="{00000000-0005-0000-0000-0000AF0F0000}"/>
    <cellStyle name="Normal 10 2 10 2 33 3" xfId="4016" xr:uid="{00000000-0005-0000-0000-0000B00F0000}"/>
    <cellStyle name="Normal 10 2 10 2 33 3 10" xfId="4017" xr:uid="{00000000-0005-0000-0000-0000B10F0000}"/>
    <cellStyle name="Normal 10 2 10 2 33 3 2" xfId="4018" xr:uid="{00000000-0005-0000-0000-0000B20F0000}"/>
    <cellStyle name="Normal 10 2 10 2 33 3 3" xfId="4019" xr:uid="{00000000-0005-0000-0000-0000B30F0000}"/>
    <cellStyle name="Normal 10 2 10 2 33 3 4" xfId="4020" xr:uid="{00000000-0005-0000-0000-0000B40F0000}"/>
    <cellStyle name="Normal 10 2 10 2 33 3 5" xfId="4021" xr:uid="{00000000-0005-0000-0000-0000B50F0000}"/>
    <cellStyle name="Normal 10 2 10 2 33 3 6" xfId="4022" xr:uid="{00000000-0005-0000-0000-0000B60F0000}"/>
    <cellStyle name="Normal 10 2 10 2 33 3 7" xfId="4023" xr:uid="{00000000-0005-0000-0000-0000B70F0000}"/>
    <cellStyle name="Normal 10 2 10 2 33 3 8" xfId="4024" xr:uid="{00000000-0005-0000-0000-0000B80F0000}"/>
    <cellStyle name="Normal 10 2 10 2 33 3 9" xfId="4025" xr:uid="{00000000-0005-0000-0000-0000B90F0000}"/>
    <cellStyle name="Normal 10 2 10 2 33 4" xfId="4026" xr:uid="{00000000-0005-0000-0000-0000BA0F0000}"/>
    <cellStyle name="Normal 10 2 10 2 33 4 10" xfId="4027" xr:uid="{00000000-0005-0000-0000-0000BB0F0000}"/>
    <cellStyle name="Normal 10 2 10 2 33 4 2" xfId="4028" xr:uid="{00000000-0005-0000-0000-0000BC0F0000}"/>
    <cellStyle name="Normal 10 2 10 2 33 4 3" xfId="4029" xr:uid="{00000000-0005-0000-0000-0000BD0F0000}"/>
    <cellStyle name="Normal 10 2 10 2 33 4 4" xfId="4030" xr:uid="{00000000-0005-0000-0000-0000BE0F0000}"/>
    <cellStyle name="Normal 10 2 10 2 33 4 5" xfId="4031" xr:uid="{00000000-0005-0000-0000-0000BF0F0000}"/>
    <cellStyle name="Normal 10 2 10 2 33 4 6" xfId="4032" xr:uid="{00000000-0005-0000-0000-0000C00F0000}"/>
    <cellStyle name="Normal 10 2 10 2 33 4 7" xfId="4033" xr:uid="{00000000-0005-0000-0000-0000C10F0000}"/>
    <cellStyle name="Normal 10 2 10 2 33 4 8" xfId="4034" xr:uid="{00000000-0005-0000-0000-0000C20F0000}"/>
    <cellStyle name="Normal 10 2 10 2 33 4 9" xfId="4035" xr:uid="{00000000-0005-0000-0000-0000C30F0000}"/>
    <cellStyle name="Normal 10 2 10 2 33 5" xfId="4036" xr:uid="{00000000-0005-0000-0000-0000C40F0000}"/>
    <cellStyle name="Normal 10 2 10 2 33 5 10" xfId="4037" xr:uid="{00000000-0005-0000-0000-0000C50F0000}"/>
    <cellStyle name="Normal 10 2 10 2 33 5 2" xfId="4038" xr:uid="{00000000-0005-0000-0000-0000C60F0000}"/>
    <cellStyle name="Normal 10 2 10 2 33 5 3" xfId="4039" xr:uid="{00000000-0005-0000-0000-0000C70F0000}"/>
    <cellStyle name="Normal 10 2 10 2 33 5 4" xfId="4040" xr:uid="{00000000-0005-0000-0000-0000C80F0000}"/>
    <cellStyle name="Normal 10 2 10 2 33 5 5" xfId="4041" xr:uid="{00000000-0005-0000-0000-0000C90F0000}"/>
    <cellStyle name="Normal 10 2 10 2 33 5 6" xfId="4042" xr:uid="{00000000-0005-0000-0000-0000CA0F0000}"/>
    <cellStyle name="Normal 10 2 10 2 33 5 7" xfId="4043" xr:uid="{00000000-0005-0000-0000-0000CB0F0000}"/>
    <cellStyle name="Normal 10 2 10 2 33 5 8" xfId="4044" xr:uid="{00000000-0005-0000-0000-0000CC0F0000}"/>
    <cellStyle name="Normal 10 2 10 2 33 5 9" xfId="4045" xr:uid="{00000000-0005-0000-0000-0000CD0F0000}"/>
    <cellStyle name="Normal 10 2 10 2 33 6" xfId="4046" xr:uid="{00000000-0005-0000-0000-0000CE0F0000}"/>
    <cellStyle name="Normal 10 2 10 2 33 7" xfId="4047" xr:uid="{00000000-0005-0000-0000-0000CF0F0000}"/>
    <cellStyle name="Normal 10 2 10 2 33 8" xfId="4048" xr:uid="{00000000-0005-0000-0000-0000D00F0000}"/>
    <cellStyle name="Normal 10 2 10 2 33 9" xfId="4049" xr:uid="{00000000-0005-0000-0000-0000D10F0000}"/>
    <cellStyle name="Normal 10 2 10 2 34" xfId="4050" xr:uid="{00000000-0005-0000-0000-0000D20F0000}"/>
    <cellStyle name="Normal 10 2 10 2 34 10" xfId="4051" xr:uid="{00000000-0005-0000-0000-0000D30F0000}"/>
    <cellStyle name="Normal 10 2 10 2 34 2" xfId="4052" xr:uid="{00000000-0005-0000-0000-0000D40F0000}"/>
    <cellStyle name="Normal 10 2 10 2 34 3" xfId="4053" xr:uid="{00000000-0005-0000-0000-0000D50F0000}"/>
    <cellStyle name="Normal 10 2 10 2 34 4" xfId="4054" xr:uid="{00000000-0005-0000-0000-0000D60F0000}"/>
    <cellStyle name="Normal 10 2 10 2 34 5" xfId="4055" xr:uid="{00000000-0005-0000-0000-0000D70F0000}"/>
    <cellStyle name="Normal 10 2 10 2 34 6" xfId="4056" xr:uid="{00000000-0005-0000-0000-0000D80F0000}"/>
    <cellStyle name="Normal 10 2 10 2 34 7" xfId="4057" xr:uid="{00000000-0005-0000-0000-0000D90F0000}"/>
    <cellStyle name="Normal 10 2 10 2 34 8" xfId="4058" xr:uid="{00000000-0005-0000-0000-0000DA0F0000}"/>
    <cellStyle name="Normal 10 2 10 2 34 9" xfId="4059" xr:uid="{00000000-0005-0000-0000-0000DB0F0000}"/>
    <cellStyle name="Normal 10 2 10 2 35" xfId="4060" xr:uid="{00000000-0005-0000-0000-0000DC0F0000}"/>
    <cellStyle name="Normal 10 2 10 2 35 10" xfId="4061" xr:uid="{00000000-0005-0000-0000-0000DD0F0000}"/>
    <cellStyle name="Normal 10 2 10 2 35 2" xfId="4062" xr:uid="{00000000-0005-0000-0000-0000DE0F0000}"/>
    <cellStyle name="Normal 10 2 10 2 35 3" xfId="4063" xr:uid="{00000000-0005-0000-0000-0000DF0F0000}"/>
    <cellStyle name="Normal 10 2 10 2 35 4" xfId="4064" xr:uid="{00000000-0005-0000-0000-0000E00F0000}"/>
    <cellStyle name="Normal 10 2 10 2 35 5" xfId="4065" xr:uid="{00000000-0005-0000-0000-0000E10F0000}"/>
    <cellStyle name="Normal 10 2 10 2 35 6" xfId="4066" xr:uid="{00000000-0005-0000-0000-0000E20F0000}"/>
    <cellStyle name="Normal 10 2 10 2 35 7" xfId="4067" xr:uid="{00000000-0005-0000-0000-0000E30F0000}"/>
    <cellStyle name="Normal 10 2 10 2 35 8" xfId="4068" xr:uid="{00000000-0005-0000-0000-0000E40F0000}"/>
    <cellStyle name="Normal 10 2 10 2 35 9" xfId="4069" xr:uid="{00000000-0005-0000-0000-0000E50F0000}"/>
    <cellStyle name="Normal 10 2 10 2 36" xfId="4070" xr:uid="{00000000-0005-0000-0000-0000E60F0000}"/>
    <cellStyle name="Normal 10 2 10 2 36 10" xfId="4071" xr:uid="{00000000-0005-0000-0000-0000E70F0000}"/>
    <cellStyle name="Normal 10 2 10 2 36 2" xfId="4072" xr:uid="{00000000-0005-0000-0000-0000E80F0000}"/>
    <cellStyle name="Normal 10 2 10 2 36 3" xfId="4073" xr:uid="{00000000-0005-0000-0000-0000E90F0000}"/>
    <cellStyle name="Normal 10 2 10 2 36 4" xfId="4074" xr:uid="{00000000-0005-0000-0000-0000EA0F0000}"/>
    <cellStyle name="Normal 10 2 10 2 36 5" xfId="4075" xr:uid="{00000000-0005-0000-0000-0000EB0F0000}"/>
    <cellStyle name="Normal 10 2 10 2 36 6" xfId="4076" xr:uid="{00000000-0005-0000-0000-0000EC0F0000}"/>
    <cellStyle name="Normal 10 2 10 2 36 7" xfId="4077" xr:uid="{00000000-0005-0000-0000-0000ED0F0000}"/>
    <cellStyle name="Normal 10 2 10 2 36 8" xfId="4078" xr:uid="{00000000-0005-0000-0000-0000EE0F0000}"/>
    <cellStyle name="Normal 10 2 10 2 36 9" xfId="4079" xr:uid="{00000000-0005-0000-0000-0000EF0F0000}"/>
    <cellStyle name="Normal 10 2 10 2 37" xfId="4080" xr:uid="{00000000-0005-0000-0000-0000F00F0000}"/>
    <cellStyle name="Normal 10 2 10 2 37 10" xfId="4081" xr:uid="{00000000-0005-0000-0000-0000F10F0000}"/>
    <cellStyle name="Normal 10 2 10 2 37 2" xfId="4082" xr:uid="{00000000-0005-0000-0000-0000F20F0000}"/>
    <cellStyle name="Normal 10 2 10 2 37 3" xfId="4083" xr:uid="{00000000-0005-0000-0000-0000F30F0000}"/>
    <cellStyle name="Normal 10 2 10 2 37 4" xfId="4084" xr:uid="{00000000-0005-0000-0000-0000F40F0000}"/>
    <cellStyle name="Normal 10 2 10 2 37 5" xfId="4085" xr:uid="{00000000-0005-0000-0000-0000F50F0000}"/>
    <cellStyle name="Normal 10 2 10 2 37 6" xfId="4086" xr:uid="{00000000-0005-0000-0000-0000F60F0000}"/>
    <cellStyle name="Normal 10 2 10 2 37 7" xfId="4087" xr:uid="{00000000-0005-0000-0000-0000F70F0000}"/>
    <cellStyle name="Normal 10 2 10 2 37 8" xfId="4088" xr:uid="{00000000-0005-0000-0000-0000F80F0000}"/>
    <cellStyle name="Normal 10 2 10 2 37 9" xfId="4089" xr:uid="{00000000-0005-0000-0000-0000F90F0000}"/>
    <cellStyle name="Normal 10 2 10 2 38" xfId="4090" xr:uid="{00000000-0005-0000-0000-0000FA0F0000}"/>
    <cellStyle name="Normal 10 2 10 2 39" xfId="4091" xr:uid="{00000000-0005-0000-0000-0000FB0F0000}"/>
    <cellStyle name="Normal 10 2 10 2 4" xfId="4092" xr:uid="{00000000-0005-0000-0000-0000FC0F0000}"/>
    <cellStyle name="Normal 10 2 10 2 4 10" xfId="4093" xr:uid="{00000000-0005-0000-0000-0000FD0F0000}"/>
    <cellStyle name="Normal 10 2 10 2 4 11" xfId="4094" xr:uid="{00000000-0005-0000-0000-0000FE0F0000}"/>
    <cellStyle name="Normal 10 2 10 2 4 12" xfId="4095" xr:uid="{00000000-0005-0000-0000-0000FF0F0000}"/>
    <cellStyle name="Normal 10 2 10 2 4 13" xfId="4096" xr:uid="{00000000-0005-0000-0000-000000100000}"/>
    <cellStyle name="Normal 10 2 10 2 4 14" xfId="4097" xr:uid="{00000000-0005-0000-0000-000001100000}"/>
    <cellStyle name="Normal 10 2 10 2 4 2" xfId="4098" xr:uid="{00000000-0005-0000-0000-000002100000}"/>
    <cellStyle name="Normal 10 2 10 2 4 2 10" xfId="4099" xr:uid="{00000000-0005-0000-0000-000003100000}"/>
    <cellStyle name="Normal 10 2 10 2 4 2 2" xfId="4100" xr:uid="{00000000-0005-0000-0000-000004100000}"/>
    <cellStyle name="Normal 10 2 10 2 4 2 3" xfId="4101" xr:uid="{00000000-0005-0000-0000-000005100000}"/>
    <cellStyle name="Normal 10 2 10 2 4 2 4" xfId="4102" xr:uid="{00000000-0005-0000-0000-000006100000}"/>
    <cellStyle name="Normal 10 2 10 2 4 2 5" xfId="4103" xr:uid="{00000000-0005-0000-0000-000007100000}"/>
    <cellStyle name="Normal 10 2 10 2 4 2 6" xfId="4104" xr:uid="{00000000-0005-0000-0000-000008100000}"/>
    <cellStyle name="Normal 10 2 10 2 4 2 7" xfId="4105" xr:uid="{00000000-0005-0000-0000-000009100000}"/>
    <cellStyle name="Normal 10 2 10 2 4 2 8" xfId="4106" xr:uid="{00000000-0005-0000-0000-00000A100000}"/>
    <cellStyle name="Normal 10 2 10 2 4 2 9" xfId="4107" xr:uid="{00000000-0005-0000-0000-00000B100000}"/>
    <cellStyle name="Normal 10 2 10 2 4 3" xfId="4108" xr:uid="{00000000-0005-0000-0000-00000C100000}"/>
    <cellStyle name="Normal 10 2 10 2 4 3 10" xfId="4109" xr:uid="{00000000-0005-0000-0000-00000D100000}"/>
    <cellStyle name="Normal 10 2 10 2 4 3 2" xfId="4110" xr:uid="{00000000-0005-0000-0000-00000E100000}"/>
    <cellStyle name="Normal 10 2 10 2 4 3 3" xfId="4111" xr:uid="{00000000-0005-0000-0000-00000F100000}"/>
    <cellStyle name="Normal 10 2 10 2 4 3 4" xfId="4112" xr:uid="{00000000-0005-0000-0000-000010100000}"/>
    <cellStyle name="Normal 10 2 10 2 4 3 5" xfId="4113" xr:uid="{00000000-0005-0000-0000-000011100000}"/>
    <cellStyle name="Normal 10 2 10 2 4 3 6" xfId="4114" xr:uid="{00000000-0005-0000-0000-000012100000}"/>
    <cellStyle name="Normal 10 2 10 2 4 3 7" xfId="4115" xr:uid="{00000000-0005-0000-0000-000013100000}"/>
    <cellStyle name="Normal 10 2 10 2 4 3 8" xfId="4116" xr:uid="{00000000-0005-0000-0000-000014100000}"/>
    <cellStyle name="Normal 10 2 10 2 4 3 9" xfId="4117" xr:uid="{00000000-0005-0000-0000-000015100000}"/>
    <cellStyle name="Normal 10 2 10 2 4 4" xfId="4118" xr:uid="{00000000-0005-0000-0000-000016100000}"/>
    <cellStyle name="Normal 10 2 10 2 4 4 10" xfId="4119" xr:uid="{00000000-0005-0000-0000-000017100000}"/>
    <cellStyle name="Normal 10 2 10 2 4 4 2" xfId="4120" xr:uid="{00000000-0005-0000-0000-000018100000}"/>
    <cellStyle name="Normal 10 2 10 2 4 4 3" xfId="4121" xr:uid="{00000000-0005-0000-0000-000019100000}"/>
    <cellStyle name="Normal 10 2 10 2 4 4 4" xfId="4122" xr:uid="{00000000-0005-0000-0000-00001A100000}"/>
    <cellStyle name="Normal 10 2 10 2 4 4 5" xfId="4123" xr:uid="{00000000-0005-0000-0000-00001B100000}"/>
    <cellStyle name="Normal 10 2 10 2 4 4 6" xfId="4124" xr:uid="{00000000-0005-0000-0000-00001C100000}"/>
    <cellStyle name="Normal 10 2 10 2 4 4 7" xfId="4125" xr:uid="{00000000-0005-0000-0000-00001D100000}"/>
    <cellStyle name="Normal 10 2 10 2 4 4 8" xfId="4126" xr:uid="{00000000-0005-0000-0000-00001E100000}"/>
    <cellStyle name="Normal 10 2 10 2 4 4 9" xfId="4127" xr:uid="{00000000-0005-0000-0000-00001F100000}"/>
    <cellStyle name="Normal 10 2 10 2 4 5" xfId="4128" xr:uid="{00000000-0005-0000-0000-000020100000}"/>
    <cellStyle name="Normal 10 2 10 2 4 5 10" xfId="4129" xr:uid="{00000000-0005-0000-0000-000021100000}"/>
    <cellStyle name="Normal 10 2 10 2 4 5 2" xfId="4130" xr:uid="{00000000-0005-0000-0000-000022100000}"/>
    <cellStyle name="Normal 10 2 10 2 4 5 3" xfId="4131" xr:uid="{00000000-0005-0000-0000-000023100000}"/>
    <cellStyle name="Normal 10 2 10 2 4 5 4" xfId="4132" xr:uid="{00000000-0005-0000-0000-000024100000}"/>
    <cellStyle name="Normal 10 2 10 2 4 5 5" xfId="4133" xr:uid="{00000000-0005-0000-0000-000025100000}"/>
    <cellStyle name="Normal 10 2 10 2 4 5 6" xfId="4134" xr:uid="{00000000-0005-0000-0000-000026100000}"/>
    <cellStyle name="Normal 10 2 10 2 4 5 7" xfId="4135" xr:uid="{00000000-0005-0000-0000-000027100000}"/>
    <cellStyle name="Normal 10 2 10 2 4 5 8" xfId="4136" xr:uid="{00000000-0005-0000-0000-000028100000}"/>
    <cellStyle name="Normal 10 2 10 2 4 5 9" xfId="4137" xr:uid="{00000000-0005-0000-0000-000029100000}"/>
    <cellStyle name="Normal 10 2 10 2 4 6" xfId="4138" xr:uid="{00000000-0005-0000-0000-00002A100000}"/>
    <cellStyle name="Normal 10 2 10 2 4 7" xfId="4139" xr:uid="{00000000-0005-0000-0000-00002B100000}"/>
    <cellStyle name="Normal 10 2 10 2 4 8" xfId="4140" xr:uid="{00000000-0005-0000-0000-00002C100000}"/>
    <cellStyle name="Normal 10 2 10 2 4 9" xfId="4141" xr:uid="{00000000-0005-0000-0000-00002D100000}"/>
    <cellStyle name="Normal 10 2 10 2 40" xfId="4142" xr:uid="{00000000-0005-0000-0000-00002E100000}"/>
    <cellStyle name="Normal 10 2 10 2 41" xfId="4143" xr:uid="{00000000-0005-0000-0000-00002F100000}"/>
    <cellStyle name="Normal 10 2 10 2 42" xfId="4144" xr:uid="{00000000-0005-0000-0000-000030100000}"/>
    <cellStyle name="Normal 10 2 10 2 43" xfId="4145" xr:uid="{00000000-0005-0000-0000-000031100000}"/>
    <cellStyle name="Normal 10 2 10 2 44" xfId="4146" xr:uid="{00000000-0005-0000-0000-000032100000}"/>
    <cellStyle name="Normal 10 2 10 2 45" xfId="4147" xr:uid="{00000000-0005-0000-0000-000033100000}"/>
    <cellStyle name="Normal 10 2 10 2 46" xfId="4148" xr:uid="{00000000-0005-0000-0000-000034100000}"/>
    <cellStyle name="Normal 10 2 10 2 47" xfId="4149" xr:uid="{00000000-0005-0000-0000-000035100000}"/>
    <cellStyle name="Normal 10 2 10 2 48" xfId="4150" xr:uid="{00000000-0005-0000-0000-000036100000}"/>
    <cellStyle name="Normal 10 2 10 2 49" xfId="2749" xr:uid="{00000000-0005-0000-0000-0000BD0A0000}"/>
    <cellStyle name="Normal 10 2 10 2 5" xfId="4151" xr:uid="{00000000-0005-0000-0000-000037100000}"/>
    <cellStyle name="Normal 10 2 10 2 5 10" xfId="4152" xr:uid="{00000000-0005-0000-0000-000038100000}"/>
    <cellStyle name="Normal 10 2 10 2 5 11" xfId="4153" xr:uid="{00000000-0005-0000-0000-000039100000}"/>
    <cellStyle name="Normal 10 2 10 2 5 12" xfId="4154" xr:uid="{00000000-0005-0000-0000-00003A100000}"/>
    <cellStyle name="Normal 10 2 10 2 5 13" xfId="4155" xr:uid="{00000000-0005-0000-0000-00003B100000}"/>
    <cellStyle name="Normal 10 2 10 2 5 14" xfId="4156" xr:uid="{00000000-0005-0000-0000-00003C100000}"/>
    <cellStyle name="Normal 10 2 10 2 5 2" xfId="4157" xr:uid="{00000000-0005-0000-0000-00003D100000}"/>
    <cellStyle name="Normal 10 2 10 2 5 2 10" xfId="4158" xr:uid="{00000000-0005-0000-0000-00003E100000}"/>
    <cellStyle name="Normal 10 2 10 2 5 2 2" xfId="4159" xr:uid="{00000000-0005-0000-0000-00003F100000}"/>
    <cellStyle name="Normal 10 2 10 2 5 2 3" xfId="4160" xr:uid="{00000000-0005-0000-0000-000040100000}"/>
    <cellStyle name="Normal 10 2 10 2 5 2 4" xfId="4161" xr:uid="{00000000-0005-0000-0000-000041100000}"/>
    <cellStyle name="Normal 10 2 10 2 5 2 5" xfId="4162" xr:uid="{00000000-0005-0000-0000-000042100000}"/>
    <cellStyle name="Normal 10 2 10 2 5 2 6" xfId="4163" xr:uid="{00000000-0005-0000-0000-000043100000}"/>
    <cellStyle name="Normal 10 2 10 2 5 2 7" xfId="4164" xr:uid="{00000000-0005-0000-0000-000044100000}"/>
    <cellStyle name="Normal 10 2 10 2 5 2 8" xfId="4165" xr:uid="{00000000-0005-0000-0000-000045100000}"/>
    <cellStyle name="Normal 10 2 10 2 5 2 9" xfId="4166" xr:uid="{00000000-0005-0000-0000-000046100000}"/>
    <cellStyle name="Normal 10 2 10 2 5 3" xfId="4167" xr:uid="{00000000-0005-0000-0000-000047100000}"/>
    <cellStyle name="Normal 10 2 10 2 5 3 10" xfId="4168" xr:uid="{00000000-0005-0000-0000-000048100000}"/>
    <cellStyle name="Normal 10 2 10 2 5 3 2" xfId="4169" xr:uid="{00000000-0005-0000-0000-000049100000}"/>
    <cellStyle name="Normal 10 2 10 2 5 3 3" xfId="4170" xr:uid="{00000000-0005-0000-0000-00004A100000}"/>
    <cellStyle name="Normal 10 2 10 2 5 3 4" xfId="4171" xr:uid="{00000000-0005-0000-0000-00004B100000}"/>
    <cellStyle name="Normal 10 2 10 2 5 3 5" xfId="4172" xr:uid="{00000000-0005-0000-0000-00004C100000}"/>
    <cellStyle name="Normal 10 2 10 2 5 3 6" xfId="4173" xr:uid="{00000000-0005-0000-0000-00004D100000}"/>
    <cellStyle name="Normal 10 2 10 2 5 3 7" xfId="4174" xr:uid="{00000000-0005-0000-0000-00004E100000}"/>
    <cellStyle name="Normal 10 2 10 2 5 3 8" xfId="4175" xr:uid="{00000000-0005-0000-0000-00004F100000}"/>
    <cellStyle name="Normal 10 2 10 2 5 3 9" xfId="4176" xr:uid="{00000000-0005-0000-0000-000050100000}"/>
    <cellStyle name="Normal 10 2 10 2 5 4" xfId="4177" xr:uid="{00000000-0005-0000-0000-000051100000}"/>
    <cellStyle name="Normal 10 2 10 2 5 4 10" xfId="4178" xr:uid="{00000000-0005-0000-0000-000052100000}"/>
    <cellStyle name="Normal 10 2 10 2 5 4 2" xfId="4179" xr:uid="{00000000-0005-0000-0000-000053100000}"/>
    <cellStyle name="Normal 10 2 10 2 5 4 3" xfId="4180" xr:uid="{00000000-0005-0000-0000-000054100000}"/>
    <cellStyle name="Normal 10 2 10 2 5 4 4" xfId="4181" xr:uid="{00000000-0005-0000-0000-000055100000}"/>
    <cellStyle name="Normal 10 2 10 2 5 4 5" xfId="4182" xr:uid="{00000000-0005-0000-0000-000056100000}"/>
    <cellStyle name="Normal 10 2 10 2 5 4 6" xfId="4183" xr:uid="{00000000-0005-0000-0000-000057100000}"/>
    <cellStyle name="Normal 10 2 10 2 5 4 7" xfId="4184" xr:uid="{00000000-0005-0000-0000-000058100000}"/>
    <cellStyle name="Normal 10 2 10 2 5 4 8" xfId="4185" xr:uid="{00000000-0005-0000-0000-000059100000}"/>
    <cellStyle name="Normal 10 2 10 2 5 4 9" xfId="4186" xr:uid="{00000000-0005-0000-0000-00005A100000}"/>
    <cellStyle name="Normal 10 2 10 2 5 5" xfId="4187" xr:uid="{00000000-0005-0000-0000-00005B100000}"/>
    <cellStyle name="Normal 10 2 10 2 5 5 10" xfId="4188" xr:uid="{00000000-0005-0000-0000-00005C100000}"/>
    <cellStyle name="Normal 10 2 10 2 5 5 2" xfId="4189" xr:uid="{00000000-0005-0000-0000-00005D100000}"/>
    <cellStyle name="Normal 10 2 10 2 5 5 3" xfId="4190" xr:uid="{00000000-0005-0000-0000-00005E100000}"/>
    <cellStyle name="Normal 10 2 10 2 5 5 4" xfId="4191" xr:uid="{00000000-0005-0000-0000-00005F100000}"/>
    <cellStyle name="Normal 10 2 10 2 5 5 5" xfId="4192" xr:uid="{00000000-0005-0000-0000-000060100000}"/>
    <cellStyle name="Normal 10 2 10 2 5 5 6" xfId="4193" xr:uid="{00000000-0005-0000-0000-000061100000}"/>
    <cellStyle name="Normal 10 2 10 2 5 5 7" xfId="4194" xr:uid="{00000000-0005-0000-0000-000062100000}"/>
    <cellStyle name="Normal 10 2 10 2 5 5 8" xfId="4195" xr:uid="{00000000-0005-0000-0000-000063100000}"/>
    <cellStyle name="Normal 10 2 10 2 5 5 9" xfId="4196" xr:uid="{00000000-0005-0000-0000-000064100000}"/>
    <cellStyle name="Normal 10 2 10 2 5 6" xfId="4197" xr:uid="{00000000-0005-0000-0000-000065100000}"/>
    <cellStyle name="Normal 10 2 10 2 5 7" xfId="4198" xr:uid="{00000000-0005-0000-0000-000066100000}"/>
    <cellStyle name="Normal 10 2 10 2 5 8" xfId="4199" xr:uid="{00000000-0005-0000-0000-000067100000}"/>
    <cellStyle name="Normal 10 2 10 2 5 9" xfId="4200" xr:uid="{00000000-0005-0000-0000-000068100000}"/>
    <cellStyle name="Normal 10 2 10 2 6" xfId="4201" xr:uid="{00000000-0005-0000-0000-000069100000}"/>
    <cellStyle name="Normal 10 2 10 2 6 10" xfId="4202" xr:uid="{00000000-0005-0000-0000-00006A100000}"/>
    <cellStyle name="Normal 10 2 10 2 6 11" xfId="4203" xr:uid="{00000000-0005-0000-0000-00006B100000}"/>
    <cellStyle name="Normal 10 2 10 2 6 12" xfId="4204" xr:uid="{00000000-0005-0000-0000-00006C100000}"/>
    <cellStyle name="Normal 10 2 10 2 6 13" xfId="4205" xr:uid="{00000000-0005-0000-0000-00006D100000}"/>
    <cellStyle name="Normal 10 2 10 2 6 14" xfId="4206" xr:uid="{00000000-0005-0000-0000-00006E100000}"/>
    <cellStyle name="Normal 10 2 10 2 6 2" xfId="4207" xr:uid="{00000000-0005-0000-0000-00006F100000}"/>
    <cellStyle name="Normal 10 2 10 2 6 2 10" xfId="4208" xr:uid="{00000000-0005-0000-0000-000070100000}"/>
    <cellStyle name="Normal 10 2 10 2 6 2 2" xfId="4209" xr:uid="{00000000-0005-0000-0000-000071100000}"/>
    <cellStyle name="Normal 10 2 10 2 6 2 3" xfId="4210" xr:uid="{00000000-0005-0000-0000-000072100000}"/>
    <cellStyle name="Normal 10 2 10 2 6 2 4" xfId="4211" xr:uid="{00000000-0005-0000-0000-000073100000}"/>
    <cellStyle name="Normal 10 2 10 2 6 2 5" xfId="4212" xr:uid="{00000000-0005-0000-0000-000074100000}"/>
    <cellStyle name="Normal 10 2 10 2 6 2 6" xfId="4213" xr:uid="{00000000-0005-0000-0000-000075100000}"/>
    <cellStyle name="Normal 10 2 10 2 6 2 7" xfId="4214" xr:uid="{00000000-0005-0000-0000-000076100000}"/>
    <cellStyle name="Normal 10 2 10 2 6 2 8" xfId="4215" xr:uid="{00000000-0005-0000-0000-000077100000}"/>
    <cellStyle name="Normal 10 2 10 2 6 2 9" xfId="4216" xr:uid="{00000000-0005-0000-0000-000078100000}"/>
    <cellStyle name="Normal 10 2 10 2 6 3" xfId="4217" xr:uid="{00000000-0005-0000-0000-000079100000}"/>
    <cellStyle name="Normal 10 2 10 2 6 3 10" xfId="4218" xr:uid="{00000000-0005-0000-0000-00007A100000}"/>
    <cellStyle name="Normal 10 2 10 2 6 3 2" xfId="4219" xr:uid="{00000000-0005-0000-0000-00007B100000}"/>
    <cellStyle name="Normal 10 2 10 2 6 3 3" xfId="4220" xr:uid="{00000000-0005-0000-0000-00007C100000}"/>
    <cellStyle name="Normal 10 2 10 2 6 3 4" xfId="4221" xr:uid="{00000000-0005-0000-0000-00007D100000}"/>
    <cellStyle name="Normal 10 2 10 2 6 3 5" xfId="4222" xr:uid="{00000000-0005-0000-0000-00007E100000}"/>
    <cellStyle name="Normal 10 2 10 2 6 3 6" xfId="4223" xr:uid="{00000000-0005-0000-0000-00007F100000}"/>
    <cellStyle name="Normal 10 2 10 2 6 3 7" xfId="4224" xr:uid="{00000000-0005-0000-0000-000080100000}"/>
    <cellStyle name="Normal 10 2 10 2 6 3 8" xfId="4225" xr:uid="{00000000-0005-0000-0000-000081100000}"/>
    <cellStyle name="Normal 10 2 10 2 6 3 9" xfId="4226" xr:uid="{00000000-0005-0000-0000-000082100000}"/>
    <cellStyle name="Normal 10 2 10 2 6 4" xfId="4227" xr:uid="{00000000-0005-0000-0000-000083100000}"/>
    <cellStyle name="Normal 10 2 10 2 6 4 10" xfId="4228" xr:uid="{00000000-0005-0000-0000-000084100000}"/>
    <cellStyle name="Normal 10 2 10 2 6 4 2" xfId="4229" xr:uid="{00000000-0005-0000-0000-000085100000}"/>
    <cellStyle name="Normal 10 2 10 2 6 4 3" xfId="4230" xr:uid="{00000000-0005-0000-0000-000086100000}"/>
    <cellStyle name="Normal 10 2 10 2 6 4 4" xfId="4231" xr:uid="{00000000-0005-0000-0000-000087100000}"/>
    <cellStyle name="Normal 10 2 10 2 6 4 5" xfId="4232" xr:uid="{00000000-0005-0000-0000-000088100000}"/>
    <cellStyle name="Normal 10 2 10 2 6 4 6" xfId="4233" xr:uid="{00000000-0005-0000-0000-000089100000}"/>
    <cellStyle name="Normal 10 2 10 2 6 4 7" xfId="4234" xr:uid="{00000000-0005-0000-0000-00008A100000}"/>
    <cellStyle name="Normal 10 2 10 2 6 4 8" xfId="4235" xr:uid="{00000000-0005-0000-0000-00008B100000}"/>
    <cellStyle name="Normal 10 2 10 2 6 4 9" xfId="4236" xr:uid="{00000000-0005-0000-0000-00008C100000}"/>
    <cellStyle name="Normal 10 2 10 2 6 5" xfId="4237" xr:uid="{00000000-0005-0000-0000-00008D100000}"/>
    <cellStyle name="Normal 10 2 10 2 6 5 10" xfId="4238" xr:uid="{00000000-0005-0000-0000-00008E100000}"/>
    <cellStyle name="Normal 10 2 10 2 6 5 2" xfId="4239" xr:uid="{00000000-0005-0000-0000-00008F100000}"/>
    <cellStyle name="Normal 10 2 10 2 6 5 3" xfId="4240" xr:uid="{00000000-0005-0000-0000-000090100000}"/>
    <cellStyle name="Normal 10 2 10 2 6 5 4" xfId="4241" xr:uid="{00000000-0005-0000-0000-000091100000}"/>
    <cellStyle name="Normal 10 2 10 2 6 5 5" xfId="4242" xr:uid="{00000000-0005-0000-0000-000092100000}"/>
    <cellStyle name="Normal 10 2 10 2 6 5 6" xfId="4243" xr:uid="{00000000-0005-0000-0000-000093100000}"/>
    <cellStyle name="Normal 10 2 10 2 6 5 7" xfId="4244" xr:uid="{00000000-0005-0000-0000-000094100000}"/>
    <cellStyle name="Normal 10 2 10 2 6 5 8" xfId="4245" xr:uid="{00000000-0005-0000-0000-000095100000}"/>
    <cellStyle name="Normal 10 2 10 2 6 5 9" xfId="4246" xr:uid="{00000000-0005-0000-0000-000096100000}"/>
    <cellStyle name="Normal 10 2 10 2 6 6" xfId="4247" xr:uid="{00000000-0005-0000-0000-000097100000}"/>
    <cellStyle name="Normal 10 2 10 2 6 7" xfId="4248" xr:uid="{00000000-0005-0000-0000-000098100000}"/>
    <cellStyle name="Normal 10 2 10 2 6 8" xfId="4249" xr:uid="{00000000-0005-0000-0000-000099100000}"/>
    <cellStyle name="Normal 10 2 10 2 6 9" xfId="4250" xr:uid="{00000000-0005-0000-0000-00009A100000}"/>
    <cellStyle name="Normal 10 2 10 2 7" xfId="4251" xr:uid="{00000000-0005-0000-0000-00009B100000}"/>
    <cellStyle name="Normal 10 2 10 2 7 10" xfId="4252" xr:uid="{00000000-0005-0000-0000-00009C100000}"/>
    <cellStyle name="Normal 10 2 10 2 7 11" xfId="4253" xr:uid="{00000000-0005-0000-0000-00009D100000}"/>
    <cellStyle name="Normal 10 2 10 2 7 12" xfId="4254" xr:uid="{00000000-0005-0000-0000-00009E100000}"/>
    <cellStyle name="Normal 10 2 10 2 7 13" xfId="4255" xr:uid="{00000000-0005-0000-0000-00009F100000}"/>
    <cellStyle name="Normal 10 2 10 2 7 14" xfId="4256" xr:uid="{00000000-0005-0000-0000-0000A0100000}"/>
    <cellStyle name="Normal 10 2 10 2 7 2" xfId="4257" xr:uid="{00000000-0005-0000-0000-0000A1100000}"/>
    <cellStyle name="Normal 10 2 10 2 7 2 10" xfId="4258" xr:uid="{00000000-0005-0000-0000-0000A2100000}"/>
    <cellStyle name="Normal 10 2 10 2 7 2 2" xfId="4259" xr:uid="{00000000-0005-0000-0000-0000A3100000}"/>
    <cellStyle name="Normal 10 2 10 2 7 2 3" xfId="4260" xr:uid="{00000000-0005-0000-0000-0000A4100000}"/>
    <cellStyle name="Normal 10 2 10 2 7 2 4" xfId="4261" xr:uid="{00000000-0005-0000-0000-0000A5100000}"/>
    <cellStyle name="Normal 10 2 10 2 7 2 5" xfId="4262" xr:uid="{00000000-0005-0000-0000-0000A6100000}"/>
    <cellStyle name="Normal 10 2 10 2 7 2 6" xfId="4263" xr:uid="{00000000-0005-0000-0000-0000A7100000}"/>
    <cellStyle name="Normal 10 2 10 2 7 2 7" xfId="4264" xr:uid="{00000000-0005-0000-0000-0000A8100000}"/>
    <cellStyle name="Normal 10 2 10 2 7 2 8" xfId="4265" xr:uid="{00000000-0005-0000-0000-0000A9100000}"/>
    <cellStyle name="Normal 10 2 10 2 7 2 9" xfId="4266" xr:uid="{00000000-0005-0000-0000-0000AA100000}"/>
    <cellStyle name="Normal 10 2 10 2 7 3" xfId="4267" xr:uid="{00000000-0005-0000-0000-0000AB100000}"/>
    <cellStyle name="Normal 10 2 10 2 7 3 10" xfId="4268" xr:uid="{00000000-0005-0000-0000-0000AC100000}"/>
    <cellStyle name="Normal 10 2 10 2 7 3 2" xfId="4269" xr:uid="{00000000-0005-0000-0000-0000AD100000}"/>
    <cellStyle name="Normal 10 2 10 2 7 3 3" xfId="4270" xr:uid="{00000000-0005-0000-0000-0000AE100000}"/>
    <cellStyle name="Normal 10 2 10 2 7 3 4" xfId="4271" xr:uid="{00000000-0005-0000-0000-0000AF100000}"/>
    <cellStyle name="Normal 10 2 10 2 7 3 5" xfId="4272" xr:uid="{00000000-0005-0000-0000-0000B0100000}"/>
    <cellStyle name="Normal 10 2 10 2 7 3 6" xfId="4273" xr:uid="{00000000-0005-0000-0000-0000B1100000}"/>
    <cellStyle name="Normal 10 2 10 2 7 3 7" xfId="4274" xr:uid="{00000000-0005-0000-0000-0000B2100000}"/>
    <cellStyle name="Normal 10 2 10 2 7 3 8" xfId="4275" xr:uid="{00000000-0005-0000-0000-0000B3100000}"/>
    <cellStyle name="Normal 10 2 10 2 7 3 9" xfId="4276" xr:uid="{00000000-0005-0000-0000-0000B4100000}"/>
    <cellStyle name="Normal 10 2 10 2 7 4" xfId="4277" xr:uid="{00000000-0005-0000-0000-0000B5100000}"/>
    <cellStyle name="Normal 10 2 10 2 7 4 10" xfId="4278" xr:uid="{00000000-0005-0000-0000-0000B6100000}"/>
    <cellStyle name="Normal 10 2 10 2 7 4 2" xfId="4279" xr:uid="{00000000-0005-0000-0000-0000B7100000}"/>
    <cellStyle name="Normal 10 2 10 2 7 4 3" xfId="4280" xr:uid="{00000000-0005-0000-0000-0000B8100000}"/>
    <cellStyle name="Normal 10 2 10 2 7 4 4" xfId="4281" xr:uid="{00000000-0005-0000-0000-0000B9100000}"/>
    <cellStyle name="Normal 10 2 10 2 7 4 5" xfId="4282" xr:uid="{00000000-0005-0000-0000-0000BA100000}"/>
    <cellStyle name="Normal 10 2 10 2 7 4 6" xfId="4283" xr:uid="{00000000-0005-0000-0000-0000BB100000}"/>
    <cellStyle name="Normal 10 2 10 2 7 4 7" xfId="4284" xr:uid="{00000000-0005-0000-0000-0000BC100000}"/>
    <cellStyle name="Normal 10 2 10 2 7 4 8" xfId="4285" xr:uid="{00000000-0005-0000-0000-0000BD100000}"/>
    <cellStyle name="Normal 10 2 10 2 7 4 9" xfId="4286" xr:uid="{00000000-0005-0000-0000-0000BE100000}"/>
    <cellStyle name="Normal 10 2 10 2 7 5" xfId="4287" xr:uid="{00000000-0005-0000-0000-0000BF100000}"/>
    <cellStyle name="Normal 10 2 10 2 7 5 10" xfId="4288" xr:uid="{00000000-0005-0000-0000-0000C0100000}"/>
    <cellStyle name="Normal 10 2 10 2 7 5 2" xfId="4289" xr:uid="{00000000-0005-0000-0000-0000C1100000}"/>
    <cellStyle name="Normal 10 2 10 2 7 5 3" xfId="4290" xr:uid="{00000000-0005-0000-0000-0000C2100000}"/>
    <cellStyle name="Normal 10 2 10 2 7 5 4" xfId="4291" xr:uid="{00000000-0005-0000-0000-0000C3100000}"/>
    <cellStyle name="Normal 10 2 10 2 7 5 5" xfId="4292" xr:uid="{00000000-0005-0000-0000-0000C4100000}"/>
    <cellStyle name="Normal 10 2 10 2 7 5 6" xfId="4293" xr:uid="{00000000-0005-0000-0000-0000C5100000}"/>
    <cellStyle name="Normal 10 2 10 2 7 5 7" xfId="4294" xr:uid="{00000000-0005-0000-0000-0000C6100000}"/>
    <cellStyle name="Normal 10 2 10 2 7 5 8" xfId="4295" xr:uid="{00000000-0005-0000-0000-0000C7100000}"/>
    <cellStyle name="Normal 10 2 10 2 7 5 9" xfId="4296" xr:uid="{00000000-0005-0000-0000-0000C8100000}"/>
    <cellStyle name="Normal 10 2 10 2 7 6" xfId="4297" xr:uid="{00000000-0005-0000-0000-0000C9100000}"/>
    <cellStyle name="Normal 10 2 10 2 7 7" xfId="4298" xr:uid="{00000000-0005-0000-0000-0000CA100000}"/>
    <cellStyle name="Normal 10 2 10 2 7 8" xfId="4299" xr:uid="{00000000-0005-0000-0000-0000CB100000}"/>
    <cellStyle name="Normal 10 2 10 2 7 9" xfId="4300" xr:uid="{00000000-0005-0000-0000-0000CC100000}"/>
    <cellStyle name="Normal 10 2 10 2 8" xfId="4301" xr:uid="{00000000-0005-0000-0000-0000CD100000}"/>
    <cellStyle name="Normal 10 2 10 2 8 10" xfId="4302" xr:uid="{00000000-0005-0000-0000-0000CE100000}"/>
    <cellStyle name="Normal 10 2 10 2 8 11" xfId="4303" xr:uid="{00000000-0005-0000-0000-0000CF100000}"/>
    <cellStyle name="Normal 10 2 10 2 8 12" xfId="4304" xr:uid="{00000000-0005-0000-0000-0000D0100000}"/>
    <cellStyle name="Normal 10 2 10 2 8 13" xfId="4305" xr:uid="{00000000-0005-0000-0000-0000D1100000}"/>
    <cellStyle name="Normal 10 2 10 2 8 14" xfId="4306" xr:uid="{00000000-0005-0000-0000-0000D2100000}"/>
    <cellStyle name="Normal 10 2 10 2 8 2" xfId="4307" xr:uid="{00000000-0005-0000-0000-0000D3100000}"/>
    <cellStyle name="Normal 10 2 10 2 8 2 10" xfId="4308" xr:uid="{00000000-0005-0000-0000-0000D4100000}"/>
    <cellStyle name="Normal 10 2 10 2 8 2 2" xfId="4309" xr:uid="{00000000-0005-0000-0000-0000D5100000}"/>
    <cellStyle name="Normal 10 2 10 2 8 2 3" xfId="4310" xr:uid="{00000000-0005-0000-0000-0000D6100000}"/>
    <cellStyle name="Normal 10 2 10 2 8 2 4" xfId="4311" xr:uid="{00000000-0005-0000-0000-0000D7100000}"/>
    <cellStyle name="Normal 10 2 10 2 8 2 5" xfId="4312" xr:uid="{00000000-0005-0000-0000-0000D8100000}"/>
    <cellStyle name="Normal 10 2 10 2 8 2 6" xfId="4313" xr:uid="{00000000-0005-0000-0000-0000D9100000}"/>
    <cellStyle name="Normal 10 2 10 2 8 2 7" xfId="4314" xr:uid="{00000000-0005-0000-0000-0000DA100000}"/>
    <cellStyle name="Normal 10 2 10 2 8 2 8" xfId="4315" xr:uid="{00000000-0005-0000-0000-0000DB100000}"/>
    <cellStyle name="Normal 10 2 10 2 8 2 9" xfId="4316" xr:uid="{00000000-0005-0000-0000-0000DC100000}"/>
    <cellStyle name="Normal 10 2 10 2 8 3" xfId="4317" xr:uid="{00000000-0005-0000-0000-0000DD100000}"/>
    <cellStyle name="Normal 10 2 10 2 8 3 10" xfId="4318" xr:uid="{00000000-0005-0000-0000-0000DE100000}"/>
    <cellStyle name="Normal 10 2 10 2 8 3 2" xfId="4319" xr:uid="{00000000-0005-0000-0000-0000DF100000}"/>
    <cellStyle name="Normal 10 2 10 2 8 3 3" xfId="4320" xr:uid="{00000000-0005-0000-0000-0000E0100000}"/>
    <cellStyle name="Normal 10 2 10 2 8 3 4" xfId="4321" xr:uid="{00000000-0005-0000-0000-0000E1100000}"/>
    <cellStyle name="Normal 10 2 10 2 8 3 5" xfId="4322" xr:uid="{00000000-0005-0000-0000-0000E2100000}"/>
    <cellStyle name="Normal 10 2 10 2 8 3 6" xfId="4323" xr:uid="{00000000-0005-0000-0000-0000E3100000}"/>
    <cellStyle name="Normal 10 2 10 2 8 3 7" xfId="4324" xr:uid="{00000000-0005-0000-0000-0000E4100000}"/>
    <cellStyle name="Normal 10 2 10 2 8 3 8" xfId="4325" xr:uid="{00000000-0005-0000-0000-0000E5100000}"/>
    <cellStyle name="Normal 10 2 10 2 8 3 9" xfId="4326" xr:uid="{00000000-0005-0000-0000-0000E6100000}"/>
    <cellStyle name="Normal 10 2 10 2 8 4" xfId="4327" xr:uid="{00000000-0005-0000-0000-0000E7100000}"/>
    <cellStyle name="Normal 10 2 10 2 8 4 10" xfId="4328" xr:uid="{00000000-0005-0000-0000-0000E8100000}"/>
    <cellStyle name="Normal 10 2 10 2 8 4 2" xfId="4329" xr:uid="{00000000-0005-0000-0000-0000E9100000}"/>
    <cellStyle name="Normal 10 2 10 2 8 4 3" xfId="4330" xr:uid="{00000000-0005-0000-0000-0000EA100000}"/>
    <cellStyle name="Normal 10 2 10 2 8 4 4" xfId="4331" xr:uid="{00000000-0005-0000-0000-0000EB100000}"/>
    <cellStyle name="Normal 10 2 10 2 8 4 5" xfId="4332" xr:uid="{00000000-0005-0000-0000-0000EC100000}"/>
    <cellStyle name="Normal 10 2 10 2 8 4 6" xfId="4333" xr:uid="{00000000-0005-0000-0000-0000ED100000}"/>
    <cellStyle name="Normal 10 2 10 2 8 4 7" xfId="4334" xr:uid="{00000000-0005-0000-0000-0000EE100000}"/>
    <cellStyle name="Normal 10 2 10 2 8 4 8" xfId="4335" xr:uid="{00000000-0005-0000-0000-0000EF100000}"/>
    <cellStyle name="Normal 10 2 10 2 8 4 9" xfId="4336" xr:uid="{00000000-0005-0000-0000-0000F0100000}"/>
    <cellStyle name="Normal 10 2 10 2 8 5" xfId="4337" xr:uid="{00000000-0005-0000-0000-0000F1100000}"/>
    <cellStyle name="Normal 10 2 10 2 8 5 10" xfId="4338" xr:uid="{00000000-0005-0000-0000-0000F2100000}"/>
    <cellStyle name="Normal 10 2 10 2 8 5 2" xfId="4339" xr:uid="{00000000-0005-0000-0000-0000F3100000}"/>
    <cellStyle name="Normal 10 2 10 2 8 5 3" xfId="4340" xr:uid="{00000000-0005-0000-0000-0000F4100000}"/>
    <cellStyle name="Normal 10 2 10 2 8 5 4" xfId="4341" xr:uid="{00000000-0005-0000-0000-0000F5100000}"/>
    <cellStyle name="Normal 10 2 10 2 8 5 5" xfId="4342" xr:uid="{00000000-0005-0000-0000-0000F6100000}"/>
    <cellStyle name="Normal 10 2 10 2 8 5 6" xfId="4343" xr:uid="{00000000-0005-0000-0000-0000F7100000}"/>
    <cellStyle name="Normal 10 2 10 2 8 5 7" xfId="4344" xr:uid="{00000000-0005-0000-0000-0000F8100000}"/>
    <cellStyle name="Normal 10 2 10 2 8 5 8" xfId="4345" xr:uid="{00000000-0005-0000-0000-0000F9100000}"/>
    <cellStyle name="Normal 10 2 10 2 8 5 9" xfId="4346" xr:uid="{00000000-0005-0000-0000-0000FA100000}"/>
    <cellStyle name="Normal 10 2 10 2 8 6" xfId="4347" xr:uid="{00000000-0005-0000-0000-0000FB100000}"/>
    <cellStyle name="Normal 10 2 10 2 8 7" xfId="4348" xr:uid="{00000000-0005-0000-0000-0000FC100000}"/>
    <cellStyle name="Normal 10 2 10 2 8 8" xfId="4349" xr:uid="{00000000-0005-0000-0000-0000FD100000}"/>
    <cellStyle name="Normal 10 2 10 2 8 9" xfId="4350" xr:uid="{00000000-0005-0000-0000-0000FE100000}"/>
    <cellStyle name="Normal 10 2 10 2 9" xfId="4351" xr:uid="{00000000-0005-0000-0000-0000FF100000}"/>
    <cellStyle name="Normal 10 2 10 2 9 10" xfId="4352" xr:uid="{00000000-0005-0000-0000-000000110000}"/>
    <cellStyle name="Normal 10 2 10 2 9 11" xfId="4353" xr:uid="{00000000-0005-0000-0000-000001110000}"/>
    <cellStyle name="Normal 10 2 10 2 9 12" xfId="4354" xr:uid="{00000000-0005-0000-0000-000002110000}"/>
    <cellStyle name="Normal 10 2 10 2 9 13" xfId="4355" xr:uid="{00000000-0005-0000-0000-000003110000}"/>
    <cellStyle name="Normal 10 2 10 2 9 14" xfId="4356" xr:uid="{00000000-0005-0000-0000-000004110000}"/>
    <cellStyle name="Normal 10 2 10 2 9 2" xfId="4357" xr:uid="{00000000-0005-0000-0000-000005110000}"/>
    <cellStyle name="Normal 10 2 10 2 9 2 10" xfId="4358" xr:uid="{00000000-0005-0000-0000-000006110000}"/>
    <cellStyle name="Normal 10 2 10 2 9 2 2" xfId="4359" xr:uid="{00000000-0005-0000-0000-000007110000}"/>
    <cellStyle name="Normal 10 2 10 2 9 2 3" xfId="4360" xr:uid="{00000000-0005-0000-0000-000008110000}"/>
    <cellStyle name="Normal 10 2 10 2 9 2 4" xfId="4361" xr:uid="{00000000-0005-0000-0000-000009110000}"/>
    <cellStyle name="Normal 10 2 10 2 9 2 5" xfId="4362" xr:uid="{00000000-0005-0000-0000-00000A110000}"/>
    <cellStyle name="Normal 10 2 10 2 9 2 6" xfId="4363" xr:uid="{00000000-0005-0000-0000-00000B110000}"/>
    <cellStyle name="Normal 10 2 10 2 9 2 7" xfId="4364" xr:uid="{00000000-0005-0000-0000-00000C110000}"/>
    <cellStyle name="Normal 10 2 10 2 9 2 8" xfId="4365" xr:uid="{00000000-0005-0000-0000-00000D110000}"/>
    <cellStyle name="Normal 10 2 10 2 9 2 9" xfId="4366" xr:uid="{00000000-0005-0000-0000-00000E110000}"/>
    <cellStyle name="Normal 10 2 10 2 9 3" xfId="4367" xr:uid="{00000000-0005-0000-0000-00000F110000}"/>
    <cellStyle name="Normal 10 2 10 2 9 3 10" xfId="4368" xr:uid="{00000000-0005-0000-0000-000010110000}"/>
    <cellStyle name="Normal 10 2 10 2 9 3 2" xfId="4369" xr:uid="{00000000-0005-0000-0000-000011110000}"/>
    <cellStyle name="Normal 10 2 10 2 9 3 3" xfId="4370" xr:uid="{00000000-0005-0000-0000-000012110000}"/>
    <cellStyle name="Normal 10 2 10 2 9 3 4" xfId="4371" xr:uid="{00000000-0005-0000-0000-000013110000}"/>
    <cellStyle name="Normal 10 2 10 2 9 3 5" xfId="4372" xr:uid="{00000000-0005-0000-0000-000014110000}"/>
    <cellStyle name="Normal 10 2 10 2 9 3 6" xfId="4373" xr:uid="{00000000-0005-0000-0000-000015110000}"/>
    <cellStyle name="Normal 10 2 10 2 9 3 7" xfId="4374" xr:uid="{00000000-0005-0000-0000-000016110000}"/>
    <cellStyle name="Normal 10 2 10 2 9 3 8" xfId="4375" xr:uid="{00000000-0005-0000-0000-000017110000}"/>
    <cellStyle name="Normal 10 2 10 2 9 3 9" xfId="4376" xr:uid="{00000000-0005-0000-0000-000018110000}"/>
    <cellStyle name="Normal 10 2 10 2 9 4" xfId="4377" xr:uid="{00000000-0005-0000-0000-000019110000}"/>
    <cellStyle name="Normal 10 2 10 2 9 4 10" xfId="4378" xr:uid="{00000000-0005-0000-0000-00001A110000}"/>
    <cellStyle name="Normal 10 2 10 2 9 4 2" xfId="4379" xr:uid="{00000000-0005-0000-0000-00001B110000}"/>
    <cellStyle name="Normal 10 2 10 2 9 4 3" xfId="4380" xr:uid="{00000000-0005-0000-0000-00001C110000}"/>
    <cellStyle name="Normal 10 2 10 2 9 4 4" xfId="4381" xr:uid="{00000000-0005-0000-0000-00001D110000}"/>
    <cellStyle name="Normal 10 2 10 2 9 4 5" xfId="4382" xr:uid="{00000000-0005-0000-0000-00001E110000}"/>
    <cellStyle name="Normal 10 2 10 2 9 4 6" xfId="4383" xr:uid="{00000000-0005-0000-0000-00001F110000}"/>
    <cellStyle name="Normal 10 2 10 2 9 4 7" xfId="4384" xr:uid="{00000000-0005-0000-0000-000020110000}"/>
    <cellStyle name="Normal 10 2 10 2 9 4 8" xfId="4385" xr:uid="{00000000-0005-0000-0000-000021110000}"/>
    <cellStyle name="Normal 10 2 10 2 9 4 9" xfId="4386" xr:uid="{00000000-0005-0000-0000-000022110000}"/>
    <cellStyle name="Normal 10 2 10 2 9 5" xfId="4387" xr:uid="{00000000-0005-0000-0000-000023110000}"/>
    <cellStyle name="Normal 10 2 10 2 9 5 10" xfId="4388" xr:uid="{00000000-0005-0000-0000-000024110000}"/>
    <cellStyle name="Normal 10 2 10 2 9 5 2" xfId="4389" xr:uid="{00000000-0005-0000-0000-000025110000}"/>
    <cellStyle name="Normal 10 2 10 2 9 5 3" xfId="4390" xr:uid="{00000000-0005-0000-0000-000026110000}"/>
    <cellStyle name="Normal 10 2 10 2 9 5 4" xfId="4391" xr:uid="{00000000-0005-0000-0000-000027110000}"/>
    <cellStyle name="Normal 10 2 10 2 9 5 5" xfId="4392" xr:uid="{00000000-0005-0000-0000-000028110000}"/>
    <cellStyle name="Normal 10 2 10 2 9 5 6" xfId="4393" xr:uid="{00000000-0005-0000-0000-000029110000}"/>
    <cellStyle name="Normal 10 2 10 2 9 5 7" xfId="4394" xr:uid="{00000000-0005-0000-0000-00002A110000}"/>
    <cellStyle name="Normal 10 2 10 2 9 5 8" xfId="4395" xr:uid="{00000000-0005-0000-0000-00002B110000}"/>
    <cellStyle name="Normal 10 2 10 2 9 5 9" xfId="4396" xr:uid="{00000000-0005-0000-0000-00002C110000}"/>
    <cellStyle name="Normal 10 2 10 2 9 6" xfId="4397" xr:uid="{00000000-0005-0000-0000-00002D110000}"/>
    <cellStyle name="Normal 10 2 10 2 9 7" xfId="4398" xr:uid="{00000000-0005-0000-0000-00002E110000}"/>
    <cellStyle name="Normal 10 2 10 2 9 8" xfId="4399" xr:uid="{00000000-0005-0000-0000-00002F110000}"/>
    <cellStyle name="Normal 10 2 10 2 9 9" xfId="4400" xr:uid="{00000000-0005-0000-0000-000030110000}"/>
    <cellStyle name="Normal 10 2 10 20" xfId="4401" xr:uid="{00000000-0005-0000-0000-000031110000}"/>
    <cellStyle name="Normal 10 2 10 20 10" xfId="4402" xr:uid="{00000000-0005-0000-0000-000032110000}"/>
    <cellStyle name="Normal 10 2 10 20 11" xfId="4403" xr:uid="{00000000-0005-0000-0000-000033110000}"/>
    <cellStyle name="Normal 10 2 10 20 12" xfId="4404" xr:uid="{00000000-0005-0000-0000-000034110000}"/>
    <cellStyle name="Normal 10 2 10 20 13" xfId="4405" xr:uid="{00000000-0005-0000-0000-000035110000}"/>
    <cellStyle name="Normal 10 2 10 20 14" xfId="4406" xr:uid="{00000000-0005-0000-0000-000036110000}"/>
    <cellStyle name="Normal 10 2 10 20 2" xfId="4407" xr:uid="{00000000-0005-0000-0000-000037110000}"/>
    <cellStyle name="Normal 10 2 10 20 2 10" xfId="4408" xr:uid="{00000000-0005-0000-0000-000038110000}"/>
    <cellStyle name="Normal 10 2 10 20 2 2" xfId="4409" xr:uid="{00000000-0005-0000-0000-000039110000}"/>
    <cellStyle name="Normal 10 2 10 20 2 3" xfId="4410" xr:uid="{00000000-0005-0000-0000-00003A110000}"/>
    <cellStyle name="Normal 10 2 10 20 2 4" xfId="4411" xr:uid="{00000000-0005-0000-0000-00003B110000}"/>
    <cellStyle name="Normal 10 2 10 20 2 5" xfId="4412" xr:uid="{00000000-0005-0000-0000-00003C110000}"/>
    <cellStyle name="Normal 10 2 10 20 2 6" xfId="4413" xr:uid="{00000000-0005-0000-0000-00003D110000}"/>
    <cellStyle name="Normal 10 2 10 20 2 7" xfId="4414" xr:uid="{00000000-0005-0000-0000-00003E110000}"/>
    <cellStyle name="Normal 10 2 10 20 2 8" xfId="4415" xr:uid="{00000000-0005-0000-0000-00003F110000}"/>
    <cellStyle name="Normal 10 2 10 20 2 9" xfId="4416" xr:uid="{00000000-0005-0000-0000-000040110000}"/>
    <cellStyle name="Normal 10 2 10 20 3" xfId="4417" xr:uid="{00000000-0005-0000-0000-000041110000}"/>
    <cellStyle name="Normal 10 2 10 20 3 10" xfId="4418" xr:uid="{00000000-0005-0000-0000-000042110000}"/>
    <cellStyle name="Normal 10 2 10 20 3 2" xfId="4419" xr:uid="{00000000-0005-0000-0000-000043110000}"/>
    <cellStyle name="Normal 10 2 10 20 3 3" xfId="4420" xr:uid="{00000000-0005-0000-0000-000044110000}"/>
    <cellStyle name="Normal 10 2 10 20 3 4" xfId="4421" xr:uid="{00000000-0005-0000-0000-000045110000}"/>
    <cellStyle name="Normal 10 2 10 20 3 5" xfId="4422" xr:uid="{00000000-0005-0000-0000-000046110000}"/>
    <cellStyle name="Normal 10 2 10 20 3 6" xfId="4423" xr:uid="{00000000-0005-0000-0000-000047110000}"/>
    <cellStyle name="Normal 10 2 10 20 3 7" xfId="4424" xr:uid="{00000000-0005-0000-0000-000048110000}"/>
    <cellStyle name="Normal 10 2 10 20 3 8" xfId="4425" xr:uid="{00000000-0005-0000-0000-000049110000}"/>
    <cellStyle name="Normal 10 2 10 20 3 9" xfId="4426" xr:uid="{00000000-0005-0000-0000-00004A110000}"/>
    <cellStyle name="Normal 10 2 10 20 4" xfId="4427" xr:uid="{00000000-0005-0000-0000-00004B110000}"/>
    <cellStyle name="Normal 10 2 10 20 4 10" xfId="4428" xr:uid="{00000000-0005-0000-0000-00004C110000}"/>
    <cellStyle name="Normal 10 2 10 20 4 2" xfId="4429" xr:uid="{00000000-0005-0000-0000-00004D110000}"/>
    <cellStyle name="Normal 10 2 10 20 4 3" xfId="4430" xr:uid="{00000000-0005-0000-0000-00004E110000}"/>
    <cellStyle name="Normal 10 2 10 20 4 4" xfId="4431" xr:uid="{00000000-0005-0000-0000-00004F110000}"/>
    <cellStyle name="Normal 10 2 10 20 4 5" xfId="4432" xr:uid="{00000000-0005-0000-0000-000050110000}"/>
    <cellStyle name="Normal 10 2 10 20 4 6" xfId="4433" xr:uid="{00000000-0005-0000-0000-000051110000}"/>
    <cellStyle name="Normal 10 2 10 20 4 7" xfId="4434" xr:uid="{00000000-0005-0000-0000-000052110000}"/>
    <cellStyle name="Normal 10 2 10 20 4 8" xfId="4435" xr:uid="{00000000-0005-0000-0000-000053110000}"/>
    <cellStyle name="Normal 10 2 10 20 4 9" xfId="4436" xr:uid="{00000000-0005-0000-0000-000054110000}"/>
    <cellStyle name="Normal 10 2 10 20 5" xfId="4437" xr:uid="{00000000-0005-0000-0000-000055110000}"/>
    <cellStyle name="Normal 10 2 10 20 5 10" xfId="4438" xr:uid="{00000000-0005-0000-0000-000056110000}"/>
    <cellStyle name="Normal 10 2 10 20 5 2" xfId="4439" xr:uid="{00000000-0005-0000-0000-000057110000}"/>
    <cellStyle name="Normal 10 2 10 20 5 3" xfId="4440" xr:uid="{00000000-0005-0000-0000-000058110000}"/>
    <cellStyle name="Normal 10 2 10 20 5 4" xfId="4441" xr:uid="{00000000-0005-0000-0000-000059110000}"/>
    <cellStyle name="Normal 10 2 10 20 5 5" xfId="4442" xr:uid="{00000000-0005-0000-0000-00005A110000}"/>
    <cellStyle name="Normal 10 2 10 20 5 6" xfId="4443" xr:uid="{00000000-0005-0000-0000-00005B110000}"/>
    <cellStyle name="Normal 10 2 10 20 5 7" xfId="4444" xr:uid="{00000000-0005-0000-0000-00005C110000}"/>
    <cellStyle name="Normal 10 2 10 20 5 8" xfId="4445" xr:uid="{00000000-0005-0000-0000-00005D110000}"/>
    <cellStyle name="Normal 10 2 10 20 5 9" xfId="4446" xr:uid="{00000000-0005-0000-0000-00005E110000}"/>
    <cellStyle name="Normal 10 2 10 20 6" xfId="4447" xr:uid="{00000000-0005-0000-0000-00005F110000}"/>
    <cellStyle name="Normal 10 2 10 20 7" xfId="4448" xr:uid="{00000000-0005-0000-0000-000060110000}"/>
    <cellStyle name="Normal 10 2 10 20 8" xfId="4449" xr:uid="{00000000-0005-0000-0000-000061110000}"/>
    <cellStyle name="Normal 10 2 10 20 9" xfId="4450" xr:uid="{00000000-0005-0000-0000-000062110000}"/>
    <cellStyle name="Normal 10 2 10 21" xfId="4451" xr:uid="{00000000-0005-0000-0000-000063110000}"/>
    <cellStyle name="Normal 10 2 10 21 10" xfId="4452" xr:uid="{00000000-0005-0000-0000-000064110000}"/>
    <cellStyle name="Normal 10 2 10 21 11" xfId="4453" xr:uid="{00000000-0005-0000-0000-000065110000}"/>
    <cellStyle name="Normal 10 2 10 21 12" xfId="4454" xr:uid="{00000000-0005-0000-0000-000066110000}"/>
    <cellStyle name="Normal 10 2 10 21 13" xfId="4455" xr:uid="{00000000-0005-0000-0000-000067110000}"/>
    <cellStyle name="Normal 10 2 10 21 14" xfId="4456" xr:uid="{00000000-0005-0000-0000-000068110000}"/>
    <cellStyle name="Normal 10 2 10 21 2" xfId="4457" xr:uid="{00000000-0005-0000-0000-000069110000}"/>
    <cellStyle name="Normal 10 2 10 21 2 10" xfId="4458" xr:uid="{00000000-0005-0000-0000-00006A110000}"/>
    <cellStyle name="Normal 10 2 10 21 2 2" xfId="4459" xr:uid="{00000000-0005-0000-0000-00006B110000}"/>
    <cellStyle name="Normal 10 2 10 21 2 3" xfId="4460" xr:uid="{00000000-0005-0000-0000-00006C110000}"/>
    <cellStyle name="Normal 10 2 10 21 2 4" xfId="4461" xr:uid="{00000000-0005-0000-0000-00006D110000}"/>
    <cellStyle name="Normal 10 2 10 21 2 5" xfId="4462" xr:uid="{00000000-0005-0000-0000-00006E110000}"/>
    <cellStyle name="Normal 10 2 10 21 2 6" xfId="4463" xr:uid="{00000000-0005-0000-0000-00006F110000}"/>
    <cellStyle name="Normal 10 2 10 21 2 7" xfId="4464" xr:uid="{00000000-0005-0000-0000-000070110000}"/>
    <cellStyle name="Normal 10 2 10 21 2 8" xfId="4465" xr:uid="{00000000-0005-0000-0000-000071110000}"/>
    <cellStyle name="Normal 10 2 10 21 2 9" xfId="4466" xr:uid="{00000000-0005-0000-0000-000072110000}"/>
    <cellStyle name="Normal 10 2 10 21 3" xfId="4467" xr:uid="{00000000-0005-0000-0000-000073110000}"/>
    <cellStyle name="Normal 10 2 10 21 3 10" xfId="4468" xr:uid="{00000000-0005-0000-0000-000074110000}"/>
    <cellStyle name="Normal 10 2 10 21 3 2" xfId="4469" xr:uid="{00000000-0005-0000-0000-000075110000}"/>
    <cellStyle name="Normal 10 2 10 21 3 3" xfId="4470" xr:uid="{00000000-0005-0000-0000-000076110000}"/>
    <cellStyle name="Normal 10 2 10 21 3 4" xfId="4471" xr:uid="{00000000-0005-0000-0000-000077110000}"/>
    <cellStyle name="Normal 10 2 10 21 3 5" xfId="4472" xr:uid="{00000000-0005-0000-0000-000078110000}"/>
    <cellStyle name="Normal 10 2 10 21 3 6" xfId="4473" xr:uid="{00000000-0005-0000-0000-000079110000}"/>
    <cellStyle name="Normal 10 2 10 21 3 7" xfId="4474" xr:uid="{00000000-0005-0000-0000-00007A110000}"/>
    <cellStyle name="Normal 10 2 10 21 3 8" xfId="4475" xr:uid="{00000000-0005-0000-0000-00007B110000}"/>
    <cellStyle name="Normal 10 2 10 21 3 9" xfId="4476" xr:uid="{00000000-0005-0000-0000-00007C110000}"/>
    <cellStyle name="Normal 10 2 10 21 4" xfId="4477" xr:uid="{00000000-0005-0000-0000-00007D110000}"/>
    <cellStyle name="Normal 10 2 10 21 4 10" xfId="4478" xr:uid="{00000000-0005-0000-0000-00007E110000}"/>
    <cellStyle name="Normal 10 2 10 21 4 2" xfId="4479" xr:uid="{00000000-0005-0000-0000-00007F110000}"/>
    <cellStyle name="Normal 10 2 10 21 4 3" xfId="4480" xr:uid="{00000000-0005-0000-0000-000080110000}"/>
    <cellStyle name="Normal 10 2 10 21 4 4" xfId="4481" xr:uid="{00000000-0005-0000-0000-000081110000}"/>
    <cellStyle name="Normal 10 2 10 21 4 5" xfId="4482" xr:uid="{00000000-0005-0000-0000-000082110000}"/>
    <cellStyle name="Normal 10 2 10 21 4 6" xfId="4483" xr:uid="{00000000-0005-0000-0000-000083110000}"/>
    <cellStyle name="Normal 10 2 10 21 4 7" xfId="4484" xr:uid="{00000000-0005-0000-0000-000084110000}"/>
    <cellStyle name="Normal 10 2 10 21 4 8" xfId="4485" xr:uid="{00000000-0005-0000-0000-000085110000}"/>
    <cellStyle name="Normal 10 2 10 21 4 9" xfId="4486" xr:uid="{00000000-0005-0000-0000-000086110000}"/>
    <cellStyle name="Normal 10 2 10 21 5" xfId="4487" xr:uid="{00000000-0005-0000-0000-000087110000}"/>
    <cellStyle name="Normal 10 2 10 21 5 10" xfId="4488" xr:uid="{00000000-0005-0000-0000-000088110000}"/>
    <cellStyle name="Normal 10 2 10 21 5 2" xfId="4489" xr:uid="{00000000-0005-0000-0000-000089110000}"/>
    <cellStyle name="Normal 10 2 10 21 5 3" xfId="4490" xr:uid="{00000000-0005-0000-0000-00008A110000}"/>
    <cellStyle name="Normal 10 2 10 21 5 4" xfId="4491" xr:uid="{00000000-0005-0000-0000-00008B110000}"/>
    <cellStyle name="Normal 10 2 10 21 5 5" xfId="4492" xr:uid="{00000000-0005-0000-0000-00008C110000}"/>
    <cellStyle name="Normal 10 2 10 21 5 6" xfId="4493" xr:uid="{00000000-0005-0000-0000-00008D110000}"/>
    <cellStyle name="Normal 10 2 10 21 5 7" xfId="4494" xr:uid="{00000000-0005-0000-0000-00008E110000}"/>
    <cellStyle name="Normal 10 2 10 21 5 8" xfId="4495" xr:uid="{00000000-0005-0000-0000-00008F110000}"/>
    <cellStyle name="Normal 10 2 10 21 5 9" xfId="4496" xr:uid="{00000000-0005-0000-0000-000090110000}"/>
    <cellStyle name="Normal 10 2 10 21 6" xfId="4497" xr:uid="{00000000-0005-0000-0000-000091110000}"/>
    <cellStyle name="Normal 10 2 10 21 7" xfId="4498" xr:uid="{00000000-0005-0000-0000-000092110000}"/>
    <cellStyle name="Normal 10 2 10 21 8" xfId="4499" xr:uid="{00000000-0005-0000-0000-000093110000}"/>
    <cellStyle name="Normal 10 2 10 21 9" xfId="4500" xr:uid="{00000000-0005-0000-0000-000094110000}"/>
    <cellStyle name="Normal 10 2 10 22" xfId="4501" xr:uid="{00000000-0005-0000-0000-000095110000}"/>
    <cellStyle name="Normal 10 2 10 22 10" xfId="4502" xr:uid="{00000000-0005-0000-0000-000096110000}"/>
    <cellStyle name="Normal 10 2 10 22 11" xfId="4503" xr:uid="{00000000-0005-0000-0000-000097110000}"/>
    <cellStyle name="Normal 10 2 10 22 12" xfId="4504" xr:uid="{00000000-0005-0000-0000-000098110000}"/>
    <cellStyle name="Normal 10 2 10 22 13" xfId="4505" xr:uid="{00000000-0005-0000-0000-000099110000}"/>
    <cellStyle name="Normal 10 2 10 22 14" xfId="4506" xr:uid="{00000000-0005-0000-0000-00009A110000}"/>
    <cellStyle name="Normal 10 2 10 22 2" xfId="4507" xr:uid="{00000000-0005-0000-0000-00009B110000}"/>
    <cellStyle name="Normal 10 2 10 22 2 10" xfId="4508" xr:uid="{00000000-0005-0000-0000-00009C110000}"/>
    <cellStyle name="Normal 10 2 10 22 2 2" xfId="4509" xr:uid="{00000000-0005-0000-0000-00009D110000}"/>
    <cellStyle name="Normal 10 2 10 22 2 3" xfId="4510" xr:uid="{00000000-0005-0000-0000-00009E110000}"/>
    <cellStyle name="Normal 10 2 10 22 2 4" xfId="4511" xr:uid="{00000000-0005-0000-0000-00009F110000}"/>
    <cellStyle name="Normal 10 2 10 22 2 5" xfId="4512" xr:uid="{00000000-0005-0000-0000-0000A0110000}"/>
    <cellStyle name="Normal 10 2 10 22 2 6" xfId="4513" xr:uid="{00000000-0005-0000-0000-0000A1110000}"/>
    <cellStyle name="Normal 10 2 10 22 2 7" xfId="4514" xr:uid="{00000000-0005-0000-0000-0000A2110000}"/>
    <cellStyle name="Normal 10 2 10 22 2 8" xfId="4515" xr:uid="{00000000-0005-0000-0000-0000A3110000}"/>
    <cellStyle name="Normal 10 2 10 22 2 9" xfId="4516" xr:uid="{00000000-0005-0000-0000-0000A4110000}"/>
    <cellStyle name="Normal 10 2 10 22 3" xfId="4517" xr:uid="{00000000-0005-0000-0000-0000A5110000}"/>
    <cellStyle name="Normal 10 2 10 22 3 10" xfId="4518" xr:uid="{00000000-0005-0000-0000-0000A6110000}"/>
    <cellStyle name="Normal 10 2 10 22 3 2" xfId="4519" xr:uid="{00000000-0005-0000-0000-0000A7110000}"/>
    <cellStyle name="Normal 10 2 10 22 3 3" xfId="4520" xr:uid="{00000000-0005-0000-0000-0000A8110000}"/>
    <cellStyle name="Normal 10 2 10 22 3 4" xfId="4521" xr:uid="{00000000-0005-0000-0000-0000A9110000}"/>
    <cellStyle name="Normal 10 2 10 22 3 5" xfId="4522" xr:uid="{00000000-0005-0000-0000-0000AA110000}"/>
    <cellStyle name="Normal 10 2 10 22 3 6" xfId="4523" xr:uid="{00000000-0005-0000-0000-0000AB110000}"/>
    <cellStyle name="Normal 10 2 10 22 3 7" xfId="4524" xr:uid="{00000000-0005-0000-0000-0000AC110000}"/>
    <cellStyle name="Normal 10 2 10 22 3 8" xfId="4525" xr:uid="{00000000-0005-0000-0000-0000AD110000}"/>
    <cellStyle name="Normal 10 2 10 22 3 9" xfId="4526" xr:uid="{00000000-0005-0000-0000-0000AE110000}"/>
    <cellStyle name="Normal 10 2 10 22 4" xfId="4527" xr:uid="{00000000-0005-0000-0000-0000AF110000}"/>
    <cellStyle name="Normal 10 2 10 22 4 10" xfId="4528" xr:uid="{00000000-0005-0000-0000-0000B0110000}"/>
    <cellStyle name="Normal 10 2 10 22 4 2" xfId="4529" xr:uid="{00000000-0005-0000-0000-0000B1110000}"/>
    <cellStyle name="Normal 10 2 10 22 4 3" xfId="4530" xr:uid="{00000000-0005-0000-0000-0000B2110000}"/>
    <cellStyle name="Normal 10 2 10 22 4 4" xfId="4531" xr:uid="{00000000-0005-0000-0000-0000B3110000}"/>
    <cellStyle name="Normal 10 2 10 22 4 5" xfId="4532" xr:uid="{00000000-0005-0000-0000-0000B4110000}"/>
    <cellStyle name="Normal 10 2 10 22 4 6" xfId="4533" xr:uid="{00000000-0005-0000-0000-0000B5110000}"/>
    <cellStyle name="Normal 10 2 10 22 4 7" xfId="4534" xr:uid="{00000000-0005-0000-0000-0000B6110000}"/>
    <cellStyle name="Normal 10 2 10 22 4 8" xfId="4535" xr:uid="{00000000-0005-0000-0000-0000B7110000}"/>
    <cellStyle name="Normal 10 2 10 22 4 9" xfId="4536" xr:uid="{00000000-0005-0000-0000-0000B8110000}"/>
    <cellStyle name="Normal 10 2 10 22 5" xfId="4537" xr:uid="{00000000-0005-0000-0000-0000B9110000}"/>
    <cellStyle name="Normal 10 2 10 22 5 10" xfId="4538" xr:uid="{00000000-0005-0000-0000-0000BA110000}"/>
    <cellStyle name="Normal 10 2 10 22 5 2" xfId="4539" xr:uid="{00000000-0005-0000-0000-0000BB110000}"/>
    <cellStyle name="Normal 10 2 10 22 5 3" xfId="4540" xr:uid="{00000000-0005-0000-0000-0000BC110000}"/>
    <cellStyle name="Normal 10 2 10 22 5 4" xfId="4541" xr:uid="{00000000-0005-0000-0000-0000BD110000}"/>
    <cellStyle name="Normal 10 2 10 22 5 5" xfId="4542" xr:uid="{00000000-0005-0000-0000-0000BE110000}"/>
    <cellStyle name="Normal 10 2 10 22 5 6" xfId="4543" xr:uid="{00000000-0005-0000-0000-0000BF110000}"/>
    <cellStyle name="Normal 10 2 10 22 5 7" xfId="4544" xr:uid="{00000000-0005-0000-0000-0000C0110000}"/>
    <cellStyle name="Normal 10 2 10 22 5 8" xfId="4545" xr:uid="{00000000-0005-0000-0000-0000C1110000}"/>
    <cellStyle name="Normal 10 2 10 22 5 9" xfId="4546" xr:uid="{00000000-0005-0000-0000-0000C2110000}"/>
    <cellStyle name="Normal 10 2 10 22 6" xfId="4547" xr:uid="{00000000-0005-0000-0000-0000C3110000}"/>
    <cellStyle name="Normal 10 2 10 22 7" xfId="4548" xr:uid="{00000000-0005-0000-0000-0000C4110000}"/>
    <cellStyle name="Normal 10 2 10 22 8" xfId="4549" xr:uid="{00000000-0005-0000-0000-0000C5110000}"/>
    <cellStyle name="Normal 10 2 10 22 9" xfId="4550" xr:uid="{00000000-0005-0000-0000-0000C6110000}"/>
    <cellStyle name="Normal 10 2 10 23" xfId="4551" xr:uid="{00000000-0005-0000-0000-0000C7110000}"/>
    <cellStyle name="Normal 10 2 10 23 10" xfId="4552" xr:uid="{00000000-0005-0000-0000-0000C8110000}"/>
    <cellStyle name="Normal 10 2 10 23 11" xfId="4553" xr:uid="{00000000-0005-0000-0000-0000C9110000}"/>
    <cellStyle name="Normal 10 2 10 23 12" xfId="4554" xr:uid="{00000000-0005-0000-0000-0000CA110000}"/>
    <cellStyle name="Normal 10 2 10 23 13" xfId="4555" xr:uid="{00000000-0005-0000-0000-0000CB110000}"/>
    <cellStyle name="Normal 10 2 10 23 14" xfId="4556" xr:uid="{00000000-0005-0000-0000-0000CC110000}"/>
    <cellStyle name="Normal 10 2 10 23 2" xfId="4557" xr:uid="{00000000-0005-0000-0000-0000CD110000}"/>
    <cellStyle name="Normal 10 2 10 23 2 10" xfId="4558" xr:uid="{00000000-0005-0000-0000-0000CE110000}"/>
    <cellStyle name="Normal 10 2 10 23 2 2" xfId="4559" xr:uid="{00000000-0005-0000-0000-0000CF110000}"/>
    <cellStyle name="Normal 10 2 10 23 2 3" xfId="4560" xr:uid="{00000000-0005-0000-0000-0000D0110000}"/>
    <cellStyle name="Normal 10 2 10 23 2 4" xfId="4561" xr:uid="{00000000-0005-0000-0000-0000D1110000}"/>
    <cellStyle name="Normal 10 2 10 23 2 5" xfId="4562" xr:uid="{00000000-0005-0000-0000-0000D2110000}"/>
    <cellStyle name="Normal 10 2 10 23 2 6" xfId="4563" xr:uid="{00000000-0005-0000-0000-0000D3110000}"/>
    <cellStyle name="Normal 10 2 10 23 2 7" xfId="4564" xr:uid="{00000000-0005-0000-0000-0000D4110000}"/>
    <cellStyle name="Normal 10 2 10 23 2 8" xfId="4565" xr:uid="{00000000-0005-0000-0000-0000D5110000}"/>
    <cellStyle name="Normal 10 2 10 23 2 9" xfId="4566" xr:uid="{00000000-0005-0000-0000-0000D6110000}"/>
    <cellStyle name="Normal 10 2 10 23 3" xfId="4567" xr:uid="{00000000-0005-0000-0000-0000D7110000}"/>
    <cellStyle name="Normal 10 2 10 23 3 10" xfId="4568" xr:uid="{00000000-0005-0000-0000-0000D8110000}"/>
    <cellStyle name="Normal 10 2 10 23 3 2" xfId="4569" xr:uid="{00000000-0005-0000-0000-0000D9110000}"/>
    <cellStyle name="Normal 10 2 10 23 3 3" xfId="4570" xr:uid="{00000000-0005-0000-0000-0000DA110000}"/>
    <cellStyle name="Normal 10 2 10 23 3 4" xfId="4571" xr:uid="{00000000-0005-0000-0000-0000DB110000}"/>
    <cellStyle name="Normal 10 2 10 23 3 5" xfId="4572" xr:uid="{00000000-0005-0000-0000-0000DC110000}"/>
    <cellStyle name="Normal 10 2 10 23 3 6" xfId="4573" xr:uid="{00000000-0005-0000-0000-0000DD110000}"/>
    <cellStyle name="Normal 10 2 10 23 3 7" xfId="4574" xr:uid="{00000000-0005-0000-0000-0000DE110000}"/>
    <cellStyle name="Normal 10 2 10 23 3 8" xfId="4575" xr:uid="{00000000-0005-0000-0000-0000DF110000}"/>
    <cellStyle name="Normal 10 2 10 23 3 9" xfId="4576" xr:uid="{00000000-0005-0000-0000-0000E0110000}"/>
    <cellStyle name="Normal 10 2 10 23 4" xfId="4577" xr:uid="{00000000-0005-0000-0000-0000E1110000}"/>
    <cellStyle name="Normal 10 2 10 23 4 10" xfId="4578" xr:uid="{00000000-0005-0000-0000-0000E2110000}"/>
    <cellStyle name="Normal 10 2 10 23 4 2" xfId="4579" xr:uid="{00000000-0005-0000-0000-0000E3110000}"/>
    <cellStyle name="Normal 10 2 10 23 4 3" xfId="4580" xr:uid="{00000000-0005-0000-0000-0000E4110000}"/>
    <cellStyle name="Normal 10 2 10 23 4 4" xfId="4581" xr:uid="{00000000-0005-0000-0000-0000E5110000}"/>
    <cellStyle name="Normal 10 2 10 23 4 5" xfId="4582" xr:uid="{00000000-0005-0000-0000-0000E6110000}"/>
    <cellStyle name="Normal 10 2 10 23 4 6" xfId="4583" xr:uid="{00000000-0005-0000-0000-0000E7110000}"/>
    <cellStyle name="Normal 10 2 10 23 4 7" xfId="4584" xr:uid="{00000000-0005-0000-0000-0000E8110000}"/>
    <cellStyle name="Normal 10 2 10 23 4 8" xfId="4585" xr:uid="{00000000-0005-0000-0000-0000E9110000}"/>
    <cellStyle name="Normal 10 2 10 23 4 9" xfId="4586" xr:uid="{00000000-0005-0000-0000-0000EA110000}"/>
    <cellStyle name="Normal 10 2 10 23 5" xfId="4587" xr:uid="{00000000-0005-0000-0000-0000EB110000}"/>
    <cellStyle name="Normal 10 2 10 23 5 10" xfId="4588" xr:uid="{00000000-0005-0000-0000-0000EC110000}"/>
    <cellStyle name="Normal 10 2 10 23 5 2" xfId="4589" xr:uid="{00000000-0005-0000-0000-0000ED110000}"/>
    <cellStyle name="Normal 10 2 10 23 5 3" xfId="4590" xr:uid="{00000000-0005-0000-0000-0000EE110000}"/>
    <cellStyle name="Normal 10 2 10 23 5 4" xfId="4591" xr:uid="{00000000-0005-0000-0000-0000EF110000}"/>
    <cellStyle name="Normal 10 2 10 23 5 5" xfId="4592" xr:uid="{00000000-0005-0000-0000-0000F0110000}"/>
    <cellStyle name="Normal 10 2 10 23 5 6" xfId="4593" xr:uid="{00000000-0005-0000-0000-0000F1110000}"/>
    <cellStyle name="Normal 10 2 10 23 5 7" xfId="4594" xr:uid="{00000000-0005-0000-0000-0000F2110000}"/>
    <cellStyle name="Normal 10 2 10 23 5 8" xfId="4595" xr:uid="{00000000-0005-0000-0000-0000F3110000}"/>
    <cellStyle name="Normal 10 2 10 23 5 9" xfId="4596" xr:uid="{00000000-0005-0000-0000-0000F4110000}"/>
    <cellStyle name="Normal 10 2 10 23 6" xfId="4597" xr:uid="{00000000-0005-0000-0000-0000F5110000}"/>
    <cellStyle name="Normal 10 2 10 23 7" xfId="4598" xr:uid="{00000000-0005-0000-0000-0000F6110000}"/>
    <cellStyle name="Normal 10 2 10 23 8" xfId="4599" xr:uid="{00000000-0005-0000-0000-0000F7110000}"/>
    <cellStyle name="Normal 10 2 10 23 9" xfId="4600" xr:uid="{00000000-0005-0000-0000-0000F8110000}"/>
    <cellStyle name="Normal 10 2 10 24" xfId="4601" xr:uid="{00000000-0005-0000-0000-0000F9110000}"/>
    <cellStyle name="Normal 10 2 10 24 10" xfId="4602" xr:uid="{00000000-0005-0000-0000-0000FA110000}"/>
    <cellStyle name="Normal 10 2 10 24 11" xfId="4603" xr:uid="{00000000-0005-0000-0000-0000FB110000}"/>
    <cellStyle name="Normal 10 2 10 24 12" xfId="4604" xr:uid="{00000000-0005-0000-0000-0000FC110000}"/>
    <cellStyle name="Normal 10 2 10 24 13" xfId="4605" xr:uid="{00000000-0005-0000-0000-0000FD110000}"/>
    <cellStyle name="Normal 10 2 10 24 14" xfId="4606" xr:uid="{00000000-0005-0000-0000-0000FE110000}"/>
    <cellStyle name="Normal 10 2 10 24 2" xfId="4607" xr:uid="{00000000-0005-0000-0000-0000FF110000}"/>
    <cellStyle name="Normal 10 2 10 24 2 10" xfId="4608" xr:uid="{00000000-0005-0000-0000-000000120000}"/>
    <cellStyle name="Normal 10 2 10 24 2 2" xfId="4609" xr:uid="{00000000-0005-0000-0000-000001120000}"/>
    <cellStyle name="Normal 10 2 10 24 2 3" xfId="4610" xr:uid="{00000000-0005-0000-0000-000002120000}"/>
    <cellStyle name="Normal 10 2 10 24 2 4" xfId="4611" xr:uid="{00000000-0005-0000-0000-000003120000}"/>
    <cellStyle name="Normal 10 2 10 24 2 5" xfId="4612" xr:uid="{00000000-0005-0000-0000-000004120000}"/>
    <cellStyle name="Normal 10 2 10 24 2 6" xfId="4613" xr:uid="{00000000-0005-0000-0000-000005120000}"/>
    <cellStyle name="Normal 10 2 10 24 2 7" xfId="4614" xr:uid="{00000000-0005-0000-0000-000006120000}"/>
    <cellStyle name="Normal 10 2 10 24 2 8" xfId="4615" xr:uid="{00000000-0005-0000-0000-000007120000}"/>
    <cellStyle name="Normal 10 2 10 24 2 9" xfId="4616" xr:uid="{00000000-0005-0000-0000-000008120000}"/>
    <cellStyle name="Normal 10 2 10 24 3" xfId="4617" xr:uid="{00000000-0005-0000-0000-000009120000}"/>
    <cellStyle name="Normal 10 2 10 24 3 10" xfId="4618" xr:uid="{00000000-0005-0000-0000-00000A120000}"/>
    <cellStyle name="Normal 10 2 10 24 3 2" xfId="4619" xr:uid="{00000000-0005-0000-0000-00000B120000}"/>
    <cellStyle name="Normal 10 2 10 24 3 3" xfId="4620" xr:uid="{00000000-0005-0000-0000-00000C120000}"/>
    <cellStyle name="Normal 10 2 10 24 3 4" xfId="4621" xr:uid="{00000000-0005-0000-0000-00000D120000}"/>
    <cellStyle name="Normal 10 2 10 24 3 5" xfId="4622" xr:uid="{00000000-0005-0000-0000-00000E120000}"/>
    <cellStyle name="Normal 10 2 10 24 3 6" xfId="4623" xr:uid="{00000000-0005-0000-0000-00000F120000}"/>
    <cellStyle name="Normal 10 2 10 24 3 7" xfId="4624" xr:uid="{00000000-0005-0000-0000-000010120000}"/>
    <cellStyle name="Normal 10 2 10 24 3 8" xfId="4625" xr:uid="{00000000-0005-0000-0000-000011120000}"/>
    <cellStyle name="Normal 10 2 10 24 3 9" xfId="4626" xr:uid="{00000000-0005-0000-0000-000012120000}"/>
    <cellStyle name="Normal 10 2 10 24 4" xfId="4627" xr:uid="{00000000-0005-0000-0000-000013120000}"/>
    <cellStyle name="Normal 10 2 10 24 4 10" xfId="4628" xr:uid="{00000000-0005-0000-0000-000014120000}"/>
    <cellStyle name="Normal 10 2 10 24 4 2" xfId="4629" xr:uid="{00000000-0005-0000-0000-000015120000}"/>
    <cellStyle name="Normal 10 2 10 24 4 3" xfId="4630" xr:uid="{00000000-0005-0000-0000-000016120000}"/>
    <cellStyle name="Normal 10 2 10 24 4 4" xfId="4631" xr:uid="{00000000-0005-0000-0000-000017120000}"/>
    <cellStyle name="Normal 10 2 10 24 4 5" xfId="4632" xr:uid="{00000000-0005-0000-0000-000018120000}"/>
    <cellStyle name="Normal 10 2 10 24 4 6" xfId="4633" xr:uid="{00000000-0005-0000-0000-000019120000}"/>
    <cellStyle name="Normal 10 2 10 24 4 7" xfId="4634" xr:uid="{00000000-0005-0000-0000-00001A120000}"/>
    <cellStyle name="Normal 10 2 10 24 4 8" xfId="4635" xr:uid="{00000000-0005-0000-0000-00001B120000}"/>
    <cellStyle name="Normal 10 2 10 24 4 9" xfId="4636" xr:uid="{00000000-0005-0000-0000-00001C120000}"/>
    <cellStyle name="Normal 10 2 10 24 5" xfId="4637" xr:uid="{00000000-0005-0000-0000-00001D120000}"/>
    <cellStyle name="Normal 10 2 10 24 5 10" xfId="4638" xr:uid="{00000000-0005-0000-0000-00001E120000}"/>
    <cellStyle name="Normal 10 2 10 24 5 2" xfId="4639" xr:uid="{00000000-0005-0000-0000-00001F120000}"/>
    <cellStyle name="Normal 10 2 10 24 5 3" xfId="4640" xr:uid="{00000000-0005-0000-0000-000020120000}"/>
    <cellStyle name="Normal 10 2 10 24 5 4" xfId="4641" xr:uid="{00000000-0005-0000-0000-000021120000}"/>
    <cellStyle name="Normal 10 2 10 24 5 5" xfId="4642" xr:uid="{00000000-0005-0000-0000-000022120000}"/>
    <cellStyle name="Normal 10 2 10 24 5 6" xfId="4643" xr:uid="{00000000-0005-0000-0000-000023120000}"/>
    <cellStyle name="Normal 10 2 10 24 5 7" xfId="4644" xr:uid="{00000000-0005-0000-0000-000024120000}"/>
    <cellStyle name="Normal 10 2 10 24 5 8" xfId="4645" xr:uid="{00000000-0005-0000-0000-000025120000}"/>
    <cellStyle name="Normal 10 2 10 24 5 9" xfId="4646" xr:uid="{00000000-0005-0000-0000-000026120000}"/>
    <cellStyle name="Normal 10 2 10 24 6" xfId="4647" xr:uid="{00000000-0005-0000-0000-000027120000}"/>
    <cellStyle name="Normal 10 2 10 24 7" xfId="4648" xr:uid="{00000000-0005-0000-0000-000028120000}"/>
    <cellStyle name="Normal 10 2 10 24 8" xfId="4649" xr:uid="{00000000-0005-0000-0000-000029120000}"/>
    <cellStyle name="Normal 10 2 10 24 9" xfId="4650" xr:uid="{00000000-0005-0000-0000-00002A120000}"/>
    <cellStyle name="Normal 10 2 10 25" xfId="4651" xr:uid="{00000000-0005-0000-0000-00002B120000}"/>
    <cellStyle name="Normal 10 2 10 25 10" xfId="4652" xr:uid="{00000000-0005-0000-0000-00002C120000}"/>
    <cellStyle name="Normal 10 2 10 25 11" xfId="4653" xr:uid="{00000000-0005-0000-0000-00002D120000}"/>
    <cellStyle name="Normal 10 2 10 25 12" xfId="4654" xr:uid="{00000000-0005-0000-0000-00002E120000}"/>
    <cellStyle name="Normal 10 2 10 25 13" xfId="4655" xr:uid="{00000000-0005-0000-0000-00002F120000}"/>
    <cellStyle name="Normal 10 2 10 25 14" xfId="4656" xr:uid="{00000000-0005-0000-0000-000030120000}"/>
    <cellStyle name="Normal 10 2 10 25 2" xfId="4657" xr:uid="{00000000-0005-0000-0000-000031120000}"/>
    <cellStyle name="Normal 10 2 10 25 2 10" xfId="4658" xr:uid="{00000000-0005-0000-0000-000032120000}"/>
    <cellStyle name="Normal 10 2 10 25 2 2" xfId="4659" xr:uid="{00000000-0005-0000-0000-000033120000}"/>
    <cellStyle name="Normal 10 2 10 25 2 3" xfId="4660" xr:uid="{00000000-0005-0000-0000-000034120000}"/>
    <cellStyle name="Normal 10 2 10 25 2 4" xfId="4661" xr:uid="{00000000-0005-0000-0000-000035120000}"/>
    <cellStyle name="Normal 10 2 10 25 2 5" xfId="4662" xr:uid="{00000000-0005-0000-0000-000036120000}"/>
    <cellStyle name="Normal 10 2 10 25 2 6" xfId="4663" xr:uid="{00000000-0005-0000-0000-000037120000}"/>
    <cellStyle name="Normal 10 2 10 25 2 7" xfId="4664" xr:uid="{00000000-0005-0000-0000-000038120000}"/>
    <cellStyle name="Normal 10 2 10 25 2 8" xfId="4665" xr:uid="{00000000-0005-0000-0000-000039120000}"/>
    <cellStyle name="Normal 10 2 10 25 2 9" xfId="4666" xr:uid="{00000000-0005-0000-0000-00003A120000}"/>
    <cellStyle name="Normal 10 2 10 25 3" xfId="4667" xr:uid="{00000000-0005-0000-0000-00003B120000}"/>
    <cellStyle name="Normal 10 2 10 25 3 10" xfId="4668" xr:uid="{00000000-0005-0000-0000-00003C120000}"/>
    <cellStyle name="Normal 10 2 10 25 3 2" xfId="4669" xr:uid="{00000000-0005-0000-0000-00003D120000}"/>
    <cellStyle name="Normal 10 2 10 25 3 3" xfId="4670" xr:uid="{00000000-0005-0000-0000-00003E120000}"/>
    <cellStyle name="Normal 10 2 10 25 3 4" xfId="4671" xr:uid="{00000000-0005-0000-0000-00003F120000}"/>
    <cellStyle name="Normal 10 2 10 25 3 5" xfId="4672" xr:uid="{00000000-0005-0000-0000-000040120000}"/>
    <cellStyle name="Normal 10 2 10 25 3 6" xfId="4673" xr:uid="{00000000-0005-0000-0000-000041120000}"/>
    <cellStyle name="Normal 10 2 10 25 3 7" xfId="4674" xr:uid="{00000000-0005-0000-0000-000042120000}"/>
    <cellStyle name="Normal 10 2 10 25 3 8" xfId="4675" xr:uid="{00000000-0005-0000-0000-000043120000}"/>
    <cellStyle name="Normal 10 2 10 25 3 9" xfId="4676" xr:uid="{00000000-0005-0000-0000-000044120000}"/>
    <cellStyle name="Normal 10 2 10 25 4" xfId="4677" xr:uid="{00000000-0005-0000-0000-000045120000}"/>
    <cellStyle name="Normal 10 2 10 25 4 10" xfId="4678" xr:uid="{00000000-0005-0000-0000-000046120000}"/>
    <cellStyle name="Normal 10 2 10 25 4 2" xfId="4679" xr:uid="{00000000-0005-0000-0000-000047120000}"/>
    <cellStyle name="Normal 10 2 10 25 4 3" xfId="4680" xr:uid="{00000000-0005-0000-0000-000048120000}"/>
    <cellStyle name="Normal 10 2 10 25 4 4" xfId="4681" xr:uid="{00000000-0005-0000-0000-000049120000}"/>
    <cellStyle name="Normal 10 2 10 25 4 5" xfId="4682" xr:uid="{00000000-0005-0000-0000-00004A120000}"/>
    <cellStyle name="Normal 10 2 10 25 4 6" xfId="4683" xr:uid="{00000000-0005-0000-0000-00004B120000}"/>
    <cellStyle name="Normal 10 2 10 25 4 7" xfId="4684" xr:uid="{00000000-0005-0000-0000-00004C120000}"/>
    <cellStyle name="Normal 10 2 10 25 4 8" xfId="4685" xr:uid="{00000000-0005-0000-0000-00004D120000}"/>
    <cellStyle name="Normal 10 2 10 25 4 9" xfId="4686" xr:uid="{00000000-0005-0000-0000-00004E120000}"/>
    <cellStyle name="Normal 10 2 10 25 5" xfId="4687" xr:uid="{00000000-0005-0000-0000-00004F120000}"/>
    <cellStyle name="Normal 10 2 10 25 5 10" xfId="4688" xr:uid="{00000000-0005-0000-0000-000050120000}"/>
    <cellStyle name="Normal 10 2 10 25 5 2" xfId="4689" xr:uid="{00000000-0005-0000-0000-000051120000}"/>
    <cellStyle name="Normal 10 2 10 25 5 3" xfId="4690" xr:uid="{00000000-0005-0000-0000-000052120000}"/>
    <cellStyle name="Normal 10 2 10 25 5 4" xfId="4691" xr:uid="{00000000-0005-0000-0000-000053120000}"/>
    <cellStyle name="Normal 10 2 10 25 5 5" xfId="4692" xr:uid="{00000000-0005-0000-0000-000054120000}"/>
    <cellStyle name="Normal 10 2 10 25 5 6" xfId="4693" xr:uid="{00000000-0005-0000-0000-000055120000}"/>
    <cellStyle name="Normal 10 2 10 25 5 7" xfId="4694" xr:uid="{00000000-0005-0000-0000-000056120000}"/>
    <cellStyle name="Normal 10 2 10 25 5 8" xfId="4695" xr:uid="{00000000-0005-0000-0000-000057120000}"/>
    <cellStyle name="Normal 10 2 10 25 5 9" xfId="4696" xr:uid="{00000000-0005-0000-0000-000058120000}"/>
    <cellStyle name="Normal 10 2 10 25 6" xfId="4697" xr:uid="{00000000-0005-0000-0000-000059120000}"/>
    <cellStyle name="Normal 10 2 10 25 7" xfId="4698" xr:uid="{00000000-0005-0000-0000-00005A120000}"/>
    <cellStyle name="Normal 10 2 10 25 8" xfId="4699" xr:uid="{00000000-0005-0000-0000-00005B120000}"/>
    <cellStyle name="Normal 10 2 10 25 9" xfId="4700" xr:uid="{00000000-0005-0000-0000-00005C120000}"/>
    <cellStyle name="Normal 10 2 10 26" xfId="4701" xr:uid="{00000000-0005-0000-0000-00005D120000}"/>
    <cellStyle name="Normal 10 2 10 26 10" xfId="4702" xr:uid="{00000000-0005-0000-0000-00005E120000}"/>
    <cellStyle name="Normal 10 2 10 26 11" xfId="4703" xr:uid="{00000000-0005-0000-0000-00005F120000}"/>
    <cellStyle name="Normal 10 2 10 26 12" xfId="4704" xr:uid="{00000000-0005-0000-0000-000060120000}"/>
    <cellStyle name="Normal 10 2 10 26 13" xfId="4705" xr:uid="{00000000-0005-0000-0000-000061120000}"/>
    <cellStyle name="Normal 10 2 10 26 14" xfId="4706" xr:uid="{00000000-0005-0000-0000-000062120000}"/>
    <cellStyle name="Normal 10 2 10 26 2" xfId="4707" xr:uid="{00000000-0005-0000-0000-000063120000}"/>
    <cellStyle name="Normal 10 2 10 26 2 10" xfId="4708" xr:uid="{00000000-0005-0000-0000-000064120000}"/>
    <cellStyle name="Normal 10 2 10 26 2 2" xfId="4709" xr:uid="{00000000-0005-0000-0000-000065120000}"/>
    <cellStyle name="Normal 10 2 10 26 2 3" xfId="4710" xr:uid="{00000000-0005-0000-0000-000066120000}"/>
    <cellStyle name="Normal 10 2 10 26 2 4" xfId="4711" xr:uid="{00000000-0005-0000-0000-000067120000}"/>
    <cellStyle name="Normal 10 2 10 26 2 5" xfId="4712" xr:uid="{00000000-0005-0000-0000-000068120000}"/>
    <cellStyle name="Normal 10 2 10 26 2 6" xfId="4713" xr:uid="{00000000-0005-0000-0000-000069120000}"/>
    <cellStyle name="Normal 10 2 10 26 2 7" xfId="4714" xr:uid="{00000000-0005-0000-0000-00006A120000}"/>
    <cellStyle name="Normal 10 2 10 26 2 8" xfId="4715" xr:uid="{00000000-0005-0000-0000-00006B120000}"/>
    <cellStyle name="Normal 10 2 10 26 2 9" xfId="4716" xr:uid="{00000000-0005-0000-0000-00006C120000}"/>
    <cellStyle name="Normal 10 2 10 26 3" xfId="4717" xr:uid="{00000000-0005-0000-0000-00006D120000}"/>
    <cellStyle name="Normal 10 2 10 26 3 10" xfId="4718" xr:uid="{00000000-0005-0000-0000-00006E120000}"/>
    <cellStyle name="Normal 10 2 10 26 3 2" xfId="4719" xr:uid="{00000000-0005-0000-0000-00006F120000}"/>
    <cellStyle name="Normal 10 2 10 26 3 3" xfId="4720" xr:uid="{00000000-0005-0000-0000-000070120000}"/>
    <cellStyle name="Normal 10 2 10 26 3 4" xfId="4721" xr:uid="{00000000-0005-0000-0000-000071120000}"/>
    <cellStyle name="Normal 10 2 10 26 3 5" xfId="4722" xr:uid="{00000000-0005-0000-0000-000072120000}"/>
    <cellStyle name="Normal 10 2 10 26 3 6" xfId="4723" xr:uid="{00000000-0005-0000-0000-000073120000}"/>
    <cellStyle name="Normal 10 2 10 26 3 7" xfId="4724" xr:uid="{00000000-0005-0000-0000-000074120000}"/>
    <cellStyle name="Normal 10 2 10 26 3 8" xfId="4725" xr:uid="{00000000-0005-0000-0000-000075120000}"/>
    <cellStyle name="Normal 10 2 10 26 3 9" xfId="4726" xr:uid="{00000000-0005-0000-0000-000076120000}"/>
    <cellStyle name="Normal 10 2 10 26 4" xfId="4727" xr:uid="{00000000-0005-0000-0000-000077120000}"/>
    <cellStyle name="Normal 10 2 10 26 4 10" xfId="4728" xr:uid="{00000000-0005-0000-0000-000078120000}"/>
    <cellStyle name="Normal 10 2 10 26 4 2" xfId="4729" xr:uid="{00000000-0005-0000-0000-000079120000}"/>
    <cellStyle name="Normal 10 2 10 26 4 3" xfId="4730" xr:uid="{00000000-0005-0000-0000-00007A120000}"/>
    <cellStyle name="Normal 10 2 10 26 4 4" xfId="4731" xr:uid="{00000000-0005-0000-0000-00007B120000}"/>
    <cellStyle name="Normal 10 2 10 26 4 5" xfId="4732" xr:uid="{00000000-0005-0000-0000-00007C120000}"/>
    <cellStyle name="Normal 10 2 10 26 4 6" xfId="4733" xr:uid="{00000000-0005-0000-0000-00007D120000}"/>
    <cellStyle name="Normal 10 2 10 26 4 7" xfId="4734" xr:uid="{00000000-0005-0000-0000-00007E120000}"/>
    <cellStyle name="Normal 10 2 10 26 4 8" xfId="4735" xr:uid="{00000000-0005-0000-0000-00007F120000}"/>
    <cellStyle name="Normal 10 2 10 26 4 9" xfId="4736" xr:uid="{00000000-0005-0000-0000-000080120000}"/>
    <cellStyle name="Normal 10 2 10 26 5" xfId="4737" xr:uid="{00000000-0005-0000-0000-000081120000}"/>
    <cellStyle name="Normal 10 2 10 26 5 10" xfId="4738" xr:uid="{00000000-0005-0000-0000-000082120000}"/>
    <cellStyle name="Normal 10 2 10 26 5 2" xfId="4739" xr:uid="{00000000-0005-0000-0000-000083120000}"/>
    <cellStyle name="Normal 10 2 10 26 5 3" xfId="4740" xr:uid="{00000000-0005-0000-0000-000084120000}"/>
    <cellStyle name="Normal 10 2 10 26 5 4" xfId="4741" xr:uid="{00000000-0005-0000-0000-000085120000}"/>
    <cellStyle name="Normal 10 2 10 26 5 5" xfId="4742" xr:uid="{00000000-0005-0000-0000-000086120000}"/>
    <cellStyle name="Normal 10 2 10 26 5 6" xfId="4743" xr:uid="{00000000-0005-0000-0000-000087120000}"/>
    <cellStyle name="Normal 10 2 10 26 5 7" xfId="4744" xr:uid="{00000000-0005-0000-0000-000088120000}"/>
    <cellStyle name="Normal 10 2 10 26 5 8" xfId="4745" xr:uid="{00000000-0005-0000-0000-000089120000}"/>
    <cellStyle name="Normal 10 2 10 26 5 9" xfId="4746" xr:uid="{00000000-0005-0000-0000-00008A120000}"/>
    <cellStyle name="Normal 10 2 10 26 6" xfId="4747" xr:uid="{00000000-0005-0000-0000-00008B120000}"/>
    <cellStyle name="Normal 10 2 10 26 7" xfId="4748" xr:uid="{00000000-0005-0000-0000-00008C120000}"/>
    <cellStyle name="Normal 10 2 10 26 8" xfId="4749" xr:uid="{00000000-0005-0000-0000-00008D120000}"/>
    <cellStyle name="Normal 10 2 10 26 9" xfId="4750" xr:uid="{00000000-0005-0000-0000-00008E120000}"/>
    <cellStyle name="Normal 10 2 10 27" xfId="4751" xr:uid="{00000000-0005-0000-0000-00008F120000}"/>
    <cellStyle name="Normal 10 2 10 27 10" xfId="4752" xr:uid="{00000000-0005-0000-0000-000090120000}"/>
    <cellStyle name="Normal 10 2 10 27 11" xfId="4753" xr:uid="{00000000-0005-0000-0000-000091120000}"/>
    <cellStyle name="Normal 10 2 10 27 12" xfId="4754" xr:uid="{00000000-0005-0000-0000-000092120000}"/>
    <cellStyle name="Normal 10 2 10 27 13" xfId="4755" xr:uid="{00000000-0005-0000-0000-000093120000}"/>
    <cellStyle name="Normal 10 2 10 27 14" xfId="4756" xr:uid="{00000000-0005-0000-0000-000094120000}"/>
    <cellStyle name="Normal 10 2 10 27 2" xfId="4757" xr:uid="{00000000-0005-0000-0000-000095120000}"/>
    <cellStyle name="Normal 10 2 10 27 2 10" xfId="4758" xr:uid="{00000000-0005-0000-0000-000096120000}"/>
    <cellStyle name="Normal 10 2 10 27 2 2" xfId="4759" xr:uid="{00000000-0005-0000-0000-000097120000}"/>
    <cellStyle name="Normal 10 2 10 27 2 3" xfId="4760" xr:uid="{00000000-0005-0000-0000-000098120000}"/>
    <cellStyle name="Normal 10 2 10 27 2 4" xfId="4761" xr:uid="{00000000-0005-0000-0000-000099120000}"/>
    <cellStyle name="Normal 10 2 10 27 2 5" xfId="4762" xr:uid="{00000000-0005-0000-0000-00009A120000}"/>
    <cellStyle name="Normal 10 2 10 27 2 6" xfId="4763" xr:uid="{00000000-0005-0000-0000-00009B120000}"/>
    <cellStyle name="Normal 10 2 10 27 2 7" xfId="4764" xr:uid="{00000000-0005-0000-0000-00009C120000}"/>
    <cellStyle name="Normal 10 2 10 27 2 8" xfId="4765" xr:uid="{00000000-0005-0000-0000-00009D120000}"/>
    <cellStyle name="Normal 10 2 10 27 2 9" xfId="4766" xr:uid="{00000000-0005-0000-0000-00009E120000}"/>
    <cellStyle name="Normal 10 2 10 27 3" xfId="4767" xr:uid="{00000000-0005-0000-0000-00009F120000}"/>
    <cellStyle name="Normal 10 2 10 27 3 10" xfId="4768" xr:uid="{00000000-0005-0000-0000-0000A0120000}"/>
    <cellStyle name="Normal 10 2 10 27 3 2" xfId="4769" xr:uid="{00000000-0005-0000-0000-0000A1120000}"/>
    <cellStyle name="Normal 10 2 10 27 3 3" xfId="4770" xr:uid="{00000000-0005-0000-0000-0000A2120000}"/>
    <cellStyle name="Normal 10 2 10 27 3 4" xfId="4771" xr:uid="{00000000-0005-0000-0000-0000A3120000}"/>
    <cellStyle name="Normal 10 2 10 27 3 5" xfId="4772" xr:uid="{00000000-0005-0000-0000-0000A4120000}"/>
    <cellStyle name="Normal 10 2 10 27 3 6" xfId="4773" xr:uid="{00000000-0005-0000-0000-0000A5120000}"/>
    <cellStyle name="Normal 10 2 10 27 3 7" xfId="4774" xr:uid="{00000000-0005-0000-0000-0000A6120000}"/>
    <cellStyle name="Normal 10 2 10 27 3 8" xfId="4775" xr:uid="{00000000-0005-0000-0000-0000A7120000}"/>
    <cellStyle name="Normal 10 2 10 27 3 9" xfId="4776" xr:uid="{00000000-0005-0000-0000-0000A8120000}"/>
    <cellStyle name="Normal 10 2 10 27 4" xfId="4777" xr:uid="{00000000-0005-0000-0000-0000A9120000}"/>
    <cellStyle name="Normal 10 2 10 27 4 10" xfId="4778" xr:uid="{00000000-0005-0000-0000-0000AA120000}"/>
    <cellStyle name="Normal 10 2 10 27 4 2" xfId="4779" xr:uid="{00000000-0005-0000-0000-0000AB120000}"/>
    <cellStyle name="Normal 10 2 10 27 4 3" xfId="4780" xr:uid="{00000000-0005-0000-0000-0000AC120000}"/>
    <cellStyle name="Normal 10 2 10 27 4 4" xfId="4781" xr:uid="{00000000-0005-0000-0000-0000AD120000}"/>
    <cellStyle name="Normal 10 2 10 27 4 5" xfId="4782" xr:uid="{00000000-0005-0000-0000-0000AE120000}"/>
    <cellStyle name="Normal 10 2 10 27 4 6" xfId="4783" xr:uid="{00000000-0005-0000-0000-0000AF120000}"/>
    <cellStyle name="Normal 10 2 10 27 4 7" xfId="4784" xr:uid="{00000000-0005-0000-0000-0000B0120000}"/>
    <cellStyle name="Normal 10 2 10 27 4 8" xfId="4785" xr:uid="{00000000-0005-0000-0000-0000B1120000}"/>
    <cellStyle name="Normal 10 2 10 27 4 9" xfId="4786" xr:uid="{00000000-0005-0000-0000-0000B2120000}"/>
    <cellStyle name="Normal 10 2 10 27 5" xfId="4787" xr:uid="{00000000-0005-0000-0000-0000B3120000}"/>
    <cellStyle name="Normal 10 2 10 27 5 10" xfId="4788" xr:uid="{00000000-0005-0000-0000-0000B4120000}"/>
    <cellStyle name="Normal 10 2 10 27 5 2" xfId="4789" xr:uid="{00000000-0005-0000-0000-0000B5120000}"/>
    <cellStyle name="Normal 10 2 10 27 5 3" xfId="4790" xr:uid="{00000000-0005-0000-0000-0000B6120000}"/>
    <cellStyle name="Normal 10 2 10 27 5 4" xfId="4791" xr:uid="{00000000-0005-0000-0000-0000B7120000}"/>
    <cellStyle name="Normal 10 2 10 27 5 5" xfId="4792" xr:uid="{00000000-0005-0000-0000-0000B8120000}"/>
    <cellStyle name="Normal 10 2 10 27 5 6" xfId="4793" xr:uid="{00000000-0005-0000-0000-0000B9120000}"/>
    <cellStyle name="Normal 10 2 10 27 5 7" xfId="4794" xr:uid="{00000000-0005-0000-0000-0000BA120000}"/>
    <cellStyle name="Normal 10 2 10 27 5 8" xfId="4795" xr:uid="{00000000-0005-0000-0000-0000BB120000}"/>
    <cellStyle name="Normal 10 2 10 27 5 9" xfId="4796" xr:uid="{00000000-0005-0000-0000-0000BC120000}"/>
    <cellStyle name="Normal 10 2 10 27 6" xfId="4797" xr:uid="{00000000-0005-0000-0000-0000BD120000}"/>
    <cellStyle name="Normal 10 2 10 27 7" xfId="4798" xr:uid="{00000000-0005-0000-0000-0000BE120000}"/>
    <cellStyle name="Normal 10 2 10 27 8" xfId="4799" xr:uid="{00000000-0005-0000-0000-0000BF120000}"/>
    <cellStyle name="Normal 10 2 10 27 9" xfId="4800" xr:uid="{00000000-0005-0000-0000-0000C0120000}"/>
    <cellStyle name="Normal 10 2 10 28" xfId="4801" xr:uid="{00000000-0005-0000-0000-0000C1120000}"/>
    <cellStyle name="Normal 10 2 10 28 10" xfId="4802" xr:uid="{00000000-0005-0000-0000-0000C2120000}"/>
    <cellStyle name="Normal 10 2 10 28 11" xfId="4803" xr:uid="{00000000-0005-0000-0000-0000C3120000}"/>
    <cellStyle name="Normal 10 2 10 28 12" xfId="4804" xr:uid="{00000000-0005-0000-0000-0000C4120000}"/>
    <cellStyle name="Normal 10 2 10 28 13" xfId="4805" xr:uid="{00000000-0005-0000-0000-0000C5120000}"/>
    <cellStyle name="Normal 10 2 10 28 14" xfId="4806" xr:uid="{00000000-0005-0000-0000-0000C6120000}"/>
    <cellStyle name="Normal 10 2 10 28 2" xfId="4807" xr:uid="{00000000-0005-0000-0000-0000C7120000}"/>
    <cellStyle name="Normal 10 2 10 28 2 10" xfId="4808" xr:uid="{00000000-0005-0000-0000-0000C8120000}"/>
    <cellStyle name="Normal 10 2 10 28 2 2" xfId="4809" xr:uid="{00000000-0005-0000-0000-0000C9120000}"/>
    <cellStyle name="Normal 10 2 10 28 2 3" xfId="4810" xr:uid="{00000000-0005-0000-0000-0000CA120000}"/>
    <cellStyle name="Normal 10 2 10 28 2 4" xfId="4811" xr:uid="{00000000-0005-0000-0000-0000CB120000}"/>
    <cellStyle name="Normal 10 2 10 28 2 5" xfId="4812" xr:uid="{00000000-0005-0000-0000-0000CC120000}"/>
    <cellStyle name="Normal 10 2 10 28 2 6" xfId="4813" xr:uid="{00000000-0005-0000-0000-0000CD120000}"/>
    <cellStyle name="Normal 10 2 10 28 2 7" xfId="4814" xr:uid="{00000000-0005-0000-0000-0000CE120000}"/>
    <cellStyle name="Normal 10 2 10 28 2 8" xfId="4815" xr:uid="{00000000-0005-0000-0000-0000CF120000}"/>
    <cellStyle name="Normal 10 2 10 28 2 9" xfId="4816" xr:uid="{00000000-0005-0000-0000-0000D0120000}"/>
    <cellStyle name="Normal 10 2 10 28 3" xfId="4817" xr:uid="{00000000-0005-0000-0000-0000D1120000}"/>
    <cellStyle name="Normal 10 2 10 28 3 10" xfId="4818" xr:uid="{00000000-0005-0000-0000-0000D2120000}"/>
    <cellStyle name="Normal 10 2 10 28 3 2" xfId="4819" xr:uid="{00000000-0005-0000-0000-0000D3120000}"/>
    <cellStyle name="Normal 10 2 10 28 3 3" xfId="4820" xr:uid="{00000000-0005-0000-0000-0000D4120000}"/>
    <cellStyle name="Normal 10 2 10 28 3 4" xfId="4821" xr:uid="{00000000-0005-0000-0000-0000D5120000}"/>
    <cellStyle name="Normal 10 2 10 28 3 5" xfId="4822" xr:uid="{00000000-0005-0000-0000-0000D6120000}"/>
    <cellStyle name="Normal 10 2 10 28 3 6" xfId="4823" xr:uid="{00000000-0005-0000-0000-0000D7120000}"/>
    <cellStyle name="Normal 10 2 10 28 3 7" xfId="4824" xr:uid="{00000000-0005-0000-0000-0000D8120000}"/>
    <cellStyle name="Normal 10 2 10 28 3 8" xfId="4825" xr:uid="{00000000-0005-0000-0000-0000D9120000}"/>
    <cellStyle name="Normal 10 2 10 28 3 9" xfId="4826" xr:uid="{00000000-0005-0000-0000-0000DA120000}"/>
    <cellStyle name="Normal 10 2 10 28 4" xfId="4827" xr:uid="{00000000-0005-0000-0000-0000DB120000}"/>
    <cellStyle name="Normal 10 2 10 28 4 10" xfId="4828" xr:uid="{00000000-0005-0000-0000-0000DC120000}"/>
    <cellStyle name="Normal 10 2 10 28 4 2" xfId="4829" xr:uid="{00000000-0005-0000-0000-0000DD120000}"/>
    <cellStyle name="Normal 10 2 10 28 4 3" xfId="4830" xr:uid="{00000000-0005-0000-0000-0000DE120000}"/>
    <cellStyle name="Normal 10 2 10 28 4 4" xfId="4831" xr:uid="{00000000-0005-0000-0000-0000DF120000}"/>
    <cellStyle name="Normal 10 2 10 28 4 5" xfId="4832" xr:uid="{00000000-0005-0000-0000-0000E0120000}"/>
    <cellStyle name="Normal 10 2 10 28 4 6" xfId="4833" xr:uid="{00000000-0005-0000-0000-0000E1120000}"/>
    <cellStyle name="Normal 10 2 10 28 4 7" xfId="4834" xr:uid="{00000000-0005-0000-0000-0000E2120000}"/>
    <cellStyle name="Normal 10 2 10 28 4 8" xfId="4835" xr:uid="{00000000-0005-0000-0000-0000E3120000}"/>
    <cellStyle name="Normal 10 2 10 28 4 9" xfId="4836" xr:uid="{00000000-0005-0000-0000-0000E4120000}"/>
    <cellStyle name="Normal 10 2 10 28 5" xfId="4837" xr:uid="{00000000-0005-0000-0000-0000E5120000}"/>
    <cellStyle name="Normal 10 2 10 28 5 10" xfId="4838" xr:uid="{00000000-0005-0000-0000-0000E6120000}"/>
    <cellStyle name="Normal 10 2 10 28 5 2" xfId="4839" xr:uid="{00000000-0005-0000-0000-0000E7120000}"/>
    <cellStyle name="Normal 10 2 10 28 5 3" xfId="4840" xr:uid="{00000000-0005-0000-0000-0000E8120000}"/>
    <cellStyle name="Normal 10 2 10 28 5 4" xfId="4841" xr:uid="{00000000-0005-0000-0000-0000E9120000}"/>
    <cellStyle name="Normal 10 2 10 28 5 5" xfId="4842" xr:uid="{00000000-0005-0000-0000-0000EA120000}"/>
    <cellStyle name="Normal 10 2 10 28 5 6" xfId="4843" xr:uid="{00000000-0005-0000-0000-0000EB120000}"/>
    <cellStyle name="Normal 10 2 10 28 5 7" xfId="4844" xr:uid="{00000000-0005-0000-0000-0000EC120000}"/>
    <cellStyle name="Normal 10 2 10 28 5 8" xfId="4845" xr:uid="{00000000-0005-0000-0000-0000ED120000}"/>
    <cellStyle name="Normal 10 2 10 28 5 9" xfId="4846" xr:uid="{00000000-0005-0000-0000-0000EE120000}"/>
    <cellStyle name="Normal 10 2 10 28 6" xfId="4847" xr:uid="{00000000-0005-0000-0000-0000EF120000}"/>
    <cellStyle name="Normal 10 2 10 28 7" xfId="4848" xr:uid="{00000000-0005-0000-0000-0000F0120000}"/>
    <cellStyle name="Normal 10 2 10 28 8" xfId="4849" xr:uid="{00000000-0005-0000-0000-0000F1120000}"/>
    <cellStyle name="Normal 10 2 10 28 9" xfId="4850" xr:uid="{00000000-0005-0000-0000-0000F2120000}"/>
    <cellStyle name="Normal 10 2 10 29" xfId="4851" xr:uid="{00000000-0005-0000-0000-0000F3120000}"/>
    <cellStyle name="Normal 10 2 10 29 10" xfId="4852" xr:uid="{00000000-0005-0000-0000-0000F4120000}"/>
    <cellStyle name="Normal 10 2 10 29 11" xfId="4853" xr:uid="{00000000-0005-0000-0000-0000F5120000}"/>
    <cellStyle name="Normal 10 2 10 29 12" xfId="4854" xr:uid="{00000000-0005-0000-0000-0000F6120000}"/>
    <cellStyle name="Normal 10 2 10 29 13" xfId="4855" xr:uid="{00000000-0005-0000-0000-0000F7120000}"/>
    <cellStyle name="Normal 10 2 10 29 14" xfId="4856" xr:uid="{00000000-0005-0000-0000-0000F8120000}"/>
    <cellStyle name="Normal 10 2 10 29 2" xfId="4857" xr:uid="{00000000-0005-0000-0000-0000F9120000}"/>
    <cellStyle name="Normal 10 2 10 29 2 10" xfId="4858" xr:uid="{00000000-0005-0000-0000-0000FA120000}"/>
    <cellStyle name="Normal 10 2 10 29 2 2" xfId="4859" xr:uid="{00000000-0005-0000-0000-0000FB120000}"/>
    <cellStyle name="Normal 10 2 10 29 2 3" xfId="4860" xr:uid="{00000000-0005-0000-0000-0000FC120000}"/>
    <cellStyle name="Normal 10 2 10 29 2 4" xfId="4861" xr:uid="{00000000-0005-0000-0000-0000FD120000}"/>
    <cellStyle name="Normal 10 2 10 29 2 5" xfId="4862" xr:uid="{00000000-0005-0000-0000-0000FE120000}"/>
    <cellStyle name="Normal 10 2 10 29 2 6" xfId="4863" xr:uid="{00000000-0005-0000-0000-0000FF120000}"/>
    <cellStyle name="Normal 10 2 10 29 2 7" xfId="4864" xr:uid="{00000000-0005-0000-0000-000000130000}"/>
    <cellStyle name="Normal 10 2 10 29 2 8" xfId="4865" xr:uid="{00000000-0005-0000-0000-000001130000}"/>
    <cellStyle name="Normal 10 2 10 29 2 9" xfId="4866" xr:uid="{00000000-0005-0000-0000-000002130000}"/>
    <cellStyle name="Normal 10 2 10 29 3" xfId="4867" xr:uid="{00000000-0005-0000-0000-000003130000}"/>
    <cellStyle name="Normal 10 2 10 29 3 10" xfId="4868" xr:uid="{00000000-0005-0000-0000-000004130000}"/>
    <cellStyle name="Normal 10 2 10 29 3 2" xfId="4869" xr:uid="{00000000-0005-0000-0000-000005130000}"/>
    <cellStyle name="Normal 10 2 10 29 3 3" xfId="4870" xr:uid="{00000000-0005-0000-0000-000006130000}"/>
    <cellStyle name="Normal 10 2 10 29 3 4" xfId="4871" xr:uid="{00000000-0005-0000-0000-000007130000}"/>
    <cellStyle name="Normal 10 2 10 29 3 5" xfId="4872" xr:uid="{00000000-0005-0000-0000-000008130000}"/>
    <cellStyle name="Normal 10 2 10 29 3 6" xfId="4873" xr:uid="{00000000-0005-0000-0000-000009130000}"/>
    <cellStyle name="Normal 10 2 10 29 3 7" xfId="4874" xr:uid="{00000000-0005-0000-0000-00000A130000}"/>
    <cellStyle name="Normal 10 2 10 29 3 8" xfId="4875" xr:uid="{00000000-0005-0000-0000-00000B130000}"/>
    <cellStyle name="Normal 10 2 10 29 3 9" xfId="4876" xr:uid="{00000000-0005-0000-0000-00000C130000}"/>
    <cellStyle name="Normal 10 2 10 29 4" xfId="4877" xr:uid="{00000000-0005-0000-0000-00000D130000}"/>
    <cellStyle name="Normal 10 2 10 29 4 10" xfId="4878" xr:uid="{00000000-0005-0000-0000-00000E130000}"/>
    <cellStyle name="Normal 10 2 10 29 4 2" xfId="4879" xr:uid="{00000000-0005-0000-0000-00000F130000}"/>
    <cellStyle name="Normal 10 2 10 29 4 3" xfId="4880" xr:uid="{00000000-0005-0000-0000-000010130000}"/>
    <cellStyle name="Normal 10 2 10 29 4 4" xfId="4881" xr:uid="{00000000-0005-0000-0000-000011130000}"/>
    <cellStyle name="Normal 10 2 10 29 4 5" xfId="4882" xr:uid="{00000000-0005-0000-0000-000012130000}"/>
    <cellStyle name="Normal 10 2 10 29 4 6" xfId="4883" xr:uid="{00000000-0005-0000-0000-000013130000}"/>
    <cellStyle name="Normal 10 2 10 29 4 7" xfId="4884" xr:uid="{00000000-0005-0000-0000-000014130000}"/>
    <cellStyle name="Normal 10 2 10 29 4 8" xfId="4885" xr:uid="{00000000-0005-0000-0000-000015130000}"/>
    <cellStyle name="Normal 10 2 10 29 4 9" xfId="4886" xr:uid="{00000000-0005-0000-0000-000016130000}"/>
    <cellStyle name="Normal 10 2 10 29 5" xfId="4887" xr:uid="{00000000-0005-0000-0000-000017130000}"/>
    <cellStyle name="Normal 10 2 10 29 5 10" xfId="4888" xr:uid="{00000000-0005-0000-0000-000018130000}"/>
    <cellStyle name="Normal 10 2 10 29 5 2" xfId="4889" xr:uid="{00000000-0005-0000-0000-000019130000}"/>
    <cellStyle name="Normal 10 2 10 29 5 3" xfId="4890" xr:uid="{00000000-0005-0000-0000-00001A130000}"/>
    <cellStyle name="Normal 10 2 10 29 5 4" xfId="4891" xr:uid="{00000000-0005-0000-0000-00001B130000}"/>
    <cellStyle name="Normal 10 2 10 29 5 5" xfId="4892" xr:uid="{00000000-0005-0000-0000-00001C130000}"/>
    <cellStyle name="Normal 10 2 10 29 5 6" xfId="4893" xr:uid="{00000000-0005-0000-0000-00001D130000}"/>
    <cellStyle name="Normal 10 2 10 29 5 7" xfId="4894" xr:uid="{00000000-0005-0000-0000-00001E130000}"/>
    <cellStyle name="Normal 10 2 10 29 5 8" xfId="4895" xr:uid="{00000000-0005-0000-0000-00001F130000}"/>
    <cellStyle name="Normal 10 2 10 29 5 9" xfId="4896" xr:uid="{00000000-0005-0000-0000-000020130000}"/>
    <cellStyle name="Normal 10 2 10 29 6" xfId="4897" xr:uid="{00000000-0005-0000-0000-000021130000}"/>
    <cellStyle name="Normal 10 2 10 29 7" xfId="4898" xr:uid="{00000000-0005-0000-0000-000022130000}"/>
    <cellStyle name="Normal 10 2 10 29 8" xfId="4899" xr:uid="{00000000-0005-0000-0000-000023130000}"/>
    <cellStyle name="Normal 10 2 10 29 9" xfId="4900" xr:uid="{00000000-0005-0000-0000-000024130000}"/>
    <cellStyle name="Normal 10 2 10 3" xfId="34" xr:uid="{00000000-0005-0000-0000-000022000000}"/>
    <cellStyle name="Normal 10 2 10 3 10" xfId="4902" xr:uid="{00000000-0005-0000-0000-000026130000}"/>
    <cellStyle name="Normal 10 2 10 3 11" xfId="4903" xr:uid="{00000000-0005-0000-0000-000027130000}"/>
    <cellStyle name="Normal 10 2 10 3 12" xfId="4904" xr:uid="{00000000-0005-0000-0000-000028130000}"/>
    <cellStyle name="Normal 10 2 10 3 13" xfId="4905" xr:uid="{00000000-0005-0000-0000-000029130000}"/>
    <cellStyle name="Normal 10 2 10 3 14" xfId="4906" xr:uid="{00000000-0005-0000-0000-00002A130000}"/>
    <cellStyle name="Normal 10 2 10 3 15" xfId="4907" xr:uid="{00000000-0005-0000-0000-00002B130000}"/>
    <cellStyle name="Normal 10 2 10 3 16" xfId="4901" xr:uid="{00000000-0005-0000-0000-000025130000}"/>
    <cellStyle name="Normal 10 2 10 3 2" xfId="4908" xr:uid="{00000000-0005-0000-0000-00002C130000}"/>
    <cellStyle name="Normal 10 2 10 3 2 10" xfId="4909" xr:uid="{00000000-0005-0000-0000-00002D130000}"/>
    <cellStyle name="Normal 10 2 10 3 2 2" xfId="4910" xr:uid="{00000000-0005-0000-0000-00002E130000}"/>
    <cellStyle name="Normal 10 2 10 3 2 3" xfId="4911" xr:uid="{00000000-0005-0000-0000-00002F130000}"/>
    <cellStyle name="Normal 10 2 10 3 2 4" xfId="4912" xr:uid="{00000000-0005-0000-0000-000030130000}"/>
    <cellStyle name="Normal 10 2 10 3 2 5" xfId="4913" xr:uid="{00000000-0005-0000-0000-000031130000}"/>
    <cellStyle name="Normal 10 2 10 3 2 6" xfId="4914" xr:uid="{00000000-0005-0000-0000-000032130000}"/>
    <cellStyle name="Normal 10 2 10 3 2 7" xfId="4915" xr:uid="{00000000-0005-0000-0000-000033130000}"/>
    <cellStyle name="Normal 10 2 10 3 2 8" xfId="4916" xr:uid="{00000000-0005-0000-0000-000034130000}"/>
    <cellStyle name="Normal 10 2 10 3 2 9" xfId="4917" xr:uid="{00000000-0005-0000-0000-000035130000}"/>
    <cellStyle name="Normal 10 2 10 3 3" xfId="4918" xr:uid="{00000000-0005-0000-0000-000036130000}"/>
    <cellStyle name="Normal 10 2 10 3 3 10" xfId="4919" xr:uid="{00000000-0005-0000-0000-000037130000}"/>
    <cellStyle name="Normal 10 2 10 3 3 2" xfId="4920" xr:uid="{00000000-0005-0000-0000-000038130000}"/>
    <cellStyle name="Normal 10 2 10 3 3 3" xfId="4921" xr:uid="{00000000-0005-0000-0000-000039130000}"/>
    <cellStyle name="Normal 10 2 10 3 3 4" xfId="4922" xr:uid="{00000000-0005-0000-0000-00003A130000}"/>
    <cellStyle name="Normal 10 2 10 3 3 5" xfId="4923" xr:uid="{00000000-0005-0000-0000-00003B130000}"/>
    <cellStyle name="Normal 10 2 10 3 3 6" xfId="4924" xr:uid="{00000000-0005-0000-0000-00003C130000}"/>
    <cellStyle name="Normal 10 2 10 3 3 7" xfId="4925" xr:uid="{00000000-0005-0000-0000-00003D130000}"/>
    <cellStyle name="Normal 10 2 10 3 3 8" xfId="4926" xr:uid="{00000000-0005-0000-0000-00003E130000}"/>
    <cellStyle name="Normal 10 2 10 3 3 9" xfId="4927" xr:uid="{00000000-0005-0000-0000-00003F130000}"/>
    <cellStyle name="Normal 10 2 10 3 4" xfId="4928" xr:uid="{00000000-0005-0000-0000-000040130000}"/>
    <cellStyle name="Normal 10 2 10 3 4 10" xfId="4929" xr:uid="{00000000-0005-0000-0000-000041130000}"/>
    <cellStyle name="Normal 10 2 10 3 4 2" xfId="4930" xr:uid="{00000000-0005-0000-0000-000042130000}"/>
    <cellStyle name="Normal 10 2 10 3 4 3" xfId="4931" xr:uid="{00000000-0005-0000-0000-000043130000}"/>
    <cellStyle name="Normal 10 2 10 3 4 4" xfId="4932" xr:uid="{00000000-0005-0000-0000-000044130000}"/>
    <cellStyle name="Normal 10 2 10 3 4 5" xfId="4933" xr:uid="{00000000-0005-0000-0000-000045130000}"/>
    <cellStyle name="Normal 10 2 10 3 4 6" xfId="4934" xr:uid="{00000000-0005-0000-0000-000046130000}"/>
    <cellStyle name="Normal 10 2 10 3 4 7" xfId="4935" xr:uid="{00000000-0005-0000-0000-000047130000}"/>
    <cellStyle name="Normal 10 2 10 3 4 8" xfId="4936" xr:uid="{00000000-0005-0000-0000-000048130000}"/>
    <cellStyle name="Normal 10 2 10 3 4 9" xfId="4937" xr:uid="{00000000-0005-0000-0000-000049130000}"/>
    <cellStyle name="Normal 10 2 10 3 5" xfId="4938" xr:uid="{00000000-0005-0000-0000-00004A130000}"/>
    <cellStyle name="Normal 10 2 10 3 5 10" xfId="4939" xr:uid="{00000000-0005-0000-0000-00004B130000}"/>
    <cellStyle name="Normal 10 2 10 3 5 2" xfId="4940" xr:uid="{00000000-0005-0000-0000-00004C130000}"/>
    <cellStyle name="Normal 10 2 10 3 5 3" xfId="4941" xr:uid="{00000000-0005-0000-0000-00004D130000}"/>
    <cellStyle name="Normal 10 2 10 3 5 4" xfId="4942" xr:uid="{00000000-0005-0000-0000-00004E130000}"/>
    <cellStyle name="Normal 10 2 10 3 5 5" xfId="4943" xr:uid="{00000000-0005-0000-0000-00004F130000}"/>
    <cellStyle name="Normal 10 2 10 3 5 6" xfId="4944" xr:uid="{00000000-0005-0000-0000-000050130000}"/>
    <cellStyle name="Normal 10 2 10 3 5 7" xfId="4945" xr:uid="{00000000-0005-0000-0000-000051130000}"/>
    <cellStyle name="Normal 10 2 10 3 5 8" xfId="4946" xr:uid="{00000000-0005-0000-0000-000052130000}"/>
    <cellStyle name="Normal 10 2 10 3 5 9" xfId="4947" xr:uid="{00000000-0005-0000-0000-000053130000}"/>
    <cellStyle name="Normal 10 2 10 3 6" xfId="4948" xr:uid="{00000000-0005-0000-0000-000054130000}"/>
    <cellStyle name="Normal 10 2 10 3 7" xfId="4949" xr:uid="{00000000-0005-0000-0000-000055130000}"/>
    <cellStyle name="Normal 10 2 10 3 8" xfId="4950" xr:uid="{00000000-0005-0000-0000-000056130000}"/>
    <cellStyle name="Normal 10 2 10 3 9" xfId="4951" xr:uid="{00000000-0005-0000-0000-000057130000}"/>
    <cellStyle name="Normal 10 2 10 30" xfId="4952" xr:uid="{00000000-0005-0000-0000-000058130000}"/>
    <cellStyle name="Normal 10 2 10 30 10" xfId="4953" xr:uid="{00000000-0005-0000-0000-000059130000}"/>
    <cellStyle name="Normal 10 2 10 30 11" xfId="4954" xr:uid="{00000000-0005-0000-0000-00005A130000}"/>
    <cellStyle name="Normal 10 2 10 30 12" xfId="4955" xr:uid="{00000000-0005-0000-0000-00005B130000}"/>
    <cellStyle name="Normal 10 2 10 30 13" xfId="4956" xr:uid="{00000000-0005-0000-0000-00005C130000}"/>
    <cellStyle name="Normal 10 2 10 30 14" xfId="4957" xr:uid="{00000000-0005-0000-0000-00005D130000}"/>
    <cellStyle name="Normal 10 2 10 30 2" xfId="4958" xr:uid="{00000000-0005-0000-0000-00005E130000}"/>
    <cellStyle name="Normal 10 2 10 30 2 10" xfId="4959" xr:uid="{00000000-0005-0000-0000-00005F130000}"/>
    <cellStyle name="Normal 10 2 10 30 2 2" xfId="4960" xr:uid="{00000000-0005-0000-0000-000060130000}"/>
    <cellStyle name="Normal 10 2 10 30 2 3" xfId="4961" xr:uid="{00000000-0005-0000-0000-000061130000}"/>
    <cellStyle name="Normal 10 2 10 30 2 4" xfId="4962" xr:uid="{00000000-0005-0000-0000-000062130000}"/>
    <cellStyle name="Normal 10 2 10 30 2 5" xfId="4963" xr:uid="{00000000-0005-0000-0000-000063130000}"/>
    <cellStyle name="Normal 10 2 10 30 2 6" xfId="4964" xr:uid="{00000000-0005-0000-0000-000064130000}"/>
    <cellStyle name="Normal 10 2 10 30 2 7" xfId="4965" xr:uid="{00000000-0005-0000-0000-000065130000}"/>
    <cellStyle name="Normal 10 2 10 30 2 8" xfId="4966" xr:uid="{00000000-0005-0000-0000-000066130000}"/>
    <cellStyle name="Normal 10 2 10 30 2 9" xfId="4967" xr:uid="{00000000-0005-0000-0000-000067130000}"/>
    <cellStyle name="Normal 10 2 10 30 3" xfId="4968" xr:uid="{00000000-0005-0000-0000-000068130000}"/>
    <cellStyle name="Normal 10 2 10 30 3 10" xfId="4969" xr:uid="{00000000-0005-0000-0000-000069130000}"/>
    <cellStyle name="Normal 10 2 10 30 3 2" xfId="4970" xr:uid="{00000000-0005-0000-0000-00006A130000}"/>
    <cellStyle name="Normal 10 2 10 30 3 3" xfId="4971" xr:uid="{00000000-0005-0000-0000-00006B130000}"/>
    <cellStyle name="Normal 10 2 10 30 3 4" xfId="4972" xr:uid="{00000000-0005-0000-0000-00006C130000}"/>
    <cellStyle name="Normal 10 2 10 30 3 5" xfId="4973" xr:uid="{00000000-0005-0000-0000-00006D130000}"/>
    <cellStyle name="Normal 10 2 10 30 3 6" xfId="4974" xr:uid="{00000000-0005-0000-0000-00006E130000}"/>
    <cellStyle name="Normal 10 2 10 30 3 7" xfId="4975" xr:uid="{00000000-0005-0000-0000-00006F130000}"/>
    <cellStyle name="Normal 10 2 10 30 3 8" xfId="4976" xr:uid="{00000000-0005-0000-0000-000070130000}"/>
    <cellStyle name="Normal 10 2 10 30 3 9" xfId="4977" xr:uid="{00000000-0005-0000-0000-000071130000}"/>
    <cellStyle name="Normal 10 2 10 30 4" xfId="4978" xr:uid="{00000000-0005-0000-0000-000072130000}"/>
    <cellStyle name="Normal 10 2 10 30 4 10" xfId="4979" xr:uid="{00000000-0005-0000-0000-000073130000}"/>
    <cellStyle name="Normal 10 2 10 30 4 2" xfId="4980" xr:uid="{00000000-0005-0000-0000-000074130000}"/>
    <cellStyle name="Normal 10 2 10 30 4 3" xfId="4981" xr:uid="{00000000-0005-0000-0000-000075130000}"/>
    <cellStyle name="Normal 10 2 10 30 4 4" xfId="4982" xr:uid="{00000000-0005-0000-0000-000076130000}"/>
    <cellStyle name="Normal 10 2 10 30 4 5" xfId="4983" xr:uid="{00000000-0005-0000-0000-000077130000}"/>
    <cellStyle name="Normal 10 2 10 30 4 6" xfId="4984" xr:uid="{00000000-0005-0000-0000-000078130000}"/>
    <cellStyle name="Normal 10 2 10 30 4 7" xfId="4985" xr:uid="{00000000-0005-0000-0000-000079130000}"/>
    <cellStyle name="Normal 10 2 10 30 4 8" xfId="4986" xr:uid="{00000000-0005-0000-0000-00007A130000}"/>
    <cellStyle name="Normal 10 2 10 30 4 9" xfId="4987" xr:uid="{00000000-0005-0000-0000-00007B130000}"/>
    <cellStyle name="Normal 10 2 10 30 5" xfId="4988" xr:uid="{00000000-0005-0000-0000-00007C130000}"/>
    <cellStyle name="Normal 10 2 10 30 5 10" xfId="4989" xr:uid="{00000000-0005-0000-0000-00007D130000}"/>
    <cellStyle name="Normal 10 2 10 30 5 2" xfId="4990" xr:uid="{00000000-0005-0000-0000-00007E130000}"/>
    <cellStyle name="Normal 10 2 10 30 5 3" xfId="4991" xr:uid="{00000000-0005-0000-0000-00007F130000}"/>
    <cellStyle name="Normal 10 2 10 30 5 4" xfId="4992" xr:uid="{00000000-0005-0000-0000-000080130000}"/>
    <cellStyle name="Normal 10 2 10 30 5 5" xfId="4993" xr:uid="{00000000-0005-0000-0000-000081130000}"/>
    <cellStyle name="Normal 10 2 10 30 5 6" xfId="4994" xr:uid="{00000000-0005-0000-0000-000082130000}"/>
    <cellStyle name="Normal 10 2 10 30 5 7" xfId="4995" xr:uid="{00000000-0005-0000-0000-000083130000}"/>
    <cellStyle name="Normal 10 2 10 30 5 8" xfId="4996" xr:uid="{00000000-0005-0000-0000-000084130000}"/>
    <cellStyle name="Normal 10 2 10 30 5 9" xfId="4997" xr:uid="{00000000-0005-0000-0000-000085130000}"/>
    <cellStyle name="Normal 10 2 10 30 6" xfId="4998" xr:uid="{00000000-0005-0000-0000-000086130000}"/>
    <cellStyle name="Normal 10 2 10 30 7" xfId="4999" xr:uid="{00000000-0005-0000-0000-000087130000}"/>
    <cellStyle name="Normal 10 2 10 30 8" xfId="5000" xr:uid="{00000000-0005-0000-0000-000088130000}"/>
    <cellStyle name="Normal 10 2 10 30 9" xfId="5001" xr:uid="{00000000-0005-0000-0000-000089130000}"/>
    <cellStyle name="Normal 10 2 10 31" xfId="5002" xr:uid="{00000000-0005-0000-0000-00008A130000}"/>
    <cellStyle name="Normal 10 2 10 31 10" xfId="5003" xr:uid="{00000000-0005-0000-0000-00008B130000}"/>
    <cellStyle name="Normal 10 2 10 31 11" xfId="5004" xr:uid="{00000000-0005-0000-0000-00008C130000}"/>
    <cellStyle name="Normal 10 2 10 31 12" xfId="5005" xr:uid="{00000000-0005-0000-0000-00008D130000}"/>
    <cellStyle name="Normal 10 2 10 31 13" xfId="5006" xr:uid="{00000000-0005-0000-0000-00008E130000}"/>
    <cellStyle name="Normal 10 2 10 31 14" xfId="5007" xr:uid="{00000000-0005-0000-0000-00008F130000}"/>
    <cellStyle name="Normal 10 2 10 31 2" xfId="5008" xr:uid="{00000000-0005-0000-0000-000090130000}"/>
    <cellStyle name="Normal 10 2 10 31 2 10" xfId="5009" xr:uid="{00000000-0005-0000-0000-000091130000}"/>
    <cellStyle name="Normal 10 2 10 31 2 2" xfId="5010" xr:uid="{00000000-0005-0000-0000-000092130000}"/>
    <cellStyle name="Normal 10 2 10 31 2 3" xfId="5011" xr:uid="{00000000-0005-0000-0000-000093130000}"/>
    <cellStyle name="Normal 10 2 10 31 2 4" xfId="5012" xr:uid="{00000000-0005-0000-0000-000094130000}"/>
    <cellStyle name="Normal 10 2 10 31 2 5" xfId="5013" xr:uid="{00000000-0005-0000-0000-000095130000}"/>
    <cellStyle name="Normal 10 2 10 31 2 6" xfId="5014" xr:uid="{00000000-0005-0000-0000-000096130000}"/>
    <cellStyle name="Normal 10 2 10 31 2 7" xfId="5015" xr:uid="{00000000-0005-0000-0000-000097130000}"/>
    <cellStyle name="Normal 10 2 10 31 2 8" xfId="5016" xr:uid="{00000000-0005-0000-0000-000098130000}"/>
    <cellStyle name="Normal 10 2 10 31 2 9" xfId="5017" xr:uid="{00000000-0005-0000-0000-000099130000}"/>
    <cellStyle name="Normal 10 2 10 31 3" xfId="5018" xr:uid="{00000000-0005-0000-0000-00009A130000}"/>
    <cellStyle name="Normal 10 2 10 31 3 10" xfId="5019" xr:uid="{00000000-0005-0000-0000-00009B130000}"/>
    <cellStyle name="Normal 10 2 10 31 3 2" xfId="5020" xr:uid="{00000000-0005-0000-0000-00009C130000}"/>
    <cellStyle name="Normal 10 2 10 31 3 3" xfId="5021" xr:uid="{00000000-0005-0000-0000-00009D130000}"/>
    <cellStyle name="Normal 10 2 10 31 3 4" xfId="5022" xr:uid="{00000000-0005-0000-0000-00009E130000}"/>
    <cellStyle name="Normal 10 2 10 31 3 5" xfId="5023" xr:uid="{00000000-0005-0000-0000-00009F130000}"/>
    <cellStyle name="Normal 10 2 10 31 3 6" xfId="5024" xr:uid="{00000000-0005-0000-0000-0000A0130000}"/>
    <cellStyle name="Normal 10 2 10 31 3 7" xfId="5025" xr:uid="{00000000-0005-0000-0000-0000A1130000}"/>
    <cellStyle name="Normal 10 2 10 31 3 8" xfId="5026" xr:uid="{00000000-0005-0000-0000-0000A2130000}"/>
    <cellStyle name="Normal 10 2 10 31 3 9" xfId="5027" xr:uid="{00000000-0005-0000-0000-0000A3130000}"/>
    <cellStyle name="Normal 10 2 10 31 4" xfId="5028" xr:uid="{00000000-0005-0000-0000-0000A4130000}"/>
    <cellStyle name="Normal 10 2 10 31 4 10" xfId="5029" xr:uid="{00000000-0005-0000-0000-0000A5130000}"/>
    <cellStyle name="Normal 10 2 10 31 4 2" xfId="5030" xr:uid="{00000000-0005-0000-0000-0000A6130000}"/>
    <cellStyle name="Normal 10 2 10 31 4 3" xfId="5031" xr:uid="{00000000-0005-0000-0000-0000A7130000}"/>
    <cellStyle name="Normal 10 2 10 31 4 4" xfId="5032" xr:uid="{00000000-0005-0000-0000-0000A8130000}"/>
    <cellStyle name="Normal 10 2 10 31 4 5" xfId="5033" xr:uid="{00000000-0005-0000-0000-0000A9130000}"/>
    <cellStyle name="Normal 10 2 10 31 4 6" xfId="5034" xr:uid="{00000000-0005-0000-0000-0000AA130000}"/>
    <cellStyle name="Normal 10 2 10 31 4 7" xfId="5035" xr:uid="{00000000-0005-0000-0000-0000AB130000}"/>
    <cellStyle name="Normal 10 2 10 31 4 8" xfId="5036" xr:uid="{00000000-0005-0000-0000-0000AC130000}"/>
    <cellStyle name="Normal 10 2 10 31 4 9" xfId="5037" xr:uid="{00000000-0005-0000-0000-0000AD130000}"/>
    <cellStyle name="Normal 10 2 10 31 5" xfId="5038" xr:uid="{00000000-0005-0000-0000-0000AE130000}"/>
    <cellStyle name="Normal 10 2 10 31 5 10" xfId="5039" xr:uid="{00000000-0005-0000-0000-0000AF130000}"/>
    <cellStyle name="Normal 10 2 10 31 5 2" xfId="5040" xr:uid="{00000000-0005-0000-0000-0000B0130000}"/>
    <cellStyle name="Normal 10 2 10 31 5 3" xfId="5041" xr:uid="{00000000-0005-0000-0000-0000B1130000}"/>
    <cellStyle name="Normal 10 2 10 31 5 4" xfId="5042" xr:uid="{00000000-0005-0000-0000-0000B2130000}"/>
    <cellStyle name="Normal 10 2 10 31 5 5" xfId="5043" xr:uid="{00000000-0005-0000-0000-0000B3130000}"/>
    <cellStyle name="Normal 10 2 10 31 5 6" xfId="5044" xr:uid="{00000000-0005-0000-0000-0000B4130000}"/>
    <cellStyle name="Normal 10 2 10 31 5 7" xfId="5045" xr:uid="{00000000-0005-0000-0000-0000B5130000}"/>
    <cellStyle name="Normal 10 2 10 31 5 8" xfId="5046" xr:uid="{00000000-0005-0000-0000-0000B6130000}"/>
    <cellStyle name="Normal 10 2 10 31 5 9" xfId="5047" xr:uid="{00000000-0005-0000-0000-0000B7130000}"/>
    <cellStyle name="Normal 10 2 10 31 6" xfId="5048" xr:uid="{00000000-0005-0000-0000-0000B8130000}"/>
    <cellStyle name="Normal 10 2 10 31 7" xfId="5049" xr:uid="{00000000-0005-0000-0000-0000B9130000}"/>
    <cellStyle name="Normal 10 2 10 31 8" xfId="5050" xr:uid="{00000000-0005-0000-0000-0000BA130000}"/>
    <cellStyle name="Normal 10 2 10 31 9" xfId="5051" xr:uid="{00000000-0005-0000-0000-0000BB130000}"/>
    <cellStyle name="Normal 10 2 10 32" xfId="5052" xr:uid="{00000000-0005-0000-0000-0000BC130000}"/>
    <cellStyle name="Normal 10 2 10 32 10" xfId="5053" xr:uid="{00000000-0005-0000-0000-0000BD130000}"/>
    <cellStyle name="Normal 10 2 10 32 11" xfId="5054" xr:uid="{00000000-0005-0000-0000-0000BE130000}"/>
    <cellStyle name="Normal 10 2 10 32 12" xfId="5055" xr:uid="{00000000-0005-0000-0000-0000BF130000}"/>
    <cellStyle name="Normal 10 2 10 32 13" xfId="5056" xr:uid="{00000000-0005-0000-0000-0000C0130000}"/>
    <cellStyle name="Normal 10 2 10 32 14" xfId="5057" xr:uid="{00000000-0005-0000-0000-0000C1130000}"/>
    <cellStyle name="Normal 10 2 10 32 2" xfId="5058" xr:uid="{00000000-0005-0000-0000-0000C2130000}"/>
    <cellStyle name="Normal 10 2 10 32 2 10" xfId="5059" xr:uid="{00000000-0005-0000-0000-0000C3130000}"/>
    <cellStyle name="Normal 10 2 10 32 2 2" xfId="5060" xr:uid="{00000000-0005-0000-0000-0000C4130000}"/>
    <cellStyle name="Normal 10 2 10 32 2 3" xfId="5061" xr:uid="{00000000-0005-0000-0000-0000C5130000}"/>
    <cellStyle name="Normal 10 2 10 32 2 4" xfId="5062" xr:uid="{00000000-0005-0000-0000-0000C6130000}"/>
    <cellStyle name="Normal 10 2 10 32 2 5" xfId="5063" xr:uid="{00000000-0005-0000-0000-0000C7130000}"/>
    <cellStyle name="Normal 10 2 10 32 2 6" xfId="5064" xr:uid="{00000000-0005-0000-0000-0000C8130000}"/>
    <cellStyle name="Normal 10 2 10 32 2 7" xfId="5065" xr:uid="{00000000-0005-0000-0000-0000C9130000}"/>
    <cellStyle name="Normal 10 2 10 32 2 8" xfId="5066" xr:uid="{00000000-0005-0000-0000-0000CA130000}"/>
    <cellStyle name="Normal 10 2 10 32 2 9" xfId="5067" xr:uid="{00000000-0005-0000-0000-0000CB130000}"/>
    <cellStyle name="Normal 10 2 10 32 3" xfId="5068" xr:uid="{00000000-0005-0000-0000-0000CC130000}"/>
    <cellStyle name="Normal 10 2 10 32 3 10" xfId="5069" xr:uid="{00000000-0005-0000-0000-0000CD130000}"/>
    <cellStyle name="Normal 10 2 10 32 3 2" xfId="5070" xr:uid="{00000000-0005-0000-0000-0000CE130000}"/>
    <cellStyle name="Normal 10 2 10 32 3 3" xfId="5071" xr:uid="{00000000-0005-0000-0000-0000CF130000}"/>
    <cellStyle name="Normal 10 2 10 32 3 4" xfId="5072" xr:uid="{00000000-0005-0000-0000-0000D0130000}"/>
    <cellStyle name="Normal 10 2 10 32 3 5" xfId="5073" xr:uid="{00000000-0005-0000-0000-0000D1130000}"/>
    <cellStyle name="Normal 10 2 10 32 3 6" xfId="5074" xr:uid="{00000000-0005-0000-0000-0000D2130000}"/>
    <cellStyle name="Normal 10 2 10 32 3 7" xfId="5075" xr:uid="{00000000-0005-0000-0000-0000D3130000}"/>
    <cellStyle name="Normal 10 2 10 32 3 8" xfId="5076" xr:uid="{00000000-0005-0000-0000-0000D4130000}"/>
    <cellStyle name="Normal 10 2 10 32 3 9" xfId="5077" xr:uid="{00000000-0005-0000-0000-0000D5130000}"/>
    <cellStyle name="Normal 10 2 10 32 4" xfId="5078" xr:uid="{00000000-0005-0000-0000-0000D6130000}"/>
    <cellStyle name="Normal 10 2 10 32 4 10" xfId="5079" xr:uid="{00000000-0005-0000-0000-0000D7130000}"/>
    <cellStyle name="Normal 10 2 10 32 4 2" xfId="5080" xr:uid="{00000000-0005-0000-0000-0000D8130000}"/>
    <cellStyle name="Normal 10 2 10 32 4 3" xfId="5081" xr:uid="{00000000-0005-0000-0000-0000D9130000}"/>
    <cellStyle name="Normal 10 2 10 32 4 4" xfId="5082" xr:uid="{00000000-0005-0000-0000-0000DA130000}"/>
    <cellStyle name="Normal 10 2 10 32 4 5" xfId="5083" xr:uid="{00000000-0005-0000-0000-0000DB130000}"/>
    <cellStyle name="Normal 10 2 10 32 4 6" xfId="5084" xr:uid="{00000000-0005-0000-0000-0000DC130000}"/>
    <cellStyle name="Normal 10 2 10 32 4 7" xfId="5085" xr:uid="{00000000-0005-0000-0000-0000DD130000}"/>
    <cellStyle name="Normal 10 2 10 32 4 8" xfId="5086" xr:uid="{00000000-0005-0000-0000-0000DE130000}"/>
    <cellStyle name="Normal 10 2 10 32 4 9" xfId="5087" xr:uid="{00000000-0005-0000-0000-0000DF130000}"/>
    <cellStyle name="Normal 10 2 10 32 5" xfId="5088" xr:uid="{00000000-0005-0000-0000-0000E0130000}"/>
    <cellStyle name="Normal 10 2 10 32 5 10" xfId="5089" xr:uid="{00000000-0005-0000-0000-0000E1130000}"/>
    <cellStyle name="Normal 10 2 10 32 5 2" xfId="5090" xr:uid="{00000000-0005-0000-0000-0000E2130000}"/>
    <cellStyle name="Normal 10 2 10 32 5 3" xfId="5091" xr:uid="{00000000-0005-0000-0000-0000E3130000}"/>
    <cellStyle name="Normal 10 2 10 32 5 4" xfId="5092" xr:uid="{00000000-0005-0000-0000-0000E4130000}"/>
    <cellStyle name="Normal 10 2 10 32 5 5" xfId="5093" xr:uid="{00000000-0005-0000-0000-0000E5130000}"/>
    <cellStyle name="Normal 10 2 10 32 5 6" xfId="5094" xr:uid="{00000000-0005-0000-0000-0000E6130000}"/>
    <cellStyle name="Normal 10 2 10 32 5 7" xfId="5095" xr:uid="{00000000-0005-0000-0000-0000E7130000}"/>
    <cellStyle name="Normal 10 2 10 32 5 8" xfId="5096" xr:uid="{00000000-0005-0000-0000-0000E8130000}"/>
    <cellStyle name="Normal 10 2 10 32 5 9" xfId="5097" xr:uid="{00000000-0005-0000-0000-0000E9130000}"/>
    <cellStyle name="Normal 10 2 10 32 6" xfId="5098" xr:uid="{00000000-0005-0000-0000-0000EA130000}"/>
    <cellStyle name="Normal 10 2 10 32 7" xfId="5099" xr:uid="{00000000-0005-0000-0000-0000EB130000}"/>
    <cellStyle name="Normal 10 2 10 32 8" xfId="5100" xr:uid="{00000000-0005-0000-0000-0000EC130000}"/>
    <cellStyle name="Normal 10 2 10 32 9" xfId="5101" xr:uid="{00000000-0005-0000-0000-0000ED130000}"/>
    <cellStyle name="Normal 10 2 10 33" xfId="5102" xr:uid="{00000000-0005-0000-0000-0000EE130000}"/>
    <cellStyle name="Normal 10 2 10 33 10" xfId="5103" xr:uid="{00000000-0005-0000-0000-0000EF130000}"/>
    <cellStyle name="Normal 10 2 10 33 11" xfId="5104" xr:uid="{00000000-0005-0000-0000-0000F0130000}"/>
    <cellStyle name="Normal 10 2 10 33 12" xfId="5105" xr:uid="{00000000-0005-0000-0000-0000F1130000}"/>
    <cellStyle name="Normal 10 2 10 33 13" xfId="5106" xr:uid="{00000000-0005-0000-0000-0000F2130000}"/>
    <cellStyle name="Normal 10 2 10 33 14" xfId="5107" xr:uid="{00000000-0005-0000-0000-0000F3130000}"/>
    <cellStyle name="Normal 10 2 10 33 2" xfId="5108" xr:uid="{00000000-0005-0000-0000-0000F4130000}"/>
    <cellStyle name="Normal 10 2 10 33 2 10" xfId="5109" xr:uid="{00000000-0005-0000-0000-0000F5130000}"/>
    <cellStyle name="Normal 10 2 10 33 2 2" xfId="5110" xr:uid="{00000000-0005-0000-0000-0000F6130000}"/>
    <cellStyle name="Normal 10 2 10 33 2 3" xfId="5111" xr:uid="{00000000-0005-0000-0000-0000F7130000}"/>
    <cellStyle name="Normal 10 2 10 33 2 4" xfId="5112" xr:uid="{00000000-0005-0000-0000-0000F8130000}"/>
    <cellStyle name="Normal 10 2 10 33 2 5" xfId="5113" xr:uid="{00000000-0005-0000-0000-0000F9130000}"/>
    <cellStyle name="Normal 10 2 10 33 2 6" xfId="5114" xr:uid="{00000000-0005-0000-0000-0000FA130000}"/>
    <cellStyle name="Normal 10 2 10 33 2 7" xfId="5115" xr:uid="{00000000-0005-0000-0000-0000FB130000}"/>
    <cellStyle name="Normal 10 2 10 33 2 8" xfId="5116" xr:uid="{00000000-0005-0000-0000-0000FC130000}"/>
    <cellStyle name="Normal 10 2 10 33 2 9" xfId="5117" xr:uid="{00000000-0005-0000-0000-0000FD130000}"/>
    <cellStyle name="Normal 10 2 10 33 3" xfId="5118" xr:uid="{00000000-0005-0000-0000-0000FE130000}"/>
    <cellStyle name="Normal 10 2 10 33 3 10" xfId="5119" xr:uid="{00000000-0005-0000-0000-0000FF130000}"/>
    <cellStyle name="Normal 10 2 10 33 3 2" xfId="5120" xr:uid="{00000000-0005-0000-0000-000000140000}"/>
    <cellStyle name="Normal 10 2 10 33 3 3" xfId="5121" xr:uid="{00000000-0005-0000-0000-000001140000}"/>
    <cellStyle name="Normal 10 2 10 33 3 4" xfId="5122" xr:uid="{00000000-0005-0000-0000-000002140000}"/>
    <cellStyle name="Normal 10 2 10 33 3 5" xfId="5123" xr:uid="{00000000-0005-0000-0000-000003140000}"/>
    <cellStyle name="Normal 10 2 10 33 3 6" xfId="5124" xr:uid="{00000000-0005-0000-0000-000004140000}"/>
    <cellStyle name="Normal 10 2 10 33 3 7" xfId="5125" xr:uid="{00000000-0005-0000-0000-000005140000}"/>
    <cellStyle name="Normal 10 2 10 33 3 8" xfId="5126" xr:uid="{00000000-0005-0000-0000-000006140000}"/>
    <cellStyle name="Normal 10 2 10 33 3 9" xfId="5127" xr:uid="{00000000-0005-0000-0000-000007140000}"/>
    <cellStyle name="Normal 10 2 10 33 4" xfId="5128" xr:uid="{00000000-0005-0000-0000-000008140000}"/>
    <cellStyle name="Normal 10 2 10 33 4 10" xfId="5129" xr:uid="{00000000-0005-0000-0000-000009140000}"/>
    <cellStyle name="Normal 10 2 10 33 4 2" xfId="5130" xr:uid="{00000000-0005-0000-0000-00000A140000}"/>
    <cellStyle name="Normal 10 2 10 33 4 3" xfId="5131" xr:uid="{00000000-0005-0000-0000-00000B140000}"/>
    <cellStyle name="Normal 10 2 10 33 4 4" xfId="5132" xr:uid="{00000000-0005-0000-0000-00000C140000}"/>
    <cellStyle name="Normal 10 2 10 33 4 5" xfId="5133" xr:uid="{00000000-0005-0000-0000-00000D140000}"/>
    <cellStyle name="Normal 10 2 10 33 4 6" xfId="5134" xr:uid="{00000000-0005-0000-0000-00000E140000}"/>
    <cellStyle name="Normal 10 2 10 33 4 7" xfId="5135" xr:uid="{00000000-0005-0000-0000-00000F140000}"/>
    <cellStyle name="Normal 10 2 10 33 4 8" xfId="5136" xr:uid="{00000000-0005-0000-0000-000010140000}"/>
    <cellStyle name="Normal 10 2 10 33 4 9" xfId="5137" xr:uid="{00000000-0005-0000-0000-000011140000}"/>
    <cellStyle name="Normal 10 2 10 33 5" xfId="5138" xr:uid="{00000000-0005-0000-0000-000012140000}"/>
    <cellStyle name="Normal 10 2 10 33 5 10" xfId="5139" xr:uid="{00000000-0005-0000-0000-000013140000}"/>
    <cellStyle name="Normal 10 2 10 33 5 2" xfId="5140" xr:uid="{00000000-0005-0000-0000-000014140000}"/>
    <cellStyle name="Normal 10 2 10 33 5 3" xfId="5141" xr:uid="{00000000-0005-0000-0000-000015140000}"/>
    <cellStyle name="Normal 10 2 10 33 5 4" xfId="5142" xr:uid="{00000000-0005-0000-0000-000016140000}"/>
    <cellStyle name="Normal 10 2 10 33 5 5" xfId="5143" xr:uid="{00000000-0005-0000-0000-000017140000}"/>
    <cellStyle name="Normal 10 2 10 33 5 6" xfId="5144" xr:uid="{00000000-0005-0000-0000-000018140000}"/>
    <cellStyle name="Normal 10 2 10 33 5 7" xfId="5145" xr:uid="{00000000-0005-0000-0000-000019140000}"/>
    <cellStyle name="Normal 10 2 10 33 5 8" xfId="5146" xr:uid="{00000000-0005-0000-0000-00001A140000}"/>
    <cellStyle name="Normal 10 2 10 33 5 9" xfId="5147" xr:uid="{00000000-0005-0000-0000-00001B140000}"/>
    <cellStyle name="Normal 10 2 10 33 6" xfId="5148" xr:uid="{00000000-0005-0000-0000-00001C140000}"/>
    <cellStyle name="Normal 10 2 10 33 7" xfId="5149" xr:uid="{00000000-0005-0000-0000-00001D140000}"/>
    <cellStyle name="Normal 10 2 10 33 8" xfId="5150" xr:uid="{00000000-0005-0000-0000-00001E140000}"/>
    <cellStyle name="Normal 10 2 10 33 9" xfId="5151" xr:uid="{00000000-0005-0000-0000-00001F140000}"/>
    <cellStyle name="Normal 10 2 10 34" xfId="5152" xr:uid="{00000000-0005-0000-0000-000020140000}"/>
    <cellStyle name="Normal 10 2 10 34 10" xfId="5153" xr:uid="{00000000-0005-0000-0000-000021140000}"/>
    <cellStyle name="Normal 10 2 10 34 11" xfId="5154" xr:uid="{00000000-0005-0000-0000-000022140000}"/>
    <cellStyle name="Normal 10 2 10 34 12" xfId="5155" xr:uid="{00000000-0005-0000-0000-000023140000}"/>
    <cellStyle name="Normal 10 2 10 34 13" xfId="5156" xr:uid="{00000000-0005-0000-0000-000024140000}"/>
    <cellStyle name="Normal 10 2 10 34 14" xfId="5157" xr:uid="{00000000-0005-0000-0000-000025140000}"/>
    <cellStyle name="Normal 10 2 10 34 2" xfId="5158" xr:uid="{00000000-0005-0000-0000-000026140000}"/>
    <cellStyle name="Normal 10 2 10 34 2 10" xfId="5159" xr:uid="{00000000-0005-0000-0000-000027140000}"/>
    <cellStyle name="Normal 10 2 10 34 2 2" xfId="5160" xr:uid="{00000000-0005-0000-0000-000028140000}"/>
    <cellStyle name="Normal 10 2 10 34 2 3" xfId="5161" xr:uid="{00000000-0005-0000-0000-000029140000}"/>
    <cellStyle name="Normal 10 2 10 34 2 4" xfId="5162" xr:uid="{00000000-0005-0000-0000-00002A140000}"/>
    <cellStyle name="Normal 10 2 10 34 2 5" xfId="5163" xr:uid="{00000000-0005-0000-0000-00002B140000}"/>
    <cellStyle name="Normal 10 2 10 34 2 6" xfId="5164" xr:uid="{00000000-0005-0000-0000-00002C140000}"/>
    <cellStyle name="Normal 10 2 10 34 2 7" xfId="5165" xr:uid="{00000000-0005-0000-0000-00002D140000}"/>
    <cellStyle name="Normal 10 2 10 34 2 8" xfId="5166" xr:uid="{00000000-0005-0000-0000-00002E140000}"/>
    <cellStyle name="Normal 10 2 10 34 2 9" xfId="5167" xr:uid="{00000000-0005-0000-0000-00002F140000}"/>
    <cellStyle name="Normal 10 2 10 34 3" xfId="5168" xr:uid="{00000000-0005-0000-0000-000030140000}"/>
    <cellStyle name="Normal 10 2 10 34 3 10" xfId="5169" xr:uid="{00000000-0005-0000-0000-000031140000}"/>
    <cellStyle name="Normal 10 2 10 34 3 2" xfId="5170" xr:uid="{00000000-0005-0000-0000-000032140000}"/>
    <cellStyle name="Normal 10 2 10 34 3 3" xfId="5171" xr:uid="{00000000-0005-0000-0000-000033140000}"/>
    <cellStyle name="Normal 10 2 10 34 3 4" xfId="5172" xr:uid="{00000000-0005-0000-0000-000034140000}"/>
    <cellStyle name="Normal 10 2 10 34 3 5" xfId="5173" xr:uid="{00000000-0005-0000-0000-000035140000}"/>
    <cellStyle name="Normal 10 2 10 34 3 6" xfId="5174" xr:uid="{00000000-0005-0000-0000-000036140000}"/>
    <cellStyle name="Normal 10 2 10 34 3 7" xfId="5175" xr:uid="{00000000-0005-0000-0000-000037140000}"/>
    <cellStyle name="Normal 10 2 10 34 3 8" xfId="5176" xr:uid="{00000000-0005-0000-0000-000038140000}"/>
    <cellStyle name="Normal 10 2 10 34 3 9" xfId="5177" xr:uid="{00000000-0005-0000-0000-000039140000}"/>
    <cellStyle name="Normal 10 2 10 34 4" xfId="5178" xr:uid="{00000000-0005-0000-0000-00003A140000}"/>
    <cellStyle name="Normal 10 2 10 34 4 10" xfId="5179" xr:uid="{00000000-0005-0000-0000-00003B140000}"/>
    <cellStyle name="Normal 10 2 10 34 4 2" xfId="5180" xr:uid="{00000000-0005-0000-0000-00003C140000}"/>
    <cellStyle name="Normal 10 2 10 34 4 3" xfId="5181" xr:uid="{00000000-0005-0000-0000-00003D140000}"/>
    <cellStyle name="Normal 10 2 10 34 4 4" xfId="5182" xr:uid="{00000000-0005-0000-0000-00003E140000}"/>
    <cellStyle name="Normal 10 2 10 34 4 5" xfId="5183" xr:uid="{00000000-0005-0000-0000-00003F140000}"/>
    <cellStyle name="Normal 10 2 10 34 4 6" xfId="5184" xr:uid="{00000000-0005-0000-0000-000040140000}"/>
    <cellStyle name="Normal 10 2 10 34 4 7" xfId="5185" xr:uid="{00000000-0005-0000-0000-000041140000}"/>
    <cellStyle name="Normal 10 2 10 34 4 8" xfId="5186" xr:uid="{00000000-0005-0000-0000-000042140000}"/>
    <cellStyle name="Normal 10 2 10 34 4 9" xfId="5187" xr:uid="{00000000-0005-0000-0000-000043140000}"/>
    <cellStyle name="Normal 10 2 10 34 5" xfId="5188" xr:uid="{00000000-0005-0000-0000-000044140000}"/>
    <cellStyle name="Normal 10 2 10 34 5 10" xfId="5189" xr:uid="{00000000-0005-0000-0000-000045140000}"/>
    <cellStyle name="Normal 10 2 10 34 5 2" xfId="5190" xr:uid="{00000000-0005-0000-0000-000046140000}"/>
    <cellStyle name="Normal 10 2 10 34 5 3" xfId="5191" xr:uid="{00000000-0005-0000-0000-000047140000}"/>
    <cellStyle name="Normal 10 2 10 34 5 4" xfId="5192" xr:uid="{00000000-0005-0000-0000-000048140000}"/>
    <cellStyle name="Normal 10 2 10 34 5 5" xfId="5193" xr:uid="{00000000-0005-0000-0000-000049140000}"/>
    <cellStyle name="Normal 10 2 10 34 5 6" xfId="5194" xr:uid="{00000000-0005-0000-0000-00004A140000}"/>
    <cellStyle name="Normal 10 2 10 34 5 7" xfId="5195" xr:uid="{00000000-0005-0000-0000-00004B140000}"/>
    <cellStyle name="Normal 10 2 10 34 5 8" xfId="5196" xr:uid="{00000000-0005-0000-0000-00004C140000}"/>
    <cellStyle name="Normal 10 2 10 34 5 9" xfId="5197" xr:uid="{00000000-0005-0000-0000-00004D140000}"/>
    <cellStyle name="Normal 10 2 10 34 6" xfId="5198" xr:uid="{00000000-0005-0000-0000-00004E140000}"/>
    <cellStyle name="Normal 10 2 10 34 7" xfId="5199" xr:uid="{00000000-0005-0000-0000-00004F140000}"/>
    <cellStyle name="Normal 10 2 10 34 8" xfId="5200" xr:uid="{00000000-0005-0000-0000-000050140000}"/>
    <cellStyle name="Normal 10 2 10 34 9" xfId="5201" xr:uid="{00000000-0005-0000-0000-000051140000}"/>
    <cellStyle name="Normal 10 2 10 35" xfId="5202" xr:uid="{00000000-0005-0000-0000-000052140000}"/>
    <cellStyle name="Normal 10 2 10 35 10" xfId="5203" xr:uid="{00000000-0005-0000-0000-000053140000}"/>
    <cellStyle name="Normal 10 2 10 35 2" xfId="5204" xr:uid="{00000000-0005-0000-0000-000054140000}"/>
    <cellStyle name="Normal 10 2 10 35 3" xfId="5205" xr:uid="{00000000-0005-0000-0000-000055140000}"/>
    <cellStyle name="Normal 10 2 10 35 4" xfId="5206" xr:uid="{00000000-0005-0000-0000-000056140000}"/>
    <cellStyle name="Normal 10 2 10 35 5" xfId="5207" xr:uid="{00000000-0005-0000-0000-000057140000}"/>
    <cellStyle name="Normal 10 2 10 35 6" xfId="5208" xr:uid="{00000000-0005-0000-0000-000058140000}"/>
    <cellStyle name="Normal 10 2 10 35 7" xfId="5209" xr:uid="{00000000-0005-0000-0000-000059140000}"/>
    <cellStyle name="Normal 10 2 10 35 8" xfId="5210" xr:uid="{00000000-0005-0000-0000-00005A140000}"/>
    <cellStyle name="Normal 10 2 10 35 9" xfId="5211" xr:uid="{00000000-0005-0000-0000-00005B140000}"/>
    <cellStyle name="Normal 10 2 10 36" xfId="5212" xr:uid="{00000000-0005-0000-0000-00005C140000}"/>
    <cellStyle name="Normal 10 2 10 36 10" xfId="5213" xr:uid="{00000000-0005-0000-0000-00005D140000}"/>
    <cellStyle name="Normal 10 2 10 36 2" xfId="5214" xr:uid="{00000000-0005-0000-0000-00005E140000}"/>
    <cellStyle name="Normal 10 2 10 36 3" xfId="5215" xr:uid="{00000000-0005-0000-0000-00005F140000}"/>
    <cellStyle name="Normal 10 2 10 36 4" xfId="5216" xr:uid="{00000000-0005-0000-0000-000060140000}"/>
    <cellStyle name="Normal 10 2 10 36 5" xfId="5217" xr:uid="{00000000-0005-0000-0000-000061140000}"/>
    <cellStyle name="Normal 10 2 10 36 6" xfId="5218" xr:uid="{00000000-0005-0000-0000-000062140000}"/>
    <cellStyle name="Normal 10 2 10 36 7" xfId="5219" xr:uid="{00000000-0005-0000-0000-000063140000}"/>
    <cellStyle name="Normal 10 2 10 36 8" xfId="5220" xr:uid="{00000000-0005-0000-0000-000064140000}"/>
    <cellStyle name="Normal 10 2 10 36 9" xfId="5221" xr:uid="{00000000-0005-0000-0000-000065140000}"/>
    <cellStyle name="Normal 10 2 10 37" xfId="5222" xr:uid="{00000000-0005-0000-0000-000066140000}"/>
    <cellStyle name="Normal 10 2 10 37 10" xfId="5223" xr:uid="{00000000-0005-0000-0000-000067140000}"/>
    <cellStyle name="Normal 10 2 10 37 2" xfId="5224" xr:uid="{00000000-0005-0000-0000-000068140000}"/>
    <cellStyle name="Normal 10 2 10 37 3" xfId="5225" xr:uid="{00000000-0005-0000-0000-000069140000}"/>
    <cellStyle name="Normal 10 2 10 37 4" xfId="5226" xr:uid="{00000000-0005-0000-0000-00006A140000}"/>
    <cellStyle name="Normal 10 2 10 37 5" xfId="5227" xr:uid="{00000000-0005-0000-0000-00006B140000}"/>
    <cellStyle name="Normal 10 2 10 37 6" xfId="5228" xr:uid="{00000000-0005-0000-0000-00006C140000}"/>
    <cellStyle name="Normal 10 2 10 37 7" xfId="5229" xr:uid="{00000000-0005-0000-0000-00006D140000}"/>
    <cellStyle name="Normal 10 2 10 37 8" xfId="5230" xr:uid="{00000000-0005-0000-0000-00006E140000}"/>
    <cellStyle name="Normal 10 2 10 37 9" xfId="5231" xr:uid="{00000000-0005-0000-0000-00006F140000}"/>
    <cellStyle name="Normal 10 2 10 38" xfId="5232" xr:uid="{00000000-0005-0000-0000-000070140000}"/>
    <cellStyle name="Normal 10 2 10 38 10" xfId="5233" xr:uid="{00000000-0005-0000-0000-000071140000}"/>
    <cellStyle name="Normal 10 2 10 38 2" xfId="5234" xr:uid="{00000000-0005-0000-0000-000072140000}"/>
    <cellStyle name="Normal 10 2 10 38 3" xfId="5235" xr:uid="{00000000-0005-0000-0000-000073140000}"/>
    <cellStyle name="Normal 10 2 10 38 4" xfId="5236" xr:uid="{00000000-0005-0000-0000-000074140000}"/>
    <cellStyle name="Normal 10 2 10 38 5" xfId="5237" xr:uid="{00000000-0005-0000-0000-000075140000}"/>
    <cellStyle name="Normal 10 2 10 38 6" xfId="5238" xr:uid="{00000000-0005-0000-0000-000076140000}"/>
    <cellStyle name="Normal 10 2 10 38 7" xfId="5239" xr:uid="{00000000-0005-0000-0000-000077140000}"/>
    <cellStyle name="Normal 10 2 10 38 8" xfId="5240" xr:uid="{00000000-0005-0000-0000-000078140000}"/>
    <cellStyle name="Normal 10 2 10 38 9" xfId="5241" xr:uid="{00000000-0005-0000-0000-000079140000}"/>
    <cellStyle name="Normal 10 2 10 39" xfId="5242" xr:uid="{00000000-0005-0000-0000-00007A140000}"/>
    <cellStyle name="Normal 10 2 10 4" xfId="5243" xr:uid="{00000000-0005-0000-0000-00007B140000}"/>
    <cellStyle name="Normal 10 2 10 4 10" xfId="5244" xr:uid="{00000000-0005-0000-0000-00007C140000}"/>
    <cellStyle name="Normal 10 2 10 4 11" xfId="5245" xr:uid="{00000000-0005-0000-0000-00007D140000}"/>
    <cellStyle name="Normal 10 2 10 4 12" xfId="5246" xr:uid="{00000000-0005-0000-0000-00007E140000}"/>
    <cellStyle name="Normal 10 2 10 4 13" xfId="5247" xr:uid="{00000000-0005-0000-0000-00007F140000}"/>
    <cellStyle name="Normal 10 2 10 4 14" xfId="5248" xr:uid="{00000000-0005-0000-0000-000080140000}"/>
    <cellStyle name="Normal 10 2 10 4 2" xfId="5249" xr:uid="{00000000-0005-0000-0000-000081140000}"/>
    <cellStyle name="Normal 10 2 10 4 2 10" xfId="5250" xr:uid="{00000000-0005-0000-0000-000082140000}"/>
    <cellStyle name="Normal 10 2 10 4 2 2" xfId="5251" xr:uid="{00000000-0005-0000-0000-000083140000}"/>
    <cellStyle name="Normal 10 2 10 4 2 3" xfId="5252" xr:uid="{00000000-0005-0000-0000-000084140000}"/>
    <cellStyle name="Normal 10 2 10 4 2 4" xfId="5253" xr:uid="{00000000-0005-0000-0000-000085140000}"/>
    <cellStyle name="Normal 10 2 10 4 2 5" xfId="5254" xr:uid="{00000000-0005-0000-0000-000086140000}"/>
    <cellStyle name="Normal 10 2 10 4 2 6" xfId="5255" xr:uid="{00000000-0005-0000-0000-000087140000}"/>
    <cellStyle name="Normal 10 2 10 4 2 7" xfId="5256" xr:uid="{00000000-0005-0000-0000-000088140000}"/>
    <cellStyle name="Normal 10 2 10 4 2 8" xfId="5257" xr:uid="{00000000-0005-0000-0000-000089140000}"/>
    <cellStyle name="Normal 10 2 10 4 2 9" xfId="5258" xr:uid="{00000000-0005-0000-0000-00008A140000}"/>
    <cellStyle name="Normal 10 2 10 4 3" xfId="5259" xr:uid="{00000000-0005-0000-0000-00008B140000}"/>
    <cellStyle name="Normal 10 2 10 4 3 10" xfId="5260" xr:uid="{00000000-0005-0000-0000-00008C140000}"/>
    <cellStyle name="Normal 10 2 10 4 3 2" xfId="5261" xr:uid="{00000000-0005-0000-0000-00008D140000}"/>
    <cellStyle name="Normal 10 2 10 4 3 3" xfId="5262" xr:uid="{00000000-0005-0000-0000-00008E140000}"/>
    <cellStyle name="Normal 10 2 10 4 3 4" xfId="5263" xr:uid="{00000000-0005-0000-0000-00008F140000}"/>
    <cellStyle name="Normal 10 2 10 4 3 5" xfId="5264" xr:uid="{00000000-0005-0000-0000-000090140000}"/>
    <cellStyle name="Normal 10 2 10 4 3 6" xfId="5265" xr:uid="{00000000-0005-0000-0000-000091140000}"/>
    <cellStyle name="Normal 10 2 10 4 3 7" xfId="5266" xr:uid="{00000000-0005-0000-0000-000092140000}"/>
    <cellStyle name="Normal 10 2 10 4 3 8" xfId="5267" xr:uid="{00000000-0005-0000-0000-000093140000}"/>
    <cellStyle name="Normal 10 2 10 4 3 9" xfId="5268" xr:uid="{00000000-0005-0000-0000-000094140000}"/>
    <cellStyle name="Normal 10 2 10 4 4" xfId="5269" xr:uid="{00000000-0005-0000-0000-000095140000}"/>
    <cellStyle name="Normal 10 2 10 4 4 10" xfId="5270" xr:uid="{00000000-0005-0000-0000-000096140000}"/>
    <cellStyle name="Normal 10 2 10 4 4 2" xfId="5271" xr:uid="{00000000-0005-0000-0000-000097140000}"/>
    <cellStyle name="Normal 10 2 10 4 4 3" xfId="5272" xr:uid="{00000000-0005-0000-0000-000098140000}"/>
    <cellStyle name="Normal 10 2 10 4 4 4" xfId="5273" xr:uid="{00000000-0005-0000-0000-000099140000}"/>
    <cellStyle name="Normal 10 2 10 4 4 5" xfId="5274" xr:uid="{00000000-0005-0000-0000-00009A140000}"/>
    <cellStyle name="Normal 10 2 10 4 4 6" xfId="5275" xr:uid="{00000000-0005-0000-0000-00009B140000}"/>
    <cellStyle name="Normal 10 2 10 4 4 7" xfId="5276" xr:uid="{00000000-0005-0000-0000-00009C140000}"/>
    <cellStyle name="Normal 10 2 10 4 4 8" xfId="5277" xr:uid="{00000000-0005-0000-0000-00009D140000}"/>
    <cellStyle name="Normal 10 2 10 4 4 9" xfId="5278" xr:uid="{00000000-0005-0000-0000-00009E140000}"/>
    <cellStyle name="Normal 10 2 10 4 5" xfId="5279" xr:uid="{00000000-0005-0000-0000-00009F140000}"/>
    <cellStyle name="Normal 10 2 10 4 5 10" xfId="5280" xr:uid="{00000000-0005-0000-0000-0000A0140000}"/>
    <cellStyle name="Normal 10 2 10 4 5 2" xfId="5281" xr:uid="{00000000-0005-0000-0000-0000A1140000}"/>
    <cellStyle name="Normal 10 2 10 4 5 3" xfId="5282" xr:uid="{00000000-0005-0000-0000-0000A2140000}"/>
    <cellStyle name="Normal 10 2 10 4 5 4" xfId="5283" xr:uid="{00000000-0005-0000-0000-0000A3140000}"/>
    <cellStyle name="Normal 10 2 10 4 5 5" xfId="5284" xr:uid="{00000000-0005-0000-0000-0000A4140000}"/>
    <cellStyle name="Normal 10 2 10 4 5 6" xfId="5285" xr:uid="{00000000-0005-0000-0000-0000A5140000}"/>
    <cellStyle name="Normal 10 2 10 4 5 7" xfId="5286" xr:uid="{00000000-0005-0000-0000-0000A6140000}"/>
    <cellStyle name="Normal 10 2 10 4 5 8" xfId="5287" xr:uid="{00000000-0005-0000-0000-0000A7140000}"/>
    <cellStyle name="Normal 10 2 10 4 5 9" xfId="5288" xr:uid="{00000000-0005-0000-0000-0000A8140000}"/>
    <cellStyle name="Normal 10 2 10 4 6" xfId="5289" xr:uid="{00000000-0005-0000-0000-0000A9140000}"/>
    <cellStyle name="Normal 10 2 10 4 7" xfId="5290" xr:uid="{00000000-0005-0000-0000-0000AA140000}"/>
    <cellStyle name="Normal 10 2 10 4 8" xfId="5291" xr:uid="{00000000-0005-0000-0000-0000AB140000}"/>
    <cellStyle name="Normal 10 2 10 4 9" xfId="5292" xr:uid="{00000000-0005-0000-0000-0000AC140000}"/>
    <cellStyle name="Normal 10 2 10 40" xfId="5293" xr:uid="{00000000-0005-0000-0000-0000AD140000}"/>
    <cellStyle name="Normal 10 2 10 41" xfId="5294" xr:uid="{00000000-0005-0000-0000-0000AE140000}"/>
    <cellStyle name="Normal 10 2 10 42" xfId="5295" xr:uid="{00000000-0005-0000-0000-0000AF140000}"/>
    <cellStyle name="Normal 10 2 10 43" xfId="5296" xr:uid="{00000000-0005-0000-0000-0000B0140000}"/>
    <cellStyle name="Normal 10 2 10 44" xfId="5297" xr:uid="{00000000-0005-0000-0000-0000B1140000}"/>
    <cellStyle name="Normal 10 2 10 45" xfId="5298" xr:uid="{00000000-0005-0000-0000-0000B2140000}"/>
    <cellStyle name="Normal 10 2 10 46" xfId="5299" xr:uid="{00000000-0005-0000-0000-0000B3140000}"/>
    <cellStyle name="Normal 10 2 10 47" xfId="5300" xr:uid="{00000000-0005-0000-0000-0000B4140000}"/>
    <cellStyle name="Normal 10 2 10 48" xfId="5301" xr:uid="{00000000-0005-0000-0000-0000B5140000}"/>
    <cellStyle name="Normal 10 2 10 49" xfId="5302" xr:uid="{00000000-0005-0000-0000-0000B6140000}"/>
    <cellStyle name="Normal 10 2 10 5" xfId="5303" xr:uid="{00000000-0005-0000-0000-0000B7140000}"/>
    <cellStyle name="Normal 10 2 10 5 10" xfId="5304" xr:uid="{00000000-0005-0000-0000-0000B8140000}"/>
    <cellStyle name="Normal 10 2 10 5 11" xfId="5305" xr:uid="{00000000-0005-0000-0000-0000B9140000}"/>
    <cellStyle name="Normal 10 2 10 5 12" xfId="5306" xr:uid="{00000000-0005-0000-0000-0000BA140000}"/>
    <cellStyle name="Normal 10 2 10 5 13" xfId="5307" xr:uid="{00000000-0005-0000-0000-0000BB140000}"/>
    <cellStyle name="Normal 10 2 10 5 14" xfId="5308" xr:uid="{00000000-0005-0000-0000-0000BC140000}"/>
    <cellStyle name="Normal 10 2 10 5 2" xfId="5309" xr:uid="{00000000-0005-0000-0000-0000BD140000}"/>
    <cellStyle name="Normal 10 2 10 5 2 10" xfId="5310" xr:uid="{00000000-0005-0000-0000-0000BE140000}"/>
    <cellStyle name="Normal 10 2 10 5 2 2" xfId="5311" xr:uid="{00000000-0005-0000-0000-0000BF140000}"/>
    <cellStyle name="Normal 10 2 10 5 2 3" xfId="5312" xr:uid="{00000000-0005-0000-0000-0000C0140000}"/>
    <cellStyle name="Normal 10 2 10 5 2 4" xfId="5313" xr:uid="{00000000-0005-0000-0000-0000C1140000}"/>
    <cellStyle name="Normal 10 2 10 5 2 5" xfId="5314" xr:uid="{00000000-0005-0000-0000-0000C2140000}"/>
    <cellStyle name="Normal 10 2 10 5 2 6" xfId="5315" xr:uid="{00000000-0005-0000-0000-0000C3140000}"/>
    <cellStyle name="Normal 10 2 10 5 2 7" xfId="5316" xr:uid="{00000000-0005-0000-0000-0000C4140000}"/>
    <cellStyle name="Normal 10 2 10 5 2 8" xfId="5317" xr:uid="{00000000-0005-0000-0000-0000C5140000}"/>
    <cellStyle name="Normal 10 2 10 5 2 9" xfId="5318" xr:uid="{00000000-0005-0000-0000-0000C6140000}"/>
    <cellStyle name="Normal 10 2 10 5 3" xfId="5319" xr:uid="{00000000-0005-0000-0000-0000C7140000}"/>
    <cellStyle name="Normal 10 2 10 5 3 10" xfId="5320" xr:uid="{00000000-0005-0000-0000-0000C8140000}"/>
    <cellStyle name="Normal 10 2 10 5 3 2" xfId="5321" xr:uid="{00000000-0005-0000-0000-0000C9140000}"/>
    <cellStyle name="Normal 10 2 10 5 3 3" xfId="5322" xr:uid="{00000000-0005-0000-0000-0000CA140000}"/>
    <cellStyle name="Normal 10 2 10 5 3 4" xfId="5323" xr:uid="{00000000-0005-0000-0000-0000CB140000}"/>
    <cellStyle name="Normal 10 2 10 5 3 5" xfId="5324" xr:uid="{00000000-0005-0000-0000-0000CC140000}"/>
    <cellStyle name="Normal 10 2 10 5 3 6" xfId="5325" xr:uid="{00000000-0005-0000-0000-0000CD140000}"/>
    <cellStyle name="Normal 10 2 10 5 3 7" xfId="5326" xr:uid="{00000000-0005-0000-0000-0000CE140000}"/>
    <cellStyle name="Normal 10 2 10 5 3 8" xfId="5327" xr:uid="{00000000-0005-0000-0000-0000CF140000}"/>
    <cellStyle name="Normal 10 2 10 5 3 9" xfId="5328" xr:uid="{00000000-0005-0000-0000-0000D0140000}"/>
    <cellStyle name="Normal 10 2 10 5 4" xfId="5329" xr:uid="{00000000-0005-0000-0000-0000D1140000}"/>
    <cellStyle name="Normal 10 2 10 5 4 10" xfId="5330" xr:uid="{00000000-0005-0000-0000-0000D2140000}"/>
    <cellStyle name="Normal 10 2 10 5 4 2" xfId="5331" xr:uid="{00000000-0005-0000-0000-0000D3140000}"/>
    <cellStyle name="Normal 10 2 10 5 4 3" xfId="5332" xr:uid="{00000000-0005-0000-0000-0000D4140000}"/>
    <cellStyle name="Normal 10 2 10 5 4 4" xfId="5333" xr:uid="{00000000-0005-0000-0000-0000D5140000}"/>
    <cellStyle name="Normal 10 2 10 5 4 5" xfId="5334" xr:uid="{00000000-0005-0000-0000-0000D6140000}"/>
    <cellStyle name="Normal 10 2 10 5 4 6" xfId="5335" xr:uid="{00000000-0005-0000-0000-0000D7140000}"/>
    <cellStyle name="Normal 10 2 10 5 4 7" xfId="5336" xr:uid="{00000000-0005-0000-0000-0000D8140000}"/>
    <cellStyle name="Normal 10 2 10 5 4 8" xfId="5337" xr:uid="{00000000-0005-0000-0000-0000D9140000}"/>
    <cellStyle name="Normal 10 2 10 5 4 9" xfId="5338" xr:uid="{00000000-0005-0000-0000-0000DA140000}"/>
    <cellStyle name="Normal 10 2 10 5 5" xfId="5339" xr:uid="{00000000-0005-0000-0000-0000DB140000}"/>
    <cellStyle name="Normal 10 2 10 5 5 10" xfId="5340" xr:uid="{00000000-0005-0000-0000-0000DC140000}"/>
    <cellStyle name="Normal 10 2 10 5 5 2" xfId="5341" xr:uid="{00000000-0005-0000-0000-0000DD140000}"/>
    <cellStyle name="Normal 10 2 10 5 5 3" xfId="5342" xr:uid="{00000000-0005-0000-0000-0000DE140000}"/>
    <cellStyle name="Normal 10 2 10 5 5 4" xfId="5343" xr:uid="{00000000-0005-0000-0000-0000DF140000}"/>
    <cellStyle name="Normal 10 2 10 5 5 5" xfId="5344" xr:uid="{00000000-0005-0000-0000-0000E0140000}"/>
    <cellStyle name="Normal 10 2 10 5 5 6" xfId="5345" xr:uid="{00000000-0005-0000-0000-0000E1140000}"/>
    <cellStyle name="Normal 10 2 10 5 5 7" xfId="5346" xr:uid="{00000000-0005-0000-0000-0000E2140000}"/>
    <cellStyle name="Normal 10 2 10 5 5 8" xfId="5347" xr:uid="{00000000-0005-0000-0000-0000E3140000}"/>
    <cellStyle name="Normal 10 2 10 5 5 9" xfId="5348" xr:uid="{00000000-0005-0000-0000-0000E4140000}"/>
    <cellStyle name="Normal 10 2 10 5 6" xfId="5349" xr:uid="{00000000-0005-0000-0000-0000E5140000}"/>
    <cellStyle name="Normal 10 2 10 5 7" xfId="5350" xr:uid="{00000000-0005-0000-0000-0000E6140000}"/>
    <cellStyle name="Normal 10 2 10 5 8" xfId="5351" xr:uid="{00000000-0005-0000-0000-0000E7140000}"/>
    <cellStyle name="Normal 10 2 10 5 9" xfId="5352" xr:uid="{00000000-0005-0000-0000-0000E8140000}"/>
    <cellStyle name="Normal 10 2 10 50" xfId="21" xr:uid="{00000000-0005-0000-0000-000015000000}"/>
    <cellStyle name="Normal 10 2 10 50 2" xfId="50" xr:uid="{00000000-0005-0000-0000-000032000000}"/>
    <cellStyle name="Normal 10 2 10 50 3" xfId="5353" xr:uid="{00000000-0005-0000-0000-0000E9140000}"/>
    <cellStyle name="Normal 10 2 10 51" xfId="2248" xr:uid="{00000000-0005-0000-0000-0000C8080000}"/>
    <cellStyle name="Normal 10 2 10 6" xfId="5354" xr:uid="{00000000-0005-0000-0000-0000EA140000}"/>
    <cellStyle name="Normal 10 2 10 6 10" xfId="5355" xr:uid="{00000000-0005-0000-0000-0000EB140000}"/>
    <cellStyle name="Normal 10 2 10 6 11" xfId="5356" xr:uid="{00000000-0005-0000-0000-0000EC140000}"/>
    <cellStyle name="Normal 10 2 10 6 12" xfId="5357" xr:uid="{00000000-0005-0000-0000-0000ED140000}"/>
    <cellStyle name="Normal 10 2 10 6 13" xfId="5358" xr:uid="{00000000-0005-0000-0000-0000EE140000}"/>
    <cellStyle name="Normal 10 2 10 6 14" xfId="5359" xr:uid="{00000000-0005-0000-0000-0000EF140000}"/>
    <cellStyle name="Normal 10 2 10 6 2" xfId="5360" xr:uid="{00000000-0005-0000-0000-0000F0140000}"/>
    <cellStyle name="Normal 10 2 10 6 2 10" xfId="5361" xr:uid="{00000000-0005-0000-0000-0000F1140000}"/>
    <cellStyle name="Normal 10 2 10 6 2 2" xfId="5362" xr:uid="{00000000-0005-0000-0000-0000F2140000}"/>
    <cellStyle name="Normal 10 2 10 6 2 3" xfId="5363" xr:uid="{00000000-0005-0000-0000-0000F3140000}"/>
    <cellStyle name="Normal 10 2 10 6 2 4" xfId="5364" xr:uid="{00000000-0005-0000-0000-0000F4140000}"/>
    <cellStyle name="Normal 10 2 10 6 2 5" xfId="5365" xr:uid="{00000000-0005-0000-0000-0000F5140000}"/>
    <cellStyle name="Normal 10 2 10 6 2 6" xfId="5366" xr:uid="{00000000-0005-0000-0000-0000F6140000}"/>
    <cellStyle name="Normal 10 2 10 6 2 7" xfId="5367" xr:uid="{00000000-0005-0000-0000-0000F7140000}"/>
    <cellStyle name="Normal 10 2 10 6 2 8" xfId="5368" xr:uid="{00000000-0005-0000-0000-0000F8140000}"/>
    <cellStyle name="Normal 10 2 10 6 2 9" xfId="5369" xr:uid="{00000000-0005-0000-0000-0000F9140000}"/>
    <cellStyle name="Normal 10 2 10 6 3" xfId="5370" xr:uid="{00000000-0005-0000-0000-0000FA140000}"/>
    <cellStyle name="Normal 10 2 10 6 3 10" xfId="5371" xr:uid="{00000000-0005-0000-0000-0000FB140000}"/>
    <cellStyle name="Normal 10 2 10 6 3 2" xfId="5372" xr:uid="{00000000-0005-0000-0000-0000FC140000}"/>
    <cellStyle name="Normal 10 2 10 6 3 3" xfId="5373" xr:uid="{00000000-0005-0000-0000-0000FD140000}"/>
    <cellStyle name="Normal 10 2 10 6 3 4" xfId="5374" xr:uid="{00000000-0005-0000-0000-0000FE140000}"/>
    <cellStyle name="Normal 10 2 10 6 3 5" xfId="5375" xr:uid="{00000000-0005-0000-0000-0000FF140000}"/>
    <cellStyle name="Normal 10 2 10 6 3 6" xfId="5376" xr:uid="{00000000-0005-0000-0000-000000150000}"/>
    <cellStyle name="Normal 10 2 10 6 3 7" xfId="5377" xr:uid="{00000000-0005-0000-0000-000001150000}"/>
    <cellStyle name="Normal 10 2 10 6 3 8" xfId="5378" xr:uid="{00000000-0005-0000-0000-000002150000}"/>
    <cellStyle name="Normal 10 2 10 6 3 9" xfId="5379" xr:uid="{00000000-0005-0000-0000-000003150000}"/>
    <cellStyle name="Normal 10 2 10 6 4" xfId="5380" xr:uid="{00000000-0005-0000-0000-000004150000}"/>
    <cellStyle name="Normal 10 2 10 6 4 10" xfId="5381" xr:uid="{00000000-0005-0000-0000-000005150000}"/>
    <cellStyle name="Normal 10 2 10 6 4 2" xfId="5382" xr:uid="{00000000-0005-0000-0000-000006150000}"/>
    <cellStyle name="Normal 10 2 10 6 4 3" xfId="5383" xr:uid="{00000000-0005-0000-0000-000007150000}"/>
    <cellStyle name="Normal 10 2 10 6 4 4" xfId="5384" xr:uid="{00000000-0005-0000-0000-000008150000}"/>
    <cellStyle name="Normal 10 2 10 6 4 5" xfId="5385" xr:uid="{00000000-0005-0000-0000-000009150000}"/>
    <cellStyle name="Normal 10 2 10 6 4 6" xfId="5386" xr:uid="{00000000-0005-0000-0000-00000A150000}"/>
    <cellStyle name="Normal 10 2 10 6 4 7" xfId="5387" xr:uid="{00000000-0005-0000-0000-00000B150000}"/>
    <cellStyle name="Normal 10 2 10 6 4 8" xfId="5388" xr:uid="{00000000-0005-0000-0000-00000C150000}"/>
    <cellStyle name="Normal 10 2 10 6 4 9" xfId="5389" xr:uid="{00000000-0005-0000-0000-00000D150000}"/>
    <cellStyle name="Normal 10 2 10 6 5" xfId="5390" xr:uid="{00000000-0005-0000-0000-00000E150000}"/>
    <cellStyle name="Normal 10 2 10 6 5 10" xfId="5391" xr:uid="{00000000-0005-0000-0000-00000F150000}"/>
    <cellStyle name="Normal 10 2 10 6 5 2" xfId="5392" xr:uid="{00000000-0005-0000-0000-000010150000}"/>
    <cellStyle name="Normal 10 2 10 6 5 3" xfId="5393" xr:uid="{00000000-0005-0000-0000-000011150000}"/>
    <cellStyle name="Normal 10 2 10 6 5 4" xfId="5394" xr:uid="{00000000-0005-0000-0000-000012150000}"/>
    <cellStyle name="Normal 10 2 10 6 5 5" xfId="5395" xr:uid="{00000000-0005-0000-0000-000013150000}"/>
    <cellStyle name="Normal 10 2 10 6 5 6" xfId="5396" xr:uid="{00000000-0005-0000-0000-000014150000}"/>
    <cellStyle name="Normal 10 2 10 6 5 7" xfId="5397" xr:uid="{00000000-0005-0000-0000-000015150000}"/>
    <cellStyle name="Normal 10 2 10 6 5 8" xfId="5398" xr:uid="{00000000-0005-0000-0000-000016150000}"/>
    <cellStyle name="Normal 10 2 10 6 5 9" xfId="5399" xr:uid="{00000000-0005-0000-0000-000017150000}"/>
    <cellStyle name="Normal 10 2 10 6 6" xfId="5400" xr:uid="{00000000-0005-0000-0000-000018150000}"/>
    <cellStyle name="Normal 10 2 10 6 7" xfId="5401" xr:uid="{00000000-0005-0000-0000-000019150000}"/>
    <cellStyle name="Normal 10 2 10 6 8" xfId="5402" xr:uid="{00000000-0005-0000-0000-00001A150000}"/>
    <cellStyle name="Normal 10 2 10 6 9" xfId="5403" xr:uid="{00000000-0005-0000-0000-00001B150000}"/>
    <cellStyle name="Normal 10 2 10 7" xfId="5404" xr:uid="{00000000-0005-0000-0000-00001C150000}"/>
    <cellStyle name="Normal 10 2 10 7 10" xfId="5405" xr:uid="{00000000-0005-0000-0000-00001D150000}"/>
    <cellStyle name="Normal 10 2 10 7 11" xfId="5406" xr:uid="{00000000-0005-0000-0000-00001E150000}"/>
    <cellStyle name="Normal 10 2 10 7 12" xfId="5407" xr:uid="{00000000-0005-0000-0000-00001F150000}"/>
    <cellStyle name="Normal 10 2 10 7 13" xfId="5408" xr:uid="{00000000-0005-0000-0000-000020150000}"/>
    <cellStyle name="Normal 10 2 10 7 14" xfId="5409" xr:uid="{00000000-0005-0000-0000-000021150000}"/>
    <cellStyle name="Normal 10 2 10 7 2" xfId="5410" xr:uid="{00000000-0005-0000-0000-000022150000}"/>
    <cellStyle name="Normal 10 2 10 7 2 10" xfId="5411" xr:uid="{00000000-0005-0000-0000-000023150000}"/>
    <cellStyle name="Normal 10 2 10 7 2 2" xfId="5412" xr:uid="{00000000-0005-0000-0000-000024150000}"/>
    <cellStyle name="Normal 10 2 10 7 2 3" xfId="5413" xr:uid="{00000000-0005-0000-0000-000025150000}"/>
    <cellStyle name="Normal 10 2 10 7 2 4" xfId="5414" xr:uid="{00000000-0005-0000-0000-000026150000}"/>
    <cellStyle name="Normal 10 2 10 7 2 5" xfId="5415" xr:uid="{00000000-0005-0000-0000-000027150000}"/>
    <cellStyle name="Normal 10 2 10 7 2 6" xfId="5416" xr:uid="{00000000-0005-0000-0000-000028150000}"/>
    <cellStyle name="Normal 10 2 10 7 2 7" xfId="5417" xr:uid="{00000000-0005-0000-0000-000029150000}"/>
    <cellStyle name="Normal 10 2 10 7 2 8" xfId="5418" xr:uid="{00000000-0005-0000-0000-00002A150000}"/>
    <cellStyle name="Normal 10 2 10 7 2 9" xfId="5419" xr:uid="{00000000-0005-0000-0000-00002B150000}"/>
    <cellStyle name="Normal 10 2 10 7 3" xfId="5420" xr:uid="{00000000-0005-0000-0000-00002C150000}"/>
    <cellStyle name="Normal 10 2 10 7 3 10" xfId="5421" xr:uid="{00000000-0005-0000-0000-00002D150000}"/>
    <cellStyle name="Normal 10 2 10 7 3 2" xfId="5422" xr:uid="{00000000-0005-0000-0000-00002E150000}"/>
    <cellStyle name="Normal 10 2 10 7 3 3" xfId="5423" xr:uid="{00000000-0005-0000-0000-00002F150000}"/>
    <cellStyle name="Normal 10 2 10 7 3 4" xfId="5424" xr:uid="{00000000-0005-0000-0000-000030150000}"/>
    <cellStyle name="Normal 10 2 10 7 3 5" xfId="5425" xr:uid="{00000000-0005-0000-0000-000031150000}"/>
    <cellStyle name="Normal 10 2 10 7 3 6" xfId="5426" xr:uid="{00000000-0005-0000-0000-000032150000}"/>
    <cellStyle name="Normal 10 2 10 7 3 7" xfId="5427" xr:uid="{00000000-0005-0000-0000-000033150000}"/>
    <cellStyle name="Normal 10 2 10 7 3 8" xfId="5428" xr:uid="{00000000-0005-0000-0000-000034150000}"/>
    <cellStyle name="Normal 10 2 10 7 3 9" xfId="5429" xr:uid="{00000000-0005-0000-0000-000035150000}"/>
    <cellStyle name="Normal 10 2 10 7 4" xfId="5430" xr:uid="{00000000-0005-0000-0000-000036150000}"/>
    <cellStyle name="Normal 10 2 10 7 4 10" xfId="5431" xr:uid="{00000000-0005-0000-0000-000037150000}"/>
    <cellStyle name="Normal 10 2 10 7 4 2" xfId="5432" xr:uid="{00000000-0005-0000-0000-000038150000}"/>
    <cellStyle name="Normal 10 2 10 7 4 3" xfId="5433" xr:uid="{00000000-0005-0000-0000-000039150000}"/>
    <cellStyle name="Normal 10 2 10 7 4 4" xfId="5434" xr:uid="{00000000-0005-0000-0000-00003A150000}"/>
    <cellStyle name="Normal 10 2 10 7 4 5" xfId="5435" xr:uid="{00000000-0005-0000-0000-00003B150000}"/>
    <cellStyle name="Normal 10 2 10 7 4 6" xfId="5436" xr:uid="{00000000-0005-0000-0000-00003C150000}"/>
    <cellStyle name="Normal 10 2 10 7 4 7" xfId="5437" xr:uid="{00000000-0005-0000-0000-00003D150000}"/>
    <cellStyle name="Normal 10 2 10 7 4 8" xfId="5438" xr:uid="{00000000-0005-0000-0000-00003E150000}"/>
    <cellStyle name="Normal 10 2 10 7 4 9" xfId="5439" xr:uid="{00000000-0005-0000-0000-00003F150000}"/>
    <cellStyle name="Normal 10 2 10 7 5" xfId="5440" xr:uid="{00000000-0005-0000-0000-000040150000}"/>
    <cellStyle name="Normal 10 2 10 7 5 10" xfId="5441" xr:uid="{00000000-0005-0000-0000-000041150000}"/>
    <cellStyle name="Normal 10 2 10 7 5 2" xfId="5442" xr:uid="{00000000-0005-0000-0000-000042150000}"/>
    <cellStyle name="Normal 10 2 10 7 5 3" xfId="5443" xr:uid="{00000000-0005-0000-0000-000043150000}"/>
    <cellStyle name="Normal 10 2 10 7 5 4" xfId="5444" xr:uid="{00000000-0005-0000-0000-000044150000}"/>
    <cellStyle name="Normal 10 2 10 7 5 5" xfId="5445" xr:uid="{00000000-0005-0000-0000-000045150000}"/>
    <cellStyle name="Normal 10 2 10 7 5 6" xfId="5446" xr:uid="{00000000-0005-0000-0000-000046150000}"/>
    <cellStyle name="Normal 10 2 10 7 5 7" xfId="5447" xr:uid="{00000000-0005-0000-0000-000047150000}"/>
    <cellStyle name="Normal 10 2 10 7 5 8" xfId="5448" xr:uid="{00000000-0005-0000-0000-000048150000}"/>
    <cellStyle name="Normal 10 2 10 7 5 9" xfId="5449" xr:uid="{00000000-0005-0000-0000-000049150000}"/>
    <cellStyle name="Normal 10 2 10 7 6" xfId="5450" xr:uid="{00000000-0005-0000-0000-00004A150000}"/>
    <cellStyle name="Normal 10 2 10 7 7" xfId="5451" xr:uid="{00000000-0005-0000-0000-00004B150000}"/>
    <cellStyle name="Normal 10 2 10 7 8" xfId="5452" xr:uid="{00000000-0005-0000-0000-00004C150000}"/>
    <cellStyle name="Normal 10 2 10 7 9" xfId="5453" xr:uid="{00000000-0005-0000-0000-00004D150000}"/>
    <cellStyle name="Normal 10 2 10 8" xfId="5454" xr:uid="{00000000-0005-0000-0000-00004E150000}"/>
    <cellStyle name="Normal 10 2 10 8 10" xfId="5455" xr:uid="{00000000-0005-0000-0000-00004F150000}"/>
    <cellStyle name="Normal 10 2 10 8 11" xfId="5456" xr:uid="{00000000-0005-0000-0000-000050150000}"/>
    <cellStyle name="Normal 10 2 10 8 12" xfId="5457" xr:uid="{00000000-0005-0000-0000-000051150000}"/>
    <cellStyle name="Normal 10 2 10 8 13" xfId="5458" xr:uid="{00000000-0005-0000-0000-000052150000}"/>
    <cellStyle name="Normal 10 2 10 8 14" xfId="5459" xr:uid="{00000000-0005-0000-0000-000053150000}"/>
    <cellStyle name="Normal 10 2 10 8 2" xfId="5460" xr:uid="{00000000-0005-0000-0000-000054150000}"/>
    <cellStyle name="Normal 10 2 10 8 2 10" xfId="5461" xr:uid="{00000000-0005-0000-0000-000055150000}"/>
    <cellStyle name="Normal 10 2 10 8 2 2" xfId="5462" xr:uid="{00000000-0005-0000-0000-000056150000}"/>
    <cellStyle name="Normal 10 2 10 8 2 3" xfId="5463" xr:uid="{00000000-0005-0000-0000-000057150000}"/>
    <cellStyle name="Normal 10 2 10 8 2 4" xfId="5464" xr:uid="{00000000-0005-0000-0000-000058150000}"/>
    <cellStyle name="Normal 10 2 10 8 2 5" xfId="5465" xr:uid="{00000000-0005-0000-0000-000059150000}"/>
    <cellStyle name="Normal 10 2 10 8 2 6" xfId="5466" xr:uid="{00000000-0005-0000-0000-00005A150000}"/>
    <cellStyle name="Normal 10 2 10 8 2 7" xfId="5467" xr:uid="{00000000-0005-0000-0000-00005B150000}"/>
    <cellStyle name="Normal 10 2 10 8 2 8" xfId="5468" xr:uid="{00000000-0005-0000-0000-00005C150000}"/>
    <cellStyle name="Normal 10 2 10 8 2 9" xfId="5469" xr:uid="{00000000-0005-0000-0000-00005D150000}"/>
    <cellStyle name="Normal 10 2 10 8 3" xfId="5470" xr:uid="{00000000-0005-0000-0000-00005E150000}"/>
    <cellStyle name="Normal 10 2 10 8 3 10" xfId="5471" xr:uid="{00000000-0005-0000-0000-00005F150000}"/>
    <cellStyle name="Normal 10 2 10 8 3 2" xfId="5472" xr:uid="{00000000-0005-0000-0000-000060150000}"/>
    <cellStyle name="Normal 10 2 10 8 3 3" xfId="5473" xr:uid="{00000000-0005-0000-0000-000061150000}"/>
    <cellStyle name="Normal 10 2 10 8 3 4" xfId="5474" xr:uid="{00000000-0005-0000-0000-000062150000}"/>
    <cellStyle name="Normal 10 2 10 8 3 5" xfId="5475" xr:uid="{00000000-0005-0000-0000-000063150000}"/>
    <cellStyle name="Normal 10 2 10 8 3 6" xfId="5476" xr:uid="{00000000-0005-0000-0000-000064150000}"/>
    <cellStyle name="Normal 10 2 10 8 3 7" xfId="5477" xr:uid="{00000000-0005-0000-0000-000065150000}"/>
    <cellStyle name="Normal 10 2 10 8 3 8" xfId="5478" xr:uid="{00000000-0005-0000-0000-000066150000}"/>
    <cellStyle name="Normal 10 2 10 8 3 9" xfId="5479" xr:uid="{00000000-0005-0000-0000-000067150000}"/>
    <cellStyle name="Normal 10 2 10 8 4" xfId="5480" xr:uid="{00000000-0005-0000-0000-000068150000}"/>
    <cellStyle name="Normal 10 2 10 8 4 10" xfId="5481" xr:uid="{00000000-0005-0000-0000-000069150000}"/>
    <cellStyle name="Normal 10 2 10 8 4 2" xfId="5482" xr:uid="{00000000-0005-0000-0000-00006A150000}"/>
    <cellStyle name="Normal 10 2 10 8 4 3" xfId="5483" xr:uid="{00000000-0005-0000-0000-00006B150000}"/>
    <cellStyle name="Normal 10 2 10 8 4 4" xfId="5484" xr:uid="{00000000-0005-0000-0000-00006C150000}"/>
    <cellStyle name="Normal 10 2 10 8 4 5" xfId="5485" xr:uid="{00000000-0005-0000-0000-00006D150000}"/>
    <cellStyle name="Normal 10 2 10 8 4 6" xfId="5486" xr:uid="{00000000-0005-0000-0000-00006E150000}"/>
    <cellStyle name="Normal 10 2 10 8 4 7" xfId="5487" xr:uid="{00000000-0005-0000-0000-00006F150000}"/>
    <cellStyle name="Normal 10 2 10 8 4 8" xfId="5488" xr:uid="{00000000-0005-0000-0000-000070150000}"/>
    <cellStyle name="Normal 10 2 10 8 4 9" xfId="5489" xr:uid="{00000000-0005-0000-0000-000071150000}"/>
    <cellStyle name="Normal 10 2 10 8 5" xfId="5490" xr:uid="{00000000-0005-0000-0000-000072150000}"/>
    <cellStyle name="Normal 10 2 10 8 5 10" xfId="5491" xr:uid="{00000000-0005-0000-0000-000073150000}"/>
    <cellStyle name="Normal 10 2 10 8 5 2" xfId="5492" xr:uid="{00000000-0005-0000-0000-000074150000}"/>
    <cellStyle name="Normal 10 2 10 8 5 3" xfId="5493" xr:uid="{00000000-0005-0000-0000-000075150000}"/>
    <cellStyle name="Normal 10 2 10 8 5 4" xfId="5494" xr:uid="{00000000-0005-0000-0000-000076150000}"/>
    <cellStyle name="Normal 10 2 10 8 5 5" xfId="5495" xr:uid="{00000000-0005-0000-0000-000077150000}"/>
    <cellStyle name="Normal 10 2 10 8 5 6" xfId="5496" xr:uid="{00000000-0005-0000-0000-000078150000}"/>
    <cellStyle name="Normal 10 2 10 8 5 7" xfId="5497" xr:uid="{00000000-0005-0000-0000-000079150000}"/>
    <cellStyle name="Normal 10 2 10 8 5 8" xfId="5498" xr:uid="{00000000-0005-0000-0000-00007A150000}"/>
    <cellStyle name="Normal 10 2 10 8 5 9" xfId="5499" xr:uid="{00000000-0005-0000-0000-00007B150000}"/>
    <cellStyle name="Normal 10 2 10 8 6" xfId="5500" xr:uid="{00000000-0005-0000-0000-00007C150000}"/>
    <cellStyle name="Normal 10 2 10 8 7" xfId="5501" xr:uid="{00000000-0005-0000-0000-00007D150000}"/>
    <cellStyle name="Normal 10 2 10 8 8" xfId="5502" xr:uid="{00000000-0005-0000-0000-00007E150000}"/>
    <cellStyle name="Normal 10 2 10 8 9" xfId="5503" xr:uid="{00000000-0005-0000-0000-00007F150000}"/>
    <cellStyle name="Normal 10 2 10 9" xfId="5504" xr:uid="{00000000-0005-0000-0000-000080150000}"/>
    <cellStyle name="Normal 10 2 10 9 10" xfId="5505" xr:uid="{00000000-0005-0000-0000-000081150000}"/>
    <cellStyle name="Normal 10 2 10 9 11" xfId="5506" xr:uid="{00000000-0005-0000-0000-000082150000}"/>
    <cellStyle name="Normal 10 2 10 9 12" xfId="5507" xr:uid="{00000000-0005-0000-0000-000083150000}"/>
    <cellStyle name="Normal 10 2 10 9 13" xfId="5508" xr:uid="{00000000-0005-0000-0000-000084150000}"/>
    <cellStyle name="Normal 10 2 10 9 14" xfId="5509" xr:uid="{00000000-0005-0000-0000-000085150000}"/>
    <cellStyle name="Normal 10 2 10 9 2" xfId="5510" xr:uid="{00000000-0005-0000-0000-000086150000}"/>
    <cellStyle name="Normal 10 2 10 9 2 10" xfId="5511" xr:uid="{00000000-0005-0000-0000-000087150000}"/>
    <cellStyle name="Normal 10 2 10 9 2 2" xfId="5512" xr:uid="{00000000-0005-0000-0000-000088150000}"/>
    <cellStyle name="Normal 10 2 10 9 2 3" xfId="5513" xr:uid="{00000000-0005-0000-0000-000089150000}"/>
    <cellStyle name="Normal 10 2 10 9 2 4" xfId="5514" xr:uid="{00000000-0005-0000-0000-00008A150000}"/>
    <cellStyle name="Normal 10 2 10 9 2 5" xfId="5515" xr:uid="{00000000-0005-0000-0000-00008B150000}"/>
    <cellStyle name="Normal 10 2 10 9 2 6" xfId="5516" xr:uid="{00000000-0005-0000-0000-00008C150000}"/>
    <cellStyle name="Normal 10 2 10 9 2 7" xfId="5517" xr:uid="{00000000-0005-0000-0000-00008D150000}"/>
    <cellStyle name="Normal 10 2 10 9 2 8" xfId="5518" xr:uid="{00000000-0005-0000-0000-00008E150000}"/>
    <cellStyle name="Normal 10 2 10 9 2 9" xfId="5519" xr:uid="{00000000-0005-0000-0000-00008F150000}"/>
    <cellStyle name="Normal 10 2 10 9 3" xfId="5520" xr:uid="{00000000-0005-0000-0000-000090150000}"/>
    <cellStyle name="Normal 10 2 10 9 3 10" xfId="5521" xr:uid="{00000000-0005-0000-0000-000091150000}"/>
    <cellStyle name="Normal 10 2 10 9 3 2" xfId="5522" xr:uid="{00000000-0005-0000-0000-000092150000}"/>
    <cellStyle name="Normal 10 2 10 9 3 3" xfId="5523" xr:uid="{00000000-0005-0000-0000-000093150000}"/>
    <cellStyle name="Normal 10 2 10 9 3 4" xfId="5524" xr:uid="{00000000-0005-0000-0000-000094150000}"/>
    <cellStyle name="Normal 10 2 10 9 3 5" xfId="5525" xr:uid="{00000000-0005-0000-0000-000095150000}"/>
    <cellStyle name="Normal 10 2 10 9 3 6" xfId="5526" xr:uid="{00000000-0005-0000-0000-000096150000}"/>
    <cellStyle name="Normal 10 2 10 9 3 7" xfId="5527" xr:uid="{00000000-0005-0000-0000-000097150000}"/>
    <cellStyle name="Normal 10 2 10 9 3 8" xfId="5528" xr:uid="{00000000-0005-0000-0000-000098150000}"/>
    <cellStyle name="Normal 10 2 10 9 3 9" xfId="5529" xr:uid="{00000000-0005-0000-0000-000099150000}"/>
    <cellStyle name="Normal 10 2 10 9 4" xfId="5530" xr:uid="{00000000-0005-0000-0000-00009A150000}"/>
    <cellStyle name="Normal 10 2 10 9 4 10" xfId="5531" xr:uid="{00000000-0005-0000-0000-00009B150000}"/>
    <cellStyle name="Normal 10 2 10 9 4 2" xfId="5532" xr:uid="{00000000-0005-0000-0000-00009C150000}"/>
    <cellStyle name="Normal 10 2 10 9 4 3" xfId="5533" xr:uid="{00000000-0005-0000-0000-00009D150000}"/>
    <cellStyle name="Normal 10 2 10 9 4 4" xfId="5534" xr:uid="{00000000-0005-0000-0000-00009E150000}"/>
    <cellStyle name="Normal 10 2 10 9 4 5" xfId="5535" xr:uid="{00000000-0005-0000-0000-00009F150000}"/>
    <cellStyle name="Normal 10 2 10 9 4 6" xfId="5536" xr:uid="{00000000-0005-0000-0000-0000A0150000}"/>
    <cellStyle name="Normal 10 2 10 9 4 7" xfId="5537" xr:uid="{00000000-0005-0000-0000-0000A1150000}"/>
    <cellStyle name="Normal 10 2 10 9 4 8" xfId="5538" xr:uid="{00000000-0005-0000-0000-0000A2150000}"/>
    <cellStyle name="Normal 10 2 10 9 4 9" xfId="5539" xr:uid="{00000000-0005-0000-0000-0000A3150000}"/>
    <cellStyle name="Normal 10 2 10 9 5" xfId="5540" xr:uid="{00000000-0005-0000-0000-0000A4150000}"/>
    <cellStyle name="Normal 10 2 10 9 5 10" xfId="5541" xr:uid="{00000000-0005-0000-0000-0000A5150000}"/>
    <cellStyle name="Normal 10 2 10 9 5 2" xfId="5542" xr:uid="{00000000-0005-0000-0000-0000A6150000}"/>
    <cellStyle name="Normal 10 2 10 9 5 3" xfId="5543" xr:uid="{00000000-0005-0000-0000-0000A7150000}"/>
    <cellStyle name="Normal 10 2 10 9 5 4" xfId="5544" xr:uid="{00000000-0005-0000-0000-0000A8150000}"/>
    <cellStyle name="Normal 10 2 10 9 5 5" xfId="5545" xr:uid="{00000000-0005-0000-0000-0000A9150000}"/>
    <cellStyle name="Normal 10 2 10 9 5 6" xfId="5546" xr:uid="{00000000-0005-0000-0000-0000AA150000}"/>
    <cellStyle name="Normal 10 2 10 9 5 7" xfId="5547" xr:uid="{00000000-0005-0000-0000-0000AB150000}"/>
    <cellStyle name="Normal 10 2 10 9 5 8" xfId="5548" xr:uid="{00000000-0005-0000-0000-0000AC150000}"/>
    <cellStyle name="Normal 10 2 10 9 5 9" xfId="5549" xr:uid="{00000000-0005-0000-0000-0000AD150000}"/>
    <cellStyle name="Normal 10 2 10 9 6" xfId="5550" xr:uid="{00000000-0005-0000-0000-0000AE150000}"/>
    <cellStyle name="Normal 10 2 10 9 7" xfId="5551" xr:uid="{00000000-0005-0000-0000-0000AF150000}"/>
    <cellStyle name="Normal 10 2 10 9 8" xfId="5552" xr:uid="{00000000-0005-0000-0000-0000B0150000}"/>
    <cellStyle name="Normal 10 2 10 9 9" xfId="5553" xr:uid="{00000000-0005-0000-0000-0000B1150000}"/>
    <cellStyle name="Normal 10 2 11" xfId="5554" xr:uid="{00000000-0005-0000-0000-0000B2150000}"/>
    <cellStyle name="Normal 10 2 12" xfId="5555" xr:uid="{00000000-0005-0000-0000-0000B3150000}"/>
    <cellStyle name="Normal 10 2 13" xfId="5556" xr:uid="{00000000-0005-0000-0000-0000B4150000}"/>
    <cellStyle name="Normal 10 2 14" xfId="5557" xr:uid="{00000000-0005-0000-0000-0000B5150000}"/>
    <cellStyle name="Normal 10 2 15" xfId="5558" xr:uid="{00000000-0005-0000-0000-0000B6150000}"/>
    <cellStyle name="Normal 10 2 16" xfId="5559" xr:uid="{00000000-0005-0000-0000-0000B7150000}"/>
    <cellStyle name="Normal 10 2 17" xfId="5560" xr:uid="{00000000-0005-0000-0000-0000B8150000}"/>
    <cellStyle name="Normal 10 2 18" xfId="5561" xr:uid="{00000000-0005-0000-0000-0000B9150000}"/>
    <cellStyle name="Normal 10 2 19" xfId="5562" xr:uid="{00000000-0005-0000-0000-0000BA150000}"/>
    <cellStyle name="Normal 10 2 2" xfId="5563" xr:uid="{00000000-0005-0000-0000-0000BB150000}"/>
    <cellStyle name="Normal 10 2 2 2" xfId="5564" xr:uid="{00000000-0005-0000-0000-0000BC150000}"/>
    <cellStyle name="Normal 10 2 2 2 2" xfId="5565" xr:uid="{00000000-0005-0000-0000-0000BD150000}"/>
    <cellStyle name="Normal 10 2 20" xfId="5566" xr:uid="{00000000-0005-0000-0000-0000BE150000}"/>
    <cellStyle name="Normal 10 2 21" xfId="5567" xr:uid="{00000000-0005-0000-0000-0000BF150000}"/>
    <cellStyle name="Normal 10 2 22" xfId="5568" xr:uid="{00000000-0005-0000-0000-0000C0150000}"/>
    <cellStyle name="Normal 10 2 23" xfId="5569" xr:uid="{00000000-0005-0000-0000-0000C1150000}"/>
    <cellStyle name="Normal 10 2 24" xfId="5570" xr:uid="{00000000-0005-0000-0000-0000C2150000}"/>
    <cellStyle name="Normal 10 2 25" xfId="5571" xr:uid="{00000000-0005-0000-0000-0000C3150000}"/>
    <cellStyle name="Normal 10 2 26" xfId="5572" xr:uid="{00000000-0005-0000-0000-0000C4150000}"/>
    <cellStyle name="Normal 10 2 27" xfId="5573" xr:uid="{00000000-0005-0000-0000-0000C5150000}"/>
    <cellStyle name="Normal 10 2 28" xfId="5574" xr:uid="{00000000-0005-0000-0000-0000C6150000}"/>
    <cellStyle name="Normal 10 2 29" xfId="5575" xr:uid="{00000000-0005-0000-0000-0000C7150000}"/>
    <cellStyle name="Normal 10 2 3" xfId="5576" xr:uid="{00000000-0005-0000-0000-0000C8150000}"/>
    <cellStyle name="Normal 10 2 30" xfId="5577" xr:uid="{00000000-0005-0000-0000-0000C9150000}"/>
    <cellStyle name="Normal 10 2 31" xfId="5578" xr:uid="{00000000-0005-0000-0000-0000CA150000}"/>
    <cellStyle name="Normal 10 2 32" xfId="5579" xr:uid="{00000000-0005-0000-0000-0000CB150000}"/>
    <cellStyle name="Normal 10 2 33" xfId="5580" xr:uid="{00000000-0005-0000-0000-0000CC150000}"/>
    <cellStyle name="Normal 10 2 34" xfId="5581" xr:uid="{00000000-0005-0000-0000-0000CD150000}"/>
    <cellStyle name="Normal 10 2 35" xfId="5582" xr:uid="{00000000-0005-0000-0000-0000CE150000}"/>
    <cellStyle name="Normal 10 2 36" xfId="5583" xr:uid="{00000000-0005-0000-0000-0000CF150000}"/>
    <cellStyle name="Normal 10 2 37" xfId="5584" xr:uid="{00000000-0005-0000-0000-0000D0150000}"/>
    <cellStyle name="Normal 10 2 38" xfId="5585" xr:uid="{00000000-0005-0000-0000-0000D1150000}"/>
    <cellStyle name="Normal 10 2 39" xfId="5586" xr:uid="{00000000-0005-0000-0000-0000D2150000}"/>
    <cellStyle name="Normal 10 2 4" xfId="5587" xr:uid="{00000000-0005-0000-0000-0000D3150000}"/>
    <cellStyle name="Normal 10 2 40" xfId="5588" xr:uid="{00000000-0005-0000-0000-0000D4150000}"/>
    <cellStyle name="Normal 10 2 41" xfId="5589" xr:uid="{00000000-0005-0000-0000-0000D5150000}"/>
    <cellStyle name="Normal 10 2 42" xfId="5590" xr:uid="{00000000-0005-0000-0000-0000D6150000}"/>
    <cellStyle name="Normal 10 2 43" xfId="5591" xr:uid="{00000000-0005-0000-0000-0000D7150000}"/>
    <cellStyle name="Normal 10 2 44" xfId="5592" xr:uid="{00000000-0005-0000-0000-0000D8150000}"/>
    <cellStyle name="Normal 10 2 45" xfId="5593" xr:uid="{00000000-0005-0000-0000-0000D9150000}"/>
    <cellStyle name="Normal 10 2 46" xfId="5594" xr:uid="{00000000-0005-0000-0000-0000DA150000}"/>
    <cellStyle name="Normal 10 2 47" xfId="5595" xr:uid="{00000000-0005-0000-0000-0000DB150000}"/>
    <cellStyle name="Normal 10 2 48" xfId="5596" xr:uid="{00000000-0005-0000-0000-0000DC150000}"/>
    <cellStyle name="Normal 10 2 49" xfId="5597" xr:uid="{00000000-0005-0000-0000-0000DD150000}"/>
    <cellStyle name="Normal 10 2 5" xfId="5598" xr:uid="{00000000-0005-0000-0000-0000DE150000}"/>
    <cellStyle name="Normal 10 2 50" xfId="5599" xr:uid="{00000000-0005-0000-0000-0000DF150000}"/>
    <cellStyle name="Normal 10 2 51" xfId="5600" xr:uid="{00000000-0005-0000-0000-0000E0150000}"/>
    <cellStyle name="Normal 10 2 52" xfId="5601" xr:uid="{00000000-0005-0000-0000-0000E1150000}"/>
    <cellStyle name="Normal 10 2 53" xfId="5602" xr:uid="{00000000-0005-0000-0000-0000E2150000}"/>
    <cellStyle name="Normal 10 2 54" xfId="5603" xr:uid="{00000000-0005-0000-0000-0000E3150000}"/>
    <cellStyle name="Normal 10 2 55" xfId="5604" xr:uid="{00000000-0005-0000-0000-0000E4150000}"/>
    <cellStyle name="Normal 10 2 56" xfId="5605" xr:uid="{00000000-0005-0000-0000-0000E5150000}"/>
    <cellStyle name="Normal 10 2 57" xfId="5606" xr:uid="{00000000-0005-0000-0000-0000E6150000}"/>
    <cellStyle name="Normal 10 2 58" xfId="5607" xr:uid="{00000000-0005-0000-0000-0000E7150000}"/>
    <cellStyle name="Normal 10 2 59" xfId="5608" xr:uid="{00000000-0005-0000-0000-0000E8150000}"/>
    <cellStyle name="Normal 10 2 6" xfId="5609" xr:uid="{00000000-0005-0000-0000-0000E9150000}"/>
    <cellStyle name="Normal 10 2 60" xfId="5610" xr:uid="{00000000-0005-0000-0000-0000EA150000}"/>
    <cellStyle name="Normal 10 2 61" xfId="5611" xr:uid="{00000000-0005-0000-0000-0000EB150000}"/>
    <cellStyle name="Normal 10 2 62" xfId="5612" xr:uid="{00000000-0005-0000-0000-0000EC150000}"/>
    <cellStyle name="Normal 10 2 63" xfId="5613" xr:uid="{00000000-0005-0000-0000-0000ED150000}"/>
    <cellStyle name="Normal 10 2 64" xfId="5614" xr:uid="{00000000-0005-0000-0000-0000EE150000}"/>
    <cellStyle name="Normal 10 2 65" xfId="5615" xr:uid="{00000000-0005-0000-0000-0000EF150000}"/>
    <cellStyle name="Normal 10 2 66" xfId="5616" xr:uid="{00000000-0005-0000-0000-0000F0150000}"/>
    <cellStyle name="Normal 10 2 67" xfId="5617" xr:uid="{00000000-0005-0000-0000-0000F1150000}"/>
    <cellStyle name="Normal 10 2 68" xfId="5618" xr:uid="{00000000-0005-0000-0000-0000F2150000}"/>
    <cellStyle name="Normal 10 2 69" xfId="5619" xr:uid="{00000000-0005-0000-0000-0000F3150000}"/>
    <cellStyle name="Normal 10 2 7" xfId="5620" xr:uid="{00000000-0005-0000-0000-0000F4150000}"/>
    <cellStyle name="Normal 10 2 70" xfId="5621" xr:uid="{00000000-0005-0000-0000-0000F5150000}"/>
    <cellStyle name="Normal 10 2 71" xfId="5622" xr:uid="{00000000-0005-0000-0000-0000F6150000}"/>
    <cellStyle name="Normal 10 2 72" xfId="5623" xr:uid="{00000000-0005-0000-0000-0000F7150000}"/>
    <cellStyle name="Normal 10 2 73" xfId="5624" xr:uid="{00000000-0005-0000-0000-0000F8150000}"/>
    <cellStyle name="Normal 10 2 74" xfId="5625" xr:uid="{00000000-0005-0000-0000-0000F9150000}"/>
    <cellStyle name="Normal 10 2 75" xfId="5626" xr:uid="{00000000-0005-0000-0000-0000FA150000}"/>
    <cellStyle name="Normal 10 2 76" xfId="5627" xr:uid="{00000000-0005-0000-0000-0000FB150000}"/>
    <cellStyle name="Normal 10 2 77" xfId="5628" xr:uid="{00000000-0005-0000-0000-0000FC150000}"/>
    <cellStyle name="Normal 10 2 78" xfId="5629" xr:uid="{00000000-0005-0000-0000-0000FD150000}"/>
    <cellStyle name="Normal 10 2 79" xfId="5630" xr:uid="{00000000-0005-0000-0000-0000FE150000}"/>
    <cellStyle name="Normal 10 2 8" xfId="5631" xr:uid="{00000000-0005-0000-0000-0000FF150000}"/>
    <cellStyle name="Normal 10 2 9" xfId="5632" xr:uid="{00000000-0005-0000-0000-000000160000}"/>
    <cellStyle name="Normal 10 2_Enlaces" xfId="5633" xr:uid="{00000000-0005-0000-0000-000001160000}"/>
    <cellStyle name="Normal 10 20" xfId="5634" xr:uid="{00000000-0005-0000-0000-000002160000}"/>
    <cellStyle name="Normal 10 21" xfId="5635" xr:uid="{00000000-0005-0000-0000-000003160000}"/>
    <cellStyle name="Normal 10 22" xfId="5636" xr:uid="{00000000-0005-0000-0000-000004160000}"/>
    <cellStyle name="Normal 10 23" xfId="5637" xr:uid="{00000000-0005-0000-0000-000005160000}"/>
    <cellStyle name="Normal 10 24" xfId="5638" xr:uid="{00000000-0005-0000-0000-000006160000}"/>
    <cellStyle name="Normal 10 25" xfId="5639" xr:uid="{00000000-0005-0000-0000-000007160000}"/>
    <cellStyle name="Normal 10 26" xfId="5640" xr:uid="{00000000-0005-0000-0000-000008160000}"/>
    <cellStyle name="Normal 10 27" xfId="5641" xr:uid="{00000000-0005-0000-0000-000009160000}"/>
    <cellStyle name="Normal 10 28" xfId="5642" xr:uid="{00000000-0005-0000-0000-00000A160000}"/>
    <cellStyle name="Normal 10 29" xfId="5643" xr:uid="{00000000-0005-0000-0000-00000B160000}"/>
    <cellStyle name="Normal 10 3" xfId="5644" xr:uid="{00000000-0005-0000-0000-00000C160000}"/>
    <cellStyle name="Normal 10 3 2" xfId="5645" xr:uid="{00000000-0005-0000-0000-00000D160000}"/>
    <cellStyle name="Normal 10 3 3" xfId="5646" xr:uid="{00000000-0005-0000-0000-00000E160000}"/>
    <cellStyle name="Normal 10 3 4" xfId="5647" xr:uid="{00000000-0005-0000-0000-00000F160000}"/>
    <cellStyle name="Normal 10 3 4 2" xfId="5648" xr:uid="{00000000-0005-0000-0000-000010160000}"/>
    <cellStyle name="Normal 10 3 4 2 2" xfId="5649" xr:uid="{00000000-0005-0000-0000-000011160000}"/>
    <cellStyle name="Normal 10 3 4 3" xfId="5650" xr:uid="{00000000-0005-0000-0000-000012160000}"/>
    <cellStyle name="Normal 10 3 5" xfId="5651" xr:uid="{00000000-0005-0000-0000-000013160000}"/>
    <cellStyle name="Normal 10 3 6" xfId="5652" xr:uid="{00000000-0005-0000-0000-000014160000}"/>
    <cellStyle name="Normal 10 3 7" xfId="5653" xr:uid="{00000000-0005-0000-0000-000015160000}"/>
    <cellStyle name="Normal 10 3 7 2" xfId="5654" xr:uid="{00000000-0005-0000-0000-000016160000}"/>
    <cellStyle name="Normal 10 3 8" xfId="5655" xr:uid="{00000000-0005-0000-0000-000017160000}"/>
    <cellStyle name="Normal 10 3 9" xfId="5656" xr:uid="{00000000-0005-0000-0000-000018160000}"/>
    <cellStyle name="Normal 10 3_Implem" xfId="5657" xr:uid="{00000000-0005-0000-0000-000019160000}"/>
    <cellStyle name="Normal 10 30" xfId="5658" xr:uid="{00000000-0005-0000-0000-00001A160000}"/>
    <cellStyle name="Normal 10 31" xfId="5659" xr:uid="{00000000-0005-0000-0000-00001B160000}"/>
    <cellStyle name="Normal 10 32" xfId="2236" xr:uid="{00000000-0005-0000-0000-0000BC080000}"/>
    <cellStyle name="Normal 10 4" xfId="5660" xr:uid="{00000000-0005-0000-0000-00001C160000}"/>
    <cellStyle name="Normal 10 5" xfId="5661" xr:uid="{00000000-0005-0000-0000-00001D160000}"/>
    <cellStyle name="Normal 10 6" xfId="5662" xr:uid="{00000000-0005-0000-0000-00001E160000}"/>
    <cellStyle name="Normal 10 7" xfId="5663" xr:uid="{00000000-0005-0000-0000-00001F160000}"/>
    <cellStyle name="Normal 10 8" xfId="5664" xr:uid="{00000000-0005-0000-0000-000020160000}"/>
    <cellStyle name="Normal 10 9" xfId="5665" xr:uid="{00000000-0005-0000-0000-000021160000}"/>
    <cellStyle name="Normal 100" xfId="5666" xr:uid="{00000000-0005-0000-0000-000022160000}"/>
    <cellStyle name="Normal 100 2" xfId="5667" xr:uid="{00000000-0005-0000-0000-000023160000}"/>
    <cellStyle name="Normal 100 3" xfId="5668" xr:uid="{00000000-0005-0000-0000-000024160000}"/>
    <cellStyle name="Normal 101" xfId="5669" xr:uid="{00000000-0005-0000-0000-000025160000}"/>
    <cellStyle name="Normal 101 2" xfId="5670" xr:uid="{00000000-0005-0000-0000-000026160000}"/>
    <cellStyle name="Normal 101 3" xfId="5671" xr:uid="{00000000-0005-0000-0000-000027160000}"/>
    <cellStyle name="Normal 102" xfId="5672" xr:uid="{00000000-0005-0000-0000-000028160000}"/>
    <cellStyle name="Normal 102 2" xfId="5673" xr:uid="{00000000-0005-0000-0000-000029160000}"/>
    <cellStyle name="Normal 102 3" xfId="5674" xr:uid="{00000000-0005-0000-0000-00002A160000}"/>
    <cellStyle name="Normal 103" xfId="5675" xr:uid="{00000000-0005-0000-0000-00002B160000}"/>
    <cellStyle name="Normal 103 2" xfId="5676" xr:uid="{00000000-0005-0000-0000-00002C160000}"/>
    <cellStyle name="Normal 104" xfId="5677" xr:uid="{00000000-0005-0000-0000-00002D160000}"/>
    <cellStyle name="Normal 104 2" xfId="5678" xr:uid="{00000000-0005-0000-0000-00002E160000}"/>
    <cellStyle name="Normal 105" xfId="5679" xr:uid="{00000000-0005-0000-0000-00002F160000}"/>
    <cellStyle name="Normal 105 2" xfId="5680" xr:uid="{00000000-0005-0000-0000-000030160000}"/>
    <cellStyle name="Normal 106" xfId="5681" xr:uid="{00000000-0005-0000-0000-000031160000}"/>
    <cellStyle name="Normal 106 2" xfId="5682" xr:uid="{00000000-0005-0000-0000-000032160000}"/>
    <cellStyle name="Normal 107" xfId="5683" xr:uid="{00000000-0005-0000-0000-000033160000}"/>
    <cellStyle name="Normal 107 2" xfId="5684" xr:uid="{00000000-0005-0000-0000-000034160000}"/>
    <cellStyle name="Normal 108" xfId="5685" xr:uid="{00000000-0005-0000-0000-000035160000}"/>
    <cellStyle name="Normal 108 2" xfId="5686" xr:uid="{00000000-0005-0000-0000-000036160000}"/>
    <cellStyle name="Normal 109" xfId="5687" xr:uid="{00000000-0005-0000-0000-000037160000}"/>
    <cellStyle name="Normal 109 2" xfId="5688" xr:uid="{00000000-0005-0000-0000-000038160000}"/>
    <cellStyle name="Normal 11" xfId="69" xr:uid="{00000000-0005-0000-0000-000045000000}"/>
    <cellStyle name="Normal 11 10" xfId="5690" xr:uid="{00000000-0005-0000-0000-00003A160000}"/>
    <cellStyle name="Normal 11 11" xfId="5691" xr:uid="{00000000-0005-0000-0000-00003B160000}"/>
    <cellStyle name="Normal 11 12" xfId="5692" xr:uid="{00000000-0005-0000-0000-00003C160000}"/>
    <cellStyle name="Normal 11 13" xfId="5693" xr:uid="{00000000-0005-0000-0000-00003D160000}"/>
    <cellStyle name="Normal 11 14" xfId="5694" xr:uid="{00000000-0005-0000-0000-00003E160000}"/>
    <cellStyle name="Normal 11 15" xfId="5695" xr:uid="{00000000-0005-0000-0000-00003F160000}"/>
    <cellStyle name="Normal 11 16" xfId="5696" xr:uid="{00000000-0005-0000-0000-000040160000}"/>
    <cellStyle name="Normal 11 17" xfId="5697" xr:uid="{00000000-0005-0000-0000-000041160000}"/>
    <cellStyle name="Normal 11 18" xfId="5698" xr:uid="{00000000-0005-0000-0000-000042160000}"/>
    <cellStyle name="Normal 11 19" xfId="5699" xr:uid="{00000000-0005-0000-0000-000043160000}"/>
    <cellStyle name="Normal 11 2" xfId="5700" xr:uid="{00000000-0005-0000-0000-000044160000}"/>
    <cellStyle name="Normal 11 2 2" xfId="5701" xr:uid="{00000000-0005-0000-0000-000045160000}"/>
    <cellStyle name="Normal 11 2 3" xfId="5702" xr:uid="{00000000-0005-0000-0000-000046160000}"/>
    <cellStyle name="Normal 11 20" xfId="5703" xr:uid="{00000000-0005-0000-0000-000047160000}"/>
    <cellStyle name="Normal 11 21" xfId="5704" xr:uid="{00000000-0005-0000-0000-000048160000}"/>
    <cellStyle name="Normal 11 22" xfId="5705" xr:uid="{00000000-0005-0000-0000-000049160000}"/>
    <cellStyle name="Normal 11 23" xfId="5706" xr:uid="{00000000-0005-0000-0000-00004A160000}"/>
    <cellStyle name="Normal 11 24" xfId="5707" xr:uid="{00000000-0005-0000-0000-00004B160000}"/>
    <cellStyle name="Normal 11 25" xfId="5708" xr:uid="{00000000-0005-0000-0000-00004C160000}"/>
    <cellStyle name="Normal 11 26" xfId="5689" xr:uid="{00000000-0005-0000-0000-000039160000}"/>
    <cellStyle name="Normal 11 3" xfId="5709" xr:uid="{00000000-0005-0000-0000-00004D160000}"/>
    <cellStyle name="Normal 11 3 2" xfId="5710" xr:uid="{00000000-0005-0000-0000-00004E160000}"/>
    <cellStyle name="Normal 11 3 3" xfId="5711" xr:uid="{00000000-0005-0000-0000-00004F160000}"/>
    <cellStyle name="Normal 11 4" xfId="5712" xr:uid="{00000000-0005-0000-0000-000050160000}"/>
    <cellStyle name="Normal 11 5" xfId="5713" xr:uid="{00000000-0005-0000-0000-000051160000}"/>
    <cellStyle name="Normal 11 6" xfId="5714" xr:uid="{00000000-0005-0000-0000-000052160000}"/>
    <cellStyle name="Normal 11 7" xfId="5715" xr:uid="{00000000-0005-0000-0000-000053160000}"/>
    <cellStyle name="Normal 11 8" xfId="5716" xr:uid="{00000000-0005-0000-0000-000054160000}"/>
    <cellStyle name="Normal 11 9" xfId="5717" xr:uid="{00000000-0005-0000-0000-000055160000}"/>
    <cellStyle name="Normal 110" xfId="5718" xr:uid="{00000000-0005-0000-0000-000056160000}"/>
    <cellStyle name="Normal 110 2" xfId="5719" xr:uid="{00000000-0005-0000-0000-000057160000}"/>
    <cellStyle name="Normal 111" xfId="5720" xr:uid="{00000000-0005-0000-0000-000058160000}"/>
    <cellStyle name="Normal 111 2" xfId="5721" xr:uid="{00000000-0005-0000-0000-000059160000}"/>
    <cellStyle name="Normal 112" xfId="5722" xr:uid="{00000000-0005-0000-0000-00005A160000}"/>
    <cellStyle name="Normal 112 2" xfId="5723" xr:uid="{00000000-0005-0000-0000-00005B160000}"/>
    <cellStyle name="Normal 113" xfId="5724" xr:uid="{00000000-0005-0000-0000-00005C160000}"/>
    <cellStyle name="Normal 113 2" xfId="5725" xr:uid="{00000000-0005-0000-0000-00005D160000}"/>
    <cellStyle name="Normal 114" xfId="5726" xr:uid="{00000000-0005-0000-0000-00005E160000}"/>
    <cellStyle name="Normal 114 2" xfId="5727" xr:uid="{00000000-0005-0000-0000-00005F160000}"/>
    <cellStyle name="Normal 115" xfId="5728" xr:uid="{00000000-0005-0000-0000-000060160000}"/>
    <cellStyle name="Normal 115 2" xfId="5729" xr:uid="{00000000-0005-0000-0000-000061160000}"/>
    <cellStyle name="Normal 116" xfId="5730" xr:uid="{00000000-0005-0000-0000-000062160000}"/>
    <cellStyle name="Normal 116 2" xfId="5731" xr:uid="{00000000-0005-0000-0000-000063160000}"/>
    <cellStyle name="Normal 117" xfId="5732" xr:uid="{00000000-0005-0000-0000-000064160000}"/>
    <cellStyle name="Normal 117 2" xfId="5733" xr:uid="{00000000-0005-0000-0000-000065160000}"/>
    <cellStyle name="Normal 118" xfId="5734" xr:uid="{00000000-0005-0000-0000-000066160000}"/>
    <cellStyle name="Normal 118 2" xfId="5735" xr:uid="{00000000-0005-0000-0000-000067160000}"/>
    <cellStyle name="Normal 119" xfId="5736" xr:uid="{00000000-0005-0000-0000-000068160000}"/>
    <cellStyle name="Normal 119 2" xfId="5737" xr:uid="{00000000-0005-0000-0000-000069160000}"/>
    <cellStyle name="Normal 12" xfId="71" xr:uid="{00000000-0005-0000-0000-000047000000}"/>
    <cellStyle name="Normal 12 10" xfId="5739" xr:uid="{00000000-0005-0000-0000-00006B160000}"/>
    <cellStyle name="Normal 12 11" xfId="5740" xr:uid="{00000000-0005-0000-0000-00006C160000}"/>
    <cellStyle name="Normal 12 12" xfId="5741" xr:uid="{00000000-0005-0000-0000-00006D160000}"/>
    <cellStyle name="Normal 12 13" xfId="5742" xr:uid="{00000000-0005-0000-0000-00006E160000}"/>
    <cellStyle name="Normal 12 14" xfId="5743" xr:uid="{00000000-0005-0000-0000-00006F160000}"/>
    <cellStyle name="Normal 12 15" xfId="5744" xr:uid="{00000000-0005-0000-0000-000070160000}"/>
    <cellStyle name="Normal 12 16" xfId="5745" xr:uid="{00000000-0005-0000-0000-000071160000}"/>
    <cellStyle name="Normal 12 17" xfId="5746" xr:uid="{00000000-0005-0000-0000-000072160000}"/>
    <cellStyle name="Normal 12 18" xfId="5747" xr:uid="{00000000-0005-0000-0000-000073160000}"/>
    <cellStyle name="Normal 12 19" xfId="5748" xr:uid="{00000000-0005-0000-0000-000074160000}"/>
    <cellStyle name="Normal 12 2" xfId="5749" xr:uid="{00000000-0005-0000-0000-000075160000}"/>
    <cellStyle name="Normal 12 2 2" xfId="5750" xr:uid="{00000000-0005-0000-0000-000076160000}"/>
    <cellStyle name="Normal 12 2 3" xfId="5751" xr:uid="{00000000-0005-0000-0000-000077160000}"/>
    <cellStyle name="Normal 12 20" xfId="5752" xr:uid="{00000000-0005-0000-0000-000078160000}"/>
    <cellStyle name="Normal 12 21" xfId="5753" xr:uid="{00000000-0005-0000-0000-000079160000}"/>
    <cellStyle name="Normal 12 22" xfId="5754" xr:uid="{00000000-0005-0000-0000-00007A160000}"/>
    <cellStyle name="Normal 12 23" xfId="5755" xr:uid="{00000000-0005-0000-0000-00007B160000}"/>
    <cellStyle name="Normal 12 24" xfId="5756" xr:uid="{00000000-0005-0000-0000-00007C160000}"/>
    <cellStyle name="Normal 12 25" xfId="5757" xr:uid="{00000000-0005-0000-0000-00007D160000}"/>
    <cellStyle name="Normal 12 26" xfId="5738" xr:uid="{00000000-0005-0000-0000-00006A160000}"/>
    <cellStyle name="Normal 12 3" xfId="5758" xr:uid="{00000000-0005-0000-0000-00007E160000}"/>
    <cellStyle name="Normal 12 3 2" xfId="5759" xr:uid="{00000000-0005-0000-0000-00007F160000}"/>
    <cellStyle name="Normal 12 3 3" xfId="5760" xr:uid="{00000000-0005-0000-0000-000080160000}"/>
    <cellStyle name="Normal 12 4" xfId="5761" xr:uid="{00000000-0005-0000-0000-000081160000}"/>
    <cellStyle name="Normal 12 5" xfId="5762" xr:uid="{00000000-0005-0000-0000-000082160000}"/>
    <cellStyle name="Normal 12 6" xfId="5763" xr:uid="{00000000-0005-0000-0000-000083160000}"/>
    <cellStyle name="Normal 12 7" xfId="5764" xr:uid="{00000000-0005-0000-0000-000084160000}"/>
    <cellStyle name="Normal 12 8" xfId="5765" xr:uid="{00000000-0005-0000-0000-000085160000}"/>
    <cellStyle name="Normal 12 9" xfId="5766" xr:uid="{00000000-0005-0000-0000-000086160000}"/>
    <cellStyle name="Normal 120" xfId="5767" xr:uid="{00000000-0005-0000-0000-000087160000}"/>
    <cellStyle name="Normal 120 2" xfId="5768" xr:uid="{00000000-0005-0000-0000-000088160000}"/>
    <cellStyle name="Normal 121" xfId="5769" xr:uid="{00000000-0005-0000-0000-000089160000}"/>
    <cellStyle name="Normal 121 2" xfId="5770" xr:uid="{00000000-0005-0000-0000-00008A160000}"/>
    <cellStyle name="Normal 122" xfId="5771" xr:uid="{00000000-0005-0000-0000-00008B160000}"/>
    <cellStyle name="Normal 122 2" xfId="5772" xr:uid="{00000000-0005-0000-0000-00008C160000}"/>
    <cellStyle name="Normal 123" xfId="5773" xr:uid="{00000000-0005-0000-0000-00008D160000}"/>
    <cellStyle name="Normal 123 2" xfId="5774" xr:uid="{00000000-0005-0000-0000-00008E160000}"/>
    <cellStyle name="Normal 124" xfId="5775" xr:uid="{00000000-0005-0000-0000-00008F160000}"/>
    <cellStyle name="Normal 124 2" xfId="5776" xr:uid="{00000000-0005-0000-0000-000090160000}"/>
    <cellStyle name="Normal 125" xfId="5777" xr:uid="{00000000-0005-0000-0000-000091160000}"/>
    <cellStyle name="Normal 125 2" xfId="5778" xr:uid="{00000000-0005-0000-0000-000092160000}"/>
    <cellStyle name="Normal 126" xfId="5779" xr:uid="{00000000-0005-0000-0000-000093160000}"/>
    <cellStyle name="Normal 126 2" xfId="5780" xr:uid="{00000000-0005-0000-0000-000094160000}"/>
    <cellStyle name="Normal 127" xfId="5781" xr:uid="{00000000-0005-0000-0000-000095160000}"/>
    <cellStyle name="Normal 127 2" xfId="5782" xr:uid="{00000000-0005-0000-0000-000096160000}"/>
    <cellStyle name="Normal 128" xfId="5783" xr:uid="{00000000-0005-0000-0000-000097160000}"/>
    <cellStyle name="Normal 128 2" xfId="5784" xr:uid="{00000000-0005-0000-0000-000098160000}"/>
    <cellStyle name="Normal 129" xfId="5785" xr:uid="{00000000-0005-0000-0000-000099160000}"/>
    <cellStyle name="Normal 129 2" xfId="5786" xr:uid="{00000000-0005-0000-0000-00009A160000}"/>
    <cellStyle name="Normal 13" xfId="78" xr:uid="{00000000-0005-0000-0000-00004E000000}"/>
    <cellStyle name="Normal 13 10" xfId="5788" xr:uid="{00000000-0005-0000-0000-00009C160000}"/>
    <cellStyle name="Normal 13 11" xfId="5789" xr:uid="{00000000-0005-0000-0000-00009D160000}"/>
    <cellStyle name="Normal 13 12" xfId="5790" xr:uid="{00000000-0005-0000-0000-00009E160000}"/>
    <cellStyle name="Normal 13 13" xfId="5791" xr:uid="{00000000-0005-0000-0000-00009F160000}"/>
    <cellStyle name="Normal 13 14" xfId="5792" xr:uid="{00000000-0005-0000-0000-0000A0160000}"/>
    <cellStyle name="Normal 13 15" xfId="5793" xr:uid="{00000000-0005-0000-0000-0000A1160000}"/>
    <cellStyle name="Normal 13 16" xfId="5794" xr:uid="{00000000-0005-0000-0000-0000A2160000}"/>
    <cellStyle name="Normal 13 17" xfId="5795" xr:uid="{00000000-0005-0000-0000-0000A3160000}"/>
    <cellStyle name="Normal 13 18" xfId="5796" xr:uid="{00000000-0005-0000-0000-0000A4160000}"/>
    <cellStyle name="Normal 13 19" xfId="5797" xr:uid="{00000000-0005-0000-0000-0000A5160000}"/>
    <cellStyle name="Normal 13 2" xfId="5798" xr:uid="{00000000-0005-0000-0000-0000A6160000}"/>
    <cellStyle name="Normal 13 2 2" xfId="5799" xr:uid="{00000000-0005-0000-0000-0000A7160000}"/>
    <cellStyle name="Normal 13 2 3" xfId="5800" xr:uid="{00000000-0005-0000-0000-0000A8160000}"/>
    <cellStyle name="Normal 13 20" xfId="5801" xr:uid="{00000000-0005-0000-0000-0000A9160000}"/>
    <cellStyle name="Normal 13 21" xfId="5802" xr:uid="{00000000-0005-0000-0000-0000AA160000}"/>
    <cellStyle name="Normal 13 22" xfId="5803" xr:uid="{00000000-0005-0000-0000-0000AB160000}"/>
    <cellStyle name="Normal 13 23" xfId="5804" xr:uid="{00000000-0005-0000-0000-0000AC160000}"/>
    <cellStyle name="Normal 13 24" xfId="5805" xr:uid="{00000000-0005-0000-0000-0000AD160000}"/>
    <cellStyle name="Normal 13 25" xfId="5806" xr:uid="{00000000-0005-0000-0000-0000AE160000}"/>
    <cellStyle name="Normal 13 26" xfId="5807" xr:uid="{00000000-0005-0000-0000-0000AF160000}"/>
    <cellStyle name="Normal 13 27" xfId="5787" xr:uid="{00000000-0005-0000-0000-00009B160000}"/>
    <cellStyle name="Normal 13 3" xfId="5808" xr:uid="{00000000-0005-0000-0000-0000B0160000}"/>
    <cellStyle name="Normal 13 3 2" xfId="5809" xr:uid="{00000000-0005-0000-0000-0000B1160000}"/>
    <cellStyle name="Normal 13 3 3" xfId="5810" xr:uid="{00000000-0005-0000-0000-0000B2160000}"/>
    <cellStyle name="Normal 13 4" xfId="5811" xr:uid="{00000000-0005-0000-0000-0000B3160000}"/>
    <cellStyle name="Normal 13 5" xfId="5812" xr:uid="{00000000-0005-0000-0000-0000B4160000}"/>
    <cellStyle name="Normal 13 6" xfId="5813" xr:uid="{00000000-0005-0000-0000-0000B5160000}"/>
    <cellStyle name="Normal 13 7" xfId="5814" xr:uid="{00000000-0005-0000-0000-0000B6160000}"/>
    <cellStyle name="Normal 13 8" xfId="5815" xr:uid="{00000000-0005-0000-0000-0000B7160000}"/>
    <cellStyle name="Normal 13 9" xfId="5816" xr:uid="{00000000-0005-0000-0000-0000B8160000}"/>
    <cellStyle name="Normal 130" xfId="5817" xr:uid="{00000000-0005-0000-0000-0000B9160000}"/>
    <cellStyle name="Normal 130 2" xfId="5818" xr:uid="{00000000-0005-0000-0000-0000BA160000}"/>
    <cellStyle name="Normal 131" xfId="5819" xr:uid="{00000000-0005-0000-0000-0000BB160000}"/>
    <cellStyle name="Normal 131 2" xfId="5820" xr:uid="{00000000-0005-0000-0000-0000BC160000}"/>
    <cellStyle name="Normal 132" xfId="5821" xr:uid="{00000000-0005-0000-0000-0000BD160000}"/>
    <cellStyle name="Normal 132 2" xfId="5822" xr:uid="{00000000-0005-0000-0000-0000BE160000}"/>
    <cellStyle name="Normal 133" xfId="5823" xr:uid="{00000000-0005-0000-0000-0000BF160000}"/>
    <cellStyle name="Normal 133 2" xfId="5824" xr:uid="{00000000-0005-0000-0000-0000C0160000}"/>
    <cellStyle name="Normal 134" xfId="5825" xr:uid="{00000000-0005-0000-0000-0000C1160000}"/>
    <cellStyle name="Normal 134 2" xfId="5826" xr:uid="{00000000-0005-0000-0000-0000C2160000}"/>
    <cellStyle name="Normal 135" xfId="5827" xr:uid="{00000000-0005-0000-0000-0000C3160000}"/>
    <cellStyle name="Normal 135 2" xfId="5828" xr:uid="{00000000-0005-0000-0000-0000C4160000}"/>
    <cellStyle name="Normal 136" xfId="5829" xr:uid="{00000000-0005-0000-0000-0000C5160000}"/>
    <cellStyle name="Normal 136 2" xfId="5830" xr:uid="{00000000-0005-0000-0000-0000C6160000}"/>
    <cellStyle name="Normal 137" xfId="5831" xr:uid="{00000000-0005-0000-0000-0000C7160000}"/>
    <cellStyle name="Normal 137 2" xfId="5832" xr:uid="{00000000-0005-0000-0000-0000C8160000}"/>
    <cellStyle name="Normal 138" xfId="5833" xr:uid="{00000000-0005-0000-0000-0000C9160000}"/>
    <cellStyle name="Normal 138 2" xfId="5834" xr:uid="{00000000-0005-0000-0000-0000CA160000}"/>
    <cellStyle name="Normal 139" xfId="5835" xr:uid="{00000000-0005-0000-0000-0000CB160000}"/>
    <cellStyle name="Normal 139 2" xfId="5836" xr:uid="{00000000-0005-0000-0000-0000CC160000}"/>
    <cellStyle name="Normal 14" xfId="5837" xr:uid="{00000000-0005-0000-0000-0000CD160000}"/>
    <cellStyle name="Normal 14 2" xfId="5838" xr:uid="{00000000-0005-0000-0000-0000CE160000}"/>
    <cellStyle name="Normal 14 3" xfId="5839" xr:uid="{00000000-0005-0000-0000-0000CF160000}"/>
    <cellStyle name="Normal 14 3 2" xfId="5840" xr:uid="{00000000-0005-0000-0000-0000D0160000}"/>
    <cellStyle name="Normal 14 4" xfId="5841" xr:uid="{00000000-0005-0000-0000-0000D1160000}"/>
    <cellStyle name="Normal 14 5" xfId="5842" xr:uid="{00000000-0005-0000-0000-0000D2160000}"/>
    <cellStyle name="Normal 140" xfId="5843" xr:uid="{00000000-0005-0000-0000-0000D3160000}"/>
    <cellStyle name="Normal 140 2" xfId="5844" xr:uid="{00000000-0005-0000-0000-0000D4160000}"/>
    <cellStyle name="Normal 141" xfId="5845" xr:uid="{00000000-0005-0000-0000-0000D5160000}"/>
    <cellStyle name="Normal 141 2" xfId="5846" xr:uid="{00000000-0005-0000-0000-0000D6160000}"/>
    <cellStyle name="Normal 142" xfId="5847" xr:uid="{00000000-0005-0000-0000-0000D7160000}"/>
    <cellStyle name="Normal 142 2" xfId="5848" xr:uid="{00000000-0005-0000-0000-0000D8160000}"/>
    <cellStyle name="Normal 143" xfId="5849" xr:uid="{00000000-0005-0000-0000-0000D9160000}"/>
    <cellStyle name="Normal 143 2" xfId="5850" xr:uid="{00000000-0005-0000-0000-0000DA160000}"/>
    <cellStyle name="Normal 144" xfId="5851" xr:uid="{00000000-0005-0000-0000-0000DB160000}"/>
    <cellStyle name="Normal 144 2" xfId="5852" xr:uid="{00000000-0005-0000-0000-0000DC160000}"/>
    <cellStyle name="Normal 145" xfId="5853" xr:uid="{00000000-0005-0000-0000-0000DD160000}"/>
    <cellStyle name="Normal 145 2" xfId="5854" xr:uid="{00000000-0005-0000-0000-0000DE160000}"/>
    <cellStyle name="Normal 146" xfId="5855" xr:uid="{00000000-0005-0000-0000-0000DF160000}"/>
    <cellStyle name="Normal 146 2" xfId="5856" xr:uid="{00000000-0005-0000-0000-0000E0160000}"/>
    <cellStyle name="Normal 147" xfId="5857" xr:uid="{00000000-0005-0000-0000-0000E1160000}"/>
    <cellStyle name="Normal 147 2" xfId="5858" xr:uid="{00000000-0005-0000-0000-0000E2160000}"/>
    <cellStyle name="Normal 148" xfId="5859" xr:uid="{00000000-0005-0000-0000-0000E3160000}"/>
    <cellStyle name="Normal 148 2" xfId="5860" xr:uid="{00000000-0005-0000-0000-0000E4160000}"/>
    <cellStyle name="Normal 149" xfId="5861" xr:uid="{00000000-0005-0000-0000-0000E5160000}"/>
    <cellStyle name="Normal 149 2" xfId="5862" xr:uid="{00000000-0005-0000-0000-0000E6160000}"/>
    <cellStyle name="Normal 15" xfId="17" xr:uid="{00000000-0005-0000-0000-000011000000}"/>
    <cellStyle name="Normal 15 10" xfId="5863" xr:uid="{00000000-0005-0000-0000-0000E7160000}"/>
    <cellStyle name="Normal 15 11" xfId="5864" xr:uid="{00000000-0005-0000-0000-0000E8160000}"/>
    <cellStyle name="Normal 15 12" xfId="5865" xr:uid="{00000000-0005-0000-0000-0000E9160000}"/>
    <cellStyle name="Normal 15 13" xfId="5866" xr:uid="{00000000-0005-0000-0000-0000EA160000}"/>
    <cellStyle name="Normal 15 14" xfId="5867" xr:uid="{00000000-0005-0000-0000-0000EB160000}"/>
    <cellStyle name="Normal 15 15" xfId="5868" xr:uid="{00000000-0005-0000-0000-0000EC160000}"/>
    <cellStyle name="Normal 15 16" xfId="5869" xr:uid="{00000000-0005-0000-0000-0000ED160000}"/>
    <cellStyle name="Normal 15 17" xfId="5870" xr:uid="{00000000-0005-0000-0000-0000EE160000}"/>
    <cellStyle name="Normal 15 18" xfId="5871" xr:uid="{00000000-0005-0000-0000-0000EF160000}"/>
    <cellStyle name="Normal 15 19" xfId="5872" xr:uid="{00000000-0005-0000-0000-0000F0160000}"/>
    <cellStyle name="Normal 15 2" xfId="5873" xr:uid="{00000000-0005-0000-0000-0000F1160000}"/>
    <cellStyle name="Normal 15 2 2" xfId="5874" xr:uid="{00000000-0005-0000-0000-0000F2160000}"/>
    <cellStyle name="Normal 15 2 3" xfId="5875" xr:uid="{00000000-0005-0000-0000-0000F3160000}"/>
    <cellStyle name="Normal 15 20" xfId="5876" xr:uid="{00000000-0005-0000-0000-0000F4160000}"/>
    <cellStyle name="Normal 15 21" xfId="5877" xr:uid="{00000000-0005-0000-0000-0000F5160000}"/>
    <cellStyle name="Normal 15 22" xfId="5878" xr:uid="{00000000-0005-0000-0000-0000F6160000}"/>
    <cellStyle name="Normal 15 23" xfId="5879" xr:uid="{00000000-0005-0000-0000-0000F7160000}"/>
    <cellStyle name="Normal 15 24" xfId="5880" xr:uid="{00000000-0005-0000-0000-0000F8160000}"/>
    <cellStyle name="Normal 15 25" xfId="5881" xr:uid="{00000000-0005-0000-0000-0000F9160000}"/>
    <cellStyle name="Normal 15 3" xfId="5882" xr:uid="{00000000-0005-0000-0000-0000FA160000}"/>
    <cellStyle name="Normal 15 3 2" xfId="5883" xr:uid="{00000000-0005-0000-0000-0000FB160000}"/>
    <cellStyle name="Normal 15 3 3" xfId="5884" xr:uid="{00000000-0005-0000-0000-0000FC160000}"/>
    <cellStyle name="Normal 15 4" xfId="5885" xr:uid="{00000000-0005-0000-0000-0000FD160000}"/>
    <cellStyle name="Normal 15 5" xfId="5886" xr:uid="{00000000-0005-0000-0000-0000FE160000}"/>
    <cellStyle name="Normal 15 6" xfId="5887" xr:uid="{00000000-0005-0000-0000-0000FF160000}"/>
    <cellStyle name="Normal 15 7" xfId="5888" xr:uid="{00000000-0005-0000-0000-000000170000}"/>
    <cellStyle name="Normal 15 8" xfId="5889" xr:uid="{00000000-0005-0000-0000-000001170000}"/>
    <cellStyle name="Normal 15 9" xfId="5890" xr:uid="{00000000-0005-0000-0000-000002170000}"/>
    <cellStyle name="Normal 150" xfId="5891" xr:uid="{00000000-0005-0000-0000-000003170000}"/>
    <cellStyle name="Normal 150 2" xfId="5892" xr:uid="{00000000-0005-0000-0000-000004170000}"/>
    <cellStyle name="Normal 151" xfId="5893" xr:uid="{00000000-0005-0000-0000-000005170000}"/>
    <cellStyle name="Normal 151 2" xfId="5894" xr:uid="{00000000-0005-0000-0000-000006170000}"/>
    <cellStyle name="Normal 152" xfId="5895" xr:uid="{00000000-0005-0000-0000-000007170000}"/>
    <cellStyle name="Normal 152 2" xfId="5896" xr:uid="{00000000-0005-0000-0000-000008170000}"/>
    <cellStyle name="Normal 153" xfId="5897" xr:uid="{00000000-0005-0000-0000-000009170000}"/>
    <cellStyle name="Normal 153 2" xfId="5898" xr:uid="{00000000-0005-0000-0000-00000A170000}"/>
    <cellStyle name="Normal 154" xfId="5899" xr:uid="{00000000-0005-0000-0000-00000B170000}"/>
    <cellStyle name="Normal 154 2" xfId="5900" xr:uid="{00000000-0005-0000-0000-00000C170000}"/>
    <cellStyle name="Normal 155" xfId="5901" xr:uid="{00000000-0005-0000-0000-00000D170000}"/>
    <cellStyle name="Normal 155 2" xfId="5902" xr:uid="{00000000-0005-0000-0000-00000E170000}"/>
    <cellStyle name="Normal 156" xfId="5903" xr:uid="{00000000-0005-0000-0000-00000F170000}"/>
    <cellStyle name="Normal 156 2" xfId="5904" xr:uid="{00000000-0005-0000-0000-000010170000}"/>
    <cellStyle name="Normal 157" xfId="5905" xr:uid="{00000000-0005-0000-0000-000011170000}"/>
    <cellStyle name="Normal 157 2" xfId="5906" xr:uid="{00000000-0005-0000-0000-000012170000}"/>
    <cellStyle name="Normal 158" xfId="5907" xr:uid="{00000000-0005-0000-0000-000013170000}"/>
    <cellStyle name="Normal 158 2" xfId="5908" xr:uid="{00000000-0005-0000-0000-000014170000}"/>
    <cellStyle name="Normal 159" xfId="5909" xr:uid="{00000000-0005-0000-0000-000015170000}"/>
    <cellStyle name="Normal 159 2" xfId="5910" xr:uid="{00000000-0005-0000-0000-000016170000}"/>
    <cellStyle name="Normal 16" xfId="5911" xr:uid="{00000000-0005-0000-0000-000017170000}"/>
    <cellStyle name="Normal 16 10" xfId="5912" xr:uid="{00000000-0005-0000-0000-000018170000}"/>
    <cellStyle name="Normal 16 11" xfId="5913" xr:uid="{00000000-0005-0000-0000-000019170000}"/>
    <cellStyle name="Normal 16 12" xfId="5914" xr:uid="{00000000-0005-0000-0000-00001A170000}"/>
    <cellStyle name="Normal 16 13" xfId="5915" xr:uid="{00000000-0005-0000-0000-00001B170000}"/>
    <cellStyle name="Normal 16 14" xfId="5916" xr:uid="{00000000-0005-0000-0000-00001C170000}"/>
    <cellStyle name="Normal 16 15" xfId="5917" xr:uid="{00000000-0005-0000-0000-00001D170000}"/>
    <cellStyle name="Normal 16 16" xfId="5918" xr:uid="{00000000-0005-0000-0000-00001E170000}"/>
    <cellStyle name="Normal 16 17" xfId="5919" xr:uid="{00000000-0005-0000-0000-00001F170000}"/>
    <cellStyle name="Normal 16 18" xfId="5920" xr:uid="{00000000-0005-0000-0000-000020170000}"/>
    <cellStyle name="Normal 16 19" xfId="5921" xr:uid="{00000000-0005-0000-0000-000021170000}"/>
    <cellStyle name="Normal 16 2" xfId="5922" xr:uid="{00000000-0005-0000-0000-000022170000}"/>
    <cellStyle name="Normal 16 2 2" xfId="5923" xr:uid="{00000000-0005-0000-0000-000023170000}"/>
    <cellStyle name="Normal 16 2 3" xfId="5924" xr:uid="{00000000-0005-0000-0000-000024170000}"/>
    <cellStyle name="Normal 16 20" xfId="5925" xr:uid="{00000000-0005-0000-0000-000025170000}"/>
    <cellStyle name="Normal 16 21" xfId="5926" xr:uid="{00000000-0005-0000-0000-000026170000}"/>
    <cellStyle name="Normal 16 22" xfId="5927" xr:uid="{00000000-0005-0000-0000-000027170000}"/>
    <cellStyle name="Normal 16 23" xfId="5928" xr:uid="{00000000-0005-0000-0000-000028170000}"/>
    <cellStyle name="Normal 16 24" xfId="5929" xr:uid="{00000000-0005-0000-0000-000029170000}"/>
    <cellStyle name="Normal 16 25" xfId="5930" xr:uid="{00000000-0005-0000-0000-00002A170000}"/>
    <cellStyle name="Normal 16 26" xfId="5931" xr:uid="{00000000-0005-0000-0000-00002B170000}"/>
    <cellStyle name="Normal 16 3" xfId="5932" xr:uid="{00000000-0005-0000-0000-00002C170000}"/>
    <cellStyle name="Normal 16 3 2" xfId="5933" xr:uid="{00000000-0005-0000-0000-00002D170000}"/>
    <cellStyle name="Normal 16 3 3" xfId="5934" xr:uid="{00000000-0005-0000-0000-00002E170000}"/>
    <cellStyle name="Normal 16 4" xfId="5935" xr:uid="{00000000-0005-0000-0000-00002F170000}"/>
    <cellStyle name="Normal 16 5" xfId="5936" xr:uid="{00000000-0005-0000-0000-000030170000}"/>
    <cellStyle name="Normal 16 6" xfId="5937" xr:uid="{00000000-0005-0000-0000-000031170000}"/>
    <cellStyle name="Normal 16 7" xfId="5938" xr:uid="{00000000-0005-0000-0000-000032170000}"/>
    <cellStyle name="Normal 16 8" xfId="5939" xr:uid="{00000000-0005-0000-0000-000033170000}"/>
    <cellStyle name="Normal 16 9" xfId="5940" xr:uid="{00000000-0005-0000-0000-000034170000}"/>
    <cellStyle name="Normal 160" xfId="5941" xr:uid="{00000000-0005-0000-0000-000035170000}"/>
    <cellStyle name="Normal 160 2" xfId="5942" xr:uid="{00000000-0005-0000-0000-000036170000}"/>
    <cellStyle name="Normal 161" xfId="5943" xr:uid="{00000000-0005-0000-0000-000037170000}"/>
    <cellStyle name="Normal 161 2" xfId="5944" xr:uid="{00000000-0005-0000-0000-000038170000}"/>
    <cellStyle name="Normal 162" xfId="5945" xr:uid="{00000000-0005-0000-0000-000039170000}"/>
    <cellStyle name="Normal 162 2" xfId="5946" xr:uid="{00000000-0005-0000-0000-00003A170000}"/>
    <cellStyle name="Normal 163" xfId="5947" xr:uid="{00000000-0005-0000-0000-00003B170000}"/>
    <cellStyle name="Normal 163 2" xfId="5948" xr:uid="{00000000-0005-0000-0000-00003C170000}"/>
    <cellStyle name="Normal 164" xfId="5949" xr:uid="{00000000-0005-0000-0000-00003D170000}"/>
    <cellStyle name="Normal 164 2" xfId="5950" xr:uid="{00000000-0005-0000-0000-00003E170000}"/>
    <cellStyle name="Normal 165" xfId="5951" xr:uid="{00000000-0005-0000-0000-00003F170000}"/>
    <cellStyle name="Normal 165 2" xfId="5952" xr:uid="{00000000-0005-0000-0000-000040170000}"/>
    <cellStyle name="Normal 166" xfId="5953" xr:uid="{00000000-0005-0000-0000-000041170000}"/>
    <cellStyle name="Normal 166 2" xfId="5954" xr:uid="{00000000-0005-0000-0000-000042170000}"/>
    <cellStyle name="Normal 167" xfId="5955" xr:uid="{00000000-0005-0000-0000-000043170000}"/>
    <cellStyle name="Normal 167 2" xfId="5956" xr:uid="{00000000-0005-0000-0000-000044170000}"/>
    <cellStyle name="Normal 168" xfId="5957" xr:uid="{00000000-0005-0000-0000-000045170000}"/>
    <cellStyle name="Normal 168 2" xfId="5958" xr:uid="{00000000-0005-0000-0000-000046170000}"/>
    <cellStyle name="Normal 169" xfId="5959" xr:uid="{00000000-0005-0000-0000-000047170000}"/>
    <cellStyle name="Normal 169 2" xfId="5960" xr:uid="{00000000-0005-0000-0000-000048170000}"/>
    <cellStyle name="Normal 17" xfId="18" xr:uid="{00000000-0005-0000-0000-000012000000}"/>
    <cellStyle name="Normal 17 10" xfId="5962" xr:uid="{00000000-0005-0000-0000-00004A170000}"/>
    <cellStyle name="Normal 17 11" xfId="5963" xr:uid="{00000000-0005-0000-0000-00004B170000}"/>
    <cellStyle name="Normal 17 12" xfId="5964" xr:uid="{00000000-0005-0000-0000-00004C170000}"/>
    <cellStyle name="Normal 17 13" xfId="5965" xr:uid="{00000000-0005-0000-0000-00004D170000}"/>
    <cellStyle name="Normal 17 14" xfId="5966" xr:uid="{00000000-0005-0000-0000-00004E170000}"/>
    <cellStyle name="Normal 17 15" xfId="5967" xr:uid="{00000000-0005-0000-0000-00004F170000}"/>
    <cellStyle name="Normal 17 16" xfId="5968" xr:uid="{00000000-0005-0000-0000-000050170000}"/>
    <cellStyle name="Normal 17 17" xfId="5969" xr:uid="{00000000-0005-0000-0000-000051170000}"/>
    <cellStyle name="Normal 17 18" xfId="5970" xr:uid="{00000000-0005-0000-0000-000052170000}"/>
    <cellStyle name="Normal 17 19" xfId="5971" xr:uid="{00000000-0005-0000-0000-000053170000}"/>
    <cellStyle name="Normal 17 2" xfId="5972" xr:uid="{00000000-0005-0000-0000-000054170000}"/>
    <cellStyle name="Normal 17 2 2" xfId="5973" xr:uid="{00000000-0005-0000-0000-000055170000}"/>
    <cellStyle name="Normal 17 2 3" xfId="5974" xr:uid="{00000000-0005-0000-0000-000056170000}"/>
    <cellStyle name="Normal 17 20" xfId="5975" xr:uid="{00000000-0005-0000-0000-000057170000}"/>
    <cellStyle name="Normal 17 21" xfId="5976" xr:uid="{00000000-0005-0000-0000-000058170000}"/>
    <cellStyle name="Normal 17 22" xfId="5977" xr:uid="{00000000-0005-0000-0000-000059170000}"/>
    <cellStyle name="Normal 17 23" xfId="5978" xr:uid="{00000000-0005-0000-0000-00005A170000}"/>
    <cellStyle name="Normal 17 24" xfId="5979" xr:uid="{00000000-0005-0000-0000-00005B170000}"/>
    <cellStyle name="Normal 17 25" xfId="5980" xr:uid="{00000000-0005-0000-0000-00005C170000}"/>
    <cellStyle name="Normal 17 26" xfId="5981" xr:uid="{00000000-0005-0000-0000-00005D170000}"/>
    <cellStyle name="Normal 17 27" xfId="5982" xr:uid="{00000000-0005-0000-0000-00005E170000}"/>
    <cellStyle name="Normal 17 28" xfId="5983" xr:uid="{00000000-0005-0000-0000-00005F170000}"/>
    <cellStyle name="Normal 17 29" xfId="5984" xr:uid="{00000000-0005-0000-0000-000060170000}"/>
    <cellStyle name="Normal 17 3" xfId="5985" xr:uid="{00000000-0005-0000-0000-000061170000}"/>
    <cellStyle name="Normal 17 3 2" xfId="5986" xr:uid="{00000000-0005-0000-0000-000062170000}"/>
    <cellStyle name="Normal 17 3 3" xfId="5987" xr:uid="{00000000-0005-0000-0000-000063170000}"/>
    <cellStyle name="Normal 17 3 4" xfId="5988" xr:uid="{00000000-0005-0000-0000-000064170000}"/>
    <cellStyle name="Normal 17 3 5" xfId="5989" xr:uid="{00000000-0005-0000-0000-000065170000}"/>
    <cellStyle name="Normal 17 30" xfId="5961" xr:uid="{00000000-0005-0000-0000-000049170000}"/>
    <cellStyle name="Normal 17 4" xfId="5990" xr:uid="{00000000-0005-0000-0000-000066170000}"/>
    <cellStyle name="Normal 17 5" xfId="5991" xr:uid="{00000000-0005-0000-0000-000067170000}"/>
    <cellStyle name="Normal 17 6" xfId="5992" xr:uid="{00000000-0005-0000-0000-000068170000}"/>
    <cellStyle name="Normal 17 7" xfId="5993" xr:uid="{00000000-0005-0000-0000-000069170000}"/>
    <cellStyle name="Normal 17 8" xfId="5994" xr:uid="{00000000-0005-0000-0000-00006A170000}"/>
    <cellStyle name="Normal 17 9" xfId="5995" xr:uid="{00000000-0005-0000-0000-00006B170000}"/>
    <cellStyle name="Normal 170" xfId="5996" xr:uid="{00000000-0005-0000-0000-00006C170000}"/>
    <cellStyle name="Normal 171" xfId="5997" xr:uid="{00000000-0005-0000-0000-00006D170000}"/>
    <cellStyle name="Normal 172" xfId="68" xr:uid="{00000000-0005-0000-0000-000044000000}"/>
    <cellStyle name="Normal 172 2" xfId="39187" xr:uid="{00000000-0005-0000-0000-000013990000}"/>
    <cellStyle name="Normal 173" xfId="80" xr:uid="{00000000-0005-0000-0000-000050000000}"/>
    <cellStyle name="Normal 174" xfId="5998" xr:uid="{00000000-0005-0000-0000-00006E170000}"/>
    <cellStyle name="Normal 175" xfId="5999" xr:uid="{00000000-0005-0000-0000-00006F170000}"/>
    <cellStyle name="Normal 176" xfId="6000" xr:uid="{00000000-0005-0000-0000-000070170000}"/>
    <cellStyle name="Normal 177" xfId="39208" xr:uid="{00000000-0005-0000-0000-000028990000}"/>
    <cellStyle name="Normal 178" xfId="39209" xr:uid="{00000000-0005-0000-0000-000029990000}"/>
    <cellStyle name="Normal 179" xfId="39210" xr:uid="{00000000-0005-0000-0000-00002A990000}"/>
    <cellStyle name="Normal 18" xfId="6001" xr:uid="{00000000-0005-0000-0000-000071170000}"/>
    <cellStyle name="Normal 18 10" xfId="6002" xr:uid="{00000000-0005-0000-0000-000072170000}"/>
    <cellStyle name="Normal 18 11" xfId="6003" xr:uid="{00000000-0005-0000-0000-000073170000}"/>
    <cellStyle name="Normal 18 12" xfId="6004" xr:uid="{00000000-0005-0000-0000-000074170000}"/>
    <cellStyle name="Normal 18 13" xfId="6005" xr:uid="{00000000-0005-0000-0000-000075170000}"/>
    <cellStyle name="Normal 18 14" xfId="6006" xr:uid="{00000000-0005-0000-0000-000076170000}"/>
    <cellStyle name="Normal 18 15" xfId="6007" xr:uid="{00000000-0005-0000-0000-000077170000}"/>
    <cellStyle name="Normal 18 16" xfId="6008" xr:uid="{00000000-0005-0000-0000-000078170000}"/>
    <cellStyle name="Normal 18 17" xfId="6009" xr:uid="{00000000-0005-0000-0000-000079170000}"/>
    <cellStyle name="Normal 18 18" xfId="6010" xr:uid="{00000000-0005-0000-0000-00007A170000}"/>
    <cellStyle name="Normal 18 19" xfId="6011" xr:uid="{00000000-0005-0000-0000-00007B170000}"/>
    <cellStyle name="Normal 18 2" xfId="6012" xr:uid="{00000000-0005-0000-0000-00007C170000}"/>
    <cellStyle name="Normal 18 2 2" xfId="6013" xr:uid="{00000000-0005-0000-0000-00007D170000}"/>
    <cellStyle name="Normal 18 2 3" xfId="6014" xr:uid="{00000000-0005-0000-0000-00007E170000}"/>
    <cellStyle name="Normal 18 20" xfId="6015" xr:uid="{00000000-0005-0000-0000-00007F170000}"/>
    <cellStyle name="Normal 18 21" xfId="6016" xr:uid="{00000000-0005-0000-0000-000080170000}"/>
    <cellStyle name="Normal 18 22" xfId="6017" xr:uid="{00000000-0005-0000-0000-000081170000}"/>
    <cellStyle name="Normal 18 23" xfId="6018" xr:uid="{00000000-0005-0000-0000-000082170000}"/>
    <cellStyle name="Normal 18 24" xfId="6019" xr:uid="{00000000-0005-0000-0000-000083170000}"/>
    <cellStyle name="Normal 18 25" xfId="6020" xr:uid="{00000000-0005-0000-0000-000084170000}"/>
    <cellStyle name="Normal 18 3" xfId="6021" xr:uid="{00000000-0005-0000-0000-000085170000}"/>
    <cellStyle name="Normal 18 3 2" xfId="6022" xr:uid="{00000000-0005-0000-0000-000086170000}"/>
    <cellStyle name="Normal 18 3 3" xfId="6023" xr:uid="{00000000-0005-0000-0000-000087170000}"/>
    <cellStyle name="Normal 18 3 4" xfId="6024" xr:uid="{00000000-0005-0000-0000-000088170000}"/>
    <cellStyle name="Normal 18 3 5" xfId="6025" xr:uid="{00000000-0005-0000-0000-000089170000}"/>
    <cellStyle name="Normal 18 4" xfId="6026" xr:uid="{00000000-0005-0000-0000-00008A170000}"/>
    <cellStyle name="Normal 18 5" xfId="6027" xr:uid="{00000000-0005-0000-0000-00008B170000}"/>
    <cellStyle name="Normal 18 6" xfId="6028" xr:uid="{00000000-0005-0000-0000-00008C170000}"/>
    <cellStyle name="Normal 18 7" xfId="6029" xr:uid="{00000000-0005-0000-0000-00008D170000}"/>
    <cellStyle name="Normal 18 8" xfId="6030" xr:uid="{00000000-0005-0000-0000-00008E170000}"/>
    <cellStyle name="Normal 18 9" xfId="6031" xr:uid="{00000000-0005-0000-0000-00008F170000}"/>
    <cellStyle name="Normal 180" xfId="39211" xr:uid="{00000000-0005-0000-0000-00002B990000}"/>
    <cellStyle name="Normal 181" xfId="39212" xr:uid="{00000000-0005-0000-0000-00002C990000}"/>
    <cellStyle name="Normal 182" xfId="39213" xr:uid="{00000000-0005-0000-0000-00002D990000}"/>
    <cellStyle name="Normal 183" xfId="39214" xr:uid="{00000000-0005-0000-0000-00002E990000}"/>
    <cellStyle name="Normal 184" xfId="39215" xr:uid="{00000000-0005-0000-0000-00002F990000}"/>
    <cellStyle name="Normal 185" xfId="39216" xr:uid="{00000000-0005-0000-0000-000030990000}"/>
    <cellStyle name="Normal 186" xfId="39217" xr:uid="{00000000-0005-0000-0000-000031990000}"/>
    <cellStyle name="Normal 187" xfId="39218" xr:uid="{00000000-0005-0000-0000-000032990000}"/>
    <cellStyle name="Normal 188" xfId="39219" xr:uid="{00000000-0005-0000-0000-000033990000}"/>
    <cellStyle name="Normal 189" xfId="39220" xr:uid="{00000000-0005-0000-0000-000034990000}"/>
    <cellStyle name="Normal 19" xfId="6032" xr:uid="{00000000-0005-0000-0000-000090170000}"/>
    <cellStyle name="Normal 19 10" xfId="6033" xr:uid="{00000000-0005-0000-0000-000091170000}"/>
    <cellStyle name="Normal 19 11" xfId="6034" xr:uid="{00000000-0005-0000-0000-000092170000}"/>
    <cellStyle name="Normal 19 12" xfId="6035" xr:uid="{00000000-0005-0000-0000-000093170000}"/>
    <cellStyle name="Normal 19 13" xfId="6036" xr:uid="{00000000-0005-0000-0000-000094170000}"/>
    <cellStyle name="Normal 19 14" xfId="6037" xr:uid="{00000000-0005-0000-0000-000095170000}"/>
    <cellStyle name="Normal 19 15" xfId="6038" xr:uid="{00000000-0005-0000-0000-000096170000}"/>
    <cellStyle name="Normal 19 16" xfId="6039" xr:uid="{00000000-0005-0000-0000-000097170000}"/>
    <cellStyle name="Normal 19 17" xfId="6040" xr:uid="{00000000-0005-0000-0000-000098170000}"/>
    <cellStyle name="Normal 19 18" xfId="6041" xr:uid="{00000000-0005-0000-0000-000099170000}"/>
    <cellStyle name="Normal 19 19" xfId="6042" xr:uid="{00000000-0005-0000-0000-00009A170000}"/>
    <cellStyle name="Normal 19 2" xfId="6043" xr:uid="{00000000-0005-0000-0000-00009B170000}"/>
    <cellStyle name="Normal 19 2 2" xfId="6044" xr:uid="{00000000-0005-0000-0000-00009C170000}"/>
    <cellStyle name="Normal 19 2 3" xfId="6045" xr:uid="{00000000-0005-0000-0000-00009D170000}"/>
    <cellStyle name="Normal 19 20" xfId="6046" xr:uid="{00000000-0005-0000-0000-00009E170000}"/>
    <cellStyle name="Normal 19 21" xfId="6047" xr:uid="{00000000-0005-0000-0000-00009F170000}"/>
    <cellStyle name="Normal 19 22" xfId="6048" xr:uid="{00000000-0005-0000-0000-0000A0170000}"/>
    <cellStyle name="Normal 19 23" xfId="6049" xr:uid="{00000000-0005-0000-0000-0000A1170000}"/>
    <cellStyle name="Normal 19 24" xfId="6050" xr:uid="{00000000-0005-0000-0000-0000A2170000}"/>
    <cellStyle name="Normal 19 25" xfId="6051" xr:uid="{00000000-0005-0000-0000-0000A3170000}"/>
    <cellStyle name="Normal 19 3" xfId="6052" xr:uid="{00000000-0005-0000-0000-0000A4170000}"/>
    <cellStyle name="Normal 19 3 2" xfId="6053" xr:uid="{00000000-0005-0000-0000-0000A5170000}"/>
    <cellStyle name="Normal 19 3 3" xfId="6054" xr:uid="{00000000-0005-0000-0000-0000A6170000}"/>
    <cellStyle name="Normal 19 3 4" xfId="6055" xr:uid="{00000000-0005-0000-0000-0000A7170000}"/>
    <cellStyle name="Normal 19 3 5" xfId="6056" xr:uid="{00000000-0005-0000-0000-0000A8170000}"/>
    <cellStyle name="Normal 19 4" xfId="6057" xr:uid="{00000000-0005-0000-0000-0000A9170000}"/>
    <cellStyle name="Normal 19 5" xfId="6058" xr:uid="{00000000-0005-0000-0000-0000AA170000}"/>
    <cellStyle name="Normal 19 6" xfId="6059" xr:uid="{00000000-0005-0000-0000-0000AB170000}"/>
    <cellStyle name="Normal 19 7" xfId="6060" xr:uid="{00000000-0005-0000-0000-0000AC170000}"/>
    <cellStyle name="Normal 19 8" xfId="6061" xr:uid="{00000000-0005-0000-0000-0000AD170000}"/>
    <cellStyle name="Normal 19 9" xfId="6062" xr:uid="{00000000-0005-0000-0000-0000AE170000}"/>
    <cellStyle name="Normal 190" xfId="39221" xr:uid="{00000000-0005-0000-0000-000035990000}"/>
    <cellStyle name="Normal 191" xfId="39222" xr:uid="{00000000-0005-0000-0000-000036990000}"/>
    <cellStyle name="Normal 192" xfId="39223" xr:uid="{00000000-0005-0000-0000-000037990000}"/>
    <cellStyle name="Normal 193" xfId="39224" xr:uid="{00000000-0005-0000-0000-000038990000}"/>
    <cellStyle name="Normal 194" xfId="39225" xr:uid="{00000000-0005-0000-0000-000039990000}"/>
    <cellStyle name="Normal 195" xfId="39226" xr:uid="{00000000-0005-0000-0000-00003A990000}"/>
    <cellStyle name="Normal 196" xfId="39227" xr:uid="{00000000-0005-0000-0000-00003B990000}"/>
    <cellStyle name="Normal 197" xfId="39228" xr:uid="{00000000-0005-0000-0000-00003C990000}"/>
    <cellStyle name="Normal 198" xfId="39229" xr:uid="{00000000-0005-0000-0000-00003D990000}"/>
    <cellStyle name="Normal 199" xfId="39230" xr:uid="{00000000-0005-0000-0000-00003E990000}"/>
    <cellStyle name="Normal 2" xfId="4" xr:uid="{00000000-0005-0000-0000-000004000000}"/>
    <cellStyle name="Normal 2 10" xfId="13" xr:uid="{00000000-0005-0000-0000-00000D000000}"/>
    <cellStyle name="Normal 2 10 10" xfId="6063" xr:uid="{00000000-0005-0000-0000-0000AF170000}"/>
    <cellStyle name="Normal 2 10 2" xfId="70" xr:uid="{00000000-0005-0000-0000-000046000000}"/>
    <cellStyle name="Normal 2 10 2 2" xfId="39247" xr:uid="{5C595C12-CBB8-40A8-952A-0B6E26A30A9A}"/>
    <cellStyle name="Normal 2 10 3" xfId="6064" xr:uid="{00000000-0005-0000-0000-0000B0170000}"/>
    <cellStyle name="Normal 2 10 4" xfId="6065" xr:uid="{00000000-0005-0000-0000-0000B1170000}"/>
    <cellStyle name="Normal 2 10_Enlaces" xfId="6066" xr:uid="{00000000-0005-0000-0000-0000B2170000}"/>
    <cellStyle name="Normal 2 100" xfId="6067" xr:uid="{00000000-0005-0000-0000-0000B3170000}"/>
    <cellStyle name="Normal 2 100 2" xfId="6068" xr:uid="{00000000-0005-0000-0000-0000B4170000}"/>
    <cellStyle name="Normal 2 101" xfId="6069" xr:uid="{00000000-0005-0000-0000-0000B5170000}"/>
    <cellStyle name="Normal 2 101 2" xfId="6070" xr:uid="{00000000-0005-0000-0000-0000B6170000}"/>
    <cellStyle name="Normal 2 102" xfId="6071" xr:uid="{00000000-0005-0000-0000-0000B7170000}"/>
    <cellStyle name="Normal 2 102 2" xfId="6072" xr:uid="{00000000-0005-0000-0000-0000B8170000}"/>
    <cellStyle name="Normal 2 103" xfId="6073" xr:uid="{00000000-0005-0000-0000-0000B9170000}"/>
    <cellStyle name="Normal 2 103 2" xfId="6074" xr:uid="{00000000-0005-0000-0000-0000BA170000}"/>
    <cellStyle name="Normal 2 104" xfId="6075" xr:uid="{00000000-0005-0000-0000-0000BB170000}"/>
    <cellStyle name="Normal 2 104 2" xfId="6076" xr:uid="{00000000-0005-0000-0000-0000BC170000}"/>
    <cellStyle name="Normal 2 105" xfId="6077" xr:uid="{00000000-0005-0000-0000-0000BD170000}"/>
    <cellStyle name="Normal 2 106" xfId="6078" xr:uid="{00000000-0005-0000-0000-0000BE170000}"/>
    <cellStyle name="Normal 2 107" xfId="6079" xr:uid="{00000000-0005-0000-0000-0000BF170000}"/>
    <cellStyle name="Normal 2 108" xfId="6080" xr:uid="{00000000-0005-0000-0000-0000C0170000}"/>
    <cellStyle name="Normal 2 109" xfId="6081" xr:uid="{00000000-0005-0000-0000-0000C1170000}"/>
    <cellStyle name="Normal 2 11" xfId="6082" xr:uid="{00000000-0005-0000-0000-0000C2170000}"/>
    <cellStyle name="Normal 2 11 2" xfId="6083" xr:uid="{00000000-0005-0000-0000-0000C3170000}"/>
    <cellStyle name="Normal 2 11 3" xfId="6084" xr:uid="{00000000-0005-0000-0000-0000C4170000}"/>
    <cellStyle name="Normal 2 11 4" xfId="6085" xr:uid="{00000000-0005-0000-0000-0000C5170000}"/>
    <cellStyle name="Normal 2 11 5" xfId="6086" xr:uid="{00000000-0005-0000-0000-0000C6170000}"/>
    <cellStyle name="Normal 2 110" xfId="6087" xr:uid="{00000000-0005-0000-0000-0000C7170000}"/>
    <cellStyle name="Normal 2 111" xfId="6088" xr:uid="{00000000-0005-0000-0000-0000C8170000}"/>
    <cellStyle name="Normal 2 112" xfId="6089" xr:uid="{00000000-0005-0000-0000-0000C9170000}"/>
    <cellStyle name="Normal 2 113" xfId="6090" xr:uid="{00000000-0005-0000-0000-0000CA170000}"/>
    <cellStyle name="Normal 2 114" xfId="6091" xr:uid="{00000000-0005-0000-0000-0000CB170000}"/>
    <cellStyle name="Normal 2 115" xfId="6092" xr:uid="{00000000-0005-0000-0000-0000CC170000}"/>
    <cellStyle name="Normal 2 116" xfId="6093" xr:uid="{00000000-0005-0000-0000-0000CD170000}"/>
    <cellStyle name="Normal 2 117" xfId="6094" xr:uid="{00000000-0005-0000-0000-0000CE170000}"/>
    <cellStyle name="Normal 2 118" xfId="6095" xr:uid="{00000000-0005-0000-0000-0000CF170000}"/>
    <cellStyle name="Normal 2 119" xfId="6096" xr:uid="{00000000-0005-0000-0000-0000D0170000}"/>
    <cellStyle name="Normal 2 12" xfId="6097" xr:uid="{00000000-0005-0000-0000-0000D1170000}"/>
    <cellStyle name="Normal 2 12 2" xfId="6098" xr:uid="{00000000-0005-0000-0000-0000D2170000}"/>
    <cellStyle name="Normal 2 12 3" xfId="6099" xr:uid="{00000000-0005-0000-0000-0000D3170000}"/>
    <cellStyle name="Normal 2 12 4" xfId="6100" xr:uid="{00000000-0005-0000-0000-0000D4170000}"/>
    <cellStyle name="Normal 2 12 5" xfId="6101" xr:uid="{00000000-0005-0000-0000-0000D5170000}"/>
    <cellStyle name="Normal 2 12 6" xfId="6102" xr:uid="{00000000-0005-0000-0000-0000D6170000}"/>
    <cellStyle name="Normal 2 120" xfId="6103" xr:uid="{00000000-0005-0000-0000-0000D7170000}"/>
    <cellStyle name="Normal 2 121" xfId="6104" xr:uid="{00000000-0005-0000-0000-0000D8170000}"/>
    <cellStyle name="Normal 2 122" xfId="6105" xr:uid="{00000000-0005-0000-0000-0000D9170000}"/>
    <cellStyle name="Normal 2 123" xfId="6106" xr:uid="{00000000-0005-0000-0000-0000DA170000}"/>
    <cellStyle name="Normal 2 124" xfId="6107" xr:uid="{00000000-0005-0000-0000-0000DB170000}"/>
    <cellStyle name="Normal 2 125" xfId="6108" xr:uid="{00000000-0005-0000-0000-0000DC170000}"/>
    <cellStyle name="Normal 2 126" xfId="6109" xr:uid="{00000000-0005-0000-0000-0000DD170000}"/>
    <cellStyle name="Normal 2 127" xfId="6110" xr:uid="{00000000-0005-0000-0000-0000DE170000}"/>
    <cellStyle name="Normal 2 128" xfId="6111" xr:uid="{00000000-0005-0000-0000-0000DF170000}"/>
    <cellStyle name="Normal 2 129" xfId="6112" xr:uid="{00000000-0005-0000-0000-0000E0170000}"/>
    <cellStyle name="Normal 2 13" xfId="6113" xr:uid="{00000000-0005-0000-0000-0000E1170000}"/>
    <cellStyle name="Normal 2 13 2" xfId="6114" xr:uid="{00000000-0005-0000-0000-0000E2170000}"/>
    <cellStyle name="Normal 2 13 3" xfId="6115" xr:uid="{00000000-0005-0000-0000-0000E3170000}"/>
    <cellStyle name="Normal 2 13 4" xfId="6116" xr:uid="{00000000-0005-0000-0000-0000E4170000}"/>
    <cellStyle name="Normal 2 13 5" xfId="6117" xr:uid="{00000000-0005-0000-0000-0000E5170000}"/>
    <cellStyle name="Normal 2 13 6" xfId="6118" xr:uid="{00000000-0005-0000-0000-0000E6170000}"/>
    <cellStyle name="Normal 2 130" xfId="6119" xr:uid="{00000000-0005-0000-0000-0000E7170000}"/>
    <cellStyle name="Normal 2 131" xfId="6120" xr:uid="{00000000-0005-0000-0000-0000E8170000}"/>
    <cellStyle name="Normal 2 132" xfId="6121" xr:uid="{00000000-0005-0000-0000-0000E9170000}"/>
    <cellStyle name="Normal 2 133" xfId="6122" xr:uid="{00000000-0005-0000-0000-0000EA170000}"/>
    <cellStyle name="Normal 2 134" xfId="6123" xr:uid="{00000000-0005-0000-0000-0000EB170000}"/>
    <cellStyle name="Normal 2 135" xfId="6124" xr:uid="{00000000-0005-0000-0000-0000EC170000}"/>
    <cellStyle name="Normal 2 136" xfId="6125" xr:uid="{00000000-0005-0000-0000-0000ED170000}"/>
    <cellStyle name="Normal 2 137" xfId="6126" xr:uid="{00000000-0005-0000-0000-0000EE170000}"/>
    <cellStyle name="Normal 2 138" xfId="6127" xr:uid="{00000000-0005-0000-0000-0000EF170000}"/>
    <cellStyle name="Normal 2 139" xfId="6128" xr:uid="{00000000-0005-0000-0000-0000F0170000}"/>
    <cellStyle name="Normal 2 14" xfId="6129" xr:uid="{00000000-0005-0000-0000-0000F1170000}"/>
    <cellStyle name="Normal 2 14 2" xfId="6130" xr:uid="{00000000-0005-0000-0000-0000F2170000}"/>
    <cellStyle name="Normal 2 14 3" xfId="6131" xr:uid="{00000000-0005-0000-0000-0000F3170000}"/>
    <cellStyle name="Normal 2 14 4" xfId="6132" xr:uid="{00000000-0005-0000-0000-0000F4170000}"/>
    <cellStyle name="Normal 2 14 5" xfId="6133" xr:uid="{00000000-0005-0000-0000-0000F5170000}"/>
    <cellStyle name="Normal 2 140" xfId="6134" xr:uid="{00000000-0005-0000-0000-0000F6170000}"/>
    <cellStyle name="Normal 2 141" xfId="6135" xr:uid="{00000000-0005-0000-0000-0000F7170000}"/>
    <cellStyle name="Normal 2 142" xfId="6136" xr:uid="{00000000-0005-0000-0000-0000F8170000}"/>
    <cellStyle name="Normal 2 143" xfId="6137" xr:uid="{00000000-0005-0000-0000-0000F9170000}"/>
    <cellStyle name="Normal 2 144" xfId="6138" xr:uid="{00000000-0005-0000-0000-0000FA170000}"/>
    <cellStyle name="Normal 2 145" xfId="6139" xr:uid="{00000000-0005-0000-0000-0000FB170000}"/>
    <cellStyle name="Normal 2 146" xfId="6140" xr:uid="{00000000-0005-0000-0000-0000FC170000}"/>
    <cellStyle name="Normal 2 147" xfId="6141" xr:uid="{00000000-0005-0000-0000-0000FD170000}"/>
    <cellStyle name="Normal 2 148" xfId="6142" xr:uid="{00000000-0005-0000-0000-0000FE170000}"/>
    <cellStyle name="Normal 2 149" xfId="6143" xr:uid="{00000000-0005-0000-0000-0000FF170000}"/>
    <cellStyle name="Normal 2 15" xfId="6144" xr:uid="{00000000-0005-0000-0000-000000180000}"/>
    <cellStyle name="Normal 2 15 2" xfId="6145" xr:uid="{00000000-0005-0000-0000-000001180000}"/>
    <cellStyle name="Normal 2 15 3" xfId="6146" xr:uid="{00000000-0005-0000-0000-000002180000}"/>
    <cellStyle name="Normal 2 15 4" xfId="6147" xr:uid="{00000000-0005-0000-0000-000003180000}"/>
    <cellStyle name="Normal 2 15 5" xfId="6148" xr:uid="{00000000-0005-0000-0000-000004180000}"/>
    <cellStyle name="Normal 2 15 6" xfId="6149" xr:uid="{00000000-0005-0000-0000-000005180000}"/>
    <cellStyle name="Normal 2 150" xfId="6150" xr:uid="{00000000-0005-0000-0000-000006180000}"/>
    <cellStyle name="Normal 2 151" xfId="6151" xr:uid="{00000000-0005-0000-0000-000007180000}"/>
    <cellStyle name="Normal 2 152" xfId="6152" xr:uid="{00000000-0005-0000-0000-000008180000}"/>
    <cellStyle name="Normal 2 153" xfId="6153" xr:uid="{00000000-0005-0000-0000-000009180000}"/>
    <cellStyle name="Normal 2 154" xfId="6154" xr:uid="{00000000-0005-0000-0000-00000A180000}"/>
    <cellStyle name="Normal 2 155" xfId="6155" xr:uid="{00000000-0005-0000-0000-00000B180000}"/>
    <cellStyle name="Normal 2 156" xfId="6156" xr:uid="{00000000-0005-0000-0000-00000C180000}"/>
    <cellStyle name="Normal 2 157" xfId="6157" xr:uid="{00000000-0005-0000-0000-00000D180000}"/>
    <cellStyle name="Normal 2 158" xfId="6158" xr:uid="{00000000-0005-0000-0000-00000E180000}"/>
    <cellStyle name="Normal 2 159" xfId="6159" xr:uid="{00000000-0005-0000-0000-00000F180000}"/>
    <cellStyle name="Normal 2 16" xfId="6160" xr:uid="{00000000-0005-0000-0000-000010180000}"/>
    <cellStyle name="Normal 2 16 2" xfId="6161" xr:uid="{00000000-0005-0000-0000-000011180000}"/>
    <cellStyle name="Normal 2 16 3" xfId="6162" xr:uid="{00000000-0005-0000-0000-000012180000}"/>
    <cellStyle name="Normal 2 16 4" xfId="6163" xr:uid="{00000000-0005-0000-0000-000013180000}"/>
    <cellStyle name="Normal 2 16 5" xfId="6164" xr:uid="{00000000-0005-0000-0000-000014180000}"/>
    <cellStyle name="Normal 2 160" xfId="6165" xr:uid="{00000000-0005-0000-0000-000015180000}"/>
    <cellStyle name="Normal 2 161" xfId="6166" xr:uid="{00000000-0005-0000-0000-000016180000}"/>
    <cellStyle name="Normal 2 162" xfId="6167" xr:uid="{00000000-0005-0000-0000-000017180000}"/>
    <cellStyle name="Normal 2 163" xfId="6168" xr:uid="{00000000-0005-0000-0000-000018180000}"/>
    <cellStyle name="Normal 2 164" xfId="6169" xr:uid="{00000000-0005-0000-0000-000019180000}"/>
    <cellStyle name="Normal 2 165" xfId="6170" xr:uid="{00000000-0005-0000-0000-00001A180000}"/>
    <cellStyle name="Normal 2 166" xfId="6171" xr:uid="{00000000-0005-0000-0000-00001B180000}"/>
    <cellStyle name="Normal 2 167" xfId="6172" xr:uid="{00000000-0005-0000-0000-00001C180000}"/>
    <cellStyle name="Normal 2 168" xfId="6173" xr:uid="{00000000-0005-0000-0000-00001D180000}"/>
    <cellStyle name="Normal 2 169" xfId="6174" xr:uid="{00000000-0005-0000-0000-00001E180000}"/>
    <cellStyle name="Normal 2 17" xfId="6175" xr:uid="{00000000-0005-0000-0000-00001F180000}"/>
    <cellStyle name="Normal 2 17 2" xfId="6176" xr:uid="{00000000-0005-0000-0000-000020180000}"/>
    <cellStyle name="Normal 2 17 3" xfId="6177" xr:uid="{00000000-0005-0000-0000-000021180000}"/>
    <cellStyle name="Normal 2 17 4" xfId="6178" xr:uid="{00000000-0005-0000-0000-000022180000}"/>
    <cellStyle name="Normal 2 17 5" xfId="6179" xr:uid="{00000000-0005-0000-0000-000023180000}"/>
    <cellStyle name="Normal 2 170" xfId="6180" xr:uid="{00000000-0005-0000-0000-000024180000}"/>
    <cellStyle name="Normal 2 171" xfId="6181" xr:uid="{00000000-0005-0000-0000-000025180000}"/>
    <cellStyle name="Normal 2 172" xfId="6182" xr:uid="{00000000-0005-0000-0000-000026180000}"/>
    <cellStyle name="Normal 2 173" xfId="6183" xr:uid="{00000000-0005-0000-0000-000027180000}"/>
    <cellStyle name="Normal 2 174" xfId="6184" xr:uid="{00000000-0005-0000-0000-000028180000}"/>
    <cellStyle name="Normal 2 175" xfId="6185" xr:uid="{00000000-0005-0000-0000-000029180000}"/>
    <cellStyle name="Normal 2 176" xfId="6186" xr:uid="{00000000-0005-0000-0000-00002A180000}"/>
    <cellStyle name="Normal 2 177" xfId="6187" xr:uid="{00000000-0005-0000-0000-00002B180000}"/>
    <cellStyle name="Normal 2 178" xfId="6188" xr:uid="{00000000-0005-0000-0000-00002C180000}"/>
    <cellStyle name="Normal 2 179" xfId="6189" xr:uid="{00000000-0005-0000-0000-00002D180000}"/>
    <cellStyle name="Normal 2 18" xfId="6190" xr:uid="{00000000-0005-0000-0000-00002E180000}"/>
    <cellStyle name="Normal 2 18 2" xfId="6191" xr:uid="{00000000-0005-0000-0000-00002F180000}"/>
    <cellStyle name="Normal 2 18 3" xfId="6192" xr:uid="{00000000-0005-0000-0000-000030180000}"/>
    <cellStyle name="Normal 2 18 4" xfId="6193" xr:uid="{00000000-0005-0000-0000-000031180000}"/>
    <cellStyle name="Normal 2 18 5" xfId="6194" xr:uid="{00000000-0005-0000-0000-000032180000}"/>
    <cellStyle name="Normal 2 19" xfId="6195" xr:uid="{00000000-0005-0000-0000-000033180000}"/>
    <cellStyle name="Normal 2 19 2" xfId="6196" xr:uid="{00000000-0005-0000-0000-000034180000}"/>
    <cellStyle name="Normal 2 19 3" xfId="6197" xr:uid="{00000000-0005-0000-0000-000035180000}"/>
    <cellStyle name="Normal 2 19 4" xfId="6198" xr:uid="{00000000-0005-0000-0000-000036180000}"/>
    <cellStyle name="Normal 2 19 5" xfId="6199" xr:uid="{00000000-0005-0000-0000-000037180000}"/>
    <cellStyle name="Normal 2 2" xfId="7" xr:uid="{00000000-0005-0000-0000-000007000000}"/>
    <cellStyle name="Normal 2 2 10" xfId="6201" xr:uid="{00000000-0005-0000-0000-000039180000}"/>
    <cellStyle name="Normal 2 2 10 10" xfId="6202" xr:uid="{00000000-0005-0000-0000-00003A180000}"/>
    <cellStyle name="Normal 2 2 10 10 10" xfId="6203" xr:uid="{00000000-0005-0000-0000-00003B180000}"/>
    <cellStyle name="Normal 2 2 10 10 11" xfId="6204" xr:uid="{00000000-0005-0000-0000-00003C180000}"/>
    <cellStyle name="Normal 2 2 10 10 12" xfId="6205" xr:uid="{00000000-0005-0000-0000-00003D180000}"/>
    <cellStyle name="Normal 2 2 10 10 13" xfId="6206" xr:uid="{00000000-0005-0000-0000-00003E180000}"/>
    <cellStyle name="Normal 2 2 10 10 14" xfId="6207" xr:uid="{00000000-0005-0000-0000-00003F180000}"/>
    <cellStyle name="Normal 2 2 10 10 2" xfId="6208" xr:uid="{00000000-0005-0000-0000-000040180000}"/>
    <cellStyle name="Normal 2 2 10 10 2 10" xfId="6209" xr:uid="{00000000-0005-0000-0000-000041180000}"/>
    <cellStyle name="Normal 2 2 10 10 2 2" xfId="6210" xr:uid="{00000000-0005-0000-0000-000042180000}"/>
    <cellStyle name="Normal 2 2 10 10 2 3" xfId="6211" xr:uid="{00000000-0005-0000-0000-000043180000}"/>
    <cellStyle name="Normal 2 2 10 10 2 4" xfId="6212" xr:uid="{00000000-0005-0000-0000-000044180000}"/>
    <cellStyle name="Normal 2 2 10 10 2 5" xfId="6213" xr:uid="{00000000-0005-0000-0000-000045180000}"/>
    <cellStyle name="Normal 2 2 10 10 2 6" xfId="6214" xr:uid="{00000000-0005-0000-0000-000046180000}"/>
    <cellStyle name="Normal 2 2 10 10 2 7" xfId="6215" xr:uid="{00000000-0005-0000-0000-000047180000}"/>
    <cellStyle name="Normal 2 2 10 10 2 8" xfId="6216" xr:uid="{00000000-0005-0000-0000-000048180000}"/>
    <cellStyle name="Normal 2 2 10 10 2 9" xfId="6217" xr:uid="{00000000-0005-0000-0000-000049180000}"/>
    <cellStyle name="Normal 2 2 10 10 3" xfId="6218" xr:uid="{00000000-0005-0000-0000-00004A180000}"/>
    <cellStyle name="Normal 2 2 10 10 3 10" xfId="6219" xr:uid="{00000000-0005-0000-0000-00004B180000}"/>
    <cellStyle name="Normal 2 2 10 10 3 2" xfId="6220" xr:uid="{00000000-0005-0000-0000-00004C180000}"/>
    <cellStyle name="Normal 2 2 10 10 3 3" xfId="6221" xr:uid="{00000000-0005-0000-0000-00004D180000}"/>
    <cellStyle name="Normal 2 2 10 10 3 4" xfId="6222" xr:uid="{00000000-0005-0000-0000-00004E180000}"/>
    <cellStyle name="Normal 2 2 10 10 3 5" xfId="6223" xr:uid="{00000000-0005-0000-0000-00004F180000}"/>
    <cellStyle name="Normal 2 2 10 10 3 6" xfId="6224" xr:uid="{00000000-0005-0000-0000-000050180000}"/>
    <cellStyle name="Normal 2 2 10 10 3 7" xfId="6225" xr:uid="{00000000-0005-0000-0000-000051180000}"/>
    <cellStyle name="Normal 2 2 10 10 3 8" xfId="6226" xr:uid="{00000000-0005-0000-0000-000052180000}"/>
    <cellStyle name="Normal 2 2 10 10 3 9" xfId="6227" xr:uid="{00000000-0005-0000-0000-000053180000}"/>
    <cellStyle name="Normal 2 2 10 10 4" xfId="6228" xr:uid="{00000000-0005-0000-0000-000054180000}"/>
    <cellStyle name="Normal 2 2 10 10 4 10" xfId="6229" xr:uid="{00000000-0005-0000-0000-000055180000}"/>
    <cellStyle name="Normal 2 2 10 10 4 2" xfId="6230" xr:uid="{00000000-0005-0000-0000-000056180000}"/>
    <cellStyle name="Normal 2 2 10 10 4 3" xfId="6231" xr:uid="{00000000-0005-0000-0000-000057180000}"/>
    <cellStyle name="Normal 2 2 10 10 4 4" xfId="6232" xr:uid="{00000000-0005-0000-0000-000058180000}"/>
    <cellStyle name="Normal 2 2 10 10 4 5" xfId="6233" xr:uid="{00000000-0005-0000-0000-000059180000}"/>
    <cellStyle name="Normal 2 2 10 10 4 6" xfId="6234" xr:uid="{00000000-0005-0000-0000-00005A180000}"/>
    <cellStyle name="Normal 2 2 10 10 4 7" xfId="6235" xr:uid="{00000000-0005-0000-0000-00005B180000}"/>
    <cellStyle name="Normal 2 2 10 10 4 8" xfId="6236" xr:uid="{00000000-0005-0000-0000-00005C180000}"/>
    <cellStyle name="Normal 2 2 10 10 4 9" xfId="6237" xr:uid="{00000000-0005-0000-0000-00005D180000}"/>
    <cellStyle name="Normal 2 2 10 10 5" xfId="6238" xr:uid="{00000000-0005-0000-0000-00005E180000}"/>
    <cellStyle name="Normal 2 2 10 10 5 10" xfId="6239" xr:uid="{00000000-0005-0000-0000-00005F180000}"/>
    <cellStyle name="Normal 2 2 10 10 5 2" xfId="6240" xr:uid="{00000000-0005-0000-0000-000060180000}"/>
    <cellStyle name="Normal 2 2 10 10 5 3" xfId="6241" xr:uid="{00000000-0005-0000-0000-000061180000}"/>
    <cellStyle name="Normal 2 2 10 10 5 4" xfId="6242" xr:uid="{00000000-0005-0000-0000-000062180000}"/>
    <cellStyle name="Normal 2 2 10 10 5 5" xfId="6243" xr:uid="{00000000-0005-0000-0000-000063180000}"/>
    <cellStyle name="Normal 2 2 10 10 5 6" xfId="6244" xr:uid="{00000000-0005-0000-0000-000064180000}"/>
    <cellStyle name="Normal 2 2 10 10 5 7" xfId="6245" xr:uid="{00000000-0005-0000-0000-000065180000}"/>
    <cellStyle name="Normal 2 2 10 10 5 8" xfId="6246" xr:uid="{00000000-0005-0000-0000-000066180000}"/>
    <cellStyle name="Normal 2 2 10 10 5 9" xfId="6247" xr:uid="{00000000-0005-0000-0000-000067180000}"/>
    <cellStyle name="Normal 2 2 10 10 6" xfId="6248" xr:uid="{00000000-0005-0000-0000-000068180000}"/>
    <cellStyle name="Normal 2 2 10 10 7" xfId="6249" xr:uid="{00000000-0005-0000-0000-000069180000}"/>
    <cellStyle name="Normal 2 2 10 10 8" xfId="6250" xr:uid="{00000000-0005-0000-0000-00006A180000}"/>
    <cellStyle name="Normal 2 2 10 10 9" xfId="6251" xr:uid="{00000000-0005-0000-0000-00006B180000}"/>
    <cellStyle name="Normal 2 2 10 11" xfId="6252" xr:uid="{00000000-0005-0000-0000-00006C180000}"/>
    <cellStyle name="Normal 2 2 10 11 10" xfId="6253" xr:uid="{00000000-0005-0000-0000-00006D180000}"/>
    <cellStyle name="Normal 2 2 10 11 11" xfId="6254" xr:uid="{00000000-0005-0000-0000-00006E180000}"/>
    <cellStyle name="Normal 2 2 10 11 12" xfId="6255" xr:uid="{00000000-0005-0000-0000-00006F180000}"/>
    <cellStyle name="Normal 2 2 10 11 13" xfId="6256" xr:uid="{00000000-0005-0000-0000-000070180000}"/>
    <cellStyle name="Normal 2 2 10 11 14" xfId="6257" xr:uid="{00000000-0005-0000-0000-000071180000}"/>
    <cellStyle name="Normal 2 2 10 11 2" xfId="6258" xr:uid="{00000000-0005-0000-0000-000072180000}"/>
    <cellStyle name="Normal 2 2 10 11 2 10" xfId="6259" xr:uid="{00000000-0005-0000-0000-000073180000}"/>
    <cellStyle name="Normal 2 2 10 11 2 2" xfId="6260" xr:uid="{00000000-0005-0000-0000-000074180000}"/>
    <cellStyle name="Normal 2 2 10 11 2 3" xfId="6261" xr:uid="{00000000-0005-0000-0000-000075180000}"/>
    <cellStyle name="Normal 2 2 10 11 2 4" xfId="6262" xr:uid="{00000000-0005-0000-0000-000076180000}"/>
    <cellStyle name="Normal 2 2 10 11 2 5" xfId="6263" xr:uid="{00000000-0005-0000-0000-000077180000}"/>
    <cellStyle name="Normal 2 2 10 11 2 6" xfId="6264" xr:uid="{00000000-0005-0000-0000-000078180000}"/>
    <cellStyle name="Normal 2 2 10 11 2 7" xfId="6265" xr:uid="{00000000-0005-0000-0000-000079180000}"/>
    <cellStyle name="Normal 2 2 10 11 2 8" xfId="6266" xr:uid="{00000000-0005-0000-0000-00007A180000}"/>
    <cellStyle name="Normal 2 2 10 11 2 9" xfId="6267" xr:uid="{00000000-0005-0000-0000-00007B180000}"/>
    <cellStyle name="Normal 2 2 10 11 3" xfId="6268" xr:uid="{00000000-0005-0000-0000-00007C180000}"/>
    <cellStyle name="Normal 2 2 10 11 3 10" xfId="6269" xr:uid="{00000000-0005-0000-0000-00007D180000}"/>
    <cellStyle name="Normal 2 2 10 11 3 2" xfId="6270" xr:uid="{00000000-0005-0000-0000-00007E180000}"/>
    <cellStyle name="Normal 2 2 10 11 3 3" xfId="6271" xr:uid="{00000000-0005-0000-0000-00007F180000}"/>
    <cellStyle name="Normal 2 2 10 11 3 4" xfId="6272" xr:uid="{00000000-0005-0000-0000-000080180000}"/>
    <cellStyle name="Normal 2 2 10 11 3 5" xfId="6273" xr:uid="{00000000-0005-0000-0000-000081180000}"/>
    <cellStyle name="Normal 2 2 10 11 3 6" xfId="6274" xr:uid="{00000000-0005-0000-0000-000082180000}"/>
    <cellStyle name="Normal 2 2 10 11 3 7" xfId="6275" xr:uid="{00000000-0005-0000-0000-000083180000}"/>
    <cellStyle name="Normal 2 2 10 11 3 8" xfId="6276" xr:uid="{00000000-0005-0000-0000-000084180000}"/>
    <cellStyle name="Normal 2 2 10 11 3 9" xfId="6277" xr:uid="{00000000-0005-0000-0000-000085180000}"/>
    <cellStyle name="Normal 2 2 10 11 4" xfId="6278" xr:uid="{00000000-0005-0000-0000-000086180000}"/>
    <cellStyle name="Normal 2 2 10 11 4 10" xfId="6279" xr:uid="{00000000-0005-0000-0000-000087180000}"/>
    <cellStyle name="Normal 2 2 10 11 4 2" xfId="6280" xr:uid="{00000000-0005-0000-0000-000088180000}"/>
    <cellStyle name="Normal 2 2 10 11 4 3" xfId="6281" xr:uid="{00000000-0005-0000-0000-000089180000}"/>
    <cellStyle name="Normal 2 2 10 11 4 4" xfId="6282" xr:uid="{00000000-0005-0000-0000-00008A180000}"/>
    <cellStyle name="Normal 2 2 10 11 4 5" xfId="6283" xr:uid="{00000000-0005-0000-0000-00008B180000}"/>
    <cellStyle name="Normal 2 2 10 11 4 6" xfId="6284" xr:uid="{00000000-0005-0000-0000-00008C180000}"/>
    <cellStyle name="Normal 2 2 10 11 4 7" xfId="6285" xr:uid="{00000000-0005-0000-0000-00008D180000}"/>
    <cellStyle name="Normal 2 2 10 11 4 8" xfId="6286" xr:uid="{00000000-0005-0000-0000-00008E180000}"/>
    <cellStyle name="Normal 2 2 10 11 4 9" xfId="6287" xr:uid="{00000000-0005-0000-0000-00008F180000}"/>
    <cellStyle name="Normal 2 2 10 11 5" xfId="6288" xr:uid="{00000000-0005-0000-0000-000090180000}"/>
    <cellStyle name="Normal 2 2 10 11 5 10" xfId="6289" xr:uid="{00000000-0005-0000-0000-000091180000}"/>
    <cellStyle name="Normal 2 2 10 11 5 2" xfId="6290" xr:uid="{00000000-0005-0000-0000-000092180000}"/>
    <cellStyle name="Normal 2 2 10 11 5 3" xfId="6291" xr:uid="{00000000-0005-0000-0000-000093180000}"/>
    <cellStyle name="Normal 2 2 10 11 5 4" xfId="6292" xr:uid="{00000000-0005-0000-0000-000094180000}"/>
    <cellStyle name="Normal 2 2 10 11 5 5" xfId="6293" xr:uid="{00000000-0005-0000-0000-000095180000}"/>
    <cellStyle name="Normal 2 2 10 11 5 6" xfId="6294" xr:uid="{00000000-0005-0000-0000-000096180000}"/>
    <cellStyle name="Normal 2 2 10 11 5 7" xfId="6295" xr:uid="{00000000-0005-0000-0000-000097180000}"/>
    <cellStyle name="Normal 2 2 10 11 5 8" xfId="6296" xr:uid="{00000000-0005-0000-0000-000098180000}"/>
    <cellStyle name="Normal 2 2 10 11 5 9" xfId="6297" xr:uid="{00000000-0005-0000-0000-000099180000}"/>
    <cellStyle name="Normal 2 2 10 11 6" xfId="6298" xr:uid="{00000000-0005-0000-0000-00009A180000}"/>
    <cellStyle name="Normal 2 2 10 11 7" xfId="6299" xr:uid="{00000000-0005-0000-0000-00009B180000}"/>
    <cellStyle name="Normal 2 2 10 11 8" xfId="6300" xr:uid="{00000000-0005-0000-0000-00009C180000}"/>
    <cellStyle name="Normal 2 2 10 11 9" xfId="6301" xr:uid="{00000000-0005-0000-0000-00009D180000}"/>
    <cellStyle name="Normal 2 2 10 12" xfId="6302" xr:uid="{00000000-0005-0000-0000-00009E180000}"/>
    <cellStyle name="Normal 2 2 10 12 10" xfId="6303" xr:uid="{00000000-0005-0000-0000-00009F180000}"/>
    <cellStyle name="Normal 2 2 10 12 11" xfId="6304" xr:uid="{00000000-0005-0000-0000-0000A0180000}"/>
    <cellStyle name="Normal 2 2 10 12 12" xfId="6305" xr:uid="{00000000-0005-0000-0000-0000A1180000}"/>
    <cellStyle name="Normal 2 2 10 12 13" xfId="6306" xr:uid="{00000000-0005-0000-0000-0000A2180000}"/>
    <cellStyle name="Normal 2 2 10 12 14" xfId="6307" xr:uid="{00000000-0005-0000-0000-0000A3180000}"/>
    <cellStyle name="Normal 2 2 10 12 2" xfId="6308" xr:uid="{00000000-0005-0000-0000-0000A4180000}"/>
    <cellStyle name="Normal 2 2 10 12 2 10" xfId="6309" xr:uid="{00000000-0005-0000-0000-0000A5180000}"/>
    <cellStyle name="Normal 2 2 10 12 2 2" xfId="6310" xr:uid="{00000000-0005-0000-0000-0000A6180000}"/>
    <cellStyle name="Normal 2 2 10 12 2 3" xfId="6311" xr:uid="{00000000-0005-0000-0000-0000A7180000}"/>
    <cellStyle name="Normal 2 2 10 12 2 4" xfId="6312" xr:uid="{00000000-0005-0000-0000-0000A8180000}"/>
    <cellStyle name="Normal 2 2 10 12 2 5" xfId="6313" xr:uid="{00000000-0005-0000-0000-0000A9180000}"/>
    <cellStyle name="Normal 2 2 10 12 2 6" xfId="6314" xr:uid="{00000000-0005-0000-0000-0000AA180000}"/>
    <cellStyle name="Normal 2 2 10 12 2 7" xfId="6315" xr:uid="{00000000-0005-0000-0000-0000AB180000}"/>
    <cellStyle name="Normal 2 2 10 12 2 8" xfId="6316" xr:uid="{00000000-0005-0000-0000-0000AC180000}"/>
    <cellStyle name="Normal 2 2 10 12 2 9" xfId="6317" xr:uid="{00000000-0005-0000-0000-0000AD180000}"/>
    <cellStyle name="Normal 2 2 10 12 3" xfId="6318" xr:uid="{00000000-0005-0000-0000-0000AE180000}"/>
    <cellStyle name="Normal 2 2 10 12 3 10" xfId="6319" xr:uid="{00000000-0005-0000-0000-0000AF180000}"/>
    <cellStyle name="Normal 2 2 10 12 3 2" xfId="6320" xr:uid="{00000000-0005-0000-0000-0000B0180000}"/>
    <cellStyle name="Normal 2 2 10 12 3 3" xfId="6321" xr:uid="{00000000-0005-0000-0000-0000B1180000}"/>
    <cellStyle name="Normal 2 2 10 12 3 4" xfId="6322" xr:uid="{00000000-0005-0000-0000-0000B2180000}"/>
    <cellStyle name="Normal 2 2 10 12 3 5" xfId="6323" xr:uid="{00000000-0005-0000-0000-0000B3180000}"/>
    <cellStyle name="Normal 2 2 10 12 3 6" xfId="6324" xr:uid="{00000000-0005-0000-0000-0000B4180000}"/>
    <cellStyle name="Normal 2 2 10 12 3 7" xfId="6325" xr:uid="{00000000-0005-0000-0000-0000B5180000}"/>
    <cellStyle name="Normal 2 2 10 12 3 8" xfId="6326" xr:uid="{00000000-0005-0000-0000-0000B6180000}"/>
    <cellStyle name="Normal 2 2 10 12 3 9" xfId="6327" xr:uid="{00000000-0005-0000-0000-0000B7180000}"/>
    <cellStyle name="Normal 2 2 10 12 4" xfId="6328" xr:uid="{00000000-0005-0000-0000-0000B8180000}"/>
    <cellStyle name="Normal 2 2 10 12 4 10" xfId="6329" xr:uid="{00000000-0005-0000-0000-0000B9180000}"/>
    <cellStyle name="Normal 2 2 10 12 4 2" xfId="6330" xr:uid="{00000000-0005-0000-0000-0000BA180000}"/>
    <cellStyle name="Normal 2 2 10 12 4 3" xfId="6331" xr:uid="{00000000-0005-0000-0000-0000BB180000}"/>
    <cellStyle name="Normal 2 2 10 12 4 4" xfId="6332" xr:uid="{00000000-0005-0000-0000-0000BC180000}"/>
    <cellStyle name="Normal 2 2 10 12 4 5" xfId="6333" xr:uid="{00000000-0005-0000-0000-0000BD180000}"/>
    <cellStyle name="Normal 2 2 10 12 4 6" xfId="6334" xr:uid="{00000000-0005-0000-0000-0000BE180000}"/>
    <cellStyle name="Normal 2 2 10 12 4 7" xfId="6335" xr:uid="{00000000-0005-0000-0000-0000BF180000}"/>
    <cellStyle name="Normal 2 2 10 12 4 8" xfId="6336" xr:uid="{00000000-0005-0000-0000-0000C0180000}"/>
    <cellStyle name="Normal 2 2 10 12 4 9" xfId="6337" xr:uid="{00000000-0005-0000-0000-0000C1180000}"/>
    <cellStyle name="Normal 2 2 10 12 5" xfId="6338" xr:uid="{00000000-0005-0000-0000-0000C2180000}"/>
    <cellStyle name="Normal 2 2 10 12 5 10" xfId="6339" xr:uid="{00000000-0005-0000-0000-0000C3180000}"/>
    <cellStyle name="Normal 2 2 10 12 5 2" xfId="6340" xr:uid="{00000000-0005-0000-0000-0000C4180000}"/>
    <cellStyle name="Normal 2 2 10 12 5 3" xfId="6341" xr:uid="{00000000-0005-0000-0000-0000C5180000}"/>
    <cellStyle name="Normal 2 2 10 12 5 4" xfId="6342" xr:uid="{00000000-0005-0000-0000-0000C6180000}"/>
    <cellStyle name="Normal 2 2 10 12 5 5" xfId="6343" xr:uid="{00000000-0005-0000-0000-0000C7180000}"/>
    <cellStyle name="Normal 2 2 10 12 5 6" xfId="6344" xr:uid="{00000000-0005-0000-0000-0000C8180000}"/>
    <cellStyle name="Normal 2 2 10 12 5 7" xfId="6345" xr:uid="{00000000-0005-0000-0000-0000C9180000}"/>
    <cellStyle name="Normal 2 2 10 12 5 8" xfId="6346" xr:uid="{00000000-0005-0000-0000-0000CA180000}"/>
    <cellStyle name="Normal 2 2 10 12 5 9" xfId="6347" xr:uid="{00000000-0005-0000-0000-0000CB180000}"/>
    <cellStyle name="Normal 2 2 10 12 6" xfId="6348" xr:uid="{00000000-0005-0000-0000-0000CC180000}"/>
    <cellStyle name="Normal 2 2 10 12 7" xfId="6349" xr:uid="{00000000-0005-0000-0000-0000CD180000}"/>
    <cellStyle name="Normal 2 2 10 12 8" xfId="6350" xr:uid="{00000000-0005-0000-0000-0000CE180000}"/>
    <cellStyle name="Normal 2 2 10 12 9" xfId="6351" xr:uid="{00000000-0005-0000-0000-0000CF180000}"/>
    <cellStyle name="Normal 2 2 10 13" xfId="6352" xr:uid="{00000000-0005-0000-0000-0000D0180000}"/>
    <cellStyle name="Normal 2 2 10 13 10" xfId="6353" xr:uid="{00000000-0005-0000-0000-0000D1180000}"/>
    <cellStyle name="Normal 2 2 10 13 11" xfId="6354" xr:uid="{00000000-0005-0000-0000-0000D2180000}"/>
    <cellStyle name="Normal 2 2 10 13 12" xfId="6355" xr:uid="{00000000-0005-0000-0000-0000D3180000}"/>
    <cellStyle name="Normal 2 2 10 13 13" xfId="6356" xr:uid="{00000000-0005-0000-0000-0000D4180000}"/>
    <cellStyle name="Normal 2 2 10 13 14" xfId="6357" xr:uid="{00000000-0005-0000-0000-0000D5180000}"/>
    <cellStyle name="Normal 2 2 10 13 2" xfId="6358" xr:uid="{00000000-0005-0000-0000-0000D6180000}"/>
    <cellStyle name="Normal 2 2 10 13 2 10" xfId="6359" xr:uid="{00000000-0005-0000-0000-0000D7180000}"/>
    <cellStyle name="Normal 2 2 10 13 2 2" xfId="6360" xr:uid="{00000000-0005-0000-0000-0000D8180000}"/>
    <cellStyle name="Normal 2 2 10 13 2 3" xfId="6361" xr:uid="{00000000-0005-0000-0000-0000D9180000}"/>
    <cellStyle name="Normal 2 2 10 13 2 4" xfId="6362" xr:uid="{00000000-0005-0000-0000-0000DA180000}"/>
    <cellStyle name="Normal 2 2 10 13 2 5" xfId="6363" xr:uid="{00000000-0005-0000-0000-0000DB180000}"/>
    <cellStyle name="Normal 2 2 10 13 2 6" xfId="6364" xr:uid="{00000000-0005-0000-0000-0000DC180000}"/>
    <cellStyle name="Normal 2 2 10 13 2 7" xfId="6365" xr:uid="{00000000-0005-0000-0000-0000DD180000}"/>
    <cellStyle name="Normal 2 2 10 13 2 8" xfId="6366" xr:uid="{00000000-0005-0000-0000-0000DE180000}"/>
    <cellStyle name="Normal 2 2 10 13 2 9" xfId="6367" xr:uid="{00000000-0005-0000-0000-0000DF180000}"/>
    <cellStyle name="Normal 2 2 10 13 3" xfId="6368" xr:uid="{00000000-0005-0000-0000-0000E0180000}"/>
    <cellStyle name="Normal 2 2 10 13 3 10" xfId="6369" xr:uid="{00000000-0005-0000-0000-0000E1180000}"/>
    <cellStyle name="Normal 2 2 10 13 3 2" xfId="6370" xr:uid="{00000000-0005-0000-0000-0000E2180000}"/>
    <cellStyle name="Normal 2 2 10 13 3 3" xfId="6371" xr:uid="{00000000-0005-0000-0000-0000E3180000}"/>
    <cellStyle name="Normal 2 2 10 13 3 4" xfId="6372" xr:uid="{00000000-0005-0000-0000-0000E4180000}"/>
    <cellStyle name="Normal 2 2 10 13 3 5" xfId="6373" xr:uid="{00000000-0005-0000-0000-0000E5180000}"/>
    <cellStyle name="Normal 2 2 10 13 3 6" xfId="6374" xr:uid="{00000000-0005-0000-0000-0000E6180000}"/>
    <cellStyle name="Normal 2 2 10 13 3 7" xfId="6375" xr:uid="{00000000-0005-0000-0000-0000E7180000}"/>
    <cellStyle name="Normal 2 2 10 13 3 8" xfId="6376" xr:uid="{00000000-0005-0000-0000-0000E8180000}"/>
    <cellStyle name="Normal 2 2 10 13 3 9" xfId="6377" xr:uid="{00000000-0005-0000-0000-0000E9180000}"/>
    <cellStyle name="Normal 2 2 10 13 4" xfId="6378" xr:uid="{00000000-0005-0000-0000-0000EA180000}"/>
    <cellStyle name="Normal 2 2 10 13 4 10" xfId="6379" xr:uid="{00000000-0005-0000-0000-0000EB180000}"/>
    <cellStyle name="Normal 2 2 10 13 4 2" xfId="6380" xr:uid="{00000000-0005-0000-0000-0000EC180000}"/>
    <cellStyle name="Normal 2 2 10 13 4 3" xfId="6381" xr:uid="{00000000-0005-0000-0000-0000ED180000}"/>
    <cellStyle name="Normal 2 2 10 13 4 4" xfId="6382" xr:uid="{00000000-0005-0000-0000-0000EE180000}"/>
    <cellStyle name="Normal 2 2 10 13 4 5" xfId="6383" xr:uid="{00000000-0005-0000-0000-0000EF180000}"/>
    <cellStyle name="Normal 2 2 10 13 4 6" xfId="6384" xr:uid="{00000000-0005-0000-0000-0000F0180000}"/>
    <cellStyle name="Normal 2 2 10 13 4 7" xfId="6385" xr:uid="{00000000-0005-0000-0000-0000F1180000}"/>
    <cellStyle name="Normal 2 2 10 13 4 8" xfId="6386" xr:uid="{00000000-0005-0000-0000-0000F2180000}"/>
    <cellStyle name="Normal 2 2 10 13 4 9" xfId="6387" xr:uid="{00000000-0005-0000-0000-0000F3180000}"/>
    <cellStyle name="Normal 2 2 10 13 5" xfId="6388" xr:uid="{00000000-0005-0000-0000-0000F4180000}"/>
    <cellStyle name="Normal 2 2 10 13 5 10" xfId="6389" xr:uid="{00000000-0005-0000-0000-0000F5180000}"/>
    <cellStyle name="Normal 2 2 10 13 5 2" xfId="6390" xr:uid="{00000000-0005-0000-0000-0000F6180000}"/>
    <cellStyle name="Normal 2 2 10 13 5 3" xfId="6391" xr:uid="{00000000-0005-0000-0000-0000F7180000}"/>
    <cellStyle name="Normal 2 2 10 13 5 4" xfId="6392" xr:uid="{00000000-0005-0000-0000-0000F8180000}"/>
    <cellStyle name="Normal 2 2 10 13 5 5" xfId="6393" xr:uid="{00000000-0005-0000-0000-0000F9180000}"/>
    <cellStyle name="Normal 2 2 10 13 5 6" xfId="6394" xr:uid="{00000000-0005-0000-0000-0000FA180000}"/>
    <cellStyle name="Normal 2 2 10 13 5 7" xfId="6395" xr:uid="{00000000-0005-0000-0000-0000FB180000}"/>
    <cellStyle name="Normal 2 2 10 13 5 8" xfId="6396" xr:uid="{00000000-0005-0000-0000-0000FC180000}"/>
    <cellStyle name="Normal 2 2 10 13 5 9" xfId="6397" xr:uid="{00000000-0005-0000-0000-0000FD180000}"/>
    <cellStyle name="Normal 2 2 10 13 6" xfId="6398" xr:uid="{00000000-0005-0000-0000-0000FE180000}"/>
    <cellStyle name="Normal 2 2 10 13 7" xfId="6399" xr:uid="{00000000-0005-0000-0000-0000FF180000}"/>
    <cellStyle name="Normal 2 2 10 13 8" xfId="6400" xr:uid="{00000000-0005-0000-0000-000000190000}"/>
    <cellStyle name="Normal 2 2 10 13 9" xfId="6401" xr:uid="{00000000-0005-0000-0000-000001190000}"/>
    <cellStyle name="Normal 2 2 10 14" xfId="6402" xr:uid="{00000000-0005-0000-0000-000002190000}"/>
    <cellStyle name="Normal 2 2 10 14 10" xfId="6403" xr:uid="{00000000-0005-0000-0000-000003190000}"/>
    <cellStyle name="Normal 2 2 10 14 11" xfId="6404" xr:uid="{00000000-0005-0000-0000-000004190000}"/>
    <cellStyle name="Normal 2 2 10 14 12" xfId="6405" xr:uid="{00000000-0005-0000-0000-000005190000}"/>
    <cellStyle name="Normal 2 2 10 14 13" xfId="6406" xr:uid="{00000000-0005-0000-0000-000006190000}"/>
    <cellStyle name="Normal 2 2 10 14 14" xfId="6407" xr:uid="{00000000-0005-0000-0000-000007190000}"/>
    <cellStyle name="Normal 2 2 10 14 2" xfId="6408" xr:uid="{00000000-0005-0000-0000-000008190000}"/>
    <cellStyle name="Normal 2 2 10 14 2 10" xfId="6409" xr:uid="{00000000-0005-0000-0000-000009190000}"/>
    <cellStyle name="Normal 2 2 10 14 2 2" xfId="6410" xr:uid="{00000000-0005-0000-0000-00000A190000}"/>
    <cellStyle name="Normal 2 2 10 14 2 3" xfId="6411" xr:uid="{00000000-0005-0000-0000-00000B190000}"/>
    <cellStyle name="Normal 2 2 10 14 2 4" xfId="6412" xr:uid="{00000000-0005-0000-0000-00000C190000}"/>
    <cellStyle name="Normal 2 2 10 14 2 5" xfId="6413" xr:uid="{00000000-0005-0000-0000-00000D190000}"/>
    <cellStyle name="Normal 2 2 10 14 2 6" xfId="6414" xr:uid="{00000000-0005-0000-0000-00000E190000}"/>
    <cellStyle name="Normal 2 2 10 14 2 7" xfId="6415" xr:uid="{00000000-0005-0000-0000-00000F190000}"/>
    <cellStyle name="Normal 2 2 10 14 2 8" xfId="6416" xr:uid="{00000000-0005-0000-0000-000010190000}"/>
    <cellStyle name="Normal 2 2 10 14 2 9" xfId="6417" xr:uid="{00000000-0005-0000-0000-000011190000}"/>
    <cellStyle name="Normal 2 2 10 14 3" xfId="6418" xr:uid="{00000000-0005-0000-0000-000012190000}"/>
    <cellStyle name="Normal 2 2 10 14 3 10" xfId="6419" xr:uid="{00000000-0005-0000-0000-000013190000}"/>
    <cellStyle name="Normal 2 2 10 14 3 2" xfId="6420" xr:uid="{00000000-0005-0000-0000-000014190000}"/>
    <cellStyle name="Normal 2 2 10 14 3 3" xfId="6421" xr:uid="{00000000-0005-0000-0000-000015190000}"/>
    <cellStyle name="Normal 2 2 10 14 3 4" xfId="6422" xr:uid="{00000000-0005-0000-0000-000016190000}"/>
    <cellStyle name="Normal 2 2 10 14 3 5" xfId="6423" xr:uid="{00000000-0005-0000-0000-000017190000}"/>
    <cellStyle name="Normal 2 2 10 14 3 6" xfId="6424" xr:uid="{00000000-0005-0000-0000-000018190000}"/>
    <cellStyle name="Normal 2 2 10 14 3 7" xfId="6425" xr:uid="{00000000-0005-0000-0000-000019190000}"/>
    <cellStyle name="Normal 2 2 10 14 3 8" xfId="6426" xr:uid="{00000000-0005-0000-0000-00001A190000}"/>
    <cellStyle name="Normal 2 2 10 14 3 9" xfId="6427" xr:uid="{00000000-0005-0000-0000-00001B190000}"/>
    <cellStyle name="Normal 2 2 10 14 4" xfId="6428" xr:uid="{00000000-0005-0000-0000-00001C190000}"/>
    <cellStyle name="Normal 2 2 10 14 4 10" xfId="6429" xr:uid="{00000000-0005-0000-0000-00001D190000}"/>
    <cellStyle name="Normal 2 2 10 14 4 2" xfId="6430" xr:uid="{00000000-0005-0000-0000-00001E190000}"/>
    <cellStyle name="Normal 2 2 10 14 4 3" xfId="6431" xr:uid="{00000000-0005-0000-0000-00001F190000}"/>
    <cellStyle name="Normal 2 2 10 14 4 4" xfId="6432" xr:uid="{00000000-0005-0000-0000-000020190000}"/>
    <cellStyle name="Normal 2 2 10 14 4 5" xfId="6433" xr:uid="{00000000-0005-0000-0000-000021190000}"/>
    <cellStyle name="Normal 2 2 10 14 4 6" xfId="6434" xr:uid="{00000000-0005-0000-0000-000022190000}"/>
    <cellStyle name="Normal 2 2 10 14 4 7" xfId="6435" xr:uid="{00000000-0005-0000-0000-000023190000}"/>
    <cellStyle name="Normal 2 2 10 14 4 8" xfId="6436" xr:uid="{00000000-0005-0000-0000-000024190000}"/>
    <cellStyle name="Normal 2 2 10 14 4 9" xfId="6437" xr:uid="{00000000-0005-0000-0000-000025190000}"/>
    <cellStyle name="Normal 2 2 10 14 5" xfId="6438" xr:uid="{00000000-0005-0000-0000-000026190000}"/>
    <cellStyle name="Normal 2 2 10 14 5 10" xfId="6439" xr:uid="{00000000-0005-0000-0000-000027190000}"/>
    <cellStyle name="Normal 2 2 10 14 5 2" xfId="6440" xr:uid="{00000000-0005-0000-0000-000028190000}"/>
    <cellStyle name="Normal 2 2 10 14 5 3" xfId="6441" xr:uid="{00000000-0005-0000-0000-000029190000}"/>
    <cellStyle name="Normal 2 2 10 14 5 4" xfId="6442" xr:uid="{00000000-0005-0000-0000-00002A190000}"/>
    <cellStyle name="Normal 2 2 10 14 5 5" xfId="6443" xr:uid="{00000000-0005-0000-0000-00002B190000}"/>
    <cellStyle name="Normal 2 2 10 14 5 6" xfId="6444" xr:uid="{00000000-0005-0000-0000-00002C190000}"/>
    <cellStyle name="Normal 2 2 10 14 5 7" xfId="6445" xr:uid="{00000000-0005-0000-0000-00002D190000}"/>
    <cellStyle name="Normal 2 2 10 14 5 8" xfId="6446" xr:uid="{00000000-0005-0000-0000-00002E190000}"/>
    <cellStyle name="Normal 2 2 10 14 5 9" xfId="6447" xr:uid="{00000000-0005-0000-0000-00002F190000}"/>
    <cellStyle name="Normal 2 2 10 14 6" xfId="6448" xr:uid="{00000000-0005-0000-0000-000030190000}"/>
    <cellStyle name="Normal 2 2 10 14 7" xfId="6449" xr:uid="{00000000-0005-0000-0000-000031190000}"/>
    <cellStyle name="Normal 2 2 10 14 8" xfId="6450" xr:uid="{00000000-0005-0000-0000-000032190000}"/>
    <cellStyle name="Normal 2 2 10 14 9" xfId="6451" xr:uid="{00000000-0005-0000-0000-000033190000}"/>
    <cellStyle name="Normal 2 2 10 15" xfId="6452" xr:uid="{00000000-0005-0000-0000-000034190000}"/>
    <cellStyle name="Normal 2 2 10 15 10" xfId="6453" xr:uid="{00000000-0005-0000-0000-000035190000}"/>
    <cellStyle name="Normal 2 2 10 15 11" xfId="6454" xr:uid="{00000000-0005-0000-0000-000036190000}"/>
    <cellStyle name="Normal 2 2 10 15 12" xfId="6455" xr:uid="{00000000-0005-0000-0000-000037190000}"/>
    <cellStyle name="Normal 2 2 10 15 13" xfId="6456" xr:uid="{00000000-0005-0000-0000-000038190000}"/>
    <cellStyle name="Normal 2 2 10 15 14" xfId="6457" xr:uid="{00000000-0005-0000-0000-000039190000}"/>
    <cellStyle name="Normal 2 2 10 15 2" xfId="6458" xr:uid="{00000000-0005-0000-0000-00003A190000}"/>
    <cellStyle name="Normal 2 2 10 15 2 10" xfId="6459" xr:uid="{00000000-0005-0000-0000-00003B190000}"/>
    <cellStyle name="Normal 2 2 10 15 2 2" xfId="6460" xr:uid="{00000000-0005-0000-0000-00003C190000}"/>
    <cellStyle name="Normal 2 2 10 15 2 3" xfId="6461" xr:uid="{00000000-0005-0000-0000-00003D190000}"/>
    <cellStyle name="Normal 2 2 10 15 2 4" xfId="6462" xr:uid="{00000000-0005-0000-0000-00003E190000}"/>
    <cellStyle name="Normal 2 2 10 15 2 5" xfId="6463" xr:uid="{00000000-0005-0000-0000-00003F190000}"/>
    <cellStyle name="Normal 2 2 10 15 2 6" xfId="6464" xr:uid="{00000000-0005-0000-0000-000040190000}"/>
    <cellStyle name="Normal 2 2 10 15 2 7" xfId="6465" xr:uid="{00000000-0005-0000-0000-000041190000}"/>
    <cellStyle name="Normal 2 2 10 15 2 8" xfId="6466" xr:uid="{00000000-0005-0000-0000-000042190000}"/>
    <cellStyle name="Normal 2 2 10 15 2 9" xfId="6467" xr:uid="{00000000-0005-0000-0000-000043190000}"/>
    <cellStyle name="Normal 2 2 10 15 3" xfId="6468" xr:uid="{00000000-0005-0000-0000-000044190000}"/>
    <cellStyle name="Normal 2 2 10 15 3 10" xfId="6469" xr:uid="{00000000-0005-0000-0000-000045190000}"/>
    <cellStyle name="Normal 2 2 10 15 3 2" xfId="6470" xr:uid="{00000000-0005-0000-0000-000046190000}"/>
    <cellStyle name="Normal 2 2 10 15 3 3" xfId="6471" xr:uid="{00000000-0005-0000-0000-000047190000}"/>
    <cellStyle name="Normal 2 2 10 15 3 4" xfId="6472" xr:uid="{00000000-0005-0000-0000-000048190000}"/>
    <cellStyle name="Normal 2 2 10 15 3 5" xfId="6473" xr:uid="{00000000-0005-0000-0000-000049190000}"/>
    <cellStyle name="Normal 2 2 10 15 3 6" xfId="6474" xr:uid="{00000000-0005-0000-0000-00004A190000}"/>
    <cellStyle name="Normal 2 2 10 15 3 7" xfId="6475" xr:uid="{00000000-0005-0000-0000-00004B190000}"/>
    <cellStyle name="Normal 2 2 10 15 3 8" xfId="6476" xr:uid="{00000000-0005-0000-0000-00004C190000}"/>
    <cellStyle name="Normal 2 2 10 15 3 9" xfId="6477" xr:uid="{00000000-0005-0000-0000-00004D190000}"/>
    <cellStyle name="Normal 2 2 10 15 4" xfId="6478" xr:uid="{00000000-0005-0000-0000-00004E190000}"/>
    <cellStyle name="Normal 2 2 10 15 4 10" xfId="6479" xr:uid="{00000000-0005-0000-0000-00004F190000}"/>
    <cellStyle name="Normal 2 2 10 15 4 2" xfId="6480" xr:uid="{00000000-0005-0000-0000-000050190000}"/>
    <cellStyle name="Normal 2 2 10 15 4 3" xfId="6481" xr:uid="{00000000-0005-0000-0000-000051190000}"/>
    <cellStyle name="Normal 2 2 10 15 4 4" xfId="6482" xr:uid="{00000000-0005-0000-0000-000052190000}"/>
    <cellStyle name="Normal 2 2 10 15 4 5" xfId="6483" xr:uid="{00000000-0005-0000-0000-000053190000}"/>
    <cellStyle name="Normal 2 2 10 15 4 6" xfId="6484" xr:uid="{00000000-0005-0000-0000-000054190000}"/>
    <cellStyle name="Normal 2 2 10 15 4 7" xfId="6485" xr:uid="{00000000-0005-0000-0000-000055190000}"/>
    <cellStyle name="Normal 2 2 10 15 4 8" xfId="6486" xr:uid="{00000000-0005-0000-0000-000056190000}"/>
    <cellStyle name="Normal 2 2 10 15 4 9" xfId="6487" xr:uid="{00000000-0005-0000-0000-000057190000}"/>
    <cellStyle name="Normal 2 2 10 15 5" xfId="6488" xr:uid="{00000000-0005-0000-0000-000058190000}"/>
    <cellStyle name="Normal 2 2 10 15 5 10" xfId="6489" xr:uid="{00000000-0005-0000-0000-000059190000}"/>
    <cellStyle name="Normal 2 2 10 15 5 2" xfId="6490" xr:uid="{00000000-0005-0000-0000-00005A190000}"/>
    <cellStyle name="Normal 2 2 10 15 5 3" xfId="6491" xr:uid="{00000000-0005-0000-0000-00005B190000}"/>
    <cellStyle name="Normal 2 2 10 15 5 4" xfId="6492" xr:uid="{00000000-0005-0000-0000-00005C190000}"/>
    <cellStyle name="Normal 2 2 10 15 5 5" xfId="6493" xr:uid="{00000000-0005-0000-0000-00005D190000}"/>
    <cellStyle name="Normal 2 2 10 15 5 6" xfId="6494" xr:uid="{00000000-0005-0000-0000-00005E190000}"/>
    <cellStyle name="Normal 2 2 10 15 5 7" xfId="6495" xr:uid="{00000000-0005-0000-0000-00005F190000}"/>
    <cellStyle name="Normal 2 2 10 15 5 8" xfId="6496" xr:uid="{00000000-0005-0000-0000-000060190000}"/>
    <cellStyle name="Normal 2 2 10 15 5 9" xfId="6497" xr:uid="{00000000-0005-0000-0000-000061190000}"/>
    <cellStyle name="Normal 2 2 10 15 6" xfId="6498" xr:uid="{00000000-0005-0000-0000-000062190000}"/>
    <cellStyle name="Normal 2 2 10 15 7" xfId="6499" xr:uid="{00000000-0005-0000-0000-000063190000}"/>
    <cellStyle name="Normal 2 2 10 15 8" xfId="6500" xr:uid="{00000000-0005-0000-0000-000064190000}"/>
    <cellStyle name="Normal 2 2 10 15 9" xfId="6501" xr:uid="{00000000-0005-0000-0000-000065190000}"/>
    <cellStyle name="Normal 2 2 10 16" xfId="6502" xr:uid="{00000000-0005-0000-0000-000066190000}"/>
    <cellStyle name="Normal 2 2 10 16 10" xfId="6503" xr:uid="{00000000-0005-0000-0000-000067190000}"/>
    <cellStyle name="Normal 2 2 10 16 11" xfId="6504" xr:uid="{00000000-0005-0000-0000-000068190000}"/>
    <cellStyle name="Normal 2 2 10 16 12" xfId="6505" xr:uid="{00000000-0005-0000-0000-000069190000}"/>
    <cellStyle name="Normal 2 2 10 16 13" xfId="6506" xr:uid="{00000000-0005-0000-0000-00006A190000}"/>
    <cellStyle name="Normal 2 2 10 16 14" xfId="6507" xr:uid="{00000000-0005-0000-0000-00006B190000}"/>
    <cellStyle name="Normal 2 2 10 16 2" xfId="6508" xr:uid="{00000000-0005-0000-0000-00006C190000}"/>
    <cellStyle name="Normal 2 2 10 16 2 10" xfId="6509" xr:uid="{00000000-0005-0000-0000-00006D190000}"/>
    <cellStyle name="Normal 2 2 10 16 2 2" xfId="6510" xr:uid="{00000000-0005-0000-0000-00006E190000}"/>
    <cellStyle name="Normal 2 2 10 16 2 3" xfId="6511" xr:uid="{00000000-0005-0000-0000-00006F190000}"/>
    <cellStyle name="Normal 2 2 10 16 2 4" xfId="6512" xr:uid="{00000000-0005-0000-0000-000070190000}"/>
    <cellStyle name="Normal 2 2 10 16 2 5" xfId="6513" xr:uid="{00000000-0005-0000-0000-000071190000}"/>
    <cellStyle name="Normal 2 2 10 16 2 6" xfId="6514" xr:uid="{00000000-0005-0000-0000-000072190000}"/>
    <cellStyle name="Normal 2 2 10 16 2 7" xfId="6515" xr:uid="{00000000-0005-0000-0000-000073190000}"/>
    <cellStyle name="Normal 2 2 10 16 2 8" xfId="6516" xr:uid="{00000000-0005-0000-0000-000074190000}"/>
    <cellStyle name="Normal 2 2 10 16 2 9" xfId="6517" xr:uid="{00000000-0005-0000-0000-000075190000}"/>
    <cellStyle name="Normal 2 2 10 16 3" xfId="6518" xr:uid="{00000000-0005-0000-0000-000076190000}"/>
    <cellStyle name="Normal 2 2 10 16 3 10" xfId="6519" xr:uid="{00000000-0005-0000-0000-000077190000}"/>
    <cellStyle name="Normal 2 2 10 16 3 2" xfId="6520" xr:uid="{00000000-0005-0000-0000-000078190000}"/>
    <cellStyle name="Normal 2 2 10 16 3 3" xfId="6521" xr:uid="{00000000-0005-0000-0000-000079190000}"/>
    <cellStyle name="Normal 2 2 10 16 3 4" xfId="6522" xr:uid="{00000000-0005-0000-0000-00007A190000}"/>
    <cellStyle name="Normal 2 2 10 16 3 5" xfId="6523" xr:uid="{00000000-0005-0000-0000-00007B190000}"/>
    <cellStyle name="Normal 2 2 10 16 3 6" xfId="6524" xr:uid="{00000000-0005-0000-0000-00007C190000}"/>
    <cellStyle name="Normal 2 2 10 16 3 7" xfId="6525" xr:uid="{00000000-0005-0000-0000-00007D190000}"/>
    <cellStyle name="Normal 2 2 10 16 3 8" xfId="6526" xr:uid="{00000000-0005-0000-0000-00007E190000}"/>
    <cellStyle name="Normal 2 2 10 16 3 9" xfId="6527" xr:uid="{00000000-0005-0000-0000-00007F190000}"/>
    <cellStyle name="Normal 2 2 10 16 4" xfId="6528" xr:uid="{00000000-0005-0000-0000-000080190000}"/>
    <cellStyle name="Normal 2 2 10 16 4 10" xfId="6529" xr:uid="{00000000-0005-0000-0000-000081190000}"/>
    <cellStyle name="Normal 2 2 10 16 4 2" xfId="6530" xr:uid="{00000000-0005-0000-0000-000082190000}"/>
    <cellStyle name="Normal 2 2 10 16 4 3" xfId="6531" xr:uid="{00000000-0005-0000-0000-000083190000}"/>
    <cellStyle name="Normal 2 2 10 16 4 4" xfId="6532" xr:uid="{00000000-0005-0000-0000-000084190000}"/>
    <cellStyle name="Normal 2 2 10 16 4 5" xfId="6533" xr:uid="{00000000-0005-0000-0000-000085190000}"/>
    <cellStyle name="Normal 2 2 10 16 4 6" xfId="6534" xr:uid="{00000000-0005-0000-0000-000086190000}"/>
    <cellStyle name="Normal 2 2 10 16 4 7" xfId="6535" xr:uid="{00000000-0005-0000-0000-000087190000}"/>
    <cellStyle name="Normal 2 2 10 16 4 8" xfId="6536" xr:uid="{00000000-0005-0000-0000-000088190000}"/>
    <cellStyle name="Normal 2 2 10 16 4 9" xfId="6537" xr:uid="{00000000-0005-0000-0000-000089190000}"/>
    <cellStyle name="Normal 2 2 10 16 5" xfId="6538" xr:uid="{00000000-0005-0000-0000-00008A190000}"/>
    <cellStyle name="Normal 2 2 10 16 5 10" xfId="6539" xr:uid="{00000000-0005-0000-0000-00008B190000}"/>
    <cellStyle name="Normal 2 2 10 16 5 2" xfId="6540" xr:uid="{00000000-0005-0000-0000-00008C190000}"/>
    <cellStyle name="Normal 2 2 10 16 5 3" xfId="6541" xr:uid="{00000000-0005-0000-0000-00008D190000}"/>
    <cellStyle name="Normal 2 2 10 16 5 4" xfId="6542" xr:uid="{00000000-0005-0000-0000-00008E190000}"/>
    <cellStyle name="Normal 2 2 10 16 5 5" xfId="6543" xr:uid="{00000000-0005-0000-0000-00008F190000}"/>
    <cellStyle name="Normal 2 2 10 16 5 6" xfId="6544" xr:uid="{00000000-0005-0000-0000-000090190000}"/>
    <cellStyle name="Normal 2 2 10 16 5 7" xfId="6545" xr:uid="{00000000-0005-0000-0000-000091190000}"/>
    <cellStyle name="Normal 2 2 10 16 5 8" xfId="6546" xr:uid="{00000000-0005-0000-0000-000092190000}"/>
    <cellStyle name="Normal 2 2 10 16 5 9" xfId="6547" xr:uid="{00000000-0005-0000-0000-000093190000}"/>
    <cellStyle name="Normal 2 2 10 16 6" xfId="6548" xr:uid="{00000000-0005-0000-0000-000094190000}"/>
    <cellStyle name="Normal 2 2 10 16 7" xfId="6549" xr:uid="{00000000-0005-0000-0000-000095190000}"/>
    <cellStyle name="Normal 2 2 10 16 8" xfId="6550" xr:uid="{00000000-0005-0000-0000-000096190000}"/>
    <cellStyle name="Normal 2 2 10 16 9" xfId="6551" xr:uid="{00000000-0005-0000-0000-000097190000}"/>
    <cellStyle name="Normal 2 2 10 17" xfId="6552" xr:uid="{00000000-0005-0000-0000-000098190000}"/>
    <cellStyle name="Normal 2 2 10 17 10" xfId="6553" xr:uid="{00000000-0005-0000-0000-000099190000}"/>
    <cellStyle name="Normal 2 2 10 17 11" xfId="6554" xr:uid="{00000000-0005-0000-0000-00009A190000}"/>
    <cellStyle name="Normal 2 2 10 17 12" xfId="6555" xr:uid="{00000000-0005-0000-0000-00009B190000}"/>
    <cellStyle name="Normal 2 2 10 17 13" xfId="6556" xr:uid="{00000000-0005-0000-0000-00009C190000}"/>
    <cellStyle name="Normal 2 2 10 17 14" xfId="6557" xr:uid="{00000000-0005-0000-0000-00009D190000}"/>
    <cellStyle name="Normal 2 2 10 17 2" xfId="6558" xr:uid="{00000000-0005-0000-0000-00009E190000}"/>
    <cellStyle name="Normal 2 2 10 17 2 10" xfId="6559" xr:uid="{00000000-0005-0000-0000-00009F190000}"/>
    <cellStyle name="Normal 2 2 10 17 2 2" xfId="6560" xr:uid="{00000000-0005-0000-0000-0000A0190000}"/>
    <cellStyle name="Normal 2 2 10 17 2 3" xfId="6561" xr:uid="{00000000-0005-0000-0000-0000A1190000}"/>
    <cellStyle name="Normal 2 2 10 17 2 4" xfId="6562" xr:uid="{00000000-0005-0000-0000-0000A2190000}"/>
    <cellStyle name="Normal 2 2 10 17 2 5" xfId="6563" xr:uid="{00000000-0005-0000-0000-0000A3190000}"/>
    <cellStyle name="Normal 2 2 10 17 2 6" xfId="6564" xr:uid="{00000000-0005-0000-0000-0000A4190000}"/>
    <cellStyle name="Normal 2 2 10 17 2 7" xfId="6565" xr:uid="{00000000-0005-0000-0000-0000A5190000}"/>
    <cellStyle name="Normal 2 2 10 17 2 8" xfId="6566" xr:uid="{00000000-0005-0000-0000-0000A6190000}"/>
    <cellStyle name="Normal 2 2 10 17 2 9" xfId="6567" xr:uid="{00000000-0005-0000-0000-0000A7190000}"/>
    <cellStyle name="Normal 2 2 10 17 3" xfId="6568" xr:uid="{00000000-0005-0000-0000-0000A8190000}"/>
    <cellStyle name="Normal 2 2 10 17 3 10" xfId="6569" xr:uid="{00000000-0005-0000-0000-0000A9190000}"/>
    <cellStyle name="Normal 2 2 10 17 3 2" xfId="6570" xr:uid="{00000000-0005-0000-0000-0000AA190000}"/>
    <cellStyle name="Normal 2 2 10 17 3 3" xfId="6571" xr:uid="{00000000-0005-0000-0000-0000AB190000}"/>
    <cellStyle name="Normal 2 2 10 17 3 4" xfId="6572" xr:uid="{00000000-0005-0000-0000-0000AC190000}"/>
    <cellStyle name="Normal 2 2 10 17 3 5" xfId="6573" xr:uid="{00000000-0005-0000-0000-0000AD190000}"/>
    <cellStyle name="Normal 2 2 10 17 3 6" xfId="6574" xr:uid="{00000000-0005-0000-0000-0000AE190000}"/>
    <cellStyle name="Normal 2 2 10 17 3 7" xfId="6575" xr:uid="{00000000-0005-0000-0000-0000AF190000}"/>
    <cellStyle name="Normal 2 2 10 17 3 8" xfId="6576" xr:uid="{00000000-0005-0000-0000-0000B0190000}"/>
    <cellStyle name="Normal 2 2 10 17 3 9" xfId="6577" xr:uid="{00000000-0005-0000-0000-0000B1190000}"/>
    <cellStyle name="Normal 2 2 10 17 4" xfId="6578" xr:uid="{00000000-0005-0000-0000-0000B2190000}"/>
    <cellStyle name="Normal 2 2 10 17 4 10" xfId="6579" xr:uid="{00000000-0005-0000-0000-0000B3190000}"/>
    <cellStyle name="Normal 2 2 10 17 4 2" xfId="6580" xr:uid="{00000000-0005-0000-0000-0000B4190000}"/>
    <cellStyle name="Normal 2 2 10 17 4 3" xfId="6581" xr:uid="{00000000-0005-0000-0000-0000B5190000}"/>
    <cellStyle name="Normal 2 2 10 17 4 4" xfId="6582" xr:uid="{00000000-0005-0000-0000-0000B6190000}"/>
    <cellStyle name="Normal 2 2 10 17 4 5" xfId="6583" xr:uid="{00000000-0005-0000-0000-0000B7190000}"/>
    <cellStyle name="Normal 2 2 10 17 4 6" xfId="6584" xr:uid="{00000000-0005-0000-0000-0000B8190000}"/>
    <cellStyle name="Normal 2 2 10 17 4 7" xfId="6585" xr:uid="{00000000-0005-0000-0000-0000B9190000}"/>
    <cellStyle name="Normal 2 2 10 17 4 8" xfId="6586" xr:uid="{00000000-0005-0000-0000-0000BA190000}"/>
    <cellStyle name="Normal 2 2 10 17 4 9" xfId="6587" xr:uid="{00000000-0005-0000-0000-0000BB190000}"/>
    <cellStyle name="Normal 2 2 10 17 5" xfId="6588" xr:uid="{00000000-0005-0000-0000-0000BC190000}"/>
    <cellStyle name="Normal 2 2 10 17 5 10" xfId="6589" xr:uid="{00000000-0005-0000-0000-0000BD190000}"/>
    <cellStyle name="Normal 2 2 10 17 5 2" xfId="6590" xr:uid="{00000000-0005-0000-0000-0000BE190000}"/>
    <cellStyle name="Normal 2 2 10 17 5 3" xfId="6591" xr:uid="{00000000-0005-0000-0000-0000BF190000}"/>
    <cellStyle name="Normal 2 2 10 17 5 4" xfId="6592" xr:uid="{00000000-0005-0000-0000-0000C0190000}"/>
    <cellStyle name="Normal 2 2 10 17 5 5" xfId="6593" xr:uid="{00000000-0005-0000-0000-0000C1190000}"/>
    <cellStyle name="Normal 2 2 10 17 5 6" xfId="6594" xr:uid="{00000000-0005-0000-0000-0000C2190000}"/>
    <cellStyle name="Normal 2 2 10 17 5 7" xfId="6595" xr:uid="{00000000-0005-0000-0000-0000C3190000}"/>
    <cellStyle name="Normal 2 2 10 17 5 8" xfId="6596" xr:uid="{00000000-0005-0000-0000-0000C4190000}"/>
    <cellStyle name="Normal 2 2 10 17 5 9" xfId="6597" xr:uid="{00000000-0005-0000-0000-0000C5190000}"/>
    <cellStyle name="Normal 2 2 10 17 6" xfId="6598" xr:uid="{00000000-0005-0000-0000-0000C6190000}"/>
    <cellStyle name="Normal 2 2 10 17 7" xfId="6599" xr:uid="{00000000-0005-0000-0000-0000C7190000}"/>
    <cellStyle name="Normal 2 2 10 17 8" xfId="6600" xr:uid="{00000000-0005-0000-0000-0000C8190000}"/>
    <cellStyle name="Normal 2 2 10 17 9" xfId="6601" xr:uid="{00000000-0005-0000-0000-0000C9190000}"/>
    <cellStyle name="Normal 2 2 10 18" xfId="6602" xr:uid="{00000000-0005-0000-0000-0000CA190000}"/>
    <cellStyle name="Normal 2 2 10 18 10" xfId="6603" xr:uid="{00000000-0005-0000-0000-0000CB190000}"/>
    <cellStyle name="Normal 2 2 10 18 11" xfId="6604" xr:uid="{00000000-0005-0000-0000-0000CC190000}"/>
    <cellStyle name="Normal 2 2 10 18 12" xfId="6605" xr:uid="{00000000-0005-0000-0000-0000CD190000}"/>
    <cellStyle name="Normal 2 2 10 18 13" xfId="6606" xr:uid="{00000000-0005-0000-0000-0000CE190000}"/>
    <cellStyle name="Normal 2 2 10 18 14" xfId="6607" xr:uid="{00000000-0005-0000-0000-0000CF190000}"/>
    <cellStyle name="Normal 2 2 10 18 2" xfId="6608" xr:uid="{00000000-0005-0000-0000-0000D0190000}"/>
    <cellStyle name="Normal 2 2 10 18 2 10" xfId="6609" xr:uid="{00000000-0005-0000-0000-0000D1190000}"/>
    <cellStyle name="Normal 2 2 10 18 2 2" xfId="6610" xr:uid="{00000000-0005-0000-0000-0000D2190000}"/>
    <cellStyle name="Normal 2 2 10 18 2 3" xfId="6611" xr:uid="{00000000-0005-0000-0000-0000D3190000}"/>
    <cellStyle name="Normal 2 2 10 18 2 4" xfId="6612" xr:uid="{00000000-0005-0000-0000-0000D4190000}"/>
    <cellStyle name="Normal 2 2 10 18 2 5" xfId="6613" xr:uid="{00000000-0005-0000-0000-0000D5190000}"/>
    <cellStyle name="Normal 2 2 10 18 2 6" xfId="6614" xr:uid="{00000000-0005-0000-0000-0000D6190000}"/>
    <cellStyle name="Normal 2 2 10 18 2 7" xfId="6615" xr:uid="{00000000-0005-0000-0000-0000D7190000}"/>
    <cellStyle name="Normal 2 2 10 18 2 8" xfId="6616" xr:uid="{00000000-0005-0000-0000-0000D8190000}"/>
    <cellStyle name="Normal 2 2 10 18 2 9" xfId="6617" xr:uid="{00000000-0005-0000-0000-0000D9190000}"/>
    <cellStyle name="Normal 2 2 10 18 3" xfId="6618" xr:uid="{00000000-0005-0000-0000-0000DA190000}"/>
    <cellStyle name="Normal 2 2 10 18 3 10" xfId="6619" xr:uid="{00000000-0005-0000-0000-0000DB190000}"/>
    <cellStyle name="Normal 2 2 10 18 3 2" xfId="6620" xr:uid="{00000000-0005-0000-0000-0000DC190000}"/>
    <cellStyle name="Normal 2 2 10 18 3 3" xfId="6621" xr:uid="{00000000-0005-0000-0000-0000DD190000}"/>
    <cellStyle name="Normal 2 2 10 18 3 4" xfId="6622" xr:uid="{00000000-0005-0000-0000-0000DE190000}"/>
    <cellStyle name="Normal 2 2 10 18 3 5" xfId="6623" xr:uid="{00000000-0005-0000-0000-0000DF190000}"/>
    <cellStyle name="Normal 2 2 10 18 3 6" xfId="6624" xr:uid="{00000000-0005-0000-0000-0000E0190000}"/>
    <cellStyle name="Normal 2 2 10 18 3 7" xfId="6625" xr:uid="{00000000-0005-0000-0000-0000E1190000}"/>
    <cellStyle name="Normal 2 2 10 18 3 8" xfId="6626" xr:uid="{00000000-0005-0000-0000-0000E2190000}"/>
    <cellStyle name="Normal 2 2 10 18 3 9" xfId="6627" xr:uid="{00000000-0005-0000-0000-0000E3190000}"/>
    <cellStyle name="Normal 2 2 10 18 4" xfId="6628" xr:uid="{00000000-0005-0000-0000-0000E4190000}"/>
    <cellStyle name="Normal 2 2 10 18 4 10" xfId="6629" xr:uid="{00000000-0005-0000-0000-0000E5190000}"/>
    <cellStyle name="Normal 2 2 10 18 4 2" xfId="6630" xr:uid="{00000000-0005-0000-0000-0000E6190000}"/>
    <cellStyle name="Normal 2 2 10 18 4 3" xfId="6631" xr:uid="{00000000-0005-0000-0000-0000E7190000}"/>
    <cellStyle name="Normal 2 2 10 18 4 4" xfId="6632" xr:uid="{00000000-0005-0000-0000-0000E8190000}"/>
    <cellStyle name="Normal 2 2 10 18 4 5" xfId="6633" xr:uid="{00000000-0005-0000-0000-0000E9190000}"/>
    <cellStyle name="Normal 2 2 10 18 4 6" xfId="6634" xr:uid="{00000000-0005-0000-0000-0000EA190000}"/>
    <cellStyle name="Normal 2 2 10 18 4 7" xfId="6635" xr:uid="{00000000-0005-0000-0000-0000EB190000}"/>
    <cellStyle name="Normal 2 2 10 18 4 8" xfId="6636" xr:uid="{00000000-0005-0000-0000-0000EC190000}"/>
    <cellStyle name="Normal 2 2 10 18 4 9" xfId="6637" xr:uid="{00000000-0005-0000-0000-0000ED190000}"/>
    <cellStyle name="Normal 2 2 10 18 5" xfId="6638" xr:uid="{00000000-0005-0000-0000-0000EE190000}"/>
    <cellStyle name="Normal 2 2 10 18 5 10" xfId="6639" xr:uid="{00000000-0005-0000-0000-0000EF190000}"/>
    <cellStyle name="Normal 2 2 10 18 5 2" xfId="6640" xr:uid="{00000000-0005-0000-0000-0000F0190000}"/>
    <cellStyle name="Normal 2 2 10 18 5 3" xfId="6641" xr:uid="{00000000-0005-0000-0000-0000F1190000}"/>
    <cellStyle name="Normal 2 2 10 18 5 4" xfId="6642" xr:uid="{00000000-0005-0000-0000-0000F2190000}"/>
    <cellStyle name="Normal 2 2 10 18 5 5" xfId="6643" xr:uid="{00000000-0005-0000-0000-0000F3190000}"/>
    <cellStyle name="Normal 2 2 10 18 5 6" xfId="6644" xr:uid="{00000000-0005-0000-0000-0000F4190000}"/>
    <cellStyle name="Normal 2 2 10 18 5 7" xfId="6645" xr:uid="{00000000-0005-0000-0000-0000F5190000}"/>
    <cellStyle name="Normal 2 2 10 18 5 8" xfId="6646" xr:uid="{00000000-0005-0000-0000-0000F6190000}"/>
    <cellStyle name="Normal 2 2 10 18 5 9" xfId="6647" xr:uid="{00000000-0005-0000-0000-0000F7190000}"/>
    <cellStyle name="Normal 2 2 10 18 6" xfId="6648" xr:uid="{00000000-0005-0000-0000-0000F8190000}"/>
    <cellStyle name="Normal 2 2 10 18 7" xfId="6649" xr:uid="{00000000-0005-0000-0000-0000F9190000}"/>
    <cellStyle name="Normal 2 2 10 18 8" xfId="6650" xr:uid="{00000000-0005-0000-0000-0000FA190000}"/>
    <cellStyle name="Normal 2 2 10 18 9" xfId="6651" xr:uid="{00000000-0005-0000-0000-0000FB190000}"/>
    <cellStyle name="Normal 2 2 10 19" xfId="6652" xr:uid="{00000000-0005-0000-0000-0000FC190000}"/>
    <cellStyle name="Normal 2 2 10 19 10" xfId="6653" xr:uid="{00000000-0005-0000-0000-0000FD190000}"/>
    <cellStyle name="Normal 2 2 10 19 11" xfId="6654" xr:uid="{00000000-0005-0000-0000-0000FE190000}"/>
    <cellStyle name="Normal 2 2 10 19 12" xfId="6655" xr:uid="{00000000-0005-0000-0000-0000FF190000}"/>
    <cellStyle name="Normal 2 2 10 19 13" xfId="6656" xr:uid="{00000000-0005-0000-0000-0000001A0000}"/>
    <cellStyle name="Normal 2 2 10 19 14" xfId="6657" xr:uid="{00000000-0005-0000-0000-0000011A0000}"/>
    <cellStyle name="Normal 2 2 10 19 2" xfId="6658" xr:uid="{00000000-0005-0000-0000-0000021A0000}"/>
    <cellStyle name="Normal 2 2 10 19 2 10" xfId="6659" xr:uid="{00000000-0005-0000-0000-0000031A0000}"/>
    <cellStyle name="Normal 2 2 10 19 2 2" xfId="6660" xr:uid="{00000000-0005-0000-0000-0000041A0000}"/>
    <cellStyle name="Normal 2 2 10 19 2 3" xfId="6661" xr:uid="{00000000-0005-0000-0000-0000051A0000}"/>
    <cellStyle name="Normal 2 2 10 19 2 4" xfId="6662" xr:uid="{00000000-0005-0000-0000-0000061A0000}"/>
    <cellStyle name="Normal 2 2 10 19 2 5" xfId="6663" xr:uid="{00000000-0005-0000-0000-0000071A0000}"/>
    <cellStyle name="Normal 2 2 10 19 2 6" xfId="6664" xr:uid="{00000000-0005-0000-0000-0000081A0000}"/>
    <cellStyle name="Normal 2 2 10 19 2 7" xfId="6665" xr:uid="{00000000-0005-0000-0000-0000091A0000}"/>
    <cellStyle name="Normal 2 2 10 19 2 8" xfId="6666" xr:uid="{00000000-0005-0000-0000-00000A1A0000}"/>
    <cellStyle name="Normal 2 2 10 19 2 9" xfId="6667" xr:uid="{00000000-0005-0000-0000-00000B1A0000}"/>
    <cellStyle name="Normal 2 2 10 19 3" xfId="6668" xr:uid="{00000000-0005-0000-0000-00000C1A0000}"/>
    <cellStyle name="Normal 2 2 10 19 3 10" xfId="6669" xr:uid="{00000000-0005-0000-0000-00000D1A0000}"/>
    <cellStyle name="Normal 2 2 10 19 3 2" xfId="6670" xr:uid="{00000000-0005-0000-0000-00000E1A0000}"/>
    <cellStyle name="Normal 2 2 10 19 3 3" xfId="6671" xr:uid="{00000000-0005-0000-0000-00000F1A0000}"/>
    <cellStyle name="Normal 2 2 10 19 3 4" xfId="6672" xr:uid="{00000000-0005-0000-0000-0000101A0000}"/>
    <cellStyle name="Normal 2 2 10 19 3 5" xfId="6673" xr:uid="{00000000-0005-0000-0000-0000111A0000}"/>
    <cellStyle name="Normal 2 2 10 19 3 6" xfId="6674" xr:uid="{00000000-0005-0000-0000-0000121A0000}"/>
    <cellStyle name="Normal 2 2 10 19 3 7" xfId="6675" xr:uid="{00000000-0005-0000-0000-0000131A0000}"/>
    <cellStyle name="Normal 2 2 10 19 3 8" xfId="6676" xr:uid="{00000000-0005-0000-0000-0000141A0000}"/>
    <cellStyle name="Normal 2 2 10 19 3 9" xfId="6677" xr:uid="{00000000-0005-0000-0000-0000151A0000}"/>
    <cellStyle name="Normal 2 2 10 19 4" xfId="6678" xr:uid="{00000000-0005-0000-0000-0000161A0000}"/>
    <cellStyle name="Normal 2 2 10 19 4 10" xfId="6679" xr:uid="{00000000-0005-0000-0000-0000171A0000}"/>
    <cellStyle name="Normal 2 2 10 19 4 2" xfId="6680" xr:uid="{00000000-0005-0000-0000-0000181A0000}"/>
    <cellStyle name="Normal 2 2 10 19 4 3" xfId="6681" xr:uid="{00000000-0005-0000-0000-0000191A0000}"/>
    <cellStyle name="Normal 2 2 10 19 4 4" xfId="6682" xr:uid="{00000000-0005-0000-0000-00001A1A0000}"/>
    <cellStyle name="Normal 2 2 10 19 4 5" xfId="6683" xr:uid="{00000000-0005-0000-0000-00001B1A0000}"/>
    <cellStyle name="Normal 2 2 10 19 4 6" xfId="6684" xr:uid="{00000000-0005-0000-0000-00001C1A0000}"/>
    <cellStyle name="Normal 2 2 10 19 4 7" xfId="6685" xr:uid="{00000000-0005-0000-0000-00001D1A0000}"/>
    <cellStyle name="Normal 2 2 10 19 4 8" xfId="6686" xr:uid="{00000000-0005-0000-0000-00001E1A0000}"/>
    <cellStyle name="Normal 2 2 10 19 4 9" xfId="6687" xr:uid="{00000000-0005-0000-0000-00001F1A0000}"/>
    <cellStyle name="Normal 2 2 10 19 5" xfId="6688" xr:uid="{00000000-0005-0000-0000-0000201A0000}"/>
    <cellStyle name="Normal 2 2 10 19 5 10" xfId="6689" xr:uid="{00000000-0005-0000-0000-0000211A0000}"/>
    <cellStyle name="Normal 2 2 10 19 5 2" xfId="6690" xr:uid="{00000000-0005-0000-0000-0000221A0000}"/>
    <cellStyle name="Normal 2 2 10 19 5 3" xfId="6691" xr:uid="{00000000-0005-0000-0000-0000231A0000}"/>
    <cellStyle name="Normal 2 2 10 19 5 4" xfId="6692" xr:uid="{00000000-0005-0000-0000-0000241A0000}"/>
    <cellStyle name="Normal 2 2 10 19 5 5" xfId="6693" xr:uid="{00000000-0005-0000-0000-0000251A0000}"/>
    <cellStyle name="Normal 2 2 10 19 5 6" xfId="6694" xr:uid="{00000000-0005-0000-0000-0000261A0000}"/>
    <cellStyle name="Normal 2 2 10 19 5 7" xfId="6695" xr:uid="{00000000-0005-0000-0000-0000271A0000}"/>
    <cellStyle name="Normal 2 2 10 19 5 8" xfId="6696" xr:uid="{00000000-0005-0000-0000-0000281A0000}"/>
    <cellStyle name="Normal 2 2 10 19 5 9" xfId="6697" xr:uid="{00000000-0005-0000-0000-0000291A0000}"/>
    <cellStyle name="Normal 2 2 10 19 6" xfId="6698" xr:uid="{00000000-0005-0000-0000-00002A1A0000}"/>
    <cellStyle name="Normal 2 2 10 19 7" xfId="6699" xr:uid="{00000000-0005-0000-0000-00002B1A0000}"/>
    <cellStyle name="Normal 2 2 10 19 8" xfId="6700" xr:uid="{00000000-0005-0000-0000-00002C1A0000}"/>
    <cellStyle name="Normal 2 2 10 19 9" xfId="6701" xr:uid="{00000000-0005-0000-0000-00002D1A0000}"/>
    <cellStyle name="Normal 2 2 10 2" xfId="6702" xr:uid="{00000000-0005-0000-0000-00002E1A0000}"/>
    <cellStyle name="Normal 2 2 10 2 10" xfId="6703" xr:uid="{00000000-0005-0000-0000-00002F1A0000}"/>
    <cellStyle name="Normal 2 2 10 2 10 10" xfId="6704" xr:uid="{00000000-0005-0000-0000-0000301A0000}"/>
    <cellStyle name="Normal 2 2 10 2 10 11" xfId="6705" xr:uid="{00000000-0005-0000-0000-0000311A0000}"/>
    <cellStyle name="Normal 2 2 10 2 10 12" xfId="6706" xr:uid="{00000000-0005-0000-0000-0000321A0000}"/>
    <cellStyle name="Normal 2 2 10 2 10 13" xfId="6707" xr:uid="{00000000-0005-0000-0000-0000331A0000}"/>
    <cellStyle name="Normal 2 2 10 2 10 14" xfId="6708" xr:uid="{00000000-0005-0000-0000-0000341A0000}"/>
    <cellStyle name="Normal 2 2 10 2 10 2" xfId="6709" xr:uid="{00000000-0005-0000-0000-0000351A0000}"/>
    <cellStyle name="Normal 2 2 10 2 10 2 10" xfId="6710" xr:uid="{00000000-0005-0000-0000-0000361A0000}"/>
    <cellStyle name="Normal 2 2 10 2 10 2 2" xfId="6711" xr:uid="{00000000-0005-0000-0000-0000371A0000}"/>
    <cellStyle name="Normal 2 2 10 2 10 2 3" xfId="6712" xr:uid="{00000000-0005-0000-0000-0000381A0000}"/>
    <cellStyle name="Normal 2 2 10 2 10 2 4" xfId="6713" xr:uid="{00000000-0005-0000-0000-0000391A0000}"/>
    <cellStyle name="Normal 2 2 10 2 10 2 5" xfId="6714" xr:uid="{00000000-0005-0000-0000-00003A1A0000}"/>
    <cellStyle name="Normal 2 2 10 2 10 2 6" xfId="6715" xr:uid="{00000000-0005-0000-0000-00003B1A0000}"/>
    <cellStyle name="Normal 2 2 10 2 10 2 7" xfId="6716" xr:uid="{00000000-0005-0000-0000-00003C1A0000}"/>
    <cellStyle name="Normal 2 2 10 2 10 2 8" xfId="6717" xr:uid="{00000000-0005-0000-0000-00003D1A0000}"/>
    <cellStyle name="Normal 2 2 10 2 10 2 9" xfId="6718" xr:uid="{00000000-0005-0000-0000-00003E1A0000}"/>
    <cellStyle name="Normal 2 2 10 2 10 3" xfId="6719" xr:uid="{00000000-0005-0000-0000-00003F1A0000}"/>
    <cellStyle name="Normal 2 2 10 2 10 3 10" xfId="6720" xr:uid="{00000000-0005-0000-0000-0000401A0000}"/>
    <cellStyle name="Normal 2 2 10 2 10 3 2" xfId="6721" xr:uid="{00000000-0005-0000-0000-0000411A0000}"/>
    <cellStyle name="Normal 2 2 10 2 10 3 3" xfId="6722" xr:uid="{00000000-0005-0000-0000-0000421A0000}"/>
    <cellStyle name="Normal 2 2 10 2 10 3 4" xfId="6723" xr:uid="{00000000-0005-0000-0000-0000431A0000}"/>
    <cellStyle name="Normal 2 2 10 2 10 3 5" xfId="6724" xr:uid="{00000000-0005-0000-0000-0000441A0000}"/>
    <cellStyle name="Normal 2 2 10 2 10 3 6" xfId="6725" xr:uid="{00000000-0005-0000-0000-0000451A0000}"/>
    <cellStyle name="Normal 2 2 10 2 10 3 7" xfId="6726" xr:uid="{00000000-0005-0000-0000-0000461A0000}"/>
    <cellStyle name="Normal 2 2 10 2 10 3 8" xfId="6727" xr:uid="{00000000-0005-0000-0000-0000471A0000}"/>
    <cellStyle name="Normal 2 2 10 2 10 3 9" xfId="6728" xr:uid="{00000000-0005-0000-0000-0000481A0000}"/>
    <cellStyle name="Normal 2 2 10 2 10 4" xfId="6729" xr:uid="{00000000-0005-0000-0000-0000491A0000}"/>
    <cellStyle name="Normal 2 2 10 2 10 4 10" xfId="6730" xr:uid="{00000000-0005-0000-0000-00004A1A0000}"/>
    <cellStyle name="Normal 2 2 10 2 10 4 2" xfId="6731" xr:uid="{00000000-0005-0000-0000-00004B1A0000}"/>
    <cellStyle name="Normal 2 2 10 2 10 4 3" xfId="6732" xr:uid="{00000000-0005-0000-0000-00004C1A0000}"/>
    <cellStyle name="Normal 2 2 10 2 10 4 4" xfId="6733" xr:uid="{00000000-0005-0000-0000-00004D1A0000}"/>
    <cellStyle name="Normal 2 2 10 2 10 4 5" xfId="6734" xr:uid="{00000000-0005-0000-0000-00004E1A0000}"/>
    <cellStyle name="Normal 2 2 10 2 10 4 6" xfId="6735" xr:uid="{00000000-0005-0000-0000-00004F1A0000}"/>
    <cellStyle name="Normal 2 2 10 2 10 4 7" xfId="6736" xr:uid="{00000000-0005-0000-0000-0000501A0000}"/>
    <cellStyle name="Normal 2 2 10 2 10 4 8" xfId="6737" xr:uid="{00000000-0005-0000-0000-0000511A0000}"/>
    <cellStyle name="Normal 2 2 10 2 10 4 9" xfId="6738" xr:uid="{00000000-0005-0000-0000-0000521A0000}"/>
    <cellStyle name="Normal 2 2 10 2 10 5" xfId="6739" xr:uid="{00000000-0005-0000-0000-0000531A0000}"/>
    <cellStyle name="Normal 2 2 10 2 10 5 10" xfId="6740" xr:uid="{00000000-0005-0000-0000-0000541A0000}"/>
    <cellStyle name="Normal 2 2 10 2 10 5 2" xfId="6741" xr:uid="{00000000-0005-0000-0000-0000551A0000}"/>
    <cellStyle name="Normal 2 2 10 2 10 5 3" xfId="6742" xr:uid="{00000000-0005-0000-0000-0000561A0000}"/>
    <cellStyle name="Normal 2 2 10 2 10 5 4" xfId="6743" xr:uid="{00000000-0005-0000-0000-0000571A0000}"/>
    <cellStyle name="Normal 2 2 10 2 10 5 5" xfId="6744" xr:uid="{00000000-0005-0000-0000-0000581A0000}"/>
    <cellStyle name="Normal 2 2 10 2 10 5 6" xfId="6745" xr:uid="{00000000-0005-0000-0000-0000591A0000}"/>
    <cellStyle name="Normal 2 2 10 2 10 5 7" xfId="6746" xr:uid="{00000000-0005-0000-0000-00005A1A0000}"/>
    <cellStyle name="Normal 2 2 10 2 10 5 8" xfId="6747" xr:uid="{00000000-0005-0000-0000-00005B1A0000}"/>
    <cellStyle name="Normal 2 2 10 2 10 5 9" xfId="6748" xr:uid="{00000000-0005-0000-0000-00005C1A0000}"/>
    <cellStyle name="Normal 2 2 10 2 10 6" xfId="6749" xr:uid="{00000000-0005-0000-0000-00005D1A0000}"/>
    <cellStyle name="Normal 2 2 10 2 10 7" xfId="6750" xr:uid="{00000000-0005-0000-0000-00005E1A0000}"/>
    <cellStyle name="Normal 2 2 10 2 10 8" xfId="6751" xr:uid="{00000000-0005-0000-0000-00005F1A0000}"/>
    <cellStyle name="Normal 2 2 10 2 10 9" xfId="6752" xr:uid="{00000000-0005-0000-0000-0000601A0000}"/>
    <cellStyle name="Normal 2 2 10 2 11" xfId="6753" xr:uid="{00000000-0005-0000-0000-0000611A0000}"/>
    <cellStyle name="Normal 2 2 10 2 11 10" xfId="6754" xr:uid="{00000000-0005-0000-0000-0000621A0000}"/>
    <cellStyle name="Normal 2 2 10 2 11 11" xfId="6755" xr:uid="{00000000-0005-0000-0000-0000631A0000}"/>
    <cellStyle name="Normal 2 2 10 2 11 12" xfId="6756" xr:uid="{00000000-0005-0000-0000-0000641A0000}"/>
    <cellStyle name="Normal 2 2 10 2 11 13" xfId="6757" xr:uid="{00000000-0005-0000-0000-0000651A0000}"/>
    <cellStyle name="Normal 2 2 10 2 11 14" xfId="6758" xr:uid="{00000000-0005-0000-0000-0000661A0000}"/>
    <cellStyle name="Normal 2 2 10 2 11 2" xfId="6759" xr:uid="{00000000-0005-0000-0000-0000671A0000}"/>
    <cellStyle name="Normal 2 2 10 2 11 2 10" xfId="6760" xr:uid="{00000000-0005-0000-0000-0000681A0000}"/>
    <cellStyle name="Normal 2 2 10 2 11 2 2" xfId="6761" xr:uid="{00000000-0005-0000-0000-0000691A0000}"/>
    <cellStyle name="Normal 2 2 10 2 11 2 3" xfId="6762" xr:uid="{00000000-0005-0000-0000-00006A1A0000}"/>
    <cellStyle name="Normal 2 2 10 2 11 2 4" xfId="6763" xr:uid="{00000000-0005-0000-0000-00006B1A0000}"/>
    <cellStyle name="Normal 2 2 10 2 11 2 5" xfId="6764" xr:uid="{00000000-0005-0000-0000-00006C1A0000}"/>
    <cellStyle name="Normal 2 2 10 2 11 2 6" xfId="6765" xr:uid="{00000000-0005-0000-0000-00006D1A0000}"/>
    <cellStyle name="Normal 2 2 10 2 11 2 7" xfId="6766" xr:uid="{00000000-0005-0000-0000-00006E1A0000}"/>
    <cellStyle name="Normal 2 2 10 2 11 2 8" xfId="6767" xr:uid="{00000000-0005-0000-0000-00006F1A0000}"/>
    <cellStyle name="Normal 2 2 10 2 11 2 9" xfId="6768" xr:uid="{00000000-0005-0000-0000-0000701A0000}"/>
    <cellStyle name="Normal 2 2 10 2 11 3" xfId="6769" xr:uid="{00000000-0005-0000-0000-0000711A0000}"/>
    <cellStyle name="Normal 2 2 10 2 11 3 10" xfId="6770" xr:uid="{00000000-0005-0000-0000-0000721A0000}"/>
    <cellStyle name="Normal 2 2 10 2 11 3 2" xfId="6771" xr:uid="{00000000-0005-0000-0000-0000731A0000}"/>
    <cellStyle name="Normal 2 2 10 2 11 3 3" xfId="6772" xr:uid="{00000000-0005-0000-0000-0000741A0000}"/>
    <cellStyle name="Normal 2 2 10 2 11 3 4" xfId="6773" xr:uid="{00000000-0005-0000-0000-0000751A0000}"/>
    <cellStyle name="Normal 2 2 10 2 11 3 5" xfId="6774" xr:uid="{00000000-0005-0000-0000-0000761A0000}"/>
    <cellStyle name="Normal 2 2 10 2 11 3 6" xfId="6775" xr:uid="{00000000-0005-0000-0000-0000771A0000}"/>
    <cellStyle name="Normal 2 2 10 2 11 3 7" xfId="6776" xr:uid="{00000000-0005-0000-0000-0000781A0000}"/>
    <cellStyle name="Normal 2 2 10 2 11 3 8" xfId="6777" xr:uid="{00000000-0005-0000-0000-0000791A0000}"/>
    <cellStyle name="Normal 2 2 10 2 11 3 9" xfId="6778" xr:uid="{00000000-0005-0000-0000-00007A1A0000}"/>
    <cellStyle name="Normal 2 2 10 2 11 4" xfId="6779" xr:uid="{00000000-0005-0000-0000-00007B1A0000}"/>
    <cellStyle name="Normal 2 2 10 2 11 4 10" xfId="6780" xr:uid="{00000000-0005-0000-0000-00007C1A0000}"/>
    <cellStyle name="Normal 2 2 10 2 11 4 2" xfId="6781" xr:uid="{00000000-0005-0000-0000-00007D1A0000}"/>
    <cellStyle name="Normal 2 2 10 2 11 4 3" xfId="6782" xr:uid="{00000000-0005-0000-0000-00007E1A0000}"/>
    <cellStyle name="Normal 2 2 10 2 11 4 4" xfId="6783" xr:uid="{00000000-0005-0000-0000-00007F1A0000}"/>
    <cellStyle name="Normal 2 2 10 2 11 4 5" xfId="6784" xr:uid="{00000000-0005-0000-0000-0000801A0000}"/>
    <cellStyle name="Normal 2 2 10 2 11 4 6" xfId="6785" xr:uid="{00000000-0005-0000-0000-0000811A0000}"/>
    <cellStyle name="Normal 2 2 10 2 11 4 7" xfId="6786" xr:uid="{00000000-0005-0000-0000-0000821A0000}"/>
    <cellStyle name="Normal 2 2 10 2 11 4 8" xfId="6787" xr:uid="{00000000-0005-0000-0000-0000831A0000}"/>
    <cellStyle name="Normal 2 2 10 2 11 4 9" xfId="6788" xr:uid="{00000000-0005-0000-0000-0000841A0000}"/>
    <cellStyle name="Normal 2 2 10 2 11 5" xfId="6789" xr:uid="{00000000-0005-0000-0000-0000851A0000}"/>
    <cellStyle name="Normal 2 2 10 2 11 5 10" xfId="6790" xr:uid="{00000000-0005-0000-0000-0000861A0000}"/>
    <cellStyle name="Normal 2 2 10 2 11 5 2" xfId="6791" xr:uid="{00000000-0005-0000-0000-0000871A0000}"/>
    <cellStyle name="Normal 2 2 10 2 11 5 3" xfId="6792" xr:uid="{00000000-0005-0000-0000-0000881A0000}"/>
    <cellStyle name="Normal 2 2 10 2 11 5 4" xfId="6793" xr:uid="{00000000-0005-0000-0000-0000891A0000}"/>
    <cellStyle name="Normal 2 2 10 2 11 5 5" xfId="6794" xr:uid="{00000000-0005-0000-0000-00008A1A0000}"/>
    <cellStyle name="Normal 2 2 10 2 11 5 6" xfId="6795" xr:uid="{00000000-0005-0000-0000-00008B1A0000}"/>
    <cellStyle name="Normal 2 2 10 2 11 5 7" xfId="6796" xr:uid="{00000000-0005-0000-0000-00008C1A0000}"/>
    <cellStyle name="Normal 2 2 10 2 11 5 8" xfId="6797" xr:uid="{00000000-0005-0000-0000-00008D1A0000}"/>
    <cellStyle name="Normal 2 2 10 2 11 5 9" xfId="6798" xr:uid="{00000000-0005-0000-0000-00008E1A0000}"/>
    <cellStyle name="Normal 2 2 10 2 11 6" xfId="6799" xr:uid="{00000000-0005-0000-0000-00008F1A0000}"/>
    <cellStyle name="Normal 2 2 10 2 11 7" xfId="6800" xr:uid="{00000000-0005-0000-0000-0000901A0000}"/>
    <cellStyle name="Normal 2 2 10 2 11 8" xfId="6801" xr:uid="{00000000-0005-0000-0000-0000911A0000}"/>
    <cellStyle name="Normal 2 2 10 2 11 9" xfId="6802" xr:uid="{00000000-0005-0000-0000-0000921A0000}"/>
    <cellStyle name="Normal 2 2 10 2 12" xfId="6803" xr:uid="{00000000-0005-0000-0000-0000931A0000}"/>
    <cellStyle name="Normal 2 2 10 2 12 10" xfId="6804" xr:uid="{00000000-0005-0000-0000-0000941A0000}"/>
    <cellStyle name="Normal 2 2 10 2 12 11" xfId="6805" xr:uid="{00000000-0005-0000-0000-0000951A0000}"/>
    <cellStyle name="Normal 2 2 10 2 12 12" xfId="6806" xr:uid="{00000000-0005-0000-0000-0000961A0000}"/>
    <cellStyle name="Normal 2 2 10 2 12 13" xfId="6807" xr:uid="{00000000-0005-0000-0000-0000971A0000}"/>
    <cellStyle name="Normal 2 2 10 2 12 14" xfId="6808" xr:uid="{00000000-0005-0000-0000-0000981A0000}"/>
    <cellStyle name="Normal 2 2 10 2 12 2" xfId="6809" xr:uid="{00000000-0005-0000-0000-0000991A0000}"/>
    <cellStyle name="Normal 2 2 10 2 12 2 10" xfId="6810" xr:uid="{00000000-0005-0000-0000-00009A1A0000}"/>
    <cellStyle name="Normal 2 2 10 2 12 2 2" xfId="6811" xr:uid="{00000000-0005-0000-0000-00009B1A0000}"/>
    <cellStyle name="Normal 2 2 10 2 12 2 3" xfId="6812" xr:uid="{00000000-0005-0000-0000-00009C1A0000}"/>
    <cellStyle name="Normal 2 2 10 2 12 2 4" xfId="6813" xr:uid="{00000000-0005-0000-0000-00009D1A0000}"/>
    <cellStyle name="Normal 2 2 10 2 12 2 5" xfId="6814" xr:uid="{00000000-0005-0000-0000-00009E1A0000}"/>
    <cellStyle name="Normal 2 2 10 2 12 2 6" xfId="6815" xr:uid="{00000000-0005-0000-0000-00009F1A0000}"/>
    <cellStyle name="Normal 2 2 10 2 12 2 7" xfId="6816" xr:uid="{00000000-0005-0000-0000-0000A01A0000}"/>
    <cellStyle name="Normal 2 2 10 2 12 2 8" xfId="6817" xr:uid="{00000000-0005-0000-0000-0000A11A0000}"/>
    <cellStyle name="Normal 2 2 10 2 12 2 9" xfId="6818" xr:uid="{00000000-0005-0000-0000-0000A21A0000}"/>
    <cellStyle name="Normal 2 2 10 2 12 3" xfId="6819" xr:uid="{00000000-0005-0000-0000-0000A31A0000}"/>
    <cellStyle name="Normal 2 2 10 2 12 3 10" xfId="6820" xr:uid="{00000000-0005-0000-0000-0000A41A0000}"/>
    <cellStyle name="Normal 2 2 10 2 12 3 2" xfId="6821" xr:uid="{00000000-0005-0000-0000-0000A51A0000}"/>
    <cellStyle name="Normal 2 2 10 2 12 3 3" xfId="6822" xr:uid="{00000000-0005-0000-0000-0000A61A0000}"/>
    <cellStyle name="Normal 2 2 10 2 12 3 4" xfId="6823" xr:uid="{00000000-0005-0000-0000-0000A71A0000}"/>
    <cellStyle name="Normal 2 2 10 2 12 3 5" xfId="6824" xr:uid="{00000000-0005-0000-0000-0000A81A0000}"/>
    <cellStyle name="Normal 2 2 10 2 12 3 6" xfId="6825" xr:uid="{00000000-0005-0000-0000-0000A91A0000}"/>
    <cellStyle name="Normal 2 2 10 2 12 3 7" xfId="6826" xr:uid="{00000000-0005-0000-0000-0000AA1A0000}"/>
    <cellStyle name="Normal 2 2 10 2 12 3 8" xfId="6827" xr:uid="{00000000-0005-0000-0000-0000AB1A0000}"/>
    <cellStyle name="Normal 2 2 10 2 12 3 9" xfId="6828" xr:uid="{00000000-0005-0000-0000-0000AC1A0000}"/>
    <cellStyle name="Normal 2 2 10 2 12 4" xfId="6829" xr:uid="{00000000-0005-0000-0000-0000AD1A0000}"/>
    <cellStyle name="Normal 2 2 10 2 12 4 10" xfId="6830" xr:uid="{00000000-0005-0000-0000-0000AE1A0000}"/>
    <cellStyle name="Normal 2 2 10 2 12 4 2" xfId="6831" xr:uid="{00000000-0005-0000-0000-0000AF1A0000}"/>
    <cellStyle name="Normal 2 2 10 2 12 4 3" xfId="6832" xr:uid="{00000000-0005-0000-0000-0000B01A0000}"/>
    <cellStyle name="Normal 2 2 10 2 12 4 4" xfId="6833" xr:uid="{00000000-0005-0000-0000-0000B11A0000}"/>
    <cellStyle name="Normal 2 2 10 2 12 4 5" xfId="6834" xr:uid="{00000000-0005-0000-0000-0000B21A0000}"/>
    <cellStyle name="Normal 2 2 10 2 12 4 6" xfId="6835" xr:uid="{00000000-0005-0000-0000-0000B31A0000}"/>
    <cellStyle name="Normal 2 2 10 2 12 4 7" xfId="6836" xr:uid="{00000000-0005-0000-0000-0000B41A0000}"/>
    <cellStyle name="Normal 2 2 10 2 12 4 8" xfId="6837" xr:uid="{00000000-0005-0000-0000-0000B51A0000}"/>
    <cellStyle name="Normal 2 2 10 2 12 4 9" xfId="6838" xr:uid="{00000000-0005-0000-0000-0000B61A0000}"/>
    <cellStyle name="Normal 2 2 10 2 12 5" xfId="6839" xr:uid="{00000000-0005-0000-0000-0000B71A0000}"/>
    <cellStyle name="Normal 2 2 10 2 12 5 10" xfId="6840" xr:uid="{00000000-0005-0000-0000-0000B81A0000}"/>
    <cellStyle name="Normal 2 2 10 2 12 5 2" xfId="6841" xr:uid="{00000000-0005-0000-0000-0000B91A0000}"/>
    <cellStyle name="Normal 2 2 10 2 12 5 3" xfId="6842" xr:uid="{00000000-0005-0000-0000-0000BA1A0000}"/>
    <cellStyle name="Normal 2 2 10 2 12 5 4" xfId="6843" xr:uid="{00000000-0005-0000-0000-0000BB1A0000}"/>
    <cellStyle name="Normal 2 2 10 2 12 5 5" xfId="6844" xr:uid="{00000000-0005-0000-0000-0000BC1A0000}"/>
    <cellStyle name="Normal 2 2 10 2 12 5 6" xfId="6845" xr:uid="{00000000-0005-0000-0000-0000BD1A0000}"/>
    <cellStyle name="Normal 2 2 10 2 12 5 7" xfId="6846" xr:uid="{00000000-0005-0000-0000-0000BE1A0000}"/>
    <cellStyle name="Normal 2 2 10 2 12 5 8" xfId="6847" xr:uid="{00000000-0005-0000-0000-0000BF1A0000}"/>
    <cellStyle name="Normal 2 2 10 2 12 5 9" xfId="6848" xr:uid="{00000000-0005-0000-0000-0000C01A0000}"/>
    <cellStyle name="Normal 2 2 10 2 12 6" xfId="6849" xr:uid="{00000000-0005-0000-0000-0000C11A0000}"/>
    <cellStyle name="Normal 2 2 10 2 12 7" xfId="6850" xr:uid="{00000000-0005-0000-0000-0000C21A0000}"/>
    <cellStyle name="Normal 2 2 10 2 12 8" xfId="6851" xr:uid="{00000000-0005-0000-0000-0000C31A0000}"/>
    <cellStyle name="Normal 2 2 10 2 12 9" xfId="6852" xr:uid="{00000000-0005-0000-0000-0000C41A0000}"/>
    <cellStyle name="Normal 2 2 10 2 13" xfId="6853" xr:uid="{00000000-0005-0000-0000-0000C51A0000}"/>
    <cellStyle name="Normal 2 2 10 2 13 10" xfId="6854" xr:uid="{00000000-0005-0000-0000-0000C61A0000}"/>
    <cellStyle name="Normal 2 2 10 2 13 11" xfId="6855" xr:uid="{00000000-0005-0000-0000-0000C71A0000}"/>
    <cellStyle name="Normal 2 2 10 2 13 12" xfId="6856" xr:uid="{00000000-0005-0000-0000-0000C81A0000}"/>
    <cellStyle name="Normal 2 2 10 2 13 13" xfId="6857" xr:uid="{00000000-0005-0000-0000-0000C91A0000}"/>
    <cellStyle name="Normal 2 2 10 2 13 14" xfId="6858" xr:uid="{00000000-0005-0000-0000-0000CA1A0000}"/>
    <cellStyle name="Normal 2 2 10 2 13 2" xfId="6859" xr:uid="{00000000-0005-0000-0000-0000CB1A0000}"/>
    <cellStyle name="Normal 2 2 10 2 13 2 10" xfId="6860" xr:uid="{00000000-0005-0000-0000-0000CC1A0000}"/>
    <cellStyle name="Normal 2 2 10 2 13 2 2" xfId="6861" xr:uid="{00000000-0005-0000-0000-0000CD1A0000}"/>
    <cellStyle name="Normal 2 2 10 2 13 2 3" xfId="6862" xr:uid="{00000000-0005-0000-0000-0000CE1A0000}"/>
    <cellStyle name="Normal 2 2 10 2 13 2 4" xfId="6863" xr:uid="{00000000-0005-0000-0000-0000CF1A0000}"/>
    <cellStyle name="Normal 2 2 10 2 13 2 5" xfId="6864" xr:uid="{00000000-0005-0000-0000-0000D01A0000}"/>
    <cellStyle name="Normal 2 2 10 2 13 2 6" xfId="6865" xr:uid="{00000000-0005-0000-0000-0000D11A0000}"/>
    <cellStyle name="Normal 2 2 10 2 13 2 7" xfId="6866" xr:uid="{00000000-0005-0000-0000-0000D21A0000}"/>
    <cellStyle name="Normal 2 2 10 2 13 2 8" xfId="6867" xr:uid="{00000000-0005-0000-0000-0000D31A0000}"/>
    <cellStyle name="Normal 2 2 10 2 13 2 9" xfId="6868" xr:uid="{00000000-0005-0000-0000-0000D41A0000}"/>
    <cellStyle name="Normal 2 2 10 2 13 3" xfId="6869" xr:uid="{00000000-0005-0000-0000-0000D51A0000}"/>
    <cellStyle name="Normal 2 2 10 2 13 3 10" xfId="6870" xr:uid="{00000000-0005-0000-0000-0000D61A0000}"/>
    <cellStyle name="Normal 2 2 10 2 13 3 2" xfId="6871" xr:uid="{00000000-0005-0000-0000-0000D71A0000}"/>
    <cellStyle name="Normal 2 2 10 2 13 3 3" xfId="6872" xr:uid="{00000000-0005-0000-0000-0000D81A0000}"/>
    <cellStyle name="Normal 2 2 10 2 13 3 4" xfId="6873" xr:uid="{00000000-0005-0000-0000-0000D91A0000}"/>
    <cellStyle name="Normal 2 2 10 2 13 3 5" xfId="6874" xr:uid="{00000000-0005-0000-0000-0000DA1A0000}"/>
    <cellStyle name="Normal 2 2 10 2 13 3 6" xfId="6875" xr:uid="{00000000-0005-0000-0000-0000DB1A0000}"/>
    <cellStyle name="Normal 2 2 10 2 13 3 7" xfId="6876" xr:uid="{00000000-0005-0000-0000-0000DC1A0000}"/>
    <cellStyle name="Normal 2 2 10 2 13 3 8" xfId="6877" xr:uid="{00000000-0005-0000-0000-0000DD1A0000}"/>
    <cellStyle name="Normal 2 2 10 2 13 3 9" xfId="6878" xr:uid="{00000000-0005-0000-0000-0000DE1A0000}"/>
    <cellStyle name="Normal 2 2 10 2 13 4" xfId="6879" xr:uid="{00000000-0005-0000-0000-0000DF1A0000}"/>
    <cellStyle name="Normal 2 2 10 2 13 4 10" xfId="6880" xr:uid="{00000000-0005-0000-0000-0000E01A0000}"/>
    <cellStyle name="Normal 2 2 10 2 13 4 2" xfId="6881" xr:uid="{00000000-0005-0000-0000-0000E11A0000}"/>
    <cellStyle name="Normal 2 2 10 2 13 4 3" xfId="6882" xr:uid="{00000000-0005-0000-0000-0000E21A0000}"/>
    <cellStyle name="Normal 2 2 10 2 13 4 4" xfId="6883" xr:uid="{00000000-0005-0000-0000-0000E31A0000}"/>
    <cellStyle name="Normal 2 2 10 2 13 4 5" xfId="6884" xr:uid="{00000000-0005-0000-0000-0000E41A0000}"/>
    <cellStyle name="Normal 2 2 10 2 13 4 6" xfId="6885" xr:uid="{00000000-0005-0000-0000-0000E51A0000}"/>
    <cellStyle name="Normal 2 2 10 2 13 4 7" xfId="6886" xr:uid="{00000000-0005-0000-0000-0000E61A0000}"/>
    <cellStyle name="Normal 2 2 10 2 13 4 8" xfId="6887" xr:uid="{00000000-0005-0000-0000-0000E71A0000}"/>
    <cellStyle name="Normal 2 2 10 2 13 4 9" xfId="6888" xr:uid="{00000000-0005-0000-0000-0000E81A0000}"/>
    <cellStyle name="Normal 2 2 10 2 13 5" xfId="6889" xr:uid="{00000000-0005-0000-0000-0000E91A0000}"/>
    <cellStyle name="Normal 2 2 10 2 13 5 10" xfId="6890" xr:uid="{00000000-0005-0000-0000-0000EA1A0000}"/>
    <cellStyle name="Normal 2 2 10 2 13 5 2" xfId="6891" xr:uid="{00000000-0005-0000-0000-0000EB1A0000}"/>
    <cellStyle name="Normal 2 2 10 2 13 5 3" xfId="6892" xr:uid="{00000000-0005-0000-0000-0000EC1A0000}"/>
    <cellStyle name="Normal 2 2 10 2 13 5 4" xfId="6893" xr:uid="{00000000-0005-0000-0000-0000ED1A0000}"/>
    <cellStyle name="Normal 2 2 10 2 13 5 5" xfId="6894" xr:uid="{00000000-0005-0000-0000-0000EE1A0000}"/>
    <cellStyle name="Normal 2 2 10 2 13 5 6" xfId="6895" xr:uid="{00000000-0005-0000-0000-0000EF1A0000}"/>
    <cellStyle name="Normal 2 2 10 2 13 5 7" xfId="6896" xr:uid="{00000000-0005-0000-0000-0000F01A0000}"/>
    <cellStyle name="Normal 2 2 10 2 13 5 8" xfId="6897" xr:uid="{00000000-0005-0000-0000-0000F11A0000}"/>
    <cellStyle name="Normal 2 2 10 2 13 5 9" xfId="6898" xr:uid="{00000000-0005-0000-0000-0000F21A0000}"/>
    <cellStyle name="Normal 2 2 10 2 13 6" xfId="6899" xr:uid="{00000000-0005-0000-0000-0000F31A0000}"/>
    <cellStyle name="Normal 2 2 10 2 13 7" xfId="6900" xr:uid="{00000000-0005-0000-0000-0000F41A0000}"/>
    <cellStyle name="Normal 2 2 10 2 13 8" xfId="6901" xr:uid="{00000000-0005-0000-0000-0000F51A0000}"/>
    <cellStyle name="Normal 2 2 10 2 13 9" xfId="6902" xr:uid="{00000000-0005-0000-0000-0000F61A0000}"/>
    <cellStyle name="Normal 2 2 10 2 14" xfId="6903" xr:uid="{00000000-0005-0000-0000-0000F71A0000}"/>
    <cellStyle name="Normal 2 2 10 2 14 10" xfId="6904" xr:uid="{00000000-0005-0000-0000-0000F81A0000}"/>
    <cellStyle name="Normal 2 2 10 2 14 11" xfId="6905" xr:uid="{00000000-0005-0000-0000-0000F91A0000}"/>
    <cellStyle name="Normal 2 2 10 2 14 12" xfId="6906" xr:uid="{00000000-0005-0000-0000-0000FA1A0000}"/>
    <cellStyle name="Normal 2 2 10 2 14 13" xfId="6907" xr:uid="{00000000-0005-0000-0000-0000FB1A0000}"/>
    <cellStyle name="Normal 2 2 10 2 14 14" xfId="6908" xr:uid="{00000000-0005-0000-0000-0000FC1A0000}"/>
    <cellStyle name="Normal 2 2 10 2 14 2" xfId="6909" xr:uid="{00000000-0005-0000-0000-0000FD1A0000}"/>
    <cellStyle name="Normal 2 2 10 2 14 2 10" xfId="6910" xr:uid="{00000000-0005-0000-0000-0000FE1A0000}"/>
    <cellStyle name="Normal 2 2 10 2 14 2 2" xfId="6911" xr:uid="{00000000-0005-0000-0000-0000FF1A0000}"/>
    <cellStyle name="Normal 2 2 10 2 14 2 3" xfId="6912" xr:uid="{00000000-0005-0000-0000-0000001B0000}"/>
    <cellStyle name="Normal 2 2 10 2 14 2 4" xfId="6913" xr:uid="{00000000-0005-0000-0000-0000011B0000}"/>
    <cellStyle name="Normal 2 2 10 2 14 2 5" xfId="6914" xr:uid="{00000000-0005-0000-0000-0000021B0000}"/>
    <cellStyle name="Normal 2 2 10 2 14 2 6" xfId="6915" xr:uid="{00000000-0005-0000-0000-0000031B0000}"/>
    <cellStyle name="Normal 2 2 10 2 14 2 7" xfId="6916" xr:uid="{00000000-0005-0000-0000-0000041B0000}"/>
    <cellStyle name="Normal 2 2 10 2 14 2 8" xfId="6917" xr:uid="{00000000-0005-0000-0000-0000051B0000}"/>
    <cellStyle name="Normal 2 2 10 2 14 2 9" xfId="6918" xr:uid="{00000000-0005-0000-0000-0000061B0000}"/>
    <cellStyle name="Normal 2 2 10 2 14 3" xfId="6919" xr:uid="{00000000-0005-0000-0000-0000071B0000}"/>
    <cellStyle name="Normal 2 2 10 2 14 3 10" xfId="6920" xr:uid="{00000000-0005-0000-0000-0000081B0000}"/>
    <cellStyle name="Normal 2 2 10 2 14 3 2" xfId="6921" xr:uid="{00000000-0005-0000-0000-0000091B0000}"/>
    <cellStyle name="Normal 2 2 10 2 14 3 3" xfId="6922" xr:uid="{00000000-0005-0000-0000-00000A1B0000}"/>
    <cellStyle name="Normal 2 2 10 2 14 3 4" xfId="6923" xr:uid="{00000000-0005-0000-0000-00000B1B0000}"/>
    <cellStyle name="Normal 2 2 10 2 14 3 5" xfId="6924" xr:uid="{00000000-0005-0000-0000-00000C1B0000}"/>
    <cellStyle name="Normal 2 2 10 2 14 3 6" xfId="6925" xr:uid="{00000000-0005-0000-0000-00000D1B0000}"/>
    <cellStyle name="Normal 2 2 10 2 14 3 7" xfId="6926" xr:uid="{00000000-0005-0000-0000-00000E1B0000}"/>
    <cellStyle name="Normal 2 2 10 2 14 3 8" xfId="6927" xr:uid="{00000000-0005-0000-0000-00000F1B0000}"/>
    <cellStyle name="Normal 2 2 10 2 14 3 9" xfId="6928" xr:uid="{00000000-0005-0000-0000-0000101B0000}"/>
    <cellStyle name="Normal 2 2 10 2 14 4" xfId="6929" xr:uid="{00000000-0005-0000-0000-0000111B0000}"/>
    <cellStyle name="Normal 2 2 10 2 14 4 10" xfId="6930" xr:uid="{00000000-0005-0000-0000-0000121B0000}"/>
    <cellStyle name="Normal 2 2 10 2 14 4 2" xfId="6931" xr:uid="{00000000-0005-0000-0000-0000131B0000}"/>
    <cellStyle name="Normal 2 2 10 2 14 4 3" xfId="6932" xr:uid="{00000000-0005-0000-0000-0000141B0000}"/>
    <cellStyle name="Normal 2 2 10 2 14 4 4" xfId="6933" xr:uid="{00000000-0005-0000-0000-0000151B0000}"/>
    <cellStyle name="Normal 2 2 10 2 14 4 5" xfId="6934" xr:uid="{00000000-0005-0000-0000-0000161B0000}"/>
    <cellStyle name="Normal 2 2 10 2 14 4 6" xfId="6935" xr:uid="{00000000-0005-0000-0000-0000171B0000}"/>
    <cellStyle name="Normal 2 2 10 2 14 4 7" xfId="6936" xr:uid="{00000000-0005-0000-0000-0000181B0000}"/>
    <cellStyle name="Normal 2 2 10 2 14 4 8" xfId="6937" xr:uid="{00000000-0005-0000-0000-0000191B0000}"/>
    <cellStyle name="Normal 2 2 10 2 14 4 9" xfId="6938" xr:uid="{00000000-0005-0000-0000-00001A1B0000}"/>
    <cellStyle name="Normal 2 2 10 2 14 5" xfId="6939" xr:uid="{00000000-0005-0000-0000-00001B1B0000}"/>
    <cellStyle name="Normal 2 2 10 2 14 5 10" xfId="6940" xr:uid="{00000000-0005-0000-0000-00001C1B0000}"/>
    <cellStyle name="Normal 2 2 10 2 14 5 2" xfId="6941" xr:uid="{00000000-0005-0000-0000-00001D1B0000}"/>
    <cellStyle name="Normal 2 2 10 2 14 5 3" xfId="6942" xr:uid="{00000000-0005-0000-0000-00001E1B0000}"/>
    <cellStyle name="Normal 2 2 10 2 14 5 4" xfId="6943" xr:uid="{00000000-0005-0000-0000-00001F1B0000}"/>
    <cellStyle name="Normal 2 2 10 2 14 5 5" xfId="6944" xr:uid="{00000000-0005-0000-0000-0000201B0000}"/>
    <cellStyle name="Normal 2 2 10 2 14 5 6" xfId="6945" xr:uid="{00000000-0005-0000-0000-0000211B0000}"/>
    <cellStyle name="Normal 2 2 10 2 14 5 7" xfId="6946" xr:uid="{00000000-0005-0000-0000-0000221B0000}"/>
    <cellStyle name="Normal 2 2 10 2 14 5 8" xfId="6947" xr:uid="{00000000-0005-0000-0000-0000231B0000}"/>
    <cellStyle name="Normal 2 2 10 2 14 5 9" xfId="6948" xr:uid="{00000000-0005-0000-0000-0000241B0000}"/>
    <cellStyle name="Normal 2 2 10 2 14 6" xfId="6949" xr:uid="{00000000-0005-0000-0000-0000251B0000}"/>
    <cellStyle name="Normal 2 2 10 2 14 7" xfId="6950" xr:uid="{00000000-0005-0000-0000-0000261B0000}"/>
    <cellStyle name="Normal 2 2 10 2 14 8" xfId="6951" xr:uid="{00000000-0005-0000-0000-0000271B0000}"/>
    <cellStyle name="Normal 2 2 10 2 14 9" xfId="6952" xr:uid="{00000000-0005-0000-0000-0000281B0000}"/>
    <cellStyle name="Normal 2 2 10 2 15" xfId="6953" xr:uid="{00000000-0005-0000-0000-0000291B0000}"/>
    <cellStyle name="Normal 2 2 10 2 15 10" xfId="6954" xr:uid="{00000000-0005-0000-0000-00002A1B0000}"/>
    <cellStyle name="Normal 2 2 10 2 15 11" xfId="6955" xr:uid="{00000000-0005-0000-0000-00002B1B0000}"/>
    <cellStyle name="Normal 2 2 10 2 15 12" xfId="6956" xr:uid="{00000000-0005-0000-0000-00002C1B0000}"/>
    <cellStyle name="Normal 2 2 10 2 15 13" xfId="6957" xr:uid="{00000000-0005-0000-0000-00002D1B0000}"/>
    <cellStyle name="Normal 2 2 10 2 15 14" xfId="6958" xr:uid="{00000000-0005-0000-0000-00002E1B0000}"/>
    <cellStyle name="Normal 2 2 10 2 15 2" xfId="6959" xr:uid="{00000000-0005-0000-0000-00002F1B0000}"/>
    <cellStyle name="Normal 2 2 10 2 15 2 10" xfId="6960" xr:uid="{00000000-0005-0000-0000-0000301B0000}"/>
    <cellStyle name="Normal 2 2 10 2 15 2 2" xfId="6961" xr:uid="{00000000-0005-0000-0000-0000311B0000}"/>
    <cellStyle name="Normal 2 2 10 2 15 2 3" xfId="6962" xr:uid="{00000000-0005-0000-0000-0000321B0000}"/>
    <cellStyle name="Normal 2 2 10 2 15 2 4" xfId="6963" xr:uid="{00000000-0005-0000-0000-0000331B0000}"/>
    <cellStyle name="Normal 2 2 10 2 15 2 5" xfId="6964" xr:uid="{00000000-0005-0000-0000-0000341B0000}"/>
    <cellStyle name="Normal 2 2 10 2 15 2 6" xfId="6965" xr:uid="{00000000-0005-0000-0000-0000351B0000}"/>
    <cellStyle name="Normal 2 2 10 2 15 2 7" xfId="6966" xr:uid="{00000000-0005-0000-0000-0000361B0000}"/>
    <cellStyle name="Normal 2 2 10 2 15 2 8" xfId="6967" xr:uid="{00000000-0005-0000-0000-0000371B0000}"/>
    <cellStyle name="Normal 2 2 10 2 15 2 9" xfId="6968" xr:uid="{00000000-0005-0000-0000-0000381B0000}"/>
    <cellStyle name="Normal 2 2 10 2 15 3" xfId="6969" xr:uid="{00000000-0005-0000-0000-0000391B0000}"/>
    <cellStyle name="Normal 2 2 10 2 15 3 10" xfId="6970" xr:uid="{00000000-0005-0000-0000-00003A1B0000}"/>
    <cellStyle name="Normal 2 2 10 2 15 3 2" xfId="6971" xr:uid="{00000000-0005-0000-0000-00003B1B0000}"/>
    <cellStyle name="Normal 2 2 10 2 15 3 3" xfId="6972" xr:uid="{00000000-0005-0000-0000-00003C1B0000}"/>
    <cellStyle name="Normal 2 2 10 2 15 3 4" xfId="6973" xr:uid="{00000000-0005-0000-0000-00003D1B0000}"/>
    <cellStyle name="Normal 2 2 10 2 15 3 5" xfId="6974" xr:uid="{00000000-0005-0000-0000-00003E1B0000}"/>
    <cellStyle name="Normal 2 2 10 2 15 3 6" xfId="6975" xr:uid="{00000000-0005-0000-0000-00003F1B0000}"/>
    <cellStyle name="Normal 2 2 10 2 15 3 7" xfId="6976" xr:uid="{00000000-0005-0000-0000-0000401B0000}"/>
    <cellStyle name="Normal 2 2 10 2 15 3 8" xfId="6977" xr:uid="{00000000-0005-0000-0000-0000411B0000}"/>
    <cellStyle name="Normal 2 2 10 2 15 3 9" xfId="6978" xr:uid="{00000000-0005-0000-0000-0000421B0000}"/>
    <cellStyle name="Normal 2 2 10 2 15 4" xfId="6979" xr:uid="{00000000-0005-0000-0000-0000431B0000}"/>
    <cellStyle name="Normal 2 2 10 2 15 4 10" xfId="6980" xr:uid="{00000000-0005-0000-0000-0000441B0000}"/>
    <cellStyle name="Normal 2 2 10 2 15 4 2" xfId="6981" xr:uid="{00000000-0005-0000-0000-0000451B0000}"/>
    <cellStyle name="Normal 2 2 10 2 15 4 3" xfId="6982" xr:uid="{00000000-0005-0000-0000-0000461B0000}"/>
    <cellStyle name="Normal 2 2 10 2 15 4 4" xfId="6983" xr:uid="{00000000-0005-0000-0000-0000471B0000}"/>
    <cellStyle name="Normal 2 2 10 2 15 4 5" xfId="6984" xr:uid="{00000000-0005-0000-0000-0000481B0000}"/>
    <cellStyle name="Normal 2 2 10 2 15 4 6" xfId="6985" xr:uid="{00000000-0005-0000-0000-0000491B0000}"/>
    <cellStyle name="Normal 2 2 10 2 15 4 7" xfId="6986" xr:uid="{00000000-0005-0000-0000-00004A1B0000}"/>
    <cellStyle name="Normal 2 2 10 2 15 4 8" xfId="6987" xr:uid="{00000000-0005-0000-0000-00004B1B0000}"/>
    <cellStyle name="Normal 2 2 10 2 15 4 9" xfId="6988" xr:uid="{00000000-0005-0000-0000-00004C1B0000}"/>
    <cellStyle name="Normal 2 2 10 2 15 5" xfId="6989" xr:uid="{00000000-0005-0000-0000-00004D1B0000}"/>
    <cellStyle name="Normal 2 2 10 2 15 5 10" xfId="6990" xr:uid="{00000000-0005-0000-0000-00004E1B0000}"/>
    <cellStyle name="Normal 2 2 10 2 15 5 2" xfId="6991" xr:uid="{00000000-0005-0000-0000-00004F1B0000}"/>
    <cellStyle name="Normal 2 2 10 2 15 5 3" xfId="6992" xr:uid="{00000000-0005-0000-0000-0000501B0000}"/>
    <cellStyle name="Normal 2 2 10 2 15 5 4" xfId="6993" xr:uid="{00000000-0005-0000-0000-0000511B0000}"/>
    <cellStyle name="Normal 2 2 10 2 15 5 5" xfId="6994" xr:uid="{00000000-0005-0000-0000-0000521B0000}"/>
    <cellStyle name="Normal 2 2 10 2 15 5 6" xfId="6995" xr:uid="{00000000-0005-0000-0000-0000531B0000}"/>
    <cellStyle name="Normal 2 2 10 2 15 5 7" xfId="6996" xr:uid="{00000000-0005-0000-0000-0000541B0000}"/>
    <cellStyle name="Normal 2 2 10 2 15 5 8" xfId="6997" xr:uid="{00000000-0005-0000-0000-0000551B0000}"/>
    <cellStyle name="Normal 2 2 10 2 15 5 9" xfId="6998" xr:uid="{00000000-0005-0000-0000-0000561B0000}"/>
    <cellStyle name="Normal 2 2 10 2 15 6" xfId="6999" xr:uid="{00000000-0005-0000-0000-0000571B0000}"/>
    <cellStyle name="Normal 2 2 10 2 15 7" xfId="7000" xr:uid="{00000000-0005-0000-0000-0000581B0000}"/>
    <cellStyle name="Normal 2 2 10 2 15 8" xfId="7001" xr:uid="{00000000-0005-0000-0000-0000591B0000}"/>
    <cellStyle name="Normal 2 2 10 2 15 9" xfId="7002" xr:uid="{00000000-0005-0000-0000-00005A1B0000}"/>
    <cellStyle name="Normal 2 2 10 2 16" xfId="7003" xr:uid="{00000000-0005-0000-0000-00005B1B0000}"/>
    <cellStyle name="Normal 2 2 10 2 16 10" xfId="7004" xr:uid="{00000000-0005-0000-0000-00005C1B0000}"/>
    <cellStyle name="Normal 2 2 10 2 16 11" xfId="7005" xr:uid="{00000000-0005-0000-0000-00005D1B0000}"/>
    <cellStyle name="Normal 2 2 10 2 16 12" xfId="7006" xr:uid="{00000000-0005-0000-0000-00005E1B0000}"/>
    <cellStyle name="Normal 2 2 10 2 16 13" xfId="7007" xr:uid="{00000000-0005-0000-0000-00005F1B0000}"/>
    <cellStyle name="Normal 2 2 10 2 16 14" xfId="7008" xr:uid="{00000000-0005-0000-0000-0000601B0000}"/>
    <cellStyle name="Normal 2 2 10 2 16 2" xfId="7009" xr:uid="{00000000-0005-0000-0000-0000611B0000}"/>
    <cellStyle name="Normal 2 2 10 2 16 2 10" xfId="7010" xr:uid="{00000000-0005-0000-0000-0000621B0000}"/>
    <cellStyle name="Normal 2 2 10 2 16 2 2" xfId="7011" xr:uid="{00000000-0005-0000-0000-0000631B0000}"/>
    <cellStyle name="Normal 2 2 10 2 16 2 3" xfId="7012" xr:uid="{00000000-0005-0000-0000-0000641B0000}"/>
    <cellStyle name="Normal 2 2 10 2 16 2 4" xfId="7013" xr:uid="{00000000-0005-0000-0000-0000651B0000}"/>
    <cellStyle name="Normal 2 2 10 2 16 2 5" xfId="7014" xr:uid="{00000000-0005-0000-0000-0000661B0000}"/>
    <cellStyle name="Normal 2 2 10 2 16 2 6" xfId="7015" xr:uid="{00000000-0005-0000-0000-0000671B0000}"/>
    <cellStyle name="Normal 2 2 10 2 16 2 7" xfId="7016" xr:uid="{00000000-0005-0000-0000-0000681B0000}"/>
    <cellStyle name="Normal 2 2 10 2 16 2 8" xfId="7017" xr:uid="{00000000-0005-0000-0000-0000691B0000}"/>
    <cellStyle name="Normal 2 2 10 2 16 2 9" xfId="7018" xr:uid="{00000000-0005-0000-0000-00006A1B0000}"/>
    <cellStyle name="Normal 2 2 10 2 16 3" xfId="7019" xr:uid="{00000000-0005-0000-0000-00006B1B0000}"/>
    <cellStyle name="Normal 2 2 10 2 16 3 10" xfId="7020" xr:uid="{00000000-0005-0000-0000-00006C1B0000}"/>
    <cellStyle name="Normal 2 2 10 2 16 3 2" xfId="7021" xr:uid="{00000000-0005-0000-0000-00006D1B0000}"/>
    <cellStyle name="Normal 2 2 10 2 16 3 3" xfId="7022" xr:uid="{00000000-0005-0000-0000-00006E1B0000}"/>
    <cellStyle name="Normal 2 2 10 2 16 3 4" xfId="7023" xr:uid="{00000000-0005-0000-0000-00006F1B0000}"/>
    <cellStyle name="Normal 2 2 10 2 16 3 5" xfId="7024" xr:uid="{00000000-0005-0000-0000-0000701B0000}"/>
    <cellStyle name="Normal 2 2 10 2 16 3 6" xfId="7025" xr:uid="{00000000-0005-0000-0000-0000711B0000}"/>
    <cellStyle name="Normal 2 2 10 2 16 3 7" xfId="7026" xr:uid="{00000000-0005-0000-0000-0000721B0000}"/>
    <cellStyle name="Normal 2 2 10 2 16 3 8" xfId="7027" xr:uid="{00000000-0005-0000-0000-0000731B0000}"/>
    <cellStyle name="Normal 2 2 10 2 16 3 9" xfId="7028" xr:uid="{00000000-0005-0000-0000-0000741B0000}"/>
    <cellStyle name="Normal 2 2 10 2 16 4" xfId="7029" xr:uid="{00000000-0005-0000-0000-0000751B0000}"/>
    <cellStyle name="Normal 2 2 10 2 16 4 10" xfId="7030" xr:uid="{00000000-0005-0000-0000-0000761B0000}"/>
    <cellStyle name="Normal 2 2 10 2 16 4 2" xfId="7031" xr:uid="{00000000-0005-0000-0000-0000771B0000}"/>
    <cellStyle name="Normal 2 2 10 2 16 4 3" xfId="7032" xr:uid="{00000000-0005-0000-0000-0000781B0000}"/>
    <cellStyle name="Normal 2 2 10 2 16 4 4" xfId="7033" xr:uid="{00000000-0005-0000-0000-0000791B0000}"/>
    <cellStyle name="Normal 2 2 10 2 16 4 5" xfId="7034" xr:uid="{00000000-0005-0000-0000-00007A1B0000}"/>
    <cellStyle name="Normal 2 2 10 2 16 4 6" xfId="7035" xr:uid="{00000000-0005-0000-0000-00007B1B0000}"/>
    <cellStyle name="Normal 2 2 10 2 16 4 7" xfId="7036" xr:uid="{00000000-0005-0000-0000-00007C1B0000}"/>
    <cellStyle name="Normal 2 2 10 2 16 4 8" xfId="7037" xr:uid="{00000000-0005-0000-0000-00007D1B0000}"/>
    <cellStyle name="Normal 2 2 10 2 16 4 9" xfId="7038" xr:uid="{00000000-0005-0000-0000-00007E1B0000}"/>
    <cellStyle name="Normal 2 2 10 2 16 5" xfId="7039" xr:uid="{00000000-0005-0000-0000-00007F1B0000}"/>
    <cellStyle name="Normal 2 2 10 2 16 5 10" xfId="7040" xr:uid="{00000000-0005-0000-0000-0000801B0000}"/>
    <cellStyle name="Normal 2 2 10 2 16 5 2" xfId="7041" xr:uid="{00000000-0005-0000-0000-0000811B0000}"/>
    <cellStyle name="Normal 2 2 10 2 16 5 3" xfId="7042" xr:uid="{00000000-0005-0000-0000-0000821B0000}"/>
    <cellStyle name="Normal 2 2 10 2 16 5 4" xfId="7043" xr:uid="{00000000-0005-0000-0000-0000831B0000}"/>
    <cellStyle name="Normal 2 2 10 2 16 5 5" xfId="7044" xr:uid="{00000000-0005-0000-0000-0000841B0000}"/>
    <cellStyle name="Normal 2 2 10 2 16 5 6" xfId="7045" xr:uid="{00000000-0005-0000-0000-0000851B0000}"/>
    <cellStyle name="Normal 2 2 10 2 16 5 7" xfId="7046" xr:uid="{00000000-0005-0000-0000-0000861B0000}"/>
    <cellStyle name="Normal 2 2 10 2 16 5 8" xfId="7047" xr:uid="{00000000-0005-0000-0000-0000871B0000}"/>
    <cellStyle name="Normal 2 2 10 2 16 5 9" xfId="7048" xr:uid="{00000000-0005-0000-0000-0000881B0000}"/>
    <cellStyle name="Normal 2 2 10 2 16 6" xfId="7049" xr:uid="{00000000-0005-0000-0000-0000891B0000}"/>
    <cellStyle name="Normal 2 2 10 2 16 7" xfId="7050" xr:uid="{00000000-0005-0000-0000-00008A1B0000}"/>
    <cellStyle name="Normal 2 2 10 2 16 8" xfId="7051" xr:uid="{00000000-0005-0000-0000-00008B1B0000}"/>
    <cellStyle name="Normal 2 2 10 2 16 9" xfId="7052" xr:uid="{00000000-0005-0000-0000-00008C1B0000}"/>
    <cellStyle name="Normal 2 2 10 2 17" xfId="7053" xr:uid="{00000000-0005-0000-0000-00008D1B0000}"/>
    <cellStyle name="Normal 2 2 10 2 17 10" xfId="7054" xr:uid="{00000000-0005-0000-0000-00008E1B0000}"/>
    <cellStyle name="Normal 2 2 10 2 17 11" xfId="7055" xr:uid="{00000000-0005-0000-0000-00008F1B0000}"/>
    <cellStyle name="Normal 2 2 10 2 17 12" xfId="7056" xr:uid="{00000000-0005-0000-0000-0000901B0000}"/>
    <cellStyle name="Normal 2 2 10 2 17 13" xfId="7057" xr:uid="{00000000-0005-0000-0000-0000911B0000}"/>
    <cellStyle name="Normal 2 2 10 2 17 14" xfId="7058" xr:uid="{00000000-0005-0000-0000-0000921B0000}"/>
    <cellStyle name="Normal 2 2 10 2 17 2" xfId="7059" xr:uid="{00000000-0005-0000-0000-0000931B0000}"/>
    <cellStyle name="Normal 2 2 10 2 17 2 10" xfId="7060" xr:uid="{00000000-0005-0000-0000-0000941B0000}"/>
    <cellStyle name="Normal 2 2 10 2 17 2 2" xfId="7061" xr:uid="{00000000-0005-0000-0000-0000951B0000}"/>
    <cellStyle name="Normal 2 2 10 2 17 2 3" xfId="7062" xr:uid="{00000000-0005-0000-0000-0000961B0000}"/>
    <cellStyle name="Normal 2 2 10 2 17 2 4" xfId="7063" xr:uid="{00000000-0005-0000-0000-0000971B0000}"/>
    <cellStyle name="Normal 2 2 10 2 17 2 5" xfId="7064" xr:uid="{00000000-0005-0000-0000-0000981B0000}"/>
    <cellStyle name="Normal 2 2 10 2 17 2 6" xfId="7065" xr:uid="{00000000-0005-0000-0000-0000991B0000}"/>
    <cellStyle name="Normal 2 2 10 2 17 2 7" xfId="7066" xr:uid="{00000000-0005-0000-0000-00009A1B0000}"/>
    <cellStyle name="Normal 2 2 10 2 17 2 8" xfId="7067" xr:uid="{00000000-0005-0000-0000-00009B1B0000}"/>
    <cellStyle name="Normal 2 2 10 2 17 2 9" xfId="7068" xr:uid="{00000000-0005-0000-0000-00009C1B0000}"/>
    <cellStyle name="Normal 2 2 10 2 17 3" xfId="7069" xr:uid="{00000000-0005-0000-0000-00009D1B0000}"/>
    <cellStyle name="Normal 2 2 10 2 17 3 10" xfId="7070" xr:uid="{00000000-0005-0000-0000-00009E1B0000}"/>
    <cellStyle name="Normal 2 2 10 2 17 3 2" xfId="7071" xr:uid="{00000000-0005-0000-0000-00009F1B0000}"/>
    <cellStyle name="Normal 2 2 10 2 17 3 3" xfId="7072" xr:uid="{00000000-0005-0000-0000-0000A01B0000}"/>
    <cellStyle name="Normal 2 2 10 2 17 3 4" xfId="7073" xr:uid="{00000000-0005-0000-0000-0000A11B0000}"/>
    <cellStyle name="Normal 2 2 10 2 17 3 5" xfId="7074" xr:uid="{00000000-0005-0000-0000-0000A21B0000}"/>
    <cellStyle name="Normal 2 2 10 2 17 3 6" xfId="7075" xr:uid="{00000000-0005-0000-0000-0000A31B0000}"/>
    <cellStyle name="Normal 2 2 10 2 17 3 7" xfId="7076" xr:uid="{00000000-0005-0000-0000-0000A41B0000}"/>
    <cellStyle name="Normal 2 2 10 2 17 3 8" xfId="7077" xr:uid="{00000000-0005-0000-0000-0000A51B0000}"/>
    <cellStyle name="Normal 2 2 10 2 17 3 9" xfId="7078" xr:uid="{00000000-0005-0000-0000-0000A61B0000}"/>
    <cellStyle name="Normal 2 2 10 2 17 4" xfId="7079" xr:uid="{00000000-0005-0000-0000-0000A71B0000}"/>
    <cellStyle name="Normal 2 2 10 2 17 4 10" xfId="7080" xr:uid="{00000000-0005-0000-0000-0000A81B0000}"/>
    <cellStyle name="Normal 2 2 10 2 17 4 2" xfId="7081" xr:uid="{00000000-0005-0000-0000-0000A91B0000}"/>
    <cellStyle name="Normal 2 2 10 2 17 4 3" xfId="7082" xr:uid="{00000000-0005-0000-0000-0000AA1B0000}"/>
    <cellStyle name="Normal 2 2 10 2 17 4 4" xfId="7083" xr:uid="{00000000-0005-0000-0000-0000AB1B0000}"/>
    <cellStyle name="Normal 2 2 10 2 17 4 5" xfId="7084" xr:uid="{00000000-0005-0000-0000-0000AC1B0000}"/>
    <cellStyle name="Normal 2 2 10 2 17 4 6" xfId="7085" xr:uid="{00000000-0005-0000-0000-0000AD1B0000}"/>
    <cellStyle name="Normal 2 2 10 2 17 4 7" xfId="7086" xr:uid="{00000000-0005-0000-0000-0000AE1B0000}"/>
    <cellStyle name="Normal 2 2 10 2 17 4 8" xfId="7087" xr:uid="{00000000-0005-0000-0000-0000AF1B0000}"/>
    <cellStyle name="Normal 2 2 10 2 17 4 9" xfId="7088" xr:uid="{00000000-0005-0000-0000-0000B01B0000}"/>
    <cellStyle name="Normal 2 2 10 2 17 5" xfId="7089" xr:uid="{00000000-0005-0000-0000-0000B11B0000}"/>
    <cellStyle name="Normal 2 2 10 2 17 5 10" xfId="7090" xr:uid="{00000000-0005-0000-0000-0000B21B0000}"/>
    <cellStyle name="Normal 2 2 10 2 17 5 2" xfId="7091" xr:uid="{00000000-0005-0000-0000-0000B31B0000}"/>
    <cellStyle name="Normal 2 2 10 2 17 5 3" xfId="7092" xr:uid="{00000000-0005-0000-0000-0000B41B0000}"/>
    <cellStyle name="Normal 2 2 10 2 17 5 4" xfId="7093" xr:uid="{00000000-0005-0000-0000-0000B51B0000}"/>
    <cellStyle name="Normal 2 2 10 2 17 5 5" xfId="7094" xr:uid="{00000000-0005-0000-0000-0000B61B0000}"/>
    <cellStyle name="Normal 2 2 10 2 17 5 6" xfId="7095" xr:uid="{00000000-0005-0000-0000-0000B71B0000}"/>
    <cellStyle name="Normal 2 2 10 2 17 5 7" xfId="7096" xr:uid="{00000000-0005-0000-0000-0000B81B0000}"/>
    <cellStyle name="Normal 2 2 10 2 17 5 8" xfId="7097" xr:uid="{00000000-0005-0000-0000-0000B91B0000}"/>
    <cellStyle name="Normal 2 2 10 2 17 5 9" xfId="7098" xr:uid="{00000000-0005-0000-0000-0000BA1B0000}"/>
    <cellStyle name="Normal 2 2 10 2 17 6" xfId="7099" xr:uid="{00000000-0005-0000-0000-0000BB1B0000}"/>
    <cellStyle name="Normal 2 2 10 2 17 7" xfId="7100" xr:uid="{00000000-0005-0000-0000-0000BC1B0000}"/>
    <cellStyle name="Normal 2 2 10 2 17 8" xfId="7101" xr:uid="{00000000-0005-0000-0000-0000BD1B0000}"/>
    <cellStyle name="Normal 2 2 10 2 17 9" xfId="7102" xr:uid="{00000000-0005-0000-0000-0000BE1B0000}"/>
    <cellStyle name="Normal 2 2 10 2 18" xfId="7103" xr:uid="{00000000-0005-0000-0000-0000BF1B0000}"/>
    <cellStyle name="Normal 2 2 10 2 18 10" xfId="7104" xr:uid="{00000000-0005-0000-0000-0000C01B0000}"/>
    <cellStyle name="Normal 2 2 10 2 18 11" xfId="7105" xr:uid="{00000000-0005-0000-0000-0000C11B0000}"/>
    <cellStyle name="Normal 2 2 10 2 18 12" xfId="7106" xr:uid="{00000000-0005-0000-0000-0000C21B0000}"/>
    <cellStyle name="Normal 2 2 10 2 18 13" xfId="7107" xr:uid="{00000000-0005-0000-0000-0000C31B0000}"/>
    <cellStyle name="Normal 2 2 10 2 18 14" xfId="7108" xr:uid="{00000000-0005-0000-0000-0000C41B0000}"/>
    <cellStyle name="Normal 2 2 10 2 18 2" xfId="7109" xr:uid="{00000000-0005-0000-0000-0000C51B0000}"/>
    <cellStyle name="Normal 2 2 10 2 18 2 10" xfId="7110" xr:uid="{00000000-0005-0000-0000-0000C61B0000}"/>
    <cellStyle name="Normal 2 2 10 2 18 2 2" xfId="7111" xr:uid="{00000000-0005-0000-0000-0000C71B0000}"/>
    <cellStyle name="Normal 2 2 10 2 18 2 3" xfId="7112" xr:uid="{00000000-0005-0000-0000-0000C81B0000}"/>
    <cellStyle name="Normal 2 2 10 2 18 2 4" xfId="7113" xr:uid="{00000000-0005-0000-0000-0000C91B0000}"/>
    <cellStyle name="Normal 2 2 10 2 18 2 5" xfId="7114" xr:uid="{00000000-0005-0000-0000-0000CA1B0000}"/>
    <cellStyle name="Normal 2 2 10 2 18 2 6" xfId="7115" xr:uid="{00000000-0005-0000-0000-0000CB1B0000}"/>
    <cellStyle name="Normal 2 2 10 2 18 2 7" xfId="7116" xr:uid="{00000000-0005-0000-0000-0000CC1B0000}"/>
    <cellStyle name="Normal 2 2 10 2 18 2 8" xfId="7117" xr:uid="{00000000-0005-0000-0000-0000CD1B0000}"/>
    <cellStyle name="Normal 2 2 10 2 18 2 9" xfId="7118" xr:uid="{00000000-0005-0000-0000-0000CE1B0000}"/>
    <cellStyle name="Normal 2 2 10 2 18 3" xfId="7119" xr:uid="{00000000-0005-0000-0000-0000CF1B0000}"/>
    <cellStyle name="Normal 2 2 10 2 18 3 10" xfId="7120" xr:uid="{00000000-0005-0000-0000-0000D01B0000}"/>
    <cellStyle name="Normal 2 2 10 2 18 3 2" xfId="7121" xr:uid="{00000000-0005-0000-0000-0000D11B0000}"/>
    <cellStyle name="Normal 2 2 10 2 18 3 3" xfId="7122" xr:uid="{00000000-0005-0000-0000-0000D21B0000}"/>
    <cellStyle name="Normal 2 2 10 2 18 3 4" xfId="7123" xr:uid="{00000000-0005-0000-0000-0000D31B0000}"/>
    <cellStyle name="Normal 2 2 10 2 18 3 5" xfId="7124" xr:uid="{00000000-0005-0000-0000-0000D41B0000}"/>
    <cellStyle name="Normal 2 2 10 2 18 3 6" xfId="7125" xr:uid="{00000000-0005-0000-0000-0000D51B0000}"/>
    <cellStyle name="Normal 2 2 10 2 18 3 7" xfId="7126" xr:uid="{00000000-0005-0000-0000-0000D61B0000}"/>
    <cellStyle name="Normal 2 2 10 2 18 3 8" xfId="7127" xr:uid="{00000000-0005-0000-0000-0000D71B0000}"/>
    <cellStyle name="Normal 2 2 10 2 18 3 9" xfId="7128" xr:uid="{00000000-0005-0000-0000-0000D81B0000}"/>
    <cellStyle name="Normal 2 2 10 2 18 4" xfId="7129" xr:uid="{00000000-0005-0000-0000-0000D91B0000}"/>
    <cellStyle name="Normal 2 2 10 2 18 4 10" xfId="7130" xr:uid="{00000000-0005-0000-0000-0000DA1B0000}"/>
    <cellStyle name="Normal 2 2 10 2 18 4 2" xfId="7131" xr:uid="{00000000-0005-0000-0000-0000DB1B0000}"/>
    <cellStyle name="Normal 2 2 10 2 18 4 3" xfId="7132" xr:uid="{00000000-0005-0000-0000-0000DC1B0000}"/>
    <cellStyle name="Normal 2 2 10 2 18 4 4" xfId="7133" xr:uid="{00000000-0005-0000-0000-0000DD1B0000}"/>
    <cellStyle name="Normal 2 2 10 2 18 4 5" xfId="7134" xr:uid="{00000000-0005-0000-0000-0000DE1B0000}"/>
    <cellStyle name="Normal 2 2 10 2 18 4 6" xfId="7135" xr:uid="{00000000-0005-0000-0000-0000DF1B0000}"/>
    <cellStyle name="Normal 2 2 10 2 18 4 7" xfId="7136" xr:uid="{00000000-0005-0000-0000-0000E01B0000}"/>
    <cellStyle name="Normal 2 2 10 2 18 4 8" xfId="7137" xr:uid="{00000000-0005-0000-0000-0000E11B0000}"/>
    <cellStyle name="Normal 2 2 10 2 18 4 9" xfId="7138" xr:uid="{00000000-0005-0000-0000-0000E21B0000}"/>
    <cellStyle name="Normal 2 2 10 2 18 5" xfId="7139" xr:uid="{00000000-0005-0000-0000-0000E31B0000}"/>
    <cellStyle name="Normal 2 2 10 2 18 5 10" xfId="7140" xr:uid="{00000000-0005-0000-0000-0000E41B0000}"/>
    <cellStyle name="Normal 2 2 10 2 18 5 2" xfId="7141" xr:uid="{00000000-0005-0000-0000-0000E51B0000}"/>
    <cellStyle name="Normal 2 2 10 2 18 5 3" xfId="7142" xr:uid="{00000000-0005-0000-0000-0000E61B0000}"/>
    <cellStyle name="Normal 2 2 10 2 18 5 4" xfId="7143" xr:uid="{00000000-0005-0000-0000-0000E71B0000}"/>
    <cellStyle name="Normal 2 2 10 2 18 5 5" xfId="7144" xr:uid="{00000000-0005-0000-0000-0000E81B0000}"/>
    <cellStyle name="Normal 2 2 10 2 18 5 6" xfId="7145" xr:uid="{00000000-0005-0000-0000-0000E91B0000}"/>
    <cellStyle name="Normal 2 2 10 2 18 5 7" xfId="7146" xr:uid="{00000000-0005-0000-0000-0000EA1B0000}"/>
    <cellStyle name="Normal 2 2 10 2 18 5 8" xfId="7147" xr:uid="{00000000-0005-0000-0000-0000EB1B0000}"/>
    <cellStyle name="Normal 2 2 10 2 18 5 9" xfId="7148" xr:uid="{00000000-0005-0000-0000-0000EC1B0000}"/>
    <cellStyle name="Normal 2 2 10 2 18 6" xfId="7149" xr:uid="{00000000-0005-0000-0000-0000ED1B0000}"/>
    <cellStyle name="Normal 2 2 10 2 18 7" xfId="7150" xr:uid="{00000000-0005-0000-0000-0000EE1B0000}"/>
    <cellStyle name="Normal 2 2 10 2 18 8" xfId="7151" xr:uid="{00000000-0005-0000-0000-0000EF1B0000}"/>
    <cellStyle name="Normal 2 2 10 2 18 9" xfId="7152" xr:uid="{00000000-0005-0000-0000-0000F01B0000}"/>
    <cellStyle name="Normal 2 2 10 2 19" xfId="7153" xr:uid="{00000000-0005-0000-0000-0000F11B0000}"/>
    <cellStyle name="Normal 2 2 10 2 19 10" xfId="7154" xr:uid="{00000000-0005-0000-0000-0000F21B0000}"/>
    <cellStyle name="Normal 2 2 10 2 19 11" xfId="7155" xr:uid="{00000000-0005-0000-0000-0000F31B0000}"/>
    <cellStyle name="Normal 2 2 10 2 19 12" xfId="7156" xr:uid="{00000000-0005-0000-0000-0000F41B0000}"/>
    <cellStyle name="Normal 2 2 10 2 19 13" xfId="7157" xr:uid="{00000000-0005-0000-0000-0000F51B0000}"/>
    <cellStyle name="Normal 2 2 10 2 19 14" xfId="7158" xr:uid="{00000000-0005-0000-0000-0000F61B0000}"/>
    <cellStyle name="Normal 2 2 10 2 19 2" xfId="7159" xr:uid="{00000000-0005-0000-0000-0000F71B0000}"/>
    <cellStyle name="Normal 2 2 10 2 19 2 10" xfId="7160" xr:uid="{00000000-0005-0000-0000-0000F81B0000}"/>
    <cellStyle name="Normal 2 2 10 2 19 2 2" xfId="7161" xr:uid="{00000000-0005-0000-0000-0000F91B0000}"/>
    <cellStyle name="Normal 2 2 10 2 19 2 3" xfId="7162" xr:uid="{00000000-0005-0000-0000-0000FA1B0000}"/>
    <cellStyle name="Normal 2 2 10 2 19 2 4" xfId="7163" xr:uid="{00000000-0005-0000-0000-0000FB1B0000}"/>
    <cellStyle name="Normal 2 2 10 2 19 2 5" xfId="7164" xr:uid="{00000000-0005-0000-0000-0000FC1B0000}"/>
    <cellStyle name="Normal 2 2 10 2 19 2 6" xfId="7165" xr:uid="{00000000-0005-0000-0000-0000FD1B0000}"/>
    <cellStyle name="Normal 2 2 10 2 19 2 7" xfId="7166" xr:uid="{00000000-0005-0000-0000-0000FE1B0000}"/>
    <cellStyle name="Normal 2 2 10 2 19 2 8" xfId="7167" xr:uid="{00000000-0005-0000-0000-0000FF1B0000}"/>
    <cellStyle name="Normal 2 2 10 2 19 2 9" xfId="7168" xr:uid="{00000000-0005-0000-0000-0000001C0000}"/>
    <cellStyle name="Normal 2 2 10 2 19 3" xfId="7169" xr:uid="{00000000-0005-0000-0000-0000011C0000}"/>
    <cellStyle name="Normal 2 2 10 2 19 3 10" xfId="7170" xr:uid="{00000000-0005-0000-0000-0000021C0000}"/>
    <cellStyle name="Normal 2 2 10 2 19 3 2" xfId="7171" xr:uid="{00000000-0005-0000-0000-0000031C0000}"/>
    <cellStyle name="Normal 2 2 10 2 19 3 3" xfId="7172" xr:uid="{00000000-0005-0000-0000-0000041C0000}"/>
    <cellStyle name="Normal 2 2 10 2 19 3 4" xfId="7173" xr:uid="{00000000-0005-0000-0000-0000051C0000}"/>
    <cellStyle name="Normal 2 2 10 2 19 3 5" xfId="7174" xr:uid="{00000000-0005-0000-0000-0000061C0000}"/>
    <cellStyle name="Normal 2 2 10 2 19 3 6" xfId="7175" xr:uid="{00000000-0005-0000-0000-0000071C0000}"/>
    <cellStyle name="Normal 2 2 10 2 19 3 7" xfId="7176" xr:uid="{00000000-0005-0000-0000-0000081C0000}"/>
    <cellStyle name="Normal 2 2 10 2 19 3 8" xfId="7177" xr:uid="{00000000-0005-0000-0000-0000091C0000}"/>
    <cellStyle name="Normal 2 2 10 2 19 3 9" xfId="7178" xr:uid="{00000000-0005-0000-0000-00000A1C0000}"/>
    <cellStyle name="Normal 2 2 10 2 19 4" xfId="7179" xr:uid="{00000000-0005-0000-0000-00000B1C0000}"/>
    <cellStyle name="Normal 2 2 10 2 19 4 10" xfId="7180" xr:uid="{00000000-0005-0000-0000-00000C1C0000}"/>
    <cellStyle name="Normal 2 2 10 2 19 4 2" xfId="7181" xr:uid="{00000000-0005-0000-0000-00000D1C0000}"/>
    <cellStyle name="Normal 2 2 10 2 19 4 3" xfId="7182" xr:uid="{00000000-0005-0000-0000-00000E1C0000}"/>
    <cellStyle name="Normal 2 2 10 2 19 4 4" xfId="7183" xr:uid="{00000000-0005-0000-0000-00000F1C0000}"/>
    <cellStyle name="Normal 2 2 10 2 19 4 5" xfId="7184" xr:uid="{00000000-0005-0000-0000-0000101C0000}"/>
    <cellStyle name="Normal 2 2 10 2 19 4 6" xfId="7185" xr:uid="{00000000-0005-0000-0000-0000111C0000}"/>
    <cellStyle name="Normal 2 2 10 2 19 4 7" xfId="7186" xr:uid="{00000000-0005-0000-0000-0000121C0000}"/>
    <cellStyle name="Normal 2 2 10 2 19 4 8" xfId="7187" xr:uid="{00000000-0005-0000-0000-0000131C0000}"/>
    <cellStyle name="Normal 2 2 10 2 19 4 9" xfId="7188" xr:uid="{00000000-0005-0000-0000-0000141C0000}"/>
    <cellStyle name="Normal 2 2 10 2 19 5" xfId="7189" xr:uid="{00000000-0005-0000-0000-0000151C0000}"/>
    <cellStyle name="Normal 2 2 10 2 19 5 10" xfId="7190" xr:uid="{00000000-0005-0000-0000-0000161C0000}"/>
    <cellStyle name="Normal 2 2 10 2 19 5 2" xfId="7191" xr:uid="{00000000-0005-0000-0000-0000171C0000}"/>
    <cellStyle name="Normal 2 2 10 2 19 5 3" xfId="7192" xr:uid="{00000000-0005-0000-0000-0000181C0000}"/>
    <cellStyle name="Normal 2 2 10 2 19 5 4" xfId="7193" xr:uid="{00000000-0005-0000-0000-0000191C0000}"/>
    <cellStyle name="Normal 2 2 10 2 19 5 5" xfId="7194" xr:uid="{00000000-0005-0000-0000-00001A1C0000}"/>
    <cellStyle name="Normal 2 2 10 2 19 5 6" xfId="7195" xr:uid="{00000000-0005-0000-0000-00001B1C0000}"/>
    <cellStyle name="Normal 2 2 10 2 19 5 7" xfId="7196" xr:uid="{00000000-0005-0000-0000-00001C1C0000}"/>
    <cellStyle name="Normal 2 2 10 2 19 5 8" xfId="7197" xr:uid="{00000000-0005-0000-0000-00001D1C0000}"/>
    <cellStyle name="Normal 2 2 10 2 19 5 9" xfId="7198" xr:uid="{00000000-0005-0000-0000-00001E1C0000}"/>
    <cellStyle name="Normal 2 2 10 2 19 6" xfId="7199" xr:uid="{00000000-0005-0000-0000-00001F1C0000}"/>
    <cellStyle name="Normal 2 2 10 2 19 7" xfId="7200" xr:uid="{00000000-0005-0000-0000-0000201C0000}"/>
    <cellStyle name="Normal 2 2 10 2 19 8" xfId="7201" xr:uid="{00000000-0005-0000-0000-0000211C0000}"/>
    <cellStyle name="Normal 2 2 10 2 19 9" xfId="7202" xr:uid="{00000000-0005-0000-0000-0000221C0000}"/>
    <cellStyle name="Normal 2 2 10 2 2" xfId="7203" xr:uid="{00000000-0005-0000-0000-0000231C0000}"/>
    <cellStyle name="Normal 2 2 10 2 2 10" xfId="7204" xr:uid="{00000000-0005-0000-0000-0000241C0000}"/>
    <cellStyle name="Normal 2 2 10 2 2 11" xfId="7205" xr:uid="{00000000-0005-0000-0000-0000251C0000}"/>
    <cellStyle name="Normal 2 2 10 2 2 12" xfId="7206" xr:uid="{00000000-0005-0000-0000-0000261C0000}"/>
    <cellStyle name="Normal 2 2 10 2 2 13" xfId="7207" xr:uid="{00000000-0005-0000-0000-0000271C0000}"/>
    <cellStyle name="Normal 2 2 10 2 2 14" xfId="7208" xr:uid="{00000000-0005-0000-0000-0000281C0000}"/>
    <cellStyle name="Normal 2 2 10 2 2 2" xfId="7209" xr:uid="{00000000-0005-0000-0000-0000291C0000}"/>
    <cellStyle name="Normal 2 2 10 2 2 2 10" xfId="7210" xr:uid="{00000000-0005-0000-0000-00002A1C0000}"/>
    <cellStyle name="Normal 2 2 10 2 2 2 2" xfId="7211" xr:uid="{00000000-0005-0000-0000-00002B1C0000}"/>
    <cellStyle name="Normal 2 2 10 2 2 2 3" xfId="7212" xr:uid="{00000000-0005-0000-0000-00002C1C0000}"/>
    <cellStyle name="Normal 2 2 10 2 2 2 4" xfId="7213" xr:uid="{00000000-0005-0000-0000-00002D1C0000}"/>
    <cellStyle name="Normal 2 2 10 2 2 2 5" xfId="7214" xr:uid="{00000000-0005-0000-0000-00002E1C0000}"/>
    <cellStyle name="Normal 2 2 10 2 2 2 6" xfId="7215" xr:uid="{00000000-0005-0000-0000-00002F1C0000}"/>
    <cellStyle name="Normal 2 2 10 2 2 2 7" xfId="7216" xr:uid="{00000000-0005-0000-0000-0000301C0000}"/>
    <cellStyle name="Normal 2 2 10 2 2 2 8" xfId="7217" xr:uid="{00000000-0005-0000-0000-0000311C0000}"/>
    <cellStyle name="Normal 2 2 10 2 2 2 9" xfId="7218" xr:uid="{00000000-0005-0000-0000-0000321C0000}"/>
    <cellStyle name="Normal 2 2 10 2 2 3" xfId="7219" xr:uid="{00000000-0005-0000-0000-0000331C0000}"/>
    <cellStyle name="Normal 2 2 10 2 2 3 10" xfId="7220" xr:uid="{00000000-0005-0000-0000-0000341C0000}"/>
    <cellStyle name="Normal 2 2 10 2 2 3 2" xfId="7221" xr:uid="{00000000-0005-0000-0000-0000351C0000}"/>
    <cellStyle name="Normal 2 2 10 2 2 3 3" xfId="7222" xr:uid="{00000000-0005-0000-0000-0000361C0000}"/>
    <cellStyle name="Normal 2 2 10 2 2 3 4" xfId="7223" xr:uid="{00000000-0005-0000-0000-0000371C0000}"/>
    <cellStyle name="Normal 2 2 10 2 2 3 5" xfId="7224" xr:uid="{00000000-0005-0000-0000-0000381C0000}"/>
    <cellStyle name="Normal 2 2 10 2 2 3 6" xfId="7225" xr:uid="{00000000-0005-0000-0000-0000391C0000}"/>
    <cellStyle name="Normal 2 2 10 2 2 3 7" xfId="7226" xr:uid="{00000000-0005-0000-0000-00003A1C0000}"/>
    <cellStyle name="Normal 2 2 10 2 2 3 8" xfId="7227" xr:uid="{00000000-0005-0000-0000-00003B1C0000}"/>
    <cellStyle name="Normal 2 2 10 2 2 3 9" xfId="7228" xr:uid="{00000000-0005-0000-0000-00003C1C0000}"/>
    <cellStyle name="Normal 2 2 10 2 2 4" xfId="7229" xr:uid="{00000000-0005-0000-0000-00003D1C0000}"/>
    <cellStyle name="Normal 2 2 10 2 2 4 10" xfId="7230" xr:uid="{00000000-0005-0000-0000-00003E1C0000}"/>
    <cellStyle name="Normal 2 2 10 2 2 4 2" xfId="7231" xr:uid="{00000000-0005-0000-0000-00003F1C0000}"/>
    <cellStyle name="Normal 2 2 10 2 2 4 3" xfId="7232" xr:uid="{00000000-0005-0000-0000-0000401C0000}"/>
    <cellStyle name="Normal 2 2 10 2 2 4 4" xfId="7233" xr:uid="{00000000-0005-0000-0000-0000411C0000}"/>
    <cellStyle name="Normal 2 2 10 2 2 4 5" xfId="7234" xr:uid="{00000000-0005-0000-0000-0000421C0000}"/>
    <cellStyle name="Normal 2 2 10 2 2 4 6" xfId="7235" xr:uid="{00000000-0005-0000-0000-0000431C0000}"/>
    <cellStyle name="Normal 2 2 10 2 2 4 7" xfId="7236" xr:uid="{00000000-0005-0000-0000-0000441C0000}"/>
    <cellStyle name="Normal 2 2 10 2 2 4 8" xfId="7237" xr:uid="{00000000-0005-0000-0000-0000451C0000}"/>
    <cellStyle name="Normal 2 2 10 2 2 4 9" xfId="7238" xr:uid="{00000000-0005-0000-0000-0000461C0000}"/>
    <cellStyle name="Normal 2 2 10 2 2 5" xfId="7239" xr:uid="{00000000-0005-0000-0000-0000471C0000}"/>
    <cellStyle name="Normal 2 2 10 2 2 5 10" xfId="7240" xr:uid="{00000000-0005-0000-0000-0000481C0000}"/>
    <cellStyle name="Normal 2 2 10 2 2 5 2" xfId="7241" xr:uid="{00000000-0005-0000-0000-0000491C0000}"/>
    <cellStyle name="Normal 2 2 10 2 2 5 3" xfId="7242" xr:uid="{00000000-0005-0000-0000-00004A1C0000}"/>
    <cellStyle name="Normal 2 2 10 2 2 5 4" xfId="7243" xr:uid="{00000000-0005-0000-0000-00004B1C0000}"/>
    <cellStyle name="Normal 2 2 10 2 2 5 5" xfId="7244" xr:uid="{00000000-0005-0000-0000-00004C1C0000}"/>
    <cellStyle name="Normal 2 2 10 2 2 5 6" xfId="7245" xr:uid="{00000000-0005-0000-0000-00004D1C0000}"/>
    <cellStyle name="Normal 2 2 10 2 2 5 7" xfId="7246" xr:uid="{00000000-0005-0000-0000-00004E1C0000}"/>
    <cellStyle name="Normal 2 2 10 2 2 5 8" xfId="7247" xr:uid="{00000000-0005-0000-0000-00004F1C0000}"/>
    <cellStyle name="Normal 2 2 10 2 2 5 9" xfId="7248" xr:uid="{00000000-0005-0000-0000-0000501C0000}"/>
    <cellStyle name="Normal 2 2 10 2 2 6" xfId="7249" xr:uid="{00000000-0005-0000-0000-0000511C0000}"/>
    <cellStyle name="Normal 2 2 10 2 2 7" xfId="7250" xr:uid="{00000000-0005-0000-0000-0000521C0000}"/>
    <cellStyle name="Normal 2 2 10 2 2 8" xfId="7251" xr:uid="{00000000-0005-0000-0000-0000531C0000}"/>
    <cellStyle name="Normal 2 2 10 2 2 9" xfId="7252" xr:uid="{00000000-0005-0000-0000-0000541C0000}"/>
    <cellStyle name="Normal 2 2 10 2 20" xfId="7253" xr:uid="{00000000-0005-0000-0000-0000551C0000}"/>
    <cellStyle name="Normal 2 2 10 2 20 10" xfId="7254" xr:uid="{00000000-0005-0000-0000-0000561C0000}"/>
    <cellStyle name="Normal 2 2 10 2 20 11" xfId="7255" xr:uid="{00000000-0005-0000-0000-0000571C0000}"/>
    <cellStyle name="Normal 2 2 10 2 20 12" xfId="7256" xr:uid="{00000000-0005-0000-0000-0000581C0000}"/>
    <cellStyle name="Normal 2 2 10 2 20 13" xfId="7257" xr:uid="{00000000-0005-0000-0000-0000591C0000}"/>
    <cellStyle name="Normal 2 2 10 2 20 14" xfId="7258" xr:uid="{00000000-0005-0000-0000-00005A1C0000}"/>
    <cellStyle name="Normal 2 2 10 2 20 2" xfId="7259" xr:uid="{00000000-0005-0000-0000-00005B1C0000}"/>
    <cellStyle name="Normal 2 2 10 2 20 2 10" xfId="7260" xr:uid="{00000000-0005-0000-0000-00005C1C0000}"/>
    <cellStyle name="Normal 2 2 10 2 20 2 2" xfId="7261" xr:uid="{00000000-0005-0000-0000-00005D1C0000}"/>
    <cellStyle name="Normal 2 2 10 2 20 2 3" xfId="7262" xr:uid="{00000000-0005-0000-0000-00005E1C0000}"/>
    <cellStyle name="Normal 2 2 10 2 20 2 4" xfId="7263" xr:uid="{00000000-0005-0000-0000-00005F1C0000}"/>
    <cellStyle name="Normal 2 2 10 2 20 2 5" xfId="7264" xr:uid="{00000000-0005-0000-0000-0000601C0000}"/>
    <cellStyle name="Normal 2 2 10 2 20 2 6" xfId="7265" xr:uid="{00000000-0005-0000-0000-0000611C0000}"/>
    <cellStyle name="Normal 2 2 10 2 20 2 7" xfId="7266" xr:uid="{00000000-0005-0000-0000-0000621C0000}"/>
    <cellStyle name="Normal 2 2 10 2 20 2 8" xfId="7267" xr:uid="{00000000-0005-0000-0000-0000631C0000}"/>
    <cellStyle name="Normal 2 2 10 2 20 2 9" xfId="7268" xr:uid="{00000000-0005-0000-0000-0000641C0000}"/>
    <cellStyle name="Normal 2 2 10 2 20 3" xfId="7269" xr:uid="{00000000-0005-0000-0000-0000651C0000}"/>
    <cellStyle name="Normal 2 2 10 2 20 3 10" xfId="7270" xr:uid="{00000000-0005-0000-0000-0000661C0000}"/>
    <cellStyle name="Normal 2 2 10 2 20 3 2" xfId="7271" xr:uid="{00000000-0005-0000-0000-0000671C0000}"/>
    <cellStyle name="Normal 2 2 10 2 20 3 3" xfId="7272" xr:uid="{00000000-0005-0000-0000-0000681C0000}"/>
    <cellStyle name="Normal 2 2 10 2 20 3 4" xfId="7273" xr:uid="{00000000-0005-0000-0000-0000691C0000}"/>
    <cellStyle name="Normal 2 2 10 2 20 3 5" xfId="7274" xr:uid="{00000000-0005-0000-0000-00006A1C0000}"/>
    <cellStyle name="Normal 2 2 10 2 20 3 6" xfId="7275" xr:uid="{00000000-0005-0000-0000-00006B1C0000}"/>
    <cellStyle name="Normal 2 2 10 2 20 3 7" xfId="7276" xr:uid="{00000000-0005-0000-0000-00006C1C0000}"/>
    <cellStyle name="Normal 2 2 10 2 20 3 8" xfId="7277" xr:uid="{00000000-0005-0000-0000-00006D1C0000}"/>
    <cellStyle name="Normal 2 2 10 2 20 3 9" xfId="7278" xr:uid="{00000000-0005-0000-0000-00006E1C0000}"/>
    <cellStyle name="Normal 2 2 10 2 20 4" xfId="7279" xr:uid="{00000000-0005-0000-0000-00006F1C0000}"/>
    <cellStyle name="Normal 2 2 10 2 20 4 10" xfId="7280" xr:uid="{00000000-0005-0000-0000-0000701C0000}"/>
    <cellStyle name="Normal 2 2 10 2 20 4 2" xfId="7281" xr:uid="{00000000-0005-0000-0000-0000711C0000}"/>
    <cellStyle name="Normal 2 2 10 2 20 4 3" xfId="7282" xr:uid="{00000000-0005-0000-0000-0000721C0000}"/>
    <cellStyle name="Normal 2 2 10 2 20 4 4" xfId="7283" xr:uid="{00000000-0005-0000-0000-0000731C0000}"/>
    <cellStyle name="Normal 2 2 10 2 20 4 5" xfId="7284" xr:uid="{00000000-0005-0000-0000-0000741C0000}"/>
    <cellStyle name="Normal 2 2 10 2 20 4 6" xfId="7285" xr:uid="{00000000-0005-0000-0000-0000751C0000}"/>
    <cellStyle name="Normal 2 2 10 2 20 4 7" xfId="7286" xr:uid="{00000000-0005-0000-0000-0000761C0000}"/>
    <cellStyle name="Normal 2 2 10 2 20 4 8" xfId="7287" xr:uid="{00000000-0005-0000-0000-0000771C0000}"/>
    <cellStyle name="Normal 2 2 10 2 20 4 9" xfId="7288" xr:uid="{00000000-0005-0000-0000-0000781C0000}"/>
    <cellStyle name="Normal 2 2 10 2 20 5" xfId="7289" xr:uid="{00000000-0005-0000-0000-0000791C0000}"/>
    <cellStyle name="Normal 2 2 10 2 20 5 10" xfId="7290" xr:uid="{00000000-0005-0000-0000-00007A1C0000}"/>
    <cellStyle name="Normal 2 2 10 2 20 5 2" xfId="7291" xr:uid="{00000000-0005-0000-0000-00007B1C0000}"/>
    <cellStyle name="Normal 2 2 10 2 20 5 3" xfId="7292" xr:uid="{00000000-0005-0000-0000-00007C1C0000}"/>
    <cellStyle name="Normal 2 2 10 2 20 5 4" xfId="7293" xr:uid="{00000000-0005-0000-0000-00007D1C0000}"/>
    <cellStyle name="Normal 2 2 10 2 20 5 5" xfId="7294" xr:uid="{00000000-0005-0000-0000-00007E1C0000}"/>
    <cellStyle name="Normal 2 2 10 2 20 5 6" xfId="7295" xr:uid="{00000000-0005-0000-0000-00007F1C0000}"/>
    <cellStyle name="Normal 2 2 10 2 20 5 7" xfId="7296" xr:uid="{00000000-0005-0000-0000-0000801C0000}"/>
    <cellStyle name="Normal 2 2 10 2 20 5 8" xfId="7297" xr:uid="{00000000-0005-0000-0000-0000811C0000}"/>
    <cellStyle name="Normal 2 2 10 2 20 5 9" xfId="7298" xr:uid="{00000000-0005-0000-0000-0000821C0000}"/>
    <cellStyle name="Normal 2 2 10 2 20 6" xfId="7299" xr:uid="{00000000-0005-0000-0000-0000831C0000}"/>
    <cellStyle name="Normal 2 2 10 2 20 7" xfId="7300" xr:uid="{00000000-0005-0000-0000-0000841C0000}"/>
    <cellStyle name="Normal 2 2 10 2 20 8" xfId="7301" xr:uid="{00000000-0005-0000-0000-0000851C0000}"/>
    <cellStyle name="Normal 2 2 10 2 20 9" xfId="7302" xr:uid="{00000000-0005-0000-0000-0000861C0000}"/>
    <cellStyle name="Normal 2 2 10 2 21" xfId="7303" xr:uid="{00000000-0005-0000-0000-0000871C0000}"/>
    <cellStyle name="Normal 2 2 10 2 21 10" xfId="7304" xr:uid="{00000000-0005-0000-0000-0000881C0000}"/>
    <cellStyle name="Normal 2 2 10 2 21 11" xfId="7305" xr:uid="{00000000-0005-0000-0000-0000891C0000}"/>
    <cellStyle name="Normal 2 2 10 2 21 12" xfId="7306" xr:uid="{00000000-0005-0000-0000-00008A1C0000}"/>
    <cellStyle name="Normal 2 2 10 2 21 13" xfId="7307" xr:uid="{00000000-0005-0000-0000-00008B1C0000}"/>
    <cellStyle name="Normal 2 2 10 2 21 14" xfId="7308" xr:uid="{00000000-0005-0000-0000-00008C1C0000}"/>
    <cellStyle name="Normal 2 2 10 2 21 2" xfId="7309" xr:uid="{00000000-0005-0000-0000-00008D1C0000}"/>
    <cellStyle name="Normal 2 2 10 2 21 2 10" xfId="7310" xr:uid="{00000000-0005-0000-0000-00008E1C0000}"/>
    <cellStyle name="Normal 2 2 10 2 21 2 2" xfId="7311" xr:uid="{00000000-0005-0000-0000-00008F1C0000}"/>
    <cellStyle name="Normal 2 2 10 2 21 2 3" xfId="7312" xr:uid="{00000000-0005-0000-0000-0000901C0000}"/>
    <cellStyle name="Normal 2 2 10 2 21 2 4" xfId="7313" xr:uid="{00000000-0005-0000-0000-0000911C0000}"/>
    <cellStyle name="Normal 2 2 10 2 21 2 5" xfId="7314" xr:uid="{00000000-0005-0000-0000-0000921C0000}"/>
    <cellStyle name="Normal 2 2 10 2 21 2 6" xfId="7315" xr:uid="{00000000-0005-0000-0000-0000931C0000}"/>
    <cellStyle name="Normal 2 2 10 2 21 2 7" xfId="7316" xr:uid="{00000000-0005-0000-0000-0000941C0000}"/>
    <cellStyle name="Normal 2 2 10 2 21 2 8" xfId="7317" xr:uid="{00000000-0005-0000-0000-0000951C0000}"/>
    <cellStyle name="Normal 2 2 10 2 21 2 9" xfId="7318" xr:uid="{00000000-0005-0000-0000-0000961C0000}"/>
    <cellStyle name="Normal 2 2 10 2 21 3" xfId="7319" xr:uid="{00000000-0005-0000-0000-0000971C0000}"/>
    <cellStyle name="Normal 2 2 10 2 21 3 10" xfId="7320" xr:uid="{00000000-0005-0000-0000-0000981C0000}"/>
    <cellStyle name="Normal 2 2 10 2 21 3 2" xfId="7321" xr:uid="{00000000-0005-0000-0000-0000991C0000}"/>
    <cellStyle name="Normal 2 2 10 2 21 3 3" xfId="7322" xr:uid="{00000000-0005-0000-0000-00009A1C0000}"/>
    <cellStyle name="Normal 2 2 10 2 21 3 4" xfId="7323" xr:uid="{00000000-0005-0000-0000-00009B1C0000}"/>
    <cellStyle name="Normal 2 2 10 2 21 3 5" xfId="7324" xr:uid="{00000000-0005-0000-0000-00009C1C0000}"/>
    <cellStyle name="Normal 2 2 10 2 21 3 6" xfId="7325" xr:uid="{00000000-0005-0000-0000-00009D1C0000}"/>
    <cellStyle name="Normal 2 2 10 2 21 3 7" xfId="7326" xr:uid="{00000000-0005-0000-0000-00009E1C0000}"/>
    <cellStyle name="Normal 2 2 10 2 21 3 8" xfId="7327" xr:uid="{00000000-0005-0000-0000-00009F1C0000}"/>
    <cellStyle name="Normal 2 2 10 2 21 3 9" xfId="7328" xr:uid="{00000000-0005-0000-0000-0000A01C0000}"/>
    <cellStyle name="Normal 2 2 10 2 21 4" xfId="7329" xr:uid="{00000000-0005-0000-0000-0000A11C0000}"/>
    <cellStyle name="Normal 2 2 10 2 21 4 10" xfId="7330" xr:uid="{00000000-0005-0000-0000-0000A21C0000}"/>
    <cellStyle name="Normal 2 2 10 2 21 4 2" xfId="7331" xr:uid="{00000000-0005-0000-0000-0000A31C0000}"/>
    <cellStyle name="Normal 2 2 10 2 21 4 3" xfId="7332" xr:uid="{00000000-0005-0000-0000-0000A41C0000}"/>
    <cellStyle name="Normal 2 2 10 2 21 4 4" xfId="7333" xr:uid="{00000000-0005-0000-0000-0000A51C0000}"/>
    <cellStyle name="Normal 2 2 10 2 21 4 5" xfId="7334" xr:uid="{00000000-0005-0000-0000-0000A61C0000}"/>
    <cellStyle name="Normal 2 2 10 2 21 4 6" xfId="7335" xr:uid="{00000000-0005-0000-0000-0000A71C0000}"/>
    <cellStyle name="Normal 2 2 10 2 21 4 7" xfId="7336" xr:uid="{00000000-0005-0000-0000-0000A81C0000}"/>
    <cellStyle name="Normal 2 2 10 2 21 4 8" xfId="7337" xr:uid="{00000000-0005-0000-0000-0000A91C0000}"/>
    <cellStyle name="Normal 2 2 10 2 21 4 9" xfId="7338" xr:uid="{00000000-0005-0000-0000-0000AA1C0000}"/>
    <cellStyle name="Normal 2 2 10 2 21 5" xfId="7339" xr:uid="{00000000-0005-0000-0000-0000AB1C0000}"/>
    <cellStyle name="Normal 2 2 10 2 21 5 10" xfId="7340" xr:uid="{00000000-0005-0000-0000-0000AC1C0000}"/>
    <cellStyle name="Normal 2 2 10 2 21 5 2" xfId="7341" xr:uid="{00000000-0005-0000-0000-0000AD1C0000}"/>
    <cellStyle name="Normal 2 2 10 2 21 5 3" xfId="7342" xr:uid="{00000000-0005-0000-0000-0000AE1C0000}"/>
    <cellStyle name="Normal 2 2 10 2 21 5 4" xfId="7343" xr:uid="{00000000-0005-0000-0000-0000AF1C0000}"/>
    <cellStyle name="Normal 2 2 10 2 21 5 5" xfId="7344" xr:uid="{00000000-0005-0000-0000-0000B01C0000}"/>
    <cellStyle name="Normal 2 2 10 2 21 5 6" xfId="7345" xr:uid="{00000000-0005-0000-0000-0000B11C0000}"/>
    <cellStyle name="Normal 2 2 10 2 21 5 7" xfId="7346" xr:uid="{00000000-0005-0000-0000-0000B21C0000}"/>
    <cellStyle name="Normal 2 2 10 2 21 5 8" xfId="7347" xr:uid="{00000000-0005-0000-0000-0000B31C0000}"/>
    <cellStyle name="Normal 2 2 10 2 21 5 9" xfId="7348" xr:uid="{00000000-0005-0000-0000-0000B41C0000}"/>
    <cellStyle name="Normal 2 2 10 2 21 6" xfId="7349" xr:uid="{00000000-0005-0000-0000-0000B51C0000}"/>
    <cellStyle name="Normal 2 2 10 2 21 7" xfId="7350" xr:uid="{00000000-0005-0000-0000-0000B61C0000}"/>
    <cellStyle name="Normal 2 2 10 2 21 8" xfId="7351" xr:uid="{00000000-0005-0000-0000-0000B71C0000}"/>
    <cellStyle name="Normal 2 2 10 2 21 9" xfId="7352" xr:uid="{00000000-0005-0000-0000-0000B81C0000}"/>
    <cellStyle name="Normal 2 2 10 2 22" xfId="7353" xr:uid="{00000000-0005-0000-0000-0000B91C0000}"/>
    <cellStyle name="Normal 2 2 10 2 22 10" xfId="7354" xr:uid="{00000000-0005-0000-0000-0000BA1C0000}"/>
    <cellStyle name="Normal 2 2 10 2 22 11" xfId="7355" xr:uid="{00000000-0005-0000-0000-0000BB1C0000}"/>
    <cellStyle name="Normal 2 2 10 2 22 12" xfId="7356" xr:uid="{00000000-0005-0000-0000-0000BC1C0000}"/>
    <cellStyle name="Normal 2 2 10 2 22 13" xfId="7357" xr:uid="{00000000-0005-0000-0000-0000BD1C0000}"/>
    <cellStyle name="Normal 2 2 10 2 22 14" xfId="7358" xr:uid="{00000000-0005-0000-0000-0000BE1C0000}"/>
    <cellStyle name="Normal 2 2 10 2 22 2" xfId="7359" xr:uid="{00000000-0005-0000-0000-0000BF1C0000}"/>
    <cellStyle name="Normal 2 2 10 2 22 2 10" xfId="7360" xr:uid="{00000000-0005-0000-0000-0000C01C0000}"/>
    <cellStyle name="Normal 2 2 10 2 22 2 2" xfId="7361" xr:uid="{00000000-0005-0000-0000-0000C11C0000}"/>
    <cellStyle name="Normal 2 2 10 2 22 2 3" xfId="7362" xr:uid="{00000000-0005-0000-0000-0000C21C0000}"/>
    <cellStyle name="Normal 2 2 10 2 22 2 4" xfId="7363" xr:uid="{00000000-0005-0000-0000-0000C31C0000}"/>
    <cellStyle name="Normal 2 2 10 2 22 2 5" xfId="7364" xr:uid="{00000000-0005-0000-0000-0000C41C0000}"/>
    <cellStyle name="Normal 2 2 10 2 22 2 6" xfId="7365" xr:uid="{00000000-0005-0000-0000-0000C51C0000}"/>
    <cellStyle name="Normal 2 2 10 2 22 2 7" xfId="7366" xr:uid="{00000000-0005-0000-0000-0000C61C0000}"/>
    <cellStyle name="Normal 2 2 10 2 22 2 8" xfId="7367" xr:uid="{00000000-0005-0000-0000-0000C71C0000}"/>
    <cellStyle name="Normal 2 2 10 2 22 2 9" xfId="7368" xr:uid="{00000000-0005-0000-0000-0000C81C0000}"/>
    <cellStyle name="Normal 2 2 10 2 22 3" xfId="7369" xr:uid="{00000000-0005-0000-0000-0000C91C0000}"/>
    <cellStyle name="Normal 2 2 10 2 22 3 10" xfId="7370" xr:uid="{00000000-0005-0000-0000-0000CA1C0000}"/>
    <cellStyle name="Normal 2 2 10 2 22 3 2" xfId="7371" xr:uid="{00000000-0005-0000-0000-0000CB1C0000}"/>
    <cellStyle name="Normal 2 2 10 2 22 3 3" xfId="7372" xr:uid="{00000000-0005-0000-0000-0000CC1C0000}"/>
    <cellStyle name="Normal 2 2 10 2 22 3 4" xfId="7373" xr:uid="{00000000-0005-0000-0000-0000CD1C0000}"/>
    <cellStyle name="Normal 2 2 10 2 22 3 5" xfId="7374" xr:uid="{00000000-0005-0000-0000-0000CE1C0000}"/>
    <cellStyle name="Normal 2 2 10 2 22 3 6" xfId="7375" xr:uid="{00000000-0005-0000-0000-0000CF1C0000}"/>
    <cellStyle name="Normal 2 2 10 2 22 3 7" xfId="7376" xr:uid="{00000000-0005-0000-0000-0000D01C0000}"/>
    <cellStyle name="Normal 2 2 10 2 22 3 8" xfId="7377" xr:uid="{00000000-0005-0000-0000-0000D11C0000}"/>
    <cellStyle name="Normal 2 2 10 2 22 3 9" xfId="7378" xr:uid="{00000000-0005-0000-0000-0000D21C0000}"/>
    <cellStyle name="Normal 2 2 10 2 22 4" xfId="7379" xr:uid="{00000000-0005-0000-0000-0000D31C0000}"/>
    <cellStyle name="Normal 2 2 10 2 22 4 10" xfId="7380" xr:uid="{00000000-0005-0000-0000-0000D41C0000}"/>
    <cellStyle name="Normal 2 2 10 2 22 4 2" xfId="7381" xr:uid="{00000000-0005-0000-0000-0000D51C0000}"/>
    <cellStyle name="Normal 2 2 10 2 22 4 3" xfId="7382" xr:uid="{00000000-0005-0000-0000-0000D61C0000}"/>
    <cellStyle name="Normal 2 2 10 2 22 4 4" xfId="7383" xr:uid="{00000000-0005-0000-0000-0000D71C0000}"/>
    <cellStyle name="Normal 2 2 10 2 22 4 5" xfId="7384" xr:uid="{00000000-0005-0000-0000-0000D81C0000}"/>
    <cellStyle name="Normal 2 2 10 2 22 4 6" xfId="7385" xr:uid="{00000000-0005-0000-0000-0000D91C0000}"/>
    <cellStyle name="Normal 2 2 10 2 22 4 7" xfId="7386" xr:uid="{00000000-0005-0000-0000-0000DA1C0000}"/>
    <cellStyle name="Normal 2 2 10 2 22 4 8" xfId="7387" xr:uid="{00000000-0005-0000-0000-0000DB1C0000}"/>
    <cellStyle name="Normal 2 2 10 2 22 4 9" xfId="7388" xr:uid="{00000000-0005-0000-0000-0000DC1C0000}"/>
    <cellStyle name="Normal 2 2 10 2 22 5" xfId="7389" xr:uid="{00000000-0005-0000-0000-0000DD1C0000}"/>
    <cellStyle name="Normal 2 2 10 2 22 5 10" xfId="7390" xr:uid="{00000000-0005-0000-0000-0000DE1C0000}"/>
    <cellStyle name="Normal 2 2 10 2 22 5 2" xfId="7391" xr:uid="{00000000-0005-0000-0000-0000DF1C0000}"/>
    <cellStyle name="Normal 2 2 10 2 22 5 3" xfId="7392" xr:uid="{00000000-0005-0000-0000-0000E01C0000}"/>
    <cellStyle name="Normal 2 2 10 2 22 5 4" xfId="7393" xr:uid="{00000000-0005-0000-0000-0000E11C0000}"/>
    <cellStyle name="Normal 2 2 10 2 22 5 5" xfId="7394" xr:uid="{00000000-0005-0000-0000-0000E21C0000}"/>
    <cellStyle name="Normal 2 2 10 2 22 5 6" xfId="7395" xr:uid="{00000000-0005-0000-0000-0000E31C0000}"/>
    <cellStyle name="Normal 2 2 10 2 22 5 7" xfId="7396" xr:uid="{00000000-0005-0000-0000-0000E41C0000}"/>
    <cellStyle name="Normal 2 2 10 2 22 5 8" xfId="7397" xr:uid="{00000000-0005-0000-0000-0000E51C0000}"/>
    <cellStyle name="Normal 2 2 10 2 22 5 9" xfId="7398" xr:uid="{00000000-0005-0000-0000-0000E61C0000}"/>
    <cellStyle name="Normal 2 2 10 2 22 6" xfId="7399" xr:uid="{00000000-0005-0000-0000-0000E71C0000}"/>
    <cellStyle name="Normal 2 2 10 2 22 7" xfId="7400" xr:uid="{00000000-0005-0000-0000-0000E81C0000}"/>
    <cellStyle name="Normal 2 2 10 2 22 8" xfId="7401" xr:uid="{00000000-0005-0000-0000-0000E91C0000}"/>
    <cellStyle name="Normal 2 2 10 2 22 9" xfId="7402" xr:uid="{00000000-0005-0000-0000-0000EA1C0000}"/>
    <cellStyle name="Normal 2 2 10 2 23" xfId="7403" xr:uid="{00000000-0005-0000-0000-0000EB1C0000}"/>
    <cellStyle name="Normal 2 2 10 2 23 10" xfId="7404" xr:uid="{00000000-0005-0000-0000-0000EC1C0000}"/>
    <cellStyle name="Normal 2 2 10 2 23 11" xfId="7405" xr:uid="{00000000-0005-0000-0000-0000ED1C0000}"/>
    <cellStyle name="Normal 2 2 10 2 23 12" xfId="7406" xr:uid="{00000000-0005-0000-0000-0000EE1C0000}"/>
    <cellStyle name="Normal 2 2 10 2 23 13" xfId="7407" xr:uid="{00000000-0005-0000-0000-0000EF1C0000}"/>
    <cellStyle name="Normal 2 2 10 2 23 14" xfId="7408" xr:uid="{00000000-0005-0000-0000-0000F01C0000}"/>
    <cellStyle name="Normal 2 2 10 2 23 2" xfId="7409" xr:uid="{00000000-0005-0000-0000-0000F11C0000}"/>
    <cellStyle name="Normal 2 2 10 2 23 2 10" xfId="7410" xr:uid="{00000000-0005-0000-0000-0000F21C0000}"/>
    <cellStyle name="Normal 2 2 10 2 23 2 2" xfId="7411" xr:uid="{00000000-0005-0000-0000-0000F31C0000}"/>
    <cellStyle name="Normal 2 2 10 2 23 2 3" xfId="7412" xr:uid="{00000000-0005-0000-0000-0000F41C0000}"/>
    <cellStyle name="Normal 2 2 10 2 23 2 4" xfId="7413" xr:uid="{00000000-0005-0000-0000-0000F51C0000}"/>
    <cellStyle name="Normal 2 2 10 2 23 2 5" xfId="7414" xr:uid="{00000000-0005-0000-0000-0000F61C0000}"/>
    <cellStyle name="Normal 2 2 10 2 23 2 6" xfId="7415" xr:uid="{00000000-0005-0000-0000-0000F71C0000}"/>
    <cellStyle name="Normal 2 2 10 2 23 2 7" xfId="7416" xr:uid="{00000000-0005-0000-0000-0000F81C0000}"/>
    <cellStyle name="Normal 2 2 10 2 23 2 8" xfId="7417" xr:uid="{00000000-0005-0000-0000-0000F91C0000}"/>
    <cellStyle name="Normal 2 2 10 2 23 2 9" xfId="7418" xr:uid="{00000000-0005-0000-0000-0000FA1C0000}"/>
    <cellStyle name="Normal 2 2 10 2 23 3" xfId="7419" xr:uid="{00000000-0005-0000-0000-0000FB1C0000}"/>
    <cellStyle name="Normal 2 2 10 2 23 3 10" xfId="7420" xr:uid="{00000000-0005-0000-0000-0000FC1C0000}"/>
    <cellStyle name="Normal 2 2 10 2 23 3 2" xfId="7421" xr:uid="{00000000-0005-0000-0000-0000FD1C0000}"/>
    <cellStyle name="Normal 2 2 10 2 23 3 3" xfId="7422" xr:uid="{00000000-0005-0000-0000-0000FE1C0000}"/>
    <cellStyle name="Normal 2 2 10 2 23 3 4" xfId="7423" xr:uid="{00000000-0005-0000-0000-0000FF1C0000}"/>
    <cellStyle name="Normal 2 2 10 2 23 3 5" xfId="7424" xr:uid="{00000000-0005-0000-0000-0000001D0000}"/>
    <cellStyle name="Normal 2 2 10 2 23 3 6" xfId="7425" xr:uid="{00000000-0005-0000-0000-0000011D0000}"/>
    <cellStyle name="Normal 2 2 10 2 23 3 7" xfId="7426" xr:uid="{00000000-0005-0000-0000-0000021D0000}"/>
    <cellStyle name="Normal 2 2 10 2 23 3 8" xfId="7427" xr:uid="{00000000-0005-0000-0000-0000031D0000}"/>
    <cellStyle name="Normal 2 2 10 2 23 3 9" xfId="7428" xr:uid="{00000000-0005-0000-0000-0000041D0000}"/>
    <cellStyle name="Normal 2 2 10 2 23 4" xfId="7429" xr:uid="{00000000-0005-0000-0000-0000051D0000}"/>
    <cellStyle name="Normal 2 2 10 2 23 4 10" xfId="7430" xr:uid="{00000000-0005-0000-0000-0000061D0000}"/>
    <cellStyle name="Normal 2 2 10 2 23 4 2" xfId="7431" xr:uid="{00000000-0005-0000-0000-0000071D0000}"/>
    <cellStyle name="Normal 2 2 10 2 23 4 3" xfId="7432" xr:uid="{00000000-0005-0000-0000-0000081D0000}"/>
    <cellStyle name="Normal 2 2 10 2 23 4 4" xfId="7433" xr:uid="{00000000-0005-0000-0000-0000091D0000}"/>
    <cellStyle name="Normal 2 2 10 2 23 4 5" xfId="7434" xr:uid="{00000000-0005-0000-0000-00000A1D0000}"/>
    <cellStyle name="Normal 2 2 10 2 23 4 6" xfId="7435" xr:uid="{00000000-0005-0000-0000-00000B1D0000}"/>
    <cellStyle name="Normal 2 2 10 2 23 4 7" xfId="7436" xr:uid="{00000000-0005-0000-0000-00000C1D0000}"/>
    <cellStyle name="Normal 2 2 10 2 23 4 8" xfId="7437" xr:uid="{00000000-0005-0000-0000-00000D1D0000}"/>
    <cellStyle name="Normal 2 2 10 2 23 4 9" xfId="7438" xr:uid="{00000000-0005-0000-0000-00000E1D0000}"/>
    <cellStyle name="Normal 2 2 10 2 23 5" xfId="7439" xr:uid="{00000000-0005-0000-0000-00000F1D0000}"/>
    <cellStyle name="Normal 2 2 10 2 23 5 10" xfId="7440" xr:uid="{00000000-0005-0000-0000-0000101D0000}"/>
    <cellStyle name="Normal 2 2 10 2 23 5 2" xfId="7441" xr:uid="{00000000-0005-0000-0000-0000111D0000}"/>
    <cellStyle name="Normal 2 2 10 2 23 5 3" xfId="7442" xr:uid="{00000000-0005-0000-0000-0000121D0000}"/>
    <cellStyle name="Normal 2 2 10 2 23 5 4" xfId="7443" xr:uid="{00000000-0005-0000-0000-0000131D0000}"/>
    <cellStyle name="Normal 2 2 10 2 23 5 5" xfId="7444" xr:uid="{00000000-0005-0000-0000-0000141D0000}"/>
    <cellStyle name="Normal 2 2 10 2 23 5 6" xfId="7445" xr:uid="{00000000-0005-0000-0000-0000151D0000}"/>
    <cellStyle name="Normal 2 2 10 2 23 5 7" xfId="7446" xr:uid="{00000000-0005-0000-0000-0000161D0000}"/>
    <cellStyle name="Normal 2 2 10 2 23 5 8" xfId="7447" xr:uid="{00000000-0005-0000-0000-0000171D0000}"/>
    <cellStyle name="Normal 2 2 10 2 23 5 9" xfId="7448" xr:uid="{00000000-0005-0000-0000-0000181D0000}"/>
    <cellStyle name="Normal 2 2 10 2 23 6" xfId="7449" xr:uid="{00000000-0005-0000-0000-0000191D0000}"/>
    <cellStyle name="Normal 2 2 10 2 23 7" xfId="7450" xr:uid="{00000000-0005-0000-0000-00001A1D0000}"/>
    <cellStyle name="Normal 2 2 10 2 23 8" xfId="7451" xr:uid="{00000000-0005-0000-0000-00001B1D0000}"/>
    <cellStyle name="Normal 2 2 10 2 23 9" xfId="7452" xr:uid="{00000000-0005-0000-0000-00001C1D0000}"/>
    <cellStyle name="Normal 2 2 10 2 24" xfId="7453" xr:uid="{00000000-0005-0000-0000-00001D1D0000}"/>
    <cellStyle name="Normal 2 2 10 2 24 10" xfId="7454" xr:uid="{00000000-0005-0000-0000-00001E1D0000}"/>
    <cellStyle name="Normal 2 2 10 2 24 11" xfId="7455" xr:uid="{00000000-0005-0000-0000-00001F1D0000}"/>
    <cellStyle name="Normal 2 2 10 2 24 12" xfId="7456" xr:uid="{00000000-0005-0000-0000-0000201D0000}"/>
    <cellStyle name="Normal 2 2 10 2 24 13" xfId="7457" xr:uid="{00000000-0005-0000-0000-0000211D0000}"/>
    <cellStyle name="Normal 2 2 10 2 24 14" xfId="7458" xr:uid="{00000000-0005-0000-0000-0000221D0000}"/>
    <cellStyle name="Normal 2 2 10 2 24 2" xfId="7459" xr:uid="{00000000-0005-0000-0000-0000231D0000}"/>
    <cellStyle name="Normal 2 2 10 2 24 2 10" xfId="7460" xr:uid="{00000000-0005-0000-0000-0000241D0000}"/>
    <cellStyle name="Normal 2 2 10 2 24 2 2" xfId="7461" xr:uid="{00000000-0005-0000-0000-0000251D0000}"/>
    <cellStyle name="Normal 2 2 10 2 24 2 3" xfId="7462" xr:uid="{00000000-0005-0000-0000-0000261D0000}"/>
    <cellStyle name="Normal 2 2 10 2 24 2 4" xfId="7463" xr:uid="{00000000-0005-0000-0000-0000271D0000}"/>
    <cellStyle name="Normal 2 2 10 2 24 2 5" xfId="7464" xr:uid="{00000000-0005-0000-0000-0000281D0000}"/>
    <cellStyle name="Normal 2 2 10 2 24 2 6" xfId="7465" xr:uid="{00000000-0005-0000-0000-0000291D0000}"/>
    <cellStyle name="Normal 2 2 10 2 24 2 7" xfId="7466" xr:uid="{00000000-0005-0000-0000-00002A1D0000}"/>
    <cellStyle name="Normal 2 2 10 2 24 2 8" xfId="7467" xr:uid="{00000000-0005-0000-0000-00002B1D0000}"/>
    <cellStyle name="Normal 2 2 10 2 24 2 9" xfId="7468" xr:uid="{00000000-0005-0000-0000-00002C1D0000}"/>
    <cellStyle name="Normal 2 2 10 2 24 3" xfId="7469" xr:uid="{00000000-0005-0000-0000-00002D1D0000}"/>
    <cellStyle name="Normal 2 2 10 2 24 3 10" xfId="7470" xr:uid="{00000000-0005-0000-0000-00002E1D0000}"/>
    <cellStyle name="Normal 2 2 10 2 24 3 2" xfId="7471" xr:uid="{00000000-0005-0000-0000-00002F1D0000}"/>
    <cellStyle name="Normal 2 2 10 2 24 3 3" xfId="7472" xr:uid="{00000000-0005-0000-0000-0000301D0000}"/>
    <cellStyle name="Normal 2 2 10 2 24 3 4" xfId="7473" xr:uid="{00000000-0005-0000-0000-0000311D0000}"/>
    <cellStyle name="Normal 2 2 10 2 24 3 5" xfId="7474" xr:uid="{00000000-0005-0000-0000-0000321D0000}"/>
    <cellStyle name="Normal 2 2 10 2 24 3 6" xfId="7475" xr:uid="{00000000-0005-0000-0000-0000331D0000}"/>
    <cellStyle name="Normal 2 2 10 2 24 3 7" xfId="7476" xr:uid="{00000000-0005-0000-0000-0000341D0000}"/>
    <cellStyle name="Normal 2 2 10 2 24 3 8" xfId="7477" xr:uid="{00000000-0005-0000-0000-0000351D0000}"/>
    <cellStyle name="Normal 2 2 10 2 24 3 9" xfId="7478" xr:uid="{00000000-0005-0000-0000-0000361D0000}"/>
    <cellStyle name="Normal 2 2 10 2 24 4" xfId="7479" xr:uid="{00000000-0005-0000-0000-0000371D0000}"/>
    <cellStyle name="Normal 2 2 10 2 24 4 10" xfId="7480" xr:uid="{00000000-0005-0000-0000-0000381D0000}"/>
    <cellStyle name="Normal 2 2 10 2 24 4 2" xfId="7481" xr:uid="{00000000-0005-0000-0000-0000391D0000}"/>
    <cellStyle name="Normal 2 2 10 2 24 4 3" xfId="7482" xr:uid="{00000000-0005-0000-0000-00003A1D0000}"/>
    <cellStyle name="Normal 2 2 10 2 24 4 4" xfId="7483" xr:uid="{00000000-0005-0000-0000-00003B1D0000}"/>
    <cellStyle name="Normal 2 2 10 2 24 4 5" xfId="7484" xr:uid="{00000000-0005-0000-0000-00003C1D0000}"/>
    <cellStyle name="Normal 2 2 10 2 24 4 6" xfId="7485" xr:uid="{00000000-0005-0000-0000-00003D1D0000}"/>
    <cellStyle name="Normal 2 2 10 2 24 4 7" xfId="7486" xr:uid="{00000000-0005-0000-0000-00003E1D0000}"/>
    <cellStyle name="Normal 2 2 10 2 24 4 8" xfId="7487" xr:uid="{00000000-0005-0000-0000-00003F1D0000}"/>
    <cellStyle name="Normal 2 2 10 2 24 4 9" xfId="7488" xr:uid="{00000000-0005-0000-0000-0000401D0000}"/>
    <cellStyle name="Normal 2 2 10 2 24 5" xfId="7489" xr:uid="{00000000-0005-0000-0000-0000411D0000}"/>
    <cellStyle name="Normal 2 2 10 2 24 5 10" xfId="7490" xr:uid="{00000000-0005-0000-0000-0000421D0000}"/>
    <cellStyle name="Normal 2 2 10 2 24 5 2" xfId="7491" xr:uid="{00000000-0005-0000-0000-0000431D0000}"/>
    <cellStyle name="Normal 2 2 10 2 24 5 3" xfId="7492" xr:uid="{00000000-0005-0000-0000-0000441D0000}"/>
    <cellStyle name="Normal 2 2 10 2 24 5 4" xfId="7493" xr:uid="{00000000-0005-0000-0000-0000451D0000}"/>
    <cellStyle name="Normal 2 2 10 2 24 5 5" xfId="7494" xr:uid="{00000000-0005-0000-0000-0000461D0000}"/>
    <cellStyle name="Normal 2 2 10 2 24 5 6" xfId="7495" xr:uid="{00000000-0005-0000-0000-0000471D0000}"/>
    <cellStyle name="Normal 2 2 10 2 24 5 7" xfId="7496" xr:uid="{00000000-0005-0000-0000-0000481D0000}"/>
    <cellStyle name="Normal 2 2 10 2 24 5 8" xfId="7497" xr:uid="{00000000-0005-0000-0000-0000491D0000}"/>
    <cellStyle name="Normal 2 2 10 2 24 5 9" xfId="7498" xr:uid="{00000000-0005-0000-0000-00004A1D0000}"/>
    <cellStyle name="Normal 2 2 10 2 24 6" xfId="7499" xr:uid="{00000000-0005-0000-0000-00004B1D0000}"/>
    <cellStyle name="Normal 2 2 10 2 24 7" xfId="7500" xr:uid="{00000000-0005-0000-0000-00004C1D0000}"/>
    <cellStyle name="Normal 2 2 10 2 24 8" xfId="7501" xr:uid="{00000000-0005-0000-0000-00004D1D0000}"/>
    <cellStyle name="Normal 2 2 10 2 24 9" xfId="7502" xr:uid="{00000000-0005-0000-0000-00004E1D0000}"/>
    <cellStyle name="Normal 2 2 10 2 25" xfId="7503" xr:uid="{00000000-0005-0000-0000-00004F1D0000}"/>
    <cellStyle name="Normal 2 2 10 2 25 10" xfId="7504" xr:uid="{00000000-0005-0000-0000-0000501D0000}"/>
    <cellStyle name="Normal 2 2 10 2 25 11" xfId="7505" xr:uid="{00000000-0005-0000-0000-0000511D0000}"/>
    <cellStyle name="Normal 2 2 10 2 25 12" xfId="7506" xr:uid="{00000000-0005-0000-0000-0000521D0000}"/>
    <cellStyle name="Normal 2 2 10 2 25 13" xfId="7507" xr:uid="{00000000-0005-0000-0000-0000531D0000}"/>
    <cellStyle name="Normal 2 2 10 2 25 14" xfId="7508" xr:uid="{00000000-0005-0000-0000-0000541D0000}"/>
    <cellStyle name="Normal 2 2 10 2 25 2" xfId="7509" xr:uid="{00000000-0005-0000-0000-0000551D0000}"/>
    <cellStyle name="Normal 2 2 10 2 25 2 10" xfId="7510" xr:uid="{00000000-0005-0000-0000-0000561D0000}"/>
    <cellStyle name="Normal 2 2 10 2 25 2 2" xfId="7511" xr:uid="{00000000-0005-0000-0000-0000571D0000}"/>
    <cellStyle name="Normal 2 2 10 2 25 2 3" xfId="7512" xr:uid="{00000000-0005-0000-0000-0000581D0000}"/>
    <cellStyle name="Normal 2 2 10 2 25 2 4" xfId="7513" xr:uid="{00000000-0005-0000-0000-0000591D0000}"/>
    <cellStyle name="Normal 2 2 10 2 25 2 5" xfId="7514" xr:uid="{00000000-0005-0000-0000-00005A1D0000}"/>
    <cellStyle name="Normal 2 2 10 2 25 2 6" xfId="7515" xr:uid="{00000000-0005-0000-0000-00005B1D0000}"/>
    <cellStyle name="Normal 2 2 10 2 25 2 7" xfId="7516" xr:uid="{00000000-0005-0000-0000-00005C1D0000}"/>
    <cellStyle name="Normal 2 2 10 2 25 2 8" xfId="7517" xr:uid="{00000000-0005-0000-0000-00005D1D0000}"/>
    <cellStyle name="Normal 2 2 10 2 25 2 9" xfId="7518" xr:uid="{00000000-0005-0000-0000-00005E1D0000}"/>
    <cellStyle name="Normal 2 2 10 2 25 3" xfId="7519" xr:uid="{00000000-0005-0000-0000-00005F1D0000}"/>
    <cellStyle name="Normal 2 2 10 2 25 3 10" xfId="7520" xr:uid="{00000000-0005-0000-0000-0000601D0000}"/>
    <cellStyle name="Normal 2 2 10 2 25 3 2" xfId="7521" xr:uid="{00000000-0005-0000-0000-0000611D0000}"/>
    <cellStyle name="Normal 2 2 10 2 25 3 3" xfId="7522" xr:uid="{00000000-0005-0000-0000-0000621D0000}"/>
    <cellStyle name="Normal 2 2 10 2 25 3 4" xfId="7523" xr:uid="{00000000-0005-0000-0000-0000631D0000}"/>
    <cellStyle name="Normal 2 2 10 2 25 3 5" xfId="7524" xr:uid="{00000000-0005-0000-0000-0000641D0000}"/>
    <cellStyle name="Normal 2 2 10 2 25 3 6" xfId="7525" xr:uid="{00000000-0005-0000-0000-0000651D0000}"/>
    <cellStyle name="Normal 2 2 10 2 25 3 7" xfId="7526" xr:uid="{00000000-0005-0000-0000-0000661D0000}"/>
    <cellStyle name="Normal 2 2 10 2 25 3 8" xfId="7527" xr:uid="{00000000-0005-0000-0000-0000671D0000}"/>
    <cellStyle name="Normal 2 2 10 2 25 3 9" xfId="7528" xr:uid="{00000000-0005-0000-0000-0000681D0000}"/>
    <cellStyle name="Normal 2 2 10 2 25 4" xfId="7529" xr:uid="{00000000-0005-0000-0000-0000691D0000}"/>
    <cellStyle name="Normal 2 2 10 2 25 4 10" xfId="7530" xr:uid="{00000000-0005-0000-0000-00006A1D0000}"/>
    <cellStyle name="Normal 2 2 10 2 25 4 2" xfId="7531" xr:uid="{00000000-0005-0000-0000-00006B1D0000}"/>
    <cellStyle name="Normal 2 2 10 2 25 4 3" xfId="7532" xr:uid="{00000000-0005-0000-0000-00006C1D0000}"/>
    <cellStyle name="Normal 2 2 10 2 25 4 4" xfId="7533" xr:uid="{00000000-0005-0000-0000-00006D1D0000}"/>
    <cellStyle name="Normal 2 2 10 2 25 4 5" xfId="7534" xr:uid="{00000000-0005-0000-0000-00006E1D0000}"/>
    <cellStyle name="Normal 2 2 10 2 25 4 6" xfId="7535" xr:uid="{00000000-0005-0000-0000-00006F1D0000}"/>
    <cellStyle name="Normal 2 2 10 2 25 4 7" xfId="7536" xr:uid="{00000000-0005-0000-0000-0000701D0000}"/>
    <cellStyle name="Normal 2 2 10 2 25 4 8" xfId="7537" xr:uid="{00000000-0005-0000-0000-0000711D0000}"/>
    <cellStyle name="Normal 2 2 10 2 25 4 9" xfId="7538" xr:uid="{00000000-0005-0000-0000-0000721D0000}"/>
    <cellStyle name="Normal 2 2 10 2 25 5" xfId="7539" xr:uid="{00000000-0005-0000-0000-0000731D0000}"/>
    <cellStyle name="Normal 2 2 10 2 25 5 10" xfId="7540" xr:uid="{00000000-0005-0000-0000-0000741D0000}"/>
    <cellStyle name="Normal 2 2 10 2 25 5 2" xfId="7541" xr:uid="{00000000-0005-0000-0000-0000751D0000}"/>
    <cellStyle name="Normal 2 2 10 2 25 5 3" xfId="7542" xr:uid="{00000000-0005-0000-0000-0000761D0000}"/>
    <cellStyle name="Normal 2 2 10 2 25 5 4" xfId="7543" xr:uid="{00000000-0005-0000-0000-0000771D0000}"/>
    <cellStyle name="Normal 2 2 10 2 25 5 5" xfId="7544" xr:uid="{00000000-0005-0000-0000-0000781D0000}"/>
    <cellStyle name="Normal 2 2 10 2 25 5 6" xfId="7545" xr:uid="{00000000-0005-0000-0000-0000791D0000}"/>
    <cellStyle name="Normal 2 2 10 2 25 5 7" xfId="7546" xr:uid="{00000000-0005-0000-0000-00007A1D0000}"/>
    <cellStyle name="Normal 2 2 10 2 25 5 8" xfId="7547" xr:uid="{00000000-0005-0000-0000-00007B1D0000}"/>
    <cellStyle name="Normal 2 2 10 2 25 5 9" xfId="7548" xr:uid="{00000000-0005-0000-0000-00007C1D0000}"/>
    <cellStyle name="Normal 2 2 10 2 25 6" xfId="7549" xr:uid="{00000000-0005-0000-0000-00007D1D0000}"/>
    <cellStyle name="Normal 2 2 10 2 25 7" xfId="7550" xr:uid="{00000000-0005-0000-0000-00007E1D0000}"/>
    <cellStyle name="Normal 2 2 10 2 25 8" xfId="7551" xr:uid="{00000000-0005-0000-0000-00007F1D0000}"/>
    <cellStyle name="Normal 2 2 10 2 25 9" xfId="7552" xr:uid="{00000000-0005-0000-0000-0000801D0000}"/>
    <cellStyle name="Normal 2 2 10 2 26" xfId="7553" xr:uid="{00000000-0005-0000-0000-0000811D0000}"/>
    <cellStyle name="Normal 2 2 10 2 26 10" xfId="7554" xr:uid="{00000000-0005-0000-0000-0000821D0000}"/>
    <cellStyle name="Normal 2 2 10 2 26 11" xfId="7555" xr:uid="{00000000-0005-0000-0000-0000831D0000}"/>
    <cellStyle name="Normal 2 2 10 2 26 12" xfId="7556" xr:uid="{00000000-0005-0000-0000-0000841D0000}"/>
    <cellStyle name="Normal 2 2 10 2 26 13" xfId="7557" xr:uid="{00000000-0005-0000-0000-0000851D0000}"/>
    <cellStyle name="Normal 2 2 10 2 26 14" xfId="7558" xr:uid="{00000000-0005-0000-0000-0000861D0000}"/>
    <cellStyle name="Normal 2 2 10 2 26 2" xfId="7559" xr:uid="{00000000-0005-0000-0000-0000871D0000}"/>
    <cellStyle name="Normal 2 2 10 2 26 2 10" xfId="7560" xr:uid="{00000000-0005-0000-0000-0000881D0000}"/>
    <cellStyle name="Normal 2 2 10 2 26 2 2" xfId="7561" xr:uid="{00000000-0005-0000-0000-0000891D0000}"/>
    <cellStyle name="Normal 2 2 10 2 26 2 3" xfId="7562" xr:uid="{00000000-0005-0000-0000-00008A1D0000}"/>
    <cellStyle name="Normal 2 2 10 2 26 2 4" xfId="7563" xr:uid="{00000000-0005-0000-0000-00008B1D0000}"/>
    <cellStyle name="Normal 2 2 10 2 26 2 5" xfId="7564" xr:uid="{00000000-0005-0000-0000-00008C1D0000}"/>
    <cellStyle name="Normal 2 2 10 2 26 2 6" xfId="7565" xr:uid="{00000000-0005-0000-0000-00008D1D0000}"/>
    <cellStyle name="Normal 2 2 10 2 26 2 7" xfId="7566" xr:uid="{00000000-0005-0000-0000-00008E1D0000}"/>
    <cellStyle name="Normal 2 2 10 2 26 2 8" xfId="7567" xr:uid="{00000000-0005-0000-0000-00008F1D0000}"/>
    <cellStyle name="Normal 2 2 10 2 26 2 9" xfId="7568" xr:uid="{00000000-0005-0000-0000-0000901D0000}"/>
    <cellStyle name="Normal 2 2 10 2 26 3" xfId="7569" xr:uid="{00000000-0005-0000-0000-0000911D0000}"/>
    <cellStyle name="Normal 2 2 10 2 26 3 10" xfId="7570" xr:uid="{00000000-0005-0000-0000-0000921D0000}"/>
    <cellStyle name="Normal 2 2 10 2 26 3 2" xfId="7571" xr:uid="{00000000-0005-0000-0000-0000931D0000}"/>
    <cellStyle name="Normal 2 2 10 2 26 3 3" xfId="7572" xr:uid="{00000000-0005-0000-0000-0000941D0000}"/>
    <cellStyle name="Normal 2 2 10 2 26 3 4" xfId="7573" xr:uid="{00000000-0005-0000-0000-0000951D0000}"/>
    <cellStyle name="Normal 2 2 10 2 26 3 5" xfId="7574" xr:uid="{00000000-0005-0000-0000-0000961D0000}"/>
    <cellStyle name="Normal 2 2 10 2 26 3 6" xfId="7575" xr:uid="{00000000-0005-0000-0000-0000971D0000}"/>
    <cellStyle name="Normal 2 2 10 2 26 3 7" xfId="7576" xr:uid="{00000000-0005-0000-0000-0000981D0000}"/>
    <cellStyle name="Normal 2 2 10 2 26 3 8" xfId="7577" xr:uid="{00000000-0005-0000-0000-0000991D0000}"/>
    <cellStyle name="Normal 2 2 10 2 26 3 9" xfId="7578" xr:uid="{00000000-0005-0000-0000-00009A1D0000}"/>
    <cellStyle name="Normal 2 2 10 2 26 4" xfId="7579" xr:uid="{00000000-0005-0000-0000-00009B1D0000}"/>
    <cellStyle name="Normal 2 2 10 2 26 4 10" xfId="7580" xr:uid="{00000000-0005-0000-0000-00009C1D0000}"/>
    <cellStyle name="Normal 2 2 10 2 26 4 2" xfId="7581" xr:uid="{00000000-0005-0000-0000-00009D1D0000}"/>
    <cellStyle name="Normal 2 2 10 2 26 4 3" xfId="7582" xr:uid="{00000000-0005-0000-0000-00009E1D0000}"/>
    <cellStyle name="Normal 2 2 10 2 26 4 4" xfId="7583" xr:uid="{00000000-0005-0000-0000-00009F1D0000}"/>
    <cellStyle name="Normal 2 2 10 2 26 4 5" xfId="7584" xr:uid="{00000000-0005-0000-0000-0000A01D0000}"/>
    <cellStyle name="Normal 2 2 10 2 26 4 6" xfId="7585" xr:uid="{00000000-0005-0000-0000-0000A11D0000}"/>
    <cellStyle name="Normal 2 2 10 2 26 4 7" xfId="7586" xr:uid="{00000000-0005-0000-0000-0000A21D0000}"/>
    <cellStyle name="Normal 2 2 10 2 26 4 8" xfId="7587" xr:uid="{00000000-0005-0000-0000-0000A31D0000}"/>
    <cellStyle name="Normal 2 2 10 2 26 4 9" xfId="7588" xr:uid="{00000000-0005-0000-0000-0000A41D0000}"/>
    <cellStyle name="Normal 2 2 10 2 26 5" xfId="7589" xr:uid="{00000000-0005-0000-0000-0000A51D0000}"/>
    <cellStyle name="Normal 2 2 10 2 26 5 10" xfId="7590" xr:uid="{00000000-0005-0000-0000-0000A61D0000}"/>
    <cellStyle name="Normal 2 2 10 2 26 5 2" xfId="7591" xr:uid="{00000000-0005-0000-0000-0000A71D0000}"/>
    <cellStyle name="Normal 2 2 10 2 26 5 3" xfId="7592" xr:uid="{00000000-0005-0000-0000-0000A81D0000}"/>
    <cellStyle name="Normal 2 2 10 2 26 5 4" xfId="7593" xr:uid="{00000000-0005-0000-0000-0000A91D0000}"/>
    <cellStyle name="Normal 2 2 10 2 26 5 5" xfId="7594" xr:uid="{00000000-0005-0000-0000-0000AA1D0000}"/>
    <cellStyle name="Normal 2 2 10 2 26 5 6" xfId="7595" xr:uid="{00000000-0005-0000-0000-0000AB1D0000}"/>
    <cellStyle name="Normal 2 2 10 2 26 5 7" xfId="7596" xr:uid="{00000000-0005-0000-0000-0000AC1D0000}"/>
    <cellStyle name="Normal 2 2 10 2 26 5 8" xfId="7597" xr:uid="{00000000-0005-0000-0000-0000AD1D0000}"/>
    <cellStyle name="Normal 2 2 10 2 26 5 9" xfId="7598" xr:uid="{00000000-0005-0000-0000-0000AE1D0000}"/>
    <cellStyle name="Normal 2 2 10 2 26 6" xfId="7599" xr:uid="{00000000-0005-0000-0000-0000AF1D0000}"/>
    <cellStyle name="Normal 2 2 10 2 26 7" xfId="7600" xr:uid="{00000000-0005-0000-0000-0000B01D0000}"/>
    <cellStyle name="Normal 2 2 10 2 26 8" xfId="7601" xr:uid="{00000000-0005-0000-0000-0000B11D0000}"/>
    <cellStyle name="Normal 2 2 10 2 26 9" xfId="7602" xr:uid="{00000000-0005-0000-0000-0000B21D0000}"/>
    <cellStyle name="Normal 2 2 10 2 27" xfId="7603" xr:uid="{00000000-0005-0000-0000-0000B31D0000}"/>
    <cellStyle name="Normal 2 2 10 2 27 10" xfId="7604" xr:uid="{00000000-0005-0000-0000-0000B41D0000}"/>
    <cellStyle name="Normal 2 2 10 2 27 11" xfId="7605" xr:uid="{00000000-0005-0000-0000-0000B51D0000}"/>
    <cellStyle name="Normal 2 2 10 2 27 12" xfId="7606" xr:uid="{00000000-0005-0000-0000-0000B61D0000}"/>
    <cellStyle name="Normal 2 2 10 2 27 13" xfId="7607" xr:uid="{00000000-0005-0000-0000-0000B71D0000}"/>
    <cellStyle name="Normal 2 2 10 2 27 14" xfId="7608" xr:uid="{00000000-0005-0000-0000-0000B81D0000}"/>
    <cellStyle name="Normal 2 2 10 2 27 2" xfId="7609" xr:uid="{00000000-0005-0000-0000-0000B91D0000}"/>
    <cellStyle name="Normal 2 2 10 2 27 2 10" xfId="7610" xr:uid="{00000000-0005-0000-0000-0000BA1D0000}"/>
    <cellStyle name="Normal 2 2 10 2 27 2 2" xfId="7611" xr:uid="{00000000-0005-0000-0000-0000BB1D0000}"/>
    <cellStyle name="Normal 2 2 10 2 27 2 3" xfId="7612" xr:uid="{00000000-0005-0000-0000-0000BC1D0000}"/>
    <cellStyle name="Normal 2 2 10 2 27 2 4" xfId="7613" xr:uid="{00000000-0005-0000-0000-0000BD1D0000}"/>
    <cellStyle name="Normal 2 2 10 2 27 2 5" xfId="7614" xr:uid="{00000000-0005-0000-0000-0000BE1D0000}"/>
    <cellStyle name="Normal 2 2 10 2 27 2 6" xfId="7615" xr:uid="{00000000-0005-0000-0000-0000BF1D0000}"/>
    <cellStyle name="Normal 2 2 10 2 27 2 7" xfId="7616" xr:uid="{00000000-0005-0000-0000-0000C01D0000}"/>
    <cellStyle name="Normal 2 2 10 2 27 2 8" xfId="7617" xr:uid="{00000000-0005-0000-0000-0000C11D0000}"/>
    <cellStyle name="Normal 2 2 10 2 27 2 9" xfId="7618" xr:uid="{00000000-0005-0000-0000-0000C21D0000}"/>
    <cellStyle name="Normal 2 2 10 2 27 3" xfId="7619" xr:uid="{00000000-0005-0000-0000-0000C31D0000}"/>
    <cellStyle name="Normal 2 2 10 2 27 3 10" xfId="7620" xr:uid="{00000000-0005-0000-0000-0000C41D0000}"/>
    <cellStyle name="Normal 2 2 10 2 27 3 2" xfId="7621" xr:uid="{00000000-0005-0000-0000-0000C51D0000}"/>
    <cellStyle name="Normal 2 2 10 2 27 3 3" xfId="7622" xr:uid="{00000000-0005-0000-0000-0000C61D0000}"/>
    <cellStyle name="Normal 2 2 10 2 27 3 4" xfId="7623" xr:uid="{00000000-0005-0000-0000-0000C71D0000}"/>
    <cellStyle name="Normal 2 2 10 2 27 3 5" xfId="7624" xr:uid="{00000000-0005-0000-0000-0000C81D0000}"/>
    <cellStyle name="Normal 2 2 10 2 27 3 6" xfId="7625" xr:uid="{00000000-0005-0000-0000-0000C91D0000}"/>
    <cellStyle name="Normal 2 2 10 2 27 3 7" xfId="7626" xr:uid="{00000000-0005-0000-0000-0000CA1D0000}"/>
    <cellStyle name="Normal 2 2 10 2 27 3 8" xfId="7627" xr:uid="{00000000-0005-0000-0000-0000CB1D0000}"/>
    <cellStyle name="Normal 2 2 10 2 27 3 9" xfId="7628" xr:uid="{00000000-0005-0000-0000-0000CC1D0000}"/>
    <cellStyle name="Normal 2 2 10 2 27 4" xfId="7629" xr:uid="{00000000-0005-0000-0000-0000CD1D0000}"/>
    <cellStyle name="Normal 2 2 10 2 27 4 10" xfId="7630" xr:uid="{00000000-0005-0000-0000-0000CE1D0000}"/>
    <cellStyle name="Normal 2 2 10 2 27 4 2" xfId="7631" xr:uid="{00000000-0005-0000-0000-0000CF1D0000}"/>
    <cellStyle name="Normal 2 2 10 2 27 4 3" xfId="7632" xr:uid="{00000000-0005-0000-0000-0000D01D0000}"/>
    <cellStyle name="Normal 2 2 10 2 27 4 4" xfId="7633" xr:uid="{00000000-0005-0000-0000-0000D11D0000}"/>
    <cellStyle name="Normal 2 2 10 2 27 4 5" xfId="7634" xr:uid="{00000000-0005-0000-0000-0000D21D0000}"/>
    <cellStyle name="Normal 2 2 10 2 27 4 6" xfId="7635" xr:uid="{00000000-0005-0000-0000-0000D31D0000}"/>
    <cellStyle name="Normal 2 2 10 2 27 4 7" xfId="7636" xr:uid="{00000000-0005-0000-0000-0000D41D0000}"/>
    <cellStyle name="Normal 2 2 10 2 27 4 8" xfId="7637" xr:uid="{00000000-0005-0000-0000-0000D51D0000}"/>
    <cellStyle name="Normal 2 2 10 2 27 4 9" xfId="7638" xr:uid="{00000000-0005-0000-0000-0000D61D0000}"/>
    <cellStyle name="Normal 2 2 10 2 27 5" xfId="7639" xr:uid="{00000000-0005-0000-0000-0000D71D0000}"/>
    <cellStyle name="Normal 2 2 10 2 27 5 10" xfId="7640" xr:uid="{00000000-0005-0000-0000-0000D81D0000}"/>
    <cellStyle name="Normal 2 2 10 2 27 5 2" xfId="7641" xr:uid="{00000000-0005-0000-0000-0000D91D0000}"/>
    <cellStyle name="Normal 2 2 10 2 27 5 3" xfId="7642" xr:uid="{00000000-0005-0000-0000-0000DA1D0000}"/>
    <cellStyle name="Normal 2 2 10 2 27 5 4" xfId="7643" xr:uid="{00000000-0005-0000-0000-0000DB1D0000}"/>
    <cellStyle name="Normal 2 2 10 2 27 5 5" xfId="7644" xr:uid="{00000000-0005-0000-0000-0000DC1D0000}"/>
    <cellStyle name="Normal 2 2 10 2 27 5 6" xfId="7645" xr:uid="{00000000-0005-0000-0000-0000DD1D0000}"/>
    <cellStyle name="Normal 2 2 10 2 27 5 7" xfId="7646" xr:uid="{00000000-0005-0000-0000-0000DE1D0000}"/>
    <cellStyle name="Normal 2 2 10 2 27 5 8" xfId="7647" xr:uid="{00000000-0005-0000-0000-0000DF1D0000}"/>
    <cellStyle name="Normal 2 2 10 2 27 5 9" xfId="7648" xr:uid="{00000000-0005-0000-0000-0000E01D0000}"/>
    <cellStyle name="Normal 2 2 10 2 27 6" xfId="7649" xr:uid="{00000000-0005-0000-0000-0000E11D0000}"/>
    <cellStyle name="Normal 2 2 10 2 27 7" xfId="7650" xr:uid="{00000000-0005-0000-0000-0000E21D0000}"/>
    <cellStyle name="Normal 2 2 10 2 27 8" xfId="7651" xr:uid="{00000000-0005-0000-0000-0000E31D0000}"/>
    <cellStyle name="Normal 2 2 10 2 27 9" xfId="7652" xr:uid="{00000000-0005-0000-0000-0000E41D0000}"/>
    <cellStyle name="Normal 2 2 10 2 28" xfId="7653" xr:uid="{00000000-0005-0000-0000-0000E51D0000}"/>
    <cellStyle name="Normal 2 2 10 2 28 10" xfId="7654" xr:uid="{00000000-0005-0000-0000-0000E61D0000}"/>
    <cellStyle name="Normal 2 2 10 2 28 11" xfId="7655" xr:uid="{00000000-0005-0000-0000-0000E71D0000}"/>
    <cellStyle name="Normal 2 2 10 2 28 12" xfId="7656" xr:uid="{00000000-0005-0000-0000-0000E81D0000}"/>
    <cellStyle name="Normal 2 2 10 2 28 13" xfId="7657" xr:uid="{00000000-0005-0000-0000-0000E91D0000}"/>
    <cellStyle name="Normal 2 2 10 2 28 14" xfId="7658" xr:uid="{00000000-0005-0000-0000-0000EA1D0000}"/>
    <cellStyle name="Normal 2 2 10 2 28 2" xfId="7659" xr:uid="{00000000-0005-0000-0000-0000EB1D0000}"/>
    <cellStyle name="Normal 2 2 10 2 28 2 10" xfId="7660" xr:uid="{00000000-0005-0000-0000-0000EC1D0000}"/>
    <cellStyle name="Normal 2 2 10 2 28 2 2" xfId="7661" xr:uid="{00000000-0005-0000-0000-0000ED1D0000}"/>
    <cellStyle name="Normal 2 2 10 2 28 2 3" xfId="7662" xr:uid="{00000000-0005-0000-0000-0000EE1D0000}"/>
    <cellStyle name="Normal 2 2 10 2 28 2 4" xfId="7663" xr:uid="{00000000-0005-0000-0000-0000EF1D0000}"/>
    <cellStyle name="Normal 2 2 10 2 28 2 5" xfId="7664" xr:uid="{00000000-0005-0000-0000-0000F01D0000}"/>
    <cellStyle name="Normal 2 2 10 2 28 2 6" xfId="7665" xr:uid="{00000000-0005-0000-0000-0000F11D0000}"/>
    <cellStyle name="Normal 2 2 10 2 28 2 7" xfId="7666" xr:uid="{00000000-0005-0000-0000-0000F21D0000}"/>
    <cellStyle name="Normal 2 2 10 2 28 2 8" xfId="7667" xr:uid="{00000000-0005-0000-0000-0000F31D0000}"/>
    <cellStyle name="Normal 2 2 10 2 28 2 9" xfId="7668" xr:uid="{00000000-0005-0000-0000-0000F41D0000}"/>
    <cellStyle name="Normal 2 2 10 2 28 3" xfId="7669" xr:uid="{00000000-0005-0000-0000-0000F51D0000}"/>
    <cellStyle name="Normal 2 2 10 2 28 3 10" xfId="7670" xr:uid="{00000000-0005-0000-0000-0000F61D0000}"/>
    <cellStyle name="Normal 2 2 10 2 28 3 2" xfId="7671" xr:uid="{00000000-0005-0000-0000-0000F71D0000}"/>
    <cellStyle name="Normal 2 2 10 2 28 3 3" xfId="7672" xr:uid="{00000000-0005-0000-0000-0000F81D0000}"/>
    <cellStyle name="Normal 2 2 10 2 28 3 4" xfId="7673" xr:uid="{00000000-0005-0000-0000-0000F91D0000}"/>
    <cellStyle name="Normal 2 2 10 2 28 3 5" xfId="7674" xr:uid="{00000000-0005-0000-0000-0000FA1D0000}"/>
    <cellStyle name="Normal 2 2 10 2 28 3 6" xfId="7675" xr:uid="{00000000-0005-0000-0000-0000FB1D0000}"/>
    <cellStyle name="Normal 2 2 10 2 28 3 7" xfId="7676" xr:uid="{00000000-0005-0000-0000-0000FC1D0000}"/>
    <cellStyle name="Normal 2 2 10 2 28 3 8" xfId="7677" xr:uid="{00000000-0005-0000-0000-0000FD1D0000}"/>
    <cellStyle name="Normal 2 2 10 2 28 3 9" xfId="7678" xr:uid="{00000000-0005-0000-0000-0000FE1D0000}"/>
    <cellStyle name="Normal 2 2 10 2 28 4" xfId="7679" xr:uid="{00000000-0005-0000-0000-0000FF1D0000}"/>
    <cellStyle name="Normal 2 2 10 2 28 4 10" xfId="7680" xr:uid="{00000000-0005-0000-0000-0000001E0000}"/>
    <cellStyle name="Normal 2 2 10 2 28 4 2" xfId="7681" xr:uid="{00000000-0005-0000-0000-0000011E0000}"/>
    <cellStyle name="Normal 2 2 10 2 28 4 3" xfId="7682" xr:uid="{00000000-0005-0000-0000-0000021E0000}"/>
    <cellStyle name="Normal 2 2 10 2 28 4 4" xfId="7683" xr:uid="{00000000-0005-0000-0000-0000031E0000}"/>
    <cellStyle name="Normal 2 2 10 2 28 4 5" xfId="7684" xr:uid="{00000000-0005-0000-0000-0000041E0000}"/>
    <cellStyle name="Normal 2 2 10 2 28 4 6" xfId="7685" xr:uid="{00000000-0005-0000-0000-0000051E0000}"/>
    <cellStyle name="Normal 2 2 10 2 28 4 7" xfId="7686" xr:uid="{00000000-0005-0000-0000-0000061E0000}"/>
    <cellStyle name="Normal 2 2 10 2 28 4 8" xfId="7687" xr:uid="{00000000-0005-0000-0000-0000071E0000}"/>
    <cellStyle name="Normal 2 2 10 2 28 4 9" xfId="7688" xr:uid="{00000000-0005-0000-0000-0000081E0000}"/>
    <cellStyle name="Normal 2 2 10 2 28 5" xfId="7689" xr:uid="{00000000-0005-0000-0000-0000091E0000}"/>
    <cellStyle name="Normal 2 2 10 2 28 5 10" xfId="7690" xr:uid="{00000000-0005-0000-0000-00000A1E0000}"/>
    <cellStyle name="Normal 2 2 10 2 28 5 2" xfId="7691" xr:uid="{00000000-0005-0000-0000-00000B1E0000}"/>
    <cellStyle name="Normal 2 2 10 2 28 5 3" xfId="7692" xr:uid="{00000000-0005-0000-0000-00000C1E0000}"/>
    <cellStyle name="Normal 2 2 10 2 28 5 4" xfId="7693" xr:uid="{00000000-0005-0000-0000-00000D1E0000}"/>
    <cellStyle name="Normal 2 2 10 2 28 5 5" xfId="7694" xr:uid="{00000000-0005-0000-0000-00000E1E0000}"/>
    <cellStyle name="Normal 2 2 10 2 28 5 6" xfId="7695" xr:uid="{00000000-0005-0000-0000-00000F1E0000}"/>
    <cellStyle name="Normal 2 2 10 2 28 5 7" xfId="7696" xr:uid="{00000000-0005-0000-0000-0000101E0000}"/>
    <cellStyle name="Normal 2 2 10 2 28 5 8" xfId="7697" xr:uid="{00000000-0005-0000-0000-0000111E0000}"/>
    <cellStyle name="Normal 2 2 10 2 28 5 9" xfId="7698" xr:uid="{00000000-0005-0000-0000-0000121E0000}"/>
    <cellStyle name="Normal 2 2 10 2 28 6" xfId="7699" xr:uid="{00000000-0005-0000-0000-0000131E0000}"/>
    <cellStyle name="Normal 2 2 10 2 28 7" xfId="7700" xr:uid="{00000000-0005-0000-0000-0000141E0000}"/>
    <cellStyle name="Normal 2 2 10 2 28 8" xfId="7701" xr:uid="{00000000-0005-0000-0000-0000151E0000}"/>
    <cellStyle name="Normal 2 2 10 2 28 9" xfId="7702" xr:uid="{00000000-0005-0000-0000-0000161E0000}"/>
    <cellStyle name="Normal 2 2 10 2 29" xfId="7703" xr:uid="{00000000-0005-0000-0000-0000171E0000}"/>
    <cellStyle name="Normal 2 2 10 2 29 10" xfId="7704" xr:uid="{00000000-0005-0000-0000-0000181E0000}"/>
    <cellStyle name="Normal 2 2 10 2 29 11" xfId="7705" xr:uid="{00000000-0005-0000-0000-0000191E0000}"/>
    <cellStyle name="Normal 2 2 10 2 29 12" xfId="7706" xr:uid="{00000000-0005-0000-0000-00001A1E0000}"/>
    <cellStyle name="Normal 2 2 10 2 29 13" xfId="7707" xr:uid="{00000000-0005-0000-0000-00001B1E0000}"/>
    <cellStyle name="Normal 2 2 10 2 29 14" xfId="7708" xr:uid="{00000000-0005-0000-0000-00001C1E0000}"/>
    <cellStyle name="Normal 2 2 10 2 29 2" xfId="7709" xr:uid="{00000000-0005-0000-0000-00001D1E0000}"/>
    <cellStyle name="Normal 2 2 10 2 29 2 10" xfId="7710" xr:uid="{00000000-0005-0000-0000-00001E1E0000}"/>
    <cellStyle name="Normal 2 2 10 2 29 2 2" xfId="7711" xr:uid="{00000000-0005-0000-0000-00001F1E0000}"/>
    <cellStyle name="Normal 2 2 10 2 29 2 3" xfId="7712" xr:uid="{00000000-0005-0000-0000-0000201E0000}"/>
    <cellStyle name="Normal 2 2 10 2 29 2 4" xfId="7713" xr:uid="{00000000-0005-0000-0000-0000211E0000}"/>
    <cellStyle name="Normal 2 2 10 2 29 2 5" xfId="7714" xr:uid="{00000000-0005-0000-0000-0000221E0000}"/>
    <cellStyle name="Normal 2 2 10 2 29 2 6" xfId="7715" xr:uid="{00000000-0005-0000-0000-0000231E0000}"/>
    <cellStyle name="Normal 2 2 10 2 29 2 7" xfId="7716" xr:uid="{00000000-0005-0000-0000-0000241E0000}"/>
    <cellStyle name="Normal 2 2 10 2 29 2 8" xfId="7717" xr:uid="{00000000-0005-0000-0000-0000251E0000}"/>
    <cellStyle name="Normal 2 2 10 2 29 2 9" xfId="7718" xr:uid="{00000000-0005-0000-0000-0000261E0000}"/>
    <cellStyle name="Normal 2 2 10 2 29 3" xfId="7719" xr:uid="{00000000-0005-0000-0000-0000271E0000}"/>
    <cellStyle name="Normal 2 2 10 2 29 3 10" xfId="7720" xr:uid="{00000000-0005-0000-0000-0000281E0000}"/>
    <cellStyle name="Normal 2 2 10 2 29 3 2" xfId="7721" xr:uid="{00000000-0005-0000-0000-0000291E0000}"/>
    <cellStyle name="Normal 2 2 10 2 29 3 3" xfId="7722" xr:uid="{00000000-0005-0000-0000-00002A1E0000}"/>
    <cellStyle name="Normal 2 2 10 2 29 3 4" xfId="7723" xr:uid="{00000000-0005-0000-0000-00002B1E0000}"/>
    <cellStyle name="Normal 2 2 10 2 29 3 5" xfId="7724" xr:uid="{00000000-0005-0000-0000-00002C1E0000}"/>
    <cellStyle name="Normal 2 2 10 2 29 3 6" xfId="7725" xr:uid="{00000000-0005-0000-0000-00002D1E0000}"/>
    <cellStyle name="Normal 2 2 10 2 29 3 7" xfId="7726" xr:uid="{00000000-0005-0000-0000-00002E1E0000}"/>
    <cellStyle name="Normal 2 2 10 2 29 3 8" xfId="7727" xr:uid="{00000000-0005-0000-0000-00002F1E0000}"/>
    <cellStyle name="Normal 2 2 10 2 29 3 9" xfId="7728" xr:uid="{00000000-0005-0000-0000-0000301E0000}"/>
    <cellStyle name="Normal 2 2 10 2 29 4" xfId="7729" xr:uid="{00000000-0005-0000-0000-0000311E0000}"/>
    <cellStyle name="Normal 2 2 10 2 29 4 10" xfId="7730" xr:uid="{00000000-0005-0000-0000-0000321E0000}"/>
    <cellStyle name="Normal 2 2 10 2 29 4 2" xfId="7731" xr:uid="{00000000-0005-0000-0000-0000331E0000}"/>
    <cellStyle name="Normal 2 2 10 2 29 4 3" xfId="7732" xr:uid="{00000000-0005-0000-0000-0000341E0000}"/>
    <cellStyle name="Normal 2 2 10 2 29 4 4" xfId="7733" xr:uid="{00000000-0005-0000-0000-0000351E0000}"/>
    <cellStyle name="Normal 2 2 10 2 29 4 5" xfId="7734" xr:uid="{00000000-0005-0000-0000-0000361E0000}"/>
    <cellStyle name="Normal 2 2 10 2 29 4 6" xfId="7735" xr:uid="{00000000-0005-0000-0000-0000371E0000}"/>
    <cellStyle name="Normal 2 2 10 2 29 4 7" xfId="7736" xr:uid="{00000000-0005-0000-0000-0000381E0000}"/>
    <cellStyle name="Normal 2 2 10 2 29 4 8" xfId="7737" xr:uid="{00000000-0005-0000-0000-0000391E0000}"/>
    <cellStyle name="Normal 2 2 10 2 29 4 9" xfId="7738" xr:uid="{00000000-0005-0000-0000-00003A1E0000}"/>
    <cellStyle name="Normal 2 2 10 2 29 5" xfId="7739" xr:uid="{00000000-0005-0000-0000-00003B1E0000}"/>
    <cellStyle name="Normal 2 2 10 2 29 5 10" xfId="7740" xr:uid="{00000000-0005-0000-0000-00003C1E0000}"/>
    <cellStyle name="Normal 2 2 10 2 29 5 2" xfId="7741" xr:uid="{00000000-0005-0000-0000-00003D1E0000}"/>
    <cellStyle name="Normal 2 2 10 2 29 5 3" xfId="7742" xr:uid="{00000000-0005-0000-0000-00003E1E0000}"/>
    <cellStyle name="Normal 2 2 10 2 29 5 4" xfId="7743" xr:uid="{00000000-0005-0000-0000-00003F1E0000}"/>
    <cellStyle name="Normal 2 2 10 2 29 5 5" xfId="7744" xr:uid="{00000000-0005-0000-0000-0000401E0000}"/>
    <cellStyle name="Normal 2 2 10 2 29 5 6" xfId="7745" xr:uid="{00000000-0005-0000-0000-0000411E0000}"/>
    <cellStyle name="Normal 2 2 10 2 29 5 7" xfId="7746" xr:uid="{00000000-0005-0000-0000-0000421E0000}"/>
    <cellStyle name="Normal 2 2 10 2 29 5 8" xfId="7747" xr:uid="{00000000-0005-0000-0000-0000431E0000}"/>
    <cellStyle name="Normal 2 2 10 2 29 5 9" xfId="7748" xr:uid="{00000000-0005-0000-0000-0000441E0000}"/>
    <cellStyle name="Normal 2 2 10 2 29 6" xfId="7749" xr:uid="{00000000-0005-0000-0000-0000451E0000}"/>
    <cellStyle name="Normal 2 2 10 2 29 7" xfId="7750" xr:uid="{00000000-0005-0000-0000-0000461E0000}"/>
    <cellStyle name="Normal 2 2 10 2 29 8" xfId="7751" xr:uid="{00000000-0005-0000-0000-0000471E0000}"/>
    <cellStyle name="Normal 2 2 10 2 29 9" xfId="7752" xr:uid="{00000000-0005-0000-0000-0000481E0000}"/>
    <cellStyle name="Normal 2 2 10 2 3" xfId="7753" xr:uid="{00000000-0005-0000-0000-0000491E0000}"/>
    <cellStyle name="Normal 2 2 10 2 3 10" xfId="7754" xr:uid="{00000000-0005-0000-0000-00004A1E0000}"/>
    <cellStyle name="Normal 2 2 10 2 3 11" xfId="7755" xr:uid="{00000000-0005-0000-0000-00004B1E0000}"/>
    <cellStyle name="Normal 2 2 10 2 3 12" xfId="7756" xr:uid="{00000000-0005-0000-0000-00004C1E0000}"/>
    <cellStyle name="Normal 2 2 10 2 3 13" xfId="7757" xr:uid="{00000000-0005-0000-0000-00004D1E0000}"/>
    <cellStyle name="Normal 2 2 10 2 3 14" xfId="7758" xr:uid="{00000000-0005-0000-0000-00004E1E0000}"/>
    <cellStyle name="Normal 2 2 10 2 3 2" xfId="7759" xr:uid="{00000000-0005-0000-0000-00004F1E0000}"/>
    <cellStyle name="Normal 2 2 10 2 3 2 10" xfId="7760" xr:uid="{00000000-0005-0000-0000-0000501E0000}"/>
    <cellStyle name="Normal 2 2 10 2 3 2 2" xfId="7761" xr:uid="{00000000-0005-0000-0000-0000511E0000}"/>
    <cellStyle name="Normal 2 2 10 2 3 2 3" xfId="7762" xr:uid="{00000000-0005-0000-0000-0000521E0000}"/>
    <cellStyle name="Normal 2 2 10 2 3 2 4" xfId="7763" xr:uid="{00000000-0005-0000-0000-0000531E0000}"/>
    <cellStyle name="Normal 2 2 10 2 3 2 5" xfId="7764" xr:uid="{00000000-0005-0000-0000-0000541E0000}"/>
    <cellStyle name="Normal 2 2 10 2 3 2 6" xfId="7765" xr:uid="{00000000-0005-0000-0000-0000551E0000}"/>
    <cellStyle name="Normal 2 2 10 2 3 2 7" xfId="7766" xr:uid="{00000000-0005-0000-0000-0000561E0000}"/>
    <cellStyle name="Normal 2 2 10 2 3 2 8" xfId="7767" xr:uid="{00000000-0005-0000-0000-0000571E0000}"/>
    <cellStyle name="Normal 2 2 10 2 3 2 9" xfId="7768" xr:uid="{00000000-0005-0000-0000-0000581E0000}"/>
    <cellStyle name="Normal 2 2 10 2 3 3" xfId="7769" xr:uid="{00000000-0005-0000-0000-0000591E0000}"/>
    <cellStyle name="Normal 2 2 10 2 3 3 10" xfId="7770" xr:uid="{00000000-0005-0000-0000-00005A1E0000}"/>
    <cellStyle name="Normal 2 2 10 2 3 3 2" xfId="7771" xr:uid="{00000000-0005-0000-0000-00005B1E0000}"/>
    <cellStyle name="Normal 2 2 10 2 3 3 3" xfId="7772" xr:uid="{00000000-0005-0000-0000-00005C1E0000}"/>
    <cellStyle name="Normal 2 2 10 2 3 3 4" xfId="7773" xr:uid="{00000000-0005-0000-0000-00005D1E0000}"/>
    <cellStyle name="Normal 2 2 10 2 3 3 5" xfId="7774" xr:uid="{00000000-0005-0000-0000-00005E1E0000}"/>
    <cellStyle name="Normal 2 2 10 2 3 3 6" xfId="7775" xr:uid="{00000000-0005-0000-0000-00005F1E0000}"/>
    <cellStyle name="Normal 2 2 10 2 3 3 7" xfId="7776" xr:uid="{00000000-0005-0000-0000-0000601E0000}"/>
    <cellStyle name="Normal 2 2 10 2 3 3 8" xfId="7777" xr:uid="{00000000-0005-0000-0000-0000611E0000}"/>
    <cellStyle name="Normal 2 2 10 2 3 3 9" xfId="7778" xr:uid="{00000000-0005-0000-0000-0000621E0000}"/>
    <cellStyle name="Normal 2 2 10 2 3 4" xfId="7779" xr:uid="{00000000-0005-0000-0000-0000631E0000}"/>
    <cellStyle name="Normal 2 2 10 2 3 4 10" xfId="7780" xr:uid="{00000000-0005-0000-0000-0000641E0000}"/>
    <cellStyle name="Normal 2 2 10 2 3 4 2" xfId="7781" xr:uid="{00000000-0005-0000-0000-0000651E0000}"/>
    <cellStyle name="Normal 2 2 10 2 3 4 3" xfId="7782" xr:uid="{00000000-0005-0000-0000-0000661E0000}"/>
    <cellStyle name="Normal 2 2 10 2 3 4 4" xfId="7783" xr:uid="{00000000-0005-0000-0000-0000671E0000}"/>
    <cellStyle name="Normal 2 2 10 2 3 4 5" xfId="7784" xr:uid="{00000000-0005-0000-0000-0000681E0000}"/>
    <cellStyle name="Normal 2 2 10 2 3 4 6" xfId="7785" xr:uid="{00000000-0005-0000-0000-0000691E0000}"/>
    <cellStyle name="Normal 2 2 10 2 3 4 7" xfId="7786" xr:uid="{00000000-0005-0000-0000-00006A1E0000}"/>
    <cellStyle name="Normal 2 2 10 2 3 4 8" xfId="7787" xr:uid="{00000000-0005-0000-0000-00006B1E0000}"/>
    <cellStyle name="Normal 2 2 10 2 3 4 9" xfId="7788" xr:uid="{00000000-0005-0000-0000-00006C1E0000}"/>
    <cellStyle name="Normal 2 2 10 2 3 5" xfId="7789" xr:uid="{00000000-0005-0000-0000-00006D1E0000}"/>
    <cellStyle name="Normal 2 2 10 2 3 5 10" xfId="7790" xr:uid="{00000000-0005-0000-0000-00006E1E0000}"/>
    <cellStyle name="Normal 2 2 10 2 3 5 2" xfId="7791" xr:uid="{00000000-0005-0000-0000-00006F1E0000}"/>
    <cellStyle name="Normal 2 2 10 2 3 5 3" xfId="7792" xr:uid="{00000000-0005-0000-0000-0000701E0000}"/>
    <cellStyle name="Normal 2 2 10 2 3 5 4" xfId="7793" xr:uid="{00000000-0005-0000-0000-0000711E0000}"/>
    <cellStyle name="Normal 2 2 10 2 3 5 5" xfId="7794" xr:uid="{00000000-0005-0000-0000-0000721E0000}"/>
    <cellStyle name="Normal 2 2 10 2 3 5 6" xfId="7795" xr:uid="{00000000-0005-0000-0000-0000731E0000}"/>
    <cellStyle name="Normal 2 2 10 2 3 5 7" xfId="7796" xr:uid="{00000000-0005-0000-0000-0000741E0000}"/>
    <cellStyle name="Normal 2 2 10 2 3 5 8" xfId="7797" xr:uid="{00000000-0005-0000-0000-0000751E0000}"/>
    <cellStyle name="Normal 2 2 10 2 3 5 9" xfId="7798" xr:uid="{00000000-0005-0000-0000-0000761E0000}"/>
    <cellStyle name="Normal 2 2 10 2 3 6" xfId="7799" xr:uid="{00000000-0005-0000-0000-0000771E0000}"/>
    <cellStyle name="Normal 2 2 10 2 3 7" xfId="7800" xr:uid="{00000000-0005-0000-0000-0000781E0000}"/>
    <cellStyle name="Normal 2 2 10 2 3 8" xfId="7801" xr:uid="{00000000-0005-0000-0000-0000791E0000}"/>
    <cellStyle name="Normal 2 2 10 2 3 9" xfId="7802" xr:uid="{00000000-0005-0000-0000-00007A1E0000}"/>
    <cellStyle name="Normal 2 2 10 2 30" xfId="7803" xr:uid="{00000000-0005-0000-0000-00007B1E0000}"/>
    <cellStyle name="Normal 2 2 10 2 30 10" xfId="7804" xr:uid="{00000000-0005-0000-0000-00007C1E0000}"/>
    <cellStyle name="Normal 2 2 10 2 30 11" xfId="7805" xr:uid="{00000000-0005-0000-0000-00007D1E0000}"/>
    <cellStyle name="Normal 2 2 10 2 30 12" xfId="7806" xr:uid="{00000000-0005-0000-0000-00007E1E0000}"/>
    <cellStyle name="Normal 2 2 10 2 30 13" xfId="7807" xr:uid="{00000000-0005-0000-0000-00007F1E0000}"/>
    <cellStyle name="Normal 2 2 10 2 30 14" xfId="7808" xr:uid="{00000000-0005-0000-0000-0000801E0000}"/>
    <cellStyle name="Normal 2 2 10 2 30 2" xfId="7809" xr:uid="{00000000-0005-0000-0000-0000811E0000}"/>
    <cellStyle name="Normal 2 2 10 2 30 2 10" xfId="7810" xr:uid="{00000000-0005-0000-0000-0000821E0000}"/>
    <cellStyle name="Normal 2 2 10 2 30 2 2" xfId="7811" xr:uid="{00000000-0005-0000-0000-0000831E0000}"/>
    <cellStyle name="Normal 2 2 10 2 30 2 3" xfId="7812" xr:uid="{00000000-0005-0000-0000-0000841E0000}"/>
    <cellStyle name="Normal 2 2 10 2 30 2 4" xfId="7813" xr:uid="{00000000-0005-0000-0000-0000851E0000}"/>
    <cellStyle name="Normal 2 2 10 2 30 2 5" xfId="7814" xr:uid="{00000000-0005-0000-0000-0000861E0000}"/>
    <cellStyle name="Normal 2 2 10 2 30 2 6" xfId="7815" xr:uid="{00000000-0005-0000-0000-0000871E0000}"/>
    <cellStyle name="Normal 2 2 10 2 30 2 7" xfId="7816" xr:uid="{00000000-0005-0000-0000-0000881E0000}"/>
    <cellStyle name="Normal 2 2 10 2 30 2 8" xfId="7817" xr:uid="{00000000-0005-0000-0000-0000891E0000}"/>
    <cellStyle name="Normal 2 2 10 2 30 2 9" xfId="7818" xr:uid="{00000000-0005-0000-0000-00008A1E0000}"/>
    <cellStyle name="Normal 2 2 10 2 30 3" xfId="7819" xr:uid="{00000000-0005-0000-0000-00008B1E0000}"/>
    <cellStyle name="Normal 2 2 10 2 30 3 10" xfId="7820" xr:uid="{00000000-0005-0000-0000-00008C1E0000}"/>
    <cellStyle name="Normal 2 2 10 2 30 3 2" xfId="7821" xr:uid="{00000000-0005-0000-0000-00008D1E0000}"/>
    <cellStyle name="Normal 2 2 10 2 30 3 3" xfId="7822" xr:uid="{00000000-0005-0000-0000-00008E1E0000}"/>
    <cellStyle name="Normal 2 2 10 2 30 3 4" xfId="7823" xr:uid="{00000000-0005-0000-0000-00008F1E0000}"/>
    <cellStyle name="Normal 2 2 10 2 30 3 5" xfId="7824" xr:uid="{00000000-0005-0000-0000-0000901E0000}"/>
    <cellStyle name="Normal 2 2 10 2 30 3 6" xfId="7825" xr:uid="{00000000-0005-0000-0000-0000911E0000}"/>
    <cellStyle name="Normal 2 2 10 2 30 3 7" xfId="7826" xr:uid="{00000000-0005-0000-0000-0000921E0000}"/>
    <cellStyle name="Normal 2 2 10 2 30 3 8" xfId="7827" xr:uid="{00000000-0005-0000-0000-0000931E0000}"/>
    <cellStyle name="Normal 2 2 10 2 30 3 9" xfId="7828" xr:uid="{00000000-0005-0000-0000-0000941E0000}"/>
    <cellStyle name="Normal 2 2 10 2 30 4" xfId="7829" xr:uid="{00000000-0005-0000-0000-0000951E0000}"/>
    <cellStyle name="Normal 2 2 10 2 30 4 10" xfId="7830" xr:uid="{00000000-0005-0000-0000-0000961E0000}"/>
    <cellStyle name="Normal 2 2 10 2 30 4 2" xfId="7831" xr:uid="{00000000-0005-0000-0000-0000971E0000}"/>
    <cellStyle name="Normal 2 2 10 2 30 4 3" xfId="7832" xr:uid="{00000000-0005-0000-0000-0000981E0000}"/>
    <cellStyle name="Normal 2 2 10 2 30 4 4" xfId="7833" xr:uid="{00000000-0005-0000-0000-0000991E0000}"/>
    <cellStyle name="Normal 2 2 10 2 30 4 5" xfId="7834" xr:uid="{00000000-0005-0000-0000-00009A1E0000}"/>
    <cellStyle name="Normal 2 2 10 2 30 4 6" xfId="7835" xr:uid="{00000000-0005-0000-0000-00009B1E0000}"/>
    <cellStyle name="Normal 2 2 10 2 30 4 7" xfId="7836" xr:uid="{00000000-0005-0000-0000-00009C1E0000}"/>
    <cellStyle name="Normal 2 2 10 2 30 4 8" xfId="7837" xr:uid="{00000000-0005-0000-0000-00009D1E0000}"/>
    <cellStyle name="Normal 2 2 10 2 30 4 9" xfId="7838" xr:uid="{00000000-0005-0000-0000-00009E1E0000}"/>
    <cellStyle name="Normal 2 2 10 2 30 5" xfId="7839" xr:uid="{00000000-0005-0000-0000-00009F1E0000}"/>
    <cellStyle name="Normal 2 2 10 2 30 5 10" xfId="7840" xr:uid="{00000000-0005-0000-0000-0000A01E0000}"/>
    <cellStyle name="Normal 2 2 10 2 30 5 2" xfId="7841" xr:uid="{00000000-0005-0000-0000-0000A11E0000}"/>
    <cellStyle name="Normal 2 2 10 2 30 5 3" xfId="7842" xr:uid="{00000000-0005-0000-0000-0000A21E0000}"/>
    <cellStyle name="Normal 2 2 10 2 30 5 4" xfId="7843" xr:uid="{00000000-0005-0000-0000-0000A31E0000}"/>
    <cellStyle name="Normal 2 2 10 2 30 5 5" xfId="7844" xr:uid="{00000000-0005-0000-0000-0000A41E0000}"/>
    <cellStyle name="Normal 2 2 10 2 30 5 6" xfId="7845" xr:uid="{00000000-0005-0000-0000-0000A51E0000}"/>
    <cellStyle name="Normal 2 2 10 2 30 5 7" xfId="7846" xr:uid="{00000000-0005-0000-0000-0000A61E0000}"/>
    <cellStyle name="Normal 2 2 10 2 30 5 8" xfId="7847" xr:uid="{00000000-0005-0000-0000-0000A71E0000}"/>
    <cellStyle name="Normal 2 2 10 2 30 5 9" xfId="7848" xr:uid="{00000000-0005-0000-0000-0000A81E0000}"/>
    <cellStyle name="Normal 2 2 10 2 30 6" xfId="7849" xr:uid="{00000000-0005-0000-0000-0000A91E0000}"/>
    <cellStyle name="Normal 2 2 10 2 30 7" xfId="7850" xr:uid="{00000000-0005-0000-0000-0000AA1E0000}"/>
    <cellStyle name="Normal 2 2 10 2 30 8" xfId="7851" xr:uid="{00000000-0005-0000-0000-0000AB1E0000}"/>
    <cellStyle name="Normal 2 2 10 2 30 9" xfId="7852" xr:uid="{00000000-0005-0000-0000-0000AC1E0000}"/>
    <cellStyle name="Normal 2 2 10 2 31" xfId="7853" xr:uid="{00000000-0005-0000-0000-0000AD1E0000}"/>
    <cellStyle name="Normal 2 2 10 2 31 10" xfId="7854" xr:uid="{00000000-0005-0000-0000-0000AE1E0000}"/>
    <cellStyle name="Normal 2 2 10 2 31 11" xfId="7855" xr:uid="{00000000-0005-0000-0000-0000AF1E0000}"/>
    <cellStyle name="Normal 2 2 10 2 31 12" xfId="7856" xr:uid="{00000000-0005-0000-0000-0000B01E0000}"/>
    <cellStyle name="Normal 2 2 10 2 31 13" xfId="7857" xr:uid="{00000000-0005-0000-0000-0000B11E0000}"/>
    <cellStyle name="Normal 2 2 10 2 31 14" xfId="7858" xr:uid="{00000000-0005-0000-0000-0000B21E0000}"/>
    <cellStyle name="Normal 2 2 10 2 31 2" xfId="7859" xr:uid="{00000000-0005-0000-0000-0000B31E0000}"/>
    <cellStyle name="Normal 2 2 10 2 31 2 10" xfId="7860" xr:uid="{00000000-0005-0000-0000-0000B41E0000}"/>
    <cellStyle name="Normal 2 2 10 2 31 2 2" xfId="7861" xr:uid="{00000000-0005-0000-0000-0000B51E0000}"/>
    <cellStyle name="Normal 2 2 10 2 31 2 3" xfId="7862" xr:uid="{00000000-0005-0000-0000-0000B61E0000}"/>
    <cellStyle name="Normal 2 2 10 2 31 2 4" xfId="7863" xr:uid="{00000000-0005-0000-0000-0000B71E0000}"/>
    <cellStyle name="Normal 2 2 10 2 31 2 5" xfId="7864" xr:uid="{00000000-0005-0000-0000-0000B81E0000}"/>
    <cellStyle name="Normal 2 2 10 2 31 2 6" xfId="7865" xr:uid="{00000000-0005-0000-0000-0000B91E0000}"/>
    <cellStyle name="Normal 2 2 10 2 31 2 7" xfId="7866" xr:uid="{00000000-0005-0000-0000-0000BA1E0000}"/>
    <cellStyle name="Normal 2 2 10 2 31 2 8" xfId="7867" xr:uid="{00000000-0005-0000-0000-0000BB1E0000}"/>
    <cellStyle name="Normal 2 2 10 2 31 2 9" xfId="7868" xr:uid="{00000000-0005-0000-0000-0000BC1E0000}"/>
    <cellStyle name="Normal 2 2 10 2 31 3" xfId="7869" xr:uid="{00000000-0005-0000-0000-0000BD1E0000}"/>
    <cellStyle name="Normal 2 2 10 2 31 3 10" xfId="7870" xr:uid="{00000000-0005-0000-0000-0000BE1E0000}"/>
    <cellStyle name="Normal 2 2 10 2 31 3 2" xfId="7871" xr:uid="{00000000-0005-0000-0000-0000BF1E0000}"/>
    <cellStyle name="Normal 2 2 10 2 31 3 3" xfId="7872" xr:uid="{00000000-0005-0000-0000-0000C01E0000}"/>
    <cellStyle name="Normal 2 2 10 2 31 3 4" xfId="7873" xr:uid="{00000000-0005-0000-0000-0000C11E0000}"/>
    <cellStyle name="Normal 2 2 10 2 31 3 5" xfId="7874" xr:uid="{00000000-0005-0000-0000-0000C21E0000}"/>
    <cellStyle name="Normal 2 2 10 2 31 3 6" xfId="7875" xr:uid="{00000000-0005-0000-0000-0000C31E0000}"/>
    <cellStyle name="Normal 2 2 10 2 31 3 7" xfId="7876" xr:uid="{00000000-0005-0000-0000-0000C41E0000}"/>
    <cellStyle name="Normal 2 2 10 2 31 3 8" xfId="7877" xr:uid="{00000000-0005-0000-0000-0000C51E0000}"/>
    <cellStyle name="Normal 2 2 10 2 31 3 9" xfId="7878" xr:uid="{00000000-0005-0000-0000-0000C61E0000}"/>
    <cellStyle name="Normal 2 2 10 2 31 4" xfId="7879" xr:uid="{00000000-0005-0000-0000-0000C71E0000}"/>
    <cellStyle name="Normal 2 2 10 2 31 4 10" xfId="7880" xr:uid="{00000000-0005-0000-0000-0000C81E0000}"/>
    <cellStyle name="Normal 2 2 10 2 31 4 2" xfId="7881" xr:uid="{00000000-0005-0000-0000-0000C91E0000}"/>
    <cellStyle name="Normal 2 2 10 2 31 4 3" xfId="7882" xr:uid="{00000000-0005-0000-0000-0000CA1E0000}"/>
    <cellStyle name="Normal 2 2 10 2 31 4 4" xfId="7883" xr:uid="{00000000-0005-0000-0000-0000CB1E0000}"/>
    <cellStyle name="Normal 2 2 10 2 31 4 5" xfId="7884" xr:uid="{00000000-0005-0000-0000-0000CC1E0000}"/>
    <cellStyle name="Normal 2 2 10 2 31 4 6" xfId="7885" xr:uid="{00000000-0005-0000-0000-0000CD1E0000}"/>
    <cellStyle name="Normal 2 2 10 2 31 4 7" xfId="7886" xr:uid="{00000000-0005-0000-0000-0000CE1E0000}"/>
    <cellStyle name="Normal 2 2 10 2 31 4 8" xfId="7887" xr:uid="{00000000-0005-0000-0000-0000CF1E0000}"/>
    <cellStyle name="Normal 2 2 10 2 31 4 9" xfId="7888" xr:uid="{00000000-0005-0000-0000-0000D01E0000}"/>
    <cellStyle name="Normal 2 2 10 2 31 5" xfId="7889" xr:uid="{00000000-0005-0000-0000-0000D11E0000}"/>
    <cellStyle name="Normal 2 2 10 2 31 5 10" xfId="7890" xr:uid="{00000000-0005-0000-0000-0000D21E0000}"/>
    <cellStyle name="Normal 2 2 10 2 31 5 2" xfId="7891" xr:uid="{00000000-0005-0000-0000-0000D31E0000}"/>
    <cellStyle name="Normal 2 2 10 2 31 5 3" xfId="7892" xr:uid="{00000000-0005-0000-0000-0000D41E0000}"/>
    <cellStyle name="Normal 2 2 10 2 31 5 4" xfId="7893" xr:uid="{00000000-0005-0000-0000-0000D51E0000}"/>
    <cellStyle name="Normal 2 2 10 2 31 5 5" xfId="7894" xr:uid="{00000000-0005-0000-0000-0000D61E0000}"/>
    <cellStyle name="Normal 2 2 10 2 31 5 6" xfId="7895" xr:uid="{00000000-0005-0000-0000-0000D71E0000}"/>
    <cellStyle name="Normal 2 2 10 2 31 5 7" xfId="7896" xr:uid="{00000000-0005-0000-0000-0000D81E0000}"/>
    <cellStyle name="Normal 2 2 10 2 31 5 8" xfId="7897" xr:uid="{00000000-0005-0000-0000-0000D91E0000}"/>
    <cellStyle name="Normal 2 2 10 2 31 5 9" xfId="7898" xr:uid="{00000000-0005-0000-0000-0000DA1E0000}"/>
    <cellStyle name="Normal 2 2 10 2 31 6" xfId="7899" xr:uid="{00000000-0005-0000-0000-0000DB1E0000}"/>
    <cellStyle name="Normal 2 2 10 2 31 7" xfId="7900" xr:uid="{00000000-0005-0000-0000-0000DC1E0000}"/>
    <cellStyle name="Normal 2 2 10 2 31 8" xfId="7901" xr:uid="{00000000-0005-0000-0000-0000DD1E0000}"/>
    <cellStyle name="Normal 2 2 10 2 31 9" xfId="7902" xr:uid="{00000000-0005-0000-0000-0000DE1E0000}"/>
    <cellStyle name="Normal 2 2 10 2 32" xfId="7903" xr:uid="{00000000-0005-0000-0000-0000DF1E0000}"/>
    <cellStyle name="Normal 2 2 10 2 32 10" xfId="7904" xr:uid="{00000000-0005-0000-0000-0000E01E0000}"/>
    <cellStyle name="Normal 2 2 10 2 32 11" xfId="7905" xr:uid="{00000000-0005-0000-0000-0000E11E0000}"/>
    <cellStyle name="Normal 2 2 10 2 32 12" xfId="7906" xr:uid="{00000000-0005-0000-0000-0000E21E0000}"/>
    <cellStyle name="Normal 2 2 10 2 32 13" xfId="7907" xr:uid="{00000000-0005-0000-0000-0000E31E0000}"/>
    <cellStyle name="Normal 2 2 10 2 32 14" xfId="7908" xr:uid="{00000000-0005-0000-0000-0000E41E0000}"/>
    <cellStyle name="Normal 2 2 10 2 32 2" xfId="7909" xr:uid="{00000000-0005-0000-0000-0000E51E0000}"/>
    <cellStyle name="Normal 2 2 10 2 32 2 10" xfId="7910" xr:uid="{00000000-0005-0000-0000-0000E61E0000}"/>
    <cellStyle name="Normal 2 2 10 2 32 2 2" xfId="7911" xr:uid="{00000000-0005-0000-0000-0000E71E0000}"/>
    <cellStyle name="Normal 2 2 10 2 32 2 3" xfId="7912" xr:uid="{00000000-0005-0000-0000-0000E81E0000}"/>
    <cellStyle name="Normal 2 2 10 2 32 2 4" xfId="7913" xr:uid="{00000000-0005-0000-0000-0000E91E0000}"/>
    <cellStyle name="Normal 2 2 10 2 32 2 5" xfId="7914" xr:uid="{00000000-0005-0000-0000-0000EA1E0000}"/>
    <cellStyle name="Normal 2 2 10 2 32 2 6" xfId="7915" xr:uid="{00000000-0005-0000-0000-0000EB1E0000}"/>
    <cellStyle name="Normal 2 2 10 2 32 2 7" xfId="7916" xr:uid="{00000000-0005-0000-0000-0000EC1E0000}"/>
    <cellStyle name="Normal 2 2 10 2 32 2 8" xfId="7917" xr:uid="{00000000-0005-0000-0000-0000ED1E0000}"/>
    <cellStyle name="Normal 2 2 10 2 32 2 9" xfId="7918" xr:uid="{00000000-0005-0000-0000-0000EE1E0000}"/>
    <cellStyle name="Normal 2 2 10 2 32 3" xfId="7919" xr:uid="{00000000-0005-0000-0000-0000EF1E0000}"/>
    <cellStyle name="Normal 2 2 10 2 32 3 10" xfId="7920" xr:uid="{00000000-0005-0000-0000-0000F01E0000}"/>
    <cellStyle name="Normal 2 2 10 2 32 3 2" xfId="7921" xr:uid="{00000000-0005-0000-0000-0000F11E0000}"/>
    <cellStyle name="Normal 2 2 10 2 32 3 3" xfId="7922" xr:uid="{00000000-0005-0000-0000-0000F21E0000}"/>
    <cellStyle name="Normal 2 2 10 2 32 3 4" xfId="7923" xr:uid="{00000000-0005-0000-0000-0000F31E0000}"/>
    <cellStyle name="Normal 2 2 10 2 32 3 5" xfId="7924" xr:uid="{00000000-0005-0000-0000-0000F41E0000}"/>
    <cellStyle name="Normal 2 2 10 2 32 3 6" xfId="7925" xr:uid="{00000000-0005-0000-0000-0000F51E0000}"/>
    <cellStyle name="Normal 2 2 10 2 32 3 7" xfId="7926" xr:uid="{00000000-0005-0000-0000-0000F61E0000}"/>
    <cellStyle name="Normal 2 2 10 2 32 3 8" xfId="7927" xr:uid="{00000000-0005-0000-0000-0000F71E0000}"/>
    <cellStyle name="Normal 2 2 10 2 32 3 9" xfId="7928" xr:uid="{00000000-0005-0000-0000-0000F81E0000}"/>
    <cellStyle name="Normal 2 2 10 2 32 4" xfId="7929" xr:uid="{00000000-0005-0000-0000-0000F91E0000}"/>
    <cellStyle name="Normal 2 2 10 2 32 4 10" xfId="7930" xr:uid="{00000000-0005-0000-0000-0000FA1E0000}"/>
    <cellStyle name="Normal 2 2 10 2 32 4 2" xfId="7931" xr:uid="{00000000-0005-0000-0000-0000FB1E0000}"/>
    <cellStyle name="Normal 2 2 10 2 32 4 3" xfId="7932" xr:uid="{00000000-0005-0000-0000-0000FC1E0000}"/>
    <cellStyle name="Normal 2 2 10 2 32 4 4" xfId="7933" xr:uid="{00000000-0005-0000-0000-0000FD1E0000}"/>
    <cellStyle name="Normal 2 2 10 2 32 4 5" xfId="7934" xr:uid="{00000000-0005-0000-0000-0000FE1E0000}"/>
    <cellStyle name="Normal 2 2 10 2 32 4 6" xfId="7935" xr:uid="{00000000-0005-0000-0000-0000FF1E0000}"/>
    <cellStyle name="Normal 2 2 10 2 32 4 7" xfId="7936" xr:uid="{00000000-0005-0000-0000-0000001F0000}"/>
    <cellStyle name="Normal 2 2 10 2 32 4 8" xfId="7937" xr:uid="{00000000-0005-0000-0000-0000011F0000}"/>
    <cellStyle name="Normal 2 2 10 2 32 4 9" xfId="7938" xr:uid="{00000000-0005-0000-0000-0000021F0000}"/>
    <cellStyle name="Normal 2 2 10 2 32 5" xfId="7939" xr:uid="{00000000-0005-0000-0000-0000031F0000}"/>
    <cellStyle name="Normal 2 2 10 2 32 5 10" xfId="7940" xr:uid="{00000000-0005-0000-0000-0000041F0000}"/>
    <cellStyle name="Normal 2 2 10 2 32 5 2" xfId="7941" xr:uid="{00000000-0005-0000-0000-0000051F0000}"/>
    <cellStyle name="Normal 2 2 10 2 32 5 3" xfId="7942" xr:uid="{00000000-0005-0000-0000-0000061F0000}"/>
    <cellStyle name="Normal 2 2 10 2 32 5 4" xfId="7943" xr:uid="{00000000-0005-0000-0000-0000071F0000}"/>
    <cellStyle name="Normal 2 2 10 2 32 5 5" xfId="7944" xr:uid="{00000000-0005-0000-0000-0000081F0000}"/>
    <cellStyle name="Normal 2 2 10 2 32 5 6" xfId="7945" xr:uid="{00000000-0005-0000-0000-0000091F0000}"/>
    <cellStyle name="Normal 2 2 10 2 32 5 7" xfId="7946" xr:uid="{00000000-0005-0000-0000-00000A1F0000}"/>
    <cellStyle name="Normal 2 2 10 2 32 5 8" xfId="7947" xr:uid="{00000000-0005-0000-0000-00000B1F0000}"/>
    <cellStyle name="Normal 2 2 10 2 32 5 9" xfId="7948" xr:uid="{00000000-0005-0000-0000-00000C1F0000}"/>
    <cellStyle name="Normal 2 2 10 2 32 6" xfId="7949" xr:uid="{00000000-0005-0000-0000-00000D1F0000}"/>
    <cellStyle name="Normal 2 2 10 2 32 7" xfId="7950" xr:uid="{00000000-0005-0000-0000-00000E1F0000}"/>
    <cellStyle name="Normal 2 2 10 2 32 8" xfId="7951" xr:uid="{00000000-0005-0000-0000-00000F1F0000}"/>
    <cellStyle name="Normal 2 2 10 2 32 9" xfId="7952" xr:uid="{00000000-0005-0000-0000-0000101F0000}"/>
    <cellStyle name="Normal 2 2 10 2 33" xfId="7953" xr:uid="{00000000-0005-0000-0000-0000111F0000}"/>
    <cellStyle name="Normal 2 2 10 2 33 10" xfId="7954" xr:uid="{00000000-0005-0000-0000-0000121F0000}"/>
    <cellStyle name="Normal 2 2 10 2 33 11" xfId="7955" xr:uid="{00000000-0005-0000-0000-0000131F0000}"/>
    <cellStyle name="Normal 2 2 10 2 33 12" xfId="7956" xr:uid="{00000000-0005-0000-0000-0000141F0000}"/>
    <cellStyle name="Normal 2 2 10 2 33 13" xfId="7957" xr:uid="{00000000-0005-0000-0000-0000151F0000}"/>
    <cellStyle name="Normal 2 2 10 2 33 14" xfId="7958" xr:uid="{00000000-0005-0000-0000-0000161F0000}"/>
    <cellStyle name="Normal 2 2 10 2 33 2" xfId="7959" xr:uid="{00000000-0005-0000-0000-0000171F0000}"/>
    <cellStyle name="Normal 2 2 10 2 33 2 10" xfId="7960" xr:uid="{00000000-0005-0000-0000-0000181F0000}"/>
    <cellStyle name="Normal 2 2 10 2 33 2 2" xfId="7961" xr:uid="{00000000-0005-0000-0000-0000191F0000}"/>
    <cellStyle name="Normal 2 2 10 2 33 2 3" xfId="7962" xr:uid="{00000000-0005-0000-0000-00001A1F0000}"/>
    <cellStyle name="Normal 2 2 10 2 33 2 4" xfId="7963" xr:uid="{00000000-0005-0000-0000-00001B1F0000}"/>
    <cellStyle name="Normal 2 2 10 2 33 2 5" xfId="7964" xr:uid="{00000000-0005-0000-0000-00001C1F0000}"/>
    <cellStyle name="Normal 2 2 10 2 33 2 6" xfId="7965" xr:uid="{00000000-0005-0000-0000-00001D1F0000}"/>
    <cellStyle name="Normal 2 2 10 2 33 2 7" xfId="7966" xr:uid="{00000000-0005-0000-0000-00001E1F0000}"/>
    <cellStyle name="Normal 2 2 10 2 33 2 8" xfId="7967" xr:uid="{00000000-0005-0000-0000-00001F1F0000}"/>
    <cellStyle name="Normal 2 2 10 2 33 2 9" xfId="7968" xr:uid="{00000000-0005-0000-0000-0000201F0000}"/>
    <cellStyle name="Normal 2 2 10 2 33 3" xfId="7969" xr:uid="{00000000-0005-0000-0000-0000211F0000}"/>
    <cellStyle name="Normal 2 2 10 2 33 3 10" xfId="7970" xr:uid="{00000000-0005-0000-0000-0000221F0000}"/>
    <cellStyle name="Normal 2 2 10 2 33 3 2" xfId="7971" xr:uid="{00000000-0005-0000-0000-0000231F0000}"/>
    <cellStyle name="Normal 2 2 10 2 33 3 3" xfId="7972" xr:uid="{00000000-0005-0000-0000-0000241F0000}"/>
    <cellStyle name="Normal 2 2 10 2 33 3 4" xfId="7973" xr:uid="{00000000-0005-0000-0000-0000251F0000}"/>
    <cellStyle name="Normal 2 2 10 2 33 3 5" xfId="7974" xr:uid="{00000000-0005-0000-0000-0000261F0000}"/>
    <cellStyle name="Normal 2 2 10 2 33 3 6" xfId="7975" xr:uid="{00000000-0005-0000-0000-0000271F0000}"/>
    <cellStyle name="Normal 2 2 10 2 33 3 7" xfId="7976" xr:uid="{00000000-0005-0000-0000-0000281F0000}"/>
    <cellStyle name="Normal 2 2 10 2 33 3 8" xfId="7977" xr:uid="{00000000-0005-0000-0000-0000291F0000}"/>
    <cellStyle name="Normal 2 2 10 2 33 3 9" xfId="7978" xr:uid="{00000000-0005-0000-0000-00002A1F0000}"/>
    <cellStyle name="Normal 2 2 10 2 33 4" xfId="7979" xr:uid="{00000000-0005-0000-0000-00002B1F0000}"/>
    <cellStyle name="Normal 2 2 10 2 33 4 10" xfId="7980" xr:uid="{00000000-0005-0000-0000-00002C1F0000}"/>
    <cellStyle name="Normal 2 2 10 2 33 4 2" xfId="7981" xr:uid="{00000000-0005-0000-0000-00002D1F0000}"/>
    <cellStyle name="Normal 2 2 10 2 33 4 3" xfId="7982" xr:uid="{00000000-0005-0000-0000-00002E1F0000}"/>
    <cellStyle name="Normal 2 2 10 2 33 4 4" xfId="7983" xr:uid="{00000000-0005-0000-0000-00002F1F0000}"/>
    <cellStyle name="Normal 2 2 10 2 33 4 5" xfId="7984" xr:uid="{00000000-0005-0000-0000-0000301F0000}"/>
    <cellStyle name="Normal 2 2 10 2 33 4 6" xfId="7985" xr:uid="{00000000-0005-0000-0000-0000311F0000}"/>
    <cellStyle name="Normal 2 2 10 2 33 4 7" xfId="7986" xr:uid="{00000000-0005-0000-0000-0000321F0000}"/>
    <cellStyle name="Normal 2 2 10 2 33 4 8" xfId="7987" xr:uid="{00000000-0005-0000-0000-0000331F0000}"/>
    <cellStyle name="Normal 2 2 10 2 33 4 9" xfId="7988" xr:uid="{00000000-0005-0000-0000-0000341F0000}"/>
    <cellStyle name="Normal 2 2 10 2 33 5" xfId="7989" xr:uid="{00000000-0005-0000-0000-0000351F0000}"/>
    <cellStyle name="Normal 2 2 10 2 33 5 10" xfId="7990" xr:uid="{00000000-0005-0000-0000-0000361F0000}"/>
    <cellStyle name="Normal 2 2 10 2 33 5 2" xfId="7991" xr:uid="{00000000-0005-0000-0000-0000371F0000}"/>
    <cellStyle name="Normal 2 2 10 2 33 5 3" xfId="7992" xr:uid="{00000000-0005-0000-0000-0000381F0000}"/>
    <cellStyle name="Normal 2 2 10 2 33 5 4" xfId="7993" xr:uid="{00000000-0005-0000-0000-0000391F0000}"/>
    <cellStyle name="Normal 2 2 10 2 33 5 5" xfId="7994" xr:uid="{00000000-0005-0000-0000-00003A1F0000}"/>
    <cellStyle name="Normal 2 2 10 2 33 5 6" xfId="7995" xr:uid="{00000000-0005-0000-0000-00003B1F0000}"/>
    <cellStyle name="Normal 2 2 10 2 33 5 7" xfId="7996" xr:uid="{00000000-0005-0000-0000-00003C1F0000}"/>
    <cellStyle name="Normal 2 2 10 2 33 5 8" xfId="7997" xr:uid="{00000000-0005-0000-0000-00003D1F0000}"/>
    <cellStyle name="Normal 2 2 10 2 33 5 9" xfId="7998" xr:uid="{00000000-0005-0000-0000-00003E1F0000}"/>
    <cellStyle name="Normal 2 2 10 2 33 6" xfId="7999" xr:uid="{00000000-0005-0000-0000-00003F1F0000}"/>
    <cellStyle name="Normal 2 2 10 2 33 7" xfId="8000" xr:uid="{00000000-0005-0000-0000-0000401F0000}"/>
    <cellStyle name="Normal 2 2 10 2 33 8" xfId="8001" xr:uid="{00000000-0005-0000-0000-0000411F0000}"/>
    <cellStyle name="Normal 2 2 10 2 33 9" xfId="8002" xr:uid="{00000000-0005-0000-0000-0000421F0000}"/>
    <cellStyle name="Normal 2 2 10 2 34" xfId="8003" xr:uid="{00000000-0005-0000-0000-0000431F0000}"/>
    <cellStyle name="Normal 2 2 10 2 34 10" xfId="8004" xr:uid="{00000000-0005-0000-0000-0000441F0000}"/>
    <cellStyle name="Normal 2 2 10 2 34 2" xfId="8005" xr:uid="{00000000-0005-0000-0000-0000451F0000}"/>
    <cellStyle name="Normal 2 2 10 2 34 3" xfId="8006" xr:uid="{00000000-0005-0000-0000-0000461F0000}"/>
    <cellStyle name="Normal 2 2 10 2 34 4" xfId="8007" xr:uid="{00000000-0005-0000-0000-0000471F0000}"/>
    <cellStyle name="Normal 2 2 10 2 34 5" xfId="8008" xr:uid="{00000000-0005-0000-0000-0000481F0000}"/>
    <cellStyle name="Normal 2 2 10 2 34 6" xfId="8009" xr:uid="{00000000-0005-0000-0000-0000491F0000}"/>
    <cellStyle name="Normal 2 2 10 2 34 7" xfId="8010" xr:uid="{00000000-0005-0000-0000-00004A1F0000}"/>
    <cellStyle name="Normal 2 2 10 2 34 8" xfId="8011" xr:uid="{00000000-0005-0000-0000-00004B1F0000}"/>
    <cellStyle name="Normal 2 2 10 2 34 9" xfId="8012" xr:uid="{00000000-0005-0000-0000-00004C1F0000}"/>
    <cellStyle name="Normal 2 2 10 2 35" xfId="8013" xr:uid="{00000000-0005-0000-0000-00004D1F0000}"/>
    <cellStyle name="Normal 2 2 10 2 35 10" xfId="8014" xr:uid="{00000000-0005-0000-0000-00004E1F0000}"/>
    <cellStyle name="Normal 2 2 10 2 35 2" xfId="8015" xr:uid="{00000000-0005-0000-0000-00004F1F0000}"/>
    <cellStyle name="Normal 2 2 10 2 35 3" xfId="8016" xr:uid="{00000000-0005-0000-0000-0000501F0000}"/>
    <cellStyle name="Normal 2 2 10 2 35 4" xfId="8017" xr:uid="{00000000-0005-0000-0000-0000511F0000}"/>
    <cellStyle name="Normal 2 2 10 2 35 5" xfId="8018" xr:uid="{00000000-0005-0000-0000-0000521F0000}"/>
    <cellStyle name="Normal 2 2 10 2 35 6" xfId="8019" xr:uid="{00000000-0005-0000-0000-0000531F0000}"/>
    <cellStyle name="Normal 2 2 10 2 35 7" xfId="8020" xr:uid="{00000000-0005-0000-0000-0000541F0000}"/>
    <cellStyle name="Normal 2 2 10 2 35 8" xfId="8021" xr:uid="{00000000-0005-0000-0000-0000551F0000}"/>
    <cellStyle name="Normal 2 2 10 2 35 9" xfId="8022" xr:uid="{00000000-0005-0000-0000-0000561F0000}"/>
    <cellStyle name="Normal 2 2 10 2 36" xfId="8023" xr:uid="{00000000-0005-0000-0000-0000571F0000}"/>
    <cellStyle name="Normal 2 2 10 2 36 10" xfId="8024" xr:uid="{00000000-0005-0000-0000-0000581F0000}"/>
    <cellStyle name="Normal 2 2 10 2 36 2" xfId="8025" xr:uid="{00000000-0005-0000-0000-0000591F0000}"/>
    <cellStyle name="Normal 2 2 10 2 36 3" xfId="8026" xr:uid="{00000000-0005-0000-0000-00005A1F0000}"/>
    <cellStyle name="Normal 2 2 10 2 36 4" xfId="8027" xr:uid="{00000000-0005-0000-0000-00005B1F0000}"/>
    <cellStyle name="Normal 2 2 10 2 36 5" xfId="8028" xr:uid="{00000000-0005-0000-0000-00005C1F0000}"/>
    <cellStyle name="Normal 2 2 10 2 36 6" xfId="8029" xr:uid="{00000000-0005-0000-0000-00005D1F0000}"/>
    <cellStyle name="Normal 2 2 10 2 36 7" xfId="8030" xr:uid="{00000000-0005-0000-0000-00005E1F0000}"/>
    <cellStyle name="Normal 2 2 10 2 36 8" xfId="8031" xr:uid="{00000000-0005-0000-0000-00005F1F0000}"/>
    <cellStyle name="Normal 2 2 10 2 36 9" xfId="8032" xr:uid="{00000000-0005-0000-0000-0000601F0000}"/>
    <cellStyle name="Normal 2 2 10 2 37" xfId="8033" xr:uid="{00000000-0005-0000-0000-0000611F0000}"/>
    <cellStyle name="Normal 2 2 10 2 37 10" xfId="8034" xr:uid="{00000000-0005-0000-0000-0000621F0000}"/>
    <cellStyle name="Normal 2 2 10 2 37 2" xfId="8035" xr:uid="{00000000-0005-0000-0000-0000631F0000}"/>
    <cellStyle name="Normal 2 2 10 2 37 3" xfId="8036" xr:uid="{00000000-0005-0000-0000-0000641F0000}"/>
    <cellStyle name="Normal 2 2 10 2 37 4" xfId="8037" xr:uid="{00000000-0005-0000-0000-0000651F0000}"/>
    <cellStyle name="Normal 2 2 10 2 37 5" xfId="8038" xr:uid="{00000000-0005-0000-0000-0000661F0000}"/>
    <cellStyle name="Normal 2 2 10 2 37 6" xfId="8039" xr:uid="{00000000-0005-0000-0000-0000671F0000}"/>
    <cellStyle name="Normal 2 2 10 2 37 7" xfId="8040" xr:uid="{00000000-0005-0000-0000-0000681F0000}"/>
    <cellStyle name="Normal 2 2 10 2 37 8" xfId="8041" xr:uid="{00000000-0005-0000-0000-0000691F0000}"/>
    <cellStyle name="Normal 2 2 10 2 37 9" xfId="8042" xr:uid="{00000000-0005-0000-0000-00006A1F0000}"/>
    <cellStyle name="Normal 2 2 10 2 38" xfId="8043" xr:uid="{00000000-0005-0000-0000-00006B1F0000}"/>
    <cellStyle name="Normal 2 2 10 2 39" xfId="8044" xr:uid="{00000000-0005-0000-0000-00006C1F0000}"/>
    <cellStyle name="Normal 2 2 10 2 4" xfId="8045" xr:uid="{00000000-0005-0000-0000-00006D1F0000}"/>
    <cellStyle name="Normal 2 2 10 2 4 10" xfId="8046" xr:uid="{00000000-0005-0000-0000-00006E1F0000}"/>
    <cellStyle name="Normal 2 2 10 2 4 11" xfId="8047" xr:uid="{00000000-0005-0000-0000-00006F1F0000}"/>
    <cellStyle name="Normal 2 2 10 2 4 12" xfId="8048" xr:uid="{00000000-0005-0000-0000-0000701F0000}"/>
    <cellStyle name="Normal 2 2 10 2 4 13" xfId="8049" xr:uid="{00000000-0005-0000-0000-0000711F0000}"/>
    <cellStyle name="Normal 2 2 10 2 4 14" xfId="8050" xr:uid="{00000000-0005-0000-0000-0000721F0000}"/>
    <cellStyle name="Normal 2 2 10 2 4 2" xfId="8051" xr:uid="{00000000-0005-0000-0000-0000731F0000}"/>
    <cellStyle name="Normal 2 2 10 2 4 2 10" xfId="8052" xr:uid="{00000000-0005-0000-0000-0000741F0000}"/>
    <cellStyle name="Normal 2 2 10 2 4 2 2" xfId="8053" xr:uid="{00000000-0005-0000-0000-0000751F0000}"/>
    <cellStyle name="Normal 2 2 10 2 4 2 3" xfId="8054" xr:uid="{00000000-0005-0000-0000-0000761F0000}"/>
    <cellStyle name="Normal 2 2 10 2 4 2 4" xfId="8055" xr:uid="{00000000-0005-0000-0000-0000771F0000}"/>
    <cellStyle name="Normal 2 2 10 2 4 2 5" xfId="8056" xr:uid="{00000000-0005-0000-0000-0000781F0000}"/>
    <cellStyle name="Normal 2 2 10 2 4 2 6" xfId="8057" xr:uid="{00000000-0005-0000-0000-0000791F0000}"/>
    <cellStyle name="Normal 2 2 10 2 4 2 7" xfId="8058" xr:uid="{00000000-0005-0000-0000-00007A1F0000}"/>
    <cellStyle name="Normal 2 2 10 2 4 2 8" xfId="8059" xr:uid="{00000000-0005-0000-0000-00007B1F0000}"/>
    <cellStyle name="Normal 2 2 10 2 4 2 9" xfId="8060" xr:uid="{00000000-0005-0000-0000-00007C1F0000}"/>
    <cellStyle name="Normal 2 2 10 2 4 3" xfId="8061" xr:uid="{00000000-0005-0000-0000-00007D1F0000}"/>
    <cellStyle name="Normal 2 2 10 2 4 3 10" xfId="8062" xr:uid="{00000000-0005-0000-0000-00007E1F0000}"/>
    <cellStyle name="Normal 2 2 10 2 4 3 2" xfId="8063" xr:uid="{00000000-0005-0000-0000-00007F1F0000}"/>
    <cellStyle name="Normal 2 2 10 2 4 3 3" xfId="8064" xr:uid="{00000000-0005-0000-0000-0000801F0000}"/>
    <cellStyle name="Normal 2 2 10 2 4 3 4" xfId="8065" xr:uid="{00000000-0005-0000-0000-0000811F0000}"/>
    <cellStyle name="Normal 2 2 10 2 4 3 5" xfId="8066" xr:uid="{00000000-0005-0000-0000-0000821F0000}"/>
    <cellStyle name="Normal 2 2 10 2 4 3 6" xfId="8067" xr:uid="{00000000-0005-0000-0000-0000831F0000}"/>
    <cellStyle name="Normal 2 2 10 2 4 3 7" xfId="8068" xr:uid="{00000000-0005-0000-0000-0000841F0000}"/>
    <cellStyle name="Normal 2 2 10 2 4 3 8" xfId="8069" xr:uid="{00000000-0005-0000-0000-0000851F0000}"/>
    <cellStyle name="Normal 2 2 10 2 4 3 9" xfId="8070" xr:uid="{00000000-0005-0000-0000-0000861F0000}"/>
    <cellStyle name="Normal 2 2 10 2 4 4" xfId="8071" xr:uid="{00000000-0005-0000-0000-0000871F0000}"/>
    <cellStyle name="Normal 2 2 10 2 4 4 10" xfId="8072" xr:uid="{00000000-0005-0000-0000-0000881F0000}"/>
    <cellStyle name="Normal 2 2 10 2 4 4 2" xfId="8073" xr:uid="{00000000-0005-0000-0000-0000891F0000}"/>
    <cellStyle name="Normal 2 2 10 2 4 4 3" xfId="8074" xr:uid="{00000000-0005-0000-0000-00008A1F0000}"/>
    <cellStyle name="Normal 2 2 10 2 4 4 4" xfId="8075" xr:uid="{00000000-0005-0000-0000-00008B1F0000}"/>
    <cellStyle name="Normal 2 2 10 2 4 4 5" xfId="8076" xr:uid="{00000000-0005-0000-0000-00008C1F0000}"/>
    <cellStyle name="Normal 2 2 10 2 4 4 6" xfId="8077" xr:uid="{00000000-0005-0000-0000-00008D1F0000}"/>
    <cellStyle name="Normal 2 2 10 2 4 4 7" xfId="8078" xr:uid="{00000000-0005-0000-0000-00008E1F0000}"/>
    <cellStyle name="Normal 2 2 10 2 4 4 8" xfId="8079" xr:uid="{00000000-0005-0000-0000-00008F1F0000}"/>
    <cellStyle name="Normal 2 2 10 2 4 4 9" xfId="8080" xr:uid="{00000000-0005-0000-0000-0000901F0000}"/>
    <cellStyle name="Normal 2 2 10 2 4 5" xfId="8081" xr:uid="{00000000-0005-0000-0000-0000911F0000}"/>
    <cellStyle name="Normal 2 2 10 2 4 5 10" xfId="8082" xr:uid="{00000000-0005-0000-0000-0000921F0000}"/>
    <cellStyle name="Normal 2 2 10 2 4 5 2" xfId="8083" xr:uid="{00000000-0005-0000-0000-0000931F0000}"/>
    <cellStyle name="Normal 2 2 10 2 4 5 3" xfId="8084" xr:uid="{00000000-0005-0000-0000-0000941F0000}"/>
    <cellStyle name="Normal 2 2 10 2 4 5 4" xfId="8085" xr:uid="{00000000-0005-0000-0000-0000951F0000}"/>
    <cellStyle name="Normal 2 2 10 2 4 5 5" xfId="8086" xr:uid="{00000000-0005-0000-0000-0000961F0000}"/>
    <cellStyle name="Normal 2 2 10 2 4 5 6" xfId="8087" xr:uid="{00000000-0005-0000-0000-0000971F0000}"/>
    <cellStyle name="Normal 2 2 10 2 4 5 7" xfId="8088" xr:uid="{00000000-0005-0000-0000-0000981F0000}"/>
    <cellStyle name="Normal 2 2 10 2 4 5 8" xfId="8089" xr:uid="{00000000-0005-0000-0000-0000991F0000}"/>
    <cellStyle name="Normal 2 2 10 2 4 5 9" xfId="8090" xr:uid="{00000000-0005-0000-0000-00009A1F0000}"/>
    <cellStyle name="Normal 2 2 10 2 4 6" xfId="8091" xr:uid="{00000000-0005-0000-0000-00009B1F0000}"/>
    <cellStyle name="Normal 2 2 10 2 4 7" xfId="8092" xr:uid="{00000000-0005-0000-0000-00009C1F0000}"/>
    <cellStyle name="Normal 2 2 10 2 4 8" xfId="8093" xr:uid="{00000000-0005-0000-0000-00009D1F0000}"/>
    <cellStyle name="Normal 2 2 10 2 4 9" xfId="8094" xr:uid="{00000000-0005-0000-0000-00009E1F0000}"/>
    <cellStyle name="Normal 2 2 10 2 40" xfId="8095" xr:uid="{00000000-0005-0000-0000-00009F1F0000}"/>
    <cellStyle name="Normal 2 2 10 2 41" xfId="8096" xr:uid="{00000000-0005-0000-0000-0000A01F0000}"/>
    <cellStyle name="Normal 2 2 10 2 42" xfId="8097" xr:uid="{00000000-0005-0000-0000-0000A11F0000}"/>
    <cellStyle name="Normal 2 2 10 2 43" xfId="8098" xr:uid="{00000000-0005-0000-0000-0000A21F0000}"/>
    <cellStyle name="Normal 2 2 10 2 44" xfId="8099" xr:uid="{00000000-0005-0000-0000-0000A31F0000}"/>
    <cellStyle name="Normal 2 2 10 2 45" xfId="8100" xr:uid="{00000000-0005-0000-0000-0000A41F0000}"/>
    <cellStyle name="Normal 2 2 10 2 46" xfId="8101" xr:uid="{00000000-0005-0000-0000-0000A51F0000}"/>
    <cellStyle name="Normal 2 2 10 2 5" xfId="8102" xr:uid="{00000000-0005-0000-0000-0000A61F0000}"/>
    <cellStyle name="Normal 2 2 10 2 5 10" xfId="8103" xr:uid="{00000000-0005-0000-0000-0000A71F0000}"/>
    <cellStyle name="Normal 2 2 10 2 5 11" xfId="8104" xr:uid="{00000000-0005-0000-0000-0000A81F0000}"/>
    <cellStyle name="Normal 2 2 10 2 5 12" xfId="8105" xr:uid="{00000000-0005-0000-0000-0000A91F0000}"/>
    <cellStyle name="Normal 2 2 10 2 5 13" xfId="8106" xr:uid="{00000000-0005-0000-0000-0000AA1F0000}"/>
    <cellStyle name="Normal 2 2 10 2 5 14" xfId="8107" xr:uid="{00000000-0005-0000-0000-0000AB1F0000}"/>
    <cellStyle name="Normal 2 2 10 2 5 2" xfId="8108" xr:uid="{00000000-0005-0000-0000-0000AC1F0000}"/>
    <cellStyle name="Normal 2 2 10 2 5 2 10" xfId="8109" xr:uid="{00000000-0005-0000-0000-0000AD1F0000}"/>
    <cellStyle name="Normal 2 2 10 2 5 2 2" xfId="8110" xr:uid="{00000000-0005-0000-0000-0000AE1F0000}"/>
    <cellStyle name="Normal 2 2 10 2 5 2 3" xfId="8111" xr:uid="{00000000-0005-0000-0000-0000AF1F0000}"/>
    <cellStyle name="Normal 2 2 10 2 5 2 4" xfId="8112" xr:uid="{00000000-0005-0000-0000-0000B01F0000}"/>
    <cellStyle name="Normal 2 2 10 2 5 2 5" xfId="8113" xr:uid="{00000000-0005-0000-0000-0000B11F0000}"/>
    <cellStyle name="Normal 2 2 10 2 5 2 6" xfId="8114" xr:uid="{00000000-0005-0000-0000-0000B21F0000}"/>
    <cellStyle name="Normal 2 2 10 2 5 2 7" xfId="8115" xr:uid="{00000000-0005-0000-0000-0000B31F0000}"/>
    <cellStyle name="Normal 2 2 10 2 5 2 8" xfId="8116" xr:uid="{00000000-0005-0000-0000-0000B41F0000}"/>
    <cellStyle name="Normal 2 2 10 2 5 2 9" xfId="8117" xr:uid="{00000000-0005-0000-0000-0000B51F0000}"/>
    <cellStyle name="Normal 2 2 10 2 5 3" xfId="8118" xr:uid="{00000000-0005-0000-0000-0000B61F0000}"/>
    <cellStyle name="Normal 2 2 10 2 5 3 10" xfId="8119" xr:uid="{00000000-0005-0000-0000-0000B71F0000}"/>
    <cellStyle name="Normal 2 2 10 2 5 3 2" xfId="8120" xr:uid="{00000000-0005-0000-0000-0000B81F0000}"/>
    <cellStyle name="Normal 2 2 10 2 5 3 3" xfId="8121" xr:uid="{00000000-0005-0000-0000-0000B91F0000}"/>
    <cellStyle name="Normal 2 2 10 2 5 3 4" xfId="8122" xr:uid="{00000000-0005-0000-0000-0000BA1F0000}"/>
    <cellStyle name="Normal 2 2 10 2 5 3 5" xfId="8123" xr:uid="{00000000-0005-0000-0000-0000BB1F0000}"/>
    <cellStyle name="Normal 2 2 10 2 5 3 6" xfId="8124" xr:uid="{00000000-0005-0000-0000-0000BC1F0000}"/>
    <cellStyle name="Normal 2 2 10 2 5 3 7" xfId="8125" xr:uid="{00000000-0005-0000-0000-0000BD1F0000}"/>
    <cellStyle name="Normal 2 2 10 2 5 3 8" xfId="8126" xr:uid="{00000000-0005-0000-0000-0000BE1F0000}"/>
    <cellStyle name="Normal 2 2 10 2 5 3 9" xfId="8127" xr:uid="{00000000-0005-0000-0000-0000BF1F0000}"/>
    <cellStyle name="Normal 2 2 10 2 5 4" xfId="8128" xr:uid="{00000000-0005-0000-0000-0000C01F0000}"/>
    <cellStyle name="Normal 2 2 10 2 5 4 10" xfId="8129" xr:uid="{00000000-0005-0000-0000-0000C11F0000}"/>
    <cellStyle name="Normal 2 2 10 2 5 4 2" xfId="8130" xr:uid="{00000000-0005-0000-0000-0000C21F0000}"/>
    <cellStyle name="Normal 2 2 10 2 5 4 3" xfId="8131" xr:uid="{00000000-0005-0000-0000-0000C31F0000}"/>
    <cellStyle name="Normal 2 2 10 2 5 4 4" xfId="8132" xr:uid="{00000000-0005-0000-0000-0000C41F0000}"/>
    <cellStyle name="Normal 2 2 10 2 5 4 5" xfId="8133" xr:uid="{00000000-0005-0000-0000-0000C51F0000}"/>
    <cellStyle name="Normal 2 2 10 2 5 4 6" xfId="8134" xr:uid="{00000000-0005-0000-0000-0000C61F0000}"/>
    <cellStyle name="Normal 2 2 10 2 5 4 7" xfId="8135" xr:uid="{00000000-0005-0000-0000-0000C71F0000}"/>
    <cellStyle name="Normal 2 2 10 2 5 4 8" xfId="8136" xr:uid="{00000000-0005-0000-0000-0000C81F0000}"/>
    <cellStyle name="Normal 2 2 10 2 5 4 9" xfId="8137" xr:uid="{00000000-0005-0000-0000-0000C91F0000}"/>
    <cellStyle name="Normal 2 2 10 2 5 5" xfId="8138" xr:uid="{00000000-0005-0000-0000-0000CA1F0000}"/>
    <cellStyle name="Normal 2 2 10 2 5 5 10" xfId="8139" xr:uid="{00000000-0005-0000-0000-0000CB1F0000}"/>
    <cellStyle name="Normal 2 2 10 2 5 5 2" xfId="8140" xr:uid="{00000000-0005-0000-0000-0000CC1F0000}"/>
    <cellStyle name="Normal 2 2 10 2 5 5 3" xfId="8141" xr:uid="{00000000-0005-0000-0000-0000CD1F0000}"/>
    <cellStyle name="Normal 2 2 10 2 5 5 4" xfId="8142" xr:uid="{00000000-0005-0000-0000-0000CE1F0000}"/>
    <cellStyle name="Normal 2 2 10 2 5 5 5" xfId="8143" xr:uid="{00000000-0005-0000-0000-0000CF1F0000}"/>
    <cellStyle name="Normal 2 2 10 2 5 5 6" xfId="8144" xr:uid="{00000000-0005-0000-0000-0000D01F0000}"/>
    <cellStyle name="Normal 2 2 10 2 5 5 7" xfId="8145" xr:uid="{00000000-0005-0000-0000-0000D11F0000}"/>
    <cellStyle name="Normal 2 2 10 2 5 5 8" xfId="8146" xr:uid="{00000000-0005-0000-0000-0000D21F0000}"/>
    <cellStyle name="Normal 2 2 10 2 5 5 9" xfId="8147" xr:uid="{00000000-0005-0000-0000-0000D31F0000}"/>
    <cellStyle name="Normal 2 2 10 2 5 6" xfId="8148" xr:uid="{00000000-0005-0000-0000-0000D41F0000}"/>
    <cellStyle name="Normal 2 2 10 2 5 7" xfId="8149" xr:uid="{00000000-0005-0000-0000-0000D51F0000}"/>
    <cellStyle name="Normal 2 2 10 2 5 8" xfId="8150" xr:uid="{00000000-0005-0000-0000-0000D61F0000}"/>
    <cellStyle name="Normal 2 2 10 2 5 9" xfId="8151" xr:uid="{00000000-0005-0000-0000-0000D71F0000}"/>
    <cellStyle name="Normal 2 2 10 2 6" xfId="8152" xr:uid="{00000000-0005-0000-0000-0000D81F0000}"/>
    <cellStyle name="Normal 2 2 10 2 6 10" xfId="8153" xr:uid="{00000000-0005-0000-0000-0000D91F0000}"/>
    <cellStyle name="Normal 2 2 10 2 6 11" xfId="8154" xr:uid="{00000000-0005-0000-0000-0000DA1F0000}"/>
    <cellStyle name="Normal 2 2 10 2 6 12" xfId="8155" xr:uid="{00000000-0005-0000-0000-0000DB1F0000}"/>
    <cellStyle name="Normal 2 2 10 2 6 13" xfId="8156" xr:uid="{00000000-0005-0000-0000-0000DC1F0000}"/>
    <cellStyle name="Normal 2 2 10 2 6 14" xfId="8157" xr:uid="{00000000-0005-0000-0000-0000DD1F0000}"/>
    <cellStyle name="Normal 2 2 10 2 6 2" xfId="8158" xr:uid="{00000000-0005-0000-0000-0000DE1F0000}"/>
    <cellStyle name="Normal 2 2 10 2 6 2 10" xfId="8159" xr:uid="{00000000-0005-0000-0000-0000DF1F0000}"/>
    <cellStyle name="Normal 2 2 10 2 6 2 2" xfId="8160" xr:uid="{00000000-0005-0000-0000-0000E01F0000}"/>
    <cellStyle name="Normal 2 2 10 2 6 2 3" xfId="8161" xr:uid="{00000000-0005-0000-0000-0000E11F0000}"/>
    <cellStyle name="Normal 2 2 10 2 6 2 4" xfId="8162" xr:uid="{00000000-0005-0000-0000-0000E21F0000}"/>
    <cellStyle name="Normal 2 2 10 2 6 2 5" xfId="8163" xr:uid="{00000000-0005-0000-0000-0000E31F0000}"/>
    <cellStyle name="Normal 2 2 10 2 6 2 6" xfId="8164" xr:uid="{00000000-0005-0000-0000-0000E41F0000}"/>
    <cellStyle name="Normal 2 2 10 2 6 2 7" xfId="8165" xr:uid="{00000000-0005-0000-0000-0000E51F0000}"/>
    <cellStyle name="Normal 2 2 10 2 6 2 8" xfId="8166" xr:uid="{00000000-0005-0000-0000-0000E61F0000}"/>
    <cellStyle name="Normal 2 2 10 2 6 2 9" xfId="8167" xr:uid="{00000000-0005-0000-0000-0000E71F0000}"/>
    <cellStyle name="Normal 2 2 10 2 6 3" xfId="8168" xr:uid="{00000000-0005-0000-0000-0000E81F0000}"/>
    <cellStyle name="Normal 2 2 10 2 6 3 10" xfId="8169" xr:uid="{00000000-0005-0000-0000-0000E91F0000}"/>
    <cellStyle name="Normal 2 2 10 2 6 3 2" xfId="8170" xr:uid="{00000000-0005-0000-0000-0000EA1F0000}"/>
    <cellStyle name="Normal 2 2 10 2 6 3 3" xfId="8171" xr:uid="{00000000-0005-0000-0000-0000EB1F0000}"/>
    <cellStyle name="Normal 2 2 10 2 6 3 4" xfId="8172" xr:uid="{00000000-0005-0000-0000-0000EC1F0000}"/>
    <cellStyle name="Normal 2 2 10 2 6 3 5" xfId="8173" xr:uid="{00000000-0005-0000-0000-0000ED1F0000}"/>
    <cellStyle name="Normal 2 2 10 2 6 3 6" xfId="8174" xr:uid="{00000000-0005-0000-0000-0000EE1F0000}"/>
    <cellStyle name="Normal 2 2 10 2 6 3 7" xfId="8175" xr:uid="{00000000-0005-0000-0000-0000EF1F0000}"/>
    <cellStyle name="Normal 2 2 10 2 6 3 8" xfId="8176" xr:uid="{00000000-0005-0000-0000-0000F01F0000}"/>
    <cellStyle name="Normal 2 2 10 2 6 3 9" xfId="8177" xr:uid="{00000000-0005-0000-0000-0000F11F0000}"/>
    <cellStyle name="Normal 2 2 10 2 6 4" xfId="8178" xr:uid="{00000000-0005-0000-0000-0000F21F0000}"/>
    <cellStyle name="Normal 2 2 10 2 6 4 10" xfId="8179" xr:uid="{00000000-0005-0000-0000-0000F31F0000}"/>
    <cellStyle name="Normal 2 2 10 2 6 4 2" xfId="8180" xr:uid="{00000000-0005-0000-0000-0000F41F0000}"/>
    <cellStyle name="Normal 2 2 10 2 6 4 3" xfId="8181" xr:uid="{00000000-0005-0000-0000-0000F51F0000}"/>
    <cellStyle name="Normal 2 2 10 2 6 4 4" xfId="8182" xr:uid="{00000000-0005-0000-0000-0000F61F0000}"/>
    <cellStyle name="Normal 2 2 10 2 6 4 5" xfId="8183" xr:uid="{00000000-0005-0000-0000-0000F71F0000}"/>
    <cellStyle name="Normal 2 2 10 2 6 4 6" xfId="8184" xr:uid="{00000000-0005-0000-0000-0000F81F0000}"/>
    <cellStyle name="Normal 2 2 10 2 6 4 7" xfId="8185" xr:uid="{00000000-0005-0000-0000-0000F91F0000}"/>
    <cellStyle name="Normal 2 2 10 2 6 4 8" xfId="8186" xr:uid="{00000000-0005-0000-0000-0000FA1F0000}"/>
    <cellStyle name="Normal 2 2 10 2 6 4 9" xfId="8187" xr:uid="{00000000-0005-0000-0000-0000FB1F0000}"/>
    <cellStyle name="Normal 2 2 10 2 6 5" xfId="8188" xr:uid="{00000000-0005-0000-0000-0000FC1F0000}"/>
    <cellStyle name="Normal 2 2 10 2 6 5 10" xfId="8189" xr:uid="{00000000-0005-0000-0000-0000FD1F0000}"/>
    <cellStyle name="Normal 2 2 10 2 6 5 2" xfId="8190" xr:uid="{00000000-0005-0000-0000-0000FE1F0000}"/>
    <cellStyle name="Normal 2 2 10 2 6 5 3" xfId="8191" xr:uid="{00000000-0005-0000-0000-0000FF1F0000}"/>
    <cellStyle name="Normal 2 2 10 2 6 5 4" xfId="8192" xr:uid="{00000000-0005-0000-0000-000000200000}"/>
    <cellStyle name="Normal 2 2 10 2 6 5 5" xfId="8193" xr:uid="{00000000-0005-0000-0000-000001200000}"/>
    <cellStyle name="Normal 2 2 10 2 6 5 6" xfId="8194" xr:uid="{00000000-0005-0000-0000-000002200000}"/>
    <cellStyle name="Normal 2 2 10 2 6 5 7" xfId="8195" xr:uid="{00000000-0005-0000-0000-000003200000}"/>
    <cellStyle name="Normal 2 2 10 2 6 5 8" xfId="8196" xr:uid="{00000000-0005-0000-0000-000004200000}"/>
    <cellStyle name="Normal 2 2 10 2 6 5 9" xfId="8197" xr:uid="{00000000-0005-0000-0000-000005200000}"/>
    <cellStyle name="Normal 2 2 10 2 6 6" xfId="8198" xr:uid="{00000000-0005-0000-0000-000006200000}"/>
    <cellStyle name="Normal 2 2 10 2 6 7" xfId="8199" xr:uid="{00000000-0005-0000-0000-000007200000}"/>
    <cellStyle name="Normal 2 2 10 2 6 8" xfId="8200" xr:uid="{00000000-0005-0000-0000-000008200000}"/>
    <cellStyle name="Normal 2 2 10 2 6 9" xfId="8201" xr:uid="{00000000-0005-0000-0000-000009200000}"/>
    <cellStyle name="Normal 2 2 10 2 7" xfId="8202" xr:uid="{00000000-0005-0000-0000-00000A200000}"/>
    <cellStyle name="Normal 2 2 10 2 7 10" xfId="8203" xr:uid="{00000000-0005-0000-0000-00000B200000}"/>
    <cellStyle name="Normal 2 2 10 2 7 11" xfId="8204" xr:uid="{00000000-0005-0000-0000-00000C200000}"/>
    <cellStyle name="Normal 2 2 10 2 7 12" xfId="8205" xr:uid="{00000000-0005-0000-0000-00000D200000}"/>
    <cellStyle name="Normal 2 2 10 2 7 13" xfId="8206" xr:uid="{00000000-0005-0000-0000-00000E200000}"/>
    <cellStyle name="Normal 2 2 10 2 7 14" xfId="8207" xr:uid="{00000000-0005-0000-0000-00000F200000}"/>
    <cellStyle name="Normal 2 2 10 2 7 2" xfId="8208" xr:uid="{00000000-0005-0000-0000-000010200000}"/>
    <cellStyle name="Normal 2 2 10 2 7 2 10" xfId="8209" xr:uid="{00000000-0005-0000-0000-000011200000}"/>
    <cellStyle name="Normal 2 2 10 2 7 2 2" xfId="8210" xr:uid="{00000000-0005-0000-0000-000012200000}"/>
    <cellStyle name="Normal 2 2 10 2 7 2 3" xfId="8211" xr:uid="{00000000-0005-0000-0000-000013200000}"/>
    <cellStyle name="Normal 2 2 10 2 7 2 4" xfId="8212" xr:uid="{00000000-0005-0000-0000-000014200000}"/>
    <cellStyle name="Normal 2 2 10 2 7 2 5" xfId="8213" xr:uid="{00000000-0005-0000-0000-000015200000}"/>
    <cellStyle name="Normal 2 2 10 2 7 2 6" xfId="8214" xr:uid="{00000000-0005-0000-0000-000016200000}"/>
    <cellStyle name="Normal 2 2 10 2 7 2 7" xfId="8215" xr:uid="{00000000-0005-0000-0000-000017200000}"/>
    <cellStyle name="Normal 2 2 10 2 7 2 8" xfId="8216" xr:uid="{00000000-0005-0000-0000-000018200000}"/>
    <cellStyle name="Normal 2 2 10 2 7 2 9" xfId="8217" xr:uid="{00000000-0005-0000-0000-000019200000}"/>
    <cellStyle name="Normal 2 2 10 2 7 3" xfId="8218" xr:uid="{00000000-0005-0000-0000-00001A200000}"/>
    <cellStyle name="Normal 2 2 10 2 7 3 10" xfId="8219" xr:uid="{00000000-0005-0000-0000-00001B200000}"/>
    <cellStyle name="Normal 2 2 10 2 7 3 2" xfId="8220" xr:uid="{00000000-0005-0000-0000-00001C200000}"/>
    <cellStyle name="Normal 2 2 10 2 7 3 3" xfId="8221" xr:uid="{00000000-0005-0000-0000-00001D200000}"/>
    <cellStyle name="Normal 2 2 10 2 7 3 4" xfId="8222" xr:uid="{00000000-0005-0000-0000-00001E200000}"/>
    <cellStyle name="Normal 2 2 10 2 7 3 5" xfId="8223" xr:uid="{00000000-0005-0000-0000-00001F200000}"/>
    <cellStyle name="Normal 2 2 10 2 7 3 6" xfId="8224" xr:uid="{00000000-0005-0000-0000-000020200000}"/>
    <cellStyle name="Normal 2 2 10 2 7 3 7" xfId="8225" xr:uid="{00000000-0005-0000-0000-000021200000}"/>
    <cellStyle name="Normal 2 2 10 2 7 3 8" xfId="8226" xr:uid="{00000000-0005-0000-0000-000022200000}"/>
    <cellStyle name="Normal 2 2 10 2 7 3 9" xfId="8227" xr:uid="{00000000-0005-0000-0000-000023200000}"/>
    <cellStyle name="Normal 2 2 10 2 7 4" xfId="8228" xr:uid="{00000000-0005-0000-0000-000024200000}"/>
    <cellStyle name="Normal 2 2 10 2 7 4 10" xfId="8229" xr:uid="{00000000-0005-0000-0000-000025200000}"/>
    <cellStyle name="Normal 2 2 10 2 7 4 2" xfId="8230" xr:uid="{00000000-0005-0000-0000-000026200000}"/>
    <cellStyle name="Normal 2 2 10 2 7 4 3" xfId="8231" xr:uid="{00000000-0005-0000-0000-000027200000}"/>
    <cellStyle name="Normal 2 2 10 2 7 4 4" xfId="8232" xr:uid="{00000000-0005-0000-0000-000028200000}"/>
    <cellStyle name="Normal 2 2 10 2 7 4 5" xfId="8233" xr:uid="{00000000-0005-0000-0000-000029200000}"/>
    <cellStyle name="Normal 2 2 10 2 7 4 6" xfId="8234" xr:uid="{00000000-0005-0000-0000-00002A200000}"/>
    <cellStyle name="Normal 2 2 10 2 7 4 7" xfId="8235" xr:uid="{00000000-0005-0000-0000-00002B200000}"/>
    <cellStyle name="Normal 2 2 10 2 7 4 8" xfId="8236" xr:uid="{00000000-0005-0000-0000-00002C200000}"/>
    <cellStyle name="Normal 2 2 10 2 7 4 9" xfId="8237" xr:uid="{00000000-0005-0000-0000-00002D200000}"/>
    <cellStyle name="Normal 2 2 10 2 7 5" xfId="8238" xr:uid="{00000000-0005-0000-0000-00002E200000}"/>
    <cellStyle name="Normal 2 2 10 2 7 5 10" xfId="8239" xr:uid="{00000000-0005-0000-0000-00002F200000}"/>
    <cellStyle name="Normal 2 2 10 2 7 5 2" xfId="8240" xr:uid="{00000000-0005-0000-0000-000030200000}"/>
    <cellStyle name="Normal 2 2 10 2 7 5 3" xfId="8241" xr:uid="{00000000-0005-0000-0000-000031200000}"/>
    <cellStyle name="Normal 2 2 10 2 7 5 4" xfId="8242" xr:uid="{00000000-0005-0000-0000-000032200000}"/>
    <cellStyle name="Normal 2 2 10 2 7 5 5" xfId="8243" xr:uid="{00000000-0005-0000-0000-000033200000}"/>
    <cellStyle name="Normal 2 2 10 2 7 5 6" xfId="8244" xr:uid="{00000000-0005-0000-0000-000034200000}"/>
    <cellStyle name="Normal 2 2 10 2 7 5 7" xfId="8245" xr:uid="{00000000-0005-0000-0000-000035200000}"/>
    <cellStyle name="Normal 2 2 10 2 7 5 8" xfId="8246" xr:uid="{00000000-0005-0000-0000-000036200000}"/>
    <cellStyle name="Normal 2 2 10 2 7 5 9" xfId="8247" xr:uid="{00000000-0005-0000-0000-000037200000}"/>
    <cellStyle name="Normal 2 2 10 2 7 6" xfId="8248" xr:uid="{00000000-0005-0000-0000-000038200000}"/>
    <cellStyle name="Normal 2 2 10 2 7 7" xfId="8249" xr:uid="{00000000-0005-0000-0000-000039200000}"/>
    <cellStyle name="Normal 2 2 10 2 7 8" xfId="8250" xr:uid="{00000000-0005-0000-0000-00003A200000}"/>
    <cellStyle name="Normal 2 2 10 2 7 9" xfId="8251" xr:uid="{00000000-0005-0000-0000-00003B200000}"/>
    <cellStyle name="Normal 2 2 10 2 8" xfId="8252" xr:uid="{00000000-0005-0000-0000-00003C200000}"/>
    <cellStyle name="Normal 2 2 10 2 8 10" xfId="8253" xr:uid="{00000000-0005-0000-0000-00003D200000}"/>
    <cellStyle name="Normal 2 2 10 2 8 11" xfId="8254" xr:uid="{00000000-0005-0000-0000-00003E200000}"/>
    <cellStyle name="Normal 2 2 10 2 8 12" xfId="8255" xr:uid="{00000000-0005-0000-0000-00003F200000}"/>
    <cellStyle name="Normal 2 2 10 2 8 13" xfId="8256" xr:uid="{00000000-0005-0000-0000-000040200000}"/>
    <cellStyle name="Normal 2 2 10 2 8 14" xfId="8257" xr:uid="{00000000-0005-0000-0000-000041200000}"/>
    <cellStyle name="Normal 2 2 10 2 8 2" xfId="8258" xr:uid="{00000000-0005-0000-0000-000042200000}"/>
    <cellStyle name="Normal 2 2 10 2 8 2 10" xfId="8259" xr:uid="{00000000-0005-0000-0000-000043200000}"/>
    <cellStyle name="Normal 2 2 10 2 8 2 2" xfId="8260" xr:uid="{00000000-0005-0000-0000-000044200000}"/>
    <cellStyle name="Normal 2 2 10 2 8 2 3" xfId="8261" xr:uid="{00000000-0005-0000-0000-000045200000}"/>
    <cellStyle name="Normal 2 2 10 2 8 2 4" xfId="8262" xr:uid="{00000000-0005-0000-0000-000046200000}"/>
    <cellStyle name="Normal 2 2 10 2 8 2 5" xfId="8263" xr:uid="{00000000-0005-0000-0000-000047200000}"/>
    <cellStyle name="Normal 2 2 10 2 8 2 6" xfId="8264" xr:uid="{00000000-0005-0000-0000-000048200000}"/>
    <cellStyle name="Normal 2 2 10 2 8 2 7" xfId="8265" xr:uid="{00000000-0005-0000-0000-000049200000}"/>
    <cellStyle name="Normal 2 2 10 2 8 2 8" xfId="8266" xr:uid="{00000000-0005-0000-0000-00004A200000}"/>
    <cellStyle name="Normal 2 2 10 2 8 2 9" xfId="8267" xr:uid="{00000000-0005-0000-0000-00004B200000}"/>
    <cellStyle name="Normal 2 2 10 2 8 3" xfId="8268" xr:uid="{00000000-0005-0000-0000-00004C200000}"/>
    <cellStyle name="Normal 2 2 10 2 8 3 10" xfId="8269" xr:uid="{00000000-0005-0000-0000-00004D200000}"/>
    <cellStyle name="Normal 2 2 10 2 8 3 2" xfId="8270" xr:uid="{00000000-0005-0000-0000-00004E200000}"/>
    <cellStyle name="Normal 2 2 10 2 8 3 3" xfId="8271" xr:uid="{00000000-0005-0000-0000-00004F200000}"/>
    <cellStyle name="Normal 2 2 10 2 8 3 4" xfId="8272" xr:uid="{00000000-0005-0000-0000-000050200000}"/>
    <cellStyle name="Normal 2 2 10 2 8 3 5" xfId="8273" xr:uid="{00000000-0005-0000-0000-000051200000}"/>
    <cellStyle name="Normal 2 2 10 2 8 3 6" xfId="8274" xr:uid="{00000000-0005-0000-0000-000052200000}"/>
    <cellStyle name="Normal 2 2 10 2 8 3 7" xfId="8275" xr:uid="{00000000-0005-0000-0000-000053200000}"/>
    <cellStyle name="Normal 2 2 10 2 8 3 8" xfId="8276" xr:uid="{00000000-0005-0000-0000-000054200000}"/>
    <cellStyle name="Normal 2 2 10 2 8 3 9" xfId="8277" xr:uid="{00000000-0005-0000-0000-000055200000}"/>
    <cellStyle name="Normal 2 2 10 2 8 4" xfId="8278" xr:uid="{00000000-0005-0000-0000-000056200000}"/>
    <cellStyle name="Normal 2 2 10 2 8 4 10" xfId="8279" xr:uid="{00000000-0005-0000-0000-000057200000}"/>
    <cellStyle name="Normal 2 2 10 2 8 4 2" xfId="8280" xr:uid="{00000000-0005-0000-0000-000058200000}"/>
    <cellStyle name="Normal 2 2 10 2 8 4 3" xfId="8281" xr:uid="{00000000-0005-0000-0000-000059200000}"/>
    <cellStyle name="Normal 2 2 10 2 8 4 4" xfId="8282" xr:uid="{00000000-0005-0000-0000-00005A200000}"/>
    <cellStyle name="Normal 2 2 10 2 8 4 5" xfId="8283" xr:uid="{00000000-0005-0000-0000-00005B200000}"/>
    <cellStyle name="Normal 2 2 10 2 8 4 6" xfId="8284" xr:uid="{00000000-0005-0000-0000-00005C200000}"/>
    <cellStyle name="Normal 2 2 10 2 8 4 7" xfId="8285" xr:uid="{00000000-0005-0000-0000-00005D200000}"/>
    <cellStyle name="Normal 2 2 10 2 8 4 8" xfId="8286" xr:uid="{00000000-0005-0000-0000-00005E200000}"/>
    <cellStyle name="Normal 2 2 10 2 8 4 9" xfId="8287" xr:uid="{00000000-0005-0000-0000-00005F200000}"/>
    <cellStyle name="Normal 2 2 10 2 8 5" xfId="8288" xr:uid="{00000000-0005-0000-0000-000060200000}"/>
    <cellStyle name="Normal 2 2 10 2 8 5 10" xfId="8289" xr:uid="{00000000-0005-0000-0000-000061200000}"/>
    <cellStyle name="Normal 2 2 10 2 8 5 2" xfId="8290" xr:uid="{00000000-0005-0000-0000-000062200000}"/>
    <cellStyle name="Normal 2 2 10 2 8 5 3" xfId="8291" xr:uid="{00000000-0005-0000-0000-000063200000}"/>
    <cellStyle name="Normal 2 2 10 2 8 5 4" xfId="8292" xr:uid="{00000000-0005-0000-0000-000064200000}"/>
    <cellStyle name="Normal 2 2 10 2 8 5 5" xfId="8293" xr:uid="{00000000-0005-0000-0000-000065200000}"/>
    <cellStyle name="Normal 2 2 10 2 8 5 6" xfId="8294" xr:uid="{00000000-0005-0000-0000-000066200000}"/>
    <cellStyle name="Normal 2 2 10 2 8 5 7" xfId="8295" xr:uid="{00000000-0005-0000-0000-000067200000}"/>
    <cellStyle name="Normal 2 2 10 2 8 5 8" xfId="8296" xr:uid="{00000000-0005-0000-0000-000068200000}"/>
    <cellStyle name="Normal 2 2 10 2 8 5 9" xfId="8297" xr:uid="{00000000-0005-0000-0000-000069200000}"/>
    <cellStyle name="Normal 2 2 10 2 8 6" xfId="8298" xr:uid="{00000000-0005-0000-0000-00006A200000}"/>
    <cellStyle name="Normal 2 2 10 2 8 7" xfId="8299" xr:uid="{00000000-0005-0000-0000-00006B200000}"/>
    <cellStyle name="Normal 2 2 10 2 8 8" xfId="8300" xr:uid="{00000000-0005-0000-0000-00006C200000}"/>
    <cellStyle name="Normal 2 2 10 2 8 9" xfId="8301" xr:uid="{00000000-0005-0000-0000-00006D200000}"/>
    <cellStyle name="Normal 2 2 10 2 9" xfId="8302" xr:uid="{00000000-0005-0000-0000-00006E200000}"/>
    <cellStyle name="Normal 2 2 10 2 9 10" xfId="8303" xr:uid="{00000000-0005-0000-0000-00006F200000}"/>
    <cellStyle name="Normal 2 2 10 2 9 11" xfId="8304" xr:uid="{00000000-0005-0000-0000-000070200000}"/>
    <cellStyle name="Normal 2 2 10 2 9 12" xfId="8305" xr:uid="{00000000-0005-0000-0000-000071200000}"/>
    <cellStyle name="Normal 2 2 10 2 9 13" xfId="8306" xr:uid="{00000000-0005-0000-0000-000072200000}"/>
    <cellStyle name="Normal 2 2 10 2 9 14" xfId="8307" xr:uid="{00000000-0005-0000-0000-000073200000}"/>
    <cellStyle name="Normal 2 2 10 2 9 2" xfId="8308" xr:uid="{00000000-0005-0000-0000-000074200000}"/>
    <cellStyle name="Normal 2 2 10 2 9 2 10" xfId="8309" xr:uid="{00000000-0005-0000-0000-000075200000}"/>
    <cellStyle name="Normal 2 2 10 2 9 2 2" xfId="8310" xr:uid="{00000000-0005-0000-0000-000076200000}"/>
    <cellStyle name="Normal 2 2 10 2 9 2 3" xfId="8311" xr:uid="{00000000-0005-0000-0000-000077200000}"/>
    <cellStyle name="Normal 2 2 10 2 9 2 4" xfId="8312" xr:uid="{00000000-0005-0000-0000-000078200000}"/>
    <cellStyle name="Normal 2 2 10 2 9 2 5" xfId="8313" xr:uid="{00000000-0005-0000-0000-000079200000}"/>
    <cellStyle name="Normal 2 2 10 2 9 2 6" xfId="8314" xr:uid="{00000000-0005-0000-0000-00007A200000}"/>
    <cellStyle name="Normal 2 2 10 2 9 2 7" xfId="8315" xr:uid="{00000000-0005-0000-0000-00007B200000}"/>
    <cellStyle name="Normal 2 2 10 2 9 2 8" xfId="8316" xr:uid="{00000000-0005-0000-0000-00007C200000}"/>
    <cellStyle name="Normal 2 2 10 2 9 2 9" xfId="8317" xr:uid="{00000000-0005-0000-0000-00007D200000}"/>
    <cellStyle name="Normal 2 2 10 2 9 3" xfId="8318" xr:uid="{00000000-0005-0000-0000-00007E200000}"/>
    <cellStyle name="Normal 2 2 10 2 9 3 10" xfId="8319" xr:uid="{00000000-0005-0000-0000-00007F200000}"/>
    <cellStyle name="Normal 2 2 10 2 9 3 2" xfId="8320" xr:uid="{00000000-0005-0000-0000-000080200000}"/>
    <cellStyle name="Normal 2 2 10 2 9 3 3" xfId="8321" xr:uid="{00000000-0005-0000-0000-000081200000}"/>
    <cellStyle name="Normal 2 2 10 2 9 3 4" xfId="8322" xr:uid="{00000000-0005-0000-0000-000082200000}"/>
    <cellStyle name="Normal 2 2 10 2 9 3 5" xfId="8323" xr:uid="{00000000-0005-0000-0000-000083200000}"/>
    <cellStyle name="Normal 2 2 10 2 9 3 6" xfId="8324" xr:uid="{00000000-0005-0000-0000-000084200000}"/>
    <cellStyle name="Normal 2 2 10 2 9 3 7" xfId="8325" xr:uid="{00000000-0005-0000-0000-000085200000}"/>
    <cellStyle name="Normal 2 2 10 2 9 3 8" xfId="8326" xr:uid="{00000000-0005-0000-0000-000086200000}"/>
    <cellStyle name="Normal 2 2 10 2 9 3 9" xfId="8327" xr:uid="{00000000-0005-0000-0000-000087200000}"/>
    <cellStyle name="Normal 2 2 10 2 9 4" xfId="8328" xr:uid="{00000000-0005-0000-0000-000088200000}"/>
    <cellStyle name="Normal 2 2 10 2 9 4 10" xfId="8329" xr:uid="{00000000-0005-0000-0000-000089200000}"/>
    <cellStyle name="Normal 2 2 10 2 9 4 2" xfId="8330" xr:uid="{00000000-0005-0000-0000-00008A200000}"/>
    <cellStyle name="Normal 2 2 10 2 9 4 3" xfId="8331" xr:uid="{00000000-0005-0000-0000-00008B200000}"/>
    <cellStyle name="Normal 2 2 10 2 9 4 4" xfId="8332" xr:uid="{00000000-0005-0000-0000-00008C200000}"/>
    <cellStyle name="Normal 2 2 10 2 9 4 5" xfId="8333" xr:uid="{00000000-0005-0000-0000-00008D200000}"/>
    <cellStyle name="Normal 2 2 10 2 9 4 6" xfId="8334" xr:uid="{00000000-0005-0000-0000-00008E200000}"/>
    <cellStyle name="Normal 2 2 10 2 9 4 7" xfId="8335" xr:uid="{00000000-0005-0000-0000-00008F200000}"/>
    <cellStyle name="Normal 2 2 10 2 9 4 8" xfId="8336" xr:uid="{00000000-0005-0000-0000-000090200000}"/>
    <cellStyle name="Normal 2 2 10 2 9 4 9" xfId="8337" xr:uid="{00000000-0005-0000-0000-000091200000}"/>
    <cellStyle name="Normal 2 2 10 2 9 5" xfId="8338" xr:uid="{00000000-0005-0000-0000-000092200000}"/>
    <cellStyle name="Normal 2 2 10 2 9 5 10" xfId="8339" xr:uid="{00000000-0005-0000-0000-000093200000}"/>
    <cellStyle name="Normal 2 2 10 2 9 5 2" xfId="8340" xr:uid="{00000000-0005-0000-0000-000094200000}"/>
    <cellStyle name="Normal 2 2 10 2 9 5 3" xfId="8341" xr:uid="{00000000-0005-0000-0000-000095200000}"/>
    <cellStyle name="Normal 2 2 10 2 9 5 4" xfId="8342" xr:uid="{00000000-0005-0000-0000-000096200000}"/>
    <cellStyle name="Normal 2 2 10 2 9 5 5" xfId="8343" xr:uid="{00000000-0005-0000-0000-000097200000}"/>
    <cellStyle name="Normal 2 2 10 2 9 5 6" xfId="8344" xr:uid="{00000000-0005-0000-0000-000098200000}"/>
    <cellStyle name="Normal 2 2 10 2 9 5 7" xfId="8345" xr:uid="{00000000-0005-0000-0000-000099200000}"/>
    <cellStyle name="Normal 2 2 10 2 9 5 8" xfId="8346" xr:uid="{00000000-0005-0000-0000-00009A200000}"/>
    <cellStyle name="Normal 2 2 10 2 9 5 9" xfId="8347" xr:uid="{00000000-0005-0000-0000-00009B200000}"/>
    <cellStyle name="Normal 2 2 10 2 9 6" xfId="8348" xr:uid="{00000000-0005-0000-0000-00009C200000}"/>
    <cellStyle name="Normal 2 2 10 2 9 7" xfId="8349" xr:uid="{00000000-0005-0000-0000-00009D200000}"/>
    <cellStyle name="Normal 2 2 10 2 9 8" xfId="8350" xr:uid="{00000000-0005-0000-0000-00009E200000}"/>
    <cellStyle name="Normal 2 2 10 2 9 9" xfId="8351" xr:uid="{00000000-0005-0000-0000-00009F200000}"/>
    <cellStyle name="Normal 2 2 10 20" xfId="8352" xr:uid="{00000000-0005-0000-0000-0000A0200000}"/>
    <cellStyle name="Normal 2 2 10 20 10" xfId="8353" xr:uid="{00000000-0005-0000-0000-0000A1200000}"/>
    <cellStyle name="Normal 2 2 10 20 11" xfId="8354" xr:uid="{00000000-0005-0000-0000-0000A2200000}"/>
    <cellStyle name="Normal 2 2 10 20 12" xfId="8355" xr:uid="{00000000-0005-0000-0000-0000A3200000}"/>
    <cellStyle name="Normal 2 2 10 20 13" xfId="8356" xr:uid="{00000000-0005-0000-0000-0000A4200000}"/>
    <cellStyle name="Normal 2 2 10 20 14" xfId="8357" xr:uid="{00000000-0005-0000-0000-0000A5200000}"/>
    <cellStyle name="Normal 2 2 10 20 2" xfId="8358" xr:uid="{00000000-0005-0000-0000-0000A6200000}"/>
    <cellStyle name="Normal 2 2 10 20 2 10" xfId="8359" xr:uid="{00000000-0005-0000-0000-0000A7200000}"/>
    <cellStyle name="Normal 2 2 10 20 2 2" xfId="8360" xr:uid="{00000000-0005-0000-0000-0000A8200000}"/>
    <cellStyle name="Normal 2 2 10 20 2 3" xfId="8361" xr:uid="{00000000-0005-0000-0000-0000A9200000}"/>
    <cellStyle name="Normal 2 2 10 20 2 4" xfId="8362" xr:uid="{00000000-0005-0000-0000-0000AA200000}"/>
    <cellStyle name="Normal 2 2 10 20 2 5" xfId="8363" xr:uid="{00000000-0005-0000-0000-0000AB200000}"/>
    <cellStyle name="Normal 2 2 10 20 2 6" xfId="8364" xr:uid="{00000000-0005-0000-0000-0000AC200000}"/>
    <cellStyle name="Normal 2 2 10 20 2 7" xfId="8365" xr:uid="{00000000-0005-0000-0000-0000AD200000}"/>
    <cellStyle name="Normal 2 2 10 20 2 8" xfId="8366" xr:uid="{00000000-0005-0000-0000-0000AE200000}"/>
    <cellStyle name="Normal 2 2 10 20 2 9" xfId="8367" xr:uid="{00000000-0005-0000-0000-0000AF200000}"/>
    <cellStyle name="Normal 2 2 10 20 3" xfId="8368" xr:uid="{00000000-0005-0000-0000-0000B0200000}"/>
    <cellStyle name="Normal 2 2 10 20 3 10" xfId="8369" xr:uid="{00000000-0005-0000-0000-0000B1200000}"/>
    <cellStyle name="Normal 2 2 10 20 3 2" xfId="8370" xr:uid="{00000000-0005-0000-0000-0000B2200000}"/>
    <cellStyle name="Normal 2 2 10 20 3 3" xfId="8371" xr:uid="{00000000-0005-0000-0000-0000B3200000}"/>
    <cellStyle name="Normal 2 2 10 20 3 4" xfId="8372" xr:uid="{00000000-0005-0000-0000-0000B4200000}"/>
    <cellStyle name="Normal 2 2 10 20 3 5" xfId="8373" xr:uid="{00000000-0005-0000-0000-0000B5200000}"/>
    <cellStyle name="Normal 2 2 10 20 3 6" xfId="8374" xr:uid="{00000000-0005-0000-0000-0000B6200000}"/>
    <cellStyle name="Normal 2 2 10 20 3 7" xfId="8375" xr:uid="{00000000-0005-0000-0000-0000B7200000}"/>
    <cellStyle name="Normal 2 2 10 20 3 8" xfId="8376" xr:uid="{00000000-0005-0000-0000-0000B8200000}"/>
    <cellStyle name="Normal 2 2 10 20 3 9" xfId="8377" xr:uid="{00000000-0005-0000-0000-0000B9200000}"/>
    <cellStyle name="Normal 2 2 10 20 4" xfId="8378" xr:uid="{00000000-0005-0000-0000-0000BA200000}"/>
    <cellStyle name="Normal 2 2 10 20 4 10" xfId="8379" xr:uid="{00000000-0005-0000-0000-0000BB200000}"/>
    <cellStyle name="Normal 2 2 10 20 4 2" xfId="8380" xr:uid="{00000000-0005-0000-0000-0000BC200000}"/>
    <cellStyle name="Normal 2 2 10 20 4 3" xfId="8381" xr:uid="{00000000-0005-0000-0000-0000BD200000}"/>
    <cellStyle name="Normal 2 2 10 20 4 4" xfId="8382" xr:uid="{00000000-0005-0000-0000-0000BE200000}"/>
    <cellStyle name="Normal 2 2 10 20 4 5" xfId="8383" xr:uid="{00000000-0005-0000-0000-0000BF200000}"/>
    <cellStyle name="Normal 2 2 10 20 4 6" xfId="8384" xr:uid="{00000000-0005-0000-0000-0000C0200000}"/>
    <cellStyle name="Normal 2 2 10 20 4 7" xfId="8385" xr:uid="{00000000-0005-0000-0000-0000C1200000}"/>
    <cellStyle name="Normal 2 2 10 20 4 8" xfId="8386" xr:uid="{00000000-0005-0000-0000-0000C2200000}"/>
    <cellStyle name="Normal 2 2 10 20 4 9" xfId="8387" xr:uid="{00000000-0005-0000-0000-0000C3200000}"/>
    <cellStyle name="Normal 2 2 10 20 5" xfId="8388" xr:uid="{00000000-0005-0000-0000-0000C4200000}"/>
    <cellStyle name="Normal 2 2 10 20 5 10" xfId="8389" xr:uid="{00000000-0005-0000-0000-0000C5200000}"/>
    <cellStyle name="Normal 2 2 10 20 5 2" xfId="8390" xr:uid="{00000000-0005-0000-0000-0000C6200000}"/>
    <cellStyle name="Normal 2 2 10 20 5 3" xfId="8391" xr:uid="{00000000-0005-0000-0000-0000C7200000}"/>
    <cellStyle name="Normal 2 2 10 20 5 4" xfId="8392" xr:uid="{00000000-0005-0000-0000-0000C8200000}"/>
    <cellStyle name="Normal 2 2 10 20 5 5" xfId="8393" xr:uid="{00000000-0005-0000-0000-0000C9200000}"/>
    <cellStyle name="Normal 2 2 10 20 5 6" xfId="8394" xr:uid="{00000000-0005-0000-0000-0000CA200000}"/>
    <cellStyle name="Normal 2 2 10 20 5 7" xfId="8395" xr:uid="{00000000-0005-0000-0000-0000CB200000}"/>
    <cellStyle name="Normal 2 2 10 20 5 8" xfId="8396" xr:uid="{00000000-0005-0000-0000-0000CC200000}"/>
    <cellStyle name="Normal 2 2 10 20 5 9" xfId="8397" xr:uid="{00000000-0005-0000-0000-0000CD200000}"/>
    <cellStyle name="Normal 2 2 10 20 6" xfId="8398" xr:uid="{00000000-0005-0000-0000-0000CE200000}"/>
    <cellStyle name="Normal 2 2 10 20 7" xfId="8399" xr:uid="{00000000-0005-0000-0000-0000CF200000}"/>
    <cellStyle name="Normal 2 2 10 20 8" xfId="8400" xr:uid="{00000000-0005-0000-0000-0000D0200000}"/>
    <cellStyle name="Normal 2 2 10 20 9" xfId="8401" xr:uid="{00000000-0005-0000-0000-0000D1200000}"/>
    <cellStyle name="Normal 2 2 10 21" xfId="8402" xr:uid="{00000000-0005-0000-0000-0000D2200000}"/>
    <cellStyle name="Normal 2 2 10 21 10" xfId="8403" xr:uid="{00000000-0005-0000-0000-0000D3200000}"/>
    <cellStyle name="Normal 2 2 10 21 11" xfId="8404" xr:uid="{00000000-0005-0000-0000-0000D4200000}"/>
    <cellStyle name="Normal 2 2 10 21 12" xfId="8405" xr:uid="{00000000-0005-0000-0000-0000D5200000}"/>
    <cellStyle name="Normal 2 2 10 21 13" xfId="8406" xr:uid="{00000000-0005-0000-0000-0000D6200000}"/>
    <cellStyle name="Normal 2 2 10 21 14" xfId="8407" xr:uid="{00000000-0005-0000-0000-0000D7200000}"/>
    <cellStyle name="Normal 2 2 10 21 2" xfId="8408" xr:uid="{00000000-0005-0000-0000-0000D8200000}"/>
    <cellStyle name="Normal 2 2 10 21 2 10" xfId="8409" xr:uid="{00000000-0005-0000-0000-0000D9200000}"/>
    <cellStyle name="Normal 2 2 10 21 2 2" xfId="8410" xr:uid="{00000000-0005-0000-0000-0000DA200000}"/>
    <cellStyle name="Normal 2 2 10 21 2 3" xfId="8411" xr:uid="{00000000-0005-0000-0000-0000DB200000}"/>
    <cellStyle name="Normal 2 2 10 21 2 4" xfId="8412" xr:uid="{00000000-0005-0000-0000-0000DC200000}"/>
    <cellStyle name="Normal 2 2 10 21 2 5" xfId="8413" xr:uid="{00000000-0005-0000-0000-0000DD200000}"/>
    <cellStyle name="Normal 2 2 10 21 2 6" xfId="8414" xr:uid="{00000000-0005-0000-0000-0000DE200000}"/>
    <cellStyle name="Normal 2 2 10 21 2 7" xfId="8415" xr:uid="{00000000-0005-0000-0000-0000DF200000}"/>
    <cellStyle name="Normal 2 2 10 21 2 8" xfId="8416" xr:uid="{00000000-0005-0000-0000-0000E0200000}"/>
    <cellStyle name="Normal 2 2 10 21 2 9" xfId="8417" xr:uid="{00000000-0005-0000-0000-0000E1200000}"/>
    <cellStyle name="Normal 2 2 10 21 3" xfId="8418" xr:uid="{00000000-0005-0000-0000-0000E2200000}"/>
    <cellStyle name="Normal 2 2 10 21 3 10" xfId="8419" xr:uid="{00000000-0005-0000-0000-0000E3200000}"/>
    <cellStyle name="Normal 2 2 10 21 3 2" xfId="8420" xr:uid="{00000000-0005-0000-0000-0000E4200000}"/>
    <cellStyle name="Normal 2 2 10 21 3 3" xfId="8421" xr:uid="{00000000-0005-0000-0000-0000E5200000}"/>
    <cellStyle name="Normal 2 2 10 21 3 4" xfId="8422" xr:uid="{00000000-0005-0000-0000-0000E6200000}"/>
    <cellStyle name="Normal 2 2 10 21 3 5" xfId="8423" xr:uid="{00000000-0005-0000-0000-0000E7200000}"/>
    <cellStyle name="Normal 2 2 10 21 3 6" xfId="8424" xr:uid="{00000000-0005-0000-0000-0000E8200000}"/>
    <cellStyle name="Normal 2 2 10 21 3 7" xfId="8425" xr:uid="{00000000-0005-0000-0000-0000E9200000}"/>
    <cellStyle name="Normal 2 2 10 21 3 8" xfId="8426" xr:uid="{00000000-0005-0000-0000-0000EA200000}"/>
    <cellStyle name="Normal 2 2 10 21 3 9" xfId="8427" xr:uid="{00000000-0005-0000-0000-0000EB200000}"/>
    <cellStyle name="Normal 2 2 10 21 4" xfId="8428" xr:uid="{00000000-0005-0000-0000-0000EC200000}"/>
    <cellStyle name="Normal 2 2 10 21 4 10" xfId="8429" xr:uid="{00000000-0005-0000-0000-0000ED200000}"/>
    <cellStyle name="Normal 2 2 10 21 4 2" xfId="8430" xr:uid="{00000000-0005-0000-0000-0000EE200000}"/>
    <cellStyle name="Normal 2 2 10 21 4 3" xfId="8431" xr:uid="{00000000-0005-0000-0000-0000EF200000}"/>
    <cellStyle name="Normal 2 2 10 21 4 4" xfId="8432" xr:uid="{00000000-0005-0000-0000-0000F0200000}"/>
    <cellStyle name="Normal 2 2 10 21 4 5" xfId="8433" xr:uid="{00000000-0005-0000-0000-0000F1200000}"/>
    <cellStyle name="Normal 2 2 10 21 4 6" xfId="8434" xr:uid="{00000000-0005-0000-0000-0000F2200000}"/>
    <cellStyle name="Normal 2 2 10 21 4 7" xfId="8435" xr:uid="{00000000-0005-0000-0000-0000F3200000}"/>
    <cellStyle name="Normal 2 2 10 21 4 8" xfId="8436" xr:uid="{00000000-0005-0000-0000-0000F4200000}"/>
    <cellStyle name="Normal 2 2 10 21 4 9" xfId="8437" xr:uid="{00000000-0005-0000-0000-0000F5200000}"/>
    <cellStyle name="Normal 2 2 10 21 5" xfId="8438" xr:uid="{00000000-0005-0000-0000-0000F6200000}"/>
    <cellStyle name="Normal 2 2 10 21 5 10" xfId="8439" xr:uid="{00000000-0005-0000-0000-0000F7200000}"/>
    <cellStyle name="Normal 2 2 10 21 5 2" xfId="8440" xr:uid="{00000000-0005-0000-0000-0000F8200000}"/>
    <cellStyle name="Normal 2 2 10 21 5 3" xfId="8441" xr:uid="{00000000-0005-0000-0000-0000F9200000}"/>
    <cellStyle name="Normal 2 2 10 21 5 4" xfId="8442" xr:uid="{00000000-0005-0000-0000-0000FA200000}"/>
    <cellStyle name="Normal 2 2 10 21 5 5" xfId="8443" xr:uid="{00000000-0005-0000-0000-0000FB200000}"/>
    <cellStyle name="Normal 2 2 10 21 5 6" xfId="8444" xr:uid="{00000000-0005-0000-0000-0000FC200000}"/>
    <cellStyle name="Normal 2 2 10 21 5 7" xfId="8445" xr:uid="{00000000-0005-0000-0000-0000FD200000}"/>
    <cellStyle name="Normal 2 2 10 21 5 8" xfId="8446" xr:uid="{00000000-0005-0000-0000-0000FE200000}"/>
    <cellStyle name="Normal 2 2 10 21 5 9" xfId="8447" xr:uid="{00000000-0005-0000-0000-0000FF200000}"/>
    <cellStyle name="Normal 2 2 10 21 6" xfId="8448" xr:uid="{00000000-0005-0000-0000-000000210000}"/>
    <cellStyle name="Normal 2 2 10 21 7" xfId="8449" xr:uid="{00000000-0005-0000-0000-000001210000}"/>
    <cellStyle name="Normal 2 2 10 21 8" xfId="8450" xr:uid="{00000000-0005-0000-0000-000002210000}"/>
    <cellStyle name="Normal 2 2 10 21 9" xfId="8451" xr:uid="{00000000-0005-0000-0000-000003210000}"/>
    <cellStyle name="Normal 2 2 10 22" xfId="8452" xr:uid="{00000000-0005-0000-0000-000004210000}"/>
    <cellStyle name="Normal 2 2 10 22 10" xfId="8453" xr:uid="{00000000-0005-0000-0000-000005210000}"/>
    <cellStyle name="Normal 2 2 10 22 11" xfId="8454" xr:uid="{00000000-0005-0000-0000-000006210000}"/>
    <cellStyle name="Normal 2 2 10 22 12" xfId="8455" xr:uid="{00000000-0005-0000-0000-000007210000}"/>
    <cellStyle name="Normal 2 2 10 22 13" xfId="8456" xr:uid="{00000000-0005-0000-0000-000008210000}"/>
    <cellStyle name="Normal 2 2 10 22 14" xfId="8457" xr:uid="{00000000-0005-0000-0000-000009210000}"/>
    <cellStyle name="Normal 2 2 10 22 2" xfId="8458" xr:uid="{00000000-0005-0000-0000-00000A210000}"/>
    <cellStyle name="Normal 2 2 10 22 2 10" xfId="8459" xr:uid="{00000000-0005-0000-0000-00000B210000}"/>
    <cellStyle name="Normal 2 2 10 22 2 2" xfId="8460" xr:uid="{00000000-0005-0000-0000-00000C210000}"/>
    <cellStyle name="Normal 2 2 10 22 2 3" xfId="8461" xr:uid="{00000000-0005-0000-0000-00000D210000}"/>
    <cellStyle name="Normal 2 2 10 22 2 4" xfId="8462" xr:uid="{00000000-0005-0000-0000-00000E210000}"/>
    <cellStyle name="Normal 2 2 10 22 2 5" xfId="8463" xr:uid="{00000000-0005-0000-0000-00000F210000}"/>
    <cellStyle name="Normal 2 2 10 22 2 6" xfId="8464" xr:uid="{00000000-0005-0000-0000-000010210000}"/>
    <cellStyle name="Normal 2 2 10 22 2 7" xfId="8465" xr:uid="{00000000-0005-0000-0000-000011210000}"/>
    <cellStyle name="Normal 2 2 10 22 2 8" xfId="8466" xr:uid="{00000000-0005-0000-0000-000012210000}"/>
    <cellStyle name="Normal 2 2 10 22 2 9" xfId="8467" xr:uid="{00000000-0005-0000-0000-000013210000}"/>
    <cellStyle name="Normal 2 2 10 22 3" xfId="8468" xr:uid="{00000000-0005-0000-0000-000014210000}"/>
    <cellStyle name="Normal 2 2 10 22 3 10" xfId="8469" xr:uid="{00000000-0005-0000-0000-000015210000}"/>
    <cellStyle name="Normal 2 2 10 22 3 2" xfId="8470" xr:uid="{00000000-0005-0000-0000-000016210000}"/>
    <cellStyle name="Normal 2 2 10 22 3 3" xfId="8471" xr:uid="{00000000-0005-0000-0000-000017210000}"/>
    <cellStyle name="Normal 2 2 10 22 3 4" xfId="8472" xr:uid="{00000000-0005-0000-0000-000018210000}"/>
    <cellStyle name="Normal 2 2 10 22 3 5" xfId="8473" xr:uid="{00000000-0005-0000-0000-000019210000}"/>
    <cellStyle name="Normal 2 2 10 22 3 6" xfId="8474" xr:uid="{00000000-0005-0000-0000-00001A210000}"/>
    <cellStyle name="Normal 2 2 10 22 3 7" xfId="8475" xr:uid="{00000000-0005-0000-0000-00001B210000}"/>
    <cellStyle name="Normal 2 2 10 22 3 8" xfId="8476" xr:uid="{00000000-0005-0000-0000-00001C210000}"/>
    <cellStyle name="Normal 2 2 10 22 3 9" xfId="8477" xr:uid="{00000000-0005-0000-0000-00001D210000}"/>
    <cellStyle name="Normal 2 2 10 22 4" xfId="8478" xr:uid="{00000000-0005-0000-0000-00001E210000}"/>
    <cellStyle name="Normal 2 2 10 22 4 10" xfId="8479" xr:uid="{00000000-0005-0000-0000-00001F210000}"/>
    <cellStyle name="Normal 2 2 10 22 4 2" xfId="8480" xr:uid="{00000000-0005-0000-0000-000020210000}"/>
    <cellStyle name="Normal 2 2 10 22 4 3" xfId="8481" xr:uid="{00000000-0005-0000-0000-000021210000}"/>
    <cellStyle name="Normal 2 2 10 22 4 4" xfId="8482" xr:uid="{00000000-0005-0000-0000-000022210000}"/>
    <cellStyle name="Normal 2 2 10 22 4 5" xfId="8483" xr:uid="{00000000-0005-0000-0000-000023210000}"/>
    <cellStyle name="Normal 2 2 10 22 4 6" xfId="8484" xr:uid="{00000000-0005-0000-0000-000024210000}"/>
    <cellStyle name="Normal 2 2 10 22 4 7" xfId="8485" xr:uid="{00000000-0005-0000-0000-000025210000}"/>
    <cellStyle name="Normal 2 2 10 22 4 8" xfId="8486" xr:uid="{00000000-0005-0000-0000-000026210000}"/>
    <cellStyle name="Normal 2 2 10 22 4 9" xfId="8487" xr:uid="{00000000-0005-0000-0000-000027210000}"/>
    <cellStyle name="Normal 2 2 10 22 5" xfId="8488" xr:uid="{00000000-0005-0000-0000-000028210000}"/>
    <cellStyle name="Normal 2 2 10 22 5 10" xfId="8489" xr:uid="{00000000-0005-0000-0000-000029210000}"/>
    <cellStyle name="Normal 2 2 10 22 5 2" xfId="8490" xr:uid="{00000000-0005-0000-0000-00002A210000}"/>
    <cellStyle name="Normal 2 2 10 22 5 3" xfId="8491" xr:uid="{00000000-0005-0000-0000-00002B210000}"/>
    <cellStyle name="Normal 2 2 10 22 5 4" xfId="8492" xr:uid="{00000000-0005-0000-0000-00002C210000}"/>
    <cellStyle name="Normal 2 2 10 22 5 5" xfId="8493" xr:uid="{00000000-0005-0000-0000-00002D210000}"/>
    <cellStyle name="Normal 2 2 10 22 5 6" xfId="8494" xr:uid="{00000000-0005-0000-0000-00002E210000}"/>
    <cellStyle name="Normal 2 2 10 22 5 7" xfId="8495" xr:uid="{00000000-0005-0000-0000-00002F210000}"/>
    <cellStyle name="Normal 2 2 10 22 5 8" xfId="8496" xr:uid="{00000000-0005-0000-0000-000030210000}"/>
    <cellStyle name="Normal 2 2 10 22 5 9" xfId="8497" xr:uid="{00000000-0005-0000-0000-000031210000}"/>
    <cellStyle name="Normal 2 2 10 22 6" xfId="8498" xr:uid="{00000000-0005-0000-0000-000032210000}"/>
    <cellStyle name="Normal 2 2 10 22 7" xfId="8499" xr:uid="{00000000-0005-0000-0000-000033210000}"/>
    <cellStyle name="Normal 2 2 10 22 8" xfId="8500" xr:uid="{00000000-0005-0000-0000-000034210000}"/>
    <cellStyle name="Normal 2 2 10 22 9" xfId="8501" xr:uid="{00000000-0005-0000-0000-000035210000}"/>
    <cellStyle name="Normal 2 2 10 23" xfId="8502" xr:uid="{00000000-0005-0000-0000-000036210000}"/>
    <cellStyle name="Normal 2 2 10 23 10" xfId="8503" xr:uid="{00000000-0005-0000-0000-000037210000}"/>
    <cellStyle name="Normal 2 2 10 23 11" xfId="8504" xr:uid="{00000000-0005-0000-0000-000038210000}"/>
    <cellStyle name="Normal 2 2 10 23 12" xfId="8505" xr:uid="{00000000-0005-0000-0000-000039210000}"/>
    <cellStyle name="Normal 2 2 10 23 13" xfId="8506" xr:uid="{00000000-0005-0000-0000-00003A210000}"/>
    <cellStyle name="Normal 2 2 10 23 14" xfId="8507" xr:uid="{00000000-0005-0000-0000-00003B210000}"/>
    <cellStyle name="Normal 2 2 10 23 2" xfId="8508" xr:uid="{00000000-0005-0000-0000-00003C210000}"/>
    <cellStyle name="Normal 2 2 10 23 2 10" xfId="8509" xr:uid="{00000000-0005-0000-0000-00003D210000}"/>
    <cellStyle name="Normal 2 2 10 23 2 2" xfId="8510" xr:uid="{00000000-0005-0000-0000-00003E210000}"/>
    <cellStyle name="Normal 2 2 10 23 2 3" xfId="8511" xr:uid="{00000000-0005-0000-0000-00003F210000}"/>
    <cellStyle name="Normal 2 2 10 23 2 4" xfId="8512" xr:uid="{00000000-0005-0000-0000-000040210000}"/>
    <cellStyle name="Normal 2 2 10 23 2 5" xfId="8513" xr:uid="{00000000-0005-0000-0000-000041210000}"/>
    <cellStyle name="Normal 2 2 10 23 2 6" xfId="8514" xr:uid="{00000000-0005-0000-0000-000042210000}"/>
    <cellStyle name="Normal 2 2 10 23 2 7" xfId="8515" xr:uid="{00000000-0005-0000-0000-000043210000}"/>
    <cellStyle name="Normal 2 2 10 23 2 8" xfId="8516" xr:uid="{00000000-0005-0000-0000-000044210000}"/>
    <cellStyle name="Normal 2 2 10 23 2 9" xfId="8517" xr:uid="{00000000-0005-0000-0000-000045210000}"/>
    <cellStyle name="Normal 2 2 10 23 3" xfId="8518" xr:uid="{00000000-0005-0000-0000-000046210000}"/>
    <cellStyle name="Normal 2 2 10 23 3 10" xfId="8519" xr:uid="{00000000-0005-0000-0000-000047210000}"/>
    <cellStyle name="Normal 2 2 10 23 3 2" xfId="8520" xr:uid="{00000000-0005-0000-0000-000048210000}"/>
    <cellStyle name="Normal 2 2 10 23 3 3" xfId="8521" xr:uid="{00000000-0005-0000-0000-000049210000}"/>
    <cellStyle name="Normal 2 2 10 23 3 4" xfId="8522" xr:uid="{00000000-0005-0000-0000-00004A210000}"/>
    <cellStyle name="Normal 2 2 10 23 3 5" xfId="8523" xr:uid="{00000000-0005-0000-0000-00004B210000}"/>
    <cellStyle name="Normal 2 2 10 23 3 6" xfId="8524" xr:uid="{00000000-0005-0000-0000-00004C210000}"/>
    <cellStyle name="Normal 2 2 10 23 3 7" xfId="8525" xr:uid="{00000000-0005-0000-0000-00004D210000}"/>
    <cellStyle name="Normal 2 2 10 23 3 8" xfId="8526" xr:uid="{00000000-0005-0000-0000-00004E210000}"/>
    <cellStyle name="Normal 2 2 10 23 3 9" xfId="8527" xr:uid="{00000000-0005-0000-0000-00004F210000}"/>
    <cellStyle name="Normal 2 2 10 23 4" xfId="8528" xr:uid="{00000000-0005-0000-0000-000050210000}"/>
    <cellStyle name="Normal 2 2 10 23 4 10" xfId="8529" xr:uid="{00000000-0005-0000-0000-000051210000}"/>
    <cellStyle name="Normal 2 2 10 23 4 2" xfId="8530" xr:uid="{00000000-0005-0000-0000-000052210000}"/>
    <cellStyle name="Normal 2 2 10 23 4 3" xfId="8531" xr:uid="{00000000-0005-0000-0000-000053210000}"/>
    <cellStyle name="Normal 2 2 10 23 4 4" xfId="8532" xr:uid="{00000000-0005-0000-0000-000054210000}"/>
    <cellStyle name="Normal 2 2 10 23 4 5" xfId="8533" xr:uid="{00000000-0005-0000-0000-000055210000}"/>
    <cellStyle name="Normal 2 2 10 23 4 6" xfId="8534" xr:uid="{00000000-0005-0000-0000-000056210000}"/>
    <cellStyle name="Normal 2 2 10 23 4 7" xfId="8535" xr:uid="{00000000-0005-0000-0000-000057210000}"/>
    <cellStyle name="Normal 2 2 10 23 4 8" xfId="8536" xr:uid="{00000000-0005-0000-0000-000058210000}"/>
    <cellStyle name="Normal 2 2 10 23 4 9" xfId="8537" xr:uid="{00000000-0005-0000-0000-000059210000}"/>
    <cellStyle name="Normal 2 2 10 23 5" xfId="8538" xr:uid="{00000000-0005-0000-0000-00005A210000}"/>
    <cellStyle name="Normal 2 2 10 23 5 10" xfId="8539" xr:uid="{00000000-0005-0000-0000-00005B210000}"/>
    <cellStyle name="Normal 2 2 10 23 5 2" xfId="8540" xr:uid="{00000000-0005-0000-0000-00005C210000}"/>
    <cellStyle name="Normal 2 2 10 23 5 3" xfId="8541" xr:uid="{00000000-0005-0000-0000-00005D210000}"/>
    <cellStyle name="Normal 2 2 10 23 5 4" xfId="8542" xr:uid="{00000000-0005-0000-0000-00005E210000}"/>
    <cellStyle name="Normal 2 2 10 23 5 5" xfId="8543" xr:uid="{00000000-0005-0000-0000-00005F210000}"/>
    <cellStyle name="Normal 2 2 10 23 5 6" xfId="8544" xr:uid="{00000000-0005-0000-0000-000060210000}"/>
    <cellStyle name="Normal 2 2 10 23 5 7" xfId="8545" xr:uid="{00000000-0005-0000-0000-000061210000}"/>
    <cellStyle name="Normal 2 2 10 23 5 8" xfId="8546" xr:uid="{00000000-0005-0000-0000-000062210000}"/>
    <cellStyle name="Normal 2 2 10 23 5 9" xfId="8547" xr:uid="{00000000-0005-0000-0000-000063210000}"/>
    <cellStyle name="Normal 2 2 10 23 6" xfId="8548" xr:uid="{00000000-0005-0000-0000-000064210000}"/>
    <cellStyle name="Normal 2 2 10 23 7" xfId="8549" xr:uid="{00000000-0005-0000-0000-000065210000}"/>
    <cellStyle name="Normal 2 2 10 23 8" xfId="8550" xr:uid="{00000000-0005-0000-0000-000066210000}"/>
    <cellStyle name="Normal 2 2 10 23 9" xfId="8551" xr:uid="{00000000-0005-0000-0000-000067210000}"/>
    <cellStyle name="Normal 2 2 10 24" xfId="8552" xr:uid="{00000000-0005-0000-0000-000068210000}"/>
    <cellStyle name="Normal 2 2 10 24 10" xfId="8553" xr:uid="{00000000-0005-0000-0000-000069210000}"/>
    <cellStyle name="Normal 2 2 10 24 11" xfId="8554" xr:uid="{00000000-0005-0000-0000-00006A210000}"/>
    <cellStyle name="Normal 2 2 10 24 12" xfId="8555" xr:uid="{00000000-0005-0000-0000-00006B210000}"/>
    <cellStyle name="Normal 2 2 10 24 13" xfId="8556" xr:uid="{00000000-0005-0000-0000-00006C210000}"/>
    <cellStyle name="Normal 2 2 10 24 14" xfId="8557" xr:uid="{00000000-0005-0000-0000-00006D210000}"/>
    <cellStyle name="Normal 2 2 10 24 2" xfId="8558" xr:uid="{00000000-0005-0000-0000-00006E210000}"/>
    <cellStyle name="Normal 2 2 10 24 2 10" xfId="8559" xr:uid="{00000000-0005-0000-0000-00006F210000}"/>
    <cellStyle name="Normal 2 2 10 24 2 2" xfId="8560" xr:uid="{00000000-0005-0000-0000-000070210000}"/>
    <cellStyle name="Normal 2 2 10 24 2 3" xfId="8561" xr:uid="{00000000-0005-0000-0000-000071210000}"/>
    <cellStyle name="Normal 2 2 10 24 2 4" xfId="8562" xr:uid="{00000000-0005-0000-0000-000072210000}"/>
    <cellStyle name="Normal 2 2 10 24 2 5" xfId="8563" xr:uid="{00000000-0005-0000-0000-000073210000}"/>
    <cellStyle name="Normal 2 2 10 24 2 6" xfId="8564" xr:uid="{00000000-0005-0000-0000-000074210000}"/>
    <cellStyle name="Normal 2 2 10 24 2 7" xfId="8565" xr:uid="{00000000-0005-0000-0000-000075210000}"/>
    <cellStyle name="Normal 2 2 10 24 2 8" xfId="8566" xr:uid="{00000000-0005-0000-0000-000076210000}"/>
    <cellStyle name="Normal 2 2 10 24 2 9" xfId="8567" xr:uid="{00000000-0005-0000-0000-000077210000}"/>
    <cellStyle name="Normal 2 2 10 24 3" xfId="8568" xr:uid="{00000000-0005-0000-0000-000078210000}"/>
    <cellStyle name="Normal 2 2 10 24 3 10" xfId="8569" xr:uid="{00000000-0005-0000-0000-000079210000}"/>
    <cellStyle name="Normal 2 2 10 24 3 2" xfId="8570" xr:uid="{00000000-0005-0000-0000-00007A210000}"/>
    <cellStyle name="Normal 2 2 10 24 3 3" xfId="8571" xr:uid="{00000000-0005-0000-0000-00007B210000}"/>
    <cellStyle name="Normal 2 2 10 24 3 4" xfId="8572" xr:uid="{00000000-0005-0000-0000-00007C210000}"/>
    <cellStyle name="Normal 2 2 10 24 3 5" xfId="8573" xr:uid="{00000000-0005-0000-0000-00007D210000}"/>
    <cellStyle name="Normal 2 2 10 24 3 6" xfId="8574" xr:uid="{00000000-0005-0000-0000-00007E210000}"/>
    <cellStyle name="Normal 2 2 10 24 3 7" xfId="8575" xr:uid="{00000000-0005-0000-0000-00007F210000}"/>
    <cellStyle name="Normal 2 2 10 24 3 8" xfId="8576" xr:uid="{00000000-0005-0000-0000-000080210000}"/>
    <cellStyle name="Normal 2 2 10 24 3 9" xfId="8577" xr:uid="{00000000-0005-0000-0000-000081210000}"/>
    <cellStyle name="Normal 2 2 10 24 4" xfId="8578" xr:uid="{00000000-0005-0000-0000-000082210000}"/>
    <cellStyle name="Normal 2 2 10 24 4 10" xfId="8579" xr:uid="{00000000-0005-0000-0000-000083210000}"/>
    <cellStyle name="Normal 2 2 10 24 4 2" xfId="8580" xr:uid="{00000000-0005-0000-0000-000084210000}"/>
    <cellStyle name="Normal 2 2 10 24 4 3" xfId="8581" xr:uid="{00000000-0005-0000-0000-000085210000}"/>
    <cellStyle name="Normal 2 2 10 24 4 4" xfId="8582" xr:uid="{00000000-0005-0000-0000-000086210000}"/>
    <cellStyle name="Normal 2 2 10 24 4 5" xfId="8583" xr:uid="{00000000-0005-0000-0000-000087210000}"/>
    <cellStyle name="Normal 2 2 10 24 4 6" xfId="8584" xr:uid="{00000000-0005-0000-0000-000088210000}"/>
    <cellStyle name="Normal 2 2 10 24 4 7" xfId="8585" xr:uid="{00000000-0005-0000-0000-000089210000}"/>
    <cellStyle name="Normal 2 2 10 24 4 8" xfId="8586" xr:uid="{00000000-0005-0000-0000-00008A210000}"/>
    <cellStyle name="Normal 2 2 10 24 4 9" xfId="8587" xr:uid="{00000000-0005-0000-0000-00008B210000}"/>
    <cellStyle name="Normal 2 2 10 24 5" xfId="8588" xr:uid="{00000000-0005-0000-0000-00008C210000}"/>
    <cellStyle name="Normal 2 2 10 24 5 10" xfId="8589" xr:uid="{00000000-0005-0000-0000-00008D210000}"/>
    <cellStyle name="Normal 2 2 10 24 5 2" xfId="8590" xr:uid="{00000000-0005-0000-0000-00008E210000}"/>
    <cellStyle name="Normal 2 2 10 24 5 3" xfId="8591" xr:uid="{00000000-0005-0000-0000-00008F210000}"/>
    <cellStyle name="Normal 2 2 10 24 5 4" xfId="8592" xr:uid="{00000000-0005-0000-0000-000090210000}"/>
    <cellStyle name="Normal 2 2 10 24 5 5" xfId="8593" xr:uid="{00000000-0005-0000-0000-000091210000}"/>
    <cellStyle name="Normal 2 2 10 24 5 6" xfId="8594" xr:uid="{00000000-0005-0000-0000-000092210000}"/>
    <cellStyle name="Normal 2 2 10 24 5 7" xfId="8595" xr:uid="{00000000-0005-0000-0000-000093210000}"/>
    <cellStyle name="Normal 2 2 10 24 5 8" xfId="8596" xr:uid="{00000000-0005-0000-0000-000094210000}"/>
    <cellStyle name="Normal 2 2 10 24 5 9" xfId="8597" xr:uid="{00000000-0005-0000-0000-000095210000}"/>
    <cellStyle name="Normal 2 2 10 24 6" xfId="8598" xr:uid="{00000000-0005-0000-0000-000096210000}"/>
    <cellStyle name="Normal 2 2 10 24 7" xfId="8599" xr:uid="{00000000-0005-0000-0000-000097210000}"/>
    <cellStyle name="Normal 2 2 10 24 8" xfId="8600" xr:uid="{00000000-0005-0000-0000-000098210000}"/>
    <cellStyle name="Normal 2 2 10 24 9" xfId="8601" xr:uid="{00000000-0005-0000-0000-000099210000}"/>
    <cellStyle name="Normal 2 2 10 25" xfId="8602" xr:uid="{00000000-0005-0000-0000-00009A210000}"/>
    <cellStyle name="Normal 2 2 10 25 10" xfId="8603" xr:uid="{00000000-0005-0000-0000-00009B210000}"/>
    <cellStyle name="Normal 2 2 10 25 11" xfId="8604" xr:uid="{00000000-0005-0000-0000-00009C210000}"/>
    <cellStyle name="Normal 2 2 10 25 12" xfId="8605" xr:uid="{00000000-0005-0000-0000-00009D210000}"/>
    <cellStyle name="Normal 2 2 10 25 13" xfId="8606" xr:uid="{00000000-0005-0000-0000-00009E210000}"/>
    <cellStyle name="Normal 2 2 10 25 14" xfId="8607" xr:uid="{00000000-0005-0000-0000-00009F210000}"/>
    <cellStyle name="Normal 2 2 10 25 2" xfId="8608" xr:uid="{00000000-0005-0000-0000-0000A0210000}"/>
    <cellStyle name="Normal 2 2 10 25 2 10" xfId="8609" xr:uid="{00000000-0005-0000-0000-0000A1210000}"/>
    <cellStyle name="Normal 2 2 10 25 2 2" xfId="8610" xr:uid="{00000000-0005-0000-0000-0000A2210000}"/>
    <cellStyle name="Normal 2 2 10 25 2 3" xfId="8611" xr:uid="{00000000-0005-0000-0000-0000A3210000}"/>
    <cellStyle name="Normal 2 2 10 25 2 4" xfId="8612" xr:uid="{00000000-0005-0000-0000-0000A4210000}"/>
    <cellStyle name="Normal 2 2 10 25 2 5" xfId="8613" xr:uid="{00000000-0005-0000-0000-0000A5210000}"/>
    <cellStyle name="Normal 2 2 10 25 2 6" xfId="8614" xr:uid="{00000000-0005-0000-0000-0000A6210000}"/>
    <cellStyle name="Normal 2 2 10 25 2 7" xfId="8615" xr:uid="{00000000-0005-0000-0000-0000A7210000}"/>
    <cellStyle name="Normal 2 2 10 25 2 8" xfId="8616" xr:uid="{00000000-0005-0000-0000-0000A8210000}"/>
    <cellStyle name="Normal 2 2 10 25 2 9" xfId="8617" xr:uid="{00000000-0005-0000-0000-0000A9210000}"/>
    <cellStyle name="Normal 2 2 10 25 3" xfId="8618" xr:uid="{00000000-0005-0000-0000-0000AA210000}"/>
    <cellStyle name="Normal 2 2 10 25 3 10" xfId="8619" xr:uid="{00000000-0005-0000-0000-0000AB210000}"/>
    <cellStyle name="Normal 2 2 10 25 3 2" xfId="8620" xr:uid="{00000000-0005-0000-0000-0000AC210000}"/>
    <cellStyle name="Normal 2 2 10 25 3 3" xfId="8621" xr:uid="{00000000-0005-0000-0000-0000AD210000}"/>
    <cellStyle name="Normal 2 2 10 25 3 4" xfId="8622" xr:uid="{00000000-0005-0000-0000-0000AE210000}"/>
    <cellStyle name="Normal 2 2 10 25 3 5" xfId="8623" xr:uid="{00000000-0005-0000-0000-0000AF210000}"/>
    <cellStyle name="Normal 2 2 10 25 3 6" xfId="8624" xr:uid="{00000000-0005-0000-0000-0000B0210000}"/>
    <cellStyle name="Normal 2 2 10 25 3 7" xfId="8625" xr:uid="{00000000-0005-0000-0000-0000B1210000}"/>
    <cellStyle name="Normal 2 2 10 25 3 8" xfId="8626" xr:uid="{00000000-0005-0000-0000-0000B2210000}"/>
    <cellStyle name="Normal 2 2 10 25 3 9" xfId="8627" xr:uid="{00000000-0005-0000-0000-0000B3210000}"/>
    <cellStyle name="Normal 2 2 10 25 4" xfId="8628" xr:uid="{00000000-0005-0000-0000-0000B4210000}"/>
    <cellStyle name="Normal 2 2 10 25 4 10" xfId="8629" xr:uid="{00000000-0005-0000-0000-0000B5210000}"/>
    <cellStyle name="Normal 2 2 10 25 4 2" xfId="8630" xr:uid="{00000000-0005-0000-0000-0000B6210000}"/>
    <cellStyle name="Normal 2 2 10 25 4 3" xfId="8631" xr:uid="{00000000-0005-0000-0000-0000B7210000}"/>
    <cellStyle name="Normal 2 2 10 25 4 4" xfId="8632" xr:uid="{00000000-0005-0000-0000-0000B8210000}"/>
    <cellStyle name="Normal 2 2 10 25 4 5" xfId="8633" xr:uid="{00000000-0005-0000-0000-0000B9210000}"/>
    <cellStyle name="Normal 2 2 10 25 4 6" xfId="8634" xr:uid="{00000000-0005-0000-0000-0000BA210000}"/>
    <cellStyle name="Normal 2 2 10 25 4 7" xfId="8635" xr:uid="{00000000-0005-0000-0000-0000BB210000}"/>
    <cellStyle name="Normal 2 2 10 25 4 8" xfId="8636" xr:uid="{00000000-0005-0000-0000-0000BC210000}"/>
    <cellStyle name="Normal 2 2 10 25 4 9" xfId="8637" xr:uid="{00000000-0005-0000-0000-0000BD210000}"/>
    <cellStyle name="Normal 2 2 10 25 5" xfId="8638" xr:uid="{00000000-0005-0000-0000-0000BE210000}"/>
    <cellStyle name="Normal 2 2 10 25 5 10" xfId="8639" xr:uid="{00000000-0005-0000-0000-0000BF210000}"/>
    <cellStyle name="Normal 2 2 10 25 5 2" xfId="8640" xr:uid="{00000000-0005-0000-0000-0000C0210000}"/>
    <cellStyle name="Normal 2 2 10 25 5 3" xfId="8641" xr:uid="{00000000-0005-0000-0000-0000C1210000}"/>
    <cellStyle name="Normal 2 2 10 25 5 4" xfId="8642" xr:uid="{00000000-0005-0000-0000-0000C2210000}"/>
    <cellStyle name="Normal 2 2 10 25 5 5" xfId="8643" xr:uid="{00000000-0005-0000-0000-0000C3210000}"/>
    <cellStyle name="Normal 2 2 10 25 5 6" xfId="8644" xr:uid="{00000000-0005-0000-0000-0000C4210000}"/>
    <cellStyle name="Normal 2 2 10 25 5 7" xfId="8645" xr:uid="{00000000-0005-0000-0000-0000C5210000}"/>
    <cellStyle name="Normal 2 2 10 25 5 8" xfId="8646" xr:uid="{00000000-0005-0000-0000-0000C6210000}"/>
    <cellStyle name="Normal 2 2 10 25 5 9" xfId="8647" xr:uid="{00000000-0005-0000-0000-0000C7210000}"/>
    <cellStyle name="Normal 2 2 10 25 6" xfId="8648" xr:uid="{00000000-0005-0000-0000-0000C8210000}"/>
    <cellStyle name="Normal 2 2 10 25 7" xfId="8649" xr:uid="{00000000-0005-0000-0000-0000C9210000}"/>
    <cellStyle name="Normal 2 2 10 25 8" xfId="8650" xr:uid="{00000000-0005-0000-0000-0000CA210000}"/>
    <cellStyle name="Normal 2 2 10 25 9" xfId="8651" xr:uid="{00000000-0005-0000-0000-0000CB210000}"/>
    <cellStyle name="Normal 2 2 10 26" xfId="8652" xr:uid="{00000000-0005-0000-0000-0000CC210000}"/>
    <cellStyle name="Normal 2 2 10 26 10" xfId="8653" xr:uid="{00000000-0005-0000-0000-0000CD210000}"/>
    <cellStyle name="Normal 2 2 10 26 11" xfId="8654" xr:uid="{00000000-0005-0000-0000-0000CE210000}"/>
    <cellStyle name="Normal 2 2 10 26 12" xfId="8655" xr:uid="{00000000-0005-0000-0000-0000CF210000}"/>
    <cellStyle name="Normal 2 2 10 26 13" xfId="8656" xr:uid="{00000000-0005-0000-0000-0000D0210000}"/>
    <cellStyle name="Normal 2 2 10 26 14" xfId="8657" xr:uid="{00000000-0005-0000-0000-0000D1210000}"/>
    <cellStyle name="Normal 2 2 10 26 2" xfId="8658" xr:uid="{00000000-0005-0000-0000-0000D2210000}"/>
    <cellStyle name="Normal 2 2 10 26 2 10" xfId="8659" xr:uid="{00000000-0005-0000-0000-0000D3210000}"/>
    <cellStyle name="Normal 2 2 10 26 2 2" xfId="8660" xr:uid="{00000000-0005-0000-0000-0000D4210000}"/>
    <cellStyle name="Normal 2 2 10 26 2 3" xfId="8661" xr:uid="{00000000-0005-0000-0000-0000D5210000}"/>
    <cellStyle name="Normal 2 2 10 26 2 4" xfId="8662" xr:uid="{00000000-0005-0000-0000-0000D6210000}"/>
    <cellStyle name="Normal 2 2 10 26 2 5" xfId="8663" xr:uid="{00000000-0005-0000-0000-0000D7210000}"/>
    <cellStyle name="Normal 2 2 10 26 2 6" xfId="8664" xr:uid="{00000000-0005-0000-0000-0000D8210000}"/>
    <cellStyle name="Normal 2 2 10 26 2 7" xfId="8665" xr:uid="{00000000-0005-0000-0000-0000D9210000}"/>
    <cellStyle name="Normal 2 2 10 26 2 8" xfId="8666" xr:uid="{00000000-0005-0000-0000-0000DA210000}"/>
    <cellStyle name="Normal 2 2 10 26 2 9" xfId="8667" xr:uid="{00000000-0005-0000-0000-0000DB210000}"/>
    <cellStyle name="Normal 2 2 10 26 3" xfId="8668" xr:uid="{00000000-0005-0000-0000-0000DC210000}"/>
    <cellStyle name="Normal 2 2 10 26 3 10" xfId="8669" xr:uid="{00000000-0005-0000-0000-0000DD210000}"/>
    <cellStyle name="Normal 2 2 10 26 3 2" xfId="8670" xr:uid="{00000000-0005-0000-0000-0000DE210000}"/>
    <cellStyle name="Normal 2 2 10 26 3 3" xfId="8671" xr:uid="{00000000-0005-0000-0000-0000DF210000}"/>
    <cellStyle name="Normal 2 2 10 26 3 4" xfId="8672" xr:uid="{00000000-0005-0000-0000-0000E0210000}"/>
    <cellStyle name="Normal 2 2 10 26 3 5" xfId="8673" xr:uid="{00000000-0005-0000-0000-0000E1210000}"/>
    <cellStyle name="Normal 2 2 10 26 3 6" xfId="8674" xr:uid="{00000000-0005-0000-0000-0000E2210000}"/>
    <cellStyle name="Normal 2 2 10 26 3 7" xfId="8675" xr:uid="{00000000-0005-0000-0000-0000E3210000}"/>
    <cellStyle name="Normal 2 2 10 26 3 8" xfId="8676" xr:uid="{00000000-0005-0000-0000-0000E4210000}"/>
    <cellStyle name="Normal 2 2 10 26 3 9" xfId="8677" xr:uid="{00000000-0005-0000-0000-0000E5210000}"/>
    <cellStyle name="Normal 2 2 10 26 4" xfId="8678" xr:uid="{00000000-0005-0000-0000-0000E6210000}"/>
    <cellStyle name="Normal 2 2 10 26 4 10" xfId="8679" xr:uid="{00000000-0005-0000-0000-0000E7210000}"/>
    <cellStyle name="Normal 2 2 10 26 4 2" xfId="8680" xr:uid="{00000000-0005-0000-0000-0000E8210000}"/>
    <cellStyle name="Normal 2 2 10 26 4 3" xfId="8681" xr:uid="{00000000-0005-0000-0000-0000E9210000}"/>
    <cellStyle name="Normal 2 2 10 26 4 4" xfId="8682" xr:uid="{00000000-0005-0000-0000-0000EA210000}"/>
    <cellStyle name="Normal 2 2 10 26 4 5" xfId="8683" xr:uid="{00000000-0005-0000-0000-0000EB210000}"/>
    <cellStyle name="Normal 2 2 10 26 4 6" xfId="8684" xr:uid="{00000000-0005-0000-0000-0000EC210000}"/>
    <cellStyle name="Normal 2 2 10 26 4 7" xfId="8685" xr:uid="{00000000-0005-0000-0000-0000ED210000}"/>
    <cellStyle name="Normal 2 2 10 26 4 8" xfId="8686" xr:uid="{00000000-0005-0000-0000-0000EE210000}"/>
    <cellStyle name="Normal 2 2 10 26 4 9" xfId="8687" xr:uid="{00000000-0005-0000-0000-0000EF210000}"/>
    <cellStyle name="Normal 2 2 10 26 5" xfId="8688" xr:uid="{00000000-0005-0000-0000-0000F0210000}"/>
    <cellStyle name="Normal 2 2 10 26 5 10" xfId="8689" xr:uid="{00000000-0005-0000-0000-0000F1210000}"/>
    <cellStyle name="Normal 2 2 10 26 5 2" xfId="8690" xr:uid="{00000000-0005-0000-0000-0000F2210000}"/>
    <cellStyle name="Normal 2 2 10 26 5 3" xfId="8691" xr:uid="{00000000-0005-0000-0000-0000F3210000}"/>
    <cellStyle name="Normal 2 2 10 26 5 4" xfId="8692" xr:uid="{00000000-0005-0000-0000-0000F4210000}"/>
    <cellStyle name="Normal 2 2 10 26 5 5" xfId="8693" xr:uid="{00000000-0005-0000-0000-0000F5210000}"/>
    <cellStyle name="Normal 2 2 10 26 5 6" xfId="8694" xr:uid="{00000000-0005-0000-0000-0000F6210000}"/>
    <cellStyle name="Normal 2 2 10 26 5 7" xfId="8695" xr:uid="{00000000-0005-0000-0000-0000F7210000}"/>
    <cellStyle name="Normal 2 2 10 26 5 8" xfId="8696" xr:uid="{00000000-0005-0000-0000-0000F8210000}"/>
    <cellStyle name="Normal 2 2 10 26 5 9" xfId="8697" xr:uid="{00000000-0005-0000-0000-0000F9210000}"/>
    <cellStyle name="Normal 2 2 10 26 6" xfId="8698" xr:uid="{00000000-0005-0000-0000-0000FA210000}"/>
    <cellStyle name="Normal 2 2 10 26 7" xfId="8699" xr:uid="{00000000-0005-0000-0000-0000FB210000}"/>
    <cellStyle name="Normal 2 2 10 26 8" xfId="8700" xr:uid="{00000000-0005-0000-0000-0000FC210000}"/>
    <cellStyle name="Normal 2 2 10 26 9" xfId="8701" xr:uid="{00000000-0005-0000-0000-0000FD210000}"/>
    <cellStyle name="Normal 2 2 10 27" xfId="8702" xr:uid="{00000000-0005-0000-0000-0000FE210000}"/>
    <cellStyle name="Normal 2 2 10 27 10" xfId="8703" xr:uid="{00000000-0005-0000-0000-0000FF210000}"/>
    <cellStyle name="Normal 2 2 10 27 11" xfId="8704" xr:uid="{00000000-0005-0000-0000-000000220000}"/>
    <cellStyle name="Normal 2 2 10 27 12" xfId="8705" xr:uid="{00000000-0005-0000-0000-000001220000}"/>
    <cellStyle name="Normal 2 2 10 27 13" xfId="8706" xr:uid="{00000000-0005-0000-0000-000002220000}"/>
    <cellStyle name="Normal 2 2 10 27 14" xfId="8707" xr:uid="{00000000-0005-0000-0000-000003220000}"/>
    <cellStyle name="Normal 2 2 10 27 2" xfId="8708" xr:uid="{00000000-0005-0000-0000-000004220000}"/>
    <cellStyle name="Normal 2 2 10 27 2 10" xfId="8709" xr:uid="{00000000-0005-0000-0000-000005220000}"/>
    <cellStyle name="Normal 2 2 10 27 2 2" xfId="8710" xr:uid="{00000000-0005-0000-0000-000006220000}"/>
    <cellStyle name="Normal 2 2 10 27 2 3" xfId="8711" xr:uid="{00000000-0005-0000-0000-000007220000}"/>
    <cellStyle name="Normal 2 2 10 27 2 4" xfId="8712" xr:uid="{00000000-0005-0000-0000-000008220000}"/>
    <cellStyle name="Normal 2 2 10 27 2 5" xfId="8713" xr:uid="{00000000-0005-0000-0000-000009220000}"/>
    <cellStyle name="Normal 2 2 10 27 2 6" xfId="8714" xr:uid="{00000000-0005-0000-0000-00000A220000}"/>
    <cellStyle name="Normal 2 2 10 27 2 7" xfId="8715" xr:uid="{00000000-0005-0000-0000-00000B220000}"/>
    <cellStyle name="Normal 2 2 10 27 2 8" xfId="8716" xr:uid="{00000000-0005-0000-0000-00000C220000}"/>
    <cellStyle name="Normal 2 2 10 27 2 9" xfId="8717" xr:uid="{00000000-0005-0000-0000-00000D220000}"/>
    <cellStyle name="Normal 2 2 10 27 3" xfId="8718" xr:uid="{00000000-0005-0000-0000-00000E220000}"/>
    <cellStyle name="Normal 2 2 10 27 3 10" xfId="8719" xr:uid="{00000000-0005-0000-0000-00000F220000}"/>
    <cellStyle name="Normal 2 2 10 27 3 2" xfId="8720" xr:uid="{00000000-0005-0000-0000-000010220000}"/>
    <cellStyle name="Normal 2 2 10 27 3 3" xfId="8721" xr:uid="{00000000-0005-0000-0000-000011220000}"/>
    <cellStyle name="Normal 2 2 10 27 3 4" xfId="8722" xr:uid="{00000000-0005-0000-0000-000012220000}"/>
    <cellStyle name="Normal 2 2 10 27 3 5" xfId="8723" xr:uid="{00000000-0005-0000-0000-000013220000}"/>
    <cellStyle name="Normal 2 2 10 27 3 6" xfId="8724" xr:uid="{00000000-0005-0000-0000-000014220000}"/>
    <cellStyle name="Normal 2 2 10 27 3 7" xfId="8725" xr:uid="{00000000-0005-0000-0000-000015220000}"/>
    <cellStyle name="Normal 2 2 10 27 3 8" xfId="8726" xr:uid="{00000000-0005-0000-0000-000016220000}"/>
    <cellStyle name="Normal 2 2 10 27 3 9" xfId="8727" xr:uid="{00000000-0005-0000-0000-000017220000}"/>
    <cellStyle name="Normal 2 2 10 27 4" xfId="8728" xr:uid="{00000000-0005-0000-0000-000018220000}"/>
    <cellStyle name="Normal 2 2 10 27 4 10" xfId="8729" xr:uid="{00000000-0005-0000-0000-000019220000}"/>
    <cellStyle name="Normal 2 2 10 27 4 2" xfId="8730" xr:uid="{00000000-0005-0000-0000-00001A220000}"/>
    <cellStyle name="Normal 2 2 10 27 4 3" xfId="8731" xr:uid="{00000000-0005-0000-0000-00001B220000}"/>
    <cellStyle name="Normal 2 2 10 27 4 4" xfId="8732" xr:uid="{00000000-0005-0000-0000-00001C220000}"/>
    <cellStyle name="Normal 2 2 10 27 4 5" xfId="8733" xr:uid="{00000000-0005-0000-0000-00001D220000}"/>
    <cellStyle name="Normal 2 2 10 27 4 6" xfId="8734" xr:uid="{00000000-0005-0000-0000-00001E220000}"/>
    <cellStyle name="Normal 2 2 10 27 4 7" xfId="8735" xr:uid="{00000000-0005-0000-0000-00001F220000}"/>
    <cellStyle name="Normal 2 2 10 27 4 8" xfId="8736" xr:uid="{00000000-0005-0000-0000-000020220000}"/>
    <cellStyle name="Normal 2 2 10 27 4 9" xfId="8737" xr:uid="{00000000-0005-0000-0000-000021220000}"/>
    <cellStyle name="Normal 2 2 10 27 5" xfId="8738" xr:uid="{00000000-0005-0000-0000-000022220000}"/>
    <cellStyle name="Normal 2 2 10 27 5 10" xfId="8739" xr:uid="{00000000-0005-0000-0000-000023220000}"/>
    <cellStyle name="Normal 2 2 10 27 5 2" xfId="8740" xr:uid="{00000000-0005-0000-0000-000024220000}"/>
    <cellStyle name="Normal 2 2 10 27 5 3" xfId="8741" xr:uid="{00000000-0005-0000-0000-000025220000}"/>
    <cellStyle name="Normal 2 2 10 27 5 4" xfId="8742" xr:uid="{00000000-0005-0000-0000-000026220000}"/>
    <cellStyle name="Normal 2 2 10 27 5 5" xfId="8743" xr:uid="{00000000-0005-0000-0000-000027220000}"/>
    <cellStyle name="Normal 2 2 10 27 5 6" xfId="8744" xr:uid="{00000000-0005-0000-0000-000028220000}"/>
    <cellStyle name="Normal 2 2 10 27 5 7" xfId="8745" xr:uid="{00000000-0005-0000-0000-000029220000}"/>
    <cellStyle name="Normal 2 2 10 27 5 8" xfId="8746" xr:uid="{00000000-0005-0000-0000-00002A220000}"/>
    <cellStyle name="Normal 2 2 10 27 5 9" xfId="8747" xr:uid="{00000000-0005-0000-0000-00002B220000}"/>
    <cellStyle name="Normal 2 2 10 27 6" xfId="8748" xr:uid="{00000000-0005-0000-0000-00002C220000}"/>
    <cellStyle name="Normal 2 2 10 27 7" xfId="8749" xr:uid="{00000000-0005-0000-0000-00002D220000}"/>
    <cellStyle name="Normal 2 2 10 27 8" xfId="8750" xr:uid="{00000000-0005-0000-0000-00002E220000}"/>
    <cellStyle name="Normal 2 2 10 27 9" xfId="8751" xr:uid="{00000000-0005-0000-0000-00002F220000}"/>
    <cellStyle name="Normal 2 2 10 28" xfId="8752" xr:uid="{00000000-0005-0000-0000-000030220000}"/>
    <cellStyle name="Normal 2 2 10 28 10" xfId="8753" xr:uid="{00000000-0005-0000-0000-000031220000}"/>
    <cellStyle name="Normal 2 2 10 28 11" xfId="8754" xr:uid="{00000000-0005-0000-0000-000032220000}"/>
    <cellStyle name="Normal 2 2 10 28 12" xfId="8755" xr:uid="{00000000-0005-0000-0000-000033220000}"/>
    <cellStyle name="Normal 2 2 10 28 13" xfId="8756" xr:uid="{00000000-0005-0000-0000-000034220000}"/>
    <cellStyle name="Normal 2 2 10 28 14" xfId="8757" xr:uid="{00000000-0005-0000-0000-000035220000}"/>
    <cellStyle name="Normal 2 2 10 28 2" xfId="8758" xr:uid="{00000000-0005-0000-0000-000036220000}"/>
    <cellStyle name="Normal 2 2 10 28 2 10" xfId="8759" xr:uid="{00000000-0005-0000-0000-000037220000}"/>
    <cellStyle name="Normal 2 2 10 28 2 2" xfId="8760" xr:uid="{00000000-0005-0000-0000-000038220000}"/>
    <cellStyle name="Normal 2 2 10 28 2 3" xfId="8761" xr:uid="{00000000-0005-0000-0000-000039220000}"/>
    <cellStyle name="Normal 2 2 10 28 2 4" xfId="8762" xr:uid="{00000000-0005-0000-0000-00003A220000}"/>
    <cellStyle name="Normal 2 2 10 28 2 5" xfId="8763" xr:uid="{00000000-0005-0000-0000-00003B220000}"/>
    <cellStyle name="Normal 2 2 10 28 2 6" xfId="8764" xr:uid="{00000000-0005-0000-0000-00003C220000}"/>
    <cellStyle name="Normal 2 2 10 28 2 7" xfId="8765" xr:uid="{00000000-0005-0000-0000-00003D220000}"/>
    <cellStyle name="Normal 2 2 10 28 2 8" xfId="8766" xr:uid="{00000000-0005-0000-0000-00003E220000}"/>
    <cellStyle name="Normal 2 2 10 28 2 9" xfId="8767" xr:uid="{00000000-0005-0000-0000-00003F220000}"/>
    <cellStyle name="Normal 2 2 10 28 3" xfId="8768" xr:uid="{00000000-0005-0000-0000-000040220000}"/>
    <cellStyle name="Normal 2 2 10 28 3 10" xfId="8769" xr:uid="{00000000-0005-0000-0000-000041220000}"/>
    <cellStyle name="Normal 2 2 10 28 3 2" xfId="8770" xr:uid="{00000000-0005-0000-0000-000042220000}"/>
    <cellStyle name="Normal 2 2 10 28 3 3" xfId="8771" xr:uid="{00000000-0005-0000-0000-000043220000}"/>
    <cellStyle name="Normal 2 2 10 28 3 4" xfId="8772" xr:uid="{00000000-0005-0000-0000-000044220000}"/>
    <cellStyle name="Normal 2 2 10 28 3 5" xfId="8773" xr:uid="{00000000-0005-0000-0000-000045220000}"/>
    <cellStyle name="Normal 2 2 10 28 3 6" xfId="8774" xr:uid="{00000000-0005-0000-0000-000046220000}"/>
    <cellStyle name="Normal 2 2 10 28 3 7" xfId="8775" xr:uid="{00000000-0005-0000-0000-000047220000}"/>
    <cellStyle name="Normal 2 2 10 28 3 8" xfId="8776" xr:uid="{00000000-0005-0000-0000-000048220000}"/>
    <cellStyle name="Normal 2 2 10 28 3 9" xfId="8777" xr:uid="{00000000-0005-0000-0000-000049220000}"/>
    <cellStyle name="Normal 2 2 10 28 4" xfId="8778" xr:uid="{00000000-0005-0000-0000-00004A220000}"/>
    <cellStyle name="Normal 2 2 10 28 4 10" xfId="8779" xr:uid="{00000000-0005-0000-0000-00004B220000}"/>
    <cellStyle name="Normal 2 2 10 28 4 2" xfId="8780" xr:uid="{00000000-0005-0000-0000-00004C220000}"/>
    <cellStyle name="Normal 2 2 10 28 4 3" xfId="8781" xr:uid="{00000000-0005-0000-0000-00004D220000}"/>
    <cellStyle name="Normal 2 2 10 28 4 4" xfId="8782" xr:uid="{00000000-0005-0000-0000-00004E220000}"/>
    <cellStyle name="Normal 2 2 10 28 4 5" xfId="8783" xr:uid="{00000000-0005-0000-0000-00004F220000}"/>
    <cellStyle name="Normal 2 2 10 28 4 6" xfId="8784" xr:uid="{00000000-0005-0000-0000-000050220000}"/>
    <cellStyle name="Normal 2 2 10 28 4 7" xfId="8785" xr:uid="{00000000-0005-0000-0000-000051220000}"/>
    <cellStyle name="Normal 2 2 10 28 4 8" xfId="8786" xr:uid="{00000000-0005-0000-0000-000052220000}"/>
    <cellStyle name="Normal 2 2 10 28 4 9" xfId="8787" xr:uid="{00000000-0005-0000-0000-000053220000}"/>
    <cellStyle name="Normal 2 2 10 28 5" xfId="8788" xr:uid="{00000000-0005-0000-0000-000054220000}"/>
    <cellStyle name="Normal 2 2 10 28 5 10" xfId="8789" xr:uid="{00000000-0005-0000-0000-000055220000}"/>
    <cellStyle name="Normal 2 2 10 28 5 2" xfId="8790" xr:uid="{00000000-0005-0000-0000-000056220000}"/>
    <cellStyle name="Normal 2 2 10 28 5 3" xfId="8791" xr:uid="{00000000-0005-0000-0000-000057220000}"/>
    <cellStyle name="Normal 2 2 10 28 5 4" xfId="8792" xr:uid="{00000000-0005-0000-0000-000058220000}"/>
    <cellStyle name="Normal 2 2 10 28 5 5" xfId="8793" xr:uid="{00000000-0005-0000-0000-000059220000}"/>
    <cellStyle name="Normal 2 2 10 28 5 6" xfId="8794" xr:uid="{00000000-0005-0000-0000-00005A220000}"/>
    <cellStyle name="Normal 2 2 10 28 5 7" xfId="8795" xr:uid="{00000000-0005-0000-0000-00005B220000}"/>
    <cellStyle name="Normal 2 2 10 28 5 8" xfId="8796" xr:uid="{00000000-0005-0000-0000-00005C220000}"/>
    <cellStyle name="Normal 2 2 10 28 5 9" xfId="8797" xr:uid="{00000000-0005-0000-0000-00005D220000}"/>
    <cellStyle name="Normal 2 2 10 28 6" xfId="8798" xr:uid="{00000000-0005-0000-0000-00005E220000}"/>
    <cellStyle name="Normal 2 2 10 28 7" xfId="8799" xr:uid="{00000000-0005-0000-0000-00005F220000}"/>
    <cellStyle name="Normal 2 2 10 28 8" xfId="8800" xr:uid="{00000000-0005-0000-0000-000060220000}"/>
    <cellStyle name="Normal 2 2 10 28 9" xfId="8801" xr:uid="{00000000-0005-0000-0000-000061220000}"/>
    <cellStyle name="Normal 2 2 10 29" xfId="8802" xr:uid="{00000000-0005-0000-0000-000062220000}"/>
    <cellStyle name="Normal 2 2 10 29 10" xfId="8803" xr:uid="{00000000-0005-0000-0000-000063220000}"/>
    <cellStyle name="Normal 2 2 10 29 11" xfId="8804" xr:uid="{00000000-0005-0000-0000-000064220000}"/>
    <cellStyle name="Normal 2 2 10 29 12" xfId="8805" xr:uid="{00000000-0005-0000-0000-000065220000}"/>
    <cellStyle name="Normal 2 2 10 29 13" xfId="8806" xr:uid="{00000000-0005-0000-0000-000066220000}"/>
    <cellStyle name="Normal 2 2 10 29 14" xfId="8807" xr:uid="{00000000-0005-0000-0000-000067220000}"/>
    <cellStyle name="Normal 2 2 10 29 2" xfId="8808" xr:uid="{00000000-0005-0000-0000-000068220000}"/>
    <cellStyle name="Normal 2 2 10 29 2 10" xfId="8809" xr:uid="{00000000-0005-0000-0000-000069220000}"/>
    <cellStyle name="Normal 2 2 10 29 2 2" xfId="8810" xr:uid="{00000000-0005-0000-0000-00006A220000}"/>
    <cellStyle name="Normal 2 2 10 29 2 3" xfId="8811" xr:uid="{00000000-0005-0000-0000-00006B220000}"/>
    <cellStyle name="Normal 2 2 10 29 2 4" xfId="8812" xr:uid="{00000000-0005-0000-0000-00006C220000}"/>
    <cellStyle name="Normal 2 2 10 29 2 5" xfId="8813" xr:uid="{00000000-0005-0000-0000-00006D220000}"/>
    <cellStyle name="Normal 2 2 10 29 2 6" xfId="8814" xr:uid="{00000000-0005-0000-0000-00006E220000}"/>
    <cellStyle name="Normal 2 2 10 29 2 7" xfId="8815" xr:uid="{00000000-0005-0000-0000-00006F220000}"/>
    <cellStyle name="Normal 2 2 10 29 2 8" xfId="8816" xr:uid="{00000000-0005-0000-0000-000070220000}"/>
    <cellStyle name="Normal 2 2 10 29 2 9" xfId="8817" xr:uid="{00000000-0005-0000-0000-000071220000}"/>
    <cellStyle name="Normal 2 2 10 29 3" xfId="8818" xr:uid="{00000000-0005-0000-0000-000072220000}"/>
    <cellStyle name="Normal 2 2 10 29 3 10" xfId="8819" xr:uid="{00000000-0005-0000-0000-000073220000}"/>
    <cellStyle name="Normal 2 2 10 29 3 2" xfId="8820" xr:uid="{00000000-0005-0000-0000-000074220000}"/>
    <cellStyle name="Normal 2 2 10 29 3 3" xfId="8821" xr:uid="{00000000-0005-0000-0000-000075220000}"/>
    <cellStyle name="Normal 2 2 10 29 3 4" xfId="8822" xr:uid="{00000000-0005-0000-0000-000076220000}"/>
    <cellStyle name="Normal 2 2 10 29 3 5" xfId="8823" xr:uid="{00000000-0005-0000-0000-000077220000}"/>
    <cellStyle name="Normal 2 2 10 29 3 6" xfId="8824" xr:uid="{00000000-0005-0000-0000-000078220000}"/>
    <cellStyle name="Normal 2 2 10 29 3 7" xfId="8825" xr:uid="{00000000-0005-0000-0000-000079220000}"/>
    <cellStyle name="Normal 2 2 10 29 3 8" xfId="8826" xr:uid="{00000000-0005-0000-0000-00007A220000}"/>
    <cellStyle name="Normal 2 2 10 29 3 9" xfId="8827" xr:uid="{00000000-0005-0000-0000-00007B220000}"/>
    <cellStyle name="Normal 2 2 10 29 4" xfId="8828" xr:uid="{00000000-0005-0000-0000-00007C220000}"/>
    <cellStyle name="Normal 2 2 10 29 4 10" xfId="8829" xr:uid="{00000000-0005-0000-0000-00007D220000}"/>
    <cellStyle name="Normal 2 2 10 29 4 2" xfId="8830" xr:uid="{00000000-0005-0000-0000-00007E220000}"/>
    <cellStyle name="Normal 2 2 10 29 4 3" xfId="8831" xr:uid="{00000000-0005-0000-0000-00007F220000}"/>
    <cellStyle name="Normal 2 2 10 29 4 4" xfId="8832" xr:uid="{00000000-0005-0000-0000-000080220000}"/>
    <cellStyle name="Normal 2 2 10 29 4 5" xfId="8833" xr:uid="{00000000-0005-0000-0000-000081220000}"/>
    <cellStyle name="Normal 2 2 10 29 4 6" xfId="8834" xr:uid="{00000000-0005-0000-0000-000082220000}"/>
    <cellStyle name="Normal 2 2 10 29 4 7" xfId="8835" xr:uid="{00000000-0005-0000-0000-000083220000}"/>
    <cellStyle name="Normal 2 2 10 29 4 8" xfId="8836" xr:uid="{00000000-0005-0000-0000-000084220000}"/>
    <cellStyle name="Normal 2 2 10 29 4 9" xfId="8837" xr:uid="{00000000-0005-0000-0000-000085220000}"/>
    <cellStyle name="Normal 2 2 10 29 5" xfId="8838" xr:uid="{00000000-0005-0000-0000-000086220000}"/>
    <cellStyle name="Normal 2 2 10 29 5 10" xfId="8839" xr:uid="{00000000-0005-0000-0000-000087220000}"/>
    <cellStyle name="Normal 2 2 10 29 5 2" xfId="8840" xr:uid="{00000000-0005-0000-0000-000088220000}"/>
    <cellStyle name="Normal 2 2 10 29 5 3" xfId="8841" xr:uid="{00000000-0005-0000-0000-000089220000}"/>
    <cellStyle name="Normal 2 2 10 29 5 4" xfId="8842" xr:uid="{00000000-0005-0000-0000-00008A220000}"/>
    <cellStyle name="Normal 2 2 10 29 5 5" xfId="8843" xr:uid="{00000000-0005-0000-0000-00008B220000}"/>
    <cellStyle name="Normal 2 2 10 29 5 6" xfId="8844" xr:uid="{00000000-0005-0000-0000-00008C220000}"/>
    <cellStyle name="Normal 2 2 10 29 5 7" xfId="8845" xr:uid="{00000000-0005-0000-0000-00008D220000}"/>
    <cellStyle name="Normal 2 2 10 29 5 8" xfId="8846" xr:uid="{00000000-0005-0000-0000-00008E220000}"/>
    <cellStyle name="Normal 2 2 10 29 5 9" xfId="8847" xr:uid="{00000000-0005-0000-0000-00008F220000}"/>
    <cellStyle name="Normal 2 2 10 29 6" xfId="8848" xr:uid="{00000000-0005-0000-0000-000090220000}"/>
    <cellStyle name="Normal 2 2 10 29 7" xfId="8849" xr:uid="{00000000-0005-0000-0000-000091220000}"/>
    <cellStyle name="Normal 2 2 10 29 8" xfId="8850" xr:uid="{00000000-0005-0000-0000-000092220000}"/>
    <cellStyle name="Normal 2 2 10 29 9" xfId="8851" xr:uid="{00000000-0005-0000-0000-000093220000}"/>
    <cellStyle name="Normal 2 2 10 3" xfId="8852" xr:uid="{00000000-0005-0000-0000-000094220000}"/>
    <cellStyle name="Normal 2 2 10 3 10" xfId="8853" xr:uid="{00000000-0005-0000-0000-000095220000}"/>
    <cellStyle name="Normal 2 2 10 3 11" xfId="8854" xr:uid="{00000000-0005-0000-0000-000096220000}"/>
    <cellStyle name="Normal 2 2 10 3 12" xfId="8855" xr:uid="{00000000-0005-0000-0000-000097220000}"/>
    <cellStyle name="Normal 2 2 10 3 13" xfId="8856" xr:uid="{00000000-0005-0000-0000-000098220000}"/>
    <cellStyle name="Normal 2 2 10 3 14" xfId="8857" xr:uid="{00000000-0005-0000-0000-000099220000}"/>
    <cellStyle name="Normal 2 2 10 3 2" xfId="8858" xr:uid="{00000000-0005-0000-0000-00009A220000}"/>
    <cellStyle name="Normal 2 2 10 3 2 10" xfId="8859" xr:uid="{00000000-0005-0000-0000-00009B220000}"/>
    <cellStyle name="Normal 2 2 10 3 2 2" xfId="8860" xr:uid="{00000000-0005-0000-0000-00009C220000}"/>
    <cellStyle name="Normal 2 2 10 3 2 3" xfId="8861" xr:uid="{00000000-0005-0000-0000-00009D220000}"/>
    <cellStyle name="Normal 2 2 10 3 2 4" xfId="8862" xr:uid="{00000000-0005-0000-0000-00009E220000}"/>
    <cellStyle name="Normal 2 2 10 3 2 5" xfId="8863" xr:uid="{00000000-0005-0000-0000-00009F220000}"/>
    <cellStyle name="Normal 2 2 10 3 2 6" xfId="8864" xr:uid="{00000000-0005-0000-0000-0000A0220000}"/>
    <cellStyle name="Normal 2 2 10 3 2 7" xfId="8865" xr:uid="{00000000-0005-0000-0000-0000A1220000}"/>
    <cellStyle name="Normal 2 2 10 3 2 8" xfId="8866" xr:uid="{00000000-0005-0000-0000-0000A2220000}"/>
    <cellStyle name="Normal 2 2 10 3 2 9" xfId="8867" xr:uid="{00000000-0005-0000-0000-0000A3220000}"/>
    <cellStyle name="Normal 2 2 10 3 3" xfId="8868" xr:uid="{00000000-0005-0000-0000-0000A4220000}"/>
    <cellStyle name="Normal 2 2 10 3 3 10" xfId="8869" xr:uid="{00000000-0005-0000-0000-0000A5220000}"/>
    <cellStyle name="Normal 2 2 10 3 3 2" xfId="8870" xr:uid="{00000000-0005-0000-0000-0000A6220000}"/>
    <cellStyle name="Normal 2 2 10 3 3 3" xfId="8871" xr:uid="{00000000-0005-0000-0000-0000A7220000}"/>
    <cellStyle name="Normal 2 2 10 3 3 4" xfId="8872" xr:uid="{00000000-0005-0000-0000-0000A8220000}"/>
    <cellStyle name="Normal 2 2 10 3 3 5" xfId="8873" xr:uid="{00000000-0005-0000-0000-0000A9220000}"/>
    <cellStyle name="Normal 2 2 10 3 3 6" xfId="8874" xr:uid="{00000000-0005-0000-0000-0000AA220000}"/>
    <cellStyle name="Normal 2 2 10 3 3 7" xfId="8875" xr:uid="{00000000-0005-0000-0000-0000AB220000}"/>
    <cellStyle name="Normal 2 2 10 3 3 8" xfId="8876" xr:uid="{00000000-0005-0000-0000-0000AC220000}"/>
    <cellStyle name="Normal 2 2 10 3 3 9" xfId="8877" xr:uid="{00000000-0005-0000-0000-0000AD220000}"/>
    <cellStyle name="Normal 2 2 10 3 4" xfId="8878" xr:uid="{00000000-0005-0000-0000-0000AE220000}"/>
    <cellStyle name="Normal 2 2 10 3 4 10" xfId="8879" xr:uid="{00000000-0005-0000-0000-0000AF220000}"/>
    <cellStyle name="Normal 2 2 10 3 4 2" xfId="8880" xr:uid="{00000000-0005-0000-0000-0000B0220000}"/>
    <cellStyle name="Normal 2 2 10 3 4 3" xfId="8881" xr:uid="{00000000-0005-0000-0000-0000B1220000}"/>
    <cellStyle name="Normal 2 2 10 3 4 4" xfId="8882" xr:uid="{00000000-0005-0000-0000-0000B2220000}"/>
    <cellStyle name="Normal 2 2 10 3 4 5" xfId="8883" xr:uid="{00000000-0005-0000-0000-0000B3220000}"/>
    <cellStyle name="Normal 2 2 10 3 4 6" xfId="8884" xr:uid="{00000000-0005-0000-0000-0000B4220000}"/>
    <cellStyle name="Normal 2 2 10 3 4 7" xfId="8885" xr:uid="{00000000-0005-0000-0000-0000B5220000}"/>
    <cellStyle name="Normal 2 2 10 3 4 8" xfId="8886" xr:uid="{00000000-0005-0000-0000-0000B6220000}"/>
    <cellStyle name="Normal 2 2 10 3 4 9" xfId="8887" xr:uid="{00000000-0005-0000-0000-0000B7220000}"/>
    <cellStyle name="Normal 2 2 10 3 5" xfId="8888" xr:uid="{00000000-0005-0000-0000-0000B8220000}"/>
    <cellStyle name="Normal 2 2 10 3 5 10" xfId="8889" xr:uid="{00000000-0005-0000-0000-0000B9220000}"/>
    <cellStyle name="Normal 2 2 10 3 5 2" xfId="8890" xr:uid="{00000000-0005-0000-0000-0000BA220000}"/>
    <cellStyle name="Normal 2 2 10 3 5 3" xfId="8891" xr:uid="{00000000-0005-0000-0000-0000BB220000}"/>
    <cellStyle name="Normal 2 2 10 3 5 4" xfId="8892" xr:uid="{00000000-0005-0000-0000-0000BC220000}"/>
    <cellStyle name="Normal 2 2 10 3 5 5" xfId="8893" xr:uid="{00000000-0005-0000-0000-0000BD220000}"/>
    <cellStyle name="Normal 2 2 10 3 5 6" xfId="8894" xr:uid="{00000000-0005-0000-0000-0000BE220000}"/>
    <cellStyle name="Normal 2 2 10 3 5 7" xfId="8895" xr:uid="{00000000-0005-0000-0000-0000BF220000}"/>
    <cellStyle name="Normal 2 2 10 3 5 8" xfId="8896" xr:uid="{00000000-0005-0000-0000-0000C0220000}"/>
    <cellStyle name="Normal 2 2 10 3 5 9" xfId="8897" xr:uid="{00000000-0005-0000-0000-0000C1220000}"/>
    <cellStyle name="Normal 2 2 10 3 6" xfId="8898" xr:uid="{00000000-0005-0000-0000-0000C2220000}"/>
    <cellStyle name="Normal 2 2 10 3 7" xfId="8899" xr:uid="{00000000-0005-0000-0000-0000C3220000}"/>
    <cellStyle name="Normal 2 2 10 3 8" xfId="8900" xr:uid="{00000000-0005-0000-0000-0000C4220000}"/>
    <cellStyle name="Normal 2 2 10 3 9" xfId="8901" xr:uid="{00000000-0005-0000-0000-0000C5220000}"/>
    <cellStyle name="Normal 2 2 10 30" xfId="8902" xr:uid="{00000000-0005-0000-0000-0000C6220000}"/>
    <cellStyle name="Normal 2 2 10 30 10" xfId="8903" xr:uid="{00000000-0005-0000-0000-0000C7220000}"/>
    <cellStyle name="Normal 2 2 10 30 11" xfId="8904" xr:uid="{00000000-0005-0000-0000-0000C8220000}"/>
    <cellStyle name="Normal 2 2 10 30 12" xfId="8905" xr:uid="{00000000-0005-0000-0000-0000C9220000}"/>
    <cellStyle name="Normal 2 2 10 30 13" xfId="8906" xr:uid="{00000000-0005-0000-0000-0000CA220000}"/>
    <cellStyle name="Normal 2 2 10 30 14" xfId="8907" xr:uid="{00000000-0005-0000-0000-0000CB220000}"/>
    <cellStyle name="Normal 2 2 10 30 2" xfId="8908" xr:uid="{00000000-0005-0000-0000-0000CC220000}"/>
    <cellStyle name="Normal 2 2 10 30 2 10" xfId="8909" xr:uid="{00000000-0005-0000-0000-0000CD220000}"/>
    <cellStyle name="Normal 2 2 10 30 2 2" xfId="8910" xr:uid="{00000000-0005-0000-0000-0000CE220000}"/>
    <cellStyle name="Normal 2 2 10 30 2 3" xfId="8911" xr:uid="{00000000-0005-0000-0000-0000CF220000}"/>
    <cellStyle name="Normal 2 2 10 30 2 4" xfId="8912" xr:uid="{00000000-0005-0000-0000-0000D0220000}"/>
    <cellStyle name="Normal 2 2 10 30 2 5" xfId="8913" xr:uid="{00000000-0005-0000-0000-0000D1220000}"/>
    <cellStyle name="Normal 2 2 10 30 2 6" xfId="8914" xr:uid="{00000000-0005-0000-0000-0000D2220000}"/>
    <cellStyle name="Normal 2 2 10 30 2 7" xfId="8915" xr:uid="{00000000-0005-0000-0000-0000D3220000}"/>
    <cellStyle name="Normal 2 2 10 30 2 8" xfId="8916" xr:uid="{00000000-0005-0000-0000-0000D4220000}"/>
    <cellStyle name="Normal 2 2 10 30 2 9" xfId="8917" xr:uid="{00000000-0005-0000-0000-0000D5220000}"/>
    <cellStyle name="Normal 2 2 10 30 3" xfId="8918" xr:uid="{00000000-0005-0000-0000-0000D6220000}"/>
    <cellStyle name="Normal 2 2 10 30 3 10" xfId="8919" xr:uid="{00000000-0005-0000-0000-0000D7220000}"/>
    <cellStyle name="Normal 2 2 10 30 3 2" xfId="8920" xr:uid="{00000000-0005-0000-0000-0000D8220000}"/>
    <cellStyle name="Normal 2 2 10 30 3 3" xfId="8921" xr:uid="{00000000-0005-0000-0000-0000D9220000}"/>
    <cellStyle name="Normal 2 2 10 30 3 4" xfId="8922" xr:uid="{00000000-0005-0000-0000-0000DA220000}"/>
    <cellStyle name="Normal 2 2 10 30 3 5" xfId="8923" xr:uid="{00000000-0005-0000-0000-0000DB220000}"/>
    <cellStyle name="Normal 2 2 10 30 3 6" xfId="8924" xr:uid="{00000000-0005-0000-0000-0000DC220000}"/>
    <cellStyle name="Normal 2 2 10 30 3 7" xfId="8925" xr:uid="{00000000-0005-0000-0000-0000DD220000}"/>
    <cellStyle name="Normal 2 2 10 30 3 8" xfId="8926" xr:uid="{00000000-0005-0000-0000-0000DE220000}"/>
    <cellStyle name="Normal 2 2 10 30 3 9" xfId="8927" xr:uid="{00000000-0005-0000-0000-0000DF220000}"/>
    <cellStyle name="Normal 2 2 10 30 4" xfId="8928" xr:uid="{00000000-0005-0000-0000-0000E0220000}"/>
    <cellStyle name="Normal 2 2 10 30 4 10" xfId="8929" xr:uid="{00000000-0005-0000-0000-0000E1220000}"/>
    <cellStyle name="Normal 2 2 10 30 4 2" xfId="8930" xr:uid="{00000000-0005-0000-0000-0000E2220000}"/>
    <cellStyle name="Normal 2 2 10 30 4 3" xfId="8931" xr:uid="{00000000-0005-0000-0000-0000E3220000}"/>
    <cellStyle name="Normal 2 2 10 30 4 4" xfId="8932" xr:uid="{00000000-0005-0000-0000-0000E4220000}"/>
    <cellStyle name="Normal 2 2 10 30 4 5" xfId="8933" xr:uid="{00000000-0005-0000-0000-0000E5220000}"/>
    <cellStyle name="Normal 2 2 10 30 4 6" xfId="8934" xr:uid="{00000000-0005-0000-0000-0000E6220000}"/>
    <cellStyle name="Normal 2 2 10 30 4 7" xfId="8935" xr:uid="{00000000-0005-0000-0000-0000E7220000}"/>
    <cellStyle name="Normal 2 2 10 30 4 8" xfId="8936" xr:uid="{00000000-0005-0000-0000-0000E8220000}"/>
    <cellStyle name="Normal 2 2 10 30 4 9" xfId="8937" xr:uid="{00000000-0005-0000-0000-0000E9220000}"/>
    <cellStyle name="Normal 2 2 10 30 5" xfId="8938" xr:uid="{00000000-0005-0000-0000-0000EA220000}"/>
    <cellStyle name="Normal 2 2 10 30 5 10" xfId="8939" xr:uid="{00000000-0005-0000-0000-0000EB220000}"/>
    <cellStyle name="Normal 2 2 10 30 5 2" xfId="8940" xr:uid="{00000000-0005-0000-0000-0000EC220000}"/>
    <cellStyle name="Normal 2 2 10 30 5 3" xfId="8941" xr:uid="{00000000-0005-0000-0000-0000ED220000}"/>
    <cellStyle name="Normal 2 2 10 30 5 4" xfId="8942" xr:uid="{00000000-0005-0000-0000-0000EE220000}"/>
    <cellStyle name="Normal 2 2 10 30 5 5" xfId="8943" xr:uid="{00000000-0005-0000-0000-0000EF220000}"/>
    <cellStyle name="Normal 2 2 10 30 5 6" xfId="8944" xr:uid="{00000000-0005-0000-0000-0000F0220000}"/>
    <cellStyle name="Normal 2 2 10 30 5 7" xfId="8945" xr:uid="{00000000-0005-0000-0000-0000F1220000}"/>
    <cellStyle name="Normal 2 2 10 30 5 8" xfId="8946" xr:uid="{00000000-0005-0000-0000-0000F2220000}"/>
    <cellStyle name="Normal 2 2 10 30 5 9" xfId="8947" xr:uid="{00000000-0005-0000-0000-0000F3220000}"/>
    <cellStyle name="Normal 2 2 10 30 6" xfId="8948" xr:uid="{00000000-0005-0000-0000-0000F4220000}"/>
    <cellStyle name="Normal 2 2 10 30 7" xfId="8949" xr:uid="{00000000-0005-0000-0000-0000F5220000}"/>
    <cellStyle name="Normal 2 2 10 30 8" xfId="8950" xr:uid="{00000000-0005-0000-0000-0000F6220000}"/>
    <cellStyle name="Normal 2 2 10 30 9" xfId="8951" xr:uid="{00000000-0005-0000-0000-0000F7220000}"/>
    <cellStyle name="Normal 2 2 10 31" xfId="8952" xr:uid="{00000000-0005-0000-0000-0000F8220000}"/>
    <cellStyle name="Normal 2 2 10 31 10" xfId="8953" xr:uid="{00000000-0005-0000-0000-0000F9220000}"/>
    <cellStyle name="Normal 2 2 10 31 11" xfId="8954" xr:uid="{00000000-0005-0000-0000-0000FA220000}"/>
    <cellStyle name="Normal 2 2 10 31 12" xfId="8955" xr:uid="{00000000-0005-0000-0000-0000FB220000}"/>
    <cellStyle name="Normal 2 2 10 31 13" xfId="8956" xr:uid="{00000000-0005-0000-0000-0000FC220000}"/>
    <cellStyle name="Normal 2 2 10 31 14" xfId="8957" xr:uid="{00000000-0005-0000-0000-0000FD220000}"/>
    <cellStyle name="Normal 2 2 10 31 2" xfId="8958" xr:uid="{00000000-0005-0000-0000-0000FE220000}"/>
    <cellStyle name="Normal 2 2 10 31 2 10" xfId="8959" xr:uid="{00000000-0005-0000-0000-0000FF220000}"/>
    <cellStyle name="Normal 2 2 10 31 2 2" xfId="8960" xr:uid="{00000000-0005-0000-0000-000000230000}"/>
    <cellStyle name="Normal 2 2 10 31 2 3" xfId="8961" xr:uid="{00000000-0005-0000-0000-000001230000}"/>
    <cellStyle name="Normal 2 2 10 31 2 4" xfId="8962" xr:uid="{00000000-0005-0000-0000-000002230000}"/>
    <cellStyle name="Normal 2 2 10 31 2 5" xfId="8963" xr:uid="{00000000-0005-0000-0000-000003230000}"/>
    <cellStyle name="Normal 2 2 10 31 2 6" xfId="8964" xr:uid="{00000000-0005-0000-0000-000004230000}"/>
    <cellStyle name="Normal 2 2 10 31 2 7" xfId="8965" xr:uid="{00000000-0005-0000-0000-000005230000}"/>
    <cellStyle name="Normal 2 2 10 31 2 8" xfId="8966" xr:uid="{00000000-0005-0000-0000-000006230000}"/>
    <cellStyle name="Normal 2 2 10 31 2 9" xfId="8967" xr:uid="{00000000-0005-0000-0000-000007230000}"/>
    <cellStyle name="Normal 2 2 10 31 3" xfId="8968" xr:uid="{00000000-0005-0000-0000-000008230000}"/>
    <cellStyle name="Normal 2 2 10 31 3 10" xfId="8969" xr:uid="{00000000-0005-0000-0000-000009230000}"/>
    <cellStyle name="Normal 2 2 10 31 3 2" xfId="8970" xr:uid="{00000000-0005-0000-0000-00000A230000}"/>
    <cellStyle name="Normal 2 2 10 31 3 3" xfId="8971" xr:uid="{00000000-0005-0000-0000-00000B230000}"/>
    <cellStyle name="Normal 2 2 10 31 3 4" xfId="8972" xr:uid="{00000000-0005-0000-0000-00000C230000}"/>
    <cellStyle name="Normal 2 2 10 31 3 5" xfId="8973" xr:uid="{00000000-0005-0000-0000-00000D230000}"/>
    <cellStyle name="Normal 2 2 10 31 3 6" xfId="8974" xr:uid="{00000000-0005-0000-0000-00000E230000}"/>
    <cellStyle name="Normal 2 2 10 31 3 7" xfId="8975" xr:uid="{00000000-0005-0000-0000-00000F230000}"/>
    <cellStyle name="Normal 2 2 10 31 3 8" xfId="8976" xr:uid="{00000000-0005-0000-0000-000010230000}"/>
    <cellStyle name="Normal 2 2 10 31 3 9" xfId="8977" xr:uid="{00000000-0005-0000-0000-000011230000}"/>
    <cellStyle name="Normal 2 2 10 31 4" xfId="8978" xr:uid="{00000000-0005-0000-0000-000012230000}"/>
    <cellStyle name="Normal 2 2 10 31 4 10" xfId="8979" xr:uid="{00000000-0005-0000-0000-000013230000}"/>
    <cellStyle name="Normal 2 2 10 31 4 2" xfId="8980" xr:uid="{00000000-0005-0000-0000-000014230000}"/>
    <cellStyle name="Normal 2 2 10 31 4 3" xfId="8981" xr:uid="{00000000-0005-0000-0000-000015230000}"/>
    <cellStyle name="Normal 2 2 10 31 4 4" xfId="8982" xr:uid="{00000000-0005-0000-0000-000016230000}"/>
    <cellStyle name="Normal 2 2 10 31 4 5" xfId="8983" xr:uid="{00000000-0005-0000-0000-000017230000}"/>
    <cellStyle name="Normal 2 2 10 31 4 6" xfId="8984" xr:uid="{00000000-0005-0000-0000-000018230000}"/>
    <cellStyle name="Normal 2 2 10 31 4 7" xfId="8985" xr:uid="{00000000-0005-0000-0000-000019230000}"/>
    <cellStyle name="Normal 2 2 10 31 4 8" xfId="8986" xr:uid="{00000000-0005-0000-0000-00001A230000}"/>
    <cellStyle name="Normal 2 2 10 31 4 9" xfId="8987" xr:uid="{00000000-0005-0000-0000-00001B230000}"/>
    <cellStyle name="Normal 2 2 10 31 5" xfId="8988" xr:uid="{00000000-0005-0000-0000-00001C230000}"/>
    <cellStyle name="Normal 2 2 10 31 5 10" xfId="8989" xr:uid="{00000000-0005-0000-0000-00001D230000}"/>
    <cellStyle name="Normal 2 2 10 31 5 2" xfId="8990" xr:uid="{00000000-0005-0000-0000-00001E230000}"/>
    <cellStyle name="Normal 2 2 10 31 5 3" xfId="8991" xr:uid="{00000000-0005-0000-0000-00001F230000}"/>
    <cellStyle name="Normal 2 2 10 31 5 4" xfId="8992" xr:uid="{00000000-0005-0000-0000-000020230000}"/>
    <cellStyle name="Normal 2 2 10 31 5 5" xfId="8993" xr:uid="{00000000-0005-0000-0000-000021230000}"/>
    <cellStyle name="Normal 2 2 10 31 5 6" xfId="8994" xr:uid="{00000000-0005-0000-0000-000022230000}"/>
    <cellStyle name="Normal 2 2 10 31 5 7" xfId="8995" xr:uid="{00000000-0005-0000-0000-000023230000}"/>
    <cellStyle name="Normal 2 2 10 31 5 8" xfId="8996" xr:uid="{00000000-0005-0000-0000-000024230000}"/>
    <cellStyle name="Normal 2 2 10 31 5 9" xfId="8997" xr:uid="{00000000-0005-0000-0000-000025230000}"/>
    <cellStyle name="Normal 2 2 10 31 6" xfId="8998" xr:uid="{00000000-0005-0000-0000-000026230000}"/>
    <cellStyle name="Normal 2 2 10 31 7" xfId="8999" xr:uid="{00000000-0005-0000-0000-000027230000}"/>
    <cellStyle name="Normal 2 2 10 31 8" xfId="9000" xr:uid="{00000000-0005-0000-0000-000028230000}"/>
    <cellStyle name="Normal 2 2 10 31 9" xfId="9001" xr:uid="{00000000-0005-0000-0000-000029230000}"/>
    <cellStyle name="Normal 2 2 10 32" xfId="9002" xr:uid="{00000000-0005-0000-0000-00002A230000}"/>
    <cellStyle name="Normal 2 2 10 32 10" xfId="9003" xr:uid="{00000000-0005-0000-0000-00002B230000}"/>
    <cellStyle name="Normal 2 2 10 32 11" xfId="9004" xr:uid="{00000000-0005-0000-0000-00002C230000}"/>
    <cellStyle name="Normal 2 2 10 32 12" xfId="9005" xr:uid="{00000000-0005-0000-0000-00002D230000}"/>
    <cellStyle name="Normal 2 2 10 32 13" xfId="9006" xr:uid="{00000000-0005-0000-0000-00002E230000}"/>
    <cellStyle name="Normal 2 2 10 32 14" xfId="9007" xr:uid="{00000000-0005-0000-0000-00002F230000}"/>
    <cellStyle name="Normal 2 2 10 32 2" xfId="9008" xr:uid="{00000000-0005-0000-0000-000030230000}"/>
    <cellStyle name="Normal 2 2 10 32 2 10" xfId="9009" xr:uid="{00000000-0005-0000-0000-000031230000}"/>
    <cellStyle name="Normal 2 2 10 32 2 2" xfId="9010" xr:uid="{00000000-0005-0000-0000-000032230000}"/>
    <cellStyle name="Normal 2 2 10 32 2 3" xfId="9011" xr:uid="{00000000-0005-0000-0000-000033230000}"/>
    <cellStyle name="Normal 2 2 10 32 2 4" xfId="9012" xr:uid="{00000000-0005-0000-0000-000034230000}"/>
    <cellStyle name="Normal 2 2 10 32 2 5" xfId="9013" xr:uid="{00000000-0005-0000-0000-000035230000}"/>
    <cellStyle name="Normal 2 2 10 32 2 6" xfId="9014" xr:uid="{00000000-0005-0000-0000-000036230000}"/>
    <cellStyle name="Normal 2 2 10 32 2 7" xfId="9015" xr:uid="{00000000-0005-0000-0000-000037230000}"/>
    <cellStyle name="Normal 2 2 10 32 2 8" xfId="9016" xr:uid="{00000000-0005-0000-0000-000038230000}"/>
    <cellStyle name="Normal 2 2 10 32 2 9" xfId="9017" xr:uid="{00000000-0005-0000-0000-000039230000}"/>
    <cellStyle name="Normal 2 2 10 32 3" xfId="9018" xr:uid="{00000000-0005-0000-0000-00003A230000}"/>
    <cellStyle name="Normal 2 2 10 32 3 10" xfId="9019" xr:uid="{00000000-0005-0000-0000-00003B230000}"/>
    <cellStyle name="Normal 2 2 10 32 3 2" xfId="9020" xr:uid="{00000000-0005-0000-0000-00003C230000}"/>
    <cellStyle name="Normal 2 2 10 32 3 3" xfId="9021" xr:uid="{00000000-0005-0000-0000-00003D230000}"/>
    <cellStyle name="Normal 2 2 10 32 3 4" xfId="9022" xr:uid="{00000000-0005-0000-0000-00003E230000}"/>
    <cellStyle name="Normal 2 2 10 32 3 5" xfId="9023" xr:uid="{00000000-0005-0000-0000-00003F230000}"/>
    <cellStyle name="Normal 2 2 10 32 3 6" xfId="9024" xr:uid="{00000000-0005-0000-0000-000040230000}"/>
    <cellStyle name="Normal 2 2 10 32 3 7" xfId="9025" xr:uid="{00000000-0005-0000-0000-000041230000}"/>
    <cellStyle name="Normal 2 2 10 32 3 8" xfId="9026" xr:uid="{00000000-0005-0000-0000-000042230000}"/>
    <cellStyle name="Normal 2 2 10 32 3 9" xfId="9027" xr:uid="{00000000-0005-0000-0000-000043230000}"/>
    <cellStyle name="Normal 2 2 10 32 4" xfId="9028" xr:uid="{00000000-0005-0000-0000-000044230000}"/>
    <cellStyle name="Normal 2 2 10 32 4 10" xfId="9029" xr:uid="{00000000-0005-0000-0000-000045230000}"/>
    <cellStyle name="Normal 2 2 10 32 4 2" xfId="9030" xr:uid="{00000000-0005-0000-0000-000046230000}"/>
    <cellStyle name="Normal 2 2 10 32 4 3" xfId="9031" xr:uid="{00000000-0005-0000-0000-000047230000}"/>
    <cellStyle name="Normal 2 2 10 32 4 4" xfId="9032" xr:uid="{00000000-0005-0000-0000-000048230000}"/>
    <cellStyle name="Normal 2 2 10 32 4 5" xfId="9033" xr:uid="{00000000-0005-0000-0000-000049230000}"/>
    <cellStyle name="Normal 2 2 10 32 4 6" xfId="9034" xr:uid="{00000000-0005-0000-0000-00004A230000}"/>
    <cellStyle name="Normal 2 2 10 32 4 7" xfId="9035" xr:uid="{00000000-0005-0000-0000-00004B230000}"/>
    <cellStyle name="Normal 2 2 10 32 4 8" xfId="9036" xr:uid="{00000000-0005-0000-0000-00004C230000}"/>
    <cellStyle name="Normal 2 2 10 32 4 9" xfId="9037" xr:uid="{00000000-0005-0000-0000-00004D230000}"/>
    <cellStyle name="Normal 2 2 10 32 5" xfId="9038" xr:uid="{00000000-0005-0000-0000-00004E230000}"/>
    <cellStyle name="Normal 2 2 10 32 5 10" xfId="9039" xr:uid="{00000000-0005-0000-0000-00004F230000}"/>
    <cellStyle name="Normal 2 2 10 32 5 2" xfId="9040" xr:uid="{00000000-0005-0000-0000-000050230000}"/>
    <cellStyle name="Normal 2 2 10 32 5 3" xfId="9041" xr:uid="{00000000-0005-0000-0000-000051230000}"/>
    <cellStyle name="Normal 2 2 10 32 5 4" xfId="9042" xr:uid="{00000000-0005-0000-0000-000052230000}"/>
    <cellStyle name="Normal 2 2 10 32 5 5" xfId="9043" xr:uid="{00000000-0005-0000-0000-000053230000}"/>
    <cellStyle name="Normal 2 2 10 32 5 6" xfId="9044" xr:uid="{00000000-0005-0000-0000-000054230000}"/>
    <cellStyle name="Normal 2 2 10 32 5 7" xfId="9045" xr:uid="{00000000-0005-0000-0000-000055230000}"/>
    <cellStyle name="Normal 2 2 10 32 5 8" xfId="9046" xr:uid="{00000000-0005-0000-0000-000056230000}"/>
    <cellStyle name="Normal 2 2 10 32 5 9" xfId="9047" xr:uid="{00000000-0005-0000-0000-000057230000}"/>
    <cellStyle name="Normal 2 2 10 32 6" xfId="9048" xr:uid="{00000000-0005-0000-0000-000058230000}"/>
    <cellStyle name="Normal 2 2 10 32 7" xfId="9049" xr:uid="{00000000-0005-0000-0000-000059230000}"/>
    <cellStyle name="Normal 2 2 10 32 8" xfId="9050" xr:uid="{00000000-0005-0000-0000-00005A230000}"/>
    <cellStyle name="Normal 2 2 10 32 9" xfId="9051" xr:uid="{00000000-0005-0000-0000-00005B230000}"/>
    <cellStyle name="Normal 2 2 10 33" xfId="9052" xr:uid="{00000000-0005-0000-0000-00005C230000}"/>
    <cellStyle name="Normal 2 2 10 33 10" xfId="9053" xr:uid="{00000000-0005-0000-0000-00005D230000}"/>
    <cellStyle name="Normal 2 2 10 33 11" xfId="9054" xr:uid="{00000000-0005-0000-0000-00005E230000}"/>
    <cellStyle name="Normal 2 2 10 33 12" xfId="9055" xr:uid="{00000000-0005-0000-0000-00005F230000}"/>
    <cellStyle name="Normal 2 2 10 33 13" xfId="9056" xr:uid="{00000000-0005-0000-0000-000060230000}"/>
    <cellStyle name="Normal 2 2 10 33 14" xfId="9057" xr:uid="{00000000-0005-0000-0000-000061230000}"/>
    <cellStyle name="Normal 2 2 10 33 2" xfId="9058" xr:uid="{00000000-0005-0000-0000-000062230000}"/>
    <cellStyle name="Normal 2 2 10 33 2 10" xfId="9059" xr:uid="{00000000-0005-0000-0000-000063230000}"/>
    <cellStyle name="Normal 2 2 10 33 2 2" xfId="9060" xr:uid="{00000000-0005-0000-0000-000064230000}"/>
    <cellStyle name="Normal 2 2 10 33 2 3" xfId="9061" xr:uid="{00000000-0005-0000-0000-000065230000}"/>
    <cellStyle name="Normal 2 2 10 33 2 4" xfId="9062" xr:uid="{00000000-0005-0000-0000-000066230000}"/>
    <cellStyle name="Normal 2 2 10 33 2 5" xfId="9063" xr:uid="{00000000-0005-0000-0000-000067230000}"/>
    <cellStyle name="Normal 2 2 10 33 2 6" xfId="9064" xr:uid="{00000000-0005-0000-0000-000068230000}"/>
    <cellStyle name="Normal 2 2 10 33 2 7" xfId="9065" xr:uid="{00000000-0005-0000-0000-000069230000}"/>
    <cellStyle name="Normal 2 2 10 33 2 8" xfId="9066" xr:uid="{00000000-0005-0000-0000-00006A230000}"/>
    <cellStyle name="Normal 2 2 10 33 2 9" xfId="9067" xr:uid="{00000000-0005-0000-0000-00006B230000}"/>
    <cellStyle name="Normal 2 2 10 33 3" xfId="9068" xr:uid="{00000000-0005-0000-0000-00006C230000}"/>
    <cellStyle name="Normal 2 2 10 33 3 10" xfId="9069" xr:uid="{00000000-0005-0000-0000-00006D230000}"/>
    <cellStyle name="Normal 2 2 10 33 3 2" xfId="9070" xr:uid="{00000000-0005-0000-0000-00006E230000}"/>
    <cellStyle name="Normal 2 2 10 33 3 3" xfId="9071" xr:uid="{00000000-0005-0000-0000-00006F230000}"/>
    <cellStyle name="Normal 2 2 10 33 3 4" xfId="9072" xr:uid="{00000000-0005-0000-0000-000070230000}"/>
    <cellStyle name="Normal 2 2 10 33 3 5" xfId="9073" xr:uid="{00000000-0005-0000-0000-000071230000}"/>
    <cellStyle name="Normal 2 2 10 33 3 6" xfId="9074" xr:uid="{00000000-0005-0000-0000-000072230000}"/>
    <cellStyle name="Normal 2 2 10 33 3 7" xfId="9075" xr:uid="{00000000-0005-0000-0000-000073230000}"/>
    <cellStyle name="Normal 2 2 10 33 3 8" xfId="9076" xr:uid="{00000000-0005-0000-0000-000074230000}"/>
    <cellStyle name="Normal 2 2 10 33 3 9" xfId="9077" xr:uid="{00000000-0005-0000-0000-000075230000}"/>
    <cellStyle name="Normal 2 2 10 33 4" xfId="9078" xr:uid="{00000000-0005-0000-0000-000076230000}"/>
    <cellStyle name="Normal 2 2 10 33 4 10" xfId="9079" xr:uid="{00000000-0005-0000-0000-000077230000}"/>
    <cellStyle name="Normal 2 2 10 33 4 2" xfId="9080" xr:uid="{00000000-0005-0000-0000-000078230000}"/>
    <cellStyle name="Normal 2 2 10 33 4 3" xfId="9081" xr:uid="{00000000-0005-0000-0000-000079230000}"/>
    <cellStyle name="Normal 2 2 10 33 4 4" xfId="9082" xr:uid="{00000000-0005-0000-0000-00007A230000}"/>
    <cellStyle name="Normal 2 2 10 33 4 5" xfId="9083" xr:uid="{00000000-0005-0000-0000-00007B230000}"/>
    <cellStyle name="Normal 2 2 10 33 4 6" xfId="9084" xr:uid="{00000000-0005-0000-0000-00007C230000}"/>
    <cellStyle name="Normal 2 2 10 33 4 7" xfId="9085" xr:uid="{00000000-0005-0000-0000-00007D230000}"/>
    <cellStyle name="Normal 2 2 10 33 4 8" xfId="9086" xr:uid="{00000000-0005-0000-0000-00007E230000}"/>
    <cellStyle name="Normal 2 2 10 33 4 9" xfId="9087" xr:uid="{00000000-0005-0000-0000-00007F230000}"/>
    <cellStyle name="Normal 2 2 10 33 5" xfId="9088" xr:uid="{00000000-0005-0000-0000-000080230000}"/>
    <cellStyle name="Normal 2 2 10 33 5 10" xfId="9089" xr:uid="{00000000-0005-0000-0000-000081230000}"/>
    <cellStyle name="Normal 2 2 10 33 5 2" xfId="9090" xr:uid="{00000000-0005-0000-0000-000082230000}"/>
    <cellStyle name="Normal 2 2 10 33 5 3" xfId="9091" xr:uid="{00000000-0005-0000-0000-000083230000}"/>
    <cellStyle name="Normal 2 2 10 33 5 4" xfId="9092" xr:uid="{00000000-0005-0000-0000-000084230000}"/>
    <cellStyle name="Normal 2 2 10 33 5 5" xfId="9093" xr:uid="{00000000-0005-0000-0000-000085230000}"/>
    <cellStyle name="Normal 2 2 10 33 5 6" xfId="9094" xr:uid="{00000000-0005-0000-0000-000086230000}"/>
    <cellStyle name="Normal 2 2 10 33 5 7" xfId="9095" xr:uid="{00000000-0005-0000-0000-000087230000}"/>
    <cellStyle name="Normal 2 2 10 33 5 8" xfId="9096" xr:uid="{00000000-0005-0000-0000-000088230000}"/>
    <cellStyle name="Normal 2 2 10 33 5 9" xfId="9097" xr:uid="{00000000-0005-0000-0000-000089230000}"/>
    <cellStyle name="Normal 2 2 10 33 6" xfId="9098" xr:uid="{00000000-0005-0000-0000-00008A230000}"/>
    <cellStyle name="Normal 2 2 10 33 7" xfId="9099" xr:uid="{00000000-0005-0000-0000-00008B230000}"/>
    <cellStyle name="Normal 2 2 10 33 8" xfId="9100" xr:uid="{00000000-0005-0000-0000-00008C230000}"/>
    <cellStyle name="Normal 2 2 10 33 9" xfId="9101" xr:uid="{00000000-0005-0000-0000-00008D230000}"/>
    <cellStyle name="Normal 2 2 10 34" xfId="9102" xr:uid="{00000000-0005-0000-0000-00008E230000}"/>
    <cellStyle name="Normal 2 2 10 34 10" xfId="9103" xr:uid="{00000000-0005-0000-0000-00008F230000}"/>
    <cellStyle name="Normal 2 2 10 34 11" xfId="9104" xr:uid="{00000000-0005-0000-0000-000090230000}"/>
    <cellStyle name="Normal 2 2 10 34 12" xfId="9105" xr:uid="{00000000-0005-0000-0000-000091230000}"/>
    <cellStyle name="Normal 2 2 10 34 13" xfId="9106" xr:uid="{00000000-0005-0000-0000-000092230000}"/>
    <cellStyle name="Normal 2 2 10 34 14" xfId="9107" xr:uid="{00000000-0005-0000-0000-000093230000}"/>
    <cellStyle name="Normal 2 2 10 34 2" xfId="9108" xr:uid="{00000000-0005-0000-0000-000094230000}"/>
    <cellStyle name="Normal 2 2 10 34 2 10" xfId="9109" xr:uid="{00000000-0005-0000-0000-000095230000}"/>
    <cellStyle name="Normal 2 2 10 34 2 2" xfId="9110" xr:uid="{00000000-0005-0000-0000-000096230000}"/>
    <cellStyle name="Normal 2 2 10 34 2 3" xfId="9111" xr:uid="{00000000-0005-0000-0000-000097230000}"/>
    <cellStyle name="Normal 2 2 10 34 2 4" xfId="9112" xr:uid="{00000000-0005-0000-0000-000098230000}"/>
    <cellStyle name="Normal 2 2 10 34 2 5" xfId="9113" xr:uid="{00000000-0005-0000-0000-000099230000}"/>
    <cellStyle name="Normal 2 2 10 34 2 6" xfId="9114" xr:uid="{00000000-0005-0000-0000-00009A230000}"/>
    <cellStyle name="Normal 2 2 10 34 2 7" xfId="9115" xr:uid="{00000000-0005-0000-0000-00009B230000}"/>
    <cellStyle name="Normal 2 2 10 34 2 8" xfId="9116" xr:uid="{00000000-0005-0000-0000-00009C230000}"/>
    <cellStyle name="Normal 2 2 10 34 2 9" xfId="9117" xr:uid="{00000000-0005-0000-0000-00009D230000}"/>
    <cellStyle name="Normal 2 2 10 34 3" xfId="9118" xr:uid="{00000000-0005-0000-0000-00009E230000}"/>
    <cellStyle name="Normal 2 2 10 34 3 10" xfId="9119" xr:uid="{00000000-0005-0000-0000-00009F230000}"/>
    <cellStyle name="Normal 2 2 10 34 3 2" xfId="9120" xr:uid="{00000000-0005-0000-0000-0000A0230000}"/>
    <cellStyle name="Normal 2 2 10 34 3 3" xfId="9121" xr:uid="{00000000-0005-0000-0000-0000A1230000}"/>
    <cellStyle name="Normal 2 2 10 34 3 4" xfId="9122" xr:uid="{00000000-0005-0000-0000-0000A2230000}"/>
    <cellStyle name="Normal 2 2 10 34 3 5" xfId="9123" xr:uid="{00000000-0005-0000-0000-0000A3230000}"/>
    <cellStyle name="Normal 2 2 10 34 3 6" xfId="9124" xr:uid="{00000000-0005-0000-0000-0000A4230000}"/>
    <cellStyle name="Normal 2 2 10 34 3 7" xfId="9125" xr:uid="{00000000-0005-0000-0000-0000A5230000}"/>
    <cellStyle name="Normal 2 2 10 34 3 8" xfId="9126" xr:uid="{00000000-0005-0000-0000-0000A6230000}"/>
    <cellStyle name="Normal 2 2 10 34 3 9" xfId="9127" xr:uid="{00000000-0005-0000-0000-0000A7230000}"/>
    <cellStyle name="Normal 2 2 10 34 4" xfId="9128" xr:uid="{00000000-0005-0000-0000-0000A8230000}"/>
    <cellStyle name="Normal 2 2 10 34 4 10" xfId="9129" xr:uid="{00000000-0005-0000-0000-0000A9230000}"/>
    <cellStyle name="Normal 2 2 10 34 4 2" xfId="9130" xr:uid="{00000000-0005-0000-0000-0000AA230000}"/>
    <cellStyle name="Normal 2 2 10 34 4 3" xfId="9131" xr:uid="{00000000-0005-0000-0000-0000AB230000}"/>
    <cellStyle name="Normal 2 2 10 34 4 4" xfId="9132" xr:uid="{00000000-0005-0000-0000-0000AC230000}"/>
    <cellStyle name="Normal 2 2 10 34 4 5" xfId="9133" xr:uid="{00000000-0005-0000-0000-0000AD230000}"/>
    <cellStyle name="Normal 2 2 10 34 4 6" xfId="9134" xr:uid="{00000000-0005-0000-0000-0000AE230000}"/>
    <cellStyle name="Normal 2 2 10 34 4 7" xfId="9135" xr:uid="{00000000-0005-0000-0000-0000AF230000}"/>
    <cellStyle name="Normal 2 2 10 34 4 8" xfId="9136" xr:uid="{00000000-0005-0000-0000-0000B0230000}"/>
    <cellStyle name="Normal 2 2 10 34 4 9" xfId="9137" xr:uid="{00000000-0005-0000-0000-0000B1230000}"/>
    <cellStyle name="Normal 2 2 10 34 5" xfId="9138" xr:uid="{00000000-0005-0000-0000-0000B2230000}"/>
    <cellStyle name="Normal 2 2 10 34 5 10" xfId="9139" xr:uid="{00000000-0005-0000-0000-0000B3230000}"/>
    <cellStyle name="Normal 2 2 10 34 5 2" xfId="9140" xr:uid="{00000000-0005-0000-0000-0000B4230000}"/>
    <cellStyle name="Normal 2 2 10 34 5 3" xfId="9141" xr:uid="{00000000-0005-0000-0000-0000B5230000}"/>
    <cellStyle name="Normal 2 2 10 34 5 4" xfId="9142" xr:uid="{00000000-0005-0000-0000-0000B6230000}"/>
    <cellStyle name="Normal 2 2 10 34 5 5" xfId="9143" xr:uid="{00000000-0005-0000-0000-0000B7230000}"/>
    <cellStyle name="Normal 2 2 10 34 5 6" xfId="9144" xr:uid="{00000000-0005-0000-0000-0000B8230000}"/>
    <cellStyle name="Normal 2 2 10 34 5 7" xfId="9145" xr:uid="{00000000-0005-0000-0000-0000B9230000}"/>
    <cellStyle name="Normal 2 2 10 34 5 8" xfId="9146" xr:uid="{00000000-0005-0000-0000-0000BA230000}"/>
    <cellStyle name="Normal 2 2 10 34 5 9" xfId="9147" xr:uid="{00000000-0005-0000-0000-0000BB230000}"/>
    <cellStyle name="Normal 2 2 10 34 6" xfId="9148" xr:uid="{00000000-0005-0000-0000-0000BC230000}"/>
    <cellStyle name="Normal 2 2 10 34 7" xfId="9149" xr:uid="{00000000-0005-0000-0000-0000BD230000}"/>
    <cellStyle name="Normal 2 2 10 34 8" xfId="9150" xr:uid="{00000000-0005-0000-0000-0000BE230000}"/>
    <cellStyle name="Normal 2 2 10 34 9" xfId="9151" xr:uid="{00000000-0005-0000-0000-0000BF230000}"/>
    <cellStyle name="Normal 2 2 10 35" xfId="9152" xr:uid="{00000000-0005-0000-0000-0000C0230000}"/>
    <cellStyle name="Normal 2 2 10 35 10" xfId="9153" xr:uid="{00000000-0005-0000-0000-0000C1230000}"/>
    <cellStyle name="Normal 2 2 10 35 2" xfId="9154" xr:uid="{00000000-0005-0000-0000-0000C2230000}"/>
    <cellStyle name="Normal 2 2 10 35 3" xfId="9155" xr:uid="{00000000-0005-0000-0000-0000C3230000}"/>
    <cellStyle name="Normal 2 2 10 35 4" xfId="9156" xr:uid="{00000000-0005-0000-0000-0000C4230000}"/>
    <cellStyle name="Normal 2 2 10 35 5" xfId="9157" xr:uid="{00000000-0005-0000-0000-0000C5230000}"/>
    <cellStyle name="Normal 2 2 10 35 6" xfId="9158" xr:uid="{00000000-0005-0000-0000-0000C6230000}"/>
    <cellStyle name="Normal 2 2 10 35 7" xfId="9159" xr:uid="{00000000-0005-0000-0000-0000C7230000}"/>
    <cellStyle name="Normal 2 2 10 35 8" xfId="9160" xr:uid="{00000000-0005-0000-0000-0000C8230000}"/>
    <cellStyle name="Normal 2 2 10 35 9" xfId="9161" xr:uid="{00000000-0005-0000-0000-0000C9230000}"/>
    <cellStyle name="Normal 2 2 10 36" xfId="9162" xr:uid="{00000000-0005-0000-0000-0000CA230000}"/>
    <cellStyle name="Normal 2 2 10 36 10" xfId="9163" xr:uid="{00000000-0005-0000-0000-0000CB230000}"/>
    <cellStyle name="Normal 2 2 10 36 2" xfId="9164" xr:uid="{00000000-0005-0000-0000-0000CC230000}"/>
    <cellStyle name="Normal 2 2 10 36 3" xfId="9165" xr:uid="{00000000-0005-0000-0000-0000CD230000}"/>
    <cellStyle name="Normal 2 2 10 36 4" xfId="9166" xr:uid="{00000000-0005-0000-0000-0000CE230000}"/>
    <cellStyle name="Normal 2 2 10 36 5" xfId="9167" xr:uid="{00000000-0005-0000-0000-0000CF230000}"/>
    <cellStyle name="Normal 2 2 10 36 6" xfId="9168" xr:uid="{00000000-0005-0000-0000-0000D0230000}"/>
    <cellStyle name="Normal 2 2 10 36 7" xfId="9169" xr:uid="{00000000-0005-0000-0000-0000D1230000}"/>
    <cellStyle name="Normal 2 2 10 36 8" xfId="9170" xr:uid="{00000000-0005-0000-0000-0000D2230000}"/>
    <cellStyle name="Normal 2 2 10 36 9" xfId="9171" xr:uid="{00000000-0005-0000-0000-0000D3230000}"/>
    <cellStyle name="Normal 2 2 10 37" xfId="9172" xr:uid="{00000000-0005-0000-0000-0000D4230000}"/>
    <cellStyle name="Normal 2 2 10 37 10" xfId="9173" xr:uid="{00000000-0005-0000-0000-0000D5230000}"/>
    <cellStyle name="Normal 2 2 10 37 2" xfId="9174" xr:uid="{00000000-0005-0000-0000-0000D6230000}"/>
    <cellStyle name="Normal 2 2 10 37 3" xfId="9175" xr:uid="{00000000-0005-0000-0000-0000D7230000}"/>
    <cellStyle name="Normal 2 2 10 37 4" xfId="9176" xr:uid="{00000000-0005-0000-0000-0000D8230000}"/>
    <cellStyle name="Normal 2 2 10 37 5" xfId="9177" xr:uid="{00000000-0005-0000-0000-0000D9230000}"/>
    <cellStyle name="Normal 2 2 10 37 6" xfId="9178" xr:uid="{00000000-0005-0000-0000-0000DA230000}"/>
    <cellStyle name="Normal 2 2 10 37 7" xfId="9179" xr:uid="{00000000-0005-0000-0000-0000DB230000}"/>
    <cellStyle name="Normal 2 2 10 37 8" xfId="9180" xr:uid="{00000000-0005-0000-0000-0000DC230000}"/>
    <cellStyle name="Normal 2 2 10 37 9" xfId="9181" xr:uid="{00000000-0005-0000-0000-0000DD230000}"/>
    <cellStyle name="Normal 2 2 10 38" xfId="9182" xr:uid="{00000000-0005-0000-0000-0000DE230000}"/>
    <cellStyle name="Normal 2 2 10 38 10" xfId="9183" xr:uid="{00000000-0005-0000-0000-0000DF230000}"/>
    <cellStyle name="Normal 2 2 10 38 2" xfId="9184" xr:uid="{00000000-0005-0000-0000-0000E0230000}"/>
    <cellStyle name="Normal 2 2 10 38 3" xfId="9185" xr:uid="{00000000-0005-0000-0000-0000E1230000}"/>
    <cellStyle name="Normal 2 2 10 38 4" xfId="9186" xr:uid="{00000000-0005-0000-0000-0000E2230000}"/>
    <cellStyle name="Normal 2 2 10 38 5" xfId="9187" xr:uid="{00000000-0005-0000-0000-0000E3230000}"/>
    <cellStyle name="Normal 2 2 10 38 6" xfId="9188" xr:uid="{00000000-0005-0000-0000-0000E4230000}"/>
    <cellStyle name="Normal 2 2 10 38 7" xfId="9189" xr:uid="{00000000-0005-0000-0000-0000E5230000}"/>
    <cellStyle name="Normal 2 2 10 38 8" xfId="9190" xr:uid="{00000000-0005-0000-0000-0000E6230000}"/>
    <cellStyle name="Normal 2 2 10 38 9" xfId="9191" xr:uid="{00000000-0005-0000-0000-0000E7230000}"/>
    <cellStyle name="Normal 2 2 10 39" xfId="9192" xr:uid="{00000000-0005-0000-0000-0000E8230000}"/>
    <cellStyle name="Normal 2 2 10 4" xfId="9193" xr:uid="{00000000-0005-0000-0000-0000E9230000}"/>
    <cellStyle name="Normal 2 2 10 4 10" xfId="9194" xr:uid="{00000000-0005-0000-0000-0000EA230000}"/>
    <cellStyle name="Normal 2 2 10 4 11" xfId="9195" xr:uid="{00000000-0005-0000-0000-0000EB230000}"/>
    <cellStyle name="Normal 2 2 10 4 12" xfId="9196" xr:uid="{00000000-0005-0000-0000-0000EC230000}"/>
    <cellStyle name="Normal 2 2 10 4 13" xfId="9197" xr:uid="{00000000-0005-0000-0000-0000ED230000}"/>
    <cellStyle name="Normal 2 2 10 4 14" xfId="9198" xr:uid="{00000000-0005-0000-0000-0000EE230000}"/>
    <cellStyle name="Normal 2 2 10 4 2" xfId="9199" xr:uid="{00000000-0005-0000-0000-0000EF230000}"/>
    <cellStyle name="Normal 2 2 10 4 2 10" xfId="9200" xr:uid="{00000000-0005-0000-0000-0000F0230000}"/>
    <cellStyle name="Normal 2 2 10 4 2 2" xfId="9201" xr:uid="{00000000-0005-0000-0000-0000F1230000}"/>
    <cellStyle name="Normal 2 2 10 4 2 3" xfId="9202" xr:uid="{00000000-0005-0000-0000-0000F2230000}"/>
    <cellStyle name="Normal 2 2 10 4 2 4" xfId="9203" xr:uid="{00000000-0005-0000-0000-0000F3230000}"/>
    <cellStyle name="Normal 2 2 10 4 2 5" xfId="9204" xr:uid="{00000000-0005-0000-0000-0000F4230000}"/>
    <cellStyle name="Normal 2 2 10 4 2 6" xfId="9205" xr:uid="{00000000-0005-0000-0000-0000F5230000}"/>
    <cellStyle name="Normal 2 2 10 4 2 7" xfId="9206" xr:uid="{00000000-0005-0000-0000-0000F6230000}"/>
    <cellStyle name="Normal 2 2 10 4 2 8" xfId="9207" xr:uid="{00000000-0005-0000-0000-0000F7230000}"/>
    <cellStyle name="Normal 2 2 10 4 2 9" xfId="9208" xr:uid="{00000000-0005-0000-0000-0000F8230000}"/>
    <cellStyle name="Normal 2 2 10 4 3" xfId="9209" xr:uid="{00000000-0005-0000-0000-0000F9230000}"/>
    <cellStyle name="Normal 2 2 10 4 3 10" xfId="9210" xr:uid="{00000000-0005-0000-0000-0000FA230000}"/>
    <cellStyle name="Normal 2 2 10 4 3 2" xfId="9211" xr:uid="{00000000-0005-0000-0000-0000FB230000}"/>
    <cellStyle name="Normal 2 2 10 4 3 3" xfId="9212" xr:uid="{00000000-0005-0000-0000-0000FC230000}"/>
    <cellStyle name="Normal 2 2 10 4 3 4" xfId="9213" xr:uid="{00000000-0005-0000-0000-0000FD230000}"/>
    <cellStyle name="Normal 2 2 10 4 3 5" xfId="9214" xr:uid="{00000000-0005-0000-0000-0000FE230000}"/>
    <cellStyle name="Normal 2 2 10 4 3 6" xfId="9215" xr:uid="{00000000-0005-0000-0000-0000FF230000}"/>
    <cellStyle name="Normal 2 2 10 4 3 7" xfId="9216" xr:uid="{00000000-0005-0000-0000-000000240000}"/>
    <cellStyle name="Normal 2 2 10 4 3 8" xfId="9217" xr:uid="{00000000-0005-0000-0000-000001240000}"/>
    <cellStyle name="Normal 2 2 10 4 3 9" xfId="9218" xr:uid="{00000000-0005-0000-0000-000002240000}"/>
    <cellStyle name="Normal 2 2 10 4 4" xfId="9219" xr:uid="{00000000-0005-0000-0000-000003240000}"/>
    <cellStyle name="Normal 2 2 10 4 4 10" xfId="9220" xr:uid="{00000000-0005-0000-0000-000004240000}"/>
    <cellStyle name="Normal 2 2 10 4 4 2" xfId="9221" xr:uid="{00000000-0005-0000-0000-000005240000}"/>
    <cellStyle name="Normal 2 2 10 4 4 3" xfId="9222" xr:uid="{00000000-0005-0000-0000-000006240000}"/>
    <cellStyle name="Normal 2 2 10 4 4 4" xfId="9223" xr:uid="{00000000-0005-0000-0000-000007240000}"/>
    <cellStyle name="Normal 2 2 10 4 4 5" xfId="9224" xr:uid="{00000000-0005-0000-0000-000008240000}"/>
    <cellStyle name="Normal 2 2 10 4 4 6" xfId="9225" xr:uid="{00000000-0005-0000-0000-000009240000}"/>
    <cellStyle name="Normal 2 2 10 4 4 7" xfId="9226" xr:uid="{00000000-0005-0000-0000-00000A240000}"/>
    <cellStyle name="Normal 2 2 10 4 4 8" xfId="9227" xr:uid="{00000000-0005-0000-0000-00000B240000}"/>
    <cellStyle name="Normal 2 2 10 4 4 9" xfId="9228" xr:uid="{00000000-0005-0000-0000-00000C240000}"/>
    <cellStyle name="Normal 2 2 10 4 5" xfId="9229" xr:uid="{00000000-0005-0000-0000-00000D240000}"/>
    <cellStyle name="Normal 2 2 10 4 5 10" xfId="9230" xr:uid="{00000000-0005-0000-0000-00000E240000}"/>
    <cellStyle name="Normal 2 2 10 4 5 2" xfId="9231" xr:uid="{00000000-0005-0000-0000-00000F240000}"/>
    <cellStyle name="Normal 2 2 10 4 5 3" xfId="9232" xr:uid="{00000000-0005-0000-0000-000010240000}"/>
    <cellStyle name="Normal 2 2 10 4 5 4" xfId="9233" xr:uid="{00000000-0005-0000-0000-000011240000}"/>
    <cellStyle name="Normal 2 2 10 4 5 5" xfId="9234" xr:uid="{00000000-0005-0000-0000-000012240000}"/>
    <cellStyle name="Normal 2 2 10 4 5 6" xfId="9235" xr:uid="{00000000-0005-0000-0000-000013240000}"/>
    <cellStyle name="Normal 2 2 10 4 5 7" xfId="9236" xr:uid="{00000000-0005-0000-0000-000014240000}"/>
    <cellStyle name="Normal 2 2 10 4 5 8" xfId="9237" xr:uid="{00000000-0005-0000-0000-000015240000}"/>
    <cellStyle name="Normal 2 2 10 4 5 9" xfId="9238" xr:uid="{00000000-0005-0000-0000-000016240000}"/>
    <cellStyle name="Normal 2 2 10 4 6" xfId="9239" xr:uid="{00000000-0005-0000-0000-000017240000}"/>
    <cellStyle name="Normal 2 2 10 4 7" xfId="9240" xr:uid="{00000000-0005-0000-0000-000018240000}"/>
    <cellStyle name="Normal 2 2 10 4 8" xfId="9241" xr:uid="{00000000-0005-0000-0000-000019240000}"/>
    <cellStyle name="Normal 2 2 10 4 9" xfId="9242" xr:uid="{00000000-0005-0000-0000-00001A240000}"/>
    <cellStyle name="Normal 2 2 10 40" xfId="9243" xr:uid="{00000000-0005-0000-0000-00001B240000}"/>
    <cellStyle name="Normal 2 2 10 41" xfId="9244" xr:uid="{00000000-0005-0000-0000-00001C240000}"/>
    <cellStyle name="Normal 2 2 10 42" xfId="9245" xr:uid="{00000000-0005-0000-0000-00001D240000}"/>
    <cellStyle name="Normal 2 2 10 43" xfId="9246" xr:uid="{00000000-0005-0000-0000-00001E240000}"/>
    <cellStyle name="Normal 2 2 10 44" xfId="9247" xr:uid="{00000000-0005-0000-0000-00001F240000}"/>
    <cellStyle name="Normal 2 2 10 45" xfId="9248" xr:uid="{00000000-0005-0000-0000-000020240000}"/>
    <cellStyle name="Normal 2 2 10 46" xfId="9249" xr:uid="{00000000-0005-0000-0000-000021240000}"/>
    <cellStyle name="Normal 2 2 10 47" xfId="9250" xr:uid="{00000000-0005-0000-0000-000022240000}"/>
    <cellStyle name="Normal 2 2 10 5" xfId="9251" xr:uid="{00000000-0005-0000-0000-000023240000}"/>
    <cellStyle name="Normal 2 2 10 5 10" xfId="9252" xr:uid="{00000000-0005-0000-0000-000024240000}"/>
    <cellStyle name="Normal 2 2 10 5 11" xfId="9253" xr:uid="{00000000-0005-0000-0000-000025240000}"/>
    <cellStyle name="Normal 2 2 10 5 12" xfId="9254" xr:uid="{00000000-0005-0000-0000-000026240000}"/>
    <cellStyle name="Normal 2 2 10 5 13" xfId="9255" xr:uid="{00000000-0005-0000-0000-000027240000}"/>
    <cellStyle name="Normal 2 2 10 5 14" xfId="9256" xr:uid="{00000000-0005-0000-0000-000028240000}"/>
    <cellStyle name="Normal 2 2 10 5 2" xfId="9257" xr:uid="{00000000-0005-0000-0000-000029240000}"/>
    <cellStyle name="Normal 2 2 10 5 2 10" xfId="9258" xr:uid="{00000000-0005-0000-0000-00002A240000}"/>
    <cellStyle name="Normal 2 2 10 5 2 2" xfId="9259" xr:uid="{00000000-0005-0000-0000-00002B240000}"/>
    <cellStyle name="Normal 2 2 10 5 2 3" xfId="9260" xr:uid="{00000000-0005-0000-0000-00002C240000}"/>
    <cellStyle name="Normal 2 2 10 5 2 4" xfId="9261" xr:uid="{00000000-0005-0000-0000-00002D240000}"/>
    <cellStyle name="Normal 2 2 10 5 2 5" xfId="9262" xr:uid="{00000000-0005-0000-0000-00002E240000}"/>
    <cellStyle name="Normal 2 2 10 5 2 6" xfId="9263" xr:uid="{00000000-0005-0000-0000-00002F240000}"/>
    <cellStyle name="Normal 2 2 10 5 2 7" xfId="9264" xr:uid="{00000000-0005-0000-0000-000030240000}"/>
    <cellStyle name="Normal 2 2 10 5 2 8" xfId="9265" xr:uid="{00000000-0005-0000-0000-000031240000}"/>
    <cellStyle name="Normal 2 2 10 5 2 9" xfId="9266" xr:uid="{00000000-0005-0000-0000-000032240000}"/>
    <cellStyle name="Normal 2 2 10 5 3" xfId="9267" xr:uid="{00000000-0005-0000-0000-000033240000}"/>
    <cellStyle name="Normal 2 2 10 5 3 10" xfId="9268" xr:uid="{00000000-0005-0000-0000-000034240000}"/>
    <cellStyle name="Normal 2 2 10 5 3 2" xfId="9269" xr:uid="{00000000-0005-0000-0000-000035240000}"/>
    <cellStyle name="Normal 2 2 10 5 3 3" xfId="9270" xr:uid="{00000000-0005-0000-0000-000036240000}"/>
    <cellStyle name="Normal 2 2 10 5 3 4" xfId="9271" xr:uid="{00000000-0005-0000-0000-000037240000}"/>
    <cellStyle name="Normal 2 2 10 5 3 5" xfId="9272" xr:uid="{00000000-0005-0000-0000-000038240000}"/>
    <cellStyle name="Normal 2 2 10 5 3 6" xfId="9273" xr:uid="{00000000-0005-0000-0000-000039240000}"/>
    <cellStyle name="Normal 2 2 10 5 3 7" xfId="9274" xr:uid="{00000000-0005-0000-0000-00003A240000}"/>
    <cellStyle name="Normal 2 2 10 5 3 8" xfId="9275" xr:uid="{00000000-0005-0000-0000-00003B240000}"/>
    <cellStyle name="Normal 2 2 10 5 3 9" xfId="9276" xr:uid="{00000000-0005-0000-0000-00003C240000}"/>
    <cellStyle name="Normal 2 2 10 5 4" xfId="9277" xr:uid="{00000000-0005-0000-0000-00003D240000}"/>
    <cellStyle name="Normal 2 2 10 5 4 10" xfId="9278" xr:uid="{00000000-0005-0000-0000-00003E240000}"/>
    <cellStyle name="Normal 2 2 10 5 4 2" xfId="9279" xr:uid="{00000000-0005-0000-0000-00003F240000}"/>
    <cellStyle name="Normal 2 2 10 5 4 3" xfId="9280" xr:uid="{00000000-0005-0000-0000-000040240000}"/>
    <cellStyle name="Normal 2 2 10 5 4 4" xfId="9281" xr:uid="{00000000-0005-0000-0000-000041240000}"/>
    <cellStyle name="Normal 2 2 10 5 4 5" xfId="9282" xr:uid="{00000000-0005-0000-0000-000042240000}"/>
    <cellStyle name="Normal 2 2 10 5 4 6" xfId="9283" xr:uid="{00000000-0005-0000-0000-000043240000}"/>
    <cellStyle name="Normal 2 2 10 5 4 7" xfId="9284" xr:uid="{00000000-0005-0000-0000-000044240000}"/>
    <cellStyle name="Normal 2 2 10 5 4 8" xfId="9285" xr:uid="{00000000-0005-0000-0000-000045240000}"/>
    <cellStyle name="Normal 2 2 10 5 4 9" xfId="9286" xr:uid="{00000000-0005-0000-0000-000046240000}"/>
    <cellStyle name="Normal 2 2 10 5 5" xfId="9287" xr:uid="{00000000-0005-0000-0000-000047240000}"/>
    <cellStyle name="Normal 2 2 10 5 5 10" xfId="9288" xr:uid="{00000000-0005-0000-0000-000048240000}"/>
    <cellStyle name="Normal 2 2 10 5 5 2" xfId="9289" xr:uid="{00000000-0005-0000-0000-000049240000}"/>
    <cellStyle name="Normal 2 2 10 5 5 3" xfId="9290" xr:uid="{00000000-0005-0000-0000-00004A240000}"/>
    <cellStyle name="Normal 2 2 10 5 5 4" xfId="9291" xr:uid="{00000000-0005-0000-0000-00004B240000}"/>
    <cellStyle name="Normal 2 2 10 5 5 5" xfId="9292" xr:uid="{00000000-0005-0000-0000-00004C240000}"/>
    <cellStyle name="Normal 2 2 10 5 5 6" xfId="9293" xr:uid="{00000000-0005-0000-0000-00004D240000}"/>
    <cellStyle name="Normal 2 2 10 5 5 7" xfId="9294" xr:uid="{00000000-0005-0000-0000-00004E240000}"/>
    <cellStyle name="Normal 2 2 10 5 5 8" xfId="9295" xr:uid="{00000000-0005-0000-0000-00004F240000}"/>
    <cellStyle name="Normal 2 2 10 5 5 9" xfId="9296" xr:uid="{00000000-0005-0000-0000-000050240000}"/>
    <cellStyle name="Normal 2 2 10 5 6" xfId="9297" xr:uid="{00000000-0005-0000-0000-000051240000}"/>
    <cellStyle name="Normal 2 2 10 5 7" xfId="9298" xr:uid="{00000000-0005-0000-0000-000052240000}"/>
    <cellStyle name="Normal 2 2 10 5 8" xfId="9299" xr:uid="{00000000-0005-0000-0000-000053240000}"/>
    <cellStyle name="Normal 2 2 10 5 9" xfId="9300" xr:uid="{00000000-0005-0000-0000-000054240000}"/>
    <cellStyle name="Normal 2 2 10 6" xfId="9301" xr:uid="{00000000-0005-0000-0000-000055240000}"/>
    <cellStyle name="Normal 2 2 10 6 10" xfId="9302" xr:uid="{00000000-0005-0000-0000-000056240000}"/>
    <cellStyle name="Normal 2 2 10 6 11" xfId="9303" xr:uid="{00000000-0005-0000-0000-000057240000}"/>
    <cellStyle name="Normal 2 2 10 6 12" xfId="9304" xr:uid="{00000000-0005-0000-0000-000058240000}"/>
    <cellStyle name="Normal 2 2 10 6 13" xfId="9305" xr:uid="{00000000-0005-0000-0000-000059240000}"/>
    <cellStyle name="Normal 2 2 10 6 14" xfId="9306" xr:uid="{00000000-0005-0000-0000-00005A240000}"/>
    <cellStyle name="Normal 2 2 10 6 2" xfId="9307" xr:uid="{00000000-0005-0000-0000-00005B240000}"/>
    <cellStyle name="Normal 2 2 10 6 2 10" xfId="9308" xr:uid="{00000000-0005-0000-0000-00005C240000}"/>
    <cellStyle name="Normal 2 2 10 6 2 2" xfId="9309" xr:uid="{00000000-0005-0000-0000-00005D240000}"/>
    <cellStyle name="Normal 2 2 10 6 2 3" xfId="9310" xr:uid="{00000000-0005-0000-0000-00005E240000}"/>
    <cellStyle name="Normal 2 2 10 6 2 4" xfId="9311" xr:uid="{00000000-0005-0000-0000-00005F240000}"/>
    <cellStyle name="Normal 2 2 10 6 2 5" xfId="9312" xr:uid="{00000000-0005-0000-0000-000060240000}"/>
    <cellStyle name="Normal 2 2 10 6 2 6" xfId="9313" xr:uid="{00000000-0005-0000-0000-000061240000}"/>
    <cellStyle name="Normal 2 2 10 6 2 7" xfId="9314" xr:uid="{00000000-0005-0000-0000-000062240000}"/>
    <cellStyle name="Normal 2 2 10 6 2 8" xfId="9315" xr:uid="{00000000-0005-0000-0000-000063240000}"/>
    <cellStyle name="Normal 2 2 10 6 2 9" xfId="9316" xr:uid="{00000000-0005-0000-0000-000064240000}"/>
    <cellStyle name="Normal 2 2 10 6 3" xfId="9317" xr:uid="{00000000-0005-0000-0000-000065240000}"/>
    <cellStyle name="Normal 2 2 10 6 3 10" xfId="9318" xr:uid="{00000000-0005-0000-0000-000066240000}"/>
    <cellStyle name="Normal 2 2 10 6 3 2" xfId="9319" xr:uid="{00000000-0005-0000-0000-000067240000}"/>
    <cellStyle name="Normal 2 2 10 6 3 3" xfId="9320" xr:uid="{00000000-0005-0000-0000-000068240000}"/>
    <cellStyle name="Normal 2 2 10 6 3 4" xfId="9321" xr:uid="{00000000-0005-0000-0000-000069240000}"/>
    <cellStyle name="Normal 2 2 10 6 3 5" xfId="9322" xr:uid="{00000000-0005-0000-0000-00006A240000}"/>
    <cellStyle name="Normal 2 2 10 6 3 6" xfId="9323" xr:uid="{00000000-0005-0000-0000-00006B240000}"/>
    <cellStyle name="Normal 2 2 10 6 3 7" xfId="9324" xr:uid="{00000000-0005-0000-0000-00006C240000}"/>
    <cellStyle name="Normal 2 2 10 6 3 8" xfId="9325" xr:uid="{00000000-0005-0000-0000-00006D240000}"/>
    <cellStyle name="Normal 2 2 10 6 3 9" xfId="9326" xr:uid="{00000000-0005-0000-0000-00006E240000}"/>
    <cellStyle name="Normal 2 2 10 6 4" xfId="9327" xr:uid="{00000000-0005-0000-0000-00006F240000}"/>
    <cellStyle name="Normal 2 2 10 6 4 10" xfId="9328" xr:uid="{00000000-0005-0000-0000-000070240000}"/>
    <cellStyle name="Normal 2 2 10 6 4 2" xfId="9329" xr:uid="{00000000-0005-0000-0000-000071240000}"/>
    <cellStyle name="Normal 2 2 10 6 4 3" xfId="9330" xr:uid="{00000000-0005-0000-0000-000072240000}"/>
    <cellStyle name="Normal 2 2 10 6 4 4" xfId="9331" xr:uid="{00000000-0005-0000-0000-000073240000}"/>
    <cellStyle name="Normal 2 2 10 6 4 5" xfId="9332" xr:uid="{00000000-0005-0000-0000-000074240000}"/>
    <cellStyle name="Normal 2 2 10 6 4 6" xfId="9333" xr:uid="{00000000-0005-0000-0000-000075240000}"/>
    <cellStyle name="Normal 2 2 10 6 4 7" xfId="9334" xr:uid="{00000000-0005-0000-0000-000076240000}"/>
    <cellStyle name="Normal 2 2 10 6 4 8" xfId="9335" xr:uid="{00000000-0005-0000-0000-000077240000}"/>
    <cellStyle name="Normal 2 2 10 6 4 9" xfId="9336" xr:uid="{00000000-0005-0000-0000-000078240000}"/>
    <cellStyle name="Normal 2 2 10 6 5" xfId="9337" xr:uid="{00000000-0005-0000-0000-000079240000}"/>
    <cellStyle name="Normal 2 2 10 6 5 10" xfId="9338" xr:uid="{00000000-0005-0000-0000-00007A240000}"/>
    <cellStyle name="Normal 2 2 10 6 5 2" xfId="9339" xr:uid="{00000000-0005-0000-0000-00007B240000}"/>
    <cellStyle name="Normal 2 2 10 6 5 3" xfId="9340" xr:uid="{00000000-0005-0000-0000-00007C240000}"/>
    <cellStyle name="Normal 2 2 10 6 5 4" xfId="9341" xr:uid="{00000000-0005-0000-0000-00007D240000}"/>
    <cellStyle name="Normal 2 2 10 6 5 5" xfId="9342" xr:uid="{00000000-0005-0000-0000-00007E240000}"/>
    <cellStyle name="Normal 2 2 10 6 5 6" xfId="9343" xr:uid="{00000000-0005-0000-0000-00007F240000}"/>
    <cellStyle name="Normal 2 2 10 6 5 7" xfId="9344" xr:uid="{00000000-0005-0000-0000-000080240000}"/>
    <cellStyle name="Normal 2 2 10 6 5 8" xfId="9345" xr:uid="{00000000-0005-0000-0000-000081240000}"/>
    <cellStyle name="Normal 2 2 10 6 5 9" xfId="9346" xr:uid="{00000000-0005-0000-0000-000082240000}"/>
    <cellStyle name="Normal 2 2 10 6 6" xfId="9347" xr:uid="{00000000-0005-0000-0000-000083240000}"/>
    <cellStyle name="Normal 2 2 10 6 7" xfId="9348" xr:uid="{00000000-0005-0000-0000-000084240000}"/>
    <cellStyle name="Normal 2 2 10 6 8" xfId="9349" xr:uid="{00000000-0005-0000-0000-000085240000}"/>
    <cellStyle name="Normal 2 2 10 6 9" xfId="9350" xr:uid="{00000000-0005-0000-0000-000086240000}"/>
    <cellStyle name="Normal 2 2 10 7" xfId="9351" xr:uid="{00000000-0005-0000-0000-000087240000}"/>
    <cellStyle name="Normal 2 2 10 7 10" xfId="9352" xr:uid="{00000000-0005-0000-0000-000088240000}"/>
    <cellStyle name="Normal 2 2 10 7 11" xfId="9353" xr:uid="{00000000-0005-0000-0000-000089240000}"/>
    <cellStyle name="Normal 2 2 10 7 12" xfId="9354" xr:uid="{00000000-0005-0000-0000-00008A240000}"/>
    <cellStyle name="Normal 2 2 10 7 13" xfId="9355" xr:uid="{00000000-0005-0000-0000-00008B240000}"/>
    <cellStyle name="Normal 2 2 10 7 14" xfId="9356" xr:uid="{00000000-0005-0000-0000-00008C240000}"/>
    <cellStyle name="Normal 2 2 10 7 2" xfId="9357" xr:uid="{00000000-0005-0000-0000-00008D240000}"/>
    <cellStyle name="Normal 2 2 10 7 2 10" xfId="9358" xr:uid="{00000000-0005-0000-0000-00008E240000}"/>
    <cellStyle name="Normal 2 2 10 7 2 2" xfId="9359" xr:uid="{00000000-0005-0000-0000-00008F240000}"/>
    <cellStyle name="Normal 2 2 10 7 2 3" xfId="9360" xr:uid="{00000000-0005-0000-0000-000090240000}"/>
    <cellStyle name="Normal 2 2 10 7 2 4" xfId="9361" xr:uid="{00000000-0005-0000-0000-000091240000}"/>
    <cellStyle name="Normal 2 2 10 7 2 5" xfId="9362" xr:uid="{00000000-0005-0000-0000-000092240000}"/>
    <cellStyle name="Normal 2 2 10 7 2 6" xfId="9363" xr:uid="{00000000-0005-0000-0000-000093240000}"/>
    <cellStyle name="Normal 2 2 10 7 2 7" xfId="9364" xr:uid="{00000000-0005-0000-0000-000094240000}"/>
    <cellStyle name="Normal 2 2 10 7 2 8" xfId="9365" xr:uid="{00000000-0005-0000-0000-000095240000}"/>
    <cellStyle name="Normal 2 2 10 7 2 9" xfId="9366" xr:uid="{00000000-0005-0000-0000-000096240000}"/>
    <cellStyle name="Normal 2 2 10 7 3" xfId="9367" xr:uid="{00000000-0005-0000-0000-000097240000}"/>
    <cellStyle name="Normal 2 2 10 7 3 10" xfId="9368" xr:uid="{00000000-0005-0000-0000-000098240000}"/>
    <cellStyle name="Normal 2 2 10 7 3 2" xfId="9369" xr:uid="{00000000-0005-0000-0000-000099240000}"/>
    <cellStyle name="Normal 2 2 10 7 3 3" xfId="9370" xr:uid="{00000000-0005-0000-0000-00009A240000}"/>
    <cellStyle name="Normal 2 2 10 7 3 4" xfId="9371" xr:uid="{00000000-0005-0000-0000-00009B240000}"/>
    <cellStyle name="Normal 2 2 10 7 3 5" xfId="9372" xr:uid="{00000000-0005-0000-0000-00009C240000}"/>
    <cellStyle name="Normal 2 2 10 7 3 6" xfId="9373" xr:uid="{00000000-0005-0000-0000-00009D240000}"/>
    <cellStyle name="Normal 2 2 10 7 3 7" xfId="9374" xr:uid="{00000000-0005-0000-0000-00009E240000}"/>
    <cellStyle name="Normal 2 2 10 7 3 8" xfId="9375" xr:uid="{00000000-0005-0000-0000-00009F240000}"/>
    <cellStyle name="Normal 2 2 10 7 3 9" xfId="9376" xr:uid="{00000000-0005-0000-0000-0000A0240000}"/>
    <cellStyle name="Normal 2 2 10 7 4" xfId="9377" xr:uid="{00000000-0005-0000-0000-0000A1240000}"/>
    <cellStyle name="Normal 2 2 10 7 4 10" xfId="9378" xr:uid="{00000000-0005-0000-0000-0000A2240000}"/>
    <cellStyle name="Normal 2 2 10 7 4 2" xfId="9379" xr:uid="{00000000-0005-0000-0000-0000A3240000}"/>
    <cellStyle name="Normal 2 2 10 7 4 3" xfId="9380" xr:uid="{00000000-0005-0000-0000-0000A4240000}"/>
    <cellStyle name="Normal 2 2 10 7 4 4" xfId="9381" xr:uid="{00000000-0005-0000-0000-0000A5240000}"/>
    <cellStyle name="Normal 2 2 10 7 4 5" xfId="9382" xr:uid="{00000000-0005-0000-0000-0000A6240000}"/>
    <cellStyle name="Normal 2 2 10 7 4 6" xfId="9383" xr:uid="{00000000-0005-0000-0000-0000A7240000}"/>
    <cellStyle name="Normal 2 2 10 7 4 7" xfId="9384" xr:uid="{00000000-0005-0000-0000-0000A8240000}"/>
    <cellStyle name="Normal 2 2 10 7 4 8" xfId="9385" xr:uid="{00000000-0005-0000-0000-0000A9240000}"/>
    <cellStyle name="Normal 2 2 10 7 4 9" xfId="9386" xr:uid="{00000000-0005-0000-0000-0000AA240000}"/>
    <cellStyle name="Normal 2 2 10 7 5" xfId="9387" xr:uid="{00000000-0005-0000-0000-0000AB240000}"/>
    <cellStyle name="Normal 2 2 10 7 5 10" xfId="9388" xr:uid="{00000000-0005-0000-0000-0000AC240000}"/>
    <cellStyle name="Normal 2 2 10 7 5 2" xfId="9389" xr:uid="{00000000-0005-0000-0000-0000AD240000}"/>
    <cellStyle name="Normal 2 2 10 7 5 3" xfId="9390" xr:uid="{00000000-0005-0000-0000-0000AE240000}"/>
    <cellStyle name="Normal 2 2 10 7 5 4" xfId="9391" xr:uid="{00000000-0005-0000-0000-0000AF240000}"/>
    <cellStyle name="Normal 2 2 10 7 5 5" xfId="9392" xr:uid="{00000000-0005-0000-0000-0000B0240000}"/>
    <cellStyle name="Normal 2 2 10 7 5 6" xfId="9393" xr:uid="{00000000-0005-0000-0000-0000B1240000}"/>
    <cellStyle name="Normal 2 2 10 7 5 7" xfId="9394" xr:uid="{00000000-0005-0000-0000-0000B2240000}"/>
    <cellStyle name="Normal 2 2 10 7 5 8" xfId="9395" xr:uid="{00000000-0005-0000-0000-0000B3240000}"/>
    <cellStyle name="Normal 2 2 10 7 5 9" xfId="9396" xr:uid="{00000000-0005-0000-0000-0000B4240000}"/>
    <cellStyle name="Normal 2 2 10 7 6" xfId="9397" xr:uid="{00000000-0005-0000-0000-0000B5240000}"/>
    <cellStyle name="Normal 2 2 10 7 7" xfId="9398" xr:uid="{00000000-0005-0000-0000-0000B6240000}"/>
    <cellStyle name="Normal 2 2 10 7 8" xfId="9399" xr:uid="{00000000-0005-0000-0000-0000B7240000}"/>
    <cellStyle name="Normal 2 2 10 7 9" xfId="9400" xr:uid="{00000000-0005-0000-0000-0000B8240000}"/>
    <cellStyle name="Normal 2 2 10 8" xfId="9401" xr:uid="{00000000-0005-0000-0000-0000B9240000}"/>
    <cellStyle name="Normal 2 2 10 8 10" xfId="9402" xr:uid="{00000000-0005-0000-0000-0000BA240000}"/>
    <cellStyle name="Normal 2 2 10 8 11" xfId="9403" xr:uid="{00000000-0005-0000-0000-0000BB240000}"/>
    <cellStyle name="Normal 2 2 10 8 12" xfId="9404" xr:uid="{00000000-0005-0000-0000-0000BC240000}"/>
    <cellStyle name="Normal 2 2 10 8 13" xfId="9405" xr:uid="{00000000-0005-0000-0000-0000BD240000}"/>
    <cellStyle name="Normal 2 2 10 8 14" xfId="9406" xr:uid="{00000000-0005-0000-0000-0000BE240000}"/>
    <cellStyle name="Normal 2 2 10 8 2" xfId="9407" xr:uid="{00000000-0005-0000-0000-0000BF240000}"/>
    <cellStyle name="Normal 2 2 10 8 2 10" xfId="9408" xr:uid="{00000000-0005-0000-0000-0000C0240000}"/>
    <cellStyle name="Normal 2 2 10 8 2 2" xfId="9409" xr:uid="{00000000-0005-0000-0000-0000C1240000}"/>
    <cellStyle name="Normal 2 2 10 8 2 3" xfId="9410" xr:uid="{00000000-0005-0000-0000-0000C2240000}"/>
    <cellStyle name="Normal 2 2 10 8 2 4" xfId="9411" xr:uid="{00000000-0005-0000-0000-0000C3240000}"/>
    <cellStyle name="Normal 2 2 10 8 2 5" xfId="9412" xr:uid="{00000000-0005-0000-0000-0000C4240000}"/>
    <cellStyle name="Normal 2 2 10 8 2 6" xfId="9413" xr:uid="{00000000-0005-0000-0000-0000C5240000}"/>
    <cellStyle name="Normal 2 2 10 8 2 7" xfId="9414" xr:uid="{00000000-0005-0000-0000-0000C6240000}"/>
    <cellStyle name="Normal 2 2 10 8 2 8" xfId="9415" xr:uid="{00000000-0005-0000-0000-0000C7240000}"/>
    <cellStyle name="Normal 2 2 10 8 2 9" xfId="9416" xr:uid="{00000000-0005-0000-0000-0000C8240000}"/>
    <cellStyle name="Normal 2 2 10 8 3" xfId="9417" xr:uid="{00000000-0005-0000-0000-0000C9240000}"/>
    <cellStyle name="Normal 2 2 10 8 3 10" xfId="9418" xr:uid="{00000000-0005-0000-0000-0000CA240000}"/>
    <cellStyle name="Normal 2 2 10 8 3 2" xfId="9419" xr:uid="{00000000-0005-0000-0000-0000CB240000}"/>
    <cellStyle name="Normal 2 2 10 8 3 3" xfId="9420" xr:uid="{00000000-0005-0000-0000-0000CC240000}"/>
    <cellStyle name="Normal 2 2 10 8 3 4" xfId="9421" xr:uid="{00000000-0005-0000-0000-0000CD240000}"/>
    <cellStyle name="Normal 2 2 10 8 3 5" xfId="9422" xr:uid="{00000000-0005-0000-0000-0000CE240000}"/>
    <cellStyle name="Normal 2 2 10 8 3 6" xfId="9423" xr:uid="{00000000-0005-0000-0000-0000CF240000}"/>
    <cellStyle name="Normal 2 2 10 8 3 7" xfId="9424" xr:uid="{00000000-0005-0000-0000-0000D0240000}"/>
    <cellStyle name="Normal 2 2 10 8 3 8" xfId="9425" xr:uid="{00000000-0005-0000-0000-0000D1240000}"/>
    <cellStyle name="Normal 2 2 10 8 3 9" xfId="9426" xr:uid="{00000000-0005-0000-0000-0000D2240000}"/>
    <cellStyle name="Normal 2 2 10 8 4" xfId="9427" xr:uid="{00000000-0005-0000-0000-0000D3240000}"/>
    <cellStyle name="Normal 2 2 10 8 4 10" xfId="9428" xr:uid="{00000000-0005-0000-0000-0000D4240000}"/>
    <cellStyle name="Normal 2 2 10 8 4 2" xfId="9429" xr:uid="{00000000-0005-0000-0000-0000D5240000}"/>
    <cellStyle name="Normal 2 2 10 8 4 3" xfId="9430" xr:uid="{00000000-0005-0000-0000-0000D6240000}"/>
    <cellStyle name="Normal 2 2 10 8 4 4" xfId="9431" xr:uid="{00000000-0005-0000-0000-0000D7240000}"/>
    <cellStyle name="Normal 2 2 10 8 4 5" xfId="9432" xr:uid="{00000000-0005-0000-0000-0000D8240000}"/>
    <cellStyle name="Normal 2 2 10 8 4 6" xfId="9433" xr:uid="{00000000-0005-0000-0000-0000D9240000}"/>
    <cellStyle name="Normal 2 2 10 8 4 7" xfId="9434" xr:uid="{00000000-0005-0000-0000-0000DA240000}"/>
    <cellStyle name="Normal 2 2 10 8 4 8" xfId="9435" xr:uid="{00000000-0005-0000-0000-0000DB240000}"/>
    <cellStyle name="Normal 2 2 10 8 4 9" xfId="9436" xr:uid="{00000000-0005-0000-0000-0000DC240000}"/>
    <cellStyle name="Normal 2 2 10 8 5" xfId="9437" xr:uid="{00000000-0005-0000-0000-0000DD240000}"/>
    <cellStyle name="Normal 2 2 10 8 5 10" xfId="9438" xr:uid="{00000000-0005-0000-0000-0000DE240000}"/>
    <cellStyle name="Normal 2 2 10 8 5 2" xfId="9439" xr:uid="{00000000-0005-0000-0000-0000DF240000}"/>
    <cellStyle name="Normal 2 2 10 8 5 3" xfId="9440" xr:uid="{00000000-0005-0000-0000-0000E0240000}"/>
    <cellStyle name="Normal 2 2 10 8 5 4" xfId="9441" xr:uid="{00000000-0005-0000-0000-0000E1240000}"/>
    <cellStyle name="Normal 2 2 10 8 5 5" xfId="9442" xr:uid="{00000000-0005-0000-0000-0000E2240000}"/>
    <cellStyle name="Normal 2 2 10 8 5 6" xfId="9443" xr:uid="{00000000-0005-0000-0000-0000E3240000}"/>
    <cellStyle name="Normal 2 2 10 8 5 7" xfId="9444" xr:uid="{00000000-0005-0000-0000-0000E4240000}"/>
    <cellStyle name="Normal 2 2 10 8 5 8" xfId="9445" xr:uid="{00000000-0005-0000-0000-0000E5240000}"/>
    <cellStyle name="Normal 2 2 10 8 5 9" xfId="9446" xr:uid="{00000000-0005-0000-0000-0000E6240000}"/>
    <cellStyle name="Normal 2 2 10 8 6" xfId="9447" xr:uid="{00000000-0005-0000-0000-0000E7240000}"/>
    <cellStyle name="Normal 2 2 10 8 7" xfId="9448" xr:uid="{00000000-0005-0000-0000-0000E8240000}"/>
    <cellStyle name="Normal 2 2 10 8 8" xfId="9449" xr:uid="{00000000-0005-0000-0000-0000E9240000}"/>
    <cellStyle name="Normal 2 2 10 8 9" xfId="9450" xr:uid="{00000000-0005-0000-0000-0000EA240000}"/>
    <cellStyle name="Normal 2 2 10 9" xfId="9451" xr:uid="{00000000-0005-0000-0000-0000EB240000}"/>
    <cellStyle name="Normal 2 2 10 9 10" xfId="9452" xr:uid="{00000000-0005-0000-0000-0000EC240000}"/>
    <cellStyle name="Normal 2 2 10 9 11" xfId="9453" xr:uid="{00000000-0005-0000-0000-0000ED240000}"/>
    <cellStyle name="Normal 2 2 10 9 12" xfId="9454" xr:uid="{00000000-0005-0000-0000-0000EE240000}"/>
    <cellStyle name="Normal 2 2 10 9 13" xfId="9455" xr:uid="{00000000-0005-0000-0000-0000EF240000}"/>
    <cellStyle name="Normal 2 2 10 9 14" xfId="9456" xr:uid="{00000000-0005-0000-0000-0000F0240000}"/>
    <cellStyle name="Normal 2 2 10 9 2" xfId="9457" xr:uid="{00000000-0005-0000-0000-0000F1240000}"/>
    <cellStyle name="Normal 2 2 10 9 2 10" xfId="9458" xr:uid="{00000000-0005-0000-0000-0000F2240000}"/>
    <cellStyle name="Normal 2 2 10 9 2 2" xfId="9459" xr:uid="{00000000-0005-0000-0000-0000F3240000}"/>
    <cellStyle name="Normal 2 2 10 9 2 3" xfId="9460" xr:uid="{00000000-0005-0000-0000-0000F4240000}"/>
    <cellStyle name="Normal 2 2 10 9 2 4" xfId="9461" xr:uid="{00000000-0005-0000-0000-0000F5240000}"/>
    <cellStyle name="Normal 2 2 10 9 2 5" xfId="9462" xr:uid="{00000000-0005-0000-0000-0000F6240000}"/>
    <cellStyle name="Normal 2 2 10 9 2 6" xfId="9463" xr:uid="{00000000-0005-0000-0000-0000F7240000}"/>
    <cellStyle name="Normal 2 2 10 9 2 7" xfId="9464" xr:uid="{00000000-0005-0000-0000-0000F8240000}"/>
    <cellStyle name="Normal 2 2 10 9 2 8" xfId="9465" xr:uid="{00000000-0005-0000-0000-0000F9240000}"/>
    <cellStyle name="Normal 2 2 10 9 2 9" xfId="9466" xr:uid="{00000000-0005-0000-0000-0000FA240000}"/>
    <cellStyle name="Normal 2 2 10 9 3" xfId="9467" xr:uid="{00000000-0005-0000-0000-0000FB240000}"/>
    <cellStyle name="Normal 2 2 10 9 3 10" xfId="9468" xr:uid="{00000000-0005-0000-0000-0000FC240000}"/>
    <cellStyle name="Normal 2 2 10 9 3 2" xfId="9469" xr:uid="{00000000-0005-0000-0000-0000FD240000}"/>
    <cellStyle name="Normal 2 2 10 9 3 3" xfId="9470" xr:uid="{00000000-0005-0000-0000-0000FE240000}"/>
    <cellStyle name="Normal 2 2 10 9 3 4" xfId="9471" xr:uid="{00000000-0005-0000-0000-0000FF240000}"/>
    <cellStyle name="Normal 2 2 10 9 3 5" xfId="9472" xr:uid="{00000000-0005-0000-0000-000000250000}"/>
    <cellStyle name="Normal 2 2 10 9 3 6" xfId="9473" xr:uid="{00000000-0005-0000-0000-000001250000}"/>
    <cellStyle name="Normal 2 2 10 9 3 7" xfId="9474" xr:uid="{00000000-0005-0000-0000-000002250000}"/>
    <cellStyle name="Normal 2 2 10 9 3 8" xfId="9475" xr:uid="{00000000-0005-0000-0000-000003250000}"/>
    <cellStyle name="Normal 2 2 10 9 3 9" xfId="9476" xr:uid="{00000000-0005-0000-0000-000004250000}"/>
    <cellStyle name="Normal 2 2 10 9 4" xfId="9477" xr:uid="{00000000-0005-0000-0000-000005250000}"/>
    <cellStyle name="Normal 2 2 10 9 4 10" xfId="9478" xr:uid="{00000000-0005-0000-0000-000006250000}"/>
    <cellStyle name="Normal 2 2 10 9 4 2" xfId="9479" xr:uid="{00000000-0005-0000-0000-000007250000}"/>
    <cellStyle name="Normal 2 2 10 9 4 3" xfId="9480" xr:uid="{00000000-0005-0000-0000-000008250000}"/>
    <cellStyle name="Normal 2 2 10 9 4 4" xfId="9481" xr:uid="{00000000-0005-0000-0000-000009250000}"/>
    <cellStyle name="Normal 2 2 10 9 4 5" xfId="9482" xr:uid="{00000000-0005-0000-0000-00000A250000}"/>
    <cellStyle name="Normal 2 2 10 9 4 6" xfId="9483" xr:uid="{00000000-0005-0000-0000-00000B250000}"/>
    <cellStyle name="Normal 2 2 10 9 4 7" xfId="9484" xr:uid="{00000000-0005-0000-0000-00000C250000}"/>
    <cellStyle name="Normal 2 2 10 9 4 8" xfId="9485" xr:uid="{00000000-0005-0000-0000-00000D250000}"/>
    <cellStyle name="Normal 2 2 10 9 4 9" xfId="9486" xr:uid="{00000000-0005-0000-0000-00000E250000}"/>
    <cellStyle name="Normal 2 2 10 9 5" xfId="9487" xr:uid="{00000000-0005-0000-0000-00000F250000}"/>
    <cellStyle name="Normal 2 2 10 9 5 10" xfId="9488" xr:uid="{00000000-0005-0000-0000-000010250000}"/>
    <cellStyle name="Normal 2 2 10 9 5 2" xfId="9489" xr:uid="{00000000-0005-0000-0000-000011250000}"/>
    <cellStyle name="Normal 2 2 10 9 5 3" xfId="9490" xr:uid="{00000000-0005-0000-0000-000012250000}"/>
    <cellStyle name="Normal 2 2 10 9 5 4" xfId="9491" xr:uid="{00000000-0005-0000-0000-000013250000}"/>
    <cellStyle name="Normal 2 2 10 9 5 5" xfId="9492" xr:uid="{00000000-0005-0000-0000-000014250000}"/>
    <cellStyle name="Normal 2 2 10 9 5 6" xfId="9493" xr:uid="{00000000-0005-0000-0000-000015250000}"/>
    <cellStyle name="Normal 2 2 10 9 5 7" xfId="9494" xr:uid="{00000000-0005-0000-0000-000016250000}"/>
    <cellStyle name="Normal 2 2 10 9 5 8" xfId="9495" xr:uid="{00000000-0005-0000-0000-000017250000}"/>
    <cellStyle name="Normal 2 2 10 9 5 9" xfId="9496" xr:uid="{00000000-0005-0000-0000-000018250000}"/>
    <cellStyle name="Normal 2 2 10 9 6" xfId="9497" xr:uid="{00000000-0005-0000-0000-000019250000}"/>
    <cellStyle name="Normal 2 2 10 9 7" xfId="9498" xr:uid="{00000000-0005-0000-0000-00001A250000}"/>
    <cellStyle name="Normal 2 2 10 9 8" xfId="9499" xr:uid="{00000000-0005-0000-0000-00001B250000}"/>
    <cellStyle name="Normal 2 2 10 9 9" xfId="9500" xr:uid="{00000000-0005-0000-0000-00001C250000}"/>
    <cellStyle name="Normal 2 2 11" xfId="9501" xr:uid="{00000000-0005-0000-0000-00001D250000}"/>
    <cellStyle name="Normal 2 2 12" xfId="9502" xr:uid="{00000000-0005-0000-0000-00001E250000}"/>
    <cellStyle name="Normal 2 2 13" xfId="9503" xr:uid="{00000000-0005-0000-0000-00001F250000}"/>
    <cellStyle name="Normal 2 2 14" xfId="9504" xr:uid="{00000000-0005-0000-0000-000020250000}"/>
    <cellStyle name="Normal 2 2 15" xfId="9505" xr:uid="{00000000-0005-0000-0000-000021250000}"/>
    <cellStyle name="Normal 2 2 16" xfId="9506" xr:uid="{00000000-0005-0000-0000-000022250000}"/>
    <cellStyle name="Normal 2 2 17" xfId="9507" xr:uid="{00000000-0005-0000-0000-000023250000}"/>
    <cellStyle name="Normal 2 2 18" xfId="9508" xr:uid="{00000000-0005-0000-0000-000024250000}"/>
    <cellStyle name="Normal 2 2 19" xfId="9509" xr:uid="{00000000-0005-0000-0000-000025250000}"/>
    <cellStyle name="Normal 2 2 2" xfId="9" xr:uid="{00000000-0005-0000-0000-000009000000}"/>
    <cellStyle name="Normal 2 2 2 10" xfId="9510" xr:uid="{00000000-0005-0000-0000-000026250000}"/>
    <cellStyle name="Normal 2 2 2 10 10" xfId="9511" xr:uid="{00000000-0005-0000-0000-000027250000}"/>
    <cellStyle name="Normal 2 2 2 10 11" xfId="9512" xr:uid="{00000000-0005-0000-0000-000028250000}"/>
    <cellStyle name="Normal 2 2 2 10 12" xfId="9513" xr:uid="{00000000-0005-0000-0000-000029250000}"/>
    <cellStyle name="Normal 2 2 2 10 13" xfId="9514" xr:uid="{00000000-0005-0000-0000-00002A250000}"/>
    <cellStyle name="Normal 2 2 2 10 14" xfId="9515" xr:uid="{00000000-0005-0000-0000-00002B250000}"/>
    <cellStyle name="Normal 2 2 2 10 2" xfId="9516" xr:uid="{00000000-0005-0000-0000-00002C250000}"/>
    <cellStyle name="Normal 2 2 2 10 2 10" xfId="9517" xr:uid="{00000000-0005-0000-0000-00002D250000}"/>
    <cellStyle name="Normal 2 2 2 10 2 2" xfId="9518" xr:uid="{00000000-0005-0000-0000-00002E250000}"/>
    <cellStyle name="Normal 2 2 2 10 2 3" xfId="9519" xr:uid="{00000000-0005-0000-0000-00002F250000}"/>
    <cellStyle name="Normal 2 2 2 10 2 4" xfId="9520" xr:uid="{00000000-0005-0000-0000-000030250000}"/>
    <cellStyle name="Normal 2 2 2 10 2 5" xfId="9521" xr:uid="{00000000-0005-0000-0000-000031250000}"/>
    <cellStyle name="Normal 2 2 2 10 2 6" xfId="9522" xr:uid="{00000000-0005-0000-0000-000032250000}"/>
    <cellStyle name="Normal 2 2 2 10 2 7" xfId="9523" xr:uid="{00000000-0005-0000-0000-000033250000}"/>
    <cellStyle name="Normal 2 2 2 10 2 8" xfId="9524" xr:uid="{00000000-0005-0000-0000-000034250000}"/>
    <cellStyle name="Normal 2 2 2 10 2 9" xfId="9525" xr:uid="{00000000-0005-0000-0000-000035250000}"/>
    <cellStyle name="Normal 2 2 2 10 3" xfId="9526" xr:uid="{00000000-0005-0000-0000-000036250000}"/>
    <cellStyle name="Normal 2 2 2 10 3 10" xfId="9527" xr:uid="{00000000-0005-0000-0000-000037250000}"/>
    <cellStyle name="Normal 2 2 2 10 3 2" xfId="9528" xr:uid="{00000000-0005-0000-0000-000038250000}"/>
    <cellStyle name="Normal 2 2 2 10 3 3" xfId="9529" xr:uid="{00000000-0005-0000-0000-000039250000}"/>
    <cellStyle name="Normal 2 2 2 10 3 4" xfId="9530" xr:uid="{00000000-0005-0000-0000-00003A250000}"/>
    <cellStyle name="Normal 2 2 2 10 3 5" xfId="9531" xr:uid="{00000000-0005-0000-0000-00003B250000}"/>
    <cellStyle name="Normal 2 2 2 10 3 6" xfId="9532" xr:uid="{00000000-0005-0000-0000-00003C250000}"/>
    <cellStyle name="Normal 2 2 2 10 3 7" xfId="9533" xr:uid="{00000000-0005-0000-0000-00003D250000}"/>
    <cellStyle name="Normal 2 2 2 10 3 8" xfId="9534" xr:uid="{00000000-0005-0000-0000-00003E250000}"/>
    <cellStyle name="Normal 2 2 2 10 3 9" xfId="9535" xr:uid="{00000000-0005-0000-0000-00003F250000}"/>
    <cellStyle name="Normal 2 2 2 10 4" xfId="9536" xr:uid="{00000000-0005-0000-0000-000040250000}"/>
    <cellStyle name="Normal 2 2 2 10 4 10" xfId="9537" xr:uid="{00000000-0005-0000-0000-000041250000}"/>
    <cellStyle name="Normal 2 2 2 10 4 2" xfId="9538" xr:uid="{00000000-0005-0000-0000-000042250000}"/>
    <cellStyle name="Normal 2 2 2 10 4 3" xfId="9539" xr:uid="{00000000-0005-0000-0000-000043250000}"/>
    <cellStyle name="Normal 2 2 2 10 4 4" xfId="9540" xr:uid="{00000000-0005-0000-0000-000044250000}"/>
    <cellStyle name="Normal 2 2 2 10 4 5" xfId="9541" xr:uid="{00000000-0005-0000-0000-000045250000}"/>
    <cellStyle name="Normal 2 2 2 10 4 6" xfId="9542" xr:uid="{00000000-0005-0000-0000-000046250000}"/>
    <cellStyle name="Normal 2 2 2 10 4 7" xfId="9543" xr:uid="{00000000-0005-0000-0000-000047250000}"/>
    <cellStyle name="Normal 2 2 2 10 4 8" xfId="9544" xr:uid="{00000000-0005-0000-0000-000048250000}"/>
    <cellStyle name="Normal 2 2 2 10 4 9" xfId="9545" xr:uid="{00000000-0005-0000-0000-000049250000}"/>
    <cellStyle name="Normal 2 2 2 10 5" xfId="9546" xr:uid="{00000000-0005-0000-0000-00004A250000}"/>
    <cellStyle name="Normal 2 2 2 10 5 10" xfId="9547" xr:uid="{00000000-0005-0000-0000-00004B250000}"/>
    <cellStyle name="Normal 2 2 2 10 5 2" xfId="9548" xr:uid="{00000000-0005-0000-0000-00004C250000}"/>
    <cellStyle name="Normal 2 2 2 10 5 3" xfId="9549" xr:uid="{00000000-0005-0000-0000-00004D250000}"/>
    <cellStyle name="Normal 2 2 2 10 5 4" xfId="9550" xr:uid="{00000000-0005-0000-0000-00004E250000}"/>
    <cellStyle name="Normal 2 2 2 10 5 5" xfId="9551" xr:uid="{00000000-0005-0000-0000-00004F250000}"/>
    <cellStyle name="Normal 2 2 2 10 5 6" xfId="9552" xr:uid="{00000000-0005-0000-0000-000050250000}"/>
    <cellStyle name="Normal 2 2 2 10 5 7" xfId="9553" xr:uid="{00000000-0005-0000-0000-000051250000}"/>
    <cellStyle name="Normal 2 2 2 10 5 8" xfId="9554" xr:uid="{00000000-0005-0000-0000-000052250000}"/>
    <cellStyle name="Normal 2 2 2 10 5 9" xfId="9555" xr:uid="{00000000-0005-0000-0000-000053250000}"/>
    <cellStyle name="Normal 2 2 2 10 6" xfId="9556" xr:uid="{00000000-0005-0000-0000-000054250000}"/>
    <cellStyle name="Normal 2 2 2 10 7" xfId="9557" xr:uid="{00000000-0005-0000-0000-000055250000}"/>
    <cellStyle name="Normal 2 2 2 10 8" xfId="9558" xr:uid="{00000000-0005-0000-0000-000056250000}"/>
    <cellStyle name="Normal 2 2 2 10 9" xfId="9559" xr:uid="{00000000-0005-0000-0000-000057250000}"/>
    <cellStyle name="Normal 2 2 2 11" xfId="9560" xr:uid="{00000000-0005-0000-0000-000058250000}"/>
    <cellStyle name="Normal 2 2 2 11 10" xfId="9561" xr:uid="{00000000-0005-0000-0000-000059250000}"/>
    <cellStyle name="Normal 2 2 2 11 11" xfId="9562" xr:uid="{00000000-0005-0000-0000-00005A250000}"/>
    <cellStyle name="Normal 2 2 2 11 12" xfId="9563" xr:uid="{00000000-0005-0000-0000-00005B250000}"/>
    <cellStyle name="Normal 2 2 2 11 13" xfId="9564" xr:uid="{00000000-0005-0000-0000-00005C250000}"/>
    <cellStyle name="Normal 2 2 2 11 14" xfId="9565" xr:uid="{00000000-0005-0000-0000-00005D250000}"/>
    <cellStyle name="Normal 2 2 2 11 2" xfId="9566" xr:uid="{00000000-0005-0000-0000-00005E250000}"/>
    <cellStyle name="Normal 2 2 2 11 2 10" xfId="9567" xr:uid="{00000000-0005-0000-0000-00005F250000}"/>
    <cellStyle name="Normal 2 2 2 11 2 2" xfId="9568" xr:uid="{00000000-0005-0000-0000-000060250000}"/>
    <cellStyle name="Normal 2 2 2 11 2 3" xfId="9569" xr:uid="{00000000-0005-0000-0000-000061250000}"/>
    <cellStyle name="Normal 2 2 2 11 2 4" xfId="9570" xr:uid="{00000000-0005-0000-0000-000062250000}"/>
    <cellStyle name="Normal 2 2 2 11 2 5" xfId="9571" xr:uid="{00000000-0005-0000-0000-000063250000}"/>
    <cellStyle name="Normal 2 2 2 11 2 6" xfId="9572" xr:uid="{00000000-0005-0000-0000-000064250000}"/>
    <cellStyle name="Normal 2 2 2 11 2 7" xfId="9573" xr:uid="{00000000-0005-0000-0000-000065250000}"/>
    <cellStyle name="Normal 2 2 2 11 2 8" xfId="9574" xr:uid="{00000000-0005-0000-0000-000066250000}"/>
    <cellStyle name="Normal 2 2 2 11 2 9" xfId="9575" xr:uid="{00000000-0005-0000-0000-000067250000}"/>
    <cellStyle name="Normal 2 2 2 11 3" xfId="9576" xr:uid="{00000000-0005-0000-0000-000068250000}"/>
    <cellStyle name="Normal 2 2 2 11 3 10" xfId="9577" xr:uid="{00000000-0005-0000-0000-000069250000}"/>
    <cellStyle name="Normal 2 2 2 11 3 2" xfId="9578" xr:uid="{00000000-0005-0000-0000-00006A250000}"/>
    <cellStyle name="Normal 2 2 2 11 3 3" xfId="9579" xr:uid="{00000000-0005-0000-0000-00006B250000}"/>
    <cellStyle name="Normal 2 2 2 11 3 4" xfId="9580" xr:uid="{00000000-0005-0000-0000-00006C250000}"/>
    <cellStyle name="Normal 2 2 2 11 3 5" xfId="9581" xr:uid="{00000000-0005-0000-0000-00006D250000}"/>
    <cellStyle name="Normal 2 2 2 11 3 6" xfId="9582" xr:uid="{00000000-0005-0000-0000-00006E250000}"/>
    <cellStyle name="Normal 2 2 2 11 3 7" xfId="9583" xr:uid="{00000000-0005-0000-0000-00006F250000}"/>
    <cellStyle name="Normal 2 2 2 11 3 8" xfId="9584" xr:uid="{00000000-0005-0000-0000-000070250000}"/>
    <cellStyle name="Normal 2 2 2 11 3 9" xfId="9585" xr:uid="{00000000-0005-0000-0000-000071250000}"/>
    <cellStyle name="Normal 2 2 2 11 4" xfId="9586" xr:uid="{00000000-0005-0000-0000-000072250000}"/>
    <cellStyle name="Normal 2 2 2 11 4 10" xfId="9587" xr:uid="{00000000-0005-0000-0000-000073250000}"/>
    <cellStyle name="Normal 2 2 2 11 4 2" xfId="9588" xr:uid="{00000000-0005-0000-0000-000074250000}"/>
    <cellStyle name="Normal 2 2 2 11 4 3" xfId="9589" xr:uid="{00000000-0005-0000-0000-000075250000}"/>
    <cellStyle name="Normal 2 2 2 11 4 4" xfId="9590" xr:uid="{00000000-0005-0000-0000-000076250000}"/>
    <cellStyle name="Normal 2 2 2 11 4 5" xfId="9591" xr:uid="{00000000-0005-0000-0000-000077250000}"/>
    <cellStyle name="Normal 2 2 2 11 4 6" xfId="9592" xr:uid="{00000000-0005-0000-0000-000078250000}"/>
    <cellStyle name="Normal 2 2 2 11 4 7" xfId="9593" xr:uid="{00000000-0005-0000-0000-000079250000}"/>
    <cellStyle name="Normal 2 2 2 11 4 8" xfId="9594" xr:uid="{00000000-0005-0000-0000-00007A250000}"/>
    <cellStyle name="Normal 2 2 2 11 4 9" xfId="9595" xr:uid="{00000000-0005-0000-0000-00007B250000}"/>
    <cellStyle name="Normal 2 2 2 11 5" xfId="9596" xr:uid="{00000000-0005-0000-0000-00007C250000}"/>
    <cellStyle name="Normal 2 2 2 11 5 10" xfId="9597" xr:uid="{00000000-0005-0000-0000-00007D250000}"/>
    <cellStyle name="Normal 2 2 2 11 5 2" xfId="9598" xr:uid="{00000000-0005-0000-0000-00007E250000}"/>
    <cellStyle name="Normal 2 2 2 11 5 3" xfId="9599" xr:uid="{00000000-0005-0000-0000-00007F250000}"/>
    <cellStyle name="Normal 2 2 2 11 5 4" xfId="9600" xr:uid="{00000000-0005-0000-0000-000080250000}"/>
    <cellStyle name="Normal 2 2 2 11 5 5" xfId="9601" xr:uid="{00000000-0005-0000-0000-000081250000}"/>
    <cellStyle name="Normal 2 2 2 11 5 6" xfId="9602" xr:uid="{00000000-0005-0000-0000-000082250000}"/>
    <cellStyle name="Normal 2 2 2 11 5 7" xfId="9603" xr:uid="{00000000-0005-0000-0000-000083250000}"/>
    <cellStyle name="Normal 2 2 2 11 5 8" xfId="9604" xr:uid="{00000000-0005-0000-0000-000084250000}"/>
    <cellStyle name="Normal 2 2 2 11 5 9" xfId="9605" xr:uid="{00000000-0005-0000-0000-000085250000}"/>
    <cellStyle name="Normal 2 2 2 11 6" xfId="9606" xr:uid="{00000000-0005-0000-0000-000086250000}"/>
    <cellStyle name="Normal 2 2 2 11 7" xfId="9607" xr:uid="{00000000-0005-0000-0000-000087250000}"/>
    <cellStyle name="Normal 2 2 2 11 8" xfId="9608" xr:uid="{00000000-0005-0000-0000-000088250000}"/>
    <cellStyle name="Normal 2 2 2 11 9" xfId="9609" xr:uid="{00000000-0005-0000-0000-000089250000}"/>
    <cellStyle name="Normal 2 2 2 12" xfId="9610" xr:uid="{00000000-0005-0000-0000-00008A250000}"/>
    <cellStyle name="Normal 2 2 2 12 10" xfId="9611" xr:uid="{00000000-0005-0000-0000-00008B250000}"/>
    <cellStyle name="Normal 2 2 2 12 11" xfId="9612" xr:uid="{00000000-0005-0000-0000-00008C250000}"/>
    <cellStyle name="Normal 2 2 2 12 12" xfId="9613" xr:uid="{00000000-0005-0000-0000-00008D250000}"/>
    <cellStyle name="Normal 2 2 2 12 13" xfId="9614" xr:uid="{00000000-0005-0000-0000-00008E250000}"/>
    <cellStyle name="Normal 2 2 2 12 14" xfId="9615" xr:uid="{00000000-0005-0000-0000-00008F250000}"/>
    <cellStyle name="Normal 2 2 2 12 2" xfId="9616" xr:uid="{00000000-0005-0000-0000-000090250000}"/>
    <cellStyle name="Normal 2 2 2 12 2 10" xfId="9617" xr:uid="{00000000-0005-0000-0000-000091250000}"/>
    <cellStyle name="Normal 2 2 2 12 2 2" xfId="9618" xr:uid="{00000000-0005-0000-0000-000092250000}"/>
    <cellStyle name="Normal 2 2 2 12 2 3" xfId="9619" xr:uid="{00000000-0005-0000-0000-000093250000}"/>
    <cellStyle name="Normal 2 2 2 12 2 4" xfId="9620" xr:uid="{00000000-0005-0000-0000-000094250000}"/>
    <cellStyle name="Normal 2 2 2 12 2 5" xfId="9621" xr:uid="{00000000-0005-0000-0000-000095250000}"/>
    <cellStyle name="Normal 2 2 2 12 2 6" xfId="9622" xr:uid="{00000000-0005-0000-0000-000096250000}"/>
    <cellStyle name="Normal 2 2 2 12 2 7" xfId="9623" xr:uid="{00000000-0005-0000-0000-000097250000}"/>
    <cellStyle name="Normal 2 2 2 12 2 8" xfId="9624" xr:uid="{00000000-0005-0000-0000-000098250000}"/>
    <cellStyle name="Normal 2 2 2 12 2 9" xfId="9625" xr:uid="{00000000-0005-0000-0000-000099250000}"/>
    <cellStyle name="Normal 2 2 2 12 3" xfId="9626" xr:uid="{00000000-0005-0000-0000-00009A250000}"/>
    <cellStyle name="Normal 2 2 2 12 3 10" xfId="9627" xr:uid="{00000000-0005-0000-0000-00009B250000}"/>
    <cellStyle name="Normal 2 2 2 12 3 2" xfId="9628" xr:uid="{00000000-0005-0000-0000-00009C250000}"/>
    <cellStyle name="Normal 2 2 2 12 3 3" xfId="9629" xr:uid="{00000000-0005-0000-0000-00009D250000}"/>
    <cellStyle name="Normal 2 2 2 12 3 4" xfId="9630" xr:uid="{00000000-0005-0000-0000-00009E250000}"/>
    <cellStyle name="Normal 2 2 2 12 3 5" xfId="9631" xr:uid="{00000000-0005-0000-0000-00009F250000}"/>
    <cellStyle name="Normal 2 2 2 12 3 6" xfId="9632" xr:uid="{00000000-0005-0000-0000-0000A0250000}"/>
    <cellStyle name="Normal 2 2 2 12 3 7" xfId="9633" xr:uid="{00000000-0005-0000-0000-0000A1250000}"/>
    <cellStyle name="Normal 2 2 2 12 3 8" xfId="9634" xr:uid="{00000000-0005-0000-0000-0000A2250000}"/>
    <cellStyle name="Normal 2 2 2 12 3 9" xfId="9635" xr:uid="{00000000-0005-0000-0000-0000A3250000}"/>
    <cellStyle name="Normal 2 2 2 12 4" xfId="9636" xr:uid="{00000000-0005-0000-0000-0000A4250000}"/>
    <cellStyle name="Normal 2 2 2 12 4 10" xfId="9637" xr:uid="{00000000-0005-0000-0000-0000A5250000}"/>
    <cellStyle name="Normal 2 2 2 12 4 2" xfId="9638" xr:uid="{00000000-0005-0000-0000-0000A6250000}"/>
    <cellStyle name="Normal 2 2 2 12 4 3" xfId="9639" xr:uid="{00000000-0005-0000-0000-0000A7250000}"/>
    <cellStyle name="Normal 2 2 2 12 4 4" xfId="9640" xr:uid="{00000000-0005-0000-0000-0000A8250000}"/>
    <cellStyle name="Normal 2 2 2 12 4 5" xfId="9641" xr:uid="{00000000-0005-0000-0000-0000A9250000}"/>
    <cellStyle name="Normal 2 2 2 12 4 6" xfId="9642" xr:uid="{00000000-0005-0000-0000-0000AA250000}"/>
    <cellStyle name="Normal 2 2 2 12 4 7" xfId="9643" xr:uid="{00000000-0005-0000-0000-0000AB250000}"/>
    <cellStyle name="Normal 2 2 2 12 4 8" xfId="9644" xr:uid="{00000000-0005-0000-0000-0000AC250000}"/>
    <cellStyle name="Normal 2 2 2 12 4 9" xfId="9645" xr:uid="{00000000-0005-0000-0000-0000AD250000}"/>
    <cellStyle name="Normal 2 2 2 12 5" xfId="9646" xr:uid="{00000000-0005-0000-0000-0000AE250000}"/>
    <cellStyle name="Normal 2 2 2 12 5 10" xfId="9647" xr:uid="{00000000-0005-0000-0000-0000AF250000}"/>
    <cellStyle name="Normal 2 2 2 12 5 2" xfId="9648" xr:uid="{00000000-0005-0000-0000-0000B0250000}"/>
    <cellStyle name="Normal 2 2 2 12 5 3" xfId="9649" xr:uid="{00000000-0005-0000-0000-0000B1250000}"/>
    <cellStyle name="Normal 2 2 2 12 5 4" xfId="9650" xr:uid="{00000000-0005-0000-0000-0000B2250000}"/>
    <cellStyle name="Normal 2 2 2 12 5 5" xfId="9651" xr:uid="{00000000-0005-0000-0000-0000B3250000}"/>
    <cellStyle name="Normal 2 2 2 12 5 6" xfId="9652" xr:uid="{00000000-0005-0000-0000-0000B4250000}"/>
    <cellStyle name="Normal 2 2 2 12 5 7" xfId="9653" xr:uid="{00000000-0005-0000-0000-0000B5250000}"/>
    <cellStyle name="Normal 2 2 2 12 5 8" xfId="9654" xr:uid="{00000000-0005-0000-0000-0000B6250000}"/>
    <cellStyle name="Normal 2 2 2 12 5 9" xfId="9655" xr:uid="{00000000-0005-0000-0000-0000B7250000}"/>
    <cellStyle name="Normal 2 2 2 12 6" xfId="9656" xr:uid="{00000000-0005-0000-0000-0000B8250000}"/>
    <cellStyle name="Normal 2 2 2 12 7" xfId="9657" xr:uid="{00000000-0005-0000-0000-0000B9250000}"/>
    <cellStyle name="Normal 2 2 2 12 8" xfId="9658" xr:uid="{00000000-0005-0000-0000-0000BA250000}"/>
    <cellStyle name="Normal 2 2 2 12 9" xfId="9659" xr:uid="{00000000-0005-0000-0000-0000BB250000}"/>
    <cellStyle name="Normal 2 2 2 13" xfId="9660" xr:uid="{00000000-0005-0000-0000-0000BC250000}"/>
    <cellStyle name="Normal 2 2 2 13 10" xfId="9661" xr:uid="{00000000-0005-0000-0000-0000BD250000}"/>
    <cellStyle name="Normal 2 2 2 13 11" xfId="9662" xr:uid="{00000000-0005-0000-0000-0000BE250000}"/>
    <cellStyle name="Normal 2 2 2 13 12" xfId="9663" xr:uid="{00000000-0005-0000-0000-0000BF250000}"/>
    <cellStyle name="Normal 2 2 2 13 13" xfId="9664" xr:uid="{00000000-0005-0000-0000-0000C0250000}"/>
    <cellStyle name="Normal 2 2 2 13 14" xfId="9665" xr:uid="{00000000-0005-0000-0000-0000C1250000}"/>
    <cellStyle name="Normal 2 2 2 13 2" xfId="9666" xr:uid="{00000000-0005-0000-0000-0000C2250000}"/>
    <cellStyle name="Normal 2 2 2 13 2 10" xfId="9667" xr:uid="{00000000-0005-0000-0000-0000C3250000}"/>
    <cellStyle name="Normal 2 2 2 13 2 2" xfId="9668" xr:uid="{00000000-0005-0000-0000-0000C4250000}"/>
    <cellStyle name="Normal 2 2 2 13 2 3" xfId="9669" xr:uid="{00000000-0005-0000-0000-0000C5250000}"/>
    <cellStyle name="Normal 2 2 2 13 2 4" xfId="9670" xr:uid="{00000000-0005-0000-0000-0000C6250000}"/>
    <cellStyle name="Normal 2 2 2 13 2 5" xfId="9671" xr:uid="{00000000-0005-0000-0000-0000C7250000}"/>
    <cellStyle name="Normal 2 2 2 13 2 6" xfId="9672" xr:uid="{00000000-0005-0000-0000-0000C8250000}"/>
    <cellStyle name="Normal 2 2 2 13 2 7" xfId="9673" xr:uid="{00000000-0005-0000-0000-0000C9250000}"/>
    <cellStyle name="Normal 2 2 2 13 2 8" xfId="9674" xr:uid="{00000000-0005-0000-0000-0000CA250000}"/>
    <cellStyle name="Normal 2 2 2 13 2 9" xfId="9675" xr:uid="{00000000-0005-0000-0000-0000CB250000}"/>
    <cellStyle name="Normal 2 2 2 13 3" xfId="9676" xr:uid="{00000000-0005-0000-0000-0000CC250000}"/>
    <cellStyle name="Normal 2 2 2 13 3 10" xfId="9677" xr:uid="{00000000-0005-0000-0000-0000CD250000}"/>
    <cellStyle name="Normal 2 2 2 13 3 2" xfId="9678" xr:uid="{00000000-0005-0000-0000-0000CE250000}"/>
    <cellStyle name="Normal 2 2 2 13 3 3" xfId="9679" xr:uid="{00000000-0005-0000-0000-0000CF250000}"/>
    <cellStyle name="Normal 2 2 2 13 3 4" xfId="9680" xr:uid="{00000000-0005-0000-0000-0000D0250000}"/>
    <cellStyle name="Normal 2 2 2 13 3 5" xfId="9681" xr:uid="{00000000-0005-0000-0000-0000D1250000}"/>
    <cellStyle name="Normal 2 2 2 13 3 6" xfId="9682" xr:uid="{00000000-0005-0000-0000-0000D2250000}"/>
    <cellStyle name="Normal 2 2 2 13 3 7" xfId="9683" xr:uid="{00000000-0005-0000-0000-0000D3250000}"/>
    <cellStyle name="Normal 2 2 2 13 3 8" xfId="9684" xr:uid="{00000000-0005-0000-0000-0000D4250000}"/>
    <cellStyle name="Normal 2 2 2 13 3 9" xfId="9685" xr:uid="{00000000-0005-0000-0000-0000D5250000}"/>
    <cellStyle name="Normal 2 2 2 13 4" xfId="9686" xr:uid="{00000000-0005-0000-0000-0000D6250000}"/>
    <cellStyle name="Normal 2 2 2 13 4 10" xfId="9687" xr:uid="{00000000-0005-0000-0000-0000D7250000}"/>
    <cellStyle name="Normal 2 2 2 13 4 2" xfId="9688" xr:uid="{00000000-0005-0000-0000-0000D8250000}"/>
    <cellStyle name="Normal 2 2 2 13 4 3" xfId="9689" xr:uid="{00000000-0005-0000-0000-0000D9250000}"/>
    <cellStyle name="Normal 2 2 2 13 4 4" xfId="9690" xr:uid="{00000000-0005-0000-0000-0000DA250000}"/>
    <cellStyle name="Normal 2 2 2 13 4 5" xfId="9691" xr:uid="{00000000-0005-0000-0000-0000DB250000}"/>
    <cellStyle name="Normal 2 2 2 13 4 6" xfId="9692" xr:uid="{00000000-0005-0000-0000-0000DC250000}"/>
    <cellStyle name="Normal 2 2 2 13 4 7" xfId="9693" xr:uid="{00000000-0005-0000-0000-0000DD250000}"/>
    <cellStyle name="Normal 2 2 2 13 4 8" xfId="9694" xr:uid="{00000000-0005-0000-0000-0000DE250000}"/>
    <cellStyle name="Normal 2 2 2 13 4 9" xfId="9695" xr:uid="{00000000-0005-0000-0000-0000DF250000}"/>
    <cellStyle name="Normal 2 2 2 13 5" xfId="9696" xr:uid="{00000000-0005-0000-0000-0000E0250000}"/>
    <cellStyle name="Normal 2 2 2 13 5 10" xfId="9697" xr:uid="{00000000-0005-0000-0000-0000E1250000}"/>
    <cellStyle name="Normal 2 2 2 13 5 2" xfId="9698" xr:uid="{00000000-0005-0000-0000-0000E2250000}"/>
    <cellStyle name="Normal 2 2 2 13 5 3" xfId="9699" xr:uid="{00000000-0005-0000-0000-0000E3250000}"/>
    <cellStyle name="Normal 2 2 2 13 5 4" xfId="9700" xr:uid="{00000000-0005-0000-0000-0000E4250000}"/>
    <cellStyle name="Normal 2 2 2 13 5 5" xfId="9701" xr:uid="{00000000-0005-0000-0000-0000E5250000}"/>
    <cellStyle name="Normal 2 2 2 13 5 6" xfId="9702" xr:uid="{00000000-0005-0000-0000-0000E6250000}"/>
    <cellStyle name="Normal 2 2 2 13 5 7" xfId="9703" xr:uid="{00000000-0005-0000-0000-0000E7250000}"/>
    <cellStyle name="Normal 2 2 2 13 5 8" xfId="9704" xr:uid="{00000000-0005-0000-0000-0000E8250000}"/>
    <cellStyle name="Normal 2 2 2 13 5 9" xfId="9705" xr:uid="{00000000-0005-0000-0000-0000E9250000}"/>
    <cellStyle name="Normal 2 2 2 13 6" xfId="9706" xr:uid="{00000000-0005-0000-0000-0000EA250000}"/>
    <cellStyle name="Normal 2 2 2 13 7" xfId="9707" xr:uid="{00000000-0005-0000-0000-0000EB250000}"/>
    <cellStyle name="Normal 2 2 2 13 8" xfId="9708" xr:uid="{00000000-0005-0000-0000-0000EC250000}"/>
    <cellStyle name="Normal 2 2 2 13 9" xfId="9709" xr:uid="{00000000-0005-0000-0000-0000ED250000}"/>
    <cellStyle name="Normal 2 2 2 14" xfId="9710" xr:uid="{00000000-0005-0000-0000-0000EE250000}"/>
    <cellStyle name="Normal 2 2 2 14 10" xfId="9711" xr:uid="{00000000-0005-0000-0000-0000EF250000}"/>
    <cellStyle name="Normal 2 2 2 14 11" xfId="9712" xr:uid="{00000000-0005-0000-0000-0000F0250000}"/>
    <cellStyle name="Normal 2 2 2 14 12" xfId="9713" xr:uid="{00000000-0005-0000-0000-0000F1250000}"/>
    <cellStyle name="Normal 2 2 2 14 13" xfId="9714" xr:uid="{00000000-0005-0000-0000-0000F2250000}"/>
    <cellStyle name="Normal 2 2 2 14 14" xfId="9715" xr:uid="{00000000-0005-0000-0000-0000F3250000}"/>
    <cellStyle name="Normal 2 2 2 14 2" xfId="9716" xr:uid="{00000000-0005-0000-0000-0000F4250000}"/>
    <cellStyle name="Normal 2 2 2 14 2 10" xfId="9717" xr:uid="{00000000-0005-0000-0000-0000F5250000}"/>
    <cellStyle name="Normal 2 2 2 14 2 2" xfId="9718" xr:uid="{00000000-0005-0000-0000-0000F6250000}"/>
    <cellStyle name="Normal 2 2 2 14 2 3" xfId="9719" xr:uid="{00000000-0005-0000-0000-0000F7250000}"/>
    <cellStyle name="Normal 2 2 2 14 2 4" xfId="9720" xr:uid="{00000000-0005-0000-0000-0000F8250000}"/>
    <cellStyle name="Normal 2 2 2 14 2 5" xfId="9721" xr:uid="{00000000-0005-0000-0000-0000F9250000}"/>
    <cellStyle name="Normal 2 2 2 14 2 6" xfId="9722" xr:uid="{00000000-0005-0000-0000-0000FA250000}"/>
    <cellStyle name="Normal 2 2 2 14 2 7" xfId="9723" xr:uid="{00000000-0005-0000-0000-0000FB250000}"/>
    <cellStyle name="Normal 2 2 2 14 2 8" xfId="9724" xr:uid="{00000000-0005-0000-0000-0000FC250000}"/>
    <cellStyle name="Normal 2 2 2 14 2 9" xfId="9725" xr:uid="{00000000-0005-0000-0000-0000FD250000}"/>
    <cellStyle name="Normal 2 2 2 14 3" xfId="9726" xr:uid="{00000000-0005-0000-0000-0000FE250000}"/>
    <cellStyle name="Normal 2 2 2 14 3 10" xfId="9727" xr:uid="{00000000-0005-0000-0000-0000FF250000}"/>
    <cellStyle name="Normal 2 2 2 14 3 2" xfId="9728" xr:uid="{00000000-0005-0000-0000-000000260000}"/>
    <cellStyle name="Normal 2 2 2 14 3 3" xfId="9729" xr:uid="{00000000-0005-0000-0000-000001260000}"/>
    <cellStyle name="Normal 2 2 2 14 3 4" xfId="9730" xr:uid="{00000000-0005-0000-0000-000002260000}"/>
    <cellStyle name="Normal 2 2 2 14 3 5" xfId="9731" xr:uid="{00000000-0005-0000-0000-000003260000}"/>
    <cellStyle name="Normal 2 2 2 14 3 6" xfId="9732" xr:uid="{00000000-0005-0000-0000-000004260000}"/>
    <cellStyle name="Normal 2 2 2 14 3 7" xfId="9733" xr:uid="{00000000-0005-0000-0000-000005260000}"/>
    <cellStyle name="Normal 2 2 2 14 3 8" xfId="9734" xr:uid="{00000000-0005-0000-0000-000006260000}"/>
    <cellStyle name="Normal 2 2 2 14 3 9" xfId="9735" xr:uid="{00000000-0005-0000-0000-000007260000}"/>
    <cellStyle name="Normal 2 2 2 14 4" xfId="9736" xr:uid="{00000000-0005-0000-0000-000008260000}"/>
    <cellStyle name="Normal 2 2 2 14 4 10" xfId="9737" xr:uid="{00000000-0005-0000-0000-000009260000}"/>
    <cellStyle name="Normal 2 2 2 14 4 2" xfId="9738" xr:uid="{00000000-0005-0000-0000-00000A260000}"/>
    <cellStyle name="Normal 2 2 2 14 4 3" xfId="9739" xr:uid="{00000000-0005-0000-0000-00000B260000}"/>
    <cellStyle name="Normal 2 2 2 14 4 4" xfId="9740" xr:uid="{00000000-0005-0000-0000-00000C260000}"/>
    <cellStyle name="Normal 2 2 2 14 4 5" xfId="9741" xr:uid="{00000000-0005-0000-0000-00000D260000}"/>
    <cellStyle name="Normal 2 2 2 14 4 6" xfId="9742" xr:uid="{00000000-0005-0000-0000-00000E260000}"/>
    <cellStyle name="Normal 2 2 2 14 4 7" xfId="9743" xr:uid="{00000000-0005-0000-0000-00000F260000}"/>
    <cellStyle name="Normal 2 2 2 14 4 8" xfId="9744" xr:uid="{00000000-0005-0000-0000-000010260000}"/>
    <cellStyle name="Normal 2 2 2 14 4 9" xfId="9745" xr:uid="{00000000-0005-0000-0000-000011260000}"/>
    <cellStyle name="Normal 2 2 2 14 5" xfId="9746" xr:uid="{00000000-0005-0000-0000-000012260000}"/>
    <cellStyle name="Normal 2 2 2 14 5 10" xfId="9747" xr:uid="{00000000-0005-0000-0000-000013260000}"/>
    <cellStyle name="Normal 2 2 2 14 5 2" xfId="9748" xr:uid="{00000000-0005-0000-0000-000014260000}"/>
    <cellStyle name="Normal 2 2 2 14 5 3" xfId="9749" xr:uid="{00000000-0005-0000-0000-000015260000}"/>
    <cellStyle name="Normal 2 2 2 14 5 4" xfId="9750" xr:uid="{00000000-0005-0000-0000-000016260000}"/>
    <cellStyle name="Normal 2 2 2 14 5 5" xfId="9751" xr:uid="{00000000-0005-0000-0000-000017260000}"/>
    <cellStyle name="Normal 2 2 2 14 5 6" xfId="9752" xr:uid="{00000000-0005-0000-0000-000018260000}"/>
    <cellStyle name="Normal 2 2 2 14 5 7" xfId="9753" xr:uid="{00000000-0005-0000-0000-000019260000}"/>
    <cellStyle name="Normal 2 2 2 14 5 8" xfId="9754" xr:uid="{00000000-0005-0000-0000-00001A260000}"/>
    <cellStyle name="Normal 2 2 2 14 5 9" xfId="9755" xr:uid="{00000000-0005-0000-0000-00001B260000}"/>
    <cellStyle name="Normal 2 2 2 14 6" xfId="9756" xr:uid="{00000000-0005-0000-0000-00001C260000}"/>
    <cellStyle name="Normal 2 2 2 14 7" xfId="9757" xr:uid="{00000000-0005-0000-0000-00001D260000}"/>
    <cellStyle name="Normal 2 2 2 14 8" xfId="9758" xr:uid="{00000000-0005-0000-0000-00001E260000}"/>
    <cellStyle name="Normal 2 2 2 14 9" xfId="9759" xr:uid="{00000000-0005-0000-0000-00001F260000}"/>
    <cellStyle name="Normal 2 2 2 15" xfId="9760" xr:uid="{00000000-0005-0000-0000-000020260000}"/>
    <cellStyle name="Normal 2 2 2 15 10" xfId="9761" xr:uid="{00000000-0005-0000-0000-000021260000}"/>
    <cellStyle name="Normal 2 2 2 15 11" xfId="9762" xr:uid="{00000000-0005-0000-0000-000022260000}"/>
    <cellStyle name="Normal 2 2 2 15 12" xfId="9763" xr:uid="{00000000-0005-0000-0000-000023260000}"/>
    <cellStyle name="Normal 2 2 2 15 13" xfId="9764" xr:uid="{00000000-0005-0000-0000-000024260000}"/>
    <cellStyle name="Normal 2 2 2 15 14" xfId="9765" xr:uid="{00000000-0005-0000-0000-000025260000}"/>
    <cellStyle name="Normal 2 2 2 15 2" xfId="9766" xr:uid="{00000000-0005-0000-0000-000026260000}"/>
    <cellStyle name="Normal 2 2 2 15 2 10" xfId="9767" xr:uid="{00000000-0005-0000-0000-000027260000}"/>
    <cellStyle name="Normal 2 2 2 15 2 2" xfId="9768" xr:uid="{00000000-0005-0000-0000-000028260000}"/>
    <cellStyle name="Normal 2 2 2 15 2 3" xfId="9769" xr:uid="{00000000-0005-0000-0000-000029260000}"/>
    <cellStyle name="Normal 2 2 2 15 2 4" xfId="9770" xr:uid="{00000000-0005-0000-0000-00002A260000}"/>
    <cellStyle name="Normal 2 2 2 15 2 5" xfId="9771" xr:uid="{00000000-0005-0000-0000-00002B260000}"/>
    <cellStyle name="Normal 2 2 2 15 2 6" xfId="9772" xr:uid="{00000000-0005-0000-0000-00002C260000}"/>
    <cellStyle name="Normal 2 2 2 15 2 7" xfId="9773" xr:uid="{00000000-0005-0000-0000-00002D260000}"/>
    <cellStyle name="Normal 2 2 2 15 2 8" xfId="9774" xr:uid="{00000000-0005-0000-0000-00002E260000}"/>
    <cellStyle name="Normal 2 2 2 15 2 9" xfId="9775" xr:uid="{00000000-0005-0000-0000-00002F260000}"/>
    <cellStyle name="Normal 2 2 2 15 3" xfId="9776" xr:uid="{00000000-0005-0000-0000-000030260000}"/>
    <cellStyle name="Normal 2 2 2 15 3 10" xfId="9777" xr:uid="{00000000-0005-0000-0000-000031260000}"/>
    <cellStyle name="Normal 2 2 2 15 3 2" xfId="9778" xr:uid="{00000000-0005-0000-0000-000032260000}"/>
    <cellStyle name="Normal 2 2 2 15 3 3" xfId="9779" xr:uid="{00000000-0005-0000-0000-000033260000}"/>
    <cellStyle name="Normal 2 2 2 15 3 4" xfId="9780" xr:uid="{00000000-0005-0000-0000-000034260000}"/>
    <cellStyle name="Normal 2 2 2 15 3 5" xfId="9781" xr:uid="{00000000-0005-0000-0000-000035260000}"/>
    <cellStyle name="Normal 2 2 2 15 3 6" xfId="9782" xr:uid="{00000000-0005-0000-0000-000036260000}"/>
    <cellStyle name="Normal 2 2 2 15 3 7" xfId="9783" xr:uid="{00000000-0005-0000-0000-000037260000}"/>
    <cellStyle name="Normal 2 2 2 15 3 8" xfId="9784" xr:uid="{00000000-0005-0000-0000-000038260000}"/>
    <cellStyle name="Normal 2 2 2 15 3 9" xfId="9785" xr:uid="{00000000-0005-0000-0000-000039260000}"/>
    <cellStyle name="Normal 2 2 2 15 4" xfId="9786" xr:uid="{00000000-0005-0000-0000-00003A260000}"/>
    <cellStyle name="Normal 2 2 2 15 4 10" xfId="9787" xr:uid="{00000000-0005-0000-0000-00003B260000}"/>
    <cellStyle name="Normal 2 2 2 15 4 2" xfId="9788" xr:uid="{00000000-0005-0000-0000-00003C260000}"/>
    <cellStyle name="Normal 2 2 2 15 4 3" xfId="9789" xr:uid="{00000000-0005-0000-0000-00003D260000}"/>
    <cellStyle name="Normal 2 2 2 15 4 4" xfId="9790" xr:uid="{00000000-0005-0000-0000-00003E260000}"/>
    <cellStyle name="Normal 2 2 2 15 4 5" xfId="9791" xr:uid="{00000000-0005-0000-0000-00003F260000}"/>
    <cellStyle name="Normal 2 2 2 15 4 6" xfId="9792" xr:uid="{00000000-0005-0000-0000-000040260000}"/>
    <cellStyle name="Normal 2 2 2 15 4 7" xfId="9793" xr:uid="{00000000-0005-0000-0000-000041260000}"/>
    <cellStyle name="Normal 2 2 2 15 4 8" xfId="9794" xr:uid="{00000000-0005-0000-0000-000042260000}"/>
    <cellStyle name="Normal 2 2 2 15 4 9" xfId="9795" xr:uid="{00000000-0005-0000-0000-000043260000}"/>
    <cellStyle name="Normal 2 2 2 15 5" xfId="9796" xr:uid="{00000000-0005-0000-0000-000044260000}"/>
    <cellStyle name="Normal 2 2 2 15 5 10" xfId="9797" xr:uid="{00000000-0005-0000-0000-000045260000}"/>
    <cellStyle name="Normal 2 2 2 15 5 2" xfId="9798" xr:uid="{00000000-0005-0000-0000-000046260000}"/>
    <cellStyle name="Normal 2 2 2 15 5 3" xfId="9799" xr:uid="{00000000-0005-0000-0000-000047260000}"/>
    <cellStyle name="Normal 2 2 2 15 5 4" xfId="9800" xr:uid="{00000000-0005-0000-0000-000048260000}"/>
    <cellStyle name="Normal 2 2 2 15 5 5" xfId="9801" xr:uid="{00000000-0005-0000-0000-000049260000}"/>
    <cellStyle name="Normal 2 2 2 15 5 6" xfId="9802" xr:uid="{00000000-0005-0000-0000-00004A260000}"/>
    <cellStyle name="Normal 2 2 2 15 5 7" xfId="9803" xr:uid="{00000000-0005-0000-0000-00004B260000}"/>
    <cellStyle name="Normal 2 2 2 15 5 8" xfId="9804" xr:uid="{00000000-0005-0000-0000-00004C260000}"/>
    <cellStyle name="Normal 2 2 2 15 5 9" xfId="9805" xr:uid="{00000000-0005-0000-0000-00004D260000}"/>
    <cellStyle name="Normal 2 2 2 15 6" xfId="9806" xr:uid="{00000000-0005-0000-0000-00004E260000}"/>
    <cellStyle name="Normal 2 2 2 15 7" xfId="9807" xr:uid="{00000000-0005-0000-0000-00004F260000}"/>
    <cellStyle name="Normal 2 2 2 15 8" xfId="9808" xr:uid="{00000000-0005-0000-0000-000050260000}"/>
    <cellStyle name="Normal 2 2 2 15 9" xfId="9809" xr:uid="{00000000-0005-0000-0000-000051260000}"/>
    <cellStyle name="Normal 2 2 2 16" xfId="9810" xr:uid="{00000000-0005-0000-0000-000052260000}"/>
    <cellStyle name="Normal 2 2 2 16 10" xfId="9811" xr:uid="{00000000-0005-0000-0000-000053260000}"/>
    <cellStyle name="Normal 2 2 2 16 11" xfId="9812" xr:uid="{00000000-0005-0000-0000-000054260000}"/>
    <cellStyle name="Normal 2 2 2 16 12" xfId="9813" xr:uid="{00000000-0005-0000-0000-000055260000}"/>
    <cellStyle name="Normal 2 2 2 16 13" xfId="9814" xr:uid="{00000000-0005-0000-0000-000056260000}"/>
    <cellStyle name="Normal 2 2 2 16 14" xfId="9815" xr:uid="{00000000-0005-0000-0000-000057260000}"/>
    <cellStyle name="Normal 2 2 2 16 2" xfId="9816" xr:uid="{00000000-0005-0000-0000-000058260000}"/>
    <cellStyle name="Normal 2 2 2 16 2 10" xfId="9817" xr:uid="{00000000-0005-0000-0000-000059260000}"/>
    <cellStyle name="Normal 2 2 2 16 2 2" xfId="9818" xr:uid="{00000000-0005-0000-0000-00005A260000}"/>
    <cellStyle name="Normal 2 2 2 16 2 3" xfId="9819" xr:uid="{00000000-0005-0000-0000-00005B260000}"/>
    <cellStyle name="Normal 2 2 2 16 2 4" xfId="9820" xr:uid="{00000000-0005-0000-0000-00005C260000}"/>
    <cellStyle name="Normal 2 2 2 16 2 5" xfId="9821" xr:uid="{00000000-0005-0000-0000-00005D260000}"/>
    <cellStyle name="Normal 2 2 2 16 2 6" xfId="9822" xr:uid="{00000000-0005-0000-0000-00005E260000}"/>
    <cellStyle name="Normal 2 2 2 16 2 7" xfId="9823" xr:uid="{00000000-0005-0000-0000-00005F260000}"/>
    <cellStyle name="Normal 2 2 2 16 2 8" xfId="9824" xr:uid="{00000000-0005-0000-0000-000060260000}"/>
    <cellStyle name="Normal 2 2 2 16 2 9" xfId="9825" xr:uid="{00000000-0005-0000-0000-000061260000}"/>
    <cellStyle name="Normal 2 2 2 16 3" xfId="9826" xr:uid="{00000000-0005-0000-0000-000062260000}"/>
    <cellStyle name="Normal 2 2 2 16 3 10" xfId="9827" xr:uid="{00000000-0005-0000-0000-000063260000}"/>
    <cellStyle name="Normal 2 2 2 16 3 2" xfId="9828" xr:uid="{00000000-0005-0000-0000-000064260000}"/>
    <cellStyle name="Normal 2 2 2 16 3 3" xfId="9829" xr:uid="{00000000-0005-0000-0000-000065260000}"/>
    <cellStyle name="Normal 2 2 2 16 3 4" xfId="9830" xr:uid="{00000000-0005-0000-0000-000066260000}"/>
    <cellStyle name="Normal 2 2 2 16 3 5" xfId="9831" xr:uid="{00000000-0005-0000-0000-000067260000}"/>
    <cellStyle name="Normal 2 2 2 16 3 6" xfId="9832" xr:uid="{00000000-0005-0000-0000-000068260000}"/>
    <cellStyle name="Normal 2 2 2 16 3 7" xfId="9833" xr:uid="{00000000-0005-0000-0000-000069260000}"/>
    <cellStyle name="Normal 2 2 2 16 3 8" xfId="9834" xr:uid="{00000000-0005-0000-0000-00006A260000}"/>
    <cellStyle name="Normal 2 2 2 16 3 9" xfId="9835" xr:uid="{00000000-0005-0000-0000-00006B260000}"/>
    <cellStyle name="Normal 2 2 2 16 4" xfId="9836" xr:uid="{00000000-0005-0000-0000-00006C260000}"/>
    <cellStyle name="Normal 2 2 2 16 4 10" xfId="9837" xr:uid="{00000000-0005-0000-0000-00006D260000}"/>
    <cellStyle name="Normal 2 2 2 16 4 2" xfId="9838" xr:uid="{00000000-0005-0000-0000-00006E260000}"/>
    <cellStyle name="Normal 2 2 2 16 4 3" xfId="9839" xr:uid="{00000000-0005-0000-0000-00006F260000}"/>
    <cellStyle name="Normal 2 2 2 16 4 4" xfId="9840" xr:uid="{00000000-0005-0000-0000-000070260000}"/>
    <cellStyle name="Normal 2 2 2 16 4 5" xfId="9841" xr:uid="{00000000-0005-0000-0000-000071260000}"/>
    <cellStyle name="Normal 2 2 2 16 4 6" xfId="9842" xr:uid="{00000000-0005-0000-0000-000072260000}"/>
    <cellStyle name="Normal 2 2 2 16 4 7" xfId="9843" xr:uid="{00000000-0005-0000-0000-000073260000}"/>
    <cellStyle name="Normal 2 2 2 16 4 8" xfId="9844" xr:uid="{00000000-0005-0000-0000-000074260000}"/>
    <cellStyle name="Normal 2 2 2 16 4 9" xfId="9845" xr:uid="{00000000-0005-0000-0000-000075260000}"/>
    <cellStyle name="Normal 2 2 2 16 5" xfId="9846" xr:uid="{00000000-0005-0000-0000-000076260000}"/>
    <cellStyle name="Normal 2 2 2 16 5 10" xfId="9847" xr:uid="{00000000-0005-0000-0000-000077260000}"/>
    <cellStyle name="Normal 2 2 2 16 5 2" xfId="9848" xr:uid="{00000000-0005-0000-0000-000078260000}"/>
    <cellStyle name="Normal 2 2 2 16 5 3" xfId="9849" xr:uid="{00000000-0005-0000-0000-000079260000}"/>
    <cellStyle name="Normal 2 2 2 16 5 4" xfId="9850" xr:uid="{00000000-0005-0000-0000-00007A260000}"/>
    <cellStyle name="Normal 2 2 2 16 5 5" xfId="9851" xr:uid="{00000000-0005-0000-0000-00007B260000}"/>
    <cellStyle name="Normal 2 2 2 16 5 6" xfId="9852" xr:uid="{00000000-0005-0000-0000-00007C260000}"/>
    <cellStyle name="Normal 2 2 2 16 5 7" xfId="9853" xr:uid="{00000000-0005-0000-0000-00007D260000}"/>
    <cellStyle name="Normal 2 2 2 16 5 8" xfId="9854" xr:uid="{00000000-0005-0000-0000-00007E260000}"/>
    <cellStyle name="Normal 2 2 2 16 5 9" xfId="9855" xr:uid="{00000000-0005-0000-0000-00007F260000}"/>
    <cellStyle name="Normal 2 2 2 16 6" xfId="9856" xr:uid="{00000000-0005-0000-0000-000080260000}"/>
    <cellStyle name="Normal 2 2 2 16 7" xfId="9857" xr:uid="{00000000-0005-0000-0000-000081260000}"/>
    <cellStyle name="Normal 2 2 2 16 8" xfId="9858" xr:uid="{00000000-0005-0000-0000-000082260000}"/>
    <cellStyle name="Normal 2 2 2 16 9" xfId="9859" xr:uid="{00000000-0005-0000-0000-000083260000}"/>
    <cellStyle name="Normal 2 2 2 17" xfId="9860" xr:uid="{00000000-0005-0000-0000-000084260000}"/>
    <cellStyle name="Normal 2 2 2 17 10" xfId="9861" xr:uid="{00000000-0005-0000-0000-000085260000}"/>
    <cellStyle name="Normal 2 2 2 17 11" xfId="9862" xr:uid="{00000000-0005-0000-0000-000086260000}"/>
    <cellStyle name="Normal 2 2 2 17 12" xfId="9863" xr:uid="{00000000-0005-0000-0000-000087260000}"/>
    <cellStyle name="Normal 2 2 2 17 13" xfId="9864" xr:uid="{00000000-0005-0000-0000-000088260000}"/>
    <cellStyle name="Normal 2 2 2 17 14" xfId="9865" xr:uid="{00000000-0005-0000-0000-000089260000}"/>
    <cellStyle name="Normal 2 2 2 17 2" xfId="9866" xr:uid="{00000000-0005-0000-0000-00008A260000}"/>
    <cellStyle name="Normal 2 2 2 17 2 10" xfId="9867" xr:uid="{00000000-0005-0000-0000-00008B260000}"/>
    <cellStyle name="Normal 2 2 2 17 2 2" xfId="9868" xr:uid="{00000000-0005-0000-0000-00008C260000}"/>
    <cellStyle name="Normal 2 2 2 17 2 3" xfId="9869" xr:uid="{00000000-0005-0000-0000-00008D260000}"/>
    <cellStyle name="Normal 2 2 2 17 2 4" xfId="9870" xr:uid="{00000000-0005-0000-0000-00008E260000}"/>
    <cellStyle name="Normal 2 2 2 17 2 5" xfId="9871" xr:uid="{00000000-0005-0000-0000-00008F260000}"/>
    <cellStyle name="Normal 2 2 2 17 2 6" xfId="9872" xr:uid="{00000000-0005-0000-0000-000090260000}"/>
    <cellStyle name="Normal 2 2 2 17 2 7" xfId="9873" xr:uid="{00000000-0005-0000-0000-000091260000}"/>
    <cellStyle name="Normal 2 2 2 17 2 8" xfId="9874" xr:uid="{00000000-0005-0000-0000-000092260000}"/>
    <cellStyle name="Normal 2 2 2 17 2 9" xfId="9875" xr:uid="{00000000-0005-0000-0000-000093260000}"/>
    <cellStyle name="Normal 2 2 2 17 3" xfId="9876" xr:uid="{00000000-0005-0000-0000-000094260000}"/>
    <cellStyle name="Normal 2 2 2 17 3 10" xfId="9877" xr:uid="{00000000-0005-0000-0000-000095260000}"/>
    <cellStyle name="Normal 2 2 2 17 3 2" xfId="9878" xr:uid="{00000000-0005-0000-0000-000096260000}"/>
    <cellStyle name="Normal 2 2 2 17 3 3" xfId="9879" xr:uid="{00000000-0005-0000-0000-000097260000}"/>
    <cellStyle name="Normal 2 2 2 17 3 4" xfId="9880" xr:uid="{00000000-0005-0000-0000-000098260000}"/>
    <cellStyle name="Normal 2 2 2 17 3 5" xfId="9881" xr:uid="{00000000-0005-0000-0000-000099260000}"/>
    <cellStyle name="Normal 2 2 2 17 3 6" xfId="9882" xr:uid="{00000000-0005-0000-0000-00009A260000}"/>
    <cellStyle name="Normal 2 2 2 17 3 7" xfId="9883" xr:uid="{00000000-0005-0000-0000-00009B260000}"/>
    <cellStyle name="Normal 2 2 2 17 3 8" xfId="9884" xr:uid="{00000000-0005-0000-0000-00009C260000}"/>
    <cellStyle name="Normal 2 2 2 17 3 9" xfId="9885" xr:uid="{00000000-0005-0000-0000-00009D260000}"/>
    <cellStyle name="Normal 2 2 2 17 4" xfId="9886" xr:uid="{00000000-0005-0000-0000-00009E260000}"/>
    <cellStyle name="Normal 2 2 2 17 4 10" xfId="9887" xr:uid="{00000000-0005-0000-0000-00009F260000}"/>
    <cellStyle name="Normal 2 2 2 17 4 2" xfId="9888" xr:uid="{00000000-0005-0000-0000-0000A0260000}"/>
    <cellStyle name="Normal 2 2 2 17 4 3" xfId="9889" xr:uid="{00000000-0005-0000-0000-0000A1260000}"/>
    <cellStyle name="Normal 2 2 2 17 4 4" xfId="9890" xr:uid="{00000000-0005-0000-0000-0000A2260000}"/>
    <cellStyle name="Normal 2 2 2 17 4 5" xfId="9891" xr:uid="{00000000-0005-0000-0000-0000A3260000}"/>
    <cellStyle name="Normal 2 2 2 17 4 6" xfId="9892" xr:uid="{00000000-0005-0000-0000-0000A4260000}"/>
    <cellStyle name="Normal 2 2 2 17 4 7" xfId="9893" xr:uid="{00000000-0005-0000-0000-0000A5260000}"/>
    <cellStyle name="Normal 2 2 2 17 4 8" xfId="9894" xr:uid="{00000000-0005-0000-0000-0000A6260000}"/>
    <cellStyle name="Normal 2 2 2 17 4 9" xfId="9895" xr:uid="{00000000-0005-0000-0000-0000A7260000}"/>
    <cellStyle name="Normal 2 2 2 17 5" xfId="9896" xr:uid="{00000000-0005-0000-0000-0000A8260000}"/>
    <cellStyle name="Normal 2 2 2 17 5 10" xfId="9897" xr:uid="{00000000-0005-0000-0000-0000A9260000}"/>
    <cellStyle name="Normal 2 2 2 17 5 2" xfId="9898" xr:uid="{00000000-0005-0000-0000-0000AA260000}"/>
    <cellStyle name="Normal 2 2 2 17 5 3" xfId="9899" xr:uid="{00000000-0005-0000-0000-0000AB260000}"/>
    <cellStyle name="Normal 2 2 2 17 5 4" xfId="9900" xr:uid="{00000000-0005-0000-0000-0000AC260000}"/>
    <cellStyle name="Normal 2 2 2 17 5 5" xfId="9901" xr:uid="{00000000-0005-0000-0000-0000AD260000}"/>
    <cellStyle name="Normal 2 2 2 17 5 6" xfId="9902" xr:uid="{00000000-0005-0000-0000-0000AE260000}"/>
    <cellStyle name="Normal 2 2 2 17 5 7" xfId="9903" xr:uid="{00000000-0005-0000-0000-0000AF260000}"/>
    <cellStyle name="Normal 2 2 2 17 5 8" xfId="9904" xr:uid="{00000000-0005-0000-0000-0000B0260000}"/>
    <cellStyle name="Normal 2 2 2 17 5 9" xfId="9905" xr:uid="{00000000-0005-0000-0000-0000B1260000}"/>
    <cellStyle name="Normal 2 2 2 17 6" xfId="9906" xr:uid="{00000000-0005-0000-0000-0000B2260000}"/>
    <cellStyle name="Normal 2 2 2 17 7" xfId="9907" xr:uid="{00000000-0005-0000-0000-0000B3260000}"/>
    <cellStyle name="Normal 2 2 2 17 8" xfId="9908" xr:uid="{00000000-0005-0000-0000-0000B4260000}"/>
    <cellStyle name="Normal 2 2 2 17 9" xfId="9909" xr:uid="{00000000-0005-0000-0000-0000B5260000}"/>
    <cellStyle name="Normal 2 2 2 18" xfId="9910" xr:uid="{00000000-0005-0000-0000-0000B6260000}"/>
    <cellStyle name="Normal 2 2 2 18 10" xfId="9911" xr:uid="{00000000-0005-0000-0000-0000B7260000}"/>
    <cellStyle name="Normal 2 2 2 18 11" xfId="9912" xr:uid="{00000000-0005-0000-0000-0000B8260000}"/>
    <cellStyle name="Normal 2 2 2 18 12" xfId="9913" xr:uid="{00000000-0005-0000-0000-0000B9260000}"/>
    <cellStyle name="Normal 2 2 2 18 13" xfId="9914" xr:uid="{00000000-0005-0000-0000-0000BA260000}"/>
    <cellStyle name="Normal 2 2 2 18 14" xfId="9915" xr:uid="{00000000-0005-0000-0000-0000BB260000}"/>
    <cellStyle name="Normal 2 2 2 18 2" xfId="9916" xr:uid="{00000000-0005-0000-0000-0000BC260000}"/>
    <cellStyle name="Normal 2 2 2 18 2 10" xfId="9917" xr:uid="{00000000-0005-0000-0000-0000BD260000}"/>
    <cellStyle name="Normal 2 2 2 18 2 2" xfId="9918" xr:uid="{00000000-0005-0000-0000-0000BE260000}"/>
    <cellStyle name="Normal 2 2 2 18 2 3" xfId="9919" xr:uid="{00000000-0005-0000-0000-0000BF260000}"/>
    <cellStyle name="Normal 2 2 2 18 2 4" xfId="9920" xr:uid="{00000000-0005-0000-0000-0000C0260000}"/>
    <cellStyle name="Normal 2 2 2 18 2 5" xfId="9921" xr:uid="{00000000-0005-0000-0000-0000C1260000}"/>
    <cellStyle name="Normal 2 2 2 18 2 6" xfId="9922" xr:uid="{00000000-0005-0000-0000-0000C2260000}"/>
    <cellStyle name="Normal 2 2 2 18 2 7" xfId="9923" xr:uid="{00000000-0005-0000-0000-0000C3260000}"/>
    <cellStyle name="Normal 2 2 2 18 2 8" xfId="9924" xr:uid="{00000000-0005-0000-0000-0000C4260000}"/>
    <cellStyle name="Normal 2 2 2 18 2 9" xfId="9925" xr:uid="{00000000-0005-0000-0000-0000C5260000}"/>
    <cellStyle name="Normal 2 2 2 18 3" xfId="9926" xr:uid="{00000000-0005-0000-0000-0000C6260000}"/>
    <cellStyle name="Normal 2 2 2 18 3 10" xfId="9927" xr:uid="{00000000-0005-0000-0000-0000C7260000}"/>
    <cellStyle name="Normal 2 2 2 18 3 2" xfId="9928" xr:uid="{00000000-0005-0000-0000-0000C8260000}"/>
    <cellStyle name="Normal 2 2 2 18 3 3" xfId="9929" xr:uid="{00000000-0005-0000-0000-0000C9260000}"/>
    <cellStyle name="Normal 2 2 2 18 3 4" xfId="9930" xr:uid="{00000000-0005-0000-0000-0000CA260000}"/>
    <cellStyle name="Normal 2 2 2 18 3 5" xfId="9931" xr:uid="{00000000-0005-0000-0000-0000CB260000}"/>
    <cellStyle name="Normal 2 2 2 18 3 6" xfId="9932" xr:uid="{00000000-0005-0000-0000-0000CC260000}"/>
    <cellStyle name="Normal 2 2 2 18 3 7" xfId="9933" xr:uid="{00000000-0005-0000-0000-0000CD260000}"/>
    <cellStyle name="Normal 2 2 2 18 3 8" xfId="9934" xr:uid="{00000000-0005-0000-0000-0000CE260000}"/>
    <cellStyle name="Normal 2 2 2 18 3 9" xfId="9935" xr:uid="{00000000-0005-0000-0000-0000CF260000}"/>
    <cellStyle name="Normal 2 2 2 18 4" xfId="9936" xr:uid="{00000000-0005-0000-0000-0000D0260000}"/>
    <cellStyle name="Normal 2 2 2 18 4 10" xfId="9937" xr:uid="{00000000-0005-0000-0000-0000D1260000}"/>
    <cellStyle name="Normal 2 2 2 18 4 2" xfId="9938" xr:uid="{00000000-0005-0000-0000-0000D2260000}"/>
    <cellStyle name="Normal 2 2 2 18 4 3" xfId="9939" xr:uid="{00000000-0005-0000-0000-0000D3260000}"/>
    <cellStyle name="Normal 2 2 2 18 4 4" xfId="9940" xr:uid="{00000000-0005-0000-0000-0000D4260000}"/>
    <cellStyle name="Normal 2 2 2 18 4 5" xfId="9941" xr:uid="{00000000-0005-0000-0000-0000D5260000}"/>
    <cellStyle name="Normal 2 2 2 18 4 6" xfId="9942" xr:uid="{00000000-0005-0000-0000-0000D6260000}"/>
    <cellStyle name="Normal 2 2 2 18 4 7" xfId="9943" xr:uid="{00000000-0005-0000-0000-0000D7260000}"/>
    <cellStyle name="Normal 2 2 2 18 4 8" xfId="9944" xr:uid="{00000000-0005-0000-0000-0000D8260000}"/>
    <cellStyle name="Normal 2 2 2 18 4 9" xfId="9945" xr:uid="{00000000-0005-0000-0000-0000D9260000}"/>
    <cellStyle name="Normal 2 2 2 18 5" xfId="9946" xr:uid="{00000000-0005-0000-0000-0000DA260000}"/>
    <cellStyle name="Normal 2 2 2 18 5 10" xfId="9947" xr:uid="{00000000-0005-0000-0000-0000DB260000}"/>
    <cellStyle name="Normal 2 2 2 18 5 2" xfId="9948" xr:uid="{00000000-0005-0000-0000-0000DC260000}"/>
    <cellStyle name="Normal 2 2 2 18 5 3" xfId="9949" xr:uid="{00000000-0005-0000-0000-0000DD260000}"/>
    <cellStyle name="Normal 2 2 2 18 5 4" xfId="9950" xr:uid="{00000000-0005-0000-0000-0000DE260000}"/>
    <cellStyle name="Normal 2 2 2 18 5 5" xfId="9951" xr:uid="{00000000-0005-0000-0000-0000DF260000}"/>
    <cellStyle name="Normal 2 2 2 18 5 6" xfId="9952" xr:uid="{00000000-0005-0000-0000-0000E0260000}"/>
    <cellStyle name="Normal 2 2 2 18 5 7" xfId="9953" xr:uid="{00000000-0005-0000-0000-0000E1260000}"/>
    <cellStyle name="Normal 2 2 2 18 5 8" xfId="9954" xr:uid="{00000000-0005-0000-0000-0000E2260000}"/>
    <cellStyle name="Normal 2 2 2 18 5 9" xfId="9955" xr:uid="{00000000-0005-0000-0000-0000E3260000}"/>
    <cellStyle name="Normal 2 2 2 18 6" xfId="9956" xr:uid="{00000000-0005-0000-0000-0000E4260000}"/>
    <cellStyle name="Normal 2 2 2 18 7" xfId="9957" xr:uid="{00000000-0005-0000-0000-0000E5260000}"/>
    <cellStyle name="Normal 2 2 2 18 8" xfId="9958" xr:uid="{00000000-0005-0000-0000-0000E6260000}"/>
    <cellStyle name="Normal 2 2 2 18 9" xfId="9959" xr:uid="{00000000-0005-0000-0000-0000E7260000}"/>
    <cellStyle name="Normal 2 2 2 19" xfId="9960" xr:uid="{00000000-0005-0000-0000-0000E8260000}"/>
    <cellStyle name="Normal 2 2 2 19 10" xfId="9961" xr:uid="{00000000-0005-0000-0000-0000E9260000}"/>
    <cellStyle name="Normal 2 2 2 19 11" xfId="9962" xr:uid="{00000000-0005-0000-0000-0000EA260000}"/>
    <cellStyle name="Normal 2 2 2 19 12" xfId="9963" xr:uid="{00000000-0005-0000-0000-0000EB260000}"/>
    <cellStyle name="Normal 2 2 2 19 13" xfId="9964" xr:uid="{00000000-0005-0000-0000-0000EC260000}"/>
    <cellStyle name="Normal 2 2 2 19 14" xfId="9965" xr:uid="{00000000-0005-0000-0000-0000ED260000}"/>
    <cellStyle name="Normal 2 2 2 19 2" xfId="9966" xr:uid="{00000000-0005-0000-0000-0000EE260000}"/>
    <cellStyle name="Normal 2 2 2 19 2 10" xfId="9967" xr:uid="{00000000-0005-0000-0000-0000EF260000}"/>
    <cellStyle name="Normal 2 2 2 19 2 2" xfId="9968" xr:uid="{00000000-0005-0000-0000-0000F0260000}"/>
    <cellStyle name="Normal 2 2 2 19 2 3" xfId="9969" xr:uid="{00000000-0005-0000-0000-0000F1260000}"/>
    <cellStyle name="Normal 2 2 2 19 2 4" xfId="9970" xr:uid="{00000000-0005-0000-0000-0000F2260000}"/>
    <cellStyle name="Normal 2 2 2 19 2 5" xfId="9971" xr:uid="{00000000-0005-0000-0000-0000F3260000}"/>
    <cellStyle name="Normal 2 2 2 19 2 6" xfId="9972" xr:uid="{00000000-0005-0000-0000-0000F4260000}"/>
    <cellStyle name="Normal 2 2 2 19 2 7" xfId="9973" xr:uid="{00000000-0005-0000-0000-0000F5260000}"/>
    <cellStyle name="Normal 2 2 2 19 2 8" xfId="9974" xr:uid="{00000000-0005-0000-0000-0000F6260000}"/>
    <cellStyle name="Normal 2 2 2 19 2 9" xfId="9975" xr:uid="{00000000-0005-0000-0000-0000F7260000}"/>
    <cellStyle name="Normal 2 2 2 19 3" xfId="9976" xr:uid="{00000000-0005-0000-0000-0000F8260000}"/>
    <cellStyle name="Normal 2 2 2 19 3 10" xfId="9977" xr:uid="{00000000-0005-0000-0000-0000F9260000}"/>
    <cellStyle name="Normal 2 2 2 19 3 2" xfId="9978" xr:uid="{00000000-0005-0000-0000-0000FA260000}"/>
    <cellStyle name="Normal 2 2 2 19 3 3" xfId="9979" xr:uid="{00000000-0005-0000-0000-0000FB260000}"/>
    <cellStyle name="Normal 2 2 2 19 3 4" xfId="9980" xr:uid="{00000000-0005-0000-0000-0000FC260000}"/>
    <cellStyle name="Normal 2 2 2 19 3 5" xfId="9981" xr:uid="{00000000-0005-0000-0000-0000FD260000}"/>
    <cellStyle name="Normal 2 2 2 19 3 6" xfId="9982" xr:uid="{00000000-0005-0000-0000-0000FE260000}"/>
    <cellStyle name="Normal 2 2 2 19 3 7" xfId="9983" xr:uid="{00000000-0005-0000-0000-0000FF260000}"/>
    <cellStyle name="Normal 2 2 2 19 3 8" xfId="9984" xr:uid="{00000000-0005-0000-0000-000000270000}"/>
    <cellStyle name="Normal 2 2 2 19 3 9" xfId="9985" xr:uid="{00000000-0005-0000-0000-000001270000}"/>
    <cellStyle name="Normal 2 2 2 19 4" xfId="9986" xr:uid="{00000000-0005-0000-0000-000002270000}"/>
    <cellStyle name="Normal 2 2 2 19 4 10" xfId="9987" xr:uid="{00000000-0005-0000-0000-000003270000}"/>
    <cellStyle name="Normal 2 2 2 19 4 2" xfId="9988" xr:uid="{00000000-0005-0000-0000-000004270000}"/>
    <cellStyle name="Normal 2 2 2 19 4 3" xfId="9989" xr:uid="{00000000-0005-0000-0000-000005270000}"/>
    <cellStyle name="Normal 2 2 2 19 4 4" xfId="9990" xr:uid="{00000000-0005-0000-0000-000006270000}"/>
    <cellStyle name="Normal 2 2 2 19 4 5" xfId="9991" xr:uid="{00000000-0005-0000-0000-000007270000}"/>
    <cellStyle name="Normal 2 2 2 19 4 6" xfId="9992" xr:uid="{00000000-0005-0000-0000-000008270000}"/>
    <cellStyle name="Normal 2 2 2 19 4 7" xfId="9993" xr:uid="{00000000-0005-0000-0000-000009270000}"/>
    <cellStyle name="Normal 2 2 2 19 4 8" xfId="9994" xr:uid="{00000000-0005-0000-0000-00000A270000}"/>
    <cellStyle name="Normal 2 2 2 19 4 9" xfId="9995" xr:uid="{00000000-0005-0000-0000-00000B270000}"/>
    <cellStyle name="Normal 2 2 2 19 5" xfId="9996" xr:uid="{00000000-0005-0000-0000-00000C270000}"/>
    <cellStyle name="Normal 2 2 2 19 5 10" xfId="9997" xr:uid="{00000000-0005-0000-0000-00000D270000}"/>
    <cellStyle name="Normal 2 2 2 19 5 2" xfId="9998" xr:uid="{00000000-0005-0000-0000-00000E270000}"/>
    <cellStyle name="Normal 2 2 2 19 5 3" xfId="9999" xr:uid="{00000000-0005-0000-0000-00000F270000}"/>
    <cellStyle name="Normal 2 2 2 19 5 4" xfId="10000" xr:uid="{00000000-0005-0000-0000-000010270000}"/>
    <cellStyle name="Normal 2 2 2 19 5 5" xfId="10001" xr:uid="{00000000-0005-0000-0000-000011270000}"/>
    <cellStyle name="Normal 2 2 2 19 5 6" xfId="10002" xr:uid="{00000000-0005-0000-0000-000012270000}"/>
    <cellStyle name="Normal 2 2 2 19 5 7" xfId="10003" xr:uid="{00000000-0005-0000-0000-000013270000}"/>
    <cellStyle name="Normal 2 2 2 19 5 8" xfId="10004" xr:uid="{00000000-0005-0000-0000-000014270000}"/>
    <cellStyle name="Normal 2 2 2 19 5 9" xfId="10005" xr:uid="{00000000-0005-0000-0000-000015270000}"/>
    <cellStyle name="Normal 2 2 2 19 6" xfId="10006" xr:uid="{00000000-0005-0000-0000-000016270000}"/>
    <cellStyle name="Normal 2 2 2 19 7" xfId="10007" xr:uid="{00000000-0005-0000-0000-000017270000}"/>
    <cellStyle name="Normal 2 2 2 19 8" xfId="10008" xr:uid="{00000000-0005-0000-0000-000018270000}"/>
    <cellStyle name="Normal 2 2 2 19 9" xfId="10009" xr:uid="{00000000-0005-0000-0000-000019270000}"/>
    <cellStyle name="Normal 2 2 2 2" xfId="24" xr:uid="{00000000-0005-0000-0000-000018000000}"/>
    <cellStyle name="Normal 2 2 2 2 10" xfId="10010" xr:uid="{00000000-0005-0000-0000-00001A270000}"/>
    <cellStyle name="Normal 2 2 2 2 11" xfId="10011" xr:uid="{00000000-0005-0000-0000-00001B270000}"/>
    <cellStyle name="Normal 2 2 2 2 12" xfId="10012" xr:uid="{00000000-0005-0000-0000-00001C270000}"/>
    <cellStyle name="Normal 2 2 2 2 13" xfId="10013" xr:uid="{00000000-0005-0000-0000-00001D270000}"/>
    <cellStyle name="Normal 2 2 2 2 14" xfId="10014" xr:uid="{00000000-0005-0000-0000-00001E270000}"/>
    <cellStyle name="Normal 2 2 2 2 15" xfId="10015" xr:uid="{00000000-0005-0000-0000-00001F270000}"/>
    <cellStyle name="Normal 2 2 2 2 16" xfId="10016" xr:uid="{00000000-0005-0000-0000-000020270000}"/>
    <cellStyle name="Normal 2 2 2 2 17" xfId="10017" xr:uid="{00000000-0005-0000-0000-000021270000}"/>
    <cellStyle name="Normal 2 2 2 2 18" xfId="10018" xr:uid="{00000000-0005-0000-0000-000022270000}"/>
    <cellStyle name="Normal 2 2 2 2 19" xfId="10019" xr:uid="{00000000-0005-0000-0000-000023270000}"/>
    <cellStyle name="Normal 2 2 2 2 2" xfId="22" xr:uid="{00000000-0005-0000-0000-000016000000}"/>
    <cellStyle name="Normal 2 2 2 2 2 10" xfId="10020" xr:uid="{00000000-0005-0000-0000-000024270000}"/>
    <cellStyle name="Normal 2 2 2 2 2 10 10" xfId="10021" xr:uid="{00000000-0005-0000-0000-000025270000}"/>
    <cellStyle name="Normal 2 2 2 2 2 10 11" xfId="10022" xr:uid="{00000000-0005-0000-0000-000026270000}"/>
    <cellStyle name="Normal 2 2 2 2 2 10 12" xfId="10023" xr:uid="{00000000-0005-0000-0000-000027270000}"/>
    <cellStyle name="Normal 2 2 2 2 2 10 13" xfId="10024" xr:uid="{00000000-0005-0000-0000-000028270000}"/>
    <cellStyle name="Normal 2 2 2 2 2 10 14" xfId="10025" xr:uid="{00000000-0005-0000-0000-000029270000}"/>
    <cellStyle name="Normal 2 2 2 2 2 10 2" xfId="10026" xr:uid="{00000000-0005-0000-0000-00002A270000}"/>
    <cellStyle name="Normal 2 2 2 2 2 10 2 10" xfId="10027" xr:uid="{00000000-0005-0000-0000-00002B270000}"/>
    <cellStyle name="Normal 2 2 2 2 2 10 2 2" xfId="10028" xr:uid="{00000000-0005-0000-0000-00002C270000}"/>
    <cellStyle name="Normal 2 2 2 2 2 10 2 3" xfId="10029" xr:uid="{00000000-0005-0000-0000-00002D270000}"/>
    <cellStyle name="Normal 2 2 2 2 2 10 2 4" xfId="10030" xr:uid="{00000000-0005-0000-0000-00002E270000}"/>
    <cellStyle name="Normal 2 2 2 2 2 10 2 5" xfId="10031" xr:uid="{00000000-0005-0000-0000-00002F270000}"/>
    <cellStyle name="Normal 2 2 2 2 2 10 2 6" xfId="10032" xr:uid="{00000000-0005-0000-0000-000030270000}"/>
    <cellStyle name="Normal 2 2 2 2 2 10 2 7" xfId="10033" xr:uid="{00000000-0005-0000-0000-000031270000}"/>
    <cellStyle name="Normal 2 2 2 2 2 10 2 8" xfId="10034" xr:uid="{00000000-0005-0000-0000-000032270000}"/>
    <cellStyle name="Normal 2 2 2 2 2 10 2 9" xfId="10035" xr:uid="{00000000-0005-0000-0000-000033270000}"/>
    <cellStyle name="Normal 2 2 2 2 2 10 3" xfId="10036" xr:uid="{00000000-0005-0000-0000-000034270000}"/>
    <cellStyle name="Normal 2 2 2 2 2 10 3 10" xfId="10037" xr:uid="{00000000-0005-0000-0000-000035270000}"/>
    <cellStyle name="Normal 2 2 2 2 2 10 3 2" xfId="10038" xr:uid="{00000000-0005-0000-0000-000036270000}"/>
    <cellStyle name="Normal 2 2 2 2 2 10 3 3" xfId="10039" xr:uid="{00000000-0005-0000-0000-000037270000}"/>
    <cellStyle name="Normal 2 2 2 2 2 10 3 4" xfId="10040" xr:uid="{00000000-0005-0000-0000-000038270000}"/>
    <cellStyle name="Normal 2 2 2 2 2 10 3 5" xfId="10041" xr:uid="{00000000-0005-0000-0000-000039270000}"/>
    <cellStyle name="Normal 2 2 2 2 2 10 3 6" xfId="10042" xr:uid="{00000000-0005-0000-0000-00003A270000}"/>
    <cellStyle name="Normal 2 2 2 2 2 10 3 7" xfId="10043" xr:uid="{00000000-0005-0000-0000-00003B270000}"/>
    <cellStyle name="Normal 2 2 2 2 2 10 3 8" xfId="10044" xr:uid="{00000000-0005-0000-0000-00003C270000}"/>
    <cellStyle name="Normal 2 2 2 2 2 10 3 9" xfId="10045" xr:uid="{00000000-0005-0000-0000-00003D270000}"/>
    <cellStyle name="Normal 2 2 2 2 2 10 4" xfId="10046" xr:uid="{00000000-0005-0000-0000-00003E270000}"/>
    <cellStyle name="Normal 2 2 2 2 2 10 4 10" xfId="10047" xr:uid="{00000000-0005-0000-0000-00003F270000}"/>
    <cellStyle name="Normal 2 2 2 2 2 10 4 2" xfId="10048" xr:uid="{00000000-0005-0000-0000-000040270000}"/>
    <cellStyle name="Normal 2 2 2 2 2 10 4 3" xfId="10049" xr:uid="{00000000-0005-0000-0000-000041270000}"/>
    <cellStyle name="Normal 2 2 2 2 2 10 4 4" xfId="10050" xr:uid="{00000000-0005-0000-0000-000042270000}"/>
    <cellStyle name="Normal 2 2 2 2 2 10 4 5" xfId="10051" xr:uid="{00000000-0005-0000-0000-000043270000}"/>
    <cellStyle name="Normal 2 2 2 2 2 10 4 6" xfId="10052" xr:uid="{00000000-0005-0000-0000-000044270000}"/>
    <cellStyle name="Normal 2 2 2 2 2 10 4 7" xfId="10053" xr:uid="{00000000-0005-0000-0000-000045270000}"/>
    <cellStyle name="Normal 2 2 2 2 2 10 4 8" xfId="10054" xr:uid="{00000000-0005-0000-0000-000046270000}"/>
    <cellStyle name="Normal 2 2 2 2 2 10 4 9" xfId="10055" xr:uid="{00000000-0005-0000-0000-000047270000}"/>
    <cellStyle name="Normal 2 2 2 2 2 10 5" xfId="10056" xr:uid="{00000000-0005-0000-0000-000048270000}"/>
    <cellStyle name="Normal 2 2 2 2 2 10 5 10" xfId="10057" xr:uid="{00000000-0005-0000-0000-000049270000}"/>
    <cellStyle name="Normal 2 2 2 2 2 10 5 2" xfId="10058" xr:uid="{00000000-0005-0000-0000-00004A270000}"/>
    <cellStyle name="Normal 2 2 2 2 2 10 5 3" xfId="10059" xr:uid="{00000000-0005-0000-0000-00004B270000}"/>
    <cellStyle name="Normal 2 2 2 2 2 10 5 4" xfId="10060" xr:uid="{00000000-0005-0000-0000-00004C270000}"/>
    <cellStyle name="Normal 2 2 2 2 2 10 5 5" xfId="10061" xr:uid="{00000000-0005-0000-0000-00004D270000}"/>
    <cellStyle name="Normal 2 2 2 2 2 10 5 6" xfId="10062" xr:uid="{00000000-0005-0000-0000-00004E270000}"/>
    <cellStyle name="Normal 2 2 2 2 2 10 5 7" xfId="10063" xr:uid="{00000000-0005-0000-0000-00004F270000}"/>
    <cellStyle name="Normal 2 2 2 2 2 10 5 8" xfId="10064" xr:uid="{00000000-0005-0000-0000-000050270000}"/>
    <cellStyle name="Normal 2 2 2 2 2 10 5 9" xfId="10065" xr:uid="{00000000-0005-0000-0000-000051270000}"/>
    <cellStyle name="Normal 2 2 2 2 2 10 6" xfId="10066" xr:uid="{00000000-0005-0000-0000-000052270000}"/>
    <cellStyle name="Normal 2 2 2 2 2 10 7" xfId="10067" xr:uid="{00000000-0005-0000-0000-000053270000}"/>
    <cellStyle name="Normal 2 2 2 2 2 10 8" xfId="10068" xr:uid="{00000000-0005-0000-0000-000054270000}"/>
    <cellStyle name="Normal 2 2 2 2 2 10 9" xfId="10069" xr:uid="{00000000-0005-0000-0000-000055270000}"/>
    <cellStyle name="Normal 2 2 2 2 2 11" xfId="10070" xr:uid="{00000000-0005-0000-0000-000056270000}"/>
    <cellStyle name="Normal 2 2 2 2 2 11 10" xfId="10071" xr:uid="{00000000-0005-0000-0000-000057270000}"/>
    <cellStyle name="Normal 2 2 2 2 2 11 11" xfId="10072" xr:uid="{00000000-0005-0000-0000-000058270000}"/>
    <cellStyle name="Normal 2 2 2 2 2 11 12" xfId="10073" xr:uid="{00000000-0005-0000-0000-000059270000}"/>
    <cellStyle name="Normal 2 2 2 2 2 11 13" xfId="10074" xr:uid="{00000000-0005-0000-0000-00005A270000}"/>
    <cellStyle name="Normal 2 2 2 2 2 11 14" xfId="10075" xr:uid="{00000000-0005-0000-0000-00005B270000}"/>
    <cellStyle name="Normal 2 2 2 2 2 11 2" xfId="10076" xr:uid="{00000000-0005-0000-0000-00005C270000}"/>
    <cellStyle name="Normal 2 2 2 2 2 11 2 10" xfId="10077" xr:uid="{00000000-0005-0000-0000-00005D270000}"/>
    <cellStyle name="Normal 2 2 2 2 2 11 2 2" xfId="10078" xr:uid="{00000000-0005-0000-0000-00005E270000}"/>
    <cellStyle name="Normal 2 2 2 2 2 11 2 3" xfId="10079" xr:uid="{00000000-0005-0000-0000-00005F270000}"/>
    <cellStyle name="Normal 2 2 2 2 2 11 2 4" xfId="10080" xr:uid="{00000000-0005-0000-0000-000060270000}"/>
    <cellStyle name="Normal 2 2 2 2 2 11 2 5" xfId="10081" xr:uid="{00000000-0005-0000-0000-000061270000}"/>
    <cellStyle name="Normal 2 2 2 2 2 11 2 6" xfId="10082" xr:uid="{00000000-0005-0000-0000-000062270000}"/>
    <cellStyle name="Normal 2 2 2 2 2 11 2 7" xfId="10083" xr:uid="{00000000-0005-0000-0000-000063270000}"/>
    <cellStyle name="Normal 2 2 2 2 2 11 2 8" xfId="10084" xr:uid="{00000000-0005-0000-0000-000064270000}"/>
    <cellStyle name="Normal 2 2 2 2 2 11 2 9" xfId="10085" xr:uid="{00000000-0005-0000-0000-000065270000}"/>
    <cellStyle name="Normal 2 2 2 2 2 11 3" xfId="10086" xr:uid="{00000000-0005-0000-0000-000066270000}"/>
    <cellStyle name="Normal 2 2 2 2 2 11 3 10" xfId="10087" xr:uid="{00000000-0005-0000-0000-000067270000}"/>
    <cellStyle name="Normal 2 2 2 2 2 11 3 2" xfId="10088" xr:uid="{00000000-0005-0000-0000-000068270000}"/>
    <cellStyle name="Normal 2 2 2 2 2 11 3 3" xfId="10089" xr:uid="{00000000-0005-0000-0000-000069270000}"/>
    <cellStyle name="Normal 2 2 2 2 2 11 3 4" xfId="10090" xr:uid="{00000000-0005-0000-0000-00006A270000}"/>
    <cellStyle name="Normal 2 2 2 2 2 11 3 5" xfId="10091" xr:uid="{00000000-0005-0000-0000-00006B270000}"/>
    <cellStyle name="Normal 2 2 2 2 2 11 3 6" xfId="10092" xr:uid="{00000000-0005-0000-0000-00006C270000}"/>
    <cellStyle name="Normal 2 2 2 2 2 11 3 7" xfId="10093" xr:uid="{00000000-0005-0000-0000-00006D270000}"/>
    <cellStyle name="Normal 2 2 2 2 2 11 3 8" xfId="10094" xr:uid="{00000000-0005-0000-0000-00006E270000}"/>
    <cellStyle name="Normal 2 2 2 2 2 11 3 9" xfId="10095" xr:uid="{00000000-0005-0000-0000-00006F270000}"/>
    <cellStyle name="Normal 2 2 2 2 2 11 4" xfId="10096" xr:uid="{00000000-0005-0000-0000-000070270000}"/>
    <cellStyle name="Normal 2 2 2 2 2 11 4 10" xfId="10097" xr:uid="{00000000-0005-0000-0000-000071270000}"/>
    <cellStyle name="Normal 2 2 2 2 2 11 4 2" xfId="10098" xr:uid="{00000000-0005-0000-0000-000072270000}"/>
    <cellStyle name="Normal 2 2 2 2 2 11 4 3" xfId="10099" xr:uid="{00000000-0005-0000-0000-000073270000}"/>
    <cellStyle name="Normal 2 2 2 2 2 11 4 4" xfId="10100" xr:uid="{00000000-0005-0000-0000-000074270000}"/>
    <cellStyle name="Normal 2 2 2 2 2 11 4 5" xfId="10101" xr:uid="{00000000-0005-0000-0000-000075270000}"/>
    <cellStyle name="Normal 2 2 2 2 2 11 4 6" xfId="10102" xr:uid="{00000000-0005-0000-0000-000076270000}"/>
    <cellStyle name="Normal 2 2 2 2 2 11 4 7" xfId="10103" xr:uid="{00000000-0005-0000-0000-000077270000}"/>
    <cellStyle name="Normal 2 2 2 2 2 11 4 8" xfId="10104" xr:uid="{00000000-0005-0000-0000-000078270000}"/>
    <cellStyle name="Normal 2 2 2 2 2 11 4 9" xfId="10105" xr:uid="{00000000-0005-0000-0000-000079270000}"/>
    <cellStyle name="Normal 2 2 2 2 2 11 5" xfId="10106" xr:uid="{00000000-0005-0000-0000-00007A270000}"/>
    <cellStyle name="Normal 2 2 2 2 2 11 5 10" xfId="10107" xr:uid="{00000000-0005-0000-0000-00007B270000}"/>
    <cellStyle name="Normal 2 2 2 2 2 11 5 2" xfId="10108" xr:uid="{00000000-0005-0000-0000-00007C270000}"/>
    <cellStyle name="Normal 2 2 2 2 2 11 5 3" xfId="10109" xr:uid="{00000000-0005-0000-0000-00007D270000}"/>
    <cellStyle name="Normal 2 2 2 2 2 11 5 4" xfId="10110" xr:uid="{00000000-0005-0000-0000-00007E270000}"/>
    <cellStyle name="Normal 2 2 2 2 2 11 5 5" xfId="10111" xr:uid="{00000000-0005-0000-0000-00007F270000}"/>
    <cellStyle name="Normal 2 2 2 2 2 11 5 6" xfId="10112" xr:uid="{00000000-0005-0000-0000-000080270000}"/>
    <cellStyle name="Normal 2 2 2 2 2 11 5 7" xfId="10113" xr:uid="{00000000-0005-0000-0000-000081270000}"/>
    <cellStyle name="Normal 2 2 2 2 2 11 5 8" xfId="10114" xr:uid="{00000000-0005-0000-0000-000082270000}"/>
    <cellStyle name="Normal 2 2 2 2 2 11 5 9" xfId="10115" xr:uid="{00000000-0005-0000-0000-000083270000}"/>
    <cellStyle name="Normal 2 2 2 2 2 11 6" xfId="10116" xr:uid="{00000000-0005-0000-0000-000084270000}"/>
    <cellStyle name="Normal 2 2 2 2 2 11 7" xfId="10117" xr:uid="{00000000-0005-0000-0000-000085270000}"/>
    <cellStyle name="Normal 2 2 2 2 2 11 8" xfId="10118" xr:uid="{00000000-0005-0000-0000-000086270000}"/>
    <cellStyle name="Normal 2 2 2 2 2 11 9" xfId="10119" xr:uid="{00000000-0005-0000-0000-000087270000}"/>
    <cellStyle name="Normal 2 2 2 2 2 12" xfId="10120" xr:uid="{00000000-0005-0000-0000-000088270000}"/>
    <cellStyle name="Normal 2 2 2 2 2 12 10" xfId="10121" xr:uid="{00000000-0005-0000-0000-000089270000}"/>
    <cellStyle name="Normal 2 2 2 2 2 12 11" xfId="10122" xr:uid="{00000000-0005-0000-0000-00008A270000}"/>
    <cellStyle name="Normal 2 2 2 2 2 12 12" xfId="10123" xr:uid="{00000000-0005-0000-0000-00008B270000}"/>
    <cellStyle name="Normal 2 2 2 2 2 12 13" xfId="10124" xr:uid="{00000000-0005-0000-0000-00008C270000}"/>
    <cellStyle name="Normal 2 2 2 2 2 12 14" xfId="10125" xr:uid="{00000000-0005-0000-0000-00008D270000}"/>
    <cellStyle name="Normal 2 2 2 2 2 12 2" xfId="10126" xr:uid="{00000000-0005-0000-0000-00008E270000}"/>
    <cellStyle name="Normal 2 2 2 2 2 12 2 10" xfId="10127" xr:uid="{00000000-0005-0000-0000-00008F270000}"/>
    <cellStyle name="Normal 2 2 2 2 2 12 2 2" xfId="10128" xr:uid="{00000000-0005-0000-0000-000090270000}"/>
    <cellStyle name="Normal 2 2 2 2 2 12 2 3" xfId="10129" xr:uid="{00000000-0005-0000-0000-000091270000}"/>
    <cellStyle name="Normal 2 2 2 2 2 12 2 4" xfId="10130" xr:uid="{00000000-0005-0000-0000-000092270000}"/>
    <cellStyle name="Normal 2 2 2 2 2 12 2 5" xfId="10131" xr:uid="{00000000-0005-0000-0000-000093270000}"/>
    <cellStyle name="Normal 2 2 2 2 2 12 2 6" xfId="10132" xr:uid="{00000000-0005-0000-0000-000094270000}"/>
    <cellStyle name="Normal 2 2 2 2 2 12 2 7" xfId="10133" xr:uid="{00000000-0005-0000-0000-000095270000}"/>
    <cellStyle name="Normal 2 2 2 2 2 12 2 8" xfId="10134" xr:uid="{00000000-0005-0000-0000-000096270000}"/>
    <cellStyle name="Normal 2 2 2 2 2 12 2 9" xfId="10135" xr:uid="{00000000-0005-0000-0000-000097270000}"/>
    <cellStyle name="Normal 2 2 2 2 2 12 3" xfId="10136" xr:uid="{00000000-0005-0000-0000-000098270000}"/>
    <cellStyle name="Normal 2 2 2 2 2 12 3 10" xfId="10137" xr:uid="{00000000-0005-0000-0000-000099270000}"/>
    <cellStyle name="Normal 2 2 2 2 2 12 3 2" xfId="10138" xr:uid="{00000000-0005-0000-0000-00009A270000}"/>
    <cellStyle name="Normal 2 2 2 2 2 12 3 3" xfId="10139" xr:uid="{00000000-0005-0000-0000-00009B270000}"/>
    <cellStyle name="Normal 2 2 2 2 2 12 3 4" xfId="10140" xr:uid="{00000000-0005-0000-0000-00009C270000}"/>
    <cellStyle name="Normal 2 2 2 2 2 12 3 5" xfId="10141" xr:uid="{00000000-0005-0000-0000-00009D270000}"/>
    <cellStyle name="Normal 2 2 2 2 2 12 3 6" xfId="10142" xr:uid="{00000000-0005-0000-0000-00009E270000}"/>
    <cellStyle name="Normal 2 2 2 2 2 12 3 7" xfId="10143" xr:uid="{00000000-0005-0000-0000-00009F270000}"/>
    <cellStyle name="Normal 2 2 2 2 2 12 3 8" xfId="10144" xr:uid="{00000000-0005-0000-0000-0000A0270000}"/>
    <cellStyle name="Normal 2 2 2 2 2 12 3 9" xfId="10145" xr:uid="{00000000-0005-0000-0000-0000A1270000}"/>
    <cellStyle name="Normal 2 2 2 2 2 12 4" xfId="10146" xr:uid="{00000000-0005-0000-0000-0000A2270000}"/>
    <cellStyle name="Normal 2 2 2 2 2 12 4 10" xfId="10147" xr:uid="{00000000-0005-0000-0000-0000A3270000}"/>
    <cellStyle name="Normal 2 2 2 2 2 12 4 2" xfId="10148" xr:uid="{00000000-0005-0000-0000-0000A4270000}"/>
    <cellStyle name="Normal 2 2 2 2 2 12 4 3" xfId="10149" xr:uid="{00000000-0005-0000-0000-0000A5270000}"/>
    <cellStyle name="Normal 2 2 2 2 2 12 4 4" xfId="10150" xr:uid="{00000000-0005-0000-0000-0000A6270000}"/>
    <cellStyle name="Normal 2 2 2 2 2 12 4 5" xfId="10151" xr:uid="{00000000-0005-0000-0000-0000A7270000}"/>
    <cellStyle name="Normal 2 2 2 2 2 12 4 6" xfId="10152" xr:uid="{00000000-0005-0000-0000-0000A8270000}"/>
    <cellStyle name="Normal 2 2 2 2 2 12 4 7" xfId="10153" xr:uid="{00000000-0005-0000-0000-0000A9270000}"/>
    <cellStyle name="Normal 2 2 2 2 2 12 4 8" xfId="10154" xr:uid="{00000000-0005-0000-0000-0000AA270000}"/>
    <cellStyle name="Normal 2 2 2 2 2 12 4 9" xfId="10155" xr:uid="{00000000-0005-0000-0000-0000AB270000}"/>
    <cellStyle name="Normal 2 2 2 2 2 12 5" xfId="10156" xr:uid="{00000000-0005-0000-0000-0000AC270000}"/>
    <cellStyle name="Normal 2 2 2 2 2 12 5 10" xfId="10157" xr:uid="{00000000-0005-0000-0000-0000AD270000}"/>
    <cellStyle name="Normal 2 2 2 2 2 12 5 2" xfId="10158" xr:uid="{00000000-0005-0000-0000-0000AE270000}"/>
    <cellStyle name="Normal 2 2 2 2 2 12 5 3" xfId="10159" xr:uid="{00000000-0005-0000-0000-0000AF270000}"/>
    <cellStyle name="Normal 2 2 2 2 2 12 5 4" xfId="10160" xr:uid="{00000000-0005-0000-0000-0000B0270000}"/>
    <cellStyle name="Normal 2 2 2 2 2 12 5 5" xfId="10161" xr:uid="{00000000-0005-0000-0000-0000B1270000}"/>
    <cellStyle name="Normal 2 2 2 2 2 12 5 6" xfId="10162" xr:uid="{00000000-0005-0000-0000-0000B2270000}"/>
    <cellStyle name="Normal 2 2 2 2 2 12 5 7" xfId="10163" xr:uid="{00000000-0005-0000-0000-0000B3270000}"/>
    <cellStyle name="Normal 2 2 2 2 2 12 5 8" xfId="10164" xr:uid="{00000000-0005-0000-0000-0000B4270000}"/>
    <cellStyle name="Normal 2 2 2 2 2 12 5 9" xfId="10165" xr:uid="{00000000-0005-0000-0000-0000B5270000}"/>
    <cellStyle name="Normal 2 2 2 2 2 12 6" xfId="10166" xr:uid="{00000000-0005-0000-0000-0000B6270000}"/>
    <cellStyle name="Normal 2 2 2 2 2 12 7" xfId="10167" xr:uid="{00000000-0005-0000-0000-0000B7270000}"/>
    <cellStyle name="Normal 2 2 2 2 2 12 8" xfId="10168" xr:uid="{00000000-0005-0000-0000-0000B8270000}"/>
    <cellStyle name="Normal 2 2 2 2 2 12 9" xfId="10169" xr:uid="{00000000-0005-0000-0000-0000B9270000}"/>
    <cellStyle name="Normal 2 2 2 2 2 13" xfId="10170" xr:uid="{00000000-0005-0000-0000-0000BA270000}"/>
    <cellStyle name="Normal 2 2 2 2 2 13 10" xfId="10171" xr:uid="{00000000-0005-0000-0000-0000BB270000}"/>
    <cellStyle name="Normal 2 2 2 2 2 13 11" xfId="10172" xr:uid="{00000000-0005-0000-0000-0000BC270000}"/>
    <cellStyle name="Normal 2 2 2 2 2 13 12" xfId="10173" xr:uid="{00000000-0005-0000-0000-0000BD270000}"/>
    <cellStyle name="Normal 2 2 2 2 2 13 13" xfId="10174" xr:uid="{00000000-0005-0000-0000-0000BE270000}"/>
    <cellStyle name="Normal 2 2 2 2 2 13 14" xfId="10175" xr:uid="{00000000-0005-0000-0000-0000BF270000}"/>
    <cellStyle name="Normal 2 2 2 2 2 13 2" xfId="10176" xr:uid="{00000000-0005-0000-0000-0000C0270000}"/>
    <cellStyle name="Normal 2 2 2 2 2 13 2 10" xfId="10177" xr:uid="{00000000-0005-0000-0000-0000C1270000}"/>
    <cellStyle name="Normal 2 2 2 2 2 13 2 2" xfId="10178" xr:uid="{00000000-0005-0000-0000-0000C2270000}"/>
    <cellStyle name="Normal 2 2 2 2 2 13 2 3" xfId="10179" xr:uid="{00000000-0005-0000-0000-0000C3270000}"/>
    <cellStyle name="Normal 2 2 2 2 2 13 2 4" xfId="10180" xr:uid="{00000000-0005-0000-0000-0000C4270000}"/>
    <cellStyle name="Normal 2 2 2 2 2 13 2 5" xfId="10181" xr:uid="{00000000-0005-0000-0000-0000C5270000}"/>
    <cellStyle name="Normal 2 2 2 2 2 13 2 6" xfId="10182" xr:uid="{00000000-0005-0000-0000-0000C6270000}"/>
    <cellStyle name="Normal 2 2 2 2 2 13 2 7" xfId="10183" xr:uid="{00000000-0005-0000-0000-0000C7270000}"/>
    <cellStyle name="Normal 2 2 2 2 2 13 2 8" xfId="10184" xr:uid="{00000000-0005-0000-0000-0000C8270000}"/>
    <cellStyle name="Normal 2 2 2 2 2 13 2 9" xfId="10185" xr:uid="{00000000-0005-0000-0000-0000C9270000}"/>
    <cellStyle name="Normal 2 2 2 2 2 13 3" xfId="10186" xr:uid="{00000000-0005-0000-0000-0000CA270000}"/>
    <cellStyle name="Normal 2 2 2 2 2 13 3 10" xfId="10187" xr:uid="{00000000-0005-0000-0000-0000CB270000}"/>
    <cellStyle name="Normal 2 2 2 2 2 13 3 2" xfId="10188" xr:uid="{00000000-0005-0000-0000-0000CC270000}"/>
    <cellStyle name="Normal 2 2 2 2 2 13 3 3" xfId="10189" xr:uid="{00000000-0005-0000-0000-0000CD270000}"/>
    <cellStyle name="Normal 2 2 2 2 2 13 3 4" xfId="10190" xr:uid="{00000000-0005-0000-0000-0000CE270000}"/>
    <cellStyle name="Normal 2 2 2 2 2 13 3 5" xfId="10191" xr:uid="{00000000-0005-0000-0000-0000CF270000}"/>
    <cellStyle name="Normal 2 2 2 2 2 13 3 6" xfId="10192" xr:uid="{00000000-0005-0000-0000-0000D0270000}"/>
    <cellStyle name="Normal 2 2 2 2 2 13 3 7" xfId="10193" xr:uid="{00000000-0005-0000-0000-0000D1270000}"/>
    <cellStyle name="Normal 2 2 2 2 2 13 3 8" xfId="10194" xr:uid="{00000000-0005-0000-0000-0000D2270000}"/>
    <cellStyle name="Normal 2 2 2 2 2 13 3 9" xfId="10195" xr:uid="{00000000-0005-0000-0000-0000D3270000}"/>
    <cellStyle name="Normal 2 2 2 2 2 13 4" xfId="10196" xr:uid="{00000000-0005-0000-0000-0000D4270000}"/>
    <cellStyle name="Normal 2 2 2 2 2 13 4 10" xfId="10197" xr:uid="{00000000-0005-0000-0000-0000D5270000}"/>
    <cellStyle name="Normal 2 2 2 2 2 13 4 2" xfId="10198" xr:uid="{00000000-0005-0000-0000-0000D6270000}"/>
    <cellStyle name="Normal 2 2 2 2 2 13 4 3" xfId="10199" xr:uid="{00000000-0005-0000-0000-0000D7270000}"/>
    <cellStyle name="Normal 2 2 2 2 2 13 4 4" xfId="10200" xr:uid="{00000000-0005-0000-0000-0000D8270000}"/>
    <cellStyle name="Normal 2 2 2 2 2 13 4 5" xfId="10201" xr:uid="{00000000-0005-0000-0000-0000D9270000}"/>
    <cellStyle name="Normal 2 2 2 2 2 13 4 6" xfId="10202" xr:uid="{00000000-0005-0000-0000-0000DA270000}"/>
    <cellStyle name="Normal 2 2 2 2 2 13 4 7" xfId="10203" xr:uid="{00000000-0005-0000-0000-0000DB270000}"/>
    <cellStyle name="Normal 2 2 2 2 2 13 4 8" xfId="10204" xr:uid="{00000000-0005-0000-0000-0000DC270000}"/>
    <cellStyle name="Normal 2 2 2 2 2 13 4 9" xfId="10205" xr:uid="{00000000-0005-0000-0000-0000DD270000}"/>
    <cellStyle name="Normal 2 2 2 2 2 13 5" xfId="10206" xr:uid="{00000000-0005-0000-0000-0000DE270000}"/>
    <cellStyle name="Normal 2 2 2 2 2 13 5 10" xfId="10207" xr:uid="{00000000-0005-0000-0000-0000DF270000}"/>
    <cellStyle name="Normal 2 2 2 2 2 13 5 2" xfId="10208" xr:uid="{00000000-0005-0000-0000-0000E0270000}"/>
    <cellStyle name="Normal 2 2 2 2 2 13 5 3" xfId="10209" xr:uid="{00000000-0005-0000-0000-0000E1270000}"/>
    <cellStyle name="Normal 2 2 2 2 2 13 5 4" xfId="10210" xr:uid="{00000000-0005-0000-0000-0000E2270000}"/>
    <cellStyle name="Normal 2 2 2 2 2 13 5 5" xfId="10211" xr:uid="{00000000-0005-0000-0000-0000E3270000}"/>
    <cellStyle name="Normal 2 2 2 2 2 13 5 6" xfId="10212" xr:uid="{00000000-0005-0000-0000-0000E4270000}"/>
    <cellStyle name="Normal 2 2 2 2 2 13 5 7" xfId="10213" xr:uid="{00000000-0005-0000-0000-0000E5270000}"/>
    <cellStyle name="Normal 2 2 2 2 2 13 5 8" xfId="10214" xr:uid="{00000000-0005-0000-0000-0000E6270000}"/>
    <cellStyle name="Normal 2 2 2 2 2 13 5 9" xfId="10215" xr:uid="{00000000-0005-0000-0000-0000E7270000}"/>
    <cellStyle name="Normal 2 2 2 2 2 13 6" xfId="10216" xr:uid="{00000000-0005-0000-0000-0000E8270000}"/>
    <cellStyle name="Normal 2 2 2 2 2 13 7" xfId="10217" xr:uid="{00000000-0005-0000-0000-0000E9270000}"/>
    <cellStyle name="Normal 2 2 2 2 2 13 8" xfId="10218" xr:uid="{00000000-0005-0000-0000-0000EA270000}"/>
    <cellStyle name="Normal 2 2 2 2 2 13 9" xfId="10219" xr:uid="{00000000-0005-0000-0000-0000EB270000}"/>
    <cellStyle name="Normal 2 2 2 2 2 14" xfId="10220" xr:uid="{00000000-0005-0000-0000-0000EC270000}"/>
    <cellStyle name="Normal 2 2 2 2 2 14 10" xfId="10221" xr:uid="{00000000-0005-0000-0000-0000ED270000}"/>
    <cellStyle name="Normal 2 2 2 2 2 14 11" xfId="10222" xr:uid="{00000000-0005-0000-0000-0000EE270000}"/>
    <cellStyle name="Normal 2 2 2 2 2 14 12" xfId="10223" xr:uid="{00000000-0005-0000-0000-0000EF270000}"/>
    <cellStyle name="Normal 2 2 2 2 2 14 13" xfId="10224" xr:uid="{00000000-0005-0000-0000-0000F0270000}"/>
    <cellStyle name="Normal 2 2 2 2 2 14 14" xfId="10225" xr:uid="{00000000-0005-0000-0000-0000F1270000}"/>
    <cellStyle name="Normal 2 2 2 2 2 14 2" xfId="10226" xr:uid="{00000000-0005-0000-0000-0000F2270000}"/>
    <cellStyle name="Normal 2 2 2 2 2 14 2 10" xfId="10227" xr:uid="{00000000-0005-0000-0000-0000F3270000}"/>
    <cellStyle name="Normal 2 2 2 2 2 14 2 2" xfId="10228" xr:uid="{00000000-0005-0000-0000-0000F4270000}"/>
    <cellStyle name="Normal 2 2 2 2 2 14 2 3" xfId="10229" xr:uid="{00000000-0005-0000-0000-0000F5270000}"/>
    <cellStyle name="Normal 2 2 2 2 2 14 2 4" xfId="10230" xr:uid="{00000000-0005-0000-0000-0000F6270000}"/>
    <cellStyle name="Normal 2 2 2 2 2 14 2 5" xfId="10231" xr:uid="{00000000-0005-0000-0000-0000F7270000}"/>
    <cellStyle name="Normal 2 2 2 2 2 14 2 6" xfId="10232" xr:uid="{00000000-0005-0000-0000-0000F8270000}"/>
    <cellStyle name="Normal 2 2 2 2 2 14 2 7" xfId="10233" xr:uid="{00000000-0005-0000-0000-0000F9270000}"/>
    <cellStyle name="Normal 2 2 2 2 2 14 2 8" xfId="10234" xr:uid="{00000000-0005-0000-0000-0000FA270000}"/>
    <cellStyle name="Normal 2 2 2 2 2 14 2 9" xfId="10235" xr:uid="{00000000-0005-0000-0000-0000FB270000}"/>
    <cellStyle name="Normal 2 2 2 2 2 14 3" xfId="10236" xr:uid="{00000000-0005-0000-0000-0000FC270000}"/>
    <cellStyle name="Normal 2 2 2 2 2 14 3 10" xfId="10237" xr:uid="{00000000-0005-0000-0000-0000FD270000}"/>
    <cellStyle name="Normal 2 2 2 2 2 14 3 2" xfId="10238" xr:uid="{00000000-0005-0000-0000-0000FE270000}"/>
    <cellStyle name="Normal 2 2 2 2 2 14 3 3" xfId="10239" xr:uid="{00000000-0005-0000-0000-0000FF270000}"/>
    <cellStyle name="Normal 2 2 2 2 2 14 3 4" xfId="10240" xr:uid="{00000000-0005-0000-0000-000000280000}"/>
    <cellStyle name="Normal 2 2 2 2 2 14 3 5" xfId="10241" xr:uid="{00000000-0005-0000-0000-000001280000}"/>
    <cellStyle name="Normal 2 2 2 2 2 14 3 6" xfId="10242" xr:uid="{00000000-0005-0000-0000-000002280000}"/>
    <cellStyle name="Normal 2 2 2 2 2 14 3 7" xfId="10243" xr:uid="{00000000-0005-0000-0000-000003280000}"/>
    <cellStyle name="Normal 2 2 2 2 2 14 3 8" xfId="10244" xr:uid="{00000000-0005-0000-0000-000004280000}"/>
    <cellStyle name="Normal 2 2 2 2 2 14 3 9" xfId="10245" xr:uid="{00000000-0005-0000-0000-000005280000}"/>
    <cellStyle name="Normal 2 2 2 2 2 14 4" xfId="10246" xr:uid="{00000000-0005-0000-0000-000006280000}"/>
    <cellStyle name="Normal 2 2 2 2 2 14 4 10" xfId="10247" xr:uid="{00000000-0005-0000-0000-000007280000}"/>
    <cellStyle name="Normal 2 2 2 2 2 14 4 2" xfId="10248" xr:uid="{00000000-0005-0000-0000-000008280000}"/>
    <cellStyle name="Normal 2 2 2 2 2 14 4 3" xfId="10249" xr:uid="{00000000-0005-0000-0000-000009280000}"/>
    <cellStyle name="Normal 2 2 2 2 2 14 4 4" xfId="10250" xr:uid="{00000000-0005-0000-0000-00000A280000}"/>
    <cellStyle name="Normal 2 2 2 2 2 14 4 5" xfId="10251" xr:uid="{00000000-0005-0000-0000-00000B280000}"/>
    <cellStyle name="Normal 2 2 2 2 2 14 4 6" xfId="10252" xr:uid="{00000000-0005-0000-0000-00000C280000}"/>
    <cellStyle name="Normal 2 2 2 2 2 14 4 7" xfId="10253" xr:uid="{00000000-0005-0000-0000-00000D280000}"/>
    <cellStyle name="Normal 2 2 2 2 2 14 4 8" xfId="10254" xr:uid="{00000000-0005-0000-0000-00000E280000}"/>
    <cellStyle name="Normal 2 2 2 2 2 14 4 9" xfId="10255" xr:uid="{00000000-0005-0000-0000-00000F280000}"/>
    <cellStyle name="Normal 2 2 2 2 2 14 5" xfId="10256" xr:uid="{00000000-0005-0000-0000-000010280000}"/>
    <cellStyle name="Normal 2 2 2 2 2 14 5 10" xfId="10257" xr:uid="{00000000-0005-0000-0000-000011280000}"/>
    <cellStyle name="Normal 2 2 2 2 2 14 5 2" xfId="10258" xr:uid="{00000000-0005-0000-0000-000012280000}"/>
    <cellStyle name="Normal 2 2 2 2 2 14 5 3" xfId="10259" xr:uid="{00000000-0005-0000-0000-000013280000}"/>
    <cellStyle name="Normal 2 2 2 2 2 14 5 4" xfId="10260" xr:uid="{00000000-0005-0000-0000-000014280000}"/>
    <cellStyle name="Normal 2 2 2 2 2 14 5 5" xfId="10261" xr:uid="{00000000-0005-0000-0000-000015280000}"/>
    <cellStyle name="Normal 2 2 2 2 2 14 5 6" xfId="10262" xr:uid="{00000000-0005-0000-0000-000016280000}"/>
    <cellStyle name="Normal 2 2 2 2 2 14 5 7" xfId="10263" xr:uid="{00000000-0005-0000-0000-000017280000}"/>
    <cellStyle name="Normal 2 2 2 2 2 14 5 8" xfId="10264" xr:uid="{00000000-0005-0000-0000-000018280000}"/>
    <cellStyle name="Normal 2 2 2 2 2 14 5 9" xfId="10265" xr:uid="{00000000-0005-0000-0000-000019280000}"/>
    <cellStyle name="Normal 2 2 2 2 2 14 6" xfId="10266" xr:uid="{00000000-0005-0000-0000-00001A280000}"/>
    <cellStyle name="Normal 2 2 2 2 2 14 7" xfId="10267" xr:uid="{00000000-0005-0000-0000-00001B280000}"/>
    <cellStyle name="Normal 2 2 2 2 2 14 8" xfId="10268" xr:uid="{00000000-0005-0000-0000-00001C280000}"/>
    <cellStyle name="Normal 2 2 2 2 2 14 9" xfId="10269" xr:uid="{00000000-0005-0000-0000-00001D280000}"/>
    <cellStyle name="Normal 2 2 2 2 2 15" xfId="10270" xr:uid="{00000000-0005-0000-0000-00001E280000}"/>
    <cellStyle name="Normal 2 2 2 2 2 15 10" xfId="10271" xr:uid="{00000000-0005-0000-0000-00001F280000}"/>
    <cellStyle name="Normal 2 2 2 2 2 15 11" xfId="10272" xr:uid="{00000000-0005-0000-0000-000020280000}"/>
    <cellStyle name="Normal 2 2 2 2 2 15 12" xfId="10273" xr:uid="{00000000-0005-0000-0000-000021280000}"/>
    <cellStyle name="Normal 2 2 2 2 2 15 13" xfId="10274" xr:uid="{00000000-0005-0000-0000-000022280000}"/>
    <cellStyle name="Normal 2 2 2 2 2 15 14" xfId="10275" xr:uid="{00000000-0005-0000-0000-000023280000}"/>
    <cellStyle name="Normal 2 2 2 2 2 15 2" xfId="10276" xr:uid="{00000000-0005-0000-0000-000024280000}"/>
    <cellStyle name="Normal 2 2 2 2 2 15 2 10" xfId="10277" xr:uid="{00000000-0005-0000-0000-000025280000}"/>
    <cellStyle name="Normal 2 2 2 2 2 15 2 2" xfId="10278" xr:uid="{00000000-0005-0000-0000-000026280000}"/>
    <cellStyle name="Normal 2 2 2 2 2 15 2 3" xfId="10279" xr:uid="{00000000-0005-0000-0000-000027280000}"/>
    <cellStyle name="Normal 2 2 2 2 2 15 2 4" xfId="10280" xr:uid="{00000000-0005-0000-0000-000028280000}"/>
    <cellStyle name="Normal 2 2 2 2 2 15 2 5" xfId="10281" xr:uid="{00000000-0005-0000-0000-000029280000}"/>
    <cellStyle name="Normal 2 2 2 2 2 15 2 6" xfId="10282" xr:uid="{00000000-0005-0000-0000-00002A280000}"/>
    <cellStyle name="Normal 2 2 2 2 2 15 2 7" xfId="10283" xr:uid="{00000000-0005-0000-0000-00002B280000}"/>
    <cellStyle name="Normal 2 2 2 2 2 15 2 8" xfId="10284" xr:uid="{00000000-0005-0000-0000-00002C280000}"/>
    <cellStyle name="Normal 2 2 2 2 2 15 2 9" xfId="10285" xr:uid="{00000000-0005-0000-0000-00002D280000}"/>
    <cellStyle name="Normal 2 2 2 2 2 15 3" xfId="10286" xr:uid="{00000000-0005-0000-0000-00002E280000}"/>
    <cellStyle name="Normal 2 2 2 2 2 15 3 10" xfId="10287" xr:uid="{00000000-0005-0000-0000-00002F280000}"/>
    <cellStyle name="Normal 2 2 2 2 2 15 3 2" xfId="10288" xr:uid="{00000000-0005-0000-0000-000030280000}"/>
    <cellStyle name="Normal 2 2 2 2 2 15 3 3" xfId="10289" xr:uid="{00000000-0005-0000-0000-000031280000}"/>
    <cellStyle name="Normal 2 2 2 2 2 15 3 4" xfId="10290" xr:uid="{00000000-0005-0000-0000-000032280000}"/>
    <cellStyle name="Normal 2 2 2 2 2 15 3 5" xfId="10291" xr:uid="{00000000-0005-0000-0000-000033280000}"/>
    <cellStyle name="Normal 2 2 2 2 2 15 3 6" xfId="10292" xr:uid="{00000000-0005-0000-0000-000034280000}"/>
    <cellStyle name="Normal 2 2 2 2 2 15 3 7" xfId="10293" xr:uid="{00000000-0005-0000-0000-000035280000}"/>
    <cellStyle name="Normal 2 2 2 2 2 15 3 8" xfId="10294" xr:uid="{00000000-0005-0000-0000-000036280000}"/>
    <cellStyle name="Normal 2 2 2 2 2 15 3 9" xfId="10295" xr:uid="{00000000-0005-0000-0000-000037280000}"/>
    <cellStyle name="Normal 2 2 2 2 2 15 4" xfId="10296" xr:uid="{00000000-0005-0000-0000-000038280000}"/>
    <cellStyle name="Normal 2 2 2 2 2 15 4 10" xfId="10297" xr:uid="{00000000-0005-0000-0000-000039280000}"/>
    <cellStyle name="Normal 2 2 2 2 2 15 4 2" xfId="10298" xr:uid="{00000000-0005-0000-0000-00003A280000}"/>
    <cellStyle name="Normal 2 2 2 2 2 15 4 3" xfId="10299" xr:uid="{00000000-0005-0000-0000-00003B280000}"/>
    <cellStyle name="Normal 2 2 2 2 2 15 4 4" xfId="10300" xr:uid="{00000000-0005-0000-0000-00003C280000}"/>
    <cellStyle name="Normal 2 2 2 2 2 15 4 5" xfId="10301" xr:uid="{00000000-0005-0000-0000-00003D280000}"/>
    <cellStyle name="Normal 2 2 2 2 2 15 4 6" xfId="10302" xr:uid="{00000000-0005-0000-0000-00003E280000}"/>
    <cellStyle name="Normal 2 2 2 2 2 15 4 7" xfId="10303" xr:uid="{00000000-0005-0000-0000-00003F280000}"/>
    <cellStyle name="Normal 2 2 2 2 2 15 4 8" xfId="10304" xr:uid="{00000000-0005-0000-0000-000040280000}"/>
    <cellStyle name="Normal 2 2 2 2 2 15 4 9" xfId="10305" xr:uid="{00000000-0005-0000-0000-000041280000}"/>
    <cellStyle name="Normal 2 2 2 2 2 15 5" xfId="10306" xr:uid="{00000000-0005-0000-0000-000042280000}"/>
    <cellStyle name="Normal 2 2 2 2 2 15 5 10" xfId="10307" xr:uid="{00000000-0005-0000-0000-000043280000}"/>
    <cellStyle name="Normal 2 2 2 2 2 15 5 2" xfId="10308" xr:uid="{00000000-0005-0000-0000-000044280000}"/>
    <cellStyle name="Normal 2 2 2 2 2 15 5 3" xfId="10309" xr:uid="{00000000-0005-0000-0000-000045280000}"/>
    <cellStyle name="Normal 2 2 2 2 2 15 5 4" xfId="10310" xr:uid="{00000000-0005-0000-0000-000046280000}"/>
    <cellStyle name="Normal 2 2 2 2 2 15 5 5" xfId="10311" xr:uid="{00000000-0005-0000-0000-000047280000}"/>
    <cellStyle name="Normal 2 2 2 2 2 15 5 6" xfId="10312" xr:uid="{00000000-0005-0000-0000-000048280000}"/>
    <cellStyle name="Normal 2 2 2 2 2 15 5 7" xfId="10313" xr:uid="{00000000-0005-0000-0000-000049280000}"/>
    <cellStyle name="Normal 2 2 2 2 2 15 5 8" xfId="10314" xr:uid="{00000000-0005-0000-0000-00004A280000}"/>
    <cellStyle name="Normal 2 2 2 2 2 15 5 9" xfId="10315" xr:uid="{00000000-0005-0000-0000-00004B280000}"/>
    <cellStyle name="Normal 2 2 2 2 2 15 6" xfId="10316" xr:uid="{00000000-0005-0000-0000-00004C280000}"/>
    <cellStyle name="Normal 2 2 2 2 2 15 7" xfId="10317" xr:uid="{00000000-0005-0000-0000-00004D280000}"/>
    <cellStyle name="Normal 2 2 2 2 2 15 8" xfId="10318" xr:uid="{00000000-0005-0000-0000-00004E280000}"/>
    <cellStyle name="Normal 2 2 2 2 2 15 9" xfId="10319" xr:uid="{00000000-0005-0000-0000-00004F280000}"/>
    <cellStyle name="Normal 2 2 2 2 2 16" xfId="10320" xr:uid="{00000000-0005-0000-0000-000050280000}"/>
    <cellStyle name="Normal 2 2 2 2 2 16 10" xfId="10321" xr:uid="{00000000-0005-0000-0000-000051280000}"/>
    <cellStyle name="Normal 2 2 2 2 2 16 11" xfId="10322" xr:uid="{00000000-0005-0000-0000-000052280000}"/>
    <cellStyle name="Normal 2 2 2 2 2 16 12" xfId="10323" xr:uid="{00000000-0005-0000-0000-000053280000}"/>
    <cellStyle name="Normal 2 2 2 2 2 16 13" xfId="10324" xr:uid="{00000000-0005-0000-0000-000054280000}"/>
    <cellStyle name="Normal 2 2 2 2 2 16 14" xfId="10325" xr:uid="{00000000-0005-0000-0000-000055280000}"/>
    <cellStyle name="Normal 2 2 2 2 2 16 2" xfId="10326" xr:uid="{00000000-0005-0000-0000-000056280000}"/>
    <cellStyle name="Normal 2 2 2 2 2 16 2 10" xfId="10327" xr:uid="{00000000-0005-0000-0000-000057280000}"/>
    <cellStyle name="Normal 2 2 2 2 2 16 2 2" xfId="10328" xr:uid="{00000000-0005-0000-0000-000058280000}"/>
    <cellStyle name="Normal 2 2 2 2 2 16 2 3" xfId="10329" xr:uid="{00000000-0005-0000-0000-000059280000}"/>
    <cellStyle name="Normal 2 2 2 2 2 16 2 4" xfId="10330" xr:uid="{00000000-0005-0000-0000-00005A280000}"/>
    <cellStyle name="Normal 2 2 2 2 2 16 2 5" xfId="10331" xr:uid="{00000000-0005-0000-0000-00005B280000}"/>
    <cellStyle name="Normal 2 2 2 2 2 16 2 6" xfId="10332" xr:uid="{00000000-0005-0000-0000-00005C280000}"/>
    <cellStyle name="Normal 2 2 2 2 2 16 2 7" xfId="10333" xr:uid="{00000000-0005-0000-0000-00005D280000}"/>
    <cellStyle name="Normal 2 2 2 2 2 16 2 8" xfId="10334" xr:uid="{00000000-0005-0000-0000-00005E280000}"/>
    <cellStyle name="Normal 2 2 2 2 2 16 2 9" xfId="10335" xr:uid="{00000000-0005-0000-0000-00005F280000}"/>
    <cellStyle name="Normal 2 2 2 2 2 16 3" xfId="10336" xr:uid="{00000000-0005-0000-0000-000060280000}"/>
    <cellStyle name="Normal 2 2 2 2 2 16 3 10" xfId="10337" xr:uid="{00000000-0005-0000-0000-000061280000}"/>
    <cellStyle name="Normal 2 2 2 2 2 16 3 2" xfId="10338" xr:uid="{00000000-0005-0000-0000-000062280000}"/>
    <cellStyle name="Normal 2 2 2 2 2 16 3 3" xfId="10339" xr:uid="{00000000-0005-0000-0000-000063280000}"/>
    <cellStyle name="Normal 2 2 2 2 2 16 3 4" xfId="10340" xr:uid="{00000000-0005-0000-0000-000064280000}"/>
    <cellStyle name="Normal 2 2 2 2 2 16 3 5" xfId="10341" xr:uid="{00000000-0005-0000-0000-000065280000}"/>
    <cellStyle name="Normal 2 2 2 2 2 16 3 6" xfId="10342" xr:uid="{00000000-0005-0000-0000-000066280000}"/>
    <cellStyle name="Normal 2 2 2 2 2 16 3 7" xfId="10343" xr:uid="{00000000-0005-0000-0000-000067280000}"/>
    <cellStyle name="Normal 2 2 2 2 2 16 3 8" xfId="10344" xr:uid="{00000000-0005-0000-0000-000068280000}"/>
    <cellStyle name="Normal 2 2 2 2 2 16 3 9" xfId="10345" xr:uid="{00000000-0005-0000-0000-000069280000}"/>
    <cellStyle name="Normal 2 2 2 2 2 16 4" xfId="10346" xr:uid="{00000000-0005-0000-0000-00006A280000}"/>
    <cellStyle name="Normal 2 2 2 2 2 16 4 10" xfId="10347" xr:uid="{00000000-0005-0000-0000-00006B280000}"/>
    <cellStyle name="Normal 2 2 2 2 2 16 4 2" xfId="10348" xr:uid="{00000000-0005-0000-0000-00006C280000}"/>
    <cellStyle name="Normal 2 2 2 2 2 16 4 3" xfId="10349" xr:uid="{00000000-0005-0000-0000-00006D280000}"/>
    <cellStyle name="Normal 2 2 2 2 2 16 4 4" xfId="10350" xr:uid="{00000000-0005-0000-0000-00006E280000}"/>
    <cellStyle name="Normal 2 2 2 2 2 16 4 5" xfId="10351" xr:uid="{00000000-0005-0000-0000-00006F280000}"/>
    <cellStyle name="Normal 2 2 2 2 2 16 4 6" xfId="10352" xr:uid="{00000000-0005-0000-0000-000070280000}"/>
    <cellStyle name="Normal 2 2 2 2 2 16 4 7" xfId="10353" xr:uid="{00000000-0005-0000-0000-000071280000}"/>
    <cellStyle name="Normal 2 2 2 2 2 16 4 8" xfId="10354" xr:uid="{00000000-0005-0000-0000-000072280000}"/>
    <cellStyle name="Normal 2 2 2 2 2 16 4 9" xfId="10355" xr:uid="{00000000-0005-0000-0000-000073280000}"/>
    <cellStyle name="Normal 2 2 2 2 2 16 5" xfId="10356" xr:uid="{00000000-0005-0000-0000-000074280000}"/>
    <cellStyle name="Normal 2 2 2 2 2 16 5 10" xfId="10357" xr:uid="{00000000-0005-0000-0000-000075280000}"/>
    <cellStyle name="Normal 2 2 2 2 2 16 5 2" xfId="10358" xr:uid="{00000000-0005-0000-0000-000076280000}"/>
    <cellStyle name="Normal 2 2 2 2 2 16 5 3" xfId="10359" xr:uid="{00000000-0005-0000-0000-000077280000}"/>
    <cellStyle name="Normal 2 2 2 2 2 16 5 4" xfId="10360" xr:uid="{00000000-0005-0000-0000-000078280000}"/>
    <cellStyle name="Normal 2 2 2 2 2 16 5 5" xfId="10361" xr:uid="{00000000-0005-0000-0000-000079280000}"/>
    <cellStyle name="Normal 2 2 2 2 2 16 5 6" xfId="10362" xr:uid="{00000000-0005-0000-0000-00007A280000}"/>
    <cellStyle name="Normal 2 2 2 2 2 16 5 7" xfId="10363" xr:uid="{00000000-0005-0000-0000-00007B280000}"/>
    <cellStyle name="Normal 2 2 2 2 2 16 5 8" xfId="10364" xr:uid="{00000000-0005-0000-0000-00007C280000}"/>
    <cellStyle name="Normal 2 2 2 2 2 16 5 9" xfId="10365" xr:uid="{00000000-0005-0000-0000-00007D280000}"/>
    <cellStyle name="Normal 2 2 2 2 2 16 6" xfId="10366" xr:uid="{00000000-0005-0000-0000-00007E280000}"/>
    <cellStyle name="Normal 2 2 2 2 2 16 7" xfId="10367" xr:uid="{00000000-0005-0000-0000-00007F280000}"/>
    <cellStyle name="Normal 2 2 2 2 2 16 8" xfId="10368" xr:uid="{00000000-0005-0000-0000-000080280000}"/>
    <cellStyle name="Normal 2 2 2 2 2 16 9" xfId="10369" xr:uid="{00000000-0005-0000-0000-000081280000}"/>
    <cellStyle name="Normal 2 2 2 2 2 17" xfId="10370" xr:uid="{00000000-0005-0000-0000-000082280000}"/>
    <cellStyle name="Normal 2 2 2 2 2 17 10" xfId="10371" xr:uid="{00000000-0005-0000-0000-000083280000}"/>
    <cellStyle name="Normal 2 2 2 2 2 17 11" xfId="10372" xr:uid="{00000000-0005-0000-0000-000084280000}"/>
    <cellStyle name="Normal 2 2 2 2 2 17 12" xfId="10373" xr:uid="{00000000-0005-0000-0000-000085280000}"/>
    <cellStyle name="Normal 2 2 2 2 2 17 13" xfId="10374" xr:uid="{00000000-0005-0000-0000-000086280000}"/>
    <cellStyle name="Normal 2 2 2 2 2 17 14" xfId="10375" xr:uid="{00000000-0005-0000-0000-000087280000}"/>
    <cellStyle name="Normal 2 2 2 2 2 17 2" xfId="10376" xr:uid="{00000000-0005-0000-0000-000088280000}"/>
    <cellStyle name="Normal 2 2 2 2 2 17 2 10" xfId="10377" xr:uid="{00000000-0005-0000-0000-000089280000}"/>
    <cellStyle name="Normal 2 2 2 2 2 17 2 2" xfId="10378" xr:uid="{00000000-0005-0000-0000-00008A280000}"/>
    <cellStyle name="Normal 2 2 2 2 2 17 2 3" xfId="10379" xr:uid="{00000000-0005-0000-0000-00008B280000}"/>
    <cellStyle name="Normal 2 2 2 2 2 17 2 4" xfId="10380" xr:uid="{00000000-0005-0000-0000-00008C280000}"/>
    <cellStyle name="Normal 2 2 2 2 2 17 2 5" xfId="10381" xr:uid="{00000000-0005-0000-0000-00008D280000}"/>
    <cellStyle name="Normal 2 2 2 2 2 17 2 6" xfId="10382" xr:uid="{00000000-0005-0000-0000-00008E280000}"/>
    <cellStyle name="Normal 2 2 2 2 2 17 2 7" xfId="10383" xr:uid="{00000000-0005-0000-0000-00008F280000}"/>
    <cellStyle name="Normal 2 2 2 2 2 17 2 8" xfId="10384" xr:uid="{00000000-0005-0000-0000-000090280000}"/>
    <cellStyle name="Normal 2 2 2 2 2 17 2 9" xfId="10385" xr:uid="{00000000-0005-0000-0000-000091280000}"/>
    <cellStyle name="Normal 2 2 2 2 2 17 3" xfId="10386" xr:uid="{00000000-0005-0000-0000-000092280000}"/>
    <cellStyle name="Normal 2 2 2 2 2 17 3 10" xfId="10387" xr:uid="{00000000-0005-0000-0000-000093280000}"/>
    <cellStyle name="Normal 2 2 2 2 2 17 3 2" xfId="10388" xr:uid="{00000000-0005-0000-0000-000094280000}"/>
    <cellStyle name="Normal 2 2 2 2 2 17 3 3" xfId="10389" xr:uid="{00000000-0005-0000-0000-000095280000}"/>
    <cellStyle name="Normal 2 2 2 2 2 17 3 4" xfId="10390" xr:uid="{00000000-0005-0000-0000-000096280000}"/>
    <cellStyle name="Normal 2 2 2 2 2 17 3 5" xfId="10391" xr:uid="{00000000-0005-0000-0000-000097280000}"/>
    <cellStyle name="Normal 2 2 2 2 2 17 3 6" xfId="10392" xr:uid="{00000000-0005-0000-0000-000098280000}"/>
    <cellStyle name="Normal 2 2 2 2 2 17 3 7" xfId="10393" xr:uid="{00000000-0005-0000-0000-000099280000}"/>
    <cellStyle name="Normal 2 2 2 2 2 17 3 8" xfId="10394" xr:uid="{00000000-0005-0000-0000-00009A280000}"/>
    <cellStyle name="Normal 2 2 2 2 2 17 3 9" xfId="10395" xr:uid="{00000000-0005-0000-0000-00009B280000}"/>
    <cellStyle name="Normal 2 2 2 2 2 17 4" xfId="10396" xr:uid="{00000000-0005-0000-0000-00009C280000}"/>
    <cellStyle name="Normal 2 2 2 2 2 17 4 10" xfId="10397" xr:uid="{00000000-0005-0000-0000-00009D280000}"/>
    <cellStyle name="Normal 2 2 2 2 2 17 4 2" xfId="10398" xr:uid="{00000000-0005-0000-0000-00009E280000}"/>
    <cellStyle name="Normal 2 2 2 2 2 17 4 3" xfId="10399" xr:uid="{00000000-0005-0000-0000-00009F280000}"/>
    <cellStyle name="Normal 2 2 2 2 2 17 4 4" xfId="10400" xr:uid="{00000000-0005-0000-0000-0000A0280000}"/>
    <cellStyle name="Normal 2 2 2 2 2 17 4 5" xfId="10401" xr:uid="{00000000-0005-0000-0000-0000A1280000}"/>
    <cellStyle name="Normal 2 2 2 2 2 17 4 6" xfId="10402" xr:uid="{00000000-0005-0000-0000-0000A2280000}"/>
    <cellStyle name="Normal 2 2 2 2 2 17 4 7" xfId="10403" xr:uid="{00000000-0005-0000-0000-0000A3280000}"/>
    <cellStyle name="Normal 2 2 2 2 2 17 4 8" xfId="10404" xr:uid="{00000000-0005-0000-0000-0000A4280000}"/>
    <cellStyle name="Normal 2 2 2 2 2 17 4 9" xfId="10405" xr:uid="{00000000-0005-0000-0000-0000A5280000}"/>
    <cellStyle name="Normal 2 2 2 2 2 17 5" xfId="10406" xr:uid="{00000000-0005-0000-0000-0000A6280000}"/>
    <cellStyle name="Normal 2 2 2 2 2 17 5 10" xfId="10407" xr:uid="{00000000-0005-0000-0000-0000A7280000}"/>
    <cellStyle name="Normal 2 2 2 2 2 17 5 2" xfId="10408" xr:uid="{00000000-0005-0000-0000-0000A8280000}"/>
    <cellStyle name="Normal 2 2 2 2 2 17 5 3" xfId="10409" xr:uid="{00000000-0005-0000-0000-0000A9280000}"/>
    <cellStyle name="Normal 2 2 2 2 2 17 5 4" xfId="10410" xr:uid="{00000000-0005-0000-0000-0000AA280000}"/>
    <cellStyle name="Normal 2 2 2 2 2 17 5 5" xfId="10411" xr:uid="{00000000-0005-0000-0000-0000AB280000}"/>
    <cellStyle name="Normal 2 2 2 2 2 17 5 6" xfId="10412" xr:uid="{00000000-0005-0000-0000-0000AC280000}"/>
    <cellStyle name="Normal 2 2 2 2 2 17 5 7" xfId="10413" xr:uid="{00000000-0005-0000-0000-0000AD280000}"/>
    <cellStyle name="Normal 2 2 2 2 2 17 5 8" xfId="10414" xr:uid="{00000000-0005-0000-0000-0000AE280000}"/>
    <cellStyle name="Normal 2 2 2 2 2 17 5 9" xfId="10415" xr:uid="{00000000-0005-0000-0000-0000AF280000}"/>
    <cellStyle name="Normal 2 2 2 2 2 17 6" xfId="10416" xr:uid="{00000000-0005-0000-0000-0000B0280000}"/>
    <cellStyle name="Normal 2 2 2 2 2 17 7" xfId="10417" xr:uid="{00000000-0005-0000-0000-0000B1280000}"/>
    <cellStyle name="Normal 2 2 2 2 2 17 8" xfId="10418" xr:uid="{00000000-0005-0000-0000-0000B2280000}"/>
    <cellStyle name="Normal 2 2 2 2 2 17 9" xfId="10419" xr:uid="{00000000-0005-0000-0000-0000B3280000}"/>
    <cellStyle name="Normal 2 2 2 2 2 18" xfId="10420" xr:uid="{00000000-0005-0000-0000-0000B4280000}"/>
    <cellStyle name="Normal 2 2 2 2 2 18 10" xfId="10421" xr:uid="{00000000-0005-0000-0000-0000B5280000}"/>
    <cellStyle name="Normal 2 2 2 2 2 18 11" xfId="10422" xr:uid="{00000000-0005-0000-0000-0000B6280000}"/>
    <cellStyle name="Normal 2 2 2 2 2 18 12" xfId="10423" xr:uid="{00000000-0005-0000-0000-0000B7280000}"/>
    <cellStyle name="Normal 2 2 2 2 2 18 13" xfId="10424" xr:uid="{00000000-0005-0000-0000-0000B8280000}"/>
    <cellStyle name="Normal 2 2 2 2 2 18 14" xfId="10425" xr:uid="{00000000-0005-0000-0000-0000B9280000}"/>
    <cellStyle name="Normal 2 2 2 2 2 18 2" xfId="10426" xr:uid="{00000000-0005-0000-0000-0000BA280000}"/>
    <cellStyle name="Normal 2 2 2 2 2 18 2 10" xfId="10427" xr:uid="{00000000-0005-0000-0000-0000BB280000}"/>
    <cellStyle name="Normal 2 2 2 2 2 18 2 2" xfId="10428" xr:uid="{00000000-0005-0000-0000-0000BC280000}"/>
    <cellStyle name="Normal 2 2 2 2 2 18 2 3" xfId="10429" xr:uid="{00000000-0005-0000-0000-0000BD280000}"/>
    <cellStyle name="Normal 2 2 2 2 2 18 2 4" xfId="10430" xr:uid="{00000000-0005-0000-0000-0000BE280000}"/>
    <cellStyle name="Normal 2 2 2 2 2 18 2 5" xfId="10431" xr:uid="{00000000-0005-0000-0000-0000BF280000}"/>
    <cellStyle name="Normal 2 2 2 2 2 18 2 6" xfId="10432" xr:uid="{00000000-0005-0000-0000-0000C0280000}"/>
    <cellStyle name="Normal 2 2 2 2 2 18 2 7" xfId="10433" xr:uid="{00000000-0005-0000-0000-0000C1280000}"/>
    <cellStyle name="Normal 2 2 2 2 2 18 2 8" xfId="10434" xr:uid="{00000000-0005-0000-0000-0000C2280000}"/>
    <cellStyle name="Normal 2 2 2 2 2 18 2 9" xfId="10435" xr:uid="{00000000-0005-0000-0000-0000C3280000}"/>
    <cellStyle name="Normal 2 2 2 2 2 18 3" xfId="10436" xr:uid="{00000000-0005-0000-0000-0000C4280000}"/>
    <cellStyle name="Normal 2 2 2 2 2 18 3 10" xfId="10437" xr:uid="{00000000-0005-0000-0000-0000C5280000}"/>
    <cellStyle name="Normal 2 2 2 2 2 18 3 2" xfId="10438" xr:uid="{00000000-0005-0000-0000-0000C6280000}"/>
    <cellStyle name="Normal 2 2 2 2 2 18 3 3" xfId="10439" xr:uid="{00000000-0005-0000-0000-0000C7280000}"/>
    <cellStyle name="Normal 2 2 2 2 2 18 3 4" xfId="10440" xr:uid="{00000000-0005-0000-0000-0000C8280000}"/>
    <cellStyle name="Normal 2 2 2 2 2 18 3 5" xfId="10441" xr:uid="{00000000-0005-0000-0000-0000C9280000}"/>
    <cellStyle name="Normal 2 2 2 2 2 18 3 6" xfId="10442" xr:uid="{00000000-0005-0000-0000-0000CA280000}"/>
    <cellStyle name="Normal 2 2 2 2 2 18 3 7" xfId="10443" xr:uid="{00000000-0005-0000-0000-0000CB280000}"/>
    <cellStyle name="Normal 2 2 2 2 2 18 3 8" xfId="10444" xr:uid="{00000000-0005-0000-0000-0000CC280000}"/>
    <cellStyle name="Normal 2 2 2 2 2 18 3 9" xfId="10445" xr:uid="{00000000-0005-0000-0000-0000CD280000}"/>
    <cellStyle name="Normal 2 2 2 2 2 18 4" xfId="10446" xr:uid="{00000000-0005-0000-0000-0000CE280000}"/>
    <cellStyle name="Normal 2 2 2 2 2 18 4 10" xfId="10447" xr:uid="{00000000-0005-0000-0000-0000CF280000}"/>
    <cellStyle name="Normal 2 2 2 2 2 18 4 2" xfId="10448" xr:uid="{00000000-0005-0000-0000-0000D0280000}"/>
    <cellStyle name="Normal 2 2 2 2 2 18 4 3" xfId="10449" xr:uid="{00000000-0005-0000-0000-0000D1280000}"/>
    <cellStyle name="Normal 2 2 2 2 2 18 4 4" xfId="10450" xr:uid="{00000000-0005-0000-0000-0000D2280000}"/>
    <cellStyle name="Normal 2 2 2 2 2 18 4 5" xfId="10451" xr:uid="{00000000-0005-0000-0000-0000D3280000}"/>
    <cellStyle name="Normal 2 2 2 2 2 18 4 6" xfId="10452" xr:uid="{00000000-0005-0000-0000-0000D4280000}"/>
    <cellStyle name="Normal 2 2 2 2 2 18 4 7" xfId="10453" xr:uid="{00000000-0005-0000-0000-0000D5280000}"/>
    <cellStyle name="Normal 2 2 2 2 2 18 4 8" xfId="10454" xr:uid="{00000000-0005-0000-0000-0000D6280000}"/>
    <cellStyle name="Normal 2 2 2 2 2 18 4 9" xfId="10455" xr:uid="{00000000-0005-0000-0000-0000D7280000}"/>
    <cellStyle name="Normal 2 2 2 2 2 18 5" xfId="10456" xr:uid="{00000000-0005-0000-0000-0000D8280000}"/>
    <cellStyle name="Normal 2 2 2 2 2 18 5 10" xfId="10457" xr:uid="{00000000-0005-0000-0000-0000D9280000}"/>
    <cellStyle name="Normal 2 2 2 2 2 18 5 2" xfId="10458" xr:uid="{00000000-0005-0000-0000-0000DA280000}"/>
    <cellStyle name="Normal 2 2 2 2 2 18 5 3" xfId="10459" xr:uid="{00000000-0005-0000-0000-0000DB280000}"/>
    <cellStyle name="Normal 2 2 2 2 2 18 5 4" xfId="10460" xr:uid="{00000000-0005-0000-0000-0000DC280000}"/>
    <cellStyle name="Normal 2 2 2 2 2 18 5 5" xfId="10461" xr:uid="{00000000-0005-0000-0000-0000DD280000}"/>
    <cellStyle name="Normal 2 2 2 2 2 18 5 6" xfId="10462" xr:uid="{00000000-0005-0000-0000-0000DE280000}"/>
    <cellStyle name="Normal 2 2 2 2 2 18 5 7" xfId="10463" xr:uid="{00000000-0005-0000-0000-0000DF280000}"/>
    <cellStyle name="Normal 2 2 2 2 2 18 5 8" xfId="10464" xr:uid="{00000000-0005-0000-0000-0000E0280000}"/>
    <cellStyle name="Normal 2 2 2 2 2 18 5 9" xfId="10465" xr:uid="{00000000-0005-0000-0000-0000E1280000}"/>
    <cellStyle name="Normal 2 2 2 2 2 18 6" xfId="10466" xr:uid="{00000000-0005-0000-0000-0000E2280000}"/>
    <cellStyle name="Normal 2 2 2 2 2 18 7" xfId="10467" xr:uid="{00000000-0005-0000-0000-0000E3280000}"/>
    <cellStyle name="Normal 2 2 2 2 2 18 8" xfId="10468" xr:uid="{00000000-0005-0000-0000-0000E4280000}"/>
    <cellStyle name="Normal 2 2 2 2 2 18 9" xfId="10469" xr:uid="{00000000-0005-0000-0000-0000E5280000}"/>
    <cellStyle name="Normal 2 2 2 2 2 19" xfId="10470" xr:uid="{00000000-0005-0000-0000-0000E6280000}"/>
    <cellStyle name="Normal 2 2 2 2 2 19 10" xfId="10471" xr:uid="{00000000-0005-0000-0000-0000E7280000}"/>
    <cellStyle name="Normal 2 2 2 2 2 19 11" xfId="10472" xr:uid="{00000000-0005-0000-0000-0000E8280000}"/>
    <cellStyle name="Normal 2 2 2 2 2 19 12" xfId="10473" xr:uid="{00000000-0005-0000-0000-0000E9280000}"/>
    <cellStyle name="Normal 2 2 2 2 2 19 13" xfId="10474" xr:uid="{00000000-0005-0000-0000-0000EA280000}"/>
    <cellStyle name="Normal 2 2 2 2 2 19 14" xfId="10475" xr:uid="{00000000-0005-0000-0000-0000EB280000}"/>
    <cellStyle name="Normal 2 2 2 2 2 19 2" xfId="10476" xr:uid="{00000000-0005-0000-0000-0000EC280000}"/>
    <cellStyle name="Normal 2 2 2 2 2 19 2 10" xfId="10477" xr:uid="{00000000-0005-0000-0000-0000ED280000}"/>
    <cellStyle name="Normal 2 2 2 2 2 19 2 2" xfId="10478" xr:uid="{00000000-0005-0000-0000-0000EE280000}"/>
    <cellStyle name="Normal 2 2 2 2 2 19 2 3" xfId="10479" xr:uid="{00000000-0005-0000-0000-0000EF280000}"/>
    <cellStyle name="Normal 2 2 2 2 2 19 2 4" xfId="10480" xr:uid="{00000000-0005-0000-0000-0000F0280000}"/>
    <cellStyle name="Normal 2 2 2 2 2 19 2 5" xfId="10481" xr:uid="{00000000-0005-0000-0000-0000F1280000}"/>
    <cellStyle name="Normal 2 2 2 2 2 19 2 6" xfId="10482" xr:uid="{00000000-0005-0000-0000-0000F2280000}"/>
    <cellStyle name="Normal 2 2 2 2 2 19 2 7" xfId="10483" xr:uid="{00000000-0005-0000-0000-0000F3280000}"/>
    <cellStyle name="Normal 2 2 2 2 2 19 2 8" xfId="10484" xr:uid="{00000000-0005-0000-0000-0000F4280000}"/>
    <cellStyle name="Normal 2 2 2 2 2 19 2 9" xfId="10485" xr:uid="{00000000-0005-0000-0000-0000F5280000}"/>
    <cellStyle name="Normal 2 2 2 2 2 19 3" xfId="10486" xr:uid="{00000000-0005-0000-0000-0000F6280000}"/>
    <cellStyle name="Normal 2 2 2 2 2 19 3 10" xfId="10487" xr:uid="{00000000-0005-0000-0000-0000F7280000}"/>
    <cellStyle name="Normal 2 2 2 2 2 19 3 2" xfId="10488" xr:uid="{00000000-0005-0000-0000-0000F8280000}"/>
    <cellStyle name="Normal 2 2 2 2 2 19 3 3" xfId="10489" xr:uid="{00000000-0005-0000-0000-0000F9280000}"/>
    <cellStyle name="Normal 2 2 2 2 2 19 3 4" xfId="10490" xr:uid="{00000000-0005-0000-0000-0000FA280000}"/>
    <cellStyle name="Normal 2 2 2 2 2 19 3 5" xfId="10491" xr:uid="{00000000-0005-0000-0000-0000FB280000}"/>
    <cellStyle name="Normal 2 2 2 2 2 19 3 6" xfId="10492" xr:uid="{00000000-0005-0000-0000-0000FC280000}"/>
    <cellStyle name="Normal 2 2 2 2 2 19 3 7" xfId="10493" xr:uid="{00000000-0005-0000-0000-0000FD280000}"/>
    <cellStyle name="Normal 2 2 2 2 2 19 3 8" xfId="10494" xr:uid="{00000000-0005-0000-0000-0000FE280000}"/>
    <cellStyle name="Normal 2 2 2 2 2 19 3 9" xfId="10495" xr:uid="{00000000-0005-0000-0000-0000FF280000}"/>
    <cellStyle name="Normal 2 2 2 2 2 19 4" xfId="10496" xr:uid="{00000000-0005-0000-0000-000000290000}"/>
    <cellStyle name="Normal 2 2 2 2 2 19 4 10" xfId="10497" xr:uid="{00000000-0005-0000-0000-000001290000}"/>
    <cellStyle name="Normal 2 2 2 2 2 19 4 2" xfId="10498" xr:uid="{00000000-0005-0000-0000-000002290000}"/>
    <cellStyle name="Normal 2 2 2 2 2 19 4 3" xfId="10499" xr:uid="{00000000-0005-0000-0000-000003290000}"/>
    <cellStyle name="Normal 2 2 2 2 2 19 4 4" xfId="10500" xr:uid="{00000000-0005-0000-0000-000004290000}"/>
    <cellStyle name="Normal 2 2 2 2 2 19 4 5" xfId="10501" xr:uid="{00000000-0005-0000-0000-000005290000}"/>
    <cellStyle name="Normal 2 2 2 2 2 19 4 6" xfId="10502" xr:uid="{00000000-0005-0000-0000-000006290000}"/>
    <cellStyle name="Normal 2 2 2 2 2 19 4 7" xfId="10503" xr:uid="{00000000-0005-0000-0000-000007290000}"/>
    <cellStyle name="Normal 2 2 2 2 2 19 4 8" xfId="10504" xr:uid="{00000000-0005-0000-0000-000008290000}"/>
    <cellStyle name="Normal 2 2 2 2 2 19 4 9" xfId="10505" xr:uid="{00000000-0005-0000-0000-000009290000}"/>
    <cellStyle name="Normal 2 2 2 2 2 19 5" xfId="10506" xr:uid="{00000000-0005-0000-0000-00000A290000}"/>
    <cellStyle name="Normal 2 2 2 2 2 19 5 10" xfId="10507" xr:uid="{00000000-0005-0000-0000-00000B290000}"/>
    <cellStyle name="Normal 2 2 2 2 2 19 5 2" xfId="10508" xr:uid="{00000000-0005-0000-0000-00000C290000}"/>
    <cellStyle name="Normal 2 2 2 2 2 19 5 3" xfId="10509" xr:uid="{00000000-0005-0000-0000-00000D290000}"/>
    <cellStyle name="Normal 2 2 2 2 2 19 5 4" xfId="10510" xr:uid="{00000000-0005-0000-0000-00000E290000}"/>
    <cellStyle name="Normal 2 2 2 2 2 19 5 5" xfId="10511" xr:uid="{00000000-0005-0000-0000-00000F290000}"/>
    <cellStyle name="Normal 2 2 2 2 2 19 5 6" xfId="10512" xr:uid="{00000000-0005-0000-0000-000010290000}"/>
    <cellStyle name="Normal 2 2 2 2 2 19 5 7" xfId="10513" xr:uid="{00000000-0005-0000-0000-000011290000}"/>
    <cellStyle name="Normal 2 2 2 2 2 19 5 8" xfId="10514" xr:uid="{00000000-0005-0000-0000-000012290000}"/>
    <cellStyle name="Normal 2 2 2 2 2 19 5 9" xfId="10515" xr:uid="{00000000-0005-0000-0000-000013290000}"/>
    <cellStyle name="Normal 2 2 2 2 2 19 6" xfId="10516" xr:uid="{00000000-0005-0000-0000-000014290000}"/>
    <cellStyle name="Normal 2 2 2 2 2 19 7" xfId="10517" xr:uid="{00000000-0005-0000-0000-000015290000}"/>
    <cellStyle name="Normal 2 2 2 2 2 19 8" xfId="10518" xr:uid="{00000000-0005-0000-0000-000016290000}"/>
    <cellStyle name="Normal 2 2 2 2 2 19 9" xfId="10519" xr:uid="{00000000-0005-0000-0000-000017290000}"/>
    <cellStyle name="Normal 2 2 2 2 2 2" xfId="10520" xr:uid="{00000000-0005-0000-0000-000018290000}"/>
    <cellStyle name="Normal 2 2 2 2 2 2 10" xfId="10521" xr:uid="{00000000-0005-0000-0000-000019290000}"/>
    <cellStyle name="Normal 2 2 2 2 2 2 10 10" xfId="10522" xr:uid="{00000000-0005-0000-0000-00001A290000}"/>
    <cellStyle name="Normal 2 2 2 2 2 2 10 11" xfId="10523" xr:uid="{00000000-0005-0000-0000-00001B290000}"/>
    <cellStyle name="Normal 2 2 2 2 2 2 10 12" xfId="10524" xr:uid="{00000000-0005-0000-0000-00001C290000}"/>
    <cellStyle name="Normal 2 2 2 2 2 2 10 13" xfId="10525" xr:uid="{00000000-0005-0000-0000-00001D290000}"/>
    <cellStyle name="Normal 2 2 2 2 2 2 10 14" xfId="10526" xr:uid="{00000000-0005-0000-0000-00001E290000}"/>
    <cellStyle name="Normal 2 2 2 2 2 2 10 2" xfId="10527" xr:uid="{00000000-0005-0000-0000-00001F290000}"/>
    <cellStyle name="Normal 2 2 2 2 2 2 10 2 10" xfId="10528" xr:uid="{00000000-0005-0000-0000-000020290000}"/>
    <cellStyle name="Normal 2 2 2 2 2 2 10 2 2" xfId="10529" xr:uid="{00000000-0005-0000-0000-000021290000}"/>
    <cellStyle name="Normal 2 2 2 2 2 2 10 2 3" xfId="10530" xr:uid="{00000000-0005-0000-0000-000022290000}"/>
    <cellStyle name="Normal 2 2 2 2 2 2 10 2 4" xfId="10531" xr:uid="{00000000-0005-0000-0000-000023290000}"/>
    <cellStyle name="Normal 2 2 2 2 2 2 10 2 5" xfId="10532" xr:uid="{00000000-0005-0000-0000-000024290000}"/>
    <cellStyle name="Normal 2 2 2 2 2 2 10 2 6" xfId="10533" xr:uid="{00000000-0005-0000-0000-000025290000}"/>
    <cellStyle name="Normal 2 2 2 2 2 2 10 2 7" xfId="10534" xr:uid="{00000000-0005-0000-0000-000026290000}"/>
    <cellStyle name="Normal 2 2 2 2 2 2 10 2 8" xfId="10535" xr:uid="{00000000-0005-0000-0000-000027290000}"/>
    <cellStyle name="Normal 2 2 2 2 2 2 10 2 9" xfId="10536" xr:uid="{00000000-0005-0000-0000-000028290000}"/>
    <cellStyle name="Normal 2 2 2 2 2 2 10 3" xfId="10537" xr:uid="{00000000-0005-0000-0000-000029290000}"/>
    <cellStyle name="Normal 2 2 2 2 2 2 10 3 10" xfId="10538" xr:uid="{00000000-0005-0000-0000-00002A290000}"/>
    <cellStyle name="Normal 2 2 2 2 2 2 10 3 2" xfId="10539" xr:uid="{00000000-0005-0000-0000-00002B290000}"/>
    <cellStyle name="Normal 2 2 2 2 2 2 10 3 3" xfId="10540" xr:uid="{00000000-0005-0000-0000-00002C290000}"/>
    <cellStyle name="Normal 2 2 2 2 2 2 10 3 4" xfId="10541" xr:uid="{00000000-0005-0000-0000-00002D290000}"/>
    <cellStyle name="Normal 2 2 2 2 2 2 10 3 5" xfId="10542" xr:uid="{00000000-0005-0000-0000-00002E290000}"/>
    <cellStyle name="Normal 2 2 2 2 2 2 10 3 6" xfId="10543" xr:uid="{00000000-0005-0000-0000-00002F290000}"/>
    <cellStyle name="Normal 2 2 2 2 2 2 10 3 7" xfId="10544" xr:uid="{00000000-0005-0000-0000-000030290000}"/>
    <cellStyle name="Normal 2 2 2 2 2 2 10 3 8" xfId="10545" xr:uid="{00000000-0005-0000-0000-000031290000}"/>
    <cellStyle name="Normal 2 2 2 2 2 2 10 3 9" xfId="10546" xr:uid="{00000000-0005-0000-0000-000032290000}"/>
    <cellStyle name="Normal 2 2 2 2 2 2 10 4" xfId="10547" xr:uid="{00000000-0005-0000-0000-000033290000}"/>
    <cellStyle name="Normal 2 2 2 2 2 2 10 4 10" xfId="10548" xr:uid="{00000000-0005-0000-0000-000034290000}"/>
    <cellStyle name="Normal 2 2 2 2 2 2 10 4 2" xfId="10549" xr:uid="{00000000-0005-0000-0000-000035290000}"/>
    <cellStyle name="Normal 2 2 2 2 2 2 10 4 3" xfId="10550" xr:uid="{00000000-0005-0000-0000-000036290000}"/>
    <cellStyle name="Normal 2 2 2 2 2 2 10 4 4" xfId="10551" xr:uid="{00000000-0005-0000-0000-000037290000}"/>
    <cellStyle name="Normal 2 2 2 2 2 2 10 4 5" xfId="10552" xr:uid="{00000000-0005-0000-0000-000038290000}"/>
    <cellStyle name="Normal 2 2 2 2 2 2 10 4 6" xfId="10553" xr:uid="{00000000-0005-0000-0000-000039290000}"/>
    <cellStyle name="Normal 2 2 2 2 2 2 10 4 7" xfId="10554" xr:uid="{00000000-0005-0000-0000-00003A290000}"/>
    <cellStyle name="Normal 2 2 2 2 2 2 10 4 8" xfId="10555" xr:uid="{00000000-0005-0000-0000-00003B290000}"/>
    <cellStyle name="Normal 2 2 2 2 2 2 10 4 9" xfId="10556" xr:uid="{00000000-0005-0000-0000-00003C290000}"/>
    <cellStyle name="Normal 2 2 2 2 2 2 10 5" xfId="10557" xr:uid="{00000000-0005-0000-0000-00003D290000}"/>
    <cellStyle name="Normal 2 2 2 2 2 2 10 5 10" xfId="10558" xr:uid="{00000000-0005-0000-0000-00003E290000}"/>
    <cellStyle name="Normal 2 2 2 2 2 2 10 5 2" xfId="10559" xr:uid="{00000000-0005-0000-0000-00003F290000}"/>
    <cellStyle name="Normal 2 2 2 2 2 2 10 5 3" xfId="10560" xr:uid="{00000000-0005-0000-0000-000040290000}"/>
    <cellStyle name="Normal 2 2 2 2 2 2 10 5 4" xfId="10561" xr:uid="{00000000-0005-0000-0000-000041290000}"/>
    <cellStyle name="Normal 2 2 2 2 2 2 10 5 5" xfId="10562" xr:uid="{00000000-0005-0000-0000-000042290000}"/>
    <cellStyle name="Normal 2 2 2 2 2 2 10 5 6" xfId="10563" xr:uid="{00000000-0005-0000-0000-000043290000}"/>
    <cellStyle name="Normal 2 2 2 2 2 2 10 5 7" xfId="10564" xr:uid="{00000000-0005-0000-0000-000044290000}"/>
    <cellStyle name="Normal 2 2 2 2 2 2 10 5 8" xfId="10565" xr:uid="{00000000-0005-0000-0000-000045290000}"/>
    <cellStyle name="Normal 2 2 2 2 2 2 10 5 9" xfId="10566" xr:uid="{00000000-0005-0000-0000-000046290000}"/>
    <cellStyle name="Normal 2 2 2 2 2 2 10 6" xfId="10567" xr:uid="{00000000-0005-0000-0000-000047290000}"/>
    <cellStyle name="Normal 2 2 2 2 2 2 10 7" xfId="10568" xr:uid="{00000000-0005-0000-0000-000048290000}"/>
    <cellStyle name="Normal 2 2 2 2 2 2 10 8" xfId="10569" xr:uid="{00000000-0005-0000-0000-000049290000}"/>
    <cellStyle name="Normal 2 2 2 2 2 2 10 9" xfId="10570" xr:uid="{00000000-0005-0000-0000-00004A290000}"/>
    <cellStyle name="Normal 2 2 2 2 2 2 11" xfId="10571" xr:uid="{00000000-0005-0000-0000-00004B290000}"/>
    <cellStyle name="Normal 2 2 2 2 2 2 11 10" xfId="10572" xr:uid="{00000000-0005-0000-0000-00004C290000}"/>
    <cellStyle name="Normal 2 2 2 2 2 2 11 11" xfId="10573" xr:uid="{00000000-0005-0000-0000-00004D290000}"/>
    <cellStyle name="Normal 2 2 2 2 2 2 11 12" xfId="10574" xr:uid="{00000000-0005-0000-0000-00004E290000}"/>
    <cellStyle name="Normal 2 2 2 2 2 2 11 13" xfId="10575" xr:uid="{00000000-0005-0000-0000-00004F290000}"/>
    <cellStyle name="Normal 2 2 2 2 2 2 11 14" xfId="10576" xr:uid="{00000000-0005-0000-0000-000050290000}"/>
    <cellStyle name="Normal 2 2 2 2 2 2 11 2" xfId="10577" xr:uid="{00000000-0005-0000-0000-000051290000}"/>
    <cellStyle name="Normal 2 2 2 2 2 2 11 2 10" xfId="10578" xr:uid="{00000000-0005-0000-0000-000052290000}"/>
    <cellStyle name="Normal 2 2 2 2 2 2 11 2 2" xfId="10579" xr:uid="{00000000-0005-0000-0000-000053290000}"/>
    <cellStyle name="Normal 2 2 2 2 2 2 11 2 3" xfId="10580" xr:uid="{00000000-0005-0000-0000-000054290000}"/>
    <cellStyle name="Normal 2 2 2 2 2 2 11 2 4" xfId="10581" xr:uid="{00000000-0005-0000-0000-000055290000}"/>
    <cellStyle name="Normal 2 2 2 2 2 2 11 2 5" xfId="10582" xr:uid="{00000000-0005-0000-0000-000056290000}"/>
    <cellStyle name="Normal 2 2 2 2 2 2 11 2 6" xfId="10583" xr:uid="{00000000-0005-0000-0000-000057290000}"/>
    <cellStyle name="Normal 2 2 2 2 2 2 11 2 7" xfId="10584" xr:uid="{00000000-0005-0000-0000-000058290000}"/>
    <cellStyle name="Normal 2 2 2 2 2 2 11 2 8" xfId="10585" xr:uid="{00000000-0005-0000-0000-000059290000}"/>
    <cellStyle name="Normal 2 2 2 2 2 2 11 2 9" xfId="10586" xr:uid="{00000000-0005-0000-0000-00005A290000}"/>
    <cellStyle name="Normal 2 2 2 2 2 2 11 3" xfId="10587" xr:uid="{00000000-0005-0000-0000-00005B290000}"/>
    <cellStyle name="Normal 2 2 2 2 2 2 11 3 10" xfId="10588" xr:uid="{00000000-0005-0000-0000-00005C290000}"/>
    <cellStyle name="Normal 2 2 2 2 2 2 11 3 2" xfId="10589" xr:uid="{00000000-0005-0000-0000-00005D290000}"/>
    <cellStyle name="Normal 2 2 2 2 2 2 11 3 3" xfId="10590" xr:uid="{00000000-0005-0000-0000-00005E290000}"/>
    <cellStyle name="Normal 2 2 2 2 2 2 11 3 4" xfId="10591" xr:uid="{00000000-0005-0000-0000-00005F290000}"/>
    <cellStyle name="Normal 2 2 2 2 2 2 11 3 5" xfId="10592" xr:uid="{00000000-0005-0000-0000-000060290000}"/>
    <cellStyle name="Normal 2 2 2 2 2 2 11 3 6" xfId="10593" xr:uid="{00000000-0005-0000-0000-000061290000}"/>
    <cellStyle name="Normal 2 2 2 2 2 2 11 3 7" xfId="10594" xr:uid="{00000000-0005-0000-0000-000062290000}"/>
    <cellStyle name="Normal 2 2 2 2 2 2 11 3 8" xfId="10595" xr:uid="{00000000-0005-0000-0000-000063290000}"/>
    <cellStyle name="Normal 2 2 2 2 2 2 11 3 9" xfId="10596" xr:uid="{00000000-0005-0000-0000-000064290000}"/>
    <cellStyle name="Normal 2 2 2 2 2 2 11 4" xfId="10597" xr:uid="{00000000-0005-0000-0000-000065290000}"/>
    <cellStyle name="Normal 2 2 2 2 2 2 11 4 10" xfId="10598" xr:uid="{00000000-0005-0000-0000-000066290000}"/>
    <cellStyle name="Normal 2 2 2 2 2 2 11 4 2" xfId="10599" xr:uid="{00000000-0005-0000-0000-000067290000}"/>
    <cellStyle name="Normal 2 2 2 2 2 2 11 4 3" xfId="10600" xr:uid="{00000000-0005-0000-0000-000068290000}"/>
    <cellStyle name="Normal 2 2 2 2 2 2 11 4 4" xfId="10601" xr:uid="{00000000-0005-0000-0000-000069290000}"/>
    <cellStyle name="Normal 2 2 2 2 2 2 11 4 5" xfId="10602" xr:uid="{00000000-0005-0000-0000-00006A290000}"/>
    <cellStyle name="Normal 2 2 2 2 2 2 11 4 6" xfId="10603" xr:uid="{00000000-0005-0000-0000-00006B290000}"/>
    <cellStyle name="Normal 2 2 2 2 2 2 11 4 7" xfId="10604" xr:uid="{00000000-0005-0000-0000-00006C290000}"/>
    <cellStyle name="Normal 2 2 2 2 2 2 11 4 8" xfId="10605" xr:uid="{00000000-0005-0000-0000-00006D290000}"/>
    <cellStyle name="Normal 2 2 2 2 2 2 11 4 9" xfId="10606" xr:uid="{00000000-0005-0000-0000-00006E290000}"/>
    <cellStyle name="Normal 2 2 2 2 2 2 11 5" xfId="10607" xr:uid="{00000000-0005-0000-0000-00006F290000}"/>
    <cellStyle name="Normal 2 2 2 2 2 2 11 5 10" xfId="10608" xr:uid="{00000000-0005-0000-0000-000070290000}"/>
    <cellStyle name="Normal 2 2 2 2 2 2 11 5 2" xfId="10609" xr:uid="{00000000-0005-0000-0000-000071290000}"/>
    <cellStyle name="Normal 2 2 2 2 2 2 11 5 3" xfId="10610" xr:uid="{00000000-0005-0000-0000-000072290000}"/>
    <cellStyle name="Normal 2 2 2 2 2 2 11 5 4" xfId="10611" xr:uid="{00000000-0005-0000-0000-000073290000}"/>
    <cellStyle name="Normal 2 2 2 2 2 2 11 5 5" xfId="10612" xr:uid="{00000000-0005-0000-0000-000074290000}"/>
    <cellStyle name="Normal 2 2 2 2 2 2 11 5 6" xfId="10613" xr:uid="{00000000-0005-0000-0000-000075290000}"/>
    <cellStyle name="Normal 2 2 2 2 2 2 11 5 7" xfId="10614" xr:uid="{00000000-0005-0000-0000-000076290000}"/>
    <cellStyle name="Normal 2 2 2 2 2 2 11 5 8" xfId="10615" xr:uid="{00000000-0005-0000-0000-000077290000}"/>
    <cellStyle name="Normal 2 2 2 2 2 2 11 5 9" xfId="10616" xr:uid="{00000000-0005-0000-0000-000078290000}"/>
    <cellStyle name="Normal 2 2 2 2 2 2 11 6" xfId="10617" xr:uid="{00000000-0005-0000-0000-000079290000}"/>
    <cellStyle name="Normal 2 2 2 2 2 2 11 7" xfId="10618" xr:uid="{00000000-0005-0000-0000-00007A290000}"/>
    <cellStyle name="Normal 2 2 2 2 2 2 11 8" xfId="10619" xr:uid="{00000000-0005-0000-0000-00007B290000}"/>
    <cellStyle name="Normal 2 2 2 2 2 2 11 9" xfId="10620" xr:uid="{00000000-0005-0000-0000-00007C290000}"/>
    <cellStyle name="Normal 2 2 2 2 2 2 12" xfId="10621" xr:uid="{00000000-0005-0000-0000-00007D290000}"/>
    <cellStyle name="Normal 2 2 2 2 2 2 12 10" xfId="10622" xr:uid="{00000000-0005-0000-0000-00007E290000}"/>
    <cellStyle name="Normal 2 2 2 2 2 2 12 11" xfId="10623" xr:uid="{00000000-0005-0000-0000-00007F290000}"/>
    <cellStyle name="Normal 2 2 2 2 2 2 12 12" xfId="10624" xr:uid="{00000000-0005-0000-0000-000080290000}"/>
    <cellStyle name="Normal 2 2 2 2 2 2 12 13" xfId="10625" xr:uid="{00000000-0005-0000-0000-000081290000}"/>
    <cellStyle name="Normal 2 2 2 2 2 2 12 14" xfId="10626" xr:uid="{00000000-0005-0000-0000-000082290000}"/>
    <cellStyle name="Normal 2 2 2 2 2 2 12 2" xfId="10627" xr:uid="{00000000-0005-0000-0000-000083290000}"/>
    <cellStyle name="Normal 2 2 2 2 2 2 12 2 10" xfId="10628" xr:uid="{00000000-0005-0000-0000-000084290000}"/>
    <cellStyle name="Normal 2 2 2 2 2 2 12 2 2" xfId="10629" xr:uid="{00000000-0005-0000-0000-000085290000}"/>
    <cellStyle name="Normal 2 2 2 2 2 2 12 2 3" xfId="10630" xr:uid="{00000000-0005-0000-0000-000086290000}"/>
    <cellStyle name="Normal 2 2 2 2 2 2 12 2 4" xfId="10631" xr:uid="{00000000-0005-0000-0000-000087290000}"/>
    <cellStyle name="Normal 2 2 2 2 2 2 12 2 5" xfId="10632" xr:uid="{00000000-0005-0000-0000-000088290000}"/>
    <cellStyle name="Normal 2 2 2 2 2 2 12 2 6" xfId="10633" xr:uid="{00000000-0005-0000-0000-000089290000}"/>
    <cellStyle name="Normal 2 2 2 2 2 2 12 2 7" xfId="10634" xr:uid="{00000000-0005-0000-0000-00008A290000}"/>
    <cellStyle name="Normal 2 2 2 2 2 2 12 2 8" xfId="10635" xr:uid="{00000000-0005-0000-0000-00008B290000}"/>
    <cellStyle name="Normal 2 2 2 2 2 2 12 2 9" xfId="10636" xr:uid="{00000000-0005-0000-0000-00008C290000}"/>
    <cellStyle name="Normal 2 2 2 2 2 2 12 3" xfId="10637" xr:uid="{00000000-0005-0000-0000-00008D290000}"/>
    <cellStyle name="Normal 2 2 2 2 2 2 12 3 10" xfId="10638" xr:uid="{00000000-0005-0000-0000-00008E290000}"/>
    <cellStyle name="Normal 2 2 2 2 2 2 12 3 2" xfId="10639" xr:uid="{00000000-0005-0000-0000-00008F290000}"/>
    <cellStyle name="Normal 2 2 2 2 2 2 12 3 3" xfId="10640" xr:uid="{00000000-0005-0000-0000-000090290000}"/>
    <cellStyle name="Normal 2 2 2 2 2 2 12 3 4" xfId="10641" xr:uid="{00000000-0005-0000-0000-000091290000}"/>
    <cellStyle name="Normal 2 2 2 2 2 2 12 3 5" xfId="10642" xr:uid="{00000000-0005-0000-0000-000092290000}"/>
    <cellStyle name="Normal 2 2 2 2 2 2 12 3 6" xfId="10643" xr:uid="{00000000-0005-0000-0000-000093290000}"/>
    <cellStyle name="Normal 2 2 2 2 2 2 12 3 7" xfId="10644" xr:uid="{00000000-0005-0000-0000-000094290000}"/>
    <cellStyle name="Normal 2 2 2 2 2 2 12 3 8" xfId="10645" xr:uid="{00000000-0005-0000-0000-000095290000}"/>
    <cellStyle name="Normal 2 2 2 2 2 2 12 3 9" xfId="10646" xr:uid="{00000000-0005-0000-0000-000096290000}"/>
    <cellStyle name="Normal 2 2 2 2 2 2 12 4" xfId="10647" xr:uid="{00000000-0005-0000-0000-000097290000}"/>
    <cellStyle name="Normal 2 2 2 2 2 2 12 4 10" xfId="10648" xr:uid="{00000000-0005-0000-0000-000098290000}"/>
    <cellStyle name="Normal 2 2 2 2 2 2 12 4 2" xfId="10649" xr:uid="{00000000-0005-0000-0000-000099290000}"/>
    <cellStyle name="Normal 2 2 2 2 2 2 12 4 3" xfId="10650" xr:uid="{00000000-0005-0000-0000-00009A290000}"/>
    <cellStyle name="Normal 2 2 2 2 2 2 12 4 4" xfId="10651" xr:uid="{00000000-0005-0000-0000-00009B290000}"/>
    <cellStyle name="Normal 2 2 2 2 2 2 12 4 5" xfId="10652" xr:uid="{00000000-0005-0000-0000-00009C290000}"/>
    <cellStyle name="Normal 2 2 2 2 2 2 12 4 6" xfId="10653" xr:uid="{00000000-0005-0000-0000-00009D290000}"/>
    <cellStyle name="Normal 2 2 2 2 2 2 12 4 7" xfId="10654" xr:uid="{00000000-0005-0000-0000-00009E290000}"/>
    <cellStyle name="Normal 2 2 2 2 2 2 12 4 8" xfId="10655" xr:uid="{00000000-0005-0000-0000-00009F290000}"/>
    <cellStyle name="Normal 2 2 2 2 2 2 12 4 9" xfId="10656" xr:uid="{00000000-0005-0000-0000-0000A0290000}"/>
    <cellStyle name="Normal 2 2 2 2 2 2 12 5" xfId="10657" xr:uid="{00000000-0005-0000-0000-0000A1290000}"/>
    <cellStyle name="Normal 2 2 2 2 2 2 12 5 10" xfId="10658" xr:uid="{00000000-0005-0000-0000-0000A2290000}"/>
    <cellStyle name="Normal 2 2 2 2 2 2 12 5 2" xfId="10659" xr:uid="{00000000-0005-0000-0000-0000A3290000}"/>
    <cellStyle name="Normal 2 2 2 2 2 2 12 5 3" xfId="10660" xr:uid="{00000000-0005-0000-0000-0000A4290000}"/>
    <cellStyle name="Normal 2 2 2 2 2 2 12 5 4" xfId="10661" xr:uid="{00000000-0005-0000-0000-0000A5290000}"/>
    <cellStyle name="Normal 2 2 2 2 2 2 12 5 5" xfId="10662" xr:uid="{00000000-0005-0000-0000-0000A6290000}"/>
    <cellStyle name="Normal 2 2 2 2 2 2 12 5 6" xfId="10663" xr:uid="{00000000-0005-0000-0000-0000A7290000}"/>
    <cellStyle name="Normal 2 2 2 2 2 2 12 5 7" xfId="10664" xr:uid="{00000000-0005-0000-0000-0000A8290000}"/>
    <cellStyle name="Normal 2 2 2 2 2 2 12 5 8" xfId="10665" xr:uid="{00000000-0005-0000-0000-0000A9290000}"/>
    <cellStyle name="Normal 2 2 2 2 2 2 12 5 9" xfId="10666" xr:uid="{00000000-0005-0000-0000-0000AA290000}"/>
    <cellStyle name="Normal 2 2 2 2 2 2 12 6" xfId="10667" xr:uid="{00000000-0005-0000-0000-0000AB290000}"/>
    <cellStyle name="Normal 2 2 2 2 2 2 12 7" xfId="10668" xr:uid="{00000000-0005-0000-0000-0000AC290000}"/>
    <cellStyle name="Normal 2 2 2 2 2 2 12 8" xfId="10669" xr:uid="{00000000-0005-0000-0000-0000AD290000}"/>
    <cellStyle name="Normal 2 2 2 2 2 2 12 9" xfId="10670" xr:uid="{00000000-0005-0000-0000-0000AE290000}"/>
    <cellStyle name="Normal 2 2 2 2 2 2 13" xfId="10671" xr:uid="{00000000-0005-0000-0000-0000AF290000}"/>
    <cellStyle name="Normal 2 2 2 2 2 2 13 10" xfId="10672" xr:uid="{00000000-0005-0000-0000-0000B0290000}"/>
    <cellStyle name="Normal 2 2 2 2 2 2 13 11" xfId="10673" xr:uid="{00000000-0005-0000-0000-0000B1290000}"/>
    <cellStyle name="Normal 2 2 2 2 2 2 13 12" xfId="10674" xr:uid="{00000000-0005-0000-0000-0000B2290000}"/>
    <cellStyle name="Normal 2 2 2 2 2 2 13 13" xfId="10675" xr:uid="{00000000-0005-0000-0000-0000B3290000}"/>
    <cellStyle name="Normal 2 2 2 2 2 2 13 14" xfId="10676" xr:uid="{00000000-0005-0000-0000-0000B4290000}"/>
    <cellStyle name="Normal 2 2 2 2 2 2 13 2" xfId="10677" xr:uid="{00000000-0005-0000-0000-0000B5290000}"/>
    <cellStyle name="Normal 2 2 2 2 2 2 13 2 10" xfId="10678" xr:uid="{00000000-0005-0000-0000-0000B6290000}"/>
    <cellStyle name="Normal 2 2 2 2 2 2 13 2 2" xfId="10679" xr:uid="{00000000-0005-0000-0000-0000B7290000}"/>
    <cellStyle name="Normal 2 2 2 2 2 2 13 2 3" xfId="10680" xr:uid="{00000000-0005-0000-0000-0000B8290000}"/>
    <cellStyle name="Normal 2 2 2 2 2 2 13 2 4" xfId="10681" xr:uid="{00000000-0005-0000-0000-0000B9290000}"/>
    <cellStyle name="Normal 2 2 2 2 2 2 13 2 5" xfId="10682" xr:uid="{00000000-0005-0000-0000-0000BA290000}"/>
    <cellStyle name="Normal 2 2 2 2 2 2 13 2 6" xfId="10683" xr:uid="{00000000-0005-0000-0000-0000BB290000}"/>
    <cellStyle name="Normal 2 2 2 2 2 2 13 2 7" xfId="10684" xr:uid="{00000000-0005-0000-0000-0000BC290000}"/>
    <cellStyle name="Normal 2 2 2 2 2 2 13 2 8" xfId="10685" xr:uid="{00000000-0005-0000-0000-0000BD290000}"/>
    <cellStyle name="Normal 2 2 2 2 2 2 13 2 9" xfId="10686" xr:uid="{00000000-0005-0000-0000-0000BE290000}"/>
    <cellStyle name="Normal 2 2 2 2 2 2 13 3" xfId="10687" xr:uid="{00000000-0005-0000-0000-0000BF290000}"/>
    <cellStyle name="Normal 2 2 2 2 2 2 13 3 10" xfId="10688" xr:uid="{00000000-0005-0000-0000-0000C0290000}"/>
    <cellStyle name="Normal 2 2 2 2 2 2 13 3 2" xfId="10689" xr:uid="{00000000-0005-0000-0000-0000C1290000}"/>
    <cellStyle name="Normal 2 2 2 2 2 2 13 3 3" xfId="10690" xr:uid="{00000000-0005-0000-0000-0000C2290000}"/>
    <cellStyle name="Normal 2 2 2 2 2 2 13 3 4" xfId="10691" xr:uid="{00000000-0005-0000-0000-0000C3290000}"/>
    <cellStyle name="Normal 2 2 2 2 2 2 13 3 5" xfId="10692" xr:uid="{00000000-0005-0000-0000-0000C4290000}"/>
    <cellStyle name="Normal 2 2 2 2 2 2 13 3 6" xfId="10693" xr:uid="{00000000-0005-0000-0000-0000C5290000}"/>
    <cellStyle name="Normal 2 2 2 2 2 2 13 3 7" xfId="10694" xr:uid="{00000000-0005-0000-0000-0000C6290000}"/>
    <cellStyle name="Normal 2 2 2 2 2 2 13 3 8" xfId="10695" xr:uid="{00000000-0005-0000-0000-0000C7290000}"/>
    <cellStyle name="Normal 2 2 2 2 2 2 13 3 9" xfId="10696" xr:uid="{00000000-0005-0000-0000-0000C8290000}"/>
    <cellStyle name="Normal 2 2 2 2 2 2 13 4" xfId="10697" xr:uid="{00000000-0005-0000-0000-0000C9290000}"/>
    <cellStyle name="Normal 2 2 2 2 2 2 13 4 10" xfId="10698" xr:uid="{00000000-0005-0000-0000-0000CA290000}"/>
    <cellStyle name="Normal 2 2 2 2 2 2 13 4 2" xfId="10699" xr:uid="{00000000-0005-0000-0000-0000CB290000}"/>
    <cellStyle name="Normal 2 2 2 2 2 2 13 4 3" xfId="10700" xr:uid="{00000000-0005-0000-0000-0000CC290000}"/>
    <cellStyle name="Normal 2 2 2 2 2 2 13 4 4" xfId="10701" xr:uid="{00000000-0005-0000-0000-0000CD290000}"/>
    <cellStyle name="Normal 2 2 2 2 2 2 13 4 5" xfId="10702" xr:uid="{00000000-0005-0000-0000-0000CE290000}"/>
    <cellStyle name="Normal 2 2 2 2 2 2 13 4 6" xfId="10703" xr:uid="{00000000-0005-0000-0000-0000CF290000}"/>
    <cellStyle name="Normal 2 2 2 2 2 2 13 4 7" xfId="10704" xr:uid="{00000000-0005-0000-0000-0000D0290000}"/>
    <cellStyle name="Normal 2 2 2 2 2 2 13 4 8" xfId="10705" xr:uid="{00000000-0005-0000-0000-0000D1290000}"/>
    <cellStyle name="Normal 2 2 2 2 2 2 13 4 9" xfId="10706" xr:uid="{00000000-0005-0000-0000-0000D2290000}"/>
    <cellStyle name="Normal 2 2 2 2 2 2 13 5" xfId="10707" xr:uid="{00000000-0005-0000-0000-0000D3290000}"/>
    <cellStyle name="Normal 2 2 2 2 2 2 13 5 10" xfId="10708" xr:uid="{00000000-0005-0000-0000-0000D4290000}"/>
    <cellStyle name="Normal 2 2 2 2 2 2 13 5 2" xfId="10709" xr:uid="{00000000-0005-0000-0000-0000D5290000}"/>
    <cellStyle name="Normal 2 2 2 2 2 2 13 5 3" xfId="10710" xr:uid="{00000000-0005-0000-0000-0000D6290000}"/>
    <cellStyle name="Normal 2 2 2 2 2 2 13 5 4" xfId="10711" xr:uid="{00000000-0005-0000-0000-0000D7290000}"/>
    <cellStyle name="Normal 2 2 2 2 2 2 13 5 5" xfId="10712" xr:uid="{00000000-0005-0000-0000-0000D8290000}"/>
    <cellStyle name="Normal 2 2 2 2 2 2 13 5 6" xfId="10713" xr:uid="{00000000-0005-0000-0000-0000D9290000}"/>
    <cellStyle name="Normal 2 2 2 2 2 2 13 5 7" xfId="10714" xr:uid="{00000000-0005-0000-0000-0000DA290000}"/>
    <cellStyle name="Normal 2 2 2 2 2 2 13 5 8" xfId="10715" xr:uid="{00000000-0005-0000-0000-0000DB290000}"/>
    <cellStyle name="Normal 2 2 2 2 2 2 13 5 9" xfId="10716" xr:uid="{00000000-0005-0000-0000-0000DC290000}"/>
    <cellStyle name="Normal 2 2 2 2 2 2 13 6" xfId="10717" xr:uid="{00000000-0005-0000-0000-0000DD290000}"/>
    <cellStyle name="Normal 2 2 2 2 2 2 13 7" xfId="10718" xr:uid="{00000000-0005-0000-0000-0000DE290000}"/>
    <cellStyle name="Normal 2 2 2 2 2 2 13 8" xfId="10719" xr:uid="{00000000-0005-0000-0000-0000DF290000}"/>
    <cellStyle name="Normal 2 2 2 2 2 2 13 9" xfId="10720" xr:uid="{00000000-0005-0000-0000-0000E0290000}"/>
    <cellStyle name="Normal 2 2 2 2 2 2 14" xfId="10721" xr:uid="{00000000-0005-0000-0000-0000E1290000}"/>
    <cellStyle name="Normal 2 2 2 2 2 2 14 10" xfId="10722" xr:uid="{00000000-0005-0000-0000-0000E2290000}"/>
    <cellStyle name="Normal 2 2 2 2 2 2 14 11" xfId="10723" xr:uid="{00000000-0005-0000-0000-0000E3290000}"/>
    <cellStyle name="Normal 2 2 2 2 2 2 14 12" xfId="10724" xr:uid="{00000000-0005-0000-0000-0000E4290000}"/>
    <cellStyle name="Normal 2 2 2 2 2 2 14 13" xfId="10725" xr:uid="{00000000-0005-0000-0000-0000E5290000}"/>
    <cellStyle name="Normal 2 2 2 2 2 2 14 14" xfId="10726" xr:uid="{00000000-0005-0000-0000-0000E6290000}"/>
    <cellStyle name="Normal 2 2 2 2 2 2 14 2" xfId="10727" xr:uid="{00000000-0005-0000-0000-0000E7290000}"/>
    <cellStyle name="Normal 2 2 2 2 2 2 14 2 10" xfId="10728" xr:uid="{00000000-0005-0000-0000-0000E8290000}"/>
    <cellStyle name="Normal 2 2 2 2 2 2 14 2 2" xfId="10729" xr:uid="{00000000-0005-0000-0000-0000E9290000}"/>
    <cellStyle name="Normal 2 2 2 2 2 2 14 2 3" xfId="10730" xr:uid="{00000000-0005-0000-0000-0000EA290000}"/>
    <cellStyle name="Normal 2 2 2 2 2 2 14 2 4" xfId="10731" xr:uid="{00000000-0005-0000-0000-0000EB290000}"/>
    <cellStyle name="Normal 2 2 2 2 2 2 14 2 5" xfId="10732" xr:uid="{00000000-0005-0000-0000-0000EC290000}"/>
    <cellStyle name="Normal 2 2 2 2 2 2 14 2 6" xfId="10733" xr:uid="{00000000-0005-0000-0000-0000ED290000}"/>
    <cellStyle name="Normal 2 2 2 2 2 2 14 2 7" xfId="10734" xr:uid="{00000000-0005-0000-0000-0000EE290000}"/>
    <cellStyle name="Normal 2 2 2 2 2 2 14 2 8" xfId="10735" xr:uid="{00000000-0005-0000-0000-0000EF290000}"/>
    <cellStyle name="Normal 2 2 2 2 2 2 14 2 9" xfId="10736" xr:uid="{00000000-0005-0000-0000-0000F0290000}"/>
    <cellStyle name="Normal 2 2 2 2 2 2 14 3" xfId="10737" xr:uid="{00000000-0005-0000-0000-0000F1290000}"/>
    <cellStyle name="Normal 2 2 2 2 2 2 14 3 10" xfId="10738" xr:uid="{00000000-0005-0000-0000-0000F2290000}"/>
    <cellStyle name="Normal 2 2 2 2 2 2 14 3 2" xfId="10739" xr:uid="{00000000-0005-0000-0000-0000F3290000}"/>
    <cellStyle name="Normal 2 2 2 2 2 2 14 3 3" xfId="10740" xr:uid="{00000000-0005-0000-0000-0000F4290000}"/>
    <cellStyle name="Normal 2 2 2 2 2 2 14 3 4" xfId="10741" xr:uid="{00000000-0005-0000-0000-0000F5290000}"/>
    <cellStyle name="Normal 2 2 2 2 2 2 14 3 5" xfId="10742" xr:uid="{00000000-0005-0000-0000-0000F6290000}"/>
    <cellStyle name="Normal 2 2 2 2 2 2 14 3 6" xfId="10743" xr:uid="{00000000-0005-0000-0000-0000F7290000}"/>
    <cellStyle name="Normal 2 2 2 2 2 2 14 3 7" xfId="10744" xr:uid="{00000000-0005-0000-0000-0000F8290000}"/>
    <cellStyle name="Normal 2 2 2 2 2 2 14 3 8" xfId="10745" xr:uid="{00000000-0005-0000-0000-0000F9290000}"/>
    <cellStyle name="Normal 2 2 2 2 2 2 14 3 9" xfId="10746" xr:uid="{00000000-0005-0000-0000-0000FA290000}"/>
    <cellStyle name="Normal 2 2 2 2 2 2 14 4" xfId="10747" xr:uid="{00000000-0005-0000-0000-0000FB290000}"/>
    <cellStyle name="Normal 2 2 2 2 2 2 14 4 10" xfId="10748" xr:uid="{00000000-0005-0000-0000-0000FC290000}"/>
    <cellStyle name="Normal 2 2 2 2 2 2 14 4 2" xfId="10749" xr:uid="{00000000-0005-0000-0000-0000FD290000}"/>
    <cellStyle name="Normal 2 2 2 2 2 2 14 4 3" xfId="10750" xr:uid="{00000000-0005-0000-0000-0000FE290000}"/>
    <cellStyle name="Normal 2 2 2 2 2 2 14 4 4" xfId="10751" xr:uid="{00000000-0005-0000-0000-0000FF290000}"/>
    <cellStyle name="Normal 2 2 2 2 2 2 14 4 5" xfId="10752" xr:uid="{00000000-0005-0000-0000-0000002A0000}"/>
    <cellStyle name="Normal 2 2 2 2 2 2 14 4 6" xfId="10753" xr:uid="{00000000-0005-0000-0000-0000012A0000}"/>
    <cellStyle name="Normal 2 2 2 2 2 2 14 4 7" xfId="10754" xr:uid="{00000000-0005-0000-0000-0000022A0000}"/>
    <cellStyle name="Normal 2 2 2 2 2 2 14 4 8" xfId="10755" xr:uid="{00000000-0005-0000-0000-0000032A0000}"/>
    <cellStyle name="Normal 2 2 2 2 2 2 14 4 9" xfId="10756" xr:uid="{00000000-0005-0000-0000-0000042A0000}"/>
    <cellStyle name="Normal 2 2 2 2 2 2 14 5" xfId="10757" xr:uid="{00000000-0005-0000-0000-0000052A0000}"/>
    <cellStyle name="Normal 2 2 2 2 2 2 14 5 10" xfId="10758" xr:uid="{00000000-0005-0000-0000-0000062A0000}"/>
    <cellStyle name="Normal 2 2 2 2 2 2 14 5 2" xfId="10759" xr:uid="{00000000-0005-0000-0000-0000072A0000}"/>
    <cellStyle name="Normal 2 2 2 2 2 2 14 5 3" xfId="10760" xr:uid="{00000000-0005-0000-0000-0000082A0000}"/>
    <cellStyle name="Normal 2 2 2 2 2 2 14 5 4" xfId="10761" xr:uid="{00000000-0005-0000-0000-0000092A0000}"/>
    <cellStyle name="Normal 2 2 2 2 2 2 14 5 5" xfId="10762" xr:uid="{00000000-0005-0000-0000-00000A2A0000}"/>
    <cellStyle name="Normal 2 2 2 2 2 2 14 5 6" xfId="10763" xr:uid="{00000000-0005-0000-0000-00000B2A0000}"/>
    <cellStyle name="Normal 2 2 2 2 2 2 14 5 7" xfId="10764" xr:uid="{00000000-0005-0000-0000-00000C2A0000}"/>
    <cellStyle name="Normal 2 2 2 2 2 2 14 5 8" xfId="10765" xr:uid="{00000000-0005-0000-0000-00000D2A0000}"/>
    <cellStyle name="Normal 2 2 2 2 2 2 14 5 9" xfId="10766" xr:uid="{00000000-0005-0000-0000-00000E2A0000}"/>
    <cellStyle name="Normal 2 2 2 2 2 2 14 6" xfId="10767" xr:uid="{00000000-0005-0000-0000-00000F2A0000}"/>
    <cellStyle name="Normal 2 2 2 2 2 2 14 7" xfId="10768" xr:uid="{00000000-0005-0000-0000-0000102A0000}"/>
    <cellStyle name="Normal 2 2 2 2 2 2 14 8" xfId="10769" xr:uid="{00000000-0005-0000-0000-0000112A0000}"/>
    <cellStyle name="Normal 2 2 2 2 2 2 14 9" xfId="10770" xr:uid="{00000000-0005-0000-0000-0000122A0000}"/>
    <cellStyle name="Normal 2 2 2 2 2 2 15" xfId="10771" xr:uid="{00000000-0005-0000-0000-0000132A0000}"/>
    <cellStyle name="Normal 2 2 2 2 2 2 15 10" xfId="10772" xr:uid="{00000000-0005-0000-0000-0000142A0000}"/>
    <cellStyle name="Normal 2 2 2 2 2 2 15 11" xfId="10773" xr:uid="{00000000-0005-0000-0000-0000152A0000}"/>
    <cellStyle name="Normal 2 2 2 2 2 2 15 12" xfId="10774" xr:uid="{00000000-0005-0000-0000-0000162A0000}"/>
    <cellStyle name="Normal 2 2 2 2 2 2 15 13" xfId="10775" xr:uid="{00000000-0005-0000-0000-0000172A0000}"/>
    <cellStyle name="Normal 2 2 2 2 2 2 15 14" xfId="10776" xr:uid="{00000000-0005-0000-0000-0000182A0000}"/>
    <cellStyle name="Normal 2 2 2 2 2 2 15 2" xfId="10777" xr:uid="{00000000-0005-0000-0000-0000192A0000}"/>
    <cellStyle name="Normal 2 2 2 2 2 2 15 2 10" xfId="10778" xr:uid="{00000000-0005-0000-0000-00001A2A0000}"/>
    <cellStyle name="Normal 2 2 2 2 2 2 15 2 2" xfId="10779" xr:uid="{00000000-0005-0000-0000-00001B2A0000}"/>
    <cellStyle name="Normal 2 2 2 2 2 2 15 2 3" xfId="10780" xr:uid="{00000000-0005-0000-0000-00001C2A0000}"/>
    <cellStyle name="Normal 2 2 2 2 2 2 15 2 4" xfId="10781" xr:uid="{00000000-0005-0000-0000-00001D2A0000}"/>
    <cellStyle name="Normal 2 2 2 2 2 2 15 2 5" xfId="10782" xr:uid="{00000000-0005-0000-0000-00001E2A0000}"/>
    <cellStyle name="Normal 2 2 2 2 2 2 15 2 6" xfId="10783" xr:uid="{00000000-0005-0000-0000-00001F2A0000}"/>
    <cellStyle name="Normal 2 2 2 2 2 2 15 2 7" xfId="10784" xr:uid="{00000000-0005-0000-0000-0000202A0000}"/>
    <cellStyle name="Normal 2 2 2 2 2 2 15 2 8" xfId="10785" xr:uid="{00000000-0005-0000-0000-0000212A0000}"/>
    <cellStyle name="Normal 2 2 2 2 2 2 15 2 9" xfId="10786" xr:uid="{00000000-0005-0000-0000-0000222A0000}"/>
    <cellStyle name="Normal 2 2 2 2 2 2 15 3" xfId="10787" xr:uid="{00000000-0005-0000-0000-0000232A0000}"/>
    <cellStyle name="Normal 2 2 2 2 2 2 15 3 10" xfId="10788" xr:uid="{00000000-0005-0000-0000-0000242A0000}"/>
    <cellStyle name="Normal 2 2 2 2 2 2 15 3 2" xfId="10789" xr:uid="{00000000-0005-0000-0000-0000252A0000}"/>
    <cellStyle name="Normal 2 2 2 2 2 2 15 3 3" xfId="10790" xr:uid="{00000000-0005-0000-0000-0000262A0000}"/>
    <cellStyle name="Normal 2 2 2 2 2 2 15 3 4" xfId="10791" xr:uid="{00000000-0005-0000-0000-0000272A0000}"/>
    <cellStyle name="Normal 2 2 2 2 2 2 15 3 5" xfId="10792" xr:uid="{00000000-0005-0000-0000-0000282A0000}"/>
    <cellStyle name="Normal 2 2 2 2 2 2 15 3 6" xfId="10793" xr:uid="{00000000-0005-0000-0000-0000292A0000}"/>
    <cellStyle name="Normal 2 2 2 2 2 2 15 3 7" xfId="10794" xr:uid="{00000000-0005-0000-0000-00002A2A0000}"/>
    <cellStyle name="Normal 2 2 2 2 2 2 15 3 8" xfId="10795" xr:uid="{00000000-0005-0000-0000-00002B2A0000}"/>
    <cellStyle name="Normal 2 2 2 2 2 2 15 3 9" xfId="10796" xr:uid="{00000000-0005-0000-0000-00002C2A0000}"/>
    <cellStyle name="Normal 2 2 2 2 2 2 15 4" xfId="10797" xr:uid="{00000000-0005-0000-0000-00002D2A0000}"/>
    <cellStyle name="Normal 2 2 2 2 2 2 15 4 10" xfId="10798" xr:uid="{00000000-0005-0000-0000-00002E2A0000}"/>
    <cellStyle name="Normal 2 2 2 2 2 2 15 4 2" xfId="10799" xr:uid="{00000000-0005-0000-0000-00002F2A0000}"/>
    <cellStyle name="Normal 2 2 2 2 2 2 15 4 3" xfId="10800" xr:uid="{00000000-0005-0000-0000-0000302A0000}"/>
    <cellStyle name="Normal 2 2 2 2 2 2 15 4 4" xfId="10801" xr:uid="{00000000-0005-0000-0000-0000312A0000}"/>
    <cellStyle name="Normal 2 2 2 2 2 2 15 4 5" xfId="10802" xr:uid="{00000000-0005-0000-0000-0000322A0000}"/>
    <cellStyle name="Normal 2 2 2 2 2 2 15 4 6" xfId="10803" xr:uid="{00000000-0005-0000-0000-0000332A0000}"/>
    <cellStyle name="Normal 2 2 2 2 2 2 15 4 7" xfId="10804" xr:uid="{00000000-0005-0000-0000-0000342A0000}"/>
    <cellStyle name="Normal 2 2 2 2 2 2 15 4 8" xfId="10805" xr:uid="{00000000-0005-0000-0000-0000352A0000}"/>
    <cellStyle name="Normal 2 2 2 2 2 2 15 4 9" xfId="10806" xr:uid="{00000000-0005-0000-0000-0000362A0000}"/>
    <cellStyle name="Normal 2 2 2 2 2 2 15 5" xfId="10807" xr:uid="{00000000-0005-0000-0000-0000372A0000}"/>
    <cellStyle name="Normal 2 2 2 2 2 2 15 5 10" xfId="10808" xr:uid="{00000000-0005-0000-0000-0000382A0000}"/>
    <cellStyle name="Normal 2 2 2 2 2 2 15 5 2" xfId="10809" xr:uid="{00000000-0005-0000-0000-0000392A0000}"/>
    <cellStyle name="Normal 2 2 2 2 2 2 15 5 3" xfId="10810" xr:uid="{00000000-0005-0000-0000-00003A2A0000}"/>
    <cellStyle name="Normal 2 2 2 2 2 2 15 5 4" xfId="10811" xr:uid="{00000000-0005-0000-0000-00003B2A0000}"/>
    <cellStyle name="Normal 2 2 2 2 2 2 15 5 5" xfId="10812" xr:uid="{00000000-0005-0000-0000-00003C2A0000}"/>
    <cellStyle name="Normal 2 2 2 2 2 2 15 5 6" xfId="10813" xr:uid="{00000000-0005-0000-0000-00003D2A0000}"/>
    <cellStyle name="Normal 2 2 2 2 2 2 15 5 7" xfId="10814" xr:uid="{00000000-0005-0000-0000-00003E2A0000}"/>
    <cellStyle name="Normal 2 2 2 2 2 2 15 5 8" xfId="10815" xr:uid="{00000000-0005-0000-0000-00003F2A0000}"/>
    <cellStyle name="Normal 2 2 2 2 2 2 15 5 9" xfId="10816" xr:uid="{00000000-0005-0000-0000-0000402A0000}"/>
    <cellStyle name="Normal 2 2 2 2 2 2 15 6" xfId="10817" xr:uid="{00000000-0005-0000-0000-0000412A0000}"/>
    <cellStyle name="Normal 2 2 2 2 2 2 15 7" xfId="10818" xr:uid="{00000000-0005-0000-0000-0000422A0000}"/>
    <cellStyle name="Normal 2 2 2 2 2 2 15 8" xfId="10819" xr:uid="{00000000-0005-0000-0000-0000432A0000}"/>
    <cellStyle name="Normal 2 2 2 2 2 2 15 9" xfId="10820" xr:uid="{00000000-0005-0000-0000-0000442A0000}"/>
    <cellStyle name="Normal 2 2 2 2 2 2 16" xfId="10821" xr:uid="{00000000-0005-0000-0000-0000452A0000}"/>
    <cellStyle name="Normal 2 2 2 2 2 2 16 10" xfId="10822" xr:uid="{00000000-0005-0000-0000-0000462A0000}"/>
    <cellStyle name="Normal 2 2 2 2 2 2 16 11" xfId="10823" xr:uid="{00000000-0005-0000-0000-0000472A0000}"/>
    <cellStyle name="Normal 2 2 2 2 2 2 16 12" xfId="10824" xr:uid="{00000000-0005-0000-0000-0000482A0000}"/>
    <cellStyle name="Normal 2 2 2 2 2 2 16 13" xfId="10825" xr:uid="{00000000-0005-0000-0000-0000492A0000}"/>
    <cellStyle name="Normal 2 2 2 2 2 2 16 14" xfId="10826" xr:uid="{00000000-0005-0000-0000-00004A2A0000}"/>
    <cellStyle name="Normal 2 2 2 2 2 2 16 2" xfId="10827" xr:uid="{00000000-0005-0000-0000-00004B2A0000}"/>
    <cellStyle name="Normal 2 2 2 2 2 2 16 2 10" xfId="10828" xr:uid="{00000000-0005-0000-0000-00004C2A0000}"/>
    <cellStyle name="Normal 2 2 2 2 2 2 16 2 2" xfId="10829" xr:uid="{00000000-0005-0000-0000-00004D2A0000}"/>
    <cellStyle name="Normal 2 2 2 2 2 2 16 2 3" xfId="10830" xr:uid="{00000000-0005-0000-0000-00004E2A0000}"/>
    <cellStyle name="Normal 2 2 2 2 2 2 16 2 4" xfId="10831" xr:uid="{00000000-0005-0000-0000-00004F2A0000}"/>
    <cellStyle name="Normal 2 2 2 2 2 2 16 2 5" xfId="10832" xr:uid="{00000000-0005-0000-0000-0000502A0000}"/>
    <cellStyle name="Normal 2 2 2 2 2 2 16 2 6" xfId="10833" xr:uid="{00000000-0005-0000-0000-0000512A0000}"/>
    <cellStyle name="Normal 2 2 2 2 2 2 16 2 7" xfId="10834" xr:uid="{00000000-0005-0000-0000-0000522A0000}"/>
    <cellStyle name="Normal 2 2 2 2 2 2 16 2 8" xfId="10835" xr:uid="{00000000-0005-0000-0000-0000532A0000}"/>
    <cellStyle name="Normal 2 2 2 2 2 2 16 2 9" xfId="10836" xr:uid="{00000000-0005-0000-0000-0000542A0000}"/>
    <cellStyle name="Normal 2 2 2 2 2 2 16 3" xfId="10837" xr:uid="{00000000-0005-0000-0000-0000552A0000}"/>
    <cellStyle name="Normal 2 2 2 2 2 2 16 3 10" xfId="10838" xr:uid="{00000000-0005-0000-0000-0000562A0000}"/>
    <cellStyle name="Normal 2 2 2 2 2 2 16 3 2" xfId="10839" xr:uid="{00000000-0005-0000-0000-0000572A0000}"/>
    <cellStyle name="Normal 2 2 2 2 2 2 16 3 3" xfId="10840" xr:uid="{00000000-0005-0000-0000-0000582A0000}"/>
    <cellStyle name="Normal 2 2 2 2 2 2 16 3 4" xfId="10841" xr:uid="{00000000-0005-0000-0000-0000592A0000}"/>
    <cellStyle name="Normal 2 2 2 2 2 2 16 3 5" xfId="10842" xr:uid="{00000000-0005-0000-0000-00005A2A0000}"/>
    <cellStyle name="Normal 2 2 2 2 2 2 16 3 6" xfId="10843" xr:uid="{00000000-0005-0000-0000-00005B2A0000}"/>
    <cellStyle name="Normal 2 2 2 2 2 2 16 3 7" xfId="10844" xr:uid="{00000000-0005-0000-0000-00005C2A0000}"/>
    <cellStyle name="Normal 2 2 2 2 2 2 16 3 8" xfId="10845" xr:uid="{00000000-0005-0000-0000-00005D2A0000}"/>
    <cellStyle name="Normal 2 2 2 2 2 2 16 3 9" xfId="10846" xr:uid="{00000000-0005-0000-0000-00005E2A0000}"/>
    <cellStyle name="Normal 2 2 2 2 2 2 16 4" xfId="10847" xr:uid="{00000000-0005-0000-0000-00005F2A0000}"/>
    <cellStyle name="Normal 2 2 2 2 2 2 16 4 10" xfId="10848" xr:uid="{00000000-0005-0000-0000-0000602A0000}"/>
    <cellStyle name="Normal 2 2 2 2 2 2 16 4 2" xfId="10849" xr:uid="{00000000-0005-0000-0000-0000612A0000}"/>
    <cellStyle name="Normal 2 2 2 2 2 2 16 4 3" xfId="10850" xr:uid="{00000000-0005-0000-0000-0000622A0000}"/>
    <cellStyle name="Normal 2 2 2 2 2 2 16 4 4" xfId="10851" xr:uid="{00000000-0005-0000-0000-0000632A0000}"/>
    <cellStyle name="Normal 2 2 2 2 2 2 16 4 5" xfId="10852" xr:uid="{00000000-0005-0000-0000-0000642A0000}"/>
    <cellStyle name="Normal 2 2 2 2 2 2 16 4 6" xfId="10853" xr:uid="{00000000-0005-0000-0000-0000652A0000}"/>
    <cellStyle name="Normal 2 2 2 2 2 2 16 4 7" xfId="10854" xr:uid="{00000000-0005-0000-0000-0000662A0000}"/>
    <cellStyle name="Normal 2 2 2 2 2 2 16 4 8" xfId="10855" xr:uid="{00000000-0005-0000-0000-0000672A0000}"/>
    <cellStyle name="Normal 2 2 2 2 2 2 16 4 9" xfId="10856" xr:uid="{00000000-0005-0000-0000-0000682A0000}"/>
    <cellStyle name="Normal 2 2 2 2 2 2 16 5" xfId="10857" xr:uid="{00000000-0005-0000-0000-0000692A0000}"/>
    <cellStyle name="Normal 2 2 2 2 2 2 16 5 10" xfId="10858" xr:uid="{00000000-0005-0000-0000-00006A2A0000}"/>
    <cellStyle name="Normal 2 2 2 2 2 2 16 5 2" xfId="10859" xr:uid="{00000000-0005-0000-0000-00006B2A0000}"/>
    <cellStyle name="Normal 2 2 2 2 2 2 16 5 3" xfId="10860" xr:uid="{00000000-0005-0000-0000-00006C2A0000}"/>
    <cellStyle name="Normal 2 2 2 2 2 2 16 5 4" xfId="10861" xr:uid="{00000000-0005-0000-0000-00006D2A0000}"/>
    <cellStyle name="Normal 2 2 2 2 2 2 16 5 5" xfId="10862" xr:uid="{00000000-0005-0000-0000-00006E2A0000}"/>
    <cellStyle name="Normal 2 2 2 2 2 2 16 5 6" xfId="10863" xr:uid="{00000000-0005-0000-0000-00006F2A0000}"/>
    <cellStyle name="Normal 2 2 2 2 2 2 16 5 7" xfId="10864" xr:uid="{00000000-0005-0000-0000-0000702A0000}"/>
    <cellStyle name="Normal 2 2 2 2 2 2 16 5 8" xfId="10865" xr:uid="{00000000-0005-0000-0000-0000712A0000}"/>
    <cellStyle name="Normal 2 2 2 2 2 2 16 5 9" xfId="10866" xr:uid="{00000000-0005-0000-0000-0000722A0000}"/>
    <cellStyle name="Normal 2 2 2 2 2 2 16 6" xfId="10867" xr:uid="{00000000-0005-0000-0000-0000732A0000}"/>
    <cellStyle name="Normal 2 2 2 2 2 2 16 7" xfId="10868" xr:uid="{00000000-0005-0000-0000-0000742A0000}"/>
    <cellStyle name="Normal 2 2 2 2 2 2 16 8" xfId="10869" xr:uid="{00000000-0005-0000-0000-0000752A0000}"/>
    <cellStyle name="Normal 2 2 2 2 2 2 16 9" xfId="10870" xr:uid="{00000000-0005-0000-0000-0000762A0000}"/>
    <cellStyle name="Normal 2 2 2 2 2 2 17" xfId="10871" xr:uid="{00000000-0005-0000-0000-0000772A0000}"/>
    <cellStyle name="Normal 2 2 2 2 2 2 17 10" xfId="10872" xr:uid="{00000000-0005-0000-0000-0000782A0000}"/>
    <cellStyle name="Normal 2 2 2 2 2 2 17 11" xfId="10873" xr:uid="{00000000-0005-0000-0000-0000792A0000}"/>
    <cellStyle name="Normal 2 2 2 2 2 2 17 12" xfId="10874" xr:uid="{00000000-0005-0000-0000-00007A2A0000}"/>
    <cellStyle name="Normal 2 2 2 2 2 2 17 13" xfId="10875" xr:uid="{00000000-0005-0000-0000-00007B2A0000}"/>
    <cellStyle name="Normal 2 2 2 2 2 2 17 14" xfId="10876" xr:uid="{00000000-0005-0000-0000-00007C2A0000}"/>
    <cellStyle name="Normal 2 2 2 2 2 2 17 2" xfId="10877" xr:uid="{00000000-0005-0000-0000-00007D2A0000}"/>
    <cellStyle name="Normal 2 2 2 2 2 2 17 2 10" xfId="10878" xr:uid="{00000000-0005-0000-0000-00007E2A0000}"/>
    <cellStyle name="Normal 2 2 2 2 2 2 17 2 2" xfId="10879" xr:uid="{00000000-0005-0000-0000-00007F2A0000}"/>
    <cellStyle name="Normal 2 2 2 2 2 2 17 2 3" xfId="10880" xr:uid="{00000000-0005-0000-0000-0000802A0000}"/>
    <cellStyle name="Normal 2 2 2 2 2 2 17 2 4" xfId="10881" xr:uid="{00000000-0005-0000-0000-0000812A0000}"/>
    <cellStyle name="Normal 2 2 2 2 2 2 17 2 5" xfId="10882" xr:uid="{00000000-0005-0000-0000-0000822A0000}"/>
    <cellStyle name="Normal 2 2 2 2 2 2 17 2 6" xfId="10883" xr:uid="{00000000-0005-0000-0000-0000832A0000}"/>
    <cellStyle name="Normal 2 2 2 2 2 2 17 2 7" xfId="10884" xr:uid="{00000000-0005-0000-0000-0000842A0000}"/>
    <cellStyle name="Normal 2 2 2 2 2 2 17 2 8" xfId="10885" xr:uid="{00000000-0005-0000-0000-0000852A0000}"/>
    <cellStyle name="Normal 2 2 2 2 2 2 17 2 9" xfId="10886" xr:uid="{00000000-0005-0000-0000-0000862A0000}"/>
    <cellStyle name="Normal 2 2 2 2 2 2 17 3" xfId="10887" xr:uid="{00000000-0005-0000-0000-0000872A0000}"/>
    <cellStyle name="Normal 2 2 2 2 2 2 17 3 10" xfId="10888" xr:uid="{00000000-0005-0000-0000-0000882A0000}"/>
    <cellStyle name="Normal 2 2 2 2 2 2 17 3 2" xfId="10889" xr:uid="{00000000-0005-0000-0000-0000892A0000}"/>
    <cellStyle name="Normal 2 2 2 2 2 2 17 3 3" xfId="10890" xr:uid="{00000000-0005-0000-0000-00008A2A0000}"/>
    <cellStyle name="Normal 2 2 2 2 2 2 17 3 4" xfId="10891" xr:uid="{00000000-0005-0000-0000-00008B2A0000}"/>
    <cellStyle name="Normal 2 2 2 2 2 2 17 3 5" xfId="10892" xr:uid="{00000000-0005-0000-0000-00008C2A0000}"/>
    <cellStyle name="Normal 2 2 2 2 2 2 17 3 6" xfId="10893" xr:uid="{00000000-0005-0000-0000-00008D2A0000}"/>
    <cellStyle name="Normal 2 2 2 2 2 2 17 3 7" xfId="10894" xr:uid="{00000000-0005-0000-0000-00008E2A0000}"/>
    <cellStyle name="Normal 2 2 2 2 2 2 17 3 8" xfId="10895" xr:uid="{00000000-0005-0000-0000-00008F2A0000}"/>
    <cellStyle name="Normal 2 2 2 2 2 2 17 3 9" xfId="10896" xr:uid="{00000000-0005-0000-0000-0000902A0000}"/>
    <cellStyle name="Normal 2 2 2 2 2 2 17 4" xfId="10897" xr:uid="{00000000-0005-0000-0000-0000912A0000}"/>
    <cellStyle name="Normal 2 2 2 2 2 2 17 4 10" xfId="10898" xr:uid="{00000000-0005-0000-0000-0000922A0000}"/>
    <cellStyle name="Normal 2 2 2 2 2 2 17 4 2" xfId="10899" xr:uid="{00000000-0005-0000-0000-0000932A0000}"/>
    <cellStyle name="Normal 2 2 2 2 2 2 17 4 3" xfId="10900" xr:uid="{00000000-0005-0000-0000-0000942A0000}"/>
    <cellStyle name="Normal 2 2 2 2 2 2 17 4 4" xfId="10901" xr:uid="{00000000-0005-0000-0000-0000952A0000}"/>
    <cellStyle name="Normal 2 2 2 2 2 2 17 4 5" xfId="10902" xr:uid="{00000000-0005-0000-0000-0000962A0000}"/>
    <cellStyle name="Normal 2 2 2 2 2 2 17 4 6" xfId="10903" xr:uid="{00000000-0005-0000-0000-0000972A0000}"/>
    <cellStyle name="Normal 2 2 2 2 2 2 17 4 7" xfId="10904" xr:uid="{00000000-0005-0000-0000-0000982A0000}"/>
    <cellStyle name="Normal 2 2 2 2 2 2 17 4 8" xfId="10905" xr:uid="{00000000-0005-0000-0000-0000992A0000}"/>
    <cellStyle name="Normal 2 2 2 2 2 2 17 4 9" xfId="10906" xr:uid="{00000000-0005-0000-0000-00009A2A0000}"/>
    <cellStyle name="Normal 2 2 2 2 2 2 17 5" xfId="10907" xr:uid="{00000000-0005-0000-0000-00009B2A0000}"/>
    <cellStyle name="Normal 2 2 2 2 2 2 17 5 10" xfId="10908" xr:uid="{00000000-0005-0000-0000-00009C2A0000}"/>
    <cellStyle name="Normal 2 2 2 2 2 2 17 5 2" xfId="10909" xr:uid="{00000000-0005-0000-0000-00009D2A0000}"/>
    <cellStyle name="Normal 2 2 2 2 2 2 17 5 3" xfId="10910" xr:uid="{00000000-0005-0000-0000-00009E2A0000}"/>
    <cellStyle name="Normal 2 2 2 2 2 2 17 5 4" xfId="10911" xr:uid="{00000000-0005-0000-0000-00009F2A0000}"/>
    <cellStyle name="Normal 2 2 2 2 2 2 17 5 5" xfId="10912" xr:uid="{00000000-0005-0000-0000-0000A02A0000}"/>
    <cellStyle name="Normal 2 2 2 2 2 2 17 5 6" xfId="10913" xr:uid="{00000000-0005-0000-0000-0000A12A0000}"/>
    <cellStyle name="Normal 2 2 2 2 2 2 17 5 7" xfId="10914" xr:uid="{00000000-0005-0000-0000-0000A22A0000}"/>
    <cellStyle name="Normal 2 2 2 2 2 2 17 5 8" xfId="10915" xr:uid="{00000000-0005-0000-0000-0000A32A0000}"/>
    <cellStyle name="Normal 2 2 2 2 2 2 17 5 9" xfId="10916" xr:uid="{00000000-0005-0000-0000-0000A42A0000}"/>
    <cellStyle name="Normal 2 2 2 2 2 2 17 6" xfId="10917" xr:uid="{00000000-0005-0000-0000-0000A52A0000}"/>
    <cellStyle name="Normal 2 2 2 2 2 2 17 7" xfId="10918" xr:uid="{00000000-0005-0000-0000-0000A62A0000}"/>
    <cellStyle name="Normal 2 2 2 2 2 2 17 8" xfId="10919" xr:uid="{00000000-0005-0000-0000-0000A72A0000}"/>
    <cellStyle name="Normal 2 2 2 2 2 2 17 9" xfId="10920" xr:uid="{00000000-0005-0000-0000-0000A82A0000}"/>
    <cellStyle name="Normal 2 2 2 2 2 2 18" xfId="10921" xr:uid="{00000000-0005-0000-0000-0000A92A0000}"/>
    <cellStyle name="Normal 2 2 2 2 2 2 18 10" xfId="10922" xr:uid="{00000000-0005-0000-0000-0000AA2A0000}"/>
    <cellStyle name="Normal 2 2 2 2 2 2 18 11" xfId="10923" xr:uid="{00000000-0005-0000-0000-0000AB2A0000}"/>
    <cellStyle name="Normal 2 2 2 2 2 2 18 12" xfId="10924" xr:uid="{00000000-0005-0000-0000-0000AC2A0000}"/>
    <cellStyle name="Normal 2 2 2 2 2 2 18 13" xfId="10925" xr:uid="{00000000-0005-0000-0000-0000AD2A0000}"/>
    <cellStyle name="Normal 2 2 2 2 2 2 18 14" xfId="10926" xr:uid="{00000000-0005-0000-0000-0000AE2A0000}"/>
    <cellStyle name="Normal 2 2 2 2 2 2 18 2" xfId="10927" xr:uid="{00000000-0005-0000-0000-0000AF2A0000}"/>
    <cellStyle name="Normal 2 2 2 2 2 2 18 2 10" xfId="10928" xr:uid="{00000000-0005-0000-0000-0000B02A0000}"/>
    <cellStyle name="Normal 2 2 2 2 2 2 18 2 2" xfId="10929" xr:uid="{00000000-0005-0000-0000-0000B12A0000}"/>
    <cellStyle name="Normal 2 2 2 2 2 2 18 2 3" xfId="10930" xr:uid="{00000000-0005-0000-0000-0000B22A0000}"/>
    <cellStyle name="Normal 2 2 2 2 2 2 18 2 4" xfId="10931" xr:uid="{00000000-0005-0000-0000-0000B32A0000}"/>
    <cellStyle name="Normal 2 2 2 2 2 2 18 2 5" xfId="10932" xr:uid="{00000000-0005-0000-0000-0000B42A0000}"/>
    <cellStyle name="Normal 2 2 2 2 2 2 18 2 6" xfId="10933" xr:uid="{00000000-0005-0000-0000-0000B52A0000}"/>
    <cellStyle name="Normal 2 2 2 2 2 2 18 2 7" xfId="10934" xr:uid="{00000000-0005-0000-0000-0000B62A0000}"/>
    <cellStyle name="Normal 2 2 2 2 2 2 18 2 8" xfId="10935" xr:uid="{00000000-0005-0000-0000-0000B72A0000}"/>
    <cellStyle name="Normal 2 2 2 2 2 2 18 2 9" xfId="10936" xr:uid="{00000000-0005-0000-0000-0000B82A0000}"/>
    <cellStyle name="Normal 2 2 2 2 2 2 18 3" xfId="10937" xr:uid="{00000000-0005-0000-0000-0000B92A0000}"/>
    <cellStyle name="Normal 2 2 2 2 2 2 18 3 10" xfId="10938" xr:uid="{00000000-0005-0000-0000-0000BA2A0000}"/>
    <cellStyle name="Normal 2 2 2 2 2 2 18 3 2" xfId="10939" xr:uid="{00000000-0005-0000-0000-0000BB2A0000}"/>
    <cellStyle name="Normal 2 2 2 2 2 2 18 3 3" xfId="10940" xr:uid="{00000000-0005-0000-0000-0000BC2A0000}"/>
    <cellStyle name="Normal 2 2 2 2 2 2 18 3 4" xfId="10941" xr:uid="{00000000-0005-0000-0000-0000BD2A0000}"/>
    <cellStyle name="Normal 2 2 2 2 2 2 18 3 5" xfId="10942" xr:uid="{00000000-0005-0000-0000-0000BE2A0000}"/>
    <cellStyle name="Normal 2 2 2 2 2 2 18 3 6" xfId="10943" xr:uid="{00000000-0005-0000-0000-0000BF2A0000}"/>
    <cellStyle name="Normal 2 2 2 2 2 2 18 3 7" xfId="10944" xr:uid="{00000000-0005-0000-0000-0000C02A0000}"/>
    <cellStyle name="Normal 2 2 2 2 2 2 18 3 8" xfId="10945" xr:uid="{00000000-0005-0000-0000-0000C12A0000}"/>
    <cellStyle name="Normal 2 2 2 2 2 2 18 3 9" xfId="10946" xr:uid="{00000000-0005-0000-0000-0000C22A0000}"/>
    <cellStyle name="Normal 2 2 2 2 2 2 18 4" xfId="10947" xr:uid="{00000000-0005-0000-0000-0000C32A0000}"/>
    <cellStyle name="Normal 2 2 2 2 2 2 18 4 10" xfId="10948" xr:uid="{00000000-0005-0000-0000-0000C42A0000}"/>
    <cellStyle name="Normal 2 2 2 2 2 2 18 4 2" xfId="10949" xr:uid="{00000000-0005-0000-0000-0000C52A0000}"/>
    <cellStyle name="Normal 2 2 2 2 2 2 18 4 3" xfId="10950" xr:uid="{00000000-0005-0000-0000-0000C62A0000}"/>
    <cellStyle name="Normal 2 2 2 2 2 2 18 4 4" xfId="10951" xr:uid="{00000000-0005-0000-0000-0000C72A0000}"/>
    <cellStyle name="Normal 2 2 2 2 2 2 18 4 5" xfId="10952" xr:uid="{00000000-0005-0000-0000-0000C82A0000}"/>
    <cellStyle name="Normal 2 2 2 2 2 2 18 4 6" xfId="10953" xr:uid="{00000000-0005-0000-0000-0000C92A0000}"/>
    <cellStyle name="Normal 2 2 2 2 2 2 18 4 7" xfId="10954" xr:uid="{00000000-0005-0000-0000-0000CA2A0000}"/>
    <cellStyle name="Normal 2 2 2 2 2 2 18 4 8" xfId="10955" xr:uid="{00000000-0005-0000-0000-0000CB2A0000}"/>
    <cellStyle name="Normal 2 2 2 2 2 2 18 4 9" xfId="10956" xr:uid="{00000000-0005-0000-0000-0000CC2A0000}"/>
    <cellStyle name="Normal 2 2 2 2 2 2 18 5" xfId="10957" xr:uid="{00000000-0005-0000-0000-0000CD2A0000}"/>
    <cellStyle name="Normal 2 2 2 2 2 2 18 5 10" xfId="10958" xr:uid="{00000000-0005-0000-0000-0000CE2A0000}"/>
    <cellStyle name="Normal 2 2 2 2 2 2 18 5 2" xfId="10959" xr:uid="{00000000-0005-0000-0000-0000CF2A0000}"/>
    <cellStyle name="Normal 2 2 2 2 2 2 18 5 3" xfId="10960" xr:uid="{00000000-0005-0000-0000-0000D02A0000}"/>
    <cellStyle name="Normal 2 2 2 2 2 2 18 5 4" xfId="10961" xr:uid="{00000000-0005-0000-0000-0000D12A0000}"/>
    <cellStyle name="Normal 2 2 2 2 2 2 18 5 5" xfId="10962" xr:uid="{00000000-0005-0000-0000-0000D22A0000}"/>
    <cellStyle name="Normal 2 2 2 2 2 2 18 5 6" xfId="10963" xr:uid="{00000000-0005-0000-0000-0000D32A0000}"/>
    <cellStyle name="Normal 2 2 2 2 2 2 18 5 7" xfId="10964" xr:uid="{00000000-0005-0000-0000-0000D42A0000}"/>
    <cellStyle name="Normal 2 2 2 2 2 2 18 5 8" xfId="10965" xr:uid="{00000000-0005-0000-0000-0000D52A0000}"/>
    <cellStyle name="Normal 2 2 2 2 2 2 18 5 9" xfId="10966" xr:uid="{00000000-0005-0000-0000-0000D62A0000}"/>
    <cellStyle name="Normal 2 2 2 2 2 2 18 6" xfId="10967" xr:uid="{00000000-0005-0000-0000-0000D72A0000}"/>
    <cellStyle name="Normal 2 2 2 2 2 2 18 7" xfId="10968" xr:uid="{00000000-0005-0000-0000-0000D82A0000}"/>
    <cellStyle name="Normal 2 2 2 2 2 2 18 8" xfId="10969" xr:uid="{00000000-0005-0000-0000-0000D92A0000}"/>
    <cellStyle name="Normal 2 2 2 2 2 2 18 9" xfId="10970" xr:uid="{00000000-0005-0000-0000-0000DA2A0000}"/>
    <cellStyle name="Normal 2 2 2 2 2 2 19" xfId="10971" xr:uid="{00000000-0005-0000-0000-0000DB2A0000}"/>
    <cellStyle name="Normal 2 2 2 2 2 2 19 10" xfId="10972" xr:uid="{00000000-0005-0000-0000-0000DC2A0000}"/>
    <cellStyle name="Normal 2 2 2 2 2 2 19 11" xfId="10973" xr:uid="{00000000-0005-0000-0000-0000DD2A0000}"/>
    <cellStyle name="Normal 2 2 2 2 2 2 19 12" xfId="10974" xr:uid="{00000000-0005-0000-0000-0000DE2A0000}"/>
    <cellStyle name="Normal 2 2 2 2 2 2 19 13" xfId="10975" xr:uid="{00000000-0005-0000-0000-0000DF2A0000}"/>
    <cellStyle name="Normal 2 2 2 2 2 2 19 14" xfId="10976" xr:uid="{00000000-0005-0000-0000-0000E02A0000}"/>
    <cellStyle name="Normal 2 2 2 2 2 2 19 2" xfId="10977" xr:uid="{00000000-0005-0000-0000-0000E12A0000}"/>
    <cellStyle name="Normal 2 2 2 2 2 2 19 2 10" xfId="10978" xr:uid="{00000000-0005-0000-0000-0000E22A0000}"/>
    <cellStyle name="Normal 2 2 2 2 2 2 19 2 2" xfId="10979" xr:uid="{00000000-0005-0000-0000-0000E32A0000}"/>
    <cellStyle name="Normal 2 2 2 2 2 2 19 2 3" xfId="10980" xr:uid="{00000000-0005-0000-0000-0000E42A0000}"/>
    <cellStyle name="Normal 2 2 2 2 2 2 19 2 4" xfId="10981" xr:uid="{00000000-0005-0000-0000-0000E52A0000}"/>
    <cellStyle name="Normal 2 2 2 2 2 2 19 2 5" xfId="10982" xr:uid="{00000000-0005-0000-0000-0000E62A0000}"/>
    <cellStyle name="Normal 2 2 2 2 2 2 19 2 6" xfId="10983" xr:uid="{00000000-0005-0000-0000-0000E72A0000}"/>
    <cellStyle name="Normal 2 2 2 2 2 2 19 2 7" xfId="10984" xr:uid="{00000000-0005-0000-0000-0000E82A0000}"/>
    <cellStyle name="Normal 2 2 2 2 2 2 19 2 8" xfId="10985" xr:uid="{00000000-0005-0000-0000-0000E92A0000}"/>
    <cellStyle name="Normal 2 2 2 2 2 2 19 2 9" xfId="10986" xr:uid="{00000000-0005-0000-0000-0000EA2A0000}"/>
    <cellStyle name="Normal 2 2 2 2 2 2 19 3" xfId="10987" xr:uid="{00000000-0005-0000-0000-0000EB2A0000}"/>
    <cellStyle name="Normal 2 2 2 2 2 2 19 3 10" xfId="10988" xr:uid="{00000000-0005-0000-0000-0000EC2A0000}"/>
    <cellStyle name="Normal 2 2 2 2 2 2 19 3 2" xfId="10989" xr:uid="{00000000-0005-0000-0000-0000ED2A0000}"/>
    <cellStyle name="Normal 2 2 2 2 2 2 19 3 3" xfId="10990" xr:uid="{00000000-0005-0000-0000-0000EE2A0000}"/>
    <cellStyle name="Normal 2 2 2 2 2 2 19 3 4" xfId="10991" xr:uid="{00000000-0005-0000-0000-0000EF2A0000}"/>
    <cellStyle name="Normal 2 2 2 2 2 2 19 3 5" xfId="10992" xr:uid="{00000000-0005-0000-0000-0000F02A0000}"/>
    <cellStyle name="Normal 2 2 2 2 2 2 19 3 6" xfId="10993" xr:uid="{00000000-0005-0000-0000-0000F12A0000}"/>
    <cellStyle name="Normal 2 2 2 2 2 2 19 3 7" xfId="10994" xr:uid="{00000000-0005-0000-0000-0000F22A0000}"/>
    <cellStyle name="Normal 2 2 2 2 2 2 19 3 8" xfId="10995" xr:uid="{00000000-0005-0000-0000-0000F32A0000}"/>
    <cellStyle name="Normal 2 2 2 2 2 2 19 3 9" xfId="10996" xr:uid="{00000000-0005-0000-0000-0000F42A0000}"/>
    <cellStyle name="Normal 2 2 2 2 2 2 19 4" xfId="10997" xr:uid="{00000000-0005-0000-0000-0000F52A0000}"/>
    <cellStyle name="Normal 2 2 2 2 2 2 19 4 10" xfId="10998" xr:uid="{00000000-0005-0000-0000-0000F62A0000}"/>
    <cellStyle name="Normal 2 2 2 2 2 2 19 4 2" xfId="10999" xr:uid="{00000000-0005-0000-0000-0000F72A0000}"/>
    <cellStyle name="Normal 2 2 2 2 2 2 19 4 3" xfId="11000" xr:uid="{00000000-0005-0000-0000-0000F82A0000}"/>
    <cellStyle name="Normal 2 2 2 2 2 2 19 4 4" xfId="11001" xr:uid="{00000000-0005-0000-0000-0000F92A0000}"/>
    <cellStyle name="Normal 2 2 2 2 2 2 19 4 5" xfId="11002" xr:uid="{00000000-0005-0000-0000-0000FA2A0000}"/>
    <cellStyle name="Normal 2 2 2 2 2 2 19 4 6" xfId="11003" xr:uid="{00000000-0005-0000-0000-0000FB2A0000}"/>
    <cellStyle name="Normal 2 2 2 2 2 2 19 4 7" xfId="11004" xr:uid="{00000000-0005-0000-0000-0000FC2A0000}"/>
    <cellStyle name="Normal 2 2 2 2 2 2 19 4 8" xfId="11005" xr:uid="{00000000-0005-0000-0000-0000FD2A0000}"/>
    <cellStyle name="Normal 2 2 2 2 2 2 19 4 9" xfId="11006" xr:uid="{00000000-0005-0000-0000-0000FE2A0000}"/>
    <cellStyle name="Normal 2 2 2 2 2 2 19 5" xfId="11007" xr:uid="{00000000-0005-0000-0000-0000FF2A0000}"/>
    <cellStyle name="Normal 2 2 2 2 2 2 19 5 10" xfId="11008" xr:uid="{00000000-0005-0000-0000-0000002B0000}"/>
    <cellStyle name="Normal 2 2 2 2 2 2 19 5 2" xfId="11009" xr:uid="{00000000-0005-0000-0000-0000012B0000}"/>
    <cellStyle name="Normal 2 2 2 2 2 2 19 5 3" xfId="11010" xr:uid="{00000000-0005-0000-0000-0000022B0000}"/>
    <cellStyle name="Normal 2 2 2 2 2 2 19 5 4" xfId="11011" xr:uid="{00000000-0005-0000-0000-0000032B0000}"/>
    <cellStyle name="Normal 2 2 2 2 2 2 19 5 5" xfId="11012" xr:uid="{00000000-0005-0000-0000-0000042B0000}"/>
    <cellStyle name="Normal 2 2 2 2 2 2 19 5 6" xfId="11013" xr:uid="{00000000-0005-0000-0000-0000052B0000}"/>
    <cellStyle name="Normal 2 2 2 2 2 2 19 5 7" xfId="11014" xr:uid="{00000000-0005-0000-0000-0000062B0000}"/>
    <cellStyle name="Normal 2 2 2 2 2 2 19 5 8" xfId="11015" xr:uid="{00000000-0005-0000-0000-0000072B0000}"/>
    <cellStyle name="Normal 2 2 2 2 2 2 19 5 9" xfId="11016" xr:uid="{00000000-0005-0000-0000-0000082B0000}"/>
    <cellStyle name="Normal 2 2 2 2 2 2 19 6" xfId="11017" xr:uid="{00000000-0005-0000-0000-0000092B0000}"/>
    <cellStyle name="Normal 2 2 2 2 2 2 19 7" xfId="11018" xr:uid="{00000000-0005-0000-0000-00000A2B0000}"/>
    <cellStyle name="Normal 2 2 2 2 2 2 19 8" xfId="11019" xr:uid="{00000000-0005-0000-0000-00000B2B0000}"/>
    <cellStyle name="Normal 2 2 2 2 2 2 19 9" xfId="11020" xr:uid="{00000000-0005-0000-0000-00000C2B0000}"/>
    <cellStyle name="Normal 2 2 2 2 2 2 2" xfId="11021" xr:uid="{00000000-0005-0000-0000-00000D2B0000}"/>
    <cellStyle name="Normal 2 2 2 2 2 2 2 10" xfId="11022" xr:uid="{00000000-0005-0000-0000-00000E2B0000}"/>
    <cellStyle name="Normal 2 2 2 2 2 2 2 11" xfId="11023" xr:uid="{00000000-0005-0000-0000-00000F2B0000}"/>
    <cellStyle name="Normal 2 2 2 2 2 2 2 12" xfId="11024" xr:uid="{00000000-0005-0000-0000-0000102B0000}"/>
    <cellStyle name="Normal 2 2 2 2 2 2 2 13" xfId="11025" xr:uid="{00000000-0005-0000-0000-0000112B0000}"/>
    <cellStyle name="Normal 2 2 2 2 2 2 2 14" xfId="11026" xr:uid="{00000000-0005-0000-0000-0000122B0000}"/>
    <cellStyle name="Normal 2 2 2 2 2 2 2 15" xfId="11027" xr:uid="{00000000-0005-0000-0000-0000132B0000}"/>
    <cellStyle name="Normal 2 2 2 2 2 2 2 16" xfId="11028" xr:uid="{00000000-0005-0000-0000-0000142B0000}"/>
    <cellStyle name="Normal 2 2 2 2 2 2 2 2" xfId="11029" xr:uid="{00000000-0005-0000-0000-0000152B0000}"/>
    <cellStyle name="Normal 2 2 2 2 2 2 2 2 10" xfId="11030" xr:uid="{00000000-0005-0000-0000-0000162B0000}"/>
    <cellStyle name="Normal 2 2 2 2 2 2 2 2 11" xfId="11031" xr:uid="{00000000-0005-0000-0000-0000172B0000}"/>
    <cellStyle name="Normal 2 2 2 2 2 2 2 2 12" xfId="11032" xr:uid="{00000000-0005-0000-0000-0000182B0000}"/>
    <cellStyle name="Normal 2 2 2 2 2 2 2 2 2" xfId="11033" xr:uid="{00000000-0005-0000-0000-0000192B0000}"/>
    <cellStyle name="Normal 2 2 2 2 2 2 2 2 3" xfId="11034" xr:uid="{00000000-0005-0000-0000-00001A2B0000}"/>
    <cellStyle name="Normal 2 2 2 2 2 2 2 2 4" xfId="11035" xr:uid="{00000000-0005-0000-0000-00001B2B0000}"/>
    <cellStyle name="Normal 2 2 2 2 2 2 2 2 5" xfId="11036" xr:uid="{00000000-0005-0000-0000-00001C2B0000}"/>
    <cellStyle name="Normal 2 2 2 2 2 2 2 2 6" xfId="11037" xr:uid="{00000000-0005-0000-0000-00001D2B0000}"/>
    <cellStyle name="Normal 2 2 2 2 2 2 2 2 7" xfId="11038" xr:uid="{00000000-0005-0000-0000-00001E2B0000}"/>
    <cellStyle name="Normal 2 2 2 2 2 2 2 2 8" xfId="11039" xr:uid="{00000000-0005-0000-0000-00001F2B0000}"/>
    <cellStyle name="Normal 2 2 2 2 2 2 2 2 9" xfId="11040" xr:uid="{00000000-0005-0000-0000-0000202B0000}"/>
    <cellStyle name="Normal 2 2 2 2 2 2 2 3" xfId="11041" xr:uid="{00000000-0005-0000-0000-0000212B0000}"/>
    <cellStyle name="Normal 2 2 2 2 2 2 2 3 10" xfId="11042" xr:uid="{00000000-0005-0000-0000-0000222B0000}"/>
    <cellStyle name="Normal 2 2 2 2 2 2 2 3 2" xfId="11043" xr:uid="{00000000-0005-0000-0000-0000232B0000}"/>
    <cellStyle name="Normal 2 2 2 2 2 2 2 3 3" xfId="11044" xr:uid="{00000000-0005-0000-0000-0000242B0000}"/>
    <cellStyle name="Normal 2 2 2 2 2 2 2 3 4" xfId="11045" xr:uid="{00000000-0005-0000-0000-0000252B0000}"/>
    <cellStyle name="Normal 2 2 2 2 2 2 2 3 5" xfId="11046" xr:uid="{00000000-0005-0000-0000-0000262B0000}"/>
    <cellStyle name="Normal 2 2 2 2 2 2 2 3 6" xfId="11047" xr:uid="{00000000-0005-0000-0000-0000272B0000}"/>
    <cellStyle name="Normal 2 2 2 2 2 2 2 3 7" xfId="11048" xr:uid="{00000000-0005-0000-0000-0000282B0000}"/>
    <cellStyle name="Normal 2 2 2 2 2 2 2 3 8" xfId="11049" xr:uid="{00000000-0005-0000-0000-0000292B0000}"/>
    <cellStyle name="Normal 2 2 2 2 2 2 2 3 9" xfId="11050" xr:uid="{00000000-0005-0000-0000-00002A2B0000}"/>
    <cellStyle name="Normal 2 2 2 2 2 2 2 4" xfId="11051" xr:uid="{00000000-0005-0000-0000-00002B2B0000}"/>
    <cellStyle name="Normal 2 2 2 2 2 2 2 4 10" xfId="11052" xr:uid="{00000000-0005-0000-0000-00002C2B0000}"/>
    <cellStyle name="Normal 2 2 2 2 2 2 2 4 2" xfId="11053" xr:uid="{00000000-0005-0000-0000-00002D2B0000}"/>
    <cellStyle name="Normal 2 2 2 2 2 2 2 4 3" xfId="11054" xr:uid="{00000000-0005-0000-0000-00002E2B0000}"/>
    <cellStyle name="Normal 2 2 2 2 2 2 2 4 4" xfId="11055" xr:uid="{00000000-0005-0000-0000-00002F2B0000}"/>
    <cellStyle name="Normal 2 2 2 2 2 2 2 4 5" xfId="11056" xr:uid="{00000000-0005-0000-0000-0000302B0000}"/>
    <cellStyle name="Normal 2 2 2 2 2 2 2 4 6" xfId="11057" xr:uid="{00000000-0005-0000-0000-0000312B0000}"/>
    <cellStyle name="Normal 2 2 2 2 2 2 2 4 7" xfId="11058" xr:uid="{00000000-0005-0000-0000-0000322B0000}"/>
    <cellStyle name="Normal 2 2 2 2 2 2 2 4 8" xfId="11059" xr:uid="{00000000-0005-0000-0000-0000332B0000}"/>
    <cellStyle name="Normal 2 2 2 2 2 2 2 4 9" xfId="11060" xr:uid="{00000000-0005-0000-0000-0000342B0000}"/>
    <cellStyle name="Normal 2 2 2 2 2 2 2 5" xfId="11061" xr:uid="{00000000-0005-0000-0000-0000352B0000}"/>
    <cellStyle name="Normal 2 2 2 2 2 2 2 5 10" xfId="11062" xr:uid="{00000000-0005-0000-0000-0000362B0000}"/>
    <cellStyle name="Normal 2 2 2 2 2 2 2 5 2" xfId="11063" xr:uid="{00000000-0005-0000-0000-0000372B0000}"/>
    <cellStyle name="Normal 2 2 2 2 2 2 2 5 3" xfId="11064" xr:uid="{00000000-0005-0000-0000-0000382B0000}"/>
    <cellStyle name="Normal 2 2 2 2 2 2 2 5 4" xfId="11065" xr:uid="{00000000-0005-0000-0000-0000392B0000}"/>
    <cellStyle name="Normal 2 2 2 2 2 2 2 5 5" xfId="11066" xr:uid="{00000000-0005-0000-0000-00003A2B0000}"/>
    <cellStyle name="Normal 2 2 2 2 2 2 2 5 6" xfId="11067" xr:uid="{00000000-0005-0000-0000-00003B2B0000}"/>
    <cellStyle name="Normal 2 2 2 2 2 2 2 5 7" xfId="11068" xr:uid="{00000000-0005-0000-0000-00003C2B0000}"/>
    <cellStyle name="Normal 2 2 2 2 2 2 2 5 8" xfId="11069" xr:uid="{00000000-0005-0000-0000-00003D2B0000}"/>
    <cellStyle name="Normal 2 2 2 2 2 2 2 5 9" xfId="11070" xr:uid="{00000000-0005-0000-0000-00003E2B0000}"/>
    <cellStyle name="Normal 2 2 2 2 2 2 2 6" xfId="11071" xr:uid="{00000000-0005-0000-0000-00003F2B0000}"/>
    <cellStyle name="Normal 2 2 2 2 2 2 2 7" xfId="11072" xr:uid="{00000000-0005-0000-0000-0000402B0000}"/>
    <cellStyle name="Normal 2 2 2 2 2 2 2 8" xfId="11073" xr:uid="{00000000-0005-0000-0000-0000412B0000}"/>
    <cellStyle name="Normal 2 2 2 2 2 2 2 9" xfId="11074" xr:uid="{00000000-0005-0000-0000-0000422B0000}"/>
    <cellStyle name="Normal 2 2 2 2 2 2 20" xfId="11075" xr:uid="{00000000-0005-0000-0000-0000432B0000}"/>
    <cellStyle name="Normal 2 2 2 2 2 2 20 10" xfId="11076" xr:uid="{00000000-0005-0000-0000-0000442B0000}"/>
    <cellStyle name="Normal 2 2 2 2 2 2 20 11" xfId="11077" xr:uid="{00000000-0005-0000-0000-0000452B0000}"/>
    <cellStyle name="Normal 2 2 2 2 2 2 20 12" xfId="11078" xr:uid="{00000000-0005-0000-0000-0000462B0000}"/>
    <cellStyle name="Normal 2 2 2 2 2 2 20 13" xfId="11079" xr:uid="{00000000-0005-0000-0000-0000472B0000}"/>
    <cellStyle name="Normal 2 2 2 2 2 2 20 14" xfId="11080" xr:uid="{00000000-0005-0000-0000-0000482B0000}"/>
    <cellStyle name="Normal 2 2 2 2 2 2 20 2" xfId="11081" xr:uid="{00000000-0005-0000-0000-0000492B0000}"/>
    <cellStyle name="Normal 2 2 2 2 2 2 20 2 10" xfId="11082" xr:uid="{00000000-0005-0000-0000-00004A2B0000}"/>
    <cellStyle name="Normal 2 2 2 2 2 2 20 2 2" xfId="11083" xr:uid="{00000000-0005-0000-0000-00004B2B0000}"/>
    <cellStyle name="Normal 2 2 2 2 2 2 20 2 3" xfId="11084" xr:uid="{00000000-0005-0000-0000-00004C2B0000}"/>
    <cellStyle name="Normal 2 2 2 2 2 2 20 2 4" xfId="11085" xr:uid="{00000000-0005-0000-0000-00004D2B0000}"/>
    <cellStyle name="Normal 2 2 2 2 2 2 20 2 5" xfId="11086" xr:uid="{00000000-0005-0000-0000-00004E2B0000}"/>
    <cellStyle name="Normal 2 2 2 2 2 2 20 2 6" xfId="11087" xr:uid="{00000000-0005-0000-0000-00004F2B0000}"/>
    <cellStyle name="Normal 2 2 2 2 2 2 20 2 7" xfId="11088" xr:uid="{00000000-0005-0000-0000-0000502B0000}"/>
    <cellStyle name="Normal 2 2 2 2 2 2 20 2 8" xfId="11089" xr:uid="{00000000-0005-0000-0000-0000512B0000}"/>
    <cellStyle name="Normal 2 2 2 2 2 2 20 2 9" xfId="11090" xr:uid="{00000000-0005-0000-0000-0000522B0000}"/>
    <cellStyle name="Normal 2 2 2 2 2 2 20 3" xfId="11091" xr:uid="{00000000-0005-0000-0000-0000532B0000}"/>
    <cellStyle name="Normal 2 2 2 2 2 2 20 3 10" xfId="11092" xr:uid="{00000000-0005-0000-0000-0000542B0000}"/>
    <cellStyle name="Normal 2 2 2 2 2 2 20 3 2" xfId="11093" xr:uid="{00000000-0005-0000-0000-0000552B0000}"/>
    <cellStyle name="Normal 2 2 2 2 2 2 20 3 3" xfId="11094" xr:uid="{00000000-0005-0000-0000-0000562B0000}"/>
    <cellStyle name="Normal 2 2 2 2 2 2 20 3 4" xfId="11095" xr:uid="{00000000-0005-0000-0000-0000572B0000}"/>
    <cellStyle name="Normal 2 2 2 2 2 2 20 3 5" xfId="11096" xr:uid="{00000000-0005-0000-0000-0000582B0000}"/>
    <cellStyle name="Normal 2 2 2 2 2 2 20 3 6" xfId="11097" xr:uid="{00000000-0005-0000-0000-0000592B0000}"/>
    <cellStyle name="Normal 2 2 2 2 2 2 20 3 7" xfId="11098" xr:uid="{00000000-0005-0000-0000-00005A2B0000}"/>
    <cellStyle name="Normal 2 2 2 2 2 2 20 3 8" xfId="11099" xr:uid="{00000000-0005-0000-0000-00005B2B0000}"/>
    <cellStyle name="Normal 2 2 2 2 2 2 20 3 9" xfId="11100" xr:uid="{00000000-0005-0000-0000-00005C2B0000}"/>
    <cellStyle name="Normal 2 2 2 2 2 2 20 4" xfId="11101" xr:uid="{00000000-0005-0000-0000-00005D2B0000}"/>
    <cellStyle name="Normal 2 2 2 2 2 2 20 4 10" xfId="11102" xr:uid="{00000000-0005-0000-0000-00005E2B0000}"/>
    <cellStyle name="Normal 2 2 2 2 2 2 20 4 2" xfId="11103" xr:uid="{00000000-0005-0000-0000-00005F2B0000}"/>
    <cellStyle name="Normal 2 2 2 2 2 2 20 4 3" xfId="11104" xr:uid="{00000000-0005-0000-0000-0000602B0000}"/>
    <cellStyle name="Normal 2 2 2 2 2 2 20 4 4" xfId="11105" xr:uid="{00000000-0005-0000-0000-0000612B0000}"/>
    <cellStyle name="Normal 2 2 2 2 2 2 20 4 5" xfId="11106" xr:uid="{00000000-0005-0000-0000-0000622B0000}"/>
    <cellStyle name="Normal 2 2 2 2 2 2 20 4 6" xfId="11107" xr:uid="{00000000-0005-0000-0000-0000632B0000}"/>
    <cellStyle name="Normal 2 2 2 2 2 2 20 4 7" xfId="11108" xr:uid="{00000000-0005-0000-0000-0000642B0000}"/>
    <cellStyle name="Normal 2 2 2 2 2 2 20 4 8" xfId="11109" xr:uid="{00000000-0005-0000-0000-0000652B0000}"/>
    <cellStyle name="Normal 2 2 2 2 2 2 20 4 9" xfId="11110" xr:uid="{00000000-0005-0000-0000-0000662B0000}"/>
    <cellStyle name="Normal 2 2 2 2 2 2 20 5" xfId="11111" xr:uid="{00000000-0005-0000-0000-0000672B0000}"/>
    <cellStyle name="Normal 2 2 2 2 2 2 20 5 10" xfId="11112" xr:uid="{00000000-0005-0000-0000-0000682B0000}"/>
    <cellStyle name="Normal 2 2 2 2 2 2 20 5 2" xfId="11113" xr:uid="{00000000-0005-0000-0000-0000692B0000}"/>
    <cellStyle name="Normal 2 2 2 2 2 2 20 5 3" xfId="11114" xr:uid="{00000000-0005-0000-0000-00006A2B0000}"/>
    <cellStyle name="Normal 2 2 2 2 2 2 20 5 4" xfId="11115" xr:uid="{00000000-0005-0000-0000-00006B2B0000}"/>
    <cellStyle name="Normal 2 2 2 2 2 2 20 5 5" xfId="11116" xr:uid="{00000000-0005-0000-0000-00006C2B0000}"/>
    <cellStyle name="Normal 2 2 2 2 2 2 20 5 6" xfId="11117" xr:uid="{00000000-0005-0000-0000-00006D2B0000}"/>
    <cellStyle name="Normal 2 2 2 2 2 2 20 5 7" xfId="11118" xr:uid="{00000000-0005-0000-0000-00006E2B0000}"/>
    <cellStyle name="Normal 2 2 2 2 2 2 20 5 8" xfId="11119" xr:uid="{00000000-0005-0000-0000-00006F2B0000}"/>
    <cellStyle name="Normal 2 2 2 2 2 2 20 5 9" xfId="11120" xr:uid="{00000000-0005-0000-0000-0000702B0000}"/>
    <cellStyle name="Normal 2 2 2 2 2 2 20 6" xfId="11121" xr:uid="{00000000-0005-0000-0000-0000712B0000}"/>
    <cellStyle name="Normal 2 2 2 2 2 2 20 7" xfId="11122" xr:uid="{00000000-0005-0000-0000-0000722B0000}"/>
    <cellStyle name="Normal 2 2 2 2 2 2 20 8" xfId="11123" xr:uid="{00000000-0005-0000-0000-0000732B0000}"/>
    <cellStyle name="Normal 2 2 2 2 2 2 20 9" xfId="11124" xr:uid="{00000000-0005-0000-0000-0000742B0000}"/>
    <cellStyle name="Normal 2 2 2 2 2 2 21" xfId="11125" xr:uid="{00000000-0005-0000-0000-0000752B0000}"/>
    <cellStyle name="Normal 2 2 2 2 2 2 21 10" xfId="11126" xr:uid="{00000000-0005-0000-0000-0000762B0000}"/>
    <cellStyle name="Normal 2 2 2 2 2 2 21 11" xfId="11127" xr:uid="{00000000-0005-0000-0000-0000772B0000}"/>
    <cellStyle name="Normal 2 2 2 2 2 2 21 12" xfId="11128" xr:uid="{00000000-0005-0000-0000-0000782B0000}"/>
    <cellStyle name="Normal 2 2 2 2 2 2 21 13" xfId="11129" xr:uid="{00000000-0005-0000-0000-0000792B0000}"/>
    <cellStyle name="Normal 2 2 2 2 2 2 21 14" xfId="11130" xr:uid="{00000000-0005-0000-0000-00007A2B0000}"/>
    <cellStyle name="Normal 2 2 2 2 2 2 21 2" xfId="11131" xr:uid="{00000000-0005-0000-0000-00007B2B0000}"/>
    <cellStyle name="Normal 2 2 2 2 2 2 21 2 10" xfId="11132" xr:uid="{00000000-0005-0000-0000-00007C2B0000}"/>
    <cellStyle name="Normal 2 2 2 2 2 2 21 2 2" xfId="11133" xr:uid="{00000000-0005-0000-0000-00007D2B0000}"/>
    <cellStyle name="Normal 2 2 2 2 2 2 21 2 3" xfId="11134" xr:uid="{00000000-0005-0000-0000-00007E2B0000}"/>
    <cellStyle name="Normal 2 2 2 2 2 2 21 2 4" xfId="11135" xr:uid="{00000000-0005-0000-0000-00007F2B0000}"/>
    <cellStyle name="Normal 2 2 2 2 2 2 21 2 5" xfId="11136" xr:uid="{00000000-0005-0000-0000-0000802B0000}"/>
    <cellStyle name="Normal 2 2 2 2 2 2 21 2 6" xfId="11137" xr:uid="{00000000-0005-0000-0000-0000812B0000}"/>
    <cellStyle name="Normal 2 2 2 2 2 2 21 2 7" xfId="11138" xr:uid="{00000000-0005-0000-0000-0000822B0000}"/>
    <cellStyle name="Normal 2 2 2 2 2 2 21 2 8" xfId="11139" xr:uid="{00000000-0005-0000-0000-0000832B0000}"/>
    <cellStyle name="Normal 2 2 2 2 2 2 21 2 9" xfId="11140" xr:uid="{00000000-0005-0000-0000-0000842B0000}"/>
    <cellStyle name="Normal 2 2 2 2 2 2 21 3" xfId="11141" xr:uid="{00000000-0005-0000-0000-0000852B0000}"/>
    <cellStyle name="Normal 2 2 2 2 2 2 21 3 10" xfId="11142" xr:uid="{00000000-0005-0000-0000-0000862B0000}"/>
    <cellStyle name="Normal 2 2 2 2 2 2 21 3 2" xfId="11143" xr:uid="{00000000-0005-0000-0000-0000872B0000}"/>
    <cellStyle name="Normal 2 2 2 2 2 2 21 3 3" xfId="11144" xr:uid="{00000000-0005-0000-0000-0000882B0000}"/>
    <cellStyle name="Normal 2 2 2 2 2 2 21 3 4" xfId="11145" xr:uid="{00000000-0005-0000-0000-0000892B0000}"/>
    <cellStyle name="Normal 2 2 2 2 2 2 21 3 5" xfId="11146" xr:uid="{00000000-0005-0000-0000-00008A2B0000}"/>
    <cellStyle name="Normal 2 2 2 2 2 2 21 3 6" xfId="11147" xr:uid="{00000000-0005-0000-0000-00008B2B0000}"/>
    <cellStyle name="Normal 2 2 2 2 2 2 21 3 7" xfId="11148" xr:uid="{00000000-0005-0000-0000-00008C2B0000}"/>
    <cellStyle name="Normal 2 2 2 2 2 2 21 3 8" xfId="11149" xr:uid="{00000000-0005-0000-0000-00008D2B0000}"/>
    <cellStyle name="Normal 2 2 2 2 2 2 21 3 9" xfId="11150" xr:uid="{00000000-0005-0000-0000-00008E2B0000}"/>
    <cellStyle name="Normal 2 2 2 2 2 2 21 4" xfId="11151" xr:uid="{00000000-0005-0000-0000-00008F2B0000}"/>
    <cellStyle name="Normal 2 2 2 2 2 2 21 4 10" xfId="11152" xr:uid="{00000000-0005-0000-0000-0000902B0000}"/>
    <cellStyle name="Normal 2 2 2 2 2 2 21 4 2" xfId="11153" xr:uid="{00000000-0005-0000-0000-0000912B0000}"/>
    <cellStyle name="Normal 2 2 2 2 2 2 21 4 3" xfId="11154" xr:uid="{00000000-0005-0000-0000-0000922B0000}"/>
    <cellStyle name="Normal 2 2 2 2 2 2 21 4 4" xfId="11155" xr:uid="{00000000-0005-0000-0000-0000932B0000}"/>
    <cellStyle name="Normal 2 2 2 2 2 2 21 4 5" xfId="11156" xr:uid="{00000000-0005-0000-0000-0000942B0000}"/>
    <cellStyle name="Normal 2 2 2 2 2 2 21 4 6" xfId="11157" xr:uid="{00000000-0005-0000-0000-0000952B0000}"/>
    <cellStyle name="Normal 2 2 2 2 2 2 21 4 7" xfId="11158" xr:uid="{00000000-0005-0000-0000-0000962B0000}"/>
    <cellStyle name="Normal 2 2 2 2 2 2 21 4 8" xfId="11159" xr:uid="{00000000-0005-0000-0000-0000972B0000}"/>
    <cellStyle name="Normal 2 2 2 2 2 2 21 4 9" xfId="11160" xr:uid="{00000000-0005-0000-0000-0000982B0000}"/>
    <cellStyle name="Normal 2 2 2 2 2 2 21 5" xfId="11161" xr:uid="{00000000-0005-0000-0000-0000992B0000}"/>
    <cellStyle name="Normal 2 2 2 2 2 2 21 5 10" xfId="11162" xr:uid="{00000000-0005-0000-0000-00009A2B0000}"/>
    <cellStyle name="Normal 2 2 2 2 2 2 21 5 2" xfId="11163" xr:uid="{00000000-0005-0000-0000-00009B2B0000}"/>
    <cellStyle name="Normal 2 2 2 2 2 2 21 5 3" xfId="11164" xr:uid="{00000000-0005-0000-0000-00009C2B0000}"/>
    <cellStyle name="Normal 2 2 2 2 2 2 21 5 4" xfId="11165" xr:uid="{00000000-0005-0000-0000-00009D2B0000}"/>
    <cellStyle name="Normal 2 2 2 2 2 2 21 5 5" xfId="11166" xr:uid="{00000000-0005-0000-0000-00009E2B0000}"/>
    <cellStyle name="Normal 2 2 2 2 2 2 21 5 6" xfId="11167" xr:uid="{00000000-0005-0000-0000-00009F2B0000}"/>
    <cellStyle name="Normal 2 2 2 2 2 2 21 5 7" xfId="11168" xr:uid="{00000000-0005-0000-0000-0000A02B0000}"/>
    <cellStyle name="Normal 2 2 2 2 2 2 21 5 8" xfId="11169" xr:uid="{00000000-0005-0000-0000-0000A12B0000}"/>
    <cellStyle name="Normal 2 2 2 2 2 2 21 5 9" xfId="11170" xr:uid="{00000000-0005-0000-0000-0000A22B0000}"/>
    <cellStyle name="Normal 2 2 2 2 2 2 21 6" xfId="11171" xr:uid="{00000000-0005-0000-0000-0000A32B0000}"/>
    <cellStyle name="Normal 2 2 2 2 2 2 21 7" xfId="11172" xr:uid="{00000000-0005-0000-0000-0000A42B0000}"/>
    <cellStyle name="Normal 2 2 2 2 2 2 21 8" xfId="11173" xr:uid="{00000000-0005-0000-0000-0000A52B0000}"/>
    <cellStyle name="Normal 2 2 2 2 2 2 21 9" xfId="11174" xr:uid="{00000000-0005-0000-0000-0000A62B0000}"/>
    <cellStyle name="Normal 2 2 2 2 2 2 22" xfId="11175" xr:uid="{00000000-0005-0000-0000-0000A72B0000}"/>
    <cellStyle name="Normal 2 2 2 2 2 2 22 10" xfId="11176" xr:uid="{00000000-0005-0000-0000-0000A82B0000}"/>
    <cellStyle name="Normal 2 2 2 2 2 2 22 11" xfId="11177" xr:uid="{00000000-0005-0000-0000-0000A92B0000}"/>
    <cellStyle name="Normal 2 2 2 2 2 2 22 12" xfId="11178" xr:uid="{00000000-0005-0000-0000-0000AA2B0000}"/>
    <cellStyle name="Normal 2 2 2 2 2 2 22 13" xfId="11179" xr:uid="{00000000-0005-0000-0000-0000AB2B0000}"/>
    <cellStyle name="Normal 2 2 2 2 2 2 22 14" xfId="11180" xr:uid="{00000000-0005-0000-0000-0000AC2B0000}"/>
    <cellStyle name="Normal 2 2 2 2 2 2 22 2" xfId="11181" xr:uid="{00000000-0005-0000-0000-0000AD2B0000}"/>
    <cellStyle name="Normal 2 2 2 2 2 2 22 2 10" xfId="11182" xr:uid="{00000000-0005-0000-0000-0000AE2B0000}"/>
    <cellStyle name="Normal 2 2 2 2 2 2 22 2 2" xfId="11183" xr:uid="{00000000-0005-0000-0000-0000AF2B0000}"/>
    <cellStyle name="Normal 2 2 2 2 2 2 22 2 3" xfId="11184" xr:uid="{00000000-0005-0000-0000-0000B02B0000}"/>
    <cellStyle name="Normal 2 2 2 2 2 2 22 2 4" xfId="11185" xr:uid="{00000000-0005-0000-0000-0000B12B0000}"/>
    <cellStyle name="Normal 2 2 2 2 2 2 22 2 5" xfId="11186" xr:uid="{00000000-0005-0000-0000-0000B22B0000}"/>
    <cellStyle name="Normal 2 2 2 2 2 2 22 2 6" xfId="11187" xr:uid="{00000000-0005-0000-0000-0000B32B0000}"/>
    <cellStyle name="Normal 2 2 2 2 2 2 22 2 7" xfId="11188" xr:uid="{00000000-0005-0000-0000-0000B42B0000}"/>
    <cellStyle name="Normal 2 2 2 2 2 2 22 2 8" xfId="11189" xr:uid="{00000000-0005-0000-0000-0000B52B0000}"/>
    <cellStyle name="Normal 2 2 2 2 2 2 22 2 9" xfId="11190" xr:uid="{00000000-0005-0000-0000-0000B62B0000}"/>
    <cellStyle name="Normal 2 2 2 2 2 2 22 3" xfId="11191" xr:uid="{00000000-0005-0000-0000-0000B72B0000}"/>
    <cellStyle name="Normal 2 2 2 2 2 2 22 3 10" xfId="11192" xr:uid="{00000000-0005-0000-0000-0000B82B0000}"/>
    <cellStyle name="Normal 2 2 2 2 2 2 22 3 2" xfId="11193" xr:uid="{00000000-0005-0000-0000-0000B92B0000}"/>
    <cellStyle name="Normal 2 2 2 2 2 2 22 3 3" xfId="11194" xr:uid="{00000000-0005-0000-0000-0000BA2B0000}"/>
    <cellStyle name="Normal 2 2 2 2 2 2 22 3 4" xfId="11195" xr:uid="{00000000-0005-0000-0000-0000BB2B0000}"/>
    <cellStyle name="Normal 2 2 2 2 2 2 22 3 5" xfId="11196" xr:uid="{00000000-0005-0000-0000-0000BC2B0000}"/>
    <cellStyle name="Normal 2 2 2 2 2 2 22 3 6" xfId="11197" xr:uid="{00000000-0005-0000-0000-0000BD2B0000}"/>
    <cellStyle name="Normal 2 2 2 2 2 2 22 3 7" xfId="11198" xr:uid="{00000000-0005-0000-0000-0000BE2B0000}"/>
    <cellStyle name="Normal 2 2 2 2 2 2 22 3 8" xfId="11199" xr:uid="{00000000-0005-0000-0000-0000BF2B0000}"/>
    <cellStyle name="Normal 2 2 2 2 2 2 22 3 9" xfId="11200" xr:uid="{00000000-0005-0000-0000-0000C02B0000}"/>
    <cellStyle name="Normal 2 2 2 2 2 2 22 4" xfId="11201" xr:uid="{00000000-0005-0000-0000-0000C12B0000}"/>
    <cellStyle name="Normal 2 2 2 2 2 2 22 4 10" xfId="11202" xr:uid="{00000000-0005-0000-0000-0000C22B0000}"/>
    <cellStyle name="Normal 2 2 2 2 2 2 22 4 2" xfId="11203" xr:uid="{00000000-0005-0000-0000-0000C32B0000}"/>
    <cellStyle name="Normal 2 2 2 2 2 2 22 4 3" xfId="11204" xr:uid="{00000000-0005-0000-0000-0000C42B0000}"/>
    <cellStyle name="Normal 2 2 2 2 2 2 22 4 4" xfId="11205" xr:uid="{00000000-0005-0000-0000-0000C52B0000}"/>
    <cellStyle name="Normal 2 2 2 2 2 2 22 4 5" xfId="11206" xr:uid="{00000000-0005-0000-0000-0000C62B0000}"/>
    <cellStyle name="Normal 2 2 2 2 2 2 22 4 6" xfId="11207" xr:uid="{00000000-0005-0000-0000-0000C72B0000}"/>
    <cellStyle name="Normal 2 2 2 2 2 2 22 4 7" xfId="11208" xr:uid="{00000000-0005-0000-0000-0000C82B0000}"/>
    <cellStyle name="Normal 2 2 2 2 2 2 22 4 8" xfId="11209" xr:uid="{00000000-0005-0000-0000-0000C92B0000}"/>
    <cellStyle name="Normal 2 2 2 2 2 2 22 4 9" xfId="11210" xr:uid="{00000000-0005-0000-0000-0000CA2B0000}"/>
    <cellStyle name="Normal 2 2 2 2 2 2 22 5" xfId="11211" xr:uid="{00000000-0005-0000-0000-0000CB2B0000}"/>
    <cellStyle name="Normal 2 2 2 2 2 2 22 5 10" xfId="11212" xr:uid="{00000000-0005-0000-0000-0000CC2B0000}"/>
    <cellStyle name="Normal 2 2 2 2 2 2 22 5 2" xfId="11213" xr:uid="{00000000-0005-0000-0000-0000CD2B0000}"/>
    <cellStyle name="Normal 2 2 2 2 2 2 22 5 3" xfId="11214" xr:uid="{00000000-0005-0000-0000-0000CE2B0000}"/>
    <cellStyle name="Normal 2 2 2 2 2 2 22 5 4" xfId="11215" xr:uid="{00000000-0005-0000-0000-0000CF2B0000}"/>
    <cellStyle name="Normal 2 2 2 2 2 2 22 5 5" xfId="11216" xr:uid="{00000000-0005-0000-0000-0000D02B0000}"/>
    <cellStyle name="Normal 2 2 2 2 2 2 22 5 6" xfId="11217" xr:uid="{00000000-0005-0000-0000-0000D12B0000}"/>
    <cellStyle name="Normal 2 2 2 2 2 2 22 5 7" xfId="11218" xr:uid="{00000000-0005-0000-0000-0000D22B0000}"/>
    <cellStyle name="Normal 2 2 2 2 2 2 22 5 8" xfId="11219" xr:uid="{00000000-0005-0000-0000-0000D32B0000}"/>
    <cellStyle name="Normal 2 2 2 2 2 2 22 5 9" xfId="11220" xr:uid="{00000000-0005-0000-0000-0000D42B0000}"/>
    <cellStyle name="Normal 2 2 2 2 2 2 22 6" xfId="11221" xr:uid="{00000000-0005-0000-0000-0000D52B0000}"/>
    <cellStyle name="Normal 2 2 2 2 2 2 22 7" xfId="11222" xr:uid="{00000000-0005-0000-0000-0000D62B0000}"/>
    <cellStyle name="Normal 2 2 2 2 2 2 22 8" xfId="11223" xr:uid="{00000000-0005-0000-0000-0000D72B0000}"/>
    <cellStyle name="Normal 2 2 2 2 2 2 22 9" xfId="11224" xr:uid="{00000000-0005-0000-0000-0000D82B0000}"/>
    <cellStyle name="Normal 2 2 2 2 2 2 23" xfId="11225" xr:uid="{00000000-0005-0000-0000-0000D92B0000}"/>
    <cellStyle name="Normal 2 2 2 2 2 2 23 10" xfId="11226" xr:uid="{00000000-0005-0000-0000-0000DA2B0000}"/>
    <cellStyle name="Normal 2 2 2 2 2 2 23 11" xfId="11227" xr:uid="{00000000-0005-0000-0000-0000DB2B0000}"/>
    <cellStyle name="Normal 2 2 2 2 2 2 23 12" xfId="11228" xr:uid="{00000000-0005-0000-0000-0000DC2B0000}"/>
    <cellStyle name="Normal 2 2 2 2 2 2 23 13" xfId="11229" xr:uid="{00000000-0005-0000-0000-0000DD2B0000}"/>
    <cellStyle name="Normal 2 2 2 2 2 2 23 14" xfId="11230" xr:uid="{00000000-0005-0000-0000-0000DE2B0000}"/>
    <cellStyle name="Normal 2 2 2 2 2 2 23 2" xfId="11231" xr:uid="{00000000-0005-0000-0000-0000DF2B0000}"/>
    <cellStyle name="Normal 2 2 2 2 2 2 23 2 10" xfId="11232" xr:uid="{00000000-0005-0000-0000-0000E02B0000}"/>
    <cellStyle name="Normal 2 2 2 2 2 2 23 2 2" xfId="11233" xr:uid="{00000000-0005-0000-0000-0000E12B0000}"/>
    <cellStyle name="Normal 2 2 2 2 2 2 23 2 3" xfId="11234" xr:uid="{00000000-0005-0000-0000-0000E22B0000}"/>
    <cellStyle name="Normal 2 2 2 2 2 2 23 2 4" xfId="11235" xr:uid="{00000000-0005-0000-0000-0000E32B0000}"/>
    <cellStyle name="Normal 2 2 2 2 2 2 23 2 5" xfId="11236" xr:uid="{00000000-0005-0000-0000-0000E42B0000}"/>
    <cellStyle name="Normal 2 2 2 2 2 2 23 2 6" xfId="11237" xr:uid="{00000000-0005-0000-0000-0000E52B0000}"/>
    <cellStyle name="Normal 2 2 2 2 2 2 23 2 7" xfId="11238" xr:uid="{00000000-0005-0000-0000-0000E62B0000}"/>
    <cellStyle name="Normal 2 2 2 2 2 2 23 2 8" xfId="11239" xr:uid="{00000000-0005-0000-0000-0000E72B0000}"/>
    <cellStyle name="Normal 2 2 2 2 2 2 23 2 9" xfId="11240" xr:uid="{00000000-0005-0000-0000-0000E82B0000}"/>
    <cellStyle name="Normal 2 2 2 2 2 2 23 3" xfId="11241" xr:uid="{00000000-0005-0000-0000-0000E92B0000}"/>
    <cellStyle name="Normal 2 2 2 2 2 2 23 3 10" xfId="11242" xr:uid="{00000000-0005-0000-0000-0000EA2B0000}"/>
    <cellStyle name="Normal 2 2 2 2 2 2 23 3 2" xfId="11243" xr:uid="{00000000-0005-0000-0000-0000EB2B0000}"/>
    <cellStyle name="Normal 2 2 2 2 2 2 23 3 3" xfId="11244" xr:uid="{00000000-0005-0000-0000-0000EC2B0000}"/>
    <cellStyle name="Normal 2 2 2 2 2 2 23 3 4" xfId="11245" xr:uid="{00000000-0005-0000-0000-0000ED2B0000}"/>
    <cellStyle name="Normal 2 2 2 2 2 2 23 3 5" xfId="11246" xr:uid="{00000000-0005-0000-0000-0000EE2B0000}"/>
    <cellStyle name="Normal 2 2 2 2 2 2 23 3 6" xfId="11247" xr:uid="{00000000-0005-0000-0000-0000EF2B0000}"/>
    <cellStyle name="Normal 2 2 2 2 2 2 23 3 7" xfId="11248" xr:uid="{00000000-0005-0000-0000-0000F02B0000}"/>
    <cellStyle name="Normal 2 2 2 2 2 2 23 3 8" xfId="11249" xr:uid="{00000000-0005-0000-0000-0000F12B0000}"/>
    <cellStyle name="Normal 2 2 2 2 2 2 23 3 9" xfId="11250" xr:uid="{00000000-0005-0000-0000-0000F22B0000}"/>
    <cellStyle name="Normal 2 2 2 2 2 2 23 4" xfId="11251" xr:uid="{00000000-0005-0000-0000-0000F32B0000}"/>
    <cellStyle name="Normal 2 2 2 2 2 2 23 4 10" xfId="11252" xr:uid="{00000000-0005-0000-0000-0000F42B0000}"/>
    <cellStyle name="Normal 2 2 2 2 2 2 23 4 2" xfId="11253" xr:uid="{00000000-0005-0000-0000-0000F52B0000}"/>
    <cellStyle name="Normal 2 2 2 2 2 2 23 4 3" xfId="11254" xr:uid="{00000000-0005-0000-0000-0000F62B0000}"/>
    <cellStyle name="Normal 2 2 2 2 2 2 23 4 4" xfId="11255" xr:uid="{00000000-0005-0000-0000-0000F72B0000}"/>
    <cellStyle name="Normal 2 2 2 2 2 2 23 4 5" xfId="11256" xr:uid="{00000000-0005-0000-0000-0000F82B0000}"/>
    <cellStyle name="Normal 2 2 2 2 2 2 23 4 6" xfId="11257" xr:uid="{00000000-0005-0000-0000-0000F92B0000}"/>
    <cellStyle name="Normal 2 2 2 2 2 2 23 4 7" xfId="11258" xr:uid="{00000000-0005-0000-0000-0000FA2B0000}"/>
    <cellStyle name="Normal 2 2 2 2 2 2 23 4 8" xfId="11259" xr:uid="{00000000-0005-0000-0000-0000FB2B0000}"/>
    <cellStyle name="Normal 2 2 2 2 2 2 23 4 9" xfId="11260" xr:uid="{00000000-0005-0000-0000-0000FC2B0000}"/>
    <cellStyle name="Normal 2 2 2 2 2 2 23 5" xfId="11261" xr:uid="{00000000-0005-0000-0000-0000FD2B0000}"/>
    <cellStyle name="Normal 2 2 2 2 2 2 23 5 10" xfId="11262" xr:uid="{00000000-0005-0000-0000-0000FE2B0000}"/>
    <cellStyle name="Normal 2 2 2 2 2 2 23 5 2" xfId="11263" xr:uid="{00000000-0005-0000-0000-0000FF2B0000}"/>
    <cellStyle name="Normal 2 2 2 2 2 2 23 5 3" xfId="11264" xr:uid="{00000000-0005-0000-0000-0000002C0000}"/>
    <cellStyle name="Normal 2 2 2 2 2 2 23 5 4" xfId="11265" xr:uid="{00000000-0005-0000-0000-0000012C0000}"/>
    <cellStyle name="Normal 2 2 2 2 2 2 23 5 5" xfId="11266" xr:uid="{00000000-0005-0000-0000-0000022C0000}"/>
    <cellStyle name="Normal 2 2 2 2 2 2 23 5 6" xfId="11267" xr:uid="{00000000-0005-0000-0000-0000032C0000}"/>
    <cellStyle name="Normal 2 2 2 2 2 2 23 5 7" xfId="11268" xr:uid="{00000000-0005-0000-0000-0000042C0000}"/>
    <cellStyle name="Normal 2 2 2 2 2 2 23 5 8" xfId="11269" xr:uid="{00000000-0005-0000-0000-0000052C0000}"/>
    <cellStyle name="Normal 2 2 2 2 2 2 23 5 9" xfId="11270" xr:uid="{00000000-0005-0000-0000-0000062C0000}"/>
    <cellStyle name="Normal 2 2 2 2 2 2 23 6" xfId="11271" xr:uid="{00000000-0005-0000-0000-0000072C0000}"/>
    <cellStyle name="Normal 2 2 2 2 2 2 23 7" xfId="11272" xr:uid="{00000000-0005-0000-0000-0000082C0000}"/>
    <cellStyle name="Normal 2 2 2 2 2 2 23 8" xfId="11273" xr:uid="{00000000-0005-0000-0000-0000092C0000}"/>
    <cellStyle name="Normal 2 2 2 2 2 2 23 9" xfId="11274" xr:uid="{00000000-0005-0000-0000-00000A2C0000}"/>
    <cellStyle name="Normal 2 2 2 2 2 2 24" xfId="11275" xr:uid="{00000000-0005-0000-0000-00000B2C0000}"/>
    <cellStyle name="Normal 2 2 2 2 2 2 24 10" xfId="11276" xr:uid="{00000000-0005-0000-0000-00000C2C0000}"/>
    <cellStyle name="Normal 2 2 2 2 2 2 24 11" xfId="11277" xr:uid="{00000000-0005-0000-0000-00000D2C0000}"/>
    <cellStyle name="Normal 2 2 2 2 2 2 24 12" xfId="11278" xr:uid="{00000000-0005-0000-0000-00000E2C0000}"/>
    <cellStyle name="Normal 2 2 2 2 2 2 24 13" xfId="11279" xr:uid="{00000000-0005-0000-0000-00000F2C0000}"/>
    <cellStyle name="Normal 2 2 2 2 2 2 24 14" xfId="11280" xr:uid="{00000000-0005-0000-0000-0000102C0000}"/>
    <cellStyle name="Normal 2 2 2 2 2 2 24 2" xfId="11281" xr:uid="{00000000-0005-0000-0000-0000112C0000}"/>
    <cellStyle name="Normal 2 2 2 2 2 2 24 2 10" xfId="11282" xr:uid="{00000000-0005-0000-0000-0000122C0000}"/>
    <cellStyle name="Normal 2 2 2 2 2 2 24 2 2" xfId="11283" xr:uid="{00000000-0005-0000-0000-0000132C0000}"/>
    <cellStyle name="Normal 2 2 2 2 2 2 24 2 3" xfId="11284" xr:uid="{00000000-0005-0000-0000-0000142C0000}"/>
    <cellStyle name="Normal 2 2 2 2 2 2 24 2 4" xfId="11285" xr:uid="{00000000-0005-0000-0000-0000152C0000}"/>
    <cellStyle name="Normal 2 2 2 2 2 2 24 2 5" xfId="11286" xr:uid="{00000000-0005-0000-0000-0000162C0000}"/>
    <cellStyle name="Normal 2 2 2 2 2 2 24 2 6" xfId="11287" xr:uid="{00000000-0005-0000-0000-0000172C0000}"/>
    <cellStyle name="Normal 2 2 2 2 2 2 24 2 7" xfId="11288" xr:uid="{00000000-0005-0000-0000-0000182C0000}"/>
    <cellStyle name="Normal 2 2 2 2 2 2 24 2 8" xfId="11289" xr:uid="{00000000-0005-0000-0000-0000192C0000}"/>
    <cellStyle name="Normal 2 2 2 2 2 2 24 2 9" xfId="11290" xr:uid="{00000000-0005-0000-0000-00001A2C0000}"/>
    <cellStyle name="Normal 2 2 2 2 2 2 24 3" xfId="11291" xr:uid="{00000000-0005-0000-0000-00001B2C0000}"/>
    <cellStyle name="Normal 2 2 2 2 2 2 24 3 10" xfId="11292" xr:uid="{00000000-0005-0000-0000-00001C2C0000}"/>
    <cellStyle name="Normal 2 2 2 2 2 2 24 3 2" xfId="11293" xr:uid="{00000000-0005-0000-0000-00001D2C0000}"/>
    <cellStyle name="Normal 2 2 2 2 2 2 24 3 3" xfId="11294" xr:uid="{00000000-0005-0000-0000-00001E2C0000}"/>
    <cellStyle name="Normal 2 2 2 2 2 2 24 3 4" xfId="11295" xr:uid="{00000000-0005-0000-0000-00001F2C0000}"/>
    <cellStyle name="Normal 2 2 2 2 2 2 24 3 5" xfId="11296" xr:uid="{00000000-0005-0000-0000-0000202C0000}"/>
    <cellStyle name="Normal 2 2 2 2 2 2 24 3 6" xfId="11297" xr:uid="{00000000-0005-0000-0000-0000212C0000}"/>
    <cellStyle name="Normal 2 2 2 2 2 2 24 3 7" xfId="11298" xr:uid="{00000000-0005-0000-0000-0000222C0000}"/>
    <cellStyle name="Normal 2 2 2 2 2 2 24 3 8" xfId="11299" xr:uid="{00000000-0005-0000-0000-0000232C0000}"/>
    <cellStyle name="Normal 2 2 2 2 2 2 24 3 9" xfId="11300" xr:uid="{00000000-0005-0000-0000-0000242C0000}"/>
    <cellStyle name="Normal 2 2 2 2 2 2 24 4" xfId="11301" xr:uid="{00000000-0005-0000-0000-0000252C0000}"/>
    <cellStyle name="Normal 2 2 2 2 2 2 24 4 10" xfId="11302" xr:uid="{00000000-0005-0000-0000-0000262C0000}"/>
    <cellStyle name="Normal 2 2 2 2 2 2 24 4 2" xfId="11303" xr:uid="{00000000-0005-0000-0000-0000272C0000}"/>
    <cellStyle name="Normal 2 2 2 2 2 2 24 4 3" xfId="11304" xr:uid="{00000000-0005-0000-0000-0000282C0000}"/>
    <cellStyle name="Normal 2 2 2 2 2 2 24 4 4" xfId="11305" xr:uid="{00000000-0005-0000-0000-0000292C0000}"/>
    <cellStyle name="Normal 2 2 2 2 2 2 24 4 5" xfId="11306" xr:uid="{00000000-0005-0000-0000-00002A2C0000}"/>
    <cellStyle name="Normal 2 2 2 2 2 2 24 4 6" xfId="11307" xr:uid="{00000000-0005-0000-0000-00002B2C0000}"/>
    <cellStyle name="Normal 2 2 2 2 2 2 24 4 7" xfId="11308" xr:uid="{00000000-0005-0000-0000-00002C2C0000}"/>
    <cellStyle name="Normal 2 2 2 2 2 2 24 4 8" xfId="11309" xr:uid="{00000000-0005-0000-0000-00002D2C0000}"/>
    <cellStyle name="Normal 2 2 2 2 2 2 24 4 9" xfId="11310" xr:uid="{00000000-0005-0000-0000-00002E2C0000}"/>
    <cellStyle name="Normal 2 2 2 2 2 2 24 5" xfId="11311" xr:uid="{00000000-0005-0000-0000-00002F2C0000}"/>
    <cellStyle name="Normal 2 2 2 2 2 2 24 5 10" xfId="11312" xr:uid="{00000000-0005-0000-0000-0000302C0000}"/>
    <cellStyle name="Normal 2 2 2 2 2 2 24 5 2" xfId="11313" xr:uid="{00000000-0005-0000-0000-0000312C0000}"/>
    <cellStyle name="Normal 2 2 2 2 2 2 24 5 3" xfId="11314" xr:uid="{00000000-0005-0000-0000-0000322C0000}"/>
    <cellStyle name="Normal 2 2 2 2 2 2 24 5 4" xfId="11315" xr:uid="{00000000-0005-0000-0000-0000332C0000}"/>
    <cellStyle name="Normal 2 2 2 2 2 2 24 5 5" xfId="11316" xr:uid="{00000000-0005-0000-0000-0000342C0000}"/>
    <cellStyle name="Normal 2 2 2 2 2 2 24 5 6" xfId="11317" xr:uid="{00000000-0005-0000-0000-0000352C0000}"/>
    <cellStyle name="Normal 2 2 2 2 2 2 24 5 7" xfId="11318" xr:uid="{00000000-0005-0000-0000-0000362C0000}"/>
    <cellStyle name="Normal 2 2 2 2 2 2 24 5 8" xfId="11319" xr:uid="{00000000-0005-0000-0000-0000372C0000}"/>
    <cellStyle name="Normal 2 2 2 2 2 2 24 5 9" xfId="11320" xr:uid="{00000000-0005-0000-0000-0000382C0000}"/>
    <cellStyle name="Normal 2 2 2 2 2 2 24 6" xfId="11321" xr:uid="{00000000-0005-0000-0000-0000392C0000}"/>
    <cellStyle name="Normal 2 2 2 2 2 2 24 7" xfId="11322" xr:uid="{00000000-0005-0000-0000-00003A2C0000}"/>
    <cellStyle name="Normal 2 2 2 2 2 2 24 8" xfId="11323" xr:uid="{00000000-0005-0000-0000-00003B2C0000}"/>
    <cellStyle name="Normal 2 2 2 2 2 2 24 9" xfId="11324" xr:uid="{00000000-0005-0000-0000-00003C2C0000}"/>
    <cellStyle name="Normal 2 2 2 2 2 2 25" xfId="11325" xr:uid="{00000000-0005-0000-0000-00003D2C0000}"/>
    <cellStyle name="Normal 2 2 2 2 2 2 25 10" xfId="11326" xr:uid="{00000000-0005-0000-0000-00003E2C0000}"/>
    <cellStyle name="Normal 2 2 2 2 2 2 25 11" xfId="11327" xr:uid="{00000000-0005-0000-0000-00003F2C0000}"/>
    <cellStyle name="Normal 2 2 2 2 2 2 25 12" xfId="11328" xr:uid="{00000000-0005-0000-0000-0000402C0000}"/>
    <cellStyle name="Normal 2 2 2 2 2 2 25 13" xfId="11329" xr:uid="{00000000-0005-0000-0000-0000412C0000}"/>
    <cellStyle name="Normal 2 2 2 2 2 2 25 14" xfId="11330" xr:uid="{00000000-0005-0000-0000-0000422C0000}"/>
    <cellStyle name="Normal 2 2 2 2 2 2 25 2" xfId="11331" xr:uid="{00000000-0005-0000-0000-0000432C0000}"/>
    <cellStyle name="Normal 2 2 2 2 2 2 25 2 10" xfId="11332" xr:uid="{00000000-0005-0000-0000-0000442C0000}"/>
    <cellStyle name="Normal 2 2 2 2 2 2 25 2 2" xfId="11333" xr:uid="{00000000-0005-0000-0000-0000452C0000}"/>
    <cellStyle name="Normal 2 2 2 2 2 2 25 2 3" xfId="11334" xr:uid="{00000000-0005-0000-0000-0000462C0000}"/>
    <cellStyle name="Normal 2 2 2 2 2 2 25 2 4" xfId="11335" xr:uid="{00000000-0005-0000-0000-0000472C0000}"/>
    <cellStyle name="Normal 2 2 2 2 2 2 25 2 5" xfId="11336" xr:uid="{00000000-0005-0000-0000-0000482C0000}"/>
    <cellStyle name="Normal 2 2 2 2 2 2 25 2 6" xfId="11337" xr:uid="{00000000-0005-0000-0000-0000492C0000}"/>
    <cellStyle name="Normal 2 2 2 2 2 2 25 2 7" xfId="11338" xr:uid="{00000000-0005-0000-0000-00004A2C0000}"/>
    <cellStyle name="Normal 2 2 2 2 2 2 25 2 8" xfId="11339" xr:uid="{00000000-0005-0000-0000-00004B2C0000}"/>
    <cellStyle name="Normal 2 2 2 2 2 2 25 2 9" xfId="11340" xr:uid="{00000000-0005-0000-0000-00004C2C0000}"/>
    <cellStyle name="Normal 2 2 2 2 2 2 25 3" xfId="11341" xr:uid="{00000000-0005-0000-0000-00004D2C0000}"/>
    <cellStyle name="Normal 2 2 2 2 2 2 25 3 10" xfId="11342" xr:uid="{00000000-0005-0000-0000-00004E2C0000}"/>
    <cellStyle name="Normal 2 2 2 2 2 2 25 3 2" xfId="11343" xr:uid="{00000000-0005-0000-0000-00004F2C0000}"/>
    <cellStyle name="Normal 2 2 2 2 2 2 25 3 3" xfId="11344" xr:uid="{00000000-0005-0000-0000-0000502C0000}"/>
    <cellStyle name="Normal 2 2 2 2 2 2 25 3 4" xfId="11345" xr:uid="{00000000-0005-0000-0000-0000512C0000}"/>
    <cellStyle name="Normal 2 2 2 2 2 2 25 3 5" xfId="11346" xr:uid="{00000000-0005-0000-0000-0000522C0000}"/>
    <cellStyle name="Normal 2 2 2 2 2 2 25 3 6" xfId="11347" xr:uid="{00000000-0005-0000-0000-0000532C0000}"/>
    <cellStyle name="Normal 2 2 2 2 2 2 25 3 7" xfId="11348" xr:uid="{00000000-0005-0000-0000-0000542C0000}"/>
    <cellStyle name="Normal 2 2 2 2 2 2 25 3 8" xfId="11349" xr:uid="{00000000-0005-0000-0000-0000552C0000}"/>
    <cellStyle name="Normal 2 2 2 2 2 2 25 3 9" xfId="11350" xr:uid="{00000000-0005-0000-0000-0000562C0000}"/>
    <cellStyle name="Normal 2 2 2 2 2 2 25 4" xfId="11351" xr:uid="{00000000-0005-0000-0000-0000572C0000}"/>
    <cellStyle name="Normal 2 2 2 2 2 2 25 4 10" xfId="11352" xr:uid="{00000000-0005-0000-0000-0000582C0000}"/>
    <cellStyle name="Normal 2 2 2 2 2 2 25 4 2" xfId="11353" xr:uid="{00000000-0005-0000-0000-0000592C0000}"/>
    <cellStyle name="Normal 2 2 2 2 2 2 25 4 3" xfId="11354" xr:uid="{00000000-0005-0000-0000-00005A2C0000}"/>
    <cellStyle name="Normal 2 2 2 2 2 2 25 4 4" xfId="11355" xr:uid="{00000000-0005-0000-0000-00005B2C0000}"/>
    <cellStyle name="Normal 2 2 2 2 2 2 25 4 5" xfId="11356" xr:uid="{00000000-0005-0000-0000-00005C2C0000}"/>
    <cellStyle name="Normal 2 2 2 2 2 2 25 4 6" xfId="11357" xr:uid="{00000000-0005-0000-0000-00005D2C0000}"/>
    <cellStyle name="Normal 2 2 2 2 2 2 25 4 7" xfId="11358" xr:uid="{00000000-0005-0000-0000-00005E2C0000}"/>
    <cellStyle name="Normal 2 2 2 2 2 2 25 4 8" xfId="11359" xr:uid="{00000000-0005-0000-0000-00005F2C0000}"/>
    <cellStyle name="Normal 2 2 2 2 2 2 25 4 9" xfId="11360" xr:uid="{00000000-0005-0000-0000-0000602C0000}"/>
    <cellStyle name="Normal 2 2 2 2 2 2 25 5" xfId="11361" xr:uid="{00000000-0005-0000-0000-0000612C0000}"/>
    <cellStyle name="Normal 2 2 2 2 2 2 25 5 10" xfId="11362" xr:uid="{00000000-0005-0000-0000-0000622C0000}"/>
    <cellStyle name="Normal 2 2 2 2 2 2 25 5 2" xfId="11363" xr:uid="{00000000-0005-0000-0000-0000632C0000}"/>
    <cellStyle name="Normal 2 2 2 2 2 2 25 5 3" xfId="11364" xr:uid="{00000000-0005-0000-0000-0000642C0000}"/>
    <cellStyle name="Normal 2 2 2 2 2 2 25 5 4" xfId="11365" xr:uid="{00000000-0005-0000-0000-0000652C0000}"/>
    <cellStyle name="Normal 2 2 2 2 2 2 25 5 5" xfId="11366" xr:uid="{00000000-0005-0000-0000-0000662C0000}"/>
    <cellStyle name="Normal 2 2 2 2 2 2 25 5 6" xfId="11367" xr:uid="{00000000-0005-0000-0000-0000672C0000}"/>
    <cellStyle name="Normal 2 2 2 2 2 2 25 5 7" xfId="11368" xr:uid="{00000000-0005-0000-0000-0000682C0000}"/>
    <cellStyle name="Normal 2 2 2 2 2 2 25 5 8" xfId="11369" xr:uid="{00000000-0005-0000-0000-0000692C0000}"/>
    <cellStyle name="Normal 2 2 2 2 2 2 25 5 9" xfId="11370" xr:uid="{00000000-0005-0000-0000-00006A2C0000}"/>
    <cellStyle name="Normal 2 2 2 2 2 2 25 6" xfId="11371" xr:uid="{00000000-0005-0000-0000-00006B2C0000}"/>
    <cellStyle name="Normal 2 2 2 2 2 2 25 7" xfId="11372" xr:uid="{00000000-0005-0000-0000-00006C2C0000}"/>
    <cellStyle name="Normal 2 2 2 2 2 2 25 8" xfId="11373" xr:uid="{00000000-0005-0000-0000-00006D2C0000}"/>
    <cellStyle name="Normal 2 2 2 2 2 2 25 9" xfId="11374" xr:uid="{00000000-0005-0000-0000-00006E2C0000}"/>
    <cellStyle name="Normal 2 2 2 2 2 2 26" xfId="11375" xr:uid="{00000000-0005-0000-0000-00006F2C0000}"/>
    <cellStyle name="Normal 2 2 2 2 2 2 26 10" xfId="11376" xr:uid="{00000000-0005-0000-0000-0000702C0000}"/>
    <cellStyle name="Normal 2 2 2 2 2 2 26 11" xfId="11377" xr:uid="{00000000-0005-0000-0000-0000712C0000}"/>
    <cellStyle name="Normal 2 2 2 2 2 2 26 12" xfId="11378" xr:uid="{00000000-0005-0000-0000-0000722C0000}"/>
    <cellStyle name="Normal 2 2 2 2 2 2 26 13" xfId="11379" xr:uid="{00000000-0005-0000-0000-0000732C0000}"/>
    <cellStyle name="Normal 2 2 2 2 2 2 26 14" xfId="11380" xr:uid="{00000000-0005-0000-0000-0000742C0000}"/>
    <cellStyle name="Normal 2 2 2 2 2 2 26 2" xfId="11381" xr:uid="{00000000-0005-0000-0000-0000752C0000}"/>
    <cellStyle name="Normal 2 2 2 2 2 2 26 2 10" xfId="11382" xr:uid="{00000000-0005-0000-0000-0000762C0000}"/>
    <cellStyle name="Normal 2 2 2 2 2 2 26 2 2" xfId="11383" xr:uid="{00000000-0005-0000-0000-0000772C0000}"/>
    <cellStyle name="Normal 2 2 2 2 2 2 26 2 3" xfId="11384" xr:uid="{00000000-0005-0000-0000-0000782C0000}"/>
    <cellStyle name="Normal 2 2 2 2 2 2 26 2 4" xfId="11385" xr:uid="{00000000-0005-0000-0000-0000792C0000}"/>
    <cellStyle name="Normal 2 2 2 2 2 2 26 2 5" xfId="11386" xr:uid="{00000000-0005-0000-0000-00007A2C0000}"/>
    <cellStyle name="Normal 2 2 2 2 2 2 26 2 6" xfId="11387" xr:uid="{00000000-0005-0000-0000-00007B2C0000}"/>
    <cellStyle name="Normal 2 2 2 2 2 2 26 2 7" xfId="11388" xr:uid="{00000000-0005-0000-0000-00007C2C0000}"/>
    <cellStyle name="Normal 2 2 2 2 2 2 26 2 8" xfId="11389" xr:uid="{00000000-0005-0000-0000-00007D2C0000}"/>
    <cellStyle name="Normal 2 2 2 2 2 2 26 2 9" xfId="11390" xr:uid="{00000000-0005-0000-0000-00007E2C0000}"/>
    <cellStyle name="Normal 2 2 2 2 2 2 26 3" xfId="11391" xr:uid="{00000000-0005-0000-0000-00007F2C0000}"/>
    <cellStyle name="Normal 2 2 2 2 2 2 26 3 10" xfId="11392" xr:uid="{00000000-0005-0000-0000-0000802C0000}"/>
    <cellStyle name="Normal 2 2 2 2 2 2 26 3 2" xfId="11393" xr:uid="{00000000-0005-0000-0000-0000812C0000}"/>
    <cellStyle name="Normal 2 2 2 2 2 2 26 3 3" xfId="11394" xr:uid="{00000000-0005-0000-0000-0000822C0000}"/>
    <cellStyle name="Normal 2 2 2 2 2 2 26 3 4" xfId="11395" xr:uid="{00000000-0005-0000-0000-0000832C0000}"/>
    <cellStyle name="Normal 2 2 2 2 2 2 26 3 5" xfId="11396" xr:uid="{00000000-0005-0000-0000-0000842C0000}"/>
    <cellStyle name="Normal 2 2 2 2 2 2 26 3 6" xfId="11397" xr:uid="{00000000-0005-0000-0000-0000852C0000}"/>
    <cellStyle name="Normal 2 2 2 2 2 2 26 3 7" xfId="11398" xr:uid="{00000000-0005-0000-0000-0000862C0000}"/>
    <cellStyle name="Normal 2 2 2 2 2 2 26 3 8" xfId="11399" xr:uid="{00000000-0005-0000-0000-0000872C0000}"/>
    <cellStyle name="Normal 2 2 2 2 2 2 26 3 9" xfId="11400" xr:uid="{00000000-0005-0000-0000-0000882C0000}"/>
    <cellStyle name="Normal 2 2 2 2 2 2 26 4" xfId="11401" xr:uid="{00000000-0005-0000-0000-0000892C0000}"/>
    <cellStyle name="Normal 2 2 2 2 2 2 26 4 10" xfId="11402" xr:uid="{00000000-0005-0000-0000-00008A2C0000}"/>
    <cellStyle name="Normal 2 2 2 2 2 2 26 4 2" xfId="11403" xr:uid="{00000000-0005-0000-0000-00008B2C0000}"/>
    <cellStyle name="Normal 2 2 2 2 2 2 26 4 3" xfId="11404" xr:uid="{00000000-0005-0000-0000-00008C2C0000}"/>
    <cellStyle name="Normal 2 2 2 2 2 2 26 4 4" xfId="11405" xr:uid="{00000000-0005-0000-0000-00008D2C0000}"/>
    <cellStyle name="Normal 2 2 2 2 2 2 26 4 5" xfId="11406" xr:uid="{00000000-0005-0000-0000-00008E2C0000}"/>
    <cellStyle name="Normal 2 2 2 2 2 2 26 4 6" xfId="11407" xr:uid="{00000000-0005-0000-0000-00008F2C0000}"/>
    <cellStyle name="Normal 2 2 2 2 2 2 26 4 7" xfId="11408" xr:uid="{00000000-0005-0000-0000-0000902C0000}"/>
    <cellStyle name="Normal 2 2 2 2 2 2 26 4 8" xfId="11409" xr:uid="{00000000-0005-0000-0000-0000912C0000}"/>
    <cellStyle name="Normal 2 2 2 2 2 2 26 4 9" xfId="11410" xr:uid="{00000000-0005-0000-0000-0000922C0000}"/>
    <cellStyle name="Normal 2 2 2 2 2 2 26 5" xfId="11411" xr:uid="{00000000-0005-0000-0000-0000932C0000}"/>
    <cellStyle name="Normal 2 2 2 2 2 2 26 5 10" xfId="11412" xr:uid="{00000000-0005-0000-0000-0000942C0000}"/>
    <cellStyle name="Normal 2 2 2 2 2 2 26 5 2" xfId="11413" xr:uid="{00000000-0005-0000-0000-0000952C0000}"/>
    <cellStyle name="Normal 2 2 2 2 2 2 26 5 3" xfId="11414" xr:uid="{00000000-0005-0000-0000-0000962C0000}"/>
    <cellStyle name="Normal 2 2 2 2 2 2 26 5 4" xfId="11415" xr:uid="{00000000-0005-0000-0000-0000972C0000}"/>
    <cellStyle name="Normal 2 2 2 2 2 2 26 5 5" xfId="11416" xr:uid="{00000000-0005-0000-0000-0000982C0000}"/>
    <cellStyle name="Normal 2 2 2 2 2 2 26 5 6" xfId="11417" xr:uid="{00000000-0005-0000-0000-0000992C0000}"/>
    <cellStyle name="Normal 2 2 2 2 2 2 26 5 7" xfId="11418" xr:uid="{00000000-0005-0000-0000-00009A2C0000}"/>
    <cellStyle name="Normal 2 2 2 2 2 2 26 5 8" xfId="11419" xr:uid="{00000000-0005-0000-0000-00009B2C0000}"/>
    <cellStyle name="Normal 2 2 2 2 2 2 26 5 9" xfId="11420" xr:uid="{00000000-0005-0000-0000-00009C2C0000}"/>
    <cellStyle name="Normal 2 2 2 2 2 2 26 6" xfId="11421" xr:uid="{00000000-0005-0000-0000-00009D2C0000}"/>
    <cellStyle name="Normal 2 2 2 2 2 2 26 7" xfId="11422" xr:uid="{00000000-0005-0000-0000-00009E2C0000}"/>
    <cellStyle name="Normal 2 2 2 2 2 2 26 8" xfId="11423" xr:uid="{00000000-0005-0000-0000-00009F2C0000}"/>
    <cellStyle name="Normal 2 2 2 2 2 2 26 9" xfId="11424" xr:uid="{00000000-0005-0000-0000-0000A02C0000}"/>
    <cellStyle name="Normal 2 2 2 2 2 2 27" xfId="11425" xr:uid="{00000000-0005-0000-0000-0000A12C0000}"/>
    <cellStyle name="Normal 2 2 2 2 2 2 27 10" xfId="11426" xr:uid="{00000000-0005-0000-0000-0000A22C0000}"/>
    <cellStyle name="Normal 2 2 2 2 2 2 27 11" xfId="11427" xr:uid="{00000000-0005-0000-0000-0000A32C0000}"/>
    <cellStyle name="Normal 2 2 2 2 2 2 27 12" xfId="11428" xr:uid="{00000000-0005-0000-0000-0000A42C0000}"/>
    <cellStyle name="Normal 2 2 2 2 2 2 27 13" xfId="11429" xr:uid="{00000000-0005-0000-0000-0000A52C0000}"/>
    <cellStyle name="Normal 2 2 2 2 2 2 27 14" xfId="11430" xr:uid="{00000000-0005-0000-0000-0000A62C0000}"/>
    <cellStyle name="Normal 2 2 2 2 2 2 27 2" xfId="11431" xr:uid="{00000000-0005-0000-0000-0000A72C0000}"/>
    <cellStyle name="Normal 2 2 2 2 2 2 27 2 10" xfId="11432" xr:uid="{00000000-0005-0000-0000-0000A82C0000}"/>
    <cellStyle name="Normal 2 2 2 2 2 2 27 2 2" xfId="11433" xr:uid="{00000000-0005-0000-0000-0000A92C0000}"/>
    <cellStyle name="Normal 2 2 2 2 2 2 27 2 3" xfId="11434" xr:uid="{00000000-0005-0000-0000-0000AA2C0000}"/>
    <cellStyle name="Normal 2 2 2 2 2 2 27 2 4" xfId="11435" xr:uid="{00000000-0005-0000-0000-0000AB2C0000}"/>
    <cellStyle name="Normal 2 2 2 2 2 2 27 2 5" xfId="11436" xr:uid="{00000000-0005-0000-0000-0000AC2C0000}"/>
    <cellStyle name="Normal 2 2 2 2 2 2 27 2 6" xfId="11437" xr:uid="{00000000-0005-0000-0000-0000AD2C0000}"/>
    <cellStyle name="Normal 2 2 2 2 2 2 27 2 7" xfId="11438" xr:uid="{00000000-0005-0000-0000-0000AE2C0000}"/>
    <cellStyle name="Normal 2 2 2 2 2 2 27 2 8" xfId="11439" xr:uid="{00000000-0005-0000-0000-0000AF2C0000}"/>
    <cellStyle name="Normal 2 2 2 2 2 2 27 2 9" xfId="11440" xr:uid="{00000000-0005-0000-0000-0000B02C0000}"/>
    <cellStyle name="Normal 2 2 2 2 2 2 27 3" xfId="11441" xr:uid="{00000000-0005-0000-0000-0000B12C0000}"/>
    <cellStyle name="Normal 2 2 2 2 2 2 27 3 10" xfId="11442" xr:uid="{00000000-0005-0000-0000-0000B22C0000}"/>
    <cellStyle name="Normal 2 2 2 2 2 2 27 3 2" xfId="11443" xr:uid="{00000000-0005-0000-0000-0000B32C0000}"/>
    <cellStyle name="Normal 2 2 2 2 2 2 27 3 3" xfId="11444" xr:uid="{00000000-0005-0000-0000-0000B42C0000}"/>
    <cellStyle name="Normal 2 2 2 2 2 2 27 3 4" xfId="11445" xr:uid="{00000000-0005-0000-0000-0000B52C0000}"/>
    <cellStyle name="Normal 2 2 2 2 2 2 27 3 5" xfId="11446" xr:uid="{00000000-0005-0000-0000-0000B62C0000}"/>
    <cellStyle name="Normal 2 2 2 2 2 2 27 3 6" xfId="11447" xr:uid="{00000000-0005-0000-0000-0000B72C0000}"/>
    <cellStyle name="Normal 2 2 2 2 2 2 27 3 7" xfId="11448" xr:uid="{00000000-0005-0000-0000-0000B82C0000}"/>
    <cellStyle name="Normal 2 2 2 2 2 2 27 3 8" xfId="11449" xr:uid="{00000000-0005-0000-0000-0000B92C0000}"/>
    <cellStyle name="Normal 2 2 2 2 2 2 27 3 9" xfId="11450" xr:uid="{00000000-0005-0000-0000-0000BA2C0000}"/>
    <cellStyle name="Normal 2 2 2 2 2 2 27 4" xfId="11451" xr:uid="{00000000-0005-0000-0000-0000BB2C0000}"/>
    <cellStyle name="Normal 2 2 2 2 2 2 27 4 10" xfId="11452" xr:uid="{00000000-0005-0000-0000-0000BC2C0000}"/>
    <cellStyle name="Normal 2 2 2 2 2 2 27 4 2" xfId="11453" xr:uid="{00000000-0005-0000-0000-0000BD2C0000}"/>
    <cellStyle name="Normal 2 2 2 2 2 2 27 4 3" xfId="11454" xr:uid="{00000000-0005-0000-0000-0000BE2C0000}"/>
    <cellStyle name="Normal 2 2 2 2 2 2 27 4 4" xfId="11455" xr:uid="{00000000-0005-0000-0000-0000BF2C0000}"/>
    <cellStyle name="Normal 2 2 2 2 2 2 27 4 5" xfId="11456" xr:uid="{00000000-0005-0000-0000-0000C02C0000}"/>
    <cellStyle name="Normal 2 2 2 2 2 2 27 4 6" xfId="11457" xr:uid="{00000000-0005-0000-0000-0000C12C0000}"/>
    <cellStyle name="Normal 2 2 2 2 2 2 27 4 7" xfId="11458" xr:uid="{00000000-0005-0000-0000-0000C22C0000}"/>
    <cellStyle name="Normal 2 2 2 2 2 2 27 4 8" xfId="11459" xr:uid="{00000000-0005-0000-0000-0000C32C0000}"/>
    <cellStyle name="Normal 2 2 2 2 2 2 27 4 9" xfId="11460" xr:uid="{00000000-0005-0000-0000-0000C42C0000}"/>
    <cellStyle name="Normal 2 2 2 2 2 2 27 5" xfId="11461" xr:uid="{00000000-0005-0000-0000-0000C52C0000}"/>
    <cellStyle name="Normal 2 2 2 2 2 2 27 5 10" xfId="11462" xr:uid="{00000000-0005-0000-0000-0000C62C0000}"/>
    <cellStyle name="Normal 2 2 2 2 2 2 27 5 2" xfId="11463" xr:uid="{00000000-0005-0000-0000-0000C72C0000}"/>
    <cellStyle name="Normal 2 2 2 2 2 2 27 5 3" xfId="11464" xr:uid="{00000000-0005-0000-0000-0000C82C0000}"/>
    <cellStyle name="Normal 2 2 2 2 2 2 27 5 4" xfId="11465" xr:uid="{00000000-0005-0000-0000-0000C92C0000}"/>
    <cellStyle name="Normal 2 2 2 2 2 2 27 5 5" xfId="11466" xr:uid="{00000000-0005-0000-0000-0000CA2C0000}"/>
    <cellStyle name="Normal 2 2 2 2 2 2 27 5 6" xfId="11467" xr:uid="{00000000-0005-0000-0000-0000CB2C0000}"/>
    <cellStyle name="Normal 2 2 2 2 2 2 27 5 7" xfId="11468" xr:uid="{00000000-0005-0000-0000-0000CC2C0000}"/>
    <cellStyle name="Normal 2 2 2 2 2 2 27 5 8" xfId="11469" xr:uid="{00000000-0005-0000-0000-0000CD2C0000}"/>
    <cellStyle name="Normal 2 2 2 2 2 2 27 5 9" xfId="11470" xr:uid="{00000000-0005-0000-0000-0000CE2C0000}"/>
    <cellStyle name="Normal 2 2 2 2 2 2 27 6" xfId="11471" xr:uid="{00000000-0005-0000-0000-0000CF2C0000}"/>
    <cellStyle name="Normal 2 2 2 2 2 2 27 7" xfId="11472" xr:uid="{00000000-0005-0000-0000-0000D02C0000}"/>
    <cellStyle name="Normal 2 2 2 2 2 2 27 8" xfId="11473" xr:uid="{00000000-0005-0000-0000-0000D12C0000}"/>
    <cellStyle name="Normal 2 2 2 2 2 2 27 9" xfId="11474" xr:uid="{00000000-0005-0000-0000-0000D22C0000}"/>
    <cellStyle name="Normal 2 2 2 2 2 2 28" xfId="11475" xr:uid="{00000000-0005-0000-0000-0000D32C0000}"/>
    <cellStyle name="Normal 2 2 2 2 2 2 28 10" xfId="11476" xr:uid="{00000000-0005-0000-0000-0000D42C0000}"/>
    <cellStyle name="Normal 2 2 2 2 2 2 28 11" xfId="11477" xr:uid="{00000000-0005-0000-0000-0000D52C0000}"/>
    <cellStyle name="Normal 2 2 2 2 2 2 28 12" xfId="11478" xr:uid="{00000000-0005-0000-0000-0000D62C0000}"/>
    <cellStyle name="Normal 2 2 2 2 2 2 28 13" xfId="11479" xr:uid="{00000000-0005-0000-0000-0000D72C0000}"/>
    <cellStyle name="Normal 2 2 2 2 2 2 28 14" xfId="11480" xr:uid="{00000000-0005-0000-0000-0000D82C0000}"/>
    <cellStyle name="Normal 2 2 2 2 2 2 28 2" xfId="11481" xr:uid="{00000000-0005-0000-0000-0000D92C0000}"/>
    <cellStyle name="Normal 2 2 2 2 2 2 28 2 10" xfId="11482" xr:uid="{00000000-0005-0000-0000-0000DA2C0000}"/>
    <cellStyle name="Normal 2 2 2 2 2 2 28 2 2" xfId="11483" xr:uid="{00000000-0005-0000-0000-0000DB2C0000}"/>
    <cellStyle name="Normal 2 2 2 2 2 2 28 2 3" xfId="11484" xr:uid="{00000000-0005-0000-0000-0000DC2C0000}"/>
    <cellStyle name="Normal 2 2 2 2 2 2 28 2 4" xfId="11485" xr:uid="{00000000-0005-0000-0000-0000DD2C0000}"/>
    <cellStyle name="Normal 2 2 2 2 2 2 28 2 5" xfId="11486" xr:uid="{00000000-0005-0000-0000-0000DE2C0000}"/>
    <cellStyle name="Normal 2 2 2 2 2 2 28 2 6" xfId="11487" xr:uid="{00000000-0005-0000-0000-0000DF2C0000}"/>
    <cellStyle name="Normal 2 2 2 2 2 2 28 2 7" xfId="11488" xr:uid="{00000000-0005-0000-0000-0000E02C0000}"/>
    <cellStyle name="Normal 2 2 2 2 2 2 28 2 8" xfId="11489" xr:uid="{00000000-0005-0000-0000-0000E12C0000}"/>
    <cellStyle name="Normal 2 2 2 2 2 2 28 2 9" xfId="11490" xr:uid="{00000000-0005-0000-0000-0000E22C0000}"/>
    <cellStyle name="Normal 2 2 2 2 2 2 28 3" xfId="11491" xr:uid="{00000000-0005-0000-0000-0000E32C0000}"/>
    <cellStyle name="Normal 2 2 2 2 2 2 28 3 10" xfId="11492" xr:uid="{00000000-0005-0000-0000-0000E42C0000}"/>
    <cellStyle name="Normal 2 2 2 2 2 2 28 3 2" xfId="11493" xr:uid="{00000000-0005-0000-0000-0000E52C0000}"/>
    <cellStyle name="Normal 2 2 2 2 2 2 28 3 3" xfId="11494" xr:uid="{00000000-0005-0000-0000-0000E62C0000}"/>
    <cellStyle name="Normal 2 2 2 2 2 2 28 3 4" xfId="11495" xr:uid="{00000000-0005-0000-0000-0000E72C0000}"/>
    <cellStyle name="Normal 2 2 2 2 2 2 28 3 5" xfId="11496" xr:uid="{00000000-0005-0000-0000-0000E82C0000}"/>
    <cellStyle name="Normal 2 2 2 2 2 2 28 3 6" xfId="11497" xr:uid="{00000000-0005-0000-0000-0000E92C0000}"/>
    <cellStyle name="Normal 2 2 2 2 2 2 28 3 7" xfId="11498" xr:uid="{00000000-0005-0000-0000-0000EA2C0000}"/>
    <cellStyle name="Normal 2 2 2 2 2 2 28 3 8" xfId="11499" xr:uid="{00000000-0005-0000-0000-0000EB2C0000}"/>
    <cellStyle name="Normal 2 2 2 2 2 2 28 3 9" xfId="11500" xr:uid="{00000000-0005-0000-0000-0000EC2C0000}"/>
    <cellStyle name="Normal 2 2 2 2 2 2 28 4" xfId="11501" xr:uid="{00000000-0005-0000-0000-0000ED2C0000}"/>
    <cellStyle name="Normal 2 2 2 2 2 2 28 4 10" xfId="11502" xr:uid="{00000000-0005-0000-0000-0000EE2C0000}"/>
    <cellStyle name="Normal 2 2 2 2 2 2 28 4 2" xfId="11503" xr:uid="{00000000-0005-0000-0000-0000EF2C0000}"/>
    <cellStyle name="Normal 2 2 2 2 2 2 28 4 3" xfId="11504" xr:uid="{00000000-0005-0000-0000-0000F02C0000}"/>
    <cellStyle name="Normal 2 2 2 2 2 2 28 4 4" xfId="11505" xr:uid="{00000000-0005-0000-0000-0000F12C0000}"/>
    <cellStyle name="Normal 2 2 2 2 2 2 28 4 5" xfId="11506" xr:uid="{00000000-0005-0000-0000-0000F22C0000}"/>
    <cellStyle name="Normal 2 2 2 2 2 2 28 4 6" xfId="11507" xr:uid="{00000000-0005-0000-0000-0000F32C0000}"/>
    <cellStyle name="Normal 2 2 2 2 2 2 28 4 7" xfId="11508" xr:uid="{00000000-0005-0000-0000-0000F42C0000}"/>
    <cellStyle name="Normal 2 2 2 2 2 2 28 4 8" xfId="11509" xr:uid="{00000000-0005-0000-0000-0000F52C0000}"/>
    <cellStyle name="Normal 2 2 2 2 2 2 28 4 9" xfId="11510" xr:uid="{00000000-0005-0000-0000-0000F62C0000}"/>
    <cellStyle name="Normal 2 2 2 2 2 2 28 5" xfId="11511" xr:uid="{00000000-0005-0000-0000-0000F72C0000}"/>
    <cellStyle name="Normal 2 2 2 2 2 2 28 5 10" xfId="11512" xr:uid="{00000000-0005-0000-0000-0000F82C0000}"/>
    <cellStyle name="Normal 2 2 2 2 2 2 28 5 2" xfId="11513" xr:uid="{00000000-0005-0000-0000-0000F92C0000}"/>
    <cellStyle name="Normal 2 2 2 2 2 2 28 5 3" xfId="11514" xr:uid="{00000000-0005-0000-0000-0000FA2C0000}"/>
    <cellStyle name="Normal 2 2 2 2 2 2 28 5 4" xfId="11515" xr:uid="{00000000-0005-0000-0000-0000FB2C0000}"/>
    <cellStyle name="Normal 2 2 2 2 2 2 28 5 5" xfId="11516" xr:uid="{00000000-0005-0000-0000-0000FC2C0000}"/>
    <cellStyle name="Normal 2 2 2 2 2 2 28 5 6" xfId="11517" xr:uid="{00000000-0005-0000-0000-0000FD2C0000}"/>
    <cellStyle name="Normal 2 2 2 2 2 2 28 5 7" xfId="11518" xr:uid="{00000000-0005-0000-0000-0000FE2C0000}"/>
    <cellStyle name="Normal 2 2 2 2 2 2 28 5 8" xfId="11519" xr:uid="{00000000-0005-0000-0000-0000FF2C0000}"/>
    <cellStyle name="Normal 2 2 2 2 2 2 28 5 9" xfId="11520" xr:uid="{00000000-0005-0000-0000-0000002D0000}"/>
    <cellStyle name="Normal 2 2 2 2 2 2 28 6" xfId="11521" xr:uid="{00000000-0005-0000-0000-0000012D0000}"/>
    <cellStyle name="Normal 2 2 2 2 2 2 28 7" xfId="11522" xr:uid="{00000000-0005-0000-0000-0000022D0000}"/>
    <cellStyle name="Normal 2 2 2 2 2 2 28 8" xfId="11523" xr:uid="{00000000-0005-0000-0000-0000032D0000}"/>
    <cellStyle name="Normal 2 2 2 2 2 2 28 9" xfId="11524" xr:uid="{00000000-0005-0000-0000-0000042D0000}"/>
    <cellStyle name="Normal 2 2 2 2 2 2 29" xfId="11525" xr:uid="{00000000-0005-0000-0000-0000052D0000}"/>
    <cellStyle name="Normal 2 2 2 2 2 2 29 10" xfId="11526" xr:uid="{00000000-0005-0000-0000-0000062D0000}"/>
    <cellStyle name="Normal 2 2 2 2 2 2 29 11" xfId="11527" xr:uid="{00000000-0005-0000-0000-0000072D0000}"/>
    <cellStyle name="Normal 2 2 2 2 2 2 29 12" xfId="11528" xr:uid="{00000000-0005-0000-0000-0000082D0000}"/>
    <cellStyle name="Normal 2 2 2 2 2 2 29 13" xfId="11529" xr:uid="{00000000-0005-0000-0000-0000092D0000}"/>
    <cellStyle name="Normal 2 2 2 2 2 2 29 14" xfId="11530" xr:uid="{00000000-0005-0000-0000-00000A2D0000}"/>
    <cellStyle name="Normal 2 2 2 2 2 2 29 2" xfId="11531" xr:uid="{00000000-0005-0000-0000-00000B2D0000}"/>
    <cellStyle name="Normal 2 2 2 2 2 2 29 2 10" xfId="11532" xr:uid="{00000000-0005-0000-0000-00000C2D0000}"/>
    <cellStyle name="Normal 2 2 2 2 2 2 29 2 2" xfId="11533" xr:uid="{00000000-0005-0000-0000-00000D2D0000}"/>
    <cellStyle name="Normal 2 2 2 2 2 2 29 2 3" xfId="11534" xr:uid="{00000000-0005-0000-0000-00000E2D0000}"/>
    <cellStyle name="Normal 2 2 2 2 2 2 29 2 4" xfId="11535" xr:uid="{00000000-0005-0000-0000-00000F2D0000}"/>
    <cellStyle name="Normal 2 2 2 2 2 2 29 2 5" xfId="11536" xr:uid="{00000000-0005-0000-0000-0000102D0000}"/>
    <cellStyle name="Normal 2 2 2 2 2 2 29 2 6" xfId="11537" xr:uid="{00000000-0005-0000-0000-0000112D0000}"/>
    <cellStyle name="Normal 2 2 2 2 2 2 29 2 7" xfId="11538" xr:uid="{00000000-0005-0000-0000-0000122D0000}"/>
    <cellStyle name="Normal 2 2 2 2 2 2 29 2 8" xfId="11539" xr:uid="{00000000-0005-0000-0000-0000132D0000}"/>
    <cellStyle name="Normal 2 2 2 2 2 2 29 2 9" xfId="11540" xr:uid="{00000000-0005-0000-0000-0000142D0000}"/>
    <cellStyle name="Normal 2 2 2 2 2 2 29 3" xfId="11541" xr:uid="{00000000-0005-0000-0000-0000152D0000}"/>
    <cellStyle name="Normal 2 2 2 2 2 2 29 3 10" xfId="11542" xr:uid="{00000000-0005-0000-0000-0000162D0000}"/>
    <cellStyle name="Normal 2 2 2 2 2 2 29 3 2" xfId="11543" xr:uid="{00000000-0005-0000-0000-0000172D0000}"/>
    <cellStyle name="Normal 2 2 2 2 2 2 29 3 3" xfId="11544" xr:uid="{00000000-0005-0000-0000-0000182D0000}"/>
    <cellStyle name="Normal 2 2 2 2 2 2 29 3 4" xfId="11545" xr:uid="{00000000-0005-0000-0000-0000192D0000}"/>
    <cellStyle name="Normal 2 2 2 2 2 2 29 3 5" xfId="11546" xr:uid="{00000000-0005-0000-0000-00001A2D0000}"/>
    <cellStyle name="Normal 2 2 2 2 2 2 29 3 6" xfId="11547" xr:uid="{00000000-0005-0000-0000-00001B2D0000}"/>
    <cellStyle name="Normal 2 2 2 2 2 2 29 3 7" xfId="11548" xr:uid="{00000000-0005-0000-0000-00001C2D0000}"/>
    <cellStyle name="Normal 2 2 2 2 2 2 29 3 8" xfId="11549" xr:uid="{00000000-0005-0000-0000-00001D2D0000}"/>
    <cellStyle name="Normal 2 2 2 2 2 2 29 3 9" xfId="11550" xr:uid="{00000000-0005-0000-0000-00001E2D0000}"/>
    <cellStyle name="Normal 2 2 2 2 2 2 29 4" xfId="11551" xr:uid="{00000000-0005-0000-0000-00001F2D0000}"/>
    <cellStyle name="Normal 2 2 2 2 2 2 29 4 10" xfId="11552" xr:uid="{00000000-0005-0000-0000-0000202D0000}"/>
    <cellStyle name="Normal 2 2 2 2 2 2 29 4 2" xfId="11553" xr:uid="{00000000-0005-0000-0000-0000212D0000}"/>
    <cellStyle name="Normal 2 2 2 2 2 2 29 4 3" xfId="11554" xr:uid="{00000000-0005-0000-0000-0000222D0000}"/>
    <cellStyle name="Normal 2 2 2 2 2 2 29 4 4" xfId="11555" xr:uid="{00000000-0005-0000-0000-0000232D0000}"/>
    <cellStyle name="Normal 2 2 2 2 2 2 29 4 5" xfId="11556" xr:uid="{00000000-0005-0000-0000-0000242D0000}"/>
    <cellStyle name="Normal 2 2 2 2 2 2 29 4 6" xfId="11557" xr:uid="{00000000-0005-0000-0000-0000252D0000}"/>
    <cellStyle name="Normal 2 2 2 2 2 2 29 4 7" xfId="11558" xr:uid="{00000000-0005-0000-0000-0000262D0000}"/>
    <cellStyle name="Normal 2 2 2 2 2 2 29 4 8" xfId="11559" xr:uid="{00000000-0005-0000-0000-0000272D0000}"/>
    <cellStyle name="Normal 2 2 2 2 2 2 29 4 9" xfId="11560" xr:uid="{00000000-0005-0000-0000-0000282D0000}"/>
    <cellStyle name="Normal 2 2 2 2 2 2 29 5" xfId="11561" xr:uid="{00000000-0005-0000-0000-0000292D0000}"/>
    <cellStyle name="Normal 2 2 2 2 2 2 29 5 10" xfId="11562" xr:uid="{00000000-0005-0000-0000-00002A2D0000}"/>
    <cellStyle name="Normal 2 2 2 2 2 2 29 5 2" xfId="11563" xr:uid="{00000000-0005-0000-0000-00002B2D0000}"/>
    <cellStyle name="Normal 2 2 2 2 2 2 29 5 3" xfId="11564" xr:uid="{00000000-0005-0000-0000-00002C2D0000}"/>
    <cellStyle name="Normal 2 2 2 2 2 2 29 5 4" xfId="11565" xr:uid="{00000000-0005-0000-0000-00002D2D0000}"/>
    <cellStyle name="Normal 2 2 2 2 2 2 29 5 5" xfId="11566" xr:uid="{00000000-0005-0000-0000-00002E2D0000}"/>
    <cellStyle name="Normal 2 2 2 2 2 2 29 5 6" xfId="11567" xr:uid="{00000000-0005-0000-0000-00002F2D0000}"/>
    <cellStyle name="Normal 2 2 2 2 2 2 29 5 7" xfId="11568" xr:uid="{00000000-0005-0000-0000-0000302D0000}"/>
    <cellStyle name="Normal 2 2 2 2 2 2 29 5 8" xfId="11569" xr:uid="{00000000-0005-0000-0000-0000312D0000}"/>
    <cellStyle name="Normal 2 2 2 2 2 2 29 5 9" xfId="11570" xr:uid="{00000000-0005-0000-0000-0000322D0000}"/>
    <cellStyle name="Normal 2 2 2 2 2 2 29 6" xfId="11571" xr:uid="{00000000-0005-0000-0000-0000332D0000}"/>
    <cellStyle name="Normal 2 2 2 2 2 2 29 7" xfId="11572" xr:uid="{00000000-0005-0000-0000-0000342D0000}"/>
    <cellStyle name="Normal 2 2 2 2 2 2 29 8" xfId="11573" xr:uid="{00000000-0005-0000-0000-0000352D0000}"/>
    <cellStyle name="Normal 2 2 2 2 2 2 29 9" xfId="11574" xr:uid="{00000000-0005-0000-0000-0000362D0000}"/>
    <cellStyle name="Normal 2 2 2 2 2 2 3" xfId="11575" xr:uid="{00000000-0005-0000-0000-0000372D0000}"/>
    <cellStyle name="Normal 2 2 2 2 2 2 3 10" xfId="11576" xr:uid="{00000000-0005-0000-0000-0000382D0000}"/>
    <cellStyle name="Normal 2 2 2 2 2 2 3 11" xfId="11577" xr:uid="{00000000-0005-0000-0000-0000392D0000}"/>
    <cellStyle name="Normal 2 2 2 2 2 2 3 12" xfId="11578" xr:uid="{00000000-0005-0000-0000-00003A2D0000}"/>
    <cellStyle name="Normal 2 2 2 2 2 2 3 13" xfId="11579" xr:uid="{00000000-0005-0000-0000-00003B2D0000}"/>
    <cellStyle name="Normal 2 2 2 2 2 2 3 14" xfId="11580" xr:uid="{00000000-0005-0000-0000-00003C2D0000}"/>
    <cellStyle name="Normal 2 2 2 2 2 2 3 15" xfId="11581" xr:uid="{00000000-0005-0000-0000-00003D2D0000}"/>
    <cellStyle name="Normal 2 2 2 2 2 2 3 16" xfId="11582" xr:uid="{00000000-0005-0000-0000-00003E2D0000}"/>
    <cellStyle name="Normal 2 2 2 2 2 2 3 2" xfId="11583" xr:uid="{00000000-0005-0000-0000-00003F2D0000}"/>
    <cellStyle name="Normal 2 2 2 2 2 2 3 2 10" xfId="11584" xr:uid="{00000000-0005-0000-0000-0000402D0000}"/>
    <cellStyle name="Normal 2 2 2 2 2 2 3 2 2" xfId="11585" xr:uid="{00000000-0005-0000-0000-0000412D0000}"/>
    <cellStyle name="Normal 2 2 2 2 2 2 3 2 3" xfId="11586" xr:uid="{00000000-0005-0000-0000-0000422D0000}"/>
    <cellStyle name="Normal 2 2 2 2 2 2 3 2 4" xfId="11587" xr:uid="{00000000-0005-0000-0000-0000432D0000}"/>
    <cellStyle name="Normal 2 2 2 2 2 2 3 2 5" xfId="11588" xr:uid="{00000000-0005-0000-0000-0000442D0000}"/>
    <cellStyle name="Normal 2 2 2 2 2 2 3 2 6" xfId="11589" xr:uid="{00000000-0005-0000-0000-0000452D0000}"/>
    <cellStyle name="Normal 2 2 2 2 2 2 3 2 7" xfId="11590" xr:uid="{00000000-0005-0000-0000-0000462D0000}"/>
    <cellStyle name="Normal 2 2 2 2 2 2 3 2 8" xfId="11591" xr:uid="{00000000-0005-0000-0000-0000472D0000}"/>
    <cellStyle name="Normal 2 2 2 2 2 2 3 2 9" xfId="11592" xr:uid="{00000000-0005-0000-0000-0000482D0000}"/>
    <cellStyle name="Normal 2 2 2 2 2 2 3 3" xfId="11593" xr:uid="{00000000-0005-0000-0000-0000492D0000}"/>
    <cellStyle name="Normal 2 2 2 2 2 2 3 3 10" xfId="11594" xr:uid="{00000000-0005-0000-0000-00004A2D0000}"/>
    <cellStyle name="Normal 2 2 2 2 2 2 3 3 2" xfId="11595" xr:uid="{00000000-0005-0000-0000-00004B2D0000}"/>
    <cellStyle name="Normal 2 2 2 2 2 2 3 3 3" xfId="11596" xr:uid="{00000000-0005-0000-0000-00004C2D0000}"/>
    <cellStyle name="Normal 2 2 2 2 2 2 3 3 4" xfId="11597" xr:uid="{00000000-0005-0000-0000-00004D2D0000}"/>
    <cellStyle name="Normal 2 2 2 2 2 2 3 3 5" xfId="11598" xr:uid="{00000000-0005-0000-0000-00004E2D0000}"/>
    <cellStyle name="Normal 2 2 2 2 2 2 3 3 6" xfId="11599" xr:uid="{00000000-0005-0000-0000-00004F2D0000}"/>
    <cellStyle name="Normal 2 2 2 2 2 2 3 3 7" xfId="11600" xr:uid="{00000000-0005-0000-0000-0000502D0000}"/>
    <cellStyle name="Normal 2 2 2 2 2 2 3 3 8" xfId="11601" xr:uid="{00000000-0005-0000-0000-0000512D0000}"/>
    <cellStyle name="Normal 2 2 2 2 2 2 3 3 9" xfId="11602" xr:uid="{00000000-0005-0000-0000-0000522D0000}"/>
    <cellStyle name="Normal 2 2 2 2 2 2 3 4" xfId="11603" xr:uid="{00000000-0005-0000-0000-0000532D0000}"/>
    <cellStyle name="Normal 2 2 2 2 2 2 3 4 10" xfId="11604" xr:uid="{00000000-0005-0000-0000-0000542D0000}"/>
    <cellStyle name="Normal 2 2 2 2 2 2 3 4 2" xfId="11605" xr:uid="{00000000-0005-0000-0000-0000552D0000}"/>
    <cellStyle name="Normal 2 2 2 2 2 2 3 4 3" xfId="11606" xr:uid="{00000000-0005-0000-0000-0000562D0000}"/>
    <cellStyle name="Normal 2 2 2 2 2 2 3 4 4" xfId="11607" xr:uid="{00000000-0005-0000-0000-0000572D0000}"/>
    <cellStyle name="Normal 2 2 2 2 2 2 3 4 5" xfId="11608" xr:uid="{00000000-0005-0000-0000-0000582D0000}"/>
    <cellStyle name="Normal 2 2 2 2 2 2 3 4 6" xfId="11609" xr:uid="{00000000-0005-0000-0000-0000592D0000}"/>
    <cellStyle name="Normal 2 2 2 2 2 2 3 4 7" xfId="11610" xr:uid="{00000000-0005-0000-0000-00005A2D0000}"/>
    <cellStyle name="Normal 2 2 2 2 2 2 3 4 8" xfId="11611" xr:uid="{00000000-0005-0000-0000-00005B2D0000}"/>
    <cellStyle name="Normal 2 2 2 2 2 2 3 4 9" xfId="11612" xr:uid="{00000000-0005-0000-0000-00005C2D0000}"/>
    <cellStyle name="Normal 2 2 2 2 2 2 3 5" xfId="11613" xr:uid="{00000000-0005-0000-0000-00005D2D0000}"/>
    <cellStyle name="Normal 2 2 2 2 2 2 3 5 10" xfId="11614" xr:uid="{00000000-0005-0000-0000-00005E2D0000}"/>
    <cellStyle name="Normal 2 2 2 2 2 2 3 5 2" xfId="11615" xr:uid="{00000000-0005-0000-0000-00005F2D0000}"/>
    <cellStyle name="Normal 2 2 2 2 2 2 3 5 3" xfId="11616" xr:uid="{00000000-0005-0000-0000-0000602D0000}"/>
    <cellStyle name="Normal 2 2 2 2 2 2 3 5 4" xfId="11617" xr:uid="{00000000-0005-0000-0000-0000612D0000}"/>
    <cellStyle name="Normal 2 2 2 2 2 2 3 5 5" xfId="11618" xr:uid="{00000000-0005-0000-0000-0000622D0000}"/>
    <cellStyle name="Normal 2 2 2 2 2 2 3 5 6" xfId="11619" xr:uid="{00000000-0005-0000-0000-0000632D0000}"/>
    <cellStyle name="Normal 2 2 2 2 2 2 3 5 7" xfId="11620" xr:uid="{00000000-0005-0000-0000-0000642D0000}"/>
    <cellStyle name="Normal 2 2 2 2 2 2 3 5 8" xfId="11621" xr:uid="{00000000-0005-0000-0000-0000652D0000}"/>
    <cellStyle name="Normal 2 2 2 2 2 2 3 5 9" xfId="11622" xr:uid="{00000000-0005-0000-0000-0000662D0000}"/>
    <cellStyle name="Normal 2 2 2 2 2 2 3 6" xfId="11623" xr:uid="{00000000-0005-0000-0000-0000672D0000}"/>
    <cellStyle name="Normal 2 2 2 2 2 2 3 7" xfId="11624" xr:uid="{00000000-0005-0000-0000-0000682D0000}"/>
    <cellStyle name="Normal 2 2 2 2 2 2 3 8" xfId="11625" xr:uid="{00000000-0005-0000-0000-0000692D0000}"/>
    <cellStyle name="Normal 2 2 2 2 2 2 3 9" xfId="11626" xr:uid="{00000000-0005-0000-0000-00006A2D0000}"/>
    <cellStyle name="Normal 2 2 2 2 2 2 30" xfId="11627" xr:uid="{00000000-0005-0000-0000-00006B2D0000}"/>
    <cellStyle name="Normal 2 2 2 2 2 2 30 10" xfId="11628" xr:uid="{00000000-0005-0000-0000-00006C2D0000}"/>
    <cellStyle name="Normal 2 2 2 2 2 2 30 11" xfId="11629" xr:uid="{00000000-0005-0000-0000-00006D2D0000}"/>
    <cellStyle name="Normal 2 2 2 2 2 2 30 12" xfId="11630" xr:uid="{00000000-0005-0000-0000-00006E2D0000}"/>
    <cellStyle name="Normal 2 2 2 2 2 2 30 13" xfId="11631" xr:uid="{00000000-0005-0000-0000-00006F2D0000}"/>
    <cellStyle name="Normal 2 2 2 2 2 2 30 14" xfId="11632" xr:uid="{00000000-0005-0000-0000-0000702D0000}"/>
    <cellStyle name="Normal 2 2 2 2 2 2 30 2" xfId="11633" xr:uid="{00000000-0005-0000-0000-0000712D0000}"/>
    <cellStyle name="Normal 2 2 2 2 2 2 30 2 10" xfId="11634" xr:uid="{00000000-0005-0000-0000-0000722D0000}"/>
    <cellStyle name="Normal 2 2 2 2 2 2 30 2 2" xfId="11635" xr:uid="{00000000-0005-0000-0000-0000732D0000}"/>
    <cellStyle name="Normal 2 2 2 2 2 2 30 2 3" xfId="11636" xr:uid="{00000000-0005-0000-0000-0000742D0000}"/>
    <cellStyle name="Normal 2 2 2 2 2 2 30 2 4" xfId="11637" xr:uid="{00000000-0005-0000-0000-0000752D0000}"/>
    <cellStyle name="Normal 2 2 2 2 2 2 30 2 5" xfId="11638" xr:uid="{00000000-0005-0000-0000-0000762D0000}"/>
    <cellStyle name="Normal 2 2 2 2 2 2 30 2 6" xfId="11639" xr:uid="{00000000-0005-0000-0000-0000772D0000}"/>
    <cellStyle name="Normal 2 2 2 2 2 2 30 2 7" xfId="11640" xr:uid="{00000000-0005-0000-0000-0000782D0000}"/>
    <cellStyle name="Normal 2 2 2 2 2 2 30 2 8" xfId="11641" xr:uid="{00000000-0005-0000-0000-0000792D0000}"/>
    <cellStyle name="Normal 2 2 2 2 2 2 30 2 9" xfId="11642" xr:uid="{00000000-0005-0000-0000-00007A2D0000}"/>
    <cellStyle name="Normal 2 2 2 2 2 2 30 3" xfId="11643" xr:uid="{00000000-0005-0000-0000-00007B2D0000}"/>
    <cellStyle name="Normal 2 2 2 2 2 2 30 3 10" xfId="11644" xr:uid="{00000000-0005-0000-0000-00007C2D0000}"/>
    <cellStyle name="Normal 2 2 2 2 2 2 30 3 2" xfId="11645" xr:uid="{00000000-0005-0000-0000-00007D2D0000}"/>
    <cellStyle name="Normal 2 2 2 2 2 2 30 3 3" xfId="11646" xr:uid="{00000000-0005-0000-0000-00007E2D0000}"/>
    <cellStyle name="Normal 2 2 2 2 2 2 30 3 4" xfId="11647" xr:uid="{00000000-0005-0000-0000-00007F2D0000}"/>
    <cellStyle name="Normal 2 2 2 2 2 2 30 3 5" xfId="11648" xr:uid="{00000000-0005-0000-0000-0000802D0000}"/>
    <cellStyle name="Normal 2 2 2 2 2 2 30 3 6" xfId="11649" xr:uid="{00000000-0005-0000-0000-0000812D0000}"/>
    <cellStyle name="Normal 2 2 2 2 2 2 30 3 7" xfId="11650" xr:uid="{00000000-0005-0000-0000-0000822D0000}"/>
    <cellStyle name="Normal 2 2 2 2 2 2 30 3 8" xfId="11651" xr:uid="{00000000-0005-0000-0000-0000832D0000}"/>
    <cellStyle name="Normal 2 2 2 2 2 2 30 3 9" xfId="11652" xr:uid="{00000000-0005-0000-0000-0000842D0000}"/>
    <cellStyle name="Normal 2 2 2 2 2 2 30 4" xfId="11653" xr:uid="{00000000-0005-0000-0000-0000852D0000}"/>
    <cellStyle name="Normal 2 2 2 2 2 2 30 4 10" xfId="11654" xr:uid="{00000000-0005-0000-0000-0000862D0000}"/>
    <cellStyle name="Normal 2 2 2 2 2 2 30 4 2" xfId="11655" xr:uid="{00000000-0005-0000-0000-0000872D0000}"/>
    <cellStyle name="Normal 2 2 2 2 2 2 30 4 3" xfId="11656" xr:uid="{00000000-0005-0000-0000-0000882D0000}"/>
    <cellStyle name="Normal 2 2 2 2 2 2 30 4 4" xfId="11657" xr:uid="{00000000-0005-0000-0000-0000892D0000}"/>
    <cellStyle name="Normal 2 2 2 2 2 2 30 4 5" xfId="11658" xr:uid="{00000000-0005-0000-0000-00008A2D0000}"/>
    <cellStyle name="Normal 2 2 2 2 2 2 30 4 6" xfId="11659" xr:uid="{00000000-0005-0000-0000-00008B2D0000}"/>
    <cellStyle name="Normal 2 2 2 2 2 2 30 4 7" xfId="11660" xr:uid="{00000000-0005-0000-0000-00008C2D0000}"/>
    <cellStyle name="Normal 2 2 2 2 2 2 30 4 8" xfId="11661" xr:uid="{00000000-0005-0000-0000-00008D2D0000}"/>
    <cellStyle name="Normal 2 2 2 2 2 2 30 4 9" xfId="11662" xr:uid="{00000000-0005-0000-0000-00008E2D0000}"/>
    <cellStyle name="Normal 2 2 2 2 2 2 30 5" xfId="11663" xr:uid="{00000000-0005-0000-0000-00008F2D0000}"/>
    <cellStyle name="Normal 2 2 2 2 2 2 30 5 10" xfId="11664" xr:uid="{00000000-0005-0000-0000-0000902D0000}"/>
    <cellStyle name="Normal 2 2 2 2 2 2 30 5 2" xfId="11665" xr:uid="{00000000-0005-0000-0000-0000912D0000}"/>
    <cellStyle name="Normal 2 2 2 2 2 2 30 5 3" xfId="11666" xr:uid="{00000000-0005-0000-0000-0000922D0000}"/>
    <cellStyle name="Normal 2 2 2 2 2 2 30 5 4" xfId="11667" xr:uid="{00000000-0005-0000-0000-0000932D0000}"/>
    <cellStyle name="Normal 2 2 2 2 2 2 30 5 5" xfId="11668" xr:uid="{00000000-0005-0000-0000-0000942D0000}"/>
    <cellStyle name="Normal 2 2 2 2 2 2 30 5 6" xfId="11669" xr:uid="{00000000-0005-0000-0000-0000952D0000}"/>
    <cellStyle name="Normal 2 2 2 2 2 2 30 5 7" xfId="11670" xr:uid="{00000000-0005-0000-0000-0000962D0000}"/>
    <cellStyle name="Normal 2 2 2 2 2 2 30 5 8" xfId="11671" xr:uid="{00000000-0005-0000-0000-0000972D0000}"/>
    <cellStyle name="Normal 2 2 2 2 2 2 30 5 9" xfId="11672" xr:uid="{00000000-0005-0000-0000-0000982D0000}"/>
    <cellStyle name="Normal 2 2 2 2 2 2 30 6" xfId="11673" xr:uid="{00000000-0005-0000-0000-0000992D0000}"/>
    <cellStyle name="Normal 2 2 2 2 2 2 30 7" xfId="11674" xr:uid="{00000000-0005-0000-0000-00009A2D0000}"/>
    <cellStyle name="Normal 2 2 2 2 2 2 30 8" xfId="11675" xr:uid="{00000000-0005-0000-0000-00009B2D0000}"/>
    <cellStyle name="Normal 2 2 2 2 2 2 30 9" xfId="11676" xr:uid="{00000000-0005-0000-0000-00009C2D0000}"/>
    <cellStyle name="Normal 2 2 2 2 2 2 31" xfId="11677" xr:uid="{00000000-0005-0000-0000-00009D2D0000}"/>
    <cellStyle name="Normal 2 2 2 2 2 2 31 10" xfId="11678" xr:uid="{00000000-0005-0000-0000-00009E2D0000}"/>
    <cellStyle name="Normal 2 2 2 2 2 2 31 11" xfId="11679" xr:uid="{00000000-0005-0000-0000-00009F2D0000}"/>
    <cellStyle name="Normal 2 2 2 2 2 2 31 12" xfId="11680" xr:uid="{00000000-0005-0000-0000-0000A02D0000}"/>
    <cellStyle name="Normal 2 2 2 2 2 2 31 13" xfId="11681" xr:uid="{00000000-0005-0000-0000-0000A12D0000}"/>
    <cellStyle name="Normal 2 2 2 2 2 2 31 14" xfId="11682" xr:uid="{00000000-0005-0000-0000-0000A22D0000}"/>
    <cellStyle name="Normal 2 2 2 2 2 2 31 2" xfId="11683" xr:uid="{00000000-0005-0000-0000-0000A32D0000}"/>
    <cellStyle name="Normal 2 2 2 2 2 2 31 2 10" xfId="11684" xr:uid="{00000000-0005-0000-0000-0000A42D0000}"/>
    <cellStyle name="Normal 2 2 2 2 2 2 31 2 2" xfId="11685" xr:uid="{00000000-0005-0000-0000-0000A52D0000}"/>
    <cellStyle name="Normal 2 2 2 2 2 2 31 2 3" xfId="11686" xr:uid="{00000000-0005-0000-0000-0000A62D0000}"/>
    <cellStyle name="Normal 2 2 2 2 2 2 31 2 4" xfId="11687" xr:uid="{00000000-0005-0000-0000-0000A72D0000}"/>
    <cellStyle name="Normal 2 2 2 2 2 2 31 2 5" xfId="11688" xr:uid="{00000000-0005-0000-0000-0000A82D0000}"/>
    <cellStyle name="Normal 2 2 2 2 2 2 31 2 6" xfId="11689" xr:uid="{00000000-0005-0000-0000-0000A92D0000}"/>
    <cellStyle name="Normal 2 2 2 2 2 2 31 2 7" xfId="11690" xr:uid="{00000000-0005-0000-0000-0000AA2D0000}"/>
    <cellStyle name="Normal 2 2 2 2 2 2 31 2 8" xfId="11691" xr:uid="{00000000-0005-0000-0000-0000AB2D0000}"/>
    <cellStyle name="Normal 2 2 2 2 2 2 31 2 9" xfId="11692" xr:uid="{00000000-0005-0000-0000-0000AC2D0000}"/>
    <cellStyle name="Normal 2 2 2 2 2 2 31 3" xfId="11693" xr:uid="{00000000-0005-0000-0000-0000AD2D0000}"/>
    <cellStyle name="Normal 2 2 2 2 2 2 31 3 10" xfId="11694" xr:uid="{00000000-0005-0000-0000-0000AE2D0000}"/>
    <cellStyle name="Normal 2 2 2 2 2 2 31 3 2" xfId="11695" xr:uid="{00000000-0005-0000-0000-0000AF2D0000}"/>
    <cellStyle name="Normal 2 2 2 2 2 2 31 3 3" xfId="11696" xr:uid="{00000000-0005-0000-0000-0000B02D0000}"/>
    <cellStyle name="Normal 2 2 2 2 2 2 31 3 4" xfId="11697" xr:uid="{00000000-0005-0000-0000-0000B12D0000}"/>
    <cellStyle name="Normal 2 2 2 2 2 2 31 3 5" xfId="11698" xr:uid="{00000000-0005-0000-0000-0000B22D0000}"/>
    <cellStyle name="Normal 2 2 2 2 2 2 31 3 6" xfId="11699" xr:uid="{00000000-0005-0000-0000-0000B32D0000}"/>
    <cellStyle name="Normal 2 2 2 2 2 2 31 3 7" xfId="11700" xr:uid="{00000000-0005-0000-0000-0000B42D0000}"/>
    <cellStyle name="Normal 2 2 2 2 2 2 31 3 8" xfId="11701" xr:uid="{00000000-0005-0000-0000-0000B52D0000}"/>
    <cellStyle name="Normal 2 2 2 2 2 2 31 3 9" xfId="11702" xr:uid="{00000000-0005-0000-0000-0000B62D0000}"/>
    <cellStyle name="Normal 2 2 2 2 2 2 31 4" xfId="11703" xr:uid="{00000000-0005-0000-0000-0000B72D0000}"/>
    <cellStyle name="Normal 2 2 2 2 2 2 31 4 10" xfId="11704" xr:uid="{00000000-0005-0000-0000-0000B82D0000}"/>
    <cellStyle name="Normal 2 2 2 2 2 2 31 4 2" xfId="11705" xr:uid="{00000000-0005-0000-0000-0000B92D0000}"/>
    <cellStyle name="Normal 2 2 2 2 2 2 31 4 3" xfId="11706" xr:uid="{00000000-0005-0000-0000-0000BA2D0000}"/>
    <cellStyle name="Normal 2 2 2 2 2 2 31 4 4" xfId="11707" xr:uid="{00000000-0005-0000-0000-0000BB2D0000}"/>
    <cellStyle name="Normal 2 2 2 2 2 2 31 4 5" xfId="11708" xr:uid="{00000000-0005-0000-0000-0000BC2D0000}"/>
    <cellStyle name="Normal 2 2 2 2 2 2 31 4 6" xfId="11709" xr:uid="{00000000-0005-0000-0000-0000BD2D0000}"/>
    <cellStyle name="Normal 2 2 2 2 2 2 31 4 7" xfId="11710" xr:uid="{00000000-0005-0000-0000-0000BE2D0000}"/>
    <cellStyle name="Normal 2 2 2 2 2 2 31 4 8" xfId="11711" xr:uid="{00000000-0005-0000-0000-0000BF2D0000}"/>
    <cellStyle name="Normal 2 2 2 2 2 2 31 4 9" xfId="11712" xr:uid="{00000000-0005-0000-0000-0000C02D0000}"/>
    <cellStyle name="Normal 2 2 2 2 2 2 31 5" xfId="11713" xr:uid="{00000000-0005-0000-0000-0000C12D0000}"/>
    <cellStyle name="Normal 2 2 2 2 2 2 31 5 10" xfId="11714" xr:uid="{00000000-0005-0000-0000-0000C22D0000}"/>
    <cellStyle name="Normal 2 2 2 2 2 2 31 5 2" xfId="11715" xr:uid="{00000000-0005-0000-0000-0000C32D0000}"/>
    <cellStyle name="Normal 2 2 2 2 2 2 31 5 3" xfId="11716" xr:uid="{00000000-0005-0000-0000-0000C42D0000}"/>
    <cellStyle name="Normal 2 2 2 2 2 2 31 5 4" xfId="11717" xr:uid="{00000000-0005-0000-0000-0000C52D0000}"/>
    <cellStyle name="Normal 2 2 2 2 2 2 31 5 5" xfId="11718" xr:uid="{00000000-0005-0000-0000-0000C62D0000}"/>
    <cellStyle name="Normal 2 2 2 2 2 2 31 5 6" xfId="11719" xr:uid="{00000000-0005-0000-0000-0000C72D0000}"/>
    <cellStyle name="Normal 2 2 2 2 2 2 31 5 7" xfId="11720" xr:uid="{00000000-0005-0000-0000-0000C82D0000}"/>
    <cellStyle name="Normal 2 2 2 2 2 2 31 5 8" xfId="11721" xr:uid="{00000000-0005-0000-0000-0000C92D0000}"/>
    <cellStyle name="Normal 2 2 2 2 2 2 31 5 9" xfId="11722" xr:uid="{00000000-0005-0000-0000-0000CA2D0000}"/>
    <cellStyle name="Normal 2 2 2 2 2 2 31 6" xfId="11723" xr:uid="{00000000-0005-0000-0000-0000CB2D0000}"/>
    <cellStyle name="Normal 2 2 2 2 2 2 31 7" xfId="11724" xr:uid="{00000000-0005-0000-0000-0000CC2D0000}"/>
    <cellStyle name="Normal 2 2 2 2 2 2 31 8" xfId="11725" xr:uid="{00000000-0005-0000-0000-0000CD2D0000}"/>
    <cellStyle name="Normal 2 2 2 2 2 2 31 9" xfId="11726" xr:uid="{00000000-0005-0000-0000-0000CE2D0000}"/>
    <cellStyle name="Normal 2 2 2 2 2 2 32" xfId="11727" xr:uid="{00000000-0005-0000-0000-0000CF2D0000}"/>
    <cellStyle name="Normal 2 2 2 2 2 2 32 10" xfId="11728" xr:uid="{00000000-0005-0000-0000-0000D02D0000}"/>
    <cellStyle name="Normal 2 2 2 2 2 2 32 11" xfId="11729" xr:uid="{00000000-0005-0000-0000-0000D12D0000}"/>
    <cellStyle name="Normal 2 2 2 2 2 2 32 12" xfId="11730" xr:uid="{00000000-0005-0000-0000-0000D22D0000}"/>
    <cellStyle name="Normal 2 2 2 2 2 2 32 13" xfId="11731" xr:uid="{00000000-0005-0000-0000-0000D32D0000}"/>
    <cellStyle name="Normal 2 2 2 2 2 2 32 14" xfId="11732" xr:uid="{00000000-0005-0000-0000-0000D42D0000}"/>
    <cellStyle name="Normal 2 2 2 2 2 2 32 2" xfId="11733" xr:uid="{00000000-0005-0000-0000-0000D52D0000}"/>
    <cellStyle name="Normal 2 2 2 2 2 2 32 2 10" xfId="11734" xr:uid="{00000000-0005-0000-0000-0000D62D0000}"/>
    <cellStyle name="Normal 2 2 2 2 2 2 32 2 2" xfId="11735" xr:uid="{00000000-0005-0000-0000-0000D72D0000}"/>
    <cellStyle name="Normal 2 2 2 2 2 2 32 2 3" xfId="11736" xr:uid="{00000000-0005-0000-0000-0000D82D0000}"/>
    <cellStyle name="Normal 2 2 2 2 2 2 32 2 4" xfId="11737" xr:uid="{00000000-0005-0000-0000-0000D92D0000}"/>
    <cellStyle name="Normal 2 2 2 2 2 2 32 2 5" xfId="11738" xr:uid="{00000000-0005-0000-0000-0000DA2D0000}"/>
    <cellStyle name="Normal 2 2 2 2 2 2 32 2 6" xfId="11739" xr:uid="{00000000-0005-0000-0000-0000DB2D0000}"/>
    <cellStyle name="Normal 2 2 2 2 2 2 32 2 7" xfId="11740" xr:uid="{00000000-0005-0000-0000-0000DC2D0000}"/>
    <cellStyle name="Normal 2 2 2 2 2 2 32 2 8" xfId="11741" xr:uid="{00000000-0005-0000-0000-0000DD2D0000}"/>
    <cellStyle name="Normal 2 2 2 2 2 2 32 2 9" xfId="11742" xr:uid="{00000000-0005-0000-0000-0000DE2D0000}"/>
    <cellStyle name="Normal 2 2 2 2 2 2 32 3" xfId="11743" xr:uid="{00000000-0005-0000-0000-0000DF2D0000}"/>
    <cellStyle name="Normal 2 2 2 2 2 2 32 3 10" xfId="11744" xr:uid="{00000000-0005-0000-0000-0000E02D0000}"/>
    <cellStyle name="Normal 2 2 2 2 2 2 32 3 2" xfId="11745" xr:uid="{00000000-0005-0000-0000-0000E12D0000}"/>
    <cellStyle name="Normal 2 2 2 2 2 2 32 3 3" xfId="11746" xr:uid="{00000000-0005-0000-0000-0000E22D0000}"/>
    <cellStyle name="Normal 2 2 2 2 2 2 32 3 4" xfId="11747" xr:uid="{00000000-0005-0000-0000-0000E32D0000}"/>
    <cellStyle name="Normal 2 2 2 2 2 2 32 3 5" xfId="11748" xr:uid="{00000000-0005-0000-0000-0000E42D0000}"/>
    <cellStyle name="Normal 2 2 2 2 2 2 32 3 6" xfId="11749" xr:uid="{00000000-0005-0000-0000-0000E52D0000}"/>
    <cellStyle name="Normal 2 2 2 2 2 2 32 3 7" xfId="11750" xr:uid="{00000000-0005-0000-0000-0000E62D0000}"/>
    <cellStyle name="Normal 2 2 2 2 2 2 32 3 8" xfId="11751" xr:uid="{00000000-0005-0000-0000-0000E72D0000}"/>
    <cellStyle name="Normal 2 2 2 2 2 2 32 3 9" xfId="11752" xr:uid="{00000000-0005-0000-0000-0000E82D0000}"/>
    <cellStyle name="Normal 2 2 2 2 2 2 32 4" xfId="11753" xr:uid="{00000000-0005-0000-0000-0000E92D0000}"/>
    <cellStyle name="Normal 2 2 2 2 2 2 32 4 10" xfId="11754" xr:uid="{00000000-0005-0000-0000-0000EA2D0000}"/>
    <cellStyle name="Normal 2 2 2 2 2 2 32 4 2" xfId="11755" xr:uid="{00000000-0005-0000-0000-0000EB2D0000}"/>
    <cellStyle name="Normal 2 2 2 2 2 2 32 4 3" xfId="11756" xr:uid="{00000000-0005-0000-0000-0000EC2D0000}"/>
    <cellStyle name="Normal 2 2 2 2 2 2 32 4 4" xfId="11757" xr:uid="{00000000-0005-0000-0000-0000ED2D0000}"/>
    <cellStyle name="Normal 2 2 2 2 2 2 32 4 5" xfId="11758" xr:uid="{00000000-0005-0000-0000-0000EE2D0000}"/>
    <cellStyle name="Normal 2 2 2 2 2 2 32 4 6" xfId="11759" xr:uid="{00000000-0005-0000-0000-0000EF2D0000}"/>
    <cellStyle name="Normal 2 2 2 2 2 2 32 4 7" xfId="11760" xr:uid="{00000000-0005-0000-0000-0000F02D0000}"/>
    <cellStyle name="Normal 2 2 2 2 2 2 32 4 8" xfId="11761" xr:uid="{00000000-0005-0000-0000-0000F12D0000}"/>
    <cellStyle name="Normal 2 2 2 2 2 2 32 4 9" xfId="11762" xr:uid="{00000000-0005-0000-0000-0000F22D0000}"/>
    <cellStyle name="Normal 2 2 2 2 2 2 32 5" xfId="11763" xr:uid="{00000000-0005-0000-0000-0000F32D0000}"/>
    <cellStyle name="Normal 2 2 2 2 2 2 32 5 10" xfId="11764" xr:uid="{00000000-0005-0000-0000-0000F42D0000}"/>
    <cellStyle name="Normal 2 2 2 2 2 2 32 5 2" xfId="11765" xr:uid="{00000000-0005-0000-0000-0000F52D0000}"/>
    <cellStyle name="Normal 2 2 2 2 2 2 32 5 3" xfId="11766" xr:uid="{00000000-0005-0000-0000-0000F62D0000}"/>
    <cellStyle name="Normal 2 2 2 2 2 2 32 5 4" xfId="11767" xr:uid="{00000000-0005-0000-0000-0000F72D0000}"/>
    <cellStyle name="Normal 2 2 2 2 2 2 32 5 5" xfId="11768" xr:uid="{00000000-0005-0000-0000-0000F82D0000}"/>
    <cellStyle name="Normal 2 2 2 2 2 2 32 5 6" xfId="11769" xr:uid="{00000000-0005-0000-0000-0000F92D0000}"/>
    <cellStyle name="Normal 2 2 2 2 2 2 32 5 7" xfId="11770" xr:uid="{00000000-0005-0000-0000-0000FA2D0000}"/>
    <cellStyle name="Normal 2 2 2 2 2 2 32 5 8" xfId="11771" xr:uid="{00000000-0005-0000-0000-0000FB2D0000}"/>
    <cellStyle name="Normal 2 2 2 2 2 2 32 5 9" xfId="11772" xr:uid="{00000000-0005-0000-0000-0000FC2D0000}"/>
    <cellStyle name="Normal 2 2 2 2 2 2 32 6" xfId="11773" xr:uid="{00000000-0005-0000-0000-0000FD2D0000}"/>
    <cellStyle name="Normal 2 2 2 2 2 2 32 7" xfId="11774" xr:uid="{00000000-0005-0000-0000-0000FE2D0000}"/>
    <cellStyle name="Normal 2 2 2 2 2 2 32 8" xfId="11775" xr:uid="{00000000-0005-0000-0000-0000FF2D0000}"/>
    <cellStyle name="Normal 2 2 2 2 2 2 32 9" xfId="11776" xr:uid="{00000000-0005-0000-0000-0000002E0000}"/>
    <cellStyle name="Normal 2 2 2 2 2 2 33" xfId="11777" xr:uid="{00000000-0005-0000-0000-0000012E0000}"/>
    <cellStyle name="Normal 2 2 2 2 2 2 33 10" xfId="11778" xr:uid="{00000000-0005-0000-0000-0000022E0000}"/>
    <cellStyle name="Normal 2 2 2 2 2 2 33 11" xfId="11779" xr:uid="{00000000-0005-0000-0000-0000032E0000}"/>
    <cellStyle name="Normal 2 2 2 2 2 2 33 12" xfId="11780" xr:uid="{00000000-0005-0000-0000-0000042E0000}"/>
    <cellStyle name="Normal 2 2 2 2 2 2 33 13" xfId="11781" xr:uid="{00000000-0005-0000-0000-0000052E0000}"/>
    <cellStyle name="Normal 2 2 2 2 2 2 33 14" xfId="11782" xr:uid="{00000000-0005-0000-0000-0000062E0000}"/>
    <cellStyle name="Normal 2 2 2 2 2 2 33 2" xfId="11783" xr:uid="{00000000-0005-0000-0000-0000072E0000}"/>
    <cellStyle name="Normal 2 2 2 2 2 2 33 2 10" xfId="11784" xr:uid="{00000000-0005-0000-0000-0000082E0000}"/>
    <cellStyle name="Normal 2 2 2 2 2 2 33 2 2" xfId="11785" xr:uid="{00000000-0005-0000-0000-0000092E0000}"/>
    <cellStyle name="Normal 2 2 2 2 2 2 33 2 3" xfId="11786" xr:uid="{00000000-0005-0000-0000-00000A2E0000}"/>
    <cellStyle name="Normal 2 2 2 2 2 2 33 2 4" xfId="11787" xr:uid="{00000000-0005-0000-0000-00000B2E0000}"/>
    <cellStyle name="Normal 2 2 2 2 2 2 33 2 5" xfId="11788" xr:uid="{00000000-0005-0000-0000-00000C2E0000}"/>
    <cellStyle name="Normal 2 2 2 2 2 2 33 2 6" xfId="11789" xr:uid="{00000000-0005-0000-0000-00000D2E0000}"/>
    <cellStyle name="Normal 2 2 2 2 2 2 33 2 7" xfId="11790" xr:uid="{00000000-0005-0000-0000-00000E2E0000}"/>
    <cellStyle name="Normal 2 2 2 2 2 2 33 2 8" xfId="11791" xr:uid="{00000000-0005-0000-0000-00000F2E0000}"/>
    <cellStyle name="Normal 2 2 2 2 2 2 33 2 9" xfId="11792" xr:uid="{00000000-0005-0000-0000-0000102E0000}"/>
    <cellStyle name="Normal 2 2 2 2 2 2 33 3" xfId="11793" xr:uid="{00000000-0005-0000-0000-0000112E0000}"/>
    <cellStyle name="Normal 2 2 2 2 2 2 33 3 10" xfId="11794" xr:uid="{00000000-0005-0000-0000-0000122E0000}"/>
    <cellStyle name="Normal 2 2 2 2 2 2 33 3 2" xfId="11795" xr:uid="{00000000-0005-0000-0000-0000132E0000}"/>
    <cellStyle name="Normal 2 2 2 2 2 2 33 3 3" xfId="11796" xr:uid="{00000000-0005-0000-0000-0000142E0000}"/>
    <cellStyle name="Normal 2 2 2 2 2 2 33 3 4" xfId="11797" xr:uid="{00000000-0005-0000-0000-0000152E0000}"/>
    <cellStyle name="Normal 2 2 2 2 2 2 33 3 5" xfId="11798" xr:uid="{00000000-0005-0000-0000-0000162E0000}"/>
    <cellStyle name="Normal 2 2 2 2 2 2 33 3 6" xfId="11799" xr:uid="{00000000-0005-0000-0000-0000172E0000}"/>
    <cellStyle name="Normal 2 2 2 2 2 2 33 3 7" xfId="11800" xr:uid="{00000000-0005-0000-0000-0000182E0000}"/>
    <cellStyle name="Normal 2 2 2 2 2 2 33 3 8" xfId="11801" xr:uid="{00000000-0005-0000-0000-0000192E0000}"/>
    <cellStyle name="Normal 2 2 2 2 2 2 33 3 9" xfId="11802" xr:uid="{00000000-0005-0000-0000-00001A2E0000}"/>
    <cellStyle name="Normal 2 2 2 2 2 2 33 4" xfId="11803" xr:uid="{00000000-0005-0000-0000-00001B2E0000}"/>
    <cellStyle name="Normal 2 2 2 2 2 2 33 4 10" xfId="11804" xr:uid="{00000000-0005-0000-0000-00001C2E0000}"/>
    <cellStyle name="Normal 2 2 2 2 2 2 33 4 2" xfId="11805" xr:uid="{00000000-0005-0000-0000-00001D2E0000}"/>
    <cellStyle name="Normal 2 2 2 2 2 2 33 4 3" xfId="11806" xr:uid="{00000000-0005-0000-0000-00001E2E0000}"/>
    <cellStyle name="Normal 2 2 2 2 2 2 33 4 4" xfId="11807" xr:uid="{00000000-0005-0000-0000-00001F2E0000}"/>
    <cellStyle name="Normal 2 2 2 2 2 2 33 4 5" xfId="11808" xr:uid="{00000000-0005-0000-0000-0000202E0000}"/>
    <cellStyle name="Normal 2 2 2 2 2 2 33 4 6" xfId="11809" xr:uid="{00000000-0005-0000-0000-0000212E0000}"/>
    <cellStyle name="Normal 2 2 2 2 2 2 33 4 7" xfId="11810" xr:uid="{00000000-0005-0000-0000-0000222E0000}"/>
    <cellStyle name="Normal 2 2 2 2 2 2 33 4 8" xfId="11811" xr:uid="{00000000-0005-0000-0000-0000232E0000}"/>
    <cellStyle name="Normal 2 2 2 2 2 2 33 4 9" xfId="11812" xr:uid="{00000000-0005-0000-0000-0000242E0000}"/>
    <cellStyle name="Normal 2 2 2 2 2 2 33 5" xfId="11813" xr:uid="{00000000-0005-0000-0000-0000252E0000}"/>
    <cellStyle name="Normal 2 2 2 2 2 2 33 5 10" xfId="11814" xr:uid="{00000000-0005-0000-0000-0000262E0000}"/>
    <cellStyle name="Normal 2 2 2 2 2 2 33 5 2" xfId="11815" xr:uid="{00000000-0005-0000-0000-0000272E0000}"/>
    <cellStyle name="Normal 2 2 2 2 2 2 33 5 3" xfId="11816" xr:uid="{00000000-0005-0000-0000-0000282E0000}"/>
    <cellStyle name="Normal 2 2 2 2 2 2 33 5 4" xfId="11817" xr:uid="{00000000-0005-0000-0000-0000292E0000}"/>
    <cellStyle name="Normal 2 2 2 2 2 2 33 5 5" xfId="11818" xr:uid="{00000000-0005-0000-0000-00002A2E0000}"/>
    <cellStyle name="Normal 2 2 2 2 2 2 33 5 6" xfId="11819" xr:uid="{00000000-0005-0000-0000-00002B2E0000}"/>
    <cellStyle name="Normal 2 2 2 2 2 2 33 5 7" xfId="11820" xr:uid="{00000000-0005-0000-0000-00002C2E0000}"/>
    <cellStyle name="Normal 2 2 2 2 2 2 33 5 8" xfId="11821" xr:uid="{00000000-0005-0000-0000-00002D2E0000}"/>
    <cellStyle name="Normal 2 2 2 2 2 2 33 5 9" xfId="11822" xr:uid="{00000000-0005-0000-0000-00002E2E0000}"/>
    <cellStyle name="Normal 2 2 2 2 2 2 33 6" xfId="11823" xr:uid="{00000000-0005-0000-0000-00002F2E0000}"/>
    <cellStyle name="Normal 2 2 2 2 2 2 33 7" xfId="11824" xr:uid="{00000000-0005-0000-0000-0000302E0000}"/>
    <cellStyle name="Normal 2 2 2 2 2 2 33 8" xfId="11825" xr:uid="{00000000-0005-0000-0000-0000312E0000}"/>
    <cellStyle name="Normal 2 2 2 2 2 2 33 9" xfId="11826" xr:uid="{00000000-0005-0000-0000-0000322E0000}"/>
    <cellStyle name="Normal 2 2 2 2 2 2 34" xfId="11827" xr:uid="{00000000-0005-0000-0000-0000332E0000}"/>
    <cellStyle name="Normal 2 2 2 2 2 2 34 10" xfId="11828" xr:uid="{00000000-0005-0000-0000-0000342E0000}"/>
    <cellStyle name="Normal 2 2 2 2 2 2 34 2" xfId="11829" xr:uid="{00000000-0005-0000-0000-0000352E0000}"/>
    <cellStyle name="Normal 2 2 2 2 2 2 34 3" xfId="11830" xr:uid="{00000000-0005-0000-0000-0000362E0000}"/>
    <cellStyle name="Normal 2 2 2 2 2 2 34 4" xfId="11831" xr:uid="{00000000-0005-0000-0000-0000372E0000}"/>
    <cellStyle name="Normal 2 2 2 2 2 2 34 5" xfId="11832" xr:uid="{00000000-0005-0000-0000-0000382E0000}"/>
    <cellStyle name="Normal 2 2 2 2 2 2 34 6" xfId="11833" xr:uid="{00000000-0005-0000-0000-0000392E0000}"/>
    <cellStyle name="Normal 2 2 2 2 2 2 34 7" xfId="11834" xr:uid="{00000000-0005-0000-0000-00003A2E0000}"/>
    <cellStyle name="Normal 2 2 2 2 2 2 34 8" xfId="11835" xr:uid="{00000000-0005-0000-0000-00003B2E0000}"/>
    <cellStyle name="Normal 2 2 2 2 2 2 34 9" xfId="11836" xr:uid="{00000000-0005-0000-0000-00003C2E0000}"/>
    <cellStyle name="Normal 2 2 2 2 2 2 35" xfId="11837" xr:uid="{00000000-0005-0000-0000-00003D2E0000}"/>
    <cellStyle name="Normal 2 2 2 2 2 2 35 10" xfId="11838" xr:uid="{00000000-0005-0000-0000-00003E2E0000}"/>
    <cellStyle name="Normal 2 2 2 2 2 2 35 2" xfId="11839" xr:uid="{00000000-0005-0000-0000-00003F2E0000}"/>
    <cellStyle name="Normal 2 2 2 2 2 2 35 3" xfId="11840" xr:uid="{00000000-0005-0000-0000-0000402E0000}"/>
    <cellStyle name="Normal 2 2 2 2 2 2 35 4" xfId="11841" xr:uid="{00000000-0005-0000-0000-0000412E0000}"/>
    <cellStyle name="Normal 2 2 2 2 2 2 35 5" xfId="11842" xr:uid="{00000000-0005-0000-0000-0000422E0000}"/>
    <cellStyle name="Normal 2 2 2 2 2 2 35 6" xfId="11843" xr:uid="{00000000-0005-0000-0000-0000432E0000}"/>
    <cellStyle name="Normal 2 2 2 2 2 2 35 7" xfId="11844" xr:uid="{00000000-0005-0000-0000-0000442E0000}"/>
    <cellStyle name="Normal 2 2 2 2 2 2 35 8" xfId="11845" xr:uid="{00000000-0005-0000-0000-0000452E0000}"/>
    <cellStyle name="Normal 2 2 2 2 2 2 35 9" xfId="11846" xr:uid="{00000000-0005-0000-0000-0000462E0000}"/>
    <cellStyle name="Normal 2 2 2 2 2 2 36" xfId="11847" xr:uid="{00000000-0005-0000-0000-0000472E0000}"/>
    <cellStyle name="Normal 2 2 2 2 2 2 36 10" xfId="11848" xr:uid="{00000000-0005-0000-0000-0000482E0000}"/>
    <cellStyle name="Normal 2 2 2 2 2 2 36 2" xfId="11849" xr:uid="{00000000-0005-0000-0000-0000492E0000}"/>
    <cellStyle name="Normal 2 2 2 2 2 2 36 3" xfId="11850" xr:uid="{00000000-0005-0000-0000-00004A2E0000}"/>
    <cellStyle name="Normal 2 2 2 2 2 2 36 4" xfId="11851" xr:uid="{00000000-0005-0000-0000-00004B2E0000}"/>
    <cellStyle name="Normal 2 2 2 2 2 2 36 5" xfId="11852" xr:uid="{00000000-0005-0000-0000-00004C2E0000}"/>
    <cellStyle name="Normal 2 2 2 2 2 2 36 6" xfId="11853" xr:uid="{00000000-0005-0000-0000-00004D2E0000}"/>
    <cellStyle name="Normal 2 2 2 2 2 2 36 7" xfId="11854" xr:uid="{00000000-0005-0000-0000-00004E2E0000}"/>
    <cellStyle name="Normal 2 2 2 2 2 2 36 8" xfId="11855" xr:uid="{00000000-0005-0000-0000-00004F2E0000}"/>
    <cellStyle name="Normal 2 2 2 2 2 2 36 9" xfId="11856" xr:uid="{00000000-0005-0000-0000-0000502E0000}"/>
    <cellStyle name="Normal 2 2 2 2 2 2 37" xfId="11857" xr:uid="{00000000-0005-0000-0000-0000512E0000}"/>
    <cellStyle name="Normal 2 2 2 2 2 2 37 10" xfId="11858" xr:uid="{00000000-0005-0000-0000-0000522E0000}"/>
    <cellStyle name="Normal 2 2 2 2 2 2 37 2" xfId="11859" xr:uid="{00000000-0005-0000-0000-0000532E0000}"/>
    <cellStyle name="Normal 2 2 2 2 2 2 37 3" xfId="11860" xr:uid="{00000000-0005-0000-0000-0000542E0000}"/>
    <cellStyle name="Normal 2 2 2 2 2 2 37 4" xfId="11861" xr:uid="{00000000-0005-0000-0000-0000552E0000}"/>
    <cellStyle name="Normal 2 2 2 2 2 2 37 5" xfId="11862" xr:uid="{00000000-0005-0000-0000-0000562E0000}"/>
    <cellStyle name="Normal 2 2 2 2 2 2 37 6" xfId="11863" xr:uid="{00000000-0005-0000-0000-0000572E0000}"/>
    <cellStyle name="Normal 2 2 2 2 2 2 37 7" xfId="11864" xr:uid="{00000000-0005-0000-0000-0000582E0000}"/>
    <cellStyle name="Normal 2 2 2 2 2 2 37 8" xfId="11865" xr:uid="{00000000-0005-0000-0000-0000592E0000}"/>
    <cellStyle name="Normal 2 2 2 2 2 2 37 9" xfId="11866" xr:uid="{00000000-0005-0000-0000-00005A2E0000}"/>
    <cellStyle name="Normal 2 2 2 2 2 2 38" xfId="11867" xr:uid="{00000000-0005-0000-0000-00005B2E0000}"/>
    <cellStyle name="Normal 2 2 2 2 2 2 39" xfId="11868" xr:uid="{00000000-0005-0000-0000-00005C2E0000}"/>
    <cellStyle name="Normal 2 2 2 2 2 2 4" xfId="11869" xr:uid="{00000000-0005-0000-0000-00005D2E0000}"/>
    <cellStyle name="Normal 2 2 2 2 2 2 4 10" xfId="11870" xr:uid="{00000000-0005-0000-0000-00005E2E0000}"/>
    <cellStyle name="Normal 2 2 2 2 2 2 4 11" xfId="11871" xr:uid="{00000000-0005-0000-0000-00005F2E0000}"/>
    <cellStyle name="Normal 2 2 2 2 2 2 4 12" xfId="11872" xr:uid="{00000000-0005-0000-0000-0000602E0000}"/>
    <cellStyle name="Normal 2 2 2 2 2 2 4 13" xfId="11873" xr:uid="{00000000-0005-0000-0000-0000612E0000}"/>
    <cellStyle name="Normal 2 2 2 2 2 2 4 14" xfId="11874" xr:uid="{00000000-0005-0000-0000-0000622E0000}"/>
    <cellStyle name="Normal 2 2 2 2 2 2 4 2" xfId="11875" xr:uid="{00000000-0005-0000-0000-0000632E0000}"/>
    <cellStyle name="Normal 2 2 2 2 2 2 4 2 10" xfId="11876" xr:uid="{00000000-0005-0000-0000-0000642E0000}"/>
    <cellStyle name="Normal 2 2 2 2 2 2 4 2 2" xfId="11877" xr:uid="{00000000-0005-0000-0000-0000652E0000}"/>
    <cellStyle name="Normal 2 2 2 2 2 2 4 2 3" xfId="11878" xr:uid="{00000000-0005-0000-0000-0000662E0000}"/>
    <cellStyle name="Normal 2 2 2 2 2 2 4 2 4" xfId="11879" xr:uid="{00000000-0005-0000-0000-0000672E0000}"/>
    <cellStyle name="Normal 2 2 2 2 2 2 4 2 5" xfId="11880" xr:uid="{00000000-0005-0000-0000-0000682E0000}"/>
    <cellStyle name="Normal 2 2 2 2 2 2 4 2 6" xfId="11881" xr:uid="{00000000-0005-0000-0000-0000692E0000}"/>
    <cellStyle name="Normal 2 2 2 2 2 2 4 2 7" xfId="11882" xr:uid="{00000000-0005-0000-0000-00006A2E0000}"/>
    <cellStyle name="Normal 2 2 2 2 2 2 4 2 8" xfId="11883" xr:uid="{00000000-0005-0000-0000-00006B2E0000}"/>
    <cellStyle name="Normal 2 2 2 2 2 2 4 2 9" xfId="11884" xr:uid="{00000000-0005-0000-0000-00006C2E0000}"/>
    <cellStyle name="Normal 2 2 2 2 2 2 4 3" xfId="11885" xr:uid="{00000000-0005-0000-0000-00006D2E0000}"/>
    <cellStyle name="Normal 2 2 2 2 2 2 4 3 10" xfId="11886" xr:uid="{00000000-0005-0000-0000-00006E2E0000}"/>
    <cellStyle name="Normal 2 2 2 2 2 2 4 3 2" xfId="11887" xr:uid="{00000000-0005-0000-0000-00006F2E0000}"/>
    <cellStyle name="Normal 2 2 2 2 2 2 4 3 3" xfId="11888" xr:uid="{00000000-0005-0000-0000-0000702E0000}"/>
    <cellStyle name="Normal 2 2 2 2 2 2 4 3 4" xfId="11889" xr:uid="{00000000-0005-0000-0000-0000712E0000}"/>
    <cellStyle name="Normal 2 2 2 2 2 2 4 3 5" xfId="11890" xr:uid="{00000000-0005-0000-0000-0000722E0000}"/>
    <cellStyle name="Normal 2 2 2 2 2 2 4 3 6" xfId="11891" xr:uid="{00000000-0005-0000-0000-0000732E0000}"/>
    <cellStyle name="Normal 2 2 2 2 2 2 4 3 7" xfId="11892" xr:uid="{00000000-0005-0000-0000-0000742E0000}"/>
    <cellStyle name="Normal 2 2 2 2 2 2 4 3 8" xfId="11893" xr:uid="{00000000-0005-0000-0000-0000752E0000}"/>
    <cellStyle name="Normal 2 2 2 2 2 2 4 3 9" xfId="11894" xr:uid="{00000000-0005-0000-0000-0000762E0000}"/>
    <cellStyle name="Normal 2 2 2 2 2 2 4 4" xfId="11895" xr:uid="{00000000-0005-0000-0000-0000772E0000}"/>
    <cellStyle name="Normal 2 2 2 2 2 2 4 4 10" xfId="11896" xr:uid="{00000000-0005-0000-0000-0000782E0000}"/>
    <cellStyle name="Normal 2 2 2 2 2 2 4 4 2" xfId="11897" xr:uid="{00000000-0005-0000-0000-0000792E0000}"/>
    <cellStyle name="Normal 2 2 2 2 2 2 4 4 3" xfId="11898" xr:uid="{00000000-0005-0000-0000-00007A2E0000}"/>
    <cellStyle name="Normal 2 2 2 2 2 2 4 4 4" xfId="11899" xr:uid="{00000000-0005-0000-0000-00007B2E0000}"/>
    <cellStyle name="Normal 2 2 2 2 2 2 4 4 5" xfId="11900" xr:uid="{00000000-0005-0000-0000-00007C2E0000}"/>
    <cellStyle name="Normal 2 2 2 2 2 2 4 4 6" xfId="11901" xr:uid="{00000000-0005-0000-0000-00007D2E0000}"/>
    <cellStyle name="Normal 2 2 2 2 2 2 4 4 7" xfId="11902" xr:uid="{00000000-0005-0000-0000-00007E2E0000}"/>
    <cellStyle name="Normal 2 2 2 2 2 2 4 4 8" xfId="11903" xr:uid="{00000000-0005-0000-0000-00007F2E0000}"/>
    <cellStyle name="Normal 2 2 2 2 2 2 4 4 9" xfId="11904" xr:uid="{00000000-0005-0000-0000-0000802E0000}"/>
    <cellStyle name="Normal 2 2 2 2 2 2 4 5" xfId="11905" xr:uid="{00000000-0005-0000-0000-0000812E0000}"/>
    <cellStyle name="Normal 2 2 2 2 2 2 4 5 10" xfId="11906" xr:uid="{00000000-0005-0000-0000-0000822E0000}"/>
    <cellStyle name="Normal 2 2 2 2 2 2 4 5 2" xfId="11907" xr:uid="{00000000-0005-0000-0000-0000832E0000}"/>
    <cellStyle name="Normal 2 2 2 2 2 2 4 5 3" xfId="11908" xr:uid="{00000000-0005-0000-0000-0000842E0000}"/>
    <cellStyle name="Normal 2 2 2 2 2 2 4 5 4" xfId="11909" xr:uid="{00000000-0005-0000-0000-0000852E0000}"/>
    <cellStyle name="Normal 2 2 2 2 2 2 4 5 5" xfId="11910" xr:uid="{00000000-0005-0000-0000-0000862E0000}"/>
    <cellStyle name="Normal 2 2 2 2 2 2 4 5 6" xfId="11911" xr:uid="{00000000-0005-0000-0000-0000872E0000}"/>
    <cellStyle name="Normal 2 2 2 2 2 2 4 5 7" xfId="11912" xr:uid="{00000000-0005-0000-0000-0000882E0000}"/>
    <cellStyle name="Normal 2 2 2 2 2 2 4 5 8" xfId="11913" xr:uid="{00000000-0005-0000-0000-0000892E0000}"/>
    <cellStyle name="Normal 2 2 2 2 2 2 4 5 9" xfId="11914" xr:uid="{00000000-0005-0000-0000-00008A2E0000}"/>
    <cellStyle name="Normal 2 2 2 2 2 2 4 6" xfId="11915" xr:uid="{00000000-0005-0000-0000-00008B2E0000}"/>
    <cellStyle name="Normal 2 2 2 2 2 2 4 7" xfId="11916" xr:uid="{00000000-0005-0000-0000-00008C2E0000}"/>
    <cellStyle name="Normal 2 2 2 2 2 2 4 8" xfId="11917" xr:uid="{00000000-0005-0000-0000-00008D2E0000}"/>
    <cellStyle name="Normal 2 2 2 2 2 2 4 9" xfId="11918" xr:uid="{00000000-0005-0000-0000-00008E2E0000}"/>
    <cellStyle name="Normal 2 2 2 2 2 2 40" xfId="11919" xr:uid="{00000000-0005-0000-0000-00008F2E0000}"/>
    <cellStyle name="Normal 2 2 2 2 2 2 41" xfId="11920" xr:uid="{00000000-0005-0000-0000-0000902E0000}"/>
    <cellStyle name="Normal 2 2 2 2 2 2 42" xfId="11921" xr:uid="{00000000-0005-0000-0000-0000912E0000}"/>
    <cellStyle name="Normal 2 2 2 2 2 2 43" xfId="11922" xr:uid="{00000000-0005-0000-0000-0000922E0000}"/>
    <cellStyle name="Normal 2 2 2 2 2 2 44" xfId="11923" xr:uid="{00000000-0005-0000-0000-0000932E0000}"/>
    <cellStyle name="Normal 2 2 2 2 2 2 45" xfId="11924" xr:uid="{00000000-0005-0000-0000-0000942E0000}"/>
    <cellStyle name="Normal 2 2 2 2 2 2 46" xfId="11925" xr:uid="{00000000-0005-0000-0000-0000952E0000}"/>
    <cellStyle name="Normal 2 2 2 2 2 2 47" xfId="11926" xr:uid="{00000000-0005-0000-0000-0000962E0000}"/>
    <cellStyle name="Normal 2 2 2 2 2 2 48" xfId="11927" xr:uid="{00000000-0005-0000-0000-0000972E0000}"/>
    <cellStyle name="Normal 2 2 2 2 2 2 5" xfId="11928" xr:uid="{00000000-0005-0000-0000-0000982E0000}"/>
    <cellStyle name="Normal 2 2 2 2 2 2 5 10" xfId="11929" xr:uid="{00000000-0005-0000-0000-0000992E0000}"/>
    <cellStyle name="Normal 2 2 2 2 2 2 5 11" xfId="11930" xr:uid="{00000000-0005-0000-0000-00009A2E0000}"/>
    <cellStyle name="Normal 2 2 2 2 2 2 5 12" xfId="11931" xr:uid="{00000000-0005-0000-0000-00009B2E0000}"/>
    <cellStyle name="Normal 2 2 2 2 2 2 5 13" xfId="11932" xr:uid="{00000000-0005-0000-0000-00009C2E0000}"/>
    <cellStyle name="Normal 2 2 2 2 2 2 5 14" xfId="11933" xr:uid="{00000000-0005-0000-0000-00009D2E0000}"/>
    <cellStyle name="Normal 2 2 2 2 2 2 5 2" xfId="11934" xr:uid="{00000000-0005-0000-0000-00009E2E0000}"/>
    <cellStyle name="Normal 2 2 2 2 2 2 5 2 10" xfId="11935" xr:uid="{00000000-0005-0000-0000-00009F2E0000}"/>
    <cellStyle name="Normal 2 2 2 2 2 2 5 2 2" xfId="11936" xr:uid="{00000000-0005-0000-0000-0000A02E0000}"/>
    <cellStyle name="Normal 2 2 2 2 2 2 5 2 3" xfId="11937" xr:uid="{00000000-0005-0000-0000-0000A12E0000}"/>
    <cellStyle name="Normal 2 2 2 2 2 2 5 2 4" xfId="11938" xr:uid="{00000000-0005-0000-0000-0000A22E0000}"/>
    <cellStyle name="Normal 2 2 2 2 2 2 5 2 5" xfId="11939" xr:uid="{00000000-0005-0000-0000-0000A32E0000}"/>
    <cellStyle name="Normal 2 2 2 2 2 2 5 2 6" xfId="11940" xr:uid="{00000000-0005-0000-0000-0000A42E0000}"/>
    <cellStyle name="Normal 2 2 2 2 2 2 5 2 7" xfId="11941" xr:uid="{00000000-0005-0000-0000-0000A52E0000}"/>
    <cellStyle name="Normal 2 2 2 2 2 2 5 2 8" xfId="11942" xr:uid="{00000000-0005-0000-0000-0000A62E0000}"/>
    <cellStyle name="Normal 2 2 2 2 2 2 5 2 9" xfId="11943" xr:uid="{00000000-0005-0000-0000-0000A72E0000}"/>
    <cellStyle name="Normal 2 2 2 2 2 2 5 3" xfId="11944" xr:uid="{00000000-0005-0000-0000-0000A82E0000}"/>
    <cellStyle name="Normal 2 2 2 2 2 2 5 3 10" xfId="11945" xr:uid="{00000000-0005-0000-0000-0000A92E0000}"/>
    <cellStyle name="Normal 2 2 2 2 2 2 5 3 2" xfId="11946" xr:uid="{00000000-0005-0000-0000-0000AA2E0000}"/>
    <cellStyle name="Normal 2 2 2 2 2 2 5 3 3" xfId="11947" xr:uid="{00000000-0005-0000-0000-0000AB2E0000}"/>
    <cellStyle name="Normal 2 2 2 2 2 2 5 3 4" xfId="11948" xr:uid="{00000000-0005-0000-0000-0000AC2E0000}"/>
    <cellStyle name="Normal 2 2 2 2 2 2 5 3 5" xfId="11949" xr:uid="{00000000-0005-0000-0000-0000AD2E0000}"/>
    <cellStyle name="Normal 2 2 2 2 2 2 5 3 6" xfId="11950" xr:uid="{00000000-0005-0000-0000-0000AE2E0000}"/>
    <cellStyle name="Normal 2 2 2 2 2 2 5 3 7" xfId="11951" xr:uid="{00000000-0005-0000-0000-0000AF2E0000}"/>
    <cellStyle name="Normal 2 2 2 2 2 2 5 3 8" xfId="11952" xr:uid="{00000000-0005-0000-0000-0000B02E0000}"/>
    <cellStyle name="Normal 2 2 2 2 2 2 5 3 9" xfId="11953" xr:uid="{00000000-0005-0000-0000-0000B12E0000}"/>
    <cellStyle name="Normal 2 2 2 2 2 2 5 4" xfId="11954" xr:uid="{00000000-0005-0000-0000-0000B22E0000}"/>
    <cellStyle name="Normal 2 2 2 2 2 2 5 4 10" xfId="11955" xr:uid="{00000000-0005-0000-0000-0000B32E0000}"/>
    <cellStyle name="Normal 2 2 2 2 2 2 5 4 2" xfId="11956" xr:uid="{00000000-0005-0000-0000-0000B42E0000}"/>
    <cellStyle name="Normal 2 2 2 2 2 2 5 4 3" xfId="11957" xr:uid="{00000000-0005-0000-0000-0000B52E0000}"/>
    <cellStyle name="Normal 2 2 2 2 2 2 5 4 4" xfId="11958" xr:uid="{00000000-0005-0000-0000-0000B62E0000}"/>
    <cellStyle name="Normal 2 2 2 2 2 2 5 4 5" xfId="11959" xr:uid="{00000000-0005-0000-0000-0000B72E0000}"/>
    <cellStyle name="Normal 2 2 2 2 2 2 5 4 6" xfId="11960" xr:uid="{00000000-0005-0000-0000-0000B82E0000}"/>
    <cellStyle name="Normal 2 2 2 2 2 2 5 4 7" xfId="11961" xr:uid="{00000000-0005-0000-0000-0000B92E0000}"/>
    <cellStyle name="Normal 2 2 2 2 2 2 5 4 8" xfId="11962" xr:uid="{00000000-0005-0000-0000-0000BA2E0000}"/>
    <cellStyle name="Normal 2 2 2 2 2 2 5 4 9" xfId="11963" xr:uid="{00000000-0005-0000-0000-0000BB2E0000}"/>
    <cellStyle name="Normal 2 2 2 2 2 2 5 5" xfId="11964" xr:uid="{00000000-0005-0000-0000-0000BC2E0000}"/>
    <cellStyle name="Normal 2 2 2 2 2 2 5 5 10" xfId="11965" xr:uid="{00000000-0005-0000-0000-0000BD2E0000}"/>
    <cellStyle name="Normal 2 2 2 2 2 2 5 5 2" xfId="11966" xr:uid="{00000000-0005-0000-0000-0000BE2E0000}"/>
    <cellStyle name="Normal 2 2 2 2 2 2 5 5 3" xfId="11967" xr:uid="{00000000-0005-0000-0000-0000BF2E0000}"/>
    <cellStyle name="Normal 2 2 2 2 2 2 5 5 4" xfId="11968" xr:uid="{00000000-0005-0000-0000-0000C02E0000}"/>
    <cellStyle name="Normal 2 2 2 2 2 2 5 5 5" xfId="11969" xr:uid="{00000000-0005-0000-0000-0000C12E0000}"/>
    <cellStyle name="Normal 2 2 2 2 2 2 5 5 6" xfId="11970" xr:uid="{00000000-0005-0000-0000-0000C22E0000}"/>
    <cellStyle name="Normal 2 2 2 2 2 2 5 5 7" xfId="11971" xr:uid="{00000000-0005-0000-0000-0000C32E0000}"/>
    <cellStyle name="Normal 2 2 2 2 2 2 5 5 8" xfId="11972" xr:uid="{00000000-0005-0000-0000-0000C42E0000}"/>
    <cellStyle name="Normal 2 2 2 2 2 2 5 5 9" xfId="11973" xr:uid="{00000000-0005-0000-0000-0000C52E0000}"/>
    <cellStyle name="Normal 2 2 2 2 2 2 5 6" xfId="11974" xr:uid="{00000000-0005-0000-0000-0000C62E0000}"/>
    <cellStyle name="Normal 2 2 2 2 2 2 5 7" xfId="11975" xr:uid="{00000000-0005-0000-0000-0000C72E0000}"/>
    <cellStyle name="Normal 2 2 2 2 2 2 5 8" xfId="11976" xr:uid="{00000000-0005-0000-0000-0000C82E0000}"/>
    <cellStyle name="Normal 2 2 2 2 2 2 5 9" xfId="11977" xr:uid="{00000000-0005-0000-0000-0000C92E0000}"/>
    <cellStyle name="Normal 2 2 2 2 2 2 6" xfId="11978" xr:uid="{00000000-0005-0000-0000-0000CA2E0000}"/>
    <cellStyle name="Normal 2 2 2 2 2 2 6 10" xfId="11979" xr:uid="{00000000-0005-0000-0000-0000CB2E0000}"/>
    <cellStyle name="Normal 2 2 2 2 2 2 6 11" xfId="11980" xr:uid="{00000000-0005-0000-0000-0000CC2E0000}"/>
    <cellStyle name="Normal 2 2 2 2 2 2 6 12" xfId="11981" xr:uid="{00000000-0005-0000-0000-0000CD2E0000}"/>
    <cellStyle name="Normal 2 2 2 2 2 2 6 13" xfId="11982" xr:uid="{00000000-0005-0000-0000-0000CE2E0000}"/>
    <cellStyle name="Normal 2 2 2 2 2 2 6 14" xfId="11983" xr:uid="{00000000-0005-0000-0000-0000CF2E0000}"/>
    <cellStyle name="Normal 2 2 2 2 2 2 6 2" xfId="11984" xr:uid="{00000000-0005-0000-0000-0000D02E0000}"/>
    <cellStyle name="Normal 2 2 2 2 2 2 6 2 10" xfId="11985" xr:uid="{00000000-0005-0000-0000-0000D12E0000}"/>
    <cellStyle name="Normal 2 2 2 2 2 2 6 2 2" xfId="11986" xr:uid="{00000000-0005-0000-0000-0000D22E0000}"/>
    <cellStyle name="Normal 2 2 2 2 2 2 6 2 3" xfId="11987" xr:uid="{00000000-0005-0000-0000-0000D32E0000}"/>
    <cellStyle name="Normal 2 2 2 2 2 2 6 2 4" xfId="11988" xr:uid="{00000000-0005-0000-0000-0000D42E0000}"/>
    <cellStyle name="Normal 2 2 2 2 2 2 6 2 5" xfId="11989" xr:uid="{00000000-0005-0000-0000-0000D52E0000}"/>
    <cellStyle name="Normal 2 2 2 2 2 2 6 2 6" xfId="11990" xr:uid="{00000000-0005-0000-0000-0000D62E0000}"/>
    <cellStyle name="Normal 2 2 2 2 2 2 6 2 7" xfId="11991" xr:uid="{00000000-0005-0000-0000-0000D72E0000}"/>
    <cellStyle name="Normal 2 2 2 2 2 2 6 2 8" xfId="11992" xr:uid="{00000000-0005-0000-0000-0000D82E0000}"/>
    <cellStyle name="Normal 2 2 2 2 2 2 6 2 9" xfId="11993" xr:uid="{00000000-0005-0000-0000-0000D92E0000}"/>
    <cellStyle name="Normal 2 2 2 2 2 2 6 3" xfId="11994" xr:uid="{00000000-0005-0000-0000-0000DA2E0000}"/>
    <cellStyle name="Normal 2 2 2 2 2 2 6 3 10" xfId="11995" xr:uid="{00000000-0005-0000-0000-0000DB2E0000}"/>
    <cellStyle name="Normal 2 2 2 2 2 2 6 3 2" xfId="11996" xr:uid="{00000000-0005-0000-0000-0000DC2E0000}"/>
    <cellStyle name="Normal 2 2 2 2 2 2 6 3 3" xfId="11997" xr:uid="{00000000-0005-0000-0000-0000DD2E0000}"/>
    <cellStyle name="Normal 2 2 2 2 2 2 6 3 4" xfId="11998" xr:uid="{00000000-0005-0000-0000-0000DE2E0000}"/>
    <cellStyle name="Normal 2 2 2 2 2 2 6 3 5" xfId="11999" xr:uid="{00000000-0005-0000-0000-0000DF2E0000}"/>
    <cellStyle name="Normal 2 2 2 2 2 2 6 3 6" xfId="12000" xr:uid="{00000000-0005-0000-0000-0000E02E0000}"/>
    <cellStyle name="Normal 2 2 2 2 2 2 6 3 7" xfId="12001" xr:uid="{00000000-0005-0000-0000-0000E12E0000}"/>
    <cellStyle name="Normal 2 2 2 2 2 2 6 3 8" xfId="12002" xr:uid="{00000000-0005-0000-0000-0000E22E0000}"/>
    <cellStyle name="Normal 2 2 2 2 2 2 6 3 9" xfId="12003" xr:uid="{00000000-0005-0000-0000-0000E32E0000}"/>
    <cellStyle name="Normal 2 2 2 2 2 2 6 4" xfId="12004" xr:uid="{00000000-0005-0000-0000-0000E42E0000}"/>
    <cellStyle name="Normal 2 2 2 2 2 2 6 4 10" xfId="12005" xr:uid="{00000000-0005-0000-0000-0000E52E0000}"/>
    <cellStyle name="Normal 2 2 2 2 2 2 6 4 2" xfId="12006" xr:uid="{00000000-0005-0000-0000-0000E62E0000}"/>
    <cellStyle name="Normal 2 2 2 2 2 2 6 4 3" xfId="12007" xr:uid="{00000000-0005-0000-0000-0000E72E0000}"/>
    <cellStyle name="Normal 2 2 2 2 2 2 6 4 4" xfId="12008" xr:uid="{00000000-0005-0000-0000-0000E82E0000}"/>
    <cellStyle name="Normal 2 2 2 2 2 2 6 4 5" xfId="12009" xr:uid="{00000000-0005-0000-0000-0000E92E0000}"/>
    <cellStyle name="Normal 2 2 2 2 2 2 6 4 6" xfId="12010" xr:uid="{00000000-0005-0000-0000-0000EA2E0000}"/>
    <cellStyle name="Normal 2 2 2 2 2 2 6 4 7" xfId="12011" xr:uid="{00000000-0005-0000-0000-0000EB2E0000}"/>
    <cellStyle name="Normal 2 2 2 2 2 2 6 4 8" xfId="12012" xr:uid="{00000000-0005-0000-0000-0000EC2E0000}"/>
    <cellStyle name="Normal 2 2 2 2 2 2 6 4 9" xfId="12013" xr:uid="{00000000-0005-0000-0000-0000ED2E0000}"/>
    <cellStyle name="Normal 2 2 2 2 2 2 6 5" xfId="12014" xr:uid="{00000000-0005-0000-0000-0000EE2E0000}"/>
    <cellStyle name="Normal 2 2 2 2 2 2 6 5 10" xfId="12015" xr:uid="{00000000-0005-0000-0000-0000EF2E0000}"/>
    <cellStyle name="Normal 2 2 2 2 2 2 6 5 2" xfId="12016" xr:uid="{00000000-0005-0000-0000-0000F02E0000}"/>
    <cellStyle name="Normal 2 2 2 2 2 2 6 5 3" xfId="12017" xr:uid="{00000000-0005-0000-0000-0000F12E0000}"/>
    <cellStyle name="Normal 2 2 2 2 2 2 6 5 4" xfId="12018" xr:uid="{00000000-0005-0000-0000-0000F22E0000}"/>
    <cellStyle name="Normal 2 2 2 2 2 2 6 5 5" xfId="12019" xr:uid="{00000000-0005-0000-0000-0000F32E0000}"/>
    <cellStyle name="Normal 2 2 2 2 2 2 6 5 6" xfId="12020" xr:uid="{00000000-0005-0000-0000-0000F42E0000}"/>
    <cellStyle name="Normal 2 2 2 2 2 2 6 5 7" xfId="12021" xr:uid="{00000000-0005-0000-0000-0000F52E0000}"/>
    <cellStyle name="Normal 2 2 2 2 2 2 6 5 8" xfId="12022" xr:uid="{00000000-0005-0000-0000-0000F62E0000}"/>
    <cellStyle name="Normal 2 2 2 2 2 2 6 5 9" xfId="12023" xr:uid="{00000000-0005-0000-0000-0000F72E0000}"/>
    <cellStyle name="Normal 2 2 2 2 2 2 6 6" xfId="12024" xr:uid="{00000000-0005-0000-0000-0000F82E0000}"/>
    <cellStyle name="Normal 2 2 2 2 2 2 6 7" xfId="12025" xr:uid="{00000000-0005-0000-0000-0000F92E0000}"/>
    <cellStyle name="Normal 2 2 2 2 2 2 6 8" xfId="12026" xr:uid="{00000000-0005-0000-0000-0000FA2E0000}"/>
    <cellStyle name="Normal 2 2 2 2 2 2 6 9" xfId="12027" xr:uid="{00000000-0005-0000-0000-0000FB2E0000}"/>
    <cellStyle name="Normal 2 2 2 2 2 2 7" xfId="12028" xr:uid="{00000000-0005-0000-0000-0000FC2E0000}"/>
    <cellStyle name="Normal 2 2 2 2 2 2 7 10" xfId="12029" xr:uid="{00000000-0005-0000-0000-0000FD2E0000}"/>
    <cellStyle name="Normal 2 2 2 2 2 2 7 11" xfId="12030" xr:uid="{00000000-0005-0000-0000-0000FE2E0000}"/>
    <cellStyle name="Normal 2 2 2 2 2 2 7 12" xfId="12031" xr:uid="{00000000-0005-0000-0000-0000FF2E0000}"/>
    <cellStyle name="Normal 2 2 2 2 2 2 7 13" xfId="12032" xr:uid="{00000000-0005-0000-0000-0000002F0000}"/>
    <cellStyle name="Normal 2 2 2 2 2 2 7 14" xfId="12033" xr:uid="{00000000-0005-0000-0000-0000012F0000}"/>
    <cellStyle name="Normal 2 2 2 2 2 2 7 2" xfId="12034" xr:uid="{00000000-0005-0000-0000-0000022F0000}"/>
    <cellStyle name="Normal 2 2 2 2 2 2 7 2 10" xfId="12035" xr:uid="{00000000-0005-0000-0000-0000032F0000}"/>
    <cellStyle name="Normal 2 2 2 2 2 2 7 2 2" xfId="12036" xr:uid="{00000000-0005-0000-0000-0000042F0000}"/>
    <cellStyle name="Normal 2 2 2 2 2 2 7 2 3" xfId="12037" xr:uid="{00000000-0005-0000-0000-0000052F0000}"/>
    <cellStyle name="Normal 2 2 2 2 2 2 7 2 4" xfId="12038" xr:uid="{00000000-0005-0000-0000-0000062F0000}"/>
    <cellStyle name="Normal 2 2 2 2 2 2 7 2 5" xfId="12039" xr:uid="{00000000-0005-0000-0000-0000072F0000}"/>
    <cellStyle name="Normal 2 2 2 2 2 2 7 2 6" xfId="12040" xr:uid="{00000000-0005-0000-0000-0000082F0000}"/>
    <cellStyle name="Normal 2 2 2 2 2 2 7 2 7" xfId="12041" xr:uid="{00000000-0005-0000-0000-0000092F0000}"/>
    <cellStyle name="Normal 2 2 2 2 2 2 7 2 8" xfId="12042" xr:uid="{00000000-0005-0000-0000-00000A2F0000}"/>
    <cellStyle name="Normal 2 2 2 2 2 2 7 2 9" xfId="12043" xr:uid="{00000000-0005-0000-0000-00000B2F0000}"/>
    <cellStyle name="Normal 2 2 2 2 2 2 7 3" xfId="12044" xr:uid="{00000000-0005-0000-0000-00000C2F0000}"/>
    <cellStyle name="Normal 2 2 2 2 2 2 7 3 10" xfId="12045" xr:uid="{00000000-0005-0000-0000-00000D2F0000}"/>
    <cellStyle name="Normal 2 2 2 2 2 2 7 3 2" xfId="12046" xr:uid="{00000000-0005-0000-0000-00000E2F0000}"/>
    <cellStyle name="Normal 2 2 2 2 2 2 7 3 3" xfId="12047" xr:uid="{00000000-0005-0000-0000-00000F2F0000}"/>
    <cellStyle name="Normal 2 2 2 2 2 2 7 3 4" xfId="12048" xr:uid="{00000000-0005-0000-0000-0000102F0000}"/>
    <cellStyle name="Normal 2 2 2 2 2 2 7 3 5" xfId="12049" xr:uid="{00000000-0005-0000-0000-0000112F0000}"/>
    <cellStyle name="Normal 2 2 2 2 2 2 7 3 6" xfId="12050" xr:uid="{00000000-0005-0000-0000-0000122F0000}"/>
    <cellStyle name="Normal 2 2 2 2 2 2 7 3 7" xfId="12051" xr:uid="{00000000-0005-0000-0000-0000132F0000}"/>
    <cellStyle name="Normal 2 2 2 2 2 2 7 3 8" xfId="12052" xr:uid="{00000000-0005-0000-0000-0000142F0000}"/>
    <cellStyle name="Normal 2 2 2 2 2 2 7 3 9" xfId="12053" xr:uid="{00000000-0005-0000-0000-0000152F0000}"/>
    <cellStyle name="Normal 2 2 2 2 2 2 7 4" xfId="12054" xr:uid="{00000000-0005-0000-0000-0000162F0000}"/>
    <cellStyle name="Normal 2 2 2 2 2 2 7 4 10" xfId="12055" xr:uid="{00000000-0005-0000-0000-0000172F0000}"/>
    <cellStyle name="Normal 2 2 2 2 2 2 7 4 2" xfId="12056" xr:uid="{00000000-0005-0000-0000-0000182F0000}"/>
    <cellStyle name="Normal 2 2 2 2 2 2 7 4 3" xfId="12057" xr:uid="{00000000-0005-0000-0000-0000192F0000}"/>
    <cellStyle name="Normal 2 2 2 2 2 2 7 4 4" xfId="12058" xr:uid="{00000000-0005-0000-0000-00001A2F0000}"/>
    <cellStyle name="Normal 2 2 2 2 2 2 7 4 5" xfId="12059" xr:uid="{00000000-0005-0000-0000-00001B2F0000}"/>
    <cellStyle name="Normal 2 2 2 2 2 2 7 4 6" xfId="12060" xr:uid="{00000000-0005-0000-0000-00001C2F0000}"/>
    <cellStyle name="Normal 2 2 2 2 2 2 7 4 7" xfId="12061" xr:uid="{00000000-0005-0000-0000-00001D2F0000}"/>
    <cellStyle name="Normal 2 2 2 2 2 2 7 4 8" xfId="12062" xr:uid="{00000000-0005-0000-0000-00001E2F0000}"/>
    <cellStyle name="Normal 2 2 2 2 2 2 7 4 9" xfId="12063" xr:uid="{00000000-0005-0000-0000-00001F2F0000}"/>
    <cellStyle name="Normal 2 2 2 2 2 2 7 5" xfId="12064" xr:uid="{00000000-0005-0000-0000-0000202F0000}"/>
    <cellStyle name="Normal 2 2 2 2 2 2 7 5 10" xfId="12065" xr:uid="{00000000-0005-0000-0000-0000212F0000}"/>
    <cellStyle name="Normal 2 2 2 2 2 2 7 5 2" xfId="12066" xr:uid="{00000000-0005-0000-0000-0000222F0000}"/>
    <cellStyle name="Normal 2 2 2 2 2 2 7 5 3" xfId="12067" xr:uid="{00000000-0005-0000-0000-0000232F0000}"/>
    <cellStyle name="Normal 2 2 2 2 2 2 7 5 4" xfId="12068" xr:uid="{00000000-0005-0000-0000-0000242F0000}"/>
    <cellStyle name="Normal 2 2 2 2 2 2 7 5 5" xfId="12069" xr:uid="{00000000-0005-0000-0000-0000252F0000}"/>
    <cellStyle name="Normal 2 2 2 2 2 2 7 5 6" xfId="12070" xr:uid="{00000000-0005-0000-0000-0000262F0000}"/>
    <cellStyle name="Normal 2 2 2 2 2 2 7 5 7" xfId="12071" xr:uid="{00000000-0005-0000-0000-0000272F0000}"/>
    <cellStyle name="Normal 2 2 2 2 2 2 7 5 8" xfId="12072" xr:uid="{00000000-0005-0000-0000-0000282F0000}"/>
    <cellStyle name="Normal 2 2 2 2 2 2 7 5 9" xfId="12073" xr:uid="{00000000-0005-0000-0000-0000292F0000}"/>
    <cellStyle name="Normal 2 2 2 2 2 2 7 6" xfId="12074" xr:uid="{00000000-0005-0000-0000-00002A2F0000}"/>
    <cellStyle name="Normal 2 2 2 2 2 2 7 7" xfId="12075" xr:uid="{00000000-0005-0000-0000-00002B2F0000}"/>
    <cellStyle name="Normal 2 2 2 2 2 2 7 8" xfId="12076" xr:uid="{00000000-0005-0000-0000-00002C2F0000}"/>
    <cellStyle name="Normal 2 2 2 2 2 2 7 9" xfId="12077" xr:uid="{00000000-0005-0000-0000-00002D2F0000}"/>
    <cellStyle name="Normal 2 2 2 2 2 2 8" xfId="12078" xr:uid="{00000000-0005-0000-0000-00002E2F0000}"/>
    <cellStyle name="Normal 2 2 2 2 2 2 8 10" xfId="12079" xr:uid="{00000000-0005-0000-0000-00002F2F0000}"/>
    <cellStyle name="Normal 2 2 2 2 2 2 8 11" xfId="12080" xr:uid="{00000000-0005-0000-0000-0000302F0000}"/>
    <cellStyle name="Normal 2 2 2 2 2 2 8 12" xfId="12081" xr:uid="{00000000-0005-0000-0000-0000312F0000}"/>
    <cellStyle name="Normal 2 2 2 2 2 2 8 13" xfId="12082" xr:uid="{00000000-0005-0000-0000-0000322F0000}"/>
    <cellStyle name="Normal 2 2 2 2 2 2 8 14" xfId="12083" xr:uid="{00000000-0005-0000-0000-0000332F0000}"/>
    <cellStyle name="Normal 2 2 2 2 2 2 8 2" xfId="12084" xr:uid="{00000000-0005-0000-0000-0000342F0000}"/>
    <cellStyle name="Normal 2 2 2 2 2 2 8 2 10" xfId="12085" xr:uid="{00000000-0005-0000-0000-0000352F0000}"/>
    <cellStyle name="Normal 2 2 2 2 2 2 8 2 2" xfId="12086" xr:uid="{00000000-0005-0000-0000-0000362F0000}"/>
    <cellStyle name="Normal 2 2 2 2 2 2 8 2 3" xfId="12087" xr:uid="{00000000-0005-0000-0000-0000372F0000}"/>
    <cellStyle name="Normal 2 2 2 2 2 2 8 2 4" xfId="12088" xr:uid="{00000000-0005-0000-0000-0000382F0000}"/>
    <cellStyle name="Normal 2 2 2 2 2 2 8 2 5" xfId="12089" xr:uid="{00000000-0005-0000-0000-0000392F0000}"/>
    <cellStyle name="Normal 2 2 2 2 2 2 8 2 6" xfId="12090" xr:uid="{00000000-0005-0000-0000-00003A2F0000}"/>
    <cellStyle name="Normal 2 2 2 2 2 2 8 2 7" xfId="12091" xr:uid="{00000000-0005-0000-0000-00003B2F0000}"/>
    <cellStyle name="Normal 2 2 2 2 2 2 8 2 8" xfId="12092" xr:uid="{00000000-0005-0000-0000-00003C2F0000}"/>
    <cellStyle name="Normal 2 2 2 2 2 2 8 2 9" xfId="12093" xr:uid="{00000000-0005-0000-0000-00003D2F0000}"/>
    <cellStyle name="Normal 2 2 2 2 2 2 8 3" xfId="12094" xr:uid="{00000000-0005-0000-0000-00003E2F0000}"/>
    <cellStyle name="Normal 2 2 2 2 2 2 8 3 10" xfId="12095" xr:uid="{00000000-0005-0000-0000-00003F2F0000}"/>
    <cellStyle name="Normal 2 2 2 2 2 2 8 3 2" xfId="12096" xr:uid="{00000000-0005-0000-0000-0000402F0000}"/>
    <cellStyle name="Normal 2 2 2 2 2 2 8 3 3" xfId="12097" xr:uid="{00000000-0005-0000-0000-0000412F0000}"/>
    <cellStyle name="Normal 2 2 2 2 2 2 8 3 4" xfId="12098" xr:uid="{00000000-0005-0000-0000-0000422F0000}"/>
    <cellStyle name="Normal 2 2 2 2 2 2 8 3 5" xfId="12099" xr:uid="{00000000-0005-0000-0000-0000432F0000}"/>
    <cellStyle name="Normal 2 2 2 2 2 2 8 3 6" xfId="12100" xr:uid="{00000000-0005-0000-0000-0000442F0000}"/>
    <cellStyle name="Normal 2 2 2 2 2 2 8 3 7" xfId="12101" xr:uid="{00000000-0005-0000-0000-0000452F0000}"/>
    <cellStyle name="Normal 2 2 2 2 2 2 8 3 8" xfId="12102" xr:uid="{00000000-0005-0000-0000-0000462F0000}"/>
    <cellStyle name="Normal 2 2 2 2 2 2 8 3 9" xfId="12103" xr:uid="{00000000-0005-0000-0000-0000472F0000}"/>
    <cellStyle name="Normal 2 2 2 2 2 2 8 4" xfId="12104" xr:uid="{00000000-0005-0000-0000-0000482F0000}"/>
    <cellStyle name="Normal 2 2 2 2 2 2 8 4 10" xfId="12105" xr:uid="{00000000-0005-0000-0000-0000492F0000}"/>
    <cellStyle name="Normal 2 2 2 2 2 2 8 4 2" xfId="12106" xr:uid="{00000000-0005-0000-0000-00004A2F0000}"/>
    <cellStyle name="Normal 2 2 2 2 2 2 8 4 3" xfId="12107" xr:uid="{00000000-0005-0000-0000-00004B2F0000}"/>
    <cellStyle name="Normal 2 2 2 2 2 2 8 4 4" xfId="12108" xr:uid="{00000000-0005-0000-0000-00004C2F0000}"/>
    <cellStyle name="Normal 2 2 2 2 2 2 8 4 5" xfId="12109" xr:uid="{00000000-0005-0000-0000-00004D2F0000}"/>
    <cellStyle name="Normal 2 2 2 2 2 2 8 4 6" xfId="12110" xr:uid="{00000000-0005-0000-0000-00004E2F0000}"/>
    <cellStyle name="Normal 2 2 2 2 2 2 8 4 7" xfId="12111" xr:uid="{00000000-0005-0000-0000-00004F2F0000}"/>
    <cellStyle name="Normal 2 2 2 2 2 2 8 4 8" xfId="12112" xr:uid="{00000000-0005-0000-0000-0000502F0000}"/>
    <cellStyle name="Normal 2 2 2 2 2 2 8 4 9" xfId="12113" xr:uid="{00000000-0005-0000-0000-0000512F0000}"/>
    <cellStyle name="Normal 2 2 2 2 2 2 8 5" xfId="12114" xr:uid="{00000000-0005-0000-0000-0000522F0000}"/>
    <cellStyle name="Normal 2 2 2 2 2 2 8 5 10" xfId="12115" xr:uid="{00000000-0005-0000-0000-0000532F0000}"/>
    <cellStyle name="Normal 2 2 2 2 2 2 8 5 2" xfId="12116" xr:uid="{00000000-0005-0000-0000-0000542F0000}"/>
    <cellStyle name="Normal 2 2 2 2 2 2 8 5 3" xfId="12117" xr:uid="{00000000-0005-0000-0000-0000552F0000}"/>
    <cellStyle name="Normal 2 2 2 2 2 2 8 5 4" xfId="12118" xr:uid="{00000000-0005-0000-0000-0000562F0000}"/>
    <cellStyle name="Normal 2 2 2 2 2 2 8 5 5" xfId="12119" xr:uid="{00000000-0005-0000-0000-0000572F0000}"/>
    <cellStyle name="Normal 2 2 2 2 2 2 8 5 6" xfId="12120" xr:uid="{00000000-0005-0000-0000-0000582F0000}"/>
    <cellStyle name="Normal 2 2 2 2 2 2 8 5 7" xfId="12121" xr:uid="{00000000-0005-0000-0000-0000592F0000}"/>
    <cellStyle name="Normal 2 2 2 2 2 2 8 5 8" xfId="12122" xr:uid="{00000000-0005-0000-0000-00005A2F0000}"/>
    <cellStyle name="Normal 2 2 2 2 2 2 8 5 9" xfId="12123" xr:uid="{00000000-0005-0000-0000-00005B2F0000}"/>
    <cellStyle name="Normal 2 2 2 2 2 2 8 6" xfId="12124" xr:uid="{00000000-0005-0000-0000-00005C2F0000}"/>
    <cellStyle name="Normal 2 2 2 2 2 2 8 7" xfId="12125" xr:uid="{00000000-0005-0000-0000-00005D2F0000}"/>
    <cellStyle name="Normal 2 2 2 2 2 2 8 8" xfId="12126" xr:uid="{00000000-0005-0000-0000-00005E2F0000}"/>
    <cellStyle name="Normal 2 2 2 2 2 2 8 9" xfId="12127" xr:uid="{00000000-0005-0000-0000-00005F2F0000}"/>
    <cellStyle name="Normal 2 2 2 2 2 2 9" xfId="12128" xr:uid="{00000000-0005-0000-0000-0000602F0000}"/>
    <cellStyle name="Normal 2 2 2 2 2 2 9 10" xfId="12129" xr:uid="{00000000-0005-0000-0000-0000612F0000}"/>
    <cellStyle name="Normal 2 2 2 2 2 2 9 11" xfId="12130" xr:uid="{00000000-0005-0000-0000-0000622F0000}"/>
    <cellStyle name="Normal 2 2 2 2 2 2 9 12" xfId="12131" xr:uid="{00000000-0005-0000-0000-0000632F0000}"/>
    <cellStyle name="Normal 2 2 2 2 2 2 9 13" xfId="12132" xr:uid="{00000000-0005-0000-0000-0000642F0000}"/>
    <cellStyle name="Normal 2 2 2 2 2 2 9 14" xfId="12133" xr:uid="{00000000-0005-0000-0000-0000652F0000}"/>
    <cellStyle name="Normal 2 2 2 2 2 2 9 2" xfId="12134" xr:uid="{00000000-0005-0000-0000-0000662F0000}"/>
    <cellStyle name="Normal 2 2 2 2 2 2 9 2 10" xfId="12135" xr:uid="{00000000-0005-0000-0000-0000672F0000}"/>
    <cellStyle name="Normal 2 2 2 2 2 2 9 2 2" xfId="12136" xr:uid="{00000000-0005-0000-0000-0000682F0000}"/>
    <cellStyle name="Normal 2 2 2 2 2 2 9 2 3" xfId="12137" xr:uid="{00000000-0005-0000-0000-0000692F0000}"/>
    <cellStyle name="Normal 2 2 2 2 2 2 9 2 4" xfId="12138" xr:uid="{00000000-0005-0000-0000-00006A2F0000}"/>
    <cellStyle name="Normal 2 2 2 2 2 2 9 2 5" xfId="12139" xr:uid="{00000000-0005-0000-0000-00006B2F0000}"/>
    <cellStyle name="Normal 2 2 2 2 2 2 9 2 6" xfId="12140" xr:uid="{00000000-0005-0000-0000-00006C2F0000}"/>
    <cellStyle name="Normal 2 2 2 2 2 2 9 2 7" xfId="12141" xr:uid="{00000000-0005-0000-0000-00006D2F0000}"/>
    <cellStyle name="Normal 2 2 2 2 2 2 9 2 8" xfId="12142" xr:uid="{00000000-0005-0000-0000-00006E2F0000}"/>
    <cellStyle name="Normal 2 2 2 2 2 2 9 2 9" xfId="12143" xr:uid="{00000000-0005-0000-0000-00006F2F0000}"/>
    <cellStyle name="Normal 2 2 2 2 2 2 9 3" xfId="12144" xr:uid="{00000000-0005-0000-0000-0000702F0000}"/>
    <cellStyle name="Normal 2 2 2 2 2 2 9 3 10" xfId="12145" xr:uid="{00000000-0005-0000-0000-0000712F0000}"/>
    <cellStyle name="Normal 2 2 2 2 2 2 9 3 2" xfId="12146" xr:uid="{00000000-0005-0000-0000-0000722F0000}"/>
    <cellStyle name="Normal 2 2 2 2 2 2 9 3 3" xfId="12147" xr:uid="{00000000-0005-0000-0000-0000732F0000}"/>
    <cellStyle name="Normal 2 2 2 2 2 2 9 3 4" xfId="12148" xr:uid="{00000000-0005-0000-0000-0000742F0000}"/>
    <cellStyle name="Normal 2 2 2 2 2 2 9 3 5" xfId="12149" xr:uid="{00000000-0005-0000-0000-0000752F0000}"/>
    <cellStyle name="Normal 2 2 2 2 2 2 9 3 6" xfId="12150" xr:uid="{00000000-0005-0000-0000-0000762F0000}"/>
    <cellStyle name="Normal 2 2 2 2 2 2 9 3 7" xfId="12151" xr:uid="{00000000-0005-0000-0000-0000772F0000}"/>
    <cellStyle name="Normal 2 2 2 2 2 2 9 3 8" xfId="12152" xr:uid="{00000000-0005-0000-0000-0000782F0000}"/>
    <cellStyle name="Normal 2 2 2 2 2 2 9 3 9" xfId="12153" xr:uid="{00000000-0005-0000-0000-0000792F0000}"/>
    <cellStyle name="Normal 2 2 2 2 2 2 9 4" xfId="12154" xr:uid="{00000000-0005-0000-0000-00007A2F0000}"/>
    <cellStyle name="Normal 2 2 2 2 2 2 9 4 10" xfId="12155" xr:uid="{00000000-0005-0000-0000-00007B2F0000}"/>
    <cellStyle name="Normal 2 2 2 2 2 2 9 4 2" xfId="12156" xr:uid="{00000000-0005-0000-0000-00007C2F0000}"/>
    <cellStyle name="Normal 2 2 2 2 2 2 9 4 3" xfId="12157" xr:uid="{00000000-0005-0000-0000-00007D2F0000}"/>
    <cellStyle name="Normal 2 2 2 2 2 2 9 4 4" xfId="12158" xr:uid="{00000000-0005-0000-0000-00007E2F0000}"/>
    <cellStyle name="Normal 2 2 2 2 2 2 9 4 5" xfId="12159" xr:uid="{00000000-0005-0000-0000-00007F2F0000}"/>
    <cellStyle name="Normal 2 2 2 2 2 2 9 4 6" xfId="12160" xr:uid="{00000000-0005-0000-0000-0000802F0000}"/>
    <cellStyle name="Normal 2 2 2 2 2 2 9 4 7" xfId="12161" xr:uid="{00000000-0005-0000-0000-0000812F0000}"/>
    <cellStyle name="Normal 2 2 2 2 2 2 9 4 8" xfId="12162" xr:uid="{00000000-0005-0000-0000-0000822F0000}"/>
    <cellStyle name="Normal 2 2 2 2 2 2 9 4 9" xfId="12163" xr:uid="{00000000-0005-0000-0000-0000832F0000}"/>
    <cellStyle name="Normal 2 2 2 2 2 2 9 5" xfId="12164" xr:uid="{00000000-0005-0000-0000-0000842F0000}"/>
    <cellStyle name="Normal 2 2 2 2 2 2 9 5 10" xfId="12165" xr:uid="{00000000-0005-0000-0000-0000852F0000}"/>
    <cellStyle name="Normal 2 2 2 2 2 2 9 5 2" xfId="12166" xr:uid="{00000000-0005-0000-0000-0000862F0000}"/>
    <cellStyle name="Normal 2 2 2 2 2 2 9 5 3" xfId="12167" xr:uid="{00000000-0005-0000-0000-0000872F0000}"/>
    <cellStyle name="Normal 2 2 2 2 2 2 9 5 4" xfId="12168" xr:uid="{00000000-0005-0000-0000-0000882F0000}"/>
    <cellStyle name="Normal 2 2 2 2 2 2 9 5 5" xfId="12169" xr:uid="{00000000-0005-0000-0000-0000892F0000}"/>
    <cellStyle name="Normal 2 2 2 2 2 2 9 5 6" xfId="12170" xr:uid="{00000000-0005-0000-0000-00008A2F0000}"/>
    <cellStyle name="Normal 2 2 2 2 2 2 9 5 7" xfId="12171" xr:uid="{00000000-0005-0000-0000-00008B2F0000}"/>
    <cellStyle name="Normal 2 2 2 2 2 2 9 5 8" xfId="12172" xr:uid="{00000000-0005-0000-0000-00008C2F0000}"/>
    <cellStyle name="Normal 2 2 2 2 2 2 9 5 9" xfId="12173" xr:uid="{00000000-0005-0000-0000-00008D2F0000}"/>
    <cellStyle name="Normal 2 2 2 2 2 2 9 6" xfId="12174" xr:uid="{00000000-0005-0000-0000-00008E2F0000}"/>
    <cellStyle name="Normal 2 2 2 2 2 2 9 7" xfId="12175" xr:uid="{00000000-0005-0000-0000-00008F2F0000}"/>
    <cellStyle name="Normal 2 2 2 2 2 2 9 8" xfId="12176" xr:uid="{00000000-0005-0000-0000-0000902F0000}"/>
    <cellStyle name="Normal 2 2 2 2 2 2 9 9" xfId="12177" xr:uid="{00000000-0005-0000-0000-0000912F0000}"/>
    <cellStyle name="Normal 2 2 2 2 2 20" xfId="12178" xr:uid="{00000000-0005-0000-0000-0000922F0000}"/>
    <cellStyle name="Normal 2 2 2 2 2 20 10" xfId="12179" xr:uid="{00000000-0005-0000-0000-0000932F0000}"/>
    <cellStyle name="Normal 2 2 2 2 2 20 11" xfId="12180" xr:uid="{00000000-0005-0000-0000-0000942F0000}"/>
    <cellStyle name="Normal 2 2 2 2 2 20 12" xfId="12181" xr:uid="{00000000-0005-0000-0000-0000952F0000}"/>
    <cellStyle name="Normal 2 2 2 2 2 20 13" xfId="12182" xr:uid="{00000000-0005-0000-0000-0000962F0000}"/>
    <cellStyle name="Normal 2 2 2 2 2 20 14" xfId="12183" xr:uid="{00000000-0005-0000-0000-0000972F0000}"/>
    <cellStyle name="Normal 2 2 2 2 2 20 2" xfId="12184" xr:uid="{00000000-0005-0000-0000-0000982F0000}"/>
    <cellStyle name="Normal 2 2 2 2 2 20 2 10" xfId="12185" xr:uid="{00000000-0005-0000-0000-0000992F0000}"/>
    <cellStyle name="Normal 2 2 2 2 2 20 2 2" xfId="12186" xr:uid="{00000000-0005-0000-0000-00009A2F0000}"/>
    <cellStyle name="Normal 2 2 2 2 2 20 2 3" xfId="12187" xr:uid="{00000000-0005-0000-0000-00009B2F0000}"/>
    <cellStyle name="Normal 2 2 2 2 2 20 2 4" xfId="12188" xr:uid="{00000000-0005-0000-0000-00009C2F0000}"/>
    <cellStyle name="Normal 2 2 2 2 2 20 2 5" xfId="12189" xr:uid="{00000000-0005-0000-0000-00009D2F0000}"/>
    <cellStyle name="Normal 2 2 2 2 2 20 2 6" xfId="12190" xr:uid="{00000000-0005-0000-0000-00009E2F0000}"/>
    <cellStyle name="Normal 2 2 2 2 2 20 2 7" xfId="12191" xr:uid="{00000000-0005-0000-0000-00009F2F0000}"/>
    <cellStyle name="Normal 2 2 2 2 2 20 2 8" xfId="12192" xr:uid="{00000000-0005-0000-0000-0000A02F0000}"/>
    <cellStyle name="Normal 2 2 2 2 2 20 2 9" xfId="12193" xr:uid="{00000000-0005-0000-0000-0000A12F0000}"/>
    <cellStyle name="Normal 2 2 2 2 2 20 3" xfId="12194" xr:uid="{00000000-0005-0000-0000-0000A22F0000}"/>
    <cellStyle name="Normal 2 2 2 2 2 20 3 10" xfId="12195" xr:uid="{00000000-0005-0000-0000-0000A32F0000}"/>
    <cellStyle name="Normal 2 2 2 2 2 20 3 2" xfId="12196" xr:uid="{00000000-0005-0000-0000-0000A42F0000}"/>
    <cellStyle name="Normal 2 2 2 2 2 20 3 3" xfId="12197" xr:uid="{00000000-0005-0000-0000-0000A52F0000}"/>
    <cellStyle name="Normal 2 2 2 2 2 20 3 4" xfId="12198" xr:uid="{00000000-0005-0000-0000-0000A62F0000}"/>
    <cellStyle name="Normal 2 2 2 2 2 20 3 5" xfId="12199" xr:uid="{00000000-0005-0000-0000-0000A72F0000}"/>
    <cellStyle name="Normal 2 2 2 2 2 20 3 6" xfId="12200" xr:uid="{00000000-0005-0000-0000-0000A82F0000}"/>
    <cellStyle name="Normal 2 2 2 2 2 20 3 7" xfId="12201" xr:uid="{00000000-0005-0000-0000-0000A92F0000}"/>
    <cellStyle name="Normal 2 2 2 2 2 20 3 8" xfId="12202" xr:uid="{00000000-0005-0000-0000-0000AA2F0000}"/>
    <cellStyle name="Normal 2 2 2 2 2 20 3 9" xfId="12203" xr:uid="{00000000-0005-0000-0000-0000AB2F0000}"/>
    <cellStyle name="Normal 2 2 2 2 2 20 4" xfId="12204" xr:uid="{00000000-0005-0000-0000-0000AC2F0000}"/>
    <cellStyle name="Normal 2 2 2 2 2 20 4 10" xfId="12205" xr:uid="{00000000-0005-0000-0000-0000AD2F0000}"/>
    <cellStyle name="Normal 2 2 2 2 2 20 4 2" xfId="12206" xr:uid="{00000000-0005-0000-0000-0000AE2F0000}"/>
    <cellStyle name="Normal 2 2 2 2 2 20 4 3" xfId="12207" xr:uid="{00000000-0005-0000-0000-0000AF2F0000}"/>
    <cellStyle name="Normal 2 2 2 2 2 20 4 4" xfId="12208" xr:uid="{00000000-0005-0000-0000-0000B02F0000}"/>
    <cellStyle name="Normal 2 2 2 2 2 20 4 5" xfId="12209" xr:uid="{00000000-0005-0000-0000-0000B12F0000}"/>
    <cellStyle name="Normal 2 2 2 2 2 20 4 6" xfId="12210" xr:uid="{00000000-0005-0000-0000-0000B22F0000}"/>
    <cellStyle name="Normal 2 2 2 2 2 20 4 7" xfId="12211" xr:uid="{00000000-0005-0000-0000-0000B32F0000}"/>
    <cellStyle name="Normal 2 2 2 2 2 20 4 8" xfId="12212" xr:uid="{00000000-0005-0000-0000-0000B42F0000}"/>
    <cellStyle name="Normal 2 2 2 2 2 20 4 9" xfId="12213" xr:uid="{00000000-0005-0000-0000-0000B52F0000}"/>
    <cellStyle name="Normal 2 2 2 2 2 20 5" xfId="12214" xr:uid="{00000000-0005-0000-0000-0000B62F0000}"/>
    <cellStyle name="Normal 2 2 2 2 2 20 5 10" xfId="12215" xr:uid="{00000000-0005-0000-0000-0000B72F0000}"/>
    <cellStyle name="Normal 2 2 2 2 2 20 5 2" xfId="12216" xr:uid="{00000000-0005-0000-0000-0000B82F0000}"/>
    <cellStyle name="Normal 2 2 2 2 2 20 5 3" xfId="12217" xr:uid="{00000000-0005-0000-0000-0000B92F0000}"/>
    <cellStyle name="Normal 2 2 2 2 2 20 5 4" xfId="12218" xr:uid="{00000000-0005-0000-0000-0000BA2F0000}"/>
    <cellStyle name="Normal 2 2 2 2 2 20 5 5" xfId="12219" xr:uid="{00000000-0005-0000-0000-0000BB2F0000}"/>
    <cellStyle name="Normal 2 2 2 2 2 20 5 6" xfId="12220" xr:uid="{00000000-0005-0000-0000-0000BC2F0000}"/>
    <cellStyle name="Normal 2 2 2 2 2 20 5 7" xfId="12221" xr:uid="{00000000-0005-0000-0000-0000BD2F0000}"/>
    <cellStyle name="Normal 2 2 2 2 2 20 5 8" xfId="12222" xr:uid="{00000000-0005-0000-0000-0000BE2F0000}"/>
    <cellStyle name="Normal 2 2 2 2 2 20 5 9" xfId="12223" xr:uid="{00000000-0005-0000-0000-0000BF2F0000}"/>
    <cellStyle name="Normal 2 2 2 2 2 20 6" xfId="12224" xr:uid="{00000000-0005-0000-0000-0000C02F0000}"/>
    <cellStyle name="Normal 2 2 2 2 2 20 7" xfId="12225" xr:uid="{00000000-0005-0000-0000-0000C12F0000}"/>
    <cellStyle name="Normal 2 2 2 2 2 20 8" xfId="12226" xr:uid="{00000000-0005-0000-0000-0000C22F0000}"/>
    <cellStyle name="Normal 2 2 2 2 2 20 9" xfId="12227" xr:uid="{00000000-0005-0000-0000-0000C32F0000}"/>
    <cellStyle name="Normal 2 2 2 2 2 21" xfId="12228" xr:uid="{00000000-0005-0000-0000-0000C42F0000}"/>
    <cellStyle name="Normal 2 2 2 2 2 21 10" xfId="12229" xr:uid="{00000000-0005-0000-0000-0000C52F0000}"/>
    <cellStyle name="Normal 2 2 2 2 2 21 11" xfId="12230" xr:uid="{00000000-0005-0000-0000-0000C62F0000}"/>
    <cellStyle name="Normal 2 2 2 2 2 21 12" xfId="12231" xr:uid="{00000000-0005-0000-0000-0000C72F0000}"/>
    <cellStyle name="Normal 2 2 2 2 2 21 13" xfId="12232" xr:uid="{00000000-0005-0000-0000-0000C82F0000}"/>
    <cellStyle name="Normal 2 2 2 2 2 21 14" xfId="12233" xr:uid="{00000000-0005-0000-0000-0000C92F0000}"/>
    <cellStyle name="Normal 2 2 2 2 2 21 2" xfId="12234" xr:uid="{00000000-0005-0000-0000-0000CA2F0000}"/>
    <cellStyle name="Normal 2 2 2 2 2 21 2 10" xfId="12235" xr:uid="{00000000-0005-0000-0000-0000CB2F0000}"/>
    <cellStyle name="Normal 2 2 2 2 2 21 2 2" xfId="12236" xr:uid="{00000000-0005-0000-0000-0000CC2F0000}"/>
    <cellStyle name="Normal 2 2 2 2 2 21 2 3" xfId="12237" xr:uid="{00000000-0005-0000-0000-0000CD2F0000}"/>
    <cellStyle name="Normal 2 2 2 2 2 21 2 4" xfId="12238" xr:uid="{00000000-0005-0000-0000-0000CE2F0000}"/>
    <cellStyle name="Normal 2 2 2 2 2 21 2 5" xfId="12239" xr:uid="{00000000-0005-0000-0000-0000CF2F0000}"/>
    <cellStyle name="Normal 2 2 2 2 2 21 2 6" xfId="12240" xr:uid="{00000000-0005-0000-0000-0000D02F0000}"/>
    <cellStyle name="Normal 2 2 2 2 2 21 2 7" xfId="12241" xr:uid="{00000000-0005-0000-0000-0000D12F0000}"/>
    <cellStyle name="Normal 2 2 2 2 2 21 2 8" xfId="12242" xr:uid="{00000000-0005-0000-0000-0000D22F0000}"/>
    <cellStyle name="Normal 2 2 2 2 2 21 2 9" xfId="12243" xr:uid="{00000000-0005-0000-0000-0000D32F0000}"/>
    <cellStyle name="Normal 2 2 2 2 2 21 3" xfId="12244" xr:uid="{00000000-0005-0000-0000-0000D42F0000}"/>
    <cellStyle name="Normal 2 2 2 2 2 21 3 10" xfId="12245" xr:uid="{00000000-0005-0000-0000-0000D52F0000}"/>
    <cellStyle name="Normal 2 2 2 2 2 21 3 2" xfId="12246" xr:uid="{00000000-0005-0000-0000-0000D62F0000}"/>
    <cellStyle name="Normal 2 2 2 2 2 21 3 3" xfId="12247" xr:uid="{00000000-0005-0000-0000-0000D72F0000}"/>
    <cellStyle name="Normal 2 2 2 2 2 21 3 4" xfId="12248" xr:uid="{00000000-0005-0000-0000-0000D82F0000}"/>
    <cellStyle name="Normal 2 2 2 2 2 21 3 5" xfId="12249" xr:uid="{00000000-0005-0000-0000-0000D92F0000}"/>
    <cellStyle name="Normal 2 2 2 2 2 21 3 6" xfId="12250" xr:uid="{00000000-0005-0000-0000-0000DA2F0000}"/>
    <cellStyle name="Normal 2 2 2 2 2 21 3 7" xfId="12251" xr:uid="{00000000-0005-0000-0000-0000DB2F0000}"/>
    <cellStyle name="Normal 2 2 2 2 2 21 3 8" xfId="12252" xr:uid="{00000000-0005-0000-0000-0000DC2F0000}"/>
    <cellStyle name="Normal 2 2 2 2 2 21 3 9" xfId="12253" xr:uid="{00000000-0005-0000-0000-0000DD2F0000}"/>
    <cellStyle name="Normal 2 2 2 2 2 21 4" xfId="12254" xr:uid="{00000000-0005-0000-0000-0000DE2F0000}"/>
    <cellStyle name="Normal 2 2 2 2 2 21 4 10" xfId="12255" xr:uid="{00000000-0005-0000-0000-0000DF2F0000}"/>
    <cellStyle name="Normal 2 2 2 2 2 21 4 2" xfId="12256" xr:uid="{00000000-0005-0000-0000-0000E02F0000}"/>
    <cellStyle name="Normal 2 2 2 2 2 21 4 3" xfId="12257" xr:uid="{00000000-0005-0000-0000-0000E12F0000}"/>
    <cellStyle name="Normal 2 2 2 2 2 21 4 4" xfId="12258" xr:uid="{00000000-0005-0000-0000-0000E22F0000}"/>
    <cellStyle name="Normal 2 2 2 2 2 21 4 5" xfId="12259" xr:uid="{00000000-0005-0000-0000-0000E32F0000}"/>
    <cellStyle name="Normal 2 2 2 2 2 21 4 6" xfId="12260" xr:uid="{00000000-0005-0000-0000-0000E42F0000}"/>
    <cellStyle name="Normal 2 2 2 2 2 21 4 7" xfId="12261" xr:uid="{00000000-0005-0000-0000-0000E52F0000}"/>
    <cellStyle name="Normal 2 2 2 2 2 21 4 8" xfId="12262" xr:uid="{00000000-0005-0000-0000-0000E62F0000}"/>
    <cellStyle name="Normal 2 2 2 2 2 21 4 9" xfId="12263" xr:uid="{00000000-0005-0000-0000-0000E72F0000}"/>
    <cellStyle name="Normal 2 2 2 2 2 21 5" xfId="12264" xr:uid="{00000000-0005-0000-0000-0000E82F0000}"/>
    <cellStyle name="Normal 2 2 2 2 2 21 5 10" xfId="12265" xr:uid="{00000000-0005-0000-0000-0000E92F0000}"/>
    <cellStyle name="Normal 2 2 2 2 2 21 5 2" xfId="12266" xr:uid="{00000000-0005-0000-0000-0000EA2F0000}"/>
    <cellStyle name="Normal 2 2 2 2 2 21 5 3" xfId="12267" xr:uid="{00000000-0005-0000-0000-0000EB2F0000}"/>
    <cellStyle name="Normal 2 2 2 2 2 21 5 4" xfId="12268" xr:uid="{00000000-0005-0000-0000-0000EC2F0000}"/>
    <cellStyle name="Normal 2 2 2 2 2 21 5 5" xfId="12269" xr:uid="{00000000-0005-0000-0000-0000ED2F0000}"/>
    <cellStyle name="Normal 2 2 2 2 2 21 5 6" xfId="12270" xr:uid="{00000000-0005-0000-0000-0000EE2F0000}"/>
    <cellStyle name="Normal 2 2 2 2 2 21 5 7" xfId="12271" xr:uid="{00000000-0005-0000-0000-0000EF2F0000}"/>
    <cellStyle name="Normal 2 2 2 2 2 21 5 8" xfId="12272" xr:uid="{00000000-0005-0000-0000-0000F02F0000}"/>
    <cellStyle name="Normal 2 2 2 2 2 21 5 9" xfId="12273" xr:uid="{00000000-0005-0000-0000-0000F12F0000}"/>
    <cellStyle name="Normal 2 2 2 2 2 21 6" xfId="12274" xr:uid="{00000000-0005-0000-0000-0000F22F0000}"/>
    <cellStyle name="Normal 2 2 2 2 2 21 7" xfId="12275" xr:uid="{00000000-0005-0000-0000-0000F32F0000}"/>
    <cellStyle name="Normal 2 2 2 2 2 21 8" xfId="12276" xr:uid="{00000000-0005-0000-0000-0000F42F0000}"/>
    <cellStyle name="Normal 2 2 2 2 2 21 9" xfId="12277" xr:uid="{00000000-0005-0000-0000-0000F52F0000}"/>
    <cellStyle name="Normal 2 2 2 2 2 22" xfId="12278" xr:uid="{00000000-0005-0000-0000-0000F62F0000}"/>
    <cellStyle name="Normal 2 2 2 2 2 22 10" xfId="12279" xr:uid="{00000000-0005-0000-0000-0000F72F0000}"/>
    <cellStyle name="Normal 2 2 2 2 2 22 11" xfId="12280" xr:uid="{00000000-0005-0000-0000-0000F82F0000}"/>
    <cellStyle name="Normal 2 2 2 2 2 22 12" xfId="12281" xr:uid="{00000000-0005-0000-0000-0000F92F0000}"/>
    <cellStyle name="Normal 2 2 2 2 2 22 13" xfId="12282" xr:uid="{00000000-0005-0000-0000-0000FA2F0000}"/>
    <cellStyle name="Normal 2 2 2 2 2 22 14" xfId="12283" xr:uid="{00000000-0005-0000-0000-0000FB2F0000}"/>
    <cellStyle name="Normal 2 2 2 2 2 22 2" xfId="12284" xr:uid="{00000000-0005-0000-0000-0000FC2F0000}"/>
    <cellStyle name="Normal 2 2 2 2 2 22 2 10" xfId="12285" xr:uid="{00000000-0005-0000-0000-0000FD2F0000}"/>
    <cellStyle name="Normal 2 2 2 2 2 22 2 2" xfId="12286" xr:uid="{00000000-0005-0000-0000-0000FE2F0000}"/>
    <cellStyle name="Normal 2 2 2 2 2 22 2 3" xfId="12287" xr:uid="{00000000-0005-0000-0000-0000FF2F0000}"/>
    <cellStyle name="Normal 2 2 2 2 2 22 2 4" xfId="12288" xr:uid="{00000000-0005-0000-0000-000000300000}"/>
    <cellStyle name="Normal 2 2 2 2 2 22 2 5" xfId="12289" xr:uid="{00000000-0005-0000-0000-000001300000}"/>
    <cellStyle name="Normal 2 2 2 2 2 22 2 6" xfId="12290" xr:uid="{00000000-0005-0000-0000-000002300000}"/>
    <cellStyle name="Normal 2 2 2 2 2 22 2 7" xfId="12291" xr:uid="{00000000-0005-0000-0000-000003300000}"/>
    <cellStyle name="Normal 2 2 2 2 2 22 2 8" xfId="12292" xr:uid="{00000000-0005-0000-0000-000004300000}"/>
    <cellStyle name="Normal 2 2 2 2 2 22 2 9" xfId="12293" xr:uid="{00000000-0005-0000-0000-000005300000}"/>
    <cellStyle name="Normal 2 2 2 2 2 22 3" xfId="12294" xr:uid="{00000000-0005-0000-0000-000006300000}"/>
    <cellStyle name="Normal 2 2 2 2 2 22 3 10" xfId="12295" xr:uid="{00000000-0005-0000-0000-000007300000}"/>
    <cellStyle name="Normal 2 2 2 2 2 22 3 2" xfId="12296" xr:uid="{00000000-0005-0000-0000-000008300000}"/>
    <cellStyle name="Normal 2 2 2 2 2 22 3 3" xfId="12297" xr:uid="{00000000-0005-0000-0000-000009300000}"/>
    <cellStyle name="Normal 2 2 2 2 2 22 3 4" xfId="12298" xr:uid="{00000000-0005-0000-0000-00000A300000}"/>
    <cellStyle name="Normal 2 2 2 2 2 22 3 5" xfId="12299" xr:uid="{00000000-0005-0000-0000-00000B300000}"/>
    <cellStyle name="Normal 2 2 2 2 2 22 3 6" xfId="12300" xr:uid="{00000000-0005-0000-0000-00000C300000}"/>
    <cellStyle name="Normal 2 2 2 2 2 22 3 7" xfId="12301" xr:uid="{00000000-0005-0000-0000-00000D300000}"/>
    <cellStyle name="Normal 2 2 2 2 2 22 3 8" xfId="12302" xr:uid="{00000000-0005-0000-0000-00000E300000}"/>
    <cellStyle name="Normal 2 2 2 2 2 22 3 9" xfId="12303" xr:uid="{00000000-0005-0000-0000-00000F300000}"/>
    <cellStyle name="Normal 2 2 2 2 2 22 4" xfId="12304" xr:uid="{00000000-0005-0000-0000-000010300000}"/>
    <cellStyle name="Normal 2 2 2 2 2 22 4 10" xfId="12305" xr:uid="{00000000-0005-0000-0000-000011300000}"/>
    <cellStyle name="Normal 2 2 2 2 2 22 4 2" xfId="12306" xr:uid="{00000000-0005-0000-0000-000012300000}"/>
    <cellStyle name="Normal 2 2 2 2 2 22 4 3" xfId="12307" xr:uid="{00000000-0005-0000-0000-000013300000}"/>
    <cellStyle name="Normal 2 2 2 2 2 22 4 4" xfId="12308" xr:uid="{00000000-0005-0000-0000-000014300000}"/>
    <cellStyle name="Normal 2 2 2 2 2 22 4 5" xfId="12309" xr:uid="{00000000-0005-0000-0000-000015300000}"/>
    <cellStyle name="Normal 2 2 2 2 2 22 4 6" xfId="12310" xr:uid="{00000000-0005-0000-0000-000016300000}"/>
    <cellStyle name="Normal 2 2 2 2 2 22 4 7" xfId="12311" xr:uid="{00000000-0005-0000-0000-000017300000}"/>
    <cellStyle name="Normal 2 2 2 2 2 22 4 8" xfId="12312" xr:uid="{00000000-0005-0000-0000-000018300000}"/>
    <cellStyle name="Normal 2 2 2 2 2 22 4 9" xfId="12313" xr:uid="{00000000-0005-0000-0000-000019300000}"/>
    <cellStyle name="Normal 2 2 2 2 2 22 5" xfId="12314" xr:uid="{00000000-0005-0000-0000-00001A300000}"/>
    <cellStyle name="Normal 2 2 2 2 2 22 5 10" xfId="12315" xr:uid="{00000000-0005-0000-0000-00001B300000}"/>
    <cellStyle name="Normal 2 2 2 2 2 22 5 2" xfId="12316" xr:uid="{00000000-0005-0000-0000-00001C300000}"/>
    <cellStyle name="Normal 2 2 2 2 2 22 5 3" xfId="12317" xr:uid="{00000000-0005-0000-0000-00001D300000}"/>
    <cellStyle name="Normal 2 2 2 2 2 22 5 4" xfId="12318" xr:uid="{00000000-0005-0000-0000-00001E300000}"/>
    <cellStyle name="Normal 2 2 2 2 2 22 5 5" xfId="12319" xr:uid="{00000000-0005-0000-0000-00001F300000}"/>
    <cellStyle name="Normal 2 2 2 2 2 22 5 6" xfId="12320" xr:uid="{00000000-0005-0000-0000-000020300000}"/>
    <cellStyle name="Normal 2 2 2 2 2 22 5 7" xfId="12321" xr:uid="{00000000-0005-0000-0000-000021300000}"/>
    <cellStyle name="Normal 2 2 2 2 2 22 5 8" xfId="12322" xr:uid="{00000000-0005-0000-0000-000022300000}"/>
    <cellStyle name="Normal 2 2 2 2 2 22 5 9" xfId="12323" xr:uid="{00000000-0005-0000-0000-000023300000}"/>
    <cellStyle name="Normal 2 2 2 2 2 22 6" xfId="12324" xr:uid="{00000000-0005-0000-0000-000024300000}"/>
    <cellStyle name="Normal 2 2 2 2 2 22 7" xfId="12325" xr:uid="{00000000-0005-0000-0000-000025300000}"/>
    <cellStyle name="Normal 2 2 2 2 2 22 8" xfId="12326" xr:uid="{00000000-0005-0000-0000-000026300000}"/>
    <cellStyle name="Normal 2 2 2 2 2 22 9" xfId="12327" xr:uid="{00000000-0005-0000-0000-000027300000}"/>
    <cellStyle name="Normal 2 2 2 2 2 23" xfId="12328" xr:uid="{00000000-0005-0000-0000-000028300000}"/>
    <cellStyle name="Normal 2 2 2 2 2 23 10" xfId="12329" xr:uid="{00000000-0005-0000-0000-000029300000}"/>
    <cellStyle name="Normal 2 2 2 2 2 23 11" xfId="12330" xr:uid="{00000000-0005-0000-0000-00002A300000}"/>
    <cellStyle name="Normal 2 2 2 2 2 23 12" xfId="12331" xr:uid="{00000000-0005-0000-0000-00002B300000}"/>
    <cellStyle name="Normal 2 2 2 2 2 23 13" xfId="12332" xr:uid="{00000000-0005-0000-0000-00002C300000}"/>
    <cellStyle name="Normal 2 2 2 2 2 23 14" xfId="12333" xr:uid="{00000000-0005-0000-0000-00002D300000}"/>
    <cellStyle name="Normal 2 2 2 2 2 23 2" xfId="12334" xr:uid="{00000000-0005-0000-0000-00002E300000}"/>
    <cellStyle name="Normal 2 2 2 2 2 23 2 10" xfId="12335" xr:uid="{00000000-0005-0000-0000-00002F300000}"/>
    <cellStyle name="Normal 2 2 2 2 2 23 2 2" xfId="12336" xr:uid="{00000000-0005-0000-0000-000030300000}"/>
    <cellStyle name="Normal 2 2 2 2 2 23 2 3" xfId="12337" xr:uid="{00000000-0005-0000-0000-000031300000}"/>
    <cellStyle name="Normal 2 2 2 2 2 23 2 4" xfId="12338" xr:uid="{00000000-0005-0000-0000-000032300000}"/>
    <cellStyle name="Normal 2 2 2 2 2 23 2 5" xfId="12339" xr:uid="{00000000-0005-0000-0000-000033300000}"/>
    <cellStyle name="Normal 2 2 2 2 2 23 2 6" xfId="12340" xr:uid="{00000000-0005-0000-0000-000034300000}"/>
    <cellStyle name="Normal 2 2 2 2 2 23 2 7" xfId="12341" xr:uid="{00000000-0005-0000-0000-000035300000}"/>
    <cellStyle name="Normal 2 2 2 2 2 23 2 8" xfId="12342" xr:uid="{00000000-0005-0000-0000-000036300000}"/>
    <cellStyle name="Normal 2 2 2 2 2 23 2 9" xfId="12343" xr:uid="{00000000-0005-0000-0000-000037300000}"/>
    <cellStyle name="Normal 2 2 2 2 2 23 3" xfId="12344" xr:uid="{00000000-0005-0000-0000-000038300000}"/>
    <cellStyle name="Normal 2 2 2 2 2 23 3 10" xfId="12345" xr:uid="{00000000-0005-0000-0000-000039300000}"/>
    <cellStyle name="Normal 2 2 2 2 2 23 3 2" xfId="12346" xr:uid="{00000000-0005-0000-0000-00003A300000}"/>
    <cellStyle name="Normal 2 2 2 2 2 23 3 3" xfId="12347" xr:uid="{00000000-0005-0000-0000-00003B300000}"/>
    <cellStyle name="Normal 2 2 2 2 2 23 3 4" xfId="12348" xr:uid="{00000000-0005-0000-0000-00003C300000}"/>
    <cellStyle name="Normal 2 2 2 2 2 23 3 5" xfId="12349" xr:uid="{00000000-0005-0000-0000-00003D300000}"/>
    <cellStyle name="Normal 2 2 2 2 2 23 3 6" xfId="12350" xr:uid="{00000000-0005-0000-0000-00003E300000}"/>
    <cellStyle name="Normal 2 2 2 2 2 23 3 7" xfId="12351" xr:uid="{00000000-0005-0000-0000-00003F300000}"/>
    <cellStyle name="Normal 2 2 2 2 2 23 3 8" xfId="12352" xr:uid="{00000000-0005-0000-0000-000040300000}"/>
    <cellStyle name="Normal 2 2 2 2 2 23 3 9" xfId="12353" xr:uid="{00000000-0005-0000-0000-000041300000}"/>
    <cellStyle name="Normal 2 2 2 2 2 23 4" xfId="12354" xr:uid="{00000000-0005-0000-0000-000042300000}"/>
    <cellStyle name="Normal 2 2 2 2 2 23 4 10" xfId="12355" xr:uid="{00000000-0005-0000-0000-000043300000}"/>
    <cellStyle name="Normal 2 2 2 2 2 23 4 2" xfId="12356" xr:uid="{00000000-0005-0000-0000-000044300000}"/>
    <cellStyle name="Normal 2 2 2 2 2 23 4 3" xfId="12357" xr:uid="{00000000-0005-0000-0000-000045300000}"/>
    <cellStyle name="Normal 2 2 2 2 2 23 4 4" xfId="12358" xr:uid="{00000000-0005-0000-0000-000046300000}"/>
    <cellStyle name="Normal 2 2 2 2 2 23 4 5" xfId="12359" xr:uid="{00000000-0005-0000-0000-000047300000}"/>
    <cellStyle name="Normal 2 2 2 2 2 23 4 6" xfId="12360" xr:uid="{00000000-0005-0000-0000-000048300000}"/>
    <cellStyle name="Normal 2 2 2 2 2 23 4 7" xfId="12361" xr:uid="{00000000-0005-0000-0000-000049300000}"/>
    <cellStyle name="Normal 2 2 2 2 2 23 4 8" xfId="12362" xr:uid="{00000000-0005-0000-0000-00004A300000}"/>
    <cellStyle name="Normal 2 2 2 2 2 23 4 9" xfId="12363" xr:uid="{00000000-0005-0000-0000-00004B300000}"/>
    <cellStyle name="Normal 2 2 2 2 2 23 5" xfId="12364" xr:uid="{00000000-0005-0000-0000-00004C300000}"/>
    <cellStyle name="Normal 2 2 2 2 2 23 5 10" xfId="12365" xr:uid="{00000000-0005-0000-0000-00004D300000}"/>
    <cellStyle name="Normal 2 2 2 2 2 23 5 2" xfId="12366" xr:uid="{00000000-0005-0000-0000-00004E300000}"/>
    <cellStyle name="Normal 2 2 2 2 2 23 5 3" xfId="12367" xr:uid="{00000000-0005-0000-0000-00004F300000}"/>
    <cellStyle name="Normal 2 2 2 2 2 23 5 4" xfId="12368" xr:uid="{00000000-0005-0000-0000-000050300000}"/>
    <cellStyle name="Normal 2 2 2 2 2 23 5 5" xfId="12369" xr:uid="{00000000-0005-0000-0000-000051300000}"/>
    <cellStyle name="Normal 2 2 2 2 2 23 5 6" xfId="12370" xr:uid="{00000000-0005-0000-0000-000052300000}"/>
    <cellStyle name="Normal 2 2 2 2 2 23 5 7" xfId="12371" xr:uid="{00000000-0005-0000-0000-000053300000}"/>
    <cellStyle name="Normal 2 2 2 2 2 23 5 8" xfId="12372" xr:uid="{00000000-0005-0000-0000-000054300000}"/>
    <cellStyle name="Normal 2 2 2 2 2 23 5 9" xfId="12373" xr:uid="{00000000-0005-0000-0000-000055300000}"/>
    <cellStyle name="Normal 2 2 2 2 2 23 6" xfId="12374" xr:uid="{00000000-0005-0000-0000-000056300000}"/>
    <cellStyle name="Normal 2 2 2 2 2 23 7" xfId="12375" xr:uid="{00000000-0005-0000-0000-000057300000}"/>
    <cellStyle name="Normal 2 2 2 2 2 23 8" xfId="12376" xr:uid="{00000000-0005-0000-0000-000058300000}"/>
    <cellStyle name="Normal 2 2 2 2 2 23 9" xfId="12377" xr:uid="{00000000-0005-0000-0000-000059300000}"/>
    <cellStyle name="Normal 2 2 2 2 2 24" xfId="12378" xr:uid="{00000000-0005-0000-0000-00005A300000}"/>
    <cellStyle name="Normal 2 2 2 2 2 24 10" xfId="12379" xr:uid="{00000000-0005-0000-0000-00005B300000}"/>
    <cellStyle name="Normal 2 2 2 2 2 24 11" xfId="12380" xr:uid="{00000000-0005-0000-0000-00005C300000}"/>
    <cellStyle name="Normal 2 2 2 2 2 24 12" xfId="12381" xr:uid="{00000000-0005-0000-0000-00005D300000}"/>
    <cellStyle name="Normal 2 2 2 2 2 24 13" xfId="12382" xr:uid="{00000000-0005-0000-0000-00005E300000}"/>
    <cellStyle name="Normal 2 2 2 2 2 24 14" xfId="12383" xr:uid="{00000000-0005-0000-0000-00005F300000}"/>
    <cellStyle name="Normal 2 2 2 2 2 24 2" xfId="12384" xr:uid="{00000000-0005-0000-0000-000060300000}"/>
    <cellStyle name="Normal 2 2 2 2 2 24 2 10" xfId="12385" xr:uid="{00000000-0005-0000-0000-000061300000}"/>
    <cellStyle name="Normal 2 2 2 2 2 24 2 2" xfId="12386" xr:uid="{00000000-0005-0000-0000-000062300000}"/>
    <cellStyle name="Normal 2 2 2 2 2 24 2 3" xfId="12387" xr:uid="{00000000-0005-0000-0000-000063300000}"/>
    <cellStyle name="Normal 2 2 2 2 2 24 2 4" xfId="12388" xr:uid="{00000000-0005-0000-0000-000064300000}"/>
    <cellStyle name="Normal 2 2 2 2 2 24 2 5" xfId="12389" xr:uid="{00000000-0005-0000-0000-000065300000}"/>
    <cellStyle name="Normal 2 2 2 2 2 24 2 6" xfId="12390" xr:uid="{00000000-0005-0000-0000-000066300000}"/>
    <cellStyle name="Normal 2 2 2 2 2 24 2 7" xfId="12391" xr:uid="{00000000-0005-0000-0000-000067300000}"/>
    <cellStyle name="Normal 2 2 2 2 2 24 2 8" xfId="12392" xr:uid="{00000000-0005-0000-0000-000068300000}"/>
    <cellStyle name="Normal 2 2 2 2 2 24 2 9" xfId="12393" xr:uid="{00000000-0005-0000-0000-000069300000}"/>
    <cellStyle name="Normal 2 2 2 2 2 24 3" xfId="12394" xr:uid="{00000000-0005-0000-0000-00006A300000}"/>
    <cellStyle name="Normal 2 2 2 2 2 24 3 10" xfId="12395" xr:uid="{00000000-0005-0000-0000-00006B300000}"/>
    <cellStyle name="Normal 2 2 2 2 2 24 3 2" xfId="12396" xr:uid="{00000000-0005-0000-0000-00006C300000}"/>
    <cellStyle name="Normal 2 2 2 2 2 24 3 3" xfId="12397" xr:uid="{00000000-0005-0000-0000-00006D300000}"/>
    <cellStyle name="Normal 2 2 2 2 2 24 3 4" xfId="12398" xr:uid="{00000000-0005-0000-0000-00006E300000}"/>
    <cellStyle name="Normal 2 2 2 2 2 24 3 5" xfId="12399" xr:uid="{00000000-0005-0000-0000-00006F300000}"/>
    <cellStyle name="Normal 2 2 2 2 2 24 3 6" xfId="12400" xr:uid="{00000000-0005-0000-0000-000070300000}"/>
    <cellStyle name="Normal 2 2 2 2 2 24 3 7" xfId="12401" xr:uid="{00000000-0005-0000-0000-000071300000}"/>
    <cellStyle name="Normal 2 2 2 2 2 24 3 8" xfId="12402" xr:uid="{00000000-0005-0000-0000-000072300000}"/>
    <cellStyle name="Normal 2 2 2 2 2 24 3 9" xfId="12403" xr:uid="{00000000-0005-0000-0000-000073300000}"/>
    <cellStyle name="Normal 2 2 2 2 2 24 4" xfId="12404" xr:uid="{00000000-0005-0000-0000-000074300000}"/>
    <cellStyle name="Normal 2 2 2 2 2 24 4 10" xfId="12405" xr:uid="{00000000-0005-0000-0000-000075300000}"/>
    <cellStyle name="Normal 2 2 2 2 2 24 4 2" xfId="12406" xr:uid="{00000000-0005-0000-0000-000076300000}"/>
    <cellStyle name="Normal 2 2 2 2 2 24 4 3" xfId="12407" xr:uid="{00000000-0005-0000-0000-000077300000}"/>
    <cellStyle name="Normal 2 2 2 2 2 24 4 4" xfId="12408" xr:uid="{00000000-0005-0000-0000-000078300000}"/>
    <cellStyle name="Normal 2 2 2 2 2 24 4 5" xfId="12409" xr:uid="{00000000-0005-0000-0000-000079300000}"/>
    <cellStyle name="Normal 2 2 2 2 2 24 4 6" xfId="12410" xr:uid="{00000000-0005-0000-0000-00007A300000}"/>
    <cellStyle name="Normal 2 2 2 2 2 24 4 7" xfId="12411" xr:uid="{00000000-0005-0000-0000-00007B300000}"/>
    <cellStyle name="Normal 2 2 2 2 2 24 4 8" xfId="12412" xr:uid="{00000000-0005-0000-0000-00007C300000}"/>
    <cellStyle name="Normal 2 2 2 2 2 24 4 9" xfId="12413" xr:uid="{00000000-0005-0000-0000-00007D300000}"/>
    <cellStyle name="Normal 2 2 2 2 2 24 5" xfId="12414" xr:uid="{00000000-0005-0000-0000-00007E300000}"/>
    <cellStyle name="Normal 2 2 2 2 2 24 5 10" xfId="12415" xr:uid="{00000000-0005-0000-0000-00007F300000}"/>
    <cellStyle name="Normal 2 2 2 2 2 24 5 2" xfId="12416" xr:uid="{00000000-0005-0000-0000-000080300000}"/>
    <cellStyle name="Normal 2 2 2 2 2 24 5 3" xfId="12417" xr:uid="{00000000-0005-0000-0000-000081300000}"/>
    <cellStyle name="Normal 2 2 2 2 2 24 5 4" xfId="12418" xr:uid="{00000000-0005-0000-0000-000082300000}"/>
    <cellStyle name="Normal 2 2 2 2 2 24 5 5" xfId="12419" xr:uid="{00000000-0005-0000-0000-000083300000}"/>
    <cellStyle name="Normal 2 2 2 2 2 24 5 6" xfId="12420" xr:uid="{00000000-0005-0000-0000-000084300000}"/>
    <cellStyle name="Normal 2 2 2 2 2 24 5 7" xfId="12421" xr:uid="{00000000-0005-0000-0000-000085300000}"/>
    <cellStyle name="Normal 2 2 2 2 2 24 5 8" xfId="12422" xr:uid="{00000000-0005-0000-0000-000086300000}"/>
    <cellStyle name="Normal 2 2 2 2 2 24 5 9" xfId="12423" xr:uid="{00000000-0005-0000-0000-000087300000}"/>
    <cellStyle name="Normal 2 2 2 2 2 24 6" xfId="12424" xr:uid="{00000000-0005-0000-0000-000088300000}"/>
    <cellStyle name="Normal 2 2 2 2 2 24 7" xfId="12425" xr:uid="{00000000-0005-0000-0000-000089300000}"/>
    <cellStyle name="Normal 2 2 2 2 2 24 8" xfId="12426" xr:uid="{00000000-0005-0000-0000-00008A300000}"/>
    <cellStyle name="Normal 2 2 2 2 2 24 9" xfId="12427" xr:uid="{00000000-0005-0000-0000-00008B300000}"/>
    <cellStyle name="Normal 2 2 2 2 2 25" xfId="12428" xr:uid="{00000000-0005-0000-0000-00008C300000}"/>
    <cellStyle name="Normal 2 2 2 2 2 25 10" xfId="12429" xr:uid="{00000000-0005-0000-0000-00008D300000}"/>
    <cellStyle name="Normal 2 2 2 2 2 25 11" xfId="12430" xr:uid="{00000000-0005-0000-0000-00008E300000}"/>
    <cellStyle name="Normal 2 2 2 2 2 25 12" xfId="12431" xr:uid="{00000000-0005-0000-0000-00008F300000}"/>
    <cellStyle name="Normal 2 2 2 2 2 25 13" xfId="12432" xr:uid="{00000000-0005-0000-0000-000090300000}"/>
    <cellStyle name="Normal 2 2 2 2 2 25 14" xfId="12433" xr:uid="{00000000-0005-0000-0000-000091300000}"/>
    <cellStyle name="Normal 2 2 2 2 2 25 2" xfId="12434" xr:uid="{00000000-0005-0000-0000-000092300000}"/>
    <cellStyle name="Normal 2 2 2 2 2 25 2 10" xfId="12435" xr:uid="{00000000-0005-0000-0000-000093300000}"/>
    <cellStyle name="Normal 2 2 2 2 2 25 2 2" xfId="12436" xr:uid="{00000000-0005-0000-0000-000094300000}"/>
    <cellStyle name="Normal 2 2 2 2 2 25 2 3" xfId="12437" xr:uid="{00000000-0005-0000-0000-000095300000}"/>
    <cellStyle name="Normal 2 2 2 2 2 25 2 4" xfId="12438" xr:uid="{00000000-0005-0000-0000-000096300000}"/>
    <cellStyle name="Normal 2 2 2 2 2 25 2 5" xfId="12439" xr:uid="{00000000-0005-0000-0000-000097300000}"/>
    <cellStyle name="Normal 2 2 2 2 2 25 2 6" xfId="12440" xr:uid="{00000000-0005-0000-0000-000098300000}"/>
    <cellStyle name="Normal 2 2 2 2 2 25 2 7" xfId="12441" xr:uid="{00000000-0005-0000-0000-000099300000}"/>
    <cellStyle name="Normal 2 2 2 2 2 25 2 8" xfId="12442" xr:uid="{00000000-0005-0000-0000-00009A300000}"/>
    <cellStyle name="Normal 2 2 2 2 2 25 2 9" xfId="12443" xr:uid="{00000000-0005-0000-0000-00009B300000}"/>
    <cellStyle name="Normal 2 2 2 2 2 25 3" xfId="12444" xr:uid="{00000000-0005-0000-0000-00009C300000}"/>
    <cellStyle name="Normal 2 2 2 2 2 25 3 10" xfId="12445" xr:uid="{00000000-0005-0000-0000-00009D300000}"/>
    <cellStyle name="Normal 2 2 2 2 2 25 3 2" xfId="12446" xr:uid="{00000000-0005-0000-0000-00009E300000}"/>
    <cellStyle name="Normal 2 2 2 2 2 25 3 3" xfId="12447" xr:uid="{00000000-0005-0000-0000-00009F300000}"/>
    <cellStyle name="Normal 2 2 2 2 2 25 3 4" xfId="12448" xr:uid="{00000000-0005-0000-0000-0000A0300000}"/>
    <cellStyle name="Normal 2 2 2 2 2 25 3 5" xfId="12449" xr:uid="{00000000-0005-0000-0000-0000A1300000}"/>
    <cellStyle name="Normal 2 2 2 2 2 25 3 6" xfId="12450" xr:uid="{00000000-0005-0000-0000-0000A2300000}"/>
    <cellStyle name="Normal 2 2 2 2 2 25 3 7" xfId="12451" xr:uid="{00000000-0005-0000-0000-0000A3300000}"/>
    <cellStyle name="Normal 2 2 2 2 2 25 3 8" xfId="12452" xr:uid="{00000000-0005-0000-0000-0000A4300000}"/>
    <cellStyle name="Normal 2 2 2 2 2 25 3 9" xfId="12453" xr:uid="{00000000-0005-0000-0000-0000A5300000}"/>
    <cellStyle name="Normal 2 2 2 2 2 25 4" xfId="12454" xr:uid="{00000000-0005-0000-0000-0000A6300000}"/>
    <cellStyle name="Normal 2 2 2 2 2 25 4 10" xfId="12455" xr:uid="{00000000-0005-0000-0000-0000A7300000}"/>
    <cellStyle name="Normal 2 2 2 2 2 25 4 2" xfId="12456" xr:uid="{00000000-0005-0000-0000-0000A8300000}"/>
    <cellStyle name="Normal 2 2 2 2 2 25 4 3" xfId="12457" xr:uid="{00000000-0005-0000-0000-0000A9300000}"/>
    <cellStyle name="Normal 2 2 2 2 2 25 4 4" xfId="12458" xr:uid="{00000000-0005-0000-0000-0000AA300000}"/>
    <cellStyle name="Normal 2 2 2 2 2 25 4 5" xfId="12459" xr:uid="{00000000-0005-0000-0000-0000AB300000}"/>
    <cellStyle name="Normal 2 2 2 2 2 25 4 6" xfId="12460" xr:uid="{00000000-0005-0000-0000-0000AC300000}"/>
    <cellStyle name="Normal 2 2 2 2 2 25 4 7" xfId="12461" xr:uid="{00000000-0005-0000-0000-0000AD300000}"/>
    <cellStyle name="Normal 2 2 2 2 2 25 4 8" xfId="12462" xr:uid="{00000000-0005-0000-0000-0000AE300000}"/>
    <cellStyle name="Normal 2 2 2 2 2 25 4 9" xfId="12463" xr:uid="{00000000-0005-0000-0000-0000AF300000}"/>
    <cellStyle name="Normal 2 2 2 2 2 25 5" xfId="12464" xr:uid="{00000000-0005-0000-0000-0000B0300000}"/>
    <cellStyle name="Normal 2 2 2 2 2 25 5 10" xfId="12465" xr:uid="{00000000-0005-0000-0000-0000B1300000}"/>
    <cellStyle name="Normal 2 2 2 2 2 25 5 2" xfId="12466" xr:uid="{00000000-0005-0000-0000-0000B2300000}"/>
    <cellStyle name="Normal 2 2 2 2 2 25 5 3" xfId="12467" xr:uid="{00000000-0005-0000-0000-0000B3300000}"/>
    <cellStyle name="Normal 2 2 2 2 2 25 5 4" xfId="12468" xr:uid="{00000000-0005-0000-0000-0000B4300000}"/>
    <cellStyle name="Normal 2 2 2 2 2 25 5 5" xfId="12469" xr:uid="{00000000-0005-0000-0000-0000B5300000}"/>
    <cellStyle name="Normal 2 2 2 2 2 25 5 6" xfId="12470" xr:uid="{00000000-0005-0000-0000-0000B6300000}"/>
    <cellStyle name="Normal 2 2 2 2 2 25 5 7" xfId="12471" xr:uid="{00000000-0005-0000-0000-0000B7300000}"/>
    <cellStyle name="Normal 2 2 2 2 2 25 5 8" xfId="12472" xr:uid="{00000000-0005-0000-0000-0000B8300000}"/>
    <cellStyle name="Normal 2 2 2 2 2 25 5 9" xfId="12473" xr:uid="{00000000-0005-0000-0000-0000B9300000}"/>
    <cellStyle name="Normal 2 2 2 2 2 25 6" xfId="12474" xr:uid="{00000000-0005-0000-0000-0000BA300000}"/>
    <cellStyle name="Normal 2 2 2 2 2 25 7" xfId="12475" xr:uid="{00000000-0005-0000-0000-0000BB300000}"/>
    <cellStyle name="Normal 2 2 2 2 2 25 8" xfId="12476" xr:uid="{00000000-0005-0000-0000-0000BC300000}"/>
    <cellStyle name="Normal 2 2 2 2 2 25 9" xfId="12477" xr:uid="{00000000-0005-0000-0000-0000BD300000}"/>
    <cellStyle name="Normal 2 2 2 2 2 26" xfId="12478" xr:uid="{00000000-0005-0000-0000-0000BE300000}"/>
    <cellStyle name="Normal 2 2 2 2 2 26 10" xfId="12479" xr:uid="{00000000-0005-0000-0000-0000BF300000}"/>
    <cellStyle name="Normal 2 2 2 2 2 26 11" xfId="12480" xr:uid="{00000000-0005-0000-0000-0000C0300000}"/>
    <cellStyle name="Normal 2 2 2 2 2 26 12" xfId="12481" xr:uid="{00000000-0005-0000-0000-0000C1300000}"/>
    <cellStyle name="Normal 2 2 2 2 2 26 13" xfId="12482" xr:uid="{00000000-0005-0000-0000-0000C2300000}"/>
    <cellStyle name="Normal 2 2 2 2 2 26 14" xfId="12483" xr:uid="{00000000-0005-0000-0000-0000C3300000}"/>
    <cellStyle name="Normal 2 2 2 2 2 26 2" xfId="12484" xr:uid="{00000000-0005-0000-0000-0000C4300000}"/>
    <cellStyle name="Normal 2 2 2 2 2 26 2 10" xfId="12485" xr:uid="{00000000-0005-0000-0000-0000C5300000}"/>
    <cellStyle name="Normal 2 2 2 2 2 26 2 2" xfId="12486" xr:uid="{00000000-0005-0000-0000-0000C6300000}"/>
    <cellStyle name="Normal 2 2 2 2 2 26 2 3" xfId="12487" xr:uid="{00000000-0005-0000-0000-0000C7300000}"/>
    <cellStyle name="Normal 2 2 2 2 2 26 2 4" xfId="12488" xr:uid="{00000000-0005-0000-0000-0000C8300000}"/>
    <cellStyle name="Normal 2 2 2 2 2 26 2 5" xfId="12489" xr:uid="{00000000-0005-0000-0000-0000C9300000}"/>
    <cellStyle name="Normal 2 2 2 2 2 26 2 6" xfId="12490" xr:uid="{00000000-0005-0000-0000-0000CA300000}"/>
    <cellStyle name="Normal 2 2 2 2 2 26 2 7" xfId="12491" xr:uid="{00000000-0005-0000-0000-0000CB300000}"/>
    <cellStyle name="Normal 2 2 2 2 2 26 2 8" xfId="12492" xr:uid="{00000000-0005-0000-0000-0000CC300000}"/>
    <cellStyle name="Normal 2 2 2 2 2 26 2 9" xfId="12493" xr:uid="{00000000-0005-0000-0000-0000CD300000}"/>
    <cellStyle name="Normal 2 2 2 2 2 26 3" xfId="12494" xr:uid="{00000000-0005-0000-0000-0000CE300000}"/>
    <cellStyle name="Normal 2 2 2 2 2 26 3 10" xfId="12495" xr:uid="{00000000-0005-0000-0000-0000CF300000}"/>
    <cellStyle name="Normal 2 2 2 2 2 26 3 2" xfId="12496" xr:uid="{00000000-0005-0000-0000-0000D0300000}"/>
    <cellStyle name="Normal 2 2 2 2 2 26 3 3" xfId="12497" xr:uid="{00000000-0005-0000-0000-0000D1300000}"/>
    <cellStyle name="Normal 2 2 2 2 2 26 3 4" xfId="12498" xr:uid="{00000000-0005-0000-0000-0000D2300000}"/>
    <cellStyle name="Normal 2 2 2 2 2 26 3 5" xfId="12499" xr:uid="{00000000-0005-0000-0000-0000D3300000}"/>
    <cellStyle name="Normal 2 2 2 2 2 26 3 6" xfId="12500" xr:uid="{00000000-0005-0000-0000-0000D4300000}"/>
    <cellStyle name="Normal 2 2 2 2 2 26 3 7" xfId="12501" xr:uid="{00000000-0005-0000-0000-0000D5300000}"/>
    <cellStyle name="Normal 2 2 2 2 2 26 3 8" xfId="12502" xr:uid="{00000000-0005-0000-0000-0000D6300000}"/>
    <cellStyle name="Normal 2 2 2 2 2 26 3 9" xfId="12503" xr:uid="{00000000-0005-0000-0000-0000D7300000}"/>
    <cellStyle name="Normal 2 2 2 2 2 26 4" xfId="12504" xr:uid="{00000000-0005-0000-0000-0000D8300000}"/>
    <cellStyle name="Normal 2 2 2 2 2 26 4 10" xfId="12505" xr:uid="{00000000-0005-0000-0000-0000D9300000}"/>
    <cellStyle name="Normal 2 2 2 2 2 26 4 2" xfId="12506" xr:uid="{00000000-0005-0000-0000-0000DA300000}"/>
    <cellStyle name="Normal 2 2 2 2 2 26 4 3" xfId="12507" xr:uid="{00000000-0005-0000-0000-0000DB300000}"/>
    <cellStyle name="Normal 2 2 2 2 2 26 4 4" xfId="12508" xr:uid="{00000000-0005-0000-0000-0000DC300000}"/>
    <cellStyle name="Normal 2 2 2 2 2 26 4 5" xfId="12509" xr:uid="{00000000-0005-0000-0000-0000DD300000}"/>
    <cellStyle name="Normal 2 2 2 2 2 26 4 6" xfId="12510" xr:uid="{00000000-0005-0000-0000-0000DE300000}"/>
    <cellStyle name="Normal 2 2 2 2 2 26 4 7" xfId="12511" xr:uid="{00000000-0005-0000-0000-0000DF300000}"/>
    <cellStyle name="Normal 2 2 2 2 2 26 4 8" xfId="12512" xr:uid="{00000000-0005-0000-0000-0000E0300000}"/>
    <cellStyle name="Normal 2 2 2 2 2 26 4 9" xfId="12513" xr:uid="{00000000-0005-0000-0000-0000E1300000}"/>
    <cellStyle name="Normal 2 2 2 2 2 26 5" xfId="12514" xr:uid="{00000000-0005-0000-0000-0000E2300000}"/>
    <cellStyle name="Normal 2 2 2 2 2 26 5 10" xfId="12515" xr:uid="{00000000-0005-0000-0000-0000E3300000}"/>
    <cellStyle name="Normal 2 2 2 2 2 26 5 2" xfId="12516" xr:uid="{00000000-0005-0000-0000-0000E4300000}"/>
    <cellStyle name="Normal 2 2 2 2 2 26 5 3" xfId="12517" xr:uid="{00000000-0005-0000-0000-0000E5300000}"/>
    <cellStyle name="Normal 2 2 2 2 2 26 5 4" xfId="12518" xr:uid="{00000000-0005-0000-0000-0000E6300000}"/>
    <cellStyle name="Normal 2 2 2 2 2 26 5 5" xfId="12519" xr:uid="{00000000-0005-0000-0000-0000E7300000}"/>
    <cellStyle name="Normal 2 2 2 2 2 26 5 6" xfId="12520" xr:uid="{00000000-0005-0000-0000-0000E8300000}"/>
    <cellStyle name="Normal 2 2 2 2 2 26 5 7" xfId="12521" xr:uid="{00000000-0005-0000-0000-0000E9300000}"/>
    <cellStyle name="Normal 2 2 2 2 2 26 5 8" xfId="12522" xr:uid="{00000000-0005-0000-0000-0000EA300000}"/>
    <cellStyle name="Normal 2 2 2 2 2 26 5 9" xfId="12523" xr:uid="{00000000-0005-0000-0000-0000EB300000}"/>
    <cellStyle name="Normal 2 2 2 2 2 26 6" xfId="12524" xr:uid="{00000000-0005-0000-0000-0000EC300000}"/>
    <cellStyle name="Normal 2 2 2 2 2 26 7" xfId="12525" xr:uid="{00000000-0005-0000-0000-0000ED300000}"/>
    <cellStyle name="Normal 2 2 2 2 2 26 8" xfId="12526" xr:uid="{00000000-0005-0000-0000-0000EE300000}"/>
    <cellStyle name="Normal 2 2 2 2 2 26 9" xfId="12527" xr:uid="{00000000-0005-0000-0000-0000EF300000}"/>
    <cellStyle name="Normal 2 2 2 2 2 27" xfId="12528" xr:uid="{00000000-0005-0000-0000-0000F0300000}"/>
    <cellStyle name="Normal 2 2 2 2 2 27 10" xfId="12529" xr:uid="{00000000-0005-0000-0000-0000F1300000}"/>
    <cellStyle name="Normal 2 2 2 2 2 27 11" xfId="12530" xr:uid="{00000000-0005-0000-0000-0000F2300000}"/>
    <cellStyle name="Normal 2 2 2 2 2 27 12" xfId="12531" xr:uid="{00000000-0005-0000-0000-0000F3300000}"/>
    <cellStyle name="Normal 2 2 2 2 2 27 13" xfId="12532" xr:uid="{00000000-0005-0000-0000-0000F4300000}"/>
    <cellStyle name="Normal 2 2 2 2 2 27 14" xfId="12533" xr:uid="{00000000-0005-0000-0000-0000F5300000}"/>
    <cellStyle name="Normal 2 2 2 2 2 27 2" xfId="12534" xr:uid="{00000000-0005-0000-0000-0000F6300000}"/>
    <cellStyle name="Normal 2 2 2 2 2 27 2 10" xfId="12535" xr:uid="{00000000-0005-0000-0000-0000F7300000}"/>
    <cellStyle name="Normal 2 2 2 2 2 27 2 2" xfId="12536" xr:uid="{00000000-0005-0000-0000-0000F8300000}"/>
    <cellStyle name="Normal 2 2 2 2 2 27 2 3" xfId="12537" xr:uid="{00000000-0005-0000-0000-0000F9300000}"/>
    <cellStyle name="Normal 2 2 2 2 2 27 2 4" xfId="12538" xr:uid="{00000000-0005-0000-0000-0000FA300000}"/>
    <cellStyle name="Normal 2 2 2 2 2 27 2 5" xfId="12539" xr:uid="{00000000-0005-0000-0000-0000FB300000}"/>
    <cellStyle name="Normal 2 2 2 2 2 27 2 6" xfId="12540" xr:uid="{00000000-0005-0000-0000-0000FC300000}"/>
    <cellStyle name="Normal 2 2 2 2 2 27 2 7" xfId="12541" xr:uid="{00000000-0005-0000-0000-0000FD300000}"/>
    <cellStyle name="Normal 2 2 2 2 2 27 2 8" xfId="12542" xr:uid="{00000000-0005-0000-0000-0000FE300000}"/>
    <cellStyle name="Normal 2 2 2 2 2 27 2 9" xfId="12543" xr:uid="{00000000-0005-0000-0000-0000FF300000}"/>
    <cellStyle name="Normal 2 2 2 2 2 27 3" xfId="12544" xr:uid="{00000000-0005-0000-0000-000000310000}"/>
    <cellStyle name="Normal 2 2 2 2 2 27 3 10" xfId="12545" xr:uid="{00000000-0005-0000-0000-000001310000}"/>
    <cellStyle name="Normal 2 2 2 2 2 27 3 2" xfId="12546" xr:uid="{00000000-0005-0000-0000-000002310000}"/>
    <cellStyle name="Normal 2 2 2 2 2 27 3 3" xfId="12547" xr:uid="{00000000-0005-0000-0000-000003310000}"/>
    <cellStyle name="Normal 2 2 2 2 2 27 3 4" xfId="12548" xr:uid="{00000000-0005-0000-0000-000004310000}"/>
    <cellStyle name="Normal 2 2 2 2 2 27 3 5" xfId="12549" xr:uid="{00000000-0005-0000-0000-000005310000}"/>
    <cellStyle name="Normal 2 2 2 2 2 27 3 6" xfId="12550" xr:uid="{00000000-0005-0000-0000-000006310000}"/>
    <cellStyle name="Normal 2 2 2 2 2 27 3 7" xfId="12551" xr:uid="{00000000-0005-0000-0000-000007310000}"/>
    <cellStyle name="Normal 2 2 2 2 2 27 3 8" xfId="12552" xr:uid="{00000000-0005-0000-0000-000008310000}"/>
    <cellStyle name="Normal 2 2 2 2 2 27 3 9" xfId="12553" xr:uid="{00000000-0005-0000-0000-000009310000}"/>
    <cellStyle name="Normal 2 2 2 2 2 27 4" xfId="12554" xr:uid="{00000000-0005-0000-0000-00000A310000}"/>
    <cellStyle name="Normal 2 2 2 2 2 27 4 10" xfId="12555" xr:uid="{00000000-0005-0000-0000-00000B310000}"/>
    <cellStyle name="Normal 2 2 2 2 2 27 4 2" xfId="12556" xr:uid="{00000000-0005-0000-0000-00000C310000}"/>
    <cellStyle name="Normal 2 2 2 2 2 27 4 3" xfId="12557" xr:uid="{00000000-0005-0000-0000-00000D310000}"/>
    <cellStyle name="Normal 2 2 2 2 2 27 4 4" xfId="12558" xr:uid="{00000000-0005-0000-0000-00000E310000}"/>
    <cellStyle name="Normal 2 2 2 2 2 27 4 5" xfId="12559" xr:uid="{00000000-0005-0000-0000-00000F310000}"/>
    <cellStyle name="Normal 2 2 2 2 2 27 4 6" xfId="12560" xr:uid="{00000000-0005-0000-0000-000010310000}"/>
    <cellStyle name="Normal 2 2 2 2 2 27 4 7" xfId="12561" xr:uid="{00000000-0005-0000-0000-000011310000}"/>
    <cellStyle name="Normal 2 2 2 2 2 27 4 8" xfId="12562" xr:uid="{00000000-0005-0000-0000-000012310000}"/>
    <cellStyle name="Normal 2 2 2 2 2 27 4 9" xfId="12563" xr:uid="{00000000-0005-0000-0000-000013310000}"/>
    <cellStyle name="Normal 2 2 2 2 2 27 5" xfId="12564" xr:uid="{00000000-0005-0000-0000-000014310000}"/>
    <cellStyle name="Normal 2 2 2 2 2 27 5 10" xfId="12565" xr:uid="{00000000-0005-0000-0000-000015310000}"/>
    <cellStyle name="Normal 2 2 2 2 2 27 5 2" xfId="12566" xr:uid="{00000000-0005-0000-0000-000016310000}"/>
    <cellStyle name="Normal 2 2 2 2 2 27 5 3" xfId="12567" xr:uid="{00000000-0005-0000-0000-000017310000}"/>
    <cellStyle name="Normal 2 2 2 2 2 27 5 4" xfId="12568" xr:uid="{00000000-0005-0000-0000-000018310000}"/>
    <cellStyle name="Normal 2 2 2 2 2 27 5 5" xfId="12569" xr:uid="{00000000-0005-0000-0000-000019310000}"/>
    <cellStyle name="Normal 2 2 2 2 2 27 5 6" xfId="12570" xr:uid="{00000000-0005-0000-0000-00001A310000}"/>
    <cellStyle name="Normal 2 2 2 2 2 27 5 7" xfId="12571" xr:uid="{00000000-0005-0000-0000-00001B310000}"/>
    <cellStyle name="Normal 2 2 2 2 2 27 5 8" xfId="12572" xr:uid="{00000000-0005-0000-0000-00001C310000}"/>
    <cellStyle name="Normal 2 2 2 2 2 27 5 9" xfId="12573" xr:uid="{00000000-0005-0000-0000-00001D310000}"/>
    <cellStyle name="Normal 2 2 2 2 2 27 6" xfId="12574" xr:uid="{00000000-0005-0000-0000-00001E310000}"/>
    <cellStyle name="Normal 2 2 2 2 2 27 7" xfId="12575" xr:uid="{00000000-0005-0000-0000-00001F310000}"/>
    <cellStyle name="Normal 2 2 2 2 2 27 8" xfId="12576" xr:uid="{00000000-0005-0000-0000-000020310000}"/>
    <cellStyle name="Normal 2 2 2 2 2 27 9" xfId="12577" xr:uid="{00000000-0005-0000-0000-000021310000}"/>
    <cellStyle name="Normal 2 2 2 2 2 28" xfId="12578" xr:uid="{00000000-0005-0000-0000-000022310000}"/>
    <cellStyle name="Normal 2 2 2 2 2 28 10" xfId="12579" xr:uid="{00000000-0005-0000-0000-000023310000}"/>
    <cellStyle name="Normal 2 2 2 2 2 28 11" xfId="12580" xr:uid="{00000000-0005-0000-0000-000024310000}"/>
    <cellStyle name="Normal 2 2 2 2 2 28 12" xfId="12581" xr:uid="{00000000-0005-0000-0000-000025310000}"/>
    <cellStyle name="Normal 2 2 2 2 2 28 13" xfId="12582" xr:uid="{00000000-0005-0000-0000-000026310000}"/>
    <cellStyle name="Normal 2 2 2 2 2 28 14" xfId="12583" xr:uid="{00000000-0005-0000-0000-000027310000}"/>
    <cellStyle name="Normal 2 2 2 2 2 28 2" xfId="12584" xr:uid="{00000000-0005-0000-0000-000028310000}"/>
    <cellStyle name="Normal 2 2 2 2 2 28 2 10" xfId="12585" xr:uid="{00000000-0005-0000-0000-000029310000}"/>
    <cellStyle name="Normal 2 2 2 2 2 28 2 2" xfId="12586" xr:uid="{00000000-0005-0000-0000-00002A310000}"/>
    <cellStyle name="Normal 2 2 2 2 2 28 2 3" xfId="12587" xr:uid="{00000000-0005-0000-0000-00002B310000}"/>
    <cellStyle name="Normal 2 2 2 2 2 28 2 4" xfId="12588" xr:uid="{00000000-0005-0000-0000-00002C310000}"/>
    <cellStyle name="Normal 2 2 2 2 2 28 2 5" xfId="12589" xr:uid="{00000000-0005-0000-0000-00002D310000}"/>
    <cellStyle name="Normal 2 2 2 2 2 28 2 6" xfId="12590" xr:uid="{00000000-0005-0000-0000-00002E310000}"/>
    <cellStyle name="Normal 2 2 2 2 2 28 2 7" xfId="12591" xr:uid="{00000000-0005-0000-0000-00002F310000}"/>
    <cellStyle name="Normal 2 2 2 2 2 28 2 8" xfId="12592" xr:uid="{00000000-0005-0000-0000-000030310000}"/>
    <cellStyle name="Normal 2 2 2 2 2 28 2 9" xfId="12593" xr:uid="{00000000-0005-0000-0000-000031310000}"/>
    <cellStyle name="Normal 2 2 2 2 2 28 3" xfId="12594" xr:uid="{00000000-0005-0000-0000-000032310000}"/>
    <cellStyle name="Normal 2 2 2 2 2 28 3 10" xfId="12595" xr:uid="{00000000-0005-0000-0000-000033310000}"/>
    <cellStyle name="Normal 2 2 2 2 2 28 3 2" xfId="12596" xr:uid="{00000000-0005-0000-0000-000034310000}"/>
    <cellStyle name="Normal 2 2 2 2 2 28 3 3" xfId="12597" xr:uid="{00000000-0005-0000-0000-000035310000}"/>
    <cellStyle name="Normal 2 2 2 2 2 28 3 4" xfId="12598" xr:uid="{00000000-0005-0000-0000-000036310000}"/>
    <cellStyle name="Normal 2 2 2 2 2 28 3 5" xfId="12599" xr:uid="{00000000-0005-0000-0000-000037310000}"/>
    <cellStyle name="Normal 2 2 2 2 2 28 3 6" xfId="12600" xr:uid="{00000000-0005-0000-0000-000038310000}"/>
    <cellStyle name="Normal 2 2 2 2 2 28 3 7" xfId="12601" xr:uid="{00000000-0005-0000-0000-000039310000}"/>
    <cellStyle name="Normal 2 2 2 2 2 28 3 8" xfId="12602" xr:uid="{00000000-0005-0000-0000-00003A310000}"/>
    <cellStyle name="Normal 2 2 2 2 2 28 3 9" xfId="12603" xr:uid="{00000000-0005-0000-0000-00003B310000}"/>
    <cellStyle name="Normal 2 2 2 2 2 28 4" xfId="12604" xr:uid="{00000000-0005-0000-0000-00003C310000}"/>
    <cellStyle name="Normal 2 2 2 2 2 28 4 10" xfId="12605" xr:uid="{00000000-0005-0000-0000-00003D310000}"/>
    <cellStyle name="Normal 2 2 2 2 2 28 4 2" xfId="12606" xr:uid="{00000000-0005-0000-0000-00003E310000}"/>
    <cellStyle name="Normal 2 2 2 2 2 28 4 3" xfId="12607" xr:uid="{00000000-0005-0000-0000-00003F310000}"/>
    <cellStyle name="Normal 2 2 2 2 2 28 4 4" xfId="12608" xr:uid="{00000000-0005-0000-0000-000040310000}"/>
    <cellStyle name="Normal 2 2 2 2 2 28 4 5" xfId="12609" xr:uid="{00000000-0005-0000-0000-000041310000}"/>
    <cellStyle name="Normal 2 2 2 2 2 28 4 6" xfId="12610" xr:uid="{00000000-0005-0000-0000-000042310000}"/>
    <cellStyle name="Normal 2 2 2 2 2 28 4 7" xfId="12611" xr:uid="{00000000-0005-0000-0000-000043310000}"/>
    <cellStyle name="Normal 2 2 2 2 2 28 4 8" xfId="12612" xr:uid="{00000000-0005-0000-0000-000044310000}"/>
    <cellStyle name="Normal 2 2 2 2 2 28 4 9" xfId="12613" xr:uid="{00000000-0005-0000-0000-000045310000}"/>
    <cellStyle name="Normal 2 2 2 2 2 28 5" xfId="12614" xr:uid="{00000000-0005-0000-0000-000046310000}"/>
    <cellStyle name="Normal 2 2 2 2 2 28 5 10" xfId="12615" xr:uid="{00000000-0005-0000-0000-000047310000}"/>
    <cellStyle name="Normal 2 2 2 2 2 28 5 2" xfId="12616" xr:uid="{00000000-0005-0000-0000-000048310000}"/>
    <cellStyle name="Normal 2 2 2 2 2 28 5 3" xfId="12617" xr:uid="{00000000-0005-0000-0000-000049310000}"/>
    <cellStyle name="Normal 2 2 2 2 2 28 5 4" xfId="12618" xr:uid="{00000000-0005-0000-0000-00004A310000}"/>
    <cellStyle name="Normal 2 2 2 2 2 28 5 5" xfId="12619" xr:uid="{00000000-0005-0000-0000-00004B310000}"/>
    <cellStyle name="Normal 2 2 2 2 2 28 5 6" xfId="12620" xr:uid="{00000000-0005-0000-0000-00004C310000}"/>
    <cellStyle name="Normal 2 2 2 2 2 28 5 7" xfId="12621" xr:uid="{00000000-0005-0000-0000-00004D310000}"/>
    <cellStyle name="Normal 2 2 2 2 2 28 5 8" xfId="12622" xr:uid="{00000000-0005-0000-0000-00004E310000}"/>
    <cellStyle name="Normal 2 2 2 2 2 28 5 9" xfId="12623" xr:uid="{00000000-0005-0000-0000-00004F310000}"/>
    <cellStyle name="Normal 2 2 2 2 2 28 6" xfId="12624" xr:uid="{00000000-0005-0000-0000-000050310000}"/>
    <cellStyle name="Normal 2 2 2 2 2 28 7" xfId="12625" xr:uid="{00000000-0005-0000-0000-000051310000}"/>
    <cellStyle name="Normal 2 2 2 2 2 28 8" xfId="12626" xr:uid="{00000000-0005-0000-0000-000052310000}"/>
    <cellStyle name="Normal 2 2 2 2 2 28 9" xfId="12627" xr:uid="{00000000-0005-0000-0000-000053310000}"/>
    <cellStyle name="Normal 2 2 2 2 2 29" xfId="12628" xr:uid="{00000000-0005-0000-0000-000054310000}"/>
    <cellStyle name="Normal 2 2 2 2 2 29 10" xfId="12629" xr:uid="{00000000-0005-0000-0000-000055310000}"/>
    <cellStyle name="Normal 2 2 2 2 2 29 11" xfId="12630" xr:uid="{00000000-0005-0000-0000-000056310000}"/>
    <cellStyle name="Normal 2 2 2 2 2 29 12" xfId="12631" xr:uid="{00000000-0005-0000-0000-000057310000}"/>
    <cellStyle name="Normal 2 2 2 2 2 29 13" xfId="12632" xr:uid="{00000000-0005-0000-0000-000058310000}"/>
    <cellStyle name="Normal 2 2 2 2 2 29 14" xfId="12633" xr:uid="{00000000-0005-0000-0000-000059310000}"/>
    <cellStyle name="Normal 2 2 2 2 2 29 2" xfId="12634" xr:uid="{00000000-0005-0000-0000-00005A310000}"/>
    <cellStyle name="Normal 2 2 2 2 2 29 2 10" xfId="12635" xr:uid="{00000000-0005-0000-0000-00005B310000}"/>
    <cellStyle name="Normal 2 2 2 2 2 29 2 2" xfId="12636" xr:uid="{00000000-0005-0000-0000-00005C310000}"/>
    <cellStyle name="Normal 2 2 2 2 2 29 2 3" xfId="12637" xr:uid="{00000000-0005-0000-0000-00005D310000}"/>
    <cellStyle name="Normal 2 2 2 2 2 29 2 4" xfId="12638" xr:uid="{00000000-0005-0000-0000-00005E310000}"/>
    <cellStyle name="Normal 2 2 2 2 2 29 2 5" xfId="12639" xr:uid="{00000000-0005-0000-0000-00005F310000}"/>
    <cellStyle name="Normal 2 2 2 2 2 29 2 6" xfId="12640" xr:uid="{00000000-0005-0000-0000-000060310000}"/>
    <cellStyle name="Normal 2 2 2 2 2 29 2 7" xfId="12641" xr:uid="{00000000-0005-0000-0000-000061310000}"/>
    <cellStyle name="Normal 2 2 2 2 2 29 2 8" xfId="12642" xr:uid="{00000000-0005-0000-0000-000062310000}"/>
    <cellStyle name="Normal 2 2 2 2 2 29 2 9" xfId="12643" xr:uid="{00000000-0005-0000-0000-000063310000}"/>
    <cellStyle name="Normal 2 2 2 2 2 29 3" xfId="12644" xr:uid="{00000000-0005-0000-0000-000064310000}"/>
    <cellStyle name="Normal 2 2 2 2 2 29 3 10" xfId="12645" xr:uid="{00000000-0005-0000-0000-000065310000}"/>
    <cellStyle name="Normal 2 2 2 2 2 29 3 2" xfId="12646" xr:uid="{00000000-0005-0000-0000-000066310000}"/>
    <cellStyle name="Normal 2 2 2 2 2 29 3 3" xfId="12647" xr:uid="{00000000-0005-0000-0000-000067310000}"/>
    <cellStyle name="Normal 2 2 2 2 2 29 3 4" xfId="12648" xr:uid="{00000000-0005-0000-0000-000068310000}"/>
    <cellStyle name="Normal 2 2 2 2 2 29 3 5" xfId="12649" xr:uid="{00000000-0005-0000-0000-000069310000}"/>
    <cellStyle name="Normal 2 2 2 2 2 29 3 6" xfId="12650" xr:uid="{00000000-0005-0000-0000-00006A310000}"/>
    <cellStyle name="Normal 2 2 2 2 2 29 3 7" xfId="12651" xr:uid="{00000000-0005-0000-0000-00006B310000}"/>
    <cellStyle name="Normal 2 2 2 2 2 29 3 8" xfId="12652" xr:uid="{00000000-0005-0000-0000-00006C310000}"/>
    <cellStyle name="Normal 2 2 2 2 2 29 3 9" xfId="12653" xr:uid="{00000000-0005-0000-0000-00006D310000}"/>
    <cellStyle name="Normal 2 2 2 2 2 29 4" xfId="12654" xr:uid="{00000000-0005-0000-0000-00006E310000}"/>
    <cellStyle name="Normal 2 2 2 2 2 29 4 10" xfId="12655" xr:uid="{00000000-0005-0000-0000-00006F310000}"/>
    <cellStyle name="Normal 2 2 2 2 2 29 4 2" xfId="12656" xr:uid="{00000000-0005-0000-0000-000070310000}"/>
    <cellStyle name="Normal 2 2 2 2 2 29 4 3" xfId="12657" xr:uid="{00000000-0005-0000-0000-000071310000}"/>
    <cellStyle name="Normal 2 2 2 2 2 29 4 4" xfId="12658" xr:uid="{00000000-0005-0000-0000-000072310000}"/>
    <cellStyle name="Normal 2 2 2 2 2 29 4 5" xfId="12659" xr:uid="{00000000-0005-0000-0000-000073310000}"/>
    <cellStyle name="Normal 2 2 2 2 2 29 4 6" xfId="12660" xr:uid="{00000000-0005-0000-0000-000074310000}"/>
    <cellStyle name="Normal 2 2 2 2 2 29 4 7" xfId="12661" xr:uid="{00000000-0005-0000-0000-000075310000}"/>
    <cellStyle name="Normal 2 2 2 2 2 29 4 8" xfId="12662" xr:uid="{00000000-0005-0000-0000-000076310000}"/>
    <cellStyle name="Normal 2 2 2 2 2 29 4 9" xfId="12663" xr:uid="{00000000-0005-0000-0000-000077310000}"/>
    <cellStyle name="Normal 2 2 2 2 2 29 5" xfId="12664" xr:uid="{00000000-0005-0000-0000-000078310000}"/>
    <cellStyle name="Normal 2 2 2 2 2 29 5 10" xfId="12665" xr:uid="{00000000-0005-0000-0000-000079310000}"/>
    <cellStyle name="Normal 2 2 2 2 2 29 5 2" xfId="12666" xr:uid="{00000000-0005-0000-0000-00007A310000}"/>
    <cellStyle name="Normal 2 2 2 2 2 29 5 3" xfId="12667" xr:uid="{00000000-0005-0000-0000-00007B310000}"/>
    <cellStyle name="Normal 2 2 2 2 2 29 5 4" xfId="12668" xr:uid="{00000000-0005-0000-0000-00007C310000}"/>
    <cellStyle name="Normal 2 2 2 2 2 29 5 5" xfId="12669" xr:uid="{00000000-0005-0000-0000-00007D310000}"/>
    <cellStyle name="Normal 2 2 2 2 2 29 5 6" xfId="12670" xr:uid="{00000000-0005-0000-0000-00007E310000}"/>
    <cellStyle name="Normal 2 2 2 2 2 29 5 7" xfId="12671" xr:uid="{00000000-0005-0000-0000-00007F310000}"/>
    <cellStyle name="Normal 2 2 2 2 2 29 5 8" xfId="12672" xr:uid="{00000000-0005-0000-0000-000080310000}"/>
    <cellStyle name="Normal 2 2 2 2 2 29 5 9" xfId="12673" xr:uid="{00000000-0005-0000-0000-000081310000}"/>
    <cellStyle name="Normal 2 2 2 2 2 29 6" xfId="12674" xr:uid="{00000000-0005-0000-0000-000082310000}"/>
    <cellStyle name="Normal 2 2 2 2 2 29 7" xfId="12675" xr:uid="{00000000-0005-0000-0000-000083310000}"/>
    <cellStyle name="Normal 2 2 2 2 2 29 8" xfId="12676" xr:uid="{00000000-0005-0000-0000-000084310000}"/>
    <cellStyle name="Normal 2 2 2 2 2 29 9" xfId="12677" xr:uid="{00000000-0005-0000-0000-000085310000}"/>
    <cellStyle name="Normal 2 2 2 2 2 3" xfId="12678" xr:uid="{00000000-0005-0000-0000-000086310000}"/>
    <cellStyle name="Normal 2 2 2 2 2 3 10" xfId="12679" xr:uid="{00000000-0005-0000-0000-000087310000}"/>
    <cellStyle name="Normal 2 2 2 2 2 3 11" xfId="12680" xr:uid="{00000000-0005-0000-0000-000088310000}"/>
    <cellStyle name="Normal 2 2 2 2 2 3 12" xfId="12681" xr:uid="{00000000-0005-0000-0000-000089310000}"/>
    <cellStyle name="Normal 2 2 2 2 2 3 13" xfId="12682" xr:uid="{00000000-0005-0000-0000-00008A310000}"/>
    <cellStyle name="Normal 2 2 2 2 2 3 14" xfId="12683" xr:uid="{00000000-0005-0000-0000-00008B310000}"/>
    <cellStyle name="Normal 2 2 2 2 2 3 15" xfId="12684" xr:uid="{00000000-0005-0000-0000-00008C310000}"/>
    <cellStyle name="Normal 2 2 2 2 2 3 16" xfId="12685" xr:uid="{00000000-0005-0000-0000-00008D310000}"/>
    <cellStyle name="Normal 2 2 2 2 2 3 2" xfId="12686" xr:uid="{00000000-0005-0000-0000-00008E310000}"/>
    <cellStyle name="Normal 2 2 2 2 2 3 2 10" xfId="12687" xr:uid="{00000000-0005-0000-0000-00008F310000}"/>
    <cellStyle name="Normal 2 2 2 2 2 3 2 11" xfId="12688" xr:uid="{00000000-0005-0000-0000-000090310000}"/>
    <cellStyle name="Normal 2 2 2 2 2 3 2 12" xfId="12689" xr:uid="{00000000-0005-0000-0000-000091310000}"/>
    <cellStyle name="Normal 2 2 2 2 2 3 2 2" xfId="12690" xr:uid="{00000000-0005-0000-0000-000092310000}"/>
    <cellStyle name="Normal 2 2 2 2 2 3 2 3" xfId="12691" xr:uid="{00000000-0005-0000-0000-000093310000}"/>
    <cellStyle name="Normal 2 2 2 2 2 3 2 4" xfId="12692" xr:uid="{00000000-0005-0000-0000-000094310000}"/>
    <cellStyle name="Normal 2 2 2 2 2 3 2 5" xfId="12693" xr:uid="{00000000-0005-0000-0000-000095310000}"/>
    <cellStyle name="Normal 2 2 2 2 2 3 2 6" xfId="12694" xr:uid="{00000000-0005-0000-0000-000096310000}"/>
    <cellStyle name="Normal 2 2 2 2 2 3 2 7" xfId="12695" xr:uid="{00000000-0005-0000-0000-000097310000}"/>
    <cellStyle name="Normal 2 2 2 2 2 3 2 8" xfId="12696" xr:uid="{00000000-0005-0000-0000-000098310000}"/>
    <cellStyle name="Normal 2 2 2 2 2 3 2 9" xfId="12697" xr:uid="{00000000-0005-0000-0000-000099310000}"/>
    <cellStyle name="Normal 2 2 2 2 2 3 3" xfId="12698" xr:uid="{00000000-0005-0000-0000-00009A310000}"/>
    <cellStyle name="Normal 2 2 2 2 2 3 3 10" xfId="12699" xr:uid="{00000000-0005-0000-0000-00009B310000}"/>
    <cellStyle name="Normal 2 2 2 2 2 3 3 2" xfId="12700" xr:uid="{00000000-0005-0000-0000-00009C310000}"/>
    <cellStyle name="Normal 2 2 2 2 2 3 3 3" xfId="12701" xr:uid="{00000000-0005-0000-0000-00009D310000}"/>
    <cellStyle name="Normal 2 2 2 2 2 3 3 4" xfId="12702" xr:uid="{00000000-0005-0000-0000-00009E310000}"/>
    <cellStyle name="Normal 2 2 2 2 2 3 3 5" xfId="12703" xr:uid="{00000000-0005-0000-0000-00009F310000}"/>
    <cellStyle name="Normal 2 2 2 2 2 3 3 6" xfId="12704" xr:uid="{00000000-0005-0000-0000-0000A0310000}"/>
    <cellStyle name="Normal 2 2 2 2 2 3 3 7" xfId="12705" xr:uid="{00000000-0005-0000-0000-0000A1310000}"/>
    <cellStyle name="Normal 2 2 2 2 2 3 3 8" xfId="12706" xr:uid="{00000000-0005-0000-0000-0000A2310000}"/>
    <cellStyle name="Normal 2 2 2 2 2 3 3 9" xfId="12707" xr:uid="{00000000-0005-0000-0000-0000A3310000}"/>
    <cellStyle name="Normal 2 2 2 2 2 3 4" xfId="12708" xr:uid="{00000000-0005-0000-0000-0000A4310000}"/>
    <cellStyle name="Normal 2 2 2 2 2 3 4 10" xfId="12709" xr:uid="{00000000-0005-0000-0000-0000A5310000}"/>
    <cellStyle name="Normal 2 2 2 2 2 3 4 2" xfId="12710" xr:uid="{00000000-0005-0000-0000-0000A6310000}"/>
    <cellStyle name="Normal 2 2 2 2 2 3 4 3" xfId="12711" xr:uid="{00000000-0005-0000-0000-0000A7310000}"/>
    <cellStyle name="Normal 2 2 2 2 2 3 4 4" xfId="12712" xr:uid="{00000000-0005-0000-0000-0000A8310000}"/>
    <cellStyle name="Normal 2 2 2 2 2 3 4 5" xfId="12713" xr:uid="{00000000-0005-0000-0000-0000A9310000}"/>
    <cellStyle name="Normal 2 2 2 2 2 3 4 6" xfId="12714" xr:uid="{00000000-0005-0000-0000-0000AA310000}"/>
    <cellStyle name="Normal 2 2 2 2 2 3 4 7" xfId="12715" xr:uid="{00000000-0005-0000-0000-0000AB310000}"/>
    <cellStyle name="Normal 2 2 2 2 2 3 4 8" xfId="12716" xr:uid="{00000000-0005-0000-0000-0000AC310000}"/>
    <cellStyle name="Normal 2 2 2 2 2 3 4 9" xfId="12717" xr:uid="{00000000-0005-0000-0000-0000AD310000}"/>
    <cellStyle name="Normal 2 2 2 2 2 3 5" xfId="12718" xr:uid="{00000000-0005-0000-0000-0000AE310000}"/>
    <cellStyle name="Normal 2 2 2 2 2 3 5 10" xfId="12719" xr:uid="{00000000-0005-0000-0000-0000AF310000}"/>
    <cellStyle name="Normal 2 2 2 2 2 3 5 2" xfId="12720" xr:uid="{00000000-0005-0000-0000-0000B0310000}"/>
    <cellStyle name="Normal 2 2 2 2 2 3 5 3" xfId="12721" xr:uid="{00000000-0005-0000-0000-0000B1310000}"/>
    <cellStyle name="Normal 2 2 2 2 2 3 5 4" xfId="12722" xr:uid="{00000000-0005-0000-0000-0000B2310000}"/>
    <cellStyle name="Normal 2 2 2 2 2 3 5 5" xfId="12723" xr:uid="{00000000-0005-0000-0000-0000B3310000}"/>
    <cellStyle name="Normal 2 2 2 2 2 3 5 6" xfId="12724" xr:uid="{00000000-0005-0000-0000-0000B4310000}"/>
    <cellStyle name="Normal 2 2 2 2 2 3 5 7" xfId="12725" xr:uid="{00000000-0005-0000-0000-0000B5310000}"/>
    <cellStyle name="Normal 2 2 2 2 2 3 5 8" xfId="12726" xr:uid="{00000000-0005-0000-0000-0000B6310000}"/>
    <cellStyle name="Normal 2 2 2 2 2 3 5 9" xfId="12727" xr:uid="{00000000-0005-0000-0000-0000B7310000}"/>
    <cellStyle name="Normal 2 2 2 2 2 3 6" xfId="12728" xr:uid="{00000000-0005-0000-0000-0000B8310000}"/>
    <cellStyle name="Normal 2 2 2 2 2 3 7" xfId="12729" xr:uid="{00000000-0005-0000-0000-0000B9310000}"/>
    <cellStyle name="Normal 2 2 2 2 2 3 8" xfId="12730" xr:uid="{00000000-0005-0000-0000-0000BA310000}"/>
    <cellStyle name="Normal 2 2 2 2 2 3 9" xfId="12731" xr:uid="{00000000-0005-0000-0000-0000BB310000}"/>
    <cellStyle name="Normal 2 2 2 2 2 30" xfId="12732" xr:uid="{00000000-0005-0000-0000-0000BC310000}"/>
    <cellStyle name="Normal 2 2 2 2 2 30 10" xfId="12733" xr:uid="{00000000-0005-0000-0000-0000BD310000}"/>
    <cellStyle name="Normal 2 2 2 2 2 30 11" xfId="12734" xr:uid="{00000000-0005-0000-0000-0000BE310000}"/>
    <cellStyle name="Normal 2 2 2 2 2 30 12" xfId="12735" xr:uid="{00000000-0005-0000-0000-0000BF310000}"/>
    <cellStyle name="Normal 2 2 2 2 2 30 13" xfId="12736" xr:uid="{00000000-0005-0000-0000-0000C0310000}"/>
    <cellStyle name="Normal 2 2 2 2 2 30 14" xfId="12737" xr:uid="{00000000-0005-0000-0000-0000C1310000}"/>
    <cellStyle name="Normal 2 2 2 2 2 30 2" xfId="12738" xr:uid="{00000000-0005-0000-0000-0000C2310000}"/>
    <cellStyle name="Normal 2 2 2 2 2 30 2 10" xfId="12739" xr:uid="{00000000-0005-0000-0000-0000C3310000}"/>
    <cellStyle name="Normal 2 2 2 2 2 30 2 2" xfId="12740" xr:uid="{00000000-0005-0000-0000-0000C4310000}"/>
    <cellStyle name="Normal 2 2 2 2 2 30 2 3" xfId="12741" xr:uid="{00000000-0005-0000-0000-0000C5310000}"/>
    <cellStyle name="Normal 2 2 2 2 2 30 2 4" xfId="12742" xr:uid="{00000000-0005-0000-0000-0000C6310000}"/>
    <cellStyle name="Normal 2 2 2 2 2 30 2 5" xfId="12743" xr:uid="{00000000-0005-0000-0000-0000C7310000}"/>
    <cellStyle name="Normal 2 2 2 2 2 30 2 6" xfId="12744" xr:uid="{00000000-0005-0000-0000-0000C8310000}"/>
    <cellStyle name="Normal 2 2 2 2 2 30 2 7" xfId="12745" xr:uid="{00000000-0005-0000-0000-0000C9310000}"/>
    <cellStyle name="Normal 2 2 2 2 2 30 2 8" xfId="12746" xr:uid="{00000000-0005-0000-0000-0000CA310000}"/>
    <cellStyle name="Normal 2 2 2 2 2 30 2 9" xfId="12747" xr:uid="{00000000-0005-0000-0000-0000CB310000}"/>
    <cellStyle name="Normal 2 2 2 2 2 30 3" xfId="12748" xr:uid="{00000000-0005-0000-0000-0000CC310000}"/>
    <cellStyle name="Normal 2 2 2 2 2 30 3 10" xfId="12749" xr:uid="{00000000-0005-0000-0000-0000CD310000}"/>
    <cellStyle name="Normal 2 2 2 2 2 30 3 2" xfId="12750" xr:uid="{00000000-0005-0000-0000-0000CE310000}"/>
    <cellStyle name="Normal 2 2 2 2 2 30 3 3" xfId="12751" xr:uid="{00000000-0005-0000-0000-0000CF310000}"/>
    <cellStyle name="Normal 2 2 2 2 2 30 3 4" xfId="12752" xr:uid="{00000000-0005-0000-0000-0000D0310000}"/>
    <cellStyle name="Normal 2 2 2 2 2 30 3 5" xfId="12753" xr:uid="{00000000-0005-0000-0000-0000D1310000}"/>
    <cellStyle name="Normal 2 2 2 2 2 30 3 6" xfId="12754" xr:uid="{00000000-0005-0000-0000-0000D2310000}"/>
    <cellStyle name="Normal 2 2 2 2 2 30 3 7" xfId="12755" xr:uid="{00000000-0005-0000-0000-0000D3310000}"/>
    <cellStyle name="Normal 2 2 2 2 2 30 3 8" xfId="12756" xr:uid="{00000000-0005-0000-0000-0000D4310000}"/>
    <cellStyle name="Normal 2 2 2 2 2 30 3 9" xfId="12757" xr:uid="{00000000-0005-0000-0000-0000D5310000}"/>
    <cellStyle name="Normal 2 2 2 2 2 30 4" xfId="12758" xr:uid="{00000000-0005-0000-0000-0000D6310000}"/>
    <cellStyle name="Normal 2 2 2 2 2 30 4 10" xfId="12759" xr:uid="{00000000-0005-0000-0000-0000D7310000}"/>
    <cellStyle name="Normal 2 2 2 2 2 30 4 2" xfId="12760" xr:uid="{00000000-0005-0000-0000-0000D8310000}"/>
    <cellStyle name="Normal 2 2 2 2 2 30 4 3" xfId="12761" xr:uid="{00000000-0005-0000-0000-0000D9310000}"/>
    <cellStyle name="Normal 2 2 2 2 2 30 4 4" xfId="12762" xr:uid="{00000000-0005-0000-0000-0000DA310000}"/>
    <cellStyle name="Normal 2 2 2 2 2 30 4 5" xfId="12763" xr:uid="{00000000-0005-0000-0000-0000DB310000}"/>
    <cellStyle name="Normal 2 2 2 2 2 30 4 6" xfId="12764" xr:uid="{00000000-0005-0000-0000-0000DC310000}"/>
    <cellStyle name="Normal 2 2 2 2 2 30 4 7" xfId="12765" xr:uid="{00000000-0005-0000-0000-0000DD310000}"/>
    <cellStyle name="Normal 2 2 2 2 2 30 4 8" xfId="12766" xr:uid="{00000000-0005-0000-0000-0000DE310000}"/>
    <cellStyle name="Normal 2 2 2 2 2 30 4 9" xfId="12767" xr:uid="{00000000-0005-0000-0000-0000DF310000}"/>
    <cellStyle name="Normal 2 2 2 2 2 30 5" xfId="12768" xr:uid="{00000000-0005-0000-0000-0000E0310000}"/>
    <cellStyle name="Normal 2 2 2 2 2 30 5 10" xfId="12769" xr:uid="{00000000-0005-0000-0000-0000E1310000}"/>
    <cellStyle name="Normal 2 2 2 2 2 30 5 2" xfId="12770" xr:uid="{00000000-0005-0000-0000-0000E2310000}"/>
    <cellStyle name="Normal 2 2 2 2 2 30 5 3" xfId="12771" xr:uid="{00000000-0005-0000-0000-0000E3310000}"/>
    <cellStyle name="Normal 2 2 2 2 2 30 5 4" xfId="12772" xr:uid="{00000000-0005-0000-0000-0000E4310000}"/>
    <cellStyle name="Normal 2 2 2 2 2 30 5 5" xfId="12773" xr:uid="{00000000-0005-0000-0000-0000E5310000}"/>
    <cellStyle name="Normal 2 2 2 2 2 30 5 6" xfId="12774" xr:uid="{00000000-0005-0000-0000-0000E6310000}"/>
    <cellStyle name="Normal 2 2 2 2 2 30 5 7" xfId="12775" xr:uid="{00000000-0005-0000-0000-0000E7310000}"/>
    <cellStyle name="Normal 2 2 2 2 2 30 5 8" xfId="12776" xr:uid="{00000000-0005-0000-0000-0000E8310000}"/>
    <cellStyle name="Normal 2 2 2 2 2 30 5 9" xfId="12777" xr:uid="{00000000-0005-0000-0000-0000E9310000}"/>
    <cellStyle name="Normal 2 2 2 2 2 30 6" xfId="12778" xr:uid="{00000000-0005-0000-0000-0000EA310000}"/>
    <cellStyle name="Normal 2 2 2 2 2 30 7" xfId="12779" xr:uid="{00000000-0005-0000-0000-0000EB310000}"/>
    <cellStyle name="Normal 2 2 2 2 2 30 8" xfId="12780" xr:uid="{00000000-0005-0000-0000-0000EC310000}"/>
    <cellStyle name="Normal 2 2 2 2 2 30 9" xfId="12781" xr:uid="{00000000-0005-0000-0000-0000ED310000}"/>
    <cellStyle name="Normal 2 2 2 2 2 31" xfId="12782" xr:uid="{00000000-0005-0000-0000-0000EE310000}"/>
    <cellStyle name="Normal 2 2 2 2 2 31 10" xfId="12783" xr:uid="{00000000-0005-0000-0000-0000EF310000}"/>
    <cellStyle name="Normal 2 2 2 2 2 31 11" xfId="12784" xr:uid="{00000000-0005-0000-0000-0000F0310000}"/>
    <cellStyle name="Normal 2 2 2 2 2 31 12" xfId="12785" xr:uid="{00000000-0005-0000-0000-0000F1310000}"/>
    <cellStyle name="Normal 2 2 2 2 2 31 13" xfId="12786" xr:uid="{00000000-0005-0000-0000-0000F2310000}"/>
    <cellStyle name="Normal 2 2 2 2 2 31 14" xfId="12787" xr:uid="{00000000-0005-0000-0000-0000F3310000}"/>
    <cellStyle name="Normal 2 2 2 2 2 31 2" xfId="12788" xr:uid="{00000000-0005-0000-0000-0000F4310000}"/>
    <cellStyle name="Normal 2 2 2 2 2 31 2 10" xfId="12789" xr:uid="{00000000-0005-0000-0000-0000F5310000}"/>
    <cellStyle name="Normal 2 2 2 2 2 31 2 2" xfId="12790" xr:uid="{00000000-0005-0000-0000-0000F6310000}"/>
    <cellStyle name="Normal 2 2 2 2 2 31 2 3" xfId="12791" xr:uid="{00000000-0005-0000-0000-0000F7310000}"/>
    <cellStyle name="Normal 2 2 2 2 2 31 2 4" xfId="12792" xr:uid="{00000000-0005-0000-0000-0000F8310000}"/>
    <cellStyle name="Normal 2 2 2 2 2 31 2 5" xfId="12793" xr:uid="{00000000-0005-0000-0000-0000F9310000}"/>
    <cellStyle name="Normal 2 2 2 2 2 31 2 6" xfId="12794" xr:uid="{00000000-0005-0000-0000-0000FA310000}"/>
    <cellStyle name="Normal 2 2 2 2 2 31 2 7" xfId="12795" xr:uid="{00000000-0005-0000-0000-0000FB310000}"/>
    <cellStyle name="Normal 2 2 2 2 2 31 2 8" xfId="12796" xr:uid="{00000000-0005-0000-0000-0000FC310000}"/>
    <cellStyle name="Normal 2 2 2 2 2 31 2 9" xfId="12797" xr:uid="{00000000-0005-0000-0000-0000FD310000}"/>
    <cellStyle name="Normal 2 2 2 2 2 31 3" xfId="12798" xr:uid="{00000000-0005-0000-0000-0000FE310000}"/>
    <cellStyle name="Normal 2 2 2 2 2 31 3 10" xfId="12799" xr:uid="{00000000-0005-0000-0000-0000FF310000}"/>
    <cellStyle name="Normal 2 2 2 2 2 31 3 2" xfId="12800" xr:uid="{00000000-0005-0000-0000-000000320000}"/>
    <cellStyle name="Normal 2 2 2 2 2 31 3 3" xfId="12801" xr:uid="{00000000-0005-0000-0000-000001320000}"/>
    <cellStyle name="Normal 2 2 2 2 2 31 3 4" xfId="12802" xr:uid="{00000000-0005-0000-0000-000002320000}"/>
    <cellStyle name="Normal 2 2 2 2 2 31 3 5" xfId="12803" xr:uid="{00000000-0005-0000-0000-000003320000}"/>
    <cellStyle name="Normal 2 2 2 2 2 31 3 6" xfId="12804" xr:uid="{00000000-0005-0000-0000-000004320000}"/>
    <cellStyle name="Normal 2 2 2 2 2 31 3 7" xfId="12805" xr:uid="{00000000-0005-0000-0000-000005320000}"/>
    <cellStyle name="Normal 2 2 2 2 2 31 3 8" xfId="12806" xr:uid="{00000000-0005-0000-0000-000006320000}"/>
    <cellStyle name="Normal 2 2 2 2 2 31 3 9" xfId="12807" xr:uid="{00000000-0005-0000-0000-000007320000}"/>
    <cellStyle name="Normal 2 2 2 2 2 31 4" xfId="12808" xr:uid="{00000000-0005-0000-0000-000008320000}"/>
    <cellStyle name="Normal 2 2 2 2 2 31 4 10" xfId="12809" xr:uid="{00000000-0005-0000-0000-000009320000}"/>
    <cellStyle name="Normal 2 2 2 2 2 31 4 2" xfId="12810" xr:uid="{00000000-0005-0000-0000-00000A320000}"/>
    <cellStyle name="Normal 2 2 2 2 2 31 4 3" xfId="12811" xr:uid="{00000000-0005-0000-0000-00000B320000}"/>
    <cellStyle name="Normal 2 2 2 2 2 31 4 4" xfId="12812" xr:uid="{00000000-0005-0000-0000-00000C320000}"/>
    <cellStyle name="Normal 2 2 2 2 2 31 4 5" xfId="12813" xr:uid="{00000000-0005-0000-0000-00000D320000}"/>
    <cellStyle name="Normal 2 2 2 2 2 31 4 6" xfId="12814" xr:uid="{00000000-0005-0000-0000-00000E320000}"/>
    <cellStyle name="Normal 2 2 2 2 2 31 4 7" xfId="12815" xr:uid="{00000000-0005-0000-0000-00000F320000}"/>
    <cellStyle name="Normal 2 2 2 2 2 31 4 8" xfId="12816" xr:uid="{00000000-0005-0000-0000-000010320000}"/>
    <cellStyle name="Normal 2 2 2 2 2 31 4 9" xfId="12817" xr:uid="{00000000-0005-0000-0000-000011320000}"/>
    <cellStyle name="Normal 2 2 2 2 2 31 5" xfId="12818" xr:uid="{00000000-0005-0000-0000-000012320000}"/>
    <cellStyle name="Normal 2 2 2 2 2 31 5 10" xfId="12819" xr:uid="{00000000-0005-0000-0000-000013320000}"/>
    <cellStyle name="Normal 2 2 2 2 2 31 5 2" xfId="12820" xr:uid="{00000000-0005-0000-0000-000014320000}"/>
    <cellStyle name="Normal 2 2 2 2 2 31 5 3" xfId="12821" xr:uid="{00000000-0005-0000-0000-000015320000}"/>
    <cellStyle name="Normal 2 2 2 2 2 31 5 4" xfId="12822" xr:uid="{00000000-0005-0000-0000-000016320000}"/>
    <cellStyle name="Normal 2 2 2 2 2 31 5 5" xfId="12823" xr:uid="{00000000-0005-0000-0000-000017320000}"/>
    <cellStyle name="Normal 2 2 2 2 2 31 5 6" xfId="12824" xr:uid="{00000000-0005-0000-0000-000018320000}"/>
    <cellStyle name="Normal 2 2 2 2 2 31 5 7" xfId="12825" xr:uid="{00000000-0005-0000-0000-000019320000}"/>
    <cellStyle name="Normal 2 2 2 2 2 31 5 8" xfId="12826" xr:uid="{00000000-0005-0000-0000-00001A320000}"/>
    <cellStyle name="Normal 2 2 2 2 2 31 5 9" xfId="12827" xr:uid="{00000000-0005-0000-0000-00001B320000}"/>
    <cellStyle name="Normal 2 2 2 2 2 31 6" xfId="12828" xr:uid="{00000000-0005-0000-0000-00001C320000}"/>
    <cellStyle name="Normal 2 2 2 2 2 31 7" xfId="12829" xr:uid="{00000000-0005-0000-0000-00001D320000}"/>
    <cellStyle name="Normal 2 2 2 2 2 31 8" xfId="12830" xr:uid="{00000000-0005-0000-0000-00001E320000}"/>
    <cellStyle name="Normal 2 2 2 2 2 31 9" xfId="12831" xr:uid="{00000000-0005-0000-0000-00001F320000}"/>
    <cellStyle name="Normal 2 2 2 2 2 32" xfId="12832" xr:uid="{00000000-0005-0000-0000-000020320000}"/>
    <cellStyle name="Normal 2 2 2 2 2 32 10" xfId="12833" xr:uid="{00000000-0005-0000-0000-000021320000}"/>
    <cellStyle name="Normal 2 2 2 2 2 32 11" xfId="12834" xr:uid="{00000000-0005-0000-0000-000022320000}"/>
    <cellStyle name="Normal 2 2 2 2 2 32 12" xfId="12835" xr:uid="{00000000-0005-0000-0000-000023320000}"/>
    <cellStyle name="Normal 2 2 2 2 2 32 13" xfId="12836" xr:uid="{00000000-0005-0000-0000-000024320000}"/>
    <cellStyle name="Normal 2 2 2 2 2 32 14" xfId="12837" xr:uid="{00000000-0005-0000-0000-000025320000}"/>
    <cellStyle name="Normal 2 2 2 2 2 32 2" xfId="12838" xr:uid="{00000000-0005-0000-0000-000026320000}"/>
    <cellStyle name="Normal 2 2 2 2 2 32 2 10" xfId="12839" xr:uid="{00000000-0005-0000-0000-000027320000}"/>
    <cellStyle name="Normal 2 2 2 2 2 32 2 2" xfId="12840" xr:uid="{00000000-0005-0000-0000-000028320000}"/>
    <cellStyle name="Normal 2 2 2 2 2 32 2 3" xfId="12841" xr:uid="{00000000-0005-0000-0000-000029320000}"/>
    <cellStyle name="Normal 2 2 2 2 2 32 2 4" xfId="12842" xr:uid="{00000000-0005-0000-0000-00002A320000}"/>
    <cellStyle name="Normal 2 2 2 2 2 32 2 5" xfId="12843" xr:uid="{00000000-0005-0000-0000-00002B320000}"/>
    <cellStyle name="Normal 2 2 2 2 2 32 2 6" xfId="12844" xr:uid="{00000000-0005-0000-0000-00002C320000}"/>
    <cellStyle name="Normal 2 2 2 2 2 32 2 7" xfId="12845" xr:uid="{00000000-0005-0000-0000-00002D320000}"/>
    <cellStyle name="Normal 2 2 2 2 2 32 2 8" xfId="12846" xr:uid="{00000000-0005-0000-0000-00002E320000}"/>
    <cellStyle name="Normal 2 2 2 2 2 32 2 9" xfId="12847" xr:uid="{00000000-0005-0000-0000-00002F320000}"/>
    <cellStyle name="Normal 2 2 2 2 2 32 3" xfId="12848" xr:uid="{00000000-0005-0000-0000-000030320000}"/>
    <cellStyle name="Normal 2 2 2 2 2 32 3 10" xfId="12849" xr:uid="{00000000-0005-0000-0000-000031320000}"/>
    <cellStyle name="Normal 2 2 2 2 2 32 3 2" xfId="12850" xr:uid="{00000000-0005-0000-0000-000032320000}"/>
    <cellStyle name="Normal 2 2 2 2 2 32 3 3" xfId="12851" xr:uid="{00000000-0005-0000-0000-000033320000}"/>
    <cellStyle name="Normal 2 2 2 2 2 32 3 4" xfId="12852" xr:uid="{00000000-0005-0000-0000-000034320000}"/>
    <cellStyle name="Normal 2 2 2 2 2 32 3 5" xfId="12853" xr:uid="{00000000-0005-0000-0000-000035320000}"/>
    <cellStyle name="Normal 2 2 2 2 2 32 3 6" xfId="12854" xr:uid="{00000000-0005-0000-0000-000036320000}"/>
    <cellStyle name="Normal 2 2 2 2 2 32 3 7" xfId="12855" xr:uid="{00000000-0005-0000-0000-000037320000}"/>
    <cellStyle name="Normal 2 2 2 2 2 32 3 8" xfId="12856" xr:uid="{00000000-0005-0000-0000-000038320000}"/>
    <cellStyle name="Normal 2 2 2 2 2 32 3 9" xfId="12857" xr:uid="{00000000-0005-0000-0000-000039320000}"/>
    <cellStyle name="Normal 2 2 2 2 2 32 4" xfId="12858" xr:uid="{00000000-0005-0000-0000-00003A320000}"/>
    <cellStyle name="Normal 2 2 2 2 2 32 4 10" xfId="12859" xr:uid="{00000000-0005-0000-0000-00003B320000}"/>
    <cellStyle name="Normal 2 2 2 2 2 32 4 2" xfId="12860" xr:uid="{00000000-0005-0000-0000-00003C320000}"/>
    <cellStyle name="Normal 2 2 2 2 2 32 4 3" xfId="12861" xr:uid="{00000000-0005-0000-0000-00003D320000}"/>
    <cellStyle name="Normal 2 2 2 2 2 32 4 4" xfId="12862" xr:uid="{00000000-0005-0000-0000-00003E320000}"/>
    <cellStyle name="Normal 2 2 2 2 2 32 4 5" xfId="12863" xr:uid="{00000000-0005-0000-0000-00003F320000}"/>
    <cellStyle name="Normal 2 2 2 2 2 32 4 6" xfId="12864" xr:uid="{00000000-0005-0000-0000-000040320000}"/>
    <cellStyle name="Normal 2 2 2 2 2 32 4 7" xfId="12865" xr:uid="{00000000-0005-0000-0000-000041320000}"/>
    <cellStyle name="Normal 2 2 2 2 2 32 4 8" xfId="12866" xr:uid="{00000000-0005-0000-0000-000042320000}"/>
    <cellStyle name="Normal 2 2 2 2 2 32 4 9" xfId="12867" xr:uid="{00000000-0005-0000-0000-000043320000}"/>
    <cellStyle name="Normal 2 2 2 2 2 32 5" xfId="12868" xr:uid="{00000000-0005-0000-0000-000044320000}"/>
    <cellStyle name="Normal 2 2 2 2 2 32 5 10" xfId="12869" xr:uid="{00000000-0005-0000-0000-000045320000}"/>
    <cellStyle name="Normal 2 2 2 2 2 32 5 2" xfId="12870" xr:uid="{00000000-0005-0000-0000-000046320000}"/>
    <cellStyle name="Normal 2 2 2 2 2 32 5 3" xfId="12871" xr:uid="{00000000-0005-0000-0000-000047320000}"/>
    <cellStyle name="Normal 2 2 2 2 2 32 5 4" xfId="12872" xr:uid="{00000000-0005-0000-0000-000048320000}"/>
    <cellStyle name="Normal 2 2 2 2 2 32 5 5" xfId="12873" xr:uid="{00000000-0005-0000-0000-000049320000}"/>
    <cellStyle name="Normal 2 2 2 2 2 32 5 6" xfId="12874" xr:uid="{00000000-0005-0000-0000-00004A320000}"/>
    <cellStyle name="Normal 2 2 2 2 2 32 5 7" xfId="12875" xr:uid="{00000000-0005-0000-0000-00004B320000}"/>
    <cellStyle name="Normal 2 2 2 2 2 32 5 8" xfId="12876" xr:uid="{00000000-0005-0000-0000-00004C320000}"/>
    <cellStyle name="Normal 2 2 2 2 2 32 5 9" xfId="12877" xr:uid="{00000000-0005-0000-0000-00004D320000}"/>
    <cellStyle name="Normal 2 2 2 2 2 32 6" xfId="12878" xr:uid="{00000000-0005-0000-0000-00004E320000}"/>
    <cellStyle name="Normal 2 2 2 2 2 32 7" xfId="12879" xr:uid="{00000000-0005-0000-0000-00004F320000}"/>
    <cellStyle name="Normal 2 2 2 2 2 32 8" xfId="12880" xr:uid="{00000000-0005-0000-0000-000050320000}"/>
    <cellStyle name="Normal 2 2 2 2 2 32 9" xfId="12881" xr:uid="{00000000-0005-0000-0000-000051320000}"/>
    <cellStyle name="Normal 2 2 2 2 2 33" xfId="12882" xr:uid="{00000000-0005-0000-0000-000052320000}"/>
    <cellStyle name="Normal 2 2 2 2 2 33 10" xfId="12883" xr:uid="{00000000-0005-0000-0000-000053320000}"/>
    <cellStyle name="Normal 2 2 2 2 2 33 11" xfId="12884" xr:uid="{00000000-0005-0000-0000-000054320000}"/>
    <cellStyle name="Normal 2 2 2 2 2 33 12" xfId="12885" xr:uid="{00000000-0005-0000-0000-000055320000}"/>
    <cellStyle name="Normal 2 2 2 2 2 33 13" xfId="12886" xr:uid="{00000000-0005-0000-0000-000056320000}"/>
    <cellStyle name="Normal 2 2 2 2 2 33 14" xfId="12887" xr:uid="{00000000-0005-0000-0000-000057320000}"/>
    <cellStyle name="Normal 2 2 2 2 2 33 2" xfId="12888" xr:uid="{00000000-0005-0000-0000-000058320000}"/>
    <cellStyle name="Normal 2 2 2 2 2 33 2 10" xfId="12889" xr:uid="{00000000-0005-0000-0000-000059320000}"/>
    <cellStyle name="Normal 2 2 2 2 2 33 2 2" xfId="12890" xr:uid="{00000000-0005-0000-0000-00005A320000}"/>
    <cellStyle name="Normal 2 2 2 2 2 33 2 3" xfId="12891" xr:uid="{00000000-0005-0000-0000-00005B320000}"/>
    <cellStyle name="Normal 2 2 2 2 2 33 2 4" xfId="12892" xr:uid="{00000000-0005-0000-0000-00005C320000}"/>
    <cellStyle name="Normal 2 2 2 2 2 33 2 5" xfId="12893" xr:uid="{00000000-0005-0000-0000-00005D320000}"/>
    <cellStyle name="Normal 2 2 2 2 2 33 2 6" xfId="12894" xr:uid="{00000000-0005-0000-0000-00005E320000}"/>
    <cellStyle name="Normal 2 2 2 2 2 33 2 7" xfId="12895" xr:uid="{00000000-0005-0000-0000-00005F320000}"/>
    <cellStyle name="Normal 2 2 2 2 2 33 2 8" xfId="12896" xr:uid="{00000000-0005-0000-0000-000060320000}"/>
    <cellStyle name="Normal 2 2 2 2 2 33 2 9" xfId="12897" xr:uid="{00000000-0005-0000-0000-000061320000}"/>
    <cellStyle name="Normal 2 2 2 2 2 33 3" xfId="12898" xr:uid="{00000000-0005-0000-0000-000062320000}"/>
    <cellStyle name="Normal 2 2 2 2 2 33 3 10" xfId="12899" xr:uid="{00000000-0005-0000-0000-000063320000}"/>
    <cellStyle name="Normal 2 2 2 2 2 33 3 2" xfId="12900" xr:uid="{00000000-0005-0000-0000-000064320000}"/>
    <cellStyle name="Normal 2 2 2 2 2 33 3 3" xfId="12901" xr:uid="{00000000-0005-0000-0000-000065320000}"/>
    <cellStyle name="Normal 2 2 2 2 2 33 3 4" xfId="12902" xr:uid="{00000000-0005-0000-0000-000066320000}"/>
    <cellStyle name="Normal 2 2 2 2 2 33 3 5" xfId="12903" xr:uid="{00000000-0005-0000-0000-000067320000}"/>
    <cellStyle name="Normal 2 2 2 2 2 33 3 6" xfId="12904" xr:uid="{00000000-0005-0000-0000-000068320000}"/>
    <cellStyle name="Normal 2 2 2 2 2 33 3 7" xfId="12905" xr:uid="{00000000-0005-0000-0000-000069320000}"/>
    <cellStyle name="Normal 2 2 2 2 2 33 3 8" xfId="12906" xr:uid="{00000000-0005-0000-0000-00006A320000}"/>
    <cellStyle name="Normal 2 2 2 2 2 33 3 9" xfId="12907" xr:uid="{00000000-0005-0000-0000-00006B320000}"/>
    <cellStyle name="Normal 2 2 2 2 2 33 4" xfId="12908" xr:uid="{00000000-0005-0000-0000-00006C320000}"/>
    <cellStyle name="Normal 2 2 2 2 2 33 4 10" xfId="12909" xr:uid="{00000000-0005-0000-0000-00006D320000}"/>
    <cellStyle name="Normal 2 2 2 2 2 33 4 2" xfId="12910" xr:uid="{00000000-0005-0000-0000-00006E320000}"/>
    <cellStyle name="Normal 2 2 2 2 2 33 4 3" xfId="12911" xr:uid="{00000000-0005-0000-0000-00006F320000}"/>
    <cellStyle name="Normal 2 2 2 2 2 33 4 4" xfId="12912" xr:uid="{00000000-0005-0000-0000-000070320000}"/>
    <cellStyle name="Normal 2 2 2 2 2 33 4 5" xfId="12913" xr:uid="{00000000-0005-0000-0000-000071320000}"/>
    <cellStyle name="Normal 2 2 2 2 2 33 4 6" xfId="12914" xr:uid="{00000000-0005-0000-0000-000072320000}"/>
    <cellStyle name="Normal 2 2 2 2 2 33 4 7" xfId="12915" xr:uid="{00000000-0005-0000-0000-000073320000}"/>
    <cellStyle name="Normal 2 2 2 2 2 33 4 8" xfId="12916" xr:uid="{00000000-0005-0000-0000-000074320000}"/>
    <cellStyle name="Normal 2 2 2 2 2 33 4 9" xfId="12917" xr:uid="{00000000-0005-0000-0000-000075320000}"/>
    <cellStyle name="Normal 2 2 2 2 2 33 5" xfId="12918" xr:uid="{00000000-0005-0000-0000-000076320000}"/>
    <cellStyle name="Normal 2 2 2 2 2 33 5 10" xfId="12919" xr:uid="{00000000-0005-0000-0000-000077320000}"/>
    <cellStyle name="Normal 2 2 2 2 2 33 5 2" xfId="12920" xr:uid="{00000000-0005-0000-0000-000078320000}"/>
    <cellStyle name="Normal 2 2 2 2 2 33 5 3" xfId="12921" xr:uid="{00000000-0005-0000-0000-000079320000}"/>
    <cellStyle name="Normal 2 2 2 2 2 33 5 4" xfId="12922" xr:uid="{00000000-0005-0000-0000-00007A320000}"/>
    <cellStyle name="Normal 2 2 2 2 2 33 5 5" xfId="12923" xr:uid="{00000000-0005-0000-0000-00007B320000}"/>
    <cellStyle name="Normal 2 2 2 2 2 33 5 6" xfId="12924" xr:uid="{00000000-0005-0000-0000-00007C320000}"/>
    <cellStyle name="Normal 2 2 2 2 2 33 5 7" xfId="12925" xr:uid="{00000000-0005-0000-0000-00007D320000}"/>
    <cellStyle name="Normal 2 2 2 2 2 33 5 8" xfId="12926" xr:uid="{00000000-0005-0000-0000-00007E320000}"/>
    <cellStyle name="Normal 2 2 2 2 2 33 5 9" xfId="12927" xr:uid="{00000000-0005-0000-0000-00007F320000}"/>
    <cellStyle name="Normal 2 2 2 2 2 33 6" xfId="12928" xr:uid="{00000000-0005-0000-0000-000080320000}"/>
    <cellStyle name="Normal 2 2 2 2 2 33 7" xfId="12929" xr:uid="{00000000-0005-0000-0000-000081320000}"/>
    <cellStyle name="Normal 2 2 2 2 2 33 8" xfId="12930" xr:uid="{00000000-0005-0000-0000-000082320000}"/>
    <cellStyle name="Normal 2 2 2 2 2 33 9" xfId="12931" xr:uid="{00000000-0005-0000-0000-000083320000}"/>
    <cellStyle name="Normal 2 2 2 2 2 34" xfId="12932" xr:uid="{00000000-0005-0000-0000-000084320000}"/>
    <cellStyle name="Normal 2 2 2 2 2 34 10" xfId="12933" xr:uid="{00000000-0005-0000-0000-000085320000}"/>
    <cellStyle name="Normal 2 2 2 2 2 34 11" xfId="12934" xr:uid="{00000000-0005-0000-0000-000086320000}"/>
    <cellStyle name="Normal 2 2 2 2 2 34 12" xfId="12935" xr:uid="{00000000-0005-0000-0000-000087320000}"/>
    <cellStyle name="Normal 2 2 2 2 2 34 13" xfId="12936" xr:uid="{00000000-0005-0000-0000-000088320000}"/>
    <cellStyle name="Normal 2 2 2 2 2 34 14" xfId="12937" xr:uid="{00000000-0005-0000-0000-000089320000}"/>
    <cellStyle name="Normal 2 2 2 2 2 34 2" xfId="12938" xr:uid="{00000000-0005-0000-0000-00008A320000}"/>
    <cellStyle name="Normal 2 2 2 2 2 34 2 10" xfId="12939" xr:uid="{00000000-0005-0000-0000-00008B320000}"/>
    <cellStyle name="Normal 2 2 2 2 2 34 2 2" xfId="12940" xr:uid="{00000000-0005-0000-0000-00008C320000}"/>
    <cellStyle name="Normal 2 2 2 2 2 34 2 3" xfId="12941" xr:uid="{00000000-0005-0000-0000-00008D320000}"/>
    <cellStyle name="Normal 2 2 2 2 2 34 2 4" xfId="12942" xr:uid="{00000000-0005-0000-0000-00008E320000}"/>
    <cellStyle name="Normal 2 2 2 2 2 34 2 5" xfId="12943" xr:uid="{00000000-0005-0000-0000-00008F320000}"/>
    <cellStyle name="Normal 2 2 2 2 2 34 2 6" xfId="12944" xr:uid="{00000000-0005-0000-0000-000090320000}"/>
    <cellStyle name="Normal 2 2 2 2 2 34 2 7" xfId="12945" xr:uid="{00000000-0005-0000-0000-000091320000}"/>
    <cellStyle name="Normal 2 2 2 2 2 34 2 8" xfId="12946" xr:uid="{00000000-0005-0000-0000-000092320000}"/>
    <cellStyle name="Normal 2 2 2 2 2 34 2 9" xfId="12947" xr:uid="{00000000-0005-0000-0000-000093320000}"/>
    <cellStyle name="Normal 2 2 2 2 2 34 3" xfId="12948" xr:uid="{00000000-0005-0000-0000-000094320000}"/>
    <cellStyle name="Normal 2 2 2 2 2 34 3 10" xfId="12949" xr:uid="{00000000-0005-0000-0000-000095320000}"/>
    <cellStyle name="Normal 2 2 2 2 2 34 3 2" xfId="12950" xr:uid="{00000000-0005-0000-0000-000096320000}"/>
    <cellStyle name="Normal 2 2 2 2 2 34 3 3" xfId="12951" xr:uid="{00000000-0005-0000-0000-000097320000}"/>
    <cellStyle name="Normal 2 2 2 2 2 34 3 4" xfId="12952" xr:uid="{00000000-0005-0000-0000-000098320000}"/>
    <cellStyle name="Normal 2 2 2 2 2 34 3 5" xfId="12953" xr:uid="{00000000-0005-0000-0000-000099320000}"/>
    <cellStyle name="Normal 2 2 2 2 2 34 3 6" xfId="12954" xr:uid="{00000000-0005-0000-0000-00009A320000}"/>
    <cellStyle name="Normal 2 2 2 2 2 34 3 7" xfId="12955" xr:uid="{00000000-0005-0000-0000-00009B320000}"/>
    <cellStyle name="Normal 2 2 2 2 2 34 3 8" xfId="12956" xr:uid="{00000000-0005-0000-0000-00009C320000}"/>
    <cellStyle name="Normal 2 2 2 2 2 34 3 9" xfId="12957" xr:uid="{00000000-0005-0000-0000-00009D320000}"/>
    <cellStyle name="Normal 2 2 2 2 2 34 4" xfId="12958" xr:uid="{00000000-0005-0000-0000-00009E320000}"/>
    <cellStyle name="Normal 2 2 2 2 2 34 4 10" xfId="12959" xr:uid="{00000000-0005-0000-0000-00009F320000}"/>
    <cellStyle name="Normal 2 2 2 2 2 34 4 2" xfId="12960" xr:uid="{00000000-0005-0000-0000-0000A0320000}"/>
    <cellStyle name="Normal 2 2 2 2 2 34 4 3" xfId="12961" xr:uid="{00000000-0005-0000-0000-0000A1320000}"/>
    <cellStyle name="Normal 2 2 2 2 2 34 4 4" xfId="12962" xr:uid="{00000000-0005-0000-0000-0000A2320000}"/>
    <cellStyle name="Normal 2 2 2 2 2 34 4 5" xfId="12963" xr:uid="{00000000-0005-0000-0000-0000A3320000}"/>
    <cellStyle name="Normal 2 2 2 2 2 34 4 6" xfId="12964" xr:uid="{00000000-0005-0000-0000-0000A4320000}"/>
    <cellStyle name="Normal 2 2 2 2 2 34 4 7" xfId="12965" xr:uid="{00000000-0005-0000-0000-0000A5320000}"/>
    <cellStyle name="Normal 2 2 2 2 2 34 4 8" xfId="12966" xr:uid="{00000000-0005-0000-0000-0000A6320000}"/>
    <cellStyle name="Normal 2 2 2 2 2 34 4 9" xfId="12967" xr:uid="{00000000-0005-0000-0000-0000A7320000}"/>
    <cellStyle name="Normal 2 2 2 2 2 34 5" xfId="12968" xr:uid="{00000000-0005-0000-0000-0000A8320000}"/>
    <cellStyle name="Normal 2 2 2 2 2 34 5 10" xfId="12969" xr:uid="{00000000-0005-0000-0000-0000A9320000}"/>
    <cellStyle name="Normal 2 2 2 2 2 34 5 2" xfId="12970" xr:uid="{00000000-0005-0000-0000-0000AA320000}"/>
    <cellStyle name="Normal 2 2 2 2 2 34 5 3" xfId="12971" xr:uid="{00000000-0005-0000-0000-0000AB320000}"/>
    <cellStyle name="Normal 2 2 2 2 2 34 5 4" xfId="12972" xr:uid="{00000000-0005-0000-0000-0000AC320000}"/>
    <cellStyle name="Normal 2 2 2 2 2 34 5 5" xfId="12973" xr:uid="{00000000-0005-0000-0000-0000AD320000}"/>
    <cellStyle name="Normal 2 2 2 2 2 34 5 6" xfId="12974" xr:uid="{00000000-0005-0000-0000-0000AE320000}"/>
    <cellStyle name="Normal 2 2 2 2 2 34 5 7" xfId="12975" xr:uid="{00000000-0005-0000-0000-0000AF320000}"/>
    <cellStyle name="Normal 2 2 2 2 2 34 5 8" xfId="12976" xr:uid="{00000000-0005-0000-0000-0000B0320000}"/>
    <cellStyle name="Normal 2 2 2 2 2 34 5 9" xfId="12977" xr:uid="{00000000-0005-0000-0000-0000B1320000}"/>
    <cellStyle name="Normal 2 2 2 2 2 34 6" xfId="12978" xr:uid="{00000000-0005-0000-0000-0000B2320000}"/>
    <cellStyle name="Normal 2 2 2 2 2 34 7" xfId="12979" xr:uid="{00000000-0005-0000-0000-0000B3320000}"/>
    <cellStyle name="Normal 2 2 2 2 2 34 8" xfId="12980" xr:uid="{00000000-0005-0000-0000-0000B4320000}"/>
    <cellStyle name="Normal 2 2 2 2 2 34 9" xfId="12981" xr:uid="{00000000-0005-0000-0000-0000B5320000}"/>
    <cellStyle name="Normal 2 2 2 2 2 35" xfId="12982" xr:uid="{00000000-0005-0000-0000-0000B6320000}"/>
    <cellStyle name="Normal 2 2 2 2 2 35 10" xfId="12983" xr:uid="{00000000-0005-0000-0000-0000B7320000}"/>
    <cellStyle name="Normal 2 2 2 2 2 35 2" xfId="12984" xr:uid="{00000000-0005-0000-0000-0000B8320000}"/>
    <cellStyle name="Normal 2 2 2 2 2 35 3" xfId="12985" xr:uid="{00000000-0005-0000-0000-0000B9320000}"/>
    <cellStyle name="Normal 2 2 2 2 2 35 4" xfId="12986" xr:uid="{00000000-0005-0000-0000-0000BA320000}"/>
    <cellStyle name="Normal 2 2 2 2 2 35 5" xfId="12987" xr:uid="{00000000-0005-0000-0000-0000BB320000}"/>
    <cellStyle name="Normal 2 2 2 2 2 35 6" xfId="12988" xr:uid="{00000000-0005-0000-0000-0000BC320000}"/>
    <cellStyle name="Normal 2 2 2 2 2 35 7" xfId="12989" xr:uid="{00000000-0005-0000-0000-0000BD320000}"/>
    <cellStyle name="Normal 2 2 2 2 2 35 8" xfId="12990" xr:uid="{00000000-0005-0000-0000-0000BE320000}"/>
    <cellStyle name="Normal 2 2 2 2 2 35 9" xfId="12991" xr:uid="{00000000-0005-0000-0000-0000BF320000}"/>
    <cellStyle name="Normal 2 2 2 2 2 36" xfId="12992" xr:uid="{00000000-0005-0000-0000-0000C0320000}"/>
    <cellStyle name="Normal 2 2 2 2 2 36 10" xfId="12993" xr:uid="{00000000-0005-0000-0000-0000C1320000}"/>
    <cellStyle name="Normal 2 2 2 2 2 36 2" xfId="12994" xr:uid="{00000000-0005-0000-0000-0000C2320000}"/>
    <cellStyle name="Normal 2 2 2 2 2 36 3" xfId="12995" xr:uid="{00000000-0005-0000-0000-0000C3320000}"/>
    <cellStyle name="Normal 2 2 2 2 2 36 4" xfId="12996" xr:uid="{00000000-0005-0000-0000-0000C4320000}"/>
    <cellStyle name="Normal 2 2 2 2 2 36 5" xfId="12997" xr:uid="{00000000-0005-0000-0000-0000C5320000}"/>
    <cellStyle name="Normal 2 2 2 2 2 36 6" xfId="12998" xr:uid="{00000000-0005-0000-0000-0000C6320000}"/>
    <cellStyle name="Normal 2 2 2 2 2 36 7" xfId="12999" xr:uid="{00000000-0005-0000-0000-0000C7320000}"/>
    <cellStyle name="Normal 2 2 2 2 2 36 8" xfId="13000" xr:uid="{00000000-0005-0000-0000-0000C8320000}"/>
    <cellStyle name="Normal 2 2 2 2 2 36 9" xfId="13001" xr:uid="{00000000-0005-0000-0000-0000C9320000}"/>
    <cellStyle name="Normal 2 2 2 2 2 37" xfId="13002" xr:uid="{00000000-0005-0000-0000-0000CA320000}"/>
    <cellStyle name="Normal 2 2 2 2 2 37 10" xfId="13003" xr:uid="{00000000-0005-0000-0000-0000CB320000}"/>
    <cellStyle name="Normal 2 2 2 2 2 37 2" xfId="13004" xr:uid="{00000000-0005-0000-0000-0000CC320000}"/>
    <cellStyle name="Normal 2 2 2 2 2 37 3" xfId="13005" xr:uid="{00000000-0005-0000-0000-0000CD320000}"/>
    <cellStyle name="Normal 2 2 2 2 2 37 4" xfId="13006" xr:uid="{00000000-0005-0000-0000-0000CE320000}"/>
    <cellStyle name="Normal 2 2 2 2 2 37 5" xfId="13007" xr:uid="{00000000-0005-0000-0000-0000CF320000}"/>
    <cellStyle name="Normal 2 2 2 2 2 37 6" xfId="13008" xr:uid="{00000000-0005-0000-0000-0000D0320000}"/>
    <cellStyle name="Normal 2 2 2 2 2 37 7" xfId="13009" xr:uid="{00000000-0005-0000-0000-0000D1320000}"/>
    <cellStyle name="Normal 2 2 2 2 2 37 8" xfId="13010" xr:uid="{00000000-0005-0000-0000-0000D2320000}"/>
    <cellStyle name="Normal 2 2 2 2 2 37 9" xfId="13011" xr:uid="{00000000-0005-0000-0000-0000D3320000}"/>
    <cellStyle name="Normal 2 2 2 2 2 38" xfId="13012" xr:uid="{00000000-0005-0000-0000-0000D4320000}"/>
    <cellStyle name="Normal 2 2 2 2 2 38 10" xfId="13013" xr:uid="{00000000-0005-0000-0000-0000D5320000}"/>
    <cellStyle name="Normal 2 2 2 2 2 38 2" xfId="13014" xr:uid="{00000000-0005-0000-0000-0000D6320000}"/>
    <cellStyle name="Normal 2 2 2 2 2 38 3" xfId="13015" xr:uid="{00000000-0005-0000-0000-0000D7320000}"/>
    <cellStyle name="Normal 2 2 2 2 2 38 4" xfId="13016" xr:uid="{00000000-0005-0000-0000-0000D8320000}"/>
    <cellStyle name="Normal 2 2 2 2 2 38 5" xfId="13017" xr:uid="{00000000-0005-0000-0000-0000D9320000}"/>
    <cellStyle name="Normal 2 2 2 2 2 38 6" xfId="13018" xr:uid="{00000000-0005-0000-0000-0000DA320000}"/>
    <cellStyle name="Normal 2 2 2 2 2 38 7" xfId="13019" xr:uid="{00000000-0005-0000-0000-0000DB320000}"/>
    <cellStyle name="Normal 2 2 2 2 2 38 8" xfId="13020" xr:uid="{00000000-0005-0000-0000-0000DC320000}"/>
    <cellStyle name="Normal 2 2 2 2 2 38 9" xfId="13021" xr:uid="{00000000-0005-0000-0000-0000DD320000}"/>
    <cellStyle name="Normal 2 2 2 2 2 39" xfId="13022" xr:uid="{00000000-0005-0000-0000-0000DE320000}"/>
    <cellStyle name="Normal 2 2 2 2 2 4" xfId="13023" xr:uid="{00000000-0005-0000-0000-0000DF320000}"/>
    <cellStyle name="Normal 2 2 2 2 2 4 10" xfId="13024" xr:uid="{00000000-0005-0000-0000-0000E0320000}"/>
    <cellStyle name="Normal 2 2 2 2 2 4 11" xfId="13025" xr:uid="{00000000-0005-0000-0000-0000E1320000}"/>
    <cellStyle name="Normal 2 2 2 2 2 4 12" xfId="13026" xr:uid="{00000000-0005-0000-0000-0000E2320000}"/>
    <cellStyle name="Normal 2 2 2 2 2 4 13" xfId="13027" xr:uid="{00000000-0005-0000-0000-0000E3320000}"/>
    <cellStyle name="Normal 2 2 2 2 2 4 14" xfId="13028" xr:uid="{00000000-0005-0000-0000-0000E4320000}"/>
    <cellStyle name="Normal 2 2 2 2 2 4 15" xfId="13029" xr:uid="{00000000-0005-0000-0000-0000E5320000}"/>
    <cellStyle name="Normal 2 2 2 2 2 4 16" xfId="13030" xr:uid="{00000000-0005-0000-0000-0000E6320000}"/>
    <cellStyle name="Normal 2 2 2 2 2 4 2" xfId="13031" xr:uid="{00000000-0005-0000-0000-0000E7320000}"/>
    <cellStyle name="Normal 2 2 2 2 2 4 2 10" xfId="13032" xr:uid="{00000000-0005-0000-0000-0000E8320000}"/>
    <cellStyle name="Normal 2 2 2 2 2 4 2 2" xfId="13033" xr:uid="{00000000-0005-0000-0000-0000E9320000}"/>
    <cellStyle name="Normal 2 2 2 2 2 4 2 3" xfId="13034" xr:uid="{00000000-0005-0000-0000-0000EA320000}"/>
    <cellStyle name="Normal 2 2 2 2 2 4 2 4" xfId="13035" xr:uid="{00000000-0005-0000-0000-0000EB320000}"/>
    <cellStyle name="Normal 2 2 2 2 2 4 2 5" xfId="13036" xr:uid="{00000000-0005-0000-0000-0000EC320000}"/>
    <cellStyle name="Normal 2 2 2 2 2 4 2 6" xfId="13037" xr:uid="{00000000-0005-0000-0000-0000ED320000}"/>
    <cellStyle name="Normal 2 2 2 2 2 4 2 7" xfId="13038" xr:uid="{00000000-0005-0000-0000-0000EE320000}"/>
    <cellStyle name="Normal 2 2 2 2 2 4 2 8" xfId="13039" xr:uid="{00000000-0005-0000-0000-0000EF320000}"/>
    <cellStyle name="Normal 2 2 2 2 2 4 2 9" xfId="13040" xr:uid="{00000000-0005-0000-0000-0000F0320000}"/>
    <cellStyle name="Normal 2 2 2 2 2 4 3" xfId="13041" xr:uid="{00000000-0005-0000-0000-0000F1320000}"/>
    <cellStyle name="Normal 2 2 2 2 2 4 3 10" xfId="13042" xr:uid="{00000000-0005-0000-0000-0000F2320000}"/>
    <cellStyle name="Normal 2 2 2 2 2 4 3 2" xfId="13043" xr:uid="{00000000-0005-0000-0000-0000F3320000}"/>
    <cellStyle name="Normal 2 2 2 2 2 4 3 3" xfId="13044" xr:uid="{00000000-0005-0000-0000-0000F4320000}"/>
    <cellStyle name="Normal 2 2 2 2 2 4 3 4" xfId="13045" xr:uid="{00000000-0005-0000-0000-0000F5320000}"/>
    <cellStyle name="Normal 2 2 2 2 2 4 3 5" xfId="13046" xr:uid="{00000000-0005-0000-0000-0000F6320000}"/>
    <cellStyle name="Normal 2 2 2 2 2 4 3 6" xfId="13047" xr:uid="{00000000-0005-0000-0000-0000F7320000}"/>
    <cellStyle name="Normal 2 2 2 2 2 4 3 7" xfId="13048" xr:uid="{00000000-0005-0000-0000-0000F8320000}"/>
    <cellStyle name="Normal 2 2 2 2 2 4 3 8" xfId="13049" xr:uid="{00000000-0005-0000-0000-0000F9320000}"/>
    <cellStyle name="Normal 2 2 2 2 2 4 3 9" xfId="13050" xr:uid="{00000000-0005-0000-0000-0000FA320000}"/>
    <cellStyle name="Normal 2 2 2 2 2 4 4" xfId="13051" xr:uid="{00000000-0005-0000-0000-0000FB320000}"/>
    <cellStyle name="Normal 2 2 2 2 2 4 4 10" xfId="13052" xr:uid="{00000000-0005-0000-0000-0000FC320000}"/>
    <cellStyle name="Normal 2 2 2 2 2 4 4 2" xfId="13053" xr:uid="{00000000-0005-0000-0000-0000FD320000}"/>
    <cellStyle name="Normal 2 2 2 2 2 4 4 3" xfId="13054" xr:uid="{00000000-0005-0000-0000-0000FE320000}"/>
    <cellStyle name="Normal 2 2 2 2 2 4 4 4" xfId="13055" xr:uid="{00000000-0005-0000-0000-0000FF320000}"/>
    <cellStyle name="Normal 2 2 2 2 2 4 4 5" xfId="13056" xr:uid="{00000000-0005-0000-0000-000000330000}"/>
    <cellStyle name="Normal 2 2 2 2 2 4 4 6" xfId="13057" xr:uid="{00000000-0005-0000-0000-000001330000}"/>
    <cellStyle name="Normal 2 2 2 2 2 4 4 7" xfId="13058" xr:uid="{00000000-0005-0000-0000-000002330000}"/>
    <cellStyle name="Normal 2 2 2 2 2 4 4 8" xfId="13059" xr:uid="{00000000-0005-0000-0000-000003330000}"/>
    <cellStyle name="Normal 2 2 2 2 2 4 4 9" xfId="13060" xr:uid="{00000000-0005-0000-0000-000004330000}"/>
    <cellStyle name="Normal 2 2 2 2 2 4 5" xfId="13061" xr:uid="{00000000-0005-0000-0000-000005330000}"/>
    <cellStyle name="Normal 2 2 2 2 2 4 5 10" xfId="13062" xr:uid="{00000000-0005-0000-0000-000006330000}"/>
    <cellStyle name="Normal 2 2 2 2 2 4 5 2" xfId="13063" xr:uid="{00000000-0005-0000-0000-000007330000}"/>
    <cellStyle name="Normal 2 2 2 2 2 4 5 3" xfId="13064" xr:uid="{00000000-0005-0000-0000-000008330000}"/>
    <cellStyle name="Normal 2 2 2 2 2 4 5 4" xfId="13065" xr:uid="{00000000-0005-0000-0000-000009330000}"/>
    <cellStyle name="Normal 2 2 2 2 2 4 5 5" xfId="13066" xr:uid="{00000000-0005-0000-0000-00000A330000}"/>
    <cellStyle name="Normal 2 2 2 2 2 4 5 6" xfId="13067" xr:uid="{00000000-0005-0000-0000-00000B330000}"/>
    <cellStyle name="Normal 2 2 2 2 2 4 5 7" xfId="13068" xr:uid="{00000000-0005-0000-0000-00000C330000}"/>
    <cellStyle name="Normal 2 2 2 2 2 4 5 8" xfId="13069" xr:uid="{00000000-0005-0000-0000-00000D330000}"/>
    <cellStyle name="Normal 2 2 2 2 2 4 5 9" xfId="13070" xr:uid="{00000000-0005-0000-0000-00000E330000}"/>
    <cellStyle name="Normal 2 2 2 2 2 4 6" xfId="13071" xr:uid="{00000000-0005-0000-0000-00000F330000}"/>
    <cellStyle name="Normal 2 2 2 2 2 4 7" xfId="13072" xr:uid="{00000000-0005-0000-0000-000010330000}"/>
    <cellStyle name="Normal 2 2 2 2 2 4 8" xfId="13073" xr:uid="{00000000-0005-0000-0000-000011330000}"/>
    <cellStyle name="Normal 2 2 2 2 2 4 9" xfId="13074" xr:uid="{00000000-0005-0000-0000-000012330000}"/>
    <cellStyle name="Normal 2 2 2 2 2 40" xfId="13075" xr:uid="{00000000-0005-0000-0000-000013330000}"/>
    <cellStyle name="Normal 2 2 2 2 2 41" xfId="13076" xr:uid="{00000000-0005-0000-0000-000014330000}"/>
    <cellStyle name="Normal 2 2 2 2 2 42" xfId="13077" xr:uid="{00000000-0005-0000-0000-000015330000}"/>
    <cellStyle name="Normal 2 2 2 2 2 43" xfId="13078" xr:uid="{00000000-0005-0000-0000-000016330000}"/>
    <cellStyle name="Normal 2 2 2 2 2 44" xfId="13079" xr:uid="{00000000-0005-0000-0000-000017330000}"/>
    <cellStyle name="Normal 2 2 2 2 2 45" xfId="13080" xr:uid="{00000000-0005-0000-0000-000018330000}"/>
    <cellStyle name="Normal 2 2 2 2 2 46" xfId="13081" xr:uid="{00000000-0005-0000-0000-000019330000}"/>
    <cellStyle name="Normal 2 2 2 2 2 47" xfId="13082" xr:uid="{00000000-0005-0000-0000-00001A330000}"/>
    <cellStyle name="Normal 2 2 2 2 2 48" xfId="13083" xr:uid="{00000000-0005-0000-0000-00001B330000}"/>
    <cellStyle name="Normal 2 2 2 2 2 49" xfId="13084" xr:uid="{00000000-0005-0000-0000-00001C330000}"/>
    <cellStyle name="Normal 2 2 2 2 2 5" xfId="13085" xr:uid="{00000000-0005-0000-0000-00001D330000}"/>
    <cellStyle name="Normal 2 2 2 2 2 5 10" xfId="13086" xr:uid="{00000000-0005-0000-0000-00001E330000}"/>
    <cellStyle name="Normal 2 2 2 2 2 5 11" xfId="13087" xr:uid="{00000000-0005-0000-0000-00001F330000}"/>
    <cellStyle name="Normal 2 2 2 2 2 5 12" xfId="13088" xr:uid="{00000000-0005-0000-0000-000020330000}"/>
    <cellStyle name="Normal 2 2 2 2 2 5 13" xfId="13089" xr:uid="{00000000-0005-0000-0000-000021330000}"/>
    <cellStyle name="Normal 2 2 2 2 2 5 14" xfId="13090" xr:uid="{00000000-0005-0000-0000-000022330000}"/>
    <cellStyle name="Normal 2 2 2 2 2 5 2" xfId="13091" xr:uid="{00000000-0005-0000-0000-000023330000}"/>
    <cellStyle name="Normal 2 2 2 2 2 5 2 10" xfId="13092" xr:uid="{00000000-0005-0000-0000-000024330000}"/>
    <cellStyle name="Normal 2 2 2 2 2 5 2 2" xfId="13093" xr:uid="{00000000-0005-0000-0000-000025330000}"/>
    <cellStyle name="Normal 2 2 2 2 2 5 2 3" xfId="13094" xr:uid="{00000000-0005-0000-0000-000026330000}"/>
    <cellStyle name="Normal 2 2 2 2 2 5 2 4" xfId="13095" xr:uid="{00000000-0005-0000-0000-000027330000}"/>
    <cellStyle name="Normal 2 2 2 2 2 5 2 5" xfId="13096" xr:uid="{00000000-0005-0000-0000-000028330000}"/>
    <cellStyle name="Normal 2 2 2 2 2 5 2 6" xfId="13097" xr:uid="{00000000-0005-0000-0000-000029330000}"/>
    <cellStyle name="Normal 2 2 2 2 2 5 2 7" xfId="13098" xr:uid="{00000000-0005-0000-0000-00002A330000}"/>
    <cellStyle name="Normal 2 2 2 2 2 5 2 8" xfId="13099" xr:uid="{00000000-0005-0000-0000-00002B330000}"/>
    <cellStyle name="Normal 2 2 2 2 2 5 2 9" xfId="13100" xr:uid="{00000000-0005-0000-0000-00002C330000}"/>
    <cellStyle name="Normal 2 2 2 2 2 5 3" xfId="13101" xr:uid="{00000000-0005-0000-0000-00002D330000}"/>
    <cellStyle name="Normal 2 2 2 2 2 5 3 10" xfId="13102" xr:uid="{00000000-0005-0000-0000-00002E330000}"/>
    <cellStyle name="Normal 2 2 2 2 2 5 3 2" xfId="13103" xr:uid="{00000000-0005-0000-0000-00002F330000}"/>
    <cellStyle name="Normal 2 2 2 2 2 5 3 3" xfId="13104" xr:uid="{00000000-0005-0000-0000-000030330000}"/>
    <cellStyle name="Normal 2 2 2 2 2 5 3 4" xfId="13105" xr:uid="{00000000-0005-0000-0000-000031330000}"/>
    <cellStyle name="Normal 2 2 2 2 2 5 3 5" xfId="13106" xr:uid="{00000000-0005-0000-0000-000032330000}"/>
    <cellStyle name="Normal 2 2 2 2 2 5 3 6" xfId="13107" xr:uid="{00000000-0005-0000-0000-000033330000}"/>
    <cellStyle name="Normal 2 2 2 2 2 5 3 7" xfId="13108" xr:uid="{00000000-0005-0000-0000-000034330000}"/>
    <cellStyle name="Normal 2 2 2 2 2 5 3 8" xfId="13109" xr:uid="{00000000-0005-0000-0000-000035330000}"/>
    <cellStyle name="Normal 2 2 2 2 2 5 3 9" xfId="13110" xr:uid="{00000000-0005-0000-0000-000036330000}"/>
    <cellStyle name="Normal 2 2 2 2 2 5 4" xfId="13111" xr:uid="{00000000-0005-0000-0000-000037330000}"/>
    <cellStyle name="Normal 2 2 2 2 2 5 4 10" xfId="13112" xr:uid="{00000000-0005-0000-0000-000038330000}"/>
    <cellStyle name="Normal 2 2 2 2 2 5 4 2" xfId="13113" xr:uid="{00000000-0005-0000-0000-000039330000}"/>
    <cellStyle name="Normal 2 2 2 2 2 5 4 3" xfId="13114" xr:uid="{00000000-0005-0000-0000-00003A330000}"/>
    <cellStyle name="Normal 2 2 2 2 2 5 4 4" xfId="13115" xr:uid="{00000000-0005-0000-0000-00003B330000}"/>
    <cellStyle name="Normal 2 2 2 2 2 5 4 5" xfId="13116" xr:uid="{00000000-0005-0000-0000-00003C330000}"/>
    <cellStyle name="Normal 2 2 2 2 2 5 4 6" xfId="13117" xr:uid="{00000000-0005-0000-0000-00003D330000}"/>
    <cellStyle name="Normal 2 2 2 2 2 5 4 7" xfId="13118" xr:uid="{00000000-0005-0000-0000-00003E330000}"/>
    <cellStyle name="Normal 2 2 2 2 2 5 4 8" xfId="13119" xr:uid="{00000000-0005-0000-0000-00003F330000}"/>
    <cellStyle name="Normal 2 2 2 2 2 5 4 9" xfId="13120" xr:uid="{00000000-0005-0000-0000-000040330000}"/>
    <cellStyle name="Normal 2 2 2 2 2 5 5" xfId="13121" xr:uid="{00000000-0005-0000-0000-000041330000}"/>
    <cellStyle name="Normal 2 2 2 2 2 5 5 10" xfId="13122" xr:uid="{00000000-0005-0000-0000-000042330000}"/>
    <cellStyle name="Normal 2 2 2 2 2 5 5 2" xfId="13123" xr:uid="{00000000-0005-0000-0000-000043330000}"/>
    <cellStyle name="Normal 2 2 2 2 2 5 5 3" xfId="13124" xr:uid="{00000000-0005-0000-0000-000044330000}"/>
    <cellStyle name="Normal 2 2 2 2 2 5 5 4" xfId="13125" xr:uid="{00000000-0005-0000-0000-000045330000}"/>
    <cellStyle name="Normal 2 2 2 2 2 5 5 5" xfId="13126" xr:uid="{00000000-0005-0000-0000-000046330000}"/>
    <cellStyle name="Normal 2 2 2 2 2 5 5 6" xfId="13127" xr:uid="{00000000-0005-0000-0000-000047330000}"/>
    <cellStyle name="Normal 2 2 2 2 2 5 5 7" xfId="13128" xr:uid="{00000000-0005-0000-0000-000048330000}"/>
    <cellStyle name="Normal 2 2 2 2 2 5 5 8" xfId="13129" xr:uid="{00000000-0005-0000-0000-000049330000}"/>
    <cellStyle name="Normal 2 2 2 2 2 5 5 9" xfId="13130" xr:uid="{00000000-0005-0000-0000-00004A330000}"/>
    <cellStyle name="Normal 2 2 2 2 2 5 6" xfId="13131" xr:uid="{00000000-0005-0000-0000-00004B330000}"/>
    <cellStyle name="Normal 2 2 2 2 2 5 7" xfId="13132" xr:uid="{00000000-0005-0000-0000-00004C330000}"/>
    <cellStyle name="Normal 2 2 2 2 2 5 8" xfId="13133" xr:uid="{00000000-0005-0000-0000-00004D330000}"/>
    <cellStyle name="Normal 2 2 2 2 2 5 9" xfId="13134" xr:uid="{00000000-0005-0000-0000-00004E330000}"/>
    <cellStyle name="Normal 2 2 2 2 2 6" xfId="13135" xr:uid="{00000000-0005-0000-0000-00004F330000}"/>
    <cellStyle name="Normal 2 2 2 2 2 6 10" xfId="13136" xr:uid="{00000000-0005-0000-0000-000050330000}"/>
    <cellStyle name="Normal 2 2 2 2 2 6 11" xfId="13137" xr:uid="{00000000-0005-0000-0000-000051330000}"/>
    <cellStyle name="Normal 2 2 2 2 2 6 12" xfId="13138" xr:uid="{00000000-0005-0000-0000-000052330000}"/>
    <cellStyle name="Normal 2 2 2 2 2 6 13" xfId="13139" xr:uid="{00000000-0005-0000-0000-000053330000}"/>
    <cellStyle name="Normal 2 2 2 2 2 6 14" xfId="13140" xr:uid="{00000000-0005-0000-0000-000054330000}"/>
    <cellStyle name="Normal 2 2 2 2 2 6 2" xfId="13141" xr:uid="{00000000-0005-0000-0000-000055330000}"/>
    <cellStyle name="Normal 2 2 2 2 2 6 2 10" xfId="13142" xr:uid="{00000000-0005-0000-0000-000056330000}"/>
    <cellStyle name="Normal 2 2 2 2 2 6 2 2" xfId="13143" xr:uid="{00000000-0005-0000-0000-000057330000}"/>
    <cellStyle name="Normal 2 2 2 2 2 6 2 3" xfId="13144" xr:uid="{00000000-0005-0000-0000-000058330000}"/>
    <cellStyle name="Normal 2 2 2 2 2 6 2 4" xfId="13145" xr:uid="{00000000-0005-0000-0000-000059330000}"/>
    <cellStyle name="Normal 2 2 2 2 2 6 2 5" xfId="13146" xr:uid="{00000000-0005-0000-0000-00005A330000}"/>
    <cellStyle name="Normal 2 2 2 2 2 6 2 6" xfId="13147" xr:uid="{00000000-0005-0000-0000-00005B330000}"/>
    <cellStyle name="Normal 2 2 2 2 2 6 2 7" xfId="13148" xr:uid="{00000000-0005-0000-0000-00005C330000}"/>
    <cellStyle name="Normal 2 2 2 2 2 6 2 8" xfId="13149" xr:uid="{00000000-0005-0000-0000-00005D330000}"/>
    <cellStyle name="Normal 2 2 2 2 2 6 2 9" xfId="13150" xr:uid="{00000000-0005-0000-0000-00005E330000}"/>
    <cellStyle name="Normal 2 2 2 2 2 6 3" xfId="13151" xr:uid="{00000000-0005-0000-0000-00005F330000}"/>
    <cellStyle name="Normal 2 2 2 2 2 6 3 10" xfId="13152" xr:uid="{00000000-0005-0000-0000-000060330000}"/>
    <cellStyle name="Normal 2 2 2 2 2 6 3 2" xfId="13153" xr:uid="{00000000-0005-0000-0000-000061330000}"/>
    <cellStyle name="Normal 2 2 2 2 2 6 3 3" xfId="13154" xr:uid="{00000000-0005-0000-0000-000062330000}"/>
    <cellStyle name="Normal 2 2 2 2 2 6 3 4" xfId="13155" xr:uid="{00000000-0005-0000-0000-000063330000}"/>
    <cellStyle name="Normal 2 2 2 2 2 6 3 5" xfId="13156" xr:uid="{00000000-0005-0000-0000-000064330000}"/>
    <cellStyle name="Normal 2 2 2 2 2 6 3 6" xfId="13157" xr:uid="{00000000-0005-0000-0000-000065330000}"/>
    <cellStyle name="Normal 2 2 2 2 2 6 3 7" xfId="13158" xr:uid="{00000000-0005-0000-0000-000066330000}"/>
    <cellStyle name="Normal 2 2 2 2 2 6 3 8" xfId="13159" xr:uid="{00000000-0005-0000-0000-000067330000}"/>
    <cellStyle name="Normal 2 2 2 2 2 6 3 9" xfId="13160" xr:uid="{00000000-0005-0000-0000-000068330000}"/>
    <cellStyle name="Normal 2 2 2 2 2 6 4" xfId="13161" xr:uid="{00000000-0005-0000-0000-000069330000}"/>
    <cellStyle name="Normal 2 2 2 2 2 6 4 10" xfId="13162" xr:uid="{00000000-0005-0000-0000-00006A330000}"/>
    <cellStyle name="Normal 2 2 2 2 2 6 4 2" xfId="13163" xr:uid="{00000000-0005-0000-0000-00006B330000}"/>
    <cellStyle name="Normal 2 2 2 2 2 6 4 3" xfId="13164" xr:uid="{00000000-0005-0000-0000-00006C330000}"/>
    <cellStyle name="Normal 2 2 2 2 2 6 4 4" xfId="13165" xr:uid="{00000000-0005-0000-0000-00006D330000}"/>
    <cellStyle name="Normal 2 2 2 2 2 6 4 5" xfId="13166" xr:uid="{00000000-0005-0000-0000-00006E330000}"/>
    <cellStyle name="Normal 2 2 2 2 2 6 4 6" xfId="13167" xr:uid="{00000000-0005-0000-0000-00006F330000}"/>
    <cellStyle name="Normal 2 2 2 2 2 6 4 7" xfId="13168" xr:uid="{00000000-0005-0000-0000-000070330000}"/>
    <cellStyle name="Normal 2 2 2 2 2 6 4 8" xfId="13169" xr:uid="{00000000-0005-0000-0000-000071330000}"/>
    <cellStyle name="Normal 2 2 2 2 2 6 4 9" xfId="13170" xr:uid="{00000000-0005-0000-0000-000072330000}"/>
    <cellStyle name="Normal 2 2 2 2 2 6 5" xfId="13171" xr:uid="{00000000-0005-0000-0000-000073330000}"/>
    <cellStyle name="Normal 2 2 2 2 2 6 5 10" xfId="13172" xr:uid="{00000000-0005-0000-0000-000074330000}"/>
    <cellStyle name="Normal 2 2 2 2 2 6 5 2" xfId="13173" xr:uid="{00000000-0005-0000-0000-000075330000}"/>
    <cellStyle name="Normal 2 2 2 2 2 6 5 3" xfId="13174" xr:uid="{00000000-0005-0000-0000-000076330000}"/>
    <cellStyle name="Normal 2 2 2 2 2 6 5 4" xfId="13175" xr:uid="{00000000-0005-0000-0000-000077330000}"/>
    <cellStyle name="Normal 2 2 2 2 2 6 5 5" xfId="13176" xr:uid="{00000000-0005-0000-0000-000078330000}"/>
    <cellStyle name="Normal 2 2 2 2 2 6 5 6" xfId="13177" xr:uid="{00000000-0005-0000-0000-000079330000}"/>
    <cellStyle name="Normal 2 2 2 2 2 6 5 7" xfId="13178" xr:uid="{00000000-0005-0000-0000-00007A330000}"/>
    <cellStyle name="Normal 2 2 2 2 2 6 5 8" xfId="13179" xr:uid="{00000000-0005-0000-0000-00007B330000}"/>
    <cellStyle name="Normal 2 2 2 2 2 6 5 9" xfId="13180" xr:uid="{00000000-0005-0000-0000-00007C330000}"/>
    <cellStyle name="Normal 2 2 2 2 2 6 6" xfId="13181" xr:uid="{00000000-0005-0000-0000-00007D330000}"/>
    <cellStyle name="Normal 2 2 2 2 2 6 7" xfId="13182" xr:uid="{00000000-0005-0000-0000-00007E330000}"/>
    <cellStyle name="Normal 2 2 2 2 2 6 8" xfId="13183" xr:uid="{00000000-0005-0000-0000-00007F330000}"/>
    <cellStyle name="Normal 2 2 2 2 2 6 9" xfId="13184" xr:uid="{00000000-0005-0000-0000-000080330000}"/>
    <cellStyle name="Normal 2 2 2 2 2 7" xfId="13185" xr:uid="{00000000-0005-0000-0000-000081330000}"/>
    <cellStyle name="Normal 2 2 2 2 2 7 10" xfId="13186" xr:uid="{00000000-0005-0000-0000-000082330000}"/>
    <cellStyle name="Normal 2 2 2 2 2 7 11" xfId="13187" xr:uid="{00000000-0005-0000-0000-000083330000}"/>
    <cellStyle name="Normal 2 2 2 2 2 7 12" xfId="13188" xr:uid="{00000000-0005-0000-0000-000084330000}"/>
    <cellStyle name="Normal 2 2 2 2 2 7 13" xfId="13189" xr:uid="{00000000-0005-0000-0000-000085330000}"/>
    <cellStyle name="Normal 2 2 2 2 2 7 14" xfId="13190" xr:uid="{00000000-0005-0000-0000-000086330000}"/>
    <cellStyle name="Normal 2 2 2 2 2 7 2" xfId="13191" xr:uid="{00000000-0005-0000-0000-000087330000}"/>
    <cellStyle name="Normal 2 2 2 2 2 7 2 10" xfId="13192" xr:uid="{00000000-0005-0000-0000-000088330000}"/>
    <cellStyle name="Normal 2 2 2 2 2 7 2 2" xfId="13193" xr:uid="{00000000-0005-0000-0000-000089330000}"/>
    <cellStyle name="Normal 2 2 2 2 2 7 2 3" xfId="13194" xr:uid="{00000000-0005-0000-0000-00008A330000}"/>
    <cellStyle name="Normal 2 2 2 2 2 7 2 4" xfId="13195" xr:uid="{00000000-0005-0000-0000-00008B330000}"/>
    <cellStyle name="Normal 2 2 2 2 2 7 2 5" xfId="13196" xr:uid="{00000000-0005-0000-0000-00008C330000}"/>
    <cellStyle name="Normal 2 2 2 2 2 7 2 6" xfId="13197" xr:uid="{00000000-0005-0000-0000-00008D330000}"/>
    <cellStyle name="Normal 2 2 2 2 2 7 2 7" xfId="13198" xr:uid="{00000000-0005-0000-0000-00008E330000}"/>
    <cellStyle name="Normal 2 2 2 2 2 7 2 8" xfId="13199" xr:uid="{00000000-0005-0000-0000-00008F330000}"/>
    <cellStyle name="Normal 2 2 2 2 2 7 2 9" xfId="13200" xr:uid="{00000000-0005-0000-0000-000090330000}"/>
    <cellStyle name="Normal 2 2 2 2 2 7 3" xfId="13201" xr:uid="{00000000-0005-0000-0000-000091330000}"/>
    <cellStyle name="Normal 2 2 2 2 2 7 3 10" xfId="13202" xr:uid="{00000000-0005-0000-0000-000092330000}"/>
    <cellStyle name="Normal 2 2 2 2 2 7 3 2" xfId="13203" xr:uid="{00000000-0005-0000-0000-000093330000}"/>
    <cellStyle name="Normal 2 2 2 2 2 7 3 3" xfId="13204" xr:uid="{00000000-0005-0000-0000-000094330000}"/>
    <cellStyle name="Normal 2 2 2 2 2 7 3 4" xfId="13205" xr:uid="{00000000-0005-0000-0000-000095330000}"/>
    <cellStyle name="Normal 2 2 2 2 2 7 3 5" xfId="13206" xr:uid="{00000000-0005-0000-0000-000096330000}"/>
    <cellStyle name="Normal 2 2 2 2 2 7 3 6" xfId="13207" xr:uid="{00000000-0005-0000-0000-000097330000}"/>
    <cellStyle name="Normal 2 2 2 2 2 7 3 7" xfId="13208" xr:uid="{00000000-0005-0000-0000-000098330000}"/>
    <cellStyle name="Normal 2 2 2 2 2 7 3 8" xfId="13209" xr:uid="{00000000-0005-0000-0000-000099330000}"/>
    <cellStyle name="Normal 2 2 2 2 2 7 3 9" xfId="13210" xr:uid="{00000000-0005-0000-0000-00009A330000}"/>
    <cellStyle name="Normal 2 2 2 2 2 7 4" xfId="13211" xr:uid="{00000000-0005-0000-0000-00009B330000}"/>
    <cellStyle name="Normal 2 2 2 2 2 7 4 10" xfId="13212" xr:uid="{00000000-0005-0000-0000-00009C330000}"/>
    <cellStyle name="Normal 2 2 2 2 2 7 4 2" xfId="13213" xr:uid="{00000000-0005-0000-0000-00009D330000}"/>
    <cellStyle name="Normal 2 2 2 2 2 7 4 3" xfId="13214" xr:uid="{00000000-0005-0000-0000-00009E330000}"/>
    <cellStyle name="Normal 2 2 2 2 2 7 4 4" xfId="13215" xr:uid="{00000000-0005-0000-0000-00009F330000}"/>
    <cellStyle name="Normal 2 2 2 2 2 7 4 5" xfId="13216" xr:uid="{00000000-0005-0000-0000-0000A0330000}"/>
    <cellStyle name="Normal 2 2 2 2 2 7 4 6" xfId="13217" xr:uid="{00000000-0005-0000-0000-0000A1330000}"/>
    <cellStyle name="Normal 2 2 2 2 2 7 4 7" xfId="13218" xr:uid="{00000000-0005-0000-0000-0000A2330000}"/>
    <cellStyle name="Normal 2 2 2 2 2 7 4 8" xfId="13219" xr:uid="{00000000-0005-0000-0000-0000A3330000}"/>
    <cellStyle name="Normal 2 2 2 2 2 7 4 9" xfId="13220" xr:uid="{00000000-0005-0000-0000-0000A4330000}"/>
    <cellStyle name="Normal 2 2 2 2 2 7 5" xfId="13221" xr:uid="{00000000-0005-0000-0000-0000A5330000}"/>
    <cellStyle name="Normal 2 2 2 2 2 7 5 10" xfId="13222" xr:uid="{00000000-0005-0000-0000-0000A6330000}"/>
    <cellStyle name="Normal 2 2 2 2 2 7 5 2" xfId="13223" xr:uid="{00000000-0005-0000-0000-0000A7330000}"/>
    <cellStyle name="Normal 2 2 2 2 2 7 5 3" xfId="13224" xr:uid="{00000000-0005-0000-0000-0000A8330000}"/>
    <cellStyle name="Normal 2 2 2 2 2 7 5 4" xfId="13225" xr:uid="{00000000-0005-0000-0000-0000A9330000}"/>
    <cellStyle name="Normal 2 2 2 2 2 7 5 5" xfId="13226" xr:uid="{00000000-0005-0000-0000-0000AA330000}"/>
    <cellStyle name="Normal 2 2 2 2 2 7 5 6" xfId="13227" xr:uid="{00000000-0005-0000-0000-0000AB330000}"/>
    <cellStyle name="Normal 2 2 2 2 2 7 5 7" xfId="13228" xr:uid="{00000000-0005-0000-0000-0000AC330000}"/>
    <cellStyle name="Normal 2 2 2 2 2 7 5 8" xfId="13229" xr:uid="{00000000-0005-0000-0000-0000AD330000}"/>
    <cellStyle name="Normal 2 2 2 2 2 7 5 9" xfId="13230" xr:uid="{00000000-0005-0000-0000-0000AE330000}"/>
    <cellStyle name="Normal 2 2 2 2 2 7 6" xfId="13231" xr:uid="{00000000-0005-0000-0000-0000AF330000}"/>
    <cellStyle name="Normal 2 2 2 2 2 7 7" xfId="13232" xr:uid="{00000000-0005-0000-0000-0000B0330000}"/>
    <cellStyle name="Normal 2 2 2 2 2 7 8" xfId="13233" xr:uid="{00000000-0005-0000-0000-0000B1330000}"/>
    <cellStyle name="Normal 2 2 2 2 2 7 9" xfId="13234" xr:uid="{00000000-0005-0000-0000-0000B2330000}"/>
    <cellStyle name="Normal 2 2 2 2 2 8" xfId="13235" xr:uid="{00000000-0005-0000-0000-0000B3330000}"/>
    <cellStyle name="Normal 2 2 2 2 2 8 10" xfId="13236" xr:uid="{00000000-0005-0000-0000-0000B4330000}"/>
    <cellStyle name="Normal 2 2 2 2 2 8 11" xfId="13237" xr:uid="{00000000-0005-0000-0000-0000B5330000}"/>
    <cellStyle name="Normal 2 2 2 2 2 8 12" xfId="13238" xr:uid="{00000000-0005-0000-0000-0000B6330000}"/>
    <cellStyle name="Normal 2 2 2 2 2 8 13" xfId="13239" xr:uid="{00000000-0005-0000-0000-0000B7330000}"/>
    <cellStyle name="Normal 2 2 2 2 2 8 14" xfId="13240" xr:uid="{00000000-0005-0000-0000-0000B8330000}"/>
    <cellStyle name="Normal 2 2 2 2 2 8 2" xfId="13241" xr:uid="{00000000-0005-0000-0000-0000B9330000}"/>
    <cellStyle name="Normal 2 2 2 2 2 8 2 10" xfId="13242" xr:uid="{00000000-0005-0000-0000-0000BA330000}"/>
    <cellStyle name="Normal 2 2 2 2 2 8 2 2" xfId="13243" xr:uid="{00000000-0005-0000-0000-0000BB330000}"/>
    <cellStyle name="Normal 2 2 2 2 2 8 2 3" xfId="13244" xr:uid="{00000000-0005-0000-0000-0000BC330000}"/>
    <cellStyle name="Normal 2 2 2 2 2 8 2 4" xfId="13245" xr:uid="{00000000-0005-0000-0000-0000BD330000}"/>
    <cellStyle name="Normal 2 2 2 2 2 8 2 5" xfId="13246" xr:uid="{00000000-0005-0000-0000-0000BE330000}"/>
    <cellStyle name="Normal 2 2 2 2 2 8 2 6" xfId="13247" xr:uid="{00000000-0005-0000-0000-0000BF330000}"/>
    <cellStyle name="Normal 2 2 2 2 2 8 2 7" xfId="13248" xr:uid="{00000000-0005-0000-0000-0000C0330000}"/>
    <cellStyle name="Normal 2 2 2 2 2 8 2 8" xfId="13249" xr:uid="{00000000-0005-0000-0000-0000C1330000}"/>
    <cellStyle name="Normal 2 2 2 2 2 8 2 9" xfId="13250" xr:uid="{00000000-0005-0000-0000-0000C2330000}"/>
    <cellStyle name="Normal 2 2 2 2 2 8 3" xfId="13251" xr:uid="{00000000-0005-0000-0000-0000C3330000}"/>
    <cellStyle name="Normal 2 2 2 2 2 8 3 10" xfId="13252" xr:uid="{00000000-0005-0000-0000-0000C4330000}"/>
    <cellStyle name="Normal 2 2 2 2 2 8 3 2" xfId="13253" xr:uid="{00000000-0005-0000-0000-0000C5330000}"/>
    <cellStyle name="Normal 2 2 2 2 2 8 3 3" xfId="13254" xr:uid="{00000000-0005-0000-0000-0000C6330000}"/>
    <cellStyle name="Normal 2 2 2 2 2 8 3 4" xfId="13255" xr:uid="{00000000-0005-0000-0000-0000C7330000}"/>
    <cellStyle name="Normal 2 2 2 2 2 8 3 5" xfId="13256" xr:uid="{00000000-0005-0000-0000-0000C8330000}"/>
    <cellStyle name="Normal 2 2 2 2 2 8 3 6" xfId="13257" xr:uid="{00000000-0005-0000-0000-0000C9330000}"/>
    <cellStyle name="Normal 2 2 2 2 2 8 3 7" xfId="13258" xr:uid="{00000000-0005-0000-0000-0000CA330000}"/>
    <cellStyle name="Normal 2 2 2 2 2 8 3 8" xfId="13259" xr:uid="{00000000-0005-0000-0000-0000CB330000}"/>
    <cellStyle name="Normal 2 2 2 2 2 8 3 9" xfId="13260" xr:uid="{00000000-0005-0000-0000-0000CC330000}"/>
    <cellStyle name="Normal 2 2 2 2 2 8 4" xfId="13261" xr:uid="{00000000-0005-0000-0000-0000CD330000}"/>
    <cellStyle name="Normal 2 2 2 2 2 8 4 10" xfId="13262" xr:uid="{00000000-0005-0000-0000-0000CE330000}"/>
    <cellStyle name="Normal 2 2 2 2 2 8 4 2" xfId="13263" xr:uid="{00000000-0005-0000-0000-0000CF330000}"/>
    <cellStyle name="Normal 2 2 2 2 2 8 4 3" xfId="13264" xr:uid="{00000000-0005-0000-0000-0000D0330000}"/>
    <cellStyle name="Normal 2 2 2 2 2 8 4 4" xfId="13265" xr:uid="{00000000-0005-0000-0000-0000D1330000}"/>
    <cellStyle name="Normal 2 2 2 2 2 8 4 5" xfId="13266" xr:uid="{00000000-0005-0000-0000-0000D2330000}"/>
    <cellStyle name="Normal 2 2 2 2 2 8 4 6" xfId="13267" xr:uid="{00000000-0005-0000-0000-0000D3330000}"/>
    <cellStyle name="Normal 2 2 2 2 2 8 4 7" xfId="13268" xr:uid="{00000000-0005-0000-0000-0000D4330000}"/>
    <cellStyle name="Normal 2 2 2 2 2 8 4 8" xfId="13269" xr:uid="{00000000-0005-0000-0000-0000D5330000}"/>
    <cellStyle name="Normal 2 2 2 2 2 8 4 9" xfId="13270" xr:uid="{00000000-0005-0000-0000-0000D6330000}"/>
    <cellStyle name="Normal 2 2 2 2 2 8 5" xfId="13271" xr:uid="{00000000-0005-0000-0000-0000D7330000}"/>
    <cellStyle name="Normal 2 2 2 2 2 8 5 10" xfId="13272" xr:uid="{00000000-0005-0000-0000-0000D8330000}"/>
    <cellStyle name="Normal 2 2 2 2 2 8 5 2" xfId="13273" xr:uid="{00000000-0005-0000-0000-0000D9330000}"/>
    <cellStyle name="Normal 2 2 2 2 2 8 5 3" xfId="13274" xr:uid="{00000000-0005-0000-0000-0000DA330000}"/>
    <cellStyle name="Normal 2 2 2 2 2 8 5 4" xfId="13275" xr:uid="{00000000-0005-0000-0000-0000DB330000}"/>
    <cellStyle name="Normal 2 2 2 2 2 8 5 5" xfId="13276" xr:uid="{00000000-0005-0000-0000-0000DC330000}"/>
    <cellStyle name="Normal 2 2 2 2 2 8 5 6" xfId="13277" xr:uid="{00000000-0005-0000-0000-0000DD330000}"/>
    <cellStyle name="Normal 2 2 2 2 2 8 5 7" xfId="13278" xr:uid="{00000000-0005-0000-0000-0000DE330000}"/>
    <cellStyle name="Normal 2 2 2 2 2 8 5 8" xfId="13279" xr:uid="{00000000-0005-0000-0000-0000DF330000}"/>
    <cellStyle name="Normal 2 2 2 2 2 8 5 9" xfId="13280" xr:uid="{00000000-0005-0000-0000-0000E0330000}"/>
    <cellStyle name="Normal 2 2 2 2 2 8 6" xfId="13281" xr:uid="{00000000-0005-0000-0000-0000E1330000}"/>
    <cellStyle name="Normal 2 2 2 2 2 8 7" xfId="13282" xr:uid="{00000000-0005-0000-0000-0000E2330000}"/>
    <cellStyle name="Normal 2 2 2 2 2 8 8" xfId="13283" xr:uid="{00000000-0005-0000-0000-0000E3330000}"/>
    <cellStyle name="Normal 2 2 2 2 2 8 9" xfId="13284" xr:uid="{00000000-0005-0000-0000-0000E4330000}"/>
    <cellStyle name="Normal 2 2 2 2 2 9" xfId="13285" xr:uid="{00000000-0005-0000-0000-0000E5330000}"/>
    <cellStyle name="Normal 2 2 2 2 2 9 10" xfId="13286" xr:uid="{00000000-0005-0000-0000-0000E6330000}"/>
    <cellStyle name="Normal 2 2 2 2 2 9 11" xfId="13287" xr:uid="{00000000-0005-0000-0000-0000E7330000}"/>
    <cellStyle name="Normal 2 2 2 2 2 9 12" xfId="13288" xr:uid="{00000000-0005-0000-0000-0000E8330000}"/>
    <cellStyle name="Normal 2 2 2 2 2 9 13" xfId="13289" xr:uid="{00000000-0005-0000-0000-0000E9330000}"/>
    <cellStyle name="Normal 2 2 2 2 2 9 14" xfId="13290" xr:uid="{00000000-0005-0000-0000-0000EA330000}"/>
    <cellStyle name="Normal 2 2 2 2 2 9 2" xfId="13291" xr:uid="{00000000-0005-0000-0000-0000EB330000}"/>
    <cellStyle name="Normal 2 2 2 2 2 9 2 10" xfId="13292" xr:uid="{00000000-0005-0000-0000-0000EC330000}"/>
    <cellStyle name="Normal 2 2 2 2 2 9 2 2" xfId="13293" xr:uid="{00000000-0005-0000-0000-0000ED330000}"/>
    <cellStyle name="Normal 2 2 2 2 2 9 2 3" xfId="13294" xr:uid="{00000000-0005-0000-0000-0000EE330000}"/>
    <cellStyle name="Normal 2 2 2 2 2 9 2 4" xfId="13295" xr:uid="{00000000-0005-0000-0000-0000EF330000}"/>
    <cellStyle name="Normal 2 2 2 2 2 9 2 5" xfId="13296" xr:uid="{00000000-0005-0000-0000-0000F0330000}"/>
    <cellStyle name="Normal 2 2 2 2 2 9 2 6" xfId="13297" xr:uid="{00000000-0005-0000-0000-0000F1330000}"/>
    <cellStyle name="Normal 2 2 2 2 2 9 2 7" xfId="13298" xr:uid="{00000000-0005-0000-0000-0000F2330000}"/>
    <cellStyle name="Normal 2 2 2 2 2 9 2 8" xfId="13299" xr:uid="{00000000-0005-0000-0000-0000F3330000}"/>
    <cellStyle name="Normal 2 2 2 2 2 9 2 9" xfId="13300" xr:uid="{00000000-0005-0000-0000-0000F4330000}"/>
    <cellStyle name="Normal 2 2 2 2 2 9 3" xfId="13301" xr:uid="{00000000-0005-0000-0000-0000F5330000}"/>
    <cellStyle name="Normal 2 2 2 2 2 9 3 10" xfId="13302" xr:uid="{00000000-0005-0000-0000-0000F6330000}"/>
    <cellStyle name="Normal 2 2 2 2 2 9 3 2" xfId="13303" xr:uid="{00000000-0005-0000-0000-0000F7330000}"/>
    <cellStyle name="Normal 2 2 2 2 2 9 3 3" xfId="13304" xr:uid="{00000000-0005-0000-0000-0000F8330000}"/>
    <cellStyle name="Normal 2 2 2 2 2 9 3 4" xfId="13305" xr:uid="{00000000-0005-0000-0000-0000F9330000}"/>
    <cellStyle name="Normal 2 2 2 2 2 9 3 5" xfId="13306" xr:uid="{00000000-0005-0000-0000-0000FA330000}"/>
    <cellStyle name="Normal 2 2 2 2 2 9 3 6" xfId="13307" xr:uid="{00000000-0005-0000-0000-0000FB330000}"/>
    <cellStyle name="Normal 2 2 2 2 2 9 3 7" xfId="13308" xr:uid="{00000000-0005-0000-0000-0000FC330000}"/>
    <cellStyle name="Normal 2 2 2 2 2 9 3 8" xfId="13309" xr:uid="{00000000-0005-0000-0000-0000FD330000}"/>
    <cellStyle name="Normal 2 2 2 2 2 9 3 9" xfId="13310" xr:uid="{00000000-0005-0000-0000-0000FE330000}"/>
    <cellStyle name="Normal 2 2 2 2 2 9 4" xfId="13311" xr:uid="{00000000-0005-0000-0000-0000FF330000}"/>
    <cellStyle name="Normal 2 2 2 2 2 9 4 10" xfId="13312" xr:uid="{00000000-0005-0000-0000-000000340000}"/>
    <cellStyle name="Normal 2 2 2 2 2 9 4 2" xfId="13313" xr:uid="{00000000-0005-0000-0000-000001340000}"/>
    <cellStyle name="Normal 2 2 2 2 2 9 4 3" xfId="13314" xr:uid="{00000000-0005-0000-0000-000002340000}"/>
    <cellStyle name="Normal 2 2 2 2 2 9 4 4" xfId="13315" xr:uid="{00000000-0005-0000-0000-000003340000}"/>
    <cellStyle name="Normal 2 2 2 2 2 9 4 5" xfId="13316" xr:uid="{00000000-0005-0000-0000-000004340000}"/>
    <cellStyle name="Normal 2 2 2 2 2 9 4 6" xfId="13317" xr:uid="{00000000-0005-0000-0000-000005340000}"/>
    <cellStyle name="Normal 2 2 2 2 2 9 4 7" xfId="13318" xr:uid="{00000000-0005-0000-0000-000006340000}"/>
    <cellStyle name="Normal 2 2 2 2 2 9 4 8" xfId="13319" xr:uid="{00000000-0005-0000-0000-000007340000}"/>
    <cellStyle name="Normal 2 2 2 2 2 9 4 9" xfId="13320" xr:uid="{00000000-0005-0000-0000-000008340000}"/>
    <cellStyle name="Normal 2 2 2 2 2 9 5" xfId="13321" xr:uid="{00000000-0005-0000-0000-000009340000}"/>
    <cellStyle name="Normal 2 2 2 2 2 9 5 10" xfId="13322" xr:uid="{00000000-0005-0000-0000-00000A340000}"/>
    <cellStyle name="Normal 2 2 2 2 2 9 5 2" xfId="13323" xr:uid="{00000000-0005-0000-0000-00000B340000}"/>
    <cellStyle name="Normal 2 2 2 2 2 9 5 3" xfId="13324" xr:uid="{00000000-0005-0000-0000-00000C340000}"/>
    <cellStyle name="Normal 2 2 2 2 2 9 5 4" xfId="13325" xr:uid="{00000000-0005-0000-0000-00000D340000}"/>
    <cellStyle name="Normal 2 2 2 2 2 9 5 5" xfId="13326" xr:uid="{00000000-0005-0000-0000-00000E340000}"/>
    <cellStyle name="Normal 2 2 2 2 2 9 5 6" xfId="13327" xr:uid="{00000000-0005-0000-0000-00000F340000}"/>
    <cellStyle name="Normal 2 2 2 2 2 9 5 7" xfId="13328" xr:uid="{00000000-0005-0000-0000-000010340000}"/>
    <cellStyle name="Normal 2 2 2 2 2 9 5 8" xfId="13329" xr:uid="{00000000-0005-0000-0000-000011340000}"/>
    <cellStyle name="Normal 2 2 2 2 2 9 5 9" xfId="13330" xr:uid="{00000000-0005-0000-0000-000012340000}"/>
    <cellStyle name="Normal 2 2 2 2 2 9 6" xfId="13331" xr:uid="{00000000-0005-0000-0000-000013340000}"/>
    <cellStyle name="Normal 2 2 2 2 2 9 7" xfId="13332" xr:uid="{00000000-0005-0000-0000-000014340000}"/>
    <cellStyle name="Normal 2 2 2 2 2 9 8" xfId="13333" xr:uid="{00000000-0005-0000-0000-000015340000}"/>
    <cellStyle name="Normal 2 2 2 2 2 9 9" xfId="13334" xr:uid="{00000000-0005-0000-0000-000016340000}"/>
    <cellStyle name="Normal 2 2 2 2 20" xfId="13335" xr:uid="{00000000-0005-0000-0000-000017340000}"/>
    <cellStyle name="Normal 2 2 2 2 21" xfId="13336" xr:uid="{00000000-0005-0000-0000-000018340000}"/>
    <cellStyle name="Normal 2 2 2 2 22" xfId="13337" xr:uid="{00000000-0005-0000-0000-000019340000}"/>
    <cellStyle name="Normal 2 2 2 2 23" xfId="13338" xr:uid="{00000000-0005-0000-0000-00001A340000}"/>
    <cellStyle name="Normal 2 2 2 2 24" xfId="13339" xr:uid="{00000000-0005-0000-0000-00001B340000}"/>
    <cellStyle name="Normal 2 2 2 2 25" xfId="13340" xr:uid="{00000000-0005-0000-0000-00001C340000}"/>
    <cellStyle name="Normal 2 2 2 2 26" xfId="13341" xr:uid="{00000000-0005-0000-0000-00001D340000}"/>
    <cellStyle name="Normal 2 2 2 2 27" xfId="13342" xr:uid="{00000000-0005-0000-0000-00001E340000}"/>
    <cellStyle name="Normal 2 2 2 2 28" xfId="13343" xr:uid="{00000000-0005-0000-0000-00001F340000}"/>
    <cellStyle name="Normal 2 2 2 2 29" xfId="13344" xr:uid="{00000000-0005-0000-0000-000020340000}"/>
    <cellStyle name="Normal 2 2 2 2 3" xfId="51" xr:uid="{00000000-0005-0000-0000-000033000000}"/>
    <cellStyle name="Normal 2 2 2 2 3 2" xfId="13346" xr:uid="{00000000-0005-0000-0000-000022340000}"/>
    <cellStyle name="Normal 2 2 2 2 3 2 2" xfId="13347" xr:uid="{00000000-0005-0000-0000-000023340000}"/>
    <cellStyle name="Normal 2 2 2 2 3 3" xfId="13348" xr:uid="{00000000-0005-0000-0000-000024340000}"/>
    <cellStyle name="Normal 2 2 2 2 3 4" xfId="13349" xr:uid="{00000000-0005-0000-0000-000025340000}"/>
    <cellStyle name="Normal 2 2 2 2 3 5" xfId="13350" xr:uid="{00000000-0005-0000-0000-000026340000}"/>
    <cellStyle name="Normal 2 2 2 2 3 6" xfId="13345" xr:uid="{00000000-0005-0000-0000-000021340000}"/>
    <cellStyle name="Normal 2 2 2 2 30" xfId="13351" xr:uid="{00000000-0005-0000-0000-000027340000}"/>
    <cellStyle name="Normal 2 2 2 2 31" xfId="13352" xr:uid="{00000000-0005-0000-0000-000028340000}"/>
    <cellStyle name="Normal 2 2 2 2 32" xfId="13353" xr:uid="{00000000-0005-0000-0000-000029340000}"/>
    <cellStyle name="Normal 2 2 2 2 33" xfId="13354" xr:uid="{00000000-0005-0000-0000-00002A340000}"/>
    <cellStyle name="Normal 2 2 2 2 34" xfId="13355" xr:uid="{00000000-0005-0000-0000-00002B340000}"/>
    <cellStyle name="Normal 2 2 2 2 35" xfId="13356" xr:uid="{00000000-0005-0000-0000-00002C340000}"/>
    <cellStyle name="Normal 2 2 2 2 36" xfId="13357" xr:uid="{00000000-0005-0000-0000-00002D340000}"/>
    <cellStyle name="Normal 2 2 2 2 37" xfId="13358" xr:uid="{00000000-0005-0000-0000-00002E340000}"/>
    <cellStyle name="Normal 2 2 2 2 38" xfId="13359" xr:uid="{00000000-0005-0000-0000-00002F340000}"/>
    <cellStyle name="Normal 2 2 2 2 39" xfId="13360" xr:uid="{00000000-0005-0000-0000-000030340000}"/>
    <cellStyle name="Normal 2 2 2 2 4" xfId="13361" xr:uid="{00000000-0005-0000-0000-000031340000}"/>
    <cellStyle name="Normal 2 2 2 2 4 10" xfId="13362" xr:uid="{00000000-0005-0000-0000-000032340000}"/>
    <cellStyle name="Normal 2 2 2 2 4 10 10" xfId="13363" xr:uid="{00000000-0005-0000-0000-000033340000}"/>
    <cellStyle name="Normal 2 2 2 2 4 10 11" xfId="13364" xr:uid="{00000000-0005-0000-0000-000034340000}"/>
    <cellStyle name="Normal 2 2 2 2 4 10 12" xfId="13365" xr:uid="{00000000-0005-0000-0000-000035340000}"/>
    <cellStyle name="Normal 2 2 2 2 4 10 13" xfId="13366" xr:uid="{00000000-0005-0000-0000-000036340000}"/>
    <cellStyle name="Normal 2 2 2 2 4 10 14" xfId="13367" xr:uid="{00000000-0005-0000-0000-000037340000}"/>
    <cellStyle name="Normal 2 2 2 2 4 10 2" xfId="13368" xr:uid="{00000000-0005-0000-0000-000038340000}"/>
    <cellStyle name="Normal 2 2 2 2 4 10 2 10" xfId="13369" xr:uid="{00000000-0005-0000-0000-000039340000}"/>
    <cellStyle name="Normal 2 2 2 2 4 10 2 2" xfId="13370" xr:uid="{00000000-0005-0000-0000-00003A340000}"/>
    <cellStyle name="Normal 2 2 2 2 4 10 2 3" xfId="13371" xr:uid="{00000000-0005-0000-0000-00003B340000}"/>
    <cellStyle name="Normal 2 2 2 2 4 10 2 4" xfId="13372" xr:uid="{00000000-0005-0000-0000-00003C340000}"/>
    <cellStyle name="Normal 2 2 2 2 4 10 2 5" xfId="13373" xr:uid="{00000000-0005-0000-0000-00003D340000}"/>
    <cellStyle name="Normal 2 2 2 2 4 10 2 6" xfId="13374" xr:uid="{00000000-0005-0000-0000-00003E340000}"/>
    <cellStyle name="Normal 2 2 2 2 4 10 2 7" xfId="13375" xr:uid="{00000000-0005-0000-0000-00003F340000}"/>
    <cellStyle name="Normal 2 2 2 2 4 10 2 8" xfId="13376" xr:uid="{00000000-0005-0000-0000-000040340000}"/>
    <cellStyle name="Normal 2 2 2 2 4 10 2 9" xfId="13377" xr:uid="{00000000-0005-0000-0000-000041340000}"/>
    <cellStyle name="Normal 2 2 2 2 4 10 3" xfId="13378" xr:uid="{00000000-0005-0000-0000-000042340000}"/>
    <cellStyle name="Normal 2 2 2 2 4 10 3 10" xfId="13379" xr:uid="{00000000-0005-0000-0000-000043340000}"/>
    <cellStyle name="Normal 2 2 2 2 4 10 3 2" xfId="13380" xr:uid="{00000000-0005-0000-0000-000044340000}"/>
    <cellStyle name="Normal 2 2 2 2 4 10 3 3" xfId="13381" xr:uid="{00000000-0005-0000-0000-000045340000}"/>
    <cellStyle name="Normal 2 2 2 2 4 10 3 4" xfId="13382" xr:uid="{00000000-0005-0000-0000-000046340000}"/>
    <cellStyle name="Normal 2 2 2 2 4 10 3 5" xfId="13383" xr:uid="{00000000-0005-0000-0000-000047340000}"/>
    <cellStyle name="Normal 2 2 2 2 4 10 3 6" xfId="13384" xr:uid="{00000000-0005-0000-0000-000048340000}"/>
    <cellStyle name="Normal 2 2 2 2 4 10 3 7" xfId="13385" xr:uid="{00000000-0005-0000-0000-000049340000}"/>
    <cellStyle name="Normal 2 2 2 2 4 10 3 8" xfId="13386" xr:uid="{00000000-0005-0000-0000-00004A340000}"/>
    <cellStyle name="Normal 2 2 2 2 4 10 3 9" xfId="13387" xr:uid="{00000000-0005-0000-0000-00004B340000}"/>
    <cellStyle name="Normal 2 2 2 2 4 10 4" xfId="13388" xr:uid="{00000000-0005-0000-0000-00004C340000}"/>
    <cellStyle name="Normal 2 2 2 2 4 10 4 10" xfId="13389" xr:uid="{00000000-0005-0000-0000-00004D340000}"/>
    <cellStyle name="Normal 2 2 2 2 4 10 4 2" xfId="13390" xr:uid="{00000000-0005-0000-0000-00004E340000}"/>
    <cellStyle name="Normal 2 2 2 2 4 10 4 3" xfId="13391" xr:uid="{00000000-0005-0000-0000-00004F340000}"/>
    <cellStyle name="Normal 2 2 2 2 4 10 4 4" xfId="13392" xr:uid="{00000000-0005-0000-0000-000050340000}"/>
    <cellStyle name="Normal 2 2 2 2 4 10 4 5" xfId="13393" xr:uid="{00000000-0005-0000-0000-000051340000}"/>
    <cellStyle name="Normal 2 2 2 2 4 10 4 6" xfId="13394" xr:uid="{00000000-0005-0000-0000-000052340000}"/>
    <cellStyle name="Normal 2 2 2 2 4 10 4 7" xfId="13395" xr:uid="{00000000-0005-0000-0000-000053340000}"/>
    <cellStyle name="Normal 2 2 2 2 4 10 4 8" xfId="13396" xr:uid="{00000000-0005-0000-0000-000054340000}"/>
    <cellStyle name="Normal 2 2 2 2 4 10 4 9" xfId="13397" xr:uid="{00000000-0005-0000-0000-000055340000}"/>
    <cellStyle name="Normal 2 2 2 2 4 10 5" xfId="13398" xr:uid="{00000000-0005-0000-0000-000056340000}"/>
    <cellStyle name="Normal 2 2 2 2 4 10 5 10" xfId="13399" xr:uid="{00000000-0005-0000-0000-000057340000}"/>
    <cellStyle name="Normal 2 2 2 2 4 10 5 2" xfId="13400" xr:uid="{00000000-0005-0000-0000-000058340000}"/>
    <cellStyle name="Normal 2 2 2 2 4 10 5 3" xfId="13401" xr:uid="{00000000-0005-0000-0000-000059340000}"/>
    <cellStyle name="Normal 2 2 2 2 4 10 5 4" xfId="13402" xr:uid="{00000000-0005-0000-0000-00005A340000}"/>
    <cellStyle name="Normal 2 2 2 2 4 10 5 5" xfId="13403" xr:uid="{00000000-0005-0000-0000-00005B340000}"/>
    <cellStyle name="Normal 2 2 2 2 4 10 5 6" xfId="13404" xr:uid="{00000000-0005-0000-0000-00005C340000}"/>
    <cellStyle name="Normal 2 2 2 2 4 10 5 7" xfId="13405" xr:uid="{00000000-0005-0000-0000-00005D340000}"/>
    <cellStyle name="Normal 2 2 2 2 4 10 5 8" xfId="13406" xr:uid="{00000000-0005-0000-0000-00005E340000}"/>
    <cellStyle name="Normal 2 2 2 2 4 10 5 9" xfId="13407" xr:uid="{00000000-0005-0000-0000-00005F340000}"/>
    <cellStyle name="Normal 2 2 2 2 4 10 6" xfId="13408" xr:uid="{00000000-0005-0000-0000-000060340000}"/>
    <cellStyle name="Normal 2 2 2 2 4 10 7" xfId="13409" xr:uid="{00000000-0005-0000-0000-000061340000}"/>
    <cellStyle name="Normal 2 2 2 2 4 10 8" xfId="13410" xr:uid="{00000000-0005-0000-0000-000062340000}"/>
    <cellStyle name="Normal 2 2 2 2 4 10 9" xfId="13411" xr:uid="{00000000-0005-0000-0000-000063340000}"/>
    <cellStyle name="Normal 2 2 2 2 4 11" xfId="13412" xr:uid="{00000000-0005-0000-0000-000064340000}"/>
    <cellStyle name="Normal 2 2 2 2 4 11 10" xfId="13413" xr:uid="{00000000-0005-0000-0000-000065340000}"/>
    <cellStyle name="Normal 2 2 2 2 4 11 11" xfId="13414" xr:uid="{00000000-0005-0000-0000-000066340000}"/>
    <cellStyle name="Normal 2 2 2 2 4 11 12" xfId="13415" xr:uid="{00000000-0005-0000-0000-000067340000}"/>
    <cellStyle name="Normal 2 2 2 2 4 11 13" xfId="13416" xr:uid="{00000000-0005-0000-0000-000068340000}"/>
    <cellStyle name="Normal 2 2 2 2 4 11 14" xfId="13417" xr:uid="{00000000-0005-0000-0000-000069340000}"/>
    <cellStyle name="Normal 2 2 2 2 4 11 2" xfId="13418" xr:uid="{00000000-0005-0000-0000-00006A340000}"/>
    <cellStyle name="Normal 2 2 2 2 4 11 2 10" xfId="13419" xr:uid="{00000000-0005-0000-0000-00006B340000}"/>
    <cellStyle name="Normal 2 2 2 2 4 11 2 2" xfId="13420" xr:uid="{00000000-0005-0000-0000-00006C340000}"/>
    <cellStyle name="Normal 2 2 2 2 4 11 2 3" xfId="13421" xr:uid="{00000000-0005-0000-0000-00006D340000}"/>
    <cellStyle name="Normal 2 2 2 2 4 11 2 4" xfId="13422" xr:uid="{00000000-0005-0000-0000-00006E340000}"/>
    <cellStyle name="Normal 2 2 2 2 4 11 2 5" xfId="13423" xr:uid="{00000000-0005-0000-0000-00006F340000}"/>
    <cellStyle name="Normal 2 2 2 2 4 11 2 6" xfId="13424" xr:uid="{00000000-0005-0000-0000-000070340000}"/>
    <cellStyle name="Normal 2 2 2 2 4 11 2 7" xfId="13425" xr:uid="{00000000-0005-0000-0000-000071340000}"/>
    <cellStyle name="Normal 2 2 2 2 4 11 2 8" xfId="13426" xr:uid="{00000000-0005-0000-0000-000072340000}"/>
    <cellStyle name="Normal 2 2 2 2 4 11 2 9" xfId="13427" xr:uid="{00000000-0005-0000-0000-000073340000}"/>
    <cellStyle name="Normal 2 2 2 2 4 11 3" xfId="13428" xr:uid="{00000000-0005-0000-0000-000074340000}"/>
    <cellStyle name="Normal 2 2 2 2 4 11 3 10" xfId="13429" xr:uid="{00000000-0005-0000-0000-000075340000}"/>
    <cellStyle name="Normal 2 2 2 2 4 11 3 2" xfId="13430" xr:uid="{00000000-0005-0000-0000-000076340000}"/>
    <cellStyle name="Normal 2 2 2 2 4 11 3 3" xfId="13431" xr:uid="{00000000-0005-0000-0000-000077340000}"/>
    <cellStyle name="Normal 2 2 2 2 4 11 3 4" xfId="13432" xr:uid="{00000000-0005-0000-0000-000078340000}"/>
    <cellStyle name="Normal 2 2 2 2 4 11 3 5" xfId="13433" xr:uid="{00000000-0005-0000-0000-000079340000}"/>
    <cellStyle name="Normal 2 2 2 2 4 11 3 6" xfId="13434" xr:uid="{00000000-0005-0000-0000-00007A340000}"/>
    <cellStyle name="Normal 2 2 2 2 4 11 3 7" xfId="13435" xr:uid="{00000000-0005-0000-0000-00007B340000}"/>
    <cellStyle name="Normal 2 2 2 2 4 11 3 8" xfId="13436" xr:uid="{00000000-0005-0000-0000-00007C340000}"/>
    <cellStyle name="Normal 2 2 2 2 4 11 3 9" xfId="13437" xr:uid="{00000000-0005-0000-0000-00007D340000}"/>
    <cellStyle name="Normal 2 2 2 2 4 11 4" xfId="13438" xr:uid="{00000000-0005-0000-0000-00007E340000}"/>
    <cellStyle name="Normal 2 2 2 2 4 11 4 10" xfId="13439" xr:uid="{00000000-0005-0000-0000-00007F340000}"/>
    <cellStyle name="Normal 2 2 2 2 4 11 4 2" xfId="13440" xr:uid="{00000000-0005-0000-0000-000080340000}"/>
    <cellStyle name="Normal 2 2 2 2 4 11 4 3" xfId="13441" xr:uid="{00000000-0005-0000-0000-000081340000}"/>
    <cellStyle name="Normal 2 2 2 2 4 11 4 4" xfId="13442" xr:uid="{00000000-0005-0000-0000-000082340000}"/>
    <cellStyle name="Normal 2 2 2 2 4 11 4 5" xfId="13443" xr:uid="{00000000-0005-0000-0000-000083340000}"/>
    <cellStyle name="Normal 2 2 2 2 4 11 4 6" xfId="13444" xr:uid="{00000000-0005-0000-0000-000084340000}"/>
    <cellStyle name="Normal 2 2 2 2 4 11 4 7" xfId="13445" xr:uid="{00000000-0005-0000-0000-000085340000}"/>
    <cellStyle name="Normal 2 2 2 2 4 11 4 8" xfId="13446" xr:uid="{00000000-0005-0000-0000-000086340000}"/>
    <cellStyle name="Normal 2 2 2 2 4 11 4 9" xfId="13447" xr:uid="{00000000-0005-0000-0000-000087340000}"/>
    <cellStyle name="Normal 2 2 2 2 4 11 5" xfId="13448" xr:uid="{00000000-0005-0000-0000-000088340000}"/>
    <cellStyle name="Normal 2 2 2 2 4 11 5 10" xfId="13449" xr:uid="{00000000-0005-0000-0000-000089340000}"/>
    <cellStyle name="Normal 2 2 2 2 4 11 5 2" xfId="13450" xr:uid="{00000000-0005-0000-0000-00008A340000}"/>
    <cellStyle name="Normal 2 2 2 2 4 11 5 3" xfId="13451" xr:uid="{00000000-0005-0000-0000-00008B340000}"/>
    <cellStyle name="Normal 2 2 2 2 4 11 5 4" xfId="13452" xr:uid="{00000000-0005-0000-0000-00008C340000}"/>
    <cellStyle name="Normal 2 2 2 2 4 11 5 5" xfId="13453" xr:uid="{00000000-0005-0000-0000-00008D340000}"/>
    <cellStyle name="Normal 2 2 2 2 4 11 5 6" xfId="13454" xr:uid="{00000000-0005-0000-0000-00008E340000}"/>
    <cellStyle name="Normal 2 2 2 2 4 11 5 7" xfId="13455" xr:uid="{00000000-0005-0000-0000-00008F340000}"/>
    <cellStyle name="Normal 2 2 2 2 4 11 5 8" xfId="13456" xr:uid="{00000000-0005-0000-0000-000090340000}"/>
    <cellStyle name="Normal 2 2 2 2 4 11 5 9" xfId="13457" xr:uid="{00000000-0005-0000-0000-000091340000}"/>
    <cellStyle name="Normal 2 2 2 2 4 11 6" xfId="13458" xr:uid="{00000000-0005-0000-0000-000092340000}"/>
    <cellStyle name="Normal 2 2 2 2 4 11 7" xfId="13459" xr:uid="{00000000-0005-0000-0000-000093340000}"/>
    <cellStyle name="Normal 2 2 2 2 4 11 8" xfId="13460" xr:uid="{00000000-0005-0000-0000-000094340000}"/>
    <cellStyle name="Normal 2 2 2 2 4 11 9" xfId="13461" xr:uid="{00000000-0005-0000-0000-000095340000}"/>
    <cellStyle name="Normal 2 2 2 2 4 12" xfId="13462" xr:uid="{00000000-0005-0000-0000-000096340000}"/>
    <cellStyle name="Normal 2 2 2 2 4 12 10" xfId="13463" xr:uid="{00000000-0005-0000-0000-000097340000}"/>
    <cellStyle name="Normal 2 2 2 2 4 12 11" xfId="13464" xr:uid="{00000000-0005-0000-0000-000098340000}"/>
    <cellStyle name="Normal 2 2 2 2 4 12 12" xfId="13465" xr:uid="{00000000-0005-0000-0000-000099340000}"/>
    <cellStyle name="Normal 2 2 2 2 4 12 13" xfId="13466" xr:uid="{00000000-0005-0000-0000-00009A340000}"/>
    <cellStyle name="Normal 2 2 2 2 4 12 14" xfId="13467" xr:uid="{00000000-0005-0000-0000-00009B340000}"/>
    <cellStyle name="Normal 2 2 2 2 4 12 2" xfId="13468" xr:uid="{00000000-0005-0000-0000-00009C340000}"/>
    <cellStyle name="Normal 2 2 2 2 4 12 2 10" xfId="13469" xr:uid="{00000000-0005-0000-0000-00009D340000}"/>
    <cellStyle name="Normal 2 2 2 2 4 12 2 2" xfId="13470" xr:uid="{00000000-0005-0000-0000-00009E340000}"/>
    <cellStyle name="Normal 2 2 2 2 4 12 2 3" xfId="13471" xr:uid="{00000000-0005-0000-0000-00009F340000}"/>
    <cellStyle name="Normal 2 2 2 2 4 12 2 4" xfId="13472" xr:uid="{00000000-0005-0000-0000-0000A0340000}"/>
    <cellStyle name="Normal 2 2 2 2 4 12 2 5" xfId="13473" xr:uid="{00000000-0005-0000-0000-0000A1340000}"/>
    <cellStyle name="Normal 2 2 2 2 4 12 2 6" xfId="13474" xr:uid="{00000000-0005-0000-0000-0000A2340000}"/>
    <cellStyle name="Normal 2 2 2 2 4 12 2 7" xfId="13475" xr:uid="{00000000-0005-0000-0000-0000A3340000}"/>
    <cellStyle name="Normal 2 2 2 2 4 12 2 8" xfId="13476" xr:uid="{00000000-0005-0000-0000-0000A4340000}"/>
    <cellStyle name="Normal 2 2 2 2 4 12 2 9" xfId="13477" xr:uid="{00000000-0005-0000-0000-0000A5340000}"/>
    <cellStyle name="Normal 2 2 2 2 4 12 3" xfId="13478" xr:uid="{00000000-0005-0000-0000-0000A6340000}"/>
    <cellStyle name="Normal 2 2 2 2 4 12 3 10" xfId="13479" xr:uid="{00000000-0005-0000-0000-0000A7340000}"/>
    <cellStyle name="Normal 2 2 2 2 4 12 3 2" xfId="13480" xr:uid="{00000000-0005-0000-0000-0000A8340000}"/>
    <cellStyle name="Normal 2 2 2 2 4 12 3 3" xfId="13481" xr:uid="{00000000-0005-0000-0000-0000A9340000}"/>
    <cellStyle name="Normal 2 2 2 2 4 12 3 4" xfId="13482" xr:uid="{00000000-0005-0000-0000-0000AA340000}"/>
    <cellStyle name="Normal 2 2 2 2 4 12 3 5" xfId="13483" xr:uid="{00000000-0005-0000-0000-0000AB340000}"/>
    <cellStyle name="Normal 2 2 2 2 4 12 3 6" xfId="13484" xr:uid="{00000000-0005-0000-0000-0000AC340000}"/>
    <cellStyle name="Normal 2 2 2 2 4 12 3 7" xfId="13485" xr:uid="{00000000-0005-0000-0000-0000AD340000}"/>
    <cellStyle name="Normal 2 2 2 2 4 12 3 8" xfId="13486" xr:uid="{00000000-0005-0000-0000-0000AE340000}"/>
    <cellStyle name="Normal 2 2 2 2 4 12 3 9" xfId="13487" xr:uid="{00000000-0005-0000-0000-0000AF340000}"/>
    <cellStyle name="Normal 2 2 2 2 4 12 4" xfId="13488" xr:uid="{00000000-0005-0000-0000-0000B0340000}"/>
    <cellStyle name="Normal 2 2 2 2 4 12 4 10" xfId="13489" xr:uid="{00000000-0005-0000-0000-0000B1340000}"/>
    <cellStyle name="Normal 2 2 2 2 4 12 4 2" xfId="13490" xr:uid="{00000000-0005-0000-0000-0000B2340000}"/>
    <cellStyle name="Normal 2 2 2 2 4 12 4 3" xfId="13491" xr:uid="{00000000-0005-0000-0000-0000B3340000}"/>
    <cellStyle name="Normal 2 2 2 2 4 12 4 4" xfId="13492" xr:uid="{00000000-0005-0000-0000-0000B4340000}"/>
    <cellStyle name="Normal 2 2 2 2 4 12 4 5" xfId="13493" xr:uid="{00000000-0005-0000-0000-0000B5340000}"/>
    <cellStyle name="Normal 2 2 2 2 4 12 4 6" xfId="13494" xr:uid="{00000000-0005-0000-0000-0000B6340000}"/>
    <cellStyle name="Normal 2 2 2 2 4 12 4 7" xfId="13495" xr:uid="{00000000-0005-0000-0000-0000B7340000}"/>
    <cellStyle name="Normal 2 2 2 2 4 12 4 8" xfId="13496" xr:uid="{00000000-0005-0000-0000-0000B8340000}"/>
    <cellStyle name="Normal 2 2 2 2 4 12 4 9" xfId="13497" xr:uid="{00000000-0005-0000-0000-0000B9340000}"/>
    <cellStyle name="Normal 2 2 2 2 4 12 5" xfId="13498" xr:uid="{00000000-0005-0000-0000-0000BA340000}"/>
    <cellStyle name="Normal 2 2 2 2 4 12 5 10" xfId="13499" xr:uid="{00000000-0005-0000-0000-0000BB340000}"/>
    <cellStyle name="Normal 2 2 2 2 4 12 5 2" xfId="13500" xr:uid="{00000000-0005-0000-0000-0000BC340000}"/>
    <cellStyle name="Normal 2 2 2 2 4 12 5 3" xfId="13501" xr:uid="{00000000-0005-0000-0000-0000BD340000}"/>
    <cellStyle name="Normal 2 2 2 2 4 12 5 4" xfId="13502" xr:uid="{00000000-0005-0000-0000-0000BE340000}"/>
    <cellStyle name="Normal 2 2 2 2 4 12 5 5" xfId="13503" xr:uid="{00000000-0005-0000-0000-0000BF340000}"/>
    <cellStyle name="Normal 2 2 2 2 4 12 5 6" xfId="13504" xr:uid="{00000000-0005-0000-0000-0000C0340000}"/>
    <cellStyle name="Normal 2 2 2 2 4 12 5 7" xfId="13505" xr:uid="{00000000-0005-0000-0000-0000C1340000}"/>
    <cellStyle name="Normal 2 2 2 2 4 12 5 8" xfId="13506" xr:uid="{00000000-0005-0000-0000-0000C2340000}"/>
    <cellStyle name="Normal 2 2 2 2 4 12 5 9" xfId="13507" xr:uid="{00000000-0005-0000-0000-0000C3340000}"/>
    <cellStyle name="Normal 2 2 2 2 4 12 6" xfId="13508" xr:uid="{00000000-0005-0000-0000-0000C4340000}"/>
    <cellStyle name="Normal 2 2 2 2 4 12 7" xfId="13509" xr:uid="{00000000-0005-0000-0000-0000C5340000}"/>
    <cellStyle name="Normal 2 2 2 2 4 12 8" xfId="13510" xr:uid="{00000000-0005-0000-0000-0000C6340000}"/>
    <cellStyle name="Normal 2 2 2 2 4 12 9" xfId="13511" xr:uid="{00000000-0005-0000-0000-0000C7340000}"/>
    <cellStyle name="Normal 2 2 2 2 4 13" xfId="13512" xr:uid="{00000000-0005-0000-0000-0000C8340000}"/>
    <cellStyle name="Normal 2 2 2 2 4 13 10" xfId="13513" xr:uid="{00000000-0005-0000-0000-0000C9340000}"/>
    <cellStyle name="Normal 2 2 2 2 4 13 11" xfId="13514" xr:uid="{00000000-0005-0000-0000-0000CA340000}"/>
    <cellStyle name="Normal 2 2 2 2 4 13 12" xfId="13515" xr:uid="{00000000-0005-0000-0000-0000CB340000}"/>
    <cellStyle name="Normal 2 2 2 2 4 13 13" xfId="13516" xr:uid="{00000000-0005-0000-0000-0000CC340000}"/>
    <cellStyle name="Normal 2 2 2 2 4 13 14" xfId="13517" xr:uid="{00000000-0005-0000-0000-0000CD340000}"/>
    <cellStyle name="Normal 2 2 2 2 4 13 2" xfId="13518" xr:uid="{00000000-0005-0000-0000-0000CE340000}"/>
    <cellStyle name="Normal 2 2 2 2 4 13 2 10" xfId="13519" xr:uid="{00000000-0005-0000-0000-0000CF340000}"/>
    <cellStyle name="Normal 2 2 2 2 4 13 2 2" xfId="13520" xr:uid="{00000000-0005-0000-0000-0000D0340000}"/>
    <cellStyle name="Normal 2 2 2 2 4 13 2 3" xfId="13521" xr:uid="{00000000-0005-0000-0000-0000D1340000}"/>
    <cellStyle name="Normal 2 2 2 2 4 13 2 4" xfId="13522" xr:uid="{00000000-0005-0000-0000-0000D2340000}"/>
    <cellStyle name="Normal 2 2 2 2 4 13 2 5" xfId="13523" xr:uid="{00000000-0005-0000-0000-0000D3340000}"/>
    <cellStyle name="Normal 2 2 2 2 4 13 2 6" xfId="13524" xr:uid="{00000000-0005-0000-0000-0000D4340000}"/>
    <cellStyle name="Normal 2 2 2 2 4 13 2 7" xfId="13525" xr:uid="{00000000-0005-0000-0000-0000D5340000}"/>
    <cellStyle name="Normal 2 2 2 2 4 13 2 8" xfId="13526" xr:uid="{00000000-0005-0000-0000-0000D6340000}"/>
    <cellStyle name="Normal 2 2 2 2 4 13 2 9" xfId="13527" xr:uid="{00000000-0005-0000-0000-0000D7340000}"/>
    <cellStyle name="Normal 2 2 2 2 4 13 3" xfId="13528" xr:uid="{00000000-0005-0000-0000-0000D8340000}"/>
    <cellStyle name="Normal 2 2 2 2 4 13 3 10" xfId="13529" xr:uid="{00000000-0005-0000-0000-0000D9340000}"/>
    <cellStyle name="Normal 2 2 2 2 4 13 3 2" xfId="13530" xr:uid="{00000000-0005-0000-0000-0000DA340000}"/>
    <cellStyle name="Normal 2 2 2 2 4 13 3 3" xfId="13531" xr:uid="{00000000-0005-0000-0000-0000DB340000}"/>
    <cellStyle name="Normal 2 2 2 2 4 13 3 4" xfId="13532" xr:uid="{00000000-0005-0000-0000-0000DC340000}"/>
    <cellStyle name="Normal 2 2 2 2 4 13 3 5" xfId="13533" xr:uid="{00000000-0005-0000-0000-0000DD340000}"/>
    <cellStyle name="Normal 2 2 2 2 4 13 3 6" xfId="13534" xr:uid="{00000000-0005-0000-0000-0000DE340000}"/>
    <cellStyle name="Normal 2 2 2 2 4 13 3 7" xfId="13535" xr:uid="{00000000-0005-0000-0000-0000DF340000}"/>
    <cellStyle name="Normal 2 2 2 2 4 13 3 8" xfId="13536" xr:uid="{00000000-0005-0000-0000-0000E0340000}"/>
    <cellStyle name="Normal 2 2 2 2 4 13 3 9" xfId="13537" xr:uid="{00000000-0005-0000-0000-0000E1340000}"/>
    <cellStyle name="Normal 2 2 2 2 4 13 4" xfId="13538" xr:uid="{00000000-0005-0000-0000-0000E2340000}"/>
    <cellStyle name="Normal 2 2 2 2 4 13 4 10" xfId="13539" xr:uid="{00000000-0005-0000-0000-0000E3340000}"/>
    <cellStyle name="Normal 2 2 2 2 4 13 4 2" xfId="13540" xr:uid="{00000000-0005-0000-0000-0000E4340000}"/>
    <cellStyle name="Normal 2 2 2 2 4 13 4 3" xfId="13541" xr:uid="{00000000-0005-0000-0000-0000E5340000}"/>
    <cellStyle name="Normal 2 2 2 2 4 13 4 4" xfId="13542" xr:uid="{00000000-0005-0000-0000-0000E6340000}"/>
    <cellStyle name="Normal 2 2 2 2 4 13 4 5" xfId="13543" xr:uid="{00000000-0005-0000-0000-0000E7340000}"/>
    <cellStyle name="Normal 2 2 2 2 4 13 4 6" xfId="13544" xr:uid="{00000000-0005-0000-0000-0000E8340000}"/>
    <cellStyle name="Normal 2 2 2 2 4 13 4 7" xfId="13545" xr:uid="{00000000-0005-0000-0000-0000E9340000}"/>
    <cellStyle name="Normal 2 2 2 2 4 13 4 8" xfId="13546" xr:uid="{00000000-0005-0000-0000-0000EA340000}"/>
    <cellStyle name="Normal 2 2 2 2 4 13 4 9" xfId="13547" xr:uid="{00000000-0005-0000-0000-0000EB340000}"/>
    <cellStyle name="Normal 2 2 2 2 4 13 5" xfId="13548" xr:uid="{00000000-0005-0000-0000-0000EC340000}"/>
    <cellStyle name="Normal 2 2 2 2 4 13 5 10" xfId="13549" xr:uid="{00000000-0005-0000-0000-0000ED340000}"/>
    <cellStyle name="Normal 2 2 2 2 4 13 5 2" xfId="13550" xr:uid="{00000000-0005-0000-0000-0000EE340000}"/>
    <cellStyle name="Normal 2 2 2 2 4 13 5 3" xfId="13551" xr:uid="{00000000-0005-0000-0000-0000EF340000}"/>
    <cellStyle name="Normal 2 2 2 2 4 13 5 4" xfId="13552" xr:uid="{00000000-0005-0000-0000-0000F0340000}"/>
    <cellStyle name="Normal 2 2 2 2 4 13 5 5" xfId="13553" xr:uid="{00000000-0005-0000-0000-0000F1340000}"/>
    <cellStyle name="Normal 2 2 2 2 4 13 5 6" xfId="13554" xr:uid="{00000000-0005-0000-0000-0000F2340000}"/>
    <cellStyle name="Normal 2 2 2 2 4 13 5 7" xfId="13555" xr:uid="{00000000-0005-0000-0000-0000F3340000}"/>
    <cellStyle name="Normal 2 2 2 2 4 13 5 8" xfId="13556" xr:uid="{00000000-0005-0000-0000-0000F4340000}"/>
    <cellStyle name="Normal 2 2 2 2 4 13 5 9" xfId="13557" xr:uid="{00000000-0005-0000-0000-0000F5340000}"/>
    <cellStyle name="Normal 2 2 2 2 4 13 6" xfId="13558" xr:uid="{00000000-0005-0000-0000-0000F6340000}"/>
    <cellStyle name="Normal 2 2 2 2 4 13 7" xfId="13559" xr:uid="{00000000-0005-0000-0000-0000F7340000}"/>
    <cellStyle name="Normal 2 2 2 2 4 13 8" xfId="13560" xr:uid="{00000000-0005-0000-0000-0000F8340000}"/>
    <cellStyle name="Normal 2 2 2 2 4 13 9" xfId="13561" xr:uid="{00000000-0005-0000-0000-0000F9340000}"/>
    <cellStyle name="Normal 2 2 2 2 4 14" xfId="13562" xr:uid="{00000000-0005-0000-0000-0000FA340000}"/>
    <cellStyle name="Normal 2 2 2 2 4 14 10" xfId="13563" xr:uid="{00000000-0005-0000-0000-0000FB340000}"/>
    <cellStyle name="Normal 2 2 2 2 4 14 11" xfId="13564" xr:uid="{00000000-0005-0000-0000-0000FC340000}"/>
    <cellStyle name="Normal 2 2 2 2 4 14 12" xfId="13565" xr:uid="{00000000-0005-0000-0000-0000FD340000}"/>
    <cellStyle name="Normal 2 2 2 2 4 14 13" xfId="13566" xr:uid="{00000000-0005-0000-0000-0000FE340000}"/>
    <cellStyle name="Normal 2 2 2 2 4 14 14" xfId="13567" xr:uid="{00000000-0005-0000-0000-0000FF340000}"/>
    <cellStyle name="Normal 2 2 2 2 4 14 2" xfId="13568" xr:uid="{00000000-0005-0000-0000-000000350000}"/>
    <cellStyle name="Normal 2 2 2 2 4 14 2 10" xfId="13569" xr:uid="{00000000-0005-0000-0000-000001350000}"/>
    <cellStyle name="Normal 2 2 2 2 4 14 2 2" xfId="13570" xr:uid="{00000000-0005-0000-0000-000002350000}"/>
    <cellStyle name="Normal 2 2 2 2 4 14 2 3" xfId="13571" xr:uid="{00000000-0005-0000-0000-000003350000}"/>
    <cellStyle name="Normal 2 2 2 2 4 14 2 4" xfId="13572" xr:uid="{00000000-0005-0000-0000-000004350000}"/>
    <cellStyle name="Normal 2 2 2 2 4 14 2 5" xfId="13573" xr:uid="{00000000-0005-0000-0000-000005350000}"/>
    <cellStyle name="Normal 2 2 2 2 4 14 2 6" xfId="13574" xr:uid="{00000000-0005-0000-0000-000006350000}"/>
    <cellStyle name="Normal 2 2 2 2 4 14 2 7" xfId="13575" xr:uid="{00000000-0005-0000-0000-000007350000}"/>
    <cellStyle name="Normal 2 2 2 2 4 14 2 8" xfId="13576" xr:uid="{00000000-0005-0000-0000-000008350000}"/>
    <cellStyle name="Normal 2 2 2 2 4 14 2 9" xfId="13577" xr:uid="{00000000-0005-0000-0000-000009350000}"/>
    <cellStyle name="Normal 2 2 2 2 4 14 3" xfId="13578" xr:uid="{00000000-0005-0000-0000-00000A350000}"/>
    <cellStyle name="Normal 2 2 2 2 4 14 3 10" xfId="13579" xr:uid="{00000000-0005-0000-0000-00000B350000}"/>
    <cellStyle name="Normal 2 2 2 2 4 14 3 2" xfId="13580" xr:uid="{00000000-0005-0000-0000-00000C350000}"/>
    <cellStyle name="Normal 2 2 2 2 4 14 3 3" xfId="13581" xr:uid="{00000000-0005-0000-0000-00000D350000}"/>
    <cellStyle name="Normal 2 2 2 2 4 14 3 4" xfId="13582" xr:uid="{00000000-0005-0000-0000-00000E350000}"/>
    <cellStyle name="Normal 2 2 2 2 4 14 3 5" xfId="13583" xr:uid="{00000000-0005-0000-0000-00000F350000}"/>
    <cellStyle name="Normal 2 2 2 2 4 14 3 6" xfId="13584" xr:uid="{00000000-0005-0000-0000-000010350000}"/>
    <cellStyle name="Normal 2 2 2 2 4 14 3 7" xfId="13585" xr:uid="{00000000-0005-0000-0000-000011350000}"/>
    <cellStyle name="Normal 2 2 2 2 4 14 3 8" xfId="13586" xr:uid="{00000000-0005-0000-0000-000012350000}"/>
    <cellStyle name="Normal 2 2 2 2 4 14 3 9" xfId="13587" xr:uid="{00000000-0005-0000-0000-000013350000}"/>
    <cellStyle name="Normal 2 2 2 2 4 14 4" xfId="13588" xr:uid="{00000000-0005-0000-0000-000014350000}"/>
    <cellStyle name="Normal 2 2 2 2 4 14 4 10" xfId="13589" xr:uid="{00000000-0005-0000-0000-000015350000}"/>
    <cellStyle name="Normal 2 2 2 2 4 14 4 2" xfId="13590" xr:uid="{00000000-0005-0000-0000-000016350000}"/>
    <cellStyle name="Normal 2 2 2 2 4 14 4 3" xfId="13591" xr:uid="{00000000-0005-0000-0000-000017350000}"/>
    <cellStyle name="Normal 2 2 2 2 4 14 4 4" xfId="13592" xr:uid="{00000000-0005-0000-0000-000018350000}"/>
    <cellStyle name="Normal 2 2 2 2 4 14 4 5" xfId="13593" xr:uid="{00000000-0005-0000-0000-000019350000}"/>
    <cellStyle name="Normal 2 2 2 2 4 14 4 6" xfId="13594" xr:uid="{00000000-0005-0000-0000-00001A350000}"/>
    <cellStyle name="Normal 2 2 2 2 4 14 4 7" xfId="13595" xr:uid="{00000000-0005-0000-0000-00001B350000}"/>
    <cellStyle name="Normal 2 2 2 2 4 14 4 8" xfId="13596" xr:uid="{00000000-0005-0000-0000-00001C350000}"/>
    <cellStyle name="Normal 2 2 2 2 4 14 4 9" xfId="13597" xr:uid="{00000000-0005-0000-0000-00001D350000}"/>
    <cellStyle name="Normal 2 2 2 2 4 14 5" xfId="13598" xr:uid="{00000000-0005-0000-0000-00001E350000}"/>
    <cellStyle name="Normal 2 2 2 2 4 14 5 10" xfId="13599" xr:uid="{00000000-0005-0000-0000-00001F350000}"/>
    <cellStyle name="Normal 2 2 2 2 4 14 5 2" xfId="13600" xr:uid="{00000000-0005-0000-0000-000020350000}"/>
    <cellStyle name="Normal 2 2 2 2 4 14 5 3" xfId="13601" xr:uid="{00000000-0005-0000-0000-000021350000}"/>
    <cellStyle name="Normal 2 2 2 2 4 14 5 4" xfId="13602" xr:uid="{00000000-0005-0000-0000-000022350000}"/>
    <cellStyle name="Normal 2 2 2 2 4 14 5 5" xfId="13603" xr:uid="{00000000-0005-0000-0000-000023350000}"/>
    <cellStyle name="Normal 2 2 2 2 4 14 5 6" xfId="13604" xr:uid="{00000000-0005-0000-0000-000024350000}"/>
    <cellStyle name="Normal 2 2 2 2 4 14 5 7" xfId="13605" xr:uid="{00000000-0005-0000-0000-000025350000}"/>
    <cellStyle name="Normal 2 2 2 2 4 14 5 8" xfId="13606" xr:uid="{00000000-0005-0000-0000-000026350000}"/>
    <cellStyle name="Normal 2 2 2 2 4 14 5 9" xfId="13607" xr:uid="{00000000-0005-0000-0000-000027350000}"/>
    <cellStyle name="Normal 2 2 2 2 4 14 6" xfId="13608" xr:uid="{00000000-0005-0000-0000-000028350000}"/>
    <cellStyle name="Normal 2 2 2 2 4 14 7" xfId="13609" xr:uid="{00000000-0005-0000-0000-000029350000}"/>
    <cellStyle name="Normal 2 2 2 2 4 14 8" xfId="13610" xr:uid="{00000000-0005-0000-0000-00002A350000}"/>
    <cellStyle name="Normal 2 2 2 2 4 14 9" xfId="13611" xr:uid="{00000000-0005-0000-0000-00002B350000}"/>
    <cellStyle name="Normal 2 2 2 2 4 15" xfId="13612" xr:uid="{00000000-0005-0000-0000-00002C350000}"/>
    <cellStyle name="Normal 2 2 2 2 4 15 10" xfId="13613" xr:uid="{00000000-0005-0000-0000-00002D350000}"/>
    <cellStyle name="Normal 2 2 2 2 4 15 11" xfId="13614" xr:uid="{00000000-0005-0000-0000-00002E350000}"/>
    <cellStyle name="Normal 2 2 2 2 4 15 12" xfId="13615" xr:uid="{00000000-0005-0000-0000-00002F350000}"/>
    <cellStyle name="Normal 2 2 2 2 4 15 13" xfId="13616" xr:uid="{00000000-0005-0000-0000-000030350000}"/>
    <cellStyle name="Normal 2 2 2 2 4 15 14" xfId="13617" xr:uid="{00000000-0005-0000-0000-000031350000}"/>
    <cellStyle name="Normal 2 2 2 2 4 15 2" xfId="13618" xr:uid="{00000000-0005-0000-0000-000032350000}"/>
    <cellStyle name="Normal 2 2 2 2 4 15 2 10" xfId="13619" xr:uid="{00000000-0005-0000-0000-000033350000}"/>
    <cellStyle name="Normal 2 2 2 2 4 15 2 2" xfId="13620" xr:uid="{00000000-0005-0000-0000-000034350000}"/>
    <cellStyle name="Normal 2 2 2 2 4 15 2 3" xfId="13621" xr:uid="{00000000-0005-0000-0000-000035350000}"/>
    <cellStyle name="Normal 2 2 2 2 4 15 2 4" xfId="13622" xr:uid="{00000000-0005-0000-0000-000036350000}"/>
    <cellStyle name="Normal 2 2 2 2 4 15 2 5" xfId="13623" xr:uid="{00000000-0005-0000-0000-000037350000}"/>
    <cellStyle name="Normal 2 2 2 2 4 15 2 6" xfId="13624" xr:uid="{00000000-0005-0000-0000-000038350000}"/>
    <cellStyle name="Normal 2 2 2 2 4 15 2 7" xfId="13625" xr:uid="{00000000-0005-0000-0000-000039350000}"/>
    <cellStyle name="Normal 2 2 2 2 4 15 2 8" xfId="13626" xr:uid="{00000000-0005-0000-0000-00003A350000}"/>
    <cellStyle name="Normal 2 2 2 2 4 15 2 9" xfId="13627" xr:uid="{00000000-0005-0000-0000-00003B350000}"/>
    <cellStyle name="Normal 2 2 2 2 4 15 3" xfId="13628" xr:uid="{00000000-0005-0000-0000-00003C350000}"/>
    <cellStyle name="Normal 2 2 2 2 4 15 3 10" xfId="13629" xr:uid="{00000000-0005-0000-0000-00003D350000}"/>
    <cellStyle name="Normal 2 2 2 2 4 15 3 2" xfId="13630" xr:uid="{00000000-0005-0000-0000-00003E350000}"/>
    <cellStyle name="Normal 2 2 2 2 4 15 3 3" xfId="13631" xr:uid="{00000000-0005-0000-0000-00003F350000}"/>
    <cellStyle name="Normal 2 2 2 2 4 15 3 4" xfId="13632" xr:uid="{00000000-0005-0000-0000-000040350000}"/>
    <cellStyle name="Normal 2 2 2 2 4 15 3 5" xfId="13633" xr:uid="{00000000-0005-0000-0000-000041350000}"/>
    <cellStyle name="Normal 2 2 2 2 4 15 3 6" xfId="13634" xr:uid="{00000000-0005-0000-0000-000042350000}"/>
    <cellStyle name="Normal 2 2 2 2 4 15 3 7" xfId="13635" xr:uid="{00000000-0005-0000-0000-000043350000}"/>
    <cellStyle name="Normal 2 2 2 2 4 15 3 8" xfId="13636" xr:uid="{00000000-0005-0000-0000-000044350000}"/>
    <cellStyle name="Normal 2 2 2 2 4 15 3 9" xfId="13637" xr:uid="{00000000-0005-0000-0000-000045350000}"/>
    <cellStyle name="Normal 2 2 2 2 4 15 4" xfId="13638" xr:uid="{00000000-0005-0000-0000-000046350000}"/>
    <cellStyle name="Normal 2 2 2 2 4 15 4 10" xfId="13639" xr:uid="{00000000-0005-0000-0000-000047350000}"/>
    <cellStyle name="Normal 2 2 2 2 4 15 4 2" xfId="13640" xr:uid="{00000000-0005-0000-0000-000048350000}"/>
    <cellStyle name="Normal 2 2 2 2 4 15 4 3" xfId="13641" xr:uid="{00000000-0005-0000-0000-000049350000}"/>
    <cellStyle name="Normal 2 2 2 2 4 15 4 4" xfId="13642" xr:uid="{00000000-0005-0000-0000-00004A350000}"/>
    <cellStyle name="Normal 2 2 2 2 4 15 4 5" xfId="13643" xr:uid="{00000000-0005-0000-0000-00004B350000}"/>
    <cellStyle name="Normal 2 2 2 2 4 15 4 6" xfId="13644" xr:uid="{00000000-0005-0000-0000-00004C350000}"/>
    <cellStyle name="Normal 2 2 2 2 4 15 4 7" xfId="13645" xr:uid="{00000000-0005-0000-0000-00004D350000}"/>
    <cellStyle name="Normal 2 2 2 2 4 15 4 8" xfId="13646" xr:uid="{00000000-0005-0000-0000-00004E350000}"/>
    <cellStyle name="Normal 2 2 2 2 4 15 4 9" xfId="13647" xr:uid="{00000000-0005-0000-0000-00004F350000}"/>
    <cellStyle name="Normal 2 2 2 2 4 15 5" xfId="13648" xr:uid="{00000000-0005-0000-0000-000050350000}"/>
    <cellStyle name="Normal 2 2 2 2 4 15 5 10" xfId="13649" xr:uid="{00000000-0005-0000-0000-000051350000}"/>
    <cellStyle name="Normal 2 2 2 2 4 15 5 2" xfId="13650" xr:uid="{00000000-0005-0000-0000-000052350000}"/>
    <cellStyle name="Normal 2 2 2 2 4 15 5 3" xfId="13651" xr:uid="{00000000-0005-0000-0000-000053350000}"/>
    <cellStyle name="Normal 2 2 2 2 4 15 5 4" xfId="13652" xr:uid="{00000000-0005-0000-0000-000054350000}"/>
    <cellStyle name="Normal 2 2 2 2 4 15 5 5" xfId="13653" xr:uid="{00000000-0005-0000-0000-000055350000}"/>
    <cellStyle name="Normal 2 2 2 2 4 15 5 6" xfId="13654" xr:uid="{00000000-0005-0000-0000-000056350000}"/>
    <cellStyle name="Normal 2 2 2 2 4 15 5 7" xfId="13655" xr:uid="{00000000-0005-0000-0000-000057350000}"/>
    <cellStyle name="Normal 2 2 2 2 4 15 5 8" xfId="13656" xr:uid="{00000000-0005-0000-0000-000058350000}"/>
    <cellStyle name="Normal 2 2 2 2 4 15 5 9" xfId="13657" xr:uid="{00000000-0005-0000-0000-000059350000}"/>
    <cellStyle name="Normal 2 2 2 2 4 15 6" xfId="13658" xr:uid="{00000000-0005-0000-0000-00005A350000}"/>
    <cellStyle name="Normal 2 2 2 2 4 15 7" xfId="13659" xr:uid="{00000000-0005-0000-0000-00005B350000}"/>
    <cellStyle name="Normal 2 2 2 2 4 15 8" xfId="13660" xr:uid="{00000000-0005-0000-0000-00005C350000}"/>
    <cellStyle name="Normal 2 2 2 2 4 15 9" xfId="13661" xr:uid="{00000000-0005-0000-0000-00005D350000}"/>
    <cellStyle name="Normal 2 2 2 2 4 16" xfId="13662" xr:uid="{00000000-0005-0000-0000-00005E350000}"/>
    <cellStyle name="Normal 2 2 2 2 4 16 10" xfId="13663" xr:uid="{00000000-0005-0000-0000-00005F350000}"/>
    <cellStyle name="Normal 2 2 2 2 4 16 11" xfId="13664" xr:uid="{00000000-0005-0000-0000-000060350000}"/>
    <cellStyle name="Normal 2 2 2 2 4 16 12" xfId="13665" xr:uid="{00000000-0005-0000-0000-000061350000}"/>
    <cellStyle name="Normal 2 2 2 2 4 16 13" xfId="13666" xr:uid="{00000000-0005-0000-0000-000062350000}"/>
    <cellStyle name="Normal 2 2 2 2 4 16 14" xfId="13667" xr:uid="{00000000-0005-0000-0000-000063350000}"/>
    <cellStyle name="Normal 2 2 2 2 4 16 2" xfId="13668" xr:uid="{00000000-0005-0000-0000-000064350000}"/>
    <cellStyle name="Normal 2 2 2 2 4 16 2 10" xfId="13669" xr:uid="{00000000-0005-0000-0000-000065350000}"/>
    <cellStyle name="Normal 2 2 2 2 4 16 2 2" xfId="13670" xr:uid="{00000000-0005-0000-0000-000066350000}"/>
    <cellStyle name="Normal 2 2 2 2 4 16 2 3" xfId="13671" xr:uid="{00000000-0005-0000-0000-000067350000}"/>
    <cellStyle name="Normal 2 2 2 2 4 16 2 4" xfId="13672" xr:uid="{00000000-0005-0000-0000-000068350000}"/>
    <cellStyle name="Normal 2 2 2 2 4 16 2 5" xfId="13673" xr:uid="{00000000-0005-0000-0000-000069350000}"/>
    <cellStyle name="Normal 2 2 2 2 4 16 2 6" xfId="13674" xr:uid="{00000000-0005-0000-0000-00006A350000}"/>
    <cellStyle name="Normal 2 2 2 2 4 16 2 7" xfId="13675" xr:uid="{00000000-0005-0000-0000-00006B350000}"/>
    <cellStyle name="Normal 2 2 2 2 4 16 2 8" xfId="13676" xr:uid="{00000000-0005-0000-0000-00006C350000}"/>
    <cellStyle name="Normal 2 2 2 2 4 16 2 9" xfId="13677" xr:uid="{00000000-0005-0000-0000-00006D350000}"/>
    <cellStyle name="Normal 2 2 2 2 4 16 3" xfId="13678" xr:uid="{00000000-0005-0000-0000-00006E350000}"/>
    <cellStyle name="Normal 2 2 2 2 4 16 3 10" xfId="13679" xr:uid="{00000000-0005-0000-0000-00006F350000}"/>
    <cellStyle name="Normal 2 2 2 2 4 16 3 2" xfId="13680" xr:uid="{00000000-0005-0000-0000-000070350000}"/>
    <cellStyle name="Normal 2 2 2 2 4 16 3 3" xfId="13681" xr:uid="{00000000-0005-0000-0000-000071350000}"/>
    <cellStyle name="Normal 2 2 2 2 4 16 3 4" xfId="13682" xr:uid="{00000000-0005-0000-0000-000072350000}"/>
    <cellStyle name="Normal 2 2 2 2 4 16 3 5" xfId="13683" xr:uid="{00000000-0005-0000-0000-000073350000}"/>
    <cellStyle name="Normal 2 2 2 2 4 16 3 6" xfId="13684" xr:uid="{00000000-0005-0000-0000-000074350000}"/>
    <cellStyle name="Normal 2 2 2 2 4 16 3 7" xfId="13685" xr:uid="{00000000-0005-0000-0000-000075350000}"/>
    <cellStyle name="Normal 2 2 2 2 4 16 3 8" xfId="13686" xr:uid="{00000000-0005-0000-0000-000076350000}"/>
    <cellStyle name="Normal 2 2 2 2 4 16 3 9" xfId="13687" xr:uid="{00000000-0005-0000-0000-000077350000}"/>
    <cellStyle name="Normal 2 2 2 2 4 16 4" xfId="13688" xr:uid="{00000000-0005-0000-0000-000078350000}"/>
    <cellStyle name="Normal 2 2 2 2 4 16 4 10" xfId="13689" xr:uid="{00000000-0005-0000-0000-000079350000}"/>
    <cellStyle name="Normal 2 2 2 2 4 16 4 2" xfId="13690" xr:uid="{00000000-0005-0000-0000-00007A350000}"/>
    <cellStyle name="Normal 2 2 2 2 4 16 4 3" xfId="13691" xr:uid="{00000000-0005-0000-0000-00007B350000}"/>
    <cellStyle name="Normal 2 2 2 2 4 16 4 4" xfId="13692" xr:uid="{00000000-0005-0000-0000-00007C350000}"/>
    <cellStyle name="Normal 2 2 2 2 4 16 4 5" xfId="13693" xr:uid="{00000000-0005-0000-0000-00007D350000}"/>
    <cellStyle name="Normal 2 2 2 2 4 16 4 6" xfId="13694" xr:uid="{00000000-0005-0000-0000-00007E350000}"/>
    <cellStyle name="Normal 2 2 2 2 4 16 4 7" xfId="13695" xr:uid="{00000000-0005-0000-0000-00007F350000}"/>
    <cellStyle name="Normal 2 2 2 2 4 16 4 8" xfId="13696" xr:uid="{00000000-0005-0000-0000-000080350000}"/>
    <cellStyle name="Normal 2 2 2 2 4 16 4 9" xfId="13697" xr:uid="{00000000-0005-0000-0000-000081350000}"/>
    <cellStyle name="Normal 2 2 2 2 4 16 5" xfId="13698" xr:uid="{00000000-0005-0000-0000-000082350000}"/>
    <cellStyle name="Normal 2 2 2 2 4 16 5 10" xfId="13699" xr:uid="{00000000-0005-0000-0000-000083350000}"/>
    <cellStyle name="Normal 2 2 2 2 4 16 5 2" xfId="13700" xr:uid="{00000000-0005-0000-0000-000084350000}"/>
    <cellStyle name="Normal 2 2 2 2 4 16 5 3" xfId="13701" xr:uid="{00000000-0005-0000-0000-000085350000}"/>
    <cellStyle name="Normal 2 2 2 2 4 16 5 4" xfId="13702" xr:uid="{00000000-0005-0000-0000-000086350000}"/>
    <cellStyle name="Normal 2 2 2 2 4 16 5 5" xfId="13703" xr:uid="{00000000-0005-0000-0000-000087350000}"/>
    <cellStyle name="Normal 2 2 2 2 4 16 5 6" xfId="13704" xr:uid="{00000000-0005-0000-0000-000088350000}"/>
    <cellStyle name="Normal 2 2 2 2 4 16 5 7" xfId="13705" xr:uid="{00000000-0005-0000-0000-000089350000}"/>
    <cellStyle name="Normal 2 2 2 2 4 16 5 8" xfId="13706" xr:uid="{00000000-0005-0000-0000-00008A350000}"/>
    <cellStyle name="Normal 2 2 2 2 4 16 5 9" xfId="13707" xr:uid="{00000000-0005-0000-0000-00008B350000}"/>
    <cellStyle name="Normal 2 2 2 2 4 16 6" xfId="13708" xr:uid="{00000000-0005-0000-0000-00008C350000}"/>
    <cellStyle name="Normal 2 2 2 2 4 16 7" xfId="13709" xr:uid="{00000000-0005-0000-0000-00008D350000}"/>
    <cellStyle name="Normal 2 2 2 2 4 16 8" xfId="13710" xr:uid="{00000000-0005-0000-0000-00008E350000}"/>
    <cellStyle name="Normal 2 2 2 2 4 16 9" xfId="13711" xr:uid="{00000000-0005-0000-0000-00008F350000}"/>
    <cellStyle name="Normal 2 2 2 2 4 17" xfId="13712" xr:uid="{00000000-0005-0000-0000-000090350000}"/>
    <cellStyle name="Normal 2 2 2 2 4 17 10" xfId="13713" xr:uid="{00000000-0005-0000-0000-000091350000}"/>
    <cellStyle name="Normal 2 2 2 2 4 17 11" xfId="13714" xr:uid="{00000000-0005-0000-0000-000092350000}"/>
    <cellStyle name="Normal 2 2 2 2 4 17 12" xfId="13715" xr:uid="{00000000-0005-0000-0000-000093350000}"/>
    <cellStyle name="Normal 2 2 2 2 4 17 13" xfId="13716" xr:uid="{00000000-0005-0000-0000-000094350000}"/>
    <cellStyle name="Normal 2 2 2 2 4 17 14" xfId="13717" xr:uid="{00000000-0005-0000-0000-000095350000}"/>
    <cellStyle name="Normal 2 2 2 2 4 17 2" xfId="13718" xr:uid="{00000000-0005-0000-0000-000096350000}"/>
    <cellStyle name="Normal 2 2 2 2 4 17 2 10" xfId="13719" xr:uid="{00000000-0005-0000-0000-000097350000}"/>
    <cellStyle name="Normal 2 2 2 2 4 17 2 2" xfId="13720" xr:uid="{00000000-0005-0000-0000-000098350000}"/>
    <cellStyle name="Normal 2 2 2 2 4 17 2 3" xfId="13721" xr:uid="{00000000-0005-0000-0000-000099350000}"/>
    <cellStyle name="Normal 2 2 2 2 4 17 2 4" xfId="13722" xr:uid="{00000000-0005-0000-0000-00009A350000}"/>
    <cellStyle name="Normal 2 2 2 2 4 17 2 5" xfId="13723" xr:uid="{00000000-0005-0000-0000-00009B350000}"/>
    <cellStyle name="Normal 2 2 2 2 4 17 2 6" xfId="13724" xr:uid="{00000000-0005-0000-0000-00009C350000}"/>
    <cellStyle name="Normal 2 2 2 2 4 17 2 7" xfId="13725" xr:uid="{00000000-0005-0000-0000-00009D350000}"/>
    <cellStyle name="Normal 2 2 2 2 4 17 2 8" xfId="13726" xr:uid="{00000000-0005-0000-0000-00009E350000}"/>
    <cellStyle name="Normal 2 2 2 2 4 17 2 9" xfId="13727" xr:uid="{00000000-0005-0000-0000-00009F350000}"/>
    <cellStyle name="Normal 2 2 2 2 4 17 3" xfId="13728" xr:uid="{00000000-0005-0000-0000-0000A0350000}"/>
    <cellStyle name="Normal 2 2 2 2 4 17 3 10" xfId="13729" xr:uid="{00000000-0005-0000-0000-0000A1350000}"/>
    <cellStyle name="Normal 2 2 2 2 4 17 3 2" xfId="13730" xr:uid="{00000000-0005-0000-0000-0000A2350000}"/>
    <cellStyle name="Normal 2 2 2 2 4 17 3 3" xfId="13731" xr:uid="{00000000-0005-0000-0000-0000A3350000}"/>
    <cellStyle name="Normal 2 2 2 2 4 17 3 4" xfId="13732" xr:uid="{00000000-0005-0000-0000-0000A4350000}"/>
    <cellStyle name="Normal 2 2 2 2 4 17 3 5" xfId="13733" xr:uid="{00000000-0005-0000-0000-0000A5350000}"/>
    <cellStyle name="Normal 2 2 2 2 4 17 3 6" xfId="13734" xr:uid="{00000000-0005-0000-0000-0000A6350000}"/>
    <cellStyle name="Normal 2 2 2 2 4 17 3 7" xfId="13735" xr:uid="{00000000-0005-0000-0000-0000A7350000}"/>
    <cellStyle name="Normal 2 2 2 2 4 17 3 8" xfId="13736" xr:uid="{00000000-0005-0000-0000-0000A8350000}"/>
    <cellStyle name="Normal 2 2 2 2 4 17 3 9" xfId="13737" xr:uid="{00000000-0005-0000-0000-0000A9350000}"/>
    <cellStyle name="Normal 2 2 2 2 4 17 4" xfId="13738" xr:uid="{00000000-0005-0000-0000-0000AA350000}"/>
    <cellStyle name="Normal 2 2 2 2 4 17 4 10" xfId="13739" xr:uid="{00000000-0005-0000-0000-0000AB350000}"/>
    <cellStyle name="Normal 2 2 2 2 4 17 4 2" xfId="13740" xr:uid="{00000000-0005-0000-0000-0000AC350000}"/>
    <cellStyle name="Normal 2 2 2 2 4 17 4 3" xfId="13741" xr:uid="{00000000-0005-0000-0000-0000AD350000}"/>
    <cellStyle name="Normal 2 2 2 2 4 17 4 4" xfId="13742" xr:uid="{00000000-0005-0000-0000-0000AE350000}"/>
    <cellStyle name="Normal 2 2 2 2 4 17 4 5" xfId="13743" xr:uid="{00000000-0005-0000-0000-0000AF350000}"/>
    <cellStyle name="Normal 2 2 2 2 4 17 4 6" xfId="13744" xr:uid="{00000000-0005-0000-0000-0000B0350000}"/>
    <cellStyle name="Normal 2 2 2 2 4 17 4 7" xfId="13745" xr:uid="{00000000-0005-0000-0000-0000B1350000}"/>
    <cellStyle name="Normal 2 2 2 2 4 17 4 8" xfId="13746" xr:uid="{00000000-0005-0000-0000-0000B2350000}"/>
    <cellStyle name="Normal 2 2 2 2 4 17 4 9" xfId="13747" xr:uid="{00000000-0005-0000-0000-0000B3350000}"/>
    <cellStyle name="Normal 2 2 2 2 4 17 5" xfId="13748" xr:uid="{00000000-0005-0000-0000-0000B4350000}"/>
    <cellStyle name="Normal 2 2 2 2 4 17 5 10" xfId="13749" xr:uid="{00000000-0005-0000-0000-0000B5350000}"/>
    <cellStyle name="Normal 2 2 2 2 4 17 5 2" xfId="13750" xr:uid="{00000000-0005-0000-0000-0000B6350000}"/>
    <cellStyle name="Normal 2 2 2 2 4 17 5 3" xfId="13751" xr:uid="{00000000-0005-0000-0000-0000B7350000}"/>
    <cellStyle name="Normal 2 2 2 2 4 17 5 4" xfId="13752" xr:uid="{00000000-0005-0000-0000-0000B8350000}"/>
    <cellStyle name="Normal 2 2 2 2 4 17 5 5" xfId="13753" xr:uid="{00000000-0005-0000-0000-0000B9350000}"/>
    <cellStyle name="Normal 2 2 2 2 4 17 5 6" xfId="13754" xr:uid="{00000000-0005-0000-0000-0000BA350000}"/>
    <cellStyle name="Normal 2 2 2 2 4 17 5 7" xfId="13755" xr:uid="{00000000-0005-0000-0000-0000BB350000}"/>
    <cellStyle name="Normal 2 2 2 2 4 17 5 8" xfId="13756" xr:uid="{00000000-0005-0000-0000-0000BC350000}"/>
    <cellStyle name="Normal 2 2 2 2 4 17 5 9" xfId="13757" xr:uid="{00000000-0005-0000-0000-0000BD350000}"/>
    <cellStyle name="Normal 2 2 2 2 4 17 6" xfId="13758" xr:uid="{00000000-0005-0000-0000-0000BE350000}"/>
    <cellStyle name="Normal 2 2 2 2 4 17 7" xfId="13759" xr:uid="{00000000-0005-0000-0000-0000BF350000}"/>
    <cellStyle name="Normal 2 2 2 2 4 17 8" xfId="13760" xr:uid="{00000000-0005-0000-0000-0000C0350000}"/>
    <cellStyle name="Normal 2 2 2 2 4 17 9" xfId="13761" xr:uid="{00000000-0005-0000-0000-0000C1350000}"/>
    <cellStyle name="Normal 2 2 2 2 4 18" xfId="13762" xr:uid="{00000000-0005-0000-0000-0000C2350000}"/>
    <cellStyle name="Normal 2 2 2 2 4 18 10" xfId="13763" xr:uid="{00000000-0005-0000-0000-0000C3350000}"/>
    <cellStyle name="Normal 2 2 2 2 4 18 11" xfId="13764" xr:uid="{00000000-0005-0000-0000-0000C4350000}"/>
    <cellStyle name="Normal 2 2 2 2 4 18 12" xfId="13765" xr:uid="{00000000-0005-0000-0000-0000C5350000}"/>
    <cellStyle name="Normal 2 2 2 2 4 18 13" xfId="13766" xr:uid="{00000000-0005-0000-0000-0000C6350000}"/>
    <cellStyle name="Normal 2 2 2 2 4 18 14" xfId="13767" xr:uid="{00000000-0005-0000-0000-0000C7350000}"/>
    <cellStyle name="Normal 2 2 2 2 4 18 2" xfId="13768" xr:uid="{00000000-0005-0000-0000-0000C8350000}"/>
    <cellStyle name="Normal 2 2 2 2 4 18 2 10" xfId="13769" xr:uid="{00000000-0005-0000-0000-0000C9350000}"/>
    <cellStyle name="Normal 2 2 2 2 4 18 2 2" xfId="13770" xr:uid="{00000000-0005-0000-0000-0000CA350000}"/>
    <cellStyle name="Normal 2 2 2 2 4 18 2 3" xfId="13771" xr:uid="{00000000-0005-0000-0000-0000CB350000}"/>
    <cellStyle name="Normal 2 2 2 2 4 18 2 4" xfId="13772" xr:uid="{00000000-0005-0000-0000-0000CC350000}"/>
    <cellStyle name="Normal 2 2 2 2 4 18 2 5" xfId="13773" xr:uid="{00000000-0005-0000-0000-0000CD350000}"/>
    <cellStyle name="Normal 2 2 2 2 4 18 2 6" xfId="13774" xr:uid="{00000000-0005-0000-0000-0000CE350000}"/>
    <cellStyle name="Normal 2 2 2 2 4 18 2 7" xfId="13775" xr:uid="{00000000-0005-0000-0000-0000CF350000}"/>
    <cellStyle name="Normal 2 2 2 2 4 18 2 8" xfId="13776" xr:uid="{00000000-0005-0000-0000-0000D0350000}"/>
    <cellStyle name="Normal 2 2 2 2 4 18 2 9" xfId="13777" xr:uid="{00000000-0005-0000-0000-0000D1350000}"/>
    <cellStyle name="Normal 2 2 2 2 4 18 3" xfId="13778" xr:uid="{00000000-0005-0000-0000-0000D2350000}"/>
    <cellStyle name="Normal 2 2 2 2 4 18 3 10" xfId="13779" xr:uid="{00000000-0005-0000-0000-0000D3350000}"/>
    <cellStyle name="Normal 2 2 2 2 4 18 3 2" xfId="13780" xr:uid="{00000000-0005-0000-0000-0000D4350000}"/>
    <cellStyle name="Normal 2 2 2 2 4 18 3 3" xfId="13781" xr:uid="{00000000-0005-0000-0000-0000D5350000}"/>
    <cellStyle name="Normal 2 2 2 2 4 18 3 4" xfId="13782" xr:uid="{00000000-0005-0000-0000-0000D6350000}"/>
    <cellStyle name="Normal 2 2 2 2 4 18 3 5" xfId="13783" xr:uid="{00000000-0005-0000-0000-0000D7350000}"/>
    <cellStyle name="Normal 2 2 2 2 4 18 3 6" xfId="13784" xr:uid="{00000000-0005-0000-0000-0000D8350000}"/>
    <cellStyle name="Normal 2 2 2 2 4 18 3 7" xfId="13785" xr:uid="{00000000-0005-0000-0000-0000D9350000}"/>
    <cellStyle name="Normal 2 2 2 2 4 18 3 8" xfId="13786" xr:uid="{00000000-0005-0000-0000-0000DA350000}"/>
    <cellStyle name="Normal 2 2 2 2 4 18 3 9" xfId="13787" xr:uid="{00000000-0005-0000-0000-0000DB350000}"/>
    <cellStyle name="Normal 2 2 2 2 4 18 4" xfId="13788" xr:uid="{00000000-0005-0000-0000-0000DC350000}"/>
    <cellStyle name="Normal 2 2 2 2 4 18 4 10" xfId="13789" xr:uid="{00000000-0005-0000-0000-0000DD350000}"/>
    <cellStyle name="Normal 2 2 2 2 4 18 4 2" xfId="13790" xr:uid="{00000000-0005-0000-0000-0000DE350000}"/>
    <cellStyle name="Normal 2 2 2 2 4 18 4 3" xfId="13791" xr:uid="{00000000-0005-0000-0000-0000DF350000}"/>
    <cellStyle name="Normal 2 2 2 2 4 18 4 4" xfId="13792" xr:uid="{00000000-0005-0000-0000-0000E0350000}"/>
    <cellStyle name="Normal 2 2 2 2 4 18 4 5" xfId="13793" xr:uid="{00000000-0005-0000-0000-0000E1350000}"/>
    <cellStyle name="Normal 2 2 2 2 4 18 4 6" xfId="13794" xr:uid="{00000000-0005-0000-0000-0000E2350000}"/>
    <cellStyle name="Normal 2 2 2 2 4 18 4 7" xfId="13795" xr:uid="{00000000-0005-0000-0000-0000E3350000}"/>
    <cellStyle name="Normal 2 2 2 2 4 18 4 8" xfId="13796" xr:uid="{00000000-0005-0000-0000-0000E4350000}"/>
    <cellStyle name="Normal 2 2 2 2 4 18 4 9" xfId="13797" xr:uid="{00000000-0005-0000-0000-0000E5350000}"/>
    <cellStyle name="Normal 2 2 2 2 4 18 5" xfId="13798" xr:uid="{00000000-0005-0000-0000-0000E6350000}"/>
    <cellStyle name="Normal 2 2 2 2 4 18 5 10" xfId="13799" xr:uid="{00000000-0005-0000-0000-0000E7350000}"/>
    <cellStyle name="Normal 2 2 2 2 4 18 5 2" xfId="13800" xr:uid="{00000000-0005-0000-0000-0000E8350000}"/>
    <cellStyle name="Normal 2 2 2 2 4 18 5 3" xfId="13801" xr:uid="{00000000-0005-0000-0000-0000E9350000}"/>
    <cellStyle name="Normal 2 2 2 2 4 18 5 4" xfId="13802" xr:uid="{00000000-0005-0000-0000-0000EA350000}"/>
    <cellStyle name="Normal 2 2 2 2 4 18 5 5" xfId="13803" xr:uid="{00000000-0005-0000-0000-0000EB350000}"/>
    <cellStyle name="Normal 2 2 2 2 4 18 5 6" xfId="13804" xr:uid="{00000000-0005-0000-0000-0000EC350000}"/>
    <cellStyle name="Normal 2 2 2 2 4 18 5 7" xfId="13805" xr:uid="{00000000-0005-0000-0000-0000ED350000}"/>
    <cellStyle name="Normal 2 2 2 2 4 18 5 8" xfId="13806" xr:uid="{00000000-0005-0000-0000-0000EE350000}"/>
    <cellStyle name="Normal 2 2 2 2 4 18 5 9" xfId="13807" xr:uid="{00000000-0005-0000-0000-0000EF350000}"/>
    <cellStyle name="Normal 2 2 2 2 4 18 6" xfId="13808" xr:uid="{00000000-0005-0000-0000-0000F0350000}"/>
    <cellStyle name="Normal 2 2 2 2 4 18 7" xfId="13809" xr:uid="{00000000-0005-0000-0000-0000F1350000}"/>
    <cellStyle name="Normal 2 2 2 2 4 18 8" xfId="13810" xr:uid="{00000000-0005-0000-0000-0000F2350000}"/>
    <cellStyle name="Normal 2 2 2 2 4 18 9" xfId="13811" xr:uid="{00000000-0005-0000-0000-0000F3350000}"/>
    <cellStyle name="Normal 2 2 2 2 4 19" xfId="13812" xr:uid="{00000000-0005-0000-0000-0000F4350000}"/>
    <cellStyle name="Normal 2 2 2 2 4 19 10" xfId="13813" xr:uid="{00000000-0005-0000-0000-0000F5350000}"/>
    <cellStyle name="Normal 2 2 2 2 4 19 11" xfId="13814" xr:uid="{00000000-0005-0000-0000-0000F6350000}"/>
    <cellStyle name="Normal 2 2 2 2 4 19 12" xfId="13815" xr:uid="{00000000-0005-0000-0000-0000F7350000}"/>
    <cellStyle name="Normal 2 2 2 2 4 19 13" xfId="13816" xr:uid="{00000000-0005-0000-0000-0000F8350000}"/>
    <cellStyle name="Normal 2 2 2 2 4 19 14" xfId="13817" xr:uid="{00000000-0005-0000-0000-0000F9350000}"/>
    <cellStyle name="Normal 2 2 2 2 4 19 2" xfId="13818" xr:uid="{00000000-0005-0000-0000-0000FA350000}"/>
    <cellStyle name="Normal 2 2 2 2 4 19 2 10" xfId="13819" xr:uid="{00000000-0005-0000-0000-0000FB350000}"/>
    <cellStyle name="Normal 2 2 2 2 4 19 2 2" xfId="13820" xr:uid="{00000000-0005-0000-0000-0000FC350000}"/>
    <cellStyle name="Normal 2 2 2 2 4 19 2 3" xfId="13821" xr:uid="{00000000-0005-0000-0000-0000FD350000}"/>
    <cellStyle name="Normal 2 2 2 2 4 19 2 4" xfId="13822" xr:uid="{00000000-0005-0000-0000-0000FE350000}"/>
    <cellStyle name="Normal 2 2 2 2 4 19 2 5" xfId="13823" xr:uid="{00000000-0005-0000-0000-0000FF350000}"/>
    <cellStyle name="Normal 2 2 2 2 4 19 2 6" xfId="13824" xr:uid="{00000000-0005-0000-0000-000000360000}"/>
    <cellStyle name="Normal 2 2 2 2 4 19 2 7" xfId="13825" xr:uid="{00000000-0005-0000-0000-000001360000}"/>
    <cellStyle name="Normal 2 2 2 2 4 19 2 8" xfId="13826" xr:uid="{00000000-0005-0000-0000-000002360000}"/>
    <cellStyle name="Normal 2 2 2 2 4 19 2 9" xfId="13827" xr:uid="{00000000-0005-0000-0000-000003360000}"/>
    <cellStyle name="Normal 2 2 2 2 4 19 3" xfId="13828" xr:uid="{00000000-0005-0000-0000-000004360000}"/>
    <cellStyle name="Normal 2 2 2 2 4 19 3 10" xfId="13829" xr:uid="{00000000-0005-0000-0000-000005360000}"/>
    <cellStyle name="Normal 2 2 2 2 4 19 3 2" xfId="13830" xr:uid="{00000000-0005-0000-0000-000006360000}"/>
    <cellStyle name="Normal 2 2 2 2 4 19 3 3" xfId="13831" xr:uid="{00000000-0005-0000-0000-000007360000}"/>
    <cellStyle name="Normal 2 2 2 2 4 19 3 4" xfId="13832" xr:uid="{00000000-0005-0000-0000-000008360000}"/>
    <cellStyle name="Normal 2 2 2 2 4 19 3 5" xfId="13833" xr:uid="{00000000-0005-0000-0000-000009360000}"/>
    <cellStyle name="Normal 2 2 2 2 4 19 3 6" xfId="13834" xr:uid="{00000000-0005-0000-0000-00000A360000}"/>
    <cellStyle name="Normal 2 2 2 2 4 19 3 7" xfId="13835" xr:uid="{00000000-0005-0000-0000-00000B360000}"/>
    <cellStyle name="Normal 2 2 2 2 4 19 3 8" xfId="13836" xr:uid="{00000000-0005-0000-0000-00000C360000}"/>
    <cellStyle name="Normal 2 2 2 2 4 19 3 9" xfId="13837" xr:uid="{00000000-0005-0000-0000-00000D360000}"/>
    <cellStyle name="Normal 2 2 2 2 4 19 4" xfId="13838" xr:uid="{00000000-0005-0000-0000-00000E360000}"/>
    <cellStyle name="Normal 2 2 2 2 4 19 4 10" xfId="13839" xr:uid="{00000000-0005-0000-0000-00000F360000}"/>
    <cellStyle name="Normal 2 2 2 2 4 19 4 2" xfId="13840" xr:uid="{00000000-0005-0000-0000-000010360000}"/>
    <cellStyle name="Normal 2 2 2 2 4 19 4 3" xfId="13841" xr:uid="{00000000-0005-0000-0000-000011360000}"/>
    <cellStyle name="Normal 2 2 2 2 4 19 4 4" xfId="13842" xr:uid="{00000000-0005-0000-0000-000012360000}"/>
    <cellStyle name="Normal 2 2 2 2 4 19 4 5" xfId="13843" xr:uid="{00000000-0005-0000-0000-000013360000}"/>
    <cellStyle name="Normal 2 2 2 2 4 19 4 6" xfId="13844" xr:uid="{00000000-0005-0000-0000-000014360000}"/>
    <cellStyle name="Normal 2 2 2 2 4 19 4 7" xfId="13845" xr:uid="{00000000-0005-0000-0000-000015360000}"/>
    <cellStyle name="Normal 2 2 2 2 4 19 4 8" xfId="13846" xr:uid="{00000000-0005-0000-0000-000016360000}"/>
    <cellStyle name="Normal 2 2 2 2 4 19 4 9" xfId="13847" xr:uid="{00000000-0005-0000-0000-000017360000}"/>
    <cellStyle name="Normal 2 2 2 2 4 19 5" xfId="13848" xr:uid="{00000000-0005-0000-0000-000018360000}"/>
    <cellStyle name="Normal 2 2 2 2 4 19 5 10" xfId="13849" xr:uid="{00000000-0005-0000-0000-000019360000}"/>
    <cellStyle name="Normal 2 2 2 2 4 19 5 2" xfId="13850" xr:uid="{00000000-0005-0000-0000-00001A360000}"/>
    <cellStyle name="Normal 2 2 2 2 4 19 5 3" xfId="13851" xr:uid="{00000000-0005-0000-0000-00001B360000}"/>
    <cellStyle name="Normal 2 2 2 2 4 19 5 4" xfId="13852" xr:uid="{00000000-0005-0000-0000-00001C360000}"/>
    <cellStyle name="Normal 2 2 2 2 4 19 5 5" xfId="13853" xr:uid="{00000000-0005-0000-0000-00001D360000}"/>
    <cellStyle name="Normal 2 2 2 2 4 19 5 6" xfId="13854" xr:uid="{00000000-0005-0000-0000-00001E360000}"/>
    <cellStyle name="Normal 2 2 2 2 4 19 5 7" xfId="13855" xr:uid="{00000000-0005-0000-0000-00001F360000}"/>
    <cellStyle name="Normal 2 2 2 2 4 19 5 8" xfId="13856" xr:uid="{00000000-0005-0000-0000-000020360000}"/>
    <cellStyle name="Normal 2 2 2 2 4 19 5 9" xfId="13857" xr:uid="{00000000-0005-0000-0000-000021360000}"/>
    <cellStyle name="Normal 2 2 2 2 4 19 6" xfId="13858" xr:uid="{00000000-0005-0000-0000-000022360000}"/>
    <cellStyle name="Normal 2 2 2 2 4 19 7" xfId="13859" xr:uid="{00000000-0005-0000-0000-000023360000}"/>
    <cellStyle name="Normal 2 2 2 2 4 19 8" xfId="13860" xr:uid="{00000000-0005-0000-0000-000024360000}"/>
    <cellStyle name="Normal 2 2 2 2 4 19 9" xfId="13861" xr:uid="{00000000-0005-0000-0000-000025360000}"/>
    <cellStyle name="Normal 2 2 2 2 4 2" xfId="13862" xr:uid="{00000000-0005-0000-0000-000026360000}"/>
    <cellStyle name="Normal 2 2 2 2 4 2 10" xfId="13863" xr:uid="{00000000-0005-0000-0000-000027360000}"/>
    <cellStyle name="Normal 2 2 2 2 4 2 11" xfId="13864" xr:uid="{00000000-0005-0000-0000-000028360000}"/>
    <cellStyle name="Normal 2 2 2 2 4 2 12" xfId="13865" xr:uid="{00000000-0005-0000-0000-000029360000}"/>
    <cellStyle name="Normal 2 2 2 2 4 2 13" xfId="13866" xr:uid="{00000000-0005-0000-0000-00002A360000}"/>
    <cellStyle name="Normal 2 2 2 2 4 2 14" xfId="13867" xr:uid="{00000000-0005-0000-0000-00002B360000}"/>
    <cellStyle name="Normal 2 2 2 2 4 2 15" xfId="13868" xr:uid="{00000000-0005-0000-0000-00002C360000}"/>
    <cellStyle name="Normal 2 2 2 2 4 2 16" xfId="13869" xr:uid="{00000000-0005-0000-0000-00002D360000}"/>
    <cellStyle name="Normal 2 2 2 2 4 2 17" xfId="13870" xr:uid="{00000000-0005-0000-0000-00002E360000}"/>
    <cellStyle name="Normal 2 2 2 2 4 2 18" xfId="13871" xr:uid="{00000000-0005-0000-0000-00002F360000}"/>
    <cellStyle name="Normal 2 2 2 2 4 2 19" xfId="13872" xr:uid="{00000000-0005-0000-0000-000030360000}"/>
    <cellStyle name="Normal 2 2 2 2 4 2 2" xfId="13873" xr:uid="{00000000-0005-0000-0000-000031360000}"/>
    <cellStyle name="Normal 2 2 2 2 4 2 2 10" xfId="13874" xr:uid="{00000000-0005-0000-0000-000032360000}"/>
    <cellStyle name="Normal 2 2 2 2 4 2 2 10 10" xfId="13875" xr:uid="{00000000-0005-0000-0000-000033360000}"/>
    <cellStyle name="Normal 2 2 2 2 4 2 2 10 11" xfId="13876" xr:uid="{00000000-0005-0000-0000-000034360000}"/>
    <cellStyle name="Normal 2 2 2 2 4 2 2 10 12" xfId="13877" xr:uid="{00000000-0005-0000-0000-000035360000}"/>
    <cellStyle name="Normal 2 2 2 2 4 2 2 10 13" xfId="13878" xr:uid="{00000000-0005-0000-0000-000036360000}"/>
    <cellStyle name="Normal 2 2 2 2 4 2 2 10 14" xfId="13879" xr:uid="{00000000-0005-0000-0000-000037360000}"/>
    <cellStyle name="Normal 2 2 2 2 4 2 2 10 2" xfId="13880" xr:uid="{00000000-0005-0000-0000-000038360000}"/>
    <cellStyle name="Normal 2 2 2 2 4 2 2 10 2 10" xfId="13881" xr:uid="{00000000-0005-0000-0000-000039360000}"/>
    <cellStyle name="Normal 2 2 2 2 4 2 2 10 2 2" xfId="13882" xr:uid="{00000000-0005-0000-0000-00003A360000}"/>
    <cellStyle name="Normal 2 2 2 2 4 2 2 10 2 3" xfId="13883" xr:uid="{00000000-0005-0000-0000-00003B360000}"/>
    <cellStyle name="Normal 2 2 2 2 4 2 2 10 2 4" xfId="13884" xr:uid="{00000000-0005-0000-0000-00003C360000}"/>
    <cellStyle name="Normal 2 2 2 2 4 2 2 10 2 5" xfId="13885" xr:uid="{00000000-0005-0000-0000-00003D360000}"/>
    <cellStyle name="Normal 2 2 2 2 4 2 2 10 2 6" xfId="13886" xr:uid="{00000000-0005-0000-0000-00003E360000}"/>
    <cellStyle name="Normal 2 2 2 2 4 2 2 10 2 7" xfId="13887" xr:uid="{00000000-0005-0000-0000-00003F360000}"/>
    <cellStyle name="Normal 2 2 2 2 4 2 2 10 2 8" xfId="13888" xr:uid="{00000000-0005-0000-0000-000040360000}"/>
    <cellStyle name="Normal 2 2 2 2 4 2 2 10 2 9" xfId="13889" xr:uid="{00000000-0005-0000-0000-000041360000}"/>
    <cellStyle name="Normal 2 2 2 2 4 2 2 10 3" xfId="13890" xr:uid="{00000000-0005-0000-0000-000042360000}"/>
    <cellStyle name="Normal 2 2 2 2 4 2 2 10 3 10" xfId="13891" xr:uid="{00000000-0005-0000-0000-000043360000}"/>
    <cellStyle name="Normal 2 2 2 2 4 2 2 10 3 2" xfId="13892" xr:uid="{00000000-0005-0000-0000-000044360000}"/>
    <cellStyle name="Normal 2 2 2 2 4 2 2 10 3 3" xfId="13893" xr:uid="{00000000-0005-0000-0000-000045360000}"/>
    <cellStyle name="Normal 2 2 2 2 4 2 2 10 3 4" xfId="13894" xr:uid="{00000000-0005-0000-0000-000046360000}"/>
    <cellStyle name="Normal 2 2 2 2 4 2 2 10 3 5" xfId="13895" xr:uid="{00000000-0005-0000-0000-000047360000}"/>
    <cellStyle name="Normal 2 2 2 2 4 2 2 10 3 6" xfId="13896" xr:uid="{00000000-0005-0000-0000-000048360000}"/>
    <cellStyle name="Normal 2 2 2 2 4 2 2 10 3 7" xfId="13897" xr:uid="{00000000-0005-0000-0000-000049360000}"/>
    <cellStyle name="Normal 2 2 2 2 4 2 2 10 3 8" xfId="13898" xr:uid="{00000000-0005-0000-0000-00004A360000}"/>
    <cellStyle name="Normal 2 2 2 2 4 2 2 10 3 9" xfId="13899" xr:uid="{00000000-0005-0000-0000-00004B360000}"/>
    <cellStyle name="Normal 2 2 2 2 4 2 2 10 4" xfId="13900" xr:uid="{00000000-0005-0000-0000-00004C360000}"/>
    <cellStyle name="Normal 2 2 2 2 4 2 2 10 4 10" xfId="13901" xr:uid="{00000000-0005-0000-0000-00004D360000}"/>
    <cellStyle name="Normal 2 2 2 2 4 2 2 10 4 2" xfId="13902" xr:uid="{00000000-0005-0000-0000-00004E360000}"/>
    <cellStyle name="Normal 2 2 2 2 4 2 2 10 4 3" xfId="13903" xr:uid="{00000000-0005-0000-0000-00004F360000}"/>
    <cellStyle name="Normal 2 2 2 2 4 2 2 10 4 4" xfId="13904" xr:uid="{00000000-0005-0000-0000-000050360000}"/>
    <cellStyle name="Normal 2 2 2 2 4 2 2 10 4 5" xfId="13905" xr:uid="{00000000-0005-0000-0000-000051360000}"/>
    <cellStyle name="Normal 2 2 2 2 4 2 2 10 4 6" xfId="13906" xr:uid="{00000000-0005-0000-0000-000052360000}"/>
    <cellStyle name="Normal 2 2 2 2 4 2 2 10 4 7" xfId="13907" xr:uid="{00000000-0005-0000-0000-000053360000}"/>
    <cellStyle name="Normal 2 2 2 2 4 2 2 10 4 8" xfId="13908" xr:uid="{00000000-0005-0000-0000-000054360000}"/>
    <cellStyle name="Normal 2 2 2 2 4 2 2 10 4 9" xfId="13909" xr:uid="{00000000-0005-0000-0000-000055360000}"/>
    <cellStyle name="Normal 2 2 2 2 4 2 2 10 5" xfId="13910" xr:uid="{00000000-0005-0000-0000-000056360000}"/>
    <cellStyle name="Normal 2 2 2 2 4 2 2 10 5 10" xfId="13911" xr:uid="{00000000-0005-0000-0000-000057360000}"/>
    <cellStyle name="Normal 2 2 2 2 4 2 2 10 5 2" xfId="13912" xr:uid="{00000000-0005-0000-0000-000058360000}"/>
    <cellStyle name="Normal 2 2 2 2 4 2 2 10 5 3" xfId="13913" xr:uid="{00000000-0005-0000-0000-000059360000}"/>
    <cellStyle name="Normal 2 2 2 2 4 2 2 10 5 4" xfId="13914" xr:uid="{00000000-0005-0000-0000-00005A360000}"/>
    <cellStyle name="Normal 2 2 2 2 4 2 2 10 5 5" xfId="13915" xr:uid="{00000000-0005-0000-0000-00005B360000}"/>
    <cellStyle name="Normal 2 2 2 2 4 2 2 10 5 6" xfId="13916" xr:uid="{00000000-0005-0000-0000-00005C360000}"/>
    <cellStyle name="Normal 2 2 2 2 4 2 2 10 5 7" xfId="13917" xr:uid="{00000000-0005-0000-0000-00005D360000}"/>
    <cellStyle name="Normal 2 2 2 2 4 2 2 10 5 8" xfId="13918" xr:uid="{00000000-0005-0000-0000-00005E360000}"/>
    <cellStyle name="Normal 2 2 2 2 4 2 2 10 5 9" xfId="13919" xr:uid="{00000000-0005-0000-0000-00005F360000}"/>
    <cellStyle name="Normal 2 2 2 2 4 2 2 10 6" xfId="13920" xr:uid="{00000000-0005-0000-0000-000060360000}"/>
    <cellStyle name="Normal 2 2 2 2 4 2 2 10 7" xfId="13921" xr:uid="{00000000-0005-0000-0000-000061360000}"/>
    <cellStyle name="Normal 2 2 2 2 4 2 2 10 8" xfId="13922" xr:uid="{00000000-0005-0000-0000-000062360000}"/>
    <cellStyle name="Normal 2 2 2 2 4 2 2 10 9" xfId="13923" xr:uid="{00000000-0005-0000-0000-000063360000}"/>
    <cellStyle name="Normal 2 2 2 2 4 2 2 11" xfId="13924" xr:uid="{00000000-0005-0000-0000-000064360000}"/>
    <cellStyle name="Normal 2 2 2 2 4 2 2 11 10" xfId="13925" xr:uid="{00000000-0005-0000-0000-000065360000}"/>
    <cellStyle name="Normal 2 2 2 2 4 2 2 11 11" xfId="13926" xr:uid="{00000000-0005-0000-0000-000066360000}"/>
    <cellStyle name="Normal 2 2 2 2 4 2 2 11 12" xfId="13927" xr:uid="{00000000-0005-0000-0000-000067360000}"/>
    <cellStyle name="Normal 2 2 2 2 4 2 2 11 13" xfId="13928" xr:uid="{00000000-0005-0000-0000-000068360000}"/>
    <cellStyle name="Normal 2 2 2 2 4 2 2 11 14" xfId="13929" xr:uid="{00000000-0005-0000-0000-000069360000}"/>
    <cellStyle name="Normal 2 2 2 2 4 2 2 11 2" xfId="13930" xr:uid="{00000000-0005-0000-0000-00006A360000}"/>
    <cellStyle name="Normal 2 2 2 2 4 2 2 11 2 10" xfId="13931" xr:uid="{00000000-0005-0000-0000-00006B360000}"/>
    <cellStyle name="Normal 2 2 2 2 4 2 2 11 2 2" xfId="13932" xr:uid="{00000000-0005-0000-0000-00006C360000}"/>
    <cellStyle name="Normal 2 2 2 2 4 2 2 11 2 3" xfId="13933" xr:uid="{00000000-0005-0000-0000-00006D360000}"/>
    <cellStyle name="Normal 2 2 2 2 4 2 2 11 2 4" xfId="13934" xr:uid="{00000000-0005-0000-0000-00006E360000}"/>
    <cellStyle name="Normal 2 2 2 2 4 2 2 11 2 5" xfId="13935" xr:uid="{00000000-0005-0000-0000-00006F360000}"/>
    <cellStyle name="Normal 2 2 2 2 4 2 2 11 2 6" xfId="13936" xr:uid="{00000000-0005-0000-0000-000070360000}"/>
    <cellStyle name="Normal 2 2 2 2 4 2 2 11 2 7" xfId="13937" xr:uid="{00000000-0005-0000-0000-000071360000}"/>
    <cellStyle name="Normal 2 2 2 2 4 2 2 11 2 8" xfId="13938" xr:uid="{00000000-0005-0000-0000-000072360000}"/>
    <cellStyle name="Normal 2 2 2 2 4 2 2 11 2 9" xfId="13939" xr:uid="{00000000-0005-0000-0000-000073360000}"/>
    <cellStyle name="Normal 2 2 2 2 4 2 2 11 3" xfId="13940" xr:uid="{00000000-0005-0000-0000-000074360000}"/>
    <cellStyle name="Normal 2 2 2 2 4 2 2 11 3 10" xfId="13941" xr:uid="{00000000-0005-0000-0000-000075360000}"/>
    <cellStyle name="Normal 2 2 2 2 4 2 2 11 3 2" xfId="13942" xr:uid="{00000000-0005-0000-0000-000076360000}"/>
    <cellStyle name="Normal 2 2 2 2 4 2 2 11 3 3" xfId="13943" xr:uid="{00000000-0005-0000-0000-000077360000}"/>
    <cellStyle name="Normal 2 2 2 2 4 2 2 11 3 4" xfId="13944" xr:uid="{00000000-0005-0000-0000-000078360000}"/>
    <cellStyle name="Normal 2 2 2 2 4 2 2 11 3 5" xfId="13945" xr:uid="{00000000-0005-0000-0000-000079360000}"/>
    <cellStyle name="Normal 2 2 2 2 4 2 2 11 3 6" xfId="13946" xr:uid="{00000000-0005-0000-0000-00007A360000}"/>
    <cellStyle name="Normal 2 2 2 2 4 2 2 11 3 7" xfId="13947" xr:uid="{00000000-0005-0000-0000-00007B360000}"/>
    <cellStyle name="Normal 2 2 2 2 4 2 2 11 3 8" xfId="13948" xr:uid="{00000000-0005-0000-0000-00007C360000}"/>
    <cellStyle name="Normal 2 2 2 2 4 2 2 11 3 9" xfId="13949" xr:uid="{00000000-0005-0000-0000-00007D360000}"/>
    <cellStyle name="Normal 2 2 2 2 4 2 2 11 4" xfId="13950" xr:uid="{00000000-0005-0000-0000-00007E360000}"/>
    <cellStyle name="Normal 2 2 2 2 4 2 2 11 4 10" xfId="13951" xr:uid="{00000000-0005-0000-0000-00007F360000}"/>
    <cellStyle name="Normal 2 2 2 2 4 2 2 11 4 2" xfId="13952" xr:uid="{00000000-0005-0000-0000-000080360000}"/>
    <cellStyle name="Normal 2 2 2 2 4 2 2 11 4 3" xfId="13953" xr:uid="{00000000-0005-0000-0000-000081360000}"/>
    <cellStyle name="Normal 2 2 2 2 4 2 2 11 4 4" xfId="13954" xr:uid="{00000000-0005-0000-0000-000082360000}"/>
    <cellStyle name="Normal 2 2 2 2 4 2 2 11 4 5" xfId="13955" xr:uid="{00000000-0005-0000-0000-000083360000}"/>
    <cellStyle name="Normal 2 2 2 2 4 2 2 11 4 6" xfId="13956" xr:uid="{00000000-0005-0000-0000-000084360000}"/>
    <cellStyle name="Normal 2 2 2 2 4 2 2 11 4 7" xfId="13957" xr:uid="{00000000-0005-0000-0000-000085360000}"/>
    <cellStyle name="Normal 2 2 2 2 4 2 2 11 4 8" xfId="13958" xr:uid="{00000000-0005-0000-0000-000086360000}"/>
    <cellStyle name="Normal 2 2 2 2 4 2 2 11 4 9" xfId="13959" xr:uid="{00000000-0005-0000-0000-000087360000}"/>
    <cellStyle name="Normal 2 2 2 2 4 2 2 11 5" xfId="13960" xr:uid="{00000000-0005-0000-0000-000088360000}"/>
    <cellStyle name="Normal 2 2 2 2 4 2 2 11 5 10" xfId="13961" xr:uid="{00000000-0005-0000-0000-000089360000}"/>
    <cellStyle name="Normal 2 2 2 2 4 2 2 11 5 2" xfId="13962" xr:uid="{00000000-0005-0000-0000-00008A360000}"/>
    <cellStyle name="Normal 2 2 2 2 4 2 2 11 5 3" xfId="13963" xr:uid="{00000000-0005-0000-0000-00008B360000}"/>
    <cellStyle name="Normal 2 2 2 2 4 2 2 11 5 4" xfId="13964" xr:uid="{00000000-0005-0000-0000-00008C360000}"/>
    <cellStyle name="Normal 2 2 2 2 4 2 2 11 5 5" xfId="13965" xr:uid="{00000000-0005-0000-0000-00008D360000}"/>
    <cellStyle name="Normal 2 2 2 2 4 2 2 11 5 6" xfId="13966" xr:uid="{00000000-0005-0000-0000-00008E360000}"/>
    <cellStyle name="Normal 2 2 2 2 4 2 2 11 5 7" xfId="13967" xr:uid="{00000000-0005-0000-0000-00008F360000}"/>
    <cellStyle name="Normal 2 2 2 2 4 2 2 11 5 8" xfId="13968" xr:uid="{00000000-0005-0000-0000-000090360000}"/>
    <cellStyle name="Normal 2 2 2 2 4 2 2 11 5 9" xfId="13969" xr:uid="{00000000-0005-0000-0000-000091360000}"/>
    <cellStyle name="Normal 2 2 2 2 4 2 2 11 6" xfId="13970" xr:uid="{00000000-0005-0000-0000-000092360000}"/>
    <cellStyle name="Normal 2 2 2 2 4 2 2 11 7" xfId="13971" xr:uid="{00000000-0005-0000-0000-000093360000}"/>
    <cellStyle name="Normal 2 2 2 2 4 2 2 11 8" xfId="13972" xr:uid="{00000000-0005-0000-0000-000094360000}"/>
    <cellStyle name="Normal 2 2 2 2 4 2 2 11 9" xfId="13973" xr:uid="{00000000-0005-0000-0000-000095360000}"/>
    <cellStyle name="Normal 2 2 2 2 4 2 2 12" xfId="13974" xr:uid="{00000000-0005-0000-0000-000096360000}"/>
    <cellStyle name="Normal 2 2 2 2 4 2 2 12 10" xfId="13975" xr:uid="{00000000-0005-0000-0000-000097360000}"/>
    <cellStyle name="Normal 2 2 2 2 4 2 2 12 11" xfId="13976" xr:uid="{00000000-0005-0000-0000-000098360000}"/>
    <cellStyle name="Normal 2 2 2 2 4 2 2 12 12" xfId="13977" xr:uid="{00000000-0005-0000-0000-000099360000}"/>
    <cellStyle name="Normal 2 2 2 2 4 2 2 12 13" xfId="13978" xr:uid="{00000000-0005-0000-0000-00009A360000}"/>
    <cellStyle name="Normal 2 2 2 2 4 2 2 12 14" xfId="13979" xr:uid="{00000000-0005-0000-0000-00009B360000}"/>
    <cellStyle name="Normal 2 2 2 2 4 2 2 12 2" xfId="13980" xr:uid="{00000000-0005-0000-0000-00009C360000}"/>
    <cellStyle name="Normal 2 2 2 2 4 2 2 12 2 10" xfId="13981" xr:uid="{00000000-0005-0000-0000-00009D360000}"/>
    <cellStyle name="Normal 2 2 2 2 4 2 2 12 2 2" xfId="13982" xr:uid="{00000000-0005-0000-0000-00009E360000}"/>
    <cellStyle name="Normal 2 2 2 2 4 2 2 12 2 3" xfId="13983" xr:uid="{00000000-0005-0000-0000-00009F360000}"/>
    <cellStyle name="Normal 2 2 2 2 4 2 2 12 2 4" xfId="13984" xr:uid="{00000000-0005-0000-0000-0000A0360000}"/>
    <cellStyle name="Normal 2 2 2 2 4 2 2 12 2 5" xfId="13985" xr:uid="{00000000-0005-0000-0000-0000A1360000}"/>
    <cellStyle name="Normal 2 2 2 2 4 2 2 12 2 6" xfId="13986" xr:uid="{00000000-0005-0000-0000-0000A2360000}"/>
    <cellStyle name="Normal 2 2 2 2 4 2 2 12 2 7" xfId="13987" xr:uid="{00000000-0005-0000-0000-0000A3360000}"/>
    <cellStyle name="Normal 2 2 2 2 4 2 2 12 2 8" xfId="13988" xr:uid="{00000000-0005-0000-0000-0000A4360000}"/>
    <cellStyle name="Normal 2 2 2 2 4 2 2 12 2 9" xfId="13989" xr:uid="{00000000-0005-0000-0000-0000A5360000}"/>
    <cellStyle name="Normal 2 2 2 2 4 2 2 12 3" xfId="13990" xr:uid="{00000000-0005-0000-0000-0000A6360000}"/>
    <cellStyle name="Normal 2 2 2 2 4 2 2 12 3 10" xfId="13991" xr:uid="{00000000-0005-0000-0000-0000A7360000}"/>
    <cellStyle name="Normal 2 2 2 2 4 2 2 12 3 2" xfId="13992" xr:uid="{00000000-0005-0000-0000-0000A8360000}"/>
    <cellStyle name="Normal 2 2 2 2 4 2 2 12 3 3" xfId="13993" xr:uid="{00000000-0005-0000-0000-0000A9360000}"/>
    <cellStyle name="Normal 2 2 2 2 4 2 2 12 3 4" xfId="13994" xr:uid="{00000000-0005-0000-0000-0000AA360000}"/>
    <cellStyle name="Normal 2 2 2 2 4 2 2 12 3 5" xfId="13995" xr:uid="{00000000-0005-0000-0000-0000AB360000}"/>
    <cellStyle name="Normal 2 2 2 2 4 2 2 12 3 6" xfId="13996" xr:uid="{00000000-0005-0000-0000-0000AC360000}"/>
    <cellStyle name="Normal 2 2 2 2 4 2 2 12 3 7" xfId="13997" xr:uid="{00000000-0005-0000-0000-0000AD360000}"/>
    <cellStyle name="Normal 2 2 2 2 4 2 2 12 3 8" xfId="13998" xr:uid="{00000000-0005-0000-0000-0000AE360000}"/>
    <cellStyle name="Normal 2 2 2 2 4 2 2 12 3 9" xfId="13999" xr:uid="{00000000-0005-0000-0000-0000AF360000}"/>
    <cellStyle name="Normal 2 2 2 2 4 2 2 12 4" xfId="14000" xr:uid="{00000000-0005-0000-0000-0000B0360000}"/>
    <cellStyle name="Normal 2 2 2 2 4 2 2 12 4 10" xfId="14001" xr:uid="{00000000-0005-0000-0000-0000B1360000}"/>
    <cellStyle name="Normal 2 2 2 2 4 2 2 12 4 2" xfId="14002" xr:uid="{00000000-0005-0000-0000-0000B2360000}"/>
    <cellStyle name="Normal 2 2 2 2 4 2 2 12 4 3" xfId="14003" xr:uid="{00000000-0005-0000-0000-0000B3360000}"/>
    <cellStyle name="Normal 2 2 2 2 4 2 2 12 4 4" xfId="14004" xr:uid="{00000000-0005-0000-0000-0000B4360000}"/>
    <cellStyle name="Normal 2 2 2 2 4 2 2 12 4 5" xfId="14005" xr:uid="{00000000-0005-0000-0000-0000B5360000}"/>
    <cellStyle name="Normal 2 2 2 2 4 2 2 12 4 6" xfId="14006" xr:uid="{00000000-0005-0000-0000-0000B6360000}"/>
    <cellStyle name="Normal 2 2 2 2 4 2 2 12 4 7" xfId="14007" xr:uid="{00000000-0005-0000-0000-0000B7360000}"/>
    <cellStyle name="Normal 2 2 2 2 4 2 2 12 4 8" xfId="14008" xr:uid="{00000000-0005-0000-0000-0000B8360000}"/>
    <cellStyle name="Normal 2 2 2 2 4 2 2 12 4 9" xfId="14009" xr:uid="{00000000-0005-0000-0000-0000B9360000}"/>
    <cellStyle name="Normal 2 2 2 2 4 2 2 12 5" xfId="14010" xr:uid="{00000000-0005-0000-0000-0000BA360000}"/>
    <cellStyle name="Normal 2 2 2 2 4 2 2 12 5 10" xfId="14011" xr:uid="{00000000-0005-0000-0000-0000BB360000}"/>
    <cellStyle name="Normal 2 2 2 2 4 2 2 12 5 2" xfId="14012" xr:uid="{00000000-0005-0000-0000-0000BC360000}"/>
    <cellStyle name="Normal 2 2 2 2 4 2 2 12 5 3" xfId="14013" xr:uid="{00000000-0005-0000-0000-0000BD360000}"/>
    <cellStyle name="Normal 2 2 2 2 4 2 2 12 5 4" xfId="14014" xr:uid="{00000000-0005-0000-0000-0000BE360000}"/>
    <cellStyle name="Normal 2 2 2 2 4 2 2 12 5 5" xfId="14015" xr:uid="{00000000-0005-0000-0000-0000BF360000}"/>
    <cellStyle name="Normal 2 2 2 2 4 2 2 12 5 6" xfId="14016" xr:uid="{00000000-0005-0000-0000-0000C0360000}"/>
    <cellStyle name="Normal 2 2 2 2 4 2 2 12 5 7" xfId="14017" xr:uid="{00000000-0005-0000-0000-0000C1360000}"/>
    <cellStyle name="Normal 2 2 2 2 4 2 2 12 5 8" xfId="14018" xr:uid="{00000000-0005-0000-0000-0000C2360000}"/>
    <cellStyle name="Normal 2 2 2 2 4 2 2 12 5 9" xfId="14019" xr:uid="{00000000-0005-0000-0000-0000C3360000}"/>
    <cellStyle name="Normal 2 2 2 2 4 2 2 12 6" xfId="14020" xr:uid="{00000000-0005-0000-0000-0000C4360000}"/>
    <cellStyle name="Normal 2 2 2 2 4 2 2 12 7" xfId="14021" xr:uid="{00000000-0005-0000-0000-0000C5360000}"/>
    <cellStyle name="Normal 2 2 2 2 4 2 2 12 8" xfId="14022" xr:uid="{00000000-0005-0000-0000-0000C6360000}"/>
    <cellStyle name="Normal 2 2 2 2 4 2 2 12 9" xfId="14023" xr:uid="{00000000-0005-0000-0000-0000C7360000}"/>
    <cellStyle name="Normal 2 2 2 2 4 2 2 13" xfId="14024" xr:uid="{00000000-0005-0000-0000-0000C8360000}"/>
    <cellStyle name="Normal 2 2 2 2 4 2 2 13 10" xfId="14025" xr:uid="{00000000-0005-0000-0000-0000C9360000}"/>
    <cellStyle name="Normal 2 2 2 2 4 2 2 13 11" xfId="14026" xr:uid="{00000000-0005-0000-0000-0000CA360000}"/>
    <cellStyle name="Normal 2 2 2 2 4 2 2 13 12" xfId="14027" xr:uid="{00000000-0005-0000-0000-0000CB360000}"/>
    <cellStyle name="Normal 2 2 2 2 4 2 2 13 13" xfId="14028" xr:uid="{00000000-0005-0000-0000-0000CC360000}"/>
    <cellStyle name="Normal 2 2 2 2 4 2 2 13 14" xfId="14029" xr:uid="{00000000-0005-0000-0000-0000CD360000}"/>
    <cellStyle name="Normal 2 2 2 2 4 2 2 13 2" xfId="14030" xr:uid="{00000000-0005-0000-0000-0000CE360000}"/>
    <cellStyle name="Normal 2 2 2 2 4 2 2 13 2 10" xfId="14031" xr:uid="{00000000-0005-0000-0000-0000CF360000}"/>
    <cellStyle name="Normal 2 2 2 2 4 2 2 13 2 2" xfId="14032" xr:uid="{00000000-0005-0000-0000-0000D0360000}"/>
    <cellStyle name="Normal 2 2 2 2 4 2 2 13 2 3" xfId="14033" xr:uid="{00000000-0005-0000-0000-0000D1360000}"/>
    <cellStyle name="Normal 2 2 2 2 4 2 2 13 2 4" xfId="14034" xr:uid="{00000000-0005-0000-0000-0000D2360000}"/>
    <cellStyle name="Normal 2 2 2 2 4 2 2 13 2 5" xfId="14035" xr:uid="{00000000-0005-0000-0000-0000D3360000}"/>
    <cellStyle name="Normal 2 2 2 2 4 2 2 13 2 6" xfId="14036" xr:uid="{00000000-0005-0000-0000-0000D4360000}"/>
    <cellStyle name="Normal 2 2 2 2 4 2 2 13 2 7" xfId="14037" xr:uid="{00000000-0005-0000-0000-0000D5360000}"/>
    <cellStyle name="Normal 2 2 2 2 4 2 2 13 2 8" xfId="14038" xr:uid="{00000000-0005-0000-0000-0000D6360000}"/>
    <cellStyle name="Normal 2 2 2 2 4 2 2 13 2 9" xfId="14039" xr:uid="{00000000-0005-0000-0000-0000D7360000}"/>
    <cellStyle name="Normal 2 2 2 2 4 2 2 13 3" xfId="14040" xr:uid="{00000000-0005-0000-0000-0000D8360000}"/>
    <cellStyle name="Normal 2 2 2 2 4 2 2 13 3 10" xfId="14041" xr:uid="{00000000-0005-0000-0000-0000D9360000}"/>
    <cellStyle name="Normal 2 2 2 2 4 2 2 13 3 2" xfId="14042" xr:uid="{00000000-0005-0000-0000-0000DA360000}"/>
    <cellStyle name="Normal 2 2 2 2 4 2 2 13 3 3" xfId="14043" xr:uid="{00000000-0005-0000-0000-0000DB360000}"/>
    <cellStyle name="Normal 2 2 2 2 4 2 2 13 3 4" xfId="14044" xr:uid="{00000000-0005-0000-0000-0000DC360000}"/>
    <cellStyle name="Normal 2 2 2 2 4 2 2 13 3 5" xfId="14045" xr:uid="{00000000-0005-0000-0000-0000DD360000}"/>
    <cellStyle name="Normal 2 2 2 2 4 2 2 13 3 6" xfId="14046" xr:uid="{00000000-0005-0000-0000-0000DE360000}"/>
    <cellStyle name="Normal 2 2 2 2 4 2 2 13 3 7" xfId="14047" xr:uid="{00000000-0005-0000-0000-0000DF360000}"/>
    <cellStyle name="Normal 2 2 2 2 4 2 2 13 3 8" xfId="14048" xr:uid="{00000000-0005-0000-0000-0000E0360000}"/>
    <cellStyle name="Normal 2 2 2 2 4 2 2 13 3 9" xfId="14049" xr:uid="{00000000-0005-0000-0000-0000E1360000}"/>
    <cellStyle name="Normal 2 2 2 2 4 2 2 13 4" xfId="14050" xr:uid="{00000000-0005-0000-0000-0000E2360000}"/>
    <cellStyle name="Normal 2 2 2 2 4 2 2 13 4 10" xfId="14051" xr:uid="{00000000-0005-0000-0000-0000E3360000}"/>
    <cellStyle name="Normal 2 2 2 2 4 2 2 13 4 2" xfId="14052" xr:uid="{00000000-0005-0000-0000-0000E4360000}"/>
    <cellStyle name="Normal 2 2 2 2 4 2 2 13 4 3" xfId="14053" xr:uid="{00000000-0005-0000-0000-0000E5360000}"/>
    <cellStyle name="Normal 2 2 2 2 4 2 2 13 4 4" xfId="14054" xr:uid="{00000000-0005-0000-0000-0000E6360000}"/>
    <cellStyle name="Normal 2 2 2 2 4 2 2 13 4 5" xfId="14055" xr:uid="{00000000-0005-0000-0000-0000E7360000}"/>
    <cellStyle name="Normal 2 2 2 2 4 2 2 13 4 6" xfId="14056" xr:uid="{00000000-0005-0000-0000-0000E8360000}"/>
    <cellStyle name="Normal 2 2 2 2 4 2 2 13 4 7" xfId="14057" xr:uid="{00000000-0005-0000-0000-0000E9360000}"/>
    <cellStyle name="Normal 2 2 2 2 4 2 2 13 4 8" xfId="14058" xr:uid="{00000000-0005-0000-0000-0000EA360000}"/>
    <cellStyle name="Normal 2 2 2 2 4 2 2 13 4 9" xfId="14059" xr:uid="{00000000-0005-0000-0000-0000EB360000}"/>
    <cellStyle name="Normal 2 2 2 2 4 2 2 13 5" xfId="14060" xr:uid="{00000000-0005-0000-0000-0000EC360000}"/>
    <cellStyle name="Normal 2 2 2 2 4 2 2 13 5 10" xfId="14061" xr:uid="{00000000-0005-0000-0000-0000ED360000}"/>
    <cellStyle name="Normal 2 2 2 2 4 2 2 13 5 2" xfId="14062" xr:uid="{00000000-0005-0000-0000-0000EE360000}"/>
    <cellStyle name="Normal 2 2 2 2 4 2 2 13 5 3" xfId="14063" xr:uid="{00000000-0005-0000-0000-0000EF360000}"/>
    <cellStyle name="Normal 2 2 2 2 4 2 2 13 5 4" xfId="14064" xr:uid="{00000000-0005-0000-0000-0000F0360000}"/>
    <cellStyle name="Normal 2 2 2 2 4 2 2 13 5 5" xfId="14065" xr:uid="{00000000-0005-0000-0000-0000F1360000}"/>
    <cellStyle name="Normal 2 2 2 2 4 2 2 13 5 6" xfId="14066" xr:uid="{00000000-0005-0000-0000-0000F2360000}"/>
    <cellStyle name="Normal 2 2 2 2 4 2 2 13 5 7" xfId="14067" xr:uid="{00000000-0005-0000-0000-0000F3360000}"/>
    <cellStyle name="Normal 2 2 2 2 4 2 2 13 5 8" xfId="14068" xr:uid="{00000000-0005-0000-0000-0000F4360000}"/>
    <cellStyle name="Normal 2 2 2 2 4 2 2 13 5 9" xfId="14069" xr:uid="{00000000-0005-0000-0000-0000F5360000}"/>
    <cellStyle name="Normal 2 2 2 2 4 2 2 13 6" xfId="14070" xr:uid="{00000000-0005-0000-0000-0000F6360000}"/>
    <cellStyle name="Normal 2 2 2 2 4 2 2 13 7" xfId="14071" xr:uid="{00000000-0005-0000-0000-0000F7360000}"/>
    <cellStyle name="Normal 2 2 2 2 4 2 2 13 8" xfId="14072" xr:uid="{00000000-0005-0000-0000-0000F8360000}"/>
    <cellStyle name="Normal 2 2 2 2 4 2 2 13 9" xfId="14073" xr:uid="{00000000-0005-0000-0000-0000F9360000}"/>
    <cellStyle name="Normal 2 2 2 2 4 2 2 14" xfId="14074" xr:uid="{00000000-0005-0000-0000-0000FA360000}"/>
    <cellStyle name="Normal 2 2 2 2 4 2 2 14 10" xfId="14075" xr:uid="{00000000-0005-0000-0000-0000FB360000}"/>
    <cellStyle name="Normal 2 2 2 2 4 2 2 14 11" xfId="14076" xr:uid="{00000000-0005-0000-0000-0000FC360000}"/>
    <cellStyle name="Normal 2 2 2 2 4 2 2 14 12" xfId="14077" xr:uid="{00000000-0005-0000-0000-0000FD360000}"/>
    <cellStyle name="Normal 2 2 2 2 4 2 2 14 13" xfId="14078" xr:uid="{00000000-0005-0000-0000-0000FE360000}"/>
    <cellStyle name="Normal 2 2 2 2 4 2 2 14 14" xfId="14079" xr:uid="{00000000-0005-0000-0000-0000FF360000}"/>
    <cellStyle name="Normal 2 2 2 2 4 2 2 14 2" xfId="14080" xr:uid="{00000000-0005-0000-0000-000000370000}"/>
    <cellStyle name="Normal 2 2 2 2 4 2 2 14 2 10" xfId="14081" xr:uid="{00000000-0005-0000-0000-000001370000}"/>
    <cellStyle name="Normal 2 2 2 2 4 2 2 14 2 2" xfId="14082" xr:uid="{00000000-0005-0000-0000-000002370000}"/>
    <cellStyle name="Normal 2 2 2 2 4 2 2 14 2 3" xfId="14083" xr:uid="{00000000-0005-0000-0000-000003370000}"/>
    <cellStyle name="Normal 2 2 2 2 4 2 2 14 2 4" xfId="14084" xr:uid="{00000000-0005-0000-0000-000004370000}"/>
    <cellStyle name="Normal 2 2 2 2 4 2 2 14 2 5" xfId="14085" xr:uid="{00000000-0005-0000-0000-000005370000}"/>
    <cellStyle name="Normal 2 2 2 2 4 2 2 14 2 6" xfId="14086" xr:uid="{00000000-0005-0000-0000-000006370000}"/>
    <cellStyle name="Normal 2 2 2 2 4 2 2 14 2 7" xfId="14087" xr:uid="{00000000-0005-0000-0000-000007370000}"/>
    <cellStyle name="Normal 2 2 2 2 4 2 2 14 2 8" xfId="14088" xr:uid="{00000000-0005-0000-0000-000008370000}"/>
    <cellStyle name="Normal 2 2 2 2 4 2 2 14 2 9" xfId="14089" xr:uid="{00000000-0005-0000-0000-000009370000}"/>
    <cellStyle name="Normal 2 2 2 2 4 2 2 14 3" xfId="14090" xr:uid="{00000000-0005-0000-0000-00000A370000}"/>
    <cellStyle name="Normal 2 2 2 2 4 2 2 14 3 10" xfId="14091" xr:uid="{00000000-0005-0000-0000-00000B370000}"/>
    <cellStyle name="Normal 2 2 2 2 4 2 2 14 3 2" xfId="14092" xr:uid="{00000000-0005-0000-0000-00000C370000}"/>
    <cellStyle name="Normal 2 2 2 2 4 2 2 14 3 3" xfId="14093" xr:uid="{00000000-0005-0000-0000-00000D370000}"/>
    <cellStyle name="Normal 2 2 2 2 4 2 2 14 3 4" xfId="14094" xr:uid="{00000000-0005-0000-0000-00000E370000}"/>
    <cellStyle name="Normal 2 2 2 2 4 2 2 14 3 5" xfId="14095" xr:uid="{00000000-0005-0000-0000-00000F370000}"/>
    <cellStyle name="Normal 2 2 2 2 4 2 2 14 3 6" xfId="14096" xr:uid="{00000000-0005-0000-0000-000010370000}"/>
    <cellStyle name="Normal 2 2 2 2 4 2 2 14 3 7" xfId="14097" xr:uid="{00000000-0005-0000-0000-000011370000}"/>
    <cellStyle name="Normal 2 2 2 2 4 2 2 14 3 8" xfId="14098" xr:uid="{00000000-0005-0000-0000-000012370000}"/>
    <cellStyle name="Normal 2 2 2 2 4 2 2 14 3 9" xfId="14099" xr:uid="{00000000-0005-0000-0000-000013370000}"/>
    <cellStyle name="Normal 2 2 2 2 4 2 2 14 4" xfId="14100" xr:uid="{00000000-0005-0000-0000-000014370000}"/>
    <cellStyle name="Normal 2 2 2 2 4 2 2 14 4 10" xfId="14101" xr:uid="{00000000-0005-0000-0000-000015370000}"/>
    <cellStyle name="Normal 2 2 2 2 4 2 2 14 4 2" xfId="14102" xr:uid="{00000000-0005-0000-0000-000016370000}"/>
    <cellStyle name="Normal 2 2 2 2 4 2 2 14 4 3" xfId="14103" xr:uid="{00000000-0005-0000-0000-000017370000}"/>
    <cellStyle name="Normal 2 2 2 2 4 2 2 14 4 4" xfId="14104" xr:uid="{00000000-0005-0000-0000-000018370000}"/>
    <cellStyle name="Normal 2 2 2 2 4 2 2 14 4 5" xfId="14105" xr:uid="{00000000-0005-0000-0000-000019370000}"/>
    <cellStyle name="Normal 2 2 2 2 4 2 2 14 4 6" xfId="14106" xr:uid="{00000000-0005-0000-0000-00001A370000}"/>
    <cellStyle name="Normal 2 2 2 2 4 2 2 14 4 7" xfId="14107" xr:uid="{00000000-0005-0000-0000-00001B370000}"/>
    <cellStyle name="Normal 2 2 2 2 4 2 2 14 4 8" xfId="14108" xr:uid="{00000000-0005-0000-0000-00001C370000}"/>
    <cellStyle name="Normal 2 2 2 2 4 2 2 14 4 9" xfId="14109" xr:uid="{00000000-0005-0000-0000-00001D370000}"/>
    <cellStyle name="Normal 2 2 2 2 4 2 2 14 5" xfId="14110" xr:uid="{00000000-0005-0000-0000-00001E370000}"/>
    <cellStyle name="Normal 2 2 2 2 4 2 2 14 5 10" xfId="14111" xr:uid="{00000000-0005-0000-0000-00001F370000}"/>
    <cellStyle name="Normal 2 2 2 2 4 2 2 14 5 2" xfId="14112" xr:uid="{00000000-0005-0000-0000-000020370000}"/>
    <cellStyle name="Normal 2 2 2 2 4 2 2 14 5 3" xfId="14113" xr:uid="{00000000-0005-0000-0000-000021370000}"/>
    <cellStyle name="Normal 2 2 2 2 4 2 2 14 5 4" xfId="14114" xr:uid="{00000000-0005-0000-0000-000022370000}"/>
    <cellStyle name="Normal 2 2 2 2 4 2 2 14 5 5" xfId="14115" xr:uid="{00000000-0005-0000-0000-000023370000}"/>
    <cellStyle name="Normal 2 2 2 2 4 2 2 14 5 6" xfId="14116" xr:uid="{00000000-0005-0000-0000-000024370000}"/>
    <cellStyle name="Normal 2 2 2 2 4 2 2 14 5 7" xfId="14117" xr:uid="{00000000-0005-0000-0000-000025370000}"/>
    <cellStyle name="Normal 2 2 2 2 4 2 2 14 5 8" xfId="14118" xr:uid="{00000000-0005-0000-0000-000026370000}"/>
    <cellStyle name="Normal 2 2 2 2 4 2 2 14 5 9" xfId="14119" xr:uid="{00000000-0005-0000-0000-000027370000}"/>
    <cellStyle name="Normal 2 2 2 2 4 2 2 14 6" xfId="14120" xr:uid="{00000000-0005-0000-0000-000028370000}"/>
    <cellStyle name="Normal 2 2 2 2 4 2 2 14 7" xfId="14121" xr:uid="{00000000-0005-0000-0000-000029370000}"/>
    <cellStyle name="Normal 2 2 2 2 4 2 2 14 8" xfId="14122" xr:uid="{00000000-0005-0000-0000-00002A370000}"/>
    <cellStyle name="Normal 2 2 2 2 4 2 2 14 9" xfId="14123" xr:uid="{00000000-0005-0000-0000-00002B370000}"/>
    <cellStyle name="Normal 2 2 2 2 4 2 2 15" xfId="14124" xr:uid="{00000000-0005-0000-0000-00002C370000}"/>
    <cellStyle name="Normal 2 2 2 2 4 2 2 15 10" xfId="14125" xr:uid="{00000000-0005-0000-0000-00002D370000}"/>
    <cellStyle name="Normal 2 2 2 2 4 2 2 15 11" xfId="14126" xr:uid="{00000000-0005-0000-0000-00002E370000}"/>
    <cellStyle name="Normal 2 2 2 2 4 2 2 15 12" xfId="14127" xr:uid="{00000000-0005-0000-0000-00002F370000}"/>
    <cellStyle name="Normal 2 2 2 2 4 2 2 15 13" xfId="14128" xr:uid="{00000000-0005-0000-0000-000030370000}"/>
    <cellStyle name="Normal 2 2 2 2 4 2 2 15 14" xfId="14129" xr:uid="{00000000-0005-0000-0000-000031370000}"/>
    <cellStyle name="Normal 2 2 2 2 4 2 2 15 2" xfId="14130" xr:uid="{00000000-0005-0000-0000-000032370000}"/>
    <cellStyle name="Normal 2 2 2 2 4 2 2 15 2 10" xfId="14131" xr:uid="{00000000-0005-0000-0000-000033370000}"/>
    <cellStyle name="Normal 2 2 2 2 4 2 2 15 2 2" xfId="14132" xr:uid="{00000000-0005-0000-0000-000034370000}"/>
    <cellStyle name="Normal 2 2 2 2 4 2 2 15 2 3" xfId="14133" xr:uid="{00000000-0005-0000-0000-000035370000}"/>
    <cellStyle name="Normal 2 2 2 2 4 2 2 15 2 4" xfId="14134" xr:uid="{00000000-0005-0000-0000-000036370000}"/>
    <cellStyle name="Normal 2 2 2 2 4 2 2 15 2 5" xfId="14135" xr:uid="{00000000-0005-0000-0000-000037370000}"/>
    <cellStyle name="Normal 2 2 2 2 4 2 2 15 2 6" xfId="14136" xr:uid="{00000000-0005-0000-0000-000038370000}"/>
    <cellStyle name="Normal 2 2 2 2 4 2 2 15 2 7" xfId="14137" xr:uid="{00000000-0005-0000-0000-000039370000}"/>
    <cellStyle name="Normal 2 2 2 2 4 2 2 15 2 8" xfId="14138" xr:uid="{00000000-0005-0000-0000-00003A370000}"/>
    <cellStyle name="Normal 2 2 2 2 4 2 2 15 2 9" xfId="14139" xr:uid="{00000000-0005-0000-0000-00003B370000}"/>
    <cellStyle name="Normal 2 2 2 2 4 2 2 15 3" xfId="14140" xr:uid="{00000000-0005-0000-0000-00003C370000}"/>
    <cellStyle name="Normal 2 2 2 2 4 2 2 15 3 10" xfId="14141" xr:uid="{00000000-0005-0000-0000-00003D370000}"/>
    <cellStyle name="Normal 2 2 2 2 4 2 2 15 3 2" xfId="14142" xr:uid="{00000000-0005-0000-0000-00003E370000}"/>
    <cellStyle name="Normal 2 2 2 2 4 2 2 15 3 3" xfId="14143" xr:uid="{00000000-0005-0000-0000-00003F370000}"/>
    <cellStyle name="Normal 2 2 2 2 4 2 2 15 3 4" xfId="14144" xr:uid="{00000000-0005-0000-0000-000040370000}"/>
    <cellStyle name="Normal 2 2 2 2 4 2 2 15 3 5" xfId="14145" xr:uid="{00000000-0005-0000-0000-000041370000}"/>
    <cellStyle name="Normal 2 2 2 2 4 2 2 15 3 6" xfId="14146" xr:uid="{00000000-0005-0000-0000-000042370000}"/>
    <cellStyle name="Normal 2 2 2 2 4 2 2 15 3 7" xfId="14147" xr:uid="{00000000-0005-0000-0000-000043370000}"/>
    <cellStyle name="Normal 2 2 2 2 4 2 2 15 3 8" xfId="14148" xr:uid="{00000000-0005-0000-0000-000044370000}"/>
    <cellStyle name="Normal 2 2 2 2 4 2 2 15 3 9" xfId="14149" xr:uid="{00000000-0005-0000-0000-000045370000}"/>
    <cellStyle name="Normal 2 2 2 2 4 2 2 15 4" xfId="14150" xr:uid="{00000000-0005-0000-0000-000046370000}"/>
    <cellStyle name="Normal 2 2 2 2 4 2 2 15 4 10" xfId="14151" xr:uid="{00000000-0005-0000-0000-000047370000}"/>
    <cellStyle name="Normal 2 2 2 2 4 2 2 15 4 2" xfId="14152" xr:uid="{00000000-0005-0000-0000-000048370000}"/>
    <cellStyle name="Normal 2 2 2 2 4 2 2 15 4 3" xfId="14153" xr:uid="{00000000-0005-0000-0000-000049370000}"/>
    <cellStyle name="Normal 2 2 2 2 4 2 2 15 4 4" xfId="14154" xr:uid="{00000000-0005-0000-0000-00004A370000}"/>
    <cellStyle name="Normal 2 2 2 2 4 2 2 15 4 5" xfId="14155" xr:uid="{00000000-0005-0000-0000-00004B370000}"/>
    <cellStyle name="Normal 2 2 2 2 4 2 2 15 4 6" xfId="14156" xr:uid="{00000000-0005-0000-0000-00004C370000}"/>
    <cellStyle name="Normal 2 2 2 2 4 2 2 15 4 7" xfId="14157" xr:uid="{00000000-0005-0000-0000-00004D370000}"/>
    <cellStyle name="Normal 2 2 2 2 4 2 2 15 4 8" xfId="14158" xr:uid="{00000000-0005-0000-0000-00004E370000}"/>
    <cellStyle name="Normal 2 2 2 2 4 2 2 15 4 9" xfId="14159" xr:uid="{00000000-0005-0000-0000-00004F370000}"/>
    <cellStyle name="Normal 2 2 2 2 4 2 2 15 5" xfId="14160" xr:uid="{00000000-0005-0000-0000-000050370000}"/>
    <cellStyle name="Normal 2 2 2 2 4 2 2 15 5 10" xfId="14161" xr:uid="{00000000-0005-0000-0000-000051370000}"/>
    <cellStyle name="Normal 2 2 2 2 4 2 2 15 5 2" xfId="14162" xr:uid="{00000000-0005-0000-0000-000052370000}"/>
    <cellStyle name="Normal 2 2 2 2 4 2 2 15 5 3" xfId="14163" xr:uid="{00000000-0005-0000-0000-000053370000}"/>
    <cellStyle name="Normal 2 2 2 2 4 2 2 15 5 4" xfId="14164" xr:uid="{00000000-0005-0000-0000-000054370000}"/>
    <cellStyle name="Normal 2 2 2 2 4 2 2 15 5 5" xfId="14165" xr:uid="{00000000-0005-0000-0000-000055370000}"/>
    <cellStyle name="Normal 2 2 2 2 4 2 2 15 5 6" xfId="14166" xr:uid="{00000000-0005-0000-0000-000056370000}"/>
    <cellStyle name="Normal 2 2 2 2 4 2 2 15 5 7" xfId="14167" xr:uid="{00000000-0005-0000-0000-000057370000}"/>
    <cellStyle name="Normal 2 2 2 2 4 2 2 15 5 8" xfId="14168" xr:uid="{00000000-0005-0000-0000-000058370000}"/>
    <cellStyle name="Normal 2 2 2 2 4 2 2 15 5 9" xfId="14169" xr:uid="{00000000-0005-0000-0000-000059370000}"/>
    <cellStyle name="Normal 2 2 2 2 4 2 2 15 6" xfId="14170" xr:uid="{00000000-0005-0000-0000-00005A370000}"/>
    <cellStyle name="Normal 2 2 2 2 4 2 2 15 7" xfId="14171" xr:uid="{00000000-0005-0000-0000-00005B370000}"/>
    <cellStyle name="Normal 2 2 2 2 4 2 2 15 8" xfId="14172" xr:uid="{00000000-0005-0000-0000-00005C370000}"/>
    <cellStyle name="Normal 2 2 2 2 4 2 2 15 9" xfId="14173" xr:uid="{00000000-0005-0000-0000-00005D370000}"/>
    <cellStyle name="Normal 2 2 2 2 4 2 2 16" xfId="14174" xr:uid="{00000000-0005-0000-0000-00005E370000}"/>
    <cellStyle name="Normal 2 2 2 2 4 2 2 16 10" xfId="14175" xr:uid="{00000000-0005-0000-0000-00005F370000}"/>
    <cellStyle name="Normal 2 2 2 2 4 2 2 16 11" xfId="14176" xr:uid="{00000000-0005-0000-0000-000060370000}"/>
    <cellStyle name="Normal 2 2 2 2 4 2 2 16 12" xfId="14177" xr:uid="{00000000-0005-0000-0000-000061370000}"/>
    <cellStyle name="Normal 2 2 2 2 4 2 2 16 13" xfId="14178" xr:uid="{00000000-0005-0000-0000-000062370000}"/>
    <cellStyle name="Normal 2 2 2 2 4 2 2 16 14" xfId="14179" xr:uid="{00000000-0005-0000-0000-000063370000}"/>
    <cellStyle name="Normal 2 2 2 2 4 2 2 16 2" xfId="14180" xr:uid="{00000000-0005-0000-0000-000064370000}"/>
    <cellStyle name="Normal 2 2 2 2 4 2 2 16 2 10" xfId="14181" xr:uid="{00000000-0005-0000-0000-000065370000}"/>
    <cellStyle name="Normal 2 2 2 2 4 2 2 16 2 2" xfId="14182" xr:uid="{00000000-0005-0000-0000-000066370000}"/>
    <cellStyle name="Normal 2 2 2 2 4 2 2 16 2 3" xfId="14183" xr:uid="{00000000-0005-0000-0000-000067370000}"/>
    <cellStyle name="Normal 2 2 2 2 4 2 2 16 2 4" xfId="14184" xr:uid="{00000000-0005-0000-0000-000068370000}"/>
    <cellStyle name="Normal 2 2 2 2 4 2 2 16 2 5" xfId="14185" xr:uid="{00000000-0005-0000-0000-000069370000}"/>
    <cellStyle name="Normal 2 2 2 2 4 2 2 16 2 6" xfId="14186" xr:uid="{00000000-0005-0000-0000-00006A370000}"/>
    <cellStyle name="Normal 2 2 2 2 4 2 2 16 2 7" xfId="14187" xr:uid="{00000000-0005-0000-0000-00006B370000}"/>
    <cellStyle name="Normal 2 2 2 2 4 2 2 16 2 8" xfId="14188" xr:uid="{00000000-0005-0000-0000-00006C370000}"/>
    <cellStyle name="Normal 2 2 2 2 4 2 2 16 2 9" xfId="14189" xr:uid="{00000000-0005-0000-0000-00006D370000}"/>
    <cellStyle name="Normal 2 2 2 2 4 2 2 16 3" xfId="14190" xr:uid="{00000000-0005-0000-0000-00006E370000}"/>
    <cellStyle name="Normal 2 2 2 2 4 2 2 16 3 10" xfId="14191" xr:uid="{00000000-0005-0000-0000-00006F370000}"/>
    <cellStyle name="Normal 2 2 2 2 4 2 2 16 3 2" xfId="14192" xr:uid="{00000000-0005-0000-0000-000070370000}"/>
    <cellStyle name="Normal 2 2 2 2 4 2 2 16 3 3" xfId="14193" xr:uid="{00000000-0005-0000-0000-000071370000}"/>
    <cellStyle name="Normal 2 2 2 2 4 2 2 16 3 4" xfId="14194" xr:uid="{00000000-0005-0000-0000-000072370000}"/>
    <cellStyle name="Normal 2 2 2 2 4 2 2 16 3 5" xfId="14195" xr:uid="{00000000-0005-0000-0000-000073370000}"/>
    <cellStyle name="Normal 2 2 2 2 4 2 2 16 3 6" xfId="14196" xr:uid="{00000000-0005-0000-0000-000074370000}"/>
    <cellStyle name="Normal 2 2 2 2 4 2 2 16 3 7" xfId="14197" xr:uid="{00000000-0005-0000-0000-000075370000}"/>
    <cellStyle name="Normal 2 2 2 2 4 2 2 16 3 8" xfId="14198" xr:uid="{00000000-0005-0000-0000-000076370000}"/>
    <cellStyle name="Normal 2 2 2 2 4 2 2 16 3 9" xfId="14199" xr:uid="{00000000-0005-0000-0000-000077370000}"/>
    <cellStyle name="Normal 2 2 2 2 4 2 2 16 4" xfId="14200" xr:uid="{00000000-0005-0000-0000-000078370000}"/>
    <cellStyle name="Normal 2 2 2 2 4 2 2 16 4 10" xfId="14201" xr:uid="{00000000-0005-0000-0000-000079370000}"/>
    <cellStyle name="Normal 2 2 2 2 4 2 2 16 4 2" xfId="14202" xr:uid="{00000000-0005-0000-0000-00007A370000}"/>
    <cellStyle name="Normal 2 2 2 2 4 2 2 16 4 3" xfId="14203" xr:uid="{00000000-0005-0000-0000-00007B370000}"/>
    <cellStyle name="Normal 2 2 2 2 4 2 2 16 4 4" xfId="14204" xr:uid="{00000000-0005-0000-0000-00007C370000}"/>
    <cellStyle name="Normal 2 2 2 2 4 2 2 16 4 5" xfId="14205" xr:uid="{00000000-0005-0000-0000-00007D370000}"/>
    <cellStyle name="Normal 2 2 2 2 4 2 2 16 4 6" xfId="14206" xr:uid="{00000000-0005-0000-0000-00007E370000}"/>
    <cellStyle name="Normal 2 2 2 2 4 2 2 16 4 7" xfId="14207" xr:uid="{00000000-0005-0000-0000-00007F370000}"/>
    <cellStyle name="Normal 2 2 2 2 4 2 2 16 4 8" xfId="14208" xr:uid="{00000000-0005-0000-0000-000080370000}"/>
    <cellStyle name="Normal 2 2 2 2 4 2 2 16 4 9" xfId="14209" xr:uid="{00000000-0005-0000-0000-000081370000}"/>
    <cellStyle name="Normal 2 2 2 2 4 2 2 16 5" xfId="14210" xr:uid="{00000000-0005-0000-0000-000082370000}"/>
    <cellStyle name="Normal 2 2 2 2 4 2 2 16 5 10" xfId="14211" xr:uid="{00000000-0005-0000-0000-000083370000}"/>
    <cellStyle name="Normal 2 2 2 2 4 2 2 16 5 2" xfId="14212" xr:uid="{00000000-0005-0000-0000-000084370000}"/>
    <cellStyle name="Normal 2 2 2 2 4 2 2 16 5 3" xfId="14213" xr:uid="{00000000-0005-0000-0000-000085370000}"/>
    <cellStyle name="Normal 2 2 2 2 4 2 2 16 5 4" xfId="14214" xr:uid="{00000000-0005-0000-0000-000086370000}"/>
    <cellStyle name="Normal 2 2 2 2 4 2 2 16 5 5" xfId="14215" xr:uid="{00000000-0005-0000-0000-000087370000}"/>
    <cellStyle name="Normal 2 2 2 2 4 2 2 16 5 6" xfId="14216" xr:uid="{00000000-0005-0000-0000-000088370000}"/>
    <cellStyle name="Normal 2 2 2 2 4 2 2 16 5 7" xfId="14217" xr:uid="{00000000-0005-0000-0000-000089370000}"/>
    <cellStyle name="Normal 2 2 2 2 4 2 2 16 5 8" xfId="14218" xr:uid="{00000000-0005-0000-0000-00008A370000}"/>
    <cellStyle name="Normal 2 2 2 2 4 2 2 16 5 9" xfId="14219" xr:uid="{00000000-0005-0000-0000-00008B370000}"/>
    <cellStyle name="Normal 2 2 2 2 4 2 2 16 6" xfId="14220" xr:uid="{00000000-0005-0000-0000-00008C370000}"/>
    <cellStyle name="Normal 2 2 2 2 4 2 2 16 7" xfId="14221" xr:uid="{00000000-0005-0000-0000-00008D370000}"/>
    <cellStyle name="Normal 2 2 2 2 4 2 2 16 8" xfId="14222" xr:uid="{00000000-0005-0000-0000-00008E370000}"/>
    <cellStyle name="Normal 2 2 2 2 4 2 2 16 9" xfId="14223" xr:uid="{00000000-0005-0000-0000-00008F370000}"/>
    <cellStyle name="Normal 2 2 2 2 4 2 2 17" xfId="14224" xr:uid="{00000000-0005-0000-0000-000090370000}"/>
    <cellStyle name="Normal 2 2 2 2 4 2 2 17 10" xfId="14225" xr:uid="{00000000-0005-0000-0000-000091370000}"/>
    <cellStyle name="Normal 2 2 2 2 4 2 2 17 11" xfId="14226" xr:uid="{00000000-0005-0000-0000-000092370000}"/>
    <cellStyle name="Normal 2 2 2 2 4 2 2 17 12" xfId="14227" xr:uid="{00000000-0005-0000-0000-000093370000}"/>
    <cellStyle name="Normal 2 2 2 2 4 2 2 17 13" xfId="14228" xr:uid="{00000000-0005-0000-0000-000094370000}"/>
    <cellStyle name="Normal 2 2 2 2 4 2 2 17 14" xfId="14229" xr:uid="{00000000-0005-0000-0000-000095370000}"/>
    <cellStyle name="Normal 2 2 2 2 4 2 2 17 2" xfId="14230" xr:uid="{00000000-0005-0000-0000-000096370000}"/>
    <cellStyle name="Normal 2 2 2 2 4 2 2 17 2 10" xfId="14231" xr:uid="{00000000-0005-0000-0000-000097370000}"/>
    <cellStyle name="Normal 2 2 2 2 4 2 2 17 2 2" xfId="14232" xr:uid="{00000000-0005-0000-0000-000098370000}"/>
    <cellStyle name="Normal 2 2 2 2 4 2 2 17 2 3" xfId="14233" xr:uid="{00000000-0005-0000-0000-000099370000}"/>
    <cellStyle name="Normal 2 2 2 2 4 2 2 17 2 4" xfId="14234" xr:uid="{00000000-0005-0000-0000-00009A370000}"/>
    <cellStyle name="Normal 2 2 2 2 4 2 2 17 2 5" xfId="14235" xr:uid="{00000000-0005-0000-0000-00009B370000}"/>
    <cellStyle name="Normal 2 2 2 2 4 2 2 17 2 6" xfId="14236" xr:uid="{00000000-0005-0000-0000-00009C370000}"/>
    <cellStyle name="Normal 2 2 2 2 4 2 2 17 2 7" xfId="14237" xr:uid="{00000000-0005-0000-0000-00009D370000}"/>
    <cellStyle name="Normal 2 2 2 2 4 2 2 17 2 8" xfId="14238" xr:uid="{00000000-0005-0000-0000-00009E370000}"/>
    <cellStyle name="Normal 2 2 2 2 4 2 2 17 2 9" xfId="14239" xr:uid="{00000000-0005-0000-0000-00009F370000}"/>
    <cellStyle name="Normal 2 2 2 2 4 2 2 17 3" xfId="14240" xr:uid="{00000000-0005-0000-0000-0000A0370000}"/>
    <cellStyle name="Normal 2 2 2 2 4 2 2 17 3 10" xfId="14241" xr:uid="{00000000-0005-0000-0000-0000A1370000}"/>
    <cellStyle name="Normal 2 2 2 2 4 2 2 17 3 2" xfId="14242" xr:uid="{00000000-0005-0000-0000-0000A2370000}"/>
    <cellStyle name="Normal 2 2 2 2 4 2 2 17 3 3" xfId="14243" xr:uid="{00000000-0005-0000-0000-0000A3370000}"/>
    <cellStyle name="Normal 2 2 2 2 4 2 2 17 3 4" xfId="14244" xr:uid="{00000000-0005-0000-0000-0000A4370000}"/>
    <cellStyle name="Normal 2 2 2 2 4 2 2 17 3 5" xfId="14245" xr:uid="{00000000-0005-0000-0000-0000A5370000}"/>
    <cellStyle name="Normal 2 2 2 2 4 2 2 17 3 6" xfId="14246" xr:uid="{00000000-0005-0000-0000-0000A6370000}"/>
    <cellStyle name="Normal 2 2 2 2 4 2 2 17 3 7" xfId="14247" xr:uid="{00000000-0005-0000-0000-0000A7370000}"/>
    <cellStyle name="Normal 2 2 2 2 4 2 2 17 3 8" xfId="14248" xr:uid="{00000000-0005-0000-0000-0000A8370000}"/>
    <cellStyle name="Normal 2 2 2 2 4 2 2 17 3 9" xfId="14249" xr:uid="{00000000-0005-0000-0000-0000A9370000}"/>
    <cellStyle name="Normal 2 2 2 2 4 2 2 17 4" xfId="14250" xr:uid="{00000000-0005-0000-0000-0000AA370000}"/>
    <cellStyle name="Normal 2 2 2 2 4 2 2 17 4 10" xfId="14251" xr:uid="{00000000-0005-0000-0000-0000AB370000}"/>
    <cellStyle name="Normal 2 2 2 2 4 2 2 17 4 2" xfId="14252" xr:uid="{00000000-0005-0000-0000-0000AC370000}"/>
    <cellStyle name="Normal 2 2 2 2 4 2 2 17 4 3" xfId="14253" xr:uid="{00000000-0005-0000-0000-0000AD370000}"/>
    <cellStyle name="Normal 2 2 2 2 4 2 2 17 4 4" xfId="14254" xr:uid="{00000000-0005-0000-0000-0000AE370000}"/>
    <cellStyle name="Normal 2 2 2 2 4 2 2 17 4 5" xfId="14255" xr:uid="{00000000-0005-0000-0000-0000AF370000}"/>
    <cellStyle name="Normal 2 2 2 2 4 2 2 17 4 6" xfId="14256" xr:uid="{00000000-0005-0000-0000-0000B0370000}"/>
    <cellStyle name="Normal 2 2 2 2 4 2 2 17 4 7" xfId="14257" xr:uid="{00000000-0005-0000-0000-0000B1370000}"/>
    <cellStyle name="Normal 2 2 2 2 4 2 2 17 4 8" xfId="14258" xr:uid="{00000000-0005-0000-0000-0000B2370000}"/>
    <cellStyle name="Normal 2 2 2 2 4 2 2 17 4 9" xfId="14259" xr:uid="{00000000-0005-0000-0000-0000B3370000}"/>
    <cellStyle name="Normal 2 2 2 2 4 2 2 17 5" xfId="14260" xr:uid="{00000000-0005-0000-0000-0000B4370000}"/>
    <cellStyle name="Normal 2 2 2 2 4 2 2 17 5 10" xfId="14261" xr:uid="{00000000-0005-0000-0000-0000B5370000}"/>
    <cellStyle name="Normal 2 2 2 2 4 2 2 17 5 2" xfId="14262" xr:uid="{00000000-0005-0000-0000-0000B6370000}"/>
    <cellStyle name="Normal 2 2 2 2 4 2 2 17 5 3" xfId="14263" xr:uid="{00000000-0005-0000-0000-0000B7370000}"/>
    <cellStyle name="Normal 2 2 2 2 4 2 2 17 5 4" xfId="14264" xr:uid="{00000000-0005-0000-0000-0000B8370000}"/>
    <cellStyle name="Normal 2 2 2 2 4 2 2 17 5 5" xfId="14265" xr:uid="{00000000-0005-0000-0000-0000B9370000}"/>
    <cellStyle name="Normal 2 2 2 2 4 2 2 17 5 6" xfId="14266" xr:uid="{00000000-0005-0000-0000-0000BA370000}"/>
    <cellStyle name="Normal 2 2 2 2 4 2 2 17 5 7" xfId="14267" xr:uid="{00000000-0005-0000-0000-0000BB370000}"/>
    <cellStyle name="Normal 2 2 2 2 4 2 2 17 5 8" xfId="14268" xr:uid="{00000000-0005-0000-0000-0000BC370000}"/>
    <cellStyle name="Normal 2 2 2 2 4 2 2 17 5 9" xfId="14269" xr:uid="{00000000-0005-0000-0000-0000BD370000}"/>
    <cellStyle name="Normal 2 2 2 2 4 2 2 17 6" xfId="14270" xr:uid="{00000000-0005-0000-0000-0000BE370000}"/>
    <cellStyle name="Normal 2 2 2 2 4 2 2 17 7" xfId="14271" xr:uid="{00000000-0005-0000-0000-0000BF370000}"/>
    <cellStyle name="Normal 2 2 2 2 4 2 2 17 8" xfId="14272" xr:uid="{00000000-0005-0000-0000-0000C0370000}"/>
    <cellStyle name="Normal 2 2 2 2 4 2 2 17 9" xfId="14273" xr:uid="{00000000-0005-0000-0000-0000C1370000}"/>
    <cellStyle name="Normal 2 2 2 2 4 2 2 18" xfId="14274" xr:uid="{00000000-0005-0000-0000-0000C2370000}"/>
    <cellStyle name="Normal 2 2 2 2 4 2 2 18 10" xfId="14275" xr:uid="{00000000-0005-0000-0000-0000C3370000}"/>
    <cellStyle name="Normal 2 2 2 2 4 2 2 18 11" xfId="14276" xr:uid="{00000000-0005-0000-0000-0000C4370000}"/>
    <cellStyle name="Normal 2 2 2 2 4 2 2 18 12" xfId="14277" xr:uid="{00000000-0005-0000-0000-0000C5370000}"/>
    <cellStyle name="Normal 2 2 2 2 4 2 2 18 13" xfId="14278" xr:uid="{00000000-0005-0000-0000-0000C6370000}"/>
    <cellStyle name="Normal 2 2 2 2 4 2 2 18 14" xfId="14279" xr:uid="{00000000-0005-0000-0000-0000C7370000}"/>
    <cellStyle name="Normal 2 2 2 2 4 2 2 18 2" xfId="14280" xr:uid="{00000000-0005-0000-0000-0000C8370000}"/>
    <cellStyle name="Normal 2 2 2 2 4 2 2 18 2 10" xfId="14281" xr:uid="{00000000-0005-0000-0000-0000C9370000}"/>
    <cellStyle name="Normal 2 2 2 2 4 2 2 18 2 2" xfId="14282" xr:uid="{00000000-0005-0000-0000-0000CA370000}"/>
    <cellStyle name="Normal 2 2 2 2 4 2 2 18 2 3" xfId="14283" xr:uid="{00000000-0005-0000-0000-0000CB370000}"/>
    <cellStyle name="Normal 2 2 2 2 4 2 2 18 2 4" xfId="14284" xr:uid="{00000000-0005-0000-0000-0000CC370000}"/>
    <cellStyle name="Normal 2 2 2 2 4 2 2 18 2 5" xfId="14285" xr:uid="{00000000-0005-0000-0000-0000CD370000}"/>
    <cellStyle name="Normal 2 2 2 2 4 2 2 18 2 6" xfId="14286" xr:uid="{00000000-0005-0000-0000-0000CE370000}"/>
    <cellStyle name="Normal 2 2 2 2 4 2 2 18 2 7" xfId="14287" xr:uid="{00000000-0005-0000-0000-0000CF370000}"/>
    <cellStyle name="Normal 2 2 2 2 4 2 2 18 2 8" xfId="14288" xr:uid="{00000000-0005-0000-0000-0000D0370000}"/>
    <cellStyle name="Normal 2 2 2 2 4 2 2 18 2 9" xfId="14289" xr:uid="{00000000-0005-0000-0000-0000D1370000}"/>
    <cellStyle name="Normal 2 2 2 2 4 2 2 18 3" xfId="14290" xr:uid="{00000000-0005-0000-0000-0000D2370000}"/>
    <cellStyle name="Normal 2 2 2 2 4 2 2 18 3 10" xfId="14291" xr:uid="{00000000-0005-0000-0000-0000D3370000}"/>
    <cellStyle name="Normal 2 2 2 2 4 2 2 18 3 2" xfId="14292" xr:uid="{00000000-0005-0000-0000-0000D4370000}"/>
    <cellStyle name="Normal 2 2 2 2 4 2 2 18 3 3" xfId="14293" xr:uid="{00000000-0005-0000-0000-0000D5370000}"/>
    <cellStyle name="Normal 2 2 2 2 4 2 2 18 3 4" xfId="14294" xr:uid="{00000000-0005-0000-0000-0000D6370000}"/>
    <cellStyle name="Normal 2 2 2 2 4 2 2 18 3 5" xfId="14295" xr:uid="{00000000-0005-0000-0000-0000D7370000}"/>
    <cellStyle name="Normal 2 2 2 2 4 2 2 18 3 6" xfId="14296" xr:uid="{00000000-0005-0000-0000-0000D8370000}"/>
    <cellStyle name="Normal 2 2 2 2 4 2 2 18 3 7" xfId="14297" xr:uid="{00000000-0005-0000-0000-0000D9370000}"/>
    <cellStyle name="Normal 2 2 2 2 4 2 2 18 3 8" xfId="14298" xr:uid="{00000000-0005-0000-0000-0000DA370000}"/>
    <cellStyle name="Normal 2 2 2 2 4 2 2 18 3 9" xfId="14299" xr:uid="{00000000-0005-0000-0000-0000DB370000}"/>
    <cellStyle name="Normal 2 2 2 2 4 2 2 18 4" xfId="14300" xr:uid="{00000000-0005-0000-0000-0000DC370000}"/>
    <cellStyle name="Normal 2 2 2 2 4 2 2 18 4 10" xfId="14301" xr:uid="{00000000-0005-0000-0000-0000DD370000}"/>
    <cellStyle name="Normal 2 2 2 2 4 2 2 18 4 2" xfId="14302" xr:uid="{00000000-0005-0000-0000-0000DE370000}"/>
    <cellStyle name="Normal 2 2 2 2 4 2 2 18 4 3" xfId="14303" xr:uid="{00000000-0005-0000-0000-0000DF370000}"/>
    <cellStyle name="Normal 2 2 2 2 4 2 2 18 4 4" xfId="14304" xr:uid="{00000000-0005-0000-0000-0000E0370000}"/>
    <cellStyle name="Normal 2 2 2 2 4 2 2 18 4 5" xfId="14305" xr:uid="{00000000-0005-0000-0000-0000E1370000}"/>
    <cellStyle name="Normal 2 2 2 2 4 2 2 18 4 6" xfId="14306" xr:uid="{00000000-0005-0000-0000-0000E2370000}"/>
    <cellStyle name="Normal 2 2 2 2 4 2 2 18 4 7" xfId="14307" xr:uid="{00000000-0005-0000-0000-0000E3370000}"/>
    <cellStyle name="Normal 2 2 2 2 4 2 2 18 4 8" xfId="14308" xr:uid="{00000000-0005-0000-0000-0000E4370000}"/>
    <cellStyle name="Normal 2 2 2 2 4 2 2 18 4 9" xfId="14309" xr:uid="{00000000-0005-0000-0000-0000E5370000}"/>
    <cellStyle name="Normal 2 2 2 2 4 2 2 18 5" xfId="14310" xr:uid="{00000000-0005-0000-0000-0000E6370000}"/>
    <cellStyle name="Normal 2 2 2 2 4 2 2 18 5 10" xfId="14311" xr:uid="{00000000-0005-0000-0000-0000E7370000}"/>
    <cellStyle name="Normal 2 2 2 2 4 2 2 18 5 2" xfId="14312" xr:uid="{00000000-0005-0000-0000-0000E8370000}"/>
    <cellStyle name="Normal 2 2 2 2 4 2 2 18 5 3" xfId="14313" xr:uid="{00000000-0005-0000-0000-0000E9370000}"/>
    <cellStyle name="Normal 2 2 2 2 4 2 2 18 5 4" xfId="14314" xr:uid="{00000000-0005-0000-0000-0000EA370000}"/>
    <cellStyle name="Normal 2 2 2 2 4 2 2 18 5 5" xfId="14315" xr:uid="{00000000-0005-0000-0000-0000EB370000}"/>
    <cellStyle name="Normal 2 2 2 2 4 2 2 18 5 6" xfId="14316" xr:uid="{00000000-0005-0000-0000-0000EC370000}"/>
    <cellStyle name="Normal 2 2 2 2 4 2 2 18 5 7" xfId="14317" xr:uid="{00000000-0005-0000-0000-0000ED370000}"/>
    <cellStyle name="Normal 2 2 2 2 4 2 2 18 5 8" xfId="14318" xr:uid="{00000000-0005-0000-0000-0000EE370000}"/>
    <cellStyle name="Normal 2 2 2 2 4 2 2 18 5 9" xfId="14319" xr:uid="{00000000-0005-0000-0000-0000EF370000}"/>
    <cellStyle name="Normal 2 2 2 2 4 2 2 18 6" xfId="14320" xr:uid="{00000000-0005-0000-0000-0000F0370000}"/>
    <cellStyle name="Normal 2 2 2 2 4 2 2 18 7" xfId="14321" xr:uid="{00000000-0005-0000-0000-0000F1370000}"/>
    <cellStyle name="Normal 2 2 2 2 4 2 2 18 8" xfId="14322" xr:uid="{00000000-0005-0000-0000-0000F2370000}"/>
    <cellStyle name="Normal 2 2 2 2 4 2 2 18 9" xfId="14323" xr:uid="{00000000-0005-0000-0000-0000F3370000}"/>
    <cellStyle name="Normal 2 2 2 2 4 2 2 19" xfId="14324" xr:uid="{00000000-0005-0000-0000-0000F4370000}"/>
    <cellStyle name="Normal 2 2 2 2 4 2 2 19 10" xfId="14325" xr:uid="{00000000-0005-0000-0000-0000F5370000}"/>
    <cellStyle name="Normal 2 2 2 2 4 2 2 19 11" xfId="14326" xr:uid="{00000000-0005-0000-0000-0000F6370000}"/>
    <cellStyle name="Normal 2 2 2 2 4 2 2 19 12" xfId="14327" xr:uid="{00000000-0005-0000-0000-0000F7370000}"/>
    <cellStyle name="Normal 2 2 2 2 4 2 2 19 13" xfId="14328" xr:uid="{00000000-0005-0000-0000-0000F8370000}"/>
    <cellStyle name="Normal 2 2 2 2 4 2 2 19 14" xfId="14329" xr:uid="{00000000-0005-0000-0000-0000F9370000}"/>
    <cellStyle name="Normal 2 2 2 2 4 2 2 19 2" xfId="14330" xr:uid="{00000000-0005-0000-0000-0000FA370000}"/>
    <cellStyle name="Normal 2 2 2 2 4 2 2 19 2 10" xfId="14331" xr:uid="{00000000-0005-0000-0000-0000FB370000}"/>
    <cellStyle name="Normal 2 2 2 2 4 2 2 19 2 2" xfId="14332" xr:uid="{00000000-0005-0000-0000-0000FC370000}"/>
    <cellStyle name="Normal 2 2 2 2 4 2 2 19 2 3" xfId="14333" xr:uid="{00000000-0005-0000-0000-0000FD370000}"/>
    <cellStyle name="Normal 2 2 2 2 4 2 2 19 2 4" xfId="14334" xr:uid="{00000000-0005-0000-0000-0000FE370000}"/>
    <cellStyle name="Normal 2 2 2 2 4 2 2 19 2 5" xfId="14335" xr:uid="{00000000-0005-0000-0000-0000FF370000}"/>
    <cellStyle name="Normal 2 2 2 2 4 2 2 19 2 6" xfId="14336" xr:uid="{00000000-0005-0000-0000-000000380000}"/>
    <cellStyle name="Normal 2 2 2 2 4 2 2 19 2 7" xfId="14337" xr:uid="{00000000-0005-0000-0000-000001380000}"/>
    <cellStyle name="Normal 2 2 2 2 4 2 2 19 2 8" xfId="14338" xr:uid="{00000000-0005-0000-0000-000002380000}"/>
    <cellStyle name="Normal 2 2 2 2 4 2 2 19 2 9" xfId="14339" xr:uid="{00000000-0005-0000-0000-000003380000}"/>
    <cellStyle name="Normal 2 2 2 2 4 2 2 19 3" xfId="14340" xr:uid="{00000000-0005-0000-0000-000004380000}"/>
    <cellStyle name="Normal 2 2 2 2 4 2 2 19 3 10" xfId="14341" xr:uid="{00000000-0005-0000-0000-000005380000}"/>
    <cellStyle name="Normal 2 2 2 2 4 2 2 19 3 2" xfId="14342" xr:uid="{00000000-0005-0000-0000-000006380000}"/>
    <cellStyle name="Normal 2 2 2 2 4 2 2 19 3 3" xfId="14343" xr:uid="{00000000-0005-0000-0000-000007380000}"/>
    <cellStyle name="Normal 2 2 2 2 4 2 2 19 3 4" xfId="14344" xr:uid="{00000000-0005-0000-0000-000008380000}"/>
    <cellStyle name="Normal 2 2 2 2 4 2 2 19 3 5" xfId="14345" xr:uid="{00000000-0005-0000-0000-000009380000}"/>
    <cellStyle name="Normal 2 2 2 2 4 2 2 19 3 6" xfId="14346" xr:uid="{00000000-0005-0000-0000-00000A380000}"/>
    <cellStyle name="Normal 2 2 2 2 4 2 2 19 3 7" xfId="14347" xr:uid="{00000000-0005-0000-0000-00000B380000}"/>
    <cellStyle name="Normal 2 2 2 2 4 2 2 19 3 8" xfId="14348" xr:uid="{00000000-0005-0000-0000-00000C380000}"/>
    <cellStyle name="Normal 2 2 2 2 4 2 2 19 3 9" xfId="14349" xr:uid="{00000000-0005-0000-0000-00000D380000}"/>
    <cellStyle name="Normal 2 2 2 2 4 2 2 19 4" xfId="14350" xr:uid="{00000000-0005-0000-0000-00000E380000}"/>
    <cellStyle name="Normal 2 2 2 2 4 2 2 19 4 10" xfId="14351" xr:uid="{00000000-0005-0000-0000-00000F380000}"/>
    <cellStyle name="Normal 2 2 2 2 4 2 2 19 4 2" xfId="14352" xr:uid="{00000000-0005-0000-0000-000010380000}"/>
    <cellStyle name="Normal 2 2 2 2 4 2 2 19 4 3" xfId="14353" xr:uid="{00000000-0005-0000-0000-000011380000}"/>
    <cellStyle name="Normal 2 2 2 2 4 2 2 19 4 4" xfId="14354" xr:uid="{00000000-0005-0000-0000-000012380000}"/>
    <cellStyle name="Normal 2 2 2 2 4 2 2 19 4 5" xfId="14355" xr:uid="{00000000-0005-0000-0000-000013380000}"/>
    <cellStyle name="Normal 2 2 2 2 4 2 2 19 4 6" xfId="14356" xr:uid="{00000000-0005-0000-0000-000014380000}"/>
    <cellStyle name="Normal 2 2 2 2 4 2 2 19 4 7" xfId="14357" xr:uid="{00000000-0005-0000-0000-000015380000}"/>
    <cellStyle name="Normal 2 2 2 2 4 2 2 19 4 8" xfId="14358" xr:uid="{00000000-0005-0000-0000-000016380000}"/>
    <cellStyle name="Normal 2 2 2 2 4 2 2 19 4 9" xfId="14359" xr:uid="{00000000-0005-0000-0000-000017380000}"/>
    <cellStyle name="Normal 2 2 2 2 4 2 2 19 5" xfId="14360" xr:uid="{00000000-0005-0000-0000-000018380000}"/>
    <cellStyle name="Normal 2 2 2 2 4 2 2 19 5 10" xfId="14361" xr:uid="{00000000-0005-0000-0000-000019380000}"/>
    <cellStyle name="Normal 2 2 2 2 4 2 2 19 5 2" xfId="14362" xr:uid="{00000000-0005-0000-0000-00001A380000}"/>
    <cellStyle name="Normal 2 2 2 2 4 2 2 19 5 3" xfId="14363" xr:uid="{00000000-0005-0000-0000-00001B380000}"/>
    <cellStyle name="Normal 2 2 2 2 4 2 2 19 5 4" xfId="14364" xr:uid="{00000000-0005-0000-0000-00001C380000}"/>
    <cellStyle name="Normal 2 2 2 2 4 2 2 19 5 5" xfId="14365" xr:uid="{00000000-0005-0000-0000-00001D380000}"/>
    <cellStyle name="Normal 2 2 2 2 4 2 2 19 5 6" xfId="14366" xr:uid="{00000000-0005-0000-0000-00001E380000}"/>
    <cellStyle name="Normal 2 2 2 2 4 2 2 19 5 7" xfId="14367" xr:uid="{00000000-0005-0000-0000-00001F380000}"/>
    <cellStyle name="Normal 2 2 2 2 4 2 2 19 5 8" xfId="14368" xr:uid="{00000000-0005-0000-0000-000020380000}"/>
    <cellStyle name="Normal 2 2 2 2 4 2 2 19 5 9" xfId="14369" xr:uid="{00000000-0005-0000-0000-000021380000}"/>
    <cellStyle name="Normal 2 2 2 2 4 2 2 19 6" xfId="14370" xr:uid="{00000000-0005-0000-0000-000022380000}"/>
    <cellStyle name="Normal 2 2 2 2 4 2 2 19 7" xfId="14371" xr:uid="{00000000-0005-0000-0000-000023380000}"/>
    <cellStyle name="Normal 2 2 2 2 4 2 2 19 8" xfId="14372" xr:uid="{00000000-0005-0000-0000-000024380000}"/>
    <cellStyle name="Normal 2 2 2 2 4 2 2 19 9" xfId="14373" xr:uid="{00000000-0005-0000-0000-000025380000}"/>
    <cellStyle name="Normal 2 2 2 2 4 2 2 2" xfId="14374" xr:uid="{00000000-0005-0000-0000-000026380000}"/>
    <cellStyle name="Normal 2 2 2 2 4 2 2 2 10" xfId="14375" xr:uid="{00000000-0005-0000-0000-000027380000}"/>
    <cellStyle name="Normal 2 2 2 2 4 2 2 2 11" xfId="14376" xr:uid="{00000000-0005-0000-0000-000028380000}"/>
    <cellStyle name="Normal 2 2 2 2 4 2 2 2 12" xfId="14377" xr:uid="{00000000-0005-0000-0000-000029380000}"/>
    <cellStyle name="Normal 2 2 2 2 4 2 2 2 13" xfId="14378" xr:uid="{00000000-0005-0000-0000-00002A380000}"/>
    <cellStyle name="Normal 2 2 2 2 4 2 2 2 14" xfId="14379" xr:uid="{00000000-0005-0000-0000-00002B380000}"/>
    <cellStyle name="Normal 2 2 2 2 4 2 2 2 2" xfId="14380" xr:uid="{00000000-0005-0000-0000-00002C380000}"/>
    <cellStyle name="Normal 2 2 2 2 4 2 2 2 2 10" xfId="14381" xr:uid="{00000000-0005-0000-0000-00002D380000}"/>
    <cellStyle name="Normal 2 2 2 2 4 2 2 2 2 2" xfId="14382" xr:uid="{00000000-0005-0000-0000-00002E380000}"/>
    <cellStyle name="Normal 2 2 2 2 4 2 2 2 2 3" xfId="14383" xr:uid="{00000000-0005-0000-0000-00002F380000}"/>
    <cellStyle name="Normal 2 2 2 2 4 2 2 2 2 4" xfId="14384" xr:uid="{00000000-0005-0000-0000-000030380000}"/>
    <cellStyle name="Normal 2 2 2 2 4 2 2 2 2 5" xfId="14385" xr:uid="{00000000-0005-0000-0000-000031380000}"/>
    <cellStyle name="Normal 2 2 2 2 4 2 2 2 2 6" xfId="14386" xr:uid="{00000000-0005-0000-0000-000032380000}"/>
    <cellStyle name="Normal 2 2 2 2 4 2 2 2 2 7" xfId="14387" xr:uid="{00000000-0005-0000-0000-000033380000}"/>
    <cellStyle name="Normal 2 2 2 2 4 2 2 2 2 8" xfId="14388" xr:uid="{00000000-0005-0000-0000-000034380000}"/>
    <cellStyle name="Normal 2 2 2 2 4 2 2 2 2 9" xfId="14389" xr:uid="{00000000-0005-0000-0000-000035380000}"/>
    <cellStyle name="Normal 2 2 2 2 4 2 2 2 3" xfId="14390" xr:uid="{00000000-0005-0000-0000-000036380000}"/>
    <cellStyle name="Normal 2 2 2 2 4 2 2 2 3 10" xfId="14391" xr:uid="{00000000-0005-0000-0000-000037380000}"/>
    <cellStyle name="Normal 2 2 2 2 4 2 2 2 3 2" xfId="14392" xr:uid="{00000000-0005-0000-0000-000038380000}"/>
    <cellStyle name="Normal 2 2 2 2 4 2 2 2 3 3" xfId="14393" xr:uid="{00000000-0005-0000-0000-000039380000}"/>
    <cellStyle name="Normal 2 2 2 2 4 2 2 2 3 4" xfId="14394" xr:uid="{00000000-0005-0000-0000-00003A380000}"/>
    <cellStyle name="Normal 2 2 2 2 4 2 2 2 3 5" xfId="14395" xr:uid="{00000000-0005-0000-0000-00003B380000}"/>
    <cellStyle name="Normal 2 2 2 2 4 2 2 2 3 6" xfId="14396" xr:uid="{00000000-0005-0000-0000-00003C380000}"/>
    <cellStyle name="Normal 2 2 2 2 4 2 2 2 3 7" xfId="14397" xr:uid="{00000000-0005-0000-0000-00003D380000}"/>
    <cellStyle name="Normal 2 2 2 2 4 2 2 2 3 8" xfId="14398" xr:uid="{00000000-0005-0000-0000-00003E380000}"/>
    <cellStyle name="Normal 2 2 2 2 4 2 2 2 3 9" xfId="14399" xr:uid="{00000000-0005-0000-0000-00003F380000}"/>
    <cellStyle name="Normal 2 2 2 2 4 2 2 2 4" xfId="14400" xr:uid="{00000000-0005-0000-0000-000040380000}"/>
    <cellStyle name="Normal 2 2 2 2 4 2 2 2 4 10" xfId="14401" xr:uid="{00000000-0005-0000-0000-000041380000}"/>
    <cellStyle name="Normal 2 2 2 2 4 2 2 2 4 2" xfId="14402" xr:uid="{00000000-0005-0000-0000-000042380000}"/>
    <cellStyle name="Normal 2 2 2 2 4 2 2 2 4 3" xfId="14403" xr:uid="{00000000-0005-0000-0000-000043380000}"/>
    <cellStyle name="Normal 2 2 2 2 4 2 2 2 4 4" xfId="14404" xr:uid="{00000000-0005-0000-0000-000044380000}"/>
    <cellStyle name="Normal 2 2 2 2 4 2 2 2 4 5" xfId="14405" xr:uid="{00000000-0005-0000-0000-000045380000}"/>
    <cellStyle name="Normal 2 2 2 2 4 2 2 2 4 6" xfId="14406" xr:uid="{00000000-0005-0000-0000-000046380000}"/>
    <cellStyle name="Normal 2 2 2 2 4 2 2 2 4 7" xfId="14407" xr:uid="{00000000-0005-0000-0000-000047380000}"/>
    <cellStyle name="Normal 2 2 2 2 4 2 2 2 4 8" xfId="14408" xr:uid="{00000000-0005-0000-0000-000048380000}"/>
    <cellStyle name="Normal 2 2 2 2 4 2 2 2 4 9" xfId="14409" xr:uid="{00000000-0005-0000-0000-000049380000}"/>
    <cellStyle name="Normal 2 2 2 2 4 2 2 2 5" xfId="14410" xr:uid="{00000000-0005-0000-0000-00004A380000}"/>
    <cellStyle name="Normal 2 2 2 2 4 2 2 2 5 10" xfId="14411" xr:uid="{00000000-0005-0000-0000-00004B380000}"/>
    <cellStyle name="Normal 2 2 2 2 4 2 2 2 5 2" xfId="14412" xr:uid="{00000000-0005-0000-0000-00004C380000}"/>
    <cellStyle name="Normal 2 2 2 2 4 2 2 2 5 3" xfId="14413" xr:uid="{00000000-0005-0000-0000-00004D380000}"/>
    <cellStyle name="Normal 2 2 2 2 4 2 2 2 5 4" xfId="14414" xr:uid="{00000000-0005-0000-0000-00004E380000}"/>
    <cellStyle name="Normal 2 2 2 2 4 2 2 2 5 5" xfId="14415" xr:uid="{00000000-0005-0000-0000-00004F380000}"/>
    <cellStyle name="Normal 2 2 2 2 4 2 2 2 5 6" xfId="14416" xr:uid="{00000000-0005-0000-0000-000050380000}"/>
    <cellStyle name="Normal 2 2 2 2 4 2 2 2 5 7" xfId="14417" xr:uid="{00000000-0005-0000-0000-000051380000}"/>
    <cellStyle name="Normal 2 2 2 2 4 2 2 2 5 8" xfId="14418" xr:uid="{00000000-0005-0000-0000-000052380000}"/>
    <cellStyle name="Normal 2 2 2 2 4 2 2 2 5 9" xfId="14419" xr:uid="{00000000-0005-0000-0000-000053380000}"/>
    <cellStyle name="Normal 2 2 2 2 4 2 2 2 6" xfId="14420" xr:uid="{00000000-0005-0000-0000-000054380000}"/>
    <cellStyle name="Normal 2 2 2 2 4 2 2 2 7" xfId="14421" xr:uid="{00000000-0005-0000-0000-000055380000}"/>
    <cellStyle name="Normal 2 2 2 2 4 2 2 2 8" xfId="14422" xr:uid="{00000000-0005-0000-0000-000056380000}"/>
    <cellStyle name="Normal 2 2 2 2 4 2 2 2 9" xfId="14423" xr:uid="{00000000-0005-0000-0000-000057380000}"/>
    <cellStyle name="Normal 2 2 2 2 4 2 2 20" xfId="14424" xr:uid="{00000000-0005-0000-0000-000058380000}"/>
    <cellStyle name="Normal 2 2 2 2 4 2 2 20 10" xfId="14425" xr:uid="{00000000-0005-0000-0000-000059380000}"/>
    <cellStyle name="Normal 2 2 2 2 4 2 2 20 11" xfId="14426" xr:uid="{00000000-0005-0000-0000-00005A380000}"/>
    <cellStyle name="Normal 2 2 2 2 4 2 2 20 12" xfId="14427" xr:uid="{00000000-0005-0000-0000-00005B380000}"/>
    <cellStyle name="Normal 2 2 2 2 4 2 2 20 13" xfId="14428" xr:uid="{00000000-0005-0000-0000-00005C380000}"/>
    <cellStyle name="Normal 2 2 2 2 4 2 2 20 14" xfId="14429" xr:uid="{00000000-0005-0000-0000-00005D380000}"/>
    <cellStyle name="Normal 2 2 2 2 4 2 2 20 2" xfId="14430" xr:uid="{00000000-0005-0000-0000-00005E380000}"/>
    <cellStyle name="Normal 2 2 2 2 4 2 2 20 2 10" xfId="14431" xr:uid="{00000000-0005-0000-0000-00005F380000}"/>
    <cellStyle name="Normal 2 2 2 2 4 2 2 20 2 2" xfId="14432" xr:uid="{00000000-0005-0000-0000-000060380000}"/>
    <cellStyle name="Normal 2 2 2 2 4 2 2 20 2 3" xfId="14433" xr:uid="{00000000-0005-0000-0000-000061380000}"/>
    <cellStyle name="Normal 2 2 2 2 4 2 2 20 2 4" xfId="14434" xr:uid="{00000000-0005-0000-0000-000062380000}"/>
    <cellStyle name="Normal 2 2 2 2 4 2 2 20 2 5" xfId="14435" xr:uid="{00000000-0005-0000-0000-000063380000}"/>
    <cellStyle name="Normal 2 2 2 2 4 2 2 20 2 6" xfId="14436" xr:uid="{00000000-0005-0000-0000-000064380000}"/>
    <cellStyle name="Normal 2 2 2 2 4 2 2 20 2 7" xfId="14437" xr:uid="{00000000-0005-0000-0000-000065380000}"/>
    <cellStyle name="Normal 2 2 2 2 4 2 2 20 2 8" xfId="14438" xr:uid="{00000000-0005-0000-0000-000066380000}"/>
    <cellStyle name="Normal 2 2 2 2 4 2 2 20 2 9" xfId="14439" xr:uid="{00000000-0005-0000-0000-000067380000}"/>
    <cellStyle name="Normal 2 2 2 2 4 2 2 20 3" xfId="14440" xr:uid="{00000000-0005-0000-0000-000068380000}"/>
    <cellStyle name="Normal 2 2 2 2 4 2 2 20 3 10" xfId="14441" xr:uid="{00000000-0005-0000-0000-000069380000}"/>
    <cellStyle name="Normal 2 2 2 2 4 2 2 20 3 2" xfId="14442" xr:uid="{00000000-0005-0000-0000-00006A380000}"/>
    <cellStyle name="Normal 2 2 2 2 4 2 2 20 3 3" xfId="14443" xr:uid="{00000000-0005-0000-0000-00006B380000}"/>
    <cellStyle name="Normal 2 2 2 2 4 2 2 20 3 4" xfId="14444" xr:uid="{00000000-0005-0000-0000-00006C380000}"/>
    <cellStyle name="Normal 2 2 2 2 4 2 2 20 3 5" xfId="14445" xr:uid="{00000000-0005-0000-0000-00006D380000}"/>
    <cellStyle name="Normal 2 2 2 2 4 2 2 20 3 6" xfId="14446" xr:uid="{00000000-0005-0000-0000-00006E380000}"/>
    <cellStyle name="Normal 2 2 2 2 4 2 2 20 3 7" xfId="14447" xr:uid="{00000000-0005-0000-0000-00006F380000}"/>
    <cellStyle name="Normal 2 2 2 2 4 2 2 20 3 8" xfId="14448" xr:uid="{00000000-0005-0000-0000-000070380000}"/>
    <cellStyle name="Normal 2 2 2 2 4 2 2 20 3 9" xfId="14449" xr:uid="{00000000-0005-0000-0000-000071380000}"/>
    <cellStyle name="Normal 2 2 2 2 4 2 2 20 4" xfId="14450" xr:uid="{00000000-0005-0000-0000-000072380000}"/>
    <cellStyle name="Normal 2 2 2 2 4 2 2 20 4 10" xfId="14451" xr:uid="{00000000-0005-0000-0000-000073380000}"/>
    <cellStyle name="Normal 2 2 2 2 4 2 2 20 4 2" xfId="14452" xr:uid="{00000000-0005-0000-0000-000074380000}"/>
    <cellStyle name="Normal 2 2 2 2 4 2 2 20 4 3" xfId="14453" xr:uid="{00000000-0005-0000-0000-000075380000}"/>
    <cellStyle name="Normal 2 2 2 2 4 2 2 20 4 4" xfId="14454" xr:uid="{00000000-0005-0000-0000-000076380000}"/>
    <cellStyle name="Normal 2 2 2 2 4 2 2 20 4 5" xfId="14455" xr:uid="{00000000-0005-0000-0000-000077380000}"/>
    <cellStyle name="Normal 2 2 2 2 4 2 2 20 4 6" xfId="14456" xr:uid="{00000000-0005-0000-0000-000078380000}"/>
    <cellStyle name="Normal 2 2 2 2 4 2 2 20 4 7" xfId="14457" xr:uid="{00000000-0005-0000-0000-000079380000}"/>
    <cellStyle name="Normal 2 2 2 2 4 2 2 20 4 8" xfId="14458" xr:uid="{00000000-0005-0000-0000-00007A380000}"/>
    <cellStyle name="Normal 2 2 2 2 4 2 2 20 4 9" xfId="14459" xr:uid="{00000000-0005-0000-0000-00007B380000}"/>
    <cellStyle name="Normal 2 2 2 2 4 2 2 20 5" xfId="14460" xr:uid="{00000000-0005-0000-0000-00007C380000}"/>
    <cellStyle name="Normal 2 2 2 2 4 2 2 20 5 10" xfId="14461" xr:uid="{00000000-0005-0000-0000-00007D380000}"/>
    <cellStyle name="Normal 2 2 2 2 4 2 2 20 5 2" xfId="14462" xr:uid="{00000000-0005-0000-0000-00007E380000}"/>
    <cellStyle name="Normal 2 2 2 2 4 2 2 20 5 3" xfId="14463" xr:uid="{00000000-0005-0000-0000-00007F380000}"/>
    <cellStyle name="Normal 2 2 2 2 4 2 2 20 5 4" xfId="14464" xr:uid="{00000000-0005-0000-0000-000080380000}"/>
    <cellStyle name="Normal 2 2 2 2 4 2 2 20 5 5" xfId="14465" xr:uid="{00000000-0005-0000-0000-000081380000}"/>
    <cellStyle name="Normal 2 2 2 2 4 2 2 20 5 6" xfId="14466" xr:uid="{00000000-0005-0000-0000-000082380000}"/>
    <cellStyle name="Normal 2 2 2 2 4 2 2 20 5 7" xfId="14467" xr:uid="{00000000-0005-0000-0000-000083380000}"/>
    <cellStyle name="Normal 2 2 2 2 4 2 2 20 5 8" xfId="14468" xr:uid="{00000000-0005-0000-0000-000084380000}"/>
    <cellStyle name="Normal 2 2 2 2 4 2 2 20 5 9" xfId="14469" xr:uid="{00000000-0005-0000-0000-000085380000}"/>
    <cellStyle name="Normal 2 2 2 2 4 2 2 20 6" xfId="14470" xr:uid="{00000000-0005-0000-0000-000086380000}"/>
    <cellStyle name="Normal 2 2 2 2 4 2 2 20 7" xfId="14471" xr:uid="{00000000-0005-0000-0000-000087380000}"/>
    <cellStyle name="Normal 2 2 2 2 4 2 2 20 8" xfId="14472" xr:uid="{00000000-0005-0000-0000-000088380000}"/>
    <cellStyle name="Normal 2 2 2 2 4 2 2 20 9" xfId="14473" xr:uid="{00000000-0005-0000-0000-000089380000}"/>
    <cellStyle name="Normal 2 2 2 2 4 2 2 3" xfId="14474" xr:uid="{00000000-0005-0000-0000-00008A380000}"/>
    <cellStyle name="Normal 2 2 2 2 4 2 2 3 10" xfId="14475" xr:uid="{00000000-0005-0000-0000-00008B380000}"/>
    <cellStyle name="Normal 2 2 2 2 4 2 2 3 11" xfId="14476" xr:uid="{00000000-0005-0000-0000-00008C380000}"/>
    <cellStyle name="Normal 2 2 2 2 4 2 2 3 12" xfId="14477" xr:uid="{00000000-0005-0000-0000-00008D380000}"/>
    <cellStyle name="Normal 2 2 2 2 4 2 2 3 13" xfId="14478" xr:uid="{00000000-0005-0000-0000-00008E380000}"/>
    <cellStyle name="Normal 2 2 2 2 4 2 2 3 14" xfId="14479" xr:uid="{00000000-0005-0000-0000-00008F380000}"/>
    <cellStyle name="Normal 2 2 2 2 4 2 2 3 2" xfId="14480" xr:uid="{00000000-0005-0000-0000-000090380000}"/>
    <cellStyle name="Normal 2 2 2 2 4 2 2 3 2 10" xfId="14481" xr:uid="{00000000-0005-0000-0000-000091380000}"/>
    <cellStyle name="Normal 2 2 2 2 4 2 2 3 2 2" xfId="14482" xr:uid="{00000000-0005-0000-0000-000092380000}"/>
    <cellStyle name="Normal 2 2 2 2 4 2 2 3 2 3" xfId="14483" xr:uid="{00000000-0005-0000-0000-000093380000}"/>
    <cellStyle name="Normal 2 2 2 2 4 2 2 3 2 4" xfId="14484" xr:uid="{00000000-0005-0000-0000-000094380000}"/>
    <cellStyle name="Normal 2 2 2 2 4 2 2 3 2 5" xfId="14485" xr:uid="{00000000-0005-0000-0000-000095380000}"/>
    <cellStyle name="Normal 2 2 2 2 4 2 2 3 2 6" xfId="14486" xr:uid="{00000000-0005-0000-0000-000096380000}"/>
    <cellStyle name="Normal 2 2 2 2 4 2 2 3 2 7" xfId="14487" xr:uid="{00000000-0005-0000-0000-000097380000}"/>
    <cellStyle name="Normal 2 2 2 2 4 2 2 3 2 8" xfId="14488" xr:uid="{00000000-0005-0000-0000-000098380000}"/>
    <cellStyle name="Normal 2 2 2 2 4 2 2 3 2 9" xfId="14489" xr:uid="{00000000-0005-0000-0000-000099380000}"/>
    <cellStyle name="Normal 2 2 2 2 4 2 2 3 3" xfId="14490" xr:uid="{00000000-0005-0000-0000-00009A380000}"/>
    <cellStyle name="Normal 2 2 2 2 4 2 2 3 3 10" xfId="14491" xr:uid="{00000000-0005-0000-0000-00009B380000}"/>
    <cellStyle name="Normal 2 2 2 2 4 2 2 3 3 2" xfId="14492" xr:uid="{00000000-0005-0000-0000-00009C380000}"/>
    <cellStyle name="Normal 2 2 2 2 4 2 2 3 3 3" xfId="14493" xr:uid="{00000000-0005-0000-0000-00009D380000}"/>
    <cellStyle name="Normal 2 2 2 2 4 2 2 3 3 4" xfId="14494" xr:uid="{00000000-0005-0000-0000-00009E380000}"/>
    <cellStyle name="Normal 2 2 2 2 4 2 2 3 3 5" xfId="14495" xr:uid="{00000000-0005-0000-0000-00009F380000}"/>
    <cellStyle name="Normal 2 2 2 2 4 2 2 3 3 6" xfId="14496" xr:uid="{00000000-0005-0000-0000-0000A0380000}"/>
    <cellStyle name="Normal 2 2 2 2 4 2 2 3 3 7" xfId="14497" xr:uid="{00000000-0005-0000-0000-0000A1380000}"/>
    <cellStyle name="Normal 2 2 2 2 4 2 2 3 3 8" xfId="14498" xr:uid="{00000000-0005-0000-0000-0000A2380000}"/>
    <cellStyle name="Normal 2 2 2 2 4 2 2 3 3 9" xfId="14499" xr:uid="{00000000-0005-0000-0000-0000A3380000}"/>
    <cellStyle name="Normal 2 2 2 2 4 2 2 3 4" xfId="14500" xr:uid="{00000000-0005-0000-0000-0000A4380000}"/>
    <cellStyle name="Normal 2 2 2 2 4 2 2 3 4 10" xfId="14501" xr:uid="{00000000-0005-0000-0000-0000A5380000}"/>
    <cellStyle name="Normal 2 2 2 2 4 2 2 3 4 2" xfId="14502" xr:uid="{00000000-0005-0000-0000-0000A6380000}"/>
    <cellStyle name="Normal 2 2 2 2 4 2 2 3 4 3" xfId="14503" xr:uid="{00000000-0005-0000-0000-0000A7380000}"/>
    <cellStyle name="Normal 2 2 2 2 4 2 2 3 4 4" xfId="14504" xr:uid="{00000000-0005-0000-0000-0000A8380000}"/>
    <cellStyle name="Normal 2 2 2 2 4 2 2 3 4 5" xfId="14505" xr:uid="{00000000-0005-0000-0000-0000A9380000}"/>
    <cellStyle name="Normal 2 2 2 2 4 2 2 3 4 6" xfId="14506" xr:uid="{00000000-0005-0000-0000-0000AA380000}"/>
    <cellStyle name="Normal 2 2 2 2 4 2 2 3 4 7" xfId="14507" xr:uid="{00000000-0005-0000-0000-0000AB380000}"/>
    <cellStyle name="Normal 2 2 2 2 4 2 2 3 4 8" xfId="14508" xr:uid="{00000000-0005-0000-0000-0000AC380000}"/>
    <cellStyle name="Normal 2 2 2 2 4 2 2 3 4 9" xfId="14509" xr:uid="{00000000-0005-0000-0000-0000AD380000}"/>
    <cellStyle name="Normal 2 2 2 2 4 2 2 3 5" xfId="14510" xr:uid="{00000000-0005-0000-0000-0000AE380000}"/>
    <cellStyle name="Normal 2 2 2 2 4 2 2 3 5 10" xfId="14511" xr:uid="{00000000-0005-0000-0000-0000AF380000}"/>
    <cellStyle name="Normal 2 2 2 2 4 2 2 3 5 2" xfId="14512" xr:uid="{00000000-0005-0000-0000-0000B0380000}"/>
    <cellStyle name="Normal 2 2 2 2 4 2 2 3 5 3" xfId="14513" xr:uid="{00000000-0005-0000-0000-0000B1380000}"/>
    <cellStyle name="Normal 2 2 2 2 4 2 2 3 5 4" xfId="14514" xr:uid="{00000000-0005-0000-0000-0000B2380000}"/>
    <cellStyle name="Normal 2 2 2 2 4 2 2 3 5 5" xfId="14515" xr:uid="{00000000-0005-0000-0000-0000B3380000}"/>
    <cellStyle name="Normal 2 2 2 2 4 2 2 3 5 6" xfId="14516" xr:uid="{00000000-0005-0000-0000-0000B4380000}"/>
    <cellStyle name="Normal 2 2 2 2 4 2 2 3 5 7" xfId="14517" xr:uid="{00000000-0005-0000-0000-0000B5380000}"/>
    <cellStyle name="Normal 2 2 2 2 4 2 2 3 5 8" xfId="14518" xr:uid="{00000000-0005-0000-0000-0000B6380000}"/>
    <cellStyle name="Normal 2 2 2 2 4 2 2 3 5 9" xfId="14519" xr:uid="{00000000-0005-0000-0000-0000B7380000}"/>
    <cellStyle name="Normal 2 2 2 2 4 2 2 3 6" xfId="14520" xr:uid="{00000000-0005-0000-0000-0000B8380000}"/>
    <cellStyle name="Normal 2 2 2 2 4 2 2 3 7" xfId="14521" xr:uid="{00000000-0005-0000-0000-0000B9380000}"/>
    <cellStyle name="Normal 2 2 2 2 4 2 2 3 8" xfId="14522" xr:uid="{00000000-0005-0000-0000-0000BA380000}"/>
    <cellStyle name="Normal 2 2 2 2 4 2 2 3 9" xfId="14523" xr:uid="{00000000-0005-0000-0000-0000BB380000}"/>
    <cellStyle name="Normal 2 2 2 2 4 2 2 4" xfId="14524" xr:uid="{00000000-0005-0000-0000-0000BC380000}"/>
    <cellStyle name="Normal 2 2 2 2 4 2 2 4 10" xfId="14525" xr:uid="{00000000-0005-0000-0000-0000BD380000}"/>
    <cellStyle name="Normal 2 2 2 2 4 2 2 4 11" xfId="14526" xr:uid="{00000000-0005-0000-0000-0000BE380000}"/>
    <cellStyle name="Normal 2 2 2 2 4 2 2 4 12" xfId="14527" xr:uid="{00000000-0005-0000-0000-0000BF380000}"/>
    <cellStyle name="Normal 2 2 2 2 4 2 2 4 13" xfId="14528" xr:uid="{00000000-0005-0000-0000-0000C0380000}"/>
    <cellStyle name="Normal 2 2 2 2 4 2 2 4 14" xfId="14529" xr:uid="{00000000-0005-0000-0000-0000C1380000}"/>
    <cellStyle name="Normal 2 2 2 2 4 2 2 4 2" xfId="14530" xr:uid="{00000000-0005-0000-0000-0000C2380000}"/>
    <cellStyle name="Normal 2 2 2 2 4 2 2 4 2 10" xfId="14531" xr:uid="{00000000-0005-0000-0000-0000C3380000}"/>
    <cellStyle name="Normal 2 2 2 2 4 2 2 4 2 2" xfId="14532" xr:uid="{00000000-0005-0000-0000-0000C4380000}"/>
    <cellStyle name="Normal 2 2 2 2 4 2 2 4 2 3" xfId="14533" xr:uid="{00000000-0005-0000-0000-0000C5380000}"/>
    <cellStyle name="Normal 2 2 2 2 4 2 2 4 2 4" xfId="14534" xr:uid="{00000000-0005-0000-0000-0000C6380000}"/>
    <cellStyle name="Normal 2 2 2 2 4 2 2 4 2 5" xfId="14535" xr:uid="{00000000-0005-0000-0000-0000C7380000}"/>
    <cellStyle name="Normal 2 2 2 2 4 2 2 4 2 6" xfId="14536" xr:uid="{00000000-0005-0000-0000-0000C8380000}"/>
    <cellStyle name="Normal 2 2 2 2 4 2 2 4 2 7" xfId="14537" xr:uid="{00000000-0005-0000-0000-0000C9380000}"/>
    <cellStyle name="Normal 2 2 2 2 4 2 2 4 2 8" xfId="14538" xr:uid="{00000000-0005-0000-0000-0000CA380000}"/>
    <cellStyle name="Normal 2 2 2 2 4 2 2 4 2 9" xfId="14539" xr:uid="{00000000-0005-0000-0000-0000CB380000}"/>
    <cellStyle name="Normal 2 2 2 2 4 2 2 4 3" xfId="14540" xr:uid="{00000000-0005-0000-0000-0000CC380000}"/>
    <cellStyle name="Normal 2 2 2 2 4 2 2 4 3 10" xfId="14541" xr:uid="{00000000-0005-0000-0000-0000CD380000}"/>
    <cellStyle name="Normal 2 2 2 2 4 2 2 4 3 2" xfId="14542" xr:uid="{00000000-0005-0000-0000-0000CE380000}"/>
    <cellStyle name="Normal 2 2 2 2 4 2 2 4 3 3" xfId="14543" xr:uid="{00000000-0005-0000-0000-0000CF380000}"/>
    <cellStyle name="Normal 2 2 2 2 4 2 2 4 3 4" xfId="14544" xr:uid="{00000000-0005-0000-0000-0000D0380000}"/>
    <cellStyle name="Normal 2 2 2 2 4 2 2 4 3 5" xfId="14545" xr:uid="{00000000-0005-0000-0000-0000D1380000}"/>
    <cellStyle name="Normal 2 2 2 2 4 2 2 4 3 6" xfId="14546" xr:uid="{00000000-0005-0000-0000-0000D2380000}"/>
    <cellStyle name="Normal 2 2 2 2 4 2 2 4 3 7" xfId="14547" xr:uid="{00000000-0005-0000-0000-0000D3380000}"/>
    <cellStyle name="Normal 2 2 2 2 4 2 2 4 3 8" xfId="14548" xr:uid="{00000000-0005-0000-0000-0000D4380000}"/>
    <cellStyle name="Normal 2 2 2 2 4 2 2 4 3 9" xfId="14549" xr:uid="{00000000-0005-0000-0000-0000D5380000}"/>
    <cellStyle name="Normal 2 2 2 2 4 2 2 4 4" xfId="14550" xr:uid="{00000000-0005-0000-0000-0000D6380000}"/>
    <cellStyle name="Normal 2 2 2 2 4 2 2 4 4 10" xfId="14551" xr:uid="{00000000-0005-0000-0000-0000D7380000}"/>
    <cellStyle name="Normal 2 2 2 2 4 2 2 4 4 2" xfId="14552" xr:uid="{00000000-0005-0000-0000-0000D8380000}"/>
    <cellStyle name="Normal 2 2 2 2 4 2 2 4 4 3" xfId="14553" xr:uid="{00000000-0005-0000-0000-0000D9380000}"/>
    <cellStyle name="Normal 2 2 2 2 4 2 2 4 4 4" xfId="14554" xr:uid="{00000000-0005-0000-0000-0000DA380000}"/>
    <cellStyle name="Normal 2 2 2 2 4 2 2 4 4 5" xfId="14555" xr:uid="{00000000-0005-0000-0000-0000DB380000}"/>
    <cellStyle name="Normal 2 2 2 2 4 2 2 4 4 6" xfId="14556" xr:uid="{00000000-0005-0000-0000-0000DC380000}"/>
    <cellStyle name="Normal 2 2 2 2 4 2 2 4 4 7" xfId="14557" xr:uid="{00000000-0005-0000-0000-0000DD380000}"/>
    <cellStyle name="Normal 2 2 2 2 4 2 2 4 4 8" xfId="14558" xr:uid="{00000000-0005-0000-0000-0000DE380000}"/>
    <cellStyle name="Normal 2 2 2 2 4 2 2 4 4 9" xfId="14559" xr:uid="{00000000-0005-0000-0000-0000DF380000}"/>
    <cellStyle name="Normal 2 2 2 2 4 2 2 4 5" xfId="14560" xr:uid="{00000000-0005-0000-0000-0000E0380000}"/>
    <cellStyle name="Normal 2 2 2 2 4 2 2 4 5 10" xfId="14561" xr:uid="{00000000-0005-0000-0000-0000E1380000}"/>
    <cellStyle name="Normal 2 2 2 2 4 2 2 4 5 2" xfId="14562" xr:uid="{00000000-0005-0000-0000-0000E2380000}"/>
    <cellStyle name="Normal 2 2 2 2 4 2 2 4 5 3" xfId="14563" xr:uid="{00000000-0005-0000-0000-0000E3380000}"/>
    <cellStyle name="Normal 2 2 2 2 4 2 2 4 5 4" xfId="14564" xr:uid="{00000000-0005-0000-0000-0000E4380000}"/>
    <cellStyle name="Normal 2 2 2 2 4 2 2 4 5 5" xfId="14565" xr:uid="{00000000-0005-0000-0000-0000E5380000}"/>
    <cellStyle name="Normal 2 2 2 2 4 2 2 4 5 6" xfId="14566" xr:uid="{00000000-0005-0000-0000-0000E6380000}"/>
    <cellStyle name="Normal 2 2 2 2 4 2 2 4 5 7" xfId="14567" xr:uid="{00000000-0005-0000-0000-0000E7380000}"/>
    <cellStyle name="Normal 2 2 2 2 4 2 2 4 5 8" xfId="14568" xr:uid="{00000000-0005-0000-0000-0000E8380000}"/>
    <cellStyle name="Normal 2 2 2 2 4 2 2 4 5 9" xfId="14569" xr:uid="{00000000-0005-0000-0000-0000E9380000}"/>
    <cellStyle name="Normal 2 2 2 2 4 2 2 4 6" xfId="14570" xr:uid="{00000000-0005-0000-0000-0000EA380000}"/>
    <cellStyle name="Normal 2 2 2 2 4 2 2 4 7" xfId="14571" xr:uid="{00000000-0005-0000-0000-0000EB380000}"/>
    <cellStyle name="Normal 2 2 2 2 4 2 2 4 8" xfId="14572" xr:uid="{00000000-0005-0000-0000-0000EC380000}"/>
    <cellStyle name="Normal 2 2 2 2 4 2 2 4 9" xfId="14573" xr:uid="{00000000-0005-0000-0000-0000ED380000}"/>
    <cellStyle name="Normal 2 2 2 2 4 2 2 5" xfId="14574" xr:uid="{00000000-0005-0000-0000-0000EE380000}"/>
    <cellStyle name="Normal 2 2 2 2 4 2 2 5 10" xfId="14575" xr:uid="{00000000-0005-0000-0000-0000EF380000}"/>
    <cellStyle name="Normal 2 2 2 2 4 2 2 5 11" xfId="14576" xr:uid="{00000000-0005-0000-0000-0000F0380000}"/>
    <cellStyle name="Normal 2 2 2 2 4 2 2 5 12" xfId="14577" xr:uid="{00000000-0005-0000-0000-0000F1380000}"/>
    <cellStyle name="Normal 2 2 2 2 4 2 2 5 13" xfId="14578" xr:uid="{00000000-0005-0000-0000-0000F2380000}"/>
    <cellStyle name="Normal 2 2 2 2 4 2 2 5 14" xfId="14579" xr:uid="{00000000-0005-0000-0000-0000F3380000}"/>
    <cellStyle name="Normal 2 2 2 2 4 2 2 5 2" xfId="14580" xr:uid="{00000000-0005-0000-0000-0000F4380000}"/>
    <cellStyle name="Normal 2 2 2 2 4 2 2 5 2 10" xfId="14581" xr:uid="{00000000-0005-0000-0000-0000F5380000}"/>
    <cellStyle name="Normal 2 2 2 2 4 2 2 5 2 2" xfId="14582" xr:uid="{00000000-0005-0000-0000-0000F6380000}"/>
    <cellStyle name="Normal 2 2 2 2 4 2 2 5 2 3" xfId="14583" xr:uid="{00000000-0005-0000-0000-0000F7380000}"/>
    <cellStyle name="Normal 2 2 2 2 4 2 2 5 2 4" xfId="14584" xr:uid="{00000000-0005-0000-0000-0000F8380000}"/>
    <cellStyle name="Normal 2 2 2 2 4 2 2 5 2 5" xfId="14585" xr:uid="{00000000-0005-0000-0000-0000F9380000}"/>
    <cellStyle name="Normal 2 2 2 2 4 2 2 5 2 6" xfId="14586" xr:uid="{00000000-0005-0000-0000-0000FA380000}"/>
    <cellStyle name="Normal 2 2 2 2 4 2 2 5 2 7" xfId="14587" xr:uid="{00000000-0005-0000-0000-0000FB380000}"/>
    <cellStyle name="Normal 2 2 2 2 4 2 2 5 2 8" xfId="14588" xr:uid="{00000000-0005-0000-0000-0000FC380000}"/>
    <cellStyle name="Normal 2 2 2 2 4 2 2 5 2 9" xfId="14589" xr:uid="{00000000-0005-0000-0000-0000FD380000}"/>
    <cellStyle name="Normal 2 2 2 2 4 2 2 5 3" xfId="14590" xr:uid="{00000000-0005-0000-0000-0000FE380000}"/>
    <cellStyle name="Normal 2 2 2 2 4 2 2 5 3 10" xfId="14591" xr:uid="{00000000-0005-0000-0000-0000FF380000}"/>
    <cellStyle name="Normal 2 2 2 2 4 2 2 5 3 2" xfId="14592" xr:uid="{00000000-0005-0000-0000-000000390000}"/>
    <cellStyle name="Normal 2 2 2 2 4 2 2 5 3 3" xfId="14593" xr:uid="{00000000-0005-0000-0000-000001390000}"/>
    <cellStyle name="Normal 2 2 2 2 4 2 2 5 3 4" xfId="14594" xr:uid="{00000000-0005-0000-0000-000002390000}"/>
    <cellStyle name="Normal 2 2 2 2 4 2 2 5 3 5" xfId="14595" xr:uid="{00000000-0005-0000-0000-000003390000}"/>
    <cellStyle name="Normal 2 2 2 2 4 2 2 5 3 6" xfId="14596" xr:uid="{00000000-0005-0000-0000-000004390000}"/>
    <cellStyle name="Normal 2 2 2 2 4 2 2 5 3 7" xfId="14597" xr:uid="{00000000-0005-0000-0000-000005390000}"/>
    <cellStyle name="Normal 2 2 2 2 4 2 2 5 3 8" xfId="14598" xr:uid="{00000000-0005-0000-0000-000006390000}"/>
    <cellStyle name="Normal 2 2 2 2 4 2 2 5 3 9" xfId="14599" xr:uid="{00000000-0005-0000-0000-000007390000}"/>
    <cellStyle name="Normal 2 2 2 2 4 2 2 5 4" xfId="14600" xr:uid="{00000000-0005-0000-0000-000008390000}"/>
    <cellStyle name="Normal 2 2 2 2 4 2 2 5 4 10" xfId="14601" xr:uid="{00000000-0005-0000-0000-000009390000}"/>
    <cellStyle name="Normal 2 2 2 2 4 2 2 5 4 2" xfId="14602" xr:uid="{00000000-0005-0000-0000-00000A390000}"/>
    <cellStyle name="Normal 2 2 2 2 4 2 2 5 4 3" xfId="14603" xr:uid="{00000000-0005-0000-0000-00000B390000}"/>
    <cellStyle name="Normal 2 2 2 2 4 2 2 5 4 4" xfId="14604" xr:uid="{00000000-0005-0000-0000-00000C390000}"/>
    <cellStyle name="Normal 2 2 2 2 4 2 2 5 4 5" xfId="14605" xr:uid="{00000000-0005-0000-0000-00000D390000}"/>
    <cellStyle name="Normal 2 2 2 2 4 2 2 5 4 6" xfId="14606" xr:uid="{00000000-0005-0000-0000-00000E390000}"/>
    <cellStyle name="Normal 2 2 2 2 4 2 2 5 4 7" xfId="14607" xr:uid="{00000000-0005-0000-0000-00000F390000}"/>
    <cellStyle name="Normal 2 2 2 2 4 2 2 5 4 8" xfId="14608" xr:uid="{00000000-0005-0000-0000-000010390000}"/>
    <cellStyle name="Normal 2 2 2 2 4 2 2 5 4 9" xfId="14609" xr:uid="{00000000-0005-0000-0000-000011390000}"/>
    <cellStyle name="Normal 2 2 2 2 4 2 2 5 5" xfId="14610" xr:uid="{00000000-0005-0000-0000-000012390000}"/>
    <cellStyle name="Normal 2 2 2 2 4 2 2 5 5 10" xfId="14611" xr:uid="{00000000-0005-0000-0000-000013390000}"/>
    <cellStyle name="Normal 2 2 2 2 4 2 2 5 5 2" xfId="14612" xr:uid="{00000000-0005-0000-0000-000014390000}"/>
    <cellStyle name="Normal 2 2 2 2 4 2 2 5 5 3" xfId="14613" xr:uid="{00000000-0005-0000-0000-000015390000}"/>
    <cellStyle name="Normal 2 2 2 2 4 2 2 5 5 4" xfId="14614" xr:uid="{00000000-0005-0000-0000-000016390000}"/>
    <cellStyle name="Normal 2 2 2 2 4 2 2 5 5 5" xfId="14615" xr:uid="{00000000-0005-0000-0000-000017390000}"/>
    <cellStyle name="Normal 2 2 2 2 4 2 2 5 5 6" xfId="14616" xr:uid="{00000000-0005-0000-0000-000018390000}"/>
    <cellStyle name="Normal 2 2 2 2 4 2 2 5 5 7" xfId="14617" xr:uid="{00000000-0005-0000-0000-000019390000}"/>
    <cellStyle name="Normal 2 2 2 2 4 2 2 5 5 8" xfId="14618" xr:uid="{00000000-0005-0000-0000-00001A390000}"/>
    <cellStyle name="Normal 2 2 2 2 4 2 2 5 5 9" xfId="14619" xr:uid="{00000000-0005-0000-0000-00001B390000}"/>
    <cellStyle name="Normal 2 2 2 2 4 2 2 5 6" xfId="14620" xr:uid="{00000000-0005-0000-0000-00001C390000}"/>
    <cellStyle name="Normal 2 2 2 2 4 2 2 5 7" xfId="14621" xr:uid="{00000000-0005-0000-0000-00001D390000}"/>
    <cellStyle name="Normal 2 2 2 2 4 2 2 5 8" xfId="14622" xr:uid="{00000000-0005-0000-0000-00001E390000}"/>
    <cellStyle name="Normal 2 2 2 2 4 2 2 5 9" xfId="14623" xr:uid="{00000000-0005-0000-0000-00001F390000}"/>
    <cellStyle name="Normal 2 2 2 2 4 2 2 6" xfId="14624" xr:uid="{00000000-0005-0000-0000-000020390000}"/>
    <cellStyle name="Normal 2 2 2 2 4 2 2 6 10" xfId="14625" xr:uid="{00000000-0005-0000-0000-000021390000}"/>
    <cellStyle name="Normal 2 2 2 2 4 2 2 6 11" xfId="14626" xr:uid="{00000000-0005-0000-0000-000022390000}"/>
    <cellStyle name="Normal 2 2 2 2 4 2 2 6 12" xfId="14627" xr:uid="{00000000-0005-0000-0000-000023390000}"/>
    <cellStyle name="Normal 2 2 2 2 4 2 2 6 13" xfId="14628" xr:uid="{00000000-0005-0000-0000-000024390000}"/>
    <cellStyle name="Normal 2 2 2 2 4 2 2 6 14" xfId="14629" xr:uid="{00000000-0005-0000-0000-000025390000}"/>
    <cellStyle name="Normal 2 2 2 2 4 2 2 6 2" xfId="14630" xr:uid="{00000000-0005-0000-0000-000026390000}"/>
    <cellStyle name="Normal 2 2 2 2 4 2 2 6 2 10" xfId="14631" xr:uid="{00000000-0005-0000-0000-000027390000}"/>
    <cellStyle name="Normal 2 2 2 2 4 2 2 6 2 2" xfId="14632" xr:uid="{00000000-0005-0000-0000-000028390000}"/>
    <cellStyle name="Normal 2 2 2 2 4 2 2 6 2 3" xfId="14633" xr:uid="{00000000-0005-0000-0000-000029390000}"/>
    <cellStyle name="Normal 2 2 2 2 4 2 2 6 2 4" xfId="14634" xr:uid="{00000000-0005-0000-0000-00002A390000}"/>
    <cellStyle name="Normal 2 2 2 2 4 2 2 6 2 5" xfId="14635" xr:uid="{00000000-0005-0000-0000-00002B390000}"/>
    <cellStyle name="Normal 2 2 2 2 4 2 2 6 2 6" xfId="14636" xr:uid="{00000000-0005-0000-0000-00002C390000}"/>
    <cellStyle name="Normal 2 2 2 2 4 2 2 6 2 7" xfId="14637" xr:uid="{00000000-0005-0000-0000-00002D390000}"/>
    <cellStyle name="Normal 2 2 2 2 4 2 2 6 2 8" xfId="14638" xr:uid="{00000000-0005-0000-0000-00002E390000}"/>
    <cellStyle name="Normal 2 2 2 2 4 2 2 6 2 9" xfId="14639" xr:uid="{00000000-0005-0000-0000-00002F390000}"/>
    <cellStyle name="Normal 2 2 2 2 4 2 2 6 3" xfId="14640" xr:uid="{00000000-0005-0000-0000-000030390000}"/>
    <cellStyle name="Normal 2 2 2 2 4 2 2 6 3 10" xfId="14641" xr:uid="{00000000-0005-0000-0000-000031390000}"/>
    <cellStyle name="Normal 2 2 2 2 4 2 2 6 3 2" xfId="14642" xr:uid="{00000000-0005-0000-0000-000032390000}"/>
    <cellStyle name="Normal 2 2 2 2 4 2 2 6 3 3" xfId="14643" xr:uid="{00000000-0005-0000-0000-000033390000}"/>
    <cellStyle name="Normal 2 2 2 2 4 2 2 6 3 4" xfId="14644" xr:uid="{00000000-0005-0000-0000-000034390000}"/>
    <cellStyle name="Normal 2 2 2 2 4 2 2 6 3 5" xfId="14645" xr:uid="{00000000-0005-0000-0000-000035390000}"/>
    <cellStyle name="Normal 2 2 2 2 4 2 2 6 3 6" xfId="14646" xr:uid="{00000000-0005-0000-0000-000036390000}"/>
    <cellStyle name="Normal 2 2 2 2 4 2 2 6 3 7" xfId="14647" xr:uid="{00000000-0005-0000-0000-000037390000}"/>
    <cellStyle name="Normal 2 2 2 2 4 2 2 6 3 8" xfId="14648" xr:uid="{00000000-0005-0000-0000-000038390000}"/>
    <cellStyle name="Normal 2 2 2 2 4 2 2 6 3 9" xfId="14649" xr:uid="{00000000-0005-0000-0000-000039390000}"/>
    <cellStyle name="Normal 2 2 2 2 4 2 2 6 4" xfId="14650" xr:uid="{00000000-0005-0000-0000-00003A390000}"/>
    <cellStyle name="Normal 2 2 2 2 4 2 2 6 4 10" xfId="14651" xr:uid="{00000000-0005-0000-0000-00003B390000}"/>
    <cellStyle name="Normal 2 2 2 2 4 2 2 6 4 2" xfId="14652" xr:uid="{00000000-0005-0000-0000-00003C390000}"/>
    <cellStyle name="Normal 2 2 2 2 4 2 2 6 4 3" xfId="14653" xr:uid="{00000000-0005-0000-0000-00003D390000}"/>
    <cellStyle name="Normal 2 2 2 2 4 2 2 6 4 4" xfId="14654" xr:uid="{00000000-0005-0000-0000-00003E390000}"/>
    <cellStyle name="Normal 2 2 2 2 4 2 2 6 4 5" xfId="14655" xr:uid="{00000000-0005-0000-0000-00003F390000}"/>
    <cellStyle name="Normal 2 2 2 2 4 2 2 6 4 6" xfId="14656" xr:uid="{00000000-0005-0000-0000-000040390000}"/>
    <cellStyle name="Normal 2 2 2 2 4 2 2 6 4 7" xfId="14657" xr:uid="{00000000-0005-0000-0000-000041390000}"/>
    <cellStyle name="Normal 2 2 2 2 4 2 2 6 4 8" xfId="14658" xr:uid="{00000000-0005-0000-0000-000042390000}"/>
    <cellStyle name="Normal 2 2 2 2 4 2 2 6 4 9" xfId="14659" xr:uid="{00000000-0005-0000-0000-000043390000}"/>
    <cellStyle name="Normal 2 2 2 2 4 2 2 6 5" xfId="14660" xr:uid="{00000000-0005-0000-0000-000044390000}"/>
    <cellStyle name="Normal 2 2 2 2 4 2 2 6 5 10" xfId="14661" xr:uid="{00000000-0005-0000-0000-000045390000}"/>
    <cellStyle name="Normal 2 2 2 2 4 2 2 6 5 2" xfId="14662" xr:uid="{00000000-0005-0000-0000-000046390000}"/>
    <cellStyle name="Normal 2 2 2 2 4 2 2 6 5 3" xfId="14663" xr:uid="{00000000-0005-0000-0000-000047390000}"/>
    <cellStyle name="Normal 2 2 2 2 4 2 2 6 5 4" xfId="14664" xr:uid="{00000000-0005-0000-0000-000048390000}"/>
    <cellStyle name="Normal 2 2 2 2 4 2 2 6 5 5" xfId="14665" xr:uid="{00000000-0005-0000-0000-000049390000}"/>
    <cellStyle name="Normal 2 2 2 2 4 2 2 6 5 6" xfId="14666" xr:uid="{00000000-0005-0000-0000-00004A390000}"/>
    <cellStyle name="Normal 2 2 2 2 4 2 2 6 5 7" xfId="14667" xr:uid="{00000000-0005-0000-0000-00004B390000}"/>
    <cellStyle name="Normal 2 2 2 2 4 2 2 6 5 8" xfId="14668" xr:uid="{00000000-0005-0000-0000-00004C390000}"/>
    <cellStyle name="Normal 2 2 2 2 4 2 2 6 5 9" xfId="14669" xr:uid="{00000000-0005-0000-0000-00004D390000}"/>
    <cellStyle name="Normal 2 2 2 2 4 2 2 6 6" xfId="14670" xr:uid="{00000000-0005-0000-0000-00004E390000}"/>
    <cellStyle name="Normal 2 2 2 2 4 2 2 6 7" xfId="14671" xr:uid="{00000000-0005-0000-0000-00004F390000}"/>
    <cellStyle name="Normal 2 2 2 2 4 2 2 6 8" xfId="14672" xr:uid="{00000000-0005-0000-0000-000050390000}"/>
    <cellStyle name="Normal 2 2 2 2 4 2 2 6 9" xfId="14673" xr:uid="{00000000-0005-0000-0000-000051390000}"/>
    <cellStyle name="Normal 2 2 2 2 4 2 2 7" xfId="14674" xr:uid="{00000000-0005-0000-0000-000052390000}"/>
    <cellStyle name="Normal 2 2 2 2 4 2 2 7 10" xfId="14675" xr:uid="{00000000-0005-0000-0000-000053390000}"/>
    <cellStyle name="Normal 2 2 2 2 4 2 2 7 11" xfId="14676" xr:uid="{00000000-0005-0000-0000-000054390000}"/>
    <cellStyle name="Normal 2 2 2 2 4 2 2 7 12" xfId="14677" xr:uid="{00000000-0005-0000-0000-000055390000}"/>
    <cellStyle name="Normal 2 2 2 2 4 2 2 7 13" xfId="14678" xr:uid="{00000000-0005-0000-0000-000056390000}"/>
    <cellStyle name="Normal 2 2 2 2 4 2 2 7 14" xfId="14679" xr:uid="{00000000-0005-0000-0000-000057390000}"/>
    <cellStyle name="Normal 2 2 2 2 4 2 2 7 2" xfId="14680" xr:uid="{00000000-0005-0000-0000-000058390000}"/>
    <cellStyle name="Normal 2 2 2 2 4 2 2 7 2 10" xfId="14681" xr:uid="{00000000-0005-0000-0000-000059390000}"/>
    <cellStyle name="Normal 2 2 2 2 4 2 2 7 2 2" xfId="14682" xr:uid="{00000000-0005-0000-0000-00005A390000}"/>
    <cellStyle name="Normal 2 2 2 2 4 2 2 7 2 3" xfId="14683" xr:uid="{00000000-0005-0000-0000-00005B390000}"/>
    <cellStyle name="Normal 2 2 2 2 4 2 2 7 2 4" xfId="14684" xr:uid="{00000000-0005-0000-0000-00005C390000}"/>
    <cellStyle name="Normal 2 2 2 2 4 2 2 7 2 5" xfId="14685" xr:uid="{00000000-0005-0000-0000-00005D390000}"/>
    <cellStyle name="Normal 2 2 2 2 4 2 2 7 2 6" xfId="14686" xr:uid="{00000000-0005-0000-0000-00005E390000}"/>
    <cellStyle name="Normal 2 2 2 2 4 2 2 7 2 7" xfId="14687" xr:uid="{00000000-0005-0000-0000-00005F390000}"/>
    <cellStyle name="Normal 2 2 2 2 4 2 2 7 2 8" xfId="14688" xr:uid="{00000000-0005-0000-0000-000060390000}"/>
    <cellStyle name="Normal 2 2 2 2 4 2 2 7 2 9" xfId="14689" xr:uid="{00000000-0005-0000-0000-000061390000}"/>
    <cellStyle name="Normal 2 2 2 2 4 2 2 7 3" xfId="14690" xr:uid="{00000000-0005-0000-0000-000062390000}"/>
    <cellStyle name="Normal 2 2 2 2 4 2 2 7 3 10" xfId="14691" xr:uid="{00000000-0005-0000-0000-000063390000}"/>
    <cellStyle name="Normal 2 2 2 2 4 2 2 7 3 2" xfId="14692" xr:uid="{00000000-0005-0000-0000-000064390000}"/>
    <cellStyle name="Normal 2 2 2 2 4 2 2 7 3 3" xfId="14693" xr:uid="{00000000-0005-0000-0000-000065390000}"/>
    <cellStyle name="Normal 2 2 2 2 4 2 2 7 3 4" xfId="14694" xr:uid="{00000000-0005-0000-0000-000066390000}"/>
    <cellStyle name="Normal 2 2 2 2 4 2 2 7 3 5" xfId="14695" xr:uid="{00000000-0005-0000-0000-000067390000}"/>
    <cellStyle name="Normal 2 2 2 2 4 2 2 7 3 6" xfId="14696" xr:uid="{00000000-0005-0000-0000-000068390000}"/>
    <cellStyle name="Normal 2 2 2 2 4 2 2 7 3 7" xfId="14697" xr:uid="{00000000-0005-0000-0000-000069390000}"/>
    <cellStyle name="Normal 2 2 2 2 4 2 2 7 3 8" xfId="14698" xr:uid="{00000000-0005-0000-0000-00006A390000}"/>
    <cellStyle name="Normal 2 2 2 2 4 2 2 7 3 9" xfId="14699" xr:uid="{00000000-0005-0000-0000-00006B390000}"/>
    <cellStyle name="Normal 2 2 2 2 4 2 2 7 4" xfId="14700" xr:uid="{00000000-0005-0000-0000-00006C390000}"/>
    <cellStyle name="Normal 2 2 2 2 4 2 2 7 4 10" xfId="14701" xr:uid="{00000000-0005-0000-0000-00006D390000}"/>
    <cellStyle name="Normal 2 2 2 2 4 2 2 7 4 2" xfId="14702" xr:uid="{00000000-0005-0000-0000-00006E390000}"/>
    <cellStyle name="Normal 2 2 2 2 4 2 2 7 4 3" xfId="14703" xr:uid="{00000000-0005-0000-0000-00006F390000}"/>
    <cellStyle name="Normal 2 2 2 2 4 2 2 7 4 4" xfId="14704" xr:uid="{00000000-0005-0000-0000-000070390000}"/>
    <cellStyle name="Normal 2 2 2 2 4 2 2 7 4 5" xfId="14705" xr:uid="{00000000-0005-0000-0000-000071390000}"/>
    <cellStyle name="Normal 2 2 2 2 4 2 2 7 4 6" xfId="14706" xr:uid="{00000000-0005-0000-0000-000072390000}"/>
    <cellStyle name="Normal 2 2 2 2 4 2 2 7 4 7" xfId="14707" xr:uid="{00000000-0005-0000-0000-000073390000}"/>
    <cellStyle name="Normal 2 2 2 2 4 2 2 7 4 8" xfId="14708" xr:uid="{00000000-0005-0000-0000-000074390000}"/>
    <cellStyle name="Normal 2 2 2 2 4 2 2 7 4 9" xfId="14709" xr:uid="{00000000-0005-0000-0000-000075390000}"/>
    <cellStyle name="Normal 2 2 2 2 4 2 2 7 5" xfId="14710" xr:uid="{00000000-0005-0000-0000-000076390000}"/>
    <cellStyle name="Normal 2 2 2 2 4 2 2 7 5 10" xfId="14711" xr:uid="{00000000-0005-0000-0000-000077390000}"/>
    <cellStyle name="Normal 2 2 2 2 4 2 2 7 5 2" xfId="14712" xr:uid="{00000000-0005-0000-0000-000078390000}"/>
    <cellStyle name="Normal 2 2 2 2 4 2 2 7 5 3" xfId="14713" xr:uid="{00000000-0005-0000-0000-000079390000}"/>
    <cellStyle name="Normal 2 2 2 2 4 2 2 7 5 4" xfId="14714" xr:uid="{00000000-0005-0000-0000-00007A390000}"/>
    <cellStyle name="Normal 2 2 2 2 4 2 2 7 5 5" xfId="14715" xr:uid="{00000000-0005-0000-0000-00007B390000}"/>
    <cellStyle name="Normal 2 2 2 2 4 2 2 7 5 6" xfId="14716" xr:uid="{00000000-0005-0000-0000-00007C390000}"/>
    <cellStyle name="Normal 2 2 2 2 4 2 2 7 5 7" xfId="14717" xr:uid="{00000000-0005-0000-0000-00007D390000}"/>
    <cellStyle name="Normal 2 2 2 2 4 2 2 7 5 8" xfId="14718" xr:uid="{00000000-0005-0000-0000-00007E390000}"/>
    <cellStyle name="Normal 2 2 2 2 4 2 2 7 5 9" xfId="14719" xr:uid="{00000000-0005-0000-0000-00007F390000}"/>
    <cellStyle name="Normal 2 2 2 2 4 2 2 7 6" xfId="14720" xr:uid="{00000000-0005-0000-0000-000080390000}"/>
    <cellStyle name="Normal 2 2 2 2 4 2 2 7 7" xfId="14721" xr:uid="{00000000-0005-0000-0000-000081390000}"/>
    <cellStyle name="Normal 2 2 2 2 4 2 2 7 8" xfId="14722" xr:uid="{00000000-0005-0000-0000-000082390000}"/>
    <cellStyle name="Normal 2 2 2 2 4 2 2 7 9" xfId="14723" xr:uid="{00000000-0005-0000-0000-000083390000}"/>
    <cellStyle name="Normal 2 2 2 2 4 2 2 8" xfId="14724" xr:uid="{00000000-0005-0000-0000-000084390000}"/>
    <cellStyle name="Normal 2 2 2 2 4 2 2 8 10" xfId="14725" xr:uid="{00000000-0005-0000-0000-000085390000}"/>
    <cellStyle name="Normal 2 2 2 2 4 2 2 8 11" xfId="14726" xr:uid="{00000000-0005-0000-0000-000086390000}"/>
    <cellStyle name="Normal 2 2 2 2 4 2 2 8 12" xfId="14727" xr:uid="{00000000-0005-0000-0000-000087390000}"/>
    <cellStyle name="Normal 2 2 2 2 4 2 2 8 13" xfId="14728" xr:uid="{00000000-0005-0000-0000-000088390000}"/>
    <cellStyle name="Normal 2 2 2 2 4 2 2 8 14" xfId="14729" xr:uid="{00000000-0005-0000-0000-000089390000}"/>
    <cellStyle name="Normal 2 2 2 2 4 2 2 8 2" xfId="14730" xr:uid="{00000000-0005-0000-0000-00008A390000}"/>
    <cellStyle name="Normal 2 2 2 2 4 2 2 8 2 10" xfId="14731" xr:uid="{00000000-0005-0000-0000-00008B390000}"/>
    <cellStyle name="Normal 2 2 2 2 4 2 2 8 2 2" xfId="14732" xr:uid="{00000000-0005-0000-0000-00008C390000}"/>
    <cellStyle name="Normal 2 2 2 2 4 2 2 8 2 3" xfId="14733" xr:uid="{00000000-0005-0000-0000-00008D390000}"/>
    <cellStyle name="Normal 2 2 2 2 4 2 2 8 2 4" xfId="14734" xr:uid="{00000000-0005-0000-0000-00008E390000}"/>
    <cellStyle name="Normal 2 2 2 2 4 2 2 8 2 5" xfId="14735" xr:uid="{00000000-0005-0000-0000-00008F390000}"/>
    <cellStyle name="Normal 2 2 2 2 4 2 2 8 2 6" xfId="14736" xr:uid="{00000000-0005-0000-0000-000090390000}"/>
    <cellStyle name="Normal 2 2 2 2 4 2 2 8 2 7" xfId="14737" xr:uid="{00000000-0005-0000-0000-000091390000}"/>
    <cellStyle name="Normal 2 2 2 2 4 2 2 8 2 8" xfId="14738" xr:uid="{00000000-0005-0000-0000-000092390000}"/>
    <cellStyle name="Normal 2 2 2 2 4 2 2 8 2 9" xfId="14739" xr:uid="{00000000-0005-0000-0000-000093390000}"/>
    <cellStyle name="Normal 2 2 2 2 4 2 2 8 3" xfId="14740" xr:uid="{00000000-0005-0000-0000-000094390000}"/>
    <cellStyle name="Normal 2 2 2 2 4 2 2 8 3 10" xfId="14741" xr:uid="{00000000-0005-0000-0000-000095390000}"/>
    <cellStyle name="Normal 2 2 2 2 4 2 2 8 3 2" xfId="14742" xr:uid="{00000000-0005-0000-0000-000096390000}"/>
    <cellStyle name="Normal 2 2 2 2 4 2 2 8 3 3" xfId="14743" xr:uid="{00000000-0005-0000-0000-000097390000}"/>
    <cellStyle name="Normal 2 2 2 2 4 2 2 8 3 4" xfId="14744" xr:uid="{00000000-0005-0000-0000-000098390000}"/>
    <cellStyle name="Normal 2 2 2 2 4 2 2 8 3 5" xfId="14745" xr:uid="{00000000-0005-0000-0000-000099390000}"/>
    <cellStyle name="Normal 2 2 2 2 4 2 2 8 3 6" xfId="14746" xr:uid="{00000000-0005-0000-0000-00009A390000}"/>
    <cellStyle name="Normal 2 2 2 2 4 2 2 8 3 7" xfId="14747" xr:uid="{00000000-0005-0000-0000-00009B390000}"/>
    <cellStyle name="Normal 2 2 2 2 4 2 2 8 3 8" xfId="14748" xr:uid="{00000000-0005-0000-0000-00009C390000}"/>
    <cellStyle name="Normal 2 2 2 2 4 2 2 8 3 9" xfId="14749" xr:uid="{00000000-0005-0000-0000-00009D390000}"/>
    <cellStyle name="Normal 2 2 2 2 4 2 2 8 4" xfId="14750" xr:uid="{00000000-0005-0000-0000-00009E390000}"/>
    <cellStyle name="Normal 2 2 2 2 4 2 2 8 4 10" xfId="14751" xr:uid="{00000000-0005-0000-0000-00009F390000}"/>
    <cellStyle name="Normal 2 2 2 2 4 2 2 8 4 2" xfId="14752" xr:uid="{00000000-0005-0000-0000-0000A0390000}"/>
    <cellStyle name="Normal 2 2 2 2 4 2 2 8 4 3" xfId="14753" xr:uid="{00000000-0005-0000-0000-0000A1390000}"/>
    <cellStyle name="Normal 2 2 2 2 4 2 2 8 4 4" xfId="14754" xr:uid="{00000000-0005-0000-0000-0000A2390000}"/>
    <cellStyle name="Normal 2 2 2 2 4 2 2 8 4 5" xfId="14755" xr:uid="{00000000-0005-0000-0000-0000A3390000}"/>
    <cellStyle name="Normal 2 2 2 2 4 2 2 8 4 6" xfId="14756" xr:uid="{00000000-0005-0000-0000-0000A4390000}"/>
    <cellStyle name="Normal 2 2 2 2 4 2 2 8 4 7" xfId="14757" xr:uid="{00000000-0005-0000-0000-0000A5390000}"/>
    <cellStyle name="Normal 2 2 2 2 4 2 2 8 4 8" xfId="14758" xr:uid="{00000000-0005-0000-0000-0000A6390000}"/>
    <cellStyle name="Normal 2 2 2 2 4 2 2 8 4 9" xfId="14759" xr:uid="{00000000-0005-0000-0000-0000A7390000}"/>
    <cellStyle name="Normal 2 2 2 2 4 2 2 8 5" xfId="14760" xr:uid="{00000000-0005-0000-0000-0000A8390000}"/>
    <cellStyle name="Normal 2 2 2 2 4 2 2 8 5 10" xfId="14761" xr:uid="{00000000-0005-0000-0000-0000A9390000}"/>
    <cellStyle name="Normal 2 2 2 2 4 2 2 8 5 2" xfId="14762" xr:uid="{00000000-0005-0000-0000-0000AA390000}"/>
    <cellStyle name="Normal 2 2 2 2 4 2 2 8 5 3" xfId="14763" xr:uid="{00000000-0005-0000-0000-0000AB390000}"/>
    <cellStyle name="Normal 2 2 2 2 4 2 2 8 5 4" xfId="14764" xr:uid="{00000000-0005-0000-0000-0000AC390000}"/>
    <cellStyle name="Normal 2 2 2 2 4 2 2 8 5 5" xfId="14765" xr:uid="{00000000-0005-0000-0000-0000AD390000}"/>
    <cellStyle name="Normal 2 2 2 2 4 2 2 8 5 6" xfId="14766" xr:uid="{00000000-0005-0000-0000-0000AE390000}"/>
    <cellStyle name="Normal 2 2 2 2 4 2 2 8 5 7" xfId="14767" xr:uid="{00000000-0005-0000-0000-0000AF390000}"/>
    <cellStyle name="Normal 2 2 2 2 4 2 2 8 5 8" xfId="14768" xr:uid="{00000000-0005-0000-0000-0000B0390000}"/>
    <cellStyle name="Normal 2 2 2 2 4 2 2 8 5 9" xfId="14769" xr:uid="{00000000-0005-0000-0000-0000B1390000}"/>
    <cellStyle name="Normal 2 2 2 2 4 2 2 8 6" xfId="14770" xr:uid="{00000000-0005-0000-0000-0000B2390000}"/>
    <cellStyle name="Normal 2 2 2 2 4 2 2 8 7" xfId="14771" xr:uid="{00000000-0005-0000-0000-0000B3390000}"/>
    <cellStyle name="Normal 2 2 2 2 4 2 2 8 8" xfId="14772" xr:uid="{00000000-0005-0000-0000-0000B4390000}"/>
    <cellStyle name="Normal 2 2 2 2 4 2 2 8 9" xfId="14773" xr:uid="{00000000-0005-0000-0000-0000B5390000}"/>
    <cellStyle name="Normal 2 2 2 2 4 2 2 9" xfId="14774" xr:uid="{00000000-0005-0000-0000-0000B6390000}"/>
    <cellStyle name="Normal 2 2 2 2 4 2 2 9 10" xfId="14775" xr:uid="{00000000-0005-0000-0000-0000B7390000}"/>
    <cellStyle name="Normal 2 2 2 2 4 2 2 9 11" xfId="14776" xr:uid="{00000000-0005-0000-0000-0000B8390000}"/>
    <cellStyle name="Normal 2 2 2 2 4 2 2 9 12" xfId="14777" xr:uid="{00000000-0005-0000-0000-0000B9390000}"/>
    <cellStyle name="Normal 2 2 2 2 4 2 2 9 13" xfId="14778" xr:uid="{00000000-0005-0000-0000-0000BA390000}"/>
    <cellStyle name="Normal 2 2 2 2 4 2 2 9 14" xfId="14779" xr:uid="{00000000-0005-0000-0000-0000BB390000}"/>
    <cellStyle name="Normal 2 2 2 2 4 2 2 9 2" xfId="14780" xr:uid="{00000000-0005-0000-0000-0000BC390000}"/>
    <cellStyle name="Normal 2 2 2 2 4 2 2 9 2 10" xfId="14781" xr:uid="{00000000-0005-0000-0000-0000BD390000}"/>
    <cellStyle name="Normal 2 2 2 2 4 2 2 9 2 2" xfId="14782" xr:uid="{00000000-0005-0000-0000-0000BE390000}"/>
    <cellStyle name="Normal 2 2 2 2 4 2 2 9 2 3" xfId="14783" xr:uid="{00000000-0005-0000-0000-0000BF390000}"/>
    <cellStyle name="Normal 2 2 2 2 4 2 2 9 2 4" xfId="14784" xr:uid="{00000000-0005-0000-0000-0000C0390000}"/>
    <cellStyle name="Normal 2 2 2 2 4 2 2 9 2 5" xfId="14785" xr:uid="{00000000-0005-0000-0000-0000C1390000}"/>
    <cellStyle name="Normal 2 2 2 2 4 2 2 9 2 6" xfId="14786" xr:uid="{00000000-0005-0000-0000-0000C2390000}"/>
    <cellStyle name="Normal 2 2 2 2 4 2 2 9 2 7" xfId="14787" xr:uid="{00000000-0005-0000-0000-0000C3390000}"/>
    <cellStyle name="Normal 2 2 2 2 4 2 2 9 2 8" xfId="14788" xr:uid="{00000000-0005-0000-0000-0000C4390000}"/>
    <cellStyle name="Normal 2 2 2 2 4 2 2 9 2 9" xfId="14789" xr:uid="{00000000-0005-0000-0000-0000C5390000}"/>
    <cellStyle name="Normal 2 2 2 2 4 2 2 9 3" xfId="14790" xr:uid="{00000000-0005-0000-0000-0000C6390000}"/>
    <cellStyle name="Normal 2 2 2 2 4 2 2 9 3 10" xfId="14791" xr:uid="{00000000-0005-0000-0000-0000C7390000}"/>
    <cellStyle name="Normal 2 2 2 2 4 2 2 9 3 2" xfId="14792" xr:uid="{00000000-0005-0000-0000-0000C8390000}"/>
    <cellStyle name="Normal 2 2 2 2 4 2 2 9 3 3" xfId="14793" xr:uid="{00000000-0005-0000-0000-0000C9390000}"/>
    <cellStyle name="Normal 2 2 2 2 4 2 2 9 3 4" xfId="14794" xr:uid="{00000000-0005-0000-0000-0000CA390000}"/>
    <cellStyle name="Normal 2 2 2 2 4 2 2 9 3 5" xfId="14795" xr:uid="{00000000-0005-0000-0000-0000CB390000}"/>
    <cellStyle name="Normal 2 2 2 2 4 2 2 9 3 6" xfId="14796" xr:uid="{00000000-0005-0000-0000-0000CC390000}"/>
    <cellStyle name="Normal 2 2 2 2 4 2 2 9 3 7" xfId="14797" xr:uid="{00000000-0005-0000-0000-0000CD390000}"/>
    <cellStyle name="Normal 2 2 2 2 4 2 2 9 3 8" xfId="14798" xr:uid="{00000000-0005-0000-0000-0000CE390000}"/>
    <cellStyle name="Normal 2 2 2 2 4 2 2 9 3 9" xfId="14799" xr:uid="{00000000-0005-0000-0000-0000CF390000}"/>
    <cellStyle name="Normal 2 2 2 2 4 2 2 9 4" xfId="14800" xr:uid="{00000000-0005-0000-0000-0000D0390000}"/>
    <cellStyle name="Normal 2 2 2 2 4 2 2 9 4 10" xfId="14801" xr:uid="{00000000-0005-0000-0000-0000D1390000}"/>
    <cellStyle name="Normal 2 2 2 2 4 2 2 9 4 2" xfId="14802" xr:uid="{00000000-0005-0000-0000-0000D2390000}"/>
    <cellStyle name="Normal 2 2 2 2 4 2 2 9 4 3" xfId="14803" xr:uid="{00000000-0005-0000-0000-0000D3390000}"/>
    <cellStyle name="Normal 2 2 2 2 4 2 2 9 4 4" xfId="14804" xr:uid="{00000000-0005-0000-0000-0000D4390000}"/>
    <cellStyle name="Normal 2 2 2 2 4 2 2 9 4 5" xfId="14805" xr:uid="{00000000-0005-0000-0000-0000D5390000}"/>
    <cellStyle name="Normal 2 2 2 2 4 2 2 9 4 6" xfId="14806" xr:uid="{00000000-0005-0000-0000-0000D6390000}"/>
    <cellStyle name="Normal 2 2 2 2 4 2 2 9 4 7" xfId="14807" xr:uid="{00000000-0005-0000-0000-0000D7390000}"/>
    <cellStyle name="Normal 2 2 2 2 4 2 2 9 4 8" xfId="14808" xr:uid="{00000000-0005-0000-0000-0000D8390000}"/>
    <cellStyle name="Normal 2 2 2 2 4 2 2 9 4 9" xfId="14809" xr:uid="{00000000-0005-0000-0000-0000D9390000}"/>
    <cellStyle name="Normal 2 2 2 2 4 2 2 9 5" xfId="14810" xr:uid="{00000000-0005-0000-0000-0000DA390000}"/>
    <cellStyle name="Normal 2 2 2 2 4 2 2 9 5 10" xfId="14811" xr:uid="{00000000-0005-0000-0000-0000DB390000}"/>
    <cellStyle name="Normal 2 2 2 2 4 2 2 9 5 2" xfId="14812" xr:uid="{00000000-0005-0000-0000-0000DC390000}"/>
    <cellStyle name="Normal 2 2 2 2 4 2 2 9 5 3" xfId="14813" xr:uid="{00000000-0005-0000-0000-0000DD390000}"/>
    <cellStyle name="Normal 2 2 2 2 4 2 2 9 5 4" xfId="14814" xr:uid="{00000000-0005-0000-0000-0000DE390000}"/>
    <cellStyle name="Normal 2 2 2 2 4 2 2 9 5 5" xfId="14815" xr:uid="{00000000-0005-0000-0000-0000DF390000}"/>
    <cellStyle name="Normal 2 2 2 2 4 2 2 9 5 6" xfId="14816" xr:uid="{00000000-0005-0000-0000-0000E0390000}"/>
    <cellStyle name="Normal 2 2 2 2 4 2 2 9 5 7" xfId="14817" xr:uid="{00000000-0005-0000-0000-0000E1390000}"/>
    <cellStyle name="Normal 2 2 2 2 4 2 2 9 5 8" xfId="14818" xr:uid="{00000000-0005-0000-0000-0000E2390000}"/>
    <cellStyle name="Normal 2 2 2 2 4 2 2 9 5 9" xfId="14819" xr:uid="{00000000-0005-0000-0000-0000E3390000}"/>
    <cellStyle name="Normal 2 2 2 2 4 2 2 9 6" xfId="14820" xr:uid="{00000000-0005-0000-0000-0000E4390000}"/>
    <cellStyle name="Normal 2 2 2 2 4 2 2 9 7" xfId="14821" xr:uid="{00000000-0005-0000-0000-0000E5390000}"/>
    <cellStyle name="Normal 2 2 2 2 4 2 2 9 8" xfId="14822" xr:uid="{00000000-0005-0000-0000-0000E6390000}"/>
    <cellStyle name="Normal 2 2 2 2 4 2 2 9 9" xfId="14823" xr:uid="{00000000-0005-0000-0000-0000E7390000}"/>
    <cellStyle name="Normal 2 2 2 2 4 2 20" xfId="14824" xr:uid="{00000000-0005-0000-0000-0000E8390000}"/>
    <cellStyle name="Normal 2 2 2 2 4 2 21" xfId="14825" xr:uid="{00000000-0005-0000-0000-0000E9390000}"/>
    <cellStyle name="Normal 2 2 2 2 4 2 21 10" xfId="14826" xr:uid="{00000000-0005-0000-0000-0000EA390000}"/>
    <cellStyle name="Normal 2 2 2 2 4 2 21 2" xfId="14827" xr:uid="{00000000-0005-0000-0000-0000EB390000}"/>
    <cellStyle name="Normal 2 2 2 2 4 2 21 3" xfId="14828" xr:uid="{00000000-0005-0000-0000-0000EC390000}"/>
    <cellStyle name="Normal 2 2 2 2 4 2 21 4" xfId="14829" xr:uid="{00000000-0005-0000-0000-0000ED390000}"/>
    <cellStyle name="Normal 2 2 2 2 4 2 21 5" xfId="14830" xr:uid="{00000000-0005-0000-0000-0000EE390000}"/>
    <cellStyle name="Normal 2 2 2 2 4 2 21 6" xfId="14831" xr:uid="{00000000-0005-0000-0000-0000EF390000}"/>
    <cellStyle name="Normal 2 2 2 2 4 2 21 7" xfId="14832" xr:uid="{00000000-0005-0000-0000-0000F0390000}"/>
    <cellStyle name="Normal 2 2 2 2 4 2 21 8" xfId="14833" xr:uid="{00000000-0005-0000-0000-0000F1390000}"/>
    <cellStyle name="Normal 2 2 2 2 4 2 21 9" xfId="14834" xr:uid="{00000000-0005-0000-0000-0000F2390000}"/>
    <cellStyle name="Normal 2 2 2 2 4 2 22" xfId="14835" xr:uid="{00000000-0005-0000-0000-0000F3390000}"/>
    <cellStyle name="Normal 2 2 2 2 4 2 22 10" xfId="14836" xr:uid="{00000000-0005-0000-0000-0000F4390000}"/>
    <cellStyle name="Normal 2 2 2 2 4 2 22 2" xfId="14837" xr:uid="{00000000-0005-0000-0000-0000F5390000}"/>
    <cellStyle name="Normal 2 2 2 2 4 2 22 3" xfId="14838" xr:uid="{00000000-0005-0000-0000-0000F6390000}"/>
    <cellStyle name="Normal 2 2 2 2 4 2 22 4" xfId="14839" xr:uid="{00000000-0005-0000-0000-0000F7390000}"/>
    <cellStyle name="Normal 2 2 2 2 4 2 22 5" xfId="14840" xr:uid="{00000000-0005-0000-0000-0000F8390000}"/>
    <cellStyle name="Normal 2 2 2 2 4 2 22 6" xfId="14841" xr:uid="{00000000-0005-0000-0000-0000F9390000}"/>
    <cellStyle name="Normal 2 2 2 2 4 2 22 7" xfId="14842" xr:uid="{00000000-0005-0000-0000-0000FA390000}"/>
    <cellStyle name="Normal 2 2 2 2 4 2 22 8" xfId="14843" xr:uid="{00000000-0005-0000-0000-0000FB390000}"/>
    <cellStyle name="Normal 2 2 2 2 4 2 22 9" xfId="14844" xr:uid="{00000000-0005-0000-0000-0000FC390000}"/>
    <cellStyle name="Normal 2 2 2 2 4 2 23" xfId="14845" xr:uid="{00000000-0005-0000-0000-0000FD390000}"/>
    <cellStyle name="Normal 2 2 2 2 4 2 23 10" xfId="14846" xr:uid="{00000000-0005-0000-0000-0000FE390000}"/>
    <cellStyle name="Normal 2 2 2 2 4 2 23 2" xfId="14847" xr:uid="{00000000-0005-0000-0000-0000FF390000}"/>
    <cellStyle name="Normal 2 2 2 2 4 2 23 3" xfId="14848" xr:uid="{00000000-0005-0000-0000-0000003A0000}"/>
    <cellStyle name="Normal 2 2 2 2 4 2 23 4" xfId="14849" xr:uid="{00000000-0005-0000-0000-0000013A0000}"/>
    <cellStyle name="Normal 2 2 2 2 4 2 23 5" xfId="14850" xr:uid="{00000000-0005-0000-0000-0000023A0000}"/>
    <cellStyle name="Normal 2 2 2 2 4 2 23 6" xfId="14851" xr:uid="{00000000-0005-0000-0000-0000033A0000}"/>
    <cellStyle name="Normal 2 2 2 2 4 2 23 7" xfId="14852" xr:uid="{00000000-0005-0000-0000-0000043A0000}"/>
    <cellStyle name="Normal 2 2 2 2 4 2 23 8" xfId="14853" xr:uid="{00000000-0005-0000-0000-0000053A0000}"/>
    <cellStyle name="Normal 2 2 2 2 4 2 23 9" xfId="14854" xr:uid="{00000000-0005-0000-0000-0000063A0000}"/>
    <cellStyle name="Normal 2 2 2 2 4 2 24" xfId="14855" xr:uid="{00000000-0005-0000-0000-0000073A0000}"/>
    <cellStyle name="Normal 2 2 2 2 4 2 24 10" xfId="14856" xr:uid="{00000000-0005-0000-0000-0000083A0000}"/>
    <cellStyle name="Normal 2 2 2 2 4 2 24 2" xfId="14857" xr:uid="{00000000-0005-0000-0000-0000093A0000}"/>
    <cellStyle name="Normal 2 2 2 2 4 2 24 3" xfId="14858" xr:uid="{00000000-0005-0000-0000-00000A3A0000}"/>
    <cellStyle name="Normal 2 2 2 2 4 2 24 4" xfId="14859" xr:uid="{00000000-0005-0000-0000-00000B3A0000}"/>
    <cellStyle name="Normal 2 2 2 2 4 2 24 5" xfId="14860" xr:uid="{00000000-0005-0000-0000-00000C3A0000}"/>
    <cellStyle name="Normal 2 2 2 2 4 2 24 6" xfId="14861" xr:uid="{00000000-0005-0000-0000-00000D3A0000}"/>
    <cellStyle name="Normal 2 2 2 2 4 2 24 7" xfId="14862" xr:uid="{00000000-0005-0000-0000-00000E3A0000}"/>
    <cellStyle name="Normal 2 2 2 2 4 2 24 8" xfId="14863" xr:uid="{00000000-0005-0000-0000-00000F3A0000}"/>
    <cellStyle name="Normal 2 2 2 2 4 2 24 9" xfId="14864" xr:uid="{00000000-0005-0000-0000-0000103A0000}"/>
    <cellStyle name="Normal 2 2 2 2 4 2 25" xfId="14865" xr:uid="{00000000-0005-0000-0000-0000113A0000}"/>
    <cellStyle name="Normal 2 2 2 2 4 2 26" xfId="14866" xr:uid="{00000000-0005-0000-0000-0000123A0000}"/>
    <cellStyle name="Normal 2 2 2 2 4 2 27" xfId="14867" xr:uid="{00000000-0005-0000-0000-0000133A0000}"/>
    <cellStyle name="Normal 2 2 2 2 4 2 28" xfId="14868" xr:uid="{00000000-0005-0000-0000-0000143A0000}"/>
    <cellStyle name="Normal 2 2 2 2 4 2 29" xfId="14869" xr:uid="{00000000-0005-0000-0000-0000153A0000}"/>
    <cellStyle name="Normal 2 2 2 2 4 2 3" xfId="14870" xr:uid="{00000000-0005-0000-0000-0000163A0000}"/>
    <cellStyle name="Normal 2 2 2 2 4 2 30" xfId="14871" xr:uid="{00000000-0005-0000-0000-0000173A0000}"/>
    <cellStyle name="Normal 2 2 2 2 4 2 31" xfId="14872" xr:uid="{00000000-0005-0000-0000-0000183A0000}"/>
    <cellStyle name="Normal 2 2 2 2 4 2 32" xfId="14873" xr:uid="{00000000-0005-0000-0000-0000193A0000}"/>
    <cellStyle name="Normal 2 2 2 2 4 2 33" xfId="14874" xr:uid="{00000000-0005-0000-0000-00001A3A0000}"/>
    <cellStyle name="Normal 2 2 2 2 4 2 34" xfId="14875" xr:uid="{00000000-0005-0000-0000-00001B3A0000}"/>
    <cellStyle name="Normal 2 2 2 2 4 2 35" xfId="14876" xr:uid="{00000000-0005-0000-0000-00001C3A0000}"/>
    <cellStyle name="Normal 2 2 2 2 4 2 4" xfId="14877" xr:uid="{00000000-0005-0000-0000-00001D3A0000}"/>
    <cellStyle name="Normal 2 2 2 2 4 2 5" xfId="14878" xr:uid="{00000000-0005-0000-0000-00001E3A0000}"/>
    <cellStyle name="Normal 2 2 2 2 4 2 6" xfId="14879" xr:uid="{00000000-0005-0000-0000-00001F3A0000}"/>
    <cellStyle name="Normal 2 2 2 2 4 2 7" xfId="14880" xr:uid="{00000000-0005-0000-0000-0000203A0000}"/>
    <cellStyle name="Normal 2 2 2 2 4 2 8" xfId="14881" xr:uid="{00000000-0005-0000-0000-0000213A0000}"/>
    <cellStyle name="Normal 2 2 2 2 4 2 9" xfId="14882" xr:uid="{00000000-0005-0000-0000-0000223A0000}"/>
    <cellStyle name="Normal 2 2 2 2 4 20" xfId="14883" xr:uid="{00000000-0005-0000-0000-0000233A0000}"/>
    <cellStyle name="Normal 2 2 2 2 4 20 10" xfId="14884" xr:uid="{00000000-0005-0000-0000-0000243A0000}"/>
    <cellStyle name="Normal 2 2 2 2 4 20 11" xfId="14885" xr:uid="{00000000-0005-0000-0000-0000253A0000}"/>
    <cellStyle name="Normal 2 2 2 2 4 20 12" xfId="14886" xr:uid="{00000000-0005-0000-0000-0000263A0000}"/>
    <cellStyle name="Normal 2 2 2 2 4 20 13" xfId="14887" xr:uid="{00000000-0005-0000-0000-0000273A0000}"/>
    <cellStyle name="Normal 2 2 2 2 4 20 14" xfId="14888" xr:uid="{00000000-0005-0000-0000-0000283A0000}"/>
    <cellStyle name="Normal 2 2 2 2 4 20 2" xfId="14889" xr:uid="{00000000-0005-0000-0000-0000293A0000}"/>
    <cellStyle name="Normal 2 2 2 2 4 20 2 10" xfId="14890" xr:uid="{00000000-0005-0000-0000-00002A3A0000}"/>
    <cellStyle name="Normal 2 2 2 2 4 20 2 2" xfId="14891" xr:uid="{00000000-0005-0000-0000-00002B3A0000}"/>
    <cellStyle name="Normal 2 2 2 2 4 20 2 3" xfId="14892" xr:uid="{00000000-0005-0000-0000-00002C3A0000}"/>
    <cellStyle name="Normal 2 2 2 2 4 20 2 4" xfId="14893" xr:uid="{00000000-0005-0000-0000-00002D3A0000}"/>
    <cellStyle name="Normal 2 2 2 2 4 20 2 5" xfId="14894" xr:uid="{00000000-0005-0000-0000-00002E3A0000}"/>
    <cellStyle name="Normal 2 2 2 2 4 20 2 6" xfId="14895" xr:uid="{00000000-0005-0000-0000-00002F3A0000}"/>
    <cellStyle name="Normal 2 2 2 2 4 20 2 7" xfId="14896" xr:uid="{00000000-0005-0000-0000-0000303A0000}"/>
    <cellStyle name="Normal 2 2 2 2 4 20 2 8" xfId="14897" xr:uid="{00000000-0005-0000-0000-0000313A0000}"/>
    <cellStyle name="Normal 2 2 2 2 4 20 2 9" xfId="14898" xr:uid="{00000000-0005-0000-0000-0000323A0000}"/>
    <cellStyle name="Normal 2 2 2 2 4 20 3" xfId="14899" xr:uid="{00000000-0005-0000-0000-0000333A0000}"/>
    <cellStyle name="Normal 2 2 2 2 4 20 3 10" xfId="14900" xr:uid="{00000000-0005-0000-0000-0000343A0000}"/>
    <cellStyle name="Normal 2 2 2 2 4 20 3 2" xfId="14901" xr:uid="{00000000-0005-0000-0000-0000353A0000}"/>
    <cellStyle name="Normal 2 2 2 2 4 20 3 3" xfId="14902" xr:uid="{00000000-0005-0000-0000-0000363A0000}"/>
    <cellStyle name="Normal 2 2 2 2 4 20 3 4" xfId="14903" xr:uid="{00000000-0005-0000-0000-0000373A0000}"/>
    <cellStyle name="Normal 2 2 2 2 4 20 3 5" xfId="14904" xr:uid="{00000000-0005-0000-0000-0000383A0000}"/>
    <cellStyle name="Normal 2 2 2 2 4 20 3 6" xfId="14905" xr:uid="{00000000-0005-0000-0000-0000393A0000}"/>
    <cellStyle name="Normal 2 2 2 2 4 20 3 7" xfId="14906" xr:uid="{00000000-0005-0000-0000-00003A3A0000}"/>
    <cellStyle name="Normal 2 2 2 2 4 20 3 8" xfId="14907" xr:uid="{00000000-0005-0000-0000-00003B3A0000}"/>
    <cellStyle name="Normal 2 2 2 2 4 20 3 9" xfId="14908" xr:uid="{00000000-0005-0000-0000-00003C3A0000}"/>
    <cellStyle name="Normal 2 2 2 2 4 20 4" xfId="14909" xr:uid="{00000000-0005-0000-0000-00003D3A0000}"/>
    <cellStyle name="Normal 2 2 2 2 4 20 4 10" xfId="14910" xr:uid="{00000000-0005-0000-0000-00003E3A0000}"/>
    <cellStyle name="Normal 2 2 2 2 4 20 4 2" xfId="14911" xr:uid="{00000000-0005-0000-0000-00003F3A0000}"/>
    <cellStyle name="Normal 2 2 2 2 4 20 4 3" xfId="14912" xr:uid="{00000000-0005-0000-0000-0000403A0000}"/>
    <cellStyle name="Normal 2 2 2 2 4 20 4 4" xfId="14913" xr:uid="{00000000-0005-0000-0000-0000413A0000}"/>
    <cellStyle name="Normal 2 2 2 2 4 20 4 5" xfId="14914" xr:uid="{00000000-0005-0000-0000-0000423A0000}"/>
    <cellStyle name="Normal 2 2 2 2 4 20 4 6" xfId="14915" xr:uid="{00000000-0005-0000-0000-0000433A0000}"/>
    <cellStyle name="Normal 2 2 2 2 4 20 4 7" xfId="14916" xr:uid="{00000000-0005-0000-0000-0000443A0000}"/>
    <cellStyle name="Normal 2 2 2 2 4 20 4 8" xfId="14917" xr:uid="{00000000-0005-0000-0000-0000453A0000}"/>
    <cellStyle name="Normal 2 2 2 2 4 20 4 9" xfId="14918" xr:uid="{00000000-0005-0000-0000-0000463A0000}"/>
    <cellStyle name="Normal 2 2 2 2 4 20 5" xfId="14919" xr:uid="{00000000-0005-0000-0000-0000473A0000}"/>
    <cellStyle name="Normal 2 2 2 2 4 20 5 10" xfId="14920" xr:uid="{00000000-0005-0000-0000-0000483A0000}"/>
    <cellStyle name="Normal 2 2 2 2 4 20 5 2" xfId="14921" xr:uid="{00000000-0005-0000-0000-0000493A0000}"/>
    <cellStyle name="Normal 2 2 2 2 4 20 5 3" xfId="14922" xr:uid="{00000000-0005-0000-0000-00004A3A0000}"/>
    <cellStyle name="Normal 2 2 2 2 4 20 5 4" xfId="14923" xr:uid="{00000000-0005-0000-0000-00004B3A0000}"/>
    <cellStyle name="Normal 2 2 2 2 4 20 5 5" xfId="14924" xr:uid="{00000000-0005-0000-0000-00004C3A0000}"/>
    <cellStyle name="Normal 2 2 2 2 4 20 5 6" xfId="14925" xr:uid="{00000000-0005-0000-0000-00004D3A0000}"/>
    <cellStyle name="Normal 2 2 2 2 4 20 5 7" xfId="14926" xr:uid="{00000000-0005-0000-0000-00004E3A0000}"/>
    <cellStyle name="Normal 2 2 2 2 4 20 5 8" xfId="14927" xr:uid="{00000000-0005-0000-0000-00004F3A0000}"/>
    <cellStyle name="Normal 2 2 2 2 4 20 5 9" xfId="14928" xr:uid="{00000000-0005-0000-0000-0000503A0000}"/>
    <cellStyle name="Normal 2 2 2 2 4 20 6" xfId="14929" xr:uid="{00000000-0005-0000-0000-0000513A0000}"/>
    <cellStyle name="Normal 2 2 2 2 4 20 7" xfId="14930" xr:uid="{00000000-0005-0000-0000-0000523A0000}"/>
    <cellStyle name="Normal 2 2 2 2 4 20 8" xfId="14931" xr:uid="{00000000-0005-0000-0000-0000533A0000}"/>
    <cellStyle name="Normal 2 2 2 2 4 20 9" xfId="14932" xr:uid="{00000000-0005-0000-0000-0000543A0000}"/>
    <cellStyle name="Normal 2 2 2 2 4 21" xfId="14933" xr:uid="{00000000-0005-0000-0000-0000553A0000}"/>
    <cellStyle name="Normal 2 2 2 2 4 21 10" xfId="14934" xr:uid="{00000000-0005-0000-0000-0000563A0000}"/>
    <cellStyle name="Normal 2 2 2 2 4 21 11" xfId="14935" xr:uid="{00000000-0005-0000-0000-0000573A0000}"/>
    <cellStyle name="Normal 2 2 2 2 4 21 12" xfId="14936" xr:uid="{00000000-0005-0000-0000-0000583A0000}"/>
    <cellStyle name="Normal 2 2 2 2 4 21 13" xfId="14937" xr:uid="{00000000-0005-0000-0000-0000593A0000}"/>
    <cellStyle name="Normal 2 2 2 2 4 21 14" xfId="14938" xr:uid="{00000000-0005-0000-0000-00005A3A0000}"/>
    <cellStyle name="Normal 2 2 2 2 4 21 2" xfId="14939" xr:uid="{00000000-0005-0000-0000-00005B3A0000}"/>
    <cellStyle name="Normal 2 2 2 2 4 21 2 10" xfId="14940" xr:uid="{00000000-0005-0000-0000-00005C3A0000}"/>
    <cellStyle name="Normal 2 2 2 2 4 21 2 2" xfId="14941" xr:uid="{00000000-0005-0000-0000-00005D3A0000}"/>
    <cellStyle name="Normal 2 2 2 2 4 21 2 3" xfId="14942" xr:uid="{00000000-0005-0000-0000-00005E3A0000}"/>
    <cellStyle name="Normal 2 2 2 2 4 21 2 4" xfId="14943" xr:uid="{00000000-0005-0000-0000-00005F3A0000}"/>
    <cellStyle name="Normal 2 2 2 2 4 21 2 5" xfId="14944" xr:uid="{00000000-0005-0000-0000-0000603A0000}"/>
    <cellStyle name="Normal 2 2 2 2 4 21 2 6" xfId="14945" xr:uid="{00000000-0005-0000-0000-0000613A0000}"/>
    <cellStyle name="Normal 2 2 2 2 4 21 2 7" xfId="14946" xr:uid="{00000000-0005-0000-0000-0000623A0000}"/>
    <cellStyle name="Normal 2 2 2 2 4 21 2 8" xfId="14947" xr:uid="{00000000-0005-0000-0000-0000633A0000}"/>
    <cellStyle name="Normal 2 2 2 2 4 21 2 9" xfId="14948" xr:uid="{00000000-0005-0000-0000-0000643A0000}"/>
    <cellStyle name="Normal 2 2 2 2 4 21 3" xfId="14949" xr:uid="{00000000-0005-0000-0000-0000653A0000}"/>
    <cellStyle name="Normal 2 2 2 2 4 21 3 10" xfId="14950" xr:uid="{00000000-0005-0000-0000-0000663A0000}"/>
    <cellStyle name="Normal 2 2 2 2 4 21 3 2" xfId="14951" xr:uid="{00000000-0005-0000-0000-0000673A0000}"/>
    <cellStyle name="Normal 2 2 2 2 4 21 3 3" xfId="14952" xr:uid="{00000000-0005-0000-0000-0000683A0000}"/>
    <cellStyle name="Normal 2 2 2 2 4 21 3 4" xfId="14953" xr:uid="{00000000-0005-0000-0000-0000693A0000}"/>
    <cellStyle name="Normal 2 2 2 2 4 21 3 5" xfId="14954" xr:uid="{00000000-0005-0000-0000-00006A3A0000}"/>
    <cellStyle name="Normal 2 2 2 2 4 21 3 6" xfId="14955" xr:uid="{00000000-0005-0000-0000-00006B3A0000}"/>
    <cellStyle name="Normal 2 2 2 2 4 21 3 7" xfId="14956" xr:uid="{00000000-0005-0000-0000-00006C3A0000}"/>
    <cellStyle name="Normal 2 2 2 2 4 21 3 8" xfId="14957" xr:uid="{00000000-0005-0000-0000-00006D3A0000}"/>
    <cellStyle name="Normal 2 2 2 2 4 21 3 9" xfId="14958" xr:uid="{00000000-0005-0000-0000-00006E3A0000}"/>
    <cellStyle name="Normal 2 2 2 2 4 21 4" xfId="14959" xr:uid="{00000000-0005-0000-0000-00006F3A0000}"/>
    <cellStyle name="Normal 2 2 2 2 4 21 4 10" xfId="14960" xr:uid="{00000000-0005-0000-0000-0000703A0000}"/>
    <cellStyle name="Normal 2 2 2 2 4 21 4 2" xfId="14961" xr:uid="{00000000-0005-0000-0000-0000713A0000}"/>
    <cellStyle name="Normal 2 2 2 2 4 21 4 3" xfId="14962" xr:uid="{00000000-0005-0000-0000-0000723A0000}"/>
    <cellStyle name="Normal 2 2 2 2 4 21 4 4" xfId="14963" xr:uid="{00000000-0005-0000-0000-0000733A0000}"/>
    <cellStyle name="Normal 2 2 2 2 4 21 4 5" xfId="14964" xr:uid="{00000000-0005-0000-0000-0000743A0000}"/>
    <cellStyle name="Normal 2 2 2 2 4 21 4 6" xfId="14965" xr:uid="{00000000-0005-0000-0000-0000753A0000}"/>
    <cellStyle name="Normal 2 2 2 2 4 21 4 7" xfId="14966" xr:uid="{00000000-0005-0000-0000-0000763A0000}"/>
    <cellStyle name="Normal 2 2 2 2 4 21 4 8" xfId="14967" xr:uid="{00000000-0005-0000-0000-0000773A0000}"/>
    <cellStyle name="Normal 2 2 2 2 4 21 4 9" xfId="14968" xr:uid="{00000000-0005-0000-0000-0000783A0000}"/>
    <cellStyle name="Normal 2 2 2 2 4 21 5" xfId="14969" xr:uid="{00000000-0005-0000-0000-0000793A0000}"/>
    <cellStyle name="Normal 2 2 2 2 4 21 5 10" xfId="14970" xr:uid="{00000000-0005-0000-0000-00007A3A0000}"/>
    <cellStyle name="Normal 2 2 2 2 4 21 5 2" xfId="14971" xr:uid="{00000000-0005-0000-0000-00007B3A0000}"/>
    <cellStyle name="Normal 2 2 2 2 4 21 5 3" xfId="14972" xr:uid="{00000000-0005-0000-0000-00007C3A0000}"/>
    <cellStyle name="Normal 2 2 2 2 4 21 5 4" xfId="14973" xr:uid="{00000000-0005-0000-0000-00007D3A0000}"/>
    <cellStyle name="Normal 2 2 2 2 4 21 5 5" xfId="14974" xr:uid="{00000000-0005-0000-0000-00007E3A0000}"/>
    <cellStyle name="Normal 2 2 2 2 4 21 5 6" xfId="14975" xr:uid="{00000000-0005-0000-0000-00007F3A0000}"/>
    <cellStyle name="Normal 2 2 2 2 4 21 5 7" xfId="14976" xr:uid="{00000000-0005-0000-0000-0000803A0000}"/>
    <cellStyle name="Normal 2 2 2 2 4 21 5 8" xfId="14977" xr:uid="{00000000-0005-0000-0000-0000813A0000}"/>
    <cellStyle name="Normal 2 2 2 2 4 21 5 9" xfId="14978" xr:uid="{00000000-0005-0000-0000-0000823A0000}"/>
    <cellStyle name="Normal 2 2 2 2 4 21 6" xfId="14979" xr:uid="{00000000-0005-0000-0000-0000833A0000}"/>
    <cellStyle name="Normal 2 2 2 2 4 21 7" xfId="14980" xr:uid="{00000000-0005-0000-0000-0000843A0000}"/>
    <cellStyle name="Normal 2 2 2 2 4 21 8" xfId="14981" xr:uid="{00000000-0005-0000-0000-0000853A0000}"/>
    <cellStyle name="Normal 2 2 2 2 4 21 9" xfId="14982" xr:uid="{00000000-0005-0000-0000-0000863A0000}"/>
    <cellStyle name="Normal 2 2 2 2 4 22" xfId="14983" xr:uid="{00000000-0005-0000-0000-0000873A0000}"/>
    <cellStyle name="Normal 2 2 2 2 4 22 10" xfId="14984" xr:uid="{00000000-0005-0000-0000-0000883A0000}"/>
    <cellStyle name="Normal 2 2 2 2 4 22 11" xfId="14985" xr:uid="{00000000-0005-0000-0000-0000893A0000}"/>
    <cellStyle name="Normal 2 2 2 2 4 22 12" xfId="14986" xr:uid="{00000000-0005-0000-0000-00008A3A0000}"/>
    <cellStyle name="Normal 2 2 2 2 4 22 13" xfId="14987" xr:uid="{00000000-0005-0000-0000-00008B3A0000}"/>
    <cellStyle name="Normal 2 2 2 2 4 22 14" xfId="14988" xr:uid="{00000000-0005-0000-0000-00008C3A0000}"/>
    <cellStyle name="Normal 2 2 2 2 4 22 2" xfId="14989" xr:uid="{00000000-0005-0000-0000-00008D3A0000}"/>
    <cellStyle name="Normal 2 2 2 2 4 22 2 10" xfId="14990" xr:uid="{00000000-0005-0000-0000-00008E3A0000}"/>
    <cellStyle name="Normal 2 2 2 2 4 22 2 2" xfId="14991" xr:uid="{00000000-0005-0000-0000-00008F3A0000}"/>
    <cellStyle name="Normal 2 2 2 2 4 22 2 3" xfId="14992" xr:uid="{00000000-0005-0000-0000-0000903A0000}"/>
    <cellStyle name="Normal 2 2 2 2 4 22 2 4" xfId="14993" xr:uid="{00000000-0005-0000-0000-0000913A0000}"/>
    <cellStyle name="Normal 2 2 2 2 4 22 2 5" xfId="14994" xr:uid="{00000000-0005-0000-0000-0000923A0000}"/>
    <cellStyle name="Normal 2 2 2 2 4 22 2 6" xfId="14995" xr:uid="{00000000-0005-0000-0000-0000933A0000}"/>
    <cellStyle name="Normal 2 2 2 2 4 22 2 7" xfId="14996" xr:uid="{00000000-0005-0000-0000-0000943A0000}"/>
    <cellStyle name="Normal 2 2 2 2 4 22 2 8" xfId="14997" xr:uid="{00000000-0005-0000-0000-0000953A0000}"/>
    <cellStyle name="Normal 2 2 2 2 4 22 2 9" xfId="14998" xr:uid="{00000000-0005-0000-0000-0000963A0000}"/>
    <cellStyle name="Normal 2 2 2 2 4 22 3" xfId="14999" xr:uid="{00000000-0005-0000-0000-0000973A0000}"/>
    <cellStyle name="Normal 2 2 2 2 4 22 3 10" xfId="15000" xr:uid="{00000000-0005-0000-0000-0000983A0000}"/>
    <cellStyle name="Normal 2 2 2 2 4 22 3 2" xfId="15001" xr:uid="{00000000-0005-0000-0000-0000993A0000}"/>
    <cellStyle name="Normal 2 2 2 2 4 22 3 3" xfId="15002" xr:uid="{00000000-0005-0000-0000-00009A3A0000}"/>
    <cellStyle name="Normal 2 2 2 2 4 22 3 4" xfId="15003" xr:uid="{00000000-0005-0000-0000-00009B3A0000}"/>
    <cellStyle name="Normal 2 2 2 2 4 22 3 5" xfId="15004" xr:uid="{00000000-0005-0000-0000-00009C3A0000}"/>
    <cellStyle name="Normal 2 2 2 2 4 22 3 6" xfId="15005" xr:uid="{00000000-0005-0000-0000-00009D3A0000}"/>
    <cellStyle name="Normal 2 2 2 2 4 22 3 7" xfId="15006" xr:uid="{00000000-0005-0000-0000-00009E3A0000}"/>
    <cellStyle name="Normal 2 2 2 2 4 22 3 8" xfId="15007" xr:uid="{00000000-0005-0000-0000-00009F3A0000}"/>
    <cellStyle name="Normal 2 2 2 2 4 22 3 9" xfId="15008" xr:uid="{00000000-0005-0000-0000-0000A03A0000}"/>
    <cellStyle name="Normal 2 2 2 2 4 22 4" xfId="15009" xr:uid="{00000000-0005-0000-0000-0000A13A0000}"/>
    <cellStyle name="Normal 2 2 2 2 4 22 4 10" xfId="15010" xr:uid="{00000000-0005-0000-0000-0000A23A0000}"/>
    <cellStyle name="Normal 2 2 2 2 4 22 4 2" xfId="15011" xr:uid="{00000000-0005-0000-0000-0000A33A0000}"/>
    <cellStyle name="Normal 2 2 2 2 4 22 4 3" xfId="15012" xr:uid="{00000000-0005-0000-0000-0000A43A0000}"/>
    <cellStyle name="Normal 2 2 2 2 4 22 4 4" xfId="15013" xr:uid="{00000000-0005-0000-0000-0000A53A0000}"/>
    <cellStyle name="Normal 2 2 2 2 4 22 4 5" xfId="15014" xr:uid="{00000000-0005-0000-0000-0000A63A0000}"/>
    <cellStyle name="Normal 2 2 2 2 4 22 4 6" xfId="15015" xr:uid="{00000000-0005-0000-0000-0000A73A0000}"/>
    <cellStyle name="Normal 2 2 2 2 4 22 4 7" xfId="15016" xr:uid="{00000000-0005-0000-0000-0000A83A0000}"/>
    <cellStyle name="Normal 2 2 2 2 4 22 4 8" xfId="15017" xr:uid="{00000000-0005-0000-0000-0000A93A0000}"/>
    <cellStyle name="Normal 2 2 2 2 4 22 4 9" xfId="15018" xr:uid="{00000000-0005-0000-0000-0000AA3A0000}"/>
    <cellStyle name="Normal 2 2 2 2 4 22 5" xfId="15019" xr:uid="{00000000-0005-0000-0000-0000AB3A0000}"/>
    <cellStyle name="Normal 2 2 2 2 4 22 5 10" xfId="15020" xr:uid="{00000000-0005-0000-0000-0000AC3A0000}"/>
    <cellStyle name="Normal 2 2 2 2 4 22 5 2" xfId="15021" xr:uid="{00000000-0005-0000-0000-0000AD3A0000}"/>
    <cellStyle name="Normal 2 2 2 2 4 22 5 3" xfId="15022" xr:uid="{00000000-0005-0000-0000-0000AE3A0000}"/>
    <cellStyle name="Normal 2 2 2 2 4 22 5 4" xfId="15023" xr:uid="{00000000-0005-0000-0000-0000AF3A0000}"/>
    <cellStyle name="Normal 2 2 2 2 4 22 5 5" xfId="15024" xr:uid="{00000000-0005-0000-0000-0000B03A0000}"/>
    <cellStyle name="Normal 2 2 2 2 4 22 5 6" xfId="15025" xr:uid="{00000000-0005-0000-0000-0000B13A0000}"/>
    <cellStyle name="Normal 2 2 2 2 4 22 5 7" xfId="15026" xr:uid="{00000000-0005-0000-0000-0000B23A0000}"/>
    <cellStyle name="Normal 2 2 2 2 4 22 5 8" xfId="15027" xr:uid="{00000000-0005-0000-0000-0000B33A0000}"/>
    <cellStyle name="Normal 2 2 2 2 4 22 5 9" xfId="15028" xr:uid="{00000000-0005-0000-0000-0000B43A0000}"/>
    <cellStyle name="Normal 2 2 2 2 4 22 6" xfId="15029" xr:uid="{00000000-0005-0000-0000-0000B53A0000}"/>
    <cellStyle name="Normal 2 2 2 2 4 22 7" xfId="15030" xr:uid="{00000000-0005-0000-0000-0000B63A0000}"/>
    <cellStyle name="Normal 2 2 2 2 4 22 8" xfId="15031" xr:uid="{00000000-0005-0000-0000-0000B73A0000}"/>
    <cellStyle name="Normal 2 2 2 2 4 22 9" xfId="15032" xr:uid="{00000000-0005-0000-0000-0000B83A0000}"/>
    <cellStyle name="Normal 2 2 2 2 4 23" xfId="15033" xr:uid="{00000000-0005-0000-0000-0000B93A0000}"/>
    <cellStyle name="Normal 2 2 2 2 4 23 10" xfId="15034" xr:uid="{00000000-0005-0000-0000-0000BA3A0000}"/>
    <cellStyle name="Normal 2 2 2 2 4 23 11" xfId="15035" xr:uid="{00000000-0005-0000-0000-0000BB3A0000}"/>
    <cellStyle name="Normal 2 2 2 2 4 23 12" xfId="15036" xr:uid="{00000000-0005-0000-0000-0000BC3A0000}"/>
    <cellStyle name="Normal 2 2 2 2 4 23 13" xfId="15037" xr:uid="{00000000-0005-0000-0000-0000BD3A0000}"/>
    <cellStyle name="Normal 2 2 2 2 4 23 14" xfId="15038" xr:uid="{00000000-0005-0000-0000-0000BE3A0000}"/>
    <cellStyle name="Normal 2 2 2 2 4 23 2" xfId="15039" xr:uid="{00000000-0005-0000-0000-0000BF3A0000}"/>
    <cellStyle name="Normal 2 2 2 2 4 23 2 10" xfId="15040" xr:uid="{00000000-0005-0000-0000-0000C03A0000}"/>
    <cellStyle name="Normal 2 2 2 2 4 23 2 2" xfId="15041" xr:uid="{00000000-0005-0000-0000-0000C13A0000}"/>
    <cellStyle name="Normal 2 2 2 2 4 23 2 3" xfId="15042" xr:uid="{00000000-0005-0000-0000-0000C23A0000}"/>
    <cellStyle name="Normal 2 2 2 2 4 23 2 4" xfId="15043" xr:uid="{00000000-0005-0000-0000-0000C33A0000}"/>
    <cellStyle name="Normal 2 2 2 2 4 23 2 5" xfId="15044" xr:uid="{00000000-0005-0000-0000-0000C43A0000}"/>
    <cellStyle name="Normal 2 2 2 2 4 23 2 6" xfId="15045" xr:uid="{00000000-0005-0000-0000-0000C53A0000}"/>
    <cellStyle name="Normal 2 2 2 2 4 23 2 7" xfId="15046" xr:uid="{00000000-0005-0000-0000-0000C63A0000}"/>
    <cellStyle name="Normal 2 2 2 2 4 23 2 8" xfId="15047" xr:uid="{00000000-0005-0000-0000-0000C73A0000}"/>
    <cellStyle name="Normal 2 2 2 2 4 23 2 9" xfId="15048" xr:uid="{00000000-0005-0000-0000-0000C83A0000}"/>
    <cellStyle name="Normal 2 2 2 2 4 23 3" xfId="15049" xr:uid="{00000000-0005-0000-0000-0000C93A0000}"/>
    <cellStyle name="Normal 2 2 2 2 4 23 3 10" xfId="15050" xr:uid="{00000000-0005-0000-0000-0000CA3A0000}"/>
    <cellStyle name="Normal 2 2 2 2 4 23 3 2" xfId="15051" xr:uid="{00000000-0005-0000-0000-0000CB3A0000}"/>
    <cellStyle name="Normal 2 2 2 2 4 23 3 3" xfId="15052" xr:uid="{00000000-0005-0000-0000-0000CC3A0000}"/>
    <cellStyle name="Normal 2 2 2 2 4 23 3 4" xfId="15053" xr:uid="{00000000-0005-0000-0000-0000CD3A0000}"/>
    <cellStyle name="Normal 2 2 2 2 4 23 3 5" xfId="15054" xr:uid="{00000000-0005-0000-0000-0000CE3A0000}"/>
    <cellStyle name="Normal 2 2 2 2 4 23 3 6" xfId="15055" xr:uid="{00000000-0005-0000-0000-0000CF3A0000}"/>
    <cellStyle name="Normal 2 2 2 2 4 23 3 7" xfId="15056" xr:uid="{00000000-0005-0000-0000-0000D03A0000}"/>
    <cellStyle name="Normal 2 2 2 2 4 23 3 8" xfId="15057" xr:uid="{00000000-0005-0000-0000-0000D13A0000}"/>
    <cellStyle name="Normal 2 2 2 2 4 23 3 9" xfId="15058" xr:uid="{00000000-0005-0000-0000-0000D23A0000}"/>
    <cellStyle name="Normal 2 2 2 2 4 23 4" xfId="15059" xr:uid="{00000000-0005-0000-0000-0000D33A0000}"/>
    <cellStyle name="Normal 2 2 2 2 4 23 4 10" xfId="15060" xr:uid="{00000000-0005-0000-0000-0000D43A0000}"/>
    <cellStyle name="Normal 2 2 2 2 4 23 4 2" xfId="15061" xr:uid="{00000000-0005-0000-0000-0000D53A0000}"/>
    <cellStyle name="Normal 2 2 2 2 4 23 4 3" xfId="15062" xr:uid="{00000000-0005-0000-0000-0000D63A0000}"/>
    <cellStyle name="Normal 2 2 2 2 4 23 4 4" xfId="15063" xr:uid="{00000000-0005-0000-0000-0000D73A0000}"/>
    <cellStyle name="Normal 2 2 2 2 4 23 4 5" xfId="15064" xr:uid="{00000000-0005-0000-0000-0000D83A0000}"/>
    <cellStyle name="Normal 2 2 2 2 4 23 4 6" xfId="15065" xr:uid="{00000000-0005-0000-0000-0000D93A0000}"/>
    <cellStyle name="Normal 2 2 2 2 4 23 4 7" xfId="15066" xr:uid="{00000000-0005-0000-0000-0000DA3A0000}"/>
    <cellStyle name="Normal 2 2 2 2 4 23 4 8" xfId="15067" xr:uid="{00000000-0005-0000-0000-0000DB3A0000}"/>
    <cellStyle name="Normal 2 2 2 2 4 23 4 9" xfId="15068" xr:uid="{00000000-0005-0000-0000-0000DC3A0000}"/>
    <cellStyle name="Normal 2 2 2 2 4 23 5" xfId="15069" xr:uid="{00000000-0005-0000-0000-0000DD3A0000}"/>
    <cellStyle name="Normal 2 2 2 2 4 23 5 10" xfId="15070" xr:uid="{00000000-0005-0000-0000-0000DE3A0000}"/>
    <cellStyle name="Normal 2 2 2 2 4 23 5 2" xfId="15071" xr:uid="{00000000-0005-0000-0000-0000DF3A0000}"/>
    <cellStyle name="Normal 2 2 2 2 4 23 5 3" xfId="15072" xr:uid="{00000000-0005-0000-0000-0000E03A0000}"/>
    <cellStyle name="Normal 2 2 2 2 4 23 5 4" xfId="15073" xr:uid="{00000000-0005-0000-0000-0000E13A0000}"/>
    <cellStyle name="Normal 2 2 2 2 4 23 5 5" xfId="15074" xr:uid="{00000000-0005-0000-0000-0000E23A0000}"/>
    <cellStyle name="Normal 2 2 2 2 4 23 5 6" xfId="15075" xr:uid="{00000000-0005-0000-0000-0000E33A0000}"/>
    <cellStyle name="Normal 2 2 2 2 4 23 5 7" xfId="15076" xr:uid="{00000000-0005-0000-0000-0000E43A0000}"/>
    <cellStyle name="Normal 2 2 2 2 4 23 5 8" xfId="15077" xr:uid="{00000000-0005-0000-0000-0000E53A0000}"/>
    <cellStyle name="Normal 2 2 2 2 4 23 5 9" xfId="15078" xr:uid="{00000000-0005-0000-0000-0000E63A0000}"/>
    <cellStyle name="Normal 2 2 2 2 4 23 6" xfId="15079" xr:uid="{00000000-0005-0000-0000-0000E73A0000}"/>
    <cellStyle name="Normal 2 2 2 2 4 23 7" xfId="15080" xr:uid="{00000000-0005-0000-0000-0000E83A0000}"/>
    <cellStyle name="Normal 2 2 2 2 4 23 8" xfId="15081" xr:uid="{00000000-0005-0000-0000-0000E93A0000}"/>
    <cellStyle name="Normal 2 2 2 2 4 23 9" xfId="15082" xr:uid="{00000000-0005-0000-0000-0000EA3A0000}"/>
    <cellStyle name="Normal 2 2 2 2 4 24" xfId="15083" xr:uid="{00000000-0005-0000-0000-0000EB3A0000}"/>
    <cellStyle name="Normal 2 2 2 2 4 24 10" xfId="15084" xr:uid="{00000000-0005-0000-0000-0000EC3A0000}"/>
    <cellStyle name="Normal 2 2 2 2 4 24 11" xfId="15085" xr:uid="{00000000-0005-0000-0000-0000ED3A0000}"/>
    <cellStyle name="Normal 2 2 2 2 4 24 12" xfId="15086" xr:uid="{00000000-0005-0000-0000-0000EE3A0000}"/>
    <cellStyle name="Normal 2 2 2 2 4 24 13" xfId="15087" xr:uid="{00000000-0005-0000-0000-0000EF3A0000}"/>
    <cellStyle name="Normal 2 2 2 2 4 24 14" xfId="15088" xr:uid="{00000000-0005-0000-0000-0000F03A0000}"/>
    <cellStyle name="Normal 2 2 2 2 4 24 2" xfId="15089" xr:uid="{00000000-0005-0000-0000-0000F13A0000}"/>
    <cellStyle name="Normal 2 2 2 2 4 24 2 10" xfId="15090" xr:uid="{00000000-0005-0000-0000-0000F23A0000}"/>
    <cellStyle name="Normal 2 2 2 2 4 24 2 2" xfId="15091" xr:uid="{00000000-0005-0000-0000-0000F33A0000}"/>
    <cellStyle name="Normal 2 2 2 2 4 24 2 3" xfId="15092" xr:uid="{00000000-0005-0000-0000-0000F43A0000}"/>
    <cellStyle name="Normal 2 2 2 2 4 24 2 4" xfId="15093" xr:uid="{00000000-0005-0000-0000-0000F53A0000}"/>
    <cellStyle name="Normal 2 2 2 2 4 24 2 5" xfId="15094" xr:uid="{00000000-0005-0000-0000-0000F63A0000}"/>
    <cellStyle name="Normal 2 2 2 2 4 24 2 6" xfId="15095" xr:uid="{00000000-0005-0000-0000-0000F73A0000}"/>
    <cellStyle name="Normal 2 2 2 2 4 24 2 7" xfId="15096" xr:uid="{00000000-0005-0000-0000-0000F83A0000}"/>
    <cellStyle name="Normal 2 2 2 2 4 24 2 8" xfId="15097" xr:uid="{00000000-0005-0000-0000-0000F93A0000}"/>
    <cellStyle name="Normal 2 2 2 2 4 24 2 9" xfId="15098" xr:uid="{00000000-0005-0000-0000-0000FA3A0000}"/>
    <cellStyle name="Normal 2 2 2 2 4 24 3" xfId="15099" xr:uid="{00000000-0005-0000-0000-0000FB3A0000}"/>
    <cellStyle name="Normal 2 2 2 2 4 24 3 10" xfId="15100" xr:uid="{00000000-0005-0000-0000-0000FC3A0000}"/>
    <cellStyle name="Normal 2 2 2 2 4 24 3 2" xfId="15101" xr:uid="{00000000-0005-0000-0000-0000FD3A0000}"/>
    <cellStyle name="Normal 2 2 2 2 4 24 3 3" xfId="15102" xr:uid="{00000000-0005-0000-0000-0000FE3A0000}"/>
    <cellStyle name="Normal 2 2 2 2 4 24 3 4" xfId="15103" xr:uid="{00000000-0005-0000-0000-0000FF3A0000}"/>
    <cellStyle name="Normal 2 2 2 2 4 24 3 5" xfId="15104" xr:uid="{00000000-0005-0000-0000-0000003B0000}"/>
    <cellStyle name="Normal 2 2 2 2 4 24 3 6" xfId="15105" xr:uid="{00000000-0005-0000-0000-0000013B0000}"/>
    <cellStyle name="Normal 2 2 2 2 4 24 3 7" xfId="15106" xr:uid="{00000000-0005-0000-0000-0000023B0000}"/>
    <cellStyle name="Normal 2 2 2 2 4 24 3 8" xfId="15107" xr:uid="{00000000-0005-0000-0000-0000033B0000}"/>
    <cellStyle name="Normal 2 2 2 2 4 24 3 9" xfId="15108" xr:uid="{00000000-0005-0000-0000-0000043B0000}"/>
    <cellStyle name="Normal 2 2 2 2 4 24 4" xfId="15109" xr:uid="{00000000-0005-0000-0000-0000053B0000}"/>
    <cellStyle name="Normal 2 2 2 2 4 24 4 10" xfId="15110" xr:uid="{00000000-0005-0000-0000-0000063B0000}"/>
    <cellStyle name="Normal 2 2 2 2 4 24 4 2" xfId="15111" xr:uid="{00000000-0005-0000-0000-0000073B0000}"/>
    <cellStyle name="Normal 2 2 2 2 4 24 4 3" xfId="15112" xr:uid="{00000000-0005-0000-0000-0000083B0000}"/>
    <cellStyle name="Normal 2 2 2 2 4 24 4 4" xfId="15113" xr:uid="{00000000-0005-0000-0000-0000093B0000}"/>
    <cellStyle name="Normal 2 2 2 2 4 24 4 5" xfId="15114" xr:uid="{00000000-0005-0000-0000-00000A3B0000}"/>
    <cellStyle name="Normal 2 2 2 2 4 24 4 6" xfId="15115" xr:uid="{00000000-0005-0000-0000-00000B3B0000}"/>
    <cellStyle name="Normal 2 2 2 2 4 24 4 7" xfId="15116" xr:uid="{00000000-0005-0000-0000-00000C3B0000}"/>
    <cellStyle name="Normal 2 2 2 2 4 24 4 8" xfId="15117" xr:uid="{00000000-0005-0000-0000-00000D3B0000}"/>
    <cellStyle name="Normal 2 2 2 2 4 24 4 9" xfId="15118" xr:uid="{00000000-0005-0000-0000-00000E3B0000}"/>
    <cellStyle name="Normal 2 2 2 2 4 24 5" xfId="15119" xr:uid="{00000000-0005-0000-0000-00000F3B0000}"/>
    <cellStyle name="Normal 2 2 2 2 4 24 5 10" xfId="15120" xr:uid="{00000000-0005-0000-0000-0000103B0000}"/>
    <cellStyle name="Normal 2 2 2 2 4 24 5 2" xfId="15121" xr:uid="{00000000-0005-0000-0000-0000113B0000}"/>
    <cellStyle name="Normal 2 2 2 2 4 24 5 3" xfId="15122" xr:uid="{00000000-0005-0000-0000-0000123B0000}"/>
    <cellStyle name="Normal 2 2 2 2 4 24 5 4" xfId="15123" xr:uid="{00000000-0005-0000-0000-0000133B0000}"/>
    <cellStyle name="Normal 2 2 2 2 4 24 5 5" xfId="15124" xr:uid="{00000000-0005-0000-0000-0000143B0000}"/>
    <cellStyle name="Normal 2 2 2 2 4 24 5 6" xfId="15125" xr:uid="{00000000-0005-0000-0000-0000153B0000}"/>
    <cellStyle name="Normal 2 2 2 2 4 24 5 7" xfId="15126" xr:uid="{00000000-0005-0000-0000-0000163B0000}"/>
    <cellStyle name="Normal 2 2 2 2 4 24 5 8" xfId="15127" xr:uid="{00000000-0005-0000-0000-0000173B0000}"/>
    <cellStyle name="Normal 2 2 2 2 4 24 5 9" xfId="15128" xr:uid="{00000000-0005-0000-0000-0000183B0000}"/>
    <cellStyle name="Normal 2 2 2 2 4 24 6" xfId="15129" xr:uid="{00000000-0005-0000-0000-0000193B0000}"/>
    <cellStyle name="Normal 2 2 2 2 4 24 7" xfId="15130" xr:uid="{00000000-0005-0000-0000-00001A3B0000}"/>
    <cellStyle name="Normal 2 2 2 2 4 24 8" xfId="15131" xr:uid="{00000000-0005-0000-0000-00001B3B0000}"/>
    <cellStyle name="Normal 2 2 2 2 4 24 9" xfId="15132" xr:uid="{00000000-0005-0000-0000-00001C3B0000}"/>
    <cellStyle name="Normal 2 2 2 2 4 25" xfId="15133" xr:uid="{00000000-0005-0000-0000-00001D3B0000}"/>
    <cellStyle name="Normal 2 2 2 2 4 25 10" xfId="15134" xr:uid="{00000000-0005-0000-0000-00001E3B0000}"/>
    <cellStyle name="Normal 2 2 2 2 4 25 11" xfId="15135" xr:uid="{00000000-0005-0000-0000-00001F3B0000}"/>
    <cellStyle name="Normal 2 2 2 2 4 25 12" xfId="15136" xr:uid="{00000000-0005-0000-0000-0000203B0000}"/>
    <cellStyle name="Normal 2 2 2 2 4 25 13" xfId="15137" xr:uid="{00000000-0005-0000-0000-0000213B0000}"/>
    <cellStyle name="Normal 2 2 2 2 4 25 14" xfId="15138" xr:uid="{00000000-0005-0000-0000-0000223B0000}"/>
    <cellStyle name="Normal 2 2 2 2 4 25 2" xfId="15139" xr:uid="{00000000-0005-0000-0000-0000233B0000}"/>
    <cellStyle name="Normal 2 2 2 2 4 25 2 10" xfId="15140" xr:uid="{00000000-0005-0000-0000-0000243B0000}"/>
    <cellStyle name="Normal 2 2 2 2 4 25 2 2" xfId="15141" xr:uid="{00000000-0005-0000-0000-0000253B0000}"/>
    <cellStyle name="Normal 2 2 2 2 4 25 2 3" xfId="15142" xr:uid="{00000000-0005-0000-0000-0000263B0000}"/>
    <cellStyle name="Normal 2 2 2 2 4 25 2 4" xfId="15143" xr:uid="{00000000-0005-0000-0000-0000273B0000}"/>
    <cellStyle name="Normal 2 2 2 2 4 25 2 5" xfId="15144" xr:uid="{00000000-0005-0000-0000-0000283B0000}"/>
    <cellStyle name="Normal 2 2 2 2 4 25 2 6" xfId="15145" xr:uid="{00000000-0005-0000-0000-0000293B0000}"/>
    <cellStyle name="Normal 2 2 2 2 4 25 2 7" xfId="15146" xr:uid="{00000000-0005-0000-0000-00002A3B0000}"/>
    <cellStyle name="Normal 2 2 2 2 4 25 2 8" xfId="15147" xr:uid="{00000000-0005-0000-0000-00002B3B0000}"/>
    <cellStyle name="Normal 2 2 2 2 4 25 2 9" xfId="15148" xr:uid="{00000000-0005-0000-0000-00002C3B0000}"/>
    <cellStyle name="Normal 2 2 2 2 4 25 3" xfId="15149" xr:uid="{00000000-0005-0000-0000-00002D3B0000}"/>
    <cellStyle name="Normal 2 2 2 2 4 25 3 10" xfId="15150" xr:uid="{00000000-0005-0000-0000-00002E3B0000}"/>
    <cellStyle name="Normal 2 2 2 2 4 25 3 2" xfId="15151" xr:uid="{00000000-0005-0000-0000-00002F3B0000}"/>
    <cellStyle name="Normal 2 2 2 2 4 25 3 3" xfId="15152" xr:uid="{00000000-0005-0000-0000-0000303B0000}"/>
    <cellStyle name="Normal 2 2 2 2 4 25 3 4" xfId="15153" xr:uid="{00000000-0005-0000-0000-0000313B0000}"/>
    <cellStyle name="Normal 2 2 2 2 4 25 3 5" xfId="15154" xr:uid="{00000000-0005-0000-0000-0000323B0000}"/>
    <cellStyle name="Normal 2 2 2 2 4 25 3 6" xfId="15155" xr:uid="{00000000-0005-0000-0000-0000333B0000}"/>
    <cellStyle name="Normal 2 2 2 2 4 25 3 7" xfId="15156" xr:uid="{00000000-0005-0000-0000-0000343B0000}"/>
    <cellStyle name="Normal 2 2 2 2 4 25 3 8" xfId="15157" xr:uid="{00000000-0005-0000-0000-0000353B0000}"/>
    <cellStyle name="Normal 2 2 2 2 4 25 3 9" xfId="15158" xr:uid="{00000000-0005-0000-0000-0000363B0000}"/>
    <cellStyle name="Normal 2 2 2 2 4 25 4" xfId="15159" xr:uid="{00000000-0005-0000-0000-0000373B0000}"/>
    <cellStyle name="Normal 2 2 2 2 4 25 4 10" xfId="15160" xr:uid="{00000000-0005-0000-0000-0000383B0000}"/>
    <cellStyle name="Normal 2 2 2 2 4 25 4 2" xfId="15161" xr:uid="{00000000-0005-0000-0000-0000393B0000}"/>
    <cellStyle name="Normal 2 2 2 2 4 25 4 3" xfId="15162" xr:uid="{00000000-0005-0000-0000-00003A3B0000}"/>
    <cellStyle name="Normal 2 2 2 2 4 25 4 4" xfId="15163" xr:uid="{00000000-0005-0000-0000-00003B3B0000}"/>
    <cellStyle name="Normal 2 2 2 2 4 25 4 5" xfId="15164" xr:uid="{00000000-0005-0000-0000-00003C3B0000}"/>
    <cellStyle name="Normal 2 2 2 2 4 25 4 6" xfId="15165" xr:uid="{00000000-0005-0000-0000-00003D3B0000}"/>
    <cellStyle name="Normal 2 2 2 2 4 25 4 7" xfId="15166" xr:uid="{00000000-0005-0000-0000-00003E3B0000}"/>
    <cellStyle name="Normal 2 2 2 2 4 25 4 8" xfId="15167" xr:uid="{00000000-0005-0000-0000-00003F3B0000}"/>
    <cellStyle name="Normal 2 2 2 2 4 25 4 9" xfId="15168" xr:uid="{00000000-0005-0000-0000-0000403B0000}"/>
    <cellStyle name="Normal 2 2 2 2 4 25 5" xfId="15169" xr:uid="{00000000-0005-0000-0000-0000413B0000}"/>
    <cellStyle name="Normal 2 2 2 2 4 25 5 10" xfId="15170" xr:uid="{00000000-0005-0000-0000-0000423B0000}"/>
    <cellStyle name="Normal 2 2 2 2 4 25 5 2" xfId="15171" xr:uid="{00000000-0005-0000-0000-0000433B0000}"/>
    <cellStyle name="Normal 2 2 2 2 4 25 5 3" xfId="15172" xr:uid="{00000000-0005-0000-0000-0000443B0000}"/>
    <cellStyle name="Normal 2 2 2 2 4 25 5 4" xfId="15173" xr:uid="{00000000-0005-0000-0000-0000453B0000}"/>
    <cellStyle name="Normal 2 2 2 2 4 25 5 5" xfId="15174" xr:uid="{00000000-0005-0000-0000-0000463B0000}"/>
    <cellStyle name="Normal 2 2 2 2 4 25 5 6" xfId="15175" xr:uid="{00000000-0005-0000-0000-0000473B0000}"/>
    <cellStyle name="Normal 2 2 2 2 4 25 5 7" xfId="15176" xr:uid="{00000000-0005-0000-0000-0000483B0000}"/>
    <cellStyle name="Normal 2 2 2 2 4 25 5 8" xfId="15177" xr:uid="{00000000-0005-0000-0000-0000493B0000}"/>
    <cellStyle name="Normal 2 2 2 2 4 25 5 9" xfId="15178" xr:uid="{00000000-0005-0000-0000-00004A3B0000}"/>
    <cellStyle name="Normal 2 2 2 2 4 25 6" xfId="15179" xr:uid="{00000000-0005-0000-0000-00004B3B0000}"/>
    <cellStyle name="Normal 2 2 2 2 4 25 7" xfId="15180" xr:uid="{00000000-0005-0000-0000-00004C3B0000}"/>
    <cellStyle name="Normal 2 2 2 2 4 25 8" xfId="15181" xr:uid="{00000000-0005-0000-0000-00004D3B0000}"/>
    <cellStyle name="Normal 2 2 2 2 4 25 9" xfId="15182" xr:uid="{00000000-0005-0000-0000-00004E3B0000}"/>
    <cellStyle name="Normal 2 2 2 2 4 26" xfId="15183" xr:uid="{00000000-0005-0000-0000-00004F3B0000}"/>
    <cellStyle name="Normal 2 2 2 2 4 26 10" xfId="15184" xr:uid="{00000000-0005-0000-0000-0000503B0000}"/>
    <cellStyle name="Normal 2 2 2 2 4 26 11" xfId="15185" xr:uid="{00000000-0005-0000-0000-0000513B0000}"/>
    <cellStyle name="Normal 2 2 2 2 4 26 12" xfId="15186" xr:uid="{00000000-0005-0000-0000-0000523B0000}"/>
    <cellStyle name="Normal 2 2 2 2 4 26 13" xfId="15187" xr:uid="{00000000-0005-0000-0000-0000533B0000}"/>
    <cellStyle name="Normal 2 2 2 2 4 26 14" xfId="15188" xr:uid="{00000000-0005-0000-0000-0000543B0000}"/>
    <cellStyle name="Normal 2 2 2 2 4 26 2" xfId="15189" xr:uid="{00000000-0005-0000-0000-0000553B0000}"/>
    <cellStyle name="Normal 2 2 2 2 4 26 2 10" xfId="15190" xr:uid="{00000000-0005-0000-0000-0000563B0000}"/>
    <cellStyle name="Normal 2 2 2 2 4 26 2 2" xfId="15191" xr:uid="{00000000-0005-0000-0000-0000573B0000}"/>
    <cellStyle name="Normal 2 2 2 2 4 26 2 3" xfId="15192" xr:uid="{00000000-0005-0000-0000-0000583B0000}"/>
    <cellStyle name="Normal 2 2 2 2 4 26 2 4" xfId="15193" xr:uid="{00000000-0005-0000-0000-0000593B0000}"/>
    <cellStyle name="Normal 2 2 2 2 4 26 2 5" xfId="15194" xr:uid="{00000000-0005-0000-0000-00005A3B0000}"/>
    <cellStyle name="Normal 2 2 2 2 4 26 2 6" xfId="15195" xr:uid="{00000000-0005-0000-0000-00005B3B0000}"/>
    <cellStyle name="Normal 2 2 2 2 4 26 2 7" xfId="15196" xr:uid="{00000000-0005-0000-0000-00005C3B0000}"/>
    <cellStyle name="Normal 2 2 2 2 4 26 2 8" xfId="15197" xr:uid="{00000000-0005-0000-0000-00005D3B0000}"/>
    <cellStyle name="Normal 2 2 2 2 4 26 2 9" xfId="15198" xr:uid="{00000000-0005-0000-0000-00005E3B0000}"/>
    <cellStyle name="Normal 2 2 2 2 4 26 3" xfId="15199" xr:uid="{00000000-0005-0000-0000-00005F3B0000}"/>
    <cellStyle name="Normal 2 2 2 2 4 26 3 10" xfId="15200" xr:uid="{00000000-0005-0000-0000-0000603B0000}"/>
    <cellStyle name="Normal 2 2 2 2 4 26 3 2" xfId="15201" xr:uid="{00000000-0005-0000-0000-0000613B0000}"/>
    <cellStyle name="Normal 2 2 2 2 4 26 3 3" xfId="15202" xr:uid="{00000000-0005-0000-0000-0000623B0000}"/>
    <cellStyle name="Normal 2 2 2 2 4 26 3 4" xfId="15203" xr:uid="{00000000-0005-0000-0000-0000633B0000}"/>
    <cellStyle name="Normal 2 2 2 2 4 26 3 5" xfId="15204" xr:uid="{00000000-0005-0000-0000-0000643B0000}"/>
    <cellStyle name="Normal 2 2 2 2 4 26 3 6" xfId="15205" xr:uid="{00000000-0005-0000-0000-0000653B0000}"/>
    <cellStyle name="Normal 2 2 2 2 4 26 3 7" xfId="15206" xr:uid="{00000000-0005-0000-0000-0000663B0000}"/>
    <cellStyle name="Normal 2 2 2 2 4 26 3 8" xfId="15207" xr:uid="{00000000-0005-0000-0000-0000673B0000}"/>
    <cellStyle name="Normal 2 2 2 2 4 26 3 9" xfId="15208" xr:uid="{00000000-0005-0000-0000-0000683B0000}"/>
    <cellStyle name="Normal 2 2 2 2 4 26 4" xfId="15209" xr:uid="{00000000-0005-0000-0000-0000693B0000}"/>
    <cellStyle name="Normal 2 2 2 2 4 26 4 10" xfId="15210" xr:uid="{00000000-0005-0000-0000-00006A3B0000}"/>
    <cellStyle name="Normal 2 2 2 2 4 26 4 2" xfId="15211" xr:uid="{00000000-0005-0000-0000-00006B3B0000}"/>
    <cellStyle name="Normal 2 2 2 2 4 26 4 3" xfId="15212" xr:uid="{00000000-0005-0000-0000-00006C3B0000}"/>
    <cellStyle name="Normal 2 2 2 2 4 26 4 4" xfId="15213" xr:uid="{00000000-0005-0000-0000-00006D3B0000}"/>
    <cellStyle name="Normal 2 2 2 2 4 26 4 5" xfId="15214" xr:uid="{00000000-0005-0000-0000-00006E3B0000}"/>
    <cellStyle name="Normal 2 2 2 2 4 26 4 6" xfId="15215" xr:uid="{00000000-0005-0000-0000-00006F3B0000}"/>
    <cellStyle name="Normal 2 2 2 2 4 26 4 7" xfId="15216" xr:uid="{00000000-0005-0000-0000-0000703B0000}"/>
    <cellStyle name="Normal 2 2 2 2 4 26 4 8" xfId="15217" xr:uid="{00000000-0005-0000-0000-0000713B0000}"/>
    <cellStyle name="Normal 2 2 2 2 4 26 4 9" xfId="15218" xr:uid="{00000000-0005-0000-0000-0000723B0000}"/>
    <cellStyle name="Normal 2 2 2 2 4 26 5" xfId="15219" xr:uid="{00000000-0005-0000-0000-0000733B0000}"/>
    <cellStyle name="Normal 2 2 2 2 4 26 5 10" xfId="15220" xr:uid="{00000000-0005-0000-0000-0000743B0000}"/>
    <cellStyle name="Normal 2 2 2 2 4 26 5 2" xfId="15221" xr:uid="{00000000-0005-0000-0000-0000753B0000}"/>
    <cellStyle name="Normal 2 2 2 2 4 26 5 3" xfId="15222" xr:uid="{00000000-0005-0000-0000-0000763B0000}"/>
    <cellStyle name="Normal 2 2 2 2 4 26 5 4" xfId="15223" xr:uid="{00000000-0005-0000-0000-0000773B0000}"/>
    <cellStyle name="Normal 2 2 2 2 4 26 5 5" xfId="15224" xr:uid="{00000000-0005-0000-0000-0000783B0000}"/>
    <cellStyle name="Normal 2 2 2 2 4 26 5 6" xfId="15225" xr:uid="{00000000-0005-0000-0000-0000793B0000}"/>
    <cellStyle name="Normal 2 2 2 2 4 26 5 7" xfId="15226" xr:uid="{00000000-0005-0000-0000-00007A3B0000}"/>
    <cellStyle name="Normal 2 2 2 2 4 26 5 8" xfId="15227" xr:uid="{00000000-0005-0000-0000-00007B3B0000}"/>
    <cellStyle name="Normal 2 2 2 2 4 26 5 9" xfId="15228" xr:uid="{00000000-0005-0000-0000-00007C3B0000}"/>
    <cellStyle name="Normal 2 2 2 2 4 26 6" xfId="15229" xr:uid="{00000000-0005-0000-0000-00007D3B0000}"/>
    <cellStyle name="Normal 2 2 2 2 4 26 7" xfId="15230" xr:uid="{00000000-0005-0000-0000-00007E3B0000}"/>
    <cellStyle name="Normal 2 2 2 2 4 26 8" xfId="15231" xr:uid="{00000000-0005-0000-0000-00007F3B0000}"/>
    <cellStyle name="Normal 2 2 2 2 4 26 9" xfId="15232" xr:uid="{00000000-0005-0000-0000-0000803B0000}"/>
    <cellStyle name="Normal 2 2 2 2 4 27" xfId="15233" xr:uid="{00000000-0005-0000-0000-0000813B0000}"/>
    <cellStyle name="Normal 2 2 2 2 4 27 10" xfId="15234" xr:uid="{00000000-0005-0000-0000-0000823B0000}"/>
    <cellStyle name="Normal 2 2 2 2 4 27 11" xfId="15235" xr:uid="{00000000-0005-0000-0000-0000833B0000}"/>
    <cellStyle name="Normal 2 2 2 2 4 27 12" xfId="15236" xr:uid="{00000000-0005-0000-0000-0000843B0000}"/>
    <cellStyle name="Normal 2 2 2 2 4 27 13" xfId="15237" xr:uid="{00000000-0005-0000-0000-0000853B0000}"/>
    <cellStyle name="Normal 2 2 2 2 4 27 14" xfId="15238" xr:uid="{00000000-0005-0000-0000-0000863B0000}"/>
    <cellStyle name="Normal 2 2 2 2 4 27 2" xfId="15239" xr:uid="{00000000-0005-0000-0000-0000873B0000}"/>
    <cellStyle name="Normal 2 2 2 2 4 27 2 10" xfId="15240" xr:uid="{00000000-0005-0000-0000-0000883B0000}"/>
    <cellStyle name="Normal 2 2 2 2 4 27 2 2" xfId="15241" xr:uid="{00000000-0005-0000-0000-0000893B0000}"/>
    <cellStyle name="Normal 2 2 2 2 4 27 2 3" xfId="15242" xr:uid="{00000000-0005-0000-0000-00008A3B0000}"/>
    <cellStyle name="Normal 2 2 2 2 4 27 2 4" xfId="15243" xr:uid="{00000000-0005-0000-0000-00008B3B0000}"/>
    <cellStyle name="Normal 2 2 2 2 4 27 2 5" xfId="15244" xr:uid="{00000000-0005-0000-0000-00008C3B0000}"/>
    <cellStyle name="Normal 2 2 2 2 4 27 2 6" xfId="15245" xr:uid="{00000000-0005-0000-0000-00008D3B0000}"/>
    <cellStyle name="Normal 2 2 2 2 4 27 2 7" xfId="15246" xr:uid="{00000000-0005-0000-0000-00008E3B0000}"/>
    <cellStyle name="Normal 2 2 2 2 4 27 2 8" xfId="15247" xr:uid="{00000000-0005-0000-0000-00008F3B0000}"/>
    <cellStyle name="Normal 2 2 2 2 4 27 2 9" xfId="15248" xr:uid="{00000000-0005-0000-0000-0000903B0000}"/>
    <cellStyle name="Normal 2 2 2 2 4 27 3" xfId="15249" xr:uid="{00000000-0005-0000-0000-0000913B0000}"/>
    <cellStyle name="Normal 2 2 2 2 4 27 3 10" xfId="15250" xr:uid="{00000000-0005-0000-0000-0000923B0000}"/>
    <cellStyle name="Normal 2 2 2 2 4 27 3 2" xfId="15251" xr:uid="{00000000-0005-0000-0000-0000933B0000}"/>
    <cellStyle name="Normal 2 2 2 2 4 27 3 3" xfId="15252" xr:uid="{00000000-0005-0000-0000-0000943B0000}"/>
    <cellStyle name="Normal 2 2 2 2 4 27 3 4" xfId="15253" xr:uid="{00000000-0005-0000-0000-0000953B0000}"/>
    <cellStyle name="Normal 2 2 2 2 4 27 3 5" xfId="15254" xr:uid="{00000000-0005-0000-0000-0000963B0000}"/>
    <cellStyle name="Normal 2 2 2 2 4 27 3 6" xfId="15255" xr:uid="{00000000-0005-0000-0000-0000973B0000}"/>
    <cellStyle name="Normal 2 2 2 2 4 27 3 7" xfId="15256" xr:uid="{00000000-0005-0000-0000-0000983B0000}"/>
    <cellStyle name="Normal 2 2 2 2 4 27 3 8" xfId="15257" xr:uid="{00000000-0005-0000-0000-0000993B0000}"/>
    <cellStyle name="Normal 2 2 2 2 4 27 3 9" xfId="15258" xr:uid="{00000000-0005-0000-0000-00009A3B0000}"/>
    <cellStyle name="Normal 2 2 2 2 4 27 4" xfId="15259" xr:uid="{00000000-0005-0000-0000-00009B3B0000}"/>
    <cellStyle name="Normal 2 2 2 2 4 27 4 10" xfId="15260" xr:uid="{00000000-0005-0000-0000-00009C3B0000}"/>
    <cellStyle name="Normal 2 2 2 2 4 27 4 2" xfId="15261" xr:uid="{00000000-0005-0000-0000-00009D3B0000}"/>
    <cellStyle name="Normal 2 2 2 2 4 27 4 3" xfId="15262" xr:uid="{00000000-0005-0000-0000-00009E3B0000}"/>
    <cellStyle name="Normal 2 2 2 2 4 27 4 4" xfId="15263" xr:uid="{00000000-0005-0000-0000-00009F3B0000}"/>
    <cellStyle name="Normal 2 2 2 2 4 27 4 5" xfId="15264" xr:uid="{00000000-0005-0000-0000-0000A03B0000}"/>
    <cellStyle name="Normal 2 2 2 2 4 27 4 6" xfId="15265" xr:uid="{00000000-0005-0000-0000-0000A13B0000}"/>
    <cellStyle name="Normal 2 2 2 2 4 27 4 7" xfId="15266" xr:uid="{00000000-0005-0000-0000-0000A23B0000}"/>
    <cellStyle name="Normal 2 2 2 2 4 27 4 8" xfId="15267" xr:uid="{00000000-0005-0000-0000-0000A33B0000}"/>
    <cellStyle name="Normal 2 2 2 2 4 27 4 9" xfId="15268" xr:uid="{00000000-0005-0000-0000-0000A43B0000}"/>
    <cellStyle name="Normal 2 2 2 2 4 27 5" xfId="15269" xr:uid="{00000000-0005-0000-0000-0000A53B0000}"/>
    <cellStyle name="Normal 2 2 2 2 4 27 5 10" xfId="15270" xr:uid="{00000000-0005-0000-0000-0000A63B0000}"/>
    <cellStyle name="Normal 2 2 2 2 4 27 5 2" xfId="15271" xr:uid="{00000000-0005-0000-0000-0000A73B0000}"/>
    <cellStyle name="Normal 2 2 2 2 4 27 5 3" xfId="15272" xr:uid="{00000000-0005-0000-0000-0000A83B0000}"/>
    <cellStyle name="Normal 2 2 2 2 4 27 5 4" xfId="15273" xr:uid="{00000000-0005-0000-0000-0000A93B0000}"/>
    <cellStyle name="Normal 2 2 2 2 4 27 5 5" xfId="15274" xr:uid="{00000000-0005-0000-0000-0000AA3B0000}"/>
    <cellStyle name="Normal 2 2 2 2 4 27 5 6" xfId="15275" xr:uid="{00000000-0005-0000-0000-0000AB3B0000}"/>
    <cellStyle name="Normal 2 2 2 2 4 27 5 7" xfId="15276" xr:uid="{00000000-0005-0000-0000-0000AC3B0000}"/>
    <cellStyle name="Normal 2 2 2 2 4 27 5 8" xfId="15277" xr:uid="{00000000-0005-0000-0000-0000AD3B0000}"/>
    <cellStyle name="Normal 2 2 2 2 4 27 5 9" xfId="15278" xr:uid="{00000000-0005-0000-0000-0000AE3B0000}"/>
    <cellStyle name="Normal 2 2 2 2 4 27 6" xfId="15279" xr:uid="{00000000-0005-0000-0000-0000AF3B0000}"/>
    <cellStyle name="Normal 2 2 2 2 4 27 7" xfId="15280" xr:uid="{00000000-0005-0000-0000-0000B03B0000}"/>
    <cellStyle name="Normal 2 2 2 2 4 27 8" xfId="15281" xr:uid="{00000000-0005-0000-0000-0000B13B0000}"/>
    <cellStyle name="Normal 2 2 2 2 4 27 9" xfId="15282" xr:uid="{00000000-0005-0000-0000-0000B23B0000}"/>
    <cellStyle name="Normal 2 2 2 2 4 28" xfId="15283" xr:uid="{00000000-0005-0000-0000-0000B33B0000}"/>
    <cellStyle name="Normal 2 2 2 2 4 28 10" xfId="15284" xr:uid="{00000000-0005-0000-0000-0000B43B0000}"/>
    <cellStyle name="Normal 2 2 2 2 4 28 11" xfId="15285" xr:uid="{00000000-0005-0000-0000-0000B53B0000}"/>
    <cellStyle name="Normal 2 2 2 2 4 28 12" xfId="15286" xr:uid="{00000000-0005-0000-0000-0000B63B0000}"/>
    <cellStyle name="Normal 2 2 2 2 4 28 13" xfId="15287" xr:uid="{00000000-0005-0000-0000-0000B73B0000}"/>
    <cellStyle name="Normal 2 2 2 2 4 28 14" xfId="15288" xr:uid="{00000000-0005-0000-0000-0000B83B0000}"/>
    <cellStyle name="Normal 2 2 2 2 4 28 2" xfId="15289" xr:uid="{00000000-0005-0000-0000-0000B93B0000}"/>
    <cellStyle name="Normal 2 2 2 2 4 28 2 10" xfId="15290" xr:uid="{00000000-0005-0000-0000-0000BA3B0000}"/>
    <cellStyle name="Normal 2 2 2 2 4 28 2 2" xfId="15291" xr:uid="{00000000-0005-0000-0000-0000BB3B0000}"/>
    <cellStyle name="Normal 2 2 2 2 4 28 2 3" xfId="15292" xr:uid="{00000000-0005-0000-0000-0000BC3B0000}"/>
    <cellStyle name="Normal 2 2 2 2 4 28 2 4" xfId="15293" xr:uid="{00000000-0005-0000-0000-0000BD3B0000}"/>
    <cellStyle name="Normal 2 2 2 2 4 28 2 5" xfId="15294" xr:uid="{00000000-0005-0000-0000-0000BE3B0000}"/>
    <cellStyle name="Normal 2 2 2 2 4 28 2 6" xfId="15295" xr:uid="{00000000-0005-0000-0000-0000BF3B0000}"/>
    <cellStyle name="Normal 2 2 2 2 4 28 2 7" xfId="15296" xr:uid="{00000000-0005-0000-0000-0000C03B0000}"/>
    <cellStyle name="Normal 2 2 2 2 4 28 2 8" xfId="15297" xr:uid="{00000000-0005-0000-0000-0000C13B0000}"/>
    <cellStyle name="Normal 2 2 2 2 4 28 2 9" xfId="15298" xr:uid="{00000000-0005-0000-0000-0000C23B0000}"/>
    <cellStyle name="Normal 2 2 2 2 4 28 3" xfId="15299" xr:uid="{00000000-0005-0000-0000-0000C33B0000}"/>
    <cellStyle name="Normal 2 2 2 2 4 28 3 10" xfId="15300" xr:uid="{00000000-0005-0000-0000-0000C43B0000}"/>
    <cellStyle name="Normal 2 2 2 2 4 28 3 2" xfId="15301" xr:uid="{00000000-0005-0000-0000-0000C53B0000}"/>
    <cellStyle name="Normal 2 2 2 2 4 28 3 3" xfId="15302" xr:uid="{00000000-0005-0000-0000-0000C63B0000}"/>
    <cellStyle name="Normal 2 2 2 2 4 28 3 4" xfId="15303" xr:uid="{00000000-0005-0000-0000-0000C73B0000}"/>
    <cellStyle name="Normal 2 2 2 2 4 28 3 5" xfId="15304" xr:uid="{00000000-0005-0000-0000-0000C83B0000}"/>
    <cellStyle name="Normal 2 2 2 2 4 28 3 6" xfId="15305" xr:uid="{00000000-0005-0000-0000-0000C93B0000}"/>
    <cellStyle name="Normal 2 2 2 2 4 28 3 7" xfId="15306" xr:uid="{00000000-0005-0000-0000-0000CA3B0000}"/>
    <cellStyle name="Normal 2 2 2 2 4 28 3 8" xfId="15307" xr:uid="{00000000-0005-0000-0000-0000CB3B0000}"/>
    <cellStyle name="Normal 2 2 2 2 4 28 3 9" xfId="15308" xr:uid="{00000000-0005-0000-0000-0000CC3B0000}"/>
    <cellStyle name="Normal 2 2 2 2 4 28 4" xfId="15309" xr:uid="{00000000-0005-0000-0000-0000CD3B0000}"/>
    <cellStyle name="Normal 2 2 2 2 4 28 4 10" xfId="15310" xr:uid="{00000000-0005-0000-0000-0000CE3B0000}"/>
    <cellStyle name="Normal 2 2 2 2 4 28 4 2" xfId="15311" xr:uid="{00000000-0005-0000-0000-0000CF3B0000}"/>
    <cellStyle name="Normal 2 2 2 2 4 28 4 3" xfId="15312" xr:uid="{00000000-0005-0000-0000-0000D03B0000}"/>
    <cellStyle name="Normal 2 2 2 2 4 28 4 4" xfId="15313" xr:uid="{00000000-0005-0000-0000-0000D13B0000}"/>
    <cellStyle name="Normal 2 2 2 2 4 28 4 5" xfId="15314" xr:uid="{00000000-0005-0000-0000-0000D23B0000}"/>
    <cellStyle name="Normal 2 2 2 2 4 28 4 6" xfId="15315" xr:uid="{00000000-0005-0000-0000-0000D33B0000}"/>
    <cellStyle name="Normal 2 2 2 2 4 28 4 7" xfId="15316" xr:uid="{00000000-0005-0000-0000-0000D43B0000}"/>
    <cellStyle name="Normal 2 2 2 2 4 28 4 8" xfId="15317" xr:uid="{00000000-0005-0000-0000-0000D53B0000}"/>
    <cellStyle name="Normal 2 2 2 2 4 28 4 9" xfId="15318" xr:uid="{00000000-0005-0000-0000-0000D63B0000}"/>
    <cellStyle name="Normal 2 2 2 2 4 28 5" xfId="15319" xr:uid="{00000000-0005-0000-0000-0000D73B0000}"/>
    <cellStyle name="Normal 2 2 2 2 4 28 5 10" xfId="15320" xr:uid="{00000000-0005-0000-0000-0000D83B0000}"/>
    <cellStyle name="Normal 2 2 2 2 4 28 5 2" xfId="15321" xr:uid="{00000000-0005-0000-0000-0000D93B0000}"/>
    <cellStyle name="Normal 2 2 2 2 4 28 5 3" xfId="15322" xr:uid="{00000000-0005-0000-0000-0000DA3B0000}"/>
    <cellStyle name="Normal 2 2 2 2 4 28 5 4" xfId="15323" xr:uid="{00000000-0005-0000-0000-0000DB3B0000}"/>
    <cellStyle name="Normal 2 2 2 2 4 28 5 5" xfId="15324" xr:uid="{00000000-0005-0000-0000-0000DC3B0000}"/>
    <cellStyle name="Normal 2 2 2 2 4 28 5 6" xfId="15325" xr:uid="{00000000-0005-0000-0000-0000DD3B0000}"/>
    <cellStyle name="Normal 2 2 2 2 4 28 5 7" xfId="15326" xr:uid="{00000000-0005-0000-0000-0000DE3B0000}"/>
    <cellStyle name="Normal 2 2 2 2 4 28 5 8" xfId="15327" xr:uid="{00000000-0005-0000-0000-0000DF3B0000}"/>
    <cellStyle name="Normal 2 2 2 2 4 28 5 9" xfId="15328" xr:uid="{00000000-0005-0000-0000-0000E03B0000}"/>
    <cellStyle name="Normal 2 2 2 2 4 28 6" xfId="15329" xr:uid="{00000000-0005-0000-0000-0000E13B0000}"/>
    <cellStyle name="Normal 2 2 2 2 4 28 7" xfId="15330" xr:uid="{00000000-0005-0000-0000-0000E23B0000}"/>
    <cellStyle name="Normal 2 2 2 2 4 28 8" xfId="15331" xr:uid="{00000000-0005-0000-0000-0000E33B0000}"/>
    <cellStyle name="Normal 2 2 2 2 4 28 9" xfId="15332" xr:uid="{00000000-0005-0000-0000-0000E43B0000}"/>
    <cellStyle name="Normal 2 2 2 2 4 29" xfId="15333" xr:uid="{00000000-0005-0000-0000-0000E53B0000}"/>
    <cellStyle name="Normal 2 2 2 2 4 29 10" xfId="15334" xr:uid="{00000000-0005-0000-0000-0000E63B0000}"/>
    <cellStyle name="Normal 2 2 2 2 4 29 11" xfId="15335" xr:uid="{00000000-0005-0000-0000-0000E73B0000}"/>
    <cellStyle name="Normal 2 2 2 2 4 29 12" xfId="15336" xr:uid="{00000000-0005-0000-0000-0000E83B0000}"/>
    <cellStyle name="Normal 2 2 2 2 4 29 13" xfId="15337" xr:uid="{00000000-0005-0000-0000-0000E93B0000}"/>
    <cellStyle name="Normal 2 2 2 2 4 29 14" xfId="15338" xr:uid="{00000000-0005-0000-0000-0000EA3B0000}"/>
    <cellStyle name="Normal 2 2 2 2 4 29 2" xfId="15339" xr:uid="{00000000-0005-0000-0000-0000EB3B0000}"/>
    <cellStyle name="Normal 2 2 2 2 4 29 2 10" xfId="15340" xr:uid="{00000000-0005-0000-0000-0000EC3B0000}"/>
    <cellStyle name="Normal 2 2 2 2 4 29 2 2" xfId="15341" xr:uid="{00000000-0005-0000-0000-0000ED3B0000}"/>
    <cellStyle name="Normal 2 2 2 2 4 29 2 3" xfId="15342" xr:uid="{00000000-0005-0000-0000-0000EE3B0000}"/>
    <cellStyle name="Normal 2 2 2 2 4 29 2 4" xfId="15343" xr:uid="{00000000-0005-0000-0000-0000EF3B0000}"/>
    <cellStyle name="Normal 2 2 2 2 4 29 2 5" xfId="15344" xr:uid="{00000000-0005-0000-0000-0000F03B0000}"/>
    <cellStyle name="Normal 2 2 2 2 4 29 2 6" xfId="15345" xr:uid="{00000000-0005-0000-0000-0000F13B0000}"/>
    <cellStyle name="Normal 2 2 2 2 4 29 2 7" xfId="15346" xr:uid="{00000000-0005-0000-0000-0000F23B0000}"/>
    <cellStyle name="Normal 2 2 2 2 4 29 2 8" xfId="15347" xr:uid="{00000000-0005-0000-0000-0000F33B0000}"/>
    <cellStyle name="Normal 2 2 2 2 4 29 2 9" xfId="15348" xr:uid="{00000000-0005-0000-0000-0000F43B0000}"/>
    <cellStyle name="Normal 2 2 2 2 4 29 3" xfId="15349" xr:uid="{00000000-0005-0000-0000-0000F53B0000}"/>
    <cellStyle name="Normal 2 2 2 2 4 29 3 10" xfId="15350" xr:uid="{00000000-0005-0000-0000-0000F63B0000}"/>
    <cellStyle name="Normal 2 2 2 2 4 29 3 2" xfId="15351" xr:uid="{00000000-0005-0000-0000-0000F73B0000}"/>
    <cellStyle name="Normal 2 2 2 2 4 29 3 3" xfId="15352" xr:uid="{00000000-0005-0000-0000-0000F83B0000}"/>
    <cellStyle name="Normal 2 2 2 2 4 29 3 4" xfId="15353" xr:uid="{00000000-0005-0000-0000-0000F93B0000}"/>
    <cellStyle name="Normal 2 2 2 2 4 29 3 5" xfId="15354" xr:uid="{00000000-0005-0000-0000-0000FA3B0000}"/>
    <cellStyle name="Normal 2 2 2 2 4 29 3 6" xfId="15355" xr:uid="{00000000-0005-0000-0000-0000FB3B0000}"/>
    <cellStyle name="Normal 2 2 2 2 4 29 3 7" xfId="15356" xr:uid="{00000000-0005-0000-0000-0000FC3B0000}"/>
    <cellStyle name="Normal 2 2 2 2 4 29 3 8" xfId="15357" xr:uid="{00000000-0005-0000-0000-0000FD3B0000}"/>
    <cellStyle name="Normal 2 2 2 2 4 29 3 9" xfId="15358" xr:uid="{00000000-0005-0000-0000-0000FE3B0000}"/>
    <cellStyle name="Normal 2 2 2 2 4 29 4" xfId="15359" xr:uid="{00000000-0005-0000-0000-0000FF3B0000}"/>
    <cellStyle name="Normal 2 2 2 2 4 29 4 10" xfId="15360" xr:uid="{00000000-0005-0000-0000-0000003C0000}"/>
    <cellStyle name="Normal 2 2 2 2 4 29 4 2" xfId="15361" xr:uid="{00000000-0005-0000-0000-0000013C0000}"/>
    <cellStyle name="Normal 2 2 2 2 4 29 4 3" xfId="15362" xr:uid="{00000000-0005-0000-0000-0000023C0000}"/>
    <cellStyle name="Normal 2 2 2 2 4 29 4 4" xfId="15363" xr:uid="{00000000-0005-0000-0000-0000033C0000}"/>
    <cellStyle name="Normal 2 2 2 2 4 29 4 5" xfId="15364" xr:uid="{00000000-0005-0000-0000-0000043C0000}"/>
    <cellStyle name="Normal 2 2 2 2 4 29 4 6" xfId="15365" xr:uid="{00000000-0005-0000-0000-0000053C0000}"/>
    <cellStyle name="Normal 2 2 2 2 4 29 4 7" xfId="15366" xr:uid="{00000000-0005-0000-0000-0000063C0000}"/>
    <cellStyle name="Normal 2 2 2 2 4 29 4 8" xfId="15367" xr:uid="{00000000-0005-0000-0000-0000073C0000}"/>
    <cellStyle name="Normal 2 2 2 2 4 29 4 9" xfId="15368" xr:uid="{00000000-0005-0000-0000-0000083C0000}"/>
    <cellStyle name="Normal 2 2 2 2 4 29 5" xfId="15369" xr:uid="{00000000-0005-0000-0000-0000093C0000}"/>
    <cellStyle name="Normal 2 2 2 2 4 29 5 10" xfId="15370" xr:uid="{00000000-0005-0000-0000-00000A3C0000}"/>
    <cellStyle name="Normal 2 2 2 2 4 29 5 2" xfId="15371" xr:uid="{00000000-0005-0000-0000-00000B3C0000}"/>
    <cellStyle name="Normal 2 2 2 2 4 29 5 3" xfId="15372" xr:uid="{00000000-0005-0000-0000-00000C3C0000}"/>
    <cellStyle name="Normal 2 2 2 2 4 29 5 4" xfId="15373" xr:uid="{00000000-0005-0000-0000-00000D3C0000}"/>
    <cellStyle name="Normal 2 2 2 2 4 29 5 5" xfId="15374" xr:uid="{00000000-0005-0000-0000-00000E3C0000}"/>
    <cellStyle name="Normal 2 2 2 2 4 29 5 6" xfId="15375" xr:uid="{00000000-0005-0000-0000-00000F3C0000}"/>
    <cellStyle name="Normal 2 2 2 2 4 29 5 7" xfId="15376" xr:uid="{00000000-0005-0000-0000-0000103C0000}"/>
    <cellStyle name="Normal 2 2 2 2 4 29 5 8" xfId="15377" xr:uid="{00000000-0005-0000-0000-0000113C0000}"/>
    <cellStyle name="Normal 2 2 2 2 4 29 5 9" xfId="15378" xr:uid="{00000000-0005-0000-0000-0000123C0000}"/>
    <cellStyle name="Normal 2 2 2 2 4 29 6" xfId="15379" xr:uid="{00000000-0005-0000-0000-0000133C0000}"/>
    <cellStyle name="Normal 2 2 2 2 4 29 7" xfId="15380" xr:uid="{00000000-0005-0000-0000-0000143C0000}"/>
    <cellStyle name="Normal 2 2 2 2 4 29 8" xfId="15381" xr:uid="{00000000-0005-0000-0000-0000153C0000}"/>
    <cellStyle name="Normal 2 2 2 2 4 29 9" xfId="15382" xr:uid="{00000000-0005-0000-0000-0000163C0000}"/>
    <cellStyle name="Normal 2 2 2 2 4 3" xfId="15383" xr:uid="{00000000-0005-0000-0000-0000173C0000}"/>
    <cellStyle name="Normal 2 2 2 2 4 3 10" xfId="15384" xr:uid="{00000000-0005-0000-0000-0000183C0000}"/>
    <cellStyle name="Normal 2 2 2 2 4 3 11" xfId="15385" xr:uid="{00000000-0005-0000-0000-0000193C0000}"/>
    <cellStyle name="Normal 2 2 2 2 4 3 12" xfId="15386" xr:uid="{00000000-0005-0000-0000-00001A3C0000}"/>
    <cellStyle name="Normal 2 2 2 2 4 3 13" xfId="15387" xr:uid="{00000000-0005-0000-0000-00001B3C0000}"/>
    <cellStyle name="Normal 2 2 2 2 4 3 14" xfId="15388" xr:uid="{00000000-0005-0000-0000-00001C3C0000}"/>
    <cellStyle name="Normal 2 2 2 2 4 3 2" xfId="15389" xr:uid="{00000000-0005-0000-0000-00001D3C0000}"/>
    <cellStyle name="Normal 2 2 2 2 4 3 2 10" xfId="15390" xr:uid="{00000000-0005-0000-0000-00001E3C0000}"/>
    <cellStyle name="Normal 2 2 2 2 4 3 2 2" xfId="15391" xr:uid="{00000000-0005-0000-0000-00001F3C0000}"/>
    <cellStyle name="Normal 2 2 2 2 4 3 2 3" xfId="15392" xr:uid="{00000000-0005-0000-0000-0000203C0000}"/>
    <cellStyle name="Normal 2 2 2 2 4 3 2 4" xfId="15393" xr:uid="{00000000-0005-0000-0000-0000213C0000}"/>
    <cellStyle name="Normal 2 2 2 2 4 3 2 5" xfId="15394" xr:uid="{00000000-0005-0000-0000-0000223C0000}"/>
    <cellStyle name="Normal 2 2 2 2 4 3 2 6" xfId="15395" xr:uid="{00000000-0005-0000-0000-0000233C0000}"/>
    <cellStyle name="Normal 2 2 2 2 4 3 2 7" xfId="15396" xr:uid="{00000000-0005-0000-0000-0000243C0000}"/>
    <cellStyle name="Normal 2 2 2 2 4 3 2 8" xfId="15397" xr:uid="{00000000-0005-0000-0000-0000253C0000}"/>
    <cellStyle name="Normal 2 2 2 2 4 3 2 9" xfId="15398" xr:uid="{00000000-0005-0000-0000-0000263C0000}"/>
    <cellStyle name="Normal 2 2 2 2 4 3 3" xfId="15399" xr:uid="{00000000-0005-0000-0000-0000273C0000}"/>
    <cellStyle name="Normal 2 2 2 2 4 3 3 10" xfId="15400" xr:uid="{00000000-0005-0000-0000-0000283C0000}"/>
    <cellStyle name="Normal 2 2 2 2 4 3 3 2" xfId="15401" xr:uid="{00000000-0005-0000-0000-0000293C0000}"/>
    <cellStyle name="Normal 2 2 2 2 4 3 3 3" xfId="15402" xr:uid="{00000000-0005-0000-0000-00002A3C0000}"/>
    <cellStyle name="Normal 2 2 2 2 4 3 3 4" xfId="15403" xr:uid="{00000000-0005-0000-0000-00002B3C0000}"/>
    <cellStyle name="Normal 2 2 2 2 4 3 3 5" xfId="15404" xr:uid="{00000000-0005-0000-0000-00002C3C0000}"/>
    <cellStyle name="Normal 2 2 2 2 4 3 3 6" xfId="15405" xr:uid="{00000000-0005-0000-0000-00002D3C0000}"/>
    <cellStyle name="Normal 2 2 2 2 4 3 3 7" xfId="15406" xr:uid="{00000000-0005-0000-0000-00002E3C0000}"/>
    <cellStyle name="Normal 2 2 2 2 4 3 3 8" xfId="15407" xr:uid="{00000000-0005-0000-0000-00002F3C0000}"/>
    <cellStyle name="Normal 2 2 2 2 4 3 3 9" xfId="15408" xr:uid="{00000000-0005-0000-0000-0000303C0000}"/>
    <cellStyle name="Normal 2 2 2 2 4 3 4" xfId="15409" xr:uid="{00000000-0005-0000-0000-0000313C0000}"/>
    <cellStyle name="Normal 2 2 2 2 4 3 4 10" xfId="15410" xr:uid="{00000000-0005-0000-0000-0000323C0000}"/>
    <cellStyle name="Normal 2 2 2 2 4 3 4 2" xfId="15411" xr:uid="{00000000-0005-0000-0000-0000333C0000}"/>
    <cellStyle name="Normal 2 2 2 2 4 3 4 3" xfId="15412" xr:uid="{00000000-0005-0000-0000-0000343C0000}"/>
    <cellStyle name="Normal 2 2 2 2 4 3 4 4" xfId="15413" xr:uid="{00000000-0005-0000-0000-0000353C0000}"/>
    <cellStyle name="Normal 2 2 2 2 4 3 4 5" xfId="15414" xr:uid="{00000000-0005-0000-0000-0000363C0000}"/>
    <cellStyle name="Normal 2 2 2 2 4 3 4 6" xfId="15415" xr:uid="{00000000-0005-0000-0000-0000373C0000}"/>
    <cellStyle name="Normal 2 2 2 2 4 3 4 7" xfId="15416" xr:uid="{00000000-0005-0000-0000-0000383C0000}"/>
    <cellStyle name="Normal 2 2 2 2 4 3 4 8" xfId="15417" xr:uid="{00000000-0005-0000-0000-0000393C0000}"/>
    <cellStyle name="Normal 2 2 2 2 4 3 4 9" xfId="15418" xr:uid="{00000000-0005-0000-0000-00003A3C0000}"/>
    <cellStyle name="Normal 2 2 2 2 4 3 5" xfId="15419" xr:uid="{00000000-0005-0000-0000-00003B3C0000}"/>
    <cellStyle name="Normal 2 2 2 2 4 3 5 10" xfId="15420" xr:uid="{00000000-0005-0000-0000-00003C3C0000}"/>
    <cellStyle name="Normal 2 2 2 2 4 3 5 2" xfId="15421" xr:uid="{00000000-0005-0000-0000-00003D3C0000}"/>
    <cellStyle name="Normal 2 2 2 2 4 3 5 3" xfId="15422" xr:uid="{00000000-0005-0000-0000-00003E3C0000}"/>
    <cellStyle name="Normal 2 2 2 2 4 3 5 4" xfId="15423" xr:uid="{00000000-0005-0000-0000-00003F3C0000}"/>
    <cellStyle name="Normal 2 2 2 2 4 3 5 5" xfId="15424" xr:uid="{00000000-0005-0000-0000-0000403C0000}"/>
    <cellStyle name="Normal 2 2 2 2 4 3 5 6" xfId="15425" xr:uid="{00000000-0005-0000-0000-0000413C0000}"/>
    <cellStyle name="Normal 2 2 2 2 4 3 5 7" xfId="15426" xr:uid="{00000000-0005-0000-0000-0000423C0000}"/>
    <cellStyle name="Normal 2 2 2 2 4 3 5 8" xfId="15427" xr:uid="{00000000-0005-0000-0000-0000433C0000}"/>
    <cellStyle name="Normal 2 2 2 2 4 3 5 9" xfId="15428" xr:uid="{00000000-0005-0000-0000-0000443C0000}"/>
    <cellStyle name="Normal 2 2 2 2 4 3 6" xfId="15429" xr:uid="{00000000-0005-0000-0000-0000453C0000}"/>
    <cellStyle name="Normal 2 2 2 2 4 3 7" xfId="15430" xr:uid="{00000000-0005-0000-0000-0000463C0000}"/>
    <cellStyle name="Normal 2 2 2 2 4 3 8" xfId="15431" xr:uid="{00000000-0005-0000-0000-0000473C0000}"/>
    <cellStyle name="Normal 2 2 2 2 4 3 9" xfId="15432" xr:uid="{00000000-0005-0000-0000-0000483C0000}"/>
    <cellStyle name="Normal 2 2 2 2 4 30" xfId="15433" xr:uid="{00000000-0005-0000-0000-0000493C0000}"/>
    <cellStyle name="Normal 2 2 2 2 4 30 10" xfId="15434" xr:uid="{00000000-0005-0000-0000-00004A3C0000}"/>
    <cellStyle name="Normal 2 2 2 2 4 30 11" xfId="15435" xr:uid="{00000000-0005-0000-0000-00004B3C0000}"/>
    <cellStyle name="Normal 2 2 2 2 4 30 12" xfId="15436" xr:uid="{00000000-0005-0000-0000-00004C3C0000}"/>
    <cellStyle name="Normal 2 2 2 2 4 30 13" xfId="15437" xr:uid="{00000000-0005-0000-0000-00004D3C0000}"/>
    <cellStyle name="Normal 2 2 2 2 4 30 14" xfId="15438" xr:uid="{00000000-0005-0000-0000-00004E3C0000}"/>
    <cellStyle name="Normal 2 2 2 2 4 30 2" xfId="15439" xr:uid="{00000000-0005-0000-0000-00004F3C0000}"/>
    <cellStyle name="Normal 2 2 2 2 4 30 2 10" xfId="15440" xr:uid="{00000000-0005-0000-0000-0000503C0000}"/>
    <cellStyle name="Normal 2 2 2 2 4 30 2 2" xfId="15441" xr:uid="{00000000-0005-0000-0000-0000513C0000}"/>
    <cellStyle name="Normal 2 2 2 2 4 30 2 3" xfId="15442" xr:uid="{00000000-0005-0000-0000-0000523C0000}"/>
    <cellStyle name="Normal 2 2 2 2 4 30 2 4" xfId="15443" xr:uid="{00000000-0005-0000-0000-0000533C0000}"/>
    <cellStyle name="Normal 2 2 2 2 4 30 2 5" xfId="15444" xr:uid="{00000000-0005-0000-0000-0000543C0000}"/>
    <cellStyle name="Normal 2 2 2 2 4 30 2 6" xfId="15445" xr:uid="{00000000-0005-0000-0000-0000553C0000}"/>
    <cellStyle name="Normal 2 2 2 2 4 30 2 7" xfId="15446" xr:uid="{00000000-0005-0000-0000-0000563C0000}"/>
    <cellStyle name="Normal 2 2 2 2 4 30 2 8" xfId="15447" xr:uid="{00000000-0005-0000-0000-0000573C0000}"/>
    <cellStyle name="Normal 2 2 2 2 4 30 2 9" xfId="15448" xr:uid="{00000000-0005-0000-0000-0000583C0000}"/>
    <cellStyle name="Normal 2 2 2 2 4 30 3" xfId="15449" xr:uid="{00000000-0005-0000-0000-0000593C0000}"/>
    <cellStyle name="Normal 2 2 2 2 4 30 3 10" xfId="15450" xr:uid="{00000000-0005-0000-0000-00005A3C0000}"/>
    <cellStyle name="Normal 2 2 2 2 4 30 3 2" xfId="15451" xr:uid="{00000000-0005-0000-0000-00005B3C0000}"/>
    <cellStyle name="Normal 2 2 2 2 4 30 3 3" xfId="15452" xr:uid="{00000000-0005-0000-0000-00005C3C0000}"/>
    <cellStyle name="Normal 2 2 2 2 4 30 3 4" xfId="15453" xr:uid="{00000000-0005-0000-0000-00005D3C0000}"/>
    <cellStyle name="Normal 2 2 2 2 4 30 3 5" xfId="15454" xr:uid="{00000000-0005-0000-0000-00005E3C0000}"/>
    <cellStyle name="Normal 2 2 2 2 4 30 3 6" xfId="15455" xr:uid="{00000000-0005-0000-0000-00005F3C0000}"/>
    <cellStyle name="Normal 2 2 2 2 4 30 3 7" xfId="15456" xr:uid="{00000000-0005-0000-0000-0000603C0000}"/>
    <cellStyle name="Normal 2 2 2 2 4 30 3 8" xfId="15457" xr:uid="{00000000-0005-0000-0000-0000613C0000}"/>
    <cellStyle name="Normal 2 2 2 2 4 30 3 9" xfId="15458" xr:uid="{00000000-0005-0000-0000-0000623C0000}"/>
    <cellStyle name="Normal 2 2 2 2 4 30 4" xfId="15459" xr:uid="{00000000-0005-0000-0000-0000633C0000}"/>
    <cellStyle name="Normal 2 2 2 2 4 30 4 10" xfId="15460" xr:uid="{00000000-0005-0000-0000-0000643C0000}"/>
    <cellStyle name="Normal 2 2 2 2 4 30 4 2" xfId="15461" xr:uid="{00000000-0005-0000-0000-0000653C0000}"/>
    <cellStyle name="Normal 2 2 2 2 4 30 4 3" xfId="15462" xr:uid="{00000000-0005-0000-0000-0000663C0000}"/>
    <cellStyle name="Normal 2 2 2 2 4 30 4 4" xfId="15463" xr:uid="{00000000-0005-0000-0000-0000673C0000}"/>
    <cellStyle name="Normal 2 2 2 2 4 30 4 5" xfId="15464" xr:uid="{00000000-0005-0000-0000-0000683C0000}"/>
    <cellStyle name="Normal 2 2 2 2 4 30 4 6" xfId="15465" xr:uid="{00000000-0005-0000-0000-0000693C0000}"/>
    <cellStyle name="Normal 2 2 2 2 4 30 4 7" xfId="15466" xr:uid="{00000000-0005-0000-0000-00006A3C0000}"/>
    <cellStyle name="Normal 2 2 2 2 4 30 4 8" xfId="15467" xr:uid="{00000000-0005-0000-0000-00006B3C0000}"/>
    <cellStyle name="Normal 2 2 2 2 4 30 4 9" xfId="15468" xr:uid="{00000000-0005-0000-0000-00006C3C0000}"/>
    <cellStyle name="Normal 2 2 2 2 4 30 5" xfId="15469" xr:uid="{00000000-0005-0000-0000-00006D3C0000}"/>
    <cellStyle name="Normal 2 2 2 2 4 30 5 10" xfId="15470" xr:uid="{00000000-0005-0000-0000-00006E3C0000}"/>
    <cellStyle name="Normal 2 2 2 2 4 30 5 2" xfId="15471" xr:uid="{00000000-0005-0000-0000-00006F3C0000}"/>
    <cellStyle name="Normal 2 2 2 2 4 30 5 3" xfId="15472" xr:uid="{00000000-0005-0000-0000-0000703C0000}"/>
    <cellStyle name="Normal 2 2 2 2 4 30 5 4" xfId="15473" xr:uid="{00000000-0005-0000-0000-0000713C0000}"/>
    <cellStyle name="Normal 2 2 2 2 4 30 5 5" xfId="15474" xr:uid="{00000000-0005-0000-0000-0000723C0000}"/>
    <cellStyle name="Normal 2 2 2 2 4 30 5 6" xfId="15475" xr:uid="{00000000-0005-0000-0000-0000733C0000}"/>
    <cellStyle name="Normal 2 2 2 2 4 30 5 7" xfId="15476" xr:uid="{00000000-0005-0000-0000-0000743C0000}"/>
    <cellStyle name="Normal 2 2 2 2 4 30 5 8" xfId="15477" xr:uid="{00000000-0005-0000-0000-0000753C0000}"/>
    <cellStyle name="Normal 2 2 2 2 4 30 5 9" xfId="15478" xr:uid="{00000000-0005-0000-0000-0000763C0000}"/>
    <cellStyle name="Normal 2 2 2 2 4 30 6" xfId="15479" xr:uid="{00000000-0005-0000-0000-0000773C0000}"/>
    <cellStyle name="Normal 2 2 2 2 4 30 7" xfId="15480" xr:uid="{00000000-0005-0000-0000-0000783C0000}"/>
    <cellStyle name="Normal 2 2 2 2 4 30 8" xfId="15481" xr:uid="{00000000-0005-0000-0000-0000793C0000}"/>
    <cellStyle name="Normal 2 2 2 2 4 30 9" xfId="15482" xr:uid="{00000000-0005-0000-0000-00007A3C0000}"/>
    <cellStyle name="Normal 2 2 2 2 4 31" xfId="15483" xr:uid="{00000000-0005-0000-0000-00007B3C0000}"/>
    <cellStyle name="Normal 2 2 2 2 4 31 10" xfId="15484" xr:uid="{00000000-0005-0000-0000-00007C3C0000}"/>
    <cellStyle name="Normal 2 2 2 2 4 31 11" xfId="15485" xr:uid="{00000000-0005-0000-0000-00007D3C0000}"/>
    <cellStyle name="Normal 2 2 2 2 4 31 12" xfId="15486" xr:uid="{00000000-0005-0000-0000-00007E3C0000}"/>
    <cellStyle name="Normal 2 2 2 2 4 31 13" xfId="15487" xr:uid="{00000000-0005-0000-0000-00007F3C0000}"/>
    <cellStyle name="Normal 2 2 2 2 4 31 14" xfId="15488" xr:uid="{00000000-0005-0000-0000-0000803C0000}"/>
    <cellStyle name="Normal 2 2 2 2 4 31 2" xfId="15489" xr:uid="{00000000-0005-0000-0000-0000813C0000}"/>
    <cellStyle name="Normal 2 2 2 2 4 31 2 10" xfId="15490" xr:uid="{00000000-0005-0000-0000-0000823C0000}"/>
    <cellStyle name="Normal 2 2 2 2 4 31 2 2" xfId="15491" xr:uid="{00000000-0005-0000-0000-0000833C0000}"/>
    <cellStyle name="Normal 2 2 2 2 4 31 2 3" xfId="15492" xr:uid="{00000000-0005-0000-0000-0000843C0000}"/>
    <cellStyle name="Normal 2 2 2 2 4 31 2 4" xfId="15493" xr:uid="{00000000-0005-0000-0000-0000853C0000}"/>
    <cellStyle name="Normal 2 2 2 2 4 31 2 5" xfId="15494" xr:uid="{00000000-0005-0000-0000-0000863C0000}"/>
    <cellStyle name="Normal 2 2 2 2 4 31 2 6" xfId="15495" xr:uid="{00000000-0005-0000-0000-0000873C0000}"/>
    <cellStyle name="Normal 2 2 2 2 4 31 2 7" xfId="15496" xr:uid="{00000000-0005-0000-0000-0000883C0000}"/>
    <cellStyle name="Normal 2 2 2 2 4 31 2 8" xfId="15497" xr:uid="{00000000-0005-0000-0000-0000893C0000}"/>
    <cellStyle name="Normal 2 2 2 2 4 31 2 9" xfId="15498" xr:uid="{00000000-0005-0000-0000-00008A3C0000}"/>
    <cellStyle name="Normal 2 2 2 2 4 31 3" xfId="15499" xr:uid="{00000000-0005-0000-0000-00008B3C0000}"/>
    <cellStyle name="Normal 2 2 2 2 4 31 3 10" xfId="15500" xr:uid="{00000000-0005-0000-0000-00008C3C0000}"/>
    <cellStyle name="Normal 2 2 2 2 4 31 3 2" xfId="15501" xr:uid="{00000000-0005-0000-0000-00008D3C0000}"/>
    <cellStyle name="Normal 2 2 2 2 4 31 3 3" xfId="15502" xr:uid="{00000000-0005-0000-0000-00008E3C0000}"/>
    <cellStyle name="Normal 2 2 2 2 4 31 3 4" xfId="15503" xr:uid="{00000000-0005-0000-0000-00008F3C0000}"/>
    <cellStyle name="Normal 2 2 2 2 4 31 3 5" xfId="15504" xr:uid="{00000000-0005-0000-0000-0000903C0000}"/>
    <cellStyle name="Normal 2 2 2 2 4 31 3 6" xfId="15505" xr:uid="{00000000-0005-0000-0000-0000913C0000}"/>
    <cellStyle name="Normal 2 2 2 2 4 31 3 7" xfId="15506" xr:uid="{00000000-0005-0000-0000-0000923C0000}"/>
    <cellStyle name="Normal 2 2 2 2 4 31 3 8" xfId="15507" xr:uid="{00000000-0005-0000-0000-0000933C0000}"/>
    <cellStyle name="Normal 2 2 2 2 4 31 3 9" xfId="15508" xr:uid="{00000000-0005-0000-0000-0000943C0000}"/>
    <cellStyle name="Normal 2 2 2 2 4 31 4" xfId="15509" xr:uid="{00000000-0005-0000-0000-0000953C0000}"/>
    <cellStyle name="Normal 2 2 2 2 4 31 4 10" xfId="15510" xr:uid="{00000000-0005-0000-0000-0000963C0000}"/>
    <cellStyle name="Normal 2 2 2 2 4 31 4 2" xfId="15511" xr:uid="{00000000-0005-0000-0000-0000973C0000}"/>
    <cellStyle name="Normal 2 2 2 2 4 31 4 3" xfId="15512" xr:uid="{00000000-0005-0000-0000-0000983C0000}"/>
    <cellStyle name="Normal 2 2 2 2 4 31 4 4" xfId="15513" xr:uid="{00000000-0005-0000-0000-0000993C0000}"/>
    <cellStyle name="Normal 2 2 2 2 4 31 4 5" xfId="15514" xr:uid="{00000000-0005-0000-0000-00009A3C0000}"/>
    <cellStyle name="Normal 2 2 2 2 4 31 4 6" xfId="15515" xr:uid="{00000000-0005-0000-0000-00009B3C0000}"/>
    <cellStyle name="Normal 2 2 2 2 4 31 4 7" xfId="15516" xr:uid="{00000000-0005-0000-0000-00009C3C0000}"/>
    <cellStyle name="Normal 2 2 2 2 4 31 4 8" xfId="15517" xr:uid="{00000000-0005-0000-0000-00009D3C0000}"/>
    <cellStyle name="Normal 2 2 2 2 4 31 4 9" xfId="15518" xr:uid="{00000000-0005-0000-0000-00009E3C0000}"/>
    <cellStyle name="Normal 2 2 2 2 4 31 5" xfId="15519" xr:uid="{00000000-0005-0000-0000-00009F3C0000}"/>
    <cellStyle name="Normal 2 2 2 2 4 31 5 10" xfId="15520" xr:uid="{00000000-0005-0000-0000-0000A03C0000}"/>
    <cellStyle name="Normal 2 2 2 2 4 31 5 2" xfId="15521" xr:uid="{00000000-0005-0000-0000-0000A13C0000}"/>
    <cellStyle name="Normal 2 2 2 2 4 31 5 3" xfId="15522" xr:uid="{00000000-0005-0000-0000-0000A23C0000}"/>
    <cellStyle name="Normal 2 2 2 2 4 31 5 4" xfId="15523" xr:uid="{00000000-0005-0000-0000-0000A33C0000}"/>
    <cellStyle name="Normal 2 2 2 2 4 31 5 5" xfId="15524" xr:uid="{00000000-0005-0000-0000-0000A43C0000}"/>
    <cellStyle name="Normal 2 2 2 2 4 31 5 6" xfId="15525" xr:uid="{00000000-0005-0000-0000-0000A53C0000}"/>
    <cellStyle name="Normal 2 2 2 2 4 31 5 7" xfId="15526" xr:uid="{00000000-0005-0000-0000-0000A63C0000}"/>
    <cellStyle name="Normal 2 2 2 2 4 31 5 8" xfId="15527" xr:uid="{00000000-0005-0000-0000-0000A73C0000}"/>
    <cellStyle name="Normal 2 2 2 2 4 31 5 9" xfId="15528" xr:uid="{00000000-0005-0000-0000-0000A83C0000}"/>
    <cellStyle name="Normal 2 2 2 2 4 31 6" xfId="15529" xr:uid="{00000000-0005-0000-0000-0000A93C0000}"/>
    <cellStyle name="Normal 2 2 2 2 4 31 7" xfId="15530" xr:uid="{00000000-0005-0000-0000-0000AA3C0000}"/>
    <cellStyle name="Normal 2 2 2 2 4 31 8" xfId="15531" xr:uid="{00000000-0005-0000-0000-0000AB3C0000}"/>
    <cellStyle name="Normal 2 2 2 2 4 31 9" xfId="15532" xr:uid="{00000000-0005-0000-0000-0000AC3C0000}"/>
    <cellStyle name="Normal 2 2 2 2 4 32" xfId="15533" xr:uid="{00000000-0005-0000-0000-0000AD3C0000}"/>
    <cellStyle name="Normal 2 2 2 2 4 32 10" xfId="15534" xr:uid="{00000000-0005-0000-0000-0000AE3C0000}"/>
    <cellStyle name="Normal 2 2 2 2 4 32 11" xfId="15535" xr:uid="{00000000-0005-0000-0000-0000AF3C0000}"/>
    <cellStyle name="Normal 2 2 2 2 4 32 12" xfId="15536" xr:uid="{00000000-0005-0000-0000-0000B03C0000}"/>
    <cellStyle name="Normal 2 2 2 2 4 32 13" xfId="15537" xr:uid="{00000000-0005-0000-0000-0000B13C0000}"/>
    <cellStyle name="Normal 2 2 2 2 4 32 14" xfId="15538" xr:uid="{00000000-0005-0000-0000-0000B23C0000}"/>
    <cellStyle name="Normal 2 2 2 2 4 32 2" xfId="15539" xr:uid="{00000000-0005-0000-0000-0000B33C0000}"/>
    <cellStyle name="Normal 2 2 2 2 4 32 2 10" xfId="15540" xr:uid="{00000000-0005-0000-0000-0000B43C0000}"/>
    <cellStyle name="Normal 2 2 2 2 4 32 2 2" xfId="15541" xr:uid="{00000000-0005-0000-0000-0000B53C0000}"/>
    <cellStyle name="Normal 2 2 2 2 4 32 2 3" xfId="15542" xr:uid="{00000000-0005-0000-0000-0000B63C0000}"/>
    <cellStyle name="Normal 2 2 2 2 4 32 2 4" xfId="15543" xr:uid="{00000000-0005-0000-0000-0000B73C0000}"/>
    <cellStyle name="Normal 2 2 2 2 4 32 2 5" xfId="15544" xr:uid="{00000000-0005-0000-0000-0000B83C0000}"/>
    <cellStyle name="Normal 2 2 2 2 4 32 2 6" xfId="15545" xr:uid="{00000000-0005-0000-0000-0000B93C0000}"/>
    <cellStyle name="Normal 2 2 2 2 4 32 2 7" xfId="15546" xr:uid="{00000000-0005-0000-0000-0000BA3C0000}"/>
    <cellStyle name="Normal 2 2 2 2 4 32 2 8" xfId="15547" xr:uid="{00000000-0005-0000-0000-0000BB3C0000}"/>
    <cellStyle name="Normal 2 2 2 2 4 32 2 9" xfId="15548" xr:uid="{00000000-0005-0000-0000-0000BC3C0000}"/>
    <cellStyle name="Normal 2 2 2 2 4 32 3" xfId="15549" xr:uid="{00000000-0005-0000-0000-0000BD3C0000}"/>
    <cellStyle name="Normal 2 2 2 2 4 32 3 10" xfId="15550" xr:uid="{00000000-0005-0000-0000-0000BE3C0000}"/>
    <cellStyle name="Normal 2 2 2 2 4 32 3 2" xfId="15551" xr:uid="{00000000-0005-0000-0000-0000BF3C0000}"/>
    <cellStyle name="Normal 2 2 2 2 4 32 3 3" xfId="15552" xr:uid="{00000000-0005-0000-0000-0000C03C0000}"/>
    <cellStyle name="Normal 2 2 2 2 4 32 3 4" xfId="15553" xr:uid="{00000000-0005-0000-0000-0000C13C0000}"/>
    <cellStyle name="Normal 2 2 2 2 4 32 3 5" xfId="15554" xr:uid="{00000000-0005-0000-0000-0000C23C0000}"/>
    <cellStyle name="Normal 2 2 2 2 4 32 3 6" xfId="15555" xr:uid="{00000000-0005-0000-0000-0000C33C0000}"/>
    <cellStyle name="Normal 2 2 2 2 4 32 3 7" xfId="15556" xr:uid="{00000000-0005-0000-0000-0000C43C0000}"/>
    <cellStyle name="Normal 2 2 2 2 4 32 3 8" xfId="15557" xr:uid="{00000000-0005-0000-0000-0000C53C0000}"/>
    <cellStyle name="Normal 2 2 2 2 4 32 3 9" xfId="15558" xr:uid="{00000000-0005-0000-0000-0000C63C0000}"/>
    <cellStyle name="Normal 2 2 2 2 4 32 4" xfId="15559" xr:uid="{00000000-0005-0000-0000-0000C73C0000}"/>
    <cellStyle name="Normal 2 2 2 2 4 32 4 10" xfId="15560" xr:uid="{00000000-0005-0000-0000-0000C83C0000}"/>
    <cellStyle name="Normal 2 2 2 2 4 32 4 2" xfId="15561" xr:uid="{00000000-0005-0000-0000-0000C93C0000}"/>
    <cellStyle name="Normal 2 2 2 2 4 32 4 3" xfId="15562" xr:uid="{00000000-0005-0000-0000-0000CA3C0000}"/>
    <cellStyle name="Normal 2 2 2 2 4 32 4 4" xfId="15563" xr:uid="{00000000-0005-0000-0000-0000CB3C0000}"/>
    <cellStyle name="Normal 2 2 2 2 4 32 4 5" xfId="15564" xr:uid="{00000000-0005-0000-0000-0000CC3C0000}"/>
    <cellStyle name="Normal 2 2 2 2 4 32 4 6" xfId="15565" xr:uid="{00000000-0005-0000-0000-0000CD3C0000}"/>
    <cellStyle name="Normal 2 2 2 2 4 32 4 7" xfId="15566" xr:uid="{00000000-0005-0000-0000-0000CE3C0000}"/>
    <cellStyle name="Normal 2 2 2 2 4 32 4 8" xfId="15567" xr:uid="{00000000-0005-0000-0000-0000CF3C0000}"/>
    <cellStyle name="Normal 2 2 2 2 4 32 4 9" xfId="15568" xr:uid="{00000000-0005-0000-0000-0000D03C0000}"/>
    <cellStyle name="Normal 2 2 2 2 4 32 5" xfId="15569" xr:uid="{00000000-0005-0000-0000-0000D13C0000}"/>
    <cellStyle name="Normal 2 2 2 2 4 32 5 10" xfId="15570" xr:uid="{00000000-0005-0000-0000-0000D23C0000}"/>
    <cellStyle name="Normal 2 2 2 2 4 32 5 2" xfId="15571" xr:uid="{00000000-0005-0000-0000-0000D33C0000}"/>
    <cellStyle name="Normal 2 2 2 2 4 32 5 3" xfId="15572" xr:uid="{00000000-0005-0000-0000-0000D43C0000}"/>
    <cellStyle name="Normal 2 2 2 2 4 32 5 4" xfId="15573" xr:uid="{00000000-0005-0000-0000-0000D53C0000}"/>
    <cellStyle name="Normal 2 2 2 2 4 32 5 5" xfId="15574" xr:uid="{00000000-0005-0000-0000-0000D63C0000}"/>
    <cellStyle name="Normal 2 2 2 2 4 32 5 6" xfId="15575" xr:uid="{00000000-0005-0000-0000-0000D73C0000}"/>
    <cellStyle name="Normal 2 2 2 2 4 32 5 7" xfId="15576" xr:uid="{00000000-0005-0000-0000-0000D83C0000}"/>
    <cellStyle name="Normal 2 2 2 2 4 32 5 8" xfId="15577" xr:uid="{00000000-0005-0000-0000-0000D93C0000}"/>
    <cellStyle name="Normal 2 2 2 2 4 32 5 9" xfId="15578" xr:uid="{00000000-0005-0000-0000-0000DA3C0000}"/>
    <cellStyle name="Normal 2 2 2 2 4 32 6" xfId="15579" xr:uid="{00000000-0005-0000-0000-0000DB3C0000}"/>
    <cellStyle name="Normal 2 2 2 2 4 32 7" xfId="15580" xr:uid="{00000000-0005-0000-0000-0000DC3C0000}"/>
    <cellStyle name="Normal 2 2 2 2 4 32 8" xfId="15581" xr:uid="{00000000-0005-0000-0000-0000DD3C0000}"/>
    <cellStyle name="Normal 2 2 2 2 4 32 9" xfId="15582" xr:uid="{00000000-0005-0000-0000-0000DE3C0000}"/>
    <cellStyle name="Normal 2 2 2 2 4 33" xfId="15583" xr:uid="{00000000-0005-0000-0000-0000DF3C0000}"/>
    <cellStyle name="Normal 2 2 2 2 4 33 10" xfId="15584" xr:uid="{00000000-0005-0000-0000-0000E03C0000}"/>
    <cellStyle name="Normal 2 2 2 2 4 33 11" xfId="15585" xr:uid="{00000000-0005-0000-0000-0000E13C0000}"/>
    <cellStyle name="Normal 2 2 2 2 4 33 12" xfId="15586" xr:uid="{00000000-0005-0000-0000-0000E23C0000}"/>
    <cellStyle name="Normal 2 2 2 2 4 33 13" xfId="15587" xr:uid="{00000000-0005-0000-0000-0000E33C0000}"/>
    <cellStyle name="Normal 2 2 2 2 4 33 14" xfId="15588" xr:uid="{00000000-0005-0000-0000-0000E43C0000}"/>
    <cellStyle name="Normal 2 2 2 2 4 33 2" xfId="15589" xr:uid="{00000000-0005-0000-0000-0000E53C0000}"/>
    <cellStyle name="Normal 2 2 2 2 4 33 2 10" xfId="15590" xr:uid="{00000000-0005-0000-0000-0000E63C0000}"/>
    <cellStyle name="Normal 2 2 2 2 4 33 2 2" xfId="15591" xr:uid="{00000000-0005-0000-0000-0000E73C0000}"/>
    <cellStyle name="Normal 2 2 2 2 4 33 2 3" xfId="15592" xr:uid="{00000000-0005-0000-0000-0000E83C0000}"/>
    <cellStyle name="Normal 2 2 2 2 4 33 2 4" xfId="15593" xr:uid="{00000000-0005-0000-0000-0000E93C0000}"/>
    <cellStyle name="Normal 2 2 2 2 4 33 2 5" xfId="15594" xr:uid="{00000000-0005-0000-0000-0000EA3C0000}"/>
    <cellStyle name="Normal 2 2 2 2 4 33 2 6" xfId="15595" xr:uid="{00000000-0005-0000-0000-0000EB3C0000}"/>
    <cellStyle name="Normal 2 2 2 2 4 33 2 7" xfId="15596" xr:uid="{00000000-0005-0000-0000-0000EC3C0000}"/>
    <cellStyle name="Normal 2 2 2 2 4 33 2 8" xfId="15597" xr:uid="{00000000-0005-0000-0000-0000ED3C0000}"/>
    <cellStyle name="Normal 2 2 2 2 4 33 2 9" xfId="15598" xr:uid="{00000000-0005-0000-0000-0000EE3C0000}"/>
    <cellStyle name="Normal 2 2 2 2 4 33 3" xfId="15599" xr:uid="{00000000-0005-0000-0000-0000EF3C0000}"/>
    <cellStyle name="Normal 2 2 2 2 4 33 3 10" xfId="15600" xr:uid="{00000000-0005-0000-0000-0000F03C0000}"/>
    <cellStyle name="Normal 2 2 2 2 4 33 3 2" xfId="15601" xr:uid="{00000000-0005-0000-0000-0000F13C0000}"/>
    <cellStyle name="Normal 2 2 2 2 4 33 3 3" xfId="15602" xr:uid="{00000000-0005-0000-0000-0000F23C0000}"/>
    <cellStyle name="Normal 2 2 2 2 4 33 3 4" xfId="15603" xr:uid="{00000000-0005-0000-0000-0000F33C0000}"/>
    <cellStyle name="Normal 2 2 2 2 4 33 3 5" xfId="15604" xr:uid="{00000000-0005-0000-0000-0000F43C0000}"/>
    <cellStyle name="Normal 2 2 2 2 4 33 3 6" xfId="15605" xr:uid="{00000000-0005-0000-0000-0000F53C0000}"/>
    <cellStyle name="Normal 2 2 2 2 4 33 3 7" xfId="15606" xr:uid="{00000000-0005-0000-0000-0000F63C0000}"/>
    <cellStyle name="Normal 2 2 2 2 4 33 3 8" xfId="15607" xr:uid="{00000000-0005-0000-0000-0000F73C0000}"/>
    <cellStyle name="Normal 2 2 2 2 4 33 3 9" xfId="15608" xr:uid="{00000000-0005-0000-0000-0000F83C0000}"/>
    <cellStyle name="Normal 2 2 2 2 4 33 4" xfId="15609" xr:uid="{00000000-0005-0000-0000-0000F93C0000}"/>
    <cellStyle name="Normal 2 2 2 2 4 33 4 10" xfId="15610" xr:uid="{00000000-0005-0000-0000-0000FA3C0000}"/>
    <cellStyle name="Normal 2 2 2 2 4 33 4 2" xfId="15611" xr:uid="{00000000-0005-0000-0000-0000FB3C0000}"/>
    <cellStyle name="Normal 2 2 2 2 4 33 4 3" xfId="15612" xr:uid="{00000000-0005-0000-0000-0000FC3C0000}"/>
    <cellStyle name="Normal 2 2 2 2 4 33 4 4" xfId="15613" xr:uid="{00000000-0005-0000-0000-0000FD3C0000}"/>
    <cellStyle name="Normal 2 2 2 2 4 33 4 5" xfId="15614" xr:uid="{00000000-0005-0000-0000-0000FE3C0000}"/>
    <cellStyle name="Normal 2 2 2 2 4 33 4 6" xfId="15615" xr:uid="{00000000-0005-0000-0000-0000FF3C0000}"/>
    <cellStyle name="Normal 2 2 2 2 4 33 4 7" xfId="15616" xr:uid="{00000000-0005-0000-0000-0000003D0000}"/>
    <cellStyle name="Normal 2 2 2 2 4 33 4 8" xfId="15617" xr:uid="{00000000-0005-0000-0000-0000013D0000}"/>
    <cellStyle name="Normal 2 2 2 2 4 33 4 9" xfId="15618" xr:uid="{00000000-0005-0000-0000-0000023D0000}"/>
    <cellStyle name="Normal 2 2 2 2 4 33 5" xfId="15619" xr:uid="{00000000-0005-0000-0000-0000033D0000}"/>
    <cellStyle name="Normal 2 2 2 2 4 33 5 10" xfId="15620" xr:uid="{00000000-0005-0000-0000-0000043D0000}"/>
    <cellStyle name="Normal 2 2 2 2 4 33 5 2" xfId="15621" xr:uid="{00000000-0005-0000-0000-0000053D0000}"/>
    <cellStyle name="Normal 2 2 2 2 4 33 5 3" xfId="15622" xr:uid="{00000000-0005-0000-0000-0000063D0000}"/>
    <cellStyle name="Normal 2 2 2 2 4 33 5 4" xfId="15623" xr:uid="{00000000-0005-0000-0000-0000073D0000}"/>
    <cellStyle name="Normal 2 2 2 2 4 33 5 5" xfId="15624" xr:uid="{00000000-0005-0000-0000-0000083D0000}"/>
    <cellStyle name="Normal 2 2 2 2 4 33 5 6" xfId="15625" xr:uid="{00000000-0005-0000-0000-0000093D0000}"/>
    <cellStyle name="Normal 2 2 2 2 4 33 5 7" xfId="15626" xr:uid="{00000000-0005-0000-0000-00000A3D0000}"/>
    <cellStyle name="Normal 2 2 2 2 4 33 5 8" xfId="15627" xr:uid="{00000000-0005-0000-0000-00000B3D0000}"/>
    <cellStyle name="Normal 2 2 2 2 4 33 5 9" xfId="15628" xr:uid="{00000000-0005-0000-0000-00000C3D0000}"/>
    <cellStyle name="Normal 2 2 2 2 4 33 6" xfId="15629" xr:uid="{00000000-0005-0000-0000-00000D3D0000}"/>
    <cellStyle name="Normal 2 2 2 2 4 33 7" xfId="15630" xr:uid="{00000000-0005-0000-0000-00000E3D0000}"/>
    <cellStyle name="Normal 2 2 2 2 4 33 8" xfId="15631" xr:uid="{00000000-0005-0000-0000-00000F3D0000}"/>
    <cellStyle name="Normal 2 2 2 2 4 33 9" xfId="15632" xr:uid="{00000000-0005-0000-0000-0000103D0000}"/>
    <cellStyle name="Normal 2 2 2 2 4 34" xfId="15633" xr:uid="{00000000-0005-0000-0000-0000113D0000}"/>
    <cellStyle name="Normal 2 2 2 2 4 35" xfId="15634" xr:uid="{00000000-0005-0000-0000-0000123D0000}"/>
    <cellStyle name="Normal 2 2 2 2 4 4" xfId="15635" xr:uid="{00000000-0005-0000-0000-0000133D0000}"/>
    <cellStyle name="Normal 2 2 2 2 4 4 10" xfId="15636" xr:uid="{00000000-0005-0000-0000-0000143D0000}"/>
    <cellStyle name="Normal 2 2 2 2 4 4 11" xfId="15637" xr:uid="{00000000-0005-0000-0000-0000153D0000}"/>
    <cellStyle name="Normal 2 2 2 2 4 4 12" xfId="15638" xr:uid="{00000000-0005-0000-0000-0000163D0000}"/>
    <cellStyle name="Normal 2 2 2 2 4 4 13" xfId="15639" xr:uid="{00000000-0005-0000-0000-0000173D0000}"/>
    <cellStyle name="Normal 2 2 2 2 4 4 14" xfId="15640" xr:uid="{00000000-0005-0000-0000-0000183D0000}"/>
    <cellStyle name="Normal 2 2 2 2 4 4 2" xfId="15641" xr:uid="{00000000-0005-0000-0000-0000193D0000}"/>
    <cellStyle name="Normal 2 2 2 2 4 4 2 10" xfId="15642" xr:uid="{00000000-0005-0000-0000-00001A3D0000}"/>
    <cellStyle name="Normal 2 2 2 2 4 4 2 2" xfId="15643" xr:uid="{00000000-0005-0000-0000-00001B3D0000}"/>
    <cellStyle name="Normal 2 2 2 2 4 4 2 3" xfId="15644" xr:uid="{00000000-0005-0000-0000-00001C3D0000}"/>
    <cellStyle name="Normal 2 2 2 2 4 4 2 4" xfId="15645" xr:uid="{00000000-0005-0000-0000-00001D3D0000}"/>
    <cellStyle name="Normal 2 2 2 2 4 4 2 5" xfId="15646" xr:uid="{00000000-0005-0000-0000-00001E3D0000}"/>
    <cellStyle name="Normal 2 2 2 2 4 4 2 6" xfId="15647" xr:uid="{00000000-0005-0000-0000-00001F3D0000}"/>
    <cellStyle name="Normal 2 2 2 2 4 4 2 7" xfId="15648" xr:uid="{00000000-0005-0000-0000-0000203D0000}"/>
    <cellStyle name="Normal 2 2 2 2 4 4 2 8" xfId="15649" xr:uid="{00000000-0005-0000-0000-0000213D0000}"/>
    <cellStyle name="Normal 2 2 2 2 4 4 2 9" xfId="15650" xr:uid="{00000000-0005-0000-0000-0000223D0000}"/>
    <cellStyle name="Normal 2 2 2 2 4 4 3" xfId="15651" xr:uid="{00000000-0005-0000-0000-0000233D0000}"/>
    <cellStyle name="Normal 2 2 2 2 4 4 3 10" xfId="15652" xr:uid="{00000000-0005-0000-0000-0000243D0000}"/>
    <cellStyle name="Normal 2 2 2 2 4 4 3 2" xfId="15653" xr:uid="{00000000-0005-0000-0000-0000253D0000}"/>
    <cellStyle name="Normal 2 2 2 2 4 4 3 3" xfId="15654" xr:uid="{00000000-0005-0000-0000-0000263D0000}"/>
    <cellStyle name="Normal 2 2 2 2 4 4 3 4" xfId="15655" xr:uid="{00000000-0005-0000-0000-0000273D0000}"/>
    <cellStyle name="Normal 2 2 2 2 4 4 3 5" xfId="15656" xr:uid="{00000000-0005-0000-0000-0000283D0000}"/>
    <cellStyle name="Normal 2 2 2 2 4 4 3 6" xfId="15657" xr:uid="{00000000-0005-0000-0000-0000293D0000}"/>
    <cellStyle name="Normal 2 2 2 2 4 4 3 7" xfId="15658" xr:uid="{00000000-0005-0000-0000-00002A3D0000}"/>
    <cellStyle name="Normal 2 2 2 2 4 4 3 8" xfId="15659" xr:uid="{00000000-0005-0000-0000-00002B3D0000}"/>
    <cellStyle name="Normal 2 2 2 2 4 4 3 9" xfId="15660" xr:uid="{00000000-0005-0000-0000-00002C3D0000}"/>
    <cellStyle name="Normal 2 2 2 2 4 4 4" xfId="15661" xr:uid="{00000000-0005-0000-0000-00002D3D0000}"/>
    <cellStyle name="Normal 2 2 2 2 4 4 4 10" xfId="15662" xr:uid="{00000000-0005-0000-0000-00002E3D0000}"/>
    <cellStyle name="Normal 2 2 2 2 4 4 4 2" xfId="15663" xr:uid="{00000000-0005-0000-0000-00002F3D0000}"/>
    <cellStyle name="Normal 2 2 2 2 4 4 4 3" xfId="15664" xr:uid="{00000000-0005-0000-0000-0000303D0000}"/>
    <cellStyle name="Normal 2 2 2 2 4 4 4 4" xfId="15665" xr:uid="{00000000-0005-0000-0000-0000313D0000}"/>
    <cellStyle name="Normal 2 2 2 2 4 4 4 5" xfId="15666" xr:uid="{00000000-0005-0000-0000-0000323D0000}"/>
    <cellStyle name="Normal 2 2 2 2 4 4 4 6" xfId="15667" xr:uid="{00000000-0005-0000-0000-0000333D0000}"/>
    <cellStyle name="Normal 2 2 2 2 4 4 4 7" xfId="15668" xr:uid="{00000000-0005-0000-0000-0000343D0000}"/>
    <cellStyle name="Normal 2 2 2 2 4 4 4 8" xfId="15669" xr:uid="{00000000-0005-0000-0000-0000353D0000}"/>
    <cellStyle name="Normal 2 2 2 2 4 4 4 9" xfId="15670" xr:uid="{00000000-0005-0000-0000-0000363D0000}"/>
    <cellStyle name="Normal 2 2 2 2 4 4 5" xfId="15671" xr:uid="{00000000-0005-0000-0000-0000373D0000}"/>
    <cellStyle name="Normal 2 2 2 2 4 4 5 10" xfId="15672" xr:uid="{00000000-0005-0000-0000-0000383D0000}"/>
    <cellStyle name="Normal 2 2 2 2 4 4 5 2" xfId="15673" xr:uid="{00000000-0005-0000-0000-0000393D0000}"/>
    <cellStyle name="Normal 2 2 2 2 4 4 5 3" xfId="15674" xr:uid="{00000000-0005-0000-0000-00003A3D0000}"/>
    <cellStyle name="Normal 2 2 2 2 4 4 5 4" xfId="15675" xr:uid="{00000000-0005-0000-0000-00003B3D0000}"/>
    <cellStyle name="Normal 2 2 2 2 4 4 5 5" xfId="15676" xr:uid="{00000000-0005-0000-0000-00003C3D0000}"/>
    <cellStyle name="Normal 2 2 2 2 4 4 5 6" xfId="15677" xr:uid="{00000000-0005-0000-0000-00003D3D0000}"/>
    <cellStyle name="Normal 2 2 2 2 4 4 5 7" xfId="15678" xr:uid="{00000000-0005-0000-0000-00003E3D0000}"/>
    <cellStyle name="Normal 2 2 2 2 4 4 5 8" xfId="15679" xr:uid="{00000000-0005-0000-0000-00003F3D0000}"/>
    <cellStyle name="Normal 2 2 2 2 4 4 5 9" xfId="15680" xr:uid="{00000000-0005-0000-0000-0000403D0000}"/>
    <cellStyle name="Normal 2 2 2 2 4 4 6" xfId="15681" xr:uid="{00000000-0005-0000-0000-0000413D0000}"/>
    <cellStyle name="Normal 2 2 2 2 4 4 7" xfId="15682" xr:uid="{00000000-0005-0000-0000-0000423D0000}"/>
    <cellStyle name="Normal 2 2 2 2 4 4 8" xfId="15683" xr:uid="{00000000-0005-0000-0000-0000433D0000}"/>
    <cellStyle name="Normal 2 2 2 2 4 4 9" xfId="15684" xr:uid="{00000000-0005-0000-0000-0000443D0000}"/>
    <cellStyle name="Normal 2 2 2 2 4 5" xfId="15685" xr:uid="{00000000-0005-0000-0000-0000453D0000}"/>
    <cellStyle name="Normal 2 2 2 2 4 5 10" xfId="15686" xr:uid="{00000000-0005-0000-0000-0000463D0000}"/>
    <cellStyle name="Normal 2 2 2 2 4 5 11" xfId="15687" xr:uid="{00000000-0005-0000-0000-0000473D0000}"/>
    <cellStyle name="Normal 2 2 2 2 4 5 12" xfId="15688" xr:uid="{00000000-0005-0000-0000-0000483D0000}"/>
    <cellStyle name="Normal 2 2 2 2 4 5 13" xfId="15689" xr:uid="{00000000-0005-0000-0000-0000493D0000}"/>
    <cellStyle name="Normal 2 2 2 2 4 5 14" xfId="15690" xr:uid="{00000000-0005-0000-0000-00004A3D0000}"/>
    <cellStyle name="Normal 2 2 2 2 4 5 2" xfId="15691" xr:uid="{00000000-0005-0000-0000-00004B3D0000}"/>
    <cellStyle name="Normal 2 2 2 2 4 5 2 10" xfId="15692" xr:uid="{00000000-0005-0000-0000-00004C3D0000}"/>
    <cellStyle name="Normal 2 2 2 2 4 5 2 2" xfId="15693" xr:uid="{00000000-0005-0000-0000-00004D3D0000}"/>
    <cellStyle name="Normal 2 2 2 2 4 5 2 3" xfId="15694" xr:uid="{00000000-0005-0000-0000-00004E3D0000}"/>
    <cellStyle name="Normal 2 2 2 2 4 5 2 4" xfId="15695" xr:uid="{00000000-0005-0000-0000-00004F3D0000}"/>
    <cellStyle name="Normal 2 2 2 2 4 5 2 5" xfId="15696" xr:uid="{00000000-0005-0000-0000-0000503D0000}"/>
    <cellStyle name="Normal 2 2 2 2 4 5 2 6" xfId="15697" xr:uid="{00000000-0005-0000-0000-0000513D0000}"/>
    <cellStyle name="Normal 2 2 2 2 4 5 2 7" xfId="15698" xr:uid="{00000000-0005-0000-0000-0000523D0000}"/>
    <cellStyle name="Normal 2 2 2 2 4 5 2 8" xfId="15699" xr:uid="{00000000-0005-0000-0000-0000533D0000}"/>
    <cellStyle name="Normal 2 2 2 2 4 5 2 9" xfId="15700" xr:uid="{00000000-0005-0000-0000-0000543D0000}"/>
    <cellStyle name="Normal 2 2 2 2 4 5 3" xfId="15701" xr:uid="{00000000-0005-0000-0000-0000553D0000}"/>
    <cellStyle name="Normal 2 2 2 2 4 5 3 10" xfId="15702" xr:uid="{00000000-0005-0000-0000-0000563D0000}"/>
    <cellStyle name="Normal 2 2 2 2 4 5 3 2" xfId="15703" xr:uid="{00000000-0005-0000-0000-0000573D0000}"/>
    <cellStyle name="Normal 2 2 2 2 4 5 3 3" xfId="15704" xr:uid="{00000000-0005-0000-0000-0000583D0000}"/>
    <cellStyle name="Normal 2 2 2 2 4 5 3 4" xfId="15705" xr:uid="{00000000-0005-0000-0000-0000593D0000}"/>
    <cellStyle name="Normal 2 2 2 2 4 5 3 5" xfId="15706" xr:uid="{00000000-0005-0000-0000-00005A3D0000}"/>
    <cellStyle name="Normal 2 2 2 2 4 5 3 6" xfId="15707" xr:uid="{00000000-0005-0000-0000-00005B3D0000}"/>
    <cellStyle name="Normal 2 2 2 2 4 5 3 7" xfId="15708" xr:uid="{00000000-0005-0000-0000-00005C3D0000}"/>
    <cellStyle name="Normal 2 2 2 2 4 5 3 8" xfId="15709" xr:uid="{00000000-0005-0000-0000-00005D3D0000}"/>
    <cellStyle name="Normal 2 2 2 2 4 5 3 9" xfId="15710" xr:uid="{00000000-0005-0000-0000-00005E3D0000}"/>
    <cellStyle name="Normal 2 2 2 2 4 5 4" xfId="15711" xr:uid="{00000000-0005-0000-0000-00005F3D0000}"/>
    <cellStyle name="Normal 2 2 2 2 4 5 4 10" xfId="15712" xr:uid="{00000000-0005-0000-0000-0000603D0000}"/>
    <cellStyle name="Normal 2 2 2 2 4 5 4 2" xfId="15713" xr:uid="{00000000-0005-0000-0000-0000613D0000}"/>
    <cellStyle name="Normal 2 2 2 2 4 5 4 3" xfId="15714" xr:uid="{00000000-0005-0000-0000-0000623D0000}"/>
    <cellStyle name="Normal 2 2 2 2 4 5 4 4" xfId="15715" xr:uid="{00000000-0005-0000-0000-0000633D0000}"/>
    <cellStyle name="Normal 2 2 2 2 4 5 4 5" xfId="15716" xr:uid="{00000000-0005-0000-0000-0000643D0000}"/>
    <cellStyle name="Normal 2 2 2 2 4 5 4 6" xfId="15717" xr:uid="{00000000-0005-0000-0000-0000653D0000}"/>
    <cellStyle name="Normal 2 2 2 2 4 5 4 7" xfId="15718" xr:uid="{00000000-0005-0000-0000-0000663D0000}"/>
    <cellStyle name="Normal 2 2 2 2 4 5 4 8" xfId="15719" xr:uid="{00000000-0005-0000-0000-0000673D0000}"/>
    <cellStyle name="Normal 2 2 2 2 4 5 4 9" xfId="15720" xr:uid="{00000000-0005-0000-0000-0000683D0000}"/>
    <cellStyle name="Normal 2 2 2 2 4 5 5" xfId="15721" xr:uid="{00000000-0005-0000-0000-0000693D0000}"/>
    <cellStyle name="Normal 2 2 2 2 4 5 5 10" xfId="15722" xr:uid="{00000000-0005-0000-0000-00006A3D0000}"/>
    <cellStyle name="Normal 2 2 2 2 4 5 5 2" xfId="15723" xr:uid="{00000000-0005-0000-0000-00006B3D0000}"/>
    <cellStyle name="Normal 2 2 2 2 4 5 5 3" xfId="15724" xr:uid="{00000000-0005-0000-0000-00006C3D0000}"/>
    <cellStyle name="Normal 2 2 2 2 4 5 5 4" xfId="15725" xr:uid="{00000000-0005-0000-0000-00006D3D0000}"/>
    <cellStyle name="Normal 2 2 2 2 4 5 5 5" xfId="15726" xr:uid="{00000000-0005-0000-0000-00006E3D0000}"/>
    <cellStyle name="Normal 2 2 2 2 4 5 5 6" xfId="15727" xr:uid="{00000000-0005-0000-0000-00006F3D0000}"/>
    <cellStyle name="Normal 2 2 2 2 4 5 5 7" xfId="15728" xr:uid="{00000000-0005-0000-0000-0000703D0000}"/>
    <cellStyle name="Normal 2 2 2 2 4 5 5 8" xfId="15729" xr:uid="{00000000-0005-0000-0000-0000713D0000}"/>
    <cellStyle name="Normal 2 2 2 2 4 5 5 9" xfId="15730" xr:uid="{00000000-0005-0000-0000-0000723D0000}"/>
    <cellStyle name="Normal 2 2 2 2 4 5 6" xfId="15731" xr:uid="{00000000-0005-0000-0000-0000733D0000}"/>
    <cellStyle name="Normal 2 2 2 2 4 5 7" xfId="15732" xr:uid="{00000000-0005-0000-0000-0000743D0000}"/>
    <cellStyle name="Normal 2 2 2 2 4 5 8" xfId="15733" xr:uid="{00000000-0005-0000-0000-0000753D0000}"/>
    <cellStyle name="Normal 2 2 2 2 4 5 9" xfId="15734" xr:uid="{00000000-0005-0000-0000-0000763D0000}"/>
    <cellStyle name="Normal 2 2 2 2 4 6" xfId="15735" xr:uid="{00000000-0005-0000-0000-0000773D0000}"/>
    <cellStyle name="Normal 2 2 2 2 4 6 10" xfId="15736" xr:uid="{00000000-0005-0000-0000-0000783D0000}"/>
    <cellStyle name="Normal 2 2 2 2 4 6 11" xfId="15737" xr:uid="{00000000-0005-0000-0000-0000793D0000}"/>
    <cellStyle name="Normal 2 2 2 2 4 6 12" xfId="15738" xr:uid="{00000000-0005-0000-0000-00007A3D0000}"/>
    <cellStyle name="Normal 2 2 2 2 4 6 13" xfId="15739" xr:uid="{00000000-0005-0000-0000-00007B3D0000}"/>
    <cellStyle name="Normal 2 2 2 2 4 6 14" xfId="15740" xr:uid="{00000000-0005-0000-0000-00007C3D0000}"/>
    <cellStyle name="Normal 2 2 2 2 4 6 2" xfId="15741" xr:uid="{00000000-0005-0000-0000-00007D3D0000}"/>
    <cellStyle name="Normal 2 2 2 2 4 6 2 10" xfId="15742" xr:uid="{00000000-0005-0000-0000-00007E3D0000}"/>
    <cellStyle name="Normal 2 2 2 2 4 6 2 2" xfId="15743" xr:uid="{00000000-0005-0000-0000-00007F3D0000}"/>
    <cellStyle name="Normal 2 2 2 2 4 6 2 3" xfId="15744" xr:uid="{00000000-0005-0000-0000-0000803D0000}"/>
    <cellStyle name="Normal 2 2 2 2 4 6 2 4" xfId="15745" xr:uid="{00000000-0005-0000-0000-0000813D0000}"/>
    <cellStyle name="Normal 2 2 2 2 4 6 2 5" xfId="15746" xr:uid="{00000000-0005-0000-0000-0000823D0000}"/>
    <cellStyle name="Normal 2 2 2 2 4 6 2 6" xfId="15747" xr:uid="{00000000-0005-0000-0000-0000833D0000}"/>
    <cellStyle name="Normal 2 2 2 2 4 6 2 7" xfId="15748" xr:uid="{00000000-0005-0000-0000-0000843D0000}"/>
    <cellStyle name="Normal 2 2 2 2 4 6 2 8" xfId="15749" xr:uid="{00000000-0005-0000-0000-0000853D0000}"/>
    <cellStyle name="Normal 2 2 2 2 4 6 2 9" xfId="15750" xr:uid="{00000000-0005-0000-0000-0000863D0000}"/>
    <cellStyle name="Normal 2 2 2 2 4 6 3" xfId="15751" xr:uid="{00000000-0005-0000-0000-0000873D0000}"/>
    <cellStyle name="Normal 2 2 2 2 4 6 3 10" xfId="15752" xr:uid="{00000000-0005-0000-0000-0000883D0000}"/>
    <cellStyle name="Normal 2 2 2 2 4 6 3 2" xfId="15753" xr:uid="{00000000-0005-0000-0000-0000893D0000}"/>
    <cellStyle name="Normal 2 2 2 2 4 6 3 3" xfId="15754" xr:uid="{00000000-0005-0000-0000-00008A3D0000}"/>
    <cellStyle name="Normal 2 2 2 2 4 6 3 4" xfId="15755" xr:uid="{00000000-0005-0000-0000-00008B3D0000}"/>
    <cellStyle name="Normal 2 2 2 2 4 6 3 5" xfId="15756" xr:uid="{00000000-0005-0000-0000-00008C3D0000}"/>
    <cellStyle name="Normal 2 2 2 2 4 6 3 6" xfId="15757" xr:uid="{00000000-0005-0000-0000-00008D3D0000}"/>
    <cellStyle name="Normal 2 2 2 2 4 6 3 7" xfId="15758" xr:uid="{00000000-0005-0000-0000-00008E3D0000}"/>
    <cellStyle name="Normal 2 2 2 2 4 6 3 8" xfId="15759" xr:uid="{00000000-0005-0000-0000-00008F3D0000}"/>
    <cellStyle name="Normal 2 2 2 2 4 6 3 9" xfId="15760" xr:uid="{00000000-0005-0000-0000-0000903D0000}"/>
    <cellStyle name="Normal 2 2 2 2 4 6 4" xfId="15761" xr:uid="{00000000-0005-0000-0000-0000913D0000}"/>
    <cellStyle name="Normal 2 2 2 2 4 6 4 10" xfId="15762" xr:uid="{00000000-0005-0000-0000-0000923D0000}"/>
    <cellStyle name="Normal 2 2 2 2 4 6 4 2" xfId="15763" xr:uid="{00000000-0005-0000-0000-0000933D0000}"/>
    <cellStyle name="Normal 2 2 2 2 4 6 4 3" xfId="15764" xr:uid="{00000000-0005-0000-0000-0000943D0000}"/>
    <cellStyle name="Normal 2 2 2 2 4 6 4 4" xfId="15765" xr:uid="{00000000-0005-0000-0000-0000953D0000}"/>
    <cellStyle name="Normal 2 2 2 2 4 6 4 5" xfId="15766" xr:uid="{00000000-0005-0000-0000-0000963D0000}"/>
    <cellStyle name="Normal 2 2 2 2 4 6 4 6" xfId="15767" xr:uid="{00000000-0005-0000-0000-0000973D0000}"/>
    <cellStyle name="Normal 2 2 2 2 4 6 4 7" xfId="15768" xr:uid="{00000000-0005-0000-0000-0000983D0000}"/>
    <cellStyle name="Normal 2 2 2 2 4 6 4 8" xfId="15769" xr:uid="{00000000-0005-0000-0000-0000993D0000}"/>
    <cellStyle name="Normal 2 2 2 2 4 6 4 9" xfId="15770" xr:uid="{00000000-0005-0000-0000-00009A3D0000}"/>
    <cellStyle name="Normal 2 2 2 2 4 6 5" xfId="15771" xr:uid="{00000000-0005-0000-0000-00009B3D0000}"/>
    <cellStyle name="Normal 2 2 2 2 4 6 5 10" xfId="15772" xr:uid="{00000000-0005-0000-0000-00009C3D0000}"/>
    <cellStyle name="Normal 2 2 2 2 4 6 5 2" xfId="15773" xr:uid="{00000000-0005-0000-0000-00009D3D0000}"/>
    <cellStyle name="Normal 2 2 2 2 4 6 5 3" xfId="15774" xr:uid="{00000000-0005-0000-0000-00009E3D0000}"/>
    <cellStyle name="Normal 2 2 2 2 4 6 5 4" xfId="15775" xr:uid="{00000000-0005-0000-0000-00009F3D0000}"/>
    <cellStyle name="Normal 2 2 2 2 4 6 5 5" xfId="15776" xr:uid="{00000000-0005-0000-0000-0000A03D0000}"/>
    <cellStyle name="Normal 2 2 2 2 4 6 5 6" xfId="15777" xr:uid="{00000000-0005-0000-0000-0000A13D0000}"/>
    <cellStyle name="Normal 2 2 2 2 4 6 5 7" xfId="15778" xr:uid="{00000000-0005-0000-0000-0000A23D0000}"/>
    <cellStyle name="Normal 2 2 2 2 4 6 5 8" xfId="15779" xr:uid="{00000000-0005-0000-0000-0000A33D0000}"/>
    <cellStyle name="Normal 2 2 2 2 4 6 5 9" xfId="15780" xr:uid="{00000000-0005-0000-0000-0000A43D0000}"/>
    <cellStyle name="Normal 2 2 2 2 4 6 6" xfId="15781" xr:uid="{00000000-0005-0000-0000-0000A53D0000}"/>
    <cellStyle name="Normal 2 2 2 2 4 6 7" xfId="15782" xr:uid="{00000000-0005-0000-0000-0000A63D0000}"/>
    <cellStyle name="Normal 2 2 2 2 4 6 8" xfId="15783" xr:uid="{00000000-0005-0000-0000-0000A73D0000}"/>
    <cellStyle name="Normal 2 2 2 2 4 6 9" xfId="15784" xr:uid="{00000000-0005-0000-0000-0000A83D0000}"/>
    <cellStyle name="Normal 2 2 2 2 4 7" xfId="15785" xr:uid="{00000000-0005-0000-0000-0000A93D0000}"/>
    <cellStyle name="Normal 2 2 2 2 4 7 10" xfId="15786" xr:uid="{00000000-0005-0000-0000-0000AA3D0000}"/>
    <cellStyle name="Normal 2 2 2 2 4 7 11" xfId="15787" xr:uid="{00000000-0005-0000-0000-0000AB3D0000}"/>
    <cellStyle name="Normal 2 2 2 2 4 7 12" xfId="15788" xr:uid="{00000000-0005-0000-0000-0000AC3D0000}"/>
    <cellStyle name="Normal 2 2 2 2 4 7 13" xfId="15789" xr:uid="{00000000-0005-0000-0000-0000AD3D0000}"/>
    <cellStyle name="Normal 2 2 2 2 4 7 14" xfId="15790" xr:uid="{00000000-0005-0000-0000-0000AE3D0000}"/>
    <cellStyle name="Normal 2 2 2 2 4 7 2" xfId="15791" xr:uid="{00000000-0005-0000-0000-0000AF3D0000}"/>
    <cellStyle name="Normal 2 2 2 2 4 7 2 10" xfId="15792" xr:uid="{00000000-0005-0000-0000-0000B03D0000}"/>
    <cellStyle name="Normal 2 2 2 2 4 7 2 2" xfId="15793" xr:uid="{00000000-0005-0000-0000-0000B13D0000}"/>
    <cellStyle name="Normal 2 2 2 2 4 7 2 3" xfId="15794" xr:uid="{00000000-0005-0000-0000-0000B23D0000}"/>
    <cellStyle name="Normal 2 2 2 2 4 7 2 4" xfId="15795" xr:uid="{00000000-0005-0000-0000-0000B33D0000}"/>
    <cellStyle name="Normal 2 2 2 2 4 7 2 5" xfId="15796" xr:uid="{00000000-0005-0000-0000-0000B43D0000}"/>
    <cellStyle name="Normal 2 2 2 2 4 7 2 6" xfId="15797" xr:uid="{00000000-0005-0000-0000-0000B53D0000}"/>
    <cellStyle name="Normal 2 2 2 2 4 7 2 7" xfId="15798" xr:uid="{00000000-0005-0000-0000-0000B63D0000}"/>
    <cellStyle name="Normal 2 2 2 2 4 7 2 8" xfId="15799" xr:uid="{00000000-0005-0000-0000-0000B73D0000}"/>
    <cellStyle name="Normal 2 2 2 2 4 7 2 9" xfId="15800" xr:uid="{00000000-0005-0000-0000-0000B83D0000}"/>
    <cellStyle name="Normal 2 2 2 2 4 7 3" xfId="15801" xr:uid="{00000000-0005-0000-0000-0000B93D0000}"/>
    <cellStyle name="Normal 2 2 2 2 4 7 3 10" xfId="15802" xr:uid="{00000000-0005-0000-0000-0000BA3D0000}"/>
    <cellStyle name="Normal 2 2 2 2 4 7 3 2" xfId="15803" xr:uid="{00000000-0005-0000-0000-0000BB3D0000}"/>
    <cellStyle name="Normal 2 2 2 2 4 7 3 3" xfId="15804" xr:uid="{00000000-0005-0000-0000-0000BC3D0000}"/>
    <cellStyle name="Normal 2 2 2 2 4 7 3 4" xfId="15805" xr:uid="{00000000-0005-0000-0000-0000BD3D0000}"/>
    <cellStyle name="Normal 2 2 2 2 4 7 3 5" xfId="15806" xr:uid="{00000000-0005-0000-0000-0000BE3D0000}"/>
    <cellStyle name="Normal 2 2 2 2 4 7 3 6" xfId="15807" xr:uid="{00000000-0005-0000-0000-0000BF3D0000}"/>
    <cellStyle name="Normal 2 2 2 2 4 7 3 7" xfId="15808" xr:uid="{00000000-0005-0000-0000-0000C03D0000}"/>
    <cellStyle name="Normal 2 2 2 2 4 7 3 8" xfId="15809" xr:uid="{00000000-0005-0000-0000-0000C13D0000}"/>
    <cellStyle name="Normal 2 2 2 2 4 7 3 9" xfId="15810" xr:uid="{00000000-0005-0000-0000-0000C23D0000}"/>
    <cellStyle name="Normal 2 2 2 2 4 7 4" xfId="15811" xr:uid="{00000000-0005-0000-0000-0000C33D0000}"/>
    <cellStyle name="Normal 2 2 2 2 4 7 4 10" xfId="15812" xr:uid="{00000000-0005-0000-0000-0000C43D0000}"/>
    <cellStyle name="Normal 2 2 2 2 4 7 4 2" xfId="15813" xr:uid="{00000000-0005-0000-0000-0000C53D0000}"/>
    <cellStyle name="Normal 2 2 2 2 4 7 4 3" xfId="15814" xr:uid="{00000000-0005-0000-0000-0000C63D0000}"/>
    <cellStyle name="Normal 2 2 2 2 4 7 4 4" xfId="15815" xr:uid="{00000000-0005-0000-0000-0000C73D0000}"/>
    <cellStyle name="Normal 2 2 2 2 4 7 4 5" xfId="15816" xr:uid="{00000000-0005-0000-0000-0000C83D0000}"/>
    <cellStyle name="Normal 2 2 2 2 4 7 4 6" xfId="15817" xr:uid="{00000000-0005-0000-0000-0000C93D0000}"/>
    <cellStyle name="Normal 2 2 2 2 4 7 4 7" xfId="15818" xr:uid="{00000000-0005-0000-0000-0000CA3D0000}"/>
    <cellStyle name="Normal 2 2 2 2 4 7 4 8" xfId="15819" xr:uid="{00000000-0005-0000-0000-0000CB3D0000}"/>
    <cellStyle name="Normal 2 2 2 2 4 7 4 9" xfId="15820" xr:uid="{00000000-0005-0000-0000-0000CC3D0000}"/>
    <cellStyle name="Normal 2 2 2 2 4 7 5" xfId="15821" xr:uid="{00000000-0005-0000-0000-0000CD3D0000}"/>
    <cellStyle name="Normal 2 2 2 2 4 7 5 10" xfId="15822" xr:uid="{00000000-0005-0000-0000-0000CE3D0000}"/>
    <cellStyle name="Normal 2 2 2 2 4 7 5 2" xfId="15823" xr:uid="{00000000-0005-0000-0000-0000CF3D0000}"/>
    <cellStyle name="Normal 2 2 2 2 4 7 5 3" xfId="15824" xr:uid="{00000000-0005-0000-0000-0000D03D0000}"/>
    <cellStyle name="Normal 2 2 2 2 4 7 5 4" xfId="15825" xr:uid="{00000000-0005-0000-0000-0000D13D0000}"/>
    <cellStyle name="Normal 2 2 2 2 4 7 5 5" xfId="15826" xr:uid="{00000000-0005-0000-0000-0000D23D0000}"/>
    <cellStyle name="Normal 2 2 2 2 4 7 5 6" xfId="15827" xr:uid="{00000000-0005-0000-0000-0000D33D0000}"/>
    <cellStyle name="Normal 2 2 2 2 4 7 5 7" xfId="15828" xr:uid="{00000000-0005-0000-0000-0000D43D0000}"/>
    <cellStyle name="Normal 2 2 2 2 4 7 5 8" xfId="15829" xr:uid="{00000000-0005-0000-0000-0000D53D0000}"/>
    <cellStyle name="Normal 2 2 2 2 4 7 5 9" xfId="15830" xr:uid="{00000000-0005-0000-0000-0000D63D0000}"/>
    <cellStyle name="Normal 2 2 2 2 4 7 6" xfId="15831" xr:uid="{00000000-0005-0000-0000-0000D73D0000}"/>
    <cellStyle name="Normal 2 2 2 2 4 7 7" xfId="15832" xr:uid="{00000000-0005-0000-0000-0000D83D0000}"/>
    <cellStyle name="Normal 2 2 2 2 4 7 8" xfId="15833" xr:uid="{00000000-0005-0000-0000-0000D93D0000}"/>
    <cellStyle name="Normal 2 2 2 2 4 7 9" xfId="15834" xr:uid="{00000000-0005-0000-0000-0000DA3D0000}"/>
    <cellStyle name="Normal 2 2 2 2 4 8" xfId="15835" xr:uid="{00000000-0005-0000-0000-0000DB3D0000}"/>
    <cellStyle name="Normal 2 2 2 2 4 8 10" xfId="15836" xr:uid="{00000000-0005-0000-0000-0000DC3D0000}"/>
    <cellStyle name="Normal 2 2 2 2 4 8 11" xfId="15837" xr:uid="{00000000-0005-0000-0000-0000DD3D0000}"/>
    <cellStyle name="Normal 2 2 2 2 4 8 12" xfId="15838" xr:uid="{00000000-0005-0000-0000-0000DE3D0000}"/>
    <cellStyle name="Normal 2 2 2 2 4 8 13" xfId="15839" xr:uid="{00000000-0005-0000-0000-0000DF3D0000}"/>
    <cellStyle name="Normal 2 2 2 2 4 8 14" xfId="15840" xr:uid="{00000000-0005-0000-0000-0000E03D0000}"/>
    <cellStyle name="Normal 2 2 2 2 4 8 2" xfId="15841" xr:uid="{00000000-0005-0000-0000-0000E13D0000}"/>
    <cellStyle name="Normal 2 2 2 2 4 8 2 10" xfId="15842" xr:uid="{00000000-0005-0000-0000-0000E23D0000}"/>
    <cellStyle name="Normal 2 2 2 2 4 8 2 2" xfId="15843" xr:uid="{00000000-0005-0000-0000-0000E33D0000}"/>
    <cellStyle name="Normal 2 2 2 2 4 8 2 3" xfId="15844" xr:uid="{00000000-0005-0000-0000-0000E43D0000}"/>
    <cellStyle name="Normal 2 2 2 2 4 8 2 4" xfId="15845" xr:uid="{00000000-0005-0000-0000-0000E53D0000}"/>
    <cellStyle name="Normal 2 2 2 2 4 8 2 5" xfId="15846" xr:uid="{00000000-0005-0000-0000-0000E63D0000}"/>
    <cellStyle name="Normal 2 2 2 2 4 8 2 6" xfId="15847" xr:uid="{00000000-0005-0000-0000-0000E73D0000}"/>
    <cellStyle name="Normal 2 2 2 2 4 8 2 7" xfId="15848" xr:uid="{00000000-0005-0000-0000-0000E83D0000}"/>
    <cellStyle name="Normal 2 2 2 2 4 8 2 8" xfId="15849" xr:uid="{00000000-0005-0000-0000-0000E93D0000}"/>
    <cellStyle name="Normal 2 2 2 2 4 8 2 9" xfId="15850" xr:uid="{00000000-0005-0000-0000-0000EA3D0000}"/>
    <cellStyle name="Normal 2 2 2 2 4 8 3" xfId="15851" xr:uid="{00000000-0005-0000-0000-0000EB3D0000}"/>
    <cellStyle name="Normal 2 2 2 2 4 8 3 10" xfId="15852" xr:uid="{00000000-0005-0000-0000-0000EC3D0000}"/>
    <cellStyle name="Normal 2 2 2 2 4 8 3 2" xfId="15853" xr:uid="{00000000-0005-0000-0000-0000ED3D0000}"/>
    <cellStyle name="Normal 2 2 2 2 4 8 3 3" xfId="15854" xr:uid="{00000000-0005-0000-0000-0000EE3D0000}"/>
    <cellStyle name="Normal 2 2 2 2 4 8 3 4" xfId="15855" xr:uid="{00000000-0005-0000-0000-0000EF3D0000}"/>
    <cellStyle name="Normal 2 2 2 2 4 8 3 5" xfId="15856" xr:uid="{00000000-0005-0000-0000-0000F03D0000}"/>
    <cellStyle name="Normal 2 2 2 2 4 8 3 6" xfId="15857" xr:uid="{00000000-0005-0000-0000-0000F13D0000}"/>
    <cellStyle name="Normal 2 2 2 2 4 8 3 7" xfId="15858" xr:uid="{00000000-0005-0000-0000-0000F23D0000}"/>
    <cellStyle name="Normal 2 2 2 2 4 8 3 8" xfId="15859" xr:uid="{00000000-0005-0000-0000-0000F33D0000}"/>
    <cellStyle name="Normal 2 2 2 2 4 8 3 9" xfId="15860" xr:uid="{00000000-0005-0000-0000-0000F43D0000}"/>
    <cellStyle name="Normal 2 2 2 2 4 8 4" xfId="15861" xr:uid="{00000000-0005-0000-0000-0000F53D0000}"/>
    <cellStyle name="Normal 2 2 2 2 4 8 4 10" xfId="15862" xr:uid="{00000000-0005-0000-0000-0000F63D0000}"/>
    <cellStyle name="Normal 2 2 2 2 4 8 4 2" xfId="15863" xr:uid="{00000000-0005-0000-0000-0000F73D0000}"/>
    <cellStyle name="Normal 2 2 2 2 4 8 4 3" xfId="15864" xr:uid="{00000000-0005-0000-0000-0000F83D0000}"/>
    <cellStyle name="Normal 2 2 2 2 4 8 4 4" xfId="15865" xr:uid="{00000000-0005-0000-0000-0000F93D0000}"/>
    <cellStyle name="Normal 2 2 2 2 4 8 4 5" xfId="15866" xr:uid="{00000000-0005-0000-0000-0000FA3D0000}"/>
    <cellStyle name="Normal 2 2 2 2 4 8 4 6" xfId="15867" xr:uid="{00000000-0005-0000-0000-0000FB3D0000}"/>
    <cellStyle name="Normal 2 2 2 2 4 8 4 7" xfId="15868" xr:uid="{00000000-0005-0000-0000-0000FC3D0000}"/>
    <cellStyle name="Normal 2 2 2 2 4 8 4 8" xfId="15869" xr:uid="{00000000-0005-0000-0000-0000FD3D0000}"/>
    <cellStyle name="Normal 2 2 2 2 4 8 4 9" xfId="15870" xr:uid="{00000000-0005-0000-0000-0000FE3D0000}"/>
    <cellStyle name="Normal 2 2 2 2 4 8 5" xfId="15871" xr:uid="{00000000-0005-0000-0000-0000FF3D0000}"/>
    <cellStyle name="Normal 2 2 2 2 4 8 5 10" xfId="15872" xr:uid="{00000000-0005-0000-0000-0000003E0000}"/>
    <cellStyle name="Normal 2 2 2 2 4 8 5 2" xfId="15873" xr:uid="{00000000-0005-0000-0000-0000013E0000}"/>
    <cellStyle name="Normal 2 2 2 2 4 8 5 3" xfId="15874" xr:uid="{00000000-0005-0000-0000-0000023E0000}"/>
    <cellStyle name="Normal 2 2 2 2 4 8 5 4" xfId="15875" xr:uid="{00000000-0005-0000-0000-0000033E0000}"/>
    <cellStyle name="Normal 2 2 2 2 4 8 5 5" xfId="15876" xr:uid="{00000000-0005-0000-0000-0000043E0000}"/>
    <cellStyle name="Normal 2 2 2 2 4 8 5 6" xfId="15877" xr:uid="{00000000-0005-0000-0000-0000053E0000}"/>
    <cellStyle name="Normal 2 2 2 2 4 8 5 7" xfId="15878" xr:uid="{00000000-0005-0000-0000-0000063E0000}"/>
    <cellStyle name="Normal 2 2 2 2 4 8 5 8" xfId="15879" xr:uid="{00000000-0005-0000-0000-0000073E0000}"/>
    <cellStyle name="Normal 2 2 2 2 4 8 5 9" xfId="15880" xr:uid="{00000000-0005-0000-0000-0000083E0000}"/>
    <cellStyle name="Normal 2 2 2 2 4 8 6" xfId="15881" xr:uid="{00000000-0005-0000-0000-0000093E0000}"/>
    <cellStyle name="Normal 2 2 2 2 4 8 7" xfId="15882" xr:uid="{00000000-0005-0000-0000-00000A3E0000}"/>
    <cellStyle name="Normal 2 2 2 2 4 8 8" xfId="15883" xr:uid="{00000000-0005-0000-0000-00000B3E0000}"/>
    <cellStyle name="Normal 2 2 2 2 4 8 9" xfId="15884" xr:uid="{00000000-0005-0000-0000-00000C3E0000}"/>
    <cellStyle name="Normal 2 2 2 2 4 9" xfId="15885" xr:uid="{00000000-0005-0000-0000-00000D3E0000}"/>
    <cellStyle name="Normal 2 2 2 2 4 9 10" xfId="15886" xr:uid="{00000000-0005-0000-0000-00000E3E0000}"/>
    <cellStyle name="Normal 2 2 2 2 4 9 11" xfId="15887" xr:uid="{00000000-0005-0000-0000-00000F3E0000}"/>
    <cellStyle name="Normal 2 2 2 2 4 9 12" xfId="15888" xr:uid="{00000000-0005-0000-0000-0000103E0000}"/>
    <cellStyle name="Normal 2 2 2 2 4 9 13" xfId="15889" xr:uid="{00000000-0005-0000-0000-0000113E0000}"/>
    <cellStyle name="Normal 2 2 2 2 4 9 14" xfId="15890" xr:uid="{00000000-0005-0000-0000-0000123E0000}"/>
    <cellStyle name="Normal 2 2 2 2 4 9 2" xfId="15891" xr:uid="{00000000-0005-0000-0000-0000133E0000}"/>
    <cellStyle name="Normal 2 2 2 2 4 9 2 10" xfId="15892" xr:uid="{00000000-0005-0000-0000-0000143E0000}"/>
    <cellStyle name="Normal 2 2 2 2 4 9 2 2" xfId="15893" xr:uid="{00000000-0005-0000-0000-0000153E0000}"/>
    <cellStyle name="Normal 2 2 2 2 4 9 2 3" xfId="15894" xr:uid="{00000000-0005-0000-0000-0000163E0000}"/>
    <cellStyle name="Normal 2 2 2 2 4 9 2 4" xfId="15895" xr:uid="{00000000-0005-0000-0000-0000173E0000}"/>
    <cellStyle name="Normal 2 2 2 2 4 9 2 5" xfId="15896" xr:uid="{00000000-0005-0000-0000-0000183E0000}"/>
    <cellStyle name="Normal 2 2 2 2 4 9 2 6" xfId="15897" xr:uid="{00000000-0005-0000-0000-0000193E0000}"/>
    <cellStyle name="Normal 2 2 2 2 4 9 2 7" xfId="15898" xr:uid="{00000000-0005-0000-0000-00001A3E0000}"/>
    <cellStyle name="Normal 2 2 2 2 4 9 2 8" xfId="15899" xr:uid="{00000000-0005-0000-0000-00001B3E0000}"/>
    <cellStyle name="Normal 2 2 2 2 4 9 2 9" xfId="15900" xr:uid="{00000000-0005-0000-0000-00001C3E0000}"/>
    <cellStyle name="Normal 2 2 2 2 4 9 3" xfId="15901" xr:uid="{00000000-0005-0000-0000-00001D3E0000}"/>
    <cellStyle name="Normal 2 2 2 2 4 9 3 10" xfId="15902" xr:uid="{00000000-0005-0000-0000-00001E3E0000}"/>
    <cellStyle name="Normal 2 2 2 2 4 9 3 2" xfId="15903" xr:uid="{00000000-0005-0000-0000-00001F3E0000}"/>
    <cellStyle name="Normal 2 2 2 2 4 9 3 3" xfId="15904" xr:uid="{00000000-0005-0000-0000-0000203E0000}"/>
    <cellStyle name="Normal 2 2 2 2 4 9 3 4" xfId="15905" xr:uid="{00000000-0005-0000-0000-0000213E0000}"/>
    <cellStyle name="Normal 2 2 2 2 4 9 3 5" xfId="15906" xr:uid="{00000000-0005-0000-0000-0000223E0000}"/>
    <cellStyle name="Normal 2 2 2 2 4 9 3 6" xfId="15907" xr:uid="{00000000-0005-0000-0000-0000233E0000}"/>
    <cellStyle name="Normal 2 2 2 2 4 9 3 7" xfId="15908" xr:uid="{00000000-0005-0000-0000-0000243E0000}"/>
    <cellStyle name="Normal 2 2 2 2 4 9 3 8" xfId="15909" xr:uid="{00000000-0005-0000-0000-0000253E0000}"/>
    <cellStyle name="Normal 2 2 2 2 4 9 3 9" xfId="15910" xr:uid="{00000000-0005-0000-0000-0000263E0000}"/>
    <cellStyle name="Normal 2 2 2 2 4 9 4" xfId="15911" xr:uid="{00000000-0005-0000-0000-0000273E0000}"/>
    <cellStyle name="Normal 2 2 2 2 4 9 4 10" xfId="15912" xr:uid="{00000000-0005-0000-0000-0000283E0000}"/>
    <cellStyle name="Normal 2 2 2 2 4 9 4 2" xfId="15913" xr:uid="{00000000-0005-0000-0000-0000293E0000}"/>
    <cellStyle name="Normal 2 2 2 2 4 9 4 3" xfId="15914" xr:uid="{00000000-0005-0000-0000-00002A3E0000}"/>
    <cellStyle name="Normal 2 2 2 2 4 9 4 4" xfId="15915" xr:uid="{00000000-0005-0000-0000-00002B3E0000}"/>
    <cellStyle name="Normal 2 2 2 2 4 9 4 5" xfId="15916" xr:uid="{00000000-0005-0000-0000-00002C3E0000}"/>
    <cellStyle name="Normal 2 2 2 2 4 9 4 6" xfId="15917" xr:uid="{00000000-0005-0000-0000-00002D3E0000}"/>
    <cellStyle name="Normal 2 2 2 2 4 9 4 7" xfId="15918" xr:uid="{00000000-0005-0000-0000-00002E3E0000}"/>
    <cellStyle name="Normal 2 2 2 2 4 9 4 8" xfId="15919" xr:uid="{00000000-0005-0000-0000-00002F3E0000}"/>
    <cellStyle name="Normal 2 2 2 2 4 9 4 9" xfId="15920" xr:uid="{00000000-0005-0000-0000-0000303E0000}"/>
    <cellStyle name="Normal 2 2 2 2 4 9 5" xfId="15921" xr:uid="{00000000-0005-0000-0000-0000313E0000}"/>
    <cellStyle name="Normal 2 2 2 2 4 9 5 10" xfId="15922" xr:uid="{00000000-0005-0000-0000-0000323E0000}"/>
    <cellStyle name="Normal 2 2 2 2 4 9 5 2" xfId="15923" xr:uid="{00000000-0005-0000-0000-0000333E0000}"/>
    <cellStyle name="Normal 2 2 2 2 4 9 5 3" xfId="15924" xr:uid="{00000000-0005-0000-0000-0000343E0000}"/>
    <cellStyle name="Normal 2 2 2 2 4 9 5 4" xfId="15925" xr:uid="{00000000-0005-0000-0000-0000353E0000}"/>
    <cellStyle name="Normal 2 2 2 2 4 9 5 5" xfId="15926" xr:uid="{00000000-0005-0000-0000-0000363E0000}"/>
    <cellStyle name="Normal 2 2 2 2 4 9 5 6" xfId="15927" xr:uid="{00000000-0005-0000-0000-0000373E0000}"/>
    <cellStyle name="Normal 2 2 2 2 4 9 5 7" xfId="15928" xr:uid="{00000000-0005-0000-0000-0000383E0000}"/>
    <cellStyle name="Normal 2 2 2 2 4 9 5 8" xfId="15929" xr:uid="{00000000-0005-0000-0000-0000393E0000}"/>
    <cellStyle name="Normal 2 2 2 2 4 9 5 9" xfId="15930" xr:uid="{00000000-0005-0000-0000-00003A3E0000}"/>
    <cellStyle name="Normal 2 2 2 2 4 9 6" xfId="15931" xr:uid="{00000000-0005-0000-0000-00003B3E0000}"/>
    <cellStyle name="Normal 2 2 2 2 4 9 7" xfId="15932" xr:uid="{00000000-0005-0000-0000-00003C3E0000}"/>
    <cellStyle name="Normal 2 2 2 2 4 9 8" xfId="15933" xr:uid="{00000000-0005-0000-0000-00003D3E0000}"/>
    <cellStyle name="Normal 2 2 2 2 4 9 9" xfId="15934" xr:uid="{00000000-0005-0000-0000-00003E3E0000}"/>
    <cellStyle name="Normal 2 2 2 2 40" xfId="15935" xr:uid="{00000000-0005-0000-0000-00003F3E0000}"/>
    <cellStyle name="Normal 2 2 2 2 40 10" xfId="15936" xr:uid="{00000000-0005-0000-0000-0000403E0000}"/>
    <cellStyle name="Normal 2 2 2 2 40 2" xfId="15937" xr:uid="{00000000-0005-0000-0000-0000413E0000}"/>
    <cellStyle name="Normal 2 2 2 2 40 3" xfId="15938" xr:uid="{00000000-0005-0000-0000-0000423E0000}"/>
    <cellStyle name="Normal 2 2 2 2 40 4" xfId="15939" xr:uid="{00000000-0005-0000-0000-0000433E0000}"/>
    <cellStyle name="Normal 2 2 2 2 40 5" xfId="15940" xr:uid="{00000000-0005-0000-0000-0000443E0000}"/>
    <cellStyle name="Normal 2 2 2 2 40 6" xfId="15941" xr:uid="{00000000-0005-0000-0000-0000453E0000}"/>
    <cellStyle name="Normal 2 2 2 2 40 7" xfId="15942" xr:uid="{00000000-0005-0000-0000-0000463E0000}"/>
    <cellStyle name="Normal 2 2 2 2 40 8" xfId="15943" xr:uid="{00000000-0005-0000-0000-0000473E0000}"/>
    <cellStyle name="Normal 2 2 2 2 40 9" xfId="15944" xr:uid="{00000000-0005-0000-0000-0000483E0000}"/>
    <cellStyle name="Normal 2 2 2 2 41" xfId="15945" xr:uid="{00000000-0005-0000-0000-0000493E0000}"/>
    <cellStyle name="Normal 2 2 2 2 42" xfId="15946" xr:uid="{00000000-0005-0000-0000-00004A3E0000}"/>
    <cellStyle name="Normal 2 2 2 2 43" xfId="15947" xr:uid="{00000000-0005-0000-0000-00004B3E0000}"/>
    <cellStyle name="Normal 2 2 2 2 44" xfId="15948" xr:uid="{00000000-0005-0000-0000-00004C3E0000}"/>
    <cellStyle name="Normal 2 2 2 2 45" xfId="15949" xr:uid="{00000000-0005-0000-0000-00004D3E0000}"/>
    <cellStyle name="Normal 2 2 2 2 46" xfId="15950" xr:uid="{00000000-0005-0000-0000-00004E3E0000}"/>
    <cellStyle name="Normal 2 2 2 2 47" xfId="15951" xr:uid="{00000000-0005-0000-0000-00004F3E0000}"/>
    <cellStyle name="Normal 2 2 2 2 48" xfId="15952" xr:uid="{00000000-0005-0000-0000-0000503E0000}"/>
    <cellStyle name="Normal 2 2 2 2 49" xfId="15953" xr:uid="{00000000-0005-0000-0000-0000513E0000}"/>
    <cellStyle name="Normal 2 2 2 2 5" xfId="15954" xr:uid="{00000000-0005-0000-0000-0000523E0000}"/>
    <cellStyle name="Normal 2 2 2 2 5 10" xfId="15955" xr:uid="{00000000-0005-0000-0000-0000533E0000}"/>
    <cellStyle name="Normal 2 2 2 2 5 10 10" xfId="15956" xr:uid="{00000000-0005-0000-0000-0000543E0000}"/>
    <cellStyle name="Normal 2 2 2 2 5 10 11" xfId="15957" xr:uid="{00000000-0005-0000-0000-0000553E0000}"/>
    <cellStyle name="Normal 2 2 2 2 5 10 12" xfId="15958" xr:uid="{00000000-0005-0000-0000-0000563E0000}"/>
    <cellStyle name="Normal 2 2 2 2 5 10 13" xfId="15959" xr:uid="{00000000-0005-0000-0000-0000573E0000}"/>
    <cellStyle name="Normal 2 2 2 2 5 10 14" xfId="15960" xr:uid="{00000000-0005-0000-0000-0000583E0000}"/>
    <cellStyle name="Normal 2 2 2 2 5 10 2" xfId="15961" xr:uid="{00000000-0005-0000-0000-0000593E0000}"/>
    <cellStyle name="Normal 2 2 2 2 5 10 2 10" xfId="15962" xr:uid="{00000000-0005-0000-0000-00005A3E0000}"/>
    <cellStyle name="Normal 2 2 2 2 5 10 2 2" xfId="15963" xr:uid="{00000000-0005-0000-0000-00005B3E0000}"/>
    <cellStyle name="Normal 2 2 2 2 5 10 2 3" xfId="15964" xr:uid="{00000000-0005-0000-0000-00005C3E0000}"/>
    <cellStyle name="Normal 2 2 2 2 5 10 2 4" xfId="15965" xr:uid="{00000000-0005-0000-0000-00005D3E0000}"/>
    <cellStyle name="Normal 2 2 2 2 5 10 2 5" xfId="15966" xr:uid="{00000000-0005-0000-0000-00005E3E0000}"/>
    <cellStyle name="Normal 2 2 2 2 5 10 2 6" xfId="15967" xr:uid="{00000000-0005-0000-0000-00005F3E0000}"/>
    <cellStyle name="Normal 2 2 2 2 5 10 2 7" xfId="15968" xr:uid="{00000000-0005-0000-0000-0000603E0000}"/>
    <cellStyle name="Normal 2 2 2 2 5 10 2 8" xfId="15969" xr:uid="{00000000-0005-0000-0000-0000613E0000}"/>
    <cellStyle name="Normal 2 2 2 2 5 10 2 9" xfId="15970" xr:uid="{00000000-0005-0000-0000-0000623E0000}"/>
    <cellStyle name="Normal 2 2 2 2 5 10 3" xfId="15971" xr:uid="{00000000-0005-0000-0000-0000633E0000}"/>
    <cellStyle name="Normal 2 2 2 2 5 10 3 10" xfId="15972" xr:uid="{00000000-0005-0000-0000-0000643E0000}"/>
    <cellStyle name="Normal 2 2 2 2 5 10 3 2" xfId="15973" xr:uid="{00000000-0005-0000-0000-0000653E0000}"/>
    <cellStyle name="Normal 2 2 2 2 5 10 3 3" xfId="15974" xr:uid="{00000000-0005-0000-0000-0000663E0000}"/>
    <cellStyle name="Normal 2 2 2 2 5 10 3 4" xfId="15975" xr:uid="{00000000-0005-0000-0000-0000673E0000}"/>
    <cellStyle name="Normal 2 2 2 2 5 10 3 5" xfId="15976" xr:uid="{00000000-0005-0000-0000-0000683E0000}"/>
    <cellStyle name="Normal 2 2 2 2 5 10 3 6" xfId="15977" xr:uid="{00000000-0005-0000-0000-0000693E0000}"/>
    <cellStyle name="Normal 2 2 2 2 5 10 3 7" xfId="15978" xr:uid="{00000000-0005-0000-0000-00006A3E0000}"/>
    <cellStyle name="Normal 2 2 2 2 5 10 3 8" xfId="15979" xr:uid="{00000000-0005-0000-0000-00006B3E0000}"/>
    <cellStyle name="Normal 2 2 2 2 5 10 3 9" xfId="15980" xr:uid="{00000000-0005-0000-0000-00006C3E0000}"/>
    <cellStyle name="Normal 2 2 2 2 5 10 4" xfId="15981" xr:uid="{00000000-0005-0000-0000-00006D3E0000}"/>
    <cellStyle name="Normal 2 2 2 2 5 10 4 10" xfId="15982" xr:uid="{00000000-0005-0000-0000-00006E3E0000}"/>
    <cellStyle name="Normal 2 2 2 2 5 10 4 2" xfId="15983" xr:uid="{00000000-0005-0000-0000-00006F3E0000}"/>
    <cellStyle name="Normal 2 2 2 2 5 10 4 3" xfId="15984" xr:uid="{00000000-0005-0000-0000-0000703E0000}"/>
    <cellStyle name="Normal 2 2 2 2 5 10 4 4" xfId="15985" xr:uid="{00000000-0005-0000-0000-0000713E0000}"/>
    <cellStyle name="Normal 2 2 2 2 5 10 4 5" xfId="15986" xr:uid="{00000000-0005-0000-0000-0000723E0000}"/>
    <cellStyle name="Normal 2 2 2 2 5 10 4 6" xfId="15987" xr:uid="{00000000-0005-0000-0000-0000733E0000}"/>
    <cellStyle name="Normal 2 2 2 2 5 10 4 7" xfId="15988" xr:uid="{00000000-0005-0000-0000-0000743E0000}"/>
    <cellStyle name="Normal 2 2 2 2 5 10 4 8" xfId="15989" xr:uid="{00000000-0005-0000-0000-0000753E0000}"/>
    <cellStyle name="Normal 2 2 2 2 5 10 4 9" xfId="15990" xr:uid="{00000000-0005-0000-0000-0000763E0000}"/>
    <cellStyle name="Normal 2 2 2 2 5 10 5" xfId="15991" xr:uid="{00000000-0005-0000-0000-0000773E0000}"/>
    <cellStyle name="Normal 2 2 2 2 5 10 5 10" xfId="15992" xr:uid="{00000000-0005-0000-0000-0000783E0000}"/>
    <cellStyle name="Normal 2 2 2 2 5 10 5 2" xfId="15993" xr:uid="{00000000-0005-0000-0000-0000793E0000}"/>
    <cellStyle name="Normal 2 2 2 2 5 10 5 3" xfId="15994" xr:uid="{00000000-0005-0000-0000-00007A3E0000}"/>
    <cellStyle name="Normal 2 2 2 2 5 10 5 4" xfId="15995" xr:uid="{00000000-0005-0000-0000-00007B3E0000}"/>
    <cellStyle name="Normal 2 2 2 2 5 10 5 5" xfId="15996" xr:uid="{00000000-0005-0000-0000-00007C3E0000}"/>
    <cellStyle name="Normal 2 2 2 2 5 10 5 6" xfId="15997" xr:uid="{00000000-0005-0000-0000-00007D3E0000}"/>
    <cellStyle name="Normal 2 2 2 2 5 10 5 7" xfId="15998" xr:uid="{00000000-0005-0000-0000-00007E3E0000}"/>
    <cellStyle name="Normal 2 2 2 2 5 10 5 8" xfId="15999" xr:uid="{00000000-0005-0000-0000-00007F3E0000}"/>
    <cellStyle name="Normal 2 2 2 2 5 10 5 9" xfId="16000" xr:uid="{00000000-0005-0000-0000-0000803E0000}"/>
    <cellStyle name="Normal 2 2 2 2 5 10 6" xfId="16001" xr:uid="{00000000-0005-0000-0000-0000813E0000}"/>
    <cellStyle name="Normal 2 2 2 2 5 10 7" xfId="16002" xr:uid="{00000000-0005-0000-0000-0000823E0000}"/>
    <cellStyle name="Normal 2 2 2 2 5 10 8" xfId="16003" xr:uid="{00000000-0005-0000-0000-0000833E0000}"/>
    <cellStyle name="Normal 2 2 2 2 5 10 9" xfId="16004" xr:uid="{00000000-0005-0000-0000-0000843E0000}"/>
    <cellStyle name="Normal 2 2 2 2 5 11" xfId="16005" xr:uid="{00000000-0005-0000-0000-0000853E0000}"/>
    <cellStyle name="Normal 2 2 2 2 5 11 10" xfId="16006" xr:uid="{00000000-0005-0000-0000-0000863E0000}"/>
    <cellStyle name="Normal 2 2 2 2 5 11 11" xfId="16007" xr:uid="{00000000-0005-0000-0000-0000873E0000}"/>
    <cellStyle name="Normal 2 2 2 2 5 11 12" xfId="16008" xr:uid="{00000000-0005-0000-0000-0000883E0000}"/>
    <cellStyle name="Normal 2 2 2 2 5 11 13" xfId="16009" xr:uid="{00000000-0005-0000-0000-0000893E0000}"/>
    <cellStyle name="Normal 2 2 2 2 5 11 14" xfId="16010" xr:uid="{00000000-0005-0000-0000-00008A3E0000}"/>
    <cellStyle name="Normal 2 2 2 2 5 11 2" xfId="16011" xr:uid="{00000000-0005-0000-0000-00008B3E0000}"/>
    <cellStyle name="Normal 2 2 2 2 5 11 2 10" xfId="16012" xr:uid="{00000000-0005-0000-0000-00008C3E0000}"/>
    <cellStyle name="Normal 2 2 2 2 5 11 2 2" xfId="16013" xr:uid="{00000000-0005-0000-0000-00008D3E0000}"/>
    <cellStyle name="Normal 2 2 2 2 5 11 2 3" xfId="16014" xr:uid="{00000000-0005-0000-0000-00008E3E0000}"/>
    <cellStyle name="Normal 2 2 2 2 5 11 2 4" xfId="16015" xr:uid="{00000000-0005-0000-0000-00008F3E0000}"/>
    <cellStyle name="Normal 2 2 2 2 5 11 2 5" xfId="16016" xr:uid="{00000000-0005-0000-0000-0000903E0000}"/>
    <cellStyle name="Normal 2 2 2 2 5 11 2 6" xfId="16017" xr:uid="{00000000-0005-0000-0000-0000913E0000}"/>
    <cellStyle name="Normal 2 2 2 2 5 11 2 7" xfId="16018" xr:uid="{00000000-0005-0000-0000-0000923E0000}"/>
    <cellStyle name="Normal 2 2 2 2 5 11 2 8" xfId="16019" xr:uid="{00000000-0005-0000-0000-0000933E0000}"/>
    <cellStyle name="Normal 2 2 2 2 5 11 2 9" xfId="16020" xr:uid="{00000000-0005-0000-0000-0000943E0000}"/>
    <cellStyle name="Normal 2 2 2 2 5 11 3" xfId="16021" xr:uid="{00000000-0005-0000-0000-0000953E0000}"/>
    <cellStyle name="Normal 2 2 2 2 5 11 3 10" xfId="16022" xr:uid="{00000000-0005-0000-0000-0000963E0000}"/>
    <cellStyle name="Normal 2 2 2 2 5 11 3 2" xfId="16023" xr:uid="{00000000-0005-0000-0000-0000973E0000}"/>
    <cellStyle name="Normal 2 2 2 2 5 11 3 3" xfId="16024" xr:uid="{00000000-0005-0000-0000-0000983E0000}"/>
    <cellStyle name="Normal 2 2 2 2 5 11 3 4" xfId="16025" xr:uid="{00000000-0005-0000-0000-0000993E0000}"/>
    <cellStyle name="Normal 2 2 2 2 5 11 3 5" xfId="16026" xr:uid="{00000000-0005-0000-0000-00009A3E0000}"/>
    <cellStyle name="Normal 2 2 2 2 5 11 3 6" xfId="16027" xr:uid="{00000000-0005-0000-0000-00009B3E0000}"/>
    <cellStyle name="Normal 2 2 2 2 5 11 3 7" xfId="16028" xr:uid="{00000000-0005-0000-0000-00009C3E0000}"/>
    <cellStyle name="Normal 2 2 2 2 5 11 3 8" xfId="16029" xr:uid="{00000000-0005-0000-0000-00009D3E0000}"/>
    <cellStyle name="Normal 2 2 2 2 5 11 3 9" xfId="16030" xr:uid="{00000000-0005-0000-0000-00009E3E0000}"/>
    <cellStyle name="Normal 2 2 2 2 5 11 4" xfId="16031" xr:uid="{00000000-0005-0000-0000-00009F3E0000}"/>
    <cellStyle name="Normal 2 2 2 2 5 11 4 10" xfId="16032" xr:uid="{00000000-0005-0000-0000-0000A03E0000}"/>
    <cellStyle name="Normal 2 2 2 2 5 11 4 2" xfId="16033" xr:uid="{00000000-0005-0000-0000-0000A13E0000}"/>
    <cellStyle name="Normal 2 2 2 2 5 11 4 3" xfId="16034" xr:uid="{00000000-0005-0000-0000-0000A23E0000}"/>
    <cellStyle name="Normal 2 2 2 2 5 11 4 4" xfId="16035" xr:uid="{00000000-0005-0000-0000-0000A33E0000}"/>
    <cellStyle name="Normal 2 2 2 2 5 11 4 5" xfId="16036" xr:uid="{00000000-0005-0000-0000-0000A43E0000}"/>
    <cellStyle name="Normal 2 2 2 2 5 11 4 6" xfId="16037" xr:uid="{00000000-0005-0000-0000-0000A53E0000}"/>
    <cellStyle name="Normal 2 2 2 2 5 11 4 7" xfId="16038" xr:uid="{00000000-0005-0000-0000-0000A63E0000}"/>
    <cellStyle name="Normal 2 2 2 2 5 11 4 8" xfId="16039" xr:uid="{00000000-0005-0000-0000-0000A73E0000}"/>
    <cellStyle name="Normal 2 2 2 2 5 11 4 9" xfId="16040" xr:uid="{00000000-0005-0000-0000-0000A83E0000}"/>
    <cellStyle name="Normal 2 2 2 2 5 11 5" xfId="16041" xr:uid="{00000000-0005-0000-0000-0000A93E0000}"/>
    <cellStyle name="Normal 2 2 2 2 5 11 5 10" xfId="16042" xr:uid="{00000000-0005-0000-0000-0000AA3E0000}"/>
    <cellStyle name="Normal 2 2 2 2 5 11 5 2" xfId="16043" xr:uid="{00000000-0005-0000-0000-0000AB3E0000}"/>
    <cellStyle name="Normal 2 2 2 2 5 11 5 3" xfId="16044" xr:uid="{00000000-0005-0000-0000-0000AC3E0000}"/>
    <cellStyle name="Normal 2 2 2 2 5 11 5 4" xfId="16045" xr:uid="{00000000-0005-0000-0000-0000AD3E0000}"/>
    <cellStyle name="Normal 2 2 2 2 5 11 5 5" xfId="16046" xr:uid="{00000000-0005-0000-0000-0000AE3E0000}"/>
    <cellStyle name="Normal 2 2 2 2 5 11 5 6" xfId="16047" xr:uid="{00000000-0005-0000-0000-0000AF3E0000}"/>
    <cellStyle name="Normal 2 2 2 2 5 11 5 7" xfId="16048" xr:uid="{00000000-0005-0000-0000-0000B03E0000}"/>
    <cellStyle name="Normal 2 2 2 2 5 11 5 8" xfId="16049" xr:uid="{00000000-0005-0000-0000-0000B13E0000}"/>
    <cellStyle name="Normal 2 2 2 2 5 11 5 9" xfId="16050" xr:uid="{00000000-0005-0000-0000-0000B23E0000}"/>
    <cellStyle name="Normal 2 2 2 2 5 11 6" xfId="16051" xr:uid="{00000000-0005-0000-0000-0000B33E0000}"/>
    <cellStyle name="Normal 2 2 2 2 5 11 7" xfId="16052" xr:uid="{00000000-0005-0000-0000-0000B43E0000}"/>
    <cellStyle name="Normal 2 2 2 2 5 11 8" xfId="16053" xr:uid="{00000000-0005-0000-0000-0000B53E0000}"/>
    <cellStyle name="Normal 2 2 2 2 5 11 9" xfId="16054" xr:uid="{00000000-0005-0000-0000-0000B63E0000}"/>
    <cellStyle name="Normal 2 2 2 2 5 12" xfId="16055" xr:uid="{00000000-0005-0000-0000-0000B73E0000}"/>
    <cellStyle name="Normal 2 2 2 2 5 12 10" xfId="16056" xr:uid="{00000000-0005-0000-0000-0000B83E0000}"/>
    <cellStyle name="Normal 2 2 2 2 5 12 11" xfId="16057" xr:uid="{00000000-0005-0000-0000-0000B93E0000}"/>
    <cellStyle name="Normal 2 2 2 2 5 12 12" xfId="16058" xr:uid="{00000000-0005-0000-0000-0000BA3E0000}"/>
    <cellStyle name="Normal 2 2 2 2 5 12 13" xfId="16059" xr:uid="{00000000-0005-0000-0000-0000BB3E0000}"/>
    <cellStyle name="Normal 2 2 2 2 5 12 14" xfId="16060" xr:uid="{00000000-0005-0000-0000-0000BC3E0000}"/>
    <cellStyle name="Normal 2 2 2 2 5 12 2" xfId="16061" xr:uid="{00000000-0005-0000-0000-0000BD3E0000}"/>
    <cellStyle name="Normal 2 2 2 2 5 12 2 10" xfId="16062" xr:uid="{00000000-0005-0000-0000-0000BE3E0000}"/>
    <cellStyle name="Normal 2 2 2 2 5 12 2 2" xfId="16063" xr:uid="{00000000-0005-0000-0000-0000BF3E0000}"/>
    <cellStyle name="Normal 2 2 2 2 5 12 2 3" xfId="16064" xr:uid="{00000000-0005-0000-0000-0000C03E0000}"/>
    <cellStyle name="Normal 2 2 2 2 5 12 2 4" xfId="16065" xr:uid="{00000000-0005-0000-0000-0000C13E0000}"/>
    <cellStyle name="Normal 2 2 2 2 5 12 2 5" xfId="16066" xr:uid="{00000000-0005-0000-0000-0000C23E0000}"/>
    <cellStyle name="Normal 2 2 2 2 5 12 2 6" xfId="16067" xr:uid="{00000000-0005-0000-0000-0000C33E0000}"/>
    <cellStyle name="Normal 2 2 2 2 5 12 2 7" xfId="16068" xr:uid="{00000000-0005-0000-0000-0000C43E0000}"/>
    <cellStyle name="Normal 2 2 2 2 5 12 2 8" xfId="16069" xr:uid="{00000000-0005-0000-0000-0000C53E0000}"/>
    <cellStyle name="Normal 2 2 2 2 5 12 2 9" xfId="16070" xr:uid="{00000000-0005-0000-0000-0000C63E0000}"/>
    <cellStyle name="Normal 2 2 2 2 5 12 3" xfId="16071" xr:uid="{00000000-0005-0000-0000-0000C73E0000}"/>
    <cellStyle name="Normal 2 2 2 2 5 12 3 10" xfId="16072" xr:uid="{00000000-0005-0000-0000-0000C83E0000}"/>
    <cellStyle name="Normal 2 2 2 2 5 12 3 2" xfId="16073" xr:uid="{00000000-0005-0000-0000-0000C93E0000}"/>
    <cellStyle name="Normal 2 2 2 2 5 12 3 3" xfId="16074" xr:uid="{00000000-0005-0000-0000-0000CA3E0000}"/>
    <cellStyle name="Normal 2 2 2 2 5 12 3 4" xfId="16075" xr:uid="{00000000-0005-0000-0000-0000CB3E0000}"/>
    <cellStyle name="Normal 2 2 2 2 5 12 3 5" xfId="16076" xr:uid="{00000000-0005-0000-0000-0000CC3E0000}"/>
    <cellStyle name="Normal 2 2 2 2 5 12 3 6" xfId="16077" xr:uid="{00000000-0005-0000-0000-0000CD3E0000}"/>
    <cellStyle name="Normal 2 2 2 2 5 12 3 7" xfId="16078" xr:uid="{00000000-0005-0000-0000-0000CE3E0000}"/>
    <cellStyle name="Normal 2 2 2 2 5 12 3 8" xfId="16079" xr:uid="{00000000-0005-0000-0000-0000CF3E0000}"/>
    <cellStyle name="Normal 2 2 2 2 5 12 3 9" xfId="16080" xr:uid="{00000000-0005-0000-0000-0000D03E0000}"/>
    <cellStyle name="Normal 2 2 2 2 5 12 4" xfId="16081" xr:uid="{00000000-0005-0000-0000-0000D13E0000}"/>
    <cellStyle name="Normal 2 2 2 2 5 12 4 10" xfId="16082" xr:uid="{00000000-0005-0000-0000-0000D23E0000}"/>
    <cellStyle name="Normal 2 2 2 2 5 12 4 2" xfId="16083" xr:uid="{00000000-0005-0000-0000-0000D33E0000}"/>
    <cellStyle name="Normal 2 2 2 2 5 12 4 3" xfId="16084" xr:uid="{00000000-0005-0000-0000-0000D43E0000}"/>
    <cellStyle name="Normal 2 2 2 2 5 12 4 4" xfId="16085" xr:uid="{00000000-0005-0000-0000-0000D53E0000}"/>
    <cellStyle name="Normal 2 2 2 2 5 12 4 5" xfId="16086" xr:uid="{00000000-0005-0000-0000-0000D63E0000}"/>
    <cellStyle name="Normal 2 2 2 2 5 12 4 6" xfId="16087" xr:uid="{00000000-0005-0000-0000-0000D73E0000}"/>
    <cellStyle name="Normal 2 2 2 2 5 12 4 7" xfId="16088" xr:uid="{00000000-0005-0000-0000-0000D83E0000}"/>
    <cellStyle name="Normal 2 2 2 2 5 12 4 8" xfId="16089" xr:uid="{00000000-0005-0000-0000-0000D93E0000}"/>
    <cellStyle name="Normal 2 2 2 2 5 12 4 9" xfId="16090" xr:uid="{00000000-0005-0000-0000-0000DA3E0000}"/>
    <cellStyle name="Normal 2 2 2 2 5 12 5" xfId="16091" xr:uid="{00000000-0005-0000-0000-0000DB3E0000}"/>
    <cellStyle name="Normal 2 2 2 2 5 12 5 10" xfId="16092" xr:uid="{00000000-0005-0000-0000-0000DC3E0000}"/>
    <cellStyle name="Normal 2 2 2 2 5 12 5 2" xfId="16093" xr:uid="{00000000-0005-0000-0000-0000DD3E0000}"/>
    <cellStyle name="Normal 2 2 2 2 5 12 5 3" xfId="16094" xr:uid="{00000000-0005-0000-0000-0000DE3E0000}"/>
    <cellStyle name="Normal 2 2 2 2 5 12 5 4" xfId="16095" xr:uid="{00000000-0005-0000-0000-0000DF3E0000}"/>
    <cellStyle name="Normal 2 2 2 2 5 12 5 5" xfId="16096" xr:uid="{00000000-0005-0000-0000-0000E03E0000}"/>
    <cellStyle name="Normal 2 2 2 2 5 12 5 6" xfId="16097" xr:uid="{00000000-0005-0000-0000-0000E13E0000}"/>
    <cellStyle name="Normal 2 2 2 2 5 12 5 7" xfId="16098" xr:uid="{00000000-0005-0000-0000-0000E23E0000}"/>
    <cellStyle name="Normal 2 2 2 2 5 12 5 8" xfId="16099" xr:uid="{00000000-0005-0000-0000-0000E33E0000}"/>
    <cellStyle name="Normal 2 2 2 2 5 12 5 9" xfId="16100" xr:uid="{00000000-0005-0000-0000-0000E43E0000}"/>
    <cellStyle name="Normal 2 2 2 2 5 12 6" xfId="16101" xr:uid="{00000000-0005-0000-0000-0000E53E0000}"/>
    <cellStyle name="Normal 2 2 2 2 5 12 7" xfId="16102" xr:uid="{00000000-0005-0000-0000-0000E63E0000}"/>
    <cellStyle name="Normal 2 2 2 2 5 12 8" xfId="16103" xr:uid="{00000000-0005-0000-0000-0000E73E0000}"/>
    <cellStyle name="Normal 2 2 2 2 5 12 9" xfId="16104" xr:uid="{00000000-0005-0000-0000-0000E83E0000}"/>
    <cellStyle name="Normal 2 2 2 2 5 13" xfId="16105" xr:uid="{00000000-0005-0000-0000-0000E93E0000}"/>
    <cellStyle name="Normal 2 2 2 2 5 13 10" xfId="16106" xr:uid="{00000000-0005-0000-0000-0000EA3E0000}"/>
    <cellStyle name="Normal 2 2 2 2 5 13 11" xfId="16107" xr:uid="{00000000-0005-0000-0000-0000EB3E0000}"/>
    <cellStyle name="Normal 2 2 2 2 5 13 12" xfId="16108" xr:uid="{00000000-0005-0000-0000-0000EC3E0000}"/>
    <cellStyle name="Normal 2 2 2 2 5 13 13" xfId="16109" xr:uid="{00000000-0005-0000-0000-0000ED3E0000}"/>
    <cellStyle name="Normal 2 2 2 2 5 13 14" xfId="16110" xr:uid="{00000000-0005-0000-0000-0000EE3E0000}"/>
    <cellStyle name="Normal 2 2 2 2 5 13 2" xfId="16111" xr:uid="{00000000-0005-0000-0000-0000EF3E0000}"/>
    <cellStyle name="Normal 2 2 2 2 5 13 2 10" xfId="16112" xr:uid="{00000000-0005-0000-0000-0000F03E0000}"/>
    <cellStyle name="Normal 2 2 2 2 5 13 2 2" xfId="16113" xr:uid="{00000000-0005-0000-0000-0000F13E0000}"/>
    <cellStyle name="Normal 2 2 2 2 5 13 2 3" xfId="16114" xr:uid="{00000000-0005-0000-0000-0000F23E0000}"/>
    <cellStyle name="Normal 2 2 2 2 5 13 2 4" xfId="16115" xr:uid="{00000000-0005-0000-0000-0000F33E0000}"/>
    <cellStyle name="Normal 2 2 2 2 5 13 2 5" xfId="16116" xr:uid="{00000000-0005-0000-0000-0000F43E0000}"/>
    <cellStyle name="Normal 2 2 2 2 5 13 2 6" xfId="16117" xr:uid="{00000000-0005-0000-0000-0000F53E0000}"/>
    <cellStyle name="Normal 2 2 2 2 5 13 2 7" xfId="16118" xr:uid="{00000000-0005-0000-0000-0000F63E0000}"/>
    <cellStyle name="Normal 2 2 2 2 5 13 2 8" xfId="16119" xr:uid="{00000000-0005-0000-0000-0000F73E0000}"/>
    <cellStyle name="Normal 2 2 2 2 5 13 2 9" xfId="16120" xr:uid="{00000000-0005-0000-0000-0000F83E0000}"/>
    <cellStyle name="Normal 2 2 2 2 5 13 3" xfId="16121" xr:uid="{00000000-0005-0000-0000-0000F93E0000}"/>
    <cellStyle name="Normal 2 2 2 2 5 13 3 10" xfId="16122" xr:uid="{00000000-0005-0000-0000-0000FA3E0000}"/>
    <cellStyle name="Normal 2 2 2 2 5 13 3 2" xfId="16123" xr:uid="{00000000-0005-0000-0000-0000FB3E0000}"/>
    <cellStyle name="Normal 2 2 2 2 5 13 3 3" xfId="16124" xr:uid="{00000000-0005-0000-0000-0000FC3E0000}"/>
    <cellStyle name="Normal 2 2 2 2 5 13 3 4" xfId="16125" xr:uid="{00000000-0005-0000-0000-0000FD3E0000}"/>
    <cellStyle name="Normal 2 2 2 2 5 13 3 5" xfId="16126" xr:uid="{00000000-0005-0000-0000-0000FE3E0000}"/>
    <cellStyle name="Normal 2 2 2 2 5 13 3 6" xfId="16127" xr:uid="{00000000-0005-0000-0000-0000FF3E0000}"/>
    <cellStyle name="Normal 2 2 2 2 5 13 3 7" xfId="16128" xr:uid="{00000000-0005-0000-0000-0000003F0000}"/>
    <cellStyle name="Normal 2 2 2 2 5 13 3 8" xfId="16129" xr:uid="{00000000-0005-0000-0000-0000013F0000}"/>
    <cellStyle name="Normal 2 2 2 2 5 13 3 9" xfId="16130" xr:uid="{00000000-0005-0000-0000-0000023F0000}"/>
    <cellStyle name="Normal 2 2 2 2 5 13 4" xfId="16131" xr:uid="{00000000-0005-0000-0000-0000033F0000}"/>
    <cellStyle name="Normal 2 2 2 2 5 13 4 10" xfId="16132" xr:uid="{00000000-0005-0000-0000-0000043F0000}"/>
    <cellStyle name="Normal 2 2 2 2 5 13 4 2" xfId="16133" xr:uid="{00000000-0005-0000-0000-0000053F0000}"/>
    <cellStyle name="Normal 2 2 2 2 5 13 4 3" xfId="16134" xr:uid="{00000000-0005-0000-0000-0000063F0000}"/>
    <cellStyle name="Normal 2 2 2 2 5 13 4 4" xfId="16135" xr:uid="{00000000-0005-0000-0000-0000073F0000}"/>
    <cellStyle name="Normal 2 2 2 2 5 13 4 5" xfId="16136" xr:uid="{00000000-0005-0000-0000-0000083F0000}"/>
    <cellStyle name="Normal 2 2 2 2 5 13 4 6" xfId="16137" xr:uid="{00000000-0005-0000-0000-0000093F0000}"/>
    <cellStyle name="Normal 2 2 2 2 5 13 4 7" xfId="16138" xr:uid="{00000000-0005-0000-0000-00000A3F0000}"/>
    <cellStyle name="Normal 2 2 2 2 5 13 4 8" xfId="16139" xr:uid="{00000000-0005-0000-0000-00000B3F0000}"/>
    <cellStyle name="Normal 2 2 2 2 5 13 4 9" xfId="16140" xr:uid="{00000000-0005-0000-0000-00000C3F0000}"/>
    <cellStyle name="Normal 2 2 2 2 5 13 5" xfId="16141" xr:uid="{00000000-0005-0000-0000-00000D3F0000}"/>
    <cellStyle name="Normal 2 2 2 2 5 13 5 10" xfId="16142" xr:uid="{00000000-0005-0000-0000-00000E3F0000}"/>
    <cellStyle name="Normal 2 2 2 2 5 13 5 2" xfId="16143" xr:uid="{00000000-0005-0000-0000-00000F3F0000}"/>
    <cellStyle name="Normal 2 2 2 2 5 13 5 3" xfId="16144" xr:uid="{00000000-0005-0000-0000-0000103F0000}"/>
    <cellStyle name="Normal 2 2 2 2 5 13 5 4" xfId="16145" xr:uid="{00000000-0005-0000-0000-0000113F0000}"/>
    <cellStyle name="Normal 2 2 2 2 5 13 5 5" xfId="16146" xr:uid="{00000000-0005-0000-0000-0000123F0000}"/>
    <cellStyle name="Normal 2 2 2 2 5 13 5 6" xfId="16147" xr:uid="{00000000-0005-0000-0000-0000133F0000}"/>
    <cellStyle name="Normal 2 2 2 2 5 13 5 7" xfId="16148" xr:uid="{00000000-0005-0000-0000-0000143F0000}"/>
    <cellStyle name="Normal 2 2 2 2 5 13 5 8" xfId="16149" xr:uid="{00000000-0005-0000-0000-0000153F0000}"/>
    <cellStyle name="Normal 2 2 2 2 5 13 5 9" xfId="16150" xr:uid="{00000000-0005-0000-0000-0000163F0000}"/>
    <cellStyle name="Normal 2 2 2 2 5 13 6" xfId="16151" xr:uid="{00000000-0005-0000-0000-0000173F0000}"/>
    <cellStyle name="Normal 2 2 2 2 5 13 7" xfId="16152" xr:uid="{00000000-0005-0000-0000-0000183F0000}"/>
    <cellStyle name="Normal 2 2 2 2 5 13 8" xfId="16153" xr:uid="{00000000-0005-0000-0000-0000193F0000}"/>
    <cellStyle name="Normal 2 2 2 2 5 13 9" xfId="16154" xr:uid="{00000000-0005-0000-0000-00001A3F0000}"/>
    <cellStyle name="Normal 2 2 2 2 5 14" xfId="16155" xr:uid="{00000000-0005-0000-0000-00001B3F0000}"/>
    <cellStyle name="Normal 2 2 2 2 5 14 10" xfId="16156" xr:uid="{00000000-0005-0000-0000-00001C3F0000}"/>
    <cellStyle name="Normal 2 2 2 2 5 14 11" xfId="16157" xr:uid="{00000000-0005-0000-0000-00001D3F0000}"/>
    <cellStyle name="Normal 2 2 2 2 5 14 12" xfId="16158" xr:uid="{00000000-0005-0000-0000-00001E3F0000}"/>
    <cellStyle name="Normal 2 2 2 2 5 14 13" xfId="16159" xr:uid="{00000000-0005-0000-0000-00001F3F0000}"/>
    <cellStyle name="Normal 2 2 2 2 5 14 14" xfId="16160" xr:uid="{00000000-0005-0000-0000-0000203F0000}"/>
    <cellStyle name="Normal 2 2 2 2 5 14 2" xfId="16161" xr:uid="{00000000-0005-0000-0000-0000213F0000}"/>
    <cellStyle name="Normal 2 2 2 2 5 14 2 10" xfId="16162" xr:uid="{00000000-0005-0000-0000-0000223F0000}"/>
    <cellStyle name="Normal 2 2 2 2 5 14 2 2" xfId="16163" xr:uid="{00000000-0005-0000-0000-0000233F0000}"/>
    <cellStyle name="Normal 2 2 2 2 5 14 2 3" xfId="16164" xr:uid="{00000000-0005-0000-0000-0000243F0000}"/>
    <cellStyle name="Normal 2 2 2 2 5 14 2 4" xfId="16165" xr:uid="{00000000-0005-0000-0000-0000253F0000}"/>
    <cellStyle name="Normal 2 2 2 2 5 14 2 5" xfId="16166" xr:uid="{00000000-0005-0000-0000-0000263F0000}"/>
    <cellStyle name="Normal 2 2 2 2 5 14 2 6" xfId="16167" xr:uid="{00000000-0005-0000-0000-0000273F0000}"/>
    <cellStyle name="Normal 2 2 2 2 5 14 2 7" xfId="16168" xr:uid="{00000000-0005-0000-0000-0000283F0000}"/>
    <cellStyle name="Normal 2 2 2 2 5 14 2 8" xfId="16169" xr:uid="{00000000-0005-0000-0000-0000293F0000}"/>
    <cellStyle name="Normal 2 2 2 2 5 14 2 9" xfId="16170" xr:uid="{00000000-0005-0000-0000-00002A3F0000}"/>
    <cellStyle name="Normal 2 2 2 2 5 14 3" xfId="16171" xr:uid="{00000000-0005-0000-0000-00002B3F0000}"/>
    <cellStyle name="Normal 2 2 2 2 5 14 3 10" xfId="16172" xr:uid="{00000000-0005-0000-0000-00002C3F0000}"/>
    <cellStyle name="Normal 2 2 2 2 5 14 3 2" xfId="16173" xr:uid="{00000000-0005-0000-0000-00002D3F0000}"/>
    <cellStyle name="Normal 2 2 2 2 5 14 3 3" xfId="16174" xr:uid="{00000000-0005-0000-0000-00002E3F0000}"/>
    <cellStyle name="Normal 2 2 2 2 5 14 3 4" xfId="16175" xr:uid="{00000000-0005-0000-0000-00002F3F0000}"/>
    <cellStyle name="Normal 2 2 2 2 5 14 3 5" xfId="16176" xr:uid="{00000000-0005-0000-0000-0000303F0000}"/>
    <cellStyle name="Normal 2 2 2 2 5 14 3 6" xfId="16177" xr:uid="{00000000-0005-0000-0000-0000313F0000}"/>
    <cellStyle name="Normal 2 2 2 2 5 14 3 7" xfId="16178" xr:uid="{00000000-0005-0000-0000-0000323F0000}"/>
    <cellStyle name="Normal 2 2 2 2 5 14 3 8" xfId="16179" xr:uid="{00000000-0005-0000-0000-0000333F0000}"/>
    <cellStyle name="Normal 2 2 2 2 5 14 3 9" xfId="16180" xr:uid="{00000000-0005-0000-0000-0000343F0000}"/>
    <cellStyle name="Normal 2 2 2 2 5 14 4" xfId="16181" xr:uid="{00000000-0005-0000-0000-0000353F0000}"/>
    <cellStyle name="Normal 2 2 2 2 5 14 4 10" xfId="16182" xr:uid="{00000000-0005-0000-0000-0000363F0000}"/>
    <cellStyle name="Normal 2 2 2 2 5 14 4 2" xfId="16183" xr:uid="{00000000-0005-0000-0000-0000373F0000}"/>
    <cellStyle name="Normal 2 2 2 2 5 14 4 3" xfId="16184" xr:uid="{00000000-0005-0000-0000-0000383F0000}"/>
    <cellStyle name="Normal 2 2 2 2 5 14 4 4" xfId="16185" xr:uid="{00000000-0005-0000-0000-0000393F0000}"/>
    <cellStyle name="Normal 2 2 2 2 5 14 4 5" xfId="16186" xr:uid="{00000000-0005-0000-0000-00003A3F0000}"/>
    <cellStyle name="Normal 2 2 2 2 5 14 4 6" xfId="16187" xr:uid="{00000000-0005-0000-0000-00003B3F0000}"/>
    <cellStyle name="Normal 2 2 2 2 5 14 4 7" xfId="16188" xr:uid="{00000000-0005-0000-0000-00003C3F0000}"/>
    <cellStyle name="Normal 2 2 2 2 5 14 4 8" xfId="16189" xr:uid="{00000000-0005-0000-0000-00003D3F0000}"/>
    <cellStyle name="Normal 2 2 2 2 5 14 4 9" xfId="16190" xr:uid="{00000000-0005-0000-0000-00003E3F0000}"/>
    <cellStyle name="Normal 2 2 2 2 5 14 5" xfId="16191" xr:uid="{00000000-0005-0000-0000-00003F3F0000}"/>
    <cellStyle name="Normal 2 2 2 2 5 14 5 10" xfId="16192" xr:uid="{00000000-0005-0000-0000-0000403F0000}"/>
    <cellStyle name="Normal 2 2 2 2 5 14 5 2" xfId="16193" xr:uid="{00000000-0005-0000-0000-0000413F0000}"/>
    <cellStyle name="Normal 2 2 2 2 5 14 5 3" xfId="16194" xr:uid="{00000000-0005-0000-0000-0000423F0000}"/>
    <cellStyle name="Normal 2 2 2 2 5 14 5 4" xfId="16195" xr:uid="{00000000-0005-0000-0000-0000433F0000}"/>
    <cellStyle name="Normal 2 2 2 2 5 14 5 5" xfId="16196" xr:uid="{00000000-0005-0000-0000-0000443F0000}"/>
    <cellStyle name="Normal 2 2 2 2 5 14 5 6" xfId="16197" xr:uid="{00000000-0005-0000-0000-0000453F0000}"/>
    <cellStyle name="Normal 2 2 2 2 5 14 5 7" xfId="16198" xr:uid="{00000000-0005-0000-0000-0000463F0000}"/>
    <cellStyle name="Normal 2 2 2 2 5 14 5 8" xfId="16199" xr:uid="{00000000-0005-0000-0000-0000473F0000}"/>
    <cellStyle name="Normal 2 2 2 2 5 14 5 9" xfId="16200" xr:uid="{00000000-0005-0000-0000-0000483F0000}"/>
    <cellStyle name="Normal 2 2 2 2 5 14 6" xfId="16201" xr:uid="{00000000-0005-0000-0000-0000493F0000}"/>
    <cellStyle name="Normal 2 2 2 2 5 14 7" xfId="16202" xr:uid="{00000000-0005-0000-0000-00004A3F0000}"/>
    <cellStyle name="Normal 2 2 2 2 5 14 8" xfId="16203" xr:uid="{00000000-0005-0000-0000-00004B3F0000}"/>
    <cellStyle name="Normal 2 2 2 2 5 14 9" xfId="16204" xr:uid="{00000000-0005-0000-0000-00004C3F0000}"/>
    <cellStyle name="Normal 2 2 2 2 5 15" xfId="16205" xr:uid="{00000000-0005-0000-0000-00004D3F0000}"/>
    <cellStyle name="Normal 2 2 2 2 5 15 10" xfId="16206" xr:uid="{00000000-0005-0000-0000-00004E3F0000}"/>
    <cellStyle name="Normal 2 2 2 2 5 15 11" xfId="16207" xr:uid="{00000000-0005-0000-0000-00004F3F0000}"/>
    <cellStyle name="Normal 2 2 2 2 5 15 12" xfId="16208" xr:uid="{00000000-0005-0000-0000-0000503F0000}"/>
    <cellStyle name="Normal 2 2 2 2 5 15 13" xfId="16209" xr:uid="{00000000-0005-0000-0000-0000513F0000}"/>
    <cellStyle name="Normal 2 2 2 2 5 15 14" xfId="16210" xr:uid="{00000000-0005-0000-0000-0000523F0000}"/>
    <cellStyle name="Normal 2 2 2 2 5 15 2" xfId="16211" xr:uid="{00000000-0005-0000-0000-0000533F0000}"/>
    <cellStyle name="Normal 2 2 2 2 5 15 2 10" xfId="16212" xr:uid="{00000000-0005-0000-0000-0000543F0000}"/>
    <cellStyle name="Normal 2 2 2 2 5 15 2 2" xfId="16213" xr:uid="{00000000-0005-0000-0000-0000553F0000}"/>
    <cellStyle name="Normal 2 2 2 2 5 15 2 3" xfId="16214" xr:uid="{00000000-0005-0000-0000-0000563F0000}"/>
    <cellStyle name="Normal 2 2 2 2 5 15 2 4" xfId="16215" xr:uid="{00000000-0005-0000-0000-0000573F0000}"/>
    <cellStyle name="Normal 2 2 2 2 5 15 2 5" xfId="16216" xr:uid="{00000000-0005-0000-0000-0000583F0000}"/>
    <cellStyle name="Normal 2 2 2 2 5 15 2 6" xfId="16217" xr:uid="{00000000-0005-0000-0000-0000593F0000}"/>
    <cellStyle name="Normal 2 2 2 2 5 15 2 7" xfId="16218" xr:uid="{00000000-0005-0000-0000-00005A3F0000}"/>
    <cellStyle name="Normal 2 2 2 2 5 15 2 8" xfId="16219" xr:uid="{00000000-0005-0000-0000-00005B3F0000}"/>
    <cellStyle name="Normal 2 2 2 2 5 15 2 9" xfId="16220" xr:uid="{00000000-0005-0000-0000-00005C3F0000}"/>
    <cellStyle name="Normal 2 2 2 2 5 15 3" xfId="16221" xr:uid="{00000000-0005-0000-0000-00005D3F0000}"/>
    <cellStyle name="Normal 2 2 2 2 5 15 3 10" xfId="16222" xr:uid="{00000000-0005-0000-0000-00005E3F0000}"/>
    <cellStyle name="Normal 2 2 2 2 5 15 3 2" xfId="16223" xr:uid="{00000000-0005-0000-0000-00005F3F0000}"/>
    <cellStyle name="Normal 2 2 2 2 5 15 3 3" xfId="16224" xr:uid="{00000000-0005-0000-0000-0000603F0000}"/>
    <cellStyle name="Normal 2 2 2 2 5 15 3 4" xfId="16225" xr:uid="{00000000-0005-0000-0000-0000613F0000}"/>
    <cellStyle name="Normal 2 2 2 2 5 15 3 5" xfId="16226" xr:uid="{00000000-0005-0000-0000-0000623F0000}"/>
    <cellStyle name="Normal 2 2 2 2 5 15 3 6" xfId="16227" xr:uid="{00000000-0005-0000-0000-0000633F0000}"/>
    <cellStyle name="Normal 2 2 2 2 5 15 3 7" xfId="16228" xr:uid="{00000000-0005-0000-0000-0000643F0000}"/>
    <cellStyle name="Normal 2 2 2 2 5 15 3 8" xfId="16229" xr:uid="{00000000-0005-0000-0000-0000653F0000}"/>
    <cellStyle name="Normal 2 2 2 2 5 15 3 9" xfId="16230" xr:uid="{00000000-0005-0000-0000-0000663F0000}"/>
    <cellStyle name="Normal 2 2 2 2 5 15 4" xfId="16231" xr:uid="{00000000-0005-0000-0000-0000673F0000}"/>
    <cellStyle name="Normal 2 2 2 2 5 15 4 10" xfId="16232" xr:uid="{00000000-0005-0000-0000-0000683F0000}"/>
    <cellStyle name="Normal 2 2 2 2 5 15 4 2" xfId="16233" xr:uid="{00000000-0005-0000-0000-0000693F0000}"/>
    <cellStyle name="Normal 2 2 2 2 5 15 4 3" xfId="16234" xr:uid="{00000000-0005-0000-0000-00006A3F0000}"/>
    <cellStyle name="Normal 2 2 2 2 5 15 4 4" xfId="16235" xr:uid="{00000000-0005-0000-0000-00006B3F0000}"/>
    <cellStyle name="Normal 2 2 2 2 5 15 4 5" xfId="16236" xr:uid="{00000000-0005-0000-0000-00006C3F0000}"/>
    <cellStyle name="Normal 2 2 2 2 5 15 4 6" xfId="16237" xr:uid="{00000000-0005-0000-0000-00006D3F0000}"/>
    <cellStyle name="Normal 2 2 2 2 5 15 4 7" xfId="16238" xr:uid="{00000000-0005-0000-0000-00006E3F0000}"/>
    <cellStyle name="Normal 2 2 2 2 5 15 4 8" xfId="16239" xr:uid="{00000000-0005-0000-0000-00006F3F0000}"/>
    <cellStyle name="Normal 2 2 2 2 5 15 4 9" xfId="16240" xr:uid="{00000000-0005-0000-0000-0000703F0000}"/>
    <cellStyle name="Normal 2 2 2 2 5 15 5" xfId="16241" xr:uid="{00000000-0005-0000-0000-0000713F0000}"/>
    <cellStyle name="Normal 2 2 2 2 5 15 5 10" xfId="16242" xr:uid="{00000000-0005-0000-0000-0000723F0000}"/>
    <cellStyle name="Normal 2 2 2 2 5 15 5 2" xfId="16243" xr:uid="{00000000-0005-0000-0000-0000733F0000}"/>
    <cellStyle name="Normal 2 2 2 2 5 15 5 3" xfId="16244" xr:uid="{00000000-0005-0000-0000-0000743F0000}"/>
    <cellStyle name="Normal 2 2 2 2 5 15 5 4" xfId="16245" xr:uid="{00000000-0005-0000-0000-0000753F0000}"/>
    <cellStyle name="Normal 2 2 2 2 5 15 5 5" xfId="16246" xr:uid="{00000000-0005-0000-0000-0000763F0000}"/>
    <cellStyle name="Normal 2 2 2 2 5 15 5 6" xfId="16247" xr:uid="{00000000-0005-0000-0000-0000773F0000}"/>
    <cellStyle name="Normal 2 2 2 2 5 15 5 7" xfId="16248" xr:uid="{00000000-0005-0000-0000-0000783F0000}"/>
    <cellStyle name="Normal 2 2 2 2 5 15 5 8" xfId="16249" xr:uid="{00000000-0005-0000-0000-0000793F0000}"/>
    <cellStyle name="Normal 2 2 2 2 5 15 5 9" xfId="16250" xr:uid="{00000000-0005-0000-0000-00007A3F0000}"/>
    <cellStyle name="Normal 2 2 2 2 5 15 6" xfId="16251" xr:uid="{00000000-0005-0000-0000-00007B3F0000}"/>
    <cellStyle name="Normal 2 2 2 2 5 15 7" xfId="16252" xr:uid="{00000000-0005-0000-0000-00007C3F0000}"/>
    <cellStyle name="Normal 2 2 2 2 5 15 8" xfId="16253" xr:uid="{00000000-0005-0000-0000-00007D3F0000}"/>
    <cellStyle name="Normal 2 2 2 2 5 15 9" xfId="16254" xr:uid="{00000000-0005-0000-0000-00007E3F0000}"/>
    <cellStyle name="Normal 2 2 2 2 5 16" xfId="16255" xr:uid="{00000000-0005-0000-0000-00007F3F0000}"/>
    <cellStyle name="Normal 2 2 2 2 5 16 10" xfId="16256" xr:uid="{00000000-0005-0000-0000-0000803F0000}"/>
    <cellStyle name="Normal 2 2 2 2 5 16 11" xfId="16257" xr:uid="{00000000-0005-0000-0000-0000813F0000}"/>
    <cellStyle name="Normal 2 2 2 2 5 16 12" xfId="16258" xr:uid="{00000000-0005-0000-0000-0000823F0000}"/>
    <cellStyle name="Normal 2 2 2 2 5 16 13" xfId="16259" xr:uid="{00000000-0005-0000-0000-0000833F0000}"/>
    <cellStyle name="Normal 2 2 2 2 5 16 14" xfId="16260" xr:uid="{00000000-0005-0000-0000-0000843F0000}"/>
    <cellStyle name="Normal 2 2 2 2 5 16 2" xfId="16261" xr:uid="{00000000-0005-0000-0000-0000853F0000}"/>
    <cellStyle name="Normal 2 2 2 2 5 16 2 10" xfId="16262" xr:uid="{00000000-0005-0000-0000-0000863F0000}"/>
    <cellStyle name="Normal 2 2 2 2 5 16 2 2" xfId="16263" xr:uid="{00000000-0005-0000-0000-0000873F0000}"/>
    <cellStyle name="Normal 2 2 2 2 5 16 2 3" xfId="16264" xr:uid="{00000000-0005-0000-0000-0000883F0000}"/>
    <cellStyle name="Normal 2 2 2 2 5 16 2 4" xfId="16265" xr:uid="{00000000-0005-0000-0000-0000893F0000}"/>
    <cellStyle name="Normal 2 2 2 2 5 16 2 5" xfId="16266" xr:uid="{00000000-0005-0000-0000-00008A3F0000}"/>
    <cellStyle name="Normal 2 2 2 2 5 16 2 6" xfId="16267" xr:uid="{00000000-0005-0000-0000-00008B3F0000}"/>
    <cellStyle name="Normal 2 2 2 2 5 16 2 7" xfId="16268" xr:uid="{00000000-0005-0000-0000-00008C3F0000}"/>
    <cellStyle name="Normal 2 2 2 2 5 16 2 8" xfId="16269" xr:uid="{00000000-0005-0000-0000-00008D3F0000}"/>
    <cellStyle name="Normal 2 2 2 2 5 16 2 9" xfId="16270" xr:uid="{00000000-0005-0000-0000-00008E3F0000}"/>
    <cellStyle name="Normal 2 2 2 2 5 16 3" xfId="16271" xr:uid="{00000000-0005-0000-0000-00008F3F0000}"/>
    <cellStyle name="Normal 2 2 2 2 5 16 3 10" xfId="16272" xr:uid="{00000000-0005-0000-0000-0000903F0000}"/>
    <cellStyle name="Normal 2 2 2 2 5 16 3 2" xfId="16273" xr:uid="{00000000-0005-0000-0000-0000913F0000}"/>
    <cellStyle name="Normal 2 2 2 2 5 16 3 3" xfId="16274" xr:uid="{00000000-0005-0000-0000-0000923F0000}"/>
    <cellStyle name="Normal 2 2 2 2 5 16 3 4" xfId="16275" xr:uid="{00000000-0005-0000-0000-0000933F0000}"/>
    <cellStyle name="Normal 2 2 2 2 5 16 3 5" xfId="16276" xr:uid="{00000000-0005-0000-0000-0000943F0000}"/>
    <cellStyle name="Normal 2 2 2 2 5 16 3 6" xfId="16277" xr:uid="{00000000-0005-0000-0000-0000953F0000}"/>
    <cellStyle name="Normal 2 2 2 2 5 16 3 7" xfId="16278" xr:uid="{00000000-0005-0000-0000-0000963F0000}"/>
    <cellStyle name="Normal 2 2 2 2 5 16 3 8" xfId="16279" xr:uid="{00000000-0005-0000-0000-0000973F0000}"/>
    <cellStyle name="Normal 2 2 2 2 5 16 3 9" xfId="16280" xr:uid="{00000000-0005-0000-0000-0000983F0000}"/>
    <cellStyle name="Normal 2 2 2 2 5 16 4" xfId="16281" xr:uid="{00000000-0005-0000-0000-0000993F0000}"/>
    <cellStyle name="Normal 2 2 2 2 5 16 4 10" xfId="16282" xr:uid="{00000000-0005-0000-0000-00009A3F0000}"/>
    <cellStyle name="Normal 2 2 2 2 5 16 4 2" xfId="16283" xr:uid="{00000000-0005-0000-0000-00009B3F0000}"/>
    <cellStyle name="Normal 2 2 2 2 5 16 4 3" xfId="16284" xr:uid="{00000000-0005-0000-0000-00009C3F0000}"/>
    <cellStyle name="Normal 2 2 2 2 5 16 4 4" xfId="16285" xr:uid="{00000000-0005-0000-0000-00009D3F0000}"/>
    <cellStyle name="Normal 2 2 2 2 5 16 4 5" xfId="16286" xr:uid="{00000000-0005-0000-0000-00009E3F0000}"/>
    <cellStyle name="Normal 2 2 2 2 5 16 4 6" xfId="16287" xr:uid="{00000000-0005-0000-0000-00009F3F0000}"/>
    <cellStyle name="Normal 2 2 2 2 5 16 4 7" xfId="16288" xr:uid="{00000000-0005-0000-0000-0000A03F0000}"/>
    <cellStyle name="Normal 2 2 2 2 5 16 4 8" xfId="16289" xr:uid="{00000000-0005-0000-0000-0000A13F0000}"/>
    <cellStyle name="Normal 2 2 2 2 5 16 4 9" xfId="16290" xr:uid="{00000000-0005-0000-0000-0000A23F0000}"/>
    <cellStyle name="Normal 2 2 2 2 5 16 5" xfId="16291" xr:uid="{00000000-0005-0000-0000-0000A33F0000}"/>
    <cellStyle name="Normal 2 2 2 2 5 16 5 10" xfId="16292" xr:uid="{00000000-0005-0000-0000-0000A43F0000}"/>
    <cellStyle name="Normal 2 2 2 2 5 16 5 2" xfId="16293" xr:uid="{00000000-0005-0000-0000-0000A53F0000}"/>
    <cellStyle name="Normal 2 2 2 2 5 16 5 3" xfId="16294" xr:uid="{00000000-0005-0000-0000-0000A63F0000}"/>
    <cellStyle name="Normal 2 2 2 2 5 16 5 4" xfId="16295" xr:uid="{00000000-0005-0000-0000-0000A73F0000}"/>
    <cellStyle name="Normal 2 2 2 2 5 16 5 5" xfId="16296" xr:uid="{00000000-0005-0000-0000-0000A83F0000}"/>
    <cellStyle name="Normal 2 2 2 2 5 16 5 6" xfId="16297" xr:uid="{00000000-0005-0000-0000-0000A93F0000}"/>
    <cellStyle name="Normal 2 2 2 2 5 16 5 7" xfId="16298" xr:uid="{00000000-0005-0000-0000-0000AA3F0000}"/>
    <cellStyle name="Normal 2 2 2 2 5 16 5 8" xfId="16299" xr:uid="{00000000-0005-0000-0000-0000AB3F0000}"/>
    <cellStyle name="Normal 2 2 2 2 5 16 5 9" xfId="16300" xr:uid="{00000000-0005-0000-0000-0000AC3F0000}"/>
    <cellStyle name="Normal 2 2 2 2 5 16 6" xfId="16301" xr:uid="{00000000-0005-0000-0000-0000AD3F0000}"/>
    <cellStyle name="Normal 2 2 2 2 5 16 7" xfId="16302" xr:uid="{00000000-0005-0000-0000-0000AE3F0000}"/>
    <cellStyle name="Normal 2 2 2 2 5 16 8" xfId="16303" xr:uid="{00000000-0005-0000-0000-0000AF3F0000}"/>
    <cellStyle name="Normal 2 2 2 2 5 16 9" xfId="16304" xr:uid="{00000000-0005-0000-0000-0000B03F0000}"/>
    <cellStyle name="Normal 2 2 2 2 5 17" xfId="16305" xr:uid="{00000000-0005-0000-0000-0000B13F0000}"/>
    <cellStyle name="Normal 2 2 2 2 5 17 10" xfId="16306" xr:uid="{00000000-0005-0000-0000-0000B23F0000}"/>
    <cellStyle name="Normal 2 2 2 2 5 17 11" xfId="16307" xr:uid="{00000000-0005-0000-0000-0000B33F0000}"/>
    <cellStyle name="Normal 2 2 2 2 5 17 12" xfId="16308" xr:uid="{00000000-0005-0000-0000-0000B43F0000}"/>
    <cellStyle name="Normal 2 2 2 2 5 17 13" xfId="16309" xr:uid="{00000000-0005-0000-0000-0000B53F0000}"/>
    <cellStyle name="Normal 2 2 2 2 5 17 14" xfId="16310" xr:uid="{00000000-0005-0000-0000-0000B63F0000}"/>
    <cellStyle name="Normal 2 2 2 2 5 17 2" xfId="16311" xr:uid="{00000000-0005-0000-0000-0000B73F0000}"/>
    <cellStyle name="Normal 2 2 2 2 5 17 2 10" xfId="16312" xr:uid="{00000000-0005-0000-0000-0000B83F0000}"/>
    <cellStyle name="Normal 2 2 2 2 5 17 2 2" xfId="16313" xr:uid="{00000000-0005-0000-0000-0000B93F0000}"/>
    <cellStyle name="Normal 2 2 2 2 5 17 2 3" xfId="16314" xr:uid="{00000000-0005-0000-0000-0000BA3F0000}"/>
    <cellStyle name="Normal 2 2 2 2 5 17 2 4" xfId="16315" xr:uid="{00000000-0005-0000-0000-0000BB3F0000}"/>
    <cellStyle name="Normal 2 2 2 2 5 17 2 5" xfId="16316" xr:uid="{00000000-0005-0000-0000-0000BC3F0000}"/>
    <cellStyle name="Normal 2 2 2 2 5 17 2 6" xfId="16317" xr:uid="{00000000-0005-0000-0000-0000BD3F0000}"/>
    <cellStyle name="Normal 2 2 2 2 5 17 2 7" xfId="16318" xr:uid="{00000000-0005-0000-0000-0000BE3F0000}"/>
    <cellStyle name="Normal 2 2 2 2 5 17 2 8" xfId="16319" xr:uid="{00000000-0005-0000-0000-0000BF3F0000}"/>
    <cellStyle name="Normal 2 2 2 2 5 17 2 9" xfId="16320" xr:uid="{00000000-0005-0000-0000-0000C03F0000}"/>
    <cellStyle name="Normal 2 2 2 2 5 17 3" xfId="16321" xr:uid="{00000000-0005-0000-0000-0000C13F0000}"/>
    <cellStyle name="Normal 2 2 2 2 5 17 3 10" xfId="16322" xr:uid="{00000000-0005-0000-0000-0000C23F0000}"/>
    <cellStyle name="Normal 2 2 2 2 5 17 3 2" xfId="16323" xr:uid="{00000000-0005-0000-0000-0000C33F0000}"/>
    <cellStyle name="Normal 2 2 2 2 5 17 3 3" xfId="16324" xr:uid="{00000000-0005-0000-0000-0000C43F0000}"/>
    <cellStyle name="Normal 2 2 2 2 5 17 3 4" xfId="16325" xr:uid="{00000000-0005-0000-0000-0000C53F0000}"/>
    <cellStyle name="Normal 2 2 2 2 5 17 3 5" xfId="16326" xr:uid="{00000000-0005-0000-0000-0000C63F0000}"/>
    <cellStyle name="Normal 2 2 2 2 5 17 3 6" xfId="16327" xr:uid="{00000000-0005-0000-0000-0000C73F0000}"/>
    <cellStyle name="Normal 2 2 2 2 5 17 3 7" xfId="16328" xr:uid="{00000000-0005-0000-0000-0000C83F0000}"/>
    <cellStyle name="Normal 2 2 2 2 5 17 3 8" xfId="16329" xr:uid="{00000000-0005-0000-0000-0000C93F0000}"/>
    <cellStyle name="Normal 2 2 2 2 5 17 3 9" xfId="16330" xr:uid="{00000000-0005-0000-0000-0000CA3F0000}"/>
    <cellStyle name="Normal 2 2 2 2 5 17 4" xfId="16331" xr:uid="{00000000-0005-0000-0000-0000CB3F0000}"/>
    <cellStyle name="Normal 2 2 2 2 5 17 4 10" xfId="16332" xr:uid="{00000000-0005-0000-0000-0000CC3F0000}"/>
    <cellStyle name="Normal 2 2 2 2 5 17 4 2" xfId="16333" xr:uid="{00000000-0005-0000-0000-0000CD3F0000}"/>
    <cellStyle name="Normal 2 2 2 2 5 17 4 3" xfId="16334" xr:uid="{00000000-0005-0000-0000-0000CE3F0000}"/>
    <cellStyle name="Normal 2 2 2 2 5 17 4 4" xfId="16335" xr:uid="{00000000-0005-0000-0000-0000CF3F0000}"/>
    <cellStyle name="Normal 2 2 2 2 5 17 4 5" xfId="16336" xr:uid="{00000000-0005-0000-0000-0000D03F0000}"/>
    <cellStyle name="Normal 2 2 2 2 5 17 4 6" xfId="16337" xr:uid="{00000000-0005-0000-0000-0000D13F0000}"/>
    <cellStyle name="Normal 2 2 2 2 5 17 4 7" xfId="16338" xr:uid="{00000000-0005-0000-0000-0000D23F0000}"/>
    <cellStyle name="Normal 2 2 2 2 5 17 4 8" xfId="16339" xr:uid="{00000000-0005-0000-0000-0000D33F0000}"/>
    <cellStyle name="Normal 2 2 2 2 5 17 4 9" xfId="16340" xr:uid="{00000000-0005-0000-0000-0000D43F0000}"/>
    <cellStyle name="Normal 2 2 2 2 5 17 5" xfId="16341" xr:uid="{00000000-0005-0000-0000-0000D53F0000}"/>
    <cellStyle name="Normal 2 2 2 2 5 17 5 10" xfId="16342" xr:uid="{00000000-0005-0000-0000-0000D63F0000}"/>
    <cellStyle name="Normal 2 2 2 2 5 17 5 2" xfId="16343" xr:uid="{00000000-0005-0000-0000-0000D73F0000}"/>
    <cellStyle name="Normal 2 2 2 2 5 17 5 3" xfId="16344" xr:uid="{00000000-0005-0000-0000-0000D83F0000}"/>
    <cellStyle name="Normal 2 2 2 2 5 17 5 4" xfId="16345" xr:uid="{00000000-0005-0000-0000-0000D93F0000}"/>
    <cellStyle name="Normal 2 2 2 2 5 17 5 5" xfId="16346" xr:uid="{00000000-0005-0000-0000-0000DA3F0000}"/>
    <cellStyle name="Normal 2 2 2 2 5 17 5 6" xfId="16347" xr:uid="{00000000-0005-0000-0000-0000DB3F0000}"/>
    <cellStyle name="Normal 2 2 2 2 5 17 5 7" xfId="16348" xr:uid="{00000000-0005-0000-0000-0000DC3F0000}"/>
    <cellStyle name="Normal 2 2 2 2 5 17 5 8" xfId="16349" xr:uid="{00000000-0005-0000-0000-0000DD3F0000}"/>
    <cellStyle name="Normal 2 2 2 2 5 17 5 9" xfId="16350" xr:uid="{00000000-0005-0000-0000-0000DE3F0000}"/>
    <cellStyle name="Normal 2 2 2 2 5 17 6" xfId="16351" xr:uid="{00000000-0005-0000-0000-0000DF3F0000}"/>
    <cellStyle name="Normal 2 2 2 2 5 17 7" xfId="16352" xr:uid="{00000000-0005-0000-0000-0000E03F0000}"/>
    <cellStyle name="Normal 2 2 2 2 5 17 8" xfId="16353" xr:uid="{00000000-0005-0000-0000-0000E13F0000}"/>
    <cellStyle name="Normal 2 2 2 2 5 17 9" xfId="16354" xr:uid="{00000000-0005-0000-0000-0000E23F0000}"/>
    <cellStyle name="Normal 2 2 2 2 5 18" xfId="16355" xr:uid="{00000000-0005-0000-0000-0000E33F0000}"/>
    <cellStyle name="Normal 2 2 2 2 5 18 10" xfId="16356" xr:uid="{00000000-0005-0000-0000-0000E43F0000}"/>
    <cellStyle name="Normal 2 2 2 2 5 18 11" xfId="16357" xr:uid="{00000000-0005-0000-0000-0000E53F0000}"/>
    <cellStyle name="Normal 2 2 2 2 5 18 12" xfId="16358" xr:uid="{00000000-0005-0000-0000-0000E63F0000}"/>
    <cellStyle name="Normal 2 2 2 2 5 18 13" xfId="16359" xr:uid="{00000000-0005-0000-0000-0000E73F0000}"/>
    <cellStyle name="Normal 2 2 2 2 5 18 14" xfId="16360" xr:uid="{00000000-0005-0000-0000-0000E83F0000}"/>
    <cellStyle name="Normal 2 2 2 2 5 18 2" xfId="16361" xr:uid="{00000000-0005-0000-0000-0000E93F0000}"/>
    <cellStyle name="Normal 2 2 2 2 5 18 2 10" xfId="16362" xr:uid="{00000000-0005-0000-0000-0000EA3F0000}"/>
    <cellStyle name="Normal 2 2 2 2 5 18 2 2" xfId="16363" xr:uid="{00000000-0005-0000-0000-0000EB3F0000}"/>
    <cellStyle name="Normal 2 2 2 2 5 18 2 3" xfId="16364" xr:uid="{00000000-0005-0000-0000-0000EC3F0000}"/>
    <cellStyle name="Normal 2 2 2 2 5 18 2 4" xfId="16365" xr:uid="{00000000-0005-0000-0000-0000ED3F0000}"/>
    <cellStyle name="Normal 2 2 2 2 5 18 2 5" xfId="16366" xr:uid="{00000000-0005-0000-0000-0000EE3F0000}"/>
    <cellStyle name="Normal 2 2 2 2 5 18 2 6" xfId="16367" xr:uid="{00000000-0005-0000-0000-0000EF3F0000}"/>
    <cellStyle name="Normal 2 2 2 2 5 18 2 7" xfId="16368" xr:uid="{00000000-0005-0000-0000-0000F03F0000}"/>
    <cellStyle name="Normal 2 2 2 2 5 18 2 8" xfId="16369" xr:uid="{00000000-0005-0000-0000-0000F13F0000}"/>
    <cellStyle name="Normal 2 2 2 2 5 18 2 9" xfId="16370" xr:uid="{00000000-0005-0000-0000-0000F23F0000}"/>
    <cellStyle name="Normal 2 2 2 2 5 18 3" xfId="16371" xr:uid="{00000000-0005-0000-0000-0000F33F0000}"/>
    <cellStyle name="Normal 2 2 2 2 5 18 3 10" xfId="16372" xr:uid="{00000000-0005-0000-0000-0000F43F0000}"/>
    <cellStyle name="Normal 2 2 2 2 5 18 3 2" xfId="16373" xr:uid="{00000000-0005-0000-0000-0000F53F0000}"/>
    <cellStyle name="Normal 2 2 2 2 5 18 3 3" xfId="16374" xr:uid="{00000000-0005-0000-0000-0000F63F0000}"/>
    <cellStyle name="Normal 2 2 2 2 5 18 3 4" xfId="16375" xr:uid="{00000000-0005-0000-0000-0000F73F0000}"/>
    <cellStyle name="Normal 2 2 2 2 5 18 3 5" xfId="16376" xr:uid="{00000000-0005-0000-0000-0000F83F0000}"/>
    <cellStyle name="Normal 2 2 2 2 5 18 3 6" xfId="16377" xr:uid="{00000000-0005-0000-0000-0000F93F0000}"/>
    <cellStyle name="Normal 2 2 2 2 5 18 3 7" xfId="16378" xr:uid="{00000000-0005-0000-0000-0000FA3F0000}"/>
    <cellStyle name="Normal 2 2 2 2 5 18 3 8" xfId="16379" xr:uid="{00000000-0005-0000-0000-0000FB3F0000}"/>
    <cellStyle name="Normal 2 2 2 2 5 18 3 9" xfId="16380" xr:uid="{00000000-0005-0000-0000-0000FC3F0000}"/>
    <cellStyle name="Normal 2 2 2 2 5 18 4" xfId="16381" xr:uid="{00000000-0005-0000-0000-0000FD3F0000}"/>
    <cellStyle name="Normal 2 2 2 2 5 18 4 10" xfId="16382" xr:uid="{00000000-0005-0000-0000-0000FE3F0000}"/>
    <cellStyle name="Normal 2 2 2 2 5 18 4 2" xfId="16383" xr:uid="{00000000-0005-0000-0000-0000FF3F0000}"/>
    <cellStyle name="Normal 2 2 2 2 5 18 4 3" xfId="16384" xr:uid="{00000000-0005-0000-0000-000000400000}"/>
    <cellStyle name="Normal 2 2 2 2 5 18 4 4" xfId="16385" xr:uid="{00000000-0005-0000-0000-000001400000}"/>
    <cellStyle name="Normal 2 2 2 2 5 18 4 5" xfId="16386" xr:uid="{00000000-0005-0000-0000-000002400000}"/>
    <cellStyle name="Normal 2 2 2 2 5 18 4 6" xfId="16387" xr:uid="{00000000-0005-0000-0000-000003400000}"/>
    <cellStyle name="Normal 2 2 2 2 5 18 4 7" xfId="16388" xr:uid="{00000000-0005-0000-0000-000004400000}"/>
    <cellStyle name="Normal 2 2 2 2 5 18 4 8" xfId="16389" xr:uid="{00000000-0005-0000-0000-000005400000}"/>
    <cellStyle name="Normal 2 2 2 2 5 18 4 9" xfId="16390" xr:uid="{00000000-0005-0000-0000-000006400000}"/>
    <cellStyle name="Normal 2 2 2 2 5 18 5" xfId="16391" xr:uid="{00000000-0005-0000-0000-000007400000}"/>
    <cellStyle name="Normal 2 2 2 2 5 18 5 10" xfId="16392" xr:uid="{00000000-0005-0000-0000-000008400000}"/>
    <cellStyle name="Normal 2 2 2 2 5 18 5 2" xfId="16393" xr:uid="{00000000-0005-0000-0000-000009400000}"/>
    <cellStyle name="Normal 2 2 2 2 5 18 5 3" xfId="16394" xr:uid="{00000000-0005-0000-0000-00000A400000}"/>
    <cellStyle name="Normal 2 2 2 2 5 18 5 4" xfId="16395" xr:uid="{00000000-0005-0000-0000-00000B400000}"/>
    <cellStyle name="Normal 2 2 2 2 5 18 5 5" xfId="16396" xr:uid="{00000000-0005-0000-0000-00000C400000}"/>
    <cellStyle name="Normal 2 2 2 2 5 18 5 6" xfId="16397" xr:uid="{00000000-0005-0000-0000-00000D400000}"/>
    <cellStyle name="Normal 2 2 2 2 5 18 5 7" xfId="16398" xr:uid="{00000000-0005-0000-0000-00000E400000}"/>
    <cellStyle name="Normal 2 2 2 2 5 18 5 8" xfId="16399" xr:uid="{00000000-0005-0000-0000-00000F400000}"/>
    <cellStyle name="Normal 2 2 2 2 5 18 5 9" xfId="16400" xr:uid="{00000000-0005-0000-0000-000010400000}"/>
    <cellStyle name="Normal 2 2 2 2 5 18 6" xfId="16401" xr:uid="{00000000-0005-0000-0000-000011400000}"/>
    <cellStyle name="Normal 2 2 2 2 5 18 7" xfId="16402" xr:uid="{00000000-0005-0000-0000-000012400000}"/>
    <cellStyle name="Normal 2 2 2 2 5 18 8" xfId="16403" xr:uid="{00000000-0005-0000-0000-000013400000}"/>
    <cellStyle name="Normal 2 2 2 2 5 18 9" xfId="16404" xr:uid="{00000000-0005-0000-0000-000014400000}"/>
    <cellStyle name="Normal 2 2 2 2 5 19" xfId="16405" xr:uid="{00000000-0005-0000-0000-000015400000}"/>
    <cellStyle name="Normal 2 2 2 2 5 19 10" xfId="16406" xr:uid="{00000000-0005-0000-0000-000016400000}"/>
    <cellStyle name="Normal 2 2 2 2 5 19 11" xfId="16407" xr:uid="{00000000-0005-0000-0000-000017400000}"/>
    <cellStyle name="Normal 2 2 2 2 5 19 12" xfId="16408" xr:uid="{00000000-0005-0000-0000-000018400000}"/>
    <cellStyle name="Normal 2 2 2 2 5 19 13" xfId="16409" xr:uid="{00000000-0005-0000-0000-000019400000}"/>
    <cellStyle name="Normal 2 2 2 2 5 19 14" xfId="16410" xr:uid="{00000000-0005-0000-0000-00001A400000}"/>
    <cellStyle name="Normal 2 2 2 2 5 19 2" xfId="16411" xr:uid="{00000000-0005-0000-0000-00001B400000}"/>
    <cellStyle name="Normal 2 2 2 2 5 19 2 10" xfId="16412" xr:uid="{00000000-0005-0000-0000-00001C400000}"/>
    <cellStyle name="Normal 2 2 2 2 5 19 2 2" xfId="16413" xr:uid="{00000000-0005-0000-0000-00001D400000}"/>
    <cellStyle name="Normal 2 2 2 2 5 19 2 3" xfId="16414" xr:uid="{00000000-0005-0000-0000-00001E400000}"/>
    <cellStyle name="Normal 2 2 2 2 5 19 2 4" xfId="16415" xr:uid="{00000000-0005-0000-0000-00001F400000}"/>
    <cellStyle name="Normal 2 2 2 2 5 19 2 5" xfId="16416" xr:uid="{00000000-0005-0000-0000-000020400000}"/>
    <cellStyle name="Normal 2 2 2 2 5 19 2 6" xfId="16417" xr:uid="{00000000-0005-0000-0000-000021400000}"/>
    <cellStyle name="Normal 2 2 2 2 5 19 2 7" xfId="16418" xr:uid="{00000000-0005-0000-0000-000022400000}"/>
    <cellStyle name="Normal 2 2 2 2 5 19 2 8" xfId="16419" xr:uid="{00000000-0005-0000-0000-000023400000}"/>
    <cellStyle name="Normal 2 2 2 2 5 19 2 9" xfId="16420" xr:uid="{00000000-0005-0000-0000-000024400000}"/>
    <cellStyle name="Normal 2 2 2 2 5 19 3" xfId="16421" xr:uid="{00000000-0005-0000-0000-000025400000}"/>
    <cellStyle name="Normal 2 2 2 2 5 19 3 10" xfId="16422" xr:uid="{00000000-0005-0000-0000-000026400000}"/>
    <cellStyle name="Normal 2 2 2 2 5 19 3 2" xfId="16423" xr:uid="{00000000-0005-0000-0000-000027400000}"/>
    <cellStyle name="Normal 2 2 2 2 5 19 3 3" xfId="16424" xr:uid="{00000000-0005-0000-0000-000028400000}"/>
    <cellStyle name="Normal 2 2 2 2 5 19 3 4" xfId="16425" xr:uid="{00000000-0005-0000-0000-000029400000}"/>
    <cellStyle name="Normal 2 2 2 2 5 19 3 5" xfId="16426" xr:uid="{00000000-0005-0000-0000-00002A400000}"/>
    <cellStyle name="Normal 2 2 2 2 5 19 3 6" xfId="16427" xr:uid="{00000000-0005-0000-0000-00002B400000}"/>
    <cellStyle name="Normal 2 2 2 2 5 19 3 7" xfId="16428" xr:uid="{00000000-0005-0000-0000-00002C400000}"/>
    <cellStyle name="Normal 2 2 2 2 5 19 3 8" xfId="16429" xr:uid="{00000000-0005-0000-0000-00002D400000}"/>
    <cellStyle name="Normal 2 2 2 2 5 19 3 9" xfId="16430" xr:uid="{00000000-0005-0000-0000-00002E400000}"/>
    <cellStyle name="Normal 2 2 2 2 5 19 4" xfId="16431" xr:uid="{00000000-0005-0000-0000-00002F400000}"/>
    <cellStyle name="Normal 2 2 2 2 5 19 4 10" xfId="16432" xr:uid="{00000000-0005-0000-0000-000030400000}"/>
    <cellStyle name="Normal 2 2 2 2 5 19 4 2" xfId="16433" xr:uid="{00000000-0005-0000-0000-000031400000}"/>
    <cellStyle name="Normal 2 2 2 2 5 19 4 3" xfId="16434" xr:uid="{00000000-0005-0000-0000-000032400000}"/>
    <cellStyle name="Normal 2 2 2 2 5 19 4 4" xfId="16435" xr:uid="{00000000-0005-0000-0000-000033400000}"/>
    <cellStyle name="Normal 2 2 2 2 5 19 4 5" xfId="16436" xr:uid="{00000000-0005-0000-0000-000034400000}"/>
    <cellStyle name="Normal 2 2 2 2 5 19 4 6" xfId="16437" xr:uid="{00000000-0005-0000-0000-000035400000}"/>
    <cellStyle name="Normal 2 2 2 2 5 19 4 7" xfId="16438" xr:uid="{00000000-0005-0000-0000-000036400000}"/>
    <cellStyle name="Normal 2 2 2 2 5 19 4 8" xfId="16439" xr:uid="{00000000-0005-0000-0000-000037400000}"/>
    <cellStyle name="Normal 2 2 2 2 5 19 4 9" xfId="16440" xr:uid="{00000000-0005-0000-0000-000038400000}"/>
    <cellStyle name="Normal 2 2 2 2 5 19 5" xfId="16441" xr:uid="{00000000-0005-0000-0000-000039400000}"/>
    <cellStyle name="Normal 2 2 2 2 5 19 5 10" xfId="16442" xr:uid="{00000000-0005-0000-0000-00003A400000}"/>
    <cellStyle name="Normal 2 2 2 2 5 19 5 2" xfId="16443" xr:uid="{00000000-0005-0000-0000-00003B400000}"/>
    <cellStyle name="Normal 2 2 2 2 5 19 5 3" xfId="16444" xr:uid="{00000000-0005-0000-0000-00003C400000}"/>
    <cellStyle name="Normal 2 2 2 2 5 19 5 4" xfId="16445" xr:uid="{00000000-0005-0000-0000-00003D400000}"/>
    <cellStyle name="Normal 2 2 2 2 5 19 5 5" xfId="16446" xr:uid="{00000000-0005-0000-0000-00003E400000}"/>
    <cellStyle name="Normal 2 2 2 2 5 19 5 6" xfId="16447" xr:uid="{00000000-0005-0000-0000-00003F400000}"/>
    <cellStyle name="Normal 2 2 2 2 5 19 5 7" xfId="16448" xr:uid="{00000000-0005-0000-0000-000040400000}"/>
    <cellStyle name="Normal 2 2 2 2 5 19 5 8" xfId="16449" xr:uid="{00000000-0005-0000-0000-000041400000}"/>
    <cellStyle name="Normal 2 2 2 2 5 19 5 9" xfId="16450" xr:uid="{00000000-0005-0000-0000-000042400000}"/>
    <cellStyle name="Normal 2 2 2 2 5 19 6" xfId="16451" xr:uid="{00000000-0005-0000-0000-000043400000}"/>
    <cellStyle name="Normal 2 2 2 2 5 19 7" xfId="16452" xr:uid="{00000000-0005-0000-0000-000044400000}"/>
    <cellStyle name="Normal 2 2 2 2 5 19 8" xfId="16453" xr:uid="{00000000-0005-0000-0000-000045400000}"/>
    <cellStyle name="Normal 2 2 2 2 5 19 9" xfId="16454" xr:uid="{00000000-0005-0000-0000-000046400000}"/>
    <cellStyle name="Normal 2 2 2 2 5 2" xfId="16455" xr:uid="{00000000-0005-0000-0000-000047400000}"/>
    <cellStyle name="Normal 2 2 2 2 5 2 10" xfId="16456" xr:uid="{00000000-0005-0000-0000-000048400000}"/>
    <cellStyle name="Normal 2 2 2 2 5 2 11" xfId="16457" xr:uid="{00000000-0005-0000-0000-000049400000}"/>
    <cellStyle name="Normal 2 2 2 2 5 2 12" xfId="16458" xr:uid="{00000000-0005-0000-0000-00004A400000}"/>
    <cellStyle name="Normal 2 2 2 2 5 2 13" xfId="16459" xr:uid="{00000000-0005-0000-0000-00004B400000}"/>
    <cellStyle name="Normal 2 2 2 2 5 2 14" xfId="16460" xr:uid="{00000000-0005-0000-0000-00004C400000}"/>
    <cellStyle name="Normal 2 2 2 2 5 2 15" xfId="16461" xr:uid="{00000000-0005-0000-0000-00004D400000}"/>
    <cellStyle name="Normal 2 2 2 2 5 2 16" xfId="16462" xr:uid="{00000000-0005-0000-0000-00004E400000}"/>
    <cellStyle name="Normal 2 2 2 2 5 2 17" xfId="16463" xr:uid="{00000000-0005-0000-0000-00004F400000}"/>
    <cellStyle name="Normal 2 2 2 2 5 2 18" xfId="16464" xr:uid="{00000000-0005-0000-0000-000050400000}"/>
    <cellStyle name="Normal 2 2 2 2 5 2 19" xfId="16465" xr:uid="{00000000-0005-0000-0000-000051400000}"/>
    <cellStyle name="Normal 2 2 2 2 5 2 2" xfId="16466" xr:uid="{00000000-0005-0000-0000-000052400000}"/>
    <cellStyle name="Normal 2 2 2 2 5 2 20" xfId="16467" xr:uid="{00000000-0005-0000-0000-000053400000}"/>
    <cellStyle name="Normal 2 2 2 2 5 2 21" xfId="16468" xr:uid="{00000000-0005-0000-0000-000054400000}"/>
    <cellStyle name="Normal 2 2 2 2 5 2 21 10" xfId="16469" xr:uid="{00000000-0005-0000-0000-000055400000}"/>
    <cellStyle name="Normal 2 2 2 2 5 2 21 2" xfId="16470" xr:uid="{00000000-0005-0000-0000-000056400000}"/>
    <cellStyle name="Normal 2 2 2 2 5 2 21 3" xfId="16471" xr:uid="{00000000-0005-0000-0000-000057400000}"/>
    <cellStyle name="Normal 2 2 2 2 5 2 21 4" xfId="16472" xr:uid="{00000000-0005-0000-0000-000058400000}"/>
    <cellStyle name="Normal 2 2 2 2 5 2 21 5" xfId="16473" xr:uid="{00000000-0005-0000-0000-000059400000}"/>
    <cellStyle name="Normal 2 2 2 2 5 2 21 6" xfId="16474" xr:uid="{00000000-0005-0000-0000-00005A400000}"/>
    <cellStyle name="Normal 2 2 2 2 5 2 21 7" xfId="16475" xr:uid="{00000000-0005-0000-0000-00005B400000}"/>
    <cellStyle name="Normal 2 2 2 2 5 2 21 8" xfId="16476" xr:uid="{00000000-0005-0000-0000-00005C400000}"/>
    <cellStyle name="Normal 2 2 2 2 5 2 21 9" xfId="16477" xr:uid="{00000000-0005-0000-0000-00005D400000}"/>
    <cellStyle name="Normal 2 2 2 2 5 2 22" xfId="16478" xr:uid="{00000000-0005-0000-0000-00005E400000}"/>
    <cellStyle name="Normal 2 2 2 2 5 2 22 10" xfId="16479" xr:uid="{00000000-0005-0000-0000-00005F400000}"/>
    <cellStyle name="Normal 2 2 2 2 5 2 22 2" xfId="16480" xr:uid="{00000000-0005-0000-0000-000060400000}"/>
    <cellStyle name="Normal 2 2 2 2 5 2 22 3" xfId="16481" xr:uid="{00000000-0005-0000-0000-000061400000}"/>
    <cellStyle name="Normal 2 2 2 2 5 2 22 4" xfId="16482" xr:uid="{00000000-0005-0000-0000-000062400000}"/>
    <cellStyle name="Normal 2 2 2 2 5 2 22 5" xfId="16483" xr:uid="{00000000-0005-0000-0000-000063400000}"/>
    <cellStyle name="Normal 2 2 2 2 5 2 22 6" xfId="16484" xr:uid="{00000000-0005-0000-0000-000064400000}"/>
    <cellStyle name="Normal 2 2 2 2 5 2 22 7" xfId="16485" xr:uid="{00000000-0005-0000-0000-000065400000}"/>
    <cellStyle name="Normal 2 2 2 2 5 2 22 8" xfId="16486" xr:uid="{00000000-0005-0000-0000-000066400000}"/>
    <cellStyle name="Normal 2 2 2 2 5 2 22 9" xfId="16487" xr:uid="{00000000-0005-0000-0000-000067400000}"/>
    <cellStyle name="Normal 2 2 2 2 5 2 23" xfId="16488" xr:uid="{00000000-0005-0000-0000-000068400000}"/>
    <cellStyle name="Normal 2 2 2 2 5 2 23 10" xfId="16489" xr:uid="{00000000-0005-0000-0000-000069400000}"/>
    <cellStyle name="Normal 2 2 2 2 5 2 23 2" xfId="16490" xr:uid="{00000000-0005-0000-0000-00006A400000}"/>
    <cellStyle name="Normal 2 2 2 2 5 2 23 3" xfId="16491" xr:uid="{00000000-0005-0000-0000-00006B400000}"/>
    <cellStyle name="Normal 2 2 2 2 5 2 23 4" xfId="16492" xr:uid="{00000000-0005-0000-0000-00006C400000}"/>
    <cellStyle name="Normal 2 2 2 2 5 2 23 5" xfId="16493" xr:uid="{00000000-0005-0000-0000-00006D400000}"/>
    <cellStyle name="Normal 2 2 2 2 5 2 23 6" xfId="16494" xr:uid="{00000000-0005-0000-0000-00006E400000}"/>
    <cellStyle name="Normal 2 2 2 2 5 2 23 7" xfId="16495" xr:uid="{00000000-0005-0000-0000-00006F400000}"/>
    <cellStyle name="Normal 2 2 2 2 5 2 23 8" xfId="16496" xr:uid="{00000000-0005-0000-0000-000070400000}"/>
    <cellStyle name="Normal 2 2 2 2 5 2 23 9" xfId="16497" xr:uid="{00000000-0005-0000-0000-000071400000}"/>
    <cellStyle name="Normal 2 2 2 2 5 2 24" xfId="16498" xr:uid="{00000000-0005-0000-0000-000072400000}"/>
    <cellStyle name="Normal 2 2 2 2 5 2 24 10" xfId="16499" xr:uid="{00000000-0005-0000-0000-000073400000}"/>
    <cellStyle name="Normal 2 2 2 2 5 2 24 2" xfId="16500" xr:uid="{00000000-0005-0000-0000-000074400000}"/>
    <cellStyle name="Normal 2 2 2 2 5 2 24 3" xfId="16501" xr:uid="{00000000-0005-0000-0000-000075400000}"/>
    <cellStyle name="Normal 2 2 2 2 5 2 24 4" xfId="16502" xr:uid="{00000000-0005-0000-0000-000076400000}"/>
    <cellStyle name="Normal 2 2 2 2 5 2 24 5" xfId="16503" xr:uid="{00000000-0005-0000-0000-000077400000}"/>
    <cellStyle name="Normal 2 2 2 2 5 2 24 6" xfId="16504" xr:uid="{00000000-0005-0000-0000-000078400000}"/>
    <cellStyle name="Normal 2 2 2 2 5 2 24 7" xfId="16505" xr:uid="{00000000-0005-0000-0000-000079400000}"/>
    <cellStyle name="Normal 2 2 2 2 5 2 24 8" xfId="16506" xr:uid="{00000000-0005-0000-0000-00007A400000}"/>
    <cellStyle name="Normal 2 2 2 2 5 2 24 9" xfId="16507" xr:uid="{00000000-0005-0000-0000-00007B400000}"/>
    <cellStyle name="Normal 2 2 2 2 5 2 25" xfId="16508" xr:uid="{00000000-0005-0000-0000-00007C400000}"/>
    <cellStyle name="Normal 2 2 2 2 5 2 26" xfId="16509" xr:uid="{00000000-0005-0000-0000-00007D400000}"/>
    <cellStyle name="Normal 2 2 2 2 5 2 27" xfId="16510" xr:uid="{00000000-0005-0000-0000-00007E400000}"/>
    <cellStyle name="Normal 2 2 2 2 5 2 28" xfId="16511" xr:uid="{00000000-0005-0000-0000-00007F400000}"/>
    <cellStyle name="Normal 2 2 2 2 5 2 29" xfId="16512" xr:uid="{00000000-0005-0000-0000-000080400000}"/>
    <cellStyle name="Normal 2 2 2 2 5 2 3" xfId="16513" xr:uid="{00000000-0005-0000-0000-000081400000}"/>
    <cellStyle name="Normal 2 2 2 2 5 2 30" xfId="16514" xr:uid="{00000000-0005-0000-0000-000082400000}"/>
    <cellStyle name="Normal 2 2 2 2 5 2 31" xfId="16515" xr:uid="{00000000-0005-0000-0000-000083400000}"/>
    <cellStyle name="Normal 2 2 2 2 5 2 32" xfId="16516" xr:uid="{00000000-0005-0000-0000-000084400000}"/>
    <cellStyle name="Normal 2 2 2 2 5 2 33" xfId="16517" xr:uid="{00000000-0005-0000-0000-000085400000}"/>
    <cellStyle name="Normal 2 2 2 2 5 2 4" xfId="16518" xr:uid="{00000000-0005-0000-0000-000086400000}"/>
    <cellStyle name="Normal 2 2 2 2 5 2 5" xfId="16519" xr:uid="{00000000-0005-0000-0000-000087400000}"/>
    <cellStyle name="Normal 2 2 2 2 5 2 6" xfId="16520" xr:uid="{00000000-0005-0000-0000-000088400000}"/>
    <cellStyle name="Normal 2 2 2 2 5 2 7" xfId="16521" xr:uid="{00000000-0005-0000-0000-000089400000}"/>
    <cellStyle name="Normal 2 2 2 2 5 2 8" xfId="16522" xr:uid="{00000000-0005-0000-0000-00008A400000}"/>
    <cellStyle name="Normal 2 2 2 2 5 2 9" xfId="16523" xr:uid="{00000000-0005-0000-0000-00008B400000}"/>
    <cellStyle name="Normal 2 2 2 2 5 20" xfId="16524" xr:uid="{00000000-0005-0000-0000-00008C400000}"/>
    <cellStyle name="Normal 2 2 2 2 5 20 10" xfId="16525" xr:uid="{00000000-0005-0000-0000-00008D400000}"/>
    <cellStyle name="Normal 2 2 2 2 5 20 11" xfId="16526" xr:uid="{00000000-0005-0000-0000-00008E400000}"/>
    <cellStyle name="Normal 2 2 2 2 5 20 12" xfId="16527" xr:uid="{00000000-0005-0000-0000-00008F400000}"/>
    <cellStyle name="Normal 2 2 2 2 5 20 13" xfId="16528" xr:uid="{00000000-0005-0000-0000-000090400000}"/>
    <cellStyle name="Normal 2 2 2 2 5 20 14" xfId="16529" xr:uid="{00000000-0005-0000-0000-000091400000}"/>
    <cellStyle name="Normal 2 2 2 2 5 20 2" xfId="16530" xr:uid="{00000000-0005-0000-0000-000092400000}"/>
    <cellStyle name="Normal 2 2 2 2 5 20 2 10" xfId="16531" xr:uid="{00000000-0005-0000-0000-000093400000}"/>
    <cellStyle name="Normal 2 2 2 2 5 20 2 2" xfId="16532" xr:uid="{00000000-0005-0000-0000-000094400000}"/>
    <cellStyle name="Normal 2 2 2 2 5 20 2 3" xfId="16533" xr:uid="{00000000-0005-0000-0000-000095400000}"/>
    <cellStyle name="Normal 2 2 2 2 5 20 2 4" xfId="16534" xr:uid="{00000000-0005-0000-0000-000096400000}"/>
    <cellStyle name="Normal 2 2 2 2 5 20 2 5" xfId="16535" xr:uid="{00000000-0005-0000-0000-000097400000}"/>
    <cellStyle name="Normal 2 2 2 2 5 20 2 6" xfId="16536" xr:uid="{00000000-0005-0000-0000-000098400000}"/>
    <cellStyle name="Normal 2 2 2 2 5 20 2 7" xfId="16537" xr:uid="{00000000-0005-0000-0000-000099400000}"/>
    <cellStyle name="Normal 2 2 2 2 5 20 2 8" xfId="16538" xr:uid="{00000000-0005-0000-0000-00009A400000}"/>
    <cellStyle name="Normal 2 2 2 2 5 20 2 9" xfId="16539" xr:uid="{00000000-0005-0000-0000-00009B400000}"/>
    <cellStyle name="Normal 2 2 2 2 5 20 3" xfId="16540" xr:uid="{00000000-0005-0000-0000-00009C400000}"/>
    <cellStyle name="Normal 2 2 2 2 5 20 3 10" xfId="16541" xr:uid="{00000000-0005-0000-0000-00009D400000}"/>
    <cellStyle name="Normal 2 2 2 2 5 20 3 2" xfId="16542" xr:uid="{00000000-0005-0000-0000-00009E400000}"/>
    <cellStyle name="Normal 2 2 2 2 5 20 3 3" xfId="16543" xr:uid="{00000000-0005-0000-0000-00009F400000}"/>
    <cellStyle name="Normal 2 2 2 2 5 20 3 4" xfId="16544" xr:uid="{00000000-0005-0000-0000-0000A0400000}"/>
    <cellStyle name="Normal 2 2 2 2 5 20 3 5" xfId="16545" xr:uid="{00000000-0005-0000-0000-0000A1400000}"/>
    <cellStyle name="Normal 2 2 2 2 5 20 3 6" xfId="16546" xr:uid="{00000000-0005-0000-0000-0000A2400000}"/>
    <cellStyle name="Normal 2 2 2 2 5 20 3 7" xfId="16547" xr:uid="{00000000-0005-0000-0000-0000A3400000}"/>
    <cellStyle name="Normal 2 2 2 2 5 20 3 8" xfId="16548" xr:uid="{00000000-0005-0000-0000-0000A4400000}"/>
    <cellStyle name="Normal 2 2 2 2 5 20 3 9" xfId="16549" xr:uid="{00000000-0005-0000-0000-0000A5400000}"/>
    <cellStyle name="Normal 2 2 2 2 5 20 4" xfId="16550" xr:uid="{00000000-0005-0000-0000-0000A6400000}"/>
    <cellStyle name="Normal 2 2 2 2 5 20 4 10" xfId="16551" xr:uid="{00000000-0005-0000-0000-0000A7400000}"/>
    <cellStyle name="Normal 2 2 2 2 5 20 4 2" xfId="16552" xr:uid="{00000000-0005-0000-0000-0000A8400000}"/>
    <cellStyle name="Normal 2 2 2 2 5 20 4 3" xfId="16553" xr:uid="{00000000-0005-0000-0000-0000A9400000}"/>
    <cellStyle name="Normal 2 2 2 2 5 20 4 4" xfId="16554" xr:uid="{00000000-0005-0000-0000-0000AA400000}"/>
    <cellStyle name="Normal 2 2 2 2 5 20 4 5" xfId="16555" xr:uid="{00000000-0005-0000-0000-0000AB400000}"/>
    <cellStyle name="Normal 2 2 2 2 5 20 4 6" xfId="16556" xr:uid="{00000000-0005-0000-0000-0000AC400000}"/>
    <cellStyle name="Normal 2 2 2 2 5 20 4 7" xfId="16557" xr:uid="{00000000-0005-0000-0000-0000AD400000}"/>
    <cellStyle name="Normal 2 2 2 2 5 20 4 8" xfId="16558" xr:uid="{00000000-0005-0000-0000-0000AE400000}"/>
    <cellStyle name="Normal 2 2 2 2 5 20 4 9" xfId="16559" xr:uid="{00000000-0005-0000-0000-0000AF400000}"/>
    <cellStyle name="Normal 2 2 2 2 5 20 5" xfId="16560" xr:uid="{00000000-0005-0000-0000-0000B0400000}"/>
    <cellStyle name="Normal 2 2 2 2 5 20 5 10" xfId="16561" xr:uid="{00000000-0005-0000-0000-0000B1400000}"/>
    <cellStyle name="Normal 2 2 2 2 5 20 5 2" xfId="16562" xr:uid="{00000000-0005-0000-0000-0000B2400000}"/>
    <cellStyle name="Normal 2 2 2 2 5 20 5 3" xfId="16563" xr:uid="{00000000-0005-0000-0000-0000B3400000}"/>
    <cellStyle name="Normal 2 2 2 2 5 20 5 4" xfId="16564" xr:uid="{00000000-0005-0000-0000-0000B4400000}"/>
    <cellStyle name="Normal 2 2 2 2 5 20 5 5" xfId="16565" xr:uid="{00000000-0005-0000-0000-0000B5400000}"/>
    <cellStyle name="Normal 2 2 2 2 5 20 5 6" xfId="16566" xr:uid="{00000000-0005-0000-0000-0000B6400000}"/>
    <cellStyle name="Normal 2 2 2 2 5 20 5 7" xfId="16567" xr:uid="{00000000-0005-0000-0000-0000B7400000}"/>
    <cellStyle name="Normal 2 2 2 2 5 20 5 8" xfId="16568" xr:uid="{00000000-0005-0000-0000-0000B8400000}"/>
    <cellStyle name="Normal 2 2 2 2 5 20 5 9" xfId="16569" xr:uid="{00000000-0005-0000-0000-0000B9400000}"/>
    <cellStyle name="Normal 2 2 2 2 5 20 6" xfId="16570" xr:uid="{00000000-0005-0000-0000-0000BA400000}"/>
    <cellStyle name="Normal 2 2 2 2 5 20 7" xfId="16571" xr:uid="{00000000-0005-0000-0000-0000BB400000}"/>
    <cellStyle name="Normal 2 2 2 2 5 20 8" xfId="16572" xr:uid="{00000000-0005-0000-0000-0000BC400000}"/>
    <cellStyle name="Normal 2 2 2 2 5 20 9" xfId="16573" xr:uid="{00000000-0005-0000-0000-0000BD400000}"/>
    <cellStyle name="Normal 2 2 2 2 5 21" xfId="16574" xr:uid="{00000000-0005-0000-0000-0000BE400000}"/>
    <cellStyle name="Normal 2 2 2 2 5 22" xfId="16575" xr:uid="{00000000-0005-0000-0000-0000BF400000}"/>
    <cellStyle name="Normal 2 2 2 2 5 3" xfId="16576" xr:uid="{00000000-0005-0000-0000-0000C0400000}"/>
    <cellStyle name="Normal 2 2 2 2 5 3 10" xfId="16577" xr:uid="{00000000-0005-0000-0000-0000C1400000}"/>
    <cellStyle name="Normal 2 2 2 2 5 3 11" xfId="16578" xr:uid="{00000000-0005-0000-0000-0000C2400000}"/>
    <cellStyle name="Normal 2 2 2 2 5 3 12" xfId="16579" xr:uid="{00000000-0005-0000-0000-0000C3400000}"/>
    <cellStyle name="Normal 2 2 2 2 5 3 13" xfId="16580" xr:uid="{00000000-0005-0000-0000-0000C4400000}"/>
    <cellStyle name="Normal 2 2 2 2 5 3 14" xfId="16581" xr:uid="{00000000-0005-0000-0000-0000C5400000}"/>
    <cellStyle name="Normal 2 2 2 2 5 3 2" xfId="16582" xr:uid="{00000000-0005-0000-0000-0000C6400000}"/>
    <cellStyle name="Normal 2 2 2 2 5 3 2 10" xfId="16583" xr:uid="{00000000-0005-0000-0000-0000C7400000}"/>
    <cellStyle name="Normal 2 2 2 2 5 3 2 2" xfId="16584" xr:uid="{00000000-0005-0000-0000-0000C8400000}"/>
    <cellStyle name="Normal 2 2 2 2 5 3 2 3" xfId="16585" xr:uid="{00000000-0005-0000-0000-0000C9400000}"/>
    <cellStyle name="Normal 2 2 2 2 5 3 2 4" xfId="16586" xr:uid="{00000000-0005-0000-0000-0000CA400000}"/>
    <cellStyle name="Normal 2 2 2 2 5 3 2 5" xfId="16587" xr:uid="{00000000-0005-0000-0000-0000CB400000}"/>
    <cellStyle name="Normal 2 2 2 2 5 3 2 6" xfId="16588" xr:uid="{00000000-0005-0000-0000-0000CC400000}"/>
    <cellStyle name="Normal 2 2 2 2 5 3 2 7" xfId="16589" xr:uid="{00000000-0005-0000-0000-0000CD400000}"/>
    <cellStyle name="Normal 2 2 2 2 5 3 2 8" xfId="16590" xr:uid="{00000000-0005-0000-0000-0000CE400000}"/>
    <cellStyle name="Normal 2 2 2 2 5 3 2 9" xfId="16591" xr:uid="{00000000-0005-0000-0000-0000CF400000}"/>
    <cellStyle name="Normal 2 2 2 2 5 3 3" xfId="16592" xr:uid="{00000000-0005-0000-0000-0000D0400000}"/>
    <cellStyle name="Normal 2 2 2 2 5 3 3 10" xfId="16593" xr:uid="{00000000-0005-0000-0000-0000D1400000}"/>
    <cellStyle name="Normal 2 2 2 2 5 3 3 2" xfId="16594" xr:uid="{00000000-0005-0000-0000-0000D2400000}"/>
    <cellStyle name="Normal 2 2 2 2 5 3 3 3" xfId="16595" xr:uid="{00000000-0005-0000-0000-0000D3400000}"/>
    <cellStyle name="Normal 2 2 2 2 5 3 3 4" xfId="16596" xr:uid="{00000000-0005-0000-0000-0000D4400000}"/>
    <cellStyle name="Normal 2 2 2 2 5 3 3 5" xfId="16597" xr:uid="{00000000-0005-0000-0000-0000D5400000}"/>
    <cellStyle name="Normal 2 2 2 2 5 3 3 6" xfId="16598" xr:uid="{00000000-0005-0000-0000-0000D6400000}"/>
    <cellStyle name="Normal 2 2 2 2 5 3 3 7" xfId="16599" xr:uid="{00000000-0005-0000-0000-0000D7400000}"/>
    <cellStyle name="Normal 2 2 2 2 5 3 3 8" xfId="16600" xr:uid="{00000000-0005-0000-0000-0000D8400000}"/>
    <cellStyle name="Normal 2 2 2 2 5 3 3 9" xfId="16601" xr:uid="{00000000-0005-0000-0000-0000D9400000}"/>
    <cellStyle name="Normal 2 2 2 2 5 3 4" xfId="16602" xr:uid="{00000000-0005-0000-0000-0000DA400000}"/>
    <cellStyle name="Normal 2 2 2 2 5 3 4 10" xfId="16603" xr:uid="{00000000-0005-0000-0000-0000DB400000}"/>
    <cellStyle name="Normal 2 2 2 2 5 3 4 2" xfId="16604" xr:uid="{00000000-0005-0000-0000-0000DC400000}"/>
    <cellStyle name="Normal 2 2 2 2 5 3 4 3" xfId="16605" xr:uid="{00000000-0005-0000-0000-0000DD400000}"/>
    <cellStyle name="Normal 2 2 2 2 5 3 4 4" xfId="16606" xr:uid="{00000000-0005-0000-0000-0000DE400000}"/>
    <cellStyle name="Normal 2 2 2 2 5 3 4 5" xfId="16607" xr:uid="{00000000-0005-0000-0000-0000DF400000}"/>
    <cellStyle name="Normal 2 2 2 2 5 3 4 6" xfId="16608" xr:uid="{00000000-0005-0000-0000-0000E0400000}"/>
    <cellStyle name="Normal 2 2 2 2 5 3 4 7" xfId="16609" xr:uid="{00000000-0005-0000-0000-0000E1400000}"/>
    <cellStyle name="Normal 2 2 2 2 5 3 4 8" xfId="16610" xr:uid="{00000000-0005-0000-0000-0000E2400000}"/>
    <cellStyle name="Normal 2 2 2 2 5 3 4 9" xfId="16611" xr:uid="{00000000-0005-0000-0000-0000E3400000}"/>
    <cellStyle name="Normal 2 2 2 2 5 3 5" xfId="16612" xr:uid="{00000000-0005-0000-0000-0000E4400000}"/>
    <cellStyle name="Normal 2 2 2 2 5 3 5 10" xfId="16613" xr:uid="{00000000-0005-0000-0000-0000E5400000}"/>
    <cellStyle name="Normal 2 2 2 2 5 3 5 2" xfId="16614" xr:uid="{00000000-0005-0000-0000-0000E6400000}"/>
    <cellStyle name="Normal 2 2 2 2 5 3 5 3" xfId="16615" xr:uid="{00000000-0005-0000-0000-0000E7400000}"/>
    <cellStyle name="Normal 2 2 2 2 5 3 5 4" xfId="16616" xr:uid="{00000000-0005-0000-0000-0000E8400000}"/>
    <cellStyle name="Normal 2 2 2 2 5 3 5 5" xfId="16617" xr:uid="{00000000-0005-0000-0000-0000E9400000}"/>
    <cellStyle name="Normal 2 2 2 2 5 3 5 6" xfId="16618" xr:uid="{00000000-0005-0000-0000-0000EA400000}"/>
    <cellStyle name="Normal 2 2 2 2 5 3 5 7" xfId="16619" xr:uid="{00000000-0005-0000-0000-0000EB400000}"/>
    <cellStyle name="Normal 2 2 2 2 5 3 5 8" xfId="16620" xr:uid="{00000000-0005-0000-0000-0000EC400000}"/>
    <cellStyle name="Normal 2 2 2 2 5 3 5 9" xfId="16621" xr:uid="{00000000-0005-0000-0000-0000ED400000}"/>
    <cellStyle name="Normal 2 2 2 2 5 3 6" xfId="16622" xr:uid="{00000000-0005-0000-0000-0000EE400000}"/>
    <cellStyle name="Normal 2 2 2 2 5 3 7" xfId="16623" xr:uid="{00000000-0005-0000-0000-0000EF400000}"/>
    <cellStyle name="Normal 2 2 2 2 5 3 8" xfId="16624" xr:uid="{00000000-0005-0000-0000-0000F0400000}"/>
    <cellStyle name="Normal 2 2 2 2 5 3 9" xfId="16625" xr:uid="{00000000-0005-0000-0000-0000F1400000}"/>
    <cellStyle name="Normal 2 2 2 2 5 4" xfId="16626" xr:uid="{00000000-0005-0000-0000-0000F2400000}"/>
    <cellStyle name="Normal 2 2 2 2 5 4 10" xfId="16627" xr:uid="{00000000-0005-0000-0000-0000F3400000}"/>
    <cellStyle name="Normal 2 2 2 2 5 4 11" xfId="16628" xr:uid="{00000000-0005-0000-0000-0000F4400000}"/>
    <cellStyle name="Normal 2 2 2 2 5 4 12" xfId="16629" xr:uid="{00000000-0005-0000-0000-0000F5400000}"/>
    <cellStyle name="Normal 2 2 2 2 5 4 13" xfId="16630" xr:uid="{00000000-0005-0000-0000-0000F6400000}"/>
    <cellStyle name="Normal 2 2 2 2 5 4 14" xfId="16631" xr:uid="{00000000-0005-0000-0000-0000F7400000}"/>
    <cellStyle name="Normal 2 2 2 2 5 4 2" xfId="16632" xr:uid="{00000000-0005-0000-0000-0000F8400000}"/>
    <cellStyle name="Normal 2 2 2 2 5 4 2 10" xfId="16633" xr:uid="{00000000-0005-0000-0000-0000F9400000}"/>
    <cellStyle name="Normal 2 2 2 2 5 4 2 2" xfId="16634" xr:uid="{00000000-0005-0000-0000-0000FA400000}"/>
    <cellStyle name="Normal 2 2 2 2 5 4 2 3" xfId="16635" xr:uid="{00000000-0005-0000-0000-0000FB400000}"/>
    <cellStyle name="Normal 2 2 2 2 5 4 2 4" xfId="16636" xr:uid="{00000000-0005-0000-0000-0000FC400000}"/>
    <cellStyle name="Normal 2 2 2 2 5 4 2 5" xfId="16637" xr:uid="{00000000-0005-0000-0000-0000FD400000}"/>
    <cellStyle name="Normal 2 2 2 2 5 4 2 6" xfId="16638" xr:uid="{00000000-0005-0000-0000-0000FE400000}"/>
    <cellStyle name="Normal 2 2 2 2 5 4 2 7" xfId="16639" xr:uid="{00000000-0005-0000-0000-0000FF400000}"/>
    <cellStyle name="Normal 2 2 2 2 5 4 2 8" xfId="16640" xr:uid="{00000000-0005-0000-0000-000000410000}"/>
    <cellStyle name="Normal 2 2 2 2 5 4 2 9" xfId="16641" xr:uid="{00000000-0005-0000-0000-000001410000}"/>
    <cellStyle name="Normal 2 2 2 2 5 4 3" xfId="16642" xr:uid="{00000000-0005-0000-0000-000002410000}"/>
    <cellStyle name="Normal 2 2 2 2 5 4 3 10" xfId="16643" xr:uid="{00000000-0005-0000-0000-000003410000}"/>
    <cellStyle name="Normal 2 2 2 2 5 4 3 2" xfId="16644" xr:uid="{00000000-0005-0000-0000-000004410000}"/>
    <cellStyle name="Normal 2 2 2 2 5 4 3 3" xfId="16645" xr:uid="{00000000-0005-0000-0000-000005410000}"/>
    <cellStyle name="Normal 2 2 2 2 5 4 3 4" xfId="16646" xr:uid="{00000000-0005-0000-0000-000006410000}"/>
    <cellStyle name="Normal 2 2 2 2 5 4 3 5" xfId="16647" xr:uid="{00000000-0005-0000-0000-000007410000}"/>
    <cellStyle name="Normal 2 2 2 2 5 4 3 6" xfId="16648" xr:uid="{00000000-0005-0000-0000-000008410000}"/>
    <cellStyle name="Normal 2 2 2 2 5 4 3 7" xfId="16649" xr:uid="{00000000-0005-0000-0000-000009410000}"/>
    <cellStyle name="Normal 2 2 2 2 5 4 3 8" xfId="16650" xr:uid="{00000000-0005-0000-0000-00000A410000}"/>
    <cellStyle name="Normal 2 2 2 2 5 4 3 9" xfId="16651" xr:uid="{00000000-0005-0000-0000-00000B410000}"/>
    <cellStyle name="Normal 2 2 2 2 5 4 4" xfId="16652" xr:uid="{00000000-0005-0000-0000-00000C410000}"/>
    <cellStyle name="Normal 2 2 2 2 5 4 4 10" xfId="16653" xr:uid="{00000000-0005-0000-0000-00000D410000}"/>
    <cellStyle name="Normal 2 2 2 2 5 4 4 2" xfId="16654" xr:uid="{00000000-0005-0000-0000-00000E410000}"/>
    <cellStyle name="Normal 2 2 2 2 5 4 4 3" xfId="16655" xr:uid="{00000000-0005-0000-0000-00000F410000}"/>
    <cellStyle name="Normal 2 2 2 2 5 4 4 4" xfId="16656" xr:uid="{00000000-0005-0000-0000-000010410000}"/>
    <cellStyle name="Normal 2 2 2 2 5 4 4 5" xfId="16657" xr:uid="{00000000-0005-0000-0000-000011410000}"/>
    <cellStyle name="Normal 2 2 2 2 5 4 4 6" xfId="16658" xr:uid="{00000000-0005-0000-0000-000012410000}"/>
    <cellStyle name="Normal 2 2 2 2 5 4 4 7" xfId="16659" xr:uid="{00000000-0005-0000-0000-000013410000}"/>
    <cellStyle name="Normal 2 2 2 2 5 4 4 8" xfId="16660" xr:uid="{00000000-0005-0000-0000-000014410000}"/>
    <cellStyle name="Normal 2 2 2 2 5 4 4 9" xfId="16661" xr:uid="{00000000-0005-0000-0000-000015410000}"/>
    <cellStyle name="Normal 2 2 2 2 5 4 5" xfId="16662" xr:uid="{00000000-0005-0000-0000-000016410000}"/>
    <cellStyle name="Normal 2 2 2 2 5 4 5 10" xfId="16663" xr:uid="{00000000-0005-0000-0000-000017410000}"/>
    <cellStyle name="Normal 2 2 2 2 5 4 5 2" xfId="16664" xr:uid="{00000000-0005-0000-0000-000018410000}"/>
    <cellStyle name="Normal 2 2 2 2 5 4 5 3" xfId="16665" xr:uid="{00000000-0005-0000-0000-000019410000}"/>
    <cellStyle name="Normal 2 2 2 2 5 4 5 4" xfId="16666" xr:uid="{00000000-0005-0000-0000-00001A410000}"/>
    <cellStyle name="Normal 2 2 2 2 5 4 5 5" xfId="16667" xr:uid="{00000000-0005-0000-0000-00001B410000}"/>
    <cellStyle name="Normal 2 2 2 2 5 4 5 6" xfId="16668" xr:uid="{00000000-0005-0000-0000-00001C410000}"/>
    <cellStyle name="Normal 2 2 2 2 5 4 5 7" xfId="16669" xr:uid="{00000000-0005-0000-0000-00001D410000}"/>
    <cellStyle name="Normal 2 2 2 2 5 4 5 8" xfId="16670" xr:uid="{00000000-0005-0000-0000-00001E410000}"/>
    <cellStyle name="Normal 2 2 2 2 5 4 5 9" xfId="16671" xr:uid="{00000000-0005-0000-0000-00001F410000}"/>
    <cellStyle name="Normal 2 2 2 2 5 4 6" xfId="16672" xr:uid="{00000000-0005-0000-0000-000020410000}"/>
    <cellStyle name="Normal 2 2 2 2 5 4 7" xfId="16673" xr:uid="{00000000-0005-0000-0000-000021410000}"/>
    <cellStyle name="Normal 2 2 2 2 5 4 8" xfId="16674" xr:uid="{00000000-0005-0000-0000-000022410000}"/>
    <cellStyle name="Normal 2 2 2 2 5 4 9" xfId="16675" xr:uid="{00000000-0005-0000-0000-000023410000}"/>
    <cellStyle name="Normal 2 2 2 2 5 5" xfId="16676" xr:uid="{00000000-0005-0000-0000-000024410000}"/>
    <cellStyle name="Normal 2 2 2 2 5 5 10" xfId="16677" xr:uid="{00000000-0005-0000-0000-000025410000}"/>
    <cellStyle name="Normal 2 2 2 2 5 5 11" xfId="16678" xr:uid="{00000000-0005-0000-0000-000026410000}"/>
    <cellStyle name="Normal 2 2 2 2 5 5 12" xfId="16679" xr:uid="{00000000-0005-0000-0000-000027410000}"/>
    <cellStyle name="Normal 2 2 2 2 5 5 13" xfId="16680" xr:uid="{00000000-0005-0000-0000-000028410000}"/>
    <cellStyle name="Normal 2 2 2 2 5 5 14" xfId="16681" xr:uid="{00000000-0005-0000-0000-000029410000}"/>
    <cellStyle name="Normal 2 2 2 2 5 5 2" xfId="16682" xr:uid="{00000000-0005-0000-0000-00002A410000}"/>
    <cellStyle name="Normal 2 2 2 2 5 5 2 10" xfId="16683" xr:uid="{00000000-0005-0000-0000-00002B410000}"/>
    <cellStyle name="Normal 2 2 2 2 5 5 2 2" xfId="16684" xr:uid="{00000000-0005-0000-0000-00002C410000}"/>
    <cellStyle name="Normal 2 2 2 2 5 5 2 3" xfId="16685" xr:uid="{00000000-0005-0000-0000-00002D410000}"/>
    <cellStyle name="Normal 2 2 2 2 5 5 2 4" xfId="16686" xr:uid="{00000000-0005-0000-0000-00002E410000}"/>
    <cellStyle name="Normal 2 2 2 2 5 5 2 5" xfId="16687" xr:uid="{00000000-0005-0000-0000-00002F410000}"/>
    <cellStyle name="Normal 2 2 2 2 5 5 2 6" xfId="16688" xr:uid="{00000000-0005-0000-0000-000030410000}"/>
    <cellStyle name="Normal 2 2 2 2 5 5 2 7" xfId="16689" xr:uid="{00000000-0005-0000-0000-000031410000}"/>
    <cellStyle name="Normal 2 2 2 2 5 5 2 8" xfId="16690" xr:uid="{00000000-0005-0000-0000-000032410000}"/>
    <cellStyle name="Normal 2 2 2 2 5 5 2 9" xfId="16691" xr:uid="{00000000-0005-0000-0000-000033410000}"/>
    <cellStyle name="Normal 2 2 2 2 5 5 3" xfId="16692" xr:uid="{00000000-0005-0000-0000-000034410000}"/>
    <cellStyle name="Normal 2 2 2 2 5 5 3 10" xfId="16693" xr:uid="{00000000-0005-0000-0000-000035410000}"/>
    <cellStyle name="Normal 2 2 2 2 5 5 3 2" xfId="16694" xr:uid="{00000000-0005-0000-0000-000036410000}"/>
    <cellStyle name="Normal 2 2 2 2 5 5 3 3" xfId="16695" xr:uid="{00000000-0005-0000-0000-000037410000}"/>
    <cellStyle name="Normal 2 2 2 2 5 5 3 4" xfId="16696" xr:uid="{00000000-0005-0000-0000-000038410000}"/>
    <cellStyle name="Normal 2 2 2 2 5 5 3 5" xfId="16697" xr:uid="{00000000-0005-0000-0000-000039410000}"/>
    <cellStyle name="Normal 2 2 2 2 5 5 3 6" xfId="16698" xr:uid="{00000000-0005-0000-0000-00003A410000}"/>
    <cellStyle name="Normal 2 2 2 2 5 5 3 7" xfId="16699" xr:uid="{00000000-0005-0000-0000-00003B410000}"/>
    <cellStyle name="Normal 2 2 2 2 5 5 3 8" xfId="16700" xr:uid="{00000000-0005-0000-0000-00003C410000}"/>
    <cellStyle name="Normal 2 2 2 2 5 5 3 9" xfId="16701" xr:uid="{00000000-0005-0000-0000-00003D410000}"/>
    <cellStyle name="Normal 2 2 2 2 5 5 4" xfId="16702" xr:uid="{00000000-0005-0000-0000-00003E410000}"/>
    <cellStyle name="Normal 2 2 2 2 5 5 4 10" xfId="16703" xr:uid="{00000000-0005-0000-0000-00003F410000}"/>
    <cellStyle name="Normal 2 2 2 2 5 5 4 2" xfId="16704" xr:uid="{00000000-0005-0000-0000-000040410000}"/>
    <cellStyle name="Normal 2 2 2 2 5 5 4 3" xfId="16705" xr:uid="{00000000-0005-0000-0000-000041410000}"/>
    <cellStyle name="Normal 2 2 2 2 5 5 4 4" xfId="16706" xr:uid="{00000000-0005-0000-0000-000042410000}"/>
    <cellStyle name="Normal 2 2 2 2 5 5 4 5" xfId="16707" xr:uid="{00000000-0005-0000-0000-000043410000}"/>
    <cellStyle name="Normal 2 2 2 2 5 5 4 6" xfId="16708" xr:uid="{00000000-0005-0000-0000-000044410000}"/>
    <cellStyle name="Normal 2 2 2 2 5 5 4 7" xfId="16709" xr:uid="{00000000-0005-0000-0000-000045410000}"/>
    <cellStyle name="Normal 2 2 2 2 5 5 4 8" xfId="16710" xr:uid="{00000000-0005-0000-0000-000046410000}"/>
    <cellStyle name="Normal 2 2 2 2 5 5 4 9" xfId="16711" xr:uid="{00000000-0005-0000-0000-000047410000}"/>
    <cellStyle name="Normal 2 2 2 2 5 5 5" xfId="16712" xr:uid="{00000000-0005-0000-0000-000048410000}"/>
    <cellStyle name="Normal 2 2 2 2 5 5 5 10" xfId="16713" xr:uid="{00000000-0005-0000-0000-000049410000}"/>
    <cellStyle name="Normal 2 2 2 2 5 5 5 2" xfId="16714" xr:uid="{00000000-0005-0000-0000-00004A410000}"/>
    <cellStyle name="Normal 2 2 2 2 5 5 5 3" xfId="16715" xr:uid="{00000000-0005-0000-0000-00004B410000}"/>
    <cellStyle name="Normal 2 2 2 2 5 5 5 4" xfId="16716" xr:uid="{00000000-0005-0000-0000-00004C410000}"/>
    <cellStyle name="Normal 2 2 2 2 5 5 5 5" xfId="16717" xr:uid="{00000000-0005-0000-0000-00004D410000}"/>
    <cellStyle name="Normal 2 2 2 2 5 5 5 6" xfId="16718" xr:uid="{00000000-0005-0000-0000-00004E410000}"/>
    <cellStyle name="Normal 2 2 2 2 5 5 5 7" xfId="16719" xr:uid="{00000000-0005-0000-0000-00004F410000}"/>
    <cellStyle name="Normal 2 2 2 2 5 5 5 8" xfId="16720" xr:uid="{00000000-0005-0000-0000-000050410000}"/>
    <cellStyle name="Normal 2 2 2 2 5 5 5 9" xfId="16721" xr:uid="{00000000-0005-0000-0000-000051410000}"/>
    <cellStyle name="Normal 2 2 2 2 5 5 6" xfId="16722" xr:uid="{00000000-0005-0000-0000-000052410000}"/>
    <cellStyle name="Normal 2 2 2 2 5 5 7" xfId="16723" xr:uid="{00000000-0005-0000-0000-000053410000}"/>
    <cellStyle name="Normal 2 2 2 2 5 5 8" xfId="16724" xr:uid="{00000000-0005-0000-0000-000054410000}"/>
    <cellStyle name="Normal 2 2 2 2 5 5 9" xfId="16725" xr:uid="{00000000-0005-0000-0000-000055410000}"/>
    <cellStyle name="Normal 2 2 2 2 5 6" xfId="16726" xr:uid="{00000000-0005-0000-0000-000056410000}"/>
    <cellStyle name="Normal 2 2 2 2 5 6 10" xfId="16727" xr:uid="{00000000-0005-0000-0000-000057410000}"/>
    <cellStyle name="Normal 2 2 2 2 5 6 11" xfId="16728" xr:uid="{00000000-0005-0000-0000-000058410000}"/>
    <cellStyle name="Normal 2 2 2 2 5 6 12" xfId="16729" xr:uid="{00000000-0005-0000-0000-000059410000}"/>
    <cellStyle name="Normal 2 2 2 2 5 6 13" xfId="16730" xr:uid="{00000000-0005-0000-0000-00005A410000}"/>
    <cellStyle name="Normal 2 2 2 2 5 6 14" xfId="16731" xr:uid="{00000000-0005-0000-0000-00005B410000}"/>
    <cellStyle name="Normal 2 2 2 2 5 6 2" xfId="16732" xr:uid="{00000000-0005-0000-0000-00005C410000}"/>
    <cellStyle name="Normal 2 2 2 2 5 6 2 10" xfId="16733" xr:uid="{00000000-0005-0000-0000-00005D410000}"/>
    <cellStyle name="Normal 2 2 2 2 5 6 2 2" xfId="16734" xr:uid="{00000000-0005-0000-0000-00005E410000}"/>
    <cellStyle name="Normal 2 2 2 2 5 6 2 3" xfId="16735" xr:uid="{00000000-0005-0000-0000-00005F410000}"/>
    <cellStyle name="Normal 2 2 2 2 5 6 2 4" xfId="16736" xr:uid="{00000000-0005-0000-0000-000060410000}"/>
    <cellStyle name="Normal 2 2 2 2 5 6 2 5" xfId="16737" xr:uid="{00000000-0005-0000-0000-000061410000}"/>
    <cellStyle name="Normal 2 2 2 2 5 6 2 6" xfId="16738" xr:uid="{00000000-0005-0000-0000-000062410000}"/>
    <cellStyle name="Normal 2 2 2 2 5 6 2 7" xfId="16739" xr:uid="{00000000-0005-0000-0000-000063410000}"/>
    <cellStyle name="Normal 2 2 2 2 5 6 2 8" xfId="16740" xr:uid="{00000000-0005-0000-0000-000064410000}"/>
    <cellStyle name="Normal 2 2 2 2 5 6 2 9" xfId="16741" xr:uid="{00000000-0005-0000-0000-000065410000}"/>
    <cellStyle name="Normal 2 2 2 2 5 6 3" xfId="16742" xr:uid="{00000000-0005-0000-0000-000066410000}"/>
    <cellStyle name="Normal 2 2 2 2 5 6 3 10" xfId="16743" xr:uid="{00000000-0005-0000-0000-000067410000}"/>
    <cellStyle name="Normal 2 2 2 2 5 6 3 2" xfId="16744" xr:uid="{00000000-0005-0000-0000-000068410000}"/>
    <cellStyle name="Normal 2 2 2 2 5 6 3 3" xfId="16745" xr:uid="{00000000-0005-0000-0000-000069410000}"/>
    <cellStyle name="Normal 2 2 2 2 5 6 3 4" xfId="16746" xr:uid="{00000000-0005-0000-0000-00006A410000}"/>
    <cellStyle name="Normal 2 2 2 2 5 6 3 5" xfId="16747" xr:uid="{00000000-0005-0000-0000-00006B410000}"/>
    <cellStyle name="Normal 2 2 2 2 5 6 3 6" xfId="16748" xr:uid="{00000000-0005-0000-0000-00006C410000}"/>
    <cellStyle name="Normal 2 2 2 2 5 6 3 7" xfId="16749" xr:uid="{00000000-0005-0000-0000-00006D410000}"/>
    <cellStyle name="Normal 2 2 2 2 5 6 3 8" xfId="16750" xr:uid="{00000000-0005-0000-0000-00006E410000}"/>
    <cellStyle name="Normal 2 2 2 2 5 6 3 9" xfId="16751" xr:uid="{00000000-0005-0000-0000-00006F410000}"/>
    <cellStyle name="Normal 2 2 2 2 5 6 4" xfId="16752" xr:uid="{00000000-0005-0000-0000-000070410000}"/>
    <cellStyle name="Normal 2 2 2 2 5 6 4 10" xfId="16753" xr:uid="{00000000-0005-0000-0000-000071410000}"/>
    <cellStyle name="Normal 2 2 2 2 5 6 4 2" xfId="16754" xr:uid="{00000000-0005-0000-0000-000072410000}"/>
    <cellStyle name="Normal 2 2 2 2 5 6 4 3" xfId="16755" xr:uid="{00000000-0005-0000-0000-000073410000}"/>
    <cellStyle name="Normal 2 2 2 2 5 6 4 4" xfId="16756" xr:uid="{00000000-0005-0000-0000-000074410000}"/>
    <cellStyle name="Normal 2 2 2 2 5 6 4 5" xfId="16757" xr:uid="{00000000-0005-0000-0000-000075410000}"/>
    <cellStyle name="Normal 2 2 2 2 5 6 4 6" xfId="16758" xr:uid="{00000000-0005-0000-0000-000076410000}"/>
    <cellStyle name="Normal 2 2 2 2 5 6 4 7" xfId="16759" xr:uid="{00000000-0005-0000-0000-000077410000}"/>
    <cellStyle name="Normal 2 2 2 2 5 6 4 8" xfId="16760" xr:uid="{00000000-0005-0000-0000-000078410000}"/>
    <cellStyle name="Normal 2 2 2 2 5 6 4 9" xfId="16761" xr:uid="{00000000-0005-0000-0000-000079410000}"/>
    <cellStyle name="Normal 2 2 2 2 5 6 5" xfId="16762" xr:uid="{00000000-0005-0000-0000-00007A410000}"/>
    <cellStyle name="Normal 2 2 2 2 5 6 5 10" xfId="16763" xr:uid="{00000000-0005-0000-0000-00007B410000}"/>
    <cellStyle name="Normal 2 2 2 2 5 6 5 2" xfId="16764" xr:uid="{00000000-0005-0000-0000-00007C410000}"/>
    <cellStyle name="Normal 2 2 2 2 5 6 5 3" xfId="16765" xr:uid="{00000000-0005-0000-0000-00007D410000}"/>
    <cellStyle name="Normal 2 2 2 2 5 6 5 4" xfId="16766" xr:uid="{00000000-0005-0000-0000-00007E410000}"/>
    <cellStyle name="Normal 2 2 2 2 5 6 5 5" xfId="16767" xr:uid="{00000000-0005-0000-0000-00007F410000}"/>
    <cellStyle name="Normal 2 2 2 2 5 6 5 6" xfId="16768" xr:uid="{00000000-0005-0000-0000-000080410000}"/>
    <cellStyle name="Normal 2 2 2 2 5 6 5 7" xfId="16769" xr:uid="{00000000-0005-0000-0000-000081410000}"/>
    <cellStyle name="Normal 2 2 2 2 5 6 5 8" xfId="16770" xr:uid="{00000000-0005-0000-0000-000082410000}"/>
    <cellStyle name="Normal 2 2 2 2 5 6 5 9" xfId="16771" xr:uid="{00000000-0005-0000-0000-000083410000}"/>
    <cellStyle name="Normal 2 2 2 2 5 6 6" xfId="16772" xr:uid="{00000000-0005-0000-0000-000084410000}"/>
    <cellStyle name="Normal 2 2 2 2 5 6 7" xfId="16773" xr:uid="{00000000-0005-0000-0000-000085410000}"/>
    <cellStyle name="Normal 2 2 2 2 5 6 8" xfId="16774" xr:uid="{00000000-0005-0000-0000-000086410000}"/>
    <cellStyle name="Normal 2 2 2 2 5 6 9" xfId="16775" xr:uid="{00000000-0005-0000-0000-000087410000}"/>
    <cellStyle name="Normal 2 2 2 2 5 7" xfId="16776" xr:uid="{00000000-0005-0000-0000-000088410000}"/>
    <cellStyle name="Normal 2 2 2 2 5 7 10" xfId="16777" xr:uid="{00000000-0005-0000-0000-000089410000}"/>
    <cellStyle name="Normal 2 2 2 2 5 7 11" xfId="16778" xr:uid="{00000000-0005-0000-0000-00008A410000}"/>
    <cellStyle name="Normal 2 2 2 2 5 7 12" xfId="16779" xr:uid="{00000000-0005-0000-0000-00008B410000}"/>
    <cellStyle name="Normal 2 2 2 2 5 7 13" xfId="16780" xr:uid="{00000000-0005-0000-0000-00008C410000}"/>
    <cellStyle name="Normal 2 2 2 2 5 7 14" xfId="16781" xr:uid="{00000000-0005-0000-0000-00008D410000}"/>
    <cellStyle name="Normal 2 2 2 2 5 7 2" xfId="16782" xr:uid="{00000000-0005-0000-0000-00008E410000}"/>
    <cellStyle name="Normal 2 2 2 2 5 7 2 10" xfId="16783" xr:uid="{00000000-0005-0000-0000-00008F410000}"/>
    <cellStyle name="Normal 2 2 2 2 5 7 2 2" xfId="16784" xr:uid="{00000000-0005-0000-0000-000090410000}"/>
    <cellStyle name="Normal 2 2 2 2 5 7 2 3" xfId="16785" xr:uid="{00000000-0005-0000-0000-000091410000}"/>
    <cellStyle name="Normal 2 2 2 2 5 7 2 4" xfId="16786" xr:uid="{00000000-0005-0000-0000-000092410000}"/>
    <cellStyle name="Normal 2 2 2 2 5 7 2 5" xfId="16787" xr:uid="{00000000-0005-0000-0000-000093410000}"/>
    <cellStyle name="Normal 2 2 2 2 5 7 2 6" xfId="16788" xr:uid="{00000000-0005-0000-0000-000094410000}"/>
    <cellStyle name="Normal 2 2 2 2 5 7 2 7" xfId="16789" xr:uid="{00000000-0005-0000-0000-000095410000}"/>
    <cellStyle name="Normal 2 2 2 2 5 7 2 8" xfId="16790" xr:uid="{00000000-0005-0000-0000-000096410000}"/>
    <cellStyle name="Normal 2 2 2 2 5 7 2 9" xfId="16791" xr:uid="{00000000-0005-0000-0000-000097410000}"/>
    <cellStyle name="Normal 2 2 2 2 5 7 3" xfId="16792" xr:uid="{00000000-0005-0000-0000-000098410000}"/>
    <cellStyle name="Normal 2 2 2 2 5 7 3 10" xfId="16793" xr:uid="{00000000-0005-0000-0000-000099410000}"/>
    <cellStyle name="Normal 2 2 2 2 5 7 3 2" xfId="16794" xr:uid="{00000000-0005-0000-0000-00009A410000}"/>
    <cellStyle name="Normal 2 2 2 2 5 7 3 3" xfId="16795" xr:uid="{00000000-0005-0000-0000-00009B410000}"/>
    <cellStyle name="Normal 2 2 2 2 5 7 3 4" xfId="16796" xr:uid="{00000000-0005-0000-0000-00009C410000}"/>
    <cellStyle name="Normal 2 2 2 2 5 7 3 5" xfId="16797" xr:uid="{00000000-0005-0000-0000-00009D410000}"/>
    <cellStyle name="Normal 2 2 2 2 5 7 3 6" xfId="16798" xr:uid="{00000000-0005-0000-0000-00009E410000}"/>
    <cellStyle name="Normal 2 2 2 2 5 7 3 7" xfId="16799" xr:uid="{00000000-0005-0000-0000-00009F410000}"/>
    <cellStyle name="Normal 2 2 2 2 5 7 3 8" xfId="16800" xr:uid="{00000000-0005-0000-0000-0000A0410000}"/>
    <cellStyle name="Normal 2 2 2 2 5 7 3 9" xfId="16801" xr:uid="{00000000-0005-0000-0000-0000A1410000}"/>
    <cellStyle name="Normal 2 2 2 2 5 7 4" xfId="16802" xr:uid="{00000000-0005-0000-0000-0000A2410000}"/>
    <cellStyle name="Normal 2 2 2 2 5 7 4 10" xfId="16803" xr:uid="{00000000-0005-0000-0000-0000A3410000}"/>
    <cellStyle name="Normal 2 2 2 2 5 7 4 2" xfId="16804" xr:uid="{00000000-0005-0000-0000-0000A4410000}"/>
    <cellStyle name="Normal 2 2 2 2 5 7 4 3" xfId="16805" xr:uid="{00000000-0005-0000-0000-0000A5410000}"/>
    <cellStyle name="Normal 2 2 2 2 5 7 4 4" xfId="16806" xr:uid="{00000000-0005-0000-0000-0000A6410000}"/>
    <cellStyle name="Normal 2 2 2 2 5 7 4 5" xfId="16807" xr:uid="{00000000-0005-0000-0000-0000A7410000}"/>
    <cellStyle name="Normal 2 2 2 2 5 7 4 6" xfId="16808" xr:uid="{00000000-0005-0000-0000-0000A8410000}"/>
    <cellStyle name="Normal 2 2 2 2 5 7 4 7" xfId="16809" xr:uid="{00000000-0005-0000-0000-0000A9410000}"/>
    <cellStyle name="Normal 2 2 2 2 5 7 4 8" xfId="16810" xr:uid="{00000000-0005-0000-0000-0000AA410000}"/>
    <cellStyle name="Normal 2 2 2 2 5 7 4 9" xfId="16811" xr:uid="{00000000-0005-0000-0000-0000AB410000}"/>
    <cellStyle name="Normal 2 2 2 2 5 7 5" xfId="16812" xr:uid="{00000000-0005-0000-0000-0000AC410000}"/>
    <cellStyle name="Normal 2 2 2 2 5 7 5 10" xfId="16813" xr:uid="{00000000-0005-0000-0000-0000AD410000}"/>
    <cellStyle name="Normal 2 2 2 2 5 7 5 2" xfId="16814" xr:uid="{00000000-0005-0000-0000-0000AE410000}"/>
    <cellStyle name="Normal 2 2 2 2 5 7 5 3" xfId="16815" xr:uid="{00000000-0005-0000-0000-0000AF410000}"/>
    <cellStyle name="Normal 2 2 2 2 5 7 5 4" xfId="16816" xr:uid="{00000000-0005-0000-0000-0000B0410000}"/>
    <cellStyle name="Normal 2 2 2 2 5 7 5 5" xfId="16817" xr:uid="{00000000-0005-0000-0000-0000B1410000}"/>
    <cellStyle name="Normal 2 2 2 2 5 7 5 6" xfId="16818" xr:uid="{00000000-0005-0000-0000-0000B2410000}"/>
    <cellStyle name="Normal 2 2 2 2 5 7 5 7" xfId="16819" xr:uid="{00000000-0005-0000-0000-0000B3410000}"/>
    <cellStyle name="Normal 2 2 2 2 5 7 5 8" xfId="16820" xr:uid="{00000000-0005-0000-0000-0000B4410000}"/>
    <cellStyle name="Normal 2 2 2 2 5 7 5 9" xfId="16821" xr:uid="{00000000-0005-0000-0000-0000B5410000}"/>
    <cellStyle name="Normal 2 2 2 2 5 7 6" xfId="16822" xr:uid="{00000000-0005-0000-0000-0000B6410000}"/>
    <cellStyle name="Normal 2 2 2 2 5 7 7" xfId="16823" xr:uid="{00000000-0005-0000-0000-0000B7410000}"/>
    <cellStyle name="Normal 2 2 2 2 5 7 8" xfId="16824" xr:uid="{00000000-0005-0000-0000-0000B8410000}"/>
    <cellStyle name="Normal 2 2 2 2 5 7 9" xfId="16825" xr:uid="{00000000-0005-0000-0000-0000B9410000}"/>
    <cellStyle name="Normal 2 2 2 2 5 8" xfId="16826" xr:uid="{00000000-0005-0000-0000-0000BA410000}"/>
    <cellStyle name="Normal 2 2 2 2 5 8 10" xfId="16827" xr:uid="{00000000-0005-0000-0000-0000BB410000}"/>
    <cellStyle name="Normal 2 2 2 2 5 8 11" xfId="16828" xr:uid="{00000000-0005-0000-0000-0000BC410000}"/>
    <cellStyle name="Normal 2 2 2 2 5 8 12" xfId="16829" xr:uid="{00000000-0005-0000-0000-0000BD410000}"/>
    <cellStyle name="Normal 2 2 2 2 5 8 13" xfId="16830" xr:uid="{00000000-0005-0000-0000-0000BE410000}"/>
    <cellStyle name="Normal 2 2 2 2 5 8 14" xfId="16831" xr:uid="{00000000-0005-0000-0000-0000BF410000}"/>
    <cellStyle name="Normal 2 2 2 2 5 8 2" xfId="16832" xr:uid="{00000000-0005-0000-0000-0000C0410000}"/>
    <cellStyle name="Normal 2 2 2 2 5 8 2 10" xfId="16833" xr:uid="{00000000-0005-0000-0000-0000C1410000}"/>
    <cellStyle name="Normal 2 2 2 2 5 8 2 2" xfId="16834" xr:uid="{00000000-0005-0000-0000-0000C2410000}"/>
    <cellStyle name="Normal 2 2 2 2 5 8 2 3" xfId="16835" xr:uid="{00000000-0005-0000-0000-0000C3410000}"/>
    <cellStyle name="Normal 2 2 2 2 5 8 2 4" xfId="16836" xr:uid="{00000000-0005-0000-0000-0000C4410000}"/>
    <cellStyle name="Normal 2 2 2 2 5 8 2 5" xfId="16837" xr:uid="{00000000-0005-0000-0000-0000C5410000}"/>
    <cellStyle name="Normal 2 2 2 2 5 8 2 6" xfId="16838" xr:uid="{00000000-0005-0000-0000-0000C6410000}"/>
    <cellStyle name="Normal 2 2 2 2 5 8 2 7" xfId="16839" xr:uid="{00000000-0005-0000-0000-0000C7410000}"/>
    <cellStyle name="Normal 2 2 2 2 5 8 2 8" xfId="16840" xr:uid="{00000000-0005-0000-0000-0000C8410000}"/>
    <cellStyle name="Normal 2 2 2 2 5 8 2 9" xfId="16841" xr:uid="{00000000-0005-0000-0000-0000C9410000}"/>
    <cellStyle name="Normal 2 2 2 2 5 8 3" xfId="16842" xr:uid="{00000000-0005-0000-0000-0000CA410000}"/>
    <cellStyle name="Normal 2 2 2 2 5 8 3 10" xfId="16843" xr:uid="{00000000-0005-0000-0000-0000CB410000}"/>
    <cellStyle name="Normal 2 2 2 2 5 8 3 2" xfId="16844" xr:uid="{00000000-0005-0000-0000-0000CC410000}"/>
    <cellStyle name="Normal 2 2 2 2 5 8 3 3" xfId="16845" xr:uid="{00000000-0005-0000-0000-0000CD410000}"/>
    <cellStyle name="Normal 2 2 2 2 5 8 3 4" xfId="16846" xr:uid="{00000000-0005-0000-0000-0000CE410000}"/>
    <cellStyle name="Normal 2 2 2 2 5 8 3 5" xfId="16847" xr:uid="{00000000-0005-0000-0000-0000CF410000}"/>
    <cellStyle name="Normal 2 2 2 2 5 8 3 6" xfId="16848" xr:uid="{00000000-0005-0000-0000-0000D0410000}"/>
    <cellStyle name="Normal 2 2 2 2 5 8 3 7" xfId="16849" xr:uid="{00000000-0005-0000-0000-0000D1410000}"/>
    <cellStyle name="Normal 2 2 2 2 5 8 3 8" xfId="16850" xr:uid="{00000000-0005-0000-0000-0000D2410000}"/>
    <cellStyle name="Normal 2 2 2 2 5 8 3 9" xfId="16851" xr:uid="{00000000-0005-0000-0000-0000D3410000}"/>
    <cellStyle name="Normal 2 2 2 2 5 8 4" xfId="16852" xr:uid="{00000000-0005-0000-0000-0000D4410000}"/>
    <cellStyle name="Normal 2 2 2 2 5 8 4 10" xfId="16853" xr:uid="{00000000-0005-0000-0000-0000D5410000}"/>
    <cellStyle name="Normal 2 2 2 2 5 8 4 2" xfId="16854" xr:uid="{00000000-0005-0000-0000-0000D6410000}"/>
    <cellStyle name="Normal 2 2 2 2 5 8 4 3" xfId="16855" xr:uid="{00000000-0005-0000-0000-0000D7410000}"/>
    <cellStyle name="Normal 2 2 2 2 5 8 4 4" xfId="16856" xr:uid="{00000000-0005-0000-0000-0000D8410000}"/>
    <cellStyle name="Normal 2 2 2 2 5 8 4 5" xfId="16857" xr:uid="{00000000-0005-0000-0000-0000D9410000}"/>
    <cellStyle name="Normal 2 2 2 2 5 8 4 6" xfId="16858" xr:uid="{00000000-0005-0000-0000-0000DA410000}"/>
    <cellStyle name="Normal 2 2 2 2 5 8 4 7" xfId="16859" xr:uid="{00000000-0005-0000-0000-0000DB410000}"/>
    <cellStyle name="Normal 2 2 2 2 5 8 4 8" xfId="16860" xr:uid="{00000000-0005-0000-0000-0000DC410000}"/>
    <cellStyle name="Normal 2 2 2 2 5 8 4 9" xfId="16861" xr:uid="{00000000-0005-0000-0000-0000DD410000}"/>
    <cellStyle name="Normal 2 2 2 2 5 8 5" xfId="16862" xr:uid="{00000000-0005-0000-0000-0000DE410000}"/>
    <cellStyle name="Normal 2 2 2 2 5 8 5 10" xfId="16863" xr:uid="{00000000-0005-0000-0000-0000DF410000}"/>
    <cellStyle name="Normal 2 2 2 2 5 8 5 2" xfId="16864" xr:uid="{00000000-0005-0000-0000-0000E0410000}"/>
    <cellStyle name="Normal 2 2 2 2 5 8 5 3" xfId="16865" xr:uid="{00000000-0005-0000-0000-0000E1410000}"/>
    <cellStyle name="Normal 2 2 2 2 5 8 5 4" xfId="16866" xr:uid="{00000000-0005-0000-0000-0000E2410000}"/>
    <cellStyle name="Normal 2 2 2 2 5 8 5 5" xfId="16867" xr:uid="{00000000-0005-0000-0000-0000E3410000}"/>
    <cellStyle name="Normal 2 2 2 2 5 8 5 6" xfId="16868" xr:uid="{00000000-0005-0000-0000-0000E4410000}"/>
    <cellStyle name="Normal 2 2 2 2 5 8 5 7" xfId="16869" xr:uid="{00000000-0005-0000-0000-0000E5410000}"/>
    <cellStyle name="Normal 2 2 2 2 5 8 5 8" xfId="16870" xr:uid="{00000000-0005-0000-0000-0000E6410000}"/>
    <cellStyle name="Normal 2 2 2 2 5 8 5 9" xfId="16871" xr:uid="{00000000-0005-0000-0000-0000E7410000}"/>
    <cellStyle name="Normal 2 2 2 2 5 8 6" xfId="16872" xr:uid="{00000000-0005-0000-0000-0000E8410000}"/>
    <cellStyle name="Normal 2 2 2 2 5 8 7" xfId="16873" xr:uid="{00000000-0005-0000-0000-0000E9410000}"/>
    <cellStyle name="Normal 2 2 2 2 5 8 8" xfId="16874" xr:uid="{00000000-0005-0000-0000-0000EA410000}"/>
    <cellStyle name="Normal 2 2 2 2 5 8 9" xfId="16875" xr:uid="{00000000-0005-0000-0000-0000EB410000}"/>
    <cellStyle name="Normal 2 2 2 2 5 9" xfId="16876" xr:uid="{00000000-0005-0000-0000-0000EC410000}"/>
    <cellStyle name="Normal 2 2 2 2 5 9 10" xfId="16877" xr:uid="{00000000-0005-0000-0000-0000ED410000}"/>
    <cellStyle name="Normal 2 2 2 2 5 9 11" xfId="16878" xr:uid="{00000000-0005-0000-0000-0000EE410000}"/>
    <cellStyle name="Normal 2 2 2 2 5 9 12" xfId="16879" xr:uid="{00000000-0005-0000-0000-0000EF410000}"/>
    <cellStyle name="Normal 2 2 2 2 5 9 13" xfId="16880" xr:uid="{00000000-0005-0000-0000-0000F0410000}"/>
    <cellStyle name="Normal 2 2 2 2 5 9 14" xfId="16881" xr:uid="{00000000-0005-0000-0000-0000F1410000}"/>
    <cellStyle name="Normal 2 2 2 2 5 9 2" xfId="16882" xr:uid="{00000000-0005-0000-0000-0000F2410000}"/>
    <cellStyle name="Normal 2 2 2 2 5 9 2 10" xfId="16883" xr:uid="{00000000-0005-0000-0000-0000F3410000}"/>
    <cellStyle name="Normal 2 2 2 2 5 9 2 2" xfId="16884" xr:uid="{00000000-0005-0000-0000-0000F4410000}"/>
    <cellStyle name="Normal 2 2 2 2 5 9 2 3" xfId="16885" xr:uid="{00000000-0005-0000-0000-0000F5410000}"/>
    <cellStyle name="Normal 2 2 2 2 5 9 2 4" xfId="16886" xr:uid="{00000000-0005-0000-0000-0000F6410000}"/>
    <cellStyle name="Normal 2 2 2 2 5 9 2 5" xfId="16887" xr:uid="{00000000-0005-0000-0000-0000F7410000}"/>
    <cellStyle name="Normal 2 2 2 2 5 9 2 6" xfId="16888" xr:uid="{00000000-0005-0000-0000-0000F8410000}"/>
    <cellStyle name="Normal 2 2 2 2 5 9 2 7" xfId="16889" xr:uid="{00000000-0005-0000-0000-0000F9410000}"/>
    <cellStyle name="Normal 2 2 2 2 5 9 2 8" xfId="16890" xr:uid="{00000000-0005-0000-0000-0000FA410000}"/>
    <cellStyle name="Normal 2 2 2 2 5 9 2 9" xfId="16891" xr:uid="{00000000-0005-0000-0000-0000FB410000}"/>
    <cellStyle name="Normal 2 2 2 2 5 9 3" xfId="16892" xr:uid="{00000000-0005-0000-0000-0000FC410000}"/>
    <cellStyle name="Normal 2 2 2 2 5 9 3 10" xfId="16893" xr:uid="{00000000-0005-0000-0000-0000FD410000}"/>
    <cellStyle name="Normal 2 2 2 2 5 9 3 2" xfId="16894" xr:uid="{00000000-0005-0000-0000-0000FE410000}"/>
    <cellStyle name="Normal 2 2 2 2 5 9 3 3" xfId="16895" xr:uid="{00000000-0005-0000-0000-0000FF410000}"/>
    <cellStyle name="Normal 2 2 2 2 5 9 3 4" xfId="16896" xr:uid="{00000000-0005-0000-0000-000000420000}"/>
    <cellStyle name="Normal 2 2 2 2 5 9 3 5" xfId="16897" xr:uid="{00000000-0005-0000-0000-000001420000}"/>
    <cellStyle name="Normal 2 2 2 2 5 9 3 6" xfId="16898" xr:uid="{00000000-0005-0000-0000-000002420000}"/>
    <cellStyle name="Normal 2 2 2 2 5 9 3 7" xfId="16899" xr:uid="{00000000-0005-0000-0000-000003420000}"/>
    <cellStyle name="Normal 2 2 2 2 5 9 3 8" xfId="16900" xr:uid="{00000000-0005-0000-0000-000004420000}"/>
    <cellStyle name="Normal 2 2 2 2 5 9 3 9" xfId="16901" xr:uid="{00000000-0005-0000-0000-000005420000}"/>
    <cellStyle name="Normal 2 2 2 2 5 9 4" xfId="16902" xr:uid="{00000000-0005-0000-0000-000006420000}"/>
    <cellStyle name="Normal 2 2 2 2 5 9 4 10" xfId="16903" xr:uid="{00000000-0005-0000-0000-000007420000}"/>
    <cellStyle name="Normal 2 2 2 2 5 9 4 2" xfId="16904" xr:uid="{00000000-0005-0000-0000-000008420000}"/>
    <cellStyle name="Normal 2 2 2 2 5 9 4 3" xfId="16905" xr:uid="{00000000-0005-0000-0000-000009420000}"/>
    <cellStyle name="Normal 2 2 2 2 5 9 4 4" xfId="16906" xr:uid="{00000000-0005-0000-0000-00000A420000}"/>
    <cellStyle name="Normal 2 2 2 2 5 9 4 5" xfId="16907" xr:uid="{00000000-0005-0000-0000-00000B420000}"/>
    <cellStyle name="Normal 2 2 2 2 5 9 4 6" xfId="16908" xr:uid="{00000000-0005-0000-0000-00000C420000}"/>
    <cellStyle name="Normal 2 2 2 2 5 9 4 7" xfId="16909" xr:uid="{00000000-0005-0000-0000-00000D420000}"/>
    <cellStyle name="Normal 2 2 2 2 5 9 4 8" xfId="16910" xr:uid="{00000000-0005-0000-0000-00000E420000}"/>
    <cellStyle name="Normal 2 2 2 2 5 9 4 9" xfId="16911" xr:uid="{00000000-0005-0000-0000-00000F420000}"/>
    <cellStyle name="Normal 2 2 2 2 5 9 5" xfId="16912" xr:uid="{00000000-0005-0000-0000-000010420000}"/>
    <cellStyle name="Normal 2 2 2 2 5 9 5 10" xfId="16913" xr:uid="{00000000-0005-0000-0000-000011420000}"/>
    <cellStyle name="Normal 2 2 2 2 5 9 5 2" xfId="16914" xr:uid="{00000000-0005-0000-0000-000012420000}"/>
    <cellStyle name="Normal 2 2 2 2 5 9 5 3" xfId="16915" xr:uid="{00000000-0005-0000-0000-000013420000}"/>
    <cellStyle name="Normal 2 2 2 2 5 9 5 4" xfId="16916" xr:uid="{00000000-0005-0000-0000-000014420000}"/>
    <cellStyle name="Normal 2 2 2 2 5 9 5 5" xfId="16917" xr:uid="{00000000-0005-0000-0000-000015420000}"/>
    <cellStyle name="Normal 2 2 2 2 5 9 5 6" xfId="16918" xr:uid="{00000000-0005-0000-0000-000016420000}"/>
    <cellStyle name="Normal 2 2 2 2 5 9 5 7" xfId="16919" xr:uid="{00000000-0005-0000-0000-000017420000}"/>
    <cellStyle name="Normal 2 2 2 2 5 9 5 8" xfId="16920" xr:uid="{00000000-0005-0000-0000-000018420000}"/>
    <cellStyle name="Normal 2 2 2 2 5 9 5 9" xfId="16921" xr:uid="{00000000-0005-0000-0000-000019420000}"/>
    <cellStyle name="Normal 2 2 2 2 5 9 6" xfId="16922" xr:uid="{00000000-0005-0000-0000-00001A420000}"/>
    <cellStyle name="Normal 2 2 2 2 5 9 7" xfId="16923" xr:uid="{00000000-0005-0000-0000-00001B420000}"/>
    <cellStyle name="Normal 2 2 2 2 5 9 8" xfId="16924" xr:uid="{00000000-0005-0000-0000-00001C420000}"/>
    <cellStyle name="Normal 2 2 2 2 5 9 9" xfId="16925" xr:uid="{00000000-0005-0000-0000-00001D420000}"/>
    <cellStyle name="Normal 2 2 2 2 50" xfId="16926" xr:uid="{00000000-0005-0000-0000-00001E420000}"/>
    <cellStyle name="Normal 2 2 2 2 51" xfId="16927" xr:uid="{00000000-0005-0000-0000-00001F420000}"/>
    <cellStyle name="Normal 2 2 2 2 6" xfId="16928" xr:uid="{00000000-0005-0000-0000-000020420000}"/>
    <cellStyle name="Normal 2 2 2 2 6 2" xfId="67" xr:uid="{00000000-0005-0000-0000-000043000000}"/>
    <cellStyle name="Normal 2 2 2 2 6 2 2" xfId="72" xr:uid="{00000000-0005-0000-0000-000048000000}"/>
    <cellStyle name="Normal 2 2 2 2 6 2 3" xfId="76" xr:uid="{00000000-0005-0000-0000-00004C000000}"/>
    <cellStyle name="Normal 2 2 2 2 6 2 4" xfId="16929" xr:uid="{00000000-0005-0000-0000-000021420000}"/>
    <cellStyle name="Normal 2 2 2 2 7" xfId="16930" xr:uid="{00000000-0005-0000-0000-000022420000}"/>
    <cellStyle name="Normal 2 2 2 2 8" xfId="16931" xr:uid="{00000000-0005-0000-0000-000023420000}"/>
    <cellStyle name="Normal 2 2 2 2 9" xfId="16932" xr:uid="{00000000-0005-0000-0000-000024420000}"/>
    <cellStyle name="Normal 2 2 2 20" xfId="16933" xr:uid="{00000000-0005-0000-0000-000025420000}"/>
    <cellStyle name="Normal 2 2 2 20 10" xfId="16934" xr:uid="{00000000-0005-0000-0000-000026420000}"/>
    <cellStyle name="Normal 2 2 2 20 11" xfId="16935" xr:uid="{00000000-0005-0000-0000-000027420000}"/>
    <cellStyle name="Normal 2 2 2 20 12" xfId="16936" xr:uid="{00000000-0005-0000-0000-000028420000}"/>
    <cellStyle name="Normal 2 2 2 20 13" xfId="16937" xr:uid="{00000000-0005-0000-0000-000029420000}"/>
    <cellStyle name="Normal 2 2 2 20 14" xfId="16938" xr:uid="{00000000-0005-0000-0000-00002A420000}"/>
    <cellStyle name="Normal 2 2 2 20 2" xfId="16939" xr:uid="{00000000-0005-0000-0000-00002B420000}"/>
    <cellStyle name="Normal 2 2 2 20 2 10" xfId="16940" xr:uid="{00000000-0005-0000-0000-00002C420000}"/>
    <cellStyle name="Normal 2 2 2 20 2 2" xfId="16941" xr:uid="{00000000-0005-0000-0000-00002D420000}"/>
    <cellStyle name="Normal 2 2 2 20 2 3" xfId="16942" xr:uid="{00000000-0005-0000-0000-00002E420000}"/>
    <cellStyle name="Normal 2 2 2 20 2 4" xfId="16943" xr:uid="{00000000-0005-0000-0000-00002F420000}"/>
    <cellStyle name="Normal 2 2 2 20 2 5" xfId="16944" xr:uid="{00000000-0005-0000-0000-000030420000}"/>
    <cellStyle name="Normal 2 2 2 20 2 6" xfId="16945" xr:uid="{00000000-0005-0000-0000-000031420000}"/>
    <cellStyle name="Normal 2 2 2 20 2 7" xfId="16946" xr:uid="{00000000-0005-0000-0000-000032420000}"/>
    <cellStyle name="Normal 2 2 2 20 2 8" xfId="16947" xr:uid="{00000000-0005-0000-0000-000033420000}"/>
    <cellStyle name="Normal 2 2 2 20 2 9" xfId="16948" xr:uid="{00000000-0005-0000-0000-000034420000}"/>
    <cellStyle name="Normal 2 2 2 20 3" xfId="16949" xr:uid="{00000000-0005-0000-0000-000035420000}"/>
    <cellStyle name="Normal 2 2 2 20 3 10" xfId="16950" xr:uid="{00000000-0005-0000-0000-000036420000}"/>
    <cellStyle name="Normal 2 2 2 20 3 2" xfId="16951" xr:uid="{00000000-0005-0000-0000-000037420000}"/>
    <cellStyle name="Normal 2 2 2 20 3 3" xfId="16952" xr:uid="{00000000-0005-0000-0000-000038420000}"/>
    <cellStyle name="Normal 2 2 2 20 3 4" xfId="16953" xr:uid="{00000000-0005-0000-0000-000039420000}"/>
    <cellStyle name="Normal 2 2 2 20 3 5" xfId="16954" xr:uid="{00000000-0005-0000-0000-00003A420000}"/>
    <cellStyle name="Normal 2 2 2 20 3 6" xfId="16955" xr:uid="{00000000-0005-0000-0000-00003B420000}"/>
    <cellStyle name="Normal 2 2 2 20 3 7" xfId="16956" xr:uid="{00000000-0005-0000-0000-00003C420000}"/>
    <cellStyle name="Normal 2 2 2 20 3 8" xfId="16957" xr:uid="{00000000-0005-0000-0000-00003D420000}"/>
    <cellStyle name="Normal 2 2 2 20 3 9" xfId="16958" xr:uid="{00000000-0005-0000-0000-00003E420000}"/>
    <cellStyle name="Normal 2 2 2 20 4" xfId="16959" xr:uid="{00000000-0005-0000-0000-00003F420000}"/>
    <cellStyle name="Normal 2 2 2 20 4 10" xfId="16960" xr:uid="{00000000-0005-0000-0000-000040420000}"/>
    <cellStyle name="Normal 2 2 2 20 4 2" xfId="16961" xr:uid="{00000000-0005-0000-0000-000041420000}"/>
    <cellStyle name="Normal 2 2 2 20 4 3" xfId="16962" xr:uid="{00000000-0005-0000-0000-000042420000}"/>
    <cellStyle name="Normal 2 2 2 20 4 4" xfId="16963" xr:uid="{00000000-0005-0000-0000-000043420000}"/>
    <cellStyle name="Normal 2 2 2 20 4 5" xfId="16964" xr:uid="{00000000-0005-0000-0000-000044420000}"/>
    <cellStyle name="Normal 2 2 2 20 4 6" xfId="16965" xr:uid="{00000000-0005-0000-0000-000045420000}"/>
    <cellStyle name="Normal 2 2 2 20 4 7" xfId="16966" xr:uid="{00000000-0005-0000-0000-000046420000}"/>
    <cellStyle name="Normal 2 2 2 20 4 8" xfId="16967" xr:uid="{00000000-0005-0000-0000-000047420000}"/>
    <cellStyle name="Normal 2 2 2 20 4 9" xfId="16968" xr:uid="{00000000-0005-0000-0000-000048420000}"/>
    <cellStyle name="Normal 2 2 2 20 5" xfId="16969" xr:uid="{00000000-0005-0000-0000-000049420000}"/>
    <cellStyle name="Normal 2 2 2 20 5 10" xfId="16970" xr:uid="{00000000-0005-0000-0000-00004A420000}"/>
    <cellStyle name="Normal 2 2 2 20 5 2" xfId="16971" xr:uid="{00000000-0005-0000-0000-00004B420000}"/>
    <cellStyle name="Normal 2 2 2 20 5 3" xfId="16972" xr:uid="{00000000-0005-0000-0000-00004C420000}"/>
    <cellStyle name="Normal 2 2 2 20 5 4" xfId="16973" xr:uid="{00000000-0005-0000-0000-00004D420000}"/>
    <cellStyle name="Normal 2 2 2 20 5 5" xfId="16974" xr:uid="{00000000-0005-0000-0000-00004E420000}"/>
    <cellStyle name="Normal 2 2 2 20 5 6" xfId="16975" xr:uid="{00000000-0005-0000-0000-00004F420000}"/>
    <cellStyle name="Normal 2 2 2 20 5 7" xfId="16976" xr:uid="{00000000-0005-0000-0000-000050420000}"/>
    <cellStyle name="Normal 2 2 2 20 5 8" xfId="16977" xr:uid="{00000000-0005-0000-0000-000051420000}"/>
    <cellStyle name="Normal 2 2 2 20 5 9" xfId="16978" xr:uid="{00000000-0005-0000-0000-000052420000}"/>
    <cellStyle name="Normal 2 2 2 20 6" xfId="16979" xr:uid="{00000000-0005-0000-0000-000053420000}"/>
    <cellStyle name="Normal 2 2 2 20 7" xfId="16980" xr:uid="{00000000-0005-0000-0000-000054420000}"/>
    <cellStyle name="Normal 2 2 2 20 8" xfId="16981" xr:uid="{00000000-0005-0000-0000-000055420000}"/>
    <cellStyle name="Normal 2 2 2 20 9" xfId="16982" xr:uid="{00000000-0005-0000-0000-000056420000}"/>
    <cellStyle name="Normal 2 2 2 21" xfId="16983" xr:uid="{00000000-0005-0000-0000-000057420000}"/>
    <cellStyle name="Normal 2 2 2 21 10" xfId="16984" xr:uid="{00000000-0005-0000-0000-000058420000}"/>
    <cellStyle name="Normal 2 2 2 21 11" xfId="16985" xr:uid="{00000000-0005-0000-0000-000059420000}"/>
    <cellStyle name="Normal 2 2 2 21 12" xfId="16986" xr:uid="{00000000-0005-0000-0000-00005A420000}"/>
    <cellStyle name="Normal 2 2 2 21 13" xfId="16987" xr:uid="{00000000-0005-0000-0000-00005B420000}"/>
    <cellStyle name="Normal 2 2 2 21 14" xfId="16988" xr:uid="{00000000-0005-0000-0000-00005C420000}"/>
    <cellStyle name="Normal 2 2 2 21 2" xfId="16989" xr:uid="{00000000-0005-0000-0000-00005D420000}"/>
    <cellStyle name="Normal 2 2 2 21 2 10" xfId="16990" xr:uid="{00000000-0005-0000-0000-00005E420000}"/>
    <cellStyle name="Normal 2 2 2 21 2 2" xfId="16991" xr:uid="{00000000-0005-0000-0000-00005F420000}"/>
    <cellStyle name="Normal 2 2 2 21 2 3" xfId="16992" xr:uid="{00000000-0005-0000-0000-000060420000}"/>
    <cellStyle name="Normal 2 2 2 21 2 4" xfId="16993" xr:uid="{00000000-0005-0000-0000-000061420000}"/>
    <cellStyle name="Normal 2 2 2 21 2 5" xfId="16994" xr:uid="{00000000-0005-0000-0000-000062420000}"/>
    <cellStyle name="Normal 2 2 2 21 2 6" xfId="16995" xr:uid="{00000000-0005-0000-0000-000063420000}"/>
    <cellStyle name="Normal 2 2 2 21 2 7" xfId="16996" xr:uid="{00000000-0005-0000-0000-000064420000}"/>
    <cellStyle name="Normal 2 2 2 21 2 8" xfId="16997" xr:uid="{00000000-0005-0000-0000-000065420000}"/>
    <cellStyle name="Normal 2 2 2 21 2 9" xfId="16998" xr:uid="{00000000-0005-0000-0000-000066420000}"/>
    <cellStyle name="Normal 2 2 2 21 3" xfId="16999" xr:uid="{00000000-0005-0000-0000-000067420000}"/>
    <cellStyle name="Normal 2 2 2 21 3 10" xfId="17000" xr:uid="{00000000-0005-0000-0000-000068420000}"/>
    <cellStyle name="Normal 2 2 2 21 3 2" xfId="17001" xr:uid="{00000000-0005-0000-0000-000069420000}"/>
    <cellStyle name="Normal 2 2 2 21 3 3" xfId="17002" xr:uid="{00000000-0005-0000-0000-00006A420000}"/>
    <cellStyle name="Normal 2 2 2 21 3 4" xfId="17003" xr:uid="{00000000-0005-0000-0000-00006B420000}"/>
    <cellStyle name="Normal 2 2 2 21 3 5" xfId="17004" xr:uid="{00000000-0005-0000-0000-00006C420000}"/>
    <cellStyle name="Normal 2 2 2 21 3 6" xfId="17005" xr:uid="{00000000-0005-0000-0000-00006D420000}"/>
    <cellStyle name="Normal 2 2 2 21 3 7" xfId="17006" xr:uid="{00000000-0005-0000-0000-00006E420000}"/>
    <cellStyle name="Normal 2 2 2 21 3 8" xfId="17007" xr:uid="{00000000-0005-0000-0000-00006F420000}"/>
    <cellStyle name="Normal 2 2 2 21 3 9" xfId="17008" xr:uid="{00000000-0005-0000-0000-000070420000}"/>
    <cellStyle name="Normal 2 2 2 21 4" xfId="17009" xr:uid="{00000000-0005-0000-0000-000071420000}"/>
    <cellStyle name="Normal 2 2 2 21 4 10" xfId="17010" xr:uid="{00000000-0005-0000-0000-000072420000}"/>
    <cellStyle name="Normal 2 2 2 21 4 2" xfId="17011" xr:uid="{00000000-0005-0000-0000-000073420000}"/>
    <cellStyle name="Normal 2 2 2 21 4 3" xfId="17012" xr:uid="{00000000-0005-0000-0000-000074420000}"/>
    <cellStyle name="Normal 2 2 2 21 4 4" xfId="17013" xr:uid="{00000000-0005-0000-0000-000075420000}"/>
    <cellStyle name="Normal 2 2 2 21 4 5" xfId="17014" xr:uid="{00000000-0005-0000-0000-000076420000}"/>
    <cellStyle name="Normal 2 2 2 21 4 6" xfId="17015" xr:uid="{00000000-0005-0000-0000-000077420000}"/>
    <cellStyle name="Normal 2 2 2 21 4 7" xfId="17016" xr:uid="{00000000-0005-0000-0000-000078420000}"/>
    <cellStyle name="Normal 2 2 2 21 4 8" xfId="17017" xr:uid="{00000000-0005-0000-0000-000079420000}"/>
    <cellStyle name="Normal 2 2 2 21 4 9" xfId="17018" xr:uid="{00000000-0005-0000-0000-00007A420000}"/>
    <cellStyle name="Normal 2 2 2 21 5" xfId="17019" xr:uid="{00000000-0005-0000-0000-00007B420000}"/>
    <cellStyle name="Normal 2 2 2 21 5 10" xfId="17020" xr:uid="{00000000-0005-0000-0000-00007C420000}"/>
    <cellStyle name="Normal 2 2 2 21 5 2" xfId="17021" xr:uid="{00000000-0005-0000-0000-00007D420000}"/>
    <cellStyle name="Normal 2 2 2 21 5 3" xfId="17022" xr:uid="{00000000-0005-0000-0000-00007E420000}"/>
    <cellStyle name="Normal 2 2 2 21 5 4" xfId="17023" xr:uid="{00000000-0005-0000-0000-00007F420000}"/>
    <cellStyle name="Normal 2 2 2 21 5 5" xfId="17024" xr:uid="{00000000-0005-0000-0000-000080420000}"/>
    <cellStyle name="Normal 2 2 2 21 5 6" xfId="17025" xr:uid="{00000000-0005-0000-0000-000081420000}"/>
    <cellStyle name="Normal 2 2 2 21 5 7" xfId="17026" xr:uid="{00000000-0005-0000-0000-000082420000}"/>
    <cellStyle name="Normal 2 2 2 21 5 8" xfId="17027" xr:uid="{00000000-0005-0000-0000-000083420000}"/>
    <cellStyle name="Normal 2 2 2 21 5 9" xfId="17028" xr:uid="{00000000-0005-0000-0000-000084420000}"/>
    <cellStyle name="Normal 2 2 2 21 6" xfId="17029" xr:uid="{00000000-0005-0000-0000-000085420000}"/>
    <cellStyle name="Normal 2 2 2 21 7" xfId="17030" xr:uid="{00000000-0005-0000-0000-000086420000}"/>
    <cellStyle name="Normal 2 2 2 21 8" xfId="17031" xr:uid="{00000000-0005-0000-0000-000087420000}"/>
    <cellStyle name="Normal 2 2 2 21 9" xfId="17032" xr:uid="{00000000-0005-0000-0000-000088420000}"/>
    <cellStyle name="Normal 2 2 2 22" xfId="17033" xr:uid="{00000000-0005-0000-0000-000089420000}"/>
    <cellStyle name="Normal 2 2 2 22 10" xfId="17034" xr:uid="{00000000-0005-0000-0000-00008A420000}"/>
    <cellStyle name="Normal 2 2 2 22 11" xfId="17035" xr:uid="{00000000-0005-0000-0000-00008B420000}"/>
    <cellStyle name="Normal 2 2 2 22 12" xfId="17036" xr:uid="{00000000-0005-0000-0000-00008C420000}"/>
    <cellStyle name="Normal 2 2 2 22 13" xfId="17037" xr:uid="{00000000-0005-0000-0000-00008D420000}"/>
    <cellStyle name="Normal 2 2 2 22 14" xfId="17038" xr:uid="{00000000-0005-0000-0000-00008E420000}"/>
    <cellStyle name="Normal 2 2 2 22 2" xfId="17039" xr:uid="{00000000-0005-0000-0000-00008F420000}"/>
    <cellStyle name="Normal 2 2 2 22 2 10" xfId="17040" xr:uid="{00000000-0005-0000-0000-000090420000}"/>
    <cellStyle name="Normal 2 2 2 22 2 2" xfId="17041" xr:uid="{00000000-0005-0000-0000-000091420000}"/>
    <cellStyle name="Normal 2 2 2 22 2 3" xfId="17042" xr:uid="{00000000-0005-0000-0000-000092420000}"/>
    <cellStyle name="Normal 2 2 2 22 2 4" xfId="17043" xr:uid="{00000000-0005-0000-0000-000093420000}"/>
    <cellStyle name="Normal 2 2 2 22 2 5" xfId="17044" xr:uid="{00000000-0005-0000-0000-000094420000}"/>
    <cellStyle name="Normal 2 2 2 22 2 6" xfId="17045" xr:uid="{00000000-0005-0000-0000-000095420000}"/>
    <cellStyle name="Normal 2 2 2 22 2 7" xfId="17046" xr:uid="{00000000-0005-0000-0000-000096420000}"/>
    <cellStyle name="Normal 2 2 2 22 2 8" xfId="17047" xr:uid="{00000000-0005-0000-0000-000097420000}"/>
    <cellStyle name="Normal 2 2 2 22 2 9" xfId="17048" xr:uid="{00000000-0005-0000-0000-000098420000}"/>
    <cellStyle name="Normal 2 2 2 22 3" xfId="17049" xr:uid="{00000000-0005-0000-0000-000099420000}"/>
    <cellStyle name="Normal 2 2 2 22 3 10" xfId="17050" xr:uid="{00000000-0005-0000-0000-00009A420000}"/>
    <cellStyle name="Normal 2 2 2 22 3 2" xfId="17051" xr:uid="{00000000-0005-0000-0000-00009B420000}"/>
    <cellStyle name="Normal 2 2 2 22 3 3" xfId="17052" xr:uid="{00000000-0005-0000-0000-00009C420000}"/>
    <cellStyle name="Normal 2 2 2 22 3 4" xfId="17053" xr:uid="{00000000-0005-0000-0000-00009D420000}"/>
    <cellStyle name="Normal 2 2 2 22 3 5" xfId="17054" xr:uid="{00000000-0005-0000-0000-00009E420000}"/>
    <cellStyle name="Normal 2 2 2 22 3 6" xfId="17055" xr:uid="{00000000-0005-0000-0000-00009F420000}"/>
    <cellStyle name="Normal 2 2 2 22 3 7" xfId="17056" xr:uid="{00000000-0005-0000-0000-0000A0420000}"/>
    <cellStyle name="Normal 2 2 2 22 3 8" xfId="17057" xr:uid="{00000000-0005-0000-0000-0000A1420000}"/>
    <cellStyle name="Normal 2 2 2 22 3 9" xfId="17058" xr:uid="{00000000-0005-0000-0000-0000A2420000}"/>
    <cellStyle name="Normal 2 2 2 22 4" xfId="17059" xr:uid="{00000000-0005-0000-0000-0000A3420000}"/>
    <cellStyle name="Normal 2 2 2 22 4 10" xfId="17060" xr:uid="{00000000-0005-0000-0000-0000A4420000}"/>
    <cellStyle name="Normal 2 2 2 22 4 2" xfId="17061" xr:uid="{00000000-0005-0000-0000-0000A5420000}"/>
    <cellStyle name="Normal 2 2 2 22 4 3" xfId="17062" xr:uid="{00000000-0005-0000-0000-0000A6420000}"/>
    <cellStyle name="Normal 2 2 2 22 4 4" xfId="17063" xr:uid="{00000000-0005-0000-0000-0000A7420000}"/>
    <cellStyle name="Normal 2 2 2 22 4 5" xfId="17064" xr:uid="{00000000-0005-0000-0000-0000A8420000}"/>
    <cellStyle name="Normal 2 2 2 22 4 6" xfId="17065" xr:uid="{00000000-0005-0000-0000-0000A9420000}"/>
    <cellStyle name="Normal 2 2 2 22 4 7" xfId="17066" xr:uid="{00000000-0005-0000-0000-0000AA420000}"/>
    <cellStyle name="Normal 2 2 2 22 4 8" xfId="17067" xr:uid="{00000000-0005-0000-0000-0000AB420000}"/>
    <cellStyle name="Normal 2 2 2 22 4 9" xfId="17068" xr:uid="{00000000-0005-0000-0000-0000AC420000}"/>
    <cellStyle name="Normal 2 2 2 22 5" xfId="17069" xr:uid="{00000000-0005-0000-0000-0000AD420000}"/>
    <cellStyle name="Normal 2 2 2 22 5 10" xfId="17070" xr:uid="{00000000-0005-0000-0000-0000AE420000}"/>
    <cellStyle name="Normal 2 2 2 22 5 2" xfId="17071" xr:uid="{00000000-0005-0000-0000-0000AF420000}"/>
    <cellStyle name="Normal 2 2 2 22 5 3" xfId="17072" xr:uid="{00000000-0005-0000-0000-0000B0420000}"/>
    <cellStyle name="Normal 2 2 2 22 5 4" xfId="17073" xr:uid="{00000000-0005-0000-0000-0000B1420000}"/>
    <cellStyle name="Normal 2 2 2 22 5 5" xfId="17074" xr:uid="{00000000-0005-0000-0000-0000B2420000}"/>
    <cellStyle name="Normal 2 2 2 22 5 6" xfId="17075" xr:uid="{00000000-0005-0000-0000-0000B3420000}"/>
    <cellStyle name="Normal 2 2 2 22 5 7" xfId="17076" xr:uid="{00000000-0005-0000-0000-0000B4420000}"/>
    <cellStyle name="Normal 2 2 2 22 5 8" xfId="17077" xr:uid="{00000000-0005-0000-0000-0000B5420000}"/>
    <cellStyle name="Normal 2 2 2 22 5 9" xfId="17078" xr:uid="{00000000-0005-0000-0000-0000B6420000}"/>
    <cellStyle name="Normal 2 2 2 22 6" xfId="17079" xr:uid="{00000000-0005-0000-0000-0000B7420000}"/>
    <cellStyle name="Normal 2 2 2 22 7" xfId="17080" xr:uid="{00000000-0005-0000-0000-0000B8420000}"/>
    <cellStyle name="Normal 2 2 2 22 8" xfId="17081" xr:uid="{00000000-0005-0000-0000-0000B9420000}"/>
    <cellStyle name="Normal 2 2 2 22 9" xfId="17082" xr:uid="{00000000-0005-0000-0000-0000BA420000}"/>
    <cellStyle name="Normal 2 2 2 23" xfId="17083" xr:uid="{00000000-0005-0000-0000-0000BB420000}"/>
    <cellStyle name="Normal 2 2 2 23 10" xfId="17084" xr:uid="{00000000-0005-0000-0000-0000BC420000}"/>
    <cellStyle name="Normal 2 2 2 23 11" xfId="17085" xr:uid="{00000000-0005-0000-0000-0000BD420000}"/>
    <cellStyle name="Normal 2 2 2 23 12" xfId="17086" xr:uid="{00000000-0005-0000-0000-0000BE420000}"/>
    <cellStyle name="Normal 2 2 2 23 13" xfId="17087" xr:uid="{00000000-0005-0000-0000-0000BF420000}"/>
    <cellStyle name="Normal 2 2 2 23 14" xfId="17088" xr:uid="{00000000-0005-0000-0000-0000C0420000}"/>
    <cellStyle name="Normal 2 2 2 23 2" xfId="17089" xr:uid="{00000000-0005-0000-0000-0000C1420000}"/>
    <cellStyle name="Normal 2 2 2 23 2 10" xfId="17090" xr:uid="{00000000-0005-0000-0000-0000C2420000}"/>
    <cellStyle name="Normal 2 2 2 23 2 2" xfId="17091" xr:uid="{00000000-0005-0000-0000-0000C3420000}"/>
    <cellStyle name="Normal 2 2 2 23 2 3" xfId="17092" xr:uid="{00000000-0005-0000-0000-0000C4420000}"/>
    <cellStyle name="Normal 2 2 2 23 2 4" xfId="17093" xr:uid="{00000000-0005-0000-0000-0000C5420000}"/>
    <cellStyle name="Normal 2 2 2 23 2 5" xfId="17094" xr:uid="{00000000-0005-0000-0000-0000C6420000}"/>
    <cellStyle name="Normal 2 2 2 23 2 6" xfId="17095" xr:uid="{00000000-0005-0000-0000-0000C7420000}"/>
    <cellStyle name="Normal 2 2 2 23 2 7" xfId="17096" xr:uid="{00000000-0005-0000-0000-0000C8420000}"/>
    <cellStyle name="Normal 2 2 2 23 2 8" xfId="17097" xr:uid="{00000000-0005-0000-0000-0000C9420000}"/>
    <cellStyle name="Normal 2 2 2 23 2 9" xfId="17098" xr:uid="{00000000-0005-0000-0000-0000CA420000}"/>
    <cellStyle name="Normal 2 2 2 23 3" xfId="17099" xr:uid="{00000000-0005-0000-0000-0000CB420000}"/>
    <cellStyle name="Normal 2 2 2 23 3 10" xfId="17100" xr:uid="{00000000-0005-0000-0000-0000CC420000}"/>
    <cellStyle name="Normal 2 2 2 23 3 2" xfId="17101" xr:uid="{00000000-0005-0000-0000-0000CD420000}"/>
    <cellStyle name="Normal 2 2 2 23 3 3" xfId="17102" xr:uid="{00000000-0005-0000-0000-0000CE420000}"/>
    <cellStyle name="Normal 2 2 2 23 3 4" xfId="17103" xr:uid="{00000000-0005-0000-0000-0000CF420000}"/>
    <cellStyle name="Normal 2 2 2 23 3 5" xfId="17104" xr:uid="{00000000-0005-0000-0000-0000D0420000}"/>
    <cellStyle name="Normal 2 2 2 23 3 6" xfId="17105" xr:uid="{00000000-0005-0000-0000-0000D1420000}"/>
    <cellStyle name="Normal 2 2 2 23 3 7" xfId="17106" xr:uid="{00000000-0005-0000-0000-0000D2420000}"/>
    <cellStyle name="Normal 2 2 2 23 3 8" xfId="17107" xr:uid="{00000000-0005-0000-0000-0000D3420000}"/>
    <cellStyle name="Normal 2 2 2 23 3 9" xfId="17108" xr:uid="{00000000-0005-0000-0000-0000D4420000}"/>
    <cellStyle name="Normal 2 2 2 23 4" xfId="17109" xr:uid="{00000000-0005-0000-0000-0000D5420000}"/>
    <cellStyle name="Normal 2 2 2 23 4 10" xfId="17110" xr:uid="{00000000-0005-0000-0000-0000D6420000}"/>
    <cellStyle name="Normal 2 2 2 23 4 2" xfId="17111" xr:uid="{00000000-0005-0000-0000-0000D7420000}"/>
    <cellStyle name="Normal 2 2 2 23 4 3" xfId="17112" xr:uid="{00000000-0005-0000-0000-0000D8420000}"/>
    <cellStyle name="Normal 2 2 2 23 4 4" xfId="17113" xr:uid="{00000000-0005-0000-0000-0000D9420000}"/>
    <cellStyle name="Normal 2 2 2 23 4 5" xfId="17114" xr:uid="{00000000-0005-0000-0000-0000DA420000}"/>
    <cellStyle name="Normal 2 2 2 23 4 6" xfId="17115" xr:uid="{00000000-0005-0000-0000-0000DB420000}"/>
    <cellStyle name="Normal 2 2 2 23 4 7" xfId="17116" xr:uid="{00000000-0005-0000-0000-0000DC420000}"/>
    <cellStyle name="Normal 2 2 2 23 4 8" xfId="17117" xr:uid="{00000000-0005-0000-0000-0000DD420000}"/>
    <cellStyle name="Normal 2 2 2 23 4 9" xfId="17118" xr:uid="{00000000-0005-0000-0000-0000DE420000}"/>
    <cellStyle name="Normal 2 2 2 23 5" xfId="17119" xr:uid="{00000000-0005-0000-0000-0000DF420000}"/>
    <cellStyle name="Normal 2 2 2 23 5 10" xfId="17120" xr:uid="{00000000-0005-0000-0000-0000E0420000}"/>
    <cellStyle name="Normal 2 2 2 23 5 2" xfId="17121" xr:uid="{00000000-0005-0000-0000-0000E1420000}"/>
    <cellStyle name="Normal 2 2 2 23 5 3" xfId="17122" xr:uid="{00000000-0005-0000-0000-0000E2420000}"/>
    <cellStyle name="Normal 2 2 2 23 5 4" xfId="17123" xr:uid="{00000000-0005-0000-0000-0000E3420000}"/>
    <cellStyle name="Normal 2 2 2 23 5 5" xfId="17124" xr:uid="{00000000-0005-0000-0000-0000E4420000}"/>
    <cellStyle name="Normal 2 2 2 23 5 6" xfId="17125" xr:uid="{00000000-0005-0000-0000-0000E5420000}"/>
    <cellStyle name="Normal 2 2 2 23 5 7" xfId="17126" xr:uid="{00000000-0005-0000-0000-0000E6420000}"/>
    <cellStyle name="Normal 2 2 2 23 5 8" xfId="17127" xr:uid="{00000000-0005-0000-0000-0000E7420000}"/>
    <cellStyle name="Normal 2 2 2 23 5 9" xfId="17128" xr:uid="{00000000-0005-0000-0000-0000E8420000}"/>
    <cellStyle name="Normal 2 2 2 23 6" xfId="17129" xr:uid="{00000000-0005-0000-0000-0000E9420000}"/>
    <cellStyle name="Normal 2 2 2 23 7" xfId="17130" xr:uid="{00000000-0005-0000-0000-0000EA420000}"/>
    <cellStyle name="Normal 2 2 2 23 8" xfId="17131" xr:uid="{00000000-0005-0000-0000-0000EB420000}"/>
    <cellStyle name="Normal 2 2 2 23 9" xfId="17132" xr:uid="{00000000-0005-0000-0000-0000EC420000}"/>
    <cellStyle name="Normal 2 2 2 24" xfId="17133" xr:uid="{00000000-0005-0000-0000-0000ED420000}"/>
    <cellStyle name="Normal 2 2 2 24 10" xfId="17134" xr:uid="{00000000-0005-0000-0000-0000EE420000}"/>
    <cellStyle name="Normal 2 2 2 24 11" xfId="17135" xr:uid="{00000000-0005-0000-0000-0000EF420000}"/>
    <cellStyle name="Normal 2 2 2 24 12" xfId="17136" xr:uid="{00000000-0005-0000-0000-0000F0420000}"/>
    <cellStyle name="Normal 2 2 2 24 13" xfId="17137" xr:uid="{00000000-0005-0000-0000-0000F1420000}"/>
    <cellStyle name="Normal 2 2 2 24 14" xfId="17138" xr:uid="{00000000-0005-0000-0000-0000F2420000}"/>
    <cellStyle name="Normal 2 2 2 24 2" xfId="17139" xr:uid="{00000000-0005-0000-0000-0000F3420000}"/>
    <cellStyle name="Normal 2 2 2 24 2 10" xfId="17140" xr:uid="{00000000-0005-0000-0000-0000F4420000}"/>
    <cellStyle name="Normal 2 2 2 24 2 2" xfId="17141" xr:uid="{00000000-0005-0000-0000-0000F5420000}"/>
    <cellStyle name="Normal 2 2 2 24 2 3" xfId="17142" xr:uid="{00000000-0005-0000-0000-0000F6420000}"/>
    <cellStyle name="Normal 2 2 2 24 2 4" xfId="17143" xr:uid="{00000000-0005-0000-0000-0000F7420000}"/>
    <cellStyle name="Normal 2 2 2 24 2 5" xfId="17144" xr:uid="{00000000-0005-0000-0000-0000F8420000}"/>
    <cellStyle name="Normal 2 2 2 24 2 6" xfId="17145" xr:uid="{00000000-0005-0000-0000-0000F9420000}"/>
    <cellStyle name="Normal 2 2 2 24 2 7" xfId="17146" xr:uid="{00000000-0005-0000-0000-0000FA420000}"/>
    <cellStyle name="Normal 2 2 2 24 2 8" xfId="17147" xr:uid="{00000000-0005-0000-0000-0000FB420000}"/>
    <cellStyle name="Normal 2 2 2 24 2 9" xfId="17148" xr:uid="{00000000-0005-0000-0000-0000FC420000}"/>
    <cellStyle name="Normal 2 2 2 24 3" xfId="17149" xr:uid="{00000000-0005-0000-0000-0000FD420000}"/>
    <cellStyle name="Normal 2 2 2 24 3 10" xfId="17150" xr:uid="{00000000-0005-0000-0000-0000FE420000}"/>
    <cellStyle name="Normal 2 2 2 24 3 2" xfId="17151" xr:uid="{00000000-0005-0000-0000-0000FF420000}"/>
    <cellStyle name="Normal 2 2 2 24 3 3" xfId="17152" xr:uid="{00000000-0005-0000-0000-000000430000}"/>
    <cellStyle name="Normal 2 2 2 24 3 4" xfId="17153" xr:uid="{00000000-0005-0000-0000-000001430000}"/>
    <cellStyle name="Normal 2 2 2 24 3 5" xfId="17154" xr:uid="{00000000-0005-0000-0000-000002430000}"/>
    <cellStyle name="Normal 2 2 2 24 3 6" xfId="17155" xr:uid="{00000000-0005-0000-0000-000003430000}"/>
    <cellStyle name="Normal 2 2 2 24 3 7" xfId="17156" xr:uid="{00000000-0005-0000-0000-000004430000}"/>
    <cellStyle name="Normal 2 2 2 24 3 8" xfId="17157" xr:uid="{00000000-0005-0000-0000-000005430000}"/>
    <cellStyle name="Normal 2 2 2 24 3 9" xfId="17158" xr:uid="{00000000-0005-0000-0000-000006430000}"/>
    <cellStyle name="Normal 2 2 2 24 4" xfId="17159" xr:uid="{00000000-0005-0000-0000-000007430000}"/>
    <cellStyle name="Normal 2 2 2 24 4 10" xfId="17160" xr:uid="{00000000-0005-0000-0000-000008430000}"/>
    <cellStyle name="Normal 2 2 2 24 4 2" xfId="17161" xr:uid="{00000000-0005-0000-0000-000009430000}"/>
    <cellStyle name="Normal 2 2 2 24 4 3" xfId="17162" xr:uid="{00000000-0005-0000-0000-00000A430000}"/>
    <cellStyle name="Normal 2 2 2 24 4 4" xfId="17163" xr:uid="{00000000-0005-0000-0000-00000B430000}"/>
    <cellStyle name="Normal 2 2 2 24 4 5" xfId="17164" xr:uid="{00000000-0005-0000-0000-00000C430000}"/>
    <cellStyle name="Normal 2 2 2 24 4 6" xfId="17165" xr:uid="{00000000-0005-0000-0000-00000D430000}"/>
    <cellStyle name="Normal 2 2 2 24 4 7" xfId="17166" xr:uid="{00000000-0005-0000-0000-00000E430000}"/>
    <cellStyle name="Normal 2 2 2 24 4 8" xfId="17167" xr:uid="{00000000-0005-0000-0000-00000F430000}"/>
    <cellStyle name="Normal 2 2 2 24 4 9" xfId="17168" xr:uid="{00000000-0005-0000-0000-000010430000}"/>
    <cellStyle name="Normal 2 2 2 24 5" xfId="17169" xr:uid="{00000000-0005-0000-0000-000011430000}"/>
    <cellStyle name="Normal 2 2 2 24 5 10" xfId="17170" xr:uid="{00000000-0005-0000-0000-000012430000}"/>
    <cellStyle name="Normal 2 2 2 24 5 2" xfId="17171" xr:uid="{00000000-0005-0000-0000-000013430000}"/>
    <cellStyle name="Normal 2 2 2 24 5 3" xfId="17172" xr:uid="{00000000-0005-0000-0000-000014430000}"/>
    <cellStyle name="Normal 2 2 2 24 5 4" xfId="17173" xr:uid="{00000000-0005-0000-0000-000015430000}"/>
    <cellStyle name="Normal 2 2 2 24 5 5" xfId="17174" xr:uid="{00000000-0005-0000-0000-000016430000}"/>
    <cellStyle name="Normal 2 2 2 24 5 6" xfId="17175" xr:uid="{00000000-0005-0000-0000-000017430000}"/>
    <cellStyle name="Normal 2 2 2 24 5 7" xfId="17176" xr:uid="{00000000-0005-0000-0000-000018430000}"/>
    <cellStyle name="Normal 2 2 2 24 5 8" xfId="17177" xr:uid="{00000000-0005-0000-0000-000019430000}"/>
    <cellStyle name="Normal 2 2 2 24 5 9" xfId="17178" xr:uid="{00000000-0005-0000-0000-00001A430000}"/>
    <cellStyle name="Normal 2 2 2 24 6" xfId="17179" xr:uid="{00000000-0005-0000-0000-00001B430000}"/>
    <cellStyle name="Normal 2 2 2 24 7" xfId="17180" xr:uid="{00000000-0005-0000-0000-00001C430000}"/>
    <cellStyle name="Normal 2 2 2 24 8" xfId="17181" xr:uid="{00000000-0005-0000-0000-00001D430000}"/>
    <cellStyle name="Normal 2 2 2 24 9" xfId="17182" xr:uid="{00000000-0005-0000-0000-00001E430000}"/>
    <cellStyle name="Normal 2 2 2 25" xfId="17183" xr:uid="{00000000-0005-0000-0000-00001F430000}"/>
    <cellStyle name="Normal 2 2 2 25 10" xfId="17184" xr:uid="{00000000-0005-0000-0000-000020430000}"/>
    <cellStyle name="Normal 2 2 2 25 11" xfId="17185" xr:uid="{00000000-0005-0000-0000-000021430000}"/>
    <cellStyle name="Normal 2 2 2 25 12" xfId="17186" xr:uid="{00000000-0005-0000-0000-000022430000}"/>
    <cellStyle name="Normal 2 2 2 25 13" xfId="17187" xr:uid="{00000000-0005-0000-0000-000023430000}"/>
    <cellStyle name="Normal 2 2 2 25 14" xfId="17188" xr:uid="{00000000-0005-0000-0000-000024430000}"/>
    <cellStyle name="Normal 2 2 2 25 2" xfId="17189" xr:uid="{00000000-0005-0000-0000-000025430000}"/>
    <cellStyle name="Normal 2 2 2 25 2 10" xfId="17190" xr:uid="{00000000-0005-0000-0000-000026430000}"/>
    <cellStyle name="Normal 2 2 2 25 2 2" xfId="17191" xr:uid="{00000000-0005-0000-0000-000027430000}"/>
    <cellStyle name="Normal 2 2 2 25 2 3" xfId="17192" xr:uid="{00000000-0005-0000-0000-000028430000}"/>
    <cellStyle name="Normal 2 2 2 25 2 4" xfId="17193" xr:uid="{00000000-0005-0000-0000-000029430000}"/>
    <cellStyle name="Normal 2 2 2 25 2 5" xfId="17194" xr:uid="{00000000-0005-0000-0000-00002A430000}"/>
    <cellStyle name="Normal 2 2 2 25 2 6" xfId="17195" xr:uid="{00000000-0005-0000-0000-00002B430000}"/>
    <cellStyle name="Normal 2 2 2 25 2 7" xfId="17196" xr:uid="{00000000-0005-0000-0000-00002C430000}"/>
    <cellStyle name="Normal 2 2 2 25 2 8" xfId="17197" xr:uid="{00000000-0005-0000-0000-00002D430000}"/>
    <cellStyle name="Normal 2 2 2 25 2 9" xfId="17198" xr:uid="{00000000-0005-0000-0000-00002E430000}"/>
    <cellStyle name="Normal 2 2 2 25 3" xfId="17199" xr:uid="{00000000-0005-0000-0000-00002F430000}"/>
    <cellStyle name="Normal 2 2 2 25 3 10" xfId="17200" xr:uid="{00000000-0005-0000-0000-000030430000}"/>
    <cellStyle name="Normal 2 2 2 25 3 2" xfId="17201" xr:uid="{00000000-0005-0000-0000-000031430000}"/>
    <cellStyle name="Normal 2 2 2 25 3 3" xfId="17202" xr:uid="{00000000-0005-0000-0000-000032430000}"/>
    <cellStyle name="Normal 2 2 2 25 3 4" xfId="17203" xr:uid="{00000000-0005-0000-0000-000033430000}"/>
    <cellStyle name="Normal 2 2 2 25 3 5" xfId="17204" xr:uid="{00000000-0005-0000-0000-000034430000}"/>
    <cellStyle name="Normal 2 2 2 25 3 6" xfId="17205" xr:uid="{00000000-0005-0000-0000-000035430000}"/>
    <cellStyle name="Normal 2 2 2 25 3 7" xfId="17206" xr:uid="{00000000-0005-0000-0000-000036430000}"/>
    <cellStyle name="Normal 2 2 2 25 3 8" xfId="17207" xr:uid="{00000000-0005-0000-0000-000037430000}"/>
    <cellStyle name="Normal 2 2 2 25 3 9" xfId="17208" xr:uid="{00000000-0005-0000-0000-000038430000}"/>
    <cellStyle name="Normal 2 2 2 25 4" xfId="17209" xr:uid="{00000000-0005-0000-0000-000039430000}"/>
    <cellStyle name="Normal 2 2 2 25 4 10" xfId="17210" xr:uid="{00000000-0005-0000-0000-00003A430000}"/>
    <cellStyle name="Normal 2 2 2 25 4 2" xfId="17211" xr:uid="{00000000-0005-0000-0000-00003B430000}"/>
    <cellStyle name="Normal 2 2 2 25 4 3" xfId="17212" xr:uid="{00000000-0005-0000-0000-00003C430000}"/>
    <cellStyle name="Normal 2 2 2 25 4 4" xfId="17213" xr:uid="{00000000-0005-0000-0000-00003D430000}"/>
    <cellStyle name="Normal 2 2 2 25 4 5" xfId="17214" xr:uid="{00000000-0005-0000-0000-00003E430000}"/>
    <cellStyle name="Normal 2 2 2 25 4 6" xfId="17215" xr:uid="{00000000-0005-0000-0000-00003F430000}"/>
    <cellStyle name="Normal 2 2 2 25 4 7" xfId="17216" xr:uid="{00000000-0005-0000-0000-000040430000}"/>
    <cellStyle name="Normal 2 2 2 25 4 8" xfId="17217" xr:uid="{00000000-0005-0000-0000-000041430000}"/>
    <cellStyle name="Normal 2 2 2 25 4 9" xfId="17218" xr:uid="{00000000-0005-0000-0000-000042430000}"/>
    <cellStyle name="Normal 2 2 2 25 5" xfId="17219" xr:uid="{00000000-0005-0000-0000-000043430000}"/>
    <cellStyle name="Normal 2 2 2 25 5 10" xfId="17220" xr:uid="{00000000-0005-0000-0000-000044430000}"/>
    <cellStyle name="Normal 2 2 2 25 5 2" xfId="17221" xr:uid="{00000000-0005-0000-0000-000045430000}"/>
    <cellStyle name="Normal 2 2 2 25 5 3" xfId="17222" xr:uid="{00000000-0005-0000-0000-000046430000}"/>
    <cellStyle name="Normal 2 2 2 25 5 4" xfId="17223" xr:uid="{00000000-0005-0000-0000-000047430000}"/>
    <cellStyle name="Normal 2 2 2 25 5 5" xfId="17224" xr:uid="{00000000-0005-0000-0000-000048430000}"/>
    <cellStyle name="Normal 2 2 2 25 5 6" xfId="17225" xr:uid="{00000000-0005-0000-0000-000049430000}"/>
    <cellStyle name="Normal 2 2 2 25 5 7" xfId="17226" xr:uid="{00000000-0005-0000-0000-00004A430000}"/>
    <cellStyle name="Normal 2 2 2 25 5 8" xfId="17227" xr:uid="{00000000-0005-0000-0000-00004B430000}"/>
    <cellStyle name="Normal 2 2 2 25 5 9" xfId="17228" xr:uid="{00000000-0005-0000-0000-00004C430000}"/>
    <cellStyle name="Normal 2 2 2 25 6" xfId="17229" xr:uid="{00000000-0005-0000-0000-00004D430000}"/>
    <cellStyle name="Normal 2 2 2 25 7" xfId="17230" xr:uid="{00000000-0005-0000-0000-00004E430000}"/>
    <cellStyle name="Normal 2 2 2 25 8" xfId="17231" xr:uid="{00000000-0005-0000-0000-00004F430000}"/>
    <cellStyle name="Normal 2 2 2 25 9" xfId="17232" xr:uid="{00000000-0005-0000-0000-000050430000}"/>
    <cellStyle name="Normal 2 2 2 26" xfId="17233" xr:uid="{00000000-0005-0000-0000-000051430000}"/>
    <cellStyle name="Normal 2 2 2 26 10" xfId="17234" xr:uid="{00000000-0005-0000-0000-000052430000}"/>
    <cellStyle name="Normal 2 2 2 26 11" xfId="17235" xr:uid="{00000000-0005-0000-0000-000053430000}"/>
    <cellStyle name="Normal 2 2 2 26 12" xfId="17236" xr:uid="{00000000-0005-0000-0000-000054430000}"/>
    <cellStyle name="Normal 2 2 2 26 13" xfId="17237" xr:uid="{00000000-0005-0000-0000-000055430000}"/>
    <cellStyle name="Normal 2 2 2 26 14" xfId="17238" xr:uid="{00000000-0005-0000-0000-000056430000}"/>
    <cellStyle name="Normal 2 2 2 26 2" xfId="17239" xr:uid="{00000000-0005-0000-0000-000057430000}"/>
    <cellStyle name="Normal 2 2 2 26 2 10" xfId="17240" xr:uid="{00000000-0005-0000-0000-000058430000}"/>
    <cellStyle name="Normal 2 2 2 26 2 2" xfId="17241" xr:uid="{00000000-0005-0000-0000-000059430000}"/>
    <cellStyle name="Normal 2 2 2 26 2 3" xfId="17242" xr:uid="{00000000-0005-0000-0000-00005A430000}"/>
    <cellStyle name="Normal 2 2 2 26 2 4" xfId="17243" xr:uid="{00000000-0005-0000-0000-00005B430000}"/>
    <cellStyle name="Normal 2 2 2 26 2 5" xfId="17244" xr:uid="{00000000-0005-0000-0000-00005C430000}"/>
    <cellStyle name="Normal 2 2 2 26 2 6" xfId="17245" xr:uid="{00000000-0005-0000-0000-00005D430000}"/>
    <cellStyle name="Normal 2 2 2 26 2 7" xfId="17246" xr:uid="{00000000-0005-0000-0000-00005E430000}"/>
    <cellStyle name="Normal 2 2 2 26 2 8" xfId="17247" xr:uid="{00000000-0005-0000-0000-00005F430000}"/>
    <cellStyle name="Normal 2 2 2 26 2 9" xfId="17248" xr:uid="{00000000-0005-0000-0000-000060430000}"/>
    <cellStyle name="Normal 2 2 2 26 3" xfId="17249" xr:uid="{00000000-0005-0000-0000-000061430000}"/>
    <cellStyle name="Normal 2 2 2 26 3 10" xfId="17250" xr:uid="{00000000-0005-0000-0000-000062430000}"/>
    <cellStyle name="Normal 2 2 2 26 3 2" xfId="17251" xr:uid="{00000000-0005-0000-0000-000063430000}"/>
    <cellStyle name="Normal 2 2 2 26 3 3" xfId="17252" xr:uid="{00000000-0005-0000-0000-000064430000}"/>
    <cellStyle name="Normal 2 2 2 26 3 4" xfId="17253" xr:uid="{00000000-0005-0000-0000-000065430000}"/>
    <cellStyle name="Normal 2 2 2 26 3 5" xfId="17254" xr:uid="{00000000-0005-0000-0000-000066430000}"/>
    <cellStyle name="Normal 2 2 2 26 3 6" xfId="17255" xr:uid="{00000000-0005-0000-0000-000067430000}"/>
    <cellStyle name="Normal 2 2 2 26 3 7" xfId="17256" xr:uid="{00000000-0005-0000-0000-000068430000}"/>
    <cellStyle name="Normal 2 2 2 26 3 8" xfId="17257" xr:uid="{00000000-0005-0000-0000-000069430000}"/>
    <cellStyle name="Normal 2 2 2 26 3 9" xfId="17258" xr:uid="{00000000-0005-0000-0000-00006A430000}"/>
    <cellStyle name="Normal 2 2 2 26 4" xfId="17259" xr:uid="{00000000-0005-0000-0000-00006B430000}"/>
    <cellStyle name="Normal 2 2 2 26 4 10" xfId="17260" xr:uid="{00000000-0005-0000-0000-00006C430000}"/>
    <cellStyle name="Normal 2 2 2 26 4 2" xfId="17261" xr:uid="{00000000-0005-0000-0000-00006D430000}"/>
    <cellStyle name="Normal 2 2 2 26 4 3" xfId="17262" xr:uid="{00000000-0005-0000-0000-00006E430000}"/>
    <cellStyle name="Normal 2 2 2 26 4 4" xfId="17263" xr:uid="{00000000-0005-0000-0000-00006F430000}"/>
    <cellStyle name="Normal 2 2 2 26 4 5" xfId="17264" xr:uid="{00000000-0005-0000-0000-000070430000}"/>
    <cellStyle name="Normal 2 2 2 26 4 6" xfId="17265" xr:uid="{00000000-0005-0000-0000-000071430000}"/>
    <cellStyle name="Normal 2 2 2 26 4 7" xfId="17266" xr:uid="{00000000-0005-0000-0000-000072430000}"/>
    <cellStyle name="Normal 2 2 2 26 4 8" xfId="17267" xr:uid="{00000000-0005-0000-0000-000073430000}"/>
    <cellStyle name="Normal 2 2 2 26 4 9" xfId="17268" xr:uid="{00000000-0005-0000-0000-000074430000}"/>
    <cellStyle name="Normal 2 2 2 26 5" xfId="17269" xr:uid="{00000000-0005-0000-0000-000075430000}"/>
    <cellStyle name="Normal 2 2 2 26 5 10" xfId="17270" xr:uid="{00000000-0005-0000-0000-000076430000}"/>
    <cellStyle name="Normal 2 2 2 26 5 2" xfId="17271" xr:uid="{00000000-0005-0000-0000-000077430000}"/>
    <cellStyle name="Normal 2 2 2 26 5 3" xfId="17272" xr:uid="{00000000-0005-0000-0000-000078430000}"/>
    <cellStyle name="Normal 2 2 2 26 5 4" xfId="17273" xr:uid="{00000000-0005-0000-0000-000079430000}"/>
    <cellStyle name="Normal 2 2 2 26 5 5" xfId="17274" xr:uid="{00000000-0005-0000-0000-00007A430000}"/>
    <cellStyle name="Normal 2 2 2 26 5 6" xfId="17275" xr:uid="{00000000-0005-0000-0000-00007B430000}"/>
    <cellStyle name="Normal 2 2 2 26 5 7" xfId="17276" xr:uid="{00000000-0005-0000-0000-00007C430000}"/>
    <cellStyle name="Normal 2 2 2 26 5 8" xfId="17277" xr:uid="{00000000-0005-0000-0000-00007D430000}"/>
    <cellStyle name="Normal 2 2 2 26 5 9" xfId="17278" xr:uid="{00000000-0005-0000-0000-00007E430000}"/>
    <cellStyle name="Normal 2 2 2 26 6" xfId="17279" xr:uid="{00000000-0005-0000-0000-00007F430000}"/>
    <cellStyle name="Normal 2 2 2 26 7" xfId="17280" xr:uid="{00000000-0005-0000-0000-000080430000}"/>
    <cellStyle name="Normal 2 2 2 26 8" xfId="17281" xr:uid="{00000000-0005-0000-0000-000081430000}"/>
    <cellStyle name="Normal 2 2 2 26 9" xfId="17282" xr:uid="{00000000-0005-0000-0000-000082430000}"/>
    <cellStyle name="Normal 2 2 2 27" xfId="17283" xr:uid="{00000000-0005-0000-0000-000083430000}"/>
    <cellStyle name="Normal 2 2 2 27 10" xfId="17284" xr:uid="{00000000-0005-0000-0000-000084430000}"/>
    <cellStyle name="Normal 2 2 2 27 11" xfId="17285" xr:uid="{00000000-0005-0000-0000-000085430000}"/>
    <cellStyle name="Normal 2 2 2 27 12" xfId="17286" xr:uid="{00000000-0005-0000-0000-000086430000}"/>
    <cellStyle name="Normal 2 2 2 27 13" xfId="17287" xr:uid="{00000000-0005-0000-0000-000087430000}"/>
    <cellStyle name="Normal 2 2 2 27 14" xfId="17288" xr:uid="{00000000-0005-0000-0000-000088430000}"/>
    <cellStyle name="Normal 2 2 2 27 2" xfId="17289" xr:uid="{00000000-0005-0000-0000-000089430000}"/>
    <cellStyle name="Normal 2 2 2 27 2 10" xfId="17290" xr:uid="{00000000-0005-0000-0000-00008A430000}"/>
    <cellStyle name="Normal 2 2 2 27 2 2" xfId="17291" xr:uid="{00000000-0005-0000-0000-00008B430000}"/>
    <cellStyle name="Normal 2 2 2 27 2 3" xfId="17292" xr:uid="{00000000-0005-0000-0000-00008C430000}"/>
    <cellStyle name="Normal 2 2 2 27 2 4" xfId="17293" xr:uid="{00000000-0005-0000-0000-00008D430000}"/>
    <cellStyle name="Normal 2 2 2 27 2 5" xfId="17294" xr:uid="{00000000-0005-0000-0000-00008E430000}"/>
    <cellStyle name="Normal 2 2 2 27 2 6" xfId="17295" xr:uid="{00000000-0005-0000-0000-00008F430000}"/>
    <cellStyle name="Normal 2 2 2 27 2 7" xfId="17296" xr:uid="{00000000-0005-0000-0000-000090430000}"/>
    <cellStyle name="Normal 2 2 2 27 2 8" xfId="17297" xr:uid="{00000000-0005-0000-0000-000091430000}"/>
    <cellStyle name="Normal 2 2 2 27 2 9" xfId="17298" xr:uid="{00000000-0005-0000-0000-000092430000}"/>
    <cellStyle name="Normal 2 2 2 27 3" xfId="17299" xr:uid="{00000000-0005-0000-0000-000093430000}"/>
    <cellStyle name="Normal 2 2 2 27 3 10" xfId="17300" xr:uid="{00000000-0005-0000-0000-000094430000}"/>
    <cellStyle name="Normal 2 2 2 27 3 2" xfId="17301" xr:uid="{00000000-0005-0000-0000-000095430000}"/>
    <cellStyle name="Normal 2 2 2 27 3 3" xfId="17302" xr:uid="{00000000-0005-0000-0000-000096430000}"/>
    <cellStyle name="Normal 2 2 2 27 3 4" xfId="17303" xr:uid="{00000000-0005-0000-0000-000097430000}"/>
    <cellStyle name="Normal 2 2 2 27 3 5" xfId="17304" xr:uid="{00000000-0005-0000-0000-000098430000}"/>
    <cellStyle name="Normal 2 2 2 27 3 6" xfId="17305" xr:uid="{00000000-0005-0000-0000-000099430000}"/>
    <cellStyle name="Normal 2 2 2 27 3 7" xfId="17306" xr:uid="{00000000-0005-0000-0000-00009A430000}"/>
    <cellStyle name="Normal 2 2 2 27 3 8" xfId="17307" xr:uid="{00000000-0005-0000-0000-00009B430000}"/>
    <cellStyle name="Normal 2 2 2 27 3 9" xfId="17308" xr:uid="{00000000-0005-0000-0000-00009C430000}"/>
    <cellStyle name="Normal 2 2 2 27 4" xfId="17309" xr:uid="{00000000-0005-0000-0000-00009D430000}"/>
    <cellStyle name="Normal 2 2 2 27 4 10" xfId="17310" xr:uid="{00000000-0005-0000-0000-00009E430000}"/>
    <cellStyle name="Normal 2 2 2 27 4 2" xfId="17311" xr:uid="{00000000-0005-0000-0000-00009F430000}"/>
    <cellStyle name="Normal 2 2 2 27 4 3" xfId="17312" xr:uid="{00000000-0005-0000-0000-0000A0430000}"/>
    <cellStyle name="Normal 2 2 2 27 4 4" xfId="17313" xr:uid="{00000000-0005-0000-0000-0000A1430000}"/>
    <cellStyle name="Normal 2 2 2 27 4 5" xfId="17314" xr:uid="{00000000-0005-0000-0000-0000A2430000}"/>
    <cellStyle name="Normal 2 2 2 27 4 6" xfId="17315" xr:uid="{00000000-0005-0000-0000-0000A3430000}"/>
    <cellStyle name="Normal 2 2 2 27 4 7" xfId="17316" xr:uid="{00000000-0005-0000-0000-0000A4430000}"/>
    <cellStyle name="Normal 2 2 2 27 4 8" xfId="17317" xr:uid="{00000000-0005-0000-0000-0000A5430000}"/>
    <cellStyle name="Normal 2 2 2 27 4 9" xfId="17318" xr:uid="{00000000-0005-0000-0000-0000A6430000}"/>
    <cellStyle name="Normal 2 2 2 27 5" xfId="17319" xr:uid="{00000000-0005-0000-0000-0000A7430000}"/>
    <cellStyle name="Normal 2 2 2 27 5 10" xfId="17320" xr:uid="{00000000-0005-0000-0000-0000A8430000}"/>
    <cellStyle name="Normal 2 2 2 27 5 2" xfId="17321" xr:uid="{00000000-0005-0000-0000-0000A9430000}"/>
    <cellStyle name="Normal 2 2 2 27 5 3" xfId="17322" xr:uid="{00000000-0005-0000-0000-0000AA430000}"/>
    <cellStyle name="Normal 2 2 2 27 5 4" xfId="17323" xr:uid="{00000000-0005-0000-0000-0000AB430000}"/>
    <cellStyle name="Normal 2 2 2 27 5 5" xfId="17324" xr:uid="{00000000-0005-0000-0000-0000AC430000}"/>
    <cellStyle name="Normal 2 2 2 27 5 6" xfId="17325" xr:uid="{00000000-0005-0000-0000-0000AD430000}"/>
    <cellStyle name="Normal 2 2 2 27 5 7" xfId="17326" xr:uid="{00000000-0005-0000-0000-0000AE430000}"/>
    <cellStyle name="Normal 2 2 2 27 5 8" xfId="17327" xr:uid="{00000000-0005-0000-0000-0000AF430000}"/>
    <cellStyle name="Normal 2 2 2 27 5 9" xfId="17328" xr:uid="{00000000-0005-0000-0000-0000B0430000}"/>
    <cellStyle name="Normal 2 2 2 27 6" xfId="17329" xr:uid="{00000000-0005-0000-0000-0000B1430000}"/>
    <cellStyle name="Normal 2 2 2 27 7" xfId="17330" xr:uid="{00000000-0005-0000-0000-0000B2430000}"/>
    <cellStyle name="Normal 2 2 2 27 8" xfId="17331" xr:uid="{00000000-0005-0000-0000-0000B3430000}"/>
    <cellStyle name="Normal 2 2 2 27 9" xfId="17332" xr:uid="{00000000-0005-0000-0000-0000B4430000}"/>
    <cellStyle name="Normal 2 2 2 28" xfId="17333" xr:uid="{00000000-0005-0000-0000-0000B5430000}"/>
    <cellStyle name="Normal 2 2 2 28 10" xfId="17334" xr:uid="{00000000-0005-0000-0000-0000B6430000}"/>
    <cellStyle name="Normal 2 2 2 28 11" xfId="17335" xr:uid="{00000000-0005-0000-0000-0000B7430000}"/>
    <cellStyle name="Normal 2 2 2 28 12" xfId="17336" xr:uid="{00000000-0005-0000-0000-0000B8430000}"/>
    <cellStyle name="Normal 2 2 2 28 13" xfId="17337" xr:uid="{00000000-0005-0000-0000-0000B9430000}"/>
    <cellStyle name="Normal 2 2 2 28 14" xfId="17338" xr:uid="{00000000-0005-0000-0000-0000BA430000}"/>
    <cellStyle name="Normal 2 2 2 28 2" xfId="17339" xr:uid="{00000000-0005-0000-0000-0000BB430000}"/>
    <cellStyle name="Normal 2 2 2 28 2 10" xfId="17340" xr:uid="{00000000-0005-0000-0000-0000BC430000}"/>
    <cellStyle name="Normal 2 2 2 28 2 2" xfId="17341" xr:uid="{00000000-0005-0000-0000-0000BD430000}"/>
    <cellStyle name="Normal 2 2 2 28 2 3" xfId="17342" xr:uid="{00000000-0005-0000-0000-0000BE430000}"/>
    <cellStyle name="Normal 2 2 2 28 2 4" xfId="17343" xr:uid="{00000000-0005-0000-0000-0000BF430000}"/>
    <cellStyle name="Normal 2 2 2 28 2 5" xfId="17344" xr:uid="{00000000-0005-0000-0000-0000C0430000}"/>
    <cellStyle name="Normal 2 2 2 28 2 6" xfId="17345" xr:uid="{00000000-0005-0000-0000-0000C1430000}"/>
    <cellStyle name="Normal 2 2 2 28 2 7" xfId="17346" xr:uid="{00000000-0005-0000-0000-0000C2430000}"/>
    <cellStyle name="Normal 2 2 2 28 2 8" xfId="17347" xr:uid="{00000000-0005-0000-0000-0000C3430000}"/>
    <cellStyle name="Normal 2 2 2 28 2 9" xfId="17348" xr:uid="{00000000-0005-0000-0000-0000C4430000}"/>
    <cellStyle name="Normal 2 2 2 28 3" xfId="17349" xr:uid="{00000000-0005-0000-0000-0000C5430000}"/>
    <cellStyle name="Normal 2 2 2 28 3 10" xfId="17350" xr:uid="{00000000-0005-0000-0000-0000C6430000}"/>
    <cellStyle name="Normal 2 2 2 28 3 2" xfId="17351" xr:uid="{00000000-0005-0000-0000-0000C7430000}"/>
    <cellStyle name="Normal 2 2 2 28 3 3" xfId="17352" xr:uid="{00000000-0005-0000-0000-0000C8430000}"/>
    <cellStyle name="Normal 2 2 2 28 3 4" xfId="17353" xr:uid="{00000000-0005-0000-0000-0000C9430000}"/>
    <cellStyle name="Normal 2 2 2 28 3 5" xfId="17354" xr:uid="{00000000-0005-0000-0000-0000CA430000}"/>
    <cellStyle name="Normal 2 2 2 28 3 6" xfId="17355" xr:uid="{00000000-0005-0000-0000-0000CB430000}"/>
    <cellStyle name="Normal 2 2 2 28 3 7" xfId="17356" xr:uid="{00000000-0005-0000-0000-0000CC430000}"/>
    <cellStyle name="Normal 2 2 2 28 3 8" xfId="17357" xr:uid="{00000000-0005-0000-0000-0000CD430000}"/>
    <cellStyle name="Normal 2 2 2 28 3 9" xfId="17358" xr:uid="{00000000-0005-0000-0000-0000CE430000}"/>
    <cellStyle name="Normal 2 2 2 28 4" xfId="17359" xr:uid="{00000000-0005-0000-0000-0000CF430000}"/>
    <cellStyle name="Normal 2 2 2 28 4 10" xfId="17360" xr:uid="{00000000-0005-0000-0000-0000D0430000}"/>
    <cellStyle name="Normal 2 2 2 28 4 2" xfId="17361" xr:uid="{00000000-0005-0000-0000-0000D1430000}"/>
    <cellStyle name="Normal 2 2 2 28 4 3" xfId="17362" xr:uid="{00000000-0005-0000-0000-0000D2430000}"/>
    <cellStyle name="Normal 2 2 2 28 4 4" xfId="17363" xr:uid="{00000000-0005-0000-0000-0000D3430000}"/>
    <cellStyle name="Normal 2 2 2 28 4 5" xfId="17364" xr:uid="{00000000-0005-0000-0000-0000D4430000}"/>
    <cellStyle name="Normal 2 2 2 28 4 6" xfId="17365" xr:uid="{00000000-0005-0000-0000-0000D5430000}"/>
    <cellStyle name="Normal 2 2 2 28 4 7" xfId="17366" xr:uid="{00000000-0005-0000-0000-0000D6430000}"/>
    <cellStyle name="Normal 2 2 2 28 4 8" xfId="17367" xr:uid="{00000000-0005-0000-0000-0000D7430000}"/>
    <cellStyle name="Normal 2 2 2 28 4 9" xfId="17368" xr:uid="{00000000-0005-0000-0000-0000D8430000}"/>
    <cellStyle name="Normal 2 2 2 28 5" xfId="17369" xr:uid="{00000000-0005-0000-0000-0000D9430000}"/>
    <cellStyle name="Normal 2 2 2 28 5 10" xfId="17370" xr:uid="{00000000-0005-0000-0000-0000DA430000}"/>
    <cellStyle name="Normal 2 2 2 28 5 2" xfId="17371" xr:uid="{00000000-0005-0000-0000-0000DB430000}"/>
    <cellStyle name="Normal 2 2 2 28 5 3" xfId="17372" xr:uid="{00000000-0005-0000-0000-0000DC430000}"/>
    <cellStyle name="Normal 2 2 2 28 5 4" xfId="17373" xr:uid="{00000000-0005-0000-0000-0000DD430000}"/>
    <cellStyle name="Normal 2 2 2 28 5 5" xfId="17374" xr:uid="{00000000-0005-0000-0000-0000DE430000}"/>
    <cellStyle name="Normal 2 2 2 28 5 6" xfId="17375" xr:uid="{00000000-0005-0000-0000-0000DF430000}"/>
    <cellStyle name="Normal 2 2 2 28 5 7" xfId="17376" xr:uid="{00000000-0005-0000-0000-0000E0430000}"/>
    <cellStyle name="Normal 2 2 2 28 5 8" xfId="17377" xr:uid="{00000000-0005-0000-0000-0000E1430000}"/>
    <cellStyle name="Normal 2 2 2 28 5 9" xfId="17378" xr:uid="{00000000-0005-0000-0000-0000E2430000}"/>
    <cellStyle name="Normal 2 2 2 28 6" xfId="17379" xr:uid="{00000000-0005-0000-0000-0000E3430000}"/>
    <cellStyle name="Normal 2 2 2 28 7" xfId="17380" xr:uid="{00000000-0005-0000-0000-0000E4430000}"/>
    <cellStyle name="Normal 2 2 2 28 8" xfId="17381" xr:uid="{00000000-0005-0000-0000-0000E5430000}"/>
    <cellStyle name="Normal 2 2 2 28 9" xfId="17382" xr:uid="{00000000-0005-0000-0000-0000E6430000}"/>
    <cellStyle name="Normal 2 2 2 29" xfId="17383" xr:uid="{00000000-0005-0000-0000-0000E7430000}"/>
    <cellStyle name="Normal 2 2 2 29 10" xfId="17384" xr:uid="{00000000-0005-0000-0000-0000E8430000}"/>
    <cellStyle name="Normal 2 2 2 29 11" xfId="17385" xr:uid="{00000000-0005-0000-0000-0000E9430000}"/>
    <cellStyle name="Normal 2 2 2 29 12" xfId="17386" xr:uid="{00000000-0005-0000-0000-0000EA430000}"/>
    <cellStyle name="Normal 2 2 2 29 13" xfId="17387" xr:uid="{00000000-0005-0000-0000-0000EB430000}"/>
    <cellStyle name="Normal 2 2 2 29 14" xfId="17388" xr:uid="{00000000-0005-0000-0000-0000EC430000}"/>
    <cellStyle name="Normal 2 2 2 29 2" xfId="17389" xr:uid="{00000000-0005-0000-0000-0000ED430000}"/>
    <cellStyle name="Normal 2 2 2 29 2 10" xfId="17390" xr:uid="{00000000-0005-0000-0000-0000EE430000}"/>
    <cellStyle name="Normal 2 2 2 29 2 2" xfId="17391" xr:uid="{00000000-0005-0000-0000-0000EF430000}"/>
    <cellStyle name="Normal 2 2 2 29 2 3" xfId="17392" xr:uid="{00000000-0005-0000-0000-0000F0430000}"/>
    <cellStyle name="Normal 2 2 2 29 2 4" xfId="17393" xr:uid="{00000000-0005-0000-0000-0000F1430000}"/>
    <cellStyle name="Normal 2 2 2 29 2 5" xfId="17394" xr:uid="{00000000-0005-0000-0000-0000F2430000}"/>
    <cellStyle name="Normal 2 2 2 29 2 6" xfId="17395" xr:uid="{00000000-0005-0000-0000-0000F3430000}"/>
    <cellStyle name="Normal 2 2 2 29 2 7" xfId="17396" xr:uid="{00000000-0005-0000-0000-0000F4430000}"/>
    <cellStyle name="Normal 2 2 2 29 2 8" xfId="17397" xr:uid="{00000000-0005-0000-0000-0000F5430000}"/>
    <cellStyle name="Normal 2 2 2 29 2 9" xfId="17398" xr:uid="{00000000-0005-0000-0000-0000F6430000}"/>
    <cellStyle name="Normal 2 2 2 29 3" xfId="17399" xr:uid="{00000000-0005-0000-0000-0000F7430000}"/>
    <cellStyle name="Normal 2 2 2 29 3 10" xfId="17400" xr:uid="{00000000-0005-0000-0000-0000F8430000}"/>
    <cellStyle name="Normal 2 2 2 29 3 2" xfId="17401" xr:uid="{00000000-0005-0000-0000-0000F9430000}"/>
    <cellStyle name="Normal 2 2 2 29 3 3" xfId="17402" xr:uid="{00000000-0005-0000-0000-0000FA430000}"/>
    <cellStyle name="Normal 2 2 2 29 3 4" xfId="17403" xr:uid="{00000000-0005-0000-0000-0000FB430000}"/>
    <cellStyle name="Normal 2 2 2 29 3 5" xfId="17404" xr:uid="{00000000-0005-0000-0000-0000FC430000}"/>
    <cellStyle name="Normal 2 2 2 29 3 6" xfId="17405" xr:uid="{00000000-0005-0000-0000-0000FD430000}"/>
    <cellStyle name="Normal 2 2 2 29 3 7" xfId="17406" xr:uid="{00000000-0005-0000-0000-0000FE430000}"/>
    <cellStyle name="Normal 2 2 2 29 3 8" xfId="17407" xr:uid="{00000000-0005-0000-0000-0000FF430000}"/>
    <cellStyle name="Normal 2 2 2 29 3 9" xfId="17408" xr:uid="{00000000-0005-0000-0000-000000440000}"/>
    <cellStyle name="Normal 2 2 2 29 4" xfId="17409" xr:uid="{00000000-0005-0000-0000-000001440000}"/>
    <cellStyle name="Normal 2 2 2 29 4 10" xfId="17410" xr:uid="{00000000-0005-0000-0000-000002440000}"/>
    <cellStyle name="Normal 2 2 2 29 4 2" xfId="17411" xr:uid="{00000000-0005-0000-0000-000003440000}"/>
    <cellStyle name="Normal 2 2 2 29 4 3" xfId="17412" xr:uid="{00000000-0005-0000-0000-000004440000}"/>
    <cellStyle name="Normal 2 2 2 29 4 4" xfId="17413" xr:uid="{00000000-0005-0000-0000-000005440000}"/>
    <cellStyle name="Normal 2 2 2 29 4 5" xfId="17414" xr:uid="{00000000-0005-0000-0000-000006440000}"/>
    <cellStyle name="Normal 2 2 2 29 4 6" xfId="17415" xr:uid="{00000000-0005-0000-0000-000007440000}"/>
    <cellStyle name="Normal 2 2 2 29 4 7" xfId="17416" xr:uid="{00000000-0005-0000-0000-000008440000}"/>
    <cellStyle name="Normal 2 2 2 29 4 8" xfId="17417" xr:uid="{00000000-0005-0000-0000-000009440000}"/>
    <cellStyle name="Normal 2 2 2 29 4 9" xfId="17418" xr:uid="{00000000-0005-0000-0000-00000A440000}"/>
    <cellStyle name="Normal 2 2 2 29 5" xfId="17419" xr:uid="{00000000-0005-0000-0000-00000B440000}"/>
    <cellStyle name="Normal 2 2 2 29 5 10" xfId="17420" xr:uid="{00000000-0005-0000-0000-00000C440000}"/>
    <cellStyle name="Normal 2 2 2 29 5 2" xfId="17421" xr:uid="{00000000-0005-0000-0000-00000D440000}"/>
    <cellStyle name="Normal 2 2 2 29 5 3" xfId="17422" xr:uid="{00000000-0005-0000-0000-00000E440000}"/>
    <cellStyle name="Normal 2 2 2 29 5 4" xfId="17423" xr:uid="{00000000-0005-0000-0000-00000F440000}"/>
    <cellStyle name="Normal 2 2 2 29 5 5" xfId="17424" xr:uid="{00000000-0005-0000-0000-000010440000}"/>
    <cellStyle name="Normal 2 2 2 29 5 6" xfId="17425" xr:uid="{00000000-0005-0000-0000-000011440000}"/>
    <cellStyle name="Normal 2 2 2 29 5 7" xfId="17426" xr:uid="{00000000-0005-0000-0000-000012440000}"/>
    <cellStyle name="Normal 2 2 2 29 5 8" xfId="17427" xr:uid="{00000000-0005-0000-0000-000013440000}"/>
    <cellStyle name="Normal 2 2 2 29 5 9" xfId="17428" xr:uid="{00000000-0005-0000-0000-000014440000}"/>
    <cellStyle name="Normal 2 2 2 29 6" xfId="17429" xr:uid="{00000000-0005-0000-0000-000015440000}"/>
    <cellStyle name="Normal 2 2 2 29 7" xfId="17430" xr:uid="{00000000-0005-0000-0000-000016440000}"/>
    <cellStyle name="Normal 2 2 2 29 8" xfId="17431" xr:uid="{00000000-0005-0000-0000-000017440000}"/>
    <cellStyle name="Normal 2 2 2 29 9" xfId="17432" xr:uid="{00000000-0005-0000-0000-000018440000}"/>
    <cellStyle name="Normal 2 2 2 3" xfId="19" xr:uid="{00000000-0005-0000-0000-000013000000}"/>
    <cellStyle name="Normal 2 2 2 3 10" xfId="17433" xr:uid="{00000000-0005-0000-0000-000019440000}"/>
    <cellStyle name="Normal 2 2 2 3 10 10" xfId="17434" xr:uid="{00000000-0005-0000-0000-00001A440000}"/>
    <cellStyle name="Normal 2 2 2 3 10 11" xfId="17435" xr:uid="{00000000-0005-0000-0000-00001B440000}"/>
    <cellStyle name="Normal 2 2 2 3 10 12" xfId="17436" xr:uid="{00000000-0005-0000-0000-00001C440000}"/>
    <cellStyle name="Normal 2 2 2 3 10 13" xfId="17437" xr:uid="{00000000-0005-0000-0000-00001D440000}"/>
    <cellStyle name="Normal 2 2 2 3 10 14" xfId="17438" xr:uid="{00000000-0005-0000-0000-00001E440000}"/>
    <cellStyle name="Normal 2 2 2 3 10 2" xfId="17439" xr:uid="{00000000-0005-0000-0000-00001F440000}"/>
    <cellStyle name="Normal 2 2 2 3 10 2 10" xfId="17440" xr:uid="{00000000-0005-0000-0000-000020440000}"/>
    <cellStyle name="Normal 2 2 2 3 10 2 2" xfId="17441" xr:uid="{00000000-0005-0000-0000-000021440000}"/>
    <cellStyle name="Normal 2 2 2 3 10 2 3" xfId="17442" xr:uid="{00000000-0005-0000-0000-000022440000}"/>
    <cellStyle name="Normal 2 2 2 3 10 2 4" xfId="17443" xr:uid="{00000000-0005-0000-0000-000023440000}"/>
    <cellStyle name="Normal 2 2 2 3 10 2 5" xfId="17444" xr:uid="{00000000-0005-0000-0000-000024440000}"/>
    <cellStyle name="Normal 2 2 2 3 10 2 6" xfId="17445" xr:uid="{00000000-0005-0000-0000-000025440000}"/>
    <cellStyle name="Normal 2 2 2 3 10 2 7" xfId="17446" xr:uid="{00000000-0005-0000-0000-000026440000}"/>
    <cellStyle name="Normal 2 2 2 3 10 2 8" xfId="17447" xr:uid="{00000000-0005-0000-0000-000027440000}"/>
    <cellStyle name="Normal 2 2 2 3 10 2 9" xfId="17448" xr:uid="{00000000-0005-0000-0000-000028440000}"/>
    <cellStyle name="Normal 2 2 2 3 10 3" xfId="17449" xr:uid="{00000000-0005-0000-0000-000029440000}"/>
    <cellStyle name="Normal 2 2 2 3 10 3 10" xfId="17450" xr:uid="{00000000-0005-0000-0000-00002A440000}"/>
    <cellStyle name="Normal 2 2 2 3 10 3 2" xfId="17451" xr:uid="{00000000-0005-0000-0000-00002B440000}"/>
    <cellStyle name="Normal 2 2 2 3 10 3 3" xfId="17452" xr:uid="{00000000-0005-0000-0000-00002C440000}"/>
    <cellStyle name="Normal 2 2 2 3 10 3 4" xfId="17453" xr:uid="{00000000-0005-0000-0000-00002D440000}"/>
    <cellStyle name="Normal 2 2 2 3 10 3 5" xfId="17454" xr:uid="{00000000-0005-0000-0000-00002E440000}"/>
    <cellStyle name="Normal 2 2 2 3 10 3 6" xfId="17455" xr:uid="{00000000-0005-0000-0000-00002F440000}"/>
    <cellStyle name="Normal 2 2 2 3 10 3 7" xfId="17456" xr:uid="{00000000-0005-0000-0000-000030440000}"/>
    <cellStyle name="Normal 2 2 2 3 10 3 8" xfId="17457" xr:uid="{00000000-0005-0000-0000-000031440000}"/>
    <cellStyle name="Normal 2 2 2 3 10 3 9" xfId="17458" xr:uid="{00000000-0005-0000-0000-000032440000}"/>
    <cellStyle name="Normal 2 2 2 3 10 4" xfId="17459" xr:uid="{00000000-0005-0000-0000-000033440000}"/>
    <cellStyle name="Normal 2 2 2 3 10 4 10" xfId="17460" xr:uid="{00000000-0005-0000-0000-000034440000}"/>
    <cellStyle name="Normal 2 2 2 3 10 4 2" xfId="17461" xr:uid="{00000000-0005-0000-0000-000035440000}"/>
    <cellStyle name="Normal 2 2 2 3 10 4 3" xfId="17462" xr:uid="{00000000-0005-0000-0000-000036440000}"/>
    <cellStyle name="Normal 2 2 2 3 10 4 4" xfId="17463" xr:uid="{00000000-0005-0000-0000-000037440000}"/>
    <cellStyle name="Normal 2 2 2 3 10 4 5" xfId="17464" xr:uid="{00000000-0005-0000-0000-000038440000}"/>
    <cellStyle name="Normal 2 2 2 3 10 4 6" xfId="17465" xr:uid="{00000000-0005-0000-0000-000039440000}"/>
    <cellStyle name="Normal 2 2 2 3 10 4 7" xfId="17466" xr:uid="{00000000-0005-0000-0000-00003A440000}"/>
    <cellStyle name="Normal 2 2 2 3 10 4 8" xfId="17467" xr:uid="{00000000-0005-0000-0000-00003B440000}"/>
    <cellStyle name="Normal 2 2 2 3 10 4 9" xfId="17468" xr:uid="{00000000-0005-0000-0000-00003C440000}"/>
    <cellStyle name="Normal 2 2 2 3 10 5" xfId="17469" xr:uid="{00000000-0005-0000-0000-00003D440000}"/>
    <cellStyle name="Normal 2 2 2 3 10 5 10" xfId="17470" xr:uid="{00000000-0005-0000-0000-00003E440000}"/>
    <cellStyle name="Normal 2 2 2 3 10 5 2" xfId="17471" xr:uid="{00000000-0005-0000-0000-00003F440000}"/>
    <cellStyle name="Normal 2 2 2 3 10 5 3" xfId="17472" xr:uid="{00000000-0005-0000-0000-000040440000}"/>
    <cellStyle name="Normal 2 2 2 3 10 5 4" xfId="17473" xr:uid="{00000000-0005-0000-0000-000041440000}"/>
    <cellStyle name="Normal 2 2 2 3 10 5 5" xfId="17474" xr:uid="{00000000-0005-0000-0000-000042440000}"/>
    <cellStyle name="Normal 2 2 2 3 10 5 6" xfId="17475" xr:uid="{00000000-0005-0000-0000-000043440000}"/>
    <cellStyle name="Normal 2 2 2 3 10 5 7" xfId="17476" xr:uid="{00000000-0005-0000-0000-000044440000}"/>
    <cellStyle name="Normal 2 2 2 3 10 5 8" xfId="17477" xr:uid="{00000000-0005-0000-0000-000045440000}"/>
    <cellStyle name="Normal 2 2 2 3 10 5 9" xfId="17478" xr:uid="{00000000-0005-0000-0000-000046440000}"/>
    <cellStyle name="Normal 2 2 2 3 10 6" xfId="17479" xr:uid="{00000000-0005-0000-0000-000047440000}"/>
    <cellStyle name="Normal 2 2 2 3 10 7" xfId="17480" xr:uid="{00000000-0005-0000-0000-000048440000}"/>
    <cellStyle name="Normal 2 2 2 3 10 8" xfId="17481" xr:uid="{00000000-0005-0000-0000-000049440000}"/>
    <cellStyle name="Normal 2 2 2 3 10 9" xfId="17482" xr:uid="{00000000-0005-0000-0000-00004A440000}"/>
    <cellStyle name="Normal 2 2 2 3 11" xfId="17483" xr:uid="{00000000-0005-0000-0000-00004B440000}"/>
    <cellStyle name="Normal 2 2 2 3 11 10" xfId="17484" xr:uid="{00000000-0005-0000-0000-00004C440000}"/>
    <cellStyle name="Normal 2 2 2 3 11 11" xfId="17485" xr:uid="{00000000-0005-0000-0000-00004D440000}"/>
    <cellStyle name="Normal 2 2 2 3 11 12" xfId="17486" xr:uid="{00000000-0005-0000-0000-00004E440000}"/>
    <cellStyle name="Normal 2 2 2 3 11 13" xfId="17487" xr:uid="{00000000-0005-0000-0000-00004F440000}"/>
    <cellStyle name="Normal 2 2 2 3 11 14" xfId="17488" xr:uid="{00000000-0005-0000-0000-000050440000}"/>
    <cellStyle name="Normal 2 2 2 3 11 2" xfId="17489" xr:uid="{00000000-0005-0000-0000-000051440000}"/>
    <cellStyle name="Normal 2 2 2 3 11 2 10" xfId="17490" xr:uid="{00000000-0005-0000-0000-000052440000}"/>
    <cellStyle name="Normal 2 2 2 3 11 2 2" xfId="17491" xr:uid="{00000000-0005-0000-0000-000053440000}"/>
    <cellStyle name="Normal 2 2 2 3 11 2 3" xfId="17492" xr:uid="{00000000-0005-0000-0000-000054440000}"/>
    <cellStyle name="Normal 2 2 2 3 11 2 4" xfId="17493" xr:uid="{00000000-0005-0000-0000-000055440000}"/>
    <cellStyle name="Normal 2 2 2 3 11 2 5" xfId="17494" xr:uid="{00000000-0005-0000-0000-000056440000}"/>
    <cellStyle name="Normal 2 2 2 3 11 2 6" xfId="17495" xr:uid="{00000000-0005-0000-0000-000057440000}"/>
    <cellStyle name="Normal 2 2 2 3 11 2 7" xfId="17496" xr:uid="{00000000-0005-0000-0000-000058440000}"/>
    <cellStyle name="Normal 2 2 2 3 11 2 8" xfId="17497" xr:uid="{00000000-0005-0000-0000-000059440000}"/>
    <cellStyle name="Normal 2 2 2 3 11 2 9" xfId="17498" xr:uid="{00000000-0005-0000-0000-00005A440000}"/>
    <cellStyle name="Normal 2 2 2 3 11 3" xfId="17499" xr:uid="{00000000-0005-0000-0000-00005B440000}"/>
    <cellStyle name="Normal 2 2 2 3 11 3 10" xfId="17500" xr:uid="{00000000-0005-0000-0000-00005C440000}"/>
    <cellStyle name="Normal 2 2 2 3 11 3 2" xfId="17501" xr:uid="{00000000-0005-0000-0000-00005D440000}"/>
    <cellStyle name="Normal 2 2 2 3 11 3 3" xfId="17502" xr:uid="{00000000-0005-0000-0000-00005E440000}"/>
    <cellStyle name="Normal 2 2 2 3 11 3 4" xfId="17503" xr:uid="{00000000-0005-0000-0000-00005F440000}"/>
    <cellStyle name="Normal 2 2 2 3 11 3 5" xfId="17504" xr:uid="{00000000-0005-0000-0000-000060440000}"/>
    <cellStyle name="Normal 2 2 2 3 11 3 6" xfId="17505" xr:uid="{00000000-0005-0000-0000-000061440000}"/>
    <cellStyle name="Normal 2 2 2 3 11 3 7" xfId="17506" xr:uid="{00000000-0005-0000-0000-000062440000}"/>
    <cellStyle name="Normal 2 2 2 3 11 3 8" xfId="17507" xr:uid="{00000000-0005-0000-0000-000063440000}"/>
    <cellStyle name="Normal 2 2 2 3 11 3 9" xfId="17508" xr:uid="{00000000-0005-0000-0000-000064440000}"/>
    <cellStyle name="Normal 2 2 2 3 11 4" xfId="17509" xr:uid="{00000000-0005-0000-0000-000065440000}"/>
    <cellStyle name="Normal 2 2 2 3 11 4 10" xfId="17510" xr:uid="{00000000-0005-0000-0000-000066440000}"/>
    <cellStyle name="Normal 2 2 2 3 11 4 2" xfId="17511" xr:uid="{00000000-0005-0000-0000-000067440000}"/>
    <cellStyle name="Normal 2 2 2 3 11 4 3" xfId="17512" xr:uid="{00000000-0005-0000-0000-000068440000}"/>
    <cellStyle name="Normal 2 2 2 3 11 4 4" xfId="17513" xr:uid="{00000000-0005-0000-0000-000069440000}"/>
    <cellStyle name="Normal 2 2 2 3 11 4 5" xfId="17514" xr:uid="{00000000-0005-0000-0000-00006A440000}"/>
    <cellStyle name="Normal 2 2 2 3 11 4 6" xfId="17515" xr:uid="{00000000-0005-0000-0000-00006B440000}"/>
    <cellStyle name="Normal 2 2 2 3 11 4 7" xfId="17516" xr:uid="{00000000-0005-0000-0000-00006C440000}"/>
    <cellStyle name="Normal 2 2 2 3 11 4 8" xfId="17517" xr:uid="{00000000-0005-0000-0000-00006D440000}"/>
    <cellStyle name="Normal 2 2 2 3 11 4 9" xfId="17518" xr:uid="{00000000-0005-0000-0000-00006E440000}"/>
    <cellStyle name="Normal 2 2 2 3 11 5" xfId="17519" xr:uid="{00000000-0005-0000-0000-00006F440000}"/>
    <cellStyle name="Normal 2 2 2 3 11 5 10" xfId="17520" xr:uid="{00000000-0005-0000-0000-000070440000}"/>
    <cellStyle name="Normal 2 2 2 3 11 5 2" xfId="17521" xr:uid="{00000000-0005-0000-0000-000071440000}"/>
    <cellStyle name="Normal 2 2 2 3 11 5 3" xfId="17522" xr:uid="{00000000-0005-0000-0000-000072440000}"/>
    <cellStyle name="Normal 2 2 2 3 11 5 4" xfId="17523" xr:uid="{00000000-0005-0000-0000-000073440000}"/>
    <cellStyle name="Normal 2 2 2 3 11 5 5" xfId="17524" xr:uid="{00000000-0005-0000-0000-000074440000}"/>
    <cellStyle name="Normal 2 2 2 3 11 5 6" xfId="17525" xr:uid="{00000000-0005-0000-0000-000075440000}"/>
    <cellStyle name="Normal 2 2 2 3 11 5 7" xfId="17526" xr:uid="{00000000-0005-0000-0000-000076440000}"/>
    <cellStyle name="Normal 2 2 2 3 11 5 8" xfId="17527" xr:uid="{00000000-0005-0000-0000-000077440000}"/>
    <cellStyle name="Normal 2 2 2 3 11 5 9" xfId="17528" xr:uid="{00000000-0005-0000-0000-000078440000}"/>
    <cellStyle name="Normal 2 2 2 3 11 6" xfId="17529" xr:uid="{00000000-0005-0000-0000-000079440000}"/>
    <cellStyle name="Normal 2 2 2 3 11 7" xfId="17530" xr:uid="{00000000-0005-0000-0000-00007A440000}"/>
    <cellStyle name="Normal 2 2 2 3 11 8" xfId="17531" xr:uid="{00000000-0005-0000-0000-00007B440000}"/>
    <cellStyle name="Normal 2 2 2 3 11 9" xfId="17532" xr:uid="{00000000-0005-0000-0000-00007C440000}"/>
    <cellStyle name="Normal 2 2 2 3 12" xfId="17533" xr:uid="{00000000-0005-0000-0000-00007D440000}"/>
    <cellStyle name="Normal 2 2 2 3 12 10" xfId="17534" xr:uid="{00000000-0005-0000-0000-00007E440000}"/>
    <cellStyle name="Normal 2 2 2 3 12 11" xfId="17535" xr:uid="{00000000-0005-0000-0000-00007F440000}"/>
    <cellStyle name="Normal 2 2 2 3 12 12" xfId="17536" xr:uid="{00000000-0005-0000-0000-000080440000}"/>
    <cellStyle name="Normal 2 2 2 3 12 13" xfId="17537" xr:uid="{00000000-0005-0000-0000-000081440000}"/>
    <cellStyle name="Normal 2 2 2 3 12 14" xfId="17538" xr:uid="{00000000-0005-0000-0000-000082440000}"/>
    <cellStyle name="Normal 2 2 2 3 12 2" xfId="17539" xr:uid="{00000000-0005-0000-0000-000083440000}"/>
    <cellStyle name="Normal 2 2 2 3 12 2 10" xfId="17540" xr:uid="{00000000-0005-0000-0000-000084440000}"/>
    <cellStyle name="Normal 2 2 2 3 12 2 2" xfId="17541" xr:uid="{00000000-0005-0000-0000-000085440000}"/>
    <cellStyle name="Normal 2 2 2 3 12 2 3" xfId="17542" xr:uid="{00000000-0005-0000-0000-000086440000}"/>
    <cellStyle name="Normal 2 2 2 3 12 2 4" xfId="17543" xr:uid="{00000000-0005-0000-0000-000087440000}"/>
    <cellStyle name="Normal 2 2 2 3 12 2 5" xfId="17544" xr:uid="{00000000-0005-0000-0000-000088440000}"/>
    <cellStyle name="Normal 2 2 2 3 12 2 6" xfId="17545" xr:uid="{00000000-0005-0000-0000-000089440000}"/>
    <cellStyle name="Normal 2 2 2 3 12 2 7" xfId="17546" xr:uid="{00000000-0005-0000-0000-00008A440000}"/>
    <cellStyle name="Normal 2 2 2 3 12 2 8" xfId="17547" xr:uid="{00000000-0005-0000-0000-00008B440000}"/>
    <cellStyle name="Normal 2 2 2 3 12 2 9" xfId="17548" xr:uid="{00000000-0005-0000-0000-00008C440000}"/>
    <cellStyle name="Normal 2 2 2 3 12 3" xfId="17549" xr:uid="{00000000-0005-0000-0000-00008D440000}"/>
    <cellStyle name="Normal 2 2 2 3 12 3 10" xfId="17550" xr:uid="{00000000-0005-0000-0000-00008E440000}"/>
    <cellStyle name="Normal 2 2 2 3 12 3 2" xfId="17551" xr:uid="{00000000-0005-0000-0000-00008F440000}"/>
    <cellStyle name="Normal 2 2 2 3 12 3 3" xfId="17552" xr:uid="{00000000-0005-0000-0000-000090440000}"/>
    <cellStyle name="Normal 2 2 2 3 12 3 4" xfId="17553" xr:uid="{00000000-0005-0000-0000-000091440000}"/>
    <cellStyle name="Normal 2 2 2 3 12 3 5" xfId="17554" xr:uid="{00000000-0005-0000-0000-000092440000}"/>
    <cellStyle name="Normal 2 2 2 3 12 3 6" xfId="17555" xr:uid="{00000000-0005-0000-0000-000093440000}"/>
    <cellStyle name="Normal 2 2 2 3 12 3 7" xfId="17556" xr:uid="{00000000-0005-0000-0000-000094440000}"/>
    <cellStyle name="Normal 2 2 2 3 12 3 8" xfId="17557" xr:uid="{00000000-0005-0000-0000-000095440000}"/>
    <cellStyle name="Normal 2 2 2 3 12 3 9" xfId="17558" xr:uid="{00000000-0005-0000-0000-000096440000}"/>
    <cellStyle name="Normal 2 2 2 3 12 4" xfId="17559" xr:uid="{00000000-0005-0000-0000-000097440000}"/>
    <cellStyle name="Normal 2 2 2 3 12 4 10" xfId="17560" xr:uid="{00000000-0005-0000-0000-000098440000}"/>
    <cellStyle name="Normal 2 2 2 3 12 4 2" xfId="17561" xr:uid="{00000000-0005-0000-0000-000099440000}"/>
    <cellStyle name="Normal 2 2 2 3 12 4 3" xfId="17562" xr:uid="{00000000-0005-0000-0000-00009A440000}"/>
    <cellStyle name="Normal 2 2 2 3 12 4 4" xfId="17563" xr:uid="{00000000-0005-0000-0000-00009B440000}"/>
    <cellStyle name="Normal 2 2 2 3 12 4 5" xfId="17564" xr:uid="{00000000-0005-0000-0000-00009C440000}"/>
    <cellStyle name="Normal 2 2 2 3 12 4 6" xfId="17565" xr:uid="{00000000-0005-0000-0000-00009D440000}"/>
    <cellStyle name="Normal 2 2 2 3 12 4 7" xfId="17566" xr:uid="{00000000-0005-0000-0000-00009E440000}"/>
    <cellStyle name="Normal 2 2 2 3 12 4 8" xfId="17567" xr:uid="{00000000-0005-0000-0000-00009F440000}"/>
    <cellStyle name="Normal 2 2 2 3 12 4 9" xfId="17568" xr:uid="{00000000-0005-0000-0000-0000A0440000}"/>
    <cellStyle name="Normal 2 2 2 3 12 5" xfId="17569" xr:uid="{00000000-0005-0000-0000-0000A1440000}"/>
    <cellStyle name="Normal 2 2 2 3 12 5 10" xfId="17570" xr:uid="{00000000-0005-0000-0000-0000A2440000}"/>
    <cellStyle name="Normal 2 2 2 3 12 5 2" xfId="17571" xr:uid="{00000000-0005-0000-0000-0000A3440000}"/>
    <cellStyle name="Normal 2 2 2 3 12 5 3" xfId="17572" xr:uid="{00000000-0005-0000-0000-0000A4440000}"/>
    <cellStyle name="Normal 2 2 2 3 12 5 4" xfId="17573" xr:uid="{00000000-0005-0000-0000-0000A5440000}"/>
    <cellStyle name="Normal 2 2 2 3 12 5 5" xfId="17574" xr:uid="{00000000-0005-0000-0000-0000A6440000}"/>
    <cellStyle name="Normal 2 2 2 3 12 5 6" xfId="17575" xr:uid="{00000000-0005-0000-0000-0000A7440000}"/>
    <cellStyle name="Normal 2 2 2 3 12 5 7" xfId="17576" xr:uid="{00000000-0005-0000-0000-0000A8440000}"/>
    <cellStyle name="Normal 2 2 2 3 12 5 8" xfId="17577" xr:uid="{00000000-0005-0000-0000-0000A9440000}"/>
    <cellStyle name="Normal 2 2 2 3 12 5 9" xfId="17578" xr:uid="{00000000-0005-0000-0000-0000AA440000}"/>
    <cellStyle name="Normal 2 2 2 3 12 6" xfId="17579" xr:uid="{00000000-0005-0000-0000-0000AB440000}"/>
    <cellStyle name="Normal 2 2 2 3 12 7" xfId="17580" xr:uid="{00000000-0005-0000-0000-0000AC440000}"/>
    <cellStyle name="Normal 2 2 2 3 12 8" xfId="17581" xr:uid="{00000000-0005-0000-0000-0000AD440000}"/>
    <cellStyle name="Normal 2 2 2 3 12 9" xfId="17582" xr:uid="{00000000-0005-0000-0000-0000AE440000}"/>
    <cellStyle name="Normal 2 2 2 3 13" xfId="17583" xr:uid="{00000000-0005-0000-0000-0000AF440000}"/>
    <cellStyle name="Normal 2 2 2 3 13 10" xfId="17584" xr:uid="{00000000-0005-0000-0000-0000B0440000}"/>
    <cellStyle name="Normal 2 2 2 3 13 11" xfId="17585" xr:uid="{00000000-0005-0000-0000-0000B1440000}"/>
    <cellStyle name="Normal 2 2 2 3 13 12" xfId="17586" xr:uid="{00000000-0005-0000-0000-0000B2440000}"/>
    <cellStyle name="Normal 2 2 2 3 13 13" xfId="17587" xr:uid="{00000000-0005-0000-0000-0000B3440000}"/>
    <cellStyle name="Normal 2 2 2 3 13 14" xfId="17588" xr:uid="{00000000-0005-0000-0000-0000B4440000}"/>
    <cellStyle name="Normal 2 2 2 3 13 2" xfId="17589" xr:uid="{00000000-0005-0000-0000-0000B5440000}"/>
    <cellStyle name="Normal 2 2 2 3 13 2 10" xfId="17590" xr:uid="{00000000-0005-0000-0000-0000B6440000}"/>
    <cellStyle name="Normal 2 2 2 3 13 2 2" xfId="17591" xr:uid="{00000000-0005-0000-0000-0000B7440000}"/>
    <cellStyle name="Normal 2 2 2 3 13 2 3" xfId="17592" xr:uid="{00000000-0005-0000-0000-0000B8440000}"/>
    <cellStyle name="Normal 2 2 2 3 13 2 4" xfId="17593" xr:uid="{00000000-0005-0000-0000-0000B9440000}"/>
    <cellStyle name="Normal 2 2 2 3 13 2 5" xfId="17594" xr:uid="{00000000-0005-0000-0000-0000BA440000}"/>
    <cellStyle name="Normal 2 2 2 3 13 2 6" xfId="17595" xr:uid="{00000000-0005-0000-0000-0000BB440000}"/>
    <cellStyle name="Normal 2 2 2 3 13 2 7" xfId="17596" xr:uid="{00000000-0005-0000-0000-0000BC440000}"/>
    <cellStyle name="Normal 2 2 2 3 13 2 8" xfId="17597" xr:uid="{00000000-0005-0000-0000-0000BD440000}"/>
    <cellStyle name="Normal 2 2 2 3 13 2 9" xfId="17598" xr:uid="{00000000-0005-0000-0000-0000BE440000}"/>
    <cellStyle name="Normal 2 2 2 3 13 3" xfId="17599" xr:uid="{00000000-0005-0000-0000-0000BF440000}"/>
    <cellStyle name="Normal 2 2 2 3 13 3 10" xfId="17600" xr:uid="{00000000-0005-0000-0000-0000C0440000}"/>
    <cellStyle name="Normal 2 2 2 3 13 3 2" xfId="17601" xr:uid="{00000000-0005-0000-0000-0000C1440000}"/>
    <cellStyle name="Normal 2 2 2 3 13 3 3" xfId="17602" xr:uid="{00000000-0005-0000-0000-0000C2440000}"/>
    <cellStyle name="Normal 2 2 2 3 13 3 4" xfId="17603" xr:uid="{00000000-0005-0000-0000-0000C3440000}"/>
    <cellStyle name="Normal 2 2 2 3 13 3 5" xfId="17604" xr:uid="{00000000-0005-0000-0000-0000C4440000}"/>
    <cellStyle name="Normal 2 2 2 3 13 3 6" xfId="17605" xr:uid="{00000000-0005-0000-0000-0000C5440000}"/>
    <cellStyle name="Normal 2 2 2 3 13 3 7" xfId="17606" xr:uid="{00000000-0005-0000-0000-0000C6440000}"/>
    <cellStyle name="Normal 2 2 2 3 13 3 8" xfId="17607" xr:uid="{00000000-0005-0000-0000-0000C7440000}"/>
    <cellStyle name="Normal 2 2 2 3 13 3 9" xfId="17608" xr:uid="{00000000-0005-0000-0000-0000C8440000}"/>
    <cellStyle name="Normal 2 2 2 3 13 4" xfId="17609" xr:uid="{00000000-0005-0000-0000-0000C9440000}"/>
    <cellStyle name="Normal 2 2 2 3 13 4 10" xfId="17610" xr:uid="{00000000-0005-0000-0000-0000CA440000}"/>
    <cellStyle name="Normal 2 2 2 3 13 4 2" xfId="17611" xr:uid="{00000000-0005-0000-0000-0000CB440000}"/>
    <cellStyle name="Normal 2 2 2 3 13 4 3" xfId="17612" xr:uid="{00000000-0005-0000-0000-0000CC440000}"/>
    <cellStyle name="Normal 2 2 2 3 13 4 4" xfId="17613" xr:uid="{00000000-0005-0000-0000-0000CD440000}"/>
    <cellStyle name="Normal 2 2 2 3 13 4 5" xfId="17614" xr:uid="{00000000-0005-0000-0000-0000CE440000}"/>
    <cellStyle name="Normal 2 2 2 3 13 4 6" xfId="17615" xr:uid="{00000000-0005-0000-0000-0000CF440000}"/>
    <cellStyle name="Normal 2 2 2 3 13 4 7" xfId="17616" xr:uid="{00000000-0005-0000-0000-0000D0440000}"/>
    <cellStyle name="Normal 2 2 2 3 13 4 8" xfId="17617" xr:uid="{00000000-0005-0000-0000-0000D1440000}"/>
    <cellStyle name="Normal 2 2 2 3 13 4 9" xfId="17618" xr:uid="{00000000-0005-0000-0000-0000D2440000}"/>
    <cellStyle name="Normal 2 2 2 3 13 5" xfId="17619" xr:uid="{00000000-0005-0000-0000-0000D3440000}"/>
    <cellStyle name="Normal 2 2 2 3 13 5 10" xfId="17620" xr:uid="{00000000-0005-0000-0000-0000D4440000}"/>
    <cellStyle name="Normal 2 2 2 3 13 5 2" xfId="17621" xr:uid="{00000000-0005-0000-0000-0000D5440000}"/>
    <cellStyle name="Normal 2 2 2 3 13 5 3" xfId="17622" xr:uid="{00000000-0005-0000-0000-0000D6440000}"/>
    <cellStyle name="Normal 2 2 2 3 13 5 4" xfId="17623" xr:uid="{00000000-0005-0000-0000-0000D7440000}"/>
    <cellStyle name="Normal 2 2 2 3 13 5 5" xfId="17624" xr:uid="{00000000-0005-0000-0000-0000D8440000}"/>
    <cellStyle name="Normal 2 2 2 3 13 5 6" xfId="17625" xr:uid="{00000000-0005-0000-0000-0000D9440000}"/>
    <cellStyle name="Normal 2 2 2 3 13 5 7" xfId="17626" xr:uid="{00000000-0005-0000-0000-0000DA440000}"/>
    <cellStyle name="Normal 2 2 2 3 13 5 8" xfId="17627" xr:uid="{00000000-0005-0000-0000-0000DB440000}"/>
    <cellStyle name="Normal 2 2 2 3 13 5 9" xfId="17628" xr:uid="{00000000-0005-0000-0000-0000DC440000}"/>
    <cellStyle name="Normal 2 2 2 3 13 6" xfId="17629" xr:uid="{00000000-0005-0000-0000-0000DD440000}"/>
    <cellStyle name="Normal 2 2 2 3 13 7" xfId="17630" xr:uid="{00000000-0005-0000-0000-0000DE440000}"/>
    <cellStyle name="Normal 2 2 2 3 13 8" xfId="17631" xr:uid="{00000000-0005-0000-0000-0000DF440000}"/>
    <cellStyle name="Normal 2 2 2 3 13 9" xfId="17632" xr:uid="{00000000-0005-0000-0000-0000E0440000}"/>
    <cellStyle name="Normal 2 2 2 3 14" xfId="17633" xr:uid="{00000000-0005-0000-0000-0000E1440000}"/>
    <cellStyle name="Normal 2 2 2 3 14 10" xfId="17634" xr:uid="{00000000-0005-0000-0000-0000E2440000}"/>
    <cellStyle name="Normal 2 2 2 3 14 11" xfId="17635" xr:uid="{00000000-0005-0000-0000-0000E3440000}"/>
    <cellStyle name="Normal 2 2 2 3 14 12" xfId="17636" xr:uid="{00000000-0005-0000-0000-0000E4440000}"/>
    <cellStyle name="Normal 2 2 2 3 14 13" xfId="17637" xr:uid="{00000000-0005-0000-0000-0000E5440000}"/>
    <cellStyle name="Normal 2 2 2 3 14 14" xfId="17638" xr:uid="{00000000-0005-0000-0000-0000E6440000}"/>
    <cellStyle name="Normal 2 2 2 3 14 2" xfId="17639" xr:uid="{00000000-0005-0000-0000-0000E7440000}"/>
    <cellStyle name="Normal 2 2 2 3 14 2 10" xfId="17640" xr:uid="{00000000-0005-0000-0000-0000E8440000}"/>
    <cellStyle name="Normal 2 2 2 3 14 2 2" xfId="17641" xr:uid="{00000000-0005-0000-0000-0000E9440000}"/>
    <cellStyle name="Normal 2 2 2 3 14 2 3" xfId="17642" xr:uid="{00000000-0005-0000-0000-0000EA440000}"/>
    <cellStyle name="Normal 2 2 2 3 14 2 4" xfId="17643" xr:uid="{00000000-0005-0000-0000-0000EB440000}"/>
    <cellStyle name="Normal 2 2 2 3 14 2 5" xfId="17644" xr:uid="{00000000-0005-0000-0000-0000EC440000}"/>
    <cellStyle name="Normal 2 2 2 3 14 2 6" xfId="17645" xr:uid="{00000000-0005-0000-0000-0000ED440000}"/>
    <cellStyle name="Normal 2 2 2 3 14 2 7" xfId="17646" xr:uid="{00000000-0005-0000-0000-0000EE440000}"/>
    <cellStyle name="Normal 2 2 2 3 14 2 8" xfId="17647" xr:uid="{00000000-0005-0000-0000-0000EF440000}"/>
    <cellStyle name="Normal 2 2 2 3 14 2 9" xfId="17648" xr:uid="{00000000-0005-0000-0000-0000F0440000}"/>
    <cellStyle name="Normal 2 2 2 3 14 3" xfId="17649" xr:uid="{00000000-0005-0000-0000-0000F1440000}"/>
    <cellStyle name="Normal 2 2 2 3 14 3 10" xfId="17650" xr:uid="{00000000-0005-0000-0000-0000F2440000}"/>
    <cellStyle name="Normal 2 2 2 3 14 3 2" xfId="17651" xr:uid="{00000000-0005-0000-0000-0000F3440000}"/>
    <cellStyle name="Normal 2 2 2 3 14 3 3" xfId="17652" xr:uid="{00000000-0005-0000-0000-0000F4440000}"/>
    <cellStyle name="Normal 2 2 2 3 14 3 4" xfId="17653" xr:uid="{00000000-0005-0000-0000-0000F5440000}"/>
    <cellStyle name="Normal 2 2 2 3 14 3 5" xfId="17654" xr:uid="{00000000-0005-0000-0000-0000F6440000}"/>
    <cellStyle name="Normal 2 2 2 3 14 3 6" xfId="17655" xr:uid="{00000000-0005-0000-0000-0000F7440000}"/>
    <cellStyle name="Normal 2 2 2 3 14 3 7" xfId="17656" xr:uid="{00000000-0005-0000-0000-0000F8440000}"/>
    <cellStyle name="Normal 2 2 2 3 14 3 8" xfId="17657" xr:uid="{00000000-0005-0000-0000-0000F9440000}"/>
    <cellStyle name="Normal 2 2 2 3 14 3 9" xfId="17658" xr:uid="{00000000-0005-0000-0000-0000FA440000}"/>
    <cellStyle name="Normal 2 2 2 3 14 4" xfId="17659" xr:uid="{00000000-0005-0000-0000-0000FB440000}"/>
    <cellStyle name="Normal 2 2 2 3 14 4 10" xfId="17660" xr:uid="{00000000-0005-0000-0000-0000FC440000}"/>
    <cellStyle name="Normal 2 2 2 3 14 4 2" xfId="17661" xr:uid="{00000000-0005-0000-0000-0000FD440000}"/>
    <cellStyle name="Normal 2 2 2 3 14 4 3" xfId="17662" xr:uid="{00000000-0005-0000-0000-0000FE440000}"/>
    <cellStyle name="Normal 2 2 2 3 14 4 4" xfId="17663" xr:uid="{00000000-0005-0000-0000-0000FF440000}"/>
    <cellStyle name="Normal 2 2 2 3 14 4 5" xfId="17664" xr:uid="{00000000-0005-0000-0000-000000450000}"/>
    <cellStyle name="Normal 2 2 2 3 14 4 6" xfId="17665" xr:uid="{00000000-0005-0000-0000-000001450000}"/>
    <cellStyle name="Normal 2 2 2 3 14 4 7" xfId="17666" xr:uid="{00000000-0005-0000-0000-000002450000}"/>
    <cellStyle name="Normal 2 2 2 3 14 4 8" xfId="17667" xr:uid="{00000000-0005-0000-0000-000003450000}"/>
    <cellStyle name="Normal 2 2 2 3 14 4 9" xfId="17668" xr:uid="{00000000-0005-0000-0000-000004450000}"/>
    <cellStyle name="Normal 2 2 2 3 14 5" xfId="17669" xr:uid="{00000000-0005-0000-0000-000005450000}"/>
    <cellStyle name="Normal 2 2 2 3 14 5 10" xfId="17670" xr:uid="{00000000-0005-0000-0000-000006450000}"/>
    <cellStyle name="Normal 2 2 2 3 14 5 2" xfId="17671" xr:uid="{00000000-0005-0000-0000-000007450000}"/>
    <cellStyle name="Normal 2 2 2 3 14 5 3" xfId="17672" xr:uid="{00000000-0005-0000-0000-000008450000}"/>
    <cellStyle name="Normal 2 2 2 3 14 5 4" xfId="17673" xr:uid="{00000000-0005-0000-0000-000009450000}"/>
    <cellStyle name="Normal 2 2 2 3 14 5 5" xfId="17674" xr:uid="{00000000-0005-0000-0000-00000A450000}"/>
    <cellStyle name="Normal 2 2 2 3 14 5 6" xfId="17675" xr:uid="{00000000-0005-0000-0000-00000B450000}"/>
    <cellStyle name="Normal 2 2 2 3 14 5 7" xfId="17676" xr:uid="{00000000-0005-0000-0000-00000C450000}"/>
    <cellStyle name="Normal 2 2 2 3 14 5 8" xfId="17677" xr:uid="{00000000-0005-0000-0000-00000D450000}"/>
    <cellStyle name="Normal 2 2 2 3 14 5 9" xfId="17678" xr:uid="{00000000-0005-0000-0000-00000E450000}"/>
    <cellStyle name="Normal 2 2 2 3 14 6" xfId="17679" xr:uid="{00000000-0005-0000-0000-00000F450000}"/>
    <cellStyle name="Normal 2 2 2 3 14 7" xfId="17680" xr:uid="{00000000-0005-0000-0000-000010450000}"/>
    <cellStyle name="Normal 2 2 2 3 14 8" xfId="17681" xr:uid="{00000000-0005-0000-0000-000011450000}"/>
    <cellStyle name="Normal 2 2 2 3 14 9" xfId="17682" xr:uid="{00000000-0005-0000-0000-000012450000}"/>
    <cellStyle name="Normal 2 2 2 3 15" xfId="17683" xr:uid="{00000000-0005-0000-0000-000013450000}"/>
    <cellStyle name="Normal 2 2 2 3 15 10" xfId="17684" xr:uid="{00000000-0005-0000-0000-000014450000}"/>
    <cellStyle name="Normal 2 2 2 3 15 11" xfId="17685" xr:uid="{00000000-0005-0000-0000-000015450000}"/>
    <cellStyle name="Normal 2 2 2 3 15 12" xfId="17686" xr:uid="{00000000-0005-0000-0000-000016450000}"/>
    <cellStyle name="Normal 2 2 2 3 15 13" xfId="17687" xr:uid="{00000000-0005-0000-0000-000017450000}"/>
    <cellStyle name="Normal 2 2 2 3 15 14" xfId="17688" xr:uid="{00000000-0005-0000-0000-000018450000}"/>
    <cellStyle name="Normal 2 2 2 3 15 2" xfId="17689" xr:uid="{00000000-0005-0000-0000-000019450000}"/>
    <cellStyle name="Normal 2 2 2 3 15 2 10" xfId="17690" xr:uid="{00000000-0005-0000-0000-00001A450000}"/>
    <cellStyle name="Normal 2 2 2 3 15 2 2" xfId="17691" xr:uid="{00000000-0005-0000-0000-00001B450000}"/>
    <cellStyle name="Normal 2 2 2 3 15 2 3" xfId="17692" xr:uid="{00000000-0005-0000-0000-00001C450000}"/>
    <cellStyle name="Normal 2 2 2 3 15 2 4" xfId="17693" xr:uid="{00000000-0005-0000-0000-00001D450000}"/>
    <cellStyle name="Normal 2 2 2 3 15 2 5" xfId="17694" xr:uid="{00000000-0005-0000-0000-00001E450000}"/>
    <cellStyle name="Normal 2 2 2 3 15 2 6" xfId="17695" xr:uid="{00000000-0005-0000-0000-00001F450000}"/>
    <cellStyle name="Normal 2 2 2 3 15 2 7" xfId="17696" xr:uid="{00000000-0005-0000-0000-000020450000}"/>
    <cellStyle name="Normal 2 2 2 3 15 2 8" xfId="17697" xr:uid="{00000000-0005-0000-0000-000021450000}"/>
    <cellStyle name="Normal 2 2 2 3 15 2 9" xfId="17698" xr:uid="{00000000-0005-0000-0000-000022450000}"/>
    <cellStyle name="Normal 2 2 2 3 15 3" xfId="17699" xr:uid="{00000000-0005-0000-0000-000023450000}"/>
    <cellStyle name="Normal 2 2 2 3 15 3 10" xfId="17700" xr:uid="{00000000-0005-0000-0000-000024450000}"/>
    <cellStyle name="Normal 2 2 2 3 15 3 2" xfId="17701" xr:uid="{00000000-0005-0000-0000-000025450000}"/>
    <cellStyle name="Normal 2 2 2 3 15 3 3" xfId="17702" xr:uid="{00000000-0005-0000-0000-000026450000}"/>
    <cellStyle name="Normal 2 2 2 3 15 3 4" xfId="17703" xr:uid="{00000000-0005-0000-0000-000027450000}"/>
    <cellStyle name="Normal 2 2 2 3 15 3 5" xfId="17704" xr:uid="{00000000-0005-0000-0000-000028450000}"/>
    <cellStyle name="Normal 2 2 2 3 15 3 6" xfId="17705" xr:uid="{00000000-0005-0000-0000-000029450000}"/>
    <cellStyle name="Normal 2 2 2 3 15 3 7" xfId="17706" xr:uid="{00000000-0005-0000-0000-00002A450000}"/>
    <cellStyle name="Normal 2 2 2 3 15 3 8" xfId="17707" xr:uid="{00000000-0005-0000-0000-00002B450000}"/>
    <cellStyle name="Normal 2 2 2 3 15 3 9" xfId="17708" xr:uid="{00000000-0005-0000-0000-00002C450000}"/>
    <cellStyle name="Normal 2 2 2 3 15 4" xfId="17709" xr:uid="{00000000-0005-0000-0000-00002D450000}"/>
    <cellStyle name="Normal 2 2 2 3 15 4 10" xfId="17710" xr:uid="{00000000-0005-0000-0000-00002E450000}"/>
    <cellStyle name="Normal 2 2 2 3 15 4 2" xfId="17711" xr:uid="{00000000-0005-0000-0000-00002F450000}"/>
    <cellStyle name="Normal 2 2 2 3 15 4 3" xfId="17712" xr:uid="{00000000-0005-0000-0000-000030450000}"/>
    <cellStyle name="Normal 2 2 2 3 15 4 4" xfId="17713" xr:uid="{00000000-0005-0000-0000-000031450000}"/>
    <cellStyle name="Normal 2 2 2 3 15 4 5" xfId="17714" xr:uid="{00000000-0005-0000-0000-000032450000}"/>
    <cellStyle name="Normal 2 2 2 3 15 4 6" xfId="17715" xr:uid="{00000000-0005-0000-0000-000033450000}"/>
    <cellStyle name="Normal 2 2 2 3 15 4 7" xfId="17716" xr:uid="{00000000-0005-0000-0000-000034450000}"/>
    <cellStyle name="Normal 2 2 2 3 15 4 8" xfId="17717" xr:uid="{00000000-0005-0000-0000-000035450000}"/>
    <cellStyle name="Normal 2 2 2 3 15 4 9" xfId="17718" xr:uid="{00000000-0005-0000-0000-000036450000}"/>
    <cellStyle name="Normal 2 2 2 3 15 5" xfId="17719" xr:uid="{00000000-0005-0000-0000-000037450000}"/>
    <cellStyle name="Normal 2 2 2 3 15 5 10" xfId="17720" xr:uid="{00000000-0005-0000-0000-000038450000}"/>
    <cellStyle name="Normal 2 2 2 3 15 5 2" xfId="17721" xr:uid="{00000000-0005-0000-0000-000039450000}"/>
    <cellStyle name="Normal 2 2 2 3 15 5 3" xfId="17722" xr:uid="{00000000-0005-0000-0000-00003A450000}"/>
    <cellStyle name="Normal 2 2 2 3 15 5 4" xfId="17723" xr:uid="{00000000-0005-0000-0000-00003B450000}"/>
    <cellStyle name="Normal 2 2 2 3 15 5 5" xfId="17724" xr:uid="{00000000-0005-0000-0000-00003C450000}"/>
    <cellStyle name="Normal 2 2 2 3 15 5 6" xfId="17725" xr:uid="{00000000-0005-0000-0000-00003D450000}"/>
    <cellStyle name="Normal 2 2 2 3 15 5 7" xfId="17726" xr:uid="{00000000-0005-0000-0000-00003E450000}"/>
    <cellStyle name="Normal 2 2 2 3 15 5 8" xfId="17727" xr:uid="{00000000-0005-0000-0000-00003F450000}"/>
    <cellStyle name="Normal 2 2 2 3 15 5 9" xfId="17728" xr:uid="{00000000-0005-0000-0000-000040450000}"/>
    <cellStyle name="Normal 2 2 2 3 15 6" xfId="17729" xr:uid="{00000000-0005-0000-0000-000041450000}"/>
    <cellStyle name="Normal 2 2 2 3 15 7" xfId="17730" xr:uid="{00000000-0005-0000-0000-000042450000}"/>
    <cellStyle name="Normal 2 2 2 3 15 8" xfId="17731" xr:uid="{00000000-0005-0000-0000-000043450000}"/>
    <cellStyle name="Normal 2 2 2 3 15 9" xfId="17732" xr:uid="{00000000-0005-0000-0000-000044450000}"/>
    <cellStyle name="Normal 2 2 2 3 16" xfId="17733" xr:uid="{00000000-0005-0000-0000-000045450000}"/>
    <cellStyle name="Normal 2 2 2 3 16 10" xfId="17734" xr:uid="{00000000-0005-0000-0000-000046450000}"/>
    <cellStyle name="Normal 2 2 2 3 16 11" xfId="17735" xr:uid="{00000000-0005-0000-0000-000047450000}"/>
    <cellStyle name="Normal 2 2 2 3 16 12" xfId="17736" xr:uid="{00000000-0005-0000-0000-000048450000}"/>
    <cellStyle name="Normal 2 2 2 3 16 13" xfId="17737" xr:uid="{00000000-0005-0000-0000-000049450000}"/>
    <cellStyle name="Normal 2 2 2 3 16 14" xfId="17738" xr:uid="{00000000-0005-0000-0000-00004A450000}"/>
    <cellStyle name="Normal 2 2 2 3 16 2" xfId="17739" xr:uid="{00000000-0005-0000-0000-00004B450000}"/>
    <cellStyle name="Normal 2 2 2 3 16 2 10" xfId="17740" xr:uid="{00000000-0005-0000-0000-00004C450000}"/>
    <cellStyle name="Normal 2 2 2 3 16 2 2" xfId="17741" xr:uid="{00000000-0005-0000-0000-00004D450000}"/>
    <cellStyle name="Normal 2 2 2 3 16 2 3" xfId="17742" xr:uid="{00000000-0005-0000-0000-00004E450000}"/>
    <cellStyle name="Normal 2 2 2 3 16 2 4" xfId="17743" xr:uid="{00000000-0005-0000-0000-00004F450000}"/>
    <cellStyle name="Normal 2 2 2 3 16 2 5" xfId="17744" xr:uid="{00000000-0005-0000-0000-000050450000}"/>
    <cellStyle name="Normal 2 2 2 3 16 2 6" xfId="17745" xr:uid="{00000000-0005-0000-0000-000051450000}"/>
    <cellStyle name="Normal 2 2 2 3 16 2 7" xfId="17746" xr:uid="{00000000-0005-0000-0000-000052450000}"/>
    <cellStyle name="Normal 2 2 2 3 16 2 8" xfId="17747" xr:uid="{00000000-0005-0000-0000-000053450000}"/>
    <cellStyle name="Normal 2 2 2 3 16 2 9" xfId="17748" xr:uid="{00000000-0005-0000-0000-000054450000}"/>
    <cellStyle name="Normal 2 2 2 3 16 3" xfId="17749" xr:uid="{00000000-0005-0000-0000-000055450000}"/>
    <cellStyle name="Normal 2 2 2 3 16 3 10" xfId="17750" xr:uid="{00000000-0005-0000-0000-000056450000}"/>
    <cellStyle name="Normal 2 2 2 3 16 3 2" xfId="17751" xr:uid="{00000000-0005-0000-0000-000057450000}"/>
    <cellStyle name="Normal 2 2 2 3 16 3 3" xfId="17752" xr:uid="{00000000-0005-0000-0000-000058450000}"/>
    <cellStyle name="Normal 2 2 2 3 16 3 4" xfId="17753" xr:uid="{00000000-0005-0000-0000-000059450000}"/>
    <cellStyle name="Normal 2 2 2 3 16 3 5" xfId="17754" xr:uid="{00000000-0005-0000-0000-00005A450000}"/>
    <cellStyle name="Normal 2 2 2 3 16 3 6" xfId="17755" xr:uid="{00000000-0005-0000-0000-00005B450000}"/>
    <cellStyle name="Normal 2 2 2 3 16 3 7" xfId="17756" xr:uid="{00000000-0005-0000-0000-00005C450000}"/>
    <cellStyle name="Normal 2 2 2 3 16 3 8" xfId="17757" xr:uid="{00000000-0005-0000-0000-00005D450000}"/>
    <cellStyle name="Normal 2 2 2 3 16 3 9" xfId="17758" xr:uid="{00000000-0005-0000-0000-00005E450000}"/>
    <cellStyle name="Normal 2 2 2 3 16 4" xfId="17759" xr:uid="{00000000-0005-0000-0000-00005F450000}"/>
    <cellStyle name="Normal 2 2 2 3 16 4 10" xfId="17760" xr:uid="{00000000-0005-0000-0000-000060450000}"/>
    <cellStyle name="Normal 2 2 2 3 16 4 2" xfId="17761" xr:uid="{00000000-0005-0000-0000-000061450000}"/>
    <cellStyle name="Normal 2 2 2 3 16 4 3" xfId="17762" xr:uid="{00000000-0005-0000-0000-000062450000}"/>
    <cellStyle name="Normal 2 2 2 3 16 4 4" xfId="17763" xr:uid="{00000000-0005-0000-0000-000063450000}"/>
    <cellStyle name="Normal 2 2 2 3 16 4 5" xfId="17764" xr:uid="{00000000-0005-0000-0000-000064450000}"/>
    <cellStyle name="Normal 2 2 2 3 16 4 6" xfId="17765" xr:uid="{00000000-0005-0000-0000-000065450000}"/>
    <cellStyle name="Normal 2 2 2 3 16 4 7" xfId="17766" xr:uid="{00000000-0005-0000-0000-000066450000}"/>
    <cellStyle name="Normal 2 2 2 3 16 4 8" xfId="17767" xr:uid="{00000000-0005-0000-0000-000067450000}"/>
    <cellStyle name="Normal 2 2 2 3 16 4 9" xfId="17768" xr:uid="{00000000-0005-0000-0000-000068450000}"/>
    <cellStyle name="Normal 2 2 2 3 16 5" xfId="17769" xr:uid="{00000000-0005-0000-0000-000069450000}"/>
    <cellStyle name="Normal 2 2 2 3 16 5 10" xfId="17770" xr:uid="{00000000-0005-0000-0000-00006A450000}"/>
    <cellStyle name="Normal 2 2 2 3 16 5 2" xfId="17771" xr:uid="{00000000-0005-0000-0000-00006B450000}"/>
    <cellStyle name="Normal 2 2 2 3 16 5 3" xfId="17772" xr:uid="{00000000-0005-0000-0000-00006C450000}"/>
    <cellStyle name="Normal 2 2 2 3 16 5 4" xfId="17773" xr:uid="{00000000-0005-0000-0000-00006D450000}"/>
    <cellStyle name="Normal 2 2 2 3 16 5 5" xfId="17774" xr:uid="{00000000-0005-0000-0000-00006E450000}"/>
    <cellStyle name="Normal 2 2 2 3 16 5 6" xfId="17775" xr:uid="{00000000-0005-0000-0000-00006F450000}"/>
    <cellStyle name="Normal 2 2 2 3 16 5 7" xfId="17776" xr:uid="{00000000-0005-0000-0000-000070450000}"/>
    <cellStyle name="Normal 2 2 2 3 16 5 8" xfId="17777" xr:uid="{00000000-0005-0000-0000-000071450000}"/>
    <cellStyle name="Normal 2 2 2 3 16 5 9" xfId="17778" xr:uid="{00000000-0005-0000-0000-000072450000}"/>
    <cellStyle name="Normal 2 2 2 3 16 6" xfId="17779" xr:uid="{00000000-0005-0000-0000-000073450000}"/>
    <cellStyle name="Normal 2 2 2 3 16 7" xfId="17780" xr:uid="{00000000-0005-0000-0000-000074450000}"/>
    <cellStyle name="Normal 2 2 2 3 16 8" xfId="17781" xr:uid="{00000000-0005-0000-0000-000075450000}"/>
    <cellStyle name="Normal 2 2 2 3 16 9" xfId="17782" xr:uid="{00000000-0005-0000-0000-000076450000}"/>
    <cellStyle name="Normal 2 2 2 3 17" xfId="17783" xr:uid="{00000000-0005-0000-0000-000077450000}"/>
    <cellStyle name="Normal 2 2 2 3 17 10" xfId="17784" xr:uid="{00000000-0005-0000-0000-000078450000}"/>
    <cellStyle name="Normal 2 2 2 3 17 11" xfId="17785" xr:uid="{00000000-0005-0000-0000-000079450000}"/>
    <cellStyle name="Normal 2 2 2 3 17 12" xfId="17786" xr:uid="{00000000-0005-0000-0000-00007A450000}"/>
    <cellStyle name="Normal 2 2 2 3 17 13" xfId="17787" xr:uid="{00000000-0005-0000-0000-00007B450000}"/>
    <cellStyle name="Normal 2 2 2 3 17 14" xfId="17788" xr:uid="{00000000-0005-0000-0000-00007C450000}"/>
    <cellStyle name="Normal 2 2 2 3 17 2" xfId="17789" xr:uid="{00000000-0005-0000-0000-00007D450000}"/>
    <cellStyle name="Normal 2 2 2 3 17 2 10" xfId="17790" xr:uid="{00000000-0005-0000-0000-00007E450000}"/>
    <cellStyle name="Normal 2 2 2 3 17 2 2" xfId="17791" xr:uid="{00000000-0005-0000-0000-00007F450000}"/>
    <cellStyle name="Normal 2 2 2 3 17 2 3" xfId="17792" xr:uid="{00000000-0005-0000-0000-000080450000}"/>
    <cellStyle name="Normal 2 2 2 3 17 2 4" xfId="17793" xr:uid="{00000000-0005-0000-0000-000081450000}"/>
    <cellStyle name="Normal 2 2 2 3 17 2 5" xfId="17794" xr:uid="{00000000-0005-0000-0000-000082450000}"/>
    <cellStyle name="Normal 2 2 2 3 17 2 6" xfId="17795" xr:uid="{00000000-0005-0000-0000-000083450000}"/>
    <cellStyle name="Normal 2 2 2 3 17 2 7" xfId="17796" xr:uid="{00000000-0005-0000-0000-000084450000}"/>
    <cellStyle name="Normal 2 2 2 3 17 2 8" xfId="17797" xr:uid="{00000000-0005-0000-0000-000085450000}"/>
    <cellStyle name="Normal 2 2 2 3 17 2 9" xfId="17798" xr:uid="{00000000-0005-0000-0000-000086450000}"/>
    <cellStyle name="Normal 2 2 2 3 17 3" xfId="17799" xr:uid="{00000000-0005-0000-0000-000087450000}"/>
    <cellStyle name="Normal 2 2 2 3 17 3 10" xfId="17800" xr:uid="{00000000-0005-0000-0000-000088450000}"/>
    <cellStyle name="Normal 2 2 2 3 17 3 2" xfId="17801" xr:uid="{00000000-0005-0000-0000-000089450000}"/>
    <cellStyle name="Normal 2 2 2 3 17 3 3" xfId="17802" xr:uid="{00000000-0005-0000-0000-00008A450000}"/>
    <cellStyle name="Normal 2 2 2 3 17 3 4" xfId="17803" xr:uid="{00000000-0005-0000-0000-00008B450000}"/>
    <cellStyle name="Normal 2 2 2 3 17 3 5" xfId="17804" xr:uid="{00000000-0005-0000-0000-00008C450000}"/>
    <cellStyle name="Normal 2 2 2 3 17 3 6" xfId="17805" xr:uid="{00000000-0005-0000-0000-00008D450000}"/>
    <cellStyle name="Normal 2 2 2 3 17 3 7" xfId="17806" xr:uid="{00000000-0005-0000-0000-00008E450000}"/>
    <cellStyle name="Normal 2 2 2 3 17 3 8" xfId="17807" xr:uid="{00000000-0005-0000-0000-00008F450000}"/>
    <cellStyle name="Normal 2 2 2 3 17 3 9" xfId="17808" xr:uid="{00000000-0005-0000-0000-000090450000}"/>
    <cellStyle name="Normal 2 2 2 3 17 4" xfId="17809" xr:uid="{00000000-0005-0000-0000-000091450000}"/>
    <cellStyle name="Normal 2 2 2 3 17 4 10" xfId="17810" xr:uid="{00000000-0005-0000-0000-000092450000}"/>
    <cellStyle name="Normal 2 2 2 3 17 4 2" xfId="17811" xr:uid="{00000000-0005-0000-0000-000093450000}"/>
    <cellStyle name="Normal 2 2 2 3 17 4 3" xfId="17812" xr:uid="{00000000-0005-0000-0000-000094450000}"/>
    <cellStyle name="Normal 2 2 2 3 17 4 4" xfId="17813" xr:uid="{00000000-0005-0000-0000-000095450000}"/>
    <cellStyle name="Normal 2 2 2 3 17 4 5" xfId="17814" xr:uid="{00000000-0005-0000-0000-000096450000}"/>
    <cellStyle name="Normal 2 2 2 3 17 4 6" xfId="17815" xr:uid="{00000000-0005-0000-0000-000097450000}"/>
    <cellStyle name="Normal 2 2 2 3 17 4 7" xfId="17816" xr:uid="{00000000-0005-0000-0000-000098450000}"/>
    <cellStyle name="Normal 2 2 2 3 17 4 8" xfId="17817" xr:uid="{00000000-0005-0000-0000-000099450000}"/>
    <cellStyle name="Normal 2 2 2 3 17 4 9" xfId="17818" xr:uid="{00000000-0005-0000-0000-00009A450000}"/>
    <cellStyle name="Normal 2 2 2 3 17 5" xfId="17819" xr:uid="{00000000-0005-0000-0000-00009B450000}"/>
    <cellStyle name="Normal 2 2 2 3 17 5 10" xfId="17820" xr:uid="{00000000-0005-0000-0000-00009C450000}"/>
    <cellStyle name="Normal 2 2 2 3 17 5 2" xfId="17821" xr:uid="{00000000-0005-0000-0000-00009D450000}"/>
    <cellStyle name="Normal 2 2 2 3 17 5 3" xfId="17822" xr:uid="{00000000-0005-0000-0000-00009E450000}"/>
    <cellStyle name="Normal 2 2 2 3 17 5 4" xfId="17823" xr:uid="{00000000-0005-0000-0000-00009F450000}"/>
    <cellStyle name="Normal 2 2 2 3 17 5 5" xfId="17824" xr:uid="{00000000-0005-0000-0000-0000A0450000}"/>
    <cellStyle name="Normal 2 2 2 3 17 5 6" xfId="17825" xr:uid="{00000000-0005-0000-0000-0000A1450000}"/>
    <cellStyle name="Normal 2 2 2 3 17 5 7" xfId="17826" xr:uid="{00000000-0005-0000-0000-0000A2450000}"/>
    <cellStyle name="Normal 2 2 2 3 17 5 8" xfId="17827" xr:uid="{00000000-0005-0000-0000-0000A3450000}"/>
    <cellStyle name="Normal 2 2 2 3 17 5 9" xfId="17828" xr:uid="{00000000-0005-0000-0000-0000A4450000}"/>
    <cellStyle name="Normal 2 2 2 3 17 6" xfId="17829" xr:uid="{00000000-0005-0000-0000-0000A5450000}"/>
    <cellStyle name="Normal 2 2 2 3 17 7" xfId="17830" xr:uid="{00000000-0005-0000-0000-0000A6450000}"/>
    <cellStyle name="Normal 2 2 2 3 17 8" xfId="17831" xr:uid="{00000000-0005-0000-0000-0000A7450000}"/>
    <cellStyle name="Normal 2 2 2 3 17 9" xfId="17832" xr:uid="{00000000-0005-0000-0000-0000A8450000}"/>
    <cellStyle name="Normal 2 2 2 3 18" xfId="17833" xr:uid="{00000000-0005-0000-0000-0000A9450000}"/>
    <cellStyle name="Normal 2 2 2 3 18 10" xfId="17834" xr:uid="{00000000-0005-0000-0000-0000AA450000}"/>
    <cellStyle name="Normal 2 2 2 3 18 11" xfId="17835" xr:uid="{00000000-0005-0000-0000-0000AB450000}"/>
    <cellStyle name="Normal 2 2 2 3 18 12" xfId="17836" xr:uid="{00000000-0005-0000-0000-0000AC450000}"/>
    <cellStyle name="Normal 2 2 2 3 18 13" xfId="17837" xr:uid="{00000000-0005-0000-0000-0000AD450000}"/>
    <cellStyle name="Normal 2 2 2 3 18 14" xfId="17838" xr:uid="{00000000-0005-0000-0000-0000AE450000}"/>
    <cellStyle name="Normal 2 2 2 3 18 2" xfId="17839" xr:uid="{00000000-0005-0000-0000-0000AF450000}"/>
    <cellStyle name="Normal 2 2 2 3 18 2 10" xfId="17840" xr:uid="{00000000-0005-0000-0000-0000B0450000}"/>
    <cellStyle name="Normal 2 2 2 3 18 2 2" xfId="17841" xr:uid="{00000000-0005-0000-0000-0000B1450000}"/>
    <cellStyle name="Normal 2 2 2 3 18 2 3" xfId="17842" xr:uid="{00000000-0005-0000-0000-0000B2450000}"/>
    <cellStyle name="Normal 2 2 2 3 18 2 4" xfId="17843" xr:uid="{00000000-0005-0000-0000-0000B3450000}"/>
    <cellStyle name="Normal 2 2 2 3 18 2 5" xfId="17844" xr:uid="{00000000-0005-0000-0000-0000B4450000}"/>
    <cellStyle name="Normal 2 2 2 3 18 2 6" xfId="17845" xr:uid="{00000000-0005-0000-0000-0000B5450000}"/>
    <cellStyle name="Normal 2 2 2 3 18 2 7" xfId="17846" xr:uid="{00000000-0005-0000-0000-0000B6450000}"/>
    <cellStyle name="Normal 2 2 2 3 18 2 8" xfId="17847" xr:uid="{00000000-0005-0000-0000-0000B7450000}"/>
    <cellStyle name="Normal 2 2 2 3 18 2 9" xfId="17848" xr:uid="{00000000-0005-0000-0000-0000B8450000}"/>
    <cellStyle name="Normal 2 2 2 3 18 3" xfId="17849" xr:uid="{00000000-0005-0000-0000-0000B9450000}"/>
    <cellStyle name="Normal 2 2 2 3 18 3 10" xfId="17850" xr:uid="{00000000-0005-0000-0000-0000BA450000}"/>
    <cellStyle name="Normal 2 2 2 3 18 3 2" xfId="17851" xr:uid="{00000000-0005-0000-0000-0000BB450000}"/>
    <cellStyle name="Normal 2 2 2 3 18 3 3" xfId="17852" xr:uid="{00000000-0005-0000-0000-0000BC450000}"/>
    <cellStyle name="Normal 2 2 2 3 18 3 4" xfId="17853" xr:uid="{00000000-0005-0000-0000-0000BD450000}"/>
    <cellStyle name="Normal 2 2 2 3 18 3 5" xfId="17854" xr:uid="{00000000-0005-0000-0000-0000BE450000}"/>
    <cellStyle name="Normal 2 2 2 3 18 3 6" xfId="17855" xr:uid="{00000000-0005-0000-0000-0000BF450000}"/>
    <cellStyle name="Normal 2 2 2 3 18 3 7" xfId="17856" xr:uid="{00000000-0005-0000-0000-0000C0450000}"/>
    <cellStyle name="Normal 2 2 2 3 18 3 8" xfId="17857" xr:uid="{00000000-0005-0000-0000-0000C1450000}"/>
    <cellStyle name="Normal 2 2 2 3 18 3 9" xfId="17858" xr:uid="{00000000-0005-0000-0000-0000C2450000}"/>
    <cellStyle name="Normal 2 2 2 3 18 4" xfId="17859" xr:uid="{00000000-0005-0000-0000-0000C3450000}"/>
    <cellStyle name="Normal 2 2 2 3 18 4 10" xfId="17860" xr:uid="{00000000-0005-0000-0000-0000C4450000}"/>
    <cellStyle name="Normal 2 2 2 3 18 4 2" xfId="17861" xr:uid="{00000000-0005-0000-0000-0000C5450000}"/>
    <cellStyle name="Normal 2 2 2 3 18 4 3" xfId="17862" xr:uid="{00000000-0005-0000-0000-0000C6450000}"/>
    <cellStyle name="Normal 2 2 2 3 18 4 4" xfId="17863" xr:uid="{00000000-0005-0000-0000-0000C7450000}"/>
    <cellStyle name="Normal 2 2 2 3 18 4 5" xfId="17864" xr:uid="{00000000-0005-0000-0000-0000C8450000}"/>
    <cellStyle name="Normal 2 2 2 3 18 4 6" xfId="17865" xr:uid="{00000000-0005-0000-0000-0000C9450000}"/>
    <cellStyle name="Normal 2 2 2 3 18 4 7" xfId="17866" xr:uid="{00000000-0005-0000-0000-0000CA450000}"/>
    <cellStyle name="Normal 2 2 2 3 18 4 8" xfId="17867" xr:uid="{00000000-0005-0000-0000-0000CB450000}"/>
    <cellStyle name="Normal 2 2 2 3 18 4 9" xfId="17868" xr:uid="{00000000-0005-0000-0000-0000CC450000}"/>
    <cellStyle name="Normal 2 2 2 3 18 5" xfId="17869" xr:uid="{00000000-0005-0000-0000-0000CD450000}"/>
    <cellStyle name="Normal 2 2 2 3 18 5 10" xfId="17870" xr:uid="{00000000-0005-0000-0000-0000CE450000}"/>
    <cellStyle name="Normal 2 2 2 3 18 5 2" xfId="17871" xr:uid="{00000000-0005-0000-0000-0000CF450000}"/>
    <cellStyle name="Normal 2 2 2 3 18 5 3" xfId="17872" xr:uid="{00000000-0005-0000-0000-0000D0450000}"/>
    <cellStyle name="Normal 2 2 2 3 18 5 4" xfId="17873" xr:uid="{00000000-0005-0000-0000-0000D1450000}"/>
    <cellStyle name="Normal 2 2 2 3 18 5 5" xfId="17874" xr:uid="{00000000-0005-0000-0000-0000D2450000}"/>
    <cellStyle name="Normal 2 2 2 3 18 5 6" xfId="17875" xr:uid="{00000000-0005-0000-0000-0000D3450000}"/>
    <cellStyle name="Normal 2 2 2 3 18 5 7" xfId="17876" xr:uid="{00000000-0005-0000-0000-0000D4450000}"/>
    <cellStyle name="Normal 2 2 2 3 18 5 8" xfId="17877" xr:uid="{00000000-0005-0000-0000-0000D5450000}"/>
    <cellStyle name="Normal 2 2 2 3 18 5 9" xfId="17878" xr:uid="{00000000-0005-0000-0000-0000D6450000}"/>
    <cellStyle name="Normal 2 2 2 3 18 6" xfId="17879" xr:uid="{00000000-0005-0000-0000-0000D7450000}"/>
    <cellStyle name="Normal 2 2 2 3 18 7" xfId="17880" xr:uid="{00000000-0005-0000-0000-0000D8450000}"/>
    <cellStyle name="Normal 2 2 2 3 18 8" xfId="17881" xr:uid="{00000000-0005-0000-0000-0000D9450000}"/>
    <cellStyle name="Normal 2 2 2 3 18 9" xfId="17882" xr:uid="{00000000-0005-0000-0000-0000DA450000}"/>
    <cellStyle name="Normal 2 2 2 3 19" xfId="17883" xr:uid="{00000000-0005-0000-0000-0000DB450000}"/>
    <cellStyle name="Normal 2 2 2 3 19 10" xfId="17884" xr:uid="{00000000-0005-0000-0000-0000DC450000}"/>
    <cellStyle name="Normal 2 2 2 3 19 11" xfId="17885" xr:uid="{00000000-0005-0000-0000-0000DD450000}"/>
    <cellStyle name="Normal 2 2 2 3 19 12" xfId="17886" xr:uid="{00000000-0005-0000-0000-0000DE450000}"/>
    <cellStyle name="Normal 2 2 2 3 19 13" xfId="17887" xr:uid="{00000000-0005-0000-0000-0000DF450000}"/>
    <cellStyle name="Normal 2 2 2 3 19 14" xfId="17888" xr:uid="{00000000-0005-0000-0000-0000E0450000}"/>
    <cellStyle name="Normal 2 2 2 3 19 2" xfId="17889" xr:uid="{00000000-0005-0000-0000-0000E1450000}"/>
    <cellStyle name="Normal 2 2 2 3 19 2 10" xfId="17890" xr:uid="{00000000-0005-0000-0000-0000E2450000}"/>
    <cellStyle name="Normal 2 2 2 3 19 2 2" xfId="17891" xr:uid="{00000000-0005-0000-0000-0000E3450000}"/>
    <cellStyle name="Normal 2 2 2 3 19 2 3" xfId="17892" xr:uid="{00000000-0005-0000-0000-0000E4450000}"/>
    <cellStyle name="Normal 2 2 2 3 19 2 4" xfId="17893" xr:uid="{00000000-0005-0000-0000-0000E5450000}"/>
    <cellStyle name="Normal 2 2 2 3 19 2 5" xfId="17894" xr:uid="{00000000-0005-0000-0000-0000E6450000}"/>
    <cellStyle name="Normal 2 2 2 3 19 2 6" xfId="17895" xr:uid="{00000000-0005-0000-0000-0000E7450000}"/>
    <cellStyle name="Normal 2 2 2 3 19 2 7" xfId="17896" xr:uid="{00000000-0005-0000-0000-0000E8450000}"/>
    <cellStyle name="Normal 2 2 2 3 19 2 8" xfId="17897" xr:uid="{00000000-0005-0000-0000-0000E9450000}"/>
    <cellStyle name="Normal 2 2 2 3 19 2 9" xfId="17898" xr:uid="{00000000-0005-0000-0000-0000EA450000}"/>
    <cellStyle name="Normal 2 2 2 3 19 3" xfId="17899" xr:uid="{00000000-0005-0000-0000-0000EB450000}"/>
    <cellStyle name="Normal 2 2 2 3 19 3 10" xfId="17900" xr:uid="{00000000-0005-0000-0000-0000EC450000}"/>
    <cellStyle name="Normal 2 2 2 3 19 3 2" xfId="17901" xr:uid="{00000000-0005-0000-0000-0000ED450000}"/>
    <cellStyle name="Normal 2 2 2 3 19 3 3" xfId="17902" xr:uid="{00000000-0005-0000-0000-0000EE450000}"/>
    <cellStyle name="Normal 2 2 2 3 19 3 4" xfId="17903" xr:uid="{00000000-0005-0000-0000-0000EF450000}"/>
    <cellStyle name="Normal 2 2 2 3 19 3 5" xfId="17904" xr:uid="{00000000-0005-0000-0000-0000F0450000}"/>
    <cellStyle name="Normal 2 2 2 3 19 3 6" xfId="17905" xr:uid="{00000000-0005-0000-0000-0000F1450000}"/>
    <cellStyle name="Normal 2 2 2 3 19 3 7" xfId="17906" xr:uid="{00000000-0005-0000-0000-0000F2450000}"/>
    <cellStyle name="Normal 2 2 2 3 19 3 8" xfId="17907" xr:uid="{00000000-0005-0000-0000-0000F3450000}"/>
    <cellStyle name="Normal 2 2 2 3 19 3 9" xfId="17908" xr:uid="{00000000-0005-0000-0000-0000F4450000}"/>
    <cellStyle name="Normal 2 2 2 3 19 4" xfId="17909" xr:uid="{00000000-0005-0000-0000-0000F5450000}"/>
    <cellStyle name="Normal 2 2 2 3 19 4 10" xfId="17910" xr:uid="{00000000-0005-0000-0000-0000F6450000}"/>
    <cellStyle name="Normal 2 2 2 3 19 4 2" xfId="17911" xr:uid="{00000000-0005-0000-0000-0000F7450000}"/>
    <cellStyle name="Normal 2 2 2 3 19 4 3" xfId="17912" xr:uid="{00000000-0005-0000-0000-0000F8450000}"/>
    <cellStyle name="Normal 2 2 2 3 19 4 4" xfId="17913" xr:uid="{00000000-0005-0000-0000-0000F9450000}"/>
    <cellStyle name="Normal 2 2 2 3 19 4 5" xfId="17914" xr:uid="{00000000-0005-0000-0000-0000FA450000}"/>
    <cellStyle name="Normal 2 2 2 3 19 4 6" xfId="17915" xr:uid="{00000000-0005-0000-0000-0000FB450000}"/>
    <cellStyle name="Normal 2 2 2 3 19 4 7" xfId="17916" xr:uid="{00000000-0005-0000-0000-0000FC450000}"/>
    <cellStyle name="Normal 2 2 2 3 19 4 8" xfId="17917" xr:uid="{00000000-0005-0000-0000-0000FD450000}"/>
    <cellStyle name="Normal 2 2 2 3 19 4 9" xfId="17918" xr:uid="{00000000-0005-0000-0000-0000FE450000}"/>
    <cellStyle name="Normal 2 2 2 3 19 5" xfId="17919" xr:uid="{00000000-0005-0000-0000-0000FF450000}"/>
    <cellStyle name="Normal 2 2 2 3 19 5 10" xfId="17920" xr:uid="{00000000-0005-0000-0000-000000460000}"/>
    <cellStyle name="Normal 2 2 2 3 19 5 2" xfId="17921" xr:uid="{00000000-0005-0000-0000-000001460000}"/>
    <cellStyle name="Normal 2 2 2 3 19 5 3" xfId="17922" xr:uid="{00000000-0005-0000-0000-000002460000}"/>
    <cellStyle name="Normal 2 2 2 3 19 5 4" xfId="17923" xr:uid="{00000000-0005-0000-0000-000003460000}"/>
    <cellStyle name="Normal 2 2 2 3 19 5 5" xfId="17924" xr:uid="{00000000-0005-0000-0000-000004460000}"/>
    <cellStyle name="Normal 2 2 2 3 19 5 6" xfId="17925" xr:uid="{00000000-0005-0000-0000-000005460000}"/>
    <cellStyle name="Normal 2 2 2 3 19 5 7" xfId="17926" xr:uid="{00000000-0005-0000-0000-000006460000}"/>
    <cellStyle name="Normal 2 2 2 3 19 5 8" xfId="17927" xr:uid="{00000000-0005-0000-0000-000007460000}"/>
    <cellStyle name="Normal 2 2 2 3 19 5 9" xfId="17928" xr:uid="{00000000-0005-0000-0000-000008460000}"/>
    <cellStyle name="Normal 2 2 2 3 19 6" xfId="17929" xr:uid="{00000000-0005-0000-0000-000009460000}"/>
    <cellStyle name="Normal 2 2 2 3 19 7" xfId="17930" xr:uid="{00000000-0005-0000-0000-00000A460000}"/>
    <cellStyle name="Normal 2 2 2 3 19 8" xfId="17931" xr:uid="{00000000-0005-0000-0000-00000B460000}"/>
    <cellStyle name="Normal 2 2 2 3 19 9" xfId="17932" xr:uid="{00000000-0005-0000-0000-00000C460000}"/>
    <cellStyle name="Normal 2 2 2 3 2" xfId="17933" xr:uid="{00000000-0005-0000-0000-00000D460000}"/>
    <cellStyle name="Normal 2 2 2 3 2 10" xfId="17934" xr:uid="{00000000-0005-0000-0000-00000E460000}"/>
    <cellStyle name="Normal 2 2 2 3 2 11" xfId="17935" xr:uid="{00000000-0005-0000-0000-00000F460000}"/>
    <cellStyle name="Normal 2 2 2 3 2 12" xfId="17936" xr:uid="{00000000-0005-0000-0000-000010460000}"/>
    <cellStyle name="Normal 2 2 2 3 2 13" xfId="17937" xr:uid="{00000000-0005-0000-0000-000011460000}"/>
    <cellStyle name="Normal 2 2 2 3 2 14" xfId="17938" xr:uid="{00000000-0005-0000-0000-000012460000}"/>
    <cellStyle name="Normal 2 2 2 3 2 15" xfId="17939" xr:uid="{00000000-0005-0000-0000-000013460000}"/>
    <cellStyle name="Normal 2 2 2 3 2 16" xfId="17940" xr:uid="{00000000-0005-0000-0000-000014460000}"/>
    <cellStyle name="Normal 2 2 2 3 2 17" xfId="17941" xr:uid="{00000000-0005-0000-0000-000015460000}"/>
    <cellStyle name="Normal 2 2 2 3 2 2" xfId="17942" xr:uid="{00000000-0005-0000-0000-000016460000}"/>
    <cellStyle name="Normal 2 2 2 3 2 2 10" xfId="17943" xr:uid="{00000000-0005-0000-0000-000017460000}"/>
    <cellStyle name="Normal 2 2 2 3 2 2 11" xfId="17944" xr:uid="{00000000-0005-0000-0000-000018460000}"/>
    <cellStyle name="Normal 2 2 2 3 2 2 12" xfId="17945" xr:uid="{00000000-0005-0000-0000-000019460000}"/>
    <cellStyle name="Normal 2 2 2 3 2 2 2" xfId="17946" xr:uid="{00000000-0005-0000-0000-00001A460000}"/>
    <cellStyle name="Normal 2 2 2 3 2 2 2 2" xfId="17947" xr:uid="{00000000-0005-0000-0000-00001B460000}"/>
    <cellStyle name="Normal 2 2 2 3 2 2 2 3" xfId="17948" xr:uid="{00000000-0005-0000-0000-00001C460000}"/>
    <cellStyle name="Normal 2 2 2 3 2 2 3" xfId="17949" xr:uid="{00000000-0005-0000-0000-00001D460000}"/>
    <cellStyle name="Normal 2 2 2 3 2 2 4" xfId="17950" xr:uid="{00000000-0005-0000-0000-00001E460000}"/>
    <cellStyle name="Normal 2 2 2 3 2 2 5" xfId="17951" xr:uid="{00000000-0005-0000-0000-00001F460000}"/>
    <cellStyle name="Normal 2 2 2 3 2 2 6" xfId="17952" xr:uid="{00000000-0005-0000-0000-000020460000}"/>
    <cellStyle name="Normal 2 2 2 3 2 2 7" xfId="17953" xr:uid="{00000000-0005-0000-0000-000021460000}"/>
    <cellStyle name="Normal 2 2 2 3 2 2 8" xfId="17954" xr:uid="{00000000-0005-0000-0000-000022460000}"/>
    <cellStyle name="Normal 2 2 2 3 2 2 9" xfId="17955" xr:uid="{00000000-0005-0000-0000-000023460000}"/>
    <cellStyle name="Normal 2 2 2 3 2 3" xfId="17956" xr:uid="{00000000-0005-0000-0000-000024460000}"/>
    <cellStyle name="Normal 2 2 2 3 2 3 10" xfId="17957" xr:uid="{00000000-0005-0000-0000-000025460000}"/>
    <cellStyle name="Normal 2 2 2 3 2 3 11" xfId="17958" xr:uid="{00000000-0005-0000-0000-000026460000}"/>
    <cellStyle name="Normal 2 2 2 3 2 3 12" xfId="17959" xr:uid="{00000000-0005-0000-0000-000027460000}"/>
    <cellStyle name="Normal 2 2 2 3 2 3 2" xfId="17960" xr:uid="{00000000-0005-0000-0000-000028460000}"/>
    <cellStyle name="Normal 2 2 2 3 2 3 3" xfId="17961" xr:uid="{00000000-0005-0000-0000-000029460000}"/>
    <cellStyle name="Normal 2 2 2 3 2 3 4" xfId="17962" xr:uid="{00000000-0005-0000-0000-00002A460000}"/>
    <cellStyle name="Normal 2 2 2 3 2 3 5" xfId="17963" xr:uid="{00000000-0005-0000-0000-00002B460000}"/>
    <cellStyle name="Normal 2 2 2 3 2 3 6" xfId="17964" xr:uid="{00000000-0005-0000-0000-00002C460000}"/>
    <cellStyle name="Normal 2 2 2 3 2 3 7" xfId="17965" xr:uid="{00000000-0005-0000-0000-00002D460000}"/>
    <cellStyle name="Normal 2 2 2 3 2 3 8" xfId="17966" xr:uid="{00000000-0005-0000-0000-00002E460000}"/>
    <cellStyle name="Normal 2 2 2 3 2 3 9" xfId="17967" xr:uid="{00000000-0005-0000-0000-00002F460000}"/>
    <cellStyle name="Normal 2 2 2 3 2 4" xfId="17968" xr:uid="{00000000-0005-0000-0000-000030460000}"/>
    <cellStyle name="Normal 2 2 2 3 2 4 10" xfId="17969" xr:uid="{00000000-0005-0000-0000-000031460000}"/>
    <cellStyle name="Normal 2 2 2 3 2 4 2" xfId="17970" xr:uid="{00000000-0005-0000-0000-000032460000}"/>
    <cellStyle name="Normal 2 2 2 3 2 4 3" xfId="17971" xr:uid="{00000000-0005-0000-0000-000033460000}"/>
    <cellStyle name="Normal 2 2 2 3 2 4 4" xfId="17972" xr:uid="{00000000-0005-0000-0000-000034460000}"/>
    <cellStyle name="Normal 2 2 2 3 2 4 5" xfId="17973" xr:uid="{00000000-0005-0000-0000-000035460000}"/>
    <cellStyle name="Normal 2 2 2 3 2 4 6" xfId="17974" xr:uid="{00000000-0005-0000-0000-000036460000}"/>
    <cellStyle name="Normal 2 2 2 3 2 4 7" xfId="17975" xr:uid="{00000000-0005-0000-0000-000037460000}"/>
    <cellStyle name="Normal 2 2 2 3 2 4 8" xfId="17976" xr:uid="{00000000-0005-0000-0000-000038460000}"/>
    <cellStyle name="Normal 2 2 2 3 2 4 9" xfId="17977" xr:uid="{00000000-0005-0000-0000-000039460000}"/>
    <cellStyle name="Normal 2 2 2 3 2 5" xfId="17978" xr:uid="{00000000-0005-0000-0000-00003A460000}"/>
    <cellStyle name="Normal 2 2 2 3 2 5 10" xfId="17979" xr:uid="{00000000-0005-0000-0000-00003B460000}"/>
    <cellStyle name="Normal 2 2 2 3 2 5 2" xfId="17980" xr:uid="{00000000-0005-0000-0000-00003C460000}"/>
    <cellStyle name="Normal 2 2 2 3 2 5 3" xfId="17981" xr:uid="{00000000-0005-0000-0000-00003D460000}"/>
    <cellStyle name="Normal 2 2 2 3 2 5 4" xfId="17982" xr:uid="{00000000-0005-0000-0000-00003E460000}"/>
    <cellStyle name="Normal 2 2 2 3 2 5 5" xfId="17983" xr:uid="{00000000-0005-0000-0000-00003F460000}"/>
    <cellStyle name="Normal 2 2 2 3 2 5 6" xfId="17984" xr:uid="{00000000-0005-0000-0000-000040460000}"/>
    <cellStyle name="Normal 2 2 2 3 2 5 7" xfId="17985" xr:uid="{00000000-0005-0000-0000-000041460000}"/>
    <cellStyle name="Normal 2 2 2 3 2 5 8" xfId="17986" xr:uid="{00000000-0005-0000-0000-000042460000}"/>
    <cellStyle name="Normal 2 2 2 3 2 5 9" xfId="17987" xr:uid="{00000000-0005-0000-0000-000043460000}"/>
    <cellStyle name="Normal 2 2 2 3 2 6" xfId="17988" xr:uid="{00000000-0005-0000-0000-000044460000}"/>
    <cellStyle name="Normal 2 2 2 3 2 7" xfId="17989" xr:uid="{00000000-0005-0000-0000-000045460000}"/>
    <cellStyle name="Normal 2 2 2 3 2 8" xfId="17990" xr:uid="{00000000-0005-0000-0000-000046460000}"/>
    <cellStyle name="Normal 2 2 2 3 2 9" xfId="17991" xr:uid="{00000000-0005-0000-0000-000047460000}"/>
    <cellStyle name="Normal 2 2 2 3 20" xfId="17992" xr:uid="{00000000-0005-0000-0000-000048460000}"/>
    <cellStyle name="Normal 2 2 2 3 20 10" xfId="17993" xr:uid="{00000000-0005-0000-0000-000049460000}"/>
    <cellStyle name="Normal 2 2 2 3 20 11" xfId="17994" xr:uid="{00000000-0005-0000-0000-00004A460000}"/>
    <cellStyle name="Normal 2 2 2 3 20 12" xfId="17995" xr:uid="{00000000-0005-0000-0000-00004B460000}"/>
    <cellStyle name="Normal 2 2 2 3 20 13" xfId="17996" xr:uid="{00000000-0005-0000-0000-00004C460000}"/>
    <cellStyle name="Normal 2 2 2 3 20 14" xfId="17997" xr:uid="{00000000-0005-0000-0000-00004D460000}"/>
    <cellStyle name="Normal 2 2 2 3 20 2" xfId="17998" xr:uid="{00000000-0005-0000-0000-00004E460000}"/>
    <cellStyle name="Normal 2 2 2 3 20 2 10" xfId="17999" xr:uid="{00000000-0005-0000-0000-00004F460000}"/>
    <cellStyle name="Normal 2 2 2 3 20 2 2" xfId="18000" xr:uid="{00000000-0005-0000-0000-000050460000}"/>
    <cellStyle name="Normal 2 2 2 3 20 2 3" xfId="18001" xr:uid="{00000000-0005-0000-0000-000051460000}"/>
    <cellStyle name="Normal 2 2 2 3 20 2 4" xfId="18002" xr:uid="{00000000-0005-0000-0000-000052460000}"/>
    <cellStyle name="Normal 2 2 2 3 20 2 5" xfId="18003" xr:uid="{00000000-0005-0000-0000-000053460000}"/>
    <cellStyle name="Normal 2 2 2 3 20 2 6" xfId="18004" xr:uid="{00000000-0005-0000-0000-000054460000}"/>
    <cellStyle name="Normal 2 2 2 3 20 2 7" xfId="18005" xr:uid="{00000000-0005-0000-0000-000055460000}"/>
    <cellStyle name="Normal 2 2 2 3 20 2 8" xfId="18006" xr:uid="{00000000-0005-0000-0000-000056460000}"/>
    <cellStyle name="Normal 2 2 2 3 20 2 9" xfId="18007" xr:uid="{00000000-0005-0000-0000-000057460000}"/>
    <cellStyle name="Normal 2 2 2 3 20 3" xfId="18008" xr:uid="{00000000-0005-0000-0000-000058460000}"/>
    <cellStyle name="Normal 2 2 2 3 20 3 10" xfId="18009" xr:uid="{00000000-0005-0000-0000-000059460000}"/>
    <cellStyle name="Normal 2 2 2 3 20 3 2" xfId="18010" xr:uid="{00000000-0005-0000-0000-00005A460000}"/>
    <cellStyle name="Normal 2 2 2 3 20 3 3" xfId="18011" xr:uid="{00000000-0005-0000-0000-00005B460000}"/>
    <cellStyle name="Normal 2 2 2 3 20 3 4" xfId="18012" xr:uid="{00000000-0005-0000-0000-00005C460000}"/>
    <cellStyle name="Normal 2 2 2 3 20 3 5" xfId="18013" xr:uid="{00000000-0005-0000-0000-00005D460000}"/>
    <cellStyle name="Normal 2 2 2 3 20 3 6" xfId="18014" xr:uid="{00000000-0005-0000-0000-00005E460000}"/>
    <cellStyle name="Normal 2 2 2 3 20 3 7" xfId="18015" xr:uid="{00000000-0005-0000-0000-00005F460000}"/>
    <cellStyle name="Normal 2 2 2 3 20 3 8" xfId="18016" xr:uid="{00000000-0005-0000-0000-000060460000}"/>
    <cellStyle name="Normal 2 2 2 3 20 3 9" xfId="18017" xr:uid="{00000000-0005-0000-0000-000061460000}"/>
    <cellStyle name="Normal 2 2 2 3 20 4" xfId="18018" xr:uid="{00000000-0005-0000-0000-000062460000}"/>
    <cellStyle name="Normal 2 2 2 3 20 4 10" xfId="18019" xr:uid="{00000000-0005-0000-0000-000063460000}"/>
    <cellStyle name="Normal 2 2 2 3 20 4 2" xfId="18020" xr:uid="{00000000-0005-0000-0000-000064460000}"/>
    <cellStyle name="Normal 2 2 2 3 20 4 3" xfId="18021" xr:uid="{00000000-0005-0000-0000-000065460000}"/>
    <cellStyle name="Normal 2 2 2 3 20 4 4" xfId="18022" xr:uid="{00000000-0005-0000-0000-000066460000}"/>
    <cellStyle name="Normal 2 2 2 3 20 4 5" xfId="18023" xr:uid="{00000000-0005-0000-0000-000067460000}"/>
    <cellStyle name="Normal 2 2 2 3 20 4 6" xfId="18024" xr:uid="{00000000-0005-0000-0000-000068460000}"/>
    <cellStyle name="Normal 2 2 2 3 20 4 7" xfId="18025" xr:uid="{00000000-0005-0000-0000-000069460000}"/>
    <cellStyle name="Normal 2 2 2 3 20 4 8" xfId="18026" xr:uid="{00000000-0005-0000-0000-00006A460000}"/>
    <cellStyle name="Normal 2 2 2 3 20 4 9" xfId="18027" xr:uid="{00000000-0005-0000-0000-00006B460000}"/>
    <cellStyle name="Normal 2 2 2 3 20 5" xfId="18028" xr:uid="{00000000-0005-0000-0000-00006C460000}"/>
    <cellStyle name="Normal 2 2 2 3 20 5 10" xfId="18029" xr:uid="{00000000-0005-0000-0000-00006D460000}"/>
    <cellStyle name="Normal 2 2 2 3 20 5 2" xfId="18030" xr:uid="{00000000-0005-0000-0000-00006E460000}"/>
    <cellStyle name="Normal 2 2 2 3 20 5 3" xfId="18031" xr:uid="{00000000-0005-0000-0000-00006F460000}"/>
    <cellStyle name="Normal 2 2 2 3 20 5 4" xfId="18032" xr:uid="{00000000-0005-0000-0000-000070460000}"/>
    <cellStyle name="Normal 2 2 2 3 20 5 5" xfId="18033" xr:uid="{00000000-0005-0000-0000-000071460000}"/>
    <cellStyle name="Normal 2 2 2 3 20 5 6" xfId="18034" xr:uid="{00000000-0005-0000-0000-000072460000}"/>
    <cellStyle name="Normal 2 2 2 3 20 5 7" xfId="18035" xr:uid="{00000000-0005-0000-0000-000073460000}"/>
    <cellStyle name="Normal 2 2 2 3 20 5 8" xfId="18036" xr:uid="{00000000-0005-0000-0000-000074460000}"/>
    <cellStyle name="Normal 2 2 2 3 20 5 9" xfId="18037" xr:uid="{00000000-0005-0000-0000-000075460000}"/>
    <cellStyle name="Normal 2 2 2 3 20 6" xfId="18038" xr:uid="{00000000-0005-0000-0000-000076460000}"/>
    <cellStyle name="Normal 2 2 2 3 20 7" xfId="18039" xr:uid="{00000000-0005-0000-0000-000077460000}"/>
    <cellStyle name="Normal 2 2 2 3 20 8" xfId="18040" xr:uid="{00000000-0005-0000-0000-000078460000}"/>
    <cellStyle name="Normal 2 2 2 3 20 9" xfId="18041" xr:uid="{00000000-0005-0000-0000-000079460000}"/>
    <cellStyle name="Normal 2 2 2 3 21" xfId="18042" xr:uid="{00000000-0005-0000-0000-00007A460000}"/>
    <cellStyle name="Normal 2 2 2 3 21 10" xfId="18043" xr:uid="{00000000-0005-0000-0000-00007B460000}"/>
    <cellStyle name="Normal 2 2 2 3 21 11" xfId="18044" xr:uid="{00000000-0005-0000-0000-00007C460000}"/>
    <cellStyle name="Normal 2 2 2 3 21 12" xfId="18045" xr:uid="{00000000-0005-0000-0000-00007D460000}"/>
    <cellStyle name="Normal 2 2 2 3 21 13" xfId="18046" xr:uid="{00000000-0005-0000-0000-00007E460000}"/>
    <cellStyle name="Normal 2 2 2 3 21 14" xfId="18047" xr:uid="{00000000-0005-0000-0000-00007F460000}"/>
    <cellStyle name="Normal 2 2 2 3 21 2" xfId="18048" xr:uid="{00000000-0005-0000-0000-000080460000}"/>
    <cellStyle name="Normal 2 2 2 3 21 2 10" xfId="18049" xr:uid="{00000000-0005-0000-0000-000081460000}"/>
    <cellStyle name="Normal 2 2 2 3 21 2 2" xfId="18050" xr:uid="{00000000-0005-0000-0000-000082460000}"/>
    <cellStyle name="Normal 2 2 2 3 21 2 3" xfId="18051" xr:uid="{00000000-0005-0000-0000-000083460000}"/>
    <cellStyle name="Normal 2 2 2 3 21 2 4" xfId="18052" xr:uid="{00000000-0005-0000-0000-000084460000}"/>
    <cellStyle name="Normal 2 2 2 3 21 2 5" xfId="18053" xr:uid="{00000000-0005-0000-0000-000085460000}"/>
    <cellStyle name="Normal 2 2 2 3 21 2 6" xfId="18054" xr:uid="{00000000-0005-0000-0000-000086460000}"/>
    <cellStyle name="Normal 2 2 2 3 21 2 7" xfId="18055" xr:uid="{00000000-0005-0000-0000-000087460000}"/>
    <cellStyle name="Normal 2 2 2 3 21 2 8" xfId="18056" xr:uid="{00000000-0005-0000-0000-000088460000}"/>
    <cellStyle name="Normal 2 2 2 3 21 2 9" xfId="18057" xr:uid="{00000000-0005-0000-0000-000089460000}"/>
    <cellStyle name="Normal 2 2 2 3 21 3" xfId="18058" xr:uid="{00000000-0005-0000-0000-00008A460000}"/>
    <cellStyle name="Normal 2 2 2 3 21 3 10" xfId="18059" xr:uid="{00000000-0005-0000-0000-00008B460000}"/>
    <cellStyle name="Normal 2 2 2 3 21 3 2" xfId="18060" xr:uid="{00000000-0005-0000-0000-00008C460000}"/>
    <cellStyle name="Normal 2 2 2 3 21 3 3" xfId="18061" xr:uid="{00000000-0005-0000-0000-00008D460000}"/>
    <cellStyle name="Normal 2 2 2 3 21 3 4" xfId="18062" xr:uid="{00000000-0005-0000-0000-00008E460000}"/>
    <cellStyle name="Normal 2 2 2 3 21 3 5" xfId="18063" xr:uid="{00000000-0005-0000-0000-00008F460000}"/>
    <cellStyle name="Normal 2 2 2 3 21 3 6" xfId="18064" xr:uid="{00000000-0005-0000-0000-000090460000}"/>
    <cellStyle name="Normal 2 2 2 3 21 3 7" xfId="18065" xr:uid="{00000000-0005-0000-0000-000091460000}"/>
    <cellStyle name="Normal 2 2 2 3 21 3 8" xfId="18066" xr:uid="{00000000-0005-0000-0000-000092460000}"/>
    <cellStyle name="Normal 2 2 2 3 21 3 9" xfId="18067" xr:uid="{00000000-0005-0000-0000-000093460000}"/>
    <cellStyle name="Normal 2 2 2 3 21 4" xfId="18068" xr:uid="{00000000-0005-0000-0000-000094460000}"/>
    <cellStyle name="Normal 2 2 2 3 21 4 10" xfId="18069" xr:uid="{00000000-0005-0000-0000-000095460000}"/>
    <cellStyle name="Normal 2 2 2 3 21 4 2" xfId="18070" xr:uid="{00000000-0005-0000-0000-000096460000}"/>
    <cellStyle name="Normal 2 2 2 3 21 4 3" xfId="18071" xr:uid="{00000000-0005-0000-0000-000097460000}"/>
    <cellStyle name="Normal 2 2 2 3 21 4 4" xfId="18072" xr:uid="{00000000-0005-0000-0000-000098460000}"/>
    <cellStyle name="Normal 2 2 2 3 21 4 5" xfId="18073" xr:uid="{00000000-0005-0000-0000-000099460000}"/>
    <cellStyle name="Normal 2 2 2 3 21 4 6" xfId="18074" xr:uid="{00000000-0005-0000-0000-00009A460000}"/>
    <cellStyle name="Normal 2 2 2 3 21 4 7" xfId="18075" xr:uid="{00000000-0005-0000-0000-00009B460000}"/>
    <cellStyle name="Normal 2 2 2 3 21 4 8" xfId="18076" xr:uid="{00000000-0005-0000-0000-00009C460000}"/>
    <cellStyle name="Normal 2 2 2 3 21 4 9" xfId="18077" xr:uid="{00000000-0005-0000-0000-00009D460000}"/>
    <cellStyle name="Normal 2 2 2 3 21 5" xfId="18078" xr:uid="{00000000-0005-0000-0000-00009E460000}"/>
    <cellStyle name="Normal 2 2 2 3 21 5 10" xfId="18079" xr:uid="{00000000-0005-0000-0000-00009F460000}"/>
    <cellStyle name="Normal 2 2 2 3 21 5 2" xfId="18080" xr:uid="{00000000-0005-0000-0000-0000A0460000}"/>
    <cellStyle name="Normal 2 2 2 3 21 5 3" xfId="18081" xr:uid="{00000000-0005-0000-0000-0000A1460000}"/>
    <cellStyle name="Normal 2 2 2 3 21 5 4" xfId="18082" xr:uid="{00000000-0005-0000-0000-0000A2460000}"/>
    <cellStyle name="Normal 2 2 2 3 21 5 5" xfId="18083" xr:uid="{00000000-0005-0000-0000-0000A3460000}"/>
    <cellStyle name="Normal 2 2 2 3 21 5 6" xfId="18084" xr:uid="{00000000-0005-0000-0000-0000A4460000}"/>
    <cellStyle name="Normal 2 2 2 3 21 5 7" xfId="18085" xr:uid="{00000000-0005-0000-0000-0000A5460000}"/>
    <cellStyle name="Normal 2 2 2 3 21 5 8" xfId="18086" xr:uid="{00000000-0005-0000-0000-0000A6460000}"/>
    <cellStyle name="Normal 2 2 2 3 21 5 9" xfId="18087" xr:uid="{00000000-0005-0000-0000-0000A7460000}"/>
    <cellStyle name="Normal 2 2 2 3 21 6" xfId="18088" xr:uid="{00000000-0005-0000-0000-0000A8460000}"/>
    <cellStyle name="Normal 2 2 2 3 21 7" xfId="18089" xr:uid="{00000000-0005-0000-0000-0000A9460000}"/>
    <cellStyle name="Normal 2 2 2 3 21 8" xfId="18090" xr:uid="{00000000-0005-0000-0000-0000AA460000}"/>
    <cellStyle name="Normal 2 2 2 3 21 9" xfId="18091" xr:uid="{00000000-0005-0000-0000-0000AB460000}"/>
    <cellStyle name="Normal 2 2 2 3 22" xfId="18092" xr:uid="{00000000-0005-0000-0000-0000AC460000}"/>
    <cellStyle name="Normal 2 2 2 3 22 10" xfId="18093" xr:uid="{00000000-0005-0000-0000-0000AD460000}"/>
    <cellStyle name="Normal 2 2 2 3 22 11" xfId="18094" xr:uid="{00000000-0005-0000-0000-0000AE460000}"/>
    <cellStyle name="Normal 2 2 2 3 22 12" xfId="18095" xr:uid="{00000000-0005-0000-0000-0000AF460000}"/>
    <cellStyle name="Normal 2 2 2 3 22 13" xfId="18096" xr:uid="{00000000-0005-0000-0000-0000B0460000}"/>
    <cellStyle name="Normal 2 2 2 3 22 14" xfId="18097" xr:uid="{00000000-0005-0000-0000-0000B1460000}"/>
    <cellStyle name="Normal 2 2 2 3 22 2" xfId="18098" xr:uid="{00000000-0005-0000-0000-0000B2460000}"/>
    <cellStyle name="Normal 2 2 2 3 22 2 10" xfId="18099" xr:uid="{00000000-0005-0000-0000-0000B3460000}"/>
    <cellStyle name="Normal 2 2 2 3 22 2 2" xfId="18100" xr:uid="{00000000-0005-0000-0000-0000B4460000}"/>
    <cellStyle name="Normal 2 2 2 3 22 2 3" xfId="18101" xr:uid="{00000000-0005-0000-0000-0000B5460000}"/>
    <cellStyle name="Normal 2 2 2 3 22 2 4" xfId="18102" xr:uid="{00000000-0005-0000-0000-0000B6460000}"/>
    <cellStyle name="Normal 2 2 2 3 22 2 5" xfId="18103" xr:uid="{00000000-0005-0000-0000-0000B7460000}"/>
    <cellStyle name="Normal 2 2 2 3 22 2 6" xfId="18104" xr:uid="{00000000-0005-0000-0000-0000B8460000}"/>
    <cellStyle name="Normal 2 2 2 3 22 2 7" xfId="18105" xr:uid="{00000000-0005-0000-0000-0000B9460000}"/>
    <cellStyle name="Normal 2 2 2 3 22 2 8" xfId="18106" xr:uid="{00000000-0005-0000-0000-0000BA460000}"/>
    <cellStyle name="Normal 2 2 2 3 22 2 9" xfId="18107" xr:uid="{00000000-0005-0000-0000-0000BB460000}"/>
    <cellStyle name="Normal 2 2 2 3 22 3" xfId="18108" xr:uid="{00000000-0005-0000-0000-0000BC460000}"/>
    <cellStyle name="Normal 2 2 2 3 22 3 10" xfId="18109" xr:uid="{00000000-0005-0000-0000-0000BD460000}"/>
    <cellStyle name="Normal 2 2 2 3 22 3 2" xfId="18110" xr:uid="{00000000-0005-0000-0000-0000BE460000}"/>
    <cellStyle name="Normal 2 2 2 3 22 3 3" xfId="18111" xr:uid="{00000000-0005-0000-0000-0000BF460000}"/>
    <cellStyle name="Normal 2 2 2 3 22 3 4" xfId="18112" xr:uid="{00000000-0005-0000-0000-0000C0460000}"/>
    <cellStyle name="Normal 2 2 2 3 22 3 5" xfId="18113" xr:uid="{00000000-0005-0000-0000-0000C1460000}"/>
    <cellStyle name="Normal 2 2 2 3 22 3 6" xfId="18114" xr:uid="{00000000-0005-0000-0000-0000C2460000}"/>
    <cellStyle name="Normal 2 2 2 3 22 3 7" xfId="18115" xr:uid="{00000000-0005-0000-0000-0000C3460000}"/>
    <cellStyle name="Normal 2 2 2 3 22 3 8" xfId="18116" xr:uid="{00000000-0005-0000-0000-0000C4460000}"/>
    <cellStyle name="Normal 2 2 2 3 22 3 9" xfId="18117" xr:uid="{00000000-0005-0000-0000-0000C5460000}"/>
    <cellStyle name="Normal 2 2 2 3 22 4" xfId="18118" xr:uid="{00000000-0005-0000-0000-0000C6460000}"/>
    <cellStyle name="Normal 2 2 2 3 22 4 10" xfId="18119" xr:uid="{00000000-0005-0000-0000-0000C7460000}"/>
    <cellStyle name="Normal 2 2 2 3 22 4 2" xfId="18120" xr:uid="{00000000-0005-0000-0000-0000C8460000}"/>
    <cellStyle name="Normal 2 2 2 3 22 4 3" xfId="18121" xr:uid="{00000000-0005-0000-0000-0000C9460000}"/>
    <cellStyle name="Normal 2 2 2 3 22 4 4" xfId="18122" xr:uid="{00000000-0005-0000-0000-0000CA460000}"/>
    <cellStyle name="Normal 2 2 2 3 22 4 5" xfId="18123" xr:uid="{00000000-0005-0000-0000-0000CB460000}"/>
    <cellStyle name="Normal 2 2 2 3 22 4 6" xfId="18124" xr:uid="{00000000-0005-0000-0000-0000CC460000}"/>
    <cellStyle name="Normal 2 2 2 3 22 4 7" xfId="18125" xr:uid="{00000000-0005-0000-0000-0000CD460000}"/>
    <cellStyle name="Normal 2 2 2 3 22 4 8" xfId="18126" xr:uid="{00000000-0005-0000-0000-0000CE460000}"/>
    <cellStyle name="Normal 2 2 2 3 22 4 9" xfId="18127" xr:uid="{00000000-0005-0000-0000-0000CF460000}"/>
    <cellStyle name="Normal 2 2 2 3 22 5" xfId="18128" xr:uid="{00000000-0005-0000-0000-0000D0460000}"/>
    <cellStyle name="Normal 2 2 2 3 22 5 10" xfId="18129" xr:uid="{00000000-0005-0000-0000-0000D1460000}"/>
    <cellStyle name="Normal 2 2 2 3 22 5 2" xfId="18130" xr:uid="{00000000-0005-0000-0000-0000D2460000}"/>
    <cellStyle name="Normal 2 2 2 3 22 5 3" xfId="18131" xr:uid="{00000000-0005-0000-0000-0000D3460000}"/>
    <cellStyle name="Normal 2 2 2 3 22 5 4" xfId="18132" xr:uid="{00000000-0005-0000-0000-0000D4460000}"/>
    <cellStyle name="Normal 2 2 2 3 22 5 5" xfId="18133" xr:uid="{00000000-0005-0000-0000-0000D5460000}"/>
    <cellStyle name="Normal 2 2 2 3 22 5 6" xfId="18134" xr:uid="{00000000-0005-0000-0000-0000D6460000}"/>
    <cellStyle name="Normal 2 2 2 3 22 5 7" xfId="18135" xr:uid="{00000000-0005-0000-0000-0000D7460000}"/>
    <cellStyle name="Normal 2 2 2 3 22 5 8" xfId="18136" xr:uid="{00000000-0005-0000-0000-0000D8460000}"/>
    <cellStyle name="Normal 2 2 2 3 22 5 9" xfId="18137" xr:uid="{00000000-0005-0000-0000-0000D9460000}"/>
    <cellStyle name="Normal 2 2 2 3 22 6" xfId="18138" xr:uid="{00000000-0005-0000-0000-0000DA460000}"/>
    <cellStyle name="Normal 2 2 2 3 22 7" xfId="18139" xr:uid="{00000000-0005-0000-0000-0000DB460000}"/>
    <cellStyle name="Normal 2 2 2 3 22 8" xfId="18140" xr:uid="{00000000-0005-0000-0000-0000DC460000}"/>
    <cellStyle name="Normal 2 2 2 3 22 9" xfId="18141" xr:uid="{00000000-0005-0000-0000-0000DD460000}"/>
    <cellStyle name="Normal 2 2 2 3 23" xfId="18142" xr:uid="{00000000-0005-0000-0000-0000DE460000}"/>
    <cellStyle name="Normal 2 2 2 3 23 10" xfId="18143" xr:uid="{00000000-0005-0000-0000-0000DF460000}"/>
    <cellStyle name="Normal 2 2 2 3 23 11" xfId="18144" xr:uid="{00000000-0005-0000-0000-0000E0460000}"/>
    <cellStyle name="Normal 2 2 2 3 23 12" xfId="18145" xr:uid="{00000000-0005-0000-0000-0000E1460000}"/>
    <cellStyle name="Normal 2 2 2 3 23 13" xfId="18146" xr:uid="{00000000-0005-0000-0000-0000E2460000}"/>
    <cellStyle name="Normal 2 2 2 3 23 14" xfId="18147" xr:uid="{00000000-0005-0000-0000-0000E3460000}"/>
    <cellStyle name="Normal 2 2 2 3 23 2" xfId="18148" xr:uid="{00000000-0005-0000-0000-0000E4460000}"/>
    <cellStyle name="Normal 2 2 2 3 23 2 10" xfId="18149" xr:uid="{00000000-0005-0000-0000-0000E5460000}"/>
    <cellStyle name="Normal 2 2 2 3 23 2 2" xfId="18150" xr:uid="{00000000-0005-0000-0000-0000E6460000}"/>
    <cellStyle name="Normal 2 2 2 3 23 2 3" xfId="18151" xr:uid="{00000000-0005-0000-0000-0000E7460000}"/>
    <cellStyle name="Normal 2 2 2 3 23 2 4" xfId="18152" xr:uid="{00000000-0005-0000-0000-0000E8460000}"/>
    <cellStyle name="Normal 2 2 2 3 23 2 5" xfId="18153" xr:uid="{00000000-0005-0000-0000-0000E9460000}"/>
    <cellStyle name="Normal 2 2 2 3 23 2 6" xfId="18154" xr:uid="{00000000-0005-0000-0000-0000EA460000}"/>
    <cellStyle name="Normal 2 2 2 3 23 2 7" xfId="18155" xr:uid="{00000000-0005-0000-0000-0000EB460000}"/>
    <cellStyle name="Normal 2 2 2 3 23 2 8" xfId="18156" xr:uid="{00000000-0005-0000-0000-0000EC460000}"/>
    <cellStyle name="Normal 2 2 2 3 23 2 9" xfId="18157" xr:uid="{00000000-0005-0000-0000-0000ED460000}"/>
    <cellStyle name="Normal 2 2 2 3 23 3" xfId="18158" xr:uid="{00000000-0005-0000-0000-0000EE460000}"/>
    <cellStyle name="Normal 2 2 2 3 23 3 10" xfId="18159" xr:uid="{00000000-0005-0000-0000-0000EF460000}"/>
    <cellStyle name="Normal 2 2 2 3 23 3 2" xfId="18160" xr:uid="{00000000-0005-0000-0000-0000F0460000}"/>
    <cellStyle name="Normal 2 2 2 3 23 3 3" xfId="18161" xr:uid="{00000000-0005-0000-0000-0000F1460000}"/>
    <cellStyle name="Normal 2 2 2 3 23 3 4" xfId="18162" xr:uid="{00000000-0005-0000-0000-0000F2460000}"/>
    <cellStyle name="Normal 2 2 2 3 23 3 5" xfId="18163" xr:uid="{00000000-0005-0000-0000-0000F3460000}"/>
    <cellStyle name="Normal 2 2 2 3 23 3 6" xfId="18164" xr:uid="{00000000-0005-0000-0000-0000F4460000}"/>
    <cellStyle name="Normal 2 2 2 3 23 3 7" xfId="18165" xr:uid="{00000000-0005-0000-0000-0000F5460000}"/>
    <cellStyle name="Normal 2 2 2 3 23 3 8" xfId="18166" xr:uid="{00000000-0005-0000-0000-0000F6460000}"/>
    <cellStyle name="Normal 2 2 2 3 23 3 9" xfId="18167" xr:uid="{00000000-0005-0000-0000-0000F7460000}"/>
    <cellStyle name="Normal 2 2 2 3 23 4" xfId="18168" xr:uid="{00000000-0005-0000-0000-0000F8460000}"/>
    <cellStyle name="Normal 2 2 2 3 23 4 10" xfId="18169" xr:uid="{00000000-0005-0000-0000-0000F9460000}"/>
    <cellStyle name="Normal 2 2 2 3 23 4 2" xfId="18170" xr:uid="{00000000-0005-0000-0000-0000FA460000}"/>
    <cellStyle name="Normal 2 2 2 3 23 4 3" xfId="18171" xr:uid="{00000000-0005-0000-0000-0000FB460000}"/>
    <cellStyle name="Normal 2 2 2 3 23 4 4" xfId="18172" xr:uid="{00000000-0005-0000-0000-0000FC460000}"/>
    <cellStyle name="Normal 2 2 2 3 23 4 5" xfId="18173" xr:uid="{00000000-0005-0000-0000-0000FD460000}"/>
    <cellStyle name="Normal 2 2 2 3 23 4 6" xfId="18174" xr:uid="{00000000-0005-0000-0000-0000FE460000}"/>
    <cellStyle name="Normal 2 2 2 3 23 4 7" xfId="18175" xr:uid="{00000000-0005-0000-0000-0000FF460000}"/>
    <cellStyle name="Normal 2 2 2 3 23 4 8" xfId="18176" xr:uid="{00000000-0005-0000-0000-000000470000}"/>
    <cellStyle name="Normal 2 2 2 3 23 4 9" xfId="18177" xr:uid="{00000000-0005-0000-0000-000001470000}"/>
    <cellStyle name="Normal 2 2 2 3 23 5" xfId="18178" xr:uid="{00000000-0005-0000-0000-000002470000}"/>
    <cellStyle name="Normal 2 2 2 3 23 5 10" xfId="18179" xr:uid="{00000000-0005-0000-0000-000003470000}"/>
    <cellStyle name="Normal 2 2 2 3 23 5 2" xfId="18180" xr:uid="{00000000-0005-0000-0000-000004470000}"/>
    <cellStyle name="Normal 2 2 2 3 23 5 3" xfId="18181" xr:uid="{00000000-0005-0000-0000-000005470000}"/>
    <cellStyle name="Normal 2 2 2 3 23 5 4" xfId="18182" xr:uid="{00000000-0005-0000-0000-000006470000}"/>
    <cellStyle name="Normal 2 2 2 3 23 5 5" xfId="18183" xr:uid="{00000000-0005-0000-0000-000007470000}"/>
    <cellStyle name="Normal 2 2 2 3 23 5 6" xfId="18184" xr:uid="{00000000-0005-0000-0000-000008470000}"/>
    <cellStyle name="Normal 2 2 2 3 23 5 7" xfId="18185" xr:uid="{00000000-0005-0000-0000-000009470000}"/>
    <cellStyle name="Normal 2 2 2 3 23 5 8" xfId="18186" xr:uid="{00000000-0005-0000-0000-00000A470000}"/>
    <cellStyle name="Normal 2 2 2 3 23 5 9" xfId="18187" xr:uid="{00000000-0005-0000-0000-00000B470000}"/>
    <cellStyle name="Normal 2 2 2 3 23 6" xfId="18188" xr:uid="{00000000-0005-0000-0000-00000C470000}"/>
    <cellStyle name="Normal 2 2 2 3 23 7" xfId="18189" xr:uid="{00000000-0005-0000-0000-00000D470000}"/>
    <cellStyle name="Normal 2 2 2 3 23 8" xfId="18190" xr:uid="{00000000-0005-0000-0000-00000E470000}"/>
    <cellStyle name="Normal 2 2 2 3 23 9" xfId="18191" xr:uid="{00000000-0005-0000-0000-00000F470000}"/>
    <cellStyle name="Normal 2 2 2 3 24" xfId="18192" xr:uid="{00000000-0005-0000-0000-000010470000}"/>
    <cellStyle name="Normal 2 2 2 3 24 10" xfId="18193" xr:uid="{00000000-0005-0000-0000-000011470000}"/>
    <cellStyle name="Normal 2 2 2 3 24 11" xfId="18194" xr:uid="{00000000-0005-0000-0000-000012470000}"/>
    <cellStyle name="Normal 2 2 2 3 24 12" xfId="18195" xr:uid="{00000000-0005-0000-0000-000013470000}"/>
    <cellStyle name="Normal 2 2 2 3 24 13" xfId="18196" xr:uid="{00000000-0005-0000-0000-000014470000}"/>
    <cellStyle name="Normal 2 2 2 3 24 14" xfId="18197" xr:uid="{00000000-0005-0000-0000-000015470000}"/>
    <cellStyle name="Normal 2 2 2 3 24 2" xfId="18198" xr:uid="{00000000-0005-0000-0000-000016470000}"/>
    <cellStyle name="Normal 2 2 2 3 24 2 10" xfId="18199" xr:uid="{00000000-0005-0000-0000-000017470000}"/>
    <cellStyle name="Normal 2 2 2 3 24 2 2" xfId="18200" xr:uid="{00000000-0005-0000-0000-000018470000}"/>
    <cellStyle name="Normal 2 2 2 3 24 2 3" xfId="18201" xr:uid="{00000000-0005-0000-0000-000019470000}"/>
    <cellStyle name="Normal 2 2 2 3 24 2 4" xfId="18202" xr:uid="{00000000-0005-0000-0000-00001A470000}"/>
    <cellStyle name="Normal 2 2 2 3 24 2 5" xfId="18203" xr:uid="{00000000-0005-0000-0000-00001B470000}"/>
    <cellStyle name="Normal 2 2 2 3 24 2 6" xfId="18204" xr:uid="{00000000-0005-0000-0000-00001C470000}"/>
    <cellStyle name="Normal 2 2 2 3 24 2 7" xfId="18205" xr:uid="{00000000-0005-0000-0000-00001D470000}"/>
    <cellStyle name="Normal 2 2 2 3 24 2 8" xfId="18206" xr:uid="{00000000-0005-0000-0000-00001E470000}"/>
    <cellStyle name="Normal 2 2 2 3 24 2 9" xfId="18207" xr:uid="{00000000-0005-0000-0000-00001F470000}"/>
    <cellStyle name="Normal 2 2 2 3 24 3" xfId="18208" xr:uid="{00000000-0005-0000-0000-000020470000}"/>
    <cellStyle name="Normal 2 2 2 3 24 3 10" xfId="18209" xr:uid="{00000000-0005-0000-0000-000021470000}"/>
    <cellStyle name="Normal 2 2 2 3 24 3 2" xfId="18210" xr:uid="{00000000-0005-0000-0000-000022470000}"/>
    <cellStyle name="Normal 2 2 2 3 24 3 3" xfId="18211" xr:uid="{00000000-0005-0000-0000-000023470000}"/>
    <cellStyle name="Normal 2 2 2 3 24 3 4" xfId="18212" xr:uid="{00000000-0005-0000-0000-000024470000}"/>
    <cellStyle name="Normal 2 2 2 3 24 3 5" xfId="18213" xr:uid="{00000000-0005-0000-0000-000025470000}"/>
    <cellStyle name="Normal 2 2 2 3 24 3 6" xfId="18214" xr:uid="{00000000-0005-0000-0000-000026470000}"/>
    <cellStyle name="Normal 2 2 2 3 24 3 7" xfId="18215" xr:uid="{00000000-0005-0000-0000-000027470000}"/>
    <cellStyle name="Normal 2 2 2 3 24 3 8" xfId="18216" xr:uid="{00000000-0005-0000-0000-000028470000}"/>
    <cellStyle name="Normal 2 2 2 3 24 3 9" xfId="18217" xr:uid="{00000000-0005-0000-0000-000029470000}"/>
    <cellStyle name="Normal 2 2 2 3 24 4" xfId="18218" xr:uid="{00000000-0005-0000-0000-00002A470000}"/>
    <cellStyle name="Normal 2 2 2 3 24 4 10" xfId="18219" xr:uid="{00000000-0005-0000-0000-00002B470000}"/>
    <cellStyle name="Normal 2 2 2 3 24 4 2" xfId="18220" xr:uid="{00000000-0005-0000-0000-00002C470000}"/>
    <cellStyle name="Normal 2 2 2 3 24 4 3" xfId="18221" xr:uid="{00000000-0005-0000-0000-00002D470000}"/>
    <cellStyle name="Normal 2 2 2 3 24 4 4" xfId="18222" xr:uid="{00000000-0005-0000-0000-00002E470000}"/>
    <cellStyle name="Normal 2 2 2 3 24 4 5" xfId="18223" xr:uid="{00000000-0005-0000-0000-00002F470000}"/>
    <cellStyle name="Normal 2 2 2 3 24 4 6" xfId="18224" xr:uid="{00000000-0005-0000-0000-000030470000}"/>
    <cellStyle name="Normal 2 2 2 3 24 4 7" xfId="18225" xr:uid="{00000000-0005-0000-0000-000031470000}"/>
    <cellStyle name="Normal 2 2 2 3 24 4 8" xfId="18226" xr:uid="{00000000-0005-0000-0000-000032470000}"/>
    <cellStyle name="Normal 2 2 2 3 24 4 9" xfId="18227" xr:uid="{00000000-0005-0000-0000-000033470000}"/>
    <cellStyle name="Normal 2 2 2 3 24 5" xfId="18228" xr:uid="{00000000-0005-0000-0000-000034470000}"/>
    <cellStyle name="Normal 2 2 2 3 24 5 10" xfId="18229" xr:uid="{00000000-0005-0000-0000-000035470000}"/>
    <cellStyle name="Normal 2 2 2 3 24 5 2" xfId="18230" xr:uid="{00000000-0005-0000-0000-000036470000}"/>
    <cellStyle name="Normal 2 2 2 3 24 5 3" xfId="18231" xr:uid="{00000000-0005-0000-0000-000037470000}"/>
    <cellStyle name="Normal 2 2 2 3 24 5 4" xfId="18232" xr:uid="{00000000-0005-0000-0000-000038470000}"/>
    <cellStyle name="Normal 2 2 2 3 24 5 5" xfId="18233" xr:uid="{00000000-0005-0000-0000-000039470000}"/>
    <cellStyle name="Normal 2 2 2 3 24 5 6" xfId="18234" xr:uid="{00000000-0005-0000-0000-00003A470000}"/>
    <cellStyle name="Normal 2 2 2 3 24 5 7" xfId="18235" xr:uid="{00000000-0005-0000-0000-00003B470000}"/>
    <cellStyle name="Normal 2 2 2 3 24 5 8" xfId="18236" xr:uid="{00000000-0005-0000-0000-00003C470000}"/>
    <cellStyle name="Normal 2 2 2 3 24 5 9" xfId="18237" xr:uid="{00000000-0005-0000-0000-00003D470000}"/>
    <cellStyle name="Normal 2 2 2 3 24 6" xfId="18238" xr:uid="{00000000-0005-0000-0000-00003E470000}"/>
    <cellStyle name="Normal 2 2 2 3 24 7" xfId="18239" xr:uid="{00000000-0005-0000-0000-00003F470000}"/>
    <cellStyle name="Normal 2 2 2 3 24 8" xfId="18240" xr:uid="{00000000-0005-0000-0000-000040470000}"/>
    <cellStyle name="Normal 2 2 2 3 24 9" xfId="18241" xr:uid="{00000000-0005-0000-0000-000041470000}"/>
    <cellStyle name="Normal 2 2 2 3 25" xfId="18242" xr:uid="{00000000-0005-0000-0000-000042470000}"/>
    <cellStyle name="Normal 2 2 2 3 25 10" xfId="18243" xr:uid="{00000000-0005-0000-0000-000043470000}"/>
    <cellStyle name="Normal 2 2 2 3 25 11" xfId="18244" xr:uid="{00000000-0005-0000-0000-000044470000}"/>
    <cellStyle name="Normal 2 2 2 3 25 12" xfId="18245" xr:uid="{00000000-0005-0000-0000-000045470000}"/>
    <cellStyle name="Normal 2 2 2 3 25 13" xfId="18246" xr:uid="{00000000-0005-0000-0000-000046470000}"/>
    <cellStyle name="Normal 2 2 2 3 25 14" xfId="18247" xr:uid="{00000000-0005-0000-0000-000047470000}"/>
    <cellStyle name="Normal 2 2 2 3 25 2" xfId="18248" xr:uid="{00000000-0005-0000-0000-000048470000}"/>
    <cellStyle name="Normal 2 2 2 3 25 2 10" xfId="18249" xr:uid="{00000000-0005-0000-0000-000049470000}"/>
    <cellStyle name="Normal 2 2 2 3 25 2 2" xfId="18250" xr:uid="{00000000-0005-0000-0000-00004A470000}"/>
    <cellStyle name="Normal 2 2 2 3 25 2 3" xfId="18251" xr:uid="{00000000-0005-0000-0000-00004B470000}"/>
    <cellStyle name="Normal 2 2 2 3 25 2 4" xfId="18252" xr:uid="{00000000-0005-0000-0000-00004C470000}"/>
    <cellStyle name="Normal 2 2 2 3 25 2 5" xfId="18253" xr:uid="{00000000-0005-0000-0000-00004D470000}"/>
    <cellStyle name="Normal 2 2 2 3 25 2 6" xfId="18254" xr:uid="{00000000-0005-0000-0000-00004E470000}"/>
    <cellStyle name="Normal 2 2 2 3 25 2 7" xfId="18255" xr:uid="{00000000-0005-0000-0000-00004F470000}"/>
    <cellStyle name="Normal 2 2 2 3 25 2 8" xfId="18256" xr:uid="{00000000-0005-0000-0000-000050470000}"/>
    <cellStyle name="Normal 2 2 2 3 25 2 9" xfId="18257" xr:uid="{00000000-0005-0000-0000-000051470000}"/>
    <cellStyle name="Normal 2 2 2 3 25 3" xfId="18258" xr:uid="{00000000-0005-0000-0000-000052470000}"/>
    <cellStyle name="Normal 2 2 2 3 25 3 10" xfId="18259" xr:uid="{00000000-0005-0000-0000-000053470000}"/>
    <cellStyle name="Normal 2 2 2 3 25 3 2" xfId="18260" xr:uid="{00000000-0005-0000-0000-000054470000}"/>
    <cellStyle name="Normal 2 2 2 3 25 3 3" xfId="18261" xr:uid="{00000000-0005-0000-0000-000055470000}"/>
    <cellStyle name="Normal 2 2 2 3 25 3 4" xfId="18262" xr:uid="{00000000-0005-0000-0000-000056470000}"/>
    <cellStyle name="Normal 2 2 2 3 25 3 5" xfId="18263" xr:uid="{00000000-0005-0000-0000-000057470000}"/>
    <cellStyle name="Normal 2 2 2 3 25 3 6" xfId="18264" xr:uid="{00000000-0005-0000-0000-000058470000}"/>
    <cellStyle name="Normal 2 2 2 3 25 3 7" xfId="18265" xr:uid="{00000000-0005-0000-0000-000059470000}"/>
    <cellStyle name="Normal 2 2 2 3 25 3 8" xfId="18266" xr:uid="{00000000-0005-0000-0000-00005A470000}"/>
    <cellStyle name="Normal 2 2 2 3 25 3 9" xfId="18267" xr:uid="{00000000-0005-0000-0000-00005B470000}"/>
    <cellStyle name="Normal 2 2 2 3 25 4" xfId="18268" xr:uid="{00000000-0005-0000-0000-00005C470000}"/>
    <cellStyle name="Normal 2 2 2 3 25 4 10" xfId="18269" xr:uid="{00000000-0005-0000-0000-00005D470000}"/>
    <cellStyle name="Normal 2 2 2 3 25 4 2" xfId="18270" xr:uid="{00000000-0005-0000-0000-00005E470000}"/>
    <cellStyle name="Normal 2 2 2 3 25 4 3" xfId="18271" xr:uid="{00000000-0005-0000-0000-00005F470000}"/>
    <cellStyle name="Normal 2 2 2 3 25 4 4" xfId="18272" xr:uid="{00000000-0005-0000-0000-000060470000}"/>
    <cellStyle name="Normal 2 2 2 3 25 4 5" xfId="18273" xr:uid="{00000000-0005-0000-0000-000061470000}"/>
    <cellStyle name="Normal 2 2 2 3 25 4 6" xfId="18274" xr:uid="{00000000-0005-0000-0000-000062470000}"/>
    <cellStyle name="Normal 2 2 2 3 25 4 7" xfId="18275" xr:uid="{00000000-0005-0000-0000-000063470000}"/>
    <cellStyle name="Normal 2 2 2 3 25 4 8" xfId="18276" xr:uid="{00000000-0005-0000-0000-000064470000}"/>
    <cellStyle name="Normal 2 2 2 3 25 4 9" xfId="18277" xr:uid="{00000000-0005-0000-0000-000065470000}"/>
    <cellStyle name="Normal 2 2 2 3 25 5" xfId="18278" xr:uid="{00000000-0005-0000-0000-000066470000}"/>
    <cellStyle name="Normal 2 2 2 3 25 5 10" xfId="18279" xr:uid="{00000000-0005-0000-0000-000067470000}"/>
    <cellStyle name="Normal 2 2 2 3 25 5 2" xfId="18280" xr:uid="{00000000-0005-0000-0000-000068470000}"/>
    <cellStyle name="Normal 2 2 2 3 25 5 3" xfId="18281" xr:uid="{00000000-0005-0000-0000-000069470000}"/>
    <cellStyle name="Normal 2 2 2 3 25 5 4" xfId="18282" xr:uid="{00000000-0005-0000-0000-00006A470000}"/>
    <cellStyle name="Normal 2 2 2 3 25 5 5" xfId="18283" xr:uid="{00000000-0005-0000-0000-00006B470000}"/>
    <cellStyle name="Normal 2 2 2 3 25 5 6" xfId="18284" xr:uid="{00000000-0005-0000-0000-00006C470000}"/>
    <cellStyle name="Normal 2 2 2 3 25 5 7" xfId="18285" xr:uid="{00000000-0005-0000-0000-00006D470000}"/>
    <cellStyle name="Normal 2 2 2 3 25 5 8" xfId="18286" xr:uid="{00000000-0005-0000-0000-00006E470000}"/>
    <cellStyle name="Normal 2 2 2 3 25 5 9" xfId="18287" xr:uid="{00000000-0005-0000-0000-00006F470000}"/>
    <cellStyle name="Normal 2 2 2 3 25 6" xfId="18288" xr:uid="{00000000-0005-0000-0000-000070470000}"/>
    <cellStyle name="Normal 2 2 2 3 25 7" xfId="18289" xr:uid="{00000000-0005-0000-0000-000071470000}"/>
    <cellStyle name="Normal 2 2 2 3 25 8" xfId="18290" xr:uid="{00000000-0005-0000-0000-000072470000}"/>
    <cellStyle name="Normal 2 2 2 3 25 9" xfId="18291" xr:uid="{00000000-0005-0000-0000-000073470000}"/>
    <cellStyle name="Normal 2 2 2 3 26" xfId="18292" xr:uid="{00000000-0005-0000-0000-000074470000}"/>
    <cellStyle name="Normal 2 2 2 3 26 10" xfId="18293" xr:uid="{00000000-0005-0000-0000-000075470000}"/>
    <cellStyle name="Normal 2 2 2 3 26 11" xfId="18294" xr:uid="{00000000-0005-0000-0000-000076470000}"/>
    <cellStyle name="Normal 2 2 2 3 26 12" xfId="18295" xr:uid="{00000000-0005-0000-0000-000077470000}"/>
    <cellStyle name="Normal 2 2 2 3 26 13" xfId="18296" xr:uid="{00000000-0005-0000-0000-000078470000}"/>
    <cellStyle name="Normal 2 2 2 3 26 14" xfId="18297" xr:uid="{00000000-0005-0000-0000-000079470000}"/>
    <cellStyle name="Normal 2 2 2 3 26 2" xfId="18298" xr:uid="{00000000-0005-0000-0000-00007A470000}"/>
    <cellStyle name="Normal 2 2 2 3 26 2 10" xfId="18299" xr:uid="{00000000-0005-0000-0000-00007B470000}"/>
    <cellStyle name="Normal 2 2 2 3 26 2 2" xfId="18300" xr:uid="{00000000-0005-0000-0000-00007C470000}"/>
    <cellStyle name="Normal 2 2 2 3 26 2 3" xfId="18301" xr:uid="{00000000-0005-0000-0000-00007D470000}"/>
    <cellStyle name="Normal 2 2 2 3 26 2 4" xfId="18302" xr:uid="{00000000-0005-0000-0000-00007E470000}"/>
    <cellStyle name="Normal 2 2 2 3 26 2 5" xfId="18303" xr:uid="{00000000-0005-0000-0000-00007F470000}"/>
    <cellStyle name="Normal 2 2 2 3 26 2 6" xfId="18304" xr:uid="{00000000-0005-0000-0000-000080470000}"/>
    <cellStyle name="Normal 2 2 2 3 26 2 7" xfId="18305" xr:uid="{00000000-0005-0000-0000-000081470000}"/>
    <cellStyle name="Normal 2 2 2 3 26 2 8" xfId="18306" xr:uid="{00000000-0005-0000-0000-000082470000}"/>
    <cellStyle name="Normal 2 2 2 3 26 2 9" xfId="18307" xr:uid="{00000000-0005-0000-0000-000083470000}"/>
    <cellStyle name="Normal 2 2 2 3 26 3" xfId="18308" xr:uid="{00000000-0005-0000-0000-000084470000}"/>
    <cellStyle name="Normal 2 2 2 3 26 3 10" xfId="18309" xr:uid="{00000000-0005-0000-0000-000085470000}"/>
    <cellStyle name="Normal 2 2 2 3 26 3 2" xfId="18310" xr:uid="{00000000-0005-0000-0000-000086470000}"/>
    <cellStyle name="Normal 2 2 2 3 26 3 3" xfId="18311" xr:uid="{00000000-0005-0000-0000-000087470000}"/>
    <cellStyle name="Normal 2 2 2 3 26 3 4" xfId="18312" xr:uid="{00000000-0005-0000-0000-000088470000}"/>
    <cellStyle name="Normal 2 2 2 3 26 3 5" xfId="18313" xr:uid="{00000000-0005-0000-0000-000089470000}"/>
    <cellStyle name="Normal 2 2 2 3 26 3 6" xfId="18314" xr:uid="{00000000-0005-0000-0000-00008A470000}"/>
    <cellStyle name="Normal 2 2 2 3 26 3 7" xfId="18315" xr:uid="{00000000-0005-0000-0000-00008B470000}"/>
    <cellStyle name="Normal 2 2 2 3 26 3 8" xfId="18316" xr:uid="{00000000-0005-0000-0000-00008C470000}"/>
    <cellStyle name="Normal 2 2 2 3 26 3 9" xfId="18317" xr:uid="{00000000-0005-0000-0000-00008D470000}"/>
    <cellStyle name="Normal 2 2 2 3 26 4" xfId="18318" xr:uid="{00000000-0005-0000-0000-00008E470000}"/>
    <cellStyle name="Normal 2 2 2 3 26 4 10" xfId="18319" xr:uid="{00000000-0005-0000-0000-00008F470000}"/>
    <cellStyle name="Normal 2 2 2 3 26 4 2" xfId="18320" xr:uid="{00000000-0005-0000-0000-000090470000}"/>
    <cellStyle name="Normal 2 2 2 3 26 4 3" xfId="18321" xr:uid="{00000000-0005-0000-0000-000091470000}"/>
    <cellStyle name="Normal 2 2 2 3 26 4 4" xfId="18322" xr:uid="{00000000-0005-0000-0000-000092470000}"/>
    <cellStyle name="Normal 2 2 2 3 26 4 5" xfId="18323" xr:uid="{00000000-0005-0000-0000-000093470000}"/>
    <cellStyle name="Normal 2 2 2 3 26 4 6" xfId="18324" xr:uid="{00000000-0005-0000-0000-000094470000}"/>
    <cellStyle name="Normal 2 2 2 3 26 4 7" xfId="18325" xr:uid="{00000000-0005-0000-0000-000095470000}"/>
    <cellStyle name="Normal 2 2 2 3 26 4 8" xfId="18326" xr:uid="{00000000-0005-0000-0000-000096470000}"/>
    <cellStyle name="Normal 2 2 2 3 26 4 9" xfId="18327" xr:uid="{00000000-0005-0000-0000-000097470000}"/>
    <cellStyle name="Normal 2 2 2 3 26 5" xfId="18328" xr:uid="{00000000-0005-0000-0000-000098470000}"/>
    <cellStyle name="Normal 2 2 2 3 26 5 10" xfId="18329" xr:uid="{00000000-0005-0000-0000-000099470000}"/>
    <cellStyle name="Normal 2 2 2 3 26 5 2" xfId="18330" xr:uid="{00000000-0005-0000-0000-00009A470000}"/>
    <cellStyle name="Normal 2 2 2 3 26 5 3" xfId="18331" xr:uid="{00000000-0005-0000-0000-00009B470000}"/>
    <cellStyle name="Normal 2 2 2 3 26 5 4" xfId="18332" xr:uid="{00000000-0005-0000-0000-00009C470000}"/>
    <cellStyle name="Normal 2 2 2 3 26 5 5" xfId="18333" xr:uid="{00000000-0005-0000-0000-00009D470000}"/>
    <cellStyle name="Normal 2 2 2 3 26 5 6" xfId="18334" xr:uid="{00000000-0005-0000-0000-00009E470000}"/>
    <cellStyle name="Normal 2 2 2 3 26 5 7" xfId="18335" xr:uid="{00000000-0005-0000-0000-00009F470000}"/>
    <cellStyle name="Normal 2 2 2 3 26 5 8" xfId="18336" xr:uid="{00000000-0005-0000-0000-0000A0470000}"/>
    <cellStyle name="Normal 2 2 2 3 26 5 9" xfId="18337" xr:uid="{00000000-0005-0000-0000-0000A1470000}"/>
    <cellStyle name="Normal 2 2 2 3 26 6" xfId="18338" xr:uid="{00000000-0005-0000-0000-0000A2470000}"/>
    <cellStyle name="Normal 2 2 2 3 26 7" xfId="18339" xr:uid="{00000000-0005-0000-0000-0000A3470000}"/>
    <cellStyle name="Normal 2 2 2 3 26 8" xfId="18340" xr:uid="{00000000-0005-0000-0000-0000A4470000}"/>
    <cellStyle name="Normal 2 2 2 3 26 9" xfId="18341" xr:uid="{00000000-0005-0000-0000-0000A5470000}"/>
    <cellStyle name="Normal 2 2 2 3 27" xfId="18342" xr:uid="{00000000-0005-0000-0000-0000A6470000}"/>
    <cellStyle name="Normal 2 2 2 3 27 10" xfId="18343" xr:uid="{00000000-0005-0000-0000-0000A7470000}"/>
    <cellStyle name="Normal 2 2 2 3 27 11" xfId="18344" xr:uid="{00000000-0005-0000-0000-0000A8470000}"/>
    <cellStyle name="Normal 2 2 2 3 27 12" xfId="18345" xr:uid="{00000000-0005-0000-0000-0000A9470000}"/>
    <cellStyle name="Normal 2 2 2 3 27 13" xfId="18346" xr:uid="{00000000-0005-0000-0000-0000AA470000}"/>
    <cellStyle name="Normal 2 2 2 3 27 14" xfId="18347" xr:uid="{00000000-0005-0000-0000-0000AB470000}"/>
    <cellStyle name="Normal 2 2 2 3 27 2" xfId="18348" xr:uid="{00000000-0005-0000-0000-0000AC470000}"/>
    <cellStyle name="Normal 2 2 2 3 27 2 10" xfId="18349" xr:uid="{00000000-0005-0000-0000-0000AD470000}"/>
    <cellStyle name="Normal 2 2 2 3 27 2 2" xfId="18350" xr:uid="{00000000-0005-0000-0000-0000AE470000}"/>
    <cellStyle name="Normal 2 2 2 3 27 2 3" xfId="18351" xr:uid="{00000000-0005-0000-0000-0000AF470000}"/>
    <cellStyle name="Normal 2 2 2 3 27 2 4" xfId="18352" xr:uid="{00000000-0005-0000-0000-0000B0470000}"/>
    <cellStyle name="Normal 2 2 2 3 27 2 5" xfId="18353" xr:uid="{00000000-0005-0000-0000-0000B1470000}"/>
    <cellStyle name="Normal 2 2 2 3 27 2 6" xfId="18354" xr:uid="{00000000-0005-0000-0000-0000B2470000}"/>
    <cellStyle name="Normal 2 2 2 3 27 2 7" xfId="18355" xr:uid="{00000000-0005-0000-0000-0000B3470000}"/>
    <cellStyle name="Normal 2 2 2 3 27 2 8" xfId="18356" xr:uid="{00000000-0005-0000-0000-0000B4470000}"/>
    <cellStyle name="Normal 2 2 2 3 27 2 9" xfId="18357" xr:uid="{00000000-0005-0000-0000-0000B5470000}"/>
    <cellStyle name="Normal 2 2 2 3 27 3" xfId="18358" xr:uid="{00000000-0005-0000-0000-0000B6470000}"/>
    <cellStyle name="Normal 2 2 2 3 27 3 10" xfId="18359" xr:uid="{00000000-0005-0000-0000-0000B7470000}"/>
    <cellStyle name="Normal 2 2 2 3 27 3 2" xfId="18360" xr:uid="{00000000-0005-0000-0000-0000B8470000}"/>
    <cellStyle name="Normal 2 2 2 3 27 3 3" xfId="18361" xr:uid="{00000000-0005-0000-0000-0000B9470000}"/>
    <cellStyle name="Normal 2 2 2 3 27 3 4" xfId="18362" xr:uid="{00000000-0005-0000-0000-0000BA470000}"/>
    <cellStyle name="Normal 2 2 2 3 27 3 5" xfId="18363" xr:uid="{00000000-0005-0000-0000-0000BB470000}"/>
    <cellStyle name="Normal 2 2 2 3 27 3 6" xfId="18364" xr:uid="{00000000-0005-0000-0000-0000BC470000}"/>
    <cellStyle name="Normal 2 2 2 3 27 3 7" xfId="18365" xr:uid="{00000000-0005-0000-0000-0000BD470000}"/>
    <cellStyle name="Normal 2 2 2 3 27 3 8" xfId="18366" xr:uid="{00000000-0005-0000-0000-0000BE470000}"/>
    <cellStyle name="Normal 2 2 2 3 27 3 9" xfId="18367" xr:uid="{00000000-0005-0000-0000-0000BF470000}"/>
    <cellStyle name="Normal 2 2 2 3 27 4" xfId="18368" xr:uid="{00000000-0005-0000-0000-0000C0470000}"/>
    <cellStyle name="Normal 2 2 2 3 27 4 10" xfId="18369" xr:uid="{00000000-0005-0000-0000-0000C1470000}"/>
    <cellStyle name="Normal 2 2 2 3 27 4 2" xfId="18370" xr:uid="{00000000-0005-0000-0000-0000C2470000}"/>
    <cellStyle name="Normal 2 2 2 3 27 4 3" xfId="18371" xr:uid="{00000000-0005-0000-0000-0000C3470000}"/>
    <cellStyle name="Normal 2 2 2 3 27 4 4" xfId="18372" xr:uid="{00000000-0005-0000-0000-0000C4470000}"/>
    <cellStyle name="Normal 2 2 2 3 27 4 5" xfId="18373" xr:uid="{00000000-0005-0000-0000-0000C5470000}"/>
    <cellStyle name="Normal 2 2 2 3 27 4 6" xfId="18374" xr:uid="{00000000-0005-0000-0000-0000C6470000}"/>
    <cellStyle name="Normal 2 2 2 3 27 4 7" xfId="18375" xr:uid="{00000000-0005-0000-0000-0000C7470000}"/>
    <cellStyle name="Normal 2 2 2 3 27 4 8" xfId="18376" xr:uid="{00000000-0005-0000-0000-0000C8470000}"/>
    <cellStyle name="Normal 2 2 2 3 27 4 9" xfId="18377" xr:uid="{00000000-0005-0000-0000-0000C9470000}"/>
    <cellStyle name="Normal 2 2 2 3 27 5" xfId="18378" xr:uid="{00000000-0005-0000-0000-0000CA470000}"/>
    <cellStyle name="Normal 2 2 2 3 27 5 10" xfId="18379" xr:uid="{00000000-0005-0000-0000-0000CB470000}"/>
    <cellStyle name="Normal 2 2 2 3 27 5 2" xfId="18380" xr:uid="{00000000-0005-0000-0000-0000CC470000}"/>
    <cellStyle name="Normal 2 2 2 3 27 5 3" xfId="18381" xr:uid="{00000000-0005-0000-0000-0000CD470000}"/>
    <cellStyle name="Normal 2 2 2 3 27 5 4" xfId="18382" xr:uid="{00000000-0005-0000-0000-0000CE470000}"/>
    <cellStyle name="Normal 2 2 2 3 27 5 5" xfId="18383" xr:uid="{00000000-0005-0000-0000-0000CF470000}"/>
    <cellStyle name="Normal 2 2 2 3 27 5 6" xfId="18384" xr:uid="{00000000-0005-0000-0000-0000D0470000}"/>
    <cellStyle name="Normal 2 2 2 3 27 5 7" xfId="18385" xr:uid="{00000000-0005-0000-0000-0000D1470000}"/>
    <cellStyle name="Normal 2 2 2 3 27 5 8" xfId="18386" xr:uid="{00000000-0005-0000-0000-0000D2470000}"/>
    <cellStyle name="Normal 2 2 2 3 27 5 9" xfId="18387" xr:uid="{00000000-0005-0000-0000-0000D3470000}"/>
    <cellStyle name="Normal 2 2 2 3 27 6" xfId="18388" xr:uid="{00000000-0005-0000-0000-0000D4470000}"/>
    <cellStyle name="Normal 2 2 2 3 27 7" xfId="18389" xr:uid="{00000000-0005-0000-0000-0000D5470000}"/>
    <cellStyle name="Normal 2 2 2 3 27 8" xfId="18390" xr:uid="{00000000-0005-0000-0000-0000D6470000}"/>
    <cellStyle name="Normal 2 2 2 3 27 9" xfId="18391" xr:uid="{00000000-0005-0000-0000-0000D7470000}"/>
    <cellStyle name="Normal 2 2 2 3 28" xfId="18392" xr:uid="{00000000-0005-0000-0000-0000D8470000}"/>
    <cellStyle name="Normal 2 2 2 3 28 10" xfId="18393" xr:uid="{00000000-0005-0000-0000-0000D9470000}"/>
    <cellStyle name="Normal 2 2 2 3 28 11" xfId="18394" xr:uid="{00000000-0005-0000-0000-0000DA470000}"/>
    <cellStyle name="Normal 2 2 2 3 28 12" xfId="18395" xr:uid="{00000000-0005-0000-0000-0000DB470000}"/>
    <cellStyle name="Normal 2 2 2 3 28 13" xfId="18396" xr:uid="{00000000-0005-0000-0000-0000DC470000}"/>
    <cellStyle name="Normal 2 2 2 3 28 14" xfId="18397" xr:uid="{00000000-0005-0000-0000-0000DD470000}"/>
    <cellStyle name="Normal 2 2 2 3 28 2" xfId="18398" xr:uid="{00000000-0005-0000-0000-0000DE470000}"/>
    <cellStyle name="Normal 2 2 2 3 28 2 10" xfId="18399" xr:uid="{00000000-0005-0000-0000-0000DF470000}"/>
    <cellStyle name="Normal 2 2 2 3 28 2 2" xfId="18400" xr:uid="{00000000-0005-0000-0000-0000E0470000}"/>
    <cellStyle name="Normal 2 2 2 3 28 2 3" xfId="18401" xr:uid="{00000000-0005-0000-0000-0000E1470000}"/>
    <cellStyle name="Normal 2 2 2 3 28 2 4" xfId="18402" xr:uid="{00000000-0005-0000-0000-0000E2470000}"/>
    <cellStyle name="Normal 2 2 2 3 28 2 5" xfId="18403" xr:uid="{00000000-0005-0000-0000-0000E3470000}"/>
    <cellStyle name="Normal 2 2 2 3 28 2 6" xfId="18404" xr:uid="{00000000-0005-0000-0000-0000E4470000}"/>
    <cellStyle name="Normal 2 2 2 3 28 2 7" xfId="18405" xr:uid="{00000000-0005-0000-0000-0000E5470000}"/>
    <cellStyle name="Normal 2 2 2 3 28 2 8" xfId="18406" xr:uid="{00000000-0005-0000-0000-0000E6470000}"/>
    <cellStyle name="Normal 2 2 2 3 28 2 9" xfId="18407" xr:uid="{00000000-0005-0000-0000-0000E7470000}"/>
    <cellStyle name="Normal 2 2 2 3 28 3" xfId="18408" xr:uid="{00000000-0005-0000-0000-0000E8470000}"/>
    <cellStyle name="Normal 2 2 2 3 28 3 10" xfId="18409" xr:uid="{00000000-0005-0000-0000-0000E9470000}"/>
    <cellStyle name="Normal 2 2 2 3 28 3 2" xfId="18410" xr:uid="{00000000-0005-0000-0000-0000EA470000}"/>
    <cellStyle name="Normal 2 2 2 3 28 3 3" xfId="18411" xr:uid="{00000000-0005-0000-0000-0000EB470000}"/>
    <cellStyle name="Normal 2 2 2 3 28 3 4" xfId="18412" xr:uid="{00000000-0005-0000-0000-0000EC470000}"/>
    <cellStyle name="Normal 2 2 2 3 28 3 5" xfId="18413" xr:uid="{00000000-0005-0000-0000-0000ED470000}"/>
    <cellStyle name="Normal 2 2 2 3 28 3 6" xfId="18414" xr:uid="{00000000-0005-0000-0000-0000EE470000}"/>
    <cellStyle name="Normal 2 2 2 3 28 3 7" xfId="18415" xr:uid="{00000000-0005-0000-0000-0000EF470000}"/>
    <cellStyle name="Normal 2 2 2 3 28 3 8" xfId="18416" xr:uid="{00000000-0005-0000-0000-0000F0470000}"/>
    <cellStyle name="Normal 2 2 2 3 28 3 9" xfId="18417" xr:uid="{00000000-0005-0000-0000-0000F1470000}"/>
    <cellStyle name="Normal 2 2 2 3 28 4" xfId="18418" xr:uid="{00000000-0005-0000-0000-0000F2470000}"/>
    <cellStyle name="Normal 2 2 2 3 28 4 10" xfId="18419" xr:uid="{00000000-0005-0000-0000-0000F3470000}"/>
    <cellStyle name="Normal 2 2 2 3 28 4 2" xfId="18420" xr:uid="{00000000-0005-0000-0000-0000F4470000}"/>
    <cellStyle name="Normal 2 2 2 3 28 4 3" xfId="18421" xr:uid="{00000000-0005-0000-0000-0000F5470000}"/>
    <cellStyle name="Normal 2 2 2 3 28 4 4" xfId="18422" xr:uid="{00000000-0005-0000-0000-0000F6470000}"/>
    <cellStyle name="Normal 2 2 2 3 28 4 5" xfId="18423" xr:uid="{00000000-0005-0000-0000-0000F7470000}"/>
    <cellStyle name="Normal 2 2 2 3 28 4 6" xfId="18424" xr:uid="{00000000-0005-0000-0000-0000F8470000}"/>
    <cellStyle name="Normal 2 2 2 3 28 4 7" xfId="18425" xr:uid="{00000000-0005-0000-0000-0000F9470000}"/>
    <cellStyle name="Normal 2 2 2 3 28 4 8" xfId="18426" xr:uid="{00000000-0005-0000-0000-0000FA470000}"/>
    <cellStyle name="Normal 2 2 2 3 28 4 9" xfId="18427" xr:uid="{00000000-0005-0000-0000-0000FB470000}"/>
    <cellStyle name="Normal 2 2 2 3 28 5" xfId="18428" xr:uid="{00000000-0005-0000-0000-0000FC470000}"/>
    <cellStyle name="Normal 2 2 2 3 28 5 10" xfId="18429" xr:uid="{00000000-0005-0000-0000-0000FD470000}"/>
    <cellStyle name="Normal 2 2 2 3 28 5 2" xfId="18430" xr:uid="{00000000-0005-0000-0000-0000FE470000}"/>
    <cellStyle name="Normal 2 2 2 3 28 5 3" xfId="18431" xr:uid="{00000000-0005-0000-0000-0000FF470000}"/>
    <cellStyle name="Normal 2 2 2 3 28 5 4" xfId="18432" xr:uid="{00000000-0005-0000-0000-000000480000}"/>
    <cellStyle name="Normal 2 2 2 3 28 5 5" xfId="18433" xr:uid="{00000000-0005-0000-0000-000001480000}"/>
    <cellStyle name="Normal 2 2 2 3 28 5 6" xfId="18434" xr:uid="{00000000-0005-0000-0000-000002480000}"/>
    <cellStyle name="Normal 2 2 2 3 28 5 7" xfId="18435" xr:uid="{00000000-0005-0000-0000-000003480000}"/>
    <cellStyle name="Normal 2 2 2 3 28 5 8" xfId="18436" xr:uid="{00000000-0005-0000-0000-000004480000}"/>
    <cellStyle name="Normal 2 2 2 3 28 5 9" xfId="18437" xr:uid="{00000000-0005-0000-0000-000005480000}"/>
    <cellStyle name="Normal 2 2 2 3 28 6" xfId="18438" xr:uid="{00000000-0005-0000-0000-000006480000}"/>
    <cellStyle name="Normal 2 2 2 3 28 7" xfId="18439" xr:uid="{00000000-0005-0000-0000-000007480000}"/>
    <cellStyle name="Normal 2 2 2 3 28 8" xfId="18440" xr:uid="{00000000-0005-0000-0000-000008480000}"/>
    <cellStyle name="Normal 2 2 2 3 28 9" xfId="18441" xr:uid="{00000000-0005-0000-0000-000009480000}"/>
    <cellStyle name="Normal 2 2 2 3 29" xfId="18442" xr:uid="{00000000-0005-0000-0000-00000A480000}"/>
    <cellStyle name="Normal 2 2 2 3 29 10" xfId="18443" xr:uid="{00000000-0005-0000-0000-00000B480000}"/>
    <cellStyle name="Normal 2 2 2 3 29 11" xfId="18444" xr:uid="{00000000-0005-0000-0000-00000C480000}"/>
    <cellStyle name="Normal 2 2 2 3 29 12" xfId="18445" xr:uid="{00000000-0005-0000-0000-00000D480000}"/>
    <cellStyle name="Normal 2 2 2 3 29 13" xfId="18446" xr:uid="{00000000-0005-0000-0000-00000E480000}"/>
    <cellStyle name="Normal 2 2 2 3 29 14" xfId="18447" xr:uid="{00000000-0005-0000-0000-00000F480000}"/>
    <cellStyle name="Normal 2 2 2 3 29 2" xfId="18448" xr:uid="{00000000-0005-0000-0000-000010480000}"/>
    <cellStyle name="Normal 2 2 2 3 29 2 10" xfId="18449" xr:uid="{00000000-0005-0000-0000-000011480000}"/>
    <cellStyle name="Normal 2 2 2 3 29 2 2" xfId="18450" xr:uid="{00000000-0005-0000-0000-000012480000}"/>
    <cellStyle name="Normal 2 2 2 3 29 2 3" xfId="18451" xr:uid="{00000000-0005-0000-0000-000013480000}"/>
    <cellStyle name="Normal 2 2 2 3 29 2 4" xfId="18452" xr:uid="{00000000-0005-0000-0000-000014480000}"/>
    <cellStyle name="Normal 2 2 2 3 29 2 5" xfId="18453" xr:uid="{00000000-0005-0000-0000-000015480000}"/>
    <cellStyle name="Normal 2 2 2 3 29 2 6" xfId="18454" xr:uid="{00000000-0005-0000-0000-000016480000}"/>
    <cellStyle name="Normal 2 2 2 3 29 2 7" xfId="18455" xr:uid="{00000000-0005-0000-0000-000017480000}"/>
    <cellStyle name="Normal 2 2 2 3 29 2 8" xfId="18456" xr:uid="{00000000-0005-0000-0000-000018480000}"/>
    <cellStyle name="Normal 2 2 2 3 29 2 9" xfId="18457" xr:uid="{00000000-0005-0000-0000-000019480000}"/>
    <cellStyle name="Normal 2 2 2 3 29 3" xfId="18458" xr:uid="{00000000-0005-0000-0000-00001A480000}"/>
    <cellStyle name="Normal 2 2 2 3 29 3 10" xfId="18459" xr:uid="{00000000-0005-0000-0000-00001B480000}"/>
    <cellStyle name="Normal 2 2 2 3 29 3 2" xfId="18460" xr:uid="{00000000-0005-0000-0000-00001C480000}"/>
    <cellStyle name="Normal 2 2 2 3 29 3 3" xfId="18461" xr:uid="{00000000-0005-0000-0000-00001D480000}"/>
    <cellStyle name="Normal 2 2 2 3 29 3 4" xfId="18462" xr:uid="{00000000-0005-0000-0000-00001E480000}"/>
    <cellStyle name="Normal 2 2 2 3 29 3 5" xfId="18463" xr:uid="{00000000-0005-0000-0000-00001F480000}"/>
    <cellStyle name="Normal 2 2 2 3 29 3 6" xfId="18464" xr:uid="{00000000-0005-0000-0000-000020480000}"/>
    <cellStyle name="Normal 2 2 2 3 29 3 7" xfId="18465" xr:uid="{00000000-0005-0000-0000-000021480000}"/>
    <cellStyle name="Normal 2 2 2 3 29 3 8" xfId="18466" xr:uid="{00000000-0005-0000-0000-000022480000}"/>
    <cellStyle name="Normal 2 2 2 3 29 3 9" xfId="18467" xr:uid="{00000000-0005-0000-0000-000023480000}"/>
    <cellStyle name="Normal 2 2 2 3 29 4" xfId="18468" xr:uid="{00000000-0005-0000-0000-000024480000}"/>
    <cellStyle name="Normal 2 2 2 3 29 4 10" xfId="18469" xr:uid="{00000000-0005-0000-0000-000025480000}"/>
    <cellStyle name="Normal 2 2 2 3 29 4 2" xfId="18470" xr:uid="{00000000-0005-0000-0000-000026480000}"/>
    <cellStyle name="Normal 2 2 2 3 29 4 3" xfId="18471" xr:uid="{00000000-0005-0000-0000-000027480000}"/>
    <cellStyle name="Normal 2 2 2 3 29 4 4" xfId="18472" xr:uid="{00000000-0005-0000-0000-000028480000}"/>
    <cellStyle name="Normal 2 2 2 3 29 4 5" xfId="18473" xr:uid="{00000000-0005-0000-0000-000029480000}"/>
    <cellStyle name="Normal 2 2 2 3 29 4 6" xfId="18474" xr:uid="{00000000-0005-0000-0000-00002A480000}"/>
    <cellStyle name="Normal 2 2 2 3 29 4 7" xfId="18475" xr:uid="{00000000-0005-0000-0000-00002B480000}"/>
    <cellStyle name="Normal 2 2 2 3 29 4 8" xfId="18476" xr:uid="{00000000-0005-0000-0000-00002C480000}"/>
    <cellStyle name="Normal 2 2 2 3 29 4 9" xfId="18477" xr:uid="{00000000-0005-0000-0000-00002D480000}"/>
    <cellStyle name="Normal 2 2 2 3 29 5" xfId="18478" xr:uid="{00000000-0005-0000-0000-00002E480000}"/>
    <cellStyle name="Normal 2 2 2 3 29 5 10" xfId="18479" xr:uid="{00000000-0005-0000-0000-00002F480000}"/>
    <cellStyle name="Normal 2 2 2 3 29 5 2" xfId="18480" xr:uid="{00000000-0005-0000-0000-000030480000}"/>
    <cellStyle name="Normal 2 2 2 3 29 5 3" xfId="18481" xr:uid="{00000000-0005-0000-0000-000031480000}"/>
    <cellStyle name="Normal 2 2 2 3 29 5 4" xfId="18482" xr:uid="{00000000-0005-0000-0000-000032480000}"/>
    <cellStyle name="Normal 2 2 2 3 29 5 5" xfId="18483" xr:uid="{00000000-0005-0000-0000-000033480000}"/>
    <cellStyle name="Normal 2 2 2 3 29 5 6" xfId="18484" xr:uid="{00000000-0005-0000-0000-000034480000}"/>
    <cellStyle name="Normal 2 2 2 3 29 5 7" xfId="18485" xr:uid="{00000000-0005-0000-0000-000035480000}"/>
    <cellStyle name="Normal 2 2 2 3 29 5 8" xfId="18486" xr:uid="{00000000-0005-0000-0000-000036480000}"/>
    <cellStyle name="Normal 2 2 2 3 29 5 9" xfId="18487" xr:uid="{00000000-0005-0000-0000-000037480000}"/>
    <cellStyle name="Normal 2 2 2 3 29 6" xfId="18488" xr:uid="{00000000-0005-0000-0000-000038480000}"/>
    <cellStyle name="Normal 2 2 2 3 29 7" xfId="18489" xr:uid="{00000000-0005-0000-0000-000039480000}"/>
    <cellStyle name="Normal 2 2 2 3 29 8" xfId="18490" xr:uid="{00000000-0005-0000-0000-00003A480000}"/>
    <cellStyle name="Normal 2 2 2 3 29 9" xfId="18491" xr:uid="{00000000-0005-0000-0000-00003B480000}"/>
    <cellStyle name="Normal 2 2 2 3 3" xfId="18492" xr:uid="{00000000-0005-0000-0000-00003C480000}"/>
    <cellStyle name="Normal 2 2 2 3 3 10" xfId="18493" xr:uid="{00000000-0005-0000-0000-00003D480000}"/>
    <cellStyle name="Normal 2 2 2 3 3 11" xfId="18494" xr:uid="{00000000-0005-0000-0000-00003E480000}"/>
    <cellStyle name="Normal 2 2 2 3 3 12" xfId="18495" xr:uid="{00000000-0005-0000-0000-00003F480000}"/>
    <cellStyle name="Normal 2 2 2 3 3 13" xfId="18496" xr:uid="{00000000-0005-0000-0000-000040480000}"/>
    <cellStyle name="Normal 2 2 2 3 3 14" xfId="18497" xr:uid="{00000000-0005-0000-0000-000041480000}"/>
    <cellStyle name="Normal 2 2 2 3 3 15" xfId="18498" xr:uid="{00000000-0005-0000-0000-000042480000}"/>
    <cellStyle name="Normal 2 2 2 3 3 16" xfId="18499" xr:uid="{00000000-0005-0000-0000-000043480000}"/>
    <cellStyle name="Normal 2 2 2 3 3 2" xfId="18500" xr:uid="{00000000-0005-0000-0000-000044480000}"/>
    <cellStyle name="Normal 2 2 2 3 3 2 10" xfId="18501" xr:uid="{00000000-0005-0000-0000-000045480000}"/>
    <cellStyle name="Normal 2 2 2 3 3 2 11" xfId="18502" xr:uid="{00000000-0005-0000-0000-000046480000}"/>
    <cellStyle name="Normal 2 2 2 3 3 2 12" xfId="18503" xr:uid="{00000000-0005-0000-0000-000047480000}"/>
    <cellStyle name="Normal 2 2 2 3 3 2 2" xfId="18504" xr:uid="{00000000-0005-0000-0000-000048480000}"/>
    <cellStyle name="Normal 2 2 2 3 3 2 3" xfId="18505" xr:uid="{00000000-0005-0000-0000-000049480000}"/>
    <cellStyle name="Normal 2 2 2 3 3 2 4" xfId="18506" xr:uid="{00000000-0005-0000-0000-00004A480000}"/>
    <cellStyle name="Normal 2 2 2 3 3 2 5" xfId="18507" xr:uid="{00000000-0005-0000-0000-00004B480000}"/>
    <cellStyle name="Normal 2 2 2 3 3 2 6" xfId="18508" xr:uid="{00000000-0005-0000-0000-00004C480000}"/>
    <cellStyle name="Normal 2 2 2 3 3 2 7" xfId="18509" xr:uid="{00000000-0005-0000-0000-00004D480000}"/>
    <cellStyle name="Normal 2 2 2 3 3 2 8" xfId="18510" xr:uid="{00000000-0005-0000-0000-00004E480000}"/>
    <cellStyle name="Normal 2 2 2 3 3 2 9" xfId="18511" xr:uid="{00000000-0005-0000-0000-00004F480000}"/>
    <cellStyle name="Normal 2 2 2 3 3 3" xfId="18512" xr:uid="{00000000-0005-0000-0000-000050480000}"/>
    <cellStyle name="Normal 2 2 2 3 3 3 10" xfId="18513" xr:uid="{00000000-0005-0000-0000-000051480000}"/>
    <cellStyle name="Normal 2 2 2 3 3 3 2" xfId="18514" xr:uid="{00000000-0005-0000-0000-000052480000}"/>
    <cellStyle name="Normal 2 2 2 3 3 3 3" xfId="18515" xr:uid="{00000000-0005-0000-0000-000053480000}"/>
    <cellStyle name="Normal 2 2 2 3 3 3 4" xfId="18516" xr:uid="{00000000-0005-0000-0000-000054480000}"/>
    <cellStyle name="Normal 2 2 2 3 3 3 5" xfId="18517" xr:uid="{00000000-0005-0000-0000-000055480000}"/>
    <cellStyle name="Normal 2 2 2 3 3 3 6" xfId="18518" xr:uid="{00000000-0005-0000-0000-000056480000}"/>
    <cellStyle name="Normal 2 2 2 3 3 3 7" xfId="18519" xr:uid="{00000000-0005-0000-0000-000057480000}"/>
    <cellStyle name="Normal 2 2 2 3 3 3 8" xfId="18520" xr:uid="{00000000-0005-0000-0000-000058480000}"/>
    <cellStyle name="Normal 2 2 2 3 3 3 9" xfId="18521" xr:uid="{00000000-0005-0000-0000-000059480000}"/>
    <cellStyle name="Normal 2 2 2 3 3 4" xfId="18522" xr:uid="{00000000-0005-0000-0000-00005A480000}"/>
    <cellStyle name="Normal 2 2 2 3 3 4 10" xfId="18523" xr:uid="{00000000-0005-0000-0000-00005B480000}"/>
    <cellStyle name="Normal 2 2 2 3 3 4 2" xfId="18524" xr:uid="{00000000-0005-0000-0000-00005C480000}"/>
    <cellStyle name="Normal 2 2 2 3 3 4 3" xfId="18525" xr:uid="{00000000-0005-0000-0000-00005D480000}"/>
    <cellStyle name="Normal 2 2 2 3 3 4 4" xfId="18526" xr:uid="{00000000-0005-0000-0000-00005E480000}"/>
    <cellStyle name="Normal 2 2 2 3 3 4 5" xfId="18527" xr:uid="{00000000-0005-0000-0000-00005F480000}"/>
    <cellStyle name="Normal 2 2 2 3 3 4 6" xfId="18528" xr:uid="{00000000-0005-0000-0000-000060480000}"/>
    <cellStyle name="Normal 2 2 2 3 3 4 7" xfId="18529" xr:uid="{00000000-0005-0000-0000-000061480000}"/>
    <cellStyle name="Normal 2 2 2 3 3 4 8" xfId="18530" xr:uid="{00000000-0005-0000-0000-000062480000}"/>
    <cellStyle name="Normal 2 2 2 3 3 4 9" xfId="18531" xr:uid="{00000000-0005-0000-0000-000063480000}"/>
    <cellStyle name="Normal 2 2 2 3 3 5" xfId="18532" xr:uid="{00000000-0005-0000-0000-000064480000}"/>
    <cellStyle name="Normal 2 2 2 3 3 5 10" xfId="18533" xr:uid="{00000000-0005-0000-0000-000065480000}"/>
    <cellStyle name="Normal 2 2 2 3 3 5 2" xfId="18534" xr:uid="{00000000-0005-0000-0000-000066480000}"/>
    <cellStyle name="Normal 2 2 2 3 3 5 3" xfId="18535" xr:uid="{00000000-0005-0000-0000-000067480000}"/>
    <cellStyle name="Normal 2 2 2 3 3 5 4" xfId="18536" xr:uid="{00000000-0005-0000-0000-000068480000}"/>
    <cellStyle name="Normal 2 2 2 3 3 5 5" xfId="18537" xr:uid="{00000000-0005-0000-0000-000069480000}"/>
    <cellStyle name="Normal 2 2 2 3 3 5 6" xfId="18538" xr:uid="{00000000-0005-0000-0000-00006A480000}"/>
    <cellStyle name="Normal 2 2 2 3 3 5 7" xfId="18539" xr:uid="{00000000-0005-0000-0000-00006B480000}"/>
    <cellStyle name="Normal 2 2 2 3 3 5 8" xfId="18540" xr:uid="{00000000-0005-0000-0000-00006C480000}"/>
    <cellStyle name="Normal 2 2 2 3 3 5 9" xfId="18541" xr:uid="{00000000-0005-0000-0000-00006D480000}"/>
    <cellStyle name="Normal 2 2 2 3 3 6" xfId="18542" xr:uid="{00000000-0005-0000-0000-00006E480000}"/>
    <cellStyle name="Normal 2 2 2 3 3 7" xfId="18543" xr:uid="{00000000-0005-0000-0000-00006F480000}"/>
    <cellStyle name="Normal 2 2 2 3 3 8" xfId="18544" xr:uid="{00000000-0005-0000-0000-000070480000}"/>
    <cellStyle name="Normal 2 2 2 3 3 9" xfId="18545" xr:uid="{00000000-0005-0000-0000-000071480000}"/>
    <cellStyle name="Normal 2 2 2 3 30" xfId="18546" xr:uid="{00000000-0005-0000-0000-000072480000}"/>
    <cellStyle name="Normal 2 2 2 3 30 10" xfId="18547" xr:uid="{00000000-0005-0000-0000-000073480000}"/>
    <cellStyle name="Normal 2 2 2 3 30 11" xfId="18548" xr:uid="{00000000-0005-0000-0000-000074480000}"/>
    <cellStyle name="Normal 2 2 2 3 30 12" xfId="18549" xr:uid="{00000000-0005-0000-0000-000075480000}"/>
    <cellStyle name="Normal 2 2 2 3 30 13" xfId="18550" xr:uid="{00000000-0005-0000-0000-000076480000}"/>
    <cellStyle name="Normal 2 2 2 3 30 14" xfId="18551" xr:uid="{00000000-0005-0000-0000-000077480000}"/>
    <cellStyle name="Normal 2 2 2 3 30 2" xfId="18552" xr:uid="{00000000-0005-0000-0000-000078480000}"/>
    <cellStyle name="Normal 2 2 2 3 30 2 10" xfId="18553" xr:uid="{00000000-0005-0000-0000-000079480000}"/>
    <cellStyle name="Normal 2 2 2 3 30 2 2" xfId="18554" xr:uid="{00000000-0005-0000-0000-00007A480000}"/>
    <cellStyle name="Normal 2 2 2 3 30 2 3" xfId="18555" xr:uid="{00000000-0005-0000-0000-00007B480000}"/>
    <cellStyle name="Normal 2 2 2 3 30 2 4" xfId="18556" xr:uid="{00000000-0005-0000-0000-00007C480000}"/>
    <cellStyle name="Normal 2 2 2 3 30 2 5" xfId="18557" xr:uid="{00000000-0005-0000-0000-00007D480000}"/>
    <cellStyle name="Normal 2 2 2 3 30 2 6" xfId="18558" xr:uid="{00000000-0005-0000-0000-00007E480000}"/>
    <cellStyle name="Normal 2 2 2 3 30 2 7" xfId="18559" xr:uid="{00000000-0005-0000-0000-00007F480000}"/>
    <cellStyle name="Normal 2 2 2 3 30 2 8" xfId="18560" xr:uid="{00000000-0005-0000-0000-000080480000}"/>
    <cellStyle name="Normal 2 2 2 3 30 2 9" xfId="18561" xr:uid="{00000000-0005-0000-0000-000081480000}"/>
    <cellStyle name="Normal 2 2 2 3 30 3" xfId="18562" xr:uid="{00000000-0005-0000-0000-000082480000}"/>
    <cellStyle name="Normal 2 2 2 3 30 3 10" xfId="18563" xr:uid="{00000000-0005-0000-0000-000083480000}"/>
    <cellStyle name="Normal 2 2 2 3 30 3 2" xfId="18564" xr:uid="{00000000-0005-0000-0000-000084480000}"/>
    <cellStyle name="Normal 2 2 2 3 30 3 3" xfId="18565" xr:uid="{00000000-0005-0000-0000-000085480000}"/>
    <cellStyle name="Normal 2 2 2 3 30 3 4" xfId="18566" xr:uid="{00000000-0005-0000-0000-000086480000}"/>
    <cellStyle name="Normal 2 2 2 3 30 3 5" xfId="18567" xr:uid="{00000000-0005-0000-0000-000087480000}"/>
    <cellStyle name="Normal 2 2 2 3 30 3 6" xfId="18568" xr:uid="{00000000-0005-0000-0000-000088480000}"/>
    <cellStyle name="Normal 2 2 2 3 30 3 7" xfId="18569" xr:uid="{00000000-0005-0000-0000-000089480000}"/>
    <cellStyle name="Normal 2 2 2 3 30 3 8" xfId="18570" xr:uid="{00000000-0005-0000-0000-00008A480000}"/>
    <cellStyle name="Normal 2 2 2 3 30 3 9" xfId="18571" xr:uid="{00000000-0005-0000-0000-00008B480000}"/>
    <cellStyle name="Normal 2 2 2 3 30 4" xfId="18572" xr:uid="{00000000-0005-0000-0000-00008C480000}"/>
    <cellStyle name="Normal 2 2 2 3 30 4 10" xfId="18573" xr:uid="{00000000-0005-0000-0000-00008D480000}"/>
    <cellStyle name="Normal 2 2 2 3 30 4 2" xfId="18574" xr:uid="{00000000-0005-0000-0000-00008E480000}"/>
    <cellStyle name="Normal 2 2 2 3 30 4 3" xfId="18575" xr:uid="{00000000-0005-0000-0000-00008F480000}"/>
    <cellStyle name="Normal 2 2 2 3 30 4 4" xfId="18576" xr:uid="{00000000-0005-0000-0000-000090480000}"/>
    <cellStyle name="Normal 2 2 2 3 30 4 5" xfId="18577" xr:uid="{00000000-0005-0000-0000-000091480000}"/>
    <cellStyle name="Normal 2 2 2 3 30 4 6" xfId="18578" xr:uid="{00000000-0005-0000-0000-000092480000}"/>
    <cellStyle name="Normal 2 2 2 3 30 4 7" xfId="18579" xr:uid="{00000000-0005-0000-0000-000093480000}"/>
    <cellStyle name="Normal 2 2 2 3 30 4 8" xfId="18580" xr:uid="{00000000-0005-0000-0000-000094480000}"/>
    <cellStyle name="Normal 2 2 2 3 30 4 9" xfId="18581" xr:uid="{00000000-0005-0000-0000-000095480000}"/>
    <cellStyle name="Normal 2 2 2 3 30 5" xfId="18582" xr:uid="{00000000-0005-0000-0000-000096480000}"/>
    <cellStyle name="Normal 2 2 2 3 30 5 10" xfId="18583" xr:uid="{00000000-0005-0000-0000-000097480000}"/>
    <cellStyle name="Normal 2 2 2 3 30 5 2" xfId="18584" xr:uid="{00000000-0005-0000-0000-000098480000}"/>
    <cellStyle name="Normal 2 2 2 3 30 5 3" xfId="18585" xr:uid="{00000000-0005-0000-0000-000099480000}"/>
    <cellStyle name="Normal 2 2 2 3 30 5 4" xfId="18586" xr:uid="{00000000-0005-0000-0000-00009A480000}"/>
    <cellStyle name="Normal 2 2 2 3 30 5 5" xfId="18587" xr:uid="{00000000-0005-0000-0000-00009B480000}"/>
    <cellStyle name="Normal 2 2 2 3 30 5 6" xfId="18588" xr:uid="{00000000-0005-0000-0000-00009C480000}"/>
    <cellStyle name="Normal 2 2 2 3 30 5 7" xfId="18589" xr:uid="{00000000-0005-0000-0000-00009D480000}"/>
    <cellStyle name="Normal 2 2 2 3 30 5 8" xfId="18590" xr:uid="{00000000-0005-0000-0000-00009E480000}"/>
    <cellStyle name="Normal 2 2 2 3 30 5 9" xfId="18591" xr:uid="{00000000-0005-0000-0000-00009F480000}"/>
    <cellStyle name="Normal 2 2 2 3 30 6" xfId="18592" xr:uid="{00000000-0005-0000-0000-0000A0480000}"/>
    <cellStyle name="Normal 2 2 2 3 30 7" xfId="18593" xr:uid="{00000000-0005-0000-0000-0000A1480000}"/>
    <cellStyle name="Normal 2 2 2 3 30 8" xfId="18594" xr:uid="{00000000-0005-0000-0000-0000A2480000}"/>
    <cellStyle name="Normal 2 2 2 3 30 9" xfId="18595" xr:uid="{00000000-0005-0000-0000-0000A3480000}"/>
    <cellStyle name="Normal 2 2 2 3 31" xfId="18596" xr:uid="{00000000-0005-0000-0000-0000A4480000}"/>
    <cellStyle name="Normal 2 2 2 3 31 10" xfId="18597" xr:uid="{00000000-0005-0000-0000-0000A5480000}"/>
    <cellStyle name="Normal 2 2 2 3 31 11" xfId="18598" xr:uid="{00000000-0005-0000-0000-0000A6480000}"/>
    <cellStyle name="Normal 2 2 2 3 31 12" xfId="18599" xr:uid="{00000000-0005-0000-0000-0000A7480000}"/>
    <cellStyle name="Normal 2 2 2 3 31 13" xfId="18600" xr:uid="{00000000-0005-0000-0000-0000A8480000}"/>
    <cellStyle name="Normal 2 2 2 3 31 14" xfId="18601" xr:uid="{00000000-0005-0000-0000-0000A9480000}"/>
    <cellStyle name="Normal 2 2 2 3 31 2" xfId="18602" xr:uid="{00000000-0005-0000-0000-0000AA480000}"/>
    <cellStyle name="Normal 2 2 2 3 31 2 10" xfId="18603" xr:uid="{00000000-0005-0000-0000-0000AB480000}"/>
    <cellStyle name="Normal 2 2 2 3 31 2 2" xfId="18604" xr:uid="{00000000-0005-0000-0000-0000AC480000}"/>
    <cellStyle name="Normal 2 2 2 3 31 2 3" xfId="18605" xr:uid="{00000000-0005-0000-0000-0000AD480000}"/>
    <cellStyle name="Normal 2 2 2 3 31 2 4" xfId="18606" xr:uid="{00000000-0005-0000-0000-0000AE480000}"/>
    <cellStyle name="Normal 2 2 2 3 31 2 5" xfId="18607" xr:uid="{00000000-0005-0000-0000-0000AF480000}"/>
    <cellStyle name="Normal 2 2 2 3 31 2 6" xfId="18608" xr:uid="{00000000-0005-0000-0000-0000B0480000}"/>
    <cellStyle name="Normal 2 2 2 3 31 2 7" xfId="18609" xr:uid="{00000000-0005-0000-0000-0000B1480000}"/>
    <cellStyle name="Normal 2 2 2 3 31 2 8" xfId="18610" xr:uid="{00000000-0005-0000-0000-0000B2480000}"/>
    <cellStyle name="Normal 2 2 2 3 31 2 9" xfId="18611" xr:uid="{00000000-0005-0000-0000-0000B3480000}"/>
    <cellStyle name="Normal 2 2 2 3 31 3" xfId="18612" xr:uid="{00000000-0005-0000-0000-0000B4480000}"/>
    <cellStyle name="Normal 2 2 2 3 31 3 10" xfId="18613" xr:uid="{00000000-0005-0000-0000-0000B5480000}"/>
    <cellStyle name="Normal 2 2 2 3 31 3 2" xfId="18614" xr:uid="{00000000-0005-0000-0000-0000B6480000}"/>
    <cellStyle name="Normal 2 2 2 3 31 3 3" xfId="18615" xr:uid="{00000000-0005-0000-0000-0000B7480000}"/>
    <cellStyle name="Normal 2 2 2 3 31 3 4" xfId="18616" xr:uid="{00000000-0005-0000-0000-0000B8480000}"/>
    <cellStyle name="Normal 2 2 2 3 31 3 5" xfId="18617" xr:uid="{00000000-0005-0000-0000-0000B9480000}"/>
    <cellStyle name="Normal 2 2 2 3 31 3 6" xfId="18618" xr:uid="{00000000-0005-0000-0000-0000BA480000}"/>
    <cellStyle name="Normal 2 2 2 3 31 3 7" xfId="18619" xr:uid="{00000000-0005-0000-0000-0000BB480000}"/>
    <cellStyle name="Normal 2 2 2 3 31 3 8" xfId="18620" xr:uid="{00000000-0005-0000-0000-0000BC480000}"/>
    <cellStyle name="Normal 2 2 2 3 31 3 9" xfId="18621" xr:uid="{00000000-0005-0000-0000-0000BD480000}"/>
    <cellStyle name="Normal 2 2 2 3 31 4" xfId="18622" xr:uid="{00000000-0005-0000-0000-0000BE480000}"/>
    <cellStyle name="Normal 2 2 2 3 31 4 10" xfId="18623" xr:uid="{00000000-0005-0000-0000-0000BF480000}"/>
    <cellStyle name="Normal 2 2 2 3 31 4 2" xfId="18624" xr:uid="{00000000-0005-0000-0000-0000C0480000}"/>
    <cellStyle name="Normal 2 2 2 3 31 4 3" xfId="18625" xr:uid="{00000000-0005-0000-0000-0000C1480000}"/>
    <cellStyle name="Normal 2 2 2 3 31 4 4" xfId="18626" xr:uid="{00000000-0005-0000-0000-0000C2480000}"/>
    <cellStyle name="Normal 2 2 2 3 31 4 5" xfId="18627" xr:uid="{00000000-0005-0000-0000-0000C3480000}"/>
    <cellStyle name="Normal 2 2 2 3 31 4 6" xfId="18628" xr:uid="{00000000-0005-0000-0000-0000C4480000}"/>
    <cellStyle name="Normal 2 2 2 3 31 4 7" xfId="18629" xr:uid="{00000000-0005-0000-0000-0000C5480000}"/>
    <cellStyle name="Normal 2 2 2 3 31 4 8" xfId="18630" xr:uid="{00000000-0005-0000-0000-0000C6480000}"/>
    <cellStyle name="Normal 2 2 2 3 31 4 9" xfId="18631" xr:uid="{00000000-0005-0000-0000-0000C7480000}"/>
    <cellStyle name="Normal 2 2 2 3 31 5" xfId="18632" xr:uid="{00000000-0005-0000-0000-0000C8480000}"/>
    <cellStyle name="Normal 2 2 2 3 31 5 10" xfId="18633" xr:uid="{00000000-0005-0000-0000-0000C9480000}"/>
    <cellStyle name="Normal 2 2 2 3 31 5 2" xfId="18634" xr:uid="{00000000-0005-0000-0000-0000CA480000}"/>
    <cellStyle name="Normal 2 2 2 3 31 5 3" xfId="18635" xr:uid="{00000000-0005-0000-0000-0000CB480000}"/>
    <cellStyle name="Normal 2 2 2 3 31 5 4" xfId="18636" xr:uid="{00000000-0005-0000-0000-0000CC480000}"/>
    <cellStyle name="Normal 2 2 2 3 31 5 5" xfId="18637" xr:uid="{00000000-0005-0000-0000-0000CD480000}"/>
    <cellStyle name="Normal 2 2 2 3 31 5 6" xfId="18638" xr:uid="{00000000-0005-0000-0000-0000CE480000}"/>
    <cellStyle name="Normal 2 2 2 3 31 5 7" xfId="18639" xr:uid="{00000000-0005-0000-0000-0000CF480000}"/>
    <cellStyle name="Normal 2 2 2 3 31 5 8" xfId="18640" xr:uid="{00000000-0005-0000-0000-0000D0480000}"/>
    <cellStyle name="Normal 2 2 2 3 31 5 9" xfId="18641" xr:uid="{00000000-0005-0000-0000-0000D1480000}"/>
    <cellStyle name="Normal 2 2 2 3 31 6" xfId="18642" xr:uid="{00000000-0005-0000-0000-0000D2480000}"/>
    <cellStyle name="Normal 2 2 2 3 31 7" xfId="18643" xr:uid="{00000000-0005-0000-0000-0000D3480000}"/>
    <cellStyle name="Normal 2 2 2 3 31 8" xfId="18644" xr:uid="{00000000-0005-0000-0000-0000D4480000}"/>
    <cellStyle name="Normal 2 2 2 3 31 9" xfId="18645" xr:uid="{00000000-0005-0000-0000-0000D5480000}"/>
    <cellStyle name="Normal 2 2 2 3 32" xfId="18646" xr:uid="{00000000-0005-0000-0000-0000D6480000}"/>
    <cellStyle name="Normal 2 2 2 3 32 10" xfId="18647" xr:uid="{00000000-0005-0000-0000-0000D7480000}"/>
    <cellStyle name="Normal 2 2 2 3 32 11" xfId="18648" xr:uid="{00000000-0005-0000-0000-0000D8480000}"/>
    <cellStyle name="Normal 2 2 2 3 32 12" xfId="18649" xr:uid="{00000000-0005-0000-0000-0000D9480000}"/>
    <cellStyle name="Normal 2 2 2 3 32 13" xfId="18650" xr:uid="{00000000-0005-0000-0000-0000DA480000}"/>
    <cellStyle name="Normal 2 2 2 3 32 14" xfId="18651" xr:uid="{00000000-0005-0000-0000-0000DB480000}"/>
    <cellStyle name="Normal 2 2 2 3 32 2" xfId="18652" xr:uid="{00000000-0005-0000-0000-0000DC480000}"/>
    <cellStyle name="Normal 2 2 2 3 32 2 10" xfId="18653" xr:uid="{00000000-0005-0000-0000-0000DD480000}"/>
    <cellStyle name="Normal 2 2 2 3 32 2 2" xfId="18654" xr:uid="{00000000-0005-0000-0000-0000DE480000}"/>
    <cellStyle name="Normal 2 2 2 3 32 2 3" xfId="18655" xr:uid="{00000000-0005-0000-0000-0000DF480000}"/>
    <cellStyle name="Normal 2 2 2 3 32 2 4" xfId="18656" xr:uid="{00000000-0005-0000-0000-0000E0480000}"/>
    <cellStyle name="Normal 2 2 2 3 32 2 5" xfId="18657" xr:uid="{00000000-0005-0000-0000-0000E1480000}"/>
    <cellStyle name="Normal 2 2 2 3 32 2 6" xfId="18658" xr:uid="{00000000-0005-0000-0000-0000E2480000}"/>
    <cellStyle name="Normal 2 2 2 3 32 2 7" xfId="18659" xr:uid="{00000000-0005-0000-0000-0000E3480000}"/>
    <cellStyle name="Normal 2 2 2 3 32 2 8" xfId="18660" xr:uid="{00000000-0005-0000-0000-0000E4480000}"/>
    <cellStyle name="Normal 2 2 2 3 32 2 9" xfId="18661" xr:uid="{00000000-0005-0000-0000-0000E5480000}"/>
    <cellStyle name="Normal 2 2 2 3 32 3" xfId="18662" xr:uid="{00000000-0005-0000-0000-0000E6480000}"/>
    <cellStyle name="Normal 2 2 2 3 32 3 10" xfId="18663" xr:uid="{00000000-0005-0000-0000-0000E7480000}"/>
    <cellStyle name="Normal 2 2 2 3 32 3 2" xfId="18664" xr:uid="{00000000-0005-0000-0000-0000E8480000}"/>
    <cellStyle name="Normal 2 2 2 3 32 3 3" xfId="18665" xr:uid="{00000000-0005-0000-0000-0000E9480000}"/>
    <cellStyle name="Normal 2 2 2 3 32 3 4" xfId="18666" xr:uid="{00000000-0005-0000-0000-0000EA480000}"/>
    <cellStyle name="Normal 2 2 2 3 32 3 5" xfId="18667" xr:uid="{00000000-0005-0000-0000-0000EB480000}"/>
    <cellStyle name="Normal 2 2 2 3 32 3 6" xfId="18668" xr:uid="{00000000-0005-0000-0000-0000EC480000}"/>
    <cellStyle name="Normal 2 2 2 3 32 3 7" xfId="18669" xr:uid="{00000000-0005-0000-0000-0000ED480000}"/>
    <cellStyle name="Normal 2 2 2 3 32 3 8" xfId="18670" xr:uid="{00000000-0005-0000-0000-0000EE480000}"/>
    <cellStyle name="Normal 2 2 2 3 32 3 9" xfId="18671" xr:uid="{00000000-0005-0000-0000-0000EF480000}"/>
    <cellStyle name="Normal 2 2 2 3 32 4" xfId="18672" xr:uid="{00000000-0005-0000-0000-0000F0480000}"/>
    <cellStyle name="Normal 2 2 2 3 32 4 10" xfId="18673" xr:uid="{00000000-0005-0000-0000-0000F1480000}"/>
    <cellStyle name="Normal 2 2 2 3 32 4 2" xfId="18674" xr:uid="{00000000-0005-0000-0000-0000F2480000}"/>
    <cellStyle name="Normal 2 2 2 3 32 4 3" xfId="18675" xr:uid="{00000000-0005-0000-0000-0000F3480000}"/>
    <cellStyle name="Normal 2 2 2 3 32 4 4" xfId="18676" xr:uid="{00000000-0005-0000-0000-0000F4480000}"/>
    <cellStyle name="Normal 2 2 2 3 32 4 5" xfId="18677" xr:uid="{00000000-0005-0000-0000-0000F5480000}"/>
    <cellStyle name="Normal 2 2 2 3 32 4 6" xfId="18678" xr:uid="{00000000-0005-0000-0000-0000F6480000}"/>
    <cellStyle name="Normal 2 2 2 3 32 4 7" xfId="18679" xr:uid="{00000000-0005-0000-0000-0000F7480000}"/>
    <cellStyle name="Normal 2 2 2 3 32 4 8" xfId="18680" xr:uid="{00000000-0005-0000-0000-0000F8480000}"/>
    <cellStyle name="Normal 2 2 2 3 32 4 9" xfId="18681" xr:uid="{00000000-0005-0000-0000-0000F9480000}"/>
    <cellStyle name="Normal 2 2 2 3 32 5" xfId="18682" xr:uid="{00000000-0005-0000-0000-0000FA480000}"/>
    <cellStyle name="Normal 2 2 2 3 32 5 10" xfId="18683" xr:uid="{00000000-0005-0000-0000-0000FB480000}"/>
    <cellStyle name="Normal 2 2 2 3 32 5 2" xfId="18684" xr:uid="{00000000-0005-0000-0000-0000FC480000}"/>
    <cellStyle name="Normal 2 2 2 3 32 5 3" xfId="18685" xr:uid="{00000000-0005-0000-0000-0000FD480000}"/>
    <cellStyle name="Normal 2 2 2 3 32 5 4" xfId="18686" xr:uid="{00000000-0005-0000-0000-0000FE480000}"/>
    <cellStyle name="Normal 2 2 2 3 32 5 5" xfId="18687" xr:uid="{00000000-0005-0000-0000-0000FF480000}"/>
    <cellStyle name="Normal 2 2 2 3 32 5 6" xfId="18688" xr:uid="{00000000-0005-0000-0000-000000490000}"/>
    <cellStyle name="Normal 2 2 2 3 32 5 7" xfId="18689" xr:uid="{00000000-0005-0000-0000-000001490000}"/>
    <cellStyle name="Normal 2 2 2 3 32 5 8" xfId="18690" xr:uid="{00000000-0005-0000-0000-000002490000}"/>
    <cellStyle name="Normal 2 2 2 3 32 5 9" xfId="18691" xr:uid="{00000000-0005-0000-0000-000003490000}"/>
    <cellStyle name="Normal 2 2 2 3 32 6" xfId="18692" xr:uid="{00000000-0005-0000-0000-000004490000}"/>
    <cellStyle name="Normal 2 2 2 3 32 7" xfId="18693" xr:uid="{00000000-0005-0000-0000-000005490000}"/>
    <cellStyle name="Normal 2 2 2 3 32 8" xfId="18694" xr:uid="{00000000-0005-0000-0000-000006490000}"/>
    <cellStyle name="Normal 2 2 2 3 32 9" xfId="18695" xr:uid="{00000000-0005-0000-0000-000007490000}"/>
    <cellStyle name="Normal 2 2 2 3 33" xfId="18696" xr:uid="{00000000-0005-0000-0000-000008490000}"/>
    <cellStyle name="Normal 2 2 2 3 33 10" xfId="18697" xr:uid="{00000000-0005-0000-0000-000009490000}"/>
    <cellStyle name="Normal 2 2 2 3 33 11" xfId="18698" xr:uid="{00000000-0005-0000-0000-00000A490000}"/>
    <cellStyle name="Normal 2 2 2 3 33 12" xfId="18699" xr:uid="{00000000-0005-0000-0000-00000B490000}"/>
    <cellStyle name="Normal 2 2 2 3 33 13" xfId="18700" xr:uid="{00000000-0005-0000-0000-00000C490000}"/>
    <cellStyle name="Normal 2 2 2 3 33 14" xfId="18701" xr:uid="{00000000-0005-0000-0000-00000D490000}"/>
    <cellStyle name="Normal 2 2 2 3 33 2" xfId="18702" xr:uid="{00000000-0005-0000-0000-00000E490000}"/>
    <cellStyle name="Normal 2 2 2 3 33 2 10" xfId="18703" xr:uid="{00000000-0005-0000-0000-00000F490000}"/>
    <cellStyle name="Normal 2 2 2 3 33 2 2" xfId="18704" xr:uid="{00000000-0005-0000-0000-000010490000}"/>
    <cellStyle name="Normal 2 2 2 3 33 2 3" xfId="18705" xr:uid="{00000000-0005-0000-0000-000011490000}"/>
    <cellStyle name="Normal 2 2 2 3 33 2 4" xfId="18706" xr:uid="{00000000-0005-0000-0000-000012490000}"/>
    <cellStyle name="Normal 2 2 2 3 33 2 5" xfId="18707" xr:uid="{00000000-0005-0000-0000-000013490000}"/>
    <cellStyle name="Normal 2 2 2 3 33 2 6" xfId="18708" xr:uid="{00000000-0005-0000-0000-000014490000}"/>
    <cellStyle name="Normal 2 2 2 3 33 2 7" xfId="18709" xr:uid="{00000000-0005-0000-0000-000015490000}"/>
    <cellStyle name="Normal 2 2 2 3 33 2 8" xfId="18710" xr:uid="{00000000-0005-0000-0000-000016490000}"/>
    <cellStyle name="Normal 2 2 2 3 33 2 9" xfId="18711" xr:uid="{00000000-0005-0000-0000-000017490000}"/>
    <cellStyle name="Normal 2 2 2 3 33 3" xfId="18712" xr:uid="{00000000-0005-0000-0000-000018490000}"/>
    <cellStyle name="Normal 2 2 2 3 33 3 10" xfId="18713" xr:uid="{00000000-0005-0000-0000-000019490000}"/>
    <cellStyle name="Normal 2 2 2 3 33 3 2" xfId="18714" xr:uid="{00000000-0005-0000-0000-00001A490000}"/>
    <cellStyle name="Normal 2 2 2 3 33 3 3" xfId="18715" xr:uid="{00000000-0005-0000-0000-00001B490000}"/>
    <cellStyle name="Normal 2 2 2 3 33 3 4" xfId="18716" xr:uid="{00000000-0005-0000-0000-00001C490000}"/>
    <cellStyle name="Normal 2 2 2 3 33 3 5" xfId="18717" xr:uid="{00000000-0005-0000-0000-00001D490000}"/>
    <cellStyle name="Normal 2 2 2 3 33 3 6" xfId="18718" xr:uid="{00000000-0005-0000-0000-00001E490000}"/>
    <cellStyle name="Normal 2 2 2 3 33 3 7" xfId="18719" xr:uid="{00000000-0005-0000-0000-00001F490000}"/>
    <cellStyle name="Normal 2 2 2 3 33 3 8" xfId="18720" xr:uid="{00000000-0005-0000-0000-000020490000}"/>
    <cellStyle name="Normal 2 2 2 3 33 3 9" xfId="18721" xr:uid="{00000000-0005-0000-0000-000021490000}"/>
    <cellStyle name="Normal 2 2 2 3 33 4" xfId="18722" xr:uid="{00000000-0005-0000-0000-000022490000}"/>
    <cellStyle name="Normal 2 2 2 3 33 4 10" xfId="18723" xr:uid="{00000000-0005-0000-0000-000023490000}"/>
    <cellStyle name="Normal 2 2 2 3 33 4 2" xfId="18724" xr:uid="{00000000-0005-0000-0000-000024490000}"/>
    <cellStyle name="Normal 2 2 2 3 33 4 3" xfId="18725" xr:uid="{00000000-0005-0000-0000-000025490000}"/>
    <cellStyle name="Normal 2 2 2 3 33 4 4" xfId="18726" xr:uid="{00000000-0005-0000-0000-000026490000}"/>
    <cellStyle name="Normal 2 2 2 3 33 4 5" xfId="18727" xr:uid="{00000000-0005-0000-0000-000027490000}"/>
    <cellStyle name="Normal 2 2 2 3 33 4 6" xfId="18728" xr:uid="{00000000-0005-0000-0000-000028490000}"/>
    <cellStyle name="Normal 2 2 2 3 33 4 7" xfId="18729" xr:uid="{00000000-0005-0000-0000-000029490000}"/>
    <cellStyle name="Normal 2 2 2 3 33 4 8" xfId="18730" xr:uid="{00000000-0005-0000-0000-00002A490000}"/>
    <cellStyle name="Normal 2 2 2 3 33 4 9" xfId="18731" xr:uid="{00000000-0005-0000-0000-00002B490000}"/>
    <cellStyle name="Normal 2 2 2 3 33 5" xfId="18732" xr:uid="{00000000-0005-0000-0000-00002C490000}"/>
    <cellStyle name="Normal 2 2 2 3 33 5 10" xfId="18733" xr:uid="{00000000-0005-0000-0000-00002D490000}"/>
    <cellStyle name="Normal 2 2 2 3 33 5 2" xfId="18734" xr:uid="{00000000-0005-0000-0000-00002E490000}"/>
    <cellStyle name="Normal 2 2 2 3 33 5 3" xfId="18735" xr:uid="{00000000-0005-0000-0000-00002F490000}"/>
    <cellStyle name="Normal 2 2 2 3 33 5 4" xfId="18736" xr:uid="{00000000-0005-0000-0000-000030490000}"/>
    <cellStyle name="Normal 2 2 2 3 33 5 5" xfId="18737" xr:uid="{00000000-0005-0000-0000-000031490000}"/>
    <cellStyle name="Normal 2 2 2 3 33 5 6" xfId="18738" xr:uid="{00000000-0005-0000-0000-000032490000}"/>
    <cellStyle name="Normal 2 2 2 3 33 5 7" xfId="18739" xr:uid="{00000000-0005-0000-0000-000033490000}"/>
    <cellStyle name="Normal 2 2 2 3 33 5 8" xfId="18740" xr:uid="{00000000-0005-0000-0000-000034490000}"/>
    <cellStyle name="Normal 2 2 2 3 33 5 9" xfId="18741" xr:uid="{00000000-0005-0000-0000-000035490000}"/>
    <cellStyle name="Normal 2 2 2 3 33 6" xfId="18742" xr:uid="{00000000-0005-0000-0000-000036490000}"/>
    <cellStyle name="Normal 2 2 2 3 33 7" xfId="18743" xr:uid="{00000000-0005-0000-0000-000037490000}"/>
    <cellStyle name="Normal 2 2 2 3 33 8" xfId="18744" xr:uid="{00000000-0005-0000-0000-000038490000}"/>
    <cellStyle name="Normal 2 2 2 3 33 9" xfId="18745" xr:uid="{00000000-0005-0000-0000-000039490000}"/>
    <cellStyle name="Normal 2 2 2 3 34" xfId="18746" xr:uid="{00000000-0005-0000-0000-00003A490000}"/>
    <cellStyle name="Normal 2 2 2 3 34 10" xfId="18747" xr:uid="{00000000-0005-0000-0000-00003B490000}"/>
    <cellStyle name="Normal 2 2 2 3 34 2" xfId="18748" xr:uid="{00000000-0005-0000-0000-00003C490000}"/>
    <cellStyle name="Normal 2 2 2 3 34 3" xfId="18749" xr:uid="{00000000-0005-0000-0000-00003D490000}"/>
    <cellStyle name="Normal 2 2 2 3 34 4" xfId="18750" xr:uid="{00000000-0005-0000-0000-00003E490000}"/>
    <cellStyle name="Normal 2 2 2 3 34 5" xfId="18751" xr:uid="{00000000-0005-0000-0000-00003F490000}"/>
    <cellStyle name="Normal 2 2 2 3 34 6" xfId="18752" xr:uid="{00000000-0005-0000-0000-000040490000}"/>
    <cellStyle name="Normal 2 2 2 3 34 7" xfId="18753" xr:uid="{00000000-0005-0000-0000-000041490000}"/>
    <cellStyle name="Normal 2 2 2 3 34 8" xfId="18754" xr:uid="{00000000-0005-0000-0000-000042490000}"/>
    <cellStyle name="Normal 2 2 2 3 34 9" xfId="18755" xr:uid="{00000000-0005-0000-0000-000043490000}"/>
    <cellStyle name="Normal 2 2 2 3 35" xfId="18756" xr:uid="{00000000-0005-0000-0000-000044490000}"/>
    <cellStyle name="Normal 2 2 2 3 35 10" xfId="18757" xr:uid="{00000000-0005-0000-0000-000045490000}"/>
    <cellStyle name="Normal 2 2 2 3 35 2" xfId="18758" xr:uid="{00000000-0005-0000-0000-000046490000}"/>
    <cellStyle name="Normal 2 2 2 3 35 3" xfId="18759" xr:uid="{00000000-0005-0000-0000-000047490000}"/>
    <cellStyle name="Normal 2 2 2 3 35 4" xfId="18760" xr:uid="{00000000-0005-0000-0000-000048490000}"/>
    <cellStyle name="Normal 2 2 2 3 35 5" xfId="18761" xr:uid="{00000000-0005-0000-0000-000049490000}"/>
    <cellStyle name="Normal 2 2 2 3 35 6" xfId="18762" xr:uid="{00000000-0005-0000-0000-00004A490000}"/>
    <cellStyle name="Normal 2 2 2 3 35 7" xfId="18763" xr:uid="{00000000-0005-0000-0000-00004B490000}"/>
    <cellStyle name="Normal 2 2 2 3 35 8" xfId="18764" xr:uid="{00000000-0005-0000-0000-00004C490000}"/>
    <cellStyle name="Normal 2 2 2 3 35 9" xfId="18765" xr:uid="{00000000-0005-0000-0000-00004D490000}"/>
    <cellStyle name="Normal 2 2 2 3 36" xfId="18766" xr:uid="{00000000-0005-0000-0000-00004E490000}"/>
    <cellStyle name="Normal 2 2 2 3 36 10" xfId="18767" xr:uid="{00000000-0005-0000-0000-00004F490000}"/>
    <cellStyle name="Normal 2 2 2 3 36 2" xfId="18768" xr:uid="{00000000-0005-0000-0000-000050490000}"/>
    <cellStyle name="Normal 2 2 2 3 36 3" xfId="18769" xr:uid="{00000000-0005-0000-0000-000051490000}"/>
    <cellStyle name="Normal 2 2 2 3 36 4" xfId="18770" xr:uid="{00000000-0005-0000-0000-000052490000}"/>
    <cellStyle name="Normal 2 2 2 3 36 5" xfId="18771" xr:uid="{00000000-0005-0000-0000-000053490000}"/>
    <cellStyle name="Normal 2 2 2 3 36 6" xfId="18772" xr:uid="{00000000-0005-0000-0000-000054490000}"/>
    <cellStyle name="Normal 2 2 2 3 36 7" xfId="18773" xr:uid="{00000000-0005-0000-0000-000055490000}"/>
    <cellStyle name="Normal 2 2 2 3 36 8" xfId="18774" xr:uid="{00000000-0005-0000-0000-000056490000}"/>
    <cellStyle name="Normal 2 2 2 3 36 9" xfId="18775" xr:uid="{00000000-0005-0000-0000-000057490000}"/>
    <cellStyle name="Normal 2 2 2 3 37" xfId="18776" xr:uid="{00000000-0005-0000-0000-000058490000}"/>
    <cellStyle name="Normal 2 2 2 3 37 10" xfId="18777" xr:uid="{00000000-0005-0000-0000-000059490000}"/>
    <cellStyle name="Normal 2 2 2 3 37 2" xfId="18778" xr:uid="{00000000-0005-0000-0000-00005A490000}"/>
    <cellStyle name="Normal 2 2 2 3 37 3" xfId="18779" xr:uid="{00000000-0005-0000-0000-00005B490000}"/>
    <cellStyle name="Normal 2 2 2 3 37 4" xfId="18780" xr:uid="{00000000-0005-0000-0000-00005C490000}"/>
    <cellStyle name="Normal 2 2 2 3 37 5" xfId="18781" xr:uid="{00000000-0005-0000-0000-00005D490000}"/>
    <cellStyle name="Normal 2 2 2 3 37 6" xfId="18782" xr:uid="{00000000-0005-0000-0000-00005E490000}"/>
    <cellStyle name="Normal 2 2 2 3 37 7" xfId="18783" xr:uid="{00000000-0005-0000-0000-00005F490000}"/>
    <cellStyle name="Normal 2 2 2 3 37 8" xfId="18784" xr:uid="{00000000-0005-0000-0000-000060490000}"/>
    <cellStyle name="Normal 2 2 2 3 37 9" xfId="18785" xr:uid="{00000000-0005-0000-0000-000061490000}"/>
    <cellStyle name="Normal 2 2 2 3 38" xfId="18786" xr:uid="{00000000-0005-0000-0000-000062490000}"/>
    <cellStyle name="Normal 2 2 2 3 39" xfId="18787" xr:uid="{00000000-0005-0000-0000-000063490000}"/>
    <cellStyle name="Normal 2 2 2 3 4" xfId="18788" xr:uid="{00000000-0005-0000-0000-000064490000}"/>
    <cellStyle name="Normal 2 2 2 3 4 10" xfId="18789" xr:uid="{00000000-0005-0000-0000-000065490000}"/>
    <cellStyle name="Normal 2 2 2 3 4 11" xfId="18790" xr:uid="{00000000-0005-0000-0000-000066490000}"/>
    <cellStyle name="Normal 2 2 2 3 4 12" xfId="18791" xr:uid="{00000000-0005-0000-0000-000067490000}"/>
    <cellStyle name="Normal 2 2 2 3 4 13" xfId="18792" xr:uid="{00000000-0005-0000-0000-000068490000}"/>
    <cellStyle name="Normal 2 2 2 3 4 14" xfId="18793" xr:uid="{00000000-0005-0000-0000-000069490000}"/>
    <cellStyle name="Normal 2 2 2 3 4 15" xfId="18794" xr:uid="{00000000-0005-0000-0000-00006A490000}"/>
    <cellStyle name="Normal 2 2 2 3 4 16" xfId="18795" xr:uid="{00000000-0005-0000-0000-00006B490000}"/>
    <cellStyle name="Normal 2 2 2 3 4 2" xfId="18796" xr:uid="{00000000-0005-0000-0000-00006C490000}"/>
    <cellStyle name="Normal 2 2 2 3 4 2 10" xfId="18797" xr:uid="{00000000-0005-0000-0000-00006D490000}"/>
    <cellStyle name="Normal 2 2 2 3 4 2 2" xfId="18798" xr:uid="{00000000-0005-0000-0000-00006E490000}"/>
    <cellStyle name="Normal 2 2 2 3 4 2 3" xfId="18799" xr:uid="{00000000-0005-0000-0000-00006F490000}"/>
    <cellStyle name="Normal 2 2 2 3 4 2 4" xfId="18800" xr:uid="{00000000-0005-0000-0000-000070490000}"/>
    <cellStyle name="Normal 2 2 2 3 4 2 5" xfId="18801" xr:uid="{00000000-0005-0000-0000-000071490000}"/>
    <cellStyle name="Normal 2 2 2 3 4 2 6" xfId="18802" xr:uid="{00000000-0005-0000-0000-000072490000}"/>
    <cellStyle name="Normal 2 2 2 3 4 2 7" xfId="18803" xr:uid="{00000000-0005-0000-0000-000073490000}"/>
    <cellStyle name="Normal 2 2 2 3 4 2 8" xfId="18804" xr:uid="{00000000-0005-0000-0000-000074490000}"/>
    <cellStyle name="Normal 2 2 2 3 4 2 9" xfId="18805" xr:uid="{00000000-0005-0000-0000-000075490000}"/>
    <cellStyle name="Normal 2 2 2 3 4 3" xfId="18806" xr:uid="{00000000-0005-0000-0000-000076490000}"/>
    <cellStyle name="Normal 2 2 2 3 4 3 10" xfId="18807" xr:uid="{00000000-0005-0000-0000-000077490000}"/>
    <cellStyle name="Normal 2 2 2 3 4 3 2" xfId="18808" xr:uid="{00000000-0005-0000-0000-000078490000}"/>
    <cellStyle name="Normal 2 2 2 3 4 3 3" xfId="18809" xr:uid="{00000000-0005-0000-0000-000079490000}"/>
    <cellStyle name="Normal 2 2 2 3 4 3 4" xfId="18810" xr:uid="{00000000-0005-0000-0000-00007A490000}"/>
    <cellStyle name="Normal 2 2 2 3 4 3 5" xfId="18811" xr:uid="{00000000-0005-0000-0000-00007B490000}"/>
    <cellStyle name="Normal 2 2 2 3 4 3 6" xfId="18812" xr:uid="{00000000-0005-0000-0000-00007C490000}"/>
    <cellStyle name="Normal 2 2 2 3 4 3 7" xfId="18813" xr:uid="{00000000-0005-0000-0000-00007D490000}"/>
    <cellStyle name="Normal 2 2 2 3 4 3 8" xfId="18814" xr:uid="{00000000-0005-0000-0000-00007E490000}"/>
    <cellStyle name="Normal 2 2 2 3 4 3 9" xfId="18815" xr:uid="{00000000-0005-0000-0000-00007F490000}"/>
    <cellStyle name="Normal 2 2 2 3 4 4" xfId="18816" xr:uid="{00000000-0005-0000-0000-000080490000}"/>
    <cellStyle name="Normal 2 2 2 3 4 4 10" xfId="18817" xr:uid="{00000000-0005-0000-0000-000081490000}"/>
    <cellStyle name="Normal 2 2 2 3 4 4 2" xfId="18818" xr:uid="{00000000-0005-0000-0000-000082490000}"/>
    <cellStyle name="Normal 2 2 2 3 4 4 3" xfId="18819" xr:uid="{00000000-0005-0000-0000-000083490000}"/>
    <cellStyle name="Normal 2 2 2 3 4 4 4" xfId="18820" xr:uid="{00000000-0005-0000-0000-000084490000}"/>
    <cellStyle name="Normal 2 2 2 3 4 4 5" xfId="18821" xr:uid="{00000000-0005-0000-0000-000085490000}"/>
    <cellStyle name="Normal 2 2 2 3 4 4 6" xfId="18822" xr:uid="{00000000-0005-0000-0000-000086490000}"/>
    <cellStyle name="Normal 2 2 2 3 4 4 7" xfId="18823" xr:uid="{00000000-0005-0000-0000-000087490000}"/>
    <cellStyle name="Normal 2 2 2 3 4 4 8" xfId="18824" xr:uid="{00000000-0005-0000-0000-000088490000}"/>
    <cellStyle name="Normal 2 2 2 3 4 4 9" xfId="18825" xr:uid="{00000000-0005-0000-0000-000089490000}"/>
    <cellStyle name="Normal 2 2 2 3 4 5" xfId="18826" xr:uid="{00000000-0005-0000-0000-00008A490000}"/>
    <cellStyle name="Normal 2 2 2 3 4 5 10" xfId="18827" xr:uid="{00000000-0005-0000-0000-00008B490000}"/>
    <cellStyle name="Normal 2 2 2 3 4 5 2" xfId="18828" xr:uid="{00000000-0005-0000-0000-00008C490000}"/>
    <cellStyle name="Normal 2 2 2 3 4 5 3" xfId="18829" xr:uid="{00000000-0005-0000-0000-00008D490000}"/>
    <cellStyle name="Normal 2 2 2 3 4 5 4" xfId="18830" xr:uid="{00000000-0005-0000-0000-00008E490000}"/>
    <cellStyle name="Normal 2 2 2 3 4 5 5" xfId="18831" xr:uid="{00000000-0005-0000-0000-00008F490000}"/>
    <cellStyle name="Normal 2 2 2 3 4 5 6" xfId="18832" xr:uid="{00000000-0005-0000-0000-000090490000}"/>
    <cellStyle name="Normal 2 2 2 3 4 5 7" xfId="18833" xr:uid="{00000000-0005-0000-0000-000091490000}"/>
    <cellStyle name="Normal 2 2 2 3 4 5 8" xfId="18834" xr:uid="{00000000-0005-0000-0000-000092490000}"/>
    <cellStyle name="Normal 2 2 2 3 4 5 9" xfId="18835" xr:uid="{00000000-0005-0000-0000-000093490000}"/>
    <cellStyle name="Normal 2 2 2 3 4 6" xfId="18836" xr:uid="{00000000-0005-0000-0000-000094490000}"/>
    <cellStyle name="Normal 2 2 2 3 4 7" xfId="18837" xr:uid="{00000000-0005-0000-0000-000095490000}"/>
    <cellStyle name="Normal 2 2 2 3 4 8" xfId="18838" xr:uid="{00000000-0005-0000-0000-000096490000}"/>
    <cellStyle name="Normal 2 2 2 3 4 9" xfId="18839" xr:uid="{00000000-0005-0000-0000-000097490000}"/>
    <cellStyle name="Normal 2 2 2 3 40" xfId="18840" xr:uid="{00000000-0005-0000-0000-000098490000}"/>
    <cellStyle name="Normal 2 2 2 3 41" xfId="18841" xr:uid="{00000000-0005-0000-0000-000099490000}"/>
    <cellStyle name="Normal 2 2 2 3 42" xfId="18842" xr:uid="{00000000-0005-0000-0000-00009A490000}"/>
    <cellStyle name="Normal 2 2 2 3 43" xfId="18843" xr:uid="{00000000-0005-0000-0000-00009B490000}"/>
    <cellStyle name="Normal 2 2 2 3 44" xfId="18844" xr:uid="{00000000-0005-0000-0000-00009C490000}"/>
    <cellStyle name="Normal 2 2 2 3 45" xfId="18845" xr:uid="{00000000-0005-0000-0000-00009D490000}"/>
    <cellStyle name="Normal 2 2 2 3 46" xfId="18846" xr:uid="{00000000-0005-0000-0000-00009E490000}"/>
    <cellStyle name="Normal 2 2 2 3 47" xfId="18847" xr:uid="{00000000-0005-0000-0000-00009F490000}"/>
    <cellStyle name="Normal 2 2 2 3 48" xfId="18848" xr:uid="{00000000-0005-0000-0000-0000A0490000}"/>
    <cellStyle name="Normal 2 2 2 3 49" xfId="29" xr:uid="{00000000-0005-0000-0000-00001D000000}"/>
    <cellStyle name="Normal 2 2 2 3 5" xfId="18849" xr:uid="{00000000-0005-0000-0000-0000A1490000}"/>
    <cellStyle name="Normal 2 2 2 3 5 10" xfId="18850" xr:uid="{00000000-0005-0000-0000-0000A2490000}"/>
    <cellStyle name="Normal 2 2 2 3 5 11" xfId="18851" xr:uid="{00000000-0005-0000-0000-0000A3490000}"/>
    <cellStyle name="Normal 2 2 2 3 5 12" xfId="18852" xr:uid="{00000000-0005-0000-0000-0000A4490000}"/>
    <cellStyle name="Normal 2 2 2 3 5 13" xfId="18853" xr:uid="{00000000-0005-0000-0000-0000A5490000}"/>
    <cellStyle name="Normal 2 2 2 3 5 14" xfId="18854" xr:uid="{00000000-0005-0000-0000-0000A6490000}"/>
    <cellStyle name="Normal 2 2 2 3 5 15" xfId="18855" xr:uid="{00000000-0005-0000-0000-0000A7490000}"/>
    <cellStyle name="Normal 2 2 2 3 5 2" xfId="18856" xr:uid="{00000000-0005-0000-0000-0000A8490000}"/>
    <cellStyle name="Normal 2 2 2 3 5 2 10" xfId="18857" xr:uid="{00000000-0005-0000-0000-0000A9490000}"/>
    <cellStyle name="Normal 2 2 2 3 5 2 2" xfId="18858" xr:uid="{00000000-0005-0000-0000-0000AA490000}"/>
    <cellStyle name="Normal 2 2 2 3 5 2 3" xfId="18859" xr:uid="{00000000-0005-0000-0000-0000AB490000}"/>
    <cellStyle name="Normal 2 2 2 3 5 2 4" xfId="18860" xr:uid="{00000000-0005-0000-0000-0000AC490000}"/>
    <cellStyle name="Normal 2 2 2 3 5 2 5" xfId="18861" xr:uid="{00000000-0005-0000-0000-0000AD490000}"/>
    <cellStyle name="Normal 2 2 2 3 5 2 6" xfId="18862" xr:uid="{00000000-0005-0000-0000-0000AE490000}"/>
    <cellStyle name="Normal 2 2 2 3 5 2 7" xfId="18863" xr:uid="{00000000-0005-0000-0000-0000AF490000}"/>
    <cellStyle name="Normal 2 2 2 3 5 2 8" xfId="18864" xr:uid="{00000000-0005-0000-0000-0000B0490000}"/>
    <cellStyle name="Normal 2 2 2 3 5 2 9" xfId="18865" xr:uid="{00000000-0005-0000-0000-0000B1490000}"/>
    <cellStyle name="Normal 2 2 2 3 5 3" xfId="18866" xr:uid="{00000000-0005-0000-0000-0000B2490000}"/>
    <cellStyle name="Normal 2 2 2 3 5 3 10" xfId="18867" xr:uid="{00000000-0005-0000-0000-0000B3490000}"/>
    <cellStyle name="Normal 2 2 2 3 5 3 2" xfId="18868" xr:uid="{00000000-0005-0000-0000-0000B4490000}"/>
    <cellStyle name="Normal 2 2 2 3 5 3 3" xfId="18869" xr:uid="{00000000-0005-0000-0000-0000B5490000}"/>
    <cellStyle name="Normal 2 2 2 3 5 3 4" xfId="18870" xr:uid="{00000000-0005-0000-0000-0000B6490000}"/>
    <cellStyle name="Normal 2 2 2 3 5 3 5" xfId="18871" xr:uid="{00000000-0005-0000-0000-0000B7490000}"/>
    <cellStyle name="Normal 2 2 2 3 5 3 6" xfId="18872" xr:uid="{00000000-0005-0000-0000-0000B8490000}"/>
    <cellStyle name="Normal 2 2 2 3 5 3 7" xfId="18873" xr:uid="{00000000-0005-0000-0000-0000B9490000}"/>
    <cellStyle name="Normal 2 2 2 3 5 3 8" xfId="18874" xr:uid="{00000000-0005-0000-0000-0000BA490000}"/>
    <cellStyle name="Normal 2 2 2 3 5 3 9" xfId="18875" xr:uid="{00000000-0005-0000-0000-0000BB490000}"/>
    <cellStyle name="Normal 2 2 2 3 5 4" xfId="18876" xr:uid="{00000000-0005-0000-0000-0000BC490000}"/>
    <cellStyle name="Normal 2 2 2 3 5 4 10" xfId="18877" xr:uid="{00000000-0005-0000-0000-0000BD490000}"/>
    <cellStyle name="Normal 2 2 2 3 5 4 2" xfId="18878" xr:uid="{00000000-0005-0000-0000-0000BE490000}"/>
    <cellStyle name="Normal 2 2 2 3 5 4 3" xfId="18879" xr:uid="{00000000-0005-0000-0000-0000BF490000}"/>
    <cellStyle name="Normal 2 2 2 3 5 4 4" xfId="18880" xr:uid="{00000000-0005-0000-0000-0000C0490000}"/>
    <cellStyle name="Normal 2 2 2 3 5 4 5" xfId="18881" xr:uid="{00000000-0005-0000-0000-0000C1490000}"/>
    <cellStyle name="Normal 2 2 2 3 5 4 6" xfId="18882" xr:uid="{00000000-0005-0000-0000-0000C2490000}"/>
    <cellStyle name="Normal 2 2 2 3 5 4 7" xfId="18883" xr:uid="{00000000-0005-0000-0000-0000C3490000}"/>
    <cellStyle name="Normal 2 2 2 3 5 4 8" xfId="18884" xr:uid="{00000000-0005-0000-0000-0000C4490000}"/>
    <cellStyle name="Normal 2 2 2 3 5 4 9" xfId="18885" xr:uid="{00000000-0005-0000-0000-0000C5490000}"/>
    <cellStyle name="Normal 2 2 2 3 5 5" xfId="18886" xr:uid="{00000000-0005-0000-0000-0000C6490000}"/>
    <cellStyle name="Normal 2 2 2 3 5 5 10" xfId="18887" xr:uid="{00000000-0005-0000-0000-0000C7490000}"/>
    <cellStyle name="Normal 2 2 2 3 5 5 2" xfId="18888" xr:uid="{00000000-0005-0000-0000-0000C8490000}"/>
    <cellStyle name="Normal 2 2 2 3 5 5 3" xfId="18889" xr:uid="{00000000-0005-0000-0000-0000C9490000}"/>
    <cellStyle name="Normal 2 2 2 3 5 5 4" xfId="18890" xr:uid="{00000000-0005-0000-0000-0000CA490000}"/>
    <cellStyle name="Normal 2 2 2 3 5 5 5" xfId="18891" xr:uid="{00000000-0005-0000-0000-0000CB490000}"/>
    <cellStyle name="Normal 2 2 2 3 5 5 6" xfId="18892" xr:uid="{00000000-0005-0000-0000-0000CC490000}"/>
    <cellStyle name="Normal 2 2 2 3 5 5 7" xfId="18893" xr:uid="{00000000-0005-0000-0000-0000CD490000}"/>
    <cellStyle name="Normal 2 2 2 3 5 5 8" xfId="18894" xr:uid="{00000000-0005-0000-0000-0000CE490000}"/>
    <cellStyle name="Normal 2 2 2 3 5 5 9" xfId="18895" xr:uid="{00000000-0005-0000-0000-0000CF490000}"/>
    <cellStyle name="Normal 2 2 2 3 5 6" xfId="18896" xr:uid="{00000000-0005-0000-0000-0000D0490000}"/>
    <cellStyle name="Normal 2 2 2 3 5 7" xfId="18897" xr:uid="{00000000-0005-0000-0000-0000D1490000}"/>
    <cellStyle name="Normal 2 2 2 3 5 8" xfId="18898" xr:uid="{00000000-0005-0000-0000-0000D2490000}"/>
    <cellStyle name="Normal 2 2 2 3 5 9" xfId="18899" xr:uid="{00000000-0005-0000-0000-0000D3490000}"/>
    <cellStyle name="Normal 2 2 2 3 6" xfId="18900" xr:uid="{00000000-0005-0000-0000-0000D4490000}"/>
    <cellStyle name="Normal 2 2 2 3 6 10" xfId="18901" xr:uid="{00000000-0005-0000-0000-0000D5490000}"/>
    <cellStyle name="Normal 2 2 2 3 6 11" xfId="18902" xr:uid="{00000000-0005-0000-0000-0000D6490000}"/>
    <cellStyle name="Normal 2 2 2 3 6 12" xfId="18903" xr:uid="{00000000-0005-0000-0000-0000D7490000}"/>
    <cellStyle name="Normal 2 2 2 3 6 13" xfId="18904" xr:uid="{00000000-0005-0000-0000-0000D8490000}"/>
    <cellStyle name="Normal 2 2 2 3 6 14" xfId="18905" xr:uid="{00000000-0005-0000-0000-0000D9490000}"/>
    <cellStyle name="Normal 2 2 2 3 6 15" xfId="18906" xr:uid="{00000000-0005-0000-0000-0000DA490000}"/>
    <cellStyle name="Normal 2 2 2 3 6 2" xfId="18907" xr:uid="{00000000-0005-0000-0000-0000DB490000}"/>
    <cellStyle name="Normal 2 2 2 3 6 2 10" xfId="18908" xr:uid="{00000000-0005-0000-0000-0000DC490000}"/>
    <cellStyle name="Normal 2 2 2 3 6 2 2" xfId="18909" xr:uid="{00000000-0005-0000-0000-0000DD490000}"/>
    <cellStyle name="Normal 2 2 2 3 6 2 3" xfId="18910" xr:uid="{00000000-0005-0000-0000-0000DE490000}"/>
    <cellStyle name="Normal 2 2 2 3 6 2 4" xfId="18911" xr:uid="{00000000-0005-0000-0000-0000DF490000}"/>
    <cellStyle name="Normal 2 2 2 3 6 2 5" xfId="18912" xr:uid="{00000000-0005-0000-0000-0000E0490000}"/>
    <cellStyle name="Normal 2 2 2 3 6 2 6" xfId="18913" xr:uid="{00000000-0005-0000-0000-0000E1490000}"/>
    <cellStyle name="Normal 2 2 2 3 6 2 7" xfId="18914" xr:uid="{00000000-0005-0000-0000-0000E2490000}"/>
    <cellStyle name="Normal 2 2 2 3 6 2 8" xfId="18915" xr:uid="{00000000-0005-0000-0000-0000E3490000}"/>
    <cellStyle name="Normal 2 2 2 3 6 2 9" xfId="18916" xr:uid="{00000000-0005-0000-0000-0000E4490000}"/>
    <cellStyle name="Normal 2 2 2 3 6 3" xfId="18917" xr:uid="{00000000-0005-0000-0000-0000E5490000}"/>
    <cellStyle name="Normal 2 2 2 3 6 3 10" xfId="18918" xr:uid="{00000000-0005-0000-0000-0000E6490000}"/>
    <cellStyle name="Normal 2 2 2 3 6 3 2" xfId="18919" xr:uid="{00000000-0005-0000-0000-0000E7490000}"/>
    <cellStyle name="Normal 2 2 2 3 6 3 3" xfId="18920" xr:uid="{00000000-0005-0000-0000-0000E8490000}"/>
    <cellStyle name="Normal 2 2 2 3 6 3 4" xfId="18921" xr:uid="{00000000-0005-0000-0000-0000E9490000}"/>
    <cellStyle name="Normal 2 2 2 3 6 3 5" xfId="18922" xr:uid="{00000000-0005-0000-0000-0000EA490000}"/>
    <cellStyle name="Normal 2 2 2 3 6 3 6" xfId="18923" xr:uid="{00000000-0005-0000-0000-0000EB490000}"/>
    <cellStyle name="Normal 2 2 2 3 6 3 7" xfId="18924" xr:uid="{00000000-0005-0000-0000-0000EC490000}"/>
    <cellStyle name="Normal 2 2 2 3 6 3 8" xfId="18925" xr:uid="{00000000-0005-0000-0000-0000ED490000}"/>
    <cellStyle name="Normal 2 2 2 3 6 3 9" xfId="18926" xr:uid="{00000000-0005-0000-0000-0000EE490000}"/>
    <cellStyle name="Normal 2 2 2 3 6 4" xfId="18927" xr:uid="{00000000-0005-0000-0000-0000EF490000}"/>
    <cellStyle name="Normal 2 2 2 3 6 4 10" xfId="18928" xr:uid="{00000000-0005-0000-0000-0000F0490000}"/>
    <cellStyle name="Normal 2 2 2 3 6 4 2" xfId="18929" xr:uid="{00000000-0005-0000-0000-0000F1490000}"/>
    <cellStyle name="Normal 2 2 2 3 6 4 3" xfId="18930" xr:uid="{00000000-0005-0000-0000-0000F2490000}"/>
    <cellStyle name="Normal 2 2 2 3 6 4 4" xfId="18931" xr:uid="{00000000-0005-0000-0000-0000F3490000}"/>
    <cellStyle name="Normal 2 2 2 3 6 4 5" xfId="18932" xr:uid="{00000000-0005-0000-0000-0000F4490000}"/>
    <cellStyle name="Normal 2 2 2 3 6 4 6" xfId="18933" xr:uid="{00000000-0005-0000-0000-0000F5490000}"/>
    <cellStyle name="Normal 2 2 2 3 6 4 7" xfId="18934" xr:uid="{00000000-0005-0000-0000-0000F6490000}"/>
    <cellStyle name="Normal 2 2 2 3 6 4 8" xfId="18935" xr:uid="{00000000-0005-0000-0000-0000F7490000}"/>
    <cellStyle name="Normal 2 2 2 3 6 4 9" xfId="18936" xr:uid="{00000000-0005-0000-0000-0000F8490000}"/>
    <cellStyle name="Normal 2 2 2 3 6 5" xfId="18937" xr:uid="{00000000-0005-0000-0000-0000F9490000}"/>
    <cellStyle name="Normal 2 2 2 3 6 5 10" xfId="18938" xr:uid="{00000000-0005-0000-0000-0000FA490000}"/>
    <cellStyle name="Normal 2 2 2 3 6 5 2" xfId="18939" xr:uid="{00000000-0005-0000-0000-0000FB490000}"/>
    <cellStyle name="Normal 2 2 2 3 6 5 3" xfId="18940" xr:uid="{00000000-0005-0000-0000-0000FC490000}"/>
    <cellStyle name="Normal 2 2 2 3 6 5 4" xfId="18941" xr:uid="{00000000-0005-0000-0000-0000FD490000}"/>
    <cellStyle name="Normal 2 2 2 3 6 5 5" xfId="18942" xr:uid="{00000000-0005-0000-0000-0000FE490000}"/>
    <cellStyle name="Normal 2 2 2 3 6 5 6" xfId="18943" xr:uid="{00000000-0005-0000-0000-0000FF490000}"/>
    <cellStyle name="Normal 2 2 2 3 6 5 7" xfId="18944" xr:uid="{00000000-0005-0000-0000-0000004A0000}"/>
    <cellStyle name="Normal 2 2 2 3 6 5 8" xfId="18945" xr:uid="{00000000-0005-0000-0000-0000014A0000}"/>
    <cellStyle name="Normal 2 2 2 3 6 5 9" xfId="18946" xr:uid="{00000000-0005-0000-0000-0000024A0000}"/>
    <cellStyle name="Normal 2 2 2 3 6 6" xfId="18947" xr:uid="{00000000-0005-0000-0000-0000034A0000}"/>
    <cellStyle name="Normal 2 2 2 3 6 7" xfId="18948" xr:uid="{00000000-0005-0000-0000-0000044A0000}"/>
    <cellStyle name="Normal 2 2 2 3 6 8" xfId="18949" xr:uid="{00000000-0005-0000-0000-0000054A0000}"/>
    <cellStyle name="Normal 2 2 2 3 6 9" xfId="18950" xr:uid="{00000000-0005-0000-0000-0000064A0000}"/>
    <cellStyle name="Normal 2 2 2 3 7" xfId="18951" xr:uid="{00000000-0005-0000-0000-0000074A0000}"/>
    <cellStyle name="Normal 2 2 2 3 7 10" xfId="18952" xr:uid="{00000000-0005-0000-0000-0000084A0000}"/>
    <cellStyle name="Normal 2 2 2 3 7 11" xfId="18953" xr:uid="{00000000-0005-0000-0000-0000094A0000}"/>
    <cellStyle name="Normal 2 2 2 3 7 12" xfId="18954" xr:uid="{00000000-0005-0000-0000-00000A4A0000}"/>
    <cellStyle name="Normal 2 2 2 3 7 13" xfId="18955" xr:uid="{00000000-0005-0000-0000-00000B4A0000}"/>
    <cellStyle name="Normal 2 2 2 3 7 14" xfId="18956" xr:uid="{00000000-0005-0000-0000-00000C4A0000}"/>
    <cellStyle name="Normal 2 2 2 3 7 15" xfId="18957" xr:uid="{00000000-0005-0000-0000-00000D4A0000}"/>
    <cellStyle name="Normal 2 2 2 3 7 2" xfId="18958" xr:uid="{00000000-0005-0000-0000-00000E4A0000}"/>
    <cellStyle name="Normal 2 2 2 3 7 2 10" xfId="18959" xr:uid="{00000000-0005-0000-0000-00000F4A0000}"/>
    <cellStyle name="Normal 2 2 2 3 7 2 2" xfId="18960" xr:uid="{00000000-0005-0000-0000-0000104A0000}"/>
    <cellStyle name="Normal 2 2 2 3 7 2 3" xfId="18961" xr:uid="{00000000-0005-0000-0000-0000114A0000}"/>
    <cellStyle name="Normal 2 2 2 3 7 2 4" xfId="18962" xr:uid="{00000000-0005-0000-0000-0000124A0000}"/>
    <cellStyle name="Normal 2 2 2 3 7 2 5" xfId="18963" xr:uid="{00000000-0005-0000-0000-0000134A0000}"/>
    <cellStyle name="Normal 2 2 2 3 7 2 6" xfId="18964" xr:uid="{00000000-0005-0000-0000-0000144A0000}"/>
    <cellStyle name="Normal 2 2 2 3 7 2 7" xfId="18965" xr:uid="{00000000-0005-0000-0000-0000154A0000}"/>
    <cellStyle name="Normal 2 2 2 3 7 2 8" xfId="18966" xr:uid="{00000000-0005-0000-0000-0000164A0000}"/>
    <cellStyle name="Normal 2 2 2 3 7 2 9" xfId="18967" xr:uid="{00000000-0005-0000-0000-0000174A0000}"/>
    <cellStyle name="Normal 2 2 2 3 7 3" xfId="18968" xr:uid="{00000000-0005-0000-0000-0000184A0000}"/>
    <cellStyle name="Normal 2 2 2 3 7 3 10" xfId="18969" xr:uid="{00000000-0005-0000-0000-0000194A0000}"/>
    <cellStyle name="Normal 2 2 2 3 7 3 2" xfId="18970" xr:uid="{00000000-0005-0000-0000-00001A4A0000}"/>
    <cellStyle name="Normal 2 2 2 3 7 3 3" xfId="18971" xr:uid="{00000000-0005-0000-0000-00001B4A0000}"/>
    <cellStyle name="Normal 2 2 2 3 7 3 4" xfId="18972" xr:uid="{00000000-0005-0000-0000-00001C4A0000}"/>
    <cellStyle name="Normal 2 2 2 3 7 3 5" xfId="18973" xr:uid="{00000000-0005-0000-0000-00001D4A0000}"/>
    <cellStyle name="Normal 2 2 2 3 7 3 6" xfId="18974" xr:uid="{00000000-0005-0000-0000-00001E4A0000}"/>
    <cellStyle name="Normal 2 2 2 3 7 3 7" xfId="18975" xr:uid="{00000000-0005-0000-0000-00001F4A0000}"/>
    <cellStyle name="Normal 2 2 2 3 7 3 8" xfId="18976" xr:uid="{00000000-0005-0000-0000-0000204A0000}"/>
    <cellStyle name="Normal 2 2 2 3 7 3 9" xfId="18977" xr:uid="{00000000-0005-0000-0000-0000214A0000}"/>
    <cellStyle name="Normal 2 2 2 3 7 4" xfId="18978" xr:uid="{00000000-0005-0000-0000-0000224A0000}"/>
    <cellStyle name="Normal 2 2 2 3 7 4 10" xfId="18979" xr:uid="{00000000-0005-0000-0000-0000234A0000}"/>
    <cellStyle name="Normal 2 2 2 3 7 4 2" xfId="18980" xr:uid="{00000000-0005-0000-0000-0000244A0000}"/>
    <cellStyle name="Normal 2 2 2 3 7 4 3" xfId="18981" xr:uid="{00000000-0005-0000-0000-0000254A0000}"/>
    <cellStyle name="Normal 2 2 2 3 7 4 4" xfId="18982" xr:uid="{00000000-0005-0000-0000-0000264A0000}"/>
    <cellStyle name="Normal 2 2 2 3 7 4 5" xfId="18983" xr:uid="{00000000-0005-0000-0000-0000274A0000}"/>
    <cellStyle name="Normal 2 2 2 3 7 4 6" xfId="18984" xr:uid="{00000000-0005-0000-0000-0000284A0000}"/>
    <cellStyle name="Normal 2 2 2 3 7 4 7" xfId="18985" xr:uid="{00000000-0005-0000-0000-0000294A0000}"/>
    <cellStyle name="Normal 2 2 2 3 7 4 8" xfId="18986" xr:uid="{00000000-0005-0000-0000-00002A4A0000}"/>
    <cellStyle name="Normal 2 2 2 3 7 4 9" xfId="18987" xr:uid="{00000000-0005-0000-0000-00002B4A0000}"/>
    <cellStyle name="Normal 2 2 2 3 7 5" xfId="18988" xr:uid="{00000000-0005-0000-0000-00002C4A0000}"/>
    <cellStyle name="Normal 2 2 2 3 7 5 10" xfId="18989" xr:uid="{00000000-0005-0000-0000-00002D4A0000}"/>
    <cellStyle name="Normal 2 2 2 3 7 5 2" xfId="18990" xr:uid="{00000000-0005-0000-0000-00002E4A0000}"/>
    <cellStyle name="Normal 2 2 2 3 7 5 3" xfId="18991" xr:uid="{00000000-0005-0000-0000-00002F4A0000}"/>
    <cellStyle name="Normal 2 2 2 3 7 5 4" xfId="18992" xr:uid="{00000000-0005-0000-0000-0000304A0000}"/>
    <cellStyle name="Normal 2 2 2 3 7 5 5" xfId="18993" xr:uid="{00000000-0005-0000-0000-0000314A0000}"/>
    <cellStyle name="Normal 2 2 2 3 7 5 6" xfId="18994" xr:uid="{00000000-0005-0000-0000-0000324A0000}"/>
    <cellStyle name="Normal 2 2 2 3 7 5 7" xfId="18995" xr:uid="{00000000-0005-0000-0000-0000334A0000}"/>
    <cellStyle name="Normal 2 2 2 3 7 5 8" xfId="18996" xr:uid="{00000000-0005-0000-0000-0000344A0000}"/>
    <cellStyle name="Normal 2 2 2 3 7 5 9" xfId="18997" xr:uid="{00000000-0005-0000-0000-0000354A0000}"/>
    <cellStyle name="Normal 2 2 2 3 7 6" xfId="18998" xr:uid="{00000000-0005-0000-0000-0000364A0000}"/>
    <cellStyle name="Normal 2 2 2 3 7 7" xfId="18999" xr:uid="{00000000-0005-0000-0000-0000374A0000}"/>
    <cellStyle name="Normal 2 2 2 3 7 8" xfId="19000" xr:uid="{00000000-0005-0000-0000-0000384A0000}"/>
    <cellStyle name="Normal 2 2 2 3 7 9" xfId="19001" xr:uid="{00000000-0005-0000-0000-0000394A0000}"/>
    <cellStyle name="Normal 2 2 2 3 8" xfId="19002" xr:uid="{00000000-0005-0000-0000-00003A4A0000}"/>
    <cellStyle name="Normal 2 2 2 3 8 10" xfId="19003" xr:uid="{00000000-0005-0000-0000-00003B4A0000}"/>
    <cellStyle name="Normal 2 2 2 3 8 11" xfId="19004" xr:uid="{00000000-0005-0000-0000-00003C4A0000}"/>
    <cellStyle name="Normal 2 2 2 3 8 12" xfId="19005" xr:uid="{00000000-0005-0000-0000-00003D4A0000}"/>
    <cellStyle name="Normal 2 2 2 3 8 13" xfId="19006" xr:uid="{00000000-0005-0000-0000-00003E4A0000}"/>
    <cellStyle name="Normal 2 2 2 3 8 14" xfId="19007" xr:uid="{00000000-0005-0000-0000-00003F4A0000}"/>
    <cellStyle name="Normal 2 2 2 3 8 2" xfId="19008" xr:uid="{00000000-0005-0000-0000-0000404A0000}"/>
    <cellStyle name="Normal 2 2 2 3 8 2 10" xfId="19009" xr:uid="{00000000-0005-0000-0000-0000414A0000}"/>
    <cellStyle name="Normal 2 2 2 3 8 2 2" xfId="19010" xr:uid="{00000000-0005-0000-0000-0000424A0000}"/>
    <cellStyle name="Normal 2 2 2 3 8 2 3" xfId="19011" xr:uid="{00000000-0005-0000-0000-0000434A0000}"/>
    <cellStyle name="Normal 2 2 2 3 8 2 4" xfId="19012" xr:uid="{00000000-0005-0000-0000-0000444A0000}"/>
    <cellStyle name="Normal 2 2 2 3 8 2 5" xfId="19013" xr:uid="{00000000-0005-0000-0000-0000454A0000}"/>
    <cellStyle name="Normal 2 2 2 3 8 2 6" xfId="19014" xr:uid="{00000000-0005-0000-0000-0000464A0000}"/>
    <cellStyle name="Normal 2 2 2 3 8 2 7" xfId="19015" xr:uid="{00000000-0005-0000-0000-0000474A0000}"/>
    <cellStyle name="Normal 2 2 2 3 8 2 8" xfId="19016" xr:uid="{00000000-0005-0000-0000-0000484A0000}"/>
    <cellStyle name="Normal 2 2 2 3 8 2 9" xfId="19017" xr:uid="{00000000-0005-0000-0000-0000494A0000}"/>
    <cellStyle name="Normal 2 2 2 3 8 3" xfId="19018" xr:uid="{00000000-0005-0000-0000-00004A4A0000}"/>
    <cellStyle name="Normal 2 2 2 3 8 3 10" xfId="19019" xr:uid="{00000000-0005-0000-0000-00004B4A0000}"/>
    <cellStyle name="Normal 2 2 2 3 8 3 2" xfId="19020" xr:uid="{00000000-0005-0000-0000-00004C4A0000}"/>
    <cellStyle name="Normal 2 2 2 3 8 3 3" xfId="19021" xr:uid="{00000000-0005-0000-0000-00004D4A0000}"/>
    <cellStyle name="Normal 2 2 2 3 8 3 4" xfId="19022" xr:uid="{00000000-0005-0000-0000-00004E4A0000}"/>
    <cellStyle name="Normal 2 2 2 3 8 3 5" xfId="19023" xr:uid="{00000000-0005-0000-0000-00004F4A0000}"/>
    <cellStyle name="Normal 2 2 2 3 8 3 6" xfId="19024" xr:uid="{00000000-0005-0000-0000-0000504A0000}"/>
    <cellStyle name="Normal 2 2 2 3 8 3 7" xfId="19025" xr:uid="{00000000-0005-0000-0000-0000514A0000}"/>
    <cellStyle name="Normal 2 2 2 3 8 3 8" xfId="19026" xr:uid="{00000000-0005-0000-0000-0000524A0000}"/>
    <cellStyle name="Normal 2 2 2 3 8 3 9" xfId="19027" xr:uid="{00000000-0005-0000-0000-0000534A0000}"/>
    <cellStyle name="Normal 2 2 2 3 8 4" xfId="19028" xr:uid="{00000000-0005-0000-0000-0000544A0000}"/>
    <cellStyle name="Normal 2 2 2 3 8 4 10" xfId="19029" xr:uid="{00000000-0005-0000-0000-0000554A0000}"/>
    <cellStyle name="Normal 2 2 2 3 8 4 2" xfId="19030" xr:uid="{00000000-0005-0000-0000-0000564A0000}"/>
    <cellStyle name="Normal 2 2 2 3 8 4 3" xfId="19031" xr:uid="{00000000-0005-0000-0000-0000574A0000}"/>
    <cellStyle name="Normal 2 2 2 3 8 4 4" xfId="19032" xr:uid="{00000000-0005-0000-0000-0000584A0000}"/>
    <cellStyle name="Normal 2 2 2 3 8 4 5" xfId="19033" xr:uid="{00000000-0005-0000-0000-0000594A0000}"/>
    <cellStyle name="Normal 2 2 2 3 8 4 6" xfId="19034" xr:uid="{00000000-0005-0000-0000-00005A4A0000}"/>
    <cellStyle name="Normal 2 2 2 3 8 4 7" xfId="19035" xr:uid="{00000000-0005-0000-0000-00005B4A0000}"/>
    <cellStyle name="Normal 2 2 2 3 8 4 8" xfId="19036" xr:uid="{00000000-0005-0000-0000-00005C4A0000}"/>
    <cellStyle name="Normal 2 2 2 3 8 4 9" xfId="19037" xr:uid="{00000000-0005-0000-0000-00005D4A0000}"/>
    <cellStyle name="Normal 2 2 2 3 8 5" xfId="19038" xr:uid="{00000000-0005-0000-0000-00005E4A0000}"/>
    <cellStyle name="Normal 2 2 2 3 8 5 10" xfId="19039" xr:uid="{00000000-0005-0000-0000-00005F4A0000}"/>
    <cellStyle name="Normal 2 2 2 3 8 5 2" xfId="19040" xr:uid="{00000000-0005-0000-0000-0000604A0000}"/>
    <cellStyle name="Normal 2 2 2 3 8 5 3" xfId="19041" xr:uid="{00000000-0005-0000-0000-0000614A0000}"/>
    <cellStyle name="Normal 2 2 2 3 8 5 4" xfId="19042" xr:uid="{00000000-0005-0000-0000-0000624A0000}"/>
    <cellStyle name="Normal 2 2 2 3 8 5 5" xfId="19043" xr:uid="{00000000-0005-0000-0000-0000634A0000}"/>
    <cellStyle name="Normal 2 2 2 3 8 5 6" xfId="19044" xr:uid="{00000000-0005-0000-0000-0000644A0000}"/>
    <cellStyle name="Normal 2 2 2 3 8 5 7" xfId="19045" xr:uid="{00000000-0005-0000-0000-0000654A0000}"/>
    <cellStyle name="Normal 2 2 2 3 8 5 8" xfId="19046" xr:uid="{00000000-0005-0000-0000-0000664A0000}"/>
    <cellStyle name="Normal 2 2 2 3 8 5 9" xfId="19047" xr:uid="{00000000-0005-0000-0000-0000674A0000}"/>
    <cellStyle name="Normal 2 2 2 3 8 6" xfId="19048" xr:uid="{00000000-0005-0000-0000-0000684A0000}"/>
    <cellStyle name="Normal 2 2 2 3 8 7" xfId="19049" xr:uid="{00000000-0005-0000-0000-0000694A0000}"/>
    <cellStyle name="Normal 2 2 2 3 8 8" xfId="19050" xr:uid="{00000000-0005-0000-0000-00006A4A0000}"/>
    <cellStyle name="Normal 2 2 2 3 8 9" xfId="19051" xr:uid="{00000000-0005-0000-0000-00006B4A0000}"/>
    <cellStyle name="Normal 2 2 2 3 9" xfId="19052" xr:uid="{00000000-0005-0000-0000-00006C4A0000}"/>
    <cellStyle name="Normal 2 2 2 3 9 10" xfId="19053" xr:uid="{00000000-0005-0000-0000-00006D4A0000}"/>
    <cellStyle name="Normal 2 2 2 3 9 11" xfId="19054" xr:uid="{00000000-0005-0000-0000-00006E4A0000}"/>
    <cellStyle name="Normal 2 2 2 3 9 12" xfId="19055" xr:uid="{00000000-0005-0000-0000-00006F4A0000}"/>
    <cellStyle name="Normal 2 2 2 3 9 13" xfId="19056" xr:uid="{00000000-0005-0000-0000-0000704A0000}"/>
    <cellStyle name="Normal 2 2 2 3 9 14" xfId="19057" xr:uid="{00000000-0005-0000-0000-0000714A0000}"/>
    <cellStyle name="Normal 2 2 2 3 9 2" xfId="19058" xr:uid="{00000000-0005-0000-0000-0000724A0000}"/>
    <cellStyle name="Normal 2 2 2 3 9 2 10" xfId="19059" xr:uid="{00000000-0005-0000-0000-0000734A0000}"/>
    <cellStyle name="Normal 2 2 2 3 9 2 2" xfId="19060" xr:uid="{00000000-0005-0000-0000-0000744A0000}"/>
    <cellStyle name="Normal 2 2 2 3 9 2 3" xfId="19061" xr:uid="{00000000-0005-0000-0000-0000754A0000}"/>
    <cellStyle name="Normal 2 2 2 3 9 2 4" xfId="19062" xr:uid="{00000000-0005-0000-0000-0000764A0000}"/>
    <cellStyle name="Normal 2 2 2 3 9 2 5" xfId="19063" xr:uid="{00000000-0005-0000-0000-0000774A0000}"/>
    <cellStyle name="Normal 2 2 2 3 9 2 6" xfId="19064" xr:uid="{00000000-0005-0000-0000-0000784A0000}"/>
    <cellStyle name="Normal 2 2 2 3 9 2 7" xfId="19065" xr:uid="{00000000-0005-0000-0000-0000794A0000}"/>
    <cellStyle name="Normal 2 2 2 3 9 2 8" xfId="19066" xr:uid="{00000000-0005-0000-0000-00007A4A0000}"/>
    <cellStyle name="Normal 2 2 2 3 9 2 9" xfId="19067" xr:uid="{00000000-0005-0000-0000-00007B4A0000}"/>
    <cellStyle name="Normal 2 2 2 3 9 3" xfId="19068" xr:uid="{00000000-0005-0000-0000-00007C4A0000}"/>
    <cellStyle name="Normal 2 2 2 3 9 3 10" xfId="19069" xr:uid="{00000000-0005-0000-0000-00007D4A0000}"/>
    <cellStyle name="Normal 2 2 2 3 9 3 2" xfId="19070" xr:uid="{00000000-0005-0000-0000-00007E4A0000}"/>
    <cellStyle name="Normal 2 2 2 3 9 3 3" xfId="19071" xr:uid="{00000000-0005-0000-0000-00007F4A0000}"/>
    <cellStyle name="Normal 2 2 2 3 9 3 4" xfId="19072" xr:uid="{00000000-0005-0000-0000-0000804A0000}"/>
    <cellStyle name="Normal 2 2 2 3 9 3 5" xfId="19073" xr:uid="{00000000-0005-0000-0000-0000814A0000}"/>
    <cellStyle name="Normal 2 2 2 3 9 3 6" xfId="19074" xr:uid="{00000000-0005-0000-0000-0000824A0000}"/>
    <cellStyle name="Normal 2 2 2 3 9 3 7" xfId="19075" xr:uid="{00000000-0005-0000-0000-0000834A0000}"/>
    <cellStyle name="Normal 2 2 2 3 9 3 8" xfId="19076" xr:uid="{00000000-0005-0000-0000-0000844A0000}"/>
    <cellStyle name="Normal 2 2 2 3 9 3 9" xfId="19077" xr:uid="{00000000-0005-0000-0000-0000854A0000}"/>
    <cellStyle name="Normal 2 2 2 3 9 4" xfId="19078" xr:uid="{00000000-0005-0000-0000-0000864A0000}"/>
    <cellStyle name="Normal 2 2 2 3 9 4 10" xfId="19079" xr:uid="{00000000-0005-0000-0000-0000874A0000}"/>
    <cellStyle name="Normal 2 2 2 3 9 4 2" xfId="19080" xr:uid="{00000000-0005-0000-0000-0000884A0000}"/>
    <cellStyle name="Normal 2 2 2 3 9 4 3" xfId="19081" xr:uid="{00000000-0005-0000-0000-0000894A0000}"/>
    <cellStyle name="Normal 2 2 2 3 9 4 4" xfId="19082" xr:uid="{00000000-0005-0000-0000-00008A4A0000}"/>
    <cellStyle name="Normal 2 2 2 3 9 4 5" xfId="19083" xr:uid="{00000000-0005-0000-0000-00008B4A0000}"/>
    <cellStyle name="Normal 2 2 2 3 9 4 6" xfId="19084" xr:uid="{00000000-0005-0000-0000-00008C4A0000}"/>
    <cellStyle name="Normal 2 2 2 3 9 4 7" xfId="19085" xr:uid="{00000000-0005-0000-0000-00008D4A0000}"/>
    <cellStyle name="Normal 2 2 2 3 9 4 8" xfId="19086" xr:uid="{00000000-0005-0000-0000-00008E4A0000}"/>
    <cellStyle name="Normal 2 2 2 3 9 4 9" xfId="19087" xr:uid="{00000000-0005-0000-0000-00008F4A0000}"/>
    <cellStyle name="Normal 2 2 2 3 9 5" xfId="19088" xr:uid="{00000000-0005-0000-0000-0000904A0000}"/>
    <cellStyle name="Normal 2 2 2 3 9 5 10" xfId="19089" xr:uid="{00000000-0005-0000-0000-0000914A0000}"/>
    <cellStyle name="Normal 2 2 2 3 9 5 2" xfId="19090" xr:uid="{00000000-0005-0000-0000-0000924A0000}"/>
    <cellStyle name="Normal 2 2 2 3 9 5 3" xfId="19091" xr:uid="{00000000-0005-0000-0000-0000934A0000}"/>
    <cellStyle name="Normal 2 2 2 3 9 5 4" xfId="19092" xr:uid="{00000000-0005-0000-0000-0000944A0000}"/>
    <cellStyle name="Normal 2 2 2 3 9 5 5" xfId="19093" xr:uid="{00000000-0005-0000-0000-0000954A0000}"/>
    <cellStyle name="Normal 2 2 2 3 9 5 6" xfId="19094" xr:uid="{00000000-0005-0000-0000-0000964A0000}"/>
    <cellStyle name="Normal 2 2 2 3 9 5 7" xfId="19095" xr:uid="{00000000-0005-0000-0000-0000974A0000}"/>
    <cellStyle name="Normal 2 2 2 3 9 5 8" xfId="19096" xr:uid="{00000000-0005-0000-0000-0000984A0000}"/>
    <cellStyle name="Normal 2 2 2 3 9 5 9" xfId="19097" xr:uid="{00000000-0005-0000-0000-0000994A0000}"/>
    <cellStyle name="Normal 2 2 2 3 9 6" xfId="19098" xr:uid="{00000000-0005-0000-0000-00009A4A0000}"/>
    <cellStyle name="Normal 2 2 2 3 9 7" xfId="19099" xr:uid="{00000000-0005-0000-0000-00009B4A0000}"/>
    <cellStyle name="Normal 2 2 2 3 9 8" xfId="19100" xr:uid="{00000000-0005-0000-0000-00009C4A0000}"/>
    <cellStyle name="Normal 2 2 2 3 9 9" xfId="19101" xr:uid="{00000000-0005-0000-0000-00009D4A0000}"/>
    <cellStyle name="Normal 2 2 2 30" xfId="19102" xr:uid="{00000000-0005-0000-0000-00009E4A0000}"/>
    <cellStyle name="Normal 2 2 2 30 10" xfId="19103" xr:uid="{00000000-0005-0000-0000-00009F4A0000}"/>
    <cellStyle name="Normal 2 2 2 30 11" xfId="19104" xr:uid="{00000000-0005-0000-0000-0000A04A0000}"/>
    <cellStyle name="Normal 2 2 2 30 12" xfId="19105" xr:uid="{00000000-0005-0000-0000-0000A14A0000}"/>
    <cellStyle name="Normal 2 2 2 30 13" xfId="19106" xr:uid="{00000000-0005-0000-0000-0000A24A0000}"/>
    <cellStyle name="Normal 2 2 2 30 14" xfId="19107" xr:uid="{00000000-0005-0000-0000-0000A34A0000}"/>
    <cellStyle name="Normal 2 2 2 30 2" xfId="19108" xr:uid="{00000000-0005-0000-0000-0000A44A0000}"/>
    <cellStyle name="Normal 2 2 2 30 2 10" xfId="19109" xr:uid="{00000000-0005-0000-0000-0000A54A0000}"/>
    <cellStyle name="Normal 2 2 2 30 2 2" xfId="19110" xr:uid="{00000000-0005-0000-0000-0000A64A0000}"/>
    <cellStyle name="Normal 2 2 2 30 2 3" xfId="19111" xr:uid="{00000000-0005-0000-0000-0000A74A0000}"/>
    <cellStyle name="Normal 2 2 2 30 2 4" xfId="19112" xr:uid="{00000000-0005-0000-0000-0000A84A0000}"/>
    <cellStyle name="Normal 2 2 2 30 2 5" xfId="19113" xr:uid="{00000000-0005-0000-0000-0000A94A0000}"/>
    <cellStyle name="Normal 2 2 2 30 2 6" xfId="19114" xr:uid="{00000000-0005-0000-0000-0000AA4A0000}"/>
    <cellStyle name="Normal 2 2 2 30 2 7" xfId="19115" xr:uid="{00000000-0005-0000-0000-0000AB4A0000}"/>
    <cellStyle name="Normal 2 2 2 30 2 8" xfId="19116" xr:uid="{00000000-0005-0000-0000-0000AC4A0000}"/>
    <cellStyle name="Normal 2 2 2 30 2 9" xfId="19117" xr:uid="{00000000-0005-0000-0000-0000AD4A0000}"/>
    <cellStyle name="Normal 2 2 2 30 3" xfId="19118" xr:uid="{00000000-0005-0000-0000-0000AE4A0000}"/>
    <cellStyle name="Normal 2 2 2 30 3 10" xfId="19119" xr:uid="{00000000-0005-0000-0000-0000AF4A0000}"/>
    <cellStyle name="Normal 2 2 2 30 3 2" xfId="19120" xr:uid="{00000000-0005-0000-0000-0000B04A0000}"/>
    <cellStyle name="Normal 2 2 2 30 3 3" xfId="19121" xr:uid="{00000000-0005-0000-0000-0000B14A0000}"/>
    <cellStyle name="Normal 2 2 2 30 3 4" xfId="19122" xr:uid="{00000000-0005-0000-0000-0000B24A0000}"/>
    <cellStyle name="Normal 2 2 2 30 3 5" xfId="19123" xr:uid="{00000000-0005-0000-0000-0000B34A0000}"/>
    <cellStyle name="Normal 2 2 2 30 3 6" xfId="19124" xr:uid="{00000000-0005-0000-0000-0000B44A0000}"/>
    <cellStyle name="Normal 2 2 2 30 3 7" xfId="19125" xr:uid="{00000000-0005-0000-0000-0000B54A0000}"/>
    <cellStyle name="Normal 2 2 2 30 3 8" xfId="19126" xr:uid="{00000000-0005-0000-0000-0000B64A0000}"/>
    <cellStyle name="Normal 2 2 2 30 3 9" xfId="19127" xr:uid="{00000000-0005-0000-0000-0000B74A0000}"/>
    <cellStyle name="Normal 2 2 2 30 4" xfId="19128" xr:uid="{00000000-0005-0000-0000-0000B84A0000}"/>
    <cellStyle name="Normal 2 2 2 30 4 10" xfId="19129" xr:uid="{00000000-0005-0000-0000-0000B94A0000}"/>
    <cellStyle name="Normal 2 2 2 30 4 2" xfId="19130" xr:uid="{00000000-0005-0000-0000-0000BA4A0000}"/>
    <cellStyle name="Normal 2 2 2 30 4 3" xfId="19131" xr:uid="{00000000-0005-0000-0000-0000BB4A0000}"/>
    <cellStyle name="Normal 2 2 2 30 4 4" xfId="19132" xr:uid="{00000000-0005-0000-0000-0000BC4A0000}"/>
    <cellStyle name="Normal 2 2 2 30 4 5" xfId="19133" xr:uid="{00000000-0005-0000-0000-0000BD4A0000}"/>
    <cellStyle name="Normal 2 2 2 30 4 6" xfId="19134" xr:uid="{00000000-0005-0000-0000-0000BE4A0000}"/>
    <cellStyle name="Normal 2 2 2 30 4 7" xfId="19135" xr:uid="{00000000-0005-0000-0000-0000BF4A0000}"/>
    <cellStyle name="Normal 2 2 2 30 4 8" xfId="19136" xr:uid="{00000000-0005-0000-0000-0000C04A0000}"/>
    <cellStyle name="Normal 2 2 2 30 4 9" xfId="19137" xr:uid="{00000000-0005-0000-0000-0000C14A0000}"/>
    <cellStyle name="Normal 2 2 2 30 5" xfId="19138" xr:uid="{00000000-0005-0000-0000-0000C24A0000}"/>
    <cellStyle name="Normal 2 2 2 30 5 10" xfId="19139" xr:uid="{00000000-0005-0000-0000-0000C34A0000}"/>
    <cellStyle name="Normal 2 2 2 30 5 2" xfId="19140" xr:uid="{00000000-0005-0000-0000-0000C44A0000}"/>
    <cellStyle name="Normal 2 2 2 30 5 3" xfId="19141" xr:uid="{00000000-0005-0000-0000-0000C54A0000}"/>
    <cellStyle name="Normal 2 2 2 30 5 4" xfId="19142" xr:uid="{00000000-0005-0000-0000-0000C64A0000}"/>
    <cellStyle name="Normal 2 2 2 30 5 5" xfId="19143" xr:uid="{00000000-0005-0000-0000-0000C74A0000}"/>
    <cellStyle name="Normal 2 2 2 30 5 6" xfId="19144" xr:uid="{00000000-0005-0000-0000-0000C84A0000}"/>
    <cellStyle name="Normal 2 2 2 30 5 7" xfId="19145" xr:uid="{00000000-0005-0000-0000-0000C94A0000}"/>
    <cellStyle name="Normal 2 2 2 30 5 8" xfId="19146" xr:uid="{00000000-0005-0000-0000-0000CA4A0000}"/>
    <cellStyle name="Normal 2 2 2 30 5 9" xfId="19147" xr:uid="{00000000-0005-0000-0000-0000CB4A0000}"/>
    <cellStyle name="Normal 2 2 2 30 6" xfId="19148" xr:uid="{00000000-0005-0000-0000-0000CC4A0000}"/>
    <cellStyle name="Normal 2 2 2 30 7" xfId="19149" xr:uid="{00000000-0005-0000-0000-0000CD4A0000}"/>
    <cellStyle name="Normal 2 2 2 30 8" xfId="19150" xr:uid="{00000000-0005-0000-0000-0000CE4A0000}"/>
    <cellStyle name="Normal 2 2 2 30 9" xfId="19151" xr:uid="{00000000-0005-0000-0000-0000CF4A0000}"/>
    <cellStyle name="Normal 2 2 2 31" xfId="19152" xr:uid="{00000000-0005-0000-0000-0000D04A0000}"/>
    <cellStyle name="Normal 2 2 2 31 10" xfId="19153" xr:uid="{00000000-0005-0000-0000-0000D14A0000}"/>
    <cellStyle name="Normal 2 2 2 31 11" xfId="19154" xr:uid="{00000000-0005-0000-0000-0000D24A0000}"/>
    <cellStyle name="Normal 2 2 2 31 12" xfId="19155" xr:uid="{00000000-0005-0000-0000-0000D34A0000}"/>
    <cellStyle name="Normal 2 2 2 31 13" xfId="19156" xr:uid="{00000000-0005-0000-0000-0000D44A0000}"/>
    <cellStyle name="Normal 2 2 2 31 14" xfId="19157" xr:uid="{00000000-0005-0000-0000-0000D54A0000}"/>
    <cellStyle name="Normal 2 2 2 31 2" xfId="19158" xr:uid="{00000000-0005-0000-0000-0000D64A0000}"/>
    <cellStyle name="Normal 2 2 2 31 2 10" xfId="19159" xr:uid="{00000000-0005-0000-0000-0000D74A0000}"/>
    <cellStyle name="Normal 2 2 2 31 2 2" xfId="19160" xr:uid="{00000000-0005-0000-0000-0000D84A0000}"/>
    <cellStyle name="Normal 2 2 2 31 2 3" xfId="19161" xr:uid="{00000000-0005-0000-0000-0000D94A0000}"/>
    <cellStyle name="Normal 2 2 2 31 2 4" xfId="19162" xr:uid="{00000000-0005-0000-0000-0000DA4A0000}"/>
    <cellStyle name="Normal 2 2 2 31 2 5" xfId="19163" xr:uid="{00000000-0005-0000-0000-0000DB4A0000}"/>
    <cellStyle name="Normal 2 2 2 31 2 6" xfId="19164" xr:uid="{00000000-0005-0000-0000-0000DC4A0000}"/>
    <cellStyle name="Normal 2 2 2 31 2 7" xfId="19165" xr:uid="{00000000-0005-0000-0000-0000DD4A0000}"/>
    <cellStyle name="Normal 2 2 2 31 2 8" xfId="19166" xr:uid="{00000000-0005-0000-0000-0000DE4A0000}"/>
    <cellStyle name="Normal 2 2 2 31 2 9" xfId="19167" xr:uid="{00000000-0005-0000-0000-0000DF4A0000}"/>
    <cellStyle name="Normal 2 2 2 31 3" xfId="19168" xr:uid="{00000000-0005-0000-0000-0000E04A0000}"/>
    <cellStyle name="Normal 2 2 2 31 3 10" xfId="19169" xr:uid="{00000000-0005-0000-0000-0000E14A0000}"/>
    <cellStyle name="Normal 2 2 2 31 3 2" xfId="19170" xr:uid="{00000000-0005-0000-0000-0000E24A0000}"/>
    <cellStyle name="Normal 2 2 2 31 3 3" xfId="19171" xr:uid="{00000000-0005-0000-0000-0000E34A0000}"/>
    <cellStyle name="Normal 2 2 2 31 3 4" xfId="19172" xr:uid="{00000000-0005-0000-0000-0000E44A0000}"/>
    <cellStyle name="Normal 2 2 2 31 3 5" xfId="19173" xr:uid="{00000000-0005-0000-0000-0000E54A0000}"/>
    <cellStyle name="Normal 2 2 2 31 3 6" xfId="19174" xr:uid="{00000000-0005-0000-0000-0000E64A0000}"/>
    <cellStyle name="Normal 2 2 2 31 3 7" xfId="19175" xr:uid="{00000000-0005-0000-0000-0000E74A0000}"/>
    <cellStyle name="Normal 2 2 2 31 3 8" xfId="19176" xr:uid="{00000000-0005-0000-0000-0000E84A0000}"/>
    <cellStyle name="Normal 2 2 2 31 3 9" xfId="19177" xr:uid="{00000000-0005-0000-0000-0000E94A0000}"/>
    <cellStyle name="Normal 2 2 2 31 4" xfId="19178" xr:uid="{00000000-0005-0000-0000-0000EA4A0000}"/>
    <cellStyle name="Normal 2 2 2 31 4 10" xfId="19179" xr:uid="{00000000-0005-0000-0000-0000EB4A0000}"/>
    <cellStyle name="Normal 2 2 2 31 4 2" xfId="19180" xr:uid="{00000000-0005-0000-0000-0000EC4A0000}"/>
    <cellStyle name="Normal 2 2 2 31 4 3" xfId="19181" xr:uid="{00000000-0005-0000-0000-0000ED4A0000}"/>
    <cellStyle name="Normal 2 2 2 31 4 4" xfId="19182" xr:uid="{00000000-0005-0000-0000-0000EE4A0000}"/>
    <cellStyle name="Normal 2 2 2 31 4 5" xfId="19183" xr:uid="{00000000-0005-0000-0000-0000EF4A0000}"/>
    <cellStyle name="Normal 2 2 2 31 4 6" xfId="19184" xr:uid="{00000000-0005-0000-0000-0000F04A0000}"/>
    <cellStyle name="Normal 2 2 2 31 4 7" xfId="19185" xr:uid="{00000000-0005-0000-0000-0000F14A0000}"/>
    <cellStyle name="Normal 2 2 2 31 4 8" xfId="19186" xr:uid="{00000000-0005-0000-0000-0000F24A0000}"/>
    <cellStyle name="Normal 2 2 2 31 4 9" xfId="19187" xr:uid="{00000000-0005-0000-0000-0000F34A0000}"/>
    <cellStyle name="Normal 2 2 2 31 5" xfId="19188" xr:uid="{00000000-0005-0000-0000-0000F44A0000}"/>
    <cellStyle name="Normal 2 2 2 31 5 10" xfId="19189" xr:uid="{00000000-0005-0000-0000-0000F54A0000}"/>
    <cellStyle name="Normal 2 2 2 31 5 2" xfId="19190" xr:uid="{00000000-0005-0000-0000-0000F64A0000}"/>
    <cellStyle name="Normal 2 2 2 31 5 3" xfId="19191" xr:uid="{00000000-0005-0000-0000-0000F74A0000}"/>
    <cellStyle name="Normal 2 2 2 31 5 4" xfId="19192" xr:uid="{00000000-0005-0000-0000-0000F84A0000}"/>
    <cellStyle name="Normal 2 2 2 31 5 5" xfId="19193" xr:uid="{00000000-0005-0000-0000-0000F94A0000}"/>
    <cellStyle name="Normal 2 2 2 31 5 6" xfId="19194" xr:uid="{00000000-0005-0000-0000-0000FA4A0000}"/>
    <cellStyle name="Normal 2 2 2 31 5 7" xfId="19195" xr:uid="{00000000-0005-0000-0000-0000FB4A0000}"/>
    <cellStyle name="Normal 2 2 2 31 5 8" xfId="19196" xr:uid="{00000000-0005-0000-0000-0000FC4A0000}"/>
    <cellStyle name="Normal 2 2 2 31 5 9" xfId="19197" xr:uid="{00000000-0005-0000-0000-0000FD4A0000}"/>
    <cellStyle name="Normal 2 2 2 31 6" xfId="19198" xr:uid="{00000000-0005-0000-0000-0000FE4A0000}"/>
    <cellStyle name="Normal 2 2 2 31 7" xfId="19199" xr:uid="{00000000-0005-0000-0000-0000FF4A0000}"/>
    <cellStyle name="Normal 2 2 2 31 8" xfId="19200" xr:uid="{00000000-0005-0000-0000-0000004B0000}"/>
    <cellStyle name="Normal 2 2 2 31 9" xfId="19201" xr:uid="{00000000-0005-0000-0000-0000014B0000}"/>
    <cellStyle name="Normal 2 2 2 32" xfId="19202" xr:uid="{00000000-0005-0000-0000-0000024B0000}"/>
    <cellStyle name="Normal 2 2 2 32 10" xfId="19203" xr:uid="{00000000-0005-0000-0000-0000034B0000}"/>
    <cellStyle name="Normal 2 2 2 32 11" xfId="19204" xr:uid="{00000000-0005-0000-0000-0000044B0000}"/>
    <cellStyle name="Normal 2 2 2 32 12" xfId="19205" xr:uid="{00000000-0005-0000-0000-0000054B0000}"/>
    <cellStyle name="Normal 2 2 2 32 13" xfId="19206" xr:uid="{00000000-0005-0000-0000-0000064B0000}"/>
    <cellStyle name="Normal 2 2 2 32 14" xfId="19207" xr:uid="{00000000-0005-0000-0000-0000074B0000}"/>
    <cellStyle name="Normal 2 2 2 32 2" xfId="19208" xr:uid="{00000000-0005-0000-0000-0000084B0000}"/>
    <cellStyle name="Normal 2 2 2 32 2 10" xfId="19209" xr:uid="{00000000-0005-0000-0000-0000094B0000}"/>
    <cellStyle name="Normal 2 2 2 32 2 2" xfId="19210" xr:uid="{00000000-0005-0000-0000-00000A4B0000}"/>
    <cellStyle name="Normal 2 2 2 32 2 3" xfId="19211" xr:uid="{00000000-0005-0000-0000-00000B4B0000}"/>
    <cellStyle name="Normal 2 2 2 32 2 4" xfId="19212" xr:uid="{00000000-0005-0000-0000-00000C4B0000}"/>
    <cellStyle name="Normal 2 2 2 32 2 5" xfId="19213" xr:uid="{00000000-0005-0000-0000-00000D4B0000}"/>
    <cellStyle name="Normal 2 2 2 32 2 6" xfId="19214" xr:uid="{00000000-0005-0000-0000-00000E4B0000}"/>
    <cellStyle name="Normal 2 2 2 32 2 7" xfId="19215" xr:uid="{00000000-0005-0000-0000-00000F4B0000}"/>
    <cellStyle name="Normal 2 2 2 32 2 8" xfId="19216" xr:uid="{00000000-0005-0000-0000-0000104B0000}"/>
    <cellStyle name="Normal 2 2 2 32 2 9" xfId="19217" xr:uid="{00000000-0005-0000-0000-0000114B0000}"/>
    <cellStyle name="Normal 2 2 2 32 3" xfId="19218" xr:uid="{00000000-0005-0000-0000-0000124B0000}"/>
    <cellStyle name="Normal 2 2 2 32 3 10" xfId="19219" xr:uid="{00000000-0005-0000-0000-0000134B0000}"/>
    <cellStyle name="Normal 2 2 2 32 3 2" xfId="19220" xr:uid="{00000000-0005-0000-0000-0000144B0000}"/>
    <cellStyle name="Normal 2 2 2 32 3 3" xfId="19221" xr:uid="{00000000-0005-0000-0000-0000154B0000}"/>
    <cellStyle name="Normal 2 2 2 32 3 4" xfId="19222" xr:uid="{00000000-0005-0000-0000-0000164B0000}"/>
    <cellStyle name="Normal 2 2 2 32 3 5" xfId="19223" xr:uid="{00000000-0005-0000-0000-0000174B0000}"/>
    <cellStyle name="Normal 2 2 2 32 3 6" xfId="19224" xr:uid="{00000000-0005-0000-0000-0000184B0000}"/>
    <cellStyle name="Normal 2 2 2 32 3 7" xfId="19225" xr:uid="{00000000-0005-0000-0000-0000194B0000}"/>
    <cellStyle name="Normal 2 2 2 32 3 8" xfId="19226" xr:uid="{00000000-0005-0000-0000-00001A4B0000}"/>
    <cellStyle name="Normal 2 2 2 32 3 9" xfId="19227" xr:uid="{00000000-0005-0000-0000-00001B4B0000}"/>
    <cellStyle name="Normal 2 2 2 32 4" xfId="19228" xr:uid="{00000000-0005-0000-0000-00001C4B0000}"/>
    <cellStyle name="Normal 2 2 2 32 4 10" xfId="19229" xr:uid="{00000000-0005-0000-0000-00001D4B0000}"/>
    <cellStyle name="Normal 2 2 2 32 4 2" xfId="19230" xr:uid="{00000000-0005-0000-0000-00001E4B0000}"/>
    <cellStyle name="Normal 2 2 2 32 4 3" xfId="19231" xr:uid="{00000000-0005-0000-0000-00001F4B0000}"/>
    <cellStyle name="Normal 2 2 2 32 4 4" xfId="19232" xr:uid="{00000000-0005-0000-0000-0000204B0000}"/>
    <cellStyle name="Normal 2 2 2 32 4 5" xfId="19233" xr:uid="{00000000-0005-0000-0000-0000214B0000}"/>
    <cellStyle name="Normal 2 2 2 32 4 6" xfId="19234" xr:uid="{00000000-0005-0000-0000-0000224B0000}"/>
    <cellStyle name="Normal 2 2 2 32 4 7" xfId="19235" xr:uid="{00000000-0005-0000-0000-0000234B0000}"/>
    <cellStyle name="Normal 2 2 2 32 4 8" xfId="19236" xr:uid="{00000000-0005-0000-0000-0000244B0000}"/>
    <cellStyle name="Normal 2 2 2 32 4 9" xfId="19237" xr:uid="{00000000-0005-0000-0000-0000254B0000}"/>
    <cellStyle name="Normal 2 2 2 32 5" xfId="19238" xr:uid="{00000000-0005-0000-0000-0000264B0000}"/>
    <cellStyle name="Normal 2 2 2 32 5 10" xfId="19239" xr:uid="{00000000-0005-0000-0000-0000274B0000}"/>
    <cellStyle name="Normal 2 2 2 32 5 2" xfId="19240" xr:uid="{00000000-0005-0000-0000-0000284B0000}"/>
    <cellStyle name="Normal 2 2 2 32 5 3" xfId="19241" xr:uid="{00000000-0005-0000-0000-0000294B0000}"/>
    <cellStyle name="Normal 2 2 2 32 5 4" xfId="19242" xr:uid="{00000000-0005-0000-0000-00002A4B0000}"/>
    <cellStyle name="Normal 2 2 2 32 5 5" xfId="19243" xr:uid="{00000000-0005-0000-0000-00002B4B0000}"/>
    <cellStyle name="Normal 2 2 2 32 5 6" xfId="19244" xr:uid="{00000000-0005-0000-0000-00002C4B0000}"/>
    <cellStyle name="Normal 2 2 2 32 5 7" xfId="19245" xr:uid="{00000000-0005-0000-0000-00002D4B0000}"/>
    <cellStyle name="Normal 2 2 2 32 5 8" xfId="19246" xr:uid="{00000000-0005-0000-0000-00002E4B0000}"/>
    <cellStyle name="Normal 2 2 2 32 5 9" xfId="19247" xr:uid="{00000000-0005-0000-0000-00002F4B0000}"/>
    <cellStyle name="Normal 2 2 2 32 6" xfId="19248" xr:uid="{00000000-0005-0000-0000-0000304B0000}"/>
    <cellStyle name="Normal 2 2 2 32 7" xfId="19249" xr:uid="{00000000-0005-0000-0000-0000314B0000}"/>
    <cellStyle name="Normal 2 2 2 32 8" xfId="19250" xr:uid="{00000000-0005-0000-0000-0000324B0000}"/>
    <cellStyle name="Normal 2 2 2 32 9" xfId="19251" xr:uid="{00000000-0005-0000-0000-0000334B0000}"/>
    <cellStyle name="Normal 2 2 2 33" xfId="19252" xr:uid="{00000000-0005-0000-0000-0000344B0000}"/>
    <cellStyle name="Normal 2 2 2 33 10" xfId="19253" xr:uid="{00000000-0005-0000-0000-0000354B0000}"/>
    <cellStyle name="Normal 2 2 2 33 11" xfId="19254" xr:uid="{00000000-0005-0000-0000-0000364B0000}"/>
    <cellStyle name="Normal 2 2 2 33 12" xfId="19255" xr:uid="{00000000-0005-0000-0000-0000374B0000}"/>
    <cellStyle name="Normal 2 2 2 33 13" xfId="19256" xr:uid="{00000000-0005-0000-0000-0000384B0000}"/>
    <cellStyle name="Normal 2 2 2 33 14" xfId="19257" xr:uid="{00000000-0005-0000-0000-0000394B0000}"/>
    <cellStyle name="Normal 2 2 2 33 2" xfId="19258" xr:uid="{00000000-0005-0000-0000-00003A4B0000}"/>
    <cellStyle name="Normal 2 2 2 33 2 10" xfId="19259" xr:uid="{00000000-0005-0000-0000-00003B4B0000}"/>
    <cellStyle name="Normal 2 2 2 33 2 2" xfId="19260" xr:uid="{00000000-0005-0000-0000-00003C4B0000}"/>
    <cellStyle name="Normal 2 2 2 33 2 3" xfId="19261" xr:uid="{00000000-0005-0000-0000-00003D4B0000}"/>
    <cellStyle name="Normal 2 2 2 33 2 4" xfId="19262" xr:uid="{00000000-0005-0000-0000-00003E4B0000}"/>
    <cellStyle name="Normal 2 2 2 33 2 5" xfId="19263" xr:uid="{00000000-0005-0000-0000-00003F4B0000}"/>
    <cellStyle name="Normal 2 2 2 33 2 6" xfId="19264" xr:uid="{00000000-0005-0000-0000-0000404B0000}"/>
    <cellStyle name="Normal 2 2 2 33 2 7" xfId="19265" xr:uid="{00000000-0005-0000-0000-0000414B0000}"/>
    <cellStyle name="Normal 2 2 2 33 2 8" xfId="19266" xr:uid="{00000000-0005-0000-0000-0000424B0000}"/>
    <cellStyle name="Normal 2 2 2 33 2 9" xfId="19267" xr:uid="{00000000-0005-0000-0000-0000434B0000}"/>
    <cellStyle name="Normal 2 2 2 33 3" xfId="19268" xr:uid="{00000000-0005-0000-0000-0000444B0000}"/>
    <cellStyle name="Normal 2 2 2 33 3 10" xfId="19269" xr:uid="{00000000-0005-0000-0000-0000454B0000}"/>
    <cellStyle name="Normal 2 2 2 33 3 2" xfId="19270" xr:uid="{00000000-0005-0000-0000-0000464B0000}"/>
    <cellStyle name="Normal 2 2 2 33 3 3" xfId="19271" xr:uid="{00000000-0005-0000-0000-0000474B0000}"/>
    <cellStyle name="Normal 2 2 2 33 3 4" xfId="19272" xr:uid="{00000000-0005-0000-0000-0000484B0000}"/>
    <cellStyle name="Normal 2 2 2 33 3 5" xfId="19273" xr:uid="{00000000-0005-0000-0000-0000494B0000}"/>
    <cellStyle name="Normal 2 2 2 33 3 6" xfId="19274" xr:uid="{00000000-0005-0000-0000-00004A4B0000}"/>
    <cellStyle name="Normal 2 2 2 33 3 7" xfId="19275" xr:uid="{00000000-0005-0000-0000-00004B4B0000}"/>
    <cellStyle name="Normal 2 2 2 33 3 8" xfId="19276" xr:uid="{00000000-0005-0000-0000-00004C4B0000}"/>
    <cellStyle name="Normal 2 2 2 33 3 9" xfId="19277" xr:uid="{00000000-0005-0000-0000-00004D4B0000}"/>
    <cellStyle name="Normal 2 2 2 33 4" xfId="19278" xr:uid="{00000000-0005-0000-0000-00004E4B0000}"/>
    <cellStyle name="Normal 2 2 2 33 4 10" xfId="19279" xr:uid="{00000000-0005-0000-0000-00004F4B0000}"/>
    <cellStyle name="Normal 2 2 2 33 4 2" xfId="19280" xr:uid="{00000000-0005-0000-0000-0000504B0000}"/>
    <cellStyle name="Normal 2 2 2 33 4 3" xfId="19281" xr:uid="{00000000-0005-0000-0000-0000514B0000}"/>
    <cellStyle name="Normal 2 2 2 33 4 4" xfId="19282" xr:uid="{00000000-0005-0000-0000-0000524B0000}"/>
    <cellStyle name="Normal 2 2 2 33 4 5" xfId="19283" xr:uid="{00000000-0005-0000-0000-0000534B0000}"/>
    <cellStyle name="Normal 2 2 2 33 4 6" xfId="19284" xr:uid="{00000000-0005-0000-0000-0000544B0000}"/>
    <cellStyle name="Normal 2 2 2 33 4 7" xfId="19285" xr:uid="{00000000-0005-0000-0000-0000554B0000}"/>
    <cellStyle name="Normal 2 2 2 33 4 8" xfId="19286" xr:uid="{00000000-0005-0000-0000-0000564B0000}"/>
    <cellStyle name="Normal 2 2 2 33 4 9" xfId="19287" xr:uid="{00000000-0005-0000-0000-0000574B0000}"/>
    <cellStyle name="Normal 2 2 2 33 5" xfId="19288" xr:uid="{00000000-0005-0000-0000-0000584B0000}"/>
    <cellStyle name="Normal 2 2 2 33 5 10" xfId="19289" xr:uid="{00000000-0005-0000-0000-0000594B0000}"/>
    <cellStyle name="Normal 2 2 2 33 5 2" xfId="19290" xr:uid="{00000000-0005-0000-0000-00005A4B0000}"/>
    <cellStyle name="Normal 2 2 2 33 5 3" xfId="19291" xr:uid="{00000000-0005-0000-0000-00005B4B0000}"/>
    <cellStyle name="Normal 2 2 2 33 5 4" xfId="19292" xr:uid="{00000000-0005-0000-0000-00005C4B0000}"/>
    <cellStyle name="Normal 2 2 2 33 5 5" xfId="19293" xr:uid="{00000000-0005-0000-0000-00005D4B0000}"/>
    <cellStyle name="Normal 2 2 2 33 5 6" xfId="19294" xr:uid="{00000000-0005-0000-0000-00005E4B0000}"/>
    <cellStyle name="Normal 2 2 2 33 5 7" xfId="19295" xr:uid="{00000000-0005-0000-0000-00005F4B0000}"/>
    <cellStyle name="Normal 2 2 2 33 5 8" xfId="19296" xr:uid="{00000000-0005-0000-0000-0000604B0000}"/>
    <cellStyle name="Normal 2 2 2 33 5 9" xfId="19297" xr:uid="{00000000-0005-0000-0000-0000614B0000}"/>
    <cellStyle name="Normal 2 2 2 33 6" xfId="19298" xr:uid="{00000000-0005-0000-0000-0000624B0000}"/>
    <cellStyle name="Normal 2 2 2 33 7" xfId="19299" xr:uid="{00000000-0005-0000-0000-0000634B0000}"/>
    <cellStyle name="Normal 2 2 2 33 8" xfId="19300" xr:uid="{00000000-0005-0000-0000-0000644B0000}"/>
    <cellStyle name="Normal 2 2 2 33 9" xfId="19301" xr:uid="{00000000-0005-0000-0000-0000654B0000}"/>
    <cellStyle name="Normal 2 2 2 34" xfId="19302" xr:uid="{00000000-0005-0000-0000-0000664B0000}"/>
    <cellStyle name="Normal 2 2 2 34 10" xfId="19303" xr:uid="{00000000-0005-0000-0000-0000674B0000}"/>
    <cellStyle name="Normal 2 2 2 34 11" xfId="19304" xr:uid="{00000000-0005-0000-0000-0000684B0000}"/>
    <cellStyle name="Normal 2 2 2 34 12" xfId="19305" xr:uid="{00000000-0005-0000-0000-0000694B0000}"/>
    <cellStyle name="Normal 2 2 2 34 13" xfId="19306" xr:uid="{00000000-0005-0000-0000-00006A4B0000}"/>
    <cellStyle name="Normal 2 2 2 34 14" xfId="19307" xr:uid="{00000000-0005-0000-0000-00006B4B0000}"/>
    <cellStyle name="Normal 2 2 2 34 2" xfId="19308" xr:uid="{00000000-0005-0000-0000-00006C4B0000}"/>
    <cellStyle name="Normal 2 2 2 34 2 10" xfId="19309" xr:uid="{00000000-0005-0000-0000-00006D4B0000}"/>
    <cellStyle name="Normal 2 2 2 34 2 2" xfId="19310" xr:uid="{00000000-0005-0000-0000-00006E4B0000}"/>
    <cellStyle name="Normal 2 2 2 34 2 3" xfId="19311" xr:uid="{00000000-0005-0000-0000-00006F4B0000}"/>
    <cellStyle name="Normal 2 2 2 34 2 4" xfId="19312" xr:uid="{00000000-0005-0000-0000-0000704B0000}"/>
    <cellStyle name="Normal 2 2 2 34 2 5" xfId="19313" xr:uid="{00000000-0005-0000-0000-0000714B0000}"/>
    <cellStyle name="Normal 2 2 2 34 2 6" xfId="19314" xr:uid="{00000000-0005-0000-0000-0000724B0000}"/>
    <cellStyle name="Normal 2 2 2 34 2 7" xfId="19315" xr:uid="{00000000-0005-0000-0000-0000734B0000}"/>
    <cellStyle name="Normal 2 2 2 34 2 8" xfId="19316" xr:uid="{00000000-0005-0000-0000-0000744B0000}"/>
    <cellStyle name="Normal 2 2 2 34 2 9" xfId="19317" xr:uid="{00000000-0005-0000-0000-0000754B0000}"/>
    <cellStyle name="Normal 2 2 2 34 3" xfId="19318" xr:uid="{00000000-0005-0000-0000-0000764B0000}"/>
    <cellStyle name="Normal 2 2 2 34 3 10" xfId="19319" xr:uid="{00000000-0005-0000-0000-0000774B0000}"/>
    <cellStyle name="Normal 2 2 2 34 3 2" xfId="19320" xr:uid="{00000000-0005-0000-0000-0000784B0000}"/>
    <cellStyle name="Normal 2 2 2 34 3 3" xfId="19321" xr:uid="{00000000-0005-0000-0000-0000794B0000}"/>
    <cellStyle name="Normal 2 2 2 34 3 4" xfId="19322" xr:uid="{00000000-0005-0000-0000-00007A4B0000}"/>
    <cellStyle name="Normal 2 2 2 34 3 5" xfId="19323" xr:uid="{00000000-0005-0000-0000-00007B4B0000}"/>
    <cellStyle name="Normal 2 2 2 34 3 6" xfId="19324" xr:uid="{00000000-0005-0000-0000-00007C4B0000}"/>
    <cellStyle name="Normal 2 2 2 34 3 7" xfId="19325" xr:uid="{00000000-0005-0000-0000-00007D4B0000}"/>
    <cellStyle name="Normal 2 2 2 34 3 8" xfId="19326" xr:uid="{00000000-0005-0000-0000-00007E4B0000}"/>
    <cellStyle name="Normal 2 2 2 34 3 9" xfId="19327" xr:uid="{00000000-0005-0000-0000-00007F4B0000}"/>
    <cellStyle name="Normal 2 2 2 34 4" xfId="19328" xr:uid="{00000000-0005-0000-0000-0000804B0000}"/>
    <cellStyle name="Normal 2 2 2 34 4 10" xfId="19329" xr:uid="{00000000-0005-0000-0000-0000814B0000}"/>
    <cellStyle name="Normal 2 2 2 34 4 2" xfId="19330" xr:uid="{00000000-0005-0000-0000-0000824B0000}"/>
    <cellStyle name="Normal 2 2 2 34 4 3" xfId="19331" xr:uid="{00000000-0005-0000-0000-0000834B0000}"/>
    <cellStyle name="Normal 2 2 2 34 4 4" xfId="19332" xr:uid="{00000000-0005-0000-0000-0000844B0000}"/>
    <cellStyle name="Normal 2 2 2 34 4 5" xfId="19333" xr:uid="{00000000-0005-0000-0000-0000854B0000}"/>
    <cellStyle name="Normal 2 2 2 34 4 6" xfId="19334" xr:uid="{00000000-0005-0000-0000-0000864B0000}"/>
    <cellStyle name="Normal 2 2 2 34 4 7" xfId="19335" xr:uid="{00000000-0005-0000-0000-0000874B0000}"/>
    <cellStyle name="Normal 2 2 2 34 4 8" xfId="19336" xr:uid="{00000000-0005-0000-0000-0000884B0000}"/>
    <cellStyle name="Normal 2 2 2 34 4 9" xfId="19337" xr:uid="{00000000-0005-0000-0000-0000894B0000}"/>
    <cellStyle name="Normal 2 2 2 34 5" xfId="19338" xr:uid="{00000000-0005-0000-0000-00008A4B0000}"/>
    <cellStyle name="Normal 2 2 2 34 5 10" xfId="19339" xr:uid="{00000000-0005-0000-0000-00008B4B0000}"/>
    <cellStyle name="Normal 2 2 2 34 5 2" xfId="19340" xr:uid="{00000000-0005-0000-0000-00008C4B0000}"/>
    <cellStyle name="Normal 2 2 2 34 5 3" xfId="19341" xr:uid="{00000000-0005-0000-0000-00008D4B0000}"/>
    <cellStyle name="Normal 2 2 2 34 5 4" xfId="19342" xr:uid="{00000000-0005-0000-0000-00008E4B0000}"/>
    <cellStyle name="Normal 2 2 2 34 5 5" xfId="19343" xr:uid="{00000000-0005-0000-0000-00008F4B0000}"/>
    <cellStyle name="Normal 2 2 2 34 5 6" xfId="19344" xr:uid="{00000000-0005-0000-0000-0000904B0000}"/>
    <cellStyle name="Normal 2 2 2 34 5 7" xfId="19345" xr:uid="{00000000-0005-0000-0000-0000914B0000}"/>
    <cellStyle name="Normal 2 2 2 34 5 8" xfId="19346" xr:uid="{00000000-0005-0000-0000-0000924B0000}"/>
    <cellStyle name="Normal 2 2 2 34 5 9" xfId="19347" xr:uid="{00000000-0005-0000-0000-0000934B0000}"/>
    <cellStyle name="Normal 2 2 2 34 6" xfId="19348" xr:uid="{00000000-0005-0000-0000-0000944B0000}"/>
    <cellStyle name="Normal 2 2 2 34 7" xfId="19349" xr:uid="{00000000-0005-0000-0000-0000954B0000}"/>
    <cellStyle name="Normal 2 2 2 34 8" xfId="19350" xr:uid="{00000000-0005-0000-0000-0000964B0000}"/>
    <cellStyle name="Normal 2 2 2 34 9" xfId="19351" xr:uid="{00000000-0005-0000-0000-0000974B0000}"/>
    <cellStyle name="Normal 2 2 2 35" xfId="19352" xr:uid="{00000000-0005-0000-0000-0000984B0000}"/>
    <cellStyle name="Normal 2 2 2 35 10" xfId="19353" xr:uid="{00000000-0005-0000-0000-0000994B0000}"/>
    <cellStyle name="Normal 2 2 2 35 11" xfId="19354" xr:uid="{00000000-0005-0000-0000-00009A4B0000}"/>
    <cellStyle name="Normal 2 2 2 35 12" xfId="19355" xr:uid="{00000000-0005-0000-0000-00009B4B0000}"/>
    <cellStyle name="Normal 2 2 2 35 13" xfId="19356" xr:uid="{00000000-0005-0000-0000-00009C4B0000}"/>
    <cellStyle name="Normal 2 2 2 35 14" xfId="19357" xr:uid="{00000000-0005-0000-0000-00009D4B0000}"/>
    <cellStyle name="Normal 2 2 2 35 2" xfId="19358" xr:uid="{00000000-0005-0000-0000-00009E4B0000}"/>
    <cellStyle name="Normal 2 2 2 35 2 10" xfId="19359" xr:uid="{00000000-0005-0000-0000-00009F4B0000}"/>
    <cellStyle name="Normal 2 2 2 35 2 2" xfId="19360" xr:uid="{00000000-0005-0000-0000-0000A04B0000}"/>
    <cellStyle name="Normal 2 2 2 35 2 3" xfId="19361" xr:uid="{00000000-0005-0000-0000-0000A14B0000}"/>
    <cellStyle name="Normal 2 2 2 35 2 4" xfId="19362" xr:uid="{00000000-0005-0000-0000-0000A24B0000}"/>
    <cellStyle name="Normal 2 2 2 35 2 5" xfId="19363" xr:uid="{00000000-0005-0000-0000-0000A34B0000}"/>
    <cellStyle name="Normal 2 2 2 35 2 6" xfId="19364" xr:uid="{00000000-0005-0000-0000-0000A44B0000}"/>
    <cellStyle name="Normal 2 2 2 35 2 7" xfId="19365" xr:uid="{00000000-0005-0000-0000-0000A54B0000}"/>
    <cellStyle name="Normal 2 2 2 35 2 8" xfId="19366" xr:uid="{00000000-0005-0000-0000-0000A64B0000}"/>
    <cellStyle name="Normal 2 2 2 35 2 9" xfId="19367" xr:uid="{00000000-0005-0000-0000-0000A74B0000}"/>
    <cellStyle name="Normal 2 2 2 35 3" xfId="19368" xr:uid="{00000000-0005-0000-0000-0000A84B0000}"/>
    <cellStyle name="Normal 2 2 2 35 3 10" xfId="19369" xr:uid="{00000000-0005-0000-0000-0000A94B0000}"/>
    <cellStyle name="Normal 2 2 2 35 3 2" xfId="19370" xr:uid="{00000000-0005-0000-0000-0000AA4B0000}"/>
    <cellStyle name="Normal 2 2 2 35 3 3" xfId="19371" xr:uid="{00000000-0005-0000-0000-0000AB4B0000}"/>
    <cellStyle name="Normal 2 2 2 35 3 4" xfId="19372" xr:uid="{00000000-0005-0000-0000-0000AC4B0000}"/>
    <cellStyle name="Normal 2 2 2 35 3 5" xfId="19373" xr:uid="{00000000-0005-0000-0000-0000AD4B0000}"/>
    <cellStyle name="Normal 2 2 2 35 3 6" xfId="19374" xr:uid="{00000000-0005-0000-0000-0000AE4B0000}"/>
    <cellStyle name="Normal 2 2 2 35 3 7" xfId="19375" xr:uid="{00000000-0005-0000-0000-0000AF4B0000}"/>
    <cellStyle name="Normal 2 2 2 35 3 8" xfId="19376" xr:uid="{00000000-0005-0000-0000-0000B04B0000}"/>
    <cellStyle name="Normal 2 2 2 35 3 9" xfId="19377" xr:uid="{00000000-0005-0000-0000-0000B14B0000}"/>
    <cellStyle name="Normal 2 2 2 35 4" xfId="19378" xr:uid="{00000000-0005-0000-0000-0000B24B0000}"/>
    <cellStyle name="Normal 2 2 2 35 4 10" xfId="19379" xr:uid="{00000000-0005-0000-0000-0000B34B0000}"/>
    <cellStyle name="Normal 2 2 2 35 4 2" xfId="19380" xr:uid="{00000000-0005-0000-0000-0000B44B0000}"/>
    <cellStyle name="Normal 2 2 2 35 4 3" xfId="19381" xr:uid="{00000000-0005-0000-0000-0000B54B0000}"/>
    <cellStyle name="Normal 2 2 2 35 4 4" xfId="19382" xr:uid="{00000000-0005-0000-0000-0000B64B0000}"/>
    <cellStyle name="Normal 2 2 2 35 4 5" xfId="19383" xr:uid="{00000000-0005-0000-0000-0000B74B0000}"/>
    <cellStyle name="Normal 2 2 2 35 4 6" xfId="19384" xr:uid="{00000000-0005-0000-0000-0000B84B0000}"/>
    <cellStyle name="Normal 2 2 2 35 4 7" xfId="19385" xr:uid="{00000000-0005-0000-0000-0000B94B0000}"/>
    <cellStyle name="Normal 2 2 2 35 4 8" xfId="19386" xr:uid="{00000000-0005-0000-0000-0000BA4B0000}"/>
    <cellStyle name="Normal 2 2 2 35 4 9" xfId="19387" xr:uid="{00000000-0005-0000-0000-0000BB4B0000}"/>
    <cellStyle name="Normal 2 2 2 35 5" xfId="19388" xr:uid="{00000000-0005-0000-0000-0000BC4B0000}"/>
    <cellStyle name="Normal 2 2 2 35 5 10" xfId="19389" xr:uid="{00000000-0005-0000-0000-0000BD4B0000}"/>
    <cellStyle name="Normal 2 2 2 35 5 2" xfId="19390" xr:uid="{00000000-0005-0000-0000-0000BE4B0000}"/>
    <cellStyle name="Normal 2 2 2 35 5 3" xfId="19391" xr:uid="{00000000-0005-0000-0000-0000BF4B0000}"/>
    <cellStyle name="Normal 2 2 2 35 5 4" xfId="19392" xr:uid="{00000000-0005-0000-0000-0000C04B0000}"/>
    <cellStyle name="Normal 2 2 2 35 5 5" xfId="19393" xr:uid="{00000000-0005-0000-0000-0000C14B0000}"/>
    <cellStyle name="Normal 2 2 2 35 5 6" xfId="19394" xr:uid="{00000000-0005-0000-0000-0000C24B0000}"/>
    <cellStyle name="Normal 2 2 2 35 5 7" xfId="19395" xr:uid="{00000000-0005-0000-0000-0000C34B0000}"/>
    <cellStyle name="Normal 2 2 2 35 5 8" xfId="19396" xr:uid="{00000000-0005-0000-0000-0000C44B0000}"/>
    <cellStyle name="Normal 2 2 2 35 5 9" xfId="19397" xr:uid="{00000000-0005-0000-0000-0000C54B0000}"/>
    <cellStyle name="Normal 2 2 2 35 6" xfId="19398" xr:uid="{00000000-0005-0000-0000-0000C64B0000}"/>
    <cellStyle name="Normal 2 2 2 35 7" xfId="19399" xr:uid="{00000000-0005-0000-0000-0000C74B0000}"/>
    <cellStyle name="Normal 2 2 2 35 8" xfId="19400" xr:uid="{00000000-0005-0000-0000-0000C84B0000}"/>
    <cellStyle name="Normal 2 2 2 35 9" xfId="19401" xr:uid="{00000000-0005-0000-0000-0000C94B0000}"/>
    <cellStyle name="Normal 2 2 2 36" xfId="19402" xr:uid="{00000000-0005-0000-0000-0000CA4B0000}"/>
    <cellStyle name="Normal 2 2 2 36 10" xfId="19403" xr:uid="{00000000-0005-0000-0000-0000CB4B0000}"/>
    <cellStyle name="Normal 2 2 2 36 2" xfId="19404" xr:uid="{00000000-0005-0000-0000-0000CC4B0000}"/>
    <cellStyle name="Normal 2 2 2 36 3" xfId="19405" xr:uid="{00000000-0005-0000-0000-0000CD4B0000}"/>
    <cellStyle name="Normal 2 2 2 36 4" xfId="19406" xr:uid="{00000000-0005-0000-0000-0000CE4B0000}"/>
    <cellStyle name="Normal 2 2 2 36 5" xfId="19407" xr:uid="{00000000-0005-0000-0000-0000CF4B0000}"/>
    <cellStyle name="Normal 2 2 2 36 6" xfId="19408" xr:uid="{00000000-0005-0000-0000-0000D04B0000}"/>
    <cellStyle name="Normal 2 2 2 36 7" xfId="19409" xr:uid="{00000000-0005-0000-0000-0000D14B0000}"/>
    <cellStyle name="Normal 2 2 2 36 8" xfId="19410" xr:uid="{00000000-0005-0000-0000-0000D24B0000}"/>
    <cellStyle name="Normal 2 2 2 36 9" xfId="19411" xr:uid="{00000000-0005-0000-0000-0000D34B0000}"/>
    <cellStyle name="Normal 2 2 2 37" xfId="19412" xr:uid="{00000000-0005-0000-0000-0000D44B0000}"/>
    <cellStyle name="Normal 2 2 2 37 10" xfId="19413" xr:uid="{00000000-0005-0000-0000-0000D54B0000}"/>
    <cellStyle name="Normal 2 2 2 37 2" xfId="19414" xr:uid="{00000000-0005-0000-0000-0000D64B0000}"/>
    <cellStyle name="Normal 2 2 2 37 3" xfId="19415" xr:uid="{00000000-0005-0000-0000-0000D74B0000}"/>
    <cellStyle name="Normal 2 2 2 37 4" xfId="19416" xr:uid="{00000000-0005-0000-0000-0000D84B0000}"/>
    <cellStyle name="Normal 2 2 2 37 5" xfId="19417" xr:uid="{00000000-0005-0000-0000-0000D94B0000}"/>
    <cellStyle name="Normal 2 2 2 37 6" xfId="19418" xr:uid="{00000000-0005-0000-0000-0000DA4B0000}"/>
    <cellStyle name="Normal 2 2 2 37 7" xfId="19419" xr:uid="{00000000-0005-0000-0000-0000DB4B0000}"/>
    <cellStyle name="Normal 2 2 2 37 8" xfId="19420" xr:uid="{00000000-0005-0000-0000-0000DC4B0000}"/>
    <cellStyle name="Normal 2 2 2 37 9" xfId="19421" xr:uid="{00000000-0005-0000-0000-0000DD4B0000}"/>
    <cellStyle name="Normal 2 2 2 38" xfId="19422" xr:uid="{00000000-0005-0000-0000-0000DE4B0000}"/>
    <cellStyle name="Normal 2 2 2 38 10" xfId="19423" xr:uid="{00000000-0005-0000-0000-0000DF4B0000}"/>
    <cellStyle name="Normal 2 2 2 38 2" xfId="19424" xr:uid="{00000000-0005-0000-0000-0000E04B0000}"/>
    <cellStyle name="Normal 2 2 2 38 3" xfId="19425" xr:uid="{00000000-0005-0000-0000-0000E14B0000}"/>
    <cellStyle name="Normal 2 2 2 38 4" xfId="19426" xr:uid="{00000000-0005-0000-0000-0000E24B0000}"/>
    <cellStyle name="Normal 2 2 2 38 5" xfId="19427" xr:uid="{00000000-0005-0000-0000-0000E34B0000}"/>
    <cellStyle name="Normal 2 2 2 38 6" xfId="19428" xr:uid="{00000000-0005-0000-0000-0000E44B0000}"/>
    <cellStyle name="Normal 2 2 2 38 7" xfId="19429" xr:uid="{00000000-0005-0000-0000-0000E54B0000}"/>
    <cellStyle name="Normal 2 2 2 38 8" xfId="19430" xr:uid="{00000000-0005-0000-0000-0000E64B0000}"/>
    <cellStyle name="Normal 2 2 2 38 9" xfId="19431" xr:uid="{00000000-0005-0000-0000-0000E74B0000}"/>
    <cellStyle name="Normal 2 2 2 39" xfId="19432" xr:uid="{00000000-0005-0000-0000-0000E84B0000}"/>
    <cellStyle name="Normal 2 2 2 39 10" xfId="19433" xr:uid="{00000000-0005-0000-0000-0000E94B0000}"/>
    <cellStyle name="Normal 2 2 2 39 2" xfId="19434" xr:uid="{00000000-0005-0000-0000-0000EA4B0000}"/>
    <cellStyle name="Normal 2 2 2 39 3" xfId="19435" xr:uid="{00000000-0005-0000-0000-0000EB4B0000}"/>
    <cellStyle name="Normal 2 2 2 39 4" xfId="19436" xr:uid="{00000000-0005-0000-0000-0000EC4B0000}"/>
    <cellStyle name="Normal 2 2 2 39 5" xfId="19437" xr:uid="{00000000-0005-0000-0000-0000ED4B0000}"/>
    <cellStyle name="Normal 2 2 2 39 6" xfId="19438" xr:uid="{00000000-0005-0000-0000-0000EE4B0000}"/>
    <cellStyle name="Normal 2 2 2 39 7" xfId="19439" xr:uid="{00000000-0005-0000-0000-0000EF4B0000}"/>
    <cellStyle name="Normal 2 2 2 39 8" xfId="19440" xr:uid="{00000000-0005-0000-0000-0000F04B0000}"/>
    <cellStyle name="Normal 2 2 2 39 9" xfId="19441" xr:uid="{00000000-0005-0000-0000-0000F14B0000}"/>
    <cellStyle name="Normal 2 2 2 4" xfId="19442" xr:uid="{00000000-0005-0000-0000-0000F24B0000}"/>
    <cellStyle name="Normal 2 2 2 4 10" xfId="19443" xr:uid="{00000000-0005-0000-0000-0000F34B0000}"/>
    <cellStyle name="Normal 2 2 2 4 11" xfId="19444" xr:uid="{00000000-0005-0000-0000-0000F44B0000}"/>
    <cellStyle name="Normal 2 2 2 4 12" xfId="19445" xr:uid="{00000000-0005-0000-0000-0000F54B0000}"/>
    <cellStyle name="Normal 2 2 2 4 13" xfId="19446" xr:uid="{00000000-0005-0000-0000-0000F64B0000}"/>
    <cellStyle name="Normal 2 2 2 4 14" xfId="19447" xr:uid="{00000000-0005-0000-0000-0000F74B0000}"/>
    <cellStyle name="Normal 2 2 2 4 15" xfId="19448" xr:uid="{00000000-0005-0000-0000-0000F84B0000}"/>
    <cellStyle name="Normal 2 2 2 4 16" xfId="19449" xr:uid="{00000000-0005-0000-0000-0000F94B0000}"/>
    <cellStyle name="Normal 2 2 2 4 17" xfId="19450" xr:uid="{00000000-0005-0000-0000-0000FA4B0000}"/>
    <cellStyle name="Normal 2 2 2 4 18" xfId="19451" xr:uid="{00000000-0005-0000-0000-0000FB4B0000}"/>
    <cellStyle name="Normal 2 2 2 4 19" xfId="19452" xr:uid="{00000000-0005-0000-0000-0000FC4B0000}"/>
    <cellStyle name="Normal 2 2 2 4 2" xfId="19453" xr:uid="{00000000-0005-0000-0000-0000FD4B0000}"/>
    <cellStyle name="Normal 2 2 2 4 2 10" xfId="19454" xr:uid="{00000000-0005-0000-0000-0000FE4B0000}"/>
    <cellStyle name="Normal 2 2 2 4 2 10 10" xfId="19455" xr:uid="{00000000-0005-0000-0000-0000FF4B0000}"/>
    <cellStyle name="Normal 2 2 2 4 2 10 11" xfId="19456" xr:uid="{00000000-0005-0000-0000-0000004C0000}"/>
    <cellStyle name="Normal 2 2 2 4 2 10 12" xfId="19457" xr:uid="{00000000-0005-0000-0000-0000014C0000}"/>
    <cellStyle name="Normal 2 2 2 4 2 10 13" xfId="19458" xr:uid="{00000000-0005-0000-0000-0000024C0000}"/>
    <cellStyle name="Normal 2 2 2 4 2 10 14" xfId="19459" xr:uid="{00000000-0005-0000-0000-0000034C0000}"/>
    <cellStyle name="Normal 2 2 2 4 2 10 2" xfId="19460" xr:uid="{00000000-0005-0000-0000-0000044C0000}"/>
    <cellStyle name="Normal 2 2 2 4 2 10 2 10" xfId="19461" xr:uid="{00000000-0005-0000-0000-0000054C0000}"/>
    <cellStyle name="Normal 2 2 2 4 2 10 2 2" xfId="19462" xr:uid="{00000000-0005-0000-0000-0000064C0000}"/>
    <cellStyle name="Normal 2 2 2 4 2 10 2 3" xfId="19463" xr:uid="{00000000-0005-0000-0000-0000074C0000}"/>
    <cellStyle name="Normal 2 2 2 4 2 10 2 4" xfId="19464" xr:uid="{00000000-0005-0000-0000-0000084C0000}"/>
    <cellStyle name="Normal 2 2 2 4 2 10 2 5" xfId="19465" xr:uid="{00000000-0005-0000-0000-0000094C0000}"/>
    <cellStyle name="Normal 2 2 2 4 2 10 2 6" xfId="19466" xr:uid="{00000000-0005-0000-0000-00000A4C0000}"/>
    <cellStyle name="Normal 2 2 2 4 2 10 2 7" xfId="19467" xr:uid="{00000000-0005-0000-0000-00000B4C0000}"/>
    <cellStyle name="Normal 2 2 2 4 2 10 2 8" xfId="19468" xr:uid="{00000000-0005-0000-0000-00000C4C0000}"/>
    <cellStyle name="Normal 2 2 2 4 2 10 2 9" xfId="19469" xr:uid="{00000000-0005-0000-0000-00000D4C0000}"/>
    <cellStyle name="Normal 2 2 2 4 2 10 3" xfId="19470" xr:uid="{00000000-0005-0000-0000-00000E4C0000}"/>
    <cellStyle name="Normal 2 2 2 4 2 10 3 10" xfId="19471" xr:uid="{00000000-0005-0000-0000-00000F4C0000}"/>
    <cellStyle name="Normal 2 2 2 4 2 10 3 2" xfId="19472" xr:uid="{00000000-0005-0000-0000-0000104C0000}"/>
    <cellStyle name="Normal 2 2 2 4 2 10 3 3" xfId="19473" xr:uid="{00000000-0005-0000-0000-0000114C0000}"/>
    <cellStyle name="Normal 2 2 2 4 2 10 3 4" xfId="19474" xr:uid="{00000000-0005-0000-0000-0000124C0000}"/>
    <cellStyle name="Normal 2 2 2 4 2 10 3 5" xfId="19475" xr:uid="{00000000-0005-0000-0000-0000134C0000}"/>
    <cellStyle name="Normal 2 2 2 4 2 10 3 6" xfId="19476" xr:uid="{00000000-0005-0000-0000-0000144C0000}"/>
    <cellStyle name="Normal 2 2 2 4 2 10 3 7" xfId="19477" xr:uid="{00000000-0005-0000-0000-0000154C0000}"/>
    <cellStyle name="Normal 2 2 2 4 2 10 3 8" xfId="19478" xr:uid="{00000000-0005-0000-0000-0000164C0000}"/>
    <cellStyle name="Normal 2 2 2 4 2 10 3 9" xfId="19479" xr:uid="{00000000-0005-0000-0000-0000174C0000}"/>
    <cellStyle name="Normal 2 2 2 4 2 10 4" xfId="19480" xr:uid="{00000000-0005-0000-0000-0000184C0000}"/>
    <cellStyle name="Normal 2 2 2 4 2 10 4 10" xfId="19481" xr:uid="{00000000-0005-0000-0000-0000194C0000}"/>
    <cellStyle name="Normal 2 2 2 4 2 10 4 2" xfId="19482" xr:uid="{00000000-0005-0000-0000-00001A4C0000}"/>
    <cellStyle name="Normal 2 2 2 4 2 10 4 3" xfId="19483" xr:uid="{00000000-0005-0000-0000-00001B4C0000}"/>
    <cellStyle name="Normal 2 2 2 4 2 10 4 4" xfId="19484" xr:uid="{00000000-0005-0000-0000-00001C4C0000}"/>
    <cellStyle name="Normal 2 2 2 4 2 10 4 5" xfId="19485" xr:uid="{00000000-0005-0000-0000-00001D4C0000}"/>
    <cellStyle name="Normal 2 2 2 4 2 10 4 6" xfId="19486" xr:uid="{00000000-0005-0000-0000-00001E4C0000}"/>
    <cellStyle name="Normal 2 2 2 4 2 10 4 7" xfId="19487" xr:uid="{00000000-0005-0000-0000-00001F4C0000}"/>
    <cellStyle name="Normal 2 2 2 4 2 10 4 8" xfId="19488" xr:uid="{00000000-0005-0000-0000-0000204C0000}"/>
    <cellStyle name="Normal 2 2 2 4 2 10 4 9" xfId="19489" xr:uid="{00000000-0005-0000-0000-0000214C0000}"/>
    <cellStyle name="Normal 2 2 2 4 2 10 5" xfId="19490" xr:uid="{00000000-0005-0000-0000-0000224C0000}"/>
    <cellStyle name="Normal 2 2 2 4 2 10 5 10" xfId="19491" xr:uid="{00000000-0005-0000-0000-0000234C0000}"/>
    <cellStyle name="Normal 2 2 2 4 2 10 5 2" xfId="19492" xr:uid="{00000000-0005-0000-0000-0000244C0000}"/>
    <cellStyle name="Normal 2 2 2 4 2 10 5 3" xfId="19493" xr:uid="{00000000-0005-0000-0000-0000254C0000}"/>
    <cellStyle name="Normal 2 2 2 4 2 10 5 4" xfId="19494" xr:uid="{00000000-0005-0000-0000-0000264C0000}"/>
    <cellStyle name="Normal 2 2 2 4 2 10 5 5" xfId="19495" xr:uid="{00000000-0005-0000-0000-0000274C0000}"/>
    <cellStyle name="Normal 2 2 2 4 2 10 5 6" xfId="19496" xr:uid="{00000000-0005-0000-0000-0000284C0000}"/>
    <cellStyle name="Normal 2 2 2 4 2 10 5 7" xfId="19497" xr:uid="{00000000-0005-0000-0000-0000294C0000}"/>
    <cellStyle name="Normal 2 2 2 4 2 10 5 8" xfId="19498" xr:uid="{00000000-0005-0000-0000-00002A4C0000}"/>
    <cellStyle name="Normal 2 2 2 4 2 10 5 9" xfId="19499" xr:uid="{00000000-0005-0000-0000-00002B4C0000}"/>
    <cellStyle name="Normal 2 2 2 4 2 10 6" xfId="19500" xr:uid="{00000000-0005-0000-0000-00002C4C0000}"/>
    <cellStyle name="Normal 2 2 2 4 2 10 7" xfId="19501" xr:uid="{00000000-0005-0000-0000-00002D4C0000}"/>
    <cellStyle name="Normal 2 2 2 4 2 10 8" xfId="19502" xr:uid="{00000000-0005-0000-0000-00002E4C0000}"/>
    <cellStyle name="Normal 2 2 2 4 2 10 9" xfId="19503" xr:uid="{00000000-0005-0000-0000-00002F4C0000}"/>
    <cellStyle name="Normal 2 2 2 4 2 11" xfId="19504" xr:uid="{00000000-0005-0000-0000-0000304C0000}"/>
    <cellStyle name="Normal 2 2 2 4 2 11 10" xfId="19505" xr:uid="{00000000-0005-0000-0000-0000314C0000}"/>
    <cellStyle name="Normal 2 2 2 4 2 11 11" xfId="19506" xr:uid="{00000000-0005-0000-0000-0000324C0000}"/>
    <cellStyle name="Normal 2 2 2 4 2 11 12" xfId="19507" xr:uid="{00000000-0005-0000-0000-0000334C0000}"/>
    <cellStyle name="Normal 2 2 2 4 2 11 13" xfId="19508" xr:uid="{00000000-0005-0000-0000-0000344C0000}"/>
    <cellStyle name="Normal 2 2 2 4 2 11 14" xfId="19509" xr:uid="{00000000-0005-0000-0000-0000354C0000}"/>
    <cellStyle name="Normal 2 2 2 4 2 11 2" xfId="19510" xr:uid="{00000000-0005-0000-0000-0000364C0000}"/>
    <cellStyle name="Normal 2 2 2 4 2 11 2 10" xfId="19511" xr:uid="{00000000-0005-0000-0000-0000374C0000}"/>
    <cellStyle name="Normal 2 2 2 4 2 11 2 2" xfId="19512" xr:uid="{00000000-0005-0000-0000-0000384C0000}"/>
    <cellStyle name="Normal 2 2 2 4 2 11 2 3" xfId="19513" xr:uid="{00000000-0005-0000-0000-0000394C0000}"/>
    <cellStyle name="Normal 2 2 2 4 2 11 2 4" xfId="19514" xr:uid="{00000000-0005-0000-0000-00003A4C0000}"/>
    <cellStyle name="Normal 2 2 2 4 2 11 2 5" xfId="19515" xr:uid="{00000000-0005-0000-0000-00003B4C0000}"/>
    <cellStyle name="Normal 2 2 2 4 2 11 2 6" xfId="19516" xr:uid="{00000000-0005-0000-0000-00003C4C0000}"/>
    <cellStyle name="Normal 2 2 2 4 2 11 2 7" xfId="19517" xr:uid="{00000000-0005-0000-0000-00003D4C0000}"/>
    <cellStyle name="Normal 2 2 2 4 2 11 2 8" xfId="19518" xr:uid="{00000000-0005-0000-0000-00003E4C0000}"/>
    <cellStyle name="Normal 2 2 2 4 2 11 2 9" xfId="19519" xr:uid="{00000000-0005-0000-0000-00003F4C0000}"/>
    <cellStyle name="Normal 2 2 2 4 2 11 3" xfId="19520" xr:uid="{00000000-0005-0000-0000-0000404C0000}"/>
    <cellStyle name="Normal 2 2 2 4 2 11 3 10" xfId="19521" xr:uid="{00000000-0005-0000-0000-0000414C0000}"/>
    <cellStyle name="Normal 2 2 2 4 2 11 3 2" xfId="19522" xr:uid="{00000000-0005-0000-0000-0000424C0000}"/>
    <cellStyle name="Normal 2 2 2 4 2 11 3 3" xfId="19523" xr:uid="{00000000-0005-0000-0000-0000434C0000}"/>
    <cellStyle name="Normal 2 2 2 4 2 11 3 4" xfId="19524" xr:uid="{00000000-0005-0000-0000-0000444C0000}"/>
    <cellStyle name="Normal 2 2 2 4 2 11 3 5" xfId="19525" xr:uid="{00000000-0005-0000-0000-0000454C0000}"/>
    <cellStyle name="Normal 2 2 2 4 2 11 3 6" xfId="19526" xr:uid="{00000000-0005-0000-0000-0000464C0000}"/>
    <cellStyle name="Normal 2 2 2 4 2 11 3 7" xfId="19527" xr:uid="{00000000-0005-0000-0000-0000474C0000}"/>
    <cellStyle name="Normal 2 2 2 4 2 11 3 8" xfId="19528" xr:uid="{00000000-0005-0000-0000-0000484C0000}"/>
    <cellStyle name="Normal 2 2 2 4 2 11 3 9" xfId="19529" xr:uid="{00000000-0005-0000-0000-0000494C0000}"/>
    <cellStyle name="Normal 2 2 2 4 2 11 4" xfId="19530" xr:uid="{00000000-0005-0000-0000-00004A4C0000}"/>
    <cellStyle name="Normal 2 2 2 4 2 11 4 10" xfId="19531" xr:uid="{00000000-0005-0000-0000-00004B4C0000}"/>
    <cellStyle name="Normal 2 2 2 4 2 11 4 2" xfId="19532" xr:uid="{00000000-0005-0000-0000-00004C4C0000}"/>
    <cellStyle name="Normal 2 2 2 4 2 11 4 3" xfId="19533" xr:uid="{00000000-0005-0000-0000-00004D4C0000}"/>
    <cellStyle name="Normal 2 2 2 4 2 11 4 4" xfId="19534" xr:uid="{00000000-0005-0000-0000-00004E4C0000}"/>
    <cellStyle name="Normal 2 2 2 4 2 11 4 5" xfId="19535" xr:uid="{00000000-0005-0000-0000-00004F4C0000}"/>
    <cellStyle name="Normal 2 2 2 4 2 11 4 6" xfId="19536" xr:uid="{00000000-0005-0000-0000-0000504C0000}"/>
    <cellStyle name="Normal 2 2 2 4 2 11 4 7" xfId="19537" xr:uid="{00000000-0005-0000-0000-0000514C0000}"/>
    <cellStyle name="Normal 2 2 2 4 2 11 4 8" xfId="19538" xr:uid="{00000000-0005-0000-0000-0000524C0000}"/>
    <cellStyle name="Normal 2 2 2 4 2 11 4 9" xfId="19539" xr:uid="{00000000-0005-0000-0000-0000534C0000}"/>
    <cellStyle name="Normal 2 2 2 4 2 11 5" xfId="19540" xr:uid="{00000000-0005-0000-0000-0000544C0000}"/>
    <cellStyle name="Normal 2 2 2 4 2 11 5 10" xfId="19541" xr:uid="{00000000-0005-0000-0000-0000554C0000}"/>
    <cellStyle name="Normal 2 2 2 4 2 11 5 2" xfId="19542" xr:uid="{00000000-0005-0000-0000-0000564C0000}"/>
    <cellStyle name="Normal 2 2 2 4 2 11 5 3" xfId="19543" xr:uid="{00000000-0005-0000-0000-0000574C0000}"/>
    <cellStyle name="Normal 2 2 2 4 2 11 5 4" xfId="19544" xr:uid="{00000000-0005-0000-0000-0000584C0000}"/>
    <cellStyle name="Normal 2 2 2 4 2 11 5 5" xfId="19545" xr:uid="{00000000-0005-0000-0000-0000594C0000}"/>
    <cellStyle name="Normal 2 2 2 4 2 11 5 6" xfId="19546" xr:uid="{00000000-0005-0000-0000-00005A4C0000}"/>
    <cellStyle name="Normal 2 2 2 4 2 11 5 7" xfId="19547" xr:uid="{00000000-0005-0000-0000-00005B4C0000}"/>
    <cellStyle name="Normal 2 2 2 4 2 11 5 8" xfId="19548" xr:uid="{00000000-0005-0000-0000-00005C4C0000}"/>
    <cellStyle name="Normal 2 2 2 4 2 11 5 9" xfId="19549" xr:uid="{00000000-0005-0000-0000-00005D4C0000}"/>
    <cellStyle name="Normal 2 2 2 4 2 11 6" xfId="19550" xr:uid="{00000000-0005-0000-0000-00005E4C0000}"/>
    <cellStyle name="Normal 2 2 2 4 2 11 7" xfId="19551" xr:uid="{00000000-0005-0000-0000-00005F4C0000}"/>
    <cellStyle name="Normal 2 2 2 4 2 11 8" xfId="19552" xr:uid="{00000000-0005-0000-0000-0000604C0000}"/>
    <cellStyle name="Normal 2 2 2 4 2 11 9" xfId="19553" xr:uid="{00000000-0005-0000-0000-0000614C0000}"/>
    <cellStyle name="Normal 2 2 2 4 2 12" xfId="19554" xr:uid="{00000000-0005-0000-0000-0000624C0000}"/>
    <cellStyle name="Normal 2 2 2 4 2 12 10" xfId="19555" xr:uid="{00000000-0005-0000-0000-0000634C0000}"/>
    <cellStyle name="Normal 2 2 2 4 2 12 11" xfId="19556" xr:uid="{00000000-0005-0000-0000-0000644C0000}"/>
    <cellStyle name="Normal 2 2 2 4 2 12 12" xfId="19557" xr:uid="{00000000-0005-0000-0000-0000654C0000}"/>
    <cellStyle name="Normal 2 2 2 4 2 12 13" xfId="19558" xr:uid="{00000000-0005-0000-0000-0000664C0000}"/>
    <cellStyle name="Normal 2 2 2 4 2 12 14" xfId="19559" xr:uid="{00000000-0005-0000-0000-0000674C0000}"/>
    <cellStyle name="Normal 2 2 2 4 2 12 2" xfId="19560" xr:uid="{00000000-0005-0000-0000-0000684C0000}"/>
    <cellStyle name="Normal 2 2 2 4 2 12 2 10" xfId="19561" xr:uid="{00000000-0005-0000-0000-0000694C0000}"/>
    <cellStyle name="Normal 2 2 2 4 2 12 2 2" xfId="19562" xr:uid="{00000000-0005-0000-0000-00006A4C0000}"/>
    <cellStyle name="Normal 2 2 2 4 2 12 2 3" xfId="19563" xr:uid="{00000000-0005-0000-0000-00006B4C0000}"/>
    <cellStyle name="Normal 2 2 2 4 2 12 2 4" xfId="19564" xr:uid="{00000000-0005-0000-0000-00006C4C0000}"/>
    <cellStyle name="Normal 2 2 2 4 2 12 2 5" xfId="19565" xr:uid="{00000000-0005-0000-0000-00006D4C0000}"/>
    <cellStyle name="Normal 2 2 2 4 2 12 2 6" xfId="19566" xr:uid="{00000000-0005-0000-0000-00006E4C0000}"/>
    <cellStyle name="Normal 2 2 2 4 2 12 2 7" xfId="19567" xr:uid="{00000000-0005-0000-0000-00006F4C0000}"/>
    <cellStyle name="Normal 2 2 2 4 2 12 2 8" xfId="19568" xr:uid="{00000000-0005-0000-0000-0000704C0000}"/>
    <cellStyle name="Normal 2 2 2 4 2 12 2 9" xfId="19569" xr:uid="{00000000-0005-0000-0000-0000714C0000}"/>
    <cellStyle name="Normal 2 2 2 4 2 12 3" xfId="19570" xr:uid="{00000000-0005-0000-0000-0000724C0000}"/>
    <cellStyle name="Normal 2 2 2 4 2 12 3 10" xfId="19571" xr:uid="{00000000-0005-0000-0000-0000734C0000}"/>
    <cellStyle name="Normal 2 2 2 4 2 12 3 2" xfId="19572" xr:uid="{00000000-0005-0000-0000-0000744C0000}"/>
    <cellStyle name="Normal 2 2 2 4 2 12 3 3" xfId="19573" xr:uid="{00000000-0005-0000-0000-0000754C0000}"/>
    <cellStyle name="Normal 2 2 2 4 2 12 3 4" xfId="19574" xr:uid="{00000000-0005-0000-0000-0000764C0000}"/>
    <cellStyle name="Normal 2 2 2 4 2 12 3 5" xfId="19575" xr:uid="{00000000-0005-0000-0000-0000774C0000}"/>
    <cellStyle name="Normal 2 2 2 4 2 12 3 6" xfId="19576" xr:uid="{00000000-0005-0000-0000-0000784C0000}"/>
    <cellStyle name="Normal 2 2 2 4 2 12 3 7" xfId="19577" xr:uid="{00000000-0005-0000-0000-0000794C0000}"/>
    <cellStyle name="Normal 2 2 2 4 2 12 3 8" xfId="19578" xr:uid="{00000000-0005-0000-0000-00007A4C0000}"/>
    <cellStyle name="Normal 2 2 2 4 2 12 3 9" xfId="19579" xr:uid="{00000000-0005-0000-0000-00007B4C0000}"/>
    <cellStyle name="Normal 2 2 2 4 2 12 4" xfId="19580" xr:uid="{00000000-0005-0000-0000-00007C4C0000}"/>
    <cellStyle name="Normal 2 2 2 4 2 12 4 10" xfId="19581" xr:uid="{00000000-0005-0000-0000-00007D4C0000}"/>
    <cellStyle name="Normal 2 2 2 4 2 12 4 2" xfId="19582" xr:uid="{00000000-0005-0000-0000-00007E4C0000}"/>
    <cellStyle name="Normal 2 2 2 4 2 12 4 3" xfId="19583" xr:uid="{00000000-0005-0000-0000-00007F4C0000}"/>
    <cellStyle name="Normal 2 2 2 4 2 12 4 4" xfId="19584" xr:uid="{00000000-0005-0000-0000-0000804C0000}"/>
    <cellStyle name="Normal 2 2 2 4 2 12 4 5" xfId="19585" xr:uid="{00000000-0005-0000-0000-0000814C0000}"/>
    <cellStyle name="Normal 2 2 2 4 2 12 4 6" xfId="19586" xr:uid="{00000000-0005-0000-0000-0000824C0000}"/>
    <cellStyle name="Normal 2 2 2 4 2 12 4 7" xfId="19587" xr:uid="{00000000-0005-0000-0000-0000834C0000}"/>
    <cellStyle name="Normal 2 2 2 4 2 12 4 8" xfId="19588" xr:uid="{00000000-0005-0000-0000-0000844C0000}"/>
    <cellStyle name="Normal 2 2 2 4 2 12 4 9" xfId="19589" xr:uid="{00000000-0005-0000-0000-0000854C0000}"/>
    <cellStyle name="Normal 2 2 2 4 2 12 5" xfId="19590" xr:uid="{00000000-0005-0000-0000-0000864C0000}"/>
    <cellStyle name="Normal 2 2 2 4 2 12 5 10" xfId="19591" xr:uid="{00000000-0005-0000-0000-0000874C0000}"/>
    <cellStyle name="Normal 2 2 2 4 2 12 5 2" xfId="19592" xr:uid="{00000000-0005-0000-0000-0000884C0000}"/>
    <cellStyle name="Normal 2 2 2 4 2 12 5 3" xfId="19593" xr:uid="{00000000-0005-0000-0000-0000894C0000}"/>
    <cellStyle name="Normal 2 2 2 4 2 12 5 4" xfId="19594" xr:uid="{00000000-0005-0000-0000-00008A4C0000}"/>
    <cellStyle name="Normal 2 2 2 4 2 12 5 5" xfId="19595" xr:uid="{00000000-0005-0000-0000-00008B4C0000}"/>
    <cellStyle name="Normal 2 2 2 4 2 12 5 6" xfId="19596" xr:uid="{00000000-0005-0000-0000-00008C4C0000}"/>
    <cellStyle name="Normal 2 2 2 4 2 12 5 7" xfId="19597" xr:uid="{00000000-0005-0000-0000-00008D4C0000}"/>
    <cellStyle name="Normal 2 2 2 4 2 12 5 8" xfId="19598" xr:uid="{00000000-0005-0000-0000-00008E4C0000}"/>
    <cellStyle name="Normal 2 2 2 4 2 12 5 9" xfId="19599" xr:uid="{00000000-0005-0000-0000-00008F4C0000}"/>
    <cellStyle name="Normal 2 2 2 4 2 12 6" xfId="19600" xr:uid="{00000000-0005-0000-0000-0000904C0000}"/>
    <cellStyle name="Normal 2 2 2 4 2 12 7" xfId="19601" xr:uid="{00000000-0005-0000-0000-0000914C0000}"/>
    <cellStyle name="Normal 2 2 2 4 2 12 8" xfId="19602" xr:uid="{00000000-0005-0000-0000-0000924C0000}"/>
    <cellStyle name="Normal 2 2 2 4 2 12 9" xfId="19603" xr:uid="{00000000-0005-0000-0000-0000934C0000}"/>
    <cellStyle name="Normal 2 2 2 4 2 13" xfId="19604" xr:uid="{00000000-0005-0000-0000-0000944C0000}"/>
    <cellStyle name="Normal 2 2 2 4 2 13 10" xfId="19605" xr:uid="{00000000-0005-0000-0000-0000954C0000}"/>
    <cellStyle name="Normal 2 2 2 4 2 13 11" xfId="19606" xr:uid="{00000000-0005-0000-0000-0000964C0000}"/>
    <cellStyle name="Normal 2 2 2 4 2 13 12" xfId="19607" xr:uid="{00000000-0005-0000-0000-0000974C0000}"/>
    <cellStyle name="Normal 2 2 2 4 2 13 13" xfId="19608" xr:uid="{00000000-0005-0000-0000-0000984C0000}"/>
    <cellStyle name="Normal 2 2 2 4 2 13 14" xfId="19609" xr:uid="{00000000-0005-0000-0000-0000994C0000}"/>
    <cellStyle name="Normal 2 2 2 4 2 13 2" xfId="19610" xr:uid="{00000000-0005-0000-0000-00009A4C0000}"/>
    <cellStyle name="Normal 2 2 2 4 2 13 2 10" xfId="19611" xr:uid="{00000000-0005-0000-0000-00009B4C0000}"/>
    <cellStyle name="Normal 2 2 2 4 2 13 2 2" xfId="19612" xr:uid="{00000000-0005-0000-0000-00009C4C0000}"/>
    <cellStyle name="Normal 2 2 2 4 2 13 2 3" xfId="19613" xr:uid="{00000000-0005-0000-0000-00009D4C0000}"/>
    <cellStyle name="Normal 2 2 2 4 2 13 2 4" xfId="19614" xr:uid="{00000000-0005-0000-0000-00009E4C0000}"/>
    <cellStyle name="Normal 2 2 2 4 2 13 2 5" xfId="19615" xr:uid="{00000000-0005-0000-0000-00009F4C0000}"/>
    <cellStyle name="Normal 2 2 2 4 2 13 2 6" xfId="19616" xr:uid="{00000000-0005-0000-0000-0000A04C0000}"/>
    <cellStyle name="Normal 2 2 2 4 2 13 2 7" xfId="19617" xr:uid="{00000000-0005-0000-0000-0000A14C0000}"/>
    <cellStyle name="Normal 2 2 2 4 2 13 2 8" xfId="19618" xr:uid="{00000000-0005-0000-0000-0000A24C0000}"/>
    <cellStyle name="Normal 2 2 2 4 2 13 2 9" xfId="19619" xr:uid="{00000000-0005-0000-0000-0000A34C0000}"/>
    <cellStyle name="Normal 2 2 2 4 2 13 3" xfId="19620" xr:uid="{00000000-0005-0000-0000-0000A44C0000}"/>
    <cellStyle name="Normal 2 2 2 4 2 13 3 10" xfId="19621" xr:uid="{00000000-0005-0000-0000-0000A54C0000}"/>
    <cellStyle name="Normal 2 2 2 4 2 13 3 2" xfId="19622" xr:uid="{00000000-0005-0000-0000-0000A64C0000}"/>
    <cellStyle name="Normal 2 2 2 4 2 13 3 3" xfId="19623" xr:uid="{00000000-0005-0000-0000-0000A74C0000}"/>
    <cellStyle name="Normal 2 2 2 4 2 13 3 4" xfId="19624" xr:uid="{00000000-0005-0000-0000-0000A84C0000}"/>
    <cellStyle name="Normal 2 2 2 4 2 13 3 5" xfId="19625" xr:uid="{00000000-0005-0000-0000-0000A94C0000}"/>
    <cellStyle name="Normal 2 2 2 4 2 13 3 6" xfId="19626" xr:uid="{00000000-0005-0000-0000-0000AA4C0000}"/>
    <cellStyle name="Normal 2 2 2 4 2 13 3 7" xfId="19627" xr:uid="{00000000-0005-0000-0000-0000AB4C0000}"/>
    <cellStyle name="Normal 2 2 2 4 2 13 3 8" xfId="19628" xr:uid="{00000000-0005-0000-0000-0000AC4C0000}"/>
    <cellStyle name="Normal 2 2 2 4 2 13 3 9" xfId="19629" xr:uid="{00000000-0005-0000-0000-0000AD4C0000}"/>
    <cellStyle name="Normal 2 2 2 4 2 13 4" xfId="19630" xr:uid="{00000000-0005-0000-0000-0000AE4C0000}"/>
    <cellStyle name="Normal 2 2 2 4 2 13 4 10" xfId="19631" xr:uid="{00000000-0005-0000-0000-0000AF4C0000}"/>
    <cellStyle name="Normal 2 2 2 4 2 13 4 2" xfId="19632" xr:uid="{00000000-0005-0000-0000-0000B04C0000}"/>
    <cellStyle name="Normal 2 2 2 4 2 13 4 3" xfId="19633" xr:uid="{00000000-0005-0000-0000-0000B14C0000}"/>
    <cellStyle name="Normal 2 2 2 4 2 13 4 4" xfId="19634" xr:uid="{00000000-0005-0000-0000-0000B24C0000}"/>
    <cellStyle name="Normal 2 2 2 4 2 13 4 5" xfId="19635" xr:uid="{00000000-0005-0000-0000-0000B34C0000}"/>
    <cellStyle name="Normal 2 2 2 4 2 13 4 6" xfId="19636" xr:uid="{00000000-0005-0000-0000-0000B44C0000}"/>
    <cellStyle name="Normal 2 2 2 4 2 13 4 7" xfId="19637" xr:uid="{00000000-0005-0000-0000-0000B54C0000}"/>
    <cellStyle name="Normal 2 2 2 4 2 13 4 8" xfId="19638" xr:uid="{00000000-0005-0000-0000-0000B64C0000}"/>
    <cellStyle name="Normal 2 2 2 4 2 13 4 9" xfId="19639" xr:uid="{00000000-0005-0000-0000-0000B74C0000}"/>
    <cellStyle name="Normal 2 2 2 4 2 13 5" xfId="19640" xr:uid="{00000000-0005-0000-0000-0000B84C0000}"/>
    <cellStyle name="Normal 2 2 2 4 2 13 5 10" xfId="19641" xr:uid="{00000000-0005-0000-0000-0000B94C0000}"/>
    <cellStyle name="Normal 2 2 2 4 2 13 5 2" xfId="19642" xr:uid="{00000000-0005-0000-0000-0000BA4C0000}"/>
    <cellStyle name="Normal 2 2 2 4 2 13 5 3" xfId="19643" xr:uid="{00000000-0005-0000-0000-0000BB4C0000}"/>
    <cellStyle name="Normal 2 2 2 4 2 13 5 4" xfId="19644" xr:uid="{00000000-0005-0000-0000-0000BC4C0000}"/>
    <cellStyle name="Normal 2 2 2 4 2 13 5 5" xfId="19645" xr:uid="{00000000-0005-0000-0000-0000BD4C0000}"/>
    <cellStyle name="Normal 2 2 2 4 2 13 5 6" xfId="19646" xr:uid="{00000000-0005-0000-0000-0000BE4C0000}"/>
    <cellStyle name="Normal 2 2 2 4 2 13 5 7" xfId="19647" xr:uid="{00000000-0005-0000-0000-0000BF4C0000}"/>
    <cellStyle name="Normal 2 2 2 4 2 13 5 8" xfId="19648" xr:uid="{00000000-0005-0000-0000-0000C04C0000}"/>
    <cellStyle name="Normal 2 2 2 4 2 13 5 9" xfId="19649" xr:uid="{00000000-0005-0000-0000-0000C14C0000}"/>
    <cellStyle name="Normal 2 2 2 4 2 13 6" xfId="19650" xr:uid="{00000000-0005-0000-0000-0000C24C0000}"/>
    <cellStyle name="Normal 2 2 2 4 2 13 7" xfId="19651" xr:uid="{00000000-0005-0000-0000-0000C34C0000}"/>
    <cellStyle name="Normal 2 2 2 4 2 13 8" xfId="19652" xr:uid="{00000000-0005-0000-0000-0000C44C0000}"/>
    <cellStyle name="Normal 2 2 2 4 2 13 9" xfId="19653" xr:uid="{00000000-0005-0000-0000-0000C54C0000}"/>
    <cellStyle name="Normal 2 2 2 4 2 14" xfId="19654" xr:uid="{00000000-0005-0000-0000-0000C64C0000}"/>
    <cellStyle name="Normal 2 2 2 4 2 14 10" xfId="19655" xr:uid="{00000000-0005-0000-0000-0000C74C0000}"/>
    <cellStyle name="Normal 2 2 2 4 2 14 11" xfId="19656" xr:uid="{00000000-0005-0000-0000-0000C84C0000}"/>
    <cellStyle name="Normal 2 2 2 4 2 14 12" xfId="19657" xr:uid="{00000000-0005-0000-0000-0000C94C0000}"/>
    <cellStyle name="Normal 2 2 2 4 2 14 13" xfId="19658" xr:uid="{00000000-0005-0000-0000-0000CA4C0000}"/>
    <cellStyle name="Normal 2 2 2 4 2 14 14" xfId="19659" xr:uid="{00000000-0005-0000-0000-0000CB4C0000}"/>
    <cellStyle name="Normal 2 2 2 4 2 14 2" xfId="19660" xr:uid="{00000000-0005-0000-0000-0000CC4C0000}"/>
    <cellStyle name="Normal 2 2 2 4 2 14 2 10" xfId="19661" xr:uid="{00000000-0005-0000-0000-0000CD4C0000}"/>
    <cellStyle name="Normal 2 2 2 4 2 14 2 2" xfId="19662" xr:uid="{00000000-0005-0000-0000-0000CE4C0000}"/>
    <cellStyle name="Normal 2 2 2 4 2 14 2 3" xfId="19663" xr:uid="{00000000-0005-0000-0000-0000CF4C0000}"/>
    <cellStyle name="Normal 2 2 2 4 2 14 2 4" xfId="19664" xr:uid="{00000000-0005-0000-0000-0000D04C0000}"/>
    <cellStyle name="Normal 2 2 2 4 2 14 2 5" xfId="19665" xr:uid="{00000000-0005-0000-0000-0000D14C0000}"/>
    <cellStyle name="Normal 2 2 2 4 2 14 2 6" xfId="19666" xr:uid="{00000000-0005-0000-0000-0000D24C0000}"/>
    <cellStyle name="Normal 2 2 2 4 2 14 2 7" xfId="19667" xr:uid="{00000000-0005-0000-0000-0000D34C0000}"/>
    <cellStyle name="Normal 2 2 2 4 2 14 2 8" xfId="19668" xr:uid="{00000000-0005-0000-0000-0000D44C0000}"/>
    <cellStyle name="Normal 2 2 2 4 2 14 2 9" xfId="19669" xr:uid="{00000000-0005-0000-0000-0000D54C0000}"/>
    <cellStyle name="Normal 2 2 2 4 2 14 3" xfId="19670" xr:uid="{00000000-0005-0000-0000-0000D64C0000}"/>
    <cellStyle name="Normal 2 2 2 4 2 14 3 10" xfId="19671" xr:uid="{00000000-0005-0000-0000-0000D74C0000}"/>
    <cellStyle name="Normal 2 2 2 4 2 14 3 2" xfId="19672" xr:uid="{00000000-0005-0000-0000-0000D84C0000}"/>
    <cellStyle name="Normal 2 2 2 4 2 14 3 3" xfId="19673" xr:uid="{00000000-0005-0000-0000-0000D94C0000}"/>
    <cellStyle name="Normal 2 2 2 4 2 14 3 4" xfId="19674" xr:uid="{00000000-0005-0000-0000-0000DA4C0000}"/>
    <cellStyle name="Normal 2 2 2 4 2 14 3 5" xfId="19675" xr:uid="{00000000-0005-0000-0000-0000DB4C0000}"/>
    <cellStyle name="Normal 2 2 2 4 2 14 3 6" xfId="19676" xr:uid="{00000000-0005-0000-0000-0000DC4C0000}"/>
    <cellStyle name="Normal 2 2 2 4 2 14 3 7" xfId="19677" xr:uid="{00000000-0005-0000-0000-0000DD4C0000}"/>
    <cellStyle name="Normal 2 2 2 4 2 14 3 8" xfId="19678" xr:uid="{00000000-0005-0000-0000-0000DE4C0000}"/>
    <cellStyle name="Normal 2 2 2 4 2 14 3 9" xfId="19679" xr:uid="{00000000-0005-0000-0000-0000DF4C0000}"/>
    <cellStyle name="Normal 2 2 2 4 2 14 4" xfId="19680" xr:uid="{00000000-0005-0000-0000-0000E04C0000}"/>
    <cellStyle name="Normal 2 2 2 4 2 14 4 10" xfId="19681" xr:uid="{00000000-0005-0000-0000-0000E14C0000}"/>
    <cellStyle name="Normal 2 2 2 4 2 14 4 2" xfId="19682" xr:uid="{00000000-0005-0000-0000-0000E24C0000}"/>
    <cellStyle name="Normal 2 2 2 4 2 14 4 3" xfId="19683" xr:uid="{00000000-0005-0000-0000-0000E34C0000}"/>
    <cellStyle name="Normal 2 2 2 4 2 14 4 4" xfId="19684" xr:uid="{00000000-0005-0000-0000-0000E44C0000}"/>
    <cellStyle name="Normal 2 2 2 4 2 14 4 5" xfId="19685" xr:uid="{00000000-0005-0000-0000-0000E54C0000}"/>
    <cellStyle name="Normal 2 2 2 4 2 14 4 6" xfId="19686" xr:uid="{00000000-0005-0000-0000-0000E64C0000}"/>
    <cellStyle name="Normal 2 2 2 4 2 14 4 7" xfId="19687" xr:uid="{00000000-0005-0000-0000-0000E74C0000}"/>
    <cellStyle name="Normal 2 2 2 4 2 14 4 8" xfId="19688" xr:uid="{00000000-0005-0000-0000-0000E84C0000}"/>
    <cellStyle name="Normal 2 2 2 4 2 14 4 9" xfId="19689" xr:uid="{00000000-0005-0000-0000-0000E94C0000}"/>
    <cellStyle name="Normal 2 2 2 4 2 14 5" xfId="19690" xr:uid="{00000000-0005-0000-0000-0000EA4C0000}"/>
    <cellStyle name="Normal 2 2 2 4 2 14 5 10" xfId="19691" xr:uid="{00000000-0005-0000-0000-0000EB4C0000}"/>
    <cellStyle name="Normal 2 2 2 4 2 14 5 2" xfId="19692" xr:uid="{00000000-0005-0000-0000-0000EC4C0000}"/>
    <cellStyle name="Normal 2 2 2 4 2 14 5 3" xfId="19693" xr:uid="{00000000-0005-0000-0000-0000ED4C0000}"/>
    <cellStyle name="Normal 2 2 2 4 2 14 5 4" xfId="19694" xr:uid="{00000000-0005-0000-0000-0000EE4C0000}"/>
    <cellStyle name="Normal 2 2 2 4 2 14 5 5" xfId="19695" xr:uid="{00000000-0005-0000-0000-0000EF4C0000}"/>
    <cellStyle name="Normal 2 2 2 4 2 14 5 6" xfId="19696" xr:uid="{00000000-0005-0000-0000-0000F04C0000}"/>
    <cellStyle name="Normal 2 2 2 4 2 14 5 7" xfId="19697" xr:uid="{00000000-0005-0000-0000-0000F14C0000}"/>
    <cellStyle name="Normal 2 2 2 4 2 14 5 8" xfId="19698" xr:uid="{00000000-0005-0000-0000-0000F24C0000}"/>
    <cellStyle name="Normal 2 2 2 4 2 14 5 9" xfId="19699" xr:uid="{00000000-0005-0000-0000-0000F34C0000}"/>
    <cellStyle name="Normal 2 2 2 4 2 14 6" xfId="19700" xr:uid="{00000000-0005-0000-0000-0000F44C0000}"/>
    <cellStyle name="Normal 2 2 2 4 2 14 7" xfId="19701" xr:uid="{00000000-0005-0000-0000-0000F54C0000}"/>
    <cellStyle name="Normal 2 2 2 4 2 14 8" xfId="19702" xr:uid="{00000000-0005-0000-0000-0000F64C0000}"/>
    <cellStyle name="Normal 2 2 2 4 2 14 9" xfId="19703" xr:uid="{00000000-0005-0000-0000-0000F74C0000}"/>
    <cellStyle name="Normal 2 2 2 4 2 15" xfId="19704" xr:uid="{00000000-0005-0000-0000-0000F84C0000}"/>
    <cellStyle name="Normal 2 2 2 4 2 15 10" xfId="19705" xr:uid="{00000000-0005-0000-0000-0000F94C0000}"/>
    <cellStyle name="Normal 2 2 2 4 2 15 11" xfId="19706" xr:uid="{00000000-0005-0000-0000-0000FA4C0000}"/>
    <cellStyle name="Normal 2 2 2 4 2 15 12" xfId="19707" xr:uid="{00000000-0005-0000-0000-0000FB4C0000}"/>
    <cellStyle name="Normal 2 2 2 4 2 15 13" xfId="19708" xr:uid="{00000000-0005-0000-0000-0000FC4C0000}"/>
    <cellStyle name="Normal 2 2 2 4 2 15 14" xfId="19709" xr:uid="{00000000-0005-0000-0000-0000FD4C0000}"/>
    <cellStyle name="Normal 2 2 2 4 2 15 2" xfId="19710" xr:uid="{00000000-0005-0000-0000-0000FE4C0000}"/>
    <cellStyle name="Normal 2 2 2 4 2 15 2 10" xfId="19711" xr:uid="{00000000-0005-0000-0000-0000FF4C0000}"/>
    <cellStyle name="Normal 2 2 2 4 2 15 2 2" xfId="19712" xr:uid="{00000000-0005-0000-0000-0000004D0000}"/>
    <cellStyle name="Normal 2 2 2 4 2 15 2 3" xfId="19713" xr:uid="{00000000-0005-0000-0000-0000014D0000}"/>
    <cellStyle name="Normal 2 2 2 4 2 15 2 4" xfId="19714" xr:uid="{00000000-0005-0000-0000-0000024D0000}"/>
    <cellStyle name="Normal 2 2 2 4 2 15 2 5" xfId="19715" xr:uid="{00000000-0005-0000-0000-0000034D0000}"/>
    <cellStyle name="Normal 2 2 2 4 2 15 2 6" xfId="19716" xr:uid="{00000000-0005-0000-0000-0000044D0000}"/>
    <cellStyle name="Normal 2 2 2 4 2 15 2 7" xfId="19717" xr:uid="{00000000-0005-0000-0000-0000054D0000}"/>
    <cellStyle name="Normal 2 2 2 4 2 15 2 8" xfId="19718" xr:uid="{00000000-0005-0000-0000-0000064D0000}"/>
    <cellStyle name="Normal 2 2 2 4 2 15 2 9" xfId="19719" xr:uid="{00000000-0005-0000-0000-0000074D0000}"/>
    <cellStyle name="Normal 2 2 2 4 2 15 3" xfId="19720" xr:uid="{00000000-0005-0000-0000-0000084D0000}"/>
    <cellStyle name="Normal 2 2 2 4 2 15 3 10" xfId="19721" xr:uid="{00000000-0005-0000-0000-0000094D0000}"/>
    <cellStyle name="Normal 2 2 2 4 2 15 3 2" xfId="19722" xr:uid="{00000000-0005-0000-0000-00000A4D0000}"/>
    <cellStyle name="Normal 2 2 2 4 2 15 3 3" xfId="19723" xr:uid="{00000000-0005-0000-0000-00000B4D0000}"/>
    <cellStyle name="Normal 2 2 2 4 2 15 3 4" xfId="19724" xr:uid="{00000000-0005-0000-0000-00000C4D0000}"/>
    <cellStyle name="Normal 2 2 2 4 2 15 3 5" xfId="19725" xr:uid="{00000000-0005-0000-0000-00000D4D0000}"/>
    <cellStyle name="Normal 2 2 2 4 2 15 3 6" xfId="19726" xr:uid="{00000000-0005-0000-0000-00000E4D0000}"/>
    <cellStyle name="Normal 2 2 2 4 2 15 3 7" xfId="19727" xr:uid="{00000000-0005-0000-0000-00000F4D0000}"/>
    <cellStyle name="Normal 2 2 2 4 2 15 3 8" xfId="19728" xr:uid="{00000000-0005-0000-0000-0000104D0000}"/>
    <cellStyle name="Normal 2 2 2 4 2 15 3 9" xfId="19729" xr:uid="{00000000-0005-0000-0000-0000114D0000}"/>
    <cellStyle name="Normal 2 2 2 4 2 15 4" xfId="19730" xr:uid="{00000000-0005-0000-0000-0000124D0000}"/>
    <cellStyle name="Normal 2 2 2 4 2 15 4 10" xfId="19731" xr:uid="{00000000-0005-0000-0000-0000134D0000}"/>
    <cellStyle name="Normal 2 2 2 4 2 15 4 2" xfId="19732" xr:uid="{00000000-0005-0000-0000-0000144D0000}"/>
    <cellStyle name="Normal 2 2 2 4 2 15 4 3" xfId="19733" xr:uid="{00000000-0005-0000-0000-0000154D0000}"/>
    <cellStyle name="Normal 2 2 2 4 2 15 4 4" xfId="19734" xr:uid="{00000000-0005-0000-0000-0000164D0000}"/>
    <cellStyle name="Normal 2 2 2 4 2 15 4 5" xfId="19735" xr:uid="{00000000-0005-0000-0000-0000174D0000}"/>
    <cellStyle name="Normal 2 2 2 4 2 15 4 6" xfId="19736" xr:uid="{00000000-0005-0000-0000-0000184D0000}"/>
    <cellStyle name="Normal 2 2 2 4 2 15 4 7" xfId="19737" xr:uid="{00000000-0005-0000-0000-0000194D0000}"/>
    <cellStyle name="Normal 2 2 2 4 2 15 4 8" xfId="19738" xr:uid="{00000000-0005-0000-0000-00001A4D0000}"/>
    <cellStyle name="Normal 2 2 2 4 2 15 4 9" xfId="19739" xr:uid="{00000000-0005-0000-0000-00001B4D0000}"/>
    <cellStyle name="Normal 2 2 2 4 2 15 5" xfId="19740" xr:uid="{00000000-0005-0000-0000-00001C4D0000}"/>
    <cellStyle name="Normal 2 2 2 4 2 15 5 10" xfId="19741" xr:uid="{00000000-0005-0000-0000-00001D4D0000}"/>
    <cellStyle name="Normal 2 2 2 4 2 15 5 2" xfId="19742" xr:uid="{00000000-0005-0000-0000-00001E4D0000}"/>
    <cellStyle name="Normal 2 2 2 4 2 15 5 3" xfId="19743" xr:uid="{00000000-0005-0000-0000-00001F4D0000}"/>
    <cellStyle name="Normal 2 2 2 4 2 15 5 4" xfId="19744" xr:uid="{00000000-0005-0000-0000-0000204D0000}"/>
    <cellStyle name="Normal 2 2 2 4 2 15 5 5" xfId="19745" xr:uid="{00000000-0005-0000-0000-0000214D0000}"/>
    <cellStyle name="Normal 2 2 2 4 2 15 5 6" xfId="19746" xr:uid="{00000000-0005-0000-0000-0000224D0000}"/>
    <cellStyle name="Normal 2 2 2 4 2 15 5 7" xfId="19747" xr:uid="{00000000-0005-0000-0000-0000234D0000}"/>
    <cellStyle name="Normal 2 2 2 4 2 15 5 8" xfId="19748" xr:uid="{00000000-0005-0000-0000-0000244D0000}"/>
    <cellStyle name="Normal 2 2 2 4 2 15 5 9" xfId="19749" xr:uid="{00000000-0005-0000-0000-0000254D0000}"/>
    <cellStyle name="Normal 2 2 2 4 2 15 6" xfId="19750" xr:uid="{00000000-0005-0000-0000-0000264D0000}"/>
    <cellStyle name="Normal 2 2 2 4 2 15 7" xfId="19751" xr:uid="{00000000-0005-0000-0000-0000274D0000}"/>
    <cellStyle name="Normal 2 2 2 4 2 15 8" xfId="19752" xr:uid="{00000000-0005-0000-0000-0000284D0000}"/>
    <cellStyle name="Normal 2 2 2 4 2 15 9" xfId="19753" xr:uid="{00000000-0005-0000-0000-0000294D0000}"/>
    <cellStyle name="Normal 2 2 2 4 2 16" xfId="19754" xr:uid="{00000000-0005-0000-0000-00002A4D0000}"/>
    <cellStyle name="Normal 2 2 2 4 2 16 10" xfId="19755" xr:uid="{00000000-0005-0000-0000-00002B4D0000}"/>
    <cellStyle name="Normal 2 2 2 4 2 16 11" xfId="19756" xr:uid="{00000000-0005-0000-0000-00002C4D0000}"/>
    <cellStyle name="Normal 2 2 2 4 2 16 12" xfId="19757" xr:uid="{00000000-0005-0000-0000-00002D4D0000}"/>
    <cellStyle name="Normal 2 2 2 4 2 16 13" xfId="19758" xr:uid="{00000000-0005-0000-0000-00002E4D0000}"/>
    <cellStyle name="Normal 2 2 2 4 2 16 14" xfId="19759" xr:uid="{00000000-0005-0000-0000-00002F4D0000}"/>
    <cellStyle name="Normal 2 2 2 4 2 16 2" xfId="19760" xr:uid="{00000000-0005-0000-0000-0000304D0000}"/>
    <cellStyle name="Normal 2 2 2 4 2 16 2 10" xfId="19761" xr:uid="{00000000-0005-0000-0000-0000314D0000}"/>
    <cellStyle name="Normal 2 2 2 4 2 16 2 2" xfId="19762" xr:uid="{00000000-0005-0000-0000-0000324D0000}"/>
    <cellStyle name="Normal 2 2 2 4 2 16 2 3" xfId="19763" xr:uid="{00000000-0005-0000-0000-0000334D0000}"/>
    <cellStyle name="Normal 2 2 2 4 2 16 2 4" xfId="19764" xr:uid="{00000000-0005-0000-0000-0000344D0000}"/>
    <cellStyle name="Normal 2 2 2 4 2 16 2 5" xfId="19765" xr:uid="{00000000-0005-0000-0000-0000354D0000}"/>
    <cellStyle name="Normal 2 2 2 4 2 16 2 6" xfId="19766" xr:uid="{00000000-0005-0000-0000-0000364D0000}"/>
    <cellStyle name="Normal 2 2 2 4 2 16 2 7" xfId="19767" xr:uid="{00000000-0005-0000-0000-0000374D0000}"/>
    <cellStyle name="Normal 2 2 2 4 2 16 2 8" xfId="19768" xr:uid="{00000000-0005-0000-0000-0000384D0000}"/>
    <cellStyle name="Normal 2 2 2 4 2 16 2 9" xfId="19769" xr:uid="{00000000-0005-0000-0000-0000394D0000}"/>
    <cellStyle name="Normal 2 2 2 4 2 16 3" xfId="19770" xr:uid="{00000000-0005-0000-0000-00003A4D0000}"/>
    <cellStyle name="Normal 2 2 2 4 2 16 3 10" xfId="19771" xr:uid="{00000000-0005-0000-0000-00003B4D0000}"/>
    <cellStyle name="Normal 2 2 2 4 2 16 3 2" xfId="19772" xr:uid="{00000000-0005-0000-0000-00003C4D0000}"/>
    <cellStyle name="Normal 2 2 2 4 2 16 3 3" xfId="19773" xr:uid="{00000000-0005-0000-0000-00003D4D0000}"/>
    <cellStyle name="Normal 2 2 2 4 2 16 3 4" xfId="19774" xr:uid="{00000000-0005-0000-0000-00003E4D0000}"/>
    <cellStyle name="Normal 2 2 2 4 2 16 3 5" xfId="19775" xr:uid="{00000000-0005-0000-0000-00003F4D0000}"/>
    <cellStyle name="Normal 2 2 2 4 2 16 3 6" xfId="19776" xr:uid="{00000000-0005-0000-0000-0000404D0000}"/>
    <cellStyle name="Normal 2 2 2 4 2 16 3 7" xfId="19777" xr:uid="{00000000-0005-0000-0000-0000414D0000}"/>
    <cellStyle name="Normal 2 2 2 4 2 16 3 8" xfId="19778" xr:uid="{00000000-0005-0000-0000-0000424D0000}"/>
    <cellStyle name="Normal 2 2 2 4 2 16 3 9" xfId="19779" xr:uid="{00000000-0005-0000-0000-0000434D0000}"/>
    <cellStyle name="Normal 2 2 2 4 2 16 4" xfId="19780" xr:uid="{00000000-0005-0000-0000-0000444D0000}"/>
    <cellStyle name="Normal 2 2 2 4 2 16 4 10" xfId="19781" xr:uid="{00000000-0005-0000-0000-0000454D0000}"/>
    <cellStyle name="Normal 2 2 2 4 2 16 4 2" xfId="19782" xr:uid="{00000000-0005-0000-0000-0000464D0000}"/>
    <cellStyle name="Normal 2 2 2 4 2 16 4 3" xfId="19783" xr:uid="{00000000-0005-0000-0000-0000474D0000}"/>
    <cellStyle name="Normal 2 2 2 4 2 16 4 4" xfId="19784" xr:uid="{00000000-0005-0000-0000-0000484D0000}"/>
    <cellStyle name="Normal 2 2 2 4 2 16 4 5" xfId="19785" xr:uid="{00000000-0005-0000-0000-0000494D0000}"/>
    <cellStyle name="Normal 2 2 2 4 2 16 4 6" xfId="19786" xr:uid="{00000000-0005-0000-0000-00004A4D0000}"/>
    <cellStyle name="Normal 2 2 2 4 2 16 4 7" xfId="19787" xr:uid="{00000000-0005-0000-0000-00004B4D0000}"/>
    <cellStyle name="Normal 2 2 2 4 2 16 4 8" xfId="19788" xr:uid="{00000000-0005-0000-0000-00004C4D0000}"/>
    <cellStyle name="Normal 2 2 2 4 2 16 4 9" xfId="19789" xr:uid="{00000000-0005-0000-0000-00004D4D0000}"/>
    <cellStyle name="Normal 2 2 2 4 2 16 5" xfId="19790" xr:uid="{00000000-0005-0000-0000-00004E4D0000}"/>
    <cellStyle name="Normal 2 2 2 4 2 16 5 10" xfId="19791" xr:uid="{00000000-0005-0000-0000-00004F4D0000}"/>
    <cellStyle name="Normal 2 2 2 4 2 16 5 2" xfId="19792" xr:uid="{00000000-0005-0000-0000-0000504D0000}"/>
    <cellStyle name="Normal 2 2 2 4 2 16 5 3" xfId="19793" xr:uid="{00000000-0005-0000-0000-0000514D0000}"/>
    <cellStyle name="Normal 2 2 2 4 2 16 5 4" xfId="19794" xr:uid="{00000000-0005-0000-0000-0000524D0000}"/>
    <cellStyle name="Normal 2 2 2 4 2 16 5 5" xfId="19795" xr:uid="{00000000-0005-0000-0000-0000534D0000}"/>
    <cellStyle name="Normal 2 2 2 4 2 16 5 6" xfId="19796" xr:uid="{00000000-0005-0000-0000-0000544D0000}"/>
    <cellStyle name="Normal 2 2 2 4 2 16 5 7" xfId="19797" xr:uid="{00000000-0005-0000-0000-0000554D0000}"/>
    <cellStyle name="Normal 2 2 2 4 2 16 5 8" xfId="19798" xr:uid="{00000000-0005-0000-0000-0000564D0000}"/>
    <cellStyle name="Normal 2 2 2 4 2 16 5 9" xfId="19799" xr:uid="{00000000-0005-0000-0000-0000574D0000}"/>
    <cellStyle name="Normal 2 2 2 4 2 16 6" xfId="19800" xr:uid="{00000000-0005-0000-0000-0000584D0000}"/>
    <cellStyle name="Normal 2 2 2 4 2 16 7" xfId="19801" xr:uid="{00000000-0005-0000-0000-0000594D0000}"/>
    <cellStyle name="Normal 2 2 2 4 2 16 8" xfId="19802" xr:uid="{00000000-0005-0000-0000-00005A4D0000}"/>
    <cellStyle name="Normal 2 2 2 4 2 16 9" xfId="19803" xr:uid="{00000000-0005-0000-0000-00005B4D0000}"/>
    <cellStyle name="Normal 2 2 2 4 2 17" xfId="19804" xr:uid="{00000000-0005-0000-0000-00005C4D0000}"/>
    <cellStyle name="Normal 2 2 2 4 2 17 10" xfId="19805" xr:uid="{00000000-0005-0000-0000-00005D4D0000}"/>
    <cellStyle name="Normal 2 2 2 4 2 17 11" xfId="19806" xr:uid="{00000000-0005-0000-0000-00005E4D0000}"/>
    <cellStyle name="Normal 2 2 2 4 2 17 12" xfId="19807" xr:uid="{00000000-0005-0000-0000-00005F4D0000}"/>
    <cellStyle name="Normal 2 2 2 4 2 17 13" xfId="19808" xr:uid="{00000000-0005-0000-0000-0000604D0000}"/>
    <cellStyle name="Normal 2 2 2 4 2 17 14" xfId="19809" xr:uid="{00000000-0005-0000-0000-0000614D0000}"/>
    <cellStyle name="Normal 2 2 2 4 2 17 2" xfId="19810" xr:uid="{00000000-0005-0000-0000-0000624D0000}"/>
    <cellStyle name="Normal 2 2 2 4 2 17 2 10" xfId="19811" xr:uid="{00000000-0005-0000-0000-0000634D0000}"/>
    <cellStyle name="Normal 2 2 2 4 2 17 2 2" xfId="19812" xr:uid="{00000000-0005-0000-0000-0000644D0000}"/>
    <cellStyle name="Normal 2 2 2 4 2 17 2 3" xfId="19813" xr:uid="{00000000-0005-0000-0000-0000654D0000}"/>
    <cellStyle name="Normal 2 2 2 4 2 17 2 4" xfId="19814" xr:uid="{00000000-0005-0000-0000-0000664D0000}"/>
    <cellStyle name="Normal 2 2 2 4 2 17 2 5" xfId="19815" xr:uid="{00000000-0005-0000-0000-0000674D0000}"/>
    <cellStyle name="Normal 2 2 2 4 2 17 2 6" xfId="19816" xr:uid="{00000000-0005-0000-0000-0000684D0000}"/>
    <cellStyle name="Normal 2 2 2 4 2 17 2 7" xfId="19817" xr:uid="{00000000-0005-0000-0000-0000694D0000}"/>
    <cellStyle name="Normal 2 2 2 4 2 17 2 8" xfId="19818" xr:uid="{00000000-0005-0000-0000-00006A4D0000}"/>
    <cellStyle name="Normal 2 2 2 4 2 17 2 9" xfId="19819" xr:uid="{00000000-0005-0000-0000-00006B4D0000}"/>
    <cellStyle name="Normal 2 2 2 4 2 17 3" xfId="19820" xr:uid="{00000000-0005-0000-0000-00006C4D0000}"/>
    <cellStyle name="Normal 2 2 2 4 2 17 3 10" xfId="19821" xr:uid="{00000000-0005-0000-0000-00006D4D0000}"/>
    <cellStyle name="Normal 2 2 2 4 2 17 3 2" xfId="19822" xr:uid="{00000000-0005-0000-0000-00006E4D0000}"/>
    <cellStyle name="Normal 2 2 2 4 2 17 3 3" xfId="19823" xr:uid="{00000000-0005-0000-0000-00006F4D0000}"/>
    <cellStyle name="Normal 2 2 2 4 2 17 3 4" xfId="19824" xr:uid="{00000000-0005-0000-0000-0000704D0000}"/>
    <cellStyle name="Normal 2 2 2 4 2 17 3 5" xfId="19825" xr:uid="{00000000-0005-0000-0000-0000714D0000}"/>
    <cellStyle name="Normal 2 2 2 4 2 17 3 6" xfId="19826" xr:uid="{00000000-0005-0000-0000-0000724D0000}"/>
    <cellStyle name="Normal 2 2 2 4 2 17 3 7" xfId="19827" xr:uid="{00000000-0005-0000-0000-0000734D0000}"/>
    <cellStyle name="Normal 2 2 2 4 2 17 3 8" xfId="19828" xr:uid="{00000000-0005-0000-0000-0000744D0000}"/>
    <cellStyle name="Normal 2 2 2 4 2 17 3 9" xfId="19829" xr:uid="{00000000-0005-0000-0000-0000754D0000}"/>
    <cellStyle name="Normal 2 2 2 4 2 17 4" xfId="19830" xr:uid="{00000000-0005-0000-0000-0000764D0000}"/>
    <cellStyle name="Normal 2 2 2 4 2 17 4 10" xfId="19831" xr:uid="{00000000-0005-0000-0000-0000774D0000}"/>
    <cellStyle name="Normal 2 2 2 4 2 17 4 2" xfId="19832" xr:uid="{00000000-0005-0000-0000-0000784D0000}"/>
    <cellStyle name="Normal 2 2 2 4 2 17 4 3" xfId="19833" xr:uid="{00000000-0005-0000-0000-0000794D0000}"/>
    <cellStyle name="Normal 2 2 2 4 2 17 4 4" xfId="19834" xr:uid="{00000000-0005-0000-0000-00007A4D0000}"/>
    <cellStyle name="Normal 2 2 2 4 2 17 4 5" xfId="19835" xr:uid="{00000000-0005-0000-0000-00007B4D0000}"/>
    <cellStyle name="Normal 2 2 2 4 2 17 4 6" xfId="19836" xr:uid="{00000000-0005-0000-0000-00007C4D0000}"/>
    <cellStyle name="Normal 2 2 2 4 2 17 4 7" xfId="19837" xr:uid="{00000000-0005-0000-0000-00007D4D0000}"/>
    <cellStyle name="Normal 2 2 2 4 2 17 4 8" xfId="19838" xr:uid="{00000000-0005-0000-0000-00007E4D0000}"/>
    <cellStyle name="Normal 2 2 2 4 2 17 4 9" xfId="19839" xr:uid="{00000000-0005-0000-0000-00007F4D0000}"/>
    <cellStyle name="Normal 2 2 2 4 2 17 5" xfId="19840" xr:uid="{00000000-0005-0000-0000-0000804D0000}"/>
    <cellStyle name="Normal 2 2 2 4 2 17 5 10" xfId="19841" xr:uid="{00000000-0005-0000-0000-0000814D0000}"/>
    <cellStyle name="Normal 2 2 2 4 2 17 5 2" xfId="19842" xr:uid="{00000000-0005-0000-0000-0000824D0000}"/>
    <cellStyle name="Normal 2 2 2 4 2 17 5 3" xfId="19843" xr:uid="{00000000-0005-0000-0000-0000834D0000}"/>
    <cellStyle name="Normal 2 2 2 4 2 17 5 4" xfId="19844" xr:uid="{00000000-0005-0000-0000-0000844D0000}"/>
    <cellStyle name="Normal 2 2 2 4 2 17 5 5" xfId="19845" xr:uid="{00000000-0005-0000-0000-0000854D0000}"/>
    <cellStyle name="Normal 2 2 2 4 2 17 5 6" xfId="19846" xr:uid="{00000000-0005-0000-0000-0000864D0000}"/>
    <cellStyle name="Normal 2 2 2 4 2 17 5 7" xfId="19847" xr:uid="{00000000-0005-0000-0000-0000874D0000}"/>
    <cellStyle name="Normal 2 2 2 4 2 17 5 8" xfId="19848" xr:uid="{00000000-0005-0000-0000-0000884D0000}"/>
    <cellStyle name="Normal 2 2 2 4 2 17 5 9" xfId="19849" xr:uid="{00000000-0005-0000-0000-0000894D0000}"/>
    <cellStyle name="Normal 2 2 2 4 2 17 6" xfId="19850" xr:uid="{00000000-0005-0000-0000-00008A4D0000}"/>
    <cellStyle name="Normal 2 2 2 4 2 17 7" xfId="19851" xr:uid="{00000000-0005-0000-0000-00008B4D0000}"/>
    <cellStyle name="Normal 2 2 2 4 2 17 8" xfId="19852" xr:uid="{00000000-0005-0000-0000-00008C4D0000}"/>
    <cellStyle name="Normal 2 2 2 4 2 17 9" xfId="19853" xr:uid="{00000000-0005-0000-0000-00008D4D0000}"/>
    <cellStyle name="Normal 2 2 2 4 2 18" xfId="19854" xr:uid="{00000000-0005-0000-0000-00008E4D0000}"/>
    <cellStyle name="Normal 2 2 2 4 2 18 10" xfId="19855" xr:uid="{00000000-0005-0000-0000-00008F4D0000}"/>
    <cellStyle name="Normal 2 2 2 4 2 18 11" xfId="19856" xr:uid="{00000000-0005-0000-0000-0000904D0000}"/>
    <cellStyle name="Normal 2 2 2 4 2 18 12" xfId="19857" xr:uid="{00000000-0005-0000-0000-0000914D0000}"/>
    <cellStyle name="Normal 2 2 2 4 2 18 13" xfId="19858" xr:uid="{00000000-0005-0000-0000-0000924D0000}"/>
    <cellStyle name="Normal 2 2 2 4 2 18 14" xfId="19859" xr:uid="{00000000-0005-0000-0000-0000934D0000}"/>
    <cellStyle name="Normal 2 2 2 4 2 18 2" xfId="19860" xr:uid="{00000000-0005-0000-0000-0000944D0000}"/>
    <cellStyle name="Normal 2 2 2 4 2 18 2 10" xfId="19861" xr:uid="{00000000-0005-0000-0000-0000954D0000}"/>
    <cellStyle name="Normal 2 2 2 4 2 18 2 2" xfId="19862" xr:uid="{00000000-0005-0000-0000-0000964D0000}"/>
    <cellStyle name="Normal 2 2 2 4 2 18 2 3" xfId="19863" xr:uid="{00000000-0005-0000-0000-0000974D0000}"/>
    <cellStyle name="Normal 2 2 2 4 2 18 2 4" xfId="19864" xr:uid="{00000000-0005-0000-0000-0000984D0000}"/>
    <cellStyle name="Normal 2 2 2 4 2 18 2 5" xfId="19865" xr:uid="{00000000-0005-0000-0000-0000994D0000}"/>
    <cellStyle name="Normal 2 2 2 4 2 18 2 6" xfId="19866" xr:uid="{00000000-0005-0000-0000-00009A4D0000}"/>
    <cellStyle name="Normal 2 2 2 4 2 18 2 7" xfId="19867" xr:uid="{00000000-0005-0000-0000-00009B4D0000}"/>
    <cellStyle name="Normal 2 2 2 4 2 18 2 8" xfId="19868" xr:uid="{00000000-0005-0000-0000-00009C4D0000}"/>
    <cellStyle name="Normal 2 2 2 4 2 18 2 9" xfId="19869" xr:uid="{00000000-0005-0000-0000-00009D4D0000}"/>
    <cellStyle name="Normal 2 2 2 4 2 18 3" xfId="19870" xr:uid="{00000000-0005-0000-0000-00009E4D0000}"/>
    <cellStyle name="Normal 2 2 2 4 2 18 3 10" xfId="19871" xr:uid="{00000000-0005-0000-0000-00009F4D0000}"/>
    <cellStyle name="Normal 2 2 2 4 2 18 3 2" xfId="19872" xr:uid="{00000000-0005-0000-0000-0000A04D0000}"/>
    <cellStyle name="Normal 2 2 2 4 2 18 3 3" xfId="19873" xr:uid="{00000000-0005-0000-0000-0000A14D0000}"/>
    <cellStyle name="Normal 2 2 2 4 2 18 3 4" xfId="19874" xr:uid="{00000000-0005-0000-0000-0000A24D0000}"/>
    <cellStyle name="Normal 2 2 2 4 2 18 3 5" xfId="19875" xr:uid="{00000000-0005-0000-0000-0000A34D0000}"/>
    <cellStyle name="Normal 2 2 2 4 2 18 3 6" xfId="19876" xr:uid="{00000000-0005-0000-0000-0000A44D0000}"/>
    <cellStyle name="Normal 2 2 2 4 2 18 3 7" xfId="19877" xr:uid="{00000000-0005-0000-0000-0000A54D0000}"/>
    <cellStyle name="Normal 2 2 2 4 2 18 3 8" xfId="19878" xr:uid="{00000000-0005-0000-0000-0000A64D0000}"/>
    <cellStyle name="Normal 2 2 2 4 2 18 3 9" xfId="19879" xr:uid="{00000000-0005-0000-0000-0000A74D0000}"/>
    <cellStyle name="Normal 2 2 2 4 2 18 4" xfId="19880" xr:uid="{00000000-0005-0000-0000-0000A84D0000}"/>
    <cellStyle name="Normal 2 2 2 4 2 18 4 10" xfId="19881" xr:uid="{00000000-0005-0000-0000-0000A94D0000}"/>
    <cellStyle name="Normal 2 2 2 4 2 18 4 2" xfId="19882" xr:uid="{00000000-0005-0000-0000-0000AA4D0000}"/>
    <cellStyle name="Normal 2 2 2 4 2 18 4 3" xfId="19883" xr:uid="{00000000-0005-0000-0000-0000AB4D0000}"/>
    <cellStyle name="Normal 2 2 2 4 2 18 4 4" xfId="19884" xr:uid="{00000000-0005-0000-0000-0000AC4D0000}"/>
    <cellStyle name="Normal 2 2 2 4 2 18 4 5" xfId="19885" xr:uid="{00000000-0005-0000-0000-0000AD4D0000}"/>
    <cellStyle name="Normal 2 2 2 4 2 18 4 6" xfId="19886" xr:uid="{00000000-0005-0000-0000-0000AE4D0000}"/>
    <cellStyle name="Normal 2 2 2 4 2 18 4 7" xfId="19887" xr:uid="{00000000-0005-0000-0000-0000AF4D0000}"/>
    <cellStyle name="Normal 2 2 2 4 2 18 4 8" xfId="19888" xr:uid="{00000000-0005-0000-0000-0000B04D0000}"/>
    <cellStyle name="Normal 2 2 2 4 2 18 4 9" xfId="19889" xr:uid="{00000000-0005-0000-0000-0000B14D0000}"/>
    <cellStyle name="Normal 2 2 2 4 2 18 5" xfId="19890" xr:uid="{00000000-0005-0000-0000-0000B24D0000}"/>
    <cellStyle name="Normal 2 2 2 4 2 18 5 10" xfId="19891" xr:uid="{00000000-0005-0000-0000-0000B34D0000}"/>
    <cellStyle name="Normal 2 2 2 4 2 18 5 2" xfId="19892" xr:uid="{00000000-0005-0000-0000-0000B44D0000}"/>
    <cellStyle name="Normal 2 2 2 4 2 18 5 3" xfId="19893" xr:uid="{00000000-0005-0000-0000-0000B54D0000}"/>
    <cellStyle name="Normal 2 2 2 4 2 18 5 4" xfId="19894" xr:uid="{00000000-0005-0000-0000-0000B64D0000}"/>
    <cellStyle name="Normal 2 2 2 4 2 18 5 5" xfId="19895" xr:uid="{00000000-0005-0000-0000-0000B74D0000}"/>
    <cellStyle name="Normal 2 2 2 4 2 18 5 6" xfId="19896" xr:uid="{00000000-0005-0000-0000-0000B84D0000}"/>
    <cellStyle name="Normal 2 2 2 4 2 18 5 7" xfId="19897" xr:uid="{00000000-0005-0000-0000-0000B94D0000}"/>
    <cellStyle name="Normal 2 2 2 4 2 18 5 8" xfId="19898" xr:uid="{00000000-0005-0000-0000-0000BA4D0000}"/>
    <cellStyle name="Normal 2 2 2 4 2 18 5 9" xfId="19899" xr:uid="{00000000-0005-0000-0000-0000BB4D0000}"/>
    <cellStyle name="Normal 2 2 2 4 2 18 6" xfId="19900" xr:uid="{00000000-0005-0000-0000-0000BC4D0000}"/>
    <cellStyle name="Normal 2 2 2 4 2 18 7" xfId="19901" xr:uid="{00000000-0005-0000-0000-0000BD4D0000}"/>
    <cellStyle name="Normal 2 2 2 4 2 18 8" xfId="19902" xr:uid="{00000000-0005-0000-0000-0000BE4D0000}"/>
    <cellStyle name="Normal 2 2 2 4 2 18 9" xfId="19903" xr:uid="{00000000-0005-0000-0000-0000BF4D0000}"/>
    <cellStyle name="Normal 2 2 2 4 2 19" xfId="19904" xr:uid="{00000000-0005-0000-0000-0000C04D0000}"/>
    <cellStyle name="Normal 2 2 2 4 2 19 10" xfId="19905" xr:uid="{00000000-0005-0000-0000-0000C14D0000}"/>
    <cellStyle name="Normal 2 2 2 4 2 19 11" xfId="19906" xr:uid="{00000000-0005-0000-0000-0000C24D0000}"/>
    <cellStyle name="Normal 2 2 2 4 2 19 12" xfId="19907" xr:uid="{00000000-0005-0000-0000-0000C34D0000}"/>
    <cellStyle name="Normal 2 2 2 4 2 19 13" xfId="19908" xr:uid="{00000000-0005-0000-0000-0000C44D0000}"/>
    <cellStyle name="Normal 2 2 2 4 2 19 14" xfId="19909" xr:uid="{00000000-0005-0000-0000-0000C54D0000}"/>
    <cellStyle name="Normal 2 2 2 4 2 19 2" xfId="19910" xr:uid="{00000000-0005-0000-0000-0000C64D0000}"/>
    <cellStyle name="Normal 2 2 2 4 2 19 2 10" xfId="19911" xr:uid="{00000000-0005-0000-0000-0000C74D0000}"/>
    <cellStyle name="Normal 2 2 2 4 2 19 2 2" xfId="19912" xr:uid="{00000000-0005-0000-0000-0000C84D0000}"/>
    <cellStyle name="Normal 2 2 2 4 2 19 2 3" xfId="19913" xr:uid="{00000000-0005-0000-0000-0000C94D0000}"/>
    <cellStyle name="Normal 2 2 2 4 2 19 2 4" xfId="19914" xr:uid="{00000000-0005-0000-0000-0000CA4D0000}"/>
    <cellStyle name="Normal 2 2 2 4 2 19 2 5" xfId="19915" xr:uid="{00000000-0005-0000-0000-0000CB4D0000}"/>
    <cellStyle name="Normal 2 2 2 4 2 19 2 6" xfId="19916" xr:uid="{00000000-0005-0000-0000-0000CC4D0000}"/>
    <cellStyle name="Normal 2 2 2 4 2 19 2 7" xfId="19917" xr:uid="{00000000-0005-0000-0000-0000CD4D0000}"/>
    <cellStyle name="Normal 2 2 2 4 2 19 2 8" xfId="19918" xr:uid="{00000000-0005-0000-0000-0000CE4D0000}"/>
    <cellStyle name="Normal 2 2 2 4 2 19 2 9" xfId="19919" xr:uid="{00000000-0005-0000-0000-0000CF4D0000}"/>
    <cellStyle name="Normal 2 2 2 4 2 19 3" xfId="19920" xr:uid="{00000000-0005-0000-0000-0000D04D0000}"/>
    <cellStyle name="Normal 2 2 2 4 2 19 3 10" xfId="19921" xr:uid="{00000000-0005-0000-0000-0000D14D0000}"/>
    <cellStyle name="Normal 2 2 2 4 2 19 3 2" xfId="19922" xr:uid="{00000000-0005-0000-0000-0000D24D0000}"/>
    <cellStyle name="Normal 2 2 2 4 2 19 3 3" xfId="19923" xr:uid="{00000000-0005-0000-0000-0000D34D0000}"/>
    <cellStyle name="Normal 2 2 2 4 2 19 3 4" xfId="19924" xr:uid="{00000000-0005-0000-0000-0000D44D0000}"/>
    <cellStyle name="Normal 2 2 2 4 2 19 3 5" xfId="19925" xr:uid="{00000000-0005-0000-0000-0000D54D0000}"/>
    <cellStyle name="Normal 2 2 2 4 2 19 3 6" xfId="19926" xr:uid="{00000000-0005-0000-0000-0000D64D0000}"/>
    <cellStyle name="Normal 2 2 2 4 2 19 3 7" xfId="19927" xr:uid="{00000000-0005-0000-0000-0000D74D0000}"/>
    <cellStyle name="Normal 2 2 2 4 2 19 3 8" xfId="19928" xr:uid="{00000000-0005-0000-0000-0000D84D0000}"/>
    <cellStyle name="Normal 2 2 2 4 2 19 3 9" xfId="19929" xr:uid="{00000000-0005-0000-0000-0000D94D0000}"/>
    <cellStyle name="Normal 2 2 2 4 2 19 4" xfId="19930" xr:uid="{00000000-0005-0000-0000-0000DA4D0000}"/>
    <cellStyle name="Normal 2 2 2 4 2 19 4 10" xfId="19931" xr:uid="{00000000-0005-0000-0000-0000DB4D0000}"/>
    <cellStyle name="Normal 2 2 2 4 2 19 4 2" xfId="19932" xr:uid="{00000000-0005-0000-0000-0000DC4D0000}"/>
    <cellStyle name="Normal 2 2 2 4 2 19 4 3" xfId="19933" xr:uid="{00000000-0005-0000-0000-0000DD4D0000}"/>
    <cellStyle name="Normal 2 2 2 4 2 19 4 4" xfId="19934" xr:uid="{00000000-0005-0000-0000-0000DE4D0000}"/>
    <cellStyle name="Normal 2 2 2 4 2 19 4 5" xfId="19935" xr:uid="{00000000-0005-0000-0000-0000DF4D0000}"/>
    <cellStyle name="Normal 2 2 2 4 2 19 4 6" xfId="19936" xr:uid="{00000000-0005-0000-0000-0000E04D0000}"/>
    <cellStyle name="Normal 2 2 2 4 2 19 4 7" xfId="19937" xr:uid="{00000000-0005-0000-0000-0000E14D0000}"/>
    <cellStyle name="Normal 2 2 2 4 2 19 4 8" xfId="19938" xr:uid="{00000000-0005-0000-0000-0000E24D0000}"/>
    <cellStyle name="Normal 2 2 2 4 2 19 4 9" xfId="19939" xr:uid="{00000000-0005-0000-0000-0000E34D0000}"/>
    <cellStyle name="Normal 2 2 2 4 2 19 5" xfId="19940" xr:uid="{00000000-0005-0000-0000-0000E44D0000}"/>
    <cellStyle name="Normal 2 2 2 4 2 19 5 10" xfId="19941" xr:uid="{00000000-0005-0000-0000-0000E54D0000}"/>
    <cellStyle name="Normal 2 2 2 4 2 19 5 2" xfId="19942" xr:uid="{00000000-0005-0000-0000-0000E64D0000}"/>
    <cellStyle name="Normal 2 2 2 4 2 19 5 3" xfId="19943" xr:uid="{00000000-0005-0000-0000-0000E74D0000}"/>
    <cellStyle name="Normal 2 2 2 4 2 19 5 4" xfId="19944" xr:uid="{00000000-0005-0000-0000-0000E84D0000}"/>
    <cellStyle name="Normal 2 2 2 4 2 19 5 5" xfId="19945" xr:uid="{00000000-0005-0000-0000-0000E94D0000}"/>
    <cellStyle name="Normal 2 2 2 4 2 19 5 6" xfId="19946" xr:uid="{00000000-0005-0000-0000-0000EA4D0000}"/>
    <cellStyle name="Normal 2 2 2 4 2 19 5 7" xfId="19947" xr:uid="{00000000-0005-0000-0000-0000EB4D0000}"/>
    <cellStyle name="Normal 2 2 2 4 2 19 5 8" xfId="19948" xr:uid="{00000000-0005-0000-0000-0000EC4D0000}"/>
    <cellStyle name="Normal 2 2 2 4 2 19 5 9" xfId="19949" xr:uid="{00000000-0005-0000-0000-0000ED4D0000}"/>
    <cellStyle name="Normal 2 2 2 4 2 19 6" xfId="19950" xr:uid="{00000000-0005-0000-0000-0000EE4D0000}"/>
    <cellStyle name="Normal 2 2 2 4 2 19 7" xfId="19951" xr:uid="{00000000-0005-0000-0000-0000EF4D0000}"/>
    <cellStyle name="Normal 2 2 2 4 2 19 8" xfId="19952" xr:uid="{00000000-0005-0000-0000-0000F04D0000}"/>
    <cellStyle name="Normal 2 2 2 4 2 19 9" xfId="19953" xr:uid="{00000000-0005-0000-0000-0000F14D0000}"/>
    <cellStyle name="Normal 2 2 2 4 2 2" xfId="19954" xr:uid="{00000000-0005-0000-0000-0000F24D0000}"/>
    <cellStyle name="Normal 2 2 2 4 2 2 10" xfId="19955" xr:uid="{00000000-0005-0000-0000-0000F34D0000}"/>
    <cellStyle name="Normal 2 2 2 4 2 2 11" xfId="19956" xr:uid="{00000000-0005-0000-0000-0000F44D0000}"/>
    <cellStyle name="Normal 2 2 2 4 2 2 12" xfId="19957" xr:uid="{00000000-0005-0000-0000-0000F54D0000}"/>
    <cellStyle name="Normal 2 2 2 4 2 2 13" xfId="19958" xr:uid="{00000000-0005-0000-0000-0000F64D0000}"/>
    <cellStyle name="Normal 2 2 2 4 2 2 14" xfId="19959" xr:uid="{00000000-0005-0000-0000-0000F74D0000}"/>
    <cellStyle name="Normal 2 2 2 4 2 2 15" xfId="19960" xr:uid="{00000000-0005-0000-0000-0000F84D0000}"/>
    <cellStyle name="Normal 2 2 2 4 2 2 16" xfId="19961" xr:uid="{00000000-0005-0000-0000-0000F94D0000}"/>
    <cellStyle name="Normal 2 2 2 4 2 2 17" xfId="19962" xr:uid="{00000000-0005-0000-0000-0000FA4D0000}"/>
    <cellStyle name="Normal 2 2 2 4 2 2 18" xfId="19963" xr:uid="{00000000-0005-0000-0000-0000FB4D0000}"/>
    <cellStyle name="Normal 2 2 2 4 2 2 19" xfId="19964" xr:uid="{00000000-0005-0000-0000-0000FC4D0000}"/>
    <cellStyle name="Normal 2 2 2 4 2 2 2" xfId="19965" xr:uid="{00000000-0005-0000-0000-0000FD4D0000}"/>
    <cellStyle name="Normal 2 2 2 4 2 2 20" xfId="19966" xr:uid="{00000000-0005-0000-0000-0000FE4D0000}"/>
    <cellStyle name="Normal 2 2 2 4 2 2 21" xfId="19967" xr:uid="{00000000-0005-0000-0000-0000FF4D0000}"/>
    <cellStyle name="Normal 2 2 2 4 2 2 21 10" xfId="19968" xr:uid="{00000000-0005-0000-0000-0000004E0000}"/>
    <cellStyle name="Normal 2 2 2 4 2 2 21 2" xfId="19969" xr:uid="{00000000-0005-0000-0000-0000014E0000}"/>
    <cellStyle name="Normal 2 2 2 4 2 2 21 3" xfId="19970" xr:uid="{00000000-0005-0000-0000-0000024E0000}"/>
    <cellStyle name="Normal 2 2 2 4 2 2 21 4" xfId="19971" xr:uid="{00000000-0005-0000-0000-0000034E0000}"/>
    <cellStyle name="Normal 2 2 2 4 2 2 21 5" xfId="19972" xr:uid="{00000000-0005-0000-0000-0000044E0000}"/>
    <cellStyle name="Normal 2 2 2 4 2 2 21 6" xfId="19973" xr:uid="{00000000-0005-0000-0000-0000054E0000}"/>
    <cellStyle name="Normal 2 2 2 4 2 2 21 7" xfId="19974" xr:uid="{00000000-0005-0000-0000-0000064E0000}"/>
    <cellStyle name="Normal 2 2 2 4 2 2 21 8" xfId="19975" xr:uid="{00000000-0005-0000-0000-0000074E0000}"/>
    <cellStyle name="Normal 2 2 2 4 2 2 21 9" xfId="19976" xr:uid="{00000000-0005-0000-0000-0000084E0000}"/>
    <cellStyle name="Normal 2 2 2 4 2 2 22" xfId="19977" xr:uid="{00000000-0005-0000-0000-0000094E0000}"/>
    <cellStyle name="Normal 2 2 2 4 2 2 22 10" xfId="19978" xr:uid="{00000000-0005-0000-0000-00000A4E0000}"/>
    <cellStyle name="Normal 2 2 2 4 2 2 22 2" xfId="19979" xr:uid="{00000000-0005-0000-0000-00000B4E0000}"/>
    <cellStyle name="Normal 2 2 2 4 2 2 22 3" xfId="19980" xr:uid="{00000000-0005-0000-0000-00000C4E0000}"/>
    <cellStyle name="Normal 2 2 2 4 2 2 22 4" xfId="19981" xr:uid="{00000000-0005-0000-0000-00000D4E0000}"/>
    <cellStyle name="Normal 2 2 2 4 2 2 22 5" xfId="19982" xr:uid="{00000000-0005-0000-0000-00000E4E0000}"/>
    <cellStyle name="Normal 2 2 2 4 2 2 22 6" xfId="19983" xr:uid="{00000000-0005-0000-0000-00000F4E0000}"/>
    <cellStyle name="Normal 2 2 2 4 2 2 22 7" xfId="19984" xr:uid="{00000000-0005-0000-0000-0000104E0000}"/>
    <cellStyle name="Normal 2 2 2 4 2 2 22 8" xfId="19985" xr:uid="{00000000-0005-0000-0000-0000114E0000}"/>
    <cellStyle name="Normal 2 2 2 4 2 2 22 9" xfId="19986" xr:uid="{00000000-0005-0000-0000-0000124E0000}"/>
    <cellStyle name="Normal 2 2 2 4 2 2 23" xfId="19987" xr:uid="{00000000-0005-0000-0000-0000134E0000}"/>
    <cellStyle name="Normal 2 2 2 4 2 2 23 10" xfId="19988" xr:uid="{00000000-0005-0000-0000-0000144E0000}"/>
    <cellStyle name="Normal 2 2 2 4 2 2 23 2" xfId="19989" xr:uid="{00000000-0005-0000-0000-0000154E0000}"/>
    <cellStyle name="Normal 2 2 2 4 2 2 23 3" xfId="19990" xr:uid="{00000000-0005-0000-0000-0000164E0000}"/>
    <cellStyle name="Normal 2 2 2 4 2 2 23 4" xfId="19991" xr:uid="{00000000-0005-0000-0000-0000174E0000}"/>
    <cellStyle name="Normal 2 2 2 4 2 2 23 5" xfId="19992" xr:uid="{00000000-0005-0000-0000-0000184E0000}"/>
    <cellStyle name="Normal 2 2 2 4 2 2 23 6" xfId="19993" xr:uid="{00000000-0005-0000-0000-0000194E0000}"/>
    <cellStyle name="Normal 2 2 2 4 2 2 23 7" xfId="19994" xr:uid="{00000000-0005-0000-0000-00001A4E0000}"/>
    <cellStyle name="Normal 2 2 2 4 2 2 23 8" xfId="19995" xr:uid="{00000000-0005-0000-0000-00001B4E0000}"/>
    <cellStyle name="Normal 2 2 2 4 2 2 23 9" xfId="19996" xr:uid="{00000000-0005-0000-0000-00001C4E0000}"/>
    <cellStyle name="Normal 2 2 2 4 2 2 24" xfId="19997" xr:uid="{00000000-0005-0000-0000-00001D4E0000}"/>
    <cellStyle name="Normal 2 2 2 4 2 2 24 10" xfId="19998" xr:uid="{00000000-0005-0000-0000-00001E4E0000}"/>
    <cellStyle name="Normal 2 2 2 4 2 2 24 2" xfId="19999" xr:uid="{00000000-0005-0000-0000-00001F4E0000}"/>
    <cellStyle name="Normal 2 2 2 4 2 2 24 3" xfId="20000" xr:uid="{00000000-0005-0000-0000-0000204E0000}"/>
    <cellStyle name="Normal 2 2 2 4 2 2 24 4" xfId="20001" xr:uid="{00000000-0005-0000-0000-0000214E0000}"/>
    <cellStyle name="Normal 2 2 2 4 2 2 24 5" xfId="20002" xr:uid="{00000000-0005-0000-0000-0000224E0000}"/>
    <cellStyle name="Normal 2 2 2 4 2 2 24 6" xfId="20003" xr:uid="{00000000-0005-0000-0000-0000234E0000}"/>
    <cellStyle name="Normal 2 2 2 4 2 2 24 7" xfId="20004" xr:uid="{00000000-0005-0000-0000-0000244E0000}"/>
    <cellStyle name="Normal 2 2 2 4 2 2 24 8" xfId="20005" xr:uid="{00000000-0005-0000-0000-0000254E0000}"/>
    <cellStyle name="Normal 2 2 2 4 2 2 24 9" xfId="20006" xr:uid="{00000000-0005-0000-0000-0000264E0000}"/>
    <cellStyle name="Normal 2 2 2 4 2 2 25" xfId="20007" xr:uid="{00000000-0005-0000-0000-0000274E0000}"/>
    <cellStyle name="Normal 2 2 2 4 2 2 26" xfId="20008" xr:uid="{00000000-0005-0000-0000-0000284E0000}"/>
    <cellStyle name="Normal 2 2 2 4 2 2 27" xfId="20009" xr:uid="{00000000-0005-0000-0000-0000294E0000}"/>
    <cellStyle name="Normal 2 2 2 4 2 2 28" xfId="20010" xr:uid="{00000000-0005-0000-0000-00002A4E0000}"/>
    <cellStyle name="Normal 2 2 2 4 2 2 29" xfId="20011" xr:uid="{00000000-0005-0000-0000-00002B4E0000}"/>
    <cellStyle name="Normal 2 2 2 4 2 2 3" xfId="20012" xr:uid="{00000000-0005-0000-0000-00002C4E0000}"/>
    <cellStyle name="Normal 2 2 2 4 2 2 30" xfId="20013" xr:uid="{00000000-0005-0000-0000-00002D4E0000}"/>
    <cellStyle name="Normal 2 2 2 4 2 2 31" xfId="20014" xr:uid="{00000000-0005-0000-0000-00002E4E0000}"/>
    <cellStyle name="Normal 2 2 2 4 2 2 32" xfId="20015" xr:uid="{00000000-0005-0000-0000-00002F4E0000}"/>
    <cellStyle name="Normal 2 2 2 4 2 2 33" xfId="20016" xr:uid="{00000000-0005-0000-0000-0000304E0000}"/>
    <cellStyle name="Normal 2 2 2 4 2 2 34" xfId="20017" xr:uid="{00000000-0005-0000-0000-0000314E0000}"/>
    <cellStyle name="Normal 2 2 2 4 2 2 35" xfId="20018" xr:uid="{00000000-0005-0000-0000-0000324E0000}"/>
    <cellStyle name="Normal 2 2 2 4 2 2 4" xfId="20019" xr:uid="{00000000-0005-0000-0000-0000334E0000}"/>
    <cellStyle name="Normal 2 2 2 4 2 2 5" xfId="20020" xr:uid="{00000000-0005-0000-0000-0000344E0000}"/>
    <cellStyle name="Normal 2 2 2 4 2 2 6" xfId="20021" xr:uid="{00000000-0005-0000-0000-0000354E0000}"/>
    <cellStyle name="Normal 2 2 2 4 2 2 7" xfId="20022" xr:uid="{00000000-0005-0000-0000-0000364E0000}"/>
    <cellStyle name="Normal 2 2 2 4 2 2 8" xfId="20023" xr:uid="{00000000-0005-0000-0000-0000374E0000}"/>
    <cellStyle name="Normal 2 2 2 4 2 2 9" xfId="20024" xr:uid="{00000000-0005-0000-0000-0000384E0000}"/>
    <cellStyle name="Normal 2 2 2 4 2 20" xfId="20025" xr:uid="{00000000-0005-0000-0000-0000394E0000}"/>
    <cellStyle name="Normal 2 2 2 4 2 20 10" xfId="20026" xr:uid="{00000000-0005-0000-0000-00003A4E0000}"/>
    <cellStyle name="Normal 2 2 2 4 2 20 11" xfId="20027" xr:uid="{00000000-0005-0000-0000-00003B4E0000}"/>
    <cellStyle name="Normal 2 2 2 4 2 20 12" xfId="20028" xr:uid="{00000000-0005-0000-0000-00003C4E0000}"/>
    <cellStyle name="Normal 2 2 2 4 2 20 13" xfId="20029" xr:uid="{00000000-0005-0000-0000-00003D4E0000}"/>
    <cellStyle name="Normal 2 2 2 4 2 20 14" xfId="20030" xr:uid="{00000000-0005-0000-0000-00003E4E0000}"/>
    <cellStyle name="Normal 2 2 2 4 2 20 2" xfId="20031" xr:uid="{00000000-0005-0000-0000-00003F4E0000}"/>
    <cellStyle name="Normal 2 2 2 4 2 20 2 10" xfId="20032" xr:uid="{00000000-0005-0000-0000-0000404E0000}"/>
    <cellStyle name="Normal 2 2 2 4 2 20 2 2" xfId="20033" xr:uid="{00000000-0005-0000-0000-0000414E0000}"/>
    <cellStyle name="Normal 2 2 2 4 2 20 2 3" xfId="20034" xr:uid="{00000000-0005-0000-0000-0000424E0000}"/>
    <cellStyle name="Normal 2 2 2 4 2 20 2 4" xfId="20035" xr:uid="{00000000-0005-0000-0000-0000434E0000}"/>
    <cellStyle name="Normal 2 2 2 4 2 20 2 5" xfId="20036" xr:uid="{00000000-0005-0000-0000-0000444E0000}"/>
    <cellStyle name="Normal 2 2 2 4 2 20 2 6" xfId="20037" xr:uid="{00000000-0005-0000-0000-0000454E0000}"/>
    <cellStyle name="Normal 2 2 2 4 2 20 2 7" xfId="20038" xr:uid="{00000000-0005-0000-0000-0000464E0000}"/>
    <cellStyle name="Normal 2 2 2 4 2 20 2 8" xfId="20039" xr:uid="{00000000-0005-0000-0000-0000474E0000}"/>
    <cellStyle name="Normal 2 2 2 4 2 20 2 9" xfId="20040" xr:uid="{00000000-0005-0000-0000-0000484E0000}"/>
    <cellStyle name="Normal 2 2 2 4 2 20 3" xfId="20041" xr:uid="{00000000-0005-0000-0000-0000494E0000}"/>
    <cellStyle name="Normal 2 2 2 4 2 20 3 10" xfId="20042" xr:uid="{00000000-0005-0000-0000-00004A4E0000}"/>
    <cellStyle name="Normal 2 2 2 4 2 20 3 2" xfId="20043" xr:uid="{00000000-0005-0000-0000-00004B4E0000}"/>
    <cellStyle name="Normal 2 2 2 4 2 20 3 3" xfId="20044" xr:uid="{00000000-0005-0000-0000-00004C4E0000}"/>
    <cellStyle name="Normal 2 2 2 4 2 20 3 4" xfId="20045" xr:uid="{00000000-0005-0000-0000-00004D4E0000}"/>
    <cellStyle name="Normal 2 2 2 4 2 20 3 5" xfId="20046" xr:uid="{00000000-0005-0000-0000-00004E4E0000}"/>
    <cellStyle name="Normal 2 2 2 4 2 20 3 6" xfId="20047" xr:uid="{00000000-0005-0000-0000-00004F4E0000}"/>
    <cellStyle name="Normal 2 2 2 4 2 20 3 7" xfId="20048" xr:uid="{00000000-0005-0000-0000-0000504E0000}"/>
    <cellStyle name="Normal 2 2 2 4 2 20 3 8" xfId="20049" xr:uid="{00000000-0005-0000-0000-0000514E0000}"/>
    <cellStyle name="Normal 2 2 2 4 2 20 3 9" xfId="20050" xr:uid="{00000000-0005-0000-0000-0000524E0000}"/>
    <cellStyle name="Normal 2 2 2 4 2 20 4" xfId="20051" xr:uid="{00000000-0005-0000-0000-0000534E0000}"/>
    <cellStyle name="Normal 2 2 2 4 2 20 4 10" xfId="20052" xr:uid="{00000000-0005-0000-0000-0000544E0000}"/>
    <cellStyle name="Normal 2 2 2 4 2 20 4 2" xfId="20053" xr:uid="{00000000-0005-0000-0000-0000554E0000}"/>
    <cellStyle name="Normal 2 2 2 4 2 20 4 3" xfId="20054" xr:uid="{00000000-0005-0000-0000-0000564E0000}"/>
    <cellStyle name="Normal 2 2 2 4 2 20 4 4" xfId="20055" xr:uid="{00000000-0005-0000-0000-0000574E0000}"/>
    <cellStyle name="Normal 2 2 2 4 2 20 4 5" xfId="20056" xr:uid="{00000000-0005-0000-0000-0000584E0000}"/>
    <cellStyle name="Normal 2 2 2 4 2 20 4 6" xfId="20057" xr:uid="{00000000-0005-0000-0000-0000594E0000}"/>
    <cellStyle name="Normal 2 2 2 4 2 20 4 7" xfId="20058" xr:uid="{00000000-0005-0000-0000-00005A4E0000}"/>
    <cellStyle name="Normal 2 2 2 4 2 20 4 8" xfId="20059" xr:uid="{00000000-0005-0000-0000-00005B4E0000}"/>
    <cellStyle name="Normal 2 2 2 4 2 20 4 9" xfId="20060" xr:uid="{00000000-0005-0000-0000-00005C4E0000}"/>
    <cellStyle name="Normal 2 2 2 4 2 20 5" xfId="20061" xr:uid="{00000000-0005-0000-0000-00005D4E0000}"/>
    <cellStyle name="Normal 2 2 2 4 2 20 5 10" xfId="20062" xr:uid="{00000000-0005-0000-0000-00005E4E0000}"/>
    <cellStyle name="Normal 2 2 2 4 2 20 5 2" xfId="20063" xr:uid="{00000000-0005-0000-0000-00005F4E0000}"/>
    <cellStyle name="Normal 2 2 2 4 2 20 5 3" xfId="20064" xr:uid="{00000000-0005-0000-0000-0000604E0000}"/>
    <cellStyle name="Normal 2 2 2 4 2 20 5 4" xfId="20065" xr:uid="{00000000-0005-0000-0000-0000614E0000}"/>
    <cellStyle name="Normal 2 2 2 4 2 20 5 5" xfId="20066" xr:uid="{00000000-0005-0000-0000-0000624E0000}"/>
    <cellStyle name="Normal 2 2 2 4 2 20 5 6" xfId="20067" xr:uid="{00000000-0005-0000-0000-0000634E0000}"/>
    <cellStyle name="Normal 2 2 2 4 2 20 5 7" xfId="20068" xr:uid="{00000000-0005-0000-0000-0000644E0000}"/>
    <cellStyle name="Normal 2 2 2 4 2 20 5 8" xfId="20069" xr:uid="{00000000-0005-0000-0000-0000654E0000}"/>
    <cellStyle name="Normal 2 2 2 4 2 20 5 9" xfId="20070" xr:uid="{00000000-0005-0000-0000-0000664E0000}"/>
    <cellStyle name="Normal 2 2 2 4 2 20 6" xfId="20071" xr:uid="{00000000-0005-0000-0000-0000674E0000}"/>
    <cellStyle name="Normal 2 2 2 4 2 20 7" xfId="20072" xr:uid="{00000000-0005-0000-0000-0000684E0000}"/>
    <cellStyle name="Normal 2 2 2 4 2 20 8" xfId="20073" xr:uid="{00000000-0005-0000-0000-0000694E0000}"/>
    <cellStyle name="Normal 2 2 2 4 2 20 9" xfId="20074" xr:uid="{00000000-0005-0000-0000-00006A4E0000}"/>
    <cellStyle name="Normal 2 2 2 4 2 21" xfId="20075" xr:uid="{00000000-0005-0000-0000-00006B4E0000}"/>
    <cellStyle name="Normal 2 2 2 4 2 22" xfId="20076" xr:uid="{00000000-0005-0000-0000-00006C4E0000}"/>
    <cellStyle name="Normal 2 2 2 4 2 3" xfId="20077" xr:uid="{00000000-0005-0000-0000-00006D4E0000}"/>
    <cellStyle name="Normal 2 2 2 4 2 3 10" xfId="20078" xr:uid="{00000000-0005-0000-0000-00006E4E0000}"/>
    <cellStyle name="Normal 2 2 2 4 2 3 11" xfId="20079" xr:uid="{00000000-0005-0000-0000-00006F4E0000}"/>
    <cellStyle name="Normal 2 2 2 4 2 3 12" xfId="20080" xr:uid="{00000000-0005-0000-0000-0000704E0000}"/>
    <cellStyle name="Normal 2 2 2 4 2 3 13" xfId="20081" xr:uid="{00000000-0005-0000-0000-0000714E0000}"/>
    <cellStyle name="Normal 2 2 2 4 2 3 14" xfId="20082" xr:uid="{00000000-0005-0000-0000-0000724E0000}"/>
    <cellStyle name="Normal 2 2 2 4 2 3 2" xfId="20083" xr:uid="{00000000-0005-0000-0000-0000734E0000}"/>
    <cellStyle name="Normal 2 2 2 4 2 3 2 10" xfId="20084" xr:uid="{00000000-0005-0000-0000-0000744E0000}"/>
    <cellStyle name="Normal 2 2 2 4 2 3 2 2" xfId="20085" xr:uid="{00000000-0005-0000-0000-0000754E0000}"/>
    <cellStyle name="Normal 2 2 2 4 2 3 2 3" xfId="20086" xr:uid="{00000000-0005-0000-0000-0000764E0000}"/>
    <cellStyle name="Normal 2 2 2 4 2 3 2 4" xfId="20087" xr:uid="{00000000-0005-0000-0000-0000774E0000}"/>
    <cellStyle name="Normal 2 2 2 4 2 3 2 5" xfId="20088" xr:uid="{00000000-0005-0000-0000-0000784E0000}"/>
    <cellStyle name="Normal 2 2 2 4 2 3 2 6" xfId="20089" xr:uid="{00000000-0005-0000-0000-0000794E0000}"/>
    <cellStyle name="Normal 2 2 2 4 2 3 2 7" xfId="20090" xr:uid="{00000000-0005-0000-0000-00007A4E0000}"/>
    <cellStyle name="Normal 2 2 2 4 2 3 2 8" xfId="20091" xr:uid="{00000000-0005-0000-0000-00007B4E0000}"/>
    <cellStyle name="Normal 2 2 2 4 2 3 2 9" xfId="20092" xr:uid="{00000000-0005-0000-0000-00007C4E0000}"/>
    <cellStyle name="Normal 2 2 2 4 2 3 3" xfId="20093" xr:uid="{00000000-0005-0000-0000-00007D4E0000}"/>
    <cellStyle name="Normal 2 2 2 4 2 3 3 10" xfId="20094" xr:uid="{00000000-0005-0000-0000-00007E4E0000}"/>
    <cellStyle name="Normal 2 2 2 4 2 3 3 2" xfId="20095" xr:uid="{00000000-0005-0000-0000-00007F4E0000}"/>
    <cellStyle name="Normal 2 2 2 4 2 3 3 3" xfId="20096" xr:uid="{00000000-0005-0000-0000-0000804E0000}"/>
    <cellStyle name="Normal 2 2 2 4 2 3 3 4" xfId="20097" xr:uid="{00000000-0005-0000-0000-0000814E0000}"/>
    <cellStyle name="Normal 2 2 2 4 2 3 3 5" xfId="20098" xr:uid="{00000000-0005-0000-0000-0000824E0000}"/>
    <cellStyle name="Normal 2 2 2 4 2 3 3 6" xfId="20099" xr:uid="{00000000-0005-0000-0000-0000834E0000}"/>
    <cellStyle name="Normal 2 2 2 4 2 3 3 7" xfId="20100" xr:uid="{00000000-0005-0000-0000-0000844E0000}"/>
    <cellStyle name="Normal 2 2 2 4 2 3 3 8" xfId="20101" xr:uid="{00000000-0005-0000-0000-0000854E0000}"/>
    <cellStyle name="Normal 2 2 2 4 2 3 3 9" xfId="20102" xr:uid="{00000000-0005-0000-0000-0000864E0000}"/>
    <cellStyle name="Normal 2 2 2 4 2 3 4" xfId="20103" xr:uid="{00000000-0005-0000-0000-0000874E0000}"/>
    <cellStyle name="Normal 2 2 2 4 2 3 4 10" xfId="20104" xr:uid="{00000000-0005-0000-0000-0000884E0000}"/>
    <cellStyle name="Normal 2 2 2 4 2 3 4 2" xfId="20105" xr:uid="{00000000-0005-0000-0000-0000894E0000}"/>
    <cellStyle name="Normal 2 2 2 4 2 3 4 3" xfId="20106" xr:uid="{00000000-0005-0000-0000-00008A4E0000}"/>
    <cellStyle name="Normal 2 2 2 4 2 3 4 4" xfId="20107" xr:uid="{00000000-0005-0000-0000-00008B4E0000}"/>
    <cellStyle name="Normal 2 2 2 4 2 3 4 5" xfId="20108" xr:uid="{00000000-0005-0000-0000-00008C4E0000}"/>
    <cellStyle name="Normal 2 2 2 4 2 3 4 6" xfId="20109" xr:uid="{00000000-0005-0000-0000-00008D4E0000}"/>
    <cellStyle name="Normal 2 2 2 4 2 3 4 7" xfId="20110" xr:uid="{00000000-0005-0000-0000-00008E4E0000}"/>
    <cellStyle name="Normal 2 2 2 4 2 3 4 8" xfId="20111" xr:uid="{00000000-0005-0000-0000-00008F4E0000}"/>
    <cellStyle name="Normal 2 2 2 4 2 3 4 9" xfId="20112" xr:uid="{00000000-0005-0000-0000-0000904E0000}"/>
    <cellStyle name="Normal 2 2 2 4 2 3 5" xfId="20113" xr:uid="{00000000-0005-0000-0000-0000914E0000}"/>
    <cellStyle name="Normal 2 2 2 4 2 3 5 10" xfId="20114" xr:uid="{00000000-0005-0000-0000-0000924E0000}"/>
    <cellStyle name="Normal 2 2 2 4 2 3 5 2" xfId="20115" xr:uid="{00000000-0005-0000-0000-0000934E0000}"/>
    <cellStyle name="Normal 2 2 2 4 2 3 5 3" xfId="20116" xr:uid="{00000000-0005-0000-0000-0000944E0000}"/>
    <cellStyle name="Normal 2 2 2 4 2 3 5 4" xfId="20117" xr:uid="{00000000-0005-0000-0000-0000954E0000}"/>
    <cellStyle name="Normal 2 2 2 4 2 3 5 5" xfId="20118" xr:uid="{00000000-0005-0000-0000-0000964E0000}"/>
    <cellStyle name="Normal 2 2 2 4 2 3 5 6" xfId="20119" xr:uid="{00000000-0005-0000-0000-0000974E0000}"/>
    <cellStyle name="Normal 2 2 2 4 2 3 5 7" xfId="20120" xr:uid="{00000000-0005-0000-0000-0000984E0000}"/>
    <cellStyle name="Normal 2 2 2 4 2 3 5 8" xfId="20121" xr:uid="{00000000-0005-0000-0000-0000994E0000}"/>
    <cellStyle name="Normal 2 2 2 4 2 3 5 9" xfId="20122" xr:uid="{00000000-0005-0000-0000-00009A4E0000}"/>
    <cellStyle name="Normal 2 2 2 4 2 3 6" xfId="20123" xr:uid="{00000000-0005-0000-0000-00009B4E0000}"/>
    <cellStyle name="Normal 2 2 2 4 2 3 7" xfId="20124" xr:uid="{00000000-0005-0000-0000-00009C4E0000}"/>
    <cellStyle name="Normal 2 2 2 4 2 3 8" xfId="20125" xr:uid="{00000000-0005-0000-0000-00009D4E0000}"/>
    <cellStyle name="Normal 2 2 2 4 2 3 9" xfId="20126" xr:uid="{00000000-0005-0000-0000-00009E4E0000}"/>
    <cellStyle name="Normal 2 2 2 4 2 4" xfId="20127" xr:uid="{00000000-0005-0000-0000-00009F4E0000}"/>
    <cellStyle name="Normal 2 2 2 4 2 4 10" xfId="20128" xr:uid="{00000000-0005-0000-0000-0000A04E0000}"/>
    <cellStyle name="Normal 2 2 2 4 2 4 11" xfId="20129" xr:uid="{00000000-0005-0000-0000-0000A14E0000}"/>
    <cellStyle name="Normal 2 2 2 4 2 4 12" xfId="20130" xr:uid="{00000000-0005-0000-0000-0000A24E0000}"/>
    <cellStyle name="Normal 2 2 2 4 2 4 13" xfId="20131" xr:uid="{00000000-0005-0000-0000-0000A34E0000}"/>
    <cellStyle name="Normal 2 2 2 4 2 4 14" xfId="20132" xr:uid="{00000000-0005-0000-0000-0000A44E0000}"/>
    <cellStyle name="Normal 2 2 2 4 2 4 2" xfId="20133" xr:uid="{00000000-0005-0000-0000-0000A54E0000}"/>
    <cellStyle name="Normal 2 2 2 4 2 4 2 10" xfId="20134" xr:uid="{00000000-0005-0000-0000-0000A64E0000}"/>
    <cellStyle name="Normal 2 2 2 4 2 4 2 2" xfId="20135" xr:uid="{00000000-0005-0000-0000-0000A74E0000}"/>
    <cellStyle name="Normal 2 2 2 4 2 4 2 3" xfId="20136" xr:uid="{00000000-0005-0000-0000-0000A84E0000}"/>
    <cellStyle name="Normal 2 2 2 4 2 4 2 4" xfId="20137" xr:uid="{00000000-0005-0000-0000-0000A94E0000}"/>
    <cellStyle name="Normal 2 2 2 4 2 4 2 5" xfId="20138" xr:uid="{00000000-0005-0000-0000-0000AA4E0000}"/>
    <cellStyle name="Normal 2 2 2 4 2 4 2 6" xfId="20139" xr:uid="{00000000-0005-0000-0000-0000AB4E0000}"/>
    <cellStyle name="Normal 2 2 2 4 2 4 2 7" xfId="20140" xr:uid="{00000000-0005-0000-0000-0000AC4E0000}"/>
    <cellStyle name="Normal 2 2 2 4 2 4 2 8" xfId="20141" xr:uid="{00000000-0005-0000-0000-0000AD4E0000}"/>
    <cellStyle name="Normal 2 2 2 4 2 4 2 9" xfId="20142" xr:uid="{00000000-0005-0000-0000-0000AE4E0000}"/>
    <cellStyle name="Normal 2 2 2 4 2 4 3" xfId="20143" xr:uid="{00000000-0005-0000-0000-0000AF4E0000}"/>
    <cellStyle name="Normal 2 2 2 4 2 4 3 10" xfId="20144" xr:uid="{00000000-0005-0000-0000-0000B04E0000}"/>
    <cellStyle name="Normal 2 2 2 4 2 4 3 2" xfId="20145" xr:uid="{00000000-0005-0000-0000-0000B14E0000}"/>
    <cellStyle name="Normal 2 2 2 4 2 4 3 3" xfId="20146" xr:uid="{00000000-0005-0000-0000-0000B24E0000}"/>
    <cellStyle name="Normal 2 2 2 4 2 4 3 4" xfId="20147" xr:uid="{00000000-0005-0000-0000-0000B34E0000}"/>
    <cellStyle name="Normal 2 2 2 4 2 4 3 5" xfId="20148" xr:uid="{00000000-0005-0000-0000-0000B44E0000}"/>
    <cellStyle name="Normal 2 2 2 4 2 4 3 6" xfId="20149" xr:uid="{00000000-0005-0000-0000-0000B54E0000}"/>
    <cellStyle name="Normal 2 2 2 4 2 4 3 7" xfId="20150" xr:uid="{00000000-0005-0000-0000-0000B64E0000}"/>
    <cellStyle name="Normal 2 2 2 4 2 4 3 8" xfId="20151" xr:uid="{00000000-0005-0000-0000-0000B74E0000}"/>
    <cellStyle name="Normal 2 2 2 4 2 4 3 9" xfId="20152" xr:uid="{00000000-0005-0000-0000-0000B84E0000}"/>
    <cellStyle name="Normal 2 2 2 4 2 4 4" xfId="20153" xr:uid="{00000000-0005-0000-0000-0000B94E0000}"/>
    <cellStyle name="Normal 2 2 2 4 2 4 4 10" xfId="20154" xr:uid="{00000000-0005-0000-0000-0000BA4E0000}"/>
    <cellStyle name="Normal 2 2 2 4 2 4 4 2" xfId="20155" xr:uid="{00000000-0005-0000-0000-0000BB4E0000}"/>
    <cellStyle name="Normal 2 2 2 4 2 4 4 3" xfId="20156" xr:uid="{00000000-0005-0000-0000-0000BC4E0000}"/>
    <cellStyle name="Normal 2 2 2 4 2 4 4 4" xfId="20157" xr:uid="{00000000-0005-0000-0000-0000BD4E0000}"/>
    <cellStyle name="Normal 2 2 2 4 2 4 4 5" xfId="20158" xr:uid="{00000000-0005-0000-0000-0000BE4E0000}"/>
    <cellStyle name="Normal 2 2 2 4 2 4 4 6" xfId="20159" xr:uid="{00000000-0005-0000-0000-0000BF4E0000}"/>
    <cellStyle name="Normal 2 2 2 4 2 4 4 7" xfId="20160" xr:uid="{00000000-0005-0000-0000-0000C04E0000}"/>
    <cellStyle name="Normal 2 2 2 4 2 4 4 8" xfId="20161" xr:uid="{00000000-0005-0000-0000-0000C14E0000}"/>
    <cellStyle name="Normal 2 2 2 4 2 4 4 9" xfId="20162" xr:uid="{00000000-0005-0000-0000-0000C24E0000}"/>
    <cellStyle name="Normal 2 2 2 4 2 4 5" xfId="20163" xr:uid="{00000000-0005-0000-0000-0000C34E0000}"/>
    <cellStyle name="Normal 2 2 2 4 2 4 5 10" xfId="20164" xr:uid="{00000000-0005-0000-0000-0000C44E0000}"/>
    <cellStyle name="Normal 2 2 2 4 2 4 5 2" xfId="20165" xr:uid="{00000000-0005-0000-0000-0000C54E0000}"/>
    <cellStyle name="Normal 2 2 2 4 2 4 5 3" xfId="20166" xr:uid="{00000000-0005-0000-0000-0000C64E0000}"/>
    <cellStyle name="Normal 2 2 2 4 2 4 5 4" xfId="20167" xr:uid="{00000000-0005-0000-0000-0000C74E0000}"/>
    <cellStyle name="Normal 2 2 2 4 2 4 5 5" xfId="20168" xr:uid="{00000000-0005-0000-0000-0000C84E0000}"/>
    <cellStyle name="Normal 2 2 2 4 2 4 5 6" xfId="20169" xr:uid="{00000000-0005-0000-0000-0000C94E0000}"/>
    <cellStyle name="Normal 2 2 2 4 2 4 5 7" xfId="20170" xr:uid="{00000000-0005-0000-0000-0000CA4E0000}"/>
    <cellStyle name="Normal 2 2 2 4 2 4 5 8" xfId="20171" xr:uid="{00000000-0005-0000-0000-0000CB4E0000}"/>
    <cellStyle name="Normal 2 2 2 4 2 4 5 9" xfId="20172" xr:uid="{00000000-0005-0000-0000-0000CC4E0000}"/>
    <cellStyle name="Normal 2 2 2 4 2 4 6" xfId="20173" xr:uid="{00000000-0005-0000-0000-0000CD4E0000}"/>
    <cellStyle name="Normal 2 2 2 4 2 4 7" xfId="20174" xr:uid="{00000000-0005-0000-0000-0000CE4E0000}"/>
    <cellStyle name="Normal 2 2 2 4 2 4 8" xfId="20175" xr:uid="{00000000-0005-0000-0000-0000CF4E0000}"/>
    <cellStyle name="Normal 2 2 2 4 2 4 9" xfId="20176" xr:uid="{00000000-0005-0000-0000-0000D04E0000}"/>
    <cellStyle name="Normal 2 2 2 4 2 5" xfId="20177" xr:uid="{00000000-0005-0000-0000-0000D14E0000}"/>
    <cellStyle name="Normal 2 2 2 4 2 5 10" xfId="20178" xr:uid="{00000000-0005-0000-0000-0000D24E0000}"/>
    <cellStyle name="Normal 2 2 2 4 2 5 11" xfId="20179" xr:uid="{00000000-0005-0000-0000-0000D34E0000}"/>
    <cellStyle name="Normal 2 2 2 4 2 5 12" xfId="20180" xr:uid="{00000000-0005-0000-0000-0000D44E0000}"/>
    <cellStyle name="Normal 2 2 2 4 2 5 13" xfId="20181" xr:uid="{00000000-0005-0000-0000-0000D54E0000}"/>
    <cellStyle name="Normal 2 2 2 4 2 5 14" xfId="20182" xr:uid="{00000000-0005-0000-0000-0000D64E0000}"/>
    <cellStyle name="Normal 2 2 2 4 2 5 2" xfId="20183" xr:uid="{00000000-0005-0000-0000-0000D74E0000}"/>
    <cellStyle name="Normal 2 2 2 4 2 5 2 10" xfId="20184" xr:uid="{00000000-0005-0000-0000-0000D84E0000}"/>
    <cellStyle name="Normal 2 2 2 4 2 5 2 2" xfId="20185" xr:uid="{00000000-0005-0000-0000-0000D94E0000}"/>
    <cellStyle name="Normal 2 2 2 4 2 5 2 3" xfId="20186" xr:uid="{00000000-0005-0000-0000-0000DA4E0000}"/>
    <cellStyle name="Normal 2 2 2 4 2 5 2 4" xfId="20187" xr:uid="{00000000-0005-0000-0000-0000DB4E0000}"/>
    <cellStyle name="Normal 2 2 2 4 2 5 2 5" xfId="20188" xr:uid="{00000000-0005-0000-0000-0000DC4E0000}"/>
    <cellStyle name="Normal 2 2 2 4 2 5 2 6" xfId="20189" xr:uid="{00000000-0005-0000-0000-0000DD4E0000}"/>
    <cellStyle name="Normal 2 2 2 4 2 5 2 7" xfId="20190" xr:uid="{00000000-0005-0000-0000-0000DE4E0000}"/>
    <cellStyle name="Normal 2 2 2 4 2 5 2 8" xfId="20191" xr:uid="{00000000-0005-0000-0000-0000DF4E0000}"/>
    <cellStyle name="Normal 2 2 2 4 2 5 2 9" xfId="20192" xr:uid="{00000000-0005-0000-0000-0000E04E0000}"/>
    <cellStyle name="Normal 2 2 2 4 2 5 3" xfId="20193" xr:uid="{00000000-0005-0000-0000-0000E14E0000}"/>
    <cellStyle name="Normal 2 2 2 4 2 5 3 10" xfId="20194" xr:uid="{00000000-0005-0000-0000-0000E24E0000}"/>
    <cellStyle name="Normal 2 2 2 4 2 5 3 2" xfId="20195" xr:uid="{00000000-0005-0000-0000-0000E34E0000}"/>
    <cellStyle name="Normal 2 2 2 4 2 5 3 3" xfId="20196" xr:uid="{00000000-0005-0000-0000-0000E44E0000}"/>
    <cellStyle name="Normal 2 2 2 4 2 5 3 4" xfId="20197" xr:uid="{00000000-0005-0000-0000-0000E54E0000}"/>
    <cellStyle name="Normal 2 2 2 4 2 5 3 5" xfId="20198" xr:uid="{00000000-0005-0000-0000-0000E64E0000}"/>
    <cellStyle name="Normal 2 2 2 4 2 5 3 6" xfId="20199" xr:uid="{00000000-0005-0000-0000-0000E74E0000}"/>
    <cellStyle name="Normal 2 2 2 4 2 5 3 7" xfId="20200" xr:uid="{00000000-0005-0000-0000-0000E84E0000}"/>
    <cellStyle name="Normal 2 2 2 4 2 5 3 8" xfId="20201" xr:uid="{00000000-0005-0000-0000-0000E94E0000}"/>
    <cellStyle name="Normal 2 2 2 4 2 5 3 9" xfId="20202" xr:uid="{00000000-0005-0000-0000-0000EA4E0000}"/>
    <cellStyle name="Normal 2 2 2 4 2 5 4" xfId="20203" xr:uid="{00000000-0005-0000-0000-0000EB4E0000}"/>
    <cellStyle name="Normal 2 2 2 4 2 5 4 10" xfId="20204" xr:uid="{00000000-0005-0000-0000-0000EC4E0000}"/>
    <cellStyle name="Normal 2 2 2 4 2 5 4 2" xfId="20205" xr:uid="{00000000-0005-0000-0000-0000ED4E0000}"/>
    <cellStyle name="Normal 2 2 2 4 2 5 4 3" xfId="20206" xr:uid="{00000000-0005-0000-0000-0000EE4E0000}"/>
    <cellStyle name="Normal 2 2 2 4 2 5 4 4" xfId="20207" xr:uid="{00000000-0005-0000-0000-0000EF4E0000}"/>
    <cellStyle name="Normal 2 2 2 4 2 5 4 5" xfId="20208" xr:uid="{00000000-0005-0000-0000-0000F04E0000}"/>
    <cellStyle name="Normal 2 2 2 4 2 5 4 6" xfId="20209" xr:uid="{00000000-0005-0000-0000-0000F14E0000}"/>
    <cellStyle name="Normal 2 2 2 4 2 5 4 7" xfId="20210" xr:uid="{00000000-0005-0000-0000-0000F24E0000}"/>
    <cellStyle name="Normal 2 2 2 4 2 5 4 8" xfId="20211" xr:uid="{00000000-0005-0000-0000-0000F34E0000}"/>
    <cellStyle name="Normal 2 2 2 4 2 5 4 9" xfId="20212" xr:uid="{00000000-0005-0000-0000-0000F44E0000}"/>
    <cellStyle name="Normal 2 2 2 4 2 5 5" xfId="20213" xr:uid="{00000000-0005-0000-0000-0000F54E0000}"/>
    <cellStyle name="Normal 2 2 2 4 2 5 5 10" xfId="20214" xr:uid="{00000000-0005-0000-0000-0000F64E0000}"/>
    <cellStyle name="Normal 2 2 2 4 2 5 5 2" xfId="20215" xr:uid="{00000000-0005-0000-0000-0000F74E0000}"/>
    <cellStyle name="Normal 2 2 2 4 2 5 5 3" xfId="20216" xr:uid="{00000000-0005-0000-0000-0000F84E0000}"/>
    <cellStyle name="Normal 2 2 2 4 2 5 5 4" xfId="20217" xr:uid="{00000000-0005-0000-0000-0000F94E0000}"/>
    <cellStyle name="Normal 2 2 2 4 2 5 5 5" xfId="20218" xr:uid="{00000000-0005-0000-0000-0000FA4E0000}"/>
    <cellStyle name="Normal 2 2 2 4 2 5 5 6" xfId="20219" xr:uid="{00000000-0005-0000-0000-0000FB4E0000}"/>
    <cellStyle name="Normal 2 2 2 4 2 5 5 7" xfId="20220" xr:uid="{00000000-0005-0000-0000-0000FC4E0000}"/>
    <cellStyle name="Normal 2 2 2 4 2 5 5 8" xfId="20221" xr:uid="{00000000-0005-0000-0000-0000FD4E0000}"/>
    <cellStyle name="Normal 2 2 2 4 2 5 5 9" xfId="20222" xr:uid="{00000000-0005-0000-0000-0000FE4E0000}"/>
    <cellStyle name="Normal 2 2 2 4 2 5 6" xfId="20223" xr:uid="{00000000-0005-0000-0000-0000FF4E0000}"/>
    <cellStyle name="Normal 2 2 2 4 2 5 7" xfId="20224" xr:uid="{00000000-0005-0000-0000-0000004F0000}"/>
    <cellStyle name="Normal 2 2 2 4 2 5 8" xfId="20225" xr:uid="{00000000-0005-0000-0000-0000014F0000}"/>
    <cellStyle name="Normal 2 2 2 4 2 5 9" xfId="20226" xr:uid="{00000000-0005-0000-0000-0000024F0000}"/>
    <cellStyle name="Normal 2 2 2 4 2 6" xfId="20227" xr:uid="{00000000-0005-0000-0000-0000034F0000}"/>
    <cellStyle name="Normal 2 2 2 4 2 6 10" xfId="20228" xr:uid="{00000000-0005-0000-0000-0000044F0000}"/>
    <cellStyle name="Normal 2 2 2 4 2 6 11" xfId="20229" xr:uid="{00000000-0005-0000-0000-0000054F0000}"/>
    <cellStyle name="Normal 2 2 2 4 2 6 12" xfId="20230" xr:uid="{00000000-0005-0000-0000-0000064F0000}"/>
    <cellStyle name="Normal 2 2 2 4 2 6 13" xfId="20231" xr:uid="{00000000-0005-0000-0000-0000074F0000}"/>
    <cellStyle name="Normal 2 2 2 4 2 6 14" xfId="20232" xr:uid="{00000000-0005-0000-0000-0000084F0000}"/>
    <cellStyle name="Normal 2 2 2 4 2 6 2" xfId="20233" xr:uid="{00000000-0005-0000-0000-0000094F0000}"/>
    <cellStyle name="Normal 2 2 2 4 2 6 2 10" xfId="20234" xr:uid="{00000000-0005-0000-0000-00000A4F0000}"/>
    <cellStyle name="Normal 2 2 2 4 2 6 2 2" xfId="20235" xr:uid="{00000000-0005-0000-0000-00000B4F0000}"/>
    <cellStyle name="Normal 2 2 2 4 2 6 2 3" xfId="20236" xr:uid="{00000000-0005-0000-0000-00000C4F0000}"/>
    <cellStyle name="Normal 2 2 2 4 2 6 2 4" xfId="20237" xr:uid="{00000000-0005-0000-0000-00000D4F0000}"/>
    <cellStyle name="Normal 2 2 2 4 2 6 2 5" xfId="20238" xr:uid="{00000000-0005-0000-0000-00000E4F0000}"/>
    <cellStyle name="Normal 2 2 2 4 2 6 2 6" xfId="20239" xr:uid="{00000000-0005-0000-0000-00000F4F0000}"/>
    <cellStyle name="Normal 2 2 2 4 2 6 2 7" xfId="20240" xr:uid="{00000000-0005-0000-0000-0000104F0000}"/>
    <cellStyle name="Normal 2 2 2 4 2 6 2 8" xfId="20241" xr:uid="{00000000-0005-0000-0000-0000114F0000}"/>
    <cellStyle name="Normal 2 2 2 4 2 6 2 9" xfId="20242" xr:uid="{00000000-0005-0000-0000-0000124F0000}"/>
    <cellStyle name="Normal 2 2 2 4 2 6 3" xfId="20243" xr:uid="{00000000-0005-0000-0000-0000134F0000}"/>
    <cellStyle name="Normal 2 2 2 4 2 6 3 10" xfId="20244" xr:uid="{00000000-0005-0000-0000-0000144F0000}"/>
    <cellStyle name="Normal 2 2 2 4 2 6 3 2" xfId="20245" xr:uid="{00000000-0005-0000-0000-0000154F0000}"/>
    <cellStyle name="Normal 2 2 2 4 2 6 3 3" xfId="20246" xr:uid="{00000000-0005-0000-0000-0000164F0000}"/>
    <cellStyle name="Normal 2 2 2 4 2 6 3 4" xfId="20247" xr:uid="{00000000-0005-0000-0000-0000174F0000}"/>
    <cellStyle name="Normal 2 2 2 4 2 6 3 5" xfId="20248" xr:uid="{00000000-0005-0000-0000-0000184F0000}"/>
    <cellStyle name="Normal 2 2 2 4 2 6 3 6" xfId="20249" xr:uid="{00000000-0005-0000-0000-0000194F0000}"/>
    <cellStyle name="Normal 2 2 2 4 2 6 3 7" xfId="20250" xr:uid="{00000000-0005-0000-0000-00001A4F0000}"/>
    <cellStyle name="Normal 2 2 2 4 2 6 3 8" xfId="20251" xr:uid="{00000000-0005-0000-0000-00001B4F0000}"/>
    <cellStyle name="Normal 2 2 2 4 2 6 3 9" xfId="20252" xr:uid="{00000000-0005-0000-0000-00001C4F0000}"/>
    <cellStyle name="Normal 2 2 2 4 2 6 4" xfId="20253" xr:uid="{00000000-0005-0000-0000-00001D4F0000}"/>
    <cellStyle name="Normal 2 2 2 4 2 6 4 10" xfId="20254" xr:uid="{00000000-0005-0000-0000-00001E4F0000}"/>
    <cellStyle name="Normal 2 2 2 4 2 6 4 2" xfId="20255" xr:uid="{00000000-0005-0000-0000-00001F4F0000}"/>
    <cellStyle name="Normal 2 2 2 4 2 6 4 3" xfId="20256" xr:uid="{00000000-0005-0000-0000-0000204F0000}"/>
    <cellStyle name="Normal 2 2 2 4 2 6 4 4" xfId="20257" xr:uid="{00000000-0005-0000-0000-0000214F0000}"/>
    <cellStyle name="Normal 2 2 2 4 2 6 4 5" xfId="20258" xr:uid="{00000000-0005-0000-0000-0000224F0000}"/>
    <cellStyle name="Normal 2 2 2 4 2 6 4 6" xfId="20259" xr:uid="{00000000-0005-0000-0000-0000234F0000}"/>
    <cellStyle name="Normal 2 2 2 4 2 6 4 7" xfId="20260" xr:uid="{00000000-0005-0000-0000-0000244F0000}"/>
    <cellStyle name="Normal 2 2 2 4 2 6 4 8" xfId="20261" xr:uid="{00000000-0005-0000-0000-0000254F0000}"/>
    <cellStyle name="Normal 2 2 2 4 2 6 4 9" xfId="20262" xr:uid="{00000000-0005-0000-0000-0000264F0000}"/>
    <cellStyle name="Normal 2 2 2 4 2 6 5" xfId="20263" xr:uid="{00000000-0005-0000-0000-0000274F0000}"/>
    <cellStyle name="Normal 2 2 2 4 2 6 5 10" xfId="20264" xr:uid="{00000000-0005-0000-0000-0000284F0000}"/>
    <cellStyle name="Normal 2 2 2 4 2 6 5 2" xfId="20265" xr:uid="{00000000-0005-0000-0000-0000294F0000}"/>
    <cellStyle name="Normal 2 2 2 4 2 6 5 3" xfId="20266" xr:uid="{00000000-0005-0000-0000-00002A4F0000}"/>
    <cellStyle name="Normal 2 2 2 4 2 6 5 4" xfId="20267" xr:uid="{00000000-0005-0000-0000-00002B4F0000}"/>
    <cellStyle name="Normal 2 2 2 4 2 6 5 5" xfId="20268" xr:uid="{00000000-0005-0000-0000-00002C4F0000}"/>
    <cellStyle name="Normal 2 2 2 4 2 6 5 6" xfId="20269" xr:uid="{00000000-0005-0000-0000-00002D4F0000}"/>
    <cellStyle name="Normal 2 2 2 4 2 6 5 7" xfId="20270" xr:uid="{00000000-0005-0000-0000-00002E4F0000}"/>
    <cellStyle name="Normal 2 2 2 4 2 6 5 8" xfId="20271" xr:uid="{00000000-0005-0000-0000-00002F4F0000}"/>
    <cellStyle name="Normal 2 2 2 4 2 6 5 9" xfId="20272" xr:uid="{00000000-0005-0000-0000-0000304F0000}"/>
    <cellStyle name="Normal 2 2 2 4 2 6 6" xfId="20273" xr:uid="{00000000-0005-0000-0000-0000314F0000}"/>
    <cellStyle name="Normal 2 2 2 4 2 6 7" xfId="20274" xr:uid="{00000000-0005-0000-0000-0000324F0000}"/>
    <cellStyle name="Normal 2 2 2 4 2 6 8" xfId="20275" xr:uid="{00000000-0005-0000-0000-0000334F0000}"/>
    <cellStyle name="Normal 2 2 2 4 2 6 9" xfId="20276" xr:uid="{00000000-0005-0000-0000-0000344F0000}"/>
    <cellStyle name="Normal 2 2 2 4 2 7" xfId="20277" xr:uid="{00000000-0005-0000-0000-0000354F0000}"/>
    <cellStyle name="Normal 2 2 2 4 2 7 10" xfId="20278" xr:uid="{00000000-0005-0000-0000-0000364F0000}"/>
    <cellStyle name="Normal 2 2 2 4 2 7 11" xfId="20279" xr:uid="{00000000-0005-0000-0000-0000374F0000}"/>
    <cellStyle name="Normal 2 2 2 4 2 7 12" xfId="20280" xr:uid="{00000000-0005-0000-0000-0000384F0000}"/>
    <cellStyle name="Normal 2 2 2 4 2 7 13" xfId="20281" xr:uid="{00000000-0005-0000-0000-0000394F0000}"/>
    <cellStyle name="Normal 2 2 2 4 2 7 14" xfId="20282" xr:uid="{00000000-0005-0000-0000-00003A4F0000}"/>
    <cellStyle name="Normal 2 2 2 4 2 7 2" xfId="20283" xr:uid="{00000000-0005-0000-0000-00003B4F0000}"/>
    <cellStyle name="Normal 2 2 2 4 2 7 2 10" xfId="20284" xr:uid="{00000000-0005-0000-0000-00003C4F0000}"/>
    <cellStyle name="Normal 2 2 2 4 2 7 2 2" xfId="20285" xr:uid="{00000000-0005-0000-0000-00003D4F0000}"/>
    <cellStyle name="Normal 2 2 2 4 2 7 2 3" xfId="20286" xr:uid="{00000000-0005-0000-0000-00003E4F0000}"/>
    <cellStyle name="Normal 2 2 2 4 2 7 2 4" xfId="20287" xr:uid="{00000000-0005-0000-0000-00003F4F0000}"/>
    <cellStyle name="Normal 2 2 2 4 2 7 2 5" xfId="20288" xr:uid="{00000000-0005-0000-0000-0000404F0000}"/>
    <cellStyle name="Normal 2 2 2 4 2 7 2 6" xfId="20289" xr:uid="{00000000-0005-0000-0000-0000414F0000}"/>
    <cellStyle name="Normal 2 2 2 4 2 7 2 7" xfId="20290" xr:uid="{00000000-0005-0000-0000-0000424F0000}"/>
    <cellStyle name="Normal 2 2 2 4 2 7 2 8" xfId="20291" xr:uid="{00000000-0005-0000-0000-0000434F0000}"/>
    <cellStyle name="Normal 2 2 2 4 2 7 2 9" xfId="20292" xr:uid="{00000000-0005-0000-0000-0000444F0000}"/>
    <cellStyle name="Normal 2 2 2 4 2 7 3" xfId="20293" xr:uid="{00000000-0005-0000-0000-0000454F0000}"/>
    <cellStyle name="Normal 2 2 2 4 2 7 3 10" xfId="20294" xr:uid="{00000000-0005-0000-0000-0000464F0000}"/>
    <cellStyle name="Normal 2 2 2 4 2 7 3 2" xfId="20295" xr:uid="{00000000-0005-0000-0000-0000474F0000}"/>
    <cellStyle name="Normal 2 2 2 4 2 7 3 3" xfId="20296" xr:uid="{00000000-0005-0000-0000-0000484F0000}"/>
    <cellStyle name="Normal 2 2 2 4 2 7 3 4" xfId="20297" xr:uid="{00000000-0005-0000-0000-0000494F0000}"/>
    <cellStyle name="Normal 2 2 2 4 2 7 3 5" xfId="20298" xr:uid="{00000000-0005-0000-0000-00004A4F0000}"/>
    <cellStyle name="Normal 2 2 2 4 2 7 3 6" xfId="20299" xr:uid="{00000000-0005-0000-0000-00004B4F0000}"/>
    <cellStyle name="Normal 2 2 2 4 2 7 3 7" xfId="20300" xr:uid="{00000000-0005-0000-0000-00004C4F0000}"/>
    <cellStyle name="Normal 2 2 2 4 2 7 3 8" xfId="20301" xr:uid="{00000000-0005-0000-0000-00004D4F0000}"/>
    <cellStyle name="Normal 2 2 2 4 2 7 3 9" xfId="20302" xr:uid="{00000000-0005-0000-0000-00004E4F0000}"/>
    <cellStyle name="Normal 2 2 2 4 2 7 4" xfId="20303" xr:uid="{00000000-0005-0000-0000-00004F4F0000}"/>
    <cellStyle name="Normal 2 2 2 4 2 7 4 10" xfId="20304" xr:uid="{00000000-0005-0000-0000-0000504F0000}"/>
    <cellStyle name="Normal 2 2 2 4 2 7 4 2" xfId="20305" xr:uid="{00000000-0005-0000-0000-0000514F0000}"/>
    <cellStyle name="Normal 2 2 2 4 2 7 4 3" xfId="20306" xr:uid="{00000000-0005-0000-0000-0000524F0000}"/>
    <cellStyle name="Normal 2 2 2 4 2 7 4 4" xfId="20307" xr:uid="{00000000-0005-0000-0000-0000534F0000}"/>
    <cellStyle name="Normal 2 2 2 4 2 7 4 5" xfId="20308" xr:uid="{00000000-0005-0000-0000-0000544F0000}"/>
    <cellStyle name="Normal 2 2 2 4 2 7 4 6" xfId="20309" xr:uid="{00000000-0005-0000-0000-0000554F0000}"/>
    <cellStyle name="Normal 2 2 2 4 2 7 4 7" xfId="20310" xr:uid="{00000000-0005-0000-0000-0000564F0000}"/>
    <cellStyle name="Normal 2 2 2 4 2 7 4 8" xfId="20311" xr:uid="{00000000-0005-0000-0000-0000574F0000}"/>
    <cellStyle name="Normal 2 2 2 4 2 7 4 9" xfId="20312" xr:uid="{00000000-0005-0000-0000-0000584F0000}"/>
    <cellStyle name="Normal 2 2 2 4 2 7 5" xfId="20313" xr:uid="{00000000-0005-0000-0000-0000594F0000}"/>
    <cellStyle name="Normal 2 2 2 4 2 7 5 10" xfId="20314" xr:uid="{00000000-0005-0000-0000-00005A4F0000}"/>
    <cellStyle name="Normal 2 2 2 4 2 7 5 2" xfId="20315" xr:uid="{00000000-0005-0000-0000-00005B4F0000}"/>
    <cellStyle name="Normal 2 2 2 4 2 7 5 3" xfId="20316" xr:uid="{00000000-0005-0000-0000-00005C4F0000}"/>
    <cellStyle name="Normal 2 2 2 4 2 7 5 4" xfId="20317" xr:uid="{00000000-0005-0000-0000-00005D4F0000}"/>
    <cellStyle name="Normal 2 2 2 4 2 7 5 5" xfId="20318" xr:uid="{00000000-0005-0000-0000-00005E4F0000}"/>
    <cellStyle name="Normal 2 2 2 4 2 7 5 6" xfId="20319" xr:uid="{00000000-0005-0000-0000-00005F4F0000}"/>
    <cellStyle name="Normal 2 2 2 4 2 7 5 7" xfId="20320" xr:uid="{00000000-0005-0000-0000-0000604F0000}"/>
    <cellStyle name="Normal 2 2 2 4 2 7 5 8" xfId="20321" xr:uid="{00000000-0005-0000-0000-0000614F0000}"/>
    <cellStyle name="Normal 2 2 2 4 2 7 5 9" xfId="20322" xr:uid="{00000000-0005-0000-0000-0000624F0000}"/>
    <cellStyle name="Normal 2 2 2 4 2 7 6" xfId="20323" xr:uid="{00000000-0005-0000-0000-0000634F0000}"/>
    <cellStyle name="Normal 2 2 2 4 2 7 7" xfId="20324" xr:uid="{00000000-0005-0000-0000-0000644F0000}"/>
    <cellStyle name="Normal 2 2 2 4 2 7 8" xfId="20325" xr:uid="{00000000-0005-0000-0000-0000654F0000}"/>
    <cellStyle name="Normal 2 2 2 4 2 7 9" xfId="20326" xr:uid="{00000000-0005-0000-0000-0000664F0000}"/>
    <cellStyle name="Normal 2 2 2 4 2 8" xfId="20327" xr:uid="{00000000-0005-0000-0000-0000674F0000}"/>
    <cellStyle name="Normal 2 2 2 4 2 8 10" xfId="20328" xr:uid="{00000000-0005-0000-0000-0000684F0000}"/>
    <cellStyle name="Normal 2 2 2 4 2 8 11" xfId="20329" xr:uid="{00000000-0005-0000-0000-0000694F0000}"/>
    <cellStyle name="Normal 2 2 2 4 2 8 12" xfId="20330" xr:uid="{00000000-0005-0000-0000-00006A4F0000}"/>
    <cellStyle name="Normal 2 2 2 4 2 8 13" xfId="20331" xr:uid="{00000000-0005-0000-0000-00006B4F0000}"/>
    <cellStyle name="Normal 2 2 2 4 2 8 14" xfId="20332" xr:uid="{00000000-0005-0000-0000-00006C4F0000}"/>
    <cellStyle name="Normal 2 2 2 4 2 8 2" xfId="20333" xr:uid="{00000000-0005-0000-0000-00006D4F0000}"/>
    <cellStyle name="Normal 2 2 2 4 2 8 2 10" xfId="20334" xr:uid="{00000000-0005-0000-0000-00006E4F0000}"/>
    <cellStyle name="Normal 2 2 2 4 2 8 2 2" xfId="20335" xr:uid="{00000000-0005-0000-0000-00006F4F0000}"/>
    <cellStyle name="Normal 2 2 2 4 2 8 2 3" xfId="20336" xr:uid="{00000000-0005-0000-0000-0000704F0000}"/>
    <cellStyle name="Normal 2 2 2 4 2 8 2 4" xfId="20337" xr:uid="{00000000-0005-0000-0000-0000714F0000}"/>
    <cellStyle name="Normal 2 2 2 4 2 8 2 5" xfId="20338" xr:uid="{00000000-0005-0000-0000-0000724F0000}"/>
    <cellStyle name="Normal 2 2 2 4 2 8 2 6" xfId="20339" xr:uid="{00000000-0005-0000-0000-0000734F0000}"/>
    <cellStyle name="Normal 2 2 2 4 2 8 2 7" xfId="20340" xr:uid="{00000000-0005-0000-0000-0000744F0000}"/>
    <cellStyle name="Normal 2 2 2 4 2 8 2 8" xfId="20341" xr:uid="{00000000-0005-0000-0000-0000754F0000}"/>
    <cellStyle name="Normal 2 2 2 4 2 8 2 9" xfId="20342" xr:uid="{00000000-0005-0000-0000-0000764F0000}"/>
    <cellStyle name="Normal 2 2 2 4 2 8 3" xfId="20343" xr:uid="{00000000-0005-0000-0000-0000774F0000}"/>
    <cellStyle name="Normal 2 2 2 4 2 8 3 10" xfId="20344" xr:uid="{00000000-0005-0000-0000-0000784F0000}"/>
    <cellStyle name="Normal 2 2 2 4 2 8 3 2" xfId="20345" xr:uid="{00000000-0005-0000-0000-0000794F0000}"/>
    <cellStyle name="Normal 2 2 2 4 2 8 3 3" xfId="20346" xr:uid="{00000000-0005-0000-0000-00007A4F0000}"/>
    <cellStyle name="Normal 2 2 2 4 2 8 3 4" xfId="20347" xr:uid="{00000000-0005-0000-0000-00007B4F0000}"/>
    <cellStyle name="Normal 2 2 2 4 2 8 3 5" xfId="20348" xr:uid="{00000000-0005-0000-0000-00007C4F0000}"/>
    <cellStyle name="Normal 2 2 2 4 2 8 3 6" xfId="20349" xr:uid="{00000000-0005-0000-0000-00007D4F0000}"/>
    <cellStyle name="Normal 2 2 2 4 2 8 3 7" xfId="20350" xr:uid="{00000000-0005-0000-0000-00007E4F0000}"/>
    <cellStyle name="Normal 2 2 2 4 2 8 3 8" xfId="20351" xr:uid="{00000000-0005-0000-0000-00007F4F0000}"/>
    <cellStyle name="Normal 2 2 2 4 2 8 3 9" xfId="20352" xr:uid="{00000000-0005-0000-0000-0000804F0000}"/>
    <cellStyle name="Normal 2 2 2 4 2 8 4" xfId="20353" xr:uid="{00000000-0005-0000-0000-0000814F0000}"/>
    <cellStyle name="Normal 2 2 2 4 2 8 4 10" xfId="20354" xr:uid="{00000000-0005-0000-0000-0000824F0000}"/>
    <cellStyle name="Normal 2 2 2 4 2 8 4 2" xfId="20355" xr:uid="{00000000-0005-0000-0000-0000834F0000}"/>
    <cellStyle name="Normal 2 2 2 4 2 8 4 3" xfId="20356" xr:uid="{00000000-0005-0000-0000-0000844F0000}"/>
    <cellStyle name="Normal 2 2 2 4 2 8 4 4" xfId="20357" xr:uid="{00000000-0005-0000-0000-0000854F0000}"/>
    <cellStyle name="Normal 2 2 2 4 2 8 4 5" xfId="20358" xr:uid="{00000000-0005-0000-0000-0000864F0000}"/>
    <cellStyle name="Normal 2 2 2 4 2 8 4 6" xfId="20359" xr:uid="{00000000-0005-0000-0000-0000874F0000}"/>
    <cellStyle name="Normal 2 2 2 4 2 8 4 7" xfId="20360" xr:uid="{00000000-0005-0000-0000-0000884F0000}"/>
    <cellStyle name="Normal 2 2 2 4 2 8 4 8" xfId="20361" xr:uid="{00000000-0005-0000-0000-0000894F0000}"/>
    <cellStyle name="Normal 2 2 2 4 2 8 4 9" xfId="20362" xr:uid="{00000000-0005-0000-0000-00008A4F0000}"/>
    <cellStyle name="Normal 2 2 2 4 2 8 5" xfId="20363" xr:uid="{00000000-0005-0000-0000-00008B4F0000}"/>
    <cellStyle name="Normal 2 2 2 4 2 8 5 10" xfId="20364" xr:uid="{00000000-0005-0000-0000-00008C4F0000}"/>
    <cellStyle name="Normal 2 2 2 4 2 8 5 2" xfId="20365" xr:uid="{00000000-0005-0000-0000-00008D4F0000}"/>
    <cellStyle name="Normal 2 2 2 4 2 8 5 3" xfId="20366" xr:uid="{00000000-0005-0000-0000-00008E4F0000}"/>
    <cellStyle name="Normal 2 2 2 4 2 8 5 4" xfId="20367" xr:uid="{00000000-0005-0000-0000-00008F4F0000}"/>
    <cellStyle name="Normal 2 2 2 4 2 8 5 5" xfId="20368" xr:uid="{00000000-0005-0000-0000-0000904F0000}"/>
    <cellStyle name="Normal 2 2 2 4 2 8 5 6" xfId="20369" xr:uid="{00000000-0005-0000-0000-0000914F0000}"/>
    <cellStyle name="Normal 2 2 2 4 2 8 5 7" xfId="20370" xr:uid="{00000000-0005-0000-0000-0000924F0000}"/>
    <cellStyle name="Normal 2 2 2 4 2 8 5 8" xfId="20371" xr:uid="{00000000-0005-0000-0000-0000934F0000}"/>
    <cellStyle name="Normal 2 2 2 4 2 8 5 9" xfId="20372" xr:uid="{00000000-0005-0000-0000-0000944F0000}"/>
    <cellStyle name="Normal 2 2 2 4 2 8 6" xfId="20373" xr:uid="{00000000-0005-0000-0000-0000954F0000}"/>
    <cellStyle name="Normal 2 2 2 4 2 8 7" xfId="20374" xr:uid="{00000000-0005-0000-0000-0000964F0000}"/>
    <cellStyle name="Normal 2 2 2 4 2 8 8" xfId="20375" xr:uid="{00000000-0005-0000-0000-0000974F0000}"/>
    <cellStyle name="Normal 2 2 2 4 2 8 9" xfId="20376" xr:uid="{00000000-0005-0000-0000-0000984F0000}"/>
    <cellStyle name="Normal 2 2 2 4 2 9" xfId="20377" xr:uid="{00000000-0005-0000-0000-0000994F0000}"/>
    <cellStyle name="Normal 2 2 2 4 2 9 10" xfId="20378" xr:uid="{00000000-0005-0000-0000-00009A4F0000}"/>
    <cellStyle name="Normal 2 2 2 4 2 9 11" xfId="20379" xr:uid="{00000000-0005-0000-0000-00009B4F0000}"/>
    <cellStyle name="Normal 2 2 2 4 2 9 12" xfId="20380" xr:uid="{00000000-0005-0000-0000-00009C4F0000}"/>
    <cellStyle name="Normal 2 2 2 4 2 9 13" xfId="20381" xr:uid="{00000000-0005-0000-0000-00009D4F0000}"/>
    <cellStyle name="Normal 2 2 2 4 2 9 14" xfId="20382" xr:uid="{00000000-0005-0000-0000-00009E4F0000}"/>
    <cellStyle name="Normal 2 2 2 4 2 9 2" xfId="20383" xr:uid="{00000000-0005-0000-0000-00009F4F0000}"/>
    <cellStyle name="Normal 2 2 2 4 2 9 2 10" xfId="20384" xr:uid="{00000000-0005-0000-0000-0000A04F0000}"/>
    <cellStyle name="Normal 2 2 2 4 2 9 2 2" xfId="20385" xr:uid="{00000000-0005-0000-0000-0000A14F0000}"/>
    <cellStyle name="Normal 2 2 2 4 2 9 2 3" xfId="20386" xr:uid="{00000000-0005-0000-0000-0000A24F0000}"/>
    <cellStyle name="Normal 2 2 2 4 2 9 2 4" xfId="20387" xr:uid="{00000000-0005-0000-0000-0000A34F0000}"/>
    <cellStyle name="Normal 2 2 2 4 2 9 2 5" xfId="20388" xr:uid="{00000000-0005-0000-0000-0000A44F0000}"/>
    <cellStyle name="Normal 2 2 2 4 2 9 2 6" xfId="20389" xr:uid="{00000000-0005-0000-0000-0000A54F0000}"/>
    <cellStyle name="Normal 2 2 2 4 2 9 2 7" xfId="20390" xr:uid="{00000000-0005-0000-0000-0000A64F0000}"/>
    <cellStyle name="Normal 2 2 2 4 2 9 2 8" xfId="20391" xr:uid="{00000000-0005-0000-0000-0000A74F0000}"/>
    <cellStyle name="Normal 2 2 2 4 2 9 2 9" xfId="20392" xr:uid="{00000000-0005-0000-0000-0000A84F0000}"/>
    <cellStyle name="Normal 2 2 2 4 2 9 3" xfId="20393" xr:uid="{00000000-0005-0000-0000-0000A94F0000}"/>
    <cellStyle name="Normal 2 2 2 4 2 9 3 10" xfId="20394" xr:uid="{00000000-0005-0000-0000-0000AA4F0000}"/>
    <cellStyle name="Normal 2 2 2 4 2 9 3 2" xfId="20395" xr:uid="{00000000-0005-0000-0000-0000AB4F0000}"/>
    <cellStyle name="Normal 2 2 2 4 2 9 3 3" xfId="20396" xr:uid="{00000000-0005-0000-0000-0000AC4F0000}"/>
    <cellStyle name="Normal 2 2 2 4 2 9 3 4" xfId="20397" xr:uid="{00000000-0005-0000-0000-0000AD4F0000}"/>
    <cellStyle name="Normal 2 2 2 4 2 9 3 5" xfId="20398" xr:uid="{00000000-0005-0000-0000-0000AE4F0000}"/>
    <cellStyle name="Normal 2 2 2 4 2 9 3 6" xfId="20399" xr:uid="{00000000-0005-0000-0000-0000AF4F0000}"/>
    <cellStyle name="Normal 2 2 2 4 2 9 3 7" xfId="20400" xr:uid="{00000000-0005-0000-0000-0000B04F0000}"/>
    <cellStyle name="Normal 2 2 2 4 2 9 3 8" xfId="20401" xr:uid="{00000000-0005-0000-0000-0000B14F0000}"/>
    <cellStyle name="Normal 2 2 2 4 2 9 3 9" xfId="20402" xr:uid="{00000000-0005-0000-0000-0000B24F0000}"/>
    <cellStyle name="Normal 2 2 2 4 2 9 4" xfId="20403" xr:uid="{00000000-0005-0000-0000-0000B34F0000}"/>
    <cellStyle name="Normal 2 2 2 4 2 9 4 10" xfId="20404" xr:uid="{00000000-0005-0000-0000-0000B44F0000}"/>
    <cellStyle name="Normal 2 2 2 4 2 9 4 2" xfId="20405" xr:uid="{00000000-0005-0000-0000-0000B54F0000}"/>
    <cellStyle name="Normal 2 2 2 4 2 9 4 3" xfId="20406" xr:uid="{00000000-0005-0000-0000-0000B64F0000}"/>
    <cellStyle name="Normal 2 2 2 4 2 9 4 4" xfId="20407" xr:uid="{00000000-0005-0000-0000-0000B74F0000}"/>
    <cellStyle name="Normal 2 2 2 4 2 9 4 5" xfId="20408" xr:uid="{00000000-0005-0000-0000-0000B84F0000}"/>
    <cellStyle name="Normal 2 2 2 4 2 9 4 6" xfId="20409" xr:uid="{00000000-0005-0000-0000-0000B94F0000}"/>
    <cellStyle name="Normal 2 2 2 4 2 9 4 7" xfId="20410" xr:uid="{00000000-0005-0000-0000-0000BA4F0000}"/>
    <cellStyle name="Normal 2 2 2 4 2 9 4 8" xfId="20411" xr:uid="{00000000-0005-0000-0000-0000BB4F0000}"/>
    <cellStyle name="Normal 2 2 2 4 2 9 4 9" xfId="20412" xr:uid="{00000000-0005-0000-0000-0000BC4F0000}"/>
    <cellStyle name="Normal 2 2 2 4 2 9 5" xfId="20413" xr:uid="{00000000-0005-0000-0000-0000BD4F0000}"/>
    <cellStyle name="Normal 2 2 2 4 2 9 5 10" xfId="20414" xr:uid="{00000000-0005-0000-0000-0000BE4F0000}"/>
    <cellStyle name="Normal 2 2 2 4 2 9 5 2" xfId="20415" xr:uid="{00000000-0005-0000-0000-0000BF4F0000}"/>
    <cellStyle name="Normal 2 2 2 4 2 9 5 3" xfId="20416" xr:uid="{00000000-0005-0000-0000-0000C04F0000}"/>
    <cellStyle name="Normal 2 2 2 4 2 9 5 4" xfId="20417" xr:uid="{00000000-0005-0000-0000-0000C14F0000}"/>
    <cellStyle name="Normal 2 2 2 4 2 9 5 5" xfId="20418" xr:uid="{00000000-0005-0000-0000-0000C24F0000}"/>
    <cellStyle name="Normal 2 2 2 4 2 9 5 6" xfId="20419" xr:uid="{00000000-0005-0000-0000-0000C34F0000}"/>
    <cellStyle name="Normal 2 2 2 4 2 9 5 7" xfId="20420" xr:uid="{00000000-0005-0000-0000-0000C44F0000}"/>
    <cellStyle name="Normal 2 2 2 4 2 9 5 8" xfId="20421" xr:uid="{00000000-0005-0000-0000-0000C54F0000}"/>
    <cellStyle name="Normal 2 2 2 4 2 9 5 9" xfId="20422" xr:uid="{00000000-0005-0000-0000-0000C64F0000}"/>
    <cellStyle name="Normal 2 2 2 4 2 9 6" xfId="20423" xr:uid="{00000000-0005-0000-0000-0000C74F0000}"/>
    <cellStyle name="Normal 2 2 2 4 2 9 7" xfId="20424" xr:uid="{00000000-0005-0000-0000-0000C84F0000}"/>
    <cellStyle name="Normal 2 2 2 4 2 9 8" xfId="20425" xr:uid="{00000000-0005-0000-0000-0000C94F0000}"/>
    <cellStyle name="Normal 2 2 2 4 2 9 9" xfId="20426" xr:uid="{00000000-0005-0000-0000-0000CA4F0000}"/>
    <cellStyle name="Normal 2 2 2 4 20" xfId="20427" xr:uid="{00000000-0005-0000-0000-0000CB4F0000}"/>
    <cellStyle name="Normal 2 2 2 4 21" xfId="20428" xr:uid="{00000000-0005-0000-0000-0000CC4F0000}"/>
    <cellStyle name="Normal 2 2 2 4 22" xfId="20429" xr:uid="{00000000-0005-0000-0000-0000CD4F0000}"/>
    <cellStyle name="Normal 2 2 2 4 23" xfId="20430" xr:uid="{00000000-0005-0000-0000-0000CE4F0000}"/>
    <cellStyle name="Normal 2 2 2 4 24" xfId="20431" xr:uid="{00000000-0005-0000-0000-0000CF4F0000}"/>
    <cellStyle name="Normal 2 2 2 4 25" xfId="20432" xr:uid="{00000000-0005-0000-0000-0000D04F0000}"/>
    <cellStyle name="Normal 2 2 2 4 26" xfId="20433" xr:uid="{00000000-0005-0000-0000-0000D14F0000}"/>
    <cellStyle name="Normal 2 2 2 4 27" xfId="20434" xr:uid="{00000000-0005-0000-0000-0000D24F0000}"/>
    <cellStyle name="Normal 2 2 2 4 28" xfId="20435" xr:uid="{00000000-0005-0000-0000-0000D34F0000}"/>
    <cellStyle name="Normal 2 2 2 4 29" xfId="20436" xr:uid="{00000000-0005-0000-0000-0000D44F0000}"/>
    <cellStyle name="Normal 2 2 2 4 3" xfId="20437" xr:uid="{00000000-0005-0000-0000-0000D54F0000}"/>
    <cellStyle name="Normal 2 2 2 4 3 2" xfId="20438" xr:uid="{00000000-0005-0000-0000-0000D64F0000}"/>
    <cellStyle name="Normal 2 2 2 4 3 3" xfId="20439" xr:uid="{00000000-0005-0000-0000-0000D74F0000}"/>
    <cellStyle name="Normal 2 2 2 4 30" xfId="20440" xr:uid="{00000000-0005-0000-0000-0000D84F0000}"/>
    <cellStyle name="Normal 2 2 2 4 31" xfId="20441" xr:uid="{00000000-0005-0000-0000-0000D94F0000}"/>
    <cellStyle name="Normal 2 2 2 4 32" xfId="20442" xr:uid="{00000000-0005-0000-0000-0000DA4F0000}"/>
    <cellStyle name="Normal 2 2 2 4 33" xfId="20443" xr:uid="{00000000-0005-0000-0000-0000DB4F0000}"/>
    <cellStyle name="Normal 2 2 2 4 34" xfId="20444" xr:uid="{00000000-0005-0000-0000-0000DC4F0000}"/>
    <cellStyle name="Normal 2 2 2 4 34 10" xfId="20445" xr:uid="{00000000-0005-0000-0000-0000DD4F0000}"/>
    <cellStyle name="Normal 2 2 2 4 34 2" xfId="20446" xr:uid="{00000000-0005-0000-0000-0000DE4F0000}"/>
    <cellStyle name="Normal 2 2 2 4 34 3" xfId="20447" xr:uid="{00000000-0005-0000-0000-0000DF4F0000}"/>
    <cellStyle name="Normal 2 2 2 4 34 4" xfId="20448" xr:uid="{00000000-0005-0000-0000-0000E04F0000}"/>
    <cellStyle name="Normal 2 2 2 4 34 5" xfId="20449" xr:uid="{00000000-0005-0000-0000-0000E14F0000}"/>
    <cellStyle name="Normal 2 2 2 4 34 6" xfId="20450" xr:uid="{00000000-0005-0000-0000-0000E24F0000}"/>
    <cellStyle name="Normal 2 2 2 4 34 7" xfId="20451" xr:uid="{00000000-0005-0000-0000-0000E34F0000}"/>
    <cellStyle name="Normal 2 2 2 4 34 8" xfId="20452" xr:uid="{00000000-0005-0000-0000-0000E44F0000}"/>
    <cellStyle name="Normal 2 2 2 4 34 9" xfId="20453" xr:uid="{00000000-0005-0000-0000-0000E54F0000}"/>
    <cellStyle name="Normal 2 2 2 4 35" xfId="20454" xr:uid="{00000000-0005-0000-0000-0000E64F0000}"/>
    <cellStyle name="Normal 2 2 2 4 35 10" xfId="20455" xr:uid="{00000000-0005-0000-0000-0000E74F0000}"/>
    <cellStyle name="Normal 2 2 2 4 35 2" xfId="20456" xr:uid="{00000000-0005-0000-0000-0000E84F0000}"/>
    <cellStyle name="Normal 2 2 2 4 35 3" xfId="20457" xr:uid="{00000000-0005-0000-0000-0000E94F0000}"/>
    <cellStyle name="Normal 2 2 2 4 35 4" xfId="20458" xr:uid="{00000000-0005-0000-0000-0000EA4F0000}"/>
    <cellStyle name="Normal 2 2 2 4 35 5" xfId="20459" xr:uid="{00000000-0005-0000-0000-0000EB4F0000}"/>
    <cellStyle name="Normal 2 2 2 4 35 6" xfId="20460" xr:uid="{00000000-0005-0000-0000-0000EC4F0000}"/>
    <cellStyle name="Normal 2 2 2 4 35 7" xfId="20461" xr:uid="{00000000-0005-0000-0000-0000ED4F0000}"/>
    <cellStyle name="Normal 2 2 2 4 35 8" xfId="20462" xr:uid="{00000000-0005-0000-0000-0000EE4F0000}"/>
    <cellStyle name="Normal 2 2 2 4 35 9" xfId="20463" xr:uid="{00000000-0005-0000-0000-0000EF4F0000}"/>
    <cellStyle name="Normal 2 2 2 4 36" xfId="20464" xr:uid="{00000000-0005-0000-0000-0000F04F0000}"/>
    <cellStyle name="Normal 2 2 2 4 36 10" xfId="20465" xr:uid="{00000000-0005-0000-0000-0000F14F0000}"/>
    <cellStyle name="Normal 2 2 2 4 36 2" xfId="20466" xr:uid="{00000000-0005-0000-0000-0000F24F0000}"/>
    <cellStyle name="Normal 2 2 2 4 36 3" xfId="20467" xr:uid="{00000000-0005-0000-0000-0000F34F0000}"/>
    <cellStyle name="Normal 2 2 2 4 36 4" xfId="20468" xr:uid="{00000000-0005-0000-0000-0000F44F0000}"/>
    <cellStyle name="Normal 2 2 2 4 36 5" xfId="20469" xr:uid="{00000000-0005-0000-0000-0000F54F0000}"/>
    <cellStyle name="Normal 2 2 2 4 36 6" xfId="20470" xr:uid="{00000000-0005-0000-0000-0000F64F0000}"/>
    <cellStyle name="Normal 2 2 2 4 36 7" xfId="20471" xr:uid="{00000000-0005-0000-0000-0000F74F0000}"/>
    <cellStyle name="Normal 2 2 2 4 36 8" xfId="20472" xr:uid="{00000000-0005-0000-0000-0000F84F0000}"/>
    <cellStyle name="Normal 2 2 2 4 36 9" xfId="20473" xr:uid="{00000000-0005-0000-0000-0000F94F0000}"/>
    <cellStyle name="Normal 2 2 2 4 37" xfId="20474" xr:uid="{00000000-0005-0000-0000-0000FA4F0000}"/>
    <cellStyle name="Normal 2 2 2 4 37 10" xfId="20475" xr:uid="{00000000-0005-0000-0000-0000FB4F0000}"/>
    <cellStyle name="Normal 2 2 2 4 37 2" xfId="20476" xr:uid="{00000000-0005-0000-0000-0000FC4F0000}"/>
    <cellStyle name="Normal 2 2 2 4 37 3" xfId="20477" xr:uid="{00000000-0005-0000-0000-0000FD4F0000}"/>
    <cellStyle name="Normal 2 2 2 4 37 4" xfId="20478" xr:uid="{00000000-0005-0000-0000-0000FE4F0000}"/>
    <cellStyle name="Normal 2 2 2 4 37 5" xfId="20479" xr:uid="{00000000-0005-0000-0000-0000FF4F0000}"/>
    <cellStyle name="Normal 2 2 2 4 37 6" xfId="20480" xr:uid="{00000000-0005-0000-0000-000000500000}"/>
    <cellStyle name="Normal 2 2 2 4 37 7" xfId="20481" xr:uid="{00000000-0005-0000-0000-000001500000}"/>
    <cellStyle name="Normal 2 2 2 4 37 8" xfId="20482" xr:uid="{00000000-0005-0000-0000-000002500000}"/>
    <cellStyle name="Normal 2 2 2 4 37 9" xfId="20483" xr:uid="{00000000-0005-0000-0000-000003500000}"/>
    <cellStyle name="Normal 2 2 2 4 38" xfId="20484" xr:uid="{00000000-0005-0000-0000-000004500000}"/>
    <cellStyle name="Normal 2 2 2 4 39" xfId="20485" xr:uid="{00000000-0005-0000-0000-000005500000}"/>
    <cellStyle name="Normal 2 2 2 4 4" xfId="20486" xr:uid="{00000000-0005-0000-0000-000006500000}"/>
    <cellStyle name="Normal 2 2 2 4 40" xfId="20487" xr:uid="{00000000-0005-0000-0000-000007500000}"/>
    <cellStyle name="Normal 2 2 2 4 41" xfId="20488" xr:uid="{00000000-0005-0000-0000-000008500000}"/>
    <cellStyle name="Normal 2 2 2 4 42" xfId="20489" xr:uid="{00000000-0005-0000-0000-000009500000}"/>
    <cellStyle name="Normal 2 2 2 4 43" xfId="20490" xr:uid="{00000000-0005-0000-0000-00000A500000}"/>
    <cellStyle name="Normal 2 2 2 4 44" xfId="20491" xr:uid="{00000000-0005-0000-0000-00000B500000}"/>
    <cellStyle name="Normal 2 2 2 4 45" xfId="20492" xr:uid="{00000000-0005-0000-0000-00000C500000}"/>
    <cellStyle name="Normal 2 2 2 4 46" xfId="20493" xr:uid="{00000000-0005-0000-0000-00000D500000}"/>
    <cellStyle name="Normal 2 2 2 4 47" xfId="20494" xr:uid="{00000000-0005-0000-0000-00000E500000}"/>
    <cellStyle name="Normal 2 2 2 4 48" xfId="20495" xr:uid="{00000000-0005-0000-0000-00000F500000}"/>
    <cellStyle name="Normal 2 2 2 4 5" xfId="20496" xr:uid="{00000000-0005-0000-0000-000010500000}"/>
    <cellStyle name="Normal 2 2 2 4 6" xfId="20497" xr:uid="{00000000-0005-0000-0000-000011500000}"/>
    <cellStyle name="Normal 2 2 2 4 7" xfId="20498" xr:uid="{00000000-0005-0000-0000-000012500000}"/>
    <cellStyle name="Normal 2 2 2 4 8" xfId="20499" xr:uid="{00000000-0005-0000-0000-000013500000}"/>
    <cellStyle name="Normal 2 2 2 4 9" xfId="20500" xr:uid="{00000000-0005-0000-0000-000014500000}"/>
    <cellStyle name="Normal 2 2 2 40" xfId="20501" xr:uid="{00000000-0005-0000-0000-000015500000}"/>
    <cellStyle name="Normal 2 2 2 40 10" xfId="20502" xr:uid="{00000000-0005-0000-0000-000016500000}"/>
    <cellStyle name="Normal 2 2 2 40 2" xfId="20503" xr:uid="{00000000-0005-0000-0000-000017500000}"/>
    <cellStyle name="Normal 2 2 2 40 3" xfId="20504" xr:uid="{00000000-0005-0000-0000-000018500000}"/>
    <cellStyle name="Normal 2 2 2 40 4" xfId="20505" xr:uid="{00000000-0005-0000-0000-000019500000}"/>
    <cellStyle name="Normal 2 2 2 40 5" xfId="20506" xr:uid="{00000000-0005-0000-0000-00001A500000}"/>
    <cellStyle name="Normal 2 2 2 40 6" xfId="20507" xr:uid="{00000000-0005-0000-0000-00001B500000}"/>
    <cellStyle name="Normal 2 2 2 40 7" xfId="20508" xr:uid="{00000000-0005-0000-0000-00001C500000}"/>
    <cellStyle name="Normal 2 2 2 40 8" xfId="20509" xr:uid="{00000000-0005-0000-0000-00001D500000}"/>
    <cellStyle name="Normal 2 2 2 40 9" xfId="20510" xr:uid="{00000000-0005-0000-0000-00001E500000}"/>
    <cellStyle name="Normal 2 2 2 41" xfId="20511" xr:uid="{00000000-0005-0000-0000-00001F500000}"/>
    <cellStyle name="Normal 2 2 2 42" xfId="20512" xr:uid="{00000000-0005-0000-0000-000020500000}"/>
    <cellStyle name="Normal 2 2 2 43" xfId="20513" xr:uid="{00000000-0005-0000-0000-000021500000}"/>
    <cellStyle name="Normal 2 2 2 44" xfId="20514" xr:uid="{00000000-0005-0000-0000-000022500000}"/>
    <cellStyle name="Normal 2 2 2 45" xfId="20515" xr:uid="{00000000-0005-0000-0000-000023500000}"/>
    <cellStyle name="Normal 2 2 2 46" xfId="20516" xr:uid="{00000000-0005-0000-0000-000024500000}"/>
    <cellStyle name="Normal 2 2 2 47" xfId="20517" xr:uid="{00000000-0005-0000-0000-000025500000}"/>
    <cellStyle name="Normal 2 2 2 48" xfId="20518" xr:uid="{00000000-0005-0000-0000-000026500000}"/>
    <cellStyle name="Normal 2 2 2 49" xfId="20519" xr:uid="{00000000-0005-0000-0000-000027500000}"/>
    <cellStyle name="Normal 2 2 2 5" xfId="20520" xr:uid="{00000000-0005-0000-0000-000028500000}"/>
    <cellStyle name="Normal 2 2 2 5 10" xfId="20521" xr:uid="{00000000-0005-0000-0000-000029500000}"/>
    <cellStyle name="Normal 2 2 2 5 11" xfId="20522" xr:uid="{00000000-0005-0000-0000-00002A500000}"/>
    <cellStyle name="Normal 2 2 2 5 12" xfId="20523" xr:uid="{00000000-0005-0000-0000-00002B500000}"/>
    <cellStyle name="Normal 2 2 2 5 13" xfId="20524" xr:uid="{00000000-0005-0000-0000-00002C500000}"/>
    <cellStyle name="Normal 2 2 2 5 14" xfId="20525" xr:uid="{00000000-0005-0000-0000-00002D500000}"/>
    <cellStyle name="Normal 2 2 2 5 15" xfId="20526" xr:uid="{00000000-0005-0000-0000-00002E500000}"/>
    <cellStyle name="Normal 2 2 2 5 16" xfId="20527" xr:uid="{00000000-0005-0000-0000-00002F500000}"/>
    <cellStyle name="Normal 2 2 2 5 17" xfId="20528" xr:uid="{00000000-0005-0000-0000-000030500000}"/>
    <cellStyle name="Normal 2 2 2 5 18" xfId="20529" xr:uid="{00000000-0005-0000-0000-000031500000}"/>
    <cellStyle name="Normal 2 2 2 5 19" xfId="20530" xr:uid="{00000000-0005-0000-0000-000032500000}"/>
    <cellStyle name="Normal 2 2 2 5 2" xfId="20531" xr:uid="{00000000-0005-0000-0000-000033500000}"/>
    <cellStyle name="Normal 2 2 2 5 2 10" xfId="20532" xr:uid="{00000000-0005-0000-0000-000034500000}"/>
    <cellStyle name="Normal 2 2 2 5 2 10 10" xfId="20533" xr:uid="{00000000-0005-0000-0000-000035500000}"/>
    <cellStyle name="Normal 2 2 2 5 2 10 11" xfId="20534" xr:uid="{00000000-0005-0000-0000-000036500000}"/>
    <cellStyle name="Normal 2 2 2 5 2 10 12" xfId="20535" xr:uid="{00000000-0005-0000-0000-000037500000}"/>
    <cellStyle name="Normal 2 2 2 5 2 10 13" xfId="20536" xr:uid="{00000000-0005-0000-0000-000038500000}"/>
    <cellStyle name="Normal 2 2 2 5 2 10 14" xfId="20537" xr:uid="{00000000-0005-0000-0000-000039500000}"/>
    <cellStyle name="Normal 2 2 2 5 2 10 2" xfId="20538" xr:uid="{00000000-0005-0000-0000-00003A500000}"/>
    <cellStyle name="Normal 2 2 2 5 2 10 2 10" xfId="20539" xr:uid="{00000000-0005-0000-0000-00003B500000}"/>
    <cellStyle name="Normal 2 2 2 5 2 10 2 2" xfId="20540" xr:uid="{00000000-0005-0000-0000-00003C500000}"/>
    <cellStyle name="Normal 2 2 2 5 2 10 2 3" xfId="20541" xr:uid="{00000000-0005-0000-0000-00003D500000}"/>
    <cellStyle name="Normal 2 2 2 5 2 10 2 4" xfId="20542" xr:uid="{00000000-0005-0000-0000-00003E500000}"/>
    <cellStyle name="Normal 2 2 2 5 2 10 2 5" xfId="20543" xr:uid="{00000000-0005-0000-0000-00003F500000}"/>
    <cellStyle name="Normal 2 2 2 5 2 10 2 6" xfId="20544" xr:uid="{00000000-0005-0000-0000-000040500000}"/>
    <cellStyle name="Normal 2 2 2 5 2 10 2 7" xfId="20545" xr:uid="{00000000-0005-0000-0000-000041500000}"/>
    <cellStyle name="Normal 2 2 2 5 2 10 2 8" xfId="20546" xr:uid="{00000000-0005-0000-0000-000042500000}"/>
    <cellStyle name="Normal 2 2 2 5 2 10 2 9" xfId="20547" xr:uid="{00000000-0005-0000-0000-000043500000}"/>
    <cellStyle name="Normal 2 2 2 5 2 10 3" xfId="20548" xr:uid="{00000000-0005-0000-0000-000044500000}"/>
    <cellStyle name="Normal 2 2 2 5 2 10 3 10" xfId="20549" xr:uid="{00000000-0005-0000-0000-000045500000}"/>
    <cellStyle name="Normal 2 2 2 5 2 10 3 2" xfId="20550" xr:uid="{00000000-0005-0000-0000-000046500000}"/>
    <cellStyle name="Normal 2 2 2 5 2 10 3 3" xfId="20551" xr:uid="{00000000-0005-0000-0000-000047500000}"/>
    <cellStyle name="Normal 2 2 2 5 2 10 3 4" xfId="20552" xr:uid="{00000000-0005-0000-0000-000048500000}"/>
    <cellStyle name="Normal 2 2 2 5 2 10 3 5" xfId="20553" xr:uid="{00000000-0005-0000-0000-000049500000}"/>
    <cellStyle name="Normal 2 2 2 5 2 10 3 6" xfId="20554" xr:uid="{00000000-0005-0000-0000-00004A500000}"/>
    <cellStyle name="Normal 2 2 2 5 2 10 3 7" xfId="20555" xr:uid="{00000000-0005-0000-0000-00004B500000}"/>
    <cellStyle name="Normal 2 2 2 5 2 10 3 8" xfId="20556" xr:uid="{00000000-0005-0000-0000-00004C500000}"/>
    <cellStyle name="Normal 2 2 2 5 2 10 3 9" xfId="20557" xr:uid="{00000000-0005-0000-0000-00004D500000}"/>
    <cellStyle name="Normal 2 2 2 5 2 10 4" xfId="20558" xr:uid="{00000000-0005-0000-0000-00004E500000}"/>
    <cellStyle name="Normal 2 2 2 5 2 10 4 10" xfId="20559" xr:uid="{00000000-0005-0000-0000-00004F500000}"/>
    <cellStyle name="Normal 2 2 2 5 2 10 4 2" xfId="20560" xr:uid="{00000000-0005-0000-0000-000050500000}"/>
    <cellStyle name="Normal 2 2 2 5 2 10 4 3" xfId="20561" xr:uid="{00000000-0005-0000-0000-000051500000}"/>
    <cellStyle name="Normal 2 2 2 5 2 10 4 4" xfId="20562" xr:uid="{00000000-0005-0000-0000-000052500000}"/>
    <cellStyle name="Normal 2 2 2 5 2 10 4 5" xfId="20563" xr:uid="{00000000-0005-0000-0000-000053500000}"/>
    <cellStyle name="Normal 2 2 2 5 2 10 4 6" xfId="20564" xr:uid="{00000000-0005-0000-0000-000054500000}"/>
    <cellStyle name="Normal 2 2 2 5 2 10 4 7" xfId="20565" xr:uid="{00000000-0005-0000-0000-000055500000}"/>
    <cellStyle name="Normal 2 2 2 5 2 10 4 8" xfId="20566" xr:uid="{00000000-0005-0000-0000-000056500000}"/>
    <cellStyle name="Normal 2 2 2 5 2 10 4 9" xfId="20567" xr:uid="{00000000-0005-0000-0000-000057500000}"/>
    <cellStyle name="Normal 2 2 2 5 2 10 5" xfId="20568" xr:uid="{00000000-0005-0000-0000-000058500000}"/>
    <cellStyle name="Normal 2 2 2 5 2 10 5 10" xfId="20569" xr:uid="{00000000-0005-0000-0000-000059500000}"/>
    <cellStyle name="Normal 2 2 2 5 2 10 5 2" xfId="20570" xr:uid="{00000000-0005-0000-0000-00005A500000}"/>
    <cellStyle name="Normal 2 2 2 5 2 10 5 3" xfId="20571" xr:uid="{00000000-0005-0000-0000-00005B500000}"/>
    <cellStyle name="Normal 2 2 2 5 2 10 5 4" xfId="20572" xr:uid="{00000000-0005-0000-0000-00005C500000}"/>
    <cellStyle name="Normal 2 2 2 5 2 10 5 5" xfId="20573" xr:uid="{00000000-0005-0000-0000-00005D500000}"/>
    <cellStyle name="Normal 2 2 2 5 2 10 5 6" xfId="20574" xr:uid="{00000000-0005-0000-0000-00005E500000}"/>
    <cellStyle name="Normal 2 2 2 5 2 10 5 7" xfId="20575" xr:uid="{00000000-0005-0000-0000-00005F500000}"/>
    <cellStyle name="Normal 2 2 2 5 2 10 5 8" xfId="20576" xr:uid="{00000000-0005-0000-0000-000060500000}"/>
    <cellStyle name="Normal 2 2 2 5 2 10 5 9" xfId="20577" xr:uid="{00000000-0005-0000-0000-000061500000}"/>
    <cellStyle name="Normal 2 2 2 5 2 10 6" xfId="20578" xr:uid="{00000000-0005-0000-0000-000062500000}"/>
    <cellStyle name="Normal 2 2 2 5 2 10 7" xfId="20579" xr:uid="{00000000-0005-0000-0000-000063500000}"/>
    <cellStyle name="Normal 2 2 2 5 2 10 8" xfId="20580" xr:uid="{00000000-0005-0000-0000-000064500000}"/>
    <cellStyle name="Normal 2 2 2 5 2 10 9" xfId="20581" xr:uid="{00000000-0005-0000-0000-000065500000}"/>
    <cellStyle name="Normal 2 2 2 5 2 11" xfId="20582" xr:uid="{00000000-0005-0000-0000-000066500000}"/>
    <cellStyle name="Normal 2 2 2 5 2 11 10" xfId="20583" xr:uid="{00000000-0005-0000-0000-000067500000}"/>
    <cellStyle name="Normal 2 2 2 5 2 11 11" xfId="20584" xr:uid="{00000000-0005-0000-0000-000068500000}"/>
    <cellStyle name="Normal 2 2 2 5 2 11 12" xfId="20585" xr:uid="{00000000-0005-0000-0000-000069500000}"/>
    <cellStyle name="Normal 2 2 2 5 2 11 13" xfId="20586" xr:uid="{00000000-0005-0000-0000-00006A500000}"/>
    <cellStyle name="Normal 2 2 2 5 2 11 14" xfId="20587" xr:uid="{00000000-0005-0000-0000-00006B500000}"/>
    <cellStyle name="Normal 2 2 2 5 2 11 2" xfId="20588" xr:uid="{00000000-0005-0000-0000-00006C500000}"/>
    <cellStyle name="Normal 2 2 2 5 2 11 2 10" xfId="20589" xr:uid="{00000000-0005-0000-0000-00006D500000}"/>
    <cellStyle name="Normal 2 2 2 5 2 11 2 2" xfId="20590" xr:uid="{00000000-0005-0000-0000-00006E500000}"/>
    <cellStyle name="Normal 2 2 2 5 2 11 2 3" xfId="20591" xr:uid="{00000000-0005-0000-0000-00006F500000}"/>
    <cellStyle name="Normal 2 2 2 5 2 11 2 4" xfId="20592" xr:uid="{00000000-0005-0000-0000-000070500000}"/>
    <cellStyle name="Normal 2 2 2 5 2 11 2 5" xfId="20593" xr:uid="{00000000-0005-0000-0000-000071500000}"/>
    <cellStyle name="Normal 2 2 2 5 2 11 2 6" xfId="20594" xr:uid="{00000000-0005-0000-0000-000072500000}"/>
    <cellStyle name="Normal 2 2 2 5 2 11 2 7" xfId="20595" xr:uid="{00000000-0005-0000-0000-000073500000}"/>
    <cellStyle name="Normal 2 2 2 5 2 11 2 8" xfId="20596" xr:uid="{00000000-0005-0000-0000-000074500000}"/>
    <cellStyle name="Normal 2 2 2 5 2 11 2 9" xfId="20597" xr:uid="{00000000-0005-0000-0000-000075500000}"/>
    <cellStyle name="Normal 2 2 2 5 2 11 3" xfId="20598" xr:uid="{00000000-0005-0000-0000-000076500000}"/>
    <cellStyle name="Normal 2 2 2 5 2 11 3 10" xfId="20599" xr:uid="{00000000-0005-0000-0000-000077500000}"/>
    <cellStyle name="Normal 2 2 2 5 2 11 3 2" xfId="20600" xr:uid="{00000000-0005-0000-0000-000078500000}"/>
    <cellStyle name="Normal 2 2 2 5 2 11 3 3" xfId="20601" xr:uid="{00000000-0005-0000-0000-000079500000}"/>
    <cellStyle name="Normal 2 2 2 5 2 11 3 4" xfId="20602" xr:uid="{00000000-0005-0000-0000-00007A500000}"/>
    <cellStyle name="Normal 2 2 2 5 2 11 3 5" xfId="20603" xr:uid="{00000000-0005-0000-0000-00007B500000}"/>
    <cellStyle name="Normal 2 2 2 5 2 11 3 6" xfId="20604" xr:uid="{00000000-0005-0000-0000-00007C500000}"/>
    <cellStyle name="Normal 2 2 2 5 2 11 3 7" xfId="20605" xr:uid="{00000000-0005-0000-0000-00007D500000}"/>
    <cellStyle name="Normal 2 2 2 5 2 11 3 8" xfId="20606" xr:uid="{00000000-0005-0000-0000-00007E500000}"/>
    <cellStyle name="Normal 2 2 2 5 2 11 3 9" xfId="20607" xr:uid="{00000000-0005-0000-0000-00007F500000}"/>
    <cellStyle name="Normal 2 2 2 5 2 11 4" xfId="20608" xr:uid="{00000000-0005-0000-0000-000080500000}"/>
    <cellStyle name="Normal 2 2 2 5 2 11 4 10" xfId="20609" xr:uid="{00000000-0005-0000-0000-000081500000}"/>
    <cellStyle name="Normal 2 2 2 5 2 11 4 2" xfId="20610" xr:uid="{00000000-0005-0000-0000-000082500000}"/>
    <cellStyle name="Normal 2 2 2 5 2 11 4 3" xfId="20611" xr:uid="{00000000-0005-0000-0000-000083500000}"/>
    <cellStyle name="Normal 2 2 2 5 2 11 4 4" xfId="20612" xr:uid="{00000000-0005-0000-0000-000084500000}"/>
    <cellStyle name="Normal 2 2 2 5 2 11 4 5" xfId="20613" xr:uid="{00000000-0005-0000-0000-000085500000}"/>
    <cellStyle name="Normal 2 2 2 5 2 11 4 6" xfId="20614" xr:uid="{00000000-0005-0000-0000-000086500000}"/>
    <cellStyle name="Normal 2 2 2 5 2 11 4 7" xfId="20615" xr:uid="{00000000-0005-0000-0000-000087500000}"/>
    <cellStyle name="Normal 2 2 2 5 2 11 4 8" xfId="20616" xr:uid="{00000000-0005-0000-0000-000088500000}"/>
    <cellStyle name="Normal 2 2 2 5 2 11 4 9" xfId="20617" xr:uid="{00000000-0005-0000-0000-000089500000}"/>
    <cellStyle name="Normal 2 2 2 5 2 11 5" xfId="20618" xr:uid="{00000000-0005-0000-0000-00008A500000}"/>
    <cellStyle name="Normal 2 2 2 5 2 11 5 10" xfId="20619" xr:uid="{00000000-0005-0000-0000-00008B500000}"/>
    <cellStyle name="Normal 2 2 2 5 2 11 5 2" xfId="20620" xr:uid="{00000000-0005-0000-0000-00008C500000}"/>
    <cellStyle name="Normal 2 2 2 5 2 11 5 3" xfId="20621" xr:uid="{00000000-0005-0000-0000-00008D500000}"/>
    <cellStyle name="Normal 2 2 2 5 2 11 5 4" xfId="20622" xr:uid="{00000000-0005-0000-0000-00008E500000}"/>
    <cellStyle name="Normal 2 2 2 5 2 11 5 5" xfId="20623" xr:uid="{00000000-0005-0000-0000-00008F500000}"/>
    <cellStyle name="Normal 2 2 2 5 2 11 5 6" xfId="20624" xr:uid="{00000000-0005-0000-0000-000090500000}"/>
    <cellStyle name="Normal 2 2 2 5 2 11 5 7" xfId="20625" xr:uid="{00000000-0005-0000-0000-000091500000}"/>
    <cellStyle name="Normal 2 2 2 5 2 11 5 8" xfId="20626" xr:uid="{00000000-0005-0000-0000-000092500000}"/>
    <cellStyle name="Normal 2 2 2 5 2 11 5 9" xfId="20627" xr:uid="{00000000-0005-0000-0000-000093500000}"/>
    <cellStyle name="Normal 2 2 2 5 2 11 6" xfId="20628" xr:uid="{00000000-0005-0000-0000-000094500000}"/>
    <cellStyle name="Normal 2 2 2 5 2 11 7" xfId="20629" xr:uid="{00000000-0005-0000-0000-000095500000}"/>
    <cellStyle name="Normal 2 2 2 5 2 11 8" xfId="20630" xr:uid="{00000000-0005-0000-0000-000096500000}"/>
    <cellStyle name="Normal 2 2 2 5 2 11 9" xfId="20631" xr:uid="{00000000-0005-0000-0000-000097500000}"/>
    <cellStyle name="Normal 2 2 2 5 2 12" xfId="20632" xr:uid="{00000000-0005-0000-0000-000098500000}"/>
    <cellStyle name="Normal 2 2 2 5 2 12 10" xfId="20633" xr:uid="{00000000-0005-0000-0000-000099500000}"/>
    <cellStyle name="Normal 2 2 2 5 2 12 11" xfId="20634" xr:uid="{00000000-0005-0000-0000-00009A500000}"/>
    <cellStyle name="Normal 2 2 2 5 2 12 12" xfId="20635" xr:uid="{00000000-0005-0000-0000-00009B500000}"/>
    <cellStyle name="Normal 2 2 2 5 2 12 13" xfId="20636" xr:uid="{00000000-0005-0000-0000-00009C500000}"/>
    <cellStyle name="Normal 2 2 2 5 2 12 14" xfId="20637" xr:uid="{00000000-0005-0000-0000-00009D500000}"/>
    <cellStyle name="Normal 2 2 2 5 2 12 2" xfId="20638" xr:uid="{00000000-0005-0000-0000-00009E500000}"/>
    <cellStyle name="Normal 2 2 2 5 2 12 2 10" xfId="20639" xr:uid="{00000000-0005-0000-0000-00009F500000}"/>
    <cellStyle name="Normal 2 2 2 5 2 12 2 2" xfId="20640" xr:uid="{00000000-0005-0000-0000-0000A0500000}"/>
    <cellStyle name="Normal 2 2 2 5 2 12 2 3" xfId="20641" xr:uid="{00000000-0005-0000-0000-0000A1500000}"/>
    <cellStyle name="Normal 2 2 2 5 2 12 2 4" xfId="20642" xr:uid="{00000000-0005-0000-0000-0000A2500000}"/>
    <cellStyle name="Normal 2 2 2 5 2 12 2 5" xfId="20643" xr:uid="{00000000-0005-0000-0000-0000A3500000}"/>
    <cellStyle name="Normal 2 2 2 5 2 12 2 6" xfId="20644" xr:uid="{00000000-0005-0000-0000-0000A4500000}"/>
    <cellStyle name="Normal 2 2 2 5 2 12 2 7" xfId="20645" xr:uid="{00000000-0005-0000-0000-0000A5500000}"/>
    <cellStyle name="Normal 2 2 2 5 2 12 2 8" xfId="20646" xr:uid="{00000000-0005-0000-0000-0000A6500000}"/>
    <cellStyle name="Normal 2 2 2 5 2 12 2 9" xfId="20647" xr:uid="{00000000-0005-0000-0000-0000A7500000}"/>
    <cellStyle name="Normal 2 2 2 5 2 12 3" xfId="20648" xr:uid="{00000000-0005-0000-0000-0000A8500000}"/>
    <cellStyle name="Normal 2 2 2 5 2 12 3 10" xfId="20649" xr:uid="{00000000-0005-0000-0000-0000A9500000}"/>
    <cellStyle name="Normal 2 2 2 5 2 12 3 2" xfId="20650" xr:uid="{00000000-0005-0000-0000-0000AA500000}"/>
    <cellStyle name="Normal 2 2 2 5 2 12 3 3" xfId="20651" xr:uid="{00000000-0005-0000-0000-0000AB500000}"/>
    <cellStyle name="Normal 2 2 2 5 2 12 3 4" xfId="20652" xr:uid="{00000000-0005-0000-0000-0000AC500000}"/>
    <cellStyle name="Normal 2 2 2 5 2 12 3 5" xfId="20653" xr:uid="{00000000-0005-0000-0000-0000AD500000}"/>
    <cellStyle name="Normal 2 2 2 5 2 12 3 6" xfId="20654" xr:uid="{00000000-0005-0000-0000-0000AE500000}"/>
    <cellStyle name="Normal 2 2 2 5 2 12 3 7" xfId="20655" xr:uid="{00000000-0005-0000-0000-0000AF500000}"/>
    <cellStyle name="Normal 2 2 2 5 2 12 3 8" xfId="20656" xr:uid="{00000000-0005-0000-0000-0000B0500000}"/>
    <cellStyle name="Normal 2 2 2 5 2 12 3 9" xfId="20657" xr:uid="{00000000-0005-0000-0000-0000B1500000}"/>
    <cellStyle name="Normal 2 2 2 5 2 12 4" xfId="20658" xr:uid="{00000000-0005-0000-0000-0000B2500000}"/>
    <cellStyle name="Normal 2 2 2 5 2 12 4 10" xfId="20659" xr:uid="{00000000-0005-0000-0000-0000B3500000}"/>
    <cellStyle name="Normal 2 2 2 5 2 12 4 2" xfId="20660" xr:uid="{00000000-0005-0000-0000-0000B4500000}"/>
    <cellStyle name="Normal 2 2 2 5 2 12 4 3" xfId="20661" xr:uid="{00000000-0005-0000-0000-0000B5500000}"/>
    <cellStyle name="Normal 2 2 2 5 2 12 4 4" xfId="20662" xr:uid="{00000000-0005-0000-0000-0000B6500000}"/>
    <cellStyle name="Normal 2 2 2 5 2 12 4 5" xfId="20663" xr:uid="{00000000-0005-0000-0000-0000B7500000}"/>
    <cellStyle name="Normal 2 2 2 5 2 12 4 6" xfId="20664" xr:uid="{00000000-0005-0000-0000-0000B8500000}"/>
    <cellStyle name="Normal 2 2 2 5 2 12 4 7" xfId="20665" xr:uid="{00000000-0005-0000-0000-0000B9500000}"/>
    <cellStyle name="Normal 2 2 2 5 2 12 4 8" xfId="20666" xr:uid="{00000000-0005-0000-0000-0000BA500000}"/>
    <cellStyle name="Normal 2 2 2 5 2 12 4 9" xfId="20667" xr:uid="{00000000-0005-0000-0000-0000BB500000}"/>
    <cellStyle name="Normal 2 2 2 5 2 12 5" xfId="20668" xr:uid="{00000000-0005-0000-0000-0000BC500000}"/>
    <cellStyle name="Normal 2 2 2 5 2 12 5 10" xfId="20669" xr:uid="{00000000-0005-0000-0000-0000BD500000}"/>
    <cellStyle name="Normal 2 2 2 5 2 12 5 2" xfId="20670" xr:uid="{00000000-0005-0000-0000-0000BE500000}"/>
    <cellStyle name="Normal 2 2 2 5 2 12 5 3" xfId="20671" xr:uid="{00000000-0005-0000-0000-0000BF500000}"/>
    <cellStyle name="Normal 2 2 2 5 2 12 5 4" xfId="20672" xr:uid="{00000000-0005-0000-0000-0000C0500000}"/>
    <cellStyle name="Normal 2 2 2 5 2 12 5 5" xfId="20673" xr:uid="{00000000-0005-0000-0000-0000C1500000}"/>
    <cellStyle name="Normal 2 2 2 5 2 12 5 6" xfId="20674" xr:uid="{00000000-0005-0000-0000-0000C2500000}"/>
    <cellStyle name="Normal 2 2 2 5 2 12 5 7" xfId="20675" xr:uid="{00000000-0005-0000-0000-0000C3500000}"/>
    <cellStyle name="Normal 2 2 2 5 2 12 5 8" xfId="20676" xr:uid="{00000000-0005-0000-0000-0000C4500000}"/>
    <cellStyle name="Normal 2 2 2 5 2 12 5 9" xfId="20677" xr:uid="{00000000-0005-0000-0000-0000C5500000}"/>
    <cellStyle name="Normal 2 2 2 5 2 12 6" xfId="20678" xr:uid="{00000000-0005-0000-0000-0000C6500000}"/>
    <cellStyle name="Normal 2 2 2 5 2 12 7" xfId="20679" xr:uid="{00000000-0005-0000-0000-0000C7500000}"/>
    <cellStyle name="Normal 2 2 2 5 2 12 8" xfId="20680" xr:uid="{00000000-0005-0000-0000-0000C8500000}"/>
    <cellStyle name="Normal 2 2 2 5 2 12 9" xfId="20681" xr:uid="{00000000-0005-0000-0000-0000C9500000}"/>
    <cellStyle name="Normal 2 2 2 5 2 13" xfId="20682" xr:uid="{00000000-0005-0000-0000-0000CA500000}"/>
    <cellStyle name="Normal 2 2 2 5 2 13 10" xfId="20683" xr:uid="{00000000-0005-0000-0000-0000CB500000}"/>
    <cellStyle name="Normal 2 2 2 5 2 13 11" xfId="20684" xr:uid="{00000000-0005-0000-0000-0000CC500000}"/>
    <cellStyle name="Normal 2 2 2 5 2 13 12" xfId="20685" xr:uid="{00000000-0005-0000-0000-0000CD500000}"/>
    <cellStyle name="Normal 2 2 2 5 2 13 13" xfId="20686" xr:uid="{00000000-0005-0000-0000-0000CE500000}"/>
    <cellStyle name="Normal 2 2 2 5 2 13 14" xfId="20687" xr:uid="{00000000-0005-0000-0000-0000CF500000}"/>
    <cellStyle name="Normal 2 2 2 5 2 13 2" xfId="20688" xr:uid="{00000000-0005-0000-0000-0000D0500000}"/>
    <cellStyle name="Normal 2 2 2 5 2 13 2 10" xfId="20689" xr:uid="{00000000-0005-0000-0000-0000D1500000}"/>
    <cellStyle name="Normal 2 2 2 5 2 13 2 2" xfId="20690" xr:uid="{00000000-0005-0000-0000-0000D2500000}"/>
    <cellStyle name="Normal 2 2 2 5 2 13 2 3" xfId="20691" xr:uid="{00000000-0005-0000-0000-0000D3500000}"/>
    <cellStyle name="Normal 2 2 2 5 2 13 2 4" xfId="20692" xr:uid="{00000000-0005-0000-0000-0000D4500000}"/>
    <cellStyle name="Normal 2 2 2 5 2 13 2 5" xfId="20693" xr:uid="{00000000-0005-0000-0000-0000D5500000}"/>
    <cellStyle name="Normal 2 2 2 5 2 13 2 6" xfId="20694" xr:uid="{00000000-0005-0000-0000-0000D6500000}"/>
    <cellStyle name="Normal 2 2 2 5 2 13 2 7" xfId="20695" xr:uid="{00000000-0005-0000-0000-0000D7500000}"/>
    <cellStyle name="Normal 2 2 2 5 2 13 2 8" xfId="20696" xr:uid="{00000000-0005-0000-0000-0000D8500000}"/>
    <cellStyle name="Normal 2 2 2 5 2 13 2 9" xfId="20697" xr:uid="{00000000-0005-0000-0000-0000D9500000}"/>
    <cellStyle name="Normal 2 2 2 5 2 13 3" xfId="20698" xr:uid="{00000000-0005-0000-0000-0000DA500000}"/>
    <cellStyle name="Normal 2 2 2 5 2 13 3 10" xfId="20699" xr:uid="{00000000-0005-0000-0000-0000DB500000}"/>
    <cellStyle name="Normal 2 2 2 5 2 13 3 2" xfId="20700" xr:uid="{00000000-0005-0000-0000-0000DC500000}"/>
    <cellStyle name="Normal 2 2 2 5 2 13 3 3" xfId="20701" xr:uid="{00000000-0005-0000-0000-0000DD500000}"/>
    <cellStyle name="Normal 2 2 2 5 2 13 3 4" xfId="20702" xr:uid="{00000000-0005-0000-0000-0000DE500000}"/>
    <cellStyle name="Normal 2 2 2 5 2 13 3 5" xfId="20703" xr:uid="{00000000-0005-0000-0000-0000DF500000}"/>
    <cellStyle name="Normal 2 2 2 5 2 13 3 6" xfId="20704" xr:uid="{00000000-0005-0000-0000-0000E0500000}"/>
    <cellStyle name="Normal 2 2 2 5 2 13 3 7" xfId="20705" xr:uid="{00000000-0005-0000-0000-0000E1500000}"/>
    <cellStyle name="Normal 2 2 2 5 2 13 3 8" xfId="20706" xr:uid="{00000000-0005-0000-0000-0000E2500000}"/>
    <cellStyle name="Normal 2 2 2 5 2 13 3 9" xfId="20707" xr:uid="{00000000-0005-0000-0000-0000E3500000}"/>
    <cellStyle name="Normal 2 2 2 5 2 13 4" xfId="20708" xr:uid="{00000000-0005-0000-0000-0000E4500000}"/>
    <cellStyle name="Normal 2 2 2 5 2 13 4 10" xfId="20709" xr:uid="{00000000-0005-0000-0000-0000E5500000}"/>
    <cellStyle name="Normal 2 2 2 5 2 13 4 2" xfId="20710" xr:uid="{00000000-0005-0000-0000-0000E6500000}"/>
    <cellStyle name="Normal 2 2 2 5 2 13 4 3" xfId="20711" xr:uid="{00000000-0005-0000-0000-0000E7500000}"/>
    <cellStyle name="Normal 2 2 2 5 2 13 4 4" xfId="20712" xr:uid="{00000000-0005-0000-0000-0000E8500000}"/>
    <cellStyle name="Normal 2 2 2 5 2 13 4 5" xfId="20713" xr:uid="{00000000-0005-0000-0000-0000E9500000}"/>
    <cellStyle name="Normal 2 2 2 5 2 13 4 6" xfId="20714" xr:uid="{00000000-0005-0000-0000-0000EA500000}"/>
    <cellStyle name="Normal 2 2 2 5 2 13 4 7" xfId="20715" xr:uid="{00000000-0005-0000-0000-0000EB500000}"/>
    <cellStyle name="Normal 2 2 2 5 2 13 4 8" xfId="20716" xr:uid="{00000000-0005-0000-0000-0000EC500000}"/>
    <cellStyle name="Normal 2 2 2 5 2 13 4 9" xfId="20717" xr:uid="{00000000-0005-0000-0000-0000ED500000}"/>
    <cellStyle name="Normal 2 2 2 5 2 13 5" xfId="20718" xr:uid="{00000000-0005-0000-0000-0000EE500000}"/>
    <cellStyle name="Normal 2 2 2 5 2 13 5 10" xfId="20719" xr:uid="{00000000-0005-0000-0000-0000EF500000}"/>
    <cellStyle name="Normal 2 2 2 5 2 13 5 2" xfId="20720" xr:uid="{00000000-0005-0000-0000-0000F0500000}"/>
    <cellStyle name="Normal 2 2 2 5 2 13 5 3" xfId="20721" xr:uid="{00000000-0005-0000-0000-0000F1500000}"/>
    <cellStyle name="Normal 2 2 2 5 2 13 5 4" xfId="20722" xr:uid="{00000000-0005-0000-0000-0000F2500000}"/>
    <cellStyle name="Normal 2 2 2 5 2 13 5 5" xfId="20723" xr:uid="{00000000-0005-0000-0000-0000F3500000}"/>
    <cellStyle name="Normal 2 2 2 5 2 13 5 6" xfId="20724" xr:uid="{00000000-0005-0000-0000-0000F4500000}"/>
    <cellStyle name="Normal 2 2 2 5 2 13 5 7" xfId="20725" xr:uid="{00000000-0005-0000-0000-0000F5500000}"/>
    <cellStyle name="Normal 2 2 2 5 2 13 5 8" xfId="20726" xr:uid="{00000000-0005-0000-0000-0000F6500000}"/>
    <cellStyle name="Normal 2 2 2 5 2 13 5 9" xfId="20727" xr:uid="{00000000-0005-0000-0000-0000F7500000}"/>
    <cellStyle name="Normal 2 2 2 5 2 13 6" xfId="20728" xr:uid="{00000000-0005-0000-0000-0000F8500000}"/>
    <cellStyle name="Normal 2 2 2 5 2 13 7" xfId="20729" xr:uid="{00000000-0005-0000-0000-0000F9500000}"/>
    <cellStyle name="Normal 2 2 2 5 2 13 8" xfId="20730" xr:uid="{00000000-0005-0000-0000-0000FA500000}"/>
    <cellStyle name="Normal 2 2 2 5 2 13 9" xfId="20731" xr:uid="{00000000-0005-0000-0000-0000FB500000}"/>
    <cellStyle name="Normal 2 2 2 5 2 14" xfId="20732" xr:uid="{00000000-0005-0000-0000-0000FC500000}"/>
    <cellStyle name="Normal 2 2 2 5 2 14 10" xfId="20733" xr:uid="{00000000-0005-0000-0000-0000FD500000}"/>
    <cellStyle name="Normal 2 2 2 5 2 14 11" xfId="20734" xr:uid="{00000000-0005-0000-0000-0000FE500000}"/>
    <cellStyle name="Normal 2 2 2 5 2 14 12" xfId="20735" xr:uid="{00000000-0005-0000-0000-0000FF500000}"/>
    <cellStyle name="Normal 2 2 2 5 2 14 13" xfId="20736" xr:uid="{00000000-0005-0000-0000-000000510000}"/>
    <cellStyle name="Normal 2 2 2 5 2 14 14" xfId="20737" xr:uid="{00000000-0005-0000-0000-000001510000}"/>
    <cellStyle name="Normal 2 2 2 5 2 14 2" xfId="20738" xr:uid="{00000000-0005-0000-0000-000002510000}"/>
    <cellStyle name="Normal 2 2 2 5 2 14 2 10" xfId="20739" xr:uid="{00000000-0005-0000-0000-000003510000}"/>
    <cellStyle name="Normal 2 2 2 5 2 14 2 2" xfId="20740" xr:uid="{00000000-0005-0000-0000-000004510000}"/>
    <cellStyle name="Normal 2 2 2 5 2 14 2 3" xfId="20741" xr:uid="{00000000-0005-0000-0000-000005510000}"/>
    <cellStyle name="Normal 2 2 2 5 2 14 2 4" xfId="20742" xr:uid="{00000000-0005-0000-0000-000006510000}"/>
    <cellStyle name="Normal 2 2 2 5 2 14 2 5" xfId="20743" xr:uid="{00000000-0005-0000-0000-000007510000}"/>
    <cellStyle name="Normal 2 2 2 5 2 14 2 6" xfId="20744" xr:uid="{00000000-0005-0000-0000-000008510000}"/>
    <cellStyle name="Normal 2 2 2 5 2 14 2 7" xfId="20745" xr:uid="{00000000-0005-0000-0000-000009510000}"/>
    <cellStyle name="Normal 2 2 2 5 2 14 2 8" xfId="20746" xr:uid="{00000000-0005-0000-0000-00000A510000}"/>
    <cellStyle name="Normal 2 2 2 5 2 14 2 9" xfId="20747" xr:uid="{00000000-0005-0000-0000-00000B510000}"/>
    <cellStyle name="Normal 2 2 2 5 2 14 3" xfId="20748" xr:uid="{00000000-0005-0000-0000-00000C510000}"/>
    <cellStyle name="Normal 2 2 2 5 2 14 3 10" xfId="20749" xr:uid="{00000000-0005-0000-0000-00000D510000}"/>
    <cellStyle name="Normal 2 2 2 5 2 14 3 2" xfId="20750" xr:uid="{00000000-0005-0000-0000-00000E510000}"/>
    <cellStyle name="Normal 2 2 2 5 2 14 3 3" xfId="20751" xr:uid="{00000000-0005-0000-0000-00000F510000}"/>
    <cellStyle name="Normal 2 2 2 5 2 14 3 4" xfId="20752" xr:uid="{00000000-0005-0000-0000-000010510000}"/>
    <cellStyle name="Normal 2 2 2 5 2 14 3 5" xfId="20753" xr:uid="{00000000-0005-0000-0000-000011510000}"/>
    <cellStyle name="Normal 2 2 2 5 2 14 3 6" xfId="20754" xr:uid="{00000000-0005-0000-0000-000012510000}"/>
    <cellStyle name="Normal 2 2 2 5 2 14 3 7" xfId="20755" xr:uid="{00000000-0005-0000-0000-000013510000}"/>
    <cellStyle name="Normal 2 2 2 5 2 14 3 8" xfId="20756" xr:uid="{00000000-0005-0000-0000-000014510000}"/>
    <cellStyle name="Normal 2 2 2 5 2 14 3 9" xfId="20757" xr:uid="{00000000-0005-0000-0000-000015510000}"/>
    <cellStyle name="Normal 2 2 2 5 2 14 4" xfId="20758" xr:uid="{00000000-0005-0000-0000-000016510000}"/>
    <cellStyle name="Normal 2 2 2 5 2 14 4 10" xfId="20759" xr:uid="{00000000-0005-0000-0000-000017510000}"/>
    <cellStyle name="Normal 2 2 2 5 2 14 4 2" xfId="20760" xr:uid="{00000000-0005-0000-0000-000018510000}"/>
    <cellStyle name="Normal 2 2 2 5 2 14 4 3" xfId="20761" xr:uid="{00000000-0005-0000-0000-000019510000}"/>
    <cellStyle name="Normal 2 2 2 5 2 14 4 4" xfId="20762" xr:uid="{00000000-0005-0000-0000-00001A510000}"/>
    <cellStyle name="Normal 2 2 2 5 2 14 4 5" xfId="20763" xr:uid="{00000000-0005-0000-0000-00001B510000}"/>
    <cellStyle name="Normal 2 2 2 5 2 14 4 6" xfId="20764" xr:uid="{00000000-0005-0000-0000-00001C510000}"/>
    <cellStyle name="Normal 2 2 2 5 2 14 4 7" xfId="20765" xr:uid="{00000000-0005-0000-0000-00001D510000}"/>
    <cellStyle name="Normal 2 2 2 5 2 14 4 8" xfId="20766" xr:uid="{00000000-0005-0000-0000-00001E510000}"/>
    <cellStyle name="Normal 2 2 2 5 2 14 4 9" xfId="20767" xr:uid="{00000000-0005-0000-0000-00001F510000}"/>
    <cellStyle name="Normal 2 2 2 5 2 14 5" xfId="20768" xr:uid="{00000000-0005-0000-0000-000020510000}"/>
    <cellStyle name="Normal 2 2 2 5 2 14 5 10" xfId="20769" xr:uid="{00000000-0005-0000-0000-000021510000}"/>
    <cellStyle name="Normal 2 2 2 5 2 14 5 2" xfId="20770" xr:uid="{00000000-0005-0000-0000-000022510000}"/>
    <cellStyle name="Normal 2 2 2 5 2 14 5 3" xfId="20771" xr:uid="{00000000-0005-0000-0000-000023510000}"/>
    <cellStyle name="Normal 2 2 2 5 2 14 5 4" xfId="20772" xr:uid="{00000000-0005-0000-0000-000024510000}"/>
    <cellStyle name="Normal 2 2 2 5 2 14 5 5" xfId="20773" xr:uid="{00000000-0005-0000-0000-000025510000}"/>
    <cellStyle name="Normal 2 2 2 5 2 14 5 6" xfId="20774" xr:uid="{00000000-0005-0000-0000-000026510000}"/>
    <cellStyle name="Normal 2 2 2 5 2 14 5 7" xfId="20775" xr:uid="{00000000-0005-0000-0000-000027510000}"/>
    <cellStyle name="Normal 2 2 2 5 2 14 5 8" xfId="20776" xr:uid="{00000000-0005-0000-0000-000028510000}"/>
    <cellStyle name="Normal 2 2 2 5 2 14 5 9" xfId="20777" xr:uid="{00000000-0005-0000-0000-000029510000}"/>
    <cellStyle name="Normal 2 2 2 5 2 14 6" xfId="20778" xr:uid="{00000000-0005-0000-0000-00002A510000}"/>
    <cellStyle name="Normal 2 2 2 5 2 14 7" xfId="20779" xr:uid="{00000000-0005-0000-0000-00002B510000}"/>
    <cellStyle name="Normal 2 2 2 5 2 14 8" xfId="20780" xr:uid="{00000000-0005-0000-0000-00002C510000}"/>
    <cellStyle name="Normal 2 2 2 5 2 14 9" xfId="20781" xr:uid="{00000000-0005-0000-0000-00002D510000}"/>
    <cellStyle name="Normal 2 2 2 5 2 15" xfId="20782" xr:uid="{00000000-0005-0000-0000-00002E510000}"/>
    <cellStyle name="Normal 2 2 2 5 2 15 10" xfId="20783" xr:uid="{00000000-0005-0000-0000-00002F510000}"/>
    <cellStyle name="Normal 2 2 2 5 2 15 11" xfId="20784" xr:uid="{00000000-0005-0000-0000-000030510000}"/>
    <cellStyle name="Normal 2 2 2 5 2 15 12" xfId="20785" xr:uid="{00000000-0005-0000-0000-000031510000}"/>
    <cellStyle name="Normal 2 2 2 5 2 15 13" xfId="20786" xr:uid="{00000000-0005-0000-0000-000032510000}"/>
    <cellStyle name="Normal 2 2 2 5 2 15 14" xfId="20787" xr:uid="{00000000-0005-0000-0000-000033510000}"/>
    <cellStyle name="Normal 2 2 2 5 2 15 2" xfId="20788" xr:uid="{00000000-0005-0000-0000-000034510000}"/>
    <cellStyle name="Normal 2 2 2 5 2 15 2 10" xfId="20789" xr:uid="{00000000-0005-0000-0000-000035510000}"/>
    <cellStyle name="Normal 2 2 2 5 2 15 2 2" xfId="20790" xr:uid="{00000000-0005-0000-0000-000036510000}"/>
    <cellStyle name="Normal 2 2 2 5 2 15 2 3" xfId="20791" xr:uid="{00000000-0005-0000-0000-000037510000}"/>
    <cellStyle name="Normal 2 2 2 5 2 15 2 4" xfId="20792" xr:uid="{00000000-0005-0000-0000-000038510000}"/>
    <cellStyle name="Normal 2 2 2 5 2 15 2 5" xfId="20793" xr:uid="{00000000-0005-0000-0000-000039510000}"/>
    <cellStyle name="Normal 2 2 2 5 2 15 2 6" xfId="20794" xr:uid="{00000000-0005-0000-0000-00003A510000}"/>
    <cellStyle name="Normal 2 2 2 5 2 15 2 7" xfId="20795" xr:uid="{00000000-0005-0000-0000-00003B510000}"/>
    <cellStyle name="Normal 2 2 2 5 2 15 2 8" xfId="20796" xr:uid="{00000000-0005-0000-0000-00003C510000}"/>
    <cellStyle name="Normal 2 2 2 5 2 15 2 9" xfId="20797" xr:uid="{00000000-0005-0000-0000-00003D510000}"/>
    <cellStyle name="Normal 2 2 2 5 2 15 3" xfId="20798" xr:uid="{00000000-0005-0000-0000-00003E510000}"/>
    <cellStyle name="Normal 2 2 2 5 2 15 3 10" xfId="20799" xr:uid="{00000000-0005-0000-0000-00003F510000}"/>
    <cellStyle name="Normal 2 2 2 5 2 15 3 2" xfId="20800" xr:uid="{00000000-0005-0000-0000-000040510000}"/>
    <cellStyle name="Normal 2 2 2 5 2 15 3 3" xfId="20801" xr:uid="{00000000-0005-0000-0000-000041510000}"/>
    <cellStyle name="Normal 2 2 2 5 2 15 3 4" xfId="20802" xr:uid="{00000000-0005-0000-0000-000042510000}"/>
    <cellStyle name="Normal 2 2 2 5 2 15 3 5" xfId="20803" xr:uid="{00000000-0005-0000-0000-000043510000}"/>
    <cellStyle name="Normal 2 2 2 5 2 15 3 6" xfId="20804" xr:uid="{00000000-0005-0000-0000-000044510000}"/>
    <cellStyle name="Normal 2 2 2 5 2 15 3 7" xfId="20805" xr:uid="{00000000-0005-0000-0000-000045510000}"/>
    <cellStyle name="Normal 2 2 2 5 2 15 3 8" xfId="20806" xr:uid="{00000000-0005-0000-0000-000046510000}"/>
    <cellStyle name="Normal 2 2 2 5 2 15 3 9" xfId="20807" xr:uid="{00000000-0005-0000-0000-000047510000}"/>
    <cellStyle name="Normal 2 2 2 5 2 15 4" xfId="20808" xr:uid="{00000000-0005-0000-0000-000048510000}"/>
    <cellStyle name="Normal 2 2 2 5 2 15 4 10" xfId="20809" xr:uid="{00000000-0005-0000-0000-000049510000}"/>
    <cellStyle name="Normal 2 2 2 5 2 15 4 2" xfId="20810" xr:uid="{00000000-0005-0000-0000-00004A510000}"/>
    <cellStyle name="Normal 2 2 2 5 2 15 4 3" xfId="20811" xr:uid="{00000000-0005-0000-0000-00004B510000}"/>
    <cellStyle name="Normal 2 2 2 5 2 15 4 4" xfId="20812" xr:uid="{00000000-0005-0000-0000-00004C510000}"/>
    <cellStyle name="Normal 2 2 2 5 2 15 4 5" xfId="20813" xr:uid="{00000000-0005-0000-0000-00004D510000}"/>
    <cellStyle name="Normal 2 2 2 5 2 15 4 6" xfId="20814" xr:uid="{00000000-0005-0000-0000-00004E510000}"/>
    <cellStyle name="Normal 2 2 2 5 2 15 4 7" xfId="20815" xr:uid="{00000000-0005-0000-0000-00004F510000}"/>
    <cellStyle name="Normal 2 2 2 5 2 15 4 8" xfId="20816" xr:uid="{00000000-0005-0000-0000-000050510000}"/>
    <cellStyle name="Normal 2 2 2 5 2 15 4 9" xfId="20817" xr:uid="{00000000-0005-0000-0000-000051510000}"/>
    <cellStyle name="Normal 2 2 2 5 2 15 5" xfId="20818" xr:uid="{00000000-0005-0000-0000-000052510000}"/>
    <cellStyle name="Normal 2 2 2 5 2 15 5 10" xfId="20819" xr:uid="{00000000-0005-0000-0000-000053510000}"/>
    <cellStyle name="Normal 2 2 2 5 2 15 5 2" xfId="20820" xr:uid="{00000000-0005-0000-0000-000054510000}"/>
    <cellStyle name="Normal 2 2 2 5 2 15 5 3" xfId="20821" xr:uid="{00000000-0005-0000-0000-000055510000}"/>
    <cellStyle name="Normal 2 2 2 5 2 15 5 4" xfId="20822" xr:uid="{00000000-0005-0000-0000-000056510000}"/>
    <cellStyle name="Normal 2 2 2 5 2 15 5 5" xfId="20823" xr:uid="{00000000-0005-0000-0000-000057510000}"/>
    <cellStyle name="Normal 2 2 2 5 2 15 5 6" xfId="20824" xr:uid="{00000000-0005-0000-0000-000058510000}"/>
    <cellStyle name="Normal 2 2 2 5 2 15 5 7" xfId="20825" xr:uid="{00000000-0005-0000-0000-000059510000}"/>
    <cellStyle name="Normal 2 2 2 5 2 15 5 8" xfId="20826" xr:uid="{00000000-0005-0000-0000-00005A510000}"/>
    <cellStyle name="Normal 2 2 2 5 2 15 5 9" xfId="20827" xr:uid="{00000000-0005-0000-0000-00005B510000}"/>
    <cellStyle name="Normal 2 2 2 5 2 15 6" xfId="20828" xr:uid="{00000000-0005-0000-0000-00005C510000}"/>
    <cellStyle name="Normal 2 2 2 5 2 15 7" xfId="20829" xr:uid="{00000000-0005-0000-0000-00005D510000}"/>
    <cellStyle name="Normal 2 2 2 5 2 15 8" xfId="20830" xr:uid="{00000000-0005-0000-0000-00005E510000}"/>
    <cellStyle name="Normal 2 2 2 5 2 15 9" xfId="20831" xr:uid="{00000000-0005-0000-0000-00005F510000}"/>
    <cellStyle name="Normal 2 2 2 5 2 16" xfId="20832" xr:uid="{00000000-0005-0000-0000-000060510000}"/>
    <cellStyle name="Normal 2 2 2 5 2 16 10" xfId="20833" xr:uid="{00000000-0005-0000-0000-000061510000}"/>
    <cellStyle name="Normal 2 2 2 5 2 16 11" xfId="20834" xr:uid="{00000000-0005-0000-0000-000062510000}"/>
    <cellStyle name="Normal 2 2 2 5 2 16 12" xfId="20835" xr:uid="{00000000-0005-0000-0000-000063510000}"/>
    <cellStyle name="Normal 2 2 2 5 2 16 13" xfId="20836" xr:uid="{00000000-0005-0000-0000-000064510000}"/>
    <cellStyle name="Normal 2 2 2 5 2 16 14" xfId="20837" xr:uid="{00000000-0005-0000-0000-000065510000}"/>
    <cellStyle name="Normal 2 2 2 5 2 16 2" xfId="20838" xr:uid="{00000000-0005-0000-0000-000066510000}"/>
    <cellStyle name="Normal 2 2 2 5 2 16 2 10" xfId="20839" xr:uid="{00000000-0005-0000-0000-000067510000}"/>
    <cellStyle name="Normal 2 2 2 5 2 16 2 2" xfId="20840" xr:uid="{00000000-0005-0000-0000-000068510000}"/>
    <cellStyle name="Normal 2 2 2 5 2 16 2 3" xfId="20841" xr:uid="{00000000-0005-0000-0000-000069510000}"/>
    <cellStyle name="Normal 2 2 2 5 2 16 2 4" xfId="20842" xr:uid="{00000000-0005-0000-0000-00006A510000}"/>
    <cellStyle name="Normal 2 2 2 5 2 16 2 5" xfId="20843" xr:uid="{00000000-0005-0000-0000-00006B510000}"/>
    <cellStyle name="Normal 2 2 2 5 2 16 2 6" xfId="20844" xr:uid="{00000000-0005-0000-0000-00006C510000}"/>
    <cellStyle name="Normal 2 2 2 5 2 16 2 7" xfId="20845" xr:uid="{00000000-0005-0000-0000-00006D510000}"/>
    <cellStyle name="Normal 2 2 2 5 2 16 2 8" xfId="20846" xr:uid="{00000000-0005-0000-0000-00006E510000}"/>
    <cellStyle name="Normal 2 2 2 5 2 16 2 9" xfId="20847" xr:uid="{00000000-0005-0000-0000-00006F510000}"/>
    <cellStyle name="Normal 2 2 2 5 2 16 3" xfId="20848" xr:uid="{00000000-0005-0000-0000-000070510000}"/>
    <cellStyle name="Normal 2 2 2 5 2 16 3 10" xfId="20849" xr:uid="{00000000-0005-0000-0000-000071510000}"/>
    <cellStyle name="Normal 2 2 2 5 2 16 3 2" xfId="20850" xr:uid="{00000000-0005-0000-0000-000072510000}"/>
    <cellStyle name="Normal 2 2 2 5 2 16 3 3" xfId="20851" xr:uid="{00000000-0005-0000-0000-000073510000}"/>
    <cellStyle name="Normal 2 2 2 5 2 16 3 4" xfId="20852" xr:uid="{00000000-0005-0000-0000-000074510000}"/>
    <cellStyle name="Normal 2 2 2 5 2 16 3 5" xfId="20853" xr:uid="{00000000-0005-0000-0000-000075510000}"/>
    <cellStyle name="Normal 2 2 2 5 2 16 3 6" xfId="20854" xr:uid="{00000000-0005-0000-0000-000076510000}"/>
    <cellStyle name="Normal 2 2 2 5 2 16 3 7" xfId="20855" xr:uid="{00000000-0005-0000-0000-000077510000}"/>
    <cellStyle name="Normal 2 2 2 5 2 16 3 8" xfId="20856" xr:uid="{00000000-0005-0000-0000-000078510000}"/>
    <cellStyle name="Normal 2 2 2 5 2 16 3 9" xfId="20857" xr:uid="{00000000-0005-0000-0000-000079510000}"/>
    <cellStyle name="Normal 2 2 2 5 2 16 4" xfId="20858" xr:uid="{00000000-0005-0000-0000-00007A510000}"/>
    <cellStyle name="Normal 2 2 2 5 2 16 4 10" xfId="20859" xr:uid="{00000000-0005-0000-0000-00007B510000}"/>
    <cellStyle name="Normal 2 2 2 5 2 16 4 2" xfId="20860" xr:uid="{00000000-0005-0000-0000-00007C510000}"/>
    <cellStyle name="Normal 2 2 2 5 2 16 4 3" xfId="20861" xr:uid="{00000000-0005-0000-0000-00007D510000}"/>
    <cellStyle name="Normal 2 2 2 5 2 16 4 4" xfId="20862" xr:uid="{00000000-0005-0000-0000-00007E510000}"/>
    <cellStyle name="Normal 2 2 2 5 2 16 4 5" xfId="20863" xr:uid="{00000000-0005-0000-0000-00007F510000}"/>
    <cellStyle name="Normal 2 2 2 5 2 16 4 6" xfId="20864" xr:uid="{00000000-0005-0000-0000-000080510000}"/>
    <cellStyle name="Normal 2 2 2 5 2 16 4 7" xfId="20865" xr:uid="{00000000-0005-0000-0000-000081510000}"/>
    <cellStyle name="Normal 2 2 2 5 2 16 4 8" xfId="20866" xr:uid="{00000000-0005-0000-0000-000082510000}"/>
    <cellStyle name="Normal 2 2 2 5 2 16 4 9" xfId="20867" xr:uid="{00000000-0005-0000-0000-000083510000}"/>
    <cellStyle name="Normal 2 2 2 5 2 16 5" xfId="20868" xr:uid="{00000000-0005-0000-0000-000084510000}"/>
    <cellStyle name="Normal 2 2 2 5 2 16 5 10" xfId="20869" xr:uid="{00000000-0005-0000-0000-000085510000}"/>
    <cellStyle name="Normal 2 2 2 5 2 16 5 2" xfId="20870" xr:uid="{00000000-0005-0000-0000-000086510000}"/>
    <cellStyle name="Normal 2 2 2 5 2 16 5 3" xfId="20871" xr:uid="{00000000-0005-0000-0000-000087510000}"/>
    <cellStyle name="Normal 2 2 2 5 2 16 5 4" xfId="20872" xr:uid="{00000000-0005-0000-0000-000088510000}"/>
    <cellStyle name="Normal 2 2 2 5 2 16 5 5" xfId="20873" xr:uid="{00000000-0005-0000-0000-000089510000}"/>
    <cellStyle name="Normal 2 2 2 5 2 16 5 6" xfId="20874" xr:uid="{00000000-0005-0000-0000-00008A510000}"/>
    <cellStyle name="Normal 2 2 2 5 2 16 5 7" xfId="20875" xr:uid="{00000000-0005-0000-0000-00008B510000}"/>
    <cellStyle name="Normal 2 2 2 5 2 16 5 8" xfId="20876" xr:uid="{00000000-0005-0000-0000-00008C510000}"/>
    <cellStyle name="Normal 2 2 2 5 2 16 5 9" xfId="20877" xr:uid="{00000000-0005-0000-0000-00008D510000}"/>
    <cellStyle name="Normal 2 2 2 5 2 16 6" xfId="20878" xr:uid="{00000000-0005-0000-0000-00008E510000}"/>
    <cellStyle name="Normal 2 2 2 5 2 16 7" xfId="20879" xr:uid="{00000000-0005-0000-0000-00008F510000}"/>
    <cellStyle name="Normal 2 2 2 5 2 16 8" xfId="20880" xr:uid="{00000000-0005-0000-0000-000090510000}"/>
    <cellStyle name="Normal 2 2 2 5 2 16 9" xfId="20881" xr:uid="{00000000-0005-0000-0000-000091510000}"/>
    <cellStyle name="Normal 2 2 2 5 2 17" xfId="20882" xr:uid="{00000000-0005-0000-0000-000092510000}"/>
    <cellStyle name="Normal 2 2 2 5 2 17 10" xfId="20883" xr:uid="{00000000-0005-0000-0000-000093510000}"/>
    <cellStyle name="Normal 2 2 2 5 2 17 11" xfId="20884" xr:uid="{00000000-0005-0000-0000-000094510000}"/>
    <cellStyle name="Normal 2 2 2 5 2 17 12" xfId="20885" xr:uid="{00000000-0005-0000-0000-000095510000}"/>
    <cellStyle name="Normal 2 2 2 5 2 17 13" xfId="20886" xr:uid="{00000000-0005-0000-0000-000096510000}"/>
    <cellStyle name="Normal 2 2 2 5 2 17 14" xfId="20887" xr:uid="{00000000-0005-0000-0000-000097510000}"/>
    <cellStyle name="Normal 2 2 2 5 2 17 2" xfId="20888" xr:uid="{00000000-0005-0000-0000-000098510000}"/>
    <cellStyle name="Normal 2 2 2 5 2 17 2 10" xfId="20889" xr:uid="{00000000-0005-0000-0000-000099510000}"/>
    <cellStyle name="Normal 2 2 2 5 2 17 2 2" xfId="20890" xr:uid="{00000000-0005-0000-0000-00009A510000}"/>
    <cellStyle name="Normal 2 2 2 5 2 17 2 3" xfId="20891" xr:uid="{00000000-0005-0000-0000-00009B510000}"/>
    <cellStyle name="Normal 2 2 2 5 2 17 2 4" xfId="20892" xr:uid="{00000000-0005-0000-0000-00009C510000}"/>
    <cellStyle name="Normal 2 2 2 5 2 17 2 5" xfId="20893" xr:uid="{00000000-0005-0000-0000-00009D510000}"/>
    <cellStyle name="Normal 2 2 2 5 2 17 2 6" xfId="20894" xr:uid="{00000000-0005-0000-0000-00009E510000}"/>
    <cellStyle name="Normal 2 2 2 5 2 17 2 7" xfId="20895" xr:uid="{00000000-0005-0000-0000-00009F510000}"/>
    <cellStyle name="Normal 2 2 2 5 2 17 2 8" xfId="20896" xr:uid="{00000000-0005-0000-0000-0000A0510000}"/>
    <cellStyle name="Normal 2 2 2 5 2 17 2 9" xfId="20897" xr:uid="{00000000-0005-0000-0000-0000A1510000}"/>
    <cellStyle name="Normal 2 2 2 5 2 17 3" xfId="20898" xr:uid="{00000000-0005-0000-0000-0000A2510000}"/>
    <cellStyle name="Normal 2 2 2 5 2 17 3 10" xfId="20899" xr:uid="{00000000-0005-0000-0000-0000A3510000}"/>
    <cellStyle name="Normal 2 2 2 5 2 17 3 2" xfId="20900" xr:uid="{00000000-0005-0000-0000-0000A4510000}"/>
    <cellStyle name="Normal 2 2 2 5 2 17 3 3" xfId="20901" xr:uid="{00000000-0005-0000-0000-0000A5510000}"/>
    <cellStyle name="Normal 2 2 2 5 2 17 3 4" xfId="20902" xr:uid="{00000000-0005-0000-0000-0000A6510000}"/>
    <cellStyle name="Normal 2 2 2 5 2 17 3 5" xfId="20903" xr:uid="{00000000-0005-0000-0000-0000A7510000}"/>
    <cellStyle name="Normal 2 2 2 5 2 17 3 6" xfId="20904" xr:uid="{00000000-0005-0000-0000-0000A8510000}"/>
    <cellStyle name="Normal 2 2 2 5 2 17 3 7" xfId="20905" xr:uid="{00000000-0005-0000-0000-0000A9510000}"/>
    <cellStyle name="Normal 2 2 2 5 2 17 3 8" xfId="20906" xr:uid="{00000000-0005-0000-0000-0000AA510000}"/>
    <cellStyle name="Normal 2 2 2 5 2 17 3 9" xfId="20907" xr:uid="{00000000-0005-0000-0000-0000AB510000}"/>
    <cellStyle name="Normal 2 2 2 5 2 17 4" xfId="20908" xr:uid="{00000000-0005-0000-0000-0000AC510000}"/>
    <cellStyle name="Normal 2 2 2 5 2 17 4 10" xfId="20909" xr:uid="{00000000-0005-0000-0000-0000AD510000}"/>
    <cellStyle name="Normal 2 2 2 5 2 17 4 2" xfId="20910" xr:uid="{00000000-0005-0000-0000-0000AE510000}"/>
    <cellStyle name="Normal 2 2 2 5 2 17 4 3" xfId="20911" xr:uid="{00000000-0005-0000-0000-0000AF510000}"/>
    <cellStyle name="Normal 2 2 2 5 2 17 4 4" xfId="20912" xr:uid="{00000000-0005-0000-0000-0000B0510000}"/>
    <cellStyle name="Normal 2 2 2 5 2 17 4 5" xfId="20913" xr:uid="{00000000-0005-0000-0000-0000B1510000}"/>
    <cellStyle name="Normal 2 2 2 5 2 17 4 6" xfId="20914" xr:uid="{00000000-0005-0000-0000-0000B2510000}"/>
    <cellStyle name="Normal 2 2 2 5 2 17 4 7" xfId="20915" xr:uid="{00000000-0005-0000-0000-0000B3510000}"/>
    <cellStyle name="Normal 2 2 2 5 2 17 4 8" xfId="20916" xr:uid="{00000000-0005-0000-0000-0000B4510000}"/>
    <cellStyle name="Normal 2 2 2 5 2 17 4 9" xfId="20917" xr:uid="{00000000-0005-0000-0000-0000B5510000}"/>
    <cellStyle name="Normal 2 2 2 5 2 17 5" xfId="20918" xr:uid="{00000000-0005-0000-0000-0000B6510000}"/>
    <cellStyle name="Normal 2 2 2 5 2 17 5 10" xfId="20919" xr:uid="{00000000-0005-0000-0000-0000B7510000}"/>
    <cellStyle name="Normal 2 2 2 5 2 17 5 2" xfId="20920" xr:uid="{00000000-0005-0000-0000-0000B8510000}"/>
    <cellStyle name="Normal 2 2 2 5 2 17 5 3" xfId="20921" xr:uid="{00000000-0005-0000-0000-0000B9510000}"/>
    <cellStyle name="Normal 2 2 2 5 2 17 5 4" xfId="20922" xr:uid="{00000000-0005-0000-0000-0000BA510000}"/>
    <cellStyle name="Normal 2 2 2 5 2 17 5 5" xfId="20923" xr:uid="{00000000-0005-0000-0000-0000BB510000}"/>
    <cellStyle name="Normal 2 2 2 5 2 17 5 6" xfId="20924" xr:uid="{00000000-0005-0000-0000-0000BC510000}"/>
    <cellStyle name="Normal 2 2 2 5 2 17 5 7" xfId="20925" xr:uid="{00000000-0005-0000-0000-0000BD510000}"/>
    <cellStyle name="Normal 2 2 2 5 2 17 5 8" xfId="20926" xr:uid="{00000000-0005-0000-0000-0000BE510000}"/>
    <cellStyle name="Normal 2 2 2 5 2 17 5 9" xfId="20927" xr:uid="{00000000-0005-0000-0000-0000BF510000}"/>
    <cellStyle name="Normal 2 2 2 5 2 17 6" xfId="20928" xr:uid="{00000000-0005-0000-0000-0000C0510000}"/>
    <cellStyle name="Normal 2 2 2 5 2 17 7" xfId="20929" xr:uid="{00000000-0005-0000-0000-0000C1510000}"/>
    <cellStyle name="Normal 2 2 2 5 2 17 8" xfId="20930" xr:uid="{00000000-0005-0000-0000-0000C2510000}"/>
    <cellStyle name="Normal 2 2 2 5 2 17 9" xfId="20931" xr:uid="{00000000-0005-0000-0000-0000C3510000}"/>
    <cellStyle name="Normal 2 2 2 5 2 18" xfId="20932" xr:uid="{00000000-0005-0000-0000-0000C4510000}"/>
    <cellStyle name="Normal 2 2 2 5 2 18 10" xfId="20933" xr:uid="{00000000-0005-0000-0000-0000C5510000}"/>
    <cellStyle name="Normal 2 2 2 5 2 18 11" xfId="20934" xr:uid="{00000000-0005-0000-0000-0000C6510000}"/>
    <cellStyle name="Normal 2 2 2 5 2 18 12" xfId="20935" xr:uid="{00000000-0005-0000-0000-0000C7510000}"/>
    <cellStyle name="Normal 2 2 2 5 2 18 13" xfId="20936" xr:uid="{00000000-0005-0000-0000-0000C8510000}"/>
    <cellStyle name="Normal 2 2 2 5 2 18 14" xfId="20937" xr:uid="{00000000-0005-0000-0000-0000C9510000}"/>
    <cellStyle name="Normal 2 2 2 5 2 18 2" xfId="20938" xr:uid="{00000000-0005-0000-0000-0000CA510000}"/>
    <cellStyle name="Normal 2 2 2 5 2 18 2 10" xfId="20939" xr:uid="{00000000-0005-0000-0000-0000CB510000}"/>
    <cellStyle name="Normal 2 2 2 5 2 18 2 2" xfId="20940" xr:uid="{00000000-0005-0000-0000-0000CC510000}"/>
    <cellStyle name="Normal 2 2 2 5 2 18 2 3" xfId="20941" xr:uid="{00000000-0005-0000-0000-0000CD510000}"/>
    <cellStyle name="Normal 2 2 2 5 2 18 2 4" xfId="20942" xr:uid="{00000000-0005-0000-0000-0000CE510000}"/>
    <cellStyle name="Normal 2 2 2 5 2 18 2 5" xfId="20943" xr:uid="{00000000-0005-0000-0000-0000CF510000}"/>
    <cellStyle name="Normal 2 2 2 5 2 18 2 6" xfId="20944" xr:uid="{00000000-0005-0000-0000-0000D0510000}"/>
    <cellStyle name="Normal 2 2 2 5 2 18 2 7" xfId="20945" xr:uid="{00000000-0005-0000-0000-0000D1510000}"/>
    <cellStyle name="Normal 2 2 2 5 2 18 2 8" xfId="20946" xr:uid="{00000000-0005-0000-0000-0000D2510000}"/>
    <cellStyle name="Normal 2 2 2 5 2 18 2 9" xfId="20947" xr:uid="{00000000-0005-0000-0000-0000D3510000}"/>
    <cellStyle name="Normal 2 2 2 5 2 18 3" xfId="20948" xr:uid="{00000000-0005-0000-0000-0000D4510000}"/>
    <cellStyle name="Normal 2 2 2 5 2 18 3 10" xfId="20949" xr:uid="{00000000-0005-0000-0000-0000D5510000}"/>
    <cellStyle name="Normal 2 2 2 5 2 18 3 2" xfId="20950" xr:uid="{00000000-0005-0000-0000-0000D6510000}"/>
    <cellStyle name="Normal 2 2 2 5 2 18 3 3" xfId="20951" xr:uid="{00000000-0005-0000-0000-0000D7510000}"/>
    <cellStyle name="Normal 2 2 2 5 2 18 3 4" xfId="20952" xr:uid="{00000000-0005-0000-0000-0000D8510000}"/>
    <cellStyle name="Normal 2 2 2 5 2 18 3 5" xfId="20953" xr:uid="{00000000-0005-0000-0000-0000D9510000}"/>
    <cellStyle name="Normal 2 2 2 5 2 18 3 6" xfId="20954" xr:uid="{00000000-0005-0000-0000-0000DA510000}"/>
    <cellStyle name="Normal 2 2 2 5 2 18 3 7" xfId="20955" xr:uid="{00000000-0005-0000-0000-0000DB510000}"/>
    <cellStyle name="Normal 2 2 2 5 2 18 3 8" xfId="20956" xr:uid="{00000000-0005-0000-0000-0000DC510000}"/>
    <cellStyle name="Normal 2 2 2 5 2 18 3 9" xfId="20957" xr:uid="{00000000-0005-0000-0000-0000DD510000}"/>
    <cellStyle name="Normal 2 2 2 5 2 18 4" xfId="20958" xr:uid="{00000000-0005-0000-0000-0000DE510000}"/>
    <cellStyle name="Normal 2 2 2 5 2 18 4 10" xfId="20959" xr:uid="{00000000-0005-0000-0000-0000DF510000}"/>
    <cellStyle name="Normal 2 2 2 5 2 18 4 2" xfId="20960" xr:uid="{00000000-0005-0000-0000-0000E0510000}"/>
    <cellStyle name="Normal 2 2 2 5 2 18 4 3" xfId="20961" xr:uid="{00000000-0005-0000-0000-0000E1510000}"/>
    <cellStyle name="Normal 2 2 2 5 2 18 4 4" xfId="20962" xr:uid="{00000000-0005-0000-0000-0000E2510000}"/>
    <cellStyle name="Normal 2 2 2 5 2 18 4 5" xfId="20963" xr:uid="{00000000-0005-0000-0000-0000E3510000}"/>
    <cellStyle name="Normal 2 2 2 5 2 18 4 6" xfId="20964" xr:uid="{00000000-0005-0000-0000-0000E4510000}"/>
    <cellStyle name="Normal 2 2 2 5 2 18 4 7" xfId="20965" xr:uid="{00000000-0005-0000-0000-0000E5510000}"/>
    <cellStyle name="Normal 2 2 2 5 2 18 4 8" xfId="20966" xr:uid="{00000000-0005-0000-0000-0000E6510000}"/>
    <cellStyle name="Normal 2 2 2 5 2 18 4 9" xfId="20967" xr:uid="{00000000-0005-0000-0000-0000E7510000}"/>
    <cellStyle name="Normal 2 2 2 5 2 18 5" xfId="20968" xr:uid="{00000000-0005-0000-0000-0000E8510000}"/>
    <cellStyle name="Normal 2 2 2 5 2 18 5 10" xfId="20969" xr:uid="{00000000-0005-0000-0000-0000E9510000}"/>
    <cellStyle name="Normal 2 2 2 5 2 18 5 2" xfId="20970" xr:uid="{00000000-0005-0000-0000-0000EA510000}"/>
    <cellStyle name="Normal 2 2 2 5 2 18 5 3" xfId="20971" xr:uid="{00000000-0005-0000-0000-0000EB510000}"/>
    <cellStyle name="Normal 2 2 2 5 2 18 5 4" xfId="20972" xr:uid="{00000000-0005-0000-0000-0000EC510000}"/>
    <cellStyle name="Normal 2 2 2 5 2 18 5 5" xfId="20973" xr:uid="{00000000-0005-0000-0000-0000ED510000}"/>
    <cellStyle name="Normal 2 2 2 5 2 18 5 6" xfId="20974" xr:uid="{00000000-0005-0000-0000-0000EE510000}"/>
    <cellStyle name="Normal 2 2 2 5 2 18 5 7" xfId="20975" xr:uid="{00000000-0005-0000-0000-0000EF510000}"/>
    <cellStyle name="Normal 2 2 2 5 2 18 5 8" xfId="20976" xr:uid="{00000000-0005-0000-0000-0000F0510000}"/>
    <cellStyle name="Normal 2 2 2 5 2 18 5 9" xfId="20977" xr:uid="{00000000-0005-0000-0000-0000F1510000}"/>
    <cellStyle name="Normal 2 2 2 5 2 18 6" xfId="20978" xr:uid="{00000000-0005-0000-0000-0000F2510000}"/>
    <cellStyle name="Normal 2 2 2 5 2 18 7" xfId="20979" xr:uid="{00000000-0005-0000-0000-0000F3510000}"/>
    <cellStyle name="Normal 2 2 2 5 2 18 8" xfId="20980" xr:uid="{00000000-0005-0000-0000-0000F4510000}"/>
    <cellStyle name="Normal 2 2 2 5 2 18 9" xfId="20981" xr:uid="{00000000-0005-0000-0000-0000F5510000}"/>
    <cellStyle name="Normal 2 2 2 5 2 19" xfId="20982" xr:uid="{00000000-0005-0000-0000-0000F6510000}"/>
    <cellStyle name="Normal 2 2 2 5 2 19 10" xfId="20983" xr:uid="{00000000-0005-0000-0000-0000F7510000}"/>
    <cellStyle name="Normal 2 2 2 5 2 19 11" xfId="20984" xr:uid="{00000000-0005-0000-0000-0000F8510000}"/>
    <cellStyle name="Normal 2 2 2 5 2 19 12" xfId="20985" xr:uid="{00000000-0005-0000-0000-0000F9510000}"/>
    <cellStyle name="Normal 2 2 2 5 2 19 13" xfId="20986" xr:uid="{00000000-0005-0000-0000-0000FA510000}"/>
    <cellStyle name="Normal 2 2 2 5 2 19 14" xfId="20987" xr:uid="{00000000-0005-0000-0000-0000FB510000}"/>
    <cellStyle name="Normal 2 2 2 5 2 19 2" xfId="20988" xr:uid="{00000000-0005-0000-0000-0000FC510000}"/>
    <cellStyle name="Normal 2 2 2 5 2 19 2 10" xfId="20989" xr:uid="{00000000-0005-0000-0000-0000FD510000}"/>
    <cellStyle name="Normal 2 2 2 5 2 19 2 2" xfId="20990" xr:uid="{00000000-0005-0000-0000-0000FE510000}"/>
    <cellStyle name="Normal 2 2 2 5 2 19 2 3" xfId="20991" xr:uid="{00000000-0005-0000-0000-0000FF510000}"/>
    <cellStyle name="Normal 2 2 2 5 2 19 2 4" xfId="20992" xr:uid="{00000000-0005-0000-0000-000000520000}"/>
    <cellStyle name="Normal 2 2 2 5 2 19 2 5" xfId="20993" xr:uid="{00000000-0005-0000-0000-000001520000}"/>
    <cellStyle name="Normal 2 2 2 5 2 19 2 6" xfId="20994" xr:uid="{00000000-0005-0000-0000-000002520000}"/>
    <cellStyle name="Normal 2 2 2 5 2 19 2 7" xfId="20995" xr:uid="{00000000-0005-0000-0000-000003520000}"/>
    <cellStyle name="Normal 2 2 2 5 2 19 2 8" xfId="20996" xr:uid="{00000000-0005-0000-0000-000004520000}"/>
    <cellStyle name="Normal 2 2 2 5 2 19 2 9" xfId="20997" xr:uid="{00000000-0005-0000-0000-000005520000}"/>
    <cellStyle name="Normal 2 2 2 5 2 19 3" xfId="20998" xr:uid="{00000000-0005-0000-0000-000006520000}"/>
    <cellStyle name="Normal 2 2 2 5 2 19 3 10" xfId="20999" xr:uid="{00000000-0005-0000-0000-000007520000}"/>
    <cellStyle name="Normal 2 2 2 5 2 19 3 2" xfId="21000" xr:uid="{00000000-0005-0000-0000-000008520000}"/>
    <cellStyle name="Normal 2 2 2 5 2 19 3 3" xfId="21001" xr:uid="{00000000-0005-0000-0000-000009520000}"/>
    <cellStyle name="Normal 2 2 2 5 2 19 3 4" xfId="21002" xr:uid="{00000000-0005-0000-0000-00000A520000}"/>
    <cellStyle name="Normal 2 2 2 5 2 19 3 5" xfId="21003" xr:uid="{00000000-0005-0000-0000-00000B520000}"/>
    <cellStyle name="Normal 2 2 2 5 2 19 3 6" xfId="21004" xr:uid="{00000000-0005-0000-0000-00000C520000}"/>
    <cellStyle name="Normal 2 2 2 5 2 19 3 7" xfId="21005" xr:uid="{00000000-0005-0000-0000-00000D520000}"/>
    <cellStyle name="Normal 2 2 2 5 2 19 3 8" xfId="21006" xr:uid="{00000000-0005-0000-0000-00000E520000}"/>
    <cellStyle name="Normal 2 2 2 5 2 19 3 9" xfId="21007" xr:uid="{00000000-0005-0000-0000-00000F520000}"/>
    <cellStyle name="Normal 2 2 2 5 2 19 4" xfId="21008" xr:uid="{00000000-0005-0000-0000-000010520000}"/>
    <cellStyle name="Normal 2 2 2 5 2 19 4 10" xfId="21009" xr:uid="{00000000-0005-0000-0000-000011520000}"/>
    <cellStyle name="Normal 2 2 2 5 2 19 4 2" xfId="21010" xr:uid="{00000000-0005-0000-0000-000012520000}"/>
    <cellStyle name="Normal 2 2 2 5 2 19 4 3" xfId="21011" xr:uid="{00000000-0005-0000-0000-000013520000}"/>
    <cellStyle name="Normal 2 2 2 5 2 19 4 4" xfId="21012" xr:uid="{00000000-0005-0000-0000-000014520000}"/>
    <cellStyle name="Normal 2 2 2 5 2 19 4 5" xfId="21013" xr:uid="{00000000-0005-0000-0000-000015520000}"/>
    <cellStyle name="Normal 2 2 2 5 2 19 4 6" xfId="21014" xr:uid="{00000000-0005-0000-0000-000016520000}"/>
    <cellStyle name="Normal 2 2 2 5 2 19 4 7" xfId="21015" xr:uid="{00000000-0005-0000-0000-000017520000}"/>
    <cellStyle name="Normal 2 2 2 5 2 19 4 8" xfId="21016" xr:uid="{00000000-0005-0000-0000-000018520000}"/>
    <cellStyle name="Normal 2 2 2 5 2 19 4 9" xfId="21017" xr:uid="{00000000-0005-0000-0000-000019520000}"/>
    <cellStyle name="Normal 2 2 2 5 2 19 5" xfId="21018" xr:uid="{00000000-0005-0000-0000-00001A520000}"/>
    <cellStyle name="Normal 2 2 2 5 2 19 5 10" xfId="21019" xr:uid="{00000000-0005-0000-0000-00001B520000}"/>
    <cellStyle name="Normal 2 2 2 5 2 19 5 2" xfId="21020" xr:uid="{00000000-0005-0000-0000-00001C520000}"/>
    <cellStyle name="Normal 2 2 2 5 2 19 5 3" xfId="21021" xr:uid="{00000000-0005-0000-0000-00001D520000}"/>
    <cellStyle name="Normal 2 2 2 5 2 19 5 4" xfId="21022" xr:uid="{00000000-0005-0000-0000-00001E520000}"/>
    <cellStyle name="Normal 2 2 2 5 2 19 5 5" xfId="21023" xr:uid="{00000000-0005-0000-0000-00001F520000}"/>
    <cellStyle name="Normal 2 2 2 5 2 19 5 6" xfId="21024" xr:uid="{00000000-0005-0000-0000-000020520000}"/>
    <cellStyle name="Normal 2 2 2 5 2 19 5 7" xfId="21025" xr:uid="{00000000-0005-0000-0000-000021520000}"/>
    <cellStyle name="Normal 2 2 2 5 2 19 5 8" xfId="21026" xr:uid="{00000000-0005-0000-0000-000022520000}"/>
    <cellStyle name="Normal 2 2 2 5 2 19 5 9" xfId="21027" xr:uid="{00000000-0005-0000-0000-000023520000}"/>
    <cellStyle name="Normal 2 2 2 5 2 19 6" xfId="21028" xr:uid="{00000000-0005-0000-0000-000024520000}"/>
    <cellStyle name="Normal 2 2 2 5 2 19 7" xfId="21029" xr:uid="{00000000-0005-0000-0000-000025520000}"/>
    <cellStyle name="Normal 2 2 2 5 2 19 8" xfId="21030" xr:uid="{00000000-0005-0000-0000-000026520000}"/>
    <cellStyle name="Normal 2 2 2 5 2 19 9" xfId="21031" xr:uid="{00000000-0005-0000-0000-000027520000}"/>
    <cellStyle name="Normal 2 2 2 5 2 2" xfId="21032" xr:uid="{00000000-0005-0000-0000-000028520000}"/>
    <cellStyle name="Normal 2 2 2 5 2 2 10" xfId="21033" xr:uid="{00000000-0005-0000-0000-000029520000}"/>
    <cellStyle name="Normal 2 2 2 5 2 2 11" xfId="21034" xr:uid="{00000000-0005-0000-0000-00002A520000}"/>
    <cellStyle name="Normal 2 2 2 5 2 2 12" xfId="21035" xr:uid="{00000000-0005-0000-0000-00002B520000}"/>
    <cellStyle name="Normal 2 2 2 5 2 2 13" xfId="21036" xr:uid="{00000000-0005-0000-0000-00002C520000}"/>
    <cellStyle name="Normal 2 2 2 5 2 2 14" xfId="21037" xr:uid="{00000000-0005-0000-0000-00002D520000}"/>
    <cellStyle name="Normal 2 2 2 5 2 2 2" xfId="21038" xr:uid="{00000000-0005-0000-0000-00002E520000}"/>
    <cellStyle name="Normal 2 2 2 5 2 2 2 10" xfId="21039" xr:uid="{00000000-0005-0000-0000-00002F520000}"/>
    <cellStyle name="Normal 2 2 2 5 2 2 2 2" xfId="21040" xr:uid="{00000000-0005-0000-0000-000030520000}"/>
    <cellStyle name="Normal 2 2 2 5 2 2 2 3" xfId="21041" xr:uid="{00000000-0005-0000-0000-000031520000}"/>
    <cellStyle name="Normal 2 2 2 5 2 2 2 4" xfId="21042" xr:uid="{00000000-0005-0000-0000-000032520000}"/>
    <cellStyle name="Normal 2 2 2 5 2 2 2 5" xfId="21043" xr:uid="{00000000-0005-0000-0000-000033520000}"/>
    <cellStyle name="Normal 2 2 2 5 2 2 2 6" xfId="21044" xr:uid="{00000000-0005-0000-0000-000034520000}"/>
    <cellStyle name="Normal 2 2 2 5 2 2 2 7" xfId="21045" xr:uid="{00000000-0005-0000-0000-000035520000}"/>
    <cellStyle name="Normal 2 2 2 5 2 2 2 8" xfId="21046" xr:uid="{00000000-0005-0000-0000-000036520000}"/>
    <cellStyle name="Normal 2 2 2 5 2 2 2 9" xfId="21047" xr:uid="{00000000-0005-0000-0000-000037520000}"/>
    <cellStyle name="Normal 2 2 2 5 2 2 3" xfId="21048" xr:uid="{00000000-0005-0000-0000-000038520000}"/>
    <cellStyle name="Normal 2 2 2 5 2 2 3 10" xfId="21049" xr:uid="{00000000-0005-0000-0000-000039520000}"/>
    <cellStyle name="Normal 2 2 2 5 2 2 3 2" xfId="21050" xr:uid="{00000000-0005-0000-0000-00003A520000}"/>
    <cellStyle name="Normal 2 2 2 5 2 2 3 3" xfId="21051" xr:uid="{00000000-0005-0000-0000-00003B520000}"/>
    <cellStyle name="Normal 2 2 2 5 2 2 3 4" xfId="21052" xr:uid="{00000000-0005-0000-0000-00003C520000}"/>
    <cellStyle name="Normal 2 2 2 5 2 2 3 5" xfId="21053" xr:uid="{00000000-0005-0000-0000-00003D520000}"/>
    <cellStyle name="Normal 2 2 2 5 2 2 3 6" xfId="21054" xr:uid="{00000000-0005-0000-0000-00003E520000}"/>
    <cellStyle name="Normal 2 2 2 5 2 2 3 7" xfId="21055" xr:uid="{00000000-0005-0000-0000-00003F520000}"/>
    <cellStyle name="Normal 2 2 2 5 2 2 3 8" xfId="21056" xr:uid="{00000000-0005-0000-0000-000040520000}"/>
    <cellStyle name="Normal 2 2 2 5 2 2 3 9" xfId="21057" xr:uid="{00000000-0005-0000-0000-000041520000}"/>
    <cellStyle name="Normal 2 2 2 5 2 2 4" xfId="21058" xr:uid="{00000000-0005-0000-0000-000042520000}"/>
    <cellStyle name="Normal 2 2 2 5 2 2 4 10" xfId="21059" xr:uid="{00000000-0005-0000-0000-000043520000}"/>
    <cellStyle name="Normal 2 2 2 5 2 2 4 2" xfId="21060" xr:uid="{00000000-0005-0000-0000-000044520000}"/>
    <cellStyle name="Normal 2 2 2 5 2 2 4 3" xfId="21061" xr:uid="{00000000-0005-0000-0000-000045520000}"/>
    <cellStyle name="Normal 2 2 2 5 2 2 4 4" xfId="21062" xr:uid="{00000000-0005-0000-0000-000046520000}"/>
    <cellStyle name="Normal 2 2 2 5 2 2 4 5" xfId="21063" xr:uid="{00000000-0005-0000-0000-000047520000}"/>
    <cellStyle name="Normal 2 2 2 5 2 2 4 6" xfId="21064" xr:uid="{00000000-0005-0000-0000-000048520000}"/>
    <cellStyle name="Normal 2 2 2 5 2 2 4 7" xfId="21065" xr:uid="{00000000-0005-0000-0000-000049520000}"/>
    <cellStyle name="Normal 2 2 2 5 2 2 4 8" xfId="21066" xr:uid="{00000000-0005-0000-0000-00004A520000}"/>
    <cellStyle name="Normal 2 2 2 5 2 2 4 9" xfId="21067" xr:uid="{00000000-0005-0000-0000-00004B520000}"/>
    <cellStyle name="Normal 2 2 2 5 2 2 5" xfId="21068" xr:uid="{00000000-0005-0000-0000-00004C520000}"/>
    <cellStyle name="Normal 2 2 2 5 2 2 5 10" xfId="21069" xr:uid="{00000000-0005-0000-0000-00004D520000}"/>
    <cellStyle name="Normal 2 2 2 5 2 2 5 2" xfId="21070" xr:uid="{00000000-0005-0000-0000-00004E520000}"/>
    <cellStyle name="Normal 2 2 2 5 2 2 5 3" xfId="21071" xr:uid="{00000000-0005-0000-0000-00004F520000}"/>
    <cellStyle name="Normal 2 2 2 5 2 2 5 4" xfId="21072" xr:uid="{00000000-0005-0000-0000-000050520000}"/>
    <cellStyle name="Normal 2 2 2 5 2 2 5 5" xfId="21073" xr:uid="{00000000-0005-0000-0000-000051520000}"/>
    <cellStyle name="Normal 2 2 2 5 2 2 5 6" xfId="21074" xr:uid="{00000000-0005-0000-0000-000052520000}"/>
    <cellStyle name="Normal 2 2 2 5 2 2 5 7" xfId="21075" xr:uid="{00000000-0005-0000-0000-000053520000}"/>
    <cellStyle name="Normal 2 2 2 5 2 2 5 8" xfId="21076" xr:uid="{00000000-0005-0000-0000-000054520000}"/>
    <cellStyle name="Normal 2 2 2 5 2 2 5 9" xfId="21077" xr:uid="{00000000-0005-0000-0000-000055520000}"/>
    <cellStyle name="Normal 2 2 2 5 2 2 6" xfId="21078" xr:uid="{00000000-0005-0000-0000-000056520000}"/>
    <cellStyle name="Normal 2 2 2 5 2 2 7" xfId="21079" xr:uid="{00000000-0005-0000-0000-000057520000}"/>
    <cellStyle name="Normal 2 2 2 5 2 2 8" xfId="21080" xr:uid="{00000000-0005-0000-0000-000058520000}"/>
    <cellStyle name="Normal 2 2 2 5 2 2 9" xfId="21081" xr:uid="{00000000-0005-0000-0000-000059520000}"/>
    <cellStyle name="Normal 2 2 2 5 2 20" xfId="21082" xr:uid="{00000000-0005-0000-0000-00005A520000}"/>
    <cellStyle name="Normal 2 2 2 5 2 20 10" xfId="21083" xr:uid="{00000000-0005-0000-0000-00005B520000}"/>
    <cellStyle name="Normal 2 2 2 5 2 20 11" xfId="21084" xr:uid="{00000000-0005-0000-0000-00005C520000}"/>
    <cellStyle name="Normal 2 2 2 5 2 20 12" xfId="21085" xr:uid="{00000000-0005-0000-0000-00005D520000}"/>
    <cellStyle name="Normal 2 2 2 5 2 20 13" xfId="21086" xr:uid="{00000000-0005-0000-0000-00005E520000}"/>
    <cellStyle name="Normal 2 2 2 5 2 20 14" xfId="21087" xr:uid="{00000000-0005-0000-0000-00005F520000}"/>
    <cellStyle name="Normal 2 2 2 5 2 20 2" xfId="21088" xr:uid="{00000000-0005-0000-0000-000060520000}"/>
    <cellStyle name="Normal 2 2 2 5 2 20 2 10" xfId="21089" xr:uid="{00000000-0005-0000-0000-000061520000}"/>
    <cellStyle name="Normal 2 2 2 5 2 20 2 2" xfId="21090" xr:uid="{00000000-0005-0000-0000-000062520000}"/>
    <cellStyle name="Normal 2 2 2 5 2 20 2 3" xfId="21091" xr:uid="{00000000-0005-0000-0000-000063520000}"/>
    <cellStyle name="Normal 2 2 2 5 2 20 2 4" xfId="21092" xr:uid="{00000000-0005-0000-0000-000064520000}"/>
    <cellStyle name="Normal 2 2 2 5 2 20 2 5" xfId="21093" xr:uid="{00000000-0005-0000-0000-000065520000}"/>
    <cellStyle name="Normal 2 2 2 5 2 20 2 6" xfId="21094" xr:uid="{00000000-0005-0000-0000-000066520000}"/>
    <cellStyle name="Normal 2 2 2 5 2 20 2 7" xfId="21095" xr:uid="{00000000-0005-0000-0000-000067520000}"/>
    <cellStyle name="Normal 2 2 2 5 2 20 2 8" xfId="21096" xr:uid="{00000000-0005-0000-0000-000068520000}"/>
    <cellStyle name="Normal 2 2 2 5 2 20 2 9" xfId="21097" xr:uid="{00000000-0005-0000-0000-000069520000}"/>
    <cellStyle name="Normal 2 2 2 5 2 20 3" xfId="21098" xr:uid="{00000000-0005-0000-0000-00006A520000}"/>
    <cellStyle name="Normal 2 2 2 5 2 20 3 10" xfId="21099" xr:uid="{00000000-0005-0000-0000-00006B520000}"/>
    <cellStyle name="Normal 2 2 2 5 2 20 3 2" xfId="21100" xr:uid="{00000000-0005-0000-0000-00006C520000}"/>
    <cellStyle name="Normal 2 2 2 5 2 20 3 3" xfId="21101" xr:uid="{00000000-0005-0000-0000-00006D520000}"/>
    <cellStyle name="Normal 2 2 2 5 2 20 3 4" xfId="21102" xr:uid="{00000000-0005-0000-0000-00006E520000}"/>
    <cellStyle name="Normal 2 2 2 5 2 20 3 5" xfId="21103" xr:uid="{00000000-0005-0000-0000-00006F520000}"/>
    <cellStyle name="Normal 2 2 2 5 2 20 3 6" xfId="21104" xr:uid="{00000000-0005-0000-0000-000070520000}"/>
    <cellStyle name="Normal 2 2 2 5 2 20 3 7" xfId="21105" xr:uid="{00000000-0005-0000-0000-000071520000}"/>
    <cellStyle name="Normal 2 2 2 5 2 20 3 8" xfId="21106" xr:uid="{00000000-0005-0000-0000-000072520000}"/>
    <cellStyle name="Normal 2 2 2 5 2 20 3 9" xfId="21107" xr:uid="{00000000-0005-0000-0000-000073520000}"/>
    <cellStyle name="Normal 2 2 2 5 2 20 4" xfId="21108" xr:uid="{00000000-0005-0000-0000-000074520000}"/>
    <cellStyle name="Normal 2 2 2 5 2 20 4 10" xfId="21109" xr:uid="{00000000-0005-0000-0000-000075520000}"/>
    <cellStyle name="Normal 2 2 2 5 2 20 4 2" xfId="21110" xr:uid="{00000000-0005-0000-0000-000076520000}"/>
    <cellStyle name="Normal 2 2 2 5 2 20 4 3" xfId="21111" xr:uid="{00000000-0005-0000-0000-000077520000}"/>
    <cellStyle name="Normal 2 2 2 5 2 20 4 4" xfId="21112" xr:uid="{00000000-0005-0000-0000-000078520000}"/>
    <cellStyle name="Normal 2 2 2 5 2 20 4 5" xfId="21113" xr:uid="{00000000-0005-0000-0000-000079520000}"/>
    <cellStyle name="Normal 2 2 2 5 2 20 4 6" xfId="21114" xr:uid="{00000000-0005-0000-0000-00007A520000}"/>
    <cellStyle name="Normal 2 2 2 5 2 20 4 7" xfId="21115" xr:uid="{00000000-0005-0000-0000-00007B520000}"/>
    <cellStyle name="Normal 2 2 2 5 2 20 4 8" xfId="21116" xr:uid="{00000000-0005-0000-0000-00007C520000}"/>
    <cellStyle name="Normal 2 2 2 5 2 20 4 9" xfId="21117" xr:uid="{00000000-0005-0000-0000-00007D520000}"/>
    <cellStyle name="Normal 2 2 2 5 2 20 5" xfId="21118" xr:uid="{00000000-0005-0000-0000-00007E520000}"/>
    <cellStyle name="Normal 2 2 2 5 2 20 5 10" xfId="21119" xr:uid="{00000000-0005-0000-0000-00007F520000}"/>
    <cellStyle name="Normal 2 2 2 5 2 20 5 2" xfId="21120" xr:uid="{00000000-0005-0000-0000-000080520000}"/>
    <cellStyle name="Normal 2 2 2 5 2 20 5 3" xfId="21121" xr:uid="{00000000-0005-0000-0000-000081520000}"/>
    <cellStyle name="Normal 2 2 2 5 2 20 5 4" xfId="21122" xr:uid="{00000000-0005-0000-0000-000082520000}"/>
    <cellStyle name="Normal 2 2 2 5 2 20 5 5" xfId="21123" xr:uid="{00000000-0005-0000-0000-000083520000}"/>
    <cellStyle name="Normal 2 2 2 5 2 20 5 6" xfId="21124" xr:uid="{00000000-0005-0000-0000-000084520000}"/>
    <cellStyle name="Normal 2 2 2 5 2 20 5 7" xfId="21125" xr:uid="{00000000-0005-0000-0000-000085520000}"/>
    <cellStyle name="Normal 2 2 2 5 2 20 5 8" xfId="21126" xr:uid="{00000000-0005-0000-0000-000086520000}"/>
    <cellStyle name="Normal 2 2 2 5 2 20 5 9" xfId="21127" xr:uid="{00000000-0005-0000-0000-000087520000}"/>
    <cellStyle name="Normal 2 2 2 5 2 20 6" xfId="21128" xr:uid="{00000000-0005-0000-0000-000088520000}"/>
    <cellStyle name="Normal 2 2 2 5 2 20 7" xfId="21129" xr:uid="{00000000-0005-0000-0000-000089520000}"/>
    <cellStyle name="Normal 2 2 2 5 2 20 8" xfId="21130" xr:uid="{00000000-0005-0000-0000-00008A520000}"/>
    <cellStyle name="Normal 2 2 2 5 2 20 9" xfId="21131" xr:uid="{00000000-0005-0000-0000-00008B520000}"/>
    <cellStyle name="Normal 2 2 2 5 2 21" xfId="21132" xr:uid="{00000000-0005-0000-0000-00008C520000}"/>
    <cellStyle name="Normal 2 2 2 5 2 22" xfId="21133" xr:uid="{00000000-0005-0000-0000-00008D520000}"/>
    <cellStyle name="Normal 2 2 2 5 2 3" xfId="21134" xr:uid="{00000000-0005-0000-0000-00008E520000}"/>
    <cellStyle name="Normal 2 2 2 5 2 3 10" xfId="21135" xr:uid="{00000000-0005-0000-0000-00008F520000}"/>
    <cellStyle name="Normal 2 2 2 5 2 3 11" xfId="21136" xr:uid="{00000000-0005-0000-0000-000090520000}"/>
    <cellStyle name="Normal 2 2 2 5 2 3 12" xfId="21137" xr:uid="{00000000-0005-0000-0000-000091520000}"/>
    <cellStyle name="Normal 2 2 2 5 2 3 13" xfId="21138" xr:uid="{00000000-0005-0000-0000-000092520000}"/>
    <cellStyle name="Normal 2 2 2 5 2 3 14" xfId="21139" xr:uid="{00000000-0005-0000-0000-000093520000}"/>
    <cellStyle name="Normal 2 2 2 5 2 3 2" xfId="21140" xr:uid="{00000000-0005-0000-0000-000094520000}"/>
    <cellStyle name="Normal 2 2 2 5 2 3 2 10" xfId="21141" xr:uid="{00000000-0005-0000-0000-000095520000}"/>
    <cellStyle name="Normal 2 2 2 5 2 3 2 2" xfId="21142" xr:uid="{00000000-0005-0000-0000-000096520000}"/>
    <cellStyle name="Normal 2 2 2 5 2 3 2 3" xfId="21143" xr:uid="{00000000-0005-0000-0000-000097520000}"/>
    <cellStyle name="Normal 2 2 2 5 2 3 2 4" xfId="21144" xr:uid="{00000000-0005-0000-0000-000098520000}"/>
    <cellStyle name="Normal 2 2 2 5 2 3 2 5" xfId="21145" xr:uid="{00000000-0005-0000-0000-000099520000}"/>
    <cellStyle name="Normal 2 2 2 5 2 3 2 6" xfId="21146" xr:uid="{00000000-0005-0000-0000-00009A520000}"/>
    <cellStyle name="Normal 2 2 2 5 2 3 2 7" xfId="21147" xr:uid="{00000000-0005-0000-0000-00009B520000}"/>
    <cellStyle name="Normal 2 2 2 5 2 3 2 8" xfId="21148" xr:uid="{00000000-0005-0000-0000-00009C520000}"/>
    <cellStyle name="Normal 2 2 2 5 2 3 2 9" xfId="21149" xr:uid="{00000000-0005-0000-0000-00009D520000}"/>
    <cellStyle name="Normal 2 2 2 5 2 3 3" xfId="21150" xr:uid="{00000000-0005-0000-0000-00009E520000}"/>
    <cellStyle name="Normal 2 2 2 5 2 3 3 10" xfId="21151" xr:uid="{00000000-0005-0000-0000-00009F520000}"/>
    <cellStyle name="Normal 2 2 2 5 2 3 3 2" xfId="21152" xr:uid="{00000000-0005-0000-0000-0000A0520000}"/>
    <cellStyle name="Normal 2 2 2 5 2 3 3 3" xfId="21153" xr:uid="{00000000-0005-0000-0000-0000A1520000}"/>
    <cellStyle name="Normal 2 2 2 5 2 3 3 4" xfId="21154" xr:uid="{00000000-0005-0000-0000-0000A2520000}"/>
    <cellStyle name="Normal 2 2 2 5 2 3 3 5" xfId="21155" xr:uid="{00000000-0005-0000-0000-0000A3520000}"/>
    <cellStyle name="Normal 2 2 2 5 2 3 3 6" xfId="21156" xr:uid="{00000000-0005-0000-0000-0000A4520000}"/>
    <cellStyle name="Normal 2 2 2 5 2 3 3 7" xfId="21157" xr:uid="{00000000-0005-0000-0000-0000A5520000}"/>
    <cellStyle name="Normal 2 2 2 5 2 3 3 8" xfId="21158" xr:uid="{00000000-0005-0000-0000-0000A6520000}"/>
    <cellStyle name="Normal 2 2 2 5 2 3 3 9" xfId="21159" xr:uid="{00000000-0005-0000-0000-0000A7520000}"/>
    <cellStyle name="Normal 2 2 2 5 2 3 4" xfId="21160" xr:uid="{00000000-0005-0000-0000-0000A8520000}"/>
    <cellStyle name="Normal 2 2 2 5 2 3 4 10" xfId="21161" xr:uid="{00000000-0005-0000-0000-0000A9520000}"/>
    <cellStyle name="Normal 2 2 2 5 2 3 4 2" xfId="21162" xr:uid="{00000000-0005-0000-0000-0000AA520000}"/>
    <cellStyle name="Normal 2 2 2 5 2 3 4 3" xfId="21163" xr:uid="{00000000-0005-0000-0000-0000AB520000}"/>
    <cellStyle name="Normal 2 2 2 5 2 3 4 4" xfId="21164" xr:uid="{00000000-0005-0000-0000-0000AC520000}"/>
    <cellStyle name="Normal 2 2 2 5 2 3 4 5" xfId="21165" xr:uid="{00000000-0005-0000-0000-0000AD520000}"/>
    <cellStyle name="Normal 2 2 2 5 2 3 4 6" xfId="21166" xr:uid="{00000000-0005-0000-0000-0000AE520000}"/>
    <cellStyle name="Normal 2 2 2 5 2 3 4 7" xfId="21167" xr:uid="{00000000-0005-0000-0000-0000AF520000}"/>
    <cellStyle name="Normal 2 2 2 5 2 3 4 8" xfId="21168" xr:uid="{00000000-0005-0000-0000-0000B0520000}"/>
    <cellStyle name="Normal 2 2 2 5 2 3 4 9" xfId="21169" xr:uid="{00000000-0005-0000-0000-0000B1520000}"/>
    <cellStyle name="Normal 2 2 2 5 2 3 5" xfId="21170" xr:uid="{00000000-0005-0000-0000-0000B2520000}"/>
    <cellStyle name="Normal 2 2 2 5 2 3 5 10" xfId="21171" xr:uid="{00000000-0005-0000-0000-0000B3520000}"/>
    <cellStyle name="Normal 2 2 2 5 2 3 5 2" xfId="21172" xr:uid="{00000000-0005-0000-0000-0000B4520000}"/>
    <cellStyle name="Normal 2 2 2 5 2 3 5 3" xfId="21173" xr:uid="{00000000-0005-0000-0000-0000B5520000}"/>
    <cellStyle name="Normal 2 2 2 5 2 3 5 4" xfId="21174" xr:uid="{00000000-0005-0000-0000-0000B6520000}"/>
    <cellStyle name="Normal 2 2 2 5 2 3 5 5" xfId="21175" xr:uid="{00000000-0005-0000-0000-0000B7520000}"/>
    <cellStyle name="Normal 2 2 2 5 2 3 5 6" xfId="21176" xr:uid="{00000000-0005-0000-0000-0000B8520000}"/>
    <cellStyle name="Normal 2 2 2 5 2 3 5 7" xfId="21177" xr:uid="{00000000-0005-0000-0000-0000B9520000}"/>
    <cellStyle name="Normal 2 2 2 5 2 3 5 8" xfId="21178" xr:uid="{00000000-0005-0000-0000-0000BA520000}"/>
    <cellStyle name="Normal 2 2 2 5 2 3 5 9" xfId="21179" xr:uid="{00000000-0005-0000-0000-0000BB520000}"/>
    <cellStyle name="Normal 2 2 2 5 2 3 6" xfId="21180" xr:uid="{00000000-0005-0000-0000-0000BC520000}"/>
    <cellStyle name="Normal 2 2 2 5 2 3 7" xfId="21181" xr:uid="{00000000-0005-0000-0000-0000BD520000}"/>
    <cellStyle name="Normal 2 2 2 5 2 3 8" xfId="21182" xr:uid="{00000000-0005-0000-0000-0000BE520000}"/>
    <cellStyle name="Normal 2 2 2 5 2 3 9" xfId="21183" xr:uid="{00000000-0005-0000-0000-0000BF520000}"/>
    <cellStyle name="Normal 2 2 2 5 2 4" xfId="21184" xr:uid="{00000000-0005-0000-0000-0000C0520000}"/>
    <cellStyle name="Normal 2 2 2 5 2 4 10" xfId="21185" xr:uid="{00000000-0005-0000-0000-0000C1520000}"/>
    <cellStyle name="Normal 2 2 2 5 2 4 11" xfId="21186" xr:uid="{00000000-0005-0000-0000-0000C2520000}"/>
    <cellStyle name="Normal 2 2 2 5 2 4 12" xfId="21187" xr:uid="{00000000-0005-0000-0000-0000C3520000}"/>
    <cellStyle name="Normal 2 2 2 5 2 4 13" xfId="21188" xr:uid="{00000000-0005-0000-0000-0000C4520000}"/>
    <cellStyle name="Normal 2 2 2 5 2 4 14" xfId="21189" xr:uid="{00000000-0005-0000-0000-0000C5520000}"/>
    <cellStyle name="Normal 2 2 2 5 2 4 2" xfId="21190" xr:uid="{00000000-0005-0000-0000-0000C6520000}"/>
    <cellStyle name="Normal 2 2 2 5 2 4 2 10" xfId="21191" xr:uid="{00000000-0005-0000-0000-0000C7520000}"/>
    <cellStyle name="Normal 2 2 2 5 2 4 2 2" xfId="21192" xr:uid="{00000000-0005-0000-0000-0000C8520000}"/>
    <cellStyle name="Normal 2 2 2 5 2 4 2 3" xfId="21193" xr:uid="{00000000-0005-0000-0000-0000C9520000}"/>
    <cellStyle name="Normal 2 2 2 5 2 4 2 4" xfId="21194" xr:uid="{00000000-0005-0000-0000-0000CA520000}"/>
    <cellStyle name="Normal 2 2 2 5 2 4 2 5" xfId="21195" xr:uid="{00000000-0005-0000-0000-0000CB520000}"/>
    <cellStyle name="Normal 2 2 2 5 2 4 2 6" xfId="21196" xr:uid="{00000000-0005-0000-0000-0000CC520000}"/>
    <cellStyle name="Normal 2 2 2 5 2 4 2 7" xfId="21197" xr:uid="{00000000-0005-0000-0000-0000CD520000}"/>
    <cellStyle name="Normal 2 2 2 5 2 4 2 8" xfId="21198" xr:uid="{00000000-0005-0000-0000-0000CE520000}"/>
    <cellStyle name="Normal 2 2 2 5 2 4 2 9" xfId="21199" xr:uid="{00000000-0005-0000-0000-0000CF520000}"/>
    <cellStyle name="Normal 2 2 2 5 2 4 3" xfId="21200" xr:uid="{00000000-0005-0000-0000-0000D0520000}"/>
    <cellStyle name="Normal 2 2 2 5 2 4 3 10" xfId="21201" xr:uid="{00000000-0005-0000-0000-0000D1520000}"/>
    <cellStyle name="Normal 2 2 2 5 2 4 3 2" xfId="21202" xr:uid="{00000000-0005-0000-0000-0000D2520000}"/>
    <cellStyle name="Normal 2 2 2 5 2 4 3 3" xfId="21203" xr:uid="{00000000-0005-0000-0000-0000D3520000}"/>
    <cellStyle name="Normal 2 2 2 5 2 4 3 4" xfId="21204" xr:uid="{00000000-0005-0000-0000-0000D4520000}"/>
    <cellStyle name="Normal 2 2 2 5 2 4 3 5" xfId="21205" xr:uid="{00000000-0005-0000-0000-0000D5520000}"/>
    <cellStyle name="Normal 2 2 2 5 2 4 3 6" xfId="21206" xr:uid="{00000000-0005-0000-0000-0000D6520000}"/>
    <cellStyle name="Normal 2 2 2 5 2 4 3 7" xfId="21207" xr:uid="{00000000-0005-0000-0000-0000D7520000}"/>
    <cellStyle name="Normal 2 2 2 5 2 4 3 8" xfId="21208" xr:uid="{00000000-0005-0000-0000-0000D8520000}"/>
    <cellStyle name="Normal 2 2 2 5 2 4 3 9" xfId="21209" xr:uid="{00000000-0005-0000-0000-0000D9520000}"/>
    <cellStyle name="Normal 2 2 2 5 2 4 4" xfId="21210" xr:uid="{00000000-0005-0000-0000-0000DA520000}"/>
    <cellStyle name="Normal 2 2 2 5 2 4 4 10" xfId="21211" xr:uid="{00000000-0005-0000-0000-0000DB520000}"/>
    <cellStyle name="Normal 2 2 2 5 2 4 4 2" xfId="21212" xr:uid="{00000000-0005-0000-0000-0000DC520000}"/>
    <cellStyle name="Normal 2 2 2 5 2 4 4 3" xfId="21213" xr:uid="{00000000-0005-0000-0000-0000DD520000}"/>
    <cellStyle name="Normal 2 2 2 5 2 4 4 4" xfId="21214" xr:uid="{00000000-0005-0000-0000-0000DE520000}"/>
    <cellStyle name="Normal 2 2 2 5 2 4 4 5" xfId="21215" xr:uid="{00000000-0005-0000-0000-0000DF520000}"/>
    <cellStyle name="Normal 2 2 2 5 2 4 4 6" xfId="21216" xr:uid="{00000000-0005-0000-0000-0000E0520000}"/>
    <cellStyle name="Normal 2 2 2 5 2 4 4 7" xfId="21217" xr:uid="{00000000-0005-0000-0000-0000E1520000}"/>
    <cellStyle name="Normal 2 2 2 5 2 4 4 8" xfId="21218" xr:uid="{00000000-0005-0000-0000-0000E2520000}"/>
    <cellStyle name="Normal 2 2 2 5 2 4 4 9" xfId="21219" xr:uid="{00000000-0005-0000-0000-0000E3520000}"/>
    <cellStyle name="Normal 2 2 2 5 2 4 5" xfId="21220" xr:uid="{00000000-0005-0000-0000-0000E4520000}"/>
    <cellStyle name="Normal 2 2 2 5 2 4 5 10" xfId="21221" xr:uid="{00000000-0005-0000-0000-0000E5520000}"/>
    <cellStyle name="Normal 2 2 2 5 2 4 5 2" xfId="21222" xr:uid="{00000000-0005-0000-0000-0000E6520000}"/>
    <cellStyle name="Normal 2 2 2 5 2 4 5 3" xfId="21223" xr:uid="{00000000-0005-0000-0000-0000E7520000}"/>
    <cellStyle name="Normal 2 2 2 5 2 4 5 4" xfId="21224" xr:uid="{00000000-0005-0000-0000-0000E8520000}"/>
    <cellStyle name="Normal 2 2 2 5 2 4 5 5" xfId="21225" xr:uid="{00000000-0005-0000-0000-0000E9520000}"/>
    <cellStyle name="Normal 2 2 2 5 2 4 5 6" xfId="21226" xr:uid="{00000000-0005-0000-0000-0000EA520000}"/>
    <cellStyle name="Normal 2 2 2 5 2 4 5 7" xfId="21227" xr:uid="{00000000-0005-0000-0000-0000EB520000}"/>
    <cellStyle name="Normal 2 2 2 5 2 4 5 8" xfId="21228" xr:uid="{00000000-0005-0000-0000-0000EC520000}"/>
    <cellStyle name="Normal 2 2 2 5 2 4 5 9" xfId="21229" xr:uid="{00000000-0005-0000-0000-0000ED520000}"/>
    <cellStyle name="Normal 2 2 2 5 2 4 6" xfId="21230" xr:uid="{00000000-0005-0000-0000-0000EE520000}"/>
    <cellStyle name="Normal 2 2 2 5 2 4 7" xfId="21231" xr:uid="{00000000-0005-0000-0000-0000EF520000}"/>
    <cellStyle name="Normal 2 2 2 5 2 4 8" xfId="21232" xr:uid="{00000000-0005-0000-0000-0000F0520000}"/>
    <cellStyle name="Normal 2 2 2 5 2 4 9" xfId="21233" xr:uid="{00000000-0005-0000-0000-0000F1520000}"/>
    <cellStyle name="Normal 2 2 2 5 2 5" xfId="21234" xr:uid="{00000000-0005-0000-0000-0000F2520000}"/>
    <cellStyle name="Normal 2 2 2 5 2 5 10" xfId="21235" xr:uid="{00000000-0005-0000-0000-0000F3520000}"/>
    <cellStyle name="Normal 2 2 2 5 2 5 11" xfId="21236" xr:uid="{00000000-0005-0000-0000-0000F4520000}"/>
    <cellStyle name="Normal 2 2 2 5 2 5 12" xfId="21237" xr:uid="{00000000-0005-0000-0000-0000F5520000}"/>
    <cellStyle name="Normal 2 2 2 5 2 5 13" xfId="21238" xr:uid="{00000000-0005-0000-0000-0000F6520000}"/>
    <cellStyle name="Normal 2 2 2 5 2 5 14" xfId="21239" xr:uid="{00000000-0005-0000-0000-0000F7520000}"/>
    <cellStyle name="Normal 2 2 2 5 2 5 2" xfId="21240" xr:uid="{00000000-0005-0000-0000-0000F8520000}"/>
    <cellStyle name="Normal 2 2 2 5 2 5 2 10" xfId="21241" xr:uid="{00000000-0005-0000-0000-0000F9520000}"/>
    <cellStyle name="Normal 2 2 2 5 2 5 2 2" xfId="21242" xr:uid="{00000000-0005-0000-0000-0000FA520000}"/>
    <cellStyle name="Normal 2 2 2 5 2 5 2 3" xfId="21243" xr:uid="{00000000-0005-0000-0000-0000FB520000}"/>
    <cellStyle name="Normal 2 2 2 5 2 5 2 4" xfId="21244" xr:uid="{00000000-0005-0000-0000-0000FC520000}"/>
    <cellStyle name="Normal 2 2 2 5 2 5 2 5" xfId="21245" xr:uid="{00000000-0005-0000-0000-0000FD520000}"/>
    <cellStyle name="Normal 2 2 2 5 2 5 2 6" xfId="21246" xr:uid="{00000000-0005-0000-0000-0000FE520000}"/>
    <cellStyle name="Normal 2 2 2 5 2 5 2 7" xfId="21247" xr:uid="{00000000-0005-0000-0000-0000FF520000}"/>
    <cellStyle name="Normal 2 2 2 5 2 5 2 8" xfId="21248" xr:uid="{00000000-0005-0000-0000-000000530000}"/>
    <cellStyle name="Normal 2 2 2 5 2 5 2 9" xfId="21249" xr:uid="{00000000-0005-0000-0000-000001530000}"/>
    <cellStyle name="Normal 2 2 2 5 2 5 3" xfId="21250" xr:uid="{00000000-0005-0000-0000-000002530000}"/>
    <cellStyle name="Normal 2 2 2 5 2 5 3 10" xfId="21251" xr:uid="{00000000-0005-0000-0000-000003530000}"/>
    <cellStyle name="Normal 2 2 2 5 2 5 3 2" xfId="21252" xr:uid="{00000000-0005-0000-0000-000004530000}"/>
    <cellStyle name="Normal 2 2 2 5 2 5 3 3" xfId="21253" xr:uid="{00000000-0005-0000-0000-000005530000}"/>
    <cellStyle name="Normal 2 2 2 5 2 5 3 4" xfId="21254" xr:uid="{00000000-0005-0000-0000-000006530000}"/>
    <cellStyle name="Normal 2 2 2 5 2 5 3 5" xfId="21255" xr:uid="{00000000-0005-0000-0000-000007530000}"/>
    <cellStyle name="Normal 2 2 2 5 2 5 3 6" xfId="21256" xr:uid="{00000000-0005-0000-0000-000008530000}"/>
    <cellStyle name="Normal 2 2 2 5 2 5 3 7" xfId="21257" xr:uid="{00000000-0005-0000-0000-000009530000}"/>
    <cellStyle name="Normal 2 2 2 5 2 5 3 8" xfId="21258" xr:uid="{00000000-0005-0000-0000-00000A530000}"/>
    <cellStyle name="Normal 2 2 2 5 2 5 3 9" xfId="21259" xr:uid="{00000000-0005-0000-0000-00000B530000}"/>
    <cellStyle name="Normal 2 2 2 5 2 5 4" xfId="21260" xr:uid="{00000000-0005-0000-0000-00000C530000}"/>
    <cellStyle name="Normal 2 2 2 5 2 5 4 10" xfId="21261" xr:uid="{00000000-0005-0000-0000-00000D530000}"/>
    <cellStyle name="Normal 2 2 2 5 2 5 4 2" xfId="21262" xr:uid="{00000000-0005-0000-0000-00000E530000}"/>
    <cellStyle name="Normal 2 2 2 5 2 5 4 3" xfId="21263" xr:uid="{00000000-0005-0000-0000-00000F530000}"/>
    <cellStyle name="Normal 2 2 2 5 2 5 4 4" xfId="21264" xr:uid="{00000000-0005-0000-0000-000010530000}"/>
    <cellStyle name="Normal 2 2 2 5 2 5 4 5" xfId="21265" xr:uid="{00000000-0005-0000-0000-000011530000}"/>
    <cellStyle name="Normal 2 2 2 5 2 5 4 6" xfId="21266" xr:uid="{00000000-0005-0000-0000-000012530000}"/>
    <cellStyle name="Normal 2 2 2 5 2 5 4 7" xfId="21267" xr:uid="{00000000-0005-0000-0000-000013530000}"/>
    <cellStyle name="Normal 2 2 2 5 2 5 4 8" xfId="21268" xr:uid="{00000000-0005-0000-0000-000014530000}"/>
    <cellStyle name="Normal 2 2 2 5 2 5 4 9" xfId="21269" xr:uid="{00000000-0005-0000-0000-000015530000}"/>
    <cellStyle name="Normal 2 2 2 5 2 5 5" xfId="21270" xr:uid="{00000000-0005-0000-0000-000016530000}"/>
    <cellStyle name="Normal 2 2 2 5 2 5 5 10" xfId="21271" xr:uid="{00000000-0005-0000-0000-000017530000}"/>
    <cellStyle name="Normal 2 2 2 5 2 5 5 2" xfId="21272" xr:uid="{00000000-0005-0000-0000-000018530000}"/>
    <cellStyle name="Normal 2 2 2 5 2 5 5 3" xfId="21273" xr:uid="{00000000-0005-0000-0000-000019530000}"/>
    <cellStyle name="Normal 2 2 2 5 2 5 5 4" xfId="21274" xr:uid="{00000000-0005-0000-0000-00001A530000}"/>
    <cellStyle name="Normal 2 2 2 5 2 5 5 5" xfId="21275" xr:uid="{00000000-0005-0000-0000-00001B530000}"/>
    <cellStyle name="Normal 2 2 2 5 2 5 5 6" xfId="21276" xr:uid="{00000000-0005-0000-0000-00001C530000}"/>
    <cellStyle name="Normal 2 2 2 5 2 5 5 7" xfId="21277" xr:uid="{00000000-0005-0000-0000-00001D530000}"/>
    <cellStyle name="Normal 2 2 2 5 2 5 5 8" xfId="21278" xr:uid="{00000000-0005-0000-0000-00001E530000}"/>
    <cellStyle name="Normal 2 2 2 5 2 5 5 9" xfId="21279" xr:uid="{00000000-0005-0000-0000-00001F530000}"/>
    <cellStyle name="Normal 2 2 2 5 2 5 6" xfId="21280" xr:uid="{00000000-0005-0000-0000-000020530000}"/>
    <cellStyle name="Normal 2 2 2 5 2 5 7" xfId="21281" xr:uid="{00000000-0005-0000-0000-000021530000}"/>
    <cellStyle name="Normal 2 2 2 5 2 5 8" xfId="21282" xr:uid="{00000000-0005-0000-0000-000022530000}"/>
    <cellStyle name="Normal 2 2 2 5 2 5 9" xfId="21283" xr:uid="{00000000-0005-0000-0000-000023530000}"/>
    <cellStyle name="Normal 2 2 2 5 2 6" xfId="21284" xr:uid="{00000000-0005-0000-0000-000024530000}"/>
    <cellStyle name="Normal 2 2 2 5 2 6 10" xfId="21285" xr:uid="{00000000-0005-0000-0000-000025530000}"/>
    <cellStyle name="Normal 2 2 2 5 2 6 11" xfId="21286" xr:uid="{00000000-0005-0000-0000-000026530000}"/>
    <cellStyle name="Normal 2 2 2 5 2 6 12" xfId="21287" xr:uid="{00000000-0005-0000-0000-000027530000}"/>
    <cellStyle name="Normal 2 2 2 5 2 6 13" xfId="21288" xr:uid="{00000000-0005-0000-0000-000028530000}"/>
    <cellStyle name="Normal 2 2 2 5 2 6 14" xfId="21289" xr:uid="{00000000-0005-0000-0000-000029530000}"/>
    <cellStyle name="Normal 2 2 2 5 2 6 2" xfId="21290" xr:uid="{00000000-0005-0000-0000-00002A530000}"/>
    <cellStyle name="Normal 2 2 2 5 2 6 2 10" xfId="21291" xr:uid="{00000000-0005-0000-0000-00002B530000}"/>
    <cellStyle name="Normal 2 2 2 5 2 6 2 2" xfId="21292" xr:uid="{00000000-0005-0000-0000-00002C530000}"/>
    <cellStyle name="Normal 2 2 2 5 2 6 2 3" xfId="21293" xr:uid="{00000000-0005-0000-0000-00002D530000}"/>
    <cellStyle name="Normal 2 2 2 5 2 6 2 4" xfId="21294" xr:uid="{00000000-0005-0000-0000-00002E530000}"/>
    <cellStyle name="Normal 2 2 2 5 2 6 2 5" xfId="21295" xr:uid="{00000000-0005-0000-0000-00002F530000}"/>
    <cellStyle name="Normal 2 2 2 5 2 6 2 6" xfId="21296" xr:uid="{00000000-0005-0000-0000-000030530000}"/>
    <cellStyle name="Normal 2 2 2 5 2 6 2 7" xfId="21297" xr:uid="{00000000-0005-0000-0000-000031530000}"/>
    <cellStyle name="Normal 2 2 2 5 2 6 2 8" xfId="21298" xr:uid="{00000000-0005-0000-0000-000032530000}"/>
    <cellStyle name="Normal 2 2 2 5 2 6 2 9" xfId="21299" xr:uid="{00000000-0005-0000-0000-000033530000}"/>
    <cellStyle name="Normal 2 2 2 5 2 6 3" xfId="21300" xr:uid="{00000000-0005-0000-0000-000034530000}"/>
    <cellStyle name="Normal 2 2 2 5 2 6 3 10" xfId="21301" xr:uid="{00000000-0005-0000-0000-000035530000}"/>
    <cellStyle name="Normal 2 2 2 5 2 6 3 2" xfId="21302" xr:uid="{00000000-0005-0000-0000-000036530000}"/>
    <cellStyle name="Normal 2 2 2 5 2 6 3 3" xfId="21303" xr:uid="{00000000-0005-0000-0000-000037530000}"/>
    <cellStyle name="Normal 2 2 2 5 2 6 3 4" xfId="21304" xr:uid="{00000000-0005-0000-0000-000038530000}"/>
    <cellStyle name="Normal 2 2 2 5 2 6 3 5" xfId="21305" xr:uid="{00000000-0005-0000-0000-000039530000}"/>
    <cellStyle name="Normal 2 2 2 5 2 6 3 6" xfId="21306" xr:uid="{00000000-0005-0000-0000-00003A530000}"/>
    <cellStyle name="Normal 2 2 2 5 2 6 3 7" xfId="21307" xr:uid="{00000000-0005-0000-0000-00003B530000}"/>
    <cellStyle name="Normal 2 2 2 5 2 6 3 8" xfId="21308" xr:uid="{00000000-0005-0000-0000-00003C530000}"/>
    <cellStyle name="Normal 2 2 2 5 2 6 3 9" xfId="21309" xr:uid="{00000000-0005-0000-0000-00003D530000}"/>
    <cellStyle name="Normal 2 2 2 5 2 6 4" xfId="21310" xr:uid="{00000000-0005-0000-0000-00003E530000}"/>
    <cellStyle name="Normal 2 2 2 5 2 6 4 10" xfId="21311" xr:uid="{00000000-0005-0000-0000-00003F530000}"/>
    <cellStyle name="Normal 2 2 2 5 2 6 4 2" xfId="21312" xr:uid="{00000000-0005-0000-0000-000040530000}"/>
    <cellStyle name="Normal 2 2 2 5 2 6 4 3" xfId="21313" xr:uid="{00000000-0005-0000-0000-000041530000}"/>
    <cellStyle name="Normal 2 2 2 5 2 6 4 4" xfId="21314" xr:uid="{00000000-0005-0000-0000-000042530000}"/>
    <cellStyle name="Normal 2 2 2 5 2 6 4 5" xfId="21315" xr:uid="{00000000-0005-0000-0000-000043530000}"/>
    <cellStyle name="Normal 2 2 2 5 2 6 4 6" xfId="21316" xr:uid="{00000000-0005-0000-0000-000044530000}"/>
    <cellStyle name="Normal 2 2 2 5 2 6 4 7" xfId="21317" xr:uid="{00000000-0005-0000-0000-000045530000}"/>
    <cellStyle name="Normal 2 2 2 5 2 6 4 8" xfId="21318" xr:uid="{00000000-0005-0000-0000-000046530000}"/>
    <cellStyle name="Normal 2 2 2 5 2 6 4 9" xfId="21319" xr:uid="{00000000-0005-0000-0000-000047530000}"/>
    <cellStyle name="Normal 2 2 2 5 2 6 5" xfId="21320" xr:uid="{00000000-0005-0000-0000-000048530000}"/>
    <cellStyle name="Normal 2 2 2 5 2 6 5 10" xfId="21321" xr:uid="{00000000-0005-0000-0000-000049530000}"/>
    <cellStyle name="Normal 2 2 2 5 2 6 5 2" xfId="21322" xr:uid="{00000000-0005-0000-0000-00004A530000}"/>
    <cellStyle name="Normal 2 2 2 5 2 6 5 3" xfId="21323" xr:uid="{00000000-0005-0000-0000-00004B530000}"/>
    <cellStyle name="Normal 2 2 2 5 2 6 5 4" xfId="21324" xr:uid="{00000000-0005-0000-0000-00004C530000}"/>
    <cellStyle name="Normal 2 2 2 5 2 6 5 5" xfId="21325" xr:uid="{00000000-0005-0000-0000-00004D530000}"/>
    <cellStyle name="Normal 2 2 2 5 2 6 5 6" xfId="21326" xr:uid="{00000000-0005-0000-0000-00004E530000}"/>
    <cellStyle name="Normal 2 2 2 5 2 6 5 7" xfId="21327" xr:uid="{00000000-0005-0000-0000-00004F530000}"/>
    <cellStyle name="Normal 2 2 2 5 2 6 5 8" xfId="21328" xr:uid="{00000000-0005-0000-0000-000050530000}"/>
    <cellStyle name="Normal 2 2 2 5 2 6 5 9" xfId="21329" xr:uid="{00000000-0005-0000-0000-000051530000}"/>
    <cellStyle name="Normal 2 2 2 5 2 6 6" xfId="21330" xr:uid="{00000000-0005-0000-0000-000052530000}"/>
    <cellStyle name="Normal 2 2 2 5 2 6 7" xfId="21331" xr:uid="{00000000-0005-0000-0000-000053530000}"/>
    <cellStyle name="Normal 2 2 2 5 2 6 8" xfId="21332" xr:uid="{00000000-0005-0000-0000-000054530000}"/>
    <cellStyle name="Normal 2 2 2 5 2 6 9" xfId="21333" xr:uid="{00000000-0005-0000-0000-000055530000}"/>
    <cellStyle name="Normal 2 2 2 5 2 7" xfId="21334" xr:uid="{00000000-0005-0000-0000-000056530000}"/>
    <cellStyle name="Normal 2 2 2 5 2 7 10" xfId="21335" xr:uid="{00000000-0005-0000-0000-000057530000}"/>
    <cellStyle name="Normal 2 2 2 5 2 7 11" xfId="21336" xr:uid="{00000000-0005-0000-0000-000058530000}"/>
    <cellStyle name="Normal 2 2 2 5 2 7 12" xfId="21337" xr:uid="{00000000-0005-0000-0000-000059530000}"/>
    <cellStyle name="Normal 2 2 2 5 2 7 13" xfId="21338" xr:uid="{00000000-0005-0000-0000-00005A530000}"/>
    <cellStyle name="Normal 2 2 2 5 2 7 14" xfId="21339" xr:uid="{00000000-0005-0000-0000-00005B530000}"/>
    <cellStyle name="Normal 2 2 2 5 2 7 2" xfId="21340" xr:uid="{00000000-0005-0000-0000-00005C530000}"/>
    <cellStyle name="Normal 2 2 2 5 2 7 2 10" xfId="21341" xr:uid="{00000000-0005-0000-0000-00005D530000}"/>
    <cellStyle name="Normal 2 2 2 5 2 7 2 2" xfId="21342" xr:uid="{00000000-0005-0000-0000-00005E530000}"/>
    <cellStyle name="Normal 2 2 2 5 2 7 2 3" xfId="21343" xr:uid="{00000000-0005-0000-0000-00005F530000}"/>
    <cellStyle name="Normal 2 2 2 5 2 7 2 4" xfId="21344" xr:uid="{00000000-0005-0000-0000-000060530000}"/>
    <cellStyle name="Normal 2 2 2 5 2 7 2 5" xfId="21345" xr:uid="{00000000-0005-0000-0000-000061530000}"/>
    <cellStyle name="Normal 2 2 2 5 2 7 2 6" xfId="21346" xr:uid="{00000000-0005-0000-0000-000062530000}"/>
    <cellStyle name="Normal 2 2 2 5 2 7 2 7" xfId="21347" xr:uid="{00000000-0005-0000-0000-000063530000}"/>
    <cellStyle name="Normal 2 2 2 5 2 7 2 8" xfId="21348" xr:uid="{00000000-0005-0000-0000-000064530000}"/>
    <cellStyle name="Normal 2 2 2 5 2 7 2 9" xfId="21349" xr:uid="{00000000-0005-0000-0000-000065530000}"/>
    <cellStyle name="Normal 2 2 2 5 2 7 3" xfId="21350" xr:uid="{00000000-0005-0000-0000-000066530000}"/>
    <cellStyle name="Normal 2 2 2 5 2 7 3 10" xfId="21351" xr:uid="{00000000-0005-0000-0000-000067530000}"/>
    <cellStyle name="Normal 2 2 2 5 2 7 3 2" xfId="21352" xr:uid="{00000000-0005-0000-0000-000068530000}"/>
    <cellStyle name="Normal 2 2 2 5 2 7 3 3" xfId="21353" xr:uid="{00000000-0005-0000-0000-000069530000}"/>
    <cellStyle name="Normal 2 2 2 5 2 7 3 4" xfId="21354" xr:uid="{00000000-0005-0000-0000-00006A530000}"/>
    <cellStyle name="Normal 2 2 2 5 2 7 3 5" xfId="21355" xr:uid="{00000000-0005-0000-0000-00006B530000}"/>
    <cellStyle name="Normal 2 2 2 5 2 7 3 6" xfId="21356" xr:uid="{00000000-0005-0000-0000-00006C530000}"/>
    <cellStyle name="Normal 2 2 2 5 2 7 3 7" xfId="21357" xr:uid="{00000000-0005-0000-0000-00006D530000}"/>
    <cellStyle name="Normal 2 2 2 5 2 7 3 8" xfId="21358" xr:uid="{00000000-0005-0000-0000-00006E530000}"/>
    <cellStyle name="Normal 2 2 2 5 2 7 3 9" xfId="21359" xr:uid="{00000000-0005-0000-0000-00006F530000}"/>
    <cellStyle name="Normal 2 2 2 5 2 7 4" xfId="21360" xr:uid="{00000000-0005-0000-0000-000070530000}"/>
    <cellStyle name="Normal 2 2 2 5 2 7 4 10" xfId="21361" xr:uid="{00000000-0005-0000-0000-000071530000}"/>
    <cellStyle name="Normal 2 2 2 5 2 7 4 2" xfId="21362" xr:uid="{00000000-0005-0000-0000-000072530000}"/>
    <cellStyle name="Normal 2 2 2 5 2 7 4 3" xfId="21363" xr:uid="{00000000-0005-0000-0000-000073530000}"/>
    <cellStyle name="Normal 2 2 2 5 2 7 4 4" xfId="21364" xr:uid="{00000000-0005-0000-0000-000074530000}"/>
    <cellStyle name="Normal 2 2 2 5 2 7 4 5" xfId="21365" xr:uid="{00000000-0005-0000-0000-000075530000}"/>
    <cellStyle name="Normal 2 2 2 5 2 7 4 6" xfId="21366" xr:uid="{00000000-0005-0000-0000-000076530000}"/>
    <cellStyle name="Normal 2 2 2 5 2 7 4 7" xfId="21367" xr:uid="{00000000-0005-0000-0000-000077530000}"/>
    <cellStyle name="Normal 2 2 2 5 2 7 4 8" xfId="21368" xr:uid="{00000000-0005-0000-0000-000078530000}"/>
    <cellStyle name="Normal 2 2 2 5 2 7 4 9" xfId="21369" xr:uid="{00000000-0005-0000-0000-000079530000}"/>
    <cellStyle name="Normal 2 2 2 5 2 7 5" xfId="21370" xr:uid="{00000000-0005-0000-0000-00007A530000}"/>
    <cellStyle name="Normal 2 2 2 5 2 7 5 10" xfId="21371" xr:uid="{00000000-0005-0000-0000-00007B530000}"/>
    <cellStyle name="Normal 2 2 2 5 2 7 5 2" xfId="21372" xr:uid="{00000000-0005-0000-0000-00007C530000}"/>
    <cellStyle name="Normal 2 2 2 5 2 7 5 3" xfId="21373" xr:uid="{00000000-0005-0000-0000-00007D530000}"/>
    <cellStyle name="Normal 2 2 2 5 2 7 5 4" xfId="21374" xr:uid="{00000000-0005-0000-0000-00007E530000}"/>
    <cellStyle name="Normal 2 2 2 5 2 7 5 5" xfId="21375" xr:uid="{00000000-0005-0000-0000-00007F530000}"/>
    <cellStyle name="Normal 2 2 2 5 2 7 5 6" xfId="21376" xr:uid="{00000000-0005-0000-0000-000080530000}"/>
    <cellStyle name="Normal 2 2 2 5 2 7 5 7" xfId="21377" xr:uid="{00000000-0005-0000-0000-000081530000}"/>
    <cellStyle name="Normal 2 2 2 5 2 7 5 8" xfId="21378" xr:uid="{00000000-0005-0000-0000-000082530000}"/>
    <cellStyle name="Normal 2 2 2 5 2 7 5 9" xfId="21379" xr:uid="{00000000-0005-0000-0000-000083530000}"/>
    <cellStyle name="Normal 2 2 2 5 2 7 6" xfId="21380" xr:uid="{00000000-0005-0000-0000-000084530000}"/>
    <cellStyle name="Normal 2 2 2 5 2 7 7" xfId="21381" xr:uid="{00000000-0005-0000-0000-000085530000}"/>
    <cellStyle name="Normal 2 2 2 5 2 7 8" xfId="21382" xr:uid="{00000000-0005-0000-0000-000086530000}"/>
    <cellStyle name="Normal 2 2 2 5 2 7 9" xfId="21383" xr:uid="{00000000-0005-0000-0000-000087530000}"/>
    <cellStyle name="Normal 2 2 2 5 2 8" xfId="21384" xr:uid="{00000000-0005-0000-0000-000088530000}"/>
    <cellStyle name="Normal 2 2 2 5 2 8 10" xfId="21385" xr:uid="{00000000-0005-0000-0000-000089530000}"/>
    <cellStyle name="Normal 2 2 2 5 2 8 11" xfId="21386" xr:uid="{00000000-0005-0000-0000-00008A530000}"/>
    <cellStyle name="Normal 2 2 2 5 2 8 12" xfId="21387" xr:uid="{00000000-0005-0000-0000-00008B530000}"/>
    <cellStyle name="Normal 2 2 2 5 2 8 13" xfId="21388" xr:uid="{00000000-0005-0000-0000-00008C530000}"/>
    <cellStyle name="Normal 2 2 2 5 2 8 14" xfId="21389" xr:uid="{00000000-0005-0000-0000-00008D530000}"/>
    <cellStyle name="Normal 2 2 2 5 2 8 2" xfId="21390" xr:uid="{00000000-0005-0000-0000-00008E530000}"/>
    <cellStyle name="Normal 2 2 2 5 2 8 2 10" xfId="21391" xr:uid="{00000000-0005-0000-0000-00008F530000}"/>
    <cellStyle name="Normal 2 2 2 5 2 8 2 2" xfId="21392" xr:uid="{00000000-0005-0000-0000-000090530000}"/>
    <cellStyle name="Normal 2 2 2 5 2 8 2 3" xfId="21393" xr:uid="{00000000-0005-0000-0000-000091530000}"/>
    <cellStyle name="Normal 2 2 2 5 2 8 2 4" xfId="21394" xr:uid="{00000000-0005-0000-0000-000092530000}"/>
    <cellStyle name="Normal 2 2 2 5 2 8 2 5" xfId="21395" xr:uid="{00000000-0005-0000-0000-000093530000}"/>
    <cellStyle name="Normal 2 2 2 5 2 8 2 6" xfId="21396" xr:uid="{00000000-0005-0000-0000-000094530000}"/>
    <cellStyle name="Normal 2 2 2 5 2 8 2 7" xfId="21397" xr:uid="{00000000-0005-0000-0000-000095530000}"/>
    <cellStyle name="Normal 2 2 2 5 2 8 2 8" xfId="21398" xr:uid="{00000000-0005-0000-0000-000096530000}"/>
    <cellStyle name="Normal 2 2 2 5 2 8 2 9" xfId="21399" xr:uid="{00000000-0005-0000-0000-000097530000}"/>
    <cellStyle name="Normal 2 2 2 5 2 8 3" xfId="21400" xr:uid="{00000000-0005-0000-0000-000098530000}"/>
    <cellStyle name="Normal 2 2 2 5 2 8 3 10" xfId="21401" xr:uid="{00000000-0005-0000-0000-000099530000}"/>
    <cellStyle name="Normal 2 2 2 5 2 8 3 2" xfId="21402" xr:uid="{00000000-0005-0000-0000-00009A530000}"/>
    <cellStyle name="Normal 2 2 2 5 2 8 3 3" xfId="21403" xr:uid="{00000000-0005-0000-0000-00009B530000}"/>
    <cellStyle name="Normal 2 2 2 5 2 8 3 4" xfId="21404" xr:uid="{00000000-0005-0000-0000-00009C530000}"/>
    <cellStyle name="Normal 2 2 2 5 2 8 3 5" xfId="21405" xr:uid="{00000000-0005-0000-0000-00009D530000}"/>
    <cellStyle name="Normal 2 2 2 5 2 8 3 6" xfId="21406" xr:uid="{00000000-0005-0000-0000-00009E530000}"/>
    <cellStyle name="Normal 2 2 2 5 2 8 3 7" xfId="21407" xr:uid="{00000000-0005-0000-0000-00009F530000}"/>
    <cellStyle name="Normal 2 2 2 5 2 8 3 8" xfId="21408" xr:uid="{00000000-0005-0000-0000-0000A0530000}"/>
    <cellStyle name="Normal 2 2 2 5 2 8 3 9" xfId="21409" xr:uid="{00000000-0005-0000-0000-0000A1530000}"/>
    <cellStyle name="Normal 2 2 2 5 2 8 4" xfId="21410" xr:uid="{00000000-0005-0000-0000-0000A2530000}"/>
    <cellStyle name="Normal 2 2 2 5 2 8 4 10" xfId="21411" xr:uid="{00000000-0005-0000-0000-0000A3530000}"/>
    <cellStyle name="Normal 2 2 2 5 2 8 4 2" xfId="21412" xr:uid="{00000000-0005-0000-0000-0000A4530000}"/>
    <cellStyle name="Normal 2 2 2 5 2 8 4 3" xfId="21413" xr:uid="{00000000-0005-0000-0000-0000A5530000}"/>
    <cellStyle name="Normal 2 2 2 5 2 8 4 4" xfId="21414" xr:uid="{00000000-0005-0000-0000-0000A6530000}"/>
    <cellStyle name="Normal 2 2 2 5 2 8 4 5" xfId="21415" xr:uid="{00000000-0005-0000-0000-0000A7530000}"/>
    <cellStyle name="Normal 2 2 2 5 2 8 4 6" xfId="21416" xr:uid="{00000000-0005-0000-0000-0000A8530000}"/>
    <cellStyle name="Normal 2 2 2 5 2 8 4 7" xfId="21417" xr:uid="{00000000-0005-0000-0000-0000A9530000}"/>
    <cellStyle name="Normal 2 2 2 5 2 8 4 8" xfId="21418" xr:uid="{00000000-0005-0000-0000-0000AA530000}"/>
    <cellStyle name="Normal 2 2 2 5 2 8 4 9" xfId="21419" xr:uid="{00000000-0005-0000-0000-0000AB530000}"/>
    <cellStyle name="Normal 2 2 2 5 2 8 5" xfId="21420" xr:uid="{00000000-0005-0000-0000-0000AC530000}"/>
    <cellStyle name="Normal 2 2 2 5 2 8 5 10" xfId="21421" xr:uid="{00000000-0005-0000-0000-0000AD530000}"/>
    <cellStyle name="Normal 2 2 2 5 2 8 5 2" xfId="21422" xr:uid="{00000000-0005-0000-0000-0000AE530000}"/>
    <cellStyle name="Normal 2 2 2 5 2 8 5 3" xfId="21423" xr:uid="{00000000-0005-0000-0000-0000AF530000}"/>
    <cellStyle name="Normal 2 2 2 5 2 8 5 4" xfId="21424" xr:uid="{00000000-0005-0000-0000-0000B0530000}"/>
    <cellStyle name="Normal 2 2 2 5 2 8 5 5" xfId="21425" xr:uid="{00000000-0005-0000-0000-0000B1530000}"/>
    <cellStyle name="Normal 2 2 2 5 2 8 5 6" xfId="21426" xr:uid="{00000000-0005-0000-0000-0000B2530000}"/>
    <cellStyle name="Normal 2 2 2 5 2 8 5 7" xfId="21427" xr:uid="{00000000-0005-0000-0000-0000B3530000}"/>
    <cellStyle name="Normal 2 2 2 5 2 8 5 8" xfId="21428" xr:uid="{00000000-0005-0000-0000-0000B4530000}"/>
    <cellStyle name="Normal 2 2 2 5 2 8 5 9" xfId="21429" xr:uid="{00000000-0005-0000-0000-0000B5530000}"/>
    <cellStyle name="Normal 2 2 2 5 2 8 6" xfId="21430" xr:uid="{00000000-0005-0000-0000-0000B6530000}"/>
    <cellStyle name="Normal 2 2 2 5 2 8 7" xfId="21431" xr:uid="{00000000-0005-0000-0000-0000B7530000}"/>
    <cellStyle name="Normal 2 2 2 5 2 8 8" xfId="21432" xr:uid="{00000000-0005-0000-0000-0000B8530000}"/>
    <cellStyle name="Normal 2 2 2 5 2 8 9" xfId="21433" xr:uid="{00000000-0005-0000-0000-0000B9530000}"/>
    <cellStyle name="Normal 2 2 2 5 2 9" xfId="21434" xr:uid="{00000000-0005-0000-0000-0000BA530000}"/>
    <cellStyle name="Normal 2 2 2 5 2 9 10" xfId="21435" xr:uid="{00000000-0005-0000-0000-0000BB530000}"/>
    <cellStyle name="Normal 2 2 2 5 2 9 11" xfId="21436" xr:uid="{00000000-0005-0000-0000-0000BC530000}"/>
    <cellStyle name="Normal 2 2 2 5 2 9 12" xfId="21437" xr:uid="{00000000-0005-0000-0000-0000BD530000}"/>
    <cellStyle name="Normal 2 2 2 5 2 9 13" xfId="21438" xr:uid="{00000000-0005-0000-0000-0000BE530000}"/>
    <cellStyle name="Normal 2 2 2 5 2 9 14" xfId="21439" xr:uid="{00000000-0005-0000-0000-0000BF530000}"/>
    <cellStyle name="Normal 2 2 2 5 2 9 2" xfId="21440" xr:uid="{00000000-0005-0000-0000-0000C0530000}"/>
    <cellStyle name="Normal 2 2 2 5 2 9 2 10" xfId="21441" xr:uid="{00000000-0005-0000-0000-0000C1530000}"/>
    <cellStyle name="Normal 2 2 2 5 2 9 2 2" xfId="21442" xr:uid="{00000000-0005-0000-0000-0000C2530000}"/>
    <cellStyle name="Normal 2 2 2 5 2 9 2 3" xfId="21443" xr:uid="{00000000-0005-0000-0000-0000C3530000}"/>
    <cellStyle name="Normal 2 2 2 5 2 9 2 4" xfId="21444" xr:uid="{00000000-0005-0000-0000-0000C4530000}"/>
    <cellStyle name="Normal 2 2 2 5 2 9 2 5" xfId="21445" xr:uid="{00000000-0005-0000-0000-0000C5530000}"/>
    <cellStyle name="Normal 2 2 2 5 2 9 2 6" xfId="21446" xr:uid="{00000000-0005-0000-0000-0000C6530000}"/>
    <cellStyle name="Normal 2 2 2 5 2 9 2 7" xfId="21447" xr:uid="{00000000-0005-0000-0000-0000C7530000}"/>
    <cellStyle name="Normal 2 2 2 5 2 9 2 8" xfId="21448" xr:uid="{00000000-0005-0000-0000-0000C8530000}"/>
    <cellStyle name="Normal 2 2 2 5 2 9 2 9" xfId="21449" xr:uid="{00000000-0005-0000-0000-0000C9530000}"/>
    <cellStyle name="Normal 2 2 2 5 2 9 3" xfId="21450" xr:uid="{00000000-0005-0000-0000-0000CA530000}"/>
    <cellStyle name="Normal 2 2 2 5 2 9 3 10" xfId="21451" xr:uid="{00000000-0005-0000-0000-0000CB530000}"/>
    <cellStyle name="Normal 2 2 2 5 2 9 3 2" xfId="21452" xr:uid="{00000000-0005-0000-0000-0000CC530000}"/>
    <cellStyle name="Normal 2 2 2 5 2 9 3 3" xfId="21453" xr:uid="{00000000-0005-0000-0000-0000CD530000}"/>
    <cellStyle name="Normal 2 2 2 5 2 9 3 4" xfId="21454" xr:uid="{00000000-0005-0000-0000-0000CE530000}"/>
    <cellStyle name="Normal 2 2 2 5 2 9 3 5" xfId="21455" xr:uid="{00000000-0005-0000-0000-0000CF530000}"/>
    <cellStyle name="Normal 2 2 2 5 2 9 3 6" xfId="21456" xr:uid="{00000000-0005-0000-0000-0000D0530000}"/>
    <cellStyle name="Normal 2 2 2 5 2 9 3 7" xfId="21457" xr:uid="{00000000-0005-0000-0000-0000D1530000}"/>
    <cellStyle name="Normal 2 2 2 5 2 9 3 8" xfId="21458" xr:uid="{00000000-0005-0000-0000-0000D2530000}"/>
    <cellStyle name="Normal 2 2 2 5 2 9 3 9" xfId="21459" xr:uid="{00000000-0005-0000-0000-0000D3530000}"/>
    <cellStyle name="Normal 2 2 2 5 2 9 4" xfId="21460" xr:uid="{00000000-0005-0000-0000-0000D4530000}"/>
    <cellStyle name="Normal 2 2 2 5 2 9 4 10" xfId="21461" xr:uid="{00000000-0005-0000-0000-0000D5530000}"/>
    <cellStyle name="Normal 2 2 2 5 2 9 4 2" xfId="21462" xr:uid="{00000000-0005-0000-0000-0000D6530000}"/>
    <cellStyle name="Normal 2 2 2 5 2 9 4 3" xfId="21463" xr:uid="{00000000-0005-0000-0000-0000D7530000}"/>
    <cellStyle name="Normal 2 2 2 5 2 9 4 4" xfId="21464" xr:uid="{00000000-0005-0000-0000-0000D8530000}"/>
    <cellStyle name="Normal 2 2 2 5 2 9 4 5" xfId="21465" xr:uid="{00000000-0005-0000-0000-0000D9530000}"/>
    <cellStyle name="Normal 2 2 2 5 2 9 4 6" xfId="21466" xr:uid="{00000000-0005-0000-0000-0000DA530000}"/>
    <cellStyle name="Normal 2 2 2 5 2 9 4 7" xfId="21467" xr:uid="{00000000-0005-0000-0000-0000DB530000}"/>
    <cellStyle name="Normal 2 2 2 5 2 9 4 8" xfId="21468" xr:uid="{00000000-0005-0000-0000-0000DC530000}"/>
    <cellStyle name="Normal 2 2 2 5 2 9 4 9" xfId="21469" xr:uid="{00000000-0005-0000-0000-0000DD530000}"/>
    <cellStyle name="Normal 2 2 2 5 2 9 5" xfId="21470" xr:uid="{00000000-0005-0000-0000-0000DE530000}"/>
    <cellStyle name="Normal 2 2 2 5 2 9 5 10" xfId="21471" xr:uid="{00000000-0005-0000-0000-0000DF530000}"/>
    <cellStyle name="Normal 2 2 2 5 2 9 5 2" xfId="21472" xr:uid="{00000000-0005-0000-0000-0000E0530000}"/>
    <cellStyle name="Normal 2 2 2 5 2 9 5 3" xfId="21473" xr:uid="{00000000-0005-0000-0000-0000E1530000}"/>
    <cellStyle name="Normal 2 2 2 5 2 9 5 4" xfId="21474" xr:uid="{00000000-0005-0000-0000-0000E2530000}"/>
    <cellStyle name="Normal 2 2 2 5 2 9 5 5" xfId="21475" xr:uid="{00000000-0005-0000-0000-0000E3530000}"/>
    <cellStyle name="Normal 2 2 2 5 2 9 5 6" xfId="21476" xr:uid="{00000000-0005-0000-0000-0000E4530000}"/>
    <cellStyle name="Normal 2 2 2 5 2 9 5 7" xfId="21477" xr:uid="{00000000-0005-0000-0000-0000E5530000}"/>
    <cellStyle name="Normal 2 2 2 5 2 9 5 8" xfId="21478" xr:uid="{00000000-0005-0000-0000-0000E6530000}"/>
    <cellStyle name="Normal 2 2 2 5 2 9 5 9" xfId="21479" xr:uid="{00000000-0005-0000-0000-0000E7530000}"/>
    <cellStyle name="Normal 2 2 2 5 2 9 6" xfId="21480" xr:uid="{00000000-0005-0000-0000-0000E8530000}"/>
    <cellStyle name="Normal 2 2 2 5 2 9 7" xfId="21481" xr:uid="{00000000-0005-0000-0000-0000E9530000}"/>
    <cellStyle name="Normal 2 2 2 5 2 9 8" xfId="21482" xr:uid="{00000000-0005-0000-0000-0000EA530000}"/>
    <cellStyle name="Normal 2 2 2 5 2 9 9" xfId="21483" xr:uid="{00000000-0005-0000-0000-0000EB530000}"/>
    <cellStyle name="Normal 2 2 2 5 20" xfId="21484" xr:uid="{00000000-0005-0000-0000-0000EC530000}"/>
    <cellStyle name="Normal 2 2 2 5 21" xfId="21485" xr:uid="{00000000-0005-0000-0000-0000ED530000}"/>
    <cellStyle name="Normal 2 2 2 5 21 10" xfId="21486" xr:uid="{00000000-0005-0000-0000-0000EE530000}"/>
    <cellStyle name="Normal 2 2 2 5 21 2" xfId="21487" xr:uid="{00000000-0005-0000-0000-0000EF530000}"/>
    <cellStyle name="Normal 2 2 2 5 21 3" xfId="21488" xr:uid="{00000000-0005-0000-0000-0000F0530000}"/>
    <cellStyle name="Normal 2 2 2 5 21 4" xfId="21489" xr:uid="{00000000-0005-0000-0000-0000F1530000}"/>
    <cellStyle name="Normal 2 2 2 5 21 5" xfId="21490" xr:uid="{00000000-0005-0000-0000-0000F2530000}"/>
    <cellStyle name="Normal 2 2 2 5 21 6" xfId="21491" xr:uid="{00000000-0005-0000-0000-0000F3530000}"/>
    <cellStyle name="Normal 2 2 2 5 21 7" xfId="21492" xr:uid="{00000000-0005-0000-0000-0000F4530000}"/>
    <cellStyle name="Normal 2 2 2 5 21 8" xfId="21493" xr:uid="{00000000-0005-0000-0000-0000F5530000}"/>
    <cellStyle name="Normal 2 2 2 5 21 9" xfId="21494" xr:uid="{00000000-0005-0000-0000-0000F6530000}"/>
    <cellStyle name="Normal 2 2 2 5 22" xfId="21495" xr:uid="{00000000-0005-0000-0000-0000F7530000}"/>
    <cellStyle name="Normal 2 2 2 5 22 10" xfId="21496" xr:uid="{00000000-0005-0000-0000-0000F8530000}"/>
    <cellStyle name="Normal 2 2 2 5 22 2" xfId="21497" xr:uid="{00000000-0005-0000-0000-0000F9530000}"/>
    <cellStyle name="Normal 2 2 2 5 22 3" xfId="21498" xr:uid="{00000000-0005-0000-0000-0000FA530000}"/>
    <cellStyle name="Normal 2 2 2 5 22 4" xfId="21499" xr:uid="{00000000-0005-0000-0000-0000FB530000}"/>
    <cellStyle name="Normal 2 2 2 5 22 5" xfId="21500" xr:uid="{00000000-0005-0000-0000-0000FC530000}"/>
    <cellStyle name="Normal 2 2 2 5 22 6" xfId="21501" xr:uid="{00000000-0005-0000-0000-0000FD530000}"/>
    <cellStyle name="Normal 2 2 2 5 22 7" xfId="21502" xr:uid="{00000000-0005-0000-0000-0000FE530000}"/>
    <cellStyle name="Normal 2 2 2 5 22 8" xfId="21503" xr:uid="{00000000-0005-0000-0000-0000FF530000}"/>
    <cellStyle name="Normal 2 2 2 5 22 9" xfId="21504" xr:uid="{00000000-0005-0000-0000-000000540000}"/>
    <cellStyle name="Normal 2 2 2 5 23" xfId="21505" xr:uid="{00000000-0005-0000-0000-000001540000}"/>
    <cellStyle name="Normal 2 2 2 5 23 10" xfId="21506" xr:uid="{00000000-0005-0000-0000-000002540000}"/>
    <cellStyle name="Normal 2 2 2 5 23 2" xfId="21507" xr:uid="{00000000-0005-0000-0000-000003540000}"/>
    <cellStyle name="Normal 2 2 2 5 23 3" xfId="21508" xr:uid="{00000000-0005-0000-0000-000004540000}"/>
    <cellStyle name="Normal 2 2 2 5 23 4" xfId="21509" xr:uid="{00000000-0005-0000-0000-000005540000}"/>
    <cellStyle name="Normal 2 2 2 5 23 5" xfId="21510" xr:uid="{00000000-0005-0000-0000-000006540000}"/>
    <cellStyle name="Normal 2 2 2 5 23 6" xfId="21511" xr:uid="{00000000-0005-0000-0000-000007540000}"/>
    <cellStyle name="Normal 2 2 2 5 23 7" xfId="21512" xr:uid="{00000000-0005-0000-0000-000008540000}"/>
    <cellStyle name="Normal 2 2 2 5 23 8" xfId="21513" xr:uid="{00000000-0005-0000-0000-000009540000}"/>
    <cellStyle name="Normal 2 2 2 5 23 9" xfId="21514" xr:uid="{00000000-0005-0000-0000-00000A540000}"/>
    <cellStyle name="Normal 2 2 2 5 24" xfId="21515" xr:uid="{00000000-0005-0000-0000-00000B540000}"/>
    <cellStyle name="Normal 2 2 2 5 24 10" xfId="21516" xr:uid="{00000000-0005-0000-0000-00000C540000}"/>
    <cellStyle name="Normal 2 2 2 5 24 2" xfId="21517" xr:uid="{00000000-0005-0000-0000-00000D540000}"/>
    <cellStyle name="Normal 2 2 2 5 24 3" xfId="21518" xr:uid="{00000000-0005-0000-0000-00000E540000}"/>
    <cellStyle name="Normal 2 2 2 5 24 4" xfId="21519" xr:uid="{00000000-0005-0000-0000-00000F540000}"/>
    <cellStyle name="Normal 2 2 2 5 24 5" xfId="21520" xr:uid="{00000000-0005-0000-0000-000010540000}"/>
    <cellStyle name="Normal 2 2 2 5 24 6" xfId="21521" xr:uid="{00000000-0005-0000-0000-000011540000}"/>
    <cellStyle name="Normal 2 2 2 5 24 7" xfId="21522" xr:uid="{00000000-0005-0000-0000-000012540000}"/>
    <cellStyle name="Normal 2 2 2 5 24 8" xfId="21523" xr:uid="{00000000-0005-0000-0000-000013540000}"/>
    <cellStyle name="Normal 2 2 2 5 24 9" xfId="21524" xr:uid="{00000000-0005-0000-0000-000014540000}"/>
    <cellStyle name="Normal 2 2 2 5 25" xfId="21525" xr:uid="{00000000-0005-0000-0000-000015540000}"/>
    <cellStyle name="Normal 2 2 2 5 26" xfId="21526" xr:uid="{00000000-0005-0000-0000-000016540000}"/>
    <cellStyle name="Normal 2 2 2 5 27" xfId="21527" xr:uid="{00000000-0005-0000-0000-000017540000}"/>
    <cellStyle name="Normal 2 2 2 5 28" xfId="21528" xr:uid="{00000000-0005-0000-0000-000018540000}"/>
    <cellStyle name="Normal 2 2 2 5 29" xfId="21529" xr:uid="{00000000-0005-0000-0000-000019540000}"/>
    <cellStyle name="Normal 2 2 2 5 3" xfId="21530" xr:uid="{00000000-0005-0000-0000-00001A540000}"/>
    <cellStyle name="Normal 2 2 2 5 30" xfId="21531" xr:uid="{00000000-0005-0000-0000-00001B540000}"/>
    <cellStyle name="Normal 2 2 2 5 31" xfId="21532" xr:uid="{00000000-0005-0000-0000-00001C540000}"/>
    <cellStyle name="Normal 2 2 2 5 32" xfId="21533" xr:uid="{00000000-0005-0000-0000-00001D540000}"/>
    <cellStyle name="Normal 2 2 2 5 33" xfId="21534" xr:uid="{00000000-0005-0000-0000-00001E540000}"/>
    <cellStyle name="Normal 2 2 2 5 34" xfId="21535" xr:uid="{00000000-0005-0000-0000-00001F540000}"/>
    <cellStyle name="Normal 2 2 2 5 35" xfId="21536" xr:uid="{00000000-0005-0000-0000-000020540000}"/>
    <cellStyle name="Normal 2 2 2 5 4" xfId="21537" xr:uid="{00000000-0005-0000-0000-000021540000}"/>
    <cellStyle name="Normal 2 2 2 5 5" xfId="21538" xr:uid="{00000000-0005-0000-0000-000022540000}"/>
    <cellStyle name="Normal 2 2 2 5 6" xfId="21539" xr:uid="{00000000-0005-0000-0000-000023540000}"/>
    <cellStyle name="Normal 2 2 2 5 7" xfId="21540" xr:uid="{00000000-0005-0000-0000-000024540000}"/>
    <cellStyle name="Normal 2 2 2 5 8" xfId="21541" xr:uid="{00000000-0005-0000-0000-000025540000}"/>
    <cellStyle name="Normal 2 2 2 5 9" xfId="21542" xr:uid="{00000000-0005-0000-0000-000026540000}"/>
    <cellStyle name="Normal 2 2 2 50" xfId="21543" xr:uid="{00000000-0005-0000-0000-000027540000}"/>
    <cellStyle name="Normal 2 2 2 51" xfId="21544" xr:uid="{00000000-0005-0000-0000-000028540000}"/>
    <cellStyle name="Normal 2 2 2 6" xfId="21545" xr:uid="{00000000-0005-0000-0000-000029540000}"/>
    <cellStyle name="Normal 2 2 2 6 10" xfId="21546" xr:uid="{00000000-0005-0000-0000-00002A540000}"/>
    <cellStyle name="Normal 2 2 2 6 11" xfId="21547" xr:uid="{00000000-0005-0000-0000-00002B540000}"/>
    <cellStyle name="Normal 2 2 2 6 12" xfId="21548" xr:uid="{00000000-0005-0000-0000-00002C540000}"/>
    <cellStyle name="Normal 2 2 2 6 13" xfId="21549" xr:uid="{00000000-0005-0000-0000-00002D540000}"/>
    <cellStyle name="Normal 2 2 2 6 14" xfId="21550" xr:uid="{00000000-0005-0000-0000-00002E540000}"/>
    <cellStyle name="Normal 2 2 2 6 15" xfId="21551" xr:uid="{00000000-0005-0000-0000-00002F540000}"/>
    <cellStyle name="Normal 2 2 2 6 16" xfId="21552" xr:uid="{00000000-0005-0000-0000-000030540000}"/>
    <cellStyle name="Normal 2 2 2 6 2" xfId="21553" xr:uid="{00000000-0005-0000-0000-000031540000}"/>
    <cellStyle name="Normal 2 2 2 6 2 10" xfId="21554" xr:uid="{00000000-0005-0000-0000-000032540000}"/>
    <cellStyle name="Normal 2 2 2 6 2 2" xfId="21555" xr:uid="{00000000-0005-0000-0000-000033540000}"/>
    <cellStyle name="Normal 2 2 2 6 2 3" xfId="21556" xr:uid="{00000000-0005-0000-0000-000034540000}"/>
    <cellStyle name="Normal 2 2 2 6 2 4" xfId="21557" xr:uid="{00000000-0005-0000-0000-000035540000}"/>
    <cellStyle name="Normal 2 2 2 6 2 5" xfId="21558" xr:uid="{00000000-0005-0000-0000-000036540000}"/>
    <cellStyle name="Normal 2 2 2 6 2 6" xfId="21559" xr:uid="{00000000-0005-0000-0000-000037540000}"/>
    <cellStyle name="Normal 2 2 2 6 2 7" xfId="21560" xr:uid="{00000000-0005-0000-0000-000038540000}"/>
    <cellStyle name="Normal 2 2 2 6 2 8" xfId="21561" xr:uid="{00000000-0005-0000-0000-000039540000}"/>
    <cellStyle name="Normal 2 2 2 6 2 9" xfId="21562" xr:uid="{00000000-0005-0000-0000-00003A540000}"/>
    <cellStyle name="Normal 2 2 2 6 3" xfId="21563" xr:uid="{00000000-0005-0000-0000-00003B540000}"/>
    <cellStyle name="Normal 2 2 2 6 3 10" xfId="21564" xr:uid="{00000000-0005-0000-0000-00003C540000}"/>
    <cellStyle name="Normal 2 2 2 6 3 2" xfId="21565" xr:uid="{00000000-0005-0000-0000-00003D540000}"/>
    <cellStyle name="Normal 2 2 2 6 3 3" xfId="21566" xr:uid="{00000000-0005-0000-0000-00003E540000}"/>
    <cellStyle name="Normal 2 2 2 6 3 4" xfId="21567" xr:uid="{00000000-0005-0000-0000-00003F540000}"/>
    <cellStyle name="Normal 2 2 2 6 3 5" xfId="21568" xr:uid="{00000000-0005-0000-0000-000040540000}"/>
    <cellStyle name="Normal 2 2 2 6 3 6" xfId="21569" xr:uid="{00000000-0005-0000-0000-000041540000}"/>
    <cellStyle name="Normal 2 2 2 6 3 7" xfId="21570" xr:uid="{00000000-0005-0000-0000-000042540000}"/>
    <cellStyle name="Normal 2 2 2 6 3 8" xfId="21571" xr:uid="{00000000-0005-0000-0000-000043540000}"/>
    <cellStyle name="Normal 2 2 2 6 3 9" xfId="21572" xr:uid="{00000000-0005-0000-0000-000044540000}"/>
    <cellStyle name="Normal 2 2 2 6 4" xfId="21573" xr:uid="{00000000-0005-0000-0000-000045540000}"/>
    <cellStyle name="Normal 2 2 2 6 4 10" xfId="21574" xr:uid="{00000000-0005-0000-0000-000046540000}"/>
    <cellStyle name="Normal 2 2 2 6 4 2" xfId="21575" xr:uid="{00000000-0005-0000-0000-000047540000}"/>
    <cellStyle name="Normal 2 2 2 6 4 3" xfId="21576" xr:uid="{00000000-0005-0000-0000-000048540000}"/>
    <cellStyle name="Normal 2 2 2 6 4 4" xfId="21577" xr:uid="{00000000-0005-0000-0000-000049540000}"/>
    <cellStyle name="Normal 2 2 2 6 4 5" xfId="21578" xr:uid="{00000000-0005-0000-0000-00004A540000}"/>
    <cellStyle name="Normal 2 2 2 6 4 6" xfId="21579" xr:uid="{00000000-0005-0000-0000-00004B540000}"/>
    <cellStyle name="Normal 2 2 2 6 4 7" xfId="21580" xr:uid="{00000000-0005-0000-0000-00004C540000}"/>
    <cellStyle name="Normal 2 2 2 6 4 8" xfId="21581" xr:uid="{00000000-0005-0000-0000-00004D540000}"/>
    <cellStyle name="Normal 2 2 2 6 4 9" xfId="21582" xr:uid="{00000000-0005-0000-0000-00004E540000}"/>
    <cellStyle name="Normal 2 2 2 6 5" xfId="21583" xr:uid="{00000000-0005-0000-0000-00004F540000}"/>
    <cellStyle name="Normal 2 2 2 6 5 10" xfId="21584" xr:uid="{00000000-0005-0000-0000-000050540000}"/>
    <cellStyle name="Normal 2 2 2 6 5 2" xfId="21585" xr:uid="{00000000-0005-0000-0000-000051540000}"/>
    <cellStyle name="Normal 2 2 2 6 5 3" xfId="21586" xr:uid="{00000000-0005-0000-0000-000052540000}"/>
    <cellStyle name="Normal 2 2 2 6 5 4" xfId="21587" xr:uid="{00000000-0005-0000-0000-000053540000}"/>
    <cellStyle name="Normal 2 2 2 6 5 5" xfId="21588" xr:uid="{00000000-0005-0000-0000-000054540000}"/>
    <cellStyle name="Normal 2 2 2 6 5 6" xfId="21589" xr:uid="{00000000-0005-0000-0000-000055540000}"/>
    <cellStyle name="Normal 2 2 2 6 5 7" xfId="21590" xr:uid="{00000000-0005-0000-0000-000056540000}"/>
    <cellStyle name="Normal 2 2 2 6 5 8" xfId="21591" xr:uid="{00000000-0005-0000-0000-000057540000}"/>
    <cellStyle name="Normal 2 2 2 6 5 9" xfId="21592" xr:uid="{00000000-0005-0000-0000-000058540000}"/>
    <cellStyle name="Normal 2 2 2 6 6" xfId="21593" xr:uid="{00000000-0005-0000-0000-000059540000}"/>
    <cellStyle name="Normal 2 2 2 6 7" xfId="21594" xr:uid="{00000000-0005-0000-0000-00005A540000}"/>
    <cellStyle name="Normal 2 2 2 6 8" xfId="21595" xr:uid="{00000000-0005-0000-0000-00005B540000}"/>
    <cellStyle name="Normal 2 2 2 6 9" xfId="21596" xr:uid="{00000000-0005-0000-0000-00005C540000}"/>
    <cellStyle name="Normal 2 2 2 7" xfId="21597" xr:uid="{00000000-0005-0000-0000-00005D540000}"/>
    <cellStyle name="Normal 2 2 2 7 10" xfId="21598" xr:uid="{00000000-0005-0000-0000-00005E540000}"/>
    <cellStyle name="Normal 2 2 2 7 11" xfId="21599" xr:uid="{00000000-0005-0000-0000-00005F540000}"/>
    <cellStyle name="Normal 2 2 2 7 12" xfId="21600" xr:uid="{00000000-0005-0000-0000-000060540000}"/>
    <cellStyle name="Normal 2 2 2 7 13" xfId="21601" xr:uid="{00000000-0005-0000-0000-000061540000}"/>
    <cellStyle name="Normal 2 2 2 7 14" xfId="21602" xr:uid="{00000000-0005-0000-0000-000062540000}"/>
    <cellStyle name="Normal 2 2 2 7 15" xfId="21603" xr:uid="{00000000-0005-0000-0000-000063540000}"/>
    <cellStyle name="Normal 2 2 2 7 16" xfId="21604" xr:uid="{00000000-0005-0000-0000-000064540000}"/>
    <cellStyle name="Normal 2 2 2 7 2" xfId="21605" xr:uid="{00000000-0005-0000-0000-000065540000}"/>
    <cellStyle name="Normal 2 2 2 7 2 10" xfId="21606" xr:uid="{00000000-0005-0000-0000-000066540000}"/>
    <cellStyle name="Normal 2 2 2 7 2 2" xfId="21607" xr:uid="{00000000-0005-0000-0000-000067540000}"/>
    <cellStyle name="Normal 2 2 2 7 2 3" xfId="21608" xr:uid="{00000000-0005-0000-0000-000068540000}"/>
    <cellStyle name="Normal 2 2 2 7 2 4" xfId="21609" xr:uid="{00000000-0005-0000-0000-000069540000}"/>
    <cellStyle name="Normal 2 2 2 7 2 5" xfId="21610" xr:uid="{00000000-0005-0000-0000-00006A540000}"/>
    <cellStyle name="Normal 2 2 2 7 2 6" xfId="21611" xr:uid="{00000000-0005-0000-0000-00006B540000}"/>
    <cellStyle name="Normal 2 2 2 7 2 7" xfId="21612" xr:uid="{00000000-0005-0000-0000-00006C540000}"/>
    <cellStyle name="Normal 2 2 2 7 2 8" xfId="21613" xr:uid="{00000000-0005-0000-0000-00006D540000}"/>
    <cellStyle name="Normal 2 2 2 7 2 9" xfId="21614" xr:uid="{00000000-0005-0000-0000-00006E540000}"/>
    <cellStyle name="Normal 2 2 2 7 3" xfId="21615" xr:uid="{00000000-0005-0000-0000-00006F540000}"/>
    <cellStyle name="Normal 2 2 2 7 3 10" xfId="21616" xr:uid="{00000000-0005-0000-0000-000070540000}"/>
    <cellStyle name="Normal 2 2 2 7 3 2" xfId="21617" xr:uid="{00000000-0005-0000-0000-000071540000}"/>
    <cellStyle name="Normal 2 2 2 7 3 3" xfId="21618" xr:uid="{00000000-0005-0000-0000-000072540000}"/>
    <cellStyle name="Normal 2 2 2 7 3 4" xfId="21619" xr:uid="{00000000-0005-0000-0000-000073540000}"/>
    <cellStyle name="Normal 2 2 2 7 3 5" xfId="21620" xr:uid="{00000000-0005-0000-0000-000074540000}"/>
    <cellStyle name="Normal 2 2 2 7 3 6" xfId="21621" xr:uid="{00000000-0005-0000-0000-000075540000}"/>
    <cellStyle name="Normal 2 2 2 7 3 7" xfId="21622" xr:uid="{00000000-0005-0000-0000-000076540000}"/>
    <cellStyle name="Normal 2 2 2 7 3 8" xfId="21623" xr:uid="{00000000-0005-0000-0000-000077540000}"/>
    <cellStyle name="Normal 2 2 2 7 3 9" xfId="21624" xr:uid="{00000000-0005-0000-0000-000078540000}"/>
    <cellStyle name="Normal 2 2 2 7 4" xfId="21625" xr:uid="{00000000-0005-0000-0000-000079540000}"/>
    <cellStyle name="Normal 2 2 2 7 4 10" xfId="21626" xr:uid="{00000000-0005-0000-0000-00007A540000}"/>
    <cellStyle name="Normal 2 2 2 7 4 2" xfId="21627" xr:uid="{00000000-0005-0000-0000-00007B540000}"/>
    <cellStyle name="Normal 2 2 2 7 4 3" xfId="21628" xr:uid="{00000000-0005-0000-0000-00007C540000}"/>
    <cellStyle name="Normal 2 2 2 7 4 4" xfId="21629" xr:uid="{00000000-0005-0000-0000-00007D540000}"/>
    <cellStyle name="Normal 2 2 2 7 4 5" xfId="21630" xr:uid="{00000000-0005-0000-0000-00007E540000}"/>
    <cellStyle name="Normal 2 2 2 7 4 6" xfId="21631" xr:uid="{00000000-0005-0000-0000-00007F540000}"/>
    <cellStyle name="Normal 2 2 2 7 4 7" xfId="21632" xr:uid="{00000000-0005-0000-0000-000080540000}"/>
    <cellStyle name="Normal 2 2 2 7 4 8" xfId="21633" xr:uid="{00000000-0005-0000-0000-000081540000}"/>
    <cellStyle name="Normal 2 2 2 7 4 9" xfId="21634" xr:uid="{00000000-0005-0000-0000-000082540000}"/>
    <cellStyle name="Normal 2 2 2 7 5" xfId="21635" xr:uid="{00000000-0005-0000-0000-000083540000}"/>
    <cellStyle name="Normal 2 2 2 7 5 10" xfId="21636" xr:uid="{00000000-0005-0000-0000-000084540000}"/>
    <cellStyle name="Normal 2 2 2 7 5 2" xfId="21637" xr:uid="{00000000-0005-0000-0000-000085540000}"/>
    <cellStyle name="Normal 2 2 2 7 5 3" xfId="21638" xr:uid="{00000000-0005-0000-0000-000086540000}"/>
    <cellStyle name="Normal 2 2 2 7 5 4" xfId="21639" xr:uid="{00000000-0005-0000-0000-000087540000}"/>
    <cellStyle name="Normal 2 2 2 7 5 5" xfId="21640" xr:uid="{00000000-0005-0000-0000-000088540000}"/>
    <cellStyle name="Normal 2 2 2 7 5 6" xfId="21641" xr:uid="{00000000-0005-0000-0000-000089540000}"/>
    <cellStyle name="Normal 2 2 2 7 5 7" xfId="21642" xr:uid="{00000000-0005-0000-0000-00008A540000}"/>
    <cellStyle name="Normal 2 2 2 7 5 8" xfId="21643" xr:uid="{00000000-0005-0000-0000-00008B540000}"/>
    <cellStyle name="Normal 2 2 2 7 5 9" xfId="21644" xr:uid="{00000000-0005-0000-0000-00008C540000}"/>
    <cellStyle name="Normal 2 2 2 7 6" xfId="21645" xr:uid="{00000000-0005-0000-0000-00008D540000}"/>
    <cellStyle name="Normal 2 2 2 7 7" xfId="21646" xr:uid="{00000000-0005-0000-0000-00008E540000}"/>
    <cellStyle name="Normal 2 2 2 7 8" xfId="21647" xr:uid="{00000000-0005-0000-0000-00008F540000}"/>
    <cellStyle name="Normal 2 2 2 7 9" xfId="21648" xr:uid="{00000000-0005-0000-0000-000090540000}"/>
    <cellStyle name="Normal 2 2 2 8" xfId="21649" xr:uid="{00000000-0005-0000-0000-000091540000}"/>
    <cellStyle name="Normal 2 2 2 8 10" xfId="21650" xr:uid="{00000000-0005-0000-0000-000092540000}"/>
    <cellStyle name="Normal 2 2 2 8 11" xfId="21651" xr:uid="{00000000-0005-0000-0000-000093540000}"/>
    <cellStyle name="Normal 2 2 2 8 12" xfId="21652" xr:uid="{00000000-0005-0000-0000-000094540000}"/>
    <cellStyle name="Normal 2 2 2 8 13" xfId="21653" xr:uid="{00000000-0005-0000-0000-000095540000}"/>
    <cellStyle name="Normal 2 2 2 8 14" xfId="21654" xr:uid="{00000000-0005-0000-0000-000096540000}"/>
    <cellStyle name="Normal 2 2 2 8 2" xfId="21655" xr:uid="{00000000-0005-0000-0000-000097540000}"/>
    <cellStyle name="Normal 2 2 2 8 2 10" xfId="21656" xr:uid="{00000000-0005-0000-0000-000098540000}"/>
    <cellStyle name="Normal 2 2 2 8 2 2" xfId="21657" xr:uid="{00000000-0005-0000-0000-000099540000}"/>
    <cellStyle name="Normal 2 2 2 8 2 3" xfId="21658" xr:uid="{00000000-0005-0000-0000-00009A540000}"/>
    <cellStyle name="Normal 2 2 2 8 2 4" xfId="21659" xr:uid="{00000000-0005-0000-0000-00009B540000}"/>
    <cellStyle name="Normal 2 2 2 8 2 5" xfId="21660" xr:uid="{00000000-0005-0000-0000-00009C540000}"/>
    <cellStyle name="Normal 2 2 2 8 2 6" xfId="21661" xr:uid="{00000000-0005-0000-0000-00009D540000}"/>
    <cellStyle name="Normal 2 2 2 8 2 7" xfId="21662" xr:uid="{00000000-0005-0000-0000-00009E540000}"/>
    <cellStyle name="Normal 2 2 2 8 2 8" xfId="21663" xr:uid="{00000000-0005-0000-0000-00009F540000}"/>
    <cellStyle name="Normal 2 2 2 8 2 9" xfId="21664" xr:uid="{00000000-0005-0000-0000-0000A0540000}"/>
    <cellStyle name="Normal 2 2 2 8 3" xfId="21665" xr:uid="{00000000-0005-0000-0000-0000A1540000}"/>
    <cellStyle name="Normal 2 2 2 8 3 10" xfId="21666" xr:uid="{00000000-0005-0000-0000-0000A2540000}"/>
    <cellStyle name="Normal 2 2 2 8 3 2" xfId="21667" xr:uid="{00000000-0005-0000-0000-0000A3540000}"/>
    <cellStyle name="Normal 2 2 2 8 3 3" xfId="21668" xr:uid="{00000000-0005-0000-0000-0000A4540000}"/>
    <cellStyle name="Normal 2 2 2 8 3 4" xfId="21669" xr:uid="{00000000-0005-0000-0000-0000A5540000}"/>
    <cellStyle name="Normal 2 2 2 8 3 5" xfId="21670" xr:uid="{00000000-0005-0000-0000-0000A6540000}"/>
    <cellStyle name="Normal 2 2 2 8 3 6" xfId="21671" xr:uid="{00000000-0005-0000-0000-0000A7540000}"/>
    <cellStyle name="Normal 2 2 2 8 3 7" xfId="21672" xr:uid="{00000000-0005-0000-0000-0000A8540000}"/>
    <cellStyle name="Normal 2 2 2 8 3 8" xfId="21673" xr:uid="{00000000-0005-0000-0000-0000A9540000}"/>
    <cellStyle name="Normal 2 2 2 8 3 9" xfId="21674" xr:uid="{00000000-0005-0000-0000-0000AA540000}"/>
    <cellStyle name="Normal 2 2 2 8 4" xfId="21675" xr:uid="{00000000-0005-0000-0000-0000AB540000}"/>
    <cellStyle name="Normal 2 2 2 8 4 10" xfId="21676" xr:uid="{00000000-0005-0000-0000-0000AC540000}"/>
    <cellStyle name="Normal 2 2 2 8 4 2" xfId="21677" xr:uid="{00000000-0005-0000-0000-0000AD540000}"/>
    <cellStyle name="Normal 2 2 2 8 4 3" xfId="21678" xr:uid="{00000000-0005-0000-0000-0000AE540000}"/>
    <cellStyle name="Normal 2 2 2 8 4 4" xfId="21679" xr:uid="{00000000-0005-0000-0000-0000AF540000}"/>
    <cellStyle name="Normal 2 2 2 8 4 5" xfId="21680" xr:uid="{00000000-0005-0000-0000-0000B0540000}"/>
    <cellStyle name="Normal 2 2 2 8 4 6" xfId="21681" xr:uid="{00000000-0005-0000-0000-0000B1540000}"/>
    <cellStyle name="Normal 2 2 2 8 4 7" xfId="21682" xr:uid="{00000000-0005-0000-0000-0000B2540000}"/>
    <cellStyle name="Normal 2 2 2 8 4 8" xfId="21683" xr:uid="{00000000-0005-0000-0000-0000B3540000}"/>
    <cellStyle name="Normal 2 2 2 8 4 9" xfId="21684" xr:uid="{00000000-0005-0000-0000-0000B4540000}"/>
    <cellStyle name="Normal 2 2 2 8 5" xfId="21685" xr:uid="{00000000-0005-0000-0000-0000B5540000}"/>
    <cellStyle name="Normal 2 2 2 8 5 10" xfId="21686" xr:uid="{00000000-0005-0000-0000-0000B6540000}"/>
    <cellStyle name="Normal 2 2 2 8 5 2" xfId="21687" xr:uid="{00000000-0005-0000-0000-0000B7540000}"/>
    <cellStyle name="Normal 2 2 2 8 5 3" xfId="21688" xr:uid="{00000000-0005-0000-0000-0000B8540000}"/>
    <cellStyle name="Normal 2 2 2 8 5 4" xfId="21689" xr:uid="{00000000-0005-0000-0000-0000B9540000}"/>
    <cellStyle name="Normal 2 2 2 8 5 5" xfId="21690" xr:uid="{00000000-0005-0000-0000-0000BA540000}"/>
    <cellStyle name="Normal 2 2 2 8 5 6" xfId="21691" xr:uid="{00000000-0005-0000-0000-0000BB540000}"/>
    <cellStyle name="Normal 2 2 2 8 5 7" xfId="21692" xr:uid="{00000000-0005-0000-0000-0000BC540000}"/>
    <cellStyle name="Normal 2 2 2 8 5 8" xfId="21693" xr:uid="{00000000-0005-0000-0000-0000BD540000}"/>
    <cellStyle name="Normal 2 2 2 8 5 9" xfId="21694" xr:uid="{00000000-0005-0000-0000-0000BE540000}"/>
    <cellStyle name="Normal 2 2 2 8 6" xfId="21695" xr:uid="{00000000-0005-0000-0000-0000BF540000}"/>
    <cellStyle name="Normal 2 2 2 8 7" xfId="21696" xr:uid="{00000000-0005-0000-0000-0000C0540000}"/>
    <cellStyle name="Normal 2 2 2 8 8" xfId="21697" xr:uid="{00000000-0005-0000-0000-0000C1540000}"/>
    <cellStyle name="Normal 2 2 2 8 9" xfId="21698" xr:uid="{00000000-0005-0000-0000-0000C2540000}"/>
    <cellStyle name="Normal 2 2 2 9" xfId="21699" xr:uid="{00000000-0005-0000-0000-0000C3540000}"/>
    <cellStyle name="Normal 2 2 2 9 10" xfId="21700" xr:uid="{00000000-0005-0000-0000-0000C4540000}"/>
    <cellStyle name="Normal 2 2 2 9 11" xfId="21701" xr:uid="{00000000-0005-0000-0000-0000C5540000}"/>
    <cellStyle name="Normal 2 2 2 9 12" xfId="21702" xr:uid="{00000000-0005-0000-0000-0000C6540000}"/>
    <cellStyle name="Normal 2 2 2 9 13" xfId="21703" xr:uid="{00000000-0005-0000-0000-0000C7540000}"/>
    <cellStyle name="Normal 2 2 2 9 14" xfId="21704" xr:uid="{00000000-0005-0000-0000-0000C8540000}"/>
    <cellStyle name="Normal 2 2 2 9 2" xfId="21705" xr:uid="{00000000-0005-0000-0000-0000C9540000}"/>
    <cellStyle name="Normal 2 2 2 9 2 10" xfId="21706" xr:uid="{00000000-0005-0000-0000-0000CA540000}"/>
    <cellStyle name="Normal 2 2 2 9 2 2" xfId="21707" xr:uid="{00000000-0005-0000-0000-0000CB540000}"/>
    <cellStyle name="Normal 2 2 2 9 2 3" xfId="21708" xr:uid="{00000000-0005-0000-0000-0000CC540000}"/>
    <cellStyle name="Normal 2 2 2 9 2 4" xfId="21709" xr:uid="{00000000-0005-0000-0000-0000CD540000}"/>
    <cellStyle name="Normal 2 2 2 9 2 5" xfId="21710" xr:uid="{00000000-0005-0000-0000-0000CE540000}"/>
    <cellStyle name="Normal 2 2 2 9 2 6" xfId="21711" xr:uid="{00000000-0005-0000-0000-0000CF540000}"/>
    <cellStyle name="Normal 2 2 2 9 2 7" xfId="21712" xr:uid="{00000000-0005-0000-0000-0000D0540000}"/>
    <cellStyle name="Normal 2 2 2 9 2 8" xfId="21713" xr:uid="{00000000-0005-0000-0000-0000D1540000}"/>
    <cellStyle name="Normal 2 2 2 9 2 9" xfId="21714" xr:uid="{00000000-0005-0000-0000-0000D2540000}"/>
    <cellStyle name="Normal 2 2 2 9 3" xfId="21715" xr:uid="{00000000-0005-0000-0000-0000D3540000}"/>
    <cellStyle name="Normal 2 2 2 9 3 10" xfId="21716" xr:uid="{00000000-0005-0000-0000-0000D4540000}"/>
    <cellStyle name="Normal 2 2 2 9 3 2" xfId="21717" xr:uid="{00000000-0005-0000-0000-0000D5540000}"/>
    <cellStyle name="Normal 2 2 2 9 3 3" xfId="21718" xr:uid="{00000000-0005-0000-0000-0000D6540000}"/>
    <cellStyle name="Normal 2 2 2 9 3 4" xfId="21719" xr:uid="{00000000-0005-0000-0000-0000D7540000}"/>
    <cellStyle name="Normal 2 2 2 9 3 5" xfId="21720" xr:uid="{00000000-0005-0000-0000-0000D8540000}"/>
    <cellStyle name="Normal 2 2 2 9 3 6" xfId="21721" xr:uid="{00000000-0005-0000-0000-0000D9540000}"/>
    <cellStyle name="Normal 2 2 2 9 3 7" xfId="21722" xr:uid="{00000000-0005-0000-0000-0000DA540000}"/>
    <cellStyle name="Normal 2 2 2 9 3 8" xfId="21723" xr:uid="{00000000-0005-0000-0000-0000DB540000}"/>
    <cellStyle name="Normal 2 2 2 9 3 9" xfId="21724" xr:uid="{00000000-0005-0000-0000-0000DC540000}"/>
    <cellStyle name="Normal 2 2 2 9 4" xfId="21725" xr:uid="{00000000-0005-0000-0000-0000DD540000}"/>
    <cellStyle name="Normal 2 2 2 9 4 10" xfId="21726" xr:uid="{00000000-0005-0000-0000-0000DE540000}"/>
    <cellStyle name="Normal 2 2 2 9 4 2" xfId="21727" xr:uid="{00000000-0005-0000-0000-0000DF540000}"/>
    <cellStyle name="Normal 2 2 2 9 4 3" xfId="21728" xr:uid="{00000000-0005-0000-0000-0000E0540000}"/>
    <cellStyle name="Normal 2 2 2 9 4 4" xfId="21729" xr:uid="{00000000-0005-0000-0000-0000E1540000}"/>
    <cellStyle name="Normal 2 2 2 9 4 5" xfId="21730" xr:uid="{00000000-0005-0000-0000-0000E2540000}"/>
    <cellStyle name="Normal 2 2 2 9 4 6" xfId="21731" xr:uid="{00000000-0005-0000-0000-0000E3540000}"/>
    <cellStyle name="Normal 2 2 2 9 4 7" xfId="21732" xr:uid="{00000000-0005-0000-0000-0000E4540000}"/>
    <cellStyle name="Normal 2 2 2 9 4 8" xfId="21733" xr:uid="{00000000-0005-0000-0000-0000E5540000}"/>
    <cellStyle name="Normal 2 2 2 9 4 9" xfId="21734" xr:uid="{00000000-0005-0000-0000-0000E6540000}"/>
    <cellStyle name="Normal 2 2 2 9 5" xfId="21735" xr:uid="{00000000-0005-0000-0000-0000E7540000}"/>
    <cellStyle name="Normal 2 2 2 9 5 10" xfId="21736" xr:uid="{00000000-0005-0000-0000-0000E8540000}"/>
    <cellStyle name="Normal 2 2 2 9 5 2" xfId="21737" xr:uid="{00000000-0005-0000-0000-0000E9540000}"/>
    <cellStyle name="Normal 2 2 2 9 5 3" xfId="21738" xr:uid="{00000000-0005-0000-0000-0000EA540000}"/>
    <cellStyle name="Normal 2 2 2 9 5 4" xfId="21739" xr:uid="{00000000-0005-0000-0000-0000EB540000}"/>
    <cellStyle name="Normal 2 2 2 9 5 5" xfId="21740" xr:uid="{00000000-0005-0000-0000-0000EC540000}"/>
    <cellStyle name="Normal 2 2 2 9 5 6" xfId="21741" xr:uid="{00000000-0005-0000-0000-0000ED540000}"/>
    <cellStyle name="Normal 2 2 2 9 5 7" xfId="21742" xr:uid="{00000000-0005-0000-0000-0000EE540000}"/>
    <cellStyle name="Normal 2 2 2 9 5 8" xfId="21743" xr:uid="{00000000-0005-0000-0000-0000EF540000}"/>
    <cellStyle name="Normal 2 2 2 9 5 9" xfId="21744" xr:uid="{00000000-0005-0000-0000-0000F0540000}"/>
    <cellStyle name="Normal 2 2 2 9 6" xfId="21745" xr:uid="{00000000-0005-0000-0000-0000F1540000}"/>
    <cellStyle name="Normal 2 2 2 9 7" xfId="21746" xr:uid="{00000000-0005-0000-0000-0000F2540000}"/>
    <cellStyle name="Normal 2 2 2 9 8" xfId="21747" xr:uid="{00000000-0005-0000-0000-0000F3540000}"/>
    <cellStyle name="Normal 2 2 2 9 9" xfId="21748" xr:uid="{00000000-0005-0000-0000-0000F4540000}"/>
    <cellStyle name="Normal 2 2 20" xfId="21749" xr:uid="{00000000-0005-0000-0000-0000F5540000}"/>
    <cellStyle name="Normal 2 2 21" xfId="21750" xr:uid="{00000000-0005-0000-0000-0000F6540000}"/>
    <cellStyle name="Normal 2 2 22" xfId="21751" xr:uid="{00000000-0005-0000-0000-0000F7540000}"/>
    <cellStyle name="Normal 2 2 23" xfId="21752" xr:uid="{00000000-0005-0000-0000-0000F8540000}"/>
    <cellStyle name="Normal 2 2 24" xfId="21753" xr:uid="{00000000-0005-0000-0000-0000F9540000}"/>
    <cellStyle name="Normal 2 2 25" xfId="21754" xr:uid="{00000000-0005-0000-0000-0000FA540000}"/>
    <cellStyle name="Normal 2 2 26" xfId="21755" xr:uid="{00000000-0005-0000-0000-0000FB540000}"/>
    <cellStyle name="Normal 2 2 27" xfId="21756" xr:uid="{00000000-0005-0000-0000-0000FC540000}"/>
    <cellStyle name="Normal 2 2 28" xfId="21757" xr:uid="{00000000-0005-0000-0000-0000FD540000}"/>
    <cellStyle name="Normal 2 2 29" xfId="21758" xr:uid="{00000000-0005-0000-0000-0000FE540000}"/>
    <cellStyle name="Normal 2 2 3" xfId="25" xr:uid="{00000000-0005-0000-0000-000019000000}"/>
    <cellStyle name="Normal 2 2 3 2" xfId="52" xr:uid="{00000000-0005-0000-0000-000034000000}"/>
    <cellStyle name="Normal 2 2 3 2 2" xfId="21760" xr:uid="{00000000-0005-0000-0000-000000550000}"/>
    <cellStyle name="Normal 2 2 3 3" xfId="21761" xr:uid="{00000000-0005-0000-0000-000001550000}"/>
    <cellStyle name="Normal 2 2 3 4" xfId="21762" xr:uid="{00000000-0005-0000-0000-000002550000}"/>
    <cellStyle name="Normal 2 2 3 5" xfId="21759" xr:uid="{00000000-0005-0000-0000-0000FF540000}"/>
    <cellStyle name="Normal 2 2 30" xfId="21763" xr:uid="{00000000-0005-0000-0000-000003550000}"/>
    <cellStyle name="Normal 2 2 31" xfId="21764" xr:uid="{00000000-0005-0000-0000-000004550000}"/>
    <cellStyle name="Normal 2 2 32" xfId="21765" xr:uid="{00000000-0005-0000-0000-000005550000}"/>
    <cellStyle name="Normal 2 2 33" xfId="21766" xr:uid="{00000000-0005-0000-0000-000006550000}"/>
    <cellStyle name="Normal 2 2 34" xfId="21767" xr:uid="{00000000-0005-0000-0000-000007550000}"/>
    <cellStyle name="Normal 2 2 35" xfId="21768" xr:uid="{00000000-0005-0000-0000-000008550000}"/>
    <cellStyle name="Normal 2 2 36" xfId="21769" xr:uid="{00000000-0005-0000-0000-000009550000}"/>
    <cellStyle name="Normal 2 2 37" xfId="21770" xr:uid="{00000000-0005-0000-0000-00000A550000}"/>
    <cellStyle name="Normal 2 2 38" xfId="21771" xr:uid="{00000000-0005-0000-0000-00000B550000}"/>
    <cellStyle name="Normal 2 2 39" xfId="21772" xr:uid="{00000000-0005-0000-0000-00000C550000}"/>
    <cellStyle name="Normal 2 2 4" xfId="14" xr:uid="{00000000-0005-0000-0000-00000E000000}"/>
    <cellStyle name="Normal 2 2 4 10" xfId="21774" xr:uid="{00000000-0005-0000-0000-00000E550000}"/>
    <cellStyle name="Normal 2 2 4 10 10" xfId="21775" xr:uid="{00000000-0005-0000-0000-00000F550000}"/>
    <cellStyle name="Normal 2 2 4 10 11" xfId="21776" xr:uid="{00000000-0005-0000-0000-000010550000}"/>
    <cellStyle name="Normal 2 2 4 10 12" xfId="21777" xr:uid="{00000000-0005-0000-0000-000011550000}"/>
    <cellStyle name="Normal 2 2 4 10 13" xfId="21778" xr:uid="{00000000-0005-0000-0000-000012550000}"/>
    <cellStyle name="Normal 2 2 4 10 14" xfId="21779" xr:uid="{00000000-0005-0000-0000-000013550000}"/>
    <cellStyle name="Normal 2 2 4 10 2" xfId="21780" xr:uid="{00000000-0005-0000-0000-000014550000}"/>
    <cellStyle name="Normal 2 2 4 10 2 10" xfId="21781" xr:uid="{00000000-0005-0000-0000-000015550000}"/>
    <cellStyle name="Normal 2 2 4 10 2 2" xfId="21782" xr:uid="{00000000-0005-0000-0000-000016550000}"/>
    <cellStyle name="Normal 2 2 4 10 2 3" xfId="21783" xr:uid="{00000000-0005-0000-0000-000017550000}"/>
    <cellStyle name="Normal 2 2 4 10 2 4" xfId="21784" xr:uid="{00000000-0005-0000-0000-000018550000}"/>
    <cellStyle name="Normal 2 2 4 10 2 5" xfId="21785" xr:uid="{00000000-0005-0000-0000-000019550000}"/>
    <cellStyle name="Normal 2 2 4 10 2 6" xfId="21786" xr:uid="{00000000-0005-0000-0000-00001A550000}"/>
    <cellStyle name="Normal 2 2 4 10 2 7" xfId="21787" xr:uid="{00000000-0005-0000-0000-00001B550000}"/>
    <cellStyle name="Normal 2 2 4 10 2 8" xfId="21788" xr:uid="{00000000-0005-0000-0000-00001C550000}"/>
    <cellStyle name="Normal 2 2 4 10 2 9" xfId="21789" xr:uid="{00000000-0005-0000-0000-00001D550000}"/>
    <cellStyle name="Normal 2 2 4 10 3" xfId="21790" xr:uid="{00000000-0005-0000-0000-00001E550000}"/>
    <cellStyle name="Normal 2 2 4 10 3 10" xfId="21791" xr:uid="{00000000-0005-0000-0000-00001F550000}"/>
    <cellStyle name="Normal 2 2 4 10 3 2" xfId="21792" xr:uid="{00000000-0005-0000-0000-000020550000}"/>
    <cellStyle name="Normal 2 2 4 10 3 3" xfId="21793" xr:uid="{00000000-0005-0000-0000-000021550000}"/>
    <cellStyle name="Normal 2 2 4 10 3 4" xfId="21794" xr:uid="{00000000-0005-0000-0000-000022550000}"/>
    <cellStyle name="Normal 2 2 4 10 3 5" xfId="21795" xr:uid="{00000000-0005-0000-0000-000023550000}"/>
    <cellStyle name="Normal 2 2 4 10 3 6" xfId="21796" xr:uid="{00000000-0005-0000-0000-000024550000}"/>
    <cellStyle name="Normal 2 2 4 10 3 7" xfId="21797" xr:uid="{00000000-0005-0000-0000-000025550000}"/>
    <cellStyle name="Normal 2 2 4 10 3 8" xfId="21798" xr:uid="{00000000-0005-0000-0000-000026550000}"/>
    <cellStyle name="Normal 2 2 4 10 3 9" xfId="21799" xr:uid="{00000000-0005-0000-0000-000027550000}"/>
    <cellStyle name="Normal 2 2 4 10 4" xfId="21800" xr:uid="{00000000-0005-0000-0000-000028550000}"/>
    <cellStyle name="Normal 2 2 4 10 4 10" xfId="21801" xr:uid="{00000000-0005-0000-0000-000029550000}"/>
    <cellStyle name="Normal 2 2 4 10 4 2" xfId="21802" xr:uid="{00000000-0005-0000-0000-00002A550000}"/>
    <cellStyle name="Normal 2 2 4 10 4 3" xfId="21803" xr:uid="{00000000-0005-0000-0000-00002B550000}"/>
    <cellStyle name="Normal 2 2 4 10 4 4" xfId="21804" xr:uid="{00000000-0005-0000-0000-00002C550000}"/>
    <cellStyle name="Normal 2 2 4 10 4 5" xfId="21805" xr:uid="{00000000-0005-0000-0000-00002D550000}"/>
    <cellStyle name="Normal 2 2 4 10 4 6" xfId="21806" xr:uid="{00000000-0005-0000-0000-00002E550000}"/>
    <cellStyle name="Normal 2 2 4 10 4 7" xfId="21807" xr:uid="{00000000-0005-0000-0000-00002F550000}"/>
    <cellStyle name="Normal 2 2 4 10 4 8" xfId="21808" xr:uid="{00000000-0005-0000-0000-000030550000}"/>
    <cellStyle name="Normal 2 2 4 10 4 9" xfId="21809" xr:uid="{00000000-0005-0000-0000-000031550000}"/>
    <cellStyle name="Normal 2 2 4 10 5" xfId="21810" xr:uid="{00000000-0005-0000-0000-000032550000}"/>
    <cellStyle name="Normal 2 2 4 10 5 10" xfId="21811" xr:uid="{00000000-0005-0000-0000-000033550000}"/>
    <cellStyle name="Normal 2 2 4 10 5 2" xfId="21812" xr:uid="{00000000-0005-0000-0000-000034550000}"/>
    <cellStyle name="Normal 2 2 4 10 5 3" xfId="21813" xr:uid="{00000000-0005-0000-0000-000035550000}"/>
    <cellStyle name="Normal 2 2 4 10 5 4" xfId="21814" xr:uid="{00000000-0005-0000-0000-000036550000}"/>
    <cellStyle name="Normal 2 2 4 10 5 5" xfId="21815" xr:uid="{00000000-0005-0000-0000-000037550000}"/>
    <cellStyle name="Normal 2 2 4 10 5 6" xfId="21816" xr:uid="{00000000-0005-0000-0000-000038550000}"/>
    <cellStyle name="Normal 2 2 4 10 5 7" xfId="21817" xr:uid="{00000000-0005-0000-0000-000039550000}"/>
    <cellStyle name="Normal 2 2 4 10 5 8" xfId="21818" xr:uid="{00000000-0005-0000-0000-00003A550000}"/>
    <cellStyle name="Normal 2 2 4 10 5 9" xfId="21819" xr:uid="{00000000-0005-0000-0000-00003B550000}"/>
    <cellStyle name="Normal 2 2 4 10 6" xfId="21820" xr:uid="{00000000-0005-0000-0000-00003C550000}"/>
    <cellStyle name="Normal 2 2 4 10 7" xfId="21821" xr:uid="{00000000-0005-0000-0000-00003D550000}"/>
    <cellStyle name="Normal 2 2 4 10 8" xfId="21822" xr:uid="{00000000-0005-0000-0000-00003E550000}"/>
    <cellStyle name="Normal 2 2 4 10 9" xfId="21823" xr:uid="{00000000-0005-0000-0000-00003F550000}"/>
    <cellStyle name="Normal 2 2 4 11" xfId="21824" xr:uid="{00000000-0005-0000-0000-000040550000}"/>
    <cellStyle name="Normal 2 2 4 11 10" xfId="21825" xr:uid="{00000000-0005-0000-0000-000041550000}"/>
    <cellStyle name="Normal 2 2 4 11 11" xfId="21826" xr:uid="{00000000-0005-0000-0000-000042550000}"/>
    <cellStyle name="Normal 2 2 4 11 12" xfId="21827" xr:uid="{00000000-0005-0000-0000-000043550000}"/>
    <cellStyle name="Normal 2 2 4 11 13" xfId="21828" xr:uid="{00000000-0005-0000-0000-000044550000}"/>
    <cellStyle name="Normal 2 2 4 11 14" xfId="21829" xr:uid="{00000000-0005-0000-0000-000045550000}"/>
    <cellStyle name="Normal 2 2 4 11 2" xfId="21830" xr:uid="{00000000-0005-0000-0000-000046550000}"/>
    <cellStyle name="Normal 2 2 4 11 2 10" xfId="21831" xr:uid="{00000000-0005-0000-0000-000047550000}"/>
    <cellStyle name="Normal 2 2 4 11 2 2" xfId="21832" xr:uid="{00000000-0005-0000-0000-000048550000}"/>
    <cellStyle name="Normal 2 2 4 11 2 3" xfId="21833" xr:uid="{00000000-0005-0000-0000-000049550000}"/>
    <cellStyle name="Normal 2 2 4 11 2 4" xfId="21834" xr:uid="{00000000-0005-0000-0000-00004A550000}"/>
    <cellStyle name="Normal 2 2 4 11 2 5" xfId="21835" xr:uid="{00000000-0005-0000-0000-00004B550000}"/>
    <cellStyle name="Normal 2 2 4 11 2 6" xfId="21836" xr:uid="{00000000-0005-0000-0000-00004C550000}"/>
    <cellStyle name="Normal 2 2 4 11 2 7" xfId="21837" xr:uid="{00000000-0005-0000-0000-00004D550000}"/>
    <cellStyle name="Normal 2 2 4 11 2 8" xfId="21838" xr:uid="{00000000-0005-0000-0000-00004E550000}"/>
    <cellStyle name="Normal 2 2 4 11 2 9" xfId="21839" xr:uid="{00000000-0005-0000-0000-00004F550000}"/>
    <cellStyle name="Normal 2 2 4 11 3" xfId="21840" xr:uid="{00000000-0005-0000-0000-000050550000}"/>
    <cellStyle name="Normal 2 2 4 11 3 10" xfId="21841" xr:uid="{00000000-0005-0000-0000-000051550000}"/>
    <cellStyle name="Normal 2 2 4 11 3 2" xfId="21842" xr:uid="{00000000-0005-0000-0000-000052550000}"/>
    <cellStyle name="Normal 2 2 4 11 3 3" xfId="21843" xr:uid="{00000000-0005-0000-0000-000053550000}"/>
    <cellStyle name="Normal 2 2 4 11 3 4" xfId="21844" xr:uid="{00000000-0005-0000-0000-000054550000}"/>
    <cellStyle name="Normal 2 2 4 11 3 5" xfId="21845" xr:uid="{00000000-0005-0000-0000-000055550000}"/>
    <cellStyle name="Normal 2 2 4 11 3 6" xfId="21846" xr:uid="{00000000-0005-0000-0000-000056550000}"/>
    <cellStyle name="Normal 2 2 4 11 3 7" xfId="21847" xr:uid="{00000000-0005-0000-0000-000057550000}"/>
    <cellStyle name="Normal 2 2 4 11 3 8" xfId="21848" xr:uid="{00000000-0005-0000-0000-000058550000}"/>
    <cellStyle name="Normal 2 2 4 11 3 9" xfId="21849" xr:uid="{00000000-0005-0000-0000-000059550000}"/>
    <cellStyle name="Normal 2 2 4 11 4" xfId="21850" xr:uid="{00000000-0005-0000-0000-00005A550000}"/>
    <cellStyle name="Normal 2 2 4 11 4 10" xfId="21851" xr:uid="{00000000-0005-0000-0000-00005B550000}"/>
    <cellStyle name="Normal 2 2 4 11 4 2" xfId="21852" xr:uid="{00000000-0005-0000-0000-00005C550000}"/>
    <cellStyle name="Normal 2 2 4 11 4 3" xfId="21853" xr:uid="{00000000-0005-0000-0000-00005D550000}"/>
    <cellStyle name="Normal 2 2 4 11 4 4" xfId="21854" xr:uid="{00000000-0005-0000-0000-00005E550000}"/>
    <cellStyle name="Normal 2 2 4 11 4 5" xfId="21855" xr:uid="{00000000-0005-0000-0000-00005F550000}"/>
    <cellStyle name="Normal 2 2 4 11 4 6" xfId="21856" xr:uid="{00000000-0005-0000-0000-000060550000}"/>
    <cellStyle name="Normal 2 2 4 11 4 7" xfId="21857" xr:uid="{00000000-0005-0000-0000-000061550000}"/>
    <cellStyle name="Normal 2 2 4 11 4 8" xfId="21858" xr:uid="{00000000-0005-0000-0000-000062550000}"/>
    <cellStyle name="Normal 2 2 4 11 4 9" xfId="21859" xr:uid="{00000000-0005-0000-0000-000063550000}"/>
    <cellStyle name="Normal 2 2 4 11 5" xfId="21860" xr:uid="{00000000-0005-0000-0000-000064550000}"/>
    <cellStyle name="Normal 2 2 4 11 5 10" xfId="21861" xr:uid="{00000000-0005-0000-0000-000065550000}"/>
    <cellStyle name="Normal 2 2 4 11 5 2" xfId="21862" xr:uid="{00000000-0005-0000-0000-000066550000}"/>
    <cellStyle name="Normal 2 2 4 11 5 3" xfId="21863" xr:uid="{00000000-0005-0000-0000-000067550000}"/>
    <cellStyle name="Normal 2 2 4 11 5 4" xfId="21864" xr:uid="{00000000-0005-0000-0000-000068550000}"/>
    <cellStyle name="Normal 2 2 4 11 5 5" xfId="21865" xr:uid="{00000000-0005-0000-0000-000069550000}"/>
    <cellStyle name="Normal 2 2 4 11 5 6" xfId="21866" xr:uid="{00000000-0005-0000-0000-00006A550000}"/>
    <cellStyle name="Normal 2 2 4 11 5 7" xfId="21867" xr:uid="{00000000-0005-0000-0000-00006B550000}"/>
    <cellStyle name="Normal 2 2 4 11 5 8" xfId="21868" xr:uid="{00000000-0005-0000-0000-00006C550000}"/>
    <cellStyle name="Normal 2 2 4 11 5 9" xfId="21869" xr:uid="{00000000-0005-0000-0000-00006D550000}"/>
    <cellStyle name="Normal 2 2 4 11 6" xfId="21870" xr:uid="{00000000-0005-0000-0000-00006E550000}"/>
    <cellStyle name="Normal 2 2 4 11 7" xfId="21871" xr:uid="{00000000-0005-0000-0000-00006F550000}"/>
    <cellStyle name="Normal 2 2 4 11 8" xfId="21872" xr:uid="{00000000-0005-0000-0000-000070550000}"/>
    <cellStyle name="Normal 2 2 4 11 9" xfId="21873" xr:uid="{00000000-0005-0000-0000-000071550000}"/>
    <cellStyle name="Normal 2 2 4 12" xfId="21874" xr:uid="{00000000-0005-0000-0000-000072550000}"/>
    <cellStyle name="Normal 2 2 4 12 10" xfId="21875" xr:uid="{00000000-0005-0000-0000-000073550000}"/>
    <cellStyle name="Normal 2 2 4 12 11" xfId="21876" xr:uid="{00000000-0005-0000-0000-000074550000}"/>
    <cellStyle name="Normal 2 2 4 12 12" xfId="21877" xr:uid="{00000000-0005-0000-0000-000075550000}"/>
    <cellStyle name="Normal 2 2 4 12 13" xfId="21878" xr:uid="{00000000-0005-0000-0000-000076550000}"/>
    <cellStyle name="Normal 2 2 4 12 14" xfId="21879" xr:uid="{00000000-0005-0000-0000-000077550000}"/>
    <cellStyle name="Normal 2 2 4 12 2" xfId="21880" xr:uid="{00000000-0005-0000-0000-000078550000}"/>
    <cellStyle name="Normal 2 2 4 12 2 10" xfId="21881" xr:uid="{00000000-0005-0000-0000-000079550000}"/>
    <cellStyle name="Normal 2 2 4 12 2 2" xfId="21882" xr:uid="{00000000-0005-0000-0000-00007A550000}"/>
    <cellStyle name="Normal 2 2 4 12 2 3" xfId="21883" xr:uid="{00000000-0005-0000-0000-00007B550000}"/>
    <cellStyle name="Normal 2 2 4 12 2 4" xfId="21884" xr:uid="{00000000-0005-0000-0000-00007C550000}"/>
    <cellStyle name="Normal 2 2 4 12 2 5" xfId="21885" xr:uid="{00000000-0005-0000-0000-00007D550000}"/>
    <cellStyle name="Normal 2 2 4 12 2 6" xfId="21886" xr:uid="{00000000-0005-0000-0000-00007E550000}"/>
    <cellStyle name="Normal 2 2 4 12 2 7" xfId="21887" xr:uid="{00000000-0005-0000-0000-00007F550000}"/>
    <cellStyle name="Normal 2 2 4 12 2 8" xfId="21888" xr:uid="{00000000-0005-0000-0000-000080550000}"/>
    <cellStyle name="Normal 2 2 4 12 2 9" xfId="21889" xr:uid="{00000000-0005-0000-0000-000081550000}"/>
    <cellStyle name="Normal 2 2 4 12 3" xfId="21890" xr:uid="{00000000-0005-0000-0000-000082550000}"/>
    <cellStyle name="Normal 2 2 4 12 3 10" xfId="21891" xr:uid="{00000000-0005-0000-0000-000083550000}"/>
    <cellStyle name="Normal 2 2 4 12 3 2" xfId="21892" xr:uid="{00000000-0005-0000-0000-000084550000}"/>
    <cellStyle name="Normal 2 2 4 12 3 3" xfId="21893" xr:uid="{00000000-0005-0000-0000-000085550000}"/>
    <cellStyle name="Normal 2 2 4 12 3 4" xfId="21894" xr:uid="{00000000-0005-0000-0000-000086550000}"/>
    <cellStyle name="Normal 2 2 4 12 3 5" xfId="21895" xr:uid="{00000000-0005-0000-0000-000087550000}"/>
    <cellStyle name="Normal 2 2 4 12 3 6" xfId="21896" xr:uid="{00000000-0005-0000-0000-000088550000}"/>
    <cellStyle name="Normal 2 2 4 12 3 7" xfId="21897" xr:uid="{00000000-0005-0000-0000-000089550000}"/>
    <cellStyle name="Normal 2 2 4 12 3 8" xfId="21898" xr:uid="{00000000-0005-0000-0000-00008A550000}"/>
    <cellStyle name="Normal 2 2 4 12 3 9" xfId="21899" xr:uid="{00000000-0005-0000-0000-00008B550000}"/>
    <cellStyle name="Normal 2 2 4 12 4" xfId="21900" xr:uid="{00000000-0005-0000-0000-00008C550000}"/>
    <cellStyle name="Normal 2 2 4 12 4 10" xfId="21901" xr:uid="{00000000-0005-0000-0000-00008D550000}"/>
    <cellStyle name="Normal 2 2 4 12 4 2" xfId="21902" xr:uid="{00000000-0005-0000-0000-00008E550000}"/>
    <cellStyle name="Normal 2 2 4 12 4 3" xfId="21903" xr:uid="{00000000-0005-0000-0000-00008F550000}"/>
    <cellStyle name="Normal 2 2 4 12 4 4" xfId="21904" xr:uid="{00000000-0005-0000-0000-000090550000}"/>
    <cellStyle name="Normal 2 2 4 12 4 5" xfId="21905" xr:uid="{00000000-0005-0000-0000-000091550000}"/>
    <cellStyle name="Normal 2 2 4 12 4 6" xfId="21906" xr:uid="{00000000-0005-0000-0000-000092550000}"/>
    <cellStyle name="Normal 2 2 4 12 4 7" xfId="21907" xr:uid="{00000000-0005-0000-0000-000093550000}"/>
    <cellStyle name="Normal 2 2 4 12 4 8" xfId="21908" xr:uid="{00000000-0005-0000-0000-000094550000}"/>
    <cellStyle name="Normal 2 2 4 12 4 9" xfId="21909" xr:uid="{00000000-0005-0000-0000-000095550000}"/>
    <cellStyle name="Normal 2 2 4 12 5" xfId="21910" xr:uid="{00000000-0005-0000-0000-000096550000}"/>
    <cellStyle name="Normal 2 2 4 12 5 10" xfId="21911" xr:uid="{00000000-0005-0000-0000-000097550000}"/>
    <cellStyle name="Normal 2 2 4 12 5 2" xfId="21912" xr:uid="{00000000-0005-0000-0000-000098550000}"/>
    <cellStyle name="Normal 2 2 4 12 5 3" xfId="21913" xr:uid="{00000000-0005-0000-0000-000099550000}"/>
    <cellStyle name="Normal 2 2 4 12 5 4" xfId="21914" xr:uid="{00000000-0005-0000-0000-00009A550000}"/>
    <cellStyle name="Normal 2 2 4 12 5 5" xfId="21915" xr:uid="{00000000-0005-0000-0000-00009B550000}"/>
    <cellStyle name="Normal 2 2 4 12 5 6" xfId="21916" xr:uid="{00000000-0005-0000-0000-00009C550000}"/>
    <cellStyle name="Normal 2 2 4 12 5 7" xfId="21917" xr:uid="{00000000-0005-0000-0000-00009D550000}"/>
    <cellStyle name="Normal 2 2 4 12 5 8" xfId="21918" xr:uid="{00000000-0005-0000-0000-00009E550000}"/>
    <cellStyle name="Normal 2 2 4 12 5 9" xfId="21919" xr:uid="{00000000-0005-0000-0000-00009F550000}"/>
    <cellStyle name="Normal 2 2 4 12 6" xfId="21920" xr:uid="{00000000-0005-0000-0000-0000A0550000}"/>
    <cellStyle name="Normal 2 2 4 12 7" xfId="21921" xr:uid="{00000000-0005-0000-0000-0000A1550000}"/>
    <cellStyle name="Normal 2 2 4 12 8" xfId="21922" xr:uid="{00000000-0005-0000-0000-0000A2550000}"/>
    <cellStyle name="Normal 2 2 4 12 9" xfId="21923" xr:uid="{00000000-0005-0000-0000-0000A3550000}"/>
    <cellStyle name="Normal 2 2 4 13" xfId="21924" xr:uid="{00000000-0005-0000-0000-0000A4550000}"/>
    <cellStyle name="Normal 2 2 4 13 10" xfId="21925" xr:uid="{00000000-0005-0000-0000-0000A5550000}"/>
    <cellStyle name="Normal 2 2 4 13 11" xfId="21926" xr:uid="{00000000-0005-0000-0000-0000A6550000}"/>
    <cellStyle name="Normal 2 2 4 13 12" xfId="21927" xr:uid="{00000000-0005-0000-0000-0000A7550000}"/>
    <cellStyle name="Normal 2 2 4 13 13" xfId="21928" xr:uid="{00000000-0005-0000-0000-0000A8550000}"/>
    <cellStyle name="Normal 2 2 4 13 14" xfId="21929" xr:uid="{00000000-0005-0000-0000-0000A9550000}"/>
    <cellStyle name="Normal 2 2 4 13 2" xfId="21930" xr:uid="{00000000-0005-0000-0000-0000AA550000}"/>
    <cellStyle name="Normal 2 2 4 13 2 10" xfId="21931" xr:uid="{00000000-0005-0000-0000-0000AB550000}"/>
    <cellStyle name="Normal 2 2 4 13 2 2" xfId="21932" xr:uid="{00000000-0005-0000-0000-0000AC550000}"/>
    <cellStyle name="Normal 2 2 4 13 2 3" xfId="21933" xr:uid="{00000000-0005-0000-0000-0000AD550000}"/>
    <cellStyle name="Normal 2 2 4 13 2 4" xfId="21934" xr:uid="{00000000-0005-0000-0000-0000AE550000}"/>
    <cellStyle name="Normal 2 2 4 13 2 5" xfId="21935" xr:uid="{00000000-0005-0000-0000-0000AF550000}"/>
    <cellStyle name="Normal 2 2 4 13 2 6" xfId="21936" xr:uid="{00000000-0005-0000-0000-0000B0550000}"/>
    <cellStyle name="Normal 2 2 4 13 2 7" xfId="21937" xr:uid="{00000000-0005-0000-0000-0000B1550000}"/>
    <cellStyle name="Normal 2 2 4 13 2 8" xfId="21938" xr:uid="{00000000-0005-0000-0000-0000B2550000}"/>
    <cellStyle name="Normal 2 2 4 13 2 9" xfId="21939" xr:uid="{00000000-0005-0000-0000-0000B3550000}"/>
    <cellStyle name="Normal 2 2 4 13 3" xfId="21940" xr:uid="{00000000-0005-0000-0000-0000B4550000}"/>
    <cellStyle name="Normal 2 2 4 13 3 10" xfId="21941" xr:uid="{00000000-0005-0000-0000-0000B5550000}"/>
    <cellStyle name="Normal 2 2 4 13 3 2" xfId="21942" xr:uid="{00000000-0005-0000-0000-0000B6550000}"/>
    <cellStyle name="Normal 2 2 4 13 3 3" xfId="21943" xr:uid="{00000000-0005-0000-0000-0000B7550000}"/>
    <cellStyle name="Normal 2 2 4 13 3 4" xfId="21944" xr:uid="{00000000-0005-0000-0000-0000B8550000}"/>
    <cellStyle name="Normal 2 2 4 13 3 5" xfId="21945" xr:uid="{00000000-0005-0000-0000-0000B9550000}"/>
    <cellStyle name="Normal 2 2 4 13 3 6" xfId="21946" xr:uid="{00000000-0005-0000-0000-0000BA550000}"/>
    <cellStyle name="Normal 2 2 4 13 3 7" xfId="21947" xr:uid="{00000000-0005-0000-0000-0000BB550000}"/>
    <cellStyle name="Normal 2 2 4 13 3 8" xfId="21948" xr:uid="{00000000-0005-0000-0000-0000BC550000}"/>
    <cellStyle name="Normal 2 2 4 13 3 9" xfId="21949" xr:uid="{00000000-0005-0000-0000-0000BD550000}"/>
    <cellStyle name="Normal 2 2 4 13 4" xfId="21950" xr:uid="{00000000-0005-0000-0000-0000BE550000}"/>
    <cellStyle name="Normal 2 2 4 13 4 10" xfId="21951" xr:uid="{00000000-0005-0000-0000-0000BF550000}"/>
    <cellStyle name="Normal 2 2 4 13 4 2" xfId="21952" xr:uid="{00000000-0005-0000-0000-0000C0550000}"/>
    <cellStyle name="Normal 2 2 4 13 4 3" xfId="21953" xr:uid="{00000000-0005-0000-0000-0000C1550000}"/>
    <cellStyle name="Normal 2 2 4 13 4 4" xfId="21954" xr:uid="{00000000-0005-0000-0000-0000C2550000}"/>
    <cellStyle name="Normal 2 2 4 13 4 5" xfId="21955" xr:uid="{00000000-0005-0000-0000-0000C3550000}"/>
    <cellStyle name="Normal 2 2 4 13 4 6" xfId="21956" xr:uid="{00000000-0005-0000-0000-0000C4550000}"/>
    <cellStyle name="Normal 2 2 4 13 4 7" xfId="21957" xr:uid="{00000000-0005-0000-0000-0000C5550000}"/>
    <cellStyle name="Normal 2 2 4 13 4 8" xfId="21958" xr:uid="{00000000-0005-0000-0000-0000C6550000}"/>
    <cellStyle name="Normal 2 2 4 13 4 9" xfId="21959" xr:uid="{00000000-0005-0000-0000-0000C7550000}"/>
    <cellStyle name="Normal 2 2 4 13 5" xfId="21960" xr:uid="{00000000-0005-0000-0000-0000C8550000}"/>
    <cellStyle name="Normal 2 2 4 13 5 10" xfId="21961" xr:uid="{00000000-0005-0000-0000-0000C9550000}"/>
    <cellStyle name="Normal 2 2 4 13 5 2" xfId="21962" xr:uid="{00000000-0005-0000-0000-0000CA550000}"/>
    <cellStyle name="Normal 2 2 4 13 5 3" xfId="21963" xr:uid="{00000000-0005-0000-0000-0000CB550000}"/>
    <cellStyle name="Normal 2 2 4 13 5 4" xfId="21964" xr:uid="{00000000-0005-0000-0000-0000CC550000}"/>
    <cellStyle name="Normal 2 2 4 13 5 5" xfId="21965" xr:uid="{00000000-0005-0000-0000-0000CD550000}"/>
    <cellStyle name="Normal 2 2 4 13 5 6" xfId="21966" xr:uid="{00000000-0005-0000-0000-0000CE550000}"/>
    <cellStyle name="Normal 2 2 4 13 5 7" xfId="21967" xr:uid="{00000000-0005-0000-0000-0000CF550000}"/>
    <cellStyle name="Normal 2 2 4 13 5 8" xfId="21968" xr:uid="{00000000-0005-0000-0000-0000D0550000}"/>
    <cellStyle name="Normal 2 2 4 13 5 9" xfId="21969" xr:uid="{00000000-0005-0000-0000-0000D1550000}"/>
    <cellStyle name="Normal 2 2 4 13 6" xfId="21970" xr:uid="{00000000-0005-0000-0000-0000D2550000}"/>
    <cellStyle name="Normal 2 2 4 13 7" xfId="21971" xr:uid="{00000000-0005-0000-0000-0000D3550000}"/>
    <cellStyle name="Normal 2 2 4 13 8" xfId="21972" xr:uid="{00000000-0005-0000-0000-0000D4550000}"/>
    <cellStyle name="Normal 2 2 4 13 9" xfId="21973" xr:uid="{00000000-0005-0000-0000-0000D5550000}"/>
    <cellStyle name="Normal 2 2 4 14" xfId="21974" xr:uid="{00000000-0005-0000-0000-0000D6550000}"/>
    <cellStyle name="Normal 2 2 4 14 10" xfId="21975" xr:uid="{00000000-0005-0000-0000-0000D7550000}"/>
    <cellStyle name="Normal 2 2 4 14 11" xfId="21976" xr:uid="{00000000-0005-0000-0000-0000D8550000}"/>
    <cellStyle name="Normal 2 2 4 14 12" xfId="21977" xr:uid="{00000000-0005-0000-0000-0000D9550000}"/>
    <cellStyle name="Normal 2 2 4 14 13" xfId="21978" xr:uid="{00000000-0005-0000-0000-0000DA550000}"/>
    <cellStyle name="Normal 2 2 4 14 14" xfId="21979" xr:uid="{00000000-0005-0000-0000-0000DB550000}"/>
    <cellStyle name="Normal 2 2 4 14 2" xfId="21980" xr:uid="{00000000-0005-0000-0000-0000DC550000}"/>
    <cellStyle name="Normal 2 2 4 14 2 10" xfId="21981" xr:uid="{00000000-0005-0000-0000-0000DD550000}"/>
    <cellStyle name="Normal 2 2 4 14 2 2" xfId="21982" xr:uid="{00000000-0005-0000-0000-0000DE550000}"/>
    <cellStyle name="Normal 2 2 4 14 2 3" xfId="21983" xr:uid="{00000000-0005-0000-0000-0000DF550000}"/>
    <cellStyle name="Normal 2 2 4 14 2 4" xfId="21984" xr:uid="{00000000-0005-0000-0000-0000E0550000}"/>
    <cellStyle name="Normal 2 2 4 14 2 5" xfId="21985" xr:uid="{00000000-0005-0000-0000-0000E1550000}"/>
    <cellStyle name="Normal 2 2 4 14 2 6" xfId="21986" xr:uid="{00000000-0005-0000-0000-0000E2550000}"/>
    <cellStyle name="Normal 2 2 4 14 2 7" xfId="21987" xr:uid="{00000000-0005-0000-0000-0000E3550000}"/>
    <cellStyle name="Normal 2 2 4 14 2 8" xfId="21988" xr:uid="{00000000-0005-0000-0000-0000E4550000}"/>
    <cellStyle name="Normal 2 2 4 14 2 9" xfId="21989" xr:uid="{00000000-0005-0000-0000-0000E5550000}"/>
    <cellStyle name="Normal 2 2 4 14 3" xfId="21990" xr:uid="{00000000-0005-0000-0000-0000E6550000}"/>
    <cellStyle name="Normal 2 2 4 14 3 10" xfId="21991" xr:uid="{00000000-0005-0000-0000-0000E7550000}"/>
    <cellStyle name="Normal 2 2 4 14 3 2" xfId="21992" xr:uid="{00000000-0005-0000-0000-0000E8550000}"/>
    <cellStyle name="Normal 2 2 4 14 3 3" xfId="21993" xr:uid="{00000000-0005-0000-0000-0000E9550000}"/>
    <cellStyle name="Normal 2 2 4 14 3 4" xfId="21994" xr:uid="{00000000-0005-0000-0000-0000EA550000}"/>
    <cellStyle name="Normal 2 2 4 14 3 5" xfId="21995" xr:uid="{00000000-0005-0000-0000-0000EB550000}"/>
    <cellStyle name="Normal 2 2 4 14 3 6" xfId="21996" xr:uid="{00000000-0005-0000-0000-0000EC550000}"/>
    <cellStyle name="Normal 2 2 4 14 3 7" xfId="21997" xr:uid="{00000000-0005-0000-0000-0000ED550000}"/>
    <cellStyle name="Normal 2 2 4 14 3 8" xfId="21998" xr:uid="{00000000-0005-0000-0000-0000EE550000}"/>
    <cellStyle name="Normal 2 2 4 14 3 9" xfId="21999" xr:uid="{00000000-0005-0000-0000-0000EF550000}"/>
    <cellStyle name="Normal 2 2 4 14 4" xfId="22000" xr:uid="{00000000-0005-0000-0000-0000F0550000}"/>
    <cellStyle name="Normal 2 2 4 14 4 10" xfId="22001" xr:uid="{00000000-0005-0000-0000-0000F1550000}"/>
    <cellStyle name="Normal 2 2 4 14 4 2" xfId="22002" xr:uid="{00000000-0005-0000-0000-0000F2550000}"/>
    <cellStyle name="Normal 2 2 4 14 4 3" xfId="22003" xr:uid="{00000000-0005-0000-0000-0000F3550000}"/>
    <cellStyle name="Normal 2 2 4 14 4 4" xfId="22004" xr:uid="{00000000-0005-0000-0000-0000F4550000}"/>
    <cellStyle name="Normal 2 2 4 14 4 5" xfId="22005" xr:uid="{00000000-0005-0000-0000-0000F5550000}"/>
    <cellStyle name="Normal 2 2 4 14 4 6" xfId="22006" xr:uid="{00000000-0005-0000-0000-0000F6550000}"/>
    <cellStyle name="Normal 2 2 4 14 4 7" xfId="22007" xr:uid="{00000000-0005-0000-0000-0000F7550000}"/>
    <cellStyle name="Normal 2 2 4 14 4 8" xfId="22008" xr:uid="{00000000-0005-0000-0000-0000F8550000}"/>
    <cellStyle name="Normal 2 2 4 14 4 9" xfId="22009" xr:uid="{00000000-0005-0000-0000-0000F9550000}"/>
    <cellStyle name="Normal 2 2 4 14 5" xfId="22010" xr:uid="{00000000-0005-0000-0000-0000FA550000}"/>
    <cellStyle name="Normal 2 2 4 14 5 10" xfId="22011" xr:uid="{00000000-0005-0000-0000-0000FB550000}"/>
    <cellStyle name="Normal 2 2 4 14 5 2" xfId="22012" xr:uid="{00000000-0005-0000-0000-0000FC550000}"/>
    <cellStyle name="Normal 2 2 4 14 5 3" xfId="22013" xr:uid="{00000000-0005-0000-0000-0000FD550000}"/>
    <cellStyle name="Normal 2 2 4 14 5 4" xfId="22014" xr:uid="{00000000-0005-0000-0000-0000FE550000}"/>
    <cellStyle name="Normal 2 2 4 14 5 5" xfId="22015" xr:uid="{00000000-0005-0000-0000-0000FF550000}"/>
    <cellStyle name="Normal 2 2 4 14 5 6" xfId="22016" xr:uid="{00000000-0005-0000-0000-000000560000}"/>
    <cellStyle name="Normal 2 2 4 14 5 7" xfId="22017" xr:uid="{00000000-0005-0000-0000-000001560000}"/>
    <cellStyle name="Normal 2 2 4 14 5 8" xfId="22018" xr:uid="{00000000-0005-0000-0000-000002560000}"/>
    <cellStyle name="Normal 2 2 4 14 5 9" xfId="22019" xr:uid="{00000000-0005-0000-0000-000003560000}"/>
    <cellStyle name="Normal 2 2 4 14 6" xfId="22020" xr:uid="{00000000-0005-0000-0000-000004560000}"/>
    <cellStyle name="Normal 2 2 4 14 7" xfId="22021" xr:uid="{00000000-0005-0000-0000-000005560000}"/>
    <cellStyle name="Normal 2 2 4 14 8" xfId="22022" xr:uid="{00000000-0005-0000-0000-000006560000}"/>
    <cellStyle name="Normal 2 2 4 14 9" xfId="22023" xr:uid="{00000000-0005-0000-0000-000007560000}"/>
    <cellStyle name="Normal 2 2 4 15" xfId="22024" xr:uid="{00000000-0005-0000-0000-000008560000}"/>
    <cellStyle name="Normal 2 2 4 15 10" xfId="22025" xr:uid="{00000000-0005-0000-0000-000009560000}"/>
    <cellStyle name="Normal 2 2 4 15 11" xfId="22026" xr:uid="{00000000-0005-0000-0000-00000A560000}"/>
    <cellStyle name="Normal 2 2 4 15 12" xfId="22027" xr:uid="{00000000-0005-0000-0000-00000B560000}"/>
    <cellStyle name="Normal 2 2 4 15 13" xfId="22028" xr:uid="{00000000-0005-0000-0000-00000C560000}"/>
    <cellStyle name="Normal 2 2 4 15 14" xfId="22029" xr:uid="{00000000-0005-0000-0000-00000D560000}"/>
    <cellStyle name="Normal 2 2 4 15 2" xfId="22030" xr:uid="{00000000-0005-0000-0000-00000E560000}"/>
    <cellStyle name="Normal 2 2 4 15 2 10" xfId="22031" xr:uid="{00000000-0005-0000-0000-00000F560000}"/>
    <cellStyle name="Normal 2 2 4 15 2 2" xfId="22032" xr:uid="{00000000-0005-0000-0000-000010560000}"/>
    <cellStyle name="Normal 2 2 4 15 2 3" xfId="22033" xr:uid="{00000000-0005-0000-0000-000011560000}"/>
    <cellStyle name="Normal 2 2 4 15 2 4" xfId="22034" xr:uid="{00000000-0005-0000-0000-000012560000}"/>
    <cellStyle name="Normal 2 2 4 15 2 5" xfId="22035" xr:uid="{00000000-0005-0000-0000-000013560000}"/>
    <cellStyle name="Normal 2 2 4 15 2 6" xfId="22036" xr:uid="{00000000-0005-0000-0000-000014560000}"/>
    <cellStyle name="Normal 2 2 4 15 2 7" xfId="22037" xr:uid="{00000000-0005-0000-0000-000015560000}"/>
    <cellStyle name="Normal 2 2 4 15 2 8" xfId="22038" xr:uid="{00000000-0005-0000-0000-000016560000}"/>
    <cellStyle name="Normal 2 2 4 15 2 9" xfId="22039" xr:uid="{00000000-0005-0000-0000-000017560000}"/>
    <cellStyle name="Normal 2 2 4 15 3" xfId="22040" xr:uid="{00000000-0005-0000-0000-000018560000}"/>
    <cellStyle name="Normal 2 2 4 15 3 10" xfId="22041" xr:uid="{00000000-0005-0000-0000-000019560000}"/>
    <cellStyle name="Normal 2 2 4 15 3 2" xfId="22042" xr:uid="{00000000-0005-0000-0000-00001A560000}"/>
    <cellStyle name="Normal 2 2 4 15 3 3" xfId="22043" xr:uid="{00000000-0005-0000-0000-00001B560000}"/>
    <cellStyle name="Normal 2 2 4 15 3 4" xfId="22044" xr:uid="{00000000-0005-0000-0000-00001C560000}"/>
    <cellStyle name="Normal 2 2 4 15 3 5" xfId="22045" xr:uid="{00000000-0005-0000-0000-00001D560000}"/>
    <cellStyle name="Normal 2 2 4 15 3 6" xfId="22046" xr:uid="{00000000-0005-0000-0000-00001E560000}"/>
    <cellStyle name="Normal 2 2 4 15 3 7" xfId="22047" xr:uid="{00000000-0005-0000-0000-00001F560000}"/>
    <cellStyle name="Normal 2 2 4 15 3 8" xfId="22048" xr:uid="{00000000-0005-0000-0000-000020560000}"/>
    <cellStyle name="Normal 2 2 4 15 3 9" xfId="22049" xr:uid="{00000000-0005-0000-0000-000021560000}"/>
    <cellStyle name="Normal 2 2 4 15 4" xfId="22050" xr:uid="{00000000-0005-0000-0000-000022560000}"/>
    <cellStyle name="Normal 2 2 4 15 4 10" xfId="22051" xr:uid="{00000000-0005-0000-0000-000023560000}"/>
    <cellStyle name="Normal 2 2 4 15 4 2" xfId="22052" xr:uid="{00000000-0005-0000-0000-000024560000}"/>
    <cellStyle name="Normal 2 2 4 15 4 3" xfId="22053" xr:uid="{00000000-0005-0000-0000-000025560000}"/>
    <cellStyle name="Normal 2 2 4 15 4 4" xfId="22054" xr:uid="{00000000-0005-0000-0000-000026560000}"/>
    <cellStyle name="Normal 2 2 4 15 4 5" xfId="22055" xr:uid="{00000000-0005-0000-0000-000027560000}"/>
    <cellStyle name="Normal 2 2 4 15 4 6" xfId="22056" xr:uid="{00000000-0005-0000-0000-000028560000}"/>
    <cellStyle name="Normal 2 2 4 15 4 7" xfId="22057" xr:uid="{00000000-0005-0000-0000-000029560000}"/>
    <cellStyle name="Normal 2 2 4 15 4 8" xfId="22058" xr:uid="{00000000-0005-0000-0000-00002A560000}"/>
    <cellStyle name="Normal 2 2 4 15 4 9" xfId="22059" xr:uid="{00000000-0005-0000-0000-00002B560000}"/>
    <cellStyle name="Normal 2 2 4 15 5" xfId="22060" xr:uid="{00000000-0005-0000-0000-00002C560000}"/>
    <cellStyle name="Normal 2 2 4 15 5 10" xfId="22061" xr:uid="{00000000-0005-0000-0000-00002D560000}"/>
    <cellStyle name="Normal 2 2 4 15 5 2" xfId="22062" xr:uid="{00000000-0005-0000-0000-00002E560000}"/>
    <cellStyle name="Normal 2 2 4 15 5 3" xfId="22063" xr:uid="{00000000-0005-0000-0000-00002F560000}"/>
    <cellStyle name="Normal 2 2 4 15 5 4" xfId="22064" xr:uid="{00000000-0005-0000-0000-000030560000}"/>
    <cellStyle name="Normal 2 2 4 15 5 5" xfId="22065" xr:uid="{00000000-0005-0000-0000-000031560000}"/>
    <cellStyle name="Normal 2 2 4 15 5 6" xfId="22066" xr:uid="{00000000-0005-0000-0000-000032560000}"/>
    <cellStyle name="Normal 2 2 4 15 5 7" xfId="22067" xr:uid="{00000000-0005-0000-0000-000033560000}"/>
    <cellStyle name="Normal 2 2 4 15 5 8" xfId="22068" xr:uid="{00000000-0005-0000-0000-000034560000}"/>
    <cellStyle name="Normal 2 2 4 15 5 9" xfId="22069" xr:uid="{00000000-0005-0000-0000-000035560000}"/>
    <cellStyle name="Normal 2 2 4 15 6" xfId="22070" xr:uid="{00000000-0005-0000-0000-000036560000}"/>
    <cellStyle name="Normal 2 2 4 15 7" xfId="22071" xr:uid="{00000000-0005-0000-0000-000037560000}"/>
    <cellStyle name="Normal 2 2 4 15 8" xfId="22072" xr:uid="{00000000-0005-0000-0000-000038560000}"/>
    <cellStyle name="Normal 2 2 4 15 9" xfId="22073" xr:uid="{00000000-0005-0000-0000-000039560000}"/>
    <cellStyle name="Normal 2 2 4 16" xfId="22074" xr:uid="{00000000-0005-0000-0000-00003A560000}"/>
    <cellStyle name="Normal 2 2 4 16 10" xfId="22075" xr:uid="{00000000-0005-0000-0000-00003B560000}"/>
    <cellStyle name="Normal 2 2 4 16 11" xfId="22076" xr:uid="{00000000-0005-0000-0000-00003C560000}"/>
    <cellStyle name="Normal 2 2 4 16 12" xfId="22077" xr:uid="{00000000-0005-0000-0000-00003D560000}"/>
    <cellStyle name="Normal 2 2 4 16 13" xfId="22078" xr:uid="{00000000-0005-0000-0000-00003E560000}"/>
    <cellStyle name="Normal 2 2 4 16 14" xfId="22079" xr:uid="{00000000-0005-0000-0000-00003F560000}"/>
    <cellStyle name="Normal 2 2 4 16 2" xfId="22080" xr:uid="{00000000-0005-0000-0000-000040560000}"/>
    <cellStyle name="Normal 2 2 4 16 2 10" xfId="22081" xr:uid="{00000000-0005-0000-0000-000041560000}"/>
    <cellStyle name="Normal 2 2 4 16 2 2" xfId="22082" xr:uid="{00000000-0005-0000-0000-000042560000}"/>
    <cellStyle name="Normal 2 2 4 16 2 3" xfId="22083" xr:uid="{00000000-0005-0000-0000-000043560000}"/>
    <cellStyle name="Normal 2 2 4 16 2 4" xfId="22084" xr:uid="{00000000-0005-0000-0000-000044560000}"/>
    <cellStyle name="Normal 2 2 4 16 2 5" xfId="22085" xr:uid="{00000000-0005-0000-0000-000045560000}"/>
    <cellStyle name="Normal 2 2 4 16 2 6" xfId="22086" xr:uid="{00000000-0005-0000-0000-000046560000}"/>
    <cellStyle name="Normal 2 2 4 16 2 7" xfId="22087" xr:uid="{00000000-0005-0000-0000-000047560000}"/>
    <cellStyle name="Normal 2 2 4 16 2 8" xfId="22088" xr:uid="{00000000-0005-0000-0000-000048560000}"/>
    <cellStyle name="Normal 2 2 4 16 2 9" xfId="22089" xr:uid="{00000000-0005-0000-0000-000049560000}"/>
    <cellStyle name="Normal 2 2 4 16 3" xfId="22090" xr:uid="{00000000-0005-0000-0000-00004A560000}"/>
    <cellStyle name="Normal 2 2 4 16 3 10" xfId="22091" xr:uid="{00000000-0005-0000-0000-00004B560000}"/>
    <cellStyle name="Normal 2 2 4 16 3 2" xfId="22092" xr:uid="{00000000-0005-0000-0000-00004C560000}"/>
    <cellStyle name="Normal 2 2 4 16 3 3" xfId="22093" xr:uid="{00000000-0005-0000-0000-00004D560000}"/>
    <cellStyle name="Normal 2 2 4 16 3 4" xfId="22094" xr:uid="{00000000-0005-0000-0000-00004E560000}"/>
    <cellStyle name="Normal 2 2 4 16 3 5" xfId="22095" xr:uid="{00000000-0005-0000-0000-00004F560000}"/>
    <cellStyle name="Normal 2 2 4 16 3 6" xfId="22096" xr:uid="{00000000-0005-0000-0000-000050560000}"/>
    <cellStyle name="Normal 2 2 4 16 3 7" xfId="22097" xr:uid="{00000000-0005-0000-0000-000051560000}"/>
    <cellStyle name="Normal 2 2 4 16 3 8" xfId="22098" xr:uid="{00000000-0005-0000-0000-000052560000}"/>
    <cellStyle name="Normal 2 2 4 16 3 9" xfId="22099" xr:uid="{00000000-0005-0000-0000-000053560000}"/>
    <cellStyle name="Normal 2 2 4 16 4" xfId="22100" xr:uid="{00000000-0005-0000-0000-000054560000}"/>
    <cellStyle name="Normal 2 2 4 16 4 10" xfId="22101" xr:uid="{00000000-0005-0000-0000-000055560000}"/>
    <cellStyle name="Normal 2 2 4 16 4 2" xfId="22102" xr:uid="{00000000-0005-0000-0000-000056560000}"/>
    <cellStyle name="Normal 2 2 4 16 4 3" xfId="22103" xr:uid="{00000000-0005-0000-0000-000057560000}"/>
    <cellStyle name="Normal 2 2 4 16 4 4" xfId="22104" xr:uid="{00000000-0005-0000-0000-000058560000}"/>
    <cellStyle name="Normal 2 2 4 16 4 5" xfId="22105" xr:uid="{00000000-0005-0000-0000-000059560000}"/>
    <cellStyle name="Normal 2 2 4 16 4 6" xfId="22106" xr:uid="{00000000-0005-0000-0000-00005A560000}"/>
    <cellStyle name="Normal 2 2 4 16 4 7" xfId="22107" xr:uid="{00000000-0005-0000-0000-00005B560000}"/>
    <cellStyle name="Normal 2 2 4 16 4 8" xfId="22108" xr:uid="{00000000-0005-0000-0000-00005C560000}"/>
    <cellStyle name="Normal 2 2 4 16 4 9" xfId="22109" xr:uid="{00000000-0005-0000-0000-00005D560000}"/>
    <cellStyle name="Normal 2 2 4 16 5" xfId="22110" xr:uid="{00000000-0005-0000-0000-00005E560000}"/>
    <cellStyle name="Normal 2 2 4 16 5 10" xfId="22111" xr:uid="{00000000-0005-0000-0000-00005F560000}"/>
    <cellStyle name="Normal 2 2 4 16 5 2" xfId="22112" xr:uid="{00000000-0005-0000-0000-000060560000}"/>
    <cellStyle name="Normal 2 2 4 16 5 3" xfId="22113" xr:uid="{00000000-0005-0000-0000-000061560000}"/>
    <cellStyle name="Normal 2 2 4 16 5 4" xfId="22114" xr:uid="{00000000-0005-0000-0000-000062560000}"/>
    <cellStyle name="Normal 2 2 4 16 5 5" xfId="22115" xr:uid="{00000000-0005-0000-0000-000063560000}"/>
    <cellStyle name="Normal 2 2 4 16 5 6" xfId="22116" xr:uid="{00000000-0005-0000-0000-000064560000}"/>
    <cellStyle name="Normal 2 2 4 16 5 7" xfId="22117" xr:uid="{00000000-0005-0000-0000-000065560000}"/>
    <cellStyle name="Normal 2 2 4 16 5 8" xfId="22118" xr:uid="{00000000-0005-0000-0000-000066560000}"/>
    <cellStyle name="Normal 2 2 4 16 5 9" xfId="22119" xr:uid="{00000000-0005-0000-0000-000067560000}"/>
    <cellStyle name="Normal 2 2 4 16 6" xfId="22120" xr:uid="{00000000-0005-0000-0000-000068560000}"/>
    <cellStyle name="Normal 2 2 4 16 7" xfId="22121" xr:uid="{00000000-0005-0000-0000-000069560000}"/>
    <cellStyle name="Normal 2 2 4 16 8" xfId="22122" xr:uid="{00000000-0005-0000-0000-00006A560000}"/>
    <cellStyle name="Normal 2 2 4 16 9" xfId="22123" xr:uid="{00000000-0005-0000-0000-00006B560000}"/>
    <cellStyle name="Normal 2 2 4 17" xfId="22124" xr:uid="{00000000-0005-0000-0000-00006C560000}"/>
    <cellStyle name="Normal 2 2 4 17 10" xfId="22125" xr:uid="{00000000-0005-0000-0000-00006D560000}"/>
    <cellStyle name="Normal 2 2 4 17 11" xfId="22126" xr:uid="{00000000-0005-0000-0000-00006E560000}"/>
    <cellStyle name="Normal 2 2 4 17 12" xfId="22127" xr:uid="{00000000-0005-0000-0000-00006F560000}"/>
    <cellStyle name="Normal 2 2 4 17 13" xfId="22128" xr:uid="{00000000-0005-0000-0000-000070560000}"/>
    <cellStyle name="Normal 2 2 4 17 14" xfId="22129" xr:uid="{00000000-0005-0000-0000-000071560000}"/>
    <cellStyle name="Normal 2 2 4 17 2" xfId="22130" xr:uid="{00000000-0005-0000-0000-000072560000}"/>
    <cellStyle name="Normal 2 2 4 17 2 10" xfId="22131" xr:uid="{00000000-0005-0000-0000-000073560000}"/>
    <cellStyle name="Normal 2 2 4 17 2 2" xfId="22132" xr:uid="{00000000-0005-0000-0000-000074560000}"/>
    <cellStyle name="Normal 2 2 4 17 2 3" xfId="22133" xr:uid="{00000000-0005-0000-0000-000075560000}"/>
    <cellStyle name="Normal 2 2 4 17 2 4" xfId="22134" xr:uid="{00000000-0005-0000-0000-000076560000}"/>
    <cellStyle name="Normal 2 2 4 17 2 5" xfId="22135" xr:uid="{00000000-0005-0000-0000-000077560000}"/>
    <cellStyle name="Normal 2 2 4 17 2 6" xfId="22136" xr:uid="{00000000-0005-0000-0000-000078560000}"/>
    <cellStyle name="Normal 2 2 4 17 2 7" xfId="22137" xr:uid="{00000000-0005-0000-0000-000079560000}"/>
    <cellStyle name="Normal 2 2 4 17 2 8" xfId="22138" xr:uid="{00000000-0005-0000-0000-00007A560000}"/>
    <cellStyle name="Normal 2 2 4 17 2 9" xfId="22139" xr:uid="{00000000-0005-0000-0000-00007B560000}"/>
    <cellStyle name="Normal 2 2 4 17 3" xfId="22140" xr:uid="{00000000-0005-0000-0000-00007C560000}"/>
    <cellStyle name="Normal 2 2 4 17 3 10" xfId="22141" xr:uid="{00000000-0005-0000-0000-00007D560000}"/>
    <cellStyle name="Normal 2 2 4 17 3 2" xfId="22142" xr:uid="{00000000-0005-0000-0000-00007E560000}"/>
    <cellStyle name="Normal 2 2 4 17 3 3" xfId="22143" xr:uid="{00000000-0005-0000-0000-00007F560000}"/>
    <cellStyle name="Normal 2 2 4 17 3 4" xfId="22144" xr:uid="{00000000-0005-0000-0000-000080560000}"/>
    <cellStyle name="Normal 2 2 4 17 3 5" xfId="22145" xr:uid="{00000000-0005-0000-0000-000081560000}"/>
    <cellStyle name="Normal 2 2 4 17 3 6" xfId="22146" xr:uid="{00000000-0005-0000-0000-000082560000}"/>
    <cellStyle name="Normal 2 2 4 17 3 7" xfId="22147" xr:uid="{00000000-0005-0000-0000-000083560000}"/>
    <cellStyle name="Normal 2 2 4 17 3 8" xfId="22148" xr:uid="{00000000-0005-0000-0000-000084560000}"/>
    <cellStyle name="Normal 2 2 4 17 3 9" xfId="22149" xr:uid="{00000000-0005-0000-0000-000085560000}"/>
    <cellStyle name="Normal 2 2 4 17 4" xfId="22150" xr:uid="{00000000-0005-0000-0000-000086560000}"/>
    <cellStyle name="Normal 2 2 4 17 4 10" xfId="22151" xr:uid="{00000000-0005-0000-0000-000087560000}"/>
    <cellStyle name="Normal 2 2 4 17 4 2" xfId="22152" xr:uid="{00000000-0005-0000-0000-000088560000}"/>
    <cellStyle name="Normal 2 2 4 17 4 3" xfId="22153" xr:uid="{00000000-0005-0000-0000-000089560000}"/>
    <cellStyle name="Normal 2 2 4 17 4 4" xfId="22154" xr:uid="{00000000-0005-0000-0000-00008A560000}"/>
    <cellStyle name="Normal 2 2 4 17 4 5" xfId="22155" xr:uid="{00000000-0005-0000-0000-00008B560000}"/>
    <cellStyle name="Normal 2 2 4 17 4 6" xfId="22156" xr:uid="{00000000-0005-0000-0000-00008C560000}"/>
    <cellStyle name="Normal 2 2 4 17 4 7" xfId="22157" xr:uid="{00000000-0005-0000-0000-00008D560000}"/>
    <cellStyle name="Normal 2 2 4 17 4 8" xfId="22158" xr:uid="{00000000-0005-0000-0000-00008E560000}"/>
    <cellStyle name="Normal 2 2 4 17 4 9" xfId="22159" xr:uid="{00000000-0005-0000-0000-00008F560000}"/>
    <cellStyle name="Normal 2 2 4 17 5" xfId="22160" xr:uid="{00000000-0005-0000-0000-000090560000}"/>
    <cellStyle name="Normal 2 2 4 17 5 10" xfId="22161" xr:uid="{00000000-0005-0000-0000-000091560000}"/>
    <cellStyle name="Normal 2 2 4 17 5 2" xfId="22162" xr:uid="{00000000-0005-0000-0000-000092560000}"/>
    <cellStyle name="Normal 2 2 4 17 5 3" xfId="22163" xr:uid="{00000000-0005-0000-0000-000093560000}"/>
    <cellStyle name="Normal 2 2 4 17 5 4" xfId="22164" xr:uid="{00000000-0005-0000-0000-000094560000}"/>
    <cellStyle name="Normal 2 2 4 17 5 5" xfId="22165" xr:uid="{00000000-0005-0000-0000-000095560000}"/>
    <cellStyle name="Normal 2 2 4 17 5 6" xfId="22166" xr:uid="{00000000-0005-0000-0000-000096560000}"/>
    <cellStyle name="Normal 2 2 4 17 5 7" xfId="22167" xr:uid="{00000000-0005-0000-0000-000097560000}"/>
    <cellStyle name="Normal 2 2 4 17 5 8" xfId="22168" xr:uid="{00000000-0005-0000-0000-000098560000}"/>
    <cellStyle name="Normal 2 2 4 17 5 9" xfId="22169" xr:uid="{00000000-0005-0000-0000-000099560000}"/>
    <cellStyle name="Normal 2 2 4 17 6" xfId="22170" xr:uid="{00000000-0005-0000-0000-00009A560000}"/>
    <cellStyle name="Normal 2 2 4 17 7" xfId="22171" xr:uid="{00000000-0005-0000-0000-00009B560000}"/>
    <cellStyle name="Normal 2 2 4 17 8" xfId="22172" xr:uid="{00000000-0005-0000-0000-00009C560000}"/>
    <cellStyle name="Normal 2 2 4 17 9" xfId="22173" xr:uid="{00000000-0005-0000-0000-00009D560000}"/>
    <cellStyle name="Normal 2 2 4 18" xfId="22174" xr:uid="{00000000-0005-0000-0000-00009E560000}"/>
    <cellStyle name="Normal 2 2 4 18 10" xfId="22175" xr:uid="{00000000-0005-0000-0000-00009F560000}"/>
    <cellStyle name="Normal 2 2 4 18 11" xfId="22176" xr:uid="{00000000-0005-0000-0000-0000A0560000}"/>
    <cellStyle name="Normal 2 2 4 18 12" xfId="22177" xr:uid="{00000000-0005-0000-0000-0000A1560000}"/>
    <cellStyle name="Normal 2 2 4 18 13" xfId="22178" xr:uid="{00000000-0005-0000-0000-0000A2560000}"/>
    <cellStyle name="Normal 2 2 4 18 14" xfId="22179" xr:uid="{00000000-0005-0000-0000-0000A3560000}"/>
    <cellStyle name="Normal 2 2 4 18 2" xfId="22180" xr:uid="{00000000-0005-0000-0000-0000A4560000}"/>
    <cellStyle name="Normal 2 2 4 18 2 10" xfId="22181" xr:uid="{00000000-0005-0000-0000-0000A5560000}"/>
    <cellStyle name="Normal 2 2 4 18 2 2" xfId="22182" xr:uid="{00000000-0005-0000-0000-0000A6560000}"/>
    <cellStyle name="Normal 2 2 4 18 2 3" xfId="22183" xr:uid="{00000000-0005-0000-0000-0000A7560000}"/>
    <cellStyle name="Normal 2 2 4 18 2 4" xfId="22184" xr:uid="{00000000-0005-0000-0000-0000A8560000}"/>
    <cellStyle name="Normal 2 2 4 18 2 5" xfId="22185" xr:uid="{00000000-0005-0000-0000-0000A9560000}"/>
    <cellStyle name="Normal 2 2 4 18 2 6" xfId="22186" xr:uid="{00000000-0005-0000-0000-0000AA560000}"/>
    <cellStyle name="Normal 2 2 4 18 2 7" xfId="22187" xr:uid="{00000000-0005-0000-0000-0000AB560000}"/>
    <cellStyle name="Normal 2 2 4 18 2 8" xfId="22188" xr:uid="{00000000-0005-0000-0000-0000AC560000}"/>
    <cellStyle name="Normal 2 2 4 18 2 9" xfId="22189" xr:uid="{00000000-0005-0000-0000-0000AD560000}"/>
    <cellStyle name="Normal 2 2 4 18 3" xfId="22190" xr:uid="{00000000-0005-0000-0000-0000AE560000}"/>
    <cellStyle name="Normal 2 2 4 18 3 10" xfId="22191" xr:uid="{00000000-0005-0000-0000-0000AF560000}"/>
    <cellStyle name="Normal 2 2 4 18 3 2" xfId="22192" xr:uid="{00000000-0005-0000-0000-0000B0560000}"/>
    <cellStyle name="Normal 2 2 4 18 3 3" xfId="22193" xr:uid="{00000000-0005-0000-0000-0000B1560000}"/>
    <cellStyle name="Normal 2 2 4 18 3 4" xfId="22194" xr:uid="{00000000-0005-0000-0000-0000B2560000}"/>
    <cellStyle name="Normal 2 2 4 18 3 5" xfId="22195" xr:uid="{00000000-0005-0000-0000-0000B3560000}"/>
    <cellStyle name="Normal 2 2 4 18 3 6" xfId="22196" xr:uid="{00000000-0005-0000-0000-0000B4560000}"/>
    <cellStyle name="Normal 2 2 4 18 3 7" xfId="22197" xr:uid="{00000000-0005-0000-0000-0000B5560000}"/>
    <cellStyle name="Normal 2 2 4 18 3 8" xfId="22198" xr:uid="{00000000-0005-0000-0000-0000B6560000}"/>
    <cellStyle name="Normal 2 2 4 18 3 9" xfId="22199" xr:uid="{00000000-0005-0000-0000-0000B7560000}"/>
    <cellStyle name="Normal 2 2 4 18 4" xfId="22200" xr:uid="{00000000-0005-0000-0000-0000B8560000}"/>
    <cellStyle name="Normal 2 2 4 18 4 10" xfId="22201" xr:uid="{00000000-0005-0000-0000-0000B9560000}"/>
    <cellStyle name="Normal 2 2 4 18 4 2" xfId="22202" xr:uid="{00000000-0005-0000-0000-0000BA560000}"/>
    <cellStyle name="Normal 2 2 4 18 4 3" xfId="22203" xr:uid="{00000000-0005-0000-0000-0000BB560000}"/>
    <cellStyle name="Normal 2 2 4 18 4 4" xfId="22204" xr:uid="{00000000-0005-0000-0000-0000BC560000}"/>
    <cellStyle name="Normal 2 2 4 18 4 5" xfId="22205" xr:uid="{00000000-0005-0000-0000-0000BD560000}"/>
    <cellStyle name="Normal 2 2 4 18 4 6" xfId="22206" xr:uid="{00000000-0005-0000-0000-0000BE560000}"/>
    <cellStyle name="Normal 2 2 4 18 4 7" xfId="22207" xr:uid="{00000000-0005-0000-0000-0000BF560000}"/>
    <cellStyle name="Normal 2 2 4 18 4 8" xfId="22208" xr:uid="{00000000-0005-0000-0000-0000C0560000}"/>
    <cellStyle name="Normal 2 2 4 18 4 9" xfId="22209" xr:uid="{00000000-0005-0000-0000-0000C1560000}"/>
    <cellStyle name="Normal 2 2 4 18 5" xfId="22210" xr:uid="{00000000-0005-0000-0000-0000C2560000}"/>
    <cellStyle name="Normal 2 2 4 18 5 10" xfId="22211" xr:uid="{00000000-0005-0000-0000-0000C3560000}"/>
    <cellStyle name="Normal 2 2 4 18 5 2" xfId="22212" xr:uid="{00000000-0005-0000-0000-0000C4560000}"/>
    <cellStyle name="Normal 2 2 4 18 5 3" xfId="22213" xr:uid="{00000000-0005-0000-0000-0000C5560000}"/>
    <cellStyle name="Normal 2 2 4 18 5 4" xfId="22214" xr:uid="{00000000-0005-0000-0000-0000C6560000}"/>
    <cellStyle name="Normal 2 2 4 18 5 5" xfId="22215" xr:uid="{00000000-0005-0000-0000-0000C7560000}"/>
    <cellStyle name="Normal 2 2 4 18 5 6" xfId="22216" xr:uid="{00000000-0005-0000-0000-0000C8560000}"/>
    <cellStyle name="Normal 2 2 4 18 5 7" xfId="22217" xr:uid="{00000000-0005-0000-0000-0000C9560000}"/>
    <cellStyle name="Normal 2 2 4 18 5 8" xfId="22218" xr:uid="{00000000-0005-0000-0000-0000CA560000}"/>
    <cellStyle name="Normal 2 2 4 18 5 9" xfId="22219" xr:uid="{00000000-0005-0000-0000-0000CB560000}"/>
    <cellStyle name="Normal 2 2 4 18 6" xfId="22220" xr:uid="{00000000-0005-0000-0000-0000CC560000}"/>
    <cellStyle name="Normal 2 2 4 18 7" xfId="22221" xr:uid="{00000000-0005-0000-0000-0000CD560000}"/>
    <cellStyle name="Normal 2 2 4 18 8" xfId="22222" xr:uid="{00000000-0005-0000-0000-0000CE560000}"/>
    <cellStyle name="Normal 2 2 4 18 9" xfId="22223" xr:uid="{00000000-0005-0000-0000-0000CF560000}"/>
    <cellStyle name="Normal 2 2 4 19" xfId="22224" xr:uid="{00000000-0005-0000-0000-0000D0560000}"/>
    <cellStyle name="Normal 2 2 4 19 10" xfId="22225" xr:uid="{00000000-0005-0000-0000-0000D1560000}"/>
    <cellStyle name="Normal 2 2 4 19 11" xfId="22226" xr:uid="{00000000-0005-0000-0000-0000D2560000}"/>
    <cellStyle name="Normal 2 2 4 19 12" xfId="22227" xr:uid="{00000000-0005-0000-0000-0000D3560000}"/>
    <cellStyle name="Normal 2 2 4 19 13" xfId="22228" xr:uid="{00000000-0005-0000-0000-0000D4560000}"/>
    <cellStyle name="Normal 2 2 4 19 14" xfId="22229" xr:uid="{00000000-0005-0000-0000-0000D5560000}"/>
    <cellStyle name="Normal 2 2 4 19 2" xfId="22230" xr:uid="{00000000-0005-0000-0000-0000D6560000}"/>
    <cellStyle name="Normal 2 2 4 19 2 10" xfId="22231" xr:uid="{00000000-0005-0000-0000-0000D7560000}"/>
    <cellStyle name="Normal 2 2 4 19 2 2" xfId="22232" xr:uid="{00000000-0005-0000-0000-0000D8560000}"/>
    <cellStyle name="Normal 2 2 4 19 2 3" xfId="22233" xr:uid="{00000000-0005-0000-0000-0000D9560000}"/>
    <cellStyle name="Normal 2 2 4 19 2 4" xfId="22234" xr:uid="{00000000-0005-0000-0000-0000DA560000}"/>
    <cellStyle name="Normal 2 2 4 19 2 5" xfId="22235" xr:uid="{00000000-0005-0000-0000-0000DB560000}"/>
    <cellStyle name="Normal 2 2 4 19 2 6" xfId="22236" xr:uid="{00000000-0005-0000-0000-0000DC560000}"/>
    <cellStyle name="Normal 2 2 4 19 2 7" xfId="22237" xr:uid="{00000000-0005-0000-0000-0000DD560000}"/>
    <cellStyle name="Normal 2 2 4 19 2 8" xfId="22238" xr:uid="{00000000-0005-0000-0000-0000DE560000}"/>
    <cellStyle name="Normal 2 2 4 19 2 9" xfId="22239" xr:uid="{00000000-0005-0000-0000-0000DF560000}"/>
    <cellStyle name="Normal 2 2 4 19 3" xfId="22240" xr:uid="{00000000-0005-0000-0000-0000E0560000}"/>
    <cellStyle name="Normal 2 2 4 19 3 10" xfId="22241" xr:uid="{00000000-0005-0000-0000-0000E1560000}"/>
    <cellStyle name="Normal 2 2 4 19 3 2" xfId="22242" xr:uid="{00000000-0005-0000-0000-0000E2560000}"/>
    <cellStyle name="Normal 2 2 4 19 3 3" xfId="22243" xr:uid="{00000000-0005-0000-0000-0000E3560000}"/>
    <cellStyle name="Normal 2 2 4 19 3 4" xfId="22244" xr:uid="{00000000-0005-0000-0000-0000E4560000}"/>
    <cellStyle name="Normal 2 2 4 19 3 5" xfId="22245" xr:uid="{00000000-0005-0000-0000-0000E5560000}"/>
    <cellStyle name="Normal 2 2 4 19 3 6" xfId="22246" xr:uid="{00000000-0005-0000-0000-0000E6560000}"/>
    <cellStyle name="Normal 2 2 4 19 3 7" xfId="22247" xr:uid="{00000000-0005-0000-0000-0000E7560000}"/>
    <cellStyle name="Normal 2 2 4 19 3 8" xfId="22248" xr:uid="{00000000-0005-0000-0000-0000E8560000}"/>
    <cellStyle name="Normal 2 2 4 19 3 9" xfId="22249" xr:uid="{00000000-0005-0000-0000-0000E9560000}"/>
    <cellStyle name="Normal 2 2 4 19 4" xfId="22250" xr:uid="{00000000-0005-0000-0000-0000EA560000}"/>
    <cellStyle name="Normal 2 2 4 19 4 10" xfId="22251" xr:uid="{00000000-0005-0000-0000-0000EB560000}"/>
    <cellStyle name="Normal 2 2 4 19 4 2" xfId="22252" xr:uid="{00000000-0005-0000-0000-0000EC560000}"/>
    <cellStyle name="Normal 2 2 4 19 4 3" xfId="22253" xr:uid="{00000000-0005-0000-0000-0000ED560000}"/>
    <cellStyle name="Normal 2 2 4 19 4 4" xfId="22254" xr:uid="{00000000-0005-0000-0000-0000EE560000}"/>
    <cellStyle name="Normal 2 2 4 19 4 5" xfId="22255" xr:uid="{00000000-0005-0000-0000-0000EF560000}"/>
    <cellStyle name="Normal 2 2 4 19 4 6" xfId="22256" xr:uid="{00000000-0005-0000-0000-0000F0560000}"/>
    <cellStyle name="Normal 2 2 4 19 4 7" xfId="22257" xr:uid="{00000000-0005-0000-0000-0000F1560000}"/>
    <cellStyle name="Normal 2 2 4 19 4 8" xfId="22258" xr:uid="{00000000-0005-0000-0000-0000F2560000}"/>
    <cellStyle name="Normal 2 2 4 19 4 9" xfId="22259" xr:uid="{00000000-0005-0000-0000-0000F3560000}"/>
    <cellStyle name="Normal 2 2 4 19 5" xfId="22260" xr:uid="{00000000-0005-0000-0000-0000F4560000}"/>
    <cellStyle name="Normal 2 2 4 19 5 10" xfId="22261" xr:uid="{00000000-0005-0000-0000-0000F5560000}"/>
    <cellStyle name="Normal 2 2 4 19 5 2" xfId="22262" xr:uid="{00000000-0005-0000-0000-0000F6560000}"/>
    <cellStyle name="Normal 2 2 4 19 5 3" xfId="22263" xr:uid="{00000000-0005-0000-0000-0000F7560000}"/>
    <cellStyle name="Normal 2 2 4 19 5 4" xfId="22264" xr:uid="{00000000-0005-0000-0000-0000F8560000}"/>
    <cellStyle name="Normal 2 2 4 19 5 5" xfId="22265" xr:uid="{00000000-0005-0000-0000-0000F9560000}"/>
    <cellStyle name="Normal 2 2 4 19 5 6" xfId="22266" xr:uid="{00000000-0005-0000-0000-0000FA560000}"/>
    <cellStyle name="Normal 2 2 4 19 5 7" xfId="22267" xr:uid="{00000000-0005-0000-0000-0000FB560000}"/>
    <cellStyle name="Normal 2 2 4 19 5 8" xfId="22268" xr:uid="{00000000-0005-0000-0000-0000FC560000}"/>
    <cellStyle name="Normal 2 2 4 19 5 9" xfId="22269" xr:uid="{00000000-0005-0000-0000-0000FD560000}"/>
    <cellStyle name="Normal 2 2 4 19 6" xfId="22270" xr:uid="{00000000-0005-0000-0000-0000FE560000}"/>
    <cellStyle name="Normal 2 2 4 19 7" xfId="22271" xr:uid="{00000000-0005-0000-0000-0000FF560000}"/>
    <cellStyle name="Normal 2 2 4 19 8" xfId="22272" xr:uid="{00000000-0005-0000-0000-000000570000}"/>
    <cellStyle name="Normal 2 2 4 19 9" xfId="22273" xr:uid="{00000000-0005-0000-0000-000001570000}"/>
    <cellStyle name="Normal 2 2 4 2" xfId="53" xr:uid="{00000000-0005-0000-0000-000035000000}"/>
    <cellStyle name="Normal 2 2 4 2 10" xfId="22275" xr:uid="{00000000-0005-0000-0000-000003570000}"/>
    <cellStyle name="Normal 2 2 4 2 11" xfId="22276" xr:uid="{00000000-0005-0000-0000-000004570000}"/>
    <cellStyle name="Normal 2 2 4 2 12" xfId="22277" xr:uid="{00000000-0005-0000-0000-000005570000}"/>
    <cellStyle name="Normal 2 2 4 2 13" xfId="22278" xr:uid="{00000000-0005-0000-0000-000006570000}"/>
    <cellStyle name="Normal 2 2 4 2 14" xfId="22279" xr:uid="{00000000-0005-0000-0000-000007570000}"/>
    <cellStyle name="Normal 2 2 4 2 15" xfId="22280" xr:uid="{00000000-0005-0000-0000-000008570000}"/>
    <cellStyle name="Normal 2 2 4 2 16" xfId="22281" xr:uid="{00000000-0005-0000-0000-000009570000}"/>
    <cellStyle name="Normal 2 2 4 2 17" xfId="22282" xr:uid="{00000000-0005-0000-0000-00000A570000}"/>
    <cellStyle name="Normal 2 2 4 2 18" xfId="22283" xr:uid="{00000000-0005-0000-0000-00000B570000}"/>
    <cellStyle name="Normal 2 2 4 2 19" xfId="22284" xr:uid="{00000000-0005-0000-0000-00000C570000}"/>
    <cellStyle name="Normal 2 2 4 2 2" xfId="22285" xr:uid="{00000000-0005-0000-0000-00000D570000}"/>
    <cellStyle name="Normal 2 2 4 2 2 10" xfId="22286" xr:uid="{00000000-0005-0000-0000-00000E570000}"/>
    <cellStyle name="Normal 2 2 4 2 2 10 10" xfId="22287" xr:uid="{00000000-0005-0000-0000-00000F570000}"/>
    <cellStyle name="Normal 2 2 4 2 2 10 11" xfId="22288" xr:uid="{00000000-0005-0000-0000-000010570000}"/>
    <cellStyle name="Normal 2 2 4 2 2 10 12" xfId="22289" xr:uid="{00000000-0005-0000-0000-000011570000}"/>
    <cellStyle name="Normal 2 2 4 2 2 10 13" xfId="22290" xr:uid="{00000000-0005-0000-0000-000012570000}"/>
    <cellStyle name="Normal 2 2 4 2 2 10 14" xfId="22291" xr:uid="{00000000-0005-0000-0000-000013570000}"/>
    <cellStyle name="Normal 2 2 4 2 2 10 2" xfId="22292" xr:uid="{00000000-0005-0000-0000-000014570000}"/>
    <cellStyle name="Normal 2 2 4 2 2 10 2 10" xfId="22293" xr:uid="{00000000-0005-0000-0000-000015570000}"/>
    <cellStyle name="Normal 2 2 4 2 2 10 2 2" xfId="22294" xr:uid="{00000000-0005-0000-0000-000016570000}"/>
    <cellStyle name="Normal 2 2 4 2 2 10 2 3" xfId="22295" xr:uid="{00000000-0005-0000-0000-000017570000}"/>
    <cellStyle name="Normal 2 2 4 2 2 10 2 4" xfId="22296" xr:uid="{00000000-0005-0000-0000-000018570000}"/>
    <cellStyle name="Normal 2 2 4 2 2 10 2 5" xfId="22297" xr:uid="{00000000-0005-0000-0000-000019570000}"/>
    <cellStyle name="Normal 2 2 4 2 2 10 2 6" xfId="22298" xr:uid="{00000000-0005-0000-0000-00001A570000}"/>
    <cellStyle name="Normal 2 2 4 2 2 10 2 7" xfId="22299" xr:uid="{00000000-0005-0000-0000-00001B570000}"/>
    <cellStyle name="Normal 2 2 4 2 2 10 2 8" xfId="22300" xr:uid="{00000000-0005-0000-0000-00001C570000}"/>
    <cellStyle name="Normal 2 2 4 2 2 10 2 9" xfId="22301" xr:uid="{00000000-0005-0000-0000-00001D570000}"/>
    <cellStyle name="Normal 2 2 4 2 2 10 3" xfId="22302" xr:uid="{00000000-0005-0000-0000-00001E570000}"/>
    <cellStyle name="Normal 2 2 4 2 2 10 3 10" xfId="22303" xr:uid="{00000000-0005-0000-0000-00001F570000}"/>
    <cellStyle name="Normal 2 2 4 2 2 10 3 2" xfId="22304" xr:uid="{00000000-0005-0000-0000-000020570000}"/>
    <cellStyle name="Normal 2 2 4 2 2 10 3 3" xfId="22305" xr:uid="{00000000-0005-0000-0000-000021570000}"/>
    <cellStyle name="Normal 2 2 4 2 2 10 3 4" xfId="22306" xr:uid="{00000000-0005-0000-0000-000022570000}"/>
    <cellStyle name="Normal 2 2 4 2 2 10 3 5" xfId="22307" xr:uid="{00000000-0005-0000-0000-000023570000}"/>
    <cellStyle name="Normal 2 2 4 2 2 10 3 6" xfId="22308" xr:uid="{00000000-0005-0000-0000-000024570000}"/>
    <cellStyle name="Normal 2 2 4 2 2 10 3 7" xfId="22309" xr:uid="{00000000-0005-0000-0000-000025570000}"/>
    <cellStyle name="Normal 2 2 4 2 2 10 3 8" xfId="22310" xr:uid="{00000000-0005-0000-0000-000026570000}"/>
    <cellStyle name="Normal 2 2 4 2 2 10 3 9" xfId="22311" xr:uid="{00000000-0005-0000-0000-000027570000}"/>
    <cellStyle name="Normal 2 2 4 2 2 10 4" xfId="22312" xr:uid="{00000000-0005-0000-0000-000028570000}"/>
    <cellStyle name="Normal 2 2 4 2 2 10 4 10" xfId="22313" xr:uid="{00000000-0005-0000-0000-000029570000}"/>
    <cellStyle name="Normal 2 2 4 2 2 10 4 2" xfId="22314" xr:uid="{00000000-0005-0000-0000-00002A570000}"/>
    <cellStyle name="Normal 2 2 4 2 2 10 4 3" xfId="22315" xr:uid="{00000000-0005-0000-0000-00002B570000}"/>
    <cellStyle name="Normal 2 2 4 2 2 10 4 4" xfId="22316" xr:uid="{00000000-0005-0000-0000-00002C570000}"/>
    <cellStyle name="Normal 2 2 4 2 2 10 4 5" xfId="22317" xr:uid="{00000000-0005-0000-0000-00002D570000}"/>
    <cellStyle name="Normal 2 2 4 2 2 10 4 6" xfId="22318" xr:uid="{00000000-0005-0000-0000-00002E570000}"/>
    <cellStyle name="Normal 2 2 4 2 2 10 4 7" xfId="22319" xr:uid="{00000000-0005-0000-0000-00002F570000}"/>
    <cellStyle name="Normal 2 2 4 2 2 10 4 8" xfId="22320" xr:uid="{00000000-0005-0000-0000-000030570000}"/>
    <cellStyle name="Normal 2 2 4 2 2 10 4 9" xfId="22321" xr:uid="{00000000-0005-0000-0000-000031570000}"/>
    <cellStyle name="Normal 2 2 4 2 2 10 5" xfId="22322" xr:uid="{00000000-0005-0000-0000-000032570000}"/>
    <cellStyle name="Normal 2 2 4 2 2 10 5 10" xfId="22323" xr:uid="{00000000-0005-0000-0000-000033570000}"/>
    <cellStyle name="Normal 2 2 4 2 2 10 5 2" xfId="22324" xr:uid="{00000000-0005-0000-0000-000034570000}"/>
    <cellStyle name="Normal 2 2 4 2 2 10 5 3" xfId="22325" xr:uid="{00000000-0005-0000-0000-000035570000}"/>
    <cellStyle name="Normal 2 2 4 2 2 10 5 4" xfId="22326" xr:uid="{00000000-0005-0000-0000-000036570000}"/>
    <cellStyle name="Normal 2 2 4 2 2 10 5 5" xfId="22327" xr:uid="{00000000-0005-0000-0000-000037570000}"/>
    <cellStyle name="Normal 2 2 4 2 2 10 5 6" xfId="22328" xr:uid="{00000000-0005-0000-0000-000038570000}"/>
    <cellStyle name="Normal 2 2 4 2 2 10 5 7" xfId="22329" xr:uid="{00000000-0005-0000-0000-000039570000}"/>
    <cellStyle name="Normal 2 2 4 2 2 10 5 8" xfId="22330" xr:uid="{00000000-0005-0000-0000-00003A570000}"/>
    <cellStyle name="Normal 2 2 4 2 2 10 5 9" xfId="22331" xr:uid="{00000000-0005-0000-0000-00003B570000}"/>
    <cellStyle name="Normal 2 2 4 2 2 10 6" xfId="22332" xr:uid="{00000000-0005-0000-0000-00003C570000}"/>
    <cellStyle name="Normal 2 2 4 2 2 10 7" xfId="22333" xr:uid="{00000000-0005-0000-0000-00003D570000}"/>
    <cellStyle name="Normal 2 2 4 2 2 10 8" xfId="22334" xr:uid="{00000000-0005-0000-0000-00003E570000}"/>
    <cellStyle name="Normal 2 2 4 2 2 10 9" xfId="22335" xr:uid="{00000000-0005-0000-0000-00003F570000}"/>
    <cellStyle name="Normal 2 2 4 2 2 11" xfId="22336" xr:uid="{00000000-0005-0000-0000-000040570000}"/>
    <cellStyle name="Normal 2 2 4 2 2 11 10" xfId="22337" xr:uid="{00000000-0005-0000-0000-000041570000}"/>
    <cellStyle name="Normal 2 2 4 2 2 11 11" xfId="22338" xr:uid="{00000000-0005-0000-0000-000042570000}"/>
    <cellStyle name="Normal 2 2 4 2 2 11 12" xfId="22339" xr:uid="{00000000-0005-0000-0000-000043570000}"/>
    <cellStyle name="Normal 2 2 4 2 2 11 13" xfId="22340" xr:uid="{00000000-0005-0000-0000-000044570000}"/>
    <cellStyle name="Normal 2 2 4 2 2 11 14" xfId="22341" xr:uid="{00000000-0005-0000-0000-000045570000}"/>
    <cellStyle name="Normal 2 2 4 2 2 11 2" xfId="22342" xr:uid="{00000000-0005-0000-0000-000046570000}"/>
    <cellStyle name="Normal 2 2 4 2 2 11 2 10" xfId="22343" xr:uid="{00000000-0005-0000-0000-000047570000}"/>
    <cellStyle name="Normal 2 2 4 2 2 11 2 2" xfId="22344" xr:uid="{00000000-0005-0000-0000-000048570000}"/>
    <cellStyle name="Normal 2 2 4 2 2 11 2 3" xfId="22345" xr:uid="{00000000-0005-0000-0000-000049570000}"/>
    <cellStyle name="Normal 2 2 4 2 2 11 2 4" xfId="22346" xr:uid="{00000000-0005-0000-0000-00004A570000}"/>
    <cellStyle name="Normal 2 2 4 2 2 11 2 5" xfId="22347" xr:uid="{00000000-0005-0000-0000-00004B570000}"/>
    <cellStyle name="Normal 2 2 4 2 2 11 2 6" xfId="22348" xr:uid="{00000000-0005-0000-0000-00004C570000}"/>
    <cellStyle name="Normal 2 2 4 2 2 11 2 7" xfId="22349" xr:uid="{00000000-0005-0000-0000-00004D570000}"/>
    <cellStyle name="Normal 2 2 4 2 2 11 2 8" xfId="22350" xr:uid="{00000000-0005-0000-0000-00004E570000}"/>
    <cellStyle name="Normal 2 2 4 2 2 11 2 9" xfId="22351" xr:uid="{00000000-0005-0000-0000-00004F570000}"/>
    <cellStyle name="Normal 2 2 4 2 2 11 3" xfId="22352" xr:uid="{00000000-0005-0000-0000-000050570000}"/>
    <cellStyle name="Normal 2 2 4 2 2 11 3 10" xfId="22353" xr:uid="{00000000-0005-0000-0000-000051570000}"/>
    <cellStyle name="Normal 2 2 4 2 2 11 3 2" xfId="22354" xr:uid="{00000000-0005-0000-0000-000052570000}"/>
    <cellStyle name="Normal 2 2 4 2 2 11 3 3" xfId="22355" xr:uid="{00000000-0005-0000-0000-000053570000}"/>
    <cellStyle name="Normal 2 2 4 2 2 11 3 4" xfId="22356" xr:uid="{00000000-0005-0000-0000-000054570000}"/>
    <cellStyle name="Normal 2 2 4 2 2 11 3 5" xfId="22357" xr:uid="{00000000-0005-0000-0000-000055570000}"/>
    <cellStyle name="Normal 2 2 4 2 2 11 3 6" xfId="22358" xr:uid="{00000000-0005-0000-0000-000056570000}"/>
    <cellStyle name="Normal 2 2 4 2 2 11 3 7" xfId="22359" xr:uid="{00000000-0005-0000-0000-000057570000}"/>
    <cellStyle name="Normal 2 2 4 2 2 11 3 8" xfId="22360" xr:uid="{00000000-0005-0000-0000-000058570000}"/>
    <cellStyle name="Normal 2 2 4 2 2 11 3 9" xfId="22361" xr:uid="{00000000-0005-0000-0000-000059570000}"/>
    <cellStyle name="Normal 2 2 4 2 2 11 4" xfId="22362" xr:uid="{00000000-0005-0000-0000-00005A570000}"/>
    <cellStyle name="Normal 2 2 4 2 2 11 4 10" xfId="22363" xr:uid="{00000000-0005-0000-0000-00005B570000}"/>
    <cellStyle name="Normal 2 2 4 2 2 11 4 2" xfId="22364" xr:uid="{00000000-0005-0000-0000-00005C570000}"/>
    <cellStyle name="Normal 2 2 4 2 2 11 4 3" xfId="22365" xr:uid="{00000000-0005-0000-0000-00005D570000}"/>
    <cellStyle name="Normal 2 2 4 2 2 11 4 4" xfId="22366" xr:uid="{00000000-0005-0000-0000-00005E570000}"/>
    <cellStyle name="Normal 2 2 4 2 2 11 4 5" xfId="22367" xr:uid="{00000000-0005-0000-0000-00005F570000}"/>
    <cellStyle name="Normal 2 2 4 2 2 11 4 6" xfId="22368" xr:uid="{00000000-0005-0000-0000-000060570000}"/>
    <cellStyle name="Normal 2 2 4 2 2 11 4 7" xfId="22369" xr:uid="{00000000-0005-0000-0000-000061570000}"/>
    <cellStyle name="Normal 2 2 4 2 2 11 4 8" xfId="22370" xr:uid="{00000000-0005-0000-0000-000062570000}"/>
    <cellStyle name="Normal 2 2 4 2 2 11 4 9" xfId="22371" xr:uid="{00000000-0005-0000-0000-000063570000}"/>
    <cellStyle name="Normal 2 2 4 2 2 11 5" xfId="22372" xr:uid="{00000000-0005-0000-0000-000064570000}"/>
    <cellStyle name="Normal 2 2 4 2 2 11 5 10" xfId="22373" xr:uid="{00000000-0005-0000-0000-000065570000}"/>
    <cellStyle name="Normal 2 2 4 2 2 11 5 2" xfId="22374" xr:uid="{00000000-0005-0000-0000-000066570000}"/>
    <cellStyle name="Normal 2 2 4 2 2 11 5 3" xfId="22375" xr:uid="{00000000-0005-0000-0000-000067570000}"/>
    <cellStyle name="Normal 2 2 4 2 2 11 5 4" xfId="22376" xr:uid="{00000000-0005-0000-0000-000068570000}"/>
    <cellStyle name="Normal 2 2 4 2 2 11 5 5" xfId="22377" xr:uid="{00000000-0005-0000-0000-000069570000}"/>
    <cellStyle name="Normal 2 2 4 2 2 11 5 6" xfId="22378" xr:uid="{00000000-0005-0000-0000-00006A570000}"/>
    <cellStyle name="Normal 2 2 4 2 2 11 5 7" xfId="22379" xr:uid="{00000000-0005-0000-0000-00006B570000}"/>
    <cellStyle name="Normal 2 2 4 2 2 11 5 8" xfId="22380" xr:uid="{00000000-0005-0000-0000-00006C570000}"/>
    <cellStyle name="Normal 2 2 4 2 2 11 5 9" xfId="22381" xr:uid="{00000000-0005-0000-0000-00006D570000}"/>
    <cellStyle name="Normal 2 2 4 2 2 11 6" xfId="22382" xr:uid="{00000000-0005-0000-0000-00006E570000}"/>
    <cellStyle name="Normal 2 2 4 2 2 11 7" xfId="22383" xr:uid="{00000000-0005-0000-0000-00006F570000}"/>
    <cellStyle name="Normal 2 2 4 2 2 11 8" xfId="22384" xr:uid="{00000000-0005-0000-0000-000070570000}"/>
    <cellStyle name="Normal 2 2 4 2 2 11 9" xfId="22385" xr:uid="{00000000-0005-0000-0000-000071570000}"/>
    <cellStyle name="Normal 2 2 4 2 2 12" xfId="22386" xr:uid="{00000000-0005-0000-0000-000072570000}"/>
    <cellStyle name="Normal 2 2 4 2 2 12 10" xfId="22387" xr:uid="{00000000-0005-0000-0000-000073570000}"/>
    <cellStyle name="Normal 2 2 4 2 2 12 11" xfId="22388" xr:uid="{00000000-0005-0000-0000-000074570000}"/>
    <cellStyle name="Normal 2 2 4 2 2 12 12" xfId="22389" xr:uid="{00000000-0005-0000-0000-000075570000}"/>
    <cellStyle name="Normal 2 2 4 2 2 12 13" xfId="22390" xr:uid="{00000000-0005-0000-0000-000076570000}"/>
    <cellStyle name="Normal 2 2 4 2 2 12 14" xfId="22391" xr:uid="{00000000-0005-0000-0000-000077570000}"/>
    <cellStyle name="Normal 2 2 4 2 2 12 2" xfId="22392" xr:uid="{00000000-0005-0000-0000-000078570000}"/>
    <cellStyle name="Normal 2 2 4 2 2 12 2 10" xfId="22393" xr:uid="{00000000-0005-0000-0000-000079570000}"/>
    <cellStyle name="Normal 2 2 4 2 2 12 2 2" xfId="22394" xr:uid="{00000000-0005-0000-0000-00007A570000}"/>
    <cellStyle name="Normal 2 2 4 2 2 12 2 3" xfId="22395" xr:uid="{00000000-0005-0000-0000-00007B570000}"/>
    <cellStyle name="Normal 2 2 4 2 2 12 2 4" xfId="22396" xr:uid="{00000000-0005-0000-0000-00007C570000}"/>
    <cellStyle name="Normal 2 2 4 2 2 12 2 5" xfId="22397" xr:uid="{00000000-0005-0000-0000-00007D570000}"/>
    <cellStyle name="Normal 2 2 4 2 2 12 2 6" xfId="22398" xr:uid="{00000000-0005-0000-0000-00007E570000}"/>
    <cellStyle name="Normal 2 2 4 2 2 12 2 7" xfId="22399" xr:uid="{00000000-0005-0000-0000-00007F570000}"/>
    <cellStyle name="Normal 2 2 4 2 2 12 2 8" xfId="22400" xr:uid="{00000000-0005-0000-0000-000080570000}"/>
    <cellStyle name="Normal 2 2 4 2 2 12 2 9" xfId="22401" xr:uid="{00000000-0005-0000-0000-000081570000}"/>
    <cellStyle name="Normal 2 2 4 2 2 12 3" xfId="22402" xr:uid="{00000000-0005-0000-0000-000082570000}"/>
    <cellStyle name="Normal 2 2 4 2 2 12 3 10" xfId="22403" xr:uid="{00000000-0005-0000-0000-000083570000}"/>
    <cellStyle name="Normal 2 2 4 2 2 12 3 2" xfId="22404" xr:uid="{00000000-0005-0000-0000-000084570000}"/>
    <cellStyle name="Normal 2 2 4 2 2 12 3 3" xfId="22405" xr:uid="{00000000-0005-0000-0000-000085570000}"/>
    <cellStyle name="Normal 2 2 4 2 2 12 3 4" xfId="22406" xr:uid="{00000000-0005-0000-0000-000086570000}"/>
    <cellStyle name="Normal 2 2 4 2 2 12 3 5" xfId="22407" xr:uid="{00000000-0005-0000-0000-000087570000}"/>
    <cellStyle name="Normal 2 2 4 2 2 12 3 6" xfId="22408" xr:uid="{00000000-0005-0000-0000-000088570000}"/>
    <cellStyle name="Normal 2 2 4 2 2 12 3 7" xfId="22409" xr:uid="{00000000-0005-0000-0000-000089570000}"/>
    <cellStyle name="Normal 2 2 4 2 2 12 3 8" xfId="22410" xr:uid="{00000000-0005-0000-0000-00008A570000}"/>
    <cellStyle name="Normal 2 2 4 2 2 12 3 9" xfId="22411" xr:uid="{00000000-0005-0000-0000-00008B570000}"/>
    <cellStyle name="Normal 2 2 4 2 2 12 4" xfId="22412" xr:uid="{00000000-0005-0000-0000-00008C570000}"/>
    <cellStyle name="Normal 2 2 4 2 2 12 4 10" xfId="22413" xr:uid="{00000000-0005-0000-0000-00008D570000}"/>
    <cellStyle name="Normal 2 2 4 2 2 12 4 2" xfId="22414" xr:uid="{00000000-0005-0000-0000-00008E570000}"/>
    <cellStyle name="Normal 2 2 4 2 2 12 4 3" xfId="22415" xr:uid="{00000000-0005-0000-0000-00008F570000}"/>
    <cellStyle name="Normal 2 2 4 2 2 12 4 4" xfId="22416" xr:uid="{00000000-0005-0000-0000-000090570000}"/>
    <cellStyle name="Normal 2 2 4 2 2 12 4 5" xfId="22417" xr:uid="{00000000-0005-0000-0000-000091570000}"/>
    <cellStyle name="Normal 2 2 4 2 2 12 4 6" xfId="22418" xr:uid="{00000000-0005-0000-0000-000092570000}"/>
    <cellStyle name="Normal 2 2 4 2 2 12 4 7" xfId="22419" xr:uid="{00000000-0005-0000-0000-000093570000}"/>
    <cellStyle name="Normal 2 2 4 2 2 12 4 8" xfId="22420" xr:uid="{00000000-0005-0000-0000-000094570000}"/>
    <cellStyle name="Normal 2 2 4 2 2 12 4 9" xfId="22421" xr:uid="{00000000-0005-0000-0000-000095570000}"/>
    <cellStyle name="Normal 2 2 4 2 2 12 5" xfId="22422" xr:uid="{00000000-0005-0000-0000-000096570000}"/>
    <cellStyle name="Normal 2 2 4 2 2 12 5 10" xfId="22423" xr:uid="{00000000-0005-0000-0000-000097570000}"/>
    <cellStyle name="Normal 2 2 4 2 2 12 5 2" xfId="22424" xr:uid="{00000000-0005-0000-0000-000098570000}"/>
    <cellStyle name="Normal 2 2 4 2 2 12 5 3" xfId="22425" xr:uid="{00000000-0005-0000-0000-000099570000}"/>
    <cellStyle name="Normal 2 2 4 2 2 12 5 4" xfId="22426" xr:uid="{00000000-0005-0000-0000-00009A570000}"/>
    <cellStyle name="Normal 2 2 4 2 2 12 5 5" xfId="22427" xr:uid="{00000000-0005-0000-0000-00009B570000}"/>
    <cellStyle name="Normal 2 2 4 2 2 12 5 6" xfId="22428" xr:uid="{00000000-0005-0000-0000-00009C570000}"/>
    <cellStyle name="Normal 2 2 4 2 2 12 5 7" xfId="22429" xr:uid="{00000000-0005-0000-0000-00009D570000}"/>
    <cellStyle name="Normal 2 2 4 2 2 12 5 8" xfId="22430" xr:uid="{00000000-0005-0000-0000-00009E570000}"/>
    <cellStyle name="Normal 2 2 4 2 2 12 5 9" xfId="22431" xr:uid="{00000000-0005-0000-0000-00009F570000}"/>
    <cellStyle name="Normal 2 2 4 2 2 12 6" xfId="22432" xr:uid="{00000000-0005-0000-0000-0000A0570000}"/>
    <cellStyle name="Normal 2 2 4 2 2 12 7" xfId="22433" xr:uid="{00000000-0005-0000-0000-0000A1570000}"/>
    <cellStyle name="Normal 2 2 4 2 2 12 8" xfId="22434" xr:uid="{00000000-0005-0000-0000-0000A2570000}"/>
    <cellStyle name="Normal 2 2 4 2 2 12 9" xfId="22435" xr:uid="{00000000-0005-0000-0000-0000A3570000}"/>
    <cellStyle name="Normal 2 2 4 2 2 13" xfId="22436" xr:uid="{00000000-0005-0000-0000-0000A4570000}"/>
    <cellStyle name="Normal 2 2 4 2 2 13 10" xfId="22437" xr:uid="{00000000-0005-0000-0000-0000A5570000}"/>
    <cellStyle name="Normal 2 2 4 2 2 13 11" xfId="22438" xr:uid="{00000000-0005-0000-0000-0000A6570000}"/>
    <cellStyle name="Normal 2 2 4 2 2 13 12" xfId="22439" xr:uid="{00000000-0005-0000-0000-0000A7570000}"/>
    <cellStyle name="Normal 2 2 4 2 2 13 13" xfId="22440" xr:uid="{00000000-0005-0000-0000-0000A8570000}"/>
    <cellStyle name="Normal 2 2 4 2 2 13 14" xfId="22441" xr:uid="{00000000-0005-0000-0000-0000A9570000}"/>
    <cellStyle name="Normal 2 2 4 2 2 13 2" xfId="22442" xr:uid="{00000000-0005-0000-0000-0000AA570000}"/>
    <cellStyle name="Normal 2 2 4 2 2 13 2 10" xfId="22443" xr:uid="{00000000-0005-0000-0000-0000AB570000}"/>
    <cellStyle name="Normal 2 2 4 2 2 13 2 2" xfId="22444" xr:uid="{00000000-0005-0000-0000-0000AC570000}"/>
    <cellStyle name="Normal 2 2 4 2 2 13 2 3" xfId="22445" xr:uid="{00000000-0005-0000-0000-0000AD570000}"/>
    <cellStyle name="Normal 2 2 4 2 2 13 2 4" xfId="22446" xr:uid="{00000000-0005-0000-0000-0000AE570000}"/>
    <cellStyle name="Normal 2 2 4 2 2 13 2 5" xfId="22447" xr:uid="{00000000-0005-0000-0000-0000AF570000}"/>
    <cellStyle name="Normal 2 2 4 2 2 13 2 6" xfId="22448" xr:uid="{00000000-0005-0000-0000-0000B0570000}"/>
    <cellStyle name="Normal 2 2 4 2 2 13 2 7" xfId="22449" xr:uid="{00000000-0005-0000-0000-0000B1570000}"/>
    <cellStyle name="Normal 2 2 4 2 2 13 2 8" xfId="22450" xr:uid="{00000000-0005-0000-0000-0000B2570000}"/>
    <cellStyle name="Normal 2 2 4 2 2 13 2 9" xfId="22451" xr:uid="{00000000-0005-0000-0000-0000B3570000}"/>
    <cellStyle name="Normal 2 2 4 2 2 13 3" xfId="22452" xr:uid="{00000000-0005-0000-0000-0000B4570000}"/>
    <cellStyle name="Normal 2 2 4 2 2 13 3 10" xfId="22453" xr:uid="{00000000-0005-0000-0000-0000B5570000}"/>
    <cellStyle name="Normal 2 2 4 2 2 13 3 2" xfId="22454" xr:uid="{00000000-0005-0000-0000-0000B6570000}"/>
    <cellStyle name="Normal 2 2 4 2 2 13 3 3" xfId="22455" xr:uid="{00000000-0005-0000-0000-0000B7570000}"/>
    <cellStyle name="Normal 2 2 4 2 2 13 3 4" xfId="22456" xr:uid="{00000000-0005-0000-0000-0000B8570000}"/>
    <cellStyle name="Normal 2 2 4 2 2 13 3 5" xfId="22457" xr:uid="{00000000-0005-0000-0000-0000B9570000}"/>
    <cellStyle name="Normal 2 2 4 2 2 13 3 6" xfId="22458" xr:uid="{00000000-0005-0000-0000-0000BA570000}"/>
    <cellStyle name="Normal 2 2 4 2 2 13 3 7" xfId="22459" xr:uid="{00000000-0005-0000-0000-0000BB570000}"/>
    <cellStyle name="Normal 2 2 4 2 2 13 3 8" xfId="22460" xr:uid="{00000000-0005-0000-0000-0000BC570000}"/>
    <cellStyle name="Normal 2 2 4 2 2 13 3 9" xfId="22461" xr:uid="{00000000-0005-0000-0000-0000BD570000}"/>
    <cellStyle name="Normal 2 2 4 2 2 13 4" xfId="22462" xr:uid="{00000000-0005-0000-0000-0000BE570000}"/>
    <cellStyle name="Normal 2 2 4 2 2 13 4 10" xfId="22463" xr:uid="{00000000-0005-0000-0000-0000BF570000}"/>
    <cellStyle name="Normal 2 2 4 2 2 13 4 2" xfId="22464" xr:uid="{00000000-0005-0000-0000-0000C0570000}"/>
    <cellStyle name="Normal 2 2 4 2 2 13 4 3" xfId="22465" xr:uid="{00000000-0005-0000-0000-0000C1570000}"/>
    <cellStyle name="Normal 2 2 4 2 2 13 4 4" xfId="22466" xr:uid="{00000000-0005-0000-0000-0000C2570000}"/>
    <cellStyle name="Normal 2 2 4 2 2 13 4 5" xfId="22467" xr:uid="{00000000-0005-0000-0000-0000C3570000}"/>
    <cellStyle name="Normal 2 2 4 2 2 13 4 6" xfId="22468" xr:uid="{00000000-0005-0000-0000-0000C4570000}"/>
    <cellStyle name="Normal 2 2 4 2 2 13 4 7" xfId="22469" xr:uid="{00000000-0005-0000-0000-0000C5570000}"/>
    <cellStyle name="Normal 2 2 4 2 2 13 4 8" xfId="22470" xr:uid="{00000000-0005-0000-0000-0000C6570000}"/>
    <cellStyle name="Normal 2 2 4 2 2 13 4 9" xfId="22471" xr:uid="{00000000-0005-0000-0000-0000C7570000}"/>
    <cellStyle name="Normal 2 2 4 2 2 13 5" xfId="22472" xr:uid="{00000000-0005-0000-0000-0000C8570000}"/>
    <cellStyle name="Normal 2 2 4 2 2 13 5 10" xfId="22473" xr:uid="{00000000-0005-0000-0000-0000C9570000}"/>
    <cellStyle name="Normal 2 2 4 2 2 13 5 2" xfId="22474" xr:uid="{00000000-0005-0000-0000-0000CA570000}"/>
    <cellStyle name="Normal 2 2 4 2 2 13 5 3" xfId="22475" xr:uid="{00000000-0005-0000-0000-0000CB570000}"/>
    <cellStyle name="Normal 2 2 4 2 2 13 5 4" xfId="22476" xr:uid="{00000000-0005-0000-0000-0000CC570000}"/>
    <cellStyle name="Normal 2 2 4 2 2 13 5 5" xfId="22477" xr:uid="{00000000-0005-0000-0000-0000CD570000}"/>
    <cellStyle name="Normal 2 2 4 2 2 13 5 6" xfId="22478" xr:uid="{00000000-0005-0000-0000-0000CE570000}"/>
    <cellStyle name="Normal 2 2 4 2 2 13 5 7" xfId="22479" xr:uid="{00000000-0005-0000-0000-0000CF570000}"/>
    <cellStyle name="Normal 2 2 4 2 2 13 5 8" xfId="22480" xr:uid="{00000000-0005-0000-0000-0000D0570000}"/>
    <cellStyle name="Normal 2 2 4 2 2 13 5 9" xfId="22481" xr:uid="{00000000-0005-0000-0000-0000D1570000}"/>
    <cellStyle name="Normal 2 2 4 2 2 13 6" xfId="22482" xr:uid="{00000000-0005-0000-0000-0000D2570000}"/>
    <cellStyle name="Normal 2 2 4 2 2 13 7" xfId="22483" xr:uid="{00000000-0005-0000-0000-0000D3570000}"/>
    <cellStyle name="Normal 2 2 4 2 2 13 8" xfId="22484" xr:uid="{00000000-0005-0000-0000-0000D4570000}"/>
    <cellStyle name="Normal 2 2 4 2 2 13 9" xfId="22485" xr:uid="{00000000-0005-0000-0000-0000D5570000}"/>
    <cellStyle name="Normal 2 2 4 2 2 14" xfId="22486" xr:uid="{00000000-0005-0000-0000-0000D6570000}"/>
    <cellStyle name="Normal 2 2 4 2 2 14 10" xfId="22487" xr:uid="{00000000-0005-0000-0000-0000D7570000}"/>
    <cellStyle name="Normal 2 2 4 2 2 14 11" xfId="22488" xr:uid="{00000000-0005-0000-0000-0000D8570000}"/>
    <cellStyle name="Normal 2 2 4 2 2 14 12" xfId="22489" xr:uid="{00000000-0005-0000-0000-0000D9570000}"/>
    <cellStyle name="Normal 2 2 4 2 2 14 13" xfId="22490" xr:uid="{00000000-0005-0000-0000-0000DA570000}"/>
    <cellStyle name="Normal 2 2 4 2 2 14 14" xfId="22491" xr:uid="{00000000-0005-0000-0000-0000DB570000}"/>
    <cellStyle name="Normal 2 2 4 2 2 14 2" xfId="22492" xr:uid="{00000000-0005-0000-0000-0000DC570000}"/>
    <cellStyle name="Normal 2 2 4 2 2 14 2 10" xfId="22493" xr:uid="{00000000-0005-0000-0000-0000DD570000}"/>
    <cellStyle name="Normal 2 2 4 2 2 14 2 2" xfId="22494" xr:uid="{00000000-0005-0000-0000-0000DE570000}"/>
    <cellStyle name="Normal 2 2 4 2 2 14 2 3" xfId="22495" xr:uid="{00000000-0005-0000-0000-0000DF570000}"/>
    <cellStyle name="Normal 2 2 4 2 2 14 2 4" xfId="22496" xr:uid="{00000000-0005-0000-0000-0000E0570000}"/>
    <cellStyle name="Normal 2 2 4 2 2 14 2 5" xfId="22497" xr:uid="{00000000-0005-0000-0000-0000E1570000}"/>
    <cellStyle name="Normal 2 2 4 2 2 14 2 6" xfId="22498" xr:uid="{00000000-0005-0000-0000-0000E2570000}"/>
    <cellStyle name="Normal 2 2 4 2 2 14 2 7" xfId="22499" xr:uid="{00000000-0005-0000-0000-0000E3570000}"/>
    <cellStyle name="Normal 2 2 4 2 2 14 2 8" xfId="22500" xr:uid="{00000000-0005-0000-0000-0000E4570000}"/>
    <cellStyle name="Normal 2 2 4 2 2 14 2 9" xfId="22501" xr:uid="{00000000-0005-0000-0000-0000E5570000}"/>
    <cellStyle name="Normal 2 2 4 2 2 14 3" xfId="22502" xr:uid="{00000000-0005-0000-0000-0000E6570000}"/>
    <cellStyle name="Normal 2 2 4 2 2 14 3 10" xfId="22503" xr:uid="{00000000-0005-0000-0000-0000E7570000}"/>
    <cellStyle name="Normal 2 2 4 2 2 14 3 2" xfId="22504" xr:uid="{00000000-0005-0000-0000-0000E8570000}"/>
    <cellStyle name="Normal 2 2 4 2 2 14 3 3" xfId="22505" xr:uid="{00000000-0005-0000-0000-0000E9570000}"/>
    <cellStyle name="Normal 2 2 4 2 2 14 3 4" xfId="22506" xr:uid="{00000000-0005-0000-0000-0000EA570000}"/>
    <cellStyle name="Normal 2 2 4 2 2 14 3 5" xfId="22507" xr:uid="{00000000-0005-0000-0000-0000EB570000}"/>
    <cellStyle name="Normal 2 2 4 2 2 14 3 6" xfId="22508" xr:uid="{00000000-0005-0000-0000-0000EC570000}"/>
    <cellStyle name="Normal 2 2 4 2 2 14 3 7" xfId="22509" xr:uid="{00000000-0005-0000-0000-0000ED570000}"/>
    <cellStyle name="Normal 2 2 4 2 2 14 3 8" xfId="22510" xr:uid="{00000000-0005-0000-0000-0000EE570000}"/>
    <cellStyle name="Normal 2 2 4 2 2 14 3 9" xfId="22511" xr:uid="{00000000-0005-0000-0000-0000EF570000}"/>
    <cellStyle name="Normal 2 2 4 2 2 14 4" xfId="22512" xr:uid="{00000000-0005-0000-0000-0000F0570000}"/>
    <cellStyle name="Normal 2 2 4 2 2 14 4 10" xfId="22513" xr:uid="{00000000-0005-0000-0000-0000F1570000}"/>
    <cellStyle name="Normal 2 2 4 2 2 14 4 2" xfId="22514" xr:uid="{00000000-0005-0000-0000-0000F2570000}"/>
    <cellStyle name="Normal 2 2 4 2 2 14 4 3" xfId="22515" xr:uid="{00000000-0005-0000-0000-0000F3570000}"/>
    <cellStyle name="Normal 2 2 4 2 2 14 4 4" xfId="22516" xr:uid="{00000000-0005-0000-0000-0000F4570000}"/>
    <cellStyle name="Normal 2 2 4 2 2 14 4 5" xfId="22517" xr:uid="{00000000-0005-0000-0000-0000F5570000}"/>
    <cellStyle name="Normal 2 2 4 2 2 14 4 6" xfId="22518" xr:uid="{00000000-0005-0000-0000-0000F6570000}"/>
    <cellStyle name="Normal 2 2 4 2 2 14 4 7" xfId="22519" xr:uid="{00000000-0005-0000-0000-0000F7570000}"/>
    <cellStyle name="Normal 2 2 4 2 2 14 4 8" xfId="22520" xr:uid="{00000000-0005-0000-0000-0000F8570000}"/>
    <cellStyle name="Normal 2 2 4 2 2 14 4 9" xfId="22521" xr:uid="{00000000-0005-0000-0000-0000F9570000}"/>
    <cellStyle name="Normal 2 2 4 2 2 14 5" xfId="22522" xr:uid="{00000000-0005-0000-0000-0000FA570000}"/>
    <cellStyle name="Normal 2 2 4 2 2 14 5 10" xfId="22523" xr:uid="{00000000-0005-0000-0000-0000FB570000}"/>
    <cellStyle name="Normal 2 2 4 2 2 14 5 2" xfId="22524" xr:uid="{00000000-0005-0000-0000-0000FC570000}"/>
    <cellStyle name="Normal 2 2 4 2 2 14 5 3" xfId="22525" xr:uid="{00000000-0005-0000-0000-0000FD570000}"/>
    <cellStyle name="Normal 2 2 4 2 2 14 5 4" xfId="22526" xr:uid="{00000000-0005-0000-0000-0000FE570000}"/>
    <cellStyle name="Normal 2 2 4 2 2 14 5 5" xfId="22527" xr:uid="{00000000-0005-0000-0000-0000FF570000}"/>
    <cellStyle name="Normal 2 2 4 2 2 14 5 6" xfId="22528" xr:uid="{00000000-0005-0000-0000-000000580000}"/>
    <cellStyle name="Normal 2 2 4 2 2 14 5 7" xfId="22529" xr:uid="{00000000-0005-0000-0000-000001580000}"/>
    <cellStyle name="Normal 2 2 4 2 2 14 5 8" xfId="22530" xr:uid="{00000000-0005-0000-0000-000002580000}"/>
    <cellStyle name="Normal 2 2 4 2 2 14 5 9" xfId="22531" xr:uid="{00000000-0005-0000-0000-000003580000}"/>
    <cellStyle name="Normal 2 2 4 2 2 14 6" xfId="22532" xr:uid="{00000000-0005-0000-0000-000004580000}"/>
    <cellStyle name="Normal 2 2 4 2 2 14 7" xfId="22533" xr:uid="{00000000-0005-0000-0000-000005580000}"/>
    <cellStyle name="Normal 2 2 4 2 2 14 8" xfId="22534" xr:uid="{00000000-0005-0000-0000-000006580000}"/>
    <cellStyle name="Normal 2 2 4 2 2 14 9" xfId="22535" xr:uid="{00000000-0005-0000-0000-000007580000}"/>
    <cellStyle name="Normal 2 2 4 2 2 15" xfId="22536" xr:uid="{00000000-0005-0000-0000-000008580000}"/>
    <cellStyle name="Normal 2 2 4 2 2 15 10" xfId="22537" xr:uid="{00000000-0005-0000-0000-000009580000}"/>
    <cellStyle name="Normal 2 2 4 2 2 15 11" xfId="22538" xr:uid="{00000000-0005-0000-0000-00000A580000}"/>
    <cellStyle name="Normal 2 2 4 2 2 15 12" xfId="22539" xr:uid="{00000000-0005-0000-0000-00000B580000}"/>
    <cellStyle name="Normal 2 2 4 2 2 15 13" xfId="22540" xr:uid="{00000000-0005-0000-0000-00000C580000}"/>
    <cellStyle name="Normal 2 2 4 2 2 15 14" xfId="22541" xr:uid="{00000000-0005-0000-0000-00000D580000}"/>
    <cellStyle name="Normal 2 2 4 2 2 15 2" xfId="22542" xr:uid="{00000000-0005-0000-0000-00000E580000}"/>
    <cellStyle name="Normal 2 2 4 2 2 15 2 10" xfId="22543" xr:uid="{00000000-0005-0000-0000-00000F580000}"/>
    <cellStyle name="Normal 2 2 4 2 2 15 2 2" xfId="22544" xr:uid="{00000000-0005-0000-0000-000010580000}"/>
    <cellStyle name="Normal 2 2 4 2 2 15 2 3" xfId="22545" xr:uid="{00000000-0005-0000-0000-000011580000}"/>
    <cellStyle name="Normal 2 2 4 2 2 15 2 4" xfId="22546" xr:uid="{00000000-0005-0000-0000-000012580000}"/>
    <cellStyle name="Normal 2 2 4 2 2 15 2 5" xfId="22547" xr:uid="{00000000-0005-0000-0000-000013580000}"/>
    <cellStyle name="Normal 2 2 4 2 2 15 2 6" xfId="22548" xr:uid="{00000000-0005-0000-0000-000014580000}"/>
    <cellStyle name="Normal 2 2 4 2 2 15 2 7" xfId="22549" xr:uid="{00000000-0005-0000-0000-000015580000}"/>
    <cellStyle name="Normal 2 2 4 2 2 15 2 8" xfId="22550" xr:uid="{00000000-0005-0000-0000-000016580000}"/>
    <cellStyle name="Normal 2 2 4 2 2 15 2 9" xfId="22551" xr:uid="{00000000-0005-0000-0000-000017580000}"/>
    <cellStyle name="Normal 2 2 4 2 2 15 3" xfId="22552" xr:uid="{00000000-0005-0000-0000-000018580000}"/>
    <cellStyle name="Normal 2 2 4 2 2 15 3 10" xfId="22553" xr:uid="{00000000-0005-0000-0000-000019580000}"/>
    <cellStyle name="Normal 2 2 4 2 2 15 3 2" xfId="22554" xr:uid="{00000000-0005-0000-0000-00001A580000}"/>
    <cellStyle name="Normal 2 2 4 2 2 15 3 3" xfId="22555" xr:uid="{00000000-0005-0000-0000-00001B580000}"/>
    <cellStyle name="Normal 2 2 4 2 2 15 3 4" xfId="22556" xr:uid="{00000000-0005-0000-0000-00001C580000}"/>
    <cellStyle name="Normal 2 2 4 2 2 15 3 5" xfId="22557" xr:uid="{00000000-0005-0000-0000-00001D580000}"/>
    <cellStyle name="Normal 2 2 4 2 2 15 3 6" xfId="22558" xr:uid="{00000000-0005-0000-0000-00001E580000}"/>
    <cellStyle name="Normal 2 2 4 2 2 15 3 7" xfId="22559" xr:uid="{00000000-0005-0000-0000-00001F580000}"/>
    <cellStyle name="Normal 2 2 4 2 2 15 3 8" xfId="22560" xr:uid="{00000000-0005-0000-0000-000020580000}"/>
    <cellStyle name="Normal 2 2 4 2 2 15 3 9" xfId="22561" xr:uid="{00000000-0005-0000-0000-000021580000}"/>
    <cellStyle name="Normal 2 2 4 2 2 15 4" xfId="22562" xr:uid="{00000000-0005-0000-0000-000022580000}"/>
    <cellStyle name="Normal 2 2 4 2 2 15 4 10" xfId="22563" xr:uid="{00000000-0005-0000-0000-000023580000}"/>
    <cellStyle name="Normal 2 2 4 2 2 15 4 2" xfId="22564" xr:uid="{00000000-0005-0000-0000-000024580000}"/>
    <cellStyle name="Normal 2 2 4 2 2 15 4 3" xfId="22565" xr:uid="{00000000-0005-0000-0000-000025580000}"/>
    <cellStyle name="Normal 2 2 4 2 2 15 4 4" xfId="22566" xr:uid="{00000000-0005-0000-0000-000026580000}"/>
    <cellStyle name="Normal 2 2 4 2 2 15 4 5" xfId="22567" xr:uid="{00000000-0005-0000-0000-000027580000}"/>
    <cellStyle name="Normal 2 2 4 2 2 15 4 6" xfId="22568" xr:uid="{00000000-0005-0000-0000-000028580000}"/>
    <cellStyle name="Normal 2 2 4 2 2 15 4 7" xfId="22569" xr:uid="{00000000-0005-0000-0000-000029580000}"/>
    <cellStyle name="Normal 2 2 4 2 2 15 4 8" xfId="22570" xr:uid="{00000000-0005-0000-0000-00002A580000}"/>
    <cellStyle name="Normal 2 2 4 2 2 15 4 9" xfId="22571" xr:uid="{00000000-0005-0000-0000-00002B580000}"/>
    <cellStyle name="Normal 2 2 4 2 2 15 5" xfId="22572" xr:uid="{00000000-0005-0000-0000-00002C580000}"/>
    <cellStyle name="Normal 2 2 4 2 2 15 5 10" xfId="22573" xr:uid="{00000000-0005-0000-0000-00002D580000}"/>
    <cellStyle name="Normal 2 2 4 2 2 15 5 2" xfId="22574" xr:uid="{00000000-0005-0000-0000-00002E580000}"/>
    <cellStyle name="Normal 2 2 4 2 2 15 5 3" xfId="22575" xr:uid="{00000000-0005-0000-0000-00002F580000}"/>
    <cellStyle name="Normal 2 2 4 2 2 15 5 4" xfId="22576" xr:uid="{00000000-0005-0000-0000-000030580000}"/>
    <cellStyle name="Normal 2 2 4 2 2 15 5 5" xfId="22577" xr:uid="{00000000-0005-0000-0000-000031580000}"/>
    <cellStyle name="Normal 2 2 4 2 2 15 5 6" xfId="22578" xr:uid="{00000000-0005-0000-0000-000032580000}"/>
    <cellStyle name="Normal 2 2 4 2 2 15 5 7" xfId="22579" xr:uid="{00000000-0005-0000-0000-000033580000}"/>
    <cellStyle name="Normal 2 2 4 2 2 15 5 8" xfId="22580" xr:uid="{00000000-0005-0000-0000-000034580000}"/>
    <cellStyle name="Normal 2 2 4 2 2 15 5 9" xfId="22581" xr:uid="{00000000-0005-0000-0000-000035580000}"/>
    <cellStyle name="Normal 2 2 4 2 2 15 6" xfId="22582" xr:uid="{00000000-0005-0000-0000-000036580000}"/>
    <cellStyle name="Normal 2 2 4 2 2 15 7" xfId="22583" xr:uid="{00000000-0005-0000-0000-000037580000}"/>
    <cellStyle name="Normal 2 2 4 2 2 15 8" xfId="22584" xr:uid="{00000000-0005-0000-0000-000038580000}"/>
    <cellStyle name="Normal 2 2 4 2 2 15 9" xfId="22585" xr:uid="{00000000-0005-0000-0000-000039580000}"/>
    <cellStyle name="Normal 2 2 4 2 2 16" xfId="22586" xr:uid="{00000000-0005-0000-0000-00003A580000}"/>
    <cellStyle name="Normal 2 2 4 2 2 16 10" xfId="22587" xr:uid="{00000000-0005-0000-0000-00003B580000}"/>
    <cellStyle name="Normal 2 2 4 2 2 16 11" xfId="22588" xr:uid="{00000000-0005-0000-0000-00003C580000}"/>
    <cellStyle name="Normal 2 2 4 2 2 16 12" xfId="22589" xr:uid="{00000000-0005-0000-0000-00003D580000}"/>
    <cellStyle name="Normal 2 2 4 2 2 16 13" xfId="22590" xr:uid="{00000000-0005-0000-0000-00003E580000}"/>
    <cellStyle name="Normal 2 2 4 2 2 16 14" xfId="22591" xr:uid="{00000000-0005-0000-0000-00003F580000}"/>
    <cellStyle name="Normal 2 2 4 2 2 16 2" xfId="22592" xr:uid="{00000000-0005-0000-0000-000040580000}"/>
    <cellStyle name="Normal 2 2 4 2 2 16 2 10" xfId="22593" xr:uid="{00000000-0005-0000-0000-000041580000}"/>
    <cellStyle name="Normal 2 2 4 2 2 16 2 2" xfId="22594" xr:uid="{00000000-0005-0000-0000-000042580000}"/>
    <cellStyle name="Normal 2 2 4 2 2 16 2 3" xfId="22595" xr:uid="{00000000-0005-0000-0000-000043580000}"/>
    <cellStyle name="Normal 2 2 4 2 2 16 2 4" xfId="22596" xr:uid="{00000000-0005-0000-0000-000044580000}"/>
    <cellStyle name="Normal 2 2 4 2 2 16 2 5" xfId="22597" xr:uid="{00000000-0005-0000-0000-000045580000}"/>
    <cellStyle name="Normal 2 2 4 2 2 16 2 6" xfId="22598" xr:uid="{00000000-0005-0000-0000-000046580000}"/>
    <cellStyle name="Normal 2 2 4 2 2 16 2 7" xfId="22599" xr:uid="{00000000-0005-0000-0000-000047580000}"/>
    <cellStyle name="Normal 2 2 4 2 2 16 2 8" xfId="22600" xr:uid="{00000000-0005-0000-0000-000048580000}"/>
    <cellStyle name="Normal 2 2 4 2 2 16 2 9" xfId="22601" xr:uid="{00000000-0005-0000-0000-000049580000}"/>
    <cellStyle name="Normal 2 2 4 2 2 16 3" xfId="22602" xr:uid="{00000000-0005-0000-0000-00004A580000}"/>
    <cellStyle name="Normal 2 2 4 2 2 16 3 10" xfId="22603" xr:uid="{00000000-0005-0000-0000-00004B580000}"/>
    <cellStyle name="Normal 2 2 4 2 2 16 3 2" xfId="22604" xr:uid="{00000000-0005-0000-0000-00004C580000}"/>
    <cellStyle name="Normal 2 2 4 2 2 16 3 3" xfId="22605" xr:uid="{00000000-0005-0000-0000-00004D580000}"/>
    <cellStyle name="Normal 2 2 4 2 2 16 3 4" xfId="22606" xr:uid="{00000000-0005-0000-0000-00004E580000}"/>
    <cellStyle name="Normal 2 2 4 2 2 16 3 5" xfId="22607" xr:uid="{00000000-0005-0000-0000-00004F580000}"/>
    <cellStyle name="Normal 2 2 4 2 2 16 3 6" xfId="22608" xr:uid="{00000000-0005-0000-0000-000050580000}"/>
    <cellStyle name="Normal 2 2 4 2 2 16 3 7" xfId="22609" xr:uid="{00000000-0005-0000-0000-000051580000}"/>
    <cellStyle name="Normal 2 2 4 2 2 16 3 8" xfId="22610" xr:uid="{00000000-0005-0000-0000-000052580000}"/>
    <cellStyle name="Normal 2 2 4 2 2 16 3 9" xfId="22611" xr:uid="{00000000-0005-0000-0000-000053580000}"/>
    <cellStyle name="Normal 2 2 4 2 2 16 4" xfId="22612" xr:uid="{00000000-0005-0000-0000-000054580000}"/>
    <cellStyle name="Normal 2 2 4 2 2 16 4 10" xfId="22613" xr:uid="{00000000-0005-0000-0000-000055580000}"/>
    <cellStyle name="Normal 2 2 4 2 2 16 4 2" xfId="22614" xr:uid="{00000000-0005-0000-0000-000056580000}"/>
    <cellStyle name="Normal 2 2 4 2 2 16 4 3" xfId="22615" xr:uid="{00000000-0005-0000-0000-000057580000}"/>
    <cellStyle name="Normal 2 2 4 2 2 16 4 4" xfId="22616" xr:uid="{00000000-0005-0000-0000-000058580000}"/>
    <cellStyle name="Normal 2 2 4 2 2 16 4 5" xfId="22617" xr:uid="{00000000-0005-0000-0000-000059580000}"/>
    <cellStyle name="Normal 2 2 4 2 2 16 4 6" xfId="22618" xr:uid="{00000000-0005-0000-0000-00005A580000}"/>
    <cellStyle name="Normal 2 2 4 2 2 16 4 7" xfId="22619" xr:uid="{00000000-0005-0000-0000-00005B580000}"/>
    <cellStyle name="Normal 2 2 4 2 2 16 4 8" xfId="22620" xr:uid="{00000000-0005-0000-0000-00005C580000}"/>
    <cellStyle name="Normal 2 2 4 2 2 16 4 9" xfId="22621" xr:uid="{00000000-0005-0000-0000-00005D580000}"/>
    <cellStyle name="Normal 2 2 4 2 2 16 5" xfId="22622" xr:uid="{00000000-0005-0000-0000-00005E580000}"/>
    <cellStyle name="Normal 2 2 4 2 2 16 5 10" xfId="22623" xr:uid="{00000000-0005-0000-0000-00005F580000}"/>
    <cellStyle name="Normal 2 2 4 2 2 16 5 2" xfId="22624" xr:uid="{00000000-0005-0000-0000-000060580000}"/>
    <cellStyle name="Normal 2 2 4 2 2 16 5 3" xfId="22625" xr:uid="{00000000-0005-0000-0000-000061580000}"/>
    <cellStyle name="Normal 2 2 4 2 2 16 5 4" xfId="22626" xr:uid="{00000000-0005-0000-0000-000062580000}"/>
    <cellStyle name="Normal 2 2 4 2 2 16 5 5" xfId="22627" xr:uid="{00000000-0005-0000-0000-000063580000}"/>
    <cellStyle name="Normal 2 2 4 2 2 16 5 6" xfId="22628" xr:uid="{00000000-0005-0000-0000-000064580000}"/>
    <cellStyle name="Normal 2 2 4 2 2 16 5 7" xfId="22629" xr:uid="{00000000-0005-0000-0000-000065580000}"/>
    <cellStyle name="Normal 2 2 4 2 2 16 5 8" xfId="22630" xr:uid="{00000000-0005-0000-0000-000066580000}"/>
    <cellStyle name="Normal 2 2 4 2 2 16 5 9" xfId="22631" xr:uid="{00000000-0005-0000-0000-000067580000}"/>
    <cellStyle name="Normal 2 2 4 2 2 16 6" xfId="22632" xr:uid="{00000000-0005-0000-0000-000068580000}"/>
    <cellStyle name="Normal 2 2 4 2 2 16 7" xfId="22633" xr:uid="{00000000-0005-0000-0000-000069580000}"/>
    <cellStyle name="Normal 2 2 4 2 2 16 8" xfId="22634" xr:uid="{00000000-0005-0000-0000-00006A580000}"/>
    <cellStyle name="Normal 2 2 4 2 2 16 9" xfId="22635" xr:uid="{00000000-0005-0000-0000-00006B580000}"/>
    <cellStyle name="Normal 2 2 4 2 2 17" xfId="22636" xr:uid="{00000000-0005-0000-0000-00006C580000}"/>
    <cellStyle name="Normal 2 2 4 2 2 17 10" xfId="22637" xr:uid="{00000000-0005-0000-0000-00006D580000}"/>
    <cellStyle name="Normal 2 2 4 2 2 17 11" xfId="22638" xr:uid="{00000000-0005-0000-0000-00006E580000}"/>
    <cellStyle name="Normal 2 2 4 2 2 17 12" xfId="22639" xr:uid="{00000000-0005-0000-0000-00006F580000}"/>
    <cellStyle name="Normal 2 2 4 2 2 17 13" xfId="22640" xr:uid="{00000000-0005-0000-0000-000070580000}"/>
    <cellStyle name="Normal 2 2 4 2 2 17 14" xfId="22641" xr:uid="{00000000-0005-0000-0000-000071580000}"/>
    <cellStyle name="Normal 2 2 4 2 2 17 2" xfId="22642" xr:uid="{00000000-0005-0000-0000-000072580000}"/>
    <cellStyle name="Normal 2 2 4 2 2 17 2 10" xfId="22643" xr:uid="{00000000-0005-0000-0000-000073580000}"/>
    <cellStyle name="Normal 2 2 4 2 2 17 2 2" xfId="22644" xr:uid="{00000000-0005-0000-0000-000074580000}"/>
    <cellStyle name="Normal 2 2 4 2 2 17 2 3" xfId="22645" xr:uid="{00000000-0005-0000-0000-000075580000}"/>
    <cellStyle name="Normal 2 2 4 2 2 17 2 4" xfId="22646" xr:uid="{00000000-0005-0000-0000-000076580000}"/>
    <cellStyle name="Normal 2 2 4 2 2 17 2 5" xfId="22647" xr:uid="{00000000-0005-0000-0000-000077580000}"/>
    <cellStyle name="Normal 2 2 4 2 2 17 2 6" xfId="22648" xr:uid="{00000000-0005-0000-0000-000078580000}"/>
    <cellStyle name="Normal 2 2 4 2 2 17 2 7" xfId="22649" xr:uid="{00000000-0005-0000-0000-000079580000}"/>
    <cellStyle name="Normal 2 2 4 2 2 17 2 8" xfId="22650" xr:uid="{00000000-0005-0000-0000-00007A580000}"/>
    <cellStyle name="Normal 2 2 4 2 2 17 2 9" xfId="22651" xr:uid="{00000000-0005-0000-0000-00007B580000}"/>
    <cellStyle name="Normal 2 2 4 2 2 17 3" xfId="22652" xr:uid="{00000000-0005-0000-0000-00007C580000}"/>
    <cellStyle name="Normal 2 2 4 2 2 17 3 10" xfId="22653" xr:uid="{00000000-0005-0000-0000-00007D580000}"/>
    <cellStyle name="Normal 2 2 4 2 2 17 3 2" xfId="22654" xr:uid="{00000000-0005-0000-0000-00007E580000}"/>
    <cellStyle name="Normal 2 2 4 2 2 17 3 3" xfId="22655" xr:uid="{00000000-0005-0000-0000-00007F580000}"/>
    <cellStyle name="Normal 2 2 4 2 2 17 3 4" xfId="22656" xr:uid="{00000000-0005-0000-0000-000080580000}"/>
    <cellStyle name="Normal 2 2 4 2 2 17 3 5" xfId="22657" xr:uid="{00000000-0005-0000-0000-000081580000}"/>
    <cellStyle name="Normal 2 2 4 2 2 17 3 6" xfId="22658" xr:uid="{00000000-0005-0000-0000-000082580000}"/>
    <cellStyle name="Normal 2 2 4 2 2 17 3 7" xfId="22659" xr:uid="{00000000-0005-0000-0000-000083580000}"/>
    <cellStyle name="Normal 2 2 4 2 2 17 3 8" xfId="22660" xr:uid="{00000000-0005-0000-0000-000084580000}"/>
    <cellStyle name="Normal 2 2 4 2 2 17 3 9" xfId="22661" xr:uid="{00000000-0005-0000-0000-000085580000}"/>
    <cellStyle name="Normal 2 2 4 2 2 17 4" xfId="22662" xr:uid="{00000000-0005-0000-0000-000086580000}"/>
    <cellStyle name="Normal 2 2 4 2 2 17 4 10" xfId="22663" xr:uid="{00000000-0005-0000-0000-000087580000}"/>
    <cellStyle name="Normal 2 2 4 2 2 17 4 2" xfId="22664" xr:uid="{00000000-0005-0000-0000-000088580000}"/>
    <cellStyle name="Normal 2 2 4 2 2 17 4 3" xfId="22665" xr:uid="{00000000-0005-0000-0000-000089580000}"/>
    <cellStyle name="Normal 2 2 4 2 2 17 4 4" xfId="22666" xr:uid="{00000000-0005-0000-0000-00008A580000}"/>
    <cellStyle name="Normal 2 2 4 2 2 17 4 5" xfId="22667" xr:uid="{00000000-0005-0000-0000-00008B580000}"/>
    <cellStyle name="Normal 2 2 4 2 2 17 4 6" xfId="22668" xr:uid="{00000000-0005-0000-0000-00008C580000}"/>
    <cellStyle name="Normal 2 2 4 2 2 17 4 7" xfId="22669" xr:uid="{00000000-0005-0000-0000-00008D580000}"/>
    <cellStyle name="Normal 2 2 4 2 2 17 4 8" xfId="22670" xr:uid="{00000000-0005-0000-0000-00008E580000}"/>
    <cellStyle name="Normal 2 2 4 2 2 17 4 9" xfId="22671" xr:uid="{00000000-0005-0000-0000-00008F580000}"/>
    <cellStyle name="Normal 2 2 4 2 2 17 5" xfId="22672" xr:uid="{00000000-0005-0000-0000-000090580000}"/>
    <cellStyle name="Normal 2 2 4 2 2 17 5 10" xfId="22673" xr:uid="{00000000-0005-0000-0000-000091580000}"/>
    <cellStyle name="Normal 2 2 4 2 2 17 5 2" xfId="22674" xr:uid="{00000000-0005-0000-0000-000092580000}"/>
    <cellStyle name="Normal 2 2 4 2 2 17 5 3" xfId="22675" xr:uid="{00000000-0005-0000-0000-000093580000}"/>
    <cellStyle name="Normal 2 2 4 2 2 17 5 4" xfId="22676" xr:uid="{00000000-0005-0000-0000-000094580000}"/>
    <cellStyle name="Normal 2 2 4 2 2 17 5 5" xfId="22677" xr:uid="{00000000-0005-0000-0000-000095580000}"/>
    <cellStyle name="Normal 2 2 4 2 2 17 5 6" xfId="22678" xr:uid="{00000000-0005-0000-0000-000096580000}"/>
    <cellStyle name="Normal 2 2 4 2 2 17 5 7" xfId="22679" xr:uid="{00000000-0005-0000-0000-000097580000}"/>
    <cellStyle name="Normal 2 2 4 2 2 17 5 8" xfId="22680" xr:uid="{00000000-0005-0000-0000-000098580000}"/>
    <cellStyle name="Normal 2 2 4 2 2 17 5 9" xfId="22681" xr:uid="{00000000-0005-0000-0000-000099580000}"/>
    <cellStyle name="Normal 2 2 4 2 2 17 6" xfId="22682" xr:uid="{00000000-0005-0000-0000-00009A580000}"/>
    <cellStyle name="Normal 2 2 4 2 2 17 7" xfId="22683" xr:uid="{00000000-0005-0000-0000-00009B580000}"/>
    <cellStyle name="Normal 2 2 4 2 2 17 8" xfId="22684" xr:uid="{00000000-0005-0000-0000-00009C580000}"/>
    <cellStyle name="Normal 2 2 4 2 2 17 9" xfId="22685" xr:uid="{00000000-0005-0000-0000-00009D580000}"/>
    <cellStyle name="Normal 2 2 4 2 2 18" xfId="22686" xr:uid="{00000000-0005-0000-0000-00009E580000}"/>
    <cellStyle name="Normal 2 2 4 2 2 18 10" xfId="22687" xr:uid="{00000000-0005-0000-0000-00009F580000}"/>
    <cellStyle name="Normal 2 2 4 2 2 18 11" xfId="22688" xr:uid="{00000000-0005-0000-0000-0000A0580000}"/>
    <cellStyle name="Normal 2 2 4 2 2 18 12" xfId="22689" xr:uid="{00000000-0005-0000-0000-0000A1580000}"/>
    <cellStyle name="Normal 2 2 4 2 2 18 13" xfId="22690" xr:uid="{00000000-0005-0000-0000-0000A2580000}"/>
    <cellStyle name="Normal 2 2 4 2 2 18 14" xfId="22691" xr:uid="{00000000-0005-0000-0000-0000A3580000}"/>
    <cellStyle name="Normal 2 2 4 2 2 18 2" xfId="22692" xr:uid="{00000000-0005-0000-0000-0000A4580000}"/>
    <cellStyle name="Normal 2 2 4 2 2 18 2 10" xfId="22693" xr:uid="{00000000-0005-0000-0000-0000A5580000}"/>
    <cellStyle name="Normal 2 2 4 2 2 18 2 2" xfId="22694" xr:uid="{00000000-0005-0000-0000-0000A6580000}"/>
    <cellStyle name="Normal 2 2 4 2 2 18 2 3" xfId="22695" xr:uid="{00000000-0005-0000-0000-0000A7580000}"/>
    <cellStyle name="Normal 2 2 4 2 2 18 2 4" xfId="22696" xr:uid="{00000000-0005-0000-0000-0000A8580000}"/>
    <cellStyle name="Normal 2 2 4 2 2 18 2 5" xfId="22697" xr:uid="{00000000-0005-0000-0000-0000A9580000}"/>
    <cellStyle name="Normal 2 2 4 2 2 18 2 6" xfId="22698" xr:uid="{00000000-0005-0000-0000-0000AA580000}"/>
    <cellStyle name="Normal 2 2 4 2 2 18 2 7" xfId="22699" xr:uid="{00000000-0005-0000-0000-0000AB580000}"/>
    <cellStyle name="Normal 2 2 4 2 2 18 2 8" xfId="22700" xr:uid="{00000000-0005-0000-0000-0000AC580000}"/>
    <cellStyle name="Normal 2 2 4 2 2 18 2 9" xfId="22701" xr:uid="{00000000-0005-0000-0000-0000AD580000}"/>
    <cellStyle name="Normal 2 2 4 2 2 18 3" xfId="22702" xr:uid="{00000000-0005-0000-0000-0000AE580000}"/>
    <cellStyle name="Normal 2 2 4 2 2 18 3 10" xfId="22703" xr:uid="{00000000-0005-0000-0000-0000AF580000}"/>
    <cellStyle name="Normal 2 2 4 2 2 18 3 2" xfId="22704" xr:uid="{00000000-0005-0000-0000-0000B0580000}"/>
    <cellStyle name="Normal 2 2 4 2 2 18 3 3" xfId="22705" xr:uid="{00000000-0005-0000-0000-0000B1580000}"/>
    <cellStyle name="Normal 2 2 4 2 2 18 3 4" xfId="22706" xr:uid="{00000000-0005-0000-0000-0000B2580000}"/>
    <cellStyle name="Normal 2 2 4 2 2 18 3 5" xfId="22707" xr:uid="{00000000-0005-0000-0000-0000B3580000}"/>
    <cellStyle name="Normal 2 2 4 2 2 18 3 6" xfId="22708" xr:uid="{00000000-0005-0000-0000-0000B4580000}"/>
    <cellStyle name="Normal 2 2 4 2 2 18 3 7" xfId="22709" xr:uid="{00000000-0005-0000-0000-0000B5580000}"/>
    <cellStyle name="Normal 2 2 4 2 2 18 3 8" xfId="22710" xr:uid="{00000000-0005-0000-0000-0000B6580000}"/>
    <cellStyle name="Normal 2 2 4 2 2 18 3 9" xfId="22711" xr:uid="{00000000-0005-0000-0000-0000B7580000}"/>
    <cellStyle name="Normal 2 2 4 2 2 18 4" xfId="22712" xr:uid="{00000000-0005-0000-0000-0000B8580000}"/>
    <cellStyle name="Normal 2 2 4 2 2 18 4 10" xfId="22713" xr:uid="{00000000-0005-0000-0000-0000B9580000}"/>
    <cellStyle name="Normal 2 2 4 2 2 18 4 2" xfId="22714" xr:uid="{00000000-0005-0000-0000-0000BA580000}"/>
    <cellStyle name="Normal 2 2 4 2 2 18 4 3" xfId="22715" xr:uid="{00000000-0005-0000-0000-0000BB580000}"/>
    <cellStyle name="Normal 2 2 4 2 2 18 4 4" xfId="22716" xr:uid="{00000000-0005-0000-0000-0000BC580000}"/>
    <cellStyle name="Normal 2 2 4 2 2 18 4 5" xfId="22717" xr:uid="{00000000-0005-0000-0000-0000BD580000}"/>
    <cellStyle name="Normal 2 2 4 2 2 18 4 6" xfId="22718" xr:uid="{00000000-0005-0000-0000-0000BE580000}"/>
    <cellStyle name="Normal 2 2 4 2 2 18 4 7" xfId="22719" xr:uid="{00000000-0005-0000-0000-0000BF580000}"/>
    <cellStyle name="Normal 2 2 4 2 2 18 4 8" xfId="22720" xr:uid="{00000000-0005-0000-0000-0000C0580000}"/>
    <cellStyle name="Normal 2 2 4 2 2 18 4 9" xfId="22721" xr:uid="{00000000-0005-0000-0000-0000C1580000}"/>
    <cellStyle name="Normal 2 2 4 2 2 18 5" xfId="22722" xr:uid="{00000000-0005-0000-0000-0000C2580000}"/>
    <cellStyle name="Normal 2 2 4 2 2 18 5 10" xfId="22723" xr:uid="{00000000-0005-0000-0000-0000C3580000}"/>
    <cellStyle name="Normal 2 2 4 2 2 18 5 2" xfId="22724" xr:uid="{00000000-0005-0000-0000-0000C4580000}"/>
    <cellStyle name="Normal 2 2 4 2 2 18 5 3" xfId="22725" xr:uid="{00000000-0005-0000-0000-0000C5580000}"/>
    <cellStyle name="Normal 2 2 4 2 2 18 5 4" xfId="22726" xr:uid="{00000000-0005-0000-0000-0000C6580000}"/>
    <cellStyle name="Normal 2 2 4 2 2 18 5 5" xfId="22727" xr:uid="{00000000-0005-0000-0000-0000C7580000}"/>
    <cellStyle name="Normal 2 2 4 2 2 18 5 6" xfId="22728" xr:uid="{00000000-0005-0000-0000-0000C8580000}"/>
    <cellStyle name="Normal 2 2 4 2 2 18 5 7" xfId="22729" xr:uid="{00000000-0005-0000-0000-0000C9580000}"/>
    <cellStyle name="Normal 2 2 4 2 2 18 5 8" xfId="22730" xr:uid="{00000000-0005-0000-0000-0000CA580000}"/>
    <cellStyle name="Normal 2 2 4 2 2 18 5 9" xfId="22731" xr:uid="{00000000-0005-0000-0000-0000CB580000}"/>
    <cellStyle name="Normal 2 2 4 2 2 18 6" xfId="22732" xr:uid="{00000000-0005-0000-0000-0000CC580000}"/>
    <cellStyle name="Normal 2 2 4 2 2 18 7" xfId="22733" xr:uid="{00000000-0005-0000-0000-0000CD580000}"/>
    <cellStyle name="Normal 2 2 4 2 2 18 8" xfId="22734" xr:uid="{00000000-0005-0000-0000-0000CE580000}"/>
    <cellStyle name="Normal 2 2 4 2 2 18 9" xfId="22735" xr:uid="{00000000-0005-0000-0000-0000CF580000}"/>
    <cellStyle name="Normal 2 2 4 2 2 19" xfId="22736" xr:uid="{00000000-0005-0000-0000-0000D0580000}"/>
    <cellStyle name="Normal 2 2 4 2 2 19 10" xfId="22737" xr:uid="{00000000-0005-0000-0000-0000D1580000}"/>
    <cellStyle name="Normal 2 2 4 2 2 19 11" xfId="22738" xr:uid="{00000000-0005-0000-0000-0000D2580000}"/>
    <cellStyle name="Normal 2 2 4 2 2 19 12" xfId="22739" xr:uid="{00000000-0005-0000-0000-0000D3580000}"/>
    <cellStyle name="Normal 2 2 4 2 2 19 13" xfId="22740" xr:uid="{00000000-0005-0000-0000-0000D4580000}"/>
    <cellStyle name="Normal 2 2 4 2 2 19 14" xfId="22741" xr:uid="{00000000-0005-0000-0000-0000D5580000}"/>
    <cellStyle name="Normal 2 2 4 2 2 19 2" xfId="22742" xr:uid="{00000000-0005-0000-0000-0000D6580000}"/>
    <cellStyle name="Normal 2 2 4 2 2 19 2 10" xfId="22743" xr:uid="{00000000-0005-0000-0000-0000D7580000}"/>
    <cellStyle name="Normal 2 2 4 2 2 19 2 2" xfId="22744" xr:uid="{00000000-0005-0000-0000-0000D8580000}"/>
    <cellStyle name="Normal 2 2 4 2 2 19 2 3" xfId="22745" xr:uid="{00000000-0005-0000-0000-0000D9580000}"/>
    <cellStyle name="Normal 2 2 4 2 2 19 2 4" xfId="22746" xr:uid="{00000000-0005-0000-0000-0000DA580000}"/>
    <cellStyle name="Normal 2 2 4 2 2 19 2 5" xfId="22747" xr:uid="{00000000-0005-0000-0000-0000DB580000}"/>
    <cellStyle name="Normal 2 2 4 2 2 19 2 6" xfId="22748" xr:uid="{00000000-0005-0000-0000-0000DC580000}"/>
    <cellStyle name="Normal 2 2 4 2 2 19 2 7" xfId="22749" xr:uid="{00000000-0005-0000-0000-0000DD580000}"/>
    <cellStyle name="Normal 2 2 4 2 2 19 2 8" xfId="22750" xr:uid="{00000000-0005-0000-0000-0000DE580000}"/>
    <cellStyle name="Normal 2 2 4 2 2 19 2 9" xfId="22751" xr:uid="{00000000-0005-0000-0000-0000DF580000}"/>
    <cellStyle name="Normal 2 2 4 2 2 19 3" xfId="22752" xr:uid="{00000000-0005-0000-0000-0000E0580000}"/>
    <cellStyle name="Normal 2 2 4 2 2 19 3 10" xfId="22753" xr:uid="{00000000-0005-0000-0000-0000E1580000}"/>
    <cellStyle name="Normal 2 2 4 2 2 19 3 2" xfId="22754" xr:uid="{00000000-0005-0000-0000-0000E2580000}"/>
    <cellStyle name="Normal 2 2 4 2 2 19 3 3" xfId="22755" xr:uid="{00000000-0005-0000-0000-0000E3580000}"/>
    <cellStyle name="Normal 2 2 4 2 2 19 3 4" xfId="22756" xr:uid="{00000000-0005-0000-0000-0000E4580000}"/>
    <cellStyle name="Normal 2 2 4 2 2 19 3 5" xfId="22757" xr:uid="{00000000-0005-0000-0000-0000E5580000}"/>
    <cellStyle name="Normal 2 2 4 2 2 19 3 6" xfId="22758" xr:uid="{00000000-0005-0000-0000-0000E6580000}"/>
    <cellStyle name="Normal 2 2 4 2 2 19 3 7" xfId="22759" xr:uid="{00000000-0005-0000-0000-0000E7580000}"/>
    <cellStyle name="Normal 2 2 4 2 2 19 3 8" xfId="22760" xr:uid="{00000000-0005-0000-0000-0000E8580000}"/>
    <cellStyle name="Normal 2 2 4 2 2 19 3 9" xfId="22761" xr:uid="{00000000-0005-0000-0000-0000E9580000}"/>
    <cellStyle name="Normal 2 2 4 2 2 19 4" xfId="22762" xr:uid="{00000000-0005-0000-0000-0000EA580000}"/>
    <cellStyle name="Normal 2 2 4 2 2 19 4 10" xfId="22763" xr:uid="{00000000-0005-0000-0000-0000EB580000}"/>
    <cellStyle name="Normal 2 2 4 2 2 19 4 2" xfId="22764" xr:uid="{00000000-0005-0000-0000-0000EC580000}"/>
    <cellStyle name="Normal 2 2 4 2 2 19 4 3" xfId="22765" xr:uid="{00000000-0005-0000-0000-0000ED580000}"/>
    <cellStyle name="Normal 2 2 4 2 2 19 4 4" xfId="22766" xr:uid="{00000000-0005-0000-0000-0000EE580000}"/>
    <cellStyle name="Normal 2 2 4 2 2 19 4 5" xfId="22767" xr:uid="{00000000-0005-0000-0000-0000EF580000}"/>
    <cellStyle name="Normal 2 2 4 2 2 19 4 6" xfId="22768" xr:uid="{00000000-0005-0000-0000-0000F0580000}"/>
    <cellStyle name="Normal 2 2 4 2 2 19 4 7" xfId="22769" xr:uid="{00000000-0005-0000-0000-0000F1580000}"/>
    <cellStyle name="Normal 2 2 4 2 2 19 4 8" xfId="22770" xr:uid="{00000000-0005-0000-0000-0000F2580000}"/>
    <cellStyle name="Normal 2 2 4 2 2 19 4 9" xfId="22771" xr:uid="{00000000-0005-0000-0000-0000F3580000}"/>
    <cellStyle name="Normal 2 2 4 2 2 19 5" xfId="22772" xr:uid="{00000000-0005-0000-0000-0000F4580000}"/>
    <cellStyle name="Normal 2 2 4 2 2 19 5 10" xfId="22773" xr:uid="{00000000-0005-0000-0000-0000F5580000}"/>
    <cellStyle name="Normal 2 2 4 2 2 19 5 2" xfId="22774" xr:uid="{00000000-0005-0000-0000-0000F6580000}"/>
    <cellStyle name="Normal 2 2 4 2 2 19 5 3" xfId="22775" xr:uid="{00000000-0005-0000-0000-0000F7580000}"/>
    <cellStyle name="Normal 2 2 4 2 2 19 5 4" xfId="22776" xr:uid="{00000000-0005-0000-0000-0000F8580000}"/>
    <cellStyle name="Normal 2 2 4 2 2 19 5 5" xfId="22777" xr:uid="{00000000-0005-0000-0000-0000F9580000}"/>
    <cellStyle name="Normal 2 2 4 2 2 19 5 6" xfId="22778" xr:uid="{00000000-0005-0000-0000-0000FA580000}"/>
    <cellStyle name="Normal 2 2 4 2 2 19 5 7" xfId="22779" xr:uid="{00000000-0005-0000-0000-0000FB580000}"/>
    <cellStyle name="Normal 2 2 4 2 2 19 5 8" xfId="22780" xr:uid="{00000000-0005-0000-0000-0000FC580000}"/>
    <cellStyle name="Normal 2 2 4 2 2 19 5 9" xfId="22781" xr:uid="{00000000-0005-0000-0000-0000FD580000}"/>
    <cellStyle name="Normal 2 2 4 2 2 19 6" xfId="22782" xr:uid="{00000000-0005-0000-0000-0000FE580000}"/>
    <cellStyle name="Normal 2 2 4 2 2 19 7" xfId="22783" xr:uid="{00000000-0005-0000-0000-0000FF580000}"/>
    <cellStyle name="Normal 2 2 4 2 2 19 8" xfId="22784" xr:uid="{00000000-0005-0000-0000-000000590000}"/>
    <cellStyle name="Normal 2 2 4 2 2 19 9" xfId="22785" xr:uid="{00000000-0005-0000-0000-000001590000}"/>
    <cellStyle name="Normal 2 2 4 2 2 2" xfId="22786" xr:uid="{00000000-0005-0000-0000-000002590000}"/>
    <cellStyle name="Normal 2 2 4 2 2 2 10" xfId="22787" xr:uid="{00000000-0005-0000-0000-000003590000}"/>
    <cellStyle name="Normal 2 2 4 2 2 2 11" xfId="22788" xr:uid="{00000000-0005-0000-0000-000004590000}"/>
    <cellStyle name="Normal 2 2 4 2 2 2 12" xfId="22789" xr:uid="{00000000-0005-0000-0000-000005590000}"/>
    <cellStyle name="Normal 2 2 4 2 2 2 13" xfId="22790" xr:uid="{00000000-0005-0000-0000-000006590000}"/>
    <cellStyle name="Normal 2 2 4 2 2 2 14" xfId="22791" xr:uid="{00000000-0005-0000-0000-000007590000}"/>
    <cellStyle name="Normal 2 2 4 2 2 2 2" xfId="22792" xr:uid="{00000000-0005-0000-0000-000008590000}"/>
    <cellStyle name="Normal 2 2 4 2 2 2 2 10" xfId="22793" xr:uid="{00000000-0005-0000-0000-000009590000}"/>
    <cellStyle name="Normal 2 2 4 2 2 2 2 2" xfId="22794" xr:uid="{00000000-0005-0000-0000-00000A590000}"/>
    <cellStyle name="Normal 2 2 4 2 2 2 2 3" xfId="22795" xr:uid="{00000000-0005-0000-0000-00000B590000}"/>
    <cellStyle name="Normal 2 2 4 2 2 2 2 4" xfId="22796" xr:uid="{00000000-0005-0000-0000-00000C590000}"/>
    <cellStyle name="Normal 2 2 4 2 2 2 2 5" xfId="22797" xr:uid="{00000000-0005-0000-0000-00000D590000}"/>
    <cellStyle name="Normal 2 2 4 2 2 2 2 6" xfId="22798" xr:uid="{00000000-0005-0000-0000-00000E590000}"/>
    <cellStyle name="Normal 2 2 4 2 2 2 2 7" xfId="22799" xr:uid="{00000000-0005-0000-0000-00000F590000}"/>
    <cellStyle name="Normal 2 2 4 2 2 2 2 8" xfId="22800" xr:uid="{00000000-0005-0000-0000-000010590000}"/>
    <cellStyle name="Normal 2 2 4 2 2 2 2 9" xfId="22801" xr:uid="{00000000-0005-0000-0000-000011590000}"/>
    <cellStyle name="Normal 2 2 4 2 2 2 3" xfId="22802" xr:uid="{00000000-0005-0000-0000-000012590000}"/>
    <cellStyle name="Normal 2 2 4 2 2 2 3 10" xfId="22803" xr:uid="{00000000-0005-0000-0000-000013590000}"/>
    <cellStyle name="Normal 2 2 4 2 2 2 3 2" xfId="22804" xr:uid="{00000000-0005-0000-0000-000014590000}"/>
    <cellStyle name="Normal 2 2 4 2 2 2 3 3" xfId="22805" xr:uid="{00000000-0005-0000-0000-000015590000}"/>
    <cellStyle name="Normal 2 2 4 2 2 2 3 4" xfId="22806" xr:uid="{00000000-0005-0000-0000-000016590000}"/>
    <cellStyle name="Normal 2 2 4 2 2 2 3 5" xfId="22807" xr:uid="{00000000-0005-0000-0000-000017590000}"/>
    <cellStyle name="Normal 2 2 4 2 2 2 3 6" xfId="22808" xr:uid="{00000000-0005-0000-0000-000018590000}"/>
    <cellStyle name="Normal 2 2 4 2 2 2 3 7" xfId="22809" xr:uid="{00000000-0005-0000-0000-000019590000}"/>
    <cellStyle name="Normal 2 2 4 2 2 2 3 8" xfId="22810" xr:uid="{00000000-0005-0000-0000-00001A590000}"/>
    <cellStyle name="Normal 2 2 4 2 2 2 3 9" xfId="22811" xr:uid="{00000000-0005-0000-0000-00001B590000}"/>
    <cellStyle name="Normal 2 2 4 2 2 2 4" xfId="22812" xr:uid="{00000000-0005-0000-0000-00001C590000}"/>
    <cellStyle name="Normal 2 2 4 2 2 2 4 10" xfId="22813" xr:uid="{00000000-0005-0000-0000-00001D590000}"/>
    <cellStyle name="Normal 2 2 4 2 2 2 4 2" xfId="22814" xr:uid="{00000000-0005-0000-0000-00001E590000}"/>
    <cellStyle name="Normal 2 2 4 2 2 2 4 3" xfId="22815" xr:uid="{00000000-0005-0000-0000-00001F590000}"/>
    <cellStyle name="Normal 2 2 4 2 2 2 4 4" xfId="22816" xr:uid="{00000000-0005-0000-0000-000020590000}"/>
    <cellStyle name="Normal 2 2 4 2 2 2 4 5" xfId="22817" xr:uid="{00000000-0005-0000-0000-000021590000}"/>
    <cellStyle name="Normal 2 2 4 2 2 2 4 6" xfId="22818" xr:uid="{00000000-0005-0000-0000-000022590000}"/>
    <cellStyle name="Normal 2 2 4 2 2 2 4 7" xfId="22819" xr:uid="{00000000-0005-0000-0000-000023590000}"/>
    <cellStyle name="Normal 2 2 4 2 2 2 4 8" xfId="22820" xr:uid="{00000000-0005-0000-0000-000024590000}"/>
    <cellStyle name="Normal 2 2 4 2 2 2 4 9" xfId="22821" xr:uid="{00000000-0005-0000-0000-000025590000}"/>
    <cellStyle name="Normal 2 2 4 2 2 2 5" xfId="22822" xr:uid="{00000000-0005-0000-0000-000026590000}"/>
    <cellStyle name="Normal 2 2 4 2 2 2 5 10" xfId="22823" xr:uid="{00000000-0005-0000-0000-000027590000}"/>
    <cellStyle name="Normal 2 2 4 2 2 2 5 2" xfId="22824" xr:uid="{00000000-0005-0000-0000-000028590000}"/>
    <cellStyle name="Normal 2 2 4 2 2 2 5 3" xfId="22825" xr:uid="{00000000-0005-0000-0000-000029590000}"/>
    <cellStyle name="Normal 2 2 4 2 2 2 5 4" xfId="22826" xr:uid="{00000000-0005-0000-0000-00002A590000}"/>
    <cellStyle name="Normal 2 2 4 2 2 2 5 5" xfId="22827" xr:uid="{00000000-0005-0000-0000-00002B590000}"/>
    <cellStyle name="Normal 2 2 4 2 2 2 5 6" xfId="22828" xr:uid="{00000000-0005-0000-0000-00002C590000}"/>
    <cellStyle name="Normal 2 2 4 2 2 2 5 7" xfId="22829" xr:uid="{00000000-0005-0000-0000-00002D590000}"/>
    <cellStyle name="Normal 2 2 4 2 2 2 5 8" xfId="22830" xr:uid="{00000000-0005-0000-0000-00002E590000}"/>
    <cellStyle name="Normal 2 2 4 2 2 2 5 9" xfId="22831" xr:uid="{00000000-0005-0000-0000-00002F590000}"/>
    <cellStyle name="Normal 2 2 4 2 2 2 6" xfId="22832" xr:uid="{00000000-0005-0000-0000-000030590000}"/>
    <cellStyle name="Normal 2 2 4 2 2 2 7" xfId="22833" xr:uid="{00000000-0005-0000-0000-000031590000}"/>
    <cellStyle name="Normal 2 2 4 2 2 2 8" xfId="22834" xr:uid="{00000000-0005-0000-0000-000032590000}"/>
    <cellStyle name="Normal 2 2 4 2 2 2 9" xfId="22835" xr:uid="{00000000-0005-0000-0000-000033590000}"/>
    <cellStyle name="Normal 2 2 4 2 2 20" xfId="22836" xr:uid="{00000000-0005-0000-0000-000034590000}"/>
    <cellStyle name="Normal 2 2 4 2 2 20 10" xfId="22837" xr:uid="{00000000-0005-0000-0000-000035590000}"/>
    <cellStyle name="Normal 2 2 4 2 2 20 11" xfId="22838" xr:uid="{00000000-0005-0000-0000-000036590000}"/>
    <cellStyle name="Normal 2 2 4 2 2 20 12" xfId="22839" xr:uid="{00000000-0005-0000-0000-000037590000}"/>
    <cellStyle name="Normal 2 2 4 2 2 20 13" xfId="22840" xr:uid="{00000000-0005-0000-0000-000038590000}"/>
    <cellStyle name="Normal 2 2 4 2 2 20 14" xfId="22841" xr:uid="{00000000-0005-0000-0000-000039590000}"/>
    <cellStyle name="Normal 2 2 4 2 2 20 2" xfId="22842" xr:uid="{00000000-0005-0000-0000-00003A590000}"/>
    <cellStyle name="Normal 2 2 4 2 2 20 2 10" xfId="22843" xr:uid="{00000000-0005-0000-0000-00003B590000}"/>
    <cellStyle name="Normal 2 2 4 2 2 20 2 2" xfId="22844" xr:uid="{00000000-0005-0000-0000-00003C590000}"/>
    <cellStyle name="Normal 2 2 4 2 2 20 2 3" xfId="22845" xr:uid="{00000000-0005-0000-0000-00003D590000}"/>
    <cellStyle name="Normal 2 2 4 2 2 20 2 4" xfId="22846" xr:uid="{00000000-0005-0000-0000-00003E590000}"/>
    <cellStyle name="Normal 2 2 4 2 2 20 2 5" xfId="22847" xr:uid="{00000000-0005-0000-0000-00003F590000}"/>
    <cellStyle name="Normal 2 2 4 2 2 20 2 6" xfId="22848" xr:uid="{00000000-0005-0000-0000-000040590000}"/>
    <cellStyle name="Normal 2 2 4 2 2 20 2 7" xfId="22849" xr:uid="{00000000-0005-0000-0000-000041590000}"/>
    <cellStyle name="Normal 2 2 4 2 2 20 2 8" xfId="22850" xr:uid="{00000000-0005-0000-0000-000042590000}"/>
    <cellStyle name="Normal 2 2 4 2 2 20 2 9" xfId="22851" xr:uid="{00000000-0005-0000-0000-000043590000}"/>
    <cellStyle name="Normal 2 2 4 2 2 20 3" xfId="22852" xr:uid="{00000000-0005-0000-0000-000044590000}"/>
    <cellStyle name="Normal 2 2 4 2 2 20 3 10" xfId="22853" xr:uid="{00000000-0005-0000-0000-000045590000}"/>
    <cellStyle name="Normal 2 2 4 2 2 20 3 2" xfId="22854" xr:uid="{00000000-0005-0000-0000-000046590000}"/>
    <cellStyle name="Normal 2 2 4 2 2 20 3 3" xfId="22855" xr:uid="{00000000-0005-0000-0000-000047590000}"/>
    <cellStyle name="Normal 2 2 4 2 2 20 3 4" xfId="22856" xr:uid="{00000000-0005-0000-0000-000048590000}"/>
    <cellStyle name="Normal 2 2 4 2 2 20 3 5" xfId="22857" xr:uid="{00000000-0005-0000-0000-000049590000}"/>
    <cellStyle name="Normal 2 2 4 2 2 20 3 6" xfId="22858" xr:uid="{00000000-0005-0000-0000-00004A590000}"/>
    <cellStyle name="Normal 2 2 4 2 2 20 3 7" xfId="22859" xr:uid="{00000000-0005-0000-0000-00004B590000}"/>
    <cellStyle name="Normal 2 2 4 2 2 20 3 8" xfId="22860" xr:uid="{00000000-0005-0000-0000-00004C590000}"/>
    <cellStyle name="Normal 2 2 4 2 2 20 3 9" xfId="22861" xr:uid="{00000000-0005-0000-0000-00004D590000}"/>
    <cellStyle name="Normal 2 2 4 2 2 20 4" xfId="22862" xr:uid="{00000000-0005-0000-0000-00004E590000}"/>
    <cellStyle name="Normal 2 2 4 2 2 20 4 10" xfId="22863" xr:uid="{00000000-0005-0000-0000-00004F590000}"/>
    <cellStyle name="Normal 2 2 4 2 2 20 4 2" xfId="22864" xr:uid="{00000000-0005-0000-0000-000050590000}"/>
    <cellStyle name="Normal 2 2 4 2 2 20 4 3" xfId="22865" xr:uid="{00000000-0005-0000-0000-000051590000}"/>
    <cellStyle name="Normal 2 2 4 2 2 20 4 4" xfId="22866" xr:uid="{00000000-0005-0000-0000-000052590000}"/>
    <cellStyle name="Normal 2 2 4 2 2 20 4 5" xfId="22867" xr:uid="{00000000-0005-0000-0000-000053590000}"/>
    <cellStyle name="Normal 2 2 4 2 2 20 4 6" xfId="22868" xr:uid="{00000000-0005-0000-0000-000054590000}"/>
    <cellStyle name="Normal 2 2 4 2 2 20 4 7" xfId="22869" xr:uid="{00000000-0005-0000-0000-000055590000}"/>
    <cellStyle name="Normal 2 2 4 2 2 20 4 8" xfId="22870" xr:uid="{00000000-0005-0000-0000-000056590000}"/>
    <cellStyle name="Normal 2 2 4 2 2 20 4 9" xfId="22871" xr:uid="{00000000-0005-0000-0000-000057590000}"/>
    <cellStyle name="Normal 2 2 4 2 2 20 5" xfId="22872" xr:uid="{00000000-0005-0000-0000-000058590000}"/>
    <cellStyle name="Normal 2 2 4 2 2 20 5 10" xfId="22873" xr:uid="{00000000-0005-0000-0000-000059590000}"/>
    <cellStyle name="Normal 2 2 4 2 2 20 5 2" xfId="22874" xr:uid="{00000000-0005-0000-0000-00005A590000}"/>
    <cellStyle name="Normal 2 2 4 2 2 20 5 3" xfId="22875" xr:uid="{00000000-0005-0000-0000-00005B590000}"/>
    <cellStyle name="Normal 2 2 4 2 2 20 5 4" xfId="22876" xr:uid="{00000000-0005-0000-0000-00005C590000}"/>
    <cellStyle name="Normal 2 2 4 2 2 20 5 5" xfId="22877" xr:uid="{00000000-0005-0000-0000-00005D590000}"/>
    <cellStyle name="Normal 2 2 4 2 2 20 5 6" xfId="22878" xr:uid="{00000000-0005-0000-0000-00005E590000}"/>
    <cellStyle name="Normal 2 2 4 2 2 20 5 7" xfId="22879" xr:uid="{00000000-0005-0000-0000-00005F590000}"/>
    <cellStyle name="Normal 2 2 4 2 2 20 5 8" xfId="22880" xr:uid="{00000000-0005-0000-0000-000060590000}"/>
    <cellStyle name="Normal 2 2 4 2 2 20 5 9" xfId="22881" xr:uid="{00000000-0005-0000-0000-000061590000}"/>
    <cellStyle name="Normal 2 2 4 2 2 20 6" xfId="22882" xr:uid="{00000000-0005-0000-0000-000062590000}"/>
    <cellStyle name="Normal 2 2 4 2 2 20 7" xfId="22883" xr:uid="{00000000-0005-0000-0000-000063590000}"/>
    <cellStyle name="Normal 2 2 4 2 2 20 8" xfId="22884" xr:uid="{00000000-0005-0000-0000-000064590000}"/>
    <cellStyle name="Normal 2 2 4 2 2 20 9" xfId="22885" xr:uid="{00000000-0005-0000-0000-000065590000}"/>
    <cellStyle name="Normal 2 2 4 2 2 3" xfId="22886" xr:uid="{00000000-0005-0000-0000-000066590000}"/>
    <cellStyle name="Normal 2 2 4 2 2 3 10" xfId="22887" xr:uid="{00000000-0005-0000-0000-000067590000}"/>
    <cellStyle name="Normal 2 2 4 2 2 3 11" xfId="22888" xr:uid="{00000000-0005-0000-0000-000068590000}"/>
    <cellStyle name="Normal 2 2 4 2 2 3 12" xfId="22889" xr:uid="{00000000-0005-0000-0000-000069590000}"/>
    <cellStyle name="Normal 2 2 4 2 2 3 13" xfId="22890" xr:uid="{00000000-0005-0000-0000-00006A590000}"/>
    <cellStyle name="Normal 2 2 4 2 2 3 14" xfId="22891" xr:uid="{00000000-0005-0000-0000-00006B590000}"/>
    <cellStyle name="Normal 2 2 4 2 2 3 2" xfId="22892" xr:uid="{00000000-0005-0000-0000-00006C590000}"/>
    <cellStyle name="Normal 2 2 4 2 2 3 2 10" xfId="22893" xr:uid="{00000000-0005-0000-0000-00006D590000}"/>
    <cellStyle name="Normal 2 2 4 2 2 3 2 2" xfId="22894" xr:uid="{00000000-0005-0000-0000-00006E590000}"/>
    <cellStyle name="Normal 2 2 4 2 2 3 2 3" xfId="22895" xr:uid="{00000000-0005-0000-0000-00006F590000}"/>
    <cellStyle name="Normal 2 2 4 2 2 3 2 4" xfId="22896" xr:uid="{00000000-0005-0000-0000-000070590000}"/>
    <cellStyle name="Normal 2 2 4 2 2 3 2 5" xfId="22897" xr:uid="{00000000-0005-0000-0000-000071590000}"/>
    <cellStyle name="Normal 2 2 4 2 2 3 2 6" xfId="22898" xr:uid="{00000000-0005-0000-0000-000072590000}"/>
    <cellStyle name="Normal 2 2 4 2 2 3 2 7" xfId="22899" xr:uid="{00000000-0005-0000-0000-000073590000}"/>
    <cellStyle name="Normal 2 2 4 2 2 3 2 8" xfId="22900" xr:uid="{00000000-0005-0000-0000-000074590000}"/>
    <cellStyle name="Normal 2 2 4 2 2 3 2 9" xfId="22901" xr:uid="{00000000-0005-0000-0000-000075590000}"/>
    <cellStyle name="Normal 2 2 4 2 2 3 3" xfId="22902" xr:uid="{00000000-0005-0000-0000-000076590000}"/>
    <cellStyle name="Normal 2 2 4 2 2 3 3 10" xfId="22903" xr:uid="{00000000-0005-0000-0000-000077590000}"/>
    <cellStyle name="Normal 2 2 4 2 2 3 3 2" xfId="22904" xr:uid="{00000000-0005-0000-0000-000078590000}"/>
    <cellStyle name="Normal 2 2 4 2 2 3 3 3" xfId="22905" xr:uid="{00000000-0005-0000-0000-000079590000}"/>
    <cellStyle name="Normal 2 2 4 2 2 3 3 4" xfId="22906" xr:uid="{00000000-0005-0000-0000-00007A590000}"/>
    <cellStyle name="Normal 2 2 4 2 2 3 3 5" xfId="22907" xr:uid="{00000000-0005-0000-0000-00007B590000}"/>
    <cellStyle name="Normal 2 2 4 2 2 3 3 6" xfId="22908" xr:uid="{00000000-0005-0000-0000-00007C590000}"/>
    <cellStyle name="Normal 2 2 4 2 2 3 3 7" xfId="22909" xr:uid="{00000000-0005-0000-0000-00007D590000}"/>
    <cellStyle name="Normal 2 2 4 2 2 3 3 8" xfId="22910" xr:uid="{00000000-0005-0000-0000-00007E590000}"/>
    <cellStyle name="Normal 2 2 4 2 2 3 3 9" xfId="22911" xr:uid="{00000000-0005-0000-0000-00007F590000}"/>
    <cellStyle name="Normal 2 2 4 2 2 3 4" xfId="22912" xr:uid="{00000000-0005-0000-0000-000080590000}"/>
    <cellStyle name="Normal 2 2 4 2 2 3 4 10" xfId="22913" xr:uid="{00000000-0005-0000-0000-000081590000}"/>
    <cellStyle name="Normal 2 2 4 2 2 3 4 2" xfId="22914" xr:uid="{00000000-0005-0000-0000-000082590000}"/>
    <cellStyle name="Normal 2 2 4 2 2 3 4 3" xfId="22915" xr:uid="{00000000-0005-0000-0000-000083590000}"/>
    <cellStyle name="Normal 2 2 4 2 2 3 4 4" xfId="22916" xr:uid="{00000000-0005-0000-0000-000084590000}"/>
    <cellStyle name="Normal 2 2 4 2 2 3 4 5" xfId="22917" xr:uid="{00000000-0005-0000-0000-000085590000}"/>
    <cellStyle name="Normal 2 2 4 2 2 3 4 6" xfId="22918" xr:uid="{00000000-0005-0000-0000-000086590000}"/>
    <cellStyle name="Normal 2 2 4 2 2 3 4 7" xfId="22919" xr:uid="{00000000-0005-0000-0000-000087590000}"/>
    <cellStyle name="Normal 2 2 4 2 2 3 4 8" xfId="22920" xr:uid="{00000000-0005-0000-0000-000088590000}"/>
    <cellStyle name="Normal 2 2 4 2 2 3 4 9" xfId="22921" xr:uid="{00000000-0005-0000-0000-000089590000}"/>
    <cellStyle name="Normal 2 2 4 2 2 3 5" xfId="22922" xr:uid="{00000000-0005-0000-0000-00008A590000}"/>
    <cellStyle name="Normal 2 2 4 2 2 3 5 10" xfId="22923" xr:uid="{00000000-0005-0000-0000-00008B590000}"/>
    <cellStyle name="Normal 2 2 4 2 2 3 5 2" xfId="22924" xr:uid="{00000000-0005-0000-0000-00008C590000}"/>
    <cellStyle name="Normal 2 2 4 2 2 3 5 3" xfId="22925" xr:uid="{00000000-0005-0000-0000-00008D590000}"/>
    <cellStyle name="Normal 2 2 4 2 2 3 5 4" xfId="22926" xr:uid="{00000000-0005-0000-0000-00008E590000}"/>
    <cellStyle name="Normal 2 2 4 2 2 3 5 5" xfId="22927" xr:uid="{00000000-0005-0000-0000-00008F590000}"/>
    <cellStyle name="Normal 2 2 4 2 2 3 5 6" xfId="22928" xr:uid="{00000000-0005-0000-0000-000090590000}"/>
    <cellStyle name="Normal 2 2 4 2 2 3 5 7" xfId="22929" xr:uid="{00000000-0005-0000-0000-000091590000}"/>
    <cellStyle name="Normal 2 2 4 2 2 3 5 8" xfId="22930" xr:uid="{00000000-0005-0000-0000-000092590000}"/>
    <cellStyle name="Normal 2 2 4 2 2 3 5 9" xfId="22931" xr:uid="{00000000-0005-0000-0000-000093590000}"/>
    <cellStyle name="Normal 2 2 4 2 2 3 6" xfId="22932" xr:uid="{00000000-0005-0000-0000-000094590000}"/>
    <cellStyle name="Normal 2 2 4 2 2 3 7" xfId="22933" xr:uid="{00000000-0005-0000-0000-000095590000}"/>
    <cellStyle name="Normal 2 2 4 2 2 3 8" xfId="22934" xr:uid="{00000000-0005-0000-0000-000096590000}"/>
    <cellStyle name="Normal 2 2 4 2 2 3 9" xfId="22935" xr:uid="{00000000-0005-0000-0000-000097590000}"/>
    <cellStyle name="Normal 2 2 4 2 2 4" xfId="22936" xr:uid="{00000000-0005-0000-0000-000098590000}"/>
    <cellStyle name="Normal 2 2 4 2 2 4 10" xfId="22937" xr:uid="{00000000-0005-0000-0000-000099590000}"/>
    <cellStyle name="Normal 2 2 4 2 2 4 11" xfId="22938" xr:uid="{00000000-0005-0000-0000-00009A590000}"/>
    <cellStyle name="Normal 2 2 4 2 2 4 12" xfId="22939" xr:uid="{00000000-0005-0000-0000-00009B590000}"/>
    <cellStyle name="Normal 2 2 4 2 2 4 13" xfId="22940" xr:uid="{00000000-0005-0000-0000-00009C590000}"/>
    <cellStyle name="Normal 2 2 4 2 2 4 14" xfId="22941" xr:uid="{00000000-0005-0000-0000-00009D590000}"/>
    <cellStyle name="Normal 2 2 4 2 2 4 2" xfId="22942" xr:uid="{00000000-0005-0000-0000-00009E590000}"/>
    <cellStyle name="Normal 2 2 4 2 2 4 2 10" xfId="22943" xr:uid="{00000000-0005-0000-0000-00009F590000}"/>
    <cellStyle name="Normal 2 2 4 2 2 4 2 2" xfId="22944" xr:uid="{00000000-0005-0000-0000-0000A0590000}"/>
    <cellStyle name="Normal 2 2 4 2 2 4 2 3" xfId="22945" xr:uid="{00000000-0005-0000-0000-0000A1590000}"/>
    <cellStyle name="Normal 2 2 4 2 2 4 2 4" xfId="22946" xr:uid="{00000000-0005-0000-0000-0000A2590000}"/>
    <cellStyle name="Normal 2 2 4 2 2 4 2 5" xfId="22947" xr:uid="{00000000-0005-0000-0000-0000A3590000}"/>
    <cellStyle name="Normal 2 2 4 2 2 4 2 6" xfId="22948" xr:uid="{00000000-0005-0000-0000-0000A4590000}"/>
    <cellStyle name="Normal 2 2 4 2 2 4 2 7" xfId="22949" xr:uid="{00000000-0005-0000-0000-0000A5590000}"/>
    <cellStyle name="Normal 2 2 4 2 2 4 2 8" xfId="22950" xr:uid="{00000000-0005-0000-0000-0000A6590000}"/>
    <cellStyle name="Normal 2 2 4 2 2 4 2 9" xfId="22951" xr:uid="{00000000-0005-0000-0000-0000A7590000}"/>
    <cellStyle name="Normal 2 2 4 2 2 4 3" xfId="22952" xr:uid="{00000000-0005-0000-0000-0000A8590000}"/>
    <cellStyle name="Normal 2 2 4 2 2 4 3 10" xfId="22953" xr:uid="{00000000-0005-0000-0000-0000A9590000}"/>
    <cellStyle name="Normal 2 2 4 2 2 4 3 2" xfId="22954" xr:uid="{00000000-0005-0000-0000-0000AA590000}"/>
    <cellStyle name="Normal 2 2 4 2 2 4 3 3" xfId="22955" xr:uid="{00000000-0005-0000-0000-0000AB590000}"/>
    <cellStyle name="Normal 2 2 4 2 2 4 3 4" xfId="22956" xr:uid="{00000000-0005-0000-0000-0000AC590000}"/>
    <cellStyle name="Normal 2 2 4 2 2 4 3 5" xfId="22957" xr:uid="{00000000-0005-0000-0000-0000AD590000}"/>
    <cellStyle name="Normal 2 2 4 2 2 4 3 6" xfId="22958" xr:uid="{00000000-0005-0000-0000-0000AE590000}"/>
    <cellStyle name="Normal 2 2 4 2 2 4 3 7" xfId="22959" xr:uid="{00000000-0005-0000-0000-0000AF590000}"/>
    <cellStyle name="Normal 2 2 4 2 2 4 3 8" xfId="22960" xr:uid="{00000000-0005-0000-0000-0000B0590000}"/>
    <cellStyle name="Normal 2 2 4 2 2 4 3 9" xfId="22961" xr:uid="{00000000-0005-0000-0000-0000B1590000}"/>
    <cellStyle name="Normal 2 2 4 2 2 4 4" xfId="22962" xr:uid="{00000000-0005-0000-0000-0000B2590000}"/>
    <cellStyle name="Normal 2 2 4 2 2 4 4 10" xfId="22963" xr:uid="{00000000-0005-0000-0000-0000B3590000}"/>
    <cellStyle name="Normal 2 2 4 2 2 4 4 2" xfId="22964" xr:uid="{00000000-0005-0000-0000-0000B4590000}"/>
    <cellStyle name="Normal 2 2 4 2 2 4 4 3" xfId="22965" xr:uid="{00000000-0005-0000-0000-0000B5590000}"/>
    <cellStyle name="Normal 2 2 4 2 2 4 4 4" xfId="22966" xr:uid="{00000000-0005-0000-0000-0000B6590000}"/>
    <cellStyle name="Normal 2 2 4 2 2 4 4 5" xfId="22967" xr:uid="{00000000-0005-0000-0000-0000B7590000}"/>
    <cellStyle name="Normal 2 2 4 2 2 4 4 6" xfId="22968" xr:uid="{00000000-0005-0000-0000-0000B8590000}"/>
    <cellStyle name="Normal 2 2 4 2 2 4 4 7" xfId="22969" xr:uid="{00000000-0005-0000-0000-0000B9590000}"/>
    <cellStyle name="Normal 2 2 4 2 2 4 4 8" xfId="22970" xr:uid="{00000000-0005-0000-0000-0000BA590000}"/>
    <cellStyle name="Normal 2 2 4 2 2 4 4 9" xfId="22971" xr:uid="{00000000-0005-0000-0000-0000BB590000}"/>
    <cellStyle name="Normal 2 2 4 2 2 4 5" xfId="22972" xr:uid="{00000000-0005-0000-0000-0000BC590000}"/>
    <cellStyle name="Normal 2 2 4 2 2 4 5 10" xfId="22973" xr:uid="{00000000-0005-0000-0000-0000BD590000}"/>
    <cellStyle name="Normal 2 2 4 2 2 4 5 2" xfId="22974" xr:uid="{00000000-0005-0000-0000-0000BE590000}"/>
    <cellStyle name="Normal 2 2 4 2 2 4 5 3" xfId="22975" xr:uid="{00000000-0005-0000-0000-0000BF590000}"/>
    <cellStyle name="Normal 2 2 4 2 2 4 5 4" xfId="22976" xr:uid="{00000000-0005-0000-0000-0000C0590000}"/>
    <cellStyle name="Normal 2 2 4 2 2 4 5 5" xfId="22977" xr:uid="{00000000-0005-0000-0000-0000C1590000}"/>
    <cellStyle name="Normal 2 2 4 2 2 4 5 6" xfId="22978" xr:uid="{00000000-0005-0000-0000-0000C2590000}"/>
    <cellStyle name="Normal 2 2 4 2 2 4 5 7" xfId="22979" xr:uid="{00000000-0005-0000-0000-0000C3590000}"/>
    <cellStyle name="Normal 2 2 4 2 2 4 5 8" xfId="22980" xr:uid="{00000000-0005-0000-0000-0000C4590000}"/>
    <cellStyle name="Normal 2 2 4 2 2 4 5 9" xfId="22981" xr:uid="{00000000-0005-0000-0000-0000C5590000}"/>
    <cellStyle name="Normal 2 2 4 2 2 4 6" xfId="22982" xr:uid="{00000000-0005-0000-0000-0000C6590000}"/>
    <cellStyle name="Normal 2 2 4 2 2 4 7" xfId="22983" xr:uid="{00000000-0005-0000-0000-0000C7590000}"/>
    <cellStyle name="Normal 2 2 4 2 2 4 8" xfId="22984" xr:uid="{00000000-0005-0000-0000-0000C8590000}"/>
    <cellStyle name="Normal 2 2 4 2 2 4 9" xfId="22985" xr:uid="{00000000-0005-0000-0000-0000C9590000}"/>
    <cellStyle name="Normal 2 2 4 2 2 5" xfId="22986" xr:uid="{00000000-0005-0000-0000-0000CA590000}"/>
    <cellStyle name="Normal 2 2 4 2 2 5 10" xfId="22987" xr:uid="{00000000-0005-0000-0000-0000CB590000}"/>
    <cellStyle name="Normal 2 2 4 2 2 5 11" xfId="22988" xr:uid="{00000000-0005-0000-0000-0000CC590000}"/>
    <cellStyle name="Normal 2 2 4 2 2 5 12" xfId="22989" xr:uid="{00000000-0005-0000-0000-0000CD590000}"/>
    <cellStyle name="Normal 2 2 4 2 2 5 13" xfId="22990" xr:uid="{00000000-0005-0000-0000-0000CE590000}"/>
    <cellStyle name="Normal 2 2 4 2 2 5 14" xfId="22991" xr:uid="{00000000-0005-0000-0000-0000CF590000}"/>
    <cellStyle name="Normal 2 2 4 2 2 5 2" xfId="22992" xr:uid="{00000000-0005-0000-0000-0000D0590000}"/>
    <cellStyle name="Normal 2 2 4 2 2 5 2 10" xfId="22993" xr:uid="{00000000-0005-0000-0000-0000D1590000}"/>
    <cellStyle name="Normal 2 2 4 2 2 5 2 2" xfId="22994" xr:uid="{00000000-0005-0000-0000-0000D2590000}"/>
    <cellStyle name="Normal 2 2 4 2 2 5 2 3" xfId="22995" xr:uid="{00000000-0005-0000-0000-0000D3590000}"/>
    <cellStyle name="Normal 2 2 4 2 2 5 2 4" xfId="22996" xr:uid="{00000000-0005-0000-0000-0000D4590000}"/>
    <cellStyle name="Normal 2 2 4 2 2 5 2 5" xfId="22997" xr:uid="{00000000-0005-0000-0000-0000D5590000}"/>
    <cellStyle name="Normal 2 2 4 2 2 5 2 6" xfId="22998" xr:uid="{00000000-0005-0000-0000-0000D6590000}"/>
    <cellStyle name="Normal 2 2 4 2 2 5 2 7" xfId="22999" xr:uid="{00000000-0005-0000-0000-0000D7590000}"/>
    <cellStyle name="Normal 2 2 4 2 2 5 2 8" xfId="23000" xr:uid="{00000000-0005-0000-0000-0000D8590000}"/>
    <cellStyle name="Normal 2 2 4 2 2 5 2 9" xfId="23001" xr:uid="{00000000-0005-0000-0000-0000D9590000}"/>
    <cellStyle name="Normal 2 2 4 2 2 5 3" xfId="23002" xr:uid="{00000000-0005-0000-0000-0000DA590000}"/>
    <cellStyle name="Normal 2 2 4 2 2 5 3 10" xfId="23003" xr:uid="{00000000-0005-0000-0000-0000DB590000}"/>
    <cellStyle name="Normal 2 2 4 2 2 5 3 2" xfId="23004" xr:uid="{00000000-0005-0000-0000-0000DC590000}"/>
    <cellStyle name="Normal 2 2 4 2 2 5 3 3" xfId="23005" xr:uid="{00000000-0005-0000-0000-0000DD590000}"/>
    <cellStyle name="Normal 2 2 4 2 2 5 3 4" xfId="23006" xr:uid="{00000000-0005-0000-0000-0000DE590000}"/>
    <cellStyle name="Normal 2 2 4 2 2 5 3 5" xfId="23007" xr:uid="{00000000-0005-0000-0000-0000DF590000}"/>
    <cellStyle name="Normal 2 2 4 2 2 5 3 6" xfId="23008" xr:uid="{00000000-0005-0000-0000-0000E0590000}"/>
    <cellStyle name="Normal 2 2 4 2 2 5 3 7" xfId="23009" xr:uid="{00000000-0005-0000-0000-0000E1590000}"/>
    <cellStyle name="Normal 2 2 4 2 2 5 3 8" xfId="23010" xr:uid="{00000000-0005-0000-0000-0000E2590000}"/>
    <cellStyle name="Normal 2 2 4 2 2 5 3 9" xfId="23011" xr:uid="{00000000-0005-0000-0000-0000E3590000}"/>
    <cellStyle name="Normal 2 2 4 2 2 5 4" xfId="23012" xr:uid="{00000000-0005-0000-0000-0000E4590000}"/>
    <cellStyle name="Normal 2 2 4 2 2 5 4 10" xfId="23013" xr:uid="{00000000-0005-0000-0000-0000E5590000}"/>
    <cellStyle name="Normal 2 2 4 2 2 5 4 2" xfId="23014" xr:uid="{00000000-0005-0000-0000-0000E6590000}"/>
    <cellStyle name="Normal 2 2 4 2 2 5 4 3" xfId="23015" xr:uid="{00000000-0005-0000-0000-0000E7590000}"/>
    <cellStyle name="Normal 2 2 4 2 2 5 4 4" xfId="23016" xr:uid="{00000000-0005-0000-0000-0000E8590000}"/>
    <cellStyle name="Normal 2 2 4 2 2 5 4 5" xfId="23017" xr:uid="{00000000-0005-0000-0000-0000E9590000}"/>
    <cellStyle name="Normal 2 2 4 2 2 5 4 6" xfId="23018" xr:uid="{00000000-0005-0000-0000-0000EA590000}"/>
    <cellStyle name="Normal 2 2 4 2 2 5 4 7" xfId="23019" xr:uid="{00000000-0005-0000-0000-0000EB590000}"/>
    <cellStyle name="Normal 2 2 4 2 2 5 4 8" xfId="23020" xr:uid="{00000000-0005-0000-0000-0000EC590000}"/>
    <cellStyle name="Normal 2 2 4 2 2 5 4 9" xfId="23021" xr:uid="{00000000-0005-0000-0000-0000ED590000}"/>
    <cellStyle name="Normal 2 2 4 2 2 5 5" xfId="23022" xr:uid="{00000000-0005-0000-0000-0000EE590000}"/>
    <cellStyle name="Normal 2 2 4 2 2 5 5 10" xfId="23023" xr:uid="{00000000-0005-0000-0000-0000EF590000}"/>
    <cellStyle name="Normal 2 2 4 2 2 5 5 2" xfId="23024" xr:uid="{00000000-0005-0000-0000-0000F0590000}"/>
    <cellStyle name="Normal 2 2 4 2 2 5 5 3" xfId="23025" xr:uid="{00000000-0005-0000-0000-0000F1590000}"/>
    <cellStyle name="Normal 2 2 4 2 2 5 5 4" xfId="23026" xr:uid="{00000000-0005-0000-0000-0000F2590000}"/>
    <cellStyle name="Normal 2 2 4 2 2 5 5 5" xfId="23027" xr:uid="{00000000-0005-0000-0000-0000F3590000}"/>
    <cellStyle name="Normal 2 2 4 2 2 5 5 6" xfId="23028" xr:uid="{00000000-0005-0000-0000-0000F4590000}"/>
    <cellStyle name="Normal 2 2 4 2 2 5 5 7" xfId="23029" xr:uid="{00000000-0005-0000-0000-0000F5590000}"/>
    <cellStyle name="Normal 2 2 4 2 2 5 5 8" xfId="23030" xr:uid="{00000000-0005-0000-0000-0000F6590000}"/>
    <cellStyle name="Normal 2 2 4 2 2 5 5 9" xfId="23031" xr:uid="{00000000-0005-0000-0000-0000F7590000}"/>
    <cellStyle name="Normal 2 2 4 2 2 5 6" xfId="23032" xr:uid="{00000000-0005-0000-0000-0000F8590000}"/>
    <cellStyle name="Normal 2 2 4 2 2 5 7" xfId="23033" xr:uid="{00000000-0005-0000-0000-0000F9590000}"/>
    <cellStyle name="Normal 2 2 4 2 2 5 8" xfId="23034" xr:uid="{00000000-0005-0000-0000-0000FA590000}"/>
    <cellStyle name="Normal 2 2 4 2 2 5 9" xfId="23035" xr:uid="{00000000-0005-0000-0000-0000FB590000}"/>
    <cellStyle name="Normal 2 2 4 2 2 6" xfId="23036" xr:uid="{00000000-0005-0000-0000-0000FC590000}"/>
    <cellStyle name="Normal 2 2 4 2 2 6 10" xfId="23037" xr:uid="{00000000-0005-0000-0000-0000FD590000}"/>
    <cellStyle name="Normal 2 2 4 2 2 6 11" xfId="23038" xr:uid="{00000000-0005-0000-0000-0000FE590000}"/>
    <cellStyle name="Normal 2 2 4 2 2 6 12" xfId="23039" xr:uid="{00000000-0005-0000-0000-0000FF590000}"/>
    <cellStyle name="Normal 2 2 4 2 2 6 13" xfId="23040" xr:uid="{00000000-0005-0000-0000-0000005A0000}"/>
    <cellStyle name="Normal 2 2 4 2 2 6 14" xfId="23041" xr:uid="{00000000-0005-0000-0000-0000015A0000}"/>
    <cellStyle name="Normal 2 2 4 2 2 6 2" xfId="23042" xr:uid="{00000000-0005-0000-0000-0000025A0000}"/>
    <cellStyle name="Normal 2 2 4 2 2 6 2 10" xfId="23043" xr:uid="{00000000-0005-0000-0000-0000035A0000}"/>
    <cellStyle name="Normal 2 2 4 2 2 6 2 2" xfId="23044" xr:uid="{00000000-0005-0000-0000-0000045A0000}"/>
    <cellStyle name="Normal 2 2 4 2 2 6 2 3" xfId="23045" xr:uid="{00000000-0005-0000-0000-0000055A0000}"/>
    <cellStyle name="Normal 2 2 4 2 2 6 2 4" xfId="23046" xr:uid="{00000000-0005-0000-0000-0000065A0000}"/>
    <cellStyle name="Normal 2 2 4 2 2 6 2 5" xfId="23047" xr:uid="{00000000-0005-0000-0000-0000075A0000}"/>
    <cellStyle name="Normal 2 2 4 2 2 6 2 6" xfId="23048" xr:uid="{00000000-0005-0000-0000-0000085A0000}"/>
    <cellStyle name="Normal 2 2 4 2 2 6 2 7" xfId="23049" xr:uid="{00000000-0005-0000-0000-0000095A0000}"/>
    <cellStyle name="Normal 2 2 4 2 2 6 2 8" xfId="23050" xr:uid="{00000000-0005-0000-0000-00000A5A0000}"/>
    <cellStyle name="Normal 2 2 4 2 2 6 2 9" xfId="23051" xr:uid="{00000000-0005-0000-0000-00000B5A0000}"/>
    <cellStyle name="Normal 2 2 4 2 2 6 3" xfId="23052" xr:uid="{00000000-0005-0000-0000-00000C5A0000}"/>
    <cellStyle name="Normal 2 2 4 2 2 6 3 10" xfId="23053" xr:uid="{00000000-0005-0000-0000-00000D5A0000}"/>
    <cellStyle name="Normal 2 2 4 2 2 6 3 2" xfId="23054" xr:uid="{00000000-0005-0000-0000-00000E5A0000}"/>
    <cellStyle name="Normal 2 2 4 2 2 6 3 3" xfId="23055" xr:uid="{00000000-0005-0000-0000-00000F5A0000}"/>
    <cellStyle name="Normal 2 2 4 2 2 6 3 4" xfId="23056" xr:uid="{00000000-0005-0000-0000-0000105A0000}"/>
    <cellStyle name="Normal 2 2 4 2 2 6 3 5" xfId="23057" xr:uid="{00000000-0005-0000-0000-0000115A0000}"/>
    <cellStyle name="Normal 2 2 4 2 2 6 3 6" xfId="23058" xr:uid="{00000000-0005-0000-0000-0000125A0000}"/>
    <cellStyle name="Normal 2 2 4 2 2 6 3 7" xfId="23059" xr:uid="{00000000-0005-0000-0000-0000135A0000}"/>
    <cellStyle name="Normal 2 2 4 2 2 6 3 8" xfId="23060" xr:uid="{00000000-0005-0000-0000-0000145A0000}"/>
    <cellStyle name="Normal 2 2 4 2 2 6 3 9" xfId="23061" xr:uid="{00000000-0005-0000-0000-0000155A0000}"/>
    <cellStyle name="Normal 2 2 4 2 2 6 4" xfId="23062" xr:uid="{00000000-0005-0000-0000-0000165A0000}"/>
    <cellStyle name="Normal 2 2 4 2 2 6 4 10" xfId="23063" xr:uid="{00000000-0005-0000-0000-0000175A0000}"/>
    <cellStyle name="Normal 2 2 4 2 2 6 4 2" xfId="23064" xr:uid="{00000000-0005-0000-0000-0000185A0000}"/>
    <cellStyle name="Normal 2 2 4 2 2 6 4 3" xfId="23065" xr:uid="{00000000-0005-0000-0000-0000195A0000}"/>
    <cellStyle name="Normal 2 2 4 2 2 6 4 4" xfId="23066" xr:uid="{00000000-0005-0000-0000-00001A5A0000}"/>
    <cellStyle name="Normal 2 2 4 2 2 6 4 5" xfId="23067" xr:uid="{00000000-0005-0000-0000-00001B5A0000}"/>
    <cellStyle name="Normal 2 2 4 2 2 6 4 6" xfId="23068" xr:uid="{00000000-0005-0000-0000-00001C5A0000}"/>
    <cellStyle name="Normal 2 2 4 2 2 6 4 7" xfId="23069" xr:uid="{00000000-0005-0000-0000-00001D5A0000}"/>
    <cellStyle name="Normal 2 2 4 2 2 6 4 8" xfId="23070" xr:uid="{00000000-0005-0000-0000-00001E5A0000}"/>
    <cellStyle name="Normal 2 2 4 2 2 6 4 9" xfId="23071" xr:uid="{00000000-0005-0000-0000-00001F5A0000}"/>
    <cellStyle name="Normal 2 2 4 2 2 6 5" xfId="23072" xr:uid="{00000000-0005-0000-0000-0000205A0000}"/>
    <cellStyle name="Normal 2 2 4 2 2 6 5 10" xfId="23073" xr:uid="{00000000-0005-0000-0000-0000215A0000}"/>
    <cellStyle name="Normal 2 2 4 2 2 6 5 2" xfId="23074" xr:uid="{00000000-0005-0000-0000-0000225A0000}"/>
    <cellStyle name="Normal 2 2 4 2 2 6 5 3" xfId="23075" xr:uid="{00000000-0005-0000-0000-0000235A0000}"/>
    <cellStyle name="Normal 2 2 4 2 2 6 5 4" xfId="23076" xr:uid="{00000000-0005-0000-0000-0000245A0000}"/>
    <cellStyle name="Normal 2 2 4 2 2 6 5 5" xfId="23077" xr:uid="{00000000-0005-0000-0000-0000255A0000}"/>
    <cellStyle name="Normal 2 2 4 2 2 6 5 6" xfId="23078" xr:uid="{00000000-0005-0000-0000-0000265A0000}"/>
    <cellStyle name="Normal 2 2 4 2 2 6 5 7" xfId="23079" xr:uid="{00000000-0005-0000-0000-0000275A0000}"/>
    <cellStyle name="Normal 2 2 4 2 2 6 5 8" xfId="23080" xr:uid="{00000000-0005-0000-0000-0000285A0000}"/>
    <cellStyle name="Normal 2 2 4 2 2 6 5 9" xfId="23081" xr:uid="{00000000-0005-0000-0000-0000295A0000}"/>
    <cellStyle name="Normal 2 2 4 2 2 6 6" xfId="23082" xr:uid="{00000000-0005-0000-0000-00002A5A0000}"/>
    <cellStyle name="Normal 2 2 4 2 2 6 7" xfId="23083" xr:uid="{00000000-0005-0000-0000-00002B5A0000}"/>
    <cellStyle name="Normal 2 2 4 2 2 6 8" xfId="23084" xr:uid="{00000000-0005-0000-0000-00002C5A0000}"/>
    <cellStyle name="Normal 2 2 4 2 2 6 9" xfId="23085" xr:uid="{00000000-0005-0000-0000-00002D5A0000}"/>
    <cellStyle name="Normal 2 2 4 2 2 7" xfId="23086" xr:uid="{00000000-0005-0000-0000-00002E5A0000}"/>
    <cellStyle name="Normal 2 2 4 2 2 7 10" xfId="23087" xr:uid="{00000000-0005-0000-0000-00002F5A0000}"/>
    <cellStyle name="Normal 2 2 4 2 2 7 11" xfId="23088" xr:uid="{00000000-0005-0000-0000-0000305A0000}"/>
    <cellStyle name="Normal 2 2 4 2 2 7 12" xfId="23089" xr:uid="{00000000-0005-0000-0000-0000315A0000}"/>
    <cellStyle name="Normal 2 2 4 2 2 7 13" xfId="23090" xr:uid="{00000000-0005-0000-0000-0000325A0000}"/>
    <cellStyle name="Normal 2 2 4 2 2 7 14" xfId="23091" xr:uid="{00000000-0005-0000-0000-0000335A0000}"/>
    <cellStyle name="Normal 2 2 4 2 2 7 2" xfId="23092" xr:uid="{00000000-0005-0000-0000-0000345A0000}"/>
    <cellStyle name="Normal 2 2 4 2 2 7 2 10" xfId="23093" xr:uid="{00000000-0005-0000-0000-0000355A0000}"/>
    <cellStyle name="Normal 2 2 4 2 2 7 2 2" xfId="23094" xr:uid="{00000000-0005-0000-0000-0000365A0000}"/>
    <cellStyle name="Normal 2 2 4 2 2 7 2 3" xfId="23095" xr:uid="{00000000-0005-0000-0000-0000375A0000}"/>
    <cellStyle name="Normal 2 2 4 2 2 7 2 4" xfId="23096" xr:uid="{00000000-0005-0000-0000-0000385A0000}"/>
    <cellStyle name="Normal 2 2 4 2 2 7 2 5" xfId="23097" xr:uid="{00000000-0005-0000-0000-0000395A0000}"/>
    <cellStyle name="Normal 2 2 4 2 2 7 2 6" xfId="23098" xr:uid="{00000000-0005-0000-0000-00003A5A0000}"/>
    <cellStyle name="Normal 2 2 4 2 2 7 2 7" xfId="23099" xr:uid="{00000000-0005-0000-0000-00003B5A0000}"/>
    <cellStyle name="Normal 2 2 4 2 2 7 2 8" xfId="23100" xr:uid="{00000000-0005-0000-0000-00003C5A0000}"/>
    <cellStyle name="Normal 2 2 4 2 2 7 2 9" xfId="23101" xr:uid="{00000000-0005-0000-0000-00003D5A0000}"/>
    <cellStyle name="Normal 2 2 4 2 2 7 3" xfId="23102" xr:uid="{00000000-0005-0000-0000-00003E5A0000}"/>
    <cellStyle name="Normal 2 2 4 2 2 7 3 10" xfId="23103" xr:uid="{00000000-0005-0000-0000-00003F5A0000}"/>
    <cellStyle name="Normal 2 2 4 2 2 7 3 2" xfId="23104" xr:uid="{00000000-0005-0000-0000-0000405A0000}"/>
    <cellStyle name="Normal 2 2 4 2 2 7 3 3" xfId="23105" xr:uid="{00000000-0005-0000-0000-0000415A0000}"/>
    <cellStyle name="Normal 2 2 4 2 2 7 3 4" xfId="23106" xr:uid="{00000000-0005-0000-0000-0000425A0000}"/>
    <cellStyle name="Normal 2 2 4 2 2 7 3 5" xfId="23107" xr:uid="{00000000-0005-0000-0000-0000435A0000}"/>
    <cellStyle name="Normal 2 2 4 2 2 7 3 6" xfId="23108" xr:uid="{00000000-0005-0000-0000-0000445A0000}"/>
    <cellStyle name="Normal 2 2 4 2 2 7 3 7" xfId="23109" xr:uid="{00000000-0005-0000-0000-0000455A0000}"/>
    <cellStyle name="Normal 2 2 4 2 2 7 3 8" xfId="23110" xr:uid="{00000000-0005-0000-0000-0000465A0000}"/>
    <cellStyle name="Normal 2 2 4 2 2 7 3 9" xfId="23111" xr:uid="{00000000-0005-0000-0000-0000475A0000}"/>
    <cellStyle name="Normal 2 2 4 2 2 7 4" xfId="23112" xr:uid="{00000000-0005-0000-0000-0000485A0000}"/>
    <cellStyle name="Normal 2 2 4 2 2 7 4 10" xfId="23113" xr:uid="{00000000-0005-0000-0000-0000495A0000}"/>
    <cellStyle name="Normal 2 2 4 2 2 7 4 2" xfId="23114" xr:uid="{00000000-0005-0000-0000-00004A5A0000}"/>
    <cellStyle name="Normal 2 2 4 2 2 7 4 3" xfId="23115" xr:uid="{00000000-0005-0000-0000-00004B5A0000}"/>
    <cellStyle name="Normal 2 2 4 2 2 7 4 4" xfId="23116" xr:uid="{00000000-0005-0000-0000-00004C5A0000}"/>
    <cellStyle name="Normal 2 2 4 2 2 7 4 5" xfId="23117" xr:uid="{00000000-0005-0000-0000-00004D5A0000}"/>
    <cellStyle name="Normal 2 2 4 2 2 7 4 6" xfId="23118" xr:uid="{00000000-0005-0000-0000-00004E5A0000}"/>
    <cellStyle name="Normal 2 2 4 2 2 7 4 7" xfId="23119" xr:uid="{00000000-0005-0000-0000-00004F5A0000}"/>
    <cellStyle name="Normal 2 2 4 2 2 7 4 8" xfId="23120" xr:uid="{00000000-0005-0000-0000-0000505A0000}"/>
    <cellStyle name="Normal 2 2 4 2 2 7 4 9" xfId="23121" xr:uid="{00000000-0005-0000-0000-0000515A0000}"/>
    <cellStyle name="Normal 2 2 4 2 2 7 5" xfId="23122" xr:uid="{00000000-0005-0000-0000-0000525A0000}"/>
    <cellStyle name="Normal 2 2 4 2 2 7 5 10" xfId="23123" xr:uid="{00000000-0005-0000-0000-0000535A0000}"/>
    <cellStyle name="Normal 2 2 4 2 2 7 5 2" xfId="23124" xr:uid="{00000000-0005-0000-0000-0000545A0000}"/>
    <cellStyle name="Normal 2 2 4 2 2 7 5 3" xfId="23125" xr:uid="{00000000-0005-0000-0000-0000555A0000}"/>
    <cellStyle name="Normal 2 2 4 2 2 7 5 4" xfId="23126" xr:uid="{00000000-0005-0000-0000-0000565A0000}"/>
    <cellStyle name="Normal 2 2 4 2 2 7 5 5" xfId="23127" xr:uid="{00000000-0005-0000-0000-0000575A0000}"/>
    <cellStyle name="Normal 2 2 4 2 2 7 5 6" xfId="23128" xr:uid="{00000000-0005-0000-0000-0000585A0000}"/>
    <cellStyle name="Normal 2 2 4 2 2 7 5 7" xfId="23129" xr:uid="{00000000-0005-0000-0000-0000595A0000}"/>
    <cellStyle name="Normal 2 2 4 2 2 7 5 8" xfId="23130" xr:uid="{00000000-0005-0000-0000-00005A5A0000}"/>
    <cellStyle name="Normal 2 2 4 2 2 7 5 9" xfId="23131" xr:uid="{00000000-0005-0000-0000-00005B5A0000}"/>
    <cellStyle name="Normal 2 2 4 2 2 7 6" xfId="23132" xr:uid="{00000000-0005-0000-0000-00005C5A0000}"/>
    <cellStyle name="Normal 2 2 4 2 2 7 7" xfId="23133" xr:uid="{00000000-0005-0000-0000-00005D5A0000}"/>
    <cellStyle name="Normal 2 2 4 2 2 7 8" xfId="23134" xr:uid="{00000000-0005-0000-0000-00005E5A0000}"/>
    <cellStyle name="Normal 2 2 4 2 2 7 9" xfId="23135" xr:uid="{00000000-0005-0000-0000-00005F5A0000}"/>
    <cellStyle name="Normal 2 2 4 2 2 8" xfId="23136" xr:uid="{00000000-0005-0000-0000-0000605A0000}"/>
    <cellStyle name="Normal 2 2 4 2 2 8 10" xfId="23137" xr:uid="{00000000-0005-0000-0000-0000615A0000}"/>
    <cellStyle name="Normal 2 2 4 2 2 8 11" xfId="23138" xr:uid="{00000000-0005-0000-0000-0000625A0000}"/>
    <cellStyle name="Normal 2 2 4 2 2 8 12" xfId="23139" xr:uid="{00000000-0005-0000-0000-0000635A0000}"/>
    <cellStyle name="Normal 2 2 4 2 2 8 13" xfId="23140" xr:uid="{00000000-0005-0000-0000-0000645A0000}"/>
    <cellStyle name="Normal 2 2 4 2 2 8 14" xfId="23141" xr:uid="{00000000-0005-0000-0000-0000655A0000}"/>
    <cellStyle name="Normal 2 2 4 2 2 8 2" xfId="23142" xr:uid="{00000000-0005-0000-0000-0000665A0000}"/>
    <cellStyle name="Normal 2 2 4 2 2 8 2 10" xfId="23143" xr:uid="{00000000-0005-0000-0000-0000675A0000}"/>
    <cellStyle name="Normal 2 2 4 2 2 8 2 2" xfId="23144" xr:uid="{00000000-0005-0000-0000-0000685A0000}"/>
    <cellStyle name="Normal 2 2 4 2 2 8 2 3" xfId="23145" xr:uid="{00000000-0005-0000-0000-0000695A0000}"/>
    <cellStyle name="Normal 2 2 4 2 2 8 2 4" xfId="23146" xr:uid="{00000000-0005-0000-0000-00006A5A0000}"/>
    <cellStyle name="Normal 2 2 4 2 2 8 2 5" xfId="23147" xr:uid="{00000000-0005-0000-0000-00006B5A0000}"/>
    <cellStyle name="Normal 2 2 4 2 2 8 2 6" xfId="23148" xr:uid="{00000000-0005-0000-0000-00006C5A0000}"/>
    <cellStyle name="Normal 2 2 4 2 2 8 2 7" xfId="23149" xr:uid="{00000000-0005-0000-0000-00006D5A0000}"/>
    <cellStyle name="Normal 2 2 4 2 2 8 2 8" xfId="23150" xr:uid="{00000000-0005-0000-0000-00006E5A0000}"/>
    <cellStyle name="Normal 2 2 4 2 2 8 2 9" xfId="23151" xr:uid="{00000000-0005-0000-0000-00006F5A0000}"/>
    <cellStyle name="Normal 2 2 4 2 2 8 3" xfId="23152" xr:uid="{00000000-0005-0000-0000-0000705A0000}"/>
    <cellStyle name="Normal 2 2 4 2 2 8 3 10" xfId="23153" xr:uid="{00000000-0005-0000-0000-0000715A0000}"/>
    <cellStyle name="Normal 2 2 4 2 2 8 3 2" xfId="23154" xr:uid="{00000000-0005-0000-0000-0000725A0000}"/>
    <cellStyle name="Normal 2 2 4 2 2 8 3 3" xfId="23155" xr:uid="{00000000-0005-0000-0000-0000735A0000}"/>
    <cellStyle name="Normal 2 2 4 2 2 8 3 4" xfId="23156" xr:uid="{00000000-0005-0000-0000-0000745A0000}"/>
    <cellStyle name="Normal 2 2 4 2 2 8 3 5" xfId="23157" xr:uid="{00000000-0005-0000-0000-0000755A0000}"/>
    <cellStyle name="Normal 2 2 4 2 2 8 3 6" xfId="23158" xr:uid="{00000000-0005-0000-0000-0000765A0000}"/>
    <cellStyle name="Normal 2 2 4 2 2 8 3 7" xfId="23159" xr:uid="{00000000-0005-0000-0000-0000775A0000}"/>
    <cellStyle name="Normal 2 2 4 2 2 8 3 8" xfId="23160" xr:uid="{00000000-0005-0000-0000-0000785A0000}"/>
    <cellStyle name="Normal 2 2 4 2 2 8 3 9" xfId="23161" xr:uid="{00000000-0005-0000-0000-0000795A0000}"/>
    <cellStyle name="Normal 2 2 4 2 2 8 4" xfId="23162" xr:uid="{00000000-0005-0000-0000-00007A5A0000}"/>
    <cellStyle name="Normal 2 2 4 2 2 8 4 10" xfId="23163" xr:uid="{00000000-0005-0000-0000-00007B5A0000}"/>
    <cellStyle name="Normal 2 2 4 2 2 8 4 2" xfId="23164" xr:uid="{00000000-0005-0000-0000-00007C5A0000}"/>
    <cellStyle name="Normal 2 2 4 2 2 8 4 3" xfId="23165" xr:uid="{00000000-0005-0000-0000-00007D5A0000}"/>
    <cellStyle name="Normal 2 2 4 2 2 8 4 4" xfId="23166" xr:uid="{00000000-0005-0000-0000-00007E5A0000}"/>
    <cellStyle name="Normal 2 2 4 2 2 8 4 5" xfId="23167" xr:uid="{00000000-0005-0000-0000-00007F5A0000}"/>
    <cellStyle name="Normal 2 2 4 2 2 8 4 6" xfId="23168" xr:uid="{00000000-0005-0000-0000-0000805A0000}"/>
    <cellStyle name="Normal 2 2 4 2 2 8 4 7" xfId="23169" xr:uid="{00000000-0005-0000-0000-0000815A0000}"/>
    <cellStyle name="Normal 2 2 4 2 2 8 4 8" xfId="23170" xr:uid="{00000000-0005-0000-0000-0000825A0000}"/>
    <cellStyle name="Normal 2 2 4 2 2 8 4 9" xfId="23171" xr:uid="{00000000-0005-0000-0000-0000835A0000}"/>
    <cellStyle name="Normal 2 2 4 2 2 8 5" xfId="23172" xr:uid="{00000000-0005-0000-0000-0000845A0000}"/>
    <cellStyle name="Normal 2 2 4 2 2 8 5 10" xfId="23173" xr:uid="{00000000-0005-0000-0000-0000855A0000}"/>
    <cellStyle name="Normal 2 2 4 2 2 8 5 2" xfId="23174" xr:uid="{00000000-0005-0000-0000-0000865A0000}"/>
    <cellStyle name="Normal 2 2 4 2 2 8 5 3" xfId="23175" xr:uid="{00000000-0005-0000-0000-0000875A0000}"/>
    <cellStyle name="Normal 2 2 4 2 2 8 5 4" xfId="23176" xr:uid="{00000000-0005-0000-0000-0000885A0000}"/>
    <cellStyle name="Normal 2 2 4 2 2 8 5 5" xfId="23177" xr:uid="{00000000-0005-0000-0000-0000895A0000}"/>
    <cellStyle name="Normal 2 2 4 2 2 8 5 6" xfId="23178" xr:uid="{00000000-0005-0000-0000-00008A5A0000}"/>
    <cellStyle name="Normal 2 2 4 2 2 8 5 7" xfId="23179" xr:uid="{00000000-0005-0000-0000-00008B5A0000}"/>
    <cellStyle name="Normal 2 2 4 2 2 8 5 8" xfId="23180" xr:uid="{00000000-0005-0000-0000-00008C5A0000}"/>
    <cellStyle name="Normal 2 2 4 2 2 8 5 9" xfId="23181" xr:uid="{00000000-0005-0000-0000-00008D5A0000}"/>
    <cellStyle name="Normal 2 2 4 2 2 8 6" xfId="23182" xr:uid="{00000000-0005-0000-0000-00008E5A0000}"/>
    <cellStyle name="Normal 2 2 4 2 2 8 7" xfId="23183" xr:uid="{00000000-0005-0000-0000-00008F5A0000}"/>
    <cellStyle name="Normal 2 2 4 2 2 8 8" xfId="23184" xr:uid="{00000000-0005-0000-0000-0000905A0000}"/>
    <cellStyle name="Normal 2 2 4 2 2 8 9" xfId="23185" xr:uid="{00000000-0005-0000-0000-0000915A0000}"/>
    <cellStyle name="Normal 2 2 4 2 2 9" xfId="23186" xr:uid="{00000000-0005-0000-0000-0000925A0000}"/>
    <cellStyle name="Normal 2 2 4 2 2 9 10" xfId="23187" xr:uid="{00000000-0005-0000-0000-0000935A0000}"/>
    <cellStyle name="Normal 2 2 4 2 2 9 11" xfId="23188" xr:uid="{00000000-0005-0000-0000-0000945A0000}"/>
    <cellStyle name="Normal 2 2 4 2 2 9 12" xfId="23189" xr:uid="{00000000-0005-0000-0000-0000955A0000}"/>
    <cellStyle name="Normal 2 2 4 2 2 9 13" xfId="23190" xr:uid="{00000000-0005-0000-0000-0000965A0000}"/>
    <cellStyle name="Normal 2 2 4 2 2 9 14" xfId="23191" xr:uid="{00000000-0005-0000-0000-0000975A0000}"/>
    <cellStyle name="Normal 2 2 4 2 2 9 2" xfId="23192" xr:uid="{00000000-0005-0000-0000-0000985A0000}"/>
    <cellStyle name="Normal 2 2 4 2 2 9 2 10" xfId="23193" xr:uid="{00000000-0005-0000-0000-0000995A0000}"/>
    <cellStyle name="Normal 2 2 4 2 2 9 2 2" xfId="23194" xr:uid="{00000000-0005-0000-0000-00009A5A0000}"/>
    <cellStyle name="Normal 2 2 4 2 2 9 2 3" xfId="23195" xr:uid="{00000000-0005-0000-0000-00009B5A0000}"/>
    <cellStyle name="Normal 2 2 4 2 2 9 2 4" xfId="23196" xr:uid="{00000000-0005-0000-0000-00009C5A0000}"/>
    <cellStyle name="Normal 2 2 4 2 2 9 2 5" xfId="23197" xr:uid="{00000000-0005-0000-0000-00009D5A0000}"/>
    <cellStyle name="Normal 2 2 4 2 2 9 2 6" xfId="23198" xr:uid="{00000000-0005-0000-0000-00009E5A0000}"/>
    <cellStyle name="Normal 2 2 4 2 2 9 2 7" xfId="23199" xr:uid="{00000000-0005-0000-0000-00009F5A0000}"/>
    <cellStyle name="Normal 2 2 4 2 2 9 2 8" xfId="23200" xr:uid="{00000000-0005-0000-0000-0000A05A0000}"/>
    <cellStyle name="Normal 2 2 4 2 2 9 2 9" xfId="23201" xr:uid="{00000000-0005-0000-0000-0000A15A0000}"/>
    <cellStyle name="Normal 2 2 4 2 2 9 3" xfId="23202" xr:uid="{00000000-0005-0000-0000-0000A25A0000}"/>
    <cellStyle name="Normal 2 2 4 2 2 9 3 10" xfId="23203" xr:uid="{00000000-0005-0000-0000-0000A35A0000}"/>
    <cellStyle name="Normal 2 2 4 2 2 9 3 2" xfId="23204" xr:uid="{00000000-0005-0000-0000-0000A45A0000}"/>
    <cellStyle name="Normal 2 2 4 2 2 9 3 3" xfId="23205" xr:uid="{00000000-0005-0000-0000-0000A55A0000}"/>
    <cellStyle name="Normal 2 2 4 2 2 9 3 4" xfId="23206" xr:uid="{00000000-0005-0000-0000-0000A65A0000}"/>
    <cellStyle name="Normal 2 2 4 2 2 9 3 5" xfId="23207" xr:uid="{00000000-0005-0000-0000-0000A75A0000}"/>
    <cellStyle name="Normal 2 2 4 2 2 9 3 6" xfId="23208" xr:uid="{00000000-0005-0000-0000-0000A85A0000}"/>
    <cellStyle name="Normal 2 2 4 2 2 9 3 7" xfId="23209" xr:uid="{00000000-0005-0000-0000-0000A95A0000}"/>
    <cellStyle name="Normal 2 2 4 2 2 9 3 8" xfId="23210" xr:uid="{00000000-0005-0000-0000-0000AA5A0000}"/>
    <cellStyle name="Normal 2 2 4 2 2 9 3 9" xfId="23211" xr:uid="{00000000-0005-0000-0000-0000AB5A0000}"/>
    <cellStyle name="Normal 2 2 4 2 2 9 4" xfId="23212" xr:uid="{00000000-0005-0000-0000-0000AC5A0000}"/>
    <cellStyle name="Normal 2 2 4 2 2 9 4 10" xfId="23213" xr:uid="{00000000-0005-0000-0000-0000AD5A0000}"/>
    <cellStyle name="Normal 2 2 4 2 2 9 4 2" xfId="23214" xr:uid="{00000000-0005-0000-0000-0000AE5A0000}"/>
    <cellStyle name="Normal 2 2 4 2 2 9 4 3" xfId="23215" xr:uid="{00000000-0005-0000-0000-0000AF5A0000}"/>
    <cellStyle name="Normal 2 2 4 2 2 9 4 4" xfId="23216" xr:uid="{00000000-0005-0000-0000-0000B05A0000}"/>
    <cellStyle name="Normal 2 2 4 2 2 9 4 5" xfId="23217" xr:uid="{00000000-0005-0000-0000-0000B15A0000}"/>
    <cellStyle name="Normal 2 2 4 2 2 9 4 6" xfId="23218" xr:uid="{00000000-0005-0000-0000-0000B25A0000}"/>
    <cellStyle name="Normal 2 2 4 2 2 9 4 7" xfId="23219" xr:uid="{00000000-0005-0000-0000-0000B35A0000}"/>
    <cellStyle name="Normal 2 2 4 2 2 9 4 8" xfId="23220" xr:uid="{00000000-0005-0000-0000-0000B45A0000}"/>
    <cellStyle name="Normal 2 2 4 2 2 9 4 9" xfId="23221" xr:uid="{00000000-0005-0000-0000-0000B55A0000}"/>
    <cellStyle name="Normal 2 2 4 2 2 9 5" xfId="23222" xr:uid="{00000000-0005-0000-0000-0000B65A0000}"/>
    <cellStyle name="Normal 2 2 4 2 2 9 5 10" xfId="23223" xr:uid="{00000000-0005-0000-0000-0000B75A0000}"/>
    <cellStyle name="Normal 2 2 4 2 2 9 5 2" xfId="23224" xr:uid="{00000000-0005-0000-0000-0000B85A0000}"/>
    <cellStyle name="Normal 2 2 4 2 2 9 5 3" xfId="23225" xr:uid="{00000000-0005-0000-0000-0000B95A0000}"/>
    <cellStyle name="Normal 2 2 4 2 2 9 5 4" xfId="23226" xr:uid="{00000000-0005-0000-0000-0000BA5A0000}"/>
    <cellStyle name="Normal 2 2 4 2 2 9 5 5" xfId="23227" xr:uid="{00000000-0005-0000-0000-0000BB5A0000}"/>
    <cellStyle name="Normal 2 2 4 2 2 9 5 6" xfId="23228" xr:uid="{00000000-0005-0000-0000-0000BC5A0000}"/>
    <cellStyle name="Normal 2 2 4 2 2 9 5 7" xfId="23229" xr:uid="{00000000-0005-0000-0000-0000BD5A0000}"/>
    <cellStyle name="Normal 2 2 4 2 2 9 5 8" xfId="23230" xr:uid="{00000000-0005-0000-0000-0000BE5A0000}"/>
    <cellStyle name="Normal 2 2 4 2 2 9 5 9" xfId="23231" xr:uid="{00000000-0005-0000-0000-0000BF5A0000}"/>
    <cellStyle name="Normal 2 2 4 2 2 9 6" xfId="23232" xr:uid="{00000000-0005-0000-0000-0000C05A0000}"/>
    <cellStyle name="Normal 2 2 4 2 2 9 7" xfId="23233" xr:uid="{00000000-0005-0000-0000-0000C15A0000}"/>
    <cellStyle name="Normal 2 2 4 2 2 9 8" xfId="23234" xr:uid="{00000000-0005-0000-0000-0000C25A0000}"/>
    <cellStyle name="Normal 2 2 4 2 2 9 9" xfId="23235" xr:uid="{00000000-0005-0000-0000-0000C35A0000}"/>
    <cellStyle name="Normal 2 2 4 2 20" xfId="23236" xr:uid="{00000000-0005-0000-0000-0000C45A0000}"/>
    <cellStyle name="Normal 2 2 4 2 21" xfId="23237" xr:uid="{00000000-0005-0000-0000-0000C55A0000}"/>
    <cellStyle name="Normal 2 2 4 2 21 10" xfId="23238" xr:uid="{00000000-0005-0000-0000-0000C65A0000}"/>
    <cellStyle name="Normal 2 2 4 2 21 2" xfId="23239" xr:uid="{00000000-0005-0000-0000-0000C75A0000}"/>
    <cellStyle name="Normal 2 2 4 2 21 3" xfId="23240" xr:uid="{00000000-0005-0000-0000-0000C85A0000}"/>
    <cellStyle name="Normal 2 2 4 2 21 4" xfId="23241" xr:uid="{00000000-0005-0000-0000-0000C95A0000}"/>
    <cellStyle name="Normal 2 2 4 2 21 5" xfId="23242" xr:uid="{00000000-0005-0000-0000-0000CA5A0000}"/>
    <cellStyle name="Normal 2 2 4 2 21 6" xfId="23243" xr:uid="{00000000-0005-0000-0000-0000CB5A0000}"/>
    <cellStyle name="Normal 2 2 4 2 21 7" xfId="23244" xr:uid="{00000000-0005-0000-0000-0000CC5A0000}"/>
    <cellStyle name="Normal 2 2 4 2 21 8" xfId="23245" xr:uid="{00000000-0005-0000-0000-0000CD5A0000}"/>
    <cellStyle name="Normal 2 2 4 2 21 9" xfId="23246" xr:uid="{00000000-0005-0000-0000-0000CE5A0000}"/>
    <cellStyle name="Normal 2 2 4 2 22" xfId="23247" xr:uid="{00000000-0005-0000-0000-0000CF5A0000}"/>
    <cellStyle name="Normal 2 2 4 2 22 10" xfId="23248" xr:uid="{00000000-0005-0000-0000-0000D05A0000}"/>
    <cellStyle name="Normal 2 2 4 2 22 2" xfId="23249" xr:uid="{00000000-0005-0000-0000-0000D15A0000}"/>
    <cellStyle name="Normal 2 2 4 2 22 3" xfId="23250" xr:uid="{00000000-0005-0000-0000-0000D25A0000}"/>
    <cellStyle name="Normal 2 2 4 2 22 4" xfId="23251" xr:uid="{00000000-0005-0000-0000-0000D35A0000}"/>
    <cellStyle name="Normal 2 2 4 2 22 5" xfId="23252" xr:uid="{00000000-0005-0000-0000-0000D45A0000}"/>
    <cellStyle name="Normal 2 2 4 2 22 6" xfId="23253" xr:uid="{00000000-0005-0000-0000-0000D55A0000}"/>
    <cellStyle name="Normal 2 2 4 2 22 7" xfId="23254" xr:uid="{00000000-0005-0000-0000-0000D65A0000}"/>
    <cellStyle name="Normal 2 2 4 2 22 8" xfId="23255" xr:uid="{00000000-0005-0000-0000-0000D75A0000}"/>
    <cellStyle name="Normal 2 2 4 2 22 9" xfId="23256" xr:uid="{00000000-0005-0000-0000-0000D85A0000}"/>
    <cellStyle name="Normal 2 2 4 2 23" xfId="23257" xr:uid="{00000000-0005-0000-0000-0000D95A0000}"/>
    <cellStyle name="Normal 2 2 4 2 23 10" xfId="23258" xr:uid="{00000000-0005-0000-0000-0000DA5A0000}"/>
    <cellStyle name="Normal 2 2 4 2 23 2" xfId="23259" xr:uid="{00000000-0005-0000-0000-0000DB5A0000}"/>
    <cellStyle name="Normal 2 2 4 2 23 3" xfId="23260" xr:uid="{00000000-0005-0000-0000-0000DC5A0000}"/>
    <cellStyle name="Normal 2 2 4 2 23 4" xfId="23261" xr:uid="{00000000-0005-0000-0000-0000DD5A0000}"/>
    <cellStyle name="Normal 2 2 4 2 23 5" xfId="23262" xr:uid="{00000000-0005-0000-0000-0000DE5A0000}"/>
    <cellStyle name="Normal 2 2 4 2 23 6" xfId="23263" xr:uid="{00000000-0005-0000-0000-0000DF5A0000}"/>
    <cellStyle name="Normal 2 2 4 2 23 7" xfId="23264" xr:uid="{00000000-0005-0000-0000-0000E05A0000}"/>
    <cellStyle name="Normal 2 2 4 2 23 8" xfId="23265" xr:uid="{00000000-0005-0000-0000-0000E15A0000}"/>
    <cellStyle name="Normal 2 2 4 2 23 9" xfId="23266" xr:uid="{00000000-0005-0000-0000-0000E25A0000}"/>
    <cellStyle name="Normal 2 2 4 2 24" xfId="23267" xr:uid="{00000000-0005-0000-0000-0000E35A0000}"/>
    <cellStyle name="Normal 2 2 4 2 24 10" xfId="23268" xr:uid="{00000000-0005-0000-0000-0000E45A0000}"/>
    <cellStyle name="Normal 2 2 4 2 24 2" xfId="23269" xr:uid="{00000000-0005-0000-0000-0000E55A0000}"/>
    <cellStyle name="Normal 2 2 4 2 24 3" xfId="23270" xr:uid="{00000000-0005-0000-0000-0000E65A0000}"/>
    <cellStyle name="Normal 2 2 4 2 24 4" xfId="23271" xr:uid="{00000000-0005-0000-0000-0000E75A0000}"/>
    <cellStyle name="Normal 2 2 4 2 24 5" xfId="23272" xr:uid="{00000000-0005-0000-0000-0000E85A0000}"/>
    <cellStyle name="Normal 2 2 4 2 24 6" xfId="23273" xr:uid="{00000000-0005-0000-0000-0000E95A0000}"/>
    <cellStyle name="Normal 2 2 4 2 24 7" xfId="23274" xr:uid="{00000000-0005-0000-0000-0000EA5A0000}"/>
    <cellStyle name="Normal 2 2 4 2 24 8" xfId="23275" xr:uid="{00000000-0005-0000-0000-0000EB5A0000}"/>
    <cellStyle name="Normal 2 2 4 2 24 9" xfId="23276" xr:uid="{00000000-0005-0000-0000-0000EC5A0000}"/>
    <cellStyle name="Normal 2 2 4 2 25" xfId="23277" xr:uid="{00000000-0005-0000-0000-0000ED5A0000}"/>
    <cellStyle name="Normal 2 2 4 2 26" xfId="23278" xr:uid="{00000000-0005-0000-0000-0000EE5A0000}"/>
    <cellStyle name="Normal 2 2 4 2 27" xfId="23279" xr:uid="{00000000-0005-0000-0000-0000EF5A0000}"/>
    <cellStyle name="Normal 2 2 4 2 28" xfId="23280" xr:uid="{00000000-0005-0000-0000-0000F05A0000}"/>
    <cellStyle name="Normal 2 2 4 2 29" xfId="23281" xr:uid="{00000000-0005-0000-0000-0000F15A0000}"/>
    <cellStyle name="Normal 2 2 4 2 3" xfId="23282" xr:uid="{00000000-0005-0000-0000-0000F25A0000}"/>
    <cellStyle name="Normal 2 2 4 2 30" xfId="23283" xr:uid="{00000000-0005-0000-0000-0000F35A0000}"/>
    <cellStyle name="Normal 2 2 4 2 31" xfId="23284" xr:uid="{00000000-0005-0000-0000-0000F45A0000}"/>
    <cellStyle name="Normal 2 2 4 2 32" xfId="23285" xr:uid="{00000000-0005-0000-0000-0000F55A0000}"/>
    <cellStyle name="Normal 2 2 4 2 33" xfId="23286" xr:uid="{00000000-0005-0000-0000-0000F65A0000}"/>
    <cellStyle name="Normal 2 2 4 2 34" xfId="22274" xr:uid="{00000000-0005-0000-0000-000002570000}"/>
    <cellStyle name="Normal 2 2 4 2 4" xfId="23287" xr:uid="{00000000-0005-0000-0000-0000F75A0000}"/>
    <cellStyle name="Normal 2 2 4 2 5" xfId="23288" xr:uid="{00000000-0005-0000-0000-0000F85A0000}"/>
    <cellStyle name="Normal 2 2 4 2 6" xfId="23289" xr:uid="{00000000-0005-0000-0000-0000F95A0000}"/>
    <cellStyle name="Normal 2 2 4 2 7" xfId="23290" xr:uid="{00000000-0005-0000-0000-0000FA5A0000}"/>
    <cellStyle name="Normal 2 2 4 2 8" xfId="23291" xr:uid="{00000000-0005-0000-0000-0000FB5A0000}"/>
    <cellStyle name="Normal 2 2 4 2 9" xfId="23292" xr:uid="{00000000-0005-0000-0000-0000FC5A0000}"/>
    <cellStyle name="Normal 2 2 4 20" xfId="23293" xr:uid="{00000000-0005-0000-0000-0000FD5A0000}"/>
    <cellStyle name="Normal 2 2 4 20 10" xfId="23294" xr:uid="{00000000-0005-0000-0000-0000FE5A0000}"/>
    <cellStyle name="Normal 2 2 4 20 11" xfId="23295" xr:uid="{00000000-0005-0000-0000-0000FF5A0000}"/>
    <cellStyle name="Normal 2 2 4 20 12" xfId="23296" xr:uid="{00000000-0005-0000-0000-0000005B0000}"/>
    <cellStyle name="Normal 2 2 4 20 13" xfId="23297" xr:uid="{00000000-0005-0000-0000-0000015B0000}"/>
    <cellStyle name="Normal 2 2 4 20 14" xfId="23298" xr:uid="{00000000-0005-0000-0000-0000025B0000}"/>
    <cellStyle name="Normal 2 2 4 20 2" xfId="23299" xr:uid="{00000000-0005-0000-0000-0000035B0000}"/>
    <cellStyle name="Normal 2 2 4 20 2 10" xfId="23300" xr:uid="{00000000-0005-0000-0000-0000045B0000}"/>
    <cellStyle name="Normal 2 2 4 20 2 2" xfId="23301" xr:uid="{00000000-0005-0000-0000-0000055B0000}"/>
    <cellStyle name="Normal 2 2 4 20 2 3" xfId="23302" xr:uid="{00000000-0005-0000-0000-0000065B0000}"/>
    <cellStyle name="Normal 2 2 4 20 2 4" xfId="23303" xr:uid="{00000000-0005-0000-0000-0000075B0000}"/>
    <cellStyle name="Normal 2 2 4 20 2 5" xfId="23304" xr:uid="{00000000-0005-0000-0000-0000085B0000}"/>
    <cellStyle name="Normal 2 2 4 20 2 6" xfId="23305" xr:uid="{00000000-0005-0000-0000-0000095B0000}"/>
    <cellStyle name="Normal 2 2 4 20 2 7" xfId="23306" xr:uid="{00000000-0005-0000-0000-00000A5B0000}"/>
    <cellStyle name="Normal 2 2 4 20 2 8" xfId="23307" xr:uid="{00000000-0005-0000-0000-00000B5B0000}"/>
    <cellStyle name="Normal 2 2 4 20 2 9" xfId="23308" xr:uid="{00000000-0005-0000-0000-00000C5B0000}"/>
    <cellStyle name="Normal 2 2 4 20 3" xfId="23309" xr:uid="{00000000-0005-0000-0000-00000D5B0000}"/>
    <cellStyle name="Normal 2 2 4 20 3 10" xfId="23310" xr:uid="{00000000-0005-0000-0000-00000E5B0000}"/>
    <cellStyle name="Normal 2 2 4 20 3 2" xfId="23311" xr:uid="{00000000-0005-0000-0000-00000F5B0000}"/>
    <cellStyle name="Normal 2 2 4 20 3 3" xfId="23312" xr:uid="{00000000-0005-0000-0000-0000105B0000}"/>
    <cellStyle name="Normal 2 2 4 20 3 4" xfId="23313" xr:uid="{00000000-0005-0000-0000-0000115B0000}"/>
    <cellStyle name="Normal 2 2 4 20 3 5" xfId="23314" xr:uid="{00000000-0005-0000-0000-0000125B0000}"/>
    <cellStyle name="Normal 2 2 4 20 3 6" xfId="23315" xr:uid="{00000000-0005-0000-0000-0000135B0000}"/>
    <cellStyle name="Normal 2 2 4 20 3 7" xfId="23316" xr:uid="{00000000-0005-0000-0000-0000145B0000}"/>
    <cellStyle name="Normal 2 2 4 20 3 8" xfId="23317" xr:uid="{00000000-0005-0000-0000-0000155B0000}"/>
    <cellStyle name="Normal 2 2 4 20 3 9" xfId="23318" xr:uid="{00000000-0005-0000-0000-0000165B0000}"/>
    <cellStyle name="Normal 2 2 4 20 4" xfId="23319" xr:uid="{00000000-0005-0000-0000-0000175B0000}"/>
    <cellStyle name="Normal 2 2 4 20 4 10" xfId="23320" xr:uid="{00000000-0005-0000-0000-0000185B0000}"/>
    <cellStyle name="Normal 2 2 4 20 4 2" xfId="23321" xr:uid="{00000000-0005-0000-0000-0000195B0000}"/>
    <cellStyle name="Normal 2 2 4 20 4 3" xfId="23322" xr:uid="{00000000-0005-0000-0000-00001A5B0000}"/>
    <cellStyle name="Normal 2 2 4 20 4 4" xfId="23323" xr:uid="{00000000-0005-0000-0000-00001B5B0000}"/>
    <cellStyle name="Normal 2 2 4 20 4 5" xfId="23324" xr:uid="{00000000-0005-0000-0000-00001C5B0000}"/>
    <cellStyle name="Normal 2 2 4 20 4 6" xfId="23325" xr:uid="{00000000-0005-0000-0000-00001D5B0000}"/>
    <cellStyle name="Normal 2 2 4 20 4 7" xfId="23326" xr:uid="{00000000-0005-0000-0000-00001E5B0000}"/>
    <cellStyle name="Normal 2 2 4 20 4 8" xfId="23327" xr:uid="{00000000-0005-0000-0000-00001F5B0000}"/>
    <cellStyle name="Normal 2 2 4 20 4 9" xfId="23328" xr:uid="{00000000-0005-0000-0000-0000205B0000}"/>
    <cellStyle name="Normal 2 2 4 20 5" xfId="23329" xr:uid="{00000000-0005-0000-0000-0000215B0000}"/>
    <cellStyle name="Normal 2 2 4 20 5 10" xfId="23330" xr:uid="{00000000-0005-0000-0000-0000225B0000}"/>
    <cellStyle name="Normal 2 2 4 20 5 2" xfId="23331" xr:uid="{00000000-0005-0000-0000-0000235B0000}"/>
    <cellStyle name="Normal 2 2 4 20 5 3" xfId="23332" xr:uid="{00000000-0005-0000-0000-0000245B0000}"/>
    <cellStyle name="Normal 2 2 4 20 5 4" xfId="23333" xr:uid="{00000000-0005-0000-0000-0000255B0000}"/>
    <cellStyle name="Normal 2 2 4 20 5 5" xfId="23334" xr:uid="{00000000-0005-0000-0000-0000265B0000}"/>
    <cellStyle name="Normal 2 2 4 20 5 6" xfId="23335" xr:uid="{00000000-0005-0000-0000-0000275B0000}"/>
    <cellStyle name="Normal 2 2 4 20 5 7" xfId="23336" xr:uid="{00000000-0005-0000-0000-0000285B0000}"/>
    <cellStyle name="Normal 2 2 4 20 5 8" xfId="23337" xr:uid="{00000000-0005-0000-0000-0000295B0000}"/>
    <cellStyle name="Normal 2 2 4 20 5 9" xfId="23338" xr:uid="{00000000-0005-0000-0000-00002A5B0000}"/>
    <cellStyle name="Normal 2 2 4 20 6" xfId="23339" xr:uid="{00000000-0005-0000-0000-00002B5B0000}"/>
    <cellStyle name="Normal 2 2 4 20 7" xfId="23340" xr:uid="{00000000-0005-0000-0000-00002C5B0000}"/>
    <cellStyle name="Normal 2 2 4 20 8" xfId="23341" xr:uid="{00000000-0005-0000-0000-00002D5B0000}"/>
    <cellStyle name="Normal 2 2 4 20 9" xfId="23342" xr:uid="{00000000-0005-0000-0000-00002E5B0000}"/>
    <cellStyle name="Normal 2 2 4 21" xfId="23343" xr:uid="{00000000-0005-0000-0000-00002F5B0000}"/>
    <cellStyle name="Normal 2 2 4 21 10" xfId="23344" xr:uid="{00000000-0005-0000-0000-0000305B0000}"/>
    <cellStyle name="Normal 2 2 4 21 11" xfId="23345" xr:uid="{00000000-0005-0000-0000-0000315B0000}"/>
    <cellStyle name="Normal 2 2 4 21 12" xfId="23346" xr:uid="{00000000-0005-0000-0000-0000325B0000}"/>
    <cellStyle name="Normal 2 2 4 21 13" xfId="23347" xr:uid="{00000000-0005-0000-0000-0000335B0000}"/>
    <cellStyle name="Normal 2 2 4 21 14" xfId="23348" xr:uid="{00000000-0005-0000-0000-0000345B0000}"/>
    <cellStyle name="Normal 2 2 4 21 2" xfId="23349" xr:uid="{00000000-0005-0000-0000-0000355B0000}"/>
    <cellStyle name="Normal 2 2 4 21 2 10" xfId="23350" xr:uid="{00000000-0005-0000-0000-0000365B0000}"/>
    <cellStyle name="Normal 2 2 4 21 2 2" xfId="23351" xr:uid="{00000000-0005-0000-0000-0000375B0000}"/>
    <cellStyle name="Normal 2 2 4 21 2 3" xfId="23352" xr:uid="{00000000-0005-0000-0000-0000385B0000}"/>
    <cellStyle name="Normal 2 2 4 21 2 4" xfId="23353" xr:uid="{00000000-0005-0000-0000-0000395B0000}"/>
    <cellStyle name="Normal 2 2 4 21 2 5" xfId="23354" xr:uid="{00000000-0005-0000-0000-00003A5B0000}"/>
    <cellStyle name="Normal 2 2 4 21 2 6" xfId="23355" xr:uid="{00000000-0005-0000-0000-00003B5B0000}"/>
    <cellStyle name="Normal 2 2 4 21 2 7" xfId="23356" xr:uid="{00000000-0005-0000-0000-00003C5B0000}"/>
    <cellStyle name="Normal 2 2 4 21 2 8" xfId="23357" xr:uid="{00000000-0005-0000-0000-00003D5B0000}"/>
    <cellStyle name="Normal 2 2 4 21 2 9" xfId="23358" xr:uid="{00000000-0005-0000-0000-00003E5B0000}"/>
    <cellStyle name="Normal 2 2 4 21 3" xfId="23359" xr:uid="{00000000-0005-0000-0000-00003F5B0000}"/>
    <cellStyle name="Normal 2 2 4 21 3 10" xfId="23360" xr:uid="{00000000-0005-0000-0000-0000405B0000}"/>
    <cellStyle name="Normal 2 2 4 21 3 2" xfId="23361" xr:uid="{00000000-0005-0000-0000-0000415B0000}"/>
    <cellStyle name="Normal 2 2 4 21 3 3" xfId="23362" xr:uid="{00000000-0005-0000-0000-0000425B0000}"/>
    <cellStyle name="Normal 2 2 4 21 3 4" xfId="23363" xr:uid="{00000000-0005-0000-0000-0000435B0000}"/>
    <cellStyle name="Normal 2 2 4 21 3 5" xfId="23364" xr:uid="{00000000-0005-0000-0000-0000445B0000}"/>
    <cellStyle name="Normal 2 2 4 21 3 6" xfId="23365" xr:uid="{00000000-0005-0000-0000-0000455B0000}"/>
    <cellStyle name="Normal 2 2 4 21 3 7" xfId="23366" xr:uid="{00000000-0005-0000-0000-0000465B0000}"/>
    <cellStyle name="Normal 2 2 4 21 3 8" xfId="23367" xr:uid="{00000000-0005-0000-0000-0000475B0000}"/>
    <cellStyle name="Normal 2 2 4 21 3 9" xfId="23368" xr:uid="{00000000-0005-0000-0000-0000485B0000}"/>
    <cellStyle name="Normal 2 2 4 21 4" xfId="23369" xr:uid="{00000000-0005-0000-0000-0000495B0000}"/>
    <cellStyle name="Normal 2 2 4 21 4 10" xfId="23370" xr:uid="{00000000-0005-0000-0000-00004A5B0000}"/>
    <cellStyle name="Normal 2 2 4 21 4 2" xfId="23371" xr:uid="{00000000-0005-0000-0000-00004B5B0000}"/>
    <cellStyle name="Normal 2 2 4 21 4 3" xfId="23372" xr:uid="{00000000-0005-0000-0000-00004C5B0000}"/>
    <cellStyle name="Normal 2 2 4 21 4 4" xfId="23373" xr:uid="{00000000-0005-0000-0000-00004D5B0000}"/>
    <cellStyle name="Normal 2 2 4 21 4 5" xfId="23374" xr:uid="{00000000-0005-0000-0000-00004E5B0000}"/>
    <cellStyle name="Normal 2 2 4 21 4 6" xfId="23375" xr:uid="{00000000-0005-0000-0000-00004F5B0000}"/>
    <cellStyle name="Normal 2 2 4 21 4 7" xfId="23376" xr:uid="{00000000-0005-0000-0000-0000505B0000}"/>
    <cellStyle name="Normal 2 2 4 21 4 8" xfId="23377" xr:uid="{00000000-0005-0000-0000-0000515B0000}"/>
    <cellStyle name="Normal 2 2 4 21 4 9" xfId="23378" xr:uid="{00000000-0005-0000-0000-0000525B0000}"/>
    <cellStyle name="Normal 2 2 4 21 5" xfId="23379" xr:uid="{00000000-0005-0000-0000-0000535B0000}"/>
    <cellStyle name="Normal 2 2 4 21 5 10" xfId="23380" xr:uid="{00000000-0005-0000-0000-0000545B0000}"/>
    <cellStyle name="Normal 2 2 4 21 5 2" xfId="23381" xr:uid="{00000000-0005-0000-0000-0000555B0000}"/>
    <cellStyle name="Normal 2 2 4 21 5 3" xfId="23382" xr:uid="{00000000-0005-0000-0000-0000565B0000}"/>
    <cellStyle name="Normal 2 2 4 21 5 4" xfId="23383" xr:uid="{00000000-0005-0000-0000-0000575B0000}"/>
    <cellStyle name="Normal 2 2 4 21 5 5" xfId="23384" xr:uid="{00000000-0005-0000-0000-0000585B0000}"/>
    <cellStyle name="Normal 2 2 4 21 5 6" xfId="23385" xr:uid="{00000000-0005-0000-0000-0000595B0000}"/>
    <cellStyle name="Normal 2 2 4 21 5 7" xfId="23386" xr:uid="{00000000-0005-0000-0000-00005A5B0000}"/>
    <cellStyle name="Normal 2 2 4 21 5 8" xfId="23387" xr:uid="{00000000-0005-0000-0000-00005B5B0000}"/>
    <cellStyle name="Normal 2 2 4 21 5 9" xfId="23388" xr:uid="{00000000-0005-0000-0000-00005C5B0000}"/>
    <cellStyle name="Normal 2 2 4 21 6" xfId="23389" xr:uid="{00000000-0005-0000-0000-00005D5B0000}"/>
    <cellStyle name="Normal 2 2 4 21 7" xfId="23390" xr:uid="{00000000-0005-0000-0000-00005E5B0000}"/>
    <cellStyle name="Normal 2 2 4 21 8" xfId="23391" xr:uid="{00000000-0005-0000-0000-00005F5B0000}"/>
    <cellStyle name="Normal 2 2 4 21 9" xfId="23392" xr:uid="{00000000-0005-0000-0000-0000605B0000}"/>
    <cellStyle name="Normal 2 2 4 22" xfId="23393" xr:uid="{00000000-0005-0000-0000-0000615B0000}"/>
    <cellStyle name="Normal 2 2 4 22 10" xfId="23394" xr:uid="{00000000-0005-0000-0000-0000625B0000}"/>
    <cellStyle name="Normal 2 2 4 22 11" xfId="23395" xr:uid="{00000000-0005-0000-0000-0000635B0000}"/>
    <cellStyle name="Normal 2 2 4 22 12" xfId="23396" xr:uid="{00000000-0005-0000-0000-0000645B0000}"/>
    <cellStyle name="Normal 2 2 4 22 13" xfId="23397" xr:uid="{00000000-0005-0000-0000-0000655B0000}"/>
    <cellStyle name="Normal 2 2 4 22 14" xfId="23398" xr:uid="{00000000-0005-0000-0000-0000665B0000}"/>
    <cellStyle name="Normal 2 2 4 22 2" xfId="23399" xr:uid="{00000000-0005-0000-0000-0000675B0000}"/>
    <cellStyle name="Normal 2 2 4 22 2 10" xfId="23400" xr:uid="{00000000-0005-0000-0000-0000685B0000}"/>
    <cellStyle name="Normal 2 2 4 22 2 2" xfId="23401" xr:uid="{00000000-0005-0000-0000-0000695B0000}"/>
    <cellStyle name="Normal 2 2 4 22 2 3" xfId="23402" xr:uid="{00000000-0005-0000-0000-00006A5B0000}"/>
    <cellStyle name="Normal 2 2 4 22 2 4" xfId="23403" xr:uid="{00000000-0005-0000-0000-00006B5B0000}"/>
    <cellStyle name="Normal 2 2 4 22 2 5" xfId="23404" xr:uid="{00000000-0005-0000-0000-00006C5B0000}"/>
    <cellStyle name="Normal 2 2 4 22 2 6" xfId="23405" xr:uid="{00000000-0005-0000-0000-00006D5B0000}"/>
    <cellStyle name="Normal 2 2 4 22 2 7" xfId="23406" xr:uid="{00000000-0005-0000-0000-00006E5B0000}"/>
    <cellStyle name="Normal 2 2 4 22 2 8" xfId="23407" xr:uid="{00000000-0005-0000-0000-00006F5B0000}"/>
    <cellStyle name="Normal 2 2 4 22 2 9" xfId="23408" xr:uid="{00000000-0005-0000-0000-0000705B0000}"/>
    <cellStyle name="Normal 2 2 4 22 3" xfId="23409" xr:uid="{00000000-0005-0000-0000-0000715B0000}"/>
    <cellStyle name="Normal 2 2 4 22 3 10" xfId="23410" xr:uid="{00000000-0005-0000-0000-0000725B0000}"/>
    <cellStyle name="Normal 2 2 4 22 3 2" xfId="23411" xr:uid="{00000000-0005-0000-0000-0000735B0000}"/>
    <cellStyle name="Normal 2 2 4 22 3 3" xfId="23412" xr:uid="{00000000-0005-0000-0000-0000745B0000}"/>
    <cellStyle name="Normal 2 2 4 22 3 4" xfId="23413" xr:uid="{00000000-0005-0000-0000-0000755B0000}"/>
    <cellStyle name="Normal 2 2 4 22 3 5" xfId="23414" xr:uid="{00000000-0005-0000-0000-0000765B0000}"/>
    <cellStyle name="Normal 2 2 4 22 3 6" xfId="23415" xr:uid="{00000000-0005-0000-0000-0000775B0000}"/>
    <cellStyle name="Normal 2 2 4 22 3 7" xfId="23416" xr:uid="{00000000-0005-0000-0000-0000785B0000}"/>
    <cellStyle name="Normal 2 2 4 22 3 8" xfId="23417" xr:uid="{00000000-0005-0000-0000-0000795B0000}"/>
    <cellStyle name="Normal 2 2 4 22 3 9" xfId="23418" xr:uid="{00000000-0005-0000-0000-00007A5B0000}"/>
    <cellStyle name="Normal 2 2 4 22 4" xfId="23419" xr:uid="{00000000-0005-0000-0000-00007B5B0000}"/>
    <cellStyle name="Normal 2 2 4 22 4 10" xfId="23420" xr:uid="{00000000-0005-0000-0000-00007C5B0000}"/>
    <cellStyle name="Normal 2 2 4 22 4 2" xfId="23421" xr:uid="{00000000-0005-0000-0000-00007D5B0000}"/>
    <cellStyle name="Normal 2 2 4 22 4 3" xfId="23422" xr:uid="{00000000-0005-0000-0000-00007E5B0000}"/>
    <cellStyle name="Normal 2 2 4 22 4 4" xfId="23423" xr:uid="{00000000-0005-0000-0000-00007F5B0000}"/>
    <cellStyle name="Normal 2 2 4 22 4 5" xfId="23424" xr:uid="{00000000-0005-0000-0000-0000805B0000}"/>
    <cellStyle name="Normal 2 2 4 22 4 6" xfId="23425" xr:uid="{00000000-0005-0000-0000-0000815B0000}"/>
    <cellStyle name="Normal 2 2 4 22 4 7" xfId="23426" xr:uid="{00000000-0005-0000-0000-0000825B0000}"/>
    <cellStyle name="Normal 2 2 4 22 4 8" xfId="23427" xr:uid="{00000000-0005-0000-0000-0000835B0000}"/>
    <cellStyle name="Normal 2 2 4 22 4 9" xfId="23428" xr:uid="{00000000-0005-0000-0000-0000845B0000}"/>
    <cellStyle name="Normal 2 2 4 22 5" xfId="23429" xr:uid="{00000000-0005-0000-0000-0000855B0000}"/>
    <cellStyle name="Normal 2 2 4 22 5 10" xfId="23430" xr:uid="{00000000-0005-0000-0000-0000865B0000}"/>
    <cellStyle name="Normal 2 2 4 22 5 2" xfId="23431" xr:uid="{00000000-0005-0000-0000-0000875B0000}"/>
    <cellStyle name="Normal 2 2 4 22 5 3" xfId="23432" xr:uid="{00000000-0005-0000-0000-0000885B0000}"/>
    <cellStyle name="Normal 2 2 4 22 5 4" xfId="23433" xr:uid="{00000000-0005-0000-0000-0000895B0000}"/>
    <cellStyle name="Normal 2 2 4 22 5 5" xfId="23434" xr:uid="{00000000-0005-0000-0000-00008A5B0000}"/>
    <cellStyle name="Normal 2 2 4 22 5 6" xfId="23435" xr:uid="{00000000-0005-0000-0000-00008B5B0000}"/>
    <cellStyle name="Normal 2 2 4 22 5 7" xfId="23436" xr:uid="{00000000-0005-0000-0000-00008C5B0000}"/>
    <cellStyle name="Normal 2 2 4 22 5 8" xfId="23437" xr:uid="{00000000-0005-0000-0000-00008D5B0000}"/>
    <cellStyle name="Normal 2 2 4 22 5 9" xfId="23438" xr:uid="{00000000-0005-0000-0000-00008E5B0000}"/>
    <cellStyle name="Normal 2 2 4 22 6" xfId="23439" xr:uid="{00000000-0005-0000-0000-00008F5B0000}"/>
    <cellStyle name="Normal 2 2 4 22 7" xfId="23440" xr:uid="{00000000-0005-0000-0000-0000905B0000}"/>
    <cellStyle name="Normal 2 2 4 22 8" xfId="23441" xr:uid="{00000000-0005-0000-0000-0000915B0000}"/>
    <cellStyle name="Normal 2 2 4 22 9" xfId="23442" xr:uid="{00000000-0005-0000-0000-0000925B0000}"/>
    <cellStyle name="Normal 2 2 4 23" xfId="23443" xr:uid="{00000000-0005-0000-0000-0000935B0000}"/>
    <cellStyle name="Normal 2 2 4 23 10" xfId="23444" xr:uid="{00000000-0005-0000-0000-0000945B0000}"/>
    <cellStyle name="Normal 2 2 4 23 11" xfId="23445" xr:uid="{00000000-0005-0000-0000-0000955B0000}"/>
    <cellStyle name="Normal 2 2 4 23 12" xfId="23446" xr:uid="{00000000-0005-0000-0000-0000965B0000}"/>
    <cellStyle name="Normal 2 2 4 23 13" xfId="23447" xr:uid="{00000000-0005-0000-0000-0000975B0000}"/>
    <cellStyle name="Normal 2 2 4 23 14" xfId="23448" xr:uid="{00000000-0005-0000-0000-0000985B0000}"/>
    <cellStyle name="Normal 2 2 4 23 2" xfId="23449" xr:uid="{00000000-0005-0000-0000-0000995B0000}"/>
    <cellStyle name="Normal 2 2 4 23 2 10" xfId="23450" xr:uid="{00000000-0005-0000-0000-00009A5B0000}"/>
    <cellStyle name="Normal 2 2 4 23 2 2" xfId="23451" xr:uid="{00000000-0005-0000-0000-00009B5B0000}"/>
    <cellStyle name="Normal 2 2 4 23 2 3" xfId="23452" xr:uid="{00000000-0005-0000-0000-00009C5B0000}"/>
    <cellStyle name="Normal 2 2 4 23 2 4" xfId="23453" xr:uid="{00000000-0005-0000-0000-00009D5B0000}"/>
    <cellStyle name="Normal 2 2 4 23 2 5" xfId="23454" xr:uid="{00000000-0005-0000-0000-00009E5B0000}"/>
    <cellStyle name="Normal 2 2 4 23 2 6" xfId="23455" xr:uid="{00000000-0005-0000-0000-00009F5B0000}"/>
    <cellStyle name="Normal 2 2 4 23 2 7" xfId="23456" xr:uid="{00000000-0005-0000-0000-0000A05B0000}"/>
    <cellStyle name="Normal 2 2 4 23 2 8" xfId="23457" xr:uid="{00000000-0005-0000-0000-0000A15B0000}"/>
    <cellStyle name="Normal 2 2 4 23 2 9" xfId="23458" xr:uid="{00000000-0005-0000-0000-0000A25B0000}"/>
    <cellStyle name="Normal 2 2 4 23 3" xfId="23459" xr:uid="{00000000-0005-0000-0000-0000A35B0000}"/>
    <cellStyle name="Normal 2 2 4 23 3 10" xfId="23460" xr:uid="{00000000-0005-0000-0000-0000A45B0000}"/>
    <cellStyle name="Normal 2 2 4 23 3 2" xfId="23461" xr:uid="{00000000-0005-0000-0000-0000A55B0000}"/>
    <cellStyle name="Normal 2 2 4 23 3 3" xfId="23462" xr:uid="{00000000-0005-0000-0000-0000A65B0000}"/>
    <cellStyle name="Normal 2 2 4 23 3 4" xfId="23463" xr:uid="{00000000-0005-0000-0000-0000A75B0000}"/>
    <cellStyle name="Normal 2 2 4 23 3 5" xfId="23464" xr:uid="{00000000-0005-0000-0000-0000A85B0000}"/>
    <cellStyle name="Normal 2 2 4 23 3 6" xfId="23465" xr:uid="{00000000-0005-0000-0000-0000A95B0000}"/>
    <cellStyle name="Normal 2 2 4 23 3 7" xfId="23466" xr:uid="{00000000-0005-0000-0000-0000AA5B0000}"/>
    <cellStyle name="Normal 2 2 4 23 3 8" xfId="23467" xr:uid="{00000000-0005-0000-0000-0000AB5B0000}"/>
    <cellStyle name="Normal 2 2 4 23 3 9" xfId="23468" xr:uid="{00000000-0005-0000-0000-0000AC5B0000}"/>
    <cellStyle name="Normal 2 2 4 23 4" xfId="23469" xr:uid="{00000000-0005-0000-0000-0000AD5B0000}"/>
    <cellStyle name="Normal 2 2 4 23 4 10" xfId="23470" xr:uid="{00000000-0005-0000-0000-0000AE5B0000}"/>
    <cellStyle name="Normal 2 2 4 23 4 2" xfId="23471" xr:uid="{00000000-0005-0000-0000-0000AF5B0000}"/>
    <cellStyle name="Normal 2 2 4 23 4 3" xfId="23472" xr:uid="{00000000-0005-0000-0000-0000B05B0000}"/>
    <cellStyle name="Normal 2 2 4 23 4 4" xfId="23473" xr:uid="{00000000-0005-0000-0000-0000B15B0000}"/>
    <cellStyle name="Normal 2 2 4 23 4 5" xfId="23474" xr:uid="{00000000-0005-0000-0000-0000B25B0000}"/>
    <cellStyle name="Normal 2 2 4 23 4 6" xfId="23475" xr:uid="{00000000-0005-0000-0000-0000B35B0000}"/>
    <cellStyle name="Normal 2 2 4 23 4 7" xfId="23476" xr:uid="{00000000-0005-0000-0000-0000B45B0000}"/>
    <cellStyle name="Normal 2 2 4 23 4 8" xfId="23477" xr:uid="{00000000-0005-0000-0000-0000B55B0000}"/>
    <cellStyle name="Normal 2 2 4 23 4 9" xfId="23478" xr:uid="{00000000-0005-0000-0000-0000B65B0000}"/>
    <cellStyle name="Normal 2 2 4 23 5" xfId="23479" xr:uid="{00000000-0005-0000-0000-0000B75B0000}"/>
    <cellStyle name="Normal 2 2 4 23 5 10" xfId="23480" xr:uid="{00000000-0005-0000-0000-0000B85B0000}"/>
    <cellStyle name="Normal 2 2 4 23 5 2" xfId="23481" xr:uid="{00000000-0005-0000-0000-0000B95B0000}"/>
    <cellStyle name="Normal 2 2 4 23 5 3" xfId="23482" xr:uid="{00000000-0005-0000-0000-0000BA5B0000}"/>
    <cellStyle name="Normal 2 2 4 23 5 4" xfId="23483" xr:uid="{00000000-0005-0000-0000-0000BB5B0000}"/>
    <cellStyle name="Normal 2 2 4 23 5 5" xfId="23484" xr:uid="{00000000-0005-0000-0000-0000BC5B0000}"/>
    <cellStyle name="Normal 2 2 4 23 5 6" xfId="23485" xr:uid="{00000000-0005-0000-0000-0000BD5B0000}"/>
    <cellStyle name="Normal 2 2 4 23 5 7" xfId="23486" xr:uid="{00000000-0005-0000-0000-0000BE5B0000}"/>
    <cellStyle name="Normal 2 2 4 23 5 8" xfId="23487" xr:uid="{00000000-0005-0000-0000-0000BF5B0000}"/>
    <cellStyle name="Normal 2 2 4 23 5 9" xfId="23488" xr:uid="{00000000-0005-0000-0000-0000C05B0000}"/>
    <cellStyle name="Normal 2 2 4 23 6" xfId="23489" xr:uid="{00000000-0005-0000-0000-0000C15B0000}"/>
    <cellStyle name="Normal 2 2 4 23 7" xfId="23490" xr:uid="{00000000-0005-0000-0000-0000C25B0000}"/>
    <cellStyle name="Normal 2 2 4 23 8" xfId="23491" xr:uid="{00000000-0005-0000-0000-0000C35B0000}"/>
    <cellStyle name="Normal 2 2 4 23 9" xfId="23492" xr:uid="{00000000-0005-0000-0000-0000C45B0000}"/>
    <cellStyle name="Normal 2 2 4 24" xfId="23493" xr:uid="{00000000-0005-0000-0000-0000C55B0000}"/>
    <cellStyle name="Normal 2 2 4 24 10" xfId="23494" xr:uid="{00000000-0005-0000-0000-0000C65B0000}"/>
    <cellStyle name="Normal 2 2 4 24 11" xfId="23495" xr:uid="{00000000-0005-0000-0000-0000C75B0000}"/>
    <cellStyle name="Normal 2 2 4 24 12" xfId="23496" xr:uid="{00000000-0005-0000-0000-0000C85B0000}"/>
    <cellStyle name="Normal 2 2 4 24 13" xfId="23497" xr:uid="{00000000-0005-0000-0000-0000C95B0000}"/>
    <cellStyle name="Normal 2 2 4 24 14" xfId="23498" xr:uid="{00000000-0005-0000-0000-0000CA5B0000}"/>
    <cellStyle name="Normal 2 2 4 24 2" xfId="23499" xr:uid="{00000000-0005-0000-0000-0000CB5B0000}"/>
    <cellStyle name="Normal 2 2 4 24 2 10" xfId="23500" xr:uid="{00000000-0005-0000-0000-0000CC5B0000}"/>
    <cellStyle name="Normal 2 2 4 24 2 2" xfId="23501" xr:uid="{00000000-0005-0000-0000-0000CD5B0000}"/>
    <cellStyle name="Normal 2 2 4 24 2 3" xfId="23502" xr:uid="{00000000-0005-0000-0000-0000CE5B0000}"/>
    <cellStyle name="Normal 2 2 4 24 2 4" xfId="23503" xr:uid="{00000000-0005-0000-0000-0000CF5B0000}"/>
    <cellStyle name="Normal 2 2 4 24 2 5" xfId="23504" xr:uid="{00000000-0005-0000-0000-0000D05B0000}"/>
    <cellStyle name="Normal 2 2 4 24 2 6" xfId="23505" xr:uid="{00000000-0005-0000-0000-0000D15B0000}"/>
    <cellStyle name="Normal 2 2 4 24 2 7" xfId="23506" xr:uid="{00000000-0005-0000-0000-0000D25B0000}"/>
    <cellStyle name="Normal 2 2 4 24 2 8" xfId="23507" xr:uid="{00000000-0005-0000-0000-0000D35B0000}"/>
    <cellStyle name="Normal 2 2 4 24 2 9" xfId="23508" xr:uid="{00000000-0005-0000-0000-0000D45B0000}"/>
    <cellStyle name="Normal 2 2 4 24 3" xfId="23509" xr:uid="{00000000-0005-0000-0000-0000D55B0000}"/>
    <cellStyle name="Normal 2 2 4 24 3 10" xfId="23510" xr:uid="{00000000-0005-0000-0000-0000D65B0000}"/>
    <cellStyle name="Normal 2 2 4 24 3 2" xfId="23511" xr:uid="{00000000-0005-0000-0000-0000D75B0000}"/>
    <cellStyle name="Normal 2 2 4 24 3 3" xfId="23512" xr:uid="{00000000-0005-0000-0000-0000D85B0000}"/>
    <cellStyle name="Normal 2 2 4 24 3 4" xfId="23513" xr:uid="{00000000-0005-0000-0000-0000D95B0000}"/>
    <cellStyle name="Normal 2 2 4 24 3 5" xfId="23514" xr:uid="{00000000-0005-0000-0000-0000DA5B0000}"/>
    <cellStyle name="Normal 2 2 4 24 3 6" xfId="23515" xr:uid="{00000000-0005-0000-0000-0000DB5B0000}"/>
    <cellStyle name="Normal 2 2 4 24 3 7" xfId="23516" xr:uid="{00000000-0005-0000-0000-0000DC5B0000}"/>
    <cellStyle name="Normal 2 2 4 24 3 8" xfId="23517" xr:uid="{00000000-0005-0000-0000-0000DD5B0000}"/>
    <cellStyle name="Normal 2 2 4 24 3 9" xfId="23518" xr:uid="{00000000-0005-0000-0000-0000DE5B0000}"/>
    <cellStyle name="Normal 2 2 4 24 4" xfId="23519" xr:uid="{00000000-0005-0000-0000-0000DF5B0000}"/>
    <cellStyle name="Normal 2 2 4 24 4 10" xfId="23520" xr:uid="{00000000-0005-0000-0000-0000E05B0000}"/>
    <cellStyle name="Normal 2 2 4 24 4 2" xfId="23521" xr:uid="{00000000-0005-0000-0000-0000E15B0000}"/>
    <cellStyle name="Normal 2 2 4 24 4 3" xfId="23522" xr:uid="{00000000-0005-0000-0000-0000E25B0000}"/>
    <cellStyle name="Normal 2 2 4 24 4 4" xfId="23523" xr:uid="{00000000-0005-0000-0000-0000E35B0000}"/>
    <cellStyle name="Normal 2 2 4 24 4 5" xfId="23524" xr:uid="{00000000-0005-0000-0000-0000E45B0000}"/>
    <cellStyle name="Normal 2 2 4 24 4 6" xfId="23525" xr:uid="{00000000-0005-0000-0000-0000E55B0000}"/>
    <cellStyle name="Normal 2 2 4 24 4 7" xfId="23526" xr:uid="{00000000-0005-0000-0000-0000E65B0000}"/>
    <cellStyle name="Normal 2 2 4 24 4 8" xfId="23527" xr:uid="{00000000-0005-0000-0000-0000E75B0000}"/>
    <cellStyle name="Normal 2 2 4 24 4 9" xfId="23528" xr:uid="{00000000-0005-0000-0000-0000E85B0000}"/>
    <cellStyle name="Normal 2 2 4 24 5" xfId="23529" xr:uid="{00000000-0005-0000-0000-0000E95B0000}"/>
    <cellStyle name="Normal 2 2 4 24 5 10" xfId="23530" xr:uid="{00000000-0005-0000-0000-0000EA5B0000}"/>
    <cellStyle name="Normal 2 2 4 24 5 2" xfId="23531" xr:uid="{00000000-0005-0000-0000-0000EB5B0000}"/>
    <cellStyle name="Normal 2 2 4 24 5 3" xfId="23532" xr:uid="{00000000-0005-0000-0000-0000EC5B0000}"/>
    <cellStyle name="Normal 2 2 4 24 5 4" xfId="23533" xr:uid="{00000000-0005-0000-0000-0000ED5B0000}"/>
    <cellStyle name="Normal 2 2 4 24 5 5" xfId="23534" xr:uid="{00000000-0005-0000-0000-0000EE5B0000}"/>
    <cellStyle name="Normal 2 2 4 24 5 6" xfId="23535" xr:uid="{00000000-0005-0000-0000-0000EF5B0000}"/>
    <cellStyle name="Normal 2 2 4 24 5 7" xfId="23536" xr:uid="{00000000-0005-0000-0000-0000F05B0000}"/>
    <cellStyle name="Normal 2 2 4 24 5 8" xfId="23537" xr:uid="{00000000-0005-0000-0000-0000F15B0000}"/>
    <cellStyle name="Normal 2 2 4 24 5 9" xfId="23538" xr:uid="{00000000-0005-0000-0000-0000F25B0000}"/>
    <cellStyle name="Normal 2 2 4 24 6" xfId="23539" xr:uid="{00000000-0005-0000-0000-0000F35B0000}"/>
    <cellStyle name="Normal 2 2 4 24 7" xfId="23540" xr:uid="{00000000-0005-0000-0000-0000F45B0000}"/>
    <cellStyle name="Normal 2 2 4 24 8" xfId="23541" xr:uid="{00000000-0005-0000-0000-0000F55B0000}"/>
    <cellStyle name="Normal 2 2 4 24 9" xfId="23542" xr:uid="{00000000-0005-0000-0000-0000F65B0000}"/>
    <cellStyle name="Normal 2 2 4 25" xfId="23543" xr:uid="{00000000-0005-0000-0000-0000F75B0000}"/>
    <cellStyle name="Normal 2 2 4 25 10" xfId="23544" xr:uid="{00000000-0005-0000-0000-0000F85B0000}"/>
    <cellStyle name="Normal 2 2 4 25 11" xfId="23545" xr:uid="{00000000-0005-0000-0000-0000F95B0000}"/>
    <cellStyle name="Normal 2 2 4 25 12" xfId="23546" xr:uid="{00000000-0005-0000-0000-0000FA5B0000}"/>
    <cellStyle name="Normal 2 2 4 25 13" xfId="23547" xr:uid="{00000000-0005-0000-0000-0000FB5B0000}"/>
    <cellStyle name="Normal 2 2 4 25 14" xfId="23548" xr:uid="{00000000-0005-0000-0000-0000FC5B0000}"/>
    <cellStyle name="Normal 2 2 4 25 2" xfId="23549" xr:uid="{00000000-0005-0000-0000-0000FD5B0000}"/>
    <cellStyle name="Normal 2 2 4 25 2 10" xfId="23550" xr:uid="{00000000-0005-0000-0000-0000FE5B0000}"/>
    <cellStyle name="Normal 2 2 4 25 2 2" xfId="23551" xr:uid="{00000000-0005-0000-0000-0000FF5B0000}"/>
    <cellStyle name="Normal 2 2 4 25 2 3" xfId="23552" xr:uid="{00000000-0005-0000-0000-0000005C0000}"/>
    <cellStyle name="Normal 2 2 4 25 2 4" xfId="23553" xr:uid="{00000000-0005-0000-0000-0000015C0000}"/>
    <cellStyle name="Normal 2 2 4 25 2 5" xfId="23554" xr:uid="{00000000-0005-0000-0000-0000025C0000}"/>
    <cellStyle name="Normal 2 2 4 25 2 6" xfId="23555" xr:uid="{00000000-0005-0000-0000-0000035C0000}"/>
    <cellStyle name="Normal 2 2 4 25 2 7" xfId="23556" xr:uid="{00000000-0005-0000-0000-0000045C0000}"/>
    <cellStyle name="Normal 2 2 4 25 2 8" xfId="23557" xr:uid="{00000000-0005-0000-0000-0000055C0000}"/>
    <cellStyle name="Normal 2 2 4 25 2 9" xfId="23558" xr:uid="{00000000-0005-0000-0000-0000065C0000}"/>
    <cellStyle name="Normal 2 2 4 25 3" xfId="23559" xr:uid="{00000000-0005-0000-0000-0000075C0000}"/>
    <cellStyle name="Normal 2 2 4 25 3 10" xfId="23560" xr:uid="{00000000-0005-0000-0000-0000085C0000}"/>
    <cellStyle name="Normal 2 2 4 25 3 2" xfId="23561" xr:uid="{00000000-0005-0000-0000-0000095C0000}"/>
    <cellStyle name="Normal 2 2 4 25 3 3" xfId="23562" xr:uid="{00000000-0005-0000-0000-00000A5C0000}"/>
    <cellStyle name="Normal 2 2 4 25 3 4" xfId="23563" xr:uid="{00000000-0005-0000-0000-00000B5C0000}"/>
    <cellStyle name="Normal 2 2 4 25 3 5" xfId="23564" xr:uid="{00000000-0005-0000-0000-00000C5C0000}"/>
    <cellStyle name="Normal 2 2 4 25 3 6" xfId="23565" xr:uid="{00000000-0005-0000-0000-00000D5C0000}"/>
    <cellStyle name="Normal 2 2 4 25 3 7" xfId="23566" xr:uid="{00000000-0005-0000-0000-00000E5C0000}"/>
    <cellStyle name="Normal 2 2 4 25 3 8" xfId="23567" xr:uid="{00000000-0005-0000-0000-00000F5C0000}"/>
    <cellStyle name="Normal 2 2 4 25 3 9" xfId="23568" xr:uid="{00000000-0005-0000-0000-0000105C0000}"/>
    <cellStyle name="Normal 2 2 4 25 4" xfId="23569" xr:uid="{00000000-0005-0000-0000-0000115C0000}"/>
    <cellStyle name="Normal 2 2 4 25 4 10" xfId="23570" xr:uid="{00000000-0005-0000-0000-0000125C0000}"/>
    <cellStyle name="Normal 2 2 4 25 4 2" xfId="23571" xr:uid="{00000000-0005-0000-0000-0000135C0000}"/>
    <cellStyle name="Normal 2 2 4 25 4 3" xfId="23572" xr:uid="{00000000-0005-0000-0000-0000145C0000}"/>
    <cellStyle name="Normal 2 2 4 25 4 4" xfId="23573" xr:uid="{00000000-0005-0000-0000-0000155C0000}"/>
    <cellStyle name="Normal 2 2 4 25 4 5" xfId="23574" xr:uid="{00000000-0005-0000-0000-0000165C0000}"/>
    <cellStyle name="Normal 2 2 4 25 4 6" xfId="23575" xr:uid="{00000000-0005-0000-0000-0000175C0000}"/>
    <cellStyle name="Normal 2 2 4 25 4 7" xfId="23576" xr:uid="{00000000-0005-0000-0000-0000185C0000}"/>
    <cellStyle name="Normal 2 2 4 25 4 8" xfId="23577" xr:uid="{00000000-0005-0000-0000-0000195C0000}"/>
    <cellStyle name="Normal 2 2 4 25 4 9" xfId="23578" xr:uid="{00000000-0005-0000-0000-00001A5C0000}"/>
    <cellStyle name="Normal 2 2 4 25 5" xfId="23579" xr:uid="{00000000-0005-0000-0000-00001B5C0000}"/>
    <cellStyle name="Normal 2 2 4 25 5 10" xfId="23580" xr:uid="{00000000-0005-0000-0000-00001C5C0000}"/>
    <cellStyle name="Normal 2 2 4 25 5 2" xfId="23581" xr:uid="{00000000-0005-0000-0000-00001D5C0000}"/>
    <cellStyle name="Normal 2 2 4 25 5 3" xfId="23582" xr:uid="{00000000-0005-0000-0000-00001E5C0000}"/>
    <cellStyle name="Normal 2 2 4 25 5 4" xfId="23583" xr:uid="{00000000-0005-0000-0000-00001F5C0000}"/>
    <cellStyle name="Normal 2 2 4 25 5 5" xfId="23584" xr:uid="{00000000-0005-0000-0000-0000205C0000}"/>
    <cellStyle name="Normal 2 2 4 25 5 6" xfId="23585" xr:uid="{00000000-0005-0000-0000-0000215C0000}"/>
    <cellStyle name="Normal 2 2 4 25 5 7" xfId="23586" xr:uid="{00000000-0005-0000-0000-0000225C0000}"/>
    <cellStyle name="Normal 2 2 4 25 5 8" xfId="23587" xr:uid="{00000000-0005-0000-0000-0000235C0000}"/>
    <cellStyle name="Normal 2 2 4 25 5 9" xfId="23588" xr:uid="{00000000-0005-0000-0000-0000245C0000}"/>
    <cellStyle name="Normal 2 2 4 25 6" xfId="23589" xr:uid="{00000000-0005-0000-0000-0000255C0000}"/>
    <cellStyle name="Normal 2 2 4 25 7" xfId="23590" xr:uid="{00000000-0005-0000-0000-0000265C0000}"/>
    <cellStyle name="Normal 2 2 4 25 8" xfId="23591" xr:uid="{00000000-0005-0000-0000-0000275C0000}"/>
    <cellStyle name="Normal 2 2 4 25 9" xfId="23592" xr:uid="{00000000-0005-0000-0000-0000285C0000}"/>
    <cellStyle name="Normal 2 2 4 26" xfId="23593" xr:uid="{00000000-0005-0000-0000-0000295C0000}"/>
    <cellStyle name="Normal 2 2 4 26 10" xfId="23594" xr:uid="{00000000-0005-0000-0000-00002A5C0000}"/>
    <cellStyle name="Normal 2 2 4 26 11" xfId="23595" xr:uid="{00000000-0005-0000-0000-00002B5C0000}"/>
    <cellStyle name="Normal 2 2 4 26 12" xfId="23596" xr:uid="{00000000-0005-0000-0000-00002C5C0000}"/>
    <cellStyle name="Normal 2 2 4 26 13" xfId="23597" xr:uid="{00000000-0005-0000-0000-00002D5C0000}"/>
    <cellStyle name="Normal 2 2 4 26 14" xfId="23598" xr:uid="{00000000-0005-0000-0000-00002E5C0000}"/>
    <cellStyle name="Normal 2 2 4 26 2" xfId="23599" xr:uid="{00000000-0005-0000-0000-00002F5C0000}"/>
    <cellStyle name="Normal 2 2 4 26 2 10" xfId="23600" xr:uid="{00000000-0005-0000-0000-0000305C0000}"/>
    <cellStyle name="Normal 2 2 4 26 2 2" xfId="23601" xr:uid="{00000000-0005-0000-0000-0000315C0000}"/>
    <cellStyle name="Normal 2 2 4 26 2 3" xfId="23602" xr:uid="{00000000-0005-0000-0000-0000325C0000}"/>
    <cellStyle name="Normal 2 2 4 26 2 4" xfId="23603" xr:uid="{00000000-0005-0000-0000-0000335C0000}"/>
    <cellStyle name="Normal 2 2 4 26 2 5" xfId="23604" xr:uid="{00000000-0005-0000-0000-0000345C0000}"/>
    <cellStyle name="Normal 2 2 4 26 2 6" xfId="23605" xr:uid="{00000000-0005-0000-0000-0000355C0000}"/>
    <cellStyle name="Normal 2 2 4 26 2 7" xfId="23606" xr:uid="{00000000-0005-0000-0000-0000365C0000}"/>
    <cellStyle name="Normal 2 2 4 26 2 8" xfId="23607" xr:uid="{00000000-0005-0000-0000-0000375C0000}"/>
    <cellStyle name="Normal 2 2 4 26 2 9" xfId="23608" xr:uid="{00000000-0005-0000-0000-0000385C0000}"/>
    <cellStyle name="Normal 2 2 4 26 3" xfId="23609" xr:uid="{00000000-0005-0000-0000-0000395C0000}"/>
    <cellStyle name="Normal 2 2 4 26 3 10" xfId="23610" xr:uid="{00000000-0005-0000-0000-00003A5C0000}"/>
    <cellStyle name="Normal 2 2 4 26 3 2" xfId="23611" xr:uid="{00000000-0005-0000-0000-00003B5C0000}"/>
    <cellStyle name="Normal 2 2 4 26 3 3" xfId="23612" xr:uid="{00000000-0005-0000-0000-00003C5C0000}"/>
    <cellStyle name="Normal 2 2 4 26 3 4" xfId="23613" xr:uid="{00000000-0005-0000-0000-00003D5C0000}"/>
    <cellStyle name="Normal 2 2 4 26 3 5" xfId="23614" xr:uid="{00000000-0005-0000-0000-00003E5C0000}"/>
    <cellStyle name="Normal 2 2 4 26 3 6" xfId="23615" xr:uid="{00000000-0005-0000-0000-00003F5C0000}"/>
    <cellStyle name="Normal 2 2 4 26 3 7" xfId="23616" xr:uid="{00000000-0005-0000-0000-0000405C0000}"/>
    <cellStyle name="Normal 2 2 4 26 3 8" xfId="23617" xr:uid="{00000000-0005-0000-0000-0000415C0000}"/>
    <cellStyle name="Normal 2 2 4 26 3 9" xfId="23618" xr:uid="{00000000-0005-0000-0000-0000425C0000}"/>
    <cellStyle name="Normal 2 2 4 26 4" xfId="23619" xr:uid="{00000000-0005-0000-0000-0000435C0000}"/>
    <cellStyle name="Normal 2 2 4 26 4 10" xfId="23620" xr:uid="{00000000-0005-0000-0000-0000445C0000}"/>
    <cellStyle name="Normal 2 2 4 26 4 2" xfId="23621" xr:uid="{00000000-0005-0000-0000-0000455C0000}"/>
    <cellStyle name="Normal 2 2 4 26 4 3" xfId="23622" xr:uid="{00000000-0005-0000-0000-0000465C0000}"/>
    <cellStyle name="Normal 2 2 4 26 4 4" xfId="23623" xr:uid="{00000000-0005-0000-0000-0000475C0000}"/>
    <cellStyle name="Normal 2 2 4 26 4 5" xfId="23624" xr:uid="{00000000-0005-0000-0000-0000485C0000}"/>
    <cellStyle name="Normal 2 2 4 26 4 6" xfId="23625" xr:uid="{00000000-0005-0000-0000-0000495C0000}"/>
    <cellStyle name="Normal 2 2 4 26 4 7" xfId="23626" xr:uid="{00000000-0005-0000-0000-00004A5C0000}"/>
    <cellStyle name="Normal 2 2 4 26 4 8" xfId="23627" xr:uid="{00000000-0005-0000-0000-00004B5C0000}"/>
    <cellStyle name="Normal 2 2 4 26 4 9" xfId="23628" xr:uid="{00000000-0005-0000-0000-00004C5C0000}"/>
    <cellStyle name="Normal 2 2 4 26 5" xfId="23629" xr:uid="{00000000-0005-0000-0000-00004D5C0000}"/>
    <cellStyle name="Normal 2 2 4 26 5 10" xfId="23630" xr:uid="{00000000-0005-0000-0000-00004E5C0000}"/>
    <cellStyle name="Normal 2 2 4 26 5 2" xfId="23631" xr:uid="{00000000-0005-0000-0000-00004F5C0000}"/>
    <cellStyle name="Normal 2 2 4 26 5 3" xfId="23632" xr:uid="{00000000-0005-0000-0000-0000505C0000}"/>
    <cellStyle name="Normal 2 2 4 26 5 4" xfId="23633" xr:uid="{00000000-0005-0000-0000-0000515C0000}"/>
    <cellStyle name="Normal 2 2 4 26 5 5" xfId="23634" xr:uid="{00000000-0005-0000-0000-0000525C0000}"/>
    <cellStyle name="Normal 2 2 4 26 5 6" xfId="23635" xr:uid="{00000000-0005-0000-0000-0000535C0000}"/>
    <cellStyle name="Normal 2 2 4 26 5 7" xfId="23636" xr:uid="{00000000-0005-0000-0000-0000545C0000}"/>
    <cellStyle name="Normal 2 2 4 26 5 8" xfId="23637" xr:uid="{00000000-0005-0000-0000-0000555C0000}"/>
    <cellStyle name="Normal 2 2 4 26 5 9" xfId="23638" xr:uid="{00000000-0005-0000-0000-0000565C0000}"/>
    <cellStyle name="Normal 2 2 4 26 6" xfId="23639" xr:uid="{00000000-0005-0000-0000-0000575C0000}"/>
    <cellStyle name="Normal 2 2 4 26 7" xfId="23640" xr:uid="{00000000-0005-0000-0000-0000585C0000}"/>
    <cellStyle name="Normal 2 2 4 26 8" xfId="23641" xr:uid="{00000000-0005-0000-0000-0000595C0000}"/>
    <cellStyle name="Normal 2 2 4 26 9" xfId="23642" xr:uid="{00000000-0005-0000-0000-00005A5C0000}"/>
    <cellStyle name="Normal 2 2 4 27" xfId="23643" xr:uid="{00000000-0005-0000-0000-00005B5C0000}"/>
    <cellStyle name="Normal 2 2 4 27 10" xfId="23644" xr:uid="{00000000-0005-0000-0000-00005C5C0000}"/>
    <cellStyle name="Normal 2 2 4 27 11" xfId="23645" xr:uid="{00000000-0005-0000-0000-00005D5C0000}"/>
    <cellStyle name="Normal 2 2 4 27 12" xfId="23646" xr:uid="{00000000-0005-0000-0000-00005E5C0000}"/>
    <cellStyle name="Normal 2 2 4 27 13" xfId="23647" xr:uid="{00000000-0005-0000-0000-00005F5C0000}"/>
    <cellStyle name="Normal 2 2 4 27 14" xfId="23648" xr:uid="{00000000-0005-0000-0000-0000605C0000}"/>
    <cellStyle name="Normal 2 2 4 27 2" xfId="23649" xr:uid="{00000000-0005-0000-0000-0000615C0000}"/>
    <cellStyle name="Normal 2 2 4 27 2 10" xfId="23650" xr:uid="{00000000-0005-0000-0000-0000625C0000}"/>
    <cellStyle name="Normal 2 2 4 27 2 2" xfId="23651" xr:uid="{00000000-0005-0000-0000-0000635C0000}"/>
    <cellStyle name="Normal 2 2 4 27 2 3" xfId="23652" xr:uid="{00000000-0005-0000-0000-0000645C0000}"/>
    <cellStyle name="Normal 2 2 4 27 2 4" xfId="23653" xr:uid="{00000000-0005-0000-0000-0000655C0000}"/>
    <cellStyle name="Normal 2 2 4 27 2 5" xfId="23654" xr:uid="{00000000-0005-0000-0000-0000665C0000}"/>
    <cellStyle name="Normal 2 2 4 27 2 6" xfId="23655" xr:uid="{00000000-0005-0000-0000-0000675C0000}"/>
    <cellStyle name="Normal 2 2 4 27 2 7" xfId="23656" xr:uid="{00000000-0005-0000-0000-0000685C0000}"/>
    <cellStyle name="Normal 2 2 4 27 2 8" xfId="23657" xr:uid="{00000000-0005-0000-0000-0000695C0000}"/>
    <cellStyle name="Normal 2 2 4 27 2 9" xfId="23658" xr:uid="{00000000-0005-0000-0000-00006A5C0000}"/>
    <cellStyle name="Normal 2 2 4 27 3" xfId="23659" xr:uid="{00000000-0005-0000-0000-00006B5C0000}"/>
    <cellStyle name="Normal 2 2 4 27 3 10" xfId="23660" xr:uid="{00000000-0005-0000-0000-00006C5C0000}"/>
    <cellStyle name="Normal 2 2 4 27 3 2" xfId="23661" xr:uid="{00000000-0005-0000-0000-00006D5C0000}"/>
    <cellStyle name="Normal 2 2 4 27 3 3" xfId="23662" xr:uid="{00000000-0005-0000-0000-00006E5C0000}"/>
    <cellStyle name="Normal 2 2 4 27 3 4" xfId="23663" xr:uid="{00000000-0005-0000-0000-00006F5C0000}"/>
    <cellStyle name="Normal 2 2 4 27 3 5" xfId="23664" xr:uid="{00000000-0005-0000-0000-0000705C0000}"/>
    <cellStyle name="Normal 2 2 4 27 3 6" xfId="23665" xr:uid="{00000000-0005-0000-0000-0000715C0000}"/>
    <cellStyle name="Normal 2 2 4 27 3 7" xfId="23666" xr:uid="{00000000-0005-0000-0000-0000725C0000}"/>
    <cellStyle name="Normal 2 2 4 27 3 8" xfId="23667" xr:uid="{00000000-0005-0000-0000-0000735C0000}"/>
    <cellStyle name="Normal 2 2 4 27 3 9" xfId="23668" xr:uid="{00000000-0005-0000-0000-0000745C0000}"/>
    <cellStyle name="Normal 2 2 4 27 4" xfId="23669" xr:uid="{00000000-0005-0000-0000-0000755C0000}"/>
    <cellStyle name="Normal 2 2 4 27 4 10" xfId="23670" xr:uid="{00000000-0005-0000-0000-0000765C0000}"/>
    <cellStyle name="Normal 2 2 4 27 4 2" xfId="23671" xr:uid="{00000000-0005-0000-0000-0000775C0000}"/>
    <cellStyle name="Normal 2 2 4 27 4 3" xfId="23672" xr:uid="{00000000-0005-0000-0000-0000785C0000}"/>
    <cellStyle name="Normal 2 2 4 27 4 4" xfId="23673" xr:uid="{00000000-0005-0000-0000-0000795C0000}"/>
    <cellStyle name="Normal 2 2 4 27 4 5" xfId="23674" xr:uid="{00000000-0005-0000-0000-00007A5C0000}"/>
    <cellStyle name="Normal 2 2 4 27 4 6" xfId="23675" xr:uid="{00000000-0005-0000-0000-00007B5C0000}"/>
    <cellStyle name="Normal 2 2 4 27 4 7" xfId="23676" xr:uid="{00000000-0005-0000-0000-00007C5C0000}"/>
    <cellStyle name="Normal 2 2 4 27 4 8" xfId="23677" xr:uid="{00000000-0005-0000-0000-00007D5C0000}"/>
    <cellStyle name="Normal 2 2 4 27 4 9" xfId="23678" xr:uid="{00000000-0005-0000-0000-00007E5C0000}"/>
    <cellStyle name="Normal 2 2 4 27 5" xfId="23679" xr:uid="{00000000-0005-0000-0000-00007F5C0000}"/>
    <cellStyle name="Normal 2 2 4 27 5 10" xfId="23680" xr:uid="{00000000-0005-0000-0000-0000805C0000}"/>
    <cellStyle name="Normal 2 2 4 27 5 2" xfId="23681" xr:uid="{00000000-0005-0000-0000-0000815C0000}"/>
    <cellStyle name="Normal 2 2 4 27 5 3" xfId="23682" xr:uid="{00000000-0005-0000-0000-0000825C0000}"/>
    <cellStyle name="Normal 2 2 4 27 5 4" xfId="23683" xr:uid="{00000000-0005-0000-0000-0000835C0000}"/>
    <cellStyle name="Normal 2 2 4 27 5 5" xfId="23684" xr:uid="{00000000-0005-0000-0000-0000845C0000}"/>
    <cellStyle name="Normal 2 2 4 27 5 6" xfId="23685" xr:uid="{00000000-0005-0000-0000-0000855C0000}"/>
    <cellStyle name="Normal 2 2 4 27 5 7" xfId="23686" xr:uid="{00000000-0005-0000-0000-0000865C0000}"/>
    <cellStyle name="Normal 2 2 4 27 5 8" xfId="23687" xr:uid="{00000000-0005-0000-0000-0000875C0000}"/>
    <cellStyle name="Normal 2 2 4 27 5 9" xfId="23688" xr:uid="{00000000-0005-0000-0000-0000885C0000}"/>
    <cellStyle name="Normal 2 2 4 27 6" xfId="23689" xr:uid="{00000000-0005-0000-0000-0000895C0000}"/>
    <cellStyle name="Normal 2 2 4 27 7" xfId="23690" xr:uid="{00000000-0005-0000-0000-00008A5C0000}"/>
    <cellStyle name="Normal 2 2 4 27 8" xfId="23691" xr:uid="{00000000-0005-0000-0000-00008B5C0000}"/>
    <cellStyle name="Normal 2 2 4 27 9" xfId="23692" xr:uid="{00000000-0005-0000-0000-00008C5C0000}"/>
    <cellStyle name="Normal 2 2 4 28" xfId="23693" xr:uid="{00000000-0005-0000-0000-00008D5C0000}"/>
    <cellStyle name="Normal 2 2 4 28 10" xfId="23694" xr:uid="{00000000-0005-0000-0000-00008E5C0000}"/>
    <cellStyle name="Normal 2 2 4 28 11" xfId="23695" xr:uid="{00000000-0005-0000-0000-00008F5C0000}"/>
    <cellStyle name="Normal 2 2 4 28 12" xfId="23696" xr:uid="{00000000-0005-0000-0000-0000905C0000}"/>
    <cellStyle name="Normal 2 2 4 28 13" xfId="23697" xr:uid="{00000000-0005-0000-0000-0000915C0000}"/>
    <cellStyle name="Normal 2 2 4 28 14" xfId="23698" xr:uid="{00000000-0005-0000-0000-0000925C0000}"/>
    <cellStyle name="Normal 2 2 4 28 2" xfId="23699" xr:uid="{00000000-0005-0000-0000-0000935C0000}"/>
    <cellStyle name="Normal 2 2 4 28 2 10" xfId="23700" xr:uid="{00000000-0005-0000-0000-0000945C0000}"/>
    <cellStyle name="Normal 2 2 4 28 2 2" xfId="23701" xr:uid="{00000000-0005-0000-0000-0000955C0000}"/>
    <cellStyle name="Normal 2 2 4 28 2 3" xfId="23702" xr:uid="{00000000-0005-0000-0000-0000965C0000}"/>
    <cellStyle name="Normal 2 2 4 28 2 4" xfId="23703" xr:uid="{00000000-0005-0000-0000-0000975C0000}"/>
    <cellStyle name="Normal 2 2 4 28 2 5" xfId="23704" xr:uid="{00000000-0005-0000-0000-0000985C0000}"/>
    <cellStyle name="Normal 2 2 4 28 2 6" xfId="23705" xr:uid="{00000000-0005-0000-0000-0000995C0000}"/>
    <cellStyle name="Normal 2 2 4 28 2 7" xfId="23706" xr:uid="{00000000-0005-0000-0000-00009A5C0000}"/>
    <cellStyle name="Normal 2 2 4 28 2 8" xfId="23707" xr:uid="{00000000-0005-0000-0000-00009B5C0000}"/>
    <cellStyle name="Normal 2 2 4 28 2 9" xfId="23708" xr:uid="{00000000-0005-0000-0000-00009C5C0000}"/>
    <cellStyle name="Normal 2 2 4 28 3" xfId="23709" xr:uid="{00000000-0005-0000-0000-00009D5C0000}"/>
    <cellStyle name="Normal 2 2 4 28 3 10" xfId="23710" xr:uid="{00000000-0005-0000-0000-00009E5C0000}"/>
    <cellStyle name="Normal 2 2 4 28 3 2" xfId="23711" xr:uid="{00000000-0005-0000-0000-00009F5C0000}"/>
    <cellStyle name="Normal 2 2 4 28 3 3" xfId="23712" xr:uid="{00000000-0005-0000-0000-0000A05C0000}"/>
    <cellStyle name="Normal 2 2 4 28 3 4" xfId="23713" xr:uid="{00000000-0005-0000-0000-0000A15C0000}"/>
    <cellStyle name="Normal 2 2 4 28 3 5" xfId="23714" xr:uid="{00000000-0005-0000-0000-0000A25C0000}"/>
    <cellStyle name="Normal 2 2 4 28 3 6" xfId="23715" xr:uid="{00000000-0005-0000-0000-0000A35C0000}"/>
    <cellStyle name="Normal 2 2 4 28 3 7" xfId="23716" xr:uid="{00000000-0005-0000-0000-0000A45C0000}"/>
    <cellStyle name="Normal 2 2 4 28 3 8" xfId="23717" xr:uid="{00000000-0005-0000-0000-0000A55C0000}"/>
    <cellStyle name="Normal 2 2 4 28 3 9" xfId="23718" xr:uid="{00000000-0005-0000-0000-0000A65C0000}"/>
    <cellStyle name="Normal 2 2 4 28 4" xfId="23719" xr:uid="{00000000-0005-0000-0000-0000A75C0000}"/>
    <cellStyle name="Normal 2 2 4 28 4 10" xfId="23720" xr:uid="{00000000-0005-0000-0000-0000A85C0000}"/>
    <cellStyle name="Normal 2 2 4 28 4 2" xfId="23721" xr:uid="{00000000-0005-0000-0000-0000A95C0000}"/>
    <cellStyle name="Normal 2 2 4 28 4 3" xfId="23722" xr:uid="{00000000-0005-0000-0000-0000AA5C0000}"/>
    <cellStyle name="Normal 2 2 4 28 4 4" xfId="23723" xr:uid="{00000000-0005-0000-0000-0000AB5C0000}"/>
    <cellStyle name="Normal 2 2 4 28 4 5" xfId="23724" xr:uid="{00000000-0005-0000-0000-0000AC5C0000}"/>
    <cellStyle name="Normal 2 2 4 28 4 6" xfId="23725" xr:uid="{00000000-0005-0000-0000-0000AD5C0000}"/>
    <cellStyle name="Normal 2 2 4 28 4 7" xfId="23726" xr:uid="{00000000-0005-0000-0000-0000AE5C0000}"/>
    <cellStyle name="Normal 2 2 4 28 4 8" xfId="23727" xr:uid="{00000000-0005-0000-0000-0000AF5C0000}"/>
    <cellStyle name="Normal 2 2 4 28 4 9" xfId="23728" xr:uid="{00000000-0005-0000-0000-0000B05C0000}"/>
    <cellStyle name="Normal 2 2 4 28 5" xfId="23729" xr:uid="{00000000-0005-0000-0000-0000B15C0000}"/>
    <cellStyle name="Normal 2 2 4 28 5 10" xfId="23730" xr:uid="{00000000-0005-0000-0000-0000B25C0000}"/>
    <cellStyle name="Normal 2 2 4 28 5 2" xfId="23731" xr:uid="{00000000-0005-0000-0000-0000B35C0000}"/>
    <cellStyle name="Normal 2 2 4 28 5 3" xfId="23732" xr:uid="{00000000-0005-0000-0000-0000B45C0000}"/>
    <cellStyle name="Normal 2 2 4 28 5 4" xfId="23733" xr:uid="{00000000-0005-0000-0000-0000B55C0000}"/>
    <cellStyle name="Normal 2 2 4 28 5 5" xfId="23734" xr:uid="{00000000-0005-0000-0000-0000B65C0000}"/>
    <cellStyle name="Normal 2 2 4 28 5 6" xfId="23735" xr:uid="{00000000-0005-0000-0000-0000B75C0000}"/>
    <cellStyle name="Normal 2 2 4 28 5 7" xfId="23736" xr:uid="{00000000-0005-0000-0000-0000B85C0000}"/>
    <cellStyle name="Normal 2 2 4 28 5 8" xfId="23737" xr:uid="{00000000-0005-0000-0000-0000B95C0000}"/>
    <cellStyle name="Normal 2 2 4 28 5 9" xfId="23738" xr:uid="{00000000-0005-0000-0000-0000BA5C0000}"/>
    <cellStyle name="Normal 2 2 4 28 6" xfId="23739" xr:uid="{00000000-0005-0000-0000-0000BB5C0000}"/>
    <cellStyle name="Normal 2 2 4 28 7" xfId="23740" xr:uid="{00000000-0005-0000-0000-0000BC5C0000}"/>
    <cellStyle name="Normal 2 2 4 28 8" xfId="23741" xr:uid="{00000000-0005-0000-0000-0000BD5C0000}"/>
    <cellStyle name="Normal 2 2 4 28 9" xfId="23742" xr:uid="{00000000-0005-0000-0000-0000BE5C0000}"/>
    <cellStyle name="Normal 2 2 4 29" xfId="23743" xr:uid="{00000000-0005-0000-0000-0000BF5C0000}"/>
    <cellStyle name="Normal 2 2 4 29 10" xfId="23744" xr:uid="{00000000-0005-0000-0000-0000C05C0000}"/>
    <cellStyle name="Normal 2 2 4 29 11" xfId="23745" xr:uid="{00000000-0005-0000-0000-0000C15C0000}"/>
    <cellStyle name="Normal 2 2 4 29 12" xfId="23746" xr:uid="{00000000-0005-0000-0000-0000C25C0000}"/>
    <cellStyle name="Normal 2 2 4 29 13" xfId="23747" xr:uid="{00000000-0005-0000-0000-0000C35C0000}"/>
    <cellStyle name="Normal 2 2 4 29 14" xfId="23748" xr:uid="{00000000-0005-0000-0000-0000C45C0000}"/>
    <cellStyle name="Normal 2 2 4 29 2" xfId="23749" xr:uid="{00000000-0005-0000-0000-0000C55C0000}"/>
    <cellStyle name="Normal 2 2 4 29 2 10" xfId="23750" xr:uid="{00000000-0005-0000-0000-0000C65C0000}"/>
    <cellStyle name="Normal 2 2 4 29 2 2" xfId="23751" xr:uid="{00000000-0005-0000-0000-0000C75C0000}"/>
    <cellStyle name="Normal 2 2 4 29 2 3" xfId="23752" xr:uid="{00000000-0005-0000-0000-0000C85C0000}"/>
    <cellStyle name="Normal 2 2 4 29 2 4" xfId="23753" xr:uid="{00000000-0005-0000-0000-0000C95C0000}"/>
    <cellStyle name="Normal 2 2 4 29 2 5" xfId="23754" xr:uid="{00000000-0005-0000-0000-0000CA5C0000}"/>
    <cellStyle name="Normal 2 2 4 29 2 6" xfId="23755" xr:uid="{00000000-0005-0000-0000-0000CB5C0000}"/>
    <cellStyle name="Normal 2 2 4 29 2 7" xfId="23756" xr:uid="{00000000-0005-0000-0000-0000CC5C0000}"/>
    <cellStyle name="Normal 2 2 4 29 2 8" xfId="23757" xr:uid="{00000000-0005-0000-0000-0000CD5C0000}"/>
    <cellStyle name="Normal 2 2 4 29 2 9" xfId="23758" xr:uid="{00000000-0005-0000-0000-0000CE5C0000}"/>
    <cellStyle name="Normal 2 2 4 29 3" xfId="23759" xr:uid="{00000000-0005-0000-0000-0000CF5C0000}"/>
    <cellStyle name="Normal 2 2 4 29 3 10" xfId="23760" xr:uid="{00000000-0005-0000-0000-0000D05C0000}"/>
    <cellStyle name="Normal 2 2 4 29 3 2" xfId="23761" xr:uid="{00000000-0005-0000-0000-0000D15C0000}"/>
    <cellStyle name="Normal 2 2 4 29 3 3" xfId="23762" xr:uid="{00000000-0005-0000-0000-0000D25C0000}"/>
    <cellStyle name="Normal 2 2 4 29 3 4" xfId="23763" xr:uid="{00000000-0005-0000-0000-0000D35C0000}"/>
    <cellStyle name="Normal 2 2 4 29 3 5" xfId="23764" xr:uid="{00000000-0005-0000-0000-0000D45C0000}"/>
    <cellStyle name="Normal 2 2 4 29 3 6" xfId="23765" xr:uid="{00000000-0005-0000-0000-0000D55C0000}"/>
    <cellStyle name="Normal 2 2 4 29 3 7" xfId="23766" xr:uid="{00000000-0005-0000-0000-0000D65C0000}"/>
    <cellStyle name="Normal 2 2 4 29 3 8" xfId="23767" xr:uid="{00000000-0005-0000-0000-0000D75C0000}"/>
    <cellStyle name="Normal 2 2 4 29 3 9" xfId="23768" xr:uid="{00000000-0005-0000-0000-0000D85C0000}"/>
    <cellStyle name="Normal 2 2 4 29 4" xfId="23769" xr:uid="{00000000-0005-0000-0000-0000D95C0000}"/>
    <cellStyle name="Normal 2 2 4 29 4 10" xfId="23770" xr:uid="{00000000-0005-0000-0000-0000DA5C0000}"/>
    <cellStyle name="Normal 2 2 4 29 4 2" xfId="23771" xr:uid="{00000000-0005-0000-0000-0000DB5C0000}"/>
    <cellStyle name="Normal 2 2 4 29 4 3" xfId="23772" xr:uid="{00000000-0005-0000-0000-0000DC5C0000}"/>
    <cellStyle name="Normal 2 2 4 29 4 4" xfId="23773" xr:uid="{00000000-0005-0000-0000-0000DD5C0000}"/>
    <cellStyle name="Normal 2 2 4 29 4 5" xfId="23774" xr:uid="{00000000-0005-0000-0000-0000DE5C0000}"/>
    <cellStyle name="Normal 2 2 4 29 4 6" xfId="23775" xr:uid="{00000000-0005-0000-0000-0000DF5C0000}"/>
    <cellStyle name="Normal 2 2 4 29 4 7" xfId="23776" xr:uid="{00000000-0005-0000-0000-0000E05C0000}"/>
    <cellStyle name="Normal 2 2 4 29 4 8" xfId="23777" xr:uid="{00000000-0005-0000-0000-0000E15C0000}"/>
    <cellStyle name="Normal 2 2 4 29 4 9" xfId="23778" xr:uid="{00000000-0005-0000-0000-0000E25C0000}"/>
    <cellStyle name="Normal 2 2 4 29 5" xfId="23779" xr:uid="{00000000-0005-0000-0000-0000E35C0000}"/>
    <cellStyle name="Normal 2 2 4 29 5 10" xfId="23780" xr:uid="{00000000-0005-0000-0000-0000E45C0000}"/>
    <cellStyle name="Normal 2 2 4 29 5 2" xfId="23781" xr:uid="{00000000-0005-0000-0000-0000E55C0000}"/>
    <cellStyle name="Normal 2 2 4 29 5 3" xfId="23782" xr:uid="{00000000-0005-0000-0000-0000E65C0000}"/>
    <cellStyle name="Normal 2 2 4 29 5 4" xfId="23783" xr:uid="{00000000-0005-0000-0000-0000E75C0000}"/>
    <cellStyle name="Normal 2 2 4 29 5 5" xfId="23784" xr:uid="{00000000-0005-0000-0000-0000E85C0000}"/>
    <cellStyle name="Normal 2 2 4 29 5 6" xfId="23785" xr:uid="{00000000-0005-0000-0000-0000E95C0000}"/>
    <cellStyle name="Normal 2 2 4 29 5 7" xfId="23786" xr:uid="{00000000-0005-0000-0000-0000EA5C0000}"/>
    <cellStyle name="Normal 2 2 4 29 5 8" xfId="23787" xr:uid="{00000000-0005-0000-0000-0000EB5C0000}"/>
    <cellStyle name="Normal 2 2 4 29 5 9" xfId="23788" xr:uid="{00000000-0005-0000-0000-0000EC5C0000}"/>
    <cellStyle name="Normal 2 2 4 29 6" xfId="23789" xr:uid="{00000000-0005-0000-0000-0000ED5C0000}"/>
    <cellStyle name="Normal 2 2 4 29 7" xfId="23790" xr:uid="{00000000-0005-0000-0000-0000EE5C0000}"/>
    <cellStyle name="Normal 2 2 4 29 8" xfId="23791" xr:uid="{00000000-0005-0000-0000-0000EF5C0000}"/>
    <cellStyle name="Normal 2 2 4 29 9" xfId="23792" xr:uid="{00000000-0005-0000-0000-0000F05C0000}"/>
    <cellStyle name="Normal 2 2 4 3" xfId="23793" xr:uid="{00000000-0005-0000-0000-0000F15C0000}"/>
    <cellStyle name="Normal 2 2 4 3 10" xfId="23794" xr:uid="{00000000-0005-0000-0000-0000F25C0000}"/>
    <cellStyle name="Normal 2 2 4 3 11" xfId="23795" xr:uid="{00000000-0005-0000-0000-0000F35C0000}"/>
    <cellStyle name="Normal 2 2 4 3 12" xfId="23796" xr:uid="{00000000-0005-0000-0000-0000F45C0000}"/>
    <cellStyle name="Normal 2 2 4 3 13" xfId="23797" xr:uid="{00000000-0005-0000-0000-0000F55C0000}"/>
    <cellStyle name="Normal 2 2 4 3 14" xfId="23798" xr:uid="{00000000-0005-0000-0000-0000F65C0000}"/>
    <cellStyle name="Normal 2 2 4 3 2" xfId="23799" xr:uid="{00000000-0005-0000-0000-0000F75C0000}"/>
    <cellStyle name="Normal 2 2 4 3 2 10" xfId="23800" xr:uid="{00000000-0005-0000-0000-0000F85C0000}"/>
    <cellStyle name="Normal 2 2 4 3 2 2" xfId="23801" xr:uid="{00000000-0005-0000-0000-0000F95C0000}"/>
    <cellStyle name="Normal 2 2 4 3 2 3" xfId="23802" xr:uid="{00000000-0005-0000-0000-0000FA5C0000}"/>
    <cellStyle name="Normal 2 2 4 3 2 4" xfId="23803" xr:uid="{00000000-0005-0000-0000-0000FB5C0000}"/>
    <cellStyle name="Normal 2 2 4 3 2 5" xfId="23804" xr:uid="{00000000-0005-0000-0000-0000FC5C0000}"/>
    <cellStyle name="Normal 2 2 4 3 2 6" xfId="23805" xr:uid="{00000000-0005-0000-0000-0000FD5C0000}"/>
    <cellStyle name="Normal 2 2 4 3 2 7" xfId="23806" xr:uid="{00000000-0005-0000-0000-0000FE5C0000}"/>
    <cellStyle name="Normal 2 2 4 3 2 8" xfId="23807" xr:uid="{00000000-0005-0000-0000-0000FF5C0000}"/>
    <cellStyle name="Normal 2 2 4 3 2 9" xfId="23808" xr:uid="{00000000-0005-0000-0000-0000005D0000}"/>
    <cellStyle name="Normal 2 2 4 3 3" xfId="23809" xr:uid="{00000000-0005-0000-0000-0000015D0000}"/>
    <cellStyle name="Normal 2 2 4 3 3 10" xfId="23810" xr:uid="{00000000-0005-0000-0000-0000025D0000}"/>
    <cellStyle name="Normal 2 2 4 3 3 2" xfId="23811" xr:uid="{00000000-0005-0000-0000-0000035D0000}"/>
    <cellStyle name="Normal 2 2 4 3 3 3" xfId="23812" xr:uid="{00000000-0005-0000-0000-0000045D0000}"/>
    <cellStyle name="Normal 2 2 4 3 3 4" xfId="23813" xr:uid="{00000000-0005-0000-0000-0000055D0000}"/>
    <cellStyle name="Normal 2 2 4 3 3 5" xfId="23814" xr:uid="{00000000-0005-0000-0000-0000065D0000}"/>
    <cellStyle name="Normal 2 2 4 3 3 6" xfId="23815" xr:uid="{00000000-0005-0000-0000-0000075D0000}"/>
    <cellStyle name="Normal 2 2 4 3 3 7" xfId="23816" xr:uid="{00000000-0005-0000-0000-0000085D0000}"/>
    <cellStyle name="Normal 2 2 4 3 3 8" xfId="23817" xr:uid="{00000000-0005-0000-0000-0000095D0000}"/>
    <cellStyle name="Normal 2 2 4 3 3 9" xfId="23818" xr:uid="{00000000-0005-0000-0000-00000A5D0000}"/>
    <cellStyle name="Normal 2 2 4 3 4" xfId="23819" xr:uid="{00000000-0005-0000-0000-00000B5D0000}"/>
    <cellStyle name="Normal 2 2 4 3 4 10" xfId="23820" xr:uid="{00000000-0005-0000-0000-00000C5D0000}"/>
    <cellStyle name="Normal 2 2 4 3 4 2" xfId="23821" xr:uid="{00000000-0005-0000-0000-00000D5D0000}"/>
    <cellStyle name="Normal 2 2 4 3 4 3" xfId="23822" xr:uid="{00000000-0005-0000-0000-00000E5D0000}"/>
    <cellStyle name="Normal 2 2 4 3 4 4" xfId="23823" xr:uid="{00000000-0005-0000-0000-00000F5D0000}"/>
    <cellStyle name="Normal 2 2 4 3 4 5" xfId="23824" xr:uid="{00000000-0005-0000-0000-0000105D0000}"/>
    <cellStyle name="Normal 2 2 4 3 4 6" xfId="23825" xr:uid="{00000000-0005-0000-0000-0000115D0000}"/>
    <cellStyle name="Normal 2 2 4 3 4 7" xfId="23826" xr:uid="{00000000-0005-0000-0000-0000125D0000}"/>
    <cellStyle name="Normal 2 2 4 3 4 8" xfId="23827" xr:uid="{00000000-0005-0000-0000-0000135D0000}"/>
    <cellStyle name="Normal 2 2 4 3 4 9" xfId="23828" xr:uid="{00000000-0005-0000-0000-0000145D0000}"/>
    <cellStyle name="Normal 2 2 4 3 5" xfId="23829" xr:uid="{00000000-0005-0000-0000-0000155D0000}"/>
    <cellStyle name="Normal 2 2 4 3 5 10" xfId="23830" xr:uid="{00000000-0005-0000-0000-0000165D0000}"/>
    <cellStyle name="Normal 2 2 4 3 5 2" xfId="23831" xr:uid="{00000000-0005-0000-0000-0000175D0000}"/>
    <cellStyle name="Normal 2 2 4 3 5 3" xfId="23832" xr:uid="{00000000-0005-0000-0000-0000185D0000}"/>
    <cellStyle name="Normal 2 2 4 3 5 4" xfId="23833" xr:uid="{00000000-0005-0000-0000-0000195D0000}"/>
    <cellStyle name="Normal 2 2 4 3 5 5" xfId="23834" xr:uid="{00000000-0005-0000-0000-00001A5D0000}"/>
    <cellStyle name="Normal 2 2 4 3 5 6" xfId="23835" xr:uid="{00000000-0005-0000-0000-00001B5D0000}"/>
    <cellStyle name="Normal 2 2 4 3 5 7" xfId="23836" xr:uid="{00000000-0005-0000-0000-00001C5D0000}"/>
    <cellStyle name="Normal 2 2 4 3 5 8" xfId="23837" xr:uid="{00000000-0005-0000-0000-00001D5D0000}"/>
    <cellStyle name="Normal 2 2 4 3 5 9" xfId="23838" xr:uid="{00000000-0005-0000-0000-00001E5D0000}"/>
    <cellStyle name="Normal 2 2 4 3 6" xfId="23839" xr:uid="{00000000-0005-0000-0000-00001F5D0000}"/>
    <cellStyle name="Normal 2 2 4 3 7" xfId="23840" xr:uid="{00000000-0005-0000-0000-0000205D0000}"/>
    <cellStyle name="Normal 2 2 4 3 8" xfId="23841" xr:uid="{00000000-0005-0000-0000-0000215D0000}"/>
    <cellStyle name="Normal 2 2 4 3 9" xfId="23842" xr:uid="{00000000-0005-0000-0000-0000225D0000}"/>
    <cellStyle name="Normal 2 2 4 30" xfId="23843" xr:uid="{00000000-0005-0000-0000-0000235D0000}"/>
    <cellStyle name="Normal 2 2 4 30 10" xfId="23844" xr:uid="{00000000-0005-0000-0000-0000245D0000}"/>
    <cellStyle name="Normal 2 2 4 30 11" xfId="23845" xr:uid="{00000000-0005-0000-0000-0000255D0000}"/>
    <cellStyle name="Normal 2 2 4 30 12" xfId="23846" xr:uid="{00000000-0005-0000-0000-0000265D0000}"/>
    <cellStyle name="Normal 2 2 4 30 13" xfId="23847" xr:uid="{00000000-0005-0000-0000-0000275D0000}"/>
    <cellStyle name="Normal 2 2 4 30 14" xfId="23848" xr:uid="{00000000-0005-0000-0000-0000285D0000}"/>
    <cellStyle name="Normal 2 2 4 30 2" xfId="23849" xr:uid="{00000000-0005-0000-0000-0000295D0000}"/>
    <cellStyle name="Normal 2 2 4 30 2 10" xfId="23850" xr:uid="{00000000-0005-0000-0000-00002A5D0000}"/>
    <cellStyle name="Normal 2 2 4 30 2 2" xfId="23851" xr:uid="{00000000-0005-0000-0000-00002B5D0000}"/>
    <cellStyle name="Normal 2 2 4 30 2 3" xfId="23852" xr:uid="{00000000-0005-0000-0000-00002C5D0000}"/>
    <cellStyle name="Normal 2 2 4 30 2 4" xfId="23853" xr:uid="{00000000-0005-0000-0000-00002D5D0000}"/>
    <cellStyle name="Normal 2 2 4 30 2 5" xfId="23854" xr:uid="{00000000-0005-0000-0000-00002E5D0000}"/>
    <cellStyle name="Normal 2 2 4 30 2 6" xfId="23855" xr:uid="{00000000-0005-0000-0000-00002F5D0000}"/>
    <cellStyle name="Normal 2 2 4 30 2 7" xfId="23856" xr:uid="{00000000-0005-0000-0000-0000305D0000}"/>
    <cellStyle name="Normal 2 2 4 30 2 8" xfId="23857" xr:uid="{00000000-0005-0000-0000-0000315D0000}"/>
    <cellStyle name="Normal 2 2 4 30 2 9" xfId="23858" xr:uid="{00000000-0005-0000-0000-0000325D0000}"/>
    <cellStyle name="Normal 2 2 4 30 3" xfId="23859" xr:uid="{00000000-0005-0000-0000-0000335D0000}"/>
    <cellStyle name="Normal 2 2 4 30 3 10" xfId="23860" xr:uid="{00000000-0005-0000-0000-0000345D0000}"/>
    <cellStyle name="Normal 2 2 4 30 3 2" xfId="23861" xr:uid="{00000000-0005-0000-0000-0000355D0000}"/>
    <cellStyle name="Normal 2 2 4 30 3 3" xfId="23862" xr:uid="{00000000-0005-0000-0000-0000365D0000}"/>
    <cellStyle name="Normal 2 2 4 30 3 4" xfId="23863" xr:uid="{00000000-0005-0000-0000-0000375D0000}"/>
    <cellStyle name="Normal 2 2 4 30 3 5" xfId="23864" xr:uid="{00000000-0005-0000-0000-0000385D0000}"/>
    <cellStyle name="Normal 2 2 4 30 3 6" xfId="23865" xr:uid="{00000000-0005-0000-0000-0000395D0000}"/>
    <cellStyle name="Normal 2 2 4 30 3 7" xfId="23866" xr:uid="{00000000-0005-0000-0000-00003A5D0000}"/>
    <cellStyle name="Normal 2 2 4 30 3 8" xfId="23867" xr:uid="{00000000-0005-0000-0000-00003B5D0000}"/>
    <cellStyle name="Normal 2 2 4 30 3 9" xfId="23868" xr:uid="{00000000-0005-0000-0000-00003C5D0000}"/>
    <cellStyle name="Normal 2 2 4 30 4" xfId="23869" xr:uid="{00000000-0005-0000-0000-00003D5D0000}"/>
    <cellStyle name="Normal 2 2 4 30 4 10" xfId="23870" xr:uid="{00000000-0005-0000-0000-00003E5D0000}"/>
    <cellStyle name="Normal 2 2 4 30 4 2" xfId="23871" xr:uid="{00000000-0005-0000-0000-00003F5D0000}"/>
    <cellStyle name="Normal 2 2 4 30 4 3" xfId="23872" xr:uid="{00000000-0005-0000-0000-0000405D0000}"/>
    <cellStyle name="Normal 2 2 4 30 4 4" xfId="23873" xr:uid="{00000000-0005-0000-0000-0000415D0000}"/>
    <cellStyle name="Normal 2 2 4 30 4 5" xfId="23874" xr:uid="{00000000-0005-0000-0000-0000425D0000}"/>
    <cellStyle name="Normal 2 2 4 30 4 6" xfId="23875" xr:uid="{00000000-0005-0000-0000-0000435D0000}"/>
    <cellStyle name="Normal 2 2 4 30 4 7" xfId="23876" xr:uid="{00000000-0005-0000-0000-0000445D0000}"/>
    <cellStyle name="Normal 2 2 4 30 4 8" xfId="23877" xr:uid="{00000000-0005-0000-0000-0000455D0000}"/>
    <cellStyle name="Normal 2 2 4 30 4 9" xfId="23878" xr:uid="{00000000-0005-0000-0000-0000465D0000}"/>
    <cellStyle name="Normal 2 2 4 30 5" xfId="23879" xr:uid="{00000000-0005-0000-0000-0000475D0000}"/>
    <cellStyle name="Normal 2 2 4 30 5 10" xfId="23880" xr:uid="{00000000-0005-0000-0000-0000485D0000}"/>
    <cellStyle name="Normal 2 2 4 30 5 2" xfId="23881" xr:uid="{00000000-0005-0000-0000-0000495D0000}"/>
    <cellStyle name="Normal 2 2 4 30 5 3" xfId="23882" xr:uid="{00000000-0005-0000-0000-00004A5D0000}"/>
    <cellStyle name="Normal 2 2 4 30 5 4" xfId="23883" xr:uid="{00000000-0005-0000-0000-00004B5D0000}"/>
    <cellStyle name="Normal 2 2 4 30 5 5" xfId="23884" xr:uid="{00000000-0005-0000-0000-00004C5D0000}"/>
    <cellStyle name="Normal 2 2 4 30 5 6" xfId="23885" xr:uid="{00000000-0005-0000-0000-00004D5D0000}"/>
    <cellStyle name="Normal 2 2 4 30 5 7" xfId="23886" xr:uid="{00000000-0005-0000-0000-00004E5D0000}"/>
    <cellStyle name="Normal 2 2 4 30 5 8" xfId="23887" xr:uid="{00000000-0005-0000-0000-00004F5D0000}"/>
    <cellStyle name="Normal 2 2 4 30 5 9" xfId="23888" xr:uid="{00000000-0005-0000-0000-0000505D0000}"/>
    <cellStyle name="Normal 2 2 4 30 6" xfId="23889" xr:uid="{00000000-0005-0000-0000-0000515D0000}"/>
    <cellStyle name="Normal 2 2 4 30 7" xfId="23890" xr:uid="{00000000-0005-0000-0000-0000525D0000}"/>
    <cellStyle name="Normal 2 2 4 30 8" xfId="23891" xr:uid="{00000000-0005-0000-0000-0000535D0000}"/>
    <cellStyle name="Normal 2 2 4 30 9" xfId="23892" xr:uid="{00000000-0005-0000-0000-0000545D0000}"/>
    <cellStyle name="Normal 2 2 4 31" xfId="23893" xr:uid="{00000000-0005-0000-0000-0000555D0000}"/>
    <cellStyle name="Normal 2 2 4 31 10" xfId="23894" xr:uid="{00000000-0005-0000-0000-0000565D0000}"/>
    <cellStyle name="Normal 2 2 4 31 11" xfId="23895" xr:uid="{00000000-0005-0000-0000-0000575D0000}"/>
    <cellStyle name="Normal 2 2 4 31 12" xfId="23896" xr:uid="{00000000-0005-0000-0000-0000585D0000}"/>
    <cellStyle name="Normal 2 2 4 31 13" xfId="23897" xr:uid="{00000000-0005-0000-0000-0000595D0000}"/>
    <cellStyle name="Normal 2 2 4 31 14" xfId="23898" xr:uid="{00000000-0005-0000-0000-00005A5D0000}"/>
    <cellStyle name="Normal 2 2 4 31 2" xfId="23899" xr:uid="{00000000-0005-0000-0000-00005B5D0000}"/>
    <cellStyle name="Normal 2 2 4 31 2 10" xfId="23900" xr:uid="{00000000-0005-0000-0000-00005C5D0000}"/>
    <cellStyle name="Normal 2 2 4 31 2 2" xfId="23901" xr:uid="{00000000-0005-0000-0000-00005D5D0000}"/>
    <cellStyle name="Normal 2 2 4 31 2 3" xfId="23902" xr:uid="{00000000-0005-0000-0000-00005E5D0000}"/>
    <cellStyle name="Normal 2 2 4 31 2 4" xfId="23903" xr:uid="{00000000-0005-0000-0000-00005F5D0000}"/>
    <cellStyle name="Normal 2 2 4 31 2 5" xfId="23904" xr:uid="{00000000-0005-0000-0000-0000605D0000}"/>
    <cellStyle name="Normal 2 2 4 31 2 6" xfId="23905" xr:uid="{00000000-0005-0000-0000-0000615D0000}"/>
    <cellStyle name="Normal 2 2 4 31 2 7" xfId="23906" xr:uid="{00000000-0005-0000-0000-0000625D0000}"/>
    <cellStyle name="Normal 2 2 4 31 2 8" xfId="23907" xr:uid="{00000000-0005-0000-0000-0000635D0000}"/>
    <cellStyle name="Normal 2 2 4 31 2 9" xfId="23908" xr:uid="{00000000-0005-0000-0000-0000645D0000}"/>
    <cellStyle name="Normal 2 2 4 31 3" xfId="23909" xr:uid="{00000000-0005-0000-0000-0000655D0000}"/>
    <cellStyle name="Normal 2 2 4 31 3 10" xfId="23910" xr:uid="{00000000-0005-0000-0000-0000665D0000}"/>
    <cellStyle name="Normal 2 2 4 31 3 2" xfId="23911" xr:uid="{00000000-0005-0000-0000-0000675D0000}"/>
    <cellStyle name="Normal 2 2 4 31 3 3" xfId="23912" xr:uid="{00000000-0005-0000-0000-0000685D0000}"/>
    <cellStyle name="Normal 2 2 4 31 3 4" xfId="23913" xr:uid="{00000000-0005-0000-0000-0000695D0000}"/>
    <cellStyle name="Normal 2 2 4 31 3 5" xfId="23914" xr:uid="{00000000-0005-0000-0000-00006A5D0000}"/>
    <cellStyle name="Normal 2 2 4 31 3 6" xfId="23915" xr:uid="{00000000-0005-0000-0000-00006B5D0000}"/>
    <cellStyle name="Normal 2 2 4 31 3 7" xfId="23916" xr:uid="{00000000-0005-0000-0000-00006C5D0000}"/>
    <cellStyle name="Normal 2 2 4 31 3 8" xfId="23917" xr:uid="{00000000-0005-0000-0000-00006D5D0000}"/>
    <cellStyle name="Normal 2 2 4 31 3 9" xfId="23918" xr:uid="{00000000-0005-0000-0000-00006E5D0000}"/>
    <cellStyle name="Normal 2 2 4 31 4" xfId="23919" xr:uid="{00000000-0005-0000-0000-00006F5D0000}"/>
    <cellStyle name="Normal 2 2 4 31 4 10" xfId="23920" xr:uid="{00000000-0005-0000-0000-0000705D0000}"/>
    <cellStyle name="Normal 2 2 4 31 4 2" xfId="23921" xr:uid="{00000000-0005-0000-0000-0000715D0000}"/>
    <cellStyle name="Normal 2 2 4 31 4 3" xfId="23922" xr:uid="{00000000-0005-0000-0000-0000725D0000}"/>
    <cellStyle name="Normal 2 2 4 31 4 4" xfId="23923" xr:uid="{00000000-0005-0000-0000-0000735D0000}"/>
    <cellStyle name="Normal 2 2 4 31 4 5" xfId="23924" xr:uid="{00000000-0005-0000-0000-0000745D0000}"/>
    <cellStyle name="Normal 2 2 4 31 4 6" xfId="23925" xr:uid="{00000000-0005-0000-0000-0000755D0000}"/>
    <cellStyle name="Normal 2 2 4 31 4 7" xfId="23926" xr:uid="{00000000-0005-0000-0000-0000765D0000}"/>
    <cellStyle name="Normal 2 2 4 31 4 8" xfId="23927" xr:uid="{00000000-0005-0000-0000-0000775D0000}"/>
    <cellStyle name="Normal 2 2 4 31 4 9" xfId="23928" xr:uid="{00000000-0005-0000-0000-0000785D0000}"/>
    <cellStyle name="Normal 2 2 4 31 5" xfId="23929" xr:uid="{00000000-0005-0000-0000-0000795D0000}"/>
    <cellStyle name="Normal 2 2 4 31 5 10" xfId="23930" xr:uid="{00000000-0005-0000-0000-00007A5D0000}"/>
    <cellStyle name="Normal 2 2 4 31 5 2" xfId="23931" xr:uid="{00000000-0005-0000-0000-00007B5D0000}"/>
    <cellStyle name="Normal 2 2 4 31 5 3" xfId="23932" xr:uid="{00000000-0005-0000-0000-00007C5D0000}"/>
    <cellStyle name="Normal 2 2 4 31 5 4" xfId="23933" xr:uid="{00000000-0005-0000-0000-00007D5D0000}"/>
    <cellStyle name="Normal 2 2 4 31 5 5" xfId="23934" xr:uid="{00000000-0005-0000-0000-00007E5D0000}"/>
    <cellStyle name="Normal 2 2 4 31 5 6" xfId="23935" xr:uid="{00000000-0005-0000-0000-00007F5D0000}"/>
    <cellStyle name="Normal 2 2 4 31 5 7" xfId="23936" xr:uid="{00000000-0005-0000-0000-0000805D0000}"/>
    <cellStyle name="Normal 2 2 4 31 5 8" xfId="23937" xr:uid="{00000000-0005-0000-0000-0000815D0000}"/>
    <cellStyle name="Normal 2 2 4 31 5 9" xfId="23938" xr:uid="{00000000-0005-0000-0000-0000825D0000}"/>
    <cellStyle name="Normal 2 2 4 31 6" xfId="23939" xr:uid="{00000000-0005-0000-0000-0000835D0000}"/>
    <cellStyle name="Normal 2 2 4 31 7" xfId="23940" xr:uid="{00000000-0005-0000-0000-0000845D0000}"/>
    <cellStyle name="Normal 2 2 4 31 8" xfId="23941" xr:uid="{00000000-0005-0000-0000-0000855D0000}"/>
    <cellStyle name="Normal 2 2 4 31 9" xfId="23942" xr:uid="{00000000-0005-0000-0000-0000865D0000}"/>
    <cellStyle name="Normal 2 2 4 32" xfId="23943" xr:uid="{00000000-0005-0000-0000-0000875D0000}"/>
    <cellStyle name="Normal 2 2 4 32 10" xfId="23944" xr:uid="{00000000-0005-0000-0000-0000885D0000}"/>
    <cellStyle name="Normal 2 2 4 32 11" xfId="23945" xr:uid="{00000000-0005-0000-0000-0000895D0000}"/>
    <cellStyle name="Normal 2 2 4 32 12" xfId="23946" xr:uid="{00000000-0005-0000-0000-00008A5D0000}"/>
    <cellStyle name="Normal 2 2 4 32 13" xfId="23947" xr:uid="{00000000-0005-0000-0000-00008B5D0000}"/>
    <cellStyle name="Normal 2 2 4 32 14" xfId="23948" xr:uid="{00000000-0005-0000-0000-00008C5D0000}"/>
    <cellStyle name="Normal 2 2 4 32 2" xfId="23949" xr:uid="{00000000-0005-0000-0000-00008D5D0000}"/>
    <cellStyle name="Normal 2 2 4 32 2 10" xfId="23950" xr:uid="{00000000-0005-0000-0000-00008E5D0000}"/>
    <cellStyle name="Normal 2 2 4 32 2 2" xfId="23951" xr:uid="{00000000-0005-0000-0000-00008F5D0000}"/>
    <cellStyle name="Normal 2 2 4 32 2 3" xfId="23952" xr:uid="{00000000-0005-0000-0000-0000905D0000}"/>
    <cellStyle name="Normal 2 2 4 32 2 4" xfId="23953" xr:uid="{00000000-0005-0000-0000-0000915D0000}"/>
    <cellStyle name="Normal 2 2 4 32 2 5" xfId="23954" xr:uid="{00000000-0005-0000-0000-0000925D0000}"/>
    <cellStyle name="Normal 2 2 4 32 2 6" xfId="23955" xr:uid="{00000000-0005-0000-0000-0000935D0000}"/>
    <cellStyle name="Normal 2 2 4 32 2 7" xfId="23956" xr:uid="{00000000-0005-0000-0000-0000945D0000}"/>
    <cellStyle name="Normal 2 2 4 32 2 8" xfId="23957" xr:uid="{00000000-0005-0000-0000-0000955D0000}"/>
    <cellStyle name="Normal 2 2 4 32 2 9" xfId="23958" xr:uid="{00000000-0005-0000-0000-0000965D0000}"/>
    <cellStyle name="Normal 2 2 4 32 3" xfId="23959" xr:uid="{00000000-0005-0000-0000-0000975D0000}"/>
    <cellStyle name="Normal 2 2 4 32 3 10" xfId="23960" xr:uid="{00000000-0005-0000-0000-0000985D0000}"/>
    <cellStyle name="Normal 2 2 4 32 3 2" xfId="23961" xr:uid="{00000000-0005-0000-0000-0000995D0000}"/>
    <cellStyle name="Normal 2 2 4 32 3 3" xfId="23962" xr:uid="{00000000-0005-0000-0000-00009A5D0000}"/>
    <cellStyle name="Normal 2 2 4 32 3 4" xfId="23963" xr:uid="{00000000-0005-0000-0000-00009B5D0000}"/>
    <cellStyle name="Normal 2 2 4 32 3 5" xfId="23964" xr:uid="{00000000-0005-0000-0000-00009C5D0000}"/>
    <cellStyle name="Normal 2 2 4 32 3 6" xfId="23965" xr:uid="{00000000-0005-0000-0000-00009D5D0000}"/>
    <cellStyle name="Normal 2 2 4 32 3 7" xfId="23966" xr:uid="{00000000-0005-0000-0000-00009E5D0000}"/>
    <cellStyle name="Normal 2 2 4 32 3 8" xfId="23967" xr:uid="{00000000-0005-0000-0000-00009F5D0000}"/>
    <cellStyle name="Normal 2 2 4 32 3 9" xfId="23968" xr:uid="{00000000-0005-0000-0000-0000A05D0000}"/>
    <cellStyle name="Normal 2 2 4 32 4" xfId="23969" xr:uid="{00000000-0005-0000-0000-0000A15D0000}"/>
    <cellStyle name="Normal 2 2 4 32 4 10" xfId="23970" xr:uid="{00000000-0005-0000-0000-0000A25D0000}"/>
    <cellStyle name="Normal 2 2 4 32 4 2" xfId="23971" xr:uid="{00000000-0005-0000-0000-0000A35D0000}"/>
    <cellStyle name="Normal 2 2 4 32 4 3" xfId="23972" xr:uid="{00000000-0005-0000-0000-0000A45D0000}"/>
    <cellStyle name="Normal 2 2 4 32 4 4" xfId="23973" xr:uid="{00000000-0005-0000-0000-0000A55D0000}"/>
    <cellStyle name="Normal 2 2 4 32 4 5" xfId="23974" xr:uid="{00000000-0005-0000-0000-0000A65D0000}"/>
    <cellStyle name="Normal 2 2 4 32 4 6" xfId="23975" xr:uid="{00000000-0005-0000-0000-0000A75D0000}"/>
    <cellStyle name="Normal 2 2 4 32 4 7" xfId="23976" xr:uid="{00000000-0005-0000-0000-0000A85D0000}"/>
    <cellStyle name="Normal 2 2 4 32 4 8" xfId="23977" xr:uid="{00000000-0005-0000-0000-0000A95D0000}"/>
    <cellStyle name="Normal 2 2 4 32 4 9" xfId="23978" xr:uid="{00000000-0005-0000-0000-0000AA5D0000}"/>
    <cellStyle name="Normal 2 2 4 32 5" xfId="23979" xr:uid="{00000000-0005-0000-0000-0000AB5D0000}"/>
    <cellStyle name="Normal 2 2 4 32 5 10" xfId="23980" xr:uid="{00000000-0005-0000-0000-0000AC5D0000}"/>
    <cellStyle name="Normal 2 2 4 32 5 2" xfId="23981" xr:uid="{00000000-0005-0000-0000-0000AD5D0000}"/>
    <cellStyle name="Normal 2 2 4 32 5 3" xfId="23982" xr:uid="{00000000-0005-0000-0000-0000AE5D0000}"/>
    <cellStyle name="Normal 2 2 4 32 5 4" xfId="23983" xr:uid="{00000000-0005-0000-0000-0000AF5D0000}"/>
    <cellStyle name="Normal 2 2 4 32 5 5" xfId="23984" xr:uid="{00000000-0005-0000-0000-0000B05D0000}"/>
    <cellStyle name="Normal 2 2 4 32 5 6" xfId="23985" xr:uid="{00000000-0005-0000-0000-0000B15D0000}"/>
    <cellStyle name="Normal 2 2 4 32 5 7" xfId="23986" xr:uid="{00000000-0005-0000-0000-0000B25D0000}"/>
    <cellStyle name="Normal 2 2 4 32 5 8" xfId="23987" xr:uid="{00000000-0005-0000-0000-0000B35D0000}"/>
    <cellStyle name="Normal 2 2 4 32 5 9" xfId="23988" xr:uid="{00000000-0005-0000-0000-0000B45D0000}"/>
    <cellStyle name="Normal 2 2 4 32 6" xfId="23989" xr:uid="{00000000-0005-0000-0000-0000B55D0000}"/>
    <cellStyle name="Normal 2 2 4 32 7" xfId="23990" xr:uid="{00000000-0005-0000-0000-0000B65D0000}"/>
    <cellStyle name="Normal 2 2 4 32 8" xfId="23991" xr:uid="{00000000-0005-0000-0000-0000B75D0000}"/>
    <cellStyle name="Normal 2 2 4 32 9" xfId="23992" xr:uid="{00000000-0005-0000-0000-0000B85D0000}"/>
    <cellStyle name="Normal 2 2 4 33" xfId="23993" xr:uid="{00000000-0005-0000-0000-0000B95D0000}"/>
    <cellStyle name="Normal 2 2 4 33 10" xfId="23994" xr:uid="{00000000-0005-0000-0000-0000BA5D0000}"/>
    <cellStyle name="Normal 2 2 4 33 11" xfId="23995" xr:uid="{00000000-0005-0000-0000-0000BB5D0000}"/>
    <cellStyle name="Normal 2 2 4 33 12" xfId="23996" xr:uid="{00000000-0005-0000-0000-0000BC5D0000}"/>
    <cellStyle name="Normal 2 2 4 33 13" xfId="23997" xr:uid="{00000000-0005-0000-0000-0000BD5D0000}"/>
    <cellStyle name="Normal 2 2 4 33 14" xfId="23998" xr:uid="{00000000-0005-0000-0000-0000BE5D0000}"/>
    <cellStyle name="Normal 2 2 4 33 2" xfId="23999" xr:uid="{00000000-0005-0000-0000-0000BF5D0000}"/>
    <cellStyle name="Normal 2 2 4 33 2 10" xfId="24000" xr:uid="{00000000-0005-0000-0000-0000C05D0000}"/>
    <cellStyle name="Normal 2 2 4 33 2 2" xfId="24001" xr:uid="{00000000-0005-0000-0000-0000C15D0000}"/>
    <cellStyle name="Normal 2 2 4 33 2 3" xfId="24002" xr:uid="{00000000-0005-0000-0000-0000C25D0000}"/>
    <cellStyle name="Normal 2 2 4 33 2 4" xfId="24003" xr:uid="{00000000-0005-0000-0000-0000C35D0000}"/>
    <cellStyle name="Normal 2 2 4 33 2 5" xfId="24004" xr:uid="{00000000-0005-0000-0000-0000C45D0000}"/>
    <cellStyle name="Normal 2 2 4 33 2 6" xfId="24005" xr:uid="{00000000-0005-0000-0000-0000C55D0000}"/>
    <cellStyle name="Normal 2 2 4 33 2 7" xfId="24006" xr:uid="{00000000-0005-0000-0000-0000C65D0000}"/>
    <cellStyle name="Normal 2 2 4 33 2 8" xfId="24007" xr:uid="{00000000-0005-0000-0000-0000C75D0000}"/>
    <cellStyle name="Normal 2 2 4 33 2 9" xfId="24008" xr:uid="{00000000-0005-0000-0000-0000C85D0000}"/>
    <cellStyle name="Normal 2 2 4 33 3" xfId="24009" xr:uid="{00000000-0005-0000-0000-0000C95D0000}"/>
    <cellStyle name="Normal 2 2 4 33 3 10" xfId="24010" xr:uid="{00000000-0005-0000-0000-0000CA5D0000}"/>
    <cellStyle name="Normal 2 2 4 33 3 2" xfId="24011" xr:uid="{00000000-0005-0000-0000-0000CB5D0000}"/>
    <cellStyle name="Normal 2 2 4 33 3 3" xfId="24012" xr:uid="{00000000-0005-0000-0000-0000CC5D0000}"/>
    <cellStyle name="Normal 2 2 4 33 3 4" xfId="24013" xr:uid="{00000000-0005-0000-0000-0000CD5D0000}"/>
    <cellStyle name="Normal 2 2 4 33 3 5" xfId="24014" xr:uid="{00000000-0005-0000-0000-0000CE5D0000}"/>
    <cellStyle name="Normal 2 2 4 33 3 6" xfId="24015" xr:uid="{00000000-0005-0000-0000-0000CF5D0000}"/>
    <cellStyle name="Normal 2 2 4 33 3 7" xfId="24016" xr:uid="{00000000-0005-0000-0000-0000D05D0000}"/>
    <cellStyle name="Normal 2 2 4 33 3 8" xfId="24017" xr:uid="{00000000-0005-0000-0000-0000D15D0000}"/>
    <cellStyle name="Normal 2 2 4 33 3 9" xfId="24018" xr:uid="{00000000-0005-0000-0000-0000D25D0000}"/>
    <cellStyle name="Normal 2 2 4 33 4" xfId="24019" xr:uid="{00000000-0005-0000-0000-0000D35D0000}"/>
    <cellStyle name="Normal 2 2 4 33 4 10" xfId="24020" xr:uid="{00000000-0005-0000-0000-0000D45D0000}"/>
    <cellStyle name="Normal 2 2 4 33 4 2" xfId="24021" xr:uid="{00000000-0005-0000-0000-0000D55D0000}"/>
    <cellStyle name="Normal 2 2 4 33 4 3" xfId="24022" xr:uid="{00000000-0005-0000-0000-0000D65D0000}"/>
    <cellStyle name="Normal 2 2 4 33 4 4" xfId="24023" xr:uid="{00000000-0005-0000-0000-0000D75D0000}"/>
    <cellStyle name="Normal 2 2 4 33 4 5" xfId="24024" xr:uid="{00000000-0005-0000-0000-0000D85D0000}"/>
    <cellStyle name="Normal 2 2 4 33 4 6" xfId="24025" xr:uid="{00000000-0005-0000-0000-0000D95D0000}"/>
    <cellStyle name="Normal 2 2 4 33 4 7" xfId="24026" xr:uid="{00000000-0005-0000-0000-0000DA5D0000}"/>
    <cellStyle name="Normal 2 2 4 33 4 8" xfId="24027" xr:uid="{00000000-0005-0000-0000-0000DB5D0000}"/>
    <cellStyle name="Normal 2 2 4 33 4 9" xfId="24028" xr:uid="{00000000-0005-0000-0000-0000DC5D0000}"/>
    <cellStyle name="Normal 2 2 4 33 5" xfId="24029" xr:uid="{00000000-0005-0000-0000-0000DD5D0000}"/>
    <cellStyle name="Normal 2 2 4 33 5 10" xfId="24030" xr:uid="{00000000-0005-0000-0000-0000DE5D0000}"/>
    <cellStyle name="Normal 2 2 4 33 5 2" xfId="24031" xr:uid="{00000000-0005-0000-0000-0000DF5D0000}"/>
    <cellStyle name="Normal 2 2 4 33 5 3" xfId="24032" xr:uid="{00000000-0005-0000-0000-0000E05D0000}"/>
    <cellStyle name="Normal 2 2 4 33 5 4" xfId="24033" xr:uid="{00000000-0005-0000-0000-0000E15D0000}"/>
    <cellStyle name="Normal 2 2 4 33 5 5" xfId="24034" xr:uid="{00000000-0005-0000-0000-0000E25D0000}"/>
    <cellStyle name="Normal 2 2 4 33 5 6" xfId="24035" xr:uid="{00000000-0005-0000-0000-0000E35D0000}"/>
    <cellStyle name="Normal 2 2 4 33 5 7" xfId="24036" xr:uid="{00000000-0005-0000-0000-0000E45D0000}"/>
    <cellStyle name="Normal 2 2 4 33 5 8" xfId="24037" xr:uid="{00000000-0005-0000-0000-0000E55D0000}"/>
    <cellStyle name="Normal 2 2 4 33 5 9" xfId="24038" xr:uid="{00000000-0005-0000-0000-0000E65D0000}"/>
    <cellStyle name="Normal 2 2 4 33 6" xfId="24039" xr:uid="{00000000-0005-0000-0000-0000E75D0000}"/>
    <cellStyle name="Normal 2 2 4 33 7" xfId="24040" xr:uid="{00000000-0005-0000-0000-0000E85D0000}"/>
    <cellStyle name="Normal 2 2 4 33 8" xfId="24041" xr:uid="{00000000-0005-0000-0000-0000E95D0000}"/>
    <cellStyle name="Normal 2 2 4 33 9" xfId="24042" xr:uid="{00000000-0005-0000-0000-0000EA5D0000}"/>
    <cellStyle name="Normal 2 2 4 34" xfId="24043" xr:uid="{00000000-0005-0000-0000-0000EB5D0000}"/>
    <cellStyle name="Normal 2 2 4 35" xfId="24044" xr:uid="{00000000-0005-0000-0000-0000EC5D0000}"/>
    <cellStyle name="Normal 2 2 4 36" xfId="24045" xr:uid="{00000000-0005-0000-0000-0000ED5D0000}"/>
    <cellStyle name="Normal 2 2 4 37" xfId="21773" xr:uid="{00000000-0005-0000-0000-00000D550000}"/>
    <cellStyle name="Normal 2 2 4 4" xfId="24046" xr:uid="{00000000-0005-0000-0000-0000EE5D0000}"/>
    <cellStyle name="Normal 2 2 4 4 10" xfId="24047" xr:uid="{00000000-0005-0000-0000-0000EF5D0000}"/>
    <cellStyle name="Normal 2 2 4 4 11" xfId="24048" xr:uid="{00000000-0005-0000-0000-0000F05D0000}"/>
    <cellStyle name="Normal 2 2 4 4 12" xfId="24049" xr:uid="{00000000-0005-0000-0000-0000F15D0000}"/>
    <cellStyle name="Normal 2 2 4 4 13" xfId="24050" xr:uid="{00000000-0005-0000-0000-0000F25D0000}"/>
    <cellStyle name="Normal 2 2 4 4 14" xfId="24051" xr:uid="{00000000-0005-0000-0000-0000F35D0000}"/>
    <cellStyle name="Normal 2 2 4 4 2" xfId="24052" xr:uid="{00000000-0005-0000-0000-0000F45D0000}"/>
    <cellStyle name="Normal 2 2 4 4 2 10" xfId="24053" xr:uid="{00000000-0005-0000-0000-0000F55D0000}"/>
    <cellStyle name="Normal 2 2 4 4 2 2" xfId="24054" xr:uid="{00000000-0005-0000-0000-0000F65D0000}"/>
    <cellStyle name="Normal 2 2 4 4 2 3" xfId="24055" xr:uid="{00000000-0005-0000-0000-0000F75D0000}"/>
    <cellStyle name="Normal 2 2 4 4 2 4" xfId="24056" xr:uid="{00000000-0005-0000-0000-0000F85D0000}"/>
    <cellStyle name="Normal 2 2 4 4 2 5" xfId="24057" xr:uid="{00000000-0005-0000-0000-0000F95D0000}"/>
    <cellStyle name="Normal 2 2 4 4 2 6" xfId="24058" xr:uid="{00000000-0005-0000-0000-0000FA5D0000}"/>
    <cellStyle name="Normal 2 2 4 4 2 7" xfId="24059" xr:uid="{00000000-0005-0000-0000-0000FB5D0000}"/>
    <cellStyle name="Normal 2 2 4 4 2 8" xfId="24060" xr:uid="{00000000-0005-0000-0000-0000FC5D0000}"/>
    <cellStyle name="Normal 2 2 4 4 2 9" xfId="24061" xr:uid="{00000000-0005-0000-0000-0000FD5D0000}"/>
    <cellStyle name="Normal 2 2 4 4 3" xfId="24062" xr:uid="{00000000-0005-0000-0000-0000FE5D0000}"/>
    <cellStyle name="Normal 2 2 4 4 3 10" xfId="24063" xr:uid="{00000000-0005-0000-0000-0000FF5D0000}"/>
    <cellStyle name="Normal 2 2 4 4 3 2" xfId="24064" xr:uid="{00000000-0005-0000-0000-0000005E0000}"/>
    <cellStyle name="Normal 2 2 4 4 3 3" xfId="24065" xr:uid="{00000000-0005-0000-0000-0000015E0000}"/>
    <cellStyle name="Normal 2 2 4 4 3 4" xfId="24066" xr:uid="{00000000-0005-0000-0000-0000025E0000}"/>
    <cellStyle name="Normal 2 2 4 4 3 5" xfId="24067" xr:uid="{00000000-0005-0000-0000-0000035E0000}"/>
    <cellStyle name="Normal 2 2 4 4 3 6" xfId="24068" xr:uid="{00000000-0005-0000-0000-0000045E0000}"/>
    <cellStyle name="Normal 2 2 4 4 3 7" xfId="24069" xr:uid="{00000000-0005-0000-0000-0000055E0000}"/>
    <cellStyle name="Normal 2 2 4 4 3 8" xfId="24070" xr:uid="{00000000-0005-0000-0000-0000065E0000}"/>
    <cellStyle name="Normal 2 2 4 4 3 9" xfId="24071" xr:uid="{00000000-0005-0000-0000-0000075E0000}"/>
    <cellStyle name="Normal 2 2 4 4 4" xfId="24072" xr:uid="{00000000-0005-0000-0000-0000085E0000}"/>
    <cellStyle name="Normal 2 2 4 4 4 10" xfId="24073" xr:uid="{00000000-0005-0000-0000-0000095E0000}"/>
    <cellStyle name="Normal 2 2 4 4 4 2" xfId="24074" xr:uid="{00000000-0005-0000-0000-00000A5E0000}"/>
    <cellStyle name="Normal 2 2 4 4 4 3" xfId="24075" xr:uid="{00000000-0005-0000-0000-00000B5E0000}"/>
    <cellStyle name="Normal 2 2 4 4 4 4" xfId="24076" xr:uid="{00000000-0005-0000-0000-00000C5E0000}"/>
    <cellStyle name="Normal 2 2 4 4 4 5" xfId="24077" xr:uid="{00000000-0005-0000-0000-00000D5E0000}"/>
    <cellStyle name="Normal 2 2 4 4 4 6" xfId="24078" xr:uid="{00000000-0005-0000-0000-00000E5E0000}"/>
    <cellStyle name="Normal 2 2 4 4 4 7" xfId="24079" xr:uid="{00000000-0005-0000-0000-00000F5E0000}"/>
    <cellStyle name="Normal 2 2 4 4 4 8" xfId="24080" xr:uid="{00000000-0005-0000-0000-0000105E0000}"/>
    <cellStyle name="Normal 2 2 4 4 4 9" xfId="24081" xr:uid="{00000000-0005-0000-0000-0000115E0000}"/>
    <cellStyle name="Normal 2 2 4 4 5" xfId="24082" xr:uid="{00000000-0005-0000-0000-0000125E0000}"/>
    <cellStyle name="Normal 2 2 4 4 5 10" xfId="24083" xr:uid="{00000000-0005-0000-0000-0000135E0000}"/>
    <cellStyle name="Normal 2 2 4 4 5 2" xfId="24084" xr:uid="{00000000-0005-0000-0000-0000145E0000}"/>
    <cellStyle name="Normal 2 2 4 4 5 3" xfId="24085" xr:uid="{00000000-0005-0000-0000-0000155E0000}"/>
    <cellStyle name="Normal 2 2 4 4 5 4" xfId="24086" xr:uid="{00000000-0005-0000-0000-0000165E0000}"/>
    <cellStyle name="Normal 2 2 4 4 5 5" xfId="24087" xr:uid="{00000000-0005-0000-0000-0000175E0000}"/>
    <cellStyle name="Normal 2 2 4 4 5 6" xfId="24088" xr:uid="{00000000-0005-0000-0000-0000185E0000}"/>
    <cellStyle name="Normal 2 2 4 4 5 7" xfId="24089" xr:uid="{00000000-0005-0000-0000-0000195E0000}"/>
    <cellStyle name="Normal 2 2 4 4 5 8" xfId="24090" xr:uid="{00000000-0005-0000-0000-00001A5E0000}"/>
    <cellStyle name="Normal 2 2 4 4 5 9" xfId="24091" xr:uid="{00000000-0005-0000-0000-00001B5E0000}"/>
    <cellStyle name="Normal 2 2 4 4 6" xfId="24092" xr:uid="{00000000-0005-0000-0000-00001C5E0000}"/>
    <cellStyle name="Normal 2 2 4 4 7" xfId="24093" xr:uid="{00000000-0005-0000-0000-00001D5E0000}"/>
    <cellStyle name="Normal 2 2 4 4 8" xfId="24094" xr:uid="{00000000-0005-0000-0000-00001E5E0000}"/>
    <cellStyle name="Normal 2 2 4 4 9" xfId="24095" xr:uid="{00000000-0005-0000-0000-00001F5E0000}"/>
    <cellStyle name="Normal 2 2 4 5" xfId="24096" xr:uid="{00000000-0005-0000-0000-0000205E0000}"/>
    <cellStyle name="Normal 2 2 4 5 10" xfId="24097" xr:uid="{00000000-0005-0000-0000-0000215E0000}"/>
    <cellStyle name="Normal 2 2 4 5 11" xfId="24098" xr:uid="{00000000-0005-0000-0000-0000225E0000}"/>
    <cellStyle name="Normal 2 2 4 5 12" xfId="24099" xr:uid="{00000000-0005-0000-0000-0000235E0000}"/>
    <cellStyle name="Normal 2 2 4 5 13" xfId="24100" xr:uid="{00000000-0005-0000-0000-0000245E0000}"/>
    <cellStyle name="Normal 2 2 4 5 14" xfId="24101" xr:uid="{00000000-0005-0000-0000-0000255E0000}"/>
    <cellStyle name="Normal 2 2 4 5 2" xfId="24102" xr:uid="{00000000-0005-0000-0000-0000265E0000}"/>
    <cellStyle name="Normal 2 2 4 5 2 10" xfId="24103" xr:uid="{00000000-0005-0000-0000-0000275E0000}"/>
    <cellStyle name="Normal 2 2 4 5 2 2" xfId="24104" xr:uid="{00000000-0005-0000-0000-0000285E0000}"/>
    <cellStyle name="Normal 2 2 4 5 2 3" xfId="24105" xr:uid="{00000000-0005-0000-0000-0000295E0000}"/>
    <cellStyle name="Normal 2 2 4 5 2 4" xfId="24106" xr:uid="{00000000-0005-0000-0000-00002A5E0000}"/>
    <cellStyle name="Normal 2 2 4 5 2 5" xfId="24107" xr:uid="{00000000-0005-0000-0000-00002B5E0000}"/>
    <cellStyle name="Normal 2 2 4 5 2 6" xfId="24108" xr:uid="{00000000-0005-0000-0000-00002C5E0000}"/>
    <cellStyle name="Normal 2 2 4 5 2 7" xfId="24109" xr:uid="{00000000-0005-0000-0000-00002D5E0000}"/>
    <cellStyle name="Normal 2 2 4 5 2 8" xfId="24110" xr:uid="{00000000-0005-0000-0000-00002E5E0000}"/>
    <cellStyle name="Normal 2 2 4 5 2 9" xfId="24111" xr:uid="{00000000-0005-0000-0000-00002F5E0000}"/>
    <cellStyle name="Normal 2 2 4 5 3" xfId="24112" xr:uid="{00000000-0005-0000-0000-0000305E0000}"/>
    <cellStyle name="Normal 2 2 4 5 3 10" xfId="24113" xr:uid="{00000000-0005-0000-0000-0000315E0000}"/>
    <cellStyle name="Normal 2 2 4 5 3 2" xfId="24114" xr:uid="{00000000-0005-0000-0000-0000325E0000}"/>
    <cellStyle name="Normal 2 2 4 5 3 3" xfId="24115" xr:uid="{00000000-0005-0000-0000-0000335E0000}"/>
    <cellStyle name="Normal 2 2 4 5 3 4" xfId="24116" xr:uid="{00000000-0005-0000-0000-0000345E0000}"/>
    <cellStyle name="Normal 2 2 4 5 3 5" xfId="24117" xr:uid="{00000000-0005-0000-0000-0000355E0000}"/>
    <cellStyle name="Normal 2 2 4 5 3 6" xfId="24118" xr:uid="{00000000-0005-0000-0000-0000365E0000}"/>
    <cellStyle name="Normal 2 2 4 5 3 7" xfId="24119" xr:uid="{00000000-0005-0000-0000-0000375E0000}"/>
    <cellStyle name="Normal 2 2 4 5 3 8" xfId="24120" xr:uid="{00000000-0005-0000-0000-0000385E0000}"/>
    <cellStyle name="Normal 2 2 4 5 3 9" xfId="24121" xr:uid="{00000000-0005-0000-0000-0000395E0000}"/>
    <cellStyle name="Normal 2 2 4 5 4" xfId="24122" xr:uid="{00000000-0005-0000-0000-00003A5E0000}"/>
    <cellStyle name="Normal 2 2 4 5 4 10" xfId="24123" xr:uid="{00000000-0005-0000-0000-00003B5E0000}"/>
    <cellStyle name="Normal 2 2 4 5 4 2" xfId="24124" xr:uid="{00000000-0005-0000-0000-00003C5E0000}"/>
    <cellStyle name="Normal 2 2 4 5 4 3" xfId="24125" xr:uid="{00000000-0005-0000-0000-00003D5E0000}"/>
    <cellStyle name="Normal 2 2 4 5 4 4" xfId="24126" xr:uid="{00000000-0005-0000-0000-00003E5E0000}"/>
    <cellStyle name="Normal 2 2 4 5 4 5" xfId="24127" xr:uid="{00000000-0005-0000-0000-00003F5E0000}"/>
    <cellStyle name="Normal 2 2 4 5 4 6" xfId="24128" xr:uid="{00000000-0005-0000-0000-0000405E0000}"/>
    <cellStyle name="Normal 2 2 4 5 4 7" xfId="24129" xr:uid="{00000000-0005-0000-0000-0000415E0000}"/>
    <cellStyle name="Normal 2 2 4 5 4 8" xfId="24130" xr:uid="{00000000-0005-0000-0000-0000425E0000}"/>
    <cellStyle name="Normal 2 2 4 5 4 9" xfId="24131" xr:uid="{00000000-0005-0000-0000-0000435E0000}"/>
    <cellStyle name="Normal 2 2 4 5 5" xfId="24132" xr:uid="{00000000-0005-0000-0000-0000445E0000}"/>
    <cellStyle name="Normal 2 2 4 5 5 10" xfId="24133" xr:uid="{00000000-0005-0000-0000-0000455E0000}"/>
    <cellStyle name="Normal 2 2 4 5 5 2" xfId="24134" xr:uid="{00000000-0005-0000-0000-0000465E0000}"/>
    <cellStyle name="Normal 2 2 4 5 5 3" xfId="24135" xr:uid="{00000000-0005-0000-0000-0000475E0000}"/>
    <cellStyle name="Normal 2 2 4 5 5 4" xfId="24136" xr:uid="{00000000-0005-0000-0000-0000485E0000}"/>
    <cellStyle name="Normal 2 2 4 5 5 5" xfId="24137" xr:uid="{00000000-0005-0000-0000-0000495E0000}"/>
    <cellStyle name="Normal 2 2 4 5 5 6" xfId="24138" xr:uid="{00000000-0005-0000-0000-00004A5E0000}"/>
    <cellStyle name="Normal 2 2 4 5 5 7" xfId="24139" xr:uid="{00000000-0005-0000-0000-00004B5E0000}"/>
    <cellStyle name="Normal 2 2 4 5 5 8" xfId="24140" xr:uid="{00000000-0005-0000-0000-00004C5E0000}"/>
    <cellStyle name="Normal 2 2 4 5 5 9" xfId="24141" xr:uid="{00000000-0005-0000-0000-00004D5E0000}"/>
    <cellStyle name="Normal 2 2 4 5 6" xfId="24142" xr:uid="{00000000-0005-0000-0000-00004E5E0000}"/>
    <cellStyle name="Normal 2 2 4 5 7" xfId="24143" xr:uid="{00000000-0005-0000-0000-00004F5E0000}"/>
    <cellStyle name="Normal 2 2 4 5 8" xfId="24144" xr:uid="{00000000-0005-0000-0000-0000505E0000}"/>
    <cellStyle name="Normal 2 2 4 5 9" xfId="24145" xr:uid="{00000000-0005-0000-0000-0000515E0000}"/>
    <cellStyle name="Normal 2 2 4 6" xfId="24146" xr:uid="{00000000-0005-0000-0000-0000525E0000}"/>
    <cellStyle name="Normal 2 2 4 6 10" xfId="24147" xr:uid="{00000000-0005-0000-0000-0000535E0000}"/>
    <cellStyle name="Normal 2 2 4 6 11" xfId="24148" xr:uid="{00000000-0005-0000-0000-0000545E0000}"/>
    <cellStyle name="Normal 2 2 4 6 12" xfId="24149" xr:uid="{00000000-0005-0000-0000-0000555E0000}"/>
    <cellStyle name="Normal 2 2 4 6 13" xfId="24150" xr:uid="{00000000-0005-0000-0000-0000565E0000}"/>
    <cellStyle name="Normal 2 2 4 6 14" xfId="24151" xr:uid="{00000000-0005-0000-0000-0000575E0000}"/>
    <cellStyle name="Normal 2 2 4 6 2" xfId="24152" xr:uid="{00000000-0005-0000-0000-0000585E0000}"/>
    <cellStyle name="Normal 2 2 4 6 2 10" xfId="24153" xr:uid="{00000000-0005-0000-0000-0000595E0000}"/>
    <cellStyle name="Normal 2 2 4 6 2 2" xfId="24154" xr:uid="{00000000-0005-0000-0000-00005A5E0000}"/>
    <cellStyle name="Normal 2 2 4 6 2 3" xfId="24155" xr:uid="{00000000-0005-0000-0000-00005B5E0000}"/>
    <cellStyle name="Normal 2 2 4 6 2 4" xfId="24156" xr:uid="{00000000-0005-0000-0000-00005C5E0000}"/>
    <cellStyle name="Normal 2 2 4 6 2 5" xfId="24157" xr:uid="{00000000-0005-0000-0000-00005D5E0000}"/>
    <cellStyle name="Normal 2 2 4 6 2 6" xfId="24158" xr:uid="{00000000-0005-0000-0000-00005E5E0000}"/>
    <cellStyle name="Normal 2 2 4 6 2 7" xfId="24159" xr:uid="{00000000-0005-0000-0000-00005F5E0000}"/>
    <cellStyle name="Normal 2 2 4 6 2 8" xfId="24160" xr:uid="{00000000-0005-0000-0000-0000605E0000}"/>
    <cellStyle name="Normal 2 2 4 6 2 9" xfId="24161" xr:uid="{00000000-0005-0000-0000-0000615E0000}"/>
    <cellStyle name="Normal 2 2 4 6 3" xfId="24162" xr:uid="{00000000-0005-0000-0000-0000625E0000}"/>
    <cellStyle name="Normal 2 2 4 6 3 10" xfId="24163" xr:uid="{00000000-0005-0000-0000-0000635E0000}"/>
    <cellStyle name="Normal 2 2 4 6 3 2" xfId="24164" xr:uid="{00000000-0005-0000-0000-0000645E0000}"/>
    <cellStyle name="Normal 2 2 4 6 3 3" xfId="24165" xr:uid="{00000000-0005-0000-0000-0000655E0000}"/>
    <cellStyle name="Normal 2 2 4 6 3 4" xfId="24166" xr:uid="{00000000-0005-0000-0000-0000665E0000}"/>
    <cellStyle name="Normal 2 2 4 6 3 5" xfId="24167" xr:uid="{00000000-0005-0000-0000-0000675E0000}"/>
    <cellStyle name="Normal 2 2 4 6 3 6" xfId="24168" xr:uid="{00000000-0005-0000-0000-0000685E0000}"/>
    <cellStyle name="Normal 2 2 4 6 3 7" xfId="24169" xr:uid="{00000000-0005-0000-0000-0000695E0000}"/>
    <cellStyle name="Normal 2 2 4 6 3 8" xfId="24170" xr:uid="{00000000-0005-0000-0000-00006A5E0000}"/>
    <cellStyle name="Normal 2 2 4 6 3 9" xfId="24171" xr:uid="{00000000-0005-0000-0000-00006B5E0000}"/>
    <cellStyle name="Normal 2 2 4 6 4" xfId="24172" xr:uid="{00000000-0005-0000-0000-00006C5E0000}"/>
    <cellStyle name="Normal 2 2 4 6 4 10" xfId="24173" xr:uid="{00000000-0005-0000-0000-00006D5E0000}"/>
    <cellStyle name="Normal 2 2 4 6 4 2" xfId="24174" xr:uid="{00000000-0005-0000-0000-00006E5E0000}"/>
    <cellStyle name="Normal 2 2 4 6 4 3" xfId="24175" xr:uid="{00000000-0005-0000-0000-00006F5E0000}"/>
    <cellStyle name="Normal 2 2 4 6 4 4" xfId="24176" xr:uid="{00000000-0005-0000-0000-0000705E0000}"/>
    <cellStyle name="Normal 2 2 4 6 4 5" xfId="24177" xr:uid="{00000000-0005-0000-0000-0000715E0000}"/>
    <cellStyle name="Normal 2 2 4 6 4 6" xfId="24178" xr:uid="{00000000-0005-0000-0000-0000725E0000}"/>
    <cellStyle name="Normal 2 2 4 6 4 7" xfId="24179" xr:uid="{00000000-0005-0000-0000-0000735E0000}"/>
    <cellStyle name="Normal 2 2 4 6 4 8" xfId="24180" xr:uid="{00000000-0005-0000-0000-0000745E0000}"/>
    <cellStyle name="Normal 2 2 4 6 4 9" xfId="24181" xr:uid="{00000000-0005-0000-0000-0000755E0000}"/>
    <cellStyle name="Normal 2 2 4 6 5" xfId="24182" xr:uid="{00000000-0005-0000-0000-0000765E0000}"/>
    <cellStyle name="Normal 2 2 4 6 5 10" xfId="24183" xr:uid="{00000000-0005-0000-0000-0000775E0000}"/>
    <cellStyle name="Normal 2 2 4 6 5 2" xfId="24184" xr:uid="{00000000-0005-0000-0000-0000785E0000}"/>
    <cellStyle name="Normal 2 2 4 6 5 3" xfId="24185" xr:uid="{00000000-0005-0000-0000-0000795E0000}"/>
    <cellStyle name="Normal 2 2 4 6 5 4" xfId="24186" xr:uid="{00000000-0005-0000-0000-00007A5E0000}"/>
    <cellStyle name="Normal 2 2 4 6 5 5" xfId="24187" xr:uid="{00000000-0005-0000-0000-00007B5E0000}"/>
    <cellStyle name="Normal 2 2 4 6 5 6" xfId="24188" xr:uid="{00000000-0005-0000-0000-00007C5E0000}"/>
    <cellStyle name="Normal 2 2 4 6 5 7" xfId="24189" xr:uid="{00000000-0005-0000-0000-00007D5E0000}"/>
    <cellStyle name="Normal 2 2 4 6 5 8" xfId="24190" xr:uid="{00000000-0005-0000-0000-00007E5E0000}"/>
    <cellStyle name="Normal 2 2 4 6 5 9" xfId="24191" xr:uid="{00000000-0005-0000-0000-00007F5E0000}"/>
    <cellStyle name="Normal 2 2 4 6 6" xfId="24192" xr:uid="{00000000-0005-0000-0000-0000805E0000}"/>
    <cellStyle name="Normal 2 2 4 6 7" xfId="24193" xr:uid="{00000000-0005-0000-0000-0000815E0000}"/>
    <cellStyle name="Normal 2 2 4 6 8" xfId="24194" xr:uid="{00000000-0005-0000-0000-0000825E0000}"/>
    <cellStyle name="Normal 2 2 4 6 9" xfId="24195" xr:uid="{00000000-0005-0000-0000-0000835E0000}"/>
    <cellStyle name="Normal 2 2 4 7" xfId="24196" xr:uid="{00000000-0005-0000-0000-0000845E0000}"/>
    <cellStyle name="Normal 2 2 4 7 10" xfId="24197" xr:uid="{00000000-0005-0000-0000-0000855E0000}"/>
    <cellStyle name="Normal 2 2 4 7 11" xfId="24198" xr:uid="{00000000-0005-0000-0000-0000865E0000}"/>
    <cellStyle name="Normal 2 2 4 7 12" xfId="24199" xr:uid="{00000000-0005-0000-0000-0000875E0000}"/>
    <cellStyle name="Normal 2 2 4 7 13" xfId="24200" xr:uid="{00000000-0005-0000-0000-0000885E0000}"/>
    <cellStyle name="Normal 2 2 4 7 14" xfId="24201" xr:uid="{00000000-0005-0000-0000-0000895E0000}"/>
    <cellStyle name="Normal 2 2 4 7 2" xfId="24202" xr:uid="{00000000-0005-0000-0000-00008A5E0000}"/>
    <cellStyle name="Normal 2 2 4 7 2 10" xfId="24203" xr:uid="{00000000-0005-0000-0000-00008B5E0000}"/>
    <cellStyle name="Normal 2 2 4 7 2 2" xfId="24204" xr:uid="{00000000-0005-0000-0000-00008C5E0000}"/>
    <cellStyle name="Normal 2 2 4 7 2 3" xfId="24205" xr:uid="{00000000-0005-0000-0000-00008D5E0000}"/>
    <cellStyle name="Normal 2 2 4 7 2 4" xfId="24206" xr:uid="{00000000-0005-0000-0000-00008E5E0000}"/>
    <cellStyle name="Normal 2 2 4 7 2 5" xfId="24207" xr:uid="{00000000-0005-0000-0000-00008F5E0000}"/>
    <cellStyle name="Normal 2 2 4 7 2 6" xfId="24208" xr:uid="{00000000-0005-0000-0000-0000905E0000}"/>
    <cellStyle name="Normal 2 2 4 7 2 7" xfId="24209" xr:uid="{00000000-0005-0000-0000-0000915E0000}"/>
    <cellStyle name="Normal 2 2 4 7 2 8" xfId="24210" xr:uid="{00000000-0005-0000-0000-0000925E0000}"/>
    <cellStyle name="Normal 2 2 4 7 2 9" xfId="24211" xr:uid="{00000000-0005-0000-0000-0000935E0000}"/>
    <cellStyle name="Normal 2 2 4 7 3" xfId="24212" xr:uid="{00000000-0005-0000-0000-0000945E0000}"/>
    <cellStyle name="Normal 2 2 4 7 3 10" xfId="24213" xr:uid="{00000000-0005-0000-0000-0000955E0000}"/>
    <cellStyle name="Normal 2 2 4 7 3 2" xfId="24214" xr:uid="{00000000-0005-0000-0000-0000965E0000}"/>
    <cellStyle name="Normal 2 2 4 7 3 3" xfId="24215" xr:uid="{00000000-0005-0000-0000-0000975E0000}"/>
    <cellStyle name="Normal 2 2 4 7 3 4" xfId="24216" xr:uid="{00000000-0005-0000-0000-0000985E0000}"/>
    <cellStyle name="Normal 2 2 4 7 3 5" xfId="24217" xr:uid="{00000000-0005-0000-0000-0000995E0000}"/>
    <cellStyle name="Normal 2 2 4 7 3 6" xfId="24218" xr:uid="{00000000-0005-0000-0000-00009A5E0000}"/>
    <cellStyle name="Normal 2 2 4 7 3 7" xfId="24219" xr:uid="{00000000-0005-0000-0000-00009B5E0000}"/>
    <cellStyle name="Normal 2 2 4 7 3 8" xfId="24220" xr:uid="{00000000-0005-0000-0000-00009C5E0000}"/>
    <cellStyle name="Normal 2 2 4 7 3 9" xfId="24221" xr:uid="{00000000-0005-0000-0000-00009D5E0000}"/>
    <cellStyle name="Normal 2 2 4 7 4" xfId="24222" xr:uid="{00000000-0005-0000-0000-00009E5E0000}"/>
    <cellStyle name="Normal 2 2 4 7 4 10" xfId="24223" xr:uid="{00000000-0005-0000-0000-00009F5E0000}"/>
    <cellStyle name="Normal 2 2 4 7 4 2" xfId="24224" xr:uid="{00000000-0005-0000-0000-0000A05E0000}"/>
    <cellStyle name="Normal 2 2 4 7 4 3" xfId="24225" xr:uid="{00000000-0005-0000-0000-0000A15E0000}"/>
    <cellStyle name="Normal 2 2 4 7 4 4" xfId="24226" xr:uid="{00000000-0005-0000-0000-0000A25E0000}"/>
    <cellStyle name="Normal 2 2 4 7 4 5" xfId="24227" xr:uid="{00000000-0005-0000-0000-0000A35E0000}"/>
    <cellStyle name="Normal 2 2 4 7 4 6" xfId="24228" xr:uid="{00000000-0005-0000-0000-0000A45E0000}"/>
    <cellStyle name="Normal 2 2 4 7 4 7" xfId="24229" xr:uid="{00000000-0005-0000-0000-0000A55E0000}"/>
    <cellStyle name="Normal 2 2 4 7 4 8" xfId="24230" xr:uid="{00000000-0005-0000-0000-0000A65E0000}"/>
    <cellStyle name="Normal 2 2 4 7 4 9" xfId="24231" xr:uid="{00000000-0005-0000-0000-0000A75E0000}"/>
    <cellStyle name="Normal 2 2 4 7 5" xfId="24232" xr:uid="{00000000-0005-0000-0000-0000A85E0000}"/>
    <cellStyle name="Normal 2 2 4 7 5 10" xfId="24233" xr:uid="{00000000-0005-0000-0000-0000A95E0000}"/>
    <cellStyle name="Normal 2 2 4 7 5 2" xfId="24234" xr:uid="{00000000-0005-0000-0000-0000AA5E0000}"/>
    <cellStyle name="Normal 2 2 4 7 5 3" xfId="24235" xr:uid="{00000000-0005-0000-0000-0000AB5E0000}"/>
    <cellStyle name="Normal 2 2 4 7 5 4" xfId="24236" xr:uid="{00000000-0005-0000-0000-0000AC5E0000}"/>
    <cellStyle name="Normal 2 2 4 7 5 5" xfId="24237" xr:uid="{00000000-0005-0000-0000-0000AD5E0000}"/>
    <cellStyle name="Normal 2 2 4 7 5 6" xfId="24238" xr:uid="{00000000-0005-0000-0000-0000AE5E0000}"/>
    <cellStyle name="Normal 2 2 4 7 5 7" xfId="24239" xr:uid="{00000000-0005-0000-0000-0000AF5E0000}"/>
    <cellStyle name="Normal 2 2 4 7 5 8" xfId="24240" xr:uid="{00000000-0005-0000-0000-0000B05E0000}"/>
    <cellStyle name="Normal 2 2 4 7 5 9" xfId="24241" xr:uid="{00000000-0005-0000-0000-0000B15E0000}"/>
    <cellStyle name="Normal 2 2 4 7 6" xfId="24242" xr:uid="{00000000-0005-0000-0000-0000B25E0000}"/>
    <cellStyle name="Normal 2 2 4 7 7" xfId="24243" xr:uid="{00000000-0005-0000-0000-0000B35E0000}"/>
    <cellStyle name="Normal 2 2 4 7 8" xfId="24244" xr:uid="{00000000-0005-0000-0000-0000B45E0000}"/>
    <cellStyle name="Normal 2 2 4 7 9" xfId="24245" xr:uid="{00000000-0005-0000-0000-0000B55E0000}"/>
    <cellStyle name="Normal 2 2 4 8" xfId="24246" xr:uid="{00000000-0005-0000-0000-0000B65E0000}"/>
    <cellStyle name="Normal 2 2 4 8 10" xfId="24247" xr:uid="{00000000-0005-0000-0000-0000B75E0000}"/>
    <cellStyle name="Normal 2 2 4 8 11" xfId="24248" xr:uid="{00000000-0005-0000-0000-0000B85E0000}"/>
    <cellStyle name="Normal 2 2 4 8 12" xfId="24249" xr:uid="{00000000-0005-0000-0000-0000B95E0000}"/>
    <cellStyle name="Normal 2 2 4 8 13" xfId="24250" xr:uid="{00000000-0005-0000-0000-0000BA5E0000}"/>
    <cellStyle name="Normal 2 2 4 8 14" xfId="24251" xr:uid="{00000000-0005-0000-0000-0000BB5E0000}"/>
    <cellStyle name="Normal 2 2 4 8 2" xfId="24252" xr:uid="{00000000-0005-0000-0000-0000BC5E0000}"/>
    <cellStyle name="Normal 2 2 4 8 2 10" xfId="24253" xr:uid="{00000000-0005-0000-0000-0000BD5E0000}"/>
    <cellStyle name="Normal 2 2 4 8 2 2" xfId="24254" xr:uid="{00000000-0005-0000-0000-0000BE5E0000}"/>
    <cellStyle name="Normal 2 2 4 8 2 3" xfId="24255" xr:uid="{00000000-0005-0000-0000-0000BF5E0000}"/>
    <cellStyle name="Normal 2 2 4 8 2 4" xfId="24256" xr:uid="{00000000-0005-0000-0000-0000C05E0000}"/>
    <cellStyle name="Normal 2 2 4 8 2 5" xfId="24257" xr:uid="{00000000-0005-0000-0000-0000C15E0000}"/>
    <cellStyle name="Normal 2 2 4 8 2 6" xfId="24258" xr:uid="{00000000-0005-0000-0000-0000C25E0000}"/>
    <cellStyle name="Normal 2 2 4 8 2 7" xfId="24259" xr:uid="{00000000-0005-0000-0000-0000C35E0000}"/>
    <cellStyle name="Normal 2 2 4 8 2 8" xfId="24260" xr:uid="{00000000-0005-0000-0000-0000C45E0000}"/>
    <cellStyle name="Normal 2 2 4 8 2 9" xfId="24261" xr:uid="{00000000-0005-0000-0000-0000C55E0000}"/>
    <cellStyle name="Normal 2 2 4 8 3" xfId="24262" xr:uid="{00000000-0005-0000-0000-0000C65E0000}"/>
    <cellStyle name="Normal 2 2 4 8 3 10" xfId="24263" xr:uid="{00000000-0005-0000-0000-0000C75E0000}"/>
    <cellStyle name="Normal 2 2 4 8 3 2" xfId="24264" xr:uid="{00000000-0005-0000-0000-0000C85E0000}"/>
    <cellStyle name="Normal 2 2 4 8 3 3" xfId="24265" xr:uid="{00000000-0005-0000-0000-0000C95E0000}"/>
    <cellStyle name="Normal 2 2 4 8 3 4" xfId="24266" xr:uid="{00000000-0005-0000-0000-0000CA5E0000}"/>
    <cellStyle name="Normal 2 2 4 8 3 5" xfId="24267" xr:uid="{00000000-0005-0000-0000-0000CB5E0000}"/>
    <cellStyle name="Normal 2 2 4 8 3 6" xfId="24268" xr:uid="{00000000-0005-0000-0000-0000CC5E0000}"/>
    <cellStyle name="Normal 2 2 4 8 3 7" xfId="24269" xr:uid="{00000000-0005-0000-0000-0000CD5E0000}"/>
    <cellStyle name="Normal 2 2 4 8 3 8" xfId="24270" xr:uid="{00000000-0005-0000-0000-0000CE5E0000}"/>
    <cellStyle name="Normal 2 2 4 8 3 9" xfId="24271" xr:uid="{00000000-0005-0000-0000-0000CF5E0000}"/>
    <cellStyle name="Normal 2 2 4 8 4" xfId="24272" xr:uid="{00000000-0005-0000-0000-0000D05E0000}"/>
    <cellStyle name="Normal 2 2 4 8 4 10" xfId="24273" xr:uid="{00000000-0005-0000-0000-0000D15E0000}"/>
    <cellStyle name="Normal 2 2 4 8 4 2" xfId="24274" xr:uid="{00000000-0005-0000-0000-0000D25E0000}"/>
    <cellStyle name="Normal 2 2 4 8 4 3" xfId="24275" xr:uid="{00000000-0005-0000-0000-0000D35E0000}"/>
    <cellStyle name="Normal 2 2 4 8 4 4" xfId="24276" xr:uid="{00000000-0005-0000-0000-0000D45E0000}"/>
    <cellStyle name="Normal 2 2 4 8 4 5" xfId="24277" xr:uid="{00000000-0005-0000-0000-0000D55E0000}"/>
    <cellStyle name="Normal 2 2 4 8 4 6" xfId="24278" xr:uid="{00000000-0005-0000-0000-0000D65E0000}"/>
    <cellStyle name="Normal 2 2 4 8 4 7" xfId="24279" xr:uid="{00000000-0005-0000-0000-0000D75E0000}"/>
    <cellStyle name="Normal 2 2 4 8 4 8" xfId="24280" xr:uid="{00000000-0005-0000-0000-0000D85E0000}"/>
    <cellStyle name="Normal 2 2 4 8 4 9" xfId="24281" xr:uid="{00000000-0005-0000-0000-0000D95E0000}"/>
    <cellStyle name="Normal 2 2 4 8 5" xfId="24282" xr:uid="{00000000-0005-0000-0000-0000DA5E0000}"/>
    <cellStyle name="Normal 2 2 4 8 5 10" xfId="24283" xr:uid="{00000000-0005-0000-0000-0000DB5E0000}"/>
    <cellStyle name="Normal 2 2 4 8 5 2" xfId="24284" xr:uid="{00000000-0005-0000-0000-0000DC5E0000}"/>
    <cellStyle name="Normal 2 2 4 8 5 3" xfId="24285" xr:uid="{00000000-0005-0000-0000-0000DD5E0000}"/>
    <cellStyle name="Normal 2 2 4 8 5 4" xfId="24286" xr:uid="{00000000-0005-0000-0000-0000DE5E0000}"/>
    <cellStyle name="Normal 2 2 4 8 5 5" xfId="24287" xr:uid="{00000000-0005-0000-0000-0000DF5E0000}"/>
    <cellStyle name="Normal 2 2 4 8 5 6" xfId="24288" xr:uid="{00000000-0005-0000-0000-0000E05E0000}"/>
    <cellStyle name="Normal 2 2 4 8 5 7" xfId="24289" xr:uid="{00000000-0005-0000-0000-0000E15E0000}"/>
    <cellStyle name="Normal 2 2 4 8 5 8" xfId="24290" xr:uid="{00000000-0005-0000-0000-0000E25E0000}"/>
    <cellStyle name="Normal 2 2 4 8 5 9" xfId="24291" xr:uid="{00000000-0005-0000-0000-0000E35E0000}"/>
    <cellStyle name="Normal 2 2 4 8 6" xfId="24292" xr:uid="{00000000-0005-0000-0000-0000E45E0000}"/>
    <cellStyle name="Normal 2 2 4 8 7" xfId="24293" xr:uid="{00000000-0005-0000-0000-0000E55E0000}"/>
    <cellStyle name="Normal 2 2 4 8 8" xfId="24294" xr:uid="{00000000-0005-0000-0000-0000E65E0000}"/>
    <cellStyle name="Normal 2 2 4 8 9" xfId="24295" xr:uid="{00000000-0005-0000-0000-0000E75E0000}"/>
    <cellStyle name="Normal 2 2 4 9" xfId="24296" xr:uid="{00000000-0005-0000-0000-0000E85E0000}"/>
    <cellStyle name="Normal 2 2 4 9 10" xfId="24297" xr:uid="{00000000-0005-0000-0000-0000E95E0000}"/>
    <cellStyle name="Normal 2 2 4 9 11" xfId="24298" xr:uid="{00000000-0005-0000-0000-0000EA5E0000}"/>
    <cellStyle name="Normal 2 2 4 9 12" xfId="24299" xr:uid="{00000000-0005-0000-0000-0000EB5E0000}"/>
    <cellStyle name="Normal 2 2 4 9 13" xfId="24300" xr:uid="{00000000-0005-0000-0000-0000EC5E0000}"/>
    <cellStyle name="Normal 2 2 4 9 14" xfId="24301" xr:uid="{00000000-0005-0000-0000-0000ED5E0000}"/>
    <cellStyle name="Normal 2 2 4 9 2" xfId="24302" xr:uid="{00000000-0005-0000-0000-0000EE5E0000}"/>
    <cellStyle name="Normal 2 2 4 9 2 10" xfId="24303" xr:uid="{00000000-0005-0000-0000-0000EF5E0000}"/>
    <cellStyle name="Normal 2 2 4 9 2 2" xfId="24304" xr:uid="{00000000-0005-0000-0000-0000F05E0000}"/>
    <cellStyle name="Normal 2 2 4 9 2 3" xfId="24305" xr:uid="{00000000-0005-0000-0000-0000F15E0000}"/>
    <cellStyle name="Normal 2 2 4 9 2 4" xfId="24306" xr:uid="{00000000-0005-0000-0000-0000F25E0000}"/>
    <cellStyle name="Normal 2 2 4 9 2 5" xfId="24307" xr:uid="{00000000-0005-0000-0000-0000F35E0000}"/>
    <cellStyle name="Normal 2 2 4 9 2 6" xfId="24308" xr:uid="{00000000-0005-0000-0000-0000F45E0000}"/>
    <cellStyle name="Normal 2 2 4 9 2 7" xfId="24309" xr:uid="{00000000-0005-0000-0000-0000F55E0000}"/>
    <cellStyle name="Normal 2 2 4 9 2 8" xfId="24310" xr:uid="{00000000-0005-0000-0000-0000F65E0000}"/>
    <cellStyle name="Normal 2 2 4 9 2 9" xfId="24311" xr:uid="{00000000-0005-0000-0000-0000F75E0000}"/>
    <cellStyle name="Normal 2 2 4 9 3" xfId="24312" xr:uid="{00000000-0005-0000-0000-0000F85E0000}"/>
    <cellStyle name="Normal 2 2 4 9 3 10" xfId="24313" xr:uid="{00000000-0005-0000-0000-0000F95E0000}"/>
    <cellStyle name="Normal 2 2 4 9 3 2" xfId="24314" xr:uid="{00000000-0005-0000-0000-0000FA5E0000}"/>
    <cellStyle name="Normal 2 2 4 9 3 3" xfId="24315" xr:uid="{00000000-0005-0000-0000-0000FB5E0000}"/>
    <cellStyle name="Normal 2 2 4 9 3 4" xfId="24316" xr:uid="{00000000-0005-0000-0000-0000FC5E0000}"/>
    <cellStyle name="Normal 2 2 4 9 3 5" xfId="24317" xr:uid="{00000000-0005-0000-0000-0000FD5E0000}"/>
    <cellStyle name="Normal 2 2 4 9 3 6" xfId="24318" xr:uid="{00000000-0005-0000-0000-0000FE5E0000}"/>
    <cellStyle name="Normal 2 2 4 9 3 7" xfId="24319" xr:uid="{00000000-0005-0000-0000-0000FF5E0000}"/>
    <cellStyle name="Normal 2 2 4 9 3 8" xfId="24320" xr:uid="{00000000-0005-0000-0000-0000005F0000}"/>
    <cellStyle name="Normal 2 2 4 9 3 9" xfId="24321" xr:uid="{00000000-0005-0000-0000-0000015F0000}"/>
    <cellStyle name="Normal 2 2 4 9 4" xfId="24322" xr:uid="{00000000-0005-0000-0000-0000025F0000}"/>
    <cellStyle name="Normal 2 2 4 9 4 10" xfId="24323" xr:uid="{00000000-0005-0000-0000-0000035F0000}"/>
    <cellStyle name="Normal 2 2 4 9 4 2" xfId="24324" xr:uid="{00000000-0005-0000-0000-0000045F0000}"/>
    <cellStyle name="Normal 2 2 4 9 4 3" xfId="24325" xr:uid="{00000000-0005-0000-0000-0000055F0000}"/>
    <cellStyle name="Normal 2 2 4 9 4 4" xfId="24326" xr:uid="{00000000-0005-0000-0000-0000065F0000}"/>
    <cellStyle name="Normal 2 2 4 9 4 5" xfId="24327" xr:uid="{00000000-0005-0000-0000-0000075F0000}"/>
    <cellStyle name="Normal 2 2 4 9 4 6" xfId="24328" xr:uid="{00000000-0005-0000-0000-0000085F0000}"/>
    <cellStyle name="Normal 2 2 4 9 4 7" xfId="24329" xr:uid="{00000000-0005-0000-0000-0000095F0000}"/>
    <cellStyle name="Normal 2 2 4 9 4 8" xfId="24330" xr:uid="{00000000-0005-0000-0000-00000A5F0000}"/>
    <cellStyle name="Normal 2 2 4 9 4 9" xfId="24331" xr:uid="{00000000-0005-0000-0000-00000B5F0000}"/>
    <cellStyle name="Normal 2 2 4 9 5" xfId="24332" xr:uid="{00000000-0005-0000-0000-00000C5F0000}"/>
    <cellStyle name="Normal 2 2 4 9 5 10" xfId="24333" xr:uid="{00000000-0005-0000-0000-00000D5F0000}"/>
    <cellStyle name="Normal 2 2 4 9 5 2" xfId="24334" xr:uid="{00000000-0005-0000-0000-00000E5F0000}"/>
    <cellStyle name="Normal 2 2 4 9 5 3" xfId="24335" xr:uid="{00000000-0005-0000-0000-00000F5F0000}"/>
    <cellStyle name="Normal 2 2 4 9 5 4" xfId="24336" xr:uid="{00000000-0005-0000-0000-0000105F0000}"/>
    <cellStyle name="Normal 2 2 4 9 5 5" xfId="24337" xr:uid="{00000000-0005-0000-0000-0000115F0000}"/>
    <cellStyle name="Normal 2 2 4 9 5 6" xfId="24338" xr:uid="{00000000-0005-0000-0000-0000125F0000}"/>
    <cellStyle name="Normal 2 2 4 9 5 7" xfId="24339" xr:uid="{00000000-0005-0000-0000-0000135F0000}"/>
    <cellStyle name="Normal 2 2 4 9 5 8" xfId="24340" xr:uid="{00000000-0005-0000-0000-0000145F0000}"/>
    <cellStyle name="Normal 2 2 4 9 5 9" xfId="24341" xr:uid="{00000000-0005-0000-0000-0000155F0000}"/>
    <cellStyle name="Normal 2 2 4 9 6" xfId="24342" xr:uid="{00000000-0005-0000-0000-0000165F0000}"/>
    <cellStyle name="Normal 2 2 4 9 7" xfId="24343" xr:uid="{00000000-0005-0000-0000-0000175F0000}"/>
    <cellStyle name="Normal 2 2 4 9 8" xfId="24344" xr:uid="{00000000-0005-0000-0000-0000185F0000}"/>
    <cellStyle name="Normal 2 2 4 9 9" xfId="24345" xr:uid="{00000000-0005-0000-0000-0000195F0000}"/>
    <cellStyle name="Normal 2 2 40" xfId="24346" xr:uid="{00000000-0005-0000-0000-00001A5F0000}"/>
    <cellStyle name="Normal 2 2 41" xfId="24347" xr:uid="{00000000-0005-0000-0000-00001B5F0000}"/>
    <cellStyle name="Normal 2 2 41 10" xfId="24348" xr:uid="{00000000-0005-0000-0000-00001C5F0000}"/>
    <cellStyle name="Normal 2 2 41 2" xfId="24349" xr:uid="{00000000-0005-0000-0000-00001D5F0000}"/>
    <cellStyle name="Normal 2 2 41 3" xfId="24350" xr:uid="{00000000-0005-0000-0000-00001E5F0000}"/>
    <cellStyle name="Normal 2 2 41 4" xfId="24351" xr:uid="{00000000-0005-0000-0000-00001F5F0000}"/>
    <cellStyle name="Normal 2 2 41 5" xfId="24352" xr:uid="{00000000-0005-0000-0000-0000205F0000}"/>
    <cellStyle name="Normal 2 2 41 6" xfId="24353" xr:uid="{00000000-0005-0000-0000-0000215F0000}"/>
    <cellStyle name="Normal 2 2 41 7" xfId="24354" xr:uid="{00000000-0005-0000-0000-0000225F0000}"/>
    <cellStyle name="Normal 2 2 41 8" xfId="24355" xr:uid="{00000000-0005-0000-0000-0000235F0000}"/>
    <cellStyle name="Normal 2 2 41 9" xfId="24356" xr:uid="{00000000-0005-0000-0000-0000245F0000}"/>
    <cellStyle name="Normal 2 2 42" xfId="24357" xr:uid="{00000000-0005-0000-0000-0000255F0000}"/>
    <cellStyle name="Normal 2 2 43" xfId="24358" xr:uid="{00000000-0005-0000-0000-0000265F0000}"/>
    <cellStyle name="Normal 2 2 44" xfId="24359" xr:uid="{00000000-0005-0000-0000-0000275F0000}"/>
    <cellStyle name="Normal 2 2 45" xfId="24360" xr:uid="{00000000-0005-0000-0000-0000285F0000}"/>
    <cellStyle name="Normal 2 2 46" xfId="24361" xr:uid="{00000000-0005-0000-0000-0000295F0000}"/>
    <cellStyle name="Normal 2 2 47" xfId="24362" xr:uid="{00000000-0005-0000-0000-00002A5F0000}"/>
    <cellStyle name="Normal 2 2 48" xfId="24363" xr:uid="{00000000-0005-0000-0000-00002B5F0000}"/>
    <cellStyle name="Normal 2 2 49" xfId="24364" xr:uid="{00000000-0005-0000-0000-00002C5F0000}"/>
    <cellStyle name="Normal 2 2 5" xfId="35" xr:uid="{00000000-0005-0000-0000-000023000000}"/>
    <cellStyle name="Normal 2 2 5 10" xfId="24366" xr:uid="{00000000-0005-0000-0000-00002E5F0000}"/>
    <cellStyle name="Normal 2 2 5 10 10" xfId="24367" xr:uid="{00000000-0005-0000-0000-00002F5F0000}"/>
    <cellStyle name="Normal 2 2 5 10 11" xfId="24368" xr:uid="{00000000-0005-0000-0000-0000305F0000}"/>
    <cellStyle name="Normal 2 2 5 10 12" xfId="24369" xr:uid="{00000000-0005-0000-0000-0000315F0000}"/>
    <cellStyle name="Normal 2 2 5 10 13" xfId="24370" xr:uid="{00000000-0005-0000-0000-0000325F0000}"/>
    <cellStyle name="Normal 2 2 5 10 14" xfId="24371" xr:uid="{00000000-0005-0000-0000-0000335F0000}"/>
    <cellStyle name="Normal 2 2 5 10 2" xfId="24372" xr:uid="{00000000-0005-0000-0000-0000345F0000}"/>
    <cellStyle name="Normal 2 2 5 10 2 10" xfId="24373" xr:uid="{00000000-0005-0000-0000-0000355F0000}"/>
    <cellStyle name="Normal 2 2 5 10 2 2" xfId="24374" xr:uid="{00000000-0005-0000-0000-0000365F0000}"/>
    <cellStyle name="Normal 2 2 5 10 2 3" xfId="24375" xr:uid="{00000000-0005-0000-0000-0000375F0000}"/>
    <cellStyle name="Normal 2 2 5 10 2 4" xfId="24376" xr:uid="{00000000-0005-0000-0000-0000385F0000}"/>
    <cellStyle name="Normal 2 2 5 10 2 5" xfId="24377" xr:uid="{00000000-0005-0000-0000-0000395F0000}"/>
    <cellStyle name="Normal 2 2 5 10 2 6" xfId="24378" xr:uid="{00000000-0005-0000-0000-00003A5F0000}"/>
    <cellStyle name="Normal 2 2 5 10 2 7" xfId="24379" xr:uid="{00000000-0005-0000-0000-00003B5F0000}"/>
    <cellStyle name="Normal 2 2 5 10 2 8" xfId="24380" xr:uid="{00000000-0005-0000-0000-00003C5F0000}"/>
    <cellStyle name="Normal 2 2 5 10 2 9" xfId="24381" xr:uid="{00000000-0005-0000-0000-00003D5F0000}"/>
    <cellStyle name="Normal 2 2 5 10 3" xfId="24382" xr:uid="{00000000-0005-0000-0000-00003E5F0000}"/>
    <cellStyle name="Normal 2 2 5 10 3 10" xfId="24383" xr:uid="{00000000-0005-0000-0000-00003F5F0000}"/>
    <cellStyle name="Normal 2 2 5 10 3 2" xfId="24384" xr:uid="{00000000-0005-0000-0000-0000405F0000}"/>
    <cellStyle name="Normal 2 2 5 10 3 3" xfId="24385" xr:uid="{00000000-0005-0000-0000-0000415F0000}"/>
    <cellStyle name="Normal 2 2 5 10 3 4" xfId="24386" xr:uid="{00000000-0005-0000-0000-0000425F0000}"/>
    <cellStyle name="Normal 2 2 5 10 3 5" xfId="24387" xr:uid="{00000000-0005-0000-0000-0000435F0000}"/>
    <cellStyle name="Normal 2 2 5 10 3 6" xfId="24388" xr:uid="{00000000-0005-0000-0000-0000445F0000}"/>
    <cellStyle name="Normal 2 2 5 10 3 7" xfId="24389" xr:uid="{00000000-0005-0000-0000-0000455F0000}"/>
    <cellStyle name="Normal 2 2 5 10 3 8" xfId="24390" xr:uid="{00000000-0005-0000-0000-0000465F0000}"/>
    <cellStyle name="Normal 2 2 5 10 3 9" xfId="24391" xr:uid="{00000000-0005-0000-0000-0000475F0000}"/>
    <cellStyle name="Normal 2 2 5 10 4" xfId="24392" xr:uid="{00000000-0005-0000-0000-0000485F0000}"/>
    <cellStyle name="Normal 2 2 5 10 4 10" xfId="24393" xr:uid="{00000000-0005-0000-0000-0000495F0000}"/>
    <cellStyle name="Normal 2 2 5 10 4 2" xfId="24394" xr:uid="{00000000-0005-0000-0000-00004A5F0000}"/>
    <cellStyle name="Normal 2 2 5 10 4 3" xfId="24395" xr:uid="{00000000-0005-0000-0000-00004B5F0000}"/>
    <cellStyle name="Normal 2 2 5 10 4 4" xfId="24396" xr:uid="{00000000-0005-0000-0000-00004C5F0000}"/>
    <cellStyle name="Normal 2 2 5 10 4 5" xfId="24397" xr:uid="{00000000-0005-0000-0000-00004D5F0000}"/>
    <cellStyle name="Normal 2 2 5 10 4 6" xfId="24398" xr:uid="{00000000-0005-0000-0000-00004E5F0000}"/>
    <cellStyle name="Normal 2 2 5 10 4 7" xfId="24399" xr:uid="{00000000-0005-0000-0000-00004F5F0000}"/>
    <cellStyle name="Normal 2 2 5 10 4 8" xfId="24400" xr:uid="{00000000-0005-0000-0000-0000505F0000}"/>
    <cellStyle name="Normal 2 2 5 10 4 9" xfId="24401" xr:uid="{00000000-0005-0000-0000-0000515F0000}"/>
    <cellStyle name="Normal 2 2 5 10 5" xfId="24402" xr:uid="{00000000-0005-0000-0000-0000525F0000}"/>
    <cellStyle name="Normal 2 2 5 10 5 10" xfId="24403" xr:uid="{00000000-0005-0000-0000-0000535F0000}"/>
    <cellStyle name="Normal 2 2 5 10 5 2" xfId="24404" xr:uid="{00000000-0005-0000-0000-0000545F0000}"/>
    <cellStyle name="Normal 2 2 5 10 5 3" xfId="24405" xr:uid="{00000000-0005-0000-0000-0000555F0000}"/>
    <cellStyle name="Normal 2 2 5 10 5 4" xfId="24406" xr:uid="{00000000-0005-0000-0000-0000565F0000}"/>
    <cellStyle name="Normal 2 2 5 10 5 5" xfId="24407" xr:uid="{00000000-0005-0000-0000-0000575F0000}"/>
    <cellStyle name="Normal 2 2 5 10 5 6" xfId="24408" xr:uid="{00000000-0005-0000-0000-0000585F0000}"/>
    <cellStyle name="Normal 2 2 5 10 5 7" xfId="24409" xr:uid="{00000000-0005-0000-0000-0000595F0000}"/>
    <cellStyle name="Normal 2 2 5 10 5 8" xfId="24410" xr:uid="{00000000-0005-0000-0000-00005A5F0000}"/>
    <cellStyle name="Normal 2 2 5 10 5 9" xfId="24411" xr:uid="{00000000-0005-0000-0000-00005B5F0000}"/>
    <cellStyle name="Normal 2 2 5 10 6" xfId="24412" xr:uid="{00000000-0005-0000-0000-00005C5F0000}"/>
    <cellStyle name="Normal 2 2 5 10 7" xfId="24413" xr:uid="{00000000-0005-0000-0000-00005D5F0000}"/>
    <cellStyle name="Normal 2 2 5 10 8" xfId="24414" xr:uid="{00000000-0005-0000-0000-00005E5F0000}"/>
    <cellStyle name="Normal 2 2 5 10 9" xfId="24415" xr:uid="{00000000-0005-0000-0000-00005F5F0000}"/>
    <cellStyle name="Normal 2 2 5 11" xfId="24416" xr:uid="{00000000-0005-0000-0000-0000605F0000}"/>
    <cellStyle name="Normal 2 2 5 11 10" xfId="24417" xr:uid="{00000000-0005-0000-0000-0000615F0000}"/>
    <cellStyle name="Normal 2 2 5 11 11" xfId="24418" xr:uid="{00000000-0005-0000-0000-0000625F0000}"/>
    <cellStyle name="Normal 2 2 5 11 12" xfId="24419" xr:uid="{00000000-0005-0000-0000-0000635F0000}"/>
    <cellStyle name="Normal 2 2 5 11 13" xfId="24420" xr:uid="{00000000-0005-0000-0000-0000645F0000}"/>
    <cellStyle name="Normal 2 2 5 11 14" xfId="24421" xr:uid="{00000000-0005-0000-0000-0000655F0000}"/>
    <cellStyle name="Normal 2 2 5 11 2" xfId="24422" xr:uid="{00000000-0005-0000-0000-0000665F0000}"/>
    <cellStyle name="Normal 2 2 5 11 2 10" xfId="24423" xr:uid="{00000000-0005-0000-0000-0000675F0000}"/>
    <cellStyle name="Normal 2 2 5 11 2 2" xfId="24424" xr:uid="{00000000-0005-0000-0000-0000685F0000}"/>
    <cellStyle name="Normal 2 2 5 11 2 3" xfId="24425" xr:uid="{00000000-0005-0000-0000-0000695F0000}"/>
    <cellStyle name="Normal 2 2 5 11 2 4" xfId="24426" xr:uid="{00000000-0005-0000-0000-00006A5F0000}"/>
    <cellStyle name="Normal 2 2 5 11 2 5" xfId="24427" xr:uid="{00000000-0005-0000-0000-00006B5F0000}"/>
    <cellStyle name="Normal 2 2 5 11 2 6" xfId="24428" xr:uid="{00000000-0005-0000-0000-00006C5F0000}"/>
    <cellStyle name="Normal 2 2 5 11 2 7" xfId="24429" xr:uid="{00000000-0005-0000-0000-00006D5F0000}"/>
    <cellStyle name="Normal 2 2 5 11 2 8" xfId="24430" xr:uid="{00000000-0005-0000-0000-00006E5F0000}"/>
    <cellStyle name="Normal 2 2 5 11 2 9" xfId="24431" xr:uid="{00000000-0005-0000-0000-00006F5F0000}"/>
    <cellStyle name="Normal 2 2 5 11 3" xfId="24432" xr:uid="{00000000-0005-0000-0000-0000705F0000}"/>
    <cellStyle name="Normal 2 2 5 11 3 10" xfId="24433" xr:uid="{00000000-0005-0000-0000-0000715F0000}"/>
    <cellStyle name="Normal 2 2 5 11 3 2" xfId="24434" xr:uid="{00000000-0005-0000-0000-0000725F0000}"/>
    <cellStyle name="Normal 2 2 5 11 3 3" xfId="24435" xr:uid="{00000000-0005-0000-0000-0000735F0000}"/>
    <cellStyle name="Normal 2 2 5 11 3 4" xfId="24436" xr:uid="{00000000-0005-0000-0000-0000745F0000}"/>
    <cellStyle name="Normal 2 2 5 11 3 5" xfId="24437" xr:uid="{00000000-0005-0000-0000-0000755F0000}"/>
    <cellStyle name="Normal 2 2 5 11 3 6" xfId="24438" xr:uid="{00000000-0005-0000-0000-0000765F0000}"/>
    <cellStyle name="Normal 2 2 5 11 3 7" xfId="24439" xr:uid="{00000000-0005-0000-0000-0000775F0000}"/>
    <cellStyle name="Normal 2 2 5 11 3 8" xfId="24440" xr:uid="{00000000-0005-0000-0000-0000785F0000}"/>
    <cellStyle name="Normal 2 2 5 11 3 9" xfId="24441" xr:uid="{00000000-0005-0000-0000-0000795F0000}"/>
    <cellStyle name="Normal 2 2 5 11 4" xfId="24442" xr:uid="{00000000-0005-0000-0000-00007A5F0000}"/>
    <cellStyle name="Normal 2 2 5 11 4 10" xfId="24443" xr:uid="{00000000-0005-0000-0000-00007B5F0000}"/>
    <cellStyle name="Normal 2 2 5 11 4 2" xfId="24444" xr:uid="{00000000-0005-0000-0000-00007C5F0000}"/>
    <cellStyle name="Normal 2 2 5 11 4 3" xfId="24445" xr:uid="{00000000-0005-0000-0000-00007D5F0000}"/>
    <cellStyle name="Normal 2 2 5 11 4 4" xfId="24446" xr:uid="{00000000-0005-0000-0000-00007E5F0000}"/>
    <cellStyle name="Normal 2 2 5 11 4 5" xfId="24447" xr:uid="{00000000-0005-0000-0000-00007F5F0000}"/>
    <cellStyle name="Normal 2 2 5 11 4 6" xfId="24448" xr:uid="{00000000-0005-0000-0000-0000805F0000}"/>
    <cellStyle name="Normal 2 2 5 11 4 7" xfId="24449" xr:uid="{00000000-0005-0000-0000-0000815F0000}"/>
    <cellStyle name="Normal 2 2 5 11 4 8" xfId="24450" xr:uid="{00000000-0005-0000-0000-0000825F0000}"/>
    <cellStyle name="Normal 2 2 5 11 4 9" xfId="24451" xr:uid="{00000000-0005-0000-0000-0000835F0000}"/>
    <cellStyle name="Normal 2 2 5 11 5" xfId="24452" xr:uid="{00000000-0005-0000-0000-0000845F0000}"/>
    <cellStyle name="Normal 2 2 5 11 5 10" xfId="24453" xr:uid="{00000000-0005-0000-0000-0000855F0000}"/>
    <cellStyle name="Normal 2 2 5 11 5 2" xfId="24454" xr:uid="{00000000-0005-0000-0000-0000865F0000}"/>
    <cellStyle name="Normal 2 2 5 11 5 3" xfId="24455" xr:uid="{00000000-0005-0000-0000-0000875F0000}"/>
    <cellStyle name="Normal 2 2 5 11 5 4" xfId="24456" xr:uid="{00000000-0005-0000-0000-0000885F0000}"/>
    <cellStyle name="Normal 2 2 5 11 5 5" xfId="24457" xr:uid="{00000000-0005-0000-0000-0000895F0000}"/>
    <cellStyle name="Normal 2 2 5 11 5 6" xfId="24458" xr:uid="{00000000-0005-0000-0000-00008A5F0000}"/>
    <cellStyle name="Normal 2 2 5 11 5 7" xfId="24459" xr:uid="{00000000-0005-0000-0000-00008B5F0000}"/>
    <cellStyle name="Normal 2 2 5 11 5 8" xfId="24460" xr:uid="{00000000-0005-0000-0000-00008C5F0000}"/>
    <cellStyle name="Normal 2 2 5 11 5 9" xfId="24461" xr:uid="{00000000-0005-0000-0000-00008D5F0000}"/>
    <cellStyle name="Normal 2 2 5 11 6" xfId="24462" xr:uid="{00000000-0005-0000-0000-00008E5F0000}"/>
    <cellStyle name="Normal 2 2 5 11 7" xfId="24463" xr:uid="{00000000-0005-0000-0000-00008F5F0000}"/>
    <cellStyle name="Normal 2 2 5 11 8" xfId="24464" xr:uid="{00000000-0005-0000-0000-0000905F0000}"/>
    <cellStyle name="Normal 2 2 5 11 9" xfId="24465" xr:uid="{00000000-0005-0000-0000-0000915F0000}"/>
    <cellStyle name="Normal 2 2 5 12" xfId="24466" xr:uid="{00000000-0005-0000-0000-0000925F0000}"/>
    <cellStyle name="Normal 2 2 5 12 10" xfId="24467" xr:uid="{00000000-0005-0000-0000-0000935F0000}"/>
    <cellStyle name="Normal 2 2 5 12 11" xfId="24468" xr:uid="{00000000-0005-0000-0000-0000945F0000}"/>
    <cellStyle name="Normal 2 2 5 12 12" xfId="24469" xr:uid="{00000000-0005-0000-0000-0000955F0000}"/>
    <cellStyle name="Normal 2 2 5 12 13" xfId="24470" xr:uid="{00000000-0005-0000-0000-0000965F0000}"/>
    <cellStyle name="Normal 2 2 5 12 14" xfId="24471" xr:uid="{00000000-0005-0000-0000-0000975F0000}"/>
    <cellStyle name="Normal 2 2 5 12 2" xfId="24472" xr:uid="{00000000-0005-0000-0000-0000985F0000}"/>
    <cellStyle name="Normal 2 2 5 12 2 10" xfId="24473" xr:uid="{00000000-0005-0000-0000-0000995F0000}"/>
    <cellStyle name="Normal 2 2 5 12 2 2" xfId="24474" xr:uid="{00000000-0005-0000-0000-00009A5F0000}"/>
    <cellStyle name="Normal 2 2 5 12 2 3" xfId="24475" xr:uid="{00000000-0005-0000-0000-00009B5F0000}"/>
    <cellStyle name="Normal 2 2 5 12 2 4" xfId="24476" xr:uid="{00000000-0005-0000-0000-00009C5F0000}"/>
    <cellStyle name="Normal 2 2 5 12 2 5" xfId="24477" xr:uid="{00000000-0005-0000-0000-00009D5F0000}"/>
    <cellStyle name="Normal 2 2 5 12 2 6" xfId="24478" xr:uid="{00000000-0005-0000-0000-00009E5F0000}"/>
    <cellStyle name="Normal 2 2 5 12 2 7" xfId="24479" xr:uid="{00000000-0005-0000-0000-00009F5F0000}"/>
    <cellStyle name="Normal 2 2 5 12 2 8" xfId="24480" xr:uid="{00000000-0005-0000-0000-0000A05F0000}"/>
    <cellStyle name="Normal 2 2 5 12 2 9" xfId="24481" xr:uid="{00000000-0005-0000-0000-0000A15F0000}"/>
    <cellStyle name="Normal 2 2 5 12 3" xfId="24482" xr:uid="{00000000-0005-0000-0000-0000A25F0000}"/>
    <cellStyle name="Normal 2 2 5 12 3 10" xfId="24483" xr:uid="{00000000-0005-0000-0000-0000A35F0000}"/>
    <cellStyle name="Normal 2 2 5 12 3 2" xfId="24484" xr:uid="{00000000-0005-0000-0000-0000A45F0000}"/>
    <cellStyle name="Normal 2 2 5 12 3 3" xfId="24485" xr:uid="{00000000-0005-0000-0000-0000A55F0000}"/>
    <cellStyle name="Normal 2 2 5 12 3 4" xfId="24486" xr:uid="{00000000-0005-0000-0000-0000A65F0000}"/>
    <cellStyle name="Normal 2 2 5 12 3 5" xfId="24487" xr:uid="{00000000-0005-0000-0000-0000A75F0000}"/>
    <cellStyle name="Normal 2 2 5 12 3 6" xfId="24488" xr:uid="{00000000-0005-0000-0000-0000A85F0000}"/>
    <cellStyle name="Normal 2 2 5 12 3 7" xfId="24489" xr:uid="{00000000-0005-0000-0000-0000A95F0000}"/>
    <cellStyle name="Normal 2 2 5 12 3 8" xfId="24490" xr:uid="{00000000-0005-0000-0000-0000AA5F0000}"/>
    <cellStyle name="Normal 2 2 5 12 3 9" xfId="24491" xr:uid="{00000000-0005-0000-0000-0000AB5F0000}"/>
    <cellStyle name="Normal 2 2 5 12 4" xfId="24492" xr:uid="{00000000-0005-0000-0000-0000AC5F0000}"/>
    <cellStyle name="Normal 2 2 5 12 4 10" xfId="24493" xr:uid="{00000000-0005-0000-0000-0000AD5F0000}"/>
    <cellStyle name="Normal 2 2 5 12 4 2" xfId="24494" xr:uid="{00000000-0005-0000-0000-0000AE5F0000}"/>
    <cellStyle name="Normal 2 2 5 12 4 3" xfId="24495" xr:uid="{00000000-0005-0000-0000-0000AF5F0000}"/>
    <cellStyle name="Normal 2 2 5 12 4 4" xfId="24496" xr:uid="{00000000-0005-0000-0000-0000B05F0000}"/>
    <cellStyle name="Normal 2 2 5 12 4 5" xfId="24497" xr:uid="{00000000-0005-0000-0000-0000B15F0000}"/>
    <cellStyle name="Normal 2 2 5 12 4 6" xfId="24498" xr:uid="{00000000-0005-0000-0000-0000B25F0000}"/>
    <cellStyle name="Normal 2 2 5 12 4 7" xfId="24499" xr:uid="{00000000-0005-0000-0000-0000B35F0000}"/>
    <cellStyle name="Normal 2 2 5 12 4 8" xfId="24500" xr:uid="{00000000-0005-0000-0000-0000B45F0000}"/>
    <cellStyle name="Normal 2 2 5 12 4 9" xfId="24501" xr:uid="{00000000-0005-0000-0000-0000B55F0000}"/>
    <cellStyle name="Normal 2 2 5 12 5" xfId="24502" xr:uid="{00000000-0005-0000-0000-0000B65F0000}"/>
    <cellStyle name="Normal 2 2 5 12 5 10" xfId="24503" xr:uid="{00000000-0005-0000-0000-0000B75F0000}"/>
    <cellStyle name="Normal 2 2 5 12 5 2" xfId="24504" xr:uid="{00000000-0005-0000-0000-0000B85F0000}"/>
    <cellStyle name="Normal 2 2 5 12 5 3" xfId="24505" xr:uid="{00000000-0005-0000-0000-0000B95F0000}"/>
    <cellStyle name="Normal 2 2 5 12 5 4" xfId="24506" xr:uid="{00000000-0005-0000-0000-0000BA5F0000}"/>
    <cellStyle name="Normal 2 2 5 12 5 5" xfId="24507" xr:uid="{00000000-0005-0000-0000-0000BB5F0000}"/>
    <cellStyle name="Normal 2 2 5 12 5 6" xfId="24508" xr:uid="{00000000-0005-0000-0000-0000BC5F0000}"/>
    <cellStyle name="Normal 2 2 5 12 5 7" xfId="24509" xr:uid="{00000000-0005-0000-0000-0000BD5F0000}"/>
    <cellStyle name="Normal 2 2 5 12 5 8" xfId="24510" xr:uid="{00000000-0005-0000-0000-0000BE5F0000}"/>
    <cellStyle name="Normal 2 2 5 12 5 9" xfId="24511" xr:uid="{00000000-0005-0000-0000-0000BF5F0000}"/>
    <cellStyle name="Normal 2 2 5 12 6" xfId="24512" xr:uid="{00000000-0005-0000-0000-0000C05F0000}"/>
    <cellStyle name="Normal 2 2 5 12 7" xfId="24513" xr:uid="{00000000-0005-0000-0000-0000C15F0000}"/>
    <cellStyle name="Normal 2 2 5 12 8" xfId="24514" xr:uid="{00000000-0005-0000-0000-0000C25F0000}"/>
    <cellStyle name="Normal 2 2 5 12 9" xfId="24515" xr:uid="{00000000-0005-0000-0000-0000C35F0000}"/>
    <cellStyle name="Normal 2 2 5 13" xfId="24516" xr:uid="{00000000-0005-0000-0000-0000C45F0000}"/>
    <cellStyle name="Normal 2 2 5 13 10" xfId="24517" xr:uid="{00000000-0005-0000-0000-0000C55F0000}"/>
    <cellStyle name="Normal 2 2 5 13 11" xfId="24518" xr:uid="{00000000-0005-0000-0000-0000C65F0000}"/>
    <cellStyle name="Normal 2 2 5 13 12" xfId="24519" xr:uid="{00000000-0005-0000-0000-0000C75F0000}"/>
    <cellStyle name="Normal 2 2 5 13 13" xfId="24520" xr:uid="{00000000-0005-0000-0000-0000C85F0000}"/>
    <cellStyle name="Normal 2 2 5 13 14" xfId="24521" xr:uid="{00000000-0005-0000-0000-0000C95F0000}"/>
    <cellStyle name="Normal 2 2 5 13 2" xfId="24522" xr:uid="{00000000-0005-0000-0000-0000CA5F0000}"/>
    <cellStyle name="Normal 2 2 5 13 2 10" xfId="24523" xr:uid="{00000000-0005-0000-0000-0000CB5F0000}"/>
    <cellStyle name="Normal 2 2 5 13 2 2" xfId="24524" xr:uid="{00000000-0005-0000-0000-0000CC5F0000}"/>
    <cellStyle name="Normal 2 2 5 13 2 3" xfId="24525" xr:uid="{00000000-0005-0000-0000-0000CD5F0000}"/>
    <cellStyle name="Normal 2 2 5 13 2 4" xfId="24526" xr:uid="{00000000-0005-0000-0000-0000CE5F0000}"/>
    <cellStyle name="Normal 2 2 5 13 2 5" xfId="24527" xr:uid="{00000000-0005-0000-0000-0000CF5F0000}"/>
    <cellStyle name="Normal 2 2 5 13 2 6" xfId="24528" xr:uid="{00000000-0005-0000-0000-0000D05F0000}"/>
    <cellStyle name="Normal 2 2 5 13 2 7" xfId="24529" xr:uid="{00000000-0005-0000-0000-0000D15F0000}"/>
    <cellStyle name="Normal 2 2 5 13 2 8" xfId="24530" xr:uid="{00000000-0005-0000-0000-0000D25F0000}"/>
    <cellStyle name="Normal 2 2 5 13 2 9" xfId="24531" xr:uid="{00000000-0005-0000-0000-0000D35F0000}"/>
    <cellStyle name="Normal 2 2 5 13 3" xfId="24532" xr:uid="{00000000-0005-0000-0000-0000D45F0000}"/>
    <cellStyle name="Normal 2 2 5 13 3 10" xfId="24533" xr:uid="{00000000-0005-0000-0000-0000D55F0000}"/>
    <cellStyle name="Normal 2 2 5 13 3 2" xfId="24534" xr:uid="{00000000-0005-0000-0000-0000D65F0000}"/>
    <cellStyle name="Normal 2 2 5 13 3 3" xfId="24535" xr:uid="{00000000-0005-0000-0000-0000D75F0000}"/>
    <cellStyle name="Normal 2 2 5 13 3 4" xfId="24536" xr:uid="{00000000-0005-0000-0000-0000D85F0000}"/>
    <cellStyle name="Normal 2 2 5 13 3 5" xfId="24537" xr:uid="{00000000-0005-0000-0000-0000D95F0000}"/>
    <cellStyle name="Normal 2 2 5 13 3 6" xfId="24538" xr:uid="{00000000-0005-0000-0000-0000DA5F0000}"/>
    <cellStyle name="Normal 2 2 5 13 3 7" xfId="24539" xr:uid="{00000000-0005-0000-0000-0000DB5F0000}"/>
    <cellStyle name="Normal 2 2 5 13 3 8" xfId="24540" xr:uid="{00000000-0005-0000-0000-0000DC5F0000}"/>
    <cellStyle name="Normal 2 2 5 13 3 9" xfId="24541" xr:uid="{00000000-0005-0000-0000-0000DD5F0000}"/>
    <cellStyle name="Normal 2 2 5 13 4" xfId="24542" xr:uid="{00000000-0005-0000-0000-0000DE5F0000}"/>
    <cellStyle name="Normal 2 2 5 13 4 10" xfId="24543" xr:uid="{00000000-0005-0000-0000-0000DF5F0000}"/>
    <cellStyle name="Normal 2 2 5 13 4 2" xfId="24544" xr:uid="{00000000-0005-0000-0000-0000E05F0000}"/>
    <cellStyle name="Normal 2 2 5 13 4 3" xfId="24545" xr:uid="{00000000-0005-0000-0000-0000E15F0000}"/>
    <cellStyle name="Normal 2 2 5 13 4 4" xfId="24546" xr:uid="{00000000-0005-0000-0000-0000E25F0000}"/>
    <cellStyle name="Normal 2 2 5 13 4 5" xfId="24547" xr:uid="{00000000-0005-0000-0000-0000E35F0000}"/>
    <cellStyle name="Normal 2 2 5 13 4 6" xfId="24548" xr:uid="{00000000-0005-0000-0000-0000E45F0000}"/>
    <cellStyle name="Normal 2 2 5 13 4 7" xfId="24549" xr:uid="{00000000-0005-0000-0000-0000E55F0000}"/>
    <cellStyle name="Normal 2 2 5 13 4 8" xfId="24550" xr:uid="{00000000-0005-0000-0000-0000E65F0000}"/>
    <cellStyle name="Normal 2 2 5 13 4 9" xfId="24551" xr:uid="{00000000-0005-0000-0000-0000E75F0000}"/>
    <cellStyle name="Normal 2 2 5 13 5" xfId="24552" xr:uid="{00000000-0005-0000-0000-0000E85F0000}"/>
    <cellStyle name="Normal 2 2 5 13 5 10" xfId="24553" xr:uid="{00000000-0005-0000-0000-0000E95F0000}"/>
    <cellStyle name="Normal 2 2 5 13 5 2" xfId="24554" xr:uid="{00000000-0005-0000-0000-0000EA5F0000}"/>
    <cellStyle name="Normal 2 2 5 13 5 3" xfId="24555" xr:uid="{00000000-0005-0000-0000-0000EB5F0000}"/>
    <cellStyle name="Normal 2 2 5 13 5 4" xfId="24556" xr:uid="{00000000-0005-0000-0000-0000EC5F0000}"/>
    <cellStyle name="Normal 2 2 5 13 5 5" xfId="24557" xr:uid="{00000000-0005-0000-0000-0000ED5F0000}"/>
    <cellStyle name="Normal 2 2 5 13 5 6" xfId="24558" xr:uid="{00000000-0005-0000-0000-0000EE5F0000}"/>
    <cellStyle name="Normal 2 2 5 13 5 7" xfId="24559" xr:uid="{00000000-0005-0000-0000-0000EF5F0000}"/>
    <cellStyle name="Normal 2 2 5 13 5 8" xfId="24560" xr:uid="{00000000-0005-0000-0000-0000F05F0000}"/>
    <cellStyle name="Normal 2 2 5 13 5 9" xfId="24561" xr:uid="{00000000-0005-0000-0000-0000F15F0000}"/>
    <cellStyle name="Normal 2 2 5 13 6" xfId="24562" xr:uid="{00000000-0005-0000-0000-0000F25F0000}"/>
    <cellStyle name="Normal 2 2 5 13 7" xfId="24563" xr:uid="{00000000-0005-0000-0000-0000F35F0000}"/>
    <cellStyle name="Normal 2 2 5 13 8" xfId="24564" xr:uid="{00000000-0005-0000-0000-0000F45F0000}"/>
    <cellStyle name="Normal 2 2 5 13 9" xfId="24565" xr:uid="{00000000-0005-0000-0000-0000F55F0000}"/>
    <cellStyle name="Normal 2 2 5 14" xfId="24566" xr:uid="{00000000-0005-0000-0000-0000F65F0000}"/>
    <cellStyle name="Normal 2 2 5 14 10" xfId="24567" xr:uid="{00000000-0005-0000-0000-0000F75F0000}"/>
    <cellStyle name="Normal 2 2 5 14 11" xfId="24568" xr:uid="{00000000-0005-0000-0000-0000F85F0000}"/>
    <cellStyle name="Normal 2 2 5 14 12" xfId="24569" xr:uid="{00000000-0005-0000-0000-0000F95F0000}"/>
    <cellStyle name="Normal 2 2 5 14 13" xfId="24570" xr:uid="{00000000-0005-0000-0000-0000FA5F0000}"/>
    <cellStyle name="Normal 2 2 5 14 14" xfId="24571" xr:uid="{00000000-0005-0000-0000-0000FB5F0000}"/>
    <cellStyle name="Normal 2 2 5 14 2" xfId="24572" xr:uid="{00000000-0005-0000-0000-0000FC5F0000}"/>
    <cellStyle name="Normal 2 2 5 14 2 10" xfId="24573" xr:uid="{00000000-0005-0000-0000-0000FD5F0000}"/>
    <cellStyle name="Normal 2 2 5 14 2 2" xfId="24574" xr:uid="{00000000-0005-0000-0000-0000FE5F0000}"/>
    <cellStyle name="Normal 2 2 5 14 2 3" xfId="24575" xr:uid="{00000000-0005-0000-0000-0000FF5F0000}"/>
    <cellStyle name="Normal 2 2 5 14 2 4" xfId="24576" xr:uid="{00000000-0005-0000-0000-000000600000}"/>
    <cellStyle name="Normal 2 2 5 14 2 5" xfId="24577" xr:uid="{00000000-0005-0000-0000-000001600000}"/>
    <cellStyle name="Normal 2 2 5 14 2 6" xfId="24578" xr:uid="{00000000-0005-0000-0000-000002600000}"/>
    <cellStyle name="Normal 2 2 5 14 2 7" xfId="24579" xr:uid="{00000000-0005-0000-0000-000003600000}"/>
    <cellStyle name="Normal 2 2 5 14 2 8" xfId="24580" xr:uid="{00000000-0005-0000-0000-000004600000}"/>
    <cellStyle name="Normal 2 2 5 14 2 9" xfId="24581" xr:uid="{00000000-0005-0000-0000-000005600000}"/>
    <cellStyle name="Normal 2 2 5 14 3" xfId="24582" xr:uid="{00000000-0005-0000-0000-000006600000}"/>
    <cellStyle name="Normal 2 2 5 14 3 10" xfId="24583" xr:uid="{00000000-0005-0000-0000-000007600000}"/>
    <cellStyle name="Normal 2 2 5 14 3 2" xfId="24584" xr:uid="{00000000-0005-0000-0000-000008600000}"/>
    <cellStyle name="Normal 2 2 5 14 3 3" xfId="24585" xr:uid="{00000000-0005-0000-0000-000009600000}"/>
    <cellStyle name="Normal 2 2 5 14 3 4" xfId="24586" xr:uid="{00000000-0005-0000-0000-00000A600000}"/>
    <cellStyle name="Normal 2 2 5 14 3 5" xfId="24587" xr:uid="{00000000-0005-0000-0000-00000B600000}"/>
    <cellStyle name="Normal 2 2 5 14 3 6" xfId="24588" xr:uid="{00000000-0005-0000-0000-00000C600000}"/>
    <cellStyle name="Normal 2 2 5 14 3 7" xfId="24589" xr:uid="{00000000-0005-0000-0000-00000D600000}"/>
    <cellStyle name="Normal 2 2 5 14 3 8" xfId="24590" xr:uid="{00000000-0005-0000-0000-00000E600000}"/>
    <cellStyle name="Normal 2 2 5 14 3 9" xfId="24591" xr:uid="{00000000-0005-0000-0000-00000F600000}"/>
    <cellStyle name="Normal 2 2 5 14 4" xfId="24592" xr:uid="{00000000-0005-0000-0000-000010600000}"/>
    <cellStyle name="Normal 2 2 5 14 4 10" xfId="24593" xr:uid="{00000000-0005-0000-0000-000011600000}"/>
    <cellStyle name="Normal 2 2 5 14 4 2" xfId="24594" xr:uid="{00000000-0005-0000-0000-000012600000}"/>
    <cellStyle name="Normal 2 2 5 14 4 3" xfId="24595" xr:uid="{00000000-0005-0000-0000-000013600000}"/>
    <cellStyle name="Normal 2 2 5 14 4 4" xfId="24596" xr:uid="{00000000-0005-0000-0000-000014600000}"/>
    <cellStyle name="Normal 2 2 5 14 4 5" xfId="24597" xr:uid="{00000000-0005-0000-0000-000015600000}"/>
    <cellStyle name="Normal 2 2 5 14 4 6" xfId="24598" xr:uid="{00000000-0005-0000-0000-000016600000}"/>
    <cellStyle name="Normal 2 2 5 14 4 7" xfId="24599" xr:uid="{00000000-0005-0000-0000-000017600000}"/>
    <cellStyle name="Normal 2 2 5 14 4 8" xfId="24600" xr:uid="{00000000-0005-0000-0000-000018600000}"/>
    <cellStyle name="Normal 2 2 5 14 4 9" xfId="24601" xr:uid="{00000000-0005-0000-0000-000019600000}"/>
    <cellStyle name="Normal 2 2 5 14 5" xfId="24602" xr:uid="{00000000-0005-0000-0000-00001A600000}"/>
    <cellStyle name="Normal 2 2 5 14 5 10" xfId="24603" xr:uid="{00000000-0005-0000-0000-00001B600000}"/>
    <cellStyle name="Normal 2 2 5 14 5 2" xfId="24604" xr:uid="{00000000-0005-0000-0000-00001C600000}"/>
    <cellStyle name="Normal 2 2 5 14 5 3" xfId="24605" xr:uid="{00000000-0005-0000-0000-00001D600000}"/>
    <cellStyle name="Normal 2 2 5 14 5 4" xfId="24606" xr:uid="{00000000-0005-0000-0000-00001E600000}"/>
    <cellStyle name="Normal 2 2 5 14 5 5" xfId="24607" xr:uid="{00000000-0005-0000-0000-00001F600000}"/>
    <cellStyle name="Normal 2 2 5 14 5 6" xfId="24608" xr:uid="{00000000-0005-0000-0000-000020600000}"/>
    <cellStyle name="Normal 2 2 5 14 5 7" xfId="24609" xr:uid="{00000000-0005-0000-0000-000021600000}"/>
    <cellStyle name="Normal 2 2 5 14 5 8" xfId="24610" xr:uid="{00000000-0005-0000-0000-000022600000}"/>
    <cellStyle name="Normal 2 2 5 14 5 9" xfId="24611" xr:uid="{00000000-0005-0000-0000-000023600000}"/>
    <cellStyle name="Normal 2 2 5 14 6" xfId="24612" xr:uid="{00000000-0005-0000-0000-000024600000}"/>
    <cellStyle name="Normal 2 2 5 14 7" xfId="24613" xr:uid="{00000000-0005-0000-0000-000025600000}"/>
    <cellStyle name="Normal 2 2 5 14 8" xfId="24614" xr:uid="{00000000-0005-0000-0000-000026600000}"/>
    <cellStyle name="Normal 2 2 5 14 9" xfId="24615" xr:uid="{00000000-0005-0000-0000-000027600000}"/>
    <cellStyle name="Normal 2 2 5 15" xfId="24616" xr:uid="{00000000-0005-0000-0000-000028600000}"/>
    <cellStyle name="Normal 2 2 5 15 10" xfId="24617" xr:uid="{00000000-0005-0000-0000-000029600000}"/>
    <cellStyle name="Normal 2 2 5 15 11" xfId="24618" xr:uid="{00000000-0005-0000-0000-00002A600000}"/>
    <cellStyle name="Normal 2 2 5 15 12" xfId="24619" xr:uid="{00000000-0005-0000-0000-00002B600000}"/>
    <cellStyle name="Normal 2 2 5 15 13" xfId="24620" xr:uid="{00000000-0005-0000-0000-00002C600000}"/>
    <cellStyle name="Normal 2 2 5 15 14" xfId="24621" xr:uid="{00000000-0005-0000-0000-00002D600000}"/>
    <cellStyle name="Normal 2 2 5 15 2" xfId="24622" xr:uid="{00000000-0005-0000-0000-00002E600000}"/>
    <cellStyle name="Normal 2 2 5 15 2 10" xfId="24623" xr:uid="{00000000-0005-0000-0000-00002F600000}"/>
    <cellStyle name="Normal 2 2 5 15 2 2" xfId="24624" xr:uid="{00000000-0005-0000-0000-000030600000}"/>
    <cellStyle name="Normal 2 2 5 15 2 3" xfId="24625" xr:uid="{00000000-0005-0000-0000-000031600000}"/>
    <cellStyle name="Normal 2 2 5 15 2 4" xfId="24626" xr:uid="{00000000-0005-0000-0000-000032600000}"/>
    <cellStyle name="Normal 2 2 5 15 2 5" xfId="24627" xr:uid="{00000000-0005-0000-0000-000033600000}"/>
    <cellStyle name="Normal 2 2 5 15 2 6" xfId="24628" xr:uid="{00000000-0005-0000-0000-000034600000}"/>
    <cellStyle name="Normal 2 2 5 15 2 7" xfId="24629" xr:uid="{00000000-0005-0000-0000-000035600000}"/>
    <cellStyle name="Normal 2 2 5 15 2 8" xfId="24630" xr:uid="{00000000-0005-0000-0000-000036600000}"/>
    <cellStyle name="Normal 2 2 5 15 2 9" xfId="24631" xr:uid="{00000000-0005-0000-0000-000037600000}"/>
    <cellStyle name="Normal 2 2 5 15 3" xfId="24632" xr:uid="{00000000-0005-0000-0000-000038600000}"/>
    <cellStyle name="Normal 2 2 5 15 3 10" xfId="24633" xr:uid="{00000000-0005-0000-0000-000039600000}"/>
    <cellStyle name="Normal 2 2 5 15 3 2" xfId="24634" xr:uid="{00000000-0005-0000-0000-00003A600000}"/>
    <cellStyle name="Normal 2 2 5 15 3 3" xfId="24635" xr:uid="{00000000-0005-0000-0000-00003B600000}"/>
    <cellStyle name="Normal 2 2 5 15 3 4" xfId="24636" xr:uid="{00000000-0005-0000-0000-00003C600000}"/>
    <cellStyle name="Normal 2 2 5 15 3 5" xfId="24637" xr:uid="{00000000-0005-0000-0000-00003D600000}"/>
    <cellStyle name="Normal 2 2 5 15 3 6" xfId="24638" xr:uid="{00000000-0005-0000-0000-00003E600000}"/>
    <cellStyle name="Normal 2 2 5 15 3 7" xfId="24639" xr:uid="{00000000-0005-0000-0000-00003F600000}"/>
    <cellStyle name="Normal 2 2 5 15 3 8" xfId="24640" xr:uid="{00000000-0005-0000-0000-000040600000}"/>
    <cellStyle name="Normal 2 2 5 15 3 9" xfId="24641" xr:uid="{00000000-0005-0000-0000-000041600000}"/>
    <cellStyle name="Normal 2 2 5 15 4" xfId="24642" xr:uid="{00000000-0005-0000-0000-000042600000}"/>
    <cellStyle name="Normal 2 2 5 15 4 10" xfId="24643" xr:uid="{00000000-0005-0000-0000-000043600000}"/>
    <cellStyle name="Normal 2 2 5 15 4 2" xfId="24644" xr:uid="{00000000-0005-0000-0000-000044600000}"/>
    <cellStyle name="Normal 2 2 5 15 4 3" xfId="24645" xr:uid="{00000000-0005-0000-0000-000045600000}"/>
    <cellStyle name="Normal 2 2 5 15 4 4" xfId="24646" xr:uid="{00000000-0005-0000-0000-000046600000}"/>
    <cellStyle name="Normal 2 2 5 15 4 5" xfId="24647" xr:uid="{00000000-0005-0000-0000-000047600000}"/>
    <cellStyle name="Normal 2 2 5 15 4 6" xfId="24648" xr:uid="{00000000-0005-0000-0000-000048600000}"/>
    <cellStyle name="Normal 2 2 5 15 4 7" xfId="24649" xr:uid="{00000000-0005-0000-0000-000049600000}"/>
    <cellStyle name="Normal 2 2 5 15 4 8" xfId="24650" xr:uid="{00000000-0005-0000-0000-00004A600000}"/>
    <cellStyle name="Normal 2 2 5 15 4 9" xfId="24651" xr:uid="{00000000-0005-0000-0000-00004B600000}"/>
    <cellStyle name="Normal 2 2 5 15 5" xfId="24652" xr:uid="{00000000-0005-0000-0000-00004C600000}"/>
    <cellStyle name="Normal 2 2 5 15 5 10" xfId="24653" xr:uid="{00000000-0005-0000-0000-00004D600000}"/>
    <cellStyle name="Normal 2 2 5 15 5 2" xfId="24654" xr:uid="{00000000-0005-0000-0000-00004E600000}"/>
    <cellStyle name="Normal 2 2 5 15 5 3" xfId="24655" xr:uid="{00000000-0005-0000-0000-00004F600000}"/>
    <cellStyle name="Normal 2 2 5 15 5 4" xfId="24656" xr:uid="{00000000-0005-0000-0000-000050600000}"/>
    <cellStyle name="Normal 2 2 5 15 5 5" xfId="24657" xr:uid="{00000000-0005-0000-0000-000051600000}"/>
    <cellStyle name="Normal 2 2 5 15 5 6" xfId="24658" xr:uid="{00000000-0005-0000-0000-000052600000}"/>
    <cellStyle name="Normal 2 2 5 15 5 7" xfId="24659" xr:uid="{00000000-0005-0000-0000-000053600000}"/>
    <cellStyle name="Normal 2 2 5 15 5 8" xfId="24660" xr:uid="{00000000-0005-0000-0000-000054600000}"/>
    <cellStyle name="Normal 2 2 5 15 5 9" xfId="24661" xr:uid="{00000000-0005-0000-0000-000055600000}"/>
    <cellStyle name="Normal 2 2 5 15 6" xfId="24662" xr:uid="{00000000-0005-0000-0000-000056600000}"/>
    <cellStyle name="Normal 2 2 5 15 7" xfId="24663" xr:uid="{00000000-0005-0000-0000-000057600000}"/>
    <cellStyle name="Normal 2 2 5 15 8" xfId="24664" xr:uid="{00000000-0005-0000-0000-000058600000}"/>
    <cellStyle name="Normal 2 2 5 15 9" xfId="24665" xr:uid="{00000000-0005-0000-0000-000059600000}"/>
    <cellStyle name="Normal 2 2 5 16" xfId="24666" xr:uid="{00000000-0005-0000-0000-00005A600000}"/>
    <cellStyle name="Normal 2 2 5 16 10" xfId="24667" xr:uid="{00000000-0005-0000-0000-00005B600000}"/>
    <cellStyle name="Normal 2 2 5 16 11" xfId="24668" xr:uid="{00000000-0005-0000-0000-00005C600000}"/>
    <cellStyle name="Normal 2 2 5 16 12" xfId="24669" xr:uid="{00000000-0005-0000-0000-00005D600000}"/>
    <cellStyle name="Normal 2 2 5 16 13" xfId="24670" xr:uid="{00000000-0005-0000-0000-00005E600000}"/>
    <cellStyle name="Normal 2 2 5 16 14" xfId="24671" xr:uid="{00000000-0005-0000-0000-00005F600000}"/>
    <cellStyle name="Normal 2 2 5 16 2" xfId="24672" xr:uid="{00000000-0005-0000-0000-000060600000}"/>
    <cellStyle name="Normal 2 2 5 16 2 10" xfId="24673" xr:uid="{00000000-0005-0000-0000-000061600000}"/>
    <cellStyle name="Normal 2 2 5 16 2 2" xfId="24674" xr:uid="{00000000-0005-0000-0000-000062600000}"/>
    <cellStyle name="Normal 2 2 5 16 2 3" xfId="24675" xr:uid="{00000000-0005-0000-0000-000063600000}"/>
    <cellStyle name="Normal 2 2 5 16 2 4" xfId="24676" xr:uid="{00000000-0005-0000-0000-000064600000}"/>
    <cellStyle name="Normal 2 2 5 16 2 5" xfId="24677" xr:uid="{00000000-0005-0000-0000-000065600000}"/>
    <cellStyle name="Normal 2 2 5 16 2 6" xfId="24678" xr:uid="{00000000-0005-0000-0000-000066600000}"/>
    <cellStyle name="Normal 2 2 5 16 2 7" xfId="24679" xr:uid="{00000000-0005-0000-0000-000067600000}"/>
    <cellStyle name="Normal 2 2 5 16 2 8" xfId="24680" xr:uid="{00000000-0005-0000-0000-000068600000}"/>
    <cellStyle name="Normal 2 2 5 16 2 9" xfId="24681" xr:uid="{00000000-0005-0000-0000-000069600000}"/>
    <cellStyle name="Normal 2 2 5 16 3" xfId="24682" xr:uid="{00000000-0005-0000-0000-00006A600000}"/>
    <cellStyle name="Normal 2 2 5 16 3 10" xfId="24683" xr:uid="{00000000-0005-0000-0000-00006B600000}"/>
    <cellStyle name="Normal 2 2 5 16 3 2" xfId="24684" xr:uid="{00000000-0005-0000-0000-00006C600000}"/>
    <cellStyle name="Normal 2 2 5 16 3 3" xfId="24685" xr:uid="{00000000-0005-0000-0000-00006D600000}"/>
    <cellStyle name="Normal 2 2 5 16 3 4" xfId="24686" xr:uid="{00000000-0005-0000-0000-00006E600000}"/>
    <cellStyle name="Normal 2 2 5 16 3 5" xfId="24687" xr:uid="{00000000-0005-0000-0000-00006F600000}"/>
    <cellStyle name="Normal 2 2 5 16 3 6" xfId="24688" xr:uid="{00000000-0005-0000-0000-000070600000}"/>
    <cellStyle name="Normal 2 2 5 16 3 7" xfId="24689" xr:uid="{00000000-0005-0000-0000-000071600000}"/>
    <cellStyle name="Normal 2 2 5 16 3 8" xfId="24690" xr:uid="{00000000-0005-0000-0000-000072600000}"/>
    <cellStyle name="Normal 2 2 5 16 3 9" xfId="24691" xr:uid="{00000000-0005-0000-0000-000073600000}"/>
    <cellStyle name="Normal 2 2 5 16 4" xfId="24692" xr:uid="{00000000-0005-0000-0000-000074600000}"/>
    <cellStyle name="Normal 2 2 5 16 4 10" xfId="24693" xr:uid="{00000000-0005-0000-0000-000075600000}"/>
    <cellStyle name="Normal 2 2 5 16 4 2" xfId="24694" xr:uid="{00000000-0005-0000-0000-000076600000}"/>
    <cellStyle name="Normal 2 2 5 16 4 3" xfId="24695" xr:uid="{00000000-0005-0000-0000-000077600000}"/>
    <cellStyle name="Normal 2 2 5 16 4 4" xfId="24696" xr:uid="{00000000-0005-0000-0000-000078600000}"/>
    <cellStyle name="Normal 2 2 5 16 4 5" xfId="24697" xr:uid="{00000000-0005-0000-0000-000079600000}"/>
    <cellStyle name="Normal 2 2 5 16 4 6" xfId="24698" xr:uid="{00000000-0005-0000-0000-00007A600000}"/>
    <cellStyle name="Normal 2 2 5 16 4 7" xfId="24699" xr:uid="{00000000-0005-0000-0000-00007B600000}"/>
    <cellStyle name="Normal 2 2 5 16 4 8" xfId="24700" xr:uid="{00000000-0005-0000-0000-00007C600000}"/>
    <cellStyle name="Normal 2 2 5 16 4 9" xfId="24701" xr:uid="{00000000-0005-0000-0000-00007D600000}"/>
    <cellStyle name="Normal 2 2 5 16 5" xfId="24702" xr:uid="{00000000-0005-0000-0000-00007E600000}"/>
    <cellStyle name="Normal 2 2 5 16 5 10" xfId="24703" xr:uid="{00000000-0005-0000-0000-00007F600000}"/>
    <cellStyle name="Normal 2 2 5 16 5 2" xfId="24704" xr:uid="{00000000-0005-0000-0000-000080600000}"/>
    <cellStyle name="Normal 2 2 5 16 5 3" xfId="24705" xr:uid="{00000000-0005-0000-0000-000081600000}"/>
    <cellStyle name="Normal 2 2 5 16 5 4" xfId="24706" xr:uid="{00000000-0005-0000-0000-000082600000}"/>
    <cellStyle name="Normal 2 2 5 16 5 5" xfId="24707" xr:uid="{00000000-0005-0000-0000-000083600000}"/>
    <cellStyle name="Normal 2 2 5 16 5 6" xfId="24708" xr:uid="{00000000-0005-0000-0000-000084600000}"/>
    <cellStyle name="Normal 2 2 5 16 5 7" xfId="24709" xr:uid="{00000000-0005-0000-0000-000085600000}"/>
    <cellStyle name="Normal 2 2 5 16 5 8" xfId="24710" xr:uid="{00000000-0005-0000-0000-000086600000}"/>
    <cellStyle name="Normal 2 2 5 16 5 9" xfId="24711" xr:uid="{00000000-0005-0000-0000-000087600000}"/>
    <cellStyle name="Normal 2 2 5 16 6" xfId="24712" xr:uid="{00000000-0005-0000-0000-000088600000}"/>
    <cellStyle name="Normal 2 2 5 16 7" xfId="24713" xr:uid="{00000000-0005-0000-0000-000089600000}"/>
    <cellStyle name="Normal 2 2 5 16 8" xfId="24714" xr:uid="{00000000-0005-0000-0000-00008A600000}"/>
    <cellStyle name="Normal 2 2 5 16 9" xfId="24715" xr:uid="{00000000-0005-0000-0000-00008B600000}"/>
    <cellStyle name="Normal 2 2 5 17" xfId="24716" xr:uid="{00000000-0005-0000-0000-00008C600000}"/>
    <cellStyle name="Normal 2 2 5 17 10" xfId="24717" xr:uid="{00000000-0005-0000-0000-00008D600000}"/>
    <cellStyle name="Normal 2 2 5 17 11" xfId="24718" xr:uid="{00000000-0005-0000-0000-00008E600000}"/>
    <cellStyle name="Normal 2 2 5 17 12" xfId="24719" xr:uid="{00000000-0005-0000-0000-00008F600000}"/>
    <cellStyle name="Normal 2 2 5 17 13" xfId="24720" xr:uid="{00000000-0005-0000-0000-000090600000}"/>
    <cellStyle name="Normal 2 2 5 17 14" xfId="24721" xr:uid="{00000000-0005-0000-0000-000091600000}"/>
    <cellStyle name="Normal 2 2 5 17 2" xfId="24722" xr:uid="{00000000-0005-0000-0000-000092600000}"/>
    <cellStyle name="Normal 2 2 5 17 2 10" xfId="24723" xr:uid="{00000000-0005-0000-0000-000093600000}"/>
    <cellStyle name="Normal 2 2 5 17 2 2" xfId="24724" xr:uid="{00000000-0005-0000-0000-000094600000}"/>
    <cellStyle name="Normal 2 2 5 17 2 3" xfId="24725" xr:uid="{00000000-0005-0000-0000-000095600000}"/>
    <cellStyle name="Normal 2 2 5 17 2 4" xfId="24726" xr:uid="{00000000-0005-0000-0000-000096600000}"/>
    <cellStyle name="Normal 2 2 5 17 2 5" xfId="24727" xr:uid="{00000000-0005-0000-0000-000097600000}"/>
    <cellStyle name="Normal 2 2 5 17 2 6" xfId="24728" xr:uid="{00000000-0005-0000-0000-000098600000}"/>
    <cellStyle name="Normal 2 2 5 17 2 7" xfId="24729" xr:uid="{00000000-0005-0000-0000-000099600000}"/>
    <cellStyle name="Normal 2 2 5 17 2 8" xfId="24730" xr:uid="{00000000-0005-0000-0000-00009A600000}"/>
    <cellStyle name="Normal 2 2 5 17 2 9" xfId="24731" xr:uid="{00000000-0005-0000-0000-00009B600000}"/>
    <cellStyle name="Normal 2 2 5 17 3" xfId="24732" xr:uid="{00000000-0005-0000-0000-00009C600000}"/>
    <cellStyle name="Normal 2 2 5 17 3 10" xfId="24733" xr:uid="{00000000-0005-0000-0000-00009D600000}"/>
    <cellStyle name="Normal 2 2 5 17 3 2" xfId="24734" xr:uid="{00000000-0005-0000-0000-00009E600000}"/>
    <cellStyle name="Normal 2 2 5 17 3 3" xfId="24735" xr:uid="{00000000-0005-0000-0000-00009F600000}"/>
    <cellStyle name="Normal 2 2 5 17 3 4" xfId="24736" xr:uid="{00000000-0005-0000-0000-0000A0600000}"/>
    <cellStyle name="Normal 2 2 5 17 3 5" xfId="24737" xr:uid="{00000000-0005-0000-0000-0000A1600000}"/>
    <cellStyle name="Normal 2 2 5 17 3 6" xfId="24738" xr:uid="{00000000-0005-0000-0000-0000A2600000}"/>
    <cellStyle name="Normal 2 2 5 17 3 7" xfId="24739" xr:uid="{00000000-0005-0000-0000-0000A3600000}"/>
    <cellStyle name="Normal 2 2 5 17 3 8" xfId="24740" xr:uid="{00000000-0005-0000-0000-0000A4600000}"/>
    <cellStyle name="Normal 2 2 5 17 3 9" xfId="24741" xr:uid="{00000000-0005-0000-0000-0000A5600000}"/>
    <cellStyle name="Normal 2 2 5 17 4" xfId="24742" xr:uid="{00000000-0005-0000-0000-0000A6600000}"/>
    <cellStyle name="Normal 2 2 5 17 4 10" xfId="24743" xr:uid="{00000000-0005-0000-0000-0000A7600000}"/>
    <cellStyle name="Normal 2 2 5 17 4 2" xfId="24744" xr:uid="{00000000-0005-0000-0000-0000A8600000}"/>
    <cellStyle name="Normal 2 2 5 17 4 3" xfId="24745" xr:uid="{00000000-0005-0000-0000-0000A9600000}"/>
    <cellStyle name="Normal 2 2 5 17 4 4" xfId="24746" xr:uid="{00000000-0005-0000-0000-0000AA600000}"/>
    <cellStyle name="Normal 2 2 5 17 4 5" xfId="24747" xr:uid="{00000000-0005-0000-0000-0000AB600000}"/>
    <cellStyle name="Normal 2 2 5 17 4 6" xfId="24748" xr:uid="{00000000-0005-0000-0000-0000AC600000}"/>
    <cellStyle name="Normal 2 2 5 17 4 7" xfId="24749" xr:uid="{00000000-0005-0000-0000-0000AD600000}"/>
    <cellStyle name="Normal 2 2 5 17 4 8" xfId="24750" xr:uid="{00000000-0005-0000-0000-0000AE600000}"/>
    <cellStyle name="Normal 2 2 5 17 4 9" xfId="24751" xr:uid="{00000000-0005-0000-0000-0000AF600000}"/>
    <cellStyle name="Normal 2 2 5 17 5" xfId="24752" xr:uid="{00000000-0005-0000-0000-0000B0600000}"/>
    <cellStyle name="Normal 2 2 5 17 5 10" xfId="24753" xr:uid="{00000000-0005-0000-0000-0000B1600000}"/>
    <cellStyle name="Normal 2 2 5 17 5 2" xfId="24754" xr:uid="{00000000-0005-0000-0000-0000B2600000}"/>
    <cellStyle name="Normal 2 2 5 17 5 3" xfId="24755" xr:uid="{00000000-0005-0000-0000-0000B3600000}"/>
    <cellStyle name="Normal 2 2 5 17 5 4" xfId="24756" xr:uid="{00000000-0005-0000-0000-0000B4600000}"/>
    <cellStyle name="Normal 2 2 5 17 5 5" xfId="24757" xr:uid="{00000000-0005-0000-0000-0000B5600000}"/>
    <cellStyle name="Normal 2 2 5 17 5 6" xfId="24758" xr:uid="{00000000-0005-0000-0000-0000B6600000}"/>
    <cellStyle name="Normal 2 2 5 17 5 7" xfId="24759" xr:uid="{00000000-0005-0000-0000-0000B7600000}"/>
    <cellStyle name="Normal 2 2 5 17 5 8" xfId="24760" xr:uid="{00000000-0005-0000-0000-0000B8600000}"/>
    <cellStyle name="Normal 2 2 5 17 5 9" xfId="24761" xr:uid="{00000000-0005-0000-0000-0000B9600000}"/>
    <cellStyle name="Normal 2 2 5 17 6" xfId="24762" xr:uid="{00000000-0005-0000-0000-0000BA600000}"/>
    <cellStyle name="Normal 2 2 5 17 7" xfId="24763" xr:uid="{00000000-0005-0000-0000-0000BB600000}"/>
    <cellStyle name="Normal 2 2 5 17 8" xfId="24764" xr:uid="{00000000-0005-0000-0000-0000BC600000}"/>
    <cellStyle name="Normal 2 2 5 17 9" xfId="24765" xr:uid="{00000000-0005-0000-0000-0000BD600000}"/>
    <cellStyle name="Normal 2 2 5 18" xfId="24766" xr:uid="{00000000-0005-0000-0000-0000BE600000}"/>
    <cellStyle name="Normal 2 2 5 18 10" xfId="24767" xr:uid="{00000000-0005-0000-0000-0000BF600000}"/>
    <cellStyle name="Normal 2 2 5 18 11" xfId="24768" xr:uid="{00000000-0005-0000-0000-0000C0600000}"/>
    <cellStyle name="Normal 2 2 5 18 12" xfId="24769" xr:uid="{00000000-0005-0000-0000-0000C1600000}"/>
    <cellStyle name="Normal 2 2 5 18 13" xfId="24770" xr:uid="{00000000-0005-0000-0000-0000C2600000}"/>
    <cellStyle name="Normal 2 2 5 18 14" xfId="24771" xr:uid="{00000000-0005-0000-0000-0000C3600000}"/>
    <cellStyle name="Normal 2 2 5 18 2" xfId="24772" xr:uid="{00000000-0005-0000-0000-0000C4600000}"/>
    <cellStyle name="Normal 2 2 5 18 2 10" xfId="24773" xr:uid="{00000000-0005-0000-0000-0000C5600000}"/>
    <cellStyle name="Normal 2 2 5 18 2 2" xfId="24774" xr:uid="{00000000-0005-0000-0000-0000C6600000}"/>
    <cellStyle name="Normal 2 2 5 18 2 3" xfId="24775" xr:uid="{00000000-0005-0000-0000-0000C7600000}"/>
    <cellStyle name="Normal 2 2 5 18 2 4" xfId="24776" xr:uid="{00000000-0005-0000-0000-0000C8600000}"/>
    <cellStyle name="Normal 2 2 5 18 2 5" xfId="24777" xr:uid="{00000000-0005-0000-0000-0000C9600000}"/>
    <cellStyle name="Normal 2 2 5 18 2 6" xfId="24778" xr:uid="{00000000-0005-0000-0000-0000CA600000}"/>
    <cellStyle name="Normal 2 2 5 18 2 7" xfId="24779" xr:uid="{00000000-0005-0000-0000-0000CB600000}"/>
    <cellStyle name="Normal 2 2 5 18 2 8" xfId="24780" xr:uid="{00000000-0005-0000-0000-0000CC600000}"/>
    <cellStyle name="Normal 2 2 5 18 2 9" xfId="24781" xr:uid="{00000000-0005-0000-0000-0000CD600000}"/>
    <cellStyle name="Normal 2 2 5 18 3" xfId="24782" xr:uid="{00000000-0005-0000-0000-0000CE600000}"/>
    <cellStyle name="Normal 2 2 5 18 3 10" xfId="24783" xr:uid="{00000000-0005-0000-0000-0000CF600000}"/>
    <cellStyle name="Normal 2 2 5 18 3 2" xfId="24784" xr:uid="{00000000-0005-0000-0000-0000D0600000}"/>
    <cellStyle name="Normal 2 2 5 18 3 3" xfId="24785" xr:uid="{00000000-0005-0000-0000-0000D1600000}"/>
    <cellStyle name="Normal 2 2 5 18 3 4" xfId="24786" xr:uid="{00000000-0005-0000-0000-0000D2600000}"/>
    <cellStyle name="Normal 2 2 5 18 3 5" xfId="24787" xr:uid="{00000000-0005-0000-0000-0000D3600000}"/>
    <cellStyle name="Normal 2 2 5 18 3 6" xfId="24788" xr:uid="{00000000-0005-0000-0000-0000D4600000}"/>
    <cellStyle name="Normal 2 2 5 18 3 7" xfId="24789" xr:uid="{00000000-0005-0000-0000-0000D5600000}"/>
    <cellStyle name="Normal 2 2 5 18 3 8" xfId="24790" xr:uid="{00000000-0005-0000-0000-0000D6600000}"/>
    <cellStyle name="Normal 2 2 5 18 3 9" xfId="24791" xr:uid="{00000000-0005-0000-0000-0000D7600000}"/>
    <cellStyle name="Normal 2 2 5 18 4" xfId="24792" xr:uid="{00000000-0005-0000-0000-0000D8600000}"/>
    <cellStyle name="Normal 2 2 5 18 4 10" xfId="24793" xr:uid="{00000000-0005-0000-0000-0000D9600000}"/>
    <cellStyle name="Normal 2 2 5 18 4 2" xfId="24794" xr:uid="{00000000-0005-0000-0000-0000DA600000}"/>
    <cellStyle name="Normal 2 2 5 18 4 3" xfId="24795" xr:uid="{00000000-0005-0000-0000-0000DB600000}"/>
    <cellStyle name="Normal 2 2 5 18 4 4" xfId="24796" xr:uid="{00000000-0005-0000-0000-0000DC600000}"/>
    <cellStyle name="Normal 2 2 5 18 4 5" xfId="24797" xr:uid="{00000000-0005-0000-0000-0000DD600000}"/>
    <cellStyle name="Normal 2 2 5 18 4 6" xfId="24798" xr:uid="{00000000-0005-0000-0000-0000DE600000}"/>
    <cellStyle name="Normal 2 2 5 18 4 7" xfId="24799" xr:uid="{00000000-0005-0000-0000-0000DF600000}"/>
    <cellStyle name="Normal 2 2 5 18 4 8" xfId="24800" xr:uid="{00000000-0005-0000-0000-0000E0600000}"/>
    <cellStyle name="Normal 2 2 5 18 4 9" xfId="24801" xr:uid="{00000000-0005-0000-0000-0000E1600000}"/>
    <cellStyle name="Normal 2 2 5 18 5" xfId="24802" xr:uid="{00000000-0005-0000-0000-0000E2600000}"/>
    <cellStyle name="Normal 2 2 5 18 5 10" xfId="24803" xr:uid="{00000000-0005-0000-0000-0000E3600000}"/>
    <cellStyle name="Normal 2 2 5 18 5 2" xfId="24804" xr:uid="{00000000-0005-0000-0000-0000E4600000}"/>
    <cellStyle name="Normal 2 2 5 18 5 3" xfId="24805" xr:uid="{00000000-0005-0000-0000-0000E5600000}"/>
    <cellStyle name="Normal 2 2 5 18 5 4" xfId="24806" xr:uid="{00000000-0005-0000-0000-0000E6600000}"/>
    <cellStyle name="Normal 2 2 5 18 5 5" xfId="24807" xr:uid="{00000000-0005-0000-0000-0000E7600000}"/>
    <cellStyle name="Normal 2 2 5 18 5 6" xfId="24808" xr:uid="{00000000-0005-0000-0000-0000E8600000}"/>
    <cellStyle name="Normal 2 2 5 18 5 7" xfId="24809" xr:uid="{00000000-0005-0000-0000-0000E9600000}"/>
    <cellStyle name="Normal 2 2 5 18 5 8" xfId="24810" xr:uid="{00000000-0005-0000-0000-0000EA600000}"/>
    <cellStyle name="Normal 2 2 5 18 5 9" xfId="24811" xr:uid="{00000000-0005-0000-0000-0000EB600000}"/>
    <cellStyle name="Normal 2 2 5 18 6" xfId="24812" xr:uid="{00000000-0005-0000-0000-0000EC600000}"/>
    <cellStyle name="Normal 2 2 5 18 7" xfId="24813" xr:uid="{00000000-0005-0000-0000-0000ED600000}"/>
    <cellStyle name="Normal 2 2 5 18 8" xfId="24814" xr:uid="{00000000-0005-0000-0000-0000EE600000}"/>
    <cellStyle name="Normal 2 2 5 18 9" xfId="24815" xr:uid="{00000000-0005-0000-0000-0000EF600000}"/>
    <cellStyle name="Normal 2 2 5 19" xfId="24816" xr:uid="{00000000-0005-0000-0000-0000F0600000}"/>
    <cellStyle name="Normal 2 2 5 19 10" xfId="24817" xr:uid="{00000000-0005-0000-0000-0000F1600000}"/>
    <cellStyle name="Normal 2 2 5 19 11" xfId="24818" xr:uid="{00000000-0005-0000-0000-0000F2600000}"/>
    <cellStyle name="Normal 2 2 5 19 12" xfId="24819" xr:uid="{00000000-0005-0000-0000-0000F3600000}"/>
    <cellStyle name="Normal 2 2 5 19 13" xfId="24820" xr:uid="{00000000-0005-0000-0000-0000F4600000}"/>
    <cellStyle name="Normal 2 2 5 19 14" xfId="24821" xr:uid="{00000000-0005-0000-0000-0000F5600000}"/>
    <cellStyle name="Normal 2 2 5 19 2" xfId="24822" xr:uid="{00000000-0005-0000-0000-0000F6600000}"/>
    <cellStyle name="Normal 2 2 5 19 2 10" xfId="24823" xr:uid="{00000000-0005-0000-0000-0000F7600000}"/>
    <cellStyle name="Normal 2 2 5 19 2 2" xfId="24824" xr:uid="{00000000-0005-0000-0000-0000F8600000}"/>
    <cellStyle name="Normal 2 2 5 19 2 3" xfId="24825" xr:uid="{00000000-0005-0000-0000-0000F9600000}"/>
    <cellStyle name="Normal 2 2 5 19 2 4" xfId="24826" xr:uid="{00000000-0005-0000-0000-0000FA600000}"/>
    <cellStyle name="Normal 2 2 5 19 2 5" xfId="24827" xr:uid="{00000000-0005-0000-0000-0000FB600000}"/>
    <cellStyle name="Normal 2 2 5 19 2 6" xfId="24828" xr:uid="{00000000-0005-0000-0000-0000FC600000}"/>
    <cellStyle name="Normal 2 2 5 19 2 7" xfId="24829" xr:uid="{00000000-0005-0000-0000-0000FD600000}"/>
    <cellStyle name="Normal 2 2 5 19 2 8" xfId="24830" xr:uid="{00000000-0005-0000-0000-0000FE600000}"/>
    <cellStyle name="Normal 2 2 5 19 2 9" xfId="24831" xr:uid="{00000000-0005-0000-0000-0000FF600000}"/>
    <cellStyle name="Normal 2 2 5 19 3" xfId="24832" xr:uid="{00000000-0005-0000-0000-000000610000}"/>
    <cellStyle name="Normal 2 2 5 19 3 10" xfId="24833" xr:uid="{00000000-0005-0000-0000-000001610000}"/>
    <cellStyle name="Normal 2 2 5 19 3 2" xfId="24834" xr:uid="{00000000-0005-0000-0000-000002610000}"/>
    <cellStyle name="Normal 2 2 5 19 3 3" xfId="24835" xr:uid="{00000000-0005-0000-0000-000003610000}"/>
    <cellStyle name="Normal 2 2 5 19 3 4" xfId="24836" xr:uid="{00000000-0005-0000-0000-000004610000}"/>
    <cellStyle name="Normal 2 2 5 19 3 5" xfId="24837" xr:uid="{00000000-0005-0000-0000-000005610000}"/>
    <cellStyle name="Normal 2 2 5 19 3 6" xfId="24838" xr:uid="{00000000-0005-0000-0000-000006610000}"/>
    <cellStyle name="Normal 2 2 5 19 3 7" xfId="24839" xr:uid="{00000000-0005-0000-0000-000007610000}"/>
    <cellStyle name="Normal 2 2 5 19 3 8" xfId="24840" xr:uid="{00000000-0005-0000-0000-000008610000}"/>
    <cellStyle name="Normal 2 2 5 19 3 9" xfId="24841" xr:uid="{00000000-0005-0000-0000-000009610000}"/>
    <cellStyle name="Normal 2 2 5 19 4" xfId="24842" xr:uid="{00000000-0005-0000-0000-00000A610000}"/>
    <cellStyle name="Normal 2 2 5 19 4 10" xfId="24843" xr:uid="{00000000-0005-0000-0000-00000B610000}"/>
    <cellStyle name="Normal 2 2 5 19 4 2" xfId="24844" xr:uid="{00000000-0005-0000-0000-00000C610000}"/>
    <cellStyle name="Normal 2 2 5 19 4 3" xfId="24845" xr:uid="{00000000-0005-0000-0000-00000D610000}"/>
    <cellStyle name="Normal 2 2 5 19 4 4" xfId="24846" xr:uid="{00000000-0005-0000-0000-00000E610000}"/>
    <cellStyle name="Normal 2 2 5 19 4 5" xfId="24847" xr:uid="{00000000-0005-0000-0000-00000F610000}"/>
    <cellStyle name="Normal 2 2 5 19 4 6" xfId="24848" xr:uid="{00000000-0005-0000-0000-000010610000}"/>
    <cellStyle name="Normal 2 2 5 19 4 7" xfId="24849" xr:uid="{00000000-0005-0000-0000-000011610000}"/>
    <cellStyle name="Normal 2 2 5 19 4 8" xfId="24850" xr:uid="{00000000-0005-0000-0000-000012610000}"/>
    <cellStyle name="Normal 2 2 5 19 4 9" xfId="24851" xr:uid="{00000000-0005-0000-0000-000013610000}"/>
    <cellStyle name="Normal 2 2 5 19 5" xfId="24852" xr:uid="{00000000-0005-0000-0000-000014610000}"/>
    <cellStyle name="Normal 2 2 5 19 5 10" xfId="24853" xr:uid="{00000000-0005-0000-0000-000015610000}"/>
    <cellStyle name="Normal 2 2 5 19 5 2" xfId="24854" xr:uid="{00000000-0005-0000-0000-000016610000}"/>
    <cellStyle name="Normal 2 2 5 19 5 3" xfId="24855" xr:uid="{00000000-0005-0000-0000-000017610000}"/>
    <cellStyle name="Normal 2 2 5 19 5 4" xfId="24856" xr:uid="{00000000-0005-0000-0000-000018610000}"/>
    <cellStyle name="Normal 2 2 5 19 5 5" xfId="24857" xr:uid="{00000000-0005-0000-0000-000019610000}"/>
    <cellStyle name="Normal 2 2 5 19 5 6" xfId="24858" xr:uid="{00000000-0005-0000-0000-00001A610000}"/>
    <cellStyle name="Normal 2 2 5 19 5 7" xfId="24859" xr:uid="{00000000-0005-0000-0000-00001B610000}"/>
    <cellStyle name="Normal 2 2 5 19 5 8" xfId="24860" xr:uid="{00000000-0005-0000-0000-00001C610000}"/>
    <cellStyle name="Normal 2 2 5 19 5 9" xfId="24861" xr:uid="{00000000-0005-0000-0000-00001D610000}"/>
    <cellStyle name="Normal 2 2 5 19 6" xfId="24862" xr:uid="{00000000-0005-0000-0000-00001E610000}"/>
    <cellStyle name="Normal 2 2 5 19 7" xfId="24863" xr:uid="{00000000-0005-0000-0000-00001F610000}"/>
    <cellStyle name="Normal 2 2 5 19 8" xfId="24864" xr:uid="{00000000-0005-0000-0000-000020610000}"/>
    <cellStyle name="Normal 2 2 5 19 9" xfId="24865" xr:uid="{00000000-0005-0000-0000-000021610000}"/>
    <cellStyle name="Normal 2 2 5 2" xfId="24866" xr:uid="{00000000-0005-0000-0000-000022610000}"/>
    <cellStyle name="Normal 2 2 5 2 10" xfId="24867" xr:uid="{00000000-0005-0000-0000-000023610000}"/>
    <cellStyle name="Normal 2 2 5 2 11" xfId="24868" xr:uid="{00000000-0005-0000-0000-000024610000}"/>
    <cellStyle name="Normal 2 2 5 2 12" xfId="24869" xr:uid="{00000000-0005-0000-0000-000025610000}"/>
    <cellStyle name="Normal 2 2 5 2 13" xfId="24870" xr:uid="{00000000-0005-0000-0000-000026610000}"/>
    <cellStyle name="Normal 2 2 5 2 14" xfId="24871" xr:uid="{00000000-0005-0000-0000-000027610000}"/>
    <cellStyle name="Normal 2 2 5 2 15" xfId="24872" xr:uid="{00000000-0005-0000-0000-000028610000}"/>
    <cellStyle name="Normal 2 2 5 2 16" xfId="24873" xr:uid="{00000000-0005-0000-0000-000029610000}"/>
    <cellStyle name="Normal 2 2 5 2 17" xfId="24874" xr:uid="{00000000-0005-0000-0000-00002A610000}"/>
    <cellStyle name="Normal 2 2 5 2 18" xfId="24875" xr:uid="{00000000-0005-0000-0000-00002B610000}"/>
    <cellStyle name="Normal 2 2 5 2 19" xfId="24876" xr:uid="{00000000-0005-0000-0000-00002C610000}"/>
    <cellStyle name="Normal 2 2 5 2 2" xfId="24877" xr:uid="{00000000-0005-0000-0000-00002D610000}"/>
    <cellStyle name="Normal 2 2 5 2 20" xfId="24878" xr:uid="{00000000-0005-0000-0000-00002E610000}"/>
    <cellStyle name="Normal 2 2 5 2 21" xfId="24879" xr:uid="{00000000-0005-0000-0000-00002F610000}"/>
    <cellStyle name="Normal 2 2 5 2 21 10" xfId="24880" xr:uid="{00000000-0005-0000-0000-000030610000}"/>
    <cellStyle name="Normal 2 2 5 2 21 2" xfId="24881" xr:uid="{00000000-0005-0000-0000-000031610000}"/>
    <cellStyle name="Normal 2 2 5 2 21 3" xfId="24882" xr:uid="{00000000-0005-0000-0000-000032610000}"/>
    <cellStyle name="Normal 2 2 5 2 21 4" xfId="24883" xr:uid="{00000000-0005-0000-0000-000033610000}"/>
    <cellStyle name="Normal 2 2 5 2 21 5" xfId="24884" xr:uid="{00000000-0005-0000-0000-000034610000}"/>
    <cellStyle name="Normal 2 2 5 2 21 6" xfId="24885" xr:uid="{00000000-0005-0000-0000-000035610000}"/>
    <cellStyle name="Normal 2 2 5 2 21 7" xfId="24886" xr:uid="{00000000-0005-0000-0000-000036610000}"/>
    <cellStyle name="Normal 2 2 5 2 21 8" xfId="24887" xr:uid="{00000000-0005-0000-0000-000037610000}"/>
    <cellStyle name="Normal 2 2 5 2 21 9" xfId="24888" xr:uid="{00000000-0005-0000-0000-000038610000}"/>
    <cellStyle name="Normal 2 2 5 2 22" xfId="24889" xr:uid="{00000000-0005-0000-0000-000039610000}"/>
    <cellStyle name="Normal 2 2 5 2 22 10" xfId="24890" xr:uid="{00000000-0005-0000-0000-00003A610000}"/>
    <cellStyle name="Normal 2 2 5 2 22 2" xfId="24891" xr:uid="{00000000-0005-0000-0000-00003B610000}"/>
    <cellStyle name="Normal 2 2 5 2 22 3" xfId="24892" xr:uid="{00000000-0005-0000-0000-00003C610000}"/>
    <cellStyle name="Normal 2 2 5 2 22 4" xfId="24893" xr:uid="{00000000-0005-0000-0000-00003D610000}"/>
    <cellStyle name="Normal 2 2 5 2 22 5" xfId="24894" xr:uid="{00000000-0005-0000-0000-00003E610000}"/>
    <cellStyle name="Normal 2 2 5 2 22 6" xfId="24895" xr:uid="{00000000-0005-0000-0000-00003F610000}"/>
    <cellStyle name="Normal 2 2 5 2 22 7" xfId="24896" xr:uid="{00000000-0005-0000-0000-000040610000}"/>
    <cellStyle name="Normal 2 2 5 2 22 8" xfId="24897" xr:uid="{00000000-0005-0000-0000-000041610000}"/>
    <cellStyle name="Normal 2 2 5 2 22 9" xfId="24898" xr:uid="{00000000-0005-0000-0000-000042610000}"/>
    <cellStyle name="Normal 2 2 5 2 23" xfId="24899" xr:uid="{00000000-0005-0000-0000-000043610000}"/>
    <cellStyle name="Normal 2 2 5 2 23 10" xfId="24900" xr:uid="{00000000-0005-0000-0000-000044610000}"/>
    <cellStyle name="Normal 2 2 5 2 23 2" xfId="24901" xr:uid="{00000000-0005-0000-0000-000045610000}"/>
    <cellStyle name="Normal 2 2 5 2 23 3" xfId="24902" xr:uid="{00000000-0005-0000-0000-000046610000}"/>
    <cellStyle name="Normal 2 2 5 2 23 4" xfId="24903" xr:uid="{00000000-0005-0000-0000-000047610000}"/>
    <cellStyle name="Normal 2 2 5 2 23 5" xfId="24904" xr:uid="{00000000-0005-0000-0000-000048610000}"/>
    <cellStyle name="Normal 2 2 5 2 23 6" xfId="24905" xr:uid="{00000000-0005-0000-0000-000049610000}"/>
    <cellStyle name="Normal 2 2 5 2 23 7" xfId="24906" xr:uid="{00000000-0005-0000-0000-00004A610000}"/>
    <cellStyle name="Normal 2 2 5 2 23 8" xfId="24907" xr:uid="{00000000-0005-0000-0000-00004B610000}"/>
    <cellStyle name="Normal 2 2 5 2 23 9" xfId="24908" xr:uid="{00000000-0005-0000-0000-00004C610000}"/>
    <cellStyle name="Normal 2 2 5 2 24" xfId="24909" xr:uid="{00000000-0005-0000-0000-00004D610000}"/>
    <cellStyle name="Normal 2 2 5 2 24 10" xfId="24910" xr:uid="{00000000-0005-0000-0000-00004E610000}"/>
    <cellStyle name="Normal 2 2 5 2 24 2" xfId="24911" xr:uid="{00000000-0005-0000-0000-00004F610000}"/>
    <cellStyle name="Normal 2 2 5 2 24 3" xfId="24912" xr:uid="{00000000-0005-0000-0000-000050610000}"/>
    <cellStyle name="Normal 2 2 5 2 24 4" xfId="24913" xr:uid="{00000000-0005-0000-0000-000051610000}"/>
    <cellStyle name="Normal 2 2 5 2 24 5" xfId="24914" xr:uid="{00000000-0005-0000-0000-000052610000}"/>
    <cellStyle name="Normal 2 2 5 2 24 6" xfId="24915" xr:uid="{00000000-0005-0000-0000-000053610000}"/>
    <cellStyle name="Normal 2 2 5 2 24 7" xfId="24916" xr:uid="{00000000-0005-0000-0000-000054610000}"/>
    <cellStyle name="Normal 2 2 5 2 24 8" xfId="24917" xr:uid="{00000000-0005-0000-0000-000055610000}"/>
    <cellStyle name="Normal 2 2 5 2 24 9" xfId="24918" xr:uid="{00000000-0005-0000-0000-000056610000}"/>
    <cellStyle name="Normal 2 2 5 2 25" xfId="24919" xr:uid="{00000000-0005-0000-0000-000057610000}"/>
    <cellStyle name="Normal 2 2 5 2 26" xfId="24920" xr:uid="{00000000-0005-0000-0000-000058610000}"/>
    <cellStyle name="Normal 2 2 5 2 27" xfId="24921" xr:uid="{00000000-0005-0000-0000-000059610000}"/>
    <cellStyle name="Normal 2 2 5 2 28" xfId="24922" xr:uid="{00000000-0005-0000-0000-00005A610000}"/>
    <cellStyle name="Normal 2 2 5 2 29" xfId="24923" xr:uid="{00000000-0005-0000-0000-00005B610000}"/>
    <cellStyle name="Normal 2 2 5 2 3" xfId="24924" xr:uid="{00000000-0005-0000-0000-00005C610000}"/>
    <cellStyle name="Normal 2 2 5 2 30" xfId="24925" xr:uid="{00000000-0005-0000-0000-00005D610000}"/>
    <cellStyle name="Normal 2 2 5 2 31" xfId="24926" xr:uid="{00000000-0005-0000-0000-00005E610000}"/>
    <cellStyle name="Normal 2 2 5 2 32" xfId="24927" xr:uid="{00000000-0005-0000-0000-00005F610000}"/>
    <cellStyle name="Normal 2 2 5 2 33" xfId="24928" xr:uid="{00000000-0005-0000-0000-000060610000}"/>
    <cellStyle name="Normal 2 2 5 2 4" xfId="24929" xr:uid="{00000000-0005-0000-0000-000061610000}"/>
    <cellStyle name="Normal 2 2 5 2 5" xfId="24930" xr:uid="{00000000-0005-0000-0000-000062610000}"/>
    <cellStyle name="Normal 2 2 5 2 6" xfId="24931" xr:uid="{00000000-0005-0000-0000-000063610000}"/>
    <cellStyle name="Normal 2 2 5 2 7" xfId="24932" xr:uid="{00000000-0005-0000-0000-000064610000}"/>
    <cellStyle name="Normal 2 2 5 2 8" xfId="24933" xr:uid="{00000000-0005-0000-0000-000065610000}"/>
    <cellStyle name="Normal 2 2 5 2 9" xfId="24934" xr:uid="{00000000-0005-0000-0000-000066610000}"/>
    <cellStyle name="Normal 2 2 5 20" xfId="24935" xr:uid="{00000000-0005-0000-0000-000067610000}"/>
    <cellStyle name="Normal 2 2 5 20 10" xfId="24936" xr:uid="{00000000-0005-0000-0000-000068610000}"/>
    <cellStyle name="Normal 2 2 5 20 11" xfId="24937" xr:uid="{00000000-0005-0000-0000-000069610000}"/>
    <cellStyle name="Normal 2 2 5 20 12" xfId="24938" xr:uid="{00000000-0005-0000-0000-00006A610000}"/>
    <cellStyle name="Normal 2 2 5 20 13" xfId="24939" xr:uid="{00000000-0005-0000-0000-00006B610000}"/>
    <cellStyle name="Normal 2 2 5 20 14" xfId="24940" xr:uid="{00000000-0005-0000-0000-00006C610000}"/>
    <cellStyle name="Normal 2 2 5 20 2" xfId="24941" xr:uid="{00000000-0005-0000-0000-00006D610000}"/>
    <cellStyle name="Normal 2 2 5 20 2 10" xfId="24942" xr:uid="{00000000-0005-0000-0000-00006E610000}"/>
    <cellStyle name="Normal 2 2 5 20 2 2" xfId="24943" xr:uid="{00000000-0005-0000-0000-00006F610000}"/>
    <cellStyle name="Normal 2 2 5 20 2 3" xfId="24944" xr:uid="{00000000-0005-0000-0000-000070610000}"/>
    <cellStyle name="Normal 2 2 5 20 2 4" xfId="24945" xr:uid="{00000000-0005-0000-0000-000071610000}"/>
    <cellStyle name="Normal 2 2 5 20 2 5" xfId="24946" xr:uid="{00000000-0005-0000-0000-000072610000}"/>
    <cellStyle name="Normal 2 2 5 20 2 6" xfId="24947" xr:uid="{00000000-0005-0000-0000-000073610000}"/>
    <cellStyle name="Normal 2 2 5 20 2 7" xfId="24948" xr:uid="{00000000-0005-0000-0000-000074610000}"/>
    <cellStyle name="Normal 2 2 5 20 2 8" xfId="24949" xr:uid="{00000000-0005-0000-0000-000075610000}"/>
    <cellStyle name="Normal 2 2 5 20 2 9" xfId="24950" xr:uid="{00000000-0005-0000-0000-000076610000}"/>
    <cellStyle name="Normal 2 2 5 20 3" xfId="24951" xr:uid="{00000000-0005-0000-0000-000077610000}"/>
    <cellStyle name="Normal 2 2 5 20 3 10" xfId="24952" xr:uid="{00000000-0005-0000-0000-000078610000}"/>
    <cellStyle name="Normal 2 2 5 20 3 2" xfId="24953" xr:uid="{00000000-0005-0000-0000-000079610000}"/>
    <cellStyle name="Normal 2 2 5 20 3 3" xfId="24954" xr:uid="{00000000-0005-0000-0000-00007A610000}"/>
    <cellStyle name="Normal 2 2 5 20 3 4" xfId="24955" xr:uid="{00000000-0005-0000-0000-00007B610000}"/>
    <cellStyle name="Normal 2 2 5 20 3 5" xfId="24956" xr:uid="{00000000-0005-0000-0000-00007C610000}"/>
    <cellStyle name="Normal 2 2 5 20 3 6" xfId="24957" xr:uid="{00000000-0005-0000-0000-00007D610000}"/>
    <cellStyle name="Normal 2 2 5 20 3 7" xfId="24958" xr:uid="{00000000-0005-0000-0000-00007E610000}"/>
    <cellStyle name="Normal 2 2 5 20 3 8" xfId="24959" xr:uid="{00000000-0005-0000-0000-00007F610000}"/>
    <cellStyle name="Normal 2 2 5 20 3 9" xfId="24960" xr:uid="{00000000-0005-0000-0000-000080610000}"/>
    <cellStyle name="Normal 2 2 5 20 4" xfId="24961" xr:uid="{00000000-0005-0000-0000-000081610000}"/>
    <cellStyle name="Normal 2 2 5 20 4 10" xfId="24962" xr:uid="{00000000-0005-0000-0000-000082610000}"/>
    <cellStyle name="Normal 2 2 5 20 4 2" xfId="24963" xr:uid="{00000000-0005-0000-0000-000083610000}"/>
    <cellStyle name="Normal 2 2 5 20 4 3" xfId="24964" xr:uid="{00000000-0005-0000-0000-000084610000}"/>
    <cellStyle name="Normal 2 2 5 20 4 4" xfId="24965" xr:uid="{00000000-0005-0000-0000-000085610000}"/>
    <cellStyle name="Normal 2 2 5 20 4 5" xfId="24966" xr:uid="{00000000-0005-0000-0000-000086610000}"/>
    <cellStyle name="Normal 2 2 5 20 4 6" xfId="24967" xr:uid="{00000000-0005-0000-0000-000087610000}"/>
    <cellStyle name="Normal 2 2 5 20 4 7" xfId="24968" xr:uid="{00000000-0005-0000-0000-000088610000}"/>
    <cellStyle name="Normal 2 2 5 20 4 8" xfId="24969" xr:uid="{00000000-0005-0000-0000-000089610000}"/>
    <cellStyle name="Normal 2 2 5 20 4 9" xfId="24970" xr:uid="{00000000-0005-0000-0000-00008A610000}"/>
    <cellStyle name="Normal 2 2 5 20 5" xfId="24971" xr:uid="{00000000-0005-0000-0000-00008B610000}"/>
    <cellStyle name="Normal 2 2 5 20 5 10" xfId="24972" xr:uid="{00000000-0005-0000-0000-00008C610000}"/>
    <cellStyle name="Normal 2 2 5 20 5 2" xfId="24973" xr:uid="{00000000-0005-0000-0000-00008D610000}"/>
    <cellStyle name="Normal 2 2 5 20 5 3" xfId="24974" xr:uid="{00000000-0005-0000-0000-00008E610000}"/>
    <cellStyle name="Normal 2 2 5 20 5 4" xfId="24975" xr:uid="{00000000-0005-0000-0000-00008F610000}"/>
    <cellStyle name="Normal 2 2 5 20 5 5" xfId="24976" xr:uid="{00000000-0005-0000-0000-000090610000}"/>
    <cellStyle name="Normal 2 2 5 20 5 6" xfId="24977" xr:uid="{00000000-0005-0000-0000-000091610000}"/>
    <cellStyle name="Normal 2 2 5 20 5 7" xfId="24978" xr:uid="{00000000-0005-0000-0000-000092610000}"/>
    <cellStyle name="Normal 2 2 5 20 5 8" xfId="24979" xr:uid="{00000000-0005-0000-0000-000093610000}"/>
    <cellStyle name="Normal 2 2 5 20 5 9" xfId="24980" xr:uid="{00000000-0005-0000-0000-000094610000}"/>
    <cellStyle name="Normal 2 2 5 20 6" xfId="24981" xr:uid="{00000000-0005-0000-0000-000095610000}"/>
    <cellStyle name="Normal 2 2 5 20 7" xfId="24982" xr:uid="{00000000-0005-0000-0000-000096610000}"/>
    <cellStyle name="Normal 2 2 5 20 8" xfId="24983" xr:uid="{00000000-0005-0000-0000-000097610000}"/>
    <cellStyle name="Normal 2 2 5 20 9" xfId="24984" xr:uid="{00000000-0005-0000-0000-000098610000}"/>
    <cellStyle name="Normal 2 2 5 21" xfId="24985" xr:uid="{00000000-0005-0000-0000-000099610000}"/>
    <cellStyle name="Normal 2 2 5 22" xfId="24986" xr:uid="{00000000-0005-0000-0000-00009A610000}"/>
    <cellStyle name="Normal 2 2 5 23" xfId="24987" xr:uid="{00000000-0005-0000-0000-00009B610000}"/>
    <cellStyle name="Normal 2 2 5 24" xfId="24365" xr:uid="{00000000-0005-0000-0000-00002D5F0000}"/>
    <cellStyle name="Normal 2 2 5 3" xfId="24988" xr:uid="{00000000-0005-0000-0000-00009C610000}"/>
    <cellStyle name="Normal 2 2 5 3 10" xfId="24989" xr:uid="{00000000-0005-0000-0000-00009D610000}"/>
    <cellStyle name="Normal 2 2 5 3 11" xfId="24990" xr:uid="{00000000-0005-0000-0000-00009E610000}"/>
    <cellStyle name="Normal 2 2 5 3 12" xfId="24991" xr:uid="{00000000-0005-0000-0000-00009F610000}"/>
    <cellStyle name="Normal 2 2 5 3 13" xfId="24992" xr:uid="{00000000-0005-0000-0000-0000A0610000}"/>
    <cellStyle name="Normal 2 2 5 3 14" xfId="24993" xr:uid="{00000000-0005-0000-0000-0000A1610000}"/>
    <cellStyle name="Normal 2 2 5 3 2" xfId="24994" xr:uid="{00000000-0005-0000-0000-0000A2610000}"/>
    <cellStyle name="Normal 2 2 5 3 2 10" xfId="24995" xr:uid="{00000000-0005-0000-0000-0000A3610000}"/>
    <cellStyle name="Normal 2 2 5 3 2 2" xfId="24996" xr:uid="{00000000-0005-0000-0000-0000A4610000}"/>
    <cellStyle name="Normal 2 2 5 3 2 3" xfId="24997" xr:uid="{00000000-0005-0000-0000-0000A5610000}"/>
    <cellStyle name="Normal 2 2 5 3 2 4" xfId="24998" xr:uid="{00000000-0005-0000-0000-0000A6610000}"/>
    <cellStyle name="Normal 2 2 5 3 2 5" xfId="24999" xr:uid="{00000000-0005-0000-0000-0000A7610000}"/>
    <cellStyle name="Normal 2 2 5 3 2 6" xfId="25000" xr:uid="{00000000-0005-0000-0000-0000A8610000}"/>
    <cellStyle name="Normal 2 2 5 3 2 7" xfId="25001" xr:uid="{00000000-0005-0000-0000-0000A9610000}"/>
    <cellStyle name="Normal 2 2 5 3 2 8" xfId="25002" xr:uid="{00000000-0005-0000-0000-0000AA610000}"/>
    <cellStyle name="Normal 2 2 5 3 2 9" xfId="25003" xr:uid="{00000000-0005-0000-0000-0000AB610000}"/>
    <cellStyle name="Normal 2 2 5 3 3" xfId="25004" xr:uid="{00000000-0005-0000-0000-0000AC610000}"/>
    <cellStyle name="Normal 2 2 5 3 3 10" xfId="25005" xr:uid="{00000000-0005-0000-0000-0000AD610000}"/>
    <cellStyle name="Normal 2 2 5 3 3 2" xfId="25006" xr:uid="{00000000-0005-0000-0000-0000AE610000}"/>
    <cellStyle name="Normal 2 2 5 3 3 3" xfId="25007" xr:uid="{00000000-0005-0000-0000-0000AF610000}"/>
    <cellStyle name="Normal 2 2 5 3 3 4" xfId="25008" xr:uid="{00000000-0005-0000-0000-0000B0610000}"/>
    <cellStyle name="Normal 2 2 5 3 3 5" xfId="25009" xr:uid="{00000000-0005-0000-0000-0000B1610000}"/>
    <cellStyle name="Normal 2 2 5 3 3 6" xfId="25010" xr:uid="{00000000-0005-0000-0000-0000B2610000}"/>
    <cellStyle name="Normal 2 2 5 3 3 7" xfId="25011" xr:uid="{00000000-0005-0000-0000-0000B3610000}"/>
    <cellStyle name="Normal 2 2 5 3 3 8" xfId="25012" xr:uid="{00000000-0005-0000-0000-0000B4610000}"/>
    <cellStyle name="Normal 2 2 5 3 3 9" xfId="25013" xr:uid="{00000000-0005-0000-0000-0000B5610000}"/>
    <cellStyle name="Normal 2 2 5 3 4" xfId="25014" xr:uid="{00000000-0005-0000-0000-0000B6610000}"/>
    <cellStyle name="Normal 2 2 5 3 4 10" xfId="25015" xr:uid="{00000000-0005-0000-0000-0000B7610000}"/>
    <cellStyle name="Normal 2 2 5 3 4 2" xfId="25016" xr:uid="{00000000-0005-0000-0000-0000B8610000}"/>
    <cellStyle name="Normal 2 2 5 3 4 3" xfId="25017" xr:uid="{00000000-0005-0000-0000-0000B9610000}"/>
    <cellStyle name="Normal 2 2 5 3 4 4" xfId="25018" xr:uid="{00000000-0005-0000-0000-0000BA610000}"/>
    <cellStyle name="Normal 2 2 5 3 4 5" xfId="25019" xr:uid="{00000000-0005-0000-0000-0000BB610000}"/>
    <cellStyle name="Normal 2 2 5 3 4 6" xfId="25020" xr:uid="{00000000-0005-0000-0000-0000BC610000}"/>
    <cellStyle name="Normal 2 2 5 3 4 7" xfId="25021" xr:uid="{00000000-0005-0000-0000-0000BD610000}"/>
    <cellStyle name="Normal 2 2 5 3 4 8" xfId="25022" xr:uid="{00000000-0005-0000-0000-0000BE610000}"/>
    <cellStyle name="Normal 2 2 5 3 4 9" xfId="25023" xr:uid="{00000000-0005-0000-0000-0000BF610000}"/>
    <cellStyle name="Normal 2 2 5 3 5" xfId="25024" xr:uid="{00000000-0005-0000-0000-0000C0610000}"/>
    <cellStyle name="Normal 2 2 5 3 5 10" xfId="25025" xr:uid="{00000000-0005-0000-0000-0000C1610000}"/>
    <cellStyle name="Normal 2 2 5 3 5 2" xfId="25026" xr:uid="{00000000-0005-0000-0000-0000C2610000}"/>
    <cellStyle name="Normal 2 2 5 3 5 3" xfId="25027" xr:uid="{00000000-0005-0000-0000-0000C3610000}"/>
    <cellStyle name="Normal 2 2 5 3 5 4" xfId="25028" xr:uid="{00000000-0005-0000-0000-0000C4610000}"/>
    <cellStyle name="Normal 2 2 5 3 5 5" xfId="25029" xr:uid="{00000000-0005-0000-0000-0000C5610000}"/>
    <cellStyle name="Normal 2 2 5 3 5 6" xfId="25030" xr:uid="{00000000-0005-0000-0000-0000C6610000}"/>
    <cellStyle name="Normal 2 2 5 3 5 7" xfId="25031" xr:uid="{00000000-0005-0000-0000-0000C7610000}"/>
    <cellStyle name="Normal 2 2 5 3 5 8" xfId="25032" xr:uid="{00000000-0005-0000-0000-0000C8610000}"/>
    <cellStyle name="Normal 2 2 5 3 5 9" xfId="25033" xr:uid="{00000000-0005-0000-0000-0000C9610000}"/>
    <cellStyle name="Normal 2 2 5 3 6" xfId="25034" xr:uid="{00000000-0005-0000-0000-0000CA610000}"/>
    <cellStyle name="Normal 2 2 5 3 7" xfId="25035" xr:uid="{00000000-0005-0000-0000-0000CB610000}"/>
    <cellStyle name="Normal 2 2 5 3 8" xfId="25036" xr:uid="{00000000-0005-0000-0000-0000CC610000}"/>
    <cellStyle name="Normal 2 2 5 3 9" xfId="25037" xr:uid="{00000000-0005-0000-0000-0000CD610000}"/>
    <cellStyle name="Normal 2 2 5 4" xfId="25038" xr:uid="{00000000-0005-0000-0000-0000CE610000}"/>
    <cellStyle name="Normal 2 2 5 4 10" xfId="25039" xr:uid="{00000000-0005-0000-0000-0000CF610000}"/>
    <cellStyle name="Normal 2 2 5 4 11" xfId="25040" xr:uid="{00000000-0005-0000-0000-0000D0610000}"/>
    <cellStyle name="Normal 2 2 5 4 12" xfId="25041" xr:uid="{00000000-0005-0000-0000-0000D1610000}"/>
    <cellStyle name="Normal 2 2 5 4 13" xfId="25042" xr:uid="{00000000-0005-0000-0000-0000D2610000}"/>
    <cellStyle name="Normal 2 2 5 4 14" xfId="25043" xr:uid="{00000000-0005-0000-0000-0000D3610000}"/>
    <cellStyle name="Normal 2 2 5 4 2" xfId="25044" xr:uid="{00000000-0005-0000-0000-0000D4610000}"/>
    <cellStyle name="Normal 2 2 5 4 2 10" xfId="25045" xr:uid="{00000000-0005-0000-0000-0000D5610000}"/>
    <cellStyle name="Normal 2 2 5 4 2 2" xfId="25046" xr:uid="{00000000-0005-0000-0000-0000D6610000}"/>
    <cellStyle name="Normal 2 2 5 4 2 3" xfId="25047" xr:uid="{00000000-0005-0000-0000-0000D7610000}"/>
    <cellStyle name="Normal 2 2 5 4 2 4" xfId="25048" xr:uid="{00000000-0005-0000-0000-0000D8610000}"/>
    <cellStyle name="Normal 2 2 5 4 2 5" xfId="25049" xr:uid="{00000000-0005-0000-0000-0000D9610000}"/>
    <cellStyle name="Normal 2 2 5 4 2 6" xfId="25050" xr:uid="{00000000-0005-0000-0000-0000DA610000}"/>
    <cellStyle name="Normal 2 2 5 4 2 7" xfId="25051" xr:uid="{00000000-0005-0000-0000-0000DB610000}"/>
    <cellStyle name="Normal 2 2 5 4 2 8" xfId="25052" xr:uid="{00000000-0005-0000-0000-0000DC610000}"/>
    <cellStyle name="Normal 2 2 5 4 2 9" xfId="25053" xr:uid="{00000000-0005-0000-0000-0000DD610000}"/>
    <cellStyle name="Normal 2 2 5 4 3" xfId="25054" xr:uid="{00000000-0005-0000-0000-0000DE610000}"/>
    <cellStyle name="Normal 2 2 5 4 3 10" xfId="25055" xr:uid="{00000000-0005-0000-0000-0000DF610000}"/>
    <cellStyle name="Normal 2 2 5 4 3 2" xfId="25056" xr:uid="{00000000-0005-0000-0000-0000E0610000}"/>
    <cellStyle name="Normal 2 2 5 4 3 3" xfId="25057" xr:uid="{00000000-0005-0000-0000-0000E1610000}"/>
    <cellStyle name="Normal 2 2 5 4 3 4" xfId="25058" xr:uid="{00000000-0005-0000-0000-0000E2610000}"/>
    <cellStyle name="Normal 2 2 5 4 3 5" xfId="25059" xr:uid="{00000000-0005-0000-0000-0000E3610000}"/>
    <cellStyle name="Normal 2 2 5 4 3 6" xfId="25060" xr:uid="{00000000-0005-0000-0000-0000E4610000}"/>
    <cellStyle name="Normal 2 2 5 4 3 7" xfId="25061" xr:uid="{00000000-0005-0000-0000-0000E5610000}"/>
    <cellStyle name="Normal 2 2 5 4 3 8" xfId="25062" xr:uid="{00000000-0005-0000-0000-0000E6610000}"/>
    <cellStyle name="Normal 2 2 5 4 3 9" xfId="25063" xr:uid="{00000000-0005-0000-0000-0000E7610000}"/>
    <cellStyle name="Normal 2 2 5 4 4" xfId="25064" xr:uid="{00000000-0005-0000-0000-0000E8610000}"/>
    <cellStyle name="Normal 2 2 5 4 4 10" xfId="25065" xr:uid="{00000000-0005-0000-0000-0000E9610000}"/>
    <cellStyle name="Normal 2 2 5 4 4 2" xfId="25066" xr:uid="{00000000-0005-0000-0000-0000EA610000}"/>
    <cellStyle name="Normal 2 2 5 4 4 3" xfId="25067" xr:uid="{00000000-0005-0000-0000-0000EB610000}"/>
    <cellStyle name="Normal 2 2 5 4 4 4" xfId="25068" xr:uid="{00000000-0005-0000-0000-0000EC610000}"/>
    <cellStyle name="Normal 2 2 5 4 4 5" xfId="25069" xr:uid="{00000000-0005-0000-0000-0000ED610000}"/>
    <cellStyle name="Normal 2 2 5 4 4 6" xfId="25070" xr:uid="{00000000-0005-0000-0000-0000EE610000}"/>
    <cellStyle name="Normal 2 2 5 4 4 7" xfId="25071" xr:uid="{00000000-0005-0000-0000-0000EF610000}"/>
    <cellStyle name="Normal 2 2 5 4 4 8" xfId="25072" xr:uid="{00000000-0005-0000-0000-0000F0610000}"/>
    <cellStyle name="Normal 2 2 5 4 4 9" xfId="25073" xr:uid="{00000000-0005-0000-0000-0000F1610000}"/>
    <cellStyle name="Normal 2 2 5 4 5" xfId="25074" xr:uid="{00000000-0005-0000-0000-0000F2610000}"/>
    <cellStyle name="Normal 2 2 5 4 5 10" xfId="25075" xr:uid="{00000000-0005-0000-0000-0000F3610000}"/>
    <cellStyle name="Normal 2 2 5 4 5 2" xfId="25076" xr:uid="{00000000-0005-0000-0000-0000F4610000}"/>
    <cellStyle name="Normal 2 2 5 4 5 3" xfId="25077" xr:uid="{00000000-0005-0000-0000-0000F5610000}"/>
    <cellStyle name="Normal 2 2 5 4 5 4" xfId="25078" xr:uid="{00000000-0005-0000-0000-0000F6610000}"/>
    <cellStyle name="Normal 2 2 5 4 5 5" xfId="25079" xr:uid="{00000000-0005-0000-0000-0000F7610000}"/>
    <cellStyle name="Normal 2 2 5 4 5 6" xfId="25080" xr:uid="{00000000-0005-0000-0000-0000F8610000}"/>
    <cellStyle name="Normal 2 2 5 4 5 7" xfId="25081" xr:uid="{00000000-0005-0000-0000-0000F9610000}"/>
    <cellStyle name="Normal 2 2 5 4 5 8" xfId="25082" xr:uid="{00000000-0005-0000-0000-0000FA610000}"/>
    <cellStyle name="Normal 2 2 5 4 5 9" xfId="25083" xr:uid="{00000000-0005-0000-0000-0000FB610000}"/>
    <cellStyle name="Normal 2 2 5 4 6" xfId="25084" xr:uid="{00000000-0005-0000-0000-0000FC610000}"/>
    <cellStyle name="Normal 2 2 5 4 7" xfId="25085" xr:uid="{00000000-0005-0000-0000-0000FD610000}"/>
    <cellStyle name="Normal 2 2 5 4 8" xfId="25086" xr:uid="{00000000-0005-0000-0000-0000FE610000}"/>
    <cellStyle name="Normal 2 2 5 4 9" xfId="25087" xr:uid="{00000000-0005-0000-0000-0000FF610000}"/>
    <cellStyle name="Normal 2 2 5 5" xfId="25088" xr:uid="{00000000-0005-0000-0000-000000620000}"/>
    <cellStyle name="Normal 2 2 5 5 10" xfId="25089" xr:uid="{00000000-0005-0000-0000-000001620000}"/>
    <cellStyle name="Normal 2 2 5 5 11" xfId="25090" xr:uid="{00000000-0005-0000-0000-000002620000}"/>
    <cellStyle name="Normal 2 2 5 5 12" xfId="25091" xr:uid="{00000000-0005-0000-0000-000003620000}"/>
    <cellStyle name="Normal 2 2 5 5 13" xfId="25092" xr:uid="{00000000-0005-0000-0000-000004620000}"/>
    <cellStyle name="Normal 2 2 5 5 14" xfId="25093" xr:uid="{00000000-0005-0000-0000-000005620000}"/>
    <cellStyle name="Normal 2 2 5 5 2" xfId="25094" xr:uid="{00000000-0005-0000-0000-000006620000}"/>
    <cellStyle name="Normal 2 2 5 5 2 10" xfId="25095" xr:uid="{00000000-0005-0000-0000-000007620000}"/>
    <cellStyle name="Normal 2 2 5 5 2 2" xfId="25096" xr:uid="{00000000-0005-0000-0000-000008620000}"/>
    <cellStyle name="Normal 2 2 5 5 2 3" xfId="25097" xr:uid="{00000000-0005-0000-0000-000009620000}"/>
    <cellStyle name="Normal 2 2 5 5 2 4" xfId="25098" xr:uid="{00000000-0005-0000-0000-00000A620000}"/>
    <cellStyle name="Normal 2 2 5 5 2 5" xfId="25099" xr:uid="{00000000-0005-0000-0000-00000B620000}"/>
    <cellStyle name="Normal 2 2 5 5 2 6" xfId="25100" xr:uid="{00000000-0005-0000-0000-00000C620000}"/>
    <cellStyle name="Normal 2 2 5 5 2 7" xfId="25101" xr:uid="{00000000-0005-0000-0000-00000D620000}"/>
    <cellStyle name="Normal 2 2 5 5 2 8" xfId="25102" xr:uid="{00000000-0005-0000-0000-00000E620000}"/>
    <cellStyle name="Normal 2 2 5 5 2 9" xfId="25103" xr:uid="{00000000-0005-0000-0000-00000F620000}"/>
    <cellStyle name="Normal 2 2 5 5 3" xfId="25104" xr:uid="{00000000-0005-0000-0000-000010620000}"/>
    <cellStyle name="Normal 2 2 5 5 3 10" xfId="25105" xr:uid="{00000000-0005-0000-0000-000011620000}"/>
    <cellStyle name="Normal 2 2 5 5 3 2" xfId="25106" xr:uid="{00000000-0005-0000-0000-000012620000}"/>
    <cellStyle name="Normal 2 2 5 5 3 3" xfId="25107" xr:uid="{00000000-0005-0000-0000-000013620000}"/>
    <cellStyle name="Normal 2 2 5 5 3 4" xfId="25108" xr:uid="{00000000-0005-0000-0000-000014620000}"/>
    <cellStyle name="Normal 2 2 5 5 3 5" xfId="25109" xr:uid="{00000000-0005-0000-0000-000015620000}"/>
    <cellStyle name="Normal 2 2 5 5 3 6" xfId="25110" xr:uid="{00000000-0005-0000-0000-000016620000}"/>
    <cellStyle name="Normal 2 2 5 5 3 7" xfId="25111" xr:uid="{00000000-0005-0000-0000-000017620000}"/>
    <cellStyle name="Normal 2 2 5 5 3 8" xfId="25112" xr:uid="{00000000-0005-0000-0000-000018620000}"/>
    <cellStyle name="Normal 2 2 5 5 3 9" xfId="25113" xr:uid="{00000000-0005-0000-0000-000019620000}"/>
    <cellStyle name="Normal 2 2 5 5 4" xfId="25114" xr:uid="{00000000-0005-0000-0000-00001A620000}"/>
    <cellStyle name="Normal 2 2 5 5 4 10" xfId="25115" xr:uid="{00000000-0005-0000-0000-00001B620000}"/>
    <cellStyle name="Normal 2 2 5 5 4 2" xfId="25116" xr:uid="{00000000-0005-0000-0000-00001C620000}"/>
    <cellStyle name="Normal 2 2 5 5 4 3" xfId="25117" xr:uid="{00000000-0005-0000-0000-00001D620000}"/>
    <cellStyle name="Normal 2 2 5 5 4 4" xfId="25118" xr:uid="{00000000-0005-0000-0000-00001E620000}"/>
    <cellStyle name="Normal 2 2 5 5 4 5" xfId="25119" xr:uid="{00000000-0005-0000-0000-00001F620000}"/>
    <cellStyle name="Normal 2 2 5 5 4 6" xfId="25120" xr:uid="{00000000-0005-0000-0000-000020620000}"/>
    <cellStyle name="Normal 2 2 5 5 4 7" xfId="25121" xr:uid="{00000000-0005-0000-0000-000021620000}"/>
    <cellStyle name="Normal 2 2 5 5 4 8" xfId="25122" xr:uid="{00000000-0005-0000-0000-000022620000}"/>
    <cellStyle name="Normal 2 2 5 5 4 9" xfId="25123" xr:uid="{00000000-0005-0000-0000-000023620000}"/>
    <cellStyle name="Normal 2 2 5 5 5" xfId="25124" xr:uid="{00000000-0005-0000-0000-000024620000}"/>
    <cellStyle name="Normal 2 2 5 5 5 10" xfId="25125" xr:uid="{00000000-0005-0000-0000-000025620000}"/>
    <cellStyle name="Normal 2 2 5 5 5 2" xfId="25126" xr:uid="{00000000-0005-0000-0000-000026620000}"/>
    <cellStyle name="Normal 2 2 5 5 5 3" xfId="25127" xr:uid="{00000000-0005-0000-0000-000027620000}"/>
    <cellStyle name="Normal 2 2 5 5 5 4" xfId="25128" xr:uid="{00000000-0005-0000-0000-000028620000}"/>
    <cellStyle name="Normal 2 2 5 5 5 5" xfId="25129" xr:uid="{00000000-0005-0000-0000-000029620000}"/>
    <cellStyle name="Normal 2 2 5 5 5 6" xfId="25130" xr:uid="{00000000-0005-0000-0000-00002A620000}"/>
    <cellStyle name="Normal 2 2 5 5 5 7" xfId="25131" xr:uid="{00000000-0005-0000-0000-00002B620000}"/>
    <cellStyle name="Normal 2 2 5 5 5 8" xfId="25132" xr:uid="{00000000-0005-0000-0000-00002C620000}"/>
    <cellStyle name="Normal 2 2 5 5 5 9" xfId="25133" xr:uid="{00000000-0005-0000-0000-00002D620000}"/>
    <cellStyle name="Normal 2 2 5 5 6" xfId="25134" xr:uid="{00000000-0005-0000-0000-00002E620000}"/>
    <cellStyle name="Normal 2 2 5 5 7" xfId="25135" xr:uid="{00000000-0005-0000-0000-00002F620000}"/>
    <cellStyle name="Normal 2 2 5 5 8" xfId="25136" xr:uid="{00000000-0005-0000-0000-000030620000}"/>
    <cellStyle name="Normal 2 2 5 5 9" xfId="25137" xr:uid="{00000000-0005-0000-0000-000031620000}"/>
    <cellStyle name="Normal 2 2 5 6" xfId="25138" xr:uid="{00000000-0005-0000-0000-000032620000}"/>
    <cellStyle name="Normal 2 2 5 6 10" xfId="25139" xr:uid="{00000000-0005-0000-0000-000033620000}"/>
    <cellStyle name="Normal 2 2 5 6 11" xfId="25140" xr:uid="{00000000-0005-0000-0000-000034620000}"/>
    <cellStyle name="Normal 2 2 5 6 12" xfId="25141" xr:uid="{00000000-0005-0000-0000-000035620000}"/>
    <cellStyle name="Normal 2 2 5 6 13" xfId="25142" xr:uid="{00000000-0005-0000-0000-000036620000}"/>
    <cellStyle name="Normal 2 2 5 6 14" xfId="25143" xr:uid="{00000000-0005-0000-0000-000037620000}"/>
    <cellStyle name="Normal 2 2 5 6 2" xfId="25144" xr:uid="{00000000-0005-0000-0000-000038620000}"/>
    <cellStyle name="Normal 2 2 5 6 2 10" xfId="25145" xr:uid="{00000000-0005-0000-0000-000039620000}"/>
    <cellStyle name="Normal 2 2 5 6 2 2" xfId="25146" xr:uid="{00000000-0005-0000-0000-00003A620000}"/>
    <cellStyle name="Normal 2 2 5 6 2 3" xfId="25147" xr:uid="{00000000-0005-0000-0000-00003B620000}"/>
    <cellStyle name="Normal 2 2 5 6 2 4" xfId="25148" xr:uid="{00000000-0005-0000-0000-00003C620000}"/>
    <cellStyle name="Normal 2 2 5 6 2 5" xfId="25149" xr:uid="{00000000-0005-0000-0000-00003D620000}"/>
    <cellStyle name="Normal 2 2 5 6 2 6" xfId="25150" xr:uid="{00000000-0005-0000-0000-00003E620000}"/>
    <cellStyle name="Normal 2 2 5 6 2 7" xfId="25151" xr:uid="{00000000-0005-0000-0000-00003F620000}"/>
    <cellStyle name="Normal 2 2 5 6 2 8" xfId="25152" xr:uid="{00000000-0005-0000-0000-000040620000}"/>
    <cellStyle name="Normal 2 2 5 6 2 9" xfId="25153" xr:uid="{00000000-0005-0000-0000-000041620000}"/>
    <cellStyle name="Normal 2 2 5 6 3" xfId="25154" xr:uid="{00000000-0005-0000-0000-000042620000}"/>
    <cellStyle name="Normal 2 2 5 6 3 10" xfId="25155" xr:uid="{00000000-0005-0000-0000-000043620000}"/>
    <cellStyle name="Normal 2 2 5 6 3 2" xfId="25156" xr:uid="{00000000-0005-0000-0000-000044620000}"/>
    <cellStyle name="Normal 2 2 5 6 3 3" xfId="25157" xr:uid="{00000000-0005-0000-0000-000045620000}"/>
    <cellStyle name="Normal 2 2 5 6 3 4" xfId="25158" xr:uid="{00000000-0005-0000-0000-000046620000}"/>
    <cellStyle name="Normal 2 2 5 6 3 5" xfId="25159" xr:uid="{00000000-0005-0000-0000-000047620000}"/>
    <cellStyle name="Normal 2 2 5 6 3 6" xfId="25160" xr:uid="{00000000-0005-0000-0000-000048620000}"/>
    <cellStyle name="Normal 2 2 5 6 3 7" xfId="25161" xr:uid="{00000000-0005-0000-0000-000049620000}"/>
    <cellStyle name="Normal 2 2 5 6 3 8" xfId="25162" xr:uid="{00000000-0005-0000-0000-00004A620000}"/>
    <cellStyle name="Normal 2 2 5 6 3 9" xfId="25163" xr:uid="{00000000-0005-0000-0000-00004B620000}"/>
    <cellStyle name="Normal 2 2 5 6 4" xfId="25164" xr:uid="{00000000-0005-0000-0000-00004C620000}"/>
    <cellStyle name="Normal 2 2 5 6 4 10" xfId="25165" xr:uid="{00000000-0005-0000-0000-00004D620000}"/>
    <cellStyle name="Normal 2 2 5 6 4 2" xfId="25166" xr:uid="{00000000-0005-0000-0000-00004E620000}"/>
    <cellStyle name="Normal 2 2 5 6 4 3" xfId="25167" xr:uid="{00000000-0005-0000-0000-00004F620000}"/>
    <cellStyle name="Normal 2 2 5 6 4 4" xfId="25168" xr:uid="{00000000-0005-0000-0000-000050620000}"/>
    <cellStyle name="Normal 2 2 5 6 4 5" xfId="25169" xr:uid="{00000000-0005-0000-0000-000051620000}"/>
    <cellStyle name="Normal 2 2 5 6 4 6" xfId="25170" xr:uid="{00000000-0005-0000-0000-000052620000}"/>
    <cellStyle name="Normal 2 2 5 6 4 7" xfId="25171" xr:uid="{00000000-0005-0000-0000-000053620000}"/>
    <cellStyle name="Normal 2 2 5 6 4 8" xfId="25172" xr:uid="{00000000-0005-0000-0000-000054620000}"/>
    <cellStyle name="Normal 2 2 5 6 4 9" xfId="25173" xr:uid="{00000000-0005-0000-0000-000055620000}"/>
    <cellStyle name="Normal 2 2 5 6 5" xfId="25174" xr:uid="{00000000-0005-0000-0000-000056620000}"/>
    <cellStyle name="Normal 2 2 5 6 5 10" xfId="25175" xr:uid="{00000000-0005-0000-0000-000057620000}"/>
    <cellStyle name="Normal 2 2 5 6 5 2" xfId="25176" xr:uid="{00000000-0005-0000-0000-000058620000}"/>
    <cellStyle name="Normal 2 2 5 6 5 3" xfId="25177" xr:uid="{00000000-0005-0000-0000-000059620000}"/>
    <cellStyle name="Normal 2 2 5 6 5 4" xfId="25178" xr:uid="{00000000-0005-0000-0000-00005A620000}"/>
    <cellStyle name="Normal 2 2 5 6 5 5" xfId="25179" xr:uid="{00000000-0005-0000-0000-00005B620000}"/>
    <cellStyle name="Normal 2 2 5 6 5 6" xfId="25180" xr:uid="{00000000-0005-0000-0000-00005C620000}"/>
    <cellStyle name="Normal 2 2 5 6 5 7" xfId="25181" xr:uid="{00000000-0005-0000-0000-00005D620000}"/>
    <cellStyle name="Normal 2 2 5 6 5 8" xfId="25182" xr:uid="{00000000-0005-0000-0000-00005E620000}"/>
    <cellStyle name="Normal 2 2 5 6 5 9" xfId="25183" xr:uid="{00000000-0005-0000-0000-00005F620000}"/>
    <cellStyle name="Normal 2 2 5 6 6" xfId="25184" xr:uid="{00000000-0005-0000-0000-000060620000}"/>
    <cellStyle name="Normal 2 2 5 6 7" xfId="25185" xr:uid="{00000000-0005-0000-0000-000061620000}"/>
    <cellStyle name="Normal 2 2 5 6 8" xfId="25186" xr:uid="{00000000-0005-0000-0000-000062620000}"/>
    <cellStyle name="Normal 2 2 5 6 9" xfId="25187" xr:uid="{00000000-0005-0000-0000-000063620000}"/>
    <cellStyle name="Normal 2 2 5 7" xfId="25188" xr:uid="{00000000-0005-0000-0000-000064620000}"/>
    <cellStyle name="Normal 2 2 5 7 10" xfId="25189" xr:uid="{00000000-0005-0000-0000-000065620000}"/>
    <cellStyle name="Normal 2 2 5 7 11" xfId="25190" xr:uid="{00000000-0005-0000-0000-000066620000}"/>
    <cellStyle name="Normal 2 2 5 7 12" xfId="25191" xr:uid="{00000000-0005-0000-0000-000067620000}"/>
    <cellStyle name="Normal 2 2 5 7 13" xfId="25192" xr:uid="{00000000-0005-0000-0000-000068620000}"/>
    <cellStyle name="Normal 2 2 5 7 14" xfId="25193" xr:uid="{00000000-0005-0000-0000-000069620000}"/>
    <cellStyle name="Normal 2 2 5 7 2" xfId="25194" xr:uid="{00000000-0005-0000-0000-00006A620000}"/>
    <cellStyle name="Normal 2 2 5 7 2 10" xfId="25195" xr:uid="{00000000-0005-0000-0000-00006B620000}"/>
    <cellStyle name="Normal 2 2 5 7 2 2" xfId="25196" xr:uid="{00000000-0005-0000-0000-00006C620000}"/>
    <cellStyle name="Normal 2 2 5 7 2 3" xfId="25197" xr:uid="{00000000-0005-0000-0000-00006D620000}"/>
    <cellStyle name="Normal 2 2 5 7 2 4" xfId="25198" xr:uid="{00000000-0005-0000-0000-00006E620000}"/>
    <cellStyle name="Normal 2 2 5 7 2 5" xfId="25199" xr:uid="{00000000-0005-0000-0000-00006F620000}"/>
    <cellStyle name="Normal 2 2 5 7 2 6" xfId="25200" xr:uid="{00000000-0005-0000-0000-000070620000}"/>
    <cellStyle name="Normal 2 2 5 7 2 7" xfId="25201" xr:uid="{00000000-0005-0000-0000-000071620000}"/>
    <cellStyle name="Normal 2 2 5 7 2 8" xfId="25202" xr:uid="{00000000-0005-0000-0000-000072620000}"/>
    <cellStyle name="Normal 2 2 5 7 2 9" xfId="25203" xr:uid="{00000000-0005-0000-0000-000073620000}"/>
    <cellStyle name="Normal 2 2 5 7 3" xfId="25204" xr:uid="{00000000-0005-0000-0000-000074620000}"/>
    <cellStyle name="Normal 2 2 5 7 3 10" xfId="25205" xr:uid="{00000000-0005-0000-0000-000075620000}"/>
    <cellStyle name="Normal 2 2 5 7 3 2" xfId="25206" xr:uid="{00000000-0005-0000-0000-000076620000}"/>
    <cellStyle name="Normal 2 2 5 7 3 3" xfId="25207" xr:uid="{00000000-0005-0000-0000-000077620000}"/>
    <cellStyle name="Normal 2 2 5 7 3 4" xfId="25208" xr:uid="{00000000-0005-0000-0000-000078620000}"/>
    <cellStyle name="Normal 2 2 5 7 3 5" xfId="25209" xr:uid="{00000000-0005-0000-0000-000079620000}"/>
    <cellStyle name="Normal 2 2 5 7 3 6" xfId="25210" xr:uid="{00000000-0005-0000-0000-00007A620000}"/>
    <cellStyle name="Normal 2 2 5 7 3 7" xfId="25211" xr:uid="{00000000-0005-0000-0000-00007B620000}"/>
    <cellStyle name="Normal 2 2 5 7 3 8" xfId="25212" xr:uid="{00000000-0005-0000-0000-00007C620000}"/>
    <cellStyle name="Normal 2 2 5 7 3 9" xfId="25213" xr:uid="{00000000-0005-0000-0000-00007D620000}"/>
    <cellStyle name="Normal 2 2 5 7 4" xfId="25214" xr:uid="{00000000-0005-0000-0000-00007E620000}"/>
    <cellStyle name="Normal 2 2 5 7 4 10" xfId="25215" xr:uid="{00000000-0005-0000-0000-00007F620000}"/>
    <cellStyle name="Normal 2 2 5 7 4 2" xfId="25216" xr:uid="{00000000-0005-0000-0000-000080620000}"/>
    <cellStyle name="Normal 2 2 5 7 4 3" xfId="25217" xr:uid="{00000000-0005-0000-0000-000081620000}"/>
    <cellStyle name="Normal 2 2 5 7 4 4" xfId="25218" xr:uid="{00000000-0005-0000-0000-000082620000}"/>
    <cellStyle name="Normal 2 2 5 7 4 5" xfId="25219" xr:uid="{00000000-0005-0000-0000-000083620000}"/>
    <cellStyle name="Normal 2 2 5 7 4 6" xfId="25220" xr:uid="{00000000-0005-0000-0000-000084620000}"/>
    <cellStyle name="Normal 2 2 5 7 4 7" xfId="25221" xr:uid="{00000000-0005-0000-0000-000085620000}"/>
    <cellStyle name="Normal 2 2 5 7 4 8" xfId="25222" xr:uid="{00000000-0005-0000-0000-000086620000}"/>
    <cellStyle name="Normal 2 2 5 7 4 9" xfId="25223" xr:uid="{00000000-0005-0000-0000-000087620000}"/>
    <cellStyle name="Normal 2 2 5 7 5" xfId="25224" xr:uid="{00000000-0005-0000-0000-000088620000}"/>
    <cellStyle name="Normal 2 2 5 7 5 10" xfId="25225" xr:uid="{00000000-0005-0000-0000-000089620000}"/>
    <cellStyle name="Normal 2 2 5 7 5 2" xfId="25226" xr:uid="{00000000-0005-0000-0000-00008A620000}"/>
    <cellStyle name="Normal 2 2 5 7 5 3" xfId="25227" xr:uid="{00000000-0005-0000-0000-00008B620000}"/>
    <cellStyle name="Normal 2 2 5 7 5 4" xfId="25228" xr:uid="{00000000-0005-0000-0000-00008C620000}"/>
    <cellStyle name="Normal 2 2 5 7 5 5" xfId="25229" xr:uid="{00000000-0005-0000-0000-00008D620000}"/>
    <cellStyle name="Normal 2 2 5 7 5 6" xfId="25230" xr:uid="{00000000-0005-0000-0000-00008E620000}"/>
    <cellStyle name="Normal 2 2 5 7 5 7" xfId="25231" xr:uid="{00000000-0005-0000-0000-00008F620000}"/>
    <cellStyle name="Normal 2 2 5 7 5 8" xfId="25232" xr:uid="{00000000-0005-0000-0000-000090620000}"/>
    <cellStyle name="Normal 2 2 5 7 5 9" xfId="25233" xr:uid="{00000000-0005-0000-0000-000091620000}"/>
    <cellStyle name="Normal 2 2 5 7 6" xfId="25234" xr:uid="{00000000-0005-0000-0000-000092620000}"/>
    <cellStyle name="Normal 2 2 5 7 7" xfId="25235" xr:uid="{00000000-0005-0000-0000-000093620000}"/>
    <cellStyle name="Normal 2 2 5 7 8" xfId="25236" xr:uid="{00000000-0005-0000-0000-000094620000}"/>
    <cellStyle name="Normal 2 2 5 7 9" xfId="25237" xr:uid="{00000000-0005-0000-0000-000095620000}"/>
    <cellStyle name="Normal 2 2 5 8" xfId="25238" xr:uid="{00000000-0005-0000-0000-000096620000}"/>
    <cellStyle name="Normal 2 2 5 8 10" xfId="25239" xr:uid="{00000000-0005-0000-0000-000097620000}"/>
    <cellStyle name="Normal 2 2 5 8 11" xfId="25240" xr:uid="{00000000-0005-0000-0000-000098620000}"/>
    <cellStyle name="Normal 2 2 5 8 12" xfId="25241" xr:uid="{00000000-0005-0000-0000-000099620000}"/>
    <cellStyle name="Normal 2 2 5 8 13" xfId="25242" xr:uid="{00000000-0005-0000-0000-00009A620000}"/>
    <cellStyle name="Normal 2 2 5 8 14" xfId="25243" xr:uid="{00000000-0005-0000-0000-00009B620000}"/>
    <cellStyle name="Normal 2 2 5 8 2" xfId="25244" xr:uid="{00000000-0005-0000-0000-00009C620000}"/>
    <cellStyle name="Normal 2 2 5 8 2 10" xfId="25245" xr:uid="{00000000-0005-0000-0000-00009D620000}"/>
    <cellStyle name="Normal 2 2 5 8 2 2" xfId="25246" xr:uid="{00000000-0005-0000-0000-00009E620000}"/>
    <cellStyle name="Normal 2 2 5 8 2 3" xfId="25247" xr:uid="{00000000-0005-0000-0000-00009F620000}"/>
    <cellStyle name="Normal 2 2 5 8 2 4" xfId="25248" xr:uid="{00000000-0005-0000-0000-0000A0620000}"/>
    <cellStyle name="Normal 2 2 5 8 2 5" xfId="25249" xr:uid="{00000000-0005-0000-0000-0000A1620000}"/>
    <cellStyle name="Normal 2 2 5 8 2 6" xfId="25250" xr:uid="{00000000-0005-0000-0000-0000A2620000}"/>
    <cellStyle name="Normal 2 2 5 8 2 7" xfId="25251" xr:uid="{00000000-0005-0000-0000-0000A3620000}"/>
    <cellStyle name="Normal 2 2 5 8 2 8" xfId="25252" xr:uid="{00000000-0005-0000-0000-0000A4620000}"/>
    <cellStyle name="Normal 2 2 5 8 2 9" xfId="25253" xr:uid="{00000000-0005-0000-0000-0000A5620000}"/>
    <cellStyle name="Normal 2 2 5 8 3" xfId="25254" xr:uid="{00000000-0005-0000-0000-0000A6620000}"/>
    <cellStyle name="Normal 2 2 5 8 3 10" xfId="25255" xr:uid="{00000000-0005-0000-0000-0000A7620000}"/>
    <cellStyle name="Normal 2 2 5 8 3 2" xfId="25256" xr:uid="{00000000-0005-0000-0000-0000A8620000}"/>
    <cellStyle name="Normal 2 2 5 8 3 3" xfId="25257" xr:uid="{00000000-0005-0000-0000-0000A9620000}"/>
    <cellStyle name="Normal 2 2 5 8 3 4" xfId="25258" xr:uid="{00000000-0005-0000-0000-0000AA620000}"/>
    <cellStyle name="Normal 2 2 5 8 3 5" xfId="25259" xr:uid="{00000000-0005-0000-0000-0000AB620000}"/>
    <cellStyle name="Normal 2 2 5 8 3 6" xfId="25260" xr:uid="{00000000-0005-0000-0000-0000AC620000}"/>
    <cellStyle name="Normal 2 2 5 8 3 7" xfId="25261" xr:uid="{00000000-0005-0000-0000-0000AD620000}"/>
    <cellStyle name="Normal 2 2 5 8 3 8" xfId="25262" xr:uid="{00000000-0005-0000-0000-0000AE620000}"/>
    <cellStyle name="Normal 2 2 5 8 3 9" xfId="25263" xr:uid="{00000000-0005-0000-0000-0000AF620000}"/>
    <cellStyle name="Normal 2 2 5 8 4" xfId="25264" xr:uid="{00000000-0005-0000-0000-0000B0620000}"/>
    <cellStyle name="Normal 2 2 5 8 4 10" xfId="25265" xr:uid="{00000000-0005-0000-0000-0000B1620000}"/>
    <cellStyle name="Normal 2 2 5 8 4 2" xfId="25266" xr:uid="{00000000-0005-0000-0000-0000B2620000}"/>
    <cellStyle name="Normal 2 2 5 8 4 3" xfId="25267" xr:uid="{00000000-0005-0000-0000-0000B3620000}"/>
    <cellStyle name="Normal 2 2 5 8 4 4" xfId="25268" xr:uid="{00000000-0005-0000-0000-0000B4620000}"/>
    <cellStyle name="Normal 2 2 5 8 4 5" xfId="25269" xr:uid="{00000000-0005-0000-0000-0000B5620000}"/>
    <cellStyle name="Normal 2 2 5 8 4 6" xfId="25270" xr:uid="{00000000-0005-0000-0000-0000B6620000}"/>
    <cellStyle name="Normal 2 2 5 8 4 7" xfId="25271" xr:uid="{00000000-0005-0000-0000-0000B7620000}"/>
    <cellStyle name="Normal 2 2 5 8 4 8" xfId="25272" xr:uid="{00000000-0005-0000-0000-0000B8620000}"/>
    <cellStyle name="Normal 2 2 5 8 4 9" xfId="25273" xr:uid="{00000000-0005-0000-0000-0000B9620000}"/>
    <cellStyle name="Normal 2 2 5 8 5" xfId="25274" xr:uid="{00000000-0005-0000-0000-0000BA620000}"/>
    <cellStyle name="Normal 2 2 5 8 5 10" xfId="25275" xr:uid="{00000000-0005-0000-0000-0000BB620000}"/>
    <cellStyle name="Normal 2 2 5 8 5 2" xfId="25276" xr:uid="{00000000-0005-0000-0000-0000BC620000}"/>
    <cellStyle name="Normal 2 2 5 8 5 3" xfId="25277" xr:uid="{00000000-0005-0000-0000-0000BD620000}"/>
    <cellStyle name="Normal 2 2 5 8 5 4" xfId="25278" xr:uid="{00000000-0005-0000-0000-0000BE620000}"/>
    <cellStyle name="Normal 2 2 5 8 5 5" xfId="25279" xr:uid="{00000000-0005-0000-0000-0000BF620000}"/>
    <cellStyle name="Normal 2 2 5 8 5 6" xfId="25280" xr:uid="{00000000-0005-0000-0000-0000C0620000}"/>
    <cellStyle name="Normal 2 2 5 8 5 7" xfId="25281" xr:uid="{00000000-0005-0000-0000-0000C1620000}"/>
    <cellStyle name="Normal 2 2 5 8 5 8" xfId="25282" xr:uid="{00000000-0005-0000-0000-0000C2620000}"/>
    <cellStyle name="Normal 2 2 5 8 5 9" xfId="25283" xr:uid="{00000000-0005-0000-0000-0000C3620000}"/>
    <cellStyle name="Normal 2 2 5 8 6" xfId="25284" xr:uid="{00000000-0005-0000-0000-0000C4620000}"/>
    <cellStyle name="Normal 2 2 5 8 7" xfId="25285" xr:uid="{00000000-0005-0000-0000-0000C5620000}"/>
    <cellStyle name="Normal 2 2 5 8 8" xfId="25286" xr:uid="{00000000-0005-0000-0000-0000C6620000}"/>
    <cellStyle name="Normal 2 2 5 8 9" xfId="25287" xr:uid="{00000000-0005-0000-0000-0000C7620000}"/>
    <cellStyle name="Normal 2 2 5 9" xfId="25288" xr:uid="{00000000-0005-0000-0000-0000C8620000}"/>
    <cellStyle name="Normal 2 2 5 9 10" xfId="25289" xr:uid="{00000000-0005-0000-0000-0000C9620000}"/>
    <cellStyle name="Normal 2 2 5 9 11" xfId="25290" xr:uid="{00000000-0005-0000-0000-0000CA620000}"/>
    <cellStyle name="Normal 2 2 5 9 12" xfId="25291" xr:uid="{00000000-0005-0000-0000-0000CB620000}"/>
    <cellStyle name="Normal 2 2 5 9 13" xfId="25292" xr:uid="{00000000-0005-0000-0000-0000CC620000}"/>
    <cellStyle name="Normal 2 2 5 9 14" xfId="25293" xr:uid="{00000000-0005-0000-0000-0000CD620000}"/>
    <cellStyle name="Normal 2 2 5 9 2" xfId="25294" xr:uid="{00000000-0005-0000-0000-0000CE620000}"/>
    <cellStyle name="Normal 2 2 5 9 2 10" xfId="25295" xr:uid="{00000000-0005-0000-0000-0000CF620000}"/>
    <cellStyle name="Normal 2 2 5 9 2 2" xfId="25296" xr:uid="{00000000-0005-0000-0000-0000D0620000}"/>
    <cellStyle name="Normal 2 2 5 9 2 3" xfId="25297" xr:uid="{00000000-0005-0000-0000-0000D1620000}"/>
    <cellStyle name="Normal 2 2 5 9 2 4" xfId="25298" xr:uid="{00000000-0005-0000-0000-0000D2620000}"/>
    <cellStyle name="Normal 2 2 5 9 2 5" xfId="25299" xr:uid="{00000000-0005-0000-0000-0000D3620000}"/>
    <cellStyle name="Normal 2 2 5 9 2 6" xfId="25300" xr:uid="{00000000-0005-0000-0000-0000D4620000}"/>
    <cellStyle name="Normal 2 2 5 9 2 7" xfId="25301" xr:uid="{00000000-0005-0000-0000-0000D5620000}"/>
    <cellStyle name="Normal 2 2 5 9 2 8" xfId="25302" xr:uid="{00000000-0005-0000-0000-0000D6620000}"/>
    <cellStyle name="Normal 2 2 5 9 2 9" xfId="25303" xr:uid="{00000000-0005-0000-0000-0000D7620000}"/>
    <cellStyle name="Normal 2 2 5 9 3" xfId="25304" xr:uid="{00000000-0005-0000-0000-0000D8620000}"/>
    <cellStyle name="Normal 2 2 5 9 3 10" xfId="25305" xr:uid="{00000000-0005-0000-0000-0000D9620000}"/>
    <cellStyle name="Normal 2 2 5 9 3 2" xfId="25306" xr:uid="{00000000-0005-0000-0000-0000DA620000}"/>
    <cellStyle name="Normal 2 2 5 9 3 3" xfId="25307" xr:uid="{00000000-0005-0000-0000-0000DB620000}"/>
    <cellStyle name="Normal 2 2 5 9 3 4" xfId="25308" xr:uid="{00000000-0005-0000-0000-0000DC620000}"/>
    <cellStyle name="Normal 2 2 5 9 3 5" xfId="25309" xr:uid="{00000000-0005-0000-0000-0000DD620000}"/>
    <cellStyle name="Normal 2 2 5 9 3 6" xfId="25310" xr:uid="{00000000-0005-0000-0000-0000DE620000}"/>
    <cellStyle name="Normal 2 2 5 9 3 7" xfId="25311" xr:uid="{00000000-0005-0000-0000-0000DF620000}"/>
    <cellStyle name="Normal 2 2 5 9 3 8" xfId="25312" xr:uid="{00000000-0005-0000-0000-0000E0620000}"/>
    <cellStyle name="Normal 2 2 5 9 3 9" xfId="25313" xr:uid="{00000000-0005-0000-0000-0000E1620000}"/>
    <cellStyle name="Normal 2 2 5 9 4" xfId="25314" xr:uid="{00000000-0005-0000-0000-0000E2620000}"/>
    <cellStyle name="Normal 2 2 5 9 4 10" xfId="25315" xr:uid="{00000000-0005-0000-0000-0000E3620000}"/>
    <cellStyle name="Normal 2 2 5 9 4 2" xfId="25316" xr:uid="{00000000-0005-0000-0000-0000E4620000}"/>
    <cellStyle name="Normal 2 2 5 9 4 3" xfId="25317" xr:uid="{00000000-0005-0000-0000-0000E5620000}"/>
    <cellStyle name="Normal 2 2 5 9 4 4" xfId="25318" xr:uid="{00000000-0005-0000-0000-0000E6620000}"/>
    <cellStyle name="Normal 2 2 5 9 4 5" xfId="25319" xr:uid="{00000000-0005-0000-0000-0000E7620000}"/>
    <cellStyle name="Normal 2 2 5 9 4 6" xfId="25320" xr:uid="{00000000-0005-0000-0000-0000E8620000}"/>
    <cellStyle name="Normal 2 2 5 9 4 7" xfId="25321" xr:uid="{00000000-0005-0000-0000-0000E9620000}"/>
    <cellStyle name="Normal 2 2 5 9 4 8" xfId="25322" xr:uid="{00000000-0005-0000-0000-0000EA620000}"/>
    <cellStyle name="Normal 2 2 5 9 4 9" xfId="25323" xr:uid="{00000000-0005-0000-0000-0000EB620000}"/>
    <cellStyle name="Normal 2 2 5 9 5" xfId="25324" xr:uid="{00000000-0005-0000-0000-0000EC620000}"/>
    <cellStyle name="Normal 2 2 5 9 5 10" xfId="25325" xr:uid="{00000000-0005-0000-0000-0000ED620000}"/>
    <cellStyle name="Normal 2 2 5 9 5 2" xfId="25326" xr:uid="{00000000-0005-0000-0000-0000EE620000}"/>
    <cellStyle name="Normal 2 2 5 9 5 3" xfId="25327" xr:uid="{00000000-0005-0000-0000-0000EF620000}"/>
    <cellStyle name="Normal 2 2 5 9 5 4" xfId="25328" xr:uid="{00000000-0005-0000-0000-0000F0620000}"/>
    <cellStyle name="Normal 2 2 5 9 5 5" xfId="25329" xr:uid="{00000000-0005-0000-0000-0000F1620000}"/>
    <cellStyle name="Normal 2 2 5 9 5 6" xfId="25330" xr:uid="{00000000-0005-0000-0000-0000F2620000}"/>
    <cellStyle name="Normal 2 2 5 9 5 7" xfId="25331" xr:uid="{00000000-0005-0000-0000-0000F3620000}"/>
    <cellStyle name="Normal 2 2 5 9 5 8" xfId="25332" xr:uid="{00000000-0005-0000-0000-0000F4620000}"/>
    <cellStyle name="Normal 2 2 5 9 5 9" xfId="25333" xr:uid="{00000000-0005-0000-0000-0000F5620000}"/>
    <cellStyle name="Normal 2 2 5 9 6" xfId="25334" xr:uid="{00000000-0005-0000-0000-0000F6620000}"/>
    <cellStyle name="Normal 2 2 5 9 7" xfId="25335" xr:uid="{00000000-0005-0000-0000-0000F7620000}"/>
    <cellStyle name="Normal 2 2 5 9 8" xfId="25336" xr:uid="{00000000-0005-0000-0000-0000F8620000}"/>
    <cellStyle name="Normal 2 2 5 9 9" xfId="25337" xr:uid="{00000000-0005-0000-0000-0000F9620000}"/>
    <cellStyle name="Normal 2 2 50" xfId="25338" xr:uid="{00000000-0005-0000-0000-0000FA620000}"/>
    <cellStyle name="Normal 2 2 51" xfId="25339" xr:uid="{00000000-0005-0000-0000-0000FB620000}"/>
    <cellStyle name="Normal 2 2 52" xfId="54" xr:uid="{00000000-0005-0000-0000-000036000000}"/>
    <cellStyle name="Normal 2 2 52 2" xfId="25340" xr:uid="{00000000-0005-0000-0000-0000FC620000}"/>
    <cellStyle name="Normal 2 2 53" xfId="6200" xr:uid="{00000000-0005-0000-0000-000038180000}"/>
    <cellStyle name="Normal 2 2 6" xfId="25341" xr:uid="{00000000-0005-0000-0000-0000FD620000}"/>
    <cellStyle name="Normal 2 2 6 2" xfId="25342" xr:uid="{00000000-0005-0000-0000-0000FE620000}"/>
    <cellStyle name="Normal 2 2 6 3" xfId="25343" xr:uid="{00000000-0005-0000-0000-0000FF620000}"/>
    <cellStyle name="Normal 2 2 7" xfId="25344" xr:uid="{00000000-0005-0000-0000-000000630000}"/>
    <cellStyle name="Normal 2 2 7 2" xfId="25345" xr:uid="{00000000-0005-0000-0000-000001630000}"/>
    <cellStyle name="Normal 2 2 7 3" xfId="25346" xr:uid="{00000000-0005-0000-0000-000002630000}"/>
    <cellStyle name="Normal 2 2 8" xfId="25347" xr:uid="{00000000-0005-0000-0000-000003630000}"/>
    <cellStyle name="Normal 2 2 8 2" xfId="25348" xr:uid="{00000000-0005-0000-0000-000004630000}"/>
    <cellStyle name="Normal 2 2 8 3" xfId="25349" xr:uid="{00000000-0005-0000-0000-000005630000}"/>
    <cellStyle name="Normal 2 2 9" xfId="25350" xr:uid="{00000000-0005-0000-0000-000006630000}"/>
    <cellStyle name="Normal 2 2 9 2" xfId="25351" xr:uid="{00000000-0005-0000-0000-000007630000}"/>
    <cellStyle name="Normal 2 2 9 3" xfId="25352" xr:uid="{00000000-0005-0000-0000-000008630000}"/>
    <cellStyle name="Normal 2 20" xfId="25353" xr:uid="{00000000-0005-0000-0000-000009630000}"/>
    <cellStyle name="Normal 2 20 2" xfId="25354" xr:uid="{00000000-0005-0000-0000-00000A630000}"/>
    <cellStyle name="Normal 2 20 3" xfId="25355" xr:uid="{00000000-0005-0000-0000-00000B630000}"/>
    <cellStyle name="Normal 2 21" xfId="25356" xr:uid="{00000000-0005-0000-0000-00000C630000}"/>
    <cellStyle name="Normal 2 21 2" xfId="25357" xr:uid="{00000000-0005-0000-0000-00000D630000}"/>
    <cellStyle name="Normal 2 21 3" xfId="25358" xr:uid="{00000000-0005-0000-0000-00000E630000}"/>
    <cellStyle name="Normal 2 22" xfId="25359" xr:uid="{00000000-0005-0000-0000-00000F630000}"/>
    <cellStyle name="Normal 2 22 2" xfId="25360" xr:uid="{00000000-0005-0000-0000-000010630000}"/>
    <cellStyle name="Normal 2 22 3" xfId="25361" xr:uid="{00000000-0005-0000-0000-000011630000}"/>
    <cellStyle name="Normal 2 23" xfId="25362" xr:uid="{00000000-0005-0000-0000-000012630000}"/>
    <cellStyle name="Normal 2 23 2" xfId="25363" xr:uid="{00000000-0005-0000-0000-000013630000}"/>
    <cellStyle name="Normal 2 23 2 2" xfId="25364" xr:uid="{00000000-0005-0000-0000-000014630000}"/>
    <cellStyle name="Normal 2 23 3" xfId="25365" xr:uid="{00000000-0005-0000-0000-000015630000}"/>
    <cellStyle name="Normal 2 24" xfId="25366" xr:uid="{00000000-0005-0000-0000-000016630000}"/>
    <cellStyle name="Normal 2 24 2" xfId="25367" xr:uid="{00000000-0005-0000-0000-000017630000}"/>
    <cellStyle name="Normal 2 24 3" xfId="25368" xr:uid="{00000000-0005-0000-0000-000018630000}"/>
    <cellStyle name="Normal 2 25" xfId="25369" xr:uid="{00000000-0005-0000-0000-000019630000}"/>
    <cellStyle name="Normal 2 25 2" xfId="25370" xr:uid="{00000000-0005-0000-0000-00001A630000}"/>
    <cellStyle name="Normal 2 25 3" xfId="25371" xr:uid="{00000000-0005-0000-0000-00001B630000}"/>
    <cellStyle name="Normal 2 26" xfId="25372" xr:uid="{00000000-0005-0000-0000-00001C630000}"/>
    <cellStyle name="Normal 2 26 2" xfId="25373" xr:uid="{00000000-0005-0000-0000-00001D630000}"/>
    <cellStyle name="Normal 2 26 3" xfId="25374" xr:uid="{00000000-0005-0000-0000-00001E630000}"/>
    <cellStyle name="Normal 2 27" xfId="25375" xr:uid="{00000000-0005-0000-0000-00001F630000}"/>
    <cellStyle name="Normal 2 27 2" xfId="25376" xr:uid="{00000000-0005-0000-0000-000020630000}"/>
    <cellStyle name="Normal 2 27 3" xfId="25377" xr:uid="{00000000-0005-0000-0000-000021630000}"/>
    <cellStyle name="Normal 2 28" xfId="25378" xr:uid="{00000000-0005-0000-0000-000022630000}"/>
    <cellStyle name="Normal 2 28 2" xfId="25379" xr:uid="{00000000-0005-0000-0000-000023630000}"/>
    <cellStyle name="Normal 2 28 3" xfId="25380" xr:uid="{00000000-0005-0000-0000-000024630000}"/>
    <cellStyle name="Normal 2 29" xfId="25381" xr:uid="{00000000-0005-0000-0000-000025630000}"/>
    <cellStyle name="Normal 2 29 2" xfId="25382" xr:uid="{00000000-0005-0000-0000-000026630000}"/>
    <cellStyle name="Normal 2 29 3" xfId="25383" xr:uid="{00000000-0005-0000-0000-000027630000}"/>
    <cellStyle name="Normal 2 3" xfId="26" xr:uid="{00000000-0005-0000-0000-00001A000000}"/>
    <cellStyle name="Normal 2 3 10" xfId="25385" xr:uid="{00000000-0005-0000-0000-000029630000}"/>
    <cellStyle name="Normal 2 3 10 10" xfId="25386" xr:uid="{00000000-0005-0000-0000-00002A630000}"/>
    <cellStyle name="Normal 2 3 10 11" xfId="25387" xr:uid="{00000000-0005-0000-0000-00002B630000}"/>
    <cellStyle name="Normal 2 3 10 12" xfId="25388" xr:uid="{00000000-0005-0000-0000-00002C630000}"/>
    <cellStyle name="Normal 2 3 10 13" xfId="25389" xr:uid="{00000000-0005-0000-0000-00002D630000}"/>
    <cellStyle name="Normal 2 3 10 14" xfId="25390" xr:uid="{00000000-0005-0000-0000-00002E630000}"/>
    <cellStyle name="Normal 2 3 10 2" xfId="25391" xr:uid="{00000000-0005-0000-0000-00002F630000}"/>
    <cellStyle name="Normal 2 3 10 2 10" xfId="25392" xr:uid="{00000000-0005-0000-0000-000030630000}"/>
    <cellStyle name="Normal 2 3 10 2 2" xfId="25393" xr:uid="{00000000-0005-0000-0000-000031630000}"/>
    <cellStyle name="Normal 2 3 10 2 3" xfId="25394" xr:uid="{00000000-0005-0000-0000-000032630000}"/>
    <cellStyle name="Normal 2 3 10 2 4" xfId="25395" xr:uid="{00000000-0005-0000-0000-000033630000}"/>
    <cellStyle name="Normal 2 3 10 2 5" xfId="25396" xr:uid="{00000000-0005-0000-0000-000034630000}"/>
    <cellStyle name="Normal 2 3 10 2 6" xfId="25397" xr:uid="{00000000-0005-0000-0000-000035630000}"/>
    <cellStyle name="Normal 2 3 10 2 7" xfId="25398" xr:uid="{00000000-0005-0000-0000-000036630000}"/>
    <cellStyle name="Normal 2 3 10 2 8" xfId="25399" xr:uid="{00000000-0005-0000-0000-000037630000}"/>
    <cellStyle name="Normal 2 3 10 2 9" xfId="25400" xr:uid="{00000000-0005-0000-0000-000038630000}"/>
    <cellStyle name="Normal 2 3 10 3" xfId="25401" xr:uid="{00000000-0005-0000-0000-000039630000}"/>
    <cellStyle name="Normal 2 3 10 3 10" xfId="25402" xr:uid="{00000000-0005-0000-0000-00003A630000}"/>
    <cellStyle name="Normal 2 3 10 3 2" xfId="25403" xr:uid="{00000000-0005-0000-0000-00003B630000}"/>
    <cellStyle name="Normal 2 3 10 3 3" xfId="25404" xr:uid="{00000000-0005-0000-0000-00003C630000}"/>
    <cellStyle name="Normal 2 3 10 3 4" xfId="25405" xr:uid="{00000000-0005-0000-0000-00003D630000}"/>
    <cellStyle name="Normal 2 3 10 3 5" xfId="25406" xr:uid="{00000000-0005-0000-0000-00003E630000}"/>
    <cellStyle name="Normal 2 3 10 3 6" xfId="25407" xr:uid="{00000000-0005-0000-0000-00003F630000}"/>
    <cellStyle name="Normal 2 3 10 3 7" xfId="25408" xr:uid="{00000000-0005-0000-0000-000040630000}"/>
    <cellStyle name="Normal 2 3 10 3 8" xfId="25409" xr:uid="{00000000-0005-0000-0000-000041630000}"/>
    <cellStyle name="Normal 2 3 10 3 9" xfId="25410" xr:uid="{00000000-0005-0000-0000-000042630000}"/>
    <cellStyle name="Normal 2 3 10 4" xfId="25411" xr:uid="{00000000-0005-0000-0000-000043630000}"/>
    <cellStyle name="Normal 2 3 10 4 10" xfId="25412" xr:uid="{00000000-0005-0000-0000-000044630000}"/>
    <cellStyle name="Normal 2 3 10 4 2" xfId="25413" xr:uid="{00000000-0005-0000-0000-000045630000}"/>
    <cellStyle name="Normal 2 3 10 4 3" xfId="25414" xr:uid="{00000000-0005-0000-0000-000046630000}"/>
    <cellStyle name="Normal 2 3 10 4 4" xfId="25415" xr:uid="{00000000-0005-0000-0000-000047630000}"/>
    <cellStyle name="Normal 2 3 10 4 5" xfId="25416" xr:uid="{00000000-0005-0000-0000-000048630000}"/>
    <cellStyle name="Normal 2 3 10 4 6" xfId="25417" xr:uid="{00000000-0005-0000-0000-000049630000}"/>
    <cellStyle name="Normal 2 3 10 4 7" xfId="25418" xr:uid="{00000000-0005-0000-0000-00004A630000}"/>
    <cellStyle name="Normal 2 3 10 4 8" xfId="25419" xr:uid="{00000000-0005-0000-0000-00004B630000}"/>
    <cellStyle name="Normal 2 3 10 4 9" xfId="25420" xr:uid="{00000000-0005-0000-0000-00004C630000}"/>
    <cellStyle name="Normal 2 3 10 5" xfId="25421" xr:uid="{00000000-0005-0000-0000-00004D630000}"/>
    <cellStyle name="Normal 2 3 10 5 10" xfId="25422" xr:uid="{00000000-0005-0000-0000-00004E630000}"/>
    <cellStyle name="Normal 2 3 10 5 2" xfId="25423" xr:uid="{00000000-0005-0000-0000-00004F630000}"/>
    <cellStyle name="Normal 2 3 10 5 3" xfId="25424" xr:uid="{00000000-0005-0000-0000-000050630000}"/>
    <cellStyle name="Normal 2 3 10 5 4" xfId="25425" xr:uid="{00000000-0005-0000-0000-000051630000}"/>
    <cellStyle name="Normal 2 3 10 5 5" xfId="25426" xr:uid="{00000000-0005-0000-0000-000052630000}"/>
    <cellStyle name="Normal 2 3 10 5 6" xfId="25427" xr:uid="{00000000-0005-0000-0000-000053630000}"/>
    <cellStyle name="Normal 2 3 10 5 7" xfId="25428" xr:uid="{00000000-0005-0000-0000-000054630000}"/>
    <cellStyle name="Normal 2 3 10 5 8" xfId="25429" xr:uid="{00000000-0005-0000-0000-000055630000}"/>
    <cellStyle name="Normal 2 3 10 5 9" xfId="25430" xr:uid="{00000000-0005-0000-0000-000056630000}"/>
    <cellStyle name="Normal 2 3 10 6" xfId="25431" xr:uid="{00000000-0005-0000-0000-000057630000}"/>
    <cellStyle name="Normal 2 3 10 7" xfId="25432" xr:uid="{00000000-0005-0000-0000-000058630000}"/>
    <cellStyle name="Normal 2 3 10 8" xfId="25433" xr:uid="{00000000-0005-0000-0000-000059630000}"/>
    <cellStyle name="Normal 2 3 10 9" xfId="25434" xr:uid="{00000000-0005-0000-0000-00005A630000}"/>
    <cellStyle name="Normal 2 3 11" xfId="25435" xr:uid="{00000000-0005-0000-0000-00005B630000}"/>
    <cellStyle name="Normal 2 3 11 10" xfId="25436" xr:uid="{00000000-0005-0000-0000-00005C630000}"/>
    <cellStyle name="Normal 2 3 11 11" xfId="25437" xr:uid="{00000000-0005-0000-0000-00005D630000}"/>
    <cellStyle name="Normal 2 3 11 12" xfId="25438" xr:uid="{00000000-0005-0000-0000-00005E630000}"/>
    <cellStyle name="Normal 2 3 11 13" xfId="25439" xr:uid="{00000000-0005-0000-0000-00005F630000}"/>
    <cellStyle name="Normal 2 3 11 14" xfId="25440" xr:uid="{00000000-0005-0000-0000-000060630000}"/>
    <cellStyle name="Normal 2 3 11 2" xfId="25441" xr:uid="{00000000-0005-0000-0000-000061630000}"/>
    <cellStyle name="Normal 2 3 11 2 10" xfId="25442" xr:uid="{00000000-0005-0000-0000-000062630000}"/>
    <cellStyle name="Normal 2 3 11 2 2" xfId="25443" xr:uid="{00000000-0005-0000-0000-000063630000}"/>
    <cellStyle name="Normal 2 3 11 2 3" xfId="25444" xr:uid="{00000000-0005-0000-0000-000064630000}"/>
    <cellStyle name="Normal 2 3 11 2 4" xfId="25445" xr:uid="{00000000-0005-0000-0000-000065630000}"/>
    <cellStyle name="Normal 2 3 11 2 5" xfId="25446" xr:uid="{00000000-0005-0000-0000-000066630000}"/>
    <cellStyle name="Normal 2 3 11 2 6" xfId="25447" xr:uid="{00000000-0005-0000-0000-000067630000}"/>
    <cellStyle name="Normal 2 3 11 2 7" xfId="25448" xr:uid="{00000000-0005-0000-0000-000068630000}"/>
    <cellStyle name="Normal 2 3 11 2 8" xfId="25449" xr:uid="{00000000-0005-0000-0000-000069630000}"/>
    <cellStyle name="Normal 2 3 11 2 9" xfId="25450" xr:uid="{00000000-0005-0000-0000-00006A630000}"/>
    <cellStyle name="Normal 2 3 11 3" xfId="25451" xr:uid="{00000000-0005-0000-0000-00006B630000}"/>
    <cellStyle name="Normal 2 3 11 3 10" xfId="25452" xr:uid="{00000000-0005-0000-0000-00006C630000}"/>
    <cellStyle name="Normal 2 3 11 3 2" xfId="25453" xr:uid="{00000000-0005-0000-0000-00006D630000}"/>
    <cellStyle name="Normal 2 3 11 3 3" xfId="25454" xr:uid="{00000000-0005-0000-0000-00006E630000}"/>
    <cellStyle name="Normal 2 3 11 3 4" xfId="25455" xr:uid="{00000000-0005-0000-0000-00006F630000}"/>
    <cellStyle name="Normal 2 3 11 3 5" xfId="25456" xr:uid="{00000000-0005-0000-0000-000070630000}"/>
    <cellStyle name="Normal 2 3 11 3 6" xfId="25457" xr:uid="{00000000-0005-0000-0000-000071630000}"/>
    <cellStyle name="Normal 2 3 11 3 7" xfId="25458" xr:uid="{00000000-0005-0000-0000-000072630000}"/>
    <cellStyle name="Normal 2 3 11 3 8" xfId="25459" xr:uid="{00000000-0005-0000-0000-000073630000}"/>
    <cellStyle name="Normal 2 3 11 3 9" xfId="25460" xr:uid="{00000000-0005-0000-0000-000074630000}"/>
    <cellStyle name="Normal 2 3 11 4" xfId="25461" xr:uid="{00000000-0005-0000-0000-000075630000}"/>
    <cellStyle name="Normal 2 3 11 4 10" xfId="25462" xr:uid="{00000000-0005-0000-0000-000076630000}"/>
    <cellStyle name="Normal 2 3 11 4 2" xfId="25463" xr:uid="{00000000-0005-0000-0000-000077630000}"/>
    <cellStyle name="Normal 2 3 11 4 3" xfId="25464" xr:uid="{00000000-0005-0000-0000-000078630000}"/>
    <cellStyle name="Normal 2 3 11 4 4" xfId="25465" xr:uid="{00000000-0005-0000-0000-000079630000}"/>
    <cellStyle name="Normal 2 3 11 4 5" xfId="25466" xr:uid="{00000000-0005-0000-0000-00007A630000}"/>
    <cellStyle name="Normal 2 3 11 4 6" xfId="25467" xr:uid="{00000000-0005-0000-0000-00007B630000}"/>
    <cellStyle name="Normal 2 3 11 4 7" xfId="25468" xr:uid="{00000000-0005-0000-0000-00007C630000}"/>
    <cellStyle name="Normal 2 3 11 4 8" xfId="25469" xr:uid="{00000000-0005-0000-0000-00007D630000}"/>
    <cellStyle name="Normal 2 3 11 4 9" xfId="25470" xr:uid="{00000000-0005-0000-0000-00007E630000}"/>
    <cellStyle name="Normal 2 3 11 5" xfId="25471" xr:uid="{00000000-0005-0000-0000-00007F630000}"/>
    <cellStyle name="Normal 2 3 11 5 10" xfId="25472" xr:uid="{00000000-0005-0000-0000-000080630000}"/>
    <cellStyle name="Normal 2 3 11 5 2" xfId="25473" xr:uid="{00000000-0005-0000-0000-000081630000}"/>
    <cellStyle name="Normal 2 3 11 5 3" xfId="25474" xr:uid="{00000000-0005-0000-0000-000082630000}"/>
    <cellStyle name="Normal 2 3 11 5 4" xfId="25475" xr:uid="{00000000-0005-0000-0000-000083630000}"/>
    <cellStyle name="Normal 2 3 11 5 5" xfId="25476" xr:uid="{00000000-0005-0000-0000-000084630000}"/>
    <cellStyle name="Normal 2 3 11 5 6" xfId="25477" xr:uid="{00000000-0005-0000-0000-000085630000}"/>
    <cellStyle name="Normal 2 3 11 5 7" xfId="25478" xr:uid="{00000000-0005-0000-0000-000086630000}"/>
    <cellStyle name="Normal 2 3 11 5 8" xfId="25479" xr:uid="{00000000-0005-0000-0000-000087630000}"/>
    <cellStyle name="Normal 2 3 11 5 9" xfId="25480" xr:uid="{00000000-0005-0000-0000-000088630000}"/>
    <cellStyle name="Normal 2 3 11 6" xfId="25481" xr:uid="{00000000-0005-0000-0000-000089630000}"/>
    <cellStyle name="Normal 2 3 11 7" xfId="25482" xr:uid="{00000000-0005-0000-0000-00008A630000}"/>
    <cellStyle name="Normal 2 3 11 8" xfId="25483" xr:uid="{00000000-0005-0000-0000-00008B630000}"/>
    <cellStyle name="Normal 2 3 11 9" xfId="25484" xr:uid="{00000000-0005-0000-0000-00008C630000}"/>
    <cellStyle name="Normal 2 3 12" xfId="25485" xr:uid="{00000000-0005-0000-0000-00008D630000}"/>
    <cellStyle name="Normal 2 3 12 10" xfId="25486" xr:uid="{00000000-0005-0000-0000-00008E630000}"/>
    <cellStyle name="Normal 2 3 12 11" xfId="25487" xr:uid="{00000000-0005-0000-0000-00008F630000}"/>
    <cellStyle name="Normal 2 3 12 12" xfId="25488" xr:uid="{00000000-0005-0000-0000-000090630000}"/>
    <cellStyle name="Normal 2 3 12 13" xfId="25489" xr:uid="{00000000-0005-0000-0000-000091630000}"/>
    <cellStyle name="Normal 2 3 12 14" xfId="25490" xr:uid="{00000000-0005-0000-0000-000092630000}"/>
    <cellStyle name="Normal 2 3 12 2" xfId="25491" xr:uid="{00000000-0005-0000-0000-000093630000}"/>
    <cellStyle name="Normal 2 3 12 2 10" xfId="25492" xr:uid="{00000000-0005-0000-0000-000094630000}"/>
    <cellStyle name="Normal 2 3 12 2 2" xfId="25493" xr:uid="{00000000-0005-0000-0000-000095630000}"/>
    <cellStyle name="Normal 2 3 12 2 3" xfId="25494" xr:uid="{00000000-0005-0000-0000-000096630000}"/>
    <cellStyle name="Normal 2 3 12 2 4" xfId="25495" xr:uid="{00000000-0005-0000-0000-000097630000}"/>
    <cellStyle name="Normal 2 3 12 2 5" xfId="25496" xr:uid="{00000000-0005-0000-0000-000098630000}"/>
    <cellStyle name="Normal 2 3 12 2 6" xfId="25497" xr:uid="{00000000-0005-0000-0000-000099630000}"/>
    <cellStyle name="Normal 2 3 12 2 7" xfId="25498" xr:uid="{00000000-0005-0000-0000-00009A630000}"/>
    <cellStyle name="Normal 2 3 12 2 8" xfId="25499" xr:uid="{00000000-0005-0000-0000-00009B630000}"/>
    <cellStyle name="Normal 2 3 12 2 9" xfId="25500" xr:uid="{00000000-0005-0000-0000-00009C630000}"/>
    <cellStyle name="Normal 2 3 12 3" xfId="25501" xr:uid="{00000000-0005-0000-0000-00009D630000}"/>
    <cellStyle name="Normal 2 3 12 3 10" xfId="25502" xr:uid="{00000000-0005-0000-0000-00009E630000}"/>
    <cellStyle name="Normal 2 3 12 3 2" xfId="25503" xr:uid="{00000000-0005-0000-0000-00009F630000}"/>
    <cellStyle name="Normal 2 3 12 3 3" xfId="25504" xr:uid="{00000000-0005-0000-0000-0000A0630000}"/>
    <cellStyle name="Normal 2 3 12 3 4" xfId="25505" xr:uid="{00000000-0005-0000-0000-0000A1630000}"/>
    <cellStyle name="Normal 2 3 12 3 5" xfId="25506" xr:uid="{00000000-0005-0000-0000-0000A2630000}"/>
    <cellStyle name="Normal 2 3 12 3 6" xfId="25507" xr:uid="{00000000-0005-0000-0000-0000A3630000}"/>
    <cellStyle name="Normal 2 3 12 3 7" xfId="25508" xr:uid="{00000000-0005-0000-0000-0000A4630000}"/>
    <cellStyle name="Normal 2 3 12 3 8" xfId="25509" xr:uid="{00000000-0005-0000-0000-0000A5630000}"/>
    <cellStyle name="Normal 2 3 12 3 9" xfId="25510" xr:uid="{00000000-0005-0000-0000-0000A6630000}"/>
    <cellStyle name="Normal 2 3 12 4" xfId="25511" xr:uid="{00000000-0005-0000-0000-0000A7630000}"/>
    <cellStyle name="Normal 2 3 12 4 10" xfId="25512" xr:uid="{00000000-0005-0000-0000-0000A8630000}"/>
    <cellStyle name="Normal 2 3 12 4 2" xfId="25513" xr:uid="{00000000-0005-0000-0000-0000A9630000}"/>
    <cellStyle name="Normal 2 3 12 4 3" xfId="25514" xr:uid="{00000000-0005-0000-0000-0000AA630000}"/>
    <cellStyle name="Normal 2 3 12 4 4" xfId="25515" xr:uid="{00000000-0005-0000-0000-0000AB630000}"/>
    <cellStyle name="Normal 2 3 12 4 5" xfId="25516" xr:uid="{00000000-0005-0000-0000-0000AC630000}"/>
    <cellStyle name="Normal 2 3 12 4 6" xfId="25517" xr:uid="{00000000-0005-0000-0000-0000AD630000}"/>
    <cellStyle name="Normal 2 3 12 4 7" xfId="25518" xr:uid="{00000000-0005-0000-0000-0000AE630000}"/>
    <cellStyle name="Normal 2 3 12 4 8" xfId="25519" xr:uid="{00000000-0005-0000-0000-0000AF630000}"/>
    <cellStyle name="Normal 2 3 12 4 9" xfId="25520" xr:uid="{00000000-0005-0000-0000-0000B0630000}"/>
    <cellStyle name="Normal 2 3 12 5" xfId="25521" xr:uid="{00000000-0005-0000-0000-0000B1630000}"/>
    <cellStyle name="Normal 2 3 12 5 10" xfId="25522" xr:uid="{00000000-0005-0000-0000-0000B2630000}"/>
    <cellStyle name="Normal 2 3 12 5 2" xfId="25523" xr:uid="{00000000-0005-0000-0000-0000B3630000}"/>
    <cellStyle name="Normal 2 3 12 5 3" xfId="25524" xr:uid="{00000000-0005-0000-0000-0000B4630000}"/>
    <cellStyle name="Normal 2 3 12 5 4" xfId="25525" xr:uid="{00000000-0005-0000-0000-0000B5630000}"/>
    <cellStyle name="Normal 2 3 12 5 5" xfId="25526" xr:uid="{00000000-0005-0000-0000-0000B6630000}"/>
    <cellStyle name="Normal 2 3 12 5 6" xfId="25527" xr:uid="{00000000-0005-0000-0000-0000B7630000}"/>
    <cellStyle name="Normal 2 3 12 5 7" xfId="25528" xr:uid="{00000000-0005-0000-0000-0000B8630000}"/>
    <cellStyle name="Normal 2 3 12 5 8" xfId="25529" xr:uid="{00000000-0005-0000-0000-0000B9630000}"/>
    <cellStyle name="Normal 2 3 12 5 9" xfId="25530" xr:uid="{00000000-0005-0000-0000-0000BA630000}"/>
    <cellStyle name="Normal 2 3 12 6" xfId="25531" xr:uid="{00000000-0005-0000-0000-0000BB630000}"/>
    <cellStyle name="Normal 2 3 12 7" xfId="25532" xr:uid="{00000000-0005-0000-0000-0000BC630000}"/>
    <cellStyle name="Normal 2 3 12 8" xfId="25533" xr:uid="{00000000-0005-0000-0000-0000BD630000}"/>
    <cellStyle name="Normal 2 3 12 9" xfId="25534" xr:uid="{00000000-0005-0000-0000-0000BE630000}"/>
    <cellStyle name="Normal 2 3 13" xfId="25535" xr:uid="{00000000-0005-0000-0000-0000BF630000}"/>
    <cellStyle name="Normal 2 3 13 10" xfId="25536" xr:uid="{00000000-0005-0000-0000-0000C0630000}"/>
    <cellStyle name="Normal 2 3 13 11" xfId="25537" xr:uid="{00000000-0005-0000-0000-0000C1630000}"/>
    <cellStyle name="Normal 2 3 13 12" xfId="25538" xr:uid="{00000000-0005-0000-0000-0000C2630000}"/>
    <cellStyle name="Normal 2 3 13 13" xfId="25539" xr:uid="{00000000-0005-0000-0000-0000C3630000}"/>
    <cellStyle name="Normal 2 3 13 14" xfId="25540" xr:uid="{00000000-0005-0000-0000-0000C4630000}"/>
    <cellStyle name="Normal 2 3 13 2" xfId="25541" xr:uid="{00000000-0005-0000-0000-0000C5630000}"/>
    <cellStyle name="Normal 2 3 13 2 10" xfId="25542" xr:uid="{00000000-0005-0000-0000-0000C6630000}"/>
    <cellStyle name="Normal 2 3 13 2 2" xfId="25543" xr:uid="{00000000-0005-0000-0000-0000C7630000}"/>
    <cellStyle name="Normal 2 3 13 2 3" xfId="25544" xr:uid="{00000000-0005-0000-0000-0000C8630000}"/>
    <cellStyle name="Normal 2 3 13 2 4" xfId="25545" xr:uid="{00000000-0005-0000-0000-0000C9630000}"/>
    <cellStyle name="Normal 2 3 13 2 5" xfId="25546" xr:uid="{00000000-0005-0000-0000-0000CA630000}"/>
    <cellStyle name="Normal 2 3 13 2 6" xfId="25547" xr:uid="{00000000-0005-0000-0000-0000CB630000}"/>
    <cellStyle name="Normal 2 3 13 2 7" xfId="25548" xr:uid="{00000000-0005-0000-0000-0000CC630000}"/>
    <cellStyle name="Normal 2 3 13 2 8" xfId="25549" xr:uid="{00000000-0005-0000-0000-0000CD630000}"/>
    <cellStyle name="Normal 2 3 13 2 9" xfId="25550" xr:uid="{00000000-0005-0000-0000-0000CE630000}"/>
    <cellStyle name="Normal 2 3 13 3" xfId="25551" xr:uid="{00000000-0005-0000-0000-0000CF630000}"/>
    <cellStyle name="Normal 2 3 13 3 10" xfId="25552" xr:uid="{00000000-0005-0000-0000-0000D0630000}"/>
    <cellStyle name="Normal 2 3 13 3 2" xfId="25553" xr:uid="{00000000-0005-0000-0000-0000D1630000}"/>
    <cellStyle name="Normal 2 3 13 3 3" xfId="25554" xr:uid="{00000000-0005-0000-0000-0000D2630000}"/>
    <cellStyle name="Normal 2 3 13 3 4" xfId="25555" xr:uid="{00000000-0005-0000-0000-0000D3630000}"/>
    <cellStyle name="Normal 2 3 13 3 5" xfId="25556" xr:uid="{00000000-0005-0000-0000-0000D4630000}"/>
    <cellStyle name="Normal 2 3 13 3 6" xfId="25557" xr:uid="{00000000-0005-0000-0000-0000D5630000}"/>
    <cellStyle name="Normal 2 3 13 3 7" xfId="25558" xr:uid="{00000000-0005-0000-0000-0000D6630000}"/>
    <cellStyle name="Normal 2 3 13 3 8" xfId="25559" xr:uid="{00000000-0005-0000-0000-0000D7630000}"/>
    <cellStyle name="Normal 2 3 13 3 9" xfId="25560" xr:uid="{00000000-0005-0000-0000-0000D8630000}"/>
    <cellStyle name="Normal 2 3 13 4" xfId="25561" xr:uid="{00000000-0005-0000-0000-0000D9630000}"/>
    <cellStyle name="Normal 2 3 13 4 10" xfId="25562" xr:uid="{00000000-0005-0000-0000-0000DA630000}"/>
    <cellStyle name="Normal 2 3 13 4 2" xfId="25563" xr:uid="{00000000-0005-0000-0000-0000DB630000}"/>
    <cellStyle name="Normal 2 3 13 4 3" xfId="25564" xr:uid="{00000000-0005-0000-0000-0000DC630000}"/>
    <cellStyle name="Normal 2 3 13 4 4" xfId="25565" xr:uid="{00000000-0005-0000-0000-0000DD630000}"/>
    <cellStyle name="Normal 2 3 13 4 5" xfId="25566" xr:uid="{00000000-0005-0000-0000-0000DE630000}"/>
    <cellStyle name="Normal 2 3 13 4 6" xfId="25567" xr:uid="{00000000-0005-0000-0000-0000DF630000}"/>
    <cellStyle name="Normal 2 3 13 4 7" xfId="25568" xr:uid="{00000000-0005-0000-0000-0000E0630000}"/>
    <cellStyle name="Normal 2 3 13 4 8" xfId="25569" xr:uid="{00000000-0005-0000-0000-0000E1630000}"/>
    <cellStyle name="Normal 2 3 13 4 9" xfId="25570" xr:uid="{00000000-0005-0000-0000-0000E2630000}"/>
    <cellStyle name="Normal 2 3 13 5" xfId="25571" xr:uid="{00000000-0005-0000-0000-0000E3630000}"/>
    <cellStyle name="Normal 2 3 13 5 10" xfId="25572" xr:uid="{00000000-0005-0000-0000-0000E4630000}"/>
    <cellStyle name="Normal 2 3 13 5 2" xfId="25573" xr:uid="{00000000-0005-0000-0000-0000E5630000}"/>
    <cellStyle name="Normal 2 3 13 5 3" xfId="25574" xr:uid="{00000000-0005-0000-0000-0000E6630000}"/>
    <cellStyle name="Normal 2 3 13 5 4" xfId="25575" xr:uid="{00000000-0005-0000-0000-0000E7630000}"/>
    <cellStyle name="Normal 2 3 13 5 5" xfId="25576" xr:uid="{00000000-0005-0000-0000-0000E8630000}"/>
    <cellStyle name="Normal 2 3 13 5 6" xfId="25577" xr:uid="{00000000-0005-0000-0000-0000E9630000}"/>
    <cellStyle name="Normal 2 3 13 5 7" xfId="25578" xr:uid="{00000000-0005-0000-0000-0000EA630000}"/>
    <cellStyle name="Normal 2 3 13 5 8" xfId="25579" xr:uid="{00000000-0005-0000-0000-0000EB630000}"/>
    <cellStyle name="Normal 2 3 13 5 9" xfId="25580" xr:uid="{00000000-0005-0000-0000-0000EC630000}"/>
    <cellStyle name="Normal 2 3 13 6" xfId="25581" xr:uid="{00000000-0005-0000-0000-0000ED630000}"/>
    <cellStyle name="Normal 2 3 13 7" xfId="25582" xr:uid="{00000000-0005-0000-0000-0000EE630000}"/>
    <cellStyle name="Normal 2 3 13 8" xfId="25583" xr:uid="{00000000-0005-0000-0000-0000EF630000}"/>
    <cellStyle name="Normal 2 3 13 9" xfId="25584" xr:uid="{00000000-0005-0000-0000-0000F0630000}"/>
    <cellStyle name="Normal 2 3 14" xfId="25585" xr:uid="{00000000-0005-0000-0000-0000F1630000}"/>
    <cellStyle name="Normal 2 3 14 10" xfId="25586" xr:uid="{00000000-0005-0000-0000-0000F2630000}"/>
    <cellStyle name="Normal 2 3 14 11" xfId="25587" xr:uid="{00000000-0005-0000-0000-0000F3630000}"/>
    <cellStyle name="Normal 2 3 14 12" xfId="25588" xr:uid="{00000000-0005-0000-0000-0000F4630000}"/>
    <cellStyle name="Normal 2 3 14 13" xfId="25589" xr:uid="{00000000-0005-0000-0000-0000F5630000}"/>
    <cellStyle name="Normal 2 3 14 14" xfId="25590" xr:uid="{00000000-0005-0000-0000-0000F6630000}"/>
    <cellStyle name="Normal 2 3 14 2" xfId="25591" xr:uid="{00000000-0005-0000-0000-0000F7630000}"/>
    <cellStyle name="Normal 2 3 14 2 10" xfId="25592" xr:uid="{00000000-0005-0000-0000-0000F8630000}"/>
    <cellStyle name="Normal 2 3 14 2 2" xfId="25593" xr:uid="{00000000-0005-0000-0000-0000F9630000}"/>
    <cellStyle name="Normal 2 3 14 2 3" xfId="25594" xr:uid="{00000000-0005-0000-0000-0000FA630000}"/>
    <cellStyle name="Normal 2 3 14 2 4" xfId="25595" xr:uid="{00000000-0005-0000-0000-0000FB630000}"/>
    <cellStyle name="Normal 2 3 14 2 5" xfId="25596" xr:uid="{00000000-0005-0000-0000-0000FC630000}"/>
    <cellStyle name="Normal 2 3 14 2 6" xfId="25597" xr:uid="{00000000-0005-0000-0000-0000FD630000}"/>
    <cellStyle name="Normal 2 3 14 2 7" xfId="25598" xr:uid="{00000000-0005-0000-0000-0000FE630000}"/>
    <cellStyle name="Normal 2 3 14 2 8" xfId="25599" xr:uid="{00000000-0005-0000-0000-0000FF630000}"/>
    <cellStyle name="Normal 2 3 14 2 9" xfId="25600" xr:uid="{00000000-0005-0000-0000-000000640000}"/>
    <cellStyle name="Normal 2 3 14 3" xfId="25601" xr:uid="{00000000-0005-0000-0000-000001640000}"/>
    <cellStyle name="Normal 2 3 14 3 10" xfId="25602" xr:uid="{00000000-0005-0000-0000-000002640000}"/>
    <cellStyle name="Normal 2 3 14 3 2" xfId="25603" xr:uid="{00000000-0005-0000-0000-000003640000}"/>
    <cellStyle name="Normal 2 3 14 3 3" xfId="25604" xr:uid="{00000000-0005-0000-0000-000004640000}"/>
    <cellStyle name="Normal 2 3 14 3 4" xfId="25605" xr:uid="{00000000-0005-0000-0000-000005640000}"/>
    <cellStyle name="Normal 2 3 14 3 5" xfId="25606" xr:uid="{00000000-0005-0000-0000-000006640000}"/>
    <cellStyle name="Normal 2 3 14 3 6" xfId="25607" xr:uid="{00000000-0005-0000-0000-000007640000}"/>
    <cellStyle name="Normal 2 3 14 3 7" xfId="25608" xr:uid="{00000000-0005-0000-0000-000008640000}"/>
    <cellStyle name="Normal 2 3 14 3 8" xfId="25609" xr:uid="{00000000-0005-0000-0000-000009640000}"/>
    <cellStyle name="Normal 2 3 14 3 9" xfId="25610" xr:uid="{00000000-0005-0000-0000-00000A640000}"/>
    <cellStyle name="Normal 2 3 14 4" xfId="25611" xr:uid="{00000000-0005-0000-0000-00000B640000}"/>
    <cellStyle name="Normal 2 3 14 4 10" xfId="25612" xr:uid="{00000000-0005-0000-0000-00000C640000}"/>
    <cellStyle name="Normal 2 3 14 4 2" xfId="25613" xr:uid="{00000000-0005-0000-0000-00000D640000}"/>
    <cellStyle name="Normal 2 3 14 4 3" xfId="25614" xr:uid="{00000000-0005-0000-0000-00000E640000}"/>
    <cellStyle name="Normal 2 3 14 4 4" xfId="25615" xr:uid="{00000000-0005-0000-0000-00000F640000}"/>
    <cellStyle name="Normal 2 3 14 4 5" xfId="25616" xr:uid="{00000000-0005-0000-0000-000010640000}"/>
    <cellStyle name="Normal 2 3 14 4 6" xfId="25617" xr:uid="{00000000-0005-0000-0000-000011640000}"/>
    <cellStyle name="Normal 2 3 14 4 7" xfId="25618" xr:uid="{00000000-0005-0000-0000-000012640000}"/>
    <cellStyle name="Normal 2 3 14 4 8" xfId="25619" xr:uid="{00000000-0005-0000-0000-000013640000}"/>
    <cellStyle name="Normal 2 3 14 4 9" xfId="25620" xr:uid="{00000000-0005-0000-0000-000014640000}"/>
    <cellStyle name="Normal 2 3 14 5" xfId="25621" xr:uid="{00000000-0005-0000-0000-000015640000}"/>
    <cellStyle name="Normal 2 3 14 5 10" xfId="25622" xr:uid="{00000000-0005-0000-0000-000016640000}"/>
    <cellStyle name="Normal 2 3 14 5 2" xfId="25623" xr:uid="{00000000-0005-0000-0000-000017640000}"/>
    <cellStyle name="Normal 2 3 14 5 3" xfId="25624" xr:uid="{00000000-0005-0000-0000-000018640000}"/>
    <cellStyle name="Normal 2 3 14 5 4" xfId="25625" xr:uid="{00000000-0005-0000-0000-000019640000}"/>
    <cellStyle name="Normal 2 3 14 5 5" xfId="25626" xr:uid="{00000000-0005-0000-0000-00001A640000}"/>
    <cellStyle name="Normal 2 3 14 5 6" xfId="25627" xr:uid="{00000000-0005-0000-0000-00001B640000}"/>
    <cellStyle name="Normal 2 3 14 5 7" xfId="25628" xr:uid="{00000000-0005-0000-0000-00001C640000}"/>
    <cellStyle name="Normal 2 3 14 5 8" xfId="25629" xr:uid="{00000000-0005-0000-0000-00001D640000}"/>
    <cellStyle name="Normal 2 3 14 5 9" xfId="25630" xr:uid="{00000000-0005-0000-0000-00001E640000}"/>
    <cellStyle name="Normal 2 3 14 6" xfId="25631" xr:uid="{00000000-0005-0000-0000-00001F640000}"/>
    <cellStyle name="Normal 2 3 14 7" xfId="25632" xr:uid="{00000000-0005-0000-0000-000020640000}"/>
    <cellStyle name="Normal 2 3 14 8" xfId="25633" xr:uid="{00000000-0005-0000-0000-000021640000}"/>
    <cellStyle name="Normal 2 3 14 9" xfId="25634" xr:uid="{00000000-0005-0000-0000-000022640000}"/>
    <cellStyle name="Normal 2 3 15" xfId="25635" xr:uid="{00000000-0005-0000-0000-000023640000}"/>
    <cellStyle name="Normal 2 3 15 10" xfId="25636" xr:uid="{00000000-0005-0000-0000-000024640000}"/>
    <cellStyle name="Normal 2 3 15 11" xfId="25637" xr:uid="{00000000-0005-0000-0000-000025640000}"/>
    <cellStyle name="Normal 2 3 15 12" xfId="25638" xr:uid="{00000000-0005-0000-0000-000026640000}"/>
    <cellStyle name="Normal 2 3 15 13" xfId="25639" xr:uid="{00000000-0005-0000-0000-000027640000}"/>
    <cellStyle name="Normal 2 3 15 14" xfId="25640" xr:uid="{00000000-0005-0000-0000-000028640000}"/>
    <cellStyle name="Normal 2 3 15 2" xfId="25641" xr:uid="{00000000-0005-0000-0000-000029640000}"/>
    <cellStyle name="Normal 2 3 15 2 10" xfId="25642" xr:uid="{00000000-0005-0000-0000-00002A640000}"/>
    <cellStyle name="Normal 2 3 15 2 2" xfId="25643" xr:uid="{00000000-0005-0000-0000-00002B640000}"/>
    <cellStyle name="Normal 2 3 15 2 3" xfId="25644" xr:uid="{00000000-0005-0000-0000-00002C640000}"/>
    <cellStyle name="Normal 2 3 15 2 4" xfId="25645" xr:uid="{00000000-0005-0000-0000-00002D640000}"/>
    <cellStyle name="Normal 2 3 15 2 5" xfId="25646" xr:uid="{00000000-0005-0000-0000-00002E640000}"/>
    <cellStyle name="Normal 2 3 15 2 6" xfId="25647" xr:uid="{00000000-0005-0000-0000-00002F640000}"/>
    <cellStyle name="Normal 2 3 15 2 7" xfId="25648" xr:uid="{00000000-0005-0000-0000-000030640000}"/>
    <cellStyle name="Normal 2 3 15 2 8" xfId="25649" xr:uid="{00000000-0005-0000-0000-000031640000}"/>
    <cellStyle name="Normal 2 3 15 2 9" xfId="25650" xr:uid="{00000000-0005-0000-0000-000032640000}"/>
    <cellStyle name="Normal 2 3 15 3" xfId="25651" xr:uid="{00000000-0005-0000-0000-000033640000}"/>
    <cellStyle name="Normal 2 3 15 3 10" xfId="25652" xr:uid="{00000000-0005-0000-0000-000034640000}"/>
    <cellStyle name="Normal 2 3 15 3 2" xfId="25653" xr:uid="{00000000-0005-0000-0000-000035640000}"/>
    <cellStyle name="Normal 2 3 15 3 3" xfId="25654" xr:uid="{00000000-0005-0000-0000-000036640000}"/>
    <cellStyle name="Normal 2 3 15 3 4" xfId="25655" xr:uid="{00000000-0005-0000-0000-000037640000}"/>
    <cellStyle name="Normal 2 3 15 3 5" xfId="25656" xr:uid="{00000000-0005-0000-0000-000038640000}"/>
    <cellStyle name="Normal 2 3 15 3 6" xfId="25657" xr:uid="{00000000-0005-0000-0000-000039640000}"/>
    <cellStyle name="Normal 2 3 15 3 7" xfId="25658" xr:uid="{00000000-0005-0000-0000-00003A640000}"/>
    <cellStyle name="Normal 2 3 15 3 8" xfId="25659" xr:uid="{00000000-0005-0000-0000-00003B640000}"/>
    <cellStyle name="Normal 2 3 15 3 9" xfId="25660" xr:uid="{00000000-0005-0000-0000-00003C640000}"/>
    <cellStyle name="Normal 2 3 15 4" xfId="25661" xr:uid="{00000000-0005-0000-0000-00003D640000}"/>
    <cellStyle name="Normal 2 3 15 4 10" xfId="25662" xr:uid="{00000000-0005-0000-0000-00003E640000}"/>
    <cellStyle name="Normal 2 3 15 4 2" xfId="25663" xr:uid="{00000000-0005-0000-0000-00003F640000}"/>
    <cellStyle name="Normal 2 3 15 4 3" xfId="25664" xr:uid="{00000000-0005-0000-0000-000040640000}"/>
    <cellStyle name="Normal 2 3 15 4 4" xfId="25665" xr:uid="{00000000-0005-0000-0000-000041640000}"/>
    <cellStyle name="Normal 2 3 15 4 5" xfId="25666" xr:uid="{00000000-0005-0000-0000-000042640000}"/>
    <cellStyle name="Normal 2 3 15 4 6" xfId="25667" xr:uid="{00000000-0005-0000-0000-000043640000}"/>
    <cellStyle name="Normal 2 3 15 4 7" xfId="25668" xr:uid="{00000000-0005-0000-0000-000044640000}"/>
    <cellStyle name="Normal 2 3 15 4 8" xfId="25669" xr:uid="{00000000-0005-0000-0000-000045640000}"/>
    <cellStyle name="Normal 2 3 15 4 9" xfId="25670" xr:uid="{00000000-0005-0000-0000-000046640000}"/>
    <cellStyle name="Normal 2 3 15 5" xfId="25671" xr:uid="{00000000-0005-0000-0000-000047640000}"/>
    <cellStyle name="Normal 2 3 15 5 10" xfId="25672" xr:uid="{00000000-0005-0000-0000-000048640000}"/>
    <cellStyle name="Normal 2 3 15 5 2" xfId="25673" xr:uid="{00000000-0005-0000-0000-000049640000}"/>
    <cellStyle name="Normal 2 3 15 5 3" xfId="25674" xr:uid="{00000000-0005-0000-0000-00004A640000}"/>
    <cellStyle name="Normal 2 3 15 5 4" xfId="25675" xr:uid="{00000000-0005-0000-0000-00004B640000}"/>
    <cellStyle name="Normal 2 3 15 5 5" xfId="25676" xr:uid="{00000000-0005-0000-0000-00004C640000}"/>
    <cellStyle name="Normal 2 3 15 5 6" xfId="25677" xr:uid="{00000000-0005-0000-0000-00004D640000}"/>
    <cellStyle name="Normal 2 3 15 5 7" xfId="25678" xr:uid="{00000000-0005-0000-0000-00004E640000}"/>
    <cellStyle name="Normal 2 3 15 5 8" xfId="25679" xr:uid="{00000000-0005-0000-0000-00004F640000}"/>
    <cellStyle name="Normal 2 3 15 5 9" xfId="25680" xr:uid="{00000000-0005-0000-0000-000050640000}"/>
    <cellStyle name="Normal 2 3 15 6" xfId="25681" xr:uid="{00000000-0005-0000-0000-000051640000}"/>
    <cellStyle name="Normal 2 3 15 7" xfId="25682" xr:uid="{00000000-0005-0000-0000-000052640000}"/>
    <cellStyle name="Normal 2 3 15 8" xfId="25683" xr:uid="{00000000-0005-0000-0000-000053640000}"/>
    <cellStyle name="Normal 2 3 15 9" xfId="25684" xr:uid="{00000000-0005-0000-0000-000054640000}"/>
    <cellStyle name="Normal 2 3 16" xfId="25685" xr:uid="{00000000-0005-0000-0000-000055640000}"/>
    <cellStyle name="Normal 2 3 16 10" xfId="25686" xr:uid="{00000000-0005-0000-0000-000056640000}"/>
    <cellStyle name="Normal 2 3 16 11" xfId="25687" xr:uid="{00000000-0005-0000-0000-000057640000}"/>
    <cellStyle name="Normal 2 3 16 12" xfId="25688" xr:uid="{00000000-0005-0000-0000-000058640000}"/>
    <cellStyle name="Normal 2 3 16 13" xfId="25689" xr:uid="{00000000-0005-0000-0000-000059640000}"/>
    <cellStyle name="Normal 2 3 16 14" xfId="25690" xr:uid="{00000000-0005-0000-0000-00005A640000}"/>
    <cellStyle name="Normal 2 3 16 2" xfId="25691" xr:uid="{00000000-0005-0000-0000-00005B640000}"/>
    <cellStyle name="Normal 2 3 16 2 10" xfId="25692" xr:uid="{00000000-0005-0000-0000-00005C640000}"/>
    <cellStyle name="Normal 2 3 16 2 2" xfId="25693" xr:uid="{00000000-0005-0000-0000-00005D640000}"/>
    <cellStyle name="Normal 2 3 16 2 3" xfId="25694" xr:uid="{00000000-0005-0000-0000-00005E640000}"/>
    <cellStyle name="Normal 2 3 16 2 4" xfId="25695" xr:uid="{00000000-0005-0000-0000-00005F640000}"/>
    <cellStyle name="Normal 2 3 16 2 5" xfId="25696" xr:uid="{00000000-0005-0000-0000-000060640000}"/>
    <cellStyle name="Normal 2 3 16 2 6" xfId="25697" xr:uid="{00000000-0005-0000-0000-000061640000}"/>
    <cellStyle name="Normal 2 3 16 2 7" xfId="25698" xr:uid="{00000000-0005-0000-0000-000062640000}"/>
    <cellStyle name="Normal 2 3 16 2 8" xfId="25699" xr:uid="{00000000-0005-0000-0000-000063640000}"/>
    <cellStyle name="Normal 2 3 16 2 9" xfId="25700" xr:uid="{00000000-0005-0000-0000-000064640000}"/>
    <cellStyle name="Normal 2 3 16 3" xfId="25701" xr:uid="{00000000-0005-0000-0000-000065640000}"/>
    <cellStyle name="Normal 2 3 16 3 10" xfId="25702" xr:uid="{00000000-0005-0000-0000-000066640000}"/>
    <cellStyle name="Normal 2 3 16 3 2" xfId="25703" xr:uid="{00000000-0005-0000-0000-000067640000}"/>
    <cellStyle name="Normal 2 3 16 3 3" xfId="25704" xr:uid="{00000000-0005-0000-0000-000068640000}"/>
    <cellStyle name="Normal 2 3 16 3 4" xfId="25705" xr:uid="{00000000-0005-0000-0000-000069640000}"/>
    <cellStyle name="Normal 2 3 16 3 5" xfId="25706" xr:uid="{00000000-0005-0000-0000-00006A640000}"/>
    <cellStyle name="Normal 2 3 16 3 6" xfId="25707" xr:uid="{00000000-0005-0000-0000-00006B640000}"/>
    <cellStyle name="Normal 2 3 16 3 7" xfId="25708" xr:uid="{00000000-0005-0000-0000-00006C640000}"/>
    <cellStyle name="Normal 2 3 16 3 8" xfId="25709" xr:uid="{00000000-0005-0000-0000-00006D640000}"/>
    <cellStyle name="Normal 2 3 16 3 9" xfId="25710" xr:uid="{00000000-0005-0000-0000-00006E640000}"/>
    <cellStyle name="Normal 2 3 16 4" xfId="25711" xr:uid="{00000000-0005-0000-0000-00006F640000}"/>
    <cellStyle name="Normal 2 3 16 4 10" xfId="25712" xr:uid="{00000000-0005-0000-0000-000070640000}"/>
    <cellStyle name="Normal 2 3 16 4 2" xfId="25713" xr:uid="{00000000-0005-0000-0000-000071640000}"/>
    <cellStyle name="Normal 2 3 16 4 3" xfId="25714" xr:uid="{00000000-0005-0000-0000-000072640000}"/>
    <cellStyle name="Normal 2 3 16 4 4" xfId="25715" xr:uid="{00000000-0005-0000-0000-000073640000}"/>
    <cellStyle name="Normal 2 3 16 4 5" xfId="25716" xr:uid="{00000000-0005-0000-0000-000074640000}"/>
    <cellStyle name="Normal 2 3 16 4 6" xfId="25717" xr:uid="{00000000-0005-0000-0000-000075640000}"/>
    <cellStyle name="Normal 2 3 16 4 7" xfId="25718" xr:uid="{00000000-0005-0000-0000-000076640000}"/>
    <cellStyle name="Normal 2 3 16 4 8" xfId="25719" xr:uid="{00000000-0005-0000-0000-000077640000}"/>
    <cellStyle name="Normal 2 3 16 4 9" xfId="25720" xr:uid="{00000000-0005-0000-0000-000078640000}"/>
    <cellStyle name="Normal 2 3 16 5" xfId="25721" xr:uid="{00000000-0005-0000-0000-000079640000}"/>
    <cellStyle name="Normal 2 3 16 5 10" xfId="25722" xr:uid="{00000000-0005-0000-0000-00007A640000}"/>
    <cellStyle name="Normal 2 3 16 5 2" xfId="25723" xr:uid="{00000000-0005-0000-0000-00007B640000}"/>
    <cellStyle name="Normal 2 3 16 5 3" xfId="25724" xr:uid="{00000000-0005-0000-0000-00007C640000}"/>
    <cellStyle name="Normal 2 3 16 5 4" xfId="25725" xr:uid="{00000000-0005-0000-0000-00007D640000}"/>
    <cellStyle name="Normal 2 3 16 5 5" xfId="25726" xr:uid="{00000000-0005-0000-0000-00007E640000}"/>
    <cellStyle name="Normal 2 3 16 5 6" xfId="25727" xr:uid="{00000000-0005-0000-0000-00007F640000}"/>
    <cellStyle name="Normal 2 3 16 5 7" xfId="25728" xr:uid="{00000000-0005-0000-0000-000080640000}"/>
    <cellStyle name="Normal 2 3 16 5 8" xfId="25729" xr:uid="{00000000-0005-0000-0000-000081640000}"/>
    <cellStyle name="Normal 2 3 16 5 9" xfId="25730" xr:uid="{00000000-0005-0000-0000-000082640000}"/>
    <cellStyle name="Normal 2 3 16 6" xfId="25731" xr:uid="{00000000-0005-0000-0000-000083640000}"/>
    <cellStyle name="Normal 2 3 16 7" xfId="25732" xr:uid="{00000000-0005-0000-0000-000084640000}"/>
    <cellStyle name="Normal 2 3 16 8" xfId="25733" xr:uid="{00000000-0005-0000-0000-000085640000}"/>
    <cellStyle name="Normal 2 3 16 9" xfId="25734" xr:uid="{00000000-0005-0000-0000-000086640000}"/>
    <cellStyle name="Normal 2 3 17" xfId="25735" xr:uid="{00000000-0005-0000-0000-000087640000}"/>
    <cellStyle name="Normal 2 3 17 10" xfId="25736" xr:uid="{00000000-0005-0000-0000-000088640000}"/>
    <cellStyle name="Normal 2 3 17 11" xfId="25737" xr:uid="{00000000-0005-0000-0000-000089640000}"/>
    <cellStyle name="Normal 2 3 17 12" xfId="25738" xr:uid="{00000000-0005-0000-0000-00008A640000}"/>
    <cellStyle name="Normal 2 3 17 13" xfId="25739" xr:uid="{00000000-0005-0000-0000-00008B640000}"/>
    <cellStyle name="Normal 2 3 17 14" xfId="25740" xr:uid="{00000000-0005-0000-0000-00008C640000}"/>
    <cellStyle name="Normal 2 3 17 2" xfId="25741" xr:uid="{00000000-0005-0000-0000-00008D640000}"/>
    <cellStyle name="Normal 2 3 17 2 10" xfId="25742" xr:uid="{00000000-0005-0000-0000-00008E640000}"/>
    <cellStyle name="Normal 2 3 17 2 2" xfId="25743" xr:uid="{00000000-0005-0000-0000-00008F640000}"/>
    <cellStyle name="Normal 2 3 17 2 3" xfId="25744" xr:uid="{00000000-0005-0000-0000-000090640000}"/>
    <cellStyle name="Normal 2 3 17 2 4" xfId="25745" xr:uid="{00000000-0005-0000-0000-000091640000}"/>
    <cellStyle name="Normal 2 3 17 2 5" xfId="25746" xr:uid="{00000000-0005-0000-0000-000092640000}"/>
    <cellStyle name="Normal 2 3 17 2 6" xfId="25747" xr:uid="{00000000-0005-0000-0000-000093640000}"/>
    <cellStyle name="Normal 2 3 17 2 7" xfId="25748" xr:uid="{00000000-0005-0000-0000-000094640000}"/>
    <cellStyle name="Normal 2 3 17 2 8" xfId="25749" xr:uid="{00000000-0005-0000-0000-000095640000}"/>
    <cellStyle name="Normal 2 3 17 2 9" xfId="25750" xr:uid="{00000000-0005-0000-0000-000096640000}"/>
    <cellStyle name="Normal 2 3 17 3" xfId="25751" xr:uid="{00000000-0005-0000-0000-000097640000}"/>
    <cellStyle name="Normal 2 3 17 3 10" xfId="25752" xr:uid="{00000000-0005-0000-0000-000098640000}"/>
    <cellStyle name="Normal 2 3 17 3 2" xfId="25753" xr:uid="{00000000-0005-0000-0000-000099640000}"/>
    <cellStyle name="Normal 2 3 17 3 3" xfId="25754" xr:uid="{00000000-0005-0000-0000-00009A640000}"/>
    <cellStyle name="Normal 2 3 17 3 4" xfId="25755" xr:uid="{00000000-0005-0000-0000-00009B640000}"/>
    <cellStyle name="Normal 2 3 17 3 5" xfId="25756" xr:uid="{00000000-0005-0000-0000-00009C640000}"/>
    <cellStyle name="Normal 2 3 17 3 6" xfId="25757" xr:uid="{00000000-0005-0000-0000-00009D640000}"/>
    <cellStyle name="Normal 2 3 17 3 7" xfId="25758" xr:uid="{00000000-0005-0000-0000-00009E640000}"/>
    <cellStyle name="Normal 2 3 17 3 8" xfId="25759" xr:uid="{00000000-0005-0000-0000-00009F640000}"/>
    <cellStyle name="Normal 2 3 17 3 9" xfId="25760" xr:uid="{00000000-0005-0000-0000-0000A0640000}"/>
    <cellStyle name="Normal 2 3 17 4" xfId="25761" xr:uid="{00000000-0005-0000-0000-0000A1640000}"/>
    <cellStyle name="Normal 2 3 17 4 10" xfId="25762" xr:uid="{00000000-0005-0000-0000-0000A2640000}"/>
    <cellStyle name="Normal 2 3 17 4 2" xfId="25763" xr:uid="{00000000-0005-0000-0000-0000A3640000}"/>
    <cellStyle name="Normal 2 3 17 4 3" xfId="25764" xr:uid="{00000000-0005-0000-0000-0000A4640000}"/>
    <cellStyle name="Normal 2 3 17 4 4" xfId="25765" xr:uid="{00000000-0005-0000-0000-0000A5640000}"/>
    <cellStyle name="Normal 2 3 17 4 5" xfId="25766" xr:uid="{00000000-0005-0000-0000-0000A6640000}"/>
    <cellStyle name="Normal 2 3 17 4 6" xfId="25767" xr:uid="{00000000-0005-0000-0000-0000A7640000}"/>
    <cellStyle name="Normal 2 3 17 4 7" xfId="25768" xr:uid="{00000000-0005-0000-0000-0000A8640000}"/>
    <cellStyle name="Normal 2 3 17 4 8" xfId="25769" xr:uid="{00000000-0005-0000-0000-0000A9640000}"/>
    <cellStyle name="Normal 2 3 17 4 9" xfId="25770" xr:uid="{00000000-0005-0000-0000-0000AA640000}"/>
    <cellStyle name="Normal 2 3 17 5" xfId="25771" xr:uid="{00000000-0005-0000-0000-0000AB640000}"/>
    <cellStyle name="Normal 2 3 17 5 10" xfId="25772" xr:uid="{00000000-0005-0000-0000-0000AC640000}"/>
    <cellStyle name="Normal 2 3 17 5 2" xfId="25773" xr:uid="{00000000-0005-0000-0000-0000AD640000}"/>
    <cellStyle name="Normal 2 3 17 5 3" xfId="25774" xr:uid="{00000000-0005-0000-0000-0000AE640000}"/>
    <cellStyle name="Normal 2 3 17 5 4" xfId="25775" xr:uid="{00000000-0005-0000-0000-0000AF640000}"/>
    <cellStyle name="Normal 2 3 17 5 5" xfId="25776" xr:uid="{00000000-0005-0000-0000-0000B0640000}"/>
    <cellStyle name="Normal 2 3 17 5 6" xfId="25777" xr:uid="{00000000-0005-0000-0000-0000B1640000}"/>
    <cellStyle name="Normal 2 3 17 5 7" xfId="25778" xr:uid="{00000000-0005-0000-0000-0000B2640000}"/>
    <cellStyle name="Normal 2 3 17 5 8" xfId="25779" xr:uid="{00000000-0005-0000-0000-0000B3640000}"/>
    <cellStyle name="Normal 2 3 17 5 9" xfId="25780" xr:uid="{00000000-0005-0000-0000-0000B4640000}"/>
    <cellStyle name="Normal 2 3 17 6" xfId="25781" xr:uid="{00000000-0005-0000-0000-0000B5640000}"/>
    <cellStyle name="Normal 2 3 17 7" xfId="25782" xr:uid="{00000000-0005-0000-0000-0000B6640000}"/>
    <cellStyle name="Normal 2 3 17 8" xfId="25783" xr:uid="{00000000-0005-0000-0000-0000B7640000}"/>
    <cellStyle name="Normal 2 3 17 9" xfId="25784" xr:uid="{00000000-0005-0000-0000-0000B8640000}"/>
    <cellStyle name="Normal 2 3 18" xfId="25785" xr:uid="{00000000-0005-0000-0000-0000B9640000}"/>
    <cellStyle name="Normal 2 3 18 10" xfId="25786" xr:uid="{00000000-0005-0000-0000-0000BA640000}"/>
    <cellStyle name="Normal 2 3 18 11" xfId="25787" xr:uid="{00000000-0005-0000-0000-0000BB640000}"/>
    <cellStyle name="Normal 2 3 18 12" xfId="25788" xr:uid="{00000000-0005-0000-0000-0000BC640000}"/>
    <cellStyle name="Normal 2 3 18 13" xfId="25789" xr:uid="{00000000-0005-0000-0000-0000BD640000}"/>
    <cellStyle name="Normal 2 3 18 14" xfId="25790" xr:uid="{00000000-0005-0000-0000-0000BE640000}"/>
    <cellStyle name="Normal 2 3 18 2" xfId="25791" xr:uid="{00000000-0005-0000-0000-0000BF640000}"/>
    <cellStyle name="Normal 2 3 18 2 10" xfId="25792" xr:uid="{00000000-0005-0000-0000-0000C0640000}"/>
    <cellStyle name="Normal 2 3 18 2 2" xfId="25793" xr:uid="{00000000-0005-0000-0000-0000C1640000}"/>
    <cellStyle name="Normal 2 3 18 2 3" xfId="25794" xr:uid="{00000000-0005-0000-0000-0000C2640000}"/>
    <cellStyle name="Normal 2 3 18 2 4" xfId="25795" xr:uid="{00000000-0005-0000-0000-0000C3640000}"/>
    <cellStyle name="Normal 2 3 18 2 5" xfId="25796" xr:uid="{00000000-0005-0000-0000-0000C4640000}"/>
    <cellStyle name="Normal 2 3 18 2 6" xfId="25797" xr:uid="{00000000-0005-0000-0000-0000C5640000}"/>
    <cellStyle name="Normal 2 3 18 2 7" xfId="25798" xr:uid="{00000000-0005-0000-0000-0000C6640000}"/>
    <cellStyle name="Normal 2 3 18 2 8" xfId="25799" xr:uid="{00000000-0005-0000-0000-0000C7640000}"/>
    <cellStyle name="Normal 2 3 18 2 9" xfId="25800" xr:uid="{00000000-0005-0000-0000-0000C8640000}"/>
    <cellStyle name="Normal 2 3 18 3" xfId="25801" xr:uid="{00000000-0005-0000-0000-0000C9640000}"/>
    <cellStyle name="Normal 2 3 18 3 10" xfId="25802" xr:uid="{00000000-0005-0000-0000-0000CA640000}"/>
    <cellStyle name="Normal 2 3 18 3 2" xfId="25803" xr:uid="{00000000-0005-0000-0000-0000CB640000}"/>
    <cellStyle name="Normal 2 3 18 3 3" xfId="25804" xr:uid="{00000000-0005-0000-0000-0000CC640000}"/>
    <cellStyle name="Normal 2 3 18 3 4" xfId="25805" xr:uid="{00000000-0005-0000-0000-0000CD640000}"/>
    <cellStyle name="Normal 2 3 18 3 5" xfId="25806" xr:uid="{00000000-0005-0000-0000-0000CE640000}"/>
    <cellStyle name="Normal 2 3 18 3 6" xfId="25807" xr:uid="{00000000-0005-0000-0000-0000CF640000}"/>
    <cellStyle name="Normal 2 3 18 3 7" xfId="25808" xr:uid="{00000000-0005-0000-0000-0000D0640000}"/>
    <cellStyle name="Normal 2 3 18 3 8" xfId="25809" xr:uid="{00000000-0005-0000-0000-0000D1640000}"/>
    <cellStyle name="Normal 2 3 18 3 9" xfId="25810" xr:uid="{00000000-0005-0000-0000-0000D2640000}"/>
    <cellStyle name="Normal 2 3 18 4" xfId="25811" xr:uid="{00000000-0005-0000-0000-0000D3640000}"/>
    <cellStyle name="Normal 2 3 18 4 10" xfId="25812" xr:uid="{00000000-0005-0000-0000-0000D4640000}"/>
    <cellStyle name="Normal 2 3 18 4 2" xfId="25813" xr:uid="{00000000-0005-0000-0000-0000D5640000}"/>
    <cellStyle name="Normal 2 3 18 4 3" xfId="25814" xr:uid="{00000000-0005-0000-0000-0000D6640000}"/>
    <cellStyle name="Normal 2 3 18 4 4" xfId="25815" xr:uid="{00000000-0005-0000-0000-0000D7640000}"/>
    <cellStyle name="Normal 2 3 18 4 5" xfId="25816" xr:uid="{00000000-0005-0000-0000-0000D8640000}"/>
    <cellStyle name="Normal 2 3 18 4 6" xfId="25817" xr:uid="{00000000-0005-0000-0000-0000D9640000}"/>
    <cellStyle name="Normal 2 3 18 4 7" xfId="25818" xr:uid="{00000000-0005-0000-0000-0000DA640000}"/>
    <cellStyle name="Normal 2 3 18 4 8" xfId="25819" xr:uid="{00000000-0005-0000-0000-0000DB640000}"/>
    <cellStyle name="Normal 2 3 18 4 9" xfId="25820" xr:uid="{00000000-0005-0000-0000-0000DC640000}"/>
    <cellStyle name="Normal 2 3 18 5" xfId="25821" xr:uid="{00000000-0005-0000-0000-0000DD640000}"/>
    <cellStyle name="Normal 2 3 18 5 10" xfId="25822" xr:uid="{00000000-0005-0000-0000-0000DE640000}"/>
    <cellStyle name="Normal 2 3 18 5 2" xfId="25823" xr:uid="{00000000-0005-0000-0000-0000DF640000}"/>
    <cellStyle name="Normal 2 3 18 5 3" xfId="25824" xr:uid="{00000000-0005-0000-0000-0000E0640000}"/>
    <cellStyle name="Normal 2 3 18 5 4" xfId="25825" xr:uid="{00000000-0005-0000-0000-0000E1640000}"/>
    <cellStyle name="Normal 2 3 18 5 5" xfId="25826" xr:uid="{00000000-0005-0000-0000-0000E2640000}"/>
    <cellStyle name="Normal 2 3 18 5 6" xfId="25827" xr:uid="{00000000-0005-0000-0000-0000E3640000}"/>
    <cellStyle name="Normal 2 3 18 5 7" xfId="25828" xr:uid="{00000000-0005-0000-0000-0000E4640000}"/>
    <cellStyle name="Normal 2 3 18 5 8" xfId="25829" xr:uid="{00000000-0005-0000-0000-0000E5640000}"/>
    <cellStyle name="Normal 2 3 18 5 9" xfId="25830" xr:uid="{00000000-0005-0000-0000-0000E6640000}"/>
    <cellStyle name="Normal 2 3 18 6" xfId="25831" xr:uid="{00000000-0005-0000-0000-0000E7640000}"/>
    <cellStyle name="Normal 2 3 18 7" xfId="25832" xr:uid="{00000000-0005-0000-0000-0000E8640000}"/>
    <cellStyle name="Normal 2 3 18 8" xfId="25833" xr:uid="{00000000-0005-0000-0000-0000E9640000}"/>
    <cellStyle name="Normal 2 3 18 9" xfId="25834" xr:uid="{00000000-0005-0000-0000-0000EA640000}"/>
    <cellStyle name="Normal 2 3 19" xfId="25835" xr:uid="{00000000-0005-0000-0000-0000EB640000}"/>
    <cellStyle name="Normal 2 3 19 10" xfId="25836" xr:uid="{00000000-0005-0000-0000-0000EC640000}"/>
    <cellStyle name="Normal 2 3 19 11" xfId="25837" xr:uid="{00000000-0005-0000-0000-0000ED640000}"/>
    <cellStyle name="Normal 2 3 19 12" xfId="25838" xr:uid="{00000000-0005-0000-0000-0000EE640000}"/>
    <cellStyle name="Normal 2 3 19 13" xfId="25839" xr:uid="{00000000-0005-0000-0000-0000EF640000}"/>
    <cellStyle name="Normal 2 3 19 14" xfId="25840" xr:uid="{00000000-0005-0000-0000-0000F0640000}"/>
    <cellStyle name="Normal 2 3 19 2" xfId="25841" xr:uid="{00000000-0005-0000-0000-0000F1640000}"/>
    <cellStyle name="Normal 2 3 19 2 10" xfId="25842" xr:uid="{00000000-0005-0000-0000-0000F2640000}"/>
    <cellStyle name="Normal 2 3 19 2 2" xfId="25843" xr:uid="{00000000-0005-0000-0000-0000F3640000}"/>
    <cellStyle name="Normal 2 3 19 2 3" xfId="25844" xr:uid="{00000000-0005-0000-0000-0000F4640000}"/>
    <cellStyle name="Normal 2 3 19 2 4" xfId="25845" xr:uid="{00000000-0005-0000-0000-0000F5640000}"/>
    <cellStyle name="Normal 2 3 19 2 5" xfId="25846" xr:uid="{00000000-0005-0000-0000-0000F6640000}"/>
    <cellStyle name="Normal 2 3 19 2 6" xfId="25847" xr:uid="{00000000-0005-0000-0000-0000F7640000}"/>
    <cellStyle name="Normal 2 3 19 2 7" xfId="25848" xr:uid="{00000000-0005-0000-0000-0000F8640000}"/>
    <cellStyle name="Normal 2 3 19 2 8" xfId="25849" xr:uid="{00000000-0005-0000-0000-0000F9640000}"/>
    <cellStyle name="Normal 2 3 19 2 9" xfId="25850" xr:uid="{00000000-0005-0000-0000-0000FA640000}"/>
    <cellStyle name="Normal 2 3 19 3" xfId="25851" xr:uid="{00000000-0005-0000-0000-0000FB640000}"/>
    <cellStyle name="Normal 2 3 19 3 10" xfId="25852" xr:uid="{00000000-0005-0000-0000-0000FC640000}"/>
    <cellStyle name="Normal 2 3 19 3 2" xfId="25853" xr:uid="{00000000-0005-0000-0000-0000FD640000}"/>
    <cellStyle name="Normal 2 3 19 3 3" xfId="25854" xr:uid="{00000000-0005-0000-0000-0000FE640000}"/>
    <cellStyle name="Normal 2 3 19 3 4" xfId="25855" xr:uid="{00000000-0005-0000-0000-0000FF640000}"/>
    <cellStyle name="Normal 2 3 19 3 5" xfId="25856" xr:uid="{00000000-0005-0000-0000-000000650000}"/>
    <cellStyle name="Normal 2 3 19 3 6" xfId="25857" xr:uid="{00000000-0005-0000-0000-000001650000}"/>
    <cellStyle name="Normal 2 3 19 3 7" xfId="25858" xr:uid="{00000000-0005-0000-0000-000002650000}"/>
    <cellStyle name="Normal 2 3 19 3 8" xfId="25859" xr:uid="{00000000-0005-0000-0000-000003650000}"/>
    <cellStyle name="Normal 2 3 19 3 9" xfId="25860" xr:uid="{00000000-0005-0000-0000-000004650000}"/>
    <cellStyle name="Normal 2 3 19 4" xfId="25861" xr:uid="{00000000-0005-0000-0000-000005650000}"/>
    <cellStyle name="Normal 2 3 19 4 10" xfId="25862" xr:uid="{00000000-0005-0000-0000-000006650000}"/>
    <cellStyle name="Normal 2 3 19 4 2" xfId="25863" xr:uid="{00000000-0005-0000-0000-000007650000}"/>
    <cellStyle name="Normal 2 3 19 4 3" xfId="25864" xr:uid="{00000000-0005-0000-0000-000008650000}"/>
    <cellStyle name="Normal 2 3 19 4 4" xfId="25865" xr:uid="{00000000-0005-0000-0000-000009650000}"/>
    <cellStyle name="Normal 2 3 19 4 5" xfId="25866" xr:uid="{00000000-0005-0000-0000-00000A650000}"/>
    <cellStyle name="Normal 2 3 19 4 6" xfId="25867" xr:uid="{00000000-0005-0000-0000-00000B650000}"/>
    <cellStyle name="Normal 2 3 19 4 7" xfId="25868" xr:uid="{00000000-0005-0000-0000-00000C650000}"/>
    <cellStyle name="Normal 2 3 19 4 8" xfId="25869" xr:uid="{00000000-0005-0000-0000-00000D650000}"/>
    <cellStyle name="Normal 2 3 19 4 9" xfId="25870" xr:uid="{00000000-0005-0000-0000-00000E650000}"/>
    <cellStyle name="Normal 2 3 19 5" xfId="25871" xr:uid="{00000000-0005-0000-0000-00000F650000}"/>
    <cellStyle name="Normal 2 3 19 5 10" xfId="25872" xr:uid="{00000000-0005-0000-0000-000010650000}"/>
    <cellStyle name="Normal 2 3 19 5 2" xfId="25873" xr:uid="{00000000-0005-0000-0000-000011650000}"/>
    <cellStyle name="Normal 2 3 19 5 3" xfId="25874" xr:uid="{00000000-0005-0000-0000-000012650000}"/>
    <cellStyle name="Normal 2 3 19 5 4" xfId="25875" xr:uid="{00000000-0005-0000-0000-000013650000}"/>
    <cellStyle name="Normal 2 3 19 5 5" xfId="25876" xr:uid="{00000000-0005-0000-0000-000014650000}"/>
    <cellStyle name="Normal 2 3 19 5 6" xfId="25877" xr:uid="{00000000-0005-0000-0000-000015650000}"/>
    <cellStyle name="Normal 2 3 19 5 7" xfId="25878" xr:uid="{00000000-0005-0000-0000-000016650000}"/>
    <cellStyle name="Normal 2 3 19 5 8" xfId="25879" xr:uid="{00000000-0005-0000-0000-000017650000}"/>
    <cellStyle name="Normal 2 3 19 5 9" xfId="25880" xr:uid="{00000000-0005-0000-0000-000018650000}"/>
    <cellStyle name="Normal 2 3 19 6" xfId="25881" xr:uid="{00000000-0005-0000-0000-000019650000}"/>
    <cellStyle name="Normal 2 3 19 7" xfId="25882" xr:uid="{00000000-0005-0000-0000-00001A650000}"/>
    <cellStyle name="Normal 2 3 19 8" xfId="25883" xr:uid="{00000000-0005-0000-0000-00001B650000}"/>
    <cellStyle name="Normal 2 3 19 9" xfId="25884" xr:uid="{00000000-0005-0000-0000-00001C650000}"/>
    <cellStyle name="Normal 2 3 2" xfId="55" xr:uid="{00000000-0005-0000-0000-000037000000}"/>
    <cellStyle name="Normal 2 3 2 10" xfId="25886" xr:uid="{00000000-0005-0000-0000-00001E650000}"/>
    <cellStyle name="Normal 2 3 2 10 10" xfId="25887" xr:uid="{00000000-0005-0000-0000-00001F650000}"/>
    <cellStyle name="Normal 2 3 2 10 11" xfId="25888" xr:uid="{00000000-0005-0000-0000-000020650000}"/>
    <cellStyle name="Normal 2 3 2 10 12" xfId="25889" xr:uid="{00000000-0005-0000-0000-000021650000}"/>
    <cellStyle name="Normal 2 3 2 10 13" xfId="25890" xr:uid="{00000000-0005-0000-0000-000022650000}"/>
    <cellStyle name="Normal 2 3 2 10 14" xfId="25891" xr:uid="{00000000-0005-0000-0000-000023650000}"/>
    <cellStyle name="Normal 2 3 2 10 2" xfId="25892" xr:uid="{00000000-0005-0000-0000-000024650000}"/>
    <cellStyle name="Normal 2 3 2 10 2 10" xfId="25893" xr:uid="{00000000-0005-0000-0000-000025650000}"/>
    <cellStyle name="Normal 2 3 2 10 2 2" xfId="25894" xr:uid="{00000000-0005-0000-0000-000026650000}"/>
    <cellStyle name="Normal 2 3 2 10 2 3" xfId="25895" xr:uid="{00000000-0005-0000-0000-000027650000}"/>
    <cellStyle name="Normal 2 3 2 10 2 4" xfId="25896" xr:uid="{00000000-0005-0000-0000-000028650000}"/>
    <cellStyle name="Normal 2 3 2 10 2 5" xfId="25897" xr:uid="{00000000-0005-0000-0000-000029650000}"/>
    <cellStyle name="Normal 2 3 2 10 2 6" xfId="25898" xr:uid="{00000000-0005-0000-0000-00002A650000}"/>
    <cellStyle name="Normal 2 3 2 10 2 7" xfId="25899" xr:uid="{00000000-0005-0000-0000-00002B650000}"/>
    <cellStyle name="Normal 2 3 2 10 2 8" xfId="25900" xr:uid="{00000000-0005-0000-0000-00002C650000}"/>
    <cellStyle name="Normal 2 3 2 10 2 9" xfId="25901" xr:uid="{00000000-0005-0000-0000-00002D650000}"/>
    <cellStyle name="Normal 2 3 2 10 3" xfId="25902" xr:uid="{00000000-0005-0000-0000-00002E650000}"/>
    <cellStyle name="Normal 2 3 2 10 3 10" xfId="25903" xr:uid="{00000000-0005-0000-0000-00002F650000}"/>
    <cellStyle name="Normal 2 3 2 10 3 2" xfId="25904" xr:uid="{00000000-0005-0000-0000-000030650000}"/>
    <cellStyle name="Normal 2 3 2 10 3 3" xfId="25905" xr:uid="{00000000-0005-0000-0000-000031650000}"/>
    <cellStyle name="Normal 2 3 2 10 3 4" xfId="25906" xr:uid="{00000000-0005-0000-0000-000032650000}"/>
    <cellStyle name="Normal 2 3 2 10 3 5" xfId="25907" xr:uid="{00000000-0005-0000-0000-000033650000}"/>
    <cellStyle name="Normal 2 3 2 10 3 6" xfId="25908" xr:uid="{00000000-0005-0000-0000-000034650000}"/>
    <cellStyle name="Normal 2 3 2 10 3 7" xfId="25909" xr:uid="{00000000-0005-0000-0000-000035650000}"/>
    <cellStyle name="Normal 2 3 2 10 3 8" xfId="25910" xr:uid="{00000000-0005-0000-0000-000036650000}"/>
    <cellStyle name="Normal 2 3 2 10 3 9" xfId="25911" xr:uid="{00000000-0005-0000-0000-000037650000}"/>
    <cellStyle name="Normal 2 3 2 10 4" xfId="25912" xr:uid="{00000000-0005-0000-0000-000038650000}"/>
    <cellStyle name="Normal 2 3 2 10 4 10" xfId="25913" xr:uid="{00000000-0005-0000-0000-000039650000}"/>
    <cellStyle name="Normal 2 3 2 10 4 2" xfId="25914" xr:uid="{00000000-0005-0000-0000-00003A650000}"/>
    <cellStyle name="Normal 2 3 2 10 4 3" xfId="25915" xr:uid="{00000000-0005-0000-0000-00003B650000}"/>
    <cellStyle name="Normal 2 3 2 10 4 4" xfId="25916" xr:uid="{00000000-0005-0000-0000-00003C650000}"/>
    <cellStyle name="Normal 2 3 2 10 4 5" xfId="25917" xr:uid="{00000000-0005-0000-0000-00003D650000}"/>
    <cellStyle name="Normal 2 3 2 10 4 6" xfId="25918" xr:uid="{00000000-0005-0000-0000-00003E650000}"/>
    <cellStyle name="Normal 2 3 2 10 4 7" xfId="25919" xr:uid="{00000000-0005-0000-0000-00003F650000}"/>
    <cellStyle name="Normal 2 3 2 10 4 8" xfId="25920" xr:uid="{00000000-0005-0000-0000-000040650000}"/>
    <cellStyle name="Normal 2 3 2 10 4 9" xfId="25921" xr:uid="{00000000-0005-0000-0000-000041650000}"/>
    <cellStyle name="Normal 2 3 2 10 5" xfId="25922" xr:uid="{00000000-0005-0000-0000-000042650000}"/>
    <cellStyle name="Normal 2 3 2 10 5 10" xfId="25923" xr:uid="{00000000-0005-0000-0000-000043650000}"/>
    <cellStyle name="Normal 2 3 2 10 5 2" xfId="25924" xr:uid="{00000000-0005-0000-0000-000044650000}"/>
    <cellStyle name="Normal 2 3 2 10 5 3" xfId="25925" xr:uid="{00000000-0005-0000-0000-000045650000}"/>
    <cellStyle name="Normal 2 3 2 10 5 4" xfId="25926" xr:uid="{00000000-0005-0000-0000-000046650000}"/>
    <cellStyle name="Normal 2 3 2 10 5 5" xfId="25927" xr:uid="{00000000-0005-0000-0000-000047650000}"/>
    <cellStyle name="Normal 2 3 2 10 5 6" xfId="25928" xr:uid="{00000000-0005-0000-0000-000048650000}"/>
    <cellStyle name="Normal 2 3 2 10 5 7" xfId="25929" xr:uid="{00000000-0005-0000-0000-000049650000}"/>
    <cellStyle name="Normal 2 3 2 10 5 8" xfId="25930" xr:uid="{00000000-0005-0000-0000-00004A650000}"/>
    <cellStyle name="Normal 2 3 2 10 5 9" xfId="25931" xr:uid="{00000000-0005-0000-0000-00004B650000}"/>
    <cellStyle name="Normal 2 3 2 10 6" xfId="25932" xr:uid="{00000000-0005-0000-0000-00004C650000}"/>
    <cellStyle name="Normal 2 3 2 10 7" xfId="25933" xr:uid="{00000000-0005-0000-0000-00004D650000}"/>
    <cellStyle name="Normal 2 3 2 10 8" xfId="25934" xr:uid="{00000000-0005-0000-0000-00004E650000}"/>
    <cellStyle name="Normal 2 3 2 10 9" xfId="25935" xr:uid="{00000000-0005-0000-0000-00004F650000}"/>
    <cellStyle name="Normal 2 3 2 11" xfId="25936" xr:uid="{00000000-0005-0000-0000-000050650000}"/>
    <cellStyle name="Normal 2 3 2 11 10" xfId="25937" xr:uid="{00000000-0005-0000-0000-000051650000}"/>
    <cellStyle name="Normal 2 3 2 11 11" xfId="25938" xr:uid="{00000000-0005-0000-0000-000052650000}"/>
    <cellStyle name="Normal 2 3 2 11 12" xfId="25939" xr:uid="{00000000-0005-0000-0000-000053650000}"/>
    <cellStyle name="Normal 2 3 2 11 13" xfId="25940" xr:uid="{00000000-0005-0000-0000-000054650000}"/>
    <cellStyle name="Normal 2 3 2 11 14" xfId="25941" xr:uid="{00000000-0005-0000-0000-000055650000}"/>
    <cellStyle name="Normal 2 3 2 11 2" xfId="25942" xr:uid="{00000000-0005-0000-0000-000056650000}"/>
    <cellStyle name="Normal 2 3 2 11 2 10" xfId="25943" xr:uid="{00000000-0005-0000-0000-000057650000}"/>
    <cellStyle name="Normal 2 3 2 11 2 2" xfId="25944" xr:uid="{00000000-0005-0000-0000-000058650000}"/>
    <cellStyle name="Normal 2 3 2 11 2 3" xfId="25945" xr:uid="{00000000-0005-0000-0000-000059650000}"/>
    <cellStyle name="Normal 2 3 2 11 2 4" xfId="25946" xr:uid="{00000000-0005-0000-0000-00005A650000}"/>
    <cellStyle name="Normal 2 3 2 11 2 5" xfId="25947" xr:uid="{00000000-0005-0000-0000-00005B650000}"/>
    <cellStyle name="Normal 2 3 2 11 2 6" xfId="25948" xr:uid="{00000000-0005-0000-0000-00005C650000}"/>
    <cellStyle name="Normal 2 3 2 11 2 7" xfId="25949" xr:uid="{00000000-0005-0000-0000-00005D650000}"/>
    <cellStyle name="Normal 2 3 2 11 2 8" xfId="25950" xr:uid="{00000000-0005-0000-0000-00005E650000}"/>
    <cellStyle name="Normal 2 3 2 11 2 9" xfId="25951" xr:uid="{00000000-0005-0000-0000-00005F650000}"/>
    <cellStyle name="Normal 2 3 2 11 3" xfId="25952" xr:uid="{00000000-0005-0000-0000-000060650000}"/>
    <cellStyle name="Normal 2 3 2 11 3 10" xfId="25953" xr:uid="{00000000-0005-0000-0000-000061650000}"/>
    <cellStyle name="Normal 2 3 2 11 3 2" xfId="25954" xr:uid="{00000000-0005-0000-0000-000062650000}"/>
    <cellStyle name="Normal 2 3 2 11 3 3" xfId="25955" xr:uid="{00000000-0005-0000-0000-000063650000}"/>
    <cellStyle name="Normal 2 3 2 11 3 4" xfId="25956" xr:uid="{00000000-0005-0000-0000-000064650000}"/>
    <cellStyle name="Normal 2 3 2 11 3 5" xfId="25957" xr:uid="{00000000-0005-0000-0000-000065650000}"/>
    <cellStyle name="Normal 2 3 2 11 3 6" xfId="25958" xr:uid="{00000000-0005-0000-0000-000066650000}"/>
    <cellStyle name="Normal 2 3 2 11 3 7" xfId="25959" xr:uid="{00000000-0005-0000-0000-000067650000}"/>
    <cellStyle name="Normal 2 3 2 11 3 8" xfId="25960" xr:uid="{00000000-0005-0000-0000-000068650000}"/>
    <cellStyle name="Normal 2 3 2 11 3 9" xfId="25961" xr:uid="{00000000-0005-0000-0000-000069650000}"/>
    <cellStyle name="Normal 2 3 2 11 4" xfId="25962" xr:uid="{00000000-0005-0000-0000-00006A650000}"/>
    <cellStyle name="Normal 2 3 2 11 4 10" xfId="25963" xr:uid="{00000000-0005-0000-0000-00006B650000}"/>
    <cellStyle name="Normal 2 3 2 11 4 2" xfId="25964" xr:uid="{00000000-0005-0000-0000-00006C650000}"/>
    <cellStyle name="Normal 2 3 2 11 4 3" xfId="25965" xr:uid="{00000000-0005-0000-0000-00006D650000}"/>
    <cellStyle name="Normal 2 3 2 11 4 4" xfId="25966" xr:uid="{00000000-0005-0000-0000-00006E650000}"/>
    <cellStyle name="Normal 2 3 2 11 4 5" xfId="25967" xr:uid="{00000000-0005-0000-0000-00006F650000}"/>
    <cellStyle name="Normal 2 3 2 11 4 6" xfId="25968" xr:uid="{00000000-0005-0000-0000-000070650000}"/>
    <cellStyle name="Normal 2 3 2 11 4 7" xfId="25969" xr:uid="{00000000-0005-0000-0000-000071650000}"/>
    <cellStyle name="Normal 2 3 2 11 4 8" xfId="25970" xr:uid="{00000000-0005-0000-0000-000072650000}"/>
    <cellStyle name="Normal 2 3 2 11 4 9" xfId="25971" xr:uid="{00000000-0005-0000-0000-000073650000}"/>
    <cellStyle name="Normal 2 3 2 11 5" xfId="25972" xr:uid="{00000000-0005-0000-0000-000074650000}"/>
    <cellStyle name="Normal 2 3 2 11 5 10" xfId="25973" xr:uid="{00000000-0005-0000-0000-000075650000}"/>
    <cellStyle name="Normal 2 3 2 11 5 2" xfId="25974" xr:uid="{00000000-0005-0000-0000-000076650000}"/>
    <cellStyle name="Normal 2 3 2 11 5 3" xfId="25975" xr:uid="{00000000-0005-0000-0000-000077650000}"/>
    <cellStyle name="Normal 2 3 2 11 5 4" xfId="25976" xr:uid="{00000000-0005-0000-0000-000078650000}"/>
    <cellStyle name="Normal 2 3 2 11 5 5" xfId="25977" xr:uid="{00000000-0005-0000-0000-000079650000}"/>
    <cellStyle name="Normal 2 3 2 11 5 6" xfId="25978" xr:uid="{00000000-0005-0000-0000-00007A650000}"/>
    <cellStyle name="Normal 2 3 2 11 5 7" xfId="25979" xr:uid="{00000000-0005-0000-0000-00007B650000}"/>
    <cellStyle name="Normal 2 3 2 11 5 8" xfId="25980" xr:uid="{00000000-0005-0000-0000-00007C650000}"/>
    <cellStyle name="Normal 2 3 2 11 5 9" xfId="25981" xr:uid="{00000000-0005-0000-0000-00007D650000}"/>
    <cellStyle name="Normal 2 3 2 11 6" xfId="25982" xr:uid="{00000000-0005-0000-0000-00007E650000}"/>
    <cellStyle name="Normal 2 3 2 11 7" xfId="25983" xr:uid="{00000000-0005-0000-0000-00007F650000}"/>
    <cellStyle name="Normal 2 3 2 11 8" xfId="25984" xr:uid="{00000000-0005-0000-0000-000080650000}"/>
    <cellStyle name="Normal 2 3 2 11 9" xfId="25985" xr:uid="{00000000-0005-0000-0000-000081650000}"/>
    <cellStyle name="Normal 2 3 2 12" xfId="25986" xr:uid="{00000000-0005-0000-0000-000082650000}"/>
    <cellStyle name="Normal 2 3 2 12 10" xfId="25987" xr:uid="{00000000-0005-0000-0000-000083650000}"/>
    <cellStyle name="Normal 2 3 2 12 11" xfId="25988" xr:uid="{00000000-0005-0000-0000-000084650000}"/>
    <cellStyle name="Normal 2 3 2 12 12" xfId="25989" xr:uid="{00000000-0005-0000-0000-000085650000}"/>
    <cellStyle name="Normal 2 3 2 12 13" xfId="25990" xr:uid="{00000000-0005-0000-0000-000086650000}"/>
    <cellStyle name="Normal 2 3 2 12 14" xfId="25991" xr:uid="{00000000-0005-0000-0000-000087650000}"/>
    <cellStyle name="Normal 2 3 2 12 2" xfId="25992" xr:uid="{00000000-0005-0000-0000-000088650000}"/>
    <cellStyle name="Normal 2 3 2 12 2 10" xfId="25993" xr:uid="{00000000-0005-0000-0000-000089650000}"/>
    <cellStyle name="Normal 2 3 2 12 2 2" xfId="25994" xr:uid="{00000000-0005-0000-0000-00008A650000}"/>
    <cellStyle name="Normal 2 3 2 12 2 3" xfId="25995" xr:uid="{00000000-0005-0000-0000-00008B650000}"/>
    <cellStyle name="Normal 2 3 2 12 2 4" xfId="25996" xr:uid="{00000000-0005-0000-0000-00008C650000}"/>
    <cellStyle name="Normal 2 3 2 12 2 5" xfId="25997" xr:uid="{00000000-0005-0000-0000-00008D650000}"/>
    <cellStyle name="Normal 2 3 2 12 2 6" xfId="25998" xr:uid="{00000000-0005-0000-0000-00008E650000}"/>
    <cellStyle name="Normal 2 3 2 12 2 7" xfId="25999" xr:uid="{00000000-0005-0000-0000-00008F650000}"/>
    <cellStyle name="Normal 2 3 2 12 2 8" xfId="26000" xr:uid="{00000000-0005-0000-0000-000090650000}"/>
    <cellStyle name="Normal 2 3 2 12 2 9" xfId="26001" xr:uid="{00000000-0005-0000-0000-000091650000}"/>
    <cellStyle name="Normal 2 3 2 12 3" xfId="26002" xr:uid="{00000000-0005-0000-0000-000092650000}"/>
    <cellStyle name="Normal 2 3 2 12 3 10" xfId="26003" xr:uid="{00000000-0005-0000-0000-000093650000}"/>
    <cellStyle name="Normal 2 3 2 12 3 2" xfId="26004" xr:uid="{00000000-0005-0000-0000-000094650000}"/>
    <cellStyle name="Normal 2 3 2 12 3 3" xfId="26005" xr:uid="{00000000-0005-0000-0000-000095650000}"/>
    <cellStyle name="Normal 2 3 2 12 3 4" xfId="26006" xr:uid="{00000000-0005-0000-0000-000096650000}"/>
    <cellStyle name="Normal 2 3 2 12 3 5" xfId="26007" xr:uid="{00000000-0005-0000-0000-000097650000}"/>
    <cellStyle name="Normal 2 3 2 12 3 6" xfId="26008" xr:uid="{00000000-0005-0000-0000-000098650000}"/>
    <cellStyle name="Normal 2 3 2 12 3 7" xfId="26009" xr:uid="{00000000-0005-0000-0000-000099650000}"/>
    <cellStyle name="Normal 2 3 2 12 3 8" xfId="26010" xr:uid="{00000000-0005-0000-0000-00009A650000}"/>
    <cellStyle name="Normal 2 3 2 12 3 9" xfId="26011" xr:uid="{00000000-0005-0000-0000-00009B650000}"/>
    <cellStyle name="Normal 2 3 2 12 4" xfId="26012" xr:uid="{00000000-0005-0000-0000-00009C650000}"/>
    <cellStyle name="Normal 2 3 2 12 4 10" xfId="26013" xr:uid="{00000000-0005-0000-0000-00009D650000}"/>
    <cellStyle name="Normal 2 3 2 12 4 2" xfId="26014" xr:uid="{00000000-0005-0000-0000-00009E650000}"/>
    <cellStyle name="Normal 2 3 2 12 4 3" xfId="26015" xr:uid="{00000000-0005-0000-0000-00009F650000}"/>
    <cellStyle name="Normal 2 3 2 12 4 4" xfId="26016" xr:uid="{00000000-0005-0000-0000-0000A0650000}"/>
    <cellStyle name="Normal 2 3 2 12 4 5" xfId="26017" xr:uid="{00000000-0005-0000-0000-0000A1650000}"/>
    <cellStyle name="Normal 2 3 2 12 4 6" xfId="26018" xr:uid="{00000000-0005-0000-0000-0000A2650000}"/>
    <cellStyle name="Normal 2 3 2 12 4 7" xfId="26019" xr:uid="{00000000-0005-0000-0000-0000A3650000}"/>
    <cellStyle name="Normal 2 3 2 12 4 8" xfId="26020" xr:uid="{00000000-0005-0000-0000-0000A4650000}"/>
    <cellStyle name="Normal 2 3 2 12 4 9" xfId="26021" xr:uid="{00000000-0005-0000-0000-0000A5650000}"/>
    <cellStyle name="Normal 2 3 2 12 5" xfId="26022" xr:uid="{00000000-0005-0000-0000-0000A6650000}"/>
    <cellStyle name="Normal 2 3 2 12 5 10" xfId="26023" xr:uid="{00000000-0005-0000-0000-0000A7650000}"/>
    <cellStyle name="Normal 2 3 2 12 5 2" xfId="26024" xr:uid="{00000000-0005-0000-0000-0000A8650000}"/>
    <cellStyle name="Normal 2 3 2 12 5 3" xfId="26025" xr:uid="{00000000-0005-0000-0000-0000A9650000}"/>
    <cellStyle name="Normal 2 3 2 12 5 4" xfId="26026" xr:uid="{00000000-0005-0000-0000-0000AA650000}"/>
    <cellStyle name="Normal 2 3 2 12 5 5" xfId="26027" xr:uid="{00000000-0005-0000-0000-0000AB650000}"/>
    <cellStyle name="Normal 2 3 2 12 5 6" xfId="26028" xr:uid="{00000000-0005-0000-0000-0000AC650000}"/>
    <cellStyle name="Normal 2 3 2 12 5 7" xfId="26029" xr:uid="{00000000-0005-0000-0000-0000AD650000}"/>
    <cellStyle name="Normal 2 3 2 12 5 8" xfId="26030" xr:uid="{00000000-0005-0000-0000-0000AE650000}"/>
    <cellStyle name="Normal 2 3 2 12 5 9" xfId="26031" xr:uid="{00000000-0005-0000-0000-0000AF650000}"/>
    <cellStyle name="Normal 2 3 2 12 6" xfId="26032" xr:uid="{00000000-0005-0000-0000-0000B0650000}"/>
    <cellStyle name="Normal 2 3 2 12 7" xfId="26033" xr:uid="{00000000-0005-0000-0000-0000B1650000}"/>
    <cellStyle name="Normal 2 3 2 12 8" xfId="26034" xr:uid="{00000000-0005-0000-0000-0000B2650000}"/>
    <cellStyle name="Normal 2 3 2 12 9" xfId="26035" xr:uid="{00000000-0005-0000-0000-0000B3650000}"/>
    <cellStyle name="Normal 2 3 2 13" xfId="26036" xr:uid="{00000000-0005-0000-0000-0000B4650000}"/>
    <cellStyle name="Normal 2 3 2 13 10" xfId="26037" xr:uid="{00000000-0005-0000-0000-0000B5650000}"/>
    <cellStyle name="Normal 2 3 2 13 11" xfId="26038" xr:uid="{00000000-0005-0000-0000-0000B6650000}"/>
    <cellStyle name="Normal 2 3 2 13 12" xfId="26039" xr:uid="{00000000-0005-0000-0000-0000B7650000}"/>
    <cellStyle name="Normal 2 3 2 13 13" xfId="26040" xr:uid="{00000000-0005-0000-0000-0000B8650000}"/>
    <cellStyle name="Normal 2 3 2 13 14" xfId="26041" xr:uid="{00000000-0005-0000-0000-0000B9650000}"/>
    <cellStyle name="Normal 2 3 2 13 2" xfId="26042" xr:uid="{00000000-0005-0000-0000-0000BA650000}"/>
    <cellStyle name="Normal 2 3 2 13 2 10" xfId="26043" xr:uid="{00000000-0005-0000-0000-0000BB650000}"/>
    <cellStyle name="Normal 2 3 2 13 2 2" xfId="26044" xr:uid="{00000000-0005-0000-0000-0000BC650000}"/>
    <cellStyle name="Normal 2 3 2 13 2 3" xfId="26045" xr:uid="{00000000-0005-0000-0000-0000BD650000}"/>
    <cellStyle name="Normal 2 3 2 13 2 4" xfId="26046" xr:uid="{00000000-0005-0000-0000-0000BE650000}"/>
    <cellStyle name="Normal 2 3 2 13 2 5" xfId="26047" xr:uid="{00000000-0005-0000-0000-0000BF650000}"/>
    <cellStyle name="Normal 2 3 2 13 2 6" xfId="26048" xr:uid="{00000000-0005-0000-0000-0000C0650000}"/>
    <cellStyle name="Normal 2 3 2 13 2 7" xfId="26049" xr:uid="{00000000-0005-0000-0000-0000C1650000}"/>
    <cellStyle name="Normal 2 3 2 13 2 8" xfId="26050" xr:uid="{00000000-0005-0000-0000-0000C2650000}"/>
    <cellStyle name="Normal 2 3 2 13 2 9" xfId="26051" xr:uid="{00000000-0005-0000-0000-0000C3650000}"/>
    <cellStyle name="Normal 2 3 2 13 3" xfId="26052" xr:uid="{00000000-0005-0000-0000-0000C4650000}"/>
    <cellStyle name="Normal 2 3 2 13 3 10" xfId="26053" xr:uid="{00000000-0005-0000-0000-0000C5650000}"/>
    <cellStyle name="Normal 2 3 2 13 3 2" xfId="26054" xr:uid="{00000000-0005-0000-0000-0000C6650000}"/>
    <cellStyle name="Normal 2 3 2 13 3 3" xfId="26055" xr:uid="{00000000-0005-0000-0000-0000C7650000}"/>
    <cellStyle name="Normal 2 3 2 13 3 4" xfId="26056" xr:uid="{00000000-0005-0000-0000-0000C8650000}"/>
    <cellStyle name="Normal 2 3 2 13 3 5" xfId="26057" xr:uid="{00000000-0005-0000-0000-0000C9650000}"/>
    <cellStyle name="Normal 2 3 2 13 3 6" xfId="26058" xr:uid="{00000000-0005-0000-0000-0000CA650000}"/>
    <cellStyle name="Normal 2 3 2 13 3 7" xfId="26059" xr:uid="{00000000-0005-0000-0000-0000CB650000}"/>
    <cellStyle name="Normal 2 3 2 13 3 8" xfId="26060" xr:uid="{00000000-0005-0000-0000-0000CC650000}"/>
    <cellStyle name="Normal 2 3 2 13 3 9" xfId="26061" xr:uid="{00000000-0005-0000-0000-0000CD650000}"/>
    <cellStyle name="Normal 2 3 2 13 4" xfId="26062" xr:uid="{00000000-0005-0000-0000-0000CE650000}"/>
    <cellStyle name="Normal 2 3 2 13 4 10" xfId="26063" xr:uid="{00000000-0005-0000-0000-0000CF650000}"/>
    <cellStyle name="Normal 2 3 2 13 4 2" xfId="26064" xr:uid="{00000000-0005-0000-0000-0000D0650000}"/>
    <cellStyle name="Normal 2 3 2 13 4 3" xfId="26065" xr:uid="{00000000-0005-0000-0000-0000D1650000}"/>
    <cellStyle name="Normal 2 3 2 13 4 4" xfId="26066" xr:uid="{00000000-0005-0000-0000-0000D2650000}"/>
    <cellStyle name="Normal 2 3 2 13 4 5" xfId="26067" xr:uid="{00000000-0005-0000-0000-0000D3650000}"/>
    <cellStyle name="Normal 2 3 2 13 4 6" xfId="26068" xr:uid="{00000000-0005-0000-0000-0000D4650000}"/>
    <cellStyle name="Normal 2 3 2 13 4 7" xfId="26069" xr:uid="{00000000-0005-0000-0000-0000D5650000}"/>
    <cellStyle name="Normal 2 3 2 13 4 8" xfId="26070" xr:uid="{00000000-0005-0000-0000-0000D6650000}"/>
    <cellStyle name="Normal 2 3 2 13 4 9" xfId="26071" xr:uid="{00000000-0005-0000-0000-0000D7650000}"/>
    <cellStyle name="Normal 2 3 2 13 5" xfId="26072" xr:uid="{00000000-0005-0000-0000-0000D8650000}"/>
    <cellStyle name="Normal 2 3 2 13 5 10" xfId="26073" xr:uid="{00000000-0005-0000-0000-0000D9650000}"/>
    <cellStyle name="Normal 2 3 2 13 5 2" xfId="26074" xr:uid="{00000000-0005-0000-0000-0000DA650000}"/>
    <cellStyle name="Normal 2 3 2 13 5 3" xfId="26075" xr:uid="{00000000-0005-0000-0000-0000DB650000}"/>
    <cellStyle name="Normal 2 3 2 13 5 4" xfId="26076" xr:uid="{00000000-0005-0000-0000-0000DC650000}"/>
    <cellStyle name="Normal 2 3 2 13 5 5" xfId="26077" xr:uid="{00000000-0005-0000-0000-0000DD650000}"/>
    <cellStyle name="Normal 2 3 2 13 5 6" xfId="26078" xr:uid="{00000000-0005-0000-0000-0000DE650000}"/>
    <cellStyle name="Normal 2 3 2 13 5 7" xfId="26079" xr:uid="{00000000-0005-0000-0000-0000DF650000}"/>
    <cellStyle name="Normal 2 3 2 13 5 8" xfId="26080" xr:uid="{00000000-0005-0000-0000-0000E0650000}"/>
    <cellStyle name="Normal 2 3 2 13 5 9" xfId="26081" xr:uid="{00000000-0005-0000-0000-0000E1650000}"/>
    <cellStyle name="Normal 2 3 2 13 6" xfId="26082" xr:uid="{00000000-0005-0000-0000-0000E2650000}"/>
    <cellStyle name="Normal 2 3 2 13 7" xfId="26083" xr:uid="{00000000-0005-0000-0000-0000E3650000}"/>
    <cellStyle name="Normal 2 3 2 13 8" xfId="26084" xr:uid="{00000000-0005-0000-0000-0000E4650000}"/>
    <cellStyle name="Normal 2 3 2 13 9" xfId="26085" xr:uid="{00000000-0005-0000-0000-0000E5650000}"/>
    <cellStyle name="Normal 2 3 2 14" xfId="26086" xr:uid="{00000000-0005-0000-0000-0000E6650000}"/>
    <cellStyle name="Normal 2 3 2 14 10" xfId="26087" xr:uid="{00000000-0005-0000-0000-0000E7650000}"/>
    <cellStyle name="Normal 2 3 2 14 11" xfId="26088" xr:uid="{00000000-0005-0000-0000-0000E8650000}"/>
    <cellStyle name="Normal 2 3 2 14 12" xfId="26089" xr:uid="{00000000-0005-0000-0000-0000E9650000}"/>
    <cellStyle name="Normal 2 3 2 14 13" xfId="26090" xr:uid="{00000000-0005-0000-0000-0000EA650000}"/>
    <cellStyle name="Normal 2 3 2 14 14" xfId="26091" xr:uid="{00000000-0005-0000-0000-0000EB650000}"/>
    <cellStyle name="Normal 2 3 2 14 2" xfId="26092" xr:uid="{00000000-0005-0000-0000-0000EC650000}"/>
    <cellStyle name="Normal 2 3 2 14 2 10" xfId="26093" xr:uid="{00000000-0005-0000-0000-0000ED650000}"/>
    <cellStyle name="Normal 2 3 2 14 2 2" xfId="26094" xr:uid="{00000000-0005-0000-0000-0000EE650000}"/>
    <cellStyle name="Normal 2 3 2 14 2 3" xfId="26095" xr:uid="{00000000-0005-0000-0000-0000EF650000}"/>
    <cellStyle name="Normal 2 3 2 14 2 4" xfId="26096" xr:uid="{00000000-0005-0000-0000-0000F0650000}"/>
    <cellStyle name="Normal 2 3 2 14 2 5" xfId="26097" xr:uid="{00000000-0005-0000-0000-0000F1650000}"/>
    <cellStyle name="Normal 2 3 2 14 2 6" xfId="26098" xr:uid="{00000000-0005-0000-0000-0000F2650000}"/>
    <cellStyle name="Normal 2 3 2 14 2 7" xfId="26099" xr:uid="{00000000-0005-0000-0000-0000F3650000}"/>
    <cellStyle name="Normal 2 3 2 14 2 8" xfId="26100" xr:uid="{00000000-0005-0000-0000-0000F4650000}"/>
    <cellStyle name="Normal 2 3 2 14 2 9" xfId="26101" xr:uid="{00000000-0005-0000-0000-0000F5650000}"/>
    <cellStyle name="Normal 2 3 2 14 3" xfId="26102" xr:uid="{00000000-0005-0000-0000-0000F6650000}"/>
    <cellStyle name="Normal 2 3 2 14 3 10" xfId="26103" xr:uid="{00000000-0005-0000-0000-0000F7650000}"/>
    <cellStyle name="Normal 2 3 2 14 3 2" xfId="26104" xr:uid="{00000000-0005-0000-0000-0000F8650000}"/>
    <cellStyle name="Normal 2 3 2 14 3 3" xfId="26105" xr:uid="{00000000-0005-0000-0000-0000F9650000}"/>
    <cellStyle name="Normal 2 3 2 14 3 4" xfId="26106" xr:uid="{00000000-0005-0000-0000-0000FA650000}"/>
    <cellStyle name="Normal 2 3 2 14 3 5" xfId="26107" xr:uid="{00000000-0005-0000-0000-0000FB650000}"/>
    <cellStyle name="Normal 2 3 2 14 3 6" xfId="26108" xr:uid="{00000000-0005-0000-0000-0000FC650000}"/>
    <cellStyle name="Normal 2 3 2 14 3 7" xfId="26109" xr:uid="{00000000-0005-0000-0000-0000FD650000}"/>
    <cellStyle name="Normal 2 3 2 14 3 8" xfId="26110" xr:uid="{00000000-0005-0000-0000-0000FE650000}"/>
    <cellStyle name="Normal 2 3 2 14 3 9" xfId="26111" xr:uid="{00000000-0005-0000-0000-0000FF650000}"/>
    <cellStyle name="Normal 2 3 2 14 4" xfId="26112" xr:uid="{00000000-0005-0000-0000-000000660000}"/>
    <cellStyle name="Normal 2 3 2 14 4 10" xfId="26113" xr:uid="{00000000-0005-0000-0000-000001660000}"/>
    <cellStyle name="Normal 2 3 2 14 4 2" xfId="26114" xr:uid="{00000000-0005-0000-0000-000002660000}"/>
    <cellStyle name="Normal 2 3 2 14 4 3" xfId="26115" xr:uid="{00000000-0005-0000-0000-000003660000}"/>
    <cellStyle name="Normal 2 3 2 14 4 4" xfId="26116" xr:uid="{00000000-0005-0000-0000-000004660000}"/>
    <cellStyle name="Normal 2 3 2 14 4 5" xfId="26117" xr:uid="{00000000-0005-0000-0000-000005660000}"/>
    <cellStyle name="Normal 2 3 2 14 4 6" xfId="26118" xr:uid="{00000000-0005-0000-0000-000006660000}"/>
    <cellStyle name="Normal 2 3 2 14 4 7" xfId="26119" xr:uid="{00000000-0005-0000-0000-000007660000}"/>
    <cellStyle name="Normal 2 3 2 14 4 8" xfId="26120" xr:uid="{00000000-0005-0000-0000-000008660000}"/>
    <cellStyle name="Normal 2 3 2 14 4 9" xfId="26121" xr:uid="{00000000-0005-0000-0000-000009660000}"/>
    <cellStyle name="Normal 2 3 2 14 5" xfId="26122" xr:uid="{00000000-0005-0000-0000-00000A660000}"/>
    <cellStyle name="Normal 2 3 2 14 5 10" xfId="26123" xr:uid="{00000000-0005-0000-0000-00000B660000}"/>
    <cellStyle name="Normal 2 3 2 14 5 2" xfId="26124" xr:uid="{00000000-0005-0000-0000-00000C660000}"/>
    <cellStyle name="Normal 2 3 2 14 5 3" xfId="26125" xr:uid="{00000000-0005-0000-0000-00000D660000}"/>
    <cellStyle name="Normal 2 3 2 14 5 4" xfId="26126" xr:uid="{00000000-0005-0000-0000-00000E660000}"/>
    <cellStyle name="Normal 2 3 2 14 5 5" xfId="26127" xr:uid="{00000000-0005-0000-0000-00000F660000}"/>
    <cellStyle name="Normal 2 3 2 14 5 6" xfId="26128" xr:uid="{00000000-0005-0000-0000-000010660000}"/>
    <cellStyle name="Normal 2 3 2 14 5 7" xfId="26129" xr:uid="{00000000-0005-0000-0000-000011660000}"/>
    <cellStyle name="Normal 2 3 2 14 5 8" xfId="26130" xr:uid="{00000000-0005-0000-0000-000012660000}"/>
    <cellStyle name="Normal 2 3 2 14 5 9" xfId="26131" xr:uid="{00000000-0005-0000-0000-000013660000}"/>
    <cellStyle name="Normal 2 3 2 14 6" xfId="26132" xr:uid="{00000000-0005-0000-0000-000014660000}"/>
    <cellStyle name="Normal 2 3 2 14 7" xfId="26133" xr:uid="{00000000-0005-0000-0000-000015660000}"/>
    <cellStyle name="Normal 2 3 2 14 8" xfId="26134" xr:uid="{00000000-0005-0000-0000-000016660000}"/>
    <cellStyle name="Normal 2 3 2 14 9" xfId="26135" xr:uid="{00000000-0005-0000-0000-000017660000}"/>
    <cellStyle name="Normal 2 3 2 15" xfId="26136" xr:uid="{00000000-0005-0000-0000-000018660000}"/>
    <cellStyle name="Normal 2 3 2 15 10" xfId="26137" xr:uid="{00000000-0005-0000-0000-000019660000}"/>
    <cellStyle name="Normal 2 3 2 15 11" xfId="26138" xr:uid="{00000000-0005-0000-0000-00001A660000}"/>
    <cellStyle name="Normal 2 3 2 15 12" xfId="26139" xr:uid="{00000000-0005-0000-0000-00001B660000}"/>
    <cellStyle name="Normal 2 3 2 15 13" xfId="26140" xr:uid="{00000000-0005-0000-0000-00001C660000}"/>
    <cellStyle name="Normal 2 3 2 15 14" xfId="26141" xr:uid="{00000000-0005-0000-0000-00001D660000}"/>
    <cellStyle name="Normal 2 3 2 15 2" xfId="26142" xr:uid="{00000000-0005-0000-0000-00001E660000}"/>
    <cellStyle name="Normal 2 3 2 15 2 10" xfId="26143" xr:uid="{00000000-0005-0000-0000-00001F660000}"/>
    <cellStyle name="Normal 2 3 2 15 2 2" xfId="26144" xr:uid="{00000000-0005-0000-0000-000020660000}"/>
    <cellStyle name="Normal 2 3 2 15 2 3" xfId="26145" xr:uid="{00000000-0005-0000-0000-000021660000}"/>
    <cellStyle name="Normal 2 3 2 15 2 4" xfId="26146" xr:uid="{00000000-0005-0000-0000-000022660000}"/>
    <cellStyle name="Normal 2 3 2 15 2 5" xfId="26147" xr:uid="{00000000-0005-0000-0000-000023660000}"/>
    <cellStyle name="Normal 2 3 2 15 2 6" xfId="26148" xr:uid="{00000000-0005-0000-0000-000024660000}"/>
    <cellStyle name="Normal 2 3 2 15 2 7" xfId="26149" xr:uid="{00000000-0005-0000-0000-000025660000}"/>
    <cellStyle name="Normal 2 3 2 15 2 8" xfId="26150" xr:uid="{00000000-0005-0000-0000-000026660000}"/>
    <cellStyle name="Normal 2 3 2 15 2 9" xfId="26151" xr:uid="{00000000-0005-0000-0000-000027660000}"/>
    <cellStyle name="Normal 2 3 2 15 3" xfId="26152" xr:uid="{00000000-0005-0000-0000-000028660000}"/>
    <cellStyle name="Normal 2 3 2 15 3 10" xfId="26153" xr:uid="{00000000-0005-0000-0000-000029660000}"/>
    <cellStyle name="Normal 2 3 2 15 3 2" xfId="26154" xr:uid="{00000000-0005-0000-0000-00002A660000}"/>
    <cellStyle name="Normal 2 3 2 15 3 3" xfId="26155" xr:uid="{00000000-0005-0000-0000-00002B660000}"/>
    <cellStyle name="Normal 2 3 2 15 3 4" xfId="26156" xr:uid="{00000000-0005-0000-0000-00002C660000}"/>
    <cellStyle name="Normal 2 3 2 15 3 5" xfId="26157" xr:uid="{00000000-0005-0000-0000-00002D660000}"/>
    <cellStyle name="Normal 2 3 2 15 3 6" xfId="26158" xr:uid="{00000000-0005-0000-0000-00002E660000}"/>
    <cellStyle name="Normal 2 3 2 15 3 7" xfId="26159" xr:uid="{00000000-0005-0000-0000-00002F660000}"/>
    <cellStyle name="Normal 2 3 2 15 3 8" xfId="26160" xr:uid="{00000000-0005-0000-0000-000030660000}"/>
    <cellStyle name="Normal 2 3 2 15 3 9" xfId="26161" xr:uid="{00000000-0005-0000-0000-000031660000}"/>
    <cellStyle name="Normal 2 3 2 15 4" xfId="26162" xr:uid="{00000000-0005-0000-0000-000032660000}"/>
    <cellStyle name="Normal 2 3 2 15 4 10" xfId="26163" xr:uid="{00000000-0005-0000-0000-000033660000}"/>
    <cellStyle name="Normal 2 3 2 15 4 2" xfId="26164" xr:uid="{00000000-0005-0000-0000-000034660000}"/>
    <cellStyle name="Normal 2 3 2 15 4 3" xfId="26165" xr:uid="{00000000-0005-0000-0000-000035660000}"/>
    <cellStyle name="Normal 2 3 2 15 4 4" xfId="26166" xr:uid="{00000000-0005-0000-0000-000036660000}"/>
    <cellStyle name="Normal 2 3 2 15 4 5" xfId="26167" xr:uid="{00000000-0005-0000-0000-000037660000}"/>
    <cellStyle name="Normal 2 3 2 15 4 6" xfId="26168" xr:uid="{00000000-0005-0000-0000-000038660000}"/>
    <cellStyle name="Normal 2 3 2 15 4 7" xfId="26169" xr:uid="{00000000-0005-0000-0000-000039660000}"/>
    <cellStyle name="Normal 2 3 2 15 4 8" xfId="26170" xr:uid="{00000000-0005-0000-0000-00003A660000}"/>
    <cellStyle name="Normal 2 3 2 15 4 9" xfId="26171" xr:uid="{00000000-0005-0000-0000-00003B660000}"/>
    <cellStyle name="Normal 2 3 2 15 5" xfId="26172" xr:uid="{00000000-0005-0000-0000-00003C660000}"/>
    <cellStyle name="Normal 2 3 2 15 5 10" xfId="26173" xr:uid="{00000000-0005-0000-0000-00003D660000}"/>
    <cellStyle name="Normal 2 3 2 15 5 2" xfId="26174" xr:uid="{00000000-0005-0000-0000-00003E660000}"/>
    <cellStyle name="Normal 2 3 2 15 5 3" xfId="26175" xr:uid="{00000000-0005-0000-0000-00003F660000}"/>
    <cellStyle name="Normal 2 3 2 15 5 4" xfId="26176" xr:uid="{00000000-0005-0000-0000-000040660000}"/>
    <cellStyle name="Normal 2 3 2 15 5 5" xfId="26177" xr:uid="{00000000-0005-0000-0000-000041660000}"/>
    <cellStyle name="Normal 2 3 2 15 5 6" xfId="26178" xr:uid="{00000000-0005-0000-0000-000042660000}"/>
    <cellStyle name="Normal 2 3 2 15 5 7" xfId="26179" xr:uid="{00000000-0005-0000-0000-000043660000}"/>
    <cellStyle name="Normal 2 3 2 15 5 8" xfId="26180" xr:uid="{00000000-0005-0000-0000-000044660000}"/>
    <cellStyle name="Normal 2 3 2 15 5 9" xfId="26181" xr:uid="{00000000-0005-0000-0000-000045660000}"/>
    <cellStyle name="Normal 2 3 2 15 6" xfId="26182" xr:uid="{00000000-0005-0000-0000-000046660000}"/>
    <cellStyle name="Normal 2 3 2 15 7" xfId="26183" xr:uid="{00000000-0005-0000-0000-000047660000}"/>
    <cellStyle name="Normal 2 3 2 15 8" xfId="26184" xr:uid="{00000000-0005-0000-0000-000048660000}"/>
    <cellStyle name="Normal 2 3 2 15 9" xfId="26185" xr:uid="{00000000-0005-0000-0000-000049660000}"/>
    <cellStyle name="Normal 2 3 2 16" xfId="26186" xr:uid="{00000000-0005-0000-0000-00004A660000}"/>
    <cellStyle name="Normal 2 3 2 16 10" xfId="26187" xr:uid="{00000000-0005-0000-0000-00004B660000}"/>
    <cellStyle name="Normal 2 3 2 16 11" xfId="26188" xr:uid="{00000000-0005-0000-0000-00004C660000}"/>
    <cellStyle name="Normal 2 3 2 16 12" xfId="26189" xr:uid="{00000000-0005-0000-0000-00004D660000}"/>
    <cellStyle name="Normal 2 3 2 16 13" xfId="26190" xr:uid="{00000000-0005-0000-0000-00004E660000}"/>
    <cellStyle name="Normal 2 3 2 16 14" xfId="26191" xr:uid="{00000000-0005-0000-0000-00004F660000}"/>
    <cellStyle name="Normal 2 3 2 16 2" xfId="26192" xr:uid="{00000000-0005-0000-0000-000050660000}"/>
    <cellStyle name="Normal 2 3 2 16 2 10" xfId="26193" xr:uid="{00000000-0005-0000-0000-000051660000}"/>
    <cellStyle name="Normal 2 3 2 16 2 2" xfId="26194" xr:uid="{00000000-0005-0000-0000-000052660000}"/>
    <cellStyle name="Normal 2 3 2 16 2 3" xfId="26195" xr:uid="{00000000-0005-0000-0000-000053660000}"/>
    <cellStyle name="Normal 2 3 2 16 2 4" xfId="26196" xr:uid="{00000000-0005-0000-0000-000054660000}"/>
    <cellStyle name="Normal 2 3 2 16 2 5" xfId="26197" xr:uid="{00000000-0005-0000-0000-000055660000}"/>
    <cellStyle name="Normal 2 3 2 16 2 6" xfId="26198" xr:uid="{00000000-0005-0000-0000-000056660000}"/>
    <cellStyle name="Normal 2 3 2 16 2 7" xfId="26199" xr:uid="{00000000-0005-0000-0000-000057660000}"/>
    <cellStyle name="Normal 2 3 2 16 2 8" xfId="26200" xr:uid="{00000000-0005-0000-0000-000058660000}"/>
    <cellStyle name="Normal 2 3 2 16 2 9" xfId="26201" xr:uid="{00000000-0005-0000-0000-000059660000}"/>
    <cellStyle name="Normal 2 3 2 16 3" xfId="26202" xr:uid="{00000000-0005-0000-0000-00005A660000}"/>
    <cellStyle name="Normal 2 3 2 16 3 10" xfId="26203" xr:uid="{00000000-0005-0000-0000-00005B660000}"/>
    <cellStyle name="Normal 2 3 2 16 3 2" xfId="26204" xr:uid="{00000000-0005-0000-0000-00005C660000}"/>
    <cellStyle name="Normal 2 3 2 16 3 3" xfId="26205" xr:uid="{00000000-0005-0000-0000-00005D660000}"/>
    <cellStyle name="Normal 2 3 2 16 3 4" xfId="26206" xr:uid="{00000000-0005-0000-0000-00005E660000}"/>
    <cellStyle name="Normal 2 3 2 16 3 5" xfId="26207" xr:uid="{00000000-0005-0000-0000-00005F660000}"/>
    <cellStyle name="Normal 2 3 2 16 3 6" xfId="26208" xr:uid="{00000000-0005-0000-0000-000060660000}"/>
    <cellStyle name="Normal 2 3 2 16 3 7" xfId="26209" xr:uid="{00000000-0005-0000-0000-000061660000}"/>
    <cellStyle name="Normal 2 3 2 16 3 8" xfId="26210" xr:uid="{00000000-0005-0000-0000-000062660000}"/>
    <cellStyle name="Normal 2 3 2 16 3 9" xfId="26211" xr:uid="{00000000-0005-0000-0000-000063660000}"/>
    <cellStyle name="Normal 2 3 2 16 4" xfId="26212" xr:uid="{00000000-0005-0000-0000-000064660000}"/>
    <cellStyle name="Normal 2 3 2 16 4 10" xfId="26213" xr:uid="{00000000-0005-0000-0000-000065660000}"/>
    <cellStyle name="Normal 2 3 2 16 4 2" xfId="26214" xr:uid="{00000000-0005-0000-0000-000066660000}"/>
    <cellStyle name="Normal 2 3 2 16 4 3" xfId="26215" xr:uid="{00000000-0005-0000-0000-000067660000}"/>
    <cellStyle name="Normal 2 3 2 16 4 4" xfId="26216" xr:uid="{00000000-0005-0000-0000-000068660000}"/>
    <cellStyle name="Normal 2 3 2 16 4 5" xfId="26217" xr:uid="{00000000-0005-0000-0000-000069660000}"/>
    <cellStyle name="Normal 2 3 2 16 4 6" xfId="26218" xr:uid="{00000000-0005-0000-0000-00006A660000}"/>
    <cellStyle name="Normal 2 3 2 16 4 7" xfId="26219" xr:uid="{00000000-0005-0000-0000-00006B660000}"/>
    <cellStyle name="Normal 2 3 2 16 4 8" xfId="26220" xr:uid="{00000000-0005-0000-0000-00006C660000}"/>
    <cellStyle name="Normal 2 3 2 16 4 9" xfId="26221" xr:uid="{00000000-0005-0000-0000-00006D660000}"/>
    <cellStyle name="Normal 2 3 2 16 5" xfId="26222" xr:uid="{00000000-0005-0000-0000-00006E660000}"/>
    <cellStyle name="Normal 2 3 2 16 5 10" xfId="26223" xr:uid="{00000000-0005-0000-0000-00006F660000}"/>
    <cellStyle name="Normal 2 3 2 16 5 2" xfId="26224" xr:uid="{00000000-0005-0000-0000-000070660000}"/>
    <cellStyle name="Normal 2 3 2 16 5 3" xfId="26225" xr:uid="{00000000-0005-0000-0000-000071660000}"/>
    <cellStyle name="Normal 2 3 2 16 5 4" xfId="26226" xr:uid="{00000000-0005-0000-0000-000072660000}"/>
    <cellStyle name="Normal 2 3 2 16 5 5" xfId="26227" xr:uid="{00000000-0005-0000-0000-000073660000}"/>
    <cellStyle name="Normal 2 3 2 16 5 6" xfId="26228" xr:uid="{00000000-0005-0000-0000-000074660000}"/>
    <cellStyle name="Normal 2 3 2 16 5 7" xfId="26229" xr:uid="{00000000-0005-0000-0000-000075660000}"/>
    <cellStyle name="Normal 2 3 2 16 5 8" xfId="26230" xr:uid="{00000000-0005-0000-0000-000076660000}"/>
    <cellStyle name="Normal 2 3 2 16 5 9" xfId="26231" xr:uid="{00000000-0005-0000-0000-000077660000}"/>
    <cellStyle name="Normal 2 3 2 16 6" xfId="26232" xr:uid="{00000000-0005-0000-0000-000078660000}"/>
    <cellStyle name="Normal 2 3 2 16 7" xfId="26233" xr:uid="{00000000-0005-0000-0000-000079660000}"/>
    <cellStyle name="Normal 2 3 2 16 8" xfId="26234" xr:uid="{00000000-0005-0000-0000-00007A660000}"/>
    <cellStyle name="Normal 2 3 2 16 9" xfId="26235" xr:uid="{00000000-0005-0000-0000-00007B660000}"/>
    <cellStyle name="Normal 2 3 2 17" xfId="26236" xr:uid="{00000000-0005-0000-0000-00007C660000}"/>
    <cellStyle name="Normal 2 3 2 17 10" xfId="26237" xr:uid="{00000000-0005-0000-0000-00007D660000}"/>
    <cellStyle name="Normal 2 3 2 17 11" xfId="26238" xr:uid="{00000000-0005-0000-0000-00007E660000}"/>
    <cellStyle name="Normal 2 3 2 17 12" xfId="26239" xr:uid="{00000000-0005-0000-0000-00007F660000}"/>
    <cellStyle name="Normal 2 3 2 17 13" xfId="26240" xr:uid="{00000000-0005-0000-0000-000080660000}"/>
    <cellStyle name="Normal 2 3 2 17 14" xfId="26241" xr:uid="{00000000-0005-0000-0000-000081660000}"/>
    <cellStyle name="Normal 2 3 2 17 2" xfId="26242" xr:uid="{00000000-0005-0000-0000-000082660000}"/>
    <cellStyle name="Normal 2 3 2 17 2 10" xfId="26243" xr:uid="{00000000-0005-0000-0000-000083660000}"/>
    <cellStyle name="Normal 2 3 2 17 2 2" xfId="26244" xr:uid="{00000000-0005-0000-0000-000084660000}"/>
    <cellStyle name="Normal 2 3 2 17 2 3" xfId="26245" xr:uid="{00000000-0005-0000-0000-000085660000}"/>
    <cellStyle name="Normal 2 3 2 17 2 4" xfId="26246" xr:uid="{00000000-0005-0000-0000-000086660000}"/>
    <cellStyle name="Normal 2 3 2 17 2 5" xfId="26247" xr:uid="{00000000-0005-0000-0000-000087660000}"/>
    <cellStyle name="Normal 2 3 2 17 2 6" xfId="26248" xr:uid="{00000000-0005-0000-0000-000088660000}"/>
    <cellStyle name="Normal 2 3 2 17 2 7" xfId="26249" xr:uid="{00000000-0005-0000-0000-000089660000}"/>
    <cellStyle name="Normal 2 3 2 17 2 8" xfId="26250" xr:uid="{00000000-0005-0000-0000-00008A660000}"/>
    <cellStyle name="Normal 2 3 2 17 2 9" xfId="26251" xr:uid="{00000000-0005-0000-0000-00008B660000}"/>
    <cellStyle name="Normal 2 3 2 17 3" xfId="26252" xr:uid="{00000000-0005-0000-0000-00008C660000}"/>
    <cellStyle name="Normal 2 3 2 17 3 10" xfId="26253" xr:uid="{00000000-0005-0000-0000-00008D660000}"/>
    <cellStyle name="Normal 2 3 2 17 3 2" xfId="26254" xr:uid="{00000000-0005-0000-0000-00008E660000}"/>
    <cellStyle name="Normal 2 3 2 17 3 3" xfId="26255" xr:uid="{00000000-0005-0000-0000-00008F660000}"/>
    <cellStyle name="Normal 2 3 2 17 3 4" xfId="26256" xr:uid="{00000000-0005-0000-0000-000090660000}"/>
    <cellStyle name="Normal 2 3 2 17 3 5" xfId="26257" xr:uid="{00000000-0005-0000-0000-000091660000}"/>
    <cellStyle name="Normal 2 3 2 17 3 6" xfId="26258" xr:uid="{00000000-0005-0000-0000-000092660000}"/>
    <cellStyle name="Normal 2 3 2 17 3 7" xfId="26259" xr:uid="{00000000-0005-0000-0000-000093660000}"/>
    <cellStyle name="Normal 2 3 2 17 3 8" xfId="26260" xr:uid="{00000000-0005-0000-0000-000094660000}"/>
    <cellStyle name="Normal 2 3 2 17 3 9" xfId="26261" xr:uid="{00000000-0005-0000-0000-000095660000}"/>
    <cellStyle name="Normal 2 3 2 17 4" xfId="26262" xr:uid="{00000000-0005-0000-0000-000096660000}"/>
    <cellStyle name="Normal 2 3 2 17 4 10" xfId="26263" xr:uid="{00000000-0005-0000-0000-000097660000}"/>
    <cellStyle name="Normal 2 3 2 17 4 2" xfId="26264" xr:uid="{00000000-0005-0000-0000-000098660000}"/>
    <cellStyle name="Normal 2 3 2 17 4 3" xfId="26265" xr:uid="{00000000-0005-0000-0000-000099660000}"/>
    <cellStyle name="Normal 2 3 2 17 4 4" xfId="26266" xr:uid="{00000000-0005-0000-0000-00009A660000}"/>
    <cellStyle name="Normal 2 3 2 17 4 5" xfId="26267" xr:uid="{00000000-0005-0000-0000-00009B660000}"/>
    <cellStyle name="Normal 2 3 2 17 4 6" xfId="26268" xr:uid="{00000000-0005-0000-0000-00009C660000}"/>
    <cellStyle name="Normal 2 3 2 17 4 7" xfId="26269" xr:uid="{00000000-0005-0000-0000-00009D660000}"/>
    <cellStyle name="Normal 2 3 2 17 4 8" xfId="26270" xr:uid="{00000000-0005-0000-0000-00009E660000}"/>
    <cellStyle name="Normal 2 3 2 17 4 9" xfId="26271" xr:uid="{00000000-0005-0000-0000-00009F660000}"/>
    <cellStyle name="Normal 2 3 2 17 5" xfId="26272" xr:uid="{00000000-0005-0000-0000-0000A0660000}"/>
    <cellStyle name="Normal 2 3 2 17 5 10" xfId="26273" xr:uid="{00000000-0005-0000-0000-0000A1660000}"/>
    <cellStyle name="Normal 2 3 2 17 5 2" xfId="26274" xr:uid="{00000000-0005-0000-0000-0000A2660000}"/>
    <cellStyle name="Normal 2 3 2 17 5 3" xfId="26275" xr:uid="{00000000-0005-0000-0000-0000A3660000}"/>
    <cellStyle name="Normal 2 3 2 17 5 4" xfId="26276" xr:uid="{00000000-0005-0000-0000-0000A4660000}"/>
    <cellStyle name="Normal 2 3 2 17 5 5" xfId="26277" xr:uid="{00000000-0005-0000-0000-0000A5660000}"/>
    <cellStyle name="Normal 2 3 2 17 5 6" xfId="26278" xr:uid="{00000000-0005-0000-0000-0000A6660000}"/>
    <cellStyle name="Normal 2 3 2 17 5 7" xfId="26279" xr:uid="{00000000-0005-0000-0000-0000A7660000}"/>
    <cellStyle name="Normal 2 3 2 17 5 8" xfId="26280" xr:uid="{00000000-0005-0000-0000-0000A8660000}"/>
    <cellStyle name="Normal 2 3 2 17 5 9" xfId="26281" xr:uid="{00000000-0005-0000-0000-0000A9660000}"/>
    <cellStyle name="Normal 2 3 2 17 6" xfId="26282" xr:uid="{00000000-0005-0000-0000-0000AA660000}"/>
    <cellStyle name="Normal 2 3 2 17 7" xfId="26283" xr:uid="{00000000-0005-0000-0000-0000AB660000}"/>
    <cellStyle name="Normal 2 3 2 17 8" xfId="26284" xr:uid="{00000000-0005-0000-0000-0000AC660000}"/>
    <cellStyle name="Normal 2 3 2 17 9" xfId="26285" xr:uid="{00000000-0005-0000-0000-0000AD660000}"/>
    <cellStyle name="Normal 2 3 2 18" xfId="26286" xr:uid="{00000000-0005-0000-0000-0000AE660000}"/>
    <cellStyle name="Normal 2 3 2 18 10" xfId="26287" xr:uid="{00000000-0005-0000-0000-0000AF660000}"/>
    <cellStyle name="Normal 2 3 2 18 11" xfId="26288" xr:uid="{00000000-0005-0000-0000-0000B0660000}"/>
    <cellStyle name="Normal 2 3 2 18 12" xfId="26289" xr:uid="{00000000-0005-0000-0000-0000B1660000}"/>
    <cellStyle name="Normal 2 3 2 18 13" xfId="26290" xr:uid="{00000000-0005-0000-0000-0000B2660000}"/>
    <cellStyle name="Normal 2 3 2 18 14" xfId="26291" xr:uid="{00000000-0005-0000-0000-0000B3660000}"/>
    <cellStyle name="Normal 2 3 2 18 2" xfId="26292" xr:uid="{00000000-0005-0000-0000-0000B4660000}"/>
    <cellStyle name="Normal 2 3 2 18 2 10" xfId="26293" xr:uid="{00000000-0005-0000-0000-0000B5660000}"/>
    <cellStyle name="Normal 2 3 2 18 2 2" xfId="26294" xr:uid="{00000000-0005-0000-0000-0000B6660000}"/>
    <cellStyle name="Normal 2 3 2 18 2 3" xfId="26295" xr:uid="{00000000-0005-0000-0000-0000B7660000}"/>
    <cellStyle name="Normal 2 3 2 18 2 4" xfId="26296" xr:uid="{00000000-0005-0000-0000-0000B8660000}"/>
    <cellStyle name="Normal 2 3 2 18 2 5" xfId="26297" xr:uid="{00000000-0005-0000-0000-0000B9660000}"/>
    <cellStyle name="Normal 2 3 2 18 2 6" xfId="26298" xr:uid="{00000000-0005-0000-0000-0000BA660000}"/>
    <cellStyle name="Normal 2 3 2 18 2 7" xfId="26299" xr:uid="{00000000-0005-0000-0000-0000BB660000}"/>
    <cellStyle name="Normal 2 3 2 18 2 8" xfId="26300" xr:uid="{00000000-0005-0000-0000-0000BC660000}"/>
    <cellStyle name="Normal 2 3 2 18 2 9" xfId="26301" xr:uid="{00000000-0005-0000-0000-0000BD660000}"/>
    <cellStyle name="Normal 2 3 2 18 3" xfId="26302" xr:uid="{00000000-0005-0000-0000-0000BE660000}"/>
    <cellStyle name="Normal 2 3 2 18 3 10" xfId="26303" xr:uid="{00000000-0005-0000-0000-0000BF660000}"/>
    <cellStyle name="Normal 2 3 2 18 3 2" xfId="26304" xr:uid="{00000000-0005-0000-0000-0000C0660000}"/>
    <cellStyle name="Normal 2 3 2 18 3 3" xfId="26305" xr:uid="{00000000-0005-0000-0000-0000C1660000}"/>
    <cellStyle name="Normal 2 3 2 18 3 4" xfId="26306" xr:uid="{00000000-0005-0000-0000-0000C2660000}"/>
    <cellStyle name="Normal 2 3 2 18 3 5" xfId="26307" xr:uid="{00000000-0005-0000-0000-0000C3660000}"/>
    <cellStyle name="Normal 2 3 2 18 3 6" xfId="26308" xr:uid="{00000000-0005-0000-0000-0000C4660000}"/>
    <cellStyle name="Normal 2 3 2 18 3 7" xfId="26309" xr:uid="{00000000-0005-0000-0000-0000C5660000}"/>
    <cellStyle name="Normal 2 3 2 18 3 8" xfId="26310" xr:uid="{00000000-0005-0000-0000-0000C6660000}"/>
    <cellStyle name="Normal 2 3 2 18 3 9" xfId="26311" xr:uid="{00000000-0005-0000-0000-0000C7660000}"/>
    <cellStyle name="Normal 2 3 2 18 4" xfId="26312" xr:uid="{00000000-0005-0000-0000-0000C8660000}"/>
    <cellStyle name="Normal 2 3 2 18 4 10" xfId="26313" xr:uid="{00000000-0005-0000-0000-0000C9660000}"/>
    <cellStyle name="Normal 2 3 2 18 4 2" xfId="26314" xr:uid="{00000000-0005-0000-0000-0000CA660000}"/>
    <cellStyle name="Normal 2 3 2 18 4 3" xfId="26315" xr:uid="{00000000-0005-0000-0000-0000CB660000}"/>
    <cellStyle name="Normal 2 3 2 18 4 4" xfId="26316" xr:uid="{00000000-0005-0000-0000-0000CC660000}"/>
    <cellStyle name="Normal 2 3 2 18 4 5" xfId="26317" xr:uid="{00000000-0005-0000-0000-0000CD660000}"/>
    <cellStyle name="Normal 2 3 2 18 4 6" xfId="26318" xr:uid="{00000000-0005-0000-0000-0000CE660000}"/>
    <cellStyle name="Normal 2 3 2 18 4 7" xfId="26319" xr:uid="{00000000-0005-0000-0000-0000CF660000}"/>
    <cellStyle name="Normal 2 3 2 18 4 8" xfId="26320" xr:uid="{00000000-0005-0000-0000-0000D0660000}"/>
    <cellStyle name="Normal 2 3 2 18 4 9" xfId="26321" xr:uid="{00000000-0005-0000-0000-0000D1660000}"/>
    <cellStyle name="Normal 2 3 2 18 5" xfId="26322" xr:uid="{00000000-0005-0000-0000-0000D2660000}"/>
    <cellStyle name="Normal 2 3 2 18 5 10" xfId="26323" xr:uid="{00000000-0005-0000-0000-0000D3660000}"/>
    <cellStyle name="Normal 2 3 2 18 5 2" xfId="26324" xr:uid="{00000000-0005-0000-0000-0000D4660000}"/>
    <cellStyle name="Normal 2 3 2 18 5 3" xfId="26325" xr:uid="{00000000-0005-0000-0000-0000D5660000}"/>
    <cellStyle name="Normal 2 3 2 18 5 4" xfId="26326" xr:uid="{00000000-0005-0000-0000-0000D6660000}"/>
    <cellStyle name="Normal 2 3 2 18 5 5" xfId="26327" xr:uid="{00000000-0005-0000-0000-0000D7660000}"/>
    <cellStyle name="Normal 2 3 2 18 5 6" xfId="26328" xr:uid="{00000000-0005-0000-0000-0000D8660000}"/>
    <cellStyle name="Normal 2 3 2 18 5 7" xfId="26329" xr:uid="{00000000-0005-0000-0000-0000D9660000}"/>
    <cellStyle name="Normal 2 3 2 18 5 8" xfId="26330" xr:uid="{00000000-0005-0000-0000-0000DA660000}"/>
    <cellStyle name="Normal 2 3 2 18 5 9" xfId="26331" xr:uid="{00000000-0005-0000-0000-0000DB660000}"/>
    <cellStyle name="Normal 2 3 2 18 6" xfId="26332" xr:uid="{00000000-0005-0000-0000-0000DC660000}"/>
    <cellStyle name="Normal 2 3 2 18 7" xfId="26333" xr:uid="{00000000-0005-0000-0000-0000DD660000}"/>
    <cellStyle name="Normal 2 3 2 18 8" xfId="26334" xr:uid="{00000000-0005-0000-0000-0000DE660000}"/>
    <cellStyle name="Normal 2 3 2 18 9" xfId="26335" xr:uid="{00000000-0005-0000-0000-0000DF660000}"/>
    <cellStyle name="Normal 2 3 2 19" xfId="26336" xr:uid="{00000000-0005-0000-0000-0000E0660000}"/>
    <cellStyle name="Normal 2 3 2 19 10" xfId="26337" xr:uid="{00000000-0005-0000-0000-0000E1660000}"/>
    <cellStyle name="Normal 2 3 2 19 11" xfId="26338" xr:uid="{00000000-0005-0000-0000-0000E2660000}"/>
    <cellStyle name="Normal 2 3 2 19 12" xfId="26339" xr:uid="{00000000-0005-0000-0000-0000E3660000}"/>
    <cellStyle name="Normal 2 3 2 19 13" xfId="26340" xr:uid="{00000000-0005-0000-0000-0000E4660000}"/>
    <cellStyle name="Normal 2 3 2 19 14" xfId="26341" xr:uid="{00000000-0005-0000-0000-0000E5660000}"/>
    <cellStyle name="Normal 2 3 2 19 2" xfId="26342" xr:uid="{00000000-0005-0000-0000-0000E6660000}"/>
    <cellStyle name="Normal 2 3 2 19 2 10" xfId="26343" xr:uid="{00000000-0005-0000-0000-0000E7660000}"/>
    <cellStyle name="Normal 2 3 2 19 2 2" xfId="26344" xr:uid="{00000000-0005-0000-0000-0000E8660000}"/>
    <cellStyle name="Normal 2 3 2 19 2 3" xfId="26345" xr:uid="{00000000-0005-0000-0000-0000E9660000}"/>
    <cellStyle name="Normal 2 3 2 19 2 4" xfId="26346" xr:uid="{00000000-0005-0000-0000-0000EA660000}"/>
    <cellStyle name="Normal 2 3 2 19 2 5" xfId="26347" xr:uid="{00000000-0005-0000-0000-0000EB660000}"/>
    <cellStyle name="Normal 2 3 2 19 2 6" xfId="26348" xr:uid="{00000000-0005-0000-0000-0000EC660000}"/>
    <cellStyle name="Normal 2 3 2 19 2 7" xfId="26349" xr:uid="{00000000-0005-0000-0000-0000ED660000}"/>
    <cellStyle name="Normal 2 3 2 19 2 8" xfId="26350" xr:uid="{00000000-0005-0000-0000-0000EE660000}"/>
    <cellStyle name="Normal 2 3 2 19 2 9" xfId="26351" xr:uid="{00000000-0005-0000-0000-0000EF660000}"/>
    <cellStyle name="Normal 2 3 2 19 3" xfId="26352" xr:uid="{00000000-0005-0000-0000-0000F0660000}"/>
    <cellStyle name="Normal 2 3 2 19 3 10" xfId="26353" xr:uid="{00000000-0005-0000-0000-0000F1660000}"/>
    <cellStyle name="Normal 2 3 2 19 3 2" xfId="26354" xr:uid="{00000000-0005-0000-0000-0000F2660000}"/>
    <cellStyle name="Normal 2 3 2 19 3 3" xfId="26355" xr:uid="{00000000-0005-0000-0000-0000F3660000}"/>
    <cellStyle name="Normal 2 3 2 19 3 4" xfId="26356" xr:uid="{00000000-0005-0000-0000-0000F4660000}"/>
    <cellStyle name="Normal 2 3 2 19 3 5" xfId="26357" xr:uid="{00000000-0005-0000-0000-0000F5660000}"/>
    <cellStyle name="Normal 2 3 2 19 3 6" xfId="26358" xr:uid="{00000000-0005-0000-0000-0000F6660000}"/>
    <cellStyle name="Normal 2 3 2 19 3 7" xfId="26359" xr:uid="{00000000-0005-0000-0000-0000F7660000}"/>
    <cellStyle name="Normal 2 3 2 19 3 8" xfId="26360" xr:uid="{00000000-0005-0000-0000-0000F8660000}"/>
    <cellStyle name="Normal 2 3 2 19 3 9" xfId="26361" xr:uid="{00000000-0005-0000-0000-0000F9660000}"/>
    <cellStyle name="Normal 2 3 2 19 4" xfId="26362" xr:uid="{00000000-0005-0000-0000-0000FA660000}"/>
    <cellStyle name="Normal 2 3 2 19 4 10" xfId="26363" xr:uid="{00000000-0005-0000-0000-0000FB660000}"/>
    <cellStyle name="Normal 2 3 2 19 4 2" xfId="26364" xr:uid="{00000000-0005-0000-0000-0000FC660000}"/>
    <cellStyle name="Normal 2 3 2 19 4 3" xfId="26365" xr:uid="{00000000-0005-0000-0000-0000FD660000}"/>
    <cellStyle name="Normal 2 3 2 19 4 4" xfId="26366" xr:uid="{00000000-0005-0000-0000-0000FE660000}"/>
    <cellStyle name="Normal 2 3 2 19 4 5" xfId="26367" xr:uid="{00000000-0005-0000-0000-0000FF660000}"/>
    <cellStyle name="Normal 2 3 2 19 4 6" xfId="26368" xr:uid="{00000000-0005-0000-0000-000000670000}"/>
    <cellStyle name="Normal 2 3 2 19 4 7" xfId="26369" xr:uid="{00000000-0005-0000-0000-000001670000}"/>
    <cellStyle name="Normal 2 3 2 19 4 8" xfId="26370" xr:uid="{00000000-0005-0000-0000-000002670000}"/>
    <cellStyle name="Normal 2 3 2 19 4 9" xfId="26371" xr:uid="{00000000-0005-0000-0000-000003670000}"/>
    <cellStyle name="Normal 2 3 2 19 5" xfId="26372" xr:uid="{00000000-0005-0000-0000-000004670000}"/>
    <cellStyle name="Normal 2 3 2 19 5 10" xfId="26373" xr:uid="{00000000-0005-0000-0000-000005670000}"/>
    <cellStyle name="Normal 2 3 2 19 5 2" xfId="26374" xr:uid="{00000000-0005-0000-0000-000006670000}"/>
    <cellStyle name="Normal 2 3 2 19 5 3" xfId="26375" xr:uid="{00000000-0005-0000-0000-000007670000}"/>
    <cellStyle name="Normal 2 3 2 19 5 4" xfId="26376" xr:uid="{00000000-0005-0000-0000-000008670000}"/>
    <cellStyle name="Normal 2 3 2 19 5 5" xfId="26377" xr:uid="{00000000-0005-0000-0000-000009670000}"/>
    <cellStyle name="Normal 2 3 2 19 5 6" xfId="26378" xr:uid="{00000000-0005-0000-0000-00000A670000}"/>
    <cellStyle name="Normal 2 3 2 19 5 7" xfId="26379" xr:uid="{00000000-0005-0000-0000-00000B670000}"/>
    <cellStyle name="Normal 2 3 2 19 5 8" xfId="26380" xr:uid="{00000000-0005-0000-0000-00000C670000}"/>
    <cellStyle name="Normal 2 3 2 19 5 9" xfId="26381" xr:uid="{00000000-0005-0000-0000-00000D670000}"/>
    <cellStyle name="Normal 2 3 2 19 6" xfId="26382" xr:uid="{00000000-0005-0000-0000-00000E670000}"/>
    <cellStyle name="Normal 2 3 2 19 7" xfId="26383" xr:uid="{00000000-0005-0000-0000-00000F670000}"/>
    <cellStyle name="Normal 2 3 2 19 8" xfId="26384" xr:uid="{00000000-0005-0000-0000-000010670000}"/>
    <cellStyle name="Normal 2 3 2 19 9" xfId="26385" xr:uid="{00000000-0005-0000-0000-000011670000}"/>
    <cellStyle name="Normal 2 3 2 2" xfId="26386" xr:uid="{00000000-0005-0000-0000-000012670000}"/>
    <cellStyle name="Normal 2 3 2 2 10" xfId="26387" xr:uid="{00000000-0005-0000-0000-000013670000}"/>
    <cellStyle name="Normal 2 3 2 2 11" xfId="26388" xr:uid="{00000000-0005-0000-0000-000014670000}"/>
    <cellStyle name="Normal 2 3 2 2 12" xfId="26389" xr:uid="{00000000-0005-0000-0000-000015670000}"/>
    <cellStyle name="Normal 2 3 2 2 13" xfId="26390" xr:uid="{00000000-0005-0000-0000-000016670000}"/>
    <cellStyle name="Normal 2 3 2 2 14" xfId="26391" xr:uid="{00000000-0005-0000-0000-000017670000}"/>
    <cellStyle name="Normal 2 3 2 2 15" xfId="26392" xr:uid="{00000000-0005-0000-0000-000018670000}"/>
    <cellStyle name="Normal 2 3 2 2 16" xfId="26393" xr:uid="{00000000-0005-0000-0000-000019670000}"/>
    <cellStyle name="Normal 2 3 2 2 2" xfId="26394" xr:uid="{00000000-0005-0000-0000-00001A670000}"/>
    <cellStyle name="Normal 2 3 2 2 2 10" xfId="26395" xr:uid="{00000000-0005-0000-0000-00001B670000}"/>
    <cellStyle name="Normal 2 3 2 2 2 11" xfId="26396" xr:uid="{00000000-0005-0000-0000-00001C670000}"/>
    <cellStyle name="Normal 2 3 2 2 2 12" xfId="26397" xr:uid="{00000000-0005-0000-0000-00001D670000}"/>
    <cellStyle name="Normal 2 3 2 2 2 2" xfId="26398" xr:uid="{00000000-0005-0000-0000-00001E670000}"/>
    <cellStyle name="Normal 2 3 2 2 2 3" xfId="26399" xr:uid="{00000000-0005-0000-0000-00001F670000}"/>
    <cellStyle name="Normal 2 3 2 2 2 4" xfId="26400" xr:uid="{00000000-0005-0000-0000-000020670000}"/>
    <cellStyle name="Normal 2 3 2 2 2 5" xfId="26401" xr:uid="{00000000-0005-0000-0000-000021670000}"/>
    <cellStyle name="Normal 2 3 2 2 2 6" xfId="26402" xr:uid="{00000000-0005-0000-0000-000022670000}"/>
    <cellStyle name="Normal 2 3 2 2 2 7" xfId="26403" xr:uid="{00000000-0005-0000-0000-000023670000}"/>
    <cellStyle name="Normal 2 3 2 2 2 8" xfId="26404" xr:uid="{00000000-0005-0000-0000-000024670000}"/>
    <cellStyle name="Normal 2 3 2 2 2 9" xfId="26405" xr:uid="{00000000-0005-0000-0000-000025670000}"/>
    <cellStyle name="Normal 2 3 2 2 3" xfId="26406" xr:uid="{00000000-0005-0000-0000-000026670000}"/>
    <cellStyle name="Normal 2 3 2 2 3 10" xfId="26407" xr:uid="{00000000-0005-0000-0000-000027670000}"/>
    <cellStyle name="Normal 2 3 2 2 3 2" xfId="26408" xr:uid="{00000000-0005-0000-0000-000028670000}"/>
    <cellStyle name="Normal 2 3 2 2 3 3" xfId="26409" xr:uid="{00000000-0005-0000-0000-000029670000}"/>
    <cellStyle name="Normal 2 3 2 2 3 4" xfId="26410" xr:uid="{00000000-0005-0000-0000-00002A670000}"/>
    <cellStyle name="Normal 2 3 2 2 3 5" xfId="26411" xr:uid="{00000000-0005-0000-0000-00002B670000}"/>
    <cellStyle name="Normal 2 3 2 2 3 6" xfId="26412" xr:uid="{00000000-0005-0000-0000-00002C670000}"/>
    <cellStyle name="Normal 2 3 2 2 3 7" xfId="26413" xr:uid="{00000000-0005-0000-0000-00002D670000}"/>
    <cellStyle name="Normal 2 3 2 2 3 8" xfId="26414" xr:uid="{00000000-0005-0000-0000-00002E670000}"/>
    <cellStyle name="Normal 2 3 2 2 3 9" xfId="26415" xr:uid="{00000000-0005-0000-0000-00002F670000}"/>
    <cellStyle name="Normal 2 3 2 2 4" xfId="26416" xr:uid="{00000000-0005-0000-0000-000030670000}"/>
    <cellStyle name="Normal 2 3 2 2 4 10" xfId="26417" xr:uid="{00000000-0005-0000-0000-000031670000}"/>
    <cellStyle name="Normal 2 3 2 2 4 2" xfId="26418" xr:uid="{00000000-0005-0000-0000-000032670000}"/>
    <cellStyle name="Normal 2 3 2 2 4 3" xfId="26419" xr:uid="{00000000-0005-0000-0000-000033670000}"/>
    <cellStyle name="Normal 2 3 2 2 4 4" xfId="26420" xr:uid="{00000000-0005-0000-0000-000034670000}"/>
    <cellStyle name="Normal 2 3 2 2 4 5" xfId="26421" xr:uid="{00000000-0005-0000-0000-000035670000}"/>
    <cellStyle name="Normal 2 3 2 2 4 6" xfId="26422" xr:uid="{00000000-0005-0000-0000-000036670000}"/>
    <cellStyle name="Normal 2 3 2 2 4 7" xfId="26423" xr:uid="{00000000-0005-0000-0000-000037670000}"/>
    <cellStyle name="Normal 2 3 2 2 4 8" xfId="26424" xr:uid="{00000000-0005-0000-0000-000038670000}"/>
    <cellStyle name="Normal 2 3 2 2 4 9" xfId="26425" xr:uid="{00000000-0005-0000-0000-000039670000}"/>
    <cellStyle name="Normal 2 3 2 2 5" xfId="26426" xr:uid="{00000000-0005-0000-0000-00003A670000}"/>
    <cellStyle name="Normal 2 3 2 2 5 10" xfId="26427" xr:uid="{00000000-0005-0000-0000-00003B670000}"/>
    <cellStyle name="Normal 2 3 2 2 5 2" xfId="26428" xr:uid="{00000000-0005-0000-0000-00003C670000}"/>
    <cellStyle name="Normal 2 3 2 2 5 3" xfId="26429" xr:uid="{00000000-0005-0000-0000-00003D670000}"/>
    <cellStyle name="Normal 2 3 2 2 5 4" xfId="26430" xr:uid="{00000000-0005-0000-0000-00003E670000}"/>
    <cellStyle name="Normal 2 3 2 2 5 5" xfId="26431" xr:uid="{00000000-0005-0000-0000-00003F670000}"/>
    <cellStyle name="Normal 2 3 2 2 5 6" xfId="26432" xr:uid="{00000000-0005-0000-0000-000040670000}"/>
    <cellStyle name="Normal 2 3 2 2 5 7" xfId="26433" xr:uid="{00000000-0005-0000-0000-000041670000}"/>
    <cellStyle name="Normal 2 3 2 2 5 8" xfId="26434" xr:uid="{00000000-0005-0000-0000-000042670000}"/>
    <cellStyle name="Normal 2 3 2 2 5 9" xfId="26435" xr:uid="{00000000-0005-0000-0000-000043670000}"/>
    <cellStyle name="Normal 2 3 2 2 6" xfId="26436" xr:uid="{00000000-0005-0000-0000-000044670000}"/>
    <cellStyle name="Normal 2 3 2 2 7" xfId="26437" xr:uid="{00000000-0005-0000-0000-000045670000}"/>
    <cellStyle name="Normal 2 3 2 2 8" xfId="26438" xr:uid="{00000000-0005-0000-0000-000046670000}"/>
    <cellStyle name="Normal 2 3 2 2 9" xfId="26439" xr:uid="{00000000-0005-0000-0000-000047670000}"/>
    <cellStyle name="Normal 2 3 2 20" xfId="26440" xr:uid="{00000000-0005-0000-0000-000048670000}"/>
    <cellStyle name="Normal 2 3 2 20 10" xfId="26441" xr:uid="{00000000-0005-0000-0000-000049670000}"/>
    <cellStyle name="Normal 2 3 2 20 11" xfId="26442" xr:uid="{00000000-0005-0000-0000-00004A670000}"/>
    <cellStyle name="Normal 2 3 2 20 12" xfId="26443" xr:uid="{00000000-0005-0000-0000-00004B670000}"/>
    <cellStyle name="Normal 2 3 2 20 13" xfId="26444" xr:uid="{00000000-0005-0000-0000-00004C670000}"/>
    <cellStyle name="Normal 2 3 2 20 14" xfId="26445" xr:uid="{00000000-0005-0000-0000-00004D670000}"/>
    <cellStyle name="Normal 2 3 2 20 2" xfId="26446" xr:uid="{00000000-0005-0000-0000-00004E670000}"/>
    <cellStyle name="Normal 2 3 2 20 2 10" xfId="26447" xr:uid="{00000000-0005-0000-0000-00004F670000}"/>
    <cellStyle name="Normal 2 3 2 20 2 2" xfId="26448" xr:uid="{00000000-0005-0000-0000-000050670000}"/>
    <cellStyle name="Normal 2 3 2 20 2 3" xfId="26449" xr:uid="{00000000-0005-0000-0000-000051670000}"/>
    <cellStyle name="Normal 2 3 2 20 2 4" xfId="26450" xr:uid="{00000000-0005-0000-0000-000052670000}"/>
    <cellStyle name="Normal 2 3 2 20 2 5" xfId="26451" xr:uid="{00000000-0005-0000-0000-000053670000}"/>
    <cellStyle name="Normal 2 3 2 20 2 6" xfId="26452" xr:uid="{00000000-0005-0000-0000-000054670000}"/>
    <cellStyle name="Normal 2 3 2 20 2 7" xfId="26453" xr:uid="{00000000-0005-0000-0000-000055670000}"/>
    <cellStyle name="Normal 2 3 2 20 2 8" xfId="26454" xr:uid="{00000000-0005-0000-0000-000056670000}"/>
    <cellStyle name="Normal 2 3 2 20 2 9" xfId="26455" xr:uid="{00000000-0005-0000-0000-000057670000}"/>
    <cellStyle name="Normal 2 3 2 20 3" xfId="26456" xr:uid="{00000000-0005-0000-0000-000058670000}"/>
    <cellStyle name="Normal 2 3 2 20 3 10" xfId="26457" xr:uid="{00000000-0005-0000-0000-000059670000}"/>
    <cellStyle name="Normal 2 3 2 20 3 2" xfId="26458" xr:uid="{00000000-0005-0000-0000-00005A670000}"/>
    <cellStyle name="Normal 2 3 2 20 3 3" xfId="26459" xr:uid="{00000000-0005-0000-0000-00005B670000}"/>
    <cellStyle name="Normal 2 3 2 20 3 4" xfId="26460" xr:uid="{00000000-0005-0000-0000-00005C670000}"/>
    <cellStyle name="Normal 2 3 2 20 3 5" xfId="26461" xr:uid="{00000000-0005-0000-0000-00005D670000}"/>
    <cellStyle name="Normal 2 3 2 20 3 6" xfId="26462" xr:uid="{00000000-0005-0000-0000-00005E670000}"/>
    <cellStyle name="Normal 2 3 2 20 3 7" xfId="26463" xr:uid="{00000000-0005-0000-0000-00005F670000}"/>
    <cellStyle name="Normal 2 3 2 20 3 8" xfId="26464" xr:uid="{00000000-0005-0000-0000-000060670000}"/>
    <cellStyle name="Normal 2 3 2 20 3 9" xfId="26465" xr:uid="{00000000-0005-0000-0000-000061670000}"/>
    <cellStyle name="Normal 2 3 2 20 4" xfId="26466" xr:uid="{00000000-0005-0000-0000-000062670000}"/>
    <cellStyle name="Normal 2 3 2 20 4 10" xfId="26467" xr:uid="{00000000-0005-0000-0000-000063670000}"/>
    <cellStyle name="Normal 2 3 2 20 4 2" xfId="26468" xr:uid="{00000000-0005-0000-0000-000064670000}"/>
    <cellStyle name="Normal 2 3 2 20 4 3" xfId="26469" xr:uid="{00000000-0005-0000-0000-000065670000}"/>
    <cellStyle name="Normal 2 3 2 20 4 4" xfId="26470" xr:uid="{00000000-0005-0000-0000-000066670000}"/>
    <cellStyle name="Normal 2 3 2 20 4 5" xfId="26471" xr:uid="{00000000-0005-0000-0000-000067670000}"/>
    <cellStyle name="Normal 2 3 2 20 4 6" xfId="26472" xr:uid="{00000000-0005-0000-0000-000068670000}"/>
    <cellStyle name="Normal 2 3 2 20 4 7" xfId="26473" xr:uid="{00000000-0005-0000-0000-000069670000}"/>
    <cellStyle name="Normal 2 3 2 20 4 8" xfId="26474" xr:uid="{00000000-0005-0000-0000-00006A670000}"/>
    <cellStyle name="Normal 2 3 2 20 4 9" xfId="26475" xr:uid="{00000000-0005-0000-0000-00006B670000}"/>
    <cellStyle name="Normal 2 3 2 20 5" xfId="26476" xr:uid="{00000000-0005-0000-0000-00006C670000}"/>
    <cellStyle name="Normal 2 3 2 20 5 10" xfId="26477" xr:uid="{00000000-0005-0000-0000-00006D670000}"/>
    <cellStyle name="Normal 2 3 2 20 5 2" xfId="26478" xr:uid="{00000000-0005-0000-0000-00006E670000}"/>
    <cellStyle name="Normal 2 3 2 20 5 3" xfId="26479" xr:uid="{00000000-0005-0000-0000-00006F670000}"/>
    <cellStyle name="Normal 2 3 2 20 5 4" xfId="26480" xr:uid="{00000000-0005-0000-0000-000070670000}"/>
    <cellStyle name="Normal 2 3 2 20 5 5" xfId="26481" xr:uid="{00000000-0005-0000-0000-000071670000}"/>
    <cellStyle name="Normal 2 3 2 20 5 6" xfId="26482" xr:uid="{00000000-0005-0000-0000-000072670000}"/>
    <cellStyle name="Normal 2 3 2 20 5 7" xfId="26483" xr:uid="{00000000-0005-0000-0000-000073670000}"/>
    <cellStyle name="Normal 2 3 2 20 5 8" xfId="26484" xr:uid="{00000000-0005-0000-0000-000074670000}"/>
    <cellStyle name="Normal 2 3 2 20 5 9" xfId="26485" xr:uid="{00000000-0005-0000-0000-000075670000}"/>
    <cellStyle name="Normal 2 3 2 20 6" xfId="26486" xr:uid="{00000000-0005-0000-0000-000076670000}"/>
    <cellStyle name="Normal 2 3 2 20 7" xfId="26487" xr:uid="{00000000-0005-0000-0000-000077670000}"/>
    <cellStyle name="Normal 2 3 2 20 8" xfId="26488" xr:uid="{00000000-0005-0000-0000-000078670000}"/>
    <cellStyle name="Normal 2 3 2 20 9" xfId="26489" xr:uid="{00000000-0005-0000-0000-000079670000}"/>
    <cellStyle name="Normal 2 3 2 21" xfId="26490" xr:uid="{00000000-0005-0000-0000-00007A670000}"/>
    <cellStyle name="Normal 2 3 2 21 10" xfId="26491" xr:uid="{00000000-0005-0000-0000-00007B670000}"/>
    <cellStyle name="Normal 2 3 2 21 11" xfId="26492" xr:uid="{00000000-0005-0000-0000-00007C670000}"/>
    <cellStyle name="Normal 2 3 2 21 12" xfId="26493" xr:uid="{00000000-0005-0000-0000-00007D670000}"/>
    <cellStyle name="Normal 2 3 2 21 13" xfId="26494" xr:uid="{00000000-0005-0000-0000-00007E670000}"/>
    <cellStyle name="Normal 2 3 2 21 14" xfId="26495" xr:uid="{00000000-0005-0000-0000-00007F670000}"/>
    <cellStyle name="Normal 2 3 2 21 2" xfId="26496" xr:uid="{00000000-0005-0000-0000-000080670000}"/>
    <cellStyle name="Normal 2 3 2 21 2 10" xfId="26497" xr:uid="{00000000-0005-0000-0000-000081670000}"/>
    <cellStyle name="Normal 2 3 2 21 2 2" xfId="26498" xr:uid="{00000000-0005-0000-0000-000082670000}"/>
    <cellStyle name="Normal 2 3 2 21 2 3" xfId="26499" xr:uid="{00000000-0005-0000-0000-000083670000}"/>
    <cellStyle name="Normal 2 3 2 21 2 4" xfId="26500" xr:uid="{00000000-0005-0000-0000-000084670000}"/>
    <cellStyle name="Normal 2 3 2 21 2 5" xfId="26501" xr:uid="{00000000-0005-0000-0000-000085670000}"/>
    <cellStyle name="Normal 2 3 2 21 2 6" xfId="26502" xr:uid="{00000000-0005-0000-0000-000086670000}"/>
    <cellStyle name="Normal 2 3 2 21 2 7" xfId="26503" xr:uid="{00000000-0005-0000-0000-000087670000}"/>
    <cellStyle name="Normal 2 3 2 21 2 8" xfId="26504" xr:uid="{00000000-0005-0000-0000-000088670000}"/>
    <cellStyle name="Normal 2 3 2 21 2 9" xfId="26505" xr:uid="{00000000-0005-0000-0000-000089670000}"/>
    <cellStyle name="Normal 2 3 2 21 3" xfId="26506" xr:uid="{00000000-0005-0000-0000-00008A670000}"/>
    <cellStyle name="Normal 2 3 2 21 3 10" xfId="26507" xr:uid="{00000000-0005-0000-0000-00008B670000}"/>
    <cellStyle name="Normal 2 3 2 21 3 2" xfId="26508" xr:uid="{00000000-0005-0000-0000-00008C670000}"/>
    <cellStyle name="Normal 2 3 2 21 3 3" xfId="26509" xr:uid="{00000000-0005-0000-0000-00008D670000}"/>
    <cellStyle name="Normal 2 3 2 21 3 4" xfId="26510" xr:uid="{00000000-0005-0000-0000-00008E670000}"/>
    <cellStyle name="Normal 2 3 2 21 3 5" xfId="26511" xr:uid="{00000000-0005-0000-0000-00008F670000}"/>
    <cellStyle name="Normal 2 3 2 21 3 6" xfId="26512" xr:uid="{00000000-0005-0000-0000-000090670000}"/>
    <cellStyle name="Normal 2 3 2 21 3 7" xfId="26513" xr:uid="{00000000-0005-0000-0000-000091670000}"/>
    <cellStyle name="Normal 2 3 2 21 3 8" xfId="26514" xr:uid="{00000000-0005-0000-0000-000092670000}"/>
    <cellStyle name="Normal 2 3 2 21 3 9" xfId="26515" xr:uid="{00000000-0005-0000-0000-000093670000}"/>
    <cellStyle name="Normal 2 3 2 21 4" xfId="26516" xr:uid="{00000000-0005-0000-0000-000094670000}"/>
    <cellStyle name="Normal 2 3 2 21 4 10" xfId="26517" xr:uid="{00000000-0005-0000-0000-000095670000}"/>
    <cellStyle name="Normal 2 3 2 21 4 2" xfId="26518" xr:uid="{00000000-0005-0000-0000-000096670000}"/>
    <cellStyle name="Normal 2 3 2 21 4 3" xfId="26519" xr:uid="{00000000-0005-0000-0000-000097670000}"/>
    <cellStyle name="Normal 2 3 2 21 4 4" xfId="26520" xr:uid="{00000000-0005-0000-0000-000098670000}"/>
    <cellStyle name="Normal 2 3 2 21 4 5" xfId="26521" xr:uid="{00000000-0005-0000-0000-000099670000}"/>
    <cellStyle name="Normal 2 3 2 21 4 6" xfId="26522" xr:uid="{00000000-0005-0000-0000-00009A670000}"/>
    <cellStyle name="Normal 2 3 2 21 4 7" xfId="26523" xr:uid="{00000000-0005-0000-0000-00009B670000}"/>
    <cellStyle name="Normal 2 3 2 21 4 8" xfId="26524" xr:uid="{00000000-0005-0000-0000-00009C670000}"/>
    <cellStyle name="Normal 2 3 2 21 4 9" xfId="26525" xr:uid="{00000000-0005-0000-0000-00009D670000}"/>
    <cellStyle name="Normal 2 3 2 21 5" xfId="26526" xr:uid="{00000000-0005-0000-0000-00009E670000}"/>
    <cellStyle name="Normal 2 3 2 21 5 10" xfId="26527" xr:uid="{00000000-0005-0000-0000-00009F670000}"/>
    <cellStyle name="Normal 2 3 2 21 5 2" xfId="26528" xr:uid="{00000000-0005-0000-0000-0000A0670000}"/>
    <cellStyle name="Normal 2 3 2 21 5 3" xfId="26529" xr:uid="{00000000-0005-0000-0000-0000A1670000}"/>
    <cellStyle name="Normal 2 3 2 21 5 4" xfId="26530" xr:uid="{00000000-0005-0000-0000-0000A2670000}"/>
    <cellStyle name="Normal 2 3 2 21 5 5" xfId="26531" xr:uid="{00000000-0005-0000-0000-0000A3670000}"/>
    <cellStyle name="Normal 2 3 2 21 5 6" xfId="26532" xr:uid="{00000000-0005-0000-0000-0000A4670000}"/>
    <cellStyle name="Normal 2 3 2 21 5 7" xfId="26533" xr:uid="{00000000-0005-0000-0000-0000A5670000}"/>
    <cellStyle name="Normal 2 3 2 21 5 8" xfId="26534" xr:uid="{00000000-0005-0000-0000-0000A6670000}"/>
    <cellStyle name="Normal 2 3 2 21 5 9" xfId="26535" xr:uid="{00000000-0005-0000-0000-0000A7670000}"/>
    <cellStyle name="Normal 2 3 2 21 6" xfId="26536" xr:uid="{00000000-0005-0000-0000-0000A8670000}"/>
    <cellStyle name="Normal 2 3 2 21 7" xfId="26537" xr:uid="{00000000-0005-0000-0000-0000A9670000}"/>
    <cellStyle name="Normal 2 3 2 21 8" xfId="26538" xr:uid="{00000000-0005-0000-0000-0000AA670000}"/>
    <cellStyle name="Normal 2 3 2 21 9" xfId="26539" xr:uid="{00000000-0005-0000-0000-0000AB670000}"/>
    <cellStyle name="Normal 2 3 2 22" xfId="26540" xr:uid="{00000000-0005-0000-0000-0000AC670000}"/>
    <cellStyle name="Normal 2 3 2 22 10" xfId="26541" xr:uid="{00000000-0005-0000-0000-0000AD670000}"/>
    <cellStyle name="Normal 2 3 2 22 11" xfId="26542" xr:uid="{00000000-0005-0000-0000-0000AE670000}"/>
    <cellStyle name="Normal 2 3 2 22 12" xfId="26543" xr:uid="{00000000-0005-0000-0000-0000AF670000}"/>
    <cellStyle name="Normal 2 3 2 22 13" xfId="26544" xr:uid="{00000000-0005-0000-0000-0000B0670000}"/>
    <cellStyle name="Normal 2 3 2 22 14" xfId="26545" xr:uid="{00000000-0005-0000-0000-0000B1670000}"/>
    <cellStyle name="Normal 2 3 2 22 2" xfId="26546" xr:uid="{00000000-0005-0000-0000-0000B2670000}"/>
    <cellStyle name="Normal 2 3 2 22 2 10" xfId="26547" xr:uid="{00000000-0005-0000-0000-0000B3670000}"/>
    <cellStyle name="Normal 2 3 2 22 2 2" xfId="26548" xr:uid="{00000000-0005-0000-0000-0000B4670000}"/>
    <cellStyle name="Normal 2 3 2 22 2 3" xfId="26549" xr:uid="{00000000-0005-0000-0000-0000B5670000}"/>
    <cellStyle name="Normal 2 3 2 22 2 4" xfId="26550" xr:uid="{00000000-0005-0000-0000-0000B6670000}"/>
    <cellStyle name="Normal 2 3 2 22 2 5" xfId="26551" xr:uid="{00000000-0005-0000-0000-0000B7670000}"/>
    <cellStyle name="Normal 2 3 2 22 2 6" xfId="26552" xr:uid="{00000000-0005-0000-0000-0000B8670000}"/>
    <cellStyle name="Normal 2 3 2 22 2 7" xfId="26553" xr:uid="{00000000-0005-0000-0000-0000B9670000}"/>
    <cellStyle name="Normal 2 3 2 22 2 8" xfId="26554" xr:uid="{00000000-0005-0000-0000-0000BA670000}"/>
    <cellStyle name="Normal 2 3 2 22 2 9" xfId="26555" xr:uid="{00000000-0005-0000-0000-0000BB670000}"/>
    <cellStyle name="Normal 2 3 2 22 3" xfId="26556" xr:uid="{00000000-0005-0000-0000-0000BC670000}"/>
    <cellStyle name="Normal 2 3 2 22 3 10" xfId="26557" xr:uid="{00000000-0005-0000-0000-0000BD670000}"/>
    <cellStyle name="Normal 2 3 2 22 3 2" xfId="26558" xr:uid="{00000000-0005-0000-0000-0000BE670000}"/>
    <cellStyle name="Normal 2 3 2 22 3 3" xfId="26559" xr:uid="{00000000-0005-0000-0000-0000BF670000}"/>
    <cellStyle name="Normal 2 3 2 22 3 4" xfId="26560" xr:uid="{00000000-0005-0000-0000-0000C0670000}"/>
    <cellStyle name="Normal 2 3 2 22 3 5" xfId="26561" xr:uid="{00000000-0005-0000-0000-0000C1670000}"/>
    <cellStyle name="Normal 2 3 2 22 3 6" xfId="26562" xr:uid="{00000000-0005-0000-0000-0000C2670000}"/>
    <cellStyle name="Normal 2 3 2 22 3 7" xfId="26563" xr:uid="{00000000-0005-0000-0000-0000C3670000}"/>
    <cellStyle name="Normal 2 3 2 22 3 8" xfId="26564" xr:uid="{00000000-0005-0000-0000-0000C4670000}"/>
    <cellStyle name="Normal 2 3 2 22 3 9" xfId="26565" xr:uid="{00000000-0005-0000-0000-0000C5670000}"/>
    <cellStyle name="Normal 2 3 2 22 4" xfId="26566" xr:uid="{00000000-0005-0000-0000-0000C6670000}"/>
    <cellStyle name="Normal 2 3 2 22 4 10" xfId="26567" xr:uid="{00000000-0005-0000-0000-0000C7670000}"/>
    <cellStyle name="Normal 2 3 2 22 4 2" xfId="26568" xr:uid="{00000000-0005-0000-0000-0000C8670000}"/>
    <cellStyle name="Normal 2 3 2 22 4 3" xfId="26569" xr:uid="{00000000-0005-0000-0000-0000C9670000}"/>
    <cellStyle name="Normal 2 3 2 22 4 4" xfId="26570" xr:uid="{00000000-0005-0000-0000-0000CA670000}"/>
    <cellStyle name="Normal 2 3 2 22 4 5" xfId="26571" xr:uid="{00000000-0005-0000-0000-0000CB670000}"/>
    <cellStyle name="Normal 2 3 2 22 4 6" xfId="26572" xr:uid="{00000000-0005-0000-0000-0000CC670000}"/>
    <cellStyle name="Normal 2 3 2 22 4 7" xfId="26573" xr:uid="{00000000-0005-0000-0000-0000CD670000}"/>
    <cellStyle name="Normal 2 3 2 22 4 8" xfId="26574" xr:uid="{00000000-0005-0000-0000-0000CE670000}"/>
    <cellStyle name="Normal 2 3 2 22 4 9" xfId="26575" xr:uid="{00000000-0005-0000-0000-0000CF670000}"/>
    <cellStyle name="Normal 2 3 2 22 5" xfId="26576" xr:uid="{00000000-0005-0000-0000-0000D0670000}"/>
    <cellStyle name="Normal 2 3 2 22 5 10" xfId="26577" xr:uid="{00000000-0005-0000-0000-0000D1670000}"/>
    <cellStyle name="Normal 2 3 2 22 5 2" xfId="26578" xr:uid="{00000000-0005-0000-0000-0000D2670000}"/>
    <cellStyle name="Normal 2 3 2 22 5 3" xfId="26579" xr:uid="{00000000-0005-0000-0000-0000D3670000}"/>
    <cellStyle name="Normal 2 3 2 22 5 4" xfId="26580" xr:uid="{00000000-0005-0000-0000-0000D4670000}"/>
    <cellStyle name="Normal 2 3 2 22 5 5" xfId="26581" xr:uid="{00000000-0005-0000-0000-0000D5670000}"/>
    <cellStyle name="Normal 2 3 2 22 5 6" xfId="26582" xr:uid="{00000000-0005-0000-0000-0000D6670000}"/>
    <cellStyle name="Normal 2 3 2 22 5 7" xfId="26583" xr:uid="{00000000-0005-0000-0000-0000D7670000}"/>
    <cellStyle name="Normal 2 3 2 22 5 8" xfId="26584" xr:uid="{00000000-0005-0000-0000-0000D8670000}"/>
    <cellStyle name="Normal 2 3 2 22 5 9" xfId="26585" xr:uid="{00000000-0005-0000-0000-0000D9670000}"/>
    <cellStyle name="Normal 2 3 2 22 6" xfId="26586" xr:uid="{00000000-0005-0000-0000-0000DA670000}"/>
    <cellStyle name="Normal 2 3 2 22 7" xfId="26587" xr:uid="{00000000-0005-0000-0000-0000DB670000}"/>
    <cellStyle name="Normal 2 3 2 22 8" xfId="26588" xr:uid="{00000000-0005-0000-0000-0000DC670000}"/>
    <cellStyle name="Normal 2 3 2 22 9" xfId="26589" xr:uid="{00000000-0005-0000-0000-0000DD670000}"/>
    <cellStyle name="Normal 2 3 2 23" xfId="26590" xr:uid="{00000000-0005-0000-0000-0000DE670000}"/>
    <cellStyle name="Normal 2 3 2 23 10" xfId="26591" xr:uid="{00000000-0005-0000-0000-0000DF670000}"/>
    <cellStyle name="Normal 2 3 2 23 11" xfId="26592" xr:uid="{00000000-0005-0000-0000-0000E0670000}"/>
    <cellStyle name="Normal 2 3 2 23 12" xfId="26593" xr:uid="{00000000-0005-0000-0000-0000E1670000}"/>
    <cellStyle name="Normal 2 3 2 23 13" xfId="26594" xr:uid="{00000000-0005-0000-0000-0000E2670000}"/>
    <cellStyle name="Normal 2 3 2 23 14" xfId="26595" xr:uid="{00000000-0005-0000-0000-0000E3670000}"/>
    <cellStyle name="Normal 2 3 2 23 2" xfId="26596" xr:uid="{00000000-0005-0000-0000-0000E4670000}"/>
    <cellStyle name="Normal 2 3 2 23 2 10" xfId="26597" xr:uid="{00000000-0005-0000-0000-0000E5670000}"/>
    <cellStyle name="Normal 2 3 2 23 2 2" xfId="26598" xr:uid="{00000000-0005-0000-0000-0000E6670000}"/>
    <cellStyle name="Normal 2 3 2 23 2 3" xfId="26599" xr:uid="{00000000-0005-0000-0000-0000E7670000}"/>
    <cellStyle name="Normal 2 3 2 23 2 4" xfId="26600" xr:uid="{00000000-0005-0000-0000-0000E8670000}"/>
    <cellStyle name="Normal 2 3 2 23 2 5" xfId="26601" xr:uid="{00000000-0005-0000-0000-0000E9670000}"/>
    <cellStyle name="Normal 2 3 2 23 2 6" xfId="26602" xr:uid="{00000000-0005-0000-0000-0000EA670000}"/>
    <cellStyle name="Normal 2 3 2 23 2 7" xfId="26603" xr:uid="{00000000-0005-0000-0000-0000EB670000}"/>
    <cellStyle name="Normal 2 3 2 23 2 8" xfId="26604" xr:uid="{00000000-0005-0000-0000-0000EC670000}"/>
    <cellStyle name="Normal 2 3 2 23 2 9" xfId="26605" xr:uid="{00000000-0005-0000-0000-0000ED670000}"/>
    <cellStyle name="Normal 2 3 2 23 3" xfId="26606" xr:uid="{00000000-0005-0000-0000-0000EE670000}"/>
    <cellStyle name="Normal 2 3 2 23 3 10" xfId="26607" xr:uid="{00000000-0005-0000-0000-0000EF670000}"/>
    <cellStyle name="Normal 2 3 2 23 3 2" xfId="26608" xr:uid="{00000000-0005-0000-0000-0000F0670000}"/>
    <cellStyle name="Normal 2 3 2 23 3 3" xfId="26609" xr:uid="{00000000-0005-0000-0000-0000F1670000}"/>
    <cellStyle name="Normal 2 3 2 23 3 4" xfId="26610" xr:uid="{00000000-0005-0000-0000-0000F2670000}"/>
    <cellStyle name="Normal 2 3 2 23 3 5" xfId="26611" xr:uid="{00000000-0005-0000-0000-0000F3670000}"/>
    <cellStyle name="Normal 2 3 2 23 3 6" xfId="26612" xr:uid="{00000000-0005-0000-0000-0000F4670000}"/>
    <cellStyle name="Normal 2 3 2 23 3 7" xfId="26613" xr:uid="{00000000-0005-0000-0000-0000F5670000}"/>
    <cellStyle name="Normal 2 3 2 23 3 8" xfId="26614" xr:uid="{00000000-0005-0000-0000-0000F6670000}"/>
    <cellStyle name="Normal 2 3 2 23 3 9" xfId="26615" xr:uid="{00000000-0005-0000-0000-0000F7670000}"/>
    <cellStyle name="Normal 2 3 2 23 4" xfId="26616" xr:uid="{00000000-0005-0000-0000-0000F8670000}"/>
    <cellStyle name="Normal 2 3 2 23 4 10" xfId="26617" xr:uid="{00000000-0005-0000-0000-0000F9670000}"/>
    <cellStyle name="Normal 2 3 2 23 4 2" xfId="26618" xr:uid="{00000000-0005-0000-0000-0000FA670000}"/>
    <cellStyle name="Normal 2 3 2 23 4 3" xfId="26619" xr:uid="{00000000-0005-0000-0000-0000FB670000}"/>
    <cellStyle name="Normal 2 3 2 23 4 4" xfId="26620" xr:uid="{00000000-0005-0000-0000-0000FC670000}"/>
    <cellStyle name="Normal 2 3 2 23 4 5" xfId="26621" xr:uid="{00000000-0005-0000-0000-0000FD670000}"/>
    <cellStyle name="Normal 2 3 2 23 4 6" xfId="26622" xr:uid="{00000000-0005-0000-0000-0000FE670000}"/>
    <cellStyle name="Normal 2 3 2 23 4 7" xfId="26623" xr:uid="{00000000-0005-0000-0000-0000FF670000}"/>
    <cellStyle name="Normal 2 3 2 23 4 8" xfId="26624" xr:uid="{00000000-0005-0000-0000-000000680000}"/>
    <cellStyle name="Normal 2 3 2 23 4 9" xfId="26625" xr:uid="{00000000-0005-0000-0000-000001680000}"/>
    <cellStyle name="Normal 2 3 2 23 5" xfId="26626" xr:uid="{00000000-0005-0000-0000-000002680000}"/>
    <cellStyle name="Normal 2 3 2 23 5 10" xfId="26627" xr:uid="{00000000-0005-0000-0000-000003680000}"/>
    <cellStyle name="Normal 2 3 2 23 5 2" xfId="26628" xr:uid="{00000000-0005-0000-0000-000004680000}"/>
    <cellStyle name="Normal 2 3 2 23 5 3" xfId="26629" xr:uid="{00000000-0005-0000-0000-000005680000}"/>
    <cellStyle name="Normal 2 3 2 23 5 4" xfId="26630" xr:uid="{00000000-0005-0000-0000-000006680000}"/>
    <cellStyle name="Normal 2 3 2 23 5 5" xfId="26631" xr:uid="{00000000-0005-0000-0000-000007680000}"/>
    <cellStyle name="Normal 2 3 2 23 5 6" xfId="26632" xr:uid="{00000000-0005-0000-0000-000008680000}"/>
    <cellStyle name="Normal 2 3 2 23 5 7" xfId="26633" xr:uid="{00000000-0005-0000-0000-000009680000}"/>
    <cellStyle name="Normal 2 3 2 23 5 8" xfId="26634" xr:uid="{00000000-0005-0000-0000-00000A680000}"/>
    <cellStyle name="Normal 2 3 2 23 5 9" xfId="26635" xr:uid="{00000000-0005-0000-0000-00000B680000}"/>
    <cellStyle name="Normal 2 3 2 23 6" xfId="26636" xr:uid="{00000000-0005-0000-0000-00000C680000}"/>
    <cellStyle name="Normal 2 3 2 23 7" xfId="26637" xr:uid="{00000000-0005-0000-0000-00000D680000}"/>
    <cellStyle name="Normal 2 3 2 23 8" xfId="26638" xr:uid="{00000000-0005-0000-0000-00000E680000}"/>
    <cellStyle name="Normal 2 3 2 23 9" xfId="26639" xr:uid="{00000000-0005-0000-0000-00000F680000}"/>
    <cellStyle name="Normal 2 3 2 24" xfId="26640" xr:uid="{00000000-0005-0000-0000-000010680000}"/>
    <cellStyle name="Normal 2 3 2 24 10" xfId="26641" xr:uid="{00000000-0005-0000-0000-000011680000}"/>
    <cellStyle name="Normal 2 3 2 24 11" xfId="26642" xr:uid="{00000000-0005-0000-0000-000012680000}"/>
    <cellStyle name="Normal 2 3 2 24 12" xfId="26643" xr:uid="{00000000-0005-0000-0000-000013680000}"/>
    <cellStyle name="Normal 2 3 2 24 13" xfId="26644" xr:uid="{00000000-0005-0000-0000-000014680000}"/>
    <cellStyle name="Normal 2 3 2 24 14" xfId="26645" xr:uid="{00000000-0005-0000-0000-000015680000}"/>
    <cellStyle name="Normal 2 3 2 24 2" xfId="26646" xr:uid="{00000000-0005-0000-0000-000016680000}"/>
    <cellStyle name="Normal 2 3 2 24 2 10" xfId="26647" xr:uid="{00000000-0005-0000-0000-000017680000}"/>
    <cellStyle name="Normal 2 3 2 24 2 2" xfId="26648" xr:uid="{00000000-0005-0000-0000-000018680000}"/>
    <cellStyle name="Normal 2 3 2 24 2 3" xfId="26649" xr:uid="{00000000-0005-0000-0000-000019680000}"/>
    <cellStyle name="Normal 2 3 2 24 2 4" xfId="26650" xr:uid="{00000000-0005-0000-0000-00001A680000}"/>
    <cellStyle name="Normal 2 3 2 24 2 5" xfId="26651" xr:uid="{00000000-0005-0000-0000-00001B680000}"/>
    <cellStyle name="Normal 2 3 2 24 2 6" xfId="26652" xr:uid="{00000000-0005-0000-0000-00001C680000}"/>
    <cellStyle name="Normal 2 3 2 24 2 7" xfId="26653" xr:uid="{00000000-0005-0000-0000-00001D680000}"/>
    <cellStyle name="Normal 2 3 2 24 2 8" xfId="26654" xr:uid="{00000000-0005-0000-0000-00001E680000}"/>
    <cellStyle name="Normal 2 3 2 24 2 9" xfId="26655" xr:uid="{00000000-0005-0000-0000-00001F680000}"/>
    <cellStyle name="Normal 2 3 2 24 3" xfId="26656" xr:uid="{00000000-0005-0000-0000-000020680000}"/>
    <cellStyle name="Normal 2 3 2 24 3 10" xfId="26657" xr:uid="{00000000-0005-0000-0000-000021680000}"/>
    <cellStyle name="Normal 2 3 2 24 3 2" xfId="26658" xr:uid="{00000000-0005-0000-0000-000022680000}"/>
    <cellStyle name="Normal 2 3 2 24 3 3" xfId="26659" xr:uid="{00000000-0005-0000-0000-000023680000}"/>
    <cellStyle name="Normal 2 3 2 24 3 4" xfId="26660" xr:uid="{00000000-0005-0000-0000-000024680000}"/>
    <cellStyle name="Normal 2 3 2 24 3 5" xfId="26661" xr:uid="{00000000-0005-0000-0000-000025680000}"/>
    <cellStyle name="Normal 2 3 2 24 3 6" xfId="26662" xr:uid="{00000000-0005-0000-0000-000026680000}"/>
    <cellStyle name="Normal 2 3 2 24 3 7" xfId="26663" xr:uid="{00000000-0005-0000-0000-000027680000}"/>
    <cellStyle name="Normal 2 3 2 24 3 8" xfId="26664" xr:uid="{00000000-0005-0000-0000-000028680000}"/>
    <cellStyle name="Normal 2 3 2 24 3 9" xfId="26665" xr:uid="{00000000-0005-0000-0000-000029680000}"/>
    <cellStyle name="Normal 2 3 2 24 4" xfId="26666" xr:uid="{00000000-0005-0000-0000-00002A680000}"/>
    <cellStyle name="Normal 2 3 2 24 4 10" xfId="26667" xr:uid="{00000000-0005-0000-0000-00002B680000}"/>
    <cellStyle name="Normal 2 3 2 24 4 2" xfId="26668" xr:uid="{00000000-0005-0000-0000-00002C680000}"/>
    <cellStyle name="Normal 2 3 2 24 4 3" xfId="26669" xr:uid="{00000000-0005-0000-0000-00002D680000}"/>
    <cellStyle name="Normal 2 3 2 24 4 4" xfId="26670" xr:uid="{00000000-0005-0000-0000-00002E680000}"/>
    <cellStyle name="Normal 2 3 2 24 4 5" xfId="26671" xr:uid="{00000000-0005-0000-0000-00002F680000}"/>
    <cellStyle name="Normal 2 3 2 24 4 6" xfId="26672" xr:uid="{00000000-0005-0000-0000-000030680000}"/>
    <cellStyle name="Normal 2 3 2 24 4 7" xfId="26673" xr:uid="{00000000-0005-0000-0000-000031680000}"/>
    <cellStyle name="Normal 2 3 2 24 4 8" xfId="26674" xr:uid="{00000000-0005-0000-0000-000032680000}"/>
    <cellStyle name="Normal 2 3 2 24 4 9" xfId="26675" xr:uid="{00000000-0005-0000-0000-000033680000}"/>
    <cellStyle name="Normal 2 3 2 24 5" xfId="26676" xr:uid="{00000000-0005-0000-0000-000034680000}"/>
    <cellStyle name="Normal 2 3 2 24 5 10" xfId="26677" xr:uid="{00000000-0005-0000-0000-000035680000}"/>
    <cellStyle name="Normal 2 3 2 24 5 2" xfId="26678" xr:uid="{00000000-0005-0000-0000-000036680000}"/>
    <cellStyle name="Normal 2 3 2 24 5 3" xfId="26679" xr:uid="{00000000-0005-0000-0000-000037680000}"/>
    <cellStyle name="Normal 2 3 2 24 5 4" xfId="26680" xr:uid="{00000000-0005-0000-0000-000038680000}"/>
    <cellStyle name="Normal 2 3 2 24 5 5" xfId="26681" xr:uid="{00000000-0005-0000-0000-000039680000}"/>
    <cellStyle name="Normal 2 3 2 24 5 6" xfId="26682" xr:uid="{00000000-0005-0000-0000-00003A680000}"/>
    <cellStyle name="Normal 2 3 2 24 5 7" xfId="26683" xr:uid="{00000000-0005-0000-0000-00003B680000}"/>
    <cellStyle name="Normal 2 3 2 24 5 8" xfId="26684" xr:uid="{00000000-0005-0000-0000-00003C680000}"/>
    <cellStyle name="Normal 2 3 2 24 5 9" xfId="26685" xr:uid="{00000000-0005-0000-0000-00003D680000}"/>
    <cellStyle name="Normal 2 3 2 24 6" xfId="26686" xr:uid="{00000000-0005-0000-0000-00003E680000}"/>
    <cellStyle name="Normal 2 3 2 24 7" xfId="26687" xr:uid="{00000000-0005-0000-0000-00003F680000}"/>
    <cellStyle name="Normal 2 3 2 24 8" xfId="26688" xr:uid="{00000000-0005-0000-0000-000040680000}"/>
    <cellStyle name="Normal 2 3 2 24 9" xfId="26689" xr:uid="{00000000-0005-0000-0000-000041680000}"/>
    <cellStyle name="Normal 2 3 2 25" xfId="26690" xr:uid="{00000000-0005-0000-0000-000042680000}"/>
    <cellStyle name="Normal 2 3 2 25 10" xfId="26691" xr:uid="{00000000-0005-0000-0000-000043680000}"/>
    <cellStyle name="Normal 2 3 2 25 11" xfId="26692" xr:uid="{00000000-0005-0000-0000-000044680000}"/>
    <cellStyle name="Normal 2 3 2 25 12" xfId="26693" xr:uid="{00000000-0005-0000-0000-000045680000}"/>
    <cellStyle name="Normal 2 3 2 25 13" xfId="26694" xr:uid="{00000000-0005-0000-0000-000046680000}"/>
    <cellStyle name="Normal 2 3 2 25 14" xfId="26695" xr:uid="{00000000-0005-0000-0000-000047680000}"/>
    <cellStyle name="Normal 2 3 2 25 2" xfId="26696" xr:uid="{00000000-0005-0000-0000-000048680000}"/>
    <cellStyle name="Normal 2 3 2 25 2 10" xfId="26697" xr:uid="{00000000-0005-0000-0000-000049680000}"/>
    <cellStyle name="Normal 2 3 2 25 2 2" xfId="26698" xr:uid="{00000000-0005-0000-0000-00004A680000}"/>
    <cellStyle name="Normal 2 3 2 25 2 3" xfId="26699" xr:uid="{00000000-0005-0000-0000-00004B680000}"/>
    <cellStyle name="Normal 2 3 2 25 2 4" xfId="26700" xr:uid="{00000000-0005-0000-0000-00004C680000}"/>
    <cellStyle name="Normal 2 3 2 25 2 5" xfId="26701" xr:uid="{00000000-0005-0000-0000-00004D680000}"/>
    <cellStyle name="Normal 2 3 2 25 2 6" xfId="26702" xr:uid="{00000000-0005-0000-0000-00004E680000}"/>
    <cellStyle name="Normal 2 3 2 25 2 7" xfId="26703" xr:uid="{00000000-0005-0000-0000-00004F680000}"/>
    <cellStyle name="Normal 2 3 2 25 2 8" xfId="26704" xr:uid="{00000000-0005-0000-0000-000050680000}"/>
    <cellStyle name="Normal 2 3 2 25 2 9" xfId="26705" xr:uid="{00000000-0005-0000-0000-000051680000}"/>
    <cellStyle name="Normal 2 3 2 25 3" xfId="26706" xr:uid="{00000000-0005-0000-0000-000052680000}"/>
    <cellStyle name="Normal 2 3 2 25 3 10" xfId="26707" xr:uid="{00000000-0005-0000-0000-000053680000}"/>
    <cellStyle name="Normal 2 3 2 25 3 2" xfId="26708" xr:uid="{00000000-0005-0000-0000-000054680000}"/>
    <cellStyle name="Normal 2 3 2 25 3 3" xfId="26709" xr:uid="{00000000-0005-0000-0000-000055680000}"/>
    <cellStyle name="Normal 2 3 2 25 3 4" xfId="26710" xr:uid="{00000000-0005-0000-0000-000056680000}"/>
    <cellStyle name="Normal 2 3 2 25 3 5" xfId="26711" xr:uid="{00000000-0005-0000-0000-000057680000}"/>
    <cellStyle name="Normal 2 3 2 25 3 6" xfId="26712" xr:uid="{00000000-0005-0000-0000-000058680000}"/>
    <cellStyle name="Normal 2 3 2 25 3 7" xfId="26713" xr:uid="{00000000-0005-0000-0000-000059680000}"/>
    <cellStyle name="Normal 2 3 2 25 3 8" xfId="26714" xr:uid="{00000000-0005-0000-0000-00005A680000}"/>
    <cellStyle name="Normal 2 3 2 25 3 9" xfId="26715" xr:uid="{00000000-0005-0000-0000-00005B680000}"/>
    <cellStyle name="Normal 2 3 2 25 4" xfId="26716" xr:uid="{00000000-0005-0000-0000-00005C680000}"/>
    <cellStyle name="Normal 2 3 2 25 4 10" xfId="26717" xr:uid="{00000000-0005-0000-0000-00005D680000}"/>
    <cellStyle name="Normal 2 3 2 25 4 2" xfId="26718" xr:uid="{00000000-0005-0000-0000-00005E680000}"/>
    <cellStyle name="Normal 2 3 2 25 4 3" xfId="26719" xr:uid="{00000000-0005-0000-0000-00005F680000}"/>
    <cellStyle name="Normal 2 3 2 25 4 4" xfId="26720" xr:uid="{00000000-0005-0000-0000-000060680000}"/>
    <cellStyle name="Normal 2 3 2 25 4 5" xfId="26721" xr:uid="{00000000-0005-0000-0000-000061680000}"/>
    <cellStyle name="Normal 2 3 2 25 4 6" xfId="26722" xr:uid="{00000000-0005-0000-0000-000062680000}"/>
    <cellStyle name="Normal 2 3 2 25 4 7" xfId="26723" xr:uid="{00000000-0005-0000-0000-000063680000}"/>
    <cellStyle name="Normal 2 3 2 25 4 8" xfId="26724" xr:uid="{00000000-0005-0000-0000-000064680000}"/>
    <cellStyle name="Normal 2 3 2 25 4 9" xfId="26725" xr:uid="{00000000-0005-0000-0000-000065680000}"/>
    <cellStyle name="Normal 2 3 2 25 5" xfId="26726" xr:uid="{00000000-0005-0000-0000-000066680000}"/>
    <cellStyle name="Normal 2 3 2 25 5 10" xfId="26727" xr:uid="{00000000-0005-0000-0000-000067680000}"/>
    <cellStyle name="Normal 2 3 2 25 5 2" xfId="26728" xr:uid="{00000000-0005-0000-0000-000068680000}"/>
    <cellStyle name="Normal 2 3 2 25 5 3" xfId="26729" xr:uid="{00000000-0005-0000-0000-000069680000}"/>
    <cellStyle name="Normal 2 3 2 25 5 4" xfId="26730" xr:uid="{00000000-0005-0000-0000-00006A680000}"/>
    <cellStyle name="Normal 2 3 2 25 5 5" xfId="26731" xr:uid="{00000000-0005-0000-0000-00006B680000}"/>
    <cellStyle name="Normal 2 3 2 25 5 6" xfId="26732" xr:uid="{00000000-0005-0000-0000-00006C680000}"/>
    <cellStyle name="Normal 2 3 2 25 5 7" xfId="26733" xr:uid="{00000000-0005-0000-0000-00006D680000}"/>
    <cellStyle name="Normal 2 3 2 25 5 8" xfId="26734" xr:uid="{00000000-0005-0000-0000-00006E680000}"/>
    <cellStyle name="Normal 2 3 2 25 5 9" xfId="26735" xr:uid="{00000000-0005-0000-0000-00006F680000}"/>
    <cellStyle name="Normal 2 3 2 25 6" xfId="26736" xr:uid="{00000000-0005-0000-0000-000070680000}"/>
    <cellStyle name="Normal 2 3 2 25 7" xfId="26737" xr:uid="{00000000-0005-0000-0000-000071680000}"/>
    <cellStyle name="Normal 2 3 2 25 8" xfId="26738" xr:uid="{00000000-0005-0000-0000-000072680000}"/>
    <cellStyle name="Normal 2 3 2 25 9" xfId="26739" xr:uid="{00000000-0005-0000-0000-000073680000}"/>
    <cellStyle name="Normal 2 3 2 26" xfId="26740" xr:uid="{00000000-0005-0000-0000-000074680000}"/>
    <cellStyle name="Normal 2 3 2 26 10" xfId="26741" xr:uid="{00000000-0005-0000-0000-000075680000}"/>
    <cellStyle name="Normal 2 3 2 26 11" xfId="26742" xr:uid="{00000000-0005-0000-0000-000076680000}"/>
    <cellStyle name="Normal 2 3 2 26 12" xfId="26743" xr:uid="{00000000-0005-0000-0000-000077680000}"/>
    <cellStyle name="Normal 2 3 2 26 13" xfId="26744" xr:uid="{00000000-0005-0000-0000-000078680000}"/>
    <cellStyle name="Normal 2 3 2 26 14" xfId="26745" xr:uid="{00000000-0005-0000-0000-000079680000}"/>
    <cellStyle name="Normal 2 3 2 26 2" xfId="26746" xr:uid="{00000000-0005-0000-0000-00007A680000}"/>
    <cellStyle name="Normal 2 3 2 26 2 10" xfId="26747" xr:uid="{00000000-0005-0000-0000-00007B680000}"/>
    <cellStyle name="Normal 2 3 2 26 2 2" xfId="26748" xr:uid="{00000000-0005-0000-0000-00007C680000}"/>
    <cellStyle name="Normal 2 3 2 26 2 3" xfId="26749" xr:uid="{00000000-0005-0000-0000-00007D680000}"/>
    <cellStyle name="Normal 2 3 2 26 2 4" xfId="26750" xr:uid="{00000000-0005-0000-0000-00007E680000}"/>
    <cellStyle name="Normal 2 3 2 26 2 5" xfId="26751" xr:uid="{00000000-0005-0000-0000-00007F680000}"/>
    <cellStyle name="Normal 2 3 2 26 2 6" xfId="26752" xr:uid="{00000000-0005-0000-0000-000080680000}"/>
    <cellStyle name="Normal 2 3 2 26 2 7" xfId="26753" xr:uid="{00000000-0005-0000-0000-000081680000}"/>
    <cellStyle name="Normal 2 3 2 26 2 8" xfId="26754" xr:uid="{00000000-0005-0000-0000-000082680000}"/>
    <cellStyle name="Normal 2 3 2 26 2 9" xfId="26755" xr:uid="{00000000-0005-0000-0000-000083680000}"/>
    <cellStyle name="Normal 2 3 2 26 3" xfId="26756" xr:uid="{00000000-0005-0000-0000-000084680000}"/>
    <cellStyle name="Normal 2 3 2 26 3 10" xfId="26757" xr:uid="{00000000-0005-0000-0000-000085680000}"/>
    <cellStyle name="Normal 2 3 2 26 3 2" xfId="26758" xr:uid="{00000000-0005-0000-0000-000086680000}"/>
    <cellStyle name="Normal 2 3 2 26 3 3" xfId="26759" xr:uid="{00000000-0005-0000-0000-000087680000}"/>
    <cellStyle name="Normal 2 3 2 26 3 4" xfId="26760" xr:uid="{00000000-0005-0000-0000-000088680000}"/>
    <cellStyle name="Normal 2 3 2 26 3 5" xfId="26761" xr:uid="{00000000-0005-0000-0000-000089680000}"/>
    <cellStyle name="Normal 2 3 2 26 3 6" xfId="26762" xr:uid="{00000000-0005-0000-0000-00008A680000}"/>
    <cellStyle name="Normal 2 3 2 26 3 7" xfId="26763" xr:uid="{00000000-0005-0000-0000-00008B680000}"/>
    <cellStyle name="Normal 2 3 2 26 3 8" xfId="26764" xr:uid="{00000000-0005-0000-0000-00008C680000}"/>
    <cellStyle name="Normal 2 3 2 26 3 9" xfId="26765" xr:uid="{00000000-0005-0000-0000-00008D680000}"/>
    <cellStyle name="Normal 2 3 2 26 4" xfId="26766" xr:uid="{00000000-0005-0000-0000-00008E680000}"/>
    <cellStyle name="Normal 2 3 2 26 4 10" xfId="26767" xr:uid="{00000000-0005-0000-0000-00008F680000}"/>
    <cellStyle name="Normal 2 3 2 26 4 2" xfId="26768" xr:uid="{00000000-0005-0000-0000-000090680000}"/>
    <cellStyle name="Normal 2 3 2 26 4 3" xfId="26769" xr:uid="{00000000-0005-0000-0000-000091680000}"/>
    <cellStyle name="Normal 2 3 2 26 4 4" xfId="26770" xr:uid="{00000000-0005-0000-0000-000092680000}"/>
    <cellStyle name="Normal 2 3 2 26 4 5" xfId="26771" xr:uid="{00000000-0005-0000-0000-000093680000}"/>
    <cellStyle name="Normal 2 3 2 26 4 6" xfId="26772" xr:uid="{00000000-0005-0000-0000-000094680000}"/>
    <cellStyle name="Normal 2 3 2 26 4 7" xfId="26773" xr:uid="{00000000-0005-0000-0000-000095680000}"/>
    <cellStyle name="Normal 2 3 2 26 4 8" xfId="26774" xr:uid="{00000000-0005-0000-0000-000096680000}"/>
    <cellStyle name="Normal 2 3 2 26 4 9" xfId="26775" xr:uid="{00000000-0005-0000-0000-000097680000}"/>
    <cellStyle name="Normal 2 3 2 26 5" xfId="26776" xr:uid="{00000000-0005-0000-0000-000098680000}"/>
    <cellStyle name="Normal 2 3 2 26 5 10" xfId="26777" xr:uid="{00000000-0005-0000-0000-000099680000}"/>
    <cellStyle name="Normal 2 3 2 26 5 2" xfId="26778" xr:uid="{00000000-0005-0000-0000-00009A680000}"/>
    <cellStyle name="Normal 2 3 2 26 5 3" xfId="26779" xr:uid="{00000000-0005-0000-0000-00009B680000}"/>
    <cellStyle name="Normal 2 3 2 26 5 4" xfId="26780" xr:uid="{00000000-0005-0000-0000-00009C680000}"/>
    <cellStyle name="Normal 2 3 2 26 5 5" xfId="26781" xr:uid="{00000000-0005-0000-0000-00009D680000}"/>
    <cellStyle name="Normal 2 3 2 26 5 6" xfId="26782" xr:uid="{00000000-0005-0000-0000-00009E680000}"/>
    <cellStyle name="Normal 2 3 2 26 5 7" xfId="26783" xr:uid="{00000000-0005-0000-0000-00009F680000}"/>
    <cellStyle name="Normal 2 3 2 26 5 8" xfId="26784" xr:uid="{00000000-0005-0000-0000-0000A0680000}"/>
    <cellStyle name="Normal 2 3 2 26 5 9" xfId="26785" xr:uid="{00000000-0005-0000-0000-0000A1680000}"/>
    <cellStyle name="Normal 2 3 2 26 6" xfId="26786" xr:uid="{00000000-0005-0000-0000-0000A2680000}"/>
    <cellStyle name="Normal 2 3 2 26 7" xfId="26787" xr:uid="{00000000-0005-0000-0000-0000A3680000}"/>
    <cellStyle name="Normal 2 3 2 26 8" xfId="26788" xr:uid="{00000000-0005-0000-0000-0000A4680000}"/>
    <cellStyle name="Normal 2 3 2 26 9" xfId="26789" xr:uid="{00000000-0005-0000-0000-0000A5680000}"/>
    <cellStyle name="Normal 2 3 2 27" xfId="26790" xr:uid="{00000000-0005-0000-0000-0000A6680000}"/>
    <cellStyle name="Normal 2 3 2 27 10" xfId="26791" xr:uid="{00000000-0005-0000-0000-0000A7680000}"/>
    <cellStyle name="Normal 2 3 2 27 11" xfId="26792" xr:uid="{00000000-0005-0000-0000-0000A8680000}"/>
    <cellStyle name="Normal 2 3 2 27 12" xfId="26793" xr:uid="{00000000-0005-0000-0000-0000A9680000}"/>
    <cellStyle name="Normal 2 3 2 27 13" xfId="26794" xr:uid="{00000000-0005-0000-0000-0000AA680000}"/>
    <cellStyle name="Normal 2 3 2 27 14" xfId="26795" xr:uid="{00000000-0005-0000-0000-0000AB680000}"/>
    <cellStyle name="Normal 2 3 2 27 2" xfId="26796" xr:uid="{00000000-0005-0000-0000-0000AC680000}"/>
    <cellStyle name="Normal 2 3 2 27 2 10" xfId="26797" xr:uid="{00000000-0005-0000-0000-0000AD680000}"/>
    <cellStyle name="Normal 2 3 2 27 2 2" xfId="26798" xr:uid="{00000000-0005-0000-0000-0000AE680000}"/>
    <cellStyle name="Normal 2 3 2 27 2 3" xfId="26799" xr:uid="{00000000-0005-0000-0000-0000AF680000}"/>
    <cellStyle name="Normal 2 3 2 27 2 4" xfId="26800" xr:uid="{00000000-0005-0000-0000-0000B0680000}"/>
    <cellStyle name="Normal 2 3 2 27 2 5" xfId="26801" xr:uid="{00000000-0005-0000-0000-0000B1680000}"/>
    <cellStyle name="Normal 2 3 2 27 2 6" xfId="26802" xr:uid="{00000000-0005-0000-0000-0000B2680000}"/>
    <cellStyle name="Normal 2 3 2 27 2 7" xfId="26803" xr:uid="{00000000-0005-0000-0000-0000B3680000}"/>
    <cellStyle name="Normal 2 3 2 27 2 8" xfId="26804" xr:uid="{00000000-0005-0000-0000-0000B4680000}"/>
    <cellStyle name="Normal 2 3 2 27 2 9" xfId="26805" xr:uid="{00000000-0005-0000-0000-0000B5680000}"/>
    <cellStyle name="Normal 2 3 2 27 3" xfId="26806" xr:uid="{00000000-0005-0000-0000-0000B6680000}"/>
    <cellStyle name="Normal 2 3 2 27 3 10" xfId="26807" xr:uid="{00000000-0005-0000-0000-0000B7680000}"/>
    <cellStyle name="Normal 2 3 2 27 3 2" xfId="26808" xr:uid="{00000000-0005-0000-0000-0000B8680000}"/>
    <cellStyle name="Normal 2 3 2 27 3 3" xfId="26809" xr:uid="{00000000-0005-0000-0000-0000B9680000}"/>
    <cellStyle name="Normal 2 3 2 27 3 4" xfId="26810" xr:uid="{00000000-0005-0000-0000-0000BA680000}"/>
    <cellStyle name="Normal 2 3 2 27 3 5" xfId="26811" xr:uid="{00000000-0005-0000-0000-0000BB680000}"/>
    <cellStyle name="Normal 2 3 2 27 3 6" xfId="26812" xr:uid="{00000000-0005-0000-0000-0000BC680000}"/>
    <cellStyle name="Normal 2 3 2 27 3 7" xfId="26813" xr:uid="{00000000-0005-0000-0000-0000BD680000}"/>
    <cellStyle name="Normal 2 3 2 27 3 8" xfId="26814" xr:uid="{00000000-0005-0000-0000-0000BE680000}"/>
    <cellStyle name="Normal 2 3 2 27 3 9" xfId="26815" xr:uid="{00000000-0005-0000-0000-0000BF680000}"/>
    <cellStyle name="Normal 2 3 2 27 4" xfId="26816" xr:uid="{00000000-0005-0000-0000-0000C0680000}"/>
    <cellStyle name="Normal 2 3 2 27 4 10" xfId="26817" xr:uid="{00000000-0005-0000-0000-0000C1680000}"/>
    <cellStyle name="Normal 2 3 2 27 4 2" xfId="26818" xr:uid="{00000000-0005-0000-0000-0000C2680000}"/>
    <cellStyle name="Normal 2 3 2 27 4 3" xfId="26819" xr:uid="{00000000-0005-0000-0000-0000C3680000}"/>
    <cellStyle name="Normal 2 3 2 27 4 4" xfId="26820" xr:uid="{00000000-0005-0000-0000-0000C4680000}"/>
    <cellStyle name="Normal 2 3 2 27 4 5" xfId="26821" xr:uid="{00000000-0005-0000-0000-0000C5680000}"/>
    <cellStyle name="Normal 2 3 2 27 4 6" xfId="26822" xr:uid="{00000000-0005-0000-0000-0000C6680000}"/>
    <cellStyle name="Normal 2 3 2 27 4 7" xfId="26823" xr:uid="{00000000-0005-0000-0000-0000C7680000}"/>
    <cellStyle name="Normal 2 3 2 27 4 8" xfId="26824" xr:uid="{00000000-0005-0000-0000-0000C8680000}"/>
    <cellStyle name="Normal 2 3 2 27 4 9" xfId="26825" xr:uid="{00000000-0005-0000-0000-0000C9680000}"/>
    <cellStyle name="Normal 2 3 2 27 5" xfId="26826" xr:uid="{00000000-0005-0000-0000-0000CA680000}"/>
    <cellStyle name="Normal 2 3 2 27 5 10" xfId="26827" xr:uid="{00000000-0005-0000-0000-0000CB680000}"/>
    <cellStyle name="Normal 2 3 2 27 5 2" xfId="26828" xr:uid="{00000000-0005-0000-0000-0000CC680000}"/>
    <cellStyle name="Normal 2 3 2 27 5 3" xfId="26829" xr:uid="{00000000-0005-0000-0000-0000CD680000}"/>
    <cellStyle name="Normal 2 3 2 27 5 4" xfId="26830" xr:uid="{00000000-0005-0000-0000-0000CE680000}"/>
    <cellStyle name="Normal 2 3 2 27 5 5" xfId="26831" xr:uid="{00000000-0005-0000-0000-0000CF680000}"/>
    <cellStyle name="Normal 2 3 2 27 5 6" xfId="26832" xr:uid="{00000000-0005-0000-0000-0000D0680000}"/>
    <cellStyle name="Normal 2 3 2 27 5 7" xfId="26833" xr:uid="{00000000-0005-0000-0000-0000D1680000}"/>
    <cellStyle name="Normal 2 3 2 27 5 8" xfId="26834" xr:uid="{00000000-0005-0000-0000-0000D2680000}"/>
    <cellStyle name="Normal 2 3 2 27 5 9" xfId="26835" xr:uid="{00000000-0005-0000-0000-0000D3680000}"/>
    <cellStyle name="Normal 2 3 2 27 6" xfId="26836" xr:uid="{00000000-0005-0000-0000-0000D4680000}"/>
    <cellStyle name="Normal 2 3 2 27 7" xfId="26837" xr:uid="{00000000-0005-0000-0000-0000D5680000}"/>
    <cellStyle name="Normal 2 3 2 27 8" xfId="26838" xr:uid="{00000000-0005-0000-0000-0000D6680000}"/>
    <cellStyle name="Normal 2 3 2 27 9" xfId="26839" xr:uid="{00000000-0005-0000-0000-0000D7680000}"/>
    <cellStyle name="Normal 2 3 2 28" xfId="26840" xr:uid="{00000000-0005-0000-0000-0000D8680000}"/>
    <cellStyle name="Normal 2 3 2 28 10" xfId="26841" xr:uid="{00000000-0005-0000-0000-0000D9680000}"/>
    <cellStyle name="Normal 2 3 2 28 11" xfId="26842" xr:uid="{00000000-0005-0000-0000-0000DA680000}"/>
    <cellStyle name="Normal 2 3 2 28 12" xfId="26843" xr:uid="{00000000-0005-0000-0000-0000DB680000}"/>
    <cellStyle name="Normal 2 3 2 28 13" xfId="26844" xr:uid="{00000000-0005-0000-0000-0000DC680000}"/>
    <cellStyle name="Normal 2 3 2 28 14" xfId="26845" xr:uid="{00000000-0005-0000-0000-0000DD680000}"/>
    <cellStyle name="Normal 2 3 2 28 2" xfId="26846" xr:uid="{00000000-0005-0000-0000-0000DE680000}"/>
    <cellStyle name="Normal 2 3 2 28 2 10" xfId="26847" xr:uid="{00000000-0005-0000-0000-0000DF680000}"/>
    <cellStyle name="Normal 2 3 2 28 2 2" xfId="26848" xr:uid="{00000000-0005-0000-0000-0000E0680000}"/>
    <cellStyle name="Normal 2 3 2 28 2 3" xfId="26849" xr:uid="{00000000-0005-0000-0000-0000E1680000}"/>
    <cellStyle name="Normal 2 3 2 28 2 4" xfId="26850" xr:uid="{00000000-0005-0000-0000-0000E2680000}"/>
    <cellStyle name="Normal 2 3 2 28 2 5" xfId="26851" xr:uid="{00000000-0005-0000-0000-0000E3680000}"/>
    <cellStyle name="Normal 2 3 2 28 2 6" xfId="26852" xr:uid="{00000000-0005-0000-0000-0000E4680000}"/>
    <cellStyle name="Normal 2 3 2 28 2 7" xfId="26853" xr:uid="{00000000-0005-0000-0000-0000E5680000}"/>
    <cellStyle name="Normal 2 3 2 28 2 8" xfId="26854" xr:uid="{00000000-0005-0000-0000-0000E6680000}"/>
    <cellStyle name="Normal 2 3 2 28 2 9" xfId="26855" xr:uid="{00000000-0005-0000-0000-0000E7680000}"/>
    <cellStyle name="Normal 2 3 2 28 3" xfId="26856" xr:uid="{00000000-0005-0000-0000-0000E8680000}"/>
    <cellStyle name="Normal 2 3 2 28 3 10" xfId="26857" xr:uid="{00000000-0005-0000-0000-0000E9680000}"/>
    <cellStyle name="Normal 2 3 2 28 3 2" xfId="26858" xr:uid="{00000000-0005-0000-0000-0000EA680000}"/>
    <cellStyle name="Normal 2 3 2 28 3 3" xfId="26859" xr:uid="{00000000-0005-0000-0000-0000EB680000}"/>
    <cellStyle name="Normal 2 3 2 28 3 4" xfId="26860" xr:uid="{00000000-0005-0000-0000-0000EC680000}"/>
    <cellStyle name="Normal 2 3 2 28 3 5" xfId="26861" xr:uid="{00000000-0005-0000-0000-0000ED680000}"/>
    <cellStyle name="Normal 2 3 2 28 3 6" xfId="26862" xr:uid="{00000000-0005-0000-0000-0000EE680000}"/>
    <cellStyle name="Normal 2 3 2 28 3 7" xfId="26863" xr:uid="{00000000-0005-0000-0000-0000EF680000}"/>
    <cellStyle name="Normal 2 3 2 28 3 8" xfId="26864" xr:uid="{00000000-0005-0000-0000-0000F0680000}"/>
    <cellStyle name="Normal 2 3 2 28 3 9" xfId="26865" xr:uid="{00000000-0005-0000-0000-0000F1680000}"/>
    <cellStyle name="Normal 2 3 2 28 4" xfId="26866" xr:uid="{00000000-0005-0000-0000-0000F2680000}"/>
    <cellStyle name="Normal 2 3 2 28 4 10" xfId="26867" xr:uid="{00000000-0005-0000-0000-0000F3680000}"/>
    <cellStyle name="Normal 2 3 2 28 4 2" xfId="26868" xr:uid="{00000000-0005-0000-0000-0000F4680000}"/>
    <cellStyle name="Normal 2 3 2 28 4 3" xfId="26869" xr:uid="{00000000-0005-0000-0000-0000F5680000}"/>
    <cellStyle name="Normal 2 3 2 28 4 4" xfId="26870" xr:uid="{00000000-0005-0000-0000-0000F6680000}"/>
    <cellStyle name="Normal 2 3 2 28 4 5" xfId="26871" xr:uid="{00000000-0005-0000-0000-0000F7680000}"/>
    <cellStyle name="Normal 2 3 2 28 4 6" xfId="26872" xr:uid="{00000000-0005-0000-0000-0000F8680000}"/>
    <cellStyle name="Normal 2 3 2 28 4 7" xfId="26873" xr:uid="{00000000-0005-0000-0000-0000F9680000}"/>
    <cellStyle name="Normal 2 3 2 28 4 8" xfId="26874" xr:uid="{00000000-0005-0000-0000-0000FA680000}"/>
    <cellStyle name="Normal 2 3 2 28 4 9" xfId="26875" xr:uid="{00000000-0005-0000-0000-0000FB680000}"/>
    <cellStyle name="Normal 2 3 2 28 5" xfId="26876" xr:uid="{00000000-0005-0000-0000-0000FC680000}"/>
    <cellStyle name="Normal 2 3 2 28 5 10" xfId="26877" xr:uid="{00000000-0005-0000-0000-0000FD680000}"/>
    <cellStyle name="Normal 2 3 2 28 5 2" xfId="26878" xr:uid="{00000000-0005-0000-0000-0000FE680000}"/>
    <cellStyle name="Normal 2 3 2 28 5 3" xfId="26879" xr:uid="{00000000-0005-0000-0000-0000FF680000}"/>
    <cellStyle name="Normal 2 3 2 28 5 4" xfId="26880" xr:uid="{00000000-0005-0000-0000-000000690000}"/>
    <cellStyle name="Normal 2 3 2 28 5 5" xfId="26881" xr:uid="{00000000-0005-0000-0000-000001690000}"/>
    <cellStyle name="Normal 2 3 2 28 5 6" xfId="26882" xr:uid="{00000000-0005-0000-0000-000002690000}"/>
    <cellStyle name="Normal 2 3 2 28 5 7" xfId="26883" xr:uid="{00000000-0005-0000-0000-000003690000}"/>
    <cellStyle name="Normal 2 3 2 28 5 8" xfId="26884" xr:uid="{00000000-0005-0000-0000-000004690000}"/>
    <cellStyle name="Normal 2 3 2 28 5 9" xfId="26885" xr:uid="{00000000-0005-0000-0000-000005690000}"/>
    <cellStyle name="Normal 2 3 2 28 6" xfId="26886" xr:uid="{00000000-0005-0000-0000-000006690000}"/>
    <cellStyle name="Normal 2 3 2 28 7" xfId="26887" xr:uid="{00000000-0005-0000-0000-000007690000}"/>
    <cellStyle name="Normal 2 3 2 28 8" xfId="26888" xr:uid="{00000000-0005-0000-0000-000008690000}"/>
    <cellStyle name="Normal 2 3 2 28 9" xfId="26889" xr:uid="{00000000-0005-0000-0000-000009690000}"/>
    <cellStyle name="Normal 2 3 2 29" xfId="26890" xr:uid="{00000000-0005-0000-0000-00000A690000}"/>
    <cellStyle name="Normal 2 3 2 29 10" xfId="26891" xr:uid="{00000000-0005-0000-0000-00000B690000}"/>
    <cellStyle name="Normal 2 3 2 29 11" xfId="26892" xr:uid="{00000000-0005-0000-0000-00000C690000}"/>
    <cellStyle name="Normal 2 3 2 29 12" xfId="26893" xr:uid="{00000000-0005-0000-0000-00000D690000}"/>
    <cellStyle name="Normal 2 3 2 29 13" xfId="26894" xr:uid="{00000000-0005-0000-0000-00000E690000}"/>
    <cellStyle name="Normal 2 3 2 29 14" xfId="26895" xr:uid="{00000000-0005-0000-0000-00000F690000}"/>
    <cellStyle name="Normal 2 3 2 29 2" xfId="26896" xr:uid="{00000000-0005-0000-0000-000010690000}"/>
    <cellStyle name="Normal 2 3 2 29 2 10" xfId="26897" xr:uid="{00000000-0005-0000-0000-000011690000}"/>
    <cellStyle name="Normal 2 3 2 29 2 2" xfId="26898" xr:uid="{00000000-0005-0000-0000-000012690000}"/>
    <cellStyle name="Normal 2 3 2 29 2 3" xfId="26899" xr:uid="{00000000-0005-0000-0000-000013690000}"/>
    <cellStyle name="Normal 2 3 2 29 2 4" xfId="26900" xr:uid="{00000000-0005-0000-0000-000014690000}"/>
    <cellStyle name="Normal 2 3 2 29 2 5" xfId="26901" xr:uid="{00000000-0005-0000-0000-000015690000}"/>
    <cellStyle name="Normal 2 3 2 29 2 6" xfId="26902" xr:uid="{00000000-0005-0000-0000-000016690000}"/>
    <cellStyle name="Normal 2 3 2 29 2 7" xfId="26903" xr:uid="{00000000-0005-0000-0000-000017690000}"/>
    <cellStyle name="Normal 2 3 2 29 2 8" xfId="26904" xr:uid="{00000000-0005-0000-0000-000018690000}"/>
    <cellStyle name="Normal 2 3 2 29 2 9" xfId="26905" xr:uid="{00000000-0005-0000-0000-000019690000}"/>
    <cellStyle name="Normal 2 3 2 29 3" xfId="26906" xr:uid="{00000000-0005-0000-0000-00001A690000}"/>
    <cellStyle name="Normal 2 3 2 29 3 10" xfId="26907" xr:uid="{00000000-0005-0000-0000-00001B690000}"/>
    <cellStyle name="Normal 2 3 2 29 3 2" xfId="26908" xr:uid="{00000000-0005-0000-0000-00001C690000}"/>
    <cellStyle name="Normal 2 3 2 29 3 3" xfId="26909" xr:uid="{00000000-0005-0000-0000-00001D690000}"/>
    <cellStyle name="Normal 2 3 2 29 3 4" xfId="26910" xr:uid="{00000000-0005-0000-0000-00001E690000}"/>
    <cellStyle name="Normal 2 3 2 29 3 5" xfId="26911" xr:uid="{00000000-0005-0000-0000-00001F690000}"/>
    <cellStyle name="Normal 2 3 2 29 3 6" xfId="26912" xr:uid="{00000000-0005-0000-0000-000020690000}"/>
    <cellStyle name="Normal 2 3 2 29 3 7" xfId="26913" xr:uid="{00000000-0005-0000-0000-000021690000}"/>
    <cellStyle name="Normal 2 3 2 29 3 8" xfId="26914" xr:uid="{00000000-0005-0000-0000-000022690000}"/>
    <cellStyle name="Normal 2 3 2 29 3 9" xfId="26915" xr:uid="{00000000-0005-0000-0000-000023690000}"/>
    <cellStyle name="Normal 2 3 2 29 4" xfId="26916" xr:uid="{00000000-0005-0000-0000-000024690000}"/>
    <cellStyle name="Normal 2 3 2 29 4 10" xfId="26917" xr:uid="{00000000-0005-0000-0000-000025690000}"/>
    <cellStyle name="Normal 2 3 2 29 4 2" xfId="26918" xr:uid="{00000000-0005-0000-0000-000026690000}"/>
    <cellStyle name="Normal 2 3 2 29 4 3" xfId="26919" xr:uid="{00000000-0005-0000-0000-000027690000}"/>
    <cellStyle name="Normal 2 3 2 29 4 4" xfId="26920" xr:uid="{00000000-0005-0000-0000-000028690000}"/>
    <cellStyle name="Normal 2 3 2 29 4 5" xfId="26921" xr:uid="{00000000-0005-0000-0000-000029690000}"/>
    <cellStyle name="Normal 2 3 2 29 4 6" xfId="26922" xr:uid="{00000000-0005-0000-0000-00002A690000}"/>
    <cellStyle name="Normal 2 3 2 29 4 7" xfId="26923" xr:uid="{00000000-0005-0000-0000-00002B690000}"/>
    <cellStyle name="Normal 2 3 2 29 4 8" xfId="26924" xr:uid="{00000000-0005-0000-0000-00002C690000}"/>
    <cellStyle name="Normal 2 3 2 29 4 9" xfId="26925" xr:uid="{00000000-0005-0000-0000-00002D690000}"/>
    <cellStyle name="Normal 2 3 2 29 5" xfId="26926" xr:uid="{00000000-0005-0000-0000-00002E690000}"/>
    <cellStyle name="Normal 2 3 2 29 5 10" xfId="26927" xr:uid="{00000000-0005-0000-0000-00002F690000}"/>
    <cellStyle name="Normal 2 3 2 29 5 2" xfId="26928" xr:uid="{00000000-0005-0000-0000-000030690000}"/>
    <cellStyle name="Normal 2 3 2 29 5 3" xfId="26929" xr:uid="{00000000-0005-0000-0000-000031690000}"/>
    <cellStyle name="Normal 2 3 2 29 5 4" xfId="26930" xr:uid="{00000000-0005-0000-0000-000032690000}"/>
    <cellStyle name="Normal 2 3 2 29 5 5" xfId="26931" xr:uid="{00000000-0005-0000-0000-000033690000}"/>
    <cellStyle name="Normal 2 3 2 29 5 6" xfId="26932" xr:uid="{00000000-0005-0000-0000-000034690000}"/>
    <cellStyle name="Normal 2 3 2 29 5 7" xfId="26933" xr:uid="{00000000-0005-0000-0000-000035690000}"/>
    <cellStyle name="Normal 2 3 2 29 5 8" xfId="26934" xr:uid="{00000000-0005-0000-0000-000036690000}"/>
    <cellStyle name="Normal 2 3 2 29 5 9" xfId="26935" xr:uid="{00000000-0005-0000-0000-000037690000}"/>
    <cellStyle name="Normal 2 3 2 29 6" xfId="26936" xr:uid="{00000000-0005-0000-0000-000038690000}"/>
    <cellStyle name="Normal 2 3 2 29 7" xfId="26937" xr:uid="{00000000-0005-0000-0000-000039690000}"/>
    <cellStyle name="Normal 2 3 2 29 8" xfId="26938" xr:uid="{00000000-0005-0000-0000-00003A690000}"/>
    <cellStyle name="Normal 2 3 2 29 9" xfId="26939" xr:uid="{00000000-0005-0000-0000-00003B690000}"/>
    <cellStyle name="Normal 2 3 2 3" xfId="26940" xr:uid="{00000000-0005-0000-0000-00003C690000}"/>
    <cellStyle name="Normal 2 3 2 3 10" xfId="26941" xr:uid="{00000000-0005-0000-0000-00003D690000}"/>
    <cellStyle name="Normal 2 3 2 3 11" xfId="26942" xr:uid="{00000000-0005-0000-0000-00003E690000}"/>
    <cellStyle name="Normal 2 3 2 3 12" xfId="26943" xr:uid="{00000000-0005-0000-0000-00003F690000}"/>
    <cellStyle name="Normal 2 3 2 3 13" xfId="26944" xr:uid="{00000000-0005-0000-0000-000040690000}"/>
    <cellStyle name="Normal 2 3 2 3 14" xfId="26945" xr:uid="{00000000-0005-0000-0000-000041690000}"/>
    <cellStyle name="Normal 2 3 2 3 15" xfId="26946" xr:uid="{00000000-0005-0000-0000-000042690000}"/>
    <cellStyle name="Normal 2 3 2 3 16" xfId="26947" xr:uid="{00000000-0005-0000-0000-000043690000}"/>
    <cellStyle name="Normal 2 3 2 3 2" xfId="26948" xr:uid="{00000000-0005-0000-0000-000044690000}"/>
    <cellStyle name="Normal 2 3 2 3 2 10" xfId="26949" xr:uid="{00000000-0005-0000-0000-000045690000}"/>
    <cellStyle name="Normal 2 3 2 3 2 2" xfId="26950" xr:uid="{00000000-0005-0000-0000-000046690000}"/>
    <cellStyle name="Normal 2 3 2 3 2 3" xfId="26951" xr:uid="{00000000-0005-0000-0000-000047690000}"/>
    <cellStyle name="Normal 2 3 2 3 2 4" xfId="26952" xr:uid="{00000000-0005-0000-0000-000048690000}"/>
    <cellStyle name="Normal 2 3 2 3 2 5" xfId="26953" xr:uid="{00000000-0005-0000-0000-000049690000}"/>
    <cellStyle name="Normal 2 3 2 3 2 6" xfId="26954" xr:uid="{00000000-0005-0000-0000-00004A690000}"/>
    <cellStyle name="Normal 2 3 2 3 2 7" xfId="26955" xr:uid="{00000000-0005-0000-0000-00004B690000}"/>
    <cellStyle name="Normal 2 3 2 3 2 8" xfId="26956" xr:uid="{00000000-0005-0000-0000-00004C690000}"/>
    <cellStyle name="Normal 2 3 2 3 2 9" xfId="26957" xr:uid="{00000000-0005-0000-0000-00004D690000}"/>
    <cellStyle name="Normal 2 3 2 3 3" xfId="26958" xr:uid="{00000000-0005-0000-0000-00004E690000}"/>
    <cellStyle name="Normal 2 3 2 3 3 10" xfId="26959" xr:uid="{00000000-0005-0000-0000-00004F690000}"/>
    <cellStyle name="Normal 2 3 2 3 3 2" xfId="26960" xr:uid="{00000000-0005-0000-0000-000050690000}"/>
    <cellStyle name="Normal 2 3 2 3 3 3" xfId="26961" xr:uid="{00000000-0005-0000-0000-000051690000}"/>
    <cellStyle name="Normal 2 3 2 3 3 4" xfId="26962" xr:uid="{00000000-0005-0000-0000-000052690000}"/>
    <cellStyle name="Normal 2 3 2 3 3 5" xfId="26963" xr:uid="{00000000-0005-0000-0000-000053690000}"/>
    <cellStyle name="Normal 2 3 2 3 3 6" xfId="26964" xr:uid="{00000000-0005-0000-0000-000054690000}"/>
    <cellStyle name="Normal 2 3 2 3 3 7" xfId="26965" xr:uid="{00000000-0005-0000-0000-000055690000}"/>
    <cellStyle name="Normal 2 3 2 3 3 8" xfId="26966" xr:uid="{00000000-0005-0000-0000-000056690000}"/>
    <cellStyle name="Normal 2 3 2 3 3 9" xfId="26967" xr:uid="{00000000-0005-0000-0000-000057690000}"/>
    <cellStyle name="Normal 2 3 2 3 4" xfId="26968" xr:uid="{00000000-0005-0000-0000-000058690000}"/>
    <cellStyle name="Normal 2 3 2 3 4 10" xfId="26969" xr:uid="{00000000-0005-0000-0000-000059690000}"/>
    <cellStyle name="Normal 2 3 2 3 4 2" xfId="26970" xr:uid="{00000000-0005-0000-0000-00005A690000}"/>
    <cellStyle name="Normal 2 3 2 3 4 3" xfId="26971" xr:uid="{00000000-0005-0000-0000-00005B690000}"/>
    <cellStyle name="Normal 2 3 2 3 4 4" xfId="26972" xr:uid="{00000000-0005-0000-0000-00005C690000}"/>
    <cellStyle name="Normal 2 3 2 3 4 5" xfId="26973" xr:uid="{00000000-0005-0000-0000-00005D690000}"/>
    <cellStyle name="Normal 2 3 2 3 4 6" xfId="26974" xr:uid="{00000000-0005-0000-0000-00005E690000}"/>
    <cellStyle name="Normal 2 3 2 3 4 7" xfId="26975" xr:uid="{00000000-0005-0000-0000-00005F690000}"/>
    <cellStyle name="Normal 2 3 2 3 4 8" xfId="26976" xr:uid="{00000000-0005-0000-0000-000060690000}"/>
    <cellStyle name="Normal 2 3 2 3 4 9" xfId="26977" xr:uid="{00000000-0005-0000-0000-000061690000}"/>
    <cellStyle name="Normal 2 3 2 3 5" xfId="26978" xr:uid="{00000000-0005-0000-0000-000062690000}"/>
    <cellStyle name="Normal 2 3 2 3 5 10" xfId="26979" xr:uid="{00000000-0005-0000-0000-000063690000}"/>
    <cellStyle name="Normal 2 3 2 3 5 2" xfId="26980" xr:uid="{00000000-0005-0000-0000-000064690000}"/>
    <cellStyle name="Normal 2 3 2 3 5 3" xfId="26981" xr:uid="{00000000-0005-0000-0000-000065690000}"/>
    <cellStyle name="Normal 2 3 2 3 5 4" xfId="26982" xr:uid="{00000000-0005-0000-0000-000066690000}"/>
    <cellStyle name="Normal 2 3 2 3 5 5" xfId="26983" xr:uid="{00000000-0005-0000-0000-000067690000}"/>
    <cellStyle name="Normal 2 3 2 3 5 6" xfId="26984" xr:uid="{00000000-0005-0000-0000-000068690000}"/>
    <cellStyle name="Normal 2 3 2 3 5 7" xfId="26985" xr:uid="{00000000-0005-0000-0000-000069690000}"/>
    <cellStyle name="Normal 2 3 2 3 5 8" xfId="26986" xr:uid="{00000000-0005-0000-0000-00006A690000}"/>
    <cellStyle name="Normal 2 3 2 3 5 9" xfId="26987" xr:uid="{00000000-0005-0000-0000-00006B690000}"/>
    <cellStyle name="Normal 2 3 2 3 6" xfId="26988" xr:uid="{00000000-0005-0000-0000-00006C690000}"/>
    <cellStyle name="Normal 2 3 2 3 7" xfId="26989" xr:uid="{00000000-0005-0000-0000-00006D690000}"/>
    <cellStyle name="Normal 2 3 2 3 8" xfId="26990" xr:uid="{00000000-0005-0000-0000-00006E690000}"/>
    <cellStyle name="Normal 2 3 2 3 9" xfId="26991" xr:uid="{00000000-0005-0000-0000-00006F690000}"/>
    <cellStyle name="Normal 2 3 2 30" xfId="26992" xr:uid="{00000000-0005-0000-0000-000070690000}"/>
    <cellStyle name="Normal 2 3 2 30 10" xfId="26993" xr:uid="{00000000-0005-0000-0000-000071690000}"/>
    <cellStyle name="Normal 2 3 2 30 11" xfId="26994" xr:uid="{00000000-0005-0000-0000-000072690000}"/>
    <cellStyle name="Normal 2 3 2 30 12" xfId="26995" xr:uid="{00000000-0005-0000-0000-000073690000}"/>
    <cellStyle name="Normal 2 3 2 30 13" xfId="26996" xr:uid="{00000000-0005-0000-0000-000074690000}"/>
    <cellStyle name="Normal 2 3 2 30 14" xfId="26997" xr:uid="{00000000-0005-0000-0000-000075690000}"/>
    <cellStyle name="Normal 2 3 2 30 2" xfId="26998" xr:uid="{00000000-0005-0000-0000-000076690000}"/>
    <cellStyle name="Normal 2 3 2 30 2 10" xfId="26999" xr:uid="{00000000-0005-0000-0000-000077690000}"/>
    <cellStyle name="Normal 2 3 2 30 2 2" xfId="27000" xr:uid="{00000000-0005-0000-0000-000078690000}"/>
    <cellStyle name="Normal 2 3 2 30 2 3" xfId="27001" xr:uid="{00000000-0005-0000-0000-000079690000}"/>
    <cellStyle name="Normal 2 3 2 30 2 4" xfId="27002" xr:uid="{00000000-0005-0000-0000-00007A690000}"/>
    <cellStyle name="Normal 2 3 2 30 2 5" xfId="27003" xr:uid="{00000000-0005-0000-0000-00007B690000}"/>
    <cellStyle name="Normal 2 3 2 30 2 6" xfId="27004" xr:uid="{00000000-0005-0000-0000-00007C690000}"/>
    <cellStyle name="Normal 2 3 2 30 2 7" xfId="27005" xr:uid="{00000000-0005-0000-0000-00007D690000}"/>
    <cellStyle name="Normal 2 3 2 30 2 8" xfId="27006" xr:uid="{00000000-0005-0000-0000-00007E690000}"/>
    <cellStyle name="Normal 2 3 2 30 2 9" xfId="27007" xr:uid="{00000000-0005-0000-0000-00007F690000}"/>
    <cellStyle name="Normal 2 3 2 30 3" xfId="27008" xr:uid="{00000000-0005-0000-0000-000080690000}"/>
    <cellStyle name="Normal 2 3 2 30 3 10" xfId="27009" xr:uid="{00000000-0005-0000-0000-000081690000}"/>
    <cellStyle name="Normal 2 3 2 30 3 2" xfId="27010" xr:uid="{00000000-0005-0000-0000-000082690000}"/>
    <cellStyle name="Normal 2 3 2 30 3 3" xfId="27011" xr:uid="{00000000-0005-0000-0000-000083690000}"/>
    <cellStyle name="Normal 2 3 2 30 3 4" xfId="27012" xr:uid="{00000000-0005-0000-0000-000084690000}"/>
    <cellStyle name="Normal 2 3 2 30 3 5" xfId="27013" xr:uid="{00000000-0005-0000-0000-000085690000}"/>
    <cellStyle name="Normal 2 3 2 30 3 6" xfId="27014" xr:uid="{00000000-0005-0000-0000-000086690000}"/>
    <cellStyle name="Normal 2 3 2 30 3 7" xfId="27015" xr:uid="{00000000-0005-0000-0000-000087690000}"/>
    <cellStyle name="Normal 2 3 2 30 3 8" xfId="27016" xr:uid="{00000000-0005-0000-0000-000088690000}"/>
    <cellStyle name="Normal 2 3 2 30 3 9" xfId="27017" xr:uid="{00000000-0005-0000-0000-000089690000}"/>
    <cellStyle name="Normal 2 3 2 30 4" xfId="27018" xr:uid="{00000000-0005-0000-0000-00008A690000}"/>
    <cellStyle name="Normal 2 3 2 30 4 10" xfId="27019" xr:uid="{00000000-0005-0000-0000-00008B690000}"/>
    <cellStyle name="Normal 2 3 2 30 4 2" xfId="27020" xr:uid="{00000000-0005-0000-0000-00008C690000}"/>
    <cellStyle name="Normal 2 3 2 30 4 3" xfId="27021" xr:uid="{00000000-0005-0000-0000-00008D690000}"/>
    <cellStyle name="Normal 2 3 2 30 4 4" xfId="27022" xr:uid="{00000000-0005-0000-0000-00008E690000}"/>
    <cellStyle name="Normal 2 3 2 30 4 5" xfId="27023" xr:uid="{00000000-0005-0000-0000-00008F690000}"/>
    <cellStyle name="Normal 2 3 2 30 4 6" xfId="27024" xr:uid="{00000000-0005-0000-0000-000090690000}"/>
    <cellStyle name="Normal 2 3 2 30 4 7" xfId="27025" xr:uid="{00000000-0005-0000-0000-000091690000}"/>
    <cellStyle name="Normal 2 3 2 30 4 8" xfId="27026" xr:uid="{00000000-0005-0000-0000-000092690000}"/>
    <cellStyle name="Normal 2 3 2 30 4 9" xfId="27027" xr:uid="{00000000-0005-0000-0000-000093690000}"/>
    <cellStyle name="Normal 2 3 2 30 5" xfId="27028" xr:uid="{00000000-0005-0000-0000-000094690000}"/>
    <cellStyle name="Normal 2 3 2 30 5 10" xfId="27029" xr:uid="{00000000-0005-0000-0000-000095690000}"/>
    <cellStyle name="Normal 2 3 2 30 5 2" xfId="27030" xr:uid="{00000000-0005-0000-0000-000096690000}"/>
    <cellStyle name="Normal 2 3 2 30 5 3" xfId="27031" xr:uid="{00000000-0005-0000-0000-000097690000}"/>
    <cellStyle name="Normal 2 3 2 30 5 4" xfId="27032" xr:uid="{00000000-0005-0000-0000-000098690000}"/>
    <cellStyle name="Normal 2 3 2 30 5 5" xfId="27033" xr:uid="{00000000-0005-0000-0000-000099690000}"/>
    <cellStyle name="Normal 2 3 2 30 5 6" xfId="27034" xr:uid="{00000000-0005-0000-0000-00009A690000}"/>
    <cellStyle name="Normal 2 3 2 30 5 7" xfId="27035" xr:uid="{00000000-0005-0000-0000-00009B690000}"/>
    <cellStyle name="Normal 2 3 2 30 5 8" xfId="27036" xr:uid="{00000000-0005-0000-0000-00009C690000}"/>
    <cellStyle name="Normal 2 3 2 30 5 9" xfId="27037" xr:uid="{00000000-0005-0000-0000-00009D690000}"/>
    <cellStyle name="Normal 2 3 2 30 6" xfId="27038" xr:uid="{00000000-0005-0000-0000-00009E690000}"/>
    <cellStyle name="Normal 2 3 2 30 7" xfId="27039" xr:uid="{00000000-0005-0000-0000-00009F690000}"/>
    <cellStyle name="Normal 2 3 2 30 8" xfId="27040" xr:uid="{00000000-0005-0000-0000-0000A0690000}"/>
    <cellStyle name="Normal 2 3 2 30 9" xfId="27041" xr:uid="{00000000-0005-0000-0000-0000A1690000}"/>
    <cellStyle name="Normal 2 3 2 31" xfId="27042" xr:uid="{00000000-0005-0000-0000-0000A2690000}"/>
    <cellStyle name="Normal 2 3 2 31 10" xfId="27043" xr:uid="{00000000-0005-0000-0000-0000A3690000}"/>
    <cellStyle name="Normal 2 3 2 31 11" xfId="27044" xr:uid="{00000000-0005-0000-0000-0000A4690000}"/>
    <cellStyle name="Normal 2 3 2 31 12" xfId="27045" xr:uid="{00000000-0005-0000-0000-0000A5690000}"/>
    <cellStyle name="Normal 2 3 2 31 13" xfId="27046" xr:uid="{00000000-0005-0000-0000-0000A6690000}"/>
    <cellStyle name="Normal 2 3 2 31 14" xfId="27047" xr:uid="{00000000-0005-0000-0000-0000A7690000}"/>
    <cellStyle name="Normal 2 3 2 31 2" xfId="27048" xr:uid="{00000000-0005-0000-0000-0000A8690000}"/>
    <cellStyle name="Normal 2 3 2 31 2 10" xfId="27049" xr:uid="{00000000-0005-0000-0000-0000A9690000}"/>
    <cellStyle name="Normal 2 3 2 31 2 2" xfId="27050" xr:uid="{00000000-0005-0000-0000-0000AA690000}"/>
    <cellStyle name="Normal 2 3 2 31 2 3" xfId="27051" xr:uid="{00000000-0005-0000-0000-0000AB690000}"/>
    <cellStyle name="Normal 2 3 2 31 2 4" xfId="27052" xr:uid="{00000000-0005-0000-0000-0000AC690000}"/>
    <cellStyle name="Normal 2 3 2 31 2 5" xfId="27053" xr:uid="{00000000-0005-0000-0000-0000AD690000}"/>
    <cellStyle name="Normal 2 3 2 31 2 6" xfId="27054" xr:uid="{00000000-0005-0000-0000-0000AE690000}"/>
    <cellStyle name="Normal 2 3 2 31 2 7" xfId="27055" xr:uid="{00000000-0005-0000-0000-0000AF690000}"/>
    <cellStyle name="Normal 2 3 2 31 2 8" xfId="27056" xr:uid="{00000000-0005-0000-0000-0000B0690000}"/>
    <cellStyle name="Normal 2 3 2 31 2 9" xfId="27057" xr:uid="{00000000-0005-0000-0000-0000B1690000}"/>
    <cellStyle name="Normal 2 3 2 31 3" xfId="27058" xr:uid="{00000000-0005-0000-0000-0000B2690000}"/>
    <cellStyle name="Normal 2 3 2 31 3 10" xfId="27059" xr:uid="{00000000-0005-0000-0000-0000B3690000}"/>
    <cellStyle name="Normal 2 3 2 31 3 2" xfId="27060" xr:uid="{00000000-0005-0000-0000-0000B4690000}"/>
    <cellStyle name="Normal 2 3 2 31 3 3" xfId="27061" xr:uid="{00000000-0005-0000-0000-0000B5690000}"/>
    <cellStyle name="Normal 2 3 2 31 3 4" xfId="27062" xr:uid="{00000000-0005-0000-0000-0000B6690000}"/>
    <cellStyle name="Normal 2 3 2 31 3 5" xfId="27063" xr:uid="{00000000-0005-0000-0000-0000B7690000}"/>
    <cellStyle name="Normal 2 3 2 31 3 6" xfId="27064" xr:uid="{00000000-0005-0000-0000-0000B8690000}"/>
    <cellStyle name="Normal 2 3 2 31 3 7" xfId="27065" xr:uid="{00000000-0005-0000-0000-0000B9690000}"/>
    <cellStyle name="Normal 2 3 2 31 3 8" xfId="27066" xr:uid="{00000000-0005-0000-0000-0000BA690000}"/>
    <cellStyle name="Normal 2 3 2 31 3 9" xfId="27067" xr:uid="{00000000-0005-0000-0000-0000BB690000}"/>
    <cellStyle name="Normal 2 3 2 31 4" xfId="27068" xr:uid="{00000000-0005-0000-0000-0000BC690000}"/>
    <cellStyle name="Normal 2 3 2 31 4 10" xfId="27069" xr:uid="{00000000-0005-0000-0000-0000BD690000}"/>
    <cellStyle name="Normal 2 3 2 31 4 2" xfId="27070" xr:uid="{00000000-0005-0000-0000-0000BE690000}"/>
    <cellStyle name="Normal 2 3 2 31 4 3" xfId="27071" xr:uid="{00000000-0005-0000-0000-0000BF690000}"/>
    <cellStyle name="Normal 2 3 2 31 4 4" xfId="27072" xr:uid="{00000000-0005-0000-0000-0000C0690000}"/>
    <cellStyle name="Normal 2 3 2 31 4 5" xfId="27073" xr:uid="{00000000-0005-0000-0000-0000C1690000}"/>
    <cellStyle name="Normal 2 3 2 31 4 6" xfId="27074" xr:uid="{00000000-0005-0000-0000-0000C2690000}"/>
    <cellStyle name="Normal 2 3 2 31 4 7" xfId="27075" xr:uid="{00000000-0005-0000-0000-0000C3690000}"/>
    <cellStyle name="Normal 2 3 2 31 4 8" xfId="27076" xr:uid="{00000000-0005-0000-0000-0000C4690000}"/>
    <cellStyle name="Normal 2 3 2 31 4 9" xfId="27077" xr:uid="{00000000-0005-0000-0000-0000C5690000}"/>
    <cellStyle name="Normal 2 3 2 31 5" xfId="27078" xr:uid="{00000000-0005-0000-0000-0000C6690000}"/>
    <cellStyle name="Normal 2 3 2 31 5 10" xfId="27079" xr:uid="{00000000-0005-0000-0000-0000C7690000}"/>
    <cellStyle name="Normal 2 3 2 31 5 2" xfId="27080" xr:uid="{00000000-0005-0000-0000-0000C8690000}"/>
    <cellStyle name="Normal 2 3 2 31 5 3" xfId="27081" xr:uid="{00000000-0005-0000-0000-0000C9690000}"/>
    <cellStyle name="Normal 2 3 2 31 5 4" xfId="27082" xr:uid="{00000000-0005-0000-0000-0000CA690000}"/>
    <cellStyle name="Normal 2 3 2 31 5 5" xfId="27083" xr:uid="{00000000-0005-0000-0000-0000CB690000}"/>
    <cellStyle name="Normal 2 3 2 31 5 6" xfId="27084" xr:uid="{00000000-0005-0000-0000-0000CC690000}"/>
    <cellStyle name="Normal 2 3 2 31 5 7" xfId="27085" xr:uid="{00000000-0005-0000-0000-0000CD690000}"/>
    <cellStyle name="Normal 2 3 2 31 5 8" xfId="27086" xr:uid="{00000000-0005-0000-0000-0000CE690000}"/>
    <cellStyle name="Normal 2 3 2 31 5 9" xfId="27087" xr:uid="{00000000-0005-0000-0000-0000CF690000}"/>
    <cellStyle name="Normal 2 3 2 31 6" xfId="27088" xr:uid="{00000000-0005-0000-0000-0000D0690000}"/>
    <cellStyle name="Normal 2 3 2 31 7" xfId="27089" xr:uid="{00000000-0005-0000-0000-0000D1690000}"/>
    <cellStyle name="Normal 2 3 2 31 8" xfId="27090" xr:uid="{00000000-0005-0000-0000-0000D2690000}"/>
    <cellStyle name="Normal 2 3 2 31 9" xfId="27091" xr:uid="{00000000-0005-0000-0000-0000D3690000}"/>
    <cellStyle name="Normal 2 3 2 32" xfId="27092" xr:uid="{00000000-0005-0000-0000-0000D4690000}"/>
    <cellStyle name="Normal 2 3 2 32 10" xfId="27093" xr:uid="{00000000-0005-0000-0000-0000D5690000}"/>
    <cellStyle name="Normal 2 3 2 32 11" xfId="27094" xr:uid="{00000000-0005-0000-0000-0000D6690000}"/>
    <cellStyle name="Normal 2 3 2 32 12" xfId="27095" xr:uid="{00000000-0005-0000-0000-0000D7690000}"/>
    <cellStyle name="Normal 2 3 2 32 13" xfId="27096" xr:uid="{00000000-0005-0000-0000-0000D8690000}"/>
    <cellStyle name="Normal 2 3 2 32 14" xfId="27097" xr:uid="{00000000-0005-0000-0000-0000D9690000}"/>
    <cellStyle name="Normal 2 3 2 32 2" xfId="27098" xr:uid="{00000000-0005-0000-0000-0000DA690000}"/>
    <cellStyle name="Normal 2 3 2 32 2 10" xfId="27099" xr:uid="{00000000-0005-0000-0000-0000DB690000}"/>
    <cellStyle name="Normal 2 3 2 32 2 2" xfId="27100" xr:uid="{00000000-0005-0000-0000-0000DC690000}"/>
    <cellStyle name="Normal 2 3 2 32 2 3" xfId="27101" xr:uid="{00000000-0005-0000-0000-0000DD690000}"/>
    <cellStyle name="Normal 2 3 2 32 2 4" xfId="27102" xr:uid="{00000000-0005-0000-0000-0000DE690000}"/>
    <cellStyle name="Normal 2 3 2 32 2 5" xfId="27103" xr:uid="{00000000-0005-0000-0000-0000DF690000}"/>
    <cellStyle name="Normal 2 3 2 32 2 6" xfId="27104" xr:uid="{00000000-0005-0000-0000-0000E0690000}"/>
    <cellStyle name="Normal 2 3 2 32 2 7" xfId="27105" xr:uid="{00000000-0005-0000-0000-0000E1690000}"/>
    <cellStyle name="Normal 2 3 2 32 2 8" xfId="27106" xr:uid="{00000000-0005-0000-0000-0000E2690000}"/>
    <cellStyle name="Normal 2 3 2 32 2 9" xfId="27107" xr:uid="{00000000-0005-0000-0000-0000E3690000}"/>
    <cellStyle name="Normal 2 3 2 32 3" xfId="27108" xr:uid="{00000000-0005-0000-0000-0000E4690000}"/>
    <cellStyle name="Normal 2 3 2 32 3 10" xfId="27109" xr:uid="{00000000-0005-0000-0000-0000E5690000}"/>
    <cellStyle name="Normal 2 3 2 32 3 2" xfId="27110" xr:uid="{00000000-0005-0000-0000-0000E6690000}"/>
    <cellStyle name="Normal 2 3 2 32 3 3" xfId="27111" xr:uid="{00000000-0005-0000-0000-0000E7690000}"/>
    <cellStyle name="Normal 2 3 2 32 3 4" xfId="27112" xr:uid="{00000000-0005-0000-0000-0000E8690000}"/>
    <cellStyle name="Normal 2 3 2 32 3 5" xfId="27113" xr:uid="{00000000-0005-0000-0000-0000E9690000}"/>
    <cellStyle name="Normal 2 3 2 32 3 6" xfId="27114" xr:uid="{00000000-0005-0000-0000-0000EA690000}"/>
    <cellStyle name="Normal 2 3 2 32 3 7" xfId="27115" xr:uid="{00000000-0005-0000-0000-0000EB690000}"/>
    <cellStyle name="Normal 2 3 2 32 3 8" xfId="27116" xr:uid="{00000000-0005-0000-0000-0000EC690000}"/>
    <cellStyle name="Normal 2 3 2 32 3 9" xfId="27117" xr:uid="{00000000-0005-0000-0000-0000ED690000}"/>
    <cellStyle name="Normal 2 3 2 32 4" xfId="27118" xr:uid="{00000000-0005-0000-0000-0000EE690000}"/>
    <cellStyle name="Normal 2 3 2 32 4 10" xfId="27119" xr:uid="{00000000-0005-0000-0000-0000EF690000}"/>
    <cellStyle name="Normal 2 3 2 32 4 2" xfId="27120" xr:uid="{00000000-0005-0000-0000-0000F0690000}"/>
    <cellStyle name="Normal 2 3 2 32 4 3" xfId="27121" xr:uid="{00000000-0005-0000-0000-0000F1690000}"/>
    <cellStyle name="Normal 2 3 2 32 4 4" xfId="27122" xr:uid="{00000000-0005-0000-0000-0000F2690000}"/>
    <cellStyle name="Normal 2 3 2 32 4 5" xfId="27123" xr:uid="{00000000-0005-0000-0000-0000F3690000}"/>
    <cellStyle name="Normal 2 3 2 32 4 6" xfId="27124" xr:uid="{00000000-0005-0000-0000-0000F4690000}"/>
    <cellStyle name="Normal 2 3 2 32 4 7" xfId="27125" xr:uid="{00000000-0005-0000-0000-0000F5690000}"/>
    <cellStyle name="Normal 2 3 2 32 4 8" xfId="27126" xr:uid="{00000000-0005-0000-0000-0000F6690000}"/>
    <cellStyle name="Normal 2 3 2 32 4 9" xfId="27127" xr:uid="{00000000-0005-0000-0000-0000F7690000}"/>
    <cellStyle name="Normal 2 3 2 32 5" xfId="27128" xr:uid="{00000000-0005-0000-0000-0000F8690000}"/>
    <cellStyle name="Normal 2 3 2 32 5 10" xfId="27129" xr:uid="{00000000-0005-0000-0000-0000F9690000}"/>
    <cellStyle name="Normal 2 3 2 32 5 2" xfId="27130" xr:uid="{00000000-0005-0000-0000-0000FA690000}"/>
    <cellStyle name="Normal 2 3 2 32 5 3" xfId="27131" xr:uid="{00000000-0005-0000-0000-0000FB690000}"/>
    <cellStyle name="Normal 2 3 2 32 5 4" xfId="27132" xr:uid="{00000000-0005-0000-0000-0000FC690000}"/>
    <cellStyle name="Normal 2 3 2 32 5 5" xfId="27133" xr:uid="{00000000-0005-0000-0000-0000FD690000}"/>
    <cellStyle name="Normal 2 3 2 32 5 6" xfId="27134" xr:uid="{00000000-0005-0000-0000-0000FE690000}"/>
    <cellStyle name="Normal 2 3 2 32 5 7" xfId="27135" xr:uid="{00000000-0005-0000-0000-0000FF690000}"/>
    <cellStyle name="Normal 2 3 2 32 5 8" xfId="27136" xr:uid="{00000000-0005-0000-0000-0000006A0000}"/>
    <cellStyle name="Normal 2 3 2 32 5 9" xfId="27137" xr:uid="{00000000-0005-0000-0000-0000016A0000}"/>
    <cellStyle name="Normal 2 3 2 32 6" xfId="27138" xr:uid="{00000000-0005-0000-0000-0000026A0000}"/>
    <cellStyle name="Normal 2 3 2 32 7" xfId="27139" xr:uid="{00000000-0005-0000-0000-0000036A0000}"/>
    <cellStyle name="Normal 2 3 2 32 8" xfId="27140" xr:uid="{00000000-0005-0000-0000-0000046A0000}"/>
    <cellStyle name="Normal 2 3 2 32 9" xfId="27141" xr:uid="{00000000-0005-0000-0000-0000056A0000}"/>
    <cellStyle name="Normal 2 3 2 33" xfId="27142" xr:uid="{00000000-0005-0000-0000-0000066A0000}"/>
    <cellStyle name="Normal 2 3 2 33 10" xfId="27143" xr:uid="{00000000-0005-0000-0000-0000076A0000}"/>
    <cellStyle name="Normal 2 3 2 33 11" xfId="27144" xr:uid="{00000000-0005-0000-0000-0000086A0000}"/>
    <cellStyle name="Normal 2 3 2 33 12" xfId="27145" xr:uid="{00000000-0005-0000-0000-0000096A0000}"/>
    <cellStyle name="Normal 2 3 2 33 13" xfId="27146" xr:uid="{00000000-0005-0000-0000-00000A6A0000}"/>
    <cellStyle name="Normal 2 3 2 33 14" xfId="27147" xr:uid="{00000000-0005-0000-0000-00000B6A0000}"/>
    <cellStyle name="Normal 2 3 2 33 2" xfId="27148" xr:uid="{00000000-0005-0000-0000-00000C6A0000}"/>
    <cellStyle name="Normal 2 3 2 33 2 10" xfId="27149" xr:uid="{00000000-0005-0000-0000-00000D6A0000}"/>
    <cellStyle name="Normal 2 3 2 33 2 2" xfId="27150" xr:uid="{00000000-0005-0000-0000-00000E6A0000}"/>
    <cellStyle name="Normal 2 3 2 33 2 3" xfId="27151" xr:uid="{00000000-0005-0000-0000-00000F6A0000}"/>
    <cellStyle name="Normal 2 3 2 33 2 4" xfId="27152" xr:uid="{00000000-0005-0000-0000-0000106A0000}"/>
    <cellStyle name="Normal 2 3 2 33 2 5" xfId="27153" xr:uid="{00000000-0005-0000-0000-0000116A0000}"/>
    <cellStyle name="Normal 2 3 2 33 2 6" xfId="27154" xr:uid="{00000000-0005-0000-0000-0000126A0000}"/>
    <cellStyle name="Normal 2 3 2 33 2 7" xfId="27155" xr:uid="{00000000-0005-0000-0000-0000136A0000}"/>
    <cellStyle name="Normal 2 3 2 33 2 8" xfId="27156" xr:uid="{00000000-0005-0000-0000-0000146A0000}"/>
    <cellStyle name="Normal 2 3 2 33 2 9" xfId="27157" xr:uid="{00000000-0005-0000-0000-0000156A0000}"/>
    <cellStyle name="Normal 2 3 2 33 3" xfId="27158" xr:uid="{00000000-0005-0000-0000-0000166A0000}"/>
    <cellStyle name="Normal 2 3 2 33 3 10" xfId="27159" xr:uid="{00000000-0005-0000-0000-0000176A0000}"/>
    <cellStyle name="Normal 2 3 2 33 3 2" xfId="27160" xr:uid="{00000000-0005-0000-0000-0000186A0000}"/>
    <cellStyle name="Normal 2 3 2 33 3 3" xfId="27161" xr:uid="{00000000-0005-0000-0000-0000196A0000}"/>
    <cellStyle name="Normal 2 3 2 33 3 4" xfId="27162" xr:uid="{00000000-0005-0000-0000-00001A6A0000}"/>
    <cellStyle name="Normal 2 3 2 33 3 5" xfId="27163" xr:uid="{00000000-0005-0000-0000-00001B6A0000}"/>
    <cellStyle name="Normal 2 3 2 33 3 6" xfId="27164" xr:uid="{00000000-0005-0000-0000-00001C6A0000}"/>
    <cellStyle name="Normal 2 3 2 33 3 7" xfId="27165" xr:uid="{00000000-0005-0000-0000-00001D6A0000}"/>
    <cellStyle name="Normal 2 3 2 33 3 8" xfId="27166" xr:uid="{00000000-0005-0000-0000-00001E6A0000}"/>
    <cellStyle name="Normal 2 3 2 33 3 9" xfId="27167" xr:uid="{00000000-0005-0000-0000-00001F6A0000}"/>
    <cellStyle name="Normal 2 3 2 33 4" xfId="27168" xr:uid="{00000000-0005-0000-0000-0000206A0000}"/>
    <cellStyle name="Normal 2 3 2 33 4 10" xfId="27169" xr:uid="{00000000-0005-0000-0000-0000216A0000}"/>
    <cellStyle name="Normal 2 3 2 33 4 2" xfId="27170" xr:uid="{00000000-0005-0000-0000-0000226A0000}"/>
    <cellStyle name="Normal 2 3 2 33 4 3" xfId="27171" xr:uid="{00000000-0005-0000-0000-0000236A0000}"/>
    <cellStyle name="Normal 2 3 2 33 4 4" xfId="27172" xr:uid="{00000000-0005-0000-0000-0000246A0000}"/>
    <cellStyle name="Normal 2 3 2 33 4 5" xfId="27173" xr:uid="{00000000-0005-0000-0000-0000256A0000}"/>
    <cellStyle name="Normal 2 3 2 33 4 6" xfId="27174" xr:uid="{00000000-0005-0000-0000-0000266A0000}"/>
    <cellStyle name="Normal 2 3 2 33 4 7" xfId="27175" xr:uid="{00000000-0005-0000-0000-0000276A0000}"/>
    <cellStyle name="Normal 2 3 2 33 4 8" xfId="27176" xr:uid="{00000000-0005-0000-0000-0000286A0000}"/>
    <cellStyle name="Normal 2 3 2 33 4 9" xfId="27177" xr:uid="{00000000-0005-0000-0000-0000296A0000}"/>
    <cellStyle name="Normal 2 3 2 33 5" xfId="27178" xr:uid="{00000000-0005-0000-0000-00002A6A0000}"/>
    <cellStyle name="Normal 2 3 2 33 5 10" xfId="27179" xr:uid="{00000000-0005-0000-0000-00002B6A0000}"/>
    <cellStyle name="Normal 2 3 2 33 5 2" xfId="27180" xr:uid="{00000000-0005-0000-0000-00002C6A0000}"/>
    <cellStyle name="Normal 2 3 2 33 5 3" xfId="27181" xr:uid="{00000000-0005-0000-0000-00002D6A0000}"/>
    <cellStyle name="Normal 2 3 2 33 5 4" xfId="27182" xr:uid="{00000000-0005-0000-0000-00002E6A0000}"/>
    <cellStyle name="Normal 2 3 2 33 5 5" xfId="27183" xr:uid="{00000000-0005-0000-0000-00002F6A0000}"/>
    <cellStyle name="Normal 2 3 2 33 5 6" xfId="27184" xr:uid="{00000000-0005-0000-0000-0000306A0000}"/>
    <cellStyle name="Normal 2 3 2 33 5 7" xfId="27185" xr:uid="{00000000-0005-0000-0000-0000316A0000}"/>
    <cellStyle name="Normal 2 3 2 33 5 8" xfId="27186" xr:uid="{00000000-0005-0000-0000-0000326A0000}"/>
    <cellStyle name="Normal 2 3 2 33 5 9" xfId="27187" xr:uid="{00000000-0005-0000-0000-0000336A0000}"/>
    <cellStyle name="Normal 2 3 2 33 6" xfId="27188" xr:uid="{00000000-0005-0000-0000-0000346A0000}"/>
    <cellStyle name="Normal 2 3 2 33 7" xfId="27189" xr:uid="{00000000-0005-0000-0000-0000356A0000}"/>
    <cellStyle name="Normal 2 3 2 33 8" xfId="27190" xr:uid="{00000000-0005-0000-0000-0000366A0000}"/>
    <cellStyle name="Normal 2 3 2 33 9" xfId="27191" xr:uid="{00000000-0005-0000-0000-0000376A0000}"/>
    <cellStyle name="Normal 2 3 2 34" xfId="27192" xr:uid="{00000000-0005-0000-0000-0000386A0000}"/>
    <cellStyle name="Normal 2 3 2 34 10" xfId="27193" xr:uid="{00000000-0005-0000-0000-0000396A0000}"/>
    <cellStyle name="Normal 2 3 2 34 2" xfId="27194" xr:uid="{00000000-0005-0000-0000-00003A6A0000}"/>
    <cellStyle name="Normal 2 3 2 34 3" xfId="27195" xr:uid="{00000000-0005-0000-0000-00003B6A0000}"/>
    <cellStyle name="Normal 2 3 2 34 4" xfId="27196" xr:uid="{00000000-0005-0000-0000-00003C6A0000}"/>
    <cellStyle name="Normal 2 3 2 34 5" xfId="27197" xr:uid="{00000000-0005-0000-0000-00003D6A0000}"/>
    <cellStyle name="Normal 2 3 2 34 6" xfId="27198" xr:uid="{00000000-0005-0000-0000-00003E6A0000}"/>
    <cellStyle name="Normal 2 3 2 34 7" xfId="27199" xr:uid="{00000000-0005-0000-0000-00003F6A0000}"/>
    <cellStyle name="Normal 2 3 2 34 8" xfId="27200" xr:uid="{00000000-0005-0000-0000-0000406A0000}"/>
    <cellStyle name="Normal 2 3 2 34 9" xfId="27201" xr:uid="{00000000-0005-0000-0000-0000416A0000}"/>
    <cellStyle name="Normal 2 3 2 35" xfId="27202" xr:uid="{00000000-0005-0000-0000-0000426A0000}"/>
    <cellStyle name="Normal 2 3 2 35 10" xfId="27203" xr:uid="{00000000-0005-0000-0000-0000436A0000}"/>
    <cellStyle name="Normal 2 3 2 35 2" xfId="27204" xr:uid="{00000000-0005-0000-0000-0000446A0000}"/>
    <cellStyle name="Normal 2 3 2 35 3" xfId="27205" xr:uid="{00000000-0005-0000-0000-0000456A0000}"/>
    <cellStyle name="Normal 2 3 2 35 4" xfId="27206" xr:uid="{00000000-0005-0000-0000-0000466A0000}"/>
    <cellStyle name="Normal 2 3 2 35 5" xfId="27207" xr:uid="{00000000-0005-0000-0000-0000476A0000}"/>
    <cellStyle name="Normal 2 3 2 35 6" xfId="27208" xr:uid="{00000000-0005-0000-0000-0000486A0000}"/>
    <cellStyle name="Normal 2 3 2 35 7" xfId="27209" xr:uid="{00000000-0005-0000-0000-0000496A0000}"/>
    <cellStyle name="Normal 2 3 2 35 8" xfId="27210" xr:uid="{00000000-0005-0000-0000-00004A6A0000}"/>
    <cellStyle name="Normal 2 3 2 35 9" xfId="27211" xr:uid="{00000000-0005-0000-0000-00004B6A0000}"/>
    <cellStyle name="Normal 2 3 2 36" xfId="27212" xr:uid="{00000000-0005-0000-0000-00004C6A0000}"/>
    <cellStyle name="Normal 2 3 2 36 10" xfId="27213" xr:uid="{00000000-0005-0000-0000-00004D6A0000}"/>
    <cellStyle name="Normal 2 3 2 36 2" xfId="27214" xr:uid="{00000000-0005-0000-0000-00004E6A0000}"/>
    <cellStyle name="Normal 2 3 2 36 3" xfId="27215" xr:uid="{00000000-0005-0000-0000-00004F6A0000}"/>
    <cellStyle name="Normal 2 3 2 36 4" xfId="27216" xr:uid="{00000000-0005-0000-0000-0000506A0000}"/>
    <cellStyle name="Normal 2 3 2 36 5" xfId="27217" xr:uid="{00000000-0005-0000-0000-0000516A0000}"/>
    <cellStyle name="Normal 2 3 2 36 6" xfId="27218" xr:uid="{00000000-0005-0000-0000-0000526A0000}"/>
    <cellStyle name="Normal 2 3 2 36 7" xfId="27219" xr:uid="{00000000-0005-0000-0000-0000536A0000}"/>
    <cellStyle name="Normal 2 3 2 36 8" xfId="27220" xr:uid="{00000000-0005-0000-0000-0000546A0000}"/>
    <cellStyle name="Normal 2 3 2 36 9" xfId="27221" xr:uid="{00000000-0005-0000-0000-0000556A0000}"/>
    <cellStyle name="Normal 2 3 2 37" xfId="27222" xr:uid="{00000000-0005-0000-0000-0000566A0000}"/>
    <cellStyle name="Normal 2 3 2 37 10" xfId="27223" xr:uid="{00000000-0005-0000-0000-0000576A0000}"/>
    <cellStyle name="Normal 2 3 2 37 2" xfId="27224" xr:uid="{00000000-0005-0000-0000-0000586A0000}"/>
    <cellStyle name="Normal 2 3 2 37 3" xfId="27225" xr:uid="{00000000-0005-0000-0000-0000596A0000}"/>
    <cellStyle name="Normal 2 3 2 37 4" xfId="27226" xr:uid="{00000000-0005-0000-0000-00005A6A0000}"/>
    <cellStyle name="Normal 2 3 2 37 5" xfId="27227" xr:uid="{00000000-0005-0000-0000-00005B6A0000}"/>
    <cellStyle name="Normal 2 3 2 37 6" xfId="27228" xr:uid="{00000000-0005-0000-0000-00005C6A0000}"/>
    <cellStyle name="Normal 2 3 2 37 7" xfId="27229" xr:uid="{00000000-0005-0000-0000-00005D6A0000}"/>
    <cellStyle name="Normal 2 3 2 37 8" xfId="27230" xr:uid="{00000000-0005-0000-0000-00005E6A0000}"/>
    <cellStyle name="Normal 2 3 2 37 9" xfId="27231" xr:uid="{00000000-0005-0000-0000-00005F6A0000}"/>
    <cellStyle name="Normal 2 3 2 38" xfId="27232" xr:uid="{00000000-0005-0000-0000-0000606A0000}"/>
    <cellStyle name="Normal 2 3 2 39" xfId="27233" xr:uid="{00000000-0005-0000-0000-0000616A0000}"/>
    <cellStyle name="Normal 2 3 2 4" xfId="27234" xr:uid="{00000000-0005-0000-0000-0000626A0000}"/>
    <cellStyle name="Normal 2 3 2 4 10" xfId="27235" xr:uid="{00000000-0005-0000-0000-0000636A0000}"/>
    <cellStyle name="Normal 2 3 2 4 11" xfId="27236" xr:uid="{00000000-0005-0000-0000-0000646A0000}"/>
    <cellStyle name="Normal 2 3 2 4 12" xfId="27237" xr:uid="{00000000-0005-0000-0000-0000656A0000}"/>
    <cellStyle name="Normal 2 3 2 4 13" xfId="27238" xr:uid="{00000000-0005-0000-0000-0000666A0000}"/>
    <cellStyle name="Normal 2 3 2 4 14" xfId="27239" xr:uid="{00000000-0005-0000-0000-0000676A0000}"/>
    <cellStyle name="Normal 2 3 2 4 2" xfId="27240" xr:uid="{00000000-0005-0000-0000-0000686A0000}"/>
    <cellStyle name="Normal 2 3 2 4 2 10" xfId="27241" xr:uid="{00000000-0005-0000-0000-0000696A0000}"/>
    <cellStyle name="Normal 2 3 2 4 2 2" xfId="27242" xr:uid="{00000000-0005-0000-0000-00006A6A0000}"/>
    <cellStyle name="Normal 2 3 2 4 2 3" xfId="27243" xr:uid="{00000000-0005-0000-0000-00006B6A0000}"/>
    <cellStyle name="Normal 2 3 2 4 2 4" xfId="27244" xr:uid="{00000000-0005-0000-0000-00006C6A0000}"/>
    <cellStyle name="Normal 2 3 2 4 2 5" xfId="27245" xr:uid="{00000000-0005-0000-0000-00006D6A0000}"/>
    <cellStyle name="Normal 2 3 2 4 2 6" xfId="27246" xr:uid="{00000000-0005-0000-0000-00006E6A0000}"/>
    <cellStyle name="Normal 2 3 2 4 2 7" xfId="27247" xr:uid="{00000000-0005-0000-0000-00006F6A0000}"/>
    <cellStyle name="Normal 2 3 2 4 2 8" xfId="27248" xr:uid="{00000000-0005-0000-0000-0000706A0000}"/>
    <cellStyle name="Normal 2 3 2 4 2 9" xfId="27249" xr:uid="{00000000-0005-0000-0000-0000716A0000}"/>
    <cellStyle name="Normal 2 3 2 4 3" xfId="27250" xr:uid="{00000000-0005-0000-0000-0000726A0000}"/>
    <cellStyle name="Normal 2 3 2 4 3 10" xfId="27251" xr:uid="{00000000-0005-0000-0000-0000736A0000}"/>
    <cellStyle name="Normal 2 3 2 4 3 2" xfId="27252" xr:uid="{00000000-0005-0000-0000-0000746A0000}"/>
    <cellStyle name="Normal 2 3 2 4 3 3" xfId="27253" xr:uid="{00000000-0005-0000-0000-0000756A0000}"/>
    <cellStyle name="Normal 2 3 2 4 3 4" xfId="27254" xr:uid="{00000000-0005-0000-0000-0000766A0000}"/>
    <cellStyle name="Normal 2 3 2 4 3 5" xfId="27255" xr:uid="{00000000-0005-0000-0000-0000776A0000}"/>
    <cellStyle name="Normal 2 3 2 4 3 6" xfId="27256" xr:uid="{00000000-0005-0000-0000-0000786A0000}"/>
    <cellStyle name="Normal 2 3 2 4 3 7" xfId="27257" xr:uid="{00000000-0005-0000-0000-0000796A0000}"/>
    <cellStyle name="Normal 2 3 2 4 3 8" xfId="27258" xr:uid="{00000000-0005-0000-0000-00007A6A0000}"/>
    <cellStyle name="Normal 2 3 2 4 3 9" xfId="27259" xr:uid="{00000000-0005-0000-0000-00007B6A0000}"/>
    <cellStyle name="Normal 2 3 2 4 4" xfId="27260" xr:uid="{00000000-0005-0000-0000-00007C6A0000}"/>
    <cellStyle name="Normal 2 3 2 4 4 10" xfId="27261" xr:uid="{00000000-0005-0000-0000-00007D6A0000}"/>
    <cellStyle name="Normal 2 3 2 4 4 2" xfId="27262" xr:uid="{00000000-0005-0000-0000-00007E6A0000}"/>
    <cellStyle name="Normal 2 3 2 4 4 3" xfId="27263" xr:uid="{00000000-0005-0000-0000-00007F6A0000}"/>
    <cellStyle name="Normal 2 3 2 4 4 4" xfId="27264" xr:uid="{00000000-0005-0000-0000-0000806A0000}"/>
    <cellStyle name="Normal 2 3 2 4 4 5" xfId="27265" xr:uid="{00000000-0005-0000-0000-0000816A0000}"/>
    <cellStyle name="Normal 2 3 2 4 4 6" xfId="27266" xr:uid="{00000000-0005-0000-0000-0000826A0000}"/>
    <cellStyle name="Normal 2 3 2 4 4 7" xfId="27267" xr:uid="{00000000-0005-0000-0000-0000836A0000}"/>
    <cellStyle name="Normal 2 3 2 4 4 8" xfId="27268" xr:uid="{00000000-0005-0000-0000-0000846A0000}"/>
    <cellStyle name="Normal 2 3 2 4 4 9" xfId="27269" xr:uid="{00000000-0005-0000-0000-0000856A0000}"/>
    <cellStyle name="Normal 2 3 2 4 5" xfId="27270" xr:uid="{00000000-0005-0000-0000-0000866A0000}"/>
    <cellStyle name="Normal 2 3 2 4 5 10" xfId="27271" xr:uid="{00000000-0005-0000-0000-0000876A0000}"/>
    <cellStyle name="Normal 2 3 2 4 5 2" xfId="27272" xr:uid="{00000000-0005-0000-0000-0000886A0000}"/>
    <cellStyle name="Normal 2 3 2 4 5 3" xfId="27273" xr:uid="{00000000-0005-0000-0000-0000896A0000}"/>
    <cellStyle name="Normal 2 3 2 4 5 4" xfId="27274" xr:uid="{00000000-0005-0000-0000-00008A6A0000}"/>
    <cellStyle name="Normal 2 3 2 4 5 5" xfId="27275" xr:uid="{00000000-0005-0000-0000-00008B6A0000}"/>
    <cellStyle name="Normal 2 3 2 4 5 6" xfId="27276" xr:uid="{00000000-0005-0000-0000-00008C6A0000}"/>
    <cellStyle name="Normal 2 3 2 4 5 7" xfId="27277" xr:uid="{00000000-0005-0000-0000-00008D6A0000}"/>
    <cellStyle name="Normal 2 3 2 4 5 8" xfId="27278" xr:uid="{00000000-0005-0000-0000-00008E6A0000}"/>
    <cellStyle name="Normal 2 3 2 4 5 9" xfId="27279" xr:uid="{00000000-0005-0000-0000-00008F6A0000}"/>
    <cellStyle name="Normal 2 3 2 4 6" xfId="27280" xr:uid="{00000000-0005-0000-0000-0000906A0000}"/>
    <cellStyle name="Normal 2 3 2 4 7" xfId="27281" xr:uid="{00000000-0005-0000-0000-0000916A0000}"/>
    <cellStyle name="Normal 2 3 2 4 8" xfId="27282" xr:uid="{00000000-0005-0000-0000-0000926A0000}"/>
    <cellStyle name="Normal 2 3 2 4 9" xfId="27283" xr:uid="{00000000-0005-0000-0000-0000936A0000}"/>
    <cellStyle name="Normal 2 3 2 40" xfId="27284" xr:uid="{00000000-0005-0000-0000-0000946A0000}"/>
    <cellStyle name="Normal 2 3 2 41" xfId="27285" xr:uid="{00000000-0005-0000-0000-0000956A0000}"/>
    <cellStyle name="Normal 2 3 2 42" xfId="27286" xr:uid="{00000000-0005-0000-0000-0000966A0000}"/>
    <cellStyle name="Normal 2 3 2 43" xfId="27287" xr:uid="{00000000-0005-0000-0000-0000976A0000}"/>
    <cellStyle name="Normal 2 3 2 44" xfId="27288" xr:uid="{00000000-0005-0000-0000-0000986A0000}"/>
    <cellStyle name="Normal 2 3 2 45" xfId="27289" xr:uid="{00000000-0005-0000-0000-0000996A0000}"/>
    <cellStyle name="Normal 2 3 2 46" xfId="27290" xr:uid="{00000000-0005-0000-0000-00009A6A0000}"/>
    <cellStyle name="Normal 2 3 2 47" xfId="27291" xr:uid="{00000000-0005-0000-0000-00009B6A0000}"/>
    <cellStyle name="Normal 2 3 2 48" xfId="27292" xr:uid="{00000000-0005-0000-0000-00009C6A0000}"/>
    <cellStyle name="Normal 2 3 2 49" xfId="25885" xr:uid="{00000000-0005-0000-0000-00001D650000}"/>
    <cellStyle name="Normal 2 3 2 5" xfId="27293" xr:uid="{00000000-0005-0000-0000-00009D6A0000}"/>
    <cellStyle name="Normal 2 3 2 5 10" xfId="27294" xr:uid="{00000000-0005-0000-0000-00009E6A0000}"/>
    <cellStyle name="Normal 2 3 2 5 11" xfId="27295" xr:uid="{00000000-0005-0000-0000-00009F6A0000}"/>
    <cellStyle name="Normal 2 3 2 5 12" xfId="27296" xr:uid="{00000000-0005-0000-0000-0000A06A0000}"/>
    <cellStyle name="Normal 2 3 2 5 13" xfId="27297" xr:uid="{00000000-0005-0000-0000-0000A16A0000}"/>
    <cellStyle name="Normal 2 3 2 5 14" xfId="27298" xr:uid="{00000000-0005-0000-0000-0000A26A0000}"/>
    <cellStyle name="Normal 2 3 2 5 2" xfId="27299" xr:uid="{00000000-0005-0000-0000-0000A36A0000}"/>
    <cellStyle name="Normal 2 3 2 5 2 10" xfId="27300" xr:uid="{00000000-0005-0000-0000-0000A46A0000}"/>
    <cellStyle name="Normal 2 3 2 5 2 2" xfId="27301" xr:uid="{00000000-0005-0000-0000-0000A56A0000}"/>
    <cellStyle name="Normal 2 3 2 5 2 3" xfId="27302" xr:uid="{00000000-0005-0000-0000-0000A66A0000}"/>
    <cellStyle name="Normal 2 3 2 5 2 4" xfId="27303" xr:uid="{00000000-0005-0000-0000-0000A76A0000}"/>
    <cellStyle name="Normal 2 3 2 5 2 5" xfId="27304" xr:uid="{00000000-0005-0000-0000-0000A86A0000}"/>
    <cellStyle name="Normal 2 3 2 5 2 6" xfId="27305" xr:uid="{00000000-0005-0000-0000-0000A96A0000}"/>
    <cellStyle name="Normal 2 3 2 5 2 7" xfId="27306" xr:uid="{00000000-0005-0000-0000-0000AA6A0000}"/>
    <cellStyle name="Normal 2 3 2 5 2 8" xfId="27307" xr:uid="{00000000-0005-0000-0000-0000AB6A0000}"/>
    <cellStyle name="Normal 2 3 2 5 2 9" xfId="27308" xr:uid="{00000000-0005-0000-0000-0000AC6A0000}"/>
    <cellStyle name="Normal 2 3 2 5 3" xfId="27309" xr:uid="{00000000-0005-0000-0000-0000AD6A0000}"/>
    <cellStyle name="Normal 2 3 2 5 3 10" xfId="27310" xr:uid="{00000000-0005-0000-0000-0000AE6A0000}"/>
    <cellStyle name="Normal 2 3 2 5 3 2" xfId="27311" xr:uid="{00000000-0005-0000-0000-0000AF6A0000}"/>
    <cellStyle name="Normal 2 3 2 5 3 3" xfId="27312" xr:uid="{00000000-0005-0000-0000-0000B06A0000}"/>
    <cellStyle name="Normal 2 3 2 5 3 4" xfId="27313" xr:uid="{00000000-0005-0000-0000-0000B16A0000}"/>
    <cellStyle name="Normal 2 3 2 5 3 5" xfId="27314" xr:uid="{00000000-0005-0000-0000-0000B26A0000}"/>
    <cellStyle name="Normal 2 3 2 5 3 6" xfId="27315" xr:uid="{00000000-0005-0000-0000-0000B36A0000}"/>
    <cellStyle name="Normal 2 3 2 5 3 7" xfId="27316" xr:uid="{00000000-0005-0000-0000-0000B46A0000}"/>
    <cellStyle name="Normal 2 3 2 5 3 8" xfId="27317" xr:uid="{00000000-0005-0000-0000-0000B56A0000}"/>
    <cellStyle name="Normal 2 3 2 5 3 9" xfId="27318" xr:uid="{00000000-0005-0000-0000-0000B66A0000}"/>
    <cellStyle name="Normal 2 3 2 5 4" xfId="27319" xr:uid="{00000000-0005-0000-0000-0000B76A0000}"/>
    <cellStyle name="Normal 2 3 2 5 4 10" xfId="27320" xr:uid="{00000000-0005-0000-0000-0000B86A0000}"/>
    <cellStyle name="Normal 2 3 2 5 4 2" xfId="27321" xr:uid="{00000000-0005-0000-0000-0000B96A0000}"/>
    <cellStyle name="Normal 2 3 2 5 4 3" xfId="27322" xr:uid="{00000000-0005-0000-0000-0000BA6A0000}"/>
    <cellStyle name="Normal 2 3 2 5 4 4" xfId="27323" xr:uid="{00000000-0005-0000-0000-0000BB6A0000}"/>
    <cellStyle name="Normal 2 3 2 5 4 5" xfId="27324" xr:uid="{00000000-0005-0000-0000-0000BC6A0000}"/>
    <cellStyle name="Normal 2 3 2 5 4 6" xfId="27325" xr:uid="{00000000-0005-0000-0000-0000BD6A0000}"/>
    <cellStyle name="Normal 2 3 2 5 4 7" xfId="27326" xr:uid="{00000000-0005-0000-0000-0000BE6A0000}"/>
    <cellStyle name="Normal 2 3 2 5 4 8" xfId="27327" xr:uid="{00000000-0005-0000-0000-0000BF6A0000}"/>
    <cellStyle name="Normal 2 3 2 5 4 9" xfId="27328" xr:uid="{00000000-0005-0000-0000-0000C06A0000}"/>
    <cellStyle name="Normal 2 3 2 5 5" xfId="27329" xr:uid="{00000000-0005-0000-0000-0000C16A0000}"/>
    <cellStyle name="Normal 2 3 2 5 5 10" xfId="27330" xr:uid="{00000000-0005-0000-0000-0000C26A0000}"/>
    <cellStyle name="Normal 2 3 2 5 5 2" xfId="27331" xr:uid="{00000000-0005-0000-0000-0000C36A0000}"/>
    <cellStyle name="Normal 2 3 2 5 5 3" xfId="27332" xr:uid="{00000000-0005-0000-0000-0000C46A0000}"/>
    <cellStyle name="Normal 2 3 2 5 5 4" xfId="27333" xr:uid="{00000000-0005-0000-0000-0000C56A0000}"/>
    <cellStyle name="Normal 2 3 2 5 5 5" xfId="27334" xr:uid="{00000000-0005-0000-0000-0000C66A0000}"/>
    <cellStyle name="Normal 2 3 2 5 5 6" xfId="27335" xr:uid="{00000000-0005-0000-0000-0000C76A0000}"/>
    <cellStyle name="Normal 2 3 2 5 5 7" xfId="27336" xr:uid="{00000000-0005-0000-0000-0000C86A0000}"/>
    <cellStyle name="Normal 2 3 2 5 5 8" xfId="27337" xr:uid="{00000000-0005-0000-0000-0000C96A0000}"/>
    <cellStyle name="Normal 2 3 2 5 5 9" xfId="27338" xr:uid="{00000000-0005-0000-0000-0000CA6A0000}"/>
    <cellStyle name="Normal 2 3 2 5 6" xfId="27339" xr:uid="{00000000-0005-0000-0000-0000CB6A0000}"/>
    <cellStyle name="Normal 2 3 2 5 7" xfId="27340" xr:uid="{00000000-0005-0000-0000-0000CC6A0000}"/>
    <cellStyle name="Normal 2 3 2 5 8" xfId="27341" xr:uid="{00000000-0005-0000-0000-0000CD6A0000}"/>
    <cellStyle name="Normal 2 3 2 5 9" xfId="27342" xr:uid="{00000000-0005-0000-0000-0000CE6A0000}"/>
    <cellStyle name="Normal 2 3 2 6" xfId="27343" xr:uid="{00000000-0005-0000-0000-0000CF6A0000}"/>
    <cellStyle name="Normal 2 3 2 6 10" xfId="27344" xr:uid="{00000000-0005-0000-0000-0000D06A0000}"/>
    <cellStyle name="Normal 2 3 2 6 11" xfId="27345" xr:uid="{00000000-0005-0000-0000-0000D16A0000}"/>
    <cellStyle name="Normal 2 3 2 6 12" xfId="27346" xr:uid="{00000000-0005-0000-0000-0000D26A0000}"/>
    <cellStyle name="Normal 2 3 2 6 13" xfId="27347" xr:uid="{00000000-0005-0000-0000-0000D36A0000}"/>
    <cellStyle name="Normal 2 3 2 6 14" xfId="27348" xr:uid="{00000000-0005-0000-0000-0000D46A0000}"/>
    <cellStyle name="Normal 2 3 2 6 2" xfId="27349" xr:uid="{00000000-0005-0000-0000-0000D56A0000}"/>
    <cellStyle name="Normal 2 3 2 6 2 10" xfId="27350" xr:uid="{00000000-0005-0000-0000-0000D66A0000}"/>
    <cellStyle name="Normal 2 3 2 6 2 2" xfId="27351" xr:uid="{00000000-0005-0000-0000-0000D76A0000}"/>
    <cellStyle name="Normal 2 3 2 6 2 3" xfId="27352" xr:uid="{00000000-0005-0000-0000-0000D86A0000}"/>
    <cellStyle name="Normal 2 3 2 6 2 4" xfId="27353" xr:uid="{00000000-0005-0000-0000-0000D96A0000}"/>
    <cellStyle name="Normal 2 3 2 6 2 5" xfId="27354" xr:uid="{00000000-0005-0000-0000-0000DA6A0000}"/>
    <cellStyle name="Normal 2 3 2 6 2 6" xfId="27355" xr:uid="{00000000-0005-0000-0000-0000DB6A0000}"/>
    <cellStyle name="Normal 2 3 2 6 2 7" xfId="27356" xr:uid="{00000000-0005-0000-0000-0000DC6A0000}"/>
    <cellStyle name="Normal 2 3 2 6 2 8" xfId="27357" xr:uid="{00000000-0005-0000-0000-0000DD6A0000}"/>
    <cellStyle name="Normal 2 3 2 6 2 9" xfId="27358" xr:uid="{00000000-0005-0000-0000-0000DE6A0000}"/>
    <cellStyle name="Normal 2 3 2 6 3" xfId="27359" xr:uid="{00000000-0005-0000-0000-0000DF6A0000}"/>
    <cellStyle name="Normal 2 3 2 6 3 10" xfId="27360" xr:uid="{00000000-0005-0000-0000-0000E06A0000}"/>
    <cellStyle name="Normal 2 3 2 6 3 2" xfId="27361" xr:uid="{00000000-0005-0000-0000-0000E16A0000}"/>
    <cellStyle name="Normal 2 3 2 6 3 3" xfId="27362" xr:uid="{00000000-0005-0000-0000-0000E26A0000}"/>
    <cellStyle name="Normal 2 3 2 6 3 4" xfId="27363" xr:uid="{00000000-0005-0000-0000-0000E36A0000}"/>
    <cellStyle name="Normal 2 3 2 6 3 5" xfId="27364" xr:uid="{00000000-0005-0000-0000-0000E46A0000}"/>
    <cellStyle name="Normal 2 3 2 6 3 6" xfId="27365" xr:uid="{00000000-0005-0000-0000-0000E56A0000}"/>
    <cellStyle name="Normal 2 3 2 6 3 7" xfId="27366" xr:uid="{00000000-0005-0000-0000-0000E66A0000}"/>
    <cellStyle name="Normal 2 3 2 6 3 8" xfId="27367" xr:uid="{00000000-0005-0000-0000-0000E76A0000}"/>
    <cellStyle name="Normal 2 3 2 6 3 9" xfId="27368" xr:uid="{00000000-0005-0000-0000-0000E86A0000}"/>
    <cellStyle name="Normal 2 3 2 6 4" xfId="27369" xr:uid="{00000000-0005-0000-0000-0000E96A0000}"/>
    <cellStyle name="Normal 2 3 2 6 4 10" xfId="27370" xr:uid="{00000000-0005-0000-0000-0000EA6A0000}"/>
    <cellStyle name="Normal 2 3 2 6 4 2" xfId="27371" xr:uid="{00000000-0005-0000-0000-0000EB6A0000}"/>
    <cellStyle name="Normal 2 3 2 6 4 3" xfId="27372" xr:uid="{00000000-0005-0000-0000-0000EC6A0000}"/>
    <cellStyle name="Normal 2 3 2 6 4 4" xfId="27373" xr:uid="{00000000-0005-0000-0000-0000ED6A0000}"/>
    <cellStyle name="Normal 2 3 2 6 4 5" xfId="27374" xr:uid="{00000000-0005-0000-0000-0000EE6A0000}"/>
    <cellStyle name="Normal 2 3 2 6 4 6" xfId="27375" xr:uid="{00000000-0005-0000-0000-0000EF6A0000}"/>
    <cellStyle name="Normal 2 3 2 6 4 7" xfId="27376" xr:uid="{00000000-0005-0000-0000-0000F06A0000}"/>
    <cellStyle name="Normal 2 3 2 6 4 8" xfId="27377" xr:uid="{00000000-0005-0000-0000-0000F16A0000}"/>
    <cellStyle name="Normal 2 3 2 6 4 9" xfId="27378" xr:uid="{00000000-0005-0000-0000-0000F26A0000}"/>
    <cellStyle name="Normal 2 3 2 6 5" xfId="27379" xr:uid="{00000000-0005-0000-0000-0000F36A0000}"/>
    <cellStyle name="Normal 2 3 2 6 5 10" xfId="27380" xr:uid="{00000000-0005-0000-0000-0000F46A0000}"/>
    <cellStyle name="Normal 2 3 2 6 5 2" xfId="27381" xr:uid="{00000000-0005-0000-0000-0000F56A0000}"/>
    <cellStyle name="Normal 2 3 2 6 5 3" xfId="27382" xr:uid="{00000000-0005-0000-0000-0000F66A0000}"/>
    <cellStyle name="Normal 2 3 2 6 5 4" xfId="27383" xr:uid="{00000000-0005-0000-0000-0000F76A0000}"/>
    <cellStyle name="Normal 2 3 2 6 5 5" xfId="27384" xr:uid="{00000000-0005-0000-0000-0000F86A0000}"/>
    <cellStyle name="Normal 2 3 2 6 5 6" xfId="27385" xr:uid="{00000000-0005-0000-0000-0000F96A0000}"/>
    <cellStyle name="Normal 2 3 2 6 5 7" xfId="27386" xr:uid="{00000000-0005-0000-0000-0000FA6A0000}"/>
    <cellStyle name="Normal 2 3 2 6 5 8" xfId="27387" xr:uid="{00000000-0005-0000-0000-0000FB6A0000}"/>
    <cellStyle name="Normal 2 3 2 6 5 9" xfId="27388" xr:uid="{00000000-0005-0000-0000-0000FC6A0000}"/>
    <cellStyle name="Normal 2 3 2 6 6" xfId="27389" xr:uid="{00000000-0005-0000-0000-0000FD6A0000}"/>
    <cellStyle name="Normal 2 3 2 6 7" xfId="27390" xr:uid="{00000000-0005-0000-0000-0000FE6A0000}"/>
    <cellStyle name="Normal 2 3 2 6 8" xfId="27391" xr:uid="{00000000-0005-0000-0000-0000FF6A0000}"/>
    <cellStyle name="Normal 2 3 2 6 9" xfId="27392" xr:uid="{00000000-0005-0000-0000-0000006B0000}"/>
    <cellStyle name="Normal 2 3 2 7" xfId="27393" xr:uid="{00000000-0005-0000-0000-0000016B0000}"/>
    <cellStyle name="Normal 2 3 2 7 10" xfId="27394" xr:uid="{00000000-0005-0000-0000-0000026B0000}"/>
    <cellStyle name="Normal 2 3 2 7 11" xfId="27395" xr:uid="{00000000-0005-0000-0000-0000036B0000}"/>
    <cellStyle name="Normal 2 3 2 7 12" xfId="27396" xr:uid="{00000000-0005-0000-0000-0000046B0000}"/>
    <cellStyle name="Normal 2 3 2 7 13" xfId="27397" xr:uid="{00000000-0005-0000-0000-0000056B0000}"/>
    <cellStyle name="Normal 2 3 2 7 14" xfId="27398" xr:uid="{00000000-0005-0000-0000-0000066B0000}"/>
    <cellStyle name="Normal 2 3 2 7 2" xfId="27399" xr:uid="{00000000-0005-0000-0000-0000076B0000}"/>
    <cellStyle name="Normal 2 3 2 7 2 10" xfId="27400" xr:uid="{00000000-0005-0000-0000-0000086B0000}"/>
    <cellStyle name="Normal 2 3 2 7 2 2" xfId="27401" xr:uid="{00000000-0005-0000-0000-0000096B0000}"/>
    <cellStyle name="Normal 2 3 2 7 2 3" xfId="27402" xr:uid="{00000000-0005-0000-0000-00000A6B0000}"/>
    <cellStyle name="Normal 2 3 2 7 2 4" xfId="27403" xr:uid="{00000000-0005-0000-0000-00000B6B0000}"/>
    <cellStyle name="Normal 2 3 2 7 2 5" xfId="27404" xr:uid="{00000000-0005-0000-0000-00000C6B0000}"/>
    <cellStyle name="Normal 2 3 2 7 2 6" xfId="27405" xr:uid="{00000000-0005-0000-0000-00000D6B0000}"/>
    <cellStyle name="Normal 2 3 2 7 2 7" xfId="27406" xr:uid="{00000000-0005-0000-0000-00000E6B0000}"/>
    <cellStyle name="Normal 2 3 2 7 2 8" xfId="27407" xr:uid="{00000000-0005-0000-0000-00000F6B0000}"/>
    <cellStyle name="Normal 2 3 2 7 2 9" xfId="27408" xr:uid="{00000000-0005-0000-0000-0000106B0000}"/>
    <cellStyle name="Normal 2 3 2 7 3" xfId="27409" xr:uid="{00000000-0005-0000-0000-0000116B0000}"/>
    <cellStyle name="Normal 2 3 2 7 3 10" xfId="27410" xr:uid="{00000000-0005-0000-0000-0000126B0000}"/>
    <cellStyle name="Normal 2 3 2 7 3 2" xfId="27411" xr:uid="{00000000-0005-0000-0000-0000136B0000}"/>
    <cellStyle name="Normal 2 3 2 7 3 3" xfId="27412" xr:uid="{00000000-0005-0000-0000-0000146B0000}"/>
    <cellStyle name="Normal 2 3 2 7 3 4" xfId="27413" xr:uid="{00000000-0005-0000-0000-0000156B0000}"/>
    <cellStyle name="Normal 2 3 2 7 3 5" xfId="27414" xr:uid="{00000000-0005-0000-0000-0000166B0000}"/>
    <cellStyle name="Normal 2 3 2 7 3 6" xfId="27415" xr:uid="{00000000-0005-0000-0000-0000176B0000}"/>
    <cellStyle name="Normal 2 3 2 7 3 7" xfId="27416" xr:uid="{00000000-0005-0000-0000-0000186B0000}"/>
    <cellStyle name="Normal 2 3 2 7 3 8" xfId="27417" xr:uid="{00000000-0005-0000-0000-0000196B0000}"/>
    <cellStyle name="Normal 2 3 2 7 3 9" xfId="27418" xr:uid="{00000000-0005-0000-0000-00001A6B0000}"/>
    <cellStyle name="Normal 2 3 2 7 4" xfId="27419" xr:uid="{00000000-0005-0000-0000-00001B6B0000}"/>
    <cellStyle name="Normal 2 3 2 7 4 10" xfId="27420" xr:uid="{00000000-0005-0000-0000-00001C6B0000}"/>
    <cellStyle name="Normal 2 3 2 7 4 2" xfId="27421" xr:uid="{00000000-0005-0000-0000-00001D6B0000}"/>
    <cellStyle name="Normal 2 3 2 7 4 3" xfId="27422" xr:uid="{00000000-0005-0000-0000-00001E6B0000}"/>
    <cellStyle name="Normal 2 3 2 7 4 4" xfId="27423" xr:uid="{00000000-0005-0000-0000-00001F6B0000}"/>
    <cellStyle name="Normal 2 3 2 7 4 5" xfId="27424" xr:uid="{00000000-0005-0000-0000-0000206B0000}"/>
    <cellStyle name="Normal 2 3 2 7 4 6" xfId="27425" xr:uid="{00000000-0005-0000-0000-0000216B0000}"/>
    <cellStyle name="Normal 2 3 2 7 4 7" xfId="27426" xr:uid="{00000000-0005-0000-0000-0000226B0000}"/>
    <cellStyle name="Normal 2 3 2 7 4 8" xfId="27427" xr:uid="{00000000-0005-0000-0000-0000236B0000}"/>
    <cellStyle name="Normal 2 3 2 7 4 9" xfId="27428" xr:uid="{00000000-0005-0000-0000-0000246B0000}"/>
    <cellStyle name="Normal 2 3 2 7 5" xfId="27429" xr:uid="{00000000-0005-0000-0000-0000256B0000}"/>
    <cellStyle name="Normal 2 3 2 7 5 10" xfId="27430" xr:uid="{00000000-0005-0000-0000-0000266B0000}"/>
    <cellStyle name="Normal 2 3 2 7 5 2" xfId="27431" xr:uid="{00000000-0005-0000-0000-0000276B0000}"/>
    <cellStyle name="Normal 2 3 2 7 5 3" xfId="27432" xr:uid="{00000000-0005-0000-0000-0000286B0000}"/>
    <cellStyle name="Normal 2 3 2 7 5 4" xfId="27433" xr:uid="{00000000-0005-0000-0000-0000296B0000}"/>
    <cellStyle name="Normal 2 3 2 7 5 5" xfId="27434" xr:uid="{00000000-0005-0000-0000-00002A6B0000}"/>
    <cellStyle name="Normal 2 3 2 7 5 6" xfId="27435" xr:uid="{00000000-0005-0000-0000-00002B6B0000}"/>
    <cellStyle name="Normal 2 3 2 7 5 7" xfId="27436" xr:uid="{00000000-0005-0000-0000-00002C6B0000}"/>
    <cellStyle name="Normal 2 3 2 7 5 8" xfId="27437" xr:uid="{00000000-0005-0000-0000-00002D6B0000}"/>
    <cellStyle name="Normal 2 3 2 7 5 9" xfId="27438" xr:uid="{00000000-0005-0000-0000-00002E6B0000}"/>
    <cellStyle name="Normal 2 3 2 7 6" xfId="27439" xr:uid="{00000000-0005-0000-0000-00002F6B0000}"/>
    <cellStyle name="Normal 2 3 2 7 7" xfId="27440" xr:uid="{00000000-0005-0000-0000-0000306B0000}"/>
    <cellStyle name="Normal 2 3 2 7 8" xfId="27441" xr:uid="{00000000-0005-0000-0000-0000316B0000}"/>
    <cellStyle name="Normal 2 3 2 7 9" xfId="27442" xr:uid="{00000000-0005-0000-0000-0000326B0000}"/>
    <cellStyle name="Normal 2 3 2 8" xfId="27443" xr:uid="{00000000-0005-0000-0000-0000336B0000}"/>
    <cellStyle name="Normal 2 3 2 8 10" xfId="27444" xr:uid="{00000000-0005-0000-0000-0000346B0000}"/>
    <cellStyle name="Normal 2 3 2 8 11" xfId="27445" xr:uid="{00000000-0005-0000-0000-0000356B0000}"/>
    <cellStyle name="Normal 2 3 2 8 12" xfId="27446" xr:uid="{00000000-0005-0000-0000-0000366B0000}"/>
    <cellStyle name="Normal 2 3 2 8 13" xfId="27447" xr:uid="{00000000-0005-0000-0000-0000376B0000}"/>
    <cellStyle name="Normal 2 3 2 8 14" xfId="27448" xr:uid="{00000000-0005-0000-0000-0000386B0000}"/>
    <cellStyle name="Normal 2 3 2 8 2" xfId="27449" xr:uid="{00000000-0005-0000-0000-0000396B0000}"/>
    <cellStyle name="Normal 2 3 2 8 2 10" xfId="27450" xr:uid="{00000000-0005-0000-0000-00003A6B0000}"/>
    <cellStyle name="Normal 2 3 2 8 2 2" xfId="27451" xr:uid="{00000000-0005-0000-0000-00003B6B0000}"/>
    <cellStyle name="Normal 2 3 2 8 2 3" xfId="27452" xr:uid="{00000000-0005-0000-0000-00003C6B0000}"/>
    <cellStyle name="Normal 2 3 2 8 2 4" xfId="27453" xr:uid="{00000000-0005-0000-0000-00003D6B0000}"/>
    <cellStyle name="Normal 2 3 2 8 2 5" xfId="27454" xr:uid="{00000000-0005-0000-0000-00003E6B0000}"/>
    <cellStyle name="Normal 2 3 2 8 2 6" xfId="27455" xr:uid="{00000000-0005-0000-0000-00003F6B0000}"/>
    <cellStyle name="Normal 2 3 2 8 2 7" xfId="27456" xr:uid="{00000000-0005-0000-0000-0000406B0000}"/>
    <cellStyle name="Normal 2 3 2 8 2 8" xfId="27457" xr:uid="{00000000-0005-0000-0000-0000416B0000}"/>
    <cellStyle name="Normal 2 3 2 8 2 9" xfId="27458" xr:uid="{00000000-0005-0000-0000-0000426B0000}"/>
    <cellStyle name="Normal 2 3 2 8 3" xfId="27459" xr:uid="{00000000-0005-0000-0000-0000436B0000}"/>
    <cellStyle name="Normal 2 3 2 8 3 10" xfId="27460" xr:uid="{00000000-0005-0000-0000-0000446B0000}"/>
    <cellStyle name="Normal 2 3 2 8 3 2" xfId="27461" xr:uid="{00000000-0005-0000-0000-0000456B0000}"/>
    <cellStyle name="Normal 2 3 2 8 3 3" xfId="27462" xr:uid="{00000000-0005-0000-0000-0000466B0000}"/>
    <cellStyle name="Normal 2 3 2 8 3 4" xfId="27463" xr:uid="{00000000-0005-0000-0000-0000476B0000}"/>
    <cellStyle name="Normal 2 3 2 8 3 5" xfId="27464" xr:uid="{00000000-0005-0000-0000-0000486B0000}"/>
    <cellStyle name="Normal 2 3 2 8 3 6" xfId="27465" xr:uid="{00000000-0005-0000-0000-0000496B0000}"/>
    <cellStyle name="Normal 2 3 2 8 3 7" xfId="27466" xr:uid="{00000000-0005-0000-0000-00004A6B0000}"/>
    <cellStyle name="Normal 2 3 2 8 3 8" xfId="27467" xr:uid="{00000000-0005-0000-0000-00004B6B0000}"/>
    <cellStyle name="Normal 2 3 2 8 3 9" xfId="27468" xr:uid="{00000000-0005-0000-0000-00004C6B0000}"/>
    <cellStyle name="Normal 2 3 2 8 4" xfId="27469" xr:uid="{00000000-0005-0000-0000-00004D6B0000}"/>
    <cellStyle name="Normal 2 3 2 8 4 10" xfId="27470" xr:uid="{00000000-0005-0000-0000-00004E6B0000}"/>
    <cellStyle name="Normal 2 3 2 8 4 2" xfId="27471" xr:uid="{00000000-0005-0000-0000-00004F6B0000}"/>
    <cellStyle name="Normal 2 3 2 8 4 3" xfId="27472" xr:uid="{00000000-0005-0000-0000-0000506B0000}"/>
    <cellStyle name="Normal 2 3 2 8 4 4" xfId="27473" xr:uid="{00000000-0005-0000-0000-0000516B0000}"/>
    <cellStyle name="Normal 2 3 2 8 4 5" xfId="27474" xr:uid="{00000000-0005-0000-0000-0000526B0000}"/>
    <cellStyle name="Normal 2 3 2 8 4 6" xfId="27475" xr:uid="{00000000-0005-0000-0000-0000536B0000}"/>
    <cellStyle name="Normal 2 3 2 8 4 7" xfId="27476" xr:uid="{00000000-0005-0000-0000-0000546B0000}"/>
    <cellStyle name="Normal 2 3 2 8 4 8" xfId="27477" xr:uid="{00000000-0005-0000-0000-0000556B0000}"/>
    <cellStyle name="Normal 2 3 2 8 4 9" xfId="27478" xr:uid="{00000000-0005-0000-0000-0000566B0000}"/>
    <cellStyle name="Normal 2 3 2 8 5" xfId="27479" xr:uid="{00000000-0005-0000-0000-0000576B0000}"/>
    <cellStyle name="Normal 2 3 2 8 5 10" xfId="27480" xr:uid="{00000000-0005-0000-0000-0000586B0000}"/>
    <cellStyle name="Normal 2 3 2 8 5 2" xfId="27481" xr:uid="{00000000-0005-0000-0000-0000596B0000}"/>
    <cellStyle name="Normal 2 3 2 8 5 3" xfId="27482" xr:uid="{00000000-0005-0000-0000-00005A6B0000}"/>
    <cellStyle name="Normal 2 3 2 8 5 4" xfId="27483" xr:uid="{00000000-0005-0000-0000-00005B6B0000}"/>
    <cellStyle name="Normal 2 3 2 8 5 5" xfId="27484" xr:uid="{00000000-0005-0000-0000-00005C6B0000}"/>
    <cellStyle name="Normal 2 3 2 8 5 6" xfId="27485" xr:uid="{00000000-0005-0000-0000-00005D6B0000}"/>
    <cellStyle name="Normal 2 3 2 8 5 7" xfId="27486" xr:uid="{00000000-0005-0000-0000-00005E6B0000}"/>
    <cellStyle name="Normal 2 3 2 8 5 8" xfId="27487" xr:uid="{00000000-0005-0000-0000-00005F6B0000}"/>
    <cellStyle name="Normal 2 3 2 8 5 9" xfId="27488" xr:uid="{00000000-0005-0000-0000-0000606B0000}"/>
    <cellStyle name="Normal 2 3 2 8 6" xfId="27489" xr:uid="{00000000-0005-0000-0000-0000616B0000}"/>
    <cellStyle name="Normal 2 3 2 8 7" xfId="27490" xr:uid="{00000000-0005-0000-0000-0000626B0000}"/>
    <cellStyle name="Normal 2 3 2 8 8" xfId="27491" xr:uid="{00000000-0005-0000-0000-0000636B0000}"/>
    <cellStyle name="Normal 2 3 2 8 9" xfId="27492" xr:uid="{00000000-0005-0000-0000-0000646B0000}"/>
    <cellStyle name="Normal 2 3 2 9" xfId="27493" xr:uid="{00000000-0005-0000-0000-0000656B0000}"/>
    <cellStyle name="Normal 2 3 2 9 10" xfId="27494" xr:uid="{00000000-0005-0000-0000-0000666B0000}"/>
    <cellStyle name="Normal 2 3 2 9 11" xfId="27495" xr:uid="{00000000-0005-0000-0000-0000676B0000}"/>
    <cellStyle name="Normal 2 3 2 9 12" xfId="27496" xr:uid="{00000000-0005-0000-0000-0000686B0000}"/>
    <cellStyle name="Normal 2 3 2 9 13" xfId="27497" xr:uid="{00000000-0005-0000-0000-0000696B0000}"/>
    <cellStyle name="Normal 2 3 2 9 14" xfId="27498" xr:uid="{00000000-0005-0000-0000-00006A6B0000}"/>
    <cellStyle name="Normal 2 3 2 9 2" xfId="27499" xr:uid="{00000000-0005-0000-0000-00006B6B0000}"/>
    <cellStyle name="Normal 2 3 2 9 2 10" xfId="27500" xr:uid="{00000000-0005-0000-0000-00006C6B0000}"/>
    <cellStyle name="Normal 2 3 2 9 2 2" xfId="27501" xr:uid="{00000000-0005-0000-0000-00006D6B0000}"/>
    <cellStyle name="Normal 2 3 2 9 2 3" xfId="27502" xr:uid="{00000000-0005-0000-0000-00006E6B0000}"/>
    <cellStyle name="Normal 2 3 2 9 2 4" xfId="27503" xr:uid="{00000000-0005-0000-0000-00006F6B0000}"/>
    <cellStyle name="Normal 2 3 2 9 2 5" xfId="27504" xr:uid="{00000000-0005-0000-0000-0000706B0000}"/>
    <cellStyle name="Normal 2 3 2 9 2 6" xfId="27505" xr:uid="{00000000-0005-0000-0000-0000716B0000}"/>
    <cellStyle name="Normal 2 3 2 9 2 7" xfId="27506" xr:uid="{00000000-0005-0000-0000-0000726B0000}"/>
    <cellStyle name="Normal 2 3 2 9 2 8" xfId="27507" xr:uid="{00000000-0005-0000-0000-0000736B0000}"/>
    <cellStyle name="Normal 2 3 2 9 2 9" xfId="27508" xr:uid="{00000000-0005-0000-0000-0000746B0000}"/>
    <cellStyle name="Normal 2 3 2 9 3" xfId="27509" xr:uid="{00000000-0005-0000-0000-0000756B0000}"/>
    <cellStyle name="Normal 2 3 2 9 3 10" xfId="27510" xr:uid="{00000000-0005-0000-0000-0000766B0000}"/>
    <cellStyle name="Normal 2 3 2 9 3 2" xfId="27511" xr:uid="{00000000-0005-0000-0000-0000776B0000}"/>
    <cellStyle name="Normal 2 3 2 9 3 3" xfId="27512" xr:uid="{00000000-0005-0000-0000-0000786B0000}"/>
    <cellStyle name="Normal 2 3 2 9 3 4" xfId="27513" xr:uid="{00000000-0005-0000-0000-0000796B0000}"/>
    <cellStyle name="Normal 2 3 2 9 3 5" xfId="27514" xr:uid="{00000000-0005-0000-0000-00007A6B0000}"/>
    <cellStyle name="Normal 2 3 2 9 3 6" xfId="27515" xr:uid="{00000000-0005-0000-0000-00007B6B0000}"/>
    <cellStyle name="Normal 2 3 2 9 3 7" xfId="27516" xr:uid="{00000000-0005-0000-0000-00007C6B0000}"/>
    <cellStyle name="Normal 2 3 2 9 3 8" xfId="27517" xr:uid="{00000000-0005-0000-0000-00007D6B0000}"/>
    <cellStyle name="Normal 2 3 2 9 3 9" xfId="27518" xr:uid="{00000000-0005-0000-0000-00007E6B0000}"/>
    <cellStyle name="Normal 2 3 2 9 4" xfId="27519" xr:uid="{00000000-0005-0000-0000-00007F6B0000}"/>
    <cellStyle name="Normal 2 3 2 9 4 10" xfId="27520" xr:uid="{00000000-0005-0000-0000-0000806B0000}"/>
    <cellStyle name="Normal 2 3 2 9 4 2" xfId="27521" xr:uid="{00000000-0005-0000-0000-0000816B0000}"/>
    <cellStyle name="Normal 2 3 2 9 4 3" xfId="27522" xr:uid="{00000000-0005-0000-0000-0000826B0000}"/>
    <cellStyle name="Normal 2 3 2 9 4 4" xfId="27523" xr:uid="{00000000-0005-0000-0000-0000836B0000}"/>
    <cellStyle name="Normal 2 3 2 9 4 5" xfId="27524" xr:uid="{00000000-0005-0000-0000-0000846B0000}"/>
    <cellStyle name="Normal 2 3 2 9 4 6" xfId="27525" xr:uid="{00000000-0005-0000-0000-0000856B0000}"/>
    <cellStyle name="Normal 2 3 2 9 4 7" xfId="27526" xr:uid="{00000000-0005-0000-0000-0000866B0000}"/>
    <cellStyle name="Normal 2 3 2 9 4 8" xfId="27527" xr:uid="{00000000-0005-0000-0000-0000876B0000}"/>
    <cellStyle name="Normal 2 3 2 9 4 9" xfId="27528" xr:uid="{00000000-0005-0000-0000-0000886B0000}"/>
    <cellStyle name="Normal 2 3 2 9 5" xfId="27529" xr:uid="{00000000-0005-0000-0000-0000896B0000}"/>
    <cellStyle name="Normal 2 3 2 9 5 10" xfId="27530" xr:uid="{00000000-0005-0000-0000-00008A6B0000}"/>
    <cellStyle name="Normal 2 3 2 9 5 2" xfId="27531" xr:uid="{00000000-0005-0000-0000-00008B6B0000}"/>
    <cellStyle name="Normal 2 3 2 9 5 3" xfId="27532" xr:uid="{00000000-0005-0000-0000-00008C6B0000}"/>
    <cellStyle name="Normal 2 3 2 9 5 4" xfId="27533" xr:uid="{00000000-0005-0000-0000-00008D6B0000}"/>
    <cellStyle name="Normal 2 3 2 9 5 5" xfId="27534" xr:uid="{00000000-0005-0000-0000-00008E6B0000}"/>
    <cellStyle name="Normal 2 3 2 9 5 6" xfId="27535" xr:uid="{00000000-0005-0000-0000-00008F6B0000}"/>
    <cellStyle name="Normal 2 3 2 9 5 7" xfId="27536" xr:uid="{00000000-0005-0000-0000-0000906B0000}"/>
    <cellStyle name="Normal 2 3 2 9 5 8" xfId="27537" xr:uid="{00000000-0005-0000-0000-0000916B0000}"/>
    <cellStyle name="Normal 2 3 2 9 5 9" xfId="27538" xr:uid="{00000000-0005-0000-0000-0000926B0000}"/>
    <cellStyle name="Normal 2 3 2 9 6" xfId="27539" xr:uid="{00000000-0005-0000-0000-0000936B0000}"/>
    <cellStyle name="Normal 2 3 2 9 7" xfId="27540" xr:uid="{00000000-0005-0000-0000-0000946B0000}"/>
    <cellStyle name="Normal 2 3 2 9 8" xfId="27541" xr:uid="{00000000-0005-0000-0000-0000956B0000}"/>
    <cellStyle name="Normal 2 3 2 9 9" xfId="27542" xr:uid="{00000000-0005-0000-0000-0000966B0000}"/>
    <cellStyle name="Normal 2 3 20" xfId="27543" xr:uid="{00000000-0005-0000-0000-0000976B0000}"/>
    <cellStyle name="Normal 2 3 20 10" xfId="27544" xr:uid="{00000000-0005-0000-0000-0000986B0000}"/>
    <cellStyle name="Normal 2 3 20 11" xfId="27545" xr:uid="{00000000-0005-0000-0000-0000996B0000}"/>
    <cellStyle name="Normal 2 3 20 12" xfId="27546" xr:uid="{00000000-0005-0000-0000-00009A6B0000}"/>
    <cellStyle name="Normal 2 3 20 13" xfId="27547" xr:uid="{00000000-0005-0000-0000-00009B6B0000}"/>
    <cellStyle name="Normal 2 3 20 14" xfId="27548" xr:uid="{00000000-0005-0000-0000-00009C6B0000}"/>
    <cellStyle name="Normal 2 3 20 2" xfId="27549" xr:uid="{00000000-0005-0000-0000-00009D6B0000}"/>
    <cellStyle name="Normal 2 3 20 2 10" xfId="27550" xr:uid="{00000000-0005-0000-0000-00009E6B0000}"/>
    <cellStyle name="Normal 2 3 20 2 2" xfId="27551" xr:uid="{00000000-0005-0000-0000-00009F6B0000}"/>
    <cellStyle name="Normal 2 3 20 2 3" xfId="27552" xr:uid="{00000000-0005-0000-0000-0000A06B0000}"/>
    <cellStyle name="Normal 2 3 20 2 4" xfId="27553" xr:uid="{00000000-0005-0000-0000-0000A16B0000}"/>
    <cellStyle name="Normal 2 3 20 2 5" xfId="27554" xr:uid="{00000000-0005-0000-0000-0000A26B0000}"/>
    <cellStyle name="Normal 2 3 20 2 6" xfId="27555" xr:uid="{00000000-0005-0000-0000-0000A36B0000}"/>
    <cellStyle name="Normal 2 3 20 2 7" xfId="27556" xr:uid="{00000000-0005-0000-0000-0000A46B0000}"/>
    <cellStyle name="Normal 2 3 20 2 8" xfId="27557" xr:uid="{00000000-0005-0000-0000-0000A56B0000}"/>
    <cellStyle name="Normal 2 3 20 2 9" xfId="27558" xr:uid="{00000000-0005-0000-0000-0000A66B0000}"/>
    <cellStyle name="Normal 2 3 20 3" xfId="27559" xr:uid="{00000000-0005-0000-0000-0000A76B0000}"/>
    <cellStyle name="Normal 2 3 20 3 10" xfId="27560" xr:uid="{00000000-0005-0000-0000-0000A86B0000}"/>
    <cellStyle name="Normal 2 3 20 3 2" xfId="27561" xr:uid="{00000000-0005-0000-0000-0000A96B0000}"/>
    <cellStyle name="Normal 2 3 20 3 3" xfId="27562" xr:uid="{00000000-0005-0000-0000-0000AA6B0000}"/>
    <cellStyle name="Normal 2 3 20 3 4" xfId="27563" xr:uid="{00000000-0005-0000-0000-0000AB6B0000}"/>
    <cellStyle name="Normal 2 3 20 3 5" xfId="27564" xr:uid="{00000000-0005-0000-0000-0000AC6B0000}"/>
    <cellStyle name="Normal 2 3 20 3 6" xfId="27565" xr:uid="{00000000-0005-0000-0000-0000AD6B0000}"/>
    <cellStyle name="Normal 2 3 20 3 7" xfId="27566" xr:uid="{00000000-0005-0000-0000-0000AE6B0000}"/>
    <cellStyle name="Normal 2 3 20 3 8" xfId="27567" xr:uid="{00000000-0005-0000-0000-0000AF6B0000}"/>
    <cellStyle name="Normal 2 3 20 3 9" xfId="27568" xr:uid="{00000000-0005-0000-0000-0000B06B0000}"/>
    <cellStyle name="Normal 2 3 20 4" xfId="27569" xr:uid="{00000000-0005-0000-0000-0000B16B0000}"/>
    <cellStyle name="Normal 2 3 20 4 10" xfId="27570" xr:uid="{00000000-0005-0000-0000-0000B26B0000}"/>
    <cellStyle name="Normal 2 3 20 4 2" xfId="27571" xr:uid="{00000000-0005-0000-0000-0000B36B0000}"/>
    <cellStyle name="Normal 2 3 20 4 3" xfId="27572" xr:uid="{00000000-0005-0000-0000-0000B46B0000}"/>
    <cellStyle name="Normal 2 3 20 4 4" xfId="27573" xr:uid="{00000000-0005-0000-0000-0000B56B0000}"/>
    <cellStyle name="Normal 2 3 20 4 5" xfId="27574" xr:uid="{00000000-0005-0000-0000-0000B66B0000}"/>
    <cellStyle name="Normal 2 3 20 4 6" xfId="27575" xr:uid="{00000000-0005-0000-0000-0000B76B0000}"/>
    <cellStyle name="Normal 2 3 20 4 7" xfId="27576" xr:uid="{00000000-0005-0000-0000-0000B86B0000}"/>
    <cellStyle name="Normal 2 3 20 4 8" xfId="27577" xr:uid="{00000000-0005-0000-0000-0000B96B0000}"/>
    <cellStyle name="Normal 2 3 20 4 9" xfId="27578" xr:uid="{00000000-0005-0000-0000-0000BA6B0000}"/>
    <cellStyle name="Normal 2 3 20 5" xfId="27579" xr:uid="{00000000-0005-0000-0000-0000BB6B0000}"/>
    <cellStyle name="Normal 2 3 20 5 10" xfId="27580" xr:uid="{00000000-0005-0000-0000-0000BC6B0000}"/>
    <cellStyle name="Normal 2 3 20 5 2" xfId="27581" xr:uid="{00000000-0005-0000-0000-0000BD6B0000}"/>
    <cellStyle name="Normal 2 3 20 5 3" xfId="27582" xr:uid="{00000000-0005-0000-0000-0000BE6B0000}"/>
    <cellStyle name="Normal 2 3 20 5 4" xfId="27583" xr:uid="{00000000-0005-0000-0000-0000BF6B0000}"/>
    <cellStyle name="Normal 2 3 20 5 5" xfId="27584" xr:uid="{00000000-0005-0000-0000-0000C06B0000}"/>
    <cellStyle name="Normal 2 3 20 5 6" xfId="27585" xr:uid="{00000000-0005-0000-0000-0000C16B0000}"/>
    <cellStyle name="Normal 2 3 20 5 7" xfId="27586" xr:uid="{00000000-0005-0000-0000-0000C26B0000}"/>
    <cellStyle name="Normal 2 3 20 5 8" xfId="27587" xr:uid="{00000000-0005-0000-0000-0000C36B0000}"/>
    <cellStyle name="Normal 2 3 20 5 9" xfId="27588" xr:uid="{00000000-0005-0000-0000-0000C46B0000}"/>
    <cellStyle name="Normal 2 3 20 6" xfId="27589" xr:uid="{00000000-0005-0000-0000-0000C56B0000}"/>
    <cellStyle name="Normal 2 3 20 7" xfId="27590" xr:uid="{00000000-0005-0000-0000-0000C66B0000}"/>
    <cellStyle name="Normal 2 3 20 8" xfId="27591" xr:uid="{00000000-0005-0000-0000-0000C76B0000}"/>
    <cellStyle name="Normal 2 3 20 9" xfId="27592" xr:uid="{00000000-0005-0000-0000-0000C86B0000}"/>
    <cellStyle name="Normal 2 3 21" xfId="27593" xr:uid="{00000000-0005-0000-0000-0000C96B0000}"/>
    <cellStyle name="Normal 2 3 21 10" xfId="27594" xr:uid="{00000000-0005-0000-0000-0000CA6B0000}"/>
    <cellStyle name="Normal 2 3 21 11" xfId="27595" xr:uid="{00000000-0005-0000-0000-0000CB6B0000}"/>
    <cellStyle name="Normal 2 3 21 12" xfId="27596" xr:uid="{00000000-0005-0000-0000-0000CC6B0000}"/>
    <cellStyle name="Normal 2 3 21 13" xfId="27597" xr:uid="{00000000-0005-0000-0000-0000CD6B0000}"/>
    <cellStyle name="Normal 2 3 21 14" xfId="27598" xr:uid="{00000000-0005-0000-0000-0000CE6B0000}"/>
    <cellStyle name="Normal 2 3 21 2" xfId="27599" xr:uid="{00000000-0005-0000-0000-0000CF6B0000}"/>
    <cellStyle name="Normal 2 3 21 2 10" xfId="27600" xr:uid="{00000000-0005-0000-0000-0000D06B0000}"/>
    <cellStyle name="Normal 2 3 21 2 2" xfId="27601" xr:uid="{00000000-0005-0000-0000-0000D16B0000}"/>
    <cellStyle name="Normal 2 3 21 2 3" xfId="27602" xr:uid="{00000000-0005-0000-0000-0000D26B0000}"/>
    <cellStyle name="Normal 2 3 21 2 4" xfId="27603" xr:uid="{00000000-0005-0000-0000-0000D36B0000}"/>
    <cellStyle name="Normal 2 3 21 2 5" xfId="27604" xr:uid="{00000000-0005-0000-0000-0000D46B0000}"/>
    <cellStyle name="Normal 2 3 21 2 6" xfId="27605" xr:uid="{00000000-0005-0000-0000-0000D56B0000}"/>
    <cellStyle name="Normal 2 3 21 2 7" xfId="27606" xr:uid="{00000000-0005-0000-0000-0000D66B0000}"/>
    <cellStyle name="Normal 2 3 21 2 8" xfId="27607" xr:uid="{00000000-0005-0000-0000-0000D76B0000}"/>
    <cellStyle name="Normal 2 3 21 2 9" xfId="27608" xr:uid="{00000000-0005-0000-0000-0000D86B0000}"/>
    <cellStyle name="Normal 2 3 21 3" xfId="27609" xr:uid="{00000000-0005-0000-0000-0000D96B0000}"/>
    <cellStyle name="Normal 2 3 21 3 10" xfId="27610" xr:uid="{00000000-0005-0000-0000-0000DA6B0000}"/>
    <cellStyle name="Normal 2 3 21 3 2" xfId="27611" xr:uid="{00000000-0005-0000-0000-0000DB6B0000}"/>
    <cellStyle name="Normal 2 3 21 3 3" xfId="27612" xr:uid="{00000000-0005-0000-0000-0000DC6B0000}"/>
    <cellStyle name="Normal 2 3 21 3 4" xfId="27613" xr:uid="{00000000-0005-0000-0000-0000DD6B0000}"/>
    <cellStyle name="Normal 2 3 21 3 5" xfId="27614" xr:uid="{00000000-0005-0000-0000-0000DE6B0000}"/>
    <cellStyle name="Normal 2 3 21 3 6" xfId="27615" xr:uid="{00000000-0005-0000-0000-0000DF6B0000}"/>
    <cellStyle name="Normal 2 3 21 3 7" xfId="27616" xr:uid="{00000000-0005-0000-0000-0000E06B0000}"/>
    <cellStyle name="Normal 2 3 21 3 8" xfId="27617" xr:uid="{00000000-0005-0000-0000-0000E16B0000}"/>
    <cellStyle name="Normal 2 3 21 3 9" xfId="27618" xr:uid="{00000000-0005-0000-0000-0000E26B0000}"/>
    <cellStyle name="Normal 2 3 21 4" xfId="27619" xr:uid="{00000000-0005-0000-0000-0000E36B0000}"/>
    <cellStyle name="Normal 2 3 21 4 10" xfId="27620" xr:uid="{00000000-0005-0000-0000-0000E46B0000}"/>
    <cellStyle name="Normal 2 3 21 4 2" xfId="27621" xr:uid="{00000000-0005-0000-0000-0000E56B0000}"/>
    <cellStyle name="Normal 2 3 21 4 3" xfId="27622" xr:uid="{00000000-0005-0000-0000-0000E66B0000}"/>
    <cellStyle name="Normal 2 3 21 4 4" xfId="27623" xr:uid="{00000000-0005-0000-0000-0000E76B0000}"/>
    <cellStyle name="Normal 2 3 21 4 5" xfId="27624" xr:uid="{00000000-0005-0000-0000-0000E86B0000}"/>
    <cellStyle name="Normal 2 3 21 4 6" xfId="27625" xr:uid="{00000000-0005-0000-0000-0000E96B0000}"/>
    <cellStyle name="Normal 2 3 21 4 7" xfId="27626" xr:uid="{00000000-0005-0000-0000-0000EA6B0000}"/>
    <cellStyle name="Normal 2 3 21 4 8" xfId="27627" xr:uid="{00000000-0005-0000-0000-0000EB6B0000}"/>
    <cellStyle name="Normal 2 3 21 4 9" xfId="27628" xr:uid="{00000000-0005-0000-0000-0000EC6B0000}"/>
    <cellStyle name="Normal 2 3 21 5" xfId="27629" xr:uid="{00000000-0005-0000-0000-0000ED6B0000}"/>
    <cellStyle name="Normal 2 3 21 5 10" xfId="27630" xr:uid="{00000000-0005-0000-0000-0000EE6B0000}"/>
    <cellStyle name="Normal 2 3 21 5 2" xfId="27631" xr:uid="{00000000-0005-0000-0000-0000EF6B0000}"/>
    <cellStyle name="Normal 2 3 21 5 3" xfId="27632" xr:uid="{00000000-0005-0000-0000-0000F06B0000}"/>
    <cellStyle name="Normal 2 3 21 5 4" xfId="27633" xr:uid="{00000000-0005-0000-0000-0000F16B0000}"/>
    <cellStyle name="Normal 2 3 21 5 5" xfId="27634" xr:uid="{00000000-0005-0000-0000-0000F26B0000}"/>
    <cellStyle name="Normal 2 3 21 5 6" xfId="27635" xr:uid="{00000000-0005-0000-0000-0000F36B0000}"/>
    <cellStyle name="Normal 2 3 21 5 7" xfId="27636" xr:uid="{00000000-0005-0000-0000-0000F46B0000}"/>
    <cellStyle name="Normal 2 3 21 5 8" xfId="27637" xr:uid="{00000000-0005-0000-0000-0000F56B0000}"/>
    <cellStyle name="Normal 2 3 21 5 9" xfId="27638" xr:uid="{00000000-0005-0000-0000-0000F66B0000}"/>
    <cellStyle name="Normal 2 3 21 6" xfId="27639" xr:uid="{00000000-0005-0000-0000-0000F76B0000}"/>
    <cellStyle name="Normal 2 3 21 7" xfId="27640" xr:uid="{00000000-0005-0000-0000-0000F86B0000}"/>
    <cellStyle name="Normal 2 3 21 8" xfId="27641" xr:uid="{00000000-0005-0000-0000-0000F96B0000}"/>
    <cellStyle name="Normal 2 3 21 9" xfId="27642" xr:uid="{00000000-0005-0000-0000-0000FA6B0000}"/>
    <cellStyle name="Normal 2 3 22" xfId="27643" xr:uid="{00000000-0005-0000-0000-0000FB6B0000}"/>
    <cellStyle name="Normal 2 3 22 10" xfId="27644" xr:uid="{00000000-0005-0000-0000-0000FC6B0000}"/>
    <cellStyle name="Normal 2 3 22 11" xfId="27645" xr:uid="{00000000-0005-0000-0000-0000FD6B0000}"/>
    <cellStyle name="Normal 2 3 22 12" xfId="27646" xr:uid="{00000000-0005-0000-0000-0000FE6B0000}"/>
    <cellStyle name="Normal 2 3 22 13" xfId="27647" xr:uid="{00000000-0005-0000-0000-0000FF6B0000}"/>
    <cellStyle name="Normal 2 3 22 14" xfId="27648" xr:uid="{00000000-0005-0000-0000-0000006C0000}"/>
    <cellStyle name="Normal 2 3 22 2" xfId="27649" xr:uid="{00000000-0005-0000-0000-0000016C0000}"/>
    <cellStyle name="Normal 2 3 22 2 10" xfId="27650" xr:uid="{00000000-0005-0000-0000-0000026C0000}"/>
    <cellStyle name="Normal 2 3 22 2 2" xfId="27651" xr:uid="{00000000-0005-0000-0000-0000036C0000}"/>
    <cellStyle name="Normal 2 3 22 2 3" xfId="27652" xr:uid="{00000000-0005-0000-0000-0000046C0000}"/>
    <cellStyle name="Normal 2 3 22 2 4" xfId="27653" xr:uid="{00000000-0005-0000-0000-0000056C0000}"/>
    <cellStyle name="Normal 2 3 22 2 5" xfId="27654" xr:uid="{00000000-0005-0000-0000-0000066C0000}"/>
    <cellStyle name="Normal 2 3 22 2 6" xfId="27655" xr:uid="{00000000-0005-0000-0000-0000076C0000}"/>
    <cellStyle name="Normal 2 3 22 2 7" xfId="27656" xr:uid="{00000000-0005-0000-0000-0000086C0000}"/>
    <cellStyle name="Normal 2 3 22 2 8" xfId="27657" xr:uid="{00000000-0005-0000-0000-0000096C0000}"/>
    <cellStyle name="Normal 2 3 22 2 9" xfId="27658" xr:uid="{00000000-0005-0000-0000-00000A6C0000}"/>
    <cellStyle name="Normal 2 3 22 3" xfId="27659" xr:uid="{00000000-0005-0000-0000-00000B6C0000}"/>
    <cellStyle name="Normal 2 3 22 3 10" xfId="27660" xr:uid="{00000000-0005-0000-0000-00000C6C0000}"/>
    <cellStyle name="Normal 2 3 22 3 2" xfId="27661" xr:uid="{00000000-0005-0000-0000-00000D6C0000}"/>
    <cellStyle name="Normal 2 3 22 3 3" xfId="27662" xr:uid="{00000000-0005-0000-0000-00000E6C0000}"/>
    <cellStyle name="Normal 2 3 22 3 4" xfId="27663" xr:uid="{00000000-0005-0000-0000-00000F6C0000}"/>
    <cellStyle name="Normal 2 3 22 3 5" xfId="27664" xr:uid="{00000000-0005-0000-0000-0000106C0000}"/>
    <cellStyle name="Normal 2 3 22 3 6" xfId="27665" xr:uid="{00000000-0005-0000-0000-0000116C0000}"/>
    <cellStyle name="Normal 2 3 22 3 7" xfId="27666" xr:uid="{00000000-0005-0000-0000-0000126C0000}"/>
    <cellStyle name="Normal 2 3 22 3 8" xfId="27667" xr:uid="{00000000-0005-0000-0000-0000136C0000}"/>
    <cellStyle name="Normal 2 3 22 3 9" xfId="27668" xr:uid="{00000000-0005-0000-0000-0000146C0000}"/>
    <cellStyle name="Normal 2 3 22 4" xfId="27669" xr:uid="{00000000-0005-0000-0000-0000156C0000}"/>
    <cellStyle name="Normal 2 3 22 4 10" xfId="27670" xr:uid="{00000000-0005-0000-0000-0000166C0000}"/>
    <cellStyle name="Normal 2 3 22 4 2" xfId="27671" xr:uid="{00000000-0005-0000-0000-0000176C0000}"/>
    <cellStyle name="Normal 2 3 22 4 3" xfId="27672" xr:uid="{00000000-0005-0000-0000-0000186C0000}"/>
    <cellStyle name="Normal 2 3 22 4 4" xfId="27673" xr:uid="{00000000-0005-0000-0000-0000196C0000}"/>
    <cellStyle name="Normal 2 3 22 4 5" xfId="27674" xr:uid="{00000000-0005-0000-0000-00001A6C0000}"/>
    <cellStyle name="Normal 2 3 22 4 6" xfId="27675" xr:uid="{00000000-0005-0000-0000-00001B6C0000}"/>
    <cellStyle name="Normal 2 3 22 4 7" xfId="27676" xr:uid="{00000000-0005-0000-0000-00001C6C0000}"/>
    <cellStyle name="Normal 2 3 22 4 8" xfId="27677" xr:uid="{00000000-0005-0000-0000-00001D6C0000}"/>
    <cellStyle name="Normal 2 3 22 4 9" xfId="27678" xr:uid="{00000000-0005-0000-0000-00001E6C0000}"/>
    <cellStyle name="Normal 2 3 22 5" xfId="27679" xr:uid="{00000000-0005-0000-0000-00001F6C0000}"/>
    <cellStyle name="Normal 2 3 22 5 10" xfId="27680" xr:uid="{00000000-0005-0000-0000-0000206C0000}"/>
    <cellStyle name="Normal 2 3 22 5 2" xfId="27681" xr:uid="{00000000-0005-0000-0000-0000216C0000}"/>
    <cellStyle name="Normal 2 3 22 5 3" xfId="27682" xr:uid="{00000000-0005-0000-0000-0000226C0000}"/>
    <cellStyle name="Normal 2 3 22 5 4" xfId="27683" xr:uid="{00000000-0005-0000-0000-0000236C0000}"/>
    <cellStyle name="Normal 2 3 22 5 5" xfId="27684" xr:uid="{00000000-0005-0000-0000-0000246C0000}"/>
    <cellStyle name="Normal 2 3 22 5 6" xfId="27685" xr:uid="{00000000-0005-0000-0000-0000256C0000}"/>
    <cellStyle name="Normal 2 3 22 5 7" xfId="27686" xr:uid="{00000000-0005-0000-0000-0000266C0000}"/>
    <cellStyle name="Normal 2 3 22 5 8" xfId="27687" xr:uid="{00000000-0005-0000-0000-0000276C0000}"/>
    <cellStyle name="Normal 2 3 22 5 9" xfId="27688" xr:uid="{00000000-0005-0000-0000-0000286C0000}"/>
    <cellStyle name="Normal 2 3 22 6" xfId="27689" xr:uid="{00000000-0005-0000-0000-0000296C0000}"/>
    <cellStyle name="Normal 2 3 22 7" xfId="27690" xr:uid="{00000000-0005-0000-0000-00002A6C0000}"/>
    <cellStyle name="Normal 2 3 22 8" xfId="27691" xr:uid="{00000000-0005-0000-0000-00002B6C0000}"/>
    <cellStyle name="Normal 2 3 22 9" xfId="27692" xr:uid="{00000000-0005-0000-0000-00002C6C0000}"/>
    <cellStyle name="Normal 2 3 23" xfId="27693" xr:uid="{00000000-0005-0000-0000-00002D6C0000}"/>
    <cellStyle name="Normal 2 3 23 10" xfId="27694" xr:uid="{00000000-0005-0000-0000-00002E6C0000}"/>
    <cellStyle name="Normal 2 3 23 11" xfId="27695" xr:uid="{00000000-0005-0000-0000-00002F6C0000}"/>
    <cellStyle name="Normal 2 3 23 12" xfId="27696" xr:uid="{00000000-0005-0000-0000-0000306C0000}"/>
    <cellStyle name="Normal 2 3 23 13" xfId="27697" xr:uid="{00000000-0005-0000-0000-0000316C0000}"/>
    <cellStyle name="Normal 2 3 23 14" xfId="27698" xr:uid="{00000000-0005-0000-0000-0000326C0000}"/>
    <cellStyle name="Normal 2 3 23 2" xfId="27699" xr:uid="{00000000-0005-0000-0000-0000336C0000}"/>
    <cellStyle name="Normal 2 3 23 2 10" xfId="27700" xr:uid="{00000000-0005-0000-0000-0000346C0000}"/>
    <cellStyle name="Normal 2 3 23 2 2" xfId="27701" xr:uid="{00000000-0005-0000-0000-0000356C0000}"/>
    <cellStyle name="Normal 2 3 23 2 3" xfId="27702" xr:uid="{00000000-0005-0000-0000-0000366C0000}"/>
    <cellStyle name="Normal 2 3 23 2 4" xfId="27703" xr:uid="{00000000-0005-0000-0000-0000376C0000}"/>
    <cellStyle name="Normal 2 3 23 2 5" xfId="27704" xr:uid="{00000000-0005-0000-0000-0000386C0000}"/>
    <cellStyle name="Normal 2 3 23 2 6" xfId="27705" xr:uid="{00000000-0005-0000-0000-0000396C0000}"/>
    <cellStyle name="Normal 2 3 23 2 7" xfId="27706" xr:uid="{00000000-0005-0000-0000-00003A6C0000}"/>
    <cellStyle name="Normal 2 3 23 2 8" xfId="27707" xr:uid="{00000000-0005-0000-0000-00003B6C0000}"/>
    <cellStyle name="Normal 2 3 23 2 9" xfId="27708" xr:uid="{00000000-0005-0000-0000-00003C6C0000}"/>
    <cellStyle name="Normal 2 3 23 3" xfId="27709" xr:uid="{00000000-0005-0000-0000-00003D6C0000}"/>
    <cellStyle name="Normal 2 3 23 3 10" xfId="27710" xr:uid="{00000000-0005-0000-0000-00003E6C0000}"/>
    <cellStyle name="Normal 2 3 23 3 2" xfId="27711" xr:uid="{00000000-0005-0000-0000-00003F6C0000}"/>
    <cellStyle name="Normal 2 3 23 3 3" xfId="27712" xr:uid="{00000000-0005-0000-0000-0000406C0000}"/>
    <cellStyle name="Normal 2 3 23 3 4" xfId="27713" xr:uid="{00000000-0005-0000-0000-0000416C0000}"/>
    <cellStyle name="Normal 2 3 23 3 5" xfId="27714" xr:uid="{00000000-0005-0000-0000-0000426C0000}"/>
    <cellStyle name="Normal 2 3 23 3 6" xfId="27715" xr:uid="{00000000-0005-0000-0000-0000436C0000}"/>
    <cellStyle name="Normal 2 3 23 3 7" xfId="27716" xr:uid="{00000000-0005-0000-0000-0000446C0000}"/>
    <cellStyle name="Normal 2 3 23 3 8" xfId="27717" xr:uid="{00000000-0005-0000-0000-0000456C0000}"/>
    <cellStyle name="Normal 2 3 23 3 9" xfId="27718" xr:uid="{00000000-0005-0000-0000-0000466C0000}"/>
    <cellStyle name="Normal 2 3 23 4" xfId="27719" xr:uid="{00000000-0005-0000-0000-0000476C0000}"/>
    <cellStyle name="Normal 2 3 23 4 10" xfId="27720" xr:uid="{00000000-0005-0000-0000-0000486C0000}"/>
    <cellStyle name="Normal 2 3 23 4 2" xfId="27721" xr:uid="{00000000-0005-0000-0000-0000496C0000}"/>
    <cellStyle name="Normal 2 3 23 4 3" xfId="27722" xr:uid="{00000000-0005-0000-0000-00004A6C0000}"/>
    <cellStyle name="Normal 2 3 23 4 4" xfId="27723" xr:uid="{00000000-0005-0000-0000-00004B6C0000}"/>
    <cellStyle name="Normal 2 3 23 4 5" xfId="27724" xr:uid="{00000000-0005-0000-0000-00004C6C0000}"/>
    <cellStyle name="Normal 2 3 23 4 6" xfId="27725" xr:uid="{00000000-0005-0000-0000-00004D6C0000}"/>
    <cellStyle name="Normal 2 3 23 4 7" xfId="27726" xr:uid="{00000000-0005-0000-0000-00004E6C0000}"/>
    <cellStyle name="Normal 2 3 23 4 8" xfId="27727" xr:uid="{00000000-0005-0000-0000-00004F6C0000}"/>
    <cellStyle name="Normal 2 3 23 4 9" xfId="27728" xr:uid="{00000000-0005-0000-0000-0000506C0000}"/>
    <cellStyle name="Normal 2 3 23 5" xfId="27729" xr:uid="{00000000-0005-0000-0000-0000516C0000}"/>
    <cellStyle name="Normal 2 3 23 5 10" xfId="27730" xr:uid="{00000000-0005-0000-0000-0000526C0000}"/>
    <cellStyle name="Normal 2 3 23 5 2" xfId="27731" xr:uid="{00000000-0005-0000-0000-0000536C0000}"/>
    <cellStyle name="Normal 2 3 23 5 3" xfId="27732" xr:uid="{00000000-0005-0000-0000-0000546C0000}"/>
    <cellStyle name="Normal 2 3 23 5 4" xfId="27733" xr:uid="{00000000-0005-0000-0000-0000556C0000}"/>
    <cellStyle name="Normal 2 3 23 5 5" xfId="27734" xr:uid="{00000000-0005-0000-0000-0000566C0000}"/>
    <cellStyle name="Normal 2 3 23 5 6" xfId="27735" xr:uid="{00000000-0005-0000-0000-0000576C0000}"/>
    <cellStyle name="Normal 2 3 23 5 7" xfId="27736" xr:uid="{00000000-0005-0000-0000-0000586C0000}"/>
    <cellStyle name="Normal 2 3 23 5 8" xfId="27737" xr:uid="{00000000-0005-0000-0000-0000596C0000}"/>
    <cellStyle name="Normal 2 3 23 5 9" xfId="27738" xr:uid="{00000000-0005-0000-0000-00005A6C0000}"/>
    <cellStyle name="Normal 2 3 23 6" xfId="27739" xr:uid="{00000000-0005-0000-0000-00005B6C0000}"/>
    <cellStyle name="Normal 2 3 23 7" xfId="27740" xr:uid="{00000000-0005-0000-0000-00005C6C0000}"/>
    <cellStyle name="Normal 2 3 23 8" xfId="27741" xr:uid="{00000000-0005-0000-0000-00005D6C0000}"/>
    <cellStyle name="Normal 2 3 23 9" xfId="27742" xr:uid="{00000000-0005-0000-0000-00005E6C0000}"/>
    <cellStyle name="Normal 2 3 24" xfId="27743" xr:uid="{00000000-0005-0000-0000-00005F6C0000}"/>
    <cellStyle name="Normal 2 3 24 10" xfId="27744" xr:uid="{00000000-0005-0000-0000-0000606C0000}"/>
    <cellStyle name="Normal 2 3 24 11" xfId="27745" xr:uid="{00000000-0005-0000-0000-0000616C0000}"/>
    <cellStyle name="Normal 2 3 24 12" xfId="27746" xr:uid="{00000000-0005-0000-0000-0000626C0000}"/>
    <cellStyle name="Normal 2 3 24 13" xfId="27747" xr:uid="{00000000-0005-0000-0000-0000636C0000}"/>
    <cellStyle name="Normal 2 3 24 14" xfId="27748" xr:uid="{00000000-0005-0000-0000-0000646C0000}"/>
    <cellStyle name="Normal 2 3 24 2" xfId="27749" xr:uid="{00000000-0005-0000-0000-0000656C0000}"/>
    <cellStyle name="Normal 2 3 24 2 10" xfId="27750" xr:uid="{00000000-0005-0000-0000-0000666C0000}"/>
    <cellStyle name="Normal 2 3 24 2 2" xfId="27751" xr:uid="{00000000-0005-0000-0000-0000676C0000}"/>
    <cellStyle name="Normal 2 3 24 2 3" xfId="27752" xr:uid="{00000000-0005-0000-0000-0000686C0000}"/>
    <cellStyle name="Normal 2 3 24 2 4" xfId="27753" xr:uid="{00000000-0005-0000-0000-0000696C0000}"/>
    <cellStyle name="Normal 2 3 24 2 5" xfId="27754" xr:uid="{00000000-0005-0000-0000-00006A6C0000}"/>
    <cellStyle name="Normal 2 3 24 2 6" xfId="27755" xr:uid="{00000000-0005-0000-0000-00006B6C0000}"/>
    <cellStyle name="Normal 2 3 24 2 7" xfId="27756" xr:uid="{00000000-0005-0000-0000-00006C6C0000}"/>
    <cellStyle name="Normal 2 3 24 2 8" xfId="27757" xr:uid="{00000000-0005-0000-0000-00006D6C0000}"/>
    <cellStyle name="Normal 2 3 24 2 9" xfId="27758" xr:uid="{00000000-0005-0000-0000-00006E6C0000}"/>
    <cellStyle name="Normal 2 3 24 3" xfId="27759" xr:uid="{00000000-0005-0000-0000-00006F6C0000}"/>
    <cellStyle name="Normal 2 3 24 3 10" xfId="27760" xr:uid="{00000000-0005-0000-0000-0000706C0000}"/>
    <cellStyle name="Normal 2 3 24 3 2" xfId="27761" xr:uid="{00000000-0005-0000-0000-0000716C0000}"/>
    <cellStyle name="Normal 2 3 24 3 3" xfId="27762" xr:uid="{00000000-0005-0000-0000-0000726C0000}"/>
    <cellStyle name="Normal 2 3 24 3 4" xfId="27763" xr:uid="{00000000-0005-0000-0000-0000736C0000}"/>
    <cellStyle name="Normal 2 3 24 3 5" xfId="27764" xr:uid="{00000000-0005-0000-0000-0000746C0000}"/>
    <cellStyle name="Normal 2 3 24 3 6" xfId="27765" xr:uid="{00000000-0005-0000-0000-0000756C0000}"/>
    <cellStyle name="Normal 2 3 24 3 7" xfId="27766" xr:uid="{00000000-0005-0000-0000-0000766C0000}"/>
    <cellStyle name="Normal 2 3 24 3 8" xfId="27767" xr:uid="{00000000-0005-0000-0000-0000776C0000}"/>
    <cellStyle name="Normal 2 3 24 3 9" xfId="27768" xr:uid="{00000000-0005-0000-0000-0000786C0000}"/>
    <cellStyle name="Normal 2 3 24 4" xfId="27769" xr:uid="{00000000-0005-0000-0000-0000796C0000}"/>
    <cellStyle name="Normal 2 3 24 4 10" xfId="27770" xr:uid="{00000000-0005-0000-0000-00007A6C0000}"/>
    <cellStyle name="Normal 2 3 24 4 2" xfId="27771" xr:uid="{00000000-0005-0000-0000-00007B6C0000}"/>
    <cellStyle name="Normal 2 3 24 4 3" xfId="27772" xr:uid="{00000000-0005-0000-0000-00007C6C0000}"/>
    <cellStyle name="Normal 2 3 24 4 4" xfId="27773" xr:uid="{00000000-0005-0000-0000-00007D6C0000}"/>
    <cellStyle name="Normal 2 3 24 4 5" xfId="27774" xr:uid="{00000000-0005-0000-0000-00007E6C0000}"/>
    <cellStyle name="Normal 2 3 24 4 6" xfId="27775" xr:uid="{00000000-0005-0000-0000-00007F6C0000}"/>
    <cellStyle name="Normal 2 3 24 4 7" xfId="27776" xr:uid="{00000000-0005-0000-0000-0000806C0000}"/>
    <cellStyle name="Normal 2 3 24 4 8" xfId="27777" xr:uid="{00000000-0005-0000-0000-0000816C0000}"/>
    <cellStyle name="Normal 2 3 24 4 9" xfId="27778" xr:uid="{00000000-0005-0000-0000-0000826C0000}"/>
    <cellStyle name="Normal 2 3 24 5" xfId="27779" xr:uid="{00000000-0005-0000-0000-0000836C0000}"/>
    <cellStyle name="Normal 2 3 24 5 10" xfId="27780" xr:uid="{00000000-0005-0000-0000-0000846C0000}"/>
    <cellStyle name="Normal 2 3 24 5 2" xfId="27781" xr:uid="{00000000-0005-0000-0000-0000856C0000}"/>
    <cellStyle name="Normal 2 3 24 5 3" xfId="27782" xr:uid="{00000000-0005-0000-0000-0000866C0000}"/>
    <cellStyle name="Normal 2 3 24 5 4" xfId="27783" xr:uid="{00000000-0005-0000-0000-0000876C0000}"/>
    <cellStyle name="Normal 2 3 24 5 5" xfId="27784" xr:uid="{00000000-0005-0000-0000-0000886C0000}"/>
    <cellStyle name="Normal 2 3 24 5 6" xfId="27785" xr:uid="{00000000-0005-0000-0000-0000896C0000}"/>
    <cellStyle name="Normal 2 3 24 5 7" xfId="27786" xr:uid="{00000000-0005-0000-0000-00008A6C0000}"/>
    <cellStyle name="Normal 2 3 24 5 8" xfId="27787" xr:uid="{00000000-0005-0000-0000-00008B6C0000}"/>
    <cellStyle name="Normal 2 3 24 5 9" xfId="27788" xr:uid="{00000000-0005-0000-0000-00008C6C0000}"/>
    <cellStyle name="Normal 2 3 24 6" xfId="27789" xr:uid="{00000000-0005-0000-0000-00008D6C0000}"/>
    <cellStyle name="Normal 2 3 24 7" xfId="27790" xr:uid="{00000000-0005-0000-0000-00008E6C0000}"/>
    <cellStyle name="Normal 2 3 24 8" xfId="27791" xr:uid="{00000000-0005-0000-0000-00008F6C0000}"/>
    <cellStyle name="Normal 2 3 24 9" xfId="27792" xr:uid="{00000000-0005-0000-0000-0000906C0000}"/>
    <cellStyle name="Normal 2 3 25" xfId="27793" xr:uid="{00000000-0005-0000-0000-0000916C0000}"/>
    <cellStyle name="Normal 2 3 25 10" xfId="27794" xr:uid="{00000000-0005-0000-0000-0000926C0000}"/>
    <cellStyle name="Normal 2 3 25 11" xfId="27795" xr:uid="{00000000-0005-0000-0000-0000936C0000}"/>
    <cellStyle name="Normal 2 3 25 12" xfId="27796" xr:uid="{00000000-0005-0000-0000-0000946C0000}"/>
    <cellStyle name="Normal 2 3 25 13" xfId="27797" xr:uid="{00000000-0005-0000-0000-0000956C0000}"/>
    <cellStyle name="Normal 2 3 25 14" xfId="27798" xr:uid="{00000000-0005-0000-0000-0000966C0000}"/>
    <cellStyle name="Normal 2 3 25 2" xfId="27799" xr:uid="{00000000-0005-0000-0000-0000976C0000}"/>
    <cellStyle name="Normal 2 3 25 2 10" xfId="27800" xr:uid="{00000000-0005-0000-0000-0000986C0000}"/>
    <cellStyle name="Normal 2 3 25 2 2" xfId="27801" xr:uid="{00000000-0005-0000-0000-0000996C0000}"/>
    <cellStyle name="Normal 2 3 25 2 3" xfId="27802" xr:uid="{00000000-0005-0000-0000-00009A6C0000}"/>
    <cellStyle name="Normal 2 3 25 2 4" xfId="27803" xr:uid="{00000000-0005-0000-0000-00009B6C0000}"/>
    <cellStyle name="Normal 2 3 25 2 5" xfId="27804" xr:uid="{00000000-0005-0000-0000-00009C6C0000}"/>
    <cellStyle name="Normal 2 3 25 2 6" xfId="27805" xr:uid="{00000000-0005-0000-0000-00009D6C0000}"/>
    <cellStyle name="Normal 2 3 25 2 7" xfId="27806" xr:uid="{00000000-0005-0000-0000-00009E6C0000}"/>
    <cellStyle name="Normal 2 3 25 2 8" xfId="27807" xr:uid="{00000000-0005-0000-0000-00009F6C0000}"/>
    <cellStyle name="Normal 2 3 25 2 9" xfId="27808" xr:uid="{00000000-0005-0000-0000-0000A06C0000}"/>
    <cellStyle name="Normal 2 3 25 3" xfId="27809" xr:uid="{00000000-0005-0000-0000-0000A16C0000}"/>
    <cellStyle name="Normal 2 3 25 3 10" xfId="27810" xr:uid="{00000000-0005-0000-0000-0000A26C0000}"/>
    <cellStyle name="Normal 2 3 25 3 2" xfId="27811" xr:uid="{00000000-0005-0000-0000-0000A36C0000}"/>
    <cellStyle name="Normal 2 3 25 3 3" xfId="27812" xr:uid="{00000000-0005-0000-0000-0000A46C0000}"/>
    <cellStyle name="Normal 2 3 25 3 4" xfId="27813" xr:uid="{00000000-0005-0000-0000-0000A56C0000}"/>
    <cellStyle name="Normal 2 3 25 3 5" xfId="27814" xr:uid="{00000000-0005-0000-0000-0000A66C0000}"/>
    <cellStyle name="Normal 2 3 25 3 6" xfId="27815" xr:uid="{00000000-0005-0000-0000-0000A76C0000}"/>
    <cellStyle name="Normal 2 3 25 3 7" xfId="27816" xr:uid="{00000000-0005-0000-0000-0000A86C0000}"/>
    <cellStyle name="Normal 2 3 25 3 8" xfId="27817" xr:uid="{00000000-0005-0000-0000-0000A96C0000}"/>
    <cellStyle name="Normal 2 3 25 3 9" xfId="27818" xr:uid="{00000000-0005-0000-0000-0000AA6C0000}"/>
    <cellStyle name="Normal 2 3 25 4" xfId="27819" xr:uid="{00000000-0005-0000-0000-0000AB6C0000}"/>
    <cellStyle name="Normal 2 3 25 4 10" xfId="27820" xr:uid="{00000000-0005-0000-0000-0000AC6C0000}"/>
    <cellStyle name="Normal 2 3 25 4 2" xfId="27821" xr:uid="{00000000-0005-0000-0000-0000AD6C0000}"/>
    <cellStyle name="Normal 2 3 25 4 3" xfId="27822" xr:uid="{00000000-0005-0000-0000-0000AE6C0000}"/>
    <cellStyle name="Normal 2 3 25 4 4" xfId="27823" xr:uid="{00000000-0005-0000-0000-0000AF6C0000}"/>
    <cellStyle name="Normal 2 3 25 4 5" xfId="27824" xr:uid="{00000000-0005-0000-0000-0000B06C0000}"/>
    <cellStyle name="Normal 2 3 25 4 6" xfId="27825" xr:uid="{00000000-0005-0000-0000-0000B16C0000}"/>
    <cellStyle name="Normal 2 3 25 4 7" xfId="27826" xr:uid="{00000000-0005-0000-0000-0000B26C0000}"/>
    <cellStyle name="Normal 2 3 25 4 8" xfId="27827" xr:uid="{00000000-0005-0000-0000-0000B36C0000}"/>
    <cellStyle name="Normal 2 3 25 4 9" xfId="27828" xr:uid="{00000000-0005-0000-0000-0000B46C0000}"/>
    <cellStyle name="Normal 2 3 25 5" xfId="27829" xr:uid="{00000000-0005-0000-0000-0000B56C0000}"/>
    <cellStyle name="Normal 2 3 25 5 10" xfId="27830" xr:uid="{00000000-0005-0000-0000-0000B66C0000}"/>
    <cellStyle name="Normal 2 3 25 5 2" xfId="27831" xr:uid="{00000000-0005-0000-0000-0000B76C0000}"/>
    <cellStyle name="Normal 2 3 25 5 3" xfId="27832" xr:uid="{00000000-0005-0000-0000-0000B86C0000}"/>
    <cellStyle name="Normal 2 3 25 5 4" xfId="27833" xr:uid="{00000000-0005-0000-0000-0000B96C0000}"/>
    <cellStyle name="Normal 2 3 25 5 5" xfId="27834" xr:uid="{00000000-0005-0000-0000-0000BA6C0000}"/>
    <cellStyle name="Normal 2 3 25 5 6" xfId="27835" xr:uid="{00000000-0005-0000-0000-0000BB6C0000}"/>
    <cellStyle name="Normal 2 3 25 5 7" xfId="27836" xr:uid="{00000000-0005-0000-0000-0000BC6C0000}"/>
    <cellStyle name="Normal 2 3 25 5 8" xfId="27837" xr:uid="{00000000-0005-0000-0000-0000BD6C0000}"/>
    <cellStyle name="Normal 2 3 25 5 9" xfId="27838" xr:uid="{00000000-0005-0000-0000-0000BE6C0000}"/>
    <cellStyle name="Normal 2 3 25 6" xfId="27839" xr:uid="{00000000-0005-0000-0000-0000BF6C0000}"/>
    <cellStyle name="Normal 2 3 25 7" xfId="27840" xr:uid="{00000000-0005-0000-0000-0000C06C0000}"/>
    <cellStyle name="Normal 2 3 25 8" xfId="27841" xr:uid="{00000000-0005-0000-0000-0000C16C0000}"/>
    <cellStyle name="Normal 2 3 25 9" xfId="27842" xr:uid="{00000000-0005-0000-0000-0000C26C0000}"/>
    <cellStyle name="Normal 2 3 26" xfId="27843" xr:uid="{00000000-0005-0000-0000-0000C36C0000}"/>
    <cellStyle name="Normal 2 3 26 10" xfId="27844" xr:uid="{00000000-0005-0000-0000-0000C46C0000}"/>
    <cellStyle name="Normal 2 3 26 11" xfId="27845" xr:uid="{00000000-0005-0000-0000-0000C56C0000}"/>
    <cellStyle name="Normal 2 3 26 12" xfId="27846" xr:uid="{00000000-0005-0000-0000-0000C66C0000}"/>
    <cellStyle name="Normal 2 3 26 13" xfId="27847" xr:uid="{00000000-0005-0000-0000-0000C76C0000}"/>
    <cellStyle name="Normal 2 3 26 14" xfId="27848" xr:uid="{00000000-0005-0000-0000-0000C86C0000}"/>
    <cellStyle name="Normal 2 3 26 2" xfId="27849" xr:uid="{00000000-0005-0000-0000-0000C96C0000}"/>
    <cellStyle name="Normal 2 3 26 2 10" xfId="27850" xr:uid="{00000000-0005-0000-0000-0000CA6C0000}"/>
    <cellStyle name="Normal 2 3 26 2 2" xfId="27851" xr:uid="{00000000-0005-0000-0000-0000CB6C0000}"/>
    <cellStyle name="Normal 2 3 26 2 3" xfId="27852" xr:uid="{00000000-0005-0000-0000-0000CC6C0000}"/>
    <cellStyle name="Normal 2 3 26 2 4" xfId="27853" xr:uid="{00000000-0005-0000-0000-0000CD6C0000}"/>
    <cellStyle name="Normal 2 3 26 2 5" xfId="27854" xr:uid="{00000000-0005-0000-0000-0000CE6C0000}"/>
    <cellStyle name="Normal 2 3 26 2 6" xfId="27855" xr:uid="{00000000-0005-0000-0000-0000CF6C0000}"/>
    <cellStyle name="Normal 2 3 26 2 7" xfId="27856" xr:uid="{00000000-0005-0000-0000-0000D06C0000}"/>
    <cellStyle name="Normal 2 3 26 2 8" xfId="27857" xr:uid="{00000000-0005-0000-0000-0000D16C0000}"/>
    <cellStyle name="Normal 2 3 26 2 9" xfId="27858" xr:uid="{00000000-0005-0000-0000-0000D26C0000}"/>
    <cellStyle name="Normal 2 3 26 3" xfId="27859" xr:uid="{00000000-0005-0000-0000-0000D36C0000}"/>
    <cellStyle name="Normal 2 3 26 3 10" xfId="27860" xr:uid="{00000000-0005-0000-0000-0000D46C0000}"/>
    <cellStyle name="Normal 2 3 26 3 2" xfId="27861" xr:uid="{00000000-0005-0000-0000-0000D56C0000}"/>
    <cellStyle name="Normal 2 3 26 3 3" xfId="27862" xr:uid="{00000000-0005-0000-0000-0000D66C0000}"/>
    <cellStyle name="Normal 2 3 26 3 4" xfId="27863" xr:uid="{00000000-0005-0000-0000-0000D76C0000}"/>
    <cellStyle name="Normal 2 3 26 3 5" xfId="27864" xr:uid="{00000000-0005-0000-0000-0000D86C0000}"/>
    <cellStyle name="Normal 2 3 26 3 6" xfId="27865" xr:uid="{00000000-0005-0000-0000-0000D96C0000}"/>
    <cellStyle name="Normal 2 3 26 3 7" xfId="27866" xr:uid="{00000000-0005-0000-0000-0000DA6C0000}"/>
    <cellStyle name="Normal 2 3 26 3 8" xfId="27867" xr:uid="{00000000-0005-0000-0000-0000DB6C0000}"/>
    <cellStyle name="Normal 2 3 26 3 9" xfId="27868" xr:uid="{00000000-0005-0000-0000-0000DC6C0000}"/>
    <cellStyle name="Normal 2 3 26 4" xfId="27869" xr:uid="{00000000-0005-0000-0000-0000DD6C0000}"/>
    <cellStyle name="Normal 2 3 26 4 10" xfId="27870" xr:uid="{00000000-0005-0000-0000-0000DE6C0000}"/>
    <cellStyle name="Normal 2 3 26 4 2" xfId="27871" xr:uid="{00000000-0005-0000-0000-0000DF6C0000}"/>
    <cellStyle name="Normal 2 3 26 4 3" xfId="27872" xr:uid="{00000000-0005-0000-0000-0000E06C0000}"/>
    <cellStyle name="Normal 2 3 26 4 4" xfId="27873" xr:uid="{00000000-0005-0000-0000-0000E16C0000}"/>
    <cellStyle name="Normal 2 3 26 4 5" xfId="27874" xr:uid="{00000000-0005-0000-0000-0000E26C0000}"/>
    <cellStyle name="Normal 2 3 26 4 6" xfId="27875" xr:uid="{00000000-0005-0000-0000-0000E36C0000}"/>
    <cellStyle name="Normal 2 3 26 4 7" xfId="27876" xr:uid="{00000000-0005-0000-0000-0000E46C0000}"/>
    <cellStyle name="Normal 2 3 26 4 8" xfId="27877" xr:uid="{00000000-0005-0000-0000-0000E56C0000}"/>
    <cellStyle name="Normal 2 3 26 4 9" xfId="27878" xr:uid="{00000000-0005-0000-0000-0000E66C0000}"/>
    <cellStyle name="Normal 2 3 26 5" xfId="27879" xr:uid="{00000000-0005-0000-0000-0000E76C0000}"/>
    <cellStyle name="Normal 2 3 26 5 10" xfId="27880" xr:uid="{00000000-0005-0000-0000-0000E86C0000}"/>
    <cellStyle name="Normal 2 3 26 5 2" xfId="27881" xr:uid="{00000000-0005-0000-0000-0000E96C0000}"/>
    <cellStyle name="Normal 2 3 26 5 3" xfId="27882" xr:uid="{00000000-0005-0000-0000-0000EA6C0000}"/>
    <cellStyle name="Normal 2 3 26 5 4" xfId="27883" xr:uid="{00000000-0005-0000-0000-0000EB6C0000}"/>
    <cellStyle name="Normal 2 3 26 5 5" xfId="27884" xr:uid="{00000000-0005-0000-0000-0000EC6C0000}"/>
    <cellStyle name="Normal 2 3 26 5 6" xfId="27885" xr:uid="{00000000-0005-0000-0000-0000ED6C0000}"/>
    <cellStyle name="Normal 2 3 26 5 7" xfId="27886" xr:uid="{00000000-0005-0000-0000-0000EE6C0000}"/>
    <cellStyle name="Normal 2 3 26 5 8" xfId="27887" xr:uid="{00000000-0005-0000-0000-0000EF6C0000}"/>
    <cellStyle name="Normal 2 3 26 5 9" xfId="27888" xr:uid="{00000000-0005-0000-0000-0000F06C0000}"/>
    <cellStyle name="Normal 2 3 26 6" xfId="27889" xr:uid="{00000000-0005-0000-0000-0000F16C0000}"/>
    <cellStyle name="Normal 2 3 26 7" xfId="27890" xr:uid="{00000000-0005-0000-0000-0000F26C0000}"/>
    <cellStyle name="Normal 2 3 26 8" xfId="27891" xr:uid="{00000000-0005-0000-0000-0000F36C0000}"/>
    <cellStyle name="Normal 2 3 26 9" xfId="27892" xr:uid="{00000000-0005-0000-0000-0000F46C0000}"/>
    <cellStyle name="Normal 2 3 27" xfId="27893" xr:uid="{00000000-0005-0000-0000-0000F56C0000}"/>
    <cellStyle name="Normal 2 3 27 10" xfId="27894" xr:uid="{00000000-0005-0000-0000-0000F66C0000}"/>
    <cellStyle name="Normal 2 3 27 11" xfId="27895" xr:uid="{00000000-0005-0000-0000-0000F76C0000}"/>
    <cellStyle name="Normal 2 3 27 12" xfId="27896" xr:uid="{00000000-0005-0000-0000-0000F86C0000}"/>
    <cellStyle name="Normal 2 3 27 13" xfId="27897" xr:uid="{00000000-0005-0000-0000-0000F96C0000}"/>
    <cellStyle name="Normal 2 3 27 14" xfId="27898" xr:uid="{00000000-0005-0000-0000-0000FA6C0000}"/>
    <cellStyle name="Normal 2 3 27 2" xfId="27899" xr:uid="{00000000-0005-0000-0000-0000FB6C0000}"/>
    <cellStyle name="Normal 2 3 27 2 10" xfId="27900" xr:uid="{00000000-0005-0000-0000-0000FC6C0000}"/>
    <cellStyle name="Normal 2 3 27 2 2" xfId="27901" xr:uid="{00000000-0005-0000-0000-0000FD6C0000}"/>
    <cellStyle name="Normal 2 3 27 2 3" xfId="27902" xr:uid="{00000000-0005-0000-0000-0000FE6C0000}"/>
    <cellStyle name="Normal 2 3 27 2 4" xfId="27903" xr:uid="{00000000-0005-0000-0000-0000FF6C0000}"/>
    <cellStyle name="Normal 2 3 27 2 5" xfId="27904" xr:uid="{00000000-0005-0000-0000-0000006D0000}"/>
    <cellStyle name="Normal 2 3 27 2 6" xfId="27905" xr:uid="{00000000-0005-0000-0000-0000016D0000}"/>
    <cellStyle name="Normal 2 3 27 2 7" xfId="27906" xr:uid="{00000000-0005-0000-0000-0000026D0000}"/>
    <cellStyle name="Normal 2 3 27 2 8" xfId="27907" xr:uid="{00000000-0005-0000-0000-0000036D0000}"/>
    <cellStyle name="Normal 2 3 27 2 9" xfId="27908" xr:uid="{00000000-0005-0000-0000-0000046D0000}"/>
    <cellStyle name="Normal 2 3 27 3" xfId="27909" xr:uid="{00000000-0005-0000-0000-0000056D0000}"/>
    <cellStyle name="Normal 2 3 27 3 10" xfId="27910" xr:uid="{00000000-0005-0000-0000-0000066D0000}"/>
    <cellStyle name="Normal 2 3 27 3 2" xfId="27911" xr:uid="{00000000-0005-0000-0000-0000076D0000}"/>
    <cellStyle name="Normal 2 3 27 3 3" xfId="27912" xr:uid="{00000000-0005-0000-0000-0000086D0000}"/>
    <cellStyle name="Normal 2 3 27 3 4" xfId="27913" xr:uid="{00000000-0005-0000-0000-0000096D0000}"/>
    <cellStyle name="Normal 2 3 27 3 5" xfId="27914" xr:uid="{00000000-0005-0000-0000-00000A6D0000}"/>
    <cellStyle name="Normal 2 3 27 3 6" xfId="27915" xr:uid="{00000000-0005-0000-0000-00000B6D0000}"/>
    <cellStyle name="Normal 2 3 27 3 7" xfId="27916" xr:uid="{00000000-0005-0000-0000-00000C6D0000}"/>
    <cellStyle name="Normal 2 3 27 3 8" xfId="27917" xr:uid="{00000000-0005-0000-0000-00000D6D0000}"/>
    <cellStyle name="Normal 2 3 27 3 9" xfId="27918" xr:uid="{00000000-0005-0000-0000-00000E6D0000}"/>
    <cellStyle name="Normal 2 3 27 4" xfId="27919" xr:uid="{00000000-0005-0000-0000-00000F6D0000}"/>
    <cellStyle name="Normal 2 3 27 4 10" xfId="27920" xr:uid="{00000000-0005-0000-0000-0000106D0000}"/>
    <cellStyle name="Normal 2 3 27 4 2" xfId="27921" xr:uid="{00000000-0005-0000-0000-0000116D0000}"/>
    <cellStyle name="Normal 2 3 27 4 3" xfId="27922" xr:uid="{00000000-0005-0000-0000-0000126D0000}"/>
    <cellStyle name="Normal 2 3 27 4 4" xfId="27923" xr:uid="{00000000-0005-0000-0000-0000136D0000}"/>
    <cellStyle name="Normal 2 3 27 4 5" xfId="27924" xr:uid="{00000000-0005-0000-0000-0000146D0000}"/>
    <cellStyle name="Normal 2 3 27 4 6" xfId="27925" xr:uid="{00000000-0005-0000-0000-0000156D0000}"/>
    <cellStyle name="Normal 2 3 27 4 7" xfId="27926" xr:uid="{00000000-0005-0000-0000-0000166D0000}"/>
    <cellStyle name="Normal 2 3 27 4 8" xfId="27927" xr:uid="{00000000-0005-0000-0000-0000176D0000}"/>
    <cellStyle name="Normal 2 3 27 4 9" xfId="27928" xr:uid="{00000000-0005-0000-0000-0000186D0000}"/>
    <cellStyle name="Normal 2 3 27 5" xfId="27929" xr:uid="{00000000-0005-0000-0000-0000196D0000}"/>
    <cellStyle name="Normal 2 3 27 5 10" xfId="27930" xr:uid="{00000000-0005-0000-0000-00001A6D0000}"/>
    <cellStyle name="Normal 2 3 27 5 2" xfId="27931" xr:uid="{00000000-0005-0000-0000-00001B6D0000}"/>
    <cellStyle name="Normal 2 3 27 5 3" xfId="27932" xr:uid="{00000000-0005-0000-0000-00001C6D0000}"/>
    <cellStyle name="Normal 2 3 27 5 4" xfId="27933" xr:uid="{00000000-0005-0000-0000-00001D6D0000}"/>
    <cellStyle name="Normal 2 3 27 5 5" xfId="27934" xr:uid="{00000000-0005-0000-0000-00001E6D0000}"/>
    <cellStyle name="Normal 2 3 27 5 6" xfId="27935" xr:uid="{00000000-0005-0000-0000-00001F6D0000}"/>
    <cellStyle name="Normal 2 3 27 5 7" xfId="27936" xr:uid="{00000000-0005-0000-0000-0000206D0000}"/>
    <cellStyle name="Normal 2 3 27 5 8" xfId="27937" xr:uid="{00000000-0005-0000-0000-0000216D0000}"/>
    <cellStyle name="Normal 2 3 27 5 9" xfId="27938" xr:uid="{00000000-0005-0000-0000-0000226D0000}"/>
    <cellStyle name="Normal 2 3 27 6" xfId="27939" xr:uid="{00000000-0005-0000-0000-0000236D0000}"/>
    <cellStyle name="Normal 2 3 27 7" xfId="27940" xr:uid="{00000000-0005-0000-0000-0000246D0000}"/>
    <cellStyle name="Normal 2 3 27 8" xfId="27941" xr:uid="{00000000-0005-0000-0000-0000256D0000}"/>
    <cellStyle name="Normal 2 3 27 9" xfId="27942" xr:uid="{00000000-0005-0000-0000-0000266D0000}"/>
    <cellStyle name="Normal 2 3 28" xfId="27943" xr:uid="{00000000-0005-0000-0000-0000276D0000}"/>
    <cellStyle name="Normal 2 3 28 10" xfId="27944" xr:uid="{00000000-0005-0000-0000-0000286D0000}"/>
    <cellStyle name="Normal 2 3 28 11" xfId="27945" xr:uid="{00000000-0005-0000-0000-0000296D0000}"/>
    <cellStyle name="Normal 2 3 28 12" xfId="27946" xr:uid="{00000000-0005-0000-0000-00002A6D0000}"/>
    <cellStyle name="Normal 2 3 28 13" xfId="27947" xr:uid="{00000000-0005-0000-0000-00002B6D0000}"/>
    <cellStyle name="Normal 2 3 28 14" xfId="27948" xr:uid="{00000000-0005-0000-0000-00002C6D0000}"/>
    <cellStyle name="Normal 2 3 28 2" xfId="27949" xr:uid="{00000000-0005-0000-0000-00002D6D0000}"/>
    <cellStyle name="Normal 2 3 28 2 10" xfId="27950" xr:uid="{00000000-0005-0000-0000-00002E6D0000}"/>
    <cellStyle name="Normal 2 3 28 2 2" xfId="27951" xr:uid="{00000000-0005-0000-0000-00002F6D0000}"/>
    <cellStyle name="Normal 2 3 28 2 3" xfId="27952" xr:uid="{00000000-0005-0000-0000-0000306D0000}"/>
    <cellStyle name="Normal 2 3 28 2 4" xfId="27953" xr:uid="{00000000-0005-0000-0000-0000316D0000}"/>
    <cellStyle name="Normal 2 3 28 2 5" xfId="27954" xr:uid="{00000000-0005-0000-0000-0000326D0000}"/>
    <cellStyle name="Normal 2 3 28 2 6" xfId="27955" xr:uid="{00000000-0005-0000-0000-0000336D0000}"/>
    <cellStyle name="Normal 2 3 28 2 7" xfId="27956" xr:uid="{00000000-0005-0000-0000-0000346D0000}"/>
    <cellStyle name="Normal 2 3 28 2 8" xfId="27957" xr:uid="{00000000-0005-0000-0000-0000356D0000}"/>
    <cellStyle name="Normal 2 3 28 2 9" xfId="27958" xr:uid="{00000000-0005-0000-0000-0000366D0000}"/>
    <cellStyle name="Normal 2 3 28 3" xfId="27959" xr:uid="{00000000-0005-0000-0000-0000376D0000}"/>
    <cellStyle name="Normal 2 3 28 3 10" xfId="27960" xr:uid="{00000000-0005-0000-0000-0000386D0000}"/>
    <cellStyle name="Normal 2 3 28 3 2" xfId="27961" xr:uid="{00000000-0005-0000-0000-0000396D0000}"/>
    <cellStyle name="Normal 2 3 28 3 3" xfId="27962" xr:uid="{00000000-0005-0000-0000-00003A6D0000}"/>
    <cellStyle name="Normal 2 3 28 3 4" xfId="27963" xr:uid="{00000000-0005-0000-0000-00003B6D0000}"/>
    <cellStyle name="Normal 2 3 28 3 5" xfId="27964" xr:uid="{00000000-0005-0000-0000-00003C6D0000}"/>
    <cellStyle name="Normal 2 3 28 3 6" xfId="27965" xr:uid="{00000000-0005-0000-0000-00003D6D0000}"/>
    <cellStyle name="Normal 2 3 28 3 7" xfId="27966" xr:uid="{00000000-0005-0000-0000-00003E6D0000}"/>
    <cellStyle name="Normal 2 3 28 3 8" xfId="27967" xr:uid="{00000000-0005-0000-0000-00003F6D0000}"/>
    <cellStyle name="Normal 2 3 28 3 9" xfId="27968" xr:uid="{00000000-0005-0000-0000-0000406D0000}"/>
    <cellStyle name="Normal 2 3 28 4" xfId="27969" xr:uid="{00000000-0005-0000-0000-0000416D0000}"/>
    <cellStyle name="Normal 2 3 28 4 10" xfId="27970" xr:uid="{00000000-0005-0000-0000-0000426D0000}"/>
    <cellStyle name="Normal 2 3 28 4 2" xfId="27971" xr:uid="{00000000-0005-0000-0000-0000436D0000}"/>
    <cellStyle name="Normal 2 3 28 4 3" xfId="27972" xr:uid="{00000000-0005-0000-0000-0000446D0000}"/>
    <cellStyle name="Normal 2 3 28 4 4" xfId="27973" xr:uid="{00000000-0005-0000-0000-0000456D0000}"/>
    <cellStyle name="Normal 2 3 28 4 5" xfId="27974" xr:uid="{00000000-0005-0000-0000-0000466D0000}"/>
    <cellStyle name="Normal 2 3 28 4 6" xfId="27975" xr:uid="{00000000-0005-0000-0000-0000476D0000}"/>
    <cellStyle name="Normal 2 3 28 4 7" xfId="27976" xr:uid="{00000000-0005-0000-0000-0000486D0000}"/>
    <cellStyle name="Normal 2 3 28 4 8" xfId="27977" xr:uid="{00000000-0005-0000-0000-0000496D0000}"/>
    <cellStyle name="Normal 2 3 28 4 9" xfId="27978" xr:uid="{00000000-0005-0000-0000-00004A6D0000}"/>
    <cellStyle name="Normal 2 3 28 5" xfId="27979" xr:uid="{00000000-0005-0000-0000-00004B6D0000}"/>
    <cellStyle name="Normal 2 3 28 5 10" xfId="27980" xr:uid="{00000000-0005-0000-0000-00004C6D0000}"/>
    <cellStyle name="Normal 2 3 28 5 2" xfId="27981" xr:uid="{00000000-0005-0000-0000-00004D6D0000}"/>
    <cellStyle name="Normal 2 3 28 5 3" xfId="27982" xr:uid="{00000000-0005-0000-0000-00004E6D0000}"/>
    <cellStyle name="Normal 2 3 28 5 4" xfId="27983" xr:uid="{00000000-0005-0000-0000-00004F6D0000}"/>
    <cellStyle name="Normal 2 3 28 5 5" xfId="27984" xr:uid="{00000000-0005-0000-0000-0000506D0000}"/>
    <cellStyle name="Normal 2 3 28 5 6" xfId="27985" xr:uid="{00000000-0005-0000-0000-0000516D0000}"/>
    <cellStyle name="Normal 2 3 28 5 7" xfId="27986" xr:uid="{00000000-0005-0000-0000-0000526D0000}"/>
    <cellStyle name="Normal 2 3 28 5 8" xfId="27987" xr:uid="{00000000-0005-0000-0000-0000536D0000}"/>
    <cellStyle name="Normal 2 3 28 5 9" xfId="27988" xr:uid="{00000000-0005-0000-0000-0000546D0000}"/>
    <cellStyle name="Normal 2 3 28 6" xfId="27989" xr:uid="{00000000-0005-0000-0000-0000556D0000}"/>
    <cellStyle name="Normal 2 3 28 7" xfId="27990" xr:uid="{00000000-0005-0000-0000-0000566D0000}"/>
    <cellStyle name="Normal 2 3 28 8" xfId="27991" xr:uid="{00000000-0005-0000-0000-0000576D0000}"/>
    <cellStyle name="Normal 2 3 28 9" xfId="27992" xr:uid="{00000000-0005-0000-0000-0000586D0000}"/>
    <cellStyle name="Normal 2 3 29" xfId="27993" xr:uid="{00000000-0005-0000-0000-0000596D0000}"/>
    <cellStyle name="Normal 2 3 29 10" xfId="27994" xr:uid="{00000000-0005-0000-0000-00005A6D0000}"/>
    <cellStyle name="Normal 2 3 29 11" xfId="27995" xr:uid="{00000000-0005-0000-0000-00005B6D0000}"/>
    <cellStyle name="Normal 2 3 29 12" xfId="27996" xr:uid="{00000000-0005-0000-0000-00005C6D0000}"/>
    <cellStyle name="Normal 2 3 29 13" xfId="27997" xr:uid="{00000000-0005-0000-0000-00005D6D0000}"/>
    <cellStyle name="Normal 2 3 29 14" xfId="27998" xr:uid="{00000000-0005-0000-0000-00005E6D0000}"/>
    <cellStyle name="Normal 2 3 29 2" xfId="27999" xr:uid="{00000000-0005-0000-0000-00005F6D0000}"/>
    <cellStyle name="Normal 2 3 29 2 10" xfId="28000" xr:uid="{00000000-0005-0000-0000-0000606D0000}"/>
    <cellStyle name="Normal 2 3 29 2 2" xfId="28001" xr:uid="{00000000-0005-0000-0000-0000616D0000}"/>
    <cellStyle name="Normal 2 3 29 2 3" xfId="28002" xr:uid="{00000000-0005-0000-0000-0000626D0000}"/>
    <cellStyle name="Normal 2 3 29 2 4" xfId="28003" xr:uid="{00000000-0005-0000-0000-0000636D0000}"/>
    <cellStyle name="Normal 2 3 29 2 5" xfId="28004" xr:uid="{00000000-0005-0000-0000-0000646D0000}"/>
    <cellStyle name="Normal 2 3 29 2 6" xfId="28005" xr:uid="{00000000-0005-0000-0000-0000656D0000}"/>
    <cellStyle name="Normal 2 3 29 2 7" xfId="28006" xr:uid="{00000000-0005-0000-0000-0000666D0000}"/>
    <cellStyle name="Normal 2 3 29 2 8" xfId="28007" xr:uid="{00000000-0005-0000-0000-0000676D0000}"/>
    <cellStyle name="Normal 2 3 29 2 9" xfId="28008" xr:uid="{00000000-0005-0000-0000-0000686D0000}"/>
    <cellStyle name="Normal 2 3 29 3" xfId="28009" xr:uid="{00000000-0005-0000-0000-0000696D0000}"/>
    <cellStyle name="Normal 2 3 29 3 10" xfId="28010" xr:uid="{00000000-0005-0000-0000-00006A6D0000}"/>
    <cellStyle name="Normal 2 3 29 3 2" xfId="28011" xr:uid="{00000000-0005-0000-0000-00006B6D0000}"/>
    <cellStyle name="Normal 2 3 29 3 3" xfId="28012" xr:uid="{00000000-0005-0000-0000-00006C6D0000}"/>
    <cellStyle name="Normal 2 3 29 3 4" xfId="28013" xr:uid="{00000000-0005-0000-0000-00006D6D0000}"/>
    <cellStyle name="Normal 2 3 29 3 5" xfId="28014" xr:uid="{00000000-0005-0000-0000-00006E6D0000}"/>
    <cellStyle name="Normal 2 3 29 3 6" xfId="28015" xr:uid="{00000000-0005-0000-0000-00006F6D0000}"/>
    <cellStyle name="Normal 2 3 29 3 7" xfId="28016" xr:uid="{00000000-0005-0000-0000-0000706D0000}"/>
    <cellStyle name="Normal 2 3 29 3 8" xfId="28017" xr:uid="{00000000-0005-0000-0000-0000716D0000}"/>
    <cellStyle name="Normal 2 3 29 3 9" xfId="28018" xr:uid="{00000000-0005-0000-0000-0000726D0000}"/>
    <cellStyle name="Normal 2 3 29 4" xfId="28019" xr:uid="{00000000-0005-0000-0000-0000736D0000}"/>
    <cellStyle name="Normal 2 3 29 4 10" xfId="28020" xr:uid="{00000000-0005-0000-0000-0000746D0000}"/>
    <cellStyle name="Normal 2 3 29 4 2" xfId="28021" xr:uid="{00000000-0005-0000-0000-0000756D0000}"/>
    <cellStyle name="Normal 2 3 29 4 3" xfId="28022" xr:uid="{00000000-0005-0000-0000-0000766D0000}"/>
    <cellStyle name="Normal 2 3 29 4 4" xfId="28023" xr:uid="{00000000-0005-0000-0000-0000776D0000}"/>
    <cellStyle name="Normal 2 3 29 4 5" xfId="28024" xr:uid="{00000000-0005-0000-0000-0000786D0000}"/>
    <cellStyle name="Normal 2 3 29 4 6" xfId="28025" xr:uid="{00000000-0005-0000-0000-0000796D0000}"/>
    <cellStyle name="Normal 2 3 29 4 7" xfId="28026" xr:uid="{00000000-0005-0000-0000-00007A6D0000}"/>
    <cellStyle name="Normal 2 3 29 4 8" xfId="28027" xr:uid="{00000000-0005-0000-0000-00007B6D0000}"/>
    <cellStyle name="Normal 2 3 29 4 9" xfId="28028" xr:uid="{00000000-0005-0000-0000-00007C6D0000}"/>
    <cellStyle name="Normal 2 3 29 5" xfId="28029" xr:uid="{00000000-0005-0000-0000-00007D6D0000}"/>
    <cellStyle name="Normal 2 3 29 5 10" xfId="28030" xr:uid="{00000000-0005-0000-0000-00007E6D0000}"/>
    <cellStyle name="Normal 2 3 29 5 2" xfId="28031" xr:uid="{00000000-0005-0000-0000-00007F6D0000}"/>
    <cellStyle name="Normal 2 3 29 5 3" xfId="28032" xr:uid="{00000000-0005-0000-0000-0000806D0000}"/>
    <cellStyle name="Normal 2 3 29 5 4" xfId="28033" xr:uid="{00000000-0005-0000-0000-0000816D0000}"/>
    <cellStyle name="Normal 2 3 29 5 5" xfId="28034" xr:uid="{00000000-0005-0000-0000-0000826D0000}"/>
    <cellStyle name="Normal 2 3 29 5 6" xfId="28035" xr:uid="{00000000-0005-0000-0000-0000836D0000}"/>
    <cellStyle name="Normal 2 3 29 5 7" xfId="28036" xr:uid="{00000000-0005-0000-0000-0000846D0000}"/>
    <cellStyle name="Normal 2 3 29 5 8" xfId="28037" xr:uid="{00000000-0005-0000-0000-0000856D0000}"/>
    <cellStyle name="Normal 2 3 29 5 9" xfId="28038" xr:uid="{00000000-0005-0000-0000-0000866D0000}"/>
    <cellStyle name="Normal 2 3 29 6" xfId="28039" xr:uid="{00000000-0005-0000-0000-0000876D0000}"/>
    <cellStyle name="Normal 2 3 29 7" xfId="28040" xr:uid="{00000000-0005-0000-0000-0000886D0000}"/>
    <cellStyle name="Normal 2 3 29 8" xfId="28041" xr:uid="{00000000-0005-0000-0000-0000896D0000}"/>
    <cellStyle name="Normal 2 3 29 9" xfId="28042" xr:uid="{00000000-0005-0000-0000-00008A6D0000}"/>
    <cellStyle name="Normal 2 3 3" xfId="28043" xr:uid="{00000000-0005-0000-0000-00008B6D0000}"/>
    <cellStyle name="Normal 2 3 3 10" xfId="28044" xr:uid="{00000000-0005-0000-0000-00008C6D0000}"/>
    <cellStyle name="Normal 2 3 3 11" xfId="28045" xr:uid="{00000000-0005-0000-0000-00008D6D0000}"/>
    <cellStyle name="Normal 2 3 3 12" xfId="28046" xr:uid="{00000000-0005-0000-0000-00008E6D0000}"/>
    <cellStyle name="Normal 2 3 3 13" xfId="28047" xr:uid="{00000000-0005-0000-0000-00008F6D0000}"/>
    <cellStyle name="Normal 2 3 3 14" xfId="28048" xr:uid="{00000000-0005-0000-0000-0000906D0000}"/>
    <cellStyle name="Normal 2 3 3 15" xfId="28049" xr:uid="{00000000-0005-0000-0000-0000916D0000}"/>
    <cellStyle name="Normal 2 3 3 16" xfId="28050" xr:uid="{00000000-0005-0000-0000-0000926D0000}"/>
    <cellStyle name="Normal 2 3 3 2" xfId="28051" xr:uid="{00000000-0005-0000-0000-0000936D0000}"/>
    <cellStyle name="Normal 2 3 3 2 10" xfId="28052" xr:uid="{00000000-0005-0000-0000-0000946D0000}"/>
    <cellStyle name="Normal 2 3 3 2 2" xfId="28053" xr:uid="{00000000-0005-0000-0000-0000956D0000}"/>
    <cellStyle name="Normal 2 3 3 2 3" xfId="28054" xr:uid="{00000000-0005-0000-0000-0000966D0000}"/>
    <cellStyle name="Normal 2 3 3 2 4" xfId="28055" xr:uid="{00000000-0005-0000-0000-0000976D0000}"/>
    <cellStyle name="Normal 2 3 3 2 5" xfId="28056" xr:uid="{00000000-0005-0000-0000-0000986D0000}"/>
    <cellStyle name="Normal 2 3 3 2 6" xfId="28057" xr:uid="{00000000-0005-0000-0000-0000996D0000}"/>
    <cellStyle name="Normal 2 3 3 2 7" xfId="28058" xr:uid="{00000000-0005-0000-0000-00009A6D0000}"/>
    <cellStyle name="Normal 2 3 3 2 8" xfId="28059" xr:uid="{00000000-0005-0000-0000-00009B6D0000}"/>
    <cellStyle name="Normal 2 3 3 2 9" xfId="28060" xr:uid="{00000000-0005-0000-0000-00009C6D0000}"/>
    <cellStyle name="Normal 2 3 3 3" xfId="28061" xr:uid="{00000000-0005-0000-0000-00009D6D0000}"/>
    <cellStyle name="Normal 2 3 3 3 10" xfId="28062" xr:uid="{00000000-0005-0000-0000-00009E6D0000}"/>
    <cellStyle name="Normal 2 3 3 3 2" xfId="28063" xr:uid="{00000000-0005-0000-0000-00009F6D0000}"/>
    <cellStyle name="Normal 2 3 3 3 3" xfId="28064" xr:uid="{00000000-0005-0000-0000-0000A06D0000}"/>
    <cellStyle name="Normal 2 3 3 3 4" xfId="28065" xr:uid="{00000000-0005-0000-0000-0000A16D0000}"/>
    <cellStyle name="Normal 2 3 3 3 5" xfId="28066" xr:uid="{00000000-0005-0000-0000-0000A26D0000}"/>
    <cellStyle name="Normal 2 3 3 3 6" xfId="28067" xr:uid="{00000000-0005-0000-0000-0000A36D0000}"/>
    <cellStyle name="Normal 2 3 3 3 7" xfId="28068" xr:uid="{00000000-0005-0000-0000-0000A46D0000}"/>
    <cellStyle name="Normal 2 3 3 3 8" xfId="28069" xr:uid="{00000000-0005-0000-0000-0000A56D0000}"/>
    <cellStyle name="Normal 2 3 3 3 9" xfId="28070" xr:uid="{00000000-0005-0000-0000-0000A66D0000}"/>
    <cellStyle name="Normal 2 3 3 4" xfId="28071" xr:uid="{00000000-0005-0000-0000-0000A76D0000}"/>
    <cellStyle name="Normal 2 3 3 4 10" xfId="28072" xr:uid="{00000000-0005-0000-0000-0000A86D0000}"/>
    <cellStyle name="Normal 2 3 3 4 2" xfId="28073" xr:uid="{00000000-0005-0000-0000-0000A96D0000}"/>
    <cellStyle name="Normal 2 3 3 4 3" xfId="28074" xr:uid="{00000000-0005-0000-0000-0000AA6D0000}"/>
    <cellStyle name="Normal 2 3 3 4 4" xfId="28075" xr:uid="{00000000-0005-0000-0000-0000AB6D0000}"/>
    <cellStyle name="Normal 2 3 3 4 5" xfId="28076" xr:uid="{00000000-0005-0000-0000-0000AC6D0000}"/>
    <cellStyle name="Normal 2 3 3 4 6" xfId="28077" xr:uid="{00000000-0005-0000-0000-0000AD6D0000}"/>
    <cellStyle name="Normal 2 3 3 4 7" xfId="28078" xr:uid="{00000000-0005-0000-0000-0000AE6D0000}"/>
    <cellStyle name="Normal 2 3 3 4 8" xfId="28079" xr:uid="{00000000-0005-0000-0000-0000AF6D0000}"/>
    <cellStyle name="Normal 2 3 3 4 9" xfId="28080" xr:uid="{00000000-0005-0000-0000-0000B06D0000}"/>
    <cellStyle name="Normal 2 3 3 5" xfId="28081" xr:uid="{00000000-0005-0000-0000-0000B16D0000}"/>
    <cellStyle name="Normal 2 3 3 5 10" xfId="28082" xr:uid="{00000000-0005-0000-0000-0000B26D0000}"/>
    <cellStyle name="Normal 2 3 3 5 2" xfId="28083" xr:uid="{00000000-0005-0000-0000-0000B36D0000}"/>
    <cellStyle name="Normal 2 3 3 5 3" xfId="28084" xr:uid="{00000000-0005-0000-0000-0000B46D0000}"/>
    <cellStyle name="Normal 2 3 3 5 4" xfId="28085" xr:uid="{00000000-0005-0000-0000-0000B56D0000}"/>
    <cellStyle name="Normal 2 3 3 5 5" xfId="28086" xr:uid="{00000000-0005-0000-0000-0000B66D0000}"/>
    <cellStyle name="Normal 2 3 3 5 6" xfId="28087" xr:uid="{00000000-0005-0000-0000-0000B76D0000}"/>
    <cellStyle name="Normal 2 3 3 5 7" xfId="28088" xr:uid="{00000000-0005-0000-0000-0000B86D0000}"/>
    <cellStyle name="Normal 2 3 3 5 8" xfId="28089" xr:uid="{00000000-0005-0000-0000-0000B96D0000}"/>
    <cellStyle name="Normal 2 3 3 5 9" xfId="28090" xr:uid="{00000000-0005-0000-0000-0000BA6D0000}"/>
    <cellStyle name="Normal 2 3 3 6" xfId="28091" xr:uid="{00000000-0005-0000-0000-0000BB6D0000}"/>
    <cellStyle name="Normal 2 3 3 7" xfId="28092" xr:uid="{00000000-0005-0000-0000-0000BC6D0000}"/>
    <cellStyle name="Normal 2 3 3 8" xfId="28093" xr:uid="{00000000-0005-0000-0000-0000BD6D0000}"/>
    <cellStyle name="Normal 2 3 3 9" xfId="28094" xr:uid="{00000000-0005-0000-0000-0000BE6D0000}"/>
    <cellStyle name="Normal 2 3 30" xfId="28095" xr:uid="{00000000-0005-0000-0000-0000BF6D0000}"/>
    <cellStyle name="Normal 2 3 30 10" xfId="28096" xr:uid="{00000000-0005-0000-0000-0000C06D0000}"/>
    <cellStyle name="Normal 2 3 30 11" xfId="28097" xr:uid="{00000000-0005-0000-0000-0000C16D0000}"/>
    <cellStyle name="Normal 2 3 30 12" xfId="28098" xr:uid="{00000000-0005-0000-0000-0000C26D0000}"/>
    <cellStyle name="Normal 2 3 30 13" xfId="28099" xr:uid="{00000000-0005-0000-0000-0000C36D0000}"/>
    <cellStyle name="Normal 2 3 30 14" xfId="28100" xr:uid="{00000000-0005-0000-0000-0000C46D0000}"/>
    <cellStyle name="Normal 2 3 30 2" xfId="28101" xr:uid="{00000000-0005-0000-0000-0000C56D0000}"/>
    <cellStyle name="Normal 2 3 30 2 10" xfId="28102" xr:uid="{00000000-0005-0000-0000-0000C66D0000}"/>
    <cellStyle name="Normal 2 3 30 2 2" xfId="28103" xr:uid="{00000000-0005-0000-0000-0000C76D0000}"/>
    <cellStyle name="Normal 2 3 30 2 3" xfId="28104" xr:uid="{00000000-0005-0000-0000-0000C86D0000}"/>
    <cellStyle name="Normal 2 3 30 2 4" xfId="28105" xr:uid="{00000000-0005-0000-0000-0000C96D0000}"/>
    <cellStyle name="Normal 2 3 30 2 5" xfId="28106" xr:uid="{00000000-0005-0000-0000-0000CA6D0000}"/>
    <cellStyle name="Normal 2 3 30 2 6" xfId="28107" xr:uid="{00000000-0005-0000-0000-0000CB6D0000}"/>
    <cellStyle name="Normal 2 3 30 2 7" xfId="28108" xr:uid="{00000000-0005-0000-0000-0000CC6D0000}"/>
    <cellStyle name="Normal 2 3 30 2 8" xfId="28109" xr:uid="{00000000-0005-0000-0000-0000CD6D0000}"/>
    <cellStyle name="Normal 2 3 30 2 9" xfId="28110" xr:uid="{00000000-0005-0000-0000-0000CE6D0000}"/>
    <cellStyle name="Normal 2 3 30 3" xfId="28111" xr:uid="{00000000-0005-0000-0000-0000CF6D0000}"/>
    <cellStyle name="Normal 2 3 30 3 10" xfId="28112" xr:uid="{00000000-0005-0000-0000-0000D06D0000}"/>
    <cellStyle name="Normal 2 3 30 3 2" xfId="28113" xr:uid="{00000000-0005-0000-0000-0000D16D0000}"/>
    <cellStyle name="Normal 2 3 30 3 3" xfId="28114" xr:uid="{00000000-0005-0000-0000-0000D26D0000}"/>
    <cellStyle name="Normal 2 3 30 3 4" xfId="28115" xr:uid="{00000000-0005-0000-0000-0000D36D0000}"/>
    <cellStyle name="Normal 2 3 30 3 5" xfId="28116" xr:uid="{00000000-0005-0000-0000-0000D46D0000}"/>
    <cellStyle name="Normal 2 3 30 3 6" xfId="28117" xr:uid="{00000000-0005-0000-0000-0000D56D0000}"/>
    <cellStyle name="Normal 2 3 30 3 7" xfId="28118" xr:uid="{00000000-0005-0000-0000-0000D66D0000}"/>
    <cellStyle name="Normal 2 3 30 3 8" xfId="28119" xr:uid="{00000000-0005-0000-0000-0000D76D0000}"/>
    <cellStyle name="Normal 2 3 30 3 9" xfId="28120" xr:uid="{00000000-0005-0000-0000-0000D86D0000}"/>
    <cellStyle name="Normal 2 3 30 4" xfId="28121" xr:uid="{00000000-0005-0000-0000-0000D96D0000}"/>
    <cellStyle name="Normal 2 3 30 4 10" xfId="28122" xr:uid="{00000000-0005-0000-0000-0000DA6D0000}"/>
    <cellStyle name="Normal 2 3 30 4 2" xfId="28123" xr:uid="{00000000-0005-0000-0000-0000DB6D0000}"/>
    <cellStyle name="Normal 2 3 30 4 3" xfId="28124" xr:uid="{00000000-0005-0000-0000-0000DC6D0000}"/>
    <cellStyle name="Normal 2 3 30 4 4" xfId="28125" xr:uid="{00000000-0005-0000-0000-0000DD6D0000}"/>
    <cellStyle name="Normal 2 3 30 4 5" xfId="28126" xr:uid="{00000000-0005-0000-0000-0000DE6D0000}"/>
    <cellStyle name="Normal 2 3 30 4 6" xfId="28127" xr:uid="{00000000-0005-0000-0000-0000DF6D0000}"/>
    <cellStyle name="Normal 2 3 30 4 7" xfId="28128" xr:uid="{00000000-0005-0000-0000-0000E06D0000}"/>
    <cellStyle name="Normal 2 3 30 4 8" xfId="28129" xr:uid="{00000000-0005-0000-0000-0000E16D0000}"/>
    <cellStyle name="Normal 2 3 30 4 9" xfId="28130" xr:uid="{00000000-0005-0000-0000-0000E26D0000}"/>
    <cellStyle name="Normal 2 3 30 5" xfId="28131" xr:uid="{00000000-0005-0000-0000-0000E36D0000}"/>
    <cellStyle name="Normal 2 3 30 5 10" xfId="28132" xr:uid="{00000000-0005-0000-0000-0000E46D0000}"/>
    <cellStyle name="Normal 2 3 30 5 2" xfId="28133" xr:uid="{00000000-0005-0000-0000-0000E56D0000}"/>
    <cellStyle name="Normal 2 3 30 5 3" xfId="28134" xr:uid="{00000000-0005-0000-0000-0000E66D0000}"/>
    <cellStyle name="Normal 2 3 30 5 4" xfId="28135" xr:uid="{00000000-0005-0000-0000-0000E76D0000}"/>
    <cellStyle name="Normal 2 3 30 5 5" xfId="28136" xr:uid="{00000000-0005-0000-0000-0000E86D0000}"/>
    <cellStyle name="Normal 2 3 30 5 6" xfId="28137" xr:uid="{00000000-0005-0000-0000-0000E96D0000}"/>
    <cellStyle name="Normal 2 3 30 5 7" xfId="28138" xr:uid="{00000000-0005-0000-0000-0000EA6D0000}"/>
    <cellStyle name="Normal 2 3 30 5 8" xfId="28139" xr:uid="{00000000-0005-0000-0000-0000EB6D0000}"/>
    <cellStyle name="Normal 2 3 30 5 9" xfId="28140" xr:uid="{00000000-0005-0000-0000-0000EC6D0000}"/>
    <cellStyle name="Normal 2 3 30 6" xfId="28141" xr:uid="{00000000-0005-0000-0000-0000ED6D0000}"/>
    <cellStyle name="Normal 2 3 30 7" xfId="28142" xr:uid="{00000000-0005-0000-0000-0000EE6D0000}"/>
    <cellStyle name="Normal 2 3 30 8" xfId="28143" xr:uid="{00000000-0005-0000-0000-0000EF6D0000}"/>
    <cellStyle name="Normal 2 3 30 9" xfId="28144" xr:uid="{00000000-0005-0000-0000-0000F06D0000}"/>
    <cellStyle name="Normal 2 3 31" xfId="28145" xr:uid="{00000000-0005-0000-0000-0000F16D0000}"/>
    <cellStyle name="Normal 2 3 31 10" xfId="28146" xr:uid="{00000000-0005-0000-0000-0000F26D0000}"/>
    <cellStyle name="Normal 2 3 31 11" xfId="28147" xr:uid="{00000000-0005-0000-0000-0000F36D0000}"/>
    <cellStyle name="Normal 2 3 31 12" xfId="28148" xr:uid="{00000000-0005-0000-0000-0000F46D0000}"/>
    <cellStyle name="Normal 2 3 31 13" xfId="28149" xr:uid="{00000000-0005-0000-0000-0000F56D0000}"/>
    <cellStyle name="Normal 2 3 31 14" xfId="28150" xr:uid="{00000000-0005-0000-0000-0000F66D0000}"/>
    <cellStyle name="Normal 2 3 31 2" xfId="28151" xr:uid="{00000000-0005-0000-0000-0000F76D0000}"/>
    <cellStyle name="Normal 2 3 31 2 10" xfId="28152" xr:uid="{00000000-0005-0000-0000-0000F86D0000}"/>
    <cellStyle name="Normal 2 3 31 2 2" xfId="28153" xr:uid="{00000000-0005-0000-0000-0000F96D0000}"/>
    <cellStyle name="Normal 2 3 31 2 3" xfId="28154" xr:uid="{00000000-0005-0000-0000-0000FA6D0000}"/>
    <cellStyle name="Normal 2 3 31 2 4" xfId="28155" xr:uid="{00000000-0005-0000-0000-0000FB6D0000}"/>
    <cellStyle name="Normal 2 3 31 2 5" xfId="28156" xr:uid="{00000000-0005-0000-0000-0000FC6D0000}"/>
    <cellStyle name="Normal 2 3 31 2 6" xfId="28157" xr:uid="{00000000-0005-0000-0000-0000FD6D0000}"/>
    <cellStyle name="Normal 2 3 31 2 7" xfId="28158" xr:uid="{00000000-0005-0000-0000-0000FE6D0000}"/>
    <cellStyle name="Normal 2 3 31 2 8" xfId="28159" xr:uid="{00000000-0005-0000-0000-0000FF6D0000}"/>
    <cellStyle name="Normal 2 3 31 2 9" xfId="28160" xr:uid="{00000000-0005-0000-0000-0000006E0000}"/>
    <cellStyle name="Normal 2 3 31 3" xfId="28161" xr:uid="{00000000-0005-0000-0000-0000016E0000}"/>
    <cellStyle name="Normal 2 3 31 3 10" xfId="28162" xr:uid="{00000000-0005-0000-0000-0000026E0000}"/>
    <cellStyle name="Normal 2 3 31 3 2" xfId="28163" xr:uid="{00000000-0005-0000-0000-0000036E0000}"/>
    <cellStyle name="Normal 2 3 31 3 3" xfId="28164" xr:uid="{00000000-0005-0000-0000-0000046E0000}"/>
    <cellStyle name="Normal 2 3 31 3 4" xfId="28165" xr:uid="{00000000-0005-0000-0000-0000056E0000}"/>
    <cellStyle name="Normal 2 3 31 3 5" xfId="28166" xr:uid="{00000000-0005-0000-0000-0000066E0000}"/>
    <cellStyle name="Normal 2 3 31 3 6" xfId="28167" xr:uid="{00000000-0005-0000-0000-0000076E0000}"/>
    <cellStyle name="Normal 2 3 31 3 7" xfId="28168" xr:uid="{00000000-0005-0000-0000-0000086E0000}"/>
    <cellStyle name="Normal 2 3 31 3 8" xfId="28169" xr:uid="{00000000-0005-0000-0000-0000096E0000}"/>
    <cellStyle name="Normal 2 3 31 3 9" xfId="28170" xr:uid="{00000000-0005-0000-0000-00000A6E0000}"/>
    <cellStyle name="Normal 2 3 31 4" xfId="28171" xr:uid="{00000000-0005-0000-0000-00000B6E0000}"/>
    <cellStyle name="Normal 2 3 31 4 10" xfId="28172" xr:uid="{00000000-0005-0000-0000-00000C6E0000}"/>
    <cellStyle name="Normal 2 3 31 4 2" xfId="28173" xr:uid="{00000000-0005-0000-0000-00000D6E0000}"/>
    <cellStyle name="Normal 2 3 31 4 3" xfId="28174" xr:uid="{00000000-0005-0000-0000-00000E6E0000}"/>
    <cellStyle name="Normal 2 3 31 4 4" xfId="28175" xr:uid="{00000000-0005-0000-0000-00000F6E0000}"/>
    <cellStyle name="Normal 2 3 31 4 5" xfId="28176" xr:uid="{00000000-0005-0000-0000-0000106E0000}"/>
    <cellStyle name="Normal 2 3 31 4 6" xfId="28177" xr:uid="{00000000-0005-0000-0000-0000116E0000}"/>
    <cellStyle name="Normal 2 3 31 4 7" xfId="28178" xr:uid="{00000000-0005-0000-0000-0000126E0000}"/>
    <cellStyle name="Normal 2 3 31 4 8" xfId="28179" xr:uid="{00000000-0005-0000-0000-0000136E0000}"/>
    <cellStyle name="Normal 2 3 31 4 9" xfId="28180" xr:uid="{00000000-0005-0000-0000-0000146E0000}"/>
    <cellStyle name="Normal 2 3 31 5" xfId="28181" xr:uid="{00000000-0005-0000-0000-0000156E0000}"/>
    <cellStyle name="Normal 2 3 31 5 10" xfId="28182" xr:uid="{00000000-0005-0000-0000-0000166E0000}"/>
    <cellStyle name="Normal 2 3 31 5 2" xfId="28183" xr:uid="{00000000-0005-0000-0000-0000176E0000}"/>
    <cellStyle name="Normal 2 3 31 5 3" xfId="28184" xr:uid="{00000000-0005-0000-0000-0000186E0000}"/>
    <cellStyle name="Normal 2 3 31 5 4" xfId="28185" xr:uid="{00000000-0005-0000-0000-0000196E0000}"/>
    <cellStyle name="Normal 2 3 31 5 5" xfId="28186" xr:uid="{00000000-0005-0000-0000-00001A6E0000}"/>
    <cellStyle name="Normal 2 3 31 5 6" xfId="28187" xr:uid="{00000000-0005-0000-0000-00001B6E0000}"/>
    <cellStyle name="Normal 2 3 31 5 7" xfId="28188" xr:uid="{00000000-0005-0000-0000-00001C6E0000}"/>
    <cellStyle name="Normal 2 3 31 5 8" xfId="28189" xr:uid="{00000000-0005-0000-0000-00001D6E0000}"/>
    <cellStyle name="Normal 2 3 31 5 9" xfId="28190" xr:uid="{00000000-0005-0000-0000-00001E6E0000}"/>
    <cellStyle name="Normal 2 3 31 6" xfId="28191" xr:uid="{00000000-0005-0000-0000-00001F6E0000}"/>
    <cellStyle name="Normal 2 3 31 7" xfId="28192" xr:uid="{00000000-0005-0000-0000-0000206E0000}"/>
    <cellStyle name="Normal 2 3 31 8" xfId="28193" xr:uid="{00000000-0005-0000-0000-0000216E0000}"/>
    <cellStyle name="Normal 2 3 31 9" xfId="28194" xr:uid="{00000000-0005-0000-0000-0000226E0000}"/>
    <cellStyle name="Normal 2 3 32" xfId="28195" xr:uid="{00000000-0005-0000-0000-0000236E0000}"/>
    <cellStyle name="Normal 2 3 32 10" xfId="28196" xr:uid="{00000000-0005-0000-0000-0000246E0000}"/>
    <cellStyle name="Normal 2 3 32 11" xfId="28197" xr:uid="{00000000-0005-0000-0000-0000256E0000}"/>
    <cellStyle name="Normal 2 3 32 12" xfId="28198" xr:uid="{00000000-0005-0000-0000-0000266E0000}"/>
    <cellStyle name="Normal 2 3 32 13" xfId="28199" xr:uid="{00000000-0005-0000-0000-0000276E0000}"/>
    <cellStyle name="Normal 2 3 32 14" xfId="28200" xr:uid="{00000000-0005-0000-0000-0000286E0000}"/>
    <cellStyle name="Normal 2 3 32 2" xfId="28201" xr:uid="{00000000-0005-0000-0000-0000296E0000}"/>
    <cellStyle name="Normal 2 3 32 2 10" xfId="28202" xr:uid="{00000000-0005-0000-0000-00002A6E0000}"/>
    <cellStyle name="Normal 2 3 32 2 2" xfId="28203" xr:uid="{00000000-0005-0000-0000-00002B6E0000}"/>
    <cellStyle name="Normal 2 3 32 2 3" xfId="28204" xr:uid="{00000000-0005-0000-0000-00002C6E0000}"/>
    <cellStyle name="Normal 2 3 32 2 4" xfId="28205" xr:uid="{00000000-0005-0000-0000-00002D6E0000}"/>
    <cellStyle name="Normal 2 3 32 2 5" xfId="28206" xr:uid="{00000000-0005-0000-0000-00002E6E0000}"/>
    <cellStyle name="Normal 2 3 32 2 6" xfId="28207" xr:uid="{00000000-0005-0000-0000-00002F6E0000}"/>
    <cellStyle name="Normal 2 3 32 2 7" xfId="28208" xr:uid="{00000000-0005-0000-0000-0000306E0000}"/>
    <cellStyle name="Normal 2 3 32 2 8" xfId="28209" xr:uid="{00000000-0005-0000-0000-0000316E0000}"/>
    <cellStyle name="Normal 2 3 32 2 9" xfId="28210" xr:uid="{00000000-0005-0000-0000-0000326E0000}"/>
    <cellStyle name="Normal 2 3 32 3" xfId="28211" xr:uid="{00000000-0005-0000-0000-0000336E0000}"/>
    <cellStyle name="Normal 2 3 32 3 10" xfId="28212" xr:uid="{00000000-0005-0000-0000-0000346E0000}"/>
    <cellStyle name="Normal 2 3 32 3 2" xfId="28213" xr:uid="{00000000-0005-0000-0000-0000356E0000}"/>
    <cellStyle name="Normal 2 3 32 3 3" xfId="28214" xr:uid="{00000000-0005-0000-0000-0000366E0000}"/>
    <cellStyle name="Normal 2 3 32 3 4" xfId="28215" xr:uid="{00000000-0005-0000-0000-0000376E0000}"/>
    <cellStyle name="Normal 2 3 32 3 5" xfId="28216" xr:uid="{00000000-0005-0000-0000-0000386E0000}"/>
    <cellStyle name="Normal 2 3 32 3 6" xfId="28217" xr:uid="{00000000-0005-0000-0000-0000396E0000}"/>
    <cellStyle name="Normal 2 3 32 3 7" xfId="28218" xr:uid="{00000000-0005-0000-0000-00003A6E0000}"/>
    <cellStyle name="Normal 2 3 32 3 8" xfId="28219" xr:uid="{00000000-0005-0000-0000-00003B6E0000}"/>
    <cellStyle name="Normal 2 3 32 3 9" xfId="28220" xr:uid="{00000000-0005-0000-0000-00003C6E0000}"/>
    <cellStyle name="Normal 2 3 32 4" xfId="28221" xr:uid="{00000000-0005-0000-0000-00003D6E0000}"/>
    <cellStyle name="Normal 2 3 32 4 10" xfId="28222" xr:uid="{00000000-0005-0000-0000-00003E6E0000}"/>
    <cellStyle name="Normal 2 3 32 4 2" xfId="28223" xr:uid="{00000000-0005-0000-0000-00003F6E0000}"/>
    <cellStyle name="Normal 2 3 32 4 3" xfId="28224" xr:uid="{00000000-0005-0000-0000-0000406E0000}"/>
    <cellStyle name="Normal 2 3 32 4 4" xfId="28225" xr:uid="{00000000-0005-0000-0000-0000416E0000}"/>
    <cellStyle name="Normal 2 3 32 4 5" xfId="28226" xr:uid="{00000000-0005-0000-0000-0000426E0000}"/>
    <cellStyle name="Normal 2 3 32 4 6" xfId="28227" xr:uid="{00000000-0005-0000-0000-0000436E0000}"/>
    <cellStyle name="Normal 2 3 32 4 7" xfId="28228" xr:uid="{00000000-0005-0000-0000-0000446E0000}"/>
    <cellStyle name="Normal 2 3 32 4 8" xfId="28229" xr:uid="{00000000-0005-0000-0000-0000456E0000}"/>
    <cellStyle name="Normal 2 3 32 4 9" xfId="28230" xr:uid="{00000000-0005-0000-0000-0000466E0000}"/>
    <cellStyle name="Normal 2 3 32 5" xfId="28231" xr:uid="{00000000-0005-0000-0000-0000476E0000}"/>
    <cellStyle name="Normal 2 3 32 5 10" xfId="28232" xr:uid="{00000000-0005-0000-0000-0000486E0000}"/>
    <cellStyle name="Normal 2 3 32 5 2" xfId="28233" xr:uid="{00000000-0005-0000-0000-0000496E0000}"/>
    <cellStyle name="Normal 2 3 32 5 3" xfId="28234" xr:uid="{00000000-0005-0000-0000-00004A6E0000}"/>
    <cellStyle name="Normal 2 3 32 5 4" xfId="28235" xr:uid="{00000000-0005-0000-0000-00004B6E0000}"/>
    <cellStyle name="Normal 2 3 32 5 5" xfId="28236" xr:uid="{00000000-0005-0000-0000-00004C6E0000}"/>
    <cellStyle name="Normal 2 3 32 5 6" xfId="28237" xr:uid="{00000000-0005-0000-0000-00004D6E0000}"/>
    <cellStyle name="Normal 2 3 32 5 7" xfId="28238" xr:uid="{00000000-0005-0000-0000-00004E6E0000}"/>
    <cellStyle name="Normal 2 3 32 5 8" xfId="28239" xr:uid="{00000000-0005-0000-0000-00004F6E0000}"/>
    <cellStyle name="Normal 2 3 32 5 9" xfId="28240" xr:uid="{00000000-0005-0000-0000-0000506E0000}"/>
    <cellStyle name="Normal 2 3 32 6" xfId="28241" xr:uid="{00000000-0005-0000-0000-0000516E0000}"/>
    <cellStyle name="Normal 2 3 32 7" xfId="28242" xr:uid="{00000000-0005-0000-0000-0000526E0000}"/>
    <cellStyle name="Normal 2 3 32 8" xfId="28243" xr:uid="{00000000-0005-0000-0000-0000536E0000}"/>
    <cellStyle name="Normal 2 3 32 9" xfId="28244" xr:uid="{00000000-0005-0000-0000-0000546E0000}"/>
    <cellStyle name="Normal 2 3 33" xfId="28245" xr:uid="{00000000-0005-0000-0000-0000556E0000}"/>
    <cellStyle name="Normal 2 3 33 10" xfId="28246" xr:uid="{00000000-0005-0000-0000-0000566E0000}"/>
    <cellStyle name="Normal 2 3 33 11" xfId="28247" xr:uid="{00000000-0005-0000-0000-0000576E0000}"/>
    <cellStyle name="Normal 2 3 33 12" xfId="28248" xr:uid="{00000000-0005-0000-0000-0000586E0000}"/>
    <cellStyle name="Normal 2 3 33 13" xfId="28249" xr:uid="{00000000-0005-0000-0000-0000596E0000}"/>
    <cellStyle name="Normal 2 3 33 14" xfId="28250" xr:uid="{00000000-0005-0000-0000-00005A6E0000}"/>
    <cellStyle name="Normal 2 3 33 2" xfId="28251" xr:uid="{00000000-0005-0000-0000-00005B6E0000}"/>
    <cellStyle name="Normal 2 3 33 2 10" xfId="28252" xr:uid="{00000000-0005-0000-0000-00005C6E0000}"/>
    <cellStyle name="Normal 2 3 33 2 2" xfId="28253" xr:uid="{00000000-0005-0000-0000-00005D6E0000}"/>
    <cellStyle name="Normal 2 3 33 2 3" xfId="28254" xr:uid="{00000000-0005-0000-0000-00005E6E0000}"/>
    <cellStyle name="Normal 2 3 33 2 4" xfId="28255" xr:uid="{00000000-0005-0000-0000-00005F6E0000}"/>
    <cellStyle name="Normal 2 3 33 2 5" xfId="28256" xr:uid="{00000000-0005-0000-0000-0000606E0000}"/>
    <cellStyle name="Normal 2 3 33 2 6" xfId="28257" xr:uid="{00000000-0005-0000-0000-0000616E0000}"/>
    <cellStyle name="Normal 2 3 33 2 7" xfId="28258" xr:uid="{00000000-0005-0000-0000-0000626E0000}"/>
    <cellStyle name="Normal 2 3 33 2 8" xfId="28259" xr:uid="{00000000-0005-0000-0000-0000636E0000}"/>
    <cellStyle name="Normal 2 3 33 2 9" xfId="28260" xr:uid="{00000000-0005-0000-0000-0000646E0000}"/>
    <cellStyle name="Normal 2 3 33 3" xfId="28261" xr:uid="{00000000-0005-0000-0000-0000656E0000}"/>
    <cellStyle name="Normal 2 3 33 3 10" xfId="28262" xr:uid="{00000000-0005-0000-0000-0000666E0000}"/>
    <cellStyle name="Normal 2 3 33 3 2" xfId="28263" xr:uid="{00000000-0005-0000-0000-0000676E0000}"/>
    <cellStyle name="Normal 2 3 33 3 3" xfId="28264" xr:uid="{00000000-0005-0000-0000-0000686E0000}"/>
    <cellStyle name="Normal 2 3 33 3 4" xfId="28265" xr:uid="{00000000-0005-0000-0000-0000696E0000}"/>
    <cellStyle name="Normal 2 3 33 3 5" xfId="28266" xr:uid="{00000000-0005-0000-0000-00006A6E0000}"/>
    <cellStyle name="Normal 2 3 33 3 6" xfId="28267" xr:uid="{00000000-0005-0000-0000-00006B6E0000}"/>
    <cellStyle name="Normal 2 3 33 3 7" xfId="28268" xr:uid="{00000000-0005-0000-0000-00006C6E0000}"/>
    <cellStyle name="Normal 2 3 33 3 8" xfId="28269" xr:uid="{00000000-0005-0000-0000-00006D6E0000}"/>
    <cellStyle name="Normal 2 3 33 3 9" xfId="28270" xr:uid="{00000000-0005-0000-0000-00006E6E0000}"/>
    <cellStyle name="Normal 2 3 33 4" xfId="28271" xr:uid="{00000000-0005-0000-0000-00006F6E0000}"/>
    <cellStyle name="Normal 2 3 33 4 10" xfId="28272" xr:uid="{00000000-0005-0000-0000-0000706E0000}"/>
    <cellStyle name="Normal 2 3 33 4 2" xfId="28273" xr:uid="{00000000-0005-0000-0000-0000716E0000}"/>
    <cellStyle name="Normal 2 3 33 4 3" xfId="28274" xr:uid="{00000000-0005-0000-0000-0000726E0000}"/>
    <cellStyle name="Normal 2 3 33 4 4" xfId="28275" xr:uid="{00000000-0005-0000-0000-0000736E0000}"/>
    <cellStyle name="Normal 2 3 33 4 5" xfId="28276" xr:uid="{00000000-0005-0000-0000-0000746E0000}"/>
    <cellStyle name="Normal 2 3 33 4 6" xfId="28277" xr:uid="{00000000-0005-0000-0000-0000756E0000}"/>
    <cellStyle name="Normal 2 3 33 4 7" xfId="28278" xr:uid="{00000000-0005-0000-0000-0000766E0000}"/>
    <cellStyle name="Normal 2 3 33 4 8" xfId="28279" xr:uid="{00000000-0005-0000-0000-0000776E0000}"/>
    <cellStyle name="Normal 2 3 33 4 9" xfId="28280" xr:uid="{00000000-0005-0000-0000-0000786E0000}"/>
    <cellStyle name="Normal 2 3 33 5" xfId="28281" xr:uid="{00000000-0005-0000-0000-0000796E0000}"/>
    <cellStyle name="Normal 2 3 33 5 10" xfId="28282" xr:uid="{00000000-0005-0000-0000-00007A6E0000}"/>
    <cellStyle name="Normal 2 3 33 5 2" xfId="28283" xr:uid="{00000000-0005-0000-0000-00007B6E0000}"/>
    <cellStyle name="Normal 2 3 33 5 3" xfId="28284" xr:uid="{00000000-0005-0000-0000-00007C6E0000}"/>
    <cellStyle name="Normal 2 3 33 5 4" xfId="28285" xr:uid="{00000000-0005-0000-0000-00007D6E0000}"/>
    <cellStyle name="Normal 2 3 33 5 5" xfId="28286" xr:uid="{00000000-0005-0000-0000-00007E6E0000}"/>
    <cellStyle name="Normal 2 3 33 5 6" xfId="28287" xr:uid="{00000000-0005-0000-0000-00007F6E0000}"/>
    <cellStyle name="Normal 2 3 33 5 7" xfId="28288" xr:uid="{00000000-0005-0000-0000-0000806E0000}"/>
    <cellStyle name="Normal 2 3 33 5 8" xfId="28289" xr:uid="{00000000-0005-0000-0000-0000816E0000}"/>
    <cellStyle name="Normal 2 3 33 5 9" xfId="28290" xr:uid="{00000000-0005-0000-0000-0000826E0000}"/>
    <cellStyle name="Normal 2 3 33 6" xfId="28291" xr:uid="{00000000-0005-0000-0000-0000836E0000}"/>
    <cellStyle name="Normal 2 3 33 7" xfId="28292" xr:uid="{00000000-0005-0000-0000-0000846E0000}"/>
    <cellStyle name="Normal 2 3 33 8" xfId="28293" xr:uid="{00000000-0005-0000-0000-0000856E0000}"/>
    <cellStyle name="Normal 2 3 33 9" xfId="28294" xr:uid="{00000000-0005-0000-0000-0000866E0000}"/>
    <cellStyle name="Normal 2 3 34" xfId="28295" xr:uid="{00000000-0005-0000-0000-0000876E0000}"/>
    <cellStyle name="Normal 2 3 34 10" xfId="28296" xr:uid="{00000000-0005-0000-0000-0000886E0000}"/>
    <cellStyle name="Normal 2 3 34 11" xfId="28297" xr:uid="{00000000-0005-0000-0000-0000896E0000}"/>
    <cellStyle name="Normal 2 3 34 12" xfId="28298" xr:uid="{00000000-0005-0000-0000-00008A6E0000}"/>
    <cellStyle name="Normal 2 3 34 13" xfId="28299" xr:uid="{00000000-0005-0000-0000-00008B6E0000}"/>
    <cellStyle name="Normal 2 3 34 14" xfId="28300" xr:uid="{00000000-0005-0000-0000-00008C6E0000}"/>
    <cellStyle name="Normal 2 3 34 2" xfId="28301" xr:uid="{00000000-0005-0000-0000-00008D6E0000}"/>
    <cellStyle name="Normal 2 3 34 2 10" xfId="28302" xr:uid="{00000000-0005-0000-0000-00008E6E0000}"/>
    <cellStyle name="Normal 2 3 34 2 2" xfId="28303" xr:uid="{00000000-0005-0000-0000-00008F6E0000}"/>
    <cellStyle name="Normal 2 3 34 2 3" xfId="28304" xr:uid="{00000000-0005-0000-0000-0000906E0000}"/>
    <cellStyle name="Normal 2 3 34 2 4" xfId="28305" xr:uid="{00000000-0005-0000-0000-0000916E0000}"/>
    <cellStyle name="Normal 2 3 34 2 5" xfId="28306" xr:uid="{00000000-0005-0000-0000-0000926E0000}"/>
    <cellStyle name="Normal 2 3 34 2 6" xfId="28307" xr:uid="{00000000-0005-0000-0000-0000936E0000}"/>
    <cellStyle name="Normal 2 3 34 2 7" xfId="28308" xr:uid="{00000000-0005-0000-0000-0000946E0000}"/>
    <cellStyle name="Normal 2 3 34 2 8" xfId="28309" xr:uid="{00000000-0005-0000-0000-0000956E0000}"/>
    <cellStyle name="Normal 2 3 34 2 9" xfId="28310" xr:uid="{00000000-0005-0000-0000-0000966E0000}"/>
    <cellStyle name="Normal 2 3 34 3" xfId="28311" xr:uid="{00000000-0005-0000-0000-0000976E0000}"/>
    <cellStyle name="Normal 2 3 34 3 10" xfId="28312" xr:uid="{00000000-0005-0000-0000-0000986E0000}"/>
    <cellStyle name="Normal 2 3 34 3 2" xfId="28313" xr:uid="{00000000-0005-0000-0000-0000996E0000}"/>
    <cellStyle name="Normal 2 3 34 3 3" xfId="28314" xr:uid="{00000000-0005-0000-0000-00009A6E0000}"/>
    <cellStyle name="Normal 2 3 34 3 4" xfId="28315" xr:uid="{00000000-0005-0000-0000-00009B6E0000}"/>
    <cellStyle name="Normal 2 3 34 3 5" xfId="28316" xr:uid="{00000000-0005-0000-0000-00009C6E0000}"/>
    <cellStyle name="Normal 2 3 34 3 6" xfId="28317" xr:uid="{00000000-0005-0000-0000-00009D6E0000}"/>
    <cellStyle name="Normal 2 3 34 3 7" xfId="28318" xr:uid="{00000000-0005-0000-0000-00009E6E0000}"/>
    <cellStyle name="Normal 2 3 34 3 8" xfId="28319" xr:uid="{00000000-0005-0000-0000-00009F6E0000}"/>
    <cellStyle name="Normal 2 3 34 3 9" xfId="28320" xr:uid="{00000000-0005-0000-0000-0000A06E0000}"/>
    <cellStyle name="Normal 2 3 34 4" xfId="28321" xr:uid="{00000000-0005-0000-0000-0000A16E0000}"/>
    <cellStyle name="Normal 2 3 34 4 10" xfId="28322" xr:uid="{00000000-0005-0000-0000-0000A26E0000}"/>
    <cellStyle name="Normal 2 3 34 4 2" xfId="28323" xr:uid="{00000000-0005-0000-0000-0000A36E0000}"/>
    <cellStyle name="Normal 2 3 34 4 3" xfId="28324" xr:uid="{00000000-0005-0000-0000-0000A46E0000}"/>
    <cellStyle name="Normal 2 3 34 4 4" xfId="28325" xr:uid="{00000000-0005-0000-0000-0000A56E0000}"/>
    <cellStyle name="Normal 2 3 34 4 5" xfId="28326" xr:uid="{00000000-0005-0000-0000-0000A66E0000}"/>
    <cellStyle name="Normal 2 3 34 4 6" xfId="28327" xr:uid="{00000000-0005-0000-0000-0000A76E0000}"/>
    <cellStyle name="Normal 2 3 34 4 7" xfId="28328" xr:uid="{00000000-0005-0000-0000-0000A86E0000}"/>
    <cellStyle name="Normal 2 3 34 4 8" xfId="28329" xr:uid="{00000000-0005-0000-0000-0000A96E0000}"/>
    <cellStyle name="Normal 2 3 34 4 9" xfId="28330" xr:uid="{00000000-0005-0000-0000-0000AA6E0000}"/>
    <cellStyle name="Normal 2 3 34 5" xfId="28331" xr:uid="{00000000-0005-0000-0000-0000AB6E0000}"/>
    <cellStyle name="Normal 2 3 34 5 10" xfId="28332" xr:uid="{00000000-0005-0000-0000-0000AC6E0000}"/>
    <cellStyle name="Normal 2 3 34 5 2" xfId="28333" xr:uid="{00000000-0005-0000-0000-0000AD6E0000}"/>
    <cellStyle name="Normal 2 3 34 5 3" xfId="28334" xr:uid="{00000000-0005-0000-0000-0000AE6E0000}"/>
    <cellStyle name="Normal 2 3 34 5 4" xfId="28335" xr:uid="{00000000-0005-0000-0000-0000AF6E0000}"/>
    <cellStyle name="Normal 2 3 34 5 5" xfId="28336" xr:uid="{00000000-0005-0000-0000-0000B06E0000}"/>
    <cellStyle name="Normal 2 3 34 5 6" xfId="28337" xr:uid="{00000000-0005-0000-0000-0000B16E0000}"/>
    <cellStyle name="Normal 2 3 34 5 7" xfId="28338" xr:uid="{00000000-0005-0000-0000-0000B26E0000}"/>
    <cellStyle name="Normal 2 3 34 5 8" xfId="28339" xr:uid="{00000000-0005-0000-0000-0000B36E0000}"/>
    <cellStyle name="Normal 2 3 34 5 9" xfId="28340" xr:uid="{00000000-0005-0000-0000-0000B46E0000}"/>
    <cellStyle name="Normal 2 3 34 6" xfId="28341" xr:uid="{00000000-0005-0000-0000-0000B56E0000}"/>
    <cellStyle name="Normal 2 3 34 7" xfId="28342" xr:uid="{00000000-0005-0000-0000-0000B66E0000}"/>
    <cellStyle name="Normal 2 3 34 8" xfId="28343" xr:uid="{00000000-0005-0000-0000-0000B76E0000}"/>
    <cellStyle name="Normal 2 3 34 9" xfId="28344" xr:uid="{00000000-0005-0000-0000-0000B86E0000}"/>
    <cellStyle name="Normal 2 3 35" xfId="28345" xr:uid="{00000000-0005-0000-0000-0000B96E0000}"/>
    <cellStyle name="Normal 2 3 35 10" xfId="28346" xr:uid="{00000000-0005-0000-0000-0000BA6E0000}"/>
    <cellStyle name="Normal 2 3 35 2" xfId="28347" xr:uid="{00000000-0005-0000-0000-0000BB6E0000}"/>
    <cellStyle name="Normal 2 3 35 3" xfId="28348" xr:uid="{00000000-0005-0000-0000-0000BC6E0000}"/>
    <cellStyle name="Normal 2 3 35 4" xfId="28349" xr:uid="{00000000-0005-0000-0000-0000BD6E0000}"/>
    <cellStyle name="Normal 2 3 35 5" xfId="28350" xr:uid="{00000000-0005-0000-0000-0000BE6E0000}"/>
    <cellStyle name="Normal 2 3 35 6" xfId="28351" xr:uid="{00000000-0005-0000-0000-0000BF6E0000}"/>
    <cellStyle name="Normal 2 3 35 7" xfId="28352" xr:uid="{00000000-0005-0000-0000-0000C06E0000}"/>
    <cellStyle name="Normal 2 3 35 8" xfId="28353" xr:uid="{00000000-0005-0000-0000-0000C16E0000}"/>
    <cellStyle name="Normal 2 3 35 9" xfId="28354" xr:uid="{00000000-0005-0000-0000-0000C26E0000}"/>
    <cellStyle name="Normal 2 3 36" xfId="28355" xr:uid="{00000000-0005-0000-0000-0000C36E0000}"/>
    <cellStyle name="Normal 2 3 36 10" xfId="28356" xr:uid="{00000000-0005-0000-0000-0000C46E0000}"/>
    <cellStyle name="Normal 2 3 36 2" xfId="28357" xr:uid="{00000000-0005-0000-0000-0000C56E0000}"/>
    <cellStyle name="Normal 2 3 36 3" xfId="28358" xr:uid="{00000000-0005-0000-0000-0000C66E0000}"/>
    <cellStyle name="Normal 2 3 36 4" xfId="28359" xr:uid="{00000000-0005-0000-0000-0000C76E0000}"/>
    <cellStyle name="Normal 2 3 36 5" xfId="28360" xr:uid="{00000000-0005-0000-0000-0000C86E0000}"/>
    <cellStyle name="Normal 2 3 36 6" xfId="28361" xr:uid="{00000000-0005-0000-0000-0000C96E0000}"/>
    <cellStyle name="Normal 2 3 36 7" xfId="28362" xr:uid="{00000000-0005-0000-0000-0000CA6E0000}"/>
    <cellStyle name="Normal 2 3 36 8" xfId="28363" xr:uid="{00000000-0005-0000-0000-0000CB6E0000}"/>
    <cellStyle name="Normal 2 3 36 9" xfId="28364" xr:uid="{00000000-0005-0000-0000-0000CC6E0000}"/>
    <cellStyle name="Normal 2 3 37" xfId="28365" xr:uid="{00000000-0005-0000-0000-0000CD6E0000}"/>
    <cellStyle name="Normal 2 3 37 10" xfId="28366" xr:uid="{00000000-0005-0000-0000-0000CE6E0000}"/>
    <cellStyle name="Normal 2 3 37 2" xfId="28367" xr:uid="{00000000-0005-0000-0000-0000CF6E0000}"/>
    <cellStyle name="Normal 2 3 37 3" xfId="28368" xr:uid="{00000000-0005-0000-0000-0000D06E0000}"/>
    <cellStyle name="Normal 2 3 37 4" xfId="28369" xr:uid="{00000000-0005-0000-0000-0000D16E0000}"/>
    <cellStyle name="Normal 2 3 37 5" xfId="28370" xr:uid="{00000000-0005-0000-0000-0000D26E0000}"/>
    <cellStyle name="Normal 2 3 37 6" xfId="28371" xr:uid="{00000000-0005-0000-0000-0000D36E0000}"/>
    <cellStyle name="Normal 2 3 37 7" xfId="28372" xr:uid="{00000000-0005-0000-0000-0000D46E0000}"/>
    <cellStyle name="Normal 2 3 37 8" xfId="28373" xr:uid="{00000000-0005-0000-0000-0000D56E0000}"/>
    <cellStyle name="Normal 2 3 37 9" xfId="28374" xr:uid="{00000000-0005-0000-0000-0000D66E0000}"/>
    <cellStyle name="Normal 2 3 38" xfId="28375" xr:uid="{00000000-0005-0000-0000-0000D76E0000}"/>
    <cellStyle name="Normal 2 3 38 10" xfId="28376" xr:uid="{00000000-0005-0000-0000-0000D86E0000}"/>
    <cellStyle name="Normal 2 3 38 2" xfId="28377" xr:uid="{00000000-0005-0000-0000-0000D96E0000}"/>
    <cellStyle name="Normal 2 3 38 3" xfId="28378" xr:uid="{00000000-0005-0000-0000-0000DA6E0000}"/>
    <cellStyle name="Normal 2 3 38 4" xfId="28379" xr:uid="{00000000-0005-0000-0000-0000DB6E0000}"/>
    <cellStyle name="Normal 2 3 38 5" xfId="28380" xr:uid="{00000000-0005-0000-0000-0000DC6E0000}"/>
    <cellStyle name="Normal 2 3 38 6" xfId="28381" xr:uid="{00000000-0005-0000-0000-0000DD6E0000}"/>
    <cellStyle name="Normal 2 3 38 7" xfId="28382" xr:uid="{00000000-0005-0000-0000-0000DE6E0000}"/>
    <cellStyle name="Normal 2 3 38 8" xfId="28383" xr:uid="{00000000-0005-0000-0000-0000DF6E0000}"/>
    <cellStyle name="Normal 2 3 38 9" xfId="28384" xr:uid="{00000000-0005-0000-0000-0000E06E0000}"/>
    <cellStyle name="Normal 2 3 39" xfId="28385" xr:uid="{00000000-0005-0000-0000-0000E16E0000}"/>
    <cellStyle name="Normal 2 3 4" xfId="28386" xr:uid="{00000000-0005-0000-0000-0000E26E0000}"/>
    <cellStyle name="Normal 2 3 4 10" xfId="28387" xr:uid="{00000000-0005-0000-0000-0000E36E0000}"/>
    <cellStyle name="Normal 2 3 4 11" xfId="28388" xr:uid="{00000000-0005-0000-0000-0000E46E0000}"/>
    <cellStyle name="Normal 2 3 4 12" xfId="28389" xr:uid="{00000000-0005-0000-0000-0000E56E0000}"/>
    <cellStyle name="Normal 2 3 4 13" xfId="28390" xr:uid="{00000000-0005-0000-0000-0000E66E0000}"/>
    <cellStyle name="Normal 2 3 4 14" xfId="28391" xr:uid="{00000000-0005-0000-0000-0000E76E0000}"/>
    <cellStyle name="Normal 2 3 4 15" xfId="28392" xr:uid="{00000000-0005-0000-0000-0000E86E0000}"/>
    <cellStyle name="Normal 2 3 4 16" xfId="28393" xr:uid="{00000000-0005-0000-0000-0000E96E0000}"/>
    <cellStyle name="Normal 2 3 4 2" xfId="28394" xr:uid="{00000000-0005-0000-0000-0000EA6E0000}"/>
    <cellStyle name="Normal 2 3 4 2 10" xfId="28395" xr:uid="{00000000-0005-0000-0000-0000EB6E0000}"/>
    <cellStyle name="Normal 2 3 4 2 2" xfId="28396" xr:uid="{00000000-0005-0000-0000-0000EC6E0000}"/>
    <cellStyle name="Normal 2 3 4 2 3" xfId="28397" xr:uid="{00000000-0005-0000-0000-0000ED6E0000}"/>
    <cellStyle name="Normal 2 3 4 2 4" xfId="28398" xr:uid="{00000000-0005-0000-0000-0000EE6E0000}"/>
    <cellStyle name="Normal 2 3 4 2 5" xfId="28399" xr:uid="{00000000-0005-0000-0000-0000EF6E0000}"/>
    <cellStyle name="Normal 2 3 4 2 6" xfId="28400" xr:uid="{00000000-0005-0000-0000-0000F06E0000}"/>
    <cellStyle name="Normal 2 3 4 2 7" xfId="28401" xr:uid="{00000000-0005-0000-0000-0000F16E0000}"/>
    <cellStyle name="Normal 2 3 4 2 8" xfId="28402" xr:uid="{00000000-0005-0000-0000-0000F26E0000}"/>
    <cellStyle name="Normal 2 3 4 2 9" xfId="28403" xr:uid="{00000000-0005-0000-0000-0000F36E0000}"/>
    <cellStyle name="Normal 2 3 4 3" xfId="28404" xr:uid="{00000000-0005-0000-0000-0000F46E0000}"/>
    <cellStyle name="Normal 2 3 4 3 10" xfId="28405" xr:uid="{00000000-0005-0000-0000-0000F56E0000}"/>
    <cellStyle name="Normal 2 3 4 3 2" xfId="28406" xr:uid="{00000000-0005-0000-0000-0000F66E0000}"/>
    <cellStyle name="Normal 2 3 4 3 3" xfId="28407" xr:uid="{00000000-0005-0000-0000-0000F76E0000}"/>
    <cellStyle name="Normal 2 3 4 3 4" xfId="28408" xr:uid="{00000000-0005-0000-0000-0000F86E0000}"/>
    <cellStyle name="Normal 2 3 4 3 5" xfId="28409" xr:uid="{00000000-0005-0000-0000-0000F96E0000}"/>
    <cellStyle name="Normal 2 3 4 3 6" xfId="28410" xr:uid="{00000000-0005-0000-0000-0000FA6E0000}"/>
    <cellStyle name="Normal 2 3 4 3 7" xfId="28411" xr:uid="{00000000-0005-0000-0000-0000FB6E0000}"/>
    <cellStyle name="Normal 2 3 4 3 8" xfId="28412" xr:uid="{00000000-0005-0000-0000-0000FC6E0000}"/>
    <cellStyle name="Normal 2 3 4 3 9" xfId="28413" xr:uid="{00000000-0005-0000-0000-0000FD6E0000}"/>
    <cellStyle name="Normal 2 3 4 4" xfId="28414" xr:uid="{00000000-0005-0000-0000-0000FE6E0000}"/>
    <cellStyle name="Normal 2 3 4 4 10" xfId="28415" xr:uid="{00000000-0005-0000-0000-0000FF6E0000}"/>
    <cellStyle name="Normal 2 3 4 4 2" xfId="28416" xr:uid="{00000000-0005-0000-0000-0000006F0000}"/>
    <cellStyle name="Normal 2 3 4 4 3" xfId="28417" xr:uid="{00000000-0005-0000-0000-0000016F0000}"/>
    <cellStyle name="Normal 2 3 4 4 4" xfId="28418" xr:uid="{00000000-0005-0000-0000-0000026F0000}"/>
    <cellStyle name="Normal 2 3 4 4 5" xfId="28419" xr:uid="{00000000-0005-0000-0000-0000036F0000}"/>
    <cellStyle name="Normal 2 3 4 4 6" xfId="28420" xr:uid="{00000000-0005-0000-0000-0000046F0000}"/>
    <cellStyle name="Normal 2 3 4 4 7" xfId="28421" xr:uid="{00000000-0005-0000-0000-0000056F0000}"/>
    <cellStyle name="Normal 2 3 4 4 8" xfId="28422" xr:uid="{00000000-0005-0000-0000-0000066F0000}"/>
    <cellStyle name="Normal 2 3 4 4 9" xfId="28423" xr:uid="{00000000-0005-0000-0000-0000076F0000}"/>
    <cellStyle name="Normal 2 3 4 5" xfId="28424" xr:uid="{00000000-0005-0000-0000-0000086F0000}"/>
    <cellStyle name="Normal 2 3 4 5 10" xfId="28425" xr:uid="{00000000-0005-0000-0000-0000096F0000}"/>
    <cellStyle name="Normal 2 3 4 5 2" xfId="28426" xr:uid="{00000000-0005-0000-0000-00000A6F0000}"/>
    <cellStyle name="Normal 2 3 4 5 3" xfId="28427" xr:uid="{00000000-0005-0000-0000-00000B6F0000}"/>
    <cellStyle name="Normal 2 3 4 5 4" xfId="28428" xr:uid="{00000000-0005-0000-0000-00000C6F0000}"/>
    <cellStyle name="Normal 2 3 4 5 5" xfId="28429" xr:uid="{00000000-0005-0000-0000-00000D6F0000}"/>
    <cellStyle name="Normal 2 3 4 5 6" xfId="28430" xr:uid="{00000000-0005-0000-0000-00000E6F0000}"/>
    <cellStyle name="Normal 2 3 4 5 7" xfId="28431" xr:uid="{00000000-0005-0000-0000-00000F6F0000}"/>
    <cellStyle name="Normal 2 3 4 5 8" xfId="28432" xr:uid="{00000000-0005-0000-0000-0000106F0000}"/>
    <cellStyle name="Normal 2 3 4 5 9" xfId="28433" xr:uid="{00000000-0005-0000-0000-0000116F0000}"/>
    <cellStyle name="Normal 2 3 4 6" xfId="28434" xr:uid="{00000000-0005-0000-0000-0000126F0000}"/>
    <cellStyle name="Normal 2 3 4 7" xfId="28435" xr:uid="{00000000-0005-0000-0000-0000136F0000}"/>
    <cellStyle name="Normal 2 3 4 8" xfId="28436" xr:uid="{00000000-0005-0000-0000-0000146F0000}"/>
    <cellStyle name="Normal 2 3 4 9" xfId="28437" xr:uid="{00000000-0005-0000-0000-0000156F0000}"/>
    <cellStyle name="Normal 2 3 40" xfId="28438" xr:uid="{00000000-0005-0000-0000-0000166F0000}"/>
    <cellStyle name="Normal 2 3 41" xfId="28439" xr:uid="{00000000-0005-0000-0000-0000176F0000}"/>
    <cellStyle name="Normal 2 3 42" xfId="28440" xr:uid="{00000000-0005-0000-0000-0000186F0000}"/>
    <cellStyle name="Normal 2 3 43" xfId="28441" xr:uid="{00000000-0005-0000-0000-0000196F0000}"/>
    <cellStyle name="Normal 2 3 44" xfId="28442" xr:uid="{00000000-0005-0000-0000-00001A6F0000}"/>
    <cellStyle name="Normal 2 3 45" xfId="28443" xr:uid="{00000000-0005-0000-0000-00001B6F0000}"/>
    <cellStyle name="Normal 2 3 46" xfId="28444" xr:uid="{00000000-0005-0000-0000-00001C6F0000}"/>
    <cellStyle name="Normal 2 3 47" xfId="28445" xr:uid="{00000000-0005-0000-0000-00001D6F0000}"/>
    <cellStyle name="Normal 2 3 48" xfId="28446" xr:uid="{00000000-0005-0000-0000-00001E6F0000}"/>
    <cellStyle name="Normal 2 3 49" xfId="28447" xr:uid="{00000000-0005-0000-0000-00001F6F0000}"/>
    <cellStyle name="Normal 2 3 5" xfId="28448" xr:uid="{00000000-0005-0000-0000-0000206F0000}"/>
    <cellStyle name="Normal 2 3 5 10" xfId="28449" xr:uid="{00000000-0005-0000-0000-0000216F0000}"/>
    <cellStyle name="Normal 2 3 5 11" xfId="28450" xr:uid="{00000000-0005-0000-0000-0000226F0000}"/>
    <cellStyle name="Normal 2 3 5 12" xfId="28451" xr:uid="{00000000-0005-0000-0000-0000236F0000}"/>
    <cellStyle name="Normal 2 3 5 13" xfId="28452" xr:uid="{00000000-0005-0000-0000-0000246F0000}"/>
    <cellStyle name="Normal 2 3 5 14" xfId="28453" xr:uid="{00000000-0005-0000-0000-0000256F0000}"/>
    <cellStyle name="Normal 2 3 5 15" xfId="28454" xr:uid="{00000000-0005-0000-0000-0000266F0000}"/>
    <cellStyle name="Normal 2 3 5 16" xfId="28455" xr:uid="{00000000-0005-0000-0000-0000276F0000}"/>
    <cellStyle name="Normal 2 3 5 2" xfId="28456" xr:uid="{00000000-0005-0000-0000-0000286F0000}"/>
    <cellStyle name="Normal 2 3 5 2 10" xfId="28457" xr:uid="{00000000-0005-0000-0000-0000296F0000}"/>
    <cellStyle name="Normal 2 3 5 2 11" xfId="28458" xr:uid="{00000000-0005-0000-0000-00002A6F0000}"/>
    <cellStyle name="Normal 2 3 5 2 12" xfId="28459" xr:uid="{00000000-0005-0000-0000-00002B6F0000}"/>
    <cellStyle name="Normal 2 3 5 2 2" xfId="28460" xr:uid="{00000000-0005-0000-0000-00002C6F0000}"/>
    <cellStyle name="Normal 2 3 5 2 3" xfId="28461" xr:uid="{00000000-0005-0000-0000-00002D6F0000}"/>
    <cellStyle name="Normal 2 3 5 2 4" xfId="28462" xr:uid="{00000000-0005-0000-0000-00002E6F0000}"/>
    <cellStyle name="Normal 2 3 5 2 5" xfId="28463" xr:uid="{00000000-0005-0000-0000-00002F6F0000}"/>
    <cellStyle name="Normal 2 3 5 2 6" xfId="28464" xr:uid="{00000000-0005-0000-0000-0000306F0000}"/>
    <cellStyle name="Normal 2 3 5 2 7" xfId="28465" xr:uid="{00000000-0005-0000-0000-0000316F0000}"/>
    <cellStyle name="Normal 2 3 5 2 8" xfId="28466" xr:uid="{00000000-0005-0000-0000-0000326F0000}"/>
    <cellStyle name="Normal 2 3 5 2 9" xfId="28467" xr:uid="{00000000-0005-0000-0000-0000336F0000}"/>
    <cellStyle name="Normal 2 3 5 3" xfId="28468" xr:uid="{00000000-0005-0000-0000-0000346F0000}"/>
    <cellStyle name="Normal 2 3 5 3 10" xfId="28469" xr:uid="{00000000-0005-0000-0000-0000356F0000}"/>
    <cellStyle name="Normal 2 3 5 3 2" xfId="28470" xr:uid="{00000000-0005-0000-0000-0000366F0000}"/>
    <cellStyle name="Normal 2 3 5 3 3" xfId="28471" xr:uid="{00000000-0005-0000-0000-0000376F0000}"/>
    <cellStyle name="Normal 2 3 5 3 4" xfId="28472" xr:uid="{00000000-0005-0000-0000-0000386F0000}"/>
    <cellStyle name="Normal 2 3 5 3 5" xfId="28473" xr:uid="{00000000-0005-0000-0000-0000396F0000}"/>
    <cellStyle name="Normal 2 3 5 3 6" xfId="28474" xr:uid="{00000000-0005-0000-0000-00003A6F0000}"/>
    <cellStyle name="Normal 2 3 5 3 7" xfId="28475" xr:uid="{00000000-0005-0000-0000-00003B6F0000}"/>
    <cellStyle name="Normal 2 3 5 3 8" xfId="28476" xr:uid="{00000000-0005-0000-0000-00003C6F0000}"/>
    <cellStyle name="Normal 2 3 5 3 9" xfId="28477" xr:uid="{00000000-0005-0000-0000-00003D6F0000}"/>
    <cellStyle name="Normal 2 3 5 4" xfId="28478" xr:uid="{00000000-0005-0000-0000-00003E6F0000}"/>
    <cellStyle name="Normal 2 3 5 4 10" xfId="28479" xr:uid="{00000000-0005-0000-0000-00003F6F0000}"/>
    <cellStyle name="Normal 2 3 5 4 2" xfId="28480" xr:uid="{00000000-0005-0000-0000-0000406F0000}"/>
    <cellStyle name="Normal 2 3 5 4 3" xfId="28481" xr:uid="{00000000-0005-0000-0000-0000416F0000}"/>
    <cellStyle name="Normal 2 3 5 4 4" xfId="28482" xr:uid="{00000000-0005-0000-0000-0000426F0000}"/>
    <cellStyle name="Normal 2 3 5 4 5" xfId="28483" xr:uid="{00000000-0005-0000-0000-0000436F0000}"/>
    <cellStyle name="Normal 2 3 5 4 6" xfId="28484" xr:uid="{00000000-0005-0000-0000-0000446F0000}"/>
    <cellStyle name="Normal 2 3 5 4 7" xfId="28485" xr:uid="{00000000-0005-0000-0000-0000456F0000}"/>
    <cellStyle name="Normal 2 3 5 4 8" xfId="28486" xr:uid="{00000000-0005-0000-0000-0000466F0000}"/>
    <cellStyle name="Normal 2 3 5 4 9" xfId="28487" xr:uid="{00000000-0005-0000-0000-0000476F0000}"/>
    <cellStyle name="Normal 2 3 5 5" xfId="28488" xr:uid="{00000000-0005-0000-0000-0000486F0000}"/>
    <cellStyle name="Normal 2 3 5 5 10" xfId="28489" xr:uid="{00000000-0005-0000-0000-0000496F0000}"/>
    <cellStyle name="Normal 2 3 5 5 2" xfId="28490" xr:uid="{00000000-0005-0000-0000-00004A6F0000}"/>
    <cellStyle name="Normal 2 3 5 5 3" xfId="28491" xr:uid="{00000000-0005-0000-0000-00004B6F0000}"/>
    <cellStyle name="Normal 2 3 5 5 4" xfId="28492" xr:uid="{00000000-0005-0000-0000-00004C6F0000}"/>
    <cellStyle name="Normal 2 3 5 5 5" xfId="28493" xr:uid="{00000000-0005-0000-0000-00004D6F0000}"/>
    <cellStyle name="Normal 2 3 5 5 6" xfId="28494" xr:uid="{00000000-0005-0000-0000-00004E6F0000}"/>
    <cellStyle name="Normal 2 3 5 5 7" xfId="28495" xr:uid="{00000000-0005-0000-0000-00004F6F0000}"/>
    <cellStyle name="Normal 2 3 5 5 8" xfId="28496" xr:uid="{00000000-0005-0000-0000-0000506F0000}"/>
    <cellStyle name="Normal 2 3 5 5 9" xfId="28497" xr:uid="{00000000-0005-0000-0000-0000516F0000}"/>
    <cellStyle name="Normal 2 3 5 6" xfId="28498" xr:uid="{00000000-0005-0000-0000-0000526F0000}"/>
    <cellStyle name="Normal 2 3 5 7" xfId="28499" xr:uid="{00000000-0005-0000-0000-0000536F0000}"/>
    <cellStyle name="Normal 2 3 5 8" xfId="28500" xr:uid="{00000000-0005-0000-0000-0000546F0000}"/>
    <cellStyle name="Normal 2 3 5 9" xfId="28501" xr:uid="{00000000-0005-0000-0000-0000556F0000}"/>
    <cellStyle name="Normal 2 3 50" xfId="25384" xr:uid="{00000000-0005-0000-0000-000028630000}"/>
    <cellStyle name="Normal 2 3 6" xfId="28502" xr:uid="{00000000-0005-0000-0000-0000566F0000}"/>
    <cellStyle name="Normal 2 3 6 10" xfId="28503" xr:uid="{00000000-0005-0000-0000-0000576F0000}"/>
    <cellStyle name="Normal 2 3 6 11" xfId="28504" xr:uid="{00000000-0005-0000-0000-0000586F0000}"/>
    <cellStyle name="Normal 2 3 6 12" xfId="28505" xr:uid="{00000000-0005-0000-0000-0000596F0000}"/>
    <cellStyle name="Normal 2 3 6 13" xfId="28506" xr:uid="{00000000-0005-0000-0000-00005A6F0000}"/>
    <cellStyle name="Normal 2 3 6 14" xfId="28507" xr:uid="{00000000-0005-0000-0000-00005B6F0000}"/>
    <cellStyle name="Normal 2 3 6 2" xfId="28508" xr:uid="{00000000-0005-0000-0000-00005C6F0000}"/>
    <cellStyle name="Normal 2 3 6 2 10" xfId="28509" xr:uid="{00000000-0005-0000-0000-00005D6F0000}"/>
    <cellStyle name="Normal 2 3 6 2 2" xfId="28510" xr:uid="{00000000-0005-0000-0000-00005E6F0000}"/>
    <cellStyle name="Normal 2 3 6 2 3" xfId="28511" xr:uid="{00000000-0005-0000-0000-00005F6F0000}"/>
    <cellStyle name="Normal 2 3 6 2 4" xfId="28512" xr:uid="{00000000-0005-0000-0000-0000606F0000}"/>
    <cellStyle name="Normal 2 3 6 2 5" xfId="28513" xr:uid="{00000000-0005-0000-0000-0000616F0000}"/>
    <cellStyle name="Normal 2 3 6 2 6" xfId="28514" xr:uid="{00000000-0005-0000-0000-0000626F0000}"/>
    <cellStyle name="Normal 2 3 6 2 7" xfId="28515" xr:uid="{00000000-0005-0000-0000-0000636F0000}"/>
    <cellStyle name="Normal 2 3 6 2 8" xfId="28516" xr:uid="{00000000-0005-0000-0000-0000646F0000}"/>
    <cellStyle name="Normal 2 3 6 2 9" xfId="28517" xr:uid="{00000000-0005-0000-0000-0000656F0000}"/>
    <cellStyle name="Normal 2 3 6 3" xfId="28518" xr:uid="{00000000-0005-0000-0000-0000666F0000}"/>
    <cellStyle name="Normal 2 3 6 3 10" xfId="28519" xr:uid="{00000000-0005-0000-0000-0000676F0000}"/>
    <cellStyle name="Normal 2 3 6 3 2" xfId="28520" xr:uid="{00000000-0005-0000-0000-0000686F0000}"/>
    <cellStyle name="Normal 2 3 6 3 3" xfId="28521" xr:uid="{00000000-0005-0000-0000-0000696F0000}"/>
    <cellStyle name="Normal 2 3 6 3 4" xfId="28522" xr:uid="{00000000-0005-0000-0000-00006A6F0000}"/>
    <cellStyle name="Normal 2 3 6 3 5" xfId="28523" xr:uid="{00000000-0005-0000-0000-00006B6F0000}"/>
    <cellStyle name="Normal 2 3 6 3 6" xfId="28524" xr:uid="{00000000-0005-0000-0000-00006C6F0000}"/>
    <cellStyle name="Normal 2 3 6 3 7" xfId="28525" xr:uid="{00000000-0005-0000-0000-00006D6F0000}"/>
    <cellStyle name="Normal 2 3 6 3 8" xfId="28526" xr:uid="{00000000-0005-0000-0000-00006E6F0000}"/>
    <cellStyle name="Normal 2 3 6 3 9" xfId="28527" xr:uid="{00000000-0005-0000-0000-00006F6F0000}"/>
    <cellStyle name="Normal 2 3 6 4" xfId="28528" xr:uid="{00000000-0005-0000-0000-0000706F0000}"/>
    <cellStyle name="Normal 2 3 6 4 10" xfId="28529" xr:uid="{00000000-0005-0000-0000-0000716F0000}"/>
    <cellStyle name="Normal 2 3 6 4 2" xfId="28530" xr:uid="{00000000-0005-0000-0000-0000726F0000}"/>
    <cellStyle name="Normal 2 3 6 4 3" xfId="28531" xr:uid="{00000000-0005-0000-0000-0000736F0000}"/>
    <cellStyle name="Normal 2 3 6 4 4" xfId="28532" xr:uid="{00000000-0005-0000-0000-0000746F0000}"/>
    <cellStyle name="Normal 2 3 6 4 5" xfId="28533" xr:uid="{00000000-0005-0000-0000-0000756F0000}"/>
    <cellStyle name="Normal 2 3 6 4 6" xfId="28534" xr:uid="{00000000-0005-0000-0000-0000766F0000}"/>
    <cellStyle name="Normal 2 3 6 4 7" xfId="28535" xr:uid="{00000000-0005-0000-0000-0000776F0000}"/>
    <cellStyle name="Normal 2 3 6 4 8" xfId="28536" xr:uid="{00000000-0005-0000-0000-0000786F0000}"/>
    <cellStyle name="Normal 2 3 6 4 9" xfId="28537" xr:uid="{00000000-0005-0000-0000-0000796F0000}"/>
    <cellStyle name="Normal 2 3 6 5" xfId="28538" xr:uid="{00000000-0005-0000-0000-00007A6F0000}"/>
    <cellStyle name="Normal 2 3 6 5 10" xfId="28539" xr:uid="{00000000-0005-0000-0000-00007B6F0000}"/>
    <cellStyle name="Normal 2 3 6 5 2" xfId="28540" xr:uid="{00000000-0005-0000-0000-00007C6F0000}"/>
    <cellStyle name="Normal 2 3 6 5 3" xfId="28541" xr:uid="{00000000-0005-0000-0000-00007D6F0000}"/>
    <cellStyle name="Normal 2 3 6 5 4" xfId="28542" xr:uid="{00000000-0005-0000-0000-00007E6F0000}"/>
    <cellStyle name="Normal 2 3 6 5 5" xfId="28543" xr:uid="{00000000-0005-0000-0000-00007F6F0000}"/>
    <cellStyle name="Normal 2 3 6 5 6" xfId="28544" xr:uid="{00000000-0005-0000-0000-0000806F0000}"/>
    <cellStyle name="Normal 2 3 6 5 7" xfId="28545" xr:uid="{00000000-0005-0000-0000-0000816F0000}"/>
    <cellStyle name="Normal 2 3 6 5 8" xfId="28546" xr:uid="{00000000-0005-0000-0000-0000826F0000}"/>
    <cellStyle name="Normal 2 3 6 5 9" xfId="28547" xr:uid="{00000000-0005-0000-0000-0000836F0000}"/>
    <cellStyle name="Normal 2 3 6 6" xfId="28548" xr:uid="{00000000-0005-0000-0000-0000846F0000}"/>
    <cellStyle name="Normal 2 3 6 7" xfId="28549" xr:uid="{00000000-0005-0000-0000-0000856F0000}"/>
    <cellStyle name="Normal 2 3 6 8" xfId="28550" xr:uid="{00000000-0005-0000-0000-0000866F0000}"/>
    <cellStyle name="Normal 2 3 6 9" xfId="28551" xr:uid="{00000000-0005-0000-0000-0000876F0000}"/>
    <cellStyle name="Normal 2 3 7" xfId="28552" xr:uid="{00000000-0005-0000-0000-0000886F0000}"/>
    <cellStyle name="Normal 2 3 7 10" xfId="28553" xr:uid="{00000000-0005-0000-0000-0000896F0000}"/>
    <cellStyle name="Normal 2 3 7 11" xfId="28554" xr:uid="{00000000-0005-0000-0000-00008A6F0000}"/>
    <cellStyle name="Normal 2 3 7 12" xfId="28555" xr:uid="{00000000-0005-0000-0000-00008B6F0000}"/>
    <cellStyle name="Normal 2 3 7 13" xfId="28556" xr:uid="{00000000-0005-0000-0000-00008C6F0000}"/>
    <cellStyle name="Normal 2 3 7 14" xfId="28557" xr:uid="{00000000-0005-0000-0000-00008D6F0000}"/>
    <cellStyle name="Normal 2 3 7 2" xfId="28558" xr:uid="{00000000-0005-0000-0000-00008E6F0000}"/>
    <cellStyle name="Normal 2 3 7 2 10" xfId="28559" xr:uid="{00000000-0005-0000-0000-00008F6F0000}"/>
    <cellStyle name="Normal 2 3 7 2 2" xfId="28560" xr:uid="{00000000-0005-0000-0000-0000906F0000}"/>
    <cellStyle name="Normal 2 3 7 2 3" xfId="28561" xr:uid="{00000000-0005-0000-0000-0000916F0000}"/>
    <cellStyle name="Normal 2 3 7 2 4" xfId="28562" xr:uid="{00000000-0005-0000-0000-0000926F0000}"/>
    <cellStyle name="Normal 2 3 7 2 5" xfId="28563" xr:uid="{00000000-0005-0000-0000-0000936F0000}"/>
    <cellStyle name="Normal 2 3 7 2 6" xfId="28564" xr:uid="{00000000-0005-0000-0000-0000946F0000}"/>
    <cellStyle name="Normal 2 3 7 2 7" xfId="28565" xr:uid="{00000000-0005-0000-0000-0000956F0000}"/>
    <cellStyle name="Normal 2 3 7 2 8" xfId="28566" xr:uid="{00000000-0005-0000-0000-0000966F0000}"/>
    <cellStyle name="Normal 2 3 7 2 9" xfId="28567" xr:uid="{00000000-0005-0000-0000-0000976F0000}"/>
    <cellStyle name="Normal 2 3 7 3" xfId="28568" xr:uid="{00000000-0005-0000-0000-0000986F0000}"/>
    <cellStyle name="Normal 2 3 7 3 10" xfId="28569" xr:uid="{00000000-0005-0000-0000-0000996F0000}"/>
    <cellStyle name="Normal 2 3 7 3 2" xfId="28570" xr:uid="{00000000-0005-0000-0000-00009A6F0000}"/>
    <cellStyle name="Normal 2 3 7 3 3" xfId="28571" xr:uid="{00000000-0005-0000-0000-00009B6F0000}"/>
    <cellStyle name="Normal 2 3 7 3 4" xfId="28572" xr:uid="{00000000-0005-0000-0000-00009C6F0000}"/>
    <cellStyle name="Normal 2 3 7 3 5" xfId="28573" xr:uid="{00000000-0005-0000-0000-00009D6F0000}"/>
    <cellStyle name="Normal 2 3 7 3 6" xfId="28574" xr:uid="{00000000-0005-0000-0000-00009E6F0000}"/>
    <cellStyle name="Normal 2 3 7 3 7" xfId="28575" xr:uid="{00000000-0005-0000-0000-00009F6F0000}"/>
    <cellStyle name="Normal 2 3 7 3 8" xfId="28576" xr:uid="{00000000-0005-0000-0000-0000A06F0000}"/>
    <cellStyle name="Normal 2 3 7 3 9" xfId="28577" xr:uid="{00000000-0005-0000-0000-0000A16F0000}"/>
    <cellStyle name="Normal 2 3 7 4" xfId="28578" xr:uid="{00000000-0005-0000-0000-0000A26F0000}"/>
    <cellStyle name="Normal 2 3 7 4 10" xfId="28579" xr:uid="{00000000-0005-0000-0000-0000A36F0000}"/>
    <cellStyle name="Normal 2 3 7 4 2" xfId="28580" xr:uid="{00000000-0005-0000-0000-0000A46F0000}"/>
    <cellStyle name="Normal 2 3 7 4 3" xfId="28581" xr:uid="{00000000-0005-0000-0000-0000A56F0000}"/>
    <cellStyle name="Normal 2 3 7 4 4" xfId="28582" xr:uid="{00000000-0005-0000-0000-0000A66F0000}"/>
    <cellStyle name="Normal 2 3 7 4 5" xfId="28583" xr:uid="{00000000-0005-0000-0000-0000A76F0000}"/>
    <cellStyle name="Normal 2 3 7 4 6" xfId="28584" xr:uid="{00000000-0005-0000-0000-0000A86F0000}"/>
    <cellStyle name="Normal 2 3 7 4 7" xfId="28585" xr:uid="{00000000-0005-0000-0000-0000A96F0000}"/>
    <cellStyle name="Normal 2 3 7 4 8" xfId="28586" xr:uid="{00000000-0005-0000-0000-0000AA6F0000}"/>
    <cellStyle name="Normal 2 3 7 4 9" xfId="28587" xr:uid="{00000000-0005-0000-0000-0000AB6F0000}"/>
    <cellStyle name="Normal 2 3 7 5" xfId="28588" xr:uid="{00000000-0005-0000-0000-0000AC6F0000}"/>
    <cellStyle name="Normal 2 3 7 5 10" xfId="28589" xr:uid="{00000000-0005-0000-0000-0000AD6F0000}"/>
    <cellStyle name="Normal 2 3 7 5 2" xfId="28590" xr:uid="{00000000-0005-0000-0000-0000AE6F0000}"/>
    <cellStyle name="Normal 2 3 7 5 3" xfId="28591" xr:uid="{00000000-0005-0000-0000-0000AF6F0000}"/>
    <cellStyle name="Normal 2 3 7 5 4" xfId="28592" xr:uid="{00000000-0005-0000-0000-0000B06F0000}"/>
    <cellStyle name="Normal 2 3 7 5 5" xfId="28593" xr:uid="{00000000-0005-0000-0000-0000B16F0000}"/>
    <cellStyle name="Normal 2 3 7 5 6" xfId="28594" xr:uid="{00000000-0005-0000-0000-0000B26F0000}"/>
    <cellStyle name="Normal 2 3 7 5 7" xfId="28595" xr:uid="{00000000-0005-0000-0000-0000B36F0000}"/>
    <cellStyle name="Normal 2 3 7 5 8" xfId="28596" xr:uid="{00000000-0005-0000-0000-0000B46F0000}"/>
    <cellStyle name="Normal 2 3 7 5 9" xfId="28597" xr:uid="{00000000-0005-0000-0000-0000B56F0000}"/>
    <cellStyle name="Normal 2 3 7 6" xfId="28598" xr:uid="{00000000-0005-0000-0000-0000B66F0000}"/>
    <cellStyle name="Normal 2 3 7 7" xfId="28599" xr:uid="{00000000-0005-0000-0000-0000B76F0000}"/>
    <cellStyle name="Normal 2 3 7 8" xfId="28600" xr:uid="{00000000-0005-0000-0000-0000B86F0000}"/>
    <cellStyle name="Normal 2 3 7 9" xfId="28601" xr:uid="{00000000-0005-0000-0000-0000B96F0000}"/>
    <cellStyle name="Normal 2 3 8" xfId="28602" xr:uid="{00000000-0005-0000-0000-0000BA6F0000}"/>
    <cellStyle name="Normal 2 3 8 10" xfId="28603" xr:uid="{00000000-0005-0000-0000-0000BB6F0000}"/>
    <cellStyle name="Normal 2 3 8 11" xfId="28604" xr:uid="{00000000-0005-0000-0000-0000BC6F0000}"/>
    <cellStyle name="Normal 2 3 8 12" xfId="28605" xr:uid="{00000000-0005-0000-0000-0000BD6F0000}"/>
    <cellStyle name="Normal 2 3 8 13" xfId="28606" xr:uid="{00000000-0005-0000-0000-0000BE6F0000}"/>
    <cellStyle name="Normal 2 3 8 14" xfId="28607" xr:uid="{00000000-0005-0000-0000-0000BF6F0000}"/>
    <cellStyle name="Normal 2 3 8 2" xfId="28608" xr:uid="{00000000-0005-0000-0000-0000C06F0000}"/>
    <cellStyle name="Normal 2 3 8 2 10" xfId="28609" xr:uid="{00000000-0005-0000-0000-0000C16F0000}"/>
    <cellStyle name="Normal 2 3 8 2 2" xfId="28610" xr:uid="{00000000-0005-0000-0000-0000C26F0000}"/>
    <cellStyle name="Normal 2 3 8 2 3" xfId="28611" xr:uid="{00000000-0005-0000-0000-0000C36F0000}"/>
    <cellStyle name="Normal 2 3 8 2 4" xfId="28612" xr:uid="{00000000-0005-0000-0000-0000C46F0000}"/>
    <cellStyle name="Normal 2 3 8 2 5" xfId="28613" xr:uid="{00000000-0005-0000-0000-0000C56F0000}"/>
    <cellStyle name="Normal 2 3 8 2 6" xfId="28614" xr:uid="{00000000-0005-0000-0000-0000C66F0000}"/>
    <cellStyle name="Normal 2 3 8 2 7" xfId="28615" xr:uid="{00000000-0005-0000-0000-0000C76F0000}"/>
    <cellStyle name="Normal 2 3 8 2 8" xfId="28616" xr:uid="{00000000-0005-0000-0000-0000C86F0000}"/>
    <cellStyle name="Normal 2 3 8 2 9" xfId="28617" xr:uid="{00000000-0005-0000-0000-0000C96F0000}"/>
    <cellStyle name="Normal 2 3 8 3" xfId="28618" xr:uid="{00000000-0005-0000-0000-0000CA6F0000}"/>
    <cellStyle name="Normal 2 3 8 3 10" xfId="28619" xr:uid="{00000000-0005-0000-0000-0000CB6F0000}"/>
    <cellStyle name="Normal 2 3 8 3 2" xfId="28620" xr:uid="{00000000-0005-0000-0000-0000CC6F0000}"/>
    <cellStyle name="Normal 2 3 8 3 3" xfId="28621" xr:uid="{00000000-0005-0000-0000-0000CD6F0000}"/>
    <cellStyle name="Normal 2 3 8 3 4" xfId="28622" xr:uid="{00000000-0005-0000-0000-0000CE6F0000}"/>
    <cellStyle name="Normal 2 3 8 3 5" xfId="28623" xr:uid="{00000000-0005-0000-0000-0000CF6F0000}"/>
    <cellStyle name="Normal 2 3 8 3 6" xfId="28624" xr:uid="{00000000-0005-0000-0000-0000D06F0000}"/>
    <cellStyle name="Normal 2 3 8 3 7" xfId="28625" xr:uid="{00000000-0005-0000-0000-0000D16F0000}"/>
    <cellStyle name="Normal 2 3 8 3 8" xfId="28626" xr:uid="{00000000-0005-0000-0000-0000D26F0000}"/>
    <cellStyle name="Normal 2 3 8 3 9" xfId="28627" xr:uid="{00000000-0005-0000-0000-0000D36F0000}"/>
    <cellStyle name="Normal 2 3 8 4" xfId="28628" xr:uid="{00000000-0005-0000-0000-0000D46F0000}"/>
    <cellStyle name="Normal 2 3 8 4 10" xfId="28629" xr:uid="{00000000-0005-0000-0000-0000D56F0000}"/>
    <cellStyle name="Normal 2 3 8 4 2" xfId="28630" xr:uid="{00000000-0005-0000-0000-0000D66F0000}"/>
    <cellStyle name="Normal 2 3 8 4 3" xfId="28631" xr:uid="{00000000-0005-0000-0000-0000D76F0000}"/>
    <cellStyle name="Normal 2 3 8 4 4" xfId="28632" xr:uid="{00000000-0005-0000-0000-0000D86F0000}"/>
    <cellStyle name="Normal 2 3 8 4 5" xfId="28633" xr:uid="{00000000-0005-0000-0000-0000D96F0000}"/>
    <cellStyle name="Normal 2 3 8 4 6" xfId="28634" xr:uid="{00000000-0005-0000-0000-0000DA6F0000}"/>
    <cellStyle name="Normal 2 3 8 4 7" xfId="28635" xr:uid="{00000000-0005-0000-0000-0000DB6F0000}"/>
    <cellStyle name="Normal 2 3 8 4 8" xfId="28636" xr:uid="{00000000-0005-0000-0000-0000DC6F0000}"/>
    <cellStyle name="Normal 2 3 8 4 9" xfId="28637" xr:uid="{00000000-0005-0000-0000-0000DD6F0000}"/>
    <cellStyle name="Normal 2 3 8 5" xfId="28638" xr:uid="{00000000-0005-0000-0000-0000DE6F0000}"/>
    <cellStyle name="Normal 2 3 8 5 10" xfId="28639" xr:uid="{00000000-0005-0000-0000-0000DF6F0000}"/>
    <cellStyle name="Normal 2 3 8 5 2" xfId="28640" xr:uid="{00000000-0005-0000-0000-0000E06F0000}"/>
    <cellStyle name="Normal 2 3 8 5 3" xfId="28641" xr:uid="{00000000-0005-0000-0000-0000E16F0000}"/>
    <cellStyle name="Normal 2 3 8 5 4" xfId="28642" xr:uid="{00000000-0005-0000-0000-0000E26F0000}"/>
    <cellStyle name="Normal 2 3 8 5 5" xfId="28643" xr:uid="{00000000-0005-0000-0000-0000E36F0000}"/>
    <cellStyle name="Normal 2 3 8 5 6" xfId="28644" xr:uid="{00000000-0005-0000-0000-0000E46F0000}"/>
    <cellStyle name="Normal 2 3 8 5 7" xfId="28645" xr:uid="{00000000-0005-0000-0000-0000E56F0000}"/>
    <cellStyle name="Normal 2 3 8 5 8" xfId="28646" xr:uid="{00000000-0005-0000-0000-0000E66F0000}"/>
    <cellStyle name="Normal 2 3 8 5 9" xfId="28647" xr:uid="{00000000-0005-0000-0000-0000E76F0000}"/>
    <cellStyle name="Normal 2 3 8 6" xfId="28648" xr:uid="{00000000-0005-0000-0000-0000E86F0000}"/>
    <cellStyle name="Normal 2 3 8 7" xfId="28649" xr:uid="{00000000-0005-0000-0000-0000E96F0000}"/>
    <cellStyle name="Normal 2 3 8 8" xfId="28650" xr:uid="{00000000-0005-0000-0000-0000EA6F0000}"/>
    <cellStyle name="Normal 2 3 8 9" xfId="28651" xr:uid="{00000000-0005-0000-0000-0000EB6F0000}"/>
    <cellStyle name="Normal 2 3 9" xfId="28652" xr:uid="{00000000-0005-0000-0000-0000EC6F0000}"/>
    <cellStyle name="Normal 2 3 9 10" xfId="28653" xr:uid="{00000000-0005-0000-0000-0000ED6F0000}"/>
    <cellStyle name="Normal 2 3 9 11" xfId="28654" xr:uid="{00000000-0005-0000-0000-0000EE6F0000}"/>
    <cellStyle name="Normal 2 3 9 12" xfId="28655" xr:uid="{00000000-0005-0000-0000-0000EF6F0000}"/>
    <cellStyle name="Normal 2 3 9 13" xfId="28656" xr:uid="{00000000-0005-0000-0000-0000F06F0000}"/>
    <cellStyle name="Normal 2 3 9 14" xfId="28657" xr:uid="{00000000-0005-0000-0000-0000F16F0000}"/>
    <cellStyle name="Normal 2 3 9 2" xfId="28658" xr:uid="{00000000-0005-0000-0000-0000F26F0000}"/>
    <cellStyle name="Normal 2 3 9 2 10" xfId="28659" xr:uid="{00000000-0005-0000-0000-0000F36F0000}"/>
    <cellStyle name="Normal 2 3 9 2 2" xfId="28660" xr:uid="{00000000-0005-0000-0000-0000F46F0000}"/>
    <cellStyle name="Normal 2 3 9 2 3" xfId="28661" xr:uid="{00000000-0005-0000-0000-0000F56F0000}"/>
    <cellStyle name="Normal 2 3 9 2 4" xfId="28662" xr:uid="{00000000-0005-0000-0000-0000F66F0000}"/>
    <cellStyle name="Normal 2 3 9 2 5" xfId="28663" xr:uid="{00000000-0005-0000-0000-0000F76F0000}"/>
    <cellStyle name="Normal 2 3 9 2 6" xfId="28664" xr:uid="{00000000-0005-0000-0000-0000F86F0000}"/>
    <cellStyle name="Normal 2 3 9 2 7" xfId="28665" xr:uid="{00000000-0005-0000-0000-0000F96F0000}"/>
    <cellStyle name="Normal 2 3 9 2 8" xfId="28666" xr:uid="{00000000-0005-0000-0000-0000FA6F0000}"/>
    <cellStyle name="Normal 2 3 9 2 9" xfId="28667" xr:uid="{00000000-0005-0000-0000-0000FB6F0000}"/>
    <cellStyle name="Normal 2 3 9 3" xfId="28668" xr:uid="{00000000-0005-0000-0000-0000FC6F0000}"/>
    <cellStyle name="Normal 2 3 9 3 10" xfId="28669" xr:uid="{00000000-0005-0000-0000-0000FD6F0000}"/>
    <cellStyle name="Normal 2 3 9 3 2" xfId="28670" xr:uid="{00000000-0005-0000-0000-0000FE6F0000}"/>
    <cellStyle name="Normal 2 3 9 3 3" xfId="28671" xr:uid="{00000000-0005-0000-0000-0000FF6F0000}"/>
    <cellStyle name="Normal 2 3 9 3 4" xfId="28672" xr:uid="{00000000-0005-0000-0000-000000700000}"/>
    <cellStyle name="Normal 2 3 9 3 5" xfId="28673" xr:uid="{00000000-0005-0000-0000-000001700000}"/>
    <cellStyle name="Normal 2 3 9 3 6" xfId="28674" xr:uid="{00000000-0005-0000-0000-000002700000}"/>
    <cellStyle name="Normal 2 3 9 3 7" xfId="28675" xr:uid="{00000000-0005-0000-0000-000003700000}"/>
    <cellStyle name="Normal 2 3 9 3 8" xfId="28676" xr:uid="{00000000-0005-0000-0000-000004700000}"/>
    <cellStyle name="Normal 2 3 9 3 9" xfId="28677" xr:uid="{00000000-0005-0000-0000-000005700000}"/>
    <cellStyle name="Normal 2 3 9 4" xfId="28678" xr:uid="{00000000-0005-0000-0000-000006700000}"/>
    <cellStyle name="Normal 2 3 9 4 10" xfId="28679" xr:uid="{00000000-0005-0000-0000-000007700000}"/>
    <cellStyle name="Normal 2 3 9 4 2" xfId="28680" xr:uid="{00000000-0005-0000-0000-000008700000}"/>
    <cellStyle name="Normal 2 3 9 4 3" xfId="28681" xr:uid="{00000000-0005-0000-0000-000009700000}"/>
    <cellStyle name="Normal 2 3 9 4 4" xfId="28682" xr:uid="{00000000-0005-0000-0000-00000A700000}"/>
    <cellStyle name="Normal 2 3 9 4 5" xfId="28683" xr:uid="{00000000-0005-0000-0000-00000B700000}"/>
    <cellStyle name="Normal 2 3 9 4 6" xfId="28684" xr:uid="{00000000-0005-0000-0000-00000C700000}"/>
    <cellStyle name="Normal 2 3 9 4 7" xfId="28685" xr:uid="{00000000-0005-0000-0000-00000D700000}"/>
    <cellStyle name="Normal 2 3 9 4 8" xfId="28686" xr:uid="{00000000-0005-0000-0000-00000E700000}"/>
    <cellStyle name="Normal 2 3 9 4 9" xfId="28687" xr:uid="{00000000-0005-0000-0000-00000F700000}"/>
    <cellStyle name="Normal 2 3 9 5" xfId="28688" xr:uid="{00000000-0005-0000-0000-000010700000}"/>
    <cellStyle name="Normal 2 3 9 5 10" xfId="28689" xr:uid="{00000000-0005-0000-0000-000011700000}"/>
    <cellStyle name="Normal 2 3 9 5 2" xfId="28690" xr:uid="{00000000-0005-0000-0000-000012700000}"/>
    <cellStyle name="Normal 2 3 9 5 3" xfId="28691" xr:uid="{00000000-0005-0000-0000-000013700000}"/>
    <cellStyle name="Normal 2 3 9 5 4" xfId="28692" xr:uid="{00000000-0005-0000-0000-000014700000}"/>
    <cellStyle name="Normal 2 3 9 5 5" xfId="28693" xr:uid="{00000000-0005-0000-0000-000015700000}"/>
    <cellStyle name="Normal 2 3 9 5 6" xfId="28694" xr:uid="{00000000-0005-0000-0000-000016700000}"/>
    <cellStyle name="Normal 2 3 9 5 7" xfId="28695" xr:uid="{00000000-0005-0000-0000-000017700000}"/>
    <cellStyle name="Normal 2 3 9 5 8" xfId="28696" xr:uid="{00000000-0005-0000-0000-000018700000}"/>
    <cellStyle name="Normal 2 3 9 5 9" xfId="28697" xr:uid="{00000000-0005-0000-0000-000019700000}"/>
    <cellStyle name="Normal 2 3 9 6" xfId="28698" xr:uid="{00000000-0005-0000-0000-00001A700000}"/>
    <cellStyle name="Normal 2 3 9 7" xfId="28699" xr:uid="{00000000-0005-0000-0000-00001B700000}"/>
    <cellStyle name="Normal 2 3 9 8" xfId="28700" xr:uid="{00000000-0005-0000-0000-00001C700000}"/>
    <cellStyle name="Normal 2 3 9 9" xfId="28701" xr:uid="{00000000-0005-0000-0000-00001D700000}"/>
    <cellStyle name="Normal 2 30" xfId="28702" xr:uid="{00000000-0005-0000-0000-00001E700000}"/>
    <cellStyle name="Normal 2 30 2" xfId="28703" xr:uid="{00000000-0005-0000-0000-00001F700000}"/>
    <cellStyle name="Normal 2 30 3" xfId="28704" xr:uid="{00000000-0005-0000-0000-000020700000}"/>
    <cellStyle name="Normal 2 31" xfId="28705" xr:uid="{00000000-0005-0000-0000-000021700000}"/>
    <cellStyle name="Normal 2 31 2" xfId="28706" xr:uid="{00000000-0005-0000-0000-000022700000}"/>
    <cellStyle name="Normal 2 31 2 2" xfId="28707" xr:uid="{00000000-0005-0000-0000-000023700000}"/>
    <cellStyle name="Normal 2 31 3" xfId="28708" xr:uid="{00000000-0005-0000-0000-000024700000}"/>
    <cellStyle name="Normal 2 32" xfId="28709" xr:uid="{00000000-0005-0000-0000-000025700000}"/>
    <cellStyle name="Normal 2 32 2" xfId="28710" xr:uid="{00000000-0005-0000-0000-000026700000}"/>
    <cellStyle name="Normal 2 32 2 2" xfId="28711" xr:uid="{00000000-0005-0000-0000-000027700000}"/>
    <cellStyle name="Normal 2 32 3" xfId="28712" xr:uid="{00000000-0005-0000-0000-000028700000}"/>
    <cellStyle name="Normal 2 33" xfId="28713" xr:uid="{00000000-0005-0000-0000-000029700000}"/>
    <cellStyle name="Normal 2 33 2" xfId="28714" xr:uid="{00000000-0005-0000-0000-00002A700000}"/>
    <cellStyle name="Normal 2 33 2 2" xfId="28715" xr:uid="{00000000-0005-0000-0000-00002B700000}"/>
    <cellStyle name="Normal 2 33 2 2 2" xfId="28716" xr:uid="{00000000-0005-0000-0000-00002C700000}"/>
    <cellStyle name="Normal 2 33 2 2 2 2" xfId="28717" xr:uid="{00000000-0005-0000-0000-00002D700000}"/>
    <cellStyle name="Normal 2 33 2 3" xfId="28718" xr:uid="{00000000-0005-0000-0000-00002E700000}"/>
    <cellStyle name="Normal 2 33 2 4" xfId="28719" xr:uid="{00000000-0005-0000-0000-00002F700000}"/>
    <cellStyle name="Normal 2 33 3" xfId="28720" xr:uid="{00000000-0005-0000-0000-000030700000}"/>
    <cellStyle name="Normal 2 33 3 2" xfId="28721" xr:uid="{00000000-0005-0000-0000-000031700000}"/>
    <cellStyle name="Normal 2 33 3 3" xfId="28722" xr:uid="{00000000-0005-0000-0000-000032700000}"/>
    <cellStyle name="Normal 2 33 4" xfId="28723" xr:uid="{00000000-0005-0000-0000-000033700000}"/>
    <cellStyle name="Normal 2 34" xfId="28724" xr:uid="{00000000-0005-0000-0000-000034700000}"/>
    <cellStyle name="Normal 2 34 2" xfId="28725" xr:uid="{00000000-0005-0000-0000-000035700000}"/>
    <cellStyle name="Normal 2 34 2 2" xfId="28726" xr:uid="{00000000-0005-0000-0000-000036700000}"/>
    <cellStyle name="Normal 2 34 3" xfId="28727" xr:uid="{00000000-0005-0000-0000-000037700000}"/>
    <cellStyle name="Normal 2 35" xfId="28728" xr:uid="{00000000-0005-0000-0000-000038700000}"/>
    <cellStyle name="Normal 2 35 2" xfId="28729" xr:uid="{00000000-0005-0000-0000-000039700000}"/>
    <cellStyle name="Normal 2 35 2 2" xfId="28730" xr:uid="{00000000-0005-0000-0000-00003A700000}"/>
    <cellStyle name="Normal 2 35 3" xfId="28731" xr:uid="{00000000-0005-0000-0000-00003B700000}"/>
    <cellStyle name="Normal 2 36" xfId="28732" xr:uid="{00000000-0005-0000-0000-00003C700000}"/>
    <cellStyle name="Normal 2 36 2" xfId="28733" xr:uid="{00000000-0005-0000-0000-00003D700000}"/>
    <cellStyle name="Normal 2 36 2 2" xfId="28734" xr:uid="{00000000-0005-0000-0000-00003E700000}"/>
    <cellStyle name="Normal 2 36 3" xfId="28735" xr:uid="{00000000-0005-0000-0000-00003F700000}"/>
    <cellStyle name="Normal 2 37" xfId="28736" xr:uid="{00000000-0005-0000-0000-000040700000}"/>
    <cellStyle name="Normal 2 37 2" xfId="28737" xr:uid="{00000000-0005-0000-0000-000041700000}"/>
    <cellStyle name="Normal 2 37 3" xfId="28738" xr:uid="{00000000-0005-0000-0000-000042700000}"/>
    <cellStyle name="Normal 2 38" xfId="28739" xr:uid="{00000000-0005-0000-0000-000043700000}"/>
    <cellStyle name="Normal 2 38 2" xfId="28740" xr:uid="{00000000-0005-0000-0000-000044700000}"/>
    <cellStyle name="Normal 2 38 3" xfId="28741" xr:uid="{00000000-0005-0000-0000-000045700000}"/>
    <cellStyle name="Normal 2 39" xfId="28742" xr:uid="{00000000-0005-0000-0000-000046700000}"/>
    <cellStyle name="Normal 2 39 2" xfId="28743" xr:uid="{00000000-0005-0000-0000-000047700000}"/>
    <cellStyle name="Normal 2 39 3" xfId="28744" xr:uid="{00000000-0005-0000-0000-000048700000}"/>
    <cellStyle name="Normal 2 4" xfId="11" xr:uid="{00000000-0005-0000-0000-00000B000000}"/>
    <cellStyle name="Normal 2 4 10" xfId="28745" xr:uid="{00000000-0005-0000-0000-000049700000}"/>
    <cellStyle name="Normal 2 4 11" xfId="28746" xr:uid="{00000000-0005-0000-0000-00004A700000}"/>
    <cellStyle name="Normal 2 4 12" xfId="28747" xr:uid="{00000000-0005-0000-0000-00004B700000}"/>
    <cellStyle name="Normal 2 4 13" xfId="28748" xr:uid="{00000000-0005-0000-0000-00004C700000}"/>
    <cellStyle name="Normal 2 4 14" xfId="28749" xr:uid="{00000000-0005-0000-0000-00004D700000}"/>
    <cellStyle name="Normal 2 4 15" xfId="28750" xr:uid="{00000000-0005-0000-0000-00004E700000}"/>
    <cellStyle name="Normal 2 4 16" xfId="28751" xr:uid="{00000000-0005-0000-0000-00004F700000}"/>
    <cellStyle name="Normal 2 4 17" xfId="28752" xr:uid="{00000000-0005-0000-0000-000050700000}"/>
    <cellStyle name="Normal 2 4 18" xfId="28753" xr:uid="{00000000-0005-0000-0000-000051700000}"/>
    <cellStyle name="Normal 2 4 19" xfId="28754" xr:uid="{00000000-0005-0000-0000-000052700000}"/>
    <cellStyle name="Normal 2 4 2" xfId="56" xr:uid="{00000000-0005-0000-0000-000038000000}"/>
    <cellStyle name="Normal 2 4 2 10" xfId="28756" xr:uid="{00000000-0005-0000-0000-000054700000}"/>
    <cellStyle name="Normal 2 4 2 11" xfId="28757" xr:uid="{00000000-0005-0000-0000-000055700000}"/>
    <cellStyle name="Normal 2 4 2 12" xfId="28758" xr:uid="{00000000-0005-0000-0000-000056700000}"/>
    <cellStyle name="Normal 2 4 2 13" xfId="28759" xr:uid="{00000000-0005-0000-0000-000057700000}"/>
    <cellStyle name="Normal 2 4 2 14" xfId="28760" xr:uid="{00000000-0005-0000-0000-000058700000}"/>
    <cellStyle name="Normal 2 4 2 15" xfId="28761" xr:uid="{00000000-0005-0000-0000-000059700000}"/>
    <cellStyle name="Normal 2 4 2 16" xfId="28762" xr:uid="{00000000-0005-0000-0000-00005A700000}"/>
    <cellStyle name="Normal 2 4 2 17" xfId="28763" xr:uid="{00000000-0005-0000-0000-00005B700000}"/>
    <cellStyle name="Normal 2 4 2 18" xfId="28764" xr:uid="{00000000-0005-0000-0000-00005C700000}"/>
    <cellStyle name="Normal 2 4 2 18 2" xfId="28765" xr:uid="{00000000-0005-0000-0000-00005D700000}"/>
    <cellStyle name="Normal 2 4 2 18 2 2" xfId="28766" xr:uid="{00000000-0005-0000-0000-00005E700000}"/>
    <cellStyle name="Normal 2 4 2 18 2 2 2" xfId="28767" xr:uid="{00000000-0005-0000-0000-00005F700000}"/>
    <cellStyle name="Normal 2 4 2 18 2 2 2 2" xfId="28768" xr:uid="{00000000-0005-0000-0000-000060700000}"/>
    <cellStyle name="Normal 2 4 2 18 2 3" xfId="28769" xr:uid="{00000000-0005-0000-0000-000061700000}"/>
    <cellStyle name="Normal 2 4 2 18 3" xfId="28770" xr:uid="{00000000-0005-0000-0000-000062700000}"/>
    <cellStyle name="Normal 2 4 2 18 3 2" xfId="28771" xr:uid="{00000000-0005-0000-0000-000063700000}"/>
    <cellStyle name="Normal 2 4 2 19" xfId="28772" xr:uid="{00000000-0005-0000-0000-000064700000}"/>
    <cellStyle name="Normal 2 4 2 2" xfId="28773" xr:uid="{00000000-0005-0000-0000-000065700000}"/>
    <cellStyle name="Normal 2 4 2 2 2" xfId="28774" xr:uid="{00000000-0005-0000-0000-000066700000}"/>
    <cellStyle name="Normal 2 4 2 20" xfId="28775" xr:uid="{00000000-0005-0000-0000-000067700000}"/>
    <cellStyle name="Normal 2 4 2 21" xfId="28755" xr:uid="{00000000-0005-0000-0000-000053700000}"/>
    <cellStyle name="Normal 2 4 2 3" xfId="28776" xr:uid="{00000000-0005-0000-0000-000068700000}"/>
    <cellStyle name="Normal 2 4 2 4" xfId="28777" xr:uid="{00000000-0005-0000-0000-000069700000}"/>
    <cellStyle name="Normal 2 4 2 5" xfId="28778" xr:uid="{00000000-0005-0000-0000-00006A700000}"/>
    <cellStyle name="Normal 2 4 2 6" xfId="28779" xr:uid="{00000000-0005-0000-0000-00006B700000}"/>
    <cellStyle name="Normal 2 4 2 7" xfId="28780" xr:uid="{00000000-0005-0000-0000-00006C700000}"/>
    <cellStyle name="Normal 2 4 2 8" xfId="28781" xr:uid="{00000000-0005-0000-0000-00006D700000}"/>
    <cellStyle name="Normal 2 4 2 9" xfId="28782" xr:uid="{00000000-0005-0000-0000-00006E700000}"/>
    <cellStyle name="Normal 2 4 3" xfId="28783" xr:uid="{00000000-0005-0000-0000-00006F700000}"/>
    <cellStyle name="Normal 2 4 3 2" xfId="28784" xr:uid="{00000000-0005-0000-0000-000070700000}"/>
    <cellStyle name="Normal 2 4 3 3" xfId="28785" xr:uid="{00000000-0005-0000-0000-000071700000}"/>
    <cellStyle name="Normal 2 4 4" xfId="28786" xr:uid="{00000000-0005-0000-0000-000072700000}"/>
    <cellStyle name="Normal 2 4 4 2" xfId="28787" xr:uid="{00000000-0005-0000-0000-000073700000}"/>
    <cellStyle name="Normal 2 4 4 3" xfId="28788" xr:uid="{00000000-0005-0000-0000-000074700000}"/>
    <cellStyle name="Normal 2 4 5" xfId="28789" xr:uid="{00000000-0005-0000-0000-000075700000}"/>
    <cellStyle name="Normal 2 4 5 2" xfId="28790" xr:uid="{00000000-0005-0000-0000-000076700000}"/>
    <cellStyle name="Normal 2 4 6" xfId="28791" xr:uid="{00000000-0005-0000-0000-000077700000}"/>
    <cellStyle name="Normal 2 4 6 2" xfId="28792" xr:uid="{00000000-0005-0000-0000-000078700000}"/>
    <cellStyle name="Normal 2 4 7" xfId="28793" xr:uid="{00000000-0005-0000-0000-000079700000}"/>
    <cellStyle name="Normal 2 4 8" xfId="28794" xr:uid="{00000000-0005-0000-0000-00007A700000}"/>
    <cellStyle name="Normal 2 4 9" xfId="28795" xr:uid="{00000000-0005-0000-0000-00007B700000}"/>
    <cellStyle name="Normal 2 40" xfId="28796" xr:uid="{00000000-0005-0000-0000-00007C700000}"/>
    <cellStyle name="Normal 2 40 2" xfId="28797" xr:uid="{00000000-0005-0000-0000-00007D700000}"/>
    <cellStyle name="Normal 2 40 3" xfId="28798" xr:uid="{00000000-0005-0000-0000-00007E700000}"/>
    <cellStyle name="Normal 2 41" xfId="20" xr:uid="{00000000-0005-0000-0000-000014000000}"/>
    <cellStyle name="Normal 2 41 2" xfId="28799" xr:uid="{00000000-0005-0000-0000-00007F700000}"/>
    <cellStyle name="Normal 2 41 2 2" xfId="28800" xr:uid="{00000000-0005-0000-0000-000080700000}"/>
    <cellStyle name="Normal 2 41 3" xfId="28801" xr:uid="{00000000-0005-0000-0000-000081700000}"/>
    <cellStyle name="Normal 2 41 4" xfId="28802" xr:uid="{00000000-0005-0000-0000-000082700000}"/>
    <cellStyle name="Normal 2 41 5" xfId="28803" xr:uid="{00000000-0005-0000-0000-000083700000}"/>
    <cellStyle name="Normal 2 41 6" xfId="28804" xr:uid="{00000000-0005-0000-0000-000084700000}"/>
    <cellStyle name="Normal 2 41 7" xfId="28805" xr:uid="{00000000-0005-0000-0000-000085700000}"/>
    <cellStyle name="Normal 2 41 8" xfId="28806" xr:uid="{00000000-0005-0000-0000-000086700000}"/>
    <cellStyle name="Normal 2 41 8 2" xfId="28807" xr:uid="{00000000-0005-0000-0000-000087700000}"/>
    <cellStyle name="Normal 2 41 9" xfId="28808" xr:uid="{00000000-0005-0000-0000-000088700000}"/>
    <cellStyle name="Normal 2 42" xfId="28809" xr:uid="{00000000-0005-0000-0000-000089700000}"/>
    <cellStyle name="Normal 2 42 2" xfId="28810" xr:uid="{00000000-0005-0000-0000-00008A700000}"/>
    <cellStyle name="Normal 2 42 3" xfId="28811" xr:uid="{00000000-0005-0000-0000-00008B700000}"/>
    <cellStyle name="Normal 2 42 4" xfId="28812" xr:uid="{00000000-0005-0000-0000-00008C700000}"/>
    <cellStyle name="Normal 2 42 5" xfId="28813" xr:uid="{00000000-0005-0000-0000-00008D700000}"/>
    <cellStyle name="Normal 2 42 6" xfId="28814" xr:uid="{00000000-0005-0000-0000-00008E700000}"/>
    <cellStyle name="Normal 2 42 7" xfId="28815" xr:uid="{00000000-0005-0000-0000-00008F700000}"/>
    <cellStyle name="Normal 2 42 8" xfId="28816" xr:uid="{00000000-0005-0000-0000-000090700000}"/>
    <cellStyle name="Normal 2 43" xfId="28817" xr:uid="{00000000-0005-0000-0000-000091700000}"/>
    <cellStyle name="Normal 2 43 2" xfId="28818" xr:uid="{00000000-0005-0000-0000-000092700000}"/>
    <cellStyle name="Normal 2 43 3" xfId="28819" xr:uid="{00000000-0005-0000-0000-000093700000}"/>
    <cellStyle name="Normal 2 44" xfId="28820" xr:uid="{00000000-0005-0000-0000-000094700000}"/>
    <cellStyle name="Normal 2 44 2" xfId="28821" xr:uid="{00000000-0005-0000-0000-000095700000}"/>
    <cellStyle name="Normal 2 44 3" xfId="28822" xr:uid="{00000000-0005-0000-0000-000096700000}"/>
    <cellStyle name="Normal 2 45" xfId="28823" xr:uid="{00000000-0005-0000-0000-000097700000}"/>
    <cellStyle name="Normal 2 45 2" xfId="28824" xr:uid="{00000000-0005-0000-0000-000098700000}"/>
    <cellStyle name="Normal 2 45 3" xfId="28825" xr:uid="{00000000-0005-0000-0000-000099700000}"/>
    <cellStyle name="Normal 2 46" xfId="28826" xr:uid="{00000000-0005-0000-0000-00009A700000}"/>
    <cellStyle name="Normal 2 46 2" xfId="28827" xr:uid="{00000000-0005-0000-0000-00009B700000}"/>
    <cellStyle name="Normal 2 46 3" xfId="28828" xr:uid="{00000000-0005-0000-0000-00009C700000}"/>
    <cellStyle name="Normal 2 47" xfId="28829" xr:uid="{00000000-0005-0000-0000-00009D700000}"/>
    <cellStyle name="Normal 2 47 2" xfId="28830" xr:uid="{00000000-0005-0000-0000-00009E700000}"/>
    <cellStyle name="Normal 2 47 3" xfId="28831" xr:uid="{00000000-0005-0000-0000-00009F700000}"/>
    <cellStyle name="Normal 2 48" xfId="28832" xr:uid="{00000000-0005-0000-0000-0000A0700000}"/>
    <cellStyle name="Normal 2 48 2" xfId="28833" xr:uid="{00000000-0005-0000-0000-0000A1700000}"/>
    <cellStyle name="Normal 2 48 3" xfId="28834" xr:uid="{00000000-0005-0000-0000-0000A2700000}"/>
    <cellStyle name="Normal 2 49" xfId="28835" xr:uid="{00000000-0005-0000-0000-0000A3700000}"/>
    <cellStyle name="Normal 2 49 2" xfId="28836" xr:uid="{00000000-0005-0000-0000-0000A4700000}"/>
    <cellStyle name="Normal 2 49 3" xfId="28837" xr:uid="{00000000-0005-0000-0000-0000A5700000}"/>
    <cellStyle name="Normal 2 5" xfId="33" xr:uid="{00000000-0005-0000-0000-000021000000}"/>
    <cellStyle name="Normal 2 5 10" xfId="28839" xr:uid="{00000000-0005-0000-0000-0000A7700000}"/>
    <cellStyle name="Normal 2 5 11" xfId="28840" xr:uid="{00000000-0005-0000-0000-0000A8700000}"/>
    <cellStyle name="Normal 2 5 12" xfId="28841" xr:uid="{00000000-0005-0000-0000-0000A9700000}"/>
    <cellStyle name="Normal 2 5 13" xfId="28842" xr:uid="{00000000-0005-0000-0000-0000AA700000}"/>
    <cellStyle name="Normal 2 5 14" xfId="28843" xr:uid="{00000000-0005-0000-0000-0000AB700000}"/>
    <cellStyle name="Normal 2 5 15" xfId="28844" xr:uid="{00000000-0005-0000-0000-0000AC700000}"/>
    <cellStyle name="Normal 2 5 16" xfId="28845" xr:uid="{00000000-0005-0000-0000-0000AD700000}"/>
    <cellStyle name="Normal 2 5 17" xfId="28846" xr:uid="{00000000-0005-0000-0000-0000AE700000}"/>
    <cellStyle name="Normal 2 5 18" xfId="28847" xr:uid="{00000000-0005-0000-0000-0000AF700000}"/>
    <cellStyle name="Normal 2 5 19" xfId="28848" xr:uid="{00000000-0005-0000-0000-0000B0700000}"/>
    <cellStyle name="Normal 2 5 2" xfId="28849" xr:uid="{00000000-0005-0000-0000-0000B1700000}"/>
    <cellStyle name="Normal 2 5 2 10" xfId="28850" xr:uid="{00000000-0005-0000-0000-0000B2700000}"/>
    <cellStyle name="Normal 2 5 2 11" xfId="28851" xr:uid="{00000000-0005-0000-0000-0000B3700000}"/>
    <cellStyle name="Normal 2 5 2 12" xfId="28852" xr:uid="{00000000-0005-0000-0000-0000B4700000}"/>
    <cellStyle name="Normal 2 5 2 13" xfId="28853" xr:uid="{00000000-0005-0000-0000-0000B5700000}"/>
    <cellStyle name="Normal 2 5 2 14" xfId="28854" xr:uid="{00000000-0005-0000-0000-0000B6700000}"/>
    <cellStyle name="Normal 2 5 2 15" xfId="28855" xr:uid="{00000000-0005-0000-0000-0000B7700000}"/>
    <cellStyle name="Normal 2 5 2 16" xfId="28856" xr:uid="{00000000-0005-0000-0000-0000B8700000}"/>
    <cellStyle name="Normal 2 5 2 17" xfId="28857" xr:uid="{00000000-0005-0000-0000-0000B9700000}"/>
    <cellStyle name="Normal 2 5 2 18" xfId="28858" xr:uid="{00000000-0005-0000-0000-0000BA700000}"/>
    <cellStyle name="Normal 2 5 2 19" xfId="28859" xr:uid="{00000000-0005-0000-0000-0000BB700000}"/>
    <cellStyle name="Normal 2 5 2 2" xfId="28860" xr:uid="{00000000-0005-0000-0000-0000BC700000}"/>
    <cellStyle name="Normal 2 5 2 2 10" xfId="28861" xr:uid="{00000000-0005-0000-0000-0000BD700000}"/>
    <cellStyle name="Normal 2 5 2 2 11" xfId="28862" xr:uid="{00000000-0005-0000-0000-0000BE700000}"/>
    <cellStyle name="Normal 2 5 2 2 12" xfId="28863" xr:uid="{00000000-0005-0000-0000-0000BF700000}"/>
    <cellStyle name="Normal 2 5 2 2 13" xfId="28864" xr:uid="{00000000-0005-0000-0000-0000C0700000}"/>
    <cellStyle name="Normal 2 5 2 2 14" xfId="28865" xr:uid="{00000000-0005-0000-0000-0000C1700000}"/>
    <cellStyle name="Normal 2 5 2 2 15" xfId="28866" xr:uid="{00000000-0005-0000-0000-0000C2700000}"/>
    <cellStyle name="Normal 2 5 2 2 16" xfId="28867" xr:uid="{00000000-0005-0000-0000-0000C3700000}"/>
    <cellStyle name="Normal 2 5 2 2 17" xfId="28868" xr:uid="{00000000-0005-0000-0000-0000C4700000}"/>
    <cellStyle name="Normal 2 5 2 2 18" xfId="28869" xr:uid="{00000000-0005-0000-0000-0000C5700000}"/>
    <cellStyle name="Normal 2 5 2 2 19" xfId="28870" xr:uid="{00000000-0005-0000-0000-0000C6700000}"/>
    <cellStyle name="Normal 2 5 2 2 2" xfId="28871" xr:uid="{00000000-0005-0000-0000-0000C7700000}"/>
    <cellStyle name="Normal 2 5 2 2 20" xfId="28872" xr:uid="{00000000-0005-0000-0000-0000C8700000}"/>
    <cellStyle name="Normal 2 5 2 2 3" xfId="28873" xr:uid="{00000000-0005-0000-0000-0000C9700000}"/>
    <cellStyle name="Normal 2 5 2 2 4" xfId="28874" xr:uid="{00000000-0005-0000-0000-0000CA700000}"/>
    <cellStyle name="Normal 2 5 2 2 5" xfId="28875" xr:uid="{00000000-0005-0000-0000-0000CB700000}"/>
    <cellStyle name="Normal 2 5 2 2 6" xfId="28876" xr:uid="{00000000-0005-0000-0000-0000CC700000}"/>
    <cellStyle name="Normal 2 5 2 2 7" xfId="28877" xr:uid="{00000000-0005-0000-0000-0000CD700000}"/>
    <cellStyle name="Normal 2 5 2 2 8" xfId="28878" xr:uid="{00000000-0005-0000-0000-0000CE700000}"/>
    <cellStyle name="Normal 2 5 2 2 9" xfId="28879" xr:uid="{00000000-0005-0000-0000-0000CF700000}"/>
    <cellStyle name="Normal 2 5 2 20" xfId="28880" xr:uid="{00000000-0005-0000-0000-0000D0700000}"/>
    <cellStyle name="Normal 2 5 2 21" xfId="28881" xr:uid="{00000000-0005-0000-0000-0000D1700000}"/>
    <cellStyle name="Normal 2 5 2 22" xfId="28882" xr:uid="{00000000-0005-0000-0000-0000D2700000}"/>
    <cellStyle name="Normal 2 5 2 23" xfId="28883" xr:uid="{00000000-0005-0000-0000-0000D3700000}"/>
    <cellStyle name="Normal 2 5 2 3" xfId="28884" xr:uid="{00000000-0005-0000-0000-0000D4700000}"/>
    <cellStyle name="Normal 2 5 2 4" xfId="28885" xr:uid="{00000000-0005-0000-0000-0000D5700000}"/>
    <cellStyle name="Normal 2 5 2 5" xfId="28886" xr:uid="{00000000-0005-0000-0000-0000D6700000}"/>
    <cellStyle name="Normal 2 5 2 6" xfId="28887" xr:uid="{00000000-0005-0000-0000-0000D7700000}"/>
    <cellStyle name="Normal 2 5 2 7" xfId="28888" xr:uid="{00000000-0005-0000-0000-0000D8700000}"/>
    <cellStyle name="Normal 2 5 2 8" xfId="28889" xr:uid="{00000000-0005-0000-0000-0000D9700000}"/>
    <cellStyle name="Normal 2 5 2 9" xfId="28890" xr:uid="{00000000-0005-0000-0000-0000DA700000}"/>
    <cellStyle name="Normal 2 5 20" xfId="28891" xr:uid="{00000000-0005-0000-0000-0000DB700000}"/>
    <cellStyle name="Normal 2 5 21" xfId="28892" xr:uid="{00000000-0005-0000-0000-0000DC700000}"/>
    <cellStyle name="Normal 2 5 22" xfId="28893" xr:uid="{00000000-0005-0000-0000-0000DD700000}"/>
    <cellStyle name="Normal 2 5 23" xfId="28894" xr:uid="{00000000-0005-0000-0000-0000DE700000}"/>
    <cellStyle name="Normal 2 5 24" xfId="28895" xr:uid="{00000000-0005-0000-0000-0000DF700000}"/>
    <cellStyle name="Normal 2 5 25" xfId="28896" xr:uid="{00000000-0005-0000-0000-0000E0700000}"/>
    <cellStyle name="Normal 2 5 26" xfId="28897" xr:uid="{00000000-0005-0000-0000-0000E1700000}"/>
    <cellStyle name="Normal 2 5 27" xfId="28898" xr:uid="{00000000-0005-0000-0000-0000E2700000}"/>
    <cellStyle name="Normal 2 5 28" xfId="28899" xr:uid="{00000000-0005-0000-0000-0000E3700000}"/>
    <cellStyle name="Normal 2 5 29" xfId="28900" xr:uid="{00000000-0005-0000-0000-0000E4700000}"/>
    <cellStyle name="Normal 2 5 3" xfId="28901" xr:uid="{00000000-0005-0000-0000-0000E5700000}"/>
    <cellStyle name="Normal 2 5 3 2" xfId="28902" xr:uid="{00000000-0005-0000-0000-0000E6700000}"/>
    <cellStyle name="Normal 2 5 3 3" xfId="28903" xr:uid="{00000000-0005-0000-0000-0000E7700000}"/>
    <cellStyle name="Normal 2 5 3 4" xfId="28904" xr:uid="{00000000-0005-0000-0000-0000E8700000}"/>
    <cellStyle name="Normal 2 5 30" xfId="28905" xr:uid="{00000000-0005-0000-0000-0000E9700000}"/>
    <cellStyle name="Normal 2 5 31" xfId="28906" xr:uid="{00000000-0005-0000-0000-0000EA700000}"/>
    <cellStyle name="Normal 2 5 32" xfId="28907" xr:uid="{00000000-0005-0000-0000-0000EB700000}"/>
    <cellStyle name="Normal 2 5 33" xfId="28908" xr:uid="{00000000-0005-0000-0000-0000EC700000}"/>
    <cellStyle name="Normal 2 5 34" xfId="28909" xr:uid="{00000000-0005-0000-0000-0000ED700000}"/>
    <cellStyle name="Normal 2 5 35" xfId="28910" xr:uid="{00000000-0005-0000-0000-0000EE700000}"/>
    <cellStyle name="Normal 2 5 36" xfId="28838" xr:uid="{00000000-0005-0000-0000-0000A6700000}"/>
    <cellStyle name="Normal 2 5 4" xfId="28911" xr:uid="{00000000-0005-0000-0000-0000EF700000}"/>
    <cellStyle name="Normal 2 5 4 2" xfId="28912" xr:uid="{00000000-0005-0000-0000-0000F0700000}"/>
    <cellStyle name="Normal 2 5 5" xfId="28913" xr:uid="{00000000-0005-0000-0000-0000F1700000}"/>
    <cellStyle name="Normal 2 5 5 2" xfId="28914" xr:uid="{00000000-0005-0000-0000-0000F2700000}"/>
    <cellStyle name="Normal 2 5 6" xfId="28915" xr:uid="{00000000-0005-0000-0000-0000F3700000}"/>
    <cellStyle name="Normal 2 5 6 2" xfId="28916" xr:uid="{00000000-0005-0000-0000-0000F4700000}"/>
    <cellStyle name="Normal 2 5 7" xfId="28917" xr:uid="{00000000-0005-0000-0000-0000F5700000}"/>
    <cellStyle name="Normal 2 5 7 2" xfId="28918" xr:uid="{00000000-0005-0000-0000-0000F6700000}"/>
    <cellStyle name="Normal 2 5 8" xfId="28919" xr:uid="{00000000-0005-0000-0000-0000F7700000}"/>
    <cellStyle name="Normal 2 5 9" xfId="28920" xr:uid="{00000000-0005-0000-0000-0000F8700000}"/>
    <cellStyle name="Normal 2 50" xfId="28921" xr:uid="{00000000-0005-0000-0000-0000F9700000}"/>
    <cellStyle name="Normal 2 50 2" xfId="28922" xr:uid="{00000000-0005-0000-0000-0000FA700000}"/>
    <cellStyle name="Normal 2 50 3" xfId="28923" xr:uid="{00000000-0005-0000-0000-0000FB700000}"/>
    <cellStyle name="Normal 2 51" xfId="28924" xr:uid="{00000000-0005-0000-0000-0000FC700000}"/>
    <cellStyle name="Normal 2 51 2" xfId="28925" xr:uid="{00000000-0005-0000-0000-0000FD700000}"/>
    <cellStyle name="Normal 2 51 3" xfId="28926" xr:uid="{00000000-0005-0000-0000-0000FE700000}"/>
    <cellStyle name="Normal 2 51 4" xfId="28927" xr:uid="{00000000-0005-0000-0000-0000FF700000}"/>
    <cellStyle name="Normal 2 51 5" xfId="28928" xr:uid="{00000000-0005-0000-0000-000000710000}"/>
    <cellStyle name="Normal 2 52" xfId="28929" xr:uid="{00000000-0005-0000-0000-000001710000}"/>
    <cellStyle name="Normal 2 52 2" xfId="28930" xr:uid="{00000000-0005-0000-0000-000002710000}"/>
    <cellStyle name="Normal 2 52 3" xfId="28931" xr:uid="{00000000-0005-0000-0000-000003710000}"/>
    <cellStyle name="Normal 2 52 4" xfId="28932" xr:uid="{00000000-0005-0000-0000-000004710000}"/>
    <cellStyle name="Normal 2 52 5" xfId="28933" xr:uid="{00000000-0005-0000-0000-000005710000}"/>
    <cellStyle name="Normal 2 53" xfId="28934" xr:uid="{00000000-0005-0000-0000-000006710000}"/>
    <cellStyle name="Normal 2 53 2" xfId="28935" xr:uid="{00000000-0005-0000-0000-000007710000}"/>
    <cellStyle name="Normal 2 53 3" xfId="28936" xr:uid="{00000000-0005-0000-0000-000008710000}"/>
    <cellStyle name="Normal 2 53 4" xfId="28937" xr:uid="{00000000-0005-0000-0000-000009710000}"/>
    <cellStyle name="Normal 2 53 5" xfId="28938" xr:uid="{00000000-0005-0000-0000-00000A710000}"/>
    <cellStyle name="Normal 2 54" xfId="28939" xr:uid="{00000000-0005-0000-0000-00000B710000}"/>
    <cellStyle name="Normal 2 54 2" xfId="28940" xr:uid="{00000000-0005-0000-0000-00000C710000}"/>
    <cellStyle name="Normal 2 54 3" xfId="28941" xr:uid="{00000000-0005-0000-0000-00000D710000}"/>
    <cellStyle name="Normal 2 54 4" xfId="28942" xr:uid="{00000000-0005-0000-0000-00000E710000}"/>
    <cellStyle name="Normal 2 54 5" xfId="28943" xr:uid="{00000000-0005-0000-0000-00000F710000}"/>
    <cellStyle name="Normal 2 55" xfId="28944" xr:uid="{00000000-0005-0000-0000-000010710000}"/>
    <cellStyle name="Normal 2 55 2" xfId="28945" xr:uid="{00000000-0005-0000-0000-000011710000}"/>
    <cellStyle name="Normal 2 55 3" xfId="28946" xr:uid="{00000000-0005-0000-0000-000012710000}"/>
    <cellStyle name="Normal 2 55 4" xfId="28947" xr:uid="{00000000-0005-0000-0000-000013710000}"/>
    <cellStyle name="Normal 2 55 5" xfId="28948" xr:uid="{00000000-0005-0000-0000-000014710000}"/>
    <cellStyle name="Normal 2 56" xfId="28949" xr:uid="{00000000-0005-0000-0000-000015710000}"/>
    <cellStyle name="Normal 2 56 2" xfId="28950" xr:uid="{00000000-0005-0000-0000-000016710000}"/>
    <cellStyle name="Normal 2 56 3" xfId="28951" xr:uid="{00000000-0005-0000-0000-000017710000}"/>
    <cellStyle name="Normal 2 56 4" xfId="28952" xr:uid="{00000000-0005-0000-0000-000018710000}"/>
    <cellStyle name="Normal 2 56 5" xfId="28953" xr:uid="{00000000-0005-0000-0000-000019710000}"/>
    <cellStyle name="Normal 2 57" xfId="28954" xr:uid="{00000000-0005-0000-0000-00001A710000}"/>
    <cellStyle name="Normal 2 57 2" xfId="28955" xr:uid="{00000000-0005-0000-0000-00001B710000}"/>
    <cellStyle name="Normal 2 57 3" xfId="28956" xr:uid="{00000000-0005-0000-0000-00001C710000}"/>
    <cellStyle name="Normal 2 57 4" xfId="28957" xr:uid="{00000000-0005-0000-0000-00001D710000}"/>
    <cellStyle name="Normal 2 57 5" xfId="28958" xr:uid="{00000000-0005-0000-0000-00001E710000}"/>
    <cellStyle name="Normal 2 58" xfId="28959" xr:uid="{00000000-0005-0000-0000-00001F710000}"/>
    <cellStyle name="Normal 2 58 2" xfId="28960" xr:uid="{00000000-0005-0000-0000-000020710000}"/>
    <cellStyle name="Normal 2 58 3" xfId="28961" xr:uid="{00000000-0005-0000-0000-000021710000}"/>
    <cellStyle name="Normal 2 58 4" xfId="28962" xr:uid="{00000000-0005-0000-0000-000022710000}"/>
    <cellStyle name="Normal 2 58 5" xfId="28963" xr:uid="{00000000-0005-0000-0000-000023710000}"/>
    <cellStyle name="Normal 2 59" xfId="28964" xr:uid="{00000000-0005-0000-0000-000024710000}"/>
    <cellStyle name="Normal 2 59 2" xfId="28965" xr:uid="{00000000-0005-0000-0000-000025710000}"/>
    <cellStyle name="Normal 2 59 3" xfId="28966" xr:uid="{00000000-0005-0000-0000-000026710000}"/>
    <cellStyle name="Normal 2 59 4" xfId="28967" xr:uid="{00000000-0005-0000-0000-000027710000}"/>
    <cellStyle name="Normal 2 59 5" xfId="28968" xr:uid="{00000000-0005-0000-0000-000028710000}"/>
    <cellStyle name="Normal 2 6" xfId="28969" xr:uid="{00000000-0005-0000-0000-000029710000}"/>
    <cellStyle name="Normal 2 6 10" xfId="28970" xr:uid="{00000000-0005-0000-0000-00002A710000}"/>
    <cellStyle name="Normal 2 6 11" xfId="28971" xr:uid="{00000000-0005-0000-0000-00002B710000}"/>
    <cellStyle name="Normal 2 6 12" xfId="28972" xr:uid="{00000000-0005-0000-0000-00002C710000}"/>
    <cellStyle name="Normal 2 6 13" xfId="28973" xr:uid="{00000000-0005-0000-0000-00002D710000}"/>
    <cellStyle name="Normal 2 6 14" xfId="28974" xr:uid="{00000000-0005-0000-0000-00002E710000}"/>
    <cellStyle name="Normal 2 6 15" xfId="28975" xr:uid="{00000000-0005-0000-0000-00002F710000}"/>
    <cellStyle name="Normal 2 6 16" xfId="28976" xr:uid="{00000000-0005-0000-0000-000030710000}"/>
    <cellStyle name="Normal 2 6 17" xfId="28977" xr:uid="{00000000-0005-0000-0000-000031710000}"/>
    <cellStyle name="Normal 2 6 18" xfId="28978" xr:uid="{00000000-0005-0000-0000-000032710000}"/>
    <cellStyle name="Normal 2 6 19" xfId="28979" xr:uid="{00000000-0005-0000-0000-000033710000}"/>
    <cellStyle name="Normal 2 6 2" xfId="28980" xr:uid="{00000000-0005-0000-0000-000034710000}"/>
    <cellStyle name="Normal 2 6 2 10" xfId="28981" xr:uid="{00000000-0005-0000-0000-000035710000}"/>
    <cellStyle name="Normal 2 6 2 11" xfId="28982" xr:uid="{00000000-0005-0000-0000-000036710000}"/>
    <cellStyle name="Normal 2 6 2 12" xfId="28983" xr:uid="{00000000-0005-0000-0000-000037710000}"/>
    <cellStyle name="Normal 2 6 2 13" xfId="28984" xr:uid="{00000000-0005-0000-0000-000038710000}"/>
    <cellStyle name="Normal 2 6 2 14" xfId="28985" xr:uid="{00000000-0005-0000-0000-000039710000}"/>
    <cellStyle name="Normal 2 6 2 15" xfId="28986" xr:uid="{00000000-0005-0000-0000-00003A710000}"/>
    <cellStyle name="Normal 2 6 2 16" xfId="28987" xr:uid="{00000000-0005-0000-0000-00003B710000}"/>
    <cellStyle name="Normal 2 6 2 17" xfId="28988" xr:uid="{00000000-0005-0000-0000-00003C710000}"/>
    <cellStyle name="Normal 2 6 2 18" xfId="28989" xr:uid="{00000000-0005-0000-0000-00003D710000}"/>
    <cellStyle name="Normal 2 6 2 19" xfId="28990" xr:uid="{00000000-0005-0000-0000-00003E710000}"/>
    <cellStyle name="Normal 2 6 2 2" xfId="28991" xr:uid="{00000000-0005-0000-0000-00003F710000}"/>
    <cellStyle name="Normal 2 6 2 20" xfId="28992" xr:uid="{00000000-0005-0000-0000-000040710000}"/>
    <cellStyle name="Normal 2 6 2 21" xfId="28993" xr:uid="{00000000-0005-0000-0000-000041710000}"/>
    <cellStyle name="Normal 2 6 2 3" xfId="28994" xr:uid="{00000000-0005-0000-0000-000042710000}"/>
    <cellStyle name="Normal 2 6 2 4" xfId="28995" xr:uid="{00000000-0005-0000-0000-000043710000}"/>
    <cellStyle name="Normal 2 6 2 5" xfId="28996" xr:uid="{00000000-0005-0000-0000-000044710000}"/>
    <cellStyle name="Normal 2 6 2 6" xfId="28997" xr:uid="{00000000-0005-0000-0000-000045710000}"/>
    <cellStyle name="Normal 2 6 2 7" xfId="28998" xr:uid="{00000000-0005-0000-0000-000046710000}"/>
    <cellStyle name="Normal 2 6 2 8" xfId="28999" xr:uid="{00000000-0005-0000-0000-000047710000}"/>
    <cellStyle name="Normal 2 6 2 9" xfId="29000" xr:uid="{00000000-0005-0000-0000-000048710000}"/>
    <cellStyle name="Normal 2 6 20" xfId="29001" xr:uid="{00000000-0005-0000-0000-000049710000}"/>
    <cellStyle name="Normal 2 6 21" xfId="29002" xr:uid="{00000000-0005-0000-0000-00004A710000}"/>
    <cellStyle name="Normal 2 6 22" xfId="29003" xr:uid="{00000000-0005-0000-0000-00004B710000}"/>
    <cellStyle name="Normal 2 6 3" xfId="29004" xr:uid="{00000000-0005-0000-0000-00004C710000}"/>
    <cellStyle name="Normal 2 6 4" xfId="29005" xr:uid="{00000000-0005-0000-0000-00004D710000}"/>
    <cellStyle name="Normal 2 6 5" xfId="29006" xr:uid="{00000000-0005-0000-0000-00004E710000}"/>
    <cellStyle name="Normal 2 6 6" xfId="29007" xr:uid="{00000000-0005-0000-0000-00004F710000}"/>
    <cellStyle name="Normal 2 6 7" xfId="29008" xr:uid="{00000000-0005-0000-0000-000050710000}"/>
    <cellStyle name="Normal 2 6 8" xfId="29009" xr:uid="{00000000-0005-0000-0000-000051710000}"/>
    <cellStyle name="Normal 2 6 9" xfId="29010" xr:uid="{00000000-0005-0000-0000-000052710000}"/>
    <cellStyle name="Normal 2 60" xfId="29011" xr:uid="{00000000-0005-0000-0000-000053710000}"/>
    <cellStyle name="Normal 2 60 2" xfId="29012" xr:uid="{00000000-0005-0000-0000-000054710000}"/>
    <cellStyle name="Normal 2 60 3" xfId="29013" xr:uid="{00000000-0005-0000-0000-000055710000}"/>
    <cellStyle name="Normal 2 61" xfId="29014" xr:uid="{00000000-0005-0000-0000-000056710000}"/>
    <cellStyle name="Normal 2 61 2" xfId="29015" xr:uid="{00000000-0005-0000-0000-000057710000}"/>
    <cellStyle name="Normal 2 61 3" xfId="29016" xr:uid="{00000000-0005-0000-0000-000058710000}"/>
    <cellStyle name="Normal 2 62" xfId="29017" xr:uid="{00000000-0005-0000-0000-000059710000}"/>
    <cellStyle name="Normal 2 62 2" xfId="29018" xr:uid="{00000000-0005-0000-0000-00005A710000}"/>
    <cellStyle name="Normal 2 62 3" xfId="29019" xr:uid="{00000000-0005-0000-0000-00005B710000}"/>
    <cellStyle name="Normal 2 63" xfId="29020" xr:uid="{00000000-0005-0000-0000-00005C710000}"/>
    <cellStyle name="Normal 2 63 2" xfId="29021" xr:uid="{00000000-0005-0000-0000-00005D710000}"/>
    <cellStyle name="Normal 2 63 3" xfId="29022" xr:uid="{00000000-0005-0000-0000-00005E710000}"/>
    <cellStyle name="Normal 2 64" xfId="29023" xr:uid="{00000000-0005-0000-0000-00005F710000}"/>
    <cellStyle name="Normal 2 64 2" xfId="29024" xr:uid="{00000000-0005-0000-0000-000060710000}"/>
    <cellStyle name="Normal 2 64 3" xfId="29025" xr:uid="{00000000-0005-0000-0000-000061710000}"/>
    <cellStyle name="Normal 2 65" xfId="29026" xr:uid="{00000000-0005-0000-0000-000062710000}"/>
    <cellStyle name="Normal 2 65 2" xfId="29027" xr:uid="{00000000-0005-0000-0000-000063710000}"/>
    <cellStyle name="Normal 2 65 3" xfId="29028" xr:uid="{00000000-0005-0000-0000-000064710000}"/>
    <cellStyle name="Normal 2 66" xfId="29029" xr:uid="{00000000-0005-0000-0000-000065710000}"/>
    <cellStyle name="Normal 2 66 2" xfId="29030" xr:uid="{00000000-0005-0000-0000-000066710000}"/>
    <cellStyle name="Normal 2 66 3" xfId="29031" xr:uid="{00000000-0005-0000-0000-000067710000}"/>
    <cellStyle name="Normal 2 67" xfId="29032" xr:uid="{00000000-0005-0000-0000-000068710000}"/>
    <cellStyle name="Normal 2 67 2" xfId="29033" xr:uid="{00000000-0005-0000-0000-000069710000}"/>
    <cellStyle name="Normal 2 67 3" xfId="29034" xr:uid="{00000000-0005-0000-0000-00006A710000}"/>
    <cellStyle name="Normal 2 68" xfId="29035" xr:uid="{00000000-0005-0000-0000-00006B710000}"/>
    <cellStyle name="Normal 2 68 2" xfId="29036" xr:uid="{00000000-0005-0000-0000-00006C710000}"/>
    <cellStyle name="Normal 2 68 3" xfId="29037" xr:uid="{00000000-0005-0000-0000-00006D710000}"/>
    <cellStyle name="Normal 2 69" xfId="29038" xr:uid="{00000000-0005-0000-0000-00006E710000}"/>
    <cellStyle name="Normal 2 69 2" xfId="29039" xr:uid="{00000000-0005-0000-0000-00006F710000}"/>
    <cellStyle name="Normal 2 69 3" xfId="29040" xr:uid="{00000000-0005-0000-0000-000070710000}"/>
    <cellStyle name="Normal 2 7" xfId="29041" xr:uid="{00000000-0005-0000-0000-000071710000}"/>
    <cellStyle name="Normal 2 7 2" xfId="29042" xr:uid="{00000000-0005-0000-0000-000072710000}"/>
    <cellStyle name="Normal 2 7 3" xfId="29043" xr:uid="{00000000-0005-0000-0000-000073710000}"/>
    <cellStyle name="Normal 2 70" xfId="29044" xr:uid="{00000000-0005-0000-0000-000074710000}"/>
    <cellStyle name="Normal 2 70 2" xfId="29045" xr:uid="{00000000-0005-0000-0000-000075710000}"/>
    <cellStyle name="Normal 2 70 3" xfId="29046" xr:uid="{00000000-0005-0000-0000-000076710000}"/>
    <cellStyle name="Normal 2 71" xfId="29047" xr:uid="{00000000-0005-0000-0000-000077710000}"/>
    <cellStyle name="Normal 2 71 2" xfId="29048" xr:uid="{00000000-0005-0000-0000-000078710000}"/>
    <cellStyle name="Normal 2 71 3" xfId="29049" xr:uid="{00000000-0005-0000-0000-000079710000}"/>
    <cellStyle name="Normal 2 72" xfId="29050" xr:uid="{00000000-0005-0000-0000-00007A710000}"/>
    <cellStyle name="Normal 2 72 2" xfId="29051" xr:uid="{00000000-0005-0000-0000-00007B710000}"/>
    <cellStyle name="Normal 2 72 3" xfId="29052" xr:uid="{00000000-0005-0000-0000-00007C710000}"/>
    <cellStyle name="Normal 2 73" xfId="29053" xr:uid="{00000000-0005-0000-0000-00007D710000}"/>
    <cellStyle name="Normal 2 73 2" xfId="29054" xr:uid="{00000000-0005-0000-0000-00007E710000}"/>
    <cellStyle name="Normal 2 73 3" xfId="29055" xr:uid="{00000000-0005-0000-0000-00007F710000}"/>
    <cellStyle name="Normal 2 74" xfId="29056" xr:uid="{00000000-0005-0000-0000-000080710000}"/>
    <cellStyle name="Normal 2 74 2" xfId="29057" xr:uid="{00000000-0005-0000-0000-000081710000}"/>
    <cellStyle name="Normal 2 74 3" xfId="29058" xr:uid="{00000000-0005-0000-0000-000082710000}"/>
    <cellStyle name="Normal 2 75" xfId="29059" xr:uid="{00000000-0005-0000-0000-000083710000}"/>
    <cellStyle name="Normal 2 76" xfId="29060" xr:uid="{00000000-0005-0000-0000-000084710000}"/>
    <cellStyle name="Normal 2 77" xfId="29061" xr:uid="{00000000-0005-0000-0000-000085710000}"/>
    <cellStyle name="Normal 2 78" xfId="29062" xr:uid="{00000000-0005-0000-0000-000086710000}"/>
    <cellStyle name="Normal 2 79" xfId="29063" xr:uid="{00000000-0005-0000-0000-000087710000}"/>
    <cellStyle name="Normal 2 8" xfId="29064" xr:uid="{00000000-0005-0000-0000-000088710000}"/>
    <cellStyle name="Normal 2 8 2" xfId="29065" xr:uid="{00000000-0005-0000-0000-000089710000}"/>
    <cellStyle name="Normal 2 8 3" xfId="29066" xr:uid="{00000000-0005-0000-0000-00008A710000}"/>
    <cellStyle name="Normal 2 80" xfId="29067" xr:uid="{00000000-0005-0000-0000-00008B710000}"/>
    <cellStyle name="Normal 2 81" xfId="29068" xr:uid="{00000000-0005-0000-0000-00008C710000}"/>
    <cellStyle name="Normal 2 82" xfId="29069" xr:uid="{00000000-0005-0000-0000-00008D710000}"/>
    <cellStyle name="Normal 2 82 2" xfId="29070" xr:uid="{00000000-0005-0000-0000-00008E710000}"/>
    <cellStyle name="Normal 2 82 2 2" xfId="29071" xr:uid="{00000000-0005-0000-0000-00008F710000}"/>
    <cellStyle name="Normal 2 82 2 3" xfId="29072" xr:uid="{00000000-0005-0000-0000-000090710000}"/>
    <cellStyle name="Normal 2 82 3" xfId="29073" xr:uid="{00000000-0005-0000-0000-000091710000}"/>
    <cellStyle name="Normal 2 82 4" xfId="29074" xr:uid="{00000000-0005-0000-0000-000092710000}"/>
    <cellStyle name="Normal 2 83" xfId="29075" xr:uid="{00000000-0005-0000-0000-000093710000}"/>
    <cellStyle name="Normal 2 83 2" xfId="29076" xr:uid="{00000000-0005-0000-0000-000094710000}"/>
    <cellStyle name="Normal 2 84" xfId="29077" xr:uid="{00000000-0005-0000-0000-000095710000}"/>
    <cellStyle name="Normal 2 84 2" xfId="29078" xr:uid="{00000000-0005-0000-0000-000096710000}"/>
    <cellStyle name="Normal 2 85" xfId="29079" xr:uid="{00000000-0005-0000-0000-000097710000}"/>
    <cellStyle name="Normal 2 85 2" xfId="29080" xr:uid="{00000000-0005-0000-0000-000098710000}"/>
    <cellStyle name="Normal 2 85 2 2" xfId="29081" xr:uid="{00000000-0005-0000-0000-000099710000}"/>
    <cellStyle name="Normal 2 85 3" xfId="29082" xr:uid="{00000000-0005-0000-0000-00009A710000}"/>
    <cellStyle name="Normal 2 85 4" xfId="29083" xr:uid="{00000000-0005-0000-0000-00009B710000}"/>
    <cellStyle name="Normal 2 85 5" xfId="29084" xr:uid="{00000000-0005-0000-0000-00009C710000}"/>
    <cellStyle name="Normal 2 86" xfId="29085" xr:uid="{00000000-0005-0000-0000-00009D710000}"/>
    <cellStyle name="Normal 2 86 2" xfId="29086" xr:uid="{00000000-0005-0000-0000-00009E710000}"/>
    <cellStyle name="Normal 2 86 2 2" xfId="29087" xr:uid="{00000000-0005-0000-0000-00009F710000}"/>
    <cellStyle name="Normal 2 86 3" xfId="29088" xr:uid="{00000000-0005-0000-0000-0000A0710000}"/>
    <cellStyle name="Normal 2 87" xfId="29089" xr:uid="{00000000-0005-0000-0000-0000A1710000}"/>
    <cellStyle name="Normal 2 87 2" xfId="29090" xr:uid="{00000000-0005-0000-0000-0000A2710000}"/>
    <cellStyle name="Normal 2 87 3" xfId="29091" xr:uid="{00000000-0005-0000-0000-0000A3710000}"/>
    <cellStyle name="Normal 2 87 4" xfId="29092" xr:uid="{00000000-0005-0000-0000-0000A4710000}"/>
    <cellStyle name="Normal 2 87 5" xfId="29093" xr:uid="{00000000-0005-0000-0000-0000A5710000}"/>
    <cellStyle name="Normal 2 88" xfId="29094" xr:uid="{00000000-0005-0000-0000-0000A6710000}"/>
    <cellStyle name="Normal 2 88 2" xfId="29095" xr:uid="{00000000-0005-0000-0000-0000A7710000}"/>
    <cellStyle name="Normal 2 88 3" xfId="29096" xr:uid="{00000000-0005-0000-0000-0000A8710000}"/>
    <cellStyle name="Normal 2 88 4" xfId="29097" xr:uid="{00000000-0005-0000-0000-0000A9710000}"/>
    <cellStyle name="Normal 2 88 5" xfId="29098" xr:uid="{00000000-0005-0000-0000-0000AA710000}"/>
    <cellStyle name="Normal 2 89" xfId="29099" xr:uid="{00000000-0005-0000-0000-0000AB710000}"/>
    <cellStyle name="Normal 2 89 2" xfId="29100" xr:uid="{00000000-0005-0000-0000-0000AC710000}"/>
    <cellStyle name="Normal 2 9" xfId="29101" xr:uid="{00000000-0005-0000-0000-0000AD710000}"/>
    <cellStyle name="Normal 2 9 2" xfId="29102" xr:uid="{00000000-0005-0000-0000-0000AE710000}"/>
    <cellStyle name="Normal 2 9 3" xfId="29103" xr:uid="{00000000-0005-0000-0000-0000AF710000}"/>
    <cellStyle name="Normal 2 9 4" xfId="29104" xr:uid="{00000000-0005-0000-0000-0000B0710000}"/>
    <cellStyle name="Normal 2 9 5" xfId="29105" xr:uid="{00000000-0005-0000-0000-0000B1710000}"/>
    <cellStyle name="Normal 2 9_Enlaces" xfId="29106" xr:uid="{00000000-0005-0000-0000-0000B2710000}"/>
    <cellStyle name="Normal 2 90" xfId="29107" xr:uid="{00000000-0005-0000-0000-0000B3710000}"/>
    <cellStyle name="Normal 2 90 2" xfId="29108" xr:uid="{00000000-0005-0000-0000-0000B4710000}"/>
    <cellStyle name="Normal 2 91" xfId="29109" xr:uid="{00000000-0005-0000-0000-0000B5710000}"/>
    <cellStyle name="Normal 2 91 2" xfId="29110" xr:uid="{00000000-0005-0000-0000-0000B6710000}"/>
    <cellStyle name="Normal 2 92" xfId="29111" xr:uid="{00000000-0005-0000-0000-0000B7710000}"/>
    <cellStyle name="Normal 2 92 2" xfId="29112" xr:uid="{00000000-0005-0000-0000-0000B8710000}"/>
    <cellStyle name="Normal 2 93" xfId="29113" xr:uid="{00000000-0005-0000-0000-0000B9710000}"/>
    <cellStyle name="Normal 2 93 2" xfId="29114" xr:uid="{00000000-0005-0000-0000-0000BA710000}"/>
    <cellStyle name="Normal 2 94" xfId="29115" xr:uid="{00000000-0005-0000-0000-0000BB710000}"/>
    <cellStyle name="Normal 2 94 2" xfId="29116" xr:uid="{00000000-0005-0000-0000-0000BC710000}"/>
    <cellStyle name="Normal 2 95" xfId="29117" xr:uid="{00000000-0005-0000-0000-0000BD710000}"/>
    <cellStyle name="Normal 2 95 2" xfId="29118" xr:uid="{00000000-0005-0000-0000-0000BE710000}"/>
    <cellStyle name="Normal 2 96" xfId="29119" xr:uid="{00000000-0005-0000-0000-0000BF710000}"/>
    <cellStyle name="Normal 2 96 2" xfId="29120" xr:uid="{00000000-0005-0000-0000-0000C0710000}"/>
    <cellStyle name="Normal 2 97" xfId="29121" xr:uid="{00000000-0005-0000-0000-0000C1710000}"/>
    <cellStyle name="Normal 2 97 2" xfId="29122" xr:uid="{00000000-0005-0000-0000-0000C2710000}"/>
    <cellStyle name="Normal 2 98" xfId="29123" xr:uid="{00000000-0005-0000-0000-0000C3710000}"/>
    <cellStyle name="Normal 2 98 2" xfId="29124" xr:uid="{00000000-0005-0000-0000-0000C4710000}"/>
    <cellStyle name="Normal 2 99" xfId="29125" xr:uid="{00000000-0005-0000-0000-0000C5710000}"/>
    <cellStyle name="Normal 2 99 2" xfId="29126" xr:uid="{00000000-0005-0000-0000-0000C6710000}"/>
    <cellStyle name="Normal 20" xfId="29127" xr:uid="{00000000-0005-0000-0000-0000C7710000}"/>
    <cellStyle name="Normal 20 10" xfId="29128" xr:uid="{00000000-0005-0000-0000-0000C8710000}"/>
    <cellStyle name="Normal 20 11" xfId="29129" xr:uid="{00000000-0005-0000-0000-0000C9710000}"/>
    <cellStyle name="Normal 20 12" xfId="29130" xr:uid="{00000000-0005-0000-0000-0000CA710000}"/>
    <cellStyle name="Normal 20 13" xfId="29131" xr:uid="{00000000-0005-0000-0000-0000CB710000}"/>
    <cellStyle name="Normal 20 14" xfId="29132" xr:uid="{00000000-0005-0000-0000-0000CC710000}"/>
    <cellStyle name="Normal 20 15" xfId="29133" xr:uid="{00000000-0005-0000-0000-0000CD710000}"/>
    <cellStyle name="Normal 20 16" xfId="29134" xr:uid="{00000000-0005-0000-0000-0000CE710000}"/>
    <cellStyle name="Normal 20 17" xfId="29135" xr:uid="{00000000-0005-0000-0000-0000CF710000}"/>
    <cellStyle name="Normal 20 18" xfId="29136" xr:uid="{00000000-0005-0000-0000-0000D0710000}"/>
    <cellStyle name="Normal 20 19" xfId="29137" xr:uid="{00000000-0005-0000-0000-0000D1710000}"/>
    <cellStyle name="Normal 20 2" xfId="29138" xr:uid="{00000000-0005-0000-0000-0000D2710000}"/>
    <cellStyle name="Normal 20 2 2" xfId="29139" xr:uid="{00000000-0005-0000-0000-0000D3710000}"/>
    <cellStyle name="Normal 20 2 3" xfId="29140" xr:uid="{00000000-0005-0000-0000-0000D4710000}"/>
    <cellStyle name="Normal 20 2 4" xfId="29141" xr:uid="{00000000-0005-0000-0000-0000D5710000}"/>
    <cellStyle name="Normal 20 20" xfId="29142" xr:uid="{00000000-0005-0000-0000-0000D6710000}"/>
    <cellStyle name="Normal 20 21" xfId="29143" xr:uid="{00000000-0005-0000-0000-0000D7710000}"/>
    <cellStyle name="Normal 20 22" xfId="29144" xr:uid="{00000000-0005-0000-0000-0000D8710000}"/>
    <cellStyle name="Normal 20 23" xfId="29145" xr:uid="{00000000-0005-0000-0000-0000D9710000}"/>
    <cellStyle name="Normal 20 24" xfId="29146" xr:uid="{00000000-0005-0000-0000-0000DA710000}"/>
    <cellStyle name="Normal 20 25" xfId="29147" xr:uid="{00000000-0005-0000-0000-0000DB710000}"/>
    <cellStyle name="Normal 20 26" xfId="29148" xr:uid="{00000000-0005-0000-0000-0000DC710000}"/>
    <cellStyle name="Normal 20 3" xfId="29149" xr:uid="{00000000-0005-0000-0000-0000DD710000}"/>
    <cellStyle name="Normal 20 4" xfId="29150" xr:uid="{00000000-0005-0000-0000-0000DE710000}"/>
    <cellStyle name="Normal 20 5" xfId="29151" xr:uid="{00000000-0005-0000-0000-0000DF710000}"/>
    <cellStyle name="Normal 20 6" xfId="29152" xr:uid="{00000000-0005-0000-0000-0000E0710000}"/>
    <cellStyle name="Normal 20 7" xfId="29153" xr:uid="{00000000-0005-0000-0000-0000E1710000}"/>
    <cellStyle name="Normal 20 8" xfId="29154" xr:uid="{00000000-0005-0000-0000-0000E2710000}"/>
    <cellStyle name="Normal 20 9" xfId="29155" xr:uid="{00000000-0005-0000-0000-0000E3710000}"/>
    <cellStyle name="Normal 200" xfId="39231" xr:uid="{00000000-0005-0000-0000-00003F990000}"/>
    <cellStyle name="Normal 201" xfId="39232" xr:uid="{00000000-0005-0000-0000-000040990000}"/>
    <cellStyle name="Normal 202" xfId="39233" xr:uid="{00000000-0005-0000-0000-000041990000}"/>
    <cellStyle name="Normal 203" xfId="39234" xr:uid="{00000000-0005-0000-0000-000042990000}"/>
    <cellStyle name="Normal 204" xfId="39235" xr:uid="{00000000-0005-0000-0000-000043990000}"/>
    <cellStyle name="Normal 205" xfId="39236" xr:uid="{00000000-0005-0000-0000-000044990000}"/>
    <cellStyle name="Normal 206" xfId="39237" xr:uid="{00000000-0005-0000-0000-000045990000}"/>
    <cellStyle name="Normal 207" xfId="39238" xr:uid="{00000000-0005-0000-0000-000046990000}"/>
    <cellStyle name="Normal 208" xfId="39239" xr:uid="{00000000-0005-0000-0000-000047990000}"/>
    <cellStyle name="Normal 209" xfId="39240" xr:uid="{00000000-0005-0000-0000-000048990000}"/>
    <cellStyle name="Normal 21" xfId="29156" xr:uid="{00000000-0005-0000-0000-0000E4710000}"/>
    <cellStyle name="Normal 21 10" xfId="29157" xr:uid="{00000000-0005-0000-0000-0000E5710000}"/>
    <cellStyle name="Normal 21 11" xfId="29158" xr:uid="{00000000-0005-0000-0000-0000E6710000}"/>
    <cellStyle name="Normal 21 12" xfId="29159" xr:uid="{00000000-0005-0000-0000-0000E7710000}"/>
    <cellStyle name="Normal 21 13" xfId="29160" xr:uid="{00000000-0005-0000-0000-0000E8710000}"/>
    <cellStyle name="Normal 21 14" xfId="29161" xr:uid="{00000000-0005-0000-0000-0000E9710000}"/>
    <cellStyle name="Normal 21 15" xfId="29162" xr:uid="{00000000-0005-0000-0000-0000EA710000}"/>
    <cellStyle name="Normal 21 16" xfId="29163" xr:uid="{00000000-0005-0000-0000-0000EB710000}"/>
    <cellStyle name="Normal 21 17" xfId="29164" xr:uid="{00000000-0005-0000-0000-0000EC710000}"/>
    <cellStyle name="Normal 21 18" xfId="29165" xr:uid="{00000000-0005-0000-0000-0000ED710000}"/>
    <cellStyle name="Normal 21 19" xfId="29166" xr:uid="{00000000-0005-0000-0000-0000EE710000}"/>
    <cellStyle name="Normal 21 2" xfId="29167" xr:uid="{00000000-0005-0000-0000-0000EF710000}"/>
    <cellStyle name="Normal 21 2 2" xfId="29168" xr:uid="{00000000-0005-0000-0000-0000F0710000}"/>
    <cellStyle name="Normal 21 2 3" xfId="29169" xr:uid="{00000000-0005-0000-0000-0000F1710000}"/>
    <cellStyle name="Normal 21 20" xfId="29170" xr:uid="{00000000-0005-0000-0000-0000F2710000}"/>
    <cellStyle name="Normal 21 21" xfId="29171" xr:uid="{00000000-0005-0000-0000-0000F3710000}"/>
    <cellStyle name="Normal 21 22" xfId="29172" xr:uid="{00000000-0005-0000-0000-0000F4710000}"/>
    <cellStyle name="Normal 21 23" xfId="29173" xr:uid="{00000000-0005-0000-0000-0000F5710000}"/>
    <cellStyle name="Normal 21 24" xfId="29174" xr:uid="{00000000-0005-0000-0000-0000F6710000}"/>
    <cellStyle name="Normal 21 25" xfId="29175" xr:uid="{00000000-0005-0000-0000-0000F7710000}"/>
    <cellStyle name="Normal 21 26" xfId="29176" xr:uid="{00000000-0005-0000-0000-0000F8710000}"/>
    <cellStyle name="Normal 21 3" xfId="29177" xr:uid="{00000000-0005-0000-0000-0000F9710000}"/>
    <cellStyle name="Normal 21 3 2" xfId="29178" xr:uid="{00000000-0005-0000-0000-0000FA710000}"/>
    <cellStyle name="Normal 21 3 3" xfId="29179" xr:uid="{00000000-0005-0000-0000-0000FB710000}"/>
    <cellStyle name="Normal 21 4" xfId="29180" xr:uid="{00000000-0005-0000-0000-0000FC710000}"/>
    <cellStyle name="Normal 21 5" xfId="29181" xr:uid="{00000000-0005-0000-0000-0000FD710000}"/>
    <cellStyle name="Normal 21 6" xfId="29182" xr:uid="{00000000-0005-0000-0000-0000FE710000}"/>
    <cellStyle name="Normal 21 7" xfId="29183" xr:uid="{00000000-0005-0000-0000-0000FF710000}"/>
    <cellStyle name="Normal 21 8" xfId="29184" xr:uid="{00000000-0005-0000-0000-000000720000}"/>
    <cellStyle name="Normal 21 9" xfId="29185" xr:uid="{00000000-0005-0000-0000-000001720000}"/>
    <cellStyle name="Normal 210" xfId="39241" xr:uid="{00000000-0005-0000-0000-000049990000}"/>
    <cellStyle name="Normal 211" xfId="39242" xr:uid="{00000000-0005-0000-0000-00004A990000}"/>
    <cellStyle name="Normal 212" xfId="39243" xr:uid="{00000000-0005-0000-0000-00004B990000}"/>
    <cellStyle name="Normal 213" xfId="39244" xr:uid="{00000000-0005-0000-0000-00004C990000}"/>
    <cellStyle name="Normal 214" xfId="39245" xr:uid="{00000000-0005-0000-0000-00004D990000}"/>
    <cellStyle name="Normal 215" xfId="39246" xr:uid="{40CE275A-B130-447A-A3FD-C6A43895C3D3}"/>
    <cellStyle name="Normal 22" xfId="29186" xr:uid="{00000000-0005-0000-0000-000002720000}"/>
    <cellStyle name="Normal 22 10" xfId="29187" xr:uid="{00000000-0005-0000-0000-000003720000}"/>
    <cellStyle name="Normal 22 11" xfId="29188" xr:uid="{00000000-0005-0000-0000-000004720000}"/>
    <cellStyle name="Normal 22 12" xfId="29189" xr:uid="{00000000-0005-0000-0000-000005720000}"/>
    <cellStyle name="Normal 22 13" xfId="29190" xr:uid="{00000000-0005-0000-0000-000006720000}"/>
    <cellStyle name="Normal 22 14" xfId="29191" xr:uid="{00000000-0005-0000-0000-000007720000}"/>
    <cellStyle name="Normal 22 15" xfId="29192" xr:uid="{00000000-0005-0000-0000-000008720000}"/>
    <cellStyle name="Normal 22 16" xfId="29193" xr:uid="{00000000-0005-0000-0000-000009720000}"/>
    <cellStyle name="Normal 22 17" xfId="29194" xr:uid="{00000000-0005-0000-0000-00000A720000}"/>
    <cellStyle name="Normal 22 18" xfId="29195" xr:uid="{00000000-0005-0000-0000-00000B720000}"/>
    <cellStyle name="Normal 22 19" xfId="29196" xr:uid="{00000000-0005-0000-0000-00000C720000}"/>
    <cellStyle name="Normal 22 2" xfId="29197" xr:uid="{00000000-0005-0000-0000-00000D720000}"/>
    <cellStyle name="Normal 22 2 2" xfId="29198" xr:uid="{00000000-0005-0000-0000-00000E720000}"/>
    <cellStyle name="Normal 22 2 3" xfId="29199" xr:uid="{00000000-0005-0000-0000-00000F720000}"/>
    <cellStyle name="Normal 22 20" xfId="29200" xr:uid="{00000000-0005-0000-0000-000010720000}"/>
    <cellStyle name="Normal 22 21" xfId="29201" xr:uid="{00000000-0005-0000-0000-000011720000}"/>
    <cellStyle name="Normal 22 22" xfId="29202" xr:uid="{00000000-0005-0000-0000-000012720000}"/>
    <cellStyle name="Normal 22 23" xfId="29203" xr:uid="{00000000-0005-0000-0000-000013720000}"/>
    <cellStyle name="Normal 22 24" xfId="29204" xr:uid="{00000000-0005-0000-0000-000014720000}"/>
    <cellStyle name="Normal 22 25" xfId="29205" xr:uid="{00000000-0005-0000-0000-000015720000}"/>
    <cellStyle name="Normal 22 26" xfId="29206" xr:uid="{00000000-0005-0000-0000-000016720000}"/>
    <cellStyle name="Normal 22 3" xfId="29207" xr:uid="{00000000-0005-0000-0000-000017720000}"/>
    <cellStyle name="Normal 22 3 2" xfId="29208" xr:uid="{00000000-0005-0000-0000-000018720000}"/>
    <cellStyle name="Normal 22 3 3" xfId="29209" xr:uid="{00000000-0005-0000-0000-000019720000}"/>
    <cellStyle name="Normal 22 3 4" xfId="29210" xr:uid="{00000000-0005-0000-0000-00001A720000}"/>
    <cellStyle name="Normal 22 3 5" xfId="29211" xr:uid="{00000000-0005-0000-0000-00001B720000}"/>
    <cellStyle name="Normal 22 4" xfId="29212" xr:uid="{00000000-0005-0000-0000-00001C720000}"/>
    <cellStyle name="Normal 22 5" xfId="29213" xr:uid="{00000000-0005-0000-0000-00001D720000}"/>
    <cellStyle name="Normal 22 6" xfId="29214" xr:uid="{00000000-0005-0000-0000-00001E720000}"/>
    <cellStyle name="Normal 22 7" xfId="29215" xr:uid="{00000000-0005-0000-0000-00001F720000}"/>
    <cellStyle name="Normal 22 8" xfId="29216" xr:uid="{00000000-0005-0000-0000-000020720000}"/>
    <cellStyle name="Normal 22 9" xfId="29217" xr:uid="{00000000-0005-0000-0000-000021720000}"/>
    <cellStyle name="Normal 23" xfId="29218" xr:uid="{00000000-0005-0000-0000-000022720000}"/>
    <cellStyle name="Normal 23 10" xfId="29219" xr:uid="{00000000-0005-0000-0000-000023720000}"/>
    <cellStyle name="Normal 23 11" xfId="29220" xr:uid="{00000000-0005-0000-0000-000024720000}"/>
    <cellStyle name="Normal 23 12" xfId="29221" xr:uid="{00000000-0005-0000-0000-000025720000}"/>
    <cellStyle name="Normal 23 13" xfId="29222" xr:uid="{00000000-0005-0000-0000-000026720000}"/>
    <cellStyle name="Normal 23 14" xfId="29223" xr:uid="{00000000-0005-0000-0000-000027720000}"/>
    <cellStyle name="Normal 23 15" xfId="29224" xr:uid="{00000000-0005-0000-0000-000028720000}"/>
    <cellStyle name="Normal 23 16" xfId="29225" xr:uid="{00000000-0005-0000-0000-000029720000}"/>
    <cellStyle name="Normal 23 17" xfId="29226" xr:uid="{00000000-0005-0000-0000-00002A720000}"/>
    <cellStyle name="Normal 23 18" xfId="29227" xr:uid="{00000000-0005-0000-0000-00002B720000}"/>
    <cellStyle name="Normal 23 19" xfId="29228" xr:uid="{00000000-0005-0000-0000-00002C720000}"/>
    <cellStyle name="Normal 23 2" xfId="29229" xr:uid="{00000000-0005-0000-0000-00002D720000}"/>
    <cellStyle name="Normal 23 2 2" xfId="29230" xr:uid="{00000000-0005-0000-0000-00002E720000}"/>
    <cellStyle name="Normal 23 2 3" xfId="29231" xr:uid="{00000000-0005-0000-0000-00002F720000}"/>
    <cellStyle name="Normal 23 20" xfId="29232" xr:uid="{00000000-0005-0000-0000-000030720000}"/>
    <cellStyle name="Normal 23 21" xfId="29233" xr:uid="{00000000-0005-0000-0000-000031720000}"/>
    <cellStyle name="Normal 23 22" xfId="29234" xr:uid="{00000000-0005-0000-0000-000032720000}"/>
    <cellStyle name="Normal 23 23" xfId="29235" xr:uid="{00000000-0005-0000-0000-000033720000}"/>
    <cellStyle name="Normal 23 24" xfId="29236" xr:uid="{00000000-0005-0000-0000-000034720000}"/>
    <cellStyle name="Normal 23 25" xfId="29237" xr:uid="{00000000-0005-0000-0000-000035720000}"/>
    <cellStyle name="Normal 23 26" xfId="29238" xr:uid="{00000000-0005-0000-0000-000036720000}"/>
    <cellStyle name="Normal 23 3" xfId="29239" xr:uid="{00000000-0005-0000-0000-000037720000}"/>
    <cellStyle name="Normal 23 3 2" xfId="29240" xr:uid="{00000000-0005-0000-0000-000038720000}"/>
    <cellStyle name="Normal 23 3 3" xfId="29241" xr:uid="{00000000-0005-0000-0000-000039720000}"/>
    <cellStyle name="Normal 23 3 4" xfId="29242" xr:uid="{00000000-0005-0000-0000-00003A720000}"/>
    <cellStyle name="Normal 23 3 5" xfId="29243" xr:uid="{00000000-0005-0000-0000-00003B720000}"/>
    <cellStyle name="Normal 23 4" xfId="29244" xr:uid="{00000000-0005-0000-0000-00003C720000}"/>
    <cellStyle name="Normal 23 5" xfId="29245" xr:uid="{00000000-0005-0000-0000-00003D720000}"/>
    <cellStyle name="Normal 23 6" xfId="29246" xr:uid="{00000000-0005-0000-0000-00003E720000}"/>
    <cellStyle name="Normal 23 7" xfId="29247" xr:uid="{00000000-0005-0000-0000-00003F720000}"/>
    <cellStyle name="Normal 23 8" xfId="29248" xr:uid="{00000000-0005-0000-0000-000040720000}"/>
    <cellStyle name="Normal 23 9" xfId="29249" xr:uid="{00000000-0005-0000-0000-000041720000}"/>
    <cellStyle name="Normal 24" xfId="29250" xr:uid="{00000000-0005-0000-0000-000042720000}"/>
    <cellStyle name="Normal 24 10" xfId="29251" xr:uid="{00000000-0005-0000-0000-000043720000}"/>
    <cellStyle name="Normal 24 11" xfId="29252" xr:uid="{00000000-0005-0000-0000-000044720000}"/>
    <cellStyle name="Normal 24 12" xfId="29253" xr:uid="{00000000-0005-0000-0000-000045720000}"/>
    <cellStyle name="Normal 24 13" xfId="29254" xr:uid="{00000000-0005-0000-0000-000046720000}"/>
    <cellStyle name="Normal 24 14" xfId="29255" xr:uid="{00000000-0005-0000-0000-000047720000}"/>
    <cellStyle name="Normal 24 15" xfId="29256" xr:uid="{00000000-0005-0000-0000-000048720000}"/>
    <cellStyle name="Normal 24 16" xfId="29257" xr:uid="{00000000-0005-0000-0000-000049720000}"/>
    <cellStyle name="Normal 24 17" xfId="29258" xr:uid="{00000000-0005-0000-0000-00004A720000}"/>
    <cellStyle name="Normal 24 18" xfId="29259" xr:uid="{00000000-0005-0000-0000-00004B720000}"/>
    <cellStyle name="Normal 24 19" xfId="29260" xr:uid="{00000000-0005-0000-0000-00004C720000}"/>
    <cellStyle name="Normal 24 2" xfId="29261" xr:uid="{00000000-0005-0000-0000-00004D720000}"/>
    <cellStyle name="Normal 24 20" xfId="29262" xr:uid="{00000000-0005-0000-0000-00004E720000}"/>
    <cellStyle name="Normal 24 21" xfId="29263" xr:uid="{00000000-0005-0000-0000-00004F720000}"/>
    <cellStyle name="Normal 24 22" xfId="29264" xr:uid="{00000000-0005-0000-0000-000050720000}"/>
    <cellStyle name="Normal 24 23" xfId="29265" xr:uid="{00000000-0005-0000-0000-000051720000}"/>
    <cellStyle name="Normal 24 24" xfId="29266" xr:uid="{00000000-0005-0000-0000-000052720000}"/>
    <cellStyle name="Normal 24 25" xfId="29267" xr:uid="{00000000-0005-0000-0000-000053720000}"/>
    <cellStyle name="Normal 24 26" xfId="29268" xr:uid="{00000000-0005-0000-0000-000054720000}"/>
    <cellStyle name="Normal 24 27" xfId="29269" xr:uid="{00000000-0005-0000-0000-000055720000}"/>
    <cellStyle name="Normal 24 3" xfId="29270" xr:uid="{00000000-0005-0000-0000-000056720000}"/>
    <cellStyle name="Normal 24 4" xfId="29271" xr:uid="{00000000-0005-0000-0000-000057720000}"/>
    <cellStyle name="Normal 24 5" xfId="29272" xr:uid="{00000000-0005-0000-0000-000058720000}"/>
    <cellStyle name="Normal 24 6" xfId="29273" xr:uid="{00000000-0005-0000-0000-000059720000}"/>
    <cellStyle name="Normal 24 7" xfId="29274" xr:uid="{00000000-0005-0000-0000-00005A720000}"/>
    <cellStyle name="Normal 24 8" xfId="29275" xr:uid="{00000000-0005-0000-0000-00005B720000}"/>
    <cellStyle name="Normal 24 9" xfId="29276" xr:uid="{00000000-0005-0000-0000-00005C720000}"/>
    <cellStyle name="Normal 25" xfId="29277" xr:uid="{00000000-0005-0000-0000-00005D720000}"/>
    <cellStyle name="Normal 25 10" xfId="29278" xr:uid="{00000000-0005-0000-0000-00005E720000}"/>
    <cellStyle name="Normal 25 11" xfId="29279" xr:uid="{00000000-0005-0000-0000-00005F720000}"/>
    <cellStyle name="Normal 25 12" xfId="29280" xr:uid="{00000000-0005-0000-0000-000060720000}"/>
    <cellStyle name="Normal 25 13" xfId="29281" xr:uid="{00000000-0005-0000-0000-000061720000}"/>
    <cellStyle name="Normal 25 14" xfId="29282" xr:uid="{00000000-0005-0000-0000-000062720000}"/>
    <cellStyle name="Normal 25 15" xfId="29283" xr:uid="{00000000-0005-0000-0000-000063720000}"/>
    <cellStyle name="Normal 25 16" xfId="29284" xr:uid="{00000000-0005-0000-0000-000064720000}"/>
    <cellStyle name="Normal 25 17" xfId="29285" xr:uid="{00000000-0005-0000-0000-000065720000}"/>
    <cellStyle name="Normal 25 18" xfId="29286" xr:uid="{00000000-0005-0000-0000-000066720000}"/>
    <cellStyle name="Normal 25 19" xfId="29287" xr:uid="{00000000-0005-0000-0000-000067720000}"/>
    <cellStyle name="Normal 25 2" xfId="29288" xr:uid="{00000000-0005-0000-0000-000068720000}"/>
    <cellStyle name="Normal 25 20" xfId="29289" xr:uid="{00000000-0005-0000-0000-000069720000}"/>
    <cellStyle name="Normal 25 21" xfId="29290" xr:uid="{00000000-0005-0000-0000-00006A720000}"/>
    <cellStyle name="Normal 25 22" xfId="29291" xr:uid="{00000000-0005-0000-0000-00006B720000}"/>
    <cellStyle name="Normal 25 23" xfId="29292" xr:uid="{00000000-0005-0000-0000-00006C720000}"/>
    <cellStyle name="Normal 25 24" xfId="29293" xr:uid="{00000000-0005-0000-0000-00006D720000}"/>
    <cellStyle name="Normal 25 25" xfId="29294" xr:uid="{00000000-0005-0000-0000-00006E720000}"/>
    <cellStyle name="Normal 25 3" xfId="29295" xr:uid="{00000000-0005-0000-0000-00006F720000}"/>
    <cellStyle name="Normal 25 4" xfId="29296" xr:uid="{00000000-0005-0000-0000-000070720000}"/>
    <cellStyle name="Normal 25 5" xfId="29297" xr:uid="{00000000-0005-0000-0000-000071720000}"/>
    <cellStyle name="Normal 25 6" xfId="29298" xr:uid="{00000000-0005-0000-0000-000072720000}"/>
    <cellStyle name="Normal 25 7" xfId="29299" xr:uid="{00000000-0005-0000-0000-000073720000}"/>
    <cellStyle name="Normal 25 8" xfId="29300" xr:uid="{00000000-0005-0000-0000-000074720000}"/>
    <cellStyle name="Normal 25 9" xfId="29301" xr:uid="{00000000-0005-0000-0000-000075720000}"/>
    <cellStyle name="Normal 26" xfId="29302" xr:uid="{00000000-0005-0000-0000-000076720000}"/>
    <cellStyle name="Normal 26 10" xfId="29303" xr:uid="{00000000-0005-0000-0000-000077720000}"/>
    <cellStyle name="Normal 26 11" xfId="29304" xr:uid="{00000000-0005-0000-0000-000078720000}"/>
    <cellStyle name="Normal 26 12" xfId="29305" xr:uid="{00000000-0005-0000-0000-000079720000}"/>
    <cellStyle name="Normal 26 13" xfId="29306" xr:uid="{00000000-0005-0000-0000-00007A720000}"/>
    <cellStyle name="Normal 26 14" xfId="29307" xr:uid="{00000000-0005-0000-0000-00007B720000}"/>
    <cellStyle name="Normal 26 15" xfId="29308" xr:uid="{00000000-0005-0000-0000-00007C720000}"/>
    <cellStyle name="Normal 26 16" xfId="29309" xr:uid="{00000000-0005-0000-0000-00007D720000}"/>
    <cellStyle name="Normal 26 17" xfId="29310" xr:uid="{00000000-0005-0000-0000-00007E720000}"/>
    <cellStyle name="Normal 26 18" xfId="29311" xr:uid="{00000000-0005-0000-0000-00007F720000}"/>
    <cellStyle name="Normal 26 19" xfId="29312" xr:uid="{00000000-0005-0000-0000-000080720000}"/>
    <cellStyle name="Normal 26 2" xfId="29313" xr:uid="{00000000-0005-0000-0000-000081720000}"/>
    <cellStyle name="Normal 26 20" xfId="29314" xr:uid="{00000000-0005-0000-0000-000082720000}"/>
    <cellStyle name="Normal 26 21" xfId="29315" xr:uid="{00000000-0005-0000-0000-000083720000}"/>
    <cellStyle name="Normal 26 22" xfId="29316" xr:uid="{00000000-0005-0000-0000-000084720000}"/>
    <cellStyle name="Normal 26 23" xfId="29317" xr:uid="{00000000-0005-0000-0000-000085720000}"/>
    <cellStyle name="Normal 26 24" xfId="29318" xr:uid="{00000000-0005-0000-0000-000086720000}"/>
    <cellStyle name="Normal 26 25" xfId="29319" xr:uid="{00000000-0005-0000-0000-000087720000}"/>
    <cellStyle name="Normal 26 3" xfId="29320" xr:uid="{00000000-0005-0000-0000-000088720000}"/>
    <cellStyle name="Normal 26 4" xfId="29321" xr:uid="{00000000-0005-0000-0000-000089720000}"/>
    <cellStyle name="Normal 26 5" xfId="29322" xr:uid="{00000000-0005-0000-0000-00008A720000}"/>
    <cellStyle name="Normal 26 6" xfId="29323" xr:uid="{00000000-0005-0000-0000-00008B720000}"/>
    <cellStyle name="Normal 26 7" xfId="29324" xr:uid="{00000000-0005-0000-0000-00008C720000}"/>
    <cellStyle name="Normal 26 8" xfId="29325" xr:uid="{00000000-0005-0000-0000-00008D720000}"/>
    <cellStyle name="Normal 26 9" xfId="29326" xr:uid="{00000000-0005-0000-0000-00008E720000}"/>
    <cellStyle name="Normal 27" xfId="29327" xr:uid="{00000000-0005-0000-0000-00008F720000}"/>
    <cellStyle name="Normal 27 2" xfId="29328" xr:uid="{00000000-0005-0000-0000-000090720000}"/>
    <cellStyle name="Normal 28" xfId="29329" xr:uid="{00000000-0005-0000-0000-000091720000}"/>
    <cellStyle name="Normal 28 10" xfId="29330" xr:uid="{00000000-0005-0000-0000-000092720000}"/>
    <cellStyle name="Normal 28 11" xfId="29331" xr:uid="{00000000-0005-0000-0000-000093720000}"/>
    <cellStyle name="Normal 28 12" xfId="29332" xr:uid="{00000000-0005-0000-0000-000094720000}"/>
    <cellStyle name="Normal 28 13" xfId="29333" xr:uid="{00000000-0005-0000-0000-000095720000}"/>
    <cellStyle name="Normal 28 14" xfId="29334" xr:uid="{00000000-0005-0000-0000-000096720000}"/>
    <cellStyle name="Normal 28 15" xfId="29335" xr:uid="{00000000-0005-0000-0000-000097720000}"/>
    <cellStyle name="Normal 28 16" xfId="29336" xr:uid="{00000000-0005-0000-0000-000098720000}"/>
    <cellStyle name="Normal 28 17" xfId="29337" xr:uid="{00000000-0005-0000-0000-000099720000}"/>
    <cellStyle name="Normal 28 18" xfId="29338" xr:uid="{00000000-0005-0000-0000-00009A720000}"/>
    <cellStyle name="Normal 28 19" xfId="29339" xr:uid="{00000000-0005-0000-0000-00009B720000}"/>
    <cellStyle name="Normal 28 2" xfId="29340" xr:uid="{00000000-0005-0000-0000-00009C720000}"/>
    <cellStyle name="Normal 28 2 2" xfId="29341" xr:uid="{00000000-0005-0000-0000-00009D720000}"/>
    <cellStyle name="Normal 28 2 3" xfId="29342" xr:uid="{00000000-0005-0000-0000-00009E720000}"/>
    <cellStyle name="Normal 28 20" xfId="29343" xr:uid="{00000000-0005-0000-0000-00009F720000}"/>
    <cellStyle name="Normal 28 21" xfId="29344" xr:uid="{00000000-0005-0000-0000-0000A0720000}"/>
    <cellStyle name="Normal 28 22" xfId="29345" xr:uid="{00000000-0005-0000-0000-0000A1720000}"/>
    <cellStyle name="Normal 28 23" xfId="29346" xr:uid="{00000000-0005-0000-0000-0000A2720000}"/>
    <cellStyle name="Normal 28 24" xfId="29347" xr:uid="{00000000-0005-0000-0000-0000A3720000}"/>
    <cellStyle name="Normal 28 25" xfId="29348" xr:uid="{00000000-0005-0000-0000-0000A4720000}"/>
    <cellStyle name="Normal 28 26" xfId="29349" xr:uid="{00000000-0005-0000-0000-0000A5720000}"/>
    <cellStyle name="Normal 28 3" xfId="29350" xr:uid="{00000000-0005-0000-0000-0000A6720000}"/>
    <cellStyle name="Normal 28 3 2" xfId="29351" xr:uid="{00000000-0005-0000-0000-0000A7720000}"/>
    <cellStyle name="Normal 28 3 3" xfId="29352" xr:uid="{00000000-0005-0000-0000-0000A8720000}"/>
    <cellStyle name="Normal 28 4" xfId="29353" xr:uid="{00000000-0005-0000-0000-0000A9720000}"/>
    <cellStyle name="Normal 28 5" xfId="29354" xr:uid="{00000000-0005-0000-0000-0000AA720000}"/>
    <cellStyle name="Normal 28 6" xfId="29355" xr:uid="{00000000-0005-0000-0000-0000AB720000}"/>
    <cellStyle name="Normal 28 7" xfId="29356" xr:uid="{00000000-0005-0000-0000-0000AC720000}"/>
    <cellStyle name="Normal 28 8" xfId="29357" xr:uid="{00000000-0005-0000-0000-0000AD720000}"/>
    <cellStyle name="Normal 28 9" xfId="29358" xr:uid="{00000000-0005-0000-0000-0000AE720000}"/>
    <cellStyle name="Normal 29" xfId="29359" xr:uid="{00000000-0005-0000-0000-0000AF720000}"/>
    <cellStyle name="Normal 29 10" xfId="29360" xr:uid="{00000000-0005-0000-0000-0000B0720000}"/>
    <cellStyle name="Normal 29 11" xfId="29361" xr:uid="{00000000-0005-0000-0000-0000B1720000}"/>
    <cellStyle name="Normal 29 12" xfId="29362" xr:uid="{00000000-0005-0000-0000-0000B2720000}"/>
    <cellStyle name="Normal 29 13" xfId="29363" xr:uid="{00000000-0005-0000-0000-0000B3720000}"/>
    <cellStyle name="Normal 29 14" xfId="29364" xr:uid="{00000000-0005-0000-0000-0000B4720000}"/>
    <cellStyle name="Normal 29 15" xfId="29365" xr:uid="{00000000-0005-0000-0000-0000B5720000}"/>
    <cellStyle name="Normal 29 16" xfId="29366" xr:uid="{00000000-0005-0000-0000-0000B6720000}"/>
    <cellStyle name="Normal 29 17" xfId="29367" xr:uid="{00000000-0005-0000-0000-0000B7720000}"/>
    <cellStyle name="Normal 29 18" xfId="29368" xr:uid="{00000000-0005-0000-0000-0000B8720000}"/>
    <cellStyle name="Normal 29 19" xfId="29369" xr:uid="{00000000-0005-0000-0000-0000B9720000}"/>
    <cellStyle name="Normal 29 2" xfId="29370" xr:uid="{00000000-0005-0000-0000-0000BA720000}"/>
    <cellStyle name="Normal 29 2 2" xfId="29371" xr:uid="{00000000-0005-0000-0000-0000BB720000}"/>
    <cellStyle name="Normal 29 2 3" xfId="29372" xr:uid="{00000000-0005-0000-0000-0000BC720000}"/>
    <cellStyle name="Normal 29 20" xfId="29373" xr:uid="{00000000-0005-0000-0000-0000BD720000}"/>
    <cellStyle name="Normal 29 21" xfId="29374" xr:uid="{00000000-0005-0000-0000-0000BE720000}"/>
    <cellStyle name="Normal 29 22" xfId="29375" xr:uid="{00000000-0005-0000-0000-0000BF720000}"/>
    <cellStyle name="Normal 29 23" xfId="29376" xr:uid="{00000000-0005-0000-0000-0000C0720000}"/>
    <cellStyle name="Normal 29 24" xfId="29377" xr:uid="{00000000-0005-0000-0000-0000C1720000}"/>
    <cellStyle name="Normal 29 25" xfId="29378" xr:uid="{00000000-0005-0000-0000-0000C2720000}"/>
    <cellStyle name="Normal 29 26" xfId="29379" xr:uid="{00000000-0005-0000-0000-0000C3720000}"/>
    <cellStyle name="Normal 29 3" xfId="29380" xr:uid="{00000000-0005-0000-0000-0000C4720000}"/>
    <cellStyle name="Normal 29 3 2" xfId="29381" xr:uid="{00000000-0005-0000-0000-0000C5720000}"/>
    <cellStyle name="Normal 29 3 3" xfId="29382" xr:uid="{00000000-0005-0000-0000-0000C6720000}"/>
    <cellStyle name="Normal 29 4" xfId="29383" xr:uid="{00000000-0005-0000-0000-0000C7720000}"/>
    <cellStyle name="Normal 29 5" xfId="29384" xr:uid="{00000000-0005-0000-0000-0000C8720000}"/>
    <cellStyle name="Normal 29 6" xfId="29385" xr:uid="{00000000-0005-0000-0000-0000C9720000}"/>
    <cellStyle name="Normal 29 7" xfId="29386" xr:uid="{00000000-0005-0000-0000-0000CA720000}"/>
    <cellStyle name="Normal 29 8" xfId="29387" xr:uid="{00000000-0005-0000-0000-0000CB720000}"/>
    <cellStyle name="Normal 29 9" xfId="29388" xr:uid="{00000000-0005-0000-0000-0000CC720000}"/>
    <cellStyle name="Normal 3" xfId="12" xr:uid="{00000000-0005-0000-0000-00000C000000}"/>
    <cellStyle name="Normal 3 10" xfId="29390" xr:uid="{00000000-0005-0000-0000-0000CE720000}"/>
    <cellStyle name="Normal 3 10 2" xfId="29391" xr:uid="{00000000-0005-0000-0000-0000CF720000}"/>
    <cellStyle name="Normal 3 10 3" xfId="29392" xr:uid="{00000000-0005-0000-0000-0000D0720000}"/>
    <cellStyle name="Normal 3 10 4" xfId="29393" xr:uid="{00000000-0005-0000-0000-0000D1720000}"/>
    <cellStyle name="Normal 3 10 5" xfId="29394" xr:uid="{00000000-0005-0000-0000-0000D2720000}"/>
    <cellStyle name="Normal 3 10 6" xfId="29395" xr:uid="{00000000-0005-0000-0000-0000D3720000}"/>
    <cellStyle name="Normal 3 10_Enlaces" xfId="29396" xr:uid="{00000000-0005-0000-0000-0000D4720000}"/>
    <cellStyle name="Normal 3 100" xfId="29397" xr:uid="{00000000-0005-0000-0000-0000D5720000}"/>
    <cellStyle name="Normal 3 100 2" xfId="29398" xr:uid="{00000000-0005-0000-0000-0000D6720000}"/>
    <cellStyle name="Normal 3 100 3" xfId="29399" xr:uid="{00000000-0005-0000-0000-0000D7720000}"/>
    <cellStyle name="Normal 3 101" xfId="29400" xr:uid="{00000000-0005-0000-0000-0000D8720000}"/>
    <cellStyle name="Normal 3 101 2" xfId="29401" xr:uid="{00000000-0005-0000-0000-0000D9720000}"/>
    <cellStyle name="Normal 3 101 3" xfId="29402" xr:uid="{00000000-0005-0000-0000-0000DA720000}"/>
    <cellStyle name="Normal 3 102" xfId="29403" xr:uid="{00000000-0005-0000-0000-0000DB720000}"/>
    <cellStyle name="Normal 3 102 2" xfId="29404" xr:uid="{00000000-0005-0000-0000-0000DC720000}"/>
    <cellStyle name="Normal 3 102 3" xfId="29405" xr:uid="{00000000-0005-0000-0000-0000DD720000}"/>
    <cellStyle name="Normal 3 103" xfId="29406" xr:uid="{00000000-0005-0000-0000-0000DE720000}"/>
    <cellStyle name="Normal 3 103 2" xfId="29407" xr:uid="{00000000-0005-0000-0000-0000DF720000}"/>
    <cellStyle name="Normal 3 103 3" xfId="29408" xr:uid="{00000000-0005-0000-0000-0000E0720000}"/>
    <cellStyle name="Normal 3 104" xfId="29409" xr:uid="{00000000-0005-0000-0000-0000E1720000}"/>
    <cellStyle name="Normal 3 104 2" xfId="29410" xr:uid="{00000000-0005-0000-0000-0000E2720000}"/>
    <cellStyle name="Normal 3 104 3" xfId="29411" xr:uid="{00000000-0005-0000-0000-0000E3720000}"/>
    <cellStyle name="Normal 3 105" xfId="29412" xr:uid="{00000000-0005-0000-0000-0000E4720000}"/>
    <cellStyle name="Normal 3 105 2" xfId="29413" xr:uid="{00000000-0005-0000-0000-0000E5720000}"/>
    <cellStyle name="Normal 3 105 3" xfId="29414" xr:uid="{00000000-0005-0000-0000-0000E6720000}"/>
    <cellStyle name="Normal 3 106" xfId="29415" xr:uid="{00000000-0005-0000-0000-0000E7720000}"/>
    <cellStyle name="Normal 3 106 2" xfId="29416" xr:uid="{00000000-0005-0000-0000-0000E8720000}"/>
    <cellStyle name="Normal 3 106 3" xfId="29417" xr:uid="{00000000-0005-0000-0000-0000E9720000}"/>
    <cellStyle name="Normal 3 107" xfId="29418" xr:uid="{00000000-0005-0000-0000-0000EA720000}"/>
    <cellStyle name="Normal 3 107 2" xfId="29419" xr:uid="{00000000-0005-0000-0000-0000EB720000}"/>
    <cellStyle name="Normal 3 107 3" xfId="29420" xr:uid="{00000000-0005-0000-0000-0000EC720000}"/>
    <cellStyle name="Normal 3 108" xfId="29421" xr:uid="{00000000-0005-0000-0000-0000ED720000}"/>
    <cellStyle name="Normal 3 108 2" xfId="29422" xr:uid="{00000000-0005-0000-0000-0000EE720000}"/>
    <cellStyle name="Normal 3 108 3" xfId="29423" xr:uid="{00000000-0005-0000-0000-0000EF720000}"/>
    <cellStyle name="Normal 3 109" xfId="29424" xr:uid="{00000000-0005-0000-0000-0000F0720000}"/>
    <cellStyle name="Normal 3 109 2" xfId="29425" xr:uid="{00000000-0005-0000-0000-0000F1720000}"/>
    <cellStyle name="Normal 3 109 3" xfId="29426" xr:uid="{00000000-0005-0000-0000-0000F2720000}"/>
    <cellStyle name="Normal 3 11" xfId="29427" xr:uid="{00000000-0005-0000-0000-0000F3720000}"/>
    <cellStyle name="Normal 3 11 2" xfId="29428" xr:uid="{00000000-0005-0000-0000-0000F4720000}"/>
    <cellStyle name="Normal 3 11 3" xfId="29429" xr:uid="{00000000-0005-0000-0000-0000F5720000}"/>
    <cellStyle name="Normal 3 11 4" xfId="29430" xr:uid="{00000000-0005-0000-0000-0000F6720000}"/>
    <cellStyle name="Normal 3 11_Enlaces" xfId="29431" xr:uid="{00000000-0005-0000-0000-0000F7720000}"/>
    <cellStyle name="Normal 3 110" xfId="29432" xr:uid="{00000000-0005-0000-0000-0000F8720000}"/>
    <cellStyle name="Normal 3 110 2" xfId="29433" xr:uid="{00000000-0005-0000-0000-0000F9720000}"/>
    <cellStyle name="Normal 3 110 3" xfId="29434" xr:uid="{00000000-0005-0000-0000-0000FA720000}"/>
    <cellStyle name="Normal 3 111" xfId="29435" xr:uid="{00000000-0005-0000-0000-0000FB720000}"/>
    <cellStyle name="Normal 3 111 2" xfId="29436" xr:uid="{00000000-0005-0000-0000-0000FC720000}"/>
    <cellStyle name="Normal 3 111 3" xfId="29437" xr:uid="{00000000-0005-0000-0000-0000FD720000}"/>
    <cellStyle name="Normal 3 112" xfId="29438" xr:uid="{00000000-0005-0000-0000-0000FE720000}"/>
    <cellStyle name="Normal 3 112 2" xfId="29439" xr:uid="{00000000-0005-0000-0000-0000FF720000}"/>
    <cellStyle name="Normal 3 112 3" xfId="29440" xr:uid="{00000000-0005-0000-0000-000000730000}"/>
    <cellStyle name="Normal 3 113" xfId="29441" xr:uid="{00000000-0005-0000-0000-000001730000}"/>
    <cellStyle name="Normal 3 113 2" xfId="29442" xr:uid="{00000000-0005-0000-0000-000002730000}"/>
    <cellStyle name="Normal 3 113 3" xfId="29443" xr:uid="{00000000-0005-0000-0000-000003730000}"/>
    <cellStyle name="Normal 3 114" xfId="29444" xr:uid="{00000000-0005-0000-0000-000004730000}"/>
    <cellStyle name="Normal 3 114 2" xfId="29445" xr:uid="{00000000-0005-0000-0000-000005730000}"/>
    <cellStyle name="Normal 3 114 3" xfId="29446" xr:uid="{00000000-0005-0000-0000-000006730000}"/>
    <cellStyle name="Normal 3 115" xfId="29447" xr:uid="{00000000-0005-0000-0000-000007730000}"/>
    <cellStyle name="Normal 3 115 2" xfId="29448" xr:uid="{00000000-0005-0000-0000-000008730000}"/>
    <cellStyle name="Normal 3 115 3" xfId="29449" xr:uid="{00000000-0005-0000-0000-000009730000}"/>
    <cellStyle name="Normal 3 116" xfId="29450" xr:uid="{00000000-0005-0000-0000-00000A730000}"/>
    <cellStyle name="Normal 3 116 2" xfId="29451" xr:uid="{00000000-0005-0000-0000-00000B730000}"/>
    <cellStyle name="Normal 3 116 3" xfId="29452" xr:uid="{00000000-0005-0000-0000-00000C730000}"/>
    <cellStyle name="Normal 3 117" xfId="29453" xr:uid="{00000000-0005-0000-0000-00000D730000}"/>
    <cellStyle name="Normal 3 117 2" xfId="29454" xr:uid="{00000000-0005-0000-0000-00000E730000}"/>
    <cellStyle name="Normal 3 117 3" xfId="29455" xr:uid="{00000000-0005-0000-0000-00000F730000}"/>
    <cellStyle name="Normal 3 118" xfId="29456" xr:uid="{00000000-0005-0000-0000-000010730000}"/>
    <cellStyle name="Normal 3 118 2" xfId="29457" xr:uid="{00000000-0005-0000-0000-000011730000}"/>
    <cellStyle name="Normal 3 118 3" xfId="29458" xr:uid="{00000000-0005-0000-0000-000012730000}"/>
    <cellStyle name="Normal 3 119" xfId="29459" xr:uid="{00000000-0005-0000-0000-000013730000}"/>
    <cellStyle name="Normal 3 119 2" xfId="29460" xr:uid="{00000000-0005-0000-0000-000014730000}"/>
    <cellStyle name="Normal 3 119 3" xfId="29461" xr:uid="{00000000-0005-0000-0000-000015730000}"/>
    <cellStyle name="Normal 3 12" xfId="29462" xr:uid="{00000000-0005-0000-0000-000016730000}"/>
    <cellStyle name="Normal 3 12 2" xfId="29463" xr:uid="{00000000-0005-0000-0000-000017730000}"/>
    <cellStyle name="Normal 3 12 3" xfId="29464" xr:uid="{00000000-0005-0000-0000-000018730000}"/>
    <cellStyle name="Normal 3 12_Enlaces" xfId="29465" xr:uid="{00000000-0005-0000-0000-000019730000}"/>
    <cellStyle name="Normal 3 120" xfId="29466" xr:uid="{00000000-0005-0000-0000-00001A730000}"/>
    <cellStyle name="Normal 3 120 2" xfId="29467" xr:uid="{00000000-0005-0000-0000-00001B730000}"/>
    <cellStyle name="Normal 3 120 3" xfId="29468" xr:uid="{00000000-0005-0000-0000-00001C730000}"/>
    <cellStyle name="Normal 3 121" xfId="29469" xr:uid="{00000000-0005-0000-0000-00001D730000}"/>
    <cellStyle name="Normal 3 121 2" xfId="29470" xr:uid="{00000000-0005-0000-0000-00001E730000}"/>
    <cellStyle name="Normal 3 121 3" xfId="29471" xr:uid="{00000000-0005-0000-0000-00001F730000}"/>
    <cellStyle name="Normal 3 122" xfId="29472" xr:uid="{00000000-0005-0000-0000-000020730000}"/>
    <cellStyle name="Normal 3 122 2" xfId="29473" xr:uid="{00000000-0005-0000-0000-000021730000}"/>
    <cellStyle name="Normal 3 122 3" xfId="29474" xr:uid="{00000000-0005-0000-0000-000022730000}"/>
    <cellStyle name="Normal 3 123" xfId="29475" xr:uid="{00000000-0005-0000-0000-000023730000}"/>
    <cellStyle name="Normal 3 123 2" xfId="29476" xr:uid="{00000000-0005-0000-0000-000024730000}"/>
    <cellStyle name="Normal 3 123 3" xfId="29477" xr:uid="{00000000-0005-0000-0000-000025730000}"/>
    <cellStyle name="Normal 3 124" xfId="29478" xr:uid="{00000000-0005-0000-0000-000026730000}"/>
    <cellStyle name="Normal 3 125" xfId="29479" xr:uid="{00000000-0005-0000-0000-000027730000}"/>
    <cellStyle name="Normal 3 126" xfId="29480" xr:uid="{00000000-0005-0000-0000-000028730000}"/>
    <cellStyle name="Normal 3 127" xfId="29481" xr:uid="{00000000-0005-0000-0000-000029730000}"/>
    <cellStyle name="Normal 3 128" xfId="29482" xr:uid="{00000000-0005-0000-0000-00002A730000}"/>
    <cellStyle name="Normal 3 129" xfId="29483" xr:uid="{00000000-0005-0000-0000-00002B730000}"/>
    <cellStyle name="Normal 3 13" xfId="29484" xr:uid="{00000000-0005-0000-0000-00002C730000}"/>
    <cellStyle name="Normal 3 13 2" xfId="29485" xr:uid="{00000000-0005-0000-0000-00002D730000}"/>
    <cellStyle name="Normal 3 13 3" xfId="29486" xr:uid="{00000000-0005-0000-0000-00002E730000}"/>
    <cellStyle name="Normal 3 13_Enlaces" xfId="29487" xr:uid="{00000000-0005-0000-0000-00002F730000}"/>
    <cellStyle name="Normal 3 130" xfId="29488" xr:uid="{00000000-0005-0000-0000-000030730000}"/>
    <cellStyle name="Normal 3 131" xfId="29489" xr:uid="{00000000-0005-0000-0000-000031730000}"/>
    <cellStyle name="Normal 3 131 2" xfId="29490" xr:uid="{00000000-0005-0000-0000-000032730000}"/>
    <cellStyle name="Normal 3 132" xfId="29491" xr:uid="{00000000-0005-0000-0000-000033730000}"/>
    <cellStyle name="Normal 3 132 2" xfId="29492" xr:uid="{00000000-0005-0000-0000-000034730000}"/>
    <cellStyle name="Normal 3 133" xfId="29493" xr:uid="{00000000-0005-0000-0000-000035730000}"/>
    <cellStyle name="Normal 3 133 2" xfId="29494" xr:uid="{00000000-0005-0000-0000-000036730000}"/>
    <cellStyle name="Normal 3 134" xfId="29495" xr:uid="{00000000-0005-0000-0000-000037730000}"/>
    <cellStyle name="Normal 3 134 2" xfId="29496" xr:uid="{00000000-0005-0000-0000-000038730000}"/>
    <cellStyle name="Normal 3 135" xfId="29497" xr:uid="{00000000-0005-0000-0000-000039730000}"/>
    <cellStyle name="Normal 3 135 2" xfId="29498" xr:uid="{00000000-0005-0000-0000-00003A730000}"/>
    <cellStyle name="Normal 3 136" xfId="29499" xr:uid="{00000000-0005-0000-0000-00003B730000}"/>
    <cellStyle name="Normal 3 136 2" xfId="29500" xr:uid="{00000000-0005-0000-0000-00003C730000}"/>
    <cellStyle name="Normal 3 137" xfId="29501" xr:uid="{00000000-0005-0000-0000-00003D730000}"/>
    <cellStyle name="Normal 3 137 2" xfId="29502" xr:uid="{00000000-0005-0000-0000-00003E730000}"/>
    <cellStyle name="Normal 3 138" xfId="29503" xr:uid="{00000000-0005-0000-0000-00003F730000}"/>
    <cellStyle name="Normal 3 138 2" xfId="29504" xr:uid="{00000000-0005-0000-0000-000040730000}"/>
    <cellStyle name="Normal 3 139" xfId="29505" xr:uid="{00000000-0005-0000-0000-000041730000}"/>
    <cellStyle name="Normal 3 139 2" xfId="29506" xr:uid="{00000000-0005-0000-0000-000042730000}"/>
    <cellStyle name="Normal 3 14" xfId="29507" xr:uid="{00000000-0005-0000-0000-000043730000}"/>
    <cellStyle name="Normal 3 14 2" xfId="29508" xr:uid="{00000000-0005-0000-0000-000044730000}"/>
    <cellStyle name="Normal 3 14 3" xfId="29509" xr:uid="{00000000-0005-0000-0000-000045730000}"/>
    <cellStyle name="Normal 3 14_Enlaces" xfId="29510" xr:uid="{00000000-0005-0000-0000-000046730000}"/>
    <cellStyle name="Normal 3 140" xfId="29511" xr:uid="{00000000-0005-0000-0000-000047730000}"/>
    <cellStyle name="Normal 3 140 2" xfId="29512" xr:uid="{00000000-0005-0000-0000-000048730000}"/>
    <cellStyle name="Normal 3 141" xfId="29513" xr:uid="{00000000-0005-0000-0000-000049730000}"/>
    <cellStyle name="Normal 3 141 2" xfId="29514" xr:uid="{00000000-0005-0000-0000-00004A730000}"/>
    <cellStyle name="Normal 3 142" xfId="29515" xr:uid="{00000000-0005-0000-0000-00004B730000}"/>
    <cellStyle name="Normal 3 143" xfId="29516" xr:uid="{00000000-0005-0000-0000-00004C730000}"/>
    <cellStyle name="Normal 3 143 2" xfId="29517" xr:uid="{00000000-0005-0000-0000-00004D730000}"/>
    <cellStyle name="Normal 3 144" xfId="29518" xr:uid="{00000000-0005-0000-0000-00004E730000}"/>
    <cellStyle name="Normal 3 145" xfId="29519" xr:uid="{00000000-0005-0000-0000-00004F730000}"/>
    <cellStyle name="Normal 3 146" xfId="29389" xr:uid="{00000000-0005-0000-0000-0000CD720000}"/>
    <cellStyle name="Normal 3 15" xfId="29520" xr:uid="{00000000-0005-0000-0000-000050730000}"/>
    <cellStyle name="Normal 3 15 2" xfId="29521" xr:uid="{00000000-0005-0000-0000-000051730000}"/>
    <cellStyle name="Normal 3 15 3" xfId="29522" xr:uid="{00000000-0005-0000-0000-000052730000}"/>
    <cellStyle name="Normal 3 15_Enlaces" xfId="29523" xr:uid="{00000000-0005-0000-0000-000053730000}"/>
    <cellStyle name="Normal 3 16" xfId="29524" xr:uid="{00000000-0005-0000-0000-000054730000}"/>
    <cellStyle name="Normal 3 16 2" xfId="29525" xr:uid="{00000000-0005-0000-0000-000055730000}"/>
    <cellStyle name="Normal 3 16 3" xfId="29526" xr:uid="{00000000-0005-0000-0000-000056730000}"/>
    <cellStyle name="Normal 3 16_Enlaces" xfId="29527" xr:uid="{00000000-0005-0000-0000-000057730000}"/>
    <cellStyle name="Normal 3 17" xfId="29528" xr:uid="{00000000-0005-0000-0000-000058730000}"/>
    <cellStyle name="Normal 3 17 2" xfId="29529" xr:uid="{00000000-0005-0000-0000-000059730000}"/>
    <cellStyle name="Normal 3 17 3" xfId="29530" xr:uid="{00000000-0005-0000-0000-00005A730000}"/>
    <cellStyle name="Normal 3 17_Enlaces" xfId="29531" xr:uid="{00000000-0005-0000-0000-00005B730000}"/>
    <cellStyle name="Normal 3 18" xfId="29532" xr:uid="{00000000-0005-0000-0000-00005C730000}"/>
    <cellStyle name="Normal 3 18 2" xfId="29533" xr:uid="{00000000-0005-0000-0000-00005D730000}"/>
    <cellStyle name="Normal 3 18 3" xfId="29534" xr:uid="{00000000-0005-0000-0000-00005E730000}"/>
    <cellStyle name="Normal 3 18_Enlaces" xfId="29535" xr:uid="{00000000-0005-0000-0000-00005F730000}"/>
    <cellStyle name="Normal 3 19" xfId="29536" xr:uid="{00000000-0005-0000-0000-000060730000}"/>
    <cellStyle name="Normal 3 19 2" xfId="29537" xr:uid="{00000000-0005-0000-0000-000061730000}"/>
    <cellStyle name="Normal 3 19 3" xfId="29538" xr:uid="{00000000-0005-0000-0000-000062730000}"/>
    <cellStyle name="Normal 3 19_Enlaces" xfId="29539" xr:uid="{00000000-0005-0000-0000-000063730000}"/>
    <cellStyle name="Normal 3 2" xfId="57" xr:uid="{00000000-0005-0000-0000-000039000000}"/>
    <cellStyle name="Normal 3 2 10" xfId="29541" xr:uid="{00000000-0005-0000-0000-000065730000}"/>
    <cellStyle name="Normal 3 2 10 2" xfId="29542" xr:uid="{00000000-0005-0000-0000-000066730000}"/>
    <cellStyle name="Normal 3 2 10 3" xfId="29543" xr:uid="{00000000-0005-0000-0000-000067730000}"/>
    <cellStyle name="Normal 3 2 11" xfId="29544" xr:uid="{00000000-0005-0000-0000-000068730000}"/>
    <cellStyle name="Normal 3 2 11 2" xfId="29545" xr:uid="{00000000-0005-0000-0000-000069730000}"/>
    <cellStyle name="Normal 3 2 12" xfId="29546" xr:uid="{00000000-0005-0000-0000-00006A730000}"/>
    <cellStyle name="Normal 3 2 12 2" xfId="29547" xr:uid="{00000000-0005-0000-0000-00006B730000}"/>
    <cellStyle name="Normal 3 2 13" xfId="29548" xr:uid="{00000000-0005-0000-0000-00006C730000}"/>
    <cellStyle name="Normal 3 2 13 2" xfId="29549" xr:uid="{00000000-0005-0000-0000-00006D730000}"/>
    <cellStyle name="Normal 3 2 14" xfId="29550" xr:uid="{00000000-0005-0000-0000-00006E730000}"/>
    <cellStyle name="Normal 3 2 14 2" xfId="29551" xr:uid="{00000000-0005-0000-0000-00006F730000}"/>
    <cellStyle name="Normal 3 2 15" xfId="29552" xr:uid="{00000000-0005-0000-0000-000070730000}"/>
    <cellStyle name="Normal 3 2 15 2" xfId="29553" xr:uid="{00000000-0005-0000-0000-000071730000}"/>
    <cellStyle name="Normal 3 2 16" xfId="29554" xr:uid="{00000000-0005-0000-0000-000072730000}"/>
    <cellStyle name="Normal 3 2 16 2" xfId="29555" xr:uid="{00000000-0005-0000-0000-000073730000}"/>
    <cellStyle name="Normal 3 2 17" xfId="29556" xr:uid="{00000000-0005-0000-0000-000074730000}"/>
    <cellStyle name="Normal 3 2 17 2" xfId="29557" xr:uid="{00000000-0005-0000-0000-000075730000}"/>
    <cellStyle name="Normal 3 2 18" xfId="29558" xr:uid="{00000000-0005-0000-0000-000076730000}"/>
    <cellStyle name="Normal 3 2 18 2" xfId="29559" xr:uid="{00000000-0005-0000-0000-000077730000}"/>
    <cellStyle name="Normal 3 2 19" xfId="29560" xr:uid="{00000000-0005-0000-0000-000078730000}"/>
    <cellStyle name="Normal 3 2 19 2" xfId="29561" xr:uid="{00000000-0005-0000-0000-000079730000}"/>
    <cellStyle name="Normal 3 2 2" xfId="29562" xr:uid="{00000000-0005-0000-0000-00007A730000}"/>
    <cellStyle name="Normal 3 2 2 2" xfId="29563" xr:uid="{00000000-0005-0000-0000-00007B730000}"/>
    <cellStyle name="Normal 3 2 2 2 2" xfId="29564" xr:uid="{00000000-0005-0000-0000-00007C730000}"/>
    <cellStyle name="Normal 3 2 20" xfId="29565" xr:uid="{00000000-0005-0000-0000-00007D730000}"/>
    <cellStyle name="Normal 3 2 20 2" xfId="29566" xr:uid="{00000000-0005-0000-0000-00007E730000}"/>
    <cellStyle name="Normal 3 2 21" xfId="29567" xr:uid="{00000000-0005-0000-0000-00007F730000}"/>
    <cellStyle name="Normal 3 2 21 2" xfId="29568" xr:uid="{00000000-0005-0000-0000-000080730000}"/>
    <cellStyle name="Normal 3 2 22" xfId="29569" xr:uid="{00000000-0005-0000-0000-000081730000}"/>
    <cellStyle name="Normal 3 2 22 2" xfId="29570" xr:uid="{00000000-0005-0000-0000-000082730000}"/>
    <cellStyle name="Normal 3 2 23" xfId="29571" xr:uid="{00000000-0005-0000-0000-000083730000}"/>
    <cellStyle name="Normal 3 2 23 2" xfId="29572" xr:uid="{00000000-0005-0000-0000-000084730000}"/>
    <cellStyle name="Normal 3 2 24" xfId="29573" xr:uid="{00000000-0005-0000-0000-000085730000}"/>
    <cellStyle name="Normal 3 2 24 2" xfId="29574" xr:uid="{00000000-0005-0000-0000-000086730000}"/>
    <cellStyle name="Normal 3 2 25" xfId="29575" xr:uid="{00000000-0005-0000-0000-000087730000}"/>
    <cellStyle name="Normal 3 2 25 2" xfId="29576" xr:uid="{00000000-0005-0000-0000-000088730000}"/>
    <cellStyle name="Normal 3 2 26" xfId="29577" xr:uid="{00000000-0005-0000-0000-000089730000}"/>
    <cellStyle name="Normal 3 2 27" xfId="29578" xr:uid="{00000000-0005-0000-0000-00008A730000}"/>
    <cellStyle name="Normal 3 2 28" xfId="29579" xr:uid="{00000000-0005-0000-0000-00008B730000}"/>
    <cellStyle name="Normal 3 2 29" xfId="29580" xr:uid="{00000000-0005-0000-0000-00008C730000}"/>
    <cellStyle name="Normal 3 2 3" xfId="29581" xr:uid="{00000000-0005-0000-0000-00008D730000}"/>
    <cellStyle name="Normal 3 2 3 2" xfId="29582" xr:uid="{00000000-0005-0000-0000-00008E730000}"/>
    <cellStyle name="Normal 3 2 3 3" xfId="29583" xr:uid="{00000000-0005-0000-0000-00008F730000}"/>
    <cellStyle name="Normal 3 2 30" xfId="29584" xr:uid="{00000000-0005-0000-0000-000090730000}"/>
    <cellStyle name="Normal 3 2 31" xfId="29585" xr:uid="{00000000-0005-0000-0000-000091730000}"/>
    <cellStyle name="Normal 3 2 32" xfId="29586" xr:uid="{00000000-0005-0000-0000-000092730000}"/>
    <cellStyle name="Normal 3 2 33" xfId="29587" xr:uid="{00000000-0005-0000-0000-000093730000}"/>
    <cellStyle name="Normal 3 2 34" xfId="29588" xr:uid="{00000000-0005-0000-0000-000094730000}"/>
    <cellStyle name="Normal 3 2 35" xfId="29589" xr:uid="{00000000-0005-0000-0000-000095730000}"/>
    <cellStyle name="Normal 3 2 36" xfId="29590" xr:uid="{00000000-0005-0000-0000-000096730000}"/>
    <cellStyle name="Normal 3 2 37" xfId="29591" xr:uid="{00000000-0005-0000-0000-000097730000}"/>
    <cellStyle name="Normal 3 2 38" xfId="29592" xr:uid="{00000000-0005-0000-0000-000098730000}"/>
    <cellStyle name="Normal 3 2 39" xfId="29593" xr:uid="{00000000-0005-0000-0000-000099730000}"/>
    <cellStyle name="Normal 3 2 4" xfId="29594" xr:uid="{00000000-0005-0000-0000-00009A730000}"/>
    <cellStyle name="Normal 3 2 4 2" xfId="29595" xr:uid="{00000000-0005-0000-0000-00009B730000}"/>
    <cellStyle name="Normal 3 2 4 3" xfId="29596" xr:uid="{00000000-0005-0000-0000-00009C730000}"/>
    <cellStyle name="Normal 3 2 40" xfId="29597" xr:uid="{00000000-0005-0000-0000-00009D730000}"/>
    <cellStyle name="Normal 3 2 41" xfId="29598" xr:uid="{00000000-0005-0000-0000-00009E730000}"/>
    <cellStyle name="Normal 3 2 42" xfId="29599" xr:uid="{00000000-0005-0000-0000-00009F730000}"/>
    <cellStyle name="Normal 3 2 43" xfId="29600" xr:uid="{00000000-0005-0000-0000-0000A0730000}"/>
    <cellStyle name="Normal 3 2 44" xfId="29601" xr:uid="{00000000-0005-0000-0000-0000A1730000}"/>
    <cellStyle name="Normal 3 2 45" xfId="29602" xr:uid="{00000000-0005-0000-0000-0000A2730000}"/>
    <cellStyle name="Normal 3 2 46" xfId="29603" xr:uid="{00000000-0005-0000-0000-0000A3730000}"/>
    <cellStyle name="Normal 3 2 47" xfId="29604" xr:uid="{00000000-0005-0000-0000-0000A4730000}"/>
    <cellStyle name="Normal 3 2 48" xfId="29605" xr:uid="{00000000-0005-0000-0000-0000A5730000}"/>
    <cellStyle name="Normal 3 2 49" xfId="29606" xr:uid="{00000000-0005-0000-0000-0000A6730000}"/>
    <cellStyle name="Normal 3 2 5" xfId="29607" xr:uid="{00000000-0005-0000-0000-0000A7730000}"/>
    <cellStyle name="Normal 3 2 5 2" xfId="29608" xr:uid="{00000000-0005-0000-0000-0000A8730000}"/>
    <cellStyle name="Normal 3 2 5 3" xfId="29609" xr:uid="{00000000-0005-0000-0000-0000A9730000}"/>
    <cellStyle name="Normal 3 2 50" xfId="29610" xr:uid="{00000000-0005-0000-0000-0000AA730000}"/>
    <cellStyle name="Normal 3 2 51" xfId="29611" xr:uid="{00000000-0005-0000-0000-0000AB730000}"/>
    <cellStyle name="Normal 3 2 52" xfId="29612" xr:uid="{00000000-0005-0000-0000-0000AC730000}"/>
    <cellStyle name="Normal 3 2 53" xfId="29613" xr:uid="{00000000-0005-0000-0000-0000AD730000}"/>
    <cellStyle name="Normal 3 2 54" xfId="29614" xr:uid="{00000000-0005-0000-0000-0000AE730000}"/>
    <cellStyle name="Normal 3 2 55" xfId="29615" xr:uid="{00000000-0005-0000-0000-0000AF730000}"/>
    <cellStyle name="Normal 3 2 56" xfId="29616" xr:uid="{00000000-0005-0000-0000-0000B0730000}"/>
    <cellStyle name="Normal 3 2 57" xfId="29617" xr:uid="{00000000-0005-0000-0000-0000B1730000}"/>
    <cellStyle name="Normal 3 2 58" xfId="29618" xr:uid="{00000000-0005-0000-0000-0000B2730000}"/>
    <cellStyle name="Normal 3 2 59" xfId="29619" xr:uid="{00000000-0005-0000-0000-0000B3730000}"/>
    <cellStyle name="Normal 3 2 6" xfId="29620" xr:uid="{00000000-0005-0000-0000-0000B4730000}"/>
    <cellStyle name="Normal 3 2 6 2" xfId="29621" xr:uid="{00000000-0005-0000-0000-0000B5730000}"/>
    <cellStyle name="Normal 3 2 6 3" xfId="29622" xr:uid="{00000000-0005-0000-0000-0000B6730000}"/>
    <cellStyle name="Normal 3 2 60" xfId="29623" xr:uid="{00000000-0005-0000-0000-0000B7730000}"/>
    <cellStyle name="Normal 3 2 61" xfId="29624" xr:uid="{00000000-0005-0000-0000-0000B8730000}"/>
    <cellStyle name="Normal 3 2 62" xfId="29625" xr:uid="{00000000-0005-0000-0000-0000B9730000}"/>
    <cellStyle name="Normal 3 2 63" xfId="29626" xr:uid="{00000000-0005-0000-0000-0000BA730000}"/>
    <cellStyle name="Normal 3 2 64" xfId="29627" xr:uid="{00000000-0005-0000-0000-0000BB730000}"/>
    <cellStyle name="Normal 3 2 65" xfId="29628" xr:uid="{00000000-0005-0000-0000-0000BC730000}"/>
    <cellStyle name="Normal 3 2 66" xfId="29629" xr:uid="{00000000-0005-0000-0000-0000BD730000}"/>
    <cellStyle name="Normal 3 2 67" xfId="29630" xr:uid="{00000000-0005-0000-0000-0000BE730000}"/>
    <cellStyle name="Normal 3 2 68" xfId="29631" xr:uid="{00000000-0005-0000-0000-0000BF730000}"/>
    <cellStyle name="Normal 3 2 69" xfId="29632" xr:uid="{00000000-0005-0000-0000-0000C0730000}"/>
    <cellStyle name="Normal 3 2 7" xfId="29633" xr:uid="{00000000-0005-0000-0000-0000C1730000}"/>
    <cellStyle name="Normal 3 2 7 2" xfId="29634" xr:uid="{00000000-0005-0000-0000-0000C2730000}"/>
    <cellStyle name="Normal 3 2 7 3" xfId="29635" xr:uid="{00000000-0005-0000-0000-0000C3730000}"/>
    <cellStyle name="Normal 3 2 70" xfId="29636" xr:uid="{00000000-0005-0000-0000-0000C4730000}"/>
    <cellStyle name="Normal 3 2 71" xfId="29637" xr:uid="{00000000-0005-0000-0000-0000C5730000}"/>
    <cellStyle name="Normal 3 2 72" xfId="29638" xr:uid="{00000000-0005-0000-0000-0000C6730000}"/>
    <cellStyle name="Normal 3 2 73" xfId="29639" xr:uid="{00000000-0005-0000-0000-0000C7730000}"/>
    <cellStyle name="Normal 3 2 74" xfId="29640" xr:uid="{00000000-0005-0000-0000-0000C8730000}"/>
    <cellStyle name="Normal 3 2 75" xfId="29641" xr:uid="{00000000-0005-0000-0000-0000C9730000}"/>
    <cellStyle name="Normal 3 2 76" xfId="29642" xr:uid="{00000000-0005-0000-0000-0000CA730000}"/>
    <cellStyle name="Normal 3 2 77" xfId="29643" xr:uid="{00000000-0005-0000-0000-0000CB730000}"/>
    <cellStyle name="Normal 3 2 78" xfId="29644" xr:uid="{00000000-0005-0000-0000-0000CC730000}"/>
    <cellStyle name="Normal 3 2 79" xfId="29645" xr:uid="{00000000-0005-0000-0000-0000CD730000}"/>
    <cellStyle name="Normal 3 2 8" xfId="29646" xr:uid="{00000000-0005-0000-0000-0000CE730000}"/>
    <cellStyle name="Normal 3 2 8 2" xfId="29647" xr:uid="{00000000-0005-0000-0000-0000CF730000}"/>
    <cellStyle name="Normal 3 2 8 3" xfId="29648" xr:uid="{00000000-0005-0000-0000-0000D0730000}"/>
    <cellStyle name="Normal 3 2 80" xfId="29649" xr:uid="{00000000-0005-0000-0000-0000D1730000}"/>
    <cellStyle name="Normal 3 2 81" xfId="29650" xr:uid="{00000000-0005-0000-0000-0000D2730000}"/>
    <cellStyle name="Normal 3 2 82" xfId="29651" xr:uid="{00000000-0005-0000-0000-0000D3730000}"/>
    <cellStyle name="Normal 3 2 83" xfId="29652" xr:uid="{00000000-0005-0000-0000-0000D4730000}"/>
    <cellStyle name="Normal 3 2 84" xfId="29653" xr:uid="{00000000-0005-0000-0000-0000D5730000}"/>
    <cellStyle name="Normal 3 2 85" xfId="29654" xr:uid="{00000000-0005-0000-0000-0000D6730000}"/>
    <cellStyle name="Normal 3 2 86" xfId="29655" xr:uid="{00000000-0005-0000-0000-0000D7730000}"/>
    <cellStyle name="Normal 3 2 87" xfId="29656" xr:uid="{00000000-0005-0000-0000-0000D8730000}"/>
    <cellStyle name="Normal 3 2 88" xfId="29657" xr:uid="{00000000-0005-0000-0000-0000D9730000}"/>
    <cellStyle name="Normal 3 2 89" xfId="29658" xr:uid="{00000000-0005-0000-0000-0000DA730000}"/>
    <cellStyle name="Normal 3 2 9" xfId="29659" xr:uid="{00000000-0005-0000-0000-0000DB730000}"/>
    <cellStyle name="Normal 3 2 9 2" xfId="29660" xr:uid="{00000000-0005-0000-0000-0000DC730000}"/>
    <cellStyle name="Normal 3 2 9 3" xfId="29661" xr:uid="{00000000-0005-0000-0000-0000DD730000}"/>
    <cellStyle name="Normal 3 2 90" xfId="29662" xr:uid="{00000000-0005-0000-0000-0000DE730000}"/>
    <cellStyle name="Normal 3 2 91" xfId="29663" xr:uid="{00000000-0005-0000-0000-0000DF730000}"/>
    <cellStyle name="Normal 3 2 92" xfId="29664" xr:uid="{00000000-0005-0000-0000-0000E0730000}"/>
    <cellStyle name="Normal 3 2 93" xfId="29665" xr:uid="{00000000-0005-0000-0000-0000E1730000}"/>
    <cellStyle name="Normal 3 2 94" xfId="29666" xr:uid="{00000000-0005-0000-0000-0000E2730000}"/>
    <cellStyle name="Normal 3 2 95" xfId="29540" xr:uid="{00000000-0005-0000-0000-000064730000}"/>
    <cellStyle name="Normal 3 2_Xa Parametrización de Usuarios" xfId="29667" xr:uid="{00000000-0005-0000-0000-0000E3730000}"/>
    <cellStyle name="Normal 3 20" xfId="29668" xr:uid="{00000000-0005-0000-0000-0000E4730000}"/>
    <cellStyle name="Normal 3 20 2" xfId="29669" xr:uid="{00000000-0005-0000-0000-0000E5730000}"/>
    <cellStyle name="Normal 3 20 3" xfId="29670" xr:uid="{00000000-0005-0000-0000-0000E6730000}"/>
    <cellStyle name="Normal 3 20_Enlaces" xfId="29671" xr:uid="{00000000-0005-0000-0000-0000E7730000}"/>
    <cellStyle name="Normal 3 21" xfId="29672" xr:uid="{00000000-0005-0000-0000-0000E8730000}"/>
    <cellStyle name="Normal 3 21 2" xfId="29673" xr:uid="{00000000-0005-0000-0000-0000E9730000}"/>
    <cellStyle name="Normal 3 21_Enlaces" xfId="29674" xr:uid="{00000000-0005-0000-0000-0000EA730000}"/>
    <cellStyle name="Normal 3 22" xfId="29675" xr:uid="{00000000-0005-0000-0000-0000EB730000}"/>
    <cellStyle name="Normal 3 22 2" xfId="29676" xr:uid="{00000000-0005-0000-0000-0000EC730000}"/>
    <cellStyle name="Normal 3 22_Enlaces" xfId="29677" xr:uid="{00000000-0005-0000-0000-0000ED730000}"/>
    <cellStyle name="Normal 3 23" xfId="29678" xr:uid="{00000000-0005-0000-0000-0000EE730000}"/>
    <cellStyle name="Normal 3 23 2" xfId="29679" xr:uid="{00000000-0005-0000-0000-0000EF730000}"/>
    <cellStyle name="Normal 3 23_Enlaces" xfId="29680" xr:uid="{00000000-0005-0000-0000-0000F0730000}"/>
    <cellStyle name="Normal 3 24" xfId="29681" xr:uid="{00000000-0005-0000-0000-0000F1730000}"/>
    <cellStyle name="Normal 3 24 2" xfId="29682" xr:uid="{00000000-0005-0000-0000-0000F2730000}"/>
    <cellStyle name="Normal 3 24_Enlaces" xfId="29683" xr:uid="{00000000-0005-0000-0000-0000F3730000}"/>
    <cellStyle name="Normal 3 25" xfId="29684" xr:uid="{00000000-0005-0000-0000-0000F4730000}"/>
    <cellStyle name="Normal 3 25 2" xfId="29685" xr:uid="{00000000-0005-0000-0000-0000F5730000}"/>
    <cellStyle name="Normal 3 25_Enlaces" xfId="29686" xr:uid="{00000000-0005-0000-0000-0000F6730000}"/>
    <cellStyle name="Normal 3 26" xfId="29687" xr:uid="{00000000-0005-0000-0000-0000F7730000}"/>
    <cellStyle name="Normal 3 26 2" xfId="29688" xr:uid="{00000000-0005-0000-0000-0000F8730000}"/>
    <cellStyle name="Normal 3 26_Enlaces" xfId="29689" xr:uid="{00000000-0005-0000-0000-0000F9730000}"/>
    <cellStyle name="Normal 3 27" xfId="29690" xr:uid="{00000000-0005-0000-0000-0000FA730000}"/>
    <cellStyle name="Normal 3 27 2" xfId="29691" xr:uid="{00000000-0005-0000-0000-0000FB730000}"/>
    <cellStyle name="Normal 3 27_Enlaces" xfId="29692" xr:uid="{00000000-0005-0000-0000-0000FC730000}"/>
    <cellStyle name="Normal 3 28" xfId="29693" xr:uid="{00000000-0005-0000-0000-0000FD730000}"/>
    <cellStyle name="Normal 3 29" xfId="29694" xr:uid="{00000000-0005-0000-0000-0000FE730000}"/>
    <cellStyle name="Normal 3 3" xfId="58" xr:uid="{00000000-0005-0000-0000-00003A000000}"/>
    <cellStyle name="Normal 3 3 10" xfId="29696" xr:uid="{00000000-0005-0000-0000-000000740000}"/>
    <cellStyle name="Normal 3 3 11" xfId="29697" xr:uid="{00000000-0005-0000-0000-000001740000}"/>
    <cellStyle name="Normal 3 3 12" xfId="29698" xr:uid="{00000000-0005-0000-0000-000002740000}"/>
    <cellStyle name="Normal 3 3 13" xfId="29699" xr:uid="{00000000-0005-0000-0000-000003740000}"/>
    <cellStyle name="Normal 3 3 14" xfId="29700" xr:uid="{00000000-0005-0000-0000-000004740000}"/>
    <cellStyle name="Normal 3 3 15" xfId="29701" xr:uid="{00000000-0005-0000-0000-000005740000}"/>
    <cellStyle name="Normal 3 3 16" xfId="29702" xr:uid="{00000000-0005-0000-0000-000006740000}"/>
    <cellStyle name="Normal 3 3 17" xfId="29703" xr:uid="{00000000-0005-0000-0000-000007740000}"/>
    <cellStyle name="Normal 3 3 18" xfId="29704" xr:uid="{00000000-0005-0000-0000-000008740000}"/>
    <cellStyle name="Normal 3 3 19" xfId="29705" xr:uid="{00000000-0005-0000-0000-000009740000}"/>
    <cellStyle name="Normal 3 3 2" xfId="29706" xr:uid="{00000000-0005-0000-0000-00000A740000}"/>
    <cellStyle name="Normal 3 3 2 2" xfId="29707" xr:uid="{00000000-0005-0000-0000-00000B740000}"/>
    <cellStyle name="Normal 3 3 2 3" xfId="29708" xr:uid="{00000000-0005-0000-0000-00000C740000}"/>
    <cellStyle name="Normal 3 3 20" xfId="29709" xr:uid="{00000000-0005-0000-0000-00000D740000}"/>
    <cellStyle name="Normal 3 3 21" xfId="29710" xr:uid="{00000000-0005-0000-0000-00000E740000}"/>
    <cellStyle name="Normal 3 3 22" xfId="29711" xr:uid="{00000000-0005-0000-0000-00000F740000}"/>
    <cellStyle name="Normal 3 3 23" xfId="29712" xr:uid="{00000000-0005-0000-0000-000010740000}"/>
    <cellStyle name="Normal 3 3 24" xfId="29713" xr:uid="{00000000-0005-0000-0000-000011740000}"/>
    <cellStyle name="Normal 3 3 25" xfId="29714" xr:uid="{00000000-0005-0000-0000-000012740000}"/>
    <cellStyle name="Normal 3 3 26" xfId="29715" xr:uid="{00000000-0005-0000-0000-000013740000}"/>
    <cellStyle name="Normal 3 3 27" xfId="29716" xr:uid="{00000000-0005-0000-0000-000014740000}"/>
    <cellStyle name="Normal 3 3 28" xfId="29717" xr:uid="{00000000-0005-0000-0000-000015740000}"/>
    <cellStyle name="Normal 3 3 29" xfId="29718" xr:uid="{00000000-0005-0000-0000-000016740000}"/>
    <cellStyle name="Normal 3 3 3" xfId="29719" xr:uid="{00000000-0005-0000-0000-000017740000}"/>
    <cellStyle name="Normal 3 3 30" xfId="29720" xr:uid="{00000000-0005-0000-0000-000018740000}"/>
    <cellStyle name="Normal 3 3 31" xfId="29695" xr:uid="{00000000-0005-0000-0000-0000FF730000}"/>
    <cellStyle name="Normal 3 3 4" xfId="29721" xr:uid="{00000000-0005-0000-0000-000019740000}"/>
    <cellStyle name="Normal 3 3 5" xfId="29722" xr:uid="{00000000-0005-0000-0000-00001A740000}"/>
    <cellStyle name="Normal 3 3 6" xfId="29723" xr:uid="{00000000-0005-0000-0000-00001B740000}"/>
    <cellStyle name="Normal 3 3 7" xfId="29724" xr:uid="{00000000-0005-0000-0000-00001C740000}"/>
    <cellStyle name="Normal 3 3 8" xfId="29725" xr:uid="{00000000-0005-0000-0000-00001D740000}"/>
    <cellStyle name="Normal 3 3 9" xfId="29726" xr:uid="{00000000-0005-0000-0000-00001E740000}"/>
    <cellStyle name="Normal 3 3_Enlaces" xfId="29727" xr:uid="{00000000-0005-0000-0000-00001F740000}"/>
    <cellStyle name="Normal 3 30" xfId="29728" xr:uid="{00000000-0005-0000-0000-000020740000}"/>
    <cellStyle name="Normal 3 31" xfId="29729" xr:uid="{00000000-0005-0000-0000-000021740000}"/>
    <cellStyle name="Normal 3 32" xfId="29730" xr:uid="{00000000-0005-0000-0000-000022740000}"/>
    <cellStyle name="Normal 3 33" xfId="29731" xr:uid="{00000000-0005-0000-0000-000023740000}"/>
    <cellStyle name="Normal 3 34" xfId="29732" xr:uid="{00000000-0005-0000-0000-000024740000}"/>
    <cellStyle name="Normal 3 35" xfId="29733" xr:uid="{00000000-0005-0000-0000-000025740000}"/>
    <cellStyle name="Normal 3 36" xfId="29734" xr:uid="{00000000-0005-0000-0000-000026740000}"/>
    <cellStyle name="Normal 3 37" xfId="29735" xr:uid="{00000000-0005-0000-0000-000027740000}"/>
    <cellStyle name="Normal 3 38" xfId="29736" xr:uid="{00000000-0005-0000-0000-000028740000}"/>
    <cellStyle name="Normal 3 39" xfId="29737" xr:uid="{00000000-0005-0000-0000-000029740000}"/>
    <cellStyle name="Normal 3 4" xfId="39" xr:uid="{00000000-0005-0000-0000-000027000000}"/>
    <cellStyle name="Normal 3 4 10" xfId="29739" xr:uid="{00000000-0005-0000-0000-00002B740000}"/>
    <cellStyle name="Normal 3 4 11" xfId="29740" xr:uid="{00000000-0005-0000-0000-00002C740000}"/>
    <cellStyle name="Normal 3 4 12" xfId="29741" xr:uid="{00000000-0005-0000-0000-00002D740000}"/>
    <cellStyle name="Normal 3 4 13" xfId="29742" xr:uid="{00000000-0005-0000-0000-00002E740000}"/>
    <cellStyle name="Normal 3 4 14" xfId="29743" xr:uid="{00000000-0005-0000-0000-00002F740000}"/>
    <cellStyle name="Normal 3 4 15" xfId="29744" xr:uid="{00000000-0005-0000-0000-000030740000}"/>
    <cellStyle name="Normal 3 4 16" xfId="29745" xr:uid="{00000000-0005-0000-0000-000031740000}"/>
    <cellStyle name="Normal 3 4 17" xfId="29746" xr:uid="{00000000-0005-0000-0000-000032740000}"/>
    <cellStyle name="Normal 3 4 18" xfId="29747" xr:uid="{00000000-0005-0000-0000-000033740000}"/>
    <cellStyle name="Normal 3 4 19" xfId="29748" xr:uid="{00000000-0005-0000-0000-000034740000}"/>
    <cellStyle name="Normal 3 4 2" xfId="29749" xr:uid="{00000000-0005-0000-0000-000035740000}"/>
    <cellStyle name="Normal 3 4 2 2" xfId="29750" xr:uid="{00000000-0005-0000-0000-000036740000}"/>
    <cellStyle name="Normal 3 4 20" xfId="29751" xr:uid="{00000000-0005-0000-0000-000037740000}"/>
    <cellStyle name="Normal 3 4 21" xfId="29752" xr:uid="{00000000-0005-0000-0000-000038740000}"/>
    <cellStyle name="Normal 3 4 22" xfId="29753" xr:uid="{00000000-0005-0000-0000-000039740000}"/>
    <cellStyle name="Normal 3 4 23" xfId="29754" xr:uid="{00000000-0005-0000-0000-00003A740000}"/>
    <cellStyle name="Normal 3 4 24" xfId="29755" xr:uid="{00000000-0005-0000-0000-00003B740000}"/>
    <cellStyle name="Normal 3 4 24 2" xfId="29756" xr:uid="{00000000-0005-0000-0000-00003C740000}"/>
    <cellStyle name="Normal 3 4 25" xfId="29738" xr:uid="{00000000-0005-0000-0000-00002A740000}"/>
    <cellStyle name="Normal 3 4 3" xfId="29757" xr:uid="{00000000-0005-0000-0000-00003D740000}"/>
    <cellStyle name="Normal 3 4 4" xfId="29758" xr:uid="{00000000-0005-0000-0000-00003E740000}"/>
    <cellStyle name="Normal 3 4 5" xfId="29759" xr:uid="{00000000-0005-0000-0000-00003F740000}"/>
    <cellStyle name="Normal 3 4 6" xfId="29760" xr:uid="{00000000-0005-0000-0000-000040740000}"/>
    <cellStyle name="Normal 3 4 7" xfId="29761" xr:uid="{00000000-0005-0000-0000-000041740000}"/>
    <cellStyle name="Normal 3 4 8" xfId="29762" xr:uid="{00000000-0005-0000-0000-000042740000}"/>
    <cellStyle name="Normal 3 4 9" xfId="29763" xr:uid="{00000000-0005-0000-0000-000043740000}"/>
    <cellStyle name="Normal 3 4_Enlaces" xfId="29764" xr:uid="{00000000-0005-0000-0000-000044740000}"/>
    <cellStyle name="Normal 3 40" xfId="29765" xr:uid="{00000000-0005-0000-0000-000045740000}"/>
    <cellStyle name="Normal 3 41" xfId="29766" xr:uid="{00000000-0005-0000-0000-000046740000}"/>
    <cellStyle name="Normal 3 42" xfId="29767" xr:uid="{00000000-0005-0000-0000-000047740000}"/>
    <cellStyle name="Normal 3 43" xfId="29768" xr:uid="{00000000-0005-0000-0000-000048740000}"/>
    <cellStyle name="Normal 3 44" xfId="29769" xr:uid="{00000000-0005-0000-0000-000049740000}"/>
    <cellStyle name="Normal 3 45" xfId="29770" xr:uid="{00000000-0005-0000-0000-00004A740000}"/>
    <cellStyle name="Normal 3 46" xfId="29771" xr:uid="{00000000-0005-0000-0000-00004B740000}"/>
    <cellStyle name="Normal 3 47" xfId="29772" xr:uid="{00000000-0005-0000-0000-00004C740000}"/>
    <cellStyle name="Normal 3 48" xfId="29773" xr:uid="{00000000-0005-0000-0000-00004D740000}"/>
    <cellStyle name="Normal 3 49" xfId="29774" xr:uid="{00000000-0005-0000-0000-00004E740000}"/>
    <cellStyle name="Normal 3 5" xfId="29775" xr:uid="{00000000-0005-0000-0000-00004F740000}"/>
    <cellStyle name="Normal 3 5 2" xfId="29776" xr:uid="{00000000-0005-0000-0000-000050740000}"/>
    <cellStyle name="Normal 3 5 3" xfId="29777" xr:uid="{00000000-0005-0000-0000-000051740000}"/>
    <cellStyle name="Normal 3 5 4" xfId="29778" xr:uid="{00000000-0005-0000-0000-000052740000}"/>
    <cellStyle name="Normal 3 5_Enlaces" xfId="29779" xr:uid="{00000000-0005-0000-0000-000053740000}"/>
    <cellStyle name="Normal 3 50" xfId="29780" xr:uid="{00000000-0005-0000-0000-000054740000}"/>
    <cellStyle name="Normal 3 51" xfId="29781" xr:uid="{00000000-0005-0000-0000-000055740000}"/>
    <cellStyle name="Normal 3 52" xfId="29782" xr:uid="{00000000-0005-0000-0000-000056740000}"/>
    <cellStyle name="Normal 3 53" xfId="29783" xr:uid="{00000000-0005-0000-0000-000057740000}"/>
    <cellStyle name="Normal 3 54" xfId="29784" xr:uid="{00000000-0005-0000-0000-000058740000}"/>
    <cellStyle name="Normal 3 55" xfId="29785" xr:uid="{00000000-0005-0000-0000-000059740000}"/>
    <cellStyle name="Normal 3 56" xfId="29786" xr:uid="{00000000-0005-0000-0000-00005A740000}"/>
    <cellStyle name="Normal 3 57" xfId="29787" xr:uid="{00000000-0005-0000-0000-00005B740000}"/>
    <cellStyle name="Normal 3 58" xfId="29788" xr:uid="{00000000-0005-0000-0000-00005C740000}"/>
    <cellStyle name="Normal 3 59" xfId="29789" xr:uid="{00000000-0005-0000-0000-00005D740000}"/>
    <cellStyle name="Normal 3 6" xfId="29790" xr:uid="{00000000-0005-0000-0000-00005E740000}"/>
    <cellStyle name="Normal 3 6 2" xfId="29791" xr:uid="{00000000-0005-0000-0000-00005F740000}"/>
    <cellStyle name="Normal 3 6 3" xfId="29792" xr:uid="{00000000-0005-0000-0000-000060740000}"/>
    <cellStyle name="Normal 3 6 4" xfId="29793" xr:uid="{00000000-0005-0000-0000-000061740000}"/>
    <cellStyle name="Normal 3 6_Enlaces" xfId="29794" xr:uid="{00000000-0005-0000-0000-000062740000}"/>
    <cellStyle name="Normal 3 60" xfId="29795" xr:uid="{00000000-0005-0000-0000-000063740000}"/>
    <cellStyle name="Normal 3 61" xfId="29796" xr:uid="{00000000-0005-0000-0000-000064740000}"/>
    <cellStyle name="Normal 3 62" xfId="29797" xr:uid="{00000000-0005-0000-0000-000065740000}"/>
    <cellStyle name="Normal 3 63" xfId="29798" xr:uid="{00000000-0005-0000-0000-000066740000}"/>
    <cellStyle name="Normal 3 64" xfId="29799" xr:uid="{00000000-0005-0000-0000-000067740000}"/>
    <cellStyle name="Normal 3 65" xfId="29800" xr:uid="{00000000-0005-0000-0000-000068740000}"/>
    <cellStyle name="Normal 3 66" xfId="29801" xr:uid="{00000000-0005-0000-0000-000069740000}"/>
    <cellStyle name="Normal 3 67" xfId="29802" xr:uid="{00000000-0005-0000-0000-00006A740000}"/>
    <cellStyle name="Normal 3 68" xfId="29803" xr:uid="{00000000-0005-0000-0000-00006B740000}"/>
    <cellStyle name="Normal 3 69" xfId="29804" xr:uid="{00000000-0005-0000-0000-00006C740000}"/>
    <cellStyle name="Normal 3 7" xfId="29805" xr:uid="{00000000-0005-0000-0000-00006D740000}"/>
    <cellStyle name="Normal 3 7 2" xfId="29806" xr:uid="{00000000-0005-0000-0000-00006E740000}"/>
    <cellStyle name="Normal 3 7 3" xfId="29807" xr:uid="{00000000-0005-0000-0000-00006F740000}"/>
    <cellStyle name="Normal 3 7 4" xfId="29808" xr:uid="{00000000-0005-0000-0000-000070740000}"/>
    <cellStyle name="Normal 3 7_Enlaces" xfId="29809" xr:uid="{00000000-0005-0000-0000-000071740000}"/>
    <cellStyle name="Normal 3 70" xfId="29810" xr:uid="{00000000-0005-0000-0000-000072740000}"/>
    <cellStyle name="Normal 3 71" xfId="29811" xr:uid="{00000000-0005-0000-0000-000073740000}"/>
    <cellStyle name="Normal 3 72" xfId="29812" xr:uid="{00000000-0005-0000-0000-000074740000}"/>
    <cellStyle name="Normal 3 73" xfId="29813" xr:uid="{00000000-0005-0000-0000-000075740000}"/>
    <cellStyle name="Normal 3 74" xfId="29814" xr:uid="{00000000-0005-0000-0000-000076740000}"/>
    <cellStyle name="Normal 3 75" xfId="29815" xr:uid="{00000000-0005-0000-0000-000077740000}"/>
    <cellStyle name="Normal 3 76" xfId="29816" xr:uid="{00000000-0005-0000-0000-000078740000}"/>
    <cellStyle name="Normal 3 77" xfId="29817" xr:uid="{00000000-0005-0000-0000-000079740000}"/>
    <cellStyle name="Normal 3 78" xfId="29818" xr:uid="{00000000-0005-0000-0000-00007A740000}"/>
    <cellStyle name="Normal 3 79" xfId="29819" xr:uid="{00000000-0005-0000-0000-00007B740000}"/>
    <cellStyle name="Normal 3 8" xfId="29820" xr:uid="{00000000-0005-0000-0000-00007C740000}"/>
    <cellStyle name="Normal 3 8 2" xfId="29821" xr:uid="{00000000-0005-0000-0000-00007D740000}"/>
    <cellStyle name="Normal 3 8 3" xfId="29822" xr:uid="{00000000-0005-0000-0000-00007E740000}"/>
    <cellStyle name="Normal 3 8 4" xfId="29823" xr:uid="{00000000-0005-0000-0000-00007F740000}"/>
    <cellStyle name="Normal 3 8_Enlaces" xfId="29824" xr:uid="{00000000-0005-0000-0000-000080740000}"/>
    <cellStyle name="Normal 3 80" xfId="29825" xr:uid="{00000000-0005-0000-0000-000081740000}"/>
    <cellStyle name="Normal 3 81" xfId="29826" xr:uid="{00000000-0005-0000-0000-000082740000}"/>
    <cellStyle name="Normal 3 82" xfId="29827" xr:uid="{00000000-0005-0000-0000-000083740000}"/>
    <cellStyle name="Normal 3 83" xfId="29828" xr:uid="{00000000-0005-0000-0000-000084740000}"/>
    <cellStyle name="Normal 3 84" xfId="29829" xr:uid="{00000000-0005-0000-0000-000085740000}"/>
    <cellStyle name="Normal 3 85" xfId="29830" xr:uid="{00000000-0005-0000-0000-000086740000}"/>
    <cellStyle name="Normal 3 86" xfId="29831" xr:uid="{00000000-0005-0000-0000-000087740000}"/>
    <cellStyle name="Normal 3 87" xfId="29832" xr:uid="{00000000-0005-0000-0000-000088740000}"/>
    <cellStyle name="Normal 3 88" xfId="29833" xr:uid="{00000000-0005-0000-0000-000089740000}"/>
    <cellStyle name="Normal 3 89" xfId="29834" xr:uid="{00000000-0005-0000-0000-00008A740000}"/>
    <cellStyle name="Normal 3 9" xfId="29835" xr:uid="{00000000-0005-0000-0000-00008B740000}"/>
    <cellStyle name="Normal 3 9 2" xfId="29836" xr:uid="{00000000-0005-0000-0000-00008C740000}"/>
    <cellStyle name="Normal 3 9 3" xfId="29837" xr:uid="{00000000-0005-0000-0000-00008D740000}"/>
    <cellStyle name="Normal 3 9 4" xfId="29838" xr:uid="{00000000-0005-0000-0000-00008E740000}"/>
    <cellStyle name="Normal 3 9_Enlaces" xfId="29839" xr:uid="{00000000-0005-0000-0000-00008F740000}"/>
    <cellStyle name="Normal 3 90" xfId="29840" xr:uid="{00000000-0005-0000-0000-000090740000}"/>
    <cellStyle name="Normal 3 91" xfId="29841" xr:uid="{00000000-0005-0000-0000-000091740000}"/>
    <cellStyle name="Normal 3 92" xfId="29842" xr:uid="{00000000-0005-0000-0000-000092740000}"/>
    <cellStyle name="Normal 3 93" xfId="29843" xr:uid="{00000000-0005-0000-0000-000093740000}"/>
    <cellStyle name="Normal 3 94" xfId="29844" xr:uid="{00000000-0005-0000-0000-000094740000}"/>
    <cellStyle name="Normal 3 95" xfId="29845" xr:uid="{00000000-0005-0000-0000-000095740000}"/>
    <cellStyle name="Normal 3 96" xfId="29846" xr:uid="{00000000-0005-0000-0000-000096740000}"/>
    <cellStyle name="Normal 3 97" xfId="29847" xr:uid="{00000000-0005-0000-0000-000097740000}"/>
    <cellStyle name="Normal 3 98" xfId="29848" xr:uid="{00000000-0005-0000-0000-000098740000}"/>
    <cellStyle name="Normal 3 98 2" xfId="29849" xr:uid="{00000000-0005-0000-0000-000099740000}"/>
    <cellStyle name="Normal 3 98 3" xfId="29850" xr:uid="{00000000-0005-0000-0000-00009A740000}"/>
    <cellStyle name="Normal 3 98 4" xfId="29851" xr:uid="{00000000-0005-0000-0000-00009B740000}"/>
    <cellStyle name="Normal 3 98 5" xfId="29852" xr:uid="{00000000-0005-0000-0000-00009C740000}"/>
    <cellStyle name="Normal 3 98 6" xfId="29853" xr:uid="{00000000-0005-0000-0000-00009D740000}"/>
    <cellStyle name="Normal 3 99" xfId="29854" xr:uid="{00000000-0005-0000-0000-00009E740000}"/>
    <cellStyle name="Normal 3 99 2" xfId="29855" xr:uid="{00000000-0005-0000-0000-00009F740000}"/>
    <cellStyle name="Normal 3 99 3" xfId="29856" xr:uid="{00000000-0005-0000-0000-0000A0740000}"/>
    <cellStyle name="Normal 3 99 4" xfId="29857" xr:uid="{00000000-0005-0000-0000-0000A1740000}"/>
    <cellStyle name="Normal 3 99 5" xfId="29858" xr:uid="{00000000-0005-0000-0000-0000A2740000}"/>
    <cellStyle name="Normal 3 99 6" xfId="29859" xr:uid="{00000000-0005-0000-0000-0000A3740000}"/>
    <cellStyle name="Normal 3_Enlaces" xfId="29860" xr:uid="{00000000-0005-0000-0000-0000A4740000}"/>
    <cellStyle name="Normal 30" xfId="29861" xr:uid="{00000000-0005-0000-0000-0000A5740000}"/>
    <cellStyle name="Normal 30 10" xfId="29862" xr:uid="{00000000-0005-0000-0000-0000A6740000}"/>
    <cellStyle name="Normal 30 11" xfId="29863" xr:uid="{00000000-0005-0000-0000-0000A7740000}"/>
    <cellStyle name="Normal 30 12" xfId="29864" xr:uid="{00000000-0005-0000-0000-0000A8740000}"/>
    <cellStyle name="Normal 30 13" xfId="29865" xr:uid="{00000000-0005-0000-0000-0000A9740000}"/>
    <cellStyle name="Normal 30 14" xfId="29866" xr:uid="{00000000-0005-0000-0000-0000AA740000}"/>
    <cellStyle name="Normal 30 15" xfId="29867" xr:uid="{00000000-0005-0000-0000-0000AB740000}"/>
    <cellStyle name="Normal 30 16" xfId="29868" xr:uid="{00000000-0005-0000-0000-0000AC740000}"/>
    <cellStyle name="Normal 30 17" xfId="29869" xr:uid="{00000000-0005-0000-0000-0000AD740000}"/>
    <cellStyle name="Normal 30 18" xfId="29870" xr:uid="{00000000-0005-0000-0000-0000AE740000}"/>
    <cellStyle name="Normal 30 19" xfId="29871" xr:uid="{00000000-0005-0000-0000-0000AF740000}"/>
    <cellStyle name="Normal 30 2" xfId="29872" xr:uid="{00000000-0005-0000-0000-0000B0740000}"/>
    <cellStyle name="Normal 30 2 2" xfId="29873" xr:uid="{00000000-0005-0000-0000-0000B1740000}"/>
    <cellStyle name="Normal 30 2 3" xfId="29874" xr:uid="{00000000-0005-0000-0000-0000B2740000}"/>
    <cellStyle name="Normal 30 20" xfId="29875" xr:uid="{00000000-0005-0000-0000-0000B3740000}"/>
    <cellStyle name="Normal 30 21" xfId="29876" xr:uid="{00000000-0005-0000-0000-0000B4740000}"/>
    <cellStyle name="Normal 30 22" xfId="29877" xr:uid="{00000000-0005-0000-0000-0000B5740000}"/>
    <cellStyle name="Normal 30 23" xfId="29878" xr:uid="{00000000-0005-0000-0000-0000B6740000}"/>
    <cellStyle name="Normal 30 24" xfId="29879" xr:uid="{00000000-0005-0000-0000-0000B7740000}"/>
    <cellStyle name="Normal 30 25" xfId="29880" xr:uid="{00000000-0005-0000-0000-0000B8740000}"/>
    <cellStyle name="Normal 30 26" xfId="29881" xr:uid="{00000000-0005-0000-0000-0000B9740000}"/>
    <cellStyle name="Normal 30 3" xfId="29882" xr:uid="{00000000-0005-0000-0000-0000BA740000}"/>
    <cellStyle name="Normal 30 3 2" xfId="29883" xr:uid="{00000000-0005-0000-0000-0000BB740000}"/>
    <cellStyle name="Normal 30 3 3" xfId="29884" xr:uid="{00000000-0005-0000-0000-0000BC740000}"/>
    <cellStyle name="Normal 30 3 4" xfId="29885" xr:uid="{00000000-0005-0000-0000-0000BD740000}"/>
    <cellStyle name="Normal 30 3 5" xfId="29886" xr:uid="{00000000-0005-0000-0000-0000BE740000}"/>
    <cellStyle name="Normal 30 4" xfId="29887" xr:uid="{00000000-0005-0000-0000-0000BF740000}"/>
    <cellStyle name="Normal 30 5" xfId="29888" xr:uid="{00000000-0005-0000-0000-0000C0740000}"/>
    <cellStyle name="Normal 30 6" xfId="29889" xr:uid="{00000000-0005-0000-0000-0000C1740000}"/>
    <cellStyle name="Normal 30 7" xfId="29890" xr:uid="{00000000-0005-0000-0000-0000C2740000}"/>
    <cellStyle name="Normal 30 8" xfId="29891" xr:uid="{00000000-0005-0000-0000-0000C3740000}"/>
    <cellStyle name="Normal 30 9" xfId="29892" xr:uid="{00000000-0005-0000-0000-0000C4740000}"/>
    <cellStyle name="Normal 31" xfId="29893" xr:uid="{00000000-0005-0000-0000-0000C5740000}"/>
    <cellStyle name="Normal 31 10" xfId="29894" xr:uid="{00000000-0005-0000-0000-0000C6740000}"/>
    <cellStyle name="Normal 31 11" xfId="29895" xr:uid="{00000000-0005-0000-0000-0000C7740000}"/>
    <cellStyle name="Normal 31 12" xfId="29896" xr:uid="{00000000-0005-0000-0000-0000C8740000}"/>
    <cellStyle name="Normal 31 13" xfId="29897" xr:uid="{00000000-0005-0000-0000-0000C9740000}"/>
    <cellStyle name="Normal 31 14" xfId="29898" xr:uid="{00000000-0005-0000-0000-0000CA740000}"/>
    <cellStyle name="Normal 31 15" xfId="29899" xr:uid="{00000000-0005-0000-0000-0000CB740000}"/>
    <cellStyle name="Normal 31 16" xfId="29900" xr:uid="{00000000-0005-0000-0000-0000CC740000}"/>
    <cellStyle name="Normal 31 17" xfId="29901" xr:uid="{00000000-0005-0000-0000-0000CD740000}"/>
    <cellStyle name="Normal 31 18" xfId="29902" xr:uid="{00000000-0005-0000-0000-0000CE740000}"/>
    <cellStyle name="Normal 31 19" xfId="29903" xr:uid="{00000000-0005-0000-0000-0000CF740000}"/>
    <cellStyle name="Normal 31 2" xfId="29904" xr:uid="{00000000-0005-0000-0000-0000D0740000}"/>
    <cellStyle name="Normal 31 2 2" xfId="29905" xr:uid="{00000000-0005-0000-0000-0000D1740000}"/>
    <cellStyle name="Normal 31 2 3" xfId="29906" xr:uid="{00000000-0005-0000-0000-0000D2740000}"/>
    <cellStyle name="Normal 31 20" xfId="29907" xr:uid="{00000000-0005-0000-0000-0000D3740000}"/>
    <cellStyle name="Normal 31 21" xfId="29908" xr:uid="{00000000-0005-0000-0000-0000D4740000}"/>
    <cellStyle name="Normal 31 22" xfId="29909" xr:uid="{00000000-0005-0000-0000-0000D5740000}"/>
    <cellStyle name="Normal 31 23" xfId="29910" xr:uid="{00000000-0005-0000-0000-0000D6740000}"/>
    <cellStyle name="Normal 31 24" xfId="29911" xr:uid="{00000000-0005-0000-0000-0000D7740000}"/>
    <cellStyle name="Normal 31 25" xfId="29912" xr:uid="{00000000-0005-0000-0000-0000D8740000}"/>
    <cellStyle name="Normal 31 26" xfId="29913" xr:uid="{00000000-0005-0000-0000-0000D9740000}"/>
    <cellStyle name="Normal 31 3" xfId="29914" xr:uid="{00000000-0005-0000-0000-0000DA740000}"/>
    <cellStyle name="Normal 31 3 2" xfId="29915" xr:uid="{00000000-0005-0000-0000-0000DB740000}"/>
    <cellStyle name="Normal 31 3 3" xfId="29916" xr:uid="{00000000-0005-0000-0000-0000DC740000}"/>
    <cellStyle name="Normal 31 4" xfId="29917" xr:uid="{00000000-0005-0000-0000-0000DD740000}"/>
    <cellStyle name="Normal 31 5" xfId="29918" xr:uid="{00000000-0005-0000-0000-0000DE740000}"/>
    <cellStyle name="Normal 31 6" xfId="29919" xr:uid="{00000000-0005-0000-0000-0000DF740000}"/>
    <cellStyle name="Normal 31 7" xfId="29920" xr:uid="{00000000-0005-0000-0000-0000E0740000}"/>
    <cellStyle name="Normal 31 8" xfId="29921" xr:uid="{00000000-0005-0000-0000-0000E1740000}"/>
    <cellStyle name="Normal 31 9" xfId="29922" xr:uid="{00000000-0005-0000-0000-0000E2740000}"/>
    <cellStyle name="Normal 32" xfId="29923" xr:uid="{00000000-0005-0000-0000-0000E3740000}"/>
    <cellStyle name="Normal 32 2" xfId="29924" xr:uid="{00000000-0005-0000-0000-0000E4740000}"/>
    <cellStyle name="Normal 32 3" xfId="29925" xr:uid="{00000000-0005-0000-0000-0000E5740000}"/>
    <cellStyle name="Normal 32 4" xfId="29926" xr:uid="{00000000-0005-0000-0000-0000E6740000}"/>
    <cellStyle name="Normal 32 5" xfId="29927" xr:uid="{00000000-0005-0000-0000-0000E7740000}"/>
    <cellStyle name="Normal 33" xfId="29928" xr:uid="{00000000-0005-0000-0000-0000E8740000}"/>
    <cellStyle name="Normal 33 2" xfId="29929" xr:uid="{00000000-0005-0000-0000-0000E9740000}"/>
    <cellStyle name="Normal 33 3" xfId="29930" xr:uid="{00000000-0005-0000-0000-0000EA740000}"/>
    <cellStyle name="Normal 33 4" xfId="29931" xr:uid="{00000000-0005-0000-0000-0000EB740000}"/>
    <cellStyle name="Normal 33 5" xfId="29932" xr:uid="{00000000-0005-0000-0000-0000EC740000}"/>
    <cellStyle name="Normal 34" xfId="29933" xr:uid="{00000000-0005-0000-0000-0000ED740000}"/>
    <cellStyle name="Normal 34 10" xfId="29934" xr:uid="{00000000-0005-0000-0000-0000EE740000}"/>
    <cellStyle name="Normal 34 11" xfId="29935" xr:uid="{00000000-0005-0000-0000-0000EF740000}"/>
    <cellStyle name="Normal 34 12" xfId="29936" xr:uid="{00000000-0005-0000-0000-0000F0740000}"/>
    <cellStyle name="Normal 34 13" xfId="29937" xr:uid="{00000000-0005-0000-0000-0000F1740000}"/>
    <cellStyle name="Normal 34 14" xfId="29938" xr:uid="{00000000-0005-0000-0000-0000F2740000}"/>
    <cellStyle name="Normal 34 15" xfId="29939" xr:uid="{00000000-0005-0000-0000-0000F3740000}"/>
    <cellStyle name="Normal 34 16" xfId="29940" xr:uid="{00000000-0005-0000-0000-0000F4740000}"/>
    <cellStyle name="Normal 34 17" xfId="29941" xr:uid="{00000000-0005-0000-0000-0000F5740000}"/>
    <cellStyle name="Normal 34 18" xfId="29942" xr:uid="{00000000-0005-0000-0000-0000F6740000}"/>
    <cellStyle name="Normal 34 19" xfId="29943" xr:uid="{00000000-0005-0000-0000-0000F7740000}"/>
    <cellStyle name="Normal 34 2" xfId="29944" xr:uid="{00000000-0005-0000-0000-0000F8740000}"/>
    <cellStyle name="Normal 34 2 2" xfId="29945" xr:uid="{00000000-0005-0000-0000-0000F9740000}"/>
    <cellStyle name="Normal 34 2 3" xfId="29946" xr:uid="{00000000-0005-0000-0000-0000FA740000}"/>
    <cellStyle name="Normal 34 20" xfId="29947" xr:uid="{00000000-0005-0000-0000-0000FB740000}"/>
    <cellStyle name="Normal 34 21" xfId="29948" xr:uid="{00000000-0005-0000-0000-0000FC740000}"/>
    <cellStyle name="Normal 34 22" xfId="29949" xr:uid="{00000000-0005-0000-0000-0000FD740000}"/>
    <cellStyle name="Normal 34 23" xfId="29950" xr:uid="{00000000-0005-0000-0000-0000FE740000}"/>
    <cellStyle name="Normal 34 24" xfId="29951" xr:uid="{00000000-0005-0000-0000-0000FF740000}"/>
    <cellStyle name="Normal 34 25" xfId="29952" xr:uid="{00000000-0005-0000-0000-000000750000}"/>
    <cellStyle name="Normal 34 26" xfId="29953" xr:uid="{00000000-0005-0000-0000-000001750000}"/>
    <cellStyle name="Normal 34 3" xfId="29954" xr:uid="{00000000-0005-0000-0000-000002750000}"/>
    <cellStyle name="Normal 34 3 2" xfId="29955" xr:uid="{00000000-0005-0000-0000-000003750000}"/>
    <cellStyle name="Normal 34 3 3" xfId="29956" xr:uid="{00000000-0005-0000-0000-000004750000}"/>
    <cellStyle name="Normal 34 3 4" xfId="29957" xr:uid="{00000000-0005-0000-0000-000005750000}"/>
    <cellStyle name="Normal 34 3 5" xfId="29958" xr:uid="{00000000-0005-0000-0000-000006750000}"/>
    <cellStyle name="Normal 34 4" xfId="29959" xr:uid="{00000000-0005-0000-0000-000007750000}"/>
    <cellStyle name="Normal 34 5" xfId="29960" xr:uid="{00000000-0005-0000-0000-000008750000}"/>
    <cellStyle name="Normal 34 6" xfId="29961" xr:uid="{00000000-0005-0000-0000-000009750000}"/>
    <cellStyle name="Normal 34 7" xfId="29962" xr:uid="{00000000-0005-0000-0000-00000A750000}"/>
    <cellStyle name="Normal 34 8" xfId="29963" xr:uid="{00000000-0005-0000-0000-00000B750000}"/>
    <cellStyle name="Normal 34 9" xfId="29964" xr:uid="{00000000-0005-0000-0000-00000C750000}"/>
    <cellStyle name="Normal 35" xfId="29965" xr:uid="{00000000-0005-0000-0000-00000D750000}"/>
    <cellStyle name="Normal 35 10" xfId="29966" xr:uid="{00000000-0005-0000-0000-00000E750000}"/>
    <cellStyle name="Normal 35 11" xfId="29967" xr:uid="{00000000-0005-0000-0000-00000F750000}"/>
    <cellStyle name="Normal 35 12" xfId="29968" xr:uid="{00000000-0005-0000-0000-000010750000}"/>
    <cellStyle name="Normal 35 13" xfId="29969" xr:uid="{00000000-0005-0000-0000-000011750000}"/>
    <cellStyle name="Normal 35 14" xfId="29970" xr:uid="{00000000-0005-0000-0000-000012750000}"/>
    <cellStyle name="Normal 35 15" xfId="29971" xr:uid="{00000000-0005-0000-0000-000013750000}"/>
    <cellStyle name="Normal 35 16" xfId="29972" xr:uid="{00000000-0005-0000-0000-000014750000}"/>
    <cellStyle name="Normal 35 17" xfId="29973" xr:uid="{00000000-0005-0000-0000-000015750000}"/>
    <cellStyle name="Normal 35 18" xfId="29974" xr:uid="{00000000-0005-0000-0000-000016750000}"/>
    <cellStyle name="Normal 35 19" xfId="29975" xr:uid="{00000000-0005-0000-0000-000017750000}"/>
    <cellStyle name="Normal 35 2" xfId="29976" xr:uid="{00000000-0005-0000-0000-000018750000}"/>
    <cellStyle name="Normal 35 2 2" xfId="29977" xr:uid="{00000000-0005-0000-0000-000019750000}"/>
    <cellStyle name="Normal 35 2 3" xfId="29978" xr:uid="{00000000-0005-0000-0000-00001A750000}"/>
    <cellStyle name="Normal 35 20" xfId="29979" xr:uid="{00000000-0005-0000-0000-00001B750000}"/>
    <cellStyle name="Normal 35 21" xfId="29980" xr:uid="{00000000-0005-0000-0000-00001C750000}"/>
    <cellStyle name="Normal 35 22" xfId="29981" xr:uid="{00000000-0005-0000-0000-00001D750000}"/>
    <cellStyle name="Normal 35 23" xfId="29982" xr:uid="{00000000-0005-0000-0000-00001E750000}"/>
    <cellStyle name="Normal 35 24" xfId="29983" xr:uid="{00000000-0005-0000-0000-00001F750000}"/>
    <cellStyle name="Normal 35 25" xfId="29984" xr:uid="{00000000-0005-0000-0000-000020750000}"/>
    <cellStyle name="Normal 35 3" xfId="29985" xr:uid="{00000000-0005-0000-0000-000021750000}"/>
    <cellStyle name="Normal 35 3 2" xfId="29986" xr:uid="{00000000-0005-0000-0000-000022750000}"/>
    <cellStyle name="Normal 35 3 3" xfId="29987" xr:uid="{00000000-0005-0000-0000-000023750000}"/>
    <cellStyle name="Normal 35 3 4" xfId="29988" xr:uid="{00000000-0005-0000-0000-000024750000}"/>
    <cellStyle name="Normal 35 3 5" xfId="29989" xr:uid="{00000000-0005-0000-0000-000025750000}"/>
    <cellStyle name="Normal 35 4" xfId="29990" xr:uid="{00000000-0005-0000-0000-000026750000}"/>
    <cellStyle name="Normal 35 5" xfId="29991" xr:uid="{00000000-0005-0000-0000-000027750000}"/>
    <cellStyle name="Normal 35 6" xfId="29992" xr:uid="{00000000-0005-0000-0000-000028750000}"/>
    <cellStyle name="Normal 35 7" xfId="29993" xr:uid="{00000000-0005-0000-0000-000029750000}"/>
    <cellStyle name="Normal 35 8" xfId="29994" xr:uid="{00000000-0005-0000-0000-00002A750000}"/>
    <cellStyle name="Normal 35 9" xfId="29995" xr:uid="{00000000-0005-0000-0000-00002B750000}"/>
    <cellStyle name="Normal 36" xfId="29996" xr:uid="{00000000-0005-0000-0000-00002C750000}"/>
    <cellStyle name="Normal 36 2" xfId="29997" xr:uid="{00000000-0005-0000-0000-00002D750000}"/>
    <cellStyle name="Normal 36 3" xfId="29998" xr:uid="{00000000-0005-0000-0000-00002E750000}"/>
    <cellStyle name="Normal 36 4" xfId="29999" xr:uid="{00000000-0005-0000-0000-00002F750000}"/>
    <cellStyle name="Normal 37" xfId="30000" xr:uid="{00000000-0005-0000-0000-000030750000}"/>
    <cellStyle name="Normal 37 10" xfId="30001" xr:uid="{00000000-0005-0000-0000-000031750000}"/>
    <cellStyle name="Normal 37 11" xfId="30002" xr:uid="{00000000-0005-0000-0000-000032750000}"/>
    <cellStyle name="Normal 37 12" xfId="30003" xr:uid="{00000000-0005-0000-0000-000033750000}"/>
    <cellStyle name="Normal 37 13" xfId="30004" xr:uid="{00000000-0005-0000-0000-000034750000}"/>
    <cellStyle name="Normal 37 14" xfId="30005" xr:uid="{00000000-0005-0000-0000-000035750000}"/>
    <cellStyle name="Normal 37 15" xfId="30006" xr:uid="{00000000-0005-0000-0000-000036750000}"/>
    <cellStyle name="Normal 37 16" xfId="30007" xr:uid="{00000000-0005-0000-0000-000037750000}"/>
    <cellStyle name="Normal 37 17" xfId="30008" xr:uid="{00000000-0005-0000-0000-000038750000}"/>
    <cellStyle name="Normal 37 18" xfId="30009" xr:uid="{00000000-0005-0000-0000-000039750000}"/>
    <cellStyle name="Normal 37 19" xfId="30010" xr:uid="{00000000-0005-0000-0000-00003A750000}"/>
    <cellStyle name="Normal 37 2" xfId="30011" xr:uid="{00000000-0005-0000-0000-00003B750000}"/>
    <cellStyle name="Normal 37 2 2" xfId="30012" xr:uid="{00000000-0005-0000-0000-00003C750000}"/>
    <cellStyle name="Normal 37 20" xfId="30013" xr:uid="{00000000-0005-0000-0000-00003D750000}"/>
    <cellStyle name="Normal 37 21" xfId="30014" xr:uid="{00000000-0005-0000-0000-00003E750000}"/>
    <cellStyle name="Normal 37 22" xfId="30015" xr:uid="{00000000-0005-0000-0000-00003F750000}"/>
    <cellStyle name="Normal 37 23" xfId="30016" xr:uid="{00000000-0005-0000-0000-000040750000}"/>
    <cellStyle name="Normal 37 24" xfId="30017" xr:uid="{00000000-0005-0000-0000-000041750000}"/>
    <cellStyle name="Normal 37 25" xfId="30018" xr:uid="{00000000-0005-0000-0000-000042750000}"/>
    <cellStyle name="Normal 37 26" xfId="30019" xr:uid="{00000000-0005-0000-0000-000043750000}"/>
    <cellStyle name="Normal 37 3" xfId="30020" xr:uid="{00000000-0005-0000-0000-000044750000}"/>
    <cellStyle name="Normal 37 3 2" xfId="30021" xr:uid="{00000000-0005-0000-0000-000045750000}"/>
    <cellStyle name="Normal 37 4" xfId="30022" xr:uid="{00000000-0005-0000-0000-000046750000}"/>
    <cellStyle name="Normal 37 4 2" xfId="30023" xr:uid="{00000000-0005-0000-0000-000047750000}"/>
    <cellStyle name="Normal 37 5" xfId="30024" xr:uid="{00000000-0005-0000-0000-000048750000}"/>
    <cellStyle name="Normal 37 5 2" xfId="30025" xr:uid="{00000000-0005-0000-0000-000049750000}"/>
    <cellStyle name="Normal 37 6" xfId="30026" xr:uid="{00000000-0005-0000-0000-00004A750000}"/>
    <cellStyle name="Normal 37 7" xfId="30027" xr:uid="{00000000-0005-0000-0000-00004B750000}"/>
    <cellStyle name="Normal 37 8" xfId="30028" xr:uid="{00000000-0005-0000-0000-00004C750000}"/>
    <cellStyle name="Normal 37 9" xfId="30029" xr:uid="{00000000-0005-0000-0000-00004D750000}"/>
    <cellStyle name="Normal 38" xfId="30030" xr:uid="{00000000-0005-0000-0000-00004E750000}"/>
    <cellStyle name="Normal 38 10" xfId="30031" xr:uid="{00000000-0005-0000-0000-00004F750000}"/>
    <cellStyle name="Normal 38 11" xfId="30032" xr:uid="{00000000-0005-0000-0000-000050750000}"/>
    <cellStyle name="Normal 38 12" xfId="30033" xr:uid="{00000000-0005-0000-0000-000051750000}"/>
    <cellStyle name="Normal 38 13" xfId="30034" xr:uid="{00000000-0005-0000-0000-000052750000}"/>
    <cellStyle name="Normal 38 14" xfId="30035" xr:uid="{00000000-0005-0000-0000-000053750000}"/>
    <cellStyle name="Normal 38 15" xfId="30036" xr:uid="{00000000-0005-0000-0000-000054750000}"/>
    <cellStyle name="Normal 38 16" xfId="30037" xr:uid="{00000000-0005-0000-0000-000055750000}"/>
    <cellStyle name="Normal 38 17" xfId="30038" xr:uid="{00000000-0005-0000-0000-000056750000}"/>
    <cellStyle name="Normal 38 18" xfId="30039" xr:uid="{00000000-0005-0000-0000-000057750000}"/>
    <cellStyle name="Normal 38 19" xfId="30040" xr:uid="{00000000-0005-0000-0000-000058750000}"/>
    <cellStyle name="Normal 38 2" xfId="30041" xr:uid="{00000000-0005-0000-0000-000059750000}"/>
    <cellStyle name="Normal 38 2 2" xfId="30042" xr:uid="{00000000-0005-0000-0000-00005A750000}"/>
    <cellStyle name="Normal 38 20" xfId="30043" xr:uid="{00000000-0005-0000-0000-00005B750000}"/>
    <cellStyle name="Normal 38 21" xfId="30044" xr:uid="{00000000-0005-0000-0000-00005C750000}"/>
    <cellStyle name="Normal 38 22" xfId="30045" xr:uid="{00000000-0005-0000-0000-00005D750000}"/>
    <cellStyle name="Normal 38 23" xfId="30046" xr:uid="{00000000-0005-0000-0000-00005E750000}"/>
    <cellStyle name="Normal 38 24" xfId="30047" xr:uid="{00000000-0005-0000-0000-00005F750000}"/>
    <cellStyle name="Normal 38 25" xfId="30048" xr:uid="{00000000-0005-0000-0000-000060750000}"/>
    <cellStyle name="Normal 38 26" xfId="30049" xr:uid="{00000000-0005-0000-0000-000061750000}"/>
    <cellStyle name="Normal 38 3" xfId="30050" xr:uid="{00000000-0005-0000-0000-000062750000}"/>
    <cellStyle name="Normal 38 3 2" xfId="30051" xr:uid="{00000000-0005-0000-0000-000063750000}"/>
    <cellStyle name="Normal 38 4" xfId="30052" xr:uid="{00000000-0005-0000-0000-000064750000}"/>
    <cellStyle name="Normal 38 4 2" xfId="30053" xr:uid="{00000000-0005-0000-0000-000065750000}"/>
    <cellStyle name="Normal 38 5" xfId="30054" xr:uid="{00000000-0005-0000-0000-000066750000}"/>
    <cellStyle name="Normal 38 5 2" xfId="30055" xr:uid="{00000000-0005-0000-0000-000067750000}"/>
    <cellStyle name="Normal 38 6" xfId="30056" xr:uid="{00000000-0005-0000-0000-000068750000}"/>
    <cellStyle name="Normal 38 7" xfId="30057" xr:uid="{00000000-0005-0000-0000-000069750000}"/>
    <cellStyle name="Normal 38 8" xfId="30058" xr:uid="{00000000-0005-0000-0000-00006A750000}"/>
    <cellStyle name="Normal 38 9" xfId="30059" xr:uid="{00000000-0005-0000-0000-00006B750000}"/>
    <cellStyle name="Normal 39" xfId="30060" xr:uid="{00000000-0005-0000-0000-00006C750000}"/>
    <cellStyle name="Normal 39 10" xfId="30061" xr:uid="{00000000-0005-0000-0000-00006D750000}"/>
    <cellStyle name="Normal 39 11" xfId="30062" xr:uid="{00000000-0005-0000-0000-00006E750000}"/>
    <cellStyle name="Normal 39 12" xfId="30063" xr:uid="{00000000-0005-0000-0000-00006F750000}"/>
    <cellStyle name="Normal 39 13" xfId="30064" xr:uid="{00000000-0005-0000-0000-000070750000}"/>
    <cellStyle name="Normal 39 14" xfId="30065" xr:uid="{00000000-0005-0000-0000-000071750000}"/>
    <cellStyle name="Normal 39 15" xfId="30066" xr:uid="{00000000-0005-0000-0000-000072750000}"/>
    <cellStyle name="Normal 39 16" xfId="30067" xr:uid="{00000000-0005-0000-0000-000073750000}"/>
    <cellStyle name="Normal 39 17" xfId="30068" xr:uid="{00000000-0005-0000-0000-000074750000}"/>
    <cellStyle name="Normal 39 18" xfId="30069" xr:uid="{00000000-0005-0000-0000-000075750000}"/>
    <cellStyle name="Normal 39 19" xfId="30070" xr:uid="{00000000-0005-0000-0000-000076750000}"/>
    <cellStyle name="Normal 39 2" xfId="30071" xr:uid="{00000000-0005-0000-0000-000077750000}"/>
    <cellStyle name="Normal 39 2 2" xfId="30072" xr:uid="{00000000-0005-0000-0000-000078750000}"/>
    <cellStyle name="Normal 39 20" xfId="30073" xr:uid="{00000000-0005-0000-0000-000079750000}"/>
    <cellStyle name="Normal 39 21" xfId="30074" xr:uid="{00000000-0005-0000-0000-00007A750000}"/>
    <cellStyle name="Normal 39 22" xfId="30075" xr:uid="{00000000-0005-0000-0000-00007B750000}"/>
    <cellStyle name="Normal 39 23" xfId="30076" xr:uid="{00000000-0005-0000-0000-00007C750000}"/>
    <cellStyle name="Normal 39 24" xfId="30077" xr:uid="{00000000-0005-0000-0000-00007D750000}"/>
    <cellStyle name="Normal 39 25" xfId="30078" xr:uid="{00000000-0005-0000-0000-00007E750000}"/>
    <cellStyle name="Normal 39 26" xfId="30079" xr:uid="{00000000-0005-0000-0000-00007F750000}"/>
    <cellStyle name="Normal 39 3" xfId="30080" xr:uid="{00000000-0005-0000-0000-000080750000}"/>
    <cellStyle name="Normal 39 3 2" xfId="30081" xr:uid="{00000000-0005-0000-0000-000081750000}"/>
    <cellStyle name="Normal 39 4" xfId="30082" xr:uid="{00000000-0005-0000-0000-000082750000}"/>
    <cellStyle name="Normal 39 4 2" xfId="30083" xr:uid="{00000000-0005-0000-0000-000083750000}"/>
    <cellStyle name="Normal 39 5" xfId="30084" xr:uid="{00000000-0005-0000-0000-000084750000}"/>
    <cellStyle name="Normal 39 5 2" xfId="30085" xr:uid="{00000000-0005-0000-0000-000085750000}"/>
    <cellStyle name="Normal 39 6" xfId="30086" xr:uid="{00000000-0005-0000-0000-000086750000}"/>
    <cellStyle name="Normal 39 7" xfId="30087" xr:uid="{00000000-0005-0000-0000-000087750000}"/>
    <cellStyle name="Normal 39 8" xfId="30088" xr:uid="{00000000-0005-0000-0000-000088750000}"/>
    <cellStyle name="Normal 39 9" xfId="30089" xr:uid="{00000000-0005-0000-0000-000089750000}"/>
    <cellStyle name="Normal 4" xfId="15" xr:uid="{00000000-0005-0000-0000-00000F000000}"/>
    <cellStyle name="Normal 4 10" xfId="30091" xr:uid="{00000000-0005-0000-0000-00008B750000}"/>
    <cellStyle name="Normal 4 10 2" xfId="30092" xr:uid="{00000000-0005-0000-0000-00008C750000}"/>
    <cellStyle name="Normal 4 10 3" xfId="30093" xr:uid="{00000000-0005-0000-0000-00008D750000}"/>
    <cellStyle name="Normal 4 10 4" xfId="30094" xr:uid="{00000000-0005-0000-0000-00008E750000}"/>
    <cellStyle name="Normal 4 10 5" xfId="30095" xr:uid="{00000000-0005-0000-0000-00008F750000}"/>
    <cellStyle name="Normal 4 10_Enlaces" xfId="30096" xr:uid="{00000000-0005-0000-0000-000090750000}"/>
    <cellStyle name="Normal 4 100" xfId="30097" xr:uid="{00000000-0005-0000-0000-000091750000}"/>
    <cellStyle name="Normal 4 100 2" xfId="30098" xr:uid="{00000000-0005-0000-0000-000092750000}"/>
    <cellStyle name="Normal 4 100 3" xfId="30099" xr:uid="{00000000-0005-0000-0000-000093750000}"/>
    <cellStyle name="Normal 4 101" xfId="30100" xr:uid="{00000000-0005-0000-0000-000094750000}"/>
    <cellStyle name="Normal 4 101 2" xfId="30101" xr:uid="{00000000-0005-0000-0000-000095750000}"/>
    <cellStyle name="Normal 4 101 3" xfId="30102" xr:uid="{00000000-0005-0000-0000-000096750000}"/>
    <cellStyle name="Normal 4 102" xfId="30103" xr:uid="{00000000-0005-0000-0000-000097750000}"/>
    <cellStyle name="Normal 4 102 2" xfId="30104" xr:uid="{00000000-0005-0000-0000-000098750000}"/>
    <cellStyle name="Normal 4 102 3" xfId="30105" xr:uid="{00000000-0005-0000-0000-000099750000}"/>
    <cellStyle name="Normal 4 103" xfId="30106" xr:uid="{00000000-0005-0000-0000-00009A750000}"/>
    <cellStyle name="Normal 4 103 2" xfId="30107" xr:uid="{00000000-0005-0000-0000-00009B750000}"/>
    <cellStyle name="Normal 4 103 3" xfId="30108" xr:uid="{00000000-0005-0000-0000-00009C750000}"/>
    <cellStyle name="Normal 4 104" xfId="30109" xr:uid="{00000000-0005-0000-0000-00009D750000}"/>
    <cellStyle name="Normal 4 104 2" xfId="30110" xr:uid="{00000000-0005-0000-0000-00009E750000}"/>
    <cellStyle name="Normal 4 104 3" xfId="30111" xr:uid="{00000000-0005-0000-0000-00009F750000}"/>
    <cellStyle name="Normal 4 105" xfId="30112" xr:uid="{00000000-0005-0000-0000-0000A0750000}"/>
    <cellStyle name="Normal 4 105 2" xfId="30113" xr:uid="{00000000-0005-0000-0000-0000A1750000}"/>
    <cellStyle name="Normal 4 105 3" xfId="30114" xr:uid="{00000000-0005-0000-0000-0000A2750000}"/>
    <cellStyle name="Normal 4 106" xfId="30115" xr:uid="{00000000-0005-0000-0000-0000A3750000}"/>
    <cellStyle name="Normal 4 106 2" xfId="30116" xr:uid="{00000000-0005-0000-0000-0000A4750000}"/>
    <cellStyle name="Normal 4 106 3" xfId="30117" xr:uid="{00000000-0005-0000-0000-0000A5750000}"/>
    <cellStyle name="Normal 4 107" xfId="30118" xr:uid="{00000000-0005-0000-0000-0000A6750000}"/>
    <cellStyle name="Normal 4 107 2" xfId="30119" xr:uid="{00000000-0005-0000-0000-0000A7750000}"/>
    <cellStyle name="Normal 4 107 3" xfId="30120" xr:uid="{00000000-0005-0000-0000-0000A8750000}"/>
    <cellStyle name="Normal 4 108" xfId="30121" xr:uid="{00000000-0005-0000-0000-0000A9750000}"/>
    <cellStyle name="Normal 4 108 2" xfId="30122" xr:uid="{00000000-0005-0000-0000-0000AA750000}"/>
    <cellStyle name="Normal 4 108 3" xfId="30123" xr:uid="{00000000-0005-0000-0000-0000AB750000}"/>
    <cellStyle name="Normal 4 109" xfId="30124" xr:uid="{00000000-0005-0000-0000-0000AC750000}"/>
    <cellStyle name="Normal 4 109 2" xfId="30125" xr:uid="{00000000-0005-0000-0000-0000AD750000}"/>
    <cellStyle name="Normal 4 109 3" xfId="30126" xr:uid="{00000000-0005-0000-0000-0000AE750000}"/>
    <cellStyle name="Normal 4 11" xfId="30127" xr:uid="{00000000-0005-0000-0000-0000AF750000}"/>
    <cellStyle name="Normal 4 11 2" xfId="30128" xr:uid="{00000000-0005-0000-0000-0000B0750000}"/>
    <cellStyle name="Normal 4 11 3" xfId="30129" xr:uid="{00000000-0005-0000-0000-0000B1750000}"/>
    <cellStyle name="Normal 4 11 4" xfId="30130" xr:uid="{00000000-0005-0000-0000-0000B2750000}"/>
    <cellStyle name="Normal 4 11 5" xfId="30131" xr:uid="{00000000-0005-0000-0000-0000B3750000}"/>
    <cellStyle name="Normal 4 11_Enlaces" xfId="30132" xr:uid="{00000000-0005-0000-0000-0000B4750000}"/>
    <cellStyle name="Normal 4 110" xfId="30133" xr:uid="{00000000-0005-0000-0000-0000B5750000}"/>
    <cellStyle name="Normal 4 110 2" xfId="30134" xr:uid="{00000000-0005-0000-0000-0000B6750000}"/>
    <cellStyle name="Normal 4 110 3" xfId="30135" xr:uid="{00000000-0005-0000-0000-0000B7750000}"/>
    <cellStyle name="Normal 4 111" xfId="30136" xr:uid="{00000000-0005-0000-0000-0000B8750000}"/>
    <cellStyle name="Normal 4 111 2" xfId="30137" xr:uid="{00000000-0005-0000-0000-0000B9750000}"/>
    <cellStyle name="Normal 4 111 3" xfId="30138" xr:uid="{00000000-0005-0000-0000-0000BA750000}"/>
    <cellStyle name="Normal 4 112" xfId="30139" xr:uid="{00000000-0005-0000-0000-0000BB750000}"/>
    <cellStyle name="Normal 4 112 2" xfId="30140" xr:uid="{00000000-0005-0000-0000-0000BC750000}"/>
    <cellStyle name="Normal 4 112 3" xfId="30141" xr:uid="{00000000-0005-0000-0000-0000BD750000}"/>
    <cellStyle name="Normal 4 113" xfId="30142" xr:uid="{00000000-0005-0000-0000-0000BE750000}"/>
    <cellStyle name="Normal 4 113 2" xfId="30143" xr:uid="{00000000-0005-0000-0000-0000BF750000}"/>
    <cellStyle name="Normal 4 113 3" xfId="30144" xr:uid="{00000000-0005-0000-0000-0000C0750000}"/>
    <cellStyle name="Normal 4 114" xfId="30145" xr:uid="{00000000-0005-0000-0000-0000C1750000}"/>
    <cellStyle name="Normal 4 114 2" xfId="30146" xr:uid="{00000000-0005-0000-0000-0000C2750000}"/>
    <cellStyle name="Normal 4 114 3" xfId="30147" xr:uid="{00000000-0005-0000-0000-0000C3750000}"/>
    <cellStyle name="Normal 4 115" xfId="30148" xr:uid="{00000000-0005-0000-0000-0000C4750000}"/>
    <cellStyle name="Normal 4 115 2" xfId="30149" xr:uid="{00000000-0005-0000-0000-0000C5750000}"/>
    <cellStyle name="Normal 4 115 3" xfId="30150" xr:uid="{00000000-0005-0000-0000-0000C6750000}"/>
    <cellStyle name="Normal 4 116" xfId="30151" xr:uid="{00000000-0005-0000-0000-0000C7750000}"/>
    <cellStyle name="Normal 4 116 2" xfId="30152" xr:uid="{00000000-0005-0000-0000-0000C8750000}"/>
    <cellStyle name="Normal 4 116 3" xfId="30153" xr:uid="{00000000-0005-0000-0000-0000C9750000}"/>
    <cellStyle name="Normal 4 117" xfId="30154" xr:uid="{00000000-0005-0000-0000-0000CA750000}"/>
    <cellStyle name="Normal 4 117 2" xfId="30155" xr:uid="{00000000-0005-0000-0000-0000CB750000}"/>
    <cellStyle name="Normal 4 117 3" xfId="30156" xr:uid="{00000000-0005-0000-0000-0000CC750000}"/>
    <cellStyle name="Normal 4 118" xfId="30157" xr:uid="{00000000-0005-0000-0000-0000CD750000}"/>
    <cellStyle name="Normal 4 118 2" xfId="30158" xr:uid="{00000000-0005-0000-0000-0000CE750000}"/>
    <cellStyle name="Normal 4 118 3" xfId="30159" xr:uid="{00000000-0005-0000-0000-0000CF750000}"/>
    <cellStyle name="Normal 4 119" xfId="30160" xr:uid="{00000000-0005-0000-0000-0000D0750000}"/>
    <cellStyle name="Normal 4 119 2" xfId="30161" xr:uid="{00000000-0005-0000-0000-0000D1750000}"/>
    <cellStyle name="Normal 4 119 3" xfId="30162" xr:uid="{00000000-0005-0000-0000-0000D2750000}"/>
    <cellStyle name="Normal 4 12" xfId="30163" xr:uid="{00000000-0005-0000-0000-0000D3750000}"/>
    <cellStyle name="Normal 4 12 2" xfId="30164" xr:uid="{00000000-0005-0000-0000-0000D4750000}"/>
    <cellStyle name="Normal 4 12 3" xfId="30165" xr:uid="{00000000-0005-0000-0000-0000D5750000}"/>
    <cellStyle name="Normal 4 12 4" xfId="30166" xr:uid="{00000000-0005-0000-0000-0000D6750000}"/>
    <cellStyle name="Normal 4 12 5" xfId="30167" xr:uid="{00000000-0005-0000-0000-0000D7750000}"/>
    <cellStyle name="Normal 4 12_Enlaces" xfId="30168" xr:uid="{00000000-0005-0000-0000-0000D8750000}"/>
    <cellStyle name="Normal 4 120" xfId="30169" xr:uid="{00000000-0005-0000-0000-0000D9750000}"/>
    <cellStyle name="Normal 4 120 2" xfId="30170" xr:uid="{00000000-0005-0000-0000-0000DA750000}"/>
    <cellStyle name="Normal 4 120 3" xfId="30171" xr:uid="{00000000-0005-0000-0000-0000DB750000}"/>
    <cellStyle name="Normal 4 121" xfId="30172" xr:uid="{00000000-0005-0000-0000-0000DC750000}"/>
    <cellStyle name="Normal 4 121 2" xfId="30173" xr:uid="{00000000-0005-0000-0000-0000DD750000}"/>
    <cellStyle name="Normal 4 121 3" xfId="30174" xr:uid="{00000000-0005-0000-0000-0000DE750000}"/>
    <cellStyle name="Normal 4 122" xfId="30175" xr:uid="{00000000-0005-0000-0000-0000DF750000}"/>
    <cellStyle name="Normal 4 122 2" xfId="30176" xr:uid="{00000000-0005-0000-0000-0000E0750000}"/>
    <cellStyle name="Normal 4 122 3" xfId="30177" xr:uid="{00000000-0005-0000-0000-0000E1750000}"/>
    <cellStyle name="Normal 4 123" xfId="30178" xr:uid="{00000000-0005-0000-0000-0000E2750000}"/>
    <cellStyle name="Normal 4 123 2" xfId="30179" xr:uid="{00000000-0005-0000-0000-0000E3750000}"/>
    <cellStyle name="Normal 4 123 3" xfId="30180" xr:uid="{00000000-0005-0000-0000-0000E4750000}"/>
    <cellStyle name="Normal 4 124" xfId="30181" xr:uid="{00000000-0005-0000-0000-0000E5750000}"/>
    <cellStyle name="Normal 4 125" xfId="30182" xr:uid="{00000000-0005-0000-0000-0000E6750000}"/>
    <cellStyle name="Normal 4 126" xfId="30183" xr:uid="{00000000-0005-0000-0000-0000E7750000}"/>
    <cellStyle name="Normal 4 127" xfId="30184" xr:uid="{00000000-0005-0000-0000-0000E8750000}"/>
    <cellStyle name="Normal 4 128" xfId="30185" xr:uid="{00000000-0005-0000-0000-0000E9750000}"/>
    <cellStyle name="Normal 4 129" xfId="30186" xr:uid="{00000000-0005-0000-0000-0000EA750000}"/>
    <cellStyle name="Normal 4 13" xfId="30187" xr:uid="{00000000-0005-0000-0000-0000EB750000}"/>
    <cellStyle name="Normal 4 13 2" xfId="30188" xr:uid="{00000000-0005-0000-0000-0000EC750000}"/>
    <cellStyle name="Normal 4 13 3" xfId="30189" xr:uid="{00000000-0005-0000-0000-0000ED750000}"/>
    <cellStyle name="Normal 4 13 4" xfId="30190" xr:uid="{00000000-0005-0000-0000-0000EE750000}"/>
    <cellStyle name="Normal 4 13 5" xfId="30191" xr:uid="{00000000-0005-0000-0000-0000EF750000}"/>
    <cellStyle name="Normal 4 13_Enlaces" xfId="30192" xr:uid="{00000000-0005-0000-0000-0000F0750000}"/>
    <cellStyle name="Normal 4 130" xfId="30193" xr:uid="{00000000-0005-0000-0000-0000F1750000}"/>
    <cellStyle name="Normal 4 131" xfId="30194" xr:uid="{00000000-0005-0000-0000-0000F2750000}"/>
    <cellStyle name="Normal 4 131 2" xfId="30195" xr:uid="{00000000-0005-0000-0000-0000F3750000}"/>
    <cellStyle name="Normal 4 132" xfId="30196" xr:uid="{00000000-0005-0000-0000-0000F4750000}"/>
    <cellStyle name="Normal 4 132 2" xfId="30197" xr:uid="{00000000-0005-0000-0000-0000F5750000}"/>
    <cellStyle name="Normal 4 133" xfId="30198" xr:uid="{00000000-0005-0000-0000-0000F6750000}"/>
    <cellStyle name="Normal 4 133 2" xfId="30199" xr:uid="{00000000-0005-0000-0000-0000F7750000}"/>
    <cellStyle name="Normal 4 134" xfId="30200" xr:uid="{00000000-0005-0000-0000-0000F8750000}"/>
    <cellStyle name="Normal 4 134 2" xfId="30201" xr:uid="{00000000-0005-0000-0000-0000F9750000}"/>
    <cellStyle name="Normal 4 135" xfId="30202" xr:uid="{00000000-0005-0000-0000-0000FA750000}"/>
    <cellStyle name="Normal 4 135 2" xfId="30203" xr:uid="{00000000-0005-0000-0000-0000FB750000}"/>
    <cellStyle name="Normal 4 136" xfId="30204" xr:uid="{00000000-0005-0000-0000-0000FC750000}"/>
    <cellStyle name="Normal 4 136 2" xfId="30205" xr:uid="{00000000-0005-0000-0000-0000FD750000}"/>
    <cellStyle name="Normal 4 137" xfId="30206" xr:uid="{00000000-0005-0000-0000-0000FE750000}"/>
    <cellStyle name="Normal 4 137 2" xfId="30207" xr:uid="{00000000-0005-0000-0000-0000FF750000}"/>
    <cellStyle name="Normal 4 138" xfId="30208" xr:uid="{00000000-0005-0000-0000-000000760000}"/>
    <cellStyle name="Normal 4 138 2" xfId="30209" xr:uid="{00000000-0005-0000-0000-000001760000}"/>
    <cellStyle name="Normal 4 139" xfId="30210" xr:uid="{00000000-0005-0000-0000-000002760000}"/>
    <cellStyle name="Normal 4 139 2" xfId="30211" xr:uid="{00000000-0005-0000-0000-000003760000}"/>
    <cellStyle name="Normal 4 14" xfId="30212" xr:uid="{00000000-0005-0000-0000-000004760000}"/>
    <cellStyle name="Normal 4 14 2" xfId="30213" xr:uid="{00000000-0005-0000-0000-000005760000}"/>
    <cellStyle name="Normal 4 14 3" xfId="30214" xr:uid="{00000000-0005-0000-0000-000006760000}"/>
    <cellStyle name="Normal 4 14 4" xfId="30215" xr:uid="{00000000-0005-0000-0000-000007760000}"/>
    <cellStyle name="Normal 4 14 5" xfId="30216" xr:uid="{00000000-0005-0000-0000-000008760000}"/>
    <cellStyle name="Normal 4 14_Enlaces" xfId="30217" xr:uid="{00000000-0005-0000-0000-000009760000}"/>
    <cellStyle name="Normal 4 140" xfId="30218" xr:uid="{00000000-0005-0000-0000-00000A760000}"/>
    <cellStyle name="Normal 4 140 2" xfId="30219" xr:uid="{00000000-0005-0000-0000-00000B760000}"/>
    <cellStyle name="Normal 4 141" xfId="30220" xr:uid="{00000000-0005-0000-0000-00000C760000}"/>
    <cellStyle name="Normal 4 141 2" xfId="30221" xr:uid="{00000000-0005-0000-0000-00000D760000}"/>
    <cellStyle name="Normal 4 142" xfId="30222" xr:uid="{00000000-0005-0000-0000-00000E760000}"/>
    <cellStyle name="Normal 4 142 2" xfId="30223" xr:uid="{00000000-0005-0000-0000-00000F760000}"/>
    <cellStyle name="Normal 4 143" xfId="30224" xr:uid="{00000000-0005-0000-0000-000010760000}"/>
    <cellStyle name="Normal 4 143 2" xfId="30225" xr:uid="{00000000-0005-0000-0000-000011760000}"/>
    <cellStyle name="Normal 4 144" xfId="30226" xr:uid="{00000000-0005-0000-0000-000012760000}"/>
    <cellStyle name="Normal 4 144 2" xfId="30227" xr:uid="{00000000-0005-0000-0000-000013760000}"/>
    <cellStyle name="Normal 4 145" xfId="30228" xr:uid="{00000000-0005-0000-0000-000014760000}"/>
    <cellStyle name="Normal 4 145 2" xfId="30229" xr:uid="{00000000-0005-0000-0000-000015760000}"/>
    <cellStyle name="Normal 4 146" xfId="30230" xr:uid="{00000000-0005-0000-0000-000016760000}"/>
    <cellStyle name="Normal 4 146 2" xfId="30231" xr:uid="{00000000-0005-0000-0000-000017760000}"/>
    <cellStyle name="Normal 4 147" xfId="30232" xr:uid="{00000000-0005-0000-0000-000018760000}"/>
    <cellStyle name="Normal 4 147 2" xfId="30233" xr:uid="{00000000-0005-0000-0000-000019760000}"/>
    <cellStyle name="Normal 4 148" xfId="30234" xr:uid="{00000000-0005-0000-0000-00001A760000}"/>
    <cellStyle name="Normal 4 148 2" xfId="30235" xr:uid="{00000000-0005-0000-0000-00001B760000}"/>
    <cellStyle name="Normal 4 148 3" xfId="30236" xr:uid="{00000000-0005-0000-0000-00001C760000}"/>
    <cellStyle name="Normal 4 149" xfId="30237" xr:uid="{00000000-0005-0000-0000-00001D760000}"/>
    <cellStyle name="Normal 4 149 2" xfId="30238" xr:uid="{00000000-0005-0000-0000-00001E760000}"/>
    <cellStyle name="Normal 4 149 3" xfId="30239" xr:uid="{00000000-0005-0000-0000-00001F760000}"/>
    <cellStyle name="Normal 4 15" xfId="30240" xr:uid="{00000000-0005-0000-0000-000020760000}"/>
    <cellStyle name="Normal 4 15 2" xfId="30241" xr:uid="{00000000-0005-0000-0000-000021760000}"/>
    <cellStyle name="Normal 4 15 3" xfId="30242" xr:uid="{00000000-0005-0000-0000-000022760000}"/>
    <cellStyle name="Normal 4 15 4" xfId="30243" xr:uid="{00000000-0005-0000-0000-000023760000}"/>
    <cellStyle name="Normal 4 15 5" xfId="30244" xr:uid="{00000000-0005-0000-0000-000024760000}"/>
    <cellStyle name="Normal 4 15_Enlaces" xfId="30245" xr:uid="{00000000-0005-0000-0000-000025760000}"/>
    <cellStyle name="Normal 4 150" xfId="30246" xr:uid="{00000000-0005-0000-0000-000026760000}"/>
    <cellStyle name="Normal 4 150 2" xfId="30247" xr:uid="{00000000-0005-0000-0000-000027760000}"/>
    <cellStyle name="Normal 4 150 3" xfId="30248" xr:uid="{00000000-0005-0000-0000-000028760000}"/>
    <cellStyle name="Normal 4 151" xfId="30249" xr:uid="{00000000-0005-0000-0000-000029760000}"/>
    <cellStyle name="Normal 4 151 2" xfId="30250" xr:uid="{00000000-0005-0000-0000-00002A760000}"/>
    <cellStyle name="Normal 4 151 3" xfId="30251" xr:uid="{00000000-0005-0000-0000-00002B760000}"/>
    <cellStyle name="Normal 4 152" xfId="30252" xr:uid="{00000000-0005-0000-0000-00002C760000}"/>
    <cellStyle name="Normal 4 152 2" xfId="30253" xr:uid="{00000000-0005-0000-0000-00002D760000}"/>
    <cellStyle name="Normal 4 152 3" xfId="30254" xr:uid="{00000000-0005-0000-0000-00002E760000}"/>
    <cellStyle name="Normal 4 153" xfId="30255" xr:uid="{00000000-0005-0000-0000-00002F760000}"/>
    <cellStyle name="Normal 4 153 2" xfId="30256" xr:uid="{00000000-0005-0000-0000-000030760000}"/>
    <cellStyle name="Normal 4 154" xfId="30257" xr:uid="{00000000-0005-0000-0000-000031760000}"/>
    <cellStyle name="Normal 4 155" xfId="30258" xr:uid="{00000000-0005-0000-0000-000032760000}"/>
    <cellStyle name="Normal 4 156" xfId="30259" xr:uid="{00000000-0005-0000-0000-000033760000}"/>
    <cellStyle name="Normal 4 157" xfId="30260" xr:uid="{00000000-0005-0000-0000-000034760000}"/>
    <cellStyle name="Normal 4 158" xfId="30261" xr:uid="{00000000-0005-0000-0000-000035760000}"/>
    <cellStyle name="Normal 4 159" xfId="30262" xr:uid="{00000000-0005-0000-0000-000036760000}"/>
    <cellStyle name="Normal 4 16" xfId="30263" xr:uid="{00000000-0005-0000-0000-000037760000}"/>
    <cellStyle name="Normal 4 16 2" xfId="30264" xr:uid="{00000000-0005-0000-0000-000038760000}"/>
    <cellStyle name="Normal 4 16 3" xfId="30265" xr:uid="{00000000-0005-0000-0000-000039760000}"/>
    <cellStyle name="Normal 4 16 4" xfId="30266" xr:uid="{00000000-0005-0000-0000-00003A760000}"/>
    <cellStyle name="Normal 4 16 5" xfId="30267" xr:uid="{00000000-0005-0000-0000-00003B760000}"/>
    <cellStyle name="Normal 4 16_Enlaces" xfId="30268" xr:uid="{00000000-0005-0000-0000-00003C760000}"/>
    <cellStyle name="Normal 4 160" xfId="30269" xr:uid="{00000000-0005-0000-0000-00003D760000}"/>
    <cellStyle name="Normal 4 161" xfId="30270" xr:uid="{00000000-0005-0000-0000-00003E760000}"/>
    <cellStyle name="Normal 4 162" xfId="30271" xr:uid="{00000000-0005-0000-0000-00003F760000}"/>
    <cellStyle name="Normal 4 163" xfId="30272" xr:uid="{00000000-0005-0000-0000-000040760000}"/>
    <cellStyle name="Normal 4 164" xfId="30273" xr:uid="{00000000-0005-0000-0000-000041760000}"/>
    <cellStyle name="Normal 4 165" xfId="30274" xr:uid="{00000000-0005-0000-0000-000042760000}"/>
    <cellStyle name="Normal 4 166" xfId="30275" xr:uid="{00000000-0005-0000-0000-000043760000}"/>
    <cellStyle name="Normal 4 167" xfId="30276" xr:uid="{00000000-0005-0000-0000-000044760000}"/>
    <cellStyle name="Normal 4 168" xfId="30277" xr:uid="{00000000-0005-0000-0000-000045760000}"/>
    <cellStyle name="Normal 4 169" xfId="30278" xr:uid="{00000000-0005-0000-0000-000046760000}"/>
    <cellStyle name="Normal 4 17" xfId="30279" xr:uid="{00000000-0005-0000-0000-000047760000}"/>
    <cellStyle name="Normal 4 17 2" xfId="30280" xr:uid="{00000000-0005-0000-0000-000048760000}"/>
    <cellStyle name="Normal 4 17 3" xfId="30281" xr:uid="{00000000-0005-0000-0000-000049760000}"/>
    <cellStyle name="Normal 4 17 4" xfId="30282" xr:uid="{00000000-0005-0000-0000-00004A760000}"/>
    <cellStyle name="Normal 4 17 5" xfId="30283" xr:uid="{00000000-0005-0000-0000-00004B760000}"/>
    <cellStyle name="Normal 4 17_Enlaces" xfId="30284" xr:uid="{00000000-0005-0000-0000-00004C760000}"/>
    <cellStyle name="Normal 4 170" xfId="30285" xr:uid="{00000000-0005-0000-0000-00004D760000}"/>
    <cellStyle name="Normal 4 171" xfId="30286" xr:uid="{00000000-0005-0000-0000-00004E760000}"/>
    <cellStyle name="Normal 4 172" xfId="30090" xr:uid="{00000000-0005-0000-0000-00008A750000}"/>
    <cellStyle name="Normal 4 18" xfId="30287" xr:uid="{00000000-0005-0000-0000-00004F760000}"/>
    <cellStyle name="Normal 4 18 2" xfId="30288" xr:uid="{00000000-0005-0000-0000-000050760000}"/>
    <cellStyle name="Normal 4 18 3" xfId="30289" xr:uid="{00000000-0005-0000-0000-000051760000}"/>
    <cellStyle name="Normal 4 18 4" xfId="30290" xr:uid="{00000000-0005-0000-0000-000052760000}"/>
    <cellStyle name="Normal 4 18 5" xfId="30291" xr:uid="{00000000-0005-0000-0000-000053760000}"/>
    <cellStyle name="Normal 4 18_Enlaces" xfId="30292" xr:uid="{00000000-0005-0000-0000-000054760000}"/>
    <cellStyle name="Normal 4 19" xfId="30293" xr:uid="{00000000-0005-0000-0000-000055760000}"/>
    <cellStyle name="Normal 4 19 2" xfId="30294" xr:uid="{00000000-0005-0000-0000-000056760000}"/>
    <cellStyle name="Normal 4 19 3" xfId="30295" xr:uid="{00000000-0005-0000-0000-000057760000}"/>
    <cellStyle name="Normal 4 19 4" xfId="30296" xr:uid="{00000000-0005-0000-0000-000058760000}"/>
    <cellStyle name="Normal 4 19 5" xfId="30297" xr:uid="{00000000-0005-0000-0000-000059760000}"/>
    <cellStyle name="Normal 4 19_Enlaces" xfId="30298" xr:uid="{00000000-0005-0000-0000-00005A760000}"/>
    <cellStyle name="Normal 4 2" xfId="59" xr:uid="{00000000-0005-0000-0000-00003B000000}"/>
    <cellStyle name="Normal 4 2 10" xfId="30300" xr:uid="{00000000-0005-0000-0000-00005C760000}"/>
    <cellStyle name="Normal 4 2 10 2" xfId="30301" xr:uid="{00000000-0005-0000-0000-00005D760000}"/>
    <cellStyle name="Normal 4 2 11" xfId="30302" xr:uid="{00000000-0005-0000-0000-00005E760000}"/>
    <cellStyle name="Normal 4 2 11 2" xfId="30303" xr:uid="{00000000-0005-0000-0000-00005F760000}"/>
    <cellStyle name="Normal 4 2 12" xfId="30304" xr:uid="{00000000-0005-0000-0000-000060760000}"/>
    <cellStyle name="Normal 4 2 12 2" xfId="30305" xr:uid="{00000000-0005-0000-0000-000061760000}"/>
    <cellStyle name="Normal 4 2 13" xfId="30306" xr:uid="{00000000-0005-0000-0000-000062760000}"/>
    <cellStyle name="Normal 4 2 13 2" xfId="30307" xr:uid="{00000000-0005-0000-0000-000063760000}"/>
    <cellStyle name="Normal 4 2 14" xfId="30308" xr:uid="{00000000-0005-0000-0000-000064760000}"/>
    <cellStyle name="Normal 4 2 14 2" xfId="30309" xr:uid="{00000000-0005-0000-0000-000065760000}"/>
    <cellStyle name="Normal 4 2 15" xfId="30310" xr:uid="{00000000-0005-0000-0000-000066760000}"/>
    <cellStyle name="Normal 4 2 15 2" xfId="30311" xr:uid="{00000000-0005-0000-0000-000067760000}"/>
    <cellStyle name="Normal 4 2 16" xfId="30312" xr:uid="{00000000-0005-0000-0000-000068760000}"/>
    <cellStyle name="Normal 4 2 16 2" xfId="30313" xr:uid="{00000000-0005-0000-0000-000069760000}"/>
    <cellStyle name="Normal 4 2 17" xfId="30314" xr:uid="{00000000-0005-0000-0000-00006A760000}"/>
    <cellStyle name="Normal 4 2 17 2" xfId="30315" xr:uid="{00000000-0005-0000-0000-00006B760000}"/>
    <cellStyle name="Normal 4 2 18" xfId="30316" xr:uid="{00000000-0005-0000-0000-00006C760000}"/>
    <cellStyle name="Normal 4 2 18 2" xfId="30317" xr:uid="{00000000-0005-0000-0000-00006D760000}"/>
    <cellStyle name="Normal 4 2 19" xfId="30318" xr:uid="{00000000-0005-0000-0000-00006E760000}"/>
    <cellStyle name="Normal 4 2 19 2" xfId="30319" xr:uid="{00000000-0005-0000-0000-00006F760000}"/>
    <cellStyle name="Normal 4 2 2" xfId="30320" xr:uid="{00000000-0005-0000-0000-000070760000}"/>
    <cellStyle name="Normal 4 2 2 2" xfId="30321" xr:uid="{00000000-0005-0000-0000-000071760000}"/>
    <cellStyle name="Normal 4 2 20" xfId="30322" xr:uid="{00000000-0005-0000-0000-000072760000}"/>
    <cellStyle name="Normal 4 2 20 2" xfId="30323" xr:uid="{00000000-0005-0000-0000-000073760000}"/>
    <cellStyle name="Normal 4 2 21" xfId="30324" xr:uid="{00000000-0005-0000-0000-000074760000}"/>
    <cellStyle name="Normal 4 2 21 2" xfId="30325" xr:uid="{00000000-0005-0000-0000-000075760000}"/>
    <cellStyle name="Normal 4 2 22" xfId="30326" xr:uid="{00000000-0005-0000-0000-000076760000}"/>
    <cellStyle name="Normal 4 2 22 2" xfId="30327" xr:uid="{00000000-0005-0000-0000-000077760000}"/>
    <cellStyle name="Normal 4 2 23" xfId="30328" xr:uid="{00000000-0005-0000-0000-000078760000}"/>
    <cellStyle name="Normal 4 2 23 2" xfId="30329" xr:uid="{00000000-0005-0000-0000-000079760000}"/>
    <cellStyle name="Normal 4 2 24" xfId="30330" xr:uid="{00000000-0005-0000-0000-00007A760000}"/>
    <cellStyle name="Normal 4 2 25" xfId="30331" xr:uid="{00000000-0005-0000-0000-00007B760000}"/>
    <cellStyle name="Normal 4 2 26" xfId="30332" xr:uid="{00000000-0005-0000-0000-00007C760000}"/>
    <cellStyle name="Normal 4 2 27" xfId="30333" xr:uid="{00000000-0005-0000-0000-00007D760000}"/>
    <cellStyle name="Normal 4 2 28" xfId="30334" xr:uid="{00000000-0005-0000-0000-00007E760000}"/>
    <cellStyle name="Normal 4 2 29" xfId="30335" xr:uid="{00000000-0005-0000-0000-00007F760000}"/>
    <cellStyle name="Normal 4 2 3" xfId="30336" xr:uid="{00000000-0005-0000-0000-000080760000}"/>
    <cellStyle name="Normal 4 2 3 2" xfId="30337" xr:uid="{00000000-0005-0000-0000-000081760000}"/>
    <cellStyle name="Normal 4 2 30" xfId="30338" xr:uid="{00000000-0005-0000-0000-000082760000}"/>
    <cellStyle name="Normal 4 2 31" xfId="30339" xr:uid="{00000000-0005-0000-0000-000083760000}"/>
    <cellStyle name="Normal 4 2 32" xfId="30340" xr:uid="{00000000-0005-0000-0000-000084760000}"/>
    <cellStyle name="Normal 4 2 33" xfId="30341" xr:uid="{00000000-0005-0000-0000-000085760000}"/>
    <cellStyle name="Normal 4 2 34" xfId="30342" xr:uid="{00000000-0005-0000-0000-000086760000}"/>
    <cellStyle name="Normal 4 2 35" xfId="30343" xr:uid="{00000000-0005-0000-0000-000087760000}"/>
    <cellStyle name="Normal 4 2 36" xfId="30344" xr:uid="{00000000-0005-0000-0000-000088760000}"/>
    <cellStyle name="Normal 4 2 37" xfId="30345" xr:uid="{00000000-0005-0000-0000-000089760000}"/>
    <cellStyle name="Normal 4 2 38" xfId="30346" xr:uid="{00000000-0005-0000-0000-00008A760000}"/>
    <cellStyle name="Normal 4 2 39" xfId="30347" xr:uid="{00000000-0005-0000-0000-00008B760000}"/>
    <cellStyle name="Normal 4 2 4" xfId="30348" xr:uid="{00000000-0005-0000-0000-00008C760000}"/>
    <cellStyle name="Normal 4 2 4 2" xfId="30349" xr:uid="{00000000-0005-0000-0000-00008D760000}"/>
    <cellStyle name="Normal 4 2 40" xfId="30350" xr:uid="{00000000-0005-0000-0000-00008E760000}"/>
    <cellStyle name="Normal 4 2 41" xfId="30351" xr:uid="{00000000-0005-0000-0000-00008F760000}"/>
    <cellStyle name="Normal 4 2 42" xfId="30352" xr:uid="{00000000-0005-0000-0000-000090760000}"/>
    <cellStyle name="Normal 4 2 43" xfId="30353" xr:uid="{00000000-0005-0000-0000-000091760000}"/>
    <cellStyle name="Normal 4 2 44" xfId="30354" xr:uid="{00000000-0005-0000-0000-000092760000}"/>
    <cellStyle name="Normal 4 2 45" xfId="30355" xr:uid="{00000000-0005-0000-0000-000093760000}"/>
    <cellStyle name="Normal 4 2 46" xfId="30356" xr:uid="{00000000-0005-0000-0000-000094760000}"/>
    <cellStyle name="Normal 4 2 47" xfId="30357" xr:uid="{00000000-0005-0000-0000-000095760000}"/>
    <cellStyle name="Normal 4 2 48" xfId="30358" xr:uid="{00000000-0005-0000-0000-000096760000}"/>
    <cellStyle name="Normal 4 2 49" xfId="30359" xr:uid="{00000000-0005-0000-0000-000097760000}"/>
    <cellStyle name="Normal 4 2 5" xfId="30360" xr:uid="{00000000-0005-0000-0000-000098760000}"/>
    <cellStyle name="Normal 4 2 5 2" xfId="30361" xr:uid="{00000000-0005-0000-0000-000099760000}"/>
    <cellStyle name="Normal 4 2 50" xfId="30362" xr:uid="{00000000-0005-0000-0000-00009A760000}"/>
    <cellStyle name="Normal 4 2 51" xfId="30363" xr:uid="{00000000-0005-0000-0000-00009B760000}"/>
    <cellStyle name="Normal 4 2 52" xfId="30364" xr:uid="{00000000-0005-0000-0000-00009C760000}"/>
    <cellStyle name="Normal 4 2 53" xfId="30365" xr:uid="{00000000-0005-0000-0000-00009D760000}"/>
    <cellStyle name="Normal 4 2 54" xfId="30366" xr:uid="{00000000-0005-0000-0000-00009E760000}"/>
    <cellStyle name="Normal 4 2 55" xfId="30367" xr:uid="{00000000-0005-0000-0000-00009F760000}"/>
    <cellStyle name="Normal 4 2 56" xfId="30368" xr:uid="{00000000-0005-0000-0000-0000A0760000}"/>
    <cellStyle name="Normal 4 2 57" xfId="30369" xr:uid="{00000000-0005-0000-0000-0000A1760000}"/>
    <cellStyle name="Normal 4 2 58" xfId="30370" xr:uid="{00000000-0005-0000-0000-0000A2760000}"/>
    <cellStyle name="Normal 4 2 59" xfId="30371" xr:uid="{00000000-0005-0000-0000-0000A3760000}"/>
    <cellStyle name="Normal 4 2 6" xfId="30372" xr:uid="{00000000-0005-0000-0000-0000A4760000}"/>
    <cellStyle name="Normal 4 2 6 2" xfId="30373" xr:uid="{00000000-0005-0000-0000-0000A5760000}"/>
    <cellStyle name="Normal 4 2 60" xfId="30374" xr:uid="{00000000-0005-0000-0000-0000A6760000}"/>
    <cellStyle name="Normal 4 2 61" xfId="30375" xr:uid="{00000000-0005-0000-0000-0000A7760000}"/>
    <cellStyle name="Normal 4 2 62" xfId="30376" xr:uid="{00000000-0005-0000-0000-0000A8760000}"/>
    <cellStyle name="Normal 4 2 63" xfId="30377" xr:uid="{00000000-0005-0000-0000-0000A9760000}"/>
    <cellStyle name="Normal 4 2 64" xfId="30378" xr:uid="{00000000-0005-0000-0000-0000AA760000}"/>
    <cellStyle name="Normal 4 2 65" xfId="30379" xr:uid="{00000000-0005-0000-0000-0000AB760000}"/>
    <cellStyle name="Normal 4 2 66" xfId="30380" xr:uid="{00000000-0005-0000-0000-0000AC760000}"/>
    <cellStyle name="Normal 4 2 67" xfId="30381" xr:uid="{00000000-0005-0000-0000-0000AD760000}"/>
    <cellStyle name="Normal 4 2 68" xfId="30382" xr:uid="{00000000-0005-0000-0000-0000AE760000}"/>
    <cellStyle name="Normal 4 2 69" xfId="30383" xr:uid="{00000000-0005-0000-0000-0000AF760000}"/>
    <cellStyle name="Normal 4 2 7" xfId="30384" xr:uid="{00000000-0005-0000-0000-0000B0760000}"/>
    <cellStyle name="Normal 4 2 7 2" xfId="30385" xr:uid="{00000000-0005-0000-0000-0000B1760000}"/>
    <cellStyle name="Normal 4 2 70" xfId="30386" xr:uid="{00000000-0005-0000-0000-0000B2760000}"/>
    <cellStyle name="Normal 4 2 71" xfId="30387" xr:uid="{00000000-0005-0000-0000-0000B3760000}"/>
    <cellStyle name="Normal 4 2 72" xfId="30388" xr:uid="{00000000-0005-0000-0000-0000B4760000}"/>
    <cellStyle name="Normal 4 2 73" xfId="30389" xr:uid="{00000000-0005-0000-0000-0000B5760000}"/>
    <cellStyle name="Normal 4 2 74" xfId="30390" xr:uid="{00000000-0005-0000-0000-0000B6760000}"/>
    <cellStyle name="Normal 4 2 75" xfId="30391" xr:uid="{00000000-0005-0000-0000-0000B7760000}"/>
    <cellStyle name="Normal 4 2 76" xfId="30392" xr:uid="{00000000-0005-0000-0000-0000B8760000}"/>
    <cellStyle name="Normal 4 2 77" xfId="30393" xr:uid="{00000000-0005-0000-0000-0000B9760000}"/>
    <cellStyle name="Normal 4 2 78" xfId="30394" xr:uid="{00000000-0005-0000-0000-0000BA760000}"/>
    <cellStyle name="Normal 4 2 79" xfId="30395" xr:uid="{00000000-0005-0000-0000-0000BB760000}"/>
    <cellStyle name="Normal 4 2 8" xfId="30396" xr:uid="{00000000-0005-0000-0000-0000BC760000}"/>
    <cellStyle name="Normal 4 2 8 2" xfId="30397" xr:uid="{00000000-0005-0000-0000-0000BD760000}"/>
    <cellStyle name="Normal 4 2 80" xfId="30398" xr:uid="{00000000-0005-0000-0000-0000BE760000}"/>
    <cellStyle name="Normal 4 2 81" xfId="30399" xr:uid="{00000000-0005-0000-0000-0000BF760000}"/>
    <cellStyle name="Normal 4 2 82" xfId="30400" xr:uid="{00000000-0005-0000-0000-0000C0760000}"/>
    <cellStyle name="Normal 4 2 83" xfId="30401" xr:uid="{00000000-0005-0000-0000-0000C1760000}"/>
    <cellStyle name="Normal 4 2 84" xfId="30402" xr:uid="{00000000-0005-0000-0000-0000C2760000}"/>
    <cellStyle name="Normal 4 2 85" xfId="30403" xr:uid="{00000000-0005-0000-0000-0000C3760000}"/>
    <cellStyle name="Normal 4 2 86" xfId="30404" xr:uid="{00000000-0005-0000-0000-0000C4760000}"/>
    <cellStyle name="Normal 4 2 87" xfId="30405" xr:uid="{00000000-0005-0000-0000-0000C5760000}"/>
    <cellStyle name="Normal 4 2 87 2" xfId="30406" xr:uid="{00000000-0005-0000-0000-0000C6760000}"/>
    <cellStyle name="Normal 4 2 88" xfId="30299" xr:uid="{00000000-0005-0000-0000-00005B760000}"/>
    <cellStyle name="Normal 4 2 9" xfId="30407" xr:uid="{00000000-0005-0000-0000-0000C7760000}"/>
    <cellStyle name="Normal 4 2 9 2" xfId="30408" xr:uid="{00000000-0005-0000-0000-0000C8760000}"/>
    <cellStyle name="Normal 4 2_Xa Parametrización de Usuarios" xfId="30409" xr:uid="{00000000-0005-0000-0000-0000C9760000}"/>
    <cellStyle name="Normal 4 20" xfId="30410" xr:uid="{00000000-0005-0000-0000-0000CA760000}"/>
    <cellStyle name="Normal 4 20 2" xfId="30411" xr:uid="{00000000-0005-0000-0000-0000CB760000}"/>
    <cellStyle name="Normal 4 20 3" xfId="30412" xr:uid="{00000000-0005-0000-0000-0000CC760000}"/>
    <cellStyle name="Normal 4 20 4" xfId="30413" xr:uid="{00000000-0005-0000-0000-0000CD760000}"/>
    <cellStyle name="Normal 4 20_Enlaces" xfId="30414" xr:uid="{00000000-0005-0000-0000-0000CE760000}"/>
    <cellStyle name="Normal 4 21" xfId="30415" xr:uid="{00000000-0005-0000-0000-0000CF760000}"/>
    <cellStyle name="Normal 4 21 2" xfId="30416" xr:uid="{00000000-0005-0000-0000-0000D0760000}"/>
    <cellStyle name="Normal 4 21 3" xfId="30417" xr:uid="{00000000-0005-0000-0000-0000D1760000}"/>
    <cellStyle name="Normal 4 21 4" xfId="30418" xr:uid="{00000000-0005-0000-0000-0000D2760000}"/>
    <cellStyle name="Normal 4 21_Enlaces" xfId="30419" xr:uid="{00000000-0005-0000-0000-0000D3760000}"/>
    <cellStyle name="Normal 4 22" xfId="30420" xr:uid="{00000000-0005-0000-0000-0000D4760000}"/>
    <cellStyle name="Normal 4 22 2" xfId="30421" xr:uid="{00000000-0005-0000-0000-0000D5760000}"/>
    <cellStyle name="Normal 4 22 3" xfId="30422" xr:uid="{00000000-0005-0000-0000-0000D6760000}"/>
    <cellStyle name="Normal 4 22 4" xfId="30423" xr:uid="{00000000-0005-0000-0000-0000D7760000}"/>
    <cellStyle name="Normal 4 22_Enlaces" xfId="30424" xr:uid="{00000000-0005-0000-0000-0000D8760000}"/>
    <cellStyle name="Normal 4 23" xfId="30425" xr:uid="{00000000-0005-0000-0000-0000D9760000}"/>
    <cellStyle name="Normal 4 23 2" xfId="30426" xr:uid="{00000000-0005-0000-0000-0000DA760000}"/>
    <cellStyle name="Normal 4 23 3" xfId="30427" xr:uid="{00000000-0005-0000-0000-0000DB760000}"/>
    <cellStyle name="Normal 4 23 4" xfId="30428" xr:uid="{00000000-0005-0000-0000-0000DC760000}"/>
    <cellStyle name="Normal 4 23_Enlaces" xfId="30429" xr:uid="{00000000-0005-0000-0000-0000DD760000}"/>
    <cellStyle name="Normal 4 24" xfId="30430" xr:uid="{00000000-0005-0000-0000-0000DE760000}"/>
    <cellStyle name="Normal 4 24 2" xfId="30431" xr:uid="{00000000-0005-0000-0000-0000DF760000}"/>
    <cellStyle name="Normal 4 24 3" xfId="30432" xr:uid="{00000000-0005-0000-0000-0000E0760000}"/>
    <cellStyle name="Normal 4 24 4" xfId="30433" xr:uid="{00000000-0005-0000-0000-0000E1760000}"/>
    <cellStyle name="Normal 4 24_Enlaces" xfId="30434" xr:uid="{00000000-0005-0000-0000-0000E2760000}"/>
    <cellStyle name="Normal 4 25" xfId="30435" xr:uid="{00000000-0005-0000-0000-0000E3760000}"/>
    <cellStyle name="Normal 4 25 2" xfId="30436" xr:uid="{00000000-0005-0000-0000-0000E4760000}"/>
    <cellStyle name="Normal 4 25 3" xfId="30437" xr:uid="{00000000-0005-0000-0000-0000E5760000}"/>
    <cellStyle name="Normal 4 25 4" xfId="30438" xr:uid="{00000000-0005-0000-0000-0000E6760000}"/>
    <cellStyle name="Normal 4 25_Enlaces" xfId="30439" xr:uid="{00000000-0005-0000-0000-0000E7760000}"/>
    <cellStyle name="Normal 4 26" xfId="30440" xr:uid="{00000000-0005-0000-0000-0000E8760000}"/>
    <cellStyle name="Normal 4 26 2" xfId="30441" xr:uid="{00000000-0005-0000-0000-0000E9760000}"/>
    <cellStyle name="Normal 4 26 3" xfId="30442" xr:uid="{00000000-0005-0000-0000-0000EA760000}"/>
    <cellStyle name="Normal 4 26 4" xfId="30443" xr:uid="{00000000-0005-0000-0000-0000EB760000}"/>
    <cellStyle name="Normal 4 26_Enlaces" xfId="30444" xr:uid="{00000000-0005-0000-0000-0000EC760000}"/>
    <cellStyle name="Normal 4 27" xfId="30445" xr:uid="{00000000-0005-0000-0000-0000ED760000}"/>
    <cellStyle name="Normal 4 27 2" xfId="30446" xr:uid="{00000000-0005-0000-0000-0000EE760000}"/>
    <cellStyle name="Normal 4 27 3" xfId="30447" xr:uid="{00000000-0005-0000-0000-0000EF760000}"/>
    <cellStyle name="Normal 4 28" xfId="30448" xr:uid="{00000000-0005-0000-0000-0000F0760000}"/>
    <cellStyle name="Normal 4 28 2" xfId="30449" xr:uid="{00000000-0005-0000-0000-0000F1760000}"/>
    <cellStyle name="Normal 4 28 3" xfId="30450" xr:uid="{00000000-0005-0000-0000-0000F2760000}"/>
    <cellStyle name="Normal 4 29" xfId="30451" xr:uid="{00000000-0005-0000-0000-0000F3760000}"/>
    <cellStyle name="Normal 4 29 2" xfId="30452" xr:uid="{00000000-0005-0000-0000-0000F4760000}"/>
    <cellStyle name="Normal 4 29 3" xfId="30453" xr:uid="{00000000-0005-0000-0000-0000F5760000}"/>
    <cellStyle name="Normal 4 3" xfId="40" xr:uid="{00000000-0005-0000-0000-000028000000}"/>
    <cellStyle name="Normal 4 3 10" xfId="30455" xr:uid="{00000000-0005-0000-0000-0000F7760000}"/>
    <cellStyle name="Normal 4 3 11" xfId="30456" xr:uid="{00000000-0005-0000-0000-0000F8760000}"/>
    <cellStyle name="Normal 4 3 12" xfId="30457" xr:uid="{00000000-0005-0000-0000-0000F9760000}"/>
    <cellStyle name="Normal 4 3 13" xfId="30458" xr:uid="{00000000-0005-0000-0000-0000FA760000}"/>
    <cellStyle name="Normal 4 3 14" xfId="30459" xr:uid="{00000000-0005-0000-0000-0000FB760000}"/>
    <cellStyle name="Normal 4 3 15" xfId="30460" xr:uid="{00000000-0005-0000-0000-0000FC760000}"/>
    <cellStyle name="Normal 4 3 16" xfId="30461" xr:uid="{00000000-0005-0000-0000-0000FD760000}"/>
    <cellStyle name="Normal 4 3 17" xfId="30462" xr:uid="{00000000-0005-0000-0000-0000FE760000}"/>
    <cellStyle name="Normal 4 3 18" xfId="30463" xr:uid="{00000000-0005-0000-0000-0000FF760000}"/>
    <cellStyle name="Normal 4 3 19" xfId="30464" xr:uid="{00000000-0005-0000-0000-000000770000}"/>
    <cellStyle name="Normal 4 3 2" xfId="30465" xr:uid="{00000000-0005-0000-0000-000001770000}"/>
    <cellStyle name="Normal 4 3 2 2" xfId="30466" xr:uid="{00000000-0005-0000-0000-000002770000}"/>
    <cellStyle name="Normal 4 3 20" xfId="30467" xr:uid="{00000000-0005-0000-0000-000003770000}"/>
    <cellStyle name="Normal 4 3 21" xfId="30468" xr:uid="{00000000-0005-0000-0000-000004770000}"/>
    <cellStyle name="Normal 4 3 22" xfId="30469" xr:uid="{00000000-0005-0000-0000-000005770000}"/>
    <cellStyle name="Normal 4 3 23" xfId="30470" xr:uid="{00000000-0005-0000-0000-000006770000}"/>
    <cellStyle name="Normal 4 3 24" xfId="30471" xr:uid="{00000000-0005-0000-0000-000007770000}"/>
    <cellStyle name="Normal 4 3 25" xfId="30472" xr:uid="{00000000-0005-0000-0000-000008770000}"/>
    <cellStyle name="Normal 4 3 26" xfId="30473" xr:uid="{00000000-0005-0000-0000-000009770000}"/>
    <cellStyle name="Normal 4 3 27" xfId="30474" xr:uid="{00000000-0005-0000-0000-00000A770000}"/>
    <cellStyle name="Normal 4 3 28" xfId="30475" xr:uid="{00000000-0005-0000-0000-00000B770000}"/>
    <cellStyle name="Normal 4 3 29" xfId="30476" xr:uid="{00000000-0005-0000-0000-00000C770000}"/>
    <cellStyle name="Normal 4 3 3" xfId="30477" xr:uid="{00000000-0005-0000-0000-00000D770000}"/>
    <cellStyle name="Normal 4 3 30" xfId="30478" xr:uid="{00000000-0005-0000-0000-00000E770000}"/>
    <cellStyle name="Normal 4 3 31" xfId="30479" xr:uid="{00000000-0005-0000-0000-00000F770000}"/>
    <cellStyle name="Normal 4 3 32" xfId="30480" xr:uid="{00000000-0005-0000-0000-000010770000}"/>
    <cellStyle name="Normal 4 3 33" xfId="30481" xr:uid="{00000000-0005-0000-0000-000011770000}"/>
    <cellStyle name="Normal 4 3 34" xfId="30482" xr:uid="{00000000-0005-0000-0000-000012770000}"/>
    <cellStyle name="Normal 4 3 35" xfId="30454" xr:uid="{00000000-0005-0000-0000-0000F6760000}"/>
    <cellStyle name="Normal 4 3 4" xfId="30483" xr:uid="{00000000-0005-0000-0000-000013770000}"/>
    <cellStyle name="Normal 4 3 5" xfId="30484" xr:uid="{00000000-0005-0000-0000-000014770000}"/>
    <cellStyle name="Normal 4 3 6" xfId="30485" xr:uid="{00000000-0005-0000-0000-000015770000}"/>
    <cellStyle name="Normal 4 3 7" xfId="30486" xr:uid="{00000000-0005-0000-0000-000016770000}"/>
    <cellStyle name="Normal 4 3 8" xfId="30487" xr:uid="{00000000-0005-0000-0000-000017770000}"/>
    <cellStyle name="Normal 4 3 9" xfId="30488" xr:uid="{00000000-0005-0000-0000-000018770000}"/>
    <cellStyle name="Normal 4 3_Enlaces" xfId="30489" xr:uid="{00000000-0005-0000-0000-000019770000}"/>
    <cellStyle name="Normal 4 30" xfId="30490" xr:uid="{00000000-0005-0000-0000-00001A770000}"/>
    <cellStyle name="Normal 4 30 2" xfId="30491" xr:uid="{00000000-0005-0000-0000-00001B770000}"/>
    <cellStyle name="Normal 4 30 3" xfId="30492" xr:uid="{00000000-0005-0000-0000-00001C770000}"/>
    <cellStyle name="Normal 4 31" xfId="30493" xr:uid="{00000000-0005-0000-0000-00001D770000}"/>
    <cellStyle name="Normal 4 31 2" xfId="30494" xr:uid="{00000000-0005-0000-0000-00001E770000}"/>
    <cellStyle name="Normal 4 31 3" xfId="30495" xr:uid="{00000000-0005-0000-0000-00001F770000}"/>
    <cellStyle name="Normal 4 32" xfId="30496" xr:uid="{00000000-0005-0000-0000-000020770000}"/>
    <cellStyle name="Normal 4 32 2" xfId="30497" xr:uid="{00000000-0005-0000-0000-000021770000}"/>
    <cellStyle name="Normal 4 32 3" xfId="30498" xr:uid="{00000000-0005-0000-0000-000022770000}"/>
    <cellStyle name="Normal 4 33" xfId="30499" xr:uid="{00000000-0005-0000-0000-000023770000}"/>
    <cellStyle name="Normal 4 33 2" xfId="30500" xr:uid="{00000000-0005-0000-0000-000024770000}"/>
    <cellStyle name="Normal 4 33 3" xfId="30501" xr:uid="{00000000-0005-0000-0000-000025770000}"/>
    <cellStyle name="Normal 4 34" xfId="30502" xr:uid="{00000000-0005-0000-0000-000026770000}"/>
    <cellStyle name="Normal 4 34 2" xfId="30503" xr:uid="{00000000-0005-0000-0000-000027770000}"/>
    <cellStyle name="Normal 4 34 3" xfId="30504" xr:uid="{00000000-0005-0000-0000-000028770000}"/>
    <cellStyle name="Normal 4 35" xfId="30505" xr:uid="{00000000-0005-0000-0000-000029770000}"/>
    <cellStyle name="Normal 4 35 2" xfId="30506" xr:uid="{00000000-0005-0000-0000-00002A770000}"/>
    <cellStyle name="Normal 4 35 3" xfId="30507" xr:uid="{00000000-0005-0000-0000-00002B770000}"/>
    <cellStyle name="Normal 4 36" xfId="30508" xr:uid="{00000000-0005-0000-0000-00002C770000}"/>
    <cellStyle name="Normal 4 36 2" xfId="30509" xr:uid="{00000000-0005-0000-0000-00002D770000}"/>
    <cellStyle name="Normal 4 36 3" xfId="30510" xr:uid="{00000000-0005-0000-0000-00002E770000}"/>
    <cellStyle name="Normal 4 37" xfId="30511" xr:uid="{00000000-0005-0000-0000-00002F770000}"/>
    <cellStyle name="Normal 4 37 2" xfId="30512" xr:uid="{00000000-0005-0000-0000-000030770000}"/>
    <cellStyle name="Normal 4 37 3" xfId="30513" xr:uid="{00000000-0005-0000-0000-000031770000}"/>
    <cellStyle name="Normal 4 38" xfId="30514" xr:uid="{00000000-0005-0000-0000-000032770000}"/>
    <cellStyle name="Normal 4 38 2" xfId="30515" xr:uid="{00000000-0005-0000-0000-000033770000}"/>
    <cellStyle name="Normal 4 38 3" xfId="30516" xr:uid="{00000000-0005-0000-0000-000034770000}"/>
    <cellStyle name="Normal 4 39" xfId="30517" xr:uid="{00000000-0005-0000-0000-000035770000}"/>
    <cellStyle name="Normal 4 39 2" xfId="30518" xr:uid="{00000000-0005-0000-0000-000036770000}"/>
    <cellStyle name="Normal 4 39 3" xfId="30519" xr:uid="{00000000-0005-0000-0000-000037770000}"/>
    <cellStyle name="Normal 4 4" xfId="30520" xr:uid="{00000000-0005-0000-0000-000038770000}"/>
    <cellStyle name="Normal 4 4 2" xfId="30521" xr:uid="{00000000-0005-0000-0000-000039770000}"/>
    <cellStyle name="Normal 4 4 3" xfId="30522" xr:uid="{00000000-0005-0000-0000-00003A770000}"/>
    <cellStyle name="Normal 4 4 4" xfId="30523" xr:uid="{00000000-0005-0000-0000-00003B770000}"/>
    <cellStyle name="Normal 4 4 5" xfId="30524" xr:uid="{00000000-0005-0000-0000-00003C770000}"/>
    <cellStyle name="Normal 4 4_Enlaces" xfId="30525" xr:uid="{00000000-0005-0000-0000-00003D770000}"/>
    <cellStyle name="Normal 4 40" xfId="30526" xr:uid="{00000000-0005-0000-0000-00003E770000}"/>
    <cellStyle name="Normal 4 40 2" xfId="30527" xr:uid="{00000000-0005-0000-0000-00003F770000}"/>
    <cellStyle name="Normal 4 40 3" xfId="30528" xr:uid="{00000000-0005-0000-0000-000040770000}"/>
    <cellStyle name="Normal 4 41" xfId="30529" xr:uid="{00000000-0005-0000-0000-000041770000}"/>
    <cellStyle name="Normal 4 41 2" xfId="30530" xr:uid="{00000000-0005-0000-0000-000042770000}"/>
    <cellStyle name="Normal 4 41 3" xfId="30531" xr:uid="{00000000-0005-0000-0000-000043770000}"/>
    <cellStyle name="Normal 4 42" xfId="30532" xr:uid="{00000000-0005-0000-0000-000044770000}"/>
    <cellStyle name="Normal 4 42 2" xfId="30533" xr:uid="{00000000-0005-0000-0000-000045770000}"/>
    <cellStyle name="Normal 4 42 3" xfId="30534" xr:uid="{00000000-0005-0000-0000-000046770000}"/>
    <cellStyle name="Normal 4 43" xfId="30535" xr:uid="{00000000-0005-0000-0000-000047770000}"/>
    <cellStyle name="Normal 4 43 2" xfId="30536" xr:uid="{00000000-0005-0000-0000-000048770000}"/>
    <cellStyle name="Normal 4 43 3" xfId="30537" xr:uid="{00000000-0005-0000-0000-000049770000}"/>
    <cellStyle name="Normal 4 44" xfId="30538" xr:uid="{00000000-0005-0000-0000-00004A770000}"/>
    <cellStyle name="Normal 4 44 2" xfId="30539" xr:uid="{00000000-0005-0000-0000-00004B770000}"/>
    <cellStyle name="Normal 4 44 3" xfId="30540" xr:uid="{00000000-0005-0000-0000-00004C770000}"/>
    <cellStyle name="Normal 4 45" xfId="30541" xr:uid="{00000000-0005-0000-0000-00004D770000}"/>
    <cellStyle name="Normal 4 45 2" xfId="30542" xr:uid="{00000000-0005-0000-0000-00004E770000}"/>
    <cellStyle name="Normal 4 45 3" xfId="30543" xr:uid="{00000000-0005-0000-0000-00004F770000}"/>
    <cellStyle name="Normal 4 46" xfId="30544" xr:uid="{00000000-0005-0000-0000-000050770000}"/>
    <cellStyle name="Normal 4 46 2" xfId="30545" xr:uid="{00000000-0005-0000-0000-000051770000}"/>
    <cellStyle name="Normal 4 46 3" xfId="30546" xr:uid="{00000000-0005-0000-0000-000052770000}"/>
    <cellStyle name="Normal 4 47" xfId="30547" xr:uid="{00000000-0005-0000-0000-000053770000}"/>
    <cellStyle name="Normal 4 48" xfId="30548" xr:uid="{00000000-0005-0000-0000-000054770000}"/>
    <cellStyle name="Normal 4 49" xfId="30549" xr:uid="{00000000-0005-0000-0000-000055770000}"/>
    <cellStyle name="Normal 4 5" xfId="30550" xr:uid="{00000000-0005-0000-0000-000056770000}"/>
    <cellStyle name="Normal 4 5 2" xfId="30551" xr:uid="{00000000-0005-0000-0000-000057770000}"/>
    <cellStyle name="Normal 4 5 3" xfId="30552" xr:uid="{00000000-0005-0000-0000-000058770000}"/>
    <cellStyle name="Normal 4 5 4" xfId="30553" xr:uid="{00000000-0005-0000-0000-000059770000}"/>
    <cellStyle name="Normal 4 5 5" xfId="30554" xr:uid="{00000000-0005-0000-0000-00005A770000}"/>
    <cellStyle name="Normal 4 5_Enlaces" xfId="30555" xr:uid="{00000000-0005-0000-0000-00005B770000}"/>
    <cellStyle name="Normal 4 50" xfId="30556" xr:uid="{00000000-0005-0000-0000-00005C770000}"/>
    <cellStyle name="Normal 4 51" xfId="30557" xr:uid="{00000000-0005-0000-0000-00005D770000}"/>
    <cellStyle name="Normal 4 52" xfId="30558" xr:uid="{00000000-0005-0000-0000-00005E770000}"/>
    <cellStyle name="Normal 4 53" xfId="30559" xr:uid="{00000000-0005-0000-0000-00005F770000}"/>
    <cellStyle name="Normal 4 54" xfId="30560" xr:uid="{00000000-0005-0000-0000-000060770000}"/>
    <cellStyle name="Normal 4 55" xfId="30561" xr:uid="{00000000-0005-0000-0000-000061770000}"/>
    <cellStyle name="Normal 4 56" xfId="30562" xr:uid="{00000000-0005-0000-0000-000062770000}"/>
    <cellStyle name="Normal 4 57" xfId="30563" xr:uid="{00000000-0005-0000-0000-000063770000}"/>
    <cellStyle name="Normal 4 58" xfId="30564" xr:uid="{00000000-0005-0000-0000-000064770000}"/>
    <cellStyle name="Normal 4 59" xfId="30565" xr:uid="{00000000-0005-0000-0000-000065770000}"/>
    <cellStyle name="Normal 4 6" xfId="30566" xr:uid="{00000000-0005-0000-0000-000066770000}"/>
    <cellStyle name="Normal 4 6 2" xfId="30567" xr:uid="{00000000-0005-0000-0000-000067770000}"/>
    <cellStyle name="Normal 4 6 3" xfId="30568" xr:uid="{00000000-0005-0000-0000-000068770000}"/>
    <cellStyle name="Normal 4 6 4" xfId="30569" xr:uid="{00000000-0005-0000-0000-000069770000}"/>
    <cellStyle name="Normal 4 6 5" xfId="30570" xr:uid="{00000000-0005-0000-0000-00006A770000}"/>
    <cellStyle name="Normal 4 6_Enlaces" xfId="30571" xr:uid="{00000000-0005-0000-0000-00006B770000}"/>
    <cellStyle name="Normal 4 60" xfId="30572" xr:uid="{00000000-0005-0000-0000-00006C770000}"/>
    <cellStyle name="Normal 4 61" xfId="30573" xr:uid="{00000000-0005-0000-0000-00006D770000}"/>
    <cellStyle name="Normal 4 62" xfId="30574" xr:uid="{00000000-0005-0000-0000-00006E770000}"/>
    <cellStyle name="Normal 4 63" xfId="30575" xr:uid="{00000000-0005-0000-0000-00006F770000}"/>
    <cellStyle name="Normal 4 64" xfId="30576" xr:uid="{00000000-0005-0000-0000-000070770000}"/>
    <cellStyle name="Normal 4 65" xfId="30577" xr:uid="{00000000-0005-0000-0000-000071770000}"/>
    <cellStyle name="Normal 4 66" xfId="30578" xr:uid="{00000000-0005-0000-0000-000072770000}"/>
    <cellStyle name="Normal 4 67" xfId="30579" xr:uid="{00000000-0005-0000-0000-000073770000}"/>
    <cellStyle name="Normal 4 68" xfId="30580" xr:uid="{00000000-0005-0000-0000-000074770000}"/>
    <cellStyle name="Normal 4 69" xfId="30581" xr:uid="{00000000-0005-0000-0000-000075770000}"/>
    <cellStyle name="Normal 4 7" xfId="30582" xr:uid="{00000000-0005-0000-0000-000076770000}"/>
    <cellStyle name="Normal 4 7 2" xfId="30583" xr:uid="{00000000-0005-0000-0000-000077770000}"/>
    <cellStyle name="Normal 4 7 3" xfId="30584" xr:uid="{00000000-0005-0000-0000-000078770000}"/>
    <cellStyle name="Normal 4 7 4" xfId="30585" xr:uid="{00000000-0005-0000-0000-000079770000}"/>
    <cellStyle name="Normal 4 7 5" xfId="30586" xr:uid="{00000000-0005-0000-0000-00007A770000}"/>
    <cellStyle name="Normal 4 7_Enlaces" xfId="30587" xr:uid="{00000000-0005-0000-0000-00007B770000}"/>
    <cellStyle name="Normal 4 70" xfId="30588" xr:uid="{00000000-0005-0000-0000-00007C770000}"/>
    <cellStyle name="Normal 4 71" xfId="30589" xr:uid="{00000000-0005-0000-0000-00007D770000}"/>
    <cellStyle name="Normal 4 72" xfId="30590" xr:uid="{00000000-0005-0000-0000-00007E770000}"/>
    <cellStyle name="Normal 4 73" xfId="30591" xr:uid="{00000000-0005-0000-0000-00007F770000}"/>
    <cellStyle name="Normal 4 74" xfId="30592" xr:uid="{00000000-0005-0000-0000-000080770000}"/>
    <cellStyle name="Normal 4 75" xfId="30593" xr:uid="{00000000-0005-0000-0000-000081770000}"/>
    <cellStyle name="Normal 4 76" xfId="30594" xr:uid="{00000000-0005-0000-0000-000082770000}"/>
    <cellStyle name="Normal 4 77" xfId="30595" xr:uid="{00000000-0005-0000-0000-000083770000}"/>
    <cellStyle name="Normal 4 78" xfId="30596" xr:uid="{00000000-0005-0000-0000-000084770000}"/>
    <cellStyle name="Normal 4 79" xfId="30597" xr:uid="{00000000-0005-0000-0000-000085770000}"/>
    <cellStyle name="Normal 4 8" xfId="30598" xr:uid="{00000000-0005-0000-0000-000086770000}"/>
    <cellStyle name="Normal 4 8 2" xfId="30599" xr:uid="{00000000-0005-0000-0000-000087770000}"/>
    <cellStyle name="Normal 4 8 3" xfId="30600" xr:uid="{00000000-0005-0000-0000-000088770000}"/>
    <cellStyle name="Normal 4 8 4" xfId="30601" xr:uid="{00000000-0005-0000-0000-000089770000}"/>
    <cellStyle name="Normal 4 8 5" xfId="30602" xr:uid="{00000000-0005-0000-0000-00008A770000}"/>
    <cellStyle name="Normal 4 8_Enlaces" xfId="30603" xr:uid="{00000000-0005-0000-0000-00008B770000}"/>
    <cellStyle name="Normal 4 80" xfId="30604" xr:uid="{00000000-0005-0000-0000-00008C770000}"/>
    <cellStyle name="Normal 4 81" xfId="30605" xr:uid="{00000000-0005-0000-0000-00008D770000}"/>
    <cellStyle name="Normal 4 82" xfId="30606" xr:uid="{00000000-0005-0000-0000-00008E770000}"/>
    <cellStyle name="Normal 4 83" xfId="30607" xr:uid="{00000000-0005-0000-0000-00008F770000}"/>
    <cellStyle name="Normal 4 84" xfId="30608" xr:uid="{00000000-0005-0000-0000-000090770000}"/>
    <cellStyle name="Normal 4 85" xfId="30609" xr:uid="{00000000-0005-0000-0000-000091770000}"/>
    <cellStyle name="Normal 4 86" xfId="30610" xr:uid="{00000000-0005-0000-0000-000092770000}"/>
    <cellStyle name="Normal 4 87" xfId="30611" xr:uid="{00000000-0005-0000-0000-000093770000}"/>
    <cellStyle name="Normal 4 88" xfId="30612" xr:uid="{00000000-0005-0000-0000-000094770000}"/>
    <cellStyle name="Normal 4 89" xfId="30613" xr:uid="{00000000-0005-0000-0000-000095770000}"/>
    <cellStyle name="Normal 4 9" xfId="30614" xr:uid="{00000000-0005-0000-0000-000096770000}"/>
    <cellStyle name="Normal 4 9 2" xfId="30615" xr:uid="{00000000-0005-0000-0000-000097770000}"/>
    <cellStyle name="Normal 4 9 3" xfId="30616" xr:uid="{00000000-0005-0000-0000-000098770000}"/>
    <cellStyle name="Normal 4 9 4" xfId="30617" xr:uid="{00000000-0005-0000-0000-000099770000}"/>
    <cellStyle name="Normal 4 9 5" xfId="30618" xr:uid="{00000000-0005-0000-0000-00009A770000}"/>
    <cellStyle name="Normal 4 9_Enlaces" xfId="30619" xr:uid="{00000000-0005-0000-0000-00009B770000}"/>
    <cellStyle name="Normal 4 90" xfId="30620" xr:uid="{00000000-0005-0000-0000-00009C770000}"/>
    <cellStyle name="Normal 4 91" xfId="30621" xr:uid="{00000000-0005-0000-0000-00009D770000}"/>
    <cellStyle name="Normal 4 92" xfId="30622" xr:uid="{00000000-0005-0000-0000-00009E770000}"/>
    <cellStyle name="Normal 4 93" xfId="30623" xr:uid="{00000000-0005-0000-0000-00009F770000}"/>
    <cellStyle name="Normal 4 94" xfId="30624" xr:uid="{00000000-0005-0000-0000-0000A0770000}"/>
    <cellStyle name="Normal 4 95" xfId="30625" xr:uid="{00000000-0005-0000-0000-0000A1770000}"/>
    <cellStyle name="Normal 4 96" xfId="30626" xr:uid="{00000000-0005-0000-0000-0000A2770000}"/>
    <cellStyle name="Normal 4 97" xfId="30627" xr:uid="{00000000-0005-0000-0000-0000A3770000}"/>
    <cellStyle name="Normal 4 98" xfId="30628" xr:uid="{00000000-0005-0000-0000-0000A4770000}"/>
    <cellStyle name="Normal 4 98 2" xfId="30629" xr:uid="{00000000-0005-0000-0000-0000A5770000}"/>
    <cellStyle name="Normal 4 98 3" xfId="30630" xr:uid="{00000000-0005-0000-0000-0000A6770000}"/>
    <cellStyle name="Normal 4 98 4" xfId="30631" xr:uid="{00000000-0005-0000-0000-0000A7770000}"/>
    <cellStyle name="Normal 4 98 5" xfId="30632" xr:uid="{00000000-0005-0000-0000-0000A8770000}"/>
    <cellStyle name="Normal 4 98 6" xfId="30633" xr:uid="{00000000-0005-0000-0000-0000A9770000}"/>
    <cellStyle name="Normal 4 99" xfId="30634" xr:uid="{00000000-0005-0000-0000-0000AA770000}"/>
    <cellStyle name="Normal 4 99 2" xfId="30635" xr:uid="{00000000-0005-0000-0000-0000AB770000}"/>
    <cellStyle name="Normal 4 99 3" xfId="30636" xr:uid="{00000000-0005-0000-0000-0000AC770000}"/>
    <cellStyle name="Normal 4 99 4" xfId="30637" xr:uid="{00000000-0005-0000-0000-0000AD770000}"/>
    <cellStyle name="Normal 4 99 5" xfId="30638" xr:uid="{00000000-0005-0000-0000-0000AE770000}"/>
    <cellStyle name="Normal 4 99 6" xfId="30639" xr:uid="{00000000-0005-0000-0000-0000AF770000}"/>
    <cellStyle name="Normal 4_Enlaces" xfId="30640" xr:uid="{00000000-0005-0000-0000-0000B0770000}"/>
    <cellStyle name="Normal 40" xfId="30641" xr:uid="{00000000-0005-0000-0000-0000B1770000}"/>
    <cellStyle name="Normal 40 10" xfId="30642" xr:uid="{00000000-0005-0000-0000-0000B2770000}"/>
    <cellStyle name="Normal 40 11" xfId="30643" xr:uid="{00000000-0005-0000-0000-0000B3770000}"/>
    <cellStyle name="Normal 40 12" xfId="30644" xr:uid="{00000000-0005-0000-0000-0000B4770000}"/>
    <cellStyle name="Normal 40 13" xfId="30645" xr:uid="{00000000-0005-0000-0000-0000B5770000}"/>
    <cellStyle name="Normal 40 14" xfId="30646" xr:uid="{00000000-0005-0000-0000-0000B6770000}"/>
    <cellStyle name="Normal 40 15" xfId="30647" xr:uid="{00000000-0005-0000-0000-0000B7770000}"/>
    <cellStyle name="Normal 40 16" xfId="30648" xr:uid="{00000000-0005-0000-0000-0000B8770000}"/>
    <cellStyle name="Normal 40 17" xfId="30649" xr:uid="{00000000-0005-0000-0000-0000B9770000}"/>
    <cellStyle name="Normal 40 18" xfId="30650" xr:uid="{00000000-0005-0000-0000-0000BA770000}"/>
    <cellStyle name="Normal 40 19" xfId="30651" xr:uid="{00000000-0005-0000-0000-0000BB770000}"/>
    <cellStyle name="Normal 40 2" xfId="30652" xr:uid="{00000000-0005-0000-0000-0000BC770000}"/>
    <cellStyle name="Normal 40 2 2" xfId="30653" xr:uid="{00000000-0005-0000-0000-0000BD770000}"/>
    <cellStyle name="Normal 40 20" xfId="30654" xr:uid="{00000000-0005-0000-0000-0000BE770000}"/>
    <cellStyle name="Normal 40 21" xfId="30655" xr:uid="{00000000-0005-0000-0000-0000BF770000}"/>
    <cellStyle name="Normal 40 22" xfId="30656" xr:uid="{00000000-0005-0000-0000-0000C0770000}"/>
    <cellStyle name="Normal 40 23" xfId="30657" xr:uid="{00000000-0005-0000-0000-0000C1770000}"/>
    <cellStyle name="Normal 40 24" xfId="30658" xr:uid="{00000000-0005-0000-0000-0000C2770000}"/>
    <cellStyle name="Normal 40 25" xfId="30659" xr:uid="{00000000-0005-0000-0000-0000C3770000}"/>
    <cellStyle name="Normal 40 26" xfId="30660" xr:uid="{00000000-0005-0000-0000-0000C4770000}"/>
    <cellStyle name="Normal 40 3" xfId="30661" xr:uid="{00000000-0005-0000-0000-0000C5770000}"/>
    <cellStyle name="Normal 40 3 2" xfId="30662" xr:uid="{00000000-0005-0000-0000-0000C6770000}"/>
    <cellStyle name="Normal 40 4" xfId="30663" xr:uid="{00000000-0005-0000-0000-0000C7770000}"/>
    <cellStyle name="Normal 40 4 2" xfId="30664" xr:uid="{00000000-0005-0000-0000-0000C8770000}"/>
    <cellStyle name="Normal 40 5" xfId="30665" xr:uid="{00000000-0005-0000-0000-0000C9770000}"/>
    <cellStyle name="Normal 40 5 2" xfId="30666" xr:uid="{00000000-0005-0000-0000-0000CA770000}"/>
    <cellStyle name="Normal 40 6" xfId="30667" xr:uid="{00000000-0005-0000-0000-0000CB770000}"/>
    <cellStyle name="Normal 40 7" xfId="30668" xr:uid="{00000000-0005-0000-0000-0000CC770000}"/>
    <cellStyle name="Normal 40 8" xfId="30669" xr:uid="{00000000-0005-0000-0000-0000CD770000}"/>
    <cellStyle name="Normal 40 9" xfId="30670" xr:uid="{00000000-0005-0000-0000-0000CE770000}"/>
    <cellStyle name="Normal 41" xfId="30671" xr:uid="{00000000-0005-0000-0000-0000CF770000}"/>
    <cellStyle name="Normal 41 10" xfId="30672" xr:uid="{00000000-0005-0000-0000-0000D0770000}"/>
    <cellStyle name="Normal 41 11" xfId="30673" xr:uid="{00000000-0005-0000-0000-0000D1770000}"/>
    <cellStyle name="Normal 41 12" xfId="30674" xr:uid="{00000000-0005-0000-0000-0000D2770000}"/>
    <cellStyle name="Normal 41 13" xfId="30675" xr:uid="{00000000-0005-0000-0000-0000D3770000}"/>
    <cellStyle name="Normal 41 14" xfId="30676" xr:uid="{00000000-0005-0000-0000-0000D4770000}"/>
    <cellStyle name="Normal 41 15" xfId="30677" xr:uid="{00000000-0005-0000-0000-0000D5770000}"/>
    <cellStyle name="Normal 41 16" xfId="30678" xr:uid="{00000000-0005-0000-0000-0000D6770000}"/>
    <cellStyle name="Normal 41 17" xfId="30679" xr:uid="{00000000-0005-0000-0000-0000D7770000}"/>
    <cellStyle name="Normal 41 18" xfId="30680" xr:uid="{00000000-0005-0000-0000-0000D8770000}"/>
    <cellStyle name="Normal 41 19" xfId="30681" xr:uid="{00000000-0005-0000-0000-0000D9770000}"/>
    <cellStyle name="Normal 41 2" xfId="30682" xr:uid="{00000000-0005-0000-0000-0000DA770000}"/>
    <cellStyle name="Normal 41 2 2" xfId="30683" xr:uid="{00000000-0005-0000-0000-0000DB770000}"/>
    <cellStyle name="Normal 41 20" xfId="30684" xr:uid="{00000000-0005-0000-0000-0000DC770000}"/>
    <cellStyle name="Normal 41 21" xfId="30685" xr:uid="{00000000-0005-0000-0000-0000DD770000}"/>
    <cellStyle name="Normal 41 22" xfId="30686" xr:uid="{00000000-0005-0000-0000-0000DE770000}"/>
    <cellStyle name="Normal 41 23" xfId="30687" xr:uid="{00000000-0005-0000-0000-0000DF770000}"/>
    <cellStyle name="Normal 41 24" xfId="30688" xr:uid="{00000000-0005-0000-0000-0000E0770000}"/>
    <cellStyle name="Normal 41 25" xfId="30689" xr:uid="{00000000-0005-0000-0000-0000E1770000}"/>
    <cellStyle name="Normal 41 26" xfId="30690" xr:uid="{00000000-0005-0000-0000-0000E2770000}"/>
    <cellStyle name="Normal 41 3" xfId="30691" xr:uid="{00000000-0005-0000-0000-0000E3770000}"/>
    <cellStyle name="Normal 41 3 2" xfId="30692" xr:uid="{00000000-0005-0000-0000-0000E4770000}"/>
    <cellStyle name="Normal 41 4" xfId="30693" xr:uid="{00000000-0005-0000-0000-0000E5770000}"/>
    <cellStyle name="Normal 41 4 2" xfId="30694" xr:uid="{00000000-0005-0000-0000-0000E6770000}"/>
    <cellStyle name="Normal 41 5" xfId="30695" xr:uid="{00000000-0005-0000-0000-0000E7770000}"/>
    <cellStyle name="Normal 41 5 2" xfId="30696" xr:uid="{00000000-0005-0000-0000-0000E8770000}"/>
    <cellStyle name="Normal 41 6" xfId="30697" xr:uid="{00000000-0005-0000-0000-0000E9770000}"/>
    <cellStyle name="Normal 41 7" xfId="30698" xr:uid="{00000000-0005-0000-0000-0000EA770000}"/>
    <cellStyle name="Normal 41 8" xfId="30699" xr:uid="{00000000-0005-0000-0000-0000EB770000}"/>
    <cellStyle name="Normal 41 9" xfId="30700" xr:uid="{00000000-0005-0000-0000-0000EC770000}"/>
    <cellStyle name="Normal 42" xfId="30701" xr:uid="{00000000-0005-0000-0000-0000ED770000}"/>
    <cellStyle name="Normal 43" xfId="30702" xr:uid="{00000000-0005-0000-0000-0000EE770000}"/>
    <cellStyle name="Normal 43 10" xfId="30703" xr:uid="{00000000-0005-0000-0000-0000EF770000}"/>
    <cellStyle name="Normal 43 11" xfId="30704" xr:uid="{00000000-0005-0000-0000-0000F0770000}"/>
    <cellStyle name="Normal 43 12" xfId="30705" xr:uid="{00000000-0005-0000-0000-0000F1770000}"/>
    <cellStyle name="Normal 43 13" xfId="30706" xr:uid="{00000000-0005-0000-0000-0000F2770000}"/>
    <cellStyle name="Normal 43 14" xfId="30707" xr:uid="{00000000-0005-0000-0000-0000F3770000}"/>
    <cellStyle name="Normal 43 15" xfId="30708" xr:uid="{00000000-0005-0000-0000-0000F4770000}"/>
    <cellStyle name="Normal 43 16" xfId="30709" xr:uid="{00000000-0005-0000-0000-0000F5770000}"/>
    <cellStyle name="Normal 43 17" xfId="30710" xr:uid="{00000000-0005-0000-0000-0000F6770000}"/>
    <cellStyle name="Normal 43 18" xfId="30711" xr:uid="{00000000-0005-0000-0000-0000F7770000}"/>
    <cellStyle name="Normal 43 19" xfId="30712" xr:uid="{00000000-0005-0000-0000-0000F8770000}"/>
    <cellStyle name="Normal 43 2" xfId="30713" xr:uid="{00000000-0005-0000-0000-0000F9770000}"/>
    <cellStyle name="Normal 43 2 2" xfId="30714" xr:uid="{00000000-0005-0000-0000-0000FA770000}"/>
    <cellStyle name="Normal 43 20" xfId="30715" xr:uid="{00000000-0005-0000-0000-0000FB770000}"/>
    <cellStyle name="Normal 43 21" xfId="30716" xr:uid="{00000000-0005-0000-0000-0000FC770000}"/>
    <cellStyle name="Normal 43 22" xfId="30717" xr:uid="{00000000-0005-0000-0000-0000FD770000}"/>
    <cellStyle name="Normal 43 23" xfId="30718" xr:uid="{00000000-0005-0000-0000-0000FE770000}"/>
    <cellStyle name="Normal 43 24" xfId="30719" xr:uid="{00000000-0005-0000-0000-0000FF770000}"/>
    <cellStyle name="Normal 43 25" xfId="30720" xr:uid="{00000000-0005-0000-0000-000000780000}"/>
    <cellStyle name="Normal 43 26" xfId="30721" xr:uid="{00000000-0005-0000-0000-000001780000}"/>
    <cellStyle name="Normal 43 27" xfId="30722" xr:uid="{00000000-0005-0000-0000-000002780000}"/>
    <cellStyle name="Normal 43 28" xfId="30723" xr:uid="{00000000-0005-0000-0000-000003780000}"/>
    <cellStyle name="Normal 43 3" xfId="30724" xr:uid="{00000000-0005-0000-0000-000004780000}"/>
    <cellStyle name="Normal 43 3 2" xfId="30725" xr:uid="{00000000-0005-0000-0000-000005780000}"/>
    <cellStyle name="Normal 43 4" xfId="30726" xr:uid="{00000000-0005-0000-0000-000006780000}"/>
    <cellStyle name="Normal 43 4 2" xfId="30727" xr:uid="{00000000-0005-0000-0000-000007780000}"/>
    <cellStyle name="Normal 43 5" xfId="30728" xr:uid="{00000000-0005-0000-0000-000008780000}"/>
    <cellStyle name="Normal 43 5 2" xfId="30729" xr:uid="{00000000-0005-0000-0000-000009780000}"/>
    <cellStyle name="Normal 43 6" xfId="30730" xr:uid="{00000000-0005-0000-0000-00000A780000}"/>
    <cellStyle name="Normal 43 7" xfId="30731" xr:uid="{00000000-0005-0000-0000-00000B780000}"/>
    <cellStyle name="Normal 43 8" xfId="30732" xr:uid="{00000000-0005-0000-0000-00000C780000}"/>
    <cellStyle name="Normal 43 9" xfId="30733" xr:uid="{00000000-0005-0000-0000-00000D780000}"/>
    <cellStyle name="Normal 44" xfId="30734" xr:uid="{00000000-0005-0000-0000-00000E780000}"/>
    <cellStyle name="Normal 44 10" xfId="30735" xr:uid="{00000000-0005-0000-0000-00000F780000}"/>
    <cellStyle name="Normal 44 11" xfId="30736" xr:uid="{00000000-0005-0000-0000-000010780000}"/>
    <cellStyle name="Normal 44 12" xfId="30737" xr:uid="{00000000-0005-0000-0000-000011780000}"/>
    <cellStyle name="Normal 44 13" xfId="30738" xr:uid="{00000000-0005-0000-0000-000012780000}"/>
    <cellStyle name="Normal 44 14" xfId="30739" xr:uid="{00000000-0005-0000-0000-000013780000}"/>
    <cellStyle name="Normal 44 15" xfId="30740" xr:uid="{00000000-0005-0000-0000-000014780000}"/>
    <cellStyle name="Normal 44 16" xfId="30741" xr:uid="{00000000-0005-0000-0000-000015780000}"/>
    <cellStyle name="Normal 44 17" xfId="30742" xr:uid="{00000000-0005-0000-0000-000016780000}"/>
    <cellStyle name="Normal 44 18" xfId="30743" xr:uid="{00000000-0005-0000-0000-000017780000}"/>
    <cellStyle name="Normal 44 19" xfId="30744" xr:uid="{00000000-0005-0000-0000-000018780000}"/>
    <cellStyle name="Normal 44 2" xfId="30745" xr:uid="{00000000-0005-0000-0000-000019780000}"/>
    <cellStyle name="Normal 44 2 2" xfId="30746" xr:uid="{00000000-0005-0000-0000-00001A780000}"/>
    <cellStyle name="Normal 44 20" xfId="30747" xr:uid="{00000000-0005-0000-0000-00001B780000}"/>
    <cellStyle name="Normal 44 21" xfId="30748" xr:uid="{00000000-0005-0000-0000-00001C780000}"/>
    <cellStyle name="Normal 44 22" xfId="30749" xr:uid="{00000000-0005-0000-0000-00001D780000}"/>
    <cellStyle name="Normal 44 23" xfId="30750" xr:uid="{00000000-0005-0000-0000-00001E780000}"/>
    <cellStyle name="Normal 44 24" xfId="30751" xr:uid="{00000000-0005-0000-0000-00001F780000}"/>
    <cellStyle name="Normal 44 25" xfId="30752" xr:uid="{00000000-0005-0000-0000-000020780000}"/>
    <cellStyle name="Normal 44 26" xfId="30753" xr:uid="{00000000-0005-0000-0000-000021780000}"/>
    <cellStyle name="Normal 44 3" xfId="30754" xr:uid="{00000000-0005-0000-0000-000022780000}"/>
    <cellStyle name="Normal 44 3 2" xfId="30755" xr:uid="{00000000-0005-0000-0000-000023780000}"/>
    <cellStyle name="Normal 44 4" xfId="30756" xr:uid="{00000000-0005-0000-0000-000024780000}"/>
    <cellStyle name="Normal 44 4 2" xfId="30757" xr:uid="{00000000-0005-0000-0000-000025780000}"/>
    <cellStyle name="Normal 44 5" xfId="30758" xr:uid="{00000000-0005-0000-0000-000026780000}"/>
    <cellStyle name="Normal 44 5 2" xfId="30759" xr:uid="{00000000-0005-0000-0000-000027780000}"/>
    <cellStyle name="Normal 44 6" xfId="30760" xr:uid="{00000000-0005-0000-0000-000028780000}"/>
    <cellStyle name="Normal 44 7" xfId="30761" xr:uid="{00000000-0005-0000-0000-000029780000}"/>
    <cellStyle name="Normal 44 8" xfId="30762" xr:uid="{00000000-0005-0000-0000-00002A780000}"/>
    <cellStyle name="Normal 44 9" xfId="30763" xr:uid="{00000000-0005-0000-0000-00002B780000}"/>
    <cellStyle name="Normal 45" xfId="30764" xr:uid="{00000000-0005-0000-0000-00002C780000}"/>
    <cellStyle name="Normal 46" xfId="30765" xr:uid="{00000000-0005-0000-0000-00002D780000}"/>
    <cellStyle name="Normal 47" xfId="30766" xr:uid="{00000000-0005-0000-0000-00002E780000}"/>
    <cellStyle name="Normal 48" xfId="30767" xr:uid="{00000000-0005-0000-0000-00002F780000}"/>
    <cellStyle name="Normal 49" xfId="30768" xr:uid="{00000000-0005-0000-0000-000030780000}"/>
    <cellStyle name="Normal 49 10" xfId="30769" xr:uid="{00000000-0005-0000-0000-000031780000}"/>
    <cellStyle name="Normal 49 11" xfId="30770" xr:uid="{00000000-0005-0000-0000-000032780000}"/>
    <cellStyle name="Normal 49 12" xfId="30771" xr:uid="{00000000-0005-0000-0000-000033780000}"/>
    <cellStyle name="Normal 49 13" xfId="30772" xr:uid="{00000000-0005-0000-0000-000034780000}"/>
    <cellStyle name="Normal 49 14" xfId="30773" xr:uid="{00000000-0005-0000-0000-000035780000}"/>
    <cellStyle name="Normal 49 15" xfId="30774" xr:uid="{00000000-0005-0000-0000-000036780000}"/>
    <cellStyle name="Normal 49 16" xfId="30775" xr:uid="{00000000-0005-0000-0000-000037780000}"/>
    <cellStyle name="Normal 49 17" xfId="30776" xr:uid="{00000000-0005-0000-0000-000038780000}"/>
    <cellStyle name="Normal 49 18" xfId="30777" xr:uid="{00000000-0005-0000-0000-000039780000}"/>
    <cellStyle name="Normal 49 19" xfId="30778" xr:uid="{00000000-0005-0000-0000-00003A780000}"/>
    <cellStyle name="Normal 49 2" xfId="30779" xr:uid="{00000000-0005-0000-0000-00003B780000}"/>
    <cellStyle name="Normal 49 2 2" xfId="30780" xr:uid="{00000000-0005-0000-0000-00003C780000}"/>
    <cellStyle name="Normal 49 20" xfId="30781" xr:uid="{00000000-0005-0000-0000-00003D780000}"/>
    <cellStyle name="Normal 49 21" xfId="30782" xr:uid="{00000000-0005-0000-0000-00003E780000}"/>
    <cellStyle name="Normal 49 22" xfId="30783" xr:uid="{00000000-0005-0000-0000-00003F780000}"/>
    <cellStyle name="Normal 49 23" xfId="30784" xr:uid="{00000000-0005-0000-0000-000040780000}"/>
    <cellStyle name="Normal 49 24" xfId="30785" xr:uid="{00000000-0005-0000-0000-000041780000}"/>
    <cellStyle name="Normal 49 25" xfId="30786" xr:uid="{00000000-0005-0000-0000-000042780000}"/>
    <cellStyle name="Normal 49 26" xfId="30787" xr:uid="{00000000-0005-0000-0000-000043780000}"/>
    <cellStyle name="Normal 49 3" xfId="30788" xr:uid="{00000000-0005-0000-0000-000044780000}"/>
    <cellStyle name="Normal 49 3 2" xfId="30789" xr:uid="{00000000-0005-0000-0000-000045780000}"/>
    <cellStyle name="Normal 49 4" xfId="30790" xr:uid="{00000000-0005-0000-0000-000046780000}"/>
    <cellStyle name="Normal 49 4 2" xfId="30791" xr:uid="{00000000-0005-0000-0000-000047780000}"/>
    <cellStyle name="Normal 49 5" xfId="30792" xr:uid="{00000000-0005-0000-0000-000048780000}"/>
    <cellStyle name="Normal 49 5 2" xfId="30793" xr:uid="{00000000-0005-0000-0000-000049780000}"/>
    <cellStyle name="Normal 49 6" xfId="30794" xr:uid="{00000000-0005-0000-0000-00004A780000}"/>
    <cellStyle name="Normal 49 7" xfId="30795" xr:uid="{00000000-0005-0000-0000-00004B780000}"/>
    <cellStyle name="Normal 49 8" xfId="30796" xr:uid="{00000000-0005-0000-0000-00004C780000}"/>
    <cellStyle name="Normal 49 9" xfId="30797" xr:uid="{00000000-0005-0000-0000-00004D780000}"/>
    <cellStyle name="Normal 5" xfId="23" xr:uid="{00000000-0005-0000-0000-000017000000}"/>
    <cellStyle name="Normal 5 10" xfId="36" xr:uid="{00000000-0005-0000-0000-000024000000}"/>
    <cellStyle name="Normal 5 10 10" xfId="30799" xr:uid="{00000000-0005-0000-0000-00004F780000}"/>
    <cellStyle name="Normal 5 10 10 10" xfId="30800" xr:uid="{00000000-0005-0000-0000-000050780000}"/>
    <cellStyle name="Normal 5 10 10 11" xfId="30801" xr:uid="{00000000-0005-0000-0000-000051780000}"/>
    <cellStyle name="Normal 5 10 10 12" xfId="30802" xr:uid="{00000000-0005-0000-0000-000052780000}"/>
    <cellStyle name="Normal 5 10 10 13" xfId="30803" xr:uid="{00000000-0005-0000-0000-000053780000}"/>
    <cellStyle name="Normal 5 10 10 14" xfId="30804" xr:uid="{00000000-0005-0000-0000-000054780000}"/>
    <cellStyle name="Normal 5 10 10 2" xfId="30805" xr:uid="{00000000-0005-0000-0000-000055780000}"/>
    <cellStyle name="Normal 5 10 10 2 10" xfId="30806" xr:uid="{00000000-0005-0000-0000-000056780000}"/>
    <cellStyle name="Normal 5 10 10 2 2" xfId="30807" xr:uid="{00000000-0005-0000-0000-000057780000}"/>
    <cellStyle name="Normal 5 10 10 2 3" xfId="30808" xr:uid="{00000000-0005-0000-0000-000058780000}"/>
    <cellStyle name="Normal 5 10 10 2 4" xfId="30809" xr:uid="{00000000-0005-0000-0000-000059780000}"/>
    <cellStyle name="Normal 5 10 10 2 5" xfId="30810" xr:uid="{00000000-0005-0000-0000-00005A780000}"/>
    <cellStyle name="Normal 5 10 10 2 6" xfId="30811" xr:uid="{00000000-0005-0000-0000-00005B780000}"/>
    <cellStyle name="Normal 5 10 10 2 7" xfId="30812" xr:uid="{00000000-0005-0000-0000-00005C780000}"/>
    <cellStyle name="Normal 5 10 10 2 8" xfId="30813" xr:uid="{00000000-0005-0000-0000-00005D780000}"/>
    <cellStyle name="Normal 5 10 10 2 9" xfId="30814" xr:uid="{00000000-0005-0000-0000-00005E780000}"/>
    <cellStyle name="Normal 5 10 10 3" xfId="30815" xr:uid="{00000000-0005-0000-0000-00005F780000}"/>
    <cellStyle name="Normal 5 10 10 3 10" xfId="30816" xr:uid="{00000000-0005-0000-0000-000060780000}"/>
    <cellStyle name="Normal 5 10 10 3 2" xfId="30817" xr:uid="{00000000-0005-0000-0000-000061780000}"/>
    <cellStyle name="Normal 5 10 10 3 3" xfId="30818" xr:uid="{00000000-0005-0000-0000-000062780000}"/>
    <cellStyle name="Normal 5 10 10 3 4" xfId="30819" xr:uid="{00000000-0005-0000-0000-000063780000}"/>
    <cellStyle name="Normal 5 10 10 3 5" xfId="30820" xr:uid="{00000000-0005-0000-0000-000064780000}"/>
    <cellStyle name="Normal 5 10 10 3 6" xfId="30821" xr:uid="{00000000-0005-0000-0000-000065780000}"/>
    <cellStyle name="Normal 5 10 10 3 7" xfId="30822" xr:uid="{00000000-0005-0000-0000-000066780000}"/>
    <cellStyle name="Normal 5 10 10 3 8" xfId="30823" xr:uid="{00000000-0005-0000-0000-000067780000}"/>
    <cellStyle name="Normal 5 10 10 3 9" xfId="30824" xr:uid="{00000000-0005-0000-0000-000068780000}"/>
    <cellStyle name="Normal 5 10 10 4" xfId="30825" xr:uid="{00000000-0005-0000-0000-000069780000}"/>
    <cellStyle name="Normal 5 10 10 4 10" xfId="30826" xr:uid="{00000000-0005-0000-0000-00006A780000}"/>
    <cellStyle name="Normal 5 10 10 4 2" xfId="30827" xr:uid="{00000000-0005-0000-0000-00006B780000}"/>
    <cellStyle name="Normal 5 10 10 4 3" xfId="30828" xr:uid="{00000000-0005-0000-0000-00006C780000}"/>
    <cellStyle name="Normal 5 10 10 4 4" xfId="30829" xr:uid="{00000000-0005-0000-0000-00006D780000}"/>
    <cellStyle name="Normal 5 10 10 4 5" xfId="30830" xr:uid="{00000000-0005-0000-0000-00006E780000}"/>
    <cellStyle name="Normal 5 10 10 4 6" xfId="30831" xr:uid="{00000000-0005-0000-0000-00006F780000}"/>
    <cellStyle name="Normal 5 10 10 4 7" xfId="30832" xr:uid="{00000000-0005-0000-0000-000070780000}"/>
    <cellStyle name="Normal 5 10 10 4 8" xfId="30833" xr:uid="{00000000-0005-0000-0000-000071780000}"/>
    <cellStyle name="Normal 5 10 10 4 9" xfId="30834" xr:uid="{00000000-0005-0000-0000-000072780000}"/>
    <cellStyle name="Normal 5 10 10 5" xfId="30835" xr:uid="{00000000-0005-0000-0000-000073780000}"/>
    <cellStyle name="Normal 5 10 10 5 10" xfId="30836" xr:uid="{00000000-0005-0000-0000-000074780000}"/>
    <cellStyle name="Normal 5 10 10 5 2" xfId="30837" xr:uid="{00000000-0005-0000-0000-000075780000}"/>
    <cellStyle name="Normal 5 10 10 5 3" xfId="30838" xr:uid="{00000000-0005-0000-0000-000076780000}"/>
    <cellStyle name="Normal 5 10 10 5 4" xfId="30839" xr:uid="{00000000-0005-0000-0000-000077780000}"/>
    <cellStyle name="Normal 5 10 10 5 5" xfId="30840" xr:uid="{00000000-0005-0000-0000-000078780000}"/>
    <cellStyle name="Normal 5 10 10 5 6" xfId="30841" xr:uid="{00000000-0005-0000-0000-000079780000}"/>
    <cellStyle name="Normal 5 10 10 5 7" xfId="30842" xr:uid="{00000000-0005-0000-0000-00007A780000}"/>
    <cellStyle name="Normal 5 10 10 5 8" xfId="30843" xr:uid="{00000000-0005-0000-0000-00007B780000}"/>
    <cellStyle name="Normal 5 10 10 5 9" xfId="30844" xr:uid="{00000000-0005-0000-0000-00007C780000}"/>
    <cellStyle name="Normal 5 10 10 6" xfId="30845" xr:uid="{00000000-0005-0000-0000-00007D780000}"/>
    <cellStyle name="Normal 5 10 10 7" xfId="30846" xr:uid="{00000000-0005-0000-0000-00007E780000}"/>
    <cellStyle name="Normal 5 10 10 8" xfId="30847" xr:uid="{00000000-0005-0000-0000-00007F780000}"/>
    <cellStyle name="Normal 5 10 10 9" xfId="30848" xr:uid="{00000000-0005-0000-0000-000080780000}"/>
    <cellStyle name="Normal 5 10 11" xfId="30849" xr:uid="{00000000-0005-0000-0000-000081780000}"/>
    <cellStyle name="Normal 5 10 11 10" xfId="30850" xr:uid="{00000000-0005-0000-0000-000082780000}"/>
    <cellStyle name="Normal 5 10 11 11" xfId="30851" xr:uid="{00000000-0005-0000-0000-000083780000}"/>
    <cellStyle name="Normal 5 10 11 12" xfId="30852" xr:uid="{00000000-0005-0000-0000-000084780000}"/>
    <cellStyle name="Normal 5 10 11 13" xfId="30853" xr:uid="{00000000-0005-0000-0000-000085780000}"/>
    <cellStyle name="Normal 5 10 11 14" xfId="30854" xr:uid="{00000000-0005-0000-0000-000086780000}"/>
    <cellStyle name="Normal 5 10 11 2" xfId="30855" xr:uid="{00000000-0005-0000-0000-000087780000}"/>
    <cellStyle name="Normal 5 10 11 2 10" xfId="30856" xr:uid="{00000000-0005-0000-0000-000088780000}"/>
    <cellStyle name="Normal 5 10 11 2 2" xfId="30857" xr:uid="{00000000-0005-0000-0000-000089780000}"/>
    <cellStyle name="Normal 5 10 11 2 3" xfId="30858" xr:uid="{00000000-0005-0000-0000-00008A780000}"/>
    <cellStyle name="Normal 5 10 11 2 4" xfId="30859" xr:uid="{00000000-0005-0000-0000-00008B780000}"/>
    <cellStyle name="Normal 5 10 11 2 5" xfId="30860" xr:uid="{00000000-0005-0000-0000-00008C780000}"/>
    <cellStyle name="Normal 5 10 11 2 6" xfId="30861" xr:uid="{00000000-0005-0000-0000-00008D780000}"/>
    <cellStyle name="Normal 5 10 11 2 7" xfId="30862" xr:uid="{00000000-0005-0000-0000-00008E780000}"/>
    <cellStyle name="Normal 5 10 11 2 8" xfId="30863" xr:uid="{00000000-0005-0000-0000-00008F780000}"/>
    <cellStyle name="Normal 5 10 11 2 9" xfId="30864" xr:uid="{00000000-0005-0000-0000-000090780000}"/>
    <cellStyle name="Normal 5 10 11 3" xfId="30865" xr:uid="{00000000-0005-0000-0000-000091780000}"/>
    <cellStyle name="Normal 5 10 11 3 10" xfId="30866" xr:uid="{00000000-0005-0000-0000-000092780000}"/>
    <cellStyle name="Normal 5 10 11 3 2" xfId="30867" xr:uid="{00000000-0005-0000-0000-000093780000}"/>
    <cellStyle name="Normal 5 10 11 3 3" xfId="30868" xr:uid="{00000000-0005-0000-0000-000094780000}"/>
    <cellStyle name="Normal 5 10 11 3 4" xfId="30869" xr:uid="{00000000-0005-0000-0000-000095780000}"/>
    <cellStyle name="Normal 5 10 11 3 5" xfId="30870" xr:uid="{00000000-0005-0000-0000-000096780000}"/>
    <cellStyle name="Normal 5 10 11 3 6" xfId="30871" xr:uid="{00000000-0005-0000-0000-000097780000}"/>
    <cellStyle name="Normal 5 10 11 3 7" xfId="30872" xr:uid="{00000000-0005-0000-0000-000098780000}"/>
    <cellStyle name="Normal 5 10 11 3 8" xfId="30873" xr:uid="{00000000-0005-0000-0000-000099780000}"/>
    <cellStyle name="Normal 5 10 11 3 9" xfId="30874" xr:uid="{00000000-0005-0000-0000-00009A780000}"/>
    <cellStyle name="Normal 5 10 11 4" xfId="30875" xr:uid="{00000000-0005-0000-0000-00009B780000}"/>
    <cellStyle name="Normal 5 10 11 4 10" xfId="30876" xr:uid="{00000000-0005-0000-0000-00009C780000}"/>
    <cellStyle name="Normal 5 10 11 4 2" xfId="30877" xr:uid="{00000000-0005-0000-0000-00009D780000}"/>
    <cellStyle name="Normal 5 10 11 4 3" xfId="30878" xr:uid="{00000000-0005-0000-0000-00009E780000}"/>
    <cellStyle name="Normal 5 10 11 4 4" xfId="30879" xr:uid="{00000000-0005-0000-0000-00009F780000}"/>
    <cellStyle name="Normal 5 10 11 4 5" xfId="30880" xr:uid="{00000000-0005-0000-0000-0000A0780000}"/>
    <cellStyle name="Normal 5 10 11 4 6" xfId="30881" xr:uid="{00000000-0005-0000-0000-0000A1780000}"/>
    <cellStyle name="Normal 5 10 11 4 7" xfId="30882" xr:uid="{00000000-0005-0000-0000-0000A2780000}"/>
    <cellStyle name="Normal 5 10 11 4 8" xfId="30883" xr:uid="{00000000-0005-0000-0000-0000A3780000}"/>
    <cellStyle name="Normal 5 10 11 4 9" xfId="30884" xr:uid="{00000000-0005-0000-0000-0000A4780000}"/>
    <cellStyle name="Normal 5 10 11 5" xfId="30885" xr:uid="{00000000-0005-0000-0000-0000A5780000}"/>
    <cellStyle name="Normal 5 10 11 5 10" xfId="30886" xr:uid="{00000000-0005-0000-0000-0000A6780000}"/>
    <cellStyle name="Normal 5 10 11 5 2" xfId="30887" xr:uid="{00000000-0005-0000-0000-0000A7780000}"/>
    <cellStyle name="Normal 5 10 11 5 3" xfId="30888" xr:uid="{00000000-0005-0000-0000-0000A8780000}"/>
    <cellStyle name="Normal 5 10 11 5 4" xfId="30889" xr:uid="{00000000-0005-0000-0000-0000A9780000}"/>
    <cellStyle name="Normal 5 10 11 5 5" xfId="30890" xr:uid="{00000000-0005-0000-0000-0000AA780000}"/>
    <cellStyle name="Normal 5 10 11 5 6" xfId="30891" xr:uid="{00000000-0005-0000-0000-0000AB780000}"/>
    <cellStyle name="Normal 5 10 11 5 7" xfId="30892" xr:uid="{00000000-0005-0000-0000-0000AC780000}"/>
    <cellStyle name="Normal 5 10 11 5 8" xfId="30893" xr:uid="{00000000-0005-0000-0000-0000AD780000}"/>
    <cellStyle name="Normal 5 10 11 5 9" xfId="30894" xr:uid="{00000000-0005-0000-0000-0000AE780000}"/>
    <cellStyle name="Normal 5 10 11 6" xfId="30895" xr:uid="{00000000-0005-0000-0000-0000AF780000}"/>
    <cellStyle name="Normal 5 10 11 7" xfId="30896" xr:uid="{00000000-0005-0000-0000-0000B0780000}"/>
    <cellStyle name="Normal 5 10 11 8" xfId="30897" xr:uid="{00000000-0005-0000-0000-0000B1780000}"/>
    <cellStyle name="Normal 5 10 11 9" xfId="30898" xr:uid="{00000000-0005-0000-0000-0000B2780000}"/>
    <cellStyle name="Normal 5 10 12" xfId="30899" xr:uid="{00000000-0005-0000-0000-0000B3780000}"/>
    <cellStyle name="Normal 5 10 12 10" xfId="30900" xr:uid="{00000000-0005-0000-0000-0000B4780000}"/>
    <cellStyle name="Normal 5 10 12 11" xfId="30901" xr:uid="{00000000-0005-0000-0000-0000B5780000}"/>
    <cellStyle name="Normal 5 10 12 12" xfId="30902" xr:uid="{00000000-0005-0000-0000-0000B6780000}"/>
    <cellStyle name="Normal 5 10 12 13" xfId="30903" xr:uid="{00000000-0005-0000-0000-0000B7780000}"/>
    <cellStyle name="Normal 5 10 12 14" xfId="30904" xr:uid="{00000000-0005-0000-0000-0000B8780000}"/>
    <cellStyle name="Normal 5 10 12 2" xfId="30905" xr:uid="{00000000-0005-0000-0000-0000B9780000}"/>
    <cellStyle name="Normal 5 10 12 2 10" xfId="30906" xr:uid="{00000000-0005-0000-0000-0000BA780000}"/>
    <cellStyle name="Normal 5 10 12 2 2" xfId="30907" xr:uid="{00000000-0005-0000-0000-0000BB780000}"/>
    <cellStyle name="Normal 5 10 12 2 3" xfId="30908" xr:uid="{00000000-0005-0000-0000-0000BC780000}"/>
    <cellStyle name="Normal 5 10 12 2 4" xfId="30909" xr:uid="{00000000-0005-0000-0000-0000BD780000}"/>
    <cellStyle name="Normal 5 10 12 2 5" xfId="30910" xr:uid="{00000000-0005-0000-0000-0000BE780000}"/>
    <cellStyle name="Normal 5 10 12 2 6" xfId="30911" xr:uid="{00000000-0005-0000-0000-0000BF780000}"/>
    <cellStyle name="Normal 5 10 12 2 7" xfId="30912" xr:uid="{00000000-0005-0000-0000-0000C0780000}"/>
    <cellStyle name="Normal 5 10 12 2 8" xfId="30913" xr:uid="{00000000-0005-0000-0000-0000C1780000}"/>
    <cellStyle name="Normal 5 10 12 2 9" xfId="30914" xr:uid="{00000000-0005-0000-0000-0000C2780000}"/>
    <cellStyle name="Normal 5 10 12 3" xfId="30915" xr:uid="{00000000-0005-0000-0000-0000C3780000}"/>
    <cellStyle name="Normal 5 10 12 3 10" xfId="30916" xr:uid="{00000000-0005-0000-0000-0000C4780000}"/>
    <cellStyle name="Normal 5 10 12 3 2" xfId="30917" xr:uid="{00000000-0005-0000-0000-0000C5780000}"/>
    <cellStyle name="Normal 5 10 12 3 3" xfId="30918" xr:uid="{00000000-0005-0000-0000-0000C6780000}"/>
    <cellStyle name="Normal 5 10 12 3 4" xfId="30919" xr:uid="{00000000-0005-0000-0000-0000C7780000}"/>
    <cellStyle name="Normal 5 10 12 3 5" xfId="30920" xr:uid="{00000000-0005-0000-0000-0000C8780000}"/>
    <cellStyle name="Normal 5 10 12 3 6" xfId="30921" xr:uid="{00000000-0005-0000-0000-0000C9780000}"/>
    <cellStyle name="Normal 5 10 12 3 7" xfId="30922" xr:uid="{00000000-0005-0000-0000-0000CA780000}"/>
    <cellStyle name="Normal 5 10 12 3 8" xfId="30923" xr:uid="{00000000-0005-0000-0000-0000CB780000}"/>
    <cellStyle name="Normal 5 10 12 3 9" xfId="30924" xr:uid="{00000000-0005-0000-0000-0000CC780000}"/>
    <cellStyle name="Normal 5 10 12 4" xfId="30925" xr:uid="{00000000-0005-0000-0000-0000CD780000}"/>
    <cellStyle name="Normal 5 10 12 4 10" xfId="30926" xr:uid="{00000000-0005-0000-0000-0000CE780000}"/>
    <cellStyle name="Normal 5 10 12 4 2" xfId="30927" xr:uid="{00000000-0005-0000-0000-0000CF780000}"/>
    <cellStyle name="Normal 5 10 12 4 3" xfId="30928" xr:uid="{00000000-0005-0000-0000-0000D0780000}"/>
    <cellStyle name="Normal 5 10 12 4 4" xfId="30929" xr:uid="{00000000-0005-0000-0000-0000D1780000}"/>
    <cellStyle name="Normal 5 10 12 4 5" xfId="30930" xr:uid="{00000000-0005-0000-0000-0000D2780000}"/>
    <cellStyle name="Normal 5 10 12 4 6" xfId="30931" xr:uid="{00000000-0005-0000-0000-0000D3780000}"/>
    <cellStyle name="Normal 5 10 12 4 7" xfId="30932" xr:uid="{00000000-0005-0000-0000-0000D4780000}"/>
    <cellStyle name="Normal 5 10 12 4 8" xfId="30933" xr:uid="{00000000-0005-0000-0000-0000D5780000}"/>
    <cellStyle name="Normal 5 10 12 4 9" xfId="30934" xr:uid="{00000000-0005-0000-0000-0000D6780000}"/>
    <cellStyle name="Normal 5 10 12 5" xfId="30935" xr:uid="{00000000-0005-0000-0000-0000D7780000}"/>
    <cellStyle name="Normal 5 10 12 5 10" xfId="30936" xr:uid="{00000000-0005-0000-0000-0000D8780000}"/>
    <cellStyle name="Normal 5 10 12 5 2" xfId="30937" xr:uid="{00000000-0005-0000-0000-0000D9780000}"/>
    <cellStyle name="Normal 5 10 12 5 3" xfId="30938" xr:uid="{00000000-0005-0000-0000-0000DA780000}"/>
    <cellStyle name="Normal 5 10 12 5 4" xfId="30939" xr:uid="{00000000-0005-0000-0000-0000DB780000}"/>
    <cellStyle name="Normal 5 10 12 5 5" xfId="30940" xr:uid="{00000000-0005-0000-0000-0000DC780000}"/>
    <cellStyle name="Normal 5 10 12 5 6" xfId="30941" xr:uid="{00000000-0005-0000-0000-0000DD780000}"/>
    <cellStyle name="Normal 5 10 12 5 7" xfId="30942" xr:uid="{00000000-0005-0000-0000-0000DE780000}"/>
    <cellStyle name="Normal 5 10 12 5 8" xfId="30943" xr:uid="{00000000-0005-0000-0000-0000DF780000}"/>
    <cellStyle name="Normal 5 10 12 5 9" xfId="30944" xr:uid="{00000000-0005-0000-0000-0000E0780000}"/>
    <cellStyle name="Normal 5 10 12 6" xfId="30945" xr:uid="{00000000-0005-0000-0000-0000E1780000}"/>
    <cellStyle name="Normal 5 10 12 7" xfId="30946" xr:uid="{00000000-0005-0000-0000-0000E2780000}"/>
    <cellStyle name="Normal 5 10 12 8" xfId="30947" xr:uid="{00000000-0005-0000-0000-0000E3780000}"/>
    <cellStyle name="Normal 5 10 12 9" xfId="30948" xr:uid="{00000000-0005-0000-0000-0000E4780000}"/>
    <cellStyle name="Normal 5 10 13" xfId="30949" xr:uid="{00000000-0005-0000-0000-0000E5780000}"/>
    <cellStyle name="Normal 5 10 13 10" xfId="30950" xr:uid="{00000000-0005-0000-0000-0000E6780000}"/>
    <cellStyle name="Normal 5 10 13 11" xfId="30951" xr:uid="{00000000-0005-0000-0000-0000E7780000}"/>
    <cellStyle name="Normal 5 10 13 12" xfId="30952" xr:uid="{00000000-0005-0000-0000-0000E8780000}"/>
    <cellStyle name="Normal 5 10 13 13" xfId="30953" xr:uid="{00000000-0005-0000-0000-0000E9780000}"/>
    <cellStyle name="Normal 5 10 13 14" xfId="30954" xr:uid="{00000000-0005-0000-0000-0000EA780000}"/>
    <cellStyle name="Normal 5 10 13 2" xfId="30955" xr:uid="{00000000-0005-0000-0000-0000EB780000}"/>
    <cellStyle name="Normal 5 10 13 2 10" xfId="30956" xr:uid="{00000000-0005-0000-0000-0000EC780000}"/>
    <cellStyle name="Normal 5 10 13 2 2" xfId="30957" xr:uid="{00000000-0005-0000-0000-0000ED780000}"/>
    <cellStyle name="Normal 5 10 13 2 3" xfId="30958" xr:uid="{00000000-0005-0000-0000-0000EE780000}"/>
    <cellStyle name="Normal 5 10 13 2 4" xfId="30959" xr:uid="{00000000-0005-0000-0000-0000EF780000}"/>
    <cellStyle name="Normal 5 10 13 2 5" xfId="30960" xr:uid="{00000000-0005-0000-0000-0000F0780000}"/>
    <cellStyle name="Normal 5 10 13 2 6" xfId="30961" xr:uid="{00000000-0005-0000-0000-0000F1780000}"/>
    <cellStyle name="Normal 5 10 13 2 7" xfId="30962" xr:uid="{00000000-0005-0000-0000-0000F2780000}"/>
    <cellStyle name="Normal 5 10 13 2 8" xfId="30963" xr:uid="{00000000-0005-0000-0000-0000F3780000}"/>
    <cellStyle name="Normal 5 10 13 2 9" xfId="30964" xr:uid="{00000000-0005-0000-0000-0000F4780000}"/>
    <cellStyle name="Normal 5 10 13 3" xfId="30965" xr:uid="{00000000-0005-0000-0000-0000F5780000}"/>
    <cellStyle name="Normal 5 10 13 3 10" xfId="30966" xr:uid="{00000000-0005-0000-0000-0000F6780000}"/>
    <cellStyle name="Normal 5 10 13 3 2" xfId="30967" xr:uid="{00000000-0005-0000-0000-0000F7780000}"/>
    <cellStyle name="Normal 5 10 13 3 3" xfId="30968" xr:uid="{00000000-0005-0000-0000-0000F8780000}"/>
    <cellStyle name="Normal 5 10 13 3 4" xfId="30969" xr:uid="{00000000-0005-0000-0000-0000F9780000}"/>
    <cellStyle name="Normal 5 10 13 3 5" xfId="30970" xr:uid="{00000000-0005-0000-0000-0000FA780000}"/>
    <cellStyle name="Normal 5 10 13 3 6" xfId="30971" xr:uid="{00000000-0005-0000-0000-0000FB780000}"/>
    <cellStyle name="Normal 5 10 13 3 7" xfId="30972" xr:uid="{00000000-0005-0000-0000-0000FC780000}"/>
    <cellStyle name="Normal 5 10 13 3 8" xfId="30973" xr:uid="{00000000-0005-0000-0000-0000FD780000}"/>
    <cellStyle name="Normal 5 10 13 3 9" xfId="30974" xr:uid="{00000000-0005-0000-0000-0000FE780000}"/>
    <cellStyle name="Normal 5 10 13 4" xfId="30975" xr:uid="{00000000-0005-0000-0000-0000FF780000}"/>
    <cellStyle name="Normal 5 10 13 4 10" xfId="30976" xr:uid="{00000000-0005-0000-0000-000000790000}"/>
    <cellStyle name="Normal 5 10 13 4 2" xfId="30977" xr:uid="{00000000-0005-0000-0000-000001790000}"/>
    <cellStyle name="Normal 5 10 13 4 3" xfId="30978" xr:uid="{00000000-0005-0000-0000-000002790000}"/>
    <cellStyle name="Normal 5 10 13 4 4" xfId="30979" xr:uid="{00000000-0005-0000-0000-000003790000}"/>
    <cellStyle name="Normal 5 10 13 4 5" xfId="30980" xr:uid="{00000000-0005-0000-0000-000004790000}"/>
    <cellStyle name="Normal 5 10 13 4 6" xfId="30981" xr:uid="{00000000-0005-0000-0000-000005790000}"/>
    <cellStyle name="Normal 5 10 13 4 7" xfId="30982" xr:uid="{00000000-0005-0000-0000-000006790000}"/>
    <cellStyle name="Normal 5 10 13 4 8" xfId="30983" xr:uid="{00000000-0005-0000-0000-000007790000}"/>
    <cellStyle name="Normal 5 10 13 4 9" xfId="30984" xr:uid="{00000000-0005-0000-0000-000008790000}"/>
    <cellStyle name="Normal 5 10 13 5" xfId="30985" xr:uid="{00000000-0005-0000-0000-000009790000}"/>
    <cellStyle name="Normal 5 10 13 5 10" xfId="30986" xr:uid="{00000000-0005-0000-0000-00000A790000}"/>
    <cellStyle name="Normal 5 10 13 5 2" xfId="30987" xr:uid="{00000000-0005-0000-0000-00000B790000}"/>
    <cellStyle name="Normal 5 10 13 5 3" xfId="30988" xr:uid="{00000000-0005-0000-0000-00000C790000}"/>
    <cellStyle name="Normal 5 10 13 5 4" xfId="30989" xr:uid="{00000000-0005-0000-0000-00000D790000}"/>
    <cellStyle name="Normal 5 10 13 5 5" xfId="30990" xr:uid="{00000000-0005-0000-0000-00000E790000}"/>
    <cellStyle name="Normal 5 10 13 5 6" xfId="30991" xr:uid="{00000000-0005-0000-0000-00000F790000}"/>
    <cellStyle name="Normal 5 10 13 5 7" xfId="30992" xr:uid="{00000000-0005-0000-0000-000010790000}"/>
    <cellStyle name="Normal 5 10 13 5 8" xfId="30993" xr:uid="{00000000-0005-0000-0000-000011790000}"/>
    <cellStyle name="Normal 5 10 13 5 9" xfId="30994" xr:uid="{00000000-0005-0000-0000-000012790000}"/>
    <cellStyle name="Normal 5 10 13 6" xfId="30995" xr:uid="{00000000-0005-0000-0000-000013790000}"/>
    <cellStyle name="Normal 5 10 13 7" xfId="30996" xr:uid="{00000000-0005-0000-0000-000014790000}"/>
    <cellStyle name="Normal 5 10 13 8" xfId="30997" xr:uid="{00000000-0005-0000-0000-000015790000}"/>
    <cellStyle name="Normal 5 10 13 9" xfId="30998" xr:uid="{00000000-0005-0000-0000-000016790000}"/>
    <cellStyle name="Normal 5 10 14" xfId="30999" xr:uid="{00000000-0005-0000-0000-000017790000}"/>
    <cellStyle name="Normal 5 10 14 10" xfId="31000" xr:uid="{00000000-0005-0000-0000-000018790000}"/>
    <cellStyle name="Normal 5 10 14 11" xfId="31001" xr:uid="{00000000-0005-0000-0000-000019790000}"/>
    <cellStyle name="Normal 5 10 14 12" xfId="31002" xr:uid="{00000000-0005-0000-0000-00001A790000}"/>
    <cellStyle name="Normal 5 10 14 13" xfId="31003" xr:uid="{00000000-0005-0000-0000-00001B790000}"/>
    <cellStyle name="Normal 5 10 14 14" xfId="31004" xr:uid="{00000000-0005-0000-0000-00001C790000}"/>
    <cellStyle name="Normal 5 10 14 2" xfId="31005" xr:uid="{00000000-0005-0000-0000-00001D790000}"/>
    <cellStyle name="Normal 5 10 14 2 10" xfId="31006" xr:uid="{00000000-0005-0000-0000-00001E790000}"/>
    <cellStyle name="Normal 5 10 14 2 2" xfId="31007" xr:uid="{00000000-0005-0000-0000-00001F790000}"/>
    <cellStyle name="Normal 5 10 14 2 3" xfId="31008" xr:uid="{00000000-0005-0000-0000-000020790000}"/>
    <cellStyle name="Normal 5 10 14 2 4" xfId="31009" xr:uid="{00000000-0005-0000-0000-000021790000}"/>
    <cellStyle name="Normal 5 10 14 2 5" xfId="31010" xr:uid="{00000000-0005-0000-0000-000022790000}"/>
    <cellStyle name="Normal 5 10 14 2 6" xfId="31011" xr:uid="{00000000-0005-0000-0000-000023790000}"/>
    <cellStyle name="Normal 5 10 14 2 7" xfId="31012" xr:uid="{00000000-0005-0000-0000-000024790000}"/>
    <cellStyle name="Normal 5 10 14 2 8" xfId="31013" xr:uid="{00000000-0005-0000-0000-000025790000}"/>
    <cellStyle name="Normal 5 10 14 2 9" xfId="31014" xr:uid="{00000000-0005-0000-0000-000026790000}"/>
    <cellStyle name="Normal 5 10 14 3" xfId="31015" xr:uid="{00000000-0005-0000-0000-000027790000}"/>
    <cellStyle name="Normal 5 10 14 3 10" xfId="31016" xr:uid="{00000000-0005-0000-0000-000028790000}"/>
    <cellStyle name="Normal 5 10 14 3 2" xfId="31017" xr:uid="{00000000-0005-0000-0000-000029790000}"/>
    <cellStyle name="Normal 5 10 14 3 3" xfId="31018" xr:uid="{00000000-0005-0000-0000-00002A790000}"/>
    <cellStyle name="Normal 5 10 14 3 4" xfId="31019" xr:uid="{00000000-0005-0000-0000-00002B790000}"/>
    <cellStyle name="Normal 5 10 14 3 5" xfId="31020" xr:uid="{00000000-0005-0000-0000-00002C790000}"/>
    <cellStyle name="Normal 5 10 14 3 6" xfId="31021" xr:uid="{00000000-0005-0000-0000-00002D790000}"/>
    <cellStyle name="Normal 5 10 14 3 7" xfId="31022" xr:uid="{00000000-0005-0000-0000-00002E790000}"/>
    <cellStyle name="Normal 5 10 14 3 8" xfId="31023" xr:uid="{00000000-0005-0000-0000-00002F790000}"/>
    <cellStyle name="Normal 5 10 14 3 9" xfId="31024" xr:uid="{00000000-0005-0000-0000-000030790000}"/>
    <cellStyle name="Normal 5 10 14 4" xfId="31025" xr:uid="{00000000-0005-0000-0000-000031790000}"/>
    <cellStyle name="Normal 5 10 14 4 10" xfId="31026" xr:uid="{00000000-0005-0000-0000-000032790000}"/>
    <cellStyle name="Normal 5 10 14 4 2" xfId="31027" xr:uid="{00000000-0005-0000-0000-000033790000}"/>
    <cellStyle name="Normal 5 10 14 4 3" xfId="31028" xr:uid="{00000000-0005-0000-0000-000034790000}"/>
    <cellStyle name="Normal 5 10 14 4 4" xfId="31029" xr:uid="{00000000-0005-0000-0000-000035790000}"/>
    <cellStyle name="Normal 5 10 14 4 5" xfId="31030" xr:uid="{00000000-0005-0000-0000-000036790000}"/>
    <cellStyle name="Normal 5 10 14 4 6" xfId="31031" xr:uid="{00000000-0005-0000-0000-000037790000}"/>
    <cellStyle name="Normal 5 10 14 4 7" xfId="31032" xr:uid="{00000000-0005-0000-0000-000038790000}"/>
    <cellStyle name="Normal 5 10 14 4 8" xfId="31033" xr:uid="{00000000-0005-0000-0000-000039790000}"/>
    <cellStyle name="Normal 5 10 14 4 9" xfId="31034" xr:uid="{00000000-0005-0000-0000-00003A790000}"/>
    <cellStyle name="Normal 5 10 14 5" xfId="31035" xr:uid="{00000000-0005-0000-0000-00003B790000}"/>
    <cellStyle name="Normal 5 10 14 5 10" xfId="31036" xr:uid="{00000000-0005-0000-0000-00003C790000}"/>
    <cellStyle name="Normal 5 10 14 5 2" xfId="31037" xr:uid="{00000000-0005-0000-0000-00003D790000}"/>
    <cellStyle name="Normal 5 10 14 5 3" xfId="31038" xr:uid="{00000000-0005-0000-0000-00003E790000}"/>
    <cellStyle name="Normal 5 10 14 5 4" xfId="31039" xr:uid="{00000000-0005-0000-0000-00003F790000}"/>
    <cellStyle name="Normal 5 10 14 5 5" xfId="31040" xr:uid="{00000000-0005-0000-0000-000040790000}"/>
    <cellStyle name="Normal 5 10 14 5 6" xfId="31041" xr:uid="{00000000-0005-0000-0000-000041790000}"/>
    <cellStyle name="Normal 5 10 14 5 7" xfId="31042" xr:uid="{00000000-0005-0000-0000-000042790000}"/>
    <cellStyle name="Normal 5 10 14 5 8" xfId="31043" xr:uid="{00000000-0005-0000-0000-000043790000}"/>
    <cellStyle name="Normal 5 10 14 5 9" xfId="31044" xr:uid="{00000000-0005-0000-0000-000044790000}"/>
    <cellStyle name="Normal 5 10 14 6" xfId="31045" xr:uid="{00000000-0005-0000-0000-000045790000}"/>
    <cellStyle name="Normal 5 10 14 7" xfId="31046" xr:uid="{00000000-0005-0000-0000-000046790000}"/>
    <cellStyle name="Normal 5 10 14 8" xfId="31047" xr:uid="{00000000-0005-0000-0000-000047790000}"/>
    <cellStyle name="Normal 5 10 14 9" xfId="31048" xr:uid="{00000000-0005-0000-0000-000048790000}"/>
    <cellStyle name="Normal 5 10 15" xfId="31049" xr:uid="{00000000-0005-0000-0000-000049790000}"/>
    <cellStyle name="Normal 5 10 15 10" xfId="31050" xr:uid="{00000000-0005-0000-0000-00004A790000}"/>
    <cellStyle name="Normal 5 10 15 11" xfId="31051" xr:uid="{00000000-0005-0000-0000-00004B790000}"/>
    <cellStyle name="Normal 5 10 15 12" xfId="31052" xr:uid="{00000000-0005-0000-0000-00004C790000}"/>
    <cellStyle name="Normal 5 10 15 13" xfId="31053" xr:uid="{00000000-0005-0000-0000-00004D790000}"/>
    <cellStyle name="Normal 5 10 15 14" xfId="31054" xr:uid="{00000000-0005-0000-0000-00004E790000}"/>
    <cellStyle name="Normal 5 10 15 2" xfId="31055" xr:uid="{00000000-0005-0000-0000-00004F790000}"/>
    <cellStyle name="Normal 5 10 15 2 10" xfId="31056" xr:uid="{00000000-0005-0000-0000-000050790000}"/>
    <cellStyle name="Normal 5 10 15 2 2" xfId="31057" xr:uid="{00000000-0005-0000-0000-000051790000}"/>
    <cellStyle name="Normal 5 10 15 2 3" xfId="31058" xr:uid="{00000000-0005-0000-0000-000052790000}"/>
    <cellStyle name="Normal 5 10 15 2 4" xfId="31059" xr:uid="{00000000-0005-0000-0000-000053790000}"/>
    <cellStyle name="Normal 5 10 15 2 5" xfId="31060" xr:uid="{00000000-0005-0000-0000-000054790000}"/>
    <cellStyle name="Normal 5 10 15 2 6" xfId="31061" xr:uid="{00000000-0005-0000-0000-000055790000}"/>
    <cellStyle name="Normal 5 10 15 2 7" xfId="31062" xr:uid="{00000000-0005-0000-0000-000056790000}"/>
    <cellStyle name="Normal 5 10 15 2 8" xfId="31063" xr:uid="{00000000-0005-0000-0000-000057790000}"/>
    <cellStyle name="Normal 5 10 15 2 9" xfId="31064" xr:uid="{00000000-0005-0000-0000-000058790000}"/>
    <cellStyle name="Normal 5 10 15 3" xfId="31065" xr:uid="{00000000-0005-0000-0000-000059790000}"/>
    <cellStyle name="Normal 5 10 15 3 10" xfId="31066" xr:uid="{00000000-0005-0000-0000-00005A790000}"/>
    <cellStyle name="Normal 5 10 15 3 2" xfId="31067" xr:uid="{00000000-0005-0000-0000-00005B790000}"/>
    <cellStyle name="Normal 5 10 15 3 3" xfId="31068" xr:uid="{00000000-0005-0000-0000-00005C790000}"/>
    <cellStyle name="Normal 5 10 15 3 4" xfId="31069" xr:uid="{00000000-0005-0000-0000-00005D790000}"/>
    <cellStyle name="Normal 5 10 15 3 5" xfId="31070" xr:uid="{00000000-0005-0000-0000-00005E790000}"/>
    <cellStyle name="Normal 5 10 15 3 6" xfId="31071" xr:uid="{00000000-0005-0000-0000-00005F790000}"/>
    <cellStyle name="Normal 5 10 15 3 7" xfId="31072" xr:uid="{00000000-0005-0000-0000-000060790000}"/>
    <cellStyle name="Normal 5 10 15 3 8" xfId="31073" xr:uid="{00000000-0005-0000-0000-000061790000}"/>
    <cellStyle name="Normal 5 10 15 3 9" xfId="31074" xr:uid="{00000000-0005-0000-0000-000062790000}"/>
    <cellStyle name="Normal 5 10 15 4" xfId="31075" xr:uid="{00000000-0005-0000-0000-000063790000}"/>
    <cellStyle name="Normal 5 10 15 4 10" xfId="31076" xr:uid="{00000000-0005-0000-0000-000064790000}"/>
    <cellStyle name="Normal 5 10 15 4 2" xfId="31077" xr:uid="{00000000-0005-0000-0000-000065790000}"/>
    <cellStyle name="Normal 5 10 15 4 3" xfId="31078" xr:uid="{00000000-0005-0000-0000-000066790000}"/>
    <cellStyle name="Normal 5 10 15 4 4" xfId="31079" xr:uid="{00000000-0005-0000-0000-000067790000}"/>
    <cellStyle name="Normal 5 10 15 4 5" xfId="31080" xr:uid="{00000000-0005-0000-0000-000068790000}"/>
    <cellStyle name="Normal 5 10 15 4 6" xfId="31081" xr:uid="{00000000-0005-0000-0000-000069790000}"/>
    <cellStyle name="Normal 5 10 15 4 7" xfId="31082" xr:uid="{00000000-0005-0000-0000-00006A790000}"/>
    <cellStyle name="Normal 5 10 15 4 8" xfId="31083" xr:uid="{00000000-0005-0000-0000-00006B790000}"/>
    <cellStyle name="Normal 5 10 15 4 9" xfId="31084" xr:uid="{00000000-0005-0000-0000-00006C790000}"/>
    <cellStyle name="Normal 5 10 15 5" xfId="31085" xr:uid="{00000000-0005-0000-0000-00006D790000}"/>
    <cellStyle name="Normal 5 10 15 5 10" xfId="31086" xr:uid="{00000000-0005-0000-0000-00006E790000}"/>
    <cellStyle name="Normal 5 10 15 5 2" xfId="31087" xr:uid="{00000000-0005-0000-0000-00006F790000}"/>
    <cellStyle name="Normal 5 10 15 5 3" xfId="31088" xr:uid="{00000000-0005-0000-0000-000070790000}"/>
    <cellStyle name="Normal 5 10 15 5 4" xfId="31089" xr:uid="{00000000-0005-0000-0000-000071790000}"/>
    <cellStyle name="Normal 5 10 15 5 5" xfId="31090" xr:uid="{00000000-0005-0000-0000-000072790000}"/>
    <cellStyle name="Normal 5 10 15 5 6" xfId="31091" xr:uid="{00000000-0005-0000-0000-000073790000}"/>
    <cellStyle name="Normal 5 10 15 5 7" xfId="31092" xr:uid="{00000000-0005-0000-0000-000074790000}"/>
    <cellStyle name="Normal 5 10 15 5 8" xfId="31093" xr:uid="{00000000-0005-0000-0000-000075790000}"/>
    <cellStyle name="Normal 5 10 15 5 9" xfId="31094" xr:uid="{00000000-0005-0000-0000-000076790000}"/>
    <cellStyle name="Normal 5 10 15 6" xfId="31095" xr:uid="{00000000-0005-0000-0000-000077790000}"/>
    <cellStyle name="Normal 5 10 15 7" xfId="31096" xr:uid="{00000000-0005-0000-0000-000078790000}"/>
    <cellStyle name="Normal 5 10 15 8" xfId="31097" xr:uid="{00000000-0005-0000-0000-000079790000}"/>
    <cellStyle name="Normal 5 10 15 9" xfId="31098" xr:uid="{00000000-0005-0000-0000-00007A790000}"/>
    <cellStyle name="Normal 5 10 16" xfId="31099" xr:uid="{00000000-0005-0000-0000-00007B790000}"/>
    <cellStyle name="Normal 5 10 16 10" xfId="31100" xr:uid="{00000000-0005-0000-0000-00007C790000}"/>
    <cellStyle name="Normal 5 10 16 11" xfId="31101" xr:uid="{00000000-0005-0000-0000-00007D790000}"/>
    <cellStyle name="Normal 5 10 16 12" xfId="31102" xr:uid="{00000000-0005-0000-0000-00007E790000}"/>
    <cellStyle name="Normal 5 10 16 13" xfId="31103" xr:uid="{00000000-0005-0000-0000-00007F790000}"/>
    <cellStyle name="Normal 5 10 16 14" xfId="31104" xr:uid="{00000000-0005-0000-0000-000080790000}"/>
    <cellStyle name="Normal 5 10 16 2" xfId="31105" xr:uid="{00000000-0005-0000-0000-000081790000}"/>
    <cellStyle name="Normal 5 10 16 2 10" xfId="31106" xr:uid="{00000000-0005-0000-0000-000082790000}"/>
    <cellStyle name="Normal 5 10 16 2 2" xfId="31107" xr:uid="{00000000-0005-0000-0000-000083790000}"/>
    <cellStyle name="Normal 5 10 16 2 3" xfId="31108" xr:uid="{00000000-0005-0000-0000-000084790000}"/>
    <cellStyle name="Normal 5 10 16 2 4" xfId="31109" xr:uid="{00000000-0005-0000-0000-000085790000}"/>
    <cellStyle name="Normal 5 10 16 2 5" xfId="31110" xr:uid="{00000000-0005-0000-0000-000086790000}"/>
    <cellStyle name="Normal 5 10 16 2 6" xfId="31111" xr:uid="{00000000-0005-0000-0000-000087790000}"/>
    <cellStyle name="Normal 5 10 16 2 7" xfId="31112" xr:uid="{00000000-0005-0000-0000-000088790000}"/>
    <cellStyle name="Normal 5 10 16 2 8" xfId="31113" xr:uid="{00000000-0005-0000-0000-000089790000}"/>
    <cellStyle name="Normal 5 10 16 2 9" xfId="31114" xr:uid="{00000000-0005-0000-0000-00008A790000}"/>
    <cellStyle name="Normal 5 10 16 3" xfId="31115" xr:uid="{00000000-0005-0000-0000-00008B790000}"/>
    <cellStyle name="Normal 5 10 16 3 10" xfId="31116" xr:uid="{00000000-0005-0000-0000-00008C790000}"/>
    <cellStyle name="Normal 5 10 16 3 2" xfId="31117" xr:uid="{00000000-0005-0000-0000-00008D790000}"/>
    <cellStyle name="Normal 5 10 16 3 3" xfId="31118" xr:uid="{00000000-0005-0000-0000-00008E790000}"/>
    <cellStyle name="Normal 5 10 16 3 4" xfId="31119" xr:uid="{00000000-0005-0000-0000-00008F790000}"/>
    <cellStyle name="Normal 5 10 16 3 5" xfId="31120" xr:uid="{00000000-0005-0000-0000-000090790000}"/>
    <cellStyle name="Normal 5 10 16 3 6" xfId="31121" xr:uid="{00000000-0005-0000-0000-000091790000}"/>
    <cellStyle name="Normal 5 10 16 3 7" xfId="31122" xr:uid="{00000000-0005-0000-0000-000092790000}"/>
    <cellStyle name="Normal 5 10 16 3 8" xfId="31123" xr:uid="{00000000-0005-0000-0000-000093790000}"/>
    <cellStyle name="Normal 5 10 16 3 9" xfId="31124" xr:uid="{00000000-0005-0000-0000-000094790000}"/>
    <cellStyle name="Normal 5 10 16 4" xfId="31125" xr:uid="{00000000-0005-0000-0000-000095790000}"/>
    <cellStyle name="Normal 5 10 16 4 10" xfId="31126" xr:uid="{00000000-0005-0000-0000-000096790000}"/>
    <cellStyle name="Normal 5 10 16 4 2" xfId="31127" xr:uid="{00000000-0005-0000-0000-000097790000}"/>
    <cellStyle name="Normal 5 10 16 4 3" xfId="31128" xr:uid="{00000000-0005-0000-0000-000098790000}"/>
    <cellStyle name="Normal 5 10 16 4 4" xfId="31129" xr:uid="{00000000-0005-0000-0000-000099790000}"/>
    <cellStyle name="Normal 5 10 16 4 5" xfId="31130" xr:uid="{00000000-0005-0000-0000-00009A790000}"/>
    <cellStyle name="Normal 5 10 16 4 6" xfId="31131" xr:uid="{00000000-0005-0000-0000-00009B790000}"/>
    <cellStyle name="Normal 5 10 16 4 7" xfId="31132" xr:uid="{00000000-0005-0000-0000-00009C790000}"/>
    <cellStyle name="Normal 5 10 16 4 8" xfId="31133" xr:uid="{00000000-0005-0000-0000-00009D790000}"/>
    <cellStyle name="Normal 5 10 16 4 9" xfId="31134" xr:uid="{00000000-0005-0000-0000-00009E790000}"/>
    <cellStyle name="Normal 5 10 16 5" xfId="31135" xr:uid="{00000000-0005-0000-0000-00009F790000}"/>
    <cellStyle name="Normal 5 10 16 5 10" xfId="31136" xr:uid="{00000000-0005-0000-0000-0000A0790000}"/>
    <cellStyle name="Normal 5 10 16 5 2" xfId="31137" xr:uid="{00000000-0005-0000-0000-0000A1790000}"/>
    <cellStyle name="Normal 5 10 16 5 3" xfId="31138" xr:uid="{00000000-0005-0000-0000-0000A2790000}"/>
    <cellStyle name="Normal 5 10 16 5 4" xfId="31139" xr:uid="{00000000-0005-0000-0000-0000A3790000}"/>
    <cellStyle name="Normal 5 10 16 5 5" xfId="31140" xr:uid="{00000000-0005-0000-0000-0000A4790000}"/>
    <cellStyle name="Normal 5 10 16 5 6" xfId="31141" xr:uid="{00000000-0005-0000-0000-0000A5790000}"/>
    <cellStyle name="Normal 5 10 16 5 7" xfId="31142" xr:uid="{00000000-0005-0000-0000-0000A6790000}"/>
    <cellStyle name="Normal 5 10 16 5 8" xfId="31143" xr:uid="{00000000-0005-0000-0000-0000A7790000}"/>
    <cellStyle name="Normal 5 10 16 5 9" xfId="31144" xr:uid="{00000000-0005-0000-0000-0000A8790000}"/>
    <cellStyle name="Normal 5 10 16 6" xfId="31145" xr:uid="{00000000-0005-0000-0000-0000A9790000}"/>
    <cellStyle name="Normal 5 10 16 7" xfId="31146" xr:uid="{00000000-0005-0000-0000-0000AA790000}"/>
    <cellStyle name="Normal 5 10 16 8" xfId="31147" xr:uid="{00000000-0005-0000-0000-0000AB790000}"/>
    <cellStyle name="Normal 5 10 16 9" xfId="31148" xr:uid="{00000000-0005-0000-0000-0000AC790000}"/>
    <cellStyle name="Normal 5 10 17" xfId="31149" xr:uid="{00000000-0005-0000-0000-0000AD790000}"/>
    <cellStyle name="Normal 5 10 17 10" xfId="31150" xr:uid="{00000000-0005-0000-0000-0000AE790000}"/>
    <cellStyle name="Normal 5 10 17 11" xfId="31151" xr:uid="{00000000-0005-0000-0000-0000AF790000}"/>
    <cellStyle name="Normal 5 10 17 12" xfId="31152" xr:uid="{00000000-0005-0000-0000-0000B0790000}"/>
    <cellStyle name="Normal 5 10 17 13" xfId="31153" xr:uid="{00000000-0005-0000-0000-0000B1790000}"/>
    <cellStyle name="Normal 5 10 17 14" xfId="31154" xr:uid="{00000000-0005-0000-0000-0000B2790000}"/>
    <cellStyle name="Normal 5 10 17 2" xfId="31155" xr:uid="{00000000-0005-0000-0000-0000B3790000}"/>
    <cellStyle name="Normal 5 10 17 2 10" xfId="31156" xr:uid="{00000000-0005-0000-0000-0000B4790000}"/>
    <cellStyle name="Normal 5 10 17 2 2" xfId="31157" xr:uid="{00000000-0005-0000-0000-0000B5790000}"/>
    <cellStyle name="Normal 5 10 17 2 3" xfId="31158" xr:uid="{00000000-0005-0000-0000-0000B6790000}"/>
    <cellStyle name="Normal 5 10 17 2 4" xfId="31159" xr:uid="{00000000-0005-0000-0000-0000B7790000}"/>
    <cellStyle name="Normal 5 10 17 2 5" xfId="31160" xr:uid="{00000000-0005-0000-0000-0000B8790000}"/>
    <cellStyle name="Normal 5 10 17 2 6" xfId="31161" xr:uid="{00000000-0005-0000-0000-0000B9790000}"/>
    <cellStyle name="Normal 5 10 17 2 7" xfId="31162" xr:uid="{00000000-0005-0000-0000-0000BA790000}"/>
    <cellStyle name="Normal 5 10 17 2 8" xfId="31163" xr:uid="{00000000-0005-0000-0000-0000BB790000}"/>
    <cellStyle name="Normal 5 10 17 2 9" xfId="31164" xr:uid="{00000000-0005-0000-0000-0000BC790000}"/>
    <cellStyle name="Normal 5 10 17 3" xfId="31165" xr:uid="{00000000-0005-0000-0000-0000BD790000}"/>
    <cellStyle name="Normal 5 10 17 3 10" xfId="31166" xr:uid="{00000000-0005-0000-0000-0000BE790000}"/>
    <cellStyle name="Normal 5 10 17 3 2" xfId="31167" xr:uid="{00000000-0005-0000-0000-0000BF790000}"/>
    <cellStyle name="Normal 5 10 17 3 3" xfId="31168" xr:uid="{00000000-0005-0000-0000-0000C0790000}"/>
    <cellStyle name="Normal 5 10 17 3 4" xfId="31169" xr:uid="{00000000-0005-0000-0000-0000C1790000}"/>
    <cellStyle name="Normal 5 10 17 3 5" xfId="31170" xr:uid="{00000000-0005-0000-0000-0000C2790000}"/>
    <cellStyle name="Normal 5 10 17 3 6" xfId="31171" xr:uid="{00000000-0005-0000-0000-0000C3790000}"/>
    <cellStyle name="Normal 5 10 17 3 7" xfId="31172" xr:uid="{00000000-0005-0000-0000-0000C4790000}"/>
    <cellStyle name="Normal 5 10 17 3 8" xfId="31173" xr:uid="{00000000-0005-0000-0000-0000C5790000}"/>
    <cellStyle name="Normal 5 10 17 3 9" xfId="31174" xr:uid="{00000000-0005-0000-0000-0000C6790000}"/>
    <cellStyle name="Normal 5 10 17 4" xfId="31175" xr:uid="{00000000-0005-0000-0000-0000C7790000}"/>
    <cellStyle name="Normal 5 10 17 4 10" xfId="31176" xr:uid="{00000000-0005-0000-0000-0000C8790000}"/>
    <cellStyle name="Normal 5 10 17 4 2" xfId="31177" xr:uid="{00000000-0005-0000-0000-0000C9790000}"/>
    <cellStyle name="Normal 5 10 17 4 3" xfId="31178" xr:uid="{00000000-0005-0000-0000-0000CA790000}"/>
    <cellStyle name="Normal 5 10 17 4 4" xfId="31179" xr:uid="{00000000-0005-0000-0000-0000CB790000}"/>
    <cellStyle name="Normal 5 10 17 4 5" xfId="31180" xr:uid="{00000000-0005-0000-0000-0000CC790000}"/>
    <cellStyle name="Normal 5 10 17 4 6" xfId="31181" xr:uid="{00000000-0005-0000-0000-0000CD790000}"/>
    <cellStyle name="Normal 5 10 17 4 7" xfId="31182" xr:uid="{00000000-0005-0000-0000-0000CE790000}"/>
    <cellStyle name="Normal 5 10 17 4 8" xfId="31183" xr:uid="{00000000-0005-0000-0000-0000CF790000}"/>
    <cellStyle name="Normal 5 10 17 4 9" xfId="31184" xr:uid="{00000000-0005-0000-0000-0000D0790000}"/>
    <cellStyle name="Normal 5 10 17 5" xfId="31185" xr:uid="{00000000-0005-0000-0000-0000D1790000}"/>
    <cellStyle name="Normal 5 10 17 5 10" xfId="31186" xr:uid="{00000000-0005-0000-0000-0000D2790000}"/>
    <cellStyle name="Normal 5 10 17 5 2" xfId="31187" xr:uid="{00000000-0005-0000-0000-0000D3790000}"/>
    <cellStyle name="Normal 5 10 17 5 3" xfId="31188" xr:uid="{00000000-0005-0000-0000-0000D4790000}"/>
    <cellStyle name="Normal 5 10 17 5 4" xfId="31189" xr:uid="{00000000-0005-0000-0000-0000D5790000}"/>
    <cellStyle name="Normal 5 10 17 5 5" xfId="31190" xr:uid="{00000000-0005-0000-0000-0000D6790000}"/>
    <cellStyle name="Normal 5 10 17 5 6" xfId="31191" xr:uid="{00000000-0005-0000-0000-0000D7790000}"/>
    <cellStyle name="Normal 5 10 17 5 7" xfId="31192" xr:uid="{00000000-0005-0000-0000-0000D8790000}"/>
    <cellStyle name="Normal 5 10 17 5 8" xfId="31193" xr:uid="{00000000-0005-0000-0000-0000D9790000}"/>
    <cellStyle name="Normal 5 10 17 5 9" xfId="31194" xr:uid="{00000000-0005-0000-0000-0000DA790000}"/>
    <cellStyle name="Normal 5 10 17 6" xfId="31195" xr:uid="{00000000-0005-0000-0000-0000DB790000}"/>
    <cellStyle name="Normal 5 10 17 7" xfId="31196" xr:uid="{00000000-0005-0000-0000-0000DC790000}"/>
    <cellStyle name="Normal 5 10 17 8" xfId="31197" xr:uid="{00000000-0005-0000-0000-0000DD790000}"/>
    <cellStyle name="Normal 5 10 17 9" xfId="31198" xr:uid="{00000000-0005-0000-0000-0000DE790000}"/>
    <cellStyle name="Normal 5 10 18" xfId="31199" xr:uid="{00000000-0005-0000-0000-0000DF790000}"/>
    <cellStyle name="Normal 5 10 18 10" xfId="31200" xr:uid="{00000000-0005-0000-0000-0000E0790000}"/>
    <cellStyle name="Normal 5 10 18 11" xfId="31201" xr:uid="{00000000-0005-0000-0000-0000E1790000}"/>
    <cellStyle name="Normal 5 10 18 12" xfId="31202" xr:uid="{00000000-0005-0000-0000-0000E2790000}"/>
    <cellStyle name="Normal 5 10 18 13" xfId="31203" xr:uid="{00000000-0005-0000-0000-0000E3790000}"/>
    <cellStyle name="Normal 5 10 18 14" xfId="31204" xr:uid="{00000000-0005-0000-0000-0000E4790000}"/>
    <cellStyle name="Normal 5 10 18 2" xfId="31205" xr:uid="{00000000-0005-0000-0000-0000E5790000}"/>
    <cellStyle name="Normal 5 10 18 2 10" xfId="31206" xr:uid="{00000000-0005-0000-0000-0000E6790000}"/>
    <cellStyle name="Normal 5 10 18 2 2" xfId="31207" xr:uid="{00000000-0005-0000-0000-0000E7790000}"/>
    <cellStyle name="Normal 5 10 18 2 3" xfId="31208" xr:uid="{00000000-0005-0000-0000-0000E8790000}"/>
    <cellStyle name="Normal 5 10 18 2 4" xfId="31209" xr:uid="{00000000-0005-0000-0000-0000E9790000}"/>
    <cellStyle name="Normal 5 10 18 2 5" xfId="31210" xr:uid="{00000000-0005-0000-0000-0000EA790000}"/>
    <cellStyle name="Normal 5 10 18 2 6" xfId="31211" xr:uid="{00000000-0005-0000-0000-0000EB790000}"/>
    <cellStyle name="Normal 5 10 18 2 7" xfId="31212" xr:uid="{00000000-0005-0000-0000-0000EC790000}"/>
    <cellStyle name="Normal 5 10 18 2 8" xfId="31213" xr:uid="{00000000-0005-0000-0000-0000ED790000}"/>
    <cellStyle name="Normal 5 10 18 2 9" xfId="31214" xr:uid="{00000000-0005-0000-0000-0000EE790000}"/>
    <cellStyle name="Normal 5 10 18 3" xfId="31215" xr:uid="{00000000-0005-0000-0000-0000EF790000}"/>
    <cellStyle name="Normal 5 10 18 3 10" xfId="31216" xr:uid="{00000000-0005-0000-0000-0000F0790000}"/>
    <cellStyle name="Normal 5 10 18 3 2" xfId="31217" xr:uid="{00000000-0005-0000-0000-0000F1790000}"/>
    <cellStyle name="Normal 5 10 18 3 3" xfId="31218" xr:uid="{00000000-0005-0000-0000-0000F2790000}"/>
    <cellStyle name="Normal 5 10 18 3 4" xfId="31219" xr:uid="{00000000-0005-0000-0000-0000F3790000}"/>
    <cellStyle name="Normal 5 10 18 3 5" xfId="31220" xr:uid="{00000000-0005-0000-0000-0000F4790000}"/>
    <cellStyle name="Normal 5 10 18 3 6" xfId="31221" xr:uid="{00000000-0005-0000-0000-0000F5790000}"/>
    <cellStyle name="Normal 5 10 18 3 7" xfId="31222" xr:uid="{00000000-0005-0000-0000-0000F6790000}"/>
    <cellStyle name="Normal 5 10 18 3 8" xfId="31223" xr:uid="{00000000-0005-0000-0000-0000F7790000}"/>
    <cellStyle name="Normal 5 10 18 3 9" xfId="31224" xr:uid="{00000000-0005-0000-0000-0000F8790000}"/>
    <cellStyle name="Normal 5 10 18 4" xfId="31225" xr:uid="{00000000-0005-0000-0000-0000F9790000}"/>
    <cellStyle name="Normal 5 10 18 4 10" xfId="31226" xr:uid="{00000000-0005-0000-0000-0000FA790000}"/>
    <cellStyle name="Normal 5 10 18 4 2" xfId="31227" xr:uid="{00000000-0005-0000-0000-0000FB790000}"/>
    <cellStyle name="Normal 5 10 18 4 3" xfId="31228" xr:uid="{00000000-0005-0000-0000-0000FC790000}"/>
    <cellStyle name="Normal 5 10 18 4 4" xfId="31229" xr:uid="{00000000-0005-0000-0000-0000FD790000}"/>
    <cellStyle name="Normal 5 10 18 4 5" xfId="31230" xr:uid="{00000000-0005-0000-0000-0000FE790000}"/>
    <cellStyle name="Normal 5 10 18 4 6" xfId="31231" xr:uid="{00000000-0005-0000-0000-0000FF790000}"/>
    <cellStyle name="Normal 5 10 18 4 7" xfId="31232" xr:uid="{00000000-0005-0000-0000-0000007A0000}"/>
    <cellStyle name="Normal 5 10 18 4 8" xfId="31233" xr:uid="{00000000-0005-0000-0000-0000017A0000}"/>
    <cellStyle name="Normal 5 10 18 4 9" xfId="31234" xr:uid="{00000000-0005-0000-0000-0000027A0000}"/>
    <cellStyle name="Normal 5 10 18 5" xfId="31235" xr:uid="{00000000-0005-0000-0000-0000037A0000}"/>
    <cellStyle name="Normal 5 10 18 5 10" xfId="31236" xr:uid="{00000000-0005-0000-0000-0000047A0000}"/>
    <cellStyle name="Normal 5 10 18 5 2" xfId="31237" xr:uid="{00000000-0005-0000-0000-0000057A0000}"/>
    <cellStyle name="Normal 5 10 18 5 3" xfId="31238" xr:uid="{00000000-0005-0000-0000-0000067A0000}"/>
    <cellStyle name="Normal 5 10 18 5 4" xfId="31239" xr:uid="{00000000-0005-0000-0000-0000077A0000}"/>
    <cellStyle name="Normal 5 10 18 5 5" xfId="31240" xr:uid="{00000000-0005-0000-0000-0000087A0000}"/>
    <cellStyle name="Normal 5 10 18 5 6" xfId="31241" xr:uid="{00000000-0005-0000-0000-0000097A0000}"/>
    <cellStyle name="Normal 5 10 18 5 7" xfId="31242" xr:uid="{00000000-0005-0000-0000-00000A7A0000}"/>
    <cellStyle name="Normal 5 10 18 5 8" xfId="31243" xr:uid="{00000000-0005-0000-0000-00000B7A0000}"/>
    <cellStyle name="Normal 5 10 18 5 9" xfId="31244" xr:uid="{00000000-0005-0000-0000-00000C7A0000}"/>
    <cellStyle name="Normal 5 10 18 6" xfId="31245" xr:uid="{00000000-0005-0000-0000-00000D7A0000}"/>
    <cellStyle name="Normal 5 10 18 7" xfId="31246" xr:uid="{00000000-0005-0000-0000-00000E7A0000}"/>
    <cellStyle name="Normal 5 10 18 8" xfId="31247" xr:uid="{00000000-0005-0000-0000-00000F7A0000}"/>
    <cellStyle name="Normal 5 10 18 9" xfId="31248" xr:uid="{00000000-0005-0000-0000-0000107A0000}"/>
    <cellStyle name="Normal 5 10 19" xfId="31249" xr:uid="{00000000-0005-0000-0000-0000117A0000}"/>
    <cellStyle name="Normal 5 10 19 10" xfId="31250" xr:uid="{00000000-0005-0000-0000-0000127A0000}"/>
    <cellStyle name="Normal 5 10 19 11" xfId="31251" xr:uid="{00000000-0005-0000-0000-0000137A0000}"/>
    <cellStyle name="Normal 5 10 19 12" xfId="31252" xr:uid="{00000000-0005-0000-0000-0000147A0000}"/>
    <cellStyle name="Normal 5 10 19 13" xfId="31253" xr:uid="{00000000-0005-0000-0000-0000157A0000}"/>
    <cellStyle name="Normal 5 10 19 14" xfId="31254" xr:uid="{00000000-0005-0000-0000-0000167A0000}"/>
    <cellStyle name="Normal 5 10 19 2" xfId="31255" xr:uid="{00000000-0005-0000-0000-0000177A0000}"/>
    <cellStyle name="Normal 5 10 19 2 10" xfId="31256" xr:uid="{00000000-0005-0000-0000-0000187A0000}"/>
    <cellStyle name="Normal 5 10 19 2 2" xfId="31257" xr:uid="{00000000-0005-0000-0000-0000197A0000}"/>
    <cellStyle name="Normal 5 10 19 2 3" xfId="31258" xr:uid="{00000000-0005-0000-0000-00001A7A0000}"/>
    <cellStyle name="Normal 5 10 19 2 4" xfId="31259" xr:uid="{00000000-0005-0000-0000-00001B7A0000}"/>
    <cellStyle name="Normal 5 10 19 2 5" xfId="31260" xr:uid="{00000000-0005-0000-0000-00001C7A0000}"/>
    <cellStyle name="Normal 5 10 19 2 6" xfId="31261" xr:uid="{00000000-0005-0000-0000-00001D7A0000}"/>
    <cellStyle name="Normal 5 10 19 2 7" xfId="31262" xr:uid="{00000000-0005-0000-0000-00001E7A0000}"/>
    <cellStyle name="Normal 5 10 19 2 8" xfId="31263" xr:uid="{00000000-0005-0000-0000-00001F7A0000}"/>
    <cellStyle name="Normal 5 10 19 2 9" xfId="31264" xr:uid="{00000000-0005-0000-0000-0000207A0000}"/>
    <cellStyle name="Normal 5 10 19 3" xfId="31265" xr:uid="{00000000-0005-0000-0000-0000217A0000}"/>
    <cellStyle name="Normal 5 10 19 3 10" xfId="31266" xr:uid="{00000000-0005-0000-0000-0000227A0000}"/>
    <cellStyle name="Normal 5 10 19 3 2" xfId="31267" xr:uid="{00000000-0005-0000-0000-0000237A0000}"/>
    <cellStyle name="Normal 5 10 19 3 3" xfId="31268" xr:uid="{00000000-0005-0000-0000-0000247A0000}"/>
    <cellStyle name="Normal 5 10 19 3 4" xfId="31269" xr:uid="{00000000-0005-0000-0000-0000257A0000}"/>
    <cellStyle name="Normal 5 10 19 3 5" xfId="31270" xr:uid="{00000000-0005-0000-0000-0000267A0000}"/>
    <cellStyle name="Normal 5 10 19 3 6" xfId="31271" xr:uid="{00000000-0005-0000-0000-0000277A0000}"/>
    <cellStyle name="Normal 5 10 19 3 7" xfId="31272" xr:uid="{00000000-0005-0000-0000-0000287A0000}"/>
    <cellStyle name="Normal 5 10 19 3 8" xfId="31273" xr:uid="{00000000-0005-0000-0000-0000297A0000}"/>
    <cellStyle name="Normal 5 10 19 3 9" xfId="31274" xr:uid="{00000000-0005-0000-0000-00002A7A0000}"/>
    <cellStyle name="Normal 5 10 19 4" xfId="31275" xr:uid="{00000000-0005-0000-0000-00002B7A0000}"/>
    <cellStyle name="Normal 5 10 19 4 10" xfId="31276" xr:uid="{00000000-0005-0000-0000-00002C7A0000}"/>
    <cellStyle name="Normal 5 10 19 4 2" xfId="31277" xr:uid="{00000000-0005-0000-0000-00002D7A0000}"/>
    <cellStyle name="Normal 5 10 19 4 3" xfId="31278" xr:uid="{00000000-0005-0000-0000-00002E7A0000}"/>
    <cellStyle name="Normal 5 10 19 4 4" xfId="31279" xr:uid="{00000000-0005-0000-0000-00002F7A0000}"/>
    <cellStyle name="Normal 5 10 19 4 5" xfId="31280" xr:uid="{00000000-0005-0000-0000-0000307A0000}"/>
    <cellStyle name="Normal 5 10 19 4 6" xfId="31281" xr:uid="{00000000-0005-0000-0000-0000317A0000}"/>
    <cellStyle name="Normal 5 10 19 4 7" xfId="31282" xr:uid="{00000000-0005-0000-0000-0000327A0000}"/>
    <cellStyle name="Normal 5 10 19 4 8" xfId="31283" xr:uid="{00000000-0005-0000-0000-0000337A0000}"/>
    <cellStyle name="Normal 5 10 19 4 9" xfId="31284" xr:uid="{00000000-0005-0000-0000-0000347A0000}"/>
    <cellStyle name="Normal 5 10 19 5" xfId="31285" xr:uid="{00000000-0005-0000-0000-0000357A0000}"/>
    <cellStyle name="Normal 5 10 19 5 10" xfId="31286" xr:uid="{00000000-0005-0000-0000-0000367A0000}"/>
    <cellStyle name="Normal 5 10 19 5 2" xfId="31287" xr:uid="{00000000-0005-0000-0000-0000377A0000}"/>
    <cellStyle name="Normal 5 10 19 5 3" xfId="31288" xr:uid="{00000000-0005-0000-0000-0000387A0000}"/>
    <cellStyle name="Normal 5 10 19 5 4" xfId="31289" xr:uid="{00000000-0005-0000-0000-0000397A0000}"/>
    <cellStyle name="Normal 5 10 19 5 5" xfId="31290" xr:uid="{00000000-0005-0000-0000-00003A7A0000}"/>
    <cellStyle name="Normal 5 10 19 5 6" xfId="31291" xr:uid="{00000000-0005-0000-0000-00003B7A0000}"/>
    <cellStyle name="Normal 5 10 19 5 7" xfId="31292" xr:uid="{00000000-0005-0000-0000-00003C7A0000}"/>
    <cellStyle name="Normal 5 10 19 5 8" xfId="31293" xr:uid="{00000000-0005-0000-0000-00003D7A0000}"/>
    <cellStyle name="Normal 5 10 19 5 9" xfId="31294" xr:uid="{00000000-0005-0000-0000-00003E7A0000}"/>
    <cellStyle name="Normal 5 10 19 6" xfId="31295" xr:uid="{00000000-0005-0000-0000-00003F7A0000}"/>
    <cellStyle name="Normal 5 10 19 7" xfId="31296" xr:uid="{00000000-0005-0000-0000-0000407A0000}"/>
    <cellStyle name="Normal 5 10 19 8" xfId="31297" xr:uid="{00000000-0005-0000-0000-0000417A0000}"/>
    <cellStyle name="Normal 5 10 19 9" xfId="31298" xr:uid="{00000000-0005-0000-0000-0000427A0000}"/>
    <cellStyle name="Normal 5 10 2" xfId="60" xr:uid="{00000000-0005-0000-0000-00003C000000}"/>
    <cellStyle name="Normal 5 10 2 10" xfId="31300" xr:uid="{00000000-0005-0000-0000-0000447A0000}"/>
    <cellStyle name="Normal 5 10 2 10 10" xfId="31301" xr:uid="{00000000-0005-0000-0000-0000457A0000}"/>
    <cellStyle name="Normal 5 10 2 10 11" xfId="31302" xr:uid="{00000000-0005-0000-0000-0000467A0000}"/>
    <cellStyle name="Normal 5 10 2 10 12" xfId="31303" xr:uid="{00000000-0005-0000-0000-0000477A0000}"/>
    <cellStyle name="Normal 5 10 2 10 13" xfId="31304" xr:uid="{00000000-0005-0000-0000-0000487A0000}"/>
    <cellStyle name="Normal 5 10 2 10 14" xfId="31305" xr:uid="{00000000-0005-0000-0000-0000497A0000}"/>
    <cellStyle name="Normal 5 10 2 10 2" xfId="31306" xr:uid="{00000000-0005-0000-0000-00004A7A0000}"/>
    <cellStyle name="Normal 5 10 2 10 2 10" xfId="31307" xr:uid="{00000000-0005-0000-0000-00004B7A0000}"/>
    <cellStyle name="Normal 5 10 2 10 2 2" xfId="31308" xr:uid="{00000000-0005-0000-0000-00004C7A0000}"/>
    <cellStyle name="Normal 5 10 2 10 2 3" xfId="31309" xr:uid="{00000000-0005-0000-0000-00004D7A0000}"/>
    <cellStyle name="Normal 5 10 2 10 2 4" xfId="31310" xr:uid="{00000000-0005-0000-0000-00004E7A0000}"/>
    <cellStyle name="Normal 5 10 2 10 2 5" xfId="31311" xr:uid="{00000000-0005-0000-0000-00004F7A0000}"/>
    <cellStyle name="Normal 5 10 2 10 2 6" xfId="31312" xr:uid="{00000000-0005-0000-0000-0000507A0000}"/>
    <cellStyle name="Normal 5 10 2 10 2 7" xfId="31313" xr:uid="{00000000-0005-0000-0000-0000517A0000}"/>
    <cellStyle name="Normal 5 10 2 10 2 8" xfId="31314" xr:uid="{00000000-0005-0000-0000-0000527A0000}"/>
    <cellStyle name="Normal 5 10 2 10 2 9" xfId="31315" xr:uid="{00000000-0005-0000-0000-0000537A0000}"/>
    <cellStyle name="Normal 5 10 2 10 3" xfId="31316" xr:uid="{00000000-0005-0000-0000-0000547A0000}"/>
    <cellStyle name="Normal 5 10 2 10 3 10" xfId="31317" xr:uid="{00000000-0005-0000-0000-0000557A0000}"/>
    <cellStyle name="Normal 5 10 2 10 3 2" xfId="31318" xr:uid="{00000000-0005-0000-0000-0000567A0000}"/>
    <cellStyle name="Normal 5 10 2 10 3 3" xfId="31319" xr:uid="{00000000-0005-0000-0000-0000577A0000}"/>
    <cellStyle name="Normal 5 10 2 10 3 4" xfId="31320" xr:uid="{00000000-0005-0000-0000-0000587A0000}"/>
    <cellStyle name="Normal 5 10 2 10 3 5" xfId="31321" xr:uid="{00000000-0005-0000-0000-0000597A0000}"/>
    <cellStyle name="Normal 5 10 2 10 3 6" xfId="31322" xr:uid="{00000000-0005-0000-0000-00005A7A0000}"/>
    <cellStyle name="Normal 5 10 2 10 3 7" xfId="31323" xr:uid="{00000000-0005-0000-0000-00005B7A0000}"/>
    <cellStyle name="Normal 5 10 2 10 3 8" xfId="31324" xr:uid="{00000000-0005-0000-0000-00005C7A0000}"/>
    <cellStyle name="Normal 5 10 2 10 3 9" xfId="31325" xr:uid="{00000000-0005-0000-0000-00005D7A0000}"/>
    <cellStyle name="Normal 5 10 2 10 4" xfId="31326" xr:uid="{00000000-0005-0000-0000-00005E7A0000}"/>
    <cellStyle name="Normal 5 10 2 10 4 10" xfId="31327" xr:uid="{00000000-0005-0000-0000-00005F7A0000}"/>
    <cellStyle name="Normal 5 10 2 10 4 2" xfId="31328" xr:uid="{00000000-0005-0000-0000-0000607A0000}"/>
    <cellStyle name="Normal 5 10 2 10 4 3" xfId="31329" xr:uid="{00000000-0005-0000-0000-0000617A0000}"/>
    <cellStyle name="Normal 5 10 2 10 4 4" xfId="31330" xr:uid="{00000000-0005-0000-0000-0000627A0000}"/>
    <cellStyle name="Normal 5 10 2 10 4 5" xfId="31331" xr:uid="{00000000-0005-0000-0000-0000637A0000}"/>
    <cellStyle name="Normal 5 10 2 10 4 6" xfId="31332" xr:uid="{00000000-0005-0000-0000-0000647A0000}"/>
    <cellStyle name="Normal 5 10 2 10 4 7" xfId="31333" xr:uid="{00000000-0005-0000-0000-0000657A0000}"/>
    <cellStyle name="Normal 5 10 2 10 4 8" xfId="31334" xr:uid="{00000000-0005-0000-0000-0000667A0000}"/>
    <cellStyle name="Normal 5 10 2 10 4 9" xfId="31335" xr:uid="{00000000-0005-0000-0000-0000677A0000}"/>
    <cellStyle name="Normal 5 10 2 10 5" xfId="31336" xr:uid="{00000000-0005-0000-0000-0000687A0000}"/>
    <cellStyle name="Normal 5 10 2 10 5 10" xfId="31337" xr:uid="{00000000-0005-0000-0000-0000697A0000}"/>
    <cellStyle name="Normal 5 10 2 10 5 2" xfId="31338" xr:uid="{00000000-0005-0000-0000-00006A7A0000}"/>
    <cellStyle name="Normal 5 10 2 10 5 3" xfId="31339" xr:uid="{00000000-0005-0000-0000-00006B7A0000}"/>
    <cellStyle name="Normal 5 10 2 10 5 4" xfId="31340" xr:uid="{00000000-0005-0000-0000-00006C7A0000}"/>
    <cellStyle name="Normal 5 10 2 10 5 5" xfId="31341" xr:uid="{00000000-0005-0000-0000-00006D7A0000}"/>
    <cellStyle name="Normal 5 10 2 10 5 6" xfId="31342" xr:uid="{00000000-0005-0000-0000-00006E7A0000}"/>
    <cellStyle name="Normal 5 10 2 10 5 7" xfId="31343" xr:uid="{00000000-0005-0000-0000-00006F7A0000}"/>
    <cellStyle name="Normal 5 10 2 10 5 8" xfId="31344" xr:uid="{00000000-0005-0000-0000-0000707A0000}"/>
    <cellStyle name="Normal 5 10 2 10 5 9" xfId="31345" xr:uid="{00000000-0005-0000-0000-0000717A0000}"/>
    <cellStyle name="Normal 5 10 2 10 6" xfId="31346" xr:uid="{00000000-0005-0000-0000-0000727A0000}"/>
    <cellStyle name="Normal 5 10 2 10 7" xfId="31347" xr:uid="{00000000-0005-0000-0000-0000737A0000}"/>
    <cellStyle name="Normal 5 10 2 10 8" xfId="31348" xr:uid="{00000000-0005-0000-0000-0000747A0000}"/>
    <cellStyle name="Normal 5 10 2 10 9" xfId="31349" xr:uid="{00000000-0005-0000-0000-0000757A0000}"/>
    <cellStyle name="Normal 5 10 2 11" xfId="31350" xr:uid="{00000000-0005-0000-0000-0000767A0000}"/>
    <cellStyle name="Normal 5 10 2 11 10" xfId="31351" xr:uid="{00000000-0005-0000-0000-0000777A0000}"/>
    <cellStyle name="Normal 5 10 2 11 11" xfId="31352" xr:uid="{00000000-0005-0000-0000-0000787A0000}"/>
    <cellStyle name="Normal 5 10 2 11 12" xfId="31353" xr:uid="{00000000-0005-0000-0000-0000797A0000}"/>
    <cellStyle name="Normal 5 10 2 11 13" xfId="31354" xr:uid="{00000000-0005-0000-0000-00007A7A0000}"/>
    <cellStyle name="Normal 5 10 2 11 14" xfId="31355" xr:uid="{00000000-0005-0000-0000-00007B7A0000}"/>
    <cellStyle name="Normal 5 10 2 11 2" xfId="31356" xr:uid="{00000000-0005-0000-0000-00007C7A0000}"/>
    <cellStyle name="Normal 5 10 2 11 2 10" xfId="31357" xr:uid="{00000000-0005-0000-0000-00007D7A0000}"/>
    <cellStyle name="Normal 5 10 2 11 2 2" xfId="31358" xr:uid="{00000000-0005-0000-0000-00007E7A0000}"/>
    <cellStyle name="Normal 5 10 2 11 2 3" xfId="31359" xr:uid="{00000000-0005-0000-0000-00007F7A0000}"/>
    <cellStyle name="Normal 5 10 2 11 2 4" xfId="31360" xr:uid="{00000000-0005-0000-0000-0000807A0000}"/>
    <cellStyle name="Normal 5 10 2 11 2 5" xfId="31361" xr:uid="{00000000-0005-0000-0000-0000817A0000}"/>
    <cellStyle name="Normal 5 10 2 11 2 6" xfId="31362" xr:uid="{00000000-0005-0000-0000-0000827A0000}"/>
    <cellStyle name="Normal 5 10 2 11 2 7" xfId="31363" xr:uid="{00000000-0005-0000-0000-0000837A0000}"/>
    <cellStyle name="Normal 5 10 2 11 2 8" xfId="31364" xr:uid="{00000000-0005-0000-0000-0000847A0000}"/>
    <cellStyle name="Normal 5 10 2 11 2 9" xfId="31365" xr:uid="{00000000-0005-0000-0000-0000857A0000}"/>
    <cellStyle name="Normal 5 10 2 11 3" xfId="31366" xr:uid="{00000000-0005-0000-0000-0000867A0000}"/>
    <cellStyle name="Normal 5 10 2 11 3 10" xfId="31367" xr:uid="{00000000-0005-0000-0000-0000877A0000}"/>
    <cellStyle name="Normal 5 10 2 11 3 2" xfId="31368" xr:uid="{00000000-0005-0000-0000-0000887A0000}"/>
    <cellStyle name="Normal 5 10 2 11 3 3" xfId="31369" xr:uid="{00000000-0005-0000-0000-0000897A0000}"/>
    <cellStyle name="Normal 5 10 2 11 3 4" xfId="31370" xr:uid="{00000000-0005-0000-0000-00008A7A0000}"/>
    <cellStyle name="Normal 5 10 2 11 3 5" xfId="31371" xr:uid="{00000000-0005-0000-0000-00008B7A0000}"/>
    <cellStyle name="Normal 5 10 2 11 3 6" xfId="31372" xr:uid="{00000000-0005-0000-0000-00008C7A0000}"/>
    <cellStyle name="Normal 5 10 2 11 3 7" xfId="31373" xr:uid="{00000000-0005-0000-0000-00008D7A0000}"/>
    <cellStyle name="Normal 5 10 2 11 3 8" xfId="31374" xr:uid="{00000000-0005-0000-0000-00008E7A0000}"/>
    <cellStyle name="Normal 5 10 2 11 3 9" xfId="31375" xr:uid="{00000000-0005-0000-0000-00008F7A0000}"/>
    <cellStyle name="Normal 5 10 2 11 4" xfId="31376" xr:uid="{00000000-0005-0000-0000-0000907A0000}"/>
    <cellStyle name="Normal 5 10 2 11 4 10" xfId="31377" xr:uid="{00000000-0005-0000-0000-0000917A0000}"/>
    <cellStyle name="Normal 5 10 2 11 4 2" xfId="31378" xr:uid="{00000000-0005-0000-0000-0000927A0000}"/>
    <cellStyle name="Normal 5 10 2 11 4 3" xfId="31379" xr:uid="{00000000-0005-0000-0000-0000937A0000}"/>
    <cellStyle name="Normal 5 10 2 11 4 4" xfId="31380" xr:uid="{00000000-0005-0000-0000-0000947A0000}"/>
    <cellStyle name="Normal 5 10 2 11 4 5" xfId="31381" xr:uid="{00000000-0005-0000-0000-0000957A0000}"/>
    <cellStyle name="Normal 5 10 2 11 4 6" xfId="31382" xr:uid="{00000000-0005-0000-0000-0000967A0000}"/>
    <cellStyle name="Normal 5 10 2 11 4 7" xfId="31383" xr:uid="{00000000-0005-0000-0000-0000977A0000}"/>
    <cellStyle name="Normal 5 10 2 11 4 8" xfId="31384" xr:uid="{00000000-0005-0000-0000-0000987A0000}"/>
    <cellStyle name="Normal 5 10 2 11 4 9" xfId="31385" xr:uid="{00000000-0005-0000-0000-0000997A0000}"/>
    <cellStyle name="Normal 5 10 2 11 5" xfId="31386" xr:uid="{00000000-0005-0000-0000-00009A7A0000}"/>
    <cellStyle name="Normal 5 10 2 11 5 10" xfId="31387" xr:uid="{00000000-0005-0000-0000-00009B7A0000}"/>
    <cellStyle name="Normal 5 10 2 11 5 2" xfId="31388" xr:uid="{00000000-0005-0000-0000-00009C7A0000}"/>
    <cellStyle name="Normal 5 10 2 11 5 3" xfId="31389" xr:uid="{00000000-0005-0000-0000-00009D7A0000}"/>
    <cellStyle name="Normal 5 10 2 11 5 4" xfId="31390" xr:uid="{00000000-0005-0000-0000-00009E7A0000}"/>
    <cellStyle name="Normal 5 10 2 11 5 5" xfId="31391" xr:uid="{00000000-0005-0000-0000-00009F7A0000}"/>
    <cellStyle name="Normal 5 10 2 11 5 6" xfId="31392" xr:uid="{00000000-0005-0000-0000-0000A07A0000}"/>
    <cellStyle name="Normal 5 10 2 11 5 7" xfId="31393" xr:uid="{00000000-0005-0000-0000-0000A17A0000}"/>
    <cellStyle name="Normal 5 10 2 11 5 8" xfId="31394" xr:uid="{00000000-0005-0000-0000-0000A27A0000}"/>
    <cellStyle name="Normal 5 10 2 11 5 9" xfId="31395" xr:uid="{00000000-0005-0000-0000-0000A37A0000}"/>
    <cellStyle name="Normal 5 10 2 11 6" xfId="31396" xr:uid="{00000000-0005-0000-0000-0000A47A0000}"/>
    <cellStyle name="Normal 5 10 2 11 7" xfId="31397" xr:uid="{00000000-0005-0000-0000-0000A57A0000}"/>
    <cellStyle name="Normal 5 10 2 11 8" xfId="31398" xr:uid="{00000000-0005-0000-0000-0000A67A0000}"/>
    <cellStyle name="Normal 5 10 2 11 9" xfId="31399" xr:uid="{00000000-0005-0000-0000-0000A77A0000}"/>
    <cellStyle name="Normal 5 10 2 12" xfId="31400" xr:uid="{00000000-0005-0000-0000-0000A87A0000}"/>
    <cellStyle name="Normal 5 10 2 12 10" xfId="31401" xr:uid="{00000000-0005-0000-0000-0000A97A0000}"/>
    <cellStyle name="Normal 5 10 2 12 11" xfId="31402" xr:uid="{00000000-0005-0000-0000-0000AA7A0000}"/>
    <cellStyle name="Normal 5 10 2 12 12" xfId="31403" xr:uid="{00000000-0005-0000-0000-0000AB7A0000}"/>
    <cellStyle name="Normal 5 10 2 12 13" xfId="31404" xr:uid="{00000000-0005-0000-0000-0000AC7A0000}"/>
    <cellStyle name="Normal 5 10 2 12 14" xfId="31405" xr:uid="{00000000-0005-0000-0000-0000AD7A0000}"/>
    <cellStyle name="Normal 5 10 2 12 2" xfId="31406" xr:uid="{00000000-0005-0000-0000-0000AE7A0000}"/>
    <cellStyle name="Normal 5 10 2 12 2 10" xfId="31407" xr:uid="{00000000-0005-0000-0000-0000AF7A0000}"/>
    <cellStyle name="Normal 5 10 2 12 2 2" xfId="31408" xr:uid="{00000000-0005-0000-0000-0000B07A0000}"/>
    <cellStyle name="Normal 5 10 2 12 2 3" xfId="31409" xr:uid="{00000000-0005-0000-0000-0000B17A0000}"/>
    <cellStyle name="Normal 5 10 2 12 2 4" xfId="31410" xr:uid="{00000000-0005-0000-0000-0000B27A0000}"/>
    <cellStyle name="Normal 5 10 2 12 2 5" xfId="31411" xr:uid="{00000000-0005-0000-0000-0000B37A0000}"/>
    <cellStyle name="Normal 5 10 2 12 2 6" xfId="31412" xr:uid="{00000000-0005-0000-0000-0000B47A0000}"/>
    <cellStyle name="Normal 5 10 2 12 2 7" xfId="31413" xr:uid="{00000000-0005-0000-0000-0000B57A0000}"/>
    <cellStyle name="Normal 5 10 2 12 2 8" xfId="31414" xr:uid="{00000000-0005-0000-0000-0000B67A0000}"/>
    <cellStyle name="Normal 5 10 2 12 2 9" xfId="31415" xr:uid="{00000000-0005-0000-0000-0000B77A0000}"/>
    <cellStyle name="Normal 5 10 2 12 3" xfId="31416" xr:uid="{00000000-0005-0000-0000-0000B87A0000}"/>
    <cellStyle name="Normal 5 10 2 12 3 10" xfId="31417" xr:uid="{00000000-0005-0000-0000-0000B97A0000}"/>
    <cellStyle name="Normal 5 10 2 12 3 2" xfId="31418" xr:uid="{00000000-0005-0000-0000-0000BA7A0000}"/>
    <cellStyle name="Normal 5 10 2 12 3 3" xfId="31419" xr:uid="{00000000-0005-0000-0000-0000BB7A0000}"/>
    <cellStyle name="Normal 5 10 2 12 3 4" xfId="31420" xr:uid="{00000000-0005-0000-0000-0000BC7A0000}"/>
    <cellStyle name="Normal 5 10 2 12 3 5" xfId="31421" xr:uid="{00000000-0005-0000-0000-0000BD7A0000}"/>
    <cellStyle name="Normal 5 10 2 12 3 6" xfId="31422" xr:uid="{00000000-0005-0000-0000-0000BE7A0000}"/>
    <cellStyle name="Normal 5 10 2 12 3 7" xfId="31423" xr:uid="{00000000-0005-0000-0000-0000BF7A0000}"/>
    <cellStyle name="Normal 5 10 2 12 3 8" xfId="31424" xr:uid="{00000000-0005-0000-0000-0000C07A0000}"/>
    <cellStyle name="Normal 5 10 2 12 3 9" xfId="31425" xr:uid="{00000000-0005-0000-0000-0000C17A0000}"/>
    <cellStyle name="Normal 5 10 2 12 4" xfId="31426" xr:uid="{00000000-0005-0000-0000-0000C27A0000}"/>
    <cellStyle name="Normal 5 10 2 12 4 10" xfId="31427" xr:uid="{00000000-0005-0000-0000-0000C37A0000}"/>
    <cellStyle name="Normal 5 10 2 12 4 2" xfId="31428" xr:uid="{00000000-0005-0000-0000-0000C47A0000}"/>
    <cellStyle name="Normal 5 10 2 12 4 3" xfId="31429" xr:uid="{00000000-0005-0000-0000-0000C57A0000}"/>
    <cellStyle name="Normal 5 10 2 12 4 4" xfId="31430" xr:uid="{00000000-0005-0000-0000-0000C67A0000}"/>
    <cellStyle name="Normal 5 10 2 12 4 5" xfId="31431" xr:uid="{00000000-0005-0000-0000-0000C77A0000}"/>
    <cellStyle name="Normal 5 10 2 12 4 6" xfId="31432" xr:uid="{00000000-0005-0000-0000-0000C87A0000}"/>
    <cellStyle name="Normal 5 10 2 12 4 7" xfId="31433" xr:uid="{00000000-0005-0000-0000-0000C97A0000}"/>
    <cellStyle name="Normal 5 10 2 12 4 8" xfId="31434" xr:uid="{00000000-0005-0000-0000-0000CA7A0000}"/>
    <cellStyle name="Normal 5 10 2 12 4 9" xfId="31435" xr:uid="{00000000-0005-0000-0000-0000CB7A0000}"/>
    <cellStyle name="Normal 5 10 2 12 5" xfId="31436" xr:uid="{00000000-0005-0000-0000-0000CC7A0000}"/>
    <cellStyle name="Normal 5 10 2 12 5 10" xfId="31437" xr:uid="{00000000-0005-0000-0000-0000CD7A0000}"/>
    <cellStyle name="Normal 5 10 2 12 5 2" xfId="31438" xr:uid="{00000000-0005-0000-0000-0000CE7A0000}"/>
    <cellStyle name="Normal 5 10 2 12 5 3" xfId="31439" xr:uid="{00000000-0005-0000-0000-0000CF7A0000}"/>
    <cellStyle name="Normal 5 10 2 12 5 4" xfId="31440" xr:uid="{00000000-0005-0000-0000-0000D07A0000}"/>
    <cellStyle name="Normal 5 10 2 12 5 5" xfId="31441" xr:uid="{00000000-0005-0000-0000-0000D17A0000}"/>
    <cellStyle name="Normal 5 10 2 12 5 6" xfId="31442" xr:uid="{00000000-0005-0000-0000-0000D27A0000}"/>
    <cellStyle name="Normal 5 10 2 12 5 7" xfId="31443" xr:uid="{00000000-0005-0000-0000-0000D37A0000}"/>
    <cellStyle name="Normal 5 10 2 12 5 8" xfId="31444" xr:uid="{00000000-0005-0000-0000-0000D47A0000}"/>
    <cellStyle name="Normal 5 10 2 12 5 9" xfId="31445" xr:uid="{00000000-0005-0000-0000-0000D57A0000}"/>
    <cellStyle name="Normal 5 10 2 12 6" xfId="31446" xr:uid="{00000000-0005-0000-0000-0000D67A0000}"/>
    <cellStyle name="Normal 5 10 2 12 7" xfId="31447" xr:uid="{00000000-0005-0000-0000-0000D77A0000}"/>
    <cellStyle name="Normal 5 10 2 12 8" xfId="31448" xr:uid="{00000000-0005-0000-0000-0000D87A0000}"/>
    <cellStyle name="Normal 5 10 2 12 9" xfId="31449" xr:uid="{00000000-0005-0000-0000-0000D97A0000}"/>
    <cellStyle name="Normal 5 10 2 13" xfId="31450" xr:uid="{00000000-0005-0000-0000-0000DA7A0000}"/>
    <cellStyle name="Normal 5 10 2 13 10" xfId="31451" xr:uid="{00000000-0005-0000-0000-0000DB7A0000}"/>
    <cellStyle name="Normal 5 10 2 13 11" xfId="31452" xr:uid="{00000000-0005-0000-0000-0000DC7A0000}"/>
    <cellStyle name="Normal 5 10 2 13 12" xfId="31453" xr:uid="{00000000-0005-0000-0000-0000DD7A0000}"/>
    <cellStyle name="Normal 5 10 2 13 13" xfId="31454" xr:uid="{00000000-0005-0000-0000-0000DE7A0000}"/>
    <cellStyle name="Normal 5 10 2 13 14" xfId="31455" xr:uid="{00000000-0005-0000-0000-0000DF7A0000}"/>
    <cellStyle name="Normal 5 10 2 13 2" xfId="31456" xr:uid="{00000000-0005-0000-0000-0000E07A0000}"/>
    <cellStyle name="Normal 5 10 2 13 2 10" xfId="31457" xr:uid="{00000000-0005-0000-0000-0000E17A0000}"/>
    <cellStyle name="Normal 5 10 2 13 2 2" xfId="31458" xr:uid="{00000000-0005-0000-0000-0000E27A0000}"/>
    <cellStyle name="Normal 5 10 2 13 2 3" xfId="31459" xr:uid="{00000000-0005-0000-0000-0000E37A0000}"/>
    <cellStyle name="Normal 5 10 2 13 2 4" xfId="31460" xr:uid="{00000000-0005-0000-0000-0000E47A0000}"/>
    <cellStyle name="Normal 5 10 2 13 2 5" xfId="31461" xr:uid="{00000000-0005-0000-0000-0000E57A0000}"/>
    <cellStyle name="Normal 5 10 2 13 2 6" xfId="31462" xr:uid="{00000000-0005-0000-0000-0000E67A0000}"/>
    <cellStyle name="Normal 5 10 2 13 2 7" xfId="31463" xr:uid="{00000000-0005-0000-0000-0000E77A0000}"/>
    <cellStyle name="Normal 5 10 2 13 2 8" xfId="31464" xr:uid="{00000000-0005-0000-0000-0000E87A0000}"/>
    <cellStyle name="Normal 5 10 2 13 2 9" xfId="31465" xr:uid="{00000000-0005-0000-0000-0000E97A0000}"/>
    <cellStyle name="Normal 5 10 2 13 3" xfId="31466" xr:uid="{00000000-0005-0000-0000-0000EA7A0000}"/>
    <cellStyle name="Normal 5 10 2 13 3 10" xfId="31467" xr:uid="{00000000-0005-0000-0000-0000EB7A0000}"/>
    <cellStyle name="Normal 5 10 2 13 3 2" xfId="31468" xr:uid="{00000000-0005-0000-0000-0000EC7A0000}"/>
    <cellStyle name="Normal 5 10 2 13 3 3" xfId="31469" xr:uid="{00000000-0005-0000-0000-0000ED7A0000}"/>
    <cellStyle name="Normal 5 10 2 13 3 4" xfId="31470" xr:uid="{00000000-0005-0000-0000-0000EE7A0000}"/>
    <cellStyle name="Normal 5 10 2 13 3 5" xfId="31471" xr:uid="{00000000-0005-0000-0000-0000EF7A0000}"/>
    <cellStyle name="Normal 5 10 2 13 3 6" xfId="31472" xr:uid="{00000000-0005-0000-0000-0000F07A0000}"/>
    <cellStyle name="Normal 5 10 2 13 3 7" xfId="31473" xr:uid="{00000000-0005-0000-0000-0000F17A0000}"/>
    <cellStyle name="Normal 5 10 2 13 3 8" xfId="31474" xr:uid="{00000000-0005-0000-0000-0000F27A0000}"/>
    <cellStyle name="Normal 5 10 2 13 3 9" xfId="31475" xr:uid="{00000000-0005-0000-0000-0000F37A0000}"/>
    <cellStyle name="Normal 5 10 2 13 4" xfId="31476" xr:uid="{00000000-0005-0000-0000-0000F47A0000}"/>
    <cellStyle name="Normal 5 10 2 13 4 10" xfId="31477" xr:uid="{00000000-0005-0000-0000-0000F57A0000}"/>
    <cellStyle name="Normal 5 10 2 13 4 2" xfId="31478" xr:uid="{00000000-0005-0000-0000-0000F67A0000}"/>
    <cellStyle name="Normal 5 10 2 13 4 3" xfId="31479" xr:uid="{00000000-0005-0000-0000-0000F77A0000}"/>
    <cellStyle name="Normal 5 10 2 13 4 4" xfId="31480" xr:uid="{00000000-0005-0000-0000-0000F87A0000}"/>
    <cellStyle name="Normal 5 10 2 13 4 5" xfId="31481" xr:uid="{00000000-0005-0000-0000-0000F97A0000}"/>
    <cellStyle name="Normal 5 10 2 13 4 6" xfId="31482" xr:uid="{00000000-0005-0000-0000-0000FA7A0000}"/>
    <cellStyle name="Normal 5 10 2 13 4 7" xfId="31483" xr:uid="{00000000-0005-0000-0000-0000FB7A0000}"/>
    <cellStyle name="Normal 5 10 2 13 4 8" xfId="31484" xr:uid="{00000000-0005-0000-0000-0000FC7A0000}"/>
    <cellStyle name="Normal 5 10 2 13 4 9" xfId="31485" xr:uid="{00000000-0005-0000-0000-0000FD7A0000}"/>
    <cellStyle name="Normal 5 10 2 13 5" xfId="31486" xr:uid="{00000000-0005-0000-0000-0000FE7A0000}"/>
    <cellStyle name="Normal 5 10 2 13 5 10" xfId="31487" xr:uid="{00000000-0005-0000-0000-0000FF7A0000}"/>
    <cellStyle name="Normal 5 10 2 13 5 2" xfId="31488" xr:uid="{00000000-0005-0000-0000-0000007B0000}"/>
    <cellStyle name="Normal 5 10 2 13 5 3" xfId="31489" xr:uid="{00000000-0005-0000-0000-0000017B0000}"/>
    <cellStyle name="Normal 5 10 2 13 5 4" xfId="31490" xr:uid="{00000000-0005-0000-0000-0000027B0000}"/>
    <cellStyle name="Normal 5 10 2 13 5 5" xfId="31491" xr:uid="{00000000-0005-0000-0000-0000037B0000}"/>
    <cellStyle name="Normal 5 10 2 13 5 6" xfId="31492" xr:uid="{00000000-0005-0000-0000-0000047B0000}"/>
    <cellStyle name="Normal 5 10 2 13 5 7" xfId="31493" xr:uid="{00000000-0005-0000-0000-0000057B0000}"/>
    <cellStyle name="Normal 5 10 2 13 5 8" xfId="31494" xr:uid="{00000000-0005-0000-0000-0000067B0000}"/>
    <cellStyle name="Normal 5 10 2 13 5 9" xfId="31495" xr:uid="{00000000-0005-0000-0000-0000077B0000}"/>
    <cellStyle name="Normal 5 10 2 13 6" xfId="31496" xr:uid="{00000000-0005-0000-0000-0000087B0000}"/>
    <cellStyle name="Normal 5 10 2 13 7" xfId="31497" xr:uid="{00000000-0005-0000-0000-0000097B0000}"/>
    <cellStyle name="Normal 5 10 2 13 8" xfId="31498" xr:uid="{00000000-0005-0000-0000-00000A7B0000}"/>
    <cellStyle name="Normal 5 10 2 13 9" xfId="31499" xr:uid="{00000000-0005-0000-0000-00000B7B0000}"/>
    <cellStyle name="Normal 5 10 2 14" xfId="31500" xr:uid="{00000000-0005-0000-0000-00000C7B0000}"/>
    <cellStyle name="Normal 5 10 2 14 10" xfId="31501" xr:uid="{00000000-0005-0000-0000-00000D7B0000}"/>
    <cellStyle name="Normal 5 10 2 14 11" xfId="31502" xr:uid="{00000000-0005-0000-0000-00000E7B0000}"/>
    <cellStyle name="Normal 5 10 2 14 12" xfId="31503" xr:uid="{00000000-0005-0000-0000-00000F7B0000}"/>
    <cellStyle name="Normal 5 10 2 14 13" xfId="31504" xr:uid="{00000000-0005-0000-0000-0000107B0000}"/>
    <cellStyle name="Normal 5 10 2 14 14" xfId="31505" xr:uid="{00000000-0005-0000-0000-0000117B0000}"/>
    <cellStyle name="Normal 5 10 2 14 2" xfId="31506" xr:uid="{00000000-0005-0000-0000-0000127B0000}"/>
    <cellStyle name="Normal 5 10 2 14 2 10" xfId="31507" xr:uid="{00000000-0005-0000-0000-0000137B0000}"/>
    <cellStyle name="Normal 5 10 2 14 2 2" xfId="31508" xr:uid="{00000000-0005-0000-0000-0000147B0000}"/>
    <cellStyle name="Normal 5 10 2 14 2 3" xfId="31509" xr:uid="{00000000-0005-0000-0000-0000157B0000}"/>
    <cellStyle name="Normal 5 10 2 14 2 4" xfId="31510" xr:uid="{00000000-0005-0000-0000-0000167B0000}"/>
    <cellStyle name="Normal 5 10 2 14 2 5" xfId="31511" xr:uid="{00000000-0005-0000-0000-0000177B0000}"/>
    <cellStyle name="Normal 5 10 2 14 2 6" xfId="31512" xr:uid="{00000000-0005-0000-0000-0000187B0000}"/>
    <cellStyle name="Normal 5 10 2 14 2 7" xfId="31513" xr:uid="{00000000-0005-0000-0000-0000197B0000}"/>
    <cellStyle name="Normal 5 10 2 14 2 8" xfId="31514" xr:uid="{00000000-0005-0000-0000-00001A7B0000}"/>
    <cellStyle name="Normal 5 10 2 14 2 9" xfId="31515" xr:uid="{00000000-0005-0000-0000-00001B7B0000}"/>
    <cellStyle name="Normal 5 10 2 14 3" xfId="31516" xr:uid="{00000000-0005-0000-0000-00001C7B0000}"/>
    <cellStyle name="Normal 5 10 2 14 3 10" xfId="31517" xr:uid="{00000000-0005-0000-0000-00001D7B0000}"/>
    <cellStyle name="Normal 5 10 2 14 3 2" xfId="31518" xr:uid="{00000000-0005-0000-0000-00001E7B0000}"/>
    <cellStyle name="Normal 5 10 2 14 3 3" xfId="31519" xr:uid="{00000000-0005-0000-0000-00001F7B0000}"/>
    <cellStyle name="Normal 5 10 2 14 3 4" xfId="31520" xr:uid="{00000000-0005-0000-0000-0000207B0000}"/>
    <cellStyle name="Normal 5 10 2 14 3 5" xfId="31521" xr:uid="{00000000-0005-0000-0000-0000217B0000}"/>
    <cellStyle name="Normal 5 10 2 14 3 6" xfId="31522" xr:uid="{00000000-0005-0000-0000-0000227B0000}"/>
    <cellStyle name="Normal 5 10 2 14 3 7" xfId="31523" xr:uid="{00000000-0005-0000-0000-0000237B0000}"/>
    <cellStyle name="Normal 5 10 2 14 3 8" xfId="31524" xr:uid="{00000000-0005-0000-0000-0000247B0000}"/>
    <cellStyle name="Normal 5 10 2 14 3 9" xfId="31525" xr:uid="{00000000-0005-0000-0000-0000257B0000}"/>
    <cellStyle name="Normal 5 10 2 14 4" xfId="31526" xr:uid="{00000000-0005-0000-0000-0000267B0000}"/>
    <cellStyle name="Normal 5 10 2 14 4 10" xfId="31527" xr:uid="{00000000-0005-0000-0000-0000277B0000}"/>
    <cellStyle name="Normal 5 10 2 14 4 2" xfId="31528" xr:uid="{00000000-0005-0000-0000-0000287B0000}"/>
    <cellStyle name="Normal 5 10 2 14 4 3" xfId="31529" xr:uid="{00000000-0005-0000-0000-0000297B0000}"/>
    <cellStyle name="Normal 5 10 2 14 4 4" xfId="31530" xr:uid="{00000000-0005-0000-0000-00002A7B0000}"/>
    <cellStyle name="Normal 5 10 2 14 4 5" xfId="31531" xr:uid="{00000000-0005-0000-0000-00002B7B0000}"/>
    <cellStyle name="Normal 5 10 2 14 4 6" xfId="31532" xr:uid="{00000000-0005-0000-0000-00002C7B0000}"/>
    <cellStyle name="Normal 5 10 2 14 4 7" xfId="31533" xr:uid="{00000000-0005-0000-0000-00002D7B0000}"/>
    <cellStyle name="Normal 5 10 2 14 4 8" xfId="31534" xr:uid="{00000000-0005-0000-0000-00002E7B0000}"/>
    <cellStyle name="Normal 5 10 2 14 4 9" xfId="31535" xr:uid="{00000000-0005-0000-0000-00002F7B0000}"/>
    <cellStyle name="Normal 5 10 2 14 5" xfId="31536" xr:uid="{00000000-0005-0000-0000-0000307B0000}"/>
    <cellStyle name="Normal 5 10 2 14 5 10" xfId="31537" xr:uid="{00000000-0005-0000-0000-0000317B0000}"/>
    <cellStyle name="Normal 5 10 2 14 5 2" xfId="31538" xr:uid="{00000000-0005-0000-0000-0000327B0000}"/>
    <cellStyle name="Normal 5 10 2 14 5 3" xfId="31539" xr:uid="{00000000-0005-0000-0000-0000337B0000}"/>
    <cellStyle name="Normal 5 10 2 14 5 4" xfId="31540" xr:uid="{00000000-0005-0000-0000-0000347B0000}"/>
    <cellStyle name="Normal 5 10 2 14 5 5" xfId="31541" xr:uid="{00000000-0005-0000-0000-0000357B0000}"/>
    <cellStyle name="Normal 5 10 2 14 5 6" xfId="31542" xr:uid="{00000000-0005-0000-0000-0000367B0000}"/>
    <cellStyle name="Normal 5 10 2 14 5 7" xfId="31543" xr:uid="{00000000-0005-0000-0000-0000377B0000}"/>
    <cellStyle name="Normal 5 10 2 14 5 8" xfId="31544" xr:uid="{00000000-0005-0000-0000-0000387B0000}"/>
    <cellStyle name="Normal 5 10 2 14 5 9" xfId="31545" xr:uid="{00000000-0005-0000-0000-0000397B0000}"/>
    <cellStyle name="Normal 5 10 2 14 6" xfId="31546" xr:uid="{00000000-0005-0000-0000-00003A7B0000}"/>
    <cellStyle name="Normal 5 10 2 14 7" xfId="31547" xr:uid="{00000000-0005-0000-0000-00003B7B0000}"/>
    <cellStyle name="Normal 5 10 2 14 8" xfId="31548" xr:uid="{00000000-0005-0000-0000-00003C7B0000}"/>
    <cellStyle name="Normal 5 10 2 14 9" xfId="31549" xr:uid="{00000000-0005-0000-0000-00003D7B0000}"/>
    <cellStyle name="Normal 5 10 2 15" xfId="31550" xr:uid="{00000000-0005-0000-0000-00003E7B0000}"/>
    <cellStyle name="Normal 5 10 2 15 10" xfId="31551" xr:uid="{00000000-0005-0000-0000-00003F7B0000}"/>
    <cellStyle name="Normal 5 10 2 15 11" xfId="31552" xr:uid="{00000000-0005-0000-0000-0000407B0000}"/>
    <cellStyle name="Normal 5 10 2 15 12" xfId="31553" xr:uid="{00000000-0005-0000-0000-0000417B0000}"/>
    <cellStyle name="Normal 5 10 2 15 13" xfId="31554" xr:uid="{00000000-0005-0000-0000-0000427B0000}"/>
    <cellStyle name="Normal 5 10 2 15 14" xfId="31555" xr:uid="{00000000-0005-0000-0000-0000437B0000}"/>
    <cellStyle name="Normal 5 10 2 15 2" xfId="31556" xr:uid="{00000000-0005-0000-0000-0000447B0000}"/>
    <cellStyle name="Normal 5 10 2 15 2 10" xfId="31557" xr:uid="{00000000-0005-0000-0000-0000457B0000}"/>
    <cellStyle name="Normal 5 10 2 15 2 2" xfId="31558" xr:uid="{00000000-0005-0000-0000-0000467B0000}"/>
    <cellStyle name="Normal 5 10 2 15 2 3" xfId="31559" xr:uid="{00000000-0005-0000-0000-0000477B0000}"/>
    <cellStyle name="Normal 5 10 2 15 2 4" xfId="31560" xr:uid="{00000000-0005-0000-0000-0000487B0000}"/>
    <cellStyle name="Normal 5 10 2 15 2 5" xfId="31561" xr:uid="{00000000-0005-0000-0000-0000497B0000}"/>
    <cellStyle name="Normal 5 10 2 15 2 6" xfId="31562" xr:uid="{00000000-0005-0000-0000-00004A7B0000}"/>
    <cellStyle name="Normal 5 10 2 15 2 7" xfId="31563" xr:uid="{00000000-0005-0000-0000-00004B7B0000}"/>
    <cellStyle name="Normal 5 10 2 15 2 8" xfId="31564" xr:uid="{00000000-0005-0000-0000-00004C7B0000}"/>
    <cellStyle name="Normal 5 10 2 15 2 9" xfId="31565" xr:uid="{00000000-0005-0000-0000-00004D7B0000}"/>
    <cellStyle name="Normal 5 10 2 15 3" xfId="31566" xr:uid="{00000000-0005-0000-0000-00004E7B0000}"/>
    <cellStyle name="Normal 5 10 2 15 3 10" xfId="31567" xr:uid="{00000000-0005-0000-0000-00004F7B0000}"/>
    <cellStyle name="Normal 5 10 2 15 3 2" xfId="31568" xr:uid="{00000000-0005-0000-0000-0000507B0000}"/>
    <cellStyle name="Normal 5 10 2 15 3 3" xfId="31569" xr:uid="{00000000-0005-0000-0000-0000517B0000}"/>
    <cellStyle name="Normal 5 10 2 15 3 4" xfId="31570" xr:uid="{00000000-0005-0000-0000-0000527B0000}"/>
    <cellStyle name="Normal 5 10 2 15 3 5" xfId="31571" xr:uid="{00000000-0005-0000-0000-0000537B0000}"/>
    <cellStyle name="Normal 5 10 2 15 3 6" xfId="31572" xr:uid="{00000000-0005-0000-0000-0000547B0000}"/>
    <cellStyle name="Normal 5 10 2 15 3 7" xfId="31573" xr:uid="{00000000-0005-0000-0000-0000557B0000}"/>
    <cellStyle name="Normal 5 10 2 15 3 8" xfId="31574" xr:uid="{00000000-0005-0000-0000-0000567B0000}"/>
    <cellStyle name="Normal 5 10 2 15 3 9" xfId="31575" xr:uid="{00000000-0005-0000-0000-0000577B0000}"/>
    <cellStyle name="Normal 5 10 2 15 4" xfId="31576" xr:uid="{00000000-0005-0000-0000-0000587B0000}"/>
    <cellStyle name="Normal 5 10 2 15 4 10" xfId="31577" xr:uid="{00000000-0005-0000-0000-0000597B0000}"/>
    <cellStyle name="Normal 5 10 2 15 4 2" xfId="31578" xr:uid="{00000000-0005-0000-0000-00005A7B0000}"/>
    <cellStyle name="Normal 5 10 2 15 4 3" xfId="31579" xr:uid="{00000000-0005-0000-0000-00005B7B0000}"/>
    <cellStyle name="Normal 5 10 2 15 4 4" xfId="31580" xr:uid="{00000000-0005-0000-0000-00005C7B0000}"/>
    <cellStyle name="Normal 5 10 2 15 4 5" xfId="31581" xr:uid="{00000000-0005-0000-0000-00005D7B0000}"/>
    <cellStyle name="Normal 5 10 2 15 4 6" xfId="31582" xr:uid="{00000000-0005-0000-0000-00005E7B0000}"/>
    <cellStyle name="Normal 5 10 2 15 4 7" xfId="31583" xr:uid="{00000000-0005-0000-0000-00005F7B0000}"/>
    <cellStyle name="Normal 5 10 2 15 4 8" xfId="31584" xr:uid="{00000000-0005-0000-0000-0000607B0000}"/>
    <cellStyle name="Normal 5 10 2 15 4 9" xfId="31585" xr:uid="{00000000-0005-0000-0000-0000617B0000}"/>
    <cellStyle name="Normal 5 10 2 15 5" xfId="31586" xr:uid="{00000000-0005-0000-0000-0000627B0000}"/>
    <cellStyle name="Normal 5 10 2 15 5 10" xfId="31587" xr:uid="{00000000-0005-0000-0000-0000637B0000}"/>
    <cellStyle name="Normal 5 10 2 15 5 2" xfId="31588" xr:uid="{00000000-0005-0000-0000-0000647B0000}"/>
    <cellStyle name="Normal 5 10 2 15 5 3" xfId="31589" xr:uid="{00000000-0005-0000-0000-0000657B0000}"/>
    <cellStyle name="Normal 5 10 2 15 5 4" xfId="31590" xr:uid="{00000000-0005-0000-0000-0000667B0000}"/>
    <cellStyle name="Normal 5 10 2 15 5 5" xfId="31591" xr:uid="{00000000-0005-0000-0000-0000677B0000}"/>
    <cellStyle name="Normal 5 10 2 15 5 6" xfId="31592" xr:uid="{00000000-0005-0000-0000-0000687B0000}"/>
    <cellStyle name="Normal 5 10 2 15 5 7" xfId="31593" xr:uid="{00000000-0005-0000-0000-0000697B0000}"/>
    <cellStyle name="Normal 5 10 2 15 5 8" xfId="31594" xr:uid="{00000000-0005-0000-0000-00006A7B0000}"/>
    <cellStyle name="Normal 5 10 2 15 5 9" xfId="31595" xr:uid="{00000000-0005-0000-0000-00006B7B0000}"/>
    <cellStyle name="Normal 5 10 2 15 6" xfId="31596" xr:uid="{00000000-0005-0000-0000-00006C7B0000}"/>
    <cellStyle name="Normal 5 10 2 15 7" xfId="31597" xr:uid="{00000000-0005-0000-0000-00006D7B0000}"/>
    <cellStyle name="Normal 5 10 2 15 8" xfId="31598" xr:uid="{00000000-0005-0000-0000-00006E7B0000}"/>
    <cellStyle name="Normal 5 10 2 15 9" xfId="31599" xr:uid="{00000000-0005-0000-0000-00006F7B0000}"/>
    <cellStyle name="Normal 5 10 2 16" xfId="31600" xr:uid="{00000000-0005-0000-0000-0000707B0000}"/>
    <cellStyle name="Normal 5 10 2 16 10" xfId="31601" xr:uid="{00000000-0005-0000-0000-0000717B0000}"/>
    <cellStyle name="Normal 5 10 2 16 11" xfId="31602" xr:uid="{00000000-0005-0000-0000-0000727B0000}"/>
    <cellStyle name="Normal 5 10 2 16 12" xfId="31603" xr:uid="{00000000-0005-0000-0000-0000737B0000}"/>
    <cellStyle name="Normal 5 10 2 16 13" xfId="31604" xr:uid="{00000000-0005-0000-0000-0000747B0000}"/>
    <cellStyle name="Normal 5 10 2 16 14" xfId="31605" xr:uid="{00000000-0005-0000-0000-0000757B0000}"/>
    <cellStyle name="Normal 5 10 2 16 2" xfId="31606" xr:uid="{00000000-0005-0000-0000-0000767B0000}"/>
    <cellStyle name="Normal 5 10 2 16 2 10" xfId="31607" xr:uid="{00000000-0005-0000-0000-0000777B0000}"/>
    <cellStyle name="Normal 5 10 2 16 2 2" xfId="31608" xr:uid="{00000000-0005-0000-0000-0000787B0000}"/>
    <cellStyle name="Normal 5 10 2 16 2 3" xfId="31609" xr:uid="{00000000-0005-0000-0000-0000797B0000}"/>
    <cellStyle name="Normal 5 10 2 16 2 4" xfId="31610" xr:uid="{00000000-0005-0000-0000-00007A7B0000}"/>
    <cellStyle name="Normal 5 10 2 16 2 5" xfId="31611" xr:uid="{00000000-0005-0000-0000-00007B7B0000}"/>
    <cellStyle name="Normal 5 10 2 16 2 6" xfId="31612" xr:uid="{00000000-0005-0000-0000-00007C7B0000}"/>
    <cellStyle name="Normal 5 10 2 16 2 7" xfId="31613" xr:uid="{00000000-0005-0000-0000-00007D7B0000}"/>
    <cellStyle name="Normal 5 10 2 16 2 8" xfId="31614" xr:uid="{00000000-0005-0000-0000-00007E7B0000}"/>
    <cellStyle name="Normal 5 10 2 16 2 9" xfId="31615" xr:uid="{00000000-0005-0000-0000-00007F7B0000}"/>
    <cellStyle name="Normal 5 10 2 16 3" xfId="31616" xr:uid="{00000000-0005-0000-0000-0000807B0000}"/>
    <cellStyle name="Normal 5 10 2 16 3 10" xfId="31617" xr:uid="{00000000-0005-0000-0000-0000817B0000}"/>
    <cellStyle name="Normal 5 10 2 16 3 2" xfId="31618" xr:uid="{00000000-0005-0000-0000-0000827B0000}"/>
    <cellStyle name="Normal 5 10 2 16 3 3" xfId="31619" xr:uid="{00000000-0005-0000-0000-0000837B0000}"/>
    <cellStyle name="Normal 5 10 2 16 3 4" xfId="31620" xr:uid="{00000000-0005-0000-0000-0000847B0000}"/>
    <cellStyle name="Normal 5 10 2 16 3 5" xfId="31621" xr:uid="{00000000-0005-0000-0000-0000857B0000}"/>
    <cellStyle name="Normal 5 10 2 16 3 6" xfId="31622" xr:uid="{00000000-0005-0000-0000-0000867B0000}"/>
    <cellStyle name="Normal 5 10 2 16 3 7" xfId="31623" xr:uid="{00000000-0005-0000-0000-0000877B0000}"/>
    <cellStyle name="Normal 5 10 2 16 3 8" xfId="31624" xr:uid="{00000000-0005-0000-0000-0000887B0000}"/>
    <cellStyle name="Normal 5 10 2 16 3 9" xfId="31625" xr:uid="{00000000-0005-0000-0000-0000897B0000}"/>
    <cellStyle name="Normal 5 10 2 16 4" xfId="31626" xr:uid="{00000000-0005-0000-0000-00008A7B0000}"/>
    <cellStyle name="Normal 5 10 2 16 4 10" xfId="31627" xr:uid="{00000000-0005-0000-0000-00008B7B0000}"/>
    <cellStyle name="Normal 5 10 2 16 4 2" xfId="31628" xr:uid="{00000000-0005-0000-0000-00008C7B0000}"/>
    <cellStyle name="Normal 5 10 2 16 4 3" xfId="31629" xr:uid="{00000000-0005-0000-0000-00008D7B0000}"/>
    <cellStyle name="Normal 5 10 2 16 4 4" xfId="31630" xr:uid="{00000000-0005-0000-0000-00008E7B0000}"/>
    <cellStyle name="Normal 5 10 2 16 4 5" xfId="31631" xr:uid="{00000000-0005-0000-0000-00008F7B0000}"/>
    <cellStyle name="Normal 5 10 2 16 4 6" xfId="31632" xr:uid="{00000000-0005-0000-0000-0000907B0000}"/>
    <cellStyle name="Normal 5 10 2 16 4 7" xfId="31633" xr:uid="{00000000-0005-0000-0000-0000917B0000}"/>
    <cellStyle name="Normal 5 10 2 16 4 8" xfId="31634" xr:uid="{00000000-0005-0000-0000-0000927B0000}"/>
    <cellStyle name="Normal 5 10 2 16 4 9" xfId="31635" xr:uid="{00000000-0005-0000-0000-0000937B0000}"/>
    <cellStyle name="Normal 5 10 2 16 5" xfId="31636" xr:uid="{00000000-0005-0000-0000-0000947B0000}"/>
    <cellStyle name="Normal 5 10 2 16 5 10" xfId="31637" xr:uid="{00000000-0005-0000-0000-0000957B0000}"/>
    <cellStyle name="Normal 5 10 2 16 5 2" xfId="31638" xr:uid="{00000000-0005-0000-0000-0000967B0000}"/>
    <cellStyle name="Normal 5 10 2 16 5 3" xfId="31639" xr:uid="{00000000-0005-0000-0000-0000977B0000}"/>
    <cellStyle name="Normal 5 10 2 16 5 4" xfId="31640" xr:uid="{00000000-0005-0000-0000-0000987B0000}"/>
    <cellStyle name="Normal 5 10 2 16 5 5" xfId="31641" xr:uid="{00000000-0005-0000-0000-0000997B0000}"/>
    <cellStyle name="Normal 5 10 2 16 5 6" xfId="31642" xr:uid="{00000000-0005-0000-0000-00009A7B0000}"/>
    <cellStyle name="Normal 5 10 2 16 5 7" xfId="31643" xr:uid="{00000000-0005-0000-0000-00009B7B0000}"/>
    <cellStyle name="Normal 5 10 2 16 5 8" xfId="31644" xr:uid="{00000000-0005-0000-0000-00009C7B0000}"/>
    <cellStyle name="Normal 5 10 2 16 5 9" xfId="31645" xr:uid="{00000000-0005-0000-0000-00009D7B0000}"/>
    <cellStyle name="Normal 5 10 2 16 6" xfId="31646" xr:uid="{00000000-0005-0000-0000-00009E7B0000}"/>
    <cellStyle name="Normal 5 10 2 16 7" xfId="31647" xr:uid="{00000000-0005-0000-0000-00009F7B0000}"/>
    <cellStyle name="Normal 5 10 2 16 8" xfId="31648" xr:uid="{00000000-0005-0000-0000-0000A07B0000}"/>
    <cellStyle name="Normal 5 10 2 16 9" xfId="31649" xr:uid="{00000000-0005-0000-0000-0000A17B0000}"/>
    <cellStyle name="Normal 5 10 2 17" xfId="31650" xr:uid="{00000000-0005-0000-0000-0000A27B0000}"/>
    <cellStyle name="Normal 5 10 2 17 10" xfId="31651" xr:uid="{00000000-0005-0000-0000-0000A37B0000}"/>
    <cellStyle name="Normal 5 10 2 17 11" xfId="31652" xr:uid="{00000000-0005-0000-0000-0000A47B0000}"/>
    <cellStyle name="Normal 5 10 2 17 12" xfId="31653" xr:uid="{00000000-0005-0000-0000-0000A57B0000}"/>
    <cellStyle name="Normal 5 10 2 17 13" xfId="31654" xr:uid="{00000000-0005-0000-0000-0000A67B0000}"/>
    <cellStyle name="Normal 5 10 2 17 14" xfId="31655" xr:uid="{00000000-0005-0000-0000-0000A77B0000}"/>
    <cellStyle name="Normal 5 10 2 17 2" xfId="31656" xr:uid="{00000000-0005-0000-0000-0000A87B0000}"/>
    <cellStyle name="Normal 5 10 2 17 2 10" xfId="31657" xr:uid="{00000000-0005-0000-0000-0000A97B0000}"/>
    <cellStyle name="Normal 5 10 2 17 2 2" xfId="31658" xr:uid="{00000000-0005-0000-0000-0000AA7B0000}"/>
    <cellStyle name="Normal 5 10 2 17 2 3" xfId="31659" xr:uid="{00000000-0005-0000-0000-0000AB7B0000}"/>
    <cellStyle name="Normal 5 10 2 17 2 4" xfId="31660" xr:uid="{00000000-0005-0000-0000-0000AC7B0000}"/>
    <cellStyle name="Normal 5 10 2 17 2 5" xfId="31661" xr:uid="{00000000-0005-0000-0000-0000AD7B0000}"/>
    <cellStyle name="Normal 5 10 2 17 2 6" xfId="31662" xr:uid="{00000000-0005-0000-0000-0000AE7B0000}"/>
    <cellStyle name="Normal 5 10 2 17 2 7" xfId="31663" xr:uid="{00000000-0005-0000-0000-0000AF7B0000}"/>
    <cellStyle name="Normal 5 10 2 17 2 8" xfId="31664" xr:uid="{00000000-0005-0000-0000-0000B07B0000}"/>
    <cellStyle name="Normal 5 10 2 17 2 9" xfId="31665" xr:uid="{00000000-0005-0000-0000-0000B17B0000}"/>
    <cellStyle name="Normal 5 10 2 17 3" xfId="31666" xr:uid="{00000000-0005-0000-0000-0000B27B0000}"/>
    <cellStyle name="Normal 5 10 2 17 3 10" xfId="31667" xr:uid="{00000000-0005-0000-0000-0000B37B0000}"/>
    <cellStyle name="Normal 5 10 2 17 3 2" xfId="31668" xr:uid="{00000000-0005-0000-0000-0000B47B0000}"/>
    <cellStyle name="Normal 5 10 2 17 3 3" xfId="31669" xr:uid="{00000000-0005-0000-0000-0000B57B0000}"/>
    <cellStyle name="Normal 5 10 2 17 3 4" xfId="31670" xr:uid="{00000000-0005-0000-0000-0000B67B0000}"/>
    <cellStyle name="Normal 5 10 2 17 3 5" xfId="31671" xr:uid="{00000000-0005-0000-0000-0000B77B0000}"/>
    <cellStyle name="Normal 5 10 2 17 3 6" xfId="31672" xr:uid="{00000000-0005-0000-0000-0000B87B0000}"/>
    <cellStyle name="Normal 5 10 2 17 3 7" xfId="31673" xr:uid="{00000000-0005-0000-0000-0000B97B0000}"/>
    <cellStyle name="Normal 5 10 2 17 3 8" xfId="31674" xr:uid="{00000000-0005-0000-0000-0000BA7B0000}"/>
    <cellStyle name="Normal 5 10 2 17 3 9" xfId="31675" xr:uid="{00000000-0005-0000-0000-0000BB7B0000}"/>
    <cellStyle name="Normal 5 10 2 17 4" xfId="31676" xr:uid="{00000000-0005-0000-0000-0000BC7B0000}"/>
    <cellStyle name="Normal 5 10 2 17 4 10" xfId="31677" xr:uid="{00000000-0005-0000-0000-0000BD7B0000}"/>
    <cellStyle name="Normal 5 10 2 17 4 2" xfId="31678" xr:uid="{00000000-0005-0000-0000-0000BE7B0000}"/>
    <cellStyle name="Normal 5 10 2 17 4 3" xfId="31679" xr:uid="{00000000-0005-0000-0000-0000BF7B0000}"/>
    <cellStyle name="Normal 5 10 2 17 4 4" xfId="31680" xr:uid="{00000000-0005-0000-0000-0000C07B0000}"/>
    <cellStyle name="Normal 5 10 2 17 4 5" xfId="31681" xr:uid="{00000000-0005-0000-0000-0000C17B0000}"/>
    <cellStyle name="Normal 5 10 2 17 4 6" xfId="31682" xr:uid="{00000000-0005-0000-0000-0000C27B0000}"/>
    <cellStyle name="Normal 5 10 2 17 4 7" xfId="31683" xr:uid="{00000000-0005-0000-0000-0000C37B0000}"/>
    <cellStyle name="Normal 5 10 2 17 4 8" xfId="31684" xr:uid="{00000000-0005-0000-0000-0000C47B0000}"/>
    <cellStyle name="Normal 5 10 2 17 4 9" xfId="31685" xr:uid="{00000000-0005-0000-0000-0000C57B0000}"/>
    <cellStyle name="Normal 5 10 2 17 5" xfId="31686" xr:uid="{00000000-0005-0000-0000-0000C67B0000}"/>
    <cellStyle name="Normal 5 10 2 17 5 10" xfId="31687" xr:uid="{00000000-0005-0000-0000-0000C77B0000}"/>
    <cellStyle name="Normal 5 10 2 17 5 2" xfId="31688" xr:uid="{00000000-0005-0000-0000-0000C87B0000}"/>
    <cellStyle name="Normal 5 10 2 17 5 3" xfId="31689" xr:uid="{00000000-0005-0000-0000-0000C97B0000}"/>
    <cellStyle name="Normal 5 10 2 17 5 4" xfId="31690" xr:uid="{00000000-0005-0000-0000-0000CA7B0000}"/>
    <cellStyle name="Normal 5 10 2 17 5 5" xfId="31691" xr:uid="{00000000-0005-0000-0000-0000CB7B0000}"/>
    <cellStyle name="Normal 5 10 2 17 5 6" xfId="31692" xr:uid="{00000000-0005-0000-0000-0000CC7B0000}"/>
    <cellStyle name="Normal 5 10 2 17 5 7" xfId="31693" xr:uid="{00000000-0005-0000-0000-0000CD7B0000}"/>
    <cellStyle name="Normal 5 10 2 17 5 8" xfId="31694" xr:uid="{00000000-0005-0000-0000-0000CE7B0000}"/>
    <cellStyle name="Normal 5 10 2 17 5 9" xfId="31695" xr:uid="{00000000-0005-0000-0000-0000CF7B0000}"/>
    <cellStyle name="Normal 5 10 2 17 6" xfId="31696" xr:uid="{00000000-0005-0000-0000-0000D07B0000}"/>
    <cellStyle name="Normal 5 10 2 17 7" xfId="31697" xr:uid="{00000000-0005-0000-0000-0000D17B0000}"/>
    <cellStyle name="Normal 5 10 2 17 8" xfId="31698" xr:uid="{00000000-0005-0000-0000-0000D27B0000}"/>
    <cellStyle name="Normal 5 10 2 17 9" xfId="31699" xr:uid="{00000000-0005-0000-0000-0000D37B0000}"/>
    <cellStyle name="Normal 5 10 2 18" xfId="31700" xr:uid="{00000000-0005-0000-0000-0000D47B0000}"/>
    <cellStyle name="Normal 5 10 2 18 10" xfId="31701" xr:uid="{00000000-0005-0000-0000-0000D57B0000}"/>
    <cellStyle name="Normal 5 10 2 18 11" xfId="31702" xr:uid="{00000000-0005-0000-0000-0000D67B0000}"/>
    <cellStyle name="Normal 5 10 2 18 12" xfId="31703" xr:uid="{00000000-0005-0000-0000-0000D77B0000}"/>
    <cellStyle name="Normal 5 10 2 18 13" xfId="31704" xr:uid="{00000000-0005-0000-0000-0000D87B0000}"/>
    <cellStyle name="Normal 5 10 2 18 14" xfId="31705" xr:uid="{00000000-0005-0000-0000-0000D97B0000}"/>
    <cellStyle name="Normal 5 10 2 18 2" xfId="31706" xr:uid="{00000000-0005-0000-0000-0000DA7B0000}"/>
    <cellStyle name="Normal 5 10 2 18 2 10" xfId="31707" xr:uid="{00000000-0005-0000-0000-0000DB7B0000}"/>
    <cellStyle name="Normal 5 10 2 18 2 2" xfId="31708" xr:uid="{00000000-0005-0000-0000-0000DC7B0000}"/>
    <cellStyle name="Normal 5 10 2 18 2 3" xfId="31709" xr:uid="{00000000-0005-0000-0000-0000DD7B0000}"/>
    <cellStyle name="Normal 5 10 2 18 2 4" xfId="31710" xr:uid="{00000000-0005-0000-0000-0000DE7B0000}"/>
    <cellStyle name="Normal 5 10 2 18 2 5" xfId="31711" xr:uid="{00000000-0005-0000-0000-0000DF7B0000}"/>
    <cellStyle name="Normal 5 10 2 18 2 6" xfId="31712" xr:uid="{00000000-0005-0000-0000-0000E07B0000}"/>
    <cellStyle name="Normal 5 10 2 18 2 7" xfId="31713" xr:uid="{00000000-0005-0000-0000-0000E17B0000}"/>
    <cellStyle name="Normal 5 10 2 18 2 8" xfId="31714" xr:uid="{00000000-0005-0000-0000-0000E27B0000}"/>
    <cellStyle name="Normal 5 10 2 18 2 9" xfId="31715" xr:uid="{00000000-0005-0000-0000-0000E37B0000}"/>
    <cellStyle name="Normal 5 10 2 18 3" xfId="31716" xr:uid="{00000000-0005-0000-0000-0000E47B0000}"/>
    <cellStyle name="Normal 5 10 2 18 3 10" xfId="31717" xr:uid="{00000000-0005-0000-0000-0000E57B0000}"/>
    <cellStyle name="Normal 5 10 2 18 3 2" xfId="31718" xr:uid="{00000000-0005-0000-0000-0000E67B0000}"/>
    <cellStyle name="Normal 5 10 2 18 3 3" xfId="31719" xr:uid="{00000000-0005-0000-0000-0000E77B0000}"/>
    <cellStyle name="Normal 5 10 2 18 3 4" xfId="31720" xr:uid="{00000000-0005-0000-0000-0000E87B0000}"/>
    <cellStyle name="Normal 5 10 2 18 3 5" xfId="31721" xr:uid="{00000000-0005-0000-0000-0000E97B0000}"/>
    <cellStyle name="Normal 5 10 2 18 3 6" xfId="31722" xr:uid="{00000000-0005-0000-0000-0000EA7B0000}"/>
    <cellStyle name="Normal 5 10 2 18 3 7" xfId="31723" xr:uid="{00000000-0005-0000-0000-0000EB7B0000}"/>
    <cellStyle name="Normal 5 10 2 18 3 8" xfId="31724" xr:uid="{00000000-0005-0000-0000-0000EC7B0000}"/>
    <cellStyle name="Normal 5 10 2 18 3 9" xfId="31725" xr:uid="{00000000-0005-0000-0000-0000ED7B0000}"/>
    <cellStyle name="Normal 5 10 2 18 4" xfId="31726" xr:uid="{00000000-0005-0000-0000-0000EE7B0000}"/>
    <cellStyle name="Normal 5 10 2 18 4 10" xfId="31727" xr:uid="{00000000-0005-0000-0000-0000EF7B0000}"/>
    <cellStyle name="Normal 5 10 2 18 4 2" xfId="31728" xr:uid="{00000000-0005-0000-0000-0000F07B0000}"/>
    <cellStyle name="Normal 5 10 2 18 4 3" xfId="31729" xr:uid="{00000000-0005-0000-0000-0000F17B0000}"/>
    <cellStyle name="Normal 5 10 2 18 4 4" xfId="31730" xr:uid="{00000000-0005-0000-0000-0000F27B0000}"/>
    <cellStyle name="Normal 5 10 2 18 4 5" xfId="31731" xr:uid="{00000000-0005-0000-0000-0000F37B0000}"/>
    <cellStyle name="Normal 5 10 2 18 4 6" xfId="31732" xr:uid="{00000000-0005-0000-0000-0000F47B0000}"/>
    <cellStyle name="Normal 5 10 2 18 4 7" xfId="31733" xr:uid="{00000000-0005-0000-0000-0000F57B0000}"/>
    <cellStyle name="Normal 5 10 2 18 4 8" xfId="31734" xr:uid="{00000000-0005-0000-0000-0000F67B0000}"/>
    <cellStyle name="Normal 5 10 2 18 4 9" xfId="31735" xr:uid="{00000000-0005-0000-0000-0000F77B0000}"/>
    <cellStyle name="Normal 5 10 2 18 5" xfId="31736" xr:uid="{00000000-0005-0000-0000-0000F87B0000}"/>
    <cellStyle name="Normal 5 10 2 18 5 10" xfId="31737" xr:uid="{00000000-0005-0000-0000-0000F97B0000}"/>
    <cellStyle name="Normal 5 10 2 18 5 2" xfId="31738" xr:uid="{00000000-0005-0000-0000-0000FA7B0000}"/>
    <cellStyle name="Normal 5 10 2 18 5 3" xfId="31739" xr:uid="{00000000-0005-0000-0000-0000FB7B0000}"/>
    <cellStyle name="Normal 5 10 2 18 5 4" xfId="31740" xr:uid="{00000000-0005-0000-0000-0000FC7B0000}"/>
    <cellStyle name="Normal 5 10 2 18 5 5" xfId="31741" xr:uid="{00000000-0005-0000-0000-0000FD7B0000}"/>
    <cellStyle name="Normal 5 10 2 18 5 6" xfId="31742" xr:uid="{00000000-0005-0000-0000-0000FE7B0000}"/>
    <cellStyle name="Normal 5 10 2 18 5 7" xfId="31743" xr:uid="{00000000-0005-0000-0000-0000FF7B0000}"/>
    <cellStyle name="Normal 5 10 2 18 5 8" xfId="31744" xr:uid="{00000000-0005-0000-0000-0000007C0000}"/>
    <cellStyle name="Normal 5 10 2 18 5 9" xfId="31745" xr:uid="{00000000-0005-0000-0000-0000017C0000}"/>
    <cellStyle name="Normal 5 10 2 18 6" xfId="31746" xr:uid="{00000000-0005-0000-0000-0000027C0000}"/>
    <cellStyle name="Normal 5 10 2 18 7" xfId="31747" xr:uid="{00000000-0005-0000-0000-0000037C0000}"/>
    <cellStyle name="Normal 5 10 2 18 8" xfId="31748" xr:uid="{00000000-0005-0000-0000-0000047C0000}"/>
    <cellStyle name="Normal 5 10 2 18 9" xfId="31749" xr:uid="{00000000-0005-0000-0000-0000057C0000}"/>
    <cellStyle name="Normal 5 10 2 19" xfId="31750" xr:uid="{00000000-0005-0000-0000-0000067C0000}"/>
    <cellStyle name="Normal 5 10 2 19 10" xfId="31751" xr:uid="{00000000-0005-0000-0000-0000077C0000}"/>
    <cellStyle name="Normal 5 10 2 19 11" xfId="31752" xr:uid="{00000000-0005-0000-0000-0000087C0000}"/>
    <cellStyle name="Normal 5 10 2 19 12" xfId="31753" xr:uid="{00000000-0005-0000-0000-0000097C0000}"/>
    <cellStyle name="Normal 5 10 2 19 13" xfId="31754" xr:uid="{00000000-0005-0000-0000-00000A7C0000}"/>
    <cellStyle name="Normal 5 10 2 19 14" xfId="31755" xr:uid="{00000000-0005-0000-0000-00000B7C0000}"/>
    <cellStyle name="Normal 5 10 2 19 2" xfId="31756" xr:uid="{00000000-0005-0000-0000-00000C7C0000}"/>
    <cellStyle name="Normal 5 10 2 19 2 10" xfId="31757" xr:uid="{00000000-0005-0000-0000-00000D7C0000}"/>
    <cellStyle name="Normal 5 10 2 19 2 2" xfId="31758" xr:uid="{00000000-0005-0000-0000-00000E7C0000}"/>
    <cellStyle name="Normal 5 10 2 19 2 3" xfId="31759" xr:uid="{00000000-0005-0000-0000-00000F7C0000}"/>
    <cellStyle name="Normal 5 10 2 19 2 4" xfId="31760" xr:uid="{00000000-0005-0000-0000-0000107C0000}"/>
    <cellStyle name="Normal 5 10 2 19 2 5" xfId="31761" xr:uid="{00000000-0005-0000-0000-0000117C0000}"/>
    <cellStyle name="Normal 5 10 2 19 2 6" xfId="31762" xr:uid="{00000000-0005-0000-0000-0000127C0000}"/>
    <cellStyle name="Normal 5 10 2 19 2 7" xfId="31763" xr:uid="{00000000-0005-0000-0000-0000137C0000}"/>
    <cellStyle name="Normal 5 10 2 19 2 8" xfId="31764" xr:uid="{00000000-0005-0000-0000-0000147C0000}"/>
    <cellStyle name="Normal 5 10 2 19 2 9" xfId="31765" xr:uid="{00000000-0005-0000-0000-0000157C0000}"/>
    <cellStyle name="Normal 5 10 2 19 3" xfId="31766" xr:uid="{00000000-0005-0000-0000-0000167C0000}"/>
    <cellStyle name="Normal 5 10 2 19 3 10" xfId="31767" xr:uid="{00000000-0005-0000-0000-0000177C0000}"/>
    <cellStyle name="Normal 5 10 2 19 3 2" xfId="31768" xr:uid="{00000000-0005-0000-0000-0000187C0000}"/>
    <cellStyle name="Normal 5 10 2 19 3 3" xfId="31769" xr:uid="{00000000-0005-0000-0000-0000197C0000}"/>
    <cellStyle name="Normal 5 10 2 19 3 4" xfId="31770" xr:uid="{00000000-0005-0000-0000-00001A7C0000}"/>
    <cellStyle name="Normal 5 10 2 19 3 5" xfId="31771" xr:uid="{00000000-0005-0000-0000-00001B7C0000}"/>
    <cellStyle name="Normal 5 10 2 19 3 6" xfId="31772" xr:uid="{00000000-0005-0000-0000-00001C7C0000}"/>
    <cellStyle name="Normal 5 10 2 19 3 7" xfId="31773" xr:uid="{00000000-0005-0000-0000-00001D7C0000}"/>
    <cellStyle name="Normal 5 10 2 19 3 8" xfId="31774" xr:uid="{00000000-0005-0000-0000-00001E7C0000}"/>
    <cellStyle name="Normal 5 10 2 19 3 9" xfId="31775" xr:uid="{00000000-0005-0000-0000-00001F7C0000}"/>
    <cellStyle name="Normal 5 10 2 19 4" xfId="31776" xr:uid="{00000000-0005-0000-0000-0000207C0000}"/>
    <cellStyle name="Normal 5 10 2 19 4 10" xfId="31777" xr:uid="{00000000-0005-0000-0000-0000217C0000}"/>
    <cellStyle name="Normal 5 10 2 19 4 2" xfId="31778" xr:uid="{00000000-0005-0000-0000-0000227C0000}"/>
    <cellStyle name="Normal 5 10 2 19 4 3" xfId="31779" xr:uid="{00000000-0005-0000-0000-0000237C0000}"/>
    <cellStyle name="Normal 5 10 2 19 4 4" xfId="31780" xr:uid="{00000000-0005-0000-0000-0000247C0000}"/>
    <cellStyle name="Normal 5 10 2 19 4 5" xfId="31781" xr:uid="{00000000-0005-0000-0000-0000257C0000}"/>
    <cellStyle name="Normal 5 10 2 19 4 6" xfId="31782" xr:uid="{00000000-0005-0000-0000-0000267C0000}"/>
    <cellStyle name="Normal 5 10 2 19 4 7" xfId="31783" xr:uid="{00000000-0005-0000-0000-0000277C0000}"/>
    <cellStyle name="Normal 5 10 2 19 4 8" xfId="31784" xr:uid="{00000000-0005-0000-0000-0000287C0000}"/>
    <cellStyle name="Normal 5 10 2 19 4 9" xfId="31785" xr:uid="{00000000-0005-0000-0000-0000297C0000}"/>
    <cellStyle name="Normal 5 10 2 19 5" xfId="31786" xr:uid="{00000000-0005-0000-0000-00002A7C0000}"/>
    <cellStyle name="Normal 5 10 2 19 5 10" xfId="31787" xr:uid="{00000000-0005-0000-0000-00002B7C0000}"/>
    <cellStyle name="Normal 5 10 2 19 5 2" xfId="31788" xr:uid="{00000000-0005-0000-0000-00002C7C0000}"/>
    <cellStyle name="Normal 5 10 2 19 5 3" xfId="31789" xr:uid="{00000000-0005-0000-0000-00002D7C0000}"/>
    <cellStyle name="Normal 5 10 2 19 5 4" xfId="31790" xr:uid="{00000000-0005-0000-0000-00002E7C0000}"/>
    <cellStyle name="Normal 5 10 2 19 5 5" xfId="31791" xr:uid="{00000000-0005-0000-0000-00002F7C0000}"/>
    <cellStyle name="Normal 5 10 2 19 5 6" xfId="31792" xr:uid="{00000000-0005-0000-0000-0000307C0000}"/>
    <cellStyle name="Normal 5 10 2 19 5 7" xfId="31793" xr:uid="{00000000-0005-0000-0000-0000317C0000}"/>
    <cellStyle name="Normal 5 10 2 19 5 8" xfId="31794" xr:uid="{00000000-0005-0000-0000-0000327C0000}"/>
    <cellStyle name="Normal 5 10 2 19 5 9" xfId="31795" xr:uid="{00000000-0005-0000-0000-0000337C0000}"/>
    <cellStyle name="Normal 5 10 2 19 6" xfId="31796" xr:uid="{00000000-0005-0000-0000-0000347C0000}"/>
    <cellStyle name="Normal 5 10 2 19 7" xfId="31797" xr:uid="{00000000-0005-0000-0000-0000357C0000}"/>
    <cellStyle name="Normal 5 10 2 19 8" xfId="31798" xr:uid="{00000000-0005-0000-0000-0000367C0000}"/>
    <cellStyle name="Normal 5 10 2 19 9" xfId="31799" xr:uid="{00000000-0005-0000-0000-0000377C0000}"/>
    <cellStyle name="Normal 5 10 2 2" xfId="31800" xr:uid="{00000000-0005-0000-0000-0000387C0000}"/>
    <cellStyle name="Normal 5 10 2 2 10" xfId="31801" xr:uid="{00000000-0005-0000-0000-0000397C0000}"/>
    <cellStyle name="Normal 5 10 2 2 11" xfId="31802" xr:uid="{00000000-0005-0000-0000-00003A7C0000}"/>
    <cellStyle name="Normal 5 10 2 2 12" xfId="31803" xr:uid="{00000000-0005-0000-0000-00003B7C0000}"/>
    <cellStyle name="Normal 5 10 2 2 13" xfId="31804" xr:uid="{00000000-0005-0000-0000-00003C7C0000}"/>
    <cellStyle name="Normal 5 10 2 2 14" xfId="31805" xr:uid="{00000000-0005-0000-0000-00003D7C0000}"/>
    <cellStyle name="Normal 5 10 2 2 15" xfId="31806" xr:uid="{00000000-0005-0000-0000-00003E7C0000}"/>
    <cellStyle name="Normal 5 10 2 2 16" xfId="31807" xr:uid="{00000000-0005-0000-0000-00003F7C0000}"/>
    <cellStyle name="Normal 5 10 2 2 2" xfId="31808" xr:uid="{00000000-0005-0000-0000-0000407C0000}"/>
    <cellStyle name="Normal 5 10 2 2 2 10" xfId="31809" xr:uid="{00000000-0005-0000-0000-0000417C0000}"/>
    <cellStyle name="Normal 5 10 2 2 2 2" xfId="31810" xr:uid="{00000000-0005-0000-0000-0000427C0000}"/>
    <cellStyle name="Normal 5 10 2 2 2 3" xfId="31811" xr:uid="{00000000-0005-0000-0000-0000437C0000}"/>
    <cellStyle name="Normal 5 10 2 2 2 4" xfId="31812" xr:uid="{00000000-0005-0000-0000-0000447C0000}"/>
    <cellStyle name="Normal 5 10 2 2 2 5" xfId="31813" xr:uid="{00000000-0005-0000-0000-0000457C0000}"/>
    <cellStyle name="Normal 5 10 2 2 2 6" xfId="31814" xr:uid="{00000000-0005-0000-0000-0000467C0000}"/>
    <cellStyle name="Normal 5 10 2 2 2 7" xfId="31815" xr:uid="{00000000-0005-0000-0000-0000477C0000}"/>
    <cellStyle name="Normal 5 10 2 2 2 8" xfId="31816" xr:uid="{00000000-0005-0000-0000-0000487C0000}"/>
    <cellStyle name="Normal 5 10 2 2 2 9" xfId="31817" xr:uid="{00000000-0005-0000-0000-0000497C0000}"/>
    <cellStyle name="Normal 5 10 2 2 3" xfId="31818" xr:uid="{00000000-0005-0000-0000-00004A7C0000}"/>
    <cellStyle name="Normal 5 10 2 2 3 10" xfId="31819" xr:uid="{00000000-0005-0000-0000-00004B7C0000}"/>
    <cellStyle name="Normal 5 10 2 2 3 2" xfId="31820" xr:uid="{00000000-0005-0000-0000-00004C7C0000}"/>
    <cellStyle name="Normal 5 10 2 2 3 3" xfId="31821" xr:uid="{00000000-0005-0000-0000-00004D7C0000}"/>
    <cellStyle name="Normal 5 10 2 2 3 4" xfId="31822" xr:uid="{00000000-0005-0000-0000-00004E7C0000}"/>
    <cellStyle name="Normal 5 10 2 2 3 5" xfId="31823" xr:uid="{00000000-0005-0000-0000-00004F7C0000}"/>
    <cellStyle name="Normal 5 10 2 2 3 6" xfId="31824" xr:uid="{00000000-0005-0000-0000-0000507C0000}"/>
    <cellStyle name="Normal 5 10 2 2 3 7" xfId="31825" xr:uid="{00000000-0005-0000-0000-0000517C0000}"/>
    <cellStyle name="Normal 5 10 2 2 3 8" xfId="31826" xr:uid="{00000000-0005-0000-0000-0000527C0000}"/>
    <cellStyle name="Normal 5 10 2 2 3 9" xfId="31827" xr:uid="{00000000-0005-0000-0000-0000537C0000}"/>
    <cellStyle name="Normal 5 10 2 2 4" xfId="31828" xr:uid="{00000000-0005-0000-0000-0000547C0000}"/>
    <cellStyle name="Normal 5 10 2 2 4 10" xfId="31829" xr:uid="{00000000-0005-0000-0000-0000557C0000}"/>
    <cellStyle name="Normal 5 10 2 2 4 2" xfId="31830" xr:uid="{00000000-0005-0000-0000-0000567C0000}"/>
    <cellStyle name="Normal 5 10 2 2 4 3" xfId="31831" xr:uid="{00000000-0005-0000-0000-0000577C0000}"/>
    <cellStyle name="Normal 5 10 2 2 4 4" xfId="31832" xr:uid="{00000000-0005-0000-0000-0000587C0000}"/>
    <cellStyle name="Normal 5 10 2 2 4 5" xfId="31833" xr:uid="{00000000-0005-0000-0000-0000597C0000}"/>
    <cellStyle name="Normal 5 10 2 2 4 6" xfId="31834" xr:uid="{00000000-0005-0000-0000-00005A7C0000}"/>
    <cellStyle name="Normal 5 10 2 2 4 7" xfId="31835" xr:uid="{00000000-0005-0000-0000-00005B7C0000}"/>
    <cellStyle name="Normal 5 10 2 2 4 8" xfId="31836" xr:uid="{00000000-0005-0000-0000-00005C7C0000}"/>
    <cellStyle name="Normal 5 10 2 2 4 9" xfId="31837" xr:uid="{00000000-0005-0000-0000-00005D7C0000}"/>
    <cellStyle name="Normal 5 10 2 2 5" xfId="31838" xr:uid="{00000000-0005-0000-0000-00005E7C0000}"/>
    <cellStyle name="Normal 5 10 2 2 5 10" xfId="31839" xr:uid="{00000000-0005-0000-0000-00005F7C0000}"/>
    <cellStyle name="Normal 5 10 2 2 5 2" xfId="31840" xr:uid="{00000000-0005-0000-0000-0000607C0000}"/>
    <cellStyle name="Normal 5 10 2 2 5 3" xfId="31841" xr:uid="{00000000-0005-0000-0000-0000617C0000}"/>
    <cellStyle name="Normal 5 10 2 2 5 4" xfId="31842" xr:uid="{00000000-0005-0000-0000-0000627C0000}"/>
    <cellStyle name="Normal 5 10 2 2 5 5" xfId="31843" xr:uid="{00000000-0005-0000-0000-0000637C0000}"/>
    <cellStyle name="Normal 5 10 2 2 5 6" xfId="31844" xr:uid="{00000000-0005-0000-0000-0000647C0000}"/>
    <cellStyle name="Normal 5 10 2 2 5 7" xfId="31845" xr:uid="{00000000-0005-0000-0000-0000657C0000}"/>
    <cellStyle name="Normal 5 10 2 2 5 8" xfId="31846" xr:uid="{00000000-0005-0000-0000-0000667C0000}"/>
    <cellStyle name="Normal 5 10 2 2 5 9" xfId="31847" xr:uid="{00000000-0005-0000-0000-0000677C0000}"/>
    <cellStyle name="Normal 5 10 2 2 6" xfId="31848" xr:uid="{00000000-0005-0000-0000-0000687C0000}"/>
    <cellStyle name="Normal 5 10 2 2 7" xfId="31849" xr:uid="{00000000-0005-0000-0000-0000697C0000}"/>
    <cellStyle name="Normal 5 10 2 2 8" xfId="31850" xr:uid="{00000000-0005-0000-0000-00006A7C0000}"/>
    <cellStyle name="Normal 5 10 2 2 9" xfId="31851" xr:uid="{00000000-0005-0000-0000-00006B7C0000}"/>
    <cellStyle name="Normal 5 10 2 20" xfId="31852" xr:uid="{00000000-0005-0000-0000-00006C7C0000}"/>
    <cellStyle name="Normal 5 10 2 20 10" xfId="31853" xr:uid="{00000000-0005-0000-0000-00006D7C0000}"/>
    <cellStyle name="Normal 5 10 2 20 11" xfId="31854" xr:uid="{00000000-0005-0000-0000-00006E7C0000}"/>
    <cellStyle name="Normal 5 10 2 20 12" xfId="31855" xr:uid="{00000000-0005-0000-0000-00006F7C0000}"/>
    <cellStyle name="Normal 5 10 2 20 13" xfId="31856" xr:uid="{00000000-0005-0000-0000-0000707C0000}"/>
    <cellStyle name="Normal 5 10 2 20 14" xfId="31857" xr:uid="{00000000-0005-0000-0000-0000717C0000}"/>
    <cellStyle name="Normal 5 10 2 20 2" xfId="31858" xr:uid="{00000000-0005-0000-0000-0000727C0000}"/>
    <cellStyle name="Normal 5 10 2 20 2 10" xfId="31859" xr:uid="{00000000-0005-0000-0000-0000737C0000}"/>
    <cellStyle name="Normal 5 10 2 20 2 2" xfId="31860" xr:uid="{00000000-0005-0000-0000-0000747C0000}"/>
    <cellStyle name="Normal 5 10 2 20 2 3" xfId="31861" xr:uid="{00000000-0005-0000-0000-0000757C0000}"/>
    <cellStyle name="Normal 5 10 2 20 2 4" xfId="31862" xr:uid="{00000000-0005-0000-0000-0000767C0000}"/>
    <cellStyle name="Normal 5 10 2 20 2 5" xfId="31863" xr:uid="{00000000-0005-0000-0000-0000777C0000}"/>
    <cellStyle name="Normal 5 10 2 20 2 6" xfId="31864" xr:uid="{00000000-0005-0000-0000-0000787C0000}"/>
    <cellStyle name="Normal 5 10 2 20 2 7" xfId="31865" xr:uid="{00000000-0005-0000-0000-0000797C0000}"/>
    <cellStyle name="Normal 5 10 2 20 2 8" xfId="31866" xr:uid="{00000000-0005-0000-0000-00007A7C0000}"/>
    <cellStyle name="Normal 5 10 2 20 2 9" xfId="31867" xr:uid="{00000000-0005-0000-0000-00007B7C0000}"/>
    <cellStyle name="Normal 5 10 2 20 3" xfId="31868" xr:uid="{00000000-0005-0000-0000-00007C7C0000}"/>
    <cellStyle name="Normal 5 10 2 20 3 10" xfId="31869" xr:uid="{00000000-0005-0000-0000-00007D7C0000}"/>
    <cellStyle name="Normal 5 10 2 20 3 2" xfId="31870" xr:uid="{00000000-0005-0000-0000-00007E7C0000}"/>
    <cellStyle name="Normal 5 10 2 20 3 3" xfId="31871" xr:uid="{00000000-0005-0000-0000-00007F7C0000}"/>
    <cellStyle name="Normal 5 10 2 20 3 4" xfId="31872" xr:uid="{00000000-0005-0000-0000-0000807C0000}"/>
    <cellStyle name="Normal 5 10 2 20 3 5" xfId="31873" xr:uid="{00000000-0005-0000-0000-0000817C0000}"/>
    <cellStyle name="Normal 5 10 2 20 3 6" xfId="31874" xr:uid="{00000000-0005-0000-0000-0000827C0000}"/>
    <cellStyle name="Normal 5 10 2 20 3 7" xfId="31875" xr:uid="{00000000-0005-0000-0000-0000837C0000}"/>
    <cellStyle name="Normal 5 10 2 20 3 8" xfId="31876" xr:uid="{00000000-0005-0000-0000-0000847C0000}"/>
    <cellStyle name="Normal 5 10 2 20 3 9" xfId="31877" xr:uid="{00000000-0005-0000-0000-0000857C0000}"/>
    <cellStyle name="Normal 5 10 2 20 4" xfId="31878" xr:uid="{00000000-0005-0000-0000-0000867C0000}"/>
    <cellStyle name="Normal 5 10 2 20 4 10" xfId="31879" xr:uid="{00000000-0005-0000-0000-0000877C0000}"/>
    <cellStyle name="Normal 5 10 2 20 4 2" xfId="31880" xr:uid="{00000000-0005-0000-0000-0000887C0000}"/>
    <cellStyle name="Normal 5 10 2 20 4 3" xfId="31881" xr:uid="{00000000-0005-0000-0000-0000897C0000}"/>
    <cellStyle name="Normal 5 10 2 20 4 4" xfId="31882" xr:uid="{00000000-0005-0000-0000-00008A7C0000}"/>
    <cellStyle name="Normal 5 10 2 20 4 5" xfId="31883" xr:uid="{00000000-0005-0000-0000-00008B7C0000}"/>
    <cellStyle name="Normal 5 10 2 20 4 6" xfId="31884" xr:uid="{00000000-0005-0000-0000-00008C7C0000}"/>
    <cellStyle name="Normal 5 10 2 20 4 7" xfId="31885" xr:uid="{00000000-0005-0000-0000-00008D7C0000}"/>
    <cellStyle name="Normal 5 10 2 20 4 8" xfId="31886" xr:uid="{00000000-0005-0000-0000-00008E7C0000}"/>
    <cellStyle name="Normal 5 10 2 20 4 9" xfId="31887" xr:uid="{00000000-0005-0000-0000-00008F7C0000}"/>
    <cellStyle name="Normal 5 10 2 20 5" xfId="31888" xr:uid="{00000000-0005-0000-0000-0000907C0000}"/>
    <cellStyle name="Normal 5 10 2 20 5 10" xfId="31889" xr:uid="{00000000-0005-0000-0000-0000917C0000}"/>
    <cellStyle name="Normal 5 10 2 20 5 2" xfId="31890" xr:uid="{00000000-0005-0000-0000-0000927C0000}"/>
    <cellStyle name="Normal 5 10 2 20 5 3" xfId="31891" xr:uid="{00000000-0005-0000-0000-0000937C0000}"/>
    <cellStyle name="Normal 5 10 2 20 5 4" xfId="31892" xr:uid="{00000000-0005-0000-0000-0000947C0000}"/>
    <cellStyle name="Normal 5 10 2 20 5 5" xfId="31893" xr:uid="{00000000-0005-0000-0000-0000957C0000}"/>
    <cellStyle name="Normal 5 10 2 20 5 6" xfId="31894" xr:uid="{00000000-0005-0000-0000-0000967C0000}"/>
    <cellStyle name="Normal 5 10 2 20 5 7" xfId="31895" xr:uid="{00000000-0005-0000-0000-0000977C0000}"/>
    <cellStyle name="Normal 5 10 2 20 5 8" xfId="31896" xr:uid="{00000000-0005-0000-0000-0000987C0000}"/>
    <cellStyle name="Normal 5 10 2 20 5 9" xfId="31897" xr:uid="{00000000-0005-0000-0000-0000997C0000}"/>
    <cellStyle name="Normal 5 10 2 20 6" xfId="31898" xr:uid="{00000000-0005-0000-0000-00009A7C0000}"/>
    <cellStyle name="Normal 5 10 2 20 7" xfId="31899" xr:uid="{00000000-0005-0000-0000-00009B7C0000}"/>
    <cellStyle name="Normal 5 10 2 20 8" xfId="31900" xr:uid="{00000000-0005-0000-0000-00009C7C0000}"/>
    <cellStyle name="Normal 5 10 2 20 9" xfId="31901" xr:uid="{00000000-0005-0000-0000-00009D7C0000}"/>
    <cellStyle name="Normal 5 10 2 21" xfId="31902" xr:uid="{00000000-0005-0000-0000-00009E7C0000}"/>
    <cellStyle name="Normal 5 10 2 21 10" xfId="31903" xr:uid="{00000000-0005-0000-0000-00009F7C0000}"/>
    <cellStyle name="Normal 5 10 2 21 11" xfId="31904" xr:uid="{00000000-0005-0000-0000-0000A07C0000}"/>
    <cellStyle name="Normal 5 10 2 21 12" xfId="31905" xr:uid="{00000000-0005-0000-0000-0000A17C0000}"/>
    <cellStyle name="Normal 5 10 2 21 13" xfId="31906" xr:uid="{00000000-0005-0000-0000-0000A27C0000}"/>
    <cellStyle name="Normal 5 10 2 21 14" xfId="31907" xr:uid="{00000000-0005-0000-0000-0000A37C0000}"/>
    <cellStyle name="Normal 5 10 2 21 2" xfId="31908" xr:uid="{00000000-0005-0000-0000-0000A47C0000}"/>
    <cellStyle name="Normal 5 10 2 21 2 10" xfId="31909" xr:uid="{00000000-0005-0000-0000-0000A57C0000}"/>
    <cellStyle name="Normal 5 10 2 21 2 2" xfId="31910" xr:uid="{00000000-0005-0000-0000-0000A67C0000}"/>
    <cellStyle name="Normal 5 10 2 21 2 3" xfId="31911" xr:uid="{00000000-0005-0000-0000-0000A77C0000}"/>
    <cellStyle name="Normal 5 10 2 21 2 4" xfId="31912" xr:uid="{00000000-0005-0000-0000-0000A87C0000}"/>
    <cellStyle name="Normal 5 10 2 21 2 5" xfId="31913" xr:uid="{00000000-0005-0000-0000-0000A97C0000}"/>
    <cellStyle name="Normal 5 10 2 21 2 6" xfId="31914" xr:uid="{00000000-0005-0000-0000-0000AA7C0000}"/>
    <cellStyle name="Normal 5 10 2 21 2 7" xfId="31915" xr:uid="{00000000-0005-0000-0000-0000AB7C0000}"/>
    <cellStyle name="Normal 5 10 2 21 2 8" xfId="31916" xr:uid="{00000000-0005-0000-0000-0000AC7C0000}"/>
    <cellStyle name="Normal 5 10 2 21 2 9" xfId="31917" xr:uid="{00000000-0005-0000-0000-0000AD7C0000}"/>
    <cellStyle name="Normal 5 10 2 21 3" xfId="31918" xr:uid="{00000000-0005-0000-0000-0000AE7C0000}"/>
    <cellStyle name="Normal 5 10 2 21 3 10" xfId="31919" xr:uid="{00000000-0005-0000-0000-0000AF7C0000}"/>
    <cellStyle name="Normal 5 10 2 21 3 2" xfId="31920" xr:uid="{00000000-0005-0000-0000-0000B07C0000}"/>
    <cellStyle name="Normal 5 10 2 21 3 3" xfId="31921" xr:uid="{00000000-0005-0000-0000-0000B17C0000}"/>
    <cellStyle name="Normal 5 10 2 21 3 4" xfId="31922" xr:uid="{00000000-0005-0000-0000-0000B27C0000}"/>
    <cellStyle name="Normal 5 10 2 21 3 5" xfId="31923" xr:uid="{00000000-0005-0000-0000-0000B37C0000}"/>
    <cellStyle name="Normal 5 10 2 21 3 6" xfId="31924" xr:uid="{00000000-0005-0000-0000-0000B47C0000}"/>
    <cellStyle name="Normal 5 10 2 21 3 7" xfId="31925" xr:uid="{00000000-0005-0000-0000-0000B57C0000}"/>
    <cellStyle name="Normal 5 10 2 21 3 8" xfId="31926" xr:uid="{00000000-0005-0000-0000-0000B67C0000}"/>
    <cellStyle name="Normal 5 10 2 21 3 9" xfId="31927" xr:uid="{00000000-0005-0000-0000-0000B77C0000}"/>
    <cellStyle name="Normal 5 10 2 21 4" xfId="31928" xr:uid="{00000000-0005-0000-0000-0000B87C0000}"/>
    <cellStyle name="Normal 5 10 2 21 4 10" xfId="31929" xr:uid="{00000000-0005-0000-0000-0000B97C0000}"/>
    <cellStyle name="Normal 5 10 2 21 4 2" xfId="31930" xr:uid="{00000000-0005-0000-0000-0000BA7C0000}"/>
    <cellStyle name="Normal 5 10 2 21 4 3" xfId="31931" xr:uid="{00000000-0005-0000-0000-0000BB7C0000}"/>
    <cellStyle name="Normal 5 10 2 21 4 4" xfId="31932" xr:uid="{00000000-0005-0000-0000-0000BC7C0000}"/>
    <cellStyle name="Normal 5 10 2 21 4 5" xfId="31933" xr:uid="{00000000-0005-0000-0000-0000BD7C0000}"/>
    <cellStyle name="Normal 5 10 2 21 4 6" xfId="31934" xr:uid="{00000000-0005-0000-0000-0000BE7C0000}"/>
    <cellStyle name="Normal 5 10 2 21 4 7" xfId="31935" xr:uid="{00000000-0005-0000-0000-0000BF7C0000}"/>
    <cellStyle name="Normal 5 10 2 21 4 8" xfId="31936" xr:uid="{00000000-0005-0000-0000-0000C07C0000}"/>
    <cellStyle name="Normal 5 10 2 21 4 9" xfId="31937" xr:uid="{00000000-0005-0000-0000-0000C17C0000}"/>
    <cellStyle name="Normal 5 10 2 21 5" xfId="31938" xr:uid="{00000000-0005-0000-0000-0000C27C0000}"/>
    <cellStyle name="Normal 5 10 2 21 5 10" xfId="31939" xr:uid="{00000000-0005-0000-0000-0000C37C0000}"/>
    <cellStyle name="Normal 5 10 2 21 5 2" xfId="31940" xr:uid="{00000000-0005-0000-0000-0000C47C0000}"/>
    <cellStyle name="Normal 5 10 2 21 5 3" xfId="31941" xr:uid="{00000000-0005-0000-0000-0000C57C0000}"/>
    <cellStyle name="Normal 5 10 2 21 5 4" xfId="31942" xr:uid="{00000000-0005-0000-0000-0000C67C0000}"/>
    <cellStyle name="Normal 5 10 2 21 5 5" xfId="31943" xr:uid="{00000000-0005-0000-0000-0000C77C0000}"/>
    <cellStyle name="Normal 5 10 2 21 5 6" xfId="31944" xr:uid="{00000000-0005-0000-0000-0000C87C0000}"/>
    <cellStyle name="Normal 5 10 2 21 5 7" xfId="31945" xr:uid="{00000000-0005-0000-0000-0000C97C0000}"/>
    <cellStyle name="Normal 5 10 2 21 5 8" xfId="31946" xr:uid="{00000000-0005-0000-0000-0000CA7C0000}"/>
    <cellStyle name="Normal 5 10 2 21 5 9" xfId="31947" xr:uid="{00000000-0005-0000-0000-0000CB7C0000}"/>
    <cellStyle name="Normal 5 10 2 21 6" xfId="31948" xr:uid="{00000000-0005-0000-0000-0000CC7C0000}"/>
    <cellStyle name="Normal 5 10 2 21 7" xfId="31949" xr:uid="{00000000-0005-0000-0000-0000CD7C0000}"/>
    <cellStyle name="Normal 5 10 2 21 8" xfId="31950" xr:uid="{00000000-0005-0000-0000-0000CE7C0000}"/>
    <cellStyle name="Normal 5 10 2 21 9" xfId="31951" xr:uid="{00000000-0005-0000-0000-0000CF7C0000}"/>
    <cellStyle name="Normal 5 10 2 22" xfId="31952" xr:uid="{00000000-0005-0000-0000-0000D07C0000}"/>
    <cellStyle name="Normal 5 10 2 22 10" xfId="31953" xr:uid="{00000000-0005-0000-0000-0000D17C0000}"/>
    <cellStyle name="Normal 5 10 2 22 11" xfId="31954" xr:uid="{00000000-0005-0000-0000-0000D27C0000}"/>
    <cellStyle name="Normal 5 10 2 22 12" xfId="31955" xr:uid="{00000000-0005-0000-0000-0000D37C0000}"/>
    <cellStyle name="Normal 5 10 2 22 13" xfId="31956" xr:uid="{00000000-0005-0000-0000-0000D47C0000}"/>
    <cellStyle name="Normal 5 10 2 22 14" xfId="31957" xr:uid="{00000000-0005-0000-0000-0000D57C0000}"/>
    <cellStyle name="Normal 5 10 2 22 2" xfId="31958" xr:uid="{00000000-0005-0000-0000-0000D67C0000}"/>
    <cellStyle name="Normal 5 10 2 22 2 10" xfId="31959" xr:uid="{00000000-0005-0000-0000-0000D77C0000}"/>
    <cellStyle name="Normal 5 10 2 22 2 2" xfId="31960" xr:uid="{00000000-0005-0000-0000-0000D87C0000}"/>
    <cellStyle name="Normal 5 10 2 22 2 3" xfId="31961" xr:uid="{00000000-0005-0000-0000-0000D97C0000}"/>
    <cellStyle name="Normal 5 10 2 22 2 4" xfId="31962" xr:uid="{00000000-0005-0000-0000-0000DA7C0000}"/>
    <cellStyle name="Normal 5 10 2 22 2 5" xfId="31963" xr:uid="{00000000-0005-0000-0000-0000DB7C0000}"/>
    <cellStyle name="Normal 5 10 2 22 2 6" xfId="31964" xr:uid="{00000000-0005-0000-0000-0000DC7C0000}"/>
    <cellStyle name="Normal 5 10 2 22 2 7" xfId="31965" xr:uid="{00000000-0005-0000-0000-0000DD7C0000}"/>
    <cellStyle name="Normal 5 10 2 22 2 8" xfId="31966" xr:uid="{00000000-0005-0000-0000-0000DE7C0000}"/>
    <cellStyle name="Normal 5 10 2 22 2 9" xfId="31967" xr:uid="{00000000-0005-0000-0000-0000DF7C0000}"/>
    <cellStyle name="Normal 5 10 2 22 3" xfId="31968" xr:uid="{00000000-0005-0000-0000-0000E07C0000}"/>
    <cellStyle name="Normal 5 10 2 22 3 10" xfId="31969" xr:uid="{00000000-0005-0000-0000-0000E17C0000}"/>
    <cellStyle name="Normal 5 10 2 22 3 2" xfId="31970" xr:uid="{00000000-0005-0000-0000-0000E27C0000}"/>
    <cellStyle name="Normal 5 10 2 22 3 3" xfId="31971" xr:uid="{00000000-0005-0000-0000-0000E37C0000}"/>
    <cellStyle name="Normal 5 10 2 22 3 4" xfId="31972" xr:uid="{00000000-0005-0000-0000-0000E47C0000}"/>
    <cellStyle name="Normal 5 10 2 22 3 5" xfId="31973" xr:uid="{00000000-0005-0000-0000-0000E57C0000}"/>
    <cellStyle name="Normal 5 10 2 22 3 6" xfId="31974" xr:uid="{00000000-0005-0000-0000-0000E67C0000}"/>
    <cellStyle name="Normal 5 10 2 22 3 7" xfId="31975" xr:uid="{00000000-0005-0000-0000-0000E77C0000}"/>
    <cellStyle name="Normal 5 10 2 22 3 8" xfId="31976" xr:uid="{00000000-0005-0000-0000-0000E87C0000}"/>
    <cellStyle name="Normal 5 10 2 22 3 9" xfId="31977" xr:uid="{00000000-0005-0000-0000-0000E97C0000}"/>
    <cellStyle name="Normal 5 10 2 22 4" xfId="31978" xr:uid="{00000000-0005-0000-0000-0000EA7C0000}"/>
    <cellStyle name="Normal 5 10 2 22 4 10" xfId="31979" xr:uid="{00000000-0005-0000-0000-0000EB7C0000}"/>
    <cellStyle name="Normal 5 10 2 22 4 2" xfId="31980" xr:uid="{00000000-0005-0000-0000-0000EC7C0000}"/>
    <cellStyle name="Normal 5 10 2 22 4 3" xfId="31981" xr:uid="{00000000-0005-0000-0000-0000ED7C0000}"/>
    <cellStyle name="Normal 5 10 2 22 4 4" xfId="31982" xr:uid="{00000000-0005-0000-0000-0000EE7C0000}"/>
    <cellStyle name="Normal 5 10 2 22 4 5" xfId="31983" xr:uid="{00000000-0005-0000-0000-0000EF7C0000}"/>
    <cellStyle name="Normal 5 10 2 22 4 6" xfId="31984" xr:uid="{00000000-0005-0000-0000-0000F07C0000}"/>
    <cellStyle name="Normal 5 10 2 22 4 7" xfId="31985" xr:uid="{00000000-0005-0000-0000-0000F17C0000}"/>
    <cellStyle name="Normal 5 10 2 22 4 8" xfId="31986" xr:uid="{00000000-0005-0000-0000-0000F27C0000}"/>
    <cellStyle name="Normal 5 10 2 22 4 9" xfId="31987" xr:uid="{00000000-0005-0000-0000-0000F37C0000}"/>
    <cellStyle name="Normal 5 10 2 22 5" xfId="31988" xr:uid="{00000000-0005-0000-0000-0000F47C0000}"/>
    <cellStyle name="Normal 5 10 2 22 5 10" xfId="31989" xr:uid="{00000000-0005-0000-0000-0000F57C0000}"/>
    <cellStyle name="Normal 5 10 2 22 5 2" xfId="31990" xr:uid="{00000000-0005-0000-0000-0000F67C0000}"/>
    <cellStyle name="Normal 5 10 2 22 5 3" xfId="31991" xr:uid="{00000000-0005-0000-0000-0000F77C0000}"/>
    <cellStyle name="Normal 5 10 2 22 5 4" xfId="31992" xr:uid="{00000000-0005-0000-0000-0000F87C0000}"/>
    <cellStyle name="Normal 5 10 2 22 5 5" xfId="31993" xr:uid="{00000000-0005-0000-0000-0000F97C0000}"/>
    <cellStyle name="Normal 5 10 2 22 5 6" xfId="31994" xr:uid="{00000000-0005-0000-0000-0000FA7C0000}"/>
    <cellStyle name="Normal 5 10 2 22 5 7" xfId="31995" xr:uid="{00000000-0005-0000-0000-0000FB7C0000}"/>
    <cellStyle name="Normal 5 10 2 22 5 8" xfId="31996" xr:uid="{00000000-0005-0000-0000-0000FC7C0000}"/>
    <cellStyle name="Normal 5 10 2 22 5 9" xfId="31997" xr:uid="{00000000-0005-0000-0000-0000FD7C0000}"/>
    <cellStyle name="Normal 5 10 2 22 6" xfId="31998" xr:uid="{00000000-0005-0000-0000-0000FE7C0000}"/>
    <cellStyle name="Normal 5 10 2 22 7" xfId="31999" xr:uid="{00000000-0005-0000-0000-0000FF7C0000}"/>
    <cellStyle name="Normal 5 10 2 22 8" xfId="32000" xr:uid="{00000000-0005-0000-0000-0000007D0000}"/>
    <cellStyle name="Normal 5 10 2 22 9" xfId="32001" xr:uid="{00000000-0005-0000-0000-0000017D0000}"/>
    <cellStyle name="Normal 5 10 2 23" xfId="32002" xr:uid="{00000000-0005-0000-0000-0000027D0000}"/>
    <cellStyle name="Normal 5 10 2 23 10" xfId="32003" xr:uid="{00000000-0005-0000-0000-0000037D0000}"/>
    <cellStyle name="Normal 5 10 2 23 11" xfId="32004" xr:uid="{00000000-0005-0000-0000-0000047D0000}"/>
    <cellStyle name="Normal 5 10 2 23 12" xfId="32005" xr:uid="{00000000-0005-0000-0000-0000057D0000}"/>
    <cellStyle name="Normal 5 10 2 23 13" xfId="32006" xr:uid="{00000000-0005-0000-0000-0000067D0000}"/>
    <cellStyle name="Normal 5 10 2 23 14" xfId="32007" xr:uid="{00000000-0005-0000-0000-0000077D0000}"/>
    <cellStyle name="Normal 5 10 2 23 2" xfId="32008" xr:uid="{00000000-0005-0000-0000-0000087D0000}"/>
    <cellStyle name="Normal 5 10 2 23 2 10" xfId="32009" xr:uid="{00000000-0005-0000-0000-0000097D0000}"/>
    <cellStyle name="Normal 5 10 2 23 2 2" xfId="32010" xr:uid="{00000000-0005-0000-0000-00000A7D0000}"/>
    <cellStyle name="Normal 5 10 2 23 2 3" xfId="32011" xr:uid="{00000000-0005-0000-0000-00000B7D0000}"/>
    <cellStyle name="Normal 5 10 2 23 2 4" xfId="32012" xr:uid="{00000000-0005-0000-0000-00000C7D0000}"/>
    <cellStyle name="Normal 5 10 2 23 2 5" xfId="32013" xr:uid="{00000000-0005-0000-0000-00000D7D0000}"/>
    <cellStyle name="Normal 5 10 2 23 2 6" xfId="32014" xr:uid="{00000000-0005-0000-0000-00000E7D0000}"/>
    <cellStyle name="Normal 5 10 2 23 2 7" xfId="32015" xr:uid="{00000000-0005-0000-0000-00000F7D0000}"/>
    <cellStyle name="Normal 5 10 2 23 2 8" xfId="32016" xr:uid="{00000000-0005-0000-0000-0000107D0000}"/>
    <cellStyle name="Normal 5 10 2 23 2 9" xfId="32017" xr:uid="{00000000-0005-0000-0000-0000117D0000}"/>
    <cellStyle name="Normal 5 10 2 23 3" xfId="32018" xr:uid="{00000000-0005-0000-0000-0000127D0000}"/>
    <cellStyle name="Normal 5 10 2 23 3 10" xfId="32019" xr:uid="{00000000-0005-0000-0000-0000137D0000}"/>
    <cellStyle name="Normal 5 10 2 23 3 2" xfId="32020" xr:uid="{00000000-0005-0000-0000-0000147D0000}"/>
    <cellStyle name="Normal 5 10 2 23 3 3" xfId="32021" xr:uid="{00000000-0005-0000-0000-0000157D0000}"/>
    <cellStyle name="Normal 5 10 2 23 3 4" xfId="32022" xr:uid="{00000000-0005-0000-0000-0000167D0000}"/>
    <cellStyle name="Normal 5 10 2 23 3 5" xfId="32023" xr:uid="{00000000-0005-0000-0000-0000177D0000}"/>
    <cellStyle name="Normal 5 10 2 23 3 6" xfId="32024" xr:uid="{00000000-0005-0000-0000-0000187D0000}"/>
    <cellStyle name="Normal 5 10 2 23 3 7" xfId="32025" xr:uid="{00000000-0005-0000-0000-0000197D0000}"/>
    <cellStyle name="Normal 5 10 2 23 3 8" xfId="32026" xr:uid="{00000000-0005-0000-0000-00001A7D0000}"/>
    <cellStyle name="Normal 5 10 2 23 3 9" xfId="32027" xr:uid="{00000000-0005-0000-0000-00001B7D0000}"/>
    <cellStyle name="Normal 5 10 2 23 4" xfId="32028" xr:uid="{00000000-0005-0000-0000-00001C7D0000}"/>
    <cellStyle name="Normal 5 10 2 23 4 10" xfId="32029" xr:uid="{00000000-0005-0000-0000-00001D7D0000}"/>
    <cellStyle name="Normal 5 10 2 23 4 2" xfId="32030" xr:uid="{00000000-0005-0000-0000-00001E7D0000}"/>
    <cellStyle name="Normal 5 10 2 23 4 3" xfId="32031" xr:uid="{00000000-0005-0000-0000-00001F7D0000}"/>
    <cellStyle name="Normal 5 10 2 23 4 4" xfId="32032" xr:uid="{00000000-0005-0000-0000-0000207D0000}"/>
    <cellStyle name="Normal 5 10 2 23 4 5" xfId="32033" xr:uid="{00000000-0005-0000-0000-0000217D0000}"/>
    <cellStyle name="Normal 5 10 2 23 4 6" xfId="32034" xr:uid="{00000000-0005-0000-0000-0000227D0000}"/>
    <cellStyle name="Normal 5 10 2 23 4 7" xfId="32035" xr:uid="{00000000-0005-0000-0000-0000237D0000}"/>
    <cellStyle name="Normal 5 10 2 23 4 8" xfId="32036" xr:uid="{00000000-0005-0000-0000-0000247D0000}"/>
    <cellStyle name="Normal 5 10 2 23 4 9" xfId="32037" xr:uid="{00000000-0005-0000-0000-0000257D0000}"/>
    <cellStyle name="Normal 5 10 2 23 5" xfId="32038" xr:uid="{00000000-0005-0000-0000-0000267D0000}"/>
    <cellStyle name="Normal 5 10 2 23 5 10" xfId="32039" xr:uid="{00000000-0005-0000-0000-0000277D0000}"/>
    <cellStyle name="Normal 5 10 2 23 5 2" xfId="32040" xr:uid="{00000000-0005-0000-0000-0000287D0000}"/>
    <cellStyle name="Normal 5 10 2 23 5 3" xfId="32041" xr:uid="{00000000-0005-0000-0000-0000297D0000}"/>
    <cellStyle name="Normal 5 10 2 23 5 4" xfId="32042" xr:uid="{00000000-0005-0000-0000-00002A7D0000}"/>
    <cellStyle name="Normal 5 10 2 23 5 5" xfId="32043" xr:uid="{00000000-0005-0000-0000-00002B7D0000}"/>
    <cellStyle name="Normal 5 10 2 23 5 6" xfId="32044" xr:uid="{00000000-0005-0000-0000-00002C7D0000}"/>
    <cellStyle name="Normal 5 10 2 23 5 7" xfId="32045" xr:uid="{00000000-0005-0000-0000-00002D7D0000}"/>
    <cellStyle name="Normal 5 10 2 23 5 8" xfId="32046" xr:uid="{00000000-0005-0000-0000-00002E7D0000}"/>
    <cellStyle name="Normal 5 10 2 23 5 9" xfId="32047" xr:uid="{00000000-0005-0000-0000-00002F7D0000}"/>
    <cellStyle name="Normal 5 10 2 23 6" xfId="32048" xr:uid="{00000000-0005-0000-0000-0000307D0000}"/>
    <cellStyle name="Normal 5 10 2 23 7" xfId="32049" xr:uid="{00000000-0005-0000-0000-0000317D0000}"/>
    <cellStyle name="Normal 5 10 2 23 8" xfId="32050" xr:uid="{00000000-0005-0000-0000-0000327D0000}"/>
    <cellStyle name="Normal 5 10 2 23 9" xfId="32051" xr:uid="{00000000-0005-0000-0000-0000337D0000}"/>
    <cellStyle name="Normal 5 10 2 24" xfId="32052" xr:uid="{00000000-0005-0000-0000-0000347D0000}"/>
    <cellStyle name="Normal 5 10 2 24 10" xfId="32053" xr:uid="{00000000-0005-0000-0000-0000357D0000}"/>
    <cellStyle name="Normal 5 10 2 24 11" xfId="32054" xr:uid="{00000000-0005-0000-0000-0000367D0000}"/>
    <cellStyle name="Normal 5 10 2 24 12" xfId="32055" xr:uid="{00000000-0005-0000-0000-0000377D0000}"/>
    <cellStyle name="Normal 5 10 2 24 13" xfId="32056" xr:uid="{00000000-0005-0000-0000-0000387D0000}"/>
    <cellStyle name="Normal 5 10 2 24 14" xfId="32057" xr:uid="{00000000-0005-0000-0000-0000397D0000}"/>
    <cellStyle name="Normal 5 10 2 24 2" xfId="32058" xr:uid="{00000000-0005-0000-0000-00003A7D0000}"/>
    <cellStyle name="Normal 5 10 2 24 2 10" xfId="32059" xr:uid="{00000000-0005-0000-0000-00003B7D0000}"/>
    <cellStyle name="Normal 5 10 2 24 2 2" xfId="32060" xr:uid="{00000000-0005-0000-0000-00003C7D0000}"/>
    <cellStyle name="Normal 5 10 2 24 2 3" xfId="32061" xr:uid="{00000000-0005-0000-0000-00003D7D0000}"/>
    <cellStyle name="Normal 5 10 2 24 2 4" xfId="32062" xr:uid="{00000000-0005-0000-0000-00003E7D0000}"/>
    <cellStyle name="Normal 5 10 2 24 2 5" xfId="32063" xr:uid="{00000000-0005-0000-0000-00003F7D0000}"/>
    <cellStyle name="Normal 5 10 2 24 2 6" xfId="32064" xr:uid="{00000000-0005-0000-0000-0000407D0000}"/>
    <cellStyle name="Normal 5 10 2 24 2 7" xfId="32065" xr:uid="{00000000-0005-0000-0000-0000417D0000}"/>
    <cellStyle name="Normal 5 10 2 24 2 8" xfId="32066" xr:uid="{00000000-0005-0000-0000-0000427D0000}"/>
    <cellStyle name="Normal 5 10 2 24 2 9" xfId="32067" xr:uid="{00000000-0005-0000-0000-0000437D0000}"/>
    <cellStyle name="Normal 5 10 2 24 3" xfId="32068" xr:uid="{00000000-0005-0000-0000-0000447D0000}"/>
    <cellStyle name="Normal 5 10 2 24 3 10" xfId="32069" xr:uid="{00000000-0005-0000-0000-0000457D0000}"/>
    <cellStyle name="Normal 5 10 2 24 3 2" xfId="32070" xr:uid="{00000000-0005-0000-0000-0000467D0000}"/>
    <cellStyle name="Normal 5 10 2 24 3 3" xfId="32071" xr:uid="{00000000-0005-0000-0000-0000477D0000}"/>
    <cellStyle name="Normal 5 10 2 24 3 4" xfId="32072" xr:uid="{00000000-0005-0000-0000-0000487D0000}"/>
    <cellStyle name="Normal 5 10 2 24 3 5" xfId="32073" xr:uid="{00000000-0005-0000-0000-0000497D0000}"/>
    <cellStyle name="Normal 5 10 2 24 3 6" xfId="32074" xr:uid="{00000000-0005-0000-0000-00004A7D0000}"/>
    <cellStyle name="Normal 5 10 2 24 3 7" xfId="32075" xr:uid="{00000000-0005-0000-0000-00004B7D0000}"/>
    <cellStyle name="Normal 5 10 2 24 3 8" xfId="32076" xr:uid="{00000000-0005-0000-0000-00004C7D0000}"/>
    <cellStyle name="Normal 5 10 2 24 3 9" xfId="32077" xr:uid="{00000000-0005-0000-0000-00004D7D0000}"/>
    <cellStyle name="Normal 5 10 2 24 4" xfId="32078" xr:uid="{00000000-0005-0000-0000-00004E7D0000}"/>
    <cellStyle name="Normal 5 10 2 24 4 10" xfId="32079" xr:uid="{00000000-0005-0000-0000-00004F7D0000}"/>
    <cellStyle name="Normal 5 10 2 24 4 2" xfId="32080" xr:uid="{00000000-0005-0000-0000-0000507D0000}"/>
    <cellStyle name="Normal 5 10 2 24 4 3" xfId="32081" xr:uid="{00000000-0005-0000-0000-0000517D0000}"/>
    <cellStyle name="Normal 5 10 2 24 4 4" xfId="32082" xr:uid="{00000000-0005-0000-0000-0000527D0000}"/>
    <cellStyle name="Normal 5 10 2 24 4 5" xfId="32083" xr:uid="{00000000-0005-0000-0000-0000537D0000}"/>
    <cellStyle name="Normal 5 10 2 24 4 6" xfId="32084" xr:uid="{00000000-0005-0000-0000-0000547D0000}"/>
    <cellStyle name="Normal 5 10 2 24 4 7" xfId="32085" xr:uid="{00000000-0005-0000-0000-0000557D0000}"/>
    <cellStyle name="Normal 5 10 2 24 4 8" xfId="32086" xr:uid="{00000000-0005-0000-0000-0000567D0000}"/>
    <cellStyle name="Normal 5 10 2 24 4 9" xfId="32087" xr:uid="{00000000-0005-0000-0000-0000577D0000}"/>
    <cellStyle name="Normal 5 10 2 24 5" xfId="32088" xr:uid="{00000000-0005-0000-0000-0000587D0000}"/>
    <cellStyle name="Normal 5 10 2 24 5 10" xfId="32089" xr:uid="{00000000-0005-0000-0000-0000597D0000}"/>
    <cellStyle name="Normal 5 10 2 24 5 2" xfId="32090" xr:uid="{00000000-0005-0000-0000-00005A7D0000}"/>
    <cellStyle name="Normal 5 10 2 24 5 3" xfId="32091" xr:uid="{00000000-0005-0000-0000-00005B7D0000}"/>
    <cellStyle name="Normal 5 10 2 24 5 4" xfId="32092" xr:uid="{00000000-0005-0000-0000-00005C7D0000}"/>
    <cellStyle name="Normal 5 10 2 24 5 5" xfId="32093" xr:uid="{00000000-0005-0000-0000-00005D7D0000}"/>
    <cellStyle name="Normal 5 10 2 24 5 6" xfId="32094" xr:uid="{00000000-0005-0000-0000-00005E7D0000}"/>
    <cellStyle name="Normal 5 10 2 24 5 7" xfId="32095" xr:uid="{00000000-0005-0000-0000-00005F7D0000}"/>
    <cellStyle name="Normal 5 10 2 24 5 8" xfId="32096" xr:uid="{00000000-0005-0000-0000-0000607D0000}"/>
    <cellStyle name="Normal 5 10 2 24 5 9" xfId="32097" xr:uid="{00000000-0005-0000-0000-0000617D0000}"/>
    <cellStyle name="Normal 5 10 2 24 6" xfId="32098" xr:uid="{00000000-0005-0000-0000-0000627D0000}"/>
    <cellStyle name="Normal 5 10 2 24 7" xfId="32099" xr:uid="{00000000-0005-0000-0000-0000637D0000}"/>
    <cellStyle name="Normal 5 10 2 24 8" xfId="32100" xr:uid="{00000000-0005-0000-0000-0000647D0000}"/>
    <cellStyle name="Normal 5 10 2 24 9" xfId="32101" xr:uid="{00000000-0005-0000-0000-0000657D0000}"/>
    <cellStyle name="Normal 5 10 2 25" xfId="32102" xr:uid="{00000000-0005-0000-0000-0000667D0000}"/>
    <cellStyle name="Normal 5 10 2 25 10" xfId="32103" xr:uid="{00000000-0005-0000-0000-0000677D0000}"/>
    <cellStyle name="Normal 5 10 2 25 11" xfId="32104" xr:uid="{00000000-0005-0000-0000-0000687D0000}"/>
    <cellStyle name="Normal 5 10 2 25 12" xfId="32105" xr:uid="{00000000-0005-0000-0000-0000697D0000}"/>
    <cellStyle name="Normal 5 10 2 25 13" xfId="32106" xr:uid="{00000000-0005-0000-0000-00006A7D0000}"/>
    <cellStyle name="Normal 5 10 2 25 14" xfId="32107" xr:uid="{00000000-0005-0000-0000-00006B7D0000}"/>
    <cellStyle name="Normal 5 10 2 25 2" xfId="32108" xr:uid="{00000000-0005-0000-0000-00006C7D0000}"/>
    <cellStyle name="Normal 5 10 2 25 2 10" xfId="32109" xr:uid="{00000000-0005-0000-0000-00006D7D0000}"/>
    <cellStyle name="Normal 5 10 2 25 2 2" xfId="32110" xr:uid="{00000000-0005-0000-0000-00006E7D0000}"/>
    <cellStyle name="Normal 5 10 2 25 2 3" xfId="32111" xr:uid="{00000000-0005-0000-0000-00006F7D0000}"/>
    <cellStyle name="Normal 5 10 2 25 2 4" xfId="32112" xr:uid="{00000000-0005-0000-0000-0000707D0000}"/>
    <cellStyle name="Normal 5 10 2 25 2 5" xfId="32113" xr:uid="{00000000-0005-0000-0000-0000717D0000}"/>
    <cellStyle name="Normal 5 10 2 25 2 6" xfId="32114" xr:uid="{00000000-0005-0000-0000-0000727D0000}"/>
    <cellStyle name="Normal 5 10 2 25 2 7" xfId="32115" xr:uid="{00000000-0005-0000-0000-0000737D0000}"/>
    <cellStyle name="Normal 5 10 2 25 2 8" xfId="32116" xr:uid="{00000000-0005-0000-0000-0000747D0000}"/>
    <cellStyle name="Normal 5 10 2 25 2 9" xfId="32117" xr:uid="{00000000-0005-0000-0000-0000757D0000}"/>
    <cellStyle name="Normal 5 10 2 25 3" xfId="32118" xr:uid="{00000000-0005-0000-0000-0000767D0000}"/>
    <cellStyle name="Normal 5 10 2 25 3 10" xfId="32119" xr:uid="{00000000-0005-0000-0000-0000777D0000}"/>
    <cellStyle name="Normal 5 10 2 25 3 2" xfId="32120" xr:uid="{00000000-0005-0000-0000-0000787D0000}"/>
    <cellStyle name="Normal 5 10 2 25 3 3" xfId="32121" xr:uid="{00000000-0005-0000-0000-0000797D0000}"/>
    <cellStyle name="Normal 5 10 2 25 3 4" xfId="32122" xr:uid="{00000000-0005-0000-0000-00007A7D0000}"/>
    <cellStyle name="Normal 5 10 2 25 3 5" xfId="32123" xr:uid="{00000000-0005-0000-0000-00007B7D0000}"/>
    <cellStyle name="Normal 5 10 2 25 3 6" xfId="32124" xr:uid="{00000000-0005-0000-0000-00007C7D0000}"/>
    <cellStyle name="Normal 5 10 2 25 3 7" xfId="32125" xr:uid="{00000000-0005-0000-0000-00007D7D0000}"/>
    <cellStyle name="Normal 5 10 2 25 3 8" xfId="32126" xr:uid="{00000000-0005-0000-0000-00007E7D0000}"/>
    <cellStyle name="Normal 5 10 2 25 3 9" xfId="32127" xr:uid="{00000000-0005-0000-0000-00007F7D0000}"/>
    <cellStyle name="Normal 5 10 2 25 4" xfId="32128" xr:uid="{00000000-0005-0000-0000-0000807D0000}"/>
    <cellStyle name="Normal 5 10 2 25 4 10" xfId="32129" xr:uid="{00000000-0005-0000-0000-0000817D0000}"/>
    <cellStyle name="Normal 5 10 2 25 4 2" xfId="32130" xr:uid="{00000000-0005-0000-0000-0000827D0000}"/>
    <cellStyle name="Normal 5 10 2 25 4 3" xfId="32131" xr:uid="{00000000-0005-0000-0000-0000837D0000}"/>
    <cellStyle name="Normal 5 10 2 25 4 4" xfId="32132" xr:uid="{00000000-0005-0000-0000-0000847D0000}"/>
    <cellStyle name="Normal 5 10 2 25 4 5" xfId="32133" xr:uid="{00000000-0005-0000-0000-0000857D0000}"/>
    <cellStyle name="Normal 5 10 2 25 4 6" xfId="32134" xr:uid="{00000000-0005-0000-0000-0000867D0000}"/>
    <cellStyle name="Normal 5 10 2 25 4 7" xfId="32135" xr:uid="{00000000-0005-0000-0000-0000877D0000}"/>
    <cellStyle name="Normal 5 10 2 25 4 8" xfId="32136" xr:uid="{00000000-0005-0000-0000-0000887D0000}"/>
    <cellStyle name="Normal 5 10 2 25 4 9" xfId="32137" xr:uid="{00000000-0005-0000-0000-0000897D0000}"/>
    <cellStyle name="Normal 5 10 2 25 5" xfId="32138" xr:uid="{00000000-0005-0000-0000-00008A7D0000}"/>
    <cellStyle name="Normal 5 10 2 25 5 10" xfId="32139" xr:uid="{00000000-0005-0000-0000-00008B7D0000}"/>
    <cellStyle name="Normal 5 10 2 25 5 2" xfId="32140" xr:uid="{00000000-0005-0000-0000-00008C7D0000}"/>
    <cellStyle name="Normal 5 10 2 25 5 3" xfId="32141" xr:uid="{00000000-0005-0000-0000-00008D7D0000}"/>
    <cellStyle name="Normal 5 10 2 25 5 4" xfId="32142" xr:uid="{00000000-0005-0000-0000-00008E7D0000}"/>
    <cellStyle name="Normal 5 10 2 25 5 5" xfId="32143" xr:uid="{00000000-0005-0000-0000-00008F7D0000}"/>
    <cellStyle name="Normal 5 10 2 25 5 6" xfId="32144" xr:uid="{00000000-0005-0000-0000-0000907D0000}"/>
    <cellStyle name="Normal 5 10 2 25 5 7" xfId="32145" xr:uid="{00000000-0005-0000-0000-0000917D0000}"/>
    <cellStyle name="Normal 5 10 2 25 5 8" xfId="32146" xr:uid="{00000000-0005-0000-0000-0000927D0000}"/>
    <cellStyle name="Normal 5 10 2 25 5 9" xfId="32147" xr:uid="{00000000-0005-0000-0000-0000937D0000}"/>
    <cellStyle name="Normal 5 10 2 25 6" xfId="32148" xr:uid="{00000000-0005-0000-0000-0000947D0000}"/>
    <cellStyle name="Normal 5 10 2 25 7" xfId="32149" xr:uid="{00000000-0005-0000-0000-0000957D0000}"/>
    <cellStyle name="Normal 5 10 2 25 8" xfId="32150" xr:uid="{00000000-0005-0000-0000-0000967D0000}"/>
    <cellStyle name="Normal 5 10 2 25 9" xfId="32151" xr:uid="{00000000-0005-0000-0000-0000977D0000}"/>
    <cellStyle name="Normal 5 10 2 26" xfId="32152" xr:uid="{00000000-0005-0000-0000-0000987D0000}"/>
    <cellStyle name="Normal 5 10 2 26 10" xfId="32153" xr:uid="{00000000-0005-0000-0000-0000997D0000}"/>
    <cellStyle name="Normal 5 10 2 26 11" xfId="32154" xr:uid="{00000000-0005-0000-0000-00009A7D0000}"/>
    <cellStyle name="Normal 5 10 2 26 12" xfId="32155" xr:uid="{00000000-0005-0000-0000-00009B7D0000}"/>
    <cellStyle name="Normal 5 10 2 26 13" xfId="32156" xr:uid="{00000000-0005-0000-0000-00009C7D0000}"/>
    <cellStyle name="Normal 5 10 2 26 14" xfId="32157" xr:uid="{00000000-0005-0000-0000-00009D7D0000}"/>
    <cellStyle name="Normal 5 10 2 26 2" xfId="32158" xr:uid="{00000000-0005-0000-0000-00009E7D0000}"/>
    <cellStyle name="Normal 5 10 2 26 2 10" xfId="32159" xr:uid="{00000000-0005-0000-0000-00009F7D0000}"/>
    <cellStyle name="Normal 5 10 2 26 2 2" xfId="32160" xr:uid="{00000000-0005-0000-0000-0000A07D0000}"/>
    <cellStyle name="Normal 5 10 2 26 2 3" xfId="32161" xr:uid="{00000000-0005-0000-0000-0000A17D0000}"/>
    <cellStyle name="Normal 5 10 2 26 2 4" xfId="32162" xr:uid="{00000000-0005-0000-0000-0000A27D0000}"/>
    <cellStyle name="Normal 5 10 2 26 2 5" xfId="32163" xr:uid="{00000000-0005-0000-0000-0000A37D0000}"/>
    <cellStyle name="Normal 5 10 2 26 2 6" xfId="32164" xr:uid="{00000000-0005-0000-0000-0000A47D0000}"/>
    <cellStyle name="Normal 5 10 2 26 2 7" xfId="32165" xr:uid="{00000000-0005-0000-0000-0000A57D0000}"/>
    <cellStyle name="Normal 5 10 2 26 2 8" xfId="32166" xr:uid="{00000000-0005-0000-0000-0000A67D0000}"/>
    <cellStyle name="Normal 5 10 2 26 2 9" xfId="32167" xr:uid="{00000000-0005-0000-0000-0000A77D0000}"/>
    <cellStyle name="Normal 5 10 2 26 3" xfId="32168" xr:uid="{00000000-0005-0000-0000-0000A87D0000}"/>
    <cellStyle name="Normal 5 10 2 26 3 10" xfId="32169" xr:uid="{00000000-0005-0000-0000-0000A97D0000}"/>
    <cellStyle name="Normal 5 10 2 26 3 2" xfId="32170" xr:uid="{00000000-0005-0000-0000-0000AA7D0000}"/>
    <cellStyle name="Normal 5 10 2 26 3 3" xfId="32171" xr:uid="{00000000-0005-0000-0000-0000AB7D0000}"/>
    <cellStyle name="Normal 5 10 2 26 3 4" xfId="32172" xr:uid="{00000000-0005-0000-0000-0000AC7D0000}"/>
    <cellStyle name="Normal 5 10 2 26 3 5" xfId="32173" xr:uid="{00000000-0005-0000-0000-0000AD7D0000}"/>
    <cellStyle name="Normal 5 10 2 26 3 6" xfId="32174" xr:uid="{00000000-0005-0000-0000-0000AE7D0000}"/>
    <cellStyle name="Normal 5 10 2 26 3 7" xfId="32175" xr:uid="{00000000-0005-0000-0000-0000AF7D0000}"/>
    <cellStyle name="Normal 5 10 2 26 3 8" xfId="32176" xr:uid="{00000000-0005-0000-0000-0000B07D0000}"/>
    <cellStyle name="Normal 5 10 2 26 3 9" xfId="32177" xr:uid="{00000000-0005-0000-0000-0000B17D0000}"/>
    <cellStyle name="Normal 5 10 2 26 4" xfId="32178" xr:uid="{00000000-0005-0000-0000-0000B27D0000}"/>
    <cellStyle name="Normal 5 10 2 26 4 10" xfId="32179" xr:uid="{00000000-0005-0000-0000-0000B37D0000}"/>
    <cellStyle name="Normal 5 10 2 26 4 2" xfId="32180" xr:uid="{00000000-0005-0000-0000-0000B47D0000}"/>
    <cellStyle name="Normal 5 10 2 26 4 3" xfId="32181" xr:uid="{00000000-0005-0000-0000-0000B57D0000}"/>
    <cellStyle name="Normal 5 10 2 26 4 4" xfId="32182" xr:uid="{00000000-0005-0000-0000-0000B67D0000}"/>
    <cellStyle name="Normal 5 10 2 26 4 5" xfId="32183" xr:uid="{00000000-0005-0000-0000-0000B77D0000}"/>
    <cellStyle name="Normal 5 10 2 26 4 6" xfId="32184" xr:uid="{00000000-0005-0000-0000-0000B87D0000}"/>
    <cellStyle name="Normal 5 10 2 26 4 7" xfId="32185" xr:uid="{00000000-0005-0000-0000-0000B97D0000}"/>
    <cellStyle name="Normal 5 10 2 26 4 8" xfId="32186" xr:uid="{00000000-0005-0000-0000-0000BA7D0000}"/>
    <cellStyle name="Normal 5 10 2 26 4 9" xfId="32187" xr:uid="{00000000-0005-0000-0000-0000BB7D0000}"/>
    <cellStyle name="Normal 5 10 2 26 5" xfId="32188" xr:uid="{00000000-0005-0000-0000-0000BC7D0000}"/>
    <cellStyle name="Normal 5 10 2 26 5 10" xfId="32189" xr:uid="{00000000-0005-0000-0000-0000BD7D0000}"/>
    <cellStyle name="Normal 5 10 2 26 5 2" xfId="32190" xr:uid="{00000000-0005-0000-0000-0000BE7D0000}"/>
    <cellStyle name="Normal 5 10 2 26 5 3" xfId="32191" xr:uid="{00000000-0005-0000-0000-0000BF7D0000}"/>
    <cellStyle name="Normal 5 10 2 26 5 4" xfId="32192" xr:uid="{00000000-0005-0000-0000-0000C07D0000}"/>
    <cellStyle name="Normal 5 10 2 26 5 5" xfId="32193" xr:uid="{00000000-0005-0000-0000-0000C17D0000}"/>
    <cellStyle name="Normal 5 10 2 26 5 6" xfId="32194" xr:uid="{00000000-0005-0000-0000-0000C27D0000}"/>
    <cellStyle name="Normal 5 10 2 26 5 7" xfId="32195" xr:uid="{00000000-0005-0000-0000-0000C37D0000}"/>
    <cellStyle name="Normal 5 10 2 26 5 8" xfId="32196" xr:uid="{00000000-0005-0000-0000-0000C47D0000}"/>
    <cellStyle name="Normal 5 10 2 26 5 9" xfId="32197" xr:uid="{00000000-0005-0000-0000-0000C57D0000}"/>
    <cellStyle name="Normal 5 10 2 26 6" xfId="32198" xr:uid="{00000000-0005-0000-0000-0000C67D0000}"/>
    <cellStyle name="Normal 5 10 2 26 7" xfId="32199" xr:uid="{00000000-0005-0000-0000-0000C77D0000}"/>
    <cellStyle name="Normal 5 10 2 26 8" xfId="32200" xr:uid="{00000000-0005-0000-0000-0000C87D0000}"/>
    <cellStyle name="Normal 5 10 2 26 9" xfId="32201" xr:uid="{00000000-0005-0000-0000-0000C97D0000}"/>
    <cellStyle name="Normal 5 10 2 27" xfId="32202" xr:uid="{00000000-0005-0000-0000-0000CA7D0000}"/>
    <cellStyle name="Normal 5 10 2 27 10" xfId="32203" xr:uid="{00000000-0005-0000-0000-0000CB7D0000}"/>
    <cellStyle name="Normal 5 10 2 27 11" xfId="32204" xr:uid="{00000000-0005-0000-0000-0000CC7D0000}"/>
    <cellStyle name="Normal 5 10 2 27 12" xfId="32205" xr:uid="{00000000-0005-0000-0000-0000CD7D0000}"/>
    <cellStyle name="Normal 5 10 2 27 13" xfId="32206" xr:uid="{00000000-0005-0000-0000-0000CE7D0000}"/>
    <cellStyle name="Normal 5 10 2 27 14" xfId="32207" xr:uid="{00000000-0005-0000-0000-0000CF7D0000}"/>
    <cellStyle name="Normal 5 10 2 27 2" xfId="32208" xr:uid="{00000000-0005-0000-0000-0000D07D0000}"/>
    <cellStyle name="Normal 5 10 2 27 2 10" xfId="32209" xr:uid="{00000000-0005-0000-0000-0000D17D0000}"/>
    <cellStyle name="Normal 5 10 2 27 2 2" xfId="32210" xr:uid="{00000000-0005-0000-0000-0000D27D0000}"/>
    <cellStyle name="Normal 5 10 2 27 2 3" xfId="32211" xr:uid="{00000000-0005-0000-0000-0000D37D0000}"/>
    <cellStyle name="Normal 5 10 2 27 2 4" xfId="32212" xr:uid="{00000000-0005-0000-0000-0000D47D0000}"/>
    <cellStyle name="Normal 5 10 2 27 2 5" xfId="32213" xr:uid="{00000000-0005-0000-0000-0000D57D0000}"/>
    <cellStyle name="Normal 5 10 2 27 2 6" xfId="32214" xr:uid="{00000000-0005-0000-0000-0000D67D0000}"/>
    <cellStyle name="Normal 5 10 2 27 2 7" xfId="32215" xr:uid="{00000000-0005-0000-0000-0000D77D0000}"/>
    <cellStyle name="Normal 5 10 2 27 2 8" xfId="32216" xr:uid="{00000000-0005-0000-0000-0000D87D0000}"/>
    <cellStyle name="Normal 5 10 2 27 2 9" xfId="32217" xr:uid="{00000000-0005-0000-0000-0000D97D0000}"/>
    <cellStyle name="Normal 5 10 2 27 3" xfId="32218" xr:uid="{00000000-0005-0000-0000-0000DA7D0000}"/>
    <cellStyle name="Normal 5 10 2 27 3 10" xfId="32219" xr:uid="{00000000-0005-0000-0000-0000DB7D0000}"/>
    <cellStyle name="Normal 5 10 2 27 3 2" xfId="32220" xr:uid="{00000000-0005-0000-0000-0000DC7D0000}"/>
    <cellStyle name="Normal 5 10 2 27 3 3" xfId="32221" xr:uid="{00000000-0005-0000-0000-0000DD7D0000}"/>
    <cellStyle name="Normal 5 10 2 27 3 4" xfId="32222" xr:uid="{00000000-0005-0000-0000-0000DE7D0000}"/>
    <cellStyle name="Normal 5 10 2 27 3 5" xfId="32223" xr:uid="{00000000-0005-0000-0000-0000DF7D0000}"/>
    <cellStyle name="Normal 5 10 2 27 3 6" xfId="32224" xr:uid="{00000000-0005-0000-0000-0000E07D0000}"/>
    <cellStyle name="Normal 5 10 2 27 3 7" xfId="32225" xr:uid="{00000000-0005-0000-0000-0000E17D0000}"/>
    <cellStyle name="Normal 5 10 2 27 3 8" xfId="32226" xr:uid="{00000000-0005-0000-0000-0000E27D0000}"/>
    <cellStyle name="Normal 5 10 2 27 3 9" xfId="32227" xr:uid="{00000000-0005-0000-0000-0000E37D0000}"/>
    <cellStyle name="Normal 5 10 2 27 4" xfId="32228" xr:uid="{00000000-0005-0000-0000-0000E47D0000}"/>
    <cellStyle name="Normal 5 10 2 27 4 10" xfId="32229" xr:uid="{00000000-0005-0000-0000-0000E57D0000}"/>
    <cellStyle name="Normal 5 10 2 27 4 2" xfId="32230" xr:uid="{00000000-0005-0000-0000-0000E67D0000}"/>
    <cellStyle name="Normal 5 10 2 27 4 3" xfId="32231" xr:uid="{00000000-0005-0000-0000-0000E77D0000}"/>
    <cellStyle name="Normal 5 10 2 27 4 4" xfId="32232" xr:uid="{00000000-0005-0000-0000-0000E87D0000}"/>
    <cellStyle name="Normal 5 10 2 27 4 5" xfId="32233" xr:uid="{00000000-0005-0000-0000-0000E97D0000}"/>
    <cellStyle name="Normal 5 10 2 27 4 6" xfId="32234" xr:uid="{00000000-0005-0000-0000-0000EA7D0000}"/>
    <cellStyle name="Normal 5 10 2 27 4 7" xfId="32235" xr:uid="{00000000-0005-0000-0000-0000EB7D0000}"/>
    <cellStyle name="Normal 5 10 2 27 4 8" xfId="32236" xr:uid="{00000000-0005-0000-0000-0000EC7D0000}"/>
    <cellStyle name="Normal 5 10 2 27 4 9" xfId="32237" xr:uid="{00000000-0005-0000-0000-0000ED7D0000}"/>
    <cellStyle name="Normal 5 10 2 27 5" xfId="32238" xr:uid="{00000000-0005-0000-0000-0000EE7D0000}"/>
    <cellStyle name="Normal 5 10 2 27 5 10" xfId="32239" xr:uid="{00000000-0005-0000-0000-0000EF7D0000}"/>
    <cellStyle name="Normal 5 10 2 27 5 2" xfId="32240" xr:uid="{00000000-0005-0000-0000-0000F07D0000}"/>
    <cellStyle name="Normal 5 10 2 27 5 3" xfId="32241" xr:uid="{00000000-0005-0000-0000-0000F17D0000}"/>
    <cellStyle name="Normal 5 10 2 27 5 4" xfId="32242" xr:uid="{00000000-0005-0000-0000-0000F27D0000}"/>
    <cellStyle name="Normal 5 10 2 27 5 5" xfId="32243" xr:uid="{00000000-0005-0000-0000-0000F37D0000}"/>
    <cellStyle name="Normal 5 10 2 27 5 6" xfId="32244" xr:uid="{00000000-0005-0000-0000-0000F47D0000}"/>
    <cellStyle name="Normal 5 10 2 27 5 7" xfId="32245" xr:uid="{00000000-0005-0000-0000-0000F57D0000}"/>
    <cellStyle name="Normal 5 10 2 27 5 8" xfId="32246" xr:uid="{00000000-0005-0000-0000-0000F67D0000}"/>
    <cellStyle name="Normal 5 10 2 27 5 9" xfId="32247" xr:uid="{00000000-0005-0000-0000-0000F77D0000}"/>
    <cellStyle name="Normal 5 10 2 27 6" xfId="32248" xr:uid="{00000000-0005-0000-0000-0000F87D0000}"/>
    <cellStyle name="Normal 5 10 2 27 7" xfId="32249" xr:uid="{00000000-0005-0000-0000-0000F97D0000}"/>
    <cellStyle name="Normal 5 10 2 27 8" xfId="32250" xr:uid="{00000000-0005-0000-0000-0000FA7D0000}"/>
    <cellStyle name="Normal 5 10 2 27 9" xfId="32251" xr:uid="{00000000-0005-0000-0000-0000FB7D0000}"/>
    <cellStyle name="Normal 5 10 2 28" xfId="32252" xr:uid="{00000000-0005-0000-0000-0000FC7D0000}"/>
    <cellStyle name="Normal 5 10 2 28 10" xfId="32253" xr:uid="{00000000-0005-0000-0000-0000FD7D0000}"/>
    <cellStyle name="Normal 5 10 2 28 11" xfId="32254" xr:uid="{00000000-0005-0000-0000-0000FE7D0000}"/>
    <cellStyle name="Normal 5 10 2 28 12" xfId="32255" xr:uid="{00000000-0005-0000-0000-0000FF7D0000}"/>
    <cellStyle name="Normal 5 10 2 28 13" xfId="32256" xr:uid="{00000000-0005-0000-0000-0000007E0000}"/>
    <cellStyle name="Normal 5 10 2 28 14" xfId="32257" xr:uid="{00000000-0005-0000-0000-0000017E0000}"/>
    <cellStyle name="Normal 5 10 2 28 2" xfId="32258" xr:uid="{00000000-0005-0000-0000-0000027E0000}"/>
    <cellStyle name="Normal 5 10 2 28 2 10" xfId="32259" xr:uid="{00000000-0005-0000-0000-0000037E0000}"/>
    <cellStyle name="Normal 5 10 2 28 2 2" xfId="32260" xr:uid="{00000000-0005-0000-0000-0000047E0000}"/>
    <cellStyle name="Normal 5 10 2 28 2 3" xfId="32261" xr:uid="{00000000-0005-0000-0000-0000057E0000}"/>
    <cellStyle name="Normal 5 10 2 28 2 4" xfId="32262" xr:uid="{00000000-0005-0000-0000-0000067E0000}"/>
    <cellStyle name="Normal 5 10 2 28 2 5" xfId="32263" xr:uid="{00000000-0005-0000-0000-0000077E0000}"/>
    <cellStyle name="Normal 5 10 2 28 2 6" xfId="32264" xr:uid="{00000000-0005-0000-0000-0000087E0000}"/>
    <cellStyle name="Normal 5 10 2 28 2 7" xfId="32265" xr:uid="{00000000-0005-0000-0000-0000097E0000}"/>
    <cellStyle name="Normal 5 10 2 28 2 8" xfId="32266" xr:uid="{00000000-0005-0000-0000-00000A7E0000}"/>
    <cellStyle name="Normal 5 10 2 28 2 9" xfId="32267" xr:uid="{00000000-0005-0000-0000-00000B7E0000}"/>
    <cellStyle name="Normal 5 10 2 28 3" xfId="32268" xr:uid="{00000000-0005-0000-0000-00000C7E0000}"/>
    <cellStyle name="Normal 5 10 2 28 3 10" xfId="32269" xr:uid="{00000000-0005-0000-0000-00000D7E0000}"/>
    <cellStyle name="Normal 5 10 2 28 3 2" xfId="32270" xr:uid="{00000000-0005-0000-0000-00000E7E0000}"/>
    <cellStyle name="Normal 5 10 2 28 3 3" xfId="32271" xr:uid="{00000000-0005-0000-0000-00000F7E0000}"/>
    <cellStyle name="Normal 5 10 2 28 3 4" xfId="32272" xr:uid="{00000000-0005-0000-0000-0000107E0000}"/>
    <cellStyle name="Normal 5 10 2 28 3 5" xfId="32273" xr:uid="{00000000-0005-0000-0000-0000117E0000}"/>
    <cellStyle name="Normal 5 10 2 28 3 6" xfId="32274" xr:uid="{00000000-0005-0000-0000-0000127E0000}"/>
    <cellStyle name="Normal 5 10 2 28 3 7" xfId="32275" xr:uid="{00000000-0005-0000-0000-0000137E0000}"/>
    <cellStyle name="Normal 5 10 2 28 3 8" xfId="32276" xr:uid="{00000000-0005-0000-0000-0000147E0000}"/>
    <cellStyle name="Normal 5 10 2 28 3 9" xfId="32277" xr:uid="{00000000-0005-0000-0000-0000157E0000}"/>
    <cellStyle name="Normal 5 10 2 28 4" xfId="32278" xr:uid="{00000000-0005-0000-0000-0000167E0000}"/>
    <cellStyle name="Normal 5 10 2 28 4 10" xfId="32279" xr:uid="{00000000-0005-0000-0000-0000177E0000}"/>
    <cellStyle name="Normal 5 10 2 28 4 2" xfId="32280" xr:uid="{00000000-0005-0000-0000-0000187E0000}"/>
    <cellStyle name="Normal 5 10 2 28 4 3" xfId="32281" xr:uid="{00000000-0005-0000-0000-0000197E0000}"/>
    <cellStyle name="Normal 5 10 2 28 4 4" xfId="32282" xr:uid="{00000000-0005-0000-0000-00001A7E0000}"/>
    <cellStyle name="Normal 5 10 2 28 4 5" xfId="32283" xr:uid="{00000000-0005-0000-0000-00001B7E0000}"/>
    <cellStyle name="Normal 5 10 2 28 4 6" xfId="32284" xr:uid="{00000000-0005-0000-0000-00001C7E0000}"/>
    <cellStyle name="Normal 5 10 2 28 4 7" xfId="32285" xr:uid="{00000000-0005-0000-0000-00001D7E0000}"/>
    <cellStyle name="Normal 5 10 2 28 4 8" xfId="32286" xr:uid="{00000000-0005-0000-0000-00001E7E0000}"/>
    <cellStyle name="Normal 5 10 2 28 4 9" xfId="32287" xr:uid="{00000000-0005-0000-0000-00001F7E0000}"/>
    <cellStyle name="Normal 5 10 2 28 5" xfId="32288" xr:uid="{00000000-0005-0000-0000-0000207E0000}"/>
    <cellStyle name="Normal 5 10 2 28 5 10" xfId="32289" xr:uid="{00000000-0005-0000-0000-0000217E0000}"/>
    <cellStyle name="Normal 5 10 2 28 5 2" xfId="32290" xr:uid="{00000000-0005-0000-0000-0000227E0000}"/>
    <cellStyle name="Normal 5 10 2 28 5 3" xfId="32291" xr:uid="{00000000-0005-0000-0000-0000237E0000}"/>
    <cellStyle name="Normal 5 10 2 28 5 4" xfId="32292" xr:uid="{00000000-0005-0000-0000-0000247E0000}"/>
    <cellStyle name="Normal 5 10 2 28 5 5" xfId="32293" xr:uid="{00000000-0005-0000-0000-0000257E0000}"/>
    <cellStyle name="Normal 5 10 2 28 5 6" xfId="32294" xr:uid="{00000000-0005-0000-0000-0000267E0000}"/>
    <cellStyle name="Normal 5 10 2 28 5 7" xfId="32295" xr:uid="{00000000-0005-0000-0000-0000277E0000}"/>
    <cellStyle name="Normal 5 10 2 28 5 8" xfId="32296" xr:uid="{00000000-0005-0000-0000-0000287E0000}"/>
    <cellStyle name="Normal 5 10 2 28 5 9" xfId="32297" xr:uid="{00000000-0005-0000-0000-0000297E0000}"/>
    <cellStyle name="Normal 5 10 2 28 6" xfId="32298" xr:uid="{00000000-0005-0000-0000-00002A7E0000}"/>
    <cellStyle name="Normal 5 10 2 28 7" xfId="32299" xr:uid="{00000000-0005-0000-0000-00002B7E0000}"/>
    <cellStyle name="Normal 5 10 2 28 8" xfId="32300" xr:uid="{00000000-0005-0000-0000-00002C7E0000}"/>
    <cellStyle name="Normal 5 10 2 28 9" xfId="32301" xr:uid="{00000000-0005-0000-0000-00002D7E0000}"/>
    <cellStyle name="Normal 5 10 2 29" xfId="32302" xr:uid="{00000000-0005-0000-0000-00002E7E0000}"/>
    <cellStyle name="Normal 5 10 2 29 10" xfId="32303" xr:uid="{00000000-0005-0000-0000-00002F7E0000}"/>
    <cellStyle name="Normal 5 10 2 29 11" xfId="32304" xr:uid="{00000000-0005-0000-0000-0000307E0000}"/>
    <cellStyle name="Normal 5 10 2 29 12" xfId="32305" xr:uid="{00000000-0005-0000-0000-0000317E0000}"/>
    <cellStyle name="Normal 5 10 2 29 13" xfId="32306" xr:uid="{00000000-0005-0000-0000-0000327E0000}"/>
    <cellStyle name="Normal 5 10 2 29 14" xfId="32307" xr:uid="{00000000-0005-0000-0000-0000337E0000}"/>
    <cellStyle name="Normal 5 10 2 29 2" xfId="32308" xr:uid="{00000000-0005-0000-0000-0000347E0000}"/>
    <cellStyle name="Normal 5 10 2 29 2 10" xfId="32309" xr:uid="{00000000-0005-0000-0000-0000357E0000}"/>
    <cellStyle name="Normal 5 10 2 29 2 2" xfId="32310" xr:uid="{00000000-0005-0000-0000-0000367E0000}"/>
    <cellStyle name="Normal 5 10 2 29 2 3" xfId="32311" xr:uid="{00000000-0005-0000-0000-0000377E0000}"/>
    <cellStyle name="Normal 5 10 2 29 2 4" xfId="32312" xr:uid="{00000000-0005-0000-0000-0000387E0000}"/>
    <cellStyle name="Normal 5 10 2 29 2 5" xfId="32313" xr:uid="{00000000-0005-0000-0000-0000397E0000}"/>
    <cellStyle name="Normal 5 10 2 29 2 6" xfId="32314" xr:uid="{00000000-0005-0000-0000-00003A7E0000}"/>
    <cellStyle name="Normal 5 10 2 29 2 7" xfId="32315" xr:uid="{00000000-0005-0000-0000-00003B7E0000}"/>
    <cellStyle name="Normal 5 10 2 29 2 8" xfId="32316" xr:uid="{00000000-0005-0000-0000-00003C7E0000}"/>
    <cellStyle name="Normal 5 10 2 29 2 9" xfId="32317" xr:uid="{00000000-0005-0000-0000-00003D7E0000}"/>
    <cellStyle name="Normal 5 10 2 29 3" xfId="32318" xr:uid="{00000000-0005-0000-0000-00003E7E0000}"/>
    <cellStyle name="Normal 5 10 2 29 3 10" xfId="32319" xr:uid="{00000000-0005-0000-0000-00003F7E0000}"/>
    <cellStyle name="Normal 5 10 2 29 3 2" xfId="32320" xr:uid="{00000000-0005-0000-0000-0000407E0000}"/>
    <cellStyle name="Normal 5 10 2 29 3 3" xfId="32321" xr:uid="{00000000-0005-0000-0000-0000417E0000}"/>
    <cellStyle name="Normal 5 10 2 29 3 4" xfId="32322" xr:uid="{00000000-0005-0000-0000-0000427E0000}"/>
    <cellStyle name="Normal 5 10 2 29 3 5" xfId="32323" xr:uid="{00000000-0005-0000-0000-0000437E0000}"/>
    <cellStyle name="Normal 5 10 2 29 3 6" xfId="32324" xr:uid="{00000000-0005-0000-0000-0000447E0000}"/>
    <cellStyle name="Normal 5 10 2 29 3 7" xfId="32325" xr:uid="{00000000-0005-0000-0000-0000457E0000}"/>
    <cellStyle name="Normal 5 10 2 29 3 8" xfId="32326" xr:uid="{00000000-0005-0000-0000-0000467E0000}"/>
    <cellStyle name="Normal 5 10 2 29 3 9" xfId="32327" xr:uid="{00000000-0005-0000-0000-0000477E0000}"/>
    <cellStyle name="Normal 5 10 2 29 4" xfId="32328" xr:uid="{00000000-0005-0000-0000-0000487E0000}"/>
    <cellStyle name="Normal 5 10 2 29 4 10" xfId="32329" xr:uid="{00000000-0005-0000-0000-0000497E0000}"/>
    <cellStyle name="Normal 5 10 2 29 4 2" xfId="32330" xr:uid="{00000000-0005-0000-0000-00004A7E0000}"/>
    <cellStyle name="Normal 5 10 2 29 4 3" xfId="32331" xr:uid="{00000000-0005-0000-0000-00004B7E0000}"/>
    <cellStyle name="Normal 5 10 2 29 4 4" xfId="32332" xr:uid="{00000000-0005-0000-0000-00004C7E0000}"/>
    <cellStyle name="Normal 5 10 2 29 4 5" xfId="32333" xr:uid="{00000000-0005-0000-0000-00004D7E0000}"/>
    <cellStyle name="Normal 5 10 2 29 4 6" xfId="32334" xr:uid="{00000000-0005-0000-0000-00004E7E0000}"/>
    <cellStyle name="Normal 5 10 2 29 4 7" xfId="32335" xr:uid="{00000000-0005-0000-0000-00004F7E0000}"/>
    <cellStyle name="Normal 5 10 2 29 4 8" xfId="32336" xr:uid="{00000000-0005-0000-0000-0000507E0000}"/>
    <cellStyle name="Normal 5 10 2 29 4 9" xfId="32337" xr:uid="{00000000-0005-0000-0000-0000517E0000}"/>
    <cellStyle name="Normal 5 10 2 29 5" xfId="32338" xr:uid="{00000000-0005-0000-0000-0000527E0000}"/>
    <cellStyle name="Normal 5 10 2 29 5 10" xfId="32339" xr:uid="{00000000-0005-0000-0000-0000537E0000}"/>
    <cellStyle name="Normal 5 10 2 29 5 2" xfId="32340" xr:uid="{00000000-0005-0000-0000-0000547E0000}"/>
    <cellStyle name="Normal 5 10 2 29 5 3" xfId="32341" xr:uid="{00000000-0005-0000-0000-0000557E0000}"/>
    <cellStyle name="Normal 5 10 2 29 5 4" xfId="32342" xr:uid="{00000000-0005-0000-0000-0000567E0000}"/>
    <cellStyle name="Normal 5 10 2 29 5 5" xfId="32343" xr:uid="{00000000-0005-0000-0000-0000577E0000}"/>
    <cellStyle name="Normal 5 10 2 29 5 6" xfId="32344" xr:uid="{00000000-0005-0000-0000-0000587E0000}"/>
    <cellStyle name="Normal 5 10 2 29 5 7" xfId="32345" xr:uid="{00000000-0005-0000-0000-0000597E0000}"/>
    <cellStyle name="Normal 5 10 2 29 5 8" xfId="32346" xr:uid="{00000000-0005-0000-0000-00005A7E0000}"/>
    <cellStyle name="Normal 5 10 2 29 5 9" xfId="32347" xr:uid="{00000000-0005-0000-0000-00005B7E0000}"/>
    <cellStyle name="Normal 5 10 2 29 6" xfId="32348" xr:uid="{00000000-0005-0000-0000-00005C7E0000}"/>
    <cellStyle name="Normal 5 10 2 29 7" xfId="32349" xr:uid="{00000000-0005-0000-0000-00005D7E0000}"/>
    <cellStyle name="Normal 5 10 2 29 8" xfId="32350" xr:uid="{00000000-0005-0000-0000-00005E7E0000}"/>
    <cellStyle name="Normal 5 10 2 29 9" xfId="32351" xr:uid="{00000000-0005-0000-0000-00005F7E0000}"/>
    <cellStyle name="Normal 5 10 2 3" xfId="32352" xr:uid="{00000000-0005-0000-0000-0000607E0000}"/>
    <cellStyle name="Normal 5 10 2 3 10" xfId="32353" xr:uid="{00000000-0005-0000-0000-0000617E0000}"/>
    <cellStyle name="Normal 5 10 2 3 11" xfId="32354" xr:uid="{00000000-0005-0000-0000-0000627E0000}"/>
    <cellStyle name="Normal 5 10 2 3 12" xfId="32355" xr:uid="{00000000-0005-0000-0000-0000637E0000}"/>
    <cellStyle name="Normal 5 10 2 3 13" xfId="32356" xr:uid="{00000000-0005-0000-0000-0000647E0000}"/>
    <cellStyle name="Normal 5 10 2 3 14" xfId="32357" xr:uid="{00000000-0005-0000-0000-0000657E0000}"/>
    <cellStyle name="Normal 5 10 2 3 2" xfId="32358" xr:uid="{00000000-0005-0000-0000-0000667E0000}"/>
    <cellStyle name="Normal 5 10 2 3 2 10" xfId="32359" xr:uid="{00000000-0005-0000-0000-0000677E0000}"/>
    <cellStyle name="Normal 5 10 2 3 2 2" xfId="32360" xr:uid="{00000000-0005-0000-0000-0000687E0000}"/>
    <cellStyle name="Normal 5 10 2 3 2 3" xfId="32361" xr:uid="{00000000-0005-0000-0000-0000697E0000}"/>
    <cellStyle name="Normal 5 10 2 3 2 4" xfId="32362" xr:uid="{00000000-0005-0000-0000-00006A7E0000}"/>
    <cellStyle name="Normal 5 10 2 3 2 5" xfId="32363" xr:uid="{00000000-0005-0000-0000-00006B7E0000}"/>
    <cellStyle name="Normal 5 10 2 3 2 6" xfId="32364" xr:uid="{00000000-0005-0000-0000-00006C7E0000}"/>
    <cellStyle name="Normal 5 10 2 3 2 7" xfId="32365" xr:uid="{00000000-0005-0000-0000-00006D7E0000}"/>
    <cellStyle name="Normal 5 10 2 3 2 8" xfId="32366" xr:uid="{00000000-0005-0000-0000-00006E7E0000}"/>
    <cellStyle name="Normal 5 10 2 3 2 9" xfId="32367" xr:uid="{00000000-0005-0000-0000-00006F7E0000}"/>
    <cellStyle name="Normal 5 10 2 3 3" xfId="32368" xr:uid="{00000000-0005-0000-0000-0000707E0000}"/>
    <cellStyle name="Normal 5 10 2 3 3 10" xfId="32369" xr:uid="{00000000-0005-0000-0000-0000717E0000}"/>
    <cellStyle name="Normal 5 10 2 3 3 2" xfId="32370" xr:uid="{00000000-0005-0000-0000-0000727E0000}"/>
    <cellStyle name="Normal 5 10 2 3 3 3" xfId="32371" xr:uid="{00000000-0005-0000-0000-0000737E0000}"/>
    <cellStyle name="Normal 5 10 2 3 3 4" xfId="32372" xr:uid="{00000000-0005-0000-0000-0000747E0000}"/>
    <cellStyle name="Normal 5 10 2 3 3 5" xfId="32373" xr:uid="{00000000-0005-0000-0000-0000757E0000}"/>
    <cellStyle name="Normal 5 10 2 3 3 6" xfId="32374" xr:uid="{00000000-0005-0000-0000-0000767E0000}"/>
    <cellStyle name="Normal 5 10 2 3 3 7" xfId="32375" xr:uid="{00000000-0005-0000-0000-0000777E0000}"/>
    <cellStyle name="Normal 5 10 2 3 3 8" xfId="32376" xr:uid="{00000000-0005-0000-0000-0000787E0000}"/>
    <cellStyle name="Normal 5 10 2 3 3 9" xfId="32377" xr:uid="{00000000-0005-0000-0000-0000797E0000}"/>
    <cellStyle name="Normal 5 10 2 3 4" xfId="32378" xr:uid="{00000000-0005-0000-0000-00007A7E0000}"/>
    <cellStyle name="Normal 5 10 2 3 4 10" xfId="32379" xr:uid="{00000000-0005-0000-0000-00007B7E0000}"/>
    <cellStyle name="Normal 5 10 2 3 4 2" xfId="32380" xr:uid="{00000000-0005-0000-0000-00007C7E0000}"/>
    <cellStyle name="Normal 5 10 2 3 4 3" xfId="32381" xr:uid="{00000000-0005-0000-0000-00007D7E0000}"/>
    <cellStyle name="Normal 5 10 2 3 4 4" xfId="32382" xr:uid="{00000000-0005-0000-0000-00007E7E0000}"/>
    <cellStyle name="Normal 5 10 2 3 4 5" xfId="32383" xr:uid="{00000000-0005-0000-0000-00007F7E0000}"/>
    <cellStyle name="Normal 5 10 2 3 4 6" xfId="32384" xr:uid="{00000000-0005-0000-0000-0000807E0000}"/>
    <cellStyle name="Normal 5 10 2 3 4 7" xfId="32385" xr:uid="{00000000-0005-0000-0000-0000817E0000}"/>
    <cellStyle name="Normal 5 10 2 3 4 8" xfId="32386" xr:uid="{00000000-0005-0000-0000-0000827E0000}"/>
    <cellStyle name="Normal 5 10 2 3 4 9" xfId="32387" xr:uid="{00000000-0005-0000-0000-0000837E0000}"/>
    <cellStyle name="Normal 5 10 2 3 5" xfId="32388" xr:uid="{00000000-0005-0000-0000-0000847E0000}"/>
    <cellStyle name="Normal 5 10 2 3 5 10" xfId="32389" xr:uid="{00000000-0005-0000-0000-0000857E0000}"/>
    <cellStyle name="Normal 5 10 2 3 5 2" xfId="32390" xr:uid="{00000000-0005-0000-0000-0000867E0000}"/>
    <cellStyle name="Normal 5 10 2 3 5 3" xfId="32391" xr:uid="{00000000-0005-0000-0000-0000877E0000}"/>
    <cellStyle name="Normal 5 10 2 3 5 4" xfId="32392" xr:uid="{00000000-0005-0000-0000-0000887E0000}"/>
    <cellStyle name="Normal 5 10 2 3 5 5" xfId="32393" xr:uid="{00000000-0005-0000-0000-0000897E0000}"/>
    <cellStyle name="Normal 5 10 2 3 5 6" xfId="32394" xr:uid="{00000000-0005-0000-0000-00008A7E0000}"/>
    <cellStyle name="Normal 5 10 2 3 5 7" xfId="32395" xr:uid="{00000000-0005-0000-0000-00008B7E0000}"/>
    <cellStyle name="Normal 5 10 2 3 5 8" xfId="32396" xr:uid="{00000000-0005-0000-0000-00008C7E0000}"/>
    <cellStyle name="Normal 5 10 2 3 5 9" xfId="32397" xr:uid="{00000000-0005-0000-0000-00008D7E0000}"/>
    <cellStyle name="Normal 5 10 2 3 6" xfId="32398" xr:uid="{00000000-0005-0000-0000-00008E7E0000}"/>
    <cellStyle name="Normal 5 10 2 3 7" xfId="32399" xr:uid="{00000000-0005-0000-0000-00008F7E0000}"/>
    <cellStyle name="Normal 5 10 2 3 8" xfId="32400" xr:uid="{00000000-0005-0000-0000-0000907E0000}"/>
    <cellStyle name="Normal 5 10 2 3 9" xfId="32401" xr:uid="{00000000-0005-0000-0000-0000917E0000}"/>
    <cellStyle name="Normal 5 10 2 30" xfId="32402" xr:uid="{00000000-0005-0000-0000-0000927E0000}"/>
    <cellStyle name="Normal 5 10 2 30 10" xfId="32403" xr:uid="{00000000-0005-0000-0000-0000937E0000}"/>
    <cellStyle name="Normal 5 10 2 30 11" xfId="32404" xr:uid="{00000000-0005-0000-0000-0000947E0000}"/>
    <cellStyle name="Normal 5 10 2 30 12" xfId="32405" xr:uid="{00000000-0005-0000-0000-0000957E0000}"/>
    <cellStyle name="Normal 5 10 2 30 13" xfId="32406" xr:uid="{00000000-0005-0000-0000-0000967E0000}"/>
    <cellStyle name="Normal 5 10 2 30 14" xfId="32407" xr:uid="{00000000-0005-0000-0000-0000977E0000}"/>
    <cellStyle name="Normal 5 10 2 30 2" xfId="32408" xr:uid="{00000000-0005-0000-0000-0000987E0000}"/>
    <cellStyle name="Normal 5 10 2 30 2 10" xfId="32409" xr:uid="{00000000-0005-0000-0000-0000997E0000}"/>
    <cellStyle name="Normal 5 10 2 30 2 2" xfId="32410" xr:uid="{00000000-0005-0000-0000-00009A7E0000}"/>
    <cellStyle name="Normal 5 10 2 30 2 3" xfId="32411" xr:uid="{00000000-0005-0000-0000-00009B7E0000}"/>
    <cellStyle name="Normal 5 10 2 30 2 4" xfId="32412" xr:uid="{00000000-0005-0000-0000-00009C7E0000}"/>
    <cellStyle name="Normal 5 10 2 30 2 5" xfId="32413" xr:uid="{00000000-0005-0000-0000-00009D7E0000}"/>
    <cellStyle name="Normal 5 10 2 30 2 6" xfId="32414" xr:uid="{00000000-0005-0000-0000-00009E7E0000}"/>
    <cellStyle name="Normal 5 10 2 30 2 7" xfId="32415" xr:uid="{00000000-0005-0000-0000-00009F7E0000}"/>
    <cellStyle name="Normal 5 10 2 30 2 8" xfId="32416" xr:uid="{00000000-0005-0000-0000-0000A07E0000}"/>
    <cellStyle name="Normal 5 10 2 30 2 9" xfId="32417" xr:uid="{00000000-0005-0000-0000-0000A17E0000}"/>
    <cellStyle name="Normal 5 10 2 30 3" xfId="32418" xr:uid="{00000000-0005-0000-0000-0000A27E0000}"/>
    <cellStyle name="Normal 5 10 2 30 3 10" xfId="32419" xr:uid="{00000000-0005-0000-0000-0000A37E0000}"/>
    <cellStyle name="Normal 5 10 2 30 3 2" xfId="32420" xr:uid="{00000000-0005-0000-0000-0000A47E0000}"/>
    <cellStyle name="Normal 5 10 2 30 3 3" xfId="32421" xr:uid="{00000000-0005-0000-0000-0000A57E0000}"/>
    <cellStyle name="Normal 5 10 2 30 3 4" xfId="32422" xr:uid="{00000000-0005-0000-0000-0000A67E0000}"/>
    <cellStyle name="Normal 5 10 2 30 3 5" xfId="32423" xr:uid="{00000000-0005-0000-0000-0000A77E0000}"/>
    <cellStyle name="Normal 5 10 2 30 3 6" xfId="32424" xr:uid="{00000000-0005-0000-0000-0000A87E0000}"/>
    <cellStyle name="Normal 5 10 2 30 3 7" xfId="32425" xr:uid="{00000000-0005-0000-0000-0000A97E0000}"/>
    <cellStyle name="Normal 5 10 2 30 3 8" xfId="32426" xr:uid="{00000000-0005-0000-0000-0000AA7E0000}"/>
    <cellStyle name="Normal 5 10 2 30 3 9" xfId="32427" xr:uid="{00000000-0005-0000-0000-0000AB7E0000}"/>
    <cellStyle name="Normal 5 10 2 30 4" xfId="32428" xr:uid="{00000000-0005-0000-0000-0000AC7E0000}"/>
    <cellStyle name="Normal 5 10 2 30 4 10" xfId="32429" xr:uid="{00000000-0005-0000-0000-0000AD7E0000}"/>
    <cellStyle name="Normal 5 10 2 30 4 2" xfId="32430" xr:uid="{00000000-0005-0000-0000-0000AE7E0000}"/>
    <cellStyle name="Normal 5 10 2 30 4 3" xfId="32431" xr:uid="{00000000-0005-0000-0000-0000AF7E0000}"/>
    <cellStyle name="Normal 5 10 2 30 4 4" xfId="32432" xr:uid="{00000000-0005-0000-0000-0000B07E0000}"/>
    <cellStyle name="Normal 5 10 2 30 4 5" xfId="32433" xr:uid="{00000000-0005-0000-0000-0000B17E0000}"/>
    <cellStyle name="Normal 5 10 2 30 4 6" xfId="32434" xr:uid="{00000000-0005-0000-0000-0000B27E0000}"/>
    <cellStyle name="Normal 5 10 2 30 4 7" xfId="32435" xr:uid="{00000000-0005-0000-0000-0000B37E0000}"/>
    <cellStyle name="Normal 5 10 2 30 4 8" xfId="32436" xr:uid="{00000000-0005-0000-0000-0000B47E0000}"/>
    <cellStyle name="Normal 5 10 2 30 4 9" xfId="32437" xr:uid="{00000000-0005-0000-0000-0000B57E0000}"/>
    <cellStyle name="Normal 5 10 2 30 5" xfId="32438" xr:uid="{00000000-0005-0000-0000-0000B67E0000}"/>
    <cellStyle name="Normal 5 10 2 30 5 10" xfId="32439" xr:uid="{00000000-0005-0000-0000-0000B77E0000}"/>
    <cellStyle name="Normal 5 10 2 30 5 2" xfId="32440" xr:uid="{00000000-0005-0000-0000-0000B87E0000}"/>
    <cellStyle name="Normal 5 10 2 30 5 3" xfId="32441" xr:uid="{00000000-0005-0000-0000-0000B97E0000}"/>
    <cellStyle name="Normal 5 10 2 30 5 4" xfId="32442" xr:uid="{00000000-0005-0000-0000-0000BA7E0000}"/>
    <cellStyle name="Normal 5 10 2 30 5 5" xfId="32443" xr:uid="{00000000-0005-0000-0000-0000BB7E0000}"/>
    <cellStyle name="Normal 5 10 2 30 5 6" xfId="32444" xr:uid="{00000000-0005-0000-0000-0000BC7E0000}"/>
    <cellStyle name="Normal 5 10 2 30 5 7" xfId="32445" xr:uid="{00000000-0005-0000-0000-0000BD7E0000}"/>
    <cellStyle name="Normal 5 10 2 30 5 8" xfId="32446" xr:uid="{00000000-0005-0000-0000-0000BE7E0000}"/>
    <cellStyle name="Normal 5 10 2 30 5 9" xfId="32447" xr:uid="{00000000-0005-0000-0000-0000BF7E0000}"/>
    <cellStyle name="Normal 5 10 2 30 6" xfId="32448" xr:uid="{00000000-0005-0000-0000-0000C07E0000}"/>
    <cellStyle name="Normal 5 10 2 30 7" xfId="32449" xr:uid="{00000000-0005-0000-0000-0000C17E0000}"/>
    <cellStyle name="Normal 5 10 2 30 8" xfId="32450" xr:uid="{00000000-0005-0000-0000-0000C27E0000}"/>
    <cellStyle name="Normal 5 10 2 30 9" xfId="32451" xr:uid="{00000000-0005-0000-0000-0000C37E0000}"/>
    <cellStyle name="Normal 5 10 2 31" xfId="32452" xr:uid="{00000000-0005-0000-0000-0000C47E0000}"/>
    <cellStyle name="Normal 5 10 2 31 10" xfId="32453" xr:uid="{00000000-0005-0000-0000-0000C57E0000}"/>
    <cellStyle name="Normal 5 10 2 31 11" xfId="32454" xr:uid="{00000000-0005-0000-0000-0000C67E0000}"/>
    <cellStyle name="Normal 5 10 2 31 12" xfId="32455" xr:uid="{00000000-0005-0000-0000-0000C77E0000}"/>
    <cellStyle name="Normal 5 10 2 31 13" xfId="32456" xr:uid="{00000000-0005-0000-0000-0000C87E0000}"/>
    <cellStyle name="Normal 5 10 2 31 14" xfId="32457" xr:uid="{00000000-0005-0000-0000-0000C97E0000}"/>
    <cellStyle name="Normal 5 10 2 31 2" xfId="32458" xr:uid="{00000000-0005-0000-0000-0000CA7E0000}"/>
    <cellStyle name="Normal 5 10 2 31 2 10" xfId="32459" xr:uid="{00000000-0005-0000-0000-0000CB7E0000}"/>
    <cellStyle name="Normal 5 10 2 31 2 2" xfId="32460" xr:uid="{00000000-0005-0000-0000-0000CC7E0000}"/>
    <cellStyle name="Normal 5 10 2 31 2 3" xfId="32461" xr:uid="{00000000-0005-0000-0000-0000CD7E0000}"/>
    <cellStyle name="Normal 5 10 2 31 2 4" xfId="32462" xr:uid="{00000000-0005-0000-0000-0000CE7E0000}"/>
    <cellStyle name="Normal 5 10 2 31 2 5" xfId="32463" xr:uid="{00000000-0005-0000-0000-0000CF7E0000}"/>
    <cellStyle name="Normal 5 10 2 31 2 6" xfId="32464" xr:uid="{00000000-0005-0000-0000-0000D07E0000}"/>
    <cellStyle name="Normal 5 10 2 31 2 7" xfId="32465" xr:uid="{00000000-0005-0000-0000-0000D17E0000}"/>
    <cellStyle name="Normal 5 10 2 31 2 8" xfId="32466" xr:uid="{00000000-0005-0000-0000-0000D27E0000}"/>
    <cellStyle name="Normal 5 10 2 31 2 9" xfId="32467" xr:uid="{00000000-0005-0000-0000-0000D37E0000}"/>
    <cellStyle name="Normal 5 10 2 31 3" xfId="32468" xr:uid="{00000000-0005-0000-0000-0000D47E0000}"/>
    <cellStyle name="Normal 5 10 2 31 3 10" xfId="32469" xr:uid="{00000000-0005-0000-0000-0000D57E0000}"/>
    <cellStyle name="Normal 5 10 2 31 3 2" xfId="32470" xr:uid="{00000000-0005-0000-0000-0000D67E0000}"/>
    <cellStyle name="Normal 5 10 2 31 3 3" xfId="32471" xr:uid="{00000000-0005-0000-0000-0000D77E0000}"/>
    <cellStyle name="Normal 5 10 2 31 3 4" xfId="32472" xr:uid="{00000000-0005-0000-0000-0000D87E0000}"/>
    <cellStyle name="Normal 5 10 2 31 3 5" xfId="32473" xr:uid="{00000000-0005-0000-0000-0000D97E0000}"/>
    <cellStyle name="Normal 5 10 2 31 3 6" xfId="32474" xr:uid="{00000000-0005-0000-0000-0000DA7E0000}"/>
    <cellStyle name="Normal 5 10 2 31 3 7" xfId="32475" xr:uid="{00000000-0005-0000-0000-0000DB7E0000}"/>
    <cellStyle name="Normal 5 10 2 31 3 8" xfId="32476" xr:uid="{00000000-0005-0000-0000-0000DC7E0000}"/>
    <cellStyle name="Normal 5 10 2 31 3 9" xfId="32477" xr:uid="{00000000-0005-0000-0000-0000DD7E0000}"/>
    <cellStyle name="Normal 5 10 2 31 4" xfId="32478" xr:uid="{00000000-0005-0000-0000-0000DE7E0000}"/>
    <cellStyle name="Normal 5 10 2 31 4 10" xfId="32479" xr:uid="{00000000-0005-0000-0000-0000DF7E0000}"/>
    <cellStyle name="Normal 5 10 2 31 4 2" xfId="32480" xr:uid="{00000000-0005-0000-0000-0000E07E0000}"/>
    <cellStyle name="Normal 5 10 2 31 4 3" xfId="32481" xr:uid="{00000000-0005-0000-0000-0000E17E0000}"/>
    <cellStyle name="Normal 5 10 2 31 4 4" xfId="32482" xr:uid="{00000000-0005-0000-0000-0000E27E0000}"/>
    <cellStyle name="Normal 5 10 2 31 4 5" xfId="32483" xr:uid="{00000000-0005-0000-0000-0000E37E0000}"/>
    <cellStyle name="Normal 5 10 2 31 4 6" xfId="32484" xr:uid="{00000000-0005-0000-0000-0000E47E0000}"/>
    <cellStyle name="Normal 5 10 2 31 4 7" xfId="32485" xr:uid="{00000000-0005-0000-0000-0000E57E0000}"/>
    <cellStyle name="Normal 5 10 2 31 4 8" xfId="32486" xr:uid="{00000000-0005-0000-0000-0000E67E0000}"/>
    <cellStyle name="Normal 5 10 2 31 4 9" xfId="32487" xr:uid="{00000000-0005-0000-0000-0000E77E0000}"/>
    <cellStyle name="Normal 5 10 2 31 5" xfId="32488" xr:uid="{00000000-0005-0000-0000-0000E87E0000}"/>
    <cellStyle name="Normal 5 10 2 31 5 10" xfId="32489" xr:uid="{00000000-0005-0000-0000-0000E97E0000}"/>
    <cellStyle name="Normal 5 10 2 31 5 2" xfId="32490" xr:uid="{00000000-0005-0000-0000-0000EA7E0000}"/>
    <cellStyle name="Normal 5 10 2 31 5 3" xfId="32491" xr:uid="{00000000-0005-0000-0000-0000EB7E0000}"/>
    <cellStyle name="Normal 5 10 2 31 5 4" xfId="32492" xr:uid="{00000000-0005-0000-0000-0000EC7E0000}"/>
    <cellStyle name="Normal 5 10 2 31 5 5" xfId="32493" xr:uid="{00000000-0005-0000-0000-0000ED7E0000}"/>
    <cellStyle name="Normal 5 10 2 31 5 6" xfId="32494" xr:uid="{00000000-0005-0000-0000-0000EE7E0000}"/>
    <cellStyle name="Normal 5 10 2 31 5 7" xfId="32495" xr:uid="{00000000-0005-0000-0000-0000EF7E0000}"/>
    <cellStyle name="Normal 5 10 2 31 5 8" xfId="32496" xr:uid="{00000000-0005-0000-0000-0000F07E0000}"/>
    <cellStyle name="Normal 5 10 2 31 5 9" xfId="32497" xr:uid="{00000000-0005-0000-0000-0000F17E0000}"/>
    <cellStyle name="Normal 5 10 2 31 6" xfId="32498" xr:uid="{00000000-0005-0000-0000-0000F27E0000}"/>
    <cellStyle name="Normal 5 10 2 31 7" xfId="32499" xr:uid="{00000000-0005-0000-0000-0000F37E0000}"/>
    <cellStyle name="Normal 5 10 2 31 8" xfId="32500" xr:uid="{00000000-0005-0000-0000-0000F47E0000}"/>
    <cellStyle name="Normal 5 10 2 31 9" xfId="32501" xr:uid="{00000000-0005-0000-0000-0000F57E0000}"/>
    <cellStyle name="Normal 5 10 2 32" xfId="32502" xr:uid="{00000000-0005-0000-0000-0000F67E0000}"/>
    <cellStyle name="Normal 5 10 2 32 10" xfId="32503" xr:uid="{00000000-0005-0000-0000-0000F77E0000}"/>
    <cellStyle name="Normal 5 10 2 32 11" xfId="32504" xr:uid="{00000000-0005-0000-0000-0000F87E0000}"/>
    <cellStyle name="Normal 5 10 2 32 12" xfId="32505" xr:uid="{00000000-0005-0000-0000-0000F97E0000}"/>
    <cellStyle name="Normal 5 10 2 32 13" xfId="32506" xr:uid="{00000000-0005-0000-0000-0000FA7E0000}"/>
    <cellStyle name="Normal 5 10 2 32 14" xfId="32507" xr:uid="{00000000-0005-0000-0000-0000FB7E0000}"/>
    <cellStyle name="Normal 5 10 2 32 2" xfId="32508" xr:uid="{00000000-0005-0000-0000-0000FC7E0000}"/>
    <cellStyle name="Normal 5 10 2 32 2 10" xfId="32509" xr:uid="{00000000-0005-0000-0000-0000FD7E0000}"/>
    <cellStyle name="Normal 5 10 2 32 2 2" xfId="32510" xr:uid="{00000000-0005-0000-0000-0000FE7E0000}"/>
    <cellStyle name="Normal 5 10 2 32 2 3" xfId="32511" xr:uid="{00000000-0005-0000-0000-0000FF7E0000}"/>
    <cellStyle name="Normal 5 10 2 32 2 4" xfId="32512" xr:uid="{00000000-0005-0000-0000-0000007F0000}"/>
    <cellStyle name="Normal 5 10 2 32 2 5" xfId="32513" xr:uid="{00000000-0005-0000-0000-0000017F0000}"/>
    <cellStyle name="Normal 5 10 2 32 2 6" xfId="32514" xr:uid="{00000000-0005-0000-0000-0000027F0000}"/>
    <cellStyle name="Normal 5 10 2 32 2 7" xfId="32515" xr:uid="{00000000-0005-0000-0000-0000037F0000}"/>
    <cellStyle name="Normal 5 10 2 32 2 8" xfId="32516" xr:uid="{00000000-0005-0000-0000-0000047F0000}"/>
    <cellStyle name="Normal 5 10 2 32 2 9" xfId="32517" xr:uid="{00000000-0005-0000-0000-0000057F0000}"/>
    <cellStyle name="Normal 5 10 2 32 3" xfId="32518" xr:uid="{00000000-0005-0000-0000-0000067F0000}"/>
    <cellStyle name="Normal 5 10 2 32 3 10" xfId="32519" xr:uid="{00000000-0005-0000-0000-0000077F0000}"/>
    <cellStyle name="Normal 5 10 2 32 3 2" xfId="32520" xr:uid="{00000000-0005-0000-0000-0000087F0000}"/>
    <cellStyle name="Normal 5 10 2 32 3 3" xfId="32521" xr:uid="{00000000-0005-0000-0000-0000097F0000}"/>
    <cellStyle name="Normal 5 10 2 32 3 4" xfId="32522" xr:uid="{00000000-0005-0000-0000-00000A7F0000}"/>
    <cellStyle name="Normal 5 10 2 32 3 5" xfId="32523" xr:uid="{00000000-0005-0000-0000-00000B7F0000}"/>
    <cellStyle name="Normal 5 10 2 32 3 6" xfId="32524" xr:uid="{00000000-0005-0000-0000-00000C7F0000}"/>
    <cellStyle name="Normal 5 10 2 32 3 7" xfId="32525" xr:uid="{00000000-0005-0000-0000-00000D7F0000}"/>
    <cellStyle name="Normal 5 10 2 32 3 8" xfId="32526" xr:uid="{00000000-0005-0000-0000-00000E7F0000}"/>
    <cellStyle name="Normal 5 10 2 32 3 9" xfId="32527" xr:uid="{00000000-0005-0000-0000-00000F7F0000}"/>
    <cellStyle name="Normal 5 10 2 32 4" xfId="32528" xr:uid="{00000000-0005-0000-0000-0000107F0000}"/>
    <cellStyle name="Normal 5 10 2 32 4 10" xfId="32529" xr:uid="{00000000-0005-0000-0000-0000117F0000}"/>
    <cellStyle name="Normal 5 10 2 32 4 2" xfId="32530" xr:uid="{00000000-0005-0000-0000-0000127F0000}"/>
    <cellStyle name="Normal 5 10 2 32 4 3" xfId="32531" xr:uid="{00000000-0005-0000-0000-0000137F0000}"/>
    <cellStyle name="Normal 5 10 2 32 4 4" xfId="32532" xr:uid="{00000000-0005-0000-0000-0000147F0000}"/>
    <cellStyle name="Normal 5 10 2 32 4 5" xfId="32533" xr:uid="{00000000-0005-0000-0000-0000157F0000}"/>
    <cellStyle name="Normal 5 10 2 32 4 6" xfId="32534" xr:uid="{00000000-0005-0000-0000-0000167F0000}"/>
    <cellStyle name="Normal 5 10 2 32 4 7" xfId="32535" xr:uid="{00000000-0005-0000-0000-0000177F0000}"/>
    <cellStyle name="Normal 5 10 2 32 4 8" xfId="32536" xr:uid="{00000000-0005-0000-0000-0000187F0000}"/>
    <cellStyle name="Normal 5 10 2 32 4 9" xfId="32537" xr:uid="{00000000-0005-0000-0000-0000197F0000}"/>
    <cellStyle name="Normal 5 10 2 32 5" xfId="32538" xr:uid="{00000000-0005-0000-0000-00001A7F0000}"/>
    <cellStyle name="Normal 5 10 2 32 5 10" xfId="32539" xr:uid="{00000000-0005-0000-0000-00001B7F0000}"/>
    <cellStyle name="Normal 5 10 2 32 5 2" xfId="32540" xr:uid="{00000000-0005-0000-0000-00001C7F0000}"/>
    <cellStyle name="Normal 5 10 2 32 5 3" xfId="32541" xr:uid="{00000000-0005-0000-0000-00001D7F0000}"/>
    <cellStyle name="Normal 5 10 2 32 5 4" xfId="32542" xr:uid="{00000000-0005-0000-0000-00001E7F0000}"/>
    <cellStyle name="Normal 5 10 2 32 5 5" xfId="32543" xr:uid="{00000000-0005-0000-0000-00001F7F0000}"/>
    <cellStyle name="Normal 5 10 2 32 5 6" xfId="32544" xr:uid="{00000000-0005-0000-0000-0000207F0000}"/>
    <cellStyle name="Normal 5 10 2 32 5 7" xfId="32545" xr:uid="{00000000-0005-0000-0000-0000217F0000}"/>
    <cellStyle name="Normal 5 10 2 32 5 8" xfId="32546" xr:uid="{00000000-0005-0000-0000-0000227F0000}"/>
    <cellStyle name="Normal 5 10 2 32 5 9" xfId="32547" xr:uid="{00000000-0005-0000-0000-0000237F0000}"/>
    <cellStyle name="Normal 5 10 2 32 6" xfId="32548" xr:uid="{00000000-0005-0000-0000-0000247F0000}"/>
    <cellStyle name="Normal 5 10 2 32 7" xfId="32549" xr:uid="{00000000-0005-0000-0000-0000257F0000}"/>
    <cellStyle name="Normal 5 10 2 32 8" xfId="32550" xr:uid="{00000000-0005-0000-0000-0000267F0000}"/>
    <cellStyle name="Normal 5 10 2 32 9" xfId="32551" xr:uid="{00000000-0005-0000-0000-0000277F0000}"/>
    <cellStyle name="Normal 5 10 2 33" xfId="32552" xr:uid="{00000000-0005-0000-0000-0000287F0000}"/>
    <cellStyle name="Normal 5 10 2 33 10" xfId="32553" xr:uid="{00000000-0005-0000-0000-0000297F0000}"/>
    <cellStyle name="Normal 5 10 2 33 11" xfId="32554" xr:uid="{00000000-0005-0000-0000-00002A7F0000}"/>
    <cellStyle name="Normal 5 10 2 33 12" xfId="32555" xr:uid="{00000000-0005-0000-0000-00002B7F0000}"/>
    <cellStyle name="Normal 5 10 2 33 13" xfId="32556" xr:uid="{00000000-0005-0000-0000-00002C7F0000}"/>
    <cellStyle name="Normal 5 10 2 33 14" xfId="32557" xr:uid="{00000000-0005-0000-0000-00002D7F0000}"/>
    <cellStyle name="Normal 5 10 2 33 2" xfId="32558" xr:uid="{00000000-0005-0000-0000-00002E7F0000}"/>
    <cellStyle name="Normal 5 10 2 33 2 10" xfId="32559" xr:uid="{00000000-0005-0000-0000-00002F7F0000}"/>
    <cellStyle name="Normal 5 10 2 33 2 2" xfId="32560" xr:uid="{00000000-0005-0000-0000-0000307F0000}"/>
    <cellStyle name="Normal 5 10 2 33 2 3" xfId="32561" xr:uid="{00000000-0005-0000-0000-0000317F0000}"/>
    <cellStyle name="Normal 5 10 2 33 2 4" xfId="32562" xr:uid="{00000000-0005-0000-0000-0000327F0000}"/>
    <cellStyle name="Normal 5 10 2 33 2 5" xfId="32563" xr:uid="{00000000-0005-0000-0000-0000337F0000}"/>
    <cellStyle name="Normal 5 10 2 33 2 6" xfId="32564" xr:uid="{00000000-0005-0000-0000-0000347F0000}"/>
    <cellStyle name="Normal 5 10 2 33 2 7" xfId="32565" xr:uid="{00000000-0005-0000-0000-0000357F0000}"/>
    <cellStyle name="Normal 5 10 2 33 2 8" xfId="32566" xr:uid="{00000000-0005-0000-0000-0000367F0000}"/>
    <cellStyle name="Normal 5 10 2 33 2 9" xfId="32567" xr:uid="{00000000-0005-0000-0000-0000377F0000}"/>
    <cellStyle name="Normal 5 10 2 33 3" xfId="32568" xr:uid="{00000000-0005-0000-0000-0000387F0000}"/>
    <cellStyle name="Normal 5 10 2 33 3 10" xfId="32569" xr:uid="{00000000-0005-0000-0000-0000397F0000}"/>
    <cellStyle name="Normal 5 10 2 33 3 2" xfId="32570" xr:uid="{00000000-0005-0000-0000-00003A7F0000}"/>
    <cellStyle name="Normal 5 10 2 33 3 3" xfId="32571" xr:uid="{00000000-0005-0000-0000-00003B7F0000}"/>
    <cellStyle name="Normal 5 10 2 33 3 4" xfId="32572" xr:uid="{00000000-0005-0000-0000-00003C7F0000}"/>
    <cellStyle name="Normal 5 10 2 33 3 5" xfId="32573" xr:uid="{00000000-0005-0000-0000-00003D7F0000}"/>
    <cellStyle name="Normal 5 10 2 33 3 6" xfId="32574" xr:uid="{00000000-0005-0000-0000-00003E7F0000}"/>
    <cellStyle name="Normal 5 10 2 33 3 7" xfId="32575" xr:uid="{00000000-0005-0000-0000-00003F7F0000}"/>
    <cellStyle name="Normal 5 10 2 33 3 8" xfId="32576" xr:uid="{00000000-0005-0000-0000-0000407F0000}"/>
    <cellStyle name="Normal 5 10 2 33 3 9" xfId="32577" xr:uid="{00000000-0005-0000-0000-0000417F0000}"/>
    <cellStyle name="Normal 5 10 2 33 4" xfId="32578" xr:uid="{00000000-0005-0000-0000-0000427F0000}"/>
    <cellStyle name="Normal 5 10 2 33 4 10" xfId="32579" xr:uid="{00000000-0005-0000-0000-0000437F0000}"/>
    <cellStyle name="Normal 5 10 2 33 4 2" xfId="32580" xr:uid="{00000000-0005-0000-0000-0000447F0000}"/>
    <cellStyle name="Normal 5 10 2 33 4 3" xfId="32581" xr:uid="{00000000-0005-0000-0000-0000457F0000}"/>
    <cellStyle name="Normal 5 10 2 33 4 4" xfId="32582" xr:uid="{00000000-0005-0000-0000-0000467F0000}"/>
    <cellStyle name="Normal 5 10 2 33 4 5" xfId="32583" xr:uid="{00000000-0005-0000-0000-0000477F0000}"/>
    <cellStyle name="Normal 5 10 2 33 4 6" xfId="32584" xr:uid="{00000000-0005-0000-0000-0000487F0000}"/>
    <cellStyle name="Normal 5 10 2 33 4 7" xfId="32585" xr:uid="{00000000-0005-0000-0000-0000497F0000}"/>
    <cellStyle name="Normal 5 10 2 33 4 8" xfId="32586" xr:uid="{00000000-0005-0000-0000-00004A7F0000}"/>
    <cellStyle name="Normal 5 10 2 33 4 9" xfId="32587" xr:uid="{00000000-0005-0000-0000-00004B7F0000}"/>
    <cellStyle name="Normal 5 10 2 33 5" xfId="32588" xr:uid="{00000000-0005-0000-0000-00004C7F0000}"/>
    <cellStyle name="Normal 5 10 2 33 5 10" xfId="32589" xr:uid="{00000000-0005-0000-0000-00004D7F0000}"/>
    <cellStyle name="Normal 5 10 2 33 5 2" xfId="32590" xr:uid="{00000000-0005-0000-0000-00004E7F0000}"/>
    <cellStyle name="Normal 5 10 2 33 5 3" xfId="32591" xr:uid="{00000000-0005-0000-0000-00004F7F0000}"/>
    <cellStyle name="Normal 5 10 2 33 5 4" xfId="32592" xr:uid="{00000000-0005-0000-0000-0000507F0000}"/>
    <cellStyle name="Normal 5 10 2 33 5 5" xfId="32593" xr:uid="{00000000-0005-0000-0000-0000517F0000}"/>
    <cellStyle name="Normal 5 10 2 33 5 6" xfId="32594" xr:uid="{00000000-0005-0000-0000-0000527F0000}"/>
    <cellStyle name="Normal 5 10 2 33 5 7" xfId="32595" xr:uid="{00000000-0005-0000-0000-0000537F0000}"/>
    <cellStyle name="Normal 5 10 2 33 5 8" xfId="32596" xr:uid="{00000000-0005-0000-0000-0000547F0000}"/>
    <cellStyle name="Normal 5 10 2 33 5 9" xfId="32597" xr:uid="{00000000-0005-0000-0000-0000557F0000}"/>
    <cellStyle name="Normal 5 10 2 33 6" xfId="32598" xr:uid="{00000000-0005-0000-0000-0000567F0000}"/>
    <cellStyle name="Normal 5 10 2 33 7" xfId="32599" xr:uid="{00000000-0005-0000-0000-0000577F0000}"/>
    <cellStyle name="Normal 5 10 2 33 8" xfId="32600" xr:uid="{00000000-0005-0000-0000-0000587F0000}"/>
    <cellStyle name="Normal 5 10 2 33 9" xfId="32601" xr:uid="{00000000-0005-0000-0000-0000597F0000}"/>
    <cellStyle name="Normal 5 10 2 34" xfId="32602" xr:uid="{00000000-0005-0000-0000-00005A7F0000}"/>
    <cellStyle name="Normal 5 10 2 34 10" xfId="32603" xr:uid="{00000000-0005-0000-0000-00005B7F0000}"/>
    <cellStyle name="Normal 5 10 2 34 2" xfId="32604" xr:uid="{00000000-0005-0000-0000-00005C7F0000}"/>
    <cellStyle name="Normal 5 10 2 34 3" xfId="32605" xr:uid="{00000000-0005-0000-0000-00005D7F0000}"/>
    <cellStyle name="Normal 5 10 2 34 4" xfId="32606" xr:uid="{00000000-0005-0000-0000-00005E7F0000}"/>
    <cellStyle name="Normal 5 10 2 34 5" xfId="32607" xr:uid="{00000000-0005-0000-0000-00005F7F0000}"/>
    <cellStyle name="Normal 5 10 2 34 6" xfId="32608" xr:uid="{00000000-0005-0000-0000-0000607F0000}"/>
    <cellStyle name="Normal 5 10 2 34 7" xfId="32609" xr:uid="{00000000-0005-0000-0000-0000617F0000}"/>
    <cellStyle name="Normal 5 10 2 34 8" xfId="32610" xr:uid="{00000000-0005-0000-0000-0000627F0000}"/>
    <cellStyle name="Normal 5 10 2 34 9" xfId="32611" xr:uid="{00000000-0005-0000-0000-0000637F0000}"/>
    <cellStyle name="Normal 5 10 2 35" xfId="32612" xr:uid="{00000000-0005-0000-0000-0000647F0000}"/>
    <cellStyle name="Normal 5 10 2 35 10" xfId="32613" xr:uid="{00000000-0005-0000-0000-0000657F0000}"/>
    <cellStyle name="Normal 5 10 2 35 2" xfId="32614" xr:uid="{00000000-0005-0000-0000-0000667F0000}"/>
    <cellStyle name="Normal 5 10 2 35 3" xfId="32615" xr:uid="{00000000-0005-0000-0000-0000677F0000}"/>
    <cellStyle name="Normal 5 10 2 35 4" xfId="32616" xr:uid="{00000000-0005-0000-0000-0000687F0000}"/>
    <cellStyle name="Normal 5 10 2 35 5" xfId="32617" xr:uid="{00000000-0005-0000-0000-0000697F0000}"/>
    <cellStyle name="Normal 5 10 2 35 6" xfId="32618" xr:uid="{00000000-0005-0000-0000-00006A7F0000}"/>
    <cellStyle name="Normal 5 10 2 35 7" xfId="32619" xr:uid="{00000000-0005-0000-0000-00006B7F0000}"/>
    <cellStyle name="Normal 5 10 2 35 8" xfId="32620" xr:uid="{00000000-0005-0000-0000-00006C7F0000}"/>
    <cellStyle name="Normal 5 10 2 35 9" xfId="32621" xr:uid="{00000000-0005-0000-0000-00006D7F0000}"/>
    <cellStyle name="Normal 5 10 2 36" xfId="32622" xr:uid="{00000000-0005-0000-0000-00006E7F0000}"/>
    <cellStyle name="Normal 5 10 2 36 10" xfId="32623" xr:uid="{00000000-0005-0000-0000-00006F7F0000}"/>
    <cellStyle name="Normal 5 10 2 36 2" xfId="32624" xr:uid="{00000000-0005-0000-0000-0000707F0000}"/>
    <cellStyle name="Normal 5 10 2 36 3" xfId="32625" xr:uid="{00000000-0005-0000-0000-0000717F0000}"/>
    <cellStyle name="Normal 5 10 2 36 4" xfId="32626" xr:uid="{00000000-0005-0000-0000-0000727F0000}"/>
    <cellStyle name="Normal 5 10 2 36 5" xfId="32627" xr:uid="{00000000-0005-0000-0000-0000737F0000}"/>
    <cellStyle name="Normal 5 10 2 36 6" xfId="32628" xr:uid="{00000000-0005-0000-0000-0000747F0000}"/>
    <cellStyle name="Normal 5 10 2 36 7" xfId="32629" xr:uid="{00000000-0005-0000-0000-0000757F0000}"/>
    <cellStyle name="Normal 5 10 2 36 8" xfId="32630" xr:uid="{00000000-0005-0000-0000-0000767F0000}"/>
    <cellStyle name="Normal 5 10 2 36 9" xfId="32631" xr:uid="{00000000-0005-0000-0000-0000777F0000}"/>
    <cellStyle name="Normal 5 10 2 37" xfId="32632" xr:uid="{00000000-0005-0000-0000-0000787F0000}"/>
    <cellStyle name="Normal 5 10 2 37 10" xfId="32633" xr:uid="{00000000-0005-0000-0000-0000797F0000}"/>
    <cellStyle name="Normal 5 10 2 37 2" xfId="32634" xr:uid="{00000000-0005-0000-0000-00007A7F0000}"/>
    <cellStyle name="Normal 5 10 2 37 3" xfId="32635" xr:uid="{00000000-0005-0000-0000-00007B7F0000}"/>
    <cellStyle name="Normal 5 10 2 37 4" xfId="32636" xr:uid="{00000000-0005-0000-0000-00007C7F0000}"/>
    <cellStyle name="Normal 5 10 2 37 5" xfId="32637" xr:uid="{00000000-0005-0000-0000-00007D7F0000}"/>
    <cellStyle name="Normal 5 10 2 37 6" xfId="32638" xr:uid="{00000000-0005-0000-0000-00007E7F0000}"/>
    <cellStyle name="Normal 5 10 2 37 7" xfId="32639" xr:uid="{00000000-0005-0000-0000-00007F7F0000}"/>
    <cellStyle name="Normal 5 10 2 37 8" xfId="32640" xr:uid="{00000000-0005-0000-0000-0000807F0000}"/>
    <cellStyle name="Normal 5 10 2 37 9" xfId="32641" xr:uid="{00000000-0005-0000-0000-0000817F0000}"/>
    <cellStyle name="Normal 5 10 2 38" xfId="32642" xr:uid="{00000000-0005-0000-0000-0000827F0000}"/>
    <cellStyle name="Normal 5 10 2 39" xfId="32643" xr:uid="{00000000-0005-0000-0000-0000837F0000}"/>
    <cellStyle name="Normal 5 10 2 4" xfId="32644" xr:uid="{00000000-0005-0000-0000-0000847F0000}"/>
    <cellStyle name="Normal 5 10 2 4 10" xfId="32645" xr:uid="{00000000-0005-0000-0000-0000857F0000}"/>
    <cellStyle name="Normal 5 10 2 4 11" xfId="32646" xr:uid="{00000000-0005-0000-0000-0000867F0000}"/>
    <cellStyle name="Normal 5 10 2 4 12" xfId="32647" xr:uid="{00000000-0005-0000-0000-0000877F0000}"/>
    <cellStyle name="Normal 5 10 2 4 13" xfId="32648" xr:uid="{00000000-0005-0000-0000-0000887F0000}"/>
    <cellStyle name="Normal 5 10 2 4 14" xfId="32649" xr:uid="{00000000-0005-0000-0000-0000897F0000}"/>
    <cellStyle name="Normal 5 10 2 4 2" xfId="32650" xr:uid="{00000000-0005-0000-0000-00008A7F0000}"/>
    <cellStyle name="Normal 5 10 2 4 2 10" xfId="32651" xr:uid="{00000000-0005-0000-0000-00008B7F0000}"/>
    <cellStyle name="Normal 5 10 2 4 2 2" xfId="32652" xr:uid="{00000000-0005-0000-0000-00008C7F0000}"/>
    <cellStyle name="Normal 5 10 2 4 2 3" xfId="32653" xr:uid="{00000000-0005-0000-0000-00008D7F0000}"/>
    <cellStyle name="Normal 5 10 2 4 2 4" xfId="32654" xr:uid="{00000000-0005-0000-0000-00008E7F0000}"/>
    <cellStyle name="Normal 5 10 2 4 2 5" xfId="32655" xr:uid="{00000000-0005-0000-0000-00008F7F0000}"/>
    <cellStyle name="Normal 5 10 2 4 2 6" xfId="32656" xr:uid="{00000000-0005-0000-0000-0000907F0000}"/>
    <cellStyle name="Normal 5 10 2 4 2 7" xfId="32657" xr:uid="{00000000-0005-0000-0000-0000917F0000}"/>
    <cellStyle name="Normal 5 10 2 4 2 8" xfId="32658" xr:uid="{00000000-0005-0000-0000-0000927F0000}"/>
    <cellStyle name="Normal 5 10 2 4 2 9" xfId="32659" xr:uid="{00000000-0005-0000-0000-0000937F0000}"/>
    <cellStyle name="Normal 5 10 2 4 3" xfId="32660" xr:uid="{00000000-0005-0000-0000-0000947F0000}"/>
    <cellStyle name="Normal 5 10 2 4 3 10" xfId="32661" xr:uid="{00000000-0005-0000-0000-0000957F0000}"/>
    <cellStyle name="Normal 5 10 2 4 3 2" xfId="32662" xr:uid="{00000000-0005-0000-0000-0000967F0000}"/>
    <cellStyle name="Normal 5 10 2 4 3 3" xfId="32663" xr:uid="{00000000-0005-0000-0000-0000977F0000}"/>
    <cellStyle name="Normal 5 10 2 4 3 4" xfId="32664" xr:uid="{00000000-0005-0000-0000-0000987F0000}"/>
    <cellStyle name="Normal 5 10 2 4 3 5" xfId="32665" xr:uid="{00000000-0005-0000-0000-0000997F0000}"/>
    <cellStyle name="Normal 5 10 2 4 3 6" xfId="32666" xr:uid="{00000000-0005-0000-0000-00009A7F0000}"/>
    <cellStyle name="Normal 5 10 2 4 3 7" xfId="32667" xr:uid="{00000000-0005-0000-0000-00009B7F0000}"/>
    <cellStyle name="Normal 5 10 2 4 3 8" xfId="32668" xr:uid="{00000000-0005-0000-0000-00009C7F0000}"/>
    <cellStyle name="Normal 5 10 2 4 3 9" xfId="32669" xr:uid="{00000000-0005-0000-0000-00009D7F0000}"/>
    <cellStyle name="Normal 5 10 2 4 4" xfId="32670" xr:uid="{00000000-0005-0000-0000-00009E7F0000}"/>
    <cellStyle name="Normal 5 10 2 4 4 10" xfId="32671" xr:uid="{00000000-0005-0000-0000-00009F7F0000}"/>
    <cellStyle name="Normal 5 10 2 4 4 2" xfId="32672" xr:uid="{00000000-0005-0000-0000-0000A07F0000}"/>
    <cellStyle name="Normal 5 10 2 4 4 3" xfId="32673" xr:uid="{00000000-0005-0000-0000-0000A17F0000}"/>
    <cellStyle name="Normal 5 10 2 4 4 4" xfId="32674" xr:uid="{00000000-0005-0000-0000-0000A27F0000}"/>
    <cellStyle name="Normal 5 10 2 4 4 5" xfId="32675" xr:uid="{00000000-0005-0000-0000-0000A37F0000}"/>
    <cellStyle name="Normal 5 10 2 4 4 6" xfId="32676" xr:uid="{00000000-0005-0000-0000-0000A47F0000}"/>
    <cellStyle name="Normal 5 10 2 4 4 7" xfId="32677" xr:uid="{00000000-0005-0000-0000-0000A57F0000}"/>
    <cellStyle name="Normal 5 10 2 4 4 8" xfId="32678" xr:uid="{00000000-0005-0000-0000-0000A67F0000}"/>
    <cellStyle name="Normal 5 10 2 4 4 9" xfId="32679" xr:uid="{00000000-0005-0000-0000-0000A77F0000}"/>
    <cellStyle name="Normal 5 10 2 4 5" xfId="32680" xr:uid="{00000000-0005-0000-0000-0000A87F0000}"/>
    <cellStyle name="Normal 5 10 2 4 5 10" xfId="32681" xr:uid="{00000000-0005-0000-0000-0000A97F0000}"/>
    <cellStyle name="Normal 5 10 2 4 5 2" xfId="32682" xr:uid="{00000000-0005-0000-0000-0000AA7F0000}"/>
    <cellStyle name="Normal 5 10 2 4 5 3" xfId="32683" xr:uid="{00000000-0005-0000-0000-0000AB7F0000}"/>
    <cellStyle name="Normal 5 10 2 4 5 4" xfId="32684" xr:uid="{00000000-0005-0000-0000-0000AC7F0000}"/>
    <cellStyle name="Normal 5 10 2 4 5 5" xfId="32685" xr:uid="{00000000-0005-0000-0000-0000AD7F0000}"/>
    <cellStyle name="Normal 5 10 2 4 5 6" xfId="32686" xr:uid="{00000000-0005-0000-0000-0000AE7F0000}"/>
    <cellStyle name="Normal 5 10 2 4 5 7" xfId="32687" xr:uid="{00000000-0005-0000-0000-0000AF7F0000}"/>
    <cellStyle name="Normal 5 10 2 4 5 8" xfId="32688" xr:uid="{00000000-0005-0000-0000-0000B07F0000}"/>
    <cellStyle name="Normal 5 10 2 4 5 9" xfId="32689" xr:uid="{00000000-0005-0000-0000-0000B17F0000}"/>
    <cellStyle name="Normal 5 10 2 4 6" xfId="32690" xr:uid="{00000000-0005-0000-0000-0000B27F0000}"/>
    <cellStyle name="Normal 5 10 2 4 7" xfId="32691" xr:uid="{00000000-0005-0000-0000-0000B37F0000}"/>
    <cellStyle name="Normal 5 10 2 4 8" xfId="32692" xr:uid="{00000000-0005-0000-0000-0000B47F0000}"/>
    <cellStyle name="Normal 5 10 2 4 9" xfId="32693" xr:uid="{00000000-0005-0000-0000-0000B57F0000}"/>
    <cellStyle name="Normal 5 10 2 40" xfId="32694" xr:uid="{00000000-0005-0000-0000-0000B67F0000}"/>
    <cellStyle name="Normal 5 10 2 41" xfId="32695" xr:uid="{00000000-0005-0000-0000-0000B77F0000}"/>
    <cellStyle name="Normal 5 10 2 42" xfId="32696" xr:uid="{00000000-0005-0000-0000-0000B87F0000}"/>
    <cellStyle name="Normal 5 10 2 43" xfId="32697" xr:uid="{00000000-0005-0000-0000-0000B97F0000}"/>
    <cellStyle name="Normal 5 10 2 44" xfId="32698" xr:uid="{00000000-0005-0000-0000-0000BA7F0000}"/>
    <cellStyle name="Normal 5 10 2 45" xfId="32699" xr:uid="{00000000-0005-0000-0000-0000BB7F0000}"/>
    <cellStyle name="Normal 5 10 2 46" xfId="32700" xr:uid="{00000000-0005-0000-0000-0000BC7F0000}"/>
    <cellStyle name="Normal 5 10 2 47" xfId="32701" xr:uid="{00000000-0005-0000-0000-0000BD7F0000}"/>
    <cellStyle name="Normal 5 10 2 48" xfId="32702" xr:uid="{00000000-0005-0000-0000-0000BE7F0000}"/>
    <cellStyle name="Normal 5 10 2 49" xfId="31299" xr:uid="{00000000-0005-0000-0000-0000437A0000}"/>
    <cellStyle name="Normal 5 10 2 5" xfId="32703" xr:uid="{00000000-0005-0000-0000-0000BF7F0000}"/>
    <cellStyle name="Normal 5 10 2 5 10" xfId="32704" xr:uid="{00000000-0005-0000-0000-0000C07F0000}"/>
    <cellStyle name="Normal 5 10 2 5 11" xfId="32705" xr:uid="{00000000-0005-0000-0000-0000C17F0000}"/>
    <cellStyle name="Normal 5 10 2 5 12" xfId="32706" xr:uid="{00000000-0005-0000-0000-0000C27F0000}"/>
    <cellStyle name="Normal 5 10 2 5 13" xfId="32707" xr:uid="{00000000-0005-0000-0000-0000C37F0000}"/>
    <cellStyle name="Normal 5 10 2 5 14" xfId="32708" xr:uid="{00000000-0005-0000-0000-0000C47F0000}"/>
    <cellStyle name="Normal 5 10 2 5 2" xfId="32709" xr:uid="{00000000-0005-0000-0000-0000C57F0000}"/>
    <cellStyle name="Normal 5 10 2 5 2 10" xfId="32710" xr:uid="{00000000-0005-0000-0000-0000C67F0000}"/>
    <cellStyle name="Normal 5 10 2 5 2 2" xfId="32711" xr:uid="{00000000-0005-0000-0000-0000C77F0000}"/>
    <cellStyle name="Normal 5 10 2 5 2 3" xfId="32712" xr:uid="{00000000-0005-0000-0000-0000C87F0000}"/>
    <cellStyle name="Normal 5 10 2 5 2 4" xfId="32713" xr:uid="{00000000-0005-0000-0000-0000C97F0000}"/>
    <cellStyle name="Normal 5 10 2 5 2 5" xfId="32714" xr:uid="{00000000-0005-0000-0000-0000CA7F0000}"/>
    <cellStyle name="Normal 5 10 2 5 2 6" xfId="32715" xr:uid="{00000000-0005-0000-0000-0000CB7F0000}"/>
    <cellStyle name="Normal 5 10 2 5 2 7" xfId="32716" xr:uid="{00000000-0005-0000-0000-0000CC7F0000}"/>
    <cellStyle name="Normal 5 10 2 5 2 8" xfId="32717" xr:uid="{00000000-0005-0000-0000-0000CD7F0000}"/>
    <cellStyle name="Normal 5 10 2 5 2 9" xfId="32718" xr:uid="{00000000-0005-0000-0000-0000CE7F0000}"/>
    <cellStyle name="Normal 5 10 2 5 3" xfId="32719" xr:uid="{00000000-0005-0000-0000-0000CF7F0000}"/>
    <cellStyle name="Normal 5 10 2 5 3 10" xfId="32720" xr:uid="{00000000-0005-0000-0000-0000D07F0000}"/>
    <cellStyle name="Normal 5 10 2 5 3 2" xfId="32721" xr:uid="{00000000-0005-0000-0000-0000D17F0000}"/>
    <cellStyle name="Normal 5 10 2 5 3 3" xfId="32722" xr:uid="{00000000-0005-0000-0000-0000D27F0000}"/>
    <cellStyle name="Normal 5 10 2 5 3 4" xfId="32723" xr:uid="{00000000-0005-0000-0000-0000D37F0000}"/>
    <cellStyle name="Normal 5 10 2 5 3 5" xfId="32724" xr:uid="{00000000-0005-0000-0000-0000D47F0000}"/>
    <cellStyle name="Normal 5 10 2 5 3 6" xfId="32725" xr:uid="{00000000-0005-0000-0000-0000D57F0000}"/>
    <cellStyle name="Normal 5 10 2 5 3 7" xfId="32726" xr:uid="{00000000-0005-0000-0000-0000D67F0000}"/>
    <cellStyle name="Normal 5 10 2 5 3 8" xfId="32727" xr:uid="{00000000-0005-0000-0000-0000D77F0000}"/>
    <cellStyle name="Normal 5 10 2 5 3 9" xfId="32728" xr:uid="{00000000-0005-0000-0000-0000D87F0000}"/>
    <cellStyle name="Normal 5 10 2 5 4" xfId="32729" xr:uid="{00000000-0005-0000-0000-0000D97F0000}"/>
    <cellStyle name="Normal 5 10 2 5 4 10" xfId="32730" xr:uid="{00000000-0005-0000-0000-0000DA7F0000}"/>
    <cellStyle name="Normal 5 10 2 5 4 2" xfId="32731" xr:uid="{00000000-0005-0000-0000-0000DB7F0000}"/>
    <cellStyle name="Normal 5 10 2 5 4 3" xfId="32732" xr:uid="{00000000-0005-0000-0000-0000DC7F0000}"/>
    <cellStyle name="Normal 5 10 2 5 4 4" xfId="32733" xr:uid="{00000000-0005-0000-0000-0000DD7F0000}"/>
    <cellStyle name="Normal 5 10 2 5 4 5" xfId="32734" xr:uid="{00000000-0005-0000-0000-0000DE7F0000}"/>
    <cellStyle name="Normal 5 10 2 5 4 6" xfId="32735" xr:uid="{00000000-0005-0000-0000-0000DF7F0000}"/>
    <cellStyle name="Normal 5 10 2 5 4 7" xfId="32736" xr:uid="{00000000-0005-0000-0000-0000E07F0000}"/>
    <cellStyle name="Normal 5 10 2 5 4 8" xfId="32737" xr:uid="{00000000-0005-0000-0000-0000E17F0000}"/>
    <cellStyle name="Normal 5 10 2 5 4 9" xfId="32738" xr:uid="{00000000-0005-0000-0000-0000E27F0000}"/>
    <cellStyle name="Normal 5 10 2 5 5" xfId="32739" xr:uid="{00000000-0005-0000-0000-0000E37F0000}"/>
    <cellStyle name="Normal 5 10 2 5 5 10" xfId="32740" xr:uid="{00000000-0005-0000-0000-0000E47F0000}"/>
    <cellStyle name="Normal 5 10 2 5 5 2" xfId="32741" xr:uid="{00000000-0005-0000-0000-0000E57F0000}"/>
    <cellStyle name="Normal 5 10 2 5 5 3" xfId="32742" xr:uid="{00000000-0005-0000-0000-0000E67F0000}"/>
    <cellStyle name="Normal 5 10 2 5 5 4" xfId="32743" xr:uid="{00000000-0005-0000-0000-0000E77F0000}"/>
    <cellStyle name="Normal 5 10 2 5 5 5" xfId="32744" xr:uid="{00000000-0005-0000-0000-0000E87F0000}"/>
    <cellStyle name="Normal 5 10 2 5 5 6" xfId="32745" xr:uid="{00000000-0005-0000-0000-0000E97F0000}"/>
    <cellStyle name="Normal 5 10 2 5 5 7" xfId="32746" xr:uid="{00000000-0005-0000-0000-0000EA7F0000}"/>
    <cellStyle name="Normal 5 10 2 5 5 8" xfId="32747" xr:uid="{00000000-0005-0000-0000-0000EB7F0000}"/>
    <cellStyle name="Normal 5 10 2 5 5 9" xfId="32748" xr:uid="{00000000-0005-0000-0000-0000EC7F0000}"/>
    <cellStyle name="Normal 5 10 2 5 6" xfId="32749" xr:uid="{00000000-0005-0000-0000-0000ED7F0000}"/>
    <cellStyle name="Normal 5 10 2 5 7" xfId="32750" xr:uid="{00000000-0005-0000-0000-0000EE7F0000}"/>
    <cellStyle name="Normal 5 10 2 5 8" xfId="32751" xr:uid="{00000000-0005-0000-0000-0000EF7F0000}"/>
    <cellStyle name="Normal 5 10 2 5 9" xfId="32752" xr:uid="{00000000-0005-0000-0000-0000F07F0000}"/>
    <cellStyle name="Normal 5 10 2 6" xfId="32753" xr:uid="{00000000-0005-0000-0000-0000F17F0000}"/>
    <cellStyle name="Normal 5 10 2 6 10" xfId="32754" xr:uid="{00000000-0005-0000-0000-0000F27F0000}"/>
    <cellStyle name="Normal 5 10 2 6 11" xfId="32755" xr:uid="{00000000-0005-0000-0000-0000F37F0000}"/>
    <cellStyle name="Normal 5 10 2 6 12" xfId="32756" xr:uid="{00000000-0005-0000-0000-0000F47F0000}"/>
    <cellStyle name="Normal 5 10 2 6 13" xfId="32757" xr:uid="{00000000-0005-0000-0000-0000F57F0000}"/>
    <cellStyle name="Normal 5 10 2 6 14" xfId="32758" xr:uid="{00000000-0005-0000-0000-0000F67F0000}"/>
    <cellStyle name="Normal 5 10 2 6 2" xfId="32759" xr:uid="{00000000-0005-0000-0000-0000F77F0000}"/>
    <cellStyle name="Normal 5 10 2 6 2 10" xfId="32760" xr:uid="{00000000-0005-0000-0000-0000F87F0000}"/>
    <cellStyle name="Normal 5 10 2 6 2 2" xfId="32761" xr:uid="{00000000-0005-0000-0000-0000F97F0000}"/>
    <cellStyle name="Normal 5 10 2 6 2 3" xfId="32762" xr:uid="{00000000-0005-0000-0000-0000FA7F0000}"/>
    <cellStyle name="Normal 5 10 2 6 2 4" xfId="32763" xr:uid="{00000000-0005-0000-0000-0000FB7F0000}"/>
    <cellStyle name="Normal 5 10 2 6 2 5" xfId="32764" xr:uid="{00000000-0005-0000-0000-0000FC7F0000}"/>
    <cellStyle name="Normal 5 10 2 6 2 6" xfId="32765" xr:uid="{00000000-0005-0000-0000-0000FD7F0000}"/>
    <cellStyle name="Normal 5 10 2 6 2 7" xfId="32766" xr:uid="{00000000-0005-0000-0000-0000FE7F0000}"/>
    <cellStyle name="Normal 5 10 2 6 2 8" xfId="32767" xr:uid="{00000000-0005-0000-0000-0000FF7F0000}"/>
    <cellStyle name="Normal 5 10 2 6 2 9" xfId="32768" xr:uid="{00000000-0005-0000-0000-000000800000}"/>
    <cellStyle name="Normal 5 10 2 6 3" xfId="32769" xr:uid="{00000000-0005-0000-0000-000001800000}"/>
    <cellStyle name="Normal 5 10 2 6 3 10" xfId="32770" xr:uid="{00000000-0005-0000-0000-000002800000}"/>
    <cellStyle name="Normal 5 10 2 6 3 2" xfId="32771" xr:uid="{00000000-0005-0000-0000-000003800000}"/>
    <cellStyle name="Normal 5 10 2 6 3 3" xfId="32772" xr:uid="{00000000-0005-0000-0000-000004800000}"/>
    <cellStyle name="Normal 5 10 2 6 3 4" xfId="32773" xr:uid="{00000000-0005-0000-0000-000005800000}"/>
    <cellStyle name="Normal 5 10 2 6 3 5" xfId="32774" xr:uid="{00000000-0005-0000-0000-000006800000}"/>
    <cellStyle name="Normal 5 10 2 6 3 6" xfId="32775" xr:uid="{00000000-0005-0000-0000-000007800000}"/>
    <cellStyle name="Normal 5 10 2 6 3 7" xfId="32776" xr:uid="{00000000-0005-0000-0000-000008800000}"/>
    <cellStyle name="Normal 5 10 2 6 3 8" xfId="32777" xr:uid="{00000000-0005-0000-0000-000009800000}"/>
    <cellStyle name="Normal 5 10 2 6 3 9" xfId="32778" xr:uid="{00000000-0005-0000-0000-00000A800000}"/>
    <cellStyle name="Normal 5 10 2 6 4" xfId="32779" xr:uid="{00000000-0005-0000-0000-00000B800000}"/>
    <cellStyle name="Normal 5 10 2 6 4 10" xfId="32780" xr:uid="{00000000-0005-0000-0000-00000C800000}"/>
    <cellStyle name="Normal 5 10 2 6 4 2" xfId="32781" xr:uid="{00000000-0005-0000-0000-00000D800000}"/>
    <cellStyle name="Normal 5 10 2 6 4 3" xfId="32782" xr:uid="{00000000-0005-0000-0000-00000E800000}"/>
    <cellStyle name="Normal 5 10 2 6 4 4" xfId="32783" xr:uid="{00000000-0005-0000-0000-00000F800000}"/>
    <cellStyle name="Normal 5 10 2 6 4 5" xfId="32784" xr:uid="{00000000-0005-0000-0000-000010800000}"/>
    <cellStyle name="Normal 5 10 2 6 4 6" xfId="32785" xr:uid="{00000000-0005-0000-0000-000011800000}"/>
    <cellStyle name="Normal 5 10 2 6 4 7" xfId="32786" xr:uid="{00000000-0005-0000-0000-000012800000}"/>
    <cellStyle name="Normal 5 10 2 6 4 8" xfId="32787" xr:uid="{00000000-0005-0000-0000-000013800000}"/>
    <cellStyle name="Normal 5 10 2 6 4 9" xfId="32788" xr:uid="{00000000-0005-0000-0000-000014800000}"/>
    <cellStyle name="Normal 5 10 2 6 5" xfId="32789" xr:uid="{00000000-0005-0000-0000-000015800000}"/>
    <cellStyle name="Normal 5 10 2 6 5 10" xfId="32790" xr:uid="{00000000-0005-0000-0000-000016800000}"/>
    <cellStyle name="Normal 5 10 2 6 5 2" xfId="32791" xr:uid="{00000000-0005-0000-0000-000017800000}"/>
    <cellStyle name="Normal 5 10 2 6 5 3" xfId="32792" xr:uid="{00000000-0005-0000-0000-000018800000}"/>
    <cellStyle name="Normal 5 10 2 6 5 4" xfId="32793" xr:uid="{00000000-0005-0000-0000-000019800000}"/>
    <cellStyle name="Normal 5 10 2 6 5 5" xfId="32794" xr:uid="{00000000-0005-0000-0000-00001A800000}"/>
    <cellStyle name="Normal 5 10 2 6 5 6" xfId="32795" xr:uid="{00000000-0005-0000-0000-00001B800000}"/>
    <cellStyle name="Normal 5 10 2 6 5 7" xfId="32796" xr:uid="{00000000-0005-0000-0000-00001C800000}"/>
    <cellStyle name="Normal 5 10 2 6 5 8" xfId="32797" xr:uid="{00000000-0005-0000-0000-00001D800000}"/>
    <cellStyle name="Normal 5 10 2 6 5 9" xfId="32798" xr:uid="{00000000-0005-0000-0000-00001E800000}"/>
    <cellStyle name="Normal 5 10 2 6 6" xfId="32799" xr:uid="{00000000-0005-0000-0000-00001F800000}"/>
    <cellStyle name="Normal 5 10 2 6 7" xfId="32800" xr:uid="{00000000-0005-0000-0000-000020800000}"/>
    <cellStyle name="Normal 5 10 2 6 8" xfId="32801" xr:uid="{00000000-0005-0000-0000-000021800000}"/>
    <cellStyle name="Normal 5 10 2 6 9" xfId="32802" xr:uid="{00000000-0005-0000-0000-000022800000}"/>
    <cellStyle name="Normal 5 10 2 7" xfId="32803" xr:uid="{00000000-0005-0000-0000-000023800000}"/>
    <cellStyle name="Normal 5 10 2 7 10" xfId="32804" xr:uid="{00000000-0005-0000-0000-000024800000}"/>
    <cellStyle name="Normal 5 10 2 7 11" xfId="32805" xr:uid="{00000000-0005-0000-0000-000025800000}"/>
    <cellStyle name="Normal 5 10 2 7 12" xfId="32806" xr:uid="{00000000-0005-0000-0000-000026800000}"/>
    <cellStyle name="Normal 5 10 2 7 13" xfId="32807" xr:uid="{00000000-0005-0000-0000-000027800000}"/>
    <cellStyle name="Normal 5 10 2 7 14" xfId="32808" xr:uid="{00000000-0005-0000-0000-000028800000}"/>
    <cellStyle name="Normal 5 10 2 7 2" xfId="32809" xr:uid="{00000000-0005-0000-0000-000029800000}"/>
    <cellStyle name="Normal 5 10 2 7 2 10" xfId="32810" xr:uid="{00000000-0005-0000-0000-00002A800000}"/>
    <cellStyle name="Normal 5 10 2 7 2 2" xfId="32811" xr:uid="{00000000-0005-0000-0000-00002B800000}"/>
    <cellStyle name="Normal 5 10 2 7 2 3" xfId="32812" xr:uid="{00000000-0005-0000-0000-00002C800000}"/>
    <cellStyle name="Normal 5 10 2 7 2 4" xfId="32813" xr:uid="{00000000-0005-0000-0000-00002D800000}"/>
    <cellStyle name="Normal 5 10 2 7 2 5" xfId="32814" xr:uid="{00000000-0005-0000-0000-00002E800000}"/>
    <cellStyle name="Normal 5 10 2 7 2 6" xfId="32815" xr:uid="{00000000-0005-0000-0000-00002F800000}"/>
    <cellStyle name="Normal 5 10 2 7 2 7" xfId="32816" xr:uid="{00000000-0005-0000-0000-000030800000}"/>
    <cellStyle name="Normal 5 10 2 7 2 8" xfId="32817" xr:uid="{00000000-0005-0000-0000-000031800000}"/>
    <cellStyle name="Normal 5 10 2 7 2 9" xfId="32818" xr:uid="{00000000-0005-0000-0000-000032800000}"/>
    <cellStyle name="Normal 5 10 2 7 3" xfId="32819" xr:uid="{00000000-0005-0000-0000-000033800000}"/>
    <cellStyle name="Normal 5 10 2 7 3 10" xfId="32820" xr:uid="{00000000-0005-0000-0000-000034800000}"/>
    <cellStyle name="Normal 5 10 2 7 3 2" xfId="32821" xr:uid="{00000000-0005-0000-0000-000035800000}"/>
    <cellStyle name="Normal 5 10 2 7 3 3" xfId="32822" xr:uid="{00000000-0005-0000-0000-000036800000}"/>
    <cellStyle name="Normal 5 10 2 7 3 4" xfId="32823" xr:uid="{00000000-0005-0000-0000-000037800000}"/>
    <cellStyle name="Normal 5 10 2 7 3 5" xfId="32824" xr:uid="{00000000-0005-0000-0000-000038800000}"/>
    <cellStyle name="Normal 5 10 2 7 3 6" xfId="32825" xr:uid="{00000000-0005-0000-0000-000039800000}"/>
    <cellStyle name="Normal 5 10 2 7 3 7" xfId="32826" xr:uid="{00000000-0005-0000-0000-00003A800000}"/>
    <cellStyle name="Normal 5 10 2 7 3 8" xfId="32827" xr:uid="{00000000-0005-0000-0000-00003B800000}"/>
    <cellStyle name="Normal 5 10 2 7 3 9" xfId="32828" xr:uid="{00000000-0005-0000-0000-00003C800000}"/>
    <cellStyle name="Normal 5 10 2 7 4" xfId="32829" xr:uid="{00000000-0005-0000-0000-00003D800000}"/>
    <cellStyle name="Normal 5 10 2 7 4 10" xfId="32830" xr:uid="{00000000-0005-0000-0000-00003E800000}"/>
    <cellStyle name="Normal 5 10 2 7 4 2" xfId="32831" xr:uid="{00000000-0005-0000-0000-00003F800000}"/>
    <cellStyle name="Normal 5 10 2 7 4 3" xfId="32832" xr:uid="{00000000-0005-0000-0000-000040800000}"/>
    <cellStyle name="Normal 5 10 2 7 4 4" xfId="32833" xr:uid="{00000000-0005-0000-0000-000041800000}"/>
    <cellStyle name="Normal 5 10 2 7 4 5" xfId="32834" xr:uid="{00000000-0005-0000-0000-000042800000}"/>
    <cellStyle name="Normal 5 10 2 7 4 6" xfId="32835" xr:uid="{00000000-0005-0000-0000-000043800000}"/>
    <cellStyle name="Normal 5 10 2 7 4 7" xfId="32836" xr:uid="{00000000-0005-0000-0000-000044800000}"/>
    <cellStyle name="Normal 5 10 2 7 4 8" xfId="32837" xr:uid="{00000000-0005-0000-0000-000045800000}"/>
    <cellStyle name="Normal 5 10 2 7 4 9" xfId="32838" xr:uid="{00000000-0005-0000-0000-000046800000}"/>
    <cellStyle name="Normal 5 10 2 7 5" xfId="32839" xr:uid="{00000000-0005-0000-0000-000047800000}"/>
    <cellStyle name="Normal 5 10 2 7 5 10" xfId="32840" xr:uid="{00000000-0005-0000-0000-000048800000}"/>
    <cellStyle name="Normal 5 10 2 7 5 2" xfId="32841" xr:uid="{00000000-0005-0000-0000-000049800000}"/>
    <cellStyle name="Normal 5 10 2 7 5 3" xfId="32842" xr:uid="{00000000-0005-0000-0000-00004A800000}"/>
    <cellStyle name="Normal 5 10 2 7 5 4" xfId="32843" xr:uid="{00000000-0005-0000-0000-00004B800000}"/>
    <cellStyle name="Normal 5 10 2 7 5 5" xfId="32844" xr:uid="{00000000-0005-0000-0000-00004C800000}"/>
    <cellStyle name="Normal 5 10 2 7 5 6" xfId="32845" xr:uid="{00000000-0005-0000-0000-00004D800000}"/>
    <cellStyle name="Normal 5 10 2 7 5 7" xfId="32846" xr:uid="{00000000-0005-0000-0000-00004E800000}"/>
    <cellStyle name="Normal 5 10 2 7 5 8" xfId="32847" xr:uid="{00000000-0005-0000-0000-00004F800000}"/>
    <cellStyle name="Normal 5 10 2 7 5 9" xfId="32848" xr:uid="{00000000-0005-0000-0000-000050800000}"/>
    <cellStyle name="Normal 5 10 2 7 6" xfId="32849" xr:uid="{00000000-0005-0000-0000-000051800000}"/>
    <cellStyle name="Normal 5 10 2 7 7" xfId="32850" xr:uid="{00000000-0005-0000-0000-000052800000}"/>
    <cellStyle name="Normal 5 10 2 7 8" xfId="32851" xr:uid="{00000000-0005-0000-0000-000053800000}"/>
    <cellStyle name="Normal 5 10 2 7 9" xfId="32852" xr:uid="{00000000-0005-0000-0000-000054800000}"/>
    <cellStyle name="Normal 5 10 2 8" xfId="32853" xr:uid="{00000000-0005-0000-0000-000055800000}"/>
    <cellStyle name="Normal 5 10 2 8 10" xfId="32854" xr:uid="{00000000-0005-0000-0000-000056800000}"/>
    <cellStyle name="Normal 5 10 2 8 11" xfId="32855" xr:uid="{00000000-0005-0000-0000-000057800000}"/>
    <cellStyle name="Normal 5 10 2 8 12" xfId="32856" xr:uid="{00000000-0005-0000-0000-000058800000}"/>
    <cellStyle name="Normal 5 10 2 8 13" xfId="32857" xr:uid="{00000000-0005-0000-0000-000059800000}"/>
    <cellStyle name="Normal 5 10 2 8 14" xfId="32858" xr:uid="{00000000-0005-0000-0000-00005A800000}"/>
    <cellStyle name="Normal 5 10 2 8 2" xfId="32859" xr:uid="{00000000-0005-0000-0000-00005B800000}"/>
    <cellStyle name="Normal 5 10 2 8 2 10" xfId="32860" xr:uid="{00000000-0005-0000-0000-00005C800000}"/>
    <cellStyle name="Normal 5 10 2 8 2 2" xfId="32861" xr:uid="{00000000-0005-0000-0000-00005D800000}"/>
    <cellStyle name="Normal 5 10 2 8 2 3" xfId="32862" xr:uid="{00000000-0005-0000-0000-00005E800000}"/>
    <cellStyle name="Normal 5 10 2 8 2 4" xfId="32863" xr:uid="{00000000-0005-0000-0000-00005F800000}"/>
    <cellStyle name="Normal 5 10 2 8 2 5" xfId="32864" xr:uid="{00000000-0005-0000-0000-000060800000}"/>
    <cellStyle name="Normal 5 10 2 8 2 6" xfId="32865" xr:uid="{00000000-0005-0000-0000-000061800000}"/>
    <cellStyle name="Normal 5 10 2 8 2 7" xfId="32866" xr:uid="{00000000-0005-0000-0000-000062800000}"/>
    <cellStyle name="Normal 5 10 2 8 2 8" xfId="32867" xr:uid="{00000000-0005-0000-0000-000063800000}"/>
    <cellStyle name="Normal 5 10 2 8 2 9" xfId="32868" xr:uid="{00000000-0005-0000-0000-000064800000}"/>
    <cellStyle name="Normal 5 10 2 8 3" xfId="32869" xr:uid="{00000000-0005-0000-0000-000065800000}"/>
    <cellStyle name="Normal 5 10 2 8 3 10" xfId="32870" xr:uid="{00000000-0005-0000-0000-000066800000}"/>
    <cellStyle name="Normal 5 10 2 8 3 2" xfId="32871" xr:uid="{00000000-0005-0000-0000-000067800000}"/>
    <cellStyle name="Normal 5 10 2 8 3 3" xfId="32872" xr:uid="{00000000-0005-0000-0000-000068800000}"/>
    <cellStyle name="Normal 5 10 2 8 3 4" xfId="32873" xr:uid="{00000000-0005-0000-0000-000069800000}"/>
    <cellStyle name="Normal 5 10 2 8 3 5" xfId="32874" xr:uid="{00000000-0005-0000-0000-00006A800000}"/>
    <cellStyle name="Normal 5 10 2 8 3 6" xfId="32875" xr:uid="{00000000-0005-0000-0000-00006B800000}"/>
    <cellStyle name="Normal 5 10 2 8 3 7" xfId="32876" xr:uid="{00000000-0005-0000-0000-00006C800000}"/>
    <cellStyle name="Normal 5 10 2 8 3 8" xfId="32877" xr:uid="{00000000-0005-0000-0000-00006D800000}"/>
    <cellStyle name="Normal 5 10 2 8 3 9" xfId="32878" xr:uid="{00000000-0005-0000-0000-00006E800000}"/>
    <cellStyle name="Normal 5 10 2 8 4" xfId="32879" xr:uid="{00000000-0005-0000-0000-00006F800000}"/>
    <cellStyle name="Normal 5 10 2 8 4 10" xfId="32880" xr:uid="{00000000-0005-0000-0000-000070800000}"/>
    <cellStyle name="Normal 5 10 2 8 4 2" xfId="32881" xr:uid="{00000000-0005-0000-0000-000071800000}"/>
    <cellStyle name="Normal 5 10 2 8 4 3" xfId="32882" xr:uid="{00000000-0005-0000-0000-000072800000}"/>
    <cellStyle name="Normal 5 10 2 8 4 4" xfId="32883" xr:uid="{00000000-0005-0000-0000-000073800000}"/>
    <cellStyle name="Normal 5 10 2 8 4 5" xfId="32884" xr:uid="{00000000-0005-0000-0000-000074800000}"/>
    <cellStyle name="Normal 5 10 2 8 4 6" xfId="32885" xr:uid="{00000000-0005-0000-0000-000075800000}"/>
    <cellStyle name="Normal 5 10 2 8 4 7" xfId="32886" xr:uid="{00000000-0005-0000-0000-000076800000}"/>
    <cellStyle name="Normal 5 10 2 8 4 8" xfId="32887" xr:uid="{00000000-0005-0000-0000-000077800000}"/>
    <cellStyle name="Normal 5 10 2 8 4 9" xfId="32888" xr:uid="{00000000-0005-0000-0000-000078800000}"/>
    <cellStyle name="Normal 5 10 2 8 5" xfId="32889" xr:uid="{00000000-0005-0000-0000-000079800000}"/>
    <cellStyle name="Normal 5 10 2 8 5 10" xfId="32890" xr:uid="{00000000-0005-0000-0000-00007A800000}"/>
    <cellStyle name="Normal 5 10 2 8 5 2" xfId="32891" xr:uid="{00000000-0005-0000-0000-00007B800000}"/>
    <cellStyle name="Normal 5 10 2 8 5 3" xfId="32892" xr:uid="{00000000-0005-0000-0000-00007C800000}"/>
    <cellStyle name="Normal 5 10 2 8 5 4" xfId="32893" xr:uid="{00000000-0005-0000-0000-00007D800000}"/>
    <cellStyle name="Normal 5 10 2 8 5 5" xfId="32894" xr:uid="{00000000-0005-0000-0000-00007E800000}"/>
    <cellStyle name="Normal 5 10 2 8 5 6" xfId="32895" xr:uid="{00000000-0005-0000-0000-00007F800000}"/>
    <cellStyle name="Normal 5 10 2 8 5 7" xfId="32896" xr:uid="{00000000-0005-0000-0000-000080800000}"/>
    <cellStyle name="Normal 5 10 2 8 5 8" xfId="32897" xr:uid="{00000000-0005-0000-0000-000081800000}"/>
    <cellStyle name="Normal 5 10 2 8 5 9" xfId="32898" xr:uid="{00000000-0005-0000-0000-000082800000}"/>
    <cellStyle name="Normal 5 10 2 8 6" xfId="32899" xr:uid="{00000000-0005-0000-0000-000083800000}"/>
    <cellStyle name="Normal 5 10 2 8 7" xfId="32900" xr:uid="{00000000-0005-0000-0000-000084800000}"/>
    <cellStyle name="Normal 5 10 2 8 8" xfId="32901" xr:uid="{00000000-0005-0000-0000-000085800000}"/>
    <cellStyle name="Normal 5 10 2 8 9" xfId="32902" xr:uid="{00000000-0005-0000-0000-000086800000}"/>
    <cellStyle name="Normal 5 10 2 9" xfId="32903" xr:uid="{00000000-0005-0000-0000-000087800000}"/>
    <cellStyle name="Normal 5 10 2 9 10" xfId="32904" xr:uid="{00000000-0005-0000-0000-000088800000}"/>
    <cellStyle name="Normal 5 10 2 9 11" xfId="32905" xr:uid="{00000000-0005-0000-0000-000089800000}"/>
    <cellStyle name="Normal 5 10 2 9 12" xfId="32906" xr:uid="{00000000-0005-0000-0000-00008A800000}"/>
    <cellStyle name="Normal 5 10 2 9 13" xfId="32907" xr:uid="{00000000-0005-0000-0000-00008B800000}"/>
    <cellStyle name="Normal 5 10 2 9 14" xfId="32908" xr:uid="{00000000-0005-0000-0000-00008C800000}"/>
    <cellStyle name="Normal 5 10 2 9 2" xfId="32909" xr:uid="{00000000-0005-0000-0000-00008D800000}"/>
    <cellStyle name="Normal 5 10 2 9 2 10" xfId="32910" xr:uid="{00000000-0005-0000-0000-00008E800000}"/>
    <cellStyle name="Normal 5 10 2 9 2 2" xfId="32911" xr:uid="{00000000-0005-0000-0000-00008F800000}"/>
    <cellStyle name="Normal 5 10 2 9 2 3" xfId="32912" xr:uid="{00000000-0005-0000-0000-000090800000}"/>
    <cellStyle name="Normal 5 10 2 9 2 4" xfId="32913" xr:uid="{00000000-0005-0000-0000-000091800000}"/>
    <cellStyle name="Normal 5 10 2 9 2 5" xfId="32914" xr:uid="{00000000-0005-0000-0000-000092800000}"/>
    <cellStyle name="Normal 5 10 2 9 2 6" xfId="32915" xr:uid="{00000000-0005-0000-0000-000093800000}"/>
    <cellStyle name="Normal 5 10 2 9 2 7" xfId="32916" xr:uid="{00000000-0005-0000-0000-000094800000}"/>
    <cellStyle name="Normal 5 10 2 9 2 8" xfId="32917" xr:uid="{00000000-0005-0000-0000-000095800000}"/>
    <cellStyle name="Normal 5 10 2 9 2 9" xfId="32918" xr:uid="{00000000-0005-0000-0000-000096800000}"/>
    <cellStyle name="Normal 5 10 2 9 3" xfId="32919" xr:uid="{00000000-0005-0000-0000-000097800000}"/>
    <cellStyle name="Normal 5 10 2 9 3 10" xfId="32920" xr:uid="{00000000-0005-0000-0000-000098800000}"/>
    <cellStyle name="Normal 5 10 2 9 3 2" xfId="32921" xr:uid="{00000000-0005-0000-0000-000099800000}"/>
    <cellStyle name="Normal 5 10 2 9 3 3" xfId="32922" xr:uid="{00000000-0005-0000-0000-00009A800000}"/>
    <cellStyle name="Normal 5 10 2 9 3 4" xfId="32923" xr:uid="{00000000-0005-0000-0000-00009B800000}"/>
    <cellStyle name="Normal 5 10 2 9 3 5" xfId="32924" xr:uid="{00000000-0005-0000-0000-00009C800000}"/>
    <cellStyle name="Normal 5 10 2 9 3 6" xfId="32925" xr:uid="{00000000-0005-0000-0000-00009D800000}"/>
    <cellStyle name="Normal 5 10 2 9 3 7" xfId="32926" xr:uid="{00000000-0005-0000-0000-00009E800000}"/>
    <cellStyle name="Normal 5 10 2 9 3 8" xfId="32927" xr:uid="{00000000-0005-0000-0000-00009F800000}"/>
    <cellStyle name="Normal 5 10 2 9 3 9" xfId="32928" xr:uid="{00000000-0005-0000-0000-0000A0800000}"/>
    <cellStyle name="Normal 5 10 2 9 4" xfId="32929" xr:uid="{00000000-0005-0000-0000-0000A1800000}"/>
    <cellStyle name="Normal 5 10 2 9 4 10" xfId="32930" xr:uid="{00000000-0005-0000-0000-0000A2800000}"/>
    <cellStyle name="Normal 5 10 2 9 4 2" xfId="32931" xr:uid="{00000000-0005-0000-0000-0000A3800000}"/>
    <cellStyle name="Normal 5 10 2 9 4 3" xfId="32932" xr:uid="{00000000-0005-0000-0000-0000A4800000}"/>
    <cellStyle name="Normal 5 10 2 9 4 4" xfId="32933" xr:uid="{00000000-0005-0000-0000-0000A5800000}"/>
    <cellStyle name="Normal 5 10 2 9 4 5" xfId="32934" xr:uid="{00000000-0005-0000-0000-0000A6800000}"/>
    <cellStyle name="Normal 5 10 2 9 4 6" xfId="32935" xr:uid="{00000000-0005-0000-0000-0000A7800000}"/>
    <cellStyle name="Normal 5 10 2 9 4 7" xfId="32936" xr:uid="{00000000-0005-0000-0000-0000A8800000}"/>
    <cellStyle name="Normal 5 10 2 9 4 8" xfId="32937" xr:uid="{00000000-0005-0000-0000-0000A9800000}"/>
    <cellStyle name="Normal 5 10 2 9 4 9" xfId="32938" xr:uid="{00000000-0005-0000-0000-0000AA800000}"/>
    <cellStyle name="Normal 5 10 2 9 5" xfId="32939" xr:uid="{00000000-0005-0000-0000-0000AB800000}"/>
    <cellStyle name="Normal 5 10 2 9 5 10" xfId="32940" xr:uid="{00000000-0005-0000-0000-0000AC800000}"/>
    <cellStyle name="Normal 5 10 2 9 5 2" xfId="32941" xr:uid="{00000000-0005-0000-0000-0000AD800000}"/>
    <cellStyle name="Normal 5 10 2 9 5 3" xfId="32942" xr:uid="{00000000-0005-0000-0000-0000AE800000}"/>
    <cellStyle name="Normal 5 10 2 9 5 4" xfId="32943" xr:uid="{00000000-0005-0000-0000-0000AF800000}"/>
    <cellStyle name="Normal 5 10 2 9 5 5" xfId="32944" xr:uid="{00000000-0005-0000-0000-0000B0800000}"/>
    <cellStyle name="Normal 5 10 2 9 5 6" xfId="32945" xr:uid="{00000000-0005-0000-0000-0000B1800000}"/>
    <cellStyle name="Normal 5 10 2 9 5 7" xfId="32946" xr:uid="{00000000-0005-0000-0000-0000B2800000}"/>
    <cellStyle name="Normal 5 10 2 9 5 8" xfId="32947" xr:uid="{00000000-0005-0000-0000-0000B3800000}"/>
    <cellStyle name="Normal 5 10 2 9 5 9" xfId="32948" xr:uid="{00000000-0005-0000-0000-0000B4800000}"/>
    <cellStyle name="Normal 5 10 2 9 6" xfId="32949" xr:uid="{00000000-0005-0000-0000-0000B5800000}"/>
    <cellStyle name="Normal 5 10 2 9 7" xfId="32950" xr:uid="{00000000-0005-0000-0000-0000B6800000}"/>
    <cellStyle name="Normal 5 10 2 9 8" xfId="32951" xr:uid="{00000000-0005-0000-0000-0000B7800000}"/>
    <cellStyle name="Normal 5 10 2 9 9" xfId="32952" xr:uid="{00000000-0005-0000-0000-0000B8800000}"/>
    <cellStyle name="Normal 5 10 20" xfId="32953" xr:uid="{00000000-0005-0000-0000-0000B9800000}"/>
    <cellStyle name="Normal 5 10 20 10" xfId="32954" xr:uid="{00000000-0005-0000-0000-0000BA800000}"/>
    <cellStyle name="Normal 5 10 20 11" xfId="32955" xr:uid="{00000000-0005-0000-0000-0000BB800000}"/>
    <cellStyle name="Normal 5 10 20 12" xfId="32956" xr:uid="{00000000-0005-0000-0000-0000BC800000}"/>
    <cellStyle name="Normal 5 10 20 13" xfId="32957" xr:uid="{00000000-0005-0000-0000-0000BD800000}"/>
    <cellStyle name="Normal 5 10 20 14" xfId="32958" xr:uid="{00000000-0005-0000-0000-0000BE800000}"/>
    <cellStyle name="Normal 5 10 20 2" xfId="32959" xr:uid="{00000000-0005-0000-0000-0000BF800000}"/>
    <cellStyle name="Normal 5 10 20 2 10" xfId="32960" xr:uid="{00000000-0005-0000-0000-0000C0800000}"/>
    <cellStyle name="Normal 5 10 20 2 2" xfId="32961" xr:uid="{00000000-0005-0000-0000-0000C1800000}"/>
    <cellStyle name="Normal 5 10 20 2 3" xfId="32962" xr:uid="{00000000-0005-0000-0000-0000C2800000}"/>
    <cellStyle name="Normal 5 10 20 2 4" xfId="32963" xr:uid="{00000000-0005-0000-0000-0000C3800000}"/>
    <cellStyle name="Normal 5 10 20 2 5" xfId="32964" xr:uid="{00000000-0005-0000-0000-0000C4800000}"/>
    <cellStyle name="Normal 5 10 20 2 6" xfId="32965" xr:uid="{00000000-0005-0000-0000-0000C5800000}"/>
    <cellStyle name="Normal 5 10 20 2 7" xfId="32966" xr:uid="{00000000-0005-0000-0000-0000C6800000}"/>
    <cellStyle name="Normal 5 10 20 2 8" xfId="32967" xr:uid="{00000000-0005-0000-0000-0000C7800000}"/>
    <cellStyle name="Normal 5 10 20 2 9" xfId="32968" xr:uid="{00000000-0005-0000-0000-0000C8800000}"/>
    <cellStyle name="Normal 5 10 20 3" xfId="32969" xr:uid="{00000000-0005-0000-0000-0000C9800000}"/>
    <cellStyle name="Normal 5 10 20 3 10" xfId="32970" xr:uid="{00000000-0005-0000-0000-0000CA800000}"/>
    <cellStyle name="Normal 5 10 20 3 2" xfId="32971" xr:uid="{00000000-0005-0000-0000-0000CB800000}"/>
    <cellStyle name="Normal 5 10 20 3 3" xfId="32972" xr:uid="{00000000-0005-0000-0000-0000CC800000}"/>
    <cellStyle name="Normal 5 10 20 3 4" xfId="32973" xr:uid="{00000000-0005-0000-0000-0000CD800000}"/>
    <cellStyle name="Normal 5 10 20 3 5" xfId="32974" xr:uid="{00000000-0005-0000-0000-0000CE800000}"/>
    <cellStyle name="Normal 5 10 20 3 6" xfId="32975" xr:uid="{00000000-0005-0000-0000-0000CF800000}"/>
    <cellStyle name="Normal 5 10 20 3 7" xfId="32976" xr:uid="{00000000-0005-0000-0000-0000D0800000}"/>
    <cellStyle name="Normal 5 10 20 3 8" xfId="32977" xr:uid="{00000000-0005-0000-0000-0000D1800000}"/>
    <cellStyle name="Normal 5 10 20 3 9" xfId="32978" xr:uid="{00000000-0005-0000-0000-0000D2800000}"/>
    <cellStyle name="Normal 5 10 20 4" xfId="32979" xr:uid="{00000000-0005-0000-0000-0000D3800000}"/>
    <cellStyle name="Normal 5 10 20 4 10" xfId="32980" xr:uid="{00000000-0005-0000-0000-0000D4800000}"/>
    <cellStyle name="Normal 5 10 20 4 2" xfId="32981" xr:uid="{00000000-0005-0000-0000-0000D5800000}"/>
    <cellStyle name="Normal 5 10 20 4 3" xfId="32982" xr:uid="{00000000-0005-0000-0000-0000D6800000}"/>
    <cellStyle name="Normal 5 10 20 4 4" xfId="32983" xr:uid="{00000000-0005-0000-0000-0000D7800000}"/>
    <cellStyle name="Normal 5 10 20 4 5" xfId="32984" xr:uid="{00000000-0005-0000-0000-0000D8800000}"/>
    <cellStyle name="Normal 5 10 20 4 6" xfId="32985" xr:uid="{00000000-0005-0000-0000-0000D9800000}"/>
    <cellStyle name="Normal 5 10 20 4 7" xfId="32986" xr:uid="{00000000-0005-0000-0000-0000DA800000}"/>
    <cellStyle name="Normal 5 10 20 4 8" xfId="32987" xr:uid="{00000000-0005-0000-0000-0000DB800000}"/>
    <cellStyle name="Normal 5 10 20 4 9" xfId="32988" xr:uid="{00000000-0005-0000-0000-0000DC800000}"/>
    <cellStyle name="Normal 5 10 20 5" xfId="32989" xr:uid="{00000000-0005-0000-0000-0000DD800000}"/>
    <cellStyle name="Normal 5 10 20 5 10" xfId="32990" xr:uid="{00000000-0005-0000-0000-0000DE800000}"/>
    <cellStyle name="Normal 5 10 20 5 2" xfId="32991" xr:uid="{00000000-0005-0000-0000-0000DF800000}"/>
    <cellStyle name="Normal 5 10 20 5 3" xfId="32992" xr:uid="{00000000-0005-0000-0000-0000E0800000}"/>
    <cellStyle name="Normal 5 10 20 5 4" xfId="32993" xr:uid="{00000000-0005-0000-0000-0000E1800000}"/>
    <cellStyle name="Normal 5 10 20 5 5" xfId="32994" xr:uid="{00000000-0005-0000-0000-0000E2800000}"/>
    <cellStyle name="Normal 5 10 20 5 6" xfId="32995" xr:uid="{00000000-0005-0000-0000-0000E3800000}"/>
    <cellStyle name="Normal 5 10 20 5 7" xfId="32996" xr:uid="{00000000-0005-0000-0000-0000E4800000}"/>
    <cellStyle name="Normal 5 10 20 5 8" xfId="32997" xr:uid="{00000000-0005-0000-0000-0000E5800000}"/>
    <cellStyle name="Normal 5 10 20 5 9" xfId="32998" xr:uid="{00000000-0005-0000-0000-0000E6800000}"/>
    <cellStyle name="Normal 5 10 20 6" xfId="32999" xr:uid="{00000000-0005-0000-0000-0000E7800000}"/>
    <cellStyle name="Normal 5 10 20 7" xfId="33000" xr:uid="{00000000-0005-0000-0000-0000E8800000}"/>
    <cellStyle name="Normal 5 10 20 8" xfId="33001" xr:uid="{00000000-0005-0000-0000-0000E9800000}"/>
    <cellStyle name="Normal 5 10 20 9" xfId="33002" xr:uid="{00000000-0005-0000-0000-0000EA800000}"/>
    <cellStyle name="Normal 5 10 21" xfId="33003" xr:uid="{00000000-0005-0000-0000-0000EB800000}"/>
    <cellStyle name="Normal 5 10 21 10" xfId="33004" xr:uid="{00000000-0005-0000-0000-0000EC800000}"/>
    <cellStyle name="Normal 5 10 21 11" xfId="33005" xr:uid="{00000000-0005-0000-0000-0000ED800000}"/>
    <cellStyle name="Normal 5 10 21 12" xfId="33006" xr:uid="{00000000-0005-0000-0000-0000EE800000}"/>
    <cellStyle name="Normal 5 10 21 13" xfId="33007" xr:uid="{00000000-0005-0000-0000-0000EF800000}"/>
    <cellStyle name="Normal 5 10 21 14" xfId="33008" xr:uid="{00000000-0005-0000-0000-0000F0800000}"/>
    <cellStyle name="Normal 5 10 21 2" xfId="33009" xr:uid="{00000000-0005-0000-0000-0000F1800000}"/>
    <cellStyle name="Normal 5 10 21 2 10" xfId="33010" xr:uid="{00000000-0005-0000-0000-0000F2800000}"/>
    <cellStyle name="Normal 5 10 21 2 2" xfId="33011" xr:uid="{00000000-0005-0000-0000-0000F3800000}"/>
    <cellStyle name="Normal 5 10 21 2 3" xfId="33012" xr:uid="{00000000-0005-0000-0000-0000F4800000}"/>
    <cellStyle name="Normal 5 10 21 2 4" xfId="33013" xr:uid="{00000000-0005-0000-0000-0000F5800000}"/>
    <cellStyle name="Normal 5 10 21 2 5" xfId="33014" xr:uid="{00000000-0005-0000-0000-0000F6800000}"/>
    <cellStyle name="Normal 5 10 21 2 6" xfId="33015" xr:uid="{00000000-0005-0000-0000-0000F7800000}"/>
    <cellStyle name="Normal 5 10 21 2 7" xfId="33016" xr:uid="{00000000-0005-0000-0000-0000F8800000}"/>
    <cellStyle name="Normal 5 10 21 2 8" xfId="33017" xr:uid="{00000000-0005-0000-0000-0000F9800000}"/>
    <cellStyle name="Normal 5 10 21 2 9" xfId="33018" xr:uid="{00000000-0005-0000-0000-0000FA800000}"/>
    <cellStyle name="Normal 5 10 21 3" xfId="33019" xr:uid="{00000000-0005-0000-0000-0000FB800000}"/>
    <cellStyle name="Normal 5 10 21 3 10" xfId="33020" xr:uid="{00000000-0005-0000-0000-0000FC800000}"/>
    <cellStyle name="Normal 5 10 21 3 2" xfId="33021" xr:uid="{00000000-0005-0000-0000-0000FD800000}"/>
    <cellStyle name="Normal 5 10 21 3 3" xfId="33022" xr:uid="{00000000-0005-0000-0000-0000FE800000}"/>
    <cellStyle name="Normal 5 10 21 3 4" xfId="33023" xr:uid="{00000000-0005-0000-0000-0000FF800000}"/>
    <cellStyle name="Normal 5 10 21 3 5" xfId="33024" xr:uid="{00000000-0005-0000-0000-000000810000}"/>
    <cellStyle name="Normal 5 10 21 3 6" xfId="33025" xr:uid="{00000000-0005-0000-0000-000001810000}"/>
    <cellStyle name="Normal 5 10 21 3 7" xfId="33026" xr:uid="{00000000-0005-0000-0000-000002810000}"/>
    <cellStyle name="Normal 5 10 21 3 8" xfId="33027" xr:uid="{00000000-0005-0000-0000-000003810000}"/>
    <cellStyle name="Normal 5 10 21 3 9" xfId="33028" xr:uid="{00000000-0005-0000-0000-000004810000}"/>
    <cellStyle name="Normal 5 10 21 4" xfId="33029" xr:uid="{00000000-0005-0000-0000-000005810000}"/>
    <cellStyle name="Normal 5 10 21 4 10" xfId="33030" xr:uid="{00000000-0005-0000-0000-000006810000}"/>
    <cellStyle name="Normal 5 10 21 4 2" xfId="33031" xr:uid="{00000000-0005-0000-0000-000007810000}"/>
    <cellStyle name="Normal 5 10 21 4 3" xfId="33032" xr:uid="{00000000-0005-0000-0000-000008810000}"/>
    <cellStyle name="Normal 5 10 21 4 4" xfId="33033" xr:uid="{00000000-0005-0000-0000-000009810000}"/>
    <cellStyle name="Normal 5 10 21 4 5" xfId="33034" xr:uid="{00000000-0005-0000-0000-00000A810000}"/>
    <cellStyle name="Normal 5 10 21 4 6" xfId="33035" xr:uid="{00000000-0005-0000-0000-00000B810000}"/>
    <cellStyle name="Normal 5 10 21 4 7" xfId="33036" xr:uid="{00000000-0005-0000-0000-00000C810000}"/>
    <cellStyle name="Normal 5 10 21 4 8" xfId="33037" xr:uid="{00000000-0005-0000-0000-00000D810000}"/>
    <cellStyle name="Normal 5 10 21 4 9" xfId="33038" xr:uid="{00000000-0005-0000-0000-00000E810000}"/>
    <cellStyle name="Normal 5 10 21 5" xfId="33039" xr:uid="{00000000-0005-0000-0000-00000F810000}"/>
    <cellStyle name="Normal 5 10 21 5 10" xfId="33040" xr:uid="{00000000-0005-0000-0000-000010810000}"/>
    <cellStyle name="Normal 5 10 21 5 2" xfId="33041" xr:uid="{00000000-0005-0000-0000-000011810000}"/>
    <cellStyle name="Normal 5 10 21 5 3" xfId="33042" xr:uid="{00000000-0005-0000-0000-000012810000}"/>
    <cellStyle name="Normal 5 10 21 5 4" xfId="33043" xr:uid="{00000000-0005-0000-0000-000013810000}"/>
    <cellStyle name="Normal 5 10 21 5 5" xfId="33044" xr:uid="{00000000-0005-0000-0000-000014810000}"/>
    <cellStyle name="Normal 5 10 21 5 6" xfId="33045" xr:uid="{00000000-0005-0000-0000-000015810000}"/>
    <cellStyle name="Normal 5 10 21 5 7" xfId="33046" xr:uid="{00000000-0005-0000-0000-000016810000}"/>
    <cellStyle name="Normal 5 10 21 5 8" xfId="33047" xr:uid="{00000000-0005-0000-0000-000017810000}"/>
    <cellStyle name="Normal 5 10 21 5 9" xfId="33048" xr:uid="{00000000-0005-0000-0000-000018810000}"/>
    <cellStyle name="Normal 5 10 21 6" xfId="33049" xr:uid="{00000000-0005-0000-0000-000019810000}"/>
    <cellStyle name="Normal 5 10 21 7" xfId="33050" xr:uid="{00000000-0005-0000-0000-00001A810000}"/>
    <cellStyle name="Normal 5 10 21 8" xfId="33051" xr:uid="{00000000-0005-0000-0000-00001B810000}"/>
    <cellStyle name="Normal 5 10 21 9" xfId="33052" xr:uid="{00000000-0005-0000-0000-00001C810000}"/>
    <cellStyle name="Normal 5 10 22" xfId="33053" xr:uid="{00000000-0005-0000-0000-00001D810000}"/>
    <cellStyle name="Normal 5 10 22 10" xfId="33054" xr:uid="{00000000-0005-0000-0000-00001E810000}"/>
    <cellStyle name="Normal 5 10 22 11" xfId="33055" xr:uid="{00000000-0005-0000-0000-00001F810000}"/>
    <cellStyle name="Normal 5 10 22 12" xfId="33056" xr:uid="{00000000-0005-0000-0000-000020810000}"/>
    <cellStyle name="Normal 5 10 22 13" xfId="33057" xr:uid="{00000000-0005-0000-0000-000021810000}"/>
    <cellStyle name="Normal 5 10 22 14" xfId="33058" xr:uid="{00000000-0005-0000-0000-000022810000}"/>
    <cellStyle name="Normal 5 10 22 2" xfId="33059" xr:uid="{00000000-0005-0000-0000-000023810000}"/>
    <cellStyle name="Normal 5 10 22 2 10" xfId="33060" xr:uid="{00000000-0005-0000-0000-000024810000}"/>
    <cellStyle name="Normal 5 10 22 2 2" xfId="33061" xr:uid="{00000000-0005-0000-0000-000025810000}"/>
    <cellStyle name="Normal 5 10 22 2 3" xfId="33062" xr:uid="{00000000-0005-0000-0000-000026810000}"/>
    <cellStyle name="Normal 5 10 22 2 4" xfId="33063" xr:uid="{00000000-0005-0000-0000-000027810000}"/>
    <cellStyle name="Normal 5 10 22 2 5" xfId="33064" xr:uid="{00000000-0005-0000-0000-000028810000}"/>
    <cellStyle name="Normal 5 10 22 2 6" xfId="33065" xr:uid="{00000000-0005-0000-0000-000029810000}"/>
    <cellStyle name="Normal 5 10 22 2 7" xfId="33066" xr:uid="{00000000-0005-0000-0000-00002A810000}"/>
    <cellStyle name="Normal 5 10 22 2 8" xfId="33067" xr:uid="{00000000-0005-0000-0000-00002B810000}"/>
    <cellStyle name="Normal 5 10 22 2 9" xfId="33068" xr:uid="{00000000-0005-0000-0000-00002C810000}"/>
    <cellStyle name="Normal 5 10 22 3" xfId="33069" xr:uid="{00000000-0005-0000-0000-00002D810000}"/>
    <cellStyle name="Normal 5 10 22 3 10" xfId="33070" xr:uid="{00000000-0005-0000-0000-00002E810000}"/>
    <cellStyle name="Normal 5 10 22 3 2" xfId="33071" xr:uid="{00000000-0005-0000-0000-00002F810000}"/>
    <cellStyle name="Normal 5 10 22 3 3" xfId="33072" xr:uid="{00000000-0005-0000-0000-000030810000}"/>
    <cellStyle name="Normal 5 10 22 3 4" xfId="33073" xr:uid="{00000000-0005-0000-0000-000031810000}"/>
    <cellStyle name="Normal 5 10 22 3 5" xfId="33074" xr:uid="{00000000-0005-0000-0000-000032810000}"/>
    <cellStyle name="Normal 5 10 22 3 6" xfId="33075" xr:uid="{00000000-0005-0000-0000-000033810000}"/>
    <cellStyle name="Normal 5 10 22 3 7" xfId="33076" xr:uid="{00000000-0005-0000-0000-000034810000}"/>
    <cellStyle name="Normal 5 10 22 3 8" xfId="33077" xr:uid="{00000000-0005-0000-0000-000035810000}"/>
    <cellStyle name="Normal 5 10 22 3 9" xfId="33078" xr:uid="{00000000-0005-0000-0000-000036810000}"/>
    <cellStyle name="Normal 5 10 22 4" xfId="33079" xr:uid="{00000000-0005-0000-0000-000037810000}"/>
    <cellStyle name="Normal 5 10 22 4 10" xfId="33080" xr:uid="{00000000-0005-0000-0000-000038810000}"/>
    <cellStyle name="Normal 5 10 22 4 2" xfId="33081" xr:uid="{00000000-0005-0000-0000-000039810000}"/>
    <cellStyle name="Normal 5 10 22 4 3" xfId="33082" xr:uid="{00000000-0005-0000-0000-00003A810000}"/>
    <cellStyle name="Normal 5 10 22 4 4" xfId="33083" xr:uid="{00000000-0005-0000-0000-00003B810000}"/>
    <cellStyle name="Normal 5 10 22 4 5" xfId="33084" xr:uid="{00000000-0005-0000-0000-00003C810000}"/>
    <cellStyle name="Normal 5 10 22 4 6" xfId="33085" xr:uid="{00000000-0005-0000-0000-00003D810000}"/>
    <cellStyle name="Normal 5 10 22 4 7" xfId="33086" xr:uid="{00000000-0005-0000-0000-00003E810000}"/>
    <cellStyle name="Normal 5 10 22 4 8" xfId="33087" xr:uid="{00000000-0005-0000-0000-00003F810000}"/>
    <cellStyle name="Normal 5 10 22 4 9" xfId="33088" xr:uid="{00000000-0005-0000-0000-000040810000}"/>
    <cellStyle name="Normal 5 10 22 5" xfId="33089" xr:uid="{00000000-0005-0000-0000-000041810000}"/>
    <cellStyle name="Normal 5 10 22 5 10" xfId="33090" xr:uid="{00000000-0005-0000-0000-000042810000}"/>
    <cellStyle name="Normal 5 10 22 5 2" xfId="33091" xr:uid="{00000000-0005-0000-0000-000043810000}"/>
    <cellStyle name="Normal 5 10 22 5 3" xfId="33092" xr:uid="{00000000-0005-0000-0000-000044810000}"/>
    <cellStyle name="Normal 5 10 22 5 4" xfId="33093" xr:uid="{00000000-0005-0000-0000-000045810000}"/>
    <cellStyle name="Normal 5 10 22 5 5" xfId="33094" xr:uid="{00000000-0005-0000-0000-000046810000}"/>
    <cellStyle name="Normal 5 10 22 5 6" xfId="33095" xr:uid="{00000000-0005-0000-0000-000047810000}"/>
    <cellStyle name="Normal 5 10 22 5 7" xfId="33096" xr:uid="{00000000-0005-0000-0000-000048810000}"/>
    <cellStyle name="Normal 5 10 22 5 8" xfId="33097" xr:uid="{00000000-0005-0000-0000-000049810000}"/>
    <cellStyle name="Normal 5 10 22 5 9" xfId="33098" xr:uid="{00000000-0005-0000-0000-00004A810000}"/>
    <cellStyle name="Normal 5 10 22 6" xfId="33099" xr:uid="{00000000-0005-0000-0000-00004B810000}"/>
    <cellStyle name="Normal 5 10 22 7" xfId="33100" xr:uid="{00000000-0005-0000-0000-00004C810000}"/>
    <cellStyle name="Normal 5 10 22 8" xfId="33101" xr:uid="{00000000-0005-0000-0000-00004D810000}"/>
    <cellStyle name="Normal 5 10 22 9" xfId="33102" xr:uid="{00000000-0005-0000-0000-00004E810000}"/>
    <cellStyle name="Normal 5 10 23" xfId="33103" xr:uid="{00000000-0005-0000-0000-00004F810000}"/>
    <cellStyle name="Normal 5 10 23 10" xfId="33104" xr:uid="{00000000-0005-0000-0000-000050810000}"/>
    <cellStyle name="Normal 5 10 23 11" xfId="33105" xr:uid="{00000000-0005-0000-0000-000051810000}"/>
    <cellStyle name="Normal 5 10 23 12" xfId="33106" xr:uid="{00000000-0005-0000-0000-000052810000}"/>
    <cellStyle name="Normal 5 10 23 13" xfId="33107" xr:uid="{00000000-0005-0000-0000-000053810000}"/>
    <cellStyle name="Normal 5 10 23 14" xfId="33108" xr:uid="{00000000-0005-0000-0000-000054810000}"/>
    <cellStyle name="Normal 5 10 23 2" xfId="33109" xr:uid="{00000000-0005-0000-0000-000055810000}"/>
    <cellStyle name="Normal 5 10 23 2 10" xfId="33110" xr:uid="{00000000-0005-0000-0000-000056810000}"/>
    <cellStyle name="Normal 5 10 23 2 2" xfId="33111" xr:uid="{00000000-0005-0000-0000-000057810000}"/>
    <cellStyle name="Normal 5 10 23 2 3" xfId="33112" xr:uid="{00000000-0005-0000-0000-000058810000}"/>
    <cellStyle name="Normal 5 10 23 2 4" xfId="33113" xr:uid="{00000000-0005-0000-0000-000059810000}"/>
    <cellStyle name="Normal 5 10 23 2 5" xfId="33114" xr:uid="{00000000-0005-0000-0000-00005A810000}"/>
    <cellStyle name="Normal 5 10 23 2 6" xfId="33115" xr:uid="{00000000-0005-0000-0000-00005B810000}"/>
    <cellStyle name="Normal 5 10 23 2 7" xfId="33116" xr:uid="{00000000-0005-0000-0000-00005C810000}"/>
    <cellStyle name="Normal 5 10 23 2 8" xfId="33117" xr:uid="{00000000-0005-0000-0000-00005D810000}"/>
    <cellStyle name="Normal 5 10 23 2 9" xfId="33118" xr:uid="{00000000-0005-0000-0000-00005E810000}"/>
    <cellStyle name="Normal 5 10 23 3" xfId="33119" xr:uid="{00000000-0005-0000-0000-00005F810000}"/>
    <cellStyle name="Normal 5 10 23 3 10" xfId="33120" xr:uid="{00000000-0005-0000-0000-000060810000}"/>
    <cellStyle name="Normal 5 10 23 3 2" xfId="33121" xr:uid="{00000000-0005-0000-0000-000061810000}"/>
    <cellStyle name="Normal 5 10 23 3 3" xfId="33122" xr:uid="{00000000-0005-0000-0000-000062810000}"/>
    <cellStyle name="Normal 5 10 23 3 4" xfId="33123" xr:uid="{00000000-0005-0000-0000-000063810000}"/>
    <cellStyle name="Normal 5 10 23 3 5" xfId="33124" xr:uid="{00000000-0005-0000-0000-000064810000}"/>
    <cellStyle name="Normal 5 10 23 3 6" xfId="33125" xr:uid="{00000000-0005-0000-0000-000065810000}"/>
    <cellStyle name="Normal 5 10 23 3 7" xfId="33126" xr:uid="{00000000-0005-0000-0000-000066810000}"/>
    <cellStyle name="Normal 5 10 23 3 8" xfId="33127" xr:uid="{00000000-0005-0000-0000-000067810000}"/>
    <cellStyle name="Normal 5 10 23 3 9" xfId="33128" xr:uid="{00000000-0005-0000-0000-000068810000}"/>
    <cellStyle name="Normal 5 10 23 4" xfId="33129" xr:uid="{00000000-0005-0000-0000-000069810000}"/>
    <cellStyle name="Normal 5 10 23 4 10" xfId="33130" xr:uid="{00000000-0005-0000-0000-00006A810000}"/>
    <cellStyle name="Normal 5 10 23 4 2" xfId="33131" xr:uid="{00000000-0005-0000-0000-00006B810000}"/>
    <cellStyle name="Normal 5 10 23 4 3" xfId="33132" xr:uid="{00000000-0005-0000-0000-00006C810000}"/>
    <cellStyle name="Normal 5 10 23 4 4" xfId="33133" xr:uid="{00000000-0005-0000-0000-00006D810000}"/>
    <cellStyle name="Normal 5 10 23 4 5" xfId="33134" xr:uid="{00000000-0005-0000-0000-00006E810000}"/>
    <cellStyle name="Normal 5 10 23 4 6" xfId="33135" xr:uid="{00000000-0005-0000-0000-00006F810000}"/>
    <cellStyle name="Normal 5 10 23 4 7" xfId="33136" xr:uid="{00000000-0005-0000-0000-000070810000}"/>
    <cellStyle name="Normal 5 10 23 4 8" xfId="33137" xr:uid="{00000000-0005-0000-0000-000071810000}"/>
    <cellStyle name="Normal 5 10 23 4 9" xfId="33138" xr:uid="{00000000-0005-0000-0000-000072810000}"/>
    <cellStyle name="Normal 5 10 23 5" xfId="33139" xr:uid="{00000000-0005-0000-0000-000073810000}"/>
    <cellStyle name="Normal 5 10 23 5 10" xfId="33140" xr:uid="{00000000-0005-0000-0000-000074810000}"/>
    <cellStyle name="Normal 5 10 23 5 2" xfId="33141" xr:uid="{00000000-0005-0000-0000-000075810000}"/>
    <cellStyle name="Normal 5 10 23 5 3" xfId="33142" xr:uid="{00000000-0005-0000-0000-000076810000}"/>
    <cellStyle name="Normal 5 10 23 5 4" xfId="33143" xr:uid="{00000000-0005-0000-0000-000077810000}"/>
    <cellStyle name="Normal 5 10 23 5 5" xfId="33144" xr:uid="{00000000-0005-0000-0000-000078810000}"/>
    <cellStyle name="Normal 5 10 23 5 6" xfId="33145" xr:uid="{00000000-0005-0000-0000-000079810000}"/>
    <cellStyle name="Normal 5 10 23 5 7" xfId="33146" xr:uid="{00000000-0005-0000-0000-00007A810000}"/>
    <cellStyle name="Normal 5 10 23 5 8" xfId="33147" xr:uid="{00000000-0005-0000-0000-00007B810000}"/>
    <cellStyle name="Normal 5 10 23 5 9" xfId="33148" xr:uid="{00000000-0005-0000-0000-00007C810000}"/>
    <cellStyle name="Normal 5 10 23 6" xfId="33149" xr:uid="{00000000-0005-0000-0000-00007D810000}"/>
    <cellStyle name="Normal 5 10 23 7" xfId="33150" xr:uid="{00000000-0005-0000-0000-00007E810000}"/>
    <cellStyle name="Normal 5 10 23 8" xfId="33151" xr:uid="{00000000-0005-0000-0000-00007F810000}"/>
    <cellStyle name="Normal 5 10 23 9" xfId="33152" xr:uid="{00000000-0005-0000-0000-000080810000}"/>
    <cellStyle name="Normal 5 10 24" xfId="33153" xr:uid="{00000000-0005-0000-0000-000081810000}"/>
    <cellStyle name="Normal 5 10 24 10" xfId="33154" xr:uid="{00000000-0005-0000-0000-000082810000}"/>
    <cellStyle name="Normal 5 10 24 11" xfId="33155" xr:uid="{00000000-0005-0000-0000-000083810000}"/>
    <cellStyle name="Normal 5 10 24 12" xfId="33156" xr:uid="{00000000-0005-0000-0000-000084810000}"/>
    <cellStyle name="Normal 5 10 24 13" xfId="33157" xr:uid="{00000000-0005-0000-0000-000085810000}"/>
    <cellStyle name="Normal 5 10 24 14" xfId="33158" xr:uid="{00000000-0005-0000-0000-000086810000}"/>
    <cellStyle name="Normal 5 10 24 2" xfId="33159" xr:uid="{00000000-0005-0000-0000-000087810000}"/>
    <cellStyle name="Normal 5 10 24 2 10" xfId="33160" xr:uid="{00000000-0005-0000-0000-000088810000}"/>
    <cellStyle name="Normal 5 10 24 2 2" xfId="33161" xr:uid="{00000000-0005-0000-0000-000089810000}"/>
    <cellStyle name="Normal 5 10 24 2 3" xfId="33162" xr:uid="{00000000-0005-0000-0000-00008A810000}"/>
    <cellStyle name="Normal 5 10 24 2 4" xfId="33163" xr:uid="{00000000-0005-0000-0000-00008B810000}"/>
    <cellStyle name="Normal 5 10 24 2 5" xfId="33164" xr:uid="{00000000-0005-0000-0000-00008C810000}"/>
    <cellStyle name="Normal 5 10 24 2 6" xfId="33165" xr:uid="{00000000-0005-0000-0000-00008D810000}"/>
    <cellStyle name="Normal 5 10 24 2 7" xfId="33166" xr:uid="{00000000-0005-0000-0000-00008E810000}"/>
    <cellStyle name="Normal 5 10 24 2 8" xfId="33167" xr:uid="{00000000-0005-0000-0000-00008F810000}"/>
    <cellStyle name="Normal 5 10 24 2 9" xfId="33168" xr:uid="{00000000-0005-0000-0000-000090810000}"/>
    <cellStyle name="Normal 5 10 24 3" xfId="33169" xr:uid="{00000000-0005-0000-0000-000091810000}"/>
    <cellStyle name="Normal 5 10 24 3 10" xfId="33170" xr:uid="{00000000-0005-0000-0000-000092810000}"/>
    <cellStyle name="Normal 5 10 24 3 2" xfId="33171" xr:uid="{00000000-0005-0000-0000-000093810000}"/>
    <cellStyle name="Normal 5 10 24 3 3" xfId="33172" xr:uid="{00000000-0005-0000-0000-000094810000}"/>
    <cellStyle name="Normal 5 10 24 3 4" xfId="33173" xr:uid="{00000000-0005-0000-0000-000095810000}"/>
    <cellStyle name="Normal 5 10 24 3 5" xfId="33174" xr:uid="{00000000-0005-0000-0000-000096810000}"/>
    <cellStyle name="Normal 5 10 24 3 6" xfId="33175" xr:uid="{00000000-0005-0000-0000-000097810000}"/>
    <cellStyle name="Normal 5 10 24 3 7" xfId="33176" xr:uid="{00000000-0005-0000-0000-000098810000}"/>
    <cellStyle name="Normal 5 10 24 3 8" xfId="33177" xr:uid="{00000000-0005-0000-0000-000099810000}"/>
    <cellStyle name="Normal 5 10 24 3 9" xfId="33178" xr:uid="{00000000-0005-0000-0000-00009A810000}"/>
    <cellStyle name="Normal 5 10 24 4" xfId="33179" xr:uid="{00000000-0005-0000-0000-00009B810000}"/>
    <cellStyle name="Normal 5 10 24 4 10" xfId="33180" xr:uid="{00000000-0005-0000-0000-00009C810000}"/>
    <cellStyle name="Normal 5 10 24 4 2" xfId="33181" xr:uid="{00000000-0005-0000-0000-00009D810000}"/>
    <cellStyle name="Normal 5 10 24 4 3" xfId="33182" xr:uid="{00000000-0005-0000-0000-00009E810000}"/>
    <cellStyle name="Normal 5 10 24 4 4" xfId="33183" xr:uid="{00000000-0005-0000-0000-00009F810000}"/>
    <cellStyle name="Normal 5 10 24 4 5" xfId="33184" xr:uid="{00000000-0005-0000-0000-0000A0810000}"/>
    <cellStyle name="Normal 5 10 24 4 6" xfId="33185" xr:uid="{00000000-0005-0000-0000-0000A1810000}"/>
    <cellStyle name="Normal 5 10 24 4 7" xfId="33186" xr:uid="{00000000-0005-0000-0000-0000A2810000}"/>
    <cellStyle name="Normal 5 10 24 4 8" xfId="33187" xr:uid="{00000000-0005-0000-0000-0000A3810000}"/>
    <cellStyle name="Normal 5 10 24 4 9" xfId="33188" xr:uid="{00000000-0005-0000-0000-0000A4810000}"/>
    <cellStyle name="Normal 5 10 24 5" xfId="33189" xr:uid="{00000000-0005-0000-0000-0000A5810000}"/>
    <cellStyle name="Normal 5 10 24 5 10" xfId="33190" xr:uid="{00000000-0005-0000-0000-0000A6810000}"/>
    <cellStyle name="Normal 5 10 24 5 2" xfId="33191" xr:uid="{00000000-0005-0000-0000-0000A7810000}"/>
    <cellStyle name="Normal 5 10 24 5 3" xfId="33192" xr:uid="{00000000-0005-0000-0000-0000A8810000}"/>
    <cellStyle name="Normal 5 10 24 5 4" xfId="33193" xr:uid="{00000000-0005-0000-0000-0000A9810000}"/>
    <cellStyle name="Normal 5 10 24 5 5" xfId="33194" xr:uid="{00000000-0005-0000-0000-0000AA810000}"/>
    <cellStyle name="Normal 5 10 24 5 6" xfId="33195" xr:uid="{00000000-0005-0000-0000-0000AB810000}"/>
    <cellStyle name="Normal 5 10 24 5 7" xfId="33196" xr:uid="{00000000-0005-0000-0000-0000AC810000}"/>
    <cellStyle name="Normal 5 10 24 5 8" xfId="33197" xr:uid="{00000000-0005-0000-0000-0000AD810000}"/>
    <cellStyle name="Normal 5 10 24 5 9" xfId="33198" xr:uid="{00000000-0005-0000-0000-0000AE810000}"/>
    <cellStyle name="Normal 5 10 24 6" xfId="33199" xr:uid="{00000000-0005-0000-0000-0000AF810000}"/>
    <cellStyle name="Normal 5 10 24 7" xfId="33200" xr:uid="{00000000-0005-0000-0000-0000B0810000}"/>
    <cellStyle name="Normal 5 10 24 8" xfId="33201" xr:uid="{00000000-0005-0000-0000-0000B1810000}"/>
    <cellStyle name="Normal 5 10 24 9" xfId="33202" xr:uid="{00000000-0005-0000-0000-0000B2810000}"/>
    <cellStyle name="Normal 5 10 25" xfId="33203" xr:uid="{00000000-0005-0000-0000-0000B3810000}"/>
    <cellStyle name="Normal 5 10 25 10" xfId="33204" xr:uid="{00000000-0005-0000-0000-0000B4810000}"/>
    <cellStyle name="Normal 5 10 25 11" xfId="33205" xr:uid="{00000000-0005-0000-0000-0000B5810000}"/>
    <cellStyle name="Normal 5 10 25 12" xfId="33206" xr:uid="{00000000-0005-0000-0000-0000B6810000}"/>
    <cellStyle name="Normal 5 10 25 13" xfId="33207" xr:uid="{00000000-0005-0000-0000-0000B7810000}"/>
    <cellStyle name="Normal 5 10 25 14" xfId="33208" xr:uid="{00000000-0005-0000-0000-0000B8810000}"/>
    <cellStyle name="Normal 5 10 25 2" xfId="33209" xr:uid="{00000000-0005-0000-0000-0000B9810000}"/>
    <cellStyle name="Normal 5 10 25 2 10" xfId="33210" xr:uid="{00000000-0005-0000-0000-0000BA810000}"/>
    <cellStyle name="Normal 5 10 25 2 2" xfId="33211" xr:uid="{00000000-0005-0000-0000-0000BB810000}"/>
    <cellStyle name="Normal 5 10 25 2 3" xfId="33212" xr:uid="{00000000-0005-0000-0000-0000BC810000}"/>
    <cellStyle name="Normal 5 10 25 2 4" xfId="33213" xr:uid="{00000000-0005-0000-0000-0000BD810000}"/>
    <cellStyle name="Normal 5 10 25 2 5" xfId="33214" xr:uid="{00000000-0005-0000-0000-0000BE810000}"/>
    <cellStyle name="Normal 5 10 25 2 6" xfId="33215" xr:uid="{00000000-0005-0000-0000-0000BF810000}"/>
    <cellStyle name="Normal 5 10 25 2 7" xfId="33216" xr:uid="{00000000-0005-0000-0000-0000C0810000}"/>
    <cellStyle name="Normal 5 10 25 2 8" xfId="33217" xr:uid="{00000000-0005-0000-0000-0000C1810000}"/>
    <cellStyle name="Normal 5 10 25 2 9" xfId="33218" xr:uid="{00000000-0005-0000-0000-0000C2810000}"/>
    <cellStyle name="Normal 5 10 25 3" xfId="33219" xr:uid="{00000000-0005-0000-0000-0000C3810000}"/>
    <cellStyle name="Normal 5 10 25 3 10" xfId="33220" xr:uid="{00000000-0005-0000-0000-0000C4810000}"/>
    <cellStyle name="Normal 5 10 25 3 2" xfId="33221" xr:uid="{00000000-0005-0000-0000-0000C5810000}"/>
    <cellStyle name="Normal 5 10 25 3 3" xfId="33222" xr:uid="{00000000-0005-0000-0000-0000C6810000}"/>
    <cellStyle name="Normal 5 10 25 3 4" xfId="33223" xr:uid="{00000000-0005-0000-0000-0000C7810000}"/>
    <cellStyle name="Normal 5 10 25 3 5" xfId="33224" xr:uid="{00000000-0005-0000-0000-0000C8810000}"/>
    <cellStyle name="Normal 5 10 25 3 6" xfId="33225" xr:uid="{00000000-0005-0000-0000-0000C9810000}"/>
    <cellStyle name="Normal 5 10 25 3 7" xfId="33226" xr:uid="{00000000-0005-0000-0000-0000CA810000}"/>
    <cellStyle name="Normal 5 10 25 3 8" xfId="33227" xr:uid="{00000000-0005-0000-0000-0000CB810000}"/>
    <cellStyle name="Normal 5 10 25 3 9" xfId="33228" xr:uid="{00000000-0005-0000-0000-0000CC810000}"/>
    <cellStyle name="Normal 5 10 25 4" xfId="33229" xr:uid="{00000000-0005-0000-0000-0000CD810000}"/>
    <cellStyle name="Normal 5 10 25 4 10" xfId="33230" xr:uid="{00000000-0005-0000-0000-0000CE810000}"/>
    <cellStyle name="Normal 5 10 25 4 2" xfId="33231" xr:uid="{00000000-0005-0000-0000-0000CF810000}"/>
    <cellStyle name="Normal 5 10 25 4 3" xfId="33232" xr:uid="{00000000-0005-0000-0000-0000D0810000}"/>
    <cellStyle name="Normal 5 10 25 4 4" xfId="33233" xr:uid="{00000000-0005-0000-0000-0000D1810000}"/>
    <cellStyle name="Normal 5 10 25 4 5" xfId="33234" xr:uid="{00000000-0005-0000-0000-0000D2810000}"/>
    <cellStyle name="Normal 5 10 25 4 6" xfId="33235" xr:uid="{00000000-0005-0000-0000-0000D3810000}"/>
    <cellStyle name="Normal 5 10 25 4 7" xfId="33236" xr:uid="{00000000-0005-0000-0000-0000D4810000}"/>
    <cellStyle name="Normal 5 10 25 4 8" xfId="33237" xr:uid="{00000000-0005-0000-0000-0000D5810000}"/>
    <cellStyle name="Normal 5 10 25 4 9" xfId="33238" xr:uid="{00000000-0005-0000-0000-0000D6810000}"/>
    <cellStyle name="Normal 5 10 25 5" xfId="33239" xr:uid="{00000000-0005-0000-0000-0000D7810000}"/>
    <cellStyle name="Normal 5 10 25 5 10" xfId="33240" xr:uid="{00000000-0005-0000-0000-0000D8810000}"/>
    <cellStyle name="Normal 5 10 25 5 2" xfId="33241" xr:uid="{00000000-0005-0000-0000-0000D9810000}"/>
    <cellStyle name="Normal 5 10 25 5 3" xfId="33242" xr:uid="{00000000-0005-0000-0000-0000DA810000}"/>
    <cellStyle name="Normal 5 10 25 5 4" xfId="33243" xr:uid="{00000000-0005-0000-0000-0000DB810000}"/>
    <cellStyle name="Normal 5 10 25 5 5" xfId="33244" xr:uid="{00000000-0005-0000-0000-0000DC810000}"/>
    <cellStyle name="Normal 5 10 25 5 6" xfId="33245" xr:uid="{00000000-0005-0000-0000-0000DD810000}"/>
    <cellStyle name="Normal 5 10 25 5 7" xfId="33246" xr:uid="{00000000-0005-0000-0000-0000DE810000}"/>
    <cellStyle name="Normal 5 10 25 5 8" xfId="33247" xr:uid="{00000000-0005-0000-0000-0000DF810000}"/>
    <cellStyle name="Normal 5 10 25 5 9" xfId="33248" xr:uid="{00000000-0005-0000-0000-0000E0810000}"/>
    <cellStyle name="Normal 5 10 25 6" xfId="33249" xr:uid="{00000000-0005-0000-0000-0000E1810000}"/>
    <cellStyle name="Normal 5 10 25 7" xfId="33250" xr:uid="{00000000-0005-0000-0000-0000E2810000}"/>
    <cellStyle name="Normal 5 10 25 8" xfId="33251" xr:uid="{00000000-0005-0000-0000-0000E3810000}"/>
    <cellStyle name="Normal 5 10 25 9" xfId="33252" xr:uid="{00000000-0005-0000-0000-0000E4810000}"/>
    <cellStyle name="Normal 5 10 26" xfId="33253" xr:uid="{00000000-0005-0000-0000-0000E5810000}"/>
    <cellStyle name="Normal 5 10 26 10" xfId="33254" xr:uid="{00000000-0005-0000-0000-0000E6810000}"/>
    <cellStyle name="Normal 5 10 26 11" xfId="33255" xr:uid="{00000000-0005-0000-0000-0000E7810000}"/>
    <cellStyle name="Normal 5 10 26 12" xfId="33256" xr:uid="{00000000-0005-0000-0000-0000E8810000}"/>
    <cellStyle name="Normal 5 10 26 13" xfId="33257" xr:uid="{00000000-0005-0000-0000-0000E9810000}"/>
    <cellStyle name="Normal 5 10 26 14" xfId="33258" xr:uid="{00000000-0005-0000-0000-0000EA810000}"/>
    <cellStyle name="Normal 5 10 26 2" xfId="33259" xr:uid="{00000000-0005-0000-0000-0000EB810000}"/>
    <cellStyle name="Normal 5 10 26 2 10" xfId="33260" xr:uid="{00000000-0005-0000-0000-0000EC810000}"/>
    <cellStyle name="Normal 5 10 26 2 2" xfId="33261" xr:uid="{00000000-0005-0000-0000-0000ED810000}"/>
    <cellStyle name="Normal 5 10 26 2 3" xfId="33262" xr:uid="{00000000-0005-0000-0000-0000EE810000}"/>
    <cellStyle name="Normal 5 10 26 2 4" xfId="33263" xr:uid="{00000000-0005-0000-0000-0000EF810000}"/>
    <cellStyle name="Normal 5 10 26 2 5" xfId="33264" xr:uid="{00000000-0005-0000-0000-0000F0810000}"/>
    <cellStyle name="Normal 5 10 26 2 6" xfId="33265" xr:uid="{00000000-0005-0000-0000-0000F1810000}"/>
    <cellStyle name="Normal 5 10 26 2 7" xfId="33266" xr:uid="{00000000-0005-0000-0000-0000F2810000}"/>
    <cellStyle name="Normal 5 10 26 2 8" xfId="33267" xr:uid="{00000000-0005-0000-0000-0000F3810000}"/>
    <cellStyle name="Normal 5 10 26 2 9" xfId="33268" xr:uid="{00000000-0005-0000-0000-0000F4810000}"/>
    <cellStyle name="Normal 5 10 26 3" xfId="33269" xr:uid="{00000000-0005-0000-0000-0000F5810000}"/>
    <cellStyle name="Normal 5 10 26 3 10" xfId="33270" xr:uid="{00000000-0005-0000-0000-0000F6810000}"/>
    <cellStyle name="Normal 5 10 26 3 2" xfId="33271" xr:uid="{00000000-0005-0000-0000-0000F7810000}"/>
    <cellStyle name="Normal 5 10 26 3 3" xfId="33272" xr:uid="{00000000-0005-0000-0000-0000F8810000}"/>
    <cellStyle name="Normal 5 10 26 3 4" xfId="33273" xr:uid="{00000000-0005-0000-0000-0000F9810000}"/>
    <cellStyle name="Normal 5 10 26 3 5" xfId="33274" xr:uid="{00000000-0005-0000-0000-0000FA810000}"/>
    <cellStyle name="Normal 5 10 26 3 6" xfId="33275" xr:uid="{00000000-0005-0000-0000-0000FB810000}"/>
    <cellStyle name="Normal 5 10 26 3 7" xfId="33276" xr:uid="{00000000-0005-0000-0000-0000FC810000}"/>
    <cellStyle name="Normal 5 10 26 3 8" xfId="33277" xr:uid="{00000000-0005-0000-0000-0000FD810000}"/>
    <cellStyle name="Normal 5 10 26 3 9" xfId="33278" xr:uid="{00000000-0005-0000-0000-0000FE810000}"/>
    <cellStyle name="Normal 5 10 26 4" xfId="33279" xr:uid="{00000000-0005-0000-0000-0000FF810000}"/>
    <cellStyle name="Normal 5 10 26 4 10" xfId="33280" xr:uid="{00000000-0005-0000-0000-000000820000}"/>
    <cellStyle name="Normal 5 10 26 4 2" xfId="33281" xr:uid="{00000000-0005-0000-0000-000001820000}"/>
    <cellStyle name="Normal 5 10 26 4 3" xfId="33282" xr:uid="{00000000-0005-0000-0000-000002820000}"/>
    <cellStyle name="Normal 5 10 26 4 4" xfId="33283" xr:uid="{00000000-0005-0000-0000-000003820000}"/>
    <cellStyle name="Normal 5 10 26 4 5" xfId="33284" xr:uid="{00000000-0005-0000-0000-000004820000}"/>
    <cellStyle name="Normal 5 10 26 4 6" xfId="33285" xr:uid="{00000000-0005-0000-0000-000005820000}"/>
    <cellStyle name="Normal 5 10 26 4 7" xfId="33286" xr:uid="{00000000-0005-0000-0000-000006820000}"/>
    <cellStyle name="Normal 5 10 26 4 8" xfId="33287" xr:uid="{00000000-0005-0000-0000-000007820000}"/>
    <cellStyle name="Normal 5 10 26 4 9" xfId="33288" xr:uid="{00000000-0005-0000-0000-000008820000}"/>
    <cellStyle name="Normal 5 10 26 5" xfId="33289" xr:uid="{00000000-0005-0000-0000-000009820000}"/>
    <cellStyle name="Normal 5 10 26 5 10" xfId="33290" xr:uid="{00000000-0005-0000-0000-00000A820000}"/>
    <cellStyle name="Normal 5 10 26 5 2" xfId="33291" xr:uid="{00000000-0005-0000-0000-00000B820000}"/>
    <cellStyle name="Normal 5 10 26 5 3" xfId="33292" xr:uid="{00000000-0005-0000-0000-00000C820000}"/>
    <cellStyle name="Normal 5 10 26 5 4" xfId="33293" xr:uid="{00000000-0005-0000-0000-00000D820000}"/>
    <cellStyle name="Normal 5 10 26 5 5" xfId="33294" xr:uid="{00000000-0005-0000-0000-00000E820000}"/>
    <cellStyle name="Normal 5 10 26 5 6" xfId="33295" xr:uid="{00000000-0005-0000-0000-00000F820000}"/>
    <cellStyle name="Normal 5 10 26 5 7" xfId="33296" xr:uid="{00000000-0005-0000-0000-000010820000}"/>
    <cellStyle name="Normal 5 10 26 5 8" xfId="33297" xr:uid="{00000000-0005-0000-0000-000011820000}"/>
    <cellStyle name="Normal 5 10 26 5 9" xfId="33298" xr:uid="{00000000-0005-0000-0000-000012820000}"/>
    <cellStyle name="Normal 5 10 26 6" xfId="33299" xr:uid="{00000000-0005-0000-0000-000013820000}"/>
    <cellStyle name="Normal 5 10 26 7" xfId="33300" xr:uid="{00000000-0005-0000-0000-000014820000}"/>
    <cellStyle name="Normal 5 10 26 8" xfId="33301" xr:uid="{00000000-0005-0000-0000-000015820000}"/>
    <cellStyle name="Normal 5 10 26 9" xfId="33302" xr:uid="{00000000-0005-0000-0000-000016820000}"/>
    <cellStyle name="Normal 5 10 27" xfId="33303" xr:uid="{00000000-0005-0000-0000-000017820000}"/>
    <cellStyle name="Normal 5 10 27 10" xfId="33304" xr:uid="{00000000-0005-0000-0000-000018820000}"/>
    <cellStyle name="Normal 5 10 27 11" xfId="33305" xr:uid="{00000000-0005-0000-0000-000019820000}"/>
    <cellStyle name="Normal 5 10 27 12" xfId="33306" xr:uid="{00000000-0005-0000-0000-00001A820000}"/>
    <cellStyle name="Normal 5 10 27 13" xfId="33307" xr:uid="{00000000-0005-0000-0000-00001B820000}"/>
    <cellStyle name="Normal 5 10 27 14" xfId="33308" xr:uid="{00000000-0005-0000-0000-00001C820000}"/>
    <cellStyle name="Normal 5 10 27 2" xfId="33309" xr:uid="{00000000-0005-0000-0000-00001D820000}"/>
    <cellStyle name="Normal 5 10 27 2 10" xfId="33310" xr:uid="{00000000-0005-0000-0000-00001E820000}"/>
    <cellStyle name="Normal 5 10 27 2 2" xfId="33311" xr:uid="{00000000-0005-0000-0000-00001F820000}"/>
    <cellStyle name="Normal 5 10 27 2 3" xfId="33312" xr:uid="{00000000-0005-0000-0000-000020820000}"/>
    <cellStyle name="Normal 5 10 27 2 4" xfId="33313" xr:uid="{00000000-0005-0000-0000-000021820000}"/>
    <cellStyle name="Normal 5 10 27 2 5" xfId="33314" xr:uid="{00000000-0005-0000-0000-000022820000}"/>
    <cellStyle name="Normal 5 10 27 2 6" xfId="33315" xr:uid="{00000000-0005-0000-0000-000023820000}"/>
    <cellStyle name="Normal 5 10 27 2 7" xfId="33316" xr:uid="{00000000-0005-0000-0000-000024820000}"/>
    <cellStyle name="Normal 5 10 27 2 8" xfId="33317" xr:uid="{00000000-0005-0000-0000-000025820000}"/>
    <cellStyle name="Normal 5 10 27 2 9" xfId="33318" xr:uid="{00000000-0005-0000-0000-000026820000}"/>
    <cellStyle name="Normal 5 10 27 3" xfId="33319" xr:uid="{00000000-0005-0000-0000-000027820000}"/>
    <cellStyle name="Normal 5 10 27 3 10" xfId="33320" xr:uid="{00000000-0005-0000-0000-000028820000}"/>
    <cellStyle name="Normal 5 10 27 3 2" xfId="33321" xr:uid="{00000000-0005-0000-0000-000029820000}"/>
    <cellStyle name="Normal 5 10 27 3 3" xfId="33322" xr:uid="{00000000-0005-0000-0000-00002A820000}"/>
    <cellStyle name="Normal 5 10 27 3 4" xfId="33323" xr:uid="{00000000-0005-0000-0000-00002B820000}"/>
    <cellStyle name="Normal 5 10 27 3 5" xfId="33324" xr:uid="{00000000-0005-0000-0000-00002C820000}"/>
    <cellStyle name="Normal 5 10 27 3 6" xfId="33325" xr:uid="{00000000-0005-0000-0000-00002D820000}"/>
    <cellStyle name="Normal 5 10 27 3 7" xfId="33326" xr:uid="{00000000-0005-0000-0000-00002E820000}"/>
    <cellStyle name="Normal 5 10 27 3 8" xfId="33327" xr:uid="{00000000-0005-0000-0000-00002F820000}"/>
    <cellStyle name="Normal 5 10 27 3 9" xfId="33328" xr:uid="{00000000-0005-0000-0000-000030820000}"/>
    <cellStyle name="Normal 5 10 27 4" xfId="33329" xr:uid="{00000000-0005-0000-0000-000031820000}"/>
    <cellStyle name="Normal 5 10 27 4 10" xfId="33330" xr:uid="{00000000-0005-0000-0000-000032820000}"/>
    <cellStyle name="Normal 5 10 27 4 2" xfId="33331" xr:uid="{00000000-0005-0000-0000-000033820000}"/>
    <cellStyle name="Normal 5 10 27 4 3" xfId="33332" xr:uid="{00000000-0005-0000-0000-000034820000}"/>
    <cellStyle name="Normal 5 10 27 4 4" xfId="33333" xr:uid="{00000000-0005-0000-0000-000035820000}"/>
    <cellStyle name="Normal 5 10 27 4 5" xfId="33334" xr:uid="{00000000-0005-0000-0000-000036820000}"/>
    <cellStyle name="Normal 5 10 27 4 6" xfId="33335" xr:uid="{00000000-0005-0000-0000-000037820000}"/>
    <cellStyle name="Normal 5 10 27 4 7" xfId="33336" xr:uid="{00000000-0005-0000-0000-000038820000}"/>
    <cellStyle name="Normal 5 10 27 4 8" xfId="33337" xr:uid="{00000000-0005-0000-0000-000039820000}"/>
    <cellStyle name="Normal 5 10 27 4 9" xfId="33338" xr:uid="{00000000-0005-0000-0000-00003A820000}"/>
    <cellStyle name="Normal 5 10 27 5" xfId="33339" xr:uid="{00000000-0005-0000-0000-00003B820000}"/>
    <cellStyle name="Normal 5 10 27 5 10" xfId="33340" xr:uid="{00000000-0005-0000-0000-00003C820000}"/>
    <cellStyle name="Normal 5 10 27 5 2" xfId="33341" xr:uid="{00000000-0005-0000-0000-00003D820000}"/>
    <cellStyle name="Normal 5 10 27 5 3" xfId="33342" xr:uid="{00000000-0005-0000-0000-00003E820000}"/>
    <cellStyle name="Normal 5 10 27 5 4" xfId="33343" xr:uid="{00000000-0005-0000-0000-00003F820000}"/>
    <cellStyle name="Normal 5 10 27 5 5" xfId="33344" xr:uid="{00000000-0005-0000-0000-000040820000}"/>
    <cellStyle name="Normal 5 10 27 5 6" xfId="33345" xr:uid="{00000000-0005-0000-0000-000041820000}"/>
    <cellStyle name="Normal 5 10 27 5 7" xfId="33346" xr:uid="{00000000-0005-0000-0000-000042820000}"/>
    <cellStyle name="Normal 5 10 27 5 8" xfId="33347" xr:uid="{00000000-0005-0000-0000-000043820000}"/>
    <cellStyle name="Normal 5 10 27 5 9" xfId="33348" xr:uid="{00000000-0005-0000-0000-000044820000}"/>
    <cellStyle name="Normal 5 10 27 6" xfId="33349" xr:uid="{00000000-0005-0000-0000-000045820000}"/>
    <cellStyle name="Normal 5 10 27 7" xfId="33350" xr:uid="{00000000-0005-0000-0000-000046820000}"/>
    <cellStyle name="Normal 5 10 27 8" xfId="33351" xr:uid="{00000000-0005-0000-0000-000047820000}"/>
    <cellStyle name="Normal 5 10 27 9" xfId="33352" xr:uid="{00000000-0005-0000-0000-000048820000}"/>
    <cellStyle name="Normal 5 10 28" xfId="33353" xr:uid="{00000000-0005-0000-0000-000049820000}"/>
    <cellStyle name="Normal 5 10 28 10" xfId="33354" xr:uid="{00000000-0005-0000-0000-00004A820000}"/>
    <cellStyle name="Normal 5 10 28 11" xfId="33355" xr:uid="{00000000-0005-0000-0000-00004B820000}"/>
    <cellStyle name="Normal 5 10 28 12" xfId="33356" xr:uid="{00000000-0005-0000-0000-00004C820000}"/>
    <cellStyle name="Normal 5 10 28 13" xfId="33357" xr:uid="{00000000-0005-0000-0000-00004D820000}"/>
    <cellStyle name="Normal 5 10 28 14" xfId="33358" xr:uid="{00000000-0005-0000-0000-00004E820000}"/>
    <cellStyle name="Normal 5 10 28 2" xfId="33359" xr:uid="{00000000-0005-0000-0000-00004F820000}"/>
    <cellStyle name="Normal 5 10 28 2 10" xfId="33360" xr:uid="{00000000-0005-0000-0000-000050820000}"/>
    <cellStyle name="Normal 5 10 28 2 2" xfId="33361" xr:uid="{00000000-0005-0000-0000-000051820000}"/>
    <cellStyle name="Normal 5 10 28 2 3" xfId="33362" xr:uid="{00000000-0005-0000-0000-000052820000}"/>
    <cellStyle name="Normal 5 10 28 2 4" xfId="33363" xr:uid="{00000000-0005-0000-0000-000053820000}"/>
    <cellStyle name="Normal 5 10 28 2 5" xfId="33364" xr:uid="{00000000-0005-0000-0000-000054820000}"/>
    <cellStyle name="Normal 5 10 28 2 6" xfId="33365" xr:uid="{00000000-0005-0000-0000-000055820000}"/>
    <cellStyle name="Normal 5 10 28 2 7" xfId="33366" xr:uid="{00000000-0005-0000-0000-000056820000}"/>
    <cellStyle name="Normal 5 10 28 2 8" xfId="33367" xr:uid="{00000000-0005-0000-0000-000057820000}"/>
    <cellStyle name="Normal 5 10 28 2 9" xfId="33368" xr:uid="{00000000-0005-0000-0000-000058820000}"/>
    <cellStyle name="Normal 5 10 28 3" xfId="33369" xr:uid="{00000000-0005-0000-0000-000059820000}"/>
    <cellStyle name="Normal 5 10 28 3 10" xfId="33370" xr:uid="{00000000-0005-0000-0000-00005A820000}"/>
    <cellStyle name="Normal 5 10 28 3 2" xfId="33371" xr:uid="{00000000-0005-0000-0000-00005B820000}"/>
    <cellStyle name="Normal 5 10 28 3 3" xfId="33372" xr:uid="{00000000-0005-0000-0000-00005C820000}"/>
    <cellStyle name="Normal 5 10 28 3 4" xfId="33373" xr:uid="{00000000-0005-0000-0000-00005D820000}"/>
    <cellStyle name="Normal 5 10 28 3 5" xfId="33374" xr:uid="{00000000-0005-0000-0000-00005E820000}"/>
    <cellStyle name="Normal 5 10 28 3 6" xfId="33375" xr:uid="{00000000-0005-0000-0000-00005F820000}"/>
    <cellStyle name="Normal 5 10 28 3 7" xfId="33376" xr:uid="{00000000-0005-0000-0000-000060820000}"/>
    <cellStyle name="Normal 5 10 28 3 8" xfId="33377" xr:uid="{00000000-0005-0000-0000-000061820000}"/>
    <cellStyle name="Normal 5 10 28 3 9" xfId="33378" xr:uid="{00000000-0005-0000-0000-000062820000}"/>
    <cellStyle name="Normal 5 10 28 4" xfId="33379" xr:uid="{00000000-0005-0000-0000-000063820000}"/>
    <cellStyle name="Normal 5 10 28 4 10" xfId="33380" xr:uid="{00000000-0005-0000-0000-000064820000}"/>
    <cellStyle name="Normal 5 10 28 4 2" xfId="33381" xr:uid="{00000000-0005-0000-0000-000065820000}"/>
    <cellStyle name="Normal 5 10 28 4 3" xfId="33382" xr:uid="{00000000-0005-0000-0000-000066820000}"/>
    <cellStyle name="Normal 5 10 28 4 4" xfId="33383" xr:uid="{00000000-0005-0000-0000-000067820000}"/>
    <cellStyle name="Normal 5 10 28 4 5" xfId="33384" xr:uid="{00000000-0005-0000-0000-000068820000}"/>
    <cellStyle name="Normal 5 10 28 4 6" xfId="33385" xr:uid="{00000000-0005-0000-0000-000069820000}"/>
    <cellStyle name="Normal 5 10 28 4 7" xfId="33386" xr:uid="{00000000-0005-0000-0000-00006A820000}"/>
    <cellStyle name="Normal 5 10 28 4 8" xfId="33387" xr:uid="{00000000-0005-0000-0000-00006B820000}"/>
    <cellStyle name="Normal 5 10 28 4 9" xfId="33388" xr:uid="{00000000-0005-0000-0000-00006C820000}"/>
    <cellStyle name="Normal 5 10 28 5" xfId="33389" xr:uid="{00000000-0005-0000-0000-00006D820000}"/>
    <cellStyle name="Normal 5 10 28 5 10" xfId="33390" xr:uid="{00000000-0005-0000-0000-00006E820000}"/>
    <cellStyle name="Normal 5 10 28 5 2" xfId="33391" xr:uid="{00000000-0005-0000-0000-00006F820000}"/>
    <cellStyle name="Normal 5 10 28 5 3" xfId="33392" xr:uid="{00000000-0005-0000-0000-000070820000}"/>
    <cellStyle name="Normal 5 10 28 5 4" xfId="33393" xr:uid="{00000000-0005-0000-0000-000071820000}"/>
    <cellStyle name="Normal 5 10 28 5 5" xfId="33394" xr:uid="{00000000-0005-0000-0000-000072820000}"/>
    <cellStyle name="Normal 5 10 28 5 6" xfId="33395" xr:uid="{00000000-0005-0000-0000-000073820000}"/>
    <cellStyle name="Normal 5 10 28 5 7" xfId="33396" xr:uid="{00000000-0005-0000-0000-000074820000}"/>
    <cellStyle name="Normal 5 10 28 5 8" xfId="33397" xr:uid="{00000000-0005-0000-0000-000075820000}"/>
    <cellStyle name="Normal 5 10 28 5 9" xfId="33398" xr:uid="{00000000-0005-0000-0000-000076820000}"/>
    <cellStyle name="Normal 5 10 28 6" xfId="33399" xr:uid="{00000000-0005-0000-0000-000077820000}"/>
    <cellStyle name="Normal 5 10 28 7" xfId="33400" xr:uid="{00000000-0005-0000-0000-000078820000}"/>
    <cellStyle name="Normal 5 10 28 8" xfId="33401" xr:uid="{00000000-0005-0000-0000-000079820000}"/>
    <cellStyle name="Normal 5 10 28 9" xfId="33402" xr:uid="{00000000-0005-0000-0000-00007A820000}"/>
    <cellStyle name="Normal 5 10 29" xfId="33403" xr:uid="{00000000-0005-0000-0000-00007B820000}"/>
    <cellStyle name="Normal 5 10 29 10" xfId="33404" xr:uid="{00000000-0005-0000-0000-00007C820000}"/>
    <cellStyle name="Normal 5 10 29 11" xfId="33405" xr:uid="{00000000-0005-0000-0000-00007D820000}"/>
    <cellStyle name="Normal 5 10 29 12" xfId="33406" xr:uid="{00000000-0005-0000-0000-00007E820000}"/>
    <cellStyle name="Normal 5 10 29 13" xfId="33407" xr:uid="{00000000-0005-0000-0000-00007F820000}"/>
    <cellStyle name="Normal 5 10 29 14" xfId="33408" xr:uid="{00000000-0005-0000-0000-000080820000}"/>
    <cellStyle name="Normal 5 10 29 2" xfId="33409" xr:uid="{00000000-0005-0000-0000-000081820000}"/>
    <cellStyle name="Normal 5 10 29 2 10" xfId="33410" xr:uid="{00000000-0005-0000-0000-000082820000}"/>
    <cellStyle name="Normal 5 10 29 2 2" xfId="33411" xr:uid="{00000000-0005-0000-0000-000083820000}"/>
    <cellStyle name="Normal 5 10 29 2 3" xfId="33412" xr:uid="{00000000-0005-0000-0000-000084820000}"/>
    <cellStyle name="Normal 5 10 29 2 4" xfId="33413" xr:uid="{00000000-0005-0000-0000-000085820000}"/>
    <cellStyle name="Normal 5 10 29 2 5" xfId="33414" xr:uid="{00000000-0005-0000-0000-000086820000}"/>
    <cellStyle name="Normal 5 10 29 2 6" xfId="33415" xr:uid="{00000000-0005-0000-0000-000087820000}"/>
    <cellStyle name="Normal 5 10 29 2 7" xfId="33416" xr:uid="{00000000-0005-0000-0000-000088820000}"/>
    <cellStyle name="Normal 5 10 29 2 8" xfId="33417" xr:uid="{00000000-0005-0000-0000-000089820000}"/>
    <cellStyle name="Normal 5 10 29 2 9" xfId="33418" xr:uid="{00000000-0005-0000-0000-00008A820000}"/>
    <cellStyle name="Normal 5 10 29 3" xfId="33419" xr:uid="{00000000-0005-0000-0000-00008B820000}"/>
    <cellStyle name="Normal 5 10 29 3 10" xfId="33420" xr:uid="{00000000-0005-0000-0000-00008C820000}"/>
    <cellStyle name="Normal 5 10 29 3 2" xfId="33421" xr:uid="{00000000-0005-0000-0000-00008D820000}"/>
    <cellStyle name="Normal 5 10 29 3 3" xfId="33422" xr:uid="{00000000-0005-0000-0000-00008E820000}"/>
    <cellStyle name="Normal 5 10 29 3 4" xfId="33423" xr:uid="{00000000-0005-0000-0000-00008F820000}"/>
    <cellStyle name="Normal 5 10 29 3 5" xfId="33424" xr:uid="{00000000-0005-0000-0000-000090820000}"/>
    <cellStyle name="Normal 5 10 29 3 6" xfId="33425" xr:uid="{00000000-0005-0000-0000-000091820000}"/>
    <cellStyle name="Normal 5 10 29 3 7" xfId="33426" xr:uid="{00000000-0005-0000-0000-000092820000}"/>
    <cellStyle name="Normal 5 10 29 3 8" xfId="33427" xr:uid="{00000000-0005-0000-0000-000093820000}"/>
    <cellStyle name="Normal 5 10 29 3 9" xfId="33428" xr:uid="{00000000-0005-0000-0000-000094820000}"/>
    <cellStyle name="Normal 5 10 29 4" xfId="33429" xr:uid="{00000000-0005-0000-0000-000095820000}"/>
    <cellStyle name="Normal 5 10 29 4 10" xfId="33430" xr:uid="{00000000-0005-0000-0000-000096820000}"/>
    <cellStyle name="Normal 5 10 29 4 2" xfId="33431" xr:uid="{00000000-0005-0000-0000-000097820000}"/>
    <cellStyle name="Normal 5 10 29 4 3" xfId="33432" xr:uid="{00000000-0005-0000-0000-000098820000}"/>
    <cellStyle name="Normal 5 10 29 4 4" xfId="33433" xr:uid="{00000000-0005-0000-0000-000099820000}"/>
    <cellStyle name="Normal 5 10 29 4 5" xfId="33434" xr:uid="{00000000-0005-0000-0000-00009A820000}"/>
    <cellStyle name="Normal 5 10 29 4 6" xfId="33435" xr:uid="{00000000-0005-0000-0000-00009B820000}"/>
    <cellStyle name="Normal 5 10 29 4 7" xfId="33436" xr:uid="{00000000-0005-0000-0000-00009C820000}"/>
    <cellStyle name="Normal 5 10 29 4 8" xfId="33437" xr:uid="{00000000-0005-0000-0000-00009D820000}"/>
    <cellStyle name="Normal 5 10 29 4 9" xfId="33438" xr:uid="{00000000-0005-0000-0000-00009E820000}"/>
    <cellStyle name="Normal 5 10 29 5" xfId="33439" xr:uid="{00000000-0005-0000-0000-00009F820000}"/>
    <cellStyle name="Normal 5 10 29 5 10" xfId="33440" xr:uid="{00000000-0005-0000-0000-0000A0820000}"/>
    <cellStyle name="Normal 5 10 29 5 2" xfId="33441" xr:uid="{00000000-0005-0000-0000-0000A1820000}"/>
    <cellStyle name="Normal 5 10 29 5 3" xfId="33442" xr:uid="{00000000-0005-0000-0000-0000A2820000}"/>
    <cellStyle name="Normal 5 10 29 5 4" xfId="33443" xr:uid="{00000000-0005-0000-0000-0000A3820000}"/>
    <cellStyle name="Normal 5 10 29 5 5" xfId="33444" xr:uid="{00000000-0005-0000-0000-0000A4820000}"/>
    <cellStyle name="Normal 5 10 29 5 6" xfId="33445" xr:uid="{00000000-0005-0000-0000-0000A5820000}"/>
    <cellStyle name="Normal 5 10 29 5 7" xfId="33446" xr:uid="{00000000-0005-0000-0000-0000A6820000}"/>
    <cellStyle name="Normal 5 10 29 5 8" xfId="33447" xr:uid="{00000000-0005-0000-0000-0000A7820000}"/>
    <cellStyle name="Normal 5 10 29 5 9" xfId="33448" xr:uid="{00000000-0005-0000-0000-0000A8820000}"/>
    <cellStyle name="Normal 5 10 29 6" xfId="33449" xr:uid="{00000000-0005-0000-0000-0000A9820000}"/>
    <cellStyle name="Normal 5 10 29 7" xfId="33450" xr:uid="{00000000-0005-0000-0000-0000AA820000}"/>
    <cellStyle name="Normal 5 10 29 8" xfId="33451" xr:uid="{00000000-0005-0000-0000-0000AB820000}"/>
    <cellStyle name="Normal 5 10 29 9" xfId="33452" xr:uid="{00000000-0005-0000-0000-0000AC820000}"/>
    <cellStyle name="Normal 5 10 3" xfId="33453" xr:uid="{00000000-0005-0000-0000-0000AD820000}"/>
    <cellStyle name="Normal 5 10 3 10" xfId="33454" xr:uid="{00000000-0005-0000-0000-0000AE820000}"/>
    <cellStyle name="Normal 5 10 3 11" xfId="33455" xr:uid="{00000000-0005-0000-0000-0000AF820000}"/>
    <cellStyle name="Normal 5 10 3 12" xfId="33456" xr:uid="{00000000-0005-0000-0000-0000B0820000}"/>
    <cellStyle name="Normal 5 10 3 13" xfId="33457" xr:uid="{00000000-0005-0000-0000-0000B1820000}"/>
    <cellStyle name="Normal 5 10 3 14" xfId="33458" xr:uid="{00000000-0005-0000-0000-0000B2820000}"/>
    <cellStyle name="Normal 5 10 3 2" xfId="33459" xr:uid="{00000000-0005-0000-0000-0000B3820000}"/>
    <cellStyle name="Normal 5 10 3 2 10" xfId="33460" xr:uid="{00000000-0005-0000-0000-0000B4820000}"/>
    <cellStyle name="Normal 5 10 3 2 2" xfId="33461" xr:uid="{00000000-0005-0000-0000-0000B5820000}"/>
    <cellStyle name="Normal 5 10 3 2 3" xfId="33462" xr:uid="{00000000-0005-0000-0000-0000B6820000}"/>
    <cellStyle name="Normal 5 10 3 2 4" xfId="33463" xr:uid="{00000000-0005-0000-0000-0000B7820000}"/>
    <cellStyle name="Normal 5 10 3 2 5" xfId="33464" xr:uid="{00000000-0005-0000-0000-0000B8820000}"/>
    <cellStyle name="Normal 5 10 3 2 6" xfId="33465" xr:uid="{00000000-0005-0000-0000-0000B9820000}"/>
    <cellStyle name="Normal 5 10 3 2 7" xfId="33466" xr:uid="{00000000-0005-0000-0000-0000BA820000}"/>
    <cellStyle name="Normal 5 10 3 2 8" xfId="33467" xr:uid="{00000000-0005-0000-0000-0000BB820000}"/>
    <cellStyle name="Normal 5 10 3 2 9" xfId="33468" xr:uid="{00000000-0005-0000-0000-0000BC820000}"/>
    <cellStyle name="Normal 5 10 3 3" xfId="33469" xr:uid="{00000000-0005-0000-0000-0000BD820000}"/>
    <cellStyle name="Normal 5 10 3 3 10" xfId="33470" xr:uid="{00000000-0005-0000-0000-0000BE820000}"/>
    <cellStyle name="Normal 5 10 3 3 2" xfId="33471" xr:uid="{00000000-0005-0000-0000-0000BF820000}"/>
    <cellStyle name="Normal 5 10 3 3 3" xfId="33472" xr:uid="{00000000-0005-0000-0000-0000C0820000}"/>
    <cellStyle name="Normal 5 10 3 3 4" xfId="33473" xr:uid="{00000000-0005-0000-0000-0000C1820000}"/>
    <cellStyle name="Normal 5 10 3 3 5" xfId="33474" xr:uid="{00000000-0005-0000-0000-0000C2820000}"/>
    <cellStyle name="Normal 5 10 3 3 6" xfId="33475" xr:uid="{00000000-0005-0000-0000-0000C3820000}"/>
    <cellStyle name="Normal 5 10 3 3 7" xfId="33476" xr:uid="{00000000-0005-0000-0000-0000C4820000}"/>
    <cellStyle name="Normal 5 10 3 3 8" xfId="33477" xr:uid="{00000000-0005-0000-0000-0000C5820000}"/>
    <cellStyle name="Normal 5 10 3 3 9" xfId="33478" xr:uid="{00000000-0005-0000-0000-0000C6820000}"/>
    <cellStyle name="Normal 5 10 3 4" xfId="33479" xr:uid="{00000000-0005-0000-0000-0000C7820000}"/>
    <cellStyle name="Normal 5 10 3 4 10" xfId="33480" xr:uid="{00000000-0005-0000-0000-0000C8820000}"/>
    <cellStyle name="Normal 5 10 3 4 2" xfId="33481" xr:uid="{00000000-0005-0000-0000-0000C9820000}"/>
    <cellStyle name="Normal 5 10 3 4 3" xfId="33482" xr:uid="{00000000-0005-0000-0000-0000CA820000}"/>
    <cellStyle name="Normal 5 10 3 4 4" xfId="33483" xr:uid="{00000000-0005-0000-0000-0000CB820000}"/>
    <cellStyle name="Normal 5 10 3 4 5" xfId="33484" xr:uid="{00000000-0005-0000-0000-0000CC820000}"/>
    <cellStyle name="Normal 5 10 3 4 6" xfId="33485" xr:uid="{00000000-0005-0000-0000-0000CD820000}"/>
    <cellStyle name="Normal 5 10 3 4 7" xfId="33486" xr:uid="{00000000-0005-0000-0000-0000CE820000}"/>
    <cellStyle name="Normal 5 10 3 4 8" xfId="33487" xr:uid="{00000000-0005-0000-0000-0000CF820000}"/>
    <cellStyle name="Normal 5 10 3 4 9" xfId="33488" xr:uid="{00000000-0005-0000-0000-0000D0820000}"/>
    <cellStyle name="Normal 5 10 3 5" xfId="33489" xr:uid="{00000000-0005-0000-0000-0000D1820000}"/>
    <cellStyle name="Normal 5 10 3 5 10" xfId="33490" xr:uid="{00000000-0005-0000-0000-0000D2820000}"/>
    <cellStyle name="Normal 5 10 3 5 2" xfId="33491" xr:uid="{00000000-0005-0000-0000-0000D3820000}"/>
    <cellStyle name="Normal 5 10 3 5 3" xfId="33492" xr:uid="{00000000-0005-0000-0000-0000D4820000}"/>
    <cellStyle name="Normal 5 10 3 5 4" xfId="33493" xr:uid="{00000000-0005-0000-0000-0000D5820000}"/>
    <cellStyle name="Normal 5 10 3 5 5" xfId="33494" xr:uid="{00000000-0005-0000-0000-0000D6820000}"/>
    <cellStyle name="Normal 5 10 3 5 6" xfId="33495" xr:uid="{00000000-0005-0000-0000-0000D7820000}"/>
    <cellStyle name="Normal 5 10 3 5 7" xfId="33496" xr:uid="{00000000-0005-0000-0000-0000D8820000}"/>
    <cellStyle name="Normal 5 10 3 5 8" xfId="33497" xr:uid="{00000000-0005-0000-0000-0000D9820000}"/>
    <cellStyle name="Normal 5 10 3 5 9" xfId="33498" xr:uid="{00000000-0005-0000-0000-0000DA820000}"/>
    <cellStyle name="Normal 5 10 3 6" xfId="33499" xr:uid="{00000000-0005-0000-0000-0000DB820000}"/>
    <cellStyle name="Normal 5 10 3 7" xfId="33500" xr:uid="{00000000-0005-0000-0000-0000DC820000}"/>
    <cellStyle name="Normal 5 10 3 8" xfId="33501" xr:uid="{00000000-0005-0000-0000-0000DD820000}"/>
    <cellStyle name="Normal 5 10 3 9" xfId="33502" xr:uid="{00000000-0005-0000-0000-0000DE820000}"/>
    <cellStyle name="Normal 5 10 30" xfId="33503" xr:uid="{00000000-0005-0000-0000-0000DF820000}"/>
    <cellStyle name="Normal 5 10 30 10" xfId="33504" xr:uid="{00000000-0005-0000-0000-0000E0820000}"/>
    <cellStyle name="Normal 5 10 30 11" xfId="33505" xr:uid="{00000000-0005-0000-0000-0000E1820000}"/>
    <cellStyle name="Normal 5 10 30 12" xfId="33506" xr:uid="{00000000-0005-0000-0000-0000E2820000}"/>
    <cellStyle name="Normal 5 10 30 13" xfId="33507" xr:uid="{00000000-0005-0000-0000-0000E3820000}"/>
    <cellStyle name="Normal 5 10 30 14" xfId="33508" xr:uid="{00000000-0005-0000-0000-0000E4820000}"/>
    <cellStyle name="Normal 5 10 30 2" xfId="33509" xr:uid="{00000000-0005-0000-0000-0000E5820000}"/>
    <cellStyle name="Normal 5 10 30 2 10" xfId="33510" xr:uid="{00000000-0005-0000-0000-0000E6820000}"/>
    <cellStyle name="Normal 5 10 30 2 2" xfId="33511" xr:uid="{00000000-0005-0000-0000-0000E7820000}"/>
    <cellStyle name="Normal 5 10 30 2 3" xfId="33512" xr:uid="{00000000-0005-0000-0000-0000E8820000}"/>
    <cellStyle name="Normal 5 10 30 2 4" xfId="33513" xr:uid="{00000000-0005-0000-0000-0000E9820000}"/>
    <cellStyle name="Normal 5 10 30 2 5" xfId="33514" xr:uid="{00000000-0005-0000-0000-0000EA820000}"/>
    <cellStyle name="Normal 5 10 30 2 6" xfId="33515" xr:uid="{00000000-0005-0000-0000-0000EB820000}"/>
    <cellStyle name="Normal 5 10 30 2 7" xfId="33516" xr:uid="{00000000-0005-0000-0000-0000EC820000}"/>
    <cellStyle name="Normal 5 10 30 2 8" xfId="33517" xr:uid="{00000000-0005-0000-0000-0000ED820000}"/>
    <cellStyle name="Normal 5 10 30 2 9" xfId="33518" xr:uid="{00000000-0005-0000-0000-0000EE820000}"/>
    <cellStyle name="Normal 5 10 30 3" xfId="33519" xr:uid="{00000000-0005-0000-0000-0000EF820000}"/>
    <cellStyle name="Normal 5 10 30 3 10" xfId="33520" xr:uid="{00000000-0005-0000-0000-0000F0820000}"/>
    <cellStyle name="Normal 5 10 30 3 2" xfId="33521" xr:uid="{00000000-0005-0000-0000-0000F1820000}"/>
    <cellStyle name="Normal 5 10 30 3 3" xfId="33522" xr:uid="{00000000-0005-0000-0000-0000F2820000}"/>
    <cellStyle name="Normal 5 10 30 3 4" xfId="33523" xr:uid="{00000000-0005-0000-0000-0000F3820000}"/>
    <cellStyle name="Normal 5 10 30 3 5" xfId="33524" xr:uid="{00000000-0005-0000-0000-0000F4820000}"/>
    <cellStyle name="Normal 5 10 30 3 6" xfId="33525" xr:uid="{00000000-0005-0000-0000-0000F5820000}"/>
    <cellStyle name="Normal 5 10 30 3 7" xfId="33526" xr:uid="{00000000-0005-0000-0000-0000F6820000}"/>
    <cellStyle name="Normal 5 10 30 3 8" xfId="33527" xr:uid="{00000000-0005-0000-0000-0000F7820000}"/>
    <cellStyle name="Normal 5 10 30 3 9" xfId="33528" xr:uid="{00000000-0005-0000-0000-0000F8820000}"/>
    <cellStyle name="Normal 5 10 30 4" xfId="33529" xr:uid="{00000000-0005-0000-0000-0000F9820000}"/>
    <cellStyle name="Normal 5 10 30 4 10" xfId="33530" xr:uid="{00000000-0005-0000-0000-0000FA820000}"/>
    <cellStyle name="Normal 5 10 30 4 2" xfId="33531" xr:uid="{00000000-0005-0000-0000-0000FB820000}"/>
    <cellStyle name="Normal 5 10 30 4 3" xfId="33532" xr:uid="{00000000-0005-0000-0000-0000FC820000}"/>
    <cellStyle name="Normal 5 10 30 4 4" xfId="33533" xr:uid="{00000000-0005-0000-0000-0000FD820000}"/>
    <cellStyle name="Normal 5 10 30 4 5" xfId="33534" xr:uid="{00000000-0005-0000-0000-0000FE820000}"/>
    <cellStyle name="Normal 5 10 30 4 6" xfId="33535" xr:uid="{00000000-0005-0000-0000-0000FF820000}"/>
    <cellStyle name="Normal 5 10 30 4 7" xfId="33536" xr:uid="{00000000-0005-0000-0000-000000830000}"/>
    <cellStyle name="Normal 5 10 30 4 8" xfId="33537" xr:uid="{00000000-0005-0000-0000-000001830000}"/>
    <cellStyle name="Normal 5 10 30 4 9" xfId="33538" xr:uid="{00000000-0005-0000-0000-000002830000}"/>
    <cellStyle name="Normal 5 10 30 5" xfId="33539" xr:uid="{00000000-0005-0000-0000-000003830000}"/>
    <cellStyle name="Normal 5 10 30 5 10" xfId="33540" xr:uid="{00000000-0005-0000-0000-000004830000}"/>
    <cellStyle name="Normal 5 10 30 5 2" xfId="33541" xr:uid="{00000000-0005-0000-0000-000005830000}"/>
    <cellStyle name="Normal 5 10 30 5 3" xfId="33542" xr:uid="{00000000-0005-0000-0000-000006830000}"/>
    <cellStyle name="Normal 5 10 30 5 4" xfId="33543" xr:uid="{00000000-0005-0000-0000-000007830000}"/>
    <cellStyle name="Normal 5 10 30 5 5" xfId="33544" xr:uid="{00000000-0005-0000-0000-000008830000}"/>
    <cellStyle name="Normal 5 10 30 5 6" xfId="33545" xr:uid="{00000000-0005-0000-0000-000009830000}"/>
    <cellStyle name="Normal 5 10 30 5 7" xfId="33546" xr:uid="{00000000-0005-0000-0000-00000A830000}"/>
    <cellStyle name="Normal 5 10 30 5 8" xfId="33547" xr:uid="{00000000-0005-0000-0000-00000B830000}"/>
    <cellStyle name="Normal 5 10 30 5 9" xfId="33548" xr:uid="{00000000-0005-0000-0000-00000C830000}"/>
    <cellStyle name="Normal 5 10 30 6" xfId="33549" xr:uid="{00000000-0005-0000-0000-00000D830000}"/>
    <cellStyle name="Normal 5 10 30 7" xfId="33550" xr:uid="{00000000-0005-0000-0000-00000E830000}"/>
    <cellStyle name="Normal 5 10 30 8" xfId="33551" xr:uid="{00000000-0005-0000-0000-00000F830000}"/>
    <cellStyle name="Normal 5 10 30 9" xfId="33552" xr:uid="{00000000-0005-0000-0000-000010830000}"/>
    <cellStyle name="Normal 5 10 31" xfId="33553" xr:uid="{00000000-0005-0000-0000-000011830000}"/>
    <cellStyle name="Normal 5 10 31 10" xfId="33554" xr:uid="{00000000-0005-0000-0000-000012830000}"/>
    <cellStyle name="Normal 5 10 31 11" xfId="33555" xr:uid="{00000000-0005-0000-0000-000013830000}"/>
    <cellStyle name="Normal 5 10 31 12" xfId="33556" xr:uid="{00000000-0005-0000-0000-000014830000}"/>
    <cellStyle name="Normal 5 10 31 13" xfId="33557" xr:uid="{00000000-0005-0000-0000-000015830000}"/>
    <cellStyle name="Normal 5 10 31 14" xfId="33558" xr:uid="{00000000-0005-0000-0000-000016830000}"/>
    <cellStyle name="Normal 5 10 31 2" xfId="33559" xr:uid="{00000000-0005-0000-0000-000017830000}"/>
    <cellStyle name="Normal 5 10 31 2 10" xfId="33560" xr:uid="{00000000-0005-0000-0000-000018830000}"/>
    <cellStyle name="Normal 5 10 31 2 2" xfId="33561" xr:uid="{00000000-0005-0000-0000-000019830000}"/>
    <cellStyle name="Normal 5 10 31 2 3" xfId="33562" xr:uid="{00000000-0005-0000-0000-00001A830000}"/>
    <cellStyle name="Normal 5 10 31 2 4" xfId="33563" xr:uid="{00000000-0005-0000-0000-00001B830000}"/>
    <cellStyle name="Normal 5 10 31 2 5" xfId="33564" xr:uid="{00000000-0005-0000-0000-00001C830000}"/>
    <cellStyle name="Normal 5 10 31 2 6" xfId="33565" xr:uid="{00000000-0005-0000-0000-00001D830000}"/>
    <cellStyle name="Normal 5 10 31 2 7" xfId="33566" xr:uid="{00000000-0005-0000-0000-00001E830000}"/>
    <cellStyle name="Normal 5 10 31 2 8" xfId="33567" xr:uid="{00000000-0005-0000-0000-00001F830000}"/>
    <cellStyle name="Normal 5 10 31 2 9" xfId="33568" xr:uid="{00000000-0005-0000-0000-000020830000}"/>
    <cellStyle name="Normal 5 10 31 3" xfId="33569" xr:uid="{00000000-0005-0000-0000-000021830000}"/>
    <cellStyle name="Normal 5 10 31 3 10" xfId="33570" xr:uid="{00000000-0005-0000-0000-000022830000}"/>
    <cellStyle name="Normal 5 10 31 3 2" xfId="33571" xr:uid="{00000000-0005-0000-0000-000023830000}"/>
    <cellStyle name="Normal 5 10 31 3 3" xfId="33572" xr:uid="{00000000-0005-0000-0000-000024830000}"/>
    <cellStyle name="Normal 5 10 31 3 4" xfId="33573" xr:uid="{00000000-0005-0000-0000-000025830000}"/>
    <cellStyle name="Normal 5 10 31 3 5" xfId="33574" xr:uid="{00000000-0005-0000-0000-000026830000}"/>
    <cellStyle name="Normal 5 10 31 3 6" xfId="33575" xr:uid="{00000000-0005-0000-0000-000027830000}"/>
    <cellStyle name="Normal 5 10 31 3 7" xfId="33576" xr:uid="{00000000-0005-0000-0000-000028830000}"/>
    <cellStyle name="Normal 5 10 31 3 8" xfId="33577" xr:uid="{00000000-0005-0000-0000-000029830000}"/>
    <cellStyle name="Normal 5 10 31 3 9" xfId="33578" xr:uid="{00000000-0005-0000-0000-00002A830000}"/>
    <cellStyle name="Normal 5 10 31 4" xfId="33579" xr:uid="{00000000-0005-0000-0000-00002B830000}"/>
    <cellStyle name="Normal 5 10 31 4 10" xfId="33580" xr:uid="{00000000-0005-0000-0000-00002C830000}"/>
    <cellStyle name="Normal 5 10 31 4 2" xfId="33581" xr:uid="{00000000-0005-0000-0000-00002D830000}"/>
    <cellStyle name="Normal 5 10 31 4 3" xfId="33582" xr:uid="{00000000-0005-0000-0000-00002E830000}"/>
    <cellStyle name="Normal 5 10 31 4 4" xfId="33583" xr:uid="{00000000-0005-0000-0000-00002F830000}"/>
    <cellStyle name="Normal 5 10 31 4 5" xfId="33584" xr:uid="{00000000-0005-0000-0000-000030830000}"/>
    <cellStyle name="Normal 5 10 31 4 6" xfId="33585" xr:uid="{00000000-0005-0000-0000-000031830000}"/>
    <cellStyle name="Normal 5 10 31 4 7" xfId="33586" xr:uid="{00000000-0005-0000-0000-000032830000}"/>
    <cellStyle name="Normal 5 10 31 4 8" xfId="33587" xr:uid="{00000000-0005-0000-0000-000033830000}"/>
    <cellStyle name="Normal 5 10 31 4 9" xfId="33588" xr:uid="{00000000-0005-0000-0000-000034830000}"/>
    <cellStyle name="Normal 5 10 31 5" xfId="33589" xr:uid="{00000000-0005-0000-0000-000035830000}"/>
    <cellStyle name="Normal 5 10 31 5 10" xfId="33590" xr:uid="{00000000-0005-0000-0000-000036830000}"/>
    <cellStyle name="Normal 5 10 31 5 2" xfId="33591" xr:uid="{00000000-0005-0000-0000-000037830000}"/>
    <cellStyle name="Normal 5 10 31 5 3" xfId="33592" xr:uid="{00000000-0005-0000-0000-000038830000}"/>
    <cellStyle name="Normal 5 10 31 5 4" xfId="33593" xr:uid="{00000000-0005-0000-0000-000039830000}"/>
    <cellStyle name="Normal 5 10 31 5 5" xfId="33594" xr:uid="{00000000-0005-0000-0000-00003A830000}"/>
    <cellStyle name="Normal 5 10 31 5 6" xfId="33595" xr:uid="{00000000-0005-0000-0000-00003B830000}"/>
    <cellStyle name="Normal 5 10 31 5 7" xfId="33596" xr:uid="{00000000-0005-0000-0000-00003C830000}"/>
    <cellStyle name="Normal 5 10 31 5 8" xfId="33597" xr:uid="{00000000-0005-0000-0000-00003D830000}"/>
    <cellStyle name="Normal 5 10 31 5 9" xfId="33598" xr:uid="{00000000-0005-0000-0000-00003E830000}"/>
    <cellStyle name="Normal 5 10 31 6" xfId="33599" xr:uid="{00000000-0005-0000-0000-00003F830000}"/>
    <cellStyle name="Normal 5 10 31 7" xfId="33600" xr:uid="{00000000-0005-0000-0000-000040830000}"/>
    <cellStyle name="Normal 5 10 31 8" xfId="33601" xr:uid="{00000000-0005-0000-0000-000041830000}"/>
    <cellStyle name="Normal 5 10 31 9" xfId="33602" xr:uid="{00000000-0005-0000-0000-000042830000}"/>
    <cellStyle name="Normal 5 10 32" xfId="33603" xr:uid="{00000000-0005-0000-0000-000043830000}"/>
    <cellStyle name="Normal 5 10 32 10" xfId="33604" xr:uid="{00000000-0005-0000-0000-000044830000}"/>
    <cellStyle name="Normal 5 10 32 11" xfId="33605" xr:uid="{00000000-0005-0000-0000-000045830000}"/>
    <cellStyle name="Normal 5 10 32 12" xfId="33606" xr:uid="{00000000-0005-0000-0000-000046830000}"/>
    <cellStyle name="Normal 5 10 32 13" xfId="33607" xr:uid="{00000000-0005-0000-0000-000047830000}"/>
    <cellStyle name="Normal 5 10 32 14" xfId="33608" xr:uid="{00000000-0005-0000-0000-000048830000}"/>
    <cellStyle name="Normal 5 10 32 2" xfId="33609" xr:uid="{00000000-0005-0000-0000-000049830000}"/>
    <cellStyle name="Normal 5 10 32 2 10" xfId="33610" xr:uid="{00000000-0005-0000-0000-00004A830000}"/>
    <cellStyle name="Normal 5 10 32 2 2" xfId="33611" xr:uid="{00000000-0005-0000-0000-00004B830000}"/>
    <cellStyle name="Normal 5 10 32 2 3" xfId="33612" xr:uid="{00000000-0005-0000-0000-00004C830000}"/>
    <cellStyle name="Normal 5 10 32 2 4" xfId="33613" xr:uid="{00000000-0005-0000-0000-00004D830000}"/>
    <cellStyle name="Normal 5 10 32 2 5" xfId="33614" xr:uid="{00000000-0005-0000-0000-00004E830000}"/>
    <cellStyle name="Normal 5 10 32 2 6" xfId="33615" xr:uid="{00000000-0005-0000-0000-00004F830000}"/>
    <cellStyle name="Normal 5 10 32 2 7" xfId="33616" xr:uid="{00000000-0005-0000-0000-000050830000}"/>
    <cellStyle name="Normal 5 10 32 2 8" xfId="33617" xr:uid="{00000000-0005-0000-0000-000051830000}"/>
    <cellStyle name="Normal 5 10 32 2 9" xfId="33618" xr:uid="{00000000-0005-0000-0000-000052830000}"/>
    <cellStyle name="Normal 5 10 32 3" xfId="33619" xr:uid="{00000000-0005-0000-0000-000053830000}"/>
    <cellStyle name="Normal 5 10 32 3 10" xfId="33620" xr:uid="{00000000-0005-0000-0000-000054830000}"/>
    <cellStyle name="Normal 5 10 32 3 2" xfId="33621" xr:uid="{00000000-0005-0000-0000-000055830000}"/>
    <cellStyle name="Normal 5 10 32 3 3" xfId="33622" xr:uid="{00000000-0005-0000-0000-000056830000}"/>
    <cellStyle name="Normal 5 10 32 3 4" xfId="33623" xr:uid="{00000000-0005-0000-0000-000057830000}"/>
    <cellStyle name="Normal 5 10 32 3 5" xfId="33624" xr:uid="{00000000-0005-0000-0000-000058830000}"/>
    <cellStyle name="Normal 5 10 32 3 6" xfId="33625" xr:uid="{00000000-0005-0000-0000-000059830000}"/>
    <cellStyle name="Normal 5 10 32 3 7" xfId="33626" xr:uid="{00000000-0005-0000-0000-00005A830000}"/>
    <cellStyle name="Normal 5 10 32 3 8" xfId="33627" xr:uid="{00000000-0005-0000-0000-00005B830000}"/>
    <cellStyle name="Normal 5 10 32 3 9" xfId="33628" xr:uid="{00000000-0005-0000-0000-00005C830000}"/>
    <cellStyle name="Normal 5 10 32 4" xfId="33629" xr:uid="{00000000-0005-0000-0000-00005D830000}"/>
    <cellStyle name="Normal 5 10 32 4 10" xfId="33630" xr:uid="{00000000-0005-0000-0000-00005E830000}"/>
    <cellStyle name="Normal 5 10 32 4 2" xfId="33631" xr:uid="{00000000-0005-0000-0000-00005F830000}"/>
    <cellStyle name="Normal 5 10 32 4 3" xfId="33632" xr:uid="{00000000-0005-0000-0000-000060830000}"/>
    <cellStyle name="Normal 5 10 32 4 4" xfId="33633" xr:uid="{00000000-0005-0000-0000-000061830000}"/>
    <cellStyle name="Normal 5 10 32 4 5" xfId="33634" xr:uid="{00000000-0005-0000-0000-000062830000}"/>
    <cellStyle name="Normal 5 10 32 4 6" xfId="33635" xr:uid="{00000000-0005-0000-0000-000063830000}"/>
    <cellStyle name="Normal 5 10 32 4 7" xfId="33636" xr:uid="{00000000-0005-0000-0000-000064830000}"/>
    <cellStyle name="Normal 5 10 32 4 8" xfId="33637" xr:uid="{00000000-0005-0000-0000-000065830000}"/>
    <cellStyle name="Normal 5 10 32 4 9" xfId="33638" xr:uid="{00000000-0005-0000-0000-000066830000}"/>
    <cellStyle name="Normal 5 10 32 5" xfId="33639" xr:uid="{00000000-0005-0000-0000-000067830000}"/>
    <cellStyle name="Normal 5 10 32 5 10" xfId="33640" xr:uid="{00000000-0005-0000-0000-000068830000}"/>
    <cellStyle name="Normal 5 10 32 5 2" xfId="33641" xr:uid="{00000000-0005-0000-0000-000069830000}"/>
    <cellStyle name="Normal 5 10 32 5 3" xfId="33642" xr:uid="{00000000-0005-0000-0000-00006A830000}"/>
    <cellStyle name="Normal 5 10 32 5 4" xfId="33643" xr:uid="{00000000-0005-0000-0000-00006B830000}"/>
    <cellStyle name="Normal 5 10 32 5 5" xfId="33644" xr:uid="{00000000-0005-0000-0000-00006C830000}"/>
    <cellStyle name="Normal 5 10 32 5 6" xfId="33645" xr:uid="{00000000-0005-0000-0000-00006D830000}"/>
    <cellStyle name="Normal 5 10 32 5 7" xfId="33646" xr:uid="{00000000-0005-0000-0000-00006E830000}"/>
    <cellStyle name="Normal 5 10 32 5 8" xfId="33647" xr:uid="{00000000-0005-0000-0000-00006F830000}"/>
    <cellStyle name="Normal 5 10 32 5 9" xfId="33648" xr:uid="{00000000-0005-0000-0000-000070830000}"/>
    <cellStyle name="Normal 5 10 32 6" xfId="33649" xr:uid="{00000000-0005-0000-0000-000071830000}"/>
    <cellStyle name="Normal 5 10 32 7" xfId="33650" xr:uid="{00000000-0005-0000-0000-000072830000}"/>
    <cellStyle name="Normal 5 10 32 8" xfId="33651" xr:uid="{00000000-0005-0000-0000-000073830000}"/>
    <cellStyle name="Normal 5 10 32 9" xfId="33652" xr:uid="{00000000-0005-0000-0000-000074830000}"/>
    <cellStyle name="Normal 5 10 33" xfId="33653" xr:uid="{00000000-0005-0000-0000-000075830000}"/>
    <cellStyle name="Normal 5 10 33 10" xfId="33654" xr:uid="{00000000-0005-0000-0000-000076830000}"/>
    <cellStyle name="Normal 5 10 33 11" xfId="33655" xr:uid="{00000000-0005-0000-0000-000077830000}"/>
    <cellStyle name="Normal 5 10 33 12" xfId="33656" xr:uid="{00000000-0005-0000-0000-000078830000}"/>
    <cellStyle name="Normal 5 10 33 13" xfId="33657" xr:uid="{00000000-0005-0000-0000-000079830000}"/>
    <cellStyle name="Normal 5 10 33 14" xfId="33658" xr:uid="{00000000-0005-0000-0000-00007A830000}"/>
    <cellStyle name="Normal 5 10 33 2" xfId="33659" xr:uid="{00000000-0005-0000-0000-00007B830000}"/>
    <cellStyle name="Normal 5 10 33 2 10" xfId="33660" xr:uid="{00000000-0005-0000-0000-00007C830000}"/>
    <cellStyle name="Normal 5 10 33 2 2" xfId="33661" xr:uid="{00000000-0005-0000-0000-00007D830000}"/>
    <cellStyle name="Normal 5 10 33 2 3" xfId="33662" xr:uid="{00000000-0005-0000-0000-00007E830000}"/>
    <cellStyle name="Normal 5 10 33 2 4" xfId="33663" xr:uid="{00000000-0005-0000-0000-00007F830000}"/>
    <cellStyle name="Normal 5 10 33 2 5" xfId="33664" xr:uid="{00000000-0005-0000-0000-000080830000}"/>
    <cellStyle name="Normal 5 10 33 2 6" xfId="33665" xr:uid="{00000000-0005-0000-0000-000081830000}"/>
    <cellStyle name="Normal 5 10 33 2 7" xfId="33666" xr:uid="{00000000-0005-0000-0000-000082830000}"/>
    <cellStyle name="Normal 5 10 33 2 8" xfId="33667" xr:uid="{00000000-0005-0000-0000-000083830000}"/>
    <cellStyle name="Normal 5 10 33 2 9" xfId="33668" xr:uid="{00000000-0005-0000-0000-000084830000}"/>
    <cellStyle name="Normal 5 10 33 3" xfId="33669" xr:uid="{00000000-0005-0000-0000-000085830000}"/>
    <cellStyle name="Normal 5 10 33 3 10" xfId="33670" xr:uid="{00000000-0005-0000-0000-000086830000}"/>
    <cellStyle name="Normal 5 10 33 3 2" xfId="33671" xr:uid="{00000000-0005-0000-0000-000087830000}"/>
    <cellStyle name="Normal 5 10 33 3 3" xfId="33672" xr:uid="{00000000-0005-0000-0000-000088830000}"/>
    <cellStyle name="Normal 5 10 33 3 4" xfId="33673" xr:uid="{00000000-0005-0000-0000-000089830000}"/>
    <cellStyle name="Normal 5 10 33 3 5" xfId="33674" xr:uid="{00000000-0005-0000-0000-00008A830000}"/>
    <cellStyle name="Normal 5 10 33 3 6" xfId="33675" xr:uid="{00000000-0005-0000-0000-00008B830000}"/>
    <cellStyle name="Normal 5 10 33 3 7" xfId="33676" xr:uid="{00000000-0005-0000-0000-00008C830000}"/>
    <cellStyle name="Normal 5 10 33 3 8" xfId="33677" xr:uid="{00000000-0005-0000-0000-00008D830000}"/>
    <cellStyle name="Normal 5 10 33 3 9" xfId="33678" xr:uid="{00000000-0005-0000-0000-00008E830000}"/>
    <cellStyle name="Normal 5 10 33 4" xfId="33679" xr:uid="{00000000-0005-0000-0000-00008F830000}"/>
    <cellStyle name="Normal 5 10 33 4 10" xfId="33680" xr:uid="{00000000-0005-0000-0000-000090830000}"/>
    <cellStyle name="Normal 5 10 33 4 2" xfId="33681" xr:uid="{00000000-0005-0000-0000-000091830000}"/>
    <cellStyle name="Normal 5 10 33 4 3" xfId="33682" xr:uid="{00000000-0005-0000-0000-000092830000}"/>
    <cellStyle name="Normal 5 10 33 4 4" xfId="33683" xr:uid="{00000000-0005-0000-0000-000093830000}"/>
    <cellStyle name="Normal 5 10 33 4 5" xfId="33684" xr:uid="{00000000-0005-0000-0000-000094830000}"/>
    <cellStyle name="Normal 5 10 33 4 6" xfId="33685" xr:uid="{00000000-0005-0000-0000-000095830000}"/>
    <cellStyle name="Normal 5 10 33 4 7" xfId="33686" xr:uid="{00000000-0005-0000-0000-000096830000}"/>
    <cellStyle name="Normal 5 10 33 4 8" xfId="33687" xr:uid="{00000000-0005-0000-0000-000097830000}"/>
    <cellStyle name="Normal 5 10 33 4 9" xfId="33688" xr:uid="{00000000-0005-0000-0000-000098830000}"/>
    <cellStyle name="Normal 5 10 33 5" xfId="33689" xr:uid="{00000000-0005-0000-0000-000099830000}"/>
    <cellStyle name="Normal 5 10 33 5 10" xfId="33690" xr:uid="{00000000-0005-0000-0000-00009A830000}"/>
    <cellStyle name="Normal 5 10 33 5 2" xfId="33691" xr:uid="{00000000-0005-0000-0000-00009B830000}"/>
    <cellStyle name="Normal 5 10 33 5 3" xfId="33692" xr:uid="{00000000-0005-0000-0000-00009C830000}"/>
    <cellStyle name="Normal 5 10 33 5 4" xfId="33693" xr:uid="{00000000-0005-0000-0000-00009D830000}"/>
    <cellStyle name="Normal 5 10 33 5 5" xfId="33694" xr:uid="{00000000-0005-0000-0000-00009E830000}"/>
    <cellStyle name="Normal 5 10 33 5 6" xfId="33695" xr:uid="{00000000-0005-0000-0000-00009F830000}"/>
    <cellStyle name="Normal 5 10 33 5 7" xfId="33696" xr:uid="{00000000-0005-0000-0000-0000A0830000}"/>
    <cellStyle name="Normal 5 10 33 5 8" xfId="33697" xr:uid="{00000000-0005-0000-0000-0000A1830000}"/>
    <cellStyle name="Normal 5 10 33 5 9" xfId="33698" xr:uid="{00000000-0005-0000-0000-0000A2830000}"/>
    <cellStyle name="Normal 5 10 33 6" xfId="33699" xr:uid="{00000000-0005-0000-0000-0000A3830000}"/>
    <cellStyle name="Normal 5 10 33 7" xfId="33700" xr:uid="{00000000-0005-0000-0000-0000A4830000}"/>
    <cellStyle name="Normal 5 10 33 8" xfId="33701" xr:uid="{00000000-0005-0000-0000-0000A5830000}"/>
    <cellStyle name="Normal 5 10 33 9" xfId="33702" xr:uid="{00000000-0005-0000-0000-0000A6830000}"/>
    <cellStyle name="Normal 5 10 34" xfId="33703" xr:uid="{00000000-0005-0000-0000-0000A7830000}"/>
    <cellStyle name="Normal 5 10 34 10" xfId="33704" xr:uid="{00000000-0005-0000-0000-0000A8830000}"/>
    <cellStyle name="Normal 5 10 34 11" xfId="33705" xr:uid="{00000000-0005-0000-0000-0000A9830000}"/>
    <cellStyle name="Normal 5 10 34 12" xfId="33706" xr:uid="{00000000-0005-0000-0000-0000AA830000}"/>
    <cellStyle name="Normal 5 10 34 13" xfId="33707" xr:uid="{00000000-0005-0000-0000-0000AB830000}"/>
    <cellStyle name="Normal 5 10 34 14" xfId="33708" xr:uid="{00000000-0005-0000-0000-0000AC830000}"/>
    <cellStyle name="Normal 5 10 34 2" xfId="33709" xr:uid="{00000000-0005-0000-0000-0000AD830000}"/>
    <cellStyle name="Normal 5 10 34 2 10" xfId="33710" xr:uid="{00000000-0005-0000-0000-0000AE830000}"/>
    <cellStyle name="Normal 5 10 34 2 2" xfId="33711" xr:uid="{00000000-0005-0000-0000-0000AF830000}"/>
    <cellStyle name="Normal 5 10 34 2 3" xfId="33712" xr:uid="{00000000-0005-0000-0000-0000B0830000}"/>
    <cellStyle name="Normal 5 10 34 2 4" xfId="33713" xr:uid="{00000000-0005-0000-0000-0000B1830000}"/>
    <cellStyle name="Normal 5 10 34 2 5" xfId="33714" xr:uid="{00000000-0005-0000-0000-0000B2830000}"/>
    <cellStyle name="Normal 5 10 34 2 6" xfId="33715" xr:uid="{00000000-0005-0000-0000-0000B3830000}"/>
    <cellStyle name="Normal 5 10 34 2 7" xfId="33716" xr:uid="{00000000-0005-0000-0000-0000B4830000}"/>
    <cellStyle name="Normal 5 10 34 2 8" xfId="33717" xr:uid="{00000000-0005-0000-0000-0000B5830000}"/>
    <cellStyle name="Normal 5 10 34 2 9" xfId="33718" xr:uid="{00000000-0005-0000-0000-0000B6830000}"/>
    <cellStyle name="Normal 5 10 34 3" xfId="33719" xr:uid="{00000000-0005-0000-0000-0000B7830000}"/>
    <cellStyle name="Normal 5 10 34 3 10" xfId="33720" xr:uid="{00000000-0005-0000-0000-0000B8830000}"/>
    <cellStyle name="Normal 5 10 34 3 2" xfId="33721" xr:uid="{00000000-0005-0000-0000-0000B9830000}"/>
    <cellStyle name="Normal 5 10 34 3 3" xfId="33722" xr:uid="{00000000-0005-0000-0000-0000BA830000}"/>
    <cellStyle name="Normal 5 10 34 3 4" xfId="33723" xr:uid="{00000000-0005-0000-0000-0000BB830000}"/>
    <cellStyle name="Normal 5 10 34 3 5" xfId="33724" xr:uid="{00000000-0005-0000-0000-0000BC830000}"/>
    <cellStyle name="Normal 5 10 34 3 6" xfId="33725" xr:uid="{00000000-0005-0000-0000-0000BD830000}"/>
    <cellStyle name="Normal 5 10 34 3 7" xfId="33726" xr:uid="{00000000-0005-0000-0000-0000BE830000}"/>
    <cellStyle name="Normal 5 10 34 3 8" xfId="33727" xr:uid="{00000000-0005-0000-0000-0000BF830000}"/>
    <cellStyle name="Normal 5 10 34 3 9" xfId="33728" xr:uid="{00000000-0005-0000-0000-0000C0830000}"/>
    <cellStyle name="Normal 5 10 34 4" xfId="33729" xr:uid="{00000000-0005-0000-0000-0000C1830000}"/>
    <cellStyle name="Normal 5 10 34 4 10" xfId="33730" xr:uid="{00000000-0005-0000-0000-0000C2830000}"/>
    <cellStyle name="Normal 5 10 34 4 2" xfId="33731" xr:uid="{00000000-0005-0000-0000-0000C3830000}"/>
    <cellStyle name="Normal 5 10 34 4 3" xfId="33732" xr:uid="{00000000-0005-0000-0000-0000C4830000}"/>
    <cellStyle name="Normal 5 10 34 4 4" xfId="33733" xr:uid="{00000000-0005-0000-0000-0000C5830000}"/>
    <cellStyle name="Normal 5 10 34 4 5" xfId="33734" xr:uid="{00000000-0005-0000-0000-0000C6830000}"/>
    <cellStyle name="Normal 5 10 34 4 6" xfId="33735" xr:uid="{00000000-0005-0000-0000-0000C7830000}"/>
    <cellStyle name="Normal 5 10 34 4 7" xfId="33736" xr:uid="{00000000-0005-0000-0000-0000C8830000}"/>
    <cellStyle name="Normal 5 10 34 4 8" xfId="33737" xr:uid="{00000000-0005-0000-0000-0000C9830000}"/>
    <cellStyle name="Normal 5 10 34 4 9" xfId="33738" xr:uid="{00000000-0005-0000-0000-0000CA830000}"/>
    <cellStyle name="Normal 5 10 34 5" xfId="33739" xr:uid="{00000000-0005-0000-0000-0000CB830000}"/>
    <cellStyle name="Normal 5 10 34 5 10" xfId="33740" xr:uid="{00000000-0005-0000-0000-0000CC830000}"/>
    <cellStyle name="Normal 5 10 34 5 2" xfId="33741" xr:uid="{00000000-0005-0000-0000-0000CD830000}"/>
    <cellStyle name="Normal 5 10 34 5 3" xfId="33742" xr:uid="{00000000-0005-0000-0000-0000CE830000}"/>
    <cellStyle name="Normal 5 10 34 5 4" xfId="33743" xr:uid="{00000000-0005-0000-0000-0000CF830000}"/>
    <cellStyle name="Normal 5 10 34 5 5" xfId="33744" xr:uid="{00000000-0005-0000-0000-0000D0830000}"/>
    <cellStyle name="Normal 5 10 34 5 6" xfId="33745" xr:uid="{00000000-0005-0000-0000-0000D1830000}"/>
    <cellStyle name="Normal 5 10 34 5 7" xfId="33746" xr:uid="{00000000-0005-0000-0000-0000D2830000}"/>
    <cellStyle name="Normal 5 10 34 5 8" xfId="33747" xr:uid="{00000000-0005-0000-0000-0000D3830000}"/>
    <cellStyle name="Normal 5 10 34 5 9" xfId="33748" xr:uid="{00000000-0005-0000-0000-0000D4830000}"/>
    <cellStyle name="Normal 5 10 34 6" xfId="33749" xr:uid="{00000000-0005-0000-0000-0000D5830000}"/>
    <cellStyle name="Normal 5 10 34 7" xfId="33750" xr:uid="{00000000-0005-0000-0000-0000D6830000}"/>
    <cellStyle name="Normal 5 10 34 8" xfId="33751" xr:uid="{00000000-0005-0000-0000-0000D7830000}"/>
    <cellStyle name="Normal 5 10 34 9" xfId="33752" xr:uid="{00000000-0005-0000-0000-0000D8830000}"/>
    <cellStyle name="Normal 5 10 35" xfId="33753" xr:uid="{00000000-0005-0000-0000-0000D9830000}"/>
    <cellStyle name="Normal 5 10 35 10" xfId="33754" xr:uid="{00000000-0005-0000-0000-0000DA830000}"/>
    <cellStyle name="Normal 5 10 35 2" xfId="33755" xr:uid="{00000000-0005-0000-0000-0000DB830000}"/>
    <cellStyle name="Normal 5 10 35 3" xfId="33756" xr:uid="{00000000-0005-0000-0000-0000DC830000}"/>
    <cellStyle name="Normal 5 10 35 4" xfId="33757" xr:uid="{00000000-0005-0000-0000-0000DD830000}"/>
    <cellStyle name="Normal 5 10 35 5" xfId="33758" xr:uid="{00000000-0005-0000-0000-0000DE830000}"/>
    <cellStyle name="Normal 5 10 35 6" xfId="33759" xr:uid="{00000000-0005-0000-0000-0000DF830000}"/>
    <cellStyle name="Normal 5 10 35 7" xfId="33760" xr:uid="{00000000-0005-0000-0000-0000E0830000}"/>
    <cellStyle name="Normal 5 10 35 8" xfId="33761" xr:uid="{00000000-0005-0000-0000-0000E1830000}"/>
    <cellStyle name="Normal 5 10 35 9" xfId="33762" xr:uid="{00000000-0005-0000-0000-0000E2830000}"/>
    <cellStyle name="Normal 5 10 36" xfId="33763" xr:uid="{00000000-0005-0000-0000-0000E3830000}"/>
    <cellStyle name="Normal 5 10 36 10" xfId="33764" xr:uid="{00000000-0005-0000-0000-0000E4830000}"/>
    <cellStyle name="Normal 5 10 36 2" xfId="33765" xr:uid="{00000000-0005-0000-0000-0000E5830000}"/>
    <cellStyle name="Normal 5 10 36 3" xfId="33766" xr:uid="{00000000-0005-0000-0000-0000E6830000}"/>
    <cellStyle name="Normal 5 10 36 4" xfId="33767" xr:uid="{00000000-0005-0000-0000-0000E7830000}"/>
    <cellStyle name="Normal 5 10 36 5" xfId="33768" xr:uid="{00000000-0005-0000-0000-0000E8830000}"/>
    <cellStyle name="Normal 5 10 36 6" xfId="33769" xr:uid="{00000000-0005-0000-0000-0000E9830000}"/>
    <cellStyle name="Normal 5 10 36 7" xfId="33770" xr:uid="{00000000-0005-0000-0000-0000EA830000}"/>
    <cellStyle name="Normal 5 10 36 8" xfId="33771" xr:uid="{00000000-0005-0000-0000-0000EB830000}"/>
    <cellStyle name="Normal 5 10 36 9" xfId="33772" xr:uid="{00000000-0005-0000-0000-0000EC830000}"/>
    <cellStyle name="Normal 5 10 37" xfId="33773" xr:uid="{00000000-0005-0000-0000-0000ED830000}"/>
    <cellStyle name="Normal 5 10 37 10" xfId="33774" xr:uid="{00000000-0005-0000-0000-0000EE830000}"/>
    <cellStyle name="Normal 5 10 37 2" xfId="33775" xr:uid="{00000000-0005-0000-0000-0000EF830000}"/>
    <cellStyle name="Normal 5 10 37 3" xfId="33776" xr:uid="{00000000-0005-0000-0000-0000F0830000}"/>
    <cellStyle name="Normal 5 10 37 4" xfId="33777" xr:uid="{00000000-0005-0000-0000-0000F1830000}"/>
    <cellStyle name="Normal 5 10 37 5" xfId="33778" xr:uid="{00000000-0005-0000-0000-0000F2830000}"/>
    <cellStyle name="Normal 5 10 37 6" xfId="33779" xr:uid="{00000000-0005-0000-0000-0000F3830000}"/>
    <cellStyle name="Normal 5 10 37 7" xfId="33780" xr:uid="{00000000-0005-0000-0000-0000F4830000}"/>
    <cellStyle name="Normal 5 10 37 8" xfId="33781" xr:uid="{00000000-0005-0000-0000-0000F5830000}"/>
    <cellStyle name="Normal 5 10 37 9" xfId="33782" xr:uid="{00000000-0005-0000-0000-0000F6830000}"/>
    <cellStyle name="Normal 5 10 38" xfId="33783" xr:uid="{00000000-0005-0000-0000-0000F7830000}"/>
    <cellStyle name="Normal 5 10 38 10" xfId="33784" xr:uid="{00000000-0005-0000-0000-0000F8830000}"/>
    <cellStyle name="Normal 5 10 38 2" xfId="33785" xr:uid="{00000000-0005-0000-0000-0000F9830000}"/>
    <cellStyle name="Normal 5 10 38 3" xfId="33786" xr:uid="{00000000-0005-0000-0000-0000FA830000}"/>
    <cellStyle name="Normal 5 10 38 4" xfId="33787" xr:uid="{00000000-0005-0000-0000-0000FB830000}"/>
    <cellStyle name="Normal 5 10 38 5" xfId="33788" xr:uid="{00000000-0005-0000-0000-0000FC830000}"/>
    <cellStyle name="Normal 5 10 38 6" xfId="33789" xr:uid="{00000000-0005-0000-0000-0000FD830000}"/>
    <cellStyle name="Normal 5 10 38 7" xfId="33790" xr:uid="{00000000-0005-0000-0000-0000FE830000}"/>
    <cellStyle name="Normal 5 10 38 8" xfId="33791" xr:uid="{00000000-0005-0000-0000-0000FF830000}"/>
    <cellStyle name="Normal 5 10 38 9" xfId="33792" xr:uid="{00000000-0005-0000-0000-000000840000}"/>
    <cellStyle name="Normal 5 10 39" xfId="33793" xr:uid="{00000000-0005-0000-0000-000001840000}"/>
    <cellStyle name="Normal 5 10 4" xfId="33794" xr:uid="{00000000-0005-0000-0000-000002840000}"/>
    <cellStyle name="Normal 5 10 4 10" xfId="33795" xr:uid="{00000000-0005-0000-0000-000003840000}"/>
    <cellStyle name="Normal 5 10 4 11" xfId="33796" xr:uid="{00000000-0005-0000-0000-000004840000}"/>
    <cellStyle name="Normal 5 10 4 12" xfId="33797" xr:uid="{00000000-0005-0000-0000-000005840000}"/>
    <cellStyle name="Normal 5 10 4 13" xfId="33798" xr:uid="{00000000-0005-0000-0000-000006840000}"/>
    <cellStyle name="Normal 5 10 4 14" xfId="33799" xr:uid="{00000000-0005-0000-0000-000007840000}"/>
    <cellStyle name="Normal 5 10 4 2" xfId="33800" xr:uid="{00000000-0005-0000-0000-000008840000}"/>
    <cellStyle name="Normal 5 10 4 2 10" xfId="33801" xr:uid="{00000000-0005-0000-0000-000009840000}"/>
    <cellStyle name="Normal 5 10 4 2 2" xfId="33802" xr:uid="{00000000-0005-0000-0000-00000A840000}"/>
    <cellStyle name="Normal 5 10 4 2 3" xfId="33803" xr:uid="{00000000-0005-0000-0000-00000B840000}"/>
    <cellStyle name="Normal 5 10 4 2 4" xfId="33804" xr:uid="{00000000-0005-0000-0000-00000C840000}"/>
    <cellStyle name="Normal 5 10 4 2 5" xfId="33805" xr:uid="{00000000-0005-0000-0000-00000D840000}"/>
    <cellStyle name="Normal 5 10 4 2 6" xfId="33806" xr:uid="{00000000-0005-0000-0000-00000E840000}"/>
    <cellStyle name="Normal 5 10 4 2 7" xfId="33807" xr:uid="{00000000-0005-0000-0000-00000F840000}"/>
    <cellStyle name="Normal 5 10 4 2 8" xfId="33808" xr:uid="{00000000-0005-0000-0000-000010840000}"/>
    <cellStyle name="Normal 5 10 4 2 9" xfId="33809" xr:uid="{00000000-0005-0000-0000-000011840000}"/>
    <cellStyle name="Normal 5 10 4 3" xfId="33810" xr:uid="{00000000-0005-0000-0000-000012840000}"/>
    <cellStyle name="Normal 5 10 4 3 10" xfId="33811" xr:uid="{00000000-0005-0000-0000-000013840000}"/>
    <cellStyle name="Normal 5 10 4 3 2" xfId="33812" xr:uid="{00000000-0005-0000-0000-000014840000}"/>
    <cellStyle name="Normal 5 10 4 3 3" xfId="33813" xr:uid="{00000000-0005-0000-0000-000015840000}"/>
    <cellStyle name="Normal 5 10 4 3 4" xfId="33814" xr:uid="{00000000-0005-0000-0000-000016840000}"/>
    <cellStyle name="Normal 5 10 4 3 5" xfId="33815" xr:uid="{00000000-0005-0000-0000-000017840000}"/>
    <cellStyle name="Normal 5 10 4 3 6" xfId="33816" xr:uid="{00000000-0005-0000-0000-000018840000}"/>
    <cellStyle name="Normal 5 10 4 3 7" xfId="33817" xr:uid="{00000000-0005-0000-0000-000019840000}"/>
    <cellStyle name="Normal 5 10 4 3 8" xfId="33818" xr:uid="{00000000-0005-0000-0000-00001A840000}"/>
    <cellStyle name="Normal 5 10 4 3 9" xfId="33819" xr:uid="{00000000-0005-0000-0000-00001B840000}"/>
    <cellStyle name="Normal 5 10 4 4" xfId="33820" xr:uid="{00000000-0005-0000-0000-00001C840000}"/>
    <cellStyle name="Normal 5 10 4 4 10" xfId="33821" xr:uid="{00000000-0005-0000-0000-00001D840000}"/>
    <cellStyle name="Normal 5 10 4 4 2" xfId="33822" xr:uid="{00000000-0005-0000-0000-00001E840000}"/>
    <cellStyle name="Normal 5 10 4 4 3" xfId="33823" xr:uid="{00000000-0005-0000-0000-00001F840000}"/>
    <cellStyle name="Normal 5 10 4 4 4" xfId="33824" xr:uid="{00000000-0005-0000-0000-000020840000}"/>
    <cellStyle name="Normal 5 10 4 4 5" xfId="33825" xr:uid="{00000000-0005-0000-0000-000021840000}"/>
    <cellStyle name="Normal 5 10 4 4 6" xfId="33826" xr:uid="{00000000-0005-0000-0000-000022840000}"/>
    <cellStyle name="Normal 5 10 4 4 7" xfId="33827" xr:uid="{00000000-0005-0000-0000-000023840000}"/>
    <cellStyle name="Normal 5 10 4 4 8" xfId="33828" xr:uid="{00000000-0005-0000-0000-000024840000}"/>
    <cellStyle name="Normal 5 10 4 4 9" xfId="33829" xr:uid="{00000000-0005-0000-0000-000025840000}"/>
    <cellStyle name="Normal 5 10 4 5" xfId="33830" xr:uid="{00000000-0005-0000-0000-000026840000}"/>
    <cellStyle name="Normal 5 10 4 5 10" xfId="33831" xr:uid="{00000000-0005-0000-0000-000027840000}"/>
    <cellStyle name="Normal 5 10 4 5 2" xfId="33832" xr:uid="{00000000-0005-0000-0000-000028840000}"/>
    <cellStyle name="Normal 5 10 4 5 3" xfId="33833" xr:uid="{00000000-0005-0000-0000-000029840000}"/>
    <cellStyle name="Normal 5 10 4 5 4" xfId="33834" xr:uid="{00000000-0005-0000-0000-00002A840000}"/>
    <cellStyle name="Normal 5 10 4 5 5" xfId="33835" xr:uid="{00000000-0005-0000-0000-00002B840000}"/>
    <cellStyle name="Normal 5 10 4 5 6" xfId="33836" xr:uid="{00000000-0005-0000-0000-00002C840000}"/>
    <cellStyle name="Normal 5 10 4 5 7" xfId="33837" xr:uid="{00000000-0005-0000-0000-00002D840000}"/>
    <cellStyle name="Normal 5 10 4 5 8" xfId="33838" xr:uid="{00000000-0005-0000-0000-00002E840000}"/>
    <cellStyle name="Normal 5 10 4 5 9" xfId="33839" xr:uid="{00000000-0005-0000-0000-00002F840000}"/>
    <cellStyle name="Normal 5 10 4 6" xfId="33840" xr:uid="{00000000-0005-0000-0000-000030840000}"/>
    <cellStyle name="Normal 5 10 4 7" xfId="33841" xr:uid="{00000000-0005-0000-0000-000031840000}"/>
    <cellStyle name="Normal 5 10 4 8" xfId="33842" xr:uid="{00000000-0005-0000-0000-000032840000}"/>
    <cellStyle name="Normal 5 10 4 9" xfId="33843" xr:uid="{00000000-0005-0000-0000-000033840000}"/>
    <cellStyle name="Normal 5 10 40" xfId="33844" xr:uid="{00000000-0005-0000-0000-000034840000}"/>
    <cellStyle name="Normal 5 10 41" xfId="33845" xr:uid="{00000000-0005-0000-0000-000035840000}"/>
    <cellStyle name="Normal 5 10 42" xfId="33846" xr:uid="{00000000-0005-0000-0000-000036840000}"/>
    <cellStyle name="Normal 5 10 43" xfId="33847" xr:uid="{00000000-0005-0000-0000-000037840000}"/>
    <cellStyle name="Normal 5 10 44" xfId="33848" xr:uid="{00000000-0005-0000-0000-000038840000}"/>
    <cellStyle name="Normal 5 10 45" xfId="33849" xr:uid="{00000000-0005-0000-0000-000039840000}"/>
    <cellStyle name="Normal 5 10 46" xfId="33850" xr:uid="{00000000-0005-0000-0000-00003A840000}"/>
    <cellStyle name="Normal 5 10 47" xfId="33851" xr:uid="{00000000-0005-0000-0000-00003B840000}"/>
    <cellStyle name="Normal 5 10 48" xfId="33852" xr:uid="{00000000-0005-0000-0000-00003C840000}"/>
    <cellStyle name="Normal 5 10 49" xfId="33853" xr:uid="{00000000-0005-0000-0000-00003D840000}"/>
    <cellStyle name="Normal 5 10 5" xfId="33854" xr:uid="{00000000-0005-0000-0000-00003E840000}"/>
    <cellStyle name="Normal 5 10 5 10" xfId="33855" xr:uid="{00000000-0005-0000-0000-00003F840000}"/>
    <cellStyle name="Normal 5 10 5 11" xfId="33856" xr:uid="{00000000-0005-0000-0000-000040840000}"/>
    <cellStyle name="Normal 5 10 5 12" xfId="33857" xr:uid="{00000000-0005-0000-0000-000041840000}"/>
    <cellStyle name="Normal 5 10 5 13" xfId="33858" xr:uid="{00000000-0005-0000-0000-000042840000}"/>
    <cellStyle name="Normal 5 10 5 14" xfId="33859" xr:uid="{00000000-0005-0000-0000-000043840000}"/>
    <cellStyle name="Normal 5 10 5 2" xfId="33860" xr:uid="{00000000-0005-0000-0000-000044840000}"/>
    <cellStyle name="Normal 5 10 5 2 10" xfId="33861" xr:uid="{00000000-0005-0000-0000-000045840000}"/>
    <cellStyle name="Normal 5 10 5 2 2" xfId="33862" xr:uid="{00000000-0005-0000-0000-000046840000}"/>
    <cellStyle name="Normal 5 10 5 2 3" xfId="33863" xr:uid="{00000000-0005-0000-0000-000047840000}"/>
    <cellStyle name="Normal 5 10 5 2 4" xfId="33864" xr:uid="{00000000-0005-0000-0000-000048840000}"/>
    <cellStyle name="Normal 5 10 5 2 5" xfId="33865" xr:uid="{00000000-0005-0000-0000-000049840000}"/>
    <cellStyle name="Normal 5 10 5 2 6" xfId="33866" xr:uid="{00000000-0005-0000-0000-00004A840000}"/>
    <cellStyle name="Normal 5 10 5 2 7" xfId="33867" xr:uid="{00000000-0005-0000-0000-00004B840000}"/>
    <cellStyle name="Normal 5 10 5 2 8" xfId="33868" xr:uid="{00000000-0005-0000-0000-00004C840000}"/>
    <cellStyle name="Normal 5 10 5 2 9" xfId="33869" xr:uid="{00000000-0005-0000-0000-00004D840000}"/>
    <cellStyle name="Normal 5 10 5 3" xfId="33870" xr:uid="{00000000-0005-0000-0000-00004E840000}"/>
    <cellStyle name="Normal 5 10 5 3 10" xfId="33871" xr:uid="{00000000-0005-0000-0000-00004F840000}"/>
    <cellStyle name="Normal 5 10 5 3 2" xfId="33872" xr:uid="{00000000-0005-0000-0000-000050840000}"/>
    <cellStyle name="Normal 5 10 5 3 3" xfId="33873" xr:uid="{00000000-0005-0000-0000-000051840000}"/>
    <cellStyle name="Normal 5 10 5 3 4" xfId="33874" xr:uid="{00000000-0005-0000-0000-000052840000}"/>
    <cellStyle name="Normal 5 10 5 3 5" xfId="33875" xr:uid="{00000000-0005-0000-0000-000053840000}"/>
    <cellStyle name="Normal 5 10 5 3 6" xfId="33876" xr:uid="{00000000-0005-0000-0000-000054840000}"/>
    <cellStyle name="Normal 5 10 5 3 7" xfId="33877" xr:uid="{00000000-0005-0000-0000-000055840000}"/>
    <cellStyle name="Normal 5 10 5 3 8" xfId="33878" xr:uid="{00000000-0005-0000-0000-000056840000}"/>
    <cellStyle name="Normal 5 10 5 3 9" xfId="33879" xr:uid="{00000000-0005-0000-0000-000057840000}"/>
    <cellStyle name="Normal 5 10 5 4" xfId="33880" xr:uid="{00000000-0005-0000-0000-000058840000}"/>
    <cellStyle name="Normal 5 10 5 4 10" xfId="33881" xr:uid="{00000000-0005-0000-0000-000059840000}"/>
    <cellStyle name="Normal 5 10 5 4 2" xfId="33882" xr:uid="{00000000-0005-0000-0000-00005A840000}"/>
    <cellStyle name="Normal 5 10 5 4 3" xfId="33883" xr:uid="{00000000-0005-0000-0000-00005B840000}"/>
    <cellStyle name="Normal 5 10 5 4 4" xfId="33884" xr:uid="{00000000-0005-0000-0000-00005C840000}"/>
    <cellStyle name="Normal 5 10 5 4 5" xfId="33885" xr:uid="{00000000-0005-0000-0000-00005D840000}"/>
    <cellStyle name="Normal 5 10 5 4 6" xfId="33886" xr:uid="{00000000-0005-0000-0000-00005E840000}"/>
    <cellStyle name="Normal 5 10 5 4 7" xfId="33887" xr:uid="{00000000-0005-0000-0000-00005F840000}"/>
    <cellStyle name="Normal 5 10 5 4 8" xfId="33888" xr:uid="{00000000-0005-0000-0000-000060840000}"/>
    <cellStyle name="Normal 5 10 5 4 9" xfId="33889" xr:uid="{00000000-0005-0000-0000-000061840000}"/>
    <cellStyle name="Normal 5 10 5 5" xfId="33890" xr:uid="{00000000-0005-0000-0000-000062840000}"/>
    <cellStyle name="Normal 5 10 5 5 10" xfId="33891" xr:uid="{00000000-0005-0000-0000-000063840000}"/>
    <cellStyle name="Normal 5 10 5 5 2" xfId="33892" xr:uid="{00000000-0005-0000-0000-000064840000}"/>
    <cellStyle name="Normal 5 10 5 5 3" xfId="33893" xr:uid="{00000000-0005-0000-0000-000065840000}"/>
    <cellStyle name="Normal 5 10 5 5 4" xfId="33894" xr:uid="{00000000-0005-0000-0000-000066840000}"/>
    <cellStyle name="Normal 5 10 5 5 5" xfId="33895" xr:uid="{00000000-0005-0000-0000-000067840000}"/>
    <cellStyle name="Normal 5 10 5 5 6" xfId="33896" xr:uid="{00000000-0005-0000-0000-000068840000}"/>
    <cellStyle name="Normal 5 10 5 5 7" xfId="33897" xr:uid="{00000000-0005-0000-0000-000069840000}"/>
    <cellStyle name="Normal 5 10 5 5 8" xfId="33898" xr:uid="{00000000-0005-0000-0000-00006A840000}"/>
    <cellStyle name="Normal 5 10 5 5 9" xfId="33899" xr:uid="{00000000-0005-0000-0000-00006B840000}"/>
    <cellStyle name="Normal 5 10 5 6" xfId="33900" xr:uid="{00000000-0005-0000-0000-00006C840000}"/>
    <cellStyle name="Normal 5 10 5 7" xfId="33901" xr:uid="{00000000-0005-0000-0000-00006D840000}"/>
    <cellStyle name="Normal 5 10 5 8" xfId="33902" xr:uid="{00000000-0005-0000-0000-00006E840000}"/>
    <cellStyle name="Normal 5 10 5 9" xfId="33903" xr:uid="{00000000-0005-0000-0000-00006F840000}"/>
    <cellStyle name="Normal 5 10 50" xfId="30798" xr:uid="{00000000-0005-0000-0000-00004E780000}"/>
    <cellStyle name="Normal 5 10 6" xfId="33904" xr:uid="{00000000-0005-0000-0000-000070840000}"/>
    <cellStyle name="Normal 5 10 6 10" xfId="33905" xr:uid="{00000000-0005-0000-0000-000071840000}"/>
    <cellStyle name="Normal 5 10 6 11" xfId="33906" xr:uid="{00000000-0005-0000-0000-000072840000}"/>
    <cellStyle name="Normal 5 10 6 12" xfId="33907" xr:uid="{00000000-0005-0000-0000-000073840000}"/>
    <cellStyle name="Normal 5 10 6 13" xfId="33908" xr:uid="{00000000-0005-0000-0000-000074840000}"/>
    <cellStyle name="Normal 5 10 6 14" xfId="33909" xr:uid="{00000000-0005-0000-0000-000075840000}"/>
    <cellStyle name="Normal 5 10 6 2" xfId="33910" xr:uid="{00000000-0005-0000-0000-000076840000}"/>
    <cellStyle name="Normal 5 10 6 2 10" xfId="33911" xr:uid="{00000000-0005-0000-0000-000077840000}"/>
    <cellStyle name="Normal 5 10 6 2 2" xfId="33912" xr:uid="{00000000-0005-0000-0000-000078840000}"/>
    <cellStyle name="Normal 5 10 6 2 3" xfId="33913" xr:uid="{00000000-0005-0000-0000-000079840000}"/>
    <cellStyle name="Normal 5 10 6 2 4" xfId="33914" xr:uid="{00000000-0005-0000-0000-00007A840000}"/>
    <cellStyle name="Normal 5 10 6 2 5" xfId="33915" xr:uid="{00000000-0005-0000-0000-00007B840000}"/>
    <cellStyle name="Normal 5 10 6 2 6" xfId="33916" xr:uid="{00000000-0005-0000-0000-00007C840000}"/>
    <cellStyle name="Normal 5 10 6 2 7" xfId="33917" xr:uid="{00000000-0005-0000-0000-00007D840000}"/>
    <cellStyle name="Normal 5 10 6 2 8" xfId="33918" xr:uid="{00000000-0005-0000-0000-00007E840000}"/>
    <cellStyle name="Normal 5 10 6 2 9" xfId="33919" xr:uid="{00000000-0005-0000-0000-00007F840000}"/>
    <cellStyle name="Normal 5 10 6 3" xfId="33920" xr:uid="{00000000-0005-0000-0000-000080840000}"/>
    <cellStyle name="Normal 5 10 6 3 10" xfId="33921" xr:uid="{00000000-0005-0000-0000-000081840000}"/>
    <cellStyle name="Normal 5 10 6 3 2" xfId="33922" xr:uid="{00000000-0005-0000-0000-000082840000}"/>
    <cellStyle name="Normal 5 10 6 3 3" xfId="33923" xr:uid="{00000000-0005-0000-0000-000083840000}"/>
    <cellStyle name="Normal 5 10 6 3 4" xfId="33924" xr:uid="{00000000-0005-0000-0000-000084840000}"/>
    <cellStyle name="Normal 5 10 6 3 5" xfId="33925" xr:uid="{00000000-0005-0000-0000-000085840000}"/>
    <cellStyle name="Normal 5 10 6 3 6" xfId="33926" xr:uid="{00000000-0005-0000-0000-000086840000}"/>
    <cellStyle name="Normal 5 10 6 3 7" xfId="33927" xr:uid="{00000000-0005-0000-0000-000087840000}"/>
    <cellStyle name="Normal 5 10 6 3 8" xfId="33928" xr:uid="{00000000-0005-0000-0000-000088840000}"/>
    <cellStyle name="Normal 5 10 6 3 9" xfId="33929" xr:uid="{00000000-0005-0000-0000-000089840000}"/>
    <cellStyle name="Normal 5 10 6 4" xfId="33930" xr:uid="{00000000-0005-0000-0000-00008A840000}"/>
    <cellStyle name="Normal 5 10 6 4 10" xfId="33931" xr:uid="{00000000-0005-0000-0000-00008B840000}"/>
    <cellStyle name="Normal 5 10 6 4 2" xfId="33932" xr:uid="{00000000-0005-0000-0000-00008C840000}"/>
    <cellStyle name="Normal 5 10 6 4 3" xfId="33933" xr:uid="{00000000-0005-0000-0000-00008D840000}"/>
    <cellStyle name="Normal 5 10 6 4 4" xfId="33934" xr:uid="{00000000-0005-0000-0000-00008E840000}"/>
    <cellStyle name="Normal 5 10 6 4 5" xfId="33935" xr:uid="{00000000-0005-0000-0000-00008F840000}"/>
    <cellStyle name="Normal 5 10 6 4 6" xfId="33936" xr:uid="{00000000-0005-0000-0000-000090840000}"/>
    <cellStyle name="Normal 5 10 6 4 7" xfId="33937" xr:uid="{00000000-0005-0000-0000-000091840000}"/>
    <cellStyle name="Normal 5 10 6 4 8" xfId="33938" xr:uid="{00000000-0005-0000-0000-000092840000}"/>
    <cellStyle name="Normal 5 10 6 4 9" xfId="33939" xr:uid="{00000000-0005-0000-0000-000093840000}"/>
    <cellStyle name="Normal 5 10 6 5" xfId="33940" xr:uid="{00000000-0005-0000-0000-000094840000}"/>
    <cellStyle name="Normal 5 10 6 5 10" xfId="33941" xr:uid="{00000000-0005-0000-0000-000095840000}"/>
    <cellStyle name="Normal 5 10 6 5 2" xfId="33942" xr:uid="{00000000-0005-0000-0000-000096840000}"/>
    <cellStyle name="Normal 5 10 6 5 3" xfId="33943" xr:uid="{00000000-0005-0000-0000-000097840000}"/>
    <cellStyle name="Normal 5 10 6 5 4" xfId="33944" xr:uid="{00000000-0005-0000-0000-000098840000}"/>
    <cellStyle name="Normal 5 10 6 5 5" xfId="33945" xr:uid="{00000000-0005-0000-0000-000099840000}"/>
    <cellStyle name="Normal 5 10 6 5 6" xfId="33946" xr:uid="{00000000-0005-0000-0000-00009A840000}"/>
    <cellStyle name="Normal 5 10 6 5 7" xfId="33947" xr:uid="{00000000-0005-0000-0000-00009B840000}"/>
    <cellStyle name="Normal 5 10 6 5 8" xfId="33948" xr:uid="{00000000-0005-0000-0000-00009C840000}"/>
    <cellStyle name="Normal 5 10 6 5 9" xfId="33949" xr:uid="{00000000-0005-0000-0000-00009D840000}"/>
    <cellStyle name="Normal 5 10 6 6" xfId="33950" xr:uid="{00000000-0005-0000-0000-00009E840000}"/>
    <cellStyle name="Normal 5 10 6 7" xfId="33951" xr:uid="{00000000-0005-0000-0000-00009F840000}"/>
    <cellStyle name="Normal 5 10 6 8" xfId="33952" xr:uid="{00000000-0005-0000-0000-0000A0840000}"/>
    <cellStyle name="Normal 5 10 6 9" xfId="33953" xr:uid="{00000000-0005-0000-0000-0000A1840000}"/>
    <cellStyle name="Normal 5 10 7" xfId="33954" xr:uid="{00000000-0005-0000-0000-0000A2840000}"/>
    <cellStyle name="Normal 5 10 7 10" xfId="33955" xr:uid="{00000000-0005-0000-0000-0000A3840000}"/>
    <cellStyle name="Normal 5 10 7 11" xfId="33956" xr:uid="{00000000-0005-0000-0000-0000A4840000}"/>
    <cellStyle name="Normal 5 10 7 12" xfId="33957" xr:uid="{00000000-0005-0000-0000-0000A5840000}"/>
    <cellStyle name="Normal 5 10 7 13" xfId="33958" xr:uid="{00000000-0005-0000-0000-0000A6840000}"/>
    <cellStyle name="Normal 5 10 7 14" xfId="33959" xr:uid="{00000000-0005-0000-0000-0000A7840000}"/>
    <cellStyle name="Normal 5 10 7 2" xfId="33960" xr:uid="{00000000-0005-0000-0000-0000A8840000}"/>
    <cellStyle name="Normal 5 10 7 2 10" xfId="33961" xr:uid="{00000000-0005-0000-0000-0000A9840000}"/>
    <cellStyle name="Normal 5 10 7 2 2" xfId="33962" xr:uid="{00000000-0005-0000-0000-0000AA840000}"/>
    <cellStyle name="Normal 5 10 7 2 3" xfId="33963" xr:uid="{00000000-0005-0000-0000-0000AB840000}"/>
    <cellStyle name="Normal 5 10 7 2 4" xfId="33964" xr:uid="{00000000-0005-0000-0000-0000AC840000}"/>
    <cellStyle name="Normal 5 10 7 2 5" xfId="33965" xr:uid="{00000000-0005-0000-0000-0000AD840000}"/>
    <cellStyle name="Normal 5 10 7 2 6" xfId="33966" xr:uid="{00000000-0005-0000-0000-0000AE840000}"/>
    <cellStyle name="Normal 5 10 7 2 7" xfId="33967" xr:uid="{00000000-0005-0000-0000-0000AF840000}"/>
    <cellStyle name="Normal 5 10 7 2 8" xfId="33968" xr:uid="{00000000-0005-0000-0000-0000B0840000}"/>
    <cellStyle name="Normal 5 10 7 2 9" xfId="33969" xr:uid="{00000000-0005-0000-0000-0000B1840000}"/>
    <cellStyle name="Normal 5 10 7 3" xfId="33970" xr:uid="{00000000-0005-0000-0000-0000B2840000}"/>
    <cellStyle name="Normal 5 10 7 3 10" xfId="33971" xr:uid="{00000000-0005-0000-0000-0000B3840000}"/>
    <cellStyle name="Normal 5 10 7 3 2" xfId="33972" xr:uid="{00000000-0005-0000-0000-0000B4840000}"/>
    <cellStyle name="Normal 5 10 7 3 3" xfId="33973" xr:uid="{00000000-0005-0000-0000-0000B5840000}"/>
    <cellStyle name="Normal 5 10 7 3 4" xfId="33974" xr:uid="{00000000-0005-0000-0000-0000B6840000}"/>
    <cellStyle name="Normal 5 10 7 3 5" xfId="33975" xr:uid="{00000000-0005-0000-0000-0000B7840000}"/>
    <cellStyle name="Normal 5 10 7 3 6" xfId="33976" xr:uid="{00000000-0005-0000-0000-0000B8840000}"/>
    <cellStyle name="Normal 5 10 7 3 7" xfId="33977" xr:uid="{00000000-0005-0000-0000-0000B9840000}"/>
    <cellStyle name="Normal 5 10 7 3 8" xfId="33978" xr:uid="{00000000-0005-0000-0000-0000BA840000}"/>
    <cellStyle name="Normal 5 10 7 3 9" xfId="33979" xr:uid="{00000000-0005-0000-0000-0000BB840000}"/>
    <cellStyle name="Normal 5 10 7 4" xfId="33980" xr:uid="{00000000-0005-0000-0000-0000BC840000}"/>
    <cellStyle name="Normal 5 10 7 4 10" xfId="33981" xr:uid="{00000000-0005-0000-0000-0000BD840000}"/>
    <cellStyle name="Normal 5 10 7 4 2" xfId="33982" xr:uid="{00000000-0005-0000-0000-0000BE840000}"/>
    <cellStyle name="Normal 5 10 7 4 3" xfId="33983" xr:uid="{00000000-0005-0000-0000-0000BF840000}"/>
    <cellStyle name="Normal 5 10 7 4 4" xfId="33984" xr:uid="{00000000-0005-0000-0000-0000C0840000}"/>
    <cellStyle name="Normal 5 10 7 4 5" xfId="33985" xr:uid="{00000000-0005-0000-0000-0000C1840000}"/>
    <cellStyle name="Normal 5 10 7 4 6" xfId="33986" xr:uid="{00000000-0005-0000-0000-0000C2840000}"/>
    <cellStyle name="Normal 5 10 7 4 7" xfId="33987" xr:uid="{00000000-0005-0000-0000-0000C3840000}"/>
    <cellStyle name="Normal 5 10 7 4 8" xfId="33988" xr:uid="{00000000-0005-0000-0000-0000C4840000}"/>
    <cellStyle name="Normal 5 10 7 4 9" xfId="33989" xr:uid="{00000000-0005-0000-0000-0000C5840000}"/>
    <cellStyle name="Normal 5 10 7 5" xfId="33990" xr:uid="{00000000-0005-0000-0000-0000C6840000}"/>
    <cellStyle name="Normal 5 10 7 5 10" xfId="33991" xr:uid="{00000000-0005-0000-0000-0000C7840000}"/>
    <cellStyle name="Normal 5 10 7 5 2" xfId="33992" xr:uid="{00000000-0005-0000-0000-0000C8840000}"/>
    <cellStyle name="Normal 5 10 7 5 3" xfId="33993" xr:uid="{00000000-0005-0000-0000-0000C9840000}"/>
    <cellStyle name="Normal 5 10 7 5 4" xfId="33994" xr:uid="{00000000-0005-0000-0000-0000CA840000}"/>
    <cellStyle name="Normal 5 10 7 5 5" xfId="33995" xr:uid="{00000000-0005-0000-0000-0000CB840000}"/>
    <cellStyle name="Normal 5 10 7 5 6" xfId="33996" xr:uid="{00000000-0005-0000-0000-0000CC840000}"/>
    <cellStyle name="Normal 5 10 7 5 7" xfId="33997" xr:uid="{00000000-0005-0000-0000-0000CD840000}"/>
    <cellStyle name="Normal 5 10 7 5 8" xfId="33998" xr:uid="{00000000-0005-0000-0000-0000CE840000}"/>
    <cellStyle name="Normal 5 10 7 5 9" xfId="33999" xr:uid="{00000000-0005-0000-0000-0000CF840000}"/>
    <cellStyle name="Normal 5 10 7 6" xfId="34000" xr:uid="{00000000-0005-0000-0000-0000D0840000}"/>
    <cellStyle name="Normal 5 10 7 7" xfId="34001" xr:uid="{00000000-0005-0000-0000-0000D1840000}"/>
    <cellStyle name="Normal 5 10 7 8" xfId="34002" xr:uid="{00000000-0005-0000-0000-0000D2840000}"/>
    <cellStyle name="Normal 5 10 7 9" xfId="34003" xr:uid="{00000000-0005-0000-0000-0000D3840000}"/>
    <cellStyle name="Normal 5 10 8" xfId="34004" xr:uid="{00000000-0005-0000-0000-0000D4840000}"/>
    <cellStyle name="Normal 5 10 8 10" xfId="34005" xr:uid="{00000000-0005-0000-0000-0000D5840000}"/>
    <cellStyle name="Normal 5 10 8 11" xfId="34006" xr:uid="{00000000-0005-0000-0000-0000D6840000}"/>
    <cellStyle name="Normal 5 10 8 12" xfId="34007" xr:uid="{00000000-0005-0000-0000-0000D7840000}"/>
    <cellStyle name="Normal 5 10 8 13" xfId="34008" xr:uid="{00000000-0005-0000-0000-0000D8840000}"/>
    <cellStyle name="Normal 5 10 8 14" xfId="34009" xr:uid="{00000000-0005-0000-0000-0000D9840000}"/>
    <cellStyle name="Normal 5 10 8 2" xfId="34010" xr:uid="{00000000-0005-0000-0000-0000DA840000}"/>
    <cellStyle name="Normal 5 10 8 2 10" xfId="34011" xr:uid="{00000000-0005-0000-0000-0000DB840000}"/>
    <cellStyle name="Normal 5 10 8 2 2" xfId="34012" xr:uid="{00000000-0005-0000-0000-0000DC840000}"/>
    <cellStyle name="Normal 5 10 8 2 3" xfId="34013" xr:uid="{00000000-0005-0000-0000-0000DD840000}"/>
    <cellStyle name="Normal 5 10 8 2 4" xfId="34014" xr:uid="{00000000-0005-0000-0000-0000DE840000}"/>
    <cellStyle name="Normal 5 10 8 2 5" xfId="34015" xr:uid="{00000000-0005-0000-0000-0000DF840000}"/>
    <cellStyle name="Normal 5 10 8 2 6" xfId="34016" xr:uid="{00000000-0005-0000-0000-0000E0840000}"/>
    <cellStyle name="Normal 5 10 8 2 7" xfId="34017" xr:uid="{00000000-0005-0000-0000-0000E1840000}"/>
    <cellStyle name="Normal 5 10 8 2 8" xfId="34018" xr:uid="{00000000-0005-0000-0000-0000E2840000}"/>
    <cellStyle name="Normal 5 10 8 2 9" xfId="34019" xr:uid="{00000000-0005-0000-0000-0000E3840000}"/>
    <cellStyle name="Normal 5 10 8 3" xfId="34020" xr:uid="{00000000-0005-0000-0000-0000E4840000}"/>
    <cellStyle name="Normal 5 10 8 3 10" xfId="34021" xr:uid="{00000000-0005-0000-0000-0000E5840000}"/>
    <cellStyle name="Normal 5 10 8 3 2" xfId="34022" xr:uid="{00000000-0005-0000-0000-0000E6840000}"/>
    <cellStyle name="Normal 5 10 8 3 3" xfId="34023" xr:uid="{00000000-0005-0000-0000-0000E7840000}"/>
    <cellStyle name="Normal 5 10 8 3 4" xfId="34024" xr:uid="{00000000-0005-0000-0000-0000E8840000}"/>
    <cellStyle name="Normal 5 10 8 3 5" xfId="34025" xr:uid="{00000000-0005-0000-0000-0000E9840000}"/>
    <cellStyle name="Normal 5 10 8 3 6" xfId="34026" xr:uid="{00000000-0005-0000-0000-0000EA840000}"/>
    <cellStyle name="Normal 5 10 8 3 7" xfId="34027" xr:uid="{00000000-0005-0000-0000-0000EB840000}"/>
    <cellStyle name="Normal 5 10 8 3 8" xfId="34028" xr:uid="{00000000-0005-0000-0000-0000EC840000}"/>
    <cellStyle name="Normal 5 10 8 3 9" xfId="34029" xr:uid="{00000000-0005-0000-0000-0000ED840000}"/>
    <cellStyle name="Normal 5 10 8 4" xfId="34030" xr:uid="{00000000-0005-0000-0000-0000EE840000}"/>
    <cellStyle name="Normal 5 10 8 4 10" xfId="34031" xr:uid="{00000000-0005-0000-0000-0000EF840000}"/>
    <cellStyle name="Normal 5 10 8 4 2" xfId="34032" xr:uid="{00000000-0005-0000-0000-0000F0840000}"/>
    <cellStyle name="Normal 5 10 8 4 3" xfId="34033" xr:uid="{00000000-0005-0000-0000-0000F1840000}"/>
    <cellStyle name="Normal 5 10 8 4 4" xfId="34034" xr:uid="{00000000-0005-0000-0000-0000F2840000}"/>
    <cellStyle name="Normal 5 10 8 4 5" xfId="34035" xr:uid="{00000000-0005-0000-0000-0000F3840000}"/>
    <cellStyle name="Normal 5 10 8 4 6" xfId="34036" xr:uid="{00000000-0005-0000-0000-0000F4840000}"/>
    <cellStyle name="Normal 5 10 8 4 7" xfId="34037" xr:uid="{00000000-0005-0000-0000-0000F5840000}"/>
    <cellStyle name="Normal 5 10 8 4 8" xfId="34038" xr:uid="{00000000-0005-0000-0000-0000F6840000}"/>
    <cellStyle name="Normal 5 10 8 4 9" xfId="34039" xr:uid="{00000000-0005-0000-0000-0000F7840000}"/>
    <cellStyle name="Normal 5 10 8 5" xfId="34040" xr:uid="{00000000-0005-0000-0000-0000F8840000}"/>
    <cellStyle name="Normal 5 10 8 5 10" xfId="34041" xr:uid="{00000000-0005-0000-0000-0000F9840000}"/>
    <cellStyle name="Normal 5 10 8 5 2" xfId="34042" xr:uid="{00000000-0005-0000-0000-0000FA840000}"/>
    <cellStyle name="Normal 5 10 8 5 3" xfId="34043" xr:uid="{00000000-0005-0000-0000-0000FB840000}"/>
    <cellStyle name="Normal 5 10 8 5 4" xfId="34044" xr:uid="{00000000-0005-0000-0000-0000FC840000}"/>
    <cellStyle name="Normal 5 10 8 5 5" xfId="34045" xr:uid="{00000000-0005-0000-0000-0000FD840000}"/>
    <cellStyle name="Normal 5 10 8 5 6" xfId="34046" xr:uid="{00000000-0005-0000-0000-0000FE840000}"/>
    <cellStyle name="Normal 5 10 8 5 7" xfId="34047" xr:uid="{00000000-0005-0000-0000-0000FF840000}"/>
    <cellStyle name="Normal 5 10 8 5 8" xfId="34048" xr:uid="{00000000-0005-0000-0000-000000850000}"/>
    <cellStyle name="Normal 5 10 8 5 9" xfId="34049" xr:uid="{00000000-0005-0000-0000-000001850000}"/>
    <cellStyle name="Normal 5 10 8 6" xfId="34050" xr:uid="{00000000-0005-0000-0000-000002850000}"/>
    <cellStyle name="Normal 5 10 8 7" xfId="34051" xr:uid="{00000000-0005-0000-0000-000003850000}"/>
    <cellStyle name="Normal 5 10 8 8" xfId="34052" xr:uid="{00000000-0005-0000-0000-000004850000}"/>
    <cellStyle name="Normal 5 10 8 9" xfId="34053" xr:uid="{00000000-0005-0000-0000-000005850000}"/>
    <cellStyle name="Normal 5 10 9" xfId="34054" xr:uid="{00000000-0005-0000-0000-000006850000}"/>
    <cellStyle name="Normal 5 10 9 10" xfId="34055" xr:uid="{00000000-0005-0000-0000-000007850000}"/>
    <cellStyle name="Normal 5 10 9 11" xfId="34056" xr:uid="{00000000-0005-0000-0000-000008850000}"/>
    <cellStyle name="Normal 5 10 9 12" xfId="34057" xr:uid="{00000000-0005-0000-0000-000009850000}"/>
    <cellStyle name="Normal 5 10 9 13" xfId="34058" xr:uid="{00000000-0005-0000-0000-00000A850000}"/>
    <cellStyle name="Normal 5 10 9 14" xfId="34059" xr:uid="{00000000-0005-0000-0000-00000B850000}"/>
    <cellStyle name="Normal 5 10 9 2" xfId="34060" xr:uid="{00000000-0005-0000-0000-00000C850000}"/>
    <cellStyle name="Normal 5 10 9 2 10" xfId="34061" xr:uid="{00000000-0005-0000-0000-00000D850000}"/>
    <cellStyle name="Normal 5 10 9 2 2" xfId="34062" xr:uid="{00000000-0005-0000-0000-00000E850000}"/>
    <cellStyle name="Normal 5 10 9 2 3" xfId="34063" xr:uid="{00000000-0005-0000-0000-00000F850000}"/>
    <cellStyle name="Normal 5 10 9 2 4" xfId="34064" xr:uid="{00000000-0005-0000-0000-000010850000}"/>
    <cellStyle name="Normal 5 10 9 2 5" xfId="34065" xr:uid="{00000000-0005-0000-0000-000011850000}"/>
    <cellStyle name="Normal 5 10 9 2 6" xfId="34066" xr:uid="{00000000-0005-0000-0000-000012850000}"/>
    <cellStyle name="Normal 5 10 9 2 7" xfId="34067" xr:uid="{00000000-0005-0000-0000-000013850000}"/>
    <cellStyle name="Normal 5 10 9 2 8" xfId="34068" xr:uid="{00000000-0005-0000-0000-000014850000}"/>
    <cellStyle name="Normal 5 10 9 2 9" xfId="34069" xr:uid="{00000000-0005-0000-0000-000015850000}"/>
    <cellStyle name="Normal 5 10 9 3" xfId="34070" xr:uid="{00000000-0005-0000-0000-000016850000}"/>
    <cellStyle name="Normal 5 10 9 3 10" xfId="34071" xr:uid="{00000000-0005-0000-0000-000017850000}"/>
    <cellStyle name="Normal 5 10 9 3 2" xfId="34072" xr:uid="{00000000-0005-0000-0000-000018850000}"/>
    <cellStyle name="Normal 5 10 9 3 3" xfId="34073" xr:uid="{00000000-0005-0000-0000-000019850000}"/>
    <cellStyle name="Normal 5 10 9 3 4" xfId="34074" xr:uid="{00000000-0005-0000-0000-00001A850000}"/>
    <cellStyle name="Normal 5 10 9 3 5" xfId="34075" xr:uid="{00000000-0005-0000-0000-00001B850000}"/>
    <cellStyle name="Normal 5 10 9 3 6" xfId="34076" xr:uid="{00000000-0005-0000-0000-00001C850000}"/>
    <cellStyle name="Normal 5 10 9 3 7" xfId="34077" xr:uid="{00000000-0005-0000-0000-00001D850000}"/>
    <cellStyle name="Normal 5 10 9 3 8" xfId="34078" xr:uid="{00000000-0005-0000-0000-00001E850000}"/>
    <cellStyle name="Normal 5 10 9 3 9" xfId="34079" xr:uid="{00000000-0005-0000-0000-00001F850000}"/>
    <cellStyle name="Normal 5 10 9 4" xfId="34080" xr:uid="{00000000-0005-0000-0000-000020850000}"/>
    <cellStyle name="Normal 5 10 9 4 10" xfId="34081" xr:uid="{00000000-0005-0000-0000-000021850000}"/>
    <cellStyle name="Normal 5 10 9 4 2" xfId="34082" xr:uid="{00000000-0005-0000-0000-000022850000}"/>
    <cellStyle name="Normal 5 10 9 4 3" xfId="34083" xr:uid="{00000000-0005-0000-0000-000023850000}"/>
    <cellStyle name="Normal 5 10 9 4 4" xfId="34084" xr:uid="{00000000-0005-0000-0000-000024850000}"/>
    <cellStyle name="Normal 5 10 9 4 5" xfId="34085" xr:uid="{00000000-0005-0000-0000-000025850000}"/>
    <cellStyle name="Normal 5 10 9 4 6" xfId="34086" xr:uid="{00000000-0005-0000-0000-000026850000}"/>
    <cellStyle name="Normal 5 10 9 4 7" xfId="34087" xr:uid="{00000000-0005-0000-0000-000027850000}"/>
    <cellStyle name="Normal 5 10 9 4 8" xfId="34088" xr:uid="{00000000-0005-0000-0000-000028850000}"/>
    <cellStyle name="Normal 5 10 9 4 9" xfId="34089" xr:uid="{00000000-0005-0000-0000-000029850000}"/>
    <cellStyle name="Normal 5 10 9 5" xfId="34090" xr:uid="{00000000-0005-0000-0000-00002A850000}"/>
    <cellStyle name="Normal 5 10 9 5 10" xfId="34091" xr:uid="{00000000-0005-0000-0000-00002B850000}"/>
    <cellStyle name="Normal 5 10 9 5 2" xfId="34092" xr:uid="{00000000-0005-0000-0000-00002C850000}"/>
    <cellStyle name="Normal 5 10 9 5 3" xfId="34093" xr:uid="{00000000-0005-0000-0000-00002D850000}"/>
    <cellStyle name="Normal 5 10 9 5 4" xfId="34094" xr:uid="{00000000-0005-0000-0000-00002E850000}"/>
    <cellStyle name="Normal 5 10 9 5 5" xfId="34095" xr:uid="{00000000-0005-0000-0000-00002F850000}"/>
    <cellStyle name="Normal 5 10 9 5 6" xfId="34096" xr:uid="{00000000-0005-0000-0000-000030850000}"/>
    <cellStyle name="Normal 5 10 9 5 7" xfId="34097" xr:uid="{00000000-0005-0000-0000-000031850000}"/>
    <cellStyle name="Normal 5 10 9 5 8" xfId="34098" xr:uid="{00000000-0005-0000-0000-000032850000}"/>
    <cellStyle name="Normal 5 10 9 5 9" xfId="34099" xr:uid="{00000000-0005-0000-0000-000033850000}"/>
    <cellStyle name="Normal 5 10 9 6" xfId="34100" xr:uid="{00000000-0005-0000-0000-000034850000}"/>
    <cellStyle name="Normal 5 10 9 7" xfId="34101" xr:uid="{00000000-0005-0000-0000-000035850000}"/>
    <cellStyle name="Normal 5 10 9 8" xfId="34102" xr:uid="{00000000-0005-0000-0000-000036850000}"/>
    <cellStyle name="Normal 5 10 9 9" xfId="34103" xr:uid="{00000000-0005-0000-0000-000037850000}"/>
    <cellStyle name="Normal 5 11" xfId="34104" xr:uid="{00000000-0005-0000-0000-000038850000}"/>
    <cellStyle name="Normal 5 11 2" xfId="34105" xr:uid="{00000000-0005-0000-0000-000039850000}"/>
    <cellStyle name="Normal 5 11 2 2" xfId="34106" xr:uid="{00000000-0005-0000-0000-00003A850000}"/>
    <cellStyle name="Normal 5 11 3" xfId="34107" xr:uid="{00000000-0005-0000-0000-00003B850000}"/>
    <cellStyle name="Normal 5 11 4" xfId="34108" xr:uid="{00000000-0005-0000-0000-00003C850000}"/>
    <cellStyle name="Normal 5 12" xfId="34109" xr:uid="{00000000-0005-0000-0000-00003D850000}"/>
    <cellStyle name="Normal 5 12 2" xfId="34110" xr:uid="{00000000-0005-0000-0000-00003E850000}"/>
    <cellStyle name="Normal 5 12 2 2" xfId="34111" xr:uid="{00000000-0005-0000-0000-00003F850000}"/>
    <cellStyle name="Normal 5 12 3" xfId="34112" xr:uid="{00000000-0005-0000-0000-000040850000}"/>
    <cellStyle name="Normal 5 12 4" xfId="34113" xr:uid="{00000000-0005-0000-0000-000041850000}"/>
    <cellStyle name="Normal 5 13" xfId="34114" xr:uid="{00000000-0005-0000-0000-000042850000}"/>
    <cellStyle name="Normal 5 13 2" xfId="34115" xr:uid="{00000000-0005-0000-0000-000043850000}"/>
    <cellStyle name="Normal 5 13 2 2" xfId="34116" xr:uid="{00000000-0005-0000-0000-000044850000}"/>
    <cellStyle name="Normal 5 13 3" xfId="34117" xr:uid="{00000000-0005-0000-0000-000045850000}"/>
    <cellStyle name="Normal 5 13 4" xfId="34118" xr:uid="{00000000-0005-0000-0000-000046850000}"/>
    <cellStyle name="Normal 5 14" xfId="34119" xr:uid="{00000000-0005-0000-0000-000047850000}"/>
    <cellStyle name="Normal 5 14 2" xfId="34120" xr:uid="{00000000-0005-0000-0000-000048850000}"/>
    <cellStyle name="Normal 5 14 2 2" xfId="34121" xr:uid="{00000000-0005-0000-0000-000049850000}"/>
    <cellStyle name="Normal 5 14 3" xfId="34122" xr:uid="{00000000-0005-0000-0000-00004A850000}"/>
    <cellStyle name="Normal 5 14 4" xfId="34123" xr:uid="{00000000-0005-0000-0000-00004B850000}"/>
    <cellStyle name="Normal 5 15" xfId="34124" xr:uid="{00000000-0005-0000-0000-00004C850000}"/>
    <cellStyle name="Normal 5 15 2" xfId="34125" xr:uid="{00000000-0005-0000-0000-00004D850000}"/>
    <cellStyle name="Normal 5 15 2 2" xfId="34126" xr:uid="{00000000-0005-0000-0000-00004E850000}"/>
    <cellStyle name="Normal 5 15 3" xfId="34127" xr:uid="{00000000-0005-0000-0000-00004F850000}"/>
    <cellStyle name="Normal 5 15 4" xfId="34128" xr:uid="{00000000-0005-0000-0000-000050850000}"/>
    <cellStyle name="Normal 5 16" xfId="34129" xr:uid="{00000000-0005-0000-0000-000051850000}"/>
    <cellStyle name="Normal 5 16 2" xfId="34130" xr:uid="{00000000-0005-0000-0000-000052850000}"/>
    <cellStyle name="Normal 5 16 2 2" xfId="34131" xr:uid="{00000000-0005-0000-0000-000053850000}"/>
    <cellStyle name="Normal 5 16 3" xfId="34132" xr:uid="{00000000-0005-0000-0000-000054850000}"/>
    <cellStyle name="Normal 5 16 4" xfId="34133" xr:uid="{00000000-0005-0000-0000-000055850000}"/>
    <cellStyle name="Normal 5 17" xfId="34134" xr:uid="{00000000-0005-0000-0000-000056850000}"/>
    <cellStyle name="Normal 5 17 10" xfId="34135" xr:uid="{00000000-0005-0000-0000-000057850000}"/>
    <cellStyle name="Normal 5 17 10 10" xfId="34136" xr:uid="{00000000-0005-0000-0000-000058850000}"/>
    <cellStyle name="Normal 5 17 10 11" xfId="34137" xr:uid="{00000000-0005-0000-0000-000059850000}"/>
    <cellStyle name="Normal 5 17 10 12" xfId="34138" xr:uid="{00000000-0005-0000-0000-00005A850000}"/>
    <cellStyle name="Normal 5 17 10 13" xfId="34139" xr:uid="{00000000-0005-0000-0000-00005B850000}"/>
    <cellStyle name="Normal 5 17 10 14" xfId="34140" xr:uid="{00000000-0005-0000-0000-00005C850000}"/>
    <cellStyle name="Normal 5 17 10 2" xfId="34141" xr:uid="{00000000-0005-0000-0000-00005D850000}"/>
    <cellStyle name="Normal 5 17 10 2 10" xfId="34142" xr:uid="{00000000-0005-0000-0000-00005E850000}"/>
    <cellStyle name="Normal 5 17 10 2 2" xfId="34143" xr:uid="{00000000-0005-0000-0000-00005F850000}"/>
    <cellStyle name="Normal 5 17 10 2 3" xfId="34144" xr:uid="{00000000-0005-0000-0000-000060850000}"/>
    <cellStyle name="Normal 5 17 10 2 4" xfId="34145" xr:uid="{00000000-0005-0000-0000-000061850000}"/>
    <cellStyle name="Normal 5 17 10 2 5" xfId="34146" xr:uid="{00000000-0005-0000-0000-000062850000}"/>
    <cellStyle name="Normal 5 17 10 2 6" xfId="34147" xr:uid="{00000000-0005-0000-0000-000063850000}"/>
    <cellStyle name="Normal 5 17 10 2 7" xfId="34148" xr:uid="{00000000-0005-0000-0000-000064850000}"/>
    <cellStyle name="Normal 5 17 10 2 8" xfId="34149" xr:uid="{00000000-0005-0000-0000-000065850000}"/>
    <cellStyle name="Normal 5 17 10 2 9" xfId="34150" xr:uid="{00000000-0005-0000-0000-000066850000}"/>
    <cellStyle name="Normal 5 17 10 3" xfId="34151" xr:uid="{00000000-0005-0000-0000-000067850000}"/>
    <cellStyle name="Normal 5 17 10 3 10" xfId="34152" xr:uid="{00000000-0005-0000-0000-000068850000}"/>
    <cellStyle name="Normal 5 17 10 3 2" xfId="34153" xr:uid="{00000000-0005-0000-0000-000069850000}"/>
    <cellStyle name="Normal 5 17 10 3 3" xfId="34154" xr:uid="{00000000-0005-0000-0000-00006A850000}"/>
    <cellStyle name="Normal 5 17 10 3 4" xfId="34155" xr:uid="{00000000-0005-0000-0000-00006B850000}"/>
    <cellStyle name="Normal 5 17 10 3 5" xfId="34156" xr:uid="{00000000-0005-0000-0000-00006C850000}"/>
    <cellStyle name="Normal 5 17 10 3 6" xfId="34157" xr:uid="{00000000-0005-0000-0000-00006D850000}"/>
    <cellStyle name="Normal 5 17 10 3 7" xfId="34158" xr:uid="{00000000-0005-0000-0000-00006E850000}"/>
    <cellStyle name="Normal 5 17 10 3 8" xfId="34159" xr:uid="{00000000-0005-0000-0000-00006F850000}"/>
    <cellStyle name="Normal 5 17 10 3 9" xfId="34160" xr:uid="{00000000-0005-0000-0000-000070850000}"/>
    <cellStyle name="Normal 5 17 10 4" xfId="34161" xr:uid="{00000000-0005-0000-0000-000071850000}"/>
    <cellStyle name="Normal 5 17 10 4 10" xfId="34162" xr:uid="{00000000-0005-0000-0000-000072850000}"/>
    <cellStyle name="Normal 5 17 10 4 2" xfId="34163" xr:uid="{00000000-0005-0000-0000-000073850000}"/>
    <cellStyle name="Normal 5 17 10 4 3" xfId="34164" xr:uid="{00000000-0005-0000-0000-000074850000}"/>
    <cellStyle name="Normal 5 17 10 4 4" xfId="34165" xr:uid="{00000000-0005-0000-0000-000075850000}"/>
    <cellStyle name="Normal 5 17 10 4 5" xfId="34166" xr:uid="{00000000-0005-0000-0000-000076850000}"/>
    <cellStyle name="Normal 5 17 10 4 6" xfId="34167" xr:uid="{00000000-0005-0000-0000-000077850000}"/>
    <cellStyle name="Normal 5 17 10 4 7" xfId="34168" xr:uid="{00000000-0005-0000-0000-000078850000}"/>
    <cellStyle name="Normal 5 17 10 4 8" xfId="34169" xr:uid="{00000000-0005-0000-0000-000079850000}"/>
    <cellStyle name="Normal 5 17 10 4 9" xfId="34170" xr:uid="{00000000-0005-0000-0000-00007A850000}"/>
    <cellStyle name="Normal 5 17 10 5" xfId="34171" xr:uid="{00000000-0005-0000-0000-00007B850000}"/>
    <cellStyle name="Normal 5 17 10 5 10" xfId="34172" xr:uid="{00000000-0005-0000-0000-00007C850000}"/>
    <cellStyle name="Normal 5 17 10 5 2" xfId="34173" xr:uid="{00000000-0005-0000-0000-00007D850000}"/>
    <cellStyle name="Normal 5 17 10 5 3" xfId="34174" xr:uid="{00000000-0005-0000-0000-00007E850000}"/>
    <cellStyle name="Normal 5 17 10 5 4" xfId="34175" xr:uid="{00000000-0005-0000-0000-00007F850000}"/>
    <cellStyle name="Normal 5 17 10 5 5" xfId="34176" xr:uid="{00000000-0005-0000-0000-000080850000}"/>
    <cellStyle name="Normal 5 17 10 5 6" xfId="34177" xr:uid="{00000000-0005-0000-0000-000081850000}"/>
    <cellStyle name="Normal 5 17 10 5 7" xfId="34178" xr:uid="{00000000-0005-0000-0000-000082850000}"/>
    <cellStyle name="Normal 5 17 10 5 8" xfId="34179" xr:uid="{00000000-0005-0000-0000-000083850000}"/>
    <cellStyle name="Normal 5 17 10 5 9" xfId="34180" xr:uid="{00000000-0005-0000-0000-000084850000}"/>
    <cellStyle name="Normal 5 17 10 6" xfId="34181" xr:uid="{00000000-0005-0000-0000-000085850000}"/>
    <cellStyle name="Normal 5 17 10 7" xfId="34182" xr:uid="{00000000-0005-0000-0000-000086850000}"/>
    <cellStyle name="Normal 5 17 10 8" xfId="34183" xr:uid="{00000000-0005-0000-0000-000087850000}"/>
    <cellStyle name="Normal 5 17 10 9" xfId="34184" xr:uid="{00000000-0005-0000-0000-000088850000}"/>
    <cellStyle name="Normal 5 17 11" xfId="34185" xr:uid="{00000000-0005-0000-0000-000089850000}"/>
    <cellStyle name="Normal 5 17 11 10" xfId="34186" xr:uid="{00000000-0005-0000-0000-00008A850000}"/>
    <cellStyle name="Normal 5 17 11 11" xfId="34187" xr:uid="{00000000-0005-0000-0000-00008B850000}"/>
    <cellStyle name="Normal 5 17 11 12" xfId="34188" xr:uid="{00000000-0005-0000-0000-00008C850000}"/>
    <cellStyle name="Normal 5 17 11 13" xfId="34189" xr:uid="{00000000-0005-0000-0000-00008D850000}"/>
    <cellStyle name="Normal 5 17 11 14" xfId="34190" xr:uid="{00000000-0005-0000-0000-00008E850000}"/>
    <cellStyle name="Normal 5 17 11 2" xfId="34191" xr:uid="{00000000-0005-0000-0000-00008F850000}"/>
    <cellStyle name="Normal 5 17 11 2 10" xfId="34192" xr:uid="{00000000-0005-0000-0000-000090850000}"/>
    <cellStyle name="Normal 5 17 11 2 2" xfId="34193" xr:uid="{00000000-0005-0000-0000-000091850000}"/>
    <cellStyle name="Normal 5 17 11 2 3" xfId="34194" xr:uid="{00000000-0005-0000-0000-000092850000}"/>
    <cellStyle name="Normal 5 17 11 2 4" xfId="34195" xr:uid="{00000000-0005-0000-0000-000093850000}"/>
    <cellStyle name="Normal 5 17 11 2 5" xfId="34196" xr:uid="{00000000-0005-0000-0000-000094850000}"/>
    <cellStyle name="Normal 5 17 11 2 6" xfId="34197" xr:uid="{00000000-0005-0000-0000-000095850000}"/>
    <cellStyle name="Normal 5 17 11 2 7" xfId="34198" xr:uid="{00000000-0005-0000-0000-000096850000}"/>
    <cellStyle name="Normal 5 17 11 2 8" xfId="34199" xr:uid="{00000000-0005-0000-0000-000097850000}"/>
    <cellStyle name="Normal 5 17 11 2 9" xfId="34200" xr:uid="{00000000-0005-0000-0000-000098850000}"/>
    <cellStyle name="Normal 5 17 11 3" xfId="34201" xr:uid="{00000000-0005-0000-0000-000099850000}"/>
    <cellStyle name="Normal 5 17 11 3 10" xfId="34202" xr:uid="{00000000-0005-0000-0000-00009A850000}"/>
    <cellStyle name="Normal 5 17 11 3 2" xfId="34203" xr:uid="{00000000-0005-0000-0000-00009B850000}"/>
    <cellStyle name="Normal 5 17 11 3 3" xfId="34204" xr:uid="{00000000-0005-0000-0000-00009C850000}"/>
    <cellStyle name="Normal 5 17 11 3 4" xfId="34205" xr:uid="{00000000-0005-0000-0000-00009D850000}"/>
    <cellStyle name="Normal 5 17 11 3 5" xfId="34206" xr:uid="{00000000-0005-0000-0000-00009E850000}"/>
    <cellStyle name="Normal 5 17 11 3 6" xfId="34207" xr:uid="{00000000-0005-0000-0000-00009F850000}"/>
    <cellStyle name="Normal 5 17 11 3 7" xfId="34208" xr:uid="{00000000-0005-0000-0000-0000A0850000}"/>
    <cellStyle name="Normal 5 17 11 3 8" xfId="34209" xr:uid="{00000000-0005-0000-0000-0000A1850000}"/>
    <cellStyle name="Normal 5 17 11 3 9" xfId="34210" xr:uid="{00000000-0005-0000-0000-0000A2850000}"/>
    <cellStyle name="Normal 5 17 11 4" xfId="34211" xr:uid="{00000000-0005-0000-0000-0000A3850000}"/>
    <cellStyle name="Normal 5 17 11 4 10" xfId="34212" xr:uid="{00000000-0005-0000-0000-0000A4850000}"/>
    <cellStyle name="Normal 5 17 11 4 2" xfId="34213" xr:uid="{00000000-0005-0000-0000-0000A5850000}"/>
    <cellStyle name="Normal 5 17 11 4 3" xfId="34214" xr:uid="{00000000-0005-0000-0000-0000A6850000}"/>
    <cellStyle name="Normal 5 17 11 4 4" xfId="34215" xr:uid="{00000000-0005-0000-0000-0000A7850000}"/>
    <cellStyle name="Normal 5 17 11 4 5" xfId="34216" xr:uid="{00000000-0005-0000-0000-0000A8850000}"/>
    <cellStyle name="Normal 5 17 11 4 6" xfId="34217" xr:uid="{00000000-0005-0000-0000-0000A9850000}"/>
    <cellStyle name="Normal 5 17 11 4 7" xfId="34218" xr:uid="{00000000-0005-0000-0000-0000AA850000}"/>
    <cellStyle name="Normal 5 17 11 4 8" xfId="34219" xr:uid="{00000000-0005-0000-0000-0000AB850000}"/>
    <cellStyle name="Normal 5 17 11 4 9" xfId="34220" xr:uid="{00000000-0005-0000-0000-0000AC850000}"/>
    <cellStyle name="Normal 5 17 11 5" xfId="34221" xr:uid="{00000000-0005-0000-0000-0000AD850000}"/>
    <cellStyle name="Normal 5 17 11 5 10" xfId="34222" xr:uid="{00000000-0005-0000-0000-0000AE850000}"/>
    <cellStyle name="Normal 5 17 11 5 2" xfId="34223" xr:uid="{00000000-0005-0000-0000-0000AF850000}"/>
    <cellStyle name="Normal 5 17 11 5 3" xfId="34224" xr:uid="{00000000-0005-0000-0000-0000B0850000}"/>
    <cellStyle name="Normal 5 17 11 5 4" xfId="34225" xr:uid="{00000000-0005-0000-0000-0000B1850000}"/>
    <cellStyle name="Normal 5 17 11 5 5" xfId="34226" xr:uid="{00000000-0005-0000-0000-0000B2850000}"/>
    <cellStyle name="Normal 5 17 11 5 6" xfId="34227" xr:uid="{00000000-0005-0000-0000-0000B3850000}"/>
    <cellStyle name="Normal 5 17 11 5 7" xfId="34228" xr:uid="{00000000-0005-0000-0000-0000B4850000}"/>
    <cellStyle name="Normal 5 17 11 5 8" xfId="34229" xr:uid="{00000000-0005-0000-0000-0000B5850000}"/>
    <cellStyle name="Normal 5 17 11 5 9" xfId="34230" xr:uid="{00000000-0005-0000-0000-0000B6850000}"/>
    <cellStyle name="Normal 5 17 11 6" xfId="34231" xr:uid="{00000000-0005-0000-0000-0000B7850000}"/>
    <cellStyle name="Normal 5 17 11 7" xfId="34232" xr:uid="{00000000-0005-0000-0000-0000B8850000}"/>
    <cellStyle name="Normal 5 17 11 8" xfId="34233" xr:uid="{00000000-0005-0000-0000-0000B9850000}"/>
    <cellStyle name="Normal 5 17 11 9" xfId="34234" xr:uid="{00000000-0005-0000-0000-0000BA850000}"/>
    <cellStyle name="Normal 5 17 12" xfId="34235" xr:uid="{00000000-0005-0000-0000-0000BB850000}"/>
    <cellStyle name="Normal 5 17 12 10" xfId="34236" xr:uid="{00000000-0005-0000-0000-0000BC850000}"/>
    <cellStyle name="Normal 5 17 12 11" xfId="34237" xr:uid="{00000000-0005-0000-0000-0000BD850000}"/>
    <cellStyle name="Normal 5 17 12 12" xfId="34238" xr:uid="{00000000-0005-0000-0000-0000BE850000}"/>
    <cellStyle name="Normal 5 17 12 13" xfId="34239" xr:uid="{00000000-0005-0000-0000-0000BF850000}"/>
    <cellStyle name="Normal 5 17 12 14" xfId="34240" xr:uid="{00000000-0005-0000-0000-0000C0850000}"/>
    <cellStyle name="Normal 5 17 12 2" xfId="34241" xr:uid="{00000000-0005-0000-0000-0000C1850000}"/>
    <cellStyle name="Normal 5 17 12 2 10" xfId="34242" xr:uid="{00000000-0005-0000-0000-0000C2850000}"/>
    <cellStyle name="Normal 5 17 12 2 2" xfId="34243" xr:uid="{00000000-0005-0000-0000-0000C3850000}"/>
    <cellStyle name="Normal 5 17 12 2 3" xfId="34244" xr:uid="{00000000-0005-0000-0000-0000C4850000}"/>
    <cellStyle name="Normal 5 17 12 2 4" xfId="34245" xr:uid="{00000000-0005-0000-0000-0000C5850000}"/>
    <cellStyle name="Normal 5 17 12 2 5" xfId="34246" xr:uid="{00000000-0005-0000-0000-0000C6850000}"/>
    <cellStyle name="Normal 5 17 12 2 6" xfId="34247" xr:uid="{00000000-0005-0000-0000-0000C7850000}"/>
    <cellStyle name="Normal 5 17 12 2 7" xfId="34248" xr:uid="{00000000-0005-0000-0000-0000C8850000}"/>
    <cellStyle name="Normal 5 17 12 2 8" xfId="34249" xr:uid="{00000000-0005-0000-0000-0000C9850000}"/>
    <cellStyle name="Normal 5 17 12 2 9" xfId="34250" xr:uid="{00000000-0005-0000-0000-0000CA850000}"/>
    <cellStyle name="Normal 5 17 12 3" xfId="34251" xr:uid="{00000000-0005-0000-0000-0000CB850000}"/>
    <cellStyle name="Normal 5 17 12 3 10" xfId="34252" xr:uid="{00000000-0005-0000-0000-0000CC850000}"/>
    <cellStyle name="Normal 5 17 12 3 2" xfId="34253" xr:uid="{00000000-0005-0000-0000-0000CD850000}"/>
    <cellStyle name="Normal 5 17 12 3 3" xfId="34254" xr:uid="{00000000-0005-0000-0000-0000CE850000}"/>
    <cellStyle name="Normal 5 17 12 3 4" xfId="34255" xr:uid="{00000000-0005-0000-0000-0000CF850000}"/>
    <cellStyle name="Normal 5 17 12 3 5" xfId="34256" xr:uid="{00000000-0005-0000-0000-0000D0850000}"/>
    <cellStyle name="Normal 5 17 12 3 6" xfId="34257" xr:uid="{00000000-0005-0000-0000-0000D1850000}"/>
    <cellStyle name="Normal 5 17 12 3 7" xfId="34258" xr:uid="{00000000-0005-0000-0000-0000D2850000}"/>
    <cellStyle name="Normal 5 17 12 3 8" xfId="34259" xr:uid="{00000000-0005-0000-0000-0000D3850000}"/>
    <cellStyle name="Normal 5 17 12 3 9" xfId="34260" xr:uid="{00000000-0005-0000-0000-0000D4850000}"/>
    <cellStyle name="Normal 5 17 12 4" xfId="34261" xr:uid="{00000000-0005-0000-0000-0000D5850000}"/>
    <cellStyle name="Normal 5 17 12 4 10" xfId="34262" xr:uid="{00000000-0005-0000-0000-0000D6850000}"/>
    <cellStyle name="Normal 5 17 12 4 2" xfId="34263" xr:uid="{00000000-0005-0000-0000-0000D7850000}"/>
    <cellStyle name="Normal 5 17 12 4 3" xfId="34264" xr:uid="{00000000-0005-0000-0000-0000D8850000}"/>
    <cellStyle name="Normal 5 17 12 4 4" xfId="34265" xr:uid="{00000000-0005-0000-0000-0000D9850000}"/>
    <cellStyle name="Normal 5 17 12 4 5" xfId="34266" xr:uid="{00000000-0005-0000-0000-0000DA850000}"/>
    <cellStyle name="Normal 5 17 12 4 6" xfId="34267" xr:uid="{00000000-0005-0000-0000-0000DB850000}"/>
    <cellStyle name="Normal 5 17 12 4 7" xfId="34268" xr:uid="{00000000-0005-0000-0000-0000DC850000}"/>
    <cellStyle name="Normal 5 17 12 4 8" xfId="34269" xr:uid="{00000000-0005-0000-0000-0000DD850000}"/>
    <cellStyle name="Normal 5 17 12 4 9" xfId="34270" xr:uid="{00000000-0005-0000-0000-0000DE850000}"/>
    <cellStyle name="Normal 5 17 12 5" xfId="34271" xr:uid="{00000000-0005-0000-0000-0000DF850000}"/>
    <cellStyle name="Normal 5 17 12 5 10" xfId="34272" xr:uid="{00000000-0005-0000-0000-0000E0850000}"/>
    <cellStyle name="Normal 5 17 12 5 2" xfId="34273" xr:uid="{00000000-0005-0000-0000-0000E1850000}"/>
    <cellStyle name="Normal 5 17 12 5 3" xfId="34274" xr:uid="{00000000-0005-0000-0000-0000E2850000}"/>
    <cellStyle name="Normal 5 17 12 5 4" xfId="34275" xr:uid="{00000000-0005-0000-0000-0000E3850000}"/>
    <cellStyle name="Normal 5 17 12 5 5" xfId="34276" xr:uid="{00000000-0005-0000-0000-0000E4850000}"/>
    <cellStyle name="Normal 5 17 12 5 6" xfId="34277" xr:uid="{00000000-0005-0000-0000-0000E5850000}"/>
    <cellStyle name="Normal 5 17 12 5 7" xfId="34278" xr:uid="{00000000-0005-0000-0000-0000E6850000}"/>
    <cellStyle name="Normal 5 17 12 5 8" xfId="34279" xr:uid="{00000000-0005-0000-0000-0000E7850000}"/>
    <cellStyle name="Normal 5 17 12 5 9" xfId="34280" xr:uid="{00000000-0005-0000-0000-0000E8850000}"/>
    <cellStyle name="Normal 5 17 12 6" xfId="34281" xr:uid="{00000000-0005-0000-0000-0000E9850000}"/>
    <cellStyle name="Normal 5 17 12 7" xfId="34282" xr:uid="{00000000-0005-0000-0000-0000EA850000}"/>
    <cellStyle name="Normal 5 17 12 8" xfId="34283" xr:uid="{00000000-0005-0000-0000-0000EB850000}"/>
    <cellStyle name="Normal 5 17 12 9" xfId="34284" xr:uid="{00000000-0005-0000-0000-0000EC850000}"/>
    <cellStyle name="Normal 5 17 13" xfId="34285" xr:uid="{00000000-0005-0000-0000-0000ED850000}"/>
    <cellStyle name="Normal 5 17 13 10" xfId="34286" xr:uid="{00000000-0005-0000-0000-0000EE850000}"/>
    <cellStyle name="Normal 5 17 13 11" xfId="34287" xr:uid="{00000000-0005-0000-0000-0000EF850000}"/>
    <cellStyle name="Normal 5 17 13 12" xfId="34288" xr:uid="{00000000-0005-0000-0000-0000F0850000}"/>
    <cellStyle name="Normal 5 17 13 13" xfId="34289" xr:uid="{00000000-0005-0000-0000-0000F1850000}"/>
    <cellStyle name="Normal 5 17 13 14" xfId="34290" xr:uid="{00000000-0005-0000-0000-0000F2850000}"/>
    <cellStyle name="Normal 5 17 13 2" xfId="34291" xr:uid="{00000000-0005-0000-0000-0000F3850000}"/>
    <cellStyle name="Normal 5 17 13 2 10" xfId="34292" xr:uid="{00000000-0005-0000-0000-0000F4850000}"/>
    <cellStyle name="Normal 5 17 13 2 2" xfId="34293" xr:uid="{00000000-0005-0000-0000-0000F5850000}"/>
    <cellStyle name="Normal 5 17 13 2 3" xfId="34294" xr:uid="{00000000-0005-0000-0000-0000F6850000}"/>
    <cellStyle name="Normal 5 17 13 2 4" xfId="34295" xr:uid="{00000000-0005-0000-0000-0000F7850000}"/>
    <cellStyle name="Normal 5 17 13 2 5" xfId="34296" xr:uid="{00000000-0005-0000-0000-0000F8850000}"/>
    <cellStyle name="Normal 5 17 13 2 6" xfId="34297" xr:uid="{00000000-0005-0000-0000-0000F9850000}"/>
    <cellStyle name="Normal 5 17 13 2 7" xfId="34298" xr:uid="{00000000-0005-0000-0000-0000FA850000}"/>
    <cellStyle name="Normal 5 17 13 2 8" xfId="34299" xr:uid="{00000000-0005-0000-0000-0000FB850000}"/>
    <cellStyle name="Normal 5 17 13 2 9" xfId="34300" xr:uid="{00000000-0005-0000-0000-0000FC850000}"/>
    <cellStyle name="Normal 5 17 13 3" xfId="34301" xr:uid="{00000000-0005-0000-0000-0000FD850000}"/>
    <cellStyle name="Normal 5 17 13 3 10" xfId="34302" xr:uid="{00000000-0005-0000-0000-0000FE850000}"/>
    <cellStyle name="Normal 5 17 13 3 2" xfId="34303" xr:uid="{00000000-0005-0000-0000-0000FF850000}"/>
    <cellStyle name="Normal 5 17 13 3 3" xfId="34304" xr:uid="{00000000-0005-0000-0000-000000860000}"/>
    <cellStyle name="Normal 5 17 13 3 4" xfId="34305" xr:uid="{00000000-0005-0000-0000-000001860000}"/>
    <cellStyle name="Normal 5 17 13 3 5" xfId="34306" xr:uid="{00000000-0005-0000-0000-000002860000}"/>
    <cellStyle name="Normal 5 17 13 3 6" xfId="34307" xr:uid="{00000000-0005-0000-0000-000003860000}"/>
    <cellStyle name="Normal 5 17 13 3 7" xfId="34308" xr:uid="{00000000-0005-0000-0000-000004860000}"/>
    <cellStyle name="Normal 5 17 13 3 8" xfId="34309" xr:uid="{00000000-0005-0000-0000-000005860000}"/>
    <cellStyle name="Normal 5 17 13 3 9" xfId="34310" xr:uid="{00000000-0005-0000-0000-000006860000}"/>
    <cellStyle name="Normal 5 17 13 4" xfId="34311" xr:uid="{00000000-0005-0000-0000-000007860000}"/>
    <cellStyle name="Normal 5 17 13 4 10" xfId="34312" xr:uid="{00000000-0005-0000-0000-000008860000}"/>
    <cellStyle name="Normal 5 17 13 4 2" xfId="34313" xr:uid="{00000000-0005-0000-0000-000009860000}"/>
    <cellStyle name="Normal 5 17 13 4 3" xfId="34314" xr:uid="{00000000-0005-0000-0000-00000A860000}"/>
    <cellStyle name="Normal 5 17 13 4 4" xfId="34315" xr:uid="{00000000-0005-0000-0000-00000B860000}"/>
    <cellStyle name="Normal 5 17 13 4 5" xfId="34316" xr:uid="{00000000-0005-0000-0000-00000C860000}"/>
    <cellStyle name="Normal 5 17 13 4 6" xfId="34317" xr:uid="{00000000-0005-0000-0000-00000D860000}"/>
    <cellStyle name="Normal 5 17 13 4 7" xfId="34318" xr:uid="{00000000-0005-0000-0000-00000E860000}"/>
    <cellStyle name="Normal 5 17 13 4 8" xfId="34319" xr:uid="{00000000-0005-0000-0000-00000F860000}"/>
    <cellStyle name="Normal 5 17 13 4 9" xfId="34320" xr:uid="{00000000-0005-0000-0000-000010860000}"/>
    <cellStyle name="Normal 5 17 13 5" xfId="34321" xr:uid="{00000000-0005-0000-0000-000011860000}"/>
    <cellStyle name="Normal 5 17 13 5 10" xfId="34322" xr:uid="{00000000-0005-0000-0000-000012860000}"/>
    <cellStyle name="Normal 5 17 13 5 2" xfId="34323" xr:uid="{00000000-0005-0000-0000-000013860000}"/>
    <cellStyle name="Normal 5 17 13 5 3" xfId="34324" xr:uid="{00000000-0005-0000-0000-000014860000}"/>
    <cellStyle name="Normal 5 17 13 5 4" xfId="34325" xr:uid="{00000000-0005-0000-0000-000015860000}"/>
    <cellStyle name="Normal 5 17 13 5 5" xfId="34326" xr:uid="{00000000-0005-0000-0000-000016860000}"/>
    <cellStyle name="Normal 5 17 13 5 6" xfId="34327" xr:uid="{00000000-0005-0000-0000-000017860000}"/>
    <cellStyle name="Normal 5 17 13 5 7" xfId="34328" xr:uid="{00000000-0005-0000-0000-000018860000}"/>
    <cellStyle name="Normal 5 17 13 5 8" xfId="34329" xr:uid="{00000000-0005-0000-0000-000019860000}"/>
    <cellStyle name="Normal 5 17 13 5 9" xfId="34330" xr:uid="{00000000-0005-0000-0000-00001A860000}"/>
    <cellStyle name="Normal 5 17 13 6" xfId="34331" xr:uid="{00000000-0005-0000-0000-00001B860000}"/>
    <cellStyle name="Normal 5 17 13 7" xfId="34332" xr:uid="{00000000-0005-0000-0000-00001C860000}"/>
    <cellStyle name="Normal 5 17 13 8" xfId="34333" xr:uid="{00000000-0005-0000-0000-00001D860000}"/>
    <cellStyle name="Normal 5 17 13 9" xfId="34334" xr:uid="{00000000-0005-0000-0000-00001E860000}"/>
    <cellStyle name="Normal 5 17 14" xfId="34335" xr:uid="{00000000-0005-0000-0000-00001F860000}"/>
    <cellStyle name="Normal 5 17 14 10" xfId="34336" xr:uid="{00000000-0005-0000-0000-000020860000}"/>
    <cellStyle name="Normal 5 17 14 11" xfId="34337" xr:uid="{00000000-0005-0000-0000-000021860000}"/>
    <cellStyle name="Normal 5 17 14 12" xfId="34338" xr:uid="{00000000-0005-0000-0000-000022860000}"/>
    <cellStyle name="Normal 5 17 14 13" xfId="34339" xr:uid="{00000000-0005-0000-0000-000023860000}"/>
    <cellStyle name="Normal 5 17 14 14" xfId="34340" xr:uid="{00000000-0005-0000-0000-000024860000}"/>
    <cellStyle name="Normal 5 17 14 2" xfId="34341" xr:uid="{00000000-0005-0000-0000-000025860000}"/>
    <cellStyle name="Normal 5 17 14 2 10" xfId="34342" xr:uid="{00000000-0005-0000-0000-000026860000}"/>
    <cellStyle name="Normal 5 17 14 2 2" xfId="34343" xr:uid="{00000000-0005-0000-0000-000027860000}"/>
    <cellStyle name="Normal 5 17 14 2 3" xfId="34344" xr:uid="{00000000-0005-0000-0000-000028860000}"/>
    <cellStyle name="Normal 5 17 14 2 4" xfId="34345" xr:uid="{00000000-0005-0000-0000-000029860000}"/>
    <cellStyle name="Normal 5 17 14 2 5" xfId="34346" xr:uid="{00000000-0005-0000-0000-00002A860000}"/>
    <cellStyle name="Normal 5 17 14 2 6" xfId="34347" xr:uid="{00000000-0005-0000-0000-00002B860000}"/>
    <cellStyle name="Normal 5 17 14 2 7" xfId="34348" xr:uid="{00000000-0005-0000-0000-00002C860000}"/>
    <cellStyle name="Normal 5 17 14 2 8" xfId="34349" xr:uid="{00000000-0005-0000-0000-00002D860000}"/>
    <cellStyle name="Normal 5 17 14 2 9" xfId="34350" xr:uid="{00000000-0005-0000-0000-00002E860000}"/>
    <cellStyle name="Normal 5 17 14 3" xfId="34351" xr:uid="{00000000-0005-0000-0000-00002F860000}"/>
    <cellStyle name="Normal 5 17 14 3 10" xfId="34352" xr:uid="{00000000-0005-0000-0000-000030860000}"/>
    <cellStyle name="Normal 5 17 14 3 2" xfId="34353" xr:uid="{00000000-0005-0000-0000-000031860000}"/>
    <cellStyle name="Normal 5 17 14 3 3" xfId="34354" xr:uid="{00000000-0005-0000-0000-000032860000}"/>
    <cellStyle name="Normal 5 17 14 3 4" xfId="34355" xr:uid="{00000000-0005-0000-0000-000033860000}"/>
    <cellStyle name="Normal 5 17 14 3 5" xfId="34356" xr:uid="{00000000-0005-0000-0000-000034860000}"/>
    <cellStyle name="Normal 5 17 14 3 6" xfId="34357" xr:uid="{00000000-0005-0000-0000-000035860000}"/>
    <cellStyle name="Normal 5 17 14 3 7" xfId="34358" xr:uid="{00000000-0005-0000-0000-000036860000}"/>
    <cellStyle name="Normal 5 17 14 3 8" xfId="34359" xr:uid="{00000000-0005-0000-0000-000037860000}"/>
    <cellStyle name="Normal 5 17 14 3 9" xfId="34360" xr:uid="{00000000-0005-0000-0000-000038860000}"/>
    <cellStyle name="Normal 5 17 14 4" xfId="34361" xr:uid="{00000000-0005-0000-0000-000039860000}"/>
    <cellStyle name="Normal 5 17 14 4 10" xfId="34362" xr:uid="{00000000-0005-0000-0000-00003A860000}"/>
    <cellStyle name="Normal 5 17 14 4 2" xfId="34363" xr:uid="{00000000-0005-0000-0000-00003B860000}"/>
    <cellStyle name="Normal 5 17 14 4 3" xfId="34364" xr:uid="{00000000-0005-0000-0000-00003C860000}"/>
    <cellStyle name="Normal 5 17 14 4 4" xfId="34365" xr:uid="{00000000-0005-0000-0000-00003D860000}"/>
    <cellStyle name="Normal 5 17 14 4 5" xfId="34366" xr:uid="{00000000-0005-0000-0000-00003E860000}"/>
    <cellStyle name="Normal 5 17 14 4 6" xfId="34367" xr:uid="{00000000-0005-0000-0000-00003F860000}"/>
    <cellStyle name="Normal 5 17 14 4 7" xfId="34368" xr:uid="{00000000-0005-0000-0000-000040860000}"/>
    <cellStyle name="Normal 5 17 14 4 8" xfId="34369" xr:uid="{00000000-0005-0000-0000-000041860000}"/>
    <cellStyle name="Normal 5 17 14 4 9" xfId="34370" xr:uid="{00000000-0005-0000-0000-000042860000}"/>
    <cellStyle name="Normal 5 17 14 5" xfId="34371" xr:uid="{00000000-0005-0000-0000-000043860000}"/>
    <cellStyle name="Normal 5 17 14 5 10" xfId="34372" xr:uid="{00000000-0005-0000-0000-000044860000}"/>
    <cellStyle name="Normal 5 17 14 5 2" xfId="34373" xr:uid="{00000000-0005-0000-0000-000045860000}"/>
    <cellStyle name="Normal 5 17 14 5 3" xfId="34374" xr:uid="{00000000-0005-0000-0000-000046860000}"/>
    <cellStyle name="Normal 5 17 14 5 4" xfId="34375" xr:uid="{00000000-0005-0000-0000-000047860000}"/>
    <cellStyle name="Normal 5 17 14 5 5" xfId="34376" xr:uid="{00000000-0005-0000-0000-000048860000}"/>
    <cellStyle name="Normal 5 17 14 5 6" xfId="34377" xr:uid="{00000000-0005-0000-0000-000049860000}"/>
    <cellStyle name="Normal 5 17 14 5 7" xfId="34378" xr:uid="{00000000-0005-0000-0000-00004A860000}"/>
    <cellStyle name="Normal 5 17 14 5 8" xfId="34379" xr:uid="{00000000-0005-0000-0000-00004B860000}"/>
    <cellStyle name="Normal 5 17 14 5 9" xfId="34380" xr:uid="{00000000-0005-0000-0000-00004C860000}"/>
    <cellStyle name="Normal 5 17 14 6" xfId="34381" xr:uid="{00000000-0005-0000-0000-00004D860000}"/>
    <cellStyle name="Normal 5 17 14 7" xfId="34382" xr:uid="{00000000-0005-0000-0000-00004E860000}"/>
    <cellStyle name="Normal 5 17 14 8" xfId="34383" xr:uid="{00000000-0005-0000-0000-00004F860000}"/>
    <cellStyle name="Normal 5 17 14 9" xfId="34384" xr:uid="{00000000-0005-0000-0000-000050860000}"/>
    <cellStyle name="Normal 5 17 15" xfId="34385" xr:uid="{00000000-0005-0000-0000-000051860000}"/>
    <cellStyle name="Normal 5 17 15 10" xfId="34386" xr:uid="{00000000-0005-0000-0000-000052860000}"/>
    <cellStyle name="Normal 5 17 15 11" xfId="34387" xr:uid="{00000000-0005-0000-0000-000053860000}"/>
    <cellStyle name="Normal 5 17 15 12" xfId="34388" xr:uid="{00000000-0005-0000-0000-000054860000}"/>
    <cellStyle name="Normal 5 17 15 13" xfId="34389" xr:uid="{00000000-0005-0000-0000-000055860000}"/>
    <cellStyle name="Normal 5 17 15 14" xfId="34390" xr:uid="{00000000-0005-0000-0000-000056860000}"/>
    <cellStyle name="Normal 5 17 15 2" xfId="34391" xr:uid="{00000000-0005-0000-0000-000057860000}"/>
    <cellStyle name="Normal 5 17 15 2 10" xfId="34392" xr:uid="{00000000-0005-0000-0000-000058860000}"/>
    <cellStyle name="Normal 5 17 15 2 2" xfId="34393" xr:uid="{00000000-0005-0000-0000-000059860000}"/>
    <cellStyle name="Normal 5 17 15 2 3" xfId="34394" xr:uid="{00000000-0005-0000-0000-00005A860000}"/>
    <cellStyle name="Normal 5 17 15 2 4" xfId="34395" xr:uid="{00000000-0005-0000-0000-00005B860000}"/>
    <cellStyle name="Normal 5 17 15 2 5" xfId="34396" xr:uid="{00000000-0005-0000-0000-00005C860000}"/>
    <cellStyle name="Normal 5 17 15 2 6" xfId="34397" xr:uid="{00000000-0005-0000-0000-00005D860000}"/>
    <cellStyle name="Normal 5 17 15 2 7" xfId="34398" xr:uid="{00000000-0005-0000-0000-00005E860000}"/>
    <cellStyle name="Normal 5 17 15 2 8" xfId="34399" xr:uid="{00000000-0005-0000-0000-00005F860000}"/>
    <cellStyle name="Normal 5 17 15 2 9" xfId="34400" xr:uid="{00000000-0005-0000-0000-000060860000}"/>
    <cellStyle name="Normal 5 17 15 3" xfId="34401" xr:uid="{00000000-0005-0000-0000-000061860000}"/>
    <cellStyle name="Normal 5 17 15 3 10" xfId="34402" xr:uid="{00000000-0005-0000-0000-000062860000}"/>
    <cellStyle name="Normal 5 17 15 3 2" xfId="34403" xr:uid="{00000000-0005-0000-0000-000063860000}"/>
    <cellStyle name="Normal 5 17 15 3 3" xfId="34404" xr:uid="{00000000-0005-0000-0000-000064860000}"/>
    <cellStyle name="Normal 5 17 15 3 4" xfId="34405" xr:uid="{00000000-0005-0000-0000-000065860000}"/>
    <cellStyle name="Normal 5 17 15 3 5" xfId="34406" xr:uid="{00000000-0005-0000-0000-000066860000}"/>
    <cellStyle name="Normal 5 17 15 3 6" xfId="34407" xr:uid="{00000000-0005-0000-0000-000067860000}"/>
    <cellStyle name="Normal 5 17 15 3 7" xfId="34408" xr:uid="{00000000-0005-0000-0000-000068860000}"/>
    <cellStyle name="Normal 5 17 15 3 8" xfId="34409" xr:uid="{00000000-0005-0000-0000-000069860000}"/>
    <cellStyle name="Normal 5 17 15 3 9" xfId="34410" xr:uid="{00000000-0005-0000-0000-00006A860000}"/>
    <cellStyle name="Normal 5 17 15 4" xfId="34411" xr:uid="{00000000-0005-0000-0000-00006B860000}"/>
    <cellStyle name="Normal 5 17 15 4 10" xfId="34412" xr:uid="{00000000-0005-0000-0000-00006C860000}"/>
    <cellStyle name="Normal 5 17 15 4 2" xfId="34413" xr:uid="{00000000-0005-0000-0000-00006D860000}"/>
    <cellStyle name="Normal 5 17 15 4 3" xfId="34414" xr:uid="{00000000-0005-0000-0000-00006E860000}"/>
    <cellStyle name="Normal 5 17 15 4 4" xfId="34415" xr:uid="{00000000-0005-0000-0000-00006F860000}"/>
    <cellStyle name="Normal 5 17 15 4 5" xfId="34416" xr:uid="{00000000-0005-0000-0000-000070860000}"/>
    <cellStyle name="Normal 5 17 15 4 6" xfId="34417" xr:uid="{00000000-0005-0000-0000-000071860000}"/>
    <cellStyle name="Normal 5 17 15 4 7" xfId="34418" xr:uid="{00000000-0005-0000-0000-000072860000}"/>
    <cellStyle name="Normal 5 17 15 4 8" xfId="34419" xr:uid="{00000000-0005-0000-0000-000073860000}"/>
    <cellStyle name="Normal 5 17 15 4 9" xfId="34420" xr:uid="{00000000-0005-0000-0000-000074860000}"/>
    <cellStyle name="Normal 5 17 15 5" xfId="34421" xr:uid="{00000000-0005-0000-0000-000075860000}"/>
    <cellStyle name="Normal 5 17 15 5 10" xfId="34422" xr:uid="{00000000-0005-0000-0000-000076860000}"/>
    <cellStyle name="Normal 5 17 15 5 2" xfId="34423" xr:uid="{00000000-0005-0000-0000-000077860000}"/>
    <cellStyle name="Normal 5 17 15 5 3" xfId="34424" xr:uid="{00000000-0005-0000-0000-000078860000}"/>
    <cellStyle name="Normal 5 17 15 5 4" xfId="34425" xr:uid="{00000000-0005-0000-0000-000079860000}"/>
    <cellStyle name="Normal 5 17 15 5 5" xfId="34426" xr:uid="{00000000-0005-0000-0000-00007A860000}"/>
    <cellStyle name="Normal 5 17 15 5 6" xfId="34427" xr:uid="{00000000-0005-0000-0000-00007B860000}"/>
    <cellStyle name="Normal 5 17 15 5 7" xfId="34428" xr:uid="{00000000-0005-0000-0000-00007C860000}"/>
    <cellStyle name="Normal 5 17 15 5 8" xfId="34429" xr:uid="{00000000-0005-0000-0000-00007D860000}"/>
    <cellStyle name="Normal 5 17 15 5 9" xfId="34430" xr:uid="{00000000-0005-0000-0000-00007E860000}"/>
    <cellStyle name="Normal 5 17 15 6" xfId="34431" xr:uid="{00000000-0005-0000-0000-00007F860000}"/>
    <cellStyle name="Normal 5 17 15 7" xfId="34432" xr:uid="{00000000-0005-0000-0000-000080860000}"/>
    <cellStyle name="Normal 5 17 15 8" xfId="34433" xr:uid="{00000000-0005-0000-0000-000081860000}"/>
    <cellStyle name="Normal 5 17 15 9" xfId="34434" xr:uid="{00000000-0005-0000-0000-000082860000}"/>
    <cellStyle name="Normal 5 17 16" xfId="34435" xr:uid="{00000000-0005-0000-0000-000083860000}"/>
    <cellStyle name="Normal 5 17 16 10" xfId="34436" xr:uid="{00000000-0005-0000-0000-000084860000}"/>
    <cellStyle name="Normal 5 17 16 11" xfId="34437" xr:uid="{00000000-0005-0000-0000-000085860000}"/>
    <cellStyle name="Normal 5 17 16 12" xfId="34438" xr:uid="{00000000-0005-0000-0000-000086860000}"/>
    <cellStyle name="Normal 5 17 16 13" xfId="34439" xr:uid="{00000000-0005-0000-0000-000087860000}"/>
    <cellStyle name="Normal 5 17 16 14" xfId="34440" xr:uid="{00000000-0005-0000-0000-000088860000}"/>
    <cellStyle name="Normal 5 17 16 2" xfId="34441" xr:uid="{00000000-0005-0000-0000-000089860000}"/>
    <cellStyle name="Normal 5 17 16 2 10" xfId="34442" xr:uid="{00000000-0005-0000-0000-00008A860000}"/>
    <cellStyle name="Normal 5 17 16 2 2" xfId="34443" xr:uid="{00000000-0005-0000-0000-00008B860000}"/>
    <cellStyle name="Normal 5 17 16 2 3" xfId="34444" xr:uid="{00000000-0005-0000-0000-00008C860000}"/>
    <cellStyle name="Normal 5 17 16 2 4" xfId="34445" xr:uid="{00000000-0005-0000-0000-00008D860000}"/>
    <cellStyle name="Normal 5 17 16 2 5" xfId="34446" xr:uid="{00000000-0005-0000-0000-00008E860000}"/>
    <cellStyle name="Normal 5 17 16 2 6" xfId="34447" xr:uid="{00000000-0005-0000-0000-00008F860000}"/>
    <cellStyle name="Normal 5 17 16 2 7" xfId="34448" xr:uid="{00000000-0005-0000-0000-000090860000}"/>
    <cellStyle name="Normal 5 17 16 2 8" xfId="34449" xr:uid="{00000000-0005-0000-0000-000091860000}"/>
    <cellStyle name="Normal 5 17 16 2 9" xfId="34450" xr:uid="{00000000-0005-0000-0000-000092860000}"/>
    <cellStyle name="Normal 5 17 16 3" xfId="34451" xr:uid="{00000000-0005-0000-0000-000093860000}"/>
    <cellStyle name="Normal 5 17 16 3 10" xfId="34452" xr:uid="{00000000-0005-0000-0000-000094860000}"/>
    <cellStyle name="Normal 5 17 16 3 2" xfId="34453" xr:uid="{00000000-0005-0000-0000-000095860000}"/>
    <cellStyle name="Normal 5 17 16 3 3" xfId="34454" xr:uid="{00000000-0005-0000-0000-000096860000}"/>
    <cellStyle name="Normal 5 17 16 3 4" xfId="34455" xr:uid="{00000000-0005-0000-0000-000097860000}"/>
    <cellStyle name="Normal 5 17 16 3 5" xfId="34456" xr:uid="{00000000-0005-0000-0000-000098860000}"/>
    <cellStyle name="Normal 5 17 16 3 6" xfId="34457" xr:uid="{00000000-0005-0000-0000-000099860000}"/>
    <cellStyle name="Normal 5 17 16 3 7" xfId="34458" xr:uid="{00000000-0005-0000-0000-00009A860000}"/>
    <cellStyle name="Normal 5 17 16 3 8" xfId="34459" xr:uid="{00000000-0005-0000-0000-00009B860000}"/>
    <cellStyle name="Normal 5 17 16 3 9" xfId="34460" xr:uid="{00000000-0005-0000-0000-00009C860000}"/>
    <cellStyle name="Normal 5 17 16 4" xfId="34461" xr:uid="{00000000-0005-0000-0000-00009D860000}"/>
    <cellStyle name="Normal 5 17 16 4 10" xfId="34462" xr:uid="{00000000-0005-0000-0000-00009E860000}"/>
    <cellStyle name="Normal 5 17 16 4 2" xfId="34463" xr:uid="{00000000-0005-0000-0000-00009F860000}"/>
    <cellStyle name="Normal 5 17 16 4 3" xfId="34464" xr:uid="{00000000-0005-0000-0000-0000A0860000}"/>
    <cellStyle name="Normal 5 17 16 4 4" xfId="34465" xr:uid="{00000000-0005-0000-0000-0000A1860000}"/>
    <cellStyle name="Normal 5 17 16 4 5" xfId="34466" xr:uid="{00000000-0005-0000-0000-0000A2860000}"/>
    <cellStyle name="Normal 5 17 16 4 6" xfId="34467" xr:uid="{00000000-0005-0000-0000-0000A3860000}"/>
    <cellStyle name="Normal 5 17 16 4 7" xfId="34468" xr:uid="{00000000-0005-0000-0000-0000A4860000}"/>
    <cellStyle name="Normal 5 17 16 4 8" xfId="34469" xr:uid="{00000000-0005-0000-0000-0000A5860000}"/>
    <cellStyle name="Normal 5 17 16 4 9" xfId="34470" xr:uid="{00000000-0005-0000-0000-0000A6860000}"/>
    <cellStyle name="Normal 5 17 16 5" xfId="34471" xr:uid="{00000000-0005-0000-0000-0000A7860000}"/>
    <cellStyle name="Normal 5 17 16 5 10" xfId="34472" xr:uid="{00000000-0005-0000-0000-0000A8860000}"/>
    <cellStyle name="Normal 5 17 16 5 2" xfId="34473" xr:uid="{00000000-0005-0000-0000-0000A9860000}"/>
    <cellStyle name="Normal 5 17 16 5 3" xfId="34474" xr:uid="{00000000-0005-0000-0000-0000AA860000}"/>
    <cellStyle name="Normal 5 17 16 5 4" xfId="34475" xr:uid="{00000000-0005-0000-0000-0000AB860000}"/>
    <cellStyle name="Normal 5 17 16 5 5" xfId="34476" xr:uid="{00000000-0005-0000-0000-0000AC860000}"/>
    <cellStyle name="Normal 5 17 16 5 6" xfId="34477" xr:uid="{00000000-0005-0000-0000-0000AD860000}"/>
    <cellStyle name="Normal 5 17 16 5 7" xfId="34478" xr:uid="{00000000-0005-0000-0000-0000AE860000}"/>
    <cellStyle name="Normal 5 17 16 5 8" xfId="34479" xr:uid="{00000000-0005-0000-0000-0000AF860000}"/>
    <cellStyle name="Normal 5 17 16 5 9" xfId="34480" xr:uid="{00000000-0005-0000-0000-0000B0860000}"/>
    <cellStyle name="Normal 5 17 16 6" xfId="34481" xr:uid="{00000000-0005-0000-0000-0000B1860000}"/>
    <cellStyle name="Normal 5 17 16 7" xfId="34482" xr:uid="{00000000-0005-0000-0000-0000B2860000}"/>
    <cellStyle name="Normal 5 17 16 8" xfId="34483" xr:uid="{00000000-0005-0000-0000-0000B3860000}"/>
    <cellStyle name="Normal 5 17 16 9" xfId="34484" xr:uid="{00000000-0005-0000-0000-0000B4860000}"/>
    <cellStyle name="Normal 5 17 17" xfId="34485" xr:uid="{00000000-0005-0000-0000-0000B5860000}"/>
    <cellStyle name="Normal 5 17 17 10" xfId="34486" xr:uid="{00000000-0005-0000-0000-0000B6860000}"/>
    <cellStyle name="Normal 5 17 17 11" xfId="34487" xr:uid="{00000000-0005-0000-0000-0000B7860000}"/>
    <cellStyle name="Normal 5 17 17 12" xfId="34488" xr:uid="{00000000-0005-0000-0000-0000B8860000}"/>
    <cellStyle name="Normal 5 17 17 13" xfId="34489" xr:uid="{00000000-0005-0000-0000-0000B9860000}"/>
    <cellStyle name="Normal 5 17 17 14" xfId="34490" xr:uid="{00000000-0005-0000-0000-0000BA860000}"/>
    <cellStyle name="Normal 5 17 17 2" xfId="34491" xr:uid="{00000000-0005-0000-0000-0000BB860000}"/>
    <cellStyle name="Normal 5 17 17 2 10" xfId="34492" xr:uid="{00000000-0005-0000-0000-0000BC860000}"/>
    <cellStyle name="Normal 5 17 17 2 2" xfId="34493" xr:uid="{00000000-0005-0000-0000-0000BD860000}"/>
    <cellStyle name="Normal 5 17 17 2 3" xfId="34494" xr:uid="{00000000-0005-0000-0000-0000BE860000}"/>
    <cellStyle name="Normal 5 17 17 2 4" xfId="34495" xr:uid="{00000000-0005-0000-0000-0000BF860000}"/>
    <cellStyle name="Normal 5 17 17 2 5" xfId="34496" xr:uid="{00000000-0005-0000-0000-0000C0860000}"/>
    <cellStyle name="Normal 5 17 17 2 6" xfId="34497" xr:uid="{00000000-0005-0000-0000-0000C1860000}"/>
    <cellStyle name="Normal 5 17 17 2 7" xfId="34498" xr:uid="{00000000-0005-0000-0000-0000C2860000}"/>
    <cellStyle name="Normal 5 17 17 2 8" xfId="34499" xr:uid="{00000000-0005-0000-0000-0000C3860000}"/>
    <cellStyle name="Normal 5 17 17 2 9" xfId="34500" xr:uid="{00000000-0005-0000-0000-0000C4860000}"/>
    <cellStyle name="Normal 5 17 17 3" xfId="34501" xr:uid="{00000000-0005-0000-0000-0000C5860000}"/>
    <cellStyle name="Normal 5 17 17 3 10" xfId="34502" xr:uid="{00000000-0005-0000-0000-0000C6860000}"/>
    <cellStyle name="Normal 5 17 17 3 2" xfId="34503" xr:uid="{00000000-0005-0000-0000-0000C7860000}"/>
    <cellStyle name="Normal 5 17 17 3 3" xfId="34504" xr:uid="{00000000-0005-0000-0000-0000C8860000}"/>
    <cellStyle name="Normal 5 17 17 3 4" xfId="34505" xr:uid="{00000000-0005-0000-0000-0000C9860000}"/>
    <cellStyle name="Normal 5 17 17 3 5" xfId="34506" xr:uid="{00000000-0005-0000-0000-0000CA860000}"/>
    <cellStyle name="Normal 5 17 17 3 6" xfId="34507" xr:uid="{00000000-0005-0000-0000-0000CB860000}"/>
    <cellStyle name="Normal 5 17 17 3 7" xfId="34508" xr:uid="{00000000-0005-0000-0000-0000CC860000}"/>
    <cellStyle name="Normal 5 17 17 3 8" xfId="34509" xr:uid="{00000000-0005-0000-0000-0000CD860000}"/>
    <cellStyle name="Normal 5 17 17 3 9" xfId="34510" xr:uid="{00000000-0005-0000-0000-0000CE860000}"/>
    <cellStyle name="Normal 5 17 17 4" xfId="34511" xr:uid="{00000000-0005-0000-0000-0000CF860000}"/>
    <cellStyle name="Normal 5 17 17 4 10" xfId="34512" xr:uid="{00000000-0005-0000-0000-0000D0860000}"/>
    <cellStyle name="Normal 5 17 17 4 2" xfId="34513" xr:uid="{00000000-0005-0000-0000-0000D1860000}"/>
    <cellStyle name="Normal 5 17 17 4 3" xfId="34514" xr:uid="{00000000-0005-0000-0000-0000D2860000}"/>
    <cellStyle name="Normal 5 17 17 4 4" xfId="34515" xr:uid="{00000000-0005-0000-0000-0000D3860000}"/>
    <cellStyle name="Normal 5 17 17 4 5" xfId="34516" xr:uid="{00000000-0005-0000-0000-0000D4860000}"/>
    <cellStyle name="Normal 5 17 17 4 6" xfId="34517" xr:uid="{00000000-0005-0000-0000-0000D5860000}"/>
    <cellStyle name="Normal 5 17 17 4 7" xfId="34518" xr:uid="{00000000-0005-0000-0000-0000D6860000}"/>
    <cellStyle name="Normal 5 17 17 4 8" xfId="34519" xr:uid="{00000000-0005-0000-0000-0000D7860000}"/>
    <cellStyle name="Normal 5 17 17 4 9" xfId="34520" xr:uid="{00000000-0005-0000-0000-0000D8860000}"/>
    <cellStyle name="Normal 5 17 17 5" xfId="34521" xr:uid="{00000000-0005-0000-0000-0000D9860000}"/>
    <cellStyle name="Normal 5 17 17 5 10" xfId="34522" xr:uid="{00000000-0005-0000-0000-0000DA860000}"/>
    <cellStyle name="Normal 5 17 17 5 2" xfId="34523" xr:uid="{00000000-0005-0000-0000-0000DB860000}"/>
    <cellStyle name="Normal 5 17 17 5 3" xfId="34524" xr:uid="{00000000-0005-0000-0000-0000DC860000}"/>
    <cellStyle name="Normal 5 17 17 5 4" xfId="34525" xr:uid="{00000000-0005-0000-0000-0000DD860000}"/>
    <cellStyle name="Normal 5 17 17 5 5" xfId="34526" xr:uid="{00000000-0005-0000-0000-0000DE860000}"/>
    <cellStyle name="Normal 5 17 17 5 6" xfId="34527" xr:uid="{00000000-0005-0000-0000-0000DF860000}"/>
    <cellStyle name="Normal 5 17 17 5 7" xfId="34528" xr:uid="{00000000-0005-0000-0000-0000E0860000}"/>
    <cellStyle name="Normal 5 17 17 5 8" xfId="34529" xr:uid="{00000000-0005-0000-0000-0000E1860000}"/>
    <cellStyle name="Normal 5 17 17 5 9" xfId="34530" xr:uid="{00000000-0005-0000-0000-0000E2860000}"/>
    <cellStyle name="Normal 5 17 17 6" xfId="34531" xr:uid="{00000000-0005-0000-0000-0000E3860000}"/>
    <cellStyle name="Normal 5 17 17 7" xfId="34532" xr:uid="{00000000-0005-0000-0000-0000E4860000}"/>
    <cellStyle name="Normal 5 17 17 8" xfId="34533" xr:uid="{00000000-0005-0000-0000-0000E5860000}"/>
    <cellStyle name="Normal 5 17 17 9" xfId="34534" xr:uid="{00000000-0005-0000-0000-0000E6860000}"/>
    <cellStyle name="Normal 5 17 18" xfId="34535" xr:uid="{00000000-0005-0000-0000-0000E7860000}"/>
    <cellStyle name="Normal 5 17 18 10" xfId="34536" xr:uid="{00000000-0005-0000-0000-0000E8860000}"/>
    <cellStyle name="Normal 5 17 18 11" xfId="34537" xr:uid="{00000000-0005-0000-0000-0000E9860000}"/>
    <cellStyle name="Normal 5 17 18 12" xfId="34538" xr:uid="{00000000-0005-0000-0000-0000EA860000}"/>
    <cellStyle name="Normal 5 17 18 13" xfId="34539" xr:uid="{00000000-0005-0000-0000-0000EB860000}"/>
    <cellStyle name="Normal 5 17 18 14" xfId="34540" xr:uid="{00000000-0005-0000-0000-0000EC860000}"/>
    <cellStyle name="Normal 5 17 18 2" xfId="34541" xr:uid="{00000000-0005-0000-0000-0000ED860000}"/>
    <cellStyle name="Normal 5 17 18 2 10" xfId="34542" xr:uid="{00000000-0005-0000-0000-0000EE860000}"/>
    <cellStyle name="Normal 5 17 18 2 2" xfId="34543" xr:uid="{00000000-0005-0000-0000-0000EF860000}"/>
    <cellStyle name="Normal 5 17 18 2 3" xfId="34544" xr:uid="{00000000-0005-0000-0000-0000F0860000}"/>
    <cellStyle name="Normal 5 17 18 2 4" xfId="34545" xr:uid="{00000000-0005-0000-0000-0000F1860000}"/>
    <cellStyle name="Normal 5 17 18 2 5" xfId="34546" xr:uid="{00000000-0005-0000-0000-0000F2860000}"/>
    <cellStyle name="Normal 5 17 18 2 6" xfId="34547" xr:uid="{00000000-0005-0000-0000-0000F3860000}"/>
    <cellStyle name="Normal 5 17 18 2 7" xfId="34548" xr:uid="{00000000-0005-0000-0000-0000F4860000}"/>
    <cellStyle name="Normal 5 17 18 2 8" xfId="34549" xr:uid="{00000000-0005-0000-0000-0000F5860000}"/>
    <cellStyle name="Normal 5 17 18 2 9" xfId="34550" xr:uid="{00000000-0005-0000-0000-0000F6860000}"/>
    <cellStyle name="Normal 5 17 18 3" xfId="34551" xr:uid="{00000000-0005-0000-0000-0000F7860000}"/>
    <cellStyle name="Normal 5 17 18 3 10" xfId="34552" xr:uid="{00000000-0005-0000-0000-0000F8860000}"/>
    <cellStyle name="Normal 5 17 18 3 2" xfId="34553" xr:uid="{00000000-0005-0000-0000-0000F9860000}"/>
    <cellStyle name="Normal 5 17 18 3 3" xfId="34554" xr:uid="{00000000-0005-0000-0000-0000FA860000}"/>
    <cellStyle name="Normal 5 17 18 3 4" xfId="34555" xr:uid="{00000000-0005-0000-0000-0000FB860000}"/>
    <cellStyle name="Normal 5 17 18 3 5" xfId="34556" xr:uid="{00000000-0005-0000-0000-0000FC860000}"/>
    <cellStyle name="Normal 5 17 18 3 6" xfId="34557" xr:uid="{00000000-0005-0000-0000-0000FD860000}"/>
    <cellStyle name="Normal 5 17 18 3 7" xfId="34558" xr:uid="{00000000-0005-0000-0000-0000FE860000}"/>
    <cellStyle name="Normal 5 17 18 3 8" xfId="34559" xr:uid="{00000000-0005-0000-0000-0000FF860000}"/>
    <cellStyle name="Normal 5 17 18 3 9" xfId="34560" xr:uid="{00000000-0005-0000-0000-000000870000}"/>
    <cellStyle name="Normal 5 17 18 4" xfId="34561" xr:uid="{00000000-0005-0000-0000-000001870000}"/>
    <cellStyle name="Normal 5 17 18 4 10" xfId="34562" xr:uid="{00000000-0005-0000-0000-000002870000}"/>
    <cellStyle name="Normal 5 17 18 4 2" xfId="34563" xr:uid="{00000000-0005-0000-0000-000003870000}"/>
    <cellStyle name="Normal 5 17 18 4 3" xfId="34564" xr:uid="{00000000-0005-0000-0000-000004870000}"/>
    <cellStyle name="Normal 5 17 18 4 4" xfId="34565" xr:uid="{00000000-0005-0000-0000-000005870000}"/>
    <cellStyle name="Normal 5 17 18 4 5" xfId="34566" xr:uid="{00000000-0005-0000-0000-000006870000}"/>
    <cellStyle name="Normal 5 17 18 4 6" xfId="34567" xr:uid="{00000000-0005-0000-0000-000007870000}"/>
    <cellStyle name="Normal 5 17 18 4 7" xfId="34568" xr:uid="{00000000-0005-0000-0000-000008870000}"/>
    <cellStyle name="Normal 5 17 18 4 8" xfId="34569" xr:uid="{00000000-0005-0000-0000-000009870000}"/>
    <cellStyle name="Normal 5 17 18 4 9" xfId="34570" xr:uid="{00000000-0005-0000-0000-00000A870000}"/>
    <cellStyle name="Normal 5 17 18 5" xfId="34571" xr:uid="{00000000-0005-0000-0000-00000B870000}"/>
    <cellStyle name="Normal 5 17 18 5 10" xfId="34572" xr:uid="{00000000-0005-0000-0000-00000C870000}"/>
    <cellStyle name="Normal 5 17 18 5 2" xfId="34573" xr:uid="{00000000-0005-0000-0000-00000D870000}"/>
    <cellStyle name="Normal 5 17 18 5 3" xfId="34574" xr:uid="{00000000-0005-0000-0000-00000E870000}"/>
    <cellStyle name="Normal 5 17 18 5 4" xfId="34575" xr:uid="{00000000-0005-0000-0000-00000F870000}"/>
    <cellStyle name="Normal 5 17 18 5 5" xfId="34576" xr:uid="{00000000-0005-0000-0000-000010870000}"/>
    <cellStyle name="Normal 5 17 18 5 6" xfId="34577" xr:uid="{00000000-0005-0000-0000-000011870000}"/>
    <cellStyle name="Normal 5 17 18 5 7" xfId="34578" xr:uid="{00000000-0005-0000-0000-000012870000}"/>
    <cellStyle name="Normal 5 17 18 5 8" xfId="34579" xr:uid="{00000000-0005-0000-0000-000013870000}"/>
    <cellStyle name="Normal 5 17 18 5 9" xfId="34580" xr:uid="{00000000-0005-0000-0000-000014870000}"/>
    <cellStyle name="Normal 5 17 18 6" xfId="34581" xr:uid="{00000000-0005-0000-0000-000015870000}"/>
    <cellStyle name="Normal 5 17 18 7" xfId="34582" xr:uid="{00000000-0005-0000-0000-000016870000}"/>
    <cellStyle name="Normal 5 17 18 8" xfId="34583" xr:uid="{00000000-0005-0000-0000-000017870000}"/>
    <cellStyle name="Normal 5 17 18 9" xfId="34584" xr:uid="{00000000-0005-0000-0000-000018870000}"/>
    <cellStyle name="Normal 5 17 19" xfId="34585" xr:uid="{00000000-0005-0000-0000-000019870000}"/>
    <cellStyle name="Normal 5 17 19 10" xfId="34586" xr:uid="{00000000-0005-0000-0000-00001A870000}"/>
    <cellStyle name="Normal 5 17 19 11" xfId="34587" xr:uid="{00000000-0005-0000-0000-00001B870000}"/>
    <cellStyle name="Normal 5 17 19 12" xfId="34588" xr:uid="{00000000-0005-0000-0000-00001C870000}"/>
    <cellStyle name="Normal 5 17 19 13" xfId="34589" xr:uid="{00000000-0005-0000-0000-00001D870000}"/>
    <cellStyle name="Normal 5 17 19 14" xfId="34590" xr:uid="{00000000-0005-0000-0000-00001E870000}"/>
    <cellStyle name="Normal 5 17 19 2" xfId="34591" xr:uid="{00000000-0005-0000-0000-00001F870000}"/>
    <cellStyle name="Normal 5 17 19 2 10" xfId="34592" xr:uid="{00000000-0005-0000-0000-000020870000}"/>
    <cellStyle name="Normal 5 17 19 2 2" xfId="34593" xr:uid="{00000000-0005-0000-0000-000021870000}"/>
    <cellStyle name="Normal 5 17 19 2 3" xfId="34594" xr:uid="{00000000-0005-0000-0000-000022870000}"/>
    <cellStyle name="Normal 5 17 19 2 4" xfId="34595" xr:uid="{00000000-0005-0000-0000-000023870000}"/>
    <cellStyle name="Normal 5 17 19 2 5" xfId="34596" xr:uid="{00000000-0005-0000-0000-000024870000}"/>
    <cellStyle name="Normal 5 17 19 2 6" xfId="34597" xr:uid="{00000000-0005-0000-0000-000025870000}"/>
    <cellStyle name="Normal 5 17 19 2 7" xfId="34598" xr:uid="{00000000-0005-0000-0000-000026870000}"/>
    <cellStyle name="Normal 5 17 19 2 8" xfId="34599" xr:uid="{00000000-0005-0000-0000-000027870000}"/>
    <cellStyle name="Normal 5 17 19 2 9" xfId="34600" xr:uid="{00000000-0005-0000-0000-000028870000}"/>
    <cellStyle name="Normal 5 17 19 3" xfId="34601" xr:uid="{00000000-0005-0000-0000-000029870000}"/>
    <cellStyle name="Normal 5 17 19 3 10" xfId="34602" xr:uid="{00000000-0005-0000-0000-00002A870000}"/>
    <cellStyle name="Normal 5 17 19 3 2" xfId="34603" xr:uid="{00000000-0005-0000-0000-00002B870000}"/>
    <cellStyle name="Normal 5 17 19 3 3" xfId="34604" xr:uid="{00000000-0005-0000-0000-00002C870000}"/>
    <cellStyle name="Normal 5 17 19 3 4" xfId="34605" xr:uid="{00000000-0005-0000-0000-00002D870000}"/>
    <cellStyle name="Normal 5 17 19 3 5" xfId="34606" xr:uid="{00000000-0005-0000-0000-00002E870000}"/>
    <cellStyle name="Normal 5 17 19 3 6" xfId="34607" xr:uid="{00000000-0005-0000-0000-00002F870000}"/>
    <cellStyle name="Normal 5 17 19 3 7" xfId="34608" xr:uid="{00000000-0005-0000-0000-000030870000}"/>
    <cellStyle name="Normal 5 17 19 3 8" xfId="34609" xr:uid="{00000000-0005-0000-0000-000031870000}"/>
    <cellStyle name="Normal 5 17 19 3 9" xfId="34610" xr:uid="{00000000-0005-0000-0000-000032870000}"/>
    <cellStyle name="Normal 5 17 19 4" xfId="34611" xr:uid="{00000000-0005-0000-0000-000033870000}"/>
    <cellStyle name="Normal 5 17 19 4 10" xfId="34612" xr:uid="{00000000-0005-0000-0000-000034870000}"/>
    <cellStyle name="Normal 5 17 19 4 2" xfId="34613" xr:uid="{00000000-0005-0000-0000-000035870000}"/>
    <cellStyle name="Normal 5 17 19 4 3" xfId="34614" xr:uid="{00000000-0005-0000-0000-000036870000}"/>
    <cellStyle name="Normal 5 17 19 4 4" xfId="34615" xr:uid="{00000000-0005-0000-0000-000037870000}"/>
    <cellStyle name="Normal 5 17 19 4 5" xfId="34616" xr:uid="{00000000-0005-0000-0000-000038870000}"/>
    <cellStyle name="Normal 5 17 19 4 6" xfId="34617" xr:uid="{00000000-0005-0000-0000-000039870000}"/>
    <cellStyle name="Normal 5 17 19 4 7" xfId="34618" xr:uid="{00000000-0005-0000-0000-00003A870000}"/>
    <cellStyle name="Normal 5 17 19 4 8" xfId="34619" xr:uid="{00000000-0005-0000-0000-00003B870000}"/>
    <cellStyle name="Normal 5 17 19 4 9" xfId="34620" xr:uid="{00000000-0005-0000-0000-00003C870000}"/>
    <cellStyle name="Normal 5 17 19 5" xfId="34621" xr:uid="{00000000-0005-0000-0000-00003D870000}"/>
    <cellStyle name="Normal 5 17 19 5 10" xfId="34622" xr:uid="{00000000-0005-0000-0000-00003E870000}"/>
    <cellStyle name="Normal 5 17 19 5 2" xfId="34623" xr:uid="{00000000-0005-0000-0000-00003F870000}"/>
    <cellStyle name="Normal 5 17 19 5 3" xfId="34624" xr:uid="{00000000-0005-0000-0000-000040870000}"/>
    <cellStyle name="Normal 5 17 19 5 4" xfId="34625" xr:uid="{00000000-0005-0000-0000-000041870000}"/>
    <cellStyle name="Normal 5 17 19 5 5" xfId="34626" xr:uid="{00000000-0005-0000-0000-000042870000}"/>
    <cellStyle name="Normal 5 17 19 5 6" xfId="34627" xr:uid="{00000000-0005-0000-0000-000043870000}"/>
    <cellStyle name="Normal 5 17 19 5 7" xfId="34628" xr:uid="{00000000-0005-0000-0000-000044870000}"/>
    <cellStyle name="Normal 5 17 19 5 8" xfId="34629" xr:uid="{00000000-0005-0000-0000-000045870000}"/>
    <cellStyle name="Normal 5 17 19 5 9" xfId="34630" xr:uid="{00000000-0005-0000-0000-000046870000}"/>
    <cellStyle name="Normal 5 17 19 6" xfId="34631" xr:uid="{00000000-0005-0000-0000-000047870000}"/>
    <cellStyle name="Normal 5 17 19 7" xfId="34632" xr:uid="{00000000-0005-0000-0000-000048870000}"/>
    <cellStyle name="Normal 5 17 19 8" xfId="34633" xr:uid="{00000000-0005-0000-0000-000049870000}"/>
    <cellStyle name="Normal 5 17 19 9" xfId="34634" xr:uid="{00000000-0005-0000-0000-00004A870000}"/>
    <cellStyle name="Normal 5 17 2" xfId="34635" xr:uid="{00000000-0005-0000-0000-00004B870000}"/>
    <cellStyle name="Normal 5 17 2 10" xfId="34636" xr:uid="{00000000-0005-0000-0000-00004C870000}"/>
    <cellStyle name="Normal 5 17 2 10 10" xfId="34637" xr:uid="{00000000-0005-0000-0000-00004D870000}"/>
    <cellStyle name="Normal 5 17 2 10 11" xfId="34638" xr:uid="{00000000-0005-0000-0000-00004E870000}"/>
    <cellStyle name="Normal 5 17 2 10 12" xfId="34639" xr:uid="{00000000-0005-0000-0000-00004F870000}"/>
    <cellStyle name="Normal 5 17 2 10 13" xfId="34640" xr:uid="{00000000-0005-0000-0000-000050870000}"/>
    <cellStyle name="Normal 5 17 2 10 14" xfId="34641" xr:uid="{00000000-0005-0000-0000-000051870000}"/>
    <cellStyle name="Normal 5 17 2 10 2" xfId="34642" xr:uid="{00000000-0005-0000-0000-000052870000}"/>
    <cellStyle name="Normal 5 17 2 10 2 10" xfId="34643" xr:uid="{00000000-0005-0000-0000-000053870000}"/>
    <cellStyle name="Normal 5 17 2 10 2 2" xfId="34644" xr:uid="{00000000-0005-0000-0000-000054870000}"/>
    <cellStyle name="Normal 5 17 2 10 2 3" xfId="34645" xr:uid="{00000000-0005-0000-0000-000055870000}"/>
    <cellStyle name="Normal 5 17 2 10 2 4" xfId="34646" xr:uid="{00000000-0005-0000-0000-000056870000}"/>
    <cellStyle name="Normal 5 17 2 10 2 5" xfId="34647" xr:uid="{00000000-0005-0000-0000-000057870000}"/>
    <cellStyle name="Normal 5 17 2 10 2 6" xfId="34648" xr:uid="{00000000-0005-0000-0000-000058870000}"/>
    <cellStyle name="Normal 5 17 2 10 2 7" xfId="34649" xr:uid="{00000000-0005-0000-0000-000059870000}"/>
    <cellStyle name="Normal 5 17 2 10 2 8" xfId="34650" xr:uid="{00000000-0005-0000-0000-00005A870000}"/>
    <cellStyle name="Normal 5 17 2 10 2 9" xfId="34651" xr:uid="{00000000-0005-0000-0000-00005B870000}"/>
    <cellStyle name="Normal 5 17 2 10 3" xfId="34652" xr:uid="{00000000-0005-0000-0000-00005C870000}"/>
    <cellStyle name="Normal 5 17 2 10 3 10" xfId="34653" xr:uid="{00000000-0005-0000-0000-00005D870000}"/>
    <cellStyle name="Normal 5 17 2 10 3 2" xfId="34654" xr:uid="{00000000-0005-0000-0000-00005E870000}"/>
    <cellStyle name="Normal 5 17 2 10 3 3" xfId="34655" xr:uid="{00000000-0005-0000-0000-00005F870000}"/>
    <cellStyle name="Normal 5 17 2 10 3 4" xfId="34656" xr:uid="{00000000-0005-0000-0000-000060870000}"/>
    <cellStyle name="Normal 5 17 2 10 3 5" xfId="34657" xr:uid="{00000000-0005-0000-0000-000061870000}"/>
    <cellStyle name="Normal 5 17 2 10 3 6" xfId="34658" xr:uid="{00000000-0005-0000-0000-000062870000}"/>
    <cellStyle name="Normal 5 17 2 10 3 7" xfId="34659" xr:uid="{00000000-0005-0000-0000-000063870000}"/>
    <cellStyle name="Normal 5 17 2 10 3 8" xfId="34660" xr:uid="{00000000-0005-0000-0000-000064870000}"/>
    <cellStyle name="Normal 5 17 2 10 3 9" xfId="34661" xr:uid="{00000000-0005-0000-0000-000065870000}"/>
    <cellStyle name="Normal 5 17 2 10 4" xfId="34662" xr:uid="{00000000-0005-0000-0000-000066870000}"/>
    <cellStyle name="Normal 5 17 2 10 4 10" xfId="34663" xr:uid="{00000000-0005-0000-0000-000067870000}"/>
    <cellStyle name="Normal 5 17 2 10 4 2" xfId="34664" xr:uid="{00000000-0005-0000-0000-000068870000}"/>
    <cellStyle name="Normal 5 17 2 10 4 3" xfId="34665" xr:uid="{00000000-0005-0000-0000-000069870000}"/>
    <cellStyle name="Normal 5 17 2 10 4 4" xfId="34666" xr:uid="{00000000-0005-0000-0000-00006A870000}"/>
    <cellStyle name="Normal 5 17 2 10 4 5" xfId="34667" xr:uid="{00000000-0005-0000-0000-00006B870000}"/>
    <cellStyle name="Normal 5 17 2 10 4 6" xfId="34668" xr:uid="{00000000-0005-0000-0000-00006C870000}"/>
    <cellStyle name="Normal 5 17 2 10 4 7" xfId="34669" xr:uid="{00000000-0005-0000-0000-00006D870000}"/>
    <cellStyle name="Normal 5 17 2 10 4 8" xfId="34670" xr:uid="{00000000-0005-0000-0000-00006E870000}"/>
    <cellStyle name="Normal 5 17 2 10 4 9" xfId="34671" xr:uid="{00000000-0005-0000-0000-00006F870000}"/>
    <cellStyle name="Normal 5 17 2 10 5" xfId="34672" xr:uid="{00000000-0005-0000-0000-000070870000}"/>
    <cellStyle name="Normal 5 17 2 10 5 10" xfId="34673" xr:uid="{00000000-0005-0000-0000-000071870000}"/>
    <cellStyle name="Normal 5 17 2 10 5 2" xfId="34674" xr:uid="{00000000-0005-0000-0000-000072870000}"/>
    <cellStyle name="Normal 5 17 2 10 5 3" xfId="34675" xr:uid="{00000000-0005-0000-0000-000073870000}"/>
    <cellStyle name="Normal 5 17 2 10 5 4" xfId="34676" xr:uid="{00000000-0005-0000-0000-000074870000}"/>
    <cellStyle name="Normal 5 17 2 10 5 5" xfId="34677" xr:uid="{00000000-0005-0000-0000-000075870000}"/>
    <cellStyle name="Normal 5 17 2 10 5 6" xfId="34678" xr:uid="{00000000-0005-0000-0000-000076870000}"/>
    <cellStyle name="Normal 5 17 2 10 5 7" xfId="34679" xr:uid="{00000000-0005-0000-0000-000077870000}"/>
    <cellStyle name="Normal 5 17 2 10 5 8" xfId="34680" xr:uid="{00000000-0005-0000-0000-000078870000}"/>
    <cellStyle name="Normal 5 17 2 10 5 9" xfId="34681" xr:uid="{00000000-0005-0000-0000-000079870000}"/>
    <cellStyle name="Normal 5 17 2 10 6" xfId="34682" xr:uid="{00000000-0005-0000-0000-00007A870000}"/>
    <cellStyle name="Normal 5 17 2 10 7" xfId="34683" xr:uid="{00000000-0005-0000-0000-00007B870000}"/>
    <cellStyle name="Normal 5 17 2 10 8" xfId="34684" xr:uid="{00000000-0005-0000-0000-00007C870000}"/>
    <cellStyle name="Normal 5 17 2 10 9" xfId="34685" xr:uid="{00000000-0005-0000-0000-00007D870000}"/>
    <cellStyle name="Normal 5 17 2 11" xfId="34686" xr:uid="{00000000-0005-0000-0000-00007E870000}"/>
    <cellStyle name="Normal 5 17 2 11 10" xfId="34687" xr:uid="{00000000-0005-0000-0000-00007F870000}"/>
    <cellStyle name="Normal 5 17 2 11 11" xfId="34688" xr:uid="{00000000-0005-0000-0000-000080870000}"/>
    <cellStyle name="Normal 5 17 2 11 12" xfId="34689" xr:uid="{00000000-0005-0000-0000-000081870000}"/>
    <cellStyle name="Normal 5 17 2 11 13" xfId="34690" xr:uid="{00000000-0005-0000-0000-000082870000}"/>
    <cellStyle name="Normal 5 17 2 11 14" xfId="34691" xr:uid="{00000000-0005-0000-0000-000083870000}"/>
    <cellStyle name="Normal 5 17 2 11 2" xfId="34692" xr:uid="{00000000-0005-0000-0000-000084870000}"/>
    <cellStyle name="Normal 5 17 2 11 2 10" xfId="34693" xr:uid="{00000000-0005-0000-0000-000085870000}"/>
    <cellStyle name="Normal 5 17 2 11 2 2" xfId="34694" xr:uid="{00000000-0005-0000-0000-000086870000}"/>
    <cellStyle name="Normal 5 17 2 11 2 3" xfId="34695" xr:uid="{00000000-0005-0000-0000-000087870000}"/>
    <cellStyle name="Normal 5 17 2 11 2 4" xfId="34696" xr:uid="{00000000-0005-0000-0000-000088870000}"/>
    <cellStyle name="Normal 5 17 2 11 2 5" xfId="34697" xr:uid="{00000000-0005-0000-0000-000089870000}"/>
    <cellStyle name="Normal 5 17 2 11 2 6" xfId="34698" xr:uid="{00000000-0005-0000-0000-00008A870000}"/>
    <cellStyle name="Normal 5 17 2 11 2 7" xfId="34699" xr:uid="{00000000-0005-0000-0000-00008B870000}"/>
    <cellStyle name="Normal 5 17 2 11 2 8" xfId="34700" xr:uid="{00000000-0005-0000-0000-00008C870000}"/>
    <cellStyle name="Normal 5 17 2 11 2 9" xfId="34701" xr:uid="{00000000-0005-0000-0000-00008D870000}"/>
    <cellStyle name="Normal 5 17 2 11 3" xfId="34702" xr:uid="{00000000-0005-0000-0000-00008E870000}"/>
    <cellStyle name="Normal 5 17 2 11 3 10" xfId="34703" xr:uid="{00000000-0005-0000-0000-00008F870000}"/>
    <cellStyle name="Normal 5 17 2 11 3 2" xfId="34704" xr:uid="{00000000-0005-0000-0000-000090870000}"/>
    <cellStyle name="Normal 5 17 2 11 3 3" xfId="34705" xr:uid="{00000000-0005-0000-0000-000091870000}"/>
    <cellStyle name="Normal 5 17 2 11 3 4" xfId="34706" xr:uid="{00000000-0005-0000-0000-000092870000}"/>
    <cellStyle name="Normal 5 17 2 11 3 5" xfId="34707" xr:uid="{00000000-0005-0000-0000-000093870000}"/>
    <cellStyle name="Normal 5 17 2 11 3 6" xfId="34708" xr:uid="{00000000-0005-0000-0000-000094870000}"/>
    <cellStyle name="Normal 5 17 2 11 3 7" xfId="34709" xr:uid="{00000000-0005-0000-0000-000095870000}"/>
    <cellStyle name="Normal 5 17 2 11 3 8" xfId="34710" xr:uid="{00000000-0005-0000-0000-000096870000}"/>
    <cellStyle name="Normal 5 17 2 11 3 9" xfId="34711" xr:uid="{00000000-0005-0000-0000-000097870000}"/>
    <cellStyle name="Normal 5 17 2 11 4" xfId="34712" xr:uid="{00000000-0005-0000-0000-000098870000}"/>
    <cellStyle name="Normal 5 17 2 11 4 10" xfId="34713" xr:uid="{00000000-0005-0000-0000-000099870000}"/>
    <cellStyle name="Normal 5 17 2 11 4 2" xfId="34714" xr:uid="{00000000-0005-0000-0000-00009A870000}"/>
    <cellStyle name="Normal 5 17 2 11 4 3" xfId="34715" xr:uid="{00000000-0005-0000-0000-00009B870000}"/>
    <cellStyle name="Normal 5 17 2 11 4 4" xfId="34716" xr:uid="{00000000-0005-0000-0000-00009C870000}"/>
    <cellStyle name="Normal 5 17 2 11 4 5" xfId="34717" xr:uid="{00000000-0005-0000-0000-00009D870000}"/>
    <cellStyle name="Normal 5 17 2 11 4 6" xfId="34718" xr:uid="{00000000-0005-0000-0000-00009E870000}"/>
    <cellStyle name="Normal 5 17 2 11 4 7" xfId="34719" xr:uid="{00000000-0005-0000-0000-00009F870000}"/>
    <cellStyle name="Normal 5 17 2 11 4 8" xfId="34720" xr:uid="{00000000-0005-0000-0000-0000A0870000}"/>
    <cellStyle name="Normal 5 17 2 11 4 9" xfId="34721" xr:uid="{00000000-0005-0000-0000-0000A1870000}"/>
    <cellStyle name="Normal 5 17 2 11 5" xfId="34722" xr:uid="{00000000-0005-0000-0000-0000A2870000}"/>
    <cellStyle name="Normal 5 17 2 11 5 10" xfId="34723" xr:uid="{00000000-0005-0000-0000-0000A3870000}"/>
    <cellStyle name="Normal 5 17 2 11 5 2" xfId="34724" xr:uid="{00000000-0005-0000-0000-0000A4870000}"/>
    <cellStyle name="Normal 5 17 2 11 5 3" xfId="34725" xr:uid="{00000000-0005-0000-0000-0000A5870000}"/>
    <cellStyle name="Normal 5 17 2 11 5 4" xfId="34726" xr:uid="{00000000-0005-0000-0000-0000A6870000}"/>
    <cellStyle name="Normal 5 17 2 11 5 5" xfId="34727" xr:uid="{00000000-0005-0000-0000-0000A7870000}"/>
    <cellStyle name="Normal 5 17 2 11 5 6" xfId="34728" xr:uid="{00000000-0005-0000-0000-0000A8870000}"/>
    <cellStyle name="Normal 5 17 2 11 5 7" xfId="34729" xr:uid="{00000000-0005-0000-0000-0000A9870000}"/>
    <cellStyle name="Normal 5 17 2 11 5 8" xfId="34730" xr:uid="{00000000-0005-0000-0000-0000AA870000}"/>
    <cellStyle name="Normal 5 17 2 11 5 9" xfId="34731" xr:uid="{00000000-0005-0000-0000-0000AB870000}"/>
    <cellStyle name="Normal 5 17 2 11 6" xfId="34732" xr:uid="{00000000-0005-0000-0000-0000AC870000}"/>
    <cellStyle name="Normal 5 17 2 11 7" xfId="34733" xr:uid="{00000000-0005-0000-0000-0000AD870000}"/>
    <cellStyle name="Normal 5 17 2 11 8" xfId="34734" xr:uid="{00000000-0005-0000-0000-0000AE870000}"/>
    <cellStyle name="Normal 5 17 2 11 9" xfId="34735" xr:uid="{00000000-0005-0000-0000-0000AF870000}"/>
    <cellStyle name="Normal 5 17 2 12" xfId="34736" xr:uid="{00000000-0005-0000-0000-0000B0870000}"/>
    <cellStyle name="Normal 5 17 2 12 10" xfId="34737" xr:uid="{00000000-0005-0000-0000-0000B1870000}"/>
    <cellStyle name="Normal 5 17 2 12 11" xfId="34738" xr:uid="{00000000-0005-0000-0000-0000B2870000}"/>
    <cellStyle name="Normal 5 17 2 12 12" xfId="34739" xr:uid="{00000000-0005-0000-0000-0000B3870000}"/>
    <cellStyle name="Normal 5 17 2 12 13" xfId="34740" xr:uid="{00000000-0005-0000-0000-0000B4870000}"/>
    <cellStyle name="Normal 5 17 2 12 14" xfId="34741" xr:uid="{00000000-0005-0000-0000-0000B5870000}"/>
    <cellStyle name="Normal 5 17 2 12 2" xfId="34742" xr:uid="{00000000-0005-0000-0000-0000B6870000}"/>
    <cellStyle name="Normal 5 17 2 12 2 10" xfId="34743" xr:uid="{00000000-0005-0000-0000-0000B7870000}"/>
    <cellStyle name="Normal 5 17 2 12 2 2" xfId="34744" xr:uid="{00000000-0005-0000-0000-0000B8870000}"/>
    <cellStyle name="Normal 5 17 2 12 2 3" xfId="34745" xr:uid="{00000000-0005-0000-0000-0000B9870000}"/>
    <cellStyle name="Normal 5 17 2 12 2 4" xfId="34746" xr:uid="{00000000-0005-0000-0000-0000BA870000}"/>
    <cellStyle name="Normal 5 17 2 12 2 5" xfId="34747" xr:uid="{00000000-0005-0000-0000-0000BB870000}"/>
    <cellStyle name="Normal 5 17 2 12 2 6" xfId="34748" xr:uid="{00000000-0005-0000-0000-0000BC870000}"/>
    <cellStyle name="Normal 5 17 2 12 2 7" xfId="34749" xr:uid="{00000000-0005-0000-0000-0000BD870000}"/>
    <cellStyle name="Normal 5 17 2 12 2 8" xfId="34750" xr:uid="{00000000-0005-0000-0000-0000BE870000}"/>
    <cellStyle name="Normal 5 17 2 12 2 9" xfId="34751" xr:uid="{00000000-0005-0000-0000-0000BF870000}"/>
    <cellStyle name="Normal 5 17 2 12 3" xfId="34752" xr:uid="{00000000-0005-0000-0000-0000C0870000}"/>
    <cellStyle name="Normal 5 17 2 12 3 10" xfId="34753" xr:uid="{00000000-0005-0000-0000-0000C1870000}"/>
    <cellStyle name="Normal 5 17 2 12 3 2" xfId="34754" xr:uid="{00000000-0005-0000-0000-0000C2870000}"/>
    <cellStyle name="Normal 5 17 2 12 3 3" xfId="34755" xr:uid="{00000000-0005-0000-0000-0000C3870000}"/>
    <cellStyle name="Normal 5 17 2 12 3 4" xfId="34756" xr:uid="{00000000-0005-0000-0000-0000C4870000}"/>
    <cellStyle name="Normal 5 17 2 12 3 5" xfId="34757" xr:uid="{00000000-0005-0000-0000-0000C5870000}"/>
    <cellStyle name="Normal 5 17 2 12 3 6" xfId="34758" xr:uid="{00000000-0005-0000-0000-0000C6870000}"/>
    <cellStyle name="Normal 5 17 2 12 3 7" xfId="34759" xr:uid="{00000000-0005-0000-0000-0000C7870000}"/>
    <cellStyle name="Normal 5 17 2 12 3 8" xfId="34760" xr:uid="{00000000-0005-0000-0000-0000C8870000}"/>
    <cellStyle name="Normal 5 17 2 12 3 9" xfId="34761" xr:uid="{00000000-0005-0000-0000-0000C9870000}"/>
    <cellStyle name="Normal 5 17 2 12 4" xfId="34762" xr:uid="{00000000-0005-0000-0000-0000CA870000}"/>
    <cellStyle name="Normal 5 17 2 12 4 10" xfId="34763" xr:uid="{00000000-0005-0000-0000-0000CB870000}"/>
    <cellStyle name="Normal 5 17 2 12 4 2" xfId="34764" xr:uid="{00000000-0005-0000-0000-0000CC870000}"/>
    <cellStyle name="Normal 5 17 2 12 4 3" xfId="34765" xr:uid="{00000000-0005-0000-0000-0000CD870000}"/>
    <cellStyle name="Normal 5 17 2 12 4 4" xfId="34766" xr:uid="{00000000-0005-0000-0000-0000CE870000}"/>
    <cellStyle name="Normal 5 17 2 12 4 5" xfId="34767" xr:uid="{00000000-0005-0000-0000-0000CF870000}"/>
    <cellStyle name="Normal 5 17 2 12 4 6" xfId="34768" xr:uid="{00000000-0005-0000-0000-0000D0870000}"/>
    <cellStyle name="Normal 5 17 2 12 4 7" xfId="34769" xr:uid="{00000000-0005-0000-0000-0000D1870000}"/>
    <cellStyle name="Normal 5 17 2 12 4 8" xfId="34770" xr:uid="{00000000-0005-0000-0000-0000D2870000}"/>
    <cellStyle name="Normal 5 17 2 12 4 9" xfId="34771" xr:uid="{00000000-0005-0000-0000-0000D3870000}"/>
    <cellStyle name="Normal 5 17 2 12 5" xfId="34772" xr:uid="{00000000-0005-0000-0000-0000D4870000}"/>
    <cellStyle name="Normal 5 17 2 12 5 10" xfId="34773" xr:uid="{00000000-0005-0000-0000-0000D5870000}"/>
    <cellStyle name="Normal 5 17 2 12 5 2" xfId="34774" xr:uid="{00000000-0005-0000-0000-0000D6870000}"/>
    <cellStyle name="Normal 5 17 2 12 5 3" xfId="34775" xr:uid="{00000000-0005-0000-0000-0000D7870000}"/>
    <cellStyle name="Normal 5 17 2 12 5 4" xfId="34776" xr:uid="{00000000-0005-0000-0000-0000D8870000}"/>
    <cellStyle name="Normal 5 17 2 12 5 5" xfId="34777" xr:uid="{00000000-0005-0000-0000-0000D9870000}"/>
    <cellStyle name="Normal 5 17 2 12 5 6" xfId="34778" xr:uid="{00000000-0005-0000-0000-0000DA870000}"/>
    <cellStyle name="Normal 5 17 2 12 5 7" xfId="34779" xr:uid="{00000000-0005-0000-0000-0000DB870000}"/>
    <cellStyle name="Normal 5 17 2 12 5 8" xfId="34780" xr:uid="{00000000-0005-0000-0000-0000DC870000}"/>
    <cellStyle name="Normal 5 17 2 12 5 9" xfId="34781" xr:uid="{00000000-0005-0000-0000-0000DD870000}"/>
    <cellStyle name="Normal 5 17 2 12 6" xfId="34782" xr:uid="{00000000-0005-0000-0000-0000DE870000}"/>
    <cellStyle name="Normal 5 17 2 12 7" xfId="34783" xr:uid="{00000000-0005-0000-0000-0000DF870000}"/>
    <cellStyle name="Normal 5 17 2 12 8" xfId="34784" xr:uid="{00000000-0005-0000-0000-0000E0870000}"/>
    <cellStyle name="Normal 5 17 2 12 9" xfId="34785" xr:uid="{00000000-0005-0000-0000-0000E1870000}"/>
    <cellStyle name="Normal 5 17 2 13" xfId="34786" xr:uid="{00000000-0005-0000-0000-0000E2870000}"/>
    <cellStyle name="Normal 5 17 2 13 10" xfId="34787" xr:uid="{00000000-0005-0000-0000-0000E3870000}"/>
    <cellStyle name="Normal 5 17 2 13 11" xfId="34788" xr:uid="{00000000-0005-0000-0000-0000E4870000}"/>
    <cellStyle name="Normal 5 17 2 13 12" xfId="34789" xr:uid="{00000000-0005-0000-0000-0000E5870000}"/>
    <cellStyle name="Normal 5 17 2 13 13" xfId="34790" xr:uid="{00000000-0005-0000-0000-0000E6870000}"/>
    <cellStyle name="Normal 5 17 2 13 14" xfId="34791" xr:uid="{00000000-0005-0000-0000-0000E7870000}"/>
    <cellStyle name="Normal 5 17 2 13 2" xfId="34792" xr:uid="{00000000-0005-0000-0000-0000E8870000}"/>
    <cellStyle name="Normal 5 17 2 13 2 10" xfId="34793" xr:uid="{00000000-0005-0000-0000-0000E9870000}"/>
    <cellStyle name="Normal 5 17 2 13 2 2" xfId="34794" xr:uid="{00000000-0005-0000-0000-0000EA870000}"/>
    <cellStyle name="Normal 5 17 2 13 2 3" xfId="34795" xr:uid="{00000000-0005-0000-0000-0000EB870000}"/>
    <cellStyle name="Normal 5 17 2 13 2 4" xfId="34796" xr:uid="{00000000-0005-0000-0000-0000EC870000}"/>
    <cellStyle name="Normal 5 17 2 13 2 5" xfId="34797" xr:uid="{00000000-0005-0000-0000-0000ED870000}"/>
    <cellStyle name="Normal 5 17 2 13 2 6" xfId="34798" xr:uid="{00000000-0005-0000-0000-0000EE870000}"/>
    <cellStyle name="Normal 5 17 2 13 2 7" xfId="34799" xr:uid="{00000000-0005-0000-0000-0000EF870000}"/>
    <cellStyle name="Normal 5 17 2 13 2 8" xfId="34800" xr:uid="{00000000-0005-0000-0000-0000F0870000}"/>
    <cellStyle name="Normal 5 17 2 13 2 9" xfId="34801" xr:uid="{00000000-0005-0000-0000-0000F1870000}"/>
    <cellStyle name="Normal 5 17 2 13 3" xfId="34802" xr:uid="{00000000-0005-0000-0000-0000F2870000}"/>
    <cellStyle name="Normal 5 17 2 13 3 10" xfId="34803" xr:uid="{00000000-0005-0000-0000-0000F3870000}"/>
    <cellStyle name="Normal 5 17 2 13 3 2" xfId="34804" xr:uid="{00000000-0005-0000-0000-0000F4870000}"/>
    <cellStyle name="Normal 5 17 2 13 3 3" xfId="34805" xr:uid="{00000000-0005-0000-0000-0000F5870000}"/>
    <cellStyle name="Normal 5 17 2 13 3 4" xfId="34806" xr:uid="{00000000-0005-0000-0000-0000F6870000}"/>
    <cellStyle name="Normal 5 17 2 13 3 5" xfId="34807" xr:uid="{00000000-0005-0000-0000-0000F7870000}"/>
    <cellStyle name="Normal 5 17 2 13 3 6" xfId="34808" xr:uid="{00000000-0005-0000-0000-0000F8870000}"/>
    <cellStyle name="Normal 5 17 2 13 3 7" xfId="34809" xr:uid="{00000000-0005-0000-0000-0000F9870000}"/>
    <cellStyle name="Normal 5 17 2 13 3 8" xfId="34810" xr:uid="{00000000-0005-0000-0000-0000FA870000}"/>
    <cellStyle name="Normal 5 17 2 13 3 9" xfId="34811" xr:uid="{00000000-0005-0000-0000-0000FB870000}"/>
    <cellStyle name="Normal 5 17 2 13 4" xfId="34812" xr:uid="{00000000-0005-0000-0000-0000FC870000}"/>
    <cellStyle name="Normal 5 17 2 13 4 10" xfId="34813" xr:uid="{00000000-0005-0000-0000-0000FD870000}"/>
    <cellStyle name="Normal 5 17 2 13 4 2" xfId="34814" xr:uid="{00000000-0005-0000-0000-0000FE870000}"/>
    <cellStyle name="Normal 5 17 2 13 4 3" xfId="34815" xr:uid="{00000000-0005-0000-0000-0000FF870000}"/>
    <cellStyle name="Normal 5 17 2 13 4 4" xfId="34816" xr:uid="{00000000-0005-0000-0000-000000880000}"/>
    <cellStyle name="Normal 5 17 2 13 4 5" xfId="34817" xr:uid="{00000000-0005-0000-0000-000001880000}"/>
    <cellStyle name="Normal 5 17 2 13 4 6" xfId="34818" xr:uid="{00000000-0005-0000-0000-000002880000}"/>
    <cellStyle name="Normal 5 17 2 13 4 7" xfId="34819" xr:uid="{00000000-0005-0000-0000-000003880000}"/>
    <cellStyle name="Normal 5 17 2 13 4 8" xfId="34820" xr:uid="{00000000-0005-0000-0000-000004880000}"/>
    <cellStyle name="Normal 5 17 2 13 4 9" xfId="34821" xr:uid="{00000000-0005-0000-0000-000005880000}"/>
    <cellStyle name="Normal 5 17 2 13 5" xfId="34822" xr:uid="{00000000-0005-0000-0000-000006880000}"/>
    <cellStyle name="Normal 5 17 2 13 5 10" xfId="34823" xr:uid="{00000000-0005-0000-0000-000007880000}"/>
    <cellStyle name="Normal 5 17 2 13 5 2" xfId="34824" xr:uid="{00000000-0005-0000-0000-000008880000}"/>
    <cellStyle name="Normal 5 17 2 13 5 3" xfId="34825" xr:uid="{00000000-0005-0000-0000-000009880000}"/>
    <cellStyle name="Normal 5 17 2 13 5 4" xfId="34826" xr:uid="{00000000-0005-0000-0000-00000A880000}"/>
    <cellStyle name="Normal 5 17 2 13 5 5" xfId="34827" xr:uid="{00000000-0005-0000-0000-00000B880000}"/>
    <cellStyle name="Normal 5 17 2 13 5 6" xfId="34828" xr:uid="{00000000-0005-0000-0000-00000C880000}"/>
    <cellStyle name="Normal 5 17 2 13 5 7" xfId="34829" xr:uid="{00000000-0005-0000-0000-00000D880000}"/>
    <cellStyle name="Normal 5 17 2 13 5 8" xfId="34830" xr:uid="{00000000-0005-0000-0000-00000E880000}"/>
    <cellStyle name="Normal 5 17 2 13 5 9" xfId="34831" xr:uid="{00000000-0005-0000-0000-00000F880000}"/>
    <cellStyle name="Normal 5 17 2 13 6" xfId="34832" xr:uid="{00000000-0005-0000-0000-000010880000}"/>
    <cellStyle name="Normal 5 17 2 13 7" xfId="34833" xr:uid="{00000000-0005-0000-0000-000011880000}"/>
    <cellStyle name="Normal 5 17 2 13 8" xfId="34834" xr:uid="{00000000-0005-0000-0000-000012880000}"/>
    <cellStyle name="Normal 5 17 2 13 9" xfId="34835" xr:uid="{00000000-0005-0000-0000-000013880000}"/>
    <cellStyle name="Normal 5 17 2 14" xfId="34836" xr:uid="{00000000-0005-0000-0000-000014880000}"/>
    <cellStyle name="Normal 5 17 2 14 10" xfId="34837" xr:uid="{00000000-0005-0000-0000-000015880000}"/>
    <cellStyle name="Normal 5 17 2 14 11" xfId="34838" xr:uid="{00000000-0005-0000-0000-000016880000}"/>
    <cellStyle name="Normal 5 17 2 14 12" xfId="34839" xr:uid="{00000000-0005-0000-0000-000017880000}"/>
    <cellStyle name="Normal 5 17 2 14 13" xfId="34840" xr:uid="{00000000-0005-0000-0000-000018880000}"/>
    <cellStyle name="Normal 5 17 2 14 14" xfId="34841" xr:uid="{00000000-0005-0000-0000-000019880000}"/>
    <cellStyle name="Normal 5 17 2 14 2" xfId="34842" xr:uid="{00000000-0005-0000-0000-00001A880000}"/>
    <cellStyle name="Normal 5 17 2 14 2 10" xfId="34843" xr:uid="{00000000-0005-0000-0000-00001B880000}"/>
    <cellStyle name="Normal 5 17 2 14 2 2" xfId="34844" xr:uid="{00000000-0005-0000-0000-00001C880000}"/>
    <cellStyle name="Normal 5 17 2 14 2 3" xfId="34845" xr:uid="{00000000-0005-0000-0000-00001D880000}"/>
    <cellStyle name="Normal 5 17 2 14 2 4" xfId="34846" xr:uid="{00000000-0005-0000-0000-00001E880000}"/>
    <cellStyle name="Normal 5 17 2 14 2 5" xfId="34847" xr:uid="{00000000-0005-0000-0000-00001F880000}"/>
    <cellStyle name="Normal 5 17 2 14 2 6" xfId="34848" xr:uid="{00000000-0005-0000-0000-000020880000}"/>
    <cellStyle name="Normal 5 17 2 14 2 7" xfId="34849" xr:uid="{00000000-0005-0000-0000-000021880000}"/>
    <cellStyle name="Normal 5 17 2 14 2 8" xfId="34850" xr:uid="{00000000-0005-0000-0000-000022880000}"/>
    <cellStyle name="Normal 5 17 2 14 2 9" xfId="34851" xr:uid="{00000000-0005-0000-0000-000023880000}"/>
    <cellStyle name="Normal 5 17 2 14 3" xfId="34852" xr:uid="{00000000-0005-0000-0000-000024880000}"/>
    <cellStyle name="Normal 5 17 2 14 3 10" xfId="34853" xr:uid="{00000000-0005-0000-0000-000025880000}"/>
    <cellStyle name="Normal 5 17 2 14 3 2" xfId="34854" xr:uid="{00000000-0005-0000-0000-000026880000}"/>
    <cellStyle name="Normal 5 17 2 14 3 3" xfId="34855" xr:uid="{00000000-0005-0000-0000-000027880000}"/>
    <cellStyle name="Normal 5 17 2 14 3 4" xfId="34856" xr:uid="{00000000-0005-0000-0000-000028880000}"/>
    <cellStyle name="Normal 5 17 2 14 3 5" xfId="34857" xr:uid="{00000000-0005-0000-0000-000029880000}"/>
    <cellStyle name="Normal 5 17 2 14 3 6" xfId="34858" xr:uid="{00000000-0005-0000-0000-00002A880000}"/>
    <cellStyle name="Normal 5 17 2 14 3 7" xfId="34859" xr:uid="{00000000-0005-0000-0000-00002B880000}"/>
    <cellStyle name="Normal 5 17 2 14 3 8" xfId="34860" xr:uid="{00000000-0005-0000-0000-00002C880000}"/>
    <cellStyle name="Normal 5 17 2 14 3 9" xfId="34861" xr:uid="{00000000-0005-0000-0000-00002D880000}"/>
    <cellStyle name="Normal 5 17 2 14 4" xfId="34862" xr:uid="{00000000-0005-0000-0000-00002E880000}"/>
    <cellStyle name="Normal 5 17 2 14 4 10" xfId="34863" xr:uid="{00000000-0005-0000-0000-00002F880000}"/>
    <cellStyle name="Normal 5 17 2 14 4 2" xfId="34864" xr:uid="{00000000-0005-0000-0000-000030880000}"/>
    <cellStyle name="Normal 5 17 2 14 4 3" xfId="34865" xr:uid="{00000000-0005-0000-0000-000031880000}"/>
    <cellStyle name="Normal 5 17 2 14 4 4" xfId="34866" xr:uid="{00000000-0005-0000-0000-000032880000}"/>
    <cellStyle name="Normal 5 17 2 14 4 5" xfId="34867" xr:uid="{00000000-0005-0000-0000-000033880000}"/>
    <cellStyle name="Normal 5 17 2 14 4 6" xfId="34868" xr:uid="{00000000-0005-0000-0000-000034880000}"/>
    <cellStyle name="Normal 5 17 2 14 4 7" xfId="34869" xr:uid="{00000000-0005-0000-0000-000035880000}"/>
    <cellStyle name="Normal 5 17 2 14 4 8" xfId="34870" xr:uid="{00000000-0005-0000-0000-000036880000}"/>
    <cellStyle name="Normal 5 17 2 14 4 9" xfId="34871" xr:uid="{00000000-0005-0000-0000-000037880000}"/>
    <cellStyle name="Normal 5 17 2 14 5" xfId="34872" xr:uid="{00000000-0005-0000-0000-000038880000}"/>
    <cellStyle name="Normal 5 17 2 14 5 10" xfId="34873" xr:uid="{00000000-0005-0000-0000-000039880000}"/>
    <cellStyle name="Normal 5 17 2 14 5 2" xfId="34874" xr:uid="{00000000-0005-0000-0000-00003A880000}"/>
    <cellStyle name="Normal 5 17 2 14 5 3" xfId="34875" xr:uid="{00000000-0005-0000-0000-00003B880000}"/>
    <cellStyle name="Normal 5 17 2 14 5 4" xfId="34876" xr:uid="{00000000-0005-0000-0000-00003C880000}"/>
    <cellStyle name="Normal 5 17 2 14 5 5" xfId="34877" xr:uid="{00000000-0005-0000-0000-00003D880000}"/>
    <cellStyle name="Normal 5 17 2 14 5 6" xfId="34878" xr:uid="{00000000-0005-0000-0000-00003E880000}"/>
    <cellStyle name="Normal 5 17 2 14 5 7" xfId="34879" xr:uid="{00000000-0005-0000-0000-00003F880000}"/>
    <cellStyle name="Normal 5 17 2 14 5 8" xfId="34880" xr:uid="{00000000-0005-0000-0000-000040880000}"/>
    <cellStyle name="Normal 5 17 2 14 5 9" xfId="34881" xr:uid="{00000000-0005-0000-0000-000041880000}"/>
    <cellStyle name="Normal 5 17 2 14 6" xfId="34882" xr:uid="{00000000-0005-0000-0000-000042880000}"/>
    <cellStyle name="Normal 5 17 2 14 7" xfId="34883" xr:uid="{00000000-0005-0000-0000-000043880000}"/>
    <cellStyle name="Normal 5 17 2 14 8" xfId="34884" xr:uid="{00000000-0005-0000-0000-000044880000}"/>
    <cellStyle name="Normal 5 17 2 14 9" xfId="34885" xr:uid="{00000000-0005-0000-0000-000045880000}"/>
    <cellStyle name="Normal 5 17 2 15" xfId="34886" xr:uid="{00000000-0005-0000-0000-000046880000}"/>
    <cellStyle name="Normal 5 17 2 15 10" xfId="34887" xr:uid="{00000000-0005-0000-0000-000047880000}"/>
    <cellStyle name="Normal 5 17 2 15 11" xfId="34888" xr:uid="{00000000-0005-0000-0000-000048880000}"/>
    <cellStyle name="Normal 5 17 2 15 12" xfId="34889" xr:uid="{00000000-0005-0000-0000-000049880000}"/>
    <cellStyle name="Normal 5 17 2 15 13" xfId="34890" xr:uid="{00000000-0005-0000-0000-00004A880000}"/>
    <cellStyle name="Normal 5 17 2 15 14" xfId="34891" xr:uid="{00000000-0005-0000-0000-00004B880000}"/>
    <cellStyle name="Normal 5 17 2 15 2" xfId="34892" xr:uid="{00000000-0005-0000-0000-00004C880000}"/>
    <cellStyle name="Normal 5 17 2 15 2 10" xfId="34893" xr:uid="{00000000-0005-0000-0000-00004D880000}"/>
    <cellStyle name="Normal 5 17 2 15 2 2" xfId="34894" xr:uid="{00000000-0005-0000-0000-00004E880000}"/>
    <cellStyle name="Normal 5 17 2 15 2 3" xfId="34895" xr:uid="{00000000-0005-0000-0000-00004F880000}"/>
    <cellStyle name="Normal 5 17 2 15 2 4" xfId="34896" xr:uid="{00000000-0005-0000-0000-000050880000}"/>
    <cellStyle name="Normal 5 17 2 15 2 5" xfId="34897" xr:uid="{00000000-0005-0000-0000-000051880000}"/>
    <cellStyle name="Normal 5 17 2 15 2 6" xfId="34898" xr:uid="{00000000-0005-0000-0000-000052880000}"/>
    <cellStyle name="Normal 5 17 2 15 2 7" xfId="34899" xr:uid="{00000000-0005-0000-0000-000053880000}"/>
    <cellStyle name="Normal 5 17 2 15 2 8" xfId="34900" xr:uid="{00000000-0005-0000-0000-000054880000}"/>
    <cellStyle name="Normal 5 17 2 15 2 9" xfId="34901" xr:uid="{00000000-0005-0000-0000-000055880000}"/>
    <cellStyle name="Normal 5 17 2 15 3" xfId="34902" xr:uid="{00000000-0005-0000-0000-000056880000}"/>
    <cellStyle name="Normal 5 17 2 15 3 10" xfId="34903" xr:uid="{00000000-0005-0000-0000-000057880000}"/>
    <cellStyle name="Normal 5 17 2 15 3 2" xfId="34904" xr:uid="{00000000-0005-0000-0000-000058880000}"/>
    <cellStyle name="Normal 5 17 2 15 3 3" xfId="34905" xr:uid="{00000000-0005-0000-0000-000059880000}"/>
    <cellStyle name="Normal 5 17 2 15 3 4" xfId="34906" xr:uid="{00000000-0005-0000-0000-00005A880000}"/>
    <cellStyle name="Normal 5 17 2 15 3 5" xfId="34907" xr:uid="{00000000-0005-0000-0000-00005B880000}"/>
    <cellStyle name="Normal 5 17 2 15 3 6" xfId="34908" xr:uid="{00000000-0005-0000-0000-00005C880000}"/>
    <cellStyle name="Normal 5 17 2 15 3 7" xfId="34909" xr:uid="{00000000-0005-0000-0000-00005D880000}"/>
    <cellStyle name="Normal 5 17 2 15 3 8" xfId="34910" xr:uid="{00000000-0005-0000-0000-00005E880000}"/>
    <cellStyle name="Normal 5 17 2 15 3 9" xfId="34911" xr:uid="{00000000-0005-0000-0000-00005F880000}"/>
    <cellStyle name="Normal 5 17 2 15 4" xfId="34912" xr:uid="{00000000-0005-0000-0000-000060880000}"/>
    <cellStyle name="Normal 5 17 2 15 4 10" xfId="34913" xr:uid="{00000000-0005-0000-0000-000061880000}"/>
    <cellStyle name="Normal 5 17 2 15 4 2" xfId="34914" xr:uid="{00000000-0005-0000-0000-000062880000}"/>
    <cellStyle name="Normal 5 17 2 15 4 3" xfId="34915" xr:uid="{00000000-0005-0000-0000-000063880000}"/>
    <cellStyle name="Normal 5 17 2 15 4 4" xfId="34916" xr:uid="{00000000-0005-0000-0000-000064880000}"/>
    <cellStyle name="Normal 5 17 2 15 4 5" xfId="34917" xr:uid="{00000000-0005-0000-0000-000065880000}"/>
    <cellStyle name="Normal 5 17 2 15 4 6" xfId="34918" xr:uid="{00000000-0005-0000-0000-000066880000}"/>
    <cellStyle name="Normal 5 17 2 15 4 7" xfId="34919" xr:uid="{00000000-0005-0000-0000-000067880000}"/>
    <cellStyle name="Normal 5 17 2 15 4 8" xfId="34920" xr:uid="{00000000-0005-0000-0000-000068880000}"/>
    <cellStyle name="Normal 5 17 2 15 4 9" xfId="34921" xr:uid="{00000000-0005-0000-0000-000069880000}"/>
    <cellStyle name="Normal 5 17 2 15 5" xfId="34922" xr:uid="{00000000-0005-0000-0000-00006A880000}"/>
    <cellStyle name="Normal 5 17 2 15 5 10" xfId="34923" xr:uid="{00000000-0005-0000-0000-00006B880000}"/>
    <cellStyle name="Normal 5 17 2 15 5 2" xfId="34924" xr:uid="{00000000-0005-0000-0000-00006C880000}"/>
    <cellStyle name="Normal 5 17 2 15 5 3" xfId="34925" xr:uid="{00000000-0005-0000-0000-00006D880000}"/>
    <cellStyle name="Normal 5 17 2 15 5 4" xfId="34926" xr:uid="{00000000-0005-0000-0000-00006E880000}"/>
    <cellStyle name="Normal 5 17 2 15 5 5" xfId="34927" xr:uid="{00000000-0005-0000-0000-00006F880000}"/>
    <cellStyle name="Normal 5 17 2 15 5 6" xfId="34928" xr:uid="{00000000-0005-0000-0000-000070880000}"/>
    <cellStyle name="Normal 5 17 2 15 5 7" xfId="34929" xr:uid="{00000000-0005-0000-0000-000071880000}"/>
    <cellStyle name="Normal 5 17 2 15 5 8" xfId="34930" xr:uid="{00000000-0005-0000-0000-000072880000}"/>
    <cellStyle name="Normal 5 17 2 15 5 9" xfId="34931" xr:uid="{00000000-0005-0000-0000-000073880000}"/>
    <cellStyle name="Normal 5 17 2 15 6" xfId="34932" xr:uid="{00000000-0005-0000-0000-000074880000}"/>
    <cellStyle name="Normal 5 17 2 15 7" xfId="34933" xr:uid="{00000000-0005-0000-0000-000075880000}"/>
    <cellStyle name="Normal 5 17 2 15 8" xfId="34934" xr:uid="{00000000-0005-0000-0000-000076880000}"/>
    <cellStyle name="Normal 5 17 2 15 9" xfId="34935" xr:uid="{00000000-0005-0000-0000-000077880000}"/>
    <cellStyle name="Normal 5 17 2 16" xfId="34936" xr:uid="{00000000-0005-0000-0000-000078880000}"/>
    <cellStyle name="Normal 5 17 2 16 10" xfId="34937" xr:uid="{00000000-0005-0000-0000-000079880000}"/>
    <cellStyle name="Normal 5 17 2 16 11" xfId="34938" xr:uid="{00000000-0005-0000-0000-00007A880000}"/>
    <cellStyle name="Normal 5 17 2 16 12" xfId="34939" xr:uid="{00000000-0005-0000-0000-00007B880000}"/>
    <cellStyle name="Normal 5 17 2 16 13" xfId="34940" xr:uid="{00000000-0005-0000-0000-00007C880000}"/>
    <cellStyle name="Normal 5 17 2 16 14" xfId="34941" xr:uid="{00000000-0005-0000-0000-00007D880000}"/>
    <cellStyle name="Normal 5 17 2 16 2" xfId="34942" xr:uid="{00000000-0005-0000-0000-00007E880000}"/>
    <cellStyle name="Normal 5 17 2 16 2 10" xfId="34943" xr:uid="{00000000-0005-0000-0000-00007F880000}"/>
    <cellStyle name="Normal 5 17 2 16 2 2" xfId="34944" xr:uid="{00000000-0005-0000-0000-000080880000}"/>
    <cellStyle name="Normal 5 17 2 16 2 3" xfId="34945" xr:uid="{00000000-0005-0000-0000-000081880000}"/>
    <cellStyle name="Normal 5 17 2 16 2 4" xfId="34946" xr:uid="{00000000-0005-0000-0000-000082880000}"/>
    <cellStyle name="Normal 5 17 2 16 2 5" xfId="34947" xr:uid="{00000000-0005-0000-0000-000083880000}"/>
    <cellStyle name="Normal 5 17 2 16 2 6" xfId="34948" xr:uid="{00000000-0005-0000-0000-000084880000}"/>
    <cellStyle name="Normal 5 17 2 16 2 7" xfId="34949" xr:uid="{00000000-0005-0000-0000-000085880000}"/>
    <cellStyle name="Normal 5 17 2 16 2 8" xfId="34950" xr:uid="{00000000-0005-0000-0000-000086880000}"/>
    <cellStyle name="Normal 5 17 2 16 2 9" xfId="34951" xr:uid="{00000000-0005-0000-0000-000087880000}"/>
    <cellStyle name="Normal 5 17 2 16 3" xfId="34952" xr:uid="{00000000-0005-0000-0000-000088880000}"/>
    <cellStyle name="Normal 5 17 2 16 3 10" xfId="34953" xr:uid="{00000000-0005-0000-0000-000089880000}"/>
    <cellStyle name="Normal 5 17 2 16 3 2" xfId="34954" xr:uid="{00000000-0005-0000-0000-00008A880000}"/>
    <cellStyle name="Normal 5 17 2 16 3 3" xfId="34955" xr:uid="{00000000-0005-0000-0000-00008B880000}"/>
    <cellStyle name="Normal 5 17 2 16 3 4" xfId="34956" xr:uid="{00000000-0005-0000-0000-00008C880000}"/>
    <cellStyle name="Normal 5 17 2 16 3 5" xfId="34957" xr:uid="{00000000-0005-0000-0000-00008D880000}"/>
    <cellStyle name="Normal 5 17 2 16 3 6" xfId="34958" xr:uid="{00000000-0005-0000-0000-00008E880000}"/>
    <cellStyle name="Normal 5 17 2 16 3 7" xfId="34959" xr:uid="{00000000-0005-0000-0000-00008F880000}"/>
    <cellStyle name="Normal 5 17 2 16 3 8" xfId="34960" xr:uid="{00000000-0005-0000-0000-000090880000}"/>
    <cellStyle name="Normal 5 17 2 16 3 9" xfId="34961" xr:uid="{00000000-0005-0000-0000-000091880000}"/>
    <cellStyle name="Normal 5 17 2 16 4" xfId="34962" xr:uid="{00000000-0005-0000-0000-000092880000}"/>
    <cellStyle name="Normal 5 17 2 16 4 10" xfId="34963" xr:uid="{00000000-0005-0000-0000-000093880000}"/>
    <cellStyle name="Normal 5 17 2 16 4 2" xfId="34964" xr:uid="{00000000-0005-0000-0000-000094880000}"/>
    <cellStyle name="Normal 5 17 2 16 4 3" xfId="34965" xr:uid="{00000000-0005-0000-0000-000095880000}"/>
    <cellStyle name="Normal 5 17 2 16 4 4" xfId="34966" xr:uid="{00000000-0005-0000-0000-000096880000}"/>
    <cellStyle name="Normal 5 17 2 16 4 5" xfId="34967" xr:uid="{00000000-0005-0000-0000-000097880000}"/>
    <cellStyle name="Normal 5 17 2 16 4 6" xfId="34968" xr:uid="{00000000-0005-0000-0000-000098880000}"/>
    <cellStyle name="Normal 5 17 2 16 4 7" xfId="34969" xr:uid="{00000000-0005-0000-0000-000099880000}"/>
    <cellStyle name="Normal 5 17 2 16 4 8" xfId="34970" xr:uid="{00000000-0005-0000-0000-00009A880000}"/>
    <cellStyle name="Normal 5 17 2 16 4 9" xfId="34971" xr:uid="{00000000-0005-0000-0000-00009B880000}"/>
    <cellStyle name="Normal 5 17 2 16 5" xfId="34972" xr:uid="{00000000-0005-0000-0000-00009C880000}"/>
    <cellStyle name="Normal 5 17 2 16 5 10" xfId="34973" xr:uid="{00000000-0005-0000-0000-00009D880000}"/>
    <cellStyle name="Normal 5 17 2 16 5 2" xfId="34974" xr:uid="{00000000-0005-0000-0000-00009E880000}"/>
    <cellStyle name="Normal 5 17 2 16 5 3" xfId="34975" xr:uid="{00000000-0005-0000-0000-00009F880000}"/>
    <cellStyle name="Normal 5 17 2 16 5 4" xfId="34976" xr:uid="{00000000-0005-0000-0000-0000A0880000}"/>
    <cellStyle name="Normal 5 17 2 16 5 5" xfId="34977" xr:uid="{00000000-0005-0000-0000-0000A1880000}"/>
    <cellStyle name="Normal 5 17 2 16 5 6" xfId="34978" xr:uid="{00000000-0005-0000-0000-0000A2880000}"/>
    <cellStyle name="Normal 5 17 2 16 5 7" xfId="34979" xr:uid="{00000000-0005-0000-0000-0000A3880000}"/>
    <cellStyle name="Normal 5 17 2 16 5 8" xfId="34980" xr:uid="{00000000-0005-0000-0000-0000A4880000}"/>
    <cellStyle name="Normal 5 17 2 16 5 9" xfId="34981" xr:uid="{00000000-0005-0000-0000-0000A5880000}"/>
    <cellStyle name="Normal 5 17 2 16 6" xfId="34982" xr:uid="{00000000-0005-0000-0000-0000A6880000}"/>
    <cellStyle name="Normal 5 17 2 16 7" xfId="34983" xr:uid="{00000000-0005-0000-0000-0000A7880000}"/>
    <cellStyle name="Normal 5 17 2 16 8" xfId="34984" xr:uid="{00000000-0005-0000-0000-0000A8880000}"/>
    <cellStyle name="Normal 5 17 2 16 9" xfId="34985" xr:uid="{00000000-0005-0000-0000-0000A9880000}"/>
    <cellStyle name="Normal 5 17 2 17" xfId="34986" xr:uid="{00000000-0005-0000-0000-0000AA880000}"/>
    <cellStyle name="Normal 5 17 2 17 10" xfId="34987" xr:uid="{00000000-0005-0000-0000-0000AB880000}"/>
    <cellStyle name="Normal 5 17 2 17 11" xfId="34988" xr:uid="{00000000-0005-0000-0000-0000AC880000}"/>
    <cellStyle name="Normal 5 17 2 17 12" xfId="34989" xr:uid="{00000000-0005-0000-0000-0000AD880000}"/>
    <cellStyle name="Normal 5 17 2 17 13" xfId="34990" xr:uid="{00000000-0005-0000-0000-0000AE880000}"/>
    <cellStyle name="Normal 5 17 2 17 14" xfId="34991" xr:uid="{00000000-0005-0000-0000-0000AF880000}"/>
    <cellStyle name="Normal 5 17 2 17 2" xfId="34992" xr:uid="{00000000-0005-0000-0000-0000B0880000}"/>
    <cellStyle name="Normal 5 17 2 17 2 10" xfId="34993" xr:uid="{00000000-0005-0000-0000-0000B1880000}"/>
    <cellStyle name="Normal 5 17 2 17 2 2" xfId="34994" xr:uid="{00000000-0005-0000-0000-0000B2880000}"/>
    <cellStyle name="Normal 5 17 2 17 2 3" xfId="34995" xr:uid="{00000000-0005-0000-0000-0000B3880000}"/>
    <cellStyle name="Normal 5 17 2 17 2 4" xfId="34996" xr:uid="{00000000-0005-0000-0000-0000B4880000}"/>
    <cellStyle name="Normal 5 17 2 17 2 5" xfId="34997" xr:uid="{00000000-0005-0000-0000-0000B5880000}"/>
    <cellStyle name="Normal 5 17 2 17 2 6" xfId="34998" xr:uid="{00000000-0005-0000-0000-0000B6880000}"/>
    <cellStyle name="Normal 5 17 2 17 2 7" xfId="34999" xr:uid="{00000000-0005-0000-0000-0000B7880000}"/>
    <cellStyle name="Normal 5 17 2 17 2 8" xfId="35000" xr:uid="{00000000-0005-0000-0000-0000B8880000}"/>
    <cellStyle name="Normal 5 17 2 17 2 9" xfId="35001" xr:uid="{00000000-0005-0000-0000-0000B9880000}"/>
    <cellStyle name="Normal 5 17 2 17 3" xfId="35002" xr:uid="{00000000-0005-0000-0000-0000BA880000}"/>
    <cellStyle name="Normal 5 17 2 17 3 10" xfId="35003" xr:uid="{00000000-0005-0000-0000-0000BB880000}"/>
    <cellStyle name="Normal 5 17 2 17 3 2" xfId="35004" xr:uid="{00000000-0005-0000-0000-0000BC880000}"/>
    <cellStyle name="Normal 5 17 2 17 3 3" xfId="35005" xr:uid="{00000000-0005-0000-0000-0000BD880000}"/>
    <cellStyle name="Normal 5 17 2 17 3 4" xfId="35006" xr:uid="{00000000-0005-0000-0000-0000BE880000}"/>
    <cellStyle name="Normal 5 17 2 17 3 5" xfId="35007" xr:uid="{00000000-0005-0000-0000-0000BF880000}"/>
    <cellStyle name="Normal 5 17 2 17 3 6" xfId="35008" xr:uid="{00000000-0005-0000-0000-0000C0880000}"/>
    <cellStyle name="Normal 5 17 2 17 3 7" xfId="35009" xr:uid="{00000000-0005-0000-0000-0000C1880000}"/>
    <cellStyle name="Normal 5 17 2 17 3 8" xfId="35010" xr:uid="{00000000-0005-0000-0000-0000C2880000}"/>
    <cellStyle name="Normal 5 17 2 17 3 9" xfId="35011" xr:uid="{00000000-0005-0000-0000-0000C3880000}"/>
    <cellStyle name="Normal 5 17 2 17 4" xfId="35012" xr:uid="{00000000-0005-0000-0000-0000C4880000}"/>
    <cellStyle name="Normal 5 17 2 17 4 10" xfId="35013" xr:uid="{00000000-0005-0000-0000-0000C5880000}"/>
    <cellStyle name="Normal 5 17 2 17 4 2" xfId="35014" xr:uid="{00000000-0005-0000-0000-0000C6880000}"/>
    <cellStyle name="Normal 5 17 2 17 4 3" xfId="35015" xr:uid="{00000000-0005-0000-0000-0000C7880000}"/>
    <cellStyle name="Normal 5 17 2 17 4 4" xfId="35016" xr:uid="{00000000-0005-0000-0000-0000C8880000}"/>
    <cellStyle name="Normal 5 17 2 17 4 5" xfId="35017" xr:uid="{00000000-0005-0000-0000-0000C9880000}"/>
    <cellStyle name="Normal 5 17 2 17 4 6" xfId="35018" xr:uid="{00000000-0005-0000-0000-0000CA880000}"/>
    <cellStyle name="Normal 5 17 2 17 4 7" xfId="35019" xr:uid="{00000000-0005-0000-0000-0000CB880000}"/>
    <cellStyle name="Normal 5 17 2 17 4 8" xfId="35020" xr:uid="{00000000-0005-0000-0000-0000CC880000}"/>
    <cellStyle name="Normal 5 17 2 17 4 9" xfId="35021" xr:uid="{00000000-0005-0000-0000-0000CD880000}"/>
    <cellStyle name="Normal 5 17 2 17 5" xfId="35022" xr:uid="{00000000-0005-0000-0000-0000CE880000}"/>
    <cellStyle name="Normal 5 17 2 17 5 10" xfId="35023" xr:uid="{00000000-0005-0000-0000-0000CF880000}"/>
    <cellStyle name="Normal 5 17 2 17 5 2" xfId="35024" xr:uid="{00000000-0005-0000-0000-0000D0880000}"/>
    <cellStyle name="Normal 5 17 2 17 5 3" xfId="35025" xr:uid="{00000000-0005-0000-0000-0000D1880000}"/>
    <cellStyle name="Normal 5 17 2 17 5 4" xfId="35026" xr:uid="{00000000-0005-0000-0000-0000D2880000}"/>
    <cellStyle name="Normal 5 17 2 17 5 5" xfId="35027" xr:uid="{00000000-0005-0000-0000-0000D3880000}"/>
    <cellStyle name="Normal 5 17 2 17 5 6" xfId="35028" xr:uid="{00000000-0005-0000-0000-0000D4880000}"/>
    <cellStyle name="Normal 5 17 2 17 5 7" xfId="35029" xr:uid="{00000000-0005-0000-0000-0000D5880000}"/>
    <cellStyle name="Normal 5 17 2 17 5 8" xfId="35030" xr:uid="{00000000-0005-0000-0000-0000D6880000}"/>
    <cellStyle name="Normal 5 17 2 17 5 9" xfId="35031" xr:uid="{00000000-0005-0000-0000-0000D7880000}"/>
    <cellStyle name="Normal 5 17 2 17 6" xfId="35032" xr:uid="{00000000-0005-0000-0000-0000D8880000}"/>
    <cellStyle name="Normal 5 17 2 17 7" xfId="35033" xr:uid="{00000000-0005-0000-0000-0000D9880000}"/>
    <cellStyle name="Normal 5 17 2 17 8" xfId="35034" xr:uid="{00000000-0005-0000-0000-0000DA880000}"/>
    <cellStyle name="Normal 5 17 2 17 9" xfId="35035" xr:uid="{00000000-0005-0000-0000-0000DB880000}"/>
    <cellStyle name="Normal 5 17 2 18" xfId="35036" xr:uid="{00000000-0005-0000-0000-0000DC880000}"/>
    <cellStyle name="Normal 5 17 2 18 10" xfId="35037" xr:uid="{00000000-0005-0000-0000-0000DD880000}"/>
    <cellStyle name="Normal 5 17 2 18 11" xfId="35038" xr:uid="{00000000-0005-0000-0000-0000DE880000}"/>
    <cellStyle name="Normal 5 17 2 18 12" xfId="35039" xr:uid="{00000000-0005-0000-0000-0000DF880000}"/>
    <cellStyle name="Normal 5 17 2 18 13" xfId="35040" xr:uid="{00000000-0005-0000-0000-0000E0880000}"/>
    <cellStyle name="Normal 5 17 2 18 14" xfId="35041" xr:uid="{00000000-0005-0000-0000-0000E1880000}"/>
    <cellStyle name="Normal 5 17 2 18 2" xfId="35042" xr:uid="{00000000-0005-0000-0000-0000E2880000}"/>
    <cellStyle name="Normal 5 17 2 18 2 10" xfId="35043" xr:uid="{00000000-0005-0000-0000-0000E3880000}"/>
    <cellStyle name="Normal 5 17 2 18 2 2" xfId="35044" xr:uid="{00000000-0005-0000-0000-0000E4880000}"/>
    <cellStyle name="Normal 5 17 2 18 2 3" xfId="35045" xr:uid="{00000000-0005-0000-0000-0000E5880000}"/>
    <cellStyle name="Normal 5 17 2 18 2 4" xfId="35046" xr:uid="{00000000-0005-0000-0000-0000E6880000}"/>
    <cellStyle name="Normal 5 17 2 18 2 5" xfId="35047" xr:uid="{00000000-0005-0000-0000-0000E7880000}"/>
    <cellStyle name="Normal 5 17 2 18 2 6" xfId="35048" xr:uid="{00000000-0005-0000-0000-0000E8880000}"/>
    <cellStyle name="Normal 5 17 2 18 2 7" xfId="35049" xr:uid="{00000000-0005-0000-0000-0000E9880000}"/>
    <cellStyle name="Normal 5 17 2 18 2 8" xfId="35050" xr:uid="{00000000-0005-0000-0000-0000EA880000}"/>
    <cellStyle name="Normal 5 17 2 18 2 9" xfId="35051" xr:uid="{00000000-0005-0000-0000-0000EB880000}"/>
    <cellStyle name="Normal 5 17 2 18 3" xfId="35052" xr:uid="{00000000-0005-0000-0000-0000EC880000}"/>
    <cellStyle name="Normal 5 17 2 18 3 10" xfId="35053" xr:uid="{00000000-0005-0000-0000-0000ED880000}"/>
    <cellStyle name="Normal 5 17 2 18 3 2" xfId="35054" xr:uid="{00000000-0005-0000-0000-0000EE880000}"/>
    <cellStyle name="Normal 5 17 2 18 3 3" xfId="35055" xr:uid="{00000000-0005-0000-0000-0000EF880000}"/>
    <cellStyle name="Normal 5 17 2 18 3 4" xfId="35056" xr:uid="{00000000-0005-0000-0000-0000F0880000}"/>
    <cellStyle name="Normal 5 17 2 18 3 5" xfId="35057" xr:uid="{00000000-0005-0000-0000-0000F1880000}"/>
    <cellStyle name="Normal 5 17 2 18 3 6" xfId="35058" xr:uid="{00000000-0005-0000-0000-0000F2880000}"/>
    <cellStyle name="Normal 5 17 2 18 3 7" xfId="35059" xr:uid="{00000000-0005-0000-0000-0000F3880000}"/>
    <cellStyle name="Normal 5 17 2 18 3 8" xfId="35060" xr:uid="{00000000-0005-0000-0000-0000F4880000}"/>
    <cellStyle name="Normal 5 17 2 18 3 9" xfId="35061" xr:uid="{00000000-0005-0000-0000-0000F5880000}"/>
    <cellStyle name="Normal 5 17 2 18 4" xfId="35062" xr:uid="{00000000-0005-0000-0000-0000F6880000}"/>
    <cellStyle name="Normal 5 17 2 18 4 10" xfId="35063" xr:uid="{00000000-0005-0000-0000-0000F7880000}"/>
    <cellStyle name="Normal 5 17 2 18 4 2" xfId="35064" xr:uid="{00000000-0005-0000-0000-0000F8880000}"/>
    <cellStyle name="Normal 5 17 2 18 4 3" xfId="35065" xr:uid="{00000000-0005-0000-0000-0000F9880000}"/>
    <cellStyle name="Normal 5 17 2 18 4 4" xfId="35066" xr:uid="{00000000-0005-0000-0000-0000FA880000}"/>
    <cellStyle name="Normal 5 17 2 18 4 5" xfId="35067" xr:uid="{00000000-0005-0000-0000-0000FB880000}"/>
    <cellStyle name="Normal 5 17 2 18 4 6" xfId="35068" xr:uid="{00000000-0005-0000-0000-0000FC880000}"/>
    <cellStyle name="Normal 5 17 2 18 4 7" xfId="35069" xr:uid="{00000000-0005-0000-0000-0000FD880000}"/>
    <cellStyle name="Normal 5 17 2 18 4 8" xfId="35070" xr:uid="{00000000-0005-0000-0000-0000FE880000}"/>
    <cellStyle name="Normal 5 17 2 18 4 9" xfId="35071" xr:uid="{00000000-0005-0000-0000-0000FF880000}"/>
    <cellStyle name="Normal 5 17 2 18 5" xfId="35072" xr:uid="{00000000-0005-0000-0000-000000890000}"/>
    <cellStyle name="Normal 5 17 2 18 5 10" xfId="35073" xr:uid="{00000000-0005-0000-0000-000001890000}"/>
    <cellStyle name="Normal 5 17 2 18 5 2" xfId="35074" xr:uid="{00000000-0005-0000-0000-000002890000}"/>
    <cellStyle name="Normal 5 17 2 18 5 3" xfId="35075" xr:uid="{00000000-0005-0000-0000-000003890000}"/>
    <cellStyle name="Normal 5 17 2 18 5 4" xfId="35076" xr:uid="{00000000-0005-0000-0000-000004890000}"/>
    <cellStyle name="Normal 5 17 2 18 5 5" xfId="35077" xr:uid="{00000000-0005-0000-0000-000005890000}"/>
    <cellStyle name="Normal 5 17 2 18 5 6" xfId="35078" xr:uid="{00000000-0005-0000-0000-000006890000}"/>
    <cellStyle name="Normal 5 17 2 18 5 7" xfId="35079" xr:uid="{00000000-0005-0000-0000-000007890000}"/>
    <cellStyle name="Normal 5 17 2 18 5 8" xfId="35080" xr:uid="{00000000-0005-0000-0000-000008890000}"/>
    <cellStyle name="Normal 5 17 2 18 5 9" xfId="35081" xr:uid="{00000000-0005-0000-0000-000009890000}"/>
    <cellStyle name="Normal 5 17 2 18 6" xfId="35082" xr:uid="{00000000-0005-0000-0000-00000A890000}"/>
    <cellStyle name="Normal 5 17 2 18 7" xfId="35083" xr:uid="{00000000-0005-0000-0000-00000B890000}"/>
    <cellStyle name="Normal 5 17 2 18 8" xfId="35084" xr:uid="{00000000-0005-0000-0000-00000C890000}"/>
    <cellStyle name="Normal 5 17 2 18 9" xfId="35085" xr:uid="{00000000-0005-0000-0000-00000D890000}"/>
    <cellStyle name="Normal 5 17 2 19" xfId="35086" xr:uid="{00000000-0005-0000-0000-00000E890000}"/>
    <cellStyle name="Normal 5 17 2 19 10" xfId="35087" xr:uid="{00000000-0005-0000-0000-00000F890000}"/>
    <cellStyle name="Normal 5 17 2 19 11" xfId="35088" xr:uid="{00000000-0005-0000-0000-000010890000}"/>
    <cellStyle name="Normal 5 17 2 19 12" xfId="35089" xr:uid="{00000000-0005-0000-0000-000011890000}"/>
    <cellStyle name="Normal 5 17 2 19 13" xfId="35090" xr:uid="{00000000-0005-0000-0000-000012890000}"/>
    <cellStyle name="Normal 5 17 2 19 14" xfId="35091" xr:uid="{00000000-0005-0000-0000-000013890000}"/>
    <cellStyle name="Normal 5 17 2 19 2" xfId="35092" xr:uid="{00000000-0005-0000-0000-000014890000}"/>
    <cellStyle name="Normal 5 17 2 19 2 10" xfId="35093" xr:uid="{00000000-0005-0000-0000-000015890000}"/>
    <cellStyle name="Normal 5 17 2 19 2 2" xfId="35094" xr:uid="{00000000-0005-0000-0000-000016890000}"/>
    <cellStyle name="Normal 5 17 2 19 2 3" xfId="35095" xr:uid="{00000000-0005-0000-0000-000017890000}"/>
    <cellStyle name="Normal 5 17 2 19 2 4" xfId="35096" xr:uid="{00000000-0005-0000-0000-000018890000}"/>
    <cellStyle name="Normal 5 17 2 19 2 5" xfId="35097" xr:uid="{00000000-0005-0000-0000-000019890000}"/>
    <cellStyle name="Normal 5 17 2 19 2 6" xfId="35098" xr:uid="{00000000-0005-0000-0000-00001A890000}"/>
    <cellStyle name="Normal 5 17 2 19 2 7" xfId="35099" xr:uid="{00000000-0005-0000-0000-00001B890000}"/>
    <cellStyle name="Normal 5 17 2 19 2 8" xfId="35100" xr:uid="{00000000-0005-0000-0000-00001C890000}"/>
    <cellStyle name="Normal 5 17 2 19 2 9" xfId="35101" xr:uid="{00000000-0005-0000-0000-00001D890000}"/>
    <cellStyle name="Normal 5 17 2 19 3" xfId="35102" xr:uid="{00000000-0005-0000-0000-00001E890000}"/>
    <cellStyle name="Normal 5 17 2 19 3 10" xfId="35103" xr:uid="{00000000-0005-0000-0000-00001F890000}"/>
    <cellStyle name="Normal 5 17 2 19 3 2" xfId="35104" xr:uid="{00000000-0005-0000-0000-000020890000}"/>
    <cellStyle name="Normal 5 17 2 19 3 3" xfId="35105" xr:uid="{00000000-0005-0000-0000-000021890000}"/>
    <cellStyle name="Normal 5 17 2 19 3 4" xfId="35106" xr:uid="{00000000-0005-0000-0000-000022890000}"/>
    <cellStyle name="Normal 5 17 2 19 3 5" xfId="35107" xr:uid="{00000000-0005-0000-0000-000023890000}"/>
    <cellStyle name="Normal 5 17 2 19 3 6" xfId="35108" xr:uid="{00000000-0005-0000-0000-000024890000}"/>
    <cellStyle name="Normal 5 17 2 19 3 7" xfId="35109" xr:uid="{00000000-0005-0000-0000-000025890000}"/>
    <cellStyle name="Normal 5 17 2 19 3 8" xfId="35110" xr:uid="{00000000-0005-0000-0000-000026890000}"/>
    <cellStyle name="Normal 5 17 2 19 3 9" xfId="35111" xr:uid="{00000000-0005-0000-0000-000027890000}"/>
    <cellStyle name="Normal 5 17 2 19 4" xfId="35112" xr:uid="{00000000-0005-0000-0000-000028890000}"/>
    <cellStyle name="Normal 5 17 2 19 4 10" xfId="35113" xr:uid="{00000000-0005-0000-0000-000029890000}"/>
    <cellStyle name="Normal 5 17 2 19 4 2" xfId="35114" xr:uid="{00000000-0005-0000-0000-00002A890000}"/>
    <cellStyle name="Normal 5 17 2 19 4 3" xfId="35115" xr:uid="{00000000-0005-0000-0000-00002B890000}"/>
    <cellStyle name="Normal 5 17 2 19 4 4" xfId="35116" xr:uid="{00000000-0005-0000-0000-00002C890000}"/>
    <cellStyle name="Normal 5 17 2 19 4 5" xfId="35117" xr:uid="{00000000-0005-0000-0000-00002D890000}"/>
    <cellStyle name="Normal 5 17 2 19 4 6" xfId="35118" xr:uid="{00000000-0005-0000-0000-00002E890000}"/>
    <cellStyle name="Normal 5 17 2 19 4 7" xfId="35119" xr:uid="{00000000-0005-0000-0000-00002F890000}"/>
    <cellStyle name="Normal 5 17 2 19 4 8" xfId="35120" xr:uid="{00000000-0005-0000-0000-000030890000}"/>
    <cellStyle name="Normal 5 17 2 19 4 9" xfId="35121" xr:uid="{00000000-0005-0000-0000-000031890000}"/>
    <cellStyle name="Normal 5 17 2 19 5" xfId="35122" xr:uid="{00000000-0005-0000-0000-000032890000}"/>
    <cellStyle name="Normal 5 17 2 19 5 10" xfId="35123" xr:uid="{00000000-0005-0000-0000-000033890000}"/>
    <cellStyle name="Normal 5 17 2 19 5 2" xfId="35124" xr:uid="{00000000-0005-0000-0000-000034890000}"/>
    <cellStyle name="Normal 5 17 2 19 5 3" xfId="35125" xr:uid="{00000000-0005-0000-0000-000035890000}"/>
    <cellStyle name="Normal 5 17 2 19 5 4" xfId="35126" xr:uid="{00000000-0005-0000-0000-000036890000}"/>
    <cellStyle name="Normal 5 17 2 19 5 5" xfId="35127" xr:uid="{00000000-0005-0000-0000-000037890000}"/>
    <cellStyle name="Normal 5 17 2 19 5 6" xfId="35128" xr:uid="{00000000-0005-0000-0000-000038890000}"/>
    <cellStyle name="Normal 5 17 2 19 5 7" xfId="35129" xr:uid="{00000000-0005-0000-0000-000039890000}"/>
    <cellStyle name="Normal 5 17 2 19 5 8" xfId="35130" xr:uid="{00000000-0005-0000-0000-00003A890000}"/>
    <cellStyle name="Normal 5 17 2 19 5 9" xfId="35131" xr:uid="{00000000-0005-0000-0000-00003B890000}"/>
    <cellStyle name="Normal 5 17 2 19 6" xfId="35132" xr:uid="{00000000-0005-0000-0000-00003C890000}"/>
    <cellStyle name="Normal 5 17 2 19 7" xfId="35133" xr:uid="{00000000-0005-0000-0000-00003D890000}"/>
    <cellStyle name="Normal 5 17 2 19 8" xfId="35134" xr:uid="{00000000-0005-0000-0000-00003E890000}"/>
    <cellStyle name="Normal 5 17 2 19 9" xfId="35135" xr:uid="{00000000-0005-0000-0000-00003F890000}"/>
    <cellStyle name="Normal 5 17 2 2" xfId="35136" xr:uid="{00000000-0005-0000-0000-000040890000}"/>
    <cellStyle name="Normal 5 17 2 2 10" xfId="35137" xr:uid="{00000000-0005-0000-0000-000041890000}"/>
    <cellStyle name="Normal 5 17 2 2 11" xfId="35138" xr:uid="{00000000-0005-0000-0000-000042890000}"/>
    <cellStyle name="Normal 5 17 2 2 12" xfId="35139" xr:uid="{00000000-0005-0000-0000-000043890000}"/>
    <cellStyle name="Normal 5 17 2 2 13" xfId="35140" xr:uid="{00000000-0005-0000-0000-000044890000}"/>
    <cellStyle name="Normal 5 17 2 2 14" xfId="35141" xr:uid="{00000000-0005-0000-0000-000045890000}"/>
    <cellStyle name="Normal 5 17 2 2 15" xfId="35142" xr:uid="{00000000-0005-0000-0000-000046890000}"/>
    <cellStyle name="Normal 5 17 2 2 16" xfId="35143" xr:uid="{00000000-0005-0000-0000-000047890000}"/>
    <cellStyle name="Normal 5 17 2 2 2" xfId="35144" xr:uid="{00000000-0005-0000-0000-000048890000}"/>
    <cellStyle name="Normal 5 17 2 2 2 10" xfId="35145" xr:uid="{00000000-0005-0000-0000-000049890000}"/>
    <cellStyle name="Normal 5 17 2 2 2 2" xfId="35146" xr:uid="{00000000-0005-0000-0000-00004A890000}"/>
    <cellStyle name="Normal 5 17 2 2 2 3" xfId="35147" xr:uid="{00000000-0005-0000-0000-00004B890000}"/>
    <cellStyle name="Normal 5 17 2 2 2 4" xfId="35148" xr:uid="{00000000-0005-0000-0000-00004C890000}"/>
    <cellStyle name="Normal 5 17 2 2 2 5" xfId="35149" xr:uid="{00000000-0005-0000-0000-00004D890000}"/>
    <cellStyle name="Normal 5 17 2 2 2 6" xfId="35150" xr:uid="{00000000-0005-0000-0000-00004E890000}"/>
    <cellStyle name="Normal 5 17 2 2 2 7" xfId="35151" xr:uid="{00000000-0005-0000-0000-00004F890000}"/>
    <cellStyle name="Normal 5 17 2 2 2 8" xfId="35152" xr:uid="{00000000-0005-0000-0000-000050890000}"/>
    <cellStyle name="Normal 5 17 2 2 2 9" xfId="35153" xr:uid="{00000000-0005-0000-0000-000051890000}"/>
    <cellStyle name="Normal 5 17 2 2 3" xfId="35154" xr:uid="{00000000-0005-0000-0000-000052890000}"/>
    <cellStyle name="Normal 5 17 2 2 3 10" xfId="35155" xr:uid="{00000000-0005-0000-0000-000053890000}"/>
    <cellStyle name="Normal 5 17 2 2 3 2" xfId="35156" xr:uid="{00000000-0005-0000-0000-000054890000}"/>
    <cellStyle name="Normal 5 17 2 2 3 3" xfId="35157" xr:uid="{00000000-0005-0000-0000-000055890000}"/>
    <cellStyle name="Normal 5 17 2 2 3 4" xfId="35158" xr:uid="{00000000-0005-0000-0000-000056890000}"/>
    <cellStyle name="Normal 5 17 2 2 3 5" xfId="35159" xr:uid="{00000000-0005-0000-0000-000057890000}"/>
    <cellStyle name="Normal 5 17 2 2 3 6" xfId="35160" xr:uid="{00000000-0005-0000-0000-000058890000}"/>
    <cellStyle name="Normal 5 17 2 2 3 7" xfId="35161" xr:uid="{00000000-0005-0000-0000-000059890000}"/>
    <cellStyle name="Normal 5 17 2 2 3 8" xfId="35162" xr:uid="{00000000-0005-0000-0000-00005A890000}"/>
    <cellStyle name="Normal 5 17 2 2 3 9" xfId="35163" xr:uid="{00000000-0005-0000-0000-00005B890000}"/>
    <cellStyle name="Normal 5 17 2 2 4" xfId="35164" xr:uid="{00000000-0005-0000-0000-00005C890000}"/>
    <cellStyle name="Normal 5 17 2 2 4 10" xfId="35165" xr:uid="{00000000-0005-0000-0000-00005D890000}"/>
    <cellStyle name="Normal 5 17 2 2 4 2" xfId="35166" xr:uid="{00000000-0005-0000-0000-00005E890000}"/>
    <cellStyle name="Normal 5 17 2 2 4 3" xfId="35167" xr:uid="{00000000-0005-0000-0000-00005F890000}"/>
    <cellStyle name="Normal 5 17 2 2 4 4" xfId="35168" xr:uid="{00000000-0005-0000-0000-000060890000}"/>
    <cellStyle name="Normal 5 17 2 2 4 5" xfId="35169" xr:uid="{00000000-0005-0000-0000-000061890000}"/>
    <cellStyle name="Normal 5 17 2 2 4 6" xfId="35170" xr:uid="{00000000-0005-0000-0000-000062890000}"/>
    <cellStyle name="Normal 5 17 2 2 4 7" xfId="35171" xr:uid="{00000000-0005-0000-0000-000063890000}"/>
    <cellStyle name="Normal 5 17 2 2 4 8" xfId="35172" xr:uid="{00000000-0005-0000-0000-000064890000}"/>
    <cellStyle name="Normal 5 17 2 2 4 9" xfId="35173" xr:uid="{00000000-0005-0000-0000-000065890000}"/>
    <cellStyle name="Normal 5 17 2 2 5" xfId="35174" xr:uid="{00000000-0005-0000-0000-000066890000}"/>
    <cellStyle name="Normal 5 17 2 2 5 10" xfId="35175" xr:uid="{00000000-0005-0000-0000-000067890000}"/>
    <cellStyle name="Normal 5 17 2 2 5 2" xfId="35176" xr:uid="{00000000-0005-0000-0000-000068890000}"/>
    <cellStyle name="Normal 5 17 2 2 5 3" xfId="35177" xr:uid="{00000000-0005-0000-0000-000069890000}"/>
    <cellStyle name="Normal 5 17 2 2 5 4" xfId="35178" xr:uid="{00000000-0005-0000-0000-00006A890000}"/>
    <cellStyle name="Normal 5 17 2 2 5 5" xfId="35179" xr:uid="{00000000-0005-0000-0000-00006B890000}"/>
    <cellStyle name="Normal 5 17 2 2 5 6" xfId="35180" xr:uid="{00000000-0005-0000-0000-00006C890000}"/>
    <cellStyle name="Normal 5 17 2 2 5 7" xfId="35181" xr:uid="{00000000-0005-0000-0000-00006D890000}"/>
    <cellStyle name="Normal 5 17 2 2 5 8" xfId="35182" xr:uid="{00000000-0005-0000-0000-00006E890000}"/>
    <cellStyle name="Normal 5 17 2 2 5 9" xfId="35183" xr:uid="{00000000-0005-0000-0000-00006F890000}"/>
    <cellStyle name="Normal 5 17 2 2 6" xfId="35184" xr:uid="{00000000-0005-0000-0000-000070890000}"/>
    <cellStyle name="Normal 5 17 2 2 7" xfId="35185" xr:uid="{00000000-0005-0000-0000-000071890000}"/>
    <cellStyle name="Normal 5 17 2 2 8" xfId="35186" xr:uid="{00000000-0005-0000-0000-000072890000}"/>
    <cellStyle name="Normal 5 17 2 2 9" xfId="35187" xr:uid="{00000000-0005-0000-0000-000073890000}"/>
    <cellStyle name="Normal 5 17 2 20" xfId="35188" xr:uid="{00000000-0005-0000-0000-000074890000}"/>
    <cellStyle name="Normal 5 17 2 20 10" xfId="35189" xr:uid="{00000000-0005-0000-0000-000075890000}"/>
    <cellStyle name="Normal 5 17 2 20 11" xfId="35190" xr:uid="{00000000-0005-0000-0000-000076890000}"/>
    <cellStyle name="Normal 5 17 2 20 12" xfId="35191" xr:uid="{00000000-0005-0000-0000-000077890000}"/>
    <cellStyle name="Normal 5 17 2 20 13" xfId="35192" xr:uid="{00000000-0005-0000-0000-000078890000}"/>
    <cellStyle name="Normal 5 17 2 20 14" xfId="35193" xr:uid="{00000000-0005-0000-0000-000079890000}"/>
    <cellStyle name="Normal 5 17 2 20 2" xfId="35194" xr:uid="{00000000-0005-0000-0000-00007A890000}"/>
    <cellStyle name="Normal 5 17 2 20 2 10" xfId="35195" xr:uid="{00000000-0005-0000-0000-00007B890000}"/>
    <cellStyle name="Normal 5 17 2 20 2 2" xfId="35196" xr:uid="{00000000-0005-0000-0000-00007C890000}"/>
    <cellStyle name="Normal 5 17 2 20 2 3" xfId="35197" xr:uid="{00000000-0005-0000-0000-00007D890000}"/>
    <cellStyle name="Normal 5 17 2 20 2 4" xfId="35198" xr:uid="{00000000-0005-0000-0000-00007E890000}"/>
    <cellStyle name="Normal 5 17 2 20 2 5" xfId="35199" xr:uid="{00000000-0005-0000-0000-00007F890000}"/>
    <cellStyle name="Normal 5 17 2 20 2 6" xfId="35200" xr:uid="{00000000-0005-0000-0000-000080890000}"/>
    <cellStyle name="Normal 5 17 2 20 2 7" xfId="35201" xr:uid="{00000000-0005-0000-0000-000081890000}"/>
    <cellStyle name="Normal 5 17 2 20 2 8" xfId="35202" xr:uid="{00000000-0005-0000-0000-000082890000}"/>
    <cellStyle name="Normal 5 17 2 20 2 9" xfId="35203" xr:uid="{00000000-0005-0000-0000-000083890000}"/>
    <cellStyle name="Normal 5 17 2 20 3" xfId="35204" xr:uid="{00000000-0005-0000-0000-000084890000}"/>
    <cellStyle name="Normal 5 17 2 20 3 10" xfId="35205" xr:uid="{00000000-0005-0000-0000-000085890000}"/>
    <cellStyle name="Normal 5 17 2 20 3 2" xfId="35206" xr:uid="{00000000-0005-0000-0000-000086890000}"/>
    <cellStyle name="Normal 5 17 2 20 3 3" xfId="35207" xr:uid="{00000000-0005-0000-0000-000087890000}"/>
    <cellStyle name="Normal 5 17 2 20 3 4" xfId="35208" xr:uid="{00000000-0005-0000-0000-000088890000}"/>
    <cellStyle name="Normal 5 17 2 20 3 5" xfId="35209" xr:uid="{00000000-0005-0000-0000-000089890000}"/>
    <cellStyle name="Normal 5 17 2 20 3 6" xfId="35210" xr:uid="{00000000-0005-0000-0000-00008A890000}"/>
    <cellStyle name="Normal 5 17 2 20 3 7" xfId="35211" xr:uid="{00000000-0005-0000-0000-00008B890000}"/>
    <cellStyle name="Normal 5 17 2 20 3 8" xfId="35212" xr:uid="{00000000-0005-0000-0000-00008C890000}"/>
    <cellStyle name="Normal 5 17 2 20 3 9" xfId="35213" xr:uid="{00000000-0005-0000-0000-00008D890000}"/>
    <cellStyle name="Normal 5 17 2 20 4" xfId="35214" xr:uid="{00000000-0005-0000-0000-00008E890000}"/>
    <cellStyle name="Normal 5 17 2 20 4 10" xfId="35215" xr:uid="{00000000-0005-0000-0000-00008F890000}"/>
    <cellStyle name="Normal 5 17 2 20 4 2" xfId="35216" xr:uid="{00000000-0005-0000-0000-000090890000}"/>
    <cellStyle name="Normal 5 17 2 20 4 3" xfId="35217" xr:uid="{00000000-0005-0000-0000-000091890000}"/>
    <cellStyle name="Normal 5 17 2 20 4 4" xfId="35218" xr:uid="{00000000-0005-0000-0000-000092890000}"/>
    <cellStyle name="Normal 5 17 2 20 4 5" xfId="35219" xr:uid="{00000000-0005-0000-0000-000093890000}"/>
    <cellStyle name="Normal 5 17 2 20 4 6" xfId="35220" xr:uid="{00000000-0005-0000-0000-000094890000}"/>
    <cellStyle name="Normal 5 17 2 20 4 7" xfId="35221" xr:uid="{00000000-0005-0000-0000-000095890000}"/>
    <cellStyle name="Normal 5 17 2 20 4 8" xfId="35222" xr:uid="{00000000-0005-0000-0000-000096890000}"/>
    <cellStyle name="Normal 5 17 2 20 4 9" xfId="35223" xr:uid="{00000000-0005-0000-0000-000097890000}"/>
    <cellStyle name="Normal 5 17 2 20 5" xfId="35224" xr:uid="{00000000-0005-0000-0000-000098890000}"/>
    <cellStyle name="Normal 5 17 2 20 5 10" xfId="35225" xr:uid="{00000000-0005-0000-0000-000099890000}"/>
    <cellStyle name="Normal 5 17 2 20 5 2" xfId="35226" xr:uid="{00000000-0005-0000-0000-00009A890000}"/>
    <cellStyle name="Normal 5 17 2 20 5 3" xfId="35227" xr:uid="{00000000-0005-0000-0000-00009B890000}"/>
    <cellStyle name="Normal 5 17 2 20 5 4" xfId="35228" xr:uid="{00000000-0005-0000-0000-00009C890000}"/>
    <cellStyle name="Normal 5 17 2 20 5 5" xfId="35229" xr:uid="{00000000-0005-0000-0000-00009D890000}"/>
    <cellStyle name="Normal 5 17 2 20 5 6" xfId="35230" xr:uid="{00000000-0005-0000-0000-00009E890000}"/>
    <cellStyle name="Normal 5 17 2 20 5 7" xfId="35231" xr:uid="{00000000-0005-0000-0000-00009F890000}"/>
    <cellStyle name="Normal 5 17 2 20 5 8" xfId="35232" xr:uid="{00000000-0005-0000-0000-0000A0890000}"/>
    <cellStyle name="Normal 5 17 2 20 5 9" xfId="35233" xr:uid="{00000000-0005-0000-0000-0000A1890000}"/>
    <cellStyle name="Normal 5 17 2 20 6" xfId="35234" xr:uid="{00000000-0005-0000-0000-0000A2890000}"/>
    <cellStyle name="Normal 5 17 2 20 7" xfId="35235" xr:uid="{00000000-0005-0000-0000-0000A3890000}"/>
    <cellStyle name="Normal 5 17 2 20 8" xfId="35236" xr:uid="{00000000-0005-0000-0000-0000A4890000}"/>
    <cellStyle name="Normal 5 17 2 20 9" xfId="35237" xr:uid="{00000000-0005-0000-0000-0000A5890000}"/>
    <cellStyle name="Normal 5 17 2 21" xfId="35238" xr:uid="{00000000-0005-0000-0000-0000A6890000}"/>
    <cellStyle name="Normal 5 17 2 21 10" xfId="35239" xr:uid="{00000000-0005-0000-0000-0000A7890000}"/>
    <cellStyle name="Normal 5 17 2 21 11" xfId="35240" xr:uid="{00000000-0005-0000-0000-0000A8890000}"/>
    <cellStyle name="Normal 5 17 2 21 12" xfId="35241" xr:uid="{00000000-0005-0000-0000-0000A9890000}"/>
    <cellStyle name="Normal 5 17 2 21 13" xfId="35242" xr:uid="{00000000-0005-0000-0000-0000AA890000}"/>
    <cellStyle name="Normal 5 17 2 21 14" xfId="35243" xr:uid="{00000000-0005-0000-0000-0000AB890000}"/>
    <cellStyle name="Normal 5 17 2 21 2" xfId="35244" xr:uid="{00000000-0005-0000-0000-0000AC890000}"/>
    <cellStyle name="Normal 5 17 2 21 2 10" xfId="35245" xr:uid="{00000000-0005-0000-0000-0000AD890000}"/>
    <cellStyle name="Normal 5 17 2 21 2 2" xfId="35246" xr:uid="{00000000-0005-0000-0000-0000AE890000}"/>
    <cellStyle name="Normal 5 17 2 21 2 3" xfId="35247" xr:uid="{00000000-0005-0000-0000-0000AF890000}"/>
    <cellStyle name="Normal 5 17 2 21 2 4" xfId="35248" xr:uid="{00000000-0005-0000-0000-0000B0890000}"/>
    <cellStyle name="Normal 5 17 2 21 2 5" xfId="35249" xr:uid="{00000000-0005-0000-0000-0000B1890000}"/>
    <cellStyle name="Normal 5 17 2 21 2 6" xfId="35250" xr:uid="{00000000-0005-0000-0000-0000B2890000}"/>
    <cellStyle name="Normal 5 17 2 21 2 7" xfId="35251" xr:uid="{00000000-0005-0000-0000-0000B3890000}"/>
    <cellStyle name="Normal 5 17 2 21 2 8" xfId="35252" xr:uid="{00000000-0005-0000-0000-0000B4890000}"/>
    <cellStyle name="Normal 5 17 2 21 2 9" xfId="35253" xr:uid="{00000000-0005-0000-0000-0000B5890000}"/>
    <cellStyle name="Normal 5 17 2 21 3" xfId="35254" xr:uid="{00000000-0005-0000-0000-0000B6890000}"/>
    <cellStyle name="Normal 5 17 2 21 3 10" xfId="35255" xr:uid="{00000000-0005-0000-0000-0000B7890000}"/>
    <cellStyle name="Normal 5 17 2 21 3 2" xfId="35256" xr:uid="{00000000-0005-0000-0000-0000B8890000}"/>
    <cellStyle name="Normal 5 17 2 21 3 3" xfId="35257" xr:uid="{00000000-0005-0000-0000-0000B9890000}"/>
    <cellStyle name="Normal 5 17 2 21 3 4" xfId="35258" xr:uid="{00000000-0005-0000-0000-0000BA890000}"/>
    <cellStyle name="Normal 5 17 2 21 3 5" xfId="35259" xr:uid="{00000000-0005-0000-0000-0000BB890000}"/>
    <cellStyle name="Normal 5 17 2 21 3 6" xfId="35260" xr:uid="{00000000-0005-0000-0000-0000BC890000}"/>
    <cellStyle name="Normal 5 17 2 21 3 7" xfId="35261" xr:uid="{00000000-0005-0000-0000-0000BD890000}"/>
    <cellStyle name="Normal 5 17 2 21 3 8" xfId="35262" xr:uid="{00000000-0005-0000-0000-0000BE890000}"/>
    <cellStyle name="Normal 5 17 2 21 3 9" xfId="35263" xr:uid="{00000000-0005-0000-0000-0000BF890000}"/>
    <cellStyle name="Normal 5 17 2 21 4" xfId="35264" xr:uid="{00000000-0005-0000-0000-0000C0890000}"/>
    <cellStyle name="Normal 5 17 2 21 4 10" xfId="35265" xr:uid="{00000000-0005-0000-0000-0000C1890000}"/>
    <cellStyle name="Normal 5 17 2 21 4 2" xfId="35266" xr:uid="{00000000-0005-0000-0000-0000C2890000}"/>
    <cellStyle name="Normal 5 17 2 21 4 3" xfId="35267" xr:uid="{00000000-0005-0000-0000-0000C3890000}"/>
    <cellStyle name="Normal 5 17 2 21 4 4" xfId="35268" xr:uid="{00000000-0005-0000-0000-0000C4890000}"/>
    <cellStyle name="Normal 5 17 2 21 4 5" xfId="35269" xr:uid="{00000000-0005-0000-0000-0000C5890000}"/>
    <cellStyle name="Normal 5 17 2 21 4 6" xfId="35270" xr:uid="{00000000-0005-0000-0000-0000C6890000}"/>
    <cellStyle name="Normal 5 17 2 21 4 7" xfId="35271" xr:uid="{00000000-0005-0000-0000-0000C7890000}"/>
    <cellStyle name="Normal 5 17 2 21 4 8" xfId="35272" xr:uid="{00000000-0005-0000-0000-0000C8890000}"/>
    <cellStyle name="Normal 5 17 2 21 4 9" xfId="35273" xr:uid="{00000000-0005-0000-0000-0000C9890000}"/>
    <cellStyle name="Normal 5 17 2 21 5" xfId="35274" xr:uid="{00000000-0005-0000-0000-0000CA890000}"/>
    <cellStyle name="Normal 5 17 2 21 5 10" xfId="35275" xr:uid="{00000000-0005-0000-0000-0000CB890000}"/>
    <cellStyle name="Normal 5 17 2 21 5 2" xfId="35276" xr:uid="{00000000-0005-0000-0000-0000CC890000}"/>
    <cellStyle name="Normal 5 17 2 21 5 3" xfId="35277" xr:uid="{00000000-0005-0000-0000-0000CD890000}"/>
    <cellStyle name="Normal 5 17 2 21 5 4" xfId="35278" xr:uid="{00000000-0005-0000-0000-0000CE890000}"/>
    <cellStyle name="Normal 5 17 2 21 5 5" xfId="35279" xr:uid="{00000000-0005-0000-0000-0000CF890000}"/>
    <cellStyle name="Normal 5 17 2 21 5 6" xfId="35280" xr:uid="{00000000-0005-0000-0000-0000D0890000}"/>
    <cellStyle name="Normal 5 17 2 21 5 7" xfId="35281" xr:uid="{00000000-0005-0000-0000-0000D1890000}"/>
    <cellStyle name="Normal 5 17 2 21 5 8" xfId="35282" xr:uid="{00000000-0005-0000-0000-0000D2890000}"/>
    <cellStyle name="Normal 5 17 2 21 5 9" xfId="35283" xr:uid="{00000000-0005-0000-0000-0000D3890000}"/>
    <cellStyle name="Normal 5 17 2 21 6" xfId="35284" xr:uid="{00000000-0005-0000-0000-0000D4890000}"/>
    <cellStyle name="Normal 5 17 2 21 7" xfId="35285" xr:uid="{00000000-0005-0000-0000-0000D5890000}"/>
    <cellStyle name="Normal 5 17 2 21 8" xfId="35286" xr:uid="{00000000-0005-0000-0000-0000D6890000}"/>
    <cellStyle name="Normal 5 17 2 21 9" xfId="35287" xr:uid="{00000000-0005-0000-0000-0000D7890000}"/>
    <cellStyle name="Normal 5 17 2 22" xfId="35288" xr:uid="{00000000-0005-0000-0000-0000D8890000}"/>
    <cellStyle name="Normal 5 17 2 22 10" xfId="35289" xr:uid="{00000000-0005-0000-0000-0000D9890000}"/>
    <cellStyle name="Normal 5 17 2 22 11" xfId="35290" xr:uid="{00000000-0005-0000-0000-0000DA890000}"/>
    <cellStyle name="Normal 5 17 2 22 12" xfId="35291" xr:uid="{00000000-0005-0000-0000-0000DB890000}"/>
    <cellStyle name="Normal 5 17 2 22 13" xfId="35292" xr:uid="{00000000-0005-0000-0000-0000DC890000}"/>
    <cellStyle name="Normal 5 17 2 22 14" xfId="35293" xr:uid="{00000000-0005-0000-0000-0000DD890000}"/>
    <cellStyle name="Normal 5 17 2 22 2" xfId="35294" xr:uid="{00000000-0005-0000-0000-0000DE890000}"/>
    <cellStyle name="Normal 5 17 2 22 2 10" xfId="35295" xr:uid="{00000000-0005-0000-0000-0000DF890000}"/>
    <cellStyle name="Normal 5 17 2 22 2 2" xfId="35296" xr:uid="{00000000-0005-0000-0000-0000E0890000}"/>
    <cellStyle name="Normal 5 17 2 22 2 3" xfId="35297" xr:uid="{00000000-0005-0000-0000-0000E1890000}"/>
    <cellStyle name="Normal 5 17 2 22 2 4" xfId="35298" xr:uid="{00000000-0005-0000-0000-0000E2890000}"/>
    <cellStyle name="Normal 5 17 2 22 2 5" xfId="35299" xr:uid="{00000000-0005-0000-0000-0000E3890000}"/>
    <cellStyle name="Normal 5 17 2 22 2 6" xfId="35300" xr:uid="{00000000-0005-0000-0000-0000E4890000}"/>
    <cellStyle name="Normal 5 17 2 22 2 7" xfId="35301" xr:uid="{00000000-0005-0000-0000-0000E5890000}"/>
    <cellStyle name="Normal 5 17 2 22 2 8" xfId="35302" xr:uid="{00000000-0005-0000-0000-0000E6890000}"/>
    <cellStyle name="Normal 5 17 2 22 2 9" xfId="35303" xr:uid="{00000000-0005-0000-0000-0000E7890000}"/>
    <cellStyle name="Normal 5 17 2 22 3" xfId="35304" xr:uid="{00000000-0005-0000-0000-0000E8890000}"/>
    <cellStyle name="Normal 5 17 2 22 3 10" xfId="35305" xr:uid="{00000000-0005-0000-0000-0000E9890000}"/>
    <cellStyle name="Normal 5 17 2 22 3 2" xfId="35306" xr:uid="{00000000-0005-0000-0000-0000EA890000}"/>
    <cellStyle name="Normal 5 17 2 22 3 3" xfId="35307" xr:uid="{00000000-0005-0000-0000-0000EB890000}"/>
    <cellStyle name="Normal 5 17 2 22 3 4" xfId="35308" xr:uid="{00000000-0005-0000-0000-0000EC890000}"/>
    <cellStyle name="Normal 5 17 2 22 3 5" xfId="35309" xr:uid="{00000000-0005-0000-0000-0000ED890000}"/>
    <cellStyle name="Normal 5 17 2 22 3 6" xfId="35310" xr:uid="{00000000-0005-0000-0000-0000EE890000}"/>
    <cellStyle name="Normal 5 17 2 22 3 7" xfId="35311" xr:uid="{00000000-0005-0000-0000-0000EF890000}"/>
    <cellStyle name="Normal 5 17 2 22 3 8" xfId="35312" xr:uid="{00000000-0005-0000-0000-0000F0890000}"/>
    <cellStyle name="Normal 5 17 2 22 3 9" xfId="35313" xr:uid="{00000000-0005-0000-0000-0000F1890000}"/>
    <cellStyle name="Normal 5 17 2 22 4" xfId="35314" xr:uid="{00000000-0005-0000-0000-0000F2890000}"/>
    <cellStyle name="Normal 5 17 2 22 4 10" xfId="35315" xr:uid="{00000000-0005-0000-0000-0000F3890000}"/>
    <cellStyle name="Normal 5 17 2 22 4 2" xfId="35316" xr:uid="{00000000-0005-0000-0000-0000F4890000}"/>
    <cellStyle name="Normal 5 17 2 22 4 3" xfId="35317" xr:uid="{00000000-0005-0000-0000-0000F5890000}"/>
    <cellStyle name="Normal 5 17 2 22 4 4" xfId="35318" xr:uid="{00000000-0005-0000-0000-0000F6890000}"/>
    <cellStyle name="Normal 5 17 2 22 4 5" xfId="35319" xr:uid="{00000000-0005-0000-0000-0000F7890000}"/>
    <cellStyle name="Normal 5 17 2 22 4 6" xfId="35320" xr:uid="{00000000-0005-0000-0000-0000F8890000}"/>
    <cellStyle name="Normal 5 17 2 22 4 7" xfId="35321" xr:uid="{00000000-0005-0000-0000-0000F9890000}"/>
    <cellStyle name="Normal 5 17 2 22 4 8" xfId="35322" xr:uid="{00000000-0005-0000-0000-0000FA890000}"/>
    <cellStyle name="Normal 5 17 2 22 4 9" xfId="35323" xr:uid="{00000000-0005-0000-0000-0000FB890000}"/>
    <cellStyle name="Normal 5 17 2 22 5" xfId="35324" xr:uid="{00000000-0005-0000-0000-0000FC890000}"/>
    <cellStyle name="Normal 5 17 2 22 5 10" xfId="35325" xr:uid="{00000000-0005-0000-0000-0000FD890000}"/>
    <cellStyle name="Normal 5 17 2 22 5 2" xfId="35326" xr:uid="{00000000-0005-0000-0000-0000FE890000}"/>
    <cellStyle name="Normal 5 17 2 22 5 3" xfId="35327" xr:uid="{00000000-0005-0000-0000-0000FF890000}"/>
    <cellStyle name="Normal 5 17 2 22 5 4" xfId="35328" xr:uid="{00000000-0005-0000-0000-0000008A0000}"/>
    <cellStyle name="Normal 5 17 2 22 5 5" xfId="35329" xr:uid="{00000000-0005-0000-0000-0000018A0000}"/>
    <cellStyle name="Normal 5 17 2 22 5 6" xfId="35330" xr:uid="{00000000-0005-0000-0000-0000028A0000}"/>
    <cellStyle name="Normal 5 17 2 22 5 7" xfId="35331" xr:uid="{00000000-0005-0000-0000-0000038A0000}"/>
    <cellStyle name="Normal 5 17 2 22 5 8" xfId="35332" xr:uid="{00000000-0005-0000-0000-0000048A0000}"/>
    <cellStyle name="Normal 5 17 2 22 5 9" xfId="35333" xr:uid="{00000000-0005-0000-0000-0000058A0000}"/>
    <cellStyle name="Normal 5 17 2 22 6" xfId="35334" xr:uid="{00000000-0005-0000-0000-0000068A0000}"/>
    <cellStyle name="Normal 5 17 2 22 7" xfId="35335" xr:uid="{00000000-0005-0000-0000-0000078A0000}"/>
    <cellStyle name="Normal 5 17 2 22 8" xfId="35336" xr:uid="{00000000-0005-0000-0000-0000088A0000}"/>
    <cellStyle name="Normal 5 17 2 22 9" xfId="35337" xr:uid="{00000000-0005-0000-0000-0000098A0000}"/>
    <cellStyle name="Normal 5 17 2 23" xfId="35338" xr:uid="{00000000-0005-0000-0000-00000A8A0000}"/>
    <cellStyle name="Normal 5 17 2 23 10" xfId="35339" xr:uid="{00000000-0005-0000-0000-00000B8A0000}"/>
    <cellStyle name="Normal 5 17 2 23 11" xfId="35340" xr:uid="{00000000-0005-0000-0000-00000C8A0000}"/>
    <cellStyle name="Normal 5 17 2 23 12" xfId="35341" xr:uid="{00000000-0005-0000-0000-00000D8A0000}"/>
    <cellStyle name="Normal 5 17 2 23 13" xfId="35342" xr:uid="{00000000-0005-0000-0000-00000E8A0000}"/>
    <cellStyle name="Normal 5 17 2 23 14" xfId="35343" xr:uid="{00000000-0005-0000-0000-00000F8A0000}"/>
    <cellStyle name="Normal 5 17 2 23 2" xfId="35344" xr:uid="{00000000-0005-0000-0000-0000108A0000}"/>
    <cellStyle name="Normal 5 17 2 23 2 10" xfId="35345" xr:uid="{00000000-0005-0000-0000-0000118A0000}"/>
    <cellStyle name="Normal 5 17 2 23 2 2" xfId="35346" xr:uid="{00000000-0005-0000-0000-0000128A0000}"/>
    <cellStyle name="Normal 5 17 2 23 2 3" xfId="35347" xr:uid="{00000000-0005-0000-0000-0000138A0000}"/>
    <cellStyle name="Normal 5 17 2 23 2 4" xfId="35348" xr:uid="{00000000-0005-0000-0000-0000148A0000}"/>
    <cellStyle name="Normal 5 17 2 23 2 5" xfId="35349" xr:uid="{00000000-0005-0000-0000-0000158A0000}"/>
    <cellStyle name="Normal 5 17 2 23 2 6" xfId="35350" xr:uid="{00000000-0005-0000-0000-0000168A0000}"/>
    <cellStyle name="Normal 5 17 2 23 2 7" xfId="35351" xr:uid="{00000000-0005-0000-0000-0000178A0000}"/>
    <cellStyle name="Normal 5 17 2 23 2 8" xfId="35352" xr:uid="{00000000-0005-0000-0000-0000188A0000}"/>
    <cellStyle name="Normal 5 17 2 23 2 9" xfId="35353" xr:uid="{00000000-0005-0000-0000-0000198A0000}"/>
    <cellStyle name="Normal 5 17 2 23 3" xfId="35354" xr:uid="{00000000-0005-0000-0000-00001A8A0000}"/>
    <cellStyle name="Normal 5 17 2 23 3 10" xfId="35355" xr:uid="{00000000-0005-0000-0000-00001B8A0000}"/>
    <cellStyle name="Normal 5 17 2 23 3 2" xfId="35356" xr:uid="{00000000-0005-0000-0000-00001C8A0000}"/>
    <cellStyle name="Normal 5 17 2 23 3 3" xfId="35357" xr:uid="{00000000-0005-0000-0000-00001D8A0000}"/>
    <cellStyle name="Normal 5 17 2 23 3 4" xfId="35358" xr:uid="{00000000-0005-0000-0000-00001E8A0000}"/>
    <cellStyle name="Normal 5 17 2 23 3 5" xfId="35359" xr:uid="{00000000-0005-0000-0000-00001F8A0000}"/>
    <cellStyle name="Normal 5 17 2 23 3 6" xfId="35360" xr:uid="{00000000-0005-0000-0000-0000208A0000}"/>
    <cellStyle name="Normal 5 17 2 23 3 7" xfId="35361" xr:uid="{00000000-0005-0000-0000-0000218A0000}"/>
    <cellStyle name="Normal 5 17 2 23 3 8" xfId="35362" xr:uid="{00000000-0005-0000-0000-0000228A0000}"/>
    <cellStyle name="Normal 5 17 2 23 3 9" xfId="35363" xr:uid="{00000000-0005-0000-0000-0000238A0000}"/>
    <cellStyle name="Normal 5 17 2 23 4" xfId="35364" xr:uid="{00000000-0005-0000-0000-0000248A0000}"/>
    <cellStyle name="Normal 5 17 2 23 4 10" xfId="35365" xr:uid="{00000000-0005-0000-0000-0000258A0000}"/>
    <cellStyle name="Normal 5 17 2 23 4 2" xfId="35366" xr:uid="{00000000-0005-0000-0000-0000268A0000}"/>
    <cellStyle name="Normal 5 17 2 23 4 3" xfId="35367" xr:uid="{00000000-0005-0000-0000-0000278A0000}"/>
    <cellStyle name="Normal 5 17 2 23 4 4" xfId="35368" xr:uid="{00000000-0005-0000-0000-0000288A0000}"/>
    <cellStyle name="Normal 5 17 2 23 4 5" xfId="35369" xr:uid="{00000000-0005-0000-0000-0000298A0000}"/>
    <cellStyle name="Normal 5 17 2 23 4 6" xfId="35370" xr:uid="{00000000-0005-0000-0000-00002A8A0000}"/>
    <cellStyle name="Normal 5 17 2 23 4 7" xfId="35371" xr:uid="{00000000-0005-0000-0000-00002B8A0000}"/>
    <cellStyle name="Normal 5 17 2 23 4 8" xfId="35372" xr:uid="{00000000-0005-0000-0000-00002C8A0000}"/>
    <cellStyle name="Normal 5 17 2 23 4 9" xfId="35373" xr:uid="{00000000-0005-0000-0000-00002D8A0000}"/>
    <cellStyle name="Normal 5 17 2 23 5" xfId="35374" xr:uid="{00000000-0005-0000-0000-00002E8A0000}"/>
    <cellStyle name="Normal 5 17 2 23 5 10" xfId="35375" xr:uid="{00000000-0005-0000-0000-00002F8A0000}"/>
    <cellStyle name="Normal 5 17 2 23 5 2" xfId="35376" xr:uid="{00000000-0005-0000-0000-0000308A0000}"/>
    <cellStyle name="Normal 5 17 2 23 5 3" xfId="35377" xr:uid="{00000000-0005-0000-0000-0000318A0000}"/>
    <cellStyle name="Normal 5 17 2 23 5 4" xfId="35378" xr:uid="{00000000-0005-0000-0000-0000328A0000}"/>
    <cellStyle name="Normal 5 17 2 23 5 5" xfId="35379" xr:uid="{00000000-0005-0000-0000-0000338A0000}"/>
    <cellStyle name="Normal 5 17 2 23 5 6" xfId="35380" xr:uid="{00000000-0005-0000-0000-0000348A0000}"/>
    <cellStyle name="Normal 5 17 2 23 5 7" xfId="35381" xr:uid="{00000000-0005-0000-0000-0000358A0000}"/>
    <cellStyle name="Normal 5 17 2 23 5 8" xfId="35382" xr:uid="{00000000-0005-0000-0000-0000368A0000}"/>
    <cellStyle name="Normal 5 17 2 23 5 9" xfId="35383" xr:uid="{00000000-0005-0000-0000-0000378A0000}"/>
    <cellStyle name="Normal 5 17 2 23 6" xfId="35384" xr:uid="{00000000-0005-0000-0000-0000388A0000}"/>
    <cellStyle name="Normal 5 17 2 23 7" xfId="35385" xr:uid="{00000000-0005-0000-0000-0000398A0000}"/>
    <cellStyle name="Normal 5 17 2 23 8" xfId="35386" xr:uid="{00000000-0005-0000-0000-00003A8A0000}"/>
    <cellStyle name="Normal 5 17 2 23 9" xfId="35387" xr:uid="{00000000-0005-0000-0000-00003B8A0000}"/>
    <cellStyle name="Normal 5 17 2 24" xfId="35388" xr:uid="{00000000-0005-0000-0000-00003C8A0000}"/>
    <cellStyle name="Normal 5 17 2 24 10" xfId="35389" xr:uid="{00000000-0005-0000-0000-00003D8A0000}"/>
    <cellStyle name="Normal 5 17 2 24 11" xfId="35390" xr:uid="{00000000-0005-0000-0000-00003E8A0000}"/>
    <cellStyle name="Normal 5 17 2 24 12" xfId="35391" xr:uid="{00000000-0005-0000-0000-00003F8A0000}"/>
    <cellStyle name="Normal 5 17 2 24 13" xfId="35392" xr:uid="{00000000-0005-0000-0000-0000408A0000}"/>
    <cellStyle name="Normal 5 17 2 24 14" xfId="35393" xr:uid="{00000000-0005-0000-0000-0000418A0000}"/>
    <cellStyle name="Normal 5 17 2 24 2" xfId="35394" xr:uid="{00000000-0005-0000-0000-0000428A0000}"/>
    <cellStyle name="Normal 5 17 2 24 2 10" xfId="35395" xr:uid="{00000000-0005-0000-0000-0000438A0000}"/>
    <cellStyle name="Normal 5 17 2 24 2 2" xfId="35396" xr:uid="{00000000-0005-0000-0000-0000448A0000}"/>
    <cellStyle name="Normal 5 17 2 24 2 3" xfId="35397" xr:uid="{00000000-0005-0000-0000-0000458A0000}"/>
    <cellStyle name="Normal 5 17 2 24 2 4" xfId="35398" xr:uid="{00000000-0005-0000-0000-0000468A0000}"/>
    <cellStyle name="Normal 5 17 2 24 2 5" xfId="35399" xr:uid="{00000000-0005-0000-0000-0000478A0000}"/>
    <cellStyle name="Normal 5 17 2 24 2 6" xfId="35400" xr:uid="{00000000-0005-0000-0000-0000488A0000}"/>
    <cellStyle name="Normal 5 17 2 24 2 7" xfId="35401" xr:uid="{00000000-0005-0000-0000-0000498A0000}"/>
    <cellStyle name="Normal 5 17 2 24 2 8" xfId="35402" xr:uid="{00000000-0005-0000-0000-00004A8A0000}"/>
    <cellStyle name="Normal 5 17 2 24 2 9" xfId="35403" xr:uid="{00000000-0005-0000-0000-00004B8A0000}"/>
    <cellStyle name="Normal 5 17 2 24 3" xfId="35404" xr:uid="{00000000-0005-0000-0000-00004C8A0000}"/>
    <cellStyle name="Normal 5 17 2 24 3 10" xfId="35405" xr:uid="{00000000-0005-0000-0000-00004D8A0000}"/>
    <cellStyle name="Normal 5 17 2 24 3 2" xfId="35406" xr:uid="{00000000-0005-0000-0000-00004E8A0000}"/>
    <cellStyle name="Normal 5 17 2 24 3 3" xfId="35407" xr:uid="{00000000-0005-0000-0000-00004F8A0000}"/>
    <cellStyle name="Normal 5 17 2 24 3 4" xfId="35408" xr:uid="{00000000-0005-0000-0000-0000508A0000}"/>
    <cellStyle name="Normal 5 17 2 24 3 5" xfId="35409" xr:uid="{00000000-0005-0000-0000-0000518A0000}"/>
    <cellStyle name="Normal 5 17 2 24 3 6" xfId="35410" xr:uid="{00000000-0005-0000-0000-0000528A0000}"/>
    <cellStyle name="Normal 5 17 2 24 3 7" xfId="35411" xr:uid="{00000000-0005-0000-0000-0000538A0000}"/>
    <cellStyle name="Normal 5 17 2 24 3 8" xfId="35412" xr:uid="{00000000-0005-0000-0000-0000548A0000}"/>
    <cellStyle name="Normal 5 17 2 24 3 9" xfId="35413" xr:uid="{00000000-0005-0000-0000-0000558A0000}"/>
    <cellStyle name="Normal 5 17 2 24 4" xfId="35414" xr:uid="{00000000-0005-0000-0000-0000568A0000}"/>
    <cellStyle name="Normal 5 17 2 24 4 10" xfId="35415" xr:uid="{00000000-0005-0000-0000-0000578A0000}"/>
    <cellStyle name="Normal 5 17 2 24 4 2" xfId="35416" xr:uid="{00000000-0005-0000-0000-0000588A0000}"/>
    <cellStyle name="Normal 5 17 2 24 4 3" xfId="35417" xr:uid="{00000000-0005-0000-0000-0000598A0000}"/>
    <cellStyle name="Normal 5 17 2 24 4 4" xfId="35418" xr:uid="{00000000-0005-0000-0000-00005A8A0000}"/>
    <cellStyle name="Normal 5 17 2 24 4 5" xfId="35419" xr:uid="{00000000-0005-0000-0000-00005B8A0000}"/>
    <cellStyle name="Normal 5 17 2 24 4 6" xfId="35420" xr:uid="{00000000-0005-0000-0000-00005C8A0000}"/>
    <cellStyle name="Normal 5 17 2 24 4 7" xfId="35421" xr:uid="{00000000-0005-0000-0000-00005D8A0000}"/>
    <cellStyle name="Normal 5 17 2 24 4 8" xfId="35422" xr:uid="{00000000-0005-0000-0000-00005E8A0000}"/>
    <cellStyle name="Normal 5 17 2 24 4 9" xfId="35423" xr:uid="{00000000-0005-0000-0000-00005F8A0000}"/>
    <cellStyle name="Normal 5 17 2 24 5" xfId="35424" xr:uid="{00000000-0005-0000-0000-0000608A0000}"/>
    <cellStyle name="Normal 5 17 2 24 5 10" xfId="35425" xr:uid="{00000000-0005-0000-0000-0000618A0000}"/>
    <cellStyle name="Normal 5 17 2 24 5 2" xfId="35426" xr:uid="{00000000-0005-0000-0000-0000628A0000}"/>
    <cellStyle name="Normal 5 17 2 24 5 3" xfId="35427" xr:uid="{00000000-0005-0000-0000-0000638A0000}"/>
    <cellStyle name="Normal 5 17 2 24 5 4" xfId="35428" xr:uid="{00000000-0005-0000-0000-0000648A0000}"/>
    <cellStyle name="Normal 5 17 2 24 5 5" xfId="35429" xr:uid="{00000000-0005-0000-0000-0000658A0000}"/>
    <cellStyle name="Normal 5 17 2 24 5 6" xfId="35430" xr:uid="{00000000-0005-0000-0000-0000668A0000}"/>
    <cellStyle name="Normal 5 17 2 24 5 7" xfId="35431" xr:uid="{00000000-0005-0000-0000-0000678A0000}"/>
    <cellStyle name="Normal 5 17 2 24 5 8" xfId="35432" xr:uid="{00000000-0005-0000-0000-0000688A0000}"/>
    <cellStyle name="Normal 5 17 2 24 5 9" xfId="35433" xr:uid="{00000000-0005-0000-0000-0000698A0000}"/>
    <cellStyle name="Normal 5 17 2 24 6" xfId="35434" xr:uid="{00000000-0005-0000-0000-00006A8A0000}"/>
    <cellStyle name="Normal 5 17 2 24 7" xfId="35435" xr:uid="{00000000-0005-0000-0000-00006B8A0000}"/>
    <cellStyle name="Normal 5 17 2 24 8" xfId="35436" xr:uid="{00000000-0005-0000-0000-00006C8A0000}"/>
    <cellStyle name="Normal 5 17 2 24 9" xfId="35437" xr:uid="{00000000-0005-0000-0000-00006D8A0000}"/>
    <cellStyle name="Normal 5 17 2 25" xfId="35438" xr:uid="{00000000-0005-0000-0000-00006E8A0000}"/>
    <cellStyle name="Normal 5 17 2 25 10" xfId="35439" xr:uid="{00000000-0005-0000-0000-00006F8A0000}"/>
    <cellStyle name="Normal 5 17 2 25 11" xfId="35440" xr:uid="{00000000-0005-0000-0000-0000708A0000}"/>
    <cellStyle name="Normal 5 17 2 25 12" xfId="35441" xr:uid="{00000000-0005-0000-0000-0000718A0000}"/>
    <cellStyle name="Normal 5 17 2 25 13" xfId="35442" xr:uid="{00000000-0005-0000-0000-0000728A0000}"/>
    <cellStyle name="Normal 5 17 2 25 14" xfId="35443" xr:uid="{00000000-0005-0000-0000-0000738A0000}"/>
    <cellStyle name="Normal 5 17 2 25 2" xfId="35444" xr:uid="{00000000-0005-0000-0000-0000748A0000}"/>
    <cellStyle name="Normal 5 17 2 25 2 10" xfId="35445" xr:uid="{00000000-0005-0000-0000-0000758A0000}"/>
    <cellStyle name="Normal 5 17 2 25 2 2" xfId="35446" xr:uid="{00000000-0005-0000-0000-0000768A0000}"/>
    <cellStyle name="Normal 5 17 2 25 2 3" xfId="35447" xr:uid="{00000000-0005-0000-0000-0000778A0000}"/>
    <cellStyle name="Normal 5 17 2 25 2 4" xfId="35448" xr:uid="{00000000-0005-0000-0000-0000788A0000}"/>
    <cellStyle name="Normal 5 17 2 25 2 5" xfId="35449" xr:uid="{00000000-0005-0000-0000-0000798A0000}"/>
    <cellStyle name="Normal 5 17 2 25 2 6" xfId="35450" xr:uid="{00000000-0005-0000-0000-00007A8A0000}"/>
    <cellStyle name="Normal 5 17 2 25 2 7" xfId="35451" xr:uid="{00000000-0005-0000-0000-00007B8A0000}"/>
    <cellStyle name="Normal 5 17 2 25 2 8" xfId="35452" xr:uid="{00000000-0005-0000-0000-00007C8A0000}"/>
    <cellStyle name="Normal 5 17 2 25 2 9" xfId="35453" xr:uid="{00000000-0005-0000-0000-00007D8A0000}"/>
    <cellStyle name="Normal 5 17 2 25 3" xfId="35454" xr:uid="{00000000-0005-0000-0000-00007E8A0000}"/>
    <cellStyle name="Normal 5 17 2 25 3 10" xfId="35455" xr:uid="{00000000-0005-0000-0000-00007F8A0000}"/>
    <cellStyle name="Normal 5 17 2 25 3 2" xfId="35456" xr:uid="{00000000-0005-0000-0000-0000808A0000}"/>
    <cellStyle name="Normal 5 17 2 25 3 3" xfId="35457" xr:uid="{00000000-0005-0000-0000-0000818A0000}"/>
    <cellStyle name="Normal 5 17 2 25 3 4" xfId="35458" xr:uid="{00000000-0005-0000-0000-0000828A0000}"/>
    <cellStyle name="Normal 5 17 2 25 3 5" xfId="35459" xr:uid="{00000000-0005-0000-0000-0000838A0000}"/>
    <cellStyle name="Normal 5 17 2 25 3 6" xfId="35460" xr:uid="{00000000-0005-0000-0000-0000848A0000}"/>
    <cellStyle name="Normal 5 17 2 25 3 7" xfId="35461" xr:uid="{00000000-0005-0000-0000-0000858A0000}"/>
    <cellStyle name="Normal 5 17 2 25 3 8" xfId="35462" xr:uid="{00000000-0005-0000-0000-0000868A0000}"/>
    <cellStyle name="Normal 5 17 2 25 3 9" xfId="35463" xr:uid="{00000000-0005-0000-0000-0000878A0000}"/>
    <cellStyle name="Normal 5 17 2 25 4" xfId="35464" xr:uid="{00000000-0005-0000-0000-0000888A0000}"/>
    <cellStyle name="Normal 5 17 2 25 4 10" xfId="35465" xr:uid="{00000000-0005-0000-0000-0000898A0000}"/>
    <cellStyle name="Normal 5 17 2 25 4 2" xfId="35466" xr:uid="{00000000-0005-0000-0000-00008A8A0000}"/>
    <cellStyle name="Normal 5 17 2 25 4 3" xfId="35467" xr:uid="{00000000-0005-0000-0000-00008B8A0000}"/>
    <cellStyle name="Normal 5 17 2 25 4 4" xfId="35468" xr:uid="{00000000-0005-0000-0000-00008C8A0000}"/>
    <cellStyle name="Normal 5 17 2 25 4 5" xfId="35469" xr:uid="{00000000-0005-0000-0000-00008D8A0000}"/>
    <cellStyle name="Normal 5 17 2 25 4 6" xfId="35470" xr:uid="{00000000-0005-0000-0000-00008E8A0000}"/>
    <cellStyle name="Normal 5 17 2 25 4 7" xfId="35471" xr:uid="{00000000-0005-0000-0000-00008F8A0000}"/>
    <cellStyle name="Normal 5 17 2 25 4 8" xfId="35472" xr:uid="{00000000-0005-0000-0000-0000908A0000}"/>
    <cellStyle name="Normal 5 17 2 25 4 9" xfId="35473" xr:uid="{00000000-0005-0000-0000-0000918A0000}"/>
    <cellStyle name="Normal 5 17 2 25 5" xfId="35474" xr:uid="{00000000-0005-0000-0000-0000928A0000}"/>
    <cellStyle name="Normal 5 17 2 25 5 10" xfId="35475" xr:uid="{00000000-0005-0000-0000-0000938A0000}"/>
    <cellStyle name="Normal 5 17 2 25 5 2" xfId="35476" xr:uid="{00000000-0005-0000-0000-0000948A0000}"/>
    <cellStyle name="Normal 5 17 2 25 5 3" xfId="35477" xr:uid="{00000000-0005-0000-0000-0000958A0000}"/>
    <cellStyle name="Normal 5 17 2 25 5 4" xfId="35478" xr:uid="{00000000-0005-0000-0000-0000968A0000}"/>
    <cellStyle name="Normal 5 17 2 25 5 5" xfId="35479" xr:uid="{00000000-0005-0000-0000-0000978A0000}"/>
    <cellStyle name="Normal 5 17 2 25 5 6" xfId="35480" xr:uid="{00000000-0005-0000-0000-0000988A0000}"/>
    <cellStyle name="Normal 5 17 2 25 5 7" xfId="35481" xr:uid="{00000000-0005-0000-0000-0000998A0000}"/>
    <cellStyle name="Normal 5 17 2 25 5 8" xfId="35482" xr:uid="{00000000-0005-0000-0000-00009A8A0000}"/>
    <cellStyle name="Normal 5 17 2 25 5 9" xfId="35483" xr:uid="{00000000-0005-0000-0000-00009B8A0000}"/>
    <cellStyle name="Normal 5 17 2 25 6" xfId="35484" xr:uid="{00000000-0005-0000-0000-00009C8A0000}"/>
    <cellStyle name="Normal 5 17 2 25 7" xfId="35485" xr:uid="{00000000-0005-0000-0000-00009D8A0000}"/>
    <cellStyle name="Normal 5 17 2 25 8" xfId="35486" xr:uid="{00000000-0005-0000-0000-00009E8A0000}"/>
    <cellStyle name="Normal 5 17 2 25 9" xfId="35487" xr:uid="{00000000-0005-0000-0000-00009F8A0000}"/>
    <cellStyle name="Normal 5 17 2 26" xfId="35488" xr:uid="{00000000-0005-0000-0000-0000A08A0000}"/>
    <cellStyle name="Normal 5 17 2 26 10" xfId="35489" xr:uid="{00000000-0005-0000-0000-0000A18A0000}"/>
    <cellStyle name="Normal 5 17 2 26 11" xfId="35490" xr:uid="{00000000-0005-0000-0000-0000A28A0000}"/>
    <cellStyle name="Normal 5 17 2 26 12" xfId="35491" xr:uid="{00000000-0005-0000-0000-0000A38A0000}"/>
    <cellStyle name="Normal 5 17 2 26 13" xfId="35492" xr:uid="{00000000-0005-0000-0000-0000A48A0000}"/>
    <cellStyle name="Normal 5 17 2 26 14" xfId="35493" xr:uid="{00000000-0005-0000-0000-0000A58A0000}"/>
    <cellStyle name="Normal 5 17 2 26 2" xfId="35494" xr:uid="{00000000-0005-0000-0000-0000A68A0000}"/>
    <cellStyle name="Normal 5 17 2 26 2 10" xfId="35495" xr:uid="{00000000-0005-0000-0000-0000A78A0000}"/>
    <cellStyle name="Normal 5 17 2 26 2 2" xfId="35496" xr:uid="{00000000-0005-0000-0000-0000A88A0000}"/>
    <cellStyle name="Normal 5 17 2 26 2 3" xfId="35497" xr:uid="{00000000-0005-0000-0000-0000A98A0000}"/>
    <cellStyle name="Normal 5 17 2 26 2 4" xfId="35498" xr:uid="{00000000-0005-0000-0000-0000AA8A0000}"/>
    <cellStyle name="Normal 5 17 2 26 2 5" xfId="35499" xr:uid="{00000000-0005-0000-0000-0000AB8A0000}"/>
    <cellStyle name="Normal 5 17 2 26 2 6" xfId="35500" xr:uid="{00000000-0005-0000-0000-0000AC8A0000}"/>
    <cellStyle name="Normal 5 17 2 26 2 7" xfId="35501" xr:uid="{00000000-0005-0000-0000-0000AD8A0000}"/>
    <cellStyle name="Normal 5 17 2 26 2 8" xfId="35502" xr:uid="{00000000-0005-0000-0000-0000AE8A0000}"/>
    <cellStyle name="Normal 5 17 2 26 2 9" xfId="35503" xr:uid="{00000000-0005-0000-0000-0000AF8A0000}"/>
    <cellStyle name="Normal 5 17 2 26 3" xfId="35504" xr:uid="{00000000-0005-0000-0000-0000B08A0000}"/>
    <cellStyle name="Normal 5 17 2 26 3 10" xfId="35505" xr:uid="{00000000-0005-0000-0000-0000B18A0000}"/>
    <cellStyle name="Normal 5 17 2 26 3 2" xfId="35506" xr:uid="{00000000-0005-0000-0000-0000B28A0000}"/>
    <cellStyle name="Normal 5 17 2 26 3 3" xfId="35507" xr:uid="{00000000-0005-0000-0000-0000B38A0000}"/>
    <cellStyle name="Normal 5 17 2 26 3 4" xfId="35508" xr:uid="{00000000-0005-0000-0000-0000B48A0000}"/>
    <cellStyle name="Normal 5 17 2 26 3 5" xfId="35509" xr:uid="{00000000-0005-0000-0000-0000B58A0000}"/>
    <cellStyle name="Normal 5 17 2 26 3 6" xfId="35510" xr:uid="{00000000-0005-0000-0000-0000B68A0000}"/>
    <cellStyle name="Normal 5 17 2 26 3 7" xfId="35511" xr:uid="{00000000-0005-0000-0000-0000B78A0000}"/>
    <cellStyle name="Normal 5 17 2 26 3 8" xfId="35512" xr:uid="{00000000-0005-0000-0000-0000B88A0000}"/>
    <cellStyle name="Normal 5 17 2 26 3 9" xfId="35513" xr:uid="{00000000-0005-0000-0000-0000B98A0000}"/>
    <cellStyle name="Normal 5 17 2 26 4" xfId="35514" xr:uid="{00000000-0005-0000-0000-0000BA8A0000}"/>
    <cellStyle name="Normal 5 17 2 26 4 10" xfId="35515" xr:uid="{00000000-0005-0000-0000-0000BB8A0000}"/>
    <cellStyle name="Normal 5 17 2 26 4 2" xfId="35516" xr:uid="{00000000-0005-0000-0000-0000BC8A0000}"/>
    <cellStyle name="Normal 5 17 2 26 4 3" xfId="35517" xr:uid="{00000000-0005-0000-0000-0000BD8A0000}"/>
    <cellStyle name="Normal 5 17 2 26 4 4" xfId="35518" xr:uid="{00000000-0005-0000-0000-0000BE8A0000}"/>
    <cellStyle name="Normal 5 17 2 26 4 5" xfId="35519" xr:uid="{00000000-0005-0000-0000-0000BF8A0000}"/>
    <cellStyle name="Normal 5 17 2 26 4 6" xfId="35520" xr:uid="{00000000-0005-0000-0000-0000C08A0000}"/>
    <cellStyle name="Normal 5 17 2 26 4 7" xfId="35521" xr:uid="{00000000-0005-0000-0000-0000C18A0000}"/>
    <cellStyle name="Normal 5 17 2 26 4 8" xfId="35522" xr:uid="{00000000-0005-0000-0000-0000C28A0000}"/>
    <cellStyle name="Normal 5 17 2 26 4 9" xfId="35523" xr:uid="{00000000-0005-0000-0000-0000C38A0000}"/>
    <cellStyle name="Normal 5 17 2 26 5" xfId="35524" xr:uid="{00000000-0005-0000-0000-0000C48A0000}"/>
    <cellStyle name="Normal 5 17 2 26 5 10" xfId="35525" xr:uid="{00000000-0005-0000-0000-0000C58A0000}"/>
    <cellStyle name="Normal 5 17 2 26 5 2" xfId="35526" xr:uid="{00000000-0005-0000-0000-0000C68A0000}"/>
    <cellStyle name="Normal 5 17 2 26 5 3" xfId="35527" xr:uid="{00000000-0005-0000-0000-0000C78A0000}"/>
    <cellStyle name="Normal 5 17 2 26 5 4" xfId="35528" xr:uid="{00000000-0005-0000-0000-0000C88A0000}"/>
    <cellStyle name="Normal 5 17 2 26 5 5" xfId="35529" xr:uid="{00000000-0005-0000-0000-0000C98A0000}"/>
    <cellStyle name="Normal 5 17 2 26 5 6" xfId="35530" xr:uid="{00000000-0005-0000-0000-0000CA8A0000}"/>
    <cellStyle name="Normal 5 17 2 26 5 7" xfId="35531" xr:uid="{00000000-0005-0000-0000-0000CB8A0000}"/>
    <cellStyle name="Normal 5 17 2 26 5 8" xfId="35532" xr:uid="{00000000-0005-0000-0000-0000CC8A0000}"/>
    <cellStyle name="Normal 5 17 2 26 5 9" xfId="35533" xr:uid="{00000000-0005-0000-0000-0000CD8A0000}"/>
    <cellStyle name="Normal 5 17 2 26 6" xfId="35534" xr:uid="{00000000-0005-0000-0000-0000CE8A0000}"/>
    <cellStyle name="Normal 5 17 2 26 7" xfId="35535" xr:uid="{00000000-0005-0000-0000-0000CF8A0000}"/>
    <cellStyle name="Normal 5 17 2 26 8" xfId="35536" xr:uid="{00000000-0005-0000-0000-0000D08A0000}"/>
    <cellStyle name="Normal 5 17 2 26 9" xfId="35537" xr:uid="{00000000-0005-0000-0000-0000D18A0000}"/>
    <cellStyle name="Normal 5 17 2 27" xfId="35538" xr:uid="{00000000-0005-0000-0000-0000D28A0000}"/>
    <cellStyle name="Normal 5 17 2 27 10" xfId="35539" xr:uid="{00000000-0005-0000-0000-0000D38A0000}"/>
    <cellStyle name="Normal 5 17 2 27 11" xfId="35540" xr:uid="{00000000-0005-0000-0000-0000D48A0000}"/>
    <cellStyle name="Normal 5 17 2 27 12" xfId="35541" xr:uid="{00000000-0005-0000-0000-0000D58A0000}"/>
    <cellStyle name="Normal 5 17 2 27 13" xfId="35542" xr:uid="{00000000-0005-0000-0000-0000D68A0000}"/>
    <cellStyle name="Normal 5 17 2 27 14" xfId="35543" xr:uid="{00000000-0005-0000-0000-0000D78A0000}"/>
    <cellStyle name="Normal 5 17 2 27 2" xfId="35544" xr:uid="{00000000-0005-0000-0000-0000D88A0000}"/>
    <cellStyle name="Normal 5 17 2 27 2 10" xfId="35545" xr:uid="{00000000-0005-0000-0000-0000D98A0000}"/>
    <cellStyle name="Normal 5 17 2 27 2 2" xfId="35546" xr:uid="{00000000-0005-0000-0000-0000DA8A0000}"/>
    <cellStyle name="Normal 5 17 2 27 2 3" xfId="35547" xr:uid="{00000000-0005-0000-0000-0000DB8A0000}"/>
    <cellStyle name="Normal 5 17 2 27 2 4" xfId="35548" xr:uid="{00000000-0005-0000-0000-0000DC8A0000}"/>
    <cellStyle name="Normal 5 17 2 27 2 5" xfId="35549" xr:uid="{00000000-0005-0000-0000-0000DD8A0000}"/>
    <cellStyle name="Normal 5 17 2 27 2 6" xfId="35550" xr:uid="{00000000-0005-0000-0000-0000DE8A0000}"/>
    <cellStyle name="Normal 5 17 2 27 2 7" xfId="35551" xr:uid="{00000000-0005-0000-0000-0000DF8A0000}"/>
    <cellStyle name="Normal 5 17 2 27 2 8" xfId="35552" xr:uid="{00000000-0005-0000-0000-0000E08A0000}"/>
    <cellStyle name="Normal 5 17 2 27 2 9" xfId="35553" xr:uid="{00000000-0005-0000-0000-0000E18A0000}"/>
    <cellStyle name="Normal 5 17 2 27 3" xfId="35554" xr:uid="{00000000-0005-0000-0000-0000E28A0000}"/>
    <cellStyle name="Normal 5 17 2 27 3 10" xfId="35555" xr:uid="{00000000-0005-0000-0000-0000E38A0000}"/>
    <cellStyle name="Normal 5 17 2 27 3 2" xfId="35556" xr:uid="{00000000-0005-0000-0000-0000E48A0000}"/>
    <cellStyle name="Normal 5 17 2 27 3 3" xfId="35557" xr:uid="{00000000-0005-0000-0000-0000E58A0000}"/>
    <cellStyle name="Normal 5 17 2 27 3 4" xfId="35558" xr:uid="{00000000-0005-0000-0000-0000E68A0000}"/>
    <cellStyle name="Normal 5 17 2 27 3 5" xfId="35559" xr:uid="{00000000-0005-0000-0000-0000E78A0000}"/>
    <cellStyle name="Normal 5 17 2 27 3 6" xfId="35560" xr:uid="{00000000-0005-0000-0000-0000E88A0000}"/>
    <cellStyle name="Normal 5 17 2 27 3 7" xfId="35561" xr:uid="{00000000-0005-0000-0000-0000E98A0000}"/>
    <cellStyle name="Normal 5 17 2 27 3 8" xfId="35562" xr:uid="{00000000-0005-0000-0000-0000EA8A0000}"/>
    <cellStyle name="Normal 5 17 2 27 3 9" xfId="35563" xr:uid="{00000000-0005-0000-0000-0000EB8A0000}"/>
    <cellStyle name="Normal 5 17 2 27 4" xfId="35564" xr:uid="{00000000-0005-0000-0000-0000EC8A0000}"/>
    <cellStyle name="Normal 5 17 2 27 4 10" xfId="35565" xr:uid="{00000000-0005-0000-0000-0000ED8A0000}"/>
    <cellStyle name="Normal 5 17 2 27 4 2" xfId="35566" xr:uid="{00000000-0005-0000-0000-0000EE8A0000}"/>
    <cellStyle name="Normal 5 17 2 27 4 3" xfId="35567" xr:uid="{00000000-0005-0000-0000-0000EF8A0000}"/>
    <cellStyle name="Normal 5 17 2 27 4 4" xfId="35568" xr:uid="{00000000-0005-0000-0000-0000F08A0000}"/>
    <cellStyle name="Normal 5 17 2 27 4 5" xfId="35569" xr:uid="{00000000-0005-0000-0000-0000F18A0000}"/>
    <cellStyle name="Normal 5 17 2 27 4 6" xfId="35570" xr:uid="{00000000-0005-0000-0000-0000F28A0000}"/>
    <cellStyle name="Normal 5 17 2 27 4 7" xfId="35571" xr:uid="{00000000-0005-0000-0000-0000F38A0000}"/>
    <cellStyle name="Normal 5 17 2 27 4 8" xfId="35572" xr:uid="{00000000-0005-0000-0000-0000F48A0000}"/>
    <cellStyle name="Normal 5 17 2 27 4 9" xfId="35573" xr:uid="{00000000-0005-0000-0000-0000F58A0000}"/>
    <cellStyle name="Normal 5 17 2 27 5" xfId="35574" xr:uid="{00000000-0005-0000-0000-0000F68A0000}"/>
    <cellStyle name="Normal 5 17 2 27 5 10" xfId="35575" xr:uid="{00000000-0005-0000-0000-0000F78A0000}"/>
    <cellStyle name="Normal 5 17 2 27 5 2" xfId="35576" xr:uid="{00000000-0005-0000-0000-0000F88A0000}"/>
    <cellStyle name="Normal 5 17 2 27 5 3" xfId="35577" xr:uid="{00000000-0005-0000-0000-0000F98A0000}"/>
    <cellStyle name="Normal 5 17 2 27 5 4" xfId="35578" xr:uid="{00000000-0005-0000-0000-0000FA8A0000}"/>
    <cellStyle name="Normal 5 17 2 27 5 5" xfId="35579" xr:uid="{00000000-0005-0000-0000-0000FB8A0000}"/>
    <cellStyle name="Normal 5 17 2 27 5 6" xfId="35580" xr:uid="{00000000-0005-0000-0000-0000FC8A0000}"/>
    <cellStyle name="Normal 5 17 2 27 5 7" xfId="35581" xr:uid="{00000000-0005-0000-0000-0000FD8A0000}"/>
    <cellStyle name="Normal 5 17 2 27 5 8" xfId="35582" xr:uid="{00000000-0005-0000-0000-0000FE8A0000}"/>
    <cellStyle name="Normal 5 17 2 27 5 9" xfId="35583" xr:uid="{00000000-0005-0000-0000-0000FF8A0000}"/>
    <cellStyle name="Normal 5 17 2 27 6" xfId="35584" xr:uid="{00000000-0005-0000-0000-0000008B0000}"/>
    <cellStyle name="Normal 5 17 2 27 7" xfId="35585" xr:uid="{00000000-0005-0000-0000-0000018B0000}"/>
    <cellStyle name="Normal 5 17 2 27 8" xfId="35586" xr:uid="{00000000-0005-0000-0000-0000028B0000}"/>
    <cellStyle name="Normal 5 17 2 27 9" xfId="35587" xr:uid="{00000000-0005-0000-0000-0000038B0000}"/>
    <cellStyle name="Normal 5 17 2 28" xfId="35588" xr:uid="{00000000-0005-0000-0000-0000048B0000}"/>
    <cellStyle name="Normal 5 17 2 28 10" xfId="35589" xr:uid="{00000000-0005-0000-0000-0000058B0000}"/>
    <cellStyle name="Normal 5 17 2 28 11" xfId="35590" xr:uid="{00000000-0005-0000-0000-0000068B0000}"/>
    <cellStyle name="Normal 5 17 2 28 12" xfId="35591" xr:uid="{00000000-0005-0000-0000-0000078B0000}"/>
    <cellStyle name="Normal 5 17 2 28 13" xfId="35592" xr:uid="{00000000-0005-0000-0000-0000088B0000}"/>
    <cellStyle name="Normal 5 17 2 28 14" xfId="35593" xr:uid="{00000000-0005-0000-0000-0000098B0000}"/>
    <cellStyle name="Normal 5 17 2 28 2" xfId="35594" xr:uid="{00000000-0005-0000-0000-00000A8B0000}"/>
    <cellStyle name="Normal 5 17 2 28 2 10" xfId="35595" xr:uid="{00000000-0005-0000-0000-00000B8B0000}"/>
    <cellStyle name="Normal 5 17 2 28 2 2" xfId="35596" xr:uid="{00000000-0005-0000-0000-00000C8B0000}"/>
    <cellStyle name="Normal 5 17 2 28 2 3" xfId="35597" xr:uid="{00000000-0005-0000-0000-00000D8B0000}"/>
    <cellStyle name="Normal 5 17 2 28 2 4" xfId="35598" xr:uid="{00000000-0005-0000-0000-00000E8B0000}"/>
    <cellStyle name="Normal 5 17 2 28 2 5" xfId="35599" xr:uid="{00000000-0005-0000-0000-00000F8B0000}"/>
    <cellStyle name="Normal 5 17 2 28 2 6" xfId="35600" xr:uid="{00000000-0005-0000-0000-0000108B0000}"/>
    <cellStyle name="Normal 5 17 2 28 2 7" xfId="35601" xr:uid="{00000000-0005-0000-0000-0000118B0000}"/>
    <cellStyle name="Normal 5 17 2 28 2 8" xfId="35602" xr:uid="{00000000-0005-0000-0000-0000128B0000}"/>
    <cellStyle name="Normal 5 17 2 28 2 9" xfId="35603" xr:uid="{00000000-0005-0000-0000-0000138B0000}"/>
    <cellStyle name="Normal 5 17 2 28 3" xfId="35604" xr:uid="{00000000-0005-0000-0000-0000148B0000}"/>
    <cellStyle name="Normal 5 17 2 28 3 10" xfId="35605" xr:uid="{00000000-0005-0000-0000-0000158B0000}"/>
    <cellStyle name="Normal 5 17 2 28 3 2" xfId="35606" xr:uid="{00000000-0005-0000-0000-0000168B0000}"/>
    <cellStyle name="Normal 5 17 2 28 3 3" xfId="35607" xr:uid="{00000000-0005-0000-0000-0000178B0000}"/>
    <cellStyle name="Normal 5 17 2 28 3 4" xfId="35608" xr:uid="{00000000-0005-0000-0000-0000188B0000}"/>
    <cellStyle name="Normal 5 17 2 28 3 5" xfId="35609" xr:uid="{00000000-0005-0000-0000-0000198B0000}"/>
    <cellStyle name="Normal 5 17 2 28 3 6" xfId="35610" xr:uid="{00000000-0005-0000-0000-00001A8B0000}"/>
    <cellStyle name="Normal 5 17 2 28 3 7" xfId="35611" xr:uid="{00000000-0005-0000-0000-00001B8B0000}"/>
    <cellStyle name="Normal 5 17 2 28 3 8" xfId="35612" xr:uid="{00000000-0005-0000-0000-00001C8B0000}"/>
    <cellStyle name="Normal 5 17 2 28 3 9" xfId="35613" xr:uid="{00000000-0005-0000-0000-00001D8B0000}"/>
    <cellStyle name="Normal 5 17 2 28 4" xfId="35614" xr:uid="{00000000-0005-0000-0000-00001E8B0000}"/>
    <cellStyle name="Normal 5 17 2 28 4 10" xfId="35615" xr:uid="{00000000-0005-0000-0000-00001F8B0000}"/>
    <cellStyle name="Normal 5 17 2 28 4 2" xfId="35616" xr:uid="{00000000-0005-0000-0000-0000208B0000}"/>
    <cellStyle name="Normal 5 17 2 28 4 3" xfId="35617" xr:uid="{00000000-0005-0000-0000-0000218B0000}"/>
    <cellStyle name="Normal 5 17 2 28 4 4" xfId="35618" xr:uid="{00000000-0005-0000-0000-0000228B0000}"/>
    <cellStyle name="Normal 5 17 2 28 4 5" xfId="35619" xr:uid="{00000000-0005-0000-0000-0000238B0000}"/>
    <cellStyle name="Normal 5 17 2 28 4 6" xfId="35620" xr:uid="{00000000-0005-0000-0000-0000248B0000}"/>
    <cellStyle name="Normal 5 17 2 28 4 7" xfId="35621" xr:uid="{00000000-0005-0000-0000-0000258B0000}"/>
    <cellStyle name="Normal 5 17 2 28 4 8" xfId="35622" xr:uid="{00000000-0005-0000-0000-0000268B0000}"/>
    <cellStyle name="Normal 5 17 2 28 4 9" xfId="35623" xr:uid="{00000000-0005-0000-0000-0000278B0000}"/>
    <cellStyle name="Normal 5 17 2 28 5" xfId="35624" xr:uid="{00000000-0005-0000-0000-0000288B0000}"/>
    <cellStyle name="Normal 5 17 2 28 5 10" xfId="35625" xr:uid="{00000000-0005-0000-0000-0000298B0000}"/>
    <cellStyle name="Normal 5 17 2 28 5 2" xfId="35626" xr:uid="{00000000-0005-0000-0000-00002A8B0000}"/>
    <cellStyle name="Normal 5 17 2 28 5 3" xfId="35627" xr:uid="{00000000-0005-0000-0000-00002B8B0000}"/>
    <cellStyle name="Normal 5 17 2 28 5 4" xfId="35628" xr:uid="{00000000-0005-0000-0000-00002C8B0000}"/>
    <cellStyle name="Normal 5 17 2 28 5 5" xfId="35629" xr:uid="{00000000-0005-0000-0000-00002D8B0000}"/>
    <cellStyle name="Normal 5 17 2 28 5 6" xfId="35630" xr:uid="{00000000-0005-0000-0000-00002E8B0000}"/>
    <cellStyle name="Normal 5 17 2 28 5 7" xfId="35631" xr:uid="{00000000-0005-0000-0000-00002F8B0000}"/>
    <cellStyle name="Normal 5 17 2 28 5 8" xfId="35632" xr:uid="{00000000-0005-0000-0000-0000308B0000}"/>
    <cellStyle name="Normal 5 17 2 28 5 9" xfId="35633" xr:uid="{00000000-0005-0000-0000-0000318B0000}"/>
    <cellStyle name="Normal 5 17 2 28 6" xfId="35634" xr:uid="{00000000-0005-0000-0000-0000328B0000}"/>
    <cellStyle name="Normal 5 17 2 28 7" xfId="35635" xr:uid="{00000000-0005-0000-0000-0000338B0000}"/>
    <cellStyle name="Normal 5 17 2 28 8" xfId="35636" xr:uid="{00000000-0005-0000-0000-0000348B0000}"/>
    <cellStyle name="Normal 5 17 2 28 9" xfId="35637" xr:uid="{00000000-0005-0000-0000-0000358B0000}"/>
    <cellStyle name="Normal 5 17 2 29" xfId="35638" xr:uid="{00000000-0005-0000-0000-0000368B0000}"/>
    <cellStyle name="Normal 5 17 2 29 10" xfId="35639" xr:uid="{00000000-0005-0000-0000-0000378B0000}"/>
    <cellStyle name="Normal 5 17 2 29 11" xfId="35640" xr:uid="{00000000-0005-0000-0000-0000388B0000}"/>
    <cellStyle name="Normal 5 17 2 29 12" xfId="35641" xr:uid="{00000000-0005-0000-0000-0000398B0000}"/>
    <cellStyle name="Normal 5 17 2 29 13" xfId="35642" xr:uid="{00000000-0005-0000-0000-00003A8B0000}"/>
    <cellStyle name="Normal 5 17 2 29 14" xfId="35643" xr:uid="{00000000-0005-0000-0000-00003B8B0000}"/>
    <cellStyle name="Normal 5 17 2 29 2" xfId="35644" xr:uid="{00000000-0005-0000-0000-00003C8B0000}"/>
    <cellStyle name="Normal 5 17 2 29 2 10" xfId="35645" xr:uid="{00000000-0005-0000-0000-00003D8B0000}"/>
    <cellStyle name="Normal 5 17 2 29 2 2" xfId="35646" xr:uid="{00000000-0005-0000-0000-00003E8B0000}"/>
    <cellStyle name="Normal 5 17 2 29 2 3" xfId="35647" xr:uid="{00000000-0005-0000-0000-00003F8B0000}"/>
    <cellStyle name="Normal 5 17 2 29 2 4" xfId="35648" xr:uid="{00000000-0005-0000-0000-0000408B0000}"/>
    <cellStyle name="Normal 5 17 2 29 2 5" xfId="35649" xr:uid="{00000000-0005-0000-0000-0000418B0000}"/>
    <cellStyle name="Normal 5 17 2 29 2 6" xfId="35650" xr:uid="{00000000-0005-0000-0000-0000428B0000}"/>
    <cellStyle name="Normal 5 17 2 29 2 7" xfId="35651" xr:uid="{00000000-0005-0000-0000-0000438B0000}"/>
    <cellStyle name="Normal 5 17 2 29 2 8" xfId="35652" xr:uid="{00000000-0005-0000-0000-0000448B0000}"/>
    <cellStyle name="Normal 5 17 2 29 2 9" xfId="35653" xr:uid="{00000000-0005-0000-0000-0000458B0000}"/>
    <cellStyle name="Normal 5 17 2 29 3" xfId="35654" xr:uid="{00000000-0005-0000-0000-0000468B0000}"/>
    <cellStyle name="Normal 5 17 2 29 3 10" xfId="35655" xr:uid="{00000000-0005-0000-0000-0000478B0000}"/>
    <cellStyle name="Normal 5 17 2 29 3 2" xfId="35656" xr:uid="{00000000-0005-0000-0000-0000488B0000}"/>
    <cellStyle name="Normal 5 17 2 29 3 3" xfId="35657" xr:uid="{00000000-0005-0000-0000-0000498B0000}"/>
    <cellStyle name="Normal 5 17 2 29 3 4" xfId="35658" xr:uid="{00000000-0005-0000-0000-00004A8B0000}"/>
    <cellStyle name="Normal 5 17 2 29 3 5" xfId="35659" xr:uid="{00000000-0005-0000-0000-00004B8B0000}"/>
    <cellStyle name="Normal 5 17 2 29 3 6" xfId="35660" xr:uid="{00000000-0005-0000-0000-00004C8B0000}"/>
    <cellStyle name="Normal 5 17 2 29 3 7" xfId="35661" xr:uid="{00000000-0005-0000-0000-00004D8B0000}"/>
    <cellStyle name="Normal 5 17 2 29 3 8" xfId="35662" xr:uid="{00000000-0005-0000-0000-00004E8B0000}"/>
    <cellStyle name="Normal 5 17 2 29 3 9" xfId="35663" xr:uid="{00000000-0005-0000-0000-00004F8B0000}"/>
    <cellStyle name="Normal 5 17 2 29 4" xfId="35664" xr:uid="{00000000-0005-0000-0000-0000508B0000}"/>
    <cellStyle name="Normal 5 17 2 29 4 10" xfId="35665" xr:uid="{00000000-0005-0000-0000-0000518B0000}"/>
    <cellStyle name="Normal 5 17 2 29 4 2" xfId="35666" xr:uid="{00000000-0005-0000-0000-0000528B0000}"/>
    <cellStyle name="Normal 5 17 2 29 4 3" xfId="35667" xr:uid="{00000000-0005-0000-0000-0000538B0000}"/>
    <cellStyle name="Normal 5 17 2 29 4 4" xfId="35668" xr:uid="{00000000-0005-0000-0000-0000548B0000}"/>
    <cellStyle name="Normal 5 17 2 29 4 5" xfId="35669" xr:uid="{00000000-0005-0000-0000-0000558B0000}"/>
    <cellStyle name="Normal 5 17 2 29 4 6" xfId="35670" xr:uid="{00000000-0005-0000-0000-0000568B0000}"/>
    <cellStyle name="Normal 5 17 2 29 4 7" xfId="35671" xr:uid="{00000000-0005-0000-0000-0000578B0000}"/>
    <cellStyle name="Normal 5 17 2 29 4 8" xfId="35672" xr:uid="{00000000-0005-0000-0000-0000588B0000}"/>
    <cellStyle name="Normal 5 17 2 29 4 9" xfId="35673" xr:uid="{00000000-0005-0000-0000-0000598B0000}"/>
    <cellStyle name="Normal 5 17 2 29 5" xfId="35674" xr:uid="{00000000-0005-0000-0000-00005A8B0000}"/>
    <cellStyle name="Normal 5 17 2 29 5 10" xfId="35675" xr:uid="{00000000-0005-0000-0000-00005B8B0000}"/>
    <cellStyle name="Normal 5 17 2 29 5 2" xfId="35676" xr:uid="{00000000-0005-0000-0000-00005C8B0000}"/>
    <cellStyle name="Normal 5 17 2 29 5 3" xfId="35677" xr:uid="{00000000-0005-0000-0000-00005D8B0000}"/>
    <cellStyle name="Normal 5 17 2 29 5 4" xfId="35678" xr:uid="{00000000-0005-0000-0000-00005E8B0000}"/>
    <cellStyle name="Normal 5 17 2 29 5 5" xfId="35679" xr:uid="{00000000-0005-0000-0000-00005F8B0000}"/>
    <cellStyle name="Normal 5 17 2 29 5 6" xfId="35680" xr:uid="{00000000-0005-0000-0000-0000608B0000}"/>
    <cellStyle name="Normal 5 17 2 29 5 7" xfId="35681" xr:uid="{00000000-0005-0000-0000-0000618B0000}"/>
    <cellStyle name="Normal 5 17 2 29 5 8" xfId="35682" xr:uid="{00000000-0005-0000-0000-0000628B0000}"/>
    <cellStyle name="Normal 5 17 2 29 5 9" xfId="35683" xr:uid="{00000000-0005-0000-0000-0000638B0000}"/>
    <cellStyle name="Normal 5 17 2 29 6" xfId="35684" xr:uid="{00000000-0005-0000-0000-0000648B0000}"/>
    <cellStyle name="Normal 5 17 2 29 7" xfId="35685" xr:uid="{00000000-0005-0000-0000-0000658B0000}"/>
    <cellStyle name="Normal 5 17 2 29 8" xfId="35686" xr:uid="{00000000-0005-0000-0000-0000668B0000}"/>
    <cellStyle name="Normal 5 17 2 29 9" xfId="35687" xr:uid="{00000000-0005-0000-0000-0000678B0000}"/>
    <cellStyle name="Normal 5 17 2 3" xfId="35688" xr:uid="{00000000-0005-0000-0000-0000688B0000}"/>
    <cellStyle name="Normal 5 17 2 3 10" xfId="35689" xr:uid="{00000000-0005-0000-0000-0000698B0000}"/>
    <cellStyle name="Normal 5 17 2 3 11" xfId="35690" xr:uid="{00000000-0005-0000-0000-00006A8B0000}"/>
    <cellStyle name="Normal 5 17 2 3 12" xfId="35691" xr:uid="{00000000-0005-0000-0000-00006B8B0000}"/>
    <cellStyle name="Normal 5 17 2 3 13" xfId="35692" xr:uid="{00000000-0005-0000-0000-00006C8B0000}"/>
    <cellStyle name="Normal 5 17 2 3 14" xfId="35693" xr:uid="{00000000-0005-0000-0000-00006D8B0000}"/>
    <cellStyle name="Normal 5 17 2 3 2" xfId="35694" xr:uid="{00000000-0005-0000-0000-00006E8B0000}"/>
    <cellStyle name="Normal 5 17 2 3 2 10" xfId="35695" xr:uid="{00000000-0005-0000-0000-00006F8B0000}"/>
    <cellStyle name="Normal 5 17 2 3 2 2" xfId="35696" xr:uid="{00000000-0005-0000-0000-0000708B0000}"/>
    <cellStyle name="Normal 5 17 2 3 2 3" xfId="35697" xr:uid="{00000000-0005-0000-0000-0000718B0000}"/>
    <cellStyle name="Normal 5 17 2 3 2 4" xfId="35698" xr:uid="{00000000-0005-0000-0000-0000728B0000}"/>
    <cellStyle name="Normal 5 17 2 3 2 5" xfId="35699" xr:uid="{00000000-0005-0000-0000-0000738B0000}"/>
    <cellStyle name="Normal 5 17 2 3 2 6" xfId="35700" xr:uid="{00000000-0005-0000-0000-0000748B0000}"/>
    <cellStyle name="Normal 5 17 2 3 2 7" xfId="35701" xr:uid="{00000000-0005-0000-0000-0000758B0000}"/>
    <cellStyle name="Normal 5 17 2 3 2 8" xfId="35702" xr:uid="{00000000-0005-0000-0000-0000768B0000}"/>
    <cellStyle name="Normal 5 17 2 3 2 9" xfId="35703" xr:uid="{00000000-0005-0000-0000-0000778B0000}"/>
    <cellStyle name="Normal 5 17 2 3 3" xfId="35704" xr:uid="{00000000-0005-0000-0000-0000788B0000}"/>
    <cellStyle name="Normal 5 17 2 3 3 10" xfId="35705" xr:uid="{00000000-0005-0000-0000-0000798B0000}"/>
    <cellStyle name="Normal 5 17 2 3 3 2" xfId="35706" xr:uid="{00000000-0005-0000-0000-00007A8B0000}"/>
    <cellStyle name="Normal 5 17 2 3 3 3" xfId="35707" xr:uid="{00000000-0005-0000-0000-00007B8B0000}"/>
    <cellStyle name="Normal 5 17 2 3 3 4" xfId="35708" xr:uid="{00000000-0005-0000-0000-00007C8B0000}"/>
    <cellStyle name="Normal 5 17 2 3 3 5" xfId="35709" xr:uid="{00000000-0005-0000-0000-00007D8B0000}"/>
    <cellStyle name="Normal 5 17 2 3 3 6" xfId="35710" xr:uid="{00000000-0005-0000-0000-00007E8B0000}"/>
    <cellStyle name="Normal 5 17 2 3 3 7" xfId="35711" xr:uid="{00000000-0005-0000-0000-00007F8B0000}"/>
    <cellStyle name="Normal 5 17 2 3 3 8" xfId="35712" xr:uid="{00000000-0005-0000-0000-0000808B0000}"/>
    <cellStyle name="Normal 5 17 2 3 3 9" xfId="35713" xr:uid="{00000000-0005-0000-0000-0000818B0000}"/>
    <cellStyle name="Normal 5 17 2 3 4" xfId="35714" xr:uid="{00000000-0005-0000-0000-0000828B0000}"/>
    <cellStyle name="Normal 5 17 2 3 4 10" xfId="35715" xr:uid="{00000000-0005-0000-0000-0000838B0000}"/>
    <cellStyle name="Normal 5 17 2 3 4 2" xfId="35716" xr:uid="{00000000-0005-0000-0000-0000848B0000}"/>
    <cellStyle name="Normal 5 17 2 3 4 3" xfId="35717" xr:uid="{00000000-0005-0000-0000-0000858B0000}"/>
    <cellStyle name="Normal 5 17 2 3 4 4" xfId="35718" xr:uid="{00000000-0005-0000-0000-0000868B0000}"/>
    <cellStyle name="Normal 5 17 2 3 4 5" xfId="35719" xr:uid="{00000000-0005-0000-0000-0000878B0000}"/>
    <cellStyle name="Normal 5 17 2 3 4 6" xfId="35720" xr:uid="{00000000-0005-0000-0000-0000888B0000}"/>
    <cellStyle name="Normal 5 17 2 3 4 7" xfId="35721" xr:uid="{00000000-0005-0000-0000-0000898B0000}"/>
    <cellStyle name="Normal 5 17 2 3 4 8" xfId="35722" xr:uid="{00000000-0005-0000-0000-00008A8B0000}"/>
    <cellStyle name="Normal 5 17 2 3 4 9" xfId="35723" xr:uid="{00000000-0005-0000-0000-00008B8B0000}"/>
    <cellStyle name="Normal 5 17 2 3 5" xfId="35724" xr:uid="{00000000-0005-0000-0000-00008C8B0000}"/>
    <cellStyle name="Normal 5 17 2 3 5 10" xfId="35725" xr:uid="{00000000-0005-0000-0000-00008D8B0000}"/>
    <cellStyle name="Normal 5 17 2 3 5 2" xfId="35726" xr:uid="{00000000-0005-0000-0000-00008E8B0000}"/>
    <cellStyle name="Normal 5 17 2 3 5 3" xfId="35727" xr:uid="{00000000-0005-0000-0000-00008F8B0000}"/>
    <cellStyle name="Normal 5 17 2 3 5 4" xfId="35728" xr:uid="{00000000-0005-0000-0000-0000908B0000}"/>
    <cellStyle name="Normal 5 17 2 3 5 5" xfId="35729" xr:uid="{00000000-0005-0000-0000-0000918B0000}"/>
    <cellStyle name="Normal 5 17 2 3 5 6" xfId="35730" xr:uid="{00000000-0005-0000-0000-0000928B0000}"/>
    <cellStyle name="Normal 5 17 2 3 5 7" xfId="35731" xr:uid="{00000000-0005-0000-0000-0000938B0000}"/>
    <cellStyle name="Normal 5 17 2 3 5 8" xfId="35732" xr:uid="{00000000-0005-0000-0000-0000948B0000}"/>
    <cellStyle name="Normal 5 17 2 3 5 9" xfId="35733" xr:uid="{00000000-0005-0000-0000-0000958B0000}"/>
    <cellStyle name="Normal 5 17 2 3 6" xfId="35734" xr:uid="{00000000-0005-0000-0000-0000968B0000}"/>
    <cellStyle name="Normal 5 17 2 3 7" xfId="35735" xr:uid="{00000000-0005-0000-0000-0000978B0000}"/>
    <cellStyle name="Normal 5 17 2 3 8" xfId="35736" xr:uid="{00000000-0005-0000-0000-0000988B0000}"/>
    <cellStyle name="Normal 5 17 2 3 9" xfId="35737" xr:uid="{00000000-0005-0000-0000-0000998B0000}"/>
    <cellStyle name="Normal 5 17 2 30" xfId="35738" xr:uid="{00000000-0005-0000-0000-00009A8B0000}"/>
    <cellStyle name="Normal 5 17 2 30 10" xfId="35739" xr:uid="{00000000-0005-0000-0000-00009B8B0000}"/>
    <cellStyle name="Normal 5 17 2 30 11" xfId="35740" xr:uid="{00000000-0005-0000-0000-00009C8B0000}"/>
    <cellStyle name="Normal 5 17 2 30 12" xfId="35741" xr:uid="{00000000-0005-0000-0000-00009D8B0000}"/>
    <cellStyle name="Normal 5 17 2 30 13" xfId="35742" xr:uid="{00000000-0005-0000-0000-00009E8B0000}"/>
    <cellStyle name="Normal 5 17 2 30 14" xfId="35743" xr:uid="{00000000-0005-0000-0000-00009F8B0000}"/>
    <cellStyle name="Normal 5 17 2 30 2" xfId="35744" xr:uid="{00000000-0005-0000-0000-0000A08B0000}"/>
    <cellStyle name="Normal 5 17 2 30 2 10" xfId="35745" xr:uid="{00000000-0005-0000-0000-0000A18B0000}"/>
    <cellStyle name="Normal 5 17 2 30 2 2" xfId="35746" xr:uid="{00000000-0005-0000-0000-0000A28B0000}"/>
    <cellStyle name="Normal 5 17 2 30 2 3" xfId="35747" xr:uid="{00000000-0005-0000-0000-0000A38B0000}"/>
    <cellStyle name="Normal 5 17 2 30 2 4" xfId="35748" xr:uid="{00000000-0005-0000-0000-0000A48B0000}"/>
    <cellStyle name="Normal 5 17 2 30 2 5" xfId="35749" xr:uid="{00000000-0005-0000-0000-0000A58B0000}"/>
    <cellStyle name="Normal 5 17 2 30 2 6" xfId="35750" xr:uid="{00000000-0005-0000-0000-0000A68B0000}"/>
    <cellStyle name="Normal 5 17 2 30 2 7" xfId="35751" xr:uid="{00000000-0005-0000-0000-0000A78B0000}"/>
    <cellStyle name="Normal 5 17 2 30 2 8" xfId="35752" xr:uid="{00000000-0005-0000-0000-0000A88B0000}"/>
    <cellStyle name="Normal 5 17 2 30 2 9" xfId="35753" xr:uid="{00000000-0005-0000-0000-0000A98B0000}"/>
    <cellStyle name="Normal 5 17 2 30 3" xfId="35754" xr:uid="{00000000-0005-0000-0000-0000AA8B0000}"/>
    <cellStyle name="Normal 5 17 2 30 3 10" xfId="35755" xr:uid="{00000000-0005-0000-0000-0000AB8B0000}"/>
    <cellStyle name="Normal 5 17 2 30 3 2" xfId="35756" xr:uid="{00000000-0005-0000-0000-0000AC8B0000}"/>
    <cellStyle name="Normal 5 17 2 30 3 3" xfId="35757" xr:uid="{00000000-0005-0000-0000-0000AD8B0000}"/>
    <cellStyle name="Normal 5 17 2 30 3 4" xfId="35758" xr:uid="{00000000-0005-0000-0000-0000AE8B0000}"/>
    <cellStyle name="Normal 5 17 2 30 3 5" xfId="35759" xr:uid="{00000000-0005-0000-0000-0000AF8B0000}"/>
    <cellStyle name="Normal 5 17 2 30 3 6" xfId="35760" xr:uid="{00000000-0005-0000-0000-0000B08B0000}"/>
    <cellStyle name="Normal 5 17 2 30 3 7" xfId="35761" xr:uid="{00000000-0005-0000-0000-0000B18B0000}"/>
    <cellStyle name="Normal 5 17 2 30 3 8" xfId="35762" xr:uid="{00000000-0005-0000-0000-0000B28B0000}"/>
    <cellStyle name="Normal 5 17 2 30 3 9" xfId="35763" xr:uid="{00000000-0005-0000-0000-0000B38B0000}"/>
    <cellStyle name="Normal 5 17 2 30 4" xfId="35764" xr:uid="{00000000-0005-0000-0000-0000B48B0000}"/>
    <cellStyle name="Normal 5 17 2 30 4 10" xfId="35765" xr:uid="{00000000-0005-0000-0000-0000B58B0000}"/>
    <cellStyle name="Normal 5 17 2 30 4 2" xfId="35766" xr:uid="{00000000-0005-0000-0000-0000B68B0000}"/>
    <cellStyle name="Normal 5 17 2 30 4 3" xfId="35767" xr:uid="{00000000-0005-0000-0000-0000B78B0000}"/>
    <cellStyle name="Normal 5 17 2 30 4 4" xfId="35768" xr:uid="{00000000-0005-0000-0000-0000B88B0000}"/>
    <cellStyle name="Normal 5 17 2 30 4 5" xfId="35769" xr:uid="{00000000-0005-0000-0000-0000B98B0000}"/>
    <cellStyle name="Normal 5 17 2 30 4 6" xfId="35770" xr:uid="{00000000-0005-0000-0000-0000BA8B0000}"/>
    <cellStyle name="Normal 5 17 2 30 4 7" xfId="35771" xr:uid="{00000000-0005-0000-0000-0000BB8B0000}"/>
    <cellStyle name="Normal 5 17 2 30 4 8" xfId="35772" xr:uid="{00000000-0005-0000-0000-0000BC8B0000}"/>
    <cellStyle name="Normal 5 17 2 30 4 9" xfId="35773" xr:uid="{00000000-0005-0000-0000-0000BD8B0000}"/>
    <cellStyle name="Normal 5 17 2 30 5" xfId="35774" xr:uid="{00000000-0005-0000-0000-0000BE8B0000}"/>
    <cellStyle name="Normal 5 17 2 30 5 10" xfId="35775" xr:uid="{00000000-0005-0000-0000-0000BF8B0000}"/>
    <cellStyle name="Normal 5 17 2 30 5 2" xfId="35776" xr:uid="{00000000-0005-0000-0000-0000C08B0000}"/>
    <cellStyle name="Normal 5 17 2 30 5 3" xfId="35777" xr:uid="{00000000-0005-0000-0000-0000C18B0000}"/>
    <cellStyle name="Normal 5 17 2 30 5 4" xfId="35778" xr:uid="{00000000-0005-0000-0000-0000C28B0000}"/>
    <cellStyle name="Normal 5 17 2 30 5 5" xfId="35779" xr:uid="{00000000-0005-0000-0000-0000C38B0000}"/>
    <cellStyle name="Normal 5 17 2 30 5 6" xfId="35780" xr:uid="{00000000-0005-0000-0000-0000C48B0000}"/>
    <cellStyle name="Normal 5 17 2 30 5 7" xfId="35781" xr:uid="{00000000-0005-0000-0000-0000C58B0000}"/>
    <cellStyle name="Normal 5 17 2 30 5 8" xfId="35782" xr:uid="{00000000-0005-0000-0000-0000C68B0000}"/>
    <cellStyle name="Normal 5 17 2 30 5 9" xfId="35783" xr:uid="{00000000-0005-0000-0000-0000C78B0000}"/>
    <cellStyle name="Normal 5 17 2 30 6" xfId="35784" xr:uid="{00000000-0005-0000-0000-0000C88B0000}"/>
    <cellStyle name="Normal 5 17 2 30 7" xfId="35785" xr:uid="{00000000-0005-0000-0000-0000C98B0000}"/>
    <cellStyle name="Normal 5 17 2 30 8" xfId="35786" xr:uid="{00000000-0005-0000-0000-0000CA8B0000}"/>
    <cellStyle name="Normal 5 17 2 30 9" xfId="35787" xr:uid="{00000000-0005-0000-0000-0000CB8B0000}"/>
    <cellStyle name="Normal 5 17 2 31" xfId="35788" xr:uid="{00000000-0005-0000-0000-0000CC8B0000}"/>
    <cellStyle name="Normal 5 17 2 31 10" xfId="35789" xr:uid="{00000000-0005-0000-0000-0000CD8B0000}"/>
    <cellStyle name="Normal 5 17 2 31 11" xfId="35790" xr:uid="{00000000-0005-0000-0000-0000CE8B0000}"/>
    <cellStyle name="Normal 5 17 2 31 12" xfId="35791" xr:uid="{00000000-0005-0000-0000-0000CF8B0000}"/>
    <cellStyle name="Normal 5 17 2 31 13" xfId="35792" xr:uid="{00000000-0005-0000-0000-0000D08B0000}"/>
    <cellStyle name="Normal 5 17 2 31 14" xfId="35793" xr:uid="{00000000-0005-0000-0000-0000D18B0000}"/>
    <cellStyle name="Normal 5 17 2 31 2" xfId="35794" xr:uid="{00000000-0005-0000-0000-0000D28B0000}"/>
    <cellStyle name="Normal 5 17 2 31 2 10" xfId="35795" xr:uid="{00000000-0005-0000-0000-0000D38B0000}"/>
    <cellStyle name="Normal 5 17 2 31 2 2" xfId="35796" xr:uid="{00000000-0005-0000-0000-0000D48B0000}"/>
    <cellStyle name="Normal 5 17 2 31 2 3" xfId="35797" xr:uid="{00000000-0005-0000-0000-0000D58B0000}"/>
    <cellStyle name="Normal 5 17 2 31 2 4" xfId="35798" xr:uid="{00000000-0005-0000-0000-0000D68B0000}"/>
    <cellStyle name="Normal 5 17 2 31 2 5" xfId="35799" xr:uid="{00000000-0005-0000-0000-0000D78B0000}"/>
    <cellStyle name="Normal 5 17 2 31 2 6" xfId="35800" xr:uid="{00000000-0005-0000-0000-0000D88B0000}"/>
    <cellStyle name="Normal 5 17 2 31 2 7" xfId="35801" xr:uid="{00000000-0005-0000-0000-0000D98B0000}"/>
    <cellStyle name="Normal 5 17 2 31 2 8" xfId="35802" xr:uid="{00000000-0005-0000-0000-0000DA8B0000}"/>
    <cellStyle name="Normal 5 17 2 31 2 9" xfId="35803" xr:uid="{00000000-0005-0000-0000-0000DB8B0000}"/>
    <cellStyle name="Normal 5 17 2 31 3" xfId="35804" xr:uid="{00000000-0005-0000-0000-0000DC8B0000}"/>
    <cellStyle name="Normal 5 17 2 31 3 10" xfId="35805" xr:uid="{00000000-0005-0000-0000-0000DD8B0000}"/>
    <cellStyle name="Normal 5 17 2 31 3 2" xfId="35806" xr:uid="{00000000-0005-0000-0000-0000DE8B0000}"/>
    <cellStyle name="Normal 5 17 2 31 3 3" xfId="35807" xr:uid="{00000000-0005-0000-0000-0000DF8B0000}"/>
    <cellStyle name="Normal 5 17 2 31 3 4" xfId="35808" xr:uid="{00000000-0005-0000-0000-0000E08B0000}"/>
    <cellStyle name="Normal 5 17 2 31 3 5" xfId="35809" xr:uid="{00000000-0005-0000-0000-0000E18B0000}"/>
    <cellStyle name="Normal 5 17 2 31 3 6" xfId="35810" xr:uid="{00000000-0005-0000-0000-0000E28B0000}"/>
    <cellStyle name="Normal 5 17 2 31 3 7" xfId="35811" xr:uid="{00000000-0005-0000-0000-0000E38B0000}"/>
    <cellStyle name="Normal 5 17 2 31 3 8" xfId="35812" xr:uid="{00000000-0005-0000-0000-0000E48B0000}"/>
    <cellStyle name="Normal 5 17 2 31 3 9" xfId="35813" xr:uid="{00000000-0005-0000-0000-0000E58B0000}"/>
    <cellStyle name="Normal 5 17 2 31 4" xfId="35814" xr:uid="{00000000-0005-0000-0000-0000E68B0000}"/>
    <cellStyle name="Normal 5 17 2 31 4 10" xfId="35815" xr:uid="{00000000-0005-0000-0000-0000E78B0000}"/>
    <cellStyle name="Normal 5 17 2 31 4 2" xfId="35816" xr:uid="{00000000-0005-0000-0000-0000E88B0000}"/>
    <cellStyle name="Normal 5 17 2 31 4 3" xfId="35817" xr:uid="{00000000-0005-0000-0000-0000E98B0000}"/>
    <cellStyle name="Normal 5 17 2 31 4 4" xfId="35818" xr:uid="{00000000-0005-0000-0000-0000EA8B0000}"/>
    <cellStyle name="Normal 5 17 2 31 4 5" xfId="35819" xr:uid="{00000000-0005-0000-0000-0000EB8B0000}"/>
    <cellStyle name="Normal 5 17 2 31 4 6" xfId="35820" xr:uid="{00000000-0005-0000-0000-0000EC8B0000}"/>
    <cellStyle name="Normal 5 17 2 31 4 7" xfId="35821" xr:uid="{00000000-0005-0000-0000-0000ED8B0000}"/>
    <cellStyle name="Normal 5 17 2 31 4 8" xfId="35822" xr:uid="{00000000-0005-0000-0000-0000EE8B0000}"/>
    <cellStyle name="Normal 5 17 2 31 4 9" xfId="35823" xr:uid="{00000000-0005-0000-0000-0000EF8B0000}"/>
    <cellStyle name="Normal 5 17 2 31 5" xfId="35824" xr:uid="{00000000-0005-0000-0000-0000F08B0000}"/>
    <cellStyle name="Normal 5 17 2 31 5 10" xfId="35825" xr:uid="{00000000-0005-0000-0000-0000F18B0000}"/>
    <cellStyle name="Normal 5 17 2 31 5 2" xfId="35826" xr:uid="{00000000-0005-0000-0000-0000F28B0000}"/>
    <cellStyle name="Normal 5 17 2 31 5 3" xfId="35827" xr:uid="{00000000-0005-0000-0000-0000F38B0000}"/>
    <cellStyle name="Normal 5 17 2 31 5 4" xfId="35828" xr:uid="{00000000-0005-0000-0000-0000F48B0000}"/>
    <cellStyle name="Normal 5 17 2 31 5 5" xfId="35829" xr:uid="{00000000-0005-0000-0000-0000F58B0000}"/>
    <cellStyle name="Normal 5 17 2 31 5 6" xfId="35830" xr:uid="{00000000-0005-0000-0000-0000F68B0000}"/>
    <cellStyle name="Normal 5 17 2 31 5 7" xfId="35831" xr:uid="{00000000-0005-0000-0000-0000F78B0000}"/>
    <cellStyle name="Normal 5 17 2 31 5 8" xfId="35832" xr:uid="{00000000-0005-0000-0000-0000F88B0000}"/>
    <cellStyle name="Normal 5 17 2 31 5 9" xfId="35833" xr:uid="{00000000-0005-0000-0000-0000F98B0000}"/>
    <cellStyle name="Normal 5 17 2 31 6" xfId="35834" xr:uid="{00000000-0005-0000-0000-0000FA8B0000}"/>
    <cellStyle name="Normal 5 17 2 31 7" xfId="35835" xr:uid="{00000000-0005-0000-0000-0000FB8B0000}"/>
    <cellStyle name="Normal 5 17 2 31 8" xfId="35836" xr:uid="{00000000-0005-0000-0000-0000FC8B0000}"/>
    <cellStyle name="Normal 5 17 2 31 9" xfId="35837" xr:uid="{00000000-0005-0000-0000-0000FD8B0000}"/>
    <cellStyle name="Normal 5 17 2 32" xfId="35838" xr:uid="{00000000-0005-0000-0000-0000FE8B0000}"/>
    <cellStyle name="Normal 5 17 2 32 10" xfId="35839" xr:uid="{00000000-0005-0000-0000-0000FF8B0000}"/>
    <cellStyle name="Normal 5 17 2 32 11" xfId="35840" xr:uid="{00000000-0005-0000-0000-0000008C0000}"/>
    <cellStyle name="Normal 5 17 2 32 12" xfId="35841" xr:uid="{00000000-0005-0000-0000-0000018C0000}"/>
    <cellStyle name="Normal 5 17 2 32 13" xfId="35842" xr:uid="{00000000-0005-0000-0000-0000028C0000}"/>
    <cellStyle name="Normal 5 17 2 32 14" xfId="35843" xr:uid="{00000000-0005-0000-0000-0000038C0000}"/>
    <cellStyle name="Normal 5 17 2 32 2" xfId="35844" xr:uid="{00000000-0005-0000-0000-0000048C0000}"/>
    <cellStyle name="Normal 5 17 2 32 2 10" xfId="35845" xr:uid="{00000000-0005-0000-0000-0000058C0000}"/>
    <cellStyle name="Normal 5 17 2 32 2 2" xfId="35846" xr:uid="{00000000-0005-0000-0000-0000068C0000}"/>
    <cellStyle name="Normal 5 17 2 32 2 3" xfId="35847" xr:uid="{00000000-0005-0000-0000-0000078C0000}"/>
    <cellStyle name="Normal 5 17 2 32 2 4" xfId="35848" xr:uid="{00000000-0005-0000-0000-0000088C0000}"/>
    <cellStyle name="Normal 5 17 2 32 2 5" xfId="35849" xr:uid="{00000000-0005-0000-0000-0000098C0000}"/>
    <cellStyle name="Normal 5 17 2 32 2 6" xfId="35850" xr:uid="{00000000-0005-0000-0000-00000A8C0000}"/>
    <cellStyle name="Normal 5 17 2 32 2 7" xfId="35851" xr:uid="{00000000-0005-0000-0000-00000B8C0000}"/>
    <cellStyle name="Normal 5 17 2 32 2 8" xfId="35852" xr:uid="{00000000-0005-0000-0000-00000C8C0000}"/>
    <cellStyle name="Normal 5 17 2 32 2 9" xfId="35853" xr:uid="{00000000-0005-0000-0000-00000D8C0000}"/>
    <cellStyle name="Normal 5 17 2 32 3" xfId="35854" xr:uid="{00000000-0005-0000-0000-00000E8C0000}"/>
    <cellStyle name="Normal 5 17 2 32 3 10" xfId="35855" xr:uid="{00000000-0005-0000-0000-00000F8C0000}"/>
    <cellStyle name="Normal 5 17 2 32 3 2" xfId="35856" xr:uid="{00000000-0005-0000-0000-0000108C0000}"/>
    <cellStyle name="Normal 5 17 2 32 3 3" xfId="35857" xr:uid="{00000000-0005-0000-0000-0000118C0000}"/>
    <cellStyle name="Normal 5 17 2 32 3 4" xfId="35858" xr:uid="{00000000-0005-0000-0000-0000128C0000}"/>
    <cellStyle name="Normal 5 17 2 32 3 5" xfId="35859" xr:uid="{00000000-0005-0000-0000-0000138C0000}"/>
    <cellStyle name="Normal 5 17 2 32 3 6" xfId="35860" xr:uid="{00000000-0005-0000-0000-0000148C0000}"/>
    <cellStyle name="Normal 5 17 2 32 3 7" xfId="35861" xr:uid="{00000000-0005-0000-0000-0000158C0000}"/>
    <cellStyle name="Normal 5 17 2 32 3 8" xfId="35862" xr:uid="{00000000-0005-0000-0000-0000168C0000}"/>
    <cellStyle name="Normal 5 17 2 32 3 9" xfId="35863" xr:uid="{00000000-0005-0000-0000-0000178C0000}"/>
    <cellStyle name="Normal 5 17 2 32 4" xfId="35864" xr:uid="{00000000-0005-0000-0000-0000188C0000}"/>
    <cellStyle name="Normal 5 17 2 32 4 10" xfId="35865" xr:uid="{00000000-0005-0000-0000-0000198C0000}"/>
    <cellStyle name="Normal 5 17 2 32 4 2" xfId="35866" xr:uid="{00000000-0005-0000-0000-00001A8C0000}"/>
    <cellStyle name="Normal 5 17 2 32 4 3" xfId="35867" xr:uid="{00000000-0005-0000-0000-00001B8C0000}"/>
    <cellStyle name="Normal 5 17 2 32 4 4" xfId="35868" xr:uid="{00000000-0005-0000-0000-00001C8C0000}"/>
    <cellStyle name="Normal 5 17 2 32 4 5" xfId="35869" xr:uid="{00000000-0005-0000-0000-00001D8C0000}"/>
    <cellStyle name="Normal 5 17 2 32 4 6" xfId="35870" xr:uid="{00000000-0005-0000-0000-00001E8C0000}"/>
    <cellStyle name="Normal 5 17 2 32 4 7" xfId="35871" xr:uid="{00000000-0005-0000-0000-00001F8C0000}"/>
    <cellStyle name="Normal 5 17 2 32 4 8" xfId="35872" xr:uid="{00000000-0005-0000-0000-0000208C0000}"/>
    <cellStyle name="Normal 5 17 2 32 4 9" xfId="35873" xr:uid="{00000000-0005-0000-0000-0000218C0000}"/>
    <cellStyle name="Normal 5 17 2 32 5" xfId="35874" xr:uid="{00000000-0005-0000-0000-0000228C0000}"/>
    <cellStyle name="Normal 5 17 2 32 5 10" xfId="35875" xr:uid="{00000000-0005-0000-0000-0000238C0000}"/>
    <cellStyle name="Normal 5 17 2 32 5 2" xfId="35876" xr:uid="{00000000-0005-0000-0000-0000248C0000}"/>
    <cellStyle name="Normal 5 17 2 32 5 3" xfId="35877" xr:uid="{00000000-0005-0000-0000-0000258C0000}"/>
    <cellStyle name="Normal 5 17 2 32 5 4" xfId="35878" xr:uid="{00000000-0005-0000-0000-0000268C0000}"/>
    <cellStyle name="Normal 5 17 2 32 5 5" xfId="35879" xr:uid="{00000000-0005-0000-0000-0000278C0000}"/>
    <cellStyle name="Normal 5 17 2 32 5 6" xfId="35880" xr:uid="{00000000-0005-0000-0000-0000288C0000}"/>
    <cellStyle name="Normal 5 17 2 32 5 7" xfId="35881" xr:uid="{00000000-0005-0000-0000-0000298C0000}"/>
    <cellStyle name="Normal 5 17 2 32 5 8" xfId="35882" xr:uid="{00000000-0005-0000-0000-00002A8C0000}"/>
    <cellStyle name="Normal 5 17 2 32 5 9" xfId="35883" xr:uid="{00000000-0005-0000-0000-00002B8C0000}"/>
    <cellStyle name="Normal 5 17 2 32 6" xfId="35884" xr:uid="{00000000-0005-0000-0000-00002C8C0000}"/>
    <cellStyle name="Normal 5 17 2 32 7" xfId="35885" xr:uid="{00000000-0005-0000-0000-00002D8C0000}"/>
    <cellStyle name="Normal 5 17 2 32 8" xfId="35886" xr:uid="{00000000-0005-0000-0000-00002E8C0000}"/>
    <cellStyle name="Normal 5 17 2 32 9" xfId="35887" xr:uid="{00000000-0005-0000-0000-00002F8C0000}"/>
    <cellStyle name="Normal 5 17 2 33" xfId="35888" xr:uid="{00000000-0005-0000-0000-0000308C0000}"/>
    <cellStyle name="Normal 5 17 2 33 10" xfId="35889" xr:uid="{00000000-0005-0000-0000-0000318C0000}"/>
    <cellStyle name="Normal 5 17 2 33 11" xfId="35890" xr:uid="{00000000-0005-0000-0000-0000328C0000}"/>
    <cellStyle name="Normal 5 17 2 33 12" xfId="35891" xr:uid="{00000000-0005-0000-0000-0000338C0000}"/>
    <cellStyle name="Normal 5 17 2 33 13" xfId="35892" xr:uid="{00000000-0005-0000-0000-0000348C0000}"/>
    <cellStyle name="Normal 5 17 2 33 14" xfId="35893" xr:uid="{00000000-0005-0000-0000-0000358C0000}"/>
    <cellStyle name="Normal 5 17 2 33 2" xfId="35894" xr:uid="{00000000-0005-0000-0000-0000368C0000}"/>
    <cellStyle name="Normal 5 17 2 33 2 10" xfId="35895" xr:uid="{00000000-0005-0000-0000-0000378C0000}"/>
    <cellStyle name="Normal 5 17 2 33 2 2" xfId="35896" xr:uid="{00000000-0005-0000-0000-0000388C0000}"/>
    <cellStyle name="Normal 5 17 2 33 2 3" xfId="35897" xr:uid="{00000000-0005-0000-0000-0000398C0000}"/>
    <cellStyle name="Normal 5 17 2 33 2 4" xfId="35898" xr:uid="{00000000-0005-0000-0000-00003A8C0000}"/>
    <cellStyle name="Normal 5 17 2 33 2 5" xfId="35899" xr:uid="{00000000-0005-0000-0000-00003B8C0000}"/>
    <cellStyle name="Normal 5 17 2 33 2 6" xfId="35900" xr:uid="{00000000-0005-0000-0000-00003C8C0000}"/>
    <cellStyle name="Normal 5 17 2 33 2 7" xfId="35901" xr:uid="{00000000-0005-0000-0000-00003D8C0000}"/>
    <cellStyle name="Normal 5 17 2 33 2 8" xfId="35902" xr:uid="{00000000-0005-0000-0000-00003E8C0000}"/>
    <cellStyle name="Normal 5 17 2 33 2 9" xfId="35903" xr:uid="{00000000-0005-0000-0000-00003F8C0000}"/>
    <cellStyle name="Normal 5 17 2 33 3" xfId="35904" xr:uid="{00000000-0005-0000-0000-0000408C0000}"/>
    <cellStyle name="Normal 5 17 2 33 3 10" xfId="35905" xr:uid="{00000000-0005-0000-0000-0000418C0000}"/>
    <cellStyle name="Normal 5 17 2 33 3 2" xfId="35906" xr:uid="{00000000-0005-0000-0000-0000428C0000}"/>
    <cellStyle name="Normal 5 17 2 33 3 3" xfId="35907" xr:uid="{00000000-0005-0000-0000-0000438C0000}"/>
    <cellStyle name="Normal 5 17 2 33 3 4" xfId="35908" xr:uid="{00000000-0005-0000-0000-0000448C0000}"/>
    <cellStyle name="Normal 5 17 2 33 3 5" xfId="35909" xr:uid="{00000000-0005-0000-0000-0000458C0000}"/>
    <cellStyle name="Normal 5 17 2 33 3 6" xfId="35910" xr:uid="{00000000-0005-0000-0000-0000468C0000}"/>
    <cellStyle name="Normal 5 17 2 33 3 7" xfId="35911" xr:uid="{00000000-0005-0000-0000-0000478C0000}"/>
    <cellStyle name="Normal 5 17 2 33 3 8" xfId="35912" xr:uid="{00000000-0005-0000-0000-0000488C0000}"/>
    <cellStyle name="Normal 5 17 2 33 3 9" xfId="35913" xr:uid="{00000000-0005-0000-0000-0000498C0000}"/>
    <cellStyle name="Normal 5 17 2 33 4" xfId="35914" xr:uid="{00000000-0005-0000-0000-00004A8C0000}"/>
    <cellStyle name="Normal 5 17 2 33 4 10" xfId="35915" xr:uid="{00000000-0005-0000-0000-00004B8C0000}"/>
    <cellStyle name="Normal 5 17 2 33 4 2" xfId="35916" xr:uid="{00000000-0005-0000-0000-00004C8C0000}"/>
    <cellStyle name="Normal 5 17 2 33 4 3" xfId="35917" xr:uid="{00000000-0005-0000-0000-00004D8C0000}"/>
    <cellStyle name="Normal 5 17 2 33 4 4" xfId="35918" xr:uid="{00000000-0005-0000-0000-00004E8C0000}"/>
    <cellStyle name="Normal 5 17 2 33 4 5" xfId="35919" xr:uid="{00000000-0005-0000-0000-00004F8C0000}"/>
    <cellStyle name="Normal 5 17 2 33 4 6" xfId="35920" xr:uid="{00000000-0005-0000-0000-0000508C0000}"/>
    <cellStyle name="Normal 5 17 2 33 4 7" xfId="35921" xr:uid="{00000000-0005-0000-0000-0000518C0000}"/>
    <cellStyle name="Normal 5 17 2 33 4 8" xfId="35922" xr:uid="{00000000-0005-0000-0000-0000528C0000}"/>
    <cellStyle name="Normal 5 17 2 33 4 9" xfId="35923" xr:uid="{00000000-0005-0000-0000-0000538C0000}"/>
    <cellStyle name="Normal 5 17 2 33 5" xfId="35924" xr:uid="{00000000-0005-0000-0000-0000548C0000}"/>
    <cellStyle name="Normal 5 17 2 33 5 10" xfId="35925" xr:uid="{00000000-0005-0000-0000-0000558C0000}"/>
    <cellStyle name="Normal 5 17 2 33 5 2" xfId="35926" xr:uid="{00000000-0005-0000-0000-0000568C0000}"/>
    <cellStyle name="Normal 5 17 2 33 5 3" xfId="35927" xr:uid="{00000000-0005-0000-0000-0000578C0000}"/>
    <cellStyle name="Normal 5 17 2 33 5 4" xfId="35928" xr:uid="{00000000-0005-0000-0000-0000588C0000}"/>
    <cellStyle name="Normal 5 17 2 33 5 5" xfId="35929" xr:uid="{00000000-0005-0000-0000-0000598C0000}"/>
    <cellStyle name="Normal 5 17 2 33 5 6" xfId="35930" xr:uid="{00000000-0005-0000-0000-00005A8C0000}"/>
    <cellStyle name="Normal 5 17 2 33 5 7" xfId="35931" xr:uid="{00000000-0005-0000-0000-00005B8C0000}"/>
    <cellStyle name="Normal 5 17 2 33 5 8" xfId="35932" xr:uid="{00000000-0005-0000-0000-00005C8C0000}"/>
    <cellStyle name="Normal 5 17 2 33 5 9" xfId="35933" xr:uid="{00000000-0005-0000-0000-00005D8C0000}"/>
    <cellStyle name="Normal 5 17 2 33 6" xfId="35934" xr:uid="{00000000-0005-0000-0000-00005E8C0000}"/>
    <cellStyle name="Normal 5 17 2 33 7" xfId="35935" xr:uid="{00000000-0005-0000-0000-00005F8C0000}"/>
    <cellStyle name="Normal 5 17 2 33 8" xfId="35936" xr:uid="{00000000-0005-0000-0000-0000608C0000}"/>
    <cellStyle name="Normal 5 17 2 33 9" xfId="35937" xr:uid="{00000000-0005-0000-0000-0000618C0000}"/>
    <cellStyle name="Normal 5 17 2 34" xfId="35938" xr:uid="{00000000-0005-0000-0000-0000628C0000}"/>
    <cellStyle name="Normal 5 17 2 34 10" xfId="35939" xr:uid="{00000000-0005-0000-0000-0000638C0000}"/>
    <cellStyle name="Normal 5 17 2 34 2" xfId="35940" xr:uid="{00000000-0005-0000-0000-0000648C0000}"/>
    <cellStyle name="Normal 5 17 2 34 3" xfId="35941" xr:uid="{00000000-0005-0000-0000-0000658C0000}"/>
    <cellStyle name="Normal 5 17 2 34 4" xfId="35942" xr:uid="{00000000-0005-0000-0000-0000668C0000}"/>
    <cellStyle name="Normal 5 17 2 34 5" xfId="35943" xr:uid="{00000000-0005-0000-0000-0000678C0000}"/>
    <cellStyle name="Normal 5 17 2 34 6" xfId="35944" xr:uid="{00000000-0005-0000-0000-0000688C0000}"/>
    <cellStyle name="Normal 5 17 2 34 7" xfId="35945" xr:uid="{00000000-0005-0000-0000-0000698C0000}"/>
    <cellStyle name="Normal 5 17 2 34 8" xfId="35946" xr:uid="{00000000-0005-0000-0000-00006A8C0000}"/>
    <cellStyle name="Normal 5 17 2 34 9" xfId="35947" xr:uid="{00000000-0005-0000-0000-00006B8C0000}"/>
    <cellStyle name="Normal 5 17 2 35" xfId="35948" xr:uid="{00000000-0005-0000-0000-00006C8C0000}"/>
    <cellStyle name="Normal 5 17 2 35 10" xfId="35949" xr:uid="{00000000-0005-0000-0000-00006D8C0000}"/>
    <cellStyle name="Normal 5 17 2 35 2" xfId="35950" xr:uid="{00000000-0005-0000-0000-00006E8C0000}"/>
    <cellStyle name="Normal 5 17 2 35 3" xfId="35951" xr:uid="{00000000-0005-0000-0000-00006F8C0000}"/>
    <cellStyle name="Normal 5 17 2 35 4" xfId="35952" xr:uid="{00000000-0005-0000-0000-0000708C0000}"/>
    <cellStyle name="Normal 5 17 2 35 5" xfId="35953" xr:uid="{00000000-0005-0000-0000-0000718C0000}"/>
    <cellStyle name="Normal 5 17 2 35 6" xfId="35954" xr:uid="{00000000-0005-0000-0000-0000728C0000}"/>
    <cellStyle name="Normal 5 17 2 35 7" xfId="35955" xr:uid="{00000000-0005-0000-0000-0000738C0000}"/>
    <cellStyle name="Normal 5 17 2 35 8" xfId="35956" xr:uid="{00000000-0005-0000-0000-0000748C0000}"/>
    <cellStyle name="Normal 5 17 2 35 9" xfId="35957" xr:uid="{00000000-0005-0000-0000-0000758C0000}"/>
    <cellStyle name="Normal 5 17 2 36" xfId="35958" xr:uid="{00000000-0005-0000-0000-0000768C0000}"/>
    <cellStyle name="Normal 5 17 2 36 10" xfId="35959" xr:uid="{00000000-0005-0000-0000-0000778C0000}"/>
    <cellStyle name="Normal 5 17 2 36 2" xfId="35960" xr:uid="{00000000-0005-0000-0000-0000788C0000}"/>
    <cellStyle name="Normal 5 17 2 36 3" xfId="35961" xr:uid="{00000000-0005-0000-0000-0000798C0000}"/>
    <cellStyle name="Normal 5 17 2 36 4" xfId="35962" xr:uid="{00000000-0005-0000-0000-00007A8C0000}"/>
    <cellStyle name="Normal 5 17 2 36 5" xfId="35963" xr:uid="{00000000-0005-0000-0000-00007B8C0000}"/>
    <cellStyle name="Normal 5 17 2 36 6" xfId="35964" xr:uid="{00000000-0005-0000-0000-00007C8C0000}"/>
    <cellStyle name="Normal 5 17 2 36 7" xfId="35965" xr:uid="{00000000-0005-0000-0000-00007D8C0000}"/>
    <cellStyle name="Normal 5 17 2 36 8" xfId="35966" xr:uid="{00000000-0005-0000-0000-00007E8C0000}"/>
    <cellStyle name="Normal 5 17 2 36 9" xfId="35967" xr:uid="{00000000-0005-0000-0000-00007F8C0000}"/>
    <cellStyle name="Normal 5 17 2 37" xfId="35968" xr:uid="{00000000-0005-0000-0000-0000808C0000}"/>
    <cellStyle name="Normal 5 17 2 37 10" xfId="35969" xr:uid="{00000000-0005-0000-0000-0000818C0000}"/>
    <cellStyle name="Normal 5 17 2 37 2" xfId="35970" xr:uid="{00000000-0005-0000-0000-0000828C0000}"/>
    <cellStyle name="Normal 5 17 2 37 3" xfId="35971" xr:uid="{00000000-0005-0000-0000-0000838C0000}"/>
    <cellStyle name="Normal 5 17 2 37 4" xfId="35972" xr:uid="{00000000-0005-0000-0000-0000848C0000}"/>
    <cellStyle name="Normal 5 17 2 37 5" xfId="35973" xr:uid="{00000000-0005-0000-0000-0000858C0000}"/>
    <cellStyle name="Normal 5 17 2 37 6" xfId="35974" xr:uid="{00000000-0005-0000-0000-0000868C0000}"/>
    <cellStyle name="Normal 5 17 2 37 7" xfId="35975" xr:uid="{00000000-0005-0000-0000-0000878C0000}"/>
    <cellStyle name="Normal 5 17 2 37 8" xfId="35976" xr:uid="{00000000-0005-0000-0000-0000888C0000}"/>
    <cellStyle name="Normal 5 17 2 37 9" xfId="35977" xr:uid="{00000000-0005-0000-0000-0000898C0000}"/>
    <cellStyle name="Normal 5 17 2 38" xfId="35978" xr:uid="{00000000-0005-0000-0000-00008A8C0000}"/>
    <cellStyle name="Normal 5 17 2 39" xfId="35979" xr:uid="{00000000-0005-0000-0000-00008B8C0000}"/>
    <cellStyle name="Normal 5 17 2 4" xfId="35980" xr:uid="{00000000-0005-0000-0000-00008C8C0000}"/>
    <cellStyle name="Normal 5 17 2 4 10" xfId="35981" xr:uid="{00000000-0005-0000-0000-00008D8C0000}"/>
    <cellStyle name="Normal 5 17 2 4 11" xfId="35982" xr:uid="{00000000-0005-0000-0000-00008E8C0000}"/>
    <cellStyle name="Normal 5 17 2 4 12" xfId="35983" xr:uid="{00000000-0005-0000-0000-00008F8C0000}"/>
    <cellStyle name="Normal 5 17 2 4 13" xfId="35984" xr:uid="{00000000-0005-0000-0000-0000908C0000}"/>
    <cellStyle name="Normal 5 17 2 4 14" xfId="35985" xr:uid="{00000000-0005-0000-0000-0000918C0000}"/>
    <cellStyle name="Normal 5 17 2 4 2" xfId="35986" xr:uid="{00000000-0005-0000-0000-0000928C0000}"/>
    <cellStyle name="Normal 5 17 2 4 2 10" xfId="35987" xr:uid="{00000000-0005-0000-0000-0000938C0000}"/>
    <cellStyle name="Normal 5 17 2 4 2 2" xfId="35988" xr:uid="{00000000-0005-0000-0000-0000948C0000}"/>
    <cellStyle name="Normal 5 17 2 4 2 3" xfId="35989" xr:uid="{00000000-0005-0000-0000-0000958C0000}"/>
    <cellStyle name="Normal 5 17 2 4 2 4" xfId="35990" xr:uid="{00000000-0005-0000-0000-0000968C0000}"/>
    <cellStyle name="Normal 5 17 2 4 2 5" xfId="35991" xr:uid="{00000000-0005-0000-0000-0000978C0000}"/>
    <cellStyle name="Normal 5 17 2 4 2 6" xfId="35992" xr:uid="{00000000-0005-0000-0000-0000988C0000}"/>
    <cellStyle name="Normal 5 17 2 4 2 7" xfId="35993" xr:uid="{00000000-0005-0000-0000-0000998C0000}"/>
    <cellStyle name="Normal 5 17 2 4 2 8" xfId="35994" xr:uid="{00000000-0005-0000-0000-00009A8C0000}"/>
    <cellStyle name="Normal 5 17 2 4 2 9" xfId="35995" xr:uid="{00000000-0005-0000-0000-00009B8C0000}"/>
    <cellStyle name="Normal 5 17 2 4 3" xfId="35996" xr:uid="{00000000-0005-0000-0000-00009C8C0000}"/>
    <cellStyle name="Normal 5 17 2 4 3 10" xfId="35997" xr:uid="{00000000-0005-0000-0000-00009D8C0000}"/>
    <cellStyle name="Normal 5 17 2 4 3 2" xfId="35998" xr:uid="{00000000-0005-0000-0000-00009E8C0000}"/>
    <cellStyle name="Normal 5 17 2 4 3 3" xfId="35999" xr:uid="{00000000-0005-0000-0000-00009F8C0000}"/>
    <cellStyle name="Normal 5 17 2 4 3 4" xfId="36000" xr:uid="{00000000-0005-0000-0000-0000A08C0000}"/>
    <cellStyle name="Normal 5 17 2 4 3 5" xfId="36001" xr:uid="{00000000-0005-0000-0000-0000A18C0000}"/>
    <cellStyle name="Normal 5 17 2 4 3 6" xfId="36002" xr:uid="{00000000-0005-0000-0000-0000A28C0000}"/>
    <cellStyle name="Normal 5 17 2 4 3 7" xfId="36003" xr:uid="{00000000-0005-0000-0000-0000A38C0000}"/>
    <cellStyle name="Normal 5 17 2 4 3 8" xfId="36004" xr:uid="{00000000-0005-0000-0000-0000A48C0000}"/>
    <cellStyle name="Normal 5 17 2 4 3 9" xfId="36005" xr:uid="{00000000-0005-0000-0000-0000A58C0000}"/>
    <cellStyle name="Normal 5 17 2 4 4" xfId="36006" xr:uid="{00000000-0005-0000-0000-0000A68C0000}"/>
    <cellStyle name="Normal 5 17 2 4 4 10" xfId="36007" xr:uid="{00000000-0005-0000-0000-0000A78C0000}"/>
    <cellStyle name="Normal 5 17 2 4 4 2" xfId="36008" xr:uid="{00000000-0005-0000-0000-0000A88C0000}"/>
    <cellStyle name="Normal 5 17 2 4 4 3" xfId="36009" xr:uid="{00000000-0005-0000-0000-0000A98C0000}"/>
    <cellStyle name="Normal 5 17 2 4 4 4" xfId="36010" xr:uid="{00000000-0005-0000-0000-0000AA8C0000}"/>
    <cellStyle name="Normal 5 17 2 4 4 5" xfId="36011" xr:uid="{00000000-0005-0000-0000-0000AB8C0000}"/>
    <cellStyle name="Normal 5 17 2 4 4 6" xfId="36012" xr:uid="{00000000-0005-0000-0000-0000AC8C0000}"/>
    <cellStyle name="Normal 5 17 2 4 4 7" xfId="36013" xr:uid="{00000000-0005-0000-0000-0000AD8C0000}"/>
    <cellStyle name="Normal 5 17 2 4 4 8" xfId="36014" xr:uid="{00000000-0005-0000-0000-0000AE8C0000}"/>
    <cellStyle name="Normal 5 17 2 4 4 9" xfId="36015" xr:uid="{00000000-0005-0000-0000-0000AF8C0000}"/>
    <cellStyle name="Normal 5 17 2 4 5" xfId="36016" xr:uid="{00000000-0005-0000-0000-0000B08C0000}"/>
    <cellStyle name="Normal 5 17 2 4 5 10" xfId="36017" xr:uid="{00000000-0005-0000-0000-0000B18C0000}"/>
    <cellStyle name="Normal 5 17 2 4 5 2" xfId="36018" xr:uid="{00000000-0005-0000-0000-0000B28C0000}"/>
    <cellStyle name="Normal 5 17 2 4 5 3" xfId="36019" xr:uid="{00000000-0005-0000-0000-0000B38C0000}"/>
    <cellStyle name="Normal 5 17 2 4 5 4" xfId="36020" xr:uid="{00000000-0005-0000-0000-0000B48C0000}"/>
    <cellStyle name="Normal 5 17 2 4 5 5" xfId="36021" xr:uid="{00000000-0005-0000-0000-0000B58C0000}"/>
    <cellStyle name="Normal 5 17 2 4 5 6" xfId="36022" xr:uid="{00000000-0005-0000-0000-0000B68C0000}"/>
    <cellStyle name="Normal 5 17 2 4 5 7" xfId="36023" xr:uid="{00000000-0005-0000-0000-0000B78C0000}"/>
    <cellStyle name="Normal 5 17 2 4 5 8" xfId="36024" xr:uid="{00000000-0005-0000-0000-0000B88C0000}"/>
    <cellStyle name="Normal 5 17 2 4 5 9" xfId="36025" xr:uid="{00000000-0005-0000-0000-0000B98C0000}"/>
    <cellStyle name="Normal 5 17 2 4 6" xfId="36026" xr:uid="{00000000-0005-0000-0000-0000BA8C0000}"/>
    <cellStyle name="Normal 5 17 2 4 7" xfId="36027" xr:uid="{00000000-0005-0000-0000-0000BB8C0000}"/>
    <cellStyle name="Normal 5 17 2 4 8" xfId="36028" xr:uid="{00000000-0005-0000-0000-0000BC8C0000}"/>
    <cellStyle name="Normal 5 17 2 4 9" xfId="36029" xr:uid="{00000000-0005-0000-0000-0000BD8C0000}"/>
    <cellStyle name="Normal 5 17 2 40" xfId="36030" xr:uid="{00000000-0005-0000-0000-0000BE8C0000}"/>
    <cellStyle name="Normal 5 17 2 41" xfId="36031" xr:uid="{00000000-0005-0000-0000-0000BF8C0000}"/>
    <cellStyle name="Normal 5 17 2 42" xfId="36032" xr:uid="{00000000-0005-0000-0000-0000C08C0000}"/>
    <cellStyle name="Normal 5 17 2 43" xfId="36033" xr:uid="{00000000-0005-0000-0000-0000C18C0000}"/>
    <cellStyle name="Normal 5 17 2 44" xfId="36034" xr:uid="{00000000-0005-0000-0000-0000C28C0000}"/>
    <cellStyle name="Normal 5 17 2 45" xfId="36035" xr:uid="{00000000-0005-0000-0000-0000C38C0000}"/>
    <cellStyle name="Normal 5 17 2 46" xfId="36036" xr:uid="{00000000-0005-0000-0000-0000C48C0000}"/>
    <cellStyle name="Normal 5 17 2 47" xfId="36037" xr:uid="{00000000-0005-0000-0000-0000C58C0000}"/>
    <cellStyle name="Normal 5 17 2 48" xfId="36038" xr:uid="{00000000-0005-0000-0000-0000C68C0000}"/>
    <cellStyle name="Normal 5 17 2 5" xfId="36039" xr:uid="{00000000-0005-0000-0000-0000C78C0000}"/>
    <cellStyle name="Normal 5 17 2 5 10" xfId="36040" xr:uid="{00000000-0005-0000-0000-0000C88C0000}"/>
    <cellStyle name="Normal 5 17 2 5 11" xfId="36041" xr:uid="{00000000-0005-0000-0000-0000C98C0000}"/>
    <cellStyle name="Normal 5 17 2 5 12" xfId="36042" xr:uid="{00000000-0005-0000-0000-0000CA8C0000}"/>
    <cellStyle name="Normal 5 17 2 5 13" xfId="36043" xr:uid="{00000000-0005-0000-0000-0000CB8C0000}"/>
    <cellStyle name="Normal 5 17 2 5 14" xfId="36044" xr:uid="{00000000-0005-0000-0000-0000CC8C0000}"/>
    <cellStyle name="Normal 5 17 2 5 2" xfId="36045" xr:uid="{00000000-0005-0000-0000-0000CD8C0000}"/>
    <cellStyle name="Normal 5 17 2 5 2 10" xfId="36046" xr:uid="{00000000-0005-0000-0000-0000CE8C0000}"/>
    <cellStyle name="Normal 5 17 2 5 2 2" xfId="36047" xr:uid="{00000000-0005-0000-0000-0000CF8C0000}"/>
    <cellStyle name="Normal 5 17 2 5 2 3" xfId="36048" xr:uid="{00000000-0005-0000-0000-0000D08C0000}"/>
    <cellStyle name="Normal 5 17 2 5 2 4" xfId="36049" xr:uid="{00000000-0005-0000-0000-0000D18C0000}"/>
    <cellStyle name="Normal 5 17 2 5 2 5" xfId="36050" xr:uid="{00000000-0005-0000-0000-0000D28C0000}"/>
    <cellStyle name="Normal 5 17 2 5 2 6" xfId="36051" xr:uid="{00000000-0005-0000-0000-0000D38C0000}"/>
    <cellStyle name="Normal 5 17 2 5 2 7" xfId="36052" xr:uid="{00000000-0005-0000-0000-0000D48C0000}"/>
    <cellStyle name="Normal 5 17 2 5 2 8" xfId="36053" xr:uid="{00000000-0005-0000-0000-0000D58C0000}"/>
    <cellStyle name="Normal 5 17 2 5 2 9" xfId="36054" xr:uid="{00000000-0005-0000-0000-0000D68C0000}"/>
    <cellStyle name="Normal 5 17 2 5 3" xfId="36055" xr:uid="{00000000-0005-0000-0000-0000D78C0000}"/>
    <cellStyle name="Normal 5 17 2 5 3 10" xfId="36056" xr:uid="{00000000-0005-0000-0000-0000D88C0000}"/>
    <cellStyle name="Normal 5 17 2 5 3 2" xfId="36057" xr:uid="{00000000-0005-0000-0000-0000D98C0000}"/>
    <cellStyle name="Normal 5 17 2 5 3 3" xfId="36058" xr:uid="{00000000-0005-0000-0000-0000DA8C0000}"/>
    <cellStyle name="Normal 5 17 2 5 3 4" xfId="36059" xr:uid="{00000000-0005-0000-0000-0000DB8C0000}"/>
    <cellStyle name="Normal 5 17 2 5 3 5" xfId="36060" xr:uid="{00000000-0005-0000-0000-0000DC8C0000}"/>
    <cellStyle name="Normal 5 17 2 5 3 6" xfId="36061" xr:uid="{00000000-0005-0000-0000-0000DD8C0000}"/>
    <cellStyle name="Normal 5 17 2 5 3 7" xfId="36062" xr:uid="{00000000-0005-0000-0000-0000DE8C0000}"/>
    <cellStyle name="Normal 5 17 2 5 3 8" xfId="36063" xr:uid="{00000000-0005-0000-0000-0000DF8C0000}"/>
    <cellStyle name="Normal 5 17 2 5 3 9" xfId="36064" xr:uid="{00000000-0005-0000-0000-0000E08C0000}"/>
    <cellStyle name="Normal 5 17 2 5 4" xfId="36065" xr:uid="{00000000-0005-0000-0000-0000E18C0000}"/>
    <cellStyle name="Normal 5 17 2 5 4 10" xfId="36066" xr:uid="{00000000-0005-0000-0000-0000E28C0000}"/>
    <cellStyle name="Normal 5 17 2 5 4 2" xfId="36067" xr:uid="{00000000-0005-0000-0000-0000E38C0000}"/>
    <cellStyle name="Normal 5 17 2 5 4 3" xfId="36068" xr:uid="{00000000-0005-0000-0000-0000E48C0000}"/>
    <cellStyle name="Normal 5 17 2 5 4 4" xfId="36069" xr:uid="{00000000-0005-0000-0000-0000E58C0000}"/>
    <cellStyle name="Normal 5 17 2 5 4 5" xfId="36070" xr:uid="{00000000-0005-0000-0000-0000E68C0000}"/>
    <cellStyle name="Normal 5 17 2 5 4 6" xfId="36071" xr:uid="{00000000-0005-0000-0000-0000E78C0000}"/>
    <cellStyle name="Normal 5 17 2 5 4 7" xfId="36072" xr:uid="{00000000-0005-0000-0000-0000E88C0000}"/>
    <cellStyle name="Normal 5 17 2 5 4 8" xfId="36073" xr:uid="{00000000-0005-0000-0000-0000E98C0000}"/>
    <cellStyle name="Normal 5 17 2 5 4 9" xfId="36074" xr:uid="{00000000-0005-0000-0000-0000EA8C0000}"/>
    <cellStyle name="Normal 5 17 2 5 5" xfId="36075" xr:uid="{00000000-0005-0000-0000-0000EB8C0000}"/>
    <cellStyle name="Normal 5 17 2 5 5 10" xfId="36076" xr:uid="{00000000-0005-0000-0000-0000EC8C0000}"/>
    <cellStyle name="Normal 5 17 2 5 5 2" xfId="36077" xr:uid="{00000000-0005-0000-0000-0000ED8C0000}"/>
    <cellStyle name="Normal 5 17 2 5 5 3" xfId="36078" xr:uid="{00000000-0005-0000-0000-0000EE8C0000}"/>
    <cellStyle name="Normal 5 17 2 5 5 4" xfId="36079" xr:uid="{00000000-0005-0000-0000-0000EF8C0000}"/>
    <cellStyle name="Normal 5 17 2 5 5 5" xfId="36080" xr:uid="{00000000-0005-0000-0000-0000F08C0000}"/>
    <cellStyle name="Normal 5 17 2 5 5 6" xfId="36081" xr:uid="{00000000-0005-0000-0000-0000F18C0000}"/>
    <cellStyle name="Normal 5 17 2 5 5 7" xfId="36082" xr:uid="{00000000-0005-0000-0000-0000F28C0000}"/>
    <cellStyle name="Normal 5 17 2 5 5 8" xfId="36083" xr:uid="{00000000-0005-0000-0000-0000F38C0000}"/>
    <cellStyle name="Normal 5 17 2 5 5 9" xfId="36084" xr:uid="{00000000-0005-0000-0000-0000F48C0000}"/>
    <cellStyle name="Normal 5 17 2 5 6" xfId="36085" xr:uid="{00000000-0005-0000-0000-0000F58C0000}"/>
    <cellStyle name="Normal 5 17 2 5 7" xfId="36086" xr:uid="{00000000-0005-0000-0000-0000F68C0000}"/>
    <cellStyle name="Normal 5 17 2 5 8" xfId="36087" xr:uid="{00000000-0005-0000-0000-0000F78C0000}"/>
    <cellStyle name="Normal 5 17 2 5 9" xfId="36088" xr:uid="{00000000-0005-0000-0000-0000F88C0000}"/>
    <cellStyle name="Normal 5 17 2 6" xfId="36089" xr:uid="{00000000-0005-0000-0000-0000F98C0000}"/>
    <cellStyle name="Normal 5 17 2 6 10" xfId="36090" xr:uid="{00000000-0005-0000-0000-0000FA8C0000}"/>
    <cellStyle name="Normal 5 17 2 6 11" xfId="36091" xr:uid="{00000000-0005-0000-0000-0000FB8C0000}"/>
    <cellStyle name="Normal 5 17 2 6 12" xfId="36092" xr:uid="{00000000-0005-0000-0000-0000FC8C0000}"/>
    <cellStyle name="Normal 5 17 2 6 13" xfId="36093" xr:uid="{00000000-0005-0000-0000-0000FD8C0000}"/>
    <cellStyle name="Normal 5 17 2 6 14" xfId="36094" xr:uid="{00000000-0005-0000-0000-0000FE8C0000}"/>
    <cellStyle name="Normal 5 17 2 6 2" xfId="36095" xr:uid="{00000000-0005-0000-0000-0000FF8C0000}"/>
    <cellStyle name="Normal 5 17 2 6 2 10" xfId="36096" xr:uid="{00000000-0005-0000-0000-0000008D0000}"/>
    <cellStyle name="Normal 5 17 2 6 2 2" xfId="36097" xr:uid="{00000000-0005-0000-0000-0000018D0000}"/>
    <cellStyle name="Normal 5 17 2 6 2 3" xfId="36098" xr:uid="{00000000-0005-0000-0000-0000028D0000}"/>
    <cellStyle name="Normal 5 17 2 6 2 4" xfId="36099" xr:uid="{00000000-0005-0000-0000-0000038D0000}"/>
    <cellStyle name="Normal 5 17 2 6 2 5" xfId="36100" xr:uid="{00000000-0005-0000-0000-0000048D0000}"/>
    <cellStyle name="Normal 5 17 2 6 2 6" xfId="36101" xr:uid="{00000000-0005-0000-0000-0000058D0000}"/>
    <cellStyle name="Normal 5 17 2 6 2 7" xfId="36102" xr:uid="{00000000-0005-0000-0000-0000068D0000}"/>
    <cellStyle name="Normal 5 17 2 6 2 8" xfId="36103" xr:uid="{00000000-0005-0000-0000-0000078D0000}"/>
    <cellStyle name="Normal 5 17 2 6 2 9" xfId="36104" xr:uid="{00000000-0005-0000-0000-0000088D0000}"/>
    <cellStyle name="Normal 5 17 2 6 3" xfId="36105" xr:uid="{00000000-0005-0000-0000-0000098D0000}"/>
    <cellStyle name="Normal 5 17 2 6 3 10" xfId="36106" xr:uid="{00000000-0005-0000-0000-00000A8D0000}"/>
    <cellStyle name="Normal 5 17 2 6 3 2" xfId="36107" xr:uid="{00000000-0005-0000-0000-00000B8D0000}"/>
    <cellStyle name="Normal 5 17 2 6 3 3" xfId="36108" xr:uid="{00000000-0005-0000-0000-00000C8D0000}"/>
    <cellStyle name="Normal 5 17 2 6 3 4" xfId="36109" xr:uid="{00000000-0005-0000-0000-00000D8D0000}"/>
    <cellStyle name="Normal 5 17 2 6 3 5" xfId="36110" xr:uid="{00000000-0005-0000-0000-00000E8D0000}"/>
    <cellStyle name="Normal 5 17 2 6 3 6" xfId="36111" xr:uid="{00000000-0005-0000-0000-00000F8D0000}"/>
    <cellStyle name="Normal 5 17 2 6 3 7" xfId="36112" xr:uid="{00000000-0005-0000-0000-0000108D0000}"/>
    <cellStyle name="Normal 5 17 2 6 3 8" xfId="36113" xr:uid="{00000000-0005-0000-0000-0000118D0000}"/>
    <cellStyle name="Normal 5 17 2 6 3 9" xfId="36114" xr:uid="{00000000-0005-0000-0000-0000128D0000}"/>
    <cellStyle name="Normal 5 17 2 6 4" xfId="36115" xr:uid="{00000000-0005-0000-0000-0000138D0000}"/>
    <cellStyle name="Normal 5 17 2 6 4 10" xfId="36116" xr:uid="{00000000-0005-0000-0000-0000148D0000}"/>
    <cellStyle name="Normal 5 17 2 6 4 2" xfId="36117" xr:uid="{00000000-0005-0000-0000-0000158D0000}"/>
    <cellStyle name="Normal 5 17 2 6 4 3" xfId="36118" xr:uid="{00000000-0005-0000-0000-0000168D0000}"/>
    <cellStyle name="Normal 5 17 2 6 4 4" xfId="36119" xr:uid="{00000000-0005-0000-0000-0000178D0000}"/>
    <cellStyle name="Normal 5 17 2 6 4 5" xfId="36120" xr:uid="{00000000-0005-0000-0000-0000188D0000}"/>
    <cellStyle name="Normal 5 17 2 6 4 6" xfId="36121" xr:uid="{00000000-0005-0000-0000-0000198D0000}"/>
    <cellStyle name="Normal 5 17 2 6 4 7" xfId="36122" xr:uid="{00000000-0005-0000-0000-00001A8D0000}"/>
    <cellStyle name="Normal 5 17 2 6 4 8" xfId="36123" xr:uid="{00000000-0005-0000-0000-00001B8D0000}"/>
    <cellStyle name="Normal 5 17 2 6 4 9" xfId="36124" xr:uid="{00000000-0005-0000-0000-00001C8D0000}"/>
    <cellStyle name="Normal 5 17 2 6 5" xfId="36125" xr:uid="{00000000-0005-0000-0000-00001D8D0000}"/>
    <cellStyle name="Normal 5 17 2 6 5 10" xfId="36126" xr:uid="{00000000-0005-0000-0000-00001E8D0000}"/>
    <cellStyle name="Normal 5 17 2 6 5 2" xfId="36127" xr:uid="{00000000-0005-0000-0000-00001F8D0000}"/>
    <cellStyle name="Normal 5 17 2 6 5 3" xfId="36128" xr:uid="{00000000-0005-0000-0000-0000208D0000}"/>
    <cellStyle name="Normal 5 17 2 6 5 4" xfId="36129" xr:uid="{00000000-0005-0000-0000-0000218D0000}"/>
    <cellStyle name="Normal 5 17 2 6 5 5" xfId="36130" xr:uid="{00000000-0005-0000-0000-0000228D0000}"/>
    <cellStyle name="Normal 5 17 2 6 5 6" xfId="36131" xr:uid="{00000000-0005-0000-0000-0000238D0000}"/>
    <cellStyle name="Normal 5 17 2 6 5 7" xfId="36132" xr:uid="{00000000-0005-0000-0000-0000248D0000}"/>
    <cellStyle name="Normal 5 17 2 6 5 8" xfId="36133" xr:uid="{00000000-0005-0000-0000-0000258D0000}"/>
    <cellStyle name="Normal 5 17 2 6 5 9" xfId="36134" xr:uid="{00000000-0005-0000-0000-0000268D0000}"/>
    <cellStyle name="Normal 5 17 2 6 6" xfId="36135" xr:uid="{00000000-0005-0000-0000-0000278D0000}"/>
    <cellStyle name="Normal 5 17 2 6 7" xfId="36136" xr:uid="{00000000-0005-0000-0000-0000288D0000}"/>
    <cellStyle name="Normal 5 17 2 6 8" xfId="36137" xr:uid="{00000000-0005-0000-0000-0000298D0000}"/>
    <cellStyle name="Normal 5 17 2 6 9" xfId="36138" xr:uid="{00000000-0005-0000-0000-00002A8D0000}"/>
    <cellStyle name="Normal 5 17 2 7" xfId="36139" xr:uid="{00000000-0005-0000-0000-00002B8D0000}"/>
    <cellStyle name="Normal 5 17 2 7 10" xfId="36140" xr:uid="{00000000-0005-0000-0000-00002C8D0000}"/>
    <cellStyle name="Normal 5 17 2 7 11" xfId="36141" xr:uid="{00000000-0005-0000-0000-00002D8D0000}"/>
    <cellStyle name="Normal 5 17 2 7 12" xfId="36142" xr:uid="{00000000-0005-0000-0000-00002E8D0000}"/>
    <cellStyle name="Normal 5 17 2 7 13" xfId="36143" xr:uid="{00000000-0005-0000-0000-00002F8D0000}"/>
    <cellStyle name="Normal 5 17 2 7 14" xfId="36144" xr:uid="{00000000-0005-0000-0000-0000308D0000}"/>
    <cellStyle name="Normal 5 17 2 7 2" xfId="36145" xr:uid="{00000000-0005-0000-0000-0000318D0000}"/>
    <cellStyle name="Normal 5 17 2 7 2 10" xfId="36146" xr:uid="{00000000-0005-0000-0000-0000328D0000}"/>
    <cellStyle name="Normal 5 17 2 7 2 2" xfId="36147" xr:uid="{00000000-0005-0000-0000-0000338D0000}"/>
    <cellStyle name="Normal 5 17 2 7 2 3" xfId="36148" xr:uid="{00000000-0005-0000-0000-0000348D0000}"/>
    <cellStyle name="Normal 5 17 2 7 2 4" xfId="36149" xr:uid="{00000000-0005-0000-0000-0000358D0000}"/>
    <cellStyle name="Normal 5 17 2 7 2 5" xfId="36150" xr:uid="{00000000-0005-0000-0000-0000368D0000}"/>
    <cellStyle name="Normal 5 17 2 7 2 6" xfId="36151" xr:uid="{00000000-0005-0000-0000-0000378D0000}"/>
    <cellStyle name="Normal 5 17 2 7 2 7" xfId="36152" xr:uid="{00000000-0005-0000-0000-0000388D0000}"/>
    <cellStyle name="Normal 5 17 2 7 2 8" xfId="36153" xr:uid="{00000000-0005-0000-0000-0000398D0000}"/>
    <cellStyle name="Normal 5 17 2 7 2 9" xfId="36154" xr:uid="{00000000-0005-0000-0000-00003A8D0000}"/>
    <cellStyle name="Normal 5 17 2 7 3" xfId="36155" xr:uid="{00000000-0005-0000-0000-00003B8D0000}"/>
    <cellStyle name="Normal 5 17 2 7 3 10" xfId="36156" xr:uid="{00000000-0005-0000-0000-00003C8D0000}"/>
    <cellStyle name="Normal 5 17 2 7 3 2" xfId="36157" xr:uid="{00000000-0005-0000-0000-00003D8D0000}"/>
    <cellStyle name="Normal 5 17 2 7 3 3" xfId="36158" xr:uid="{00000000-0005-0000-0000-00003E8D0000}"/>
    <cellStyle name="Normal 5 17 2 7 3 4" xfId="36159" xr:uid="{00000000-0005-0000-0000-00003F8D0000}"/>
    <cellStyle name="Normal 5 17 2 7 3 5" xfId="36160" xr:uid="{00000000-0005-0000-0000-0000408D0000}"/>
    <cellStyle name="Normal 5 17 2 7 3 6" xfId="36161" xr:uid="{00000000-0005-0000-0000-0000418D0000}"/>
    <cellStyle name="Normal 5 17 2 7 3 7" xfId="36162" xr:uid="{00000000-0005-0000-0000-0000428D0000}"/>
    <cellStyle name="Normal 5 17 2 7 3 8" xfId="36163" xr:uid="{00000000-0005-0000-0000-0000438D0000}"/>
    <cellStyle name="Normal 5 17 2 7 3 9" xfId="36164" xr:uid="{00000000-0005-0000-0000-0000448D0000}"/>
    <cellStyle name="Normal 5 17 2 7 4" xfId="36165" xr:uid="{00000000-0005-0000-0000-0000458D0000}"/>
    <cellStyle name="Normal 5 17 2 7 4 10" xfId="36166" xr:uid="{00000000-0005-0000-0000-0000468D0000}"/>
    <cellStyle name="Normal 5 17 2 7 4 2" xfId="36167" xr:uid="{00000000-0005-0000-0000-0000478D0000}"/>
    <cellStyle name="Normal 5 17 2 7 4 3" xfId="36168" xr:uid="{00000000-0005-0000-0000-0000488D0000}"/>
    <cellStyle name="Normal 5 17 2 7 4 4" xfId="36169" xr:uid="{00000000-0005-0000-0000-0000498D0000}"/>
    <cellStyle name="Normal 5 17 2 7 4 5" xfId="36170" xr:uid="{00000000-0005-0000-0000-00004A8D0000}"/>
    <cellStyle name="Normal 5 17 2 7 4 6" xfId="36171" xr:uid="{00000000-0005-0000-0000-00004B8D0000}"/>
    <cellStyle name="Normal 5 17 2 7 4 7" xfId="36172" xr:uid="{00000000-0005-0000-0000-00004C8D0000}"/>
    <cellStyle name="Normal 5 17 2 7 4 8" xfId="36173" xr:uid="{00000000-0005-0000-0000-00004D8D0000}"/>
    <cellStyle name="Normal 5 17 2 7 4 9" xfId="36174" xr:uid="{00000000-0005-0000-0000-00004E8D0000}"/>
    <cellStyle name="Normal 5 17 2 7 5" xfId="36175" xr:uid="{00000000-0005-0000-0000-00004F8D0000}"/>
    <cellStyle name="Normal 5 17 2 7 5 10" xfId="36176" xr:uid="{00000000-0005-0000-0000-0000508D0000}"/>
    <cellStyle name="Normal 5 17 2 7 5 2" xfId="36177" xr:uid="{00000000-0005-0000-0000-0000518D0000}"/>
    <cellStyle name="Normal 5 17 2 7 5 3" xfId="36178" xr:uid="{00000000-0005-0000-0000-0000528D0000}"/>
    <cellStyle name="Normal 5 17 2 7 5 4" xfId="36179" xr:uid="{00000000-0005-0000-0000-0000538D0000}"/>
    <cellStyle name="Normal 5 17 2 7 5 5" xfId="36180" xr:uid="{00000000-0005-0000-0000-0000548D0000}"/>
    <cellStyle name="Normal 5 17 2 7 5 6" xfId="36181" xr:uid="{00000000-0005-0000-0000-0000558D0000}"/>
    <cellStyle name="Normal 5 17 2 7 5 7" xfId="36182" xr:uid="{00000000-0005-0000-0000-0000568D0000}"/>
    <cellStyle name="Normal 5 17 2 7 5 8" xfId="36183" xr:uid="{00000000-0005-0000-0000-0000578D0000}"/>
    <cellStyle name="Normal 5 17 2 7 5 9" xfId="36184" xr:uid="{00000000-0005-0000-0000-0000588D0000}"/>
    <cellStyle name="Normal 5 17 2 7 6" xfId="36185" xr:uid="{00000000-0005-0000-0000-0000598D0000}"/>
    <cellStyle name="Normal 5 17 2 7 7" xfId="36186" xr:uid="{00000000-0005-0000-0000-00005A8D0000}"/>
    <cellStyle name="Normal 5 17 2 7 8" xfId="36187" xr:uid="{00000000-0005-0000-0000-00005B8D0000}"/>
    <cellStyle name="Normal 5 17 2 7 9" xfId="36188" xr:uid="{00000000-0005-0000-0000-00005C8D0000}"/>
    <cellStyle name="Normal 5 17 2 8" xfId="36189" xr:uid="{00000000-0005-0000-0000-00005D8D0000}"/>
    <cellStyle name="Normal 5 17 2 8 10" xfId="36190" xr:uid="{00000000-0005-0000-0000-00005E8D0000}"/>
    <cellStyle name="Normal 5 17 2 8 11" xfId="36191" xr:uid="{00000000-0005-0000-0000-00005F8D0000}"/>
    <cellStyle name="Normal 5 17 2 8 12" xfId="36192" xr:uid="{00000000-0005-0000-0000-0000608D0000}"/>
    <cellStyle name="Normal 5 17 2 8 13" xfId="36193" xr:uid="{00000000-0005-0000-0000-0000618D0000}"/>
    <cellStyle name="Normal 5 17 2 8 14" xfId="36194" xr:uid="{00000000-0005-0000-0000-0000628D0000}"/>
    <cellStyle name="Normal 5 17 2 8 2" xfId="36195" xr:uid="{00000000-0005-0000-0000-0000638D0000}"/>
    <cellStyle name="Normal 5 17 2 8 2 10" xfId="36196" xr:uid="{00000000-0005-0000-0000-0000648D0000}"/>
    <cellStyle name="Normal 5 17 2 8 2 2" xfId="36197" xr:uid="{00000000-0005-0000-0000-0000658D0000}"/>
    <cellStyle name="Normal 5 17 2 8 2 3" xfId="36198" xr:uid="{00000000-0005-0000-0000-0000668D0000}"/>
    <cellStyle name="Normal 5 17 2 8 2 4" xfId="36199" xr:uid="{00000000-0005-0000-0000-0000678D0000}"/>
    <cellStyle name="Normal 5 17 2 8 2 5" xfId="36200" xr:uid="{00000000-0005-0000-0000-0000688D0000}"/>
    <cellStyle name="Normal 5 17 2 8 2 6" xfId="36201" xr:uid="{00000000-0005-0000-0000-0000698D0000}"/>
    <cellStyle name="Normal 5 17 2 8 2 7" xfId="36202" xr:uid="{00000000-0005-0000-0000-00006A8D0000}"/>
    <cellStyle name="Normal 5 17 2 8 2 8" xfId="36203" xr:uid="{00000000-0005-0000-0000-00006B8D0000}"/>
    <cellStyle name="Normal 5 17 2 8 2 9" xfId="36204" xr:uid="{00000000-0005-0000-0000-00006C8D0000}"/>
    <cellStyle name="Normal 5 17 2 8 3" xfId="36205" xr:uid="{00000000-0005-0000-0000-00006D8D0000}"/>
    <cellStyle name="Normal 5 17 2 8 3 10" xfId="36206" xr:uid="{00000000-0005-0000-0000-00006E8D0000}"/>
    <cellStyle name="Normal 5 17 2 8 3 2" xfId="36207" xr:uid="{00000000-0005-0000-0000-00006F8D0000}"/>
    <cellStyle name="Normal 5 17 2 8 3 3" xfId="36208" xr:uid="{00000000-0005-0000-0000-0000708D0000}"/>
    <cellStyle name="Normal 5 17 2 8 3 4" xfId="36209" xr:uid="{00000000-0005-0000-0000-0000718D0000}"/>
    <cellStyle name="Normal 5 17 2 8 3 5" xfId="36210" xr:uid="{00000000-0005-0000-0000-0000728D0000}"/>
    <cellStyle name="Normal 5 17 2 8 3 6" xfId="36211" xr:uid="{00000000-0005-0000-0000-0000738D0000}"/>
    <cellStyle name="Normal 5 17 2 8 3 7" xfId="36212" xr:uid="{00000000-0005-0000-0000-0000748D0000}"/>
    <cellStyle name="Normal 5 17 2 8 3 8" xfId="36213" xr:uid="{00000000-0005-0000-0000-0000758D0000}"/>
    <cellStyle name="Normal 5 17 2 8 3 9" xfId="36214" xr:uid="{00000000-0005-0000-0000-0000768D0000}"/>
    <cellStyle name="Normal 5 17 2 8 4" xfId="36215" xr:uid="{00000000-0005-0000-0000-0000778D0000}"/>
    <cellStyle name="Normal 5 17 2 8 4 10" xfId="36216" xr:uid="{00000000-0005-0000-0000-0000788D0000}"/>
    <cellStyle name="Normal 5 17 2 8 4 2" xfId="36217" xr:uid="{00000000-0005-0000-0000-0000798D0000}"/>
    <cellStyle name="Normal 5 17 2 8 4 3" xfId="36218" xr:uid="{00000000-0005-0000-0000-00007A8D0000}"/>
    <cellStyle name="Normal 5 17 2 8 4 4" xfId="36219" xr:uid="{00000000-0005-0000-0000-00007B8D0000}"/>
    <cellStyle name="Normal 5 17 2 8 4 5" xfId="36220" xr:uid="{00000000-0005-0000-0000-00007C8D0000}"/>
    <cellStyle name="Normal 5 17 2 8 4 6" xfId="36221" xr:uid="{00000000-0005-0000-0000-00007D8D0000}"/>
    <cellStyle name="Normal 5 17 2 8 4 7" xfId="36222" xr:uid="{00000000-0005-0000-0000-00007E8D0000}"/>
    <cellStyle name="Normal 5 17 2 8 4 8" xfId="36223" xr:uid="{00000000-0005-0000-0000-00007F8D0000}"/>
    <cellStyle name="Normal 5 17 2 8 4 9" xfId="36224" xr:uid="{00000000-0005-0000-0000-0000808D0000}"/>
    <cellStyle name="Normal 5 17 2 8 5" xfId="36225" xr:uid="{00000000-0005-0000-0000-0000818D0000}"/>
    <cellStyle name="Normal 5 17 2 8 5 10" xfId="36226" xr:uid="{00000000-0005-0000-0000-0000828D0000}"/>
    <cellStyle name="Normal 5 17 2 8 5 2" xfId="36227" xr:uid="{00000000-0005-0000-0000-0000838D0000}"/>
    <cellStyle name="Normal 5 17 2 8 5 3" xfId="36228" xr:uid="{00000000-0005-0000-0000-0000848D0000}"/>
    <cellStyle name="Normal 5 17 2 8 5 4" xfId="36229" xr:uid="{00000000-0005-0000-0000-0000858D0000}"/>
    <cellStyle name="Normal 5 17 2 8 5 5" xfId="36230" xr:uid="{00000000-0005-0000-0000-0000868D0000}"/>
    <cellStyle name="Normal 5 17 2 8 5 6" xfId="36231" xr:uid="{00000000-0005-0000-0000-0000878D0000}"/>
    <cellStyle name="Normal 5 17 2 8 5 7" xfId="36232" xr:uid="{00000000-0005-0000-0000-0000888D0000}"/>
    <cellStyle name="Normal 5 17 2 8 5 8" xfId="36233" xr:uid="{00000000-0005-0000-0000-0000898D0000}"/>
    <cellStyle name="Normal 5 17 2 8 5 9" xfId="36234" xr:uid="{00000000-0005-0000-0000-00008A8D0000}"/>
    <cellStyle name="Normal 5 17 2 8 6" xfId="36235" xr:uid="{00000000-0005-0000-0000-00008B8D0000}"/>
    <cellStyle name="Normal 5 17 2 8 7" xfId="36236" xr:uid="{00000000-0005-0000-0000-00008C8D0000}"/>
    <cellStyle name="Normal 5 17 2 8 8" xfId="36237" xr:uid="{00000000-0005-0000-0000-00008D8D0000}"/>
    <cellStyle name="Normal 5 17 2 8 9" xfId="36238" xr:uid="{00000000-0005-0000-0000-00008E8D0000}"/>
    <cellStyle name="Normal 5 17 2 9" xfId="36239" xr:uid="{00000000-0005-0000-0000-00008F8D0000}"/>
    <cellStyle name="Normal 5 17 2 9 10" xfId="36240" xr:uid="{00000000-0005-0000-0000-0000908D0000}"/>
    <cellStyle name="Normal 5 17 2 9 11" xfId="36241" xr:uid="{00000000-0005-0000-0000-0000918D0000}"/>
    <cellStyle name="Normal 5 17 2 9 12" xfId="36242" xr:uid="{00000000-0005-0000-0000-0000928D0000}"/>
    <cellStyle name="Normal 5 17 2 9 13" xfId="36243" xr:uid="{00000000-0005-0000-0000-0000938D0000}"/>
    <cellStyle name="Normal 5 17 2 9 14" xfId="36244" xr:uid="{00000000-0005-0000-0000-0000948D0000}"/>
    <cellStyle name="Normal 5 17 2 9 2" xfId="36245" xr:uid="{00000000-0005-0000-0000-0000958D0000}"/>
    <cellStyle name="Normal 5 17 2 9 2 10" xfId="36246" xr:uid="{00000000-0005-0000-0000-0000968D0000}"/>
    <cellStyle name="Normal 5 17 2 9 2 2" xfId="36247" xr:uid="{00000000-0005-0000-0000-0000978D0000}"/>
    <cellStyle name="Normal 5 17 2 9 2 3" xfId="36248" xr:uid="{00000000-0005-0000-0000-0000988D0000}"/>
    <cellStyle name="Normal 5 17 2 9 2 4" xfId="36249" xr:uid="{00000000-0005-0000-0000-0000998D0000}"/>
    <cellStyle name="Normal 5 17 2 9 2 5" xfId="36250" xr:uid="{00000000-0005-0000-0000-00009A8D0000}"/>
    <cellStyle name="Normal 5 17 2 9 2 6" xfId="36251" xr:uid="{00000000-0005-0000-0000-00009B8D0000}"/>
    <cellStyle name="Normal 5 17 2 9 2 7" xfId="36252" xr:uid="{00000000-0005-0000-0000-00009C8D0000}"/>
    <cellStyle name="Normal 5 17 2 9 2 8" xfId="36253" xr:uid="{00000000-0005-0000-0000-00009D8D0000}"/>
    <cellStyle name="Normal 5 17 2 9 2 9" xfId="36254" xr:uid="{00000000-0005-0000-0000-00009E8D0000}"/>
    <cellStyle name="Normal 5 17 2 9 3" xfId="36255" xr:uid="{00000000-0005-0000-0000-00009F8D0000}"/>
    <cellStyle name="Normal 5 17 2 9 3 10" xfId="36256" xr:uid="{00000000-0005-0000-0000-0000A08D0000}"/>
    <cellStyle name="Normal 5 17 2 9 3 2" xfId="36257" xr:uid="{00000000-0005-0000-0000-0000A18D0000}"/>
    <cellStyle name="Normal 5 17 2 9 3 3" xfId="36258" xr:uid="{00000000-0005-0000-0000-0000A28D0000}"/>
    <cellStyle name="Normal 5 17 2 9 3 4" xfId="36259" xr:uid="{00000000-0005-0000-0000-0000A38D0000}"/>
    <cellStyle name="Normal 5 17 2 9 3 5" xfId="36260" xr:uid="{00000000-0005-0000-0000-0000A48D0000}"/>
    <cellStyle name="Normal 5 17 2 9 3 6" xfId="36261" xr:uid="{00000000-0005-0000-0000-0000A58D0000}"/>
    <cellStyle name="Normal 5 17 2 9 3 7" xfId="36262" xr:uid="{00000000-0005-0000-0000-0000A68D0000}"/>
    <cellStyle name="Normal 5 17 2 9 3 8" xfId="36263" xr:uid="{00000000-0005-0000-0000-0000A78D0000}"/>
    <cellStyle name="Normal 5 17 2 9 3 9" xfId="36264" xr:uid="{00000000-0005-0000-0000-0000A88D0000}"/>
    <cellStyle name="Normal 5 17 2 9 4" xfId="36265" xr:uid="{00000000-0005-0000-0000-0000A98D0000}"/>
    <cellStyle name="Normal 5 17 2 9 4 10" xfId="36266" xr:uid="{00000000-0005-0000-0000-0000AA8D0000}"/>
    <cellStyle name="Normal 5 17 2 9 4 2" xfId="36267" xr:uid="{00000000-0005-0000-0000-0000AB8D0000}"/>
    <cellStyle name="Normal 5 17 2 9 4 3" xfId="36268" xr:uid="{00000000-0005-0000-0000-0000AC8D0000}"/>
    <cellStyle name="Normal 5 17 2 9 4 4" xfId="36269" xr:uid="{00000000-0005-0000-0000-0000AD8D0000}"/>
    <cellStyle name="Normal 5 17 2 9 4 5" xfId="36270" xr:uid="{00000000-0005-0000-0000-0000AE8D0000}"/>
    <cellStyle name="Normal 5 17 2 9 4 6" xfId="36271" xr:uid="{00000000-0005-0000-0000-0000AF8D0000}"/>
    <cellStyle name="Normal 5 17 2 9 4 7" xfId="36272" xr:uid="{00000000-0005-0000-0000-0000B08D0000}"/>
    <cellStyle name="Normal 5 17 2 9 4 8" xfId="36273" xr:uid="{00000000-0005-0000-0000-0000B18D0000}"/>
    <cellStyle name="Normal 5 17 2 9 4 9" xfId="36274" xr:uid="{00000000-0005-0000-0000-0000B28D0000}"/>
    <cellStyle name="Normal 5 17 2 9 5" xfId="36275" xr:uid="{00000000-0005-0000-0000-0000B38D0000}"/>
    <cellStyle name="Normal 5 17 2 9 5 10" xfId="36276" xr:uid="{00000000-0005-0000-0000-0000B48D0000}"/>
    <cellStyle name="Normal 5 17 2 9 5 2" xfId="36277" xr:uid="{00000000-0005-0000-0000-0000B58D0000}"/>
    <cellStyle name="Normal 5 17 2 9 5 3" xfId="36278" xr:uid="{00000000-0005-0000-0000-0000B68D0000}"/>
    <cellStyle name="Normal 5 17 2 9 5 4" xfId="36279" xr:uid="{00000000-0005-0000-0000-0000B78D0000}"/>
    <cellStyle name="Normal 5 17 2 9 5 5" xfId="36280" xr:uid="{00000000-0005-0000-0000-0000B88D0000}"/>
    <cellStyle name="Normal 5 17 2 9 5 6" xfId="36281" xr:uid="{00000000-0005-0000-0000-0000B98D0000}"/>
    <cellStyle name="Normal 5 17 2 9 5 7" xfId="36282" xr:uid="{00000000-0005-0000-0000-0000BA8D0000}"/>
    <cellStyle name="Normal 5 17 2 9 5 8" xfId="36283" xr:uid="{00000000-0005-0000-0000-0000BB8D0000}"/>
    <cellStyle name="Normal 5 17 2 9 5 9" xfId="36284" xr:uid="{00000000-0005-0000-0000-0000BC8D0000}"/>
    <cellStyle name="Normal 5 17 2 9 6" xfId="36285" xr:uid="{00000000-0005-0000-0000-0000BD8D0000}"/>
    <cellStyle name="Normal 5 17 2 9 7" xfId="36286" xr:uid="{00000000-0005-0000-0000-0000BE8D0000}"/>
    <cellStyle name="Normal 5 17 2 9 8" xfId="36287" xr:uid="{00000000-0005-0000-0000-0000BF8D0000}"/>
    <cellStyle name="Normal 5 17 2 9 9" xfId="36288" xr:uid="{00000000-0005-0000-0000-0000C08D0000}"/>
    <cellStyle name="Normal 5 17 20" xfId="36289" xr:uid="{00000000-0005-0000-0000-0000C18D0000}"/>
    <cellStyle name="Normal 5 17 20 10" xfId="36290" xr:uid="{00000000-0005-0000-0000-0000C28D0000}"/>
    <cellStyle name="Normal 5 17 20 11" xfId="36291" xr:uid="{00000000-0005-0000-0000-0000C38D0000}"/>
    <cellStyle name="Normal 5 17 20 12" xfId="36292" xr:uid="{00000000-0005-0000-0000-0000C48D0000}"/>
    <cellStyle name="Normal 5 17 20 13" xfId="36293" xr:uid="{00000000-0005-0000-0000-0000C58D0000}"/>
    <cellStyle name="Normal 5 17 20 14" xfId="36294" xr:uid="{00000000-0005-0000-0000-0000C68D0000}"/>
    <cellStyle name="Normal 5 17 20 2" xfId="36295" xr:uid="{00000000-0005-0000-0000-0000C78D0000}"/>
    <cellStyle name="Normal 5 17 20 2 10" xfId="36296" xr:uid="{00000000-0005-0000-0000-0000C88D0000}"/>
    <cellStyle name="Normal 5 17 20 2 2" xfId="36297" xr:uid="{00000000-0005-0000-0000-0000C98D0000}"/>
    <cellStyle name="Normal 5 17 20 2 3" xfId="36298" xr:uid="{00000000-0005-0000-0000-0000CA8D0000}"/>
    <cellStyle name="Normal 5 17 20 2 4" xfId="36299" xr:uid="{00000000-0005-0000-0000-0000CB8D0000}"/>
    <cellStyle name="Normal 5 17 20 2 5" xfId="36300" xr:uid="{00000000-0005-0000-0000-0000CC8D0000}"/>
    <cellStyle name="Normal 5 17 20 2 6" xfId="36301" xr:uid="{00000000-0005-0000-0000-0000CD8D0000}"/>
    <cellStyle name="Normal 5 17 20 2 7" xfId="36302" xr:uid="{00000000-0005-0000-0000-0000CE8D0000}"/>
    <cellStyle name="Normal 5 17 20 2 8" xfId="36303" xr:uid="{00000000-0005-0000-0000-0000CF8D0000}"/>
    <cellStyle name="Normal 5 17 20 2 9" xfId="36304" xr:uid="{00000000-0005-0000-0000-0000D08D0000}"/>
    <cellStyle name="Normal 5 17 20 3" xfId="36305" xr:uid="{00000000-0005-0000-0000-0000D18D0000}"/>
    <cellStyle name="Normal 5 17 20 3 10" xfId="36306" xr:uid="{00000000-0005-0000-0000-0000D28D0000}"/>
    <cellStyle name="Normal 5 17 20 3 2" xfId="36307" xr:uid="{00000000-0005-0000-0000-0000D38D0000}"/>
    <cellStyle name="Normal 5 17 20 3 3" xfId="36308" xr:uid="{00000000-0005-0000-0000-0000D48D0000}"/>
    <cellStyle name="Normal 5 17 20 3 4" xfId="36309" xr:uid="{00000000-0005-0000-0000-0000D58D0000}"/>
    <cellStyle name="Normal 5 17 20 3 5" xfId="36310" xr:uid="{00000000-0005-0000-0000-0000D68D0000}"/>
    <cellStyle name="Normal 5 17 20 3 6" xfId="36311" xr:uid="{00000000-0005-0000-0000-0000D78D0000}"/>
    <cellStyle name="Normal 5 17 20 3 7" xfId="36312" xr:uid="{00000000-0005-0000-0000-0000D88D0000}"/>
    <cellStyle name="Normal 5 17 20 3 8" xfId="36313" xr:uid="{00000000-0005-0000-0000-0000D98D0000}"/>
    <cellStyle name="Normal 5 17 20 3 9" xfId="36314" xr:uid="{00000000-0005-0000-0000-0000DA8D0000}"/>
    <cellStyle name="Normal 5 17 20 4" xfId="36315" xr:uid="{00000000-0005-0000-0000-0000DB8D0000}"/>
    <cellStyle name="Normal 5 17 20 4 10" xfId="36316" xr:uid="{00000000-0005-0000-0000-0000DC8D0000}"/>
    <cellStyle name="Normal 5 17 20 4 2" xfId="36317" xr:uid="{00000000-0005-0000-0000-0000DD8D0000}"/>
    <cellStyle name="Normal 5 17 20 4 3" xfId="36318" xr:uid="{00000000-0005-0000-0000-0000DE8D0000}"/>
    <cellStyle name="Normal 5 17 20 4 4" xfId="36319" xr:uid="{00000000-0005-0000-0000-0000DF8D0000}"/>
    <cellStyle name="Normal 5 17 20 4 5" xfId="36320" xr:uid="{00000000-0005-0000-0000-0000E08D0000}"/>
    <cellStyle name="Normal 5 17 20 4 6" xfId="36321" xr:uid="{00000000-0005-0000-0000-0000E18D0000}"/>
    <cellStyle name="Normal 5 17 20 4 7" xfId="36322" xr:uid="{00000000-0005-0000-0000-0000E28D0000}"/>
    <cellStyle name="Normal 5 17 20 4 8" xfId="36323" xr:uid="{00000000-0005-0000-0000-0000E38D0000}"/>
    <cellStyle name="Normal 5 17 20 4 9" xfId="36324" xr:uid="{00000000-0005-0000-0000-0000E48D0000}"/>
    <cellStyle name="Normal 5 17 20 5" xfId="36325" xr:uid="{00000000-0005-0000-0000-0000E58D0000}"/>
    <cellStyle name="Normal 5 17 20 5 10" xfId="36326" xr:uid="{00000000-0005-0000-0000-0000E68D0000}"/>
    <cellStyle name="Normal 5 17 20 5 2" xfId="36327" xr:uid="{00000000-0005-0000-0000-0000E78D0000}"/>
    <cellStyle name="Normal 5 17 20 5 3" xfId="36328" xr:uid="{00000000-0005-0000-0000-0000E88D0000}"/>
    <cellStyle name="Normal 5 17 20 5 4" xfId="36329" xr:uid="{00000000-0005-0000-0000-0000E98D0000}"/>
    <cellStyle name="Normal 5 17 20 5 5" xfId="36330" xr:uid="{00000000-0005-0000-0000-0000EA8D0000}"/>
    <cellStyle name="Normal 5 17 20 5 6" xfId="36331" xr:uid="{00000000-0005-0000-0000-0000EB8D0000}"/>
    <cellStyle name="Normal 5 17 20 5 7" xfId="36332" xr:uid="{00000000-0005-0000-0000-0000EC8D0000}"/>
    <cellStyle name="Normal 5 17 20 5 8" xfId="36333" xr:uid="{00000000-0005-0000-0000-0000ED8D0000}"/>
    <cellStyle name="Normal 5 17 20 5 9" xfId="36334" xr:uid="{00000000-0005-0000-0000-0000EE8D0000}"/>
    <cellStyle name="Normal 5 17 20 6" xfId="36335" xr:uid="{00000000-0005-0000-0000-0000EF8D0000}"/>
    <cellStyle name="Normal 5 17 20 7" xfId="36336" xr:uid="{00000000-0005-0000-0000-0000F08D0000}"/>
    <cellStyle name="Normal 5 17 20 8" xfId="36337" xr:uid="{00000000-0005-0000-0000-0000F18D0000}"/>
    <cellStyle name="Normal 5 17 20 9" xfId="36338" xr:uid="{00000000-0005-0000-0000-0000F28D0000}"/>
    <cellStyle name="Normal 5 17 21" xfId="36339" xr:uid="{00000000-0005-0000-0000-0000F38D0000}"/>
    <cellStyle name="Normal 5 17 21 10" xfId="36340" xr:uid="{00000000-0005-0000-0000-0000F48D0000}"/>
    <cellStyle name="Normal 5 17 21 11" xfId="36341" xr:uid="{00000000-0005-0000-0000-0000F58D0000}"/>
    <cellStyle name="Normal 5 17 21 12" xfId="36342" xr:uid="{00000000-0005-0000-0000-0000F68D0000}"/>
    <cellStyle name="Normal 5 17 21 13" xfId="36343" xr:uid="{00000000-0005-0000-0000-0000F78D0000}"/>
    <cellStyle name="Normal 5 17 21 14" xfId="36344" xr:uid="{00000000-0005-0000-0000-0000F88D0000}"/>
    <cellStyle name="Normal 5 17 21 2" xfId="36345" xr:uid="{00000000-0005-0000-0000-0000F98D0000}"/>
    <cellStyle name="Normal 5 17 21 2 10" xfId="36346" xr:uid="{00000000-0005-0000-0000-0000FA8D0000}"/>
    <cellStyle name="Normal 5 17 21 2 2" xfId="36347" xr:uid="{00000000-0005-0000-0000-0000FB8D0000}"/>
    <cellStyle name="Normal 5 17 21 2 3" xfId="36348" xr:uid="{00000000-0005-0000-0000-0000FC8D0000}"/>
    <cellStyle name="Normal 5 17 21 2 4" xfId="36349" xr:uid="{00000000-0005-0000-0000-0000FD8D0000}"/>
    <cellStyle name="Normal 5 17 21 2 5" xfId="36350" xr:uid="{00000000-0005-0000-0000-0000FE8D0000}"/>
    <cellStyle name="Normal 5 17 21 2 6" xfId="36351" xr:uid="{00000000-0005-0000-0000-0000FF8D0000}"/>
    <cellStyle name="Normal 5 17 21 2 7" xfId="36352" xr:uid="{00000000-0005-0000-0000-0000008E0000}"/>
    <cellStyle name="Normal 5 17 21 2 8" xfId="36353" xr:uid="{00000000-0005-0000-0000-0000018E0000}"/>
    <cellStyle name="Normal 5 17 21 2 9" xfId="36354" xr:uid="{00000000-0005-0000-0000-0000028E0000}"/>
    <cellStyle name="Normal 5 17 21 3" xfId="36355" xr:uid="{00000000-0005-0000-0000-0000038E0000}"/>
    <cellStyle name="Normal 5 17 21 3 10" xfId="36356" xr:uid="{00000000-0005-0000-0000-0000048E0000}"/>
    <cellStyle name="Normal 5 17 21 3 2" xfId="36357" xr:uid="{00000000-0005-0000-0000-0000058E0000}"/>
    <cellStyle name="Normal 5 17 21 3 3" xfId="36358" xr:uid="{00000000-0005-0000-0000-0000068E0000}"/>
    <cellStyle name="Normal 5 17 21 3 4" xfId="36359" xr:uid="{00000000-0005-0000-0000-0000078E0000}"/>
    <cellStyle name="Normal 5 17 21 3 5" xfId="36360" xr:uid="{00000000-0005-0000-0000-0000088E0000}"/>
    <cellStyle name="Normal 5 17 21 3 6" xfId="36361" xr:uid="{00000000-0005-0000-0000-0000098E0000}"/>
    <cellStyle name="Normal 5 17 21 3 7" xfId="36362" xr:uid="{00000000-0005-0000-0000-00000A8E0000}"/>
    <cellStyle name="Normal 5 17 21 3 8" xfId="36363" xr:uid="{00000000-0005-0000-0000-00000B8E0000}"/>
    <cellStyle name="Normal 5 17 21 3 9" xfId="36364" xr:uid="{00000000-0005-0000-0000-00000C8E0000}"/>
    <cellStyle name="Normal 5 17 21 4" xfId="36365" xr:uid="{00000000-0005-0000-0000-00000D8E0000}"/>
    <cellStyle name="Normal 5 17 21 4 10" xfId="36366" xr:uid="{00000000-0005-0000-0000-00000E8E0000}"/>
    <cellStyle name="Normal 5 17 21 4 2" xfId="36367" xr:uid="{00000000-0005-0000-0000-00000F8E0000}"/>
    <cellStyle name="Normal 5 17 21 4 3" xfId="36368" xr:uid="{00000000-0005-0000-0000-0000108E0000}"/>
    <cellStyle name="Normal 5 17 21 4 4" xfId="36369" xr:uid="{00000000-0005-0000-0000-0000118E0000}"/>
    <cellStyle name="Normal 5 17 21 4 5" xfId="36370" xr:uid="{00000000-0005-0000-0000-0000128E0000}"/>
    <cellStyle name="Normal 5 17 21 4 6" xfId="36371" xr:uid="{00000000-0005-0000-0000-0000138E0000}"/>
    <cellStyle name="Normal 5 17 21 4 7" xfId="36372" xr:uid="{00000000-0005-0000-0000-0000148E0000}"/>
    <cellStyle name="Normal 5 17 21 4 8" xfId="36373" xr:uid="{00000000-0005-0000-0000-0000158E0000}"/>
    <cellStyle name="Normal 5 17 21 4 9" xfId="36374" xr:uid="{00000000-0005-0000-0000-0000168E0000}"/>
    <cellStyle name="Normal 5 17 21 5" xfId="36375" xr:uid="{00000000-0005-0000-0000-0000178E0000}"/>
    <cellStyle name="Normal 5 17 21 5 10" xfId="36376" xr:uid="{00000000-0005-0000-0000-0000188E0000}"/>
    <cellStyle name="Normal 5 17 21 5 2" xfId="36377" xr:uid="{00000000-0005-0000-0000-0000198E0000}"/>
    <cellStyle name="Normal 5 17 21 5 3" xfId="36378" xr:uid="{00000000-0005-0000-0000-00001A8E0000}"/>
    <cellStyle name="Normal 5 17 21 5 4" xfId="36379" xr:uid="{00000000-0005-0000-0000-00001B8E0000}"/>
    <cellStyle name="Normal 5 17 21 5 5" xfId="36380" xr:uid="{00000000-0005-0000-0000-00001C8E0000}"/>
    <cellStyle name="Normal 5 17 21 5 6" xfId="36381" xr:uid="{00000000-0005-0000-0000-00001D8E0000}"/>
    <cellStyle name="Normal 5 17 21 5 7" xfId="36382" xr:uid="{00000000-0005-0000-0000-00001E8E0000}"/>
    <cellStyle name="Normal 5 17 21 5 8" xfId="36383" xr:uid="{00000000-0005-0000-0000-00001F8E0000}"/>
    <cellStyle name="Normal 5 17 21 5 9" xfId="36384" xr:uid="{00000000-0005-0000-0000-0000208E0000}"/>
    <cellStyle name="Normal 5 17 21 6" xfId="36385" xr:uid="{00000000-0005-0000-0000-0000218E0000}"/>
    <cellStyle name="Normal 5 17 21 7" xfId="36386" xr:uid="{00000000-0005-0000-0000-0000228E0000}"/>
    <cellStyle name="Normal 5 17 21 8" xfId="36387" xr:uid="{00000000-0005-0000-0000-0000238E0000}"/>
    <cellStyle name="Normal 5 17 21 9" xfId="36388" xr:uid="{00000000-0005-0000-0000-0000248E0000}"/>
    <cellStyle name="Normal 5 17 22" xfId="36389" xr:uid="{00000000-0005-0000-0000-0000258E0000}"/>
    <cellStyle name="Normal 5 17 22 10" xfId="36390" xr:uid="{00000000-0005-0000-0000-0000268E0000}"/>
    <cellStyle name="Normal 5 17 22 11" xfId="36391" xr:uid="{00000000-0005-0000-0000-0000278E0000}"/>
    <cellStyle name="Normal 5 17 22 12" xfId="36392" xr:uid="{00000000-0005-0000-0000-0000288E0000}"/>
    <cellStyle name="Normal 5 17 22 13" xfId="36393" xr:uid="{00000000-0005-0000-0000-0000298E0000}"/>
    <cellStyle name="Normal 5 17 22 14" xfId="36394" xr:uid="{00000000-0005-0000-0000-00002A8E0000}"/>
    <cellStyle name="Normal 5 17 22 2" xfId="36395" xr:uid="{00000000-0005-0000-0000-00002B8E0000}"/>
    <cellStyle name="Normal 5 17 22 2 10" xfId="36396" xr:uid="{00000000-0005-0000-0000-00002C8E0000}"/>
    <cellStyle name="Normal 5 17 22 2 2" xfId="36397" xr:uid="{00000000-0005-0000-0000-00002D8E0000}"/>
    <cellStyle name="Normal 5 17 22 2 3" xfId="36398" xr:uid="{00000000-0005-0000-0000-00002E8E0000}"/>
    <cellStyle name="Normal 5 17 22 2 4" xfId="36399" xr:uid="{00000000-0005-0000-0000-00002F8E0000}"/>
    <cellStyle name="Normal 5 17 22 2 5" xfId="36400" xr:uid="{00000000-0005-0000-0000-0000308E0000}"/>
    <cellStyle name="Normal 5 17 22 2 6" xfId="36401" xr:uid="{00000000-0005-0000-0000-0000318E0000}"/>
    <cellStyle name="Normal 5 17 22 2 7" xfId="36402" xr:uid="{00000000-0005-0000-0000-0000328E0000}"/>
    <cellStyle name="Normal 5 17 22 2 8" xfId="36403" xr:uid="{00000000-0005-0000-0000-0000338E0000}"/>
    <cellStyle name="Normal 5 17 22 2 9" xfId="36404" xr:uid="{00000000-0005-0000-0000-0000348E0000}"/>
    <cellStyle name="Normal 5 17 22 3" xfId="36405" xr:uid="{00000000-0005-0000-0000-0000358E0000}"/>
    <cellStyle name="Normal 5 17 22 3 10" xfId="36406" xr:uid="{00000000-0005-0000-0000-0000368E0000}"/>
    <cellStyle name="Normal 5 17 22 3 2" xfId="36407" xr:uid="{00000000-0005-0000-0000-0000378E0000}"/>
    <cellStyle name="Normal 5 17 22 3 3" xfId="36408" xr:uid="{00000000-0005-0000-0000-0000388E0000}"/>
    <cellStyle name="Normal 5 17 22 3 4" xfId="36409" xr:uid="{00000000-0005-0000-0000-0000398E0000}"/>
    <cellStyle name="Normal 5 17 22 3 5" xfId="36410" xr:uid="{00000000-0005-0000-0000-00003A8E0000}"/>
    <cellStyle name="Normal 5 17 22 3 6" xfId="36411" xr:uid="{00000000-0005-0000-0000-00003B8E0000}"/>
    <cellStyle name="Normal 5 17 22 3 7" xfId="36412" xr:uid="{00000000-0005-0000-0000-00003C8E0000}"/>
    <cellStyle name="Normal 5 17 22 3 8" xfId="36413" xr:uid="{00000000-0005-0000-0000-00003D8E0000}"/>
    <cellStyle name="Normal 5 17 22 3 9" xfId="36414" xr:uid="{00000000-0005-0000-0000-00003E8E0000}"/>
    <cellStyle name="Normal 5 17 22 4" xfId="36415" xr:uid="{00000000-0005-0000-0000-00003F8E0000}"/>
    <cellStyle name="Normal 5 17 22 4 10" xfId="36416" xr:uid="{00000000-0005-0000-0000-0000408E0000}"/>
    <cellStyle name="Normal 5 17 22 4 2" xfId="36417" xr:uid="{00000000-0005-0000-0000-0000418E0000}"/>
    <cellStyle name="Normal 5 17 22 4 3" xfId="36418" xr:uid="{00000000-0005-0000-0000-0000428E0000}"/>
    <cellStyle name="Normal 5 17 22 4 4" xfId="36419" xr:uid="{00000000-0005-0000-0000-0000438E0000}"/>
    <cellStyle name="Normal 5 17 22 4 5" xfId="36420" xr:uid="{00000000-0005-0000-0000-0000448E0000}"/>
    <cellStyle name="Normal 5 17 22 4 6" xfId="36421" xr:uid="{00000000-0005-0000-0000-0000458E0000}"/>
    <cellStyle name="Normal 5 17 22 4 7" xfId="36422" xr:uid="{00000000-0005-0000-0000-0000468E0000}"/>
    <cellStyle name="Normal 5 17 22 4 8" xfId="36423" xr:uid="{00000000-0005-0000-0000-0000478E0000}"/>
    <cellStyle name="Normal 5 17 22 4 9" xfId="36424" xr:uid="{00000000-0005-0000-0000-0000488E0000}"/>
    <cellStyle name="Normal 5 17 22 5" xfId="36425" xr:uid="{00000000-0005-0000-0000-0000498E0000}"/>
    <cellStyle name="Normal 5 17 22 5 10" xfId="36426" xr:uid="{00000000-0005-0000-0000-00004A8E0000}"/>
    <cellStyle name="Normal 5 17 22 5 2" xfId="36427" xr:uid="{00000000-0005-0000-0000-00004B8E0000}"/>
    <cellStyle name="Normal 5 17 22 5 3" xfId="36428" xr:uid="{00000000-0005-0000-0000-00004C8E0000}"/>
    <cellStyle name="Normal 5 17 22 5 4" xfId="36429" xr:uid="{00000000-0005-0000-0000-00004D8E0000}"/>
    <cellStyle name="Normal 5 17 22 5 5" xfId="36430" xr:uid="{00000000-0005-0000-0000-00004E8E0000}"/>
    <cellStyle name="Normal 5 17 22 5 6" xfId="36431" xr:uid="{00000000-0005-0000-0000-00004F8E0000}"/>
    <cellStyle name="Normal 5 17 22 5 7" xfId="36432" xr:uid="{00000000-0005-0000-0000-0000508E0000}"/>
    <cellStyle name="Normal 5 17 22 5 8" xfId="36433" xr:uid="{00000000-0005-0000-0000-0000518E0000}"/>
    <cellStyle name="Normal 5 17 22 5 9" xfId="36434" xr:uid="{00000000-0005-0000-0000-0000528E0000}"/>
    <cellStyle name="Normal 5 17 22 6" xfId="36435" xr:uid="{00000000-0005-0000-0000-0000538E0000}"/>
    <cellStyle name="Normal 5 17 22 7" xfId="36436" xr:uid="{00000000-0005-0000-0000-0000548E0000}"/>
    <cellStyle name="Normal 5 17 22 8" xfId="36437" xr:uid="{00000000-0005-0000-0000-0000558E0000}"/>
    <cellStyle name="Normal 5 17 22 9" xfId="36438" xr:uid="{00000000-0005-0000-0000-0000568E0000}"/>
    <cellStyle name="Normal 5 17 23" xfId="36439" xr:uid="{00000000-0005-0000-0000-0000578E0000}"/>
    <cellStyle name="Normal 5 17 23 10" xfId="36440" xr:uid="{00000000-0005-0000-0000-0000588E0000}"/>
    <cellStyle name="Normal 5 17 23 11" xfId="36441" xr:uid="{00000000-0005-0000-0000-0000598E0000}"/>
    <cellStyle name="Normal 5 17 23 12" xfId="36442" xr:uid="{00000000-0005-0000-0000-00005A8E0000}"/>
    <cellStyle name="Normal 5 17 23 13" xfId="36443" xr:uid="{00000000-0005-0000-0000-00005B8E0000}"/>
    <cellStyle name="Normal 5 17 23 14" xfId="36444" xr:uid="{00000000-0005-0000-0000-00005C8E0000}"/>
    <cellStyle name="Normal 5 17 23 2" xfId="36445" xr:uid="{00000000-0005-0000-0000-00005D8E0000}"/>
    <cellStyle name="Normal 5 17 23 2 10" xfId="36446" xr:uid="{00000000-0005-0000-0000-00005E8E0000}"/>
    <cellStyle name="Normal 5 17 23 2 2" xfId="36447" xr:uid="{00000000-0005-0000-0000-00005F8E0000}"/>
    <cellStyle name="Normal 5 17 23 2 3" xfId="36448" xr:uid="{00000000-0005-0000-0000-0000608E0000}"/>
    <cellStyle name="Normal 5 17 23 2 4" xfId="36449" xr:uid="{00000000-0005-0000-0000-0000618E0000}"/>
    <cellStyle name="Normal 5 17 23 2 5" xfId="36450" xr:uid="{00000000-0005-0000-0000-0000628E0000}"/>
    <cellStyle name="Normal 5 17 23 2 6" xfId="36451" xr:uid="{00000000-0005-0000-0000-0000638E0000}"/>
    <cellStyle name="Normal 5 17 23 2 7" xfId="36452" xr:uid="{00000000-0005-0000-0000-0000648E0000}"/>
    <cellStyle name="Normal 5 17 23 2 8" xfId="36453" xr:uid="{00000000-0005-0000-0000-0000658E0000}"/>
    <cellStyle name="Normal 5 17 23 2 9" xfId="36454" xr:uid="{00000000-0005-0000-0000-0000668E0000}"/>
    <cellStyle name="Normal 5 17 23 3" xfId="36455" xr:uid="{00000000-0005-0000-0000-0000678E0000}"/>
    <cellStyle name="Normal 5 17 23 3 10" xfId="36456" xr:uid="{00000000-0005-0000-0000-0000688E0000}"/>
    <cellStyle name="Normal 5 17 23 3 2" xfId="36457" xr:uid="{00000000-0005-0000-0000-0000698E0000}"/>
    <cellStyle name="Normal 5 17 23 3 3" xfId="36458" xr:uid="{00000000-0005-0000-0000-00006A8E0000}"/>
    <cellStyle name="Normal 5 17 23 3 4" xfId="36459" xr:uid="{00000000-0005-0000-0000-00006B8E0000}"/>
    <cellStyle name="Normal 5 17 23 3 5" xfId="36460" xr:uid="{00000000-0005-0000-0000-00006C8E0000}"/>
    <cellStyle name="Normal 5 17 23 3 6" xfId="36461" xr:uid="{00000000-0005-0000-0000-00006D8E0000}"/>
    <cellStyle name="Normal 5 17 23 3 7" xfId="36462" xr:uid="{00000000-0005-0000-0000-00006E8E0000}"/>
    <cellStyle name="Normal 5 17 23 3 8" xfId="36463" xr:uid="{00000000-0005-0000-0000-00006F8E0000}"/>
    <cellStyle name="Normal 5 17 23 3 9" xfId="36464" xr:uid="{00000000-0005-0000-0000-0000708E0000}"/>
    <cellStyle name="Normal 5 17 23 4" xfId="36465" xr:uid="{00000000-0005-0000-0000-0000718E0000}"/>
    <cellStyle name="Normal 5 17 23 4 10" xfId="36466" xr:uid="{00000000-0005-0000-0000-0000728E0000}"/>
    <cellStyle name="Normal 5 17 23 4 2" xfId="36467" xr:uid="{00000000-0005-0000-0000-0000738E0000}"/>
    <cellStyle name="Normal 5 17 23 4 3" xfId="36468" xr:uid="{00000000-0005-0000-0000-0000748E0000}"/>
    <cellStyle name="Normal 5 17 23 4 4" xfId="36469" xr:uid="{00000000-0005-0000-0000-0000758E0000}"/>
    <cellStyle name="Normal 5 17 23 4 5" xfId="36470" xr:uid="{00000000-0005-0000-0000-0000768E0000}"/>
    <cellStyle name="Normal 5 17 23 4 6" xfId="36471" xr:uid="{00000000-0005-0000-0000-0000778E0000}"/>
    <cellStyle name="Normal 5 17 23 4 7" xfId="36472" xr:uid="{00000000-0005-0000-0000-0000788E0000}"/>
    <cellStyle name="Normal 5 17 23 4 8" xfId="36473" xr:uid="{00000000-0005-0000-0000-0000798E0000}"/>
    <cellStyle name="Normal 5 17 23 4 9" xfId="36474" xr:uid="{00000000-0005-0000-0000-00007A8E0000}"/>
    <cellStyle name="Normal 5 17 23 5" xfId="36475" xr:uid="{00000000-0005-0000-0000-00007B8E0000}"/>
    <cellStyle name="Normal 5 17 23 5 10" xfId="36476" xr:uid="{00000000-0005-0000-0000-00007C8E0000}"/>
    <cellStyle name="Normal 5 17 23 5 2" xfId="36477" xr:uid="{00000000-0005-0000-0000-00007D8E0000}"/>
    <cellStyle name="Normal 5 17 23 5 3" xfId="36478" xr:uid="{00000000-0005-0000-0000-00007E8E0000}"/>
    <cellStyle name="Normal 5 17 23 5 4" xfId="36479" xr:uid="{00000000-0005-0000-0000-00007F8E0000}"/>
    <cellStyle name="Normal 5 17 23 5 5" xfId="36480" xr:uid="{00000000-0005-0000-0000-0000808E0000}"/>
    <cellStyle name="Normal 5 17 23 5 6" xfId="36481" xr:uid="{00000000-0005-0000-0000-0000818E0000}"/>
    <cellStyle name="Normal 5 17 23 5 7" xfId="36482" xr:uid="{00000000-0005-0000-0000-0000828E0000}"/>
    <cellStyle name="Normal 5 17 23 5 8" xfId="36483" xr:uid="{00000000-0005-0000-0000-0000838E0000}"/>
    <cellStyle name="Normal 5 17 23 5 9" xfId="36484" xr:uid="{00000000-0005-0000-0000-0000848E0000}"/>
    <cellStyle name="Normal 5 17 23 6" xfId="36485" xr:uid="{00000000-0005-0000-0000-0000858E0000}"/>
    <cellStyle name="Normal 5 17 23 7" xfId="36486" xr:uid="{00000000-0005-0000-0000-0000868E0000}"/>
    <cellStyle name="Normal 5 17 23 8" xfId="36487" xr:uid="{00000000-0005-0000-0000-0000878E0000}"/>
    <cellStyle name="Normal 5 17 23 9" xfId="36488" xr:uid="{00000000-0005-0000-0000-0000888E0000}"/>
    <cellStyle name="Normal 5 17 24" xfId="36489" xr:uid="{00000000-0005-0000-0000-0000898E0000}"/>
    <cellStyle name="Normal 5 17 24 10" xfId="36490" xr:uid="{00000000-0005-0000-0000-00008A8E0000}"/>
    <cellStyle name="Normal 5 17 24 11" xfId="36491" xr:uid="{00000000-0005-0000-0000-00008B8E0000}"/>
    <cellStyle name="Normal 5 17 24 12" xfId="36492" xr:uid="{00000000-0005-0000-0000-00008C8E0000}"/>
    <cellStyle name="Normal 5 17 24 13" xfId="36493" xr:uid="{00000000-0005-0000-0000-00008D8E0000}"/>
    <cellStyle name="Normal 5 17 24 14" xfId="36494" xr:uid="{00000000-0005-0000-0000-00008E8E0000}"/>
    <cellStyle name="Normal 5 17 24 2" xfId="36495" xr:uid="{00000000-0005-0000-0000-00008F8E0000}"/>
    <cellStyle name="Normal 5 17 24 2 10" xfId="36496" xr:uid="{00000000-0005-0000-0000-0000908E0000}"/>
    <cellStyle name="Normal 5 17 24 2 2" xfId="36497" xr:uid="{00000000-0005-0000-0000-0000918E0000}"/>
    <cellStyle name="Normal 5 17 24 2 3" xfId="36498" xr:uid="{00000000-0005-0000-0000-0000928E0000}"/>
    <cellStyle name="Normal 5 17 24 2 4" xfId="36499" xr:uid="{00000000-0005-0000-0000-0000938E0000}"/>
    <cellStyle name="Normal 5 17 24 2 5" xfId="36500" xr:uid="{00000000-0005-0000-0000-0000948E0000}"/>
    <cellStyle name="Normal 5 17 24 2 6" xfId="36501" xr:uid="{00000000-0005-0000-0000-0000958E0000}"/>
    <cellStyle name="Normal 5 17 24 2 7" xfId="36502" xr:uid="{00000000-0005-0000-0000-0000968E0000}"/>
    <cellStyle name="Normal 5 17 24 2 8" xfId="36503" xr:uid="{00000000-0005-0000-0000-0000978E0000}"/>
    <cellStyle name="Normal 5 17 24 2 9" xfId="36504" xr:uid="{00000000-0005-0000-0000-0000988E0000}"/>
    <cellStyle name="Normal 5 17 24 3" xfId="36505" xr:uid="{00000000-0005-0000-0000-0000998E0000}"/>
    <cellStyle name="Normal 5 17 24 3 10" xfId="36506" xr:uid="{00000000-0005-0000-0000-00009A8E0000}"/>
    <cellStyle name="Normal 5 17 24 3 2" xfId="36507" xr:uid="{00000000-0005-0000-0000-00009B8E0000}"/>
    <cellStyle name="Normal 5 17 24 3 3" xfId="36508" xr:uid="{00000000-0005-0000-0000-00009C8E0000}"/>
    <cellStyle name="Normal 5 17 24 3 4" xfId="36509" xr:uid="{00000000-0005-0000-0000-00009D8E0000}"/>
    <cellStyle name="Normal 5 17 24 3 5" xfId="36510" xr:uid="{00000000-0005-0000-0000-00009E8E0000}"/>
    <cellStyle name="Normal 5 17 24 3 6" xfId="36511" xr:uid="{00000000-0005-0000-0000-00009F8E0000}"/>
    <cellStyle name="Normal 5 17 24 3 7" xfId="36512" xr:uid="{00000000-0005-0000-0000-0000A08E0000}"/>
    <cellStyle name="Normal 5 17 24 3 8" xfId="36513" xr:uid="{00000000-0005-0000-0000-0000A18E0000}"/>
    <cellStyle name="Normal 5 17 24 3 9" xfId="36514" xr:uid="{00000000-0005-0000-0000-0000A28E0000}"/>
    <cellStyle name="Normal 5 17 24 4" xfId="36515" xr:uid="{00000000-0005-0000-0000-0000A38E0000}"/>
    <cellStyle name="Normal 5 17 24 4 10" xfId="36516" xr:uid="{00000000-0005-0000-0000-0000A48E0000}"/>
    <cellStyle name="Normal 5 17 24 4 2" xfId="36517" xr:uid="{00000000-0005-0000-0000-0000A58E0000}"/>
    <cellStyle name="Normal 5 17 24 4 3" xfId="36518" xr:uid="{00000000-0005-0000-0000-0000A68E0000}"/>
    <cellStyle name="Normal 5 17 24 4 4" xfId="36519" xr:uid="{00000000-0005-0000-0000-0000A78E0000}"/>
    <cellStyle name="Normal 5 17 24 4 5" xfId="36520" xr:uid="{00000000-0005-0000-0000-0000A88E0000}"/>
    <cellStyle name="Normal 5 17 24 4 6" xfId="36521" xr:uid="{00000000-0005-0000-0000-0000A98E0000}"/>
    <cellStyle name="Normal 5 17 24 4 7" xfId="36522" xr:uid="{00000000-0005-0000-0000-0000AA8E0000}"/>
    <cellStyle name="Normal 5 17 24 4 8" xfId="36523" xr:uid="{00000000-0005-0000-0000-0000AB8E0000}"/>
    <cellStyle name="Normal 5 17 24 4 9" xfId="36524" xr:uid="{00000000-0005-0000-0000-0000AC8E0000}"/>
    <cellStyle name="Normal 5 17 24 5" xfId="36525" xr:uid="{00000000-0005-0000-0000-0000AD8E0000}"/>
    <cellStyle name="Normal 5 17 24 5 10" xfId="36526" xr:uid="{00000000-0005-0000-0000-0000AE8E0000}"/>
    <cellStyle name="Normal 5 17 24 5 2" xfId="36527" xr:uid="{00000000-0005-0000-0000-0000AF8E0000}"/>
    <cellStyle name="Normal 5 17 24 5 3" xfId="36528" xr:uid="{00000000-0005-0000-0000-0000B08E0000}"/>
    <cellStyle name="Normal 5 17 24 5 4" xfId="36529" xr:uid="{00000000-0005-0000-0000-0000B18E0000}"/>
    <cellStyle name="Normal 5 17 24 5 5" xfId="36530" xr:uid="{00000000-0005-0000-0000-0000B28E0000}"/>
    <cellStyle name="Normal 5 17 24 5 6" xfId="36531" xr:uid="{00000000-0005-0000-0000-0000B38E0000}"/>
    <cellStyle name="Normal 5 17 24 5 7" xfId="36532" xr:uid="{00000000-0005-0000-0000-0000B48E0000}"/>
    <cellStyle name="Normal 5 17 24 5 8" xfId="36533" xr:uid="{00000000-0005-0000-0000-0000B58E0000}"/>
    <cellStyle name="Normal 5 17 24 5 9" xfId="36534" xr:uid="{00000000-0005-0000-0000-0000B68E0000}"/>
    <cellStyle name="Normal 5 17 24 6" xfId="36535" xr:uid="{00000000-0005-0000-0000-0000B78E0000}"/>
    <cellStyle name="Normal 5 17 24 7" xfId="36536" xr:uid="{00000000-0005-0000-0000-0000B88E0000}"/>
    <cellStyle name="Normal 5 17 24 8" xfId="36537" xr:uid="{00000000-0005-0000-0000-0000B98E0000}"/>
    <cellStyle name="Normal 5 17 24 9" xfId="36538" xr:uid="{00000000-0005-0000-0000-0000BA8E0000}"/>
    <cellStyle name="Normal 5 17 25" xfId="36539" xr:uid="{00000000-0005-0000-0000-0000BB8E0000}"/>
    <cellStyle name="Normal 5 17 25 10" xfId="36540" xr:uid="{00000000-0005-0000-0000-0000BC8E0000}"/>
    <cellStyle name="Normal 5 17 25 11" xfId="36541" xr:uid="{00000000-0005-0000-0000-0000BD8E0000}"/>
    <cellStyle name="Normal 5 17 25 12" xfId="36542" xr:uid="{00000000-0005-0000-0000-0000BE8E0000}"/>
    <cellStyle name="Normal 5 17 25 13" xfId="36543" xr:uid="{00000000-0005-0000-0000-0000BF8E0000}"/>
    <cellStyle name="Normal 5 17 25 14" xfId="36544" xr:uid="{00000000-0005-0000-0000-0000C08E0000}"/>
    <cellStyle name="Normal 5 17 25 2" xfId="36545" xr:uid="{00000000-0005-0000-0000-0000C18E0000}"/>
    <cellStyle name="Normal 5 17 25 2 10" xfId="36546" xr:uid="{00000000-0005-0000-0000-0000C28E0000}"/>
    <cellStyle name="Normal 5 17 25 2 2" xfId="36547" xr:uid="{00000000-0005-0000-0000-0000C38E0000}"/>
    <cellStyle name="Normal 5 17 25 2 3" xfId="36548" xr:uid="{00000000-0005-0000-0000-0000C48E0000}"/>
    <cellStyle name="Normal 5 17 25 2 4" xfId="36549" xr:uid="{00000000-0005-0000-0000-0000C58E0000}"/>
    <cellStyle name="Normal 5 17 25 2 5" xfId="36550" xr:uid="{00000000-0005-0000-0000-0000C68E0000}"/>
    <cellStyle name="Normal 5 17 25 2 6" xfId="36551" xr:uid="{00000000-0005-0000-0000-0000C78E0000}"/>
    <cellStyle name="Normal 5 17 25 2 7" xfId="36552" xr:uid="{00000000-0005-0000-0000-0000C88E0000}"/>
    <cellStyle name="Normal 5 17 25 2 8" xfId="36553" xr:uid="{00000000-0005-0000-0000-0000C98E0000}"/>
    <cellStyle name="Normal 5 17 25 2 9" xfId="36554" xr:uid="{00000000-0005-0000-0000-0000CA8E0000}"/>
    <cellStyle name="Normal 5 17 25 3" xfId="36555" xr:uid="{00000000-0005-0000-0000-0000CB8E0000}"/>
    <cellStyle name="Normal 5 17 25 3 10" xfId="36556" xr:uid="{00000000-0005-0000-0000-0000CC8E0000}"/>
    <cellStyle name="Normal 5 17 25 3 2" xfId="36557" xr:uid="{00000000-0005-0000-0000-0000CD8E0000}"/>
    <cellStyle name="Normal 5 17 25 3 3" xfId="36558" xr:uid="{00000000-0005-0000-0000-0000CE8E0000}"/>
    <cellStyle name="Normal 5 17 25 3 4" xfId="36559" xr:uid="{00000000-0005-0000-0000-0000CF8E0000}"/>
    <cellStyle name="Normal 5 17 25 3 5" xfId="36560" xr:uid="{00000000-0005-0000-0000-0000D08E0000}"/>
    <cellStyle name="Normal 5 17 25 3 6" xfId="36561" xr:uid="{00000000-0005-0000-0000-0000D18E0000}"/>
    <cellStyle name="Normal 5 17 25 3 7" xfId="36562" xr:uid="{00000000-0005-0000-0000-0000D28E0000}"/>
    <cellStyle name="Normal 5 17 25 3 8" xfId="36563" xr:uid="{00000000-0005-0000-0000-0000D38E0000}"/>
    <cellStyle name="Normal 5 17 25 3 9" xfId="36564" xr:uid="{00000000-0005-0000-0000-0000D48E0000}"/>
    <cellStyle name="Normal 5 17 25 4" xfId="36565" xr:uid="{00000000-0005-0000-0000-0000D58E0000}"/>
    <cellStyle name="Normal 5 17 25 4 10" xfId="36566" xr:uid="{00000000-0005-0000-0000-0000D68E0000}"/>
    <cellStyle name="Normal 5 17 25 4 2" xfId="36567" xr:uid="{00000000-0005-0000-0000-0000D78E0000}"/>
    <cellStyle name="Normal 5 17 25 4 3" xfId="36568" xr:uid="{00000000-0005-0000-0000-0000D88E0000}"/>
    <cellStyle name="Normal 5 17 25 4 4" xfId="36569" xr:uid="{00000000-0005-0000-0000-0000D98E0000}"/>
    <cellStyle name="Normal 5 17 25 4 5" xfId="36570" xr:uid="{00000000-0005-0000-0000-0000DA8E0000}"/>
    <cellStyle name="Normal 5 17 25 4 6" xfId="36571" xr:uid="{00000000-0005-0000-0000-0000DB8E0000}"/>
    <cellStyle name="Normal 5 17 25 4 7" xfId="36572" xr:uid="{00000000-0005-0000-0000-0000DC8E0000}"/>
    <cellStyle name="Normal 5 17 25 4 8" xfId="36573" xr:uid="{00000000-0005-0000-0000-0000DD8E0000}"/>
    <cellStyle name="Normal 5 17 25 4 9" xfId="36574" xr:uid="{00000000-0005-0000-0000-0000DE8E0000}"/>
    <cellStyle name="Normal 5 17 25 5" xfId="36575" xr:uid="{00000000-0005-0000-0000-0000DF8E0000}"/>
    <cellStyle name="Normal 5 17 25 5 10" xfId="36576" xr:uid="{00000000-0005-0000-0000-0000E08E0000}"/>
    <cellStyle name="Normal 5 17 25 5 2" xfId="36577" xr:uid="{00000000-0005-0000-0000-0000E18E0000}"/>
    <cellStyle name="Normal 5 17 25 5 3" xfId="36578" xr:uid="{00000000-0005-0000-0000-0000E28E0000}"/>
    <cellStyle name="Normal 5 17 25 5 4" xfId="36579" xr:uid="{00000000-0005-0000-0000-0000E38E0000}"/>
    <cellStyle name="Normal 5 17 25 5 5" xfId="36580" xr:uid="{00000000-0005-0000-0000-0000E48E0000}"/>
    <cellStyle name="Normal 5 17 25 5 6" xfId="36581" xr:uid="{00000000-0005-0000-0000-0000E58E0000}"/>
    <cellStyle name="Normal 5 17 25 5 7" xfId="36582" xr:uid="{00000000-0005-0000-0000-0000E68E0000}"/>
    <cellStyle name="Normal 5 17 25 5 8" xfId="36583" xr:uid="{00000000-0005-0000-0000-0000E78E0000}"/>
    <cellStyle name="Normal 5 17 25 5 9" xfId="36584" xr:uid="{00000000-0005-0000-0000-0000E88E0000}"/>
    <cellStyle name="Normal 5 17 25 6" xfId="36585" xr:uid="{00000000-0005-0000-0000-0000E98E0000}"/>
    <cellStyle name="Normal 5 17 25 7" xfId="36586" xr:uid="{00000000-0005-0000-0000-0000EA8E0000}"/>
    <cellStyle name="Normal 5 17 25 8" xfId="36587" xr:uid="{00000000-0005-0000-0000-0000EB8E0000}"/>
    <cellStyle name="Normal 5 17 25 9" xfId="36588" xr:uid="{00000000-0005-0000-0000-0000EC8E0000}"/>
    <cellStyle name="Normal 5 17 26" xfId="36589" xr:uid="{00000000-0005-0000-0000-0000ED8E0000}"/>
    <cellStyle name="Normal 5 17 26 10" xfId="36590" xr:uid="{00000000-0005-0000-0000-0000EE8E0000}"/>
    <cellStyle name="Normal 5 17 26 11" xfId="36591" xr:uid="{00000000-0005-0000-0000-0000EF8E0000}"/>
    <cellStyle name="Normal 5 17 26 12" xfId="36592" xr:uid="{00000000-0005-0000-0000-0000F08E0000}"/>
    <cellStyle name="Normal 5 17 26 13" xfId="36593" xr:uid="{00000000-0005-0000-0000-0000F18E0000}"/>
    <cellStyle name="Normal 5 17 26 14" xfId="36594" xr:uid="{00000000-0005-0000-0000-0000F28E0000}"/>
    <cellStyle name="Normal 5 17 26 2" xfId="36595" xr:uid="{00000000-0005-0000-0000-0000F38E0000}"/>
    <cellStyle name="Normal 5 17 26 2 10" xfId="36596" xr:uid="{00000000-0005-0000-0000-0000F48E0000}"/>
    <cellStyle name="Normal 5 17 26 2 2" xfId="36597" xr:uid="{00000000-0005-0000-0000-0000F58E0000}"/>
    <cellStyle name="Normal 5 17 26 2 3" xfId="36598" xr:uid="{00000000-0005-0000-0000-0000F68E0000}"/>
    <cellStyle name="Normal 5 17 26 2 4" xfId="36599" xr:uid="{00000000-0005-0000-0000-0000F78E0000}"/>
    <cellStyle name="Normal 5 17 26 2 5" xfId="36600" xr:uid="{00000000-0005-0000-0000-0000F88E0000}"/>
    <cellStyle name="Normal 5 17 26 2 6" xfId="36601" xr:uid="{00000000-0005-0000-0000-0000F98E0000}"/>
    <cellStyle name="Normal 5 17 26 2 7" xfId="36602" xr:uid="{00000000-0005-0000-0000-0000FA8E0000}"/>
    <cellStyle name="Normal 5 17 26 2 8" xfId="36603" xr:uid="{00000000-0005-0000-0000-0000FB8E0000}"/>
    <cellStyle name="Normal 5 17 26 2 9" xfId="36604" xr:uid="{00000000-0005-0000-0000-0000FC8E0000}"/>
    <cellStyle name="Normal 5 17 26 3" xfId="36605" xr:uid="{00000000-0005-0000-0000-0000FD8E0000}"/>
    <cellStyle name="Normal 5 17 26 3 10" xfId="36606" xr:uid="{00000000-0005-0000-0000-0000FE8E0000}"/>
    <cellStyle name="Normal 5 17 26 3 2" xfId="36607" xr:uid="{00000000-0005-0000-0000-0000FF8E0000}"/>
    <cellStyle name="Normal 5 17 26 3 3" xfId="36608" xr:uid="{00000000-0005-0000-0000-0000008F0000}"/>
    <cellStyle name="Normal 5 17 26 3 4" xfId="36609" xr:uid="{00000000-0005-0000-0000-0000018F0000}"/>
    <cellStyle name="Normal 5 17 26 3 5" xfId="36610" xr:uid="{00000000-0005-0000-0000-0000028F0000}"/>
    <cellStyle name="Normal 5 17 26 3 6" xfId="36611" xr:uid="{00000000-0005-0000-0000-0000038F0000}"/>
    <cellStyle name="Normal 5 17 26 3 7" xfId="36612" xr:uid="{00000000-0005-0000-0000-0000048F0000}"/>
    <cellStyle name="Normal 5 17 26 3 8" xfId="36613" xr:uid="{00000000-0005-0000-0000-0000058F0000}"/>
    <cellStyle name="Normal 5 17 26 3 9" xfId="36614" xr:uid="{00000000-0005-0000-0000-0000068F0000}"/>
    <cellStyle name="Normal 5 17 26 4" xfId="36615" xr:uid="{00000000-0005-0000-0000-0000078F0000}"/>
    <cellStyle name="Normal 5 17 26 4 10" xfId="36616" xr:uid="{00000000-0005-0000-0000-0000088F0000}"/>
    <cellStyle name="Normal 5 17 26 4 2" xfId="36617" xr:uid="{00000000-0005-0000-0000-0000098F0000}"/>
    <cellStyle name="Normal 5 17 26 4 3" xfId="36618" xr:uid="{00000000-0005-0000-0000-00000A8F0000}"/>
    <cellStyle name="Normal 5 17 26 4 4" xfId="36619" xr:uid="{00000000-0005-0000-0000-00000B8F0000}"/>
    <cellStyle name="Normal 5 17 26 4 5" xfId="36620" xr:uid="{00000000-0005-0000-0000-00000C8F0000}"/>
    <cellStyle name="Normal 5 17 26 4 6" xfId="36621" xr:uid="{00000000-0005-0000-0000-00000D8F0000}"/>
    <cellStyle name="Normal 5 17 26 4 7" xfId="36622" xr:uid="{00000000-0005-0000-0000-00000E8F0000}"/>
    <cellStyle name="Normal 5 17 26 4 8" xfId="36623" xr:uid="{00000000-0005-0000-0000-00000F8F0000}"/>
    <cellStyle name="Normal 5 17 26 4 9" xfId="36624" xr:uid="{00000000-0005-0000-0000-0000108F0000}"/>
    <cellStyle name="Normal 5 17 26 5" xfId="36625" xr:uid="{00000000-0005-0000-0000-0000118F0000}"/>
    <cellStyle name="Normal 5 17 26 5 10" xfId="36626" xr:uid="{00000000-0005-0000-0000-0000128F0000}"/>
    <cellStyle name="Normal 5 17 26 5 2" xfId="36627" xr:uid="{00000000-0005-0000-0000-0000138F0000}"/>
    <cellStyle name="Normal 5 17 26 5 3" xfId="36628" xr:uid="{00000000-0005-0000-0000-0000148F0000}"/>
    <cellStyle name="Normal 5 17 26 5 4" xfId="36629" xr:uid="{00000000-0005-0000-0000-0000158F0000}"/>
    <cellStyle name="Normal 5 17 26 5 5" xfId="36630" xr:uid="{00000000-0005-0000-0000-0000168F0000}"/>
    <cellStyle name="Normal 5 17 26 5 6" xfId="36631" xr:uid="{00000000-0005-0000-0000-0000178F0000}"/>
    <cellStyle name="Normal 5 17 26 5 7" xfId="36632" xr:uid="{00000000-0005-0000-0000-0000188F0000}"/>
    <cellStyle name="Normal 5 17 26 5 8" xfId="36633" xr:uid="{00000000-0005-0000-0000-0000198F0000}"/>
    <cellStyle name="Normal 5 17 26 5 9" xfId="36634" xr:uid="{00000000-0005-0000-0000-00001A8F0000}"/>
    <cellStyle name="Normal 5 17 26 6" xfId="36635" xr:uid="{00000000-0005-0000-0000-00001B8F0000}"/>
    <cellStyle name="Normal 5 17 26 7" xfId="36636" xr:uid="{00000000-0005-0000-0000-00001C8F0000}"/>
    <cellStyle name="Normal 5 17 26 8" xfId="36637" xr:uid="{00000000-0005-0000-0000-00001D8F0000}"/>
    <cellStyle name="Normal 5 17 26 9" xfId="36638" xr:uid="{00000000-0005-0000-0000-00001E8F0000}"/>
    <cellStyle name="Normal 5 17 27" xfId="36639" xr:uid="{00000000-0005-0000-0000-00001F8F0000}"/>
    <cellStyle name="Normal 5 17 27 10" xfId="36640" xr:uid="{00000000-0005-0000-0000-0000208F0000}"/>
    <cellStyle name="Normal 5 17 27 11" xfId="36641" xr:uid="{00000000-0005-0000-0000-0000218F0000}"/>
    <cellStyle name="Normal 5 17 27 12" xfId="36642" xr:uid="{00000000-0005-0000-0000-0000228F0000}"/>
    <cellStyle name="Normal 5 17 27 13" xfId="36643" xr:uid="{00000000-0005-0000-0000-0000238F0000}"/>
    <cellStyle name="Normal 5 17 27 14" xfId="36644" xr:uid="{00000000-0005-0000-0000-0000248F0000}"/>
    <cellStyle name="Normal 5 17 27 2" xfId="36645" xr:uid="{00000000-0005-0000-0000-0000258F0000}"/>
    <cellStyle name="Normal 5 17 27 2 10" xfId="36646" xr:uid="{00000000-0005-0000-0000-0000268F0000}"/>
    <cellStyle name="Normal 5 17 27 2 2" xfId="36647" xr:uid="{00000000-0005-0000-0000-0000278F0000}"/>
    <cellStyle name="Normal 5 17 27 2 3" xfId="36648" xr:uid="{00000000-0005-0000-0000-0000288F0000}"/>
    <cellStyle name="Normal 5 17 27 2 4" xfId="36649" xr:uid="{00000000-0005-0000-0000-0000298F0000}"/>
    <cellStyle name="Normal 5 17 27 2 5" xfId="36650" xr:uid="{00000000-0005-0000-0000-00002A8F0000}"/>
    <cellStyle name="Normal 5 17 27 2 6" xfId="36651" xr:uid="{00000000-0005-0000-0000-00002B8F0000}"/>
    <cellStyle name="Normal 5 17 27 2 7" xfId="36652" xr:uid="{00000000-0005-0000-0000-00002C8F0000}"/>
    <cellStyle name="Normal 5 17 27 2 8" xfId="36653" xr:uid="{00000000-0005-0000-0000-00002D8F0000}"/>
    <cellStyle name="Normal 5 17 27 2 9" xfId="36654" xr:uid="{00000000-0005-0000-0000-00002E8F0000}"/>
    <cellStyle name="Normal 5 17 27 3" xfId="36655" xr:uid="{00000000-0005-0000-0000-00002F8F0000}"/>
    <cellStyle name="Normal 5 17 27 3 10" xfId="36656" xr:uid="{00000000-0005-0000-0000-0000308F0000}"/>
    <cellStyle name="Normal 5 17 27 3 2" xfId="36657" xr:uid="{00000000-0005-0000-0000-0000318F0000}"/>
    <cellStyle name="Normal 5 17 27 3 3" xfId="36658" xr:uid="{00000000-0005-0000-0000-0000328F0000}"/>
    <cellStyle name="Normal 5 17 27 3 4" xfId="36659" xr:uid="{00000000-0005-0000-0000-0000338F0000}"/>
    <cellStyle name="Normal 5 17 27 3 5" xfId="36660" xr:uid="{00000000-0005-0000-0000-0000348F0000}"/>
    <cellStyle name="Normal 5 17 27 3 6" xfId="36661" xr:uid="{00000000-0005-0000-0000-0000358F0000}"/>
    <cellStyle name="Normal 5 17 27 3 7" xfId="36662" xr:uid="{00000000-0005-0000-0000-0000368F0000}"/>
    <cellStyle name="Normal 5 17 27 3 8" xfId="36663" xr:uid="{00000000-0005-0000-0000-0000378F0000}"/>
    <cellStyle name="Normal 5 17 27 3 9" xfId="36664" xr:uid="{00000000-0005-0000-0000-0000388F0000}"/>
    <cellStyle name="Normal 5 17 27 4" xfId="36665" xr:uid="{00000000-0005-0000-0000-0000398F0000}"/>
    <cellStyle name="Normal 5 17 27 4 10" xfId="36666" xr:uid="{00000000-0005-0000-0000-00003A8F0000}"/>
    <cellStyle name="Normal 5 17 27 4 2" xfId="36667" xr:uid="{00000000-0005-0000-0000-00003B8F0000}"/>
    <cellStyle name="Normal 5 17 27 4 3" xfId="36668" xr:uid="{00000000-0005-0000-0000-00003C8F0000}"/>
    <cellStyle name="Normal 5 17 27 4 4" xfId="36669" xr:uid="{00000000-0005-0000-0000-00003D8F0000}"/>
    <cellStyle name="Normal 5 17 27 4 5" xfId="36670" xr:uid="{00000000-0005-0000-0000-00003E8F0000}"/>
    <cellStyle name="Normal 5 17 27 4 6" xfId="36671" xr:uid="{00000000-0005-0000-0000-00003F8F0000}"/>
    <cellStyle name="Normal 5 17 27 4 7" xfId="36672" xr:uid="{00000000-0005-0000-0000-0000408F0000}"/>
    <cellStyle name="Normal 5 17 27 4 8" xfId="36673" xr:uid="{00000000-0005-0000-0000-0000418F0000}"/>
    <cellStyle name="Normal 5 17 27 4 9" xfId="36674" xr:uid="{00000000-0005-0000-0000-0000428F0000}"/>
    <cellStyle name="Normal 5 17 27 5" xfId="36675" xr:uid="{00000000-0005-0000-0000-0000438F0000}"/>
    <cellStyle name="Normal 5 17 27 5 10" xfId="36676" xr:uid="{00000000-0005-0000-0000-0000448F0000}"/>
    <cellStyle name="Normal 5 17 27 5 2" xfId="36677" xr:uid="{00000000-0005-0000-0000-0000458F0000}"/>
    <cellStyle name="Normal 5 17 27 5 3" xfId="36678" xr:uid="{00000000-0005-0000-0000-0000468F0000}"/>
    <cellStyle name="Normal 5 17 27 5 4" xfId="36679" xr:uid="{00000000-0005-0000-0000-0000478F0000}"/>
    <cellStyle name="Normal 5 17 27 5 5" xfId="36680" xr:uid="{00000000-0005-0000-0000-0000488F0000}"/>
    <cellStyle name="Normal 5 17 27 5 6" xfId="36681" xr:uid="{00000000-0005-0000-0000-0000498F0000}"/>
    <cellStyle name="Normal 5 17 27 5 7" xfId="36682" xr:uid="{00000000-0005-0000-0000-00004A8F0000}"/>
    <cellStyle name="Normal 5 17 27 5 8" xfId="36683" xr:uid="{00000000-0005-0000-0000-00004B8F0000}"/>
    <cellStyle name="Normal 5 17 27 5 9" xfId="36684" xr:uid="{00000000-0005-0000-0000-00004C8F0000}"/>
    <cellStyle name="Normal 5 17 27 6" xfId="36685" xr:uid="{00000000-0005-0000-0000-00004D8F0000}"/>
    <cellStyle name="Normal 5 17 27 7" xfId="36686" xr:uid="{00000000-0005-0000-0000-00004E8F0000}"/>
    <cellStyle name="Normal 5 17 27 8" xfId="36687" xr:uid="{00000000-0005-0000-0000-00004F8F0000}"/>
    <cellStyle name="Normal 5 17 27 9" xfId="36688" xr:uid="{00000000-0005-0000-0000-0000508F0000}"/>
    <cellStyle name="Normal 5 17 28" xfId="36689" xr:uid="{00000000-0005-0000-0000-0000518F0000}"/>
    <cellStyle name="Normal 5 17 28 10" xfId="36690" xr:uid="{00000000-0005-0000-0000-0000528F0000}"/>
    <cellStyle name="Normal 5 17 28 11" xfId="36691" xr:uid="{00000000-0005-0000-0000-0000538F0000}"/>
    <cellStyle name="Normal 5 17 28 12" xfId="36692" xr:uid="{00000000-0005-0000-0000-0000548F0000}"/>
    <cellStyle name="Normal 5 17 28 13" xfId="36693" xr:uid="{00000000-0005-0000-0000-0000558F0000}"/>
    <cellStyle name="Normal 5 17 28 14" xfId="36694" xr:uid="{00000000-0005-0000-0000-0000568F0000}"/>
    <cellStyle name="Normal 5 17 28 2" xfId="36695" xr:uid="{00000000-0005-0000-0000-0000578F0000}"/>
    <cellStyle name="Normal 5 17 28 2 10" xfId="36696" xr:uid="{00000000-0005-0000-0000-0000588F0000}"/>
    <cellStyle name="Normal 5 17 28 2 2" xfId="36697" xr:uid="{00000000-0005-0000-0000-0000598F0000}"/>
    <cellStyle name="Normal 5 17 28 2 3" xfId="36698" xr:uid="{00000000-0005-0000-0000-00005A8F0000}"/>
    <cellStyle name="Normal 5 17 28 2 4" xfId="36699" xr:uid="{00000000-0005-0000-0000-00005B8F0000}"/>
    <cellStyle name="Normal 5 17 28 2 5" xfId="36700" xr:uid="{00000000-0005-0000-0000-00005C8F0000}"/>
    <cellStyle name="Normal 5 17 28 2 6" xfId="36701" xr:uid="{00000000-0005-0000-0000-00005D8F0000}"/>
    <cellStyle name="Normal 5 17 28 2 7" xfId="36702" xr:uid="{00000000-0005-0000-0000-00005E8F0000}"/>
    <cellStyle name="Normal 5 17 28 2 8" xfId="36703" xr:uid="{00000000-0005-0000-0000-00005F8F0000}"/>
    <cellStyle name="Normal 5 17 28 2 9" xfId="36704" xr:uid="{00000000-0005-0000-0000-0000608F0000}"/>
    <cellStyle name="Normal 5 17 28 3" xfId="36705" xr:uid="{00000000-0005-0000-0000-0000618F0000}"/>
    <cellStyle name="Normal 5 17 28 3 10" xfId="36706" xr:uid="{00000000-0005-0000-0000-0000628F0000}"/>
    <cellStyle name="Normal 5 17 28 3 2" xfId="36707" xr:uid="{00000000-0005-0000-0000-0000638F0000}"/>
    <cellStyle name="Normal 5 17 28 3 3" xfId="36708" xr:uid="{00000000-0005-0000-0000-0000648F0000}"/>
    <cellStyle name="Normal 5 17 28 3 4" xfId="36709" xr:uid="{00000000-0005-0000-0000-0000658F0000}"/>
    <cellStyle name="Normal 5 17 28 3 5" xfId="36710" xr:uid="{00000000-0005-0000-0000-0000668F0000}"/>
    <cellStyle name="Normal 5 17 28 3 6" xfId="36711" xr:uid="{00000000-0005-0000-0000-0000678F0000}"/>
    <cellStyle name="Normal 5 17 28 3 7" xfId="36712" xr:uid="{00000000-0005-0000-0000-0000688F0000}"/>
    <cellStyle name="Normal 5 17 28 3 8" xfId="36713" xr:uid="{00000000-0005-0000-0000-0000698F0000}"/>
    <cellStyle name="Normal 5 17 28 3 9" xfId="36714" xr:uid="{00000000-0005-0000-0000-00006A8F0000}"/>
    <cellStyle name="Normal 5 17 28 4" xfId="36715" xr:uid="{00000000-0005-0000-0000-00006B8F0000}"/>
    <cellStyle name="Normal 5 17 28 4 10" xfId="36716" xr:uid="{00000000-0005-0000-0000-00006C8F0000}"/>
    <cellStyle name="Normal 5 17 28 4 2" xfId="36717" xr:uid="{00000000-0005-0000-0000-00006D8F0000}"/>
    <cellStyle name="Normal 5 17 28 4 3" xfId="36718" xr:uid="{00000000-0005-0000-0000-00006E8F0000}"/>
    <cellStyle name="Normal 5 17 28 4 4" xfId="36719" xr:uid="{00000000-0005-0000-0000-00006F8F0000}"/>
    <cellStyle name="Normal 5 17 28 4 5" xfId="36720" xr:uid="{00000000-0005-0000-0000-0000708F0000}"/>
    <cellStyle name="Normal 5 17 28 4 6" xfId="36721" xr:uid="{00000000-0005-0000-0000-0000718F0000}"/>
    <cellStyle name="Normal 5 17 28 4 7" xfId="36722" xr:uid="{00000000-0005-0000-0000-0000728F0000}"/>
    <cellStyle name="Normal 5 17 28 4 8" xfId="36723" xr:uid="{00000000-0005-0000-0000-0000738F0000}"/>
    <cellStyle name="Normal 5 17 28 4 9" xfId="36724" xr:uid="{00000000-0005-0000-0000-0000748F0000}"/>
    <cellStyle name="Normal 5 17 28 5" xfId="36725" xr:uid="{00000000-0005-0000-0000-0000758F0000}"/>
    <cellStyle name="Normal 5 17 28 5 10" xfId="36726" xr:uid="{00000000-0005-0000-0000-0000768F0000}"/>
    <cellStyle name="Normal 5 17 28 5 2" xfId="36727" xr:uid="{00000000-0005-0000-0000-0000778F0000}"/>
    <cellStyle name="Normal 5 17 28 5 3" xfId="36728" xr:uid="{00000000-0005-0000-0000-0000788F0000}"/>
    <cellStyle name="Normal 5 17 28 5 4" xfId="36729" xr:uid="{00000000-0005-0000-0000-0000798F0000}"/>
    <cellStyle name="Normal 5 17 28 5 5" xfId="36730" xr:uid="{00000000-0005-0000-0000-00007A8F0000}"/>
    <cellStyle name="Normal 5 17 28 5 6" xfId="36731" xr:uid="{00000000-0005-0000-0000-00007B8F0000}"/>
    <cellStyle name="Normal 5 17 28 5 7" xfId="36732" xr:uid="{00000000-0005-0000-0000-00007C8F0000}"/>
    <cellStyle name="Normal 5 17 28 5 8" xfId="36733" xr:uid="{00000000-0005-0000-0000-00007D8F0000}"/>
    <cellStyle name="Normal 5 17 28 5 9" xfId="36734" xr:uid="{00000000-0005-0000-0000-00007E8F0000}"/>
    <cellStyle name="Normal 5 17 28 6" xfId="36735" xr:uid="{00000000-0005-0000-0000-00007F8F0000}"/>
    <cellStyle name="Normal 5 17 28 7" xfId="36736" xr:uid="{00000000-0005-0000-0000-0000808F0000}"/>
    <cellStyle name="Normal 5 17 28 8" xfId="36737" xr:uid="{00000000-0005-0000-0000-0000818F0000}"/>
    <cellStyle name="Normal 5 17 28 9" xfId="36738" xr:uid="{00000000-0005-0000-0000-0000828F0000}"/>
    <cellStyle name="Normal 5 17 29" xfId="36739" xr:uid="{00000000-0005-0000-0000-0000838F0000}"/>
    <cellStyle name="Normal 5 17 29 10" xfId="36740" xr:uid="{00000000-0005-0000-0000-0000848F0000}"/>
    <cellStyle name="Normal 5 17 29 11" xfId="36741" xr:uid="{00000000-0005-0000-0000-0000858F0000}"/>
    <cellStyle name="Normal 5 17 29 12" xfId="36742" xr:uid="{00000000-0005-0000-0000-0000868F0000}"/>
    <cellStyle name="Normal 5 17 29 13" xfId="36743" xr:uid="{00000000-0005-0000-0000-0000878F0000}"/>
    <cellStyle name="Normal 5 17 29 14" xfId="36744" xr:uid="{00000000-0005-0000-0000-0000888F0000}"/>
    <cellStyle name="Normal 5 17 29 2" xfId="36745" xr:uid="{00000000-0005-0000-0000-0000898F0000}"/>
    <cellStyle name="Normal 5 17 29 2 10" xfId="36746" xr:uid="{00000000-0005-0000-0000-00008A8F0000}"/>
    <cellStyle name="Normal 5 17 29 2 2" xfId="36747" xr:uid="{00000000-0005-0000-0000-00008B8F0000}"/>
    <cellStyle name="Normal 5 17 29 2 3" xfId="36748" xr:uid="{00000000-0005-0000-0000-00008C8F0000}"/>
    <cellStyle name="Normal 5 17 29 2 4" xfId="36749" xr:uid="{00000000-0005-0000-0000-00008D8F0000}"/>
    <cellStyle name="Normal 5 17 29 2 5" xfId="36750" xr:uid="{00000000-0005-0000-0000-00008E8F0000}"/>
    <cellStyle name="Normal 5 17 29 2 6" xfId="36751" xr:uid="{00000000-0005-0000-0000-00008F8F0000}"/>
    <cellStyle name="Normal 5 17 29 2 7" xfId="36752" xr:uid="{00000000-0005-0000-0000-0000908F0000}"/>
    <cellStyle name="Normal 5 17 29 2 8" xfId="36753" xr:uid="{00000000-0005-0000-0000-0000918F0000}"/>
    <cellStyle name="Normal 5 17 29 2 9" xfId="36754" xr:uid="{00000000-0005-0000-0000-0000928F0000}"/>
    <cellStyle name="Normal 5 17 29 3" xfId="36755" xr:uid="{00000000-0005-0000-0000-0000938F0000}"/>
    <cellStyle name="Normal 5 17 29 3 10" xfId="36756" xr:uid="{00000000-0005-0000-0000-0000948F0000}"/>
    <cellStyle name="Normal 5 17 29 3 2" xfId="36757" xr:uid="{00000000-0005-0000-0000-0000958F0000}"/>
    <cellStyle name="Normal 5 17 29 3 3" xfId="36758" xr:uid="{00000000-0005-0000-0000-0000968F0000}"/>
    <cellStyle name="Normal 5 17 29 3 4" xfId="36759" xr:uid="{00000000-0005-0000-0000-0000978F0000}"/>
    <cellStyle name="Normal 5 17 29 3 5" xfId="36760" xr:uid="{00000000-0005-0000-0000-0000988F0000}"/>
    <cellStyle name="Normal 5 17 29 3 6" xfId="36761" xr:uid="{00000000-0005-0000-0000-0000998F0000}"/>
    <cellStyle name="Normal 5 17 29 3 7" xfId="36762" xr:uid="{00000000-0005-0000-0000-00009A8F0000}"/>
    <cellStyle name="Normal 5 17 29 3 8" xfId="36763" xr:uid="{00000000-0005-0000-0000-00009B8F0000}"/>
    <cellStyle name="Normal 5 17 29 3 9" xfId="36764" xr:uid="{00000000-0005-0000-0000-00009C8F0000}"/>
    <cellStyle name="Normal 5 17 29 4" xfId="36765" xr:uid="{00000000-0005-0000-0000-00009D8F0000}"/>
    <cellStyle name="Normal 5 17 29 4 10" xfId="36766" xr:uid="{00000000-0005-0000-0000-00009E8F0000}"/>
    <cellStyle name="Normal 5 17 29 4 2" xfId="36767" xr:uid="{00000000-0005-0000-0000-00009F8F0000}"/>
    <cellStyle name="Normal 5 17 29 4 3" xfId="36768" xr:uid="{00000000-0005-0000-0000-0000A08F0000}"/>
    <cellStyle name="Normal 5 17 29 4 4" xfId="36769" xr:uid="{00000000-0005-0000-0000-0000A18F0000}"/>
    <cellStyle name="Normal 5 17 29 4 5" xfId="36770" xr:uid="{00000000-0005-0000-0000-0000A28F0000}"/>
    <cellStyle name="Normal 5 17 29 4 6" xfId="36771" xr:uid="{00000000-0005-0000-0000-0000A38F0000}"/>
    <cellStyle name="Normal 5 17 29 4 7" xfId="36772" xr:uid="{00000000-0005-0000-0000-0000A48F0000}"/>
    <cellStyle name="Normal 5 17 29 4 8" xfId="36773" xr:uid="{00000000-0005-0000-0000-0000A58F0000}"/>
    <cellStyle name="Normal 5 17 29 4 9" xfId="36774" xr:uid="{00000000-0005-0000-0000-0000A68F0000}"/>
    <cellStyle name="Normal 5 17 29 5" xfId="36775" xr:uid="{00000000-0005-0000-0000-0000A78F0000}"/>
    <cellStyle name="Normal 5 17 29 5 10" xfId="36776" xr:uid="{00000000-0005-0000-0000-0000A88F0000}"/>
    <cellStyle name="Normal 5 17 29 5 2" xfId="36777" xr:uid="{00000000-0005-0000-0000-0000A98F0000}"/>
    <cellStyle name="Normal 5 17 29 5 3" xfId="36778" xr:uid="{00000000-0005-0000-0000-0000AA8F0000}"/>
    <cellStyle name="Normal 5 17 29 5 4" xfId="36779" xr:uid="{00000000-0005-0000-0000-0000AB8F0000}"/>
    <cellStyle name="Normal 5 17 29 5 5" xfId="36780" xr:uid="{00000000-0005-0000-0000-0000AC8F0000}"/>
    <cellStyle name="Normal 5 17 29 5 6" xfId="36781" xr:uid="{00000000-0005-0000-0000-0000AD8F0000}"/>
    <cellStyle name="Normal 5 17 29 5 7" xfId="36782" xr:uid="{00000000-0005-0000-0000-0000AE8F0000}"/>
    <cellStyle name="Normal 5 17 29 5 8" xfId="36783" xr:uid="{00000000-0005-0000-0000-0000AF8F0000}"/>
    <cellStyle name="Normal 5 17 29 5 9" xfId="36784" xr:uid="{00000000-0005-0000-0000-0000B08F0000}"/>
    <cellStyle name="Normal 5 17 29 6" xfId="36785" xr:uid="{00000000-0005-0000-0000-0000B18F0000}"/>
    <cellStyle name="Normal 5 17 29 7" xfId="36786" xr:uid="{00000000-0005-0000-0000-0000B28F0000}"/>
    <cellStyle name="Normal 5 17 29 8" xfId="36787" xr:uid="{00000000-0005-0000-0000-0000B38F0000}"/>
    <cellStyle name="Normal 5 17 29 9" xfId="36788" xr:uid="{00000000-0005-0000-0000-0000B48F0000}"/>
    <cellStyle name="Normal 5 17 3" xfId="36789" xr:uid="{00000000-0005-0000-0000-0000B58F0000}"/>
    <cellStyle name="Normal 5 17 3 10" xfId="36790" xr:uid="{00000000-0005-0000-0000-0000B68F0000}"/>
    <cellStyle name="Normal 5 17 3 11" xfId="36791" xr:uid="{00000000-0005-0000-0000-0000B78F0000}"/>
    <cellStyle name="Normal 5 17 3 12" xfId="36792" xr:uid="{00000000-0005-0000-0000-0000B88F0000}"/>
    <cellStyle name="Normal 5 17 3 13" xfId="36793" xr:uid="{00000000-0005-0000-0000-0000B98F0000}"/>
    <cellStyle name="Normal 5 17 3 14" xfId="36794" xr:uid="{00000000-0005-0000-0000-0000BA8F0000}"/>
    <cellStyle name="Normal 5 17 3 2" xfId="36795" xr:uid="{00000000-0005-0000-0000-0000BB8F0000}"/>
    <cellStyle name="Normal 5 17 3 2 10" xfId="36796" xr:uid="{00000000-0005-0000-0000-0000BC8F0000}"/>
    <cellStyle name="Normal 5 17 3 2 2" xfId="36797" xr:uid="{00000000-0005-0000-0000-0000BD8F0000}"/>
    <cellStyle name="Normal 5 17 3 2 3" xfId="36798" xr:uid="{00000000-0005-0000-0000-0000BE8F0000}"/>
    <cellStyle name="Normal 5 17 3 2 4" xfId="36799" xr:uid="{00000000-0005-0000-0000-0000BF8F0000}"/>
    <cellStyle name="Normal 5 17 3 2 5" xfId="36800" xr:uid="{00000000-0005-0000-0000-0000C08F0000}"/>
    <cellStyle name="Normal 5 17 3 2 6" xfId="36801" xr:uid="{00000000-0005-0000-0000-0000C18F0000}"/>
    <cellStyle name="Normal 5 17 3 2 7" xfId="36802" xr:uid="{00000000-0005-0000-0000-0000C28F0000}"/>
    <cellStyle name="Normal 5 17 3 2 8" xfId="36803" xr:uid="{00000000-0005-0000-0000-0000C38F0000}"/>
    <cellStyle name="Normal 5 17 3 2 9" xfId="36804" xr:uid="{00000000-0005-0000-0000-0000C48F0000}"/>
    <cellStyle name="Normal 5 17 3 3" xfId="36805" xr:uid="{00000000-0005-0000-0000-0000C58F0000}"/>
    <cellStyle name="Normal 5 17 3 3 10" xfId="36806" xr:uid="{00000000-0005-0000-0000-0000C68F0000}"/>
    <cellStyle name="Normal 5 17 3 3 2" xfId="36807" xr:uid="{00000000-0005-0000-0000-0000C78F0000}"/>
    <cellStyle name="Normal 5 17 3 3 3" xfId="36808" xr:uid="{00000000-0005-0000-0000-0000C88F0000}"/>
    <cellStyle name="Normal 5 17 3 3 4" xfId="36809" xr:uid="{00000000-0005-0000-0000-0000C98F0000}"/>
    <cellStyle name="Normal 5 17 3 3 5" xfId="36810" xr:uid="{00000000-0005-0000-0000-0000CA8F0000}"/>
    <cellStyle name="Normal 5 17 3 3 6" xfId="36811" xr:uid="{00000000-0005-0000-0000-0000CB8F0000}"/>
    <cellStyle name="Normal 5 17 3 3 7" xfId="36812" xr:uid="{00000000-0005-0000-0000-0000CC8F0000}"/>
    <cellStyle name="Normal 5 17 3 3 8" xfId="36813" xr:uid="{00000000-0005-0000-0000-0000CD8F0000}"/>
    <cellStyle name="Normal 5 17 3 3 9" xfId="36814" xr:uid="{00000000-0005-0000-0000-0000CE8F0000}"/>
    <cellStyle name="Normal 5 17 3 4" xfId="36815" xr:uid="{00000000-0005-0000-0000-0000CF8F0000}"/>
    <cellStyle name="Normal 5 17 3 4 10" xfId="36816" xr:uid="{00000000-0005-0000-0000-0000D08F0000}"/>
    <cellStyle name="Normal 5 17 3 4 2" xfId="36817" xr:uid="{00000000-0005-0000-0000-0000D18F0000}"/>
    <cellStyle name="Normal 5 17 3 4 3" xfId="36818" xr:uid="{00000000-0005-0000-0000-0000D28F0000}"/>
    <cellStyle name="Normal 5 17 3 4 4" xfId="36819" xr:uid="{00000000-0005-0000-0000-0000D38F0000}"/>
    <cellStyle name="Normal 5 17 3 4 5" xfId="36820" xr:uid="{00000000-0005-0000-0000-0000D48F0000}"/>
    <cellStyle name="Normal 5 17 3 4 6" xfId="36821" xr:uid="{00000000-0005-0000-0000-0000D58F0000}"/>
    <cellStyle name="Normal 5 17 3 4 7" xfId="36822" xr:uid="{00000000-0005-0000-0000-0000D68F0000}"/>
    <cellStyle name="Normal 5 17 3 4 8" xfId="36823" xr:uid="{00000000-0005-0000-0000-0000D78F0000}"/>
    <cellStyle name="Normal 5 17 3 4 9" xfId="36824" xr:uid="{00000000-0005-0000-0000-0000D88F0000}"/>
    <cellStyle name="Normal 5 17 3 5" xfId="36825" xr:uid="{00000000-0005-0000-0000-0000D98F0000}"/>
    <cellStyle name="Normal 5 17 3 5 10" xfId="36826" xr:uid="{00000000-0005-0000-0000-0000DA8F0000}"/>
    <cellStyle name="Normal 5 17 3 5 2" xfId="36827" xr:uid="{00000000-0005-0000-0000-0000DB8F0000}"/>
    <cellStyle name="Normal 5 17 3 5 3" xfId="36828" xr:uid="{00000000-0005-0000-0000-0000DC8F0000}"/>
    <cellStyle name="Normal 5 17 3 5 4" xfId="36829" xr:uid="{00000000-0005-0000-0000-0000DD8F0000}"/>
    <cellStyle name="Normal 5 17 3 5 5" xfId="36830" xr:uid="{00000000-0005-0000-0000-0000DE8F0000}"/>
    <cellStyle name="Normal 5 17 3 5 6" xfId="36831" xr:uid="{00000000-0005-0000-0000-0000DF8F0000}"/>
    <cellStyle name="Normal 5 17 3 5 7" xfId="36832" xr:uid="{00000000-0005-0000-0000-0000E08F0000}"/>
    <cellStyle name="Normal 5 17 3 5 8" xfId="36833" xr:uid="{00000000-0005-0000-0000-0000E18F0000}"/>
    <cellStyle name="Normal 5 17 3 5 9" xfId="36834" xr:uid="{00000000-0005-0000-0000-0000E28F0000}"/>
    <cellStyle name="Normal 5 17 3 6" xfId="36835" xr:uid="{00000000-0005-0000-0000-0000E38F0000}"/>
    <cellStyle name="Normal 5 17 3 7" xfId="36836" xr:uid="{00000000-0005-0000-0000-0000E48F0000}"/>
    <cellStyle name="Normal 5 17 3 8" xfId="36837" xr:uid="{00000000-0005-0000-0000-0000E58F0000}"/>
    <cellStyle name="Normal 5 17 3 9" xfId="36838" xr:uid="{00000000-0005-0000-0000-0000E68F0000}"/>
    <cellStyle name="Normal 5 17 30" xfId="36839" xr:uid="{00000000-0005-0000-0000-0000E78F0000}"/>
    <cellStyle name="Normal 5 17 30 10" xfId="36840" xr:uid="{00000000-0005-0000-0000-0000E88F0000}"/>
    <cellStyle name="Normal 5 17 30 11" xfId="36841" xr:uid="{00000000-0005-0000-0000-0000E98F0000}"/>
    <cellStyle name="Normal 5 17 30 12" xfId="36842" xr:uid="{00000000-0005-0000-0000-0000EA8F0000}"/>
    <cellStyle name="Normal 5 17 30 13" xfId="36843" xr:uid="{00000000-0005-0000-0000-0000EB8F0000}"/>
    <cellStyle name="Normal 5 17 30 14" xfId="36844" xr:uid="{00000000-0005-0000-0000-0000EC8F0000}"/>
    <cellStyle name="Normal 5 17 30 2" xfId="36845" xr:uid="{00000000-0005-0000-0000-0000ED8F0000}"/>
    <cellStyle name="Normal 5 17 30 2 10" xfId="36846" xr:uid="{00000000-0005-0000-0000-0000EE8F0000}"/>
    <cellStyle name="Normal 5 17 30 2 2" xfId="36847" xr:uid="{00000000-0005-0000-0000-0000EF8F0000}"/>
    <cellStyle name="Normal 5 17 30 2 3" xfId="36848" xr:uid="{00000000-0005-0000-0000-0000F08F0000}"/>
    <cellStyle name="Normal 5 17 30 2 4" xfId="36849" xr:uid="{00000000-0005-0000-0000-0000F18F0000}"/>
    <cellStyle name="Normal 5 17 30 2 5" xfId="36850" xr:uid="{00000000-0005-0000-0000-0000F28F0000}"/>
    <cellStyle name="Normal 5 17 30 2 6" xfId="36851" xr:uid="{00000000-0005-0000-0000-0000F38F0000}"/>
    <cellStyle name="Normal 5 17 30 2 7" xfId="36852" xr:uid="{00000000-0005-0000-0000-0000F48F0000}"/>
    <cellStyle name="Normal 5 17 30 2 8" xfId="36853" xr:uid="{00000000-0005-0000-0000-0000F58F0000}"/>
    <cellStyle name="Normal 5 17 30 2 9" xfId="36854" xr:uid="{00000000-0005-0000-0000-0000F68F0000}"/>
    <cellStyle name="Normal 5 17 30 3" xfId="36855" xr:uid="{00000000-0005-0000-0000-0000F78F0000}"/>
    <cellStyle name="Normal 5 17 30 3 10" xfId="36856" xr:uid="{00000000-0005-0000-0000-0000F88F0000}"/>
    <cellStyle name="Normal 5 17 30 3 2" xfId="36857" xr:uid="{00000000-0005-0000-0000-0000F98F0000}"/>
    <cellStyle name="Normal 5 17 30 3 3" xfId="36858" xr:uid="{00000000-0005-0000-0000-0000FA8F0000}"/>
    <cellStyle name="Normal 5 17 30 3 4" xfId="36859" xr:uid="{00000000-0005-0000-0000-0000FB8F0000}"/>
    <cellStyle name="Normal 5 17 30 3 5" xfId="36860" xr:uid="{00000000-0005-0000-0000-0000FC8F0000}"/>
    <cellStyle name="Normal 5 17 30 3 6" xfId="36861" xr:uid="{00000000-0005-0000-0000-0000FD8F0000}"/>
    <cellStyle name="Normal 5 17 30 3 7" xfId="36862" xr:uid="{00000000-0005-0000-0000-0000FE8F0000}"/>
    <cellStyle name="Normal 5 17 30 3 8" xfId="36863" xr:uid="{00000000-0005-0000-0000-0000FF8F0000}"/>
    <cellStyle name="Normal 5 17 30 3 9" xfId="36864" xr:uid="{00000000-0005-0000-0000-000000900000}"/>
    <cellStyle name="Normal 5 17 30 4" xfId="36865" xr:uid="{00000000-0005-0000-0000-000001900000}"/>
    <cellStyle name="Normal 5 17 30 4 10" xfId="36866" xr:uid="{00000000-0005-0000-0000-000002900000}"/>
    <cellStyle name="Normal 5 17 30 4 2" xfId="36867" xr:uid="{00000000-0005-0000-0000-000003900000}"/>
    <cellStyle name="Normal 5 17 30 4 3" xfId="36868" xr:uid="{00000000-0005-0000-0000-000004900000}"/>
    <cellStyle name="Normal 5 17 30 4 4" xfId="36869" xr:uid="{00000000-0005-0000-0000-000005900000}"/>
    <cellStyle name="Normal 5 17 30 4 5" xfId="36870" xr:uid="{00000000-0005-0000-0000-000006900000}"/>
    <cellStyle name="Normal 5 17 30 4 6" xfId="36871" xr:uid="{00000000-0005-0000-0000-000007900000}"/>
    <cellStyle name="Normal 5 17 30 4 7" xfId="36872" xr:uid="{00000000-0005-0000-0000-000008900000}"/>
    <cellStyle name="Normal 5 17 30 4 8" xfId="36873" xr:uid="{00000000-0005-0000-0000-000009900000}"/>
    <cellStyle name="Normal 5 17 30 4 9" xfId="36874" xr:uid="{00000000-0005-0000-0000-00000A900000}"/>
    <cellStyle name="Normal 5 17 30 5" xfId="36875" xr:uid="{00000000-0005-0000-0000-00000B900000}"/>
    <cellStyle name="Normal 5 17 30 5 10" xfId="36876" xr:uid="{00000000-0005-0000-0000-00000C900000}"/>
    <cellStyle name="Normal 5 17 30 5 2" xfId="36877" xr:uid="{00000000-0005-0000-0000-00000D900000}"/>
    <cellStyle name="Normal 5 17 30 5 3" xfId="36878" xr:uid="{00000000-0005-0000-0000-00000E900000}"/>
    <cellStyle name="Normal 5 17 30 5 4" xfId="36879" xr:uid="{00000000-0005-0000-0000-00000F900000}"/>
    <cellStyle name="Normal 5 17 30 5 5" xfId="36880" xr:uid="{00000000-0005-0000-0000-000010900000}"/>
    <cellStyle name="Normal 5 17 30 5 6" xfId="36881" xr:uid="{00000000-0005-0000-0000-000011900000}"/>
    <cellStyle name="Normal 5 17 30 5 7" xfId="36882" xr:uid="{00000000-0005-0000-0000-000012900000}"/>
    <cellStyle name="Normal 5 17 30 5 8" xfId="36883" xr:uid="{00000000-0005-0000-0000-000013900000}"/>
    <cellStyle name="Normal 5 17 30 5 9" xfId="36884" xr:uid="{00000000-0005-0000-0000-000014900000}"/>
    <cellStyle name="Normal 5 17 30 6" xfId="36885" xr:uid="{00000000-0005-0000-0000-000015900000}"/>
    <cellStyle name="Normal 5 17 30 7" xfId="36886" xr:uid="{00000000-0005-0000-0000-000016900000}"/>
    <cellStyle name="Normal 5 17 30 8" xfId="36887" xr:uid="{00000000-0005-0000-0000-000017900000}"/>
    <cellStyle name="Normal 5 17 30 9" xfId="36888" xr:uid="{00000000-0005-0000-0000-000018900000}"/>
    <cellStyle name="Normal 5 17 31" xfId="36889" xr:uid="{00000000-0005-0000-0000-000019900000}"/>
    <cellStyle name="Normal 5 17 31 10" xfId="36890" xr:uid="{00000000-0005-0000-0000-00001A900000}"/>
    <cellStyle name="Normal 5 17 31 11" xfId="36891" xr:uid="{00000000-0005-0000-0000-00001B900000}"/>
    <cellStyle name="Normal 5 17 31 12" xfId="36892" xr:uid="{00000000-0005-0000-0000-00001C900000}"/>
    <cellStyle name="Normal 5 17 31 13" xfId="36893" xr:uid="{00000000-0005-0000-0000-00001D900000}"/>
    <cellStyle name="Normal 5 17 31 14" xfId="36894" xr:uid="{00000000-0005-0000-0000-00001E900000}"/>
    <cellStyle name="Normal 5 17 31 2" xfId="36895" xr:uid="{00000000-0005-0000-0000-00001F900000}"/>
    <cellStyle name="Normal 5 17 31 2 10" xfId="36896" xr:uid="{00000000-0005-0000-0000-000020900000}"/>
    <cellStyle name="Normal 5 17 31 2 2" xfId="36897" xr:uid="{00000000-0005-0000-0000-000021900000}"/>
    <cellStyle name="Normal 5 17 31 2 3" xfId="36898" xr:uid="{00000000-0005-0000-0000-000022900000}"/>
    <cellStyle name="Normal 5 17 31 2 4" xfId="36899" xr:uid="{00000000-0005-0000-0000-000023900000}"/>
    <cellStyle name="Normal 5 17 31 2 5" xfId="36900" xr:uid="{00000000-0005-0000-0000-000024900000}"/>
    <cellStyle name="Normal 5 17 31 2 6" xfId="36901" xr:uid="{00000000-0005-0000-0000-000025900000}"/>
    <cellStyle name="Normal 5 17 31 2 7" xfId="36902" xr:uid="{00000000-0005-0000-0000-000026900000}"/>
    <cellStyle name="Normal 5 17 31 2 8" xfId="36903" xr:uid="{00000000-0005-0000-0000-000027900000}"/>
    <cellStyle name="Normal 5 17 31 2 9" xfId="36904" xr:uid="{00000000-0005-0000-0000-000028900000}"/>
    <cellStyle name="Normal 5 17 31 3" xfId="36905" xr:uid="{00000000-0005-0000-0000-000029900000}"/>
    <cellStyle name="Normal 5 17 31 3 10" xfId="36906" xr:uid="{00000000-0005-0000-0000-00002A900000}"/>
    <cellStyle name="Normal 5 17 31 3 2" xfId="36907" xr:uid="{00000000-0005-0000-0000-00002B900000}"/>
    <cellStyle name="Normal 5 17 31 3 3" xfId="36908" xr:uid="{00000000-0005-0000-0000-00002C900000}"/>
    <cellStyle name="Normal 5 17 31 3 4" xfId="36909" xr:uid="{00000000-0005-0000-0000-00002D900000}"/>
    <cellStyle name="Normal 5 17 31 3 5" xfId="36910" xr:uid="{00000000-0005-0000-0000-00002E900000}"/>
    <cellStyle name="Normal 5 17 31 3 6" xfId="36911" xr:uid="{00000000-0005-0000-0000-00002F900000}"/>
    <cellStyle name="Normal 5 17 31 3 7" xfId="36912" xr:uid="{00000000-0005-0000-0000-000030900000}"/>
    <cellStyle name="Normal 5 17 31 3 8" xfId="36913" xr:uid="{00000000-0005-0000-0000-000031900000}"/>
    <cellStyle name="Normal 5 17 31 3 9" xfId="36914" xr:uid="{00000000-0005-0000-0000-000032900000}"/>
    <cellStyle name="Normal 5 17 31 4" xfId="36915" xr:uid="{00000000-0005-0000-0000-000033900000}"/>
    <cellStyle name="Normal 5 17 31 4 10" xfId="36916" xr:uid="{00000000-0005-0000-0000-000034900000}"/>
    <cellStyle name="Normal 5 17 31 4 2" xfId="36917" xr:uid="{00000000-0005-0000-0000-000035900000}"/>
    <cellStyle name="Normal 5 17 31 4 3" xfId="36918" xr:uid="{00000000-0005-0000-0000-000036900000}"/>
    <cellStyle name="Normal 5 17 31 4 4" xfId="36919" xr:uid="{00000000-0005-0000-0000-000037900000}"/>
    <cellStyle name="Normal 5 17 31 4 5" xfId="36920" xr:uid="{00000000-0005-0000-0000-000038900000}"/>
    <cellStyle name="Normal 5 17 31 4 6" xfId="36921" xr:uid="{00000000-0005-0000-0000-000039900000}"/>
    <cellStyle name="Normal 5 17 31 4 7" xfId="36922" xr:uid="{00000000-0005-0000-0000-00003A900000}"/>
    <cellStyle name="Normal 5 17 31 4 8" xfId="36923" xr:uid="{00000000-0005-0000-0000-00003B900000}"/>
    <cellStyle name="Normal 5 17 31 4 9" xfId="36924" xr:uid="{00000000-0005-0000-0000-00003C900000}"/>
    <cellStyle name="Normal 5 17 31 5" xfId="36925" xr:uid="{00000000-0005-0000-0000-00003D900000}"/>
    <cellStyle name="Normal 5 17 31 5 10" xfId="36926" xr:uid="{00000000-0005-0000-0000-00003E900000}"/>
    <cellStyle name="Normal 5 17 31 5 2" xfId="36927" xr:uid="{00000000-0005-0000-0000-00003F900000}"/>
    <cellStyle name="Normal 5 17 31 5 3" xfId="36928" xr:uid="{00000000-0005-0000-0000-000040900000}"/>
    <cellStyle name="Normal 5 17 31 5 4" xfId="36929" xr:uid="{00000000-0005-0000-0000-000041900000}"/>
    <cellStyle name="Normal 5 17 31 5 5" xfId="36930" xr:uid="{00000000-0005-0000-0000-000042900000}"/>
    <cellStyle name="Normal 5 17 31 5 6" xfId="36931" xr:uid="{00000000-0005-0000-0000-000043900000}"/>
    <cellStyle name="Normal 5 17 31 5 7" xfId="36932" xr:uid="{00000000-0005-0000-0000-000044900000}"/>
    <cellStyle name="Normal 5 17 31 5 8" xfId="36933" xr:uid="{00000000-0005-0000-0000-000045900000}"/>
    <cellStyle name="Normal 5 17 31 5 9" xfId="36934" xr:uid="{00000000-0005-0000-0000-000046900000}"/>
    <cellStyle name="Normal 5 17 31 6" xfId="36935" xr:uid="{00000000-0005-0000-0000-000047900000}"/>
    <cellStyle name="Normal 5 17 31 7" xfId="36936" xr:uid="{00000000-0005-0000-0000-000048900000}"/>
    <cellStyle name="Normal 5 17 31 8" xfId="36937" xr:uid="{00000000-0005-0000-0000-000049900000}"/>
    <cellStyle name="Normal 5 17 31 9" xfId="36938" xr:uid="{00000000-0005-0000-0000-00004A900000}"/>
    <cellStyle name="Normal 5 17 32" xfId="36939" xr:uid="{00000000-0005-0000-0000-00004B900000}"/>
    <cellStyle name="Normal 5 17 32 10" xfId="36940" xr:uid="{00000000-0005-0000-0000-00004C900000}"/>
    <cellStyle name="Normal 5 17 32 11" xfId="36941" xr:uid="{00000000-0005-0000-0000-00004D900000}"/>
    <cellStyle name="Normal 5 17 32 12" xfId="36942" xr:uid="{00000000-0005-0000-0000-00004E900000}"/>
    <cellStyle name="Normal 5 17 32 13" xfId="36943" xr:uid="{00000000-0005-0000-0000-00004F900000}"/>
    <cellStyle name="Normal 5 17 32 14" xfId="36944" xr:uid="{00000000-0005-0000-0000-000050900000}"/>
    <cellStyle name="Normal 5 17 32 2" xfId="36945" xr:uid="{00000000-0005-0000-0000-000051900000}"/>
    <cellStyle name="Normal 5 17 32 2 10" xfId="36946" xr:uid="{00000000-0005-0000-0000-000052900000}"/>
    <cellStyle name="Normal 5 17 32 2 2" xfId="36947" xr:uid="{00000000-0005-0000-0000-000053900000}"/>
    <cellStyle name="Normal 5 17 32 2 3" xfId="36948" xr:uid="{00000000-0005-0000-0000-000054900000}"/>
    <cellStyle name="Normal 5 17 32 2 4" xfId="36949" xr:uid="{00000000-0005-0000-0000-000055900000}"/>
    <cellStyle name="Normal 5 17 32 2 5" xfId="36950" xr:uid="{00000000-0005-0000-0000-000056900000}"/>
    <cellStyle name="Normal 5 17 32 2 6" xfId="36951" xr:uid="{00000000-0005-0000-0000-000057900000}"/>
    <cellStyle name="Normal 5 17 32 2 7" xfId="36952" xr:uid="{00000000-0005-0000-0000-000058900000}"/>
    <cellStyle name="Normal 5 17 32 2 8" xfId="36953" xr:uid="{00000000-0005-0000-0000-000059900000}"/>
    <cellStyle name="Normal 5 17 32 2 9" xfId="36954" xr:uid="{00000000-0005-0000-0000-00005A900000}"/>
    <cellStyle name="Normal 5 17 32 3" xfId="36955" xr:uid="{00000000-0005-0000-0000-00005B900000}"/>
    <cellStyle name="Normal 5 17 32 3 10" xfId="36956" xr:uid="{00000000-0005-0000-0000-00005C900000}"/>
    <cellStyle name="Normal 5 17 32 3 2" xfId="36957" xr:uid="{00000000-0005-0000-0000-00005D900000}"/>
    <cellStyle name="Normal 5 17 32 3 3" xfId="36958" xr:uid="{00000000-0005-0000-0000-00005E900000}"/>
    <cellStyle name="Normal 5 17 32 3 4" xfId="36959" xr:uid="{00000000-0005-0000-0000-00005F900000}"/>
    <cellStyle name="Normal 5 17 32 3 5" xfId="36960" xr:uid="{00000000-0005-0000-0000-000060900000}"/>
    <cellStyle name="Normal 5 17 32 3 6" xfId="36961" xr:uid="{00000000-0005-0000-0000-000061900000}"/>
    <cellStyle name="Normal 5 17 32 3 7" xfId="36962" xr:uid="{00000000-0005-0000-0000-000062900000}"/>
    <cellStyle name="Normal 5 17 32 3 8" xfId="36963" xr:uid="{00000000-0005-0000-0000-000063900000}"/>
    <cellStyle name="Normal 5 17 32 3 9" xfId="36964" xr:uid="{00000000-0005-0000-0000-000064900000}"/>
    <cellStyle name="Normal 5 17 32 4" xfId="36965" xr:uid="{00000000-0005-0000-0000-000065900000}"/>
    <cellStyle name="Normal 5 17 32 4 10" xfId="36966" xr:uid="{00000000-0005-0000-0000-000066900000}"/>
    <cellStyle name="Normal 5 17 32 4 2" xfId="36967" xr:uid="{00000000-0005-0000-0000-000067900000}"/>
    <cellStyle name="Normal 5 17 32 4 3" xfId="36968" xr:uid="{00000000-0005-0000-0000-000068900000}"/>
    <cellStyle name="Normal 5 17 32 4 4" xfId="36969" xr:uid="{00000000-0005-0000-0000-000069900000}"/>
    <cellStyle name="Normal 5 17 32 4 5" xfId="36970" xr:uid="{00000000-0005-0000-0000-00006A900000}"/>
    <cellStyle name="Normal 5 17 32 4 6" xfId="36971" xr:uid="{00000000-0005-0000-0000-00006B900000}"/>
    <cellStyle name="Normal 5 17 32 4 7" xfId="36972" xr:uid="{00000000-0005-0000-0000-00006C900000}"/>
    <cellStyle name="Normal 5 17 32 4 8" xfId="36973" xr:uid="{00000000-0005-0000-0000-00006D900000}"/>
    <cellStyle name="Normal 5 17 32 4 9" xfId="36974" xr:uid="{00000000-0005-0000-0000-00006E900000}"/>
    <cellStyle name="Normal 5 17 32 5" xfId="36975" xr:uid="{00000000-0005-0000-0000-00006F900000}"/>
    <cellStyle name="Normal 5 17 32 5 10" xfId="36976" xr:uid="{00000000-0005-0000-0000-000070900000}"/>
    <cellStyle name="Normal 5 17 32 5 2" xfId="36977" xr:uid="{00000000-0005-0000-0000-000071900000}"/>
    <cellStyle name="Normal 5 17 32 5 3" xfId="36978" xr:uid="{00000000-0005-0000-0000-000072900000}"/>
    <cellStyle name="Normal 5 17 32 5 4" xfId="36979" xr:uid="{00000000-0005-0000-0000-000073900000}"/>
    <cellStyle name="Normal 5 17 32 5 5" xfId="36980" xr:uid="{00000000-0005-0000-0000-000074900000}"/>
    <cellStyle name="Normal 5 17 32 5 6" xfId="36981" xr:uid="{00000000-0005-0000-0000-000075900000}"/>
    <cellStyle name="Normal 5 17 32 5 7" xfId="36982" xr:uid="{00000000-0005-0000-0000-000076900000}"/>
    <cellStyle name="Normal 5 17 32 5 8" xfId="36983" xr:uid="{00000000-0005-0000-0000-000077900000}"/>
    <cellStyle name="Normal 5 17 32 5 9" xfId="36984" xr:uid="{00000000-0005-0000-0000-000078900000}"/>
    <cellStyle name="Normal 5 17 32 6" xfId="36985" xr:uid="{00000000-0005-0000-0000-000079900000}"/>
    <cellStyle name="Normal 5 17 32 7" xfId="36986" xr:uid="{00000000-0005-0000-0000-00007A900000}"/>
    <cellStyle name="Normal 5 17 32 8" xfId="36987" xr:uid="{00000000-0005-0000-0000-00007B900000}"/>
    <cellStyle name="Normal 5 17 32 9" xfId="36988" xr:uid="{00000000-0005-0000-0000-00007C900000}"/>
    <cellStyle name="Normal 5 17 33" xfId="36989" xr:uid="{00000000-0005-0000-0000-00007D900000}"/>
    <cellStyle name="Normal 5 17 33 10" xfId="36990" xr:uid="{00000000-0005-0000-0000-00007E900000}"/>
    <cellStyle name="Normal 5 17 33 11" xfId="36991" xr:uid="{00000000-0005-0000-0000-00007F900000}"/>
    <cellStyle name="Normal 5 17 33 12" xfId="36992" xr:uid="{00000000-0005-0000-0000-000080900000}"/>
    <cellStyle name="Normal 5 17 33 13" xfId="36993" xr:uid="{00000000-0005-0000-0000-000081900000}"/>
    <cellStyle name="Normal 5 17 33 14" xfId="36994" xr:uid="{00000000-0005-0000-0000-000082900000}"/>
    <cellStyle name="Normal 5 17 33 2" xfId="36995" xr:uid="{00000000-0005-0000-0000-000083900000}"/>
    <cellStyle name="Normal 5 17 33 2 10" xfId="36996" xr:uid="{00000000-0005-0000-0000-000084900000}"/>
    <cellStyle name="Normal 5 17 33 2 2" xfId="36997" xr:uid="{00000000-0005-0000-0000-000085900000}"/>
    <cellStyle name="Normal 5 17 33 2 3" xfId="36998" xr:uid="{00000000-0005-0000-0000-000086900000}"/>
    <cellStyle name="Normal 5 17 33 2 4" xfId="36999" xr:uid="{00000000-0005-0000-0000-000087900000}"/>
    <cellStyle name="Normal 5 17 33 2 5" xfId="37000" xr:uid="{00000000-0005-0000-0000-000088900000}"/>
    <cellStyle name="Normal 5 17 33 2 6" xfId="37001" xr:uid="{00000000-0005-0000-0000-000089900000}"/>
    <cellStyle name="Normal 5 17 33 2 7" xfId="37002" xr:uid="{00000000-0005-0000-0000-00008A900000}"/>
    <cellStyle name="Normal 5 17 33 2 8" xfId="37003" xr:uid="{00000000-0005-0000-0000-00008B900000}"/>
    <cellStyle name="Normal 5 17 33 2 9" xfId="37004" xr:uid="{00000000-0005-0000-0000-00008C900000}"/>
    <cellStyle name="Normal 5 17 33 3" xfId="37005" xr:uid="{00000000-0005-0000-0000-00008D900000}"/>
    <cellStyle name="Normal 5 17 33 3 10" xfId="37006" xr:uid="{00000000-0005-0000-0000-00008E900000}"/>
    <cellStyle name="Normal 5 17 33 3 2" xfId="37007" xr:uid="{00000000-0005-0000-0000-00008F900000}"/>
    <cellStyle name="Normal 5 17 33 3 3" xfId="37008" xr:uid="{00000000-0005-0000-0000-000090900000}"/>
    <cellStyle name="Normal 5 17 33 3 4" xfId="37009" xr:uid="{00000000-0005-0000-0000-000091900000}"/>
    <cellStyle name="Normal 5 17 33 3 5" xfId="37010" xr:uid="{00000000-0005-0000-0000-000092900000}"/>
    <cellStyle name="Normal 5 17 33 3 6" xfId="37011" xr:uid="{00000000-0005-0000-0000-000093900000}"/>
    <cellStyle name="Normal 5 17 33 3 7" xfId="37012" xr:uid="{00000000-0005-0000-0000-000094900000}"/>
    <cellStyle name="Normal 5 17 33 3 8" xfId="37013" xr:uid="{00000000-0005-0000-0000-000095900000}"/>
    <cellStyle name="Normal 5 17 33 3 9" xfId="37014" xr:uid="{00000000-0005-0000-0000-000096900000}"/>
    <cellStyle name="Normal 5 17 33 4" xfId="37015" xr:uid="{00000000-0005-0000-0000-000097900000}"/>
    <cellStyle name="Normal 5 17 33 4 10" xfId="37016" xr:uid="{00000000-0005-0000-0000-000098900000}"/>
    <cellStyle name="Normal 5 17 33 4 2" xfId="37017" xr:uid="{00000000-0005-0000-0000-000099900000}"/>
    <cellStyle name="Normal 5 17 33 4 3" xfId="37018" xr:uid="{00000000-0005-0000-0000-00009A900000}"/>
    <cellStyle name="Normal 5 17 33 4 4" xfId="37019" xr:uid="{00000000-0005-0000-0000-00009B900000}"/>
    <cellStyle name="Normal 5 17 33 4 5" xfId="37020" xr:uid="{00000000-0005-0000-0000-00009C900000}"/>
    <cellStyle name="Normal 5 17 33 4 6" xfId="37021" xr:uid="{00000000-0005-0000-0000-00009D900000}"/>
    <cellStyle name="Normal 5 17 33 4 7" xfId="37022" xr:uid="{00000000-0005-0000-0000-00009E900000}"/>
    <cellStyle name="Normal 5 17 33 4 8" xfId="37023" xr:uid="{00000000-0005-0000-0000-00009F900000}"/>
    <cellStyle name="Normal 5 17 33 4 9" xfId="37024" xr:uid="{00000000-0005-0000-0000-0000A0900000}"/>
    <cellStyle name="Normal 5 17 33 5" xfId="37025" xr:uid="{00000000-0005-0000-0000-0000A1900000}"/>
    <cellStyle name="Normal 5 17 33 5 10" xfId="37026" xr:uid="{00000000-0005-0000-0000-0000A2900000}"/>
    <cellStyle name="Normal 5 17 33 5 2" xfId="37027" xr:uid="{00000000-0005-0000-0000-0000A3900000}"/>
    <cellStyle name="Normal 5 17 33 5 3" xfId="37028" xr:uid="{00000000-0005-0000-0000-0000A4900000}"/>
    <cellStyle name="Normal 5 17 33 5 4" xfId="37029" xr:uid="{00000000-0005-0000-0000-0000A5900000}"/>
    <cellStyle name="Normal 5 17 33 5 5" xfId="37030" xr:uid="{00000000-0005-0000-0000-0000A6900000}"/>
    <cellStyle name="Normal 5 17 33 5 6" xfId="37031" xr:uid="{00000000-0005-0000-0000-0000A7900000}"/>
    <cellStyle name="Normal 5 17 33 5 7" xfId="37032" xr:uid="{00000000-0005-0000-0000-0000A8900000}"/>
    <cellStyle name="Normal 5 17 33 5 8" xfId="37033" xr:uid="{00000000-0005-0000-0000-0000A9900000}"/>
    <cellStyle name="Normal 5 17 33 5 9" xfId="37034" xr:uid="{00000000-0005-0000-0000-0000AA900000}"/>
    <cellStyle name="Normal 5 17 33 6" xfId="37035" xr:uid="{00000000-0005-0000-0000-0000AB900000}"/>
    <cellStyle name="Normal 5 17 33 7" xfId="37036" xr:uid="{00000000-0005-0000-0000-0000AC900000}"/>
    <cellStyle name="Normal 5 17 33 8" xfId="37037" xr:uid="{00000000-0005-0000-0000-0000AD900000}"/>
    <cellStyle name="Normal 5 17 33 9" xfId="37038" xr:uid="{00000000-0005-0000-0000-0000AE900000}"/>
    <cellStyle name="Normal 5 17 34" xfId="37039" xr:uid="{00000000-0005-0000-0000-0000AF900000}"/>
    <cellStyle name="Normal 5 17 34 10" xfId="37040" xr:uid="{00000000-0005-0000-0000-0000B0900000}"/>
    <cellStyle name="Normal 5 17 34 11" xfId="37041" xr:uid="{00000000-0005-0000-0000-0000B1900000}"/>
    <cellStyle name="Normal 5 17 34 12" xfId="37042" xr:uid="{00000000-0005-0000-0000-0000B2900000}"/>
    <cellStyle name="Normal 5 17 34 13" xfId="37043" xr:uid="{00000000-0005-0000-0000-0000B3900000}"/>
    <cellStyle name="Normal 5 17 34 14" xfId="37044" xr:uid="{00000000-0005-0000-0000-0000B4900000}"/>
    <cellStyle name="Normal 5 17 34 2" xfId="37045" xr:uid="{00000000-0005-0000-0000-0000B5900000}"/>
    <cellStyle name="Normal 5 17 34 2 10" xfId="37046" xr:uid="{00000000-0005-0000-0000-0000B6900000}"/>
    <cellStyle name="Normal 5 17 34 2 2" xfId="37047" xr:uid="{00000000-0005-0000-0000-0000B7900000}"/>
    <cellStyle name="Normal 5 17 34 2 3" xfId="37048" xr:uid="{00000000-0005-0000-0000-0000B8900000}"/>
    <cellStyle name="Normal 5 17 34 2 4" xfId="37049" xr:uid="{00000000-0005-0000-0000-0000B9900000}"/>
    <cellStyle name="Normal 5 17 34 2 5" xfId="37050" xr:uid="{00000000-0005-0000-0000-0000BA900000}"/>
    <cellStyle name="Normal 5 17 34 2 6" xfId="37051" xr:uid="{00000000-0005-0000-0000-0000BB900000}"/>
    <cellStyle name="Normal 5 17 34 2 7" xfId="37052" xr:uid="{00000000-0005-0000-0000-0000BC900000}"/>
    <cellStyle name="Normal 5 17 34 2 8" xfId="37053" xr:uid="{00000000-0005-0000-0000-0000BD900000}"/>
    <cellStyle name="Normal 5 17 34 2 9" xfId="37054" xr:uid="{00000000-0005-0000-0000-0000BE900000}"/>
    <cellStyle name="Normal 5 17 34 3" xfId="37055" xr:uid="{00000000-0005-0000-0000-0000BF900000}"/>
    <cellStyle name="Normal 5 17 34 3 10" xfId="37056" xr:uid="{00000000-0005-0000-0000-0000C0900000}"/>
    <cellStyle name="Normal 5 17 34 3 2" xfId="37057" xr:uid="{00000000-0005-0000-0000-0000C1900000}"/>
    <cellStyle name="Normal 5 17 34 3 3" xfId="37058" xr:uid="{00000000-0005-0000-0000-0000C2900000}"/>
    <cellStyle name="Normal 5 17 34 3 4" xfId="37059" xr:uid="{00000000-0005-0000-0000-0000C3900000}"/>
    <cellStyle name="Normal 5 17 34 3 5" xfId="37060" xr:uid="{00000000-0005-0000-0000-0000C4900000}"/>
    <cellStyle name="Normal 5 17 34 3 6" xfId="37061" xr:uid="{00000000-0005-0000-0000-0000C5900000}"/>
    <cellStyle name="Normal 5 17 34 3 7" xfId="37062" xr:uid="{00000000-0005-0000-0000-0000C6900000}"/>
    <cellStyle name="Normal 5 17 34 3 8" xfId="37063" xr:uid="{00000000-0005-0000-0000-0000C7900000}"/>
    <cellStyle name="Normal 5 17 34 3 9" xfId="37064" xr:uid="{00000000-0005-0000-0000-0000C8900000}"/>
    <cellStyle name="Normal 5 17 34 4" xfId="37065" xr:uid="{00000000-0005-0000-0000-0000C9900000}"/>
    <cellStyle name="Normal 5 17 34 4 10" xfId="37066" xr:uid="{00000000-0005-0000-0000-0000CA900000}"/>
    <cellStyle name="Normal 5 17 34 4 2" xfId="37067" xr:uid="{00000000-0005-0000-0000-0000CB900000}"/>
    <cellStyle name="Normal 5 17 34 4 3" xfId="37068" xr:uid="{00000000-0005-0000-0000-0000CC900000}"/>
    <cellStyle name="Normal 5 17 34 4 4" xfId="37069" xr:uid="{00000000-0005-0000-0000-0000CD900000}"/>
    <cellStyle name="Normal 5 17 34 4 5" xfId="37070" xr:uid="{00000000-0005-0000-0000-0000CE900000}"/>
    <cellStyle name="Normal 5 17 34 4 6" xfId="37071" xr:uid="{00000000-0005-0000-0000-0000CF900000}"/>
    <cellStyle name="Normal 5 17 34 4 7" xfId="37072" xr:uid="{00000000-0005-0000-0000-0000D0900000}"/>
    <cellStyle name="Normal 5 17 34 4 8" xfId="37073" xr:uid="{00000000-0005-0000-0000-0000D1900000}"/>
    <cellStyle name="Normal 5 17 34 4 9" xfId="37074" xr:uid="{00000000-0005-0000-0000-0000D2900000}"/>
    <cellStyle name="Normal 5 17 34 5" xfId="37075" xr:uid="{00000000-0005-0000-0000-0000D3900000}"/>
    <cellStyle name="Normal 5 17 34 5 10" xfId="37076" xr:uid="{00000000-0005-0000-0000-0000D4900000}"/>
    <cellStyle name="Normal 5 17 34 5 2" xfId="37077" xr:uid="{00000000-0005-0000-0000-0000D5900000}"/>
    <cellStyle name="Normal 5 17 34 5 3" xfId="37078" xr:uid="{00000000-0005-0000-0000-0000D6900000}"/>
    <cellStyle name="Normal 5 17 34 5 4" xfId="37079" xr:uid="{00000000-0005-0000-0000-0000D7900000}"/>
    <cellStyle name="Normal 5 17 34 5 5" xfId="37080" xr:uid="{00000000-0005-0000-0000-0000D8900000}"/>
    <cellStyle name="Normal 5 17 34 5 6" xfId="37081" xr:uid="{00000000-0005-0000-0000-0000D9900000}"/>
    <cellStyle name="Normal 5 17 34 5 7" xfId="37082" xr:uid="{00000000-0005-0000-0000-0000DA900000}"/>
    <cellStyle name="Normal 5 17 34 5 8" xfId="37083" xr:uid="{00000000-0005-0000-0000-0000DB900000}"/>
    <cellStyle name="Normal 5 17 34 5 9" xfId="37084" xr:uid="{00000000-0005-0000-0000-0000DC900000}"/>
    <cellStyle name="Normal 5 17 34 6" xfId="37085" xr:uid="{00000000-0005-0000-0000-0000DD900000}"/>
    <cellStyle name="Normal 5 17 34 7" xfId="37086" xr:uid="{00000000-0005-0000-0000-0000DE900000}"/>
    <cellStyle name="Normal 5 17 34 8" xfId="37087" xr:uid="{00000000-0005-0000-0000-0000DF900000}"/>
    <cellStyle name="Normal 5 17 34 9" xfId="37088" xr:uid="{00000000-0005-0000-0000-0000E0900000}"/>
    <cellStyle name="Normal 5 17 35" xfId="37089" xr:uid="{00000000-0005-0000-0000-0000E1900000}"/>
    <cellStyle name="Normal 5 17 35 10" xfId="37090" xr:uid="{00000000-0005-0000-0000-0000E2900000}"/>
    <cellStyle name="Normal 5 17 35 2" xfId="37091" xr:uid="{00000000-0005-0000-0000-0000E3900000}"/>
    <cellStyle name="Normal 5 17 35 3" xfId="37092" xr:uid="{00000000-0005-0000-0000-0000E4900000}"/>
    <cellStyle name="Normal 5 17 35 4" xfId="37093" xr:uid="{00000000-0005-0000-0000-0000E5900000}"/>
    <cellStyle name="Normal 5 17 35 5" xfId="37094" xr:uid="{00000000-0005-0000-0000-0000E6900000}"/>
    <cellStyle name="Normal 5 17 35 6" xfId="37095" xr:uid="{00000000-0005-0000-0000-0000E7900000}"/>
    <cellStyle name="Normal 5 17 35 7" xfId="37096" xr:uid="{00000000-0005-0000-0000-0000E8900000}"/>
    <cellStyle name="Normal 5 17 35 8" xfId="37097" xr:uid="{00000000-0005-0000-0000-0000E9900000}"/>
    <cellStyle name="Normal 5 17 35 9" xfId="37098" xr:uid="{00000000-0005-0000-0000-0000EA900000}"/>
    <cellStyle name="Normal 5 17 36" xfId="37099" xr:uid="{00000000-0005-0000-0000-0000EB900000}"/>
    <cellStyle name="Normal 5 17 36 10" xfId="37100" xr:uid="{00000000-0005-0000-0000-0000EC900000}"/>
    <cellStyle name="Normal 5 17 36 2" xfId="37101" xr:uid="{00000000-0005-0000-0000-0000ED900000}"/>
    <cellStyle name="Normal 5 17 36 3" xfId="37102" xr:uid="{00000000-0005-0000-0000-0000EE900000}"/>
    <cellStyle name="Normal 5 17 36 4" xfId="37103" xr:uid="{00000000-0005-0000-0000-0000EF900000}"/>
    <cellStyle name="Normal 5 17 36 5" xfId="37104" xr:uid="{00000000-0005-0000-0000-0000F0900000}"/>
    <cellStyle name="Normal 5 17 36 6" xfId="37105" xr:uid="{00000000-0005-0000-0000-0000F1900000}"/>
    <cellStyle name="Normal 5 17 36 7" xfId="37106" xr:uid="{00000000-0005-0000-0000-0000F2900000}"/>
    <cellStyle name="Normal 5 17 36 8" xfId="37107" xr:uid="{00000000-0005-0000-0000-0000F3900000}"/>
    <cellStyle name="Normal 5 17 36 9" xfId="37108" xr:uid="{00000000-0005-0000-0000-0000F4900000}"/>
    <cellStyle name="Normal 5 17 37" xfId="37109" xr:uid="{00000000-0005-0000-0000-0000F5900000}"/>
    <cellStyle name="Normal 5 17 37 10" xfId="37110" xr:uid="{00000000-0005-0000-0000-0000F6900000}"/>
    <cellStyle name="Normal 5 17 37 2" xfId="37111" xr:uid="{00000000-0005-0000-0000-0000F7900000}"/>
    <cellStyle name="Normal 5 17 37 3" xfId="37112" xr:uid="{00000000-0005-0000-0000-0000F8900000}"/>
    <cellStyle name="Normal 5 17 37 4" xfId="37113" xr:uid="{00000000-0005-0000-0000-0000F9900000}"/>
    <cellStyle name="Normal 5 17 37 5" xfId="37114" xr:uid="{00000000-0005-0000-0000-0000FA900000}"/>
    <cellStyle name="Normal 5 17 37 6" xfId="37115" xr:uid="{00000000-0005-0000-0000-0000FB900000}"/>
    <cellStyle name="Normal 5 17 37 7" xfId="37116" xr:uid="{00000000-0005-0000-0000-0000FC900000}"/>
    <cellStyle name="Normal 5 17 37 8" xfId="37117" xr:uid="{00000000-0005-0000-0000-0000FD900000}"/>
    <cellStyle name="Normal 5 17 37 9" xfId="37118" xr:uid="{00000000-0005-0000-0000-0000FE900000}"/>
    <cellStyle name="Normal 5 17 38" xfId="37119" xr:uid="{00000000-0005-0000-0000-0000FF900000}"/>
    <cellStyle name="Normal 5 17 38 10" xfId="37120" xr:uid="{00000000-0005-0000-0000-000000910000}"/>
    <cellStyle name="Normal 5 17 38 2" xfId="37121" xr:uid="{00000000-0005-0000-0000-000001910000}"/>
    <cellStyle name="Normal 5 17 38 3" xfId="37122" xr:uid="{00000000-0005-0000-0000-000002910000}"/>
    <cellStyle name="Normal 5 17 38 4" xfId="37123" xr:uid="{00000000-0005-0000-0000-000003910000}"/>
    <cellStyle name="Normal 5 17 38 5" xfId="37124" xr:uid="{00000000-0005-0000-0000-000004910000}"/>
    <cellStyle name="Normal 5 17 38 6" xfId="37125" xr:uid="{00000000-0005-0000-0000-000005910000}"/>
    <cellStyle name="Normal 5 17 38 7" xfId="37126" xr:uid="{00000000-0005-0000-0000-000006910000}"/>
    <cellStyle name="Normal 5 17 38 8" xfId="37127" xr:uid="{00000000-0005-0000-0000-000007910000}"/>
    <cellStyle name="Normal 5 17 38 9" xfId="37128" xr:uid="{00000000-0005-0000-0000-000008910000}"/>
    <cellStyle name="Normal 5 17 39" xfId="37129" xr:uid="{00000000-0005-0000-0000-000009910000}"/>
    <cellStyle name="Normal 5 17 4" xfId="37130" xr:uid="{00000000-0005-0000-0000-00000A910000}"/>
    <cellStyle name="Normal 5 17 4 10" xfId="37131" xr:uid="{00000000-0005-0000-0000-00000B910000}"/>
    <cellStyle name="Normal 5 17 4 11" xfId="37132" xr:uid="{00000000-0005-0000-0000-00000C910000}"/>
    <cellStyle name="Normal 5 17 4 12" xfId="37133" xr:uid="{00000000-0005-0000-0000-00000D910000}"/>
    <cellStyle name="Normal 5 17 4 13" xfId="37134" xr:uid="{00000000-0005-0000-0000-00000E910000}"/>
    <cellStyle name="Normal 5 17 4 14" xfId="37135" xr:uid="{00000000-0005-0000-0000-00000F910000}"/>
    <cellStyle name="Normal 5 17 4 2" xfId="37136" xr:uid="{00000000-0005-0000-0000-000010910000}"/>
    <cellStyle name="Normal 5 17 4 2 10" xfId="37137" xr:uid="{00000000-0005-0000-0000-000011910000}"/>
    <cellStyle name="Normal 5 17 4 2 2" xfId="37138" xr:uid="{00000000-0005-0000-0000-000012910000}"/>
    <cellStyle name="Normal 5 17 4 2 3" xfId="37139" xr:uid="{00000000-0005-0000-0000-000013910000}"/>
    <cellStyle name="Normal 5 17 4 2 4" xfId="37140" xr:uid="{00000000-0005-0000-0000-000014910000}"/>
    <cellStyle name="Normal 5 17 4 2 5" xfId="37141" xr:uid="{00000000-0005-0000-0000-000015910000}"/>
    <cellStyle name="Normal 5 17 4 2 6" xfId="37142" xr:uid="{00000000-0005-0000-0000-000016910000}"/>
    <cellStyle name="Normal 5 17 4 2 7" xfId="37143" xr:uid="{00000000-0005-0000-0000-000017910000}"/>
    <cellStyle name="Normal 5 17 4 2 8" xfId="37144" xr:uid="{00000000-0005-0000-0000-000018910000}"/>
    <cellStyle name="Normal 5 17 4 2 9" xfId="37145" xr:uid="{00000000-0005-0000-0000-000019910000}"/>
    <cellStyle name="Normal 5 17 4 3" xfId="37146" xr:uid="{00000000-0005-0000-0000-00001A910000}"/>
    <cellStyle name="Normal 5 17 4 3 10" xfId="37147" xr:uid="{00000000-0005-0000-0000-00001B910000}"/>
    <cellStyle name="Normal 5 17 4 3 2" xfId="37148" xr:uid="{00000000-0005-0000-0000-00001C910000}"/>
    <cellStyle name="Normal 5 17 4 3 3" xfId="37149" xr:uid="{00000000-0005-0000-0000-00001D910000}"/>
    <cellStyle name="Normal 5 17 4 3 4" xfId="37150" xr:uid="{00000000-0005-0000-0000-00001E910000}"/>
    <cellStyle name="Normal 5 17 4 3 5" xfId="37151" xr:uid="{00000000-0005-0000-0000-00001F910000}"/>
    <cellStyle name="Normal 5 17 4 3 6" xfId="37152" xr:uid="{00000000-0005-0000-0000-000020910000}"/>
    <cellStyle name="Normal 5 17 4 3 7" xfId="37153" xr:uid="{00000000-0005-0000-0000-000021910000}"/>
    <cellStyle name="Normal 5 17 4 3 8" xfId="37154" xr:uid="{00000000-0005-0000-0000-000022910000}"/>
    <cellStyle name="Normal 5 17 4 3 9" xfId="37155" xr:uid="{00000000-0005-0000-0000-000023910000}"/>
    <cellStyle name="Normal 5 17 4 4" xfId="37156" xr:uid="{00000000-0005-0000-0000-000024910000}"/>
    <cellStyle name="Normal 5 17 4 4 10" xfId="37157" xr:uid="{00000000-0005-0000-0000-000025910000}"/>
    <cellStyle name="Normal 5 17 4 4 2" xfId="37158" xr:uid="{00000000-0005-0000-0000-000026910000}"/>
    <cellStyle name="Normal 5 17 4 4 3" xfId="37159" xr:uid="{00000000-0005-0000-0000-000027910000}"/>
    <cellStyle name="Normal 5 17 4 4 4" xfId="37160" xr:uid="{00000000-0005-0000-0000-000028910000}"/>
    <cellStyle name="Normal 5 17 4 4 5" xfId="37161" xr:uid="{00000000-0005-0000-0000-000029910000}"/>
    <cellStyle name="Normal 5 17 4 4 6" xfId="37162" xr:uid="{00000000-0005-0000-0000-00002A910000}"/>
    <cellStyle name="Normal 5 17 4 4 7" xfId="37163" xr:uid="{00000000-0005-0000-0000-00002B910000}"/>
    <cellStyle name="Normal 5 17 4 4 8" xfId="37164" xr:uid="{00000000-0005-0000-0000-00002C910000}"/>
    <cellStyle name="Normal 5 17 4 4 9" xfId="37165" xr:uid="{00000000-0005-0000-0000-00002D910000}"/>
    <cellStyle name="Normal 5 17 4 5" xfId="37166" xr:uid="{00000000-0005-0000-0000-00002E910000}"/>
    <cellStyle name="Normal 5 17 4 5 10" xfId="37167" xr:uid="{00000000-0005-0000-0000-00002F910000}"/>
    <cellStyle name="Normal 5 17 4 5 2" xfId="37168" xr:uid="{00000000-0005-0000-0000-000030910000}"/>
    <cellStyle name="Normal 5 17 4 5 3" xfId="37169" xr:uid="{00000000-0005-0000-0000-000031910000}"/>
    <cellStyle name="Normal 5 17 4 5 4" xfId="37170" xr:uid="{00000000-0005-0000-0000-000032910000}"/>
    <cellStyle name="Normal 5 17 4 5 5" xfId="37171" xr:uid="{00000000-0005-0000-0000-000033910000}"/>
    <cellStyle name="Normal 5 17 4 5 6" xfId="37172" xr:uid="{00000000-0005-0000-0000-000034910000}"/>
    <cellStyle name="Normal 5 17 4 5 7" xfId="37173" xr:uid="{00000000-0005-0000-0000-000035910000}"/>
    <cellStyle name="Normal 5 17 4 5 8" xfId="37174" xr:uid="{00000000-0005-0000-0000-000036910000}"/>
    <cellStyle name="Normal 5 17 4 5 9" xfId="37175" xr:uid="{00000000-0005-0000-0000-000037910000}"/>
    <cellStyle name="Normal 5 17 4 6" xfId="37176" xr:uid="{00000000-0005-0000-0000-000038910000}"/>
    <cellStyle name="Normal 5 17 4 7" xfId="37177" xr:uid="{00000000-0005-0000-0000-000039910000}"/>
    <cellStyle name="Normal 5 17 4 8" xfId="37178" xr:uid="{00000000-0005-0000-0000-00003A910000}"/>
    <cellStyle name="Normal 5 17 4 9" xfId="37179" xr:uid="{00000000-0005-0000-0000-00003B910000}"/>
    <cellStyle name="Normal 5 17 40" xfId="37180" xr:uid="{00000000-0005-0000-0000-00003C910000}"/>
    <cellStyle name="Normal 5 17 41" xfId="37181" xr:uid="{00000000-0005-0000-0000-00003D910000}"/>
    <cellStyle name="Normal 5 17 42" xfId="37182" xr:uid="{00000000-0005-0000-0000-00003E910000}"/>
    <cellStyle name="Normal 5 17 43" xfId="37183" xr:uid="{00000000-0005-0000-0000-00003F910000}"/>
    <cellStyle name="Normal 5 17 44" xfId="37184" xr:uid="{00000000-0005-0000-0000-000040910000}"/>
    <cellStyle name="Normal 5 17 45" xfId="37185" xr:uid="{00000000-0005-0000-0000-000041910000}"/>
    <cellStyle name="Normal 5 17 46" xfId="37186" xr:uid="{00000000-0005-0000-0000-000042910000}"/>
    <cellStyle name="Normal 5 17 47" xfId="37187" xr:uid="{00000000-0005-0000-0000-000043910000}"/>
    <cellStyle name="Normal 5 17 48" xfId="37188" xr:uid="{00000000-0005-0000-0000-000044910000}"/>
    <cellStyle name="Normal 5 17 49" xfId="37189" xr:uid="{00000000-0005-0000-0000-000045910000}"/>
    <cellStyle name="Normal 5 17 5" xfId="37190" xr:uid="{00000000-0005-0000-0000-000046910000}"/>
    <cellStyle name="Normal 5 17 5 10" xfId="37191" xr:uid="{00000000-0005-0000-0000-000047910000}"/>
    <cellStyle name="Normal 5 17 5 11" xfId="37192" xr:uid="{00000000-0005-0000-0000-000048910000}"/>
    <cellStyle name="Normal 5 17 5 12" xfId="37193" xr:uid="{00000000-0005-0000-0000-000049910000}"/>
    <cellStyle name="Normal 5 17 5 13" xfId="37194" xr:uid="{00000000-0005-0000-0000-00004A910000}"/>
    <cellStyle name="Normal 5 17 5 14" xfId="37195" xr:uid="{00000000-0005-0000-0000-00004B910000}"/>
    <cellStyle name="Normal 5 17 5 2" xfId="37196" xr:uid="{00000000-0005-0000-0000-00004C910000}"/>
    <cellStyle name="Normal 5 17 5 2 10" xfId="37197" xr:uid="{00000000-0005-0000-0000-00004D910000}"/>
    <cellStyle name="Normal 5 17 5 2 2" xfId="37198" xr:uid="{00000000-0005-0000-0000-00004E910000}"/>
    <cellStyle name="Normal 5 17 5 2 3" xfId="37199" xr:uid="{00000000-0005-0000-0000-00004F910000}"/>
    <cellStyle name="Normal 5 17 5 2 4" xfId="37200" xr:uid="{00000000-0005-0000-0000-000050910000}"/>
    <cellStyle name="Normal 5 17 5 2 5" xfId="37201" xr:uid="{00000000-0005-0000-0000-000051910000}"/>
    <cellStyle name="Normal 5 17 5 2 6" xfId="37202" xr:uid="{00000000-0005-0000-0000-000052910000}"/>
    <cellStyle name="Normal 5 17 5 2 7" xfId="37203" xr:uid="{00000000-0005-0000-0000-000053910000}"/>
    <cellStyle name="Normal 5 17 5 2 8" xfId="37204" xr:uid="{00000000-0005-0000-0000-000054910000}"/>
    <cellStyle name="Normal 5 17 5 2 9" xfId="37205" xr:uid="{00000000-0005-0000-0000-000055910000}"/>
    <cellStyle name="Normal 5 17 5 3" xfId="37206" xr:uid="{00000000-0005-0000-0000-000056910000}"/>
    <cellStyle name="Normal 5 17 5 3 10" xfId="37207" xr:uid="{00000000-0005-0000-0000-000057910000}"/>
    <cellStyle name="Normal 5 17 5 3 2" xfId="37208" xr:uid="{00000000-0005-0000-0000-000058910000}"/>
    <cellStyle name="Normal 5 17 5 3 3" xfId="37209" xr:uid="{00000000-0005-0000-0000-000059910000}"/>
    <cellStyle name="Normal 5 17 5 3 4" xfId="37210" xr:uid="{00000000-0005-0000-0000-00005A910000}"/>
    <cellStyle name="Normal 5 17 5 3 5" xfId="37211" xr:uid="{00000000-0005-0000-0000-00005B910000}"/>
    <cellStyle name="Normal 5 17 5 3 6" xfId="37212" xr:uid="{00000000-0005-0000-0000-00005C910000}"/>
    <cellStyle name="Normal 5 17 5 3 7" xfId="37213" xr:uid="{00000000-0005-0000-0000-00005D910000}"/>
    <cellStyle name="Normal 5 17 5 3 8" xfId="37214" xr:uid="{00000000-0005-0000-0000-00005E910000}"/>
    <cellStyle name="Normal 5 17 5 3 9" xfId="37215" xr:uid="{00000000-0005-0000-0000-00005F910000}"/>
    <cellStyle name="Normal 5 17 5 4" xfId="37216" xr:uid="{00000000-0005-0000-0000-000060910000}"/>
    <cellStyle name="Normal 5 17 5 4 10" xfId="37217" xr:uid="{00000000-0005-0000-0000-000061910000}"/>
    <cellStyle name="Normal 5 17 5 4 2" xfId="37218" xr:uid="{00000000-0005-0000-0000-000062910000}"/>
    <cellStyle name="Normal 5 17 5 4 3" xfId="37219" xr:uid="{00000000-0005-0000-0000-000063910000}"/>
    <cellStyle name="Normal 5 17 5 4 4" xfId="37220" xr:uid="{00000000-0005-0000-0000-000064910000}"/>
    <cellStyle name="Normal 5 17 5 4 5" xfId="37221" xr:uid="{00000000-0005-0000-0000-000065910000}"/>
    <cellStyle name="Normal 5 17 5 4 6" xfId="37222" xr:uid="{00000000-0005-0000-0000-000066910000}"/>
    <cellStyle name="Normal 5 17 5 4 7" xfId="37223" xr:uid="{00000000-0005-0000-0000-000067910000}"/>
    <cellStyle name="Normal 5 17 5 4 8" xfId="37224" xr:uid="{00000000-0005-0000-0000-000068910000}"/>
    <cellStyle name="Normal 5 17 5 4 9" xfId="37225" xr:uid="{00000000-0005-0000-0000-000069910000}"/>
    <cellStyle name="Normal 5 17 5 5" xfId="37226" xr:uid="{00000000-0005-0000-0000-00006A910000}"/>
    <cellStyle name="Normal 5 17 5 5 10" xfId="37227" xr:uid="{00000000-0005-0000-0000-00006B910000}"/>
    <cellStyle name="Normal 5 17 5 5 2" xfId="37228" xr:uid="{00000000-0005-0000-0000-00006C910000}"/>
    <cellStyle name="Normal 5 17 5 5 3" xfId="37229" xr:uid="{00000000-0005-0000-0000-00006D910000}"/>
    <cellStyle name="Normal 5 17 5 5 4" xfId="37230" xr:uid="{00000000-0005-0000-0000-00006E910000}"/>
    <cellStyle name="Normal 5 17 5 5 5" xfId="37231" xr:uid="{00000000-0005-0000-0000-00006F910000}"/>
    <cellStyle name="Normal 5 17 5 5 6" xfId="37232" xr:uid="{00000000-0005-0000-0000-000070910000}"/>
    <cellStyle name="Normal 5 17 5 5 7" xfId="37233" xr:uid="{00000000-0005-0000-0000-000071910000}"/>
    <cellStyle name="Normal 5 17 5 5 8" xfId="37234" xr:uid="{00000000-0005-0000-0000-000072910000}"/>
    <cellStyle name="Normal 5 17 5 5 9" xfId="37235" xr:uid="{00000000-0005-0000-0000-000073910000}"/>
    <cellStyle name="Normal 5 17 5 6" xfId="37236" xr:uid="{00000000-0005-0000-0000-000074910000}"/>
    <cellStyle name="Normal 5 17 5 7" xfId="37237" xr:uid="{00000000-0005-0000-0000-000075910000}"/>
    <cellStyle name="Normal 5 17 5 8" xfId="37238" xr:uid="{00000000-0005-0000-0000-000076910000}"/>
    <cellStyle name="Normal 5 17 5 9" xfId="37239" xr:uid="{00000000-0005-0000-0000-000077910000}"/>
    <cellStyle name="Normal 5 17 6" xfId="37240" xr:uid="{00000000-0005-0000-0000-000078910000}"/>
    <cellStyle name="Normal 5 17 6 10" xfId="37241" xr:uid="{00000000-0005-0000-0000-000079910000}"/>
    <cellStyle name="Normal 5 17 6 11" xfId="37242" xr:uid="{00000000-0005-0000-0000-00007A910000}"/>
    <cellStyle name="Normal 5 17 6 12" xfId="37243" xr:uid="{00000000-0005-0000-0000-00007B910000}"/>
    <cellStyle name="Normal 5 17 6 13" xfId="37244" xr:uid="{00000000-0005-0000-0000-00007C910000}"/>
    <cellStyle name="Normal 5 17 6 14" xfId="37245" xr:uid="{00000000-0005-0000-0000-00007D910000}"/>
    <cellStyle name="Normal 5 17 6 2" xfId="37246" xr:uid="{00000000-0005-0000-0000-00007E910000}"/>
    <cellStyle name="Normal 5 17 6 2 10" xfId="37247" xr:uid="{00000000-0005-0000-0000-00007F910000}"/>
    <cellStyle name="Normal 5 17 6 2 2" xfId="37248" xr:uid="{00000000-0005-0000-0000-000080910000}"/>
    <cellStyle name="Normal 5 17 6 2 3" xfId="37249" xr:uid="{00000000-0005-0000-0000-000081910000}"/>
    <cellStyle name="Normal 5 17 6 2 4" xfId="37250" xr:uid="{00000000-0005-0000-0000-000082910000}"/>
    <cellStyle name="Normal 5 17 6 2 5" xfId="37251" xr:uid="{00000000-0005-0000-0000-000083910000}"/>
    <cellStyle name="Normal 5 17 6 2 6" xfId="37252" xr:uid="{00000000-0005-0000-0000-000084910000}"/>
    <cellStyle name="Normal 5 17 6 2 7" xfId="37253" xr:uid="{00000000-0005-0000-0000-000085910000}"/>
    <cellStyle name="Normal 5 17 6 2 8" xfId="37254" xr:uid="{00000000-0005-0000-0000-000086910000}"/>
    <cellStyle name="Normal 5 17 6 2 9" xfId="37255" xr:uid="{00000000-0005-0000-0000-000087910000}"/>
    <cellStyle name="Normal 5 17 6 3" xfId="37256" xr:uid="{00000000-0005-0000-0000-000088910000}"/>
    <cellStyle name="Normal 5 17 6 3 10" xfId="37257" xr:uid="{00000000-0005-0000-0000-000089910000}"/>
    <cellStyle name="Normal 5 17 6 3 2" xfId="37258" xr:uid="{00000000-0005-0000-0000-00008A910000}"/>
    <cellStyle name="Normal 5 17 6 3 3" xfId="37259" xr:uid="{00000000-0005-0000-0000-00008B910000}"/>
    <cellStyle name="Normal 5 17 6 3 4" xfId="37260" xr:uid="{00000000-0005-0000-0000-00008C910000}"/>
    <cellStyle name="Normal 5 17 6 3 5" xfId="37261" xr:uid="{00000000-0005-0000-0000-00008D910000}"/>
    <cellStyle name="Normal 5 17 6 3 6" xfId="37262" xr:uid="{00000000-0005-0000-0000-00008E910000}"/>
    <cellStyle name="Normal 5 17 6 3 7" xfId="37263" xr:uid="{00000000-0005-0000-0000-00008F910000}"/>
    <cellStyle name="Normal 5 17 6 3 8" xfId="37264" xr:uid="{00000000-0005-0000-0000-000090910000}"/>
    <cellStyle name="Normal 5 17 6 3 9" xfId="37265" xr:uid="{00000000-0005-0000-0000-000091910000}"/>
    <cellStyle name="Normal 5 17 6 4" xfId="37266" xr:uid="{00000000-0005-0000-0000-000092910000}"/>
    <cellStyle name="Normal 5 17 6 4 10" xfId="37267" xr:uid="{00000000-0005-0000-0000-000093910000}"/>
    <cellStyle name="Normal 5 17 6 4 2" xfId="37268" xr:uid="{00000000-0005-0000-0000-000094910000}"/>
    <cellStyle name="Normal 5 17 6 4 3" xfId="37269" xr:uid="{00000000-0005-0000-0000-000095910000}"/>
    <cellStyle name="Normal 5 17 6 4 4" xfId="37270" xr:uid="{00000000-0005-0000-0000-000096910000}"/>
    <cellStyle name="Normal 5 17 6 4 5" xfId="37271" xr:uid="{00000000-0005-0000-0000-000097910000}"/>
    <cellStyle name="Normal 5 17 6 4 6" xfId="37272" xr:uid="{00000000-0005-0000-0000-000098910000}"/>
    <cellStyle name="Normal 5 17 6 4 7" xfId="37273" xr:uid="{00000000-0005-0000-0000-000099910000}"/>
    <cellStyle name="Normal 5 17 6 4 8" xfId="37274" xr:uid="{00000000-0005-0000-0000-00009A910000}"/>
    <cellStyle name="Normal 5 17 6 4 9" xfId="37275" xr:uid="{00000000-0005-0000-0000-00009B910000}"/>
    <cellStyle name="Normal 5 17 6 5" xfId="37276" xr:uid="{00000000-0005-0000-0000-00009C910000}"/>
    <cellStyle name="Normal 5 17 6 5 10" xfId="37277" xr:uid="{00000000-0005-0000-0000-00009D910000}"/>
    <cellStyle name="Normal 5 17 6 5 2" xfId="37278" xr:uid="{00000000-0005-0000-0000-00009E910000}"/>
    <cellStyle name="Normal 5 17 6 5 3" xfId="37279" xr:uid="{00000000-0005-0000-0000-00009F910000}"/>
    <cellStyle name="Normal 5 17 6 5 4" xfId="37280" xr:uid="{00000000-0005-0000-0000-0000A0910000}"/>
    <cellStyle name="Normal 5 17 6 5 5" xfId="37281" xr:uid="{00000000-0005-0000-0000-0000A1910000}"/>
    <cellStyle name="Normal 5 17 6 5 6" xfId="37282" xr:uid="{00000000-0005-0000-0000-0000A2910000}"/>
    <cellStyle name="Normal 5 17 6 5 7" xfId="37283" xr:uid="{00000000-0005-0000-0000-0000A3910000}"/>
    <cellStyle name="Normal 5 17 6 5 8" xfId="37284" xr:uid="{00000000-0005-0000-0000-0000A4910000}"/>
    <cellStyle name="Normal 5 17 6 5 9" xfId="37285" xr:uid="{00000000-0005-0000-0000-0000A5910000}"/>
    <cellStyle name="Normal 5 17 6 6" xfId="37286" xr:uid="{00000000-0005-0000-0000-0000A6910000}"/>
    <cellStyle name="Normal 5 17 6 7" xfId="37287" xr:uid="{00000000-0005-0000-0000-0000A7910000}"/>
    <cellStyle name="Normal 5 17 6 8" xfId="37288" xr:uid="{00000000-0005-0000-0000-0000A8910000}"/>
    <cellStyle name="Normal 5 17 6 9" xfId="37289" xr:uid="{00000000-0005-0000-0000-0000A9910000}"/>
    <cellStyle name="Normal 5 17 7" xfId="37290" xr:uid="{00000000-0005-0000-0000-0000AA910000}"/>
    <cellStyle name="Normal 5 17 7 10" xfId="37291" xr:uid="{00000000-0005-0000-0000-0000AB910000}"/>
    <cellStyle name="Normal 5 17 7 11" xfId="37292" xr:uid="{00000000-0005-0000-0000-0000AC910000}"/>
    <cellStyle name="Normal 5 17 7 12" xfId="37293" xr:uid="{00000000-0005-0000-0000-0000AD910000}"/>
    <cellStyle name="Normal 5 17 7 13" xfId="37294" xr:uid="{00000000-0005-0000-0000-0000AE910000}"/>
    <cellStyle name="Normal 5 17 7 14" xfId="37295" xr:uid="{00000000-0005-0000-0000-0000AF910000}"/>
    <cellStyle name="Normal 5 17 7 2" xfId="37296" xr:uid="{00000000-0005-0000-0000-0000B0910000}"/>
    <cellStyle name="Normal 5 17 7 2 10" xfId="37297" xr:uid="{00000000-0005-0000-0000-0000B1910000}"/>
    <cellStyle name="Normal 5 17 7 2 2" xfId="37298" xr:uid="{00000000-0005-0000-0000-0000B2910000}"/>
    <cellStyle name="Normal 5 17 7 2 3" xfId="37299" xr:uid="{00000000-0005-0000-0000-0000B3910000}"/>
    <cellStyle name="Normal 5 17 7 2 4" xfId="37300" xr:uid="{00000000-0005-0000-0000-0000B4910000}"/>
    <cellStyle name="Normal 5 17 7 2 5" xfId="37301" xr:uid="{00000000-0005-0000-0000-0000B5910000}"/>
    <cellStyle name="Normal 5 17 7 2 6" xfId="37302" xr:uid="{00000000-0005-0000-0000-0000B6910000}"/>
    <cellStyle name="Normal 5 17 7 2 7" xfId="37303" xr:uid="{00000000-0005-0000-0000-0000B7910000}"/>
    <cellStyle name="Normal 5 17 7 2 8" xfId="37304" xr:uid="{00000000-0005-0000-0000-0000B8910000}"/>
    <cellStyle name="Normal 5 17 7 2 9" xfId="37305" xr:uid="{00000000-0005-0000-0000-0000B9910000}"/>
    <cellStyle name="Normal 5 17 7 3" xfId="37306" xr:uid="{00000000-0005-0000-0000-0000BA910000}"/>
    <cellStyle name="Normal 5 17 7 3 10" xfId="37307" xr:uid="{00000000-0005-0000-0000-0000BB910000}"/>
    <cellStyle name="Normal 5 17 7 3 2" xfId="37308" xr:uid="{00000000-0005-0000-0000-0000BC910000}"/>
    <cellStyle name="Normal 5 17 7 3 3" xfId="37309" xr:uid="{00000000-0005-0000-0000-0000BD910000}"/>
    <cellStyle name="Normal 5 17 7 3 4" xfId="37310" xr:uid="{00000000-0005-0000-0000-0000BE910000}"/>
    <cellStyle name="Normal 5 17 7 3 5" xfId="37311" xr:uid="{00000000-0005-0000-0000-0000BF910000}"/>
    <cellStyle name="Normal 5 17 7 3 6" xfId="37312" xr:uid="{00000000-0005-0000-0000-0000C0910000}"/>
    <cellStyle name="Normal 5 17 7 3 7" xfId="37313" xr:uid="{00000000-0005-0000-0000-0000C1910000}"/>
    <cellStyle name="Normal 5 17 7 3 8" xfId="37314" xr:uid="{00000000-0005-0000-0000-0000C2910000}"/>
    <cellStyle name="Normal 5 17 7 3 9" xfId="37315" xr:uid="{00000000-0005-0000-0000-0000C3910000}"/>
    <cellStyle name="Normal 5 17 7 4" xfId="37316" xr:uid="{00000000-0005-0000-0000-0000C4910000}"/>
    <cellStyle name="Normal 5 17 7 4 10" xfId="37317" xr:uid="{00000000-0005-0000-0000-0000C5910000}"/>
    <cellStyle name="Normal 5 17 7 4 2" xfId="37318" xr:uid="{00000000-0005-0000-0000-0000C6910000}"/>
    <cellStyle name="Normal 5 17 7 4 3" xfId="37319" xr:uid="{00000000-0005-0000-0000-0000C7910000}"/>
    <cellStyle name="Normal 5 17 7 4 4" xfId="37320" xr:uid="{00000000-0005-0000-0000-0000C8910000}"/>
    <cellStyle name="Normal 5 17 7 4 5" xfId="37321" xr:uid="{00000000-0005-0000-0000-0000C9910000}"/>
    <cellStyle name="Normal 5 17 7 4 6" xfId="37322" xr:uid="{00000000-0005-0000-0000-0000CA910000}"/>
    <cellStyle name="Normal 5 17 7 4 7" xfId="37323" xr:uid="{00000000-0005-0000-0000-0000CB910000}"/>
    <cellStyle name="Normal 5 17 7 4 8" xfId="37324" xr:uid="{00000000-0005-0000-0000-0000CC910000}"/>
    <cellStyle name="Normal 5 17 7 4 9" xfId="37325" xr:uid="{00000000-0005-0000-0000-0000CD910000}"/>
    <cellStyle name="Normal 5 17 7 5" xfId="37326" xr:uid="{00000000-0005-0000-0000-0000CE910000}"/>
    <cellStyle name="Normal 5 17 7 5 10" xfId="37327" xr:uid="{00000000-0005-0000-0000-0000CF910000}"/>
    <cellStyle name="Normal 5 17 7 5 2" xfId="37328" xr:uid="{00000000-0005-0000-0000-0000D0910000}"/>
    <cellStyle name="Normal 5 17 7 5 3" xfId="37329" xr:uid="{00000000-0005-0000-0000-0000D1910000}"/>
    <cellStyle name="Normal 5 17 7 5 4" xfId="37330" xr:uid="{00000000-0005-0000-0000-0000D2910000}"/>
    <cellStyle name="Normal 5 17 7 5 5" xfId="37331" xr:uid="{00000000-0005-0000-0000-0000D3910000}"/>
    <cellStyle name="Normal 5 17 7 5 6" xfId="37332" xr:uid="{00000000-0005-0000-0000-0000D4910000}"/>
    <cellStyle name="Normal 5 17 7 5 7" xfId="37333" xr:uid="{00000000-0005-0000-0000-0000D5910000}"/>
    <cellStyle name="Normal 5 17 7 5 8" xfId="37334" xr:uid="{00000000-0005-0000-0000-0000D6910000}"/>
    <cellStyle name="Normal 5 17 7 5 9" xfId="37335" xr:uid="{00000000-0005-0000-0000-0000D7910000}"/>
    <cellStyle name="Normal 5 17 7 6" xfId="37336" xr:uid="{00000000-0005-0000-0000-0000D8910000}"/>
    <cellStyle name="Normal 5 17 7 7" xfId="37337" xr:uid="{00000000-0005-0000-0000-0000D9910000}"/>
    <cellStyle name="Normal 5 17 7 8" xfId="37338" xr:uid="{00000000-0005-0000-0000-0000DA910000}"/>
    <cellStyle name="Normal 5 17 7 9" xfId="37339" xr:uid="{00000000-0005-0000-0000-0000DB910000}"/>
    <cellStyle name="Normal 5 17 8" xfId="37340" xr:uid="{00000000-0005-0000-0000-0000DC910000}"/>
    <cellStyle name="Normal 5 17 8 10" xfId="37341" xr:uid="{00000000-0005-0000-0000-0000DD910000}"/>
    <cellStyle name="Normal 5 17 8 11" xfId="37342" xr:uid="{00000000-0005-0000-0000-0000DE910000}"/>
    <cellStyle name="Normal 5 17 8 12" xfId="37343" xr:uid="{00000000-0005-0000-0000-0000DF910000}"/>
    <cellStyle name="Normal 5 17 8 13" xfId="37344" xr:uid="{00000000-0005-0000-0000-0000E0910000}"/>
    <cellStyle name="Normal 5 17 8 14" xfId="37345" xr:uid="{00000000-0005-0000-0000-0000E1910000}"/>
    <cellStyle name="Normal 5 17 8 2" xfId="37346" xr:uid="{00000000-0005-0000-0000-0000E2910000}"/>
    <cellStyle name="Normal 5 17 8 2 10" xfId="37347" xr:uid="{00000000-0005-0000-0000-0000E3910000}"/>
    <cellStyle name="Normal 5 17 8 2 2" xfId="37348" xr:uid="{00000000-0005-0000-0000-0000E4910000}"/>
    <cellStyle name="Normal 5 17 8 2 3" xfId="37349" xr:uid="{00000000-0005-0000-0000-0000E5910000}"/>
    <cellStyle name="Normal 5 17 8 2 4" xfId="37350" xr:uid="{00000000-0005-0000-0000-0000E6910000}"/>
    <cellStyle name="Normal 5 17 8 2 5" xfId="37351" xr:uid="{00000000-0005-0000-0000-0000E7910000}"/>
    <cellStyle name="Normal 5 17 8 2 6" xfId="37352" xr:uid="{00000000-0005-0000-0000-0000E8910000}"/>
    <cellStyle name="Normal 5 17 8 2 7" xfId="37353" xr:uid="{00000000-0005-0000-0000-0000E9910000}"/>
    <cellStyle name="Normal 5 17 8 2 8" xfId="37354" xr:uid="{00000000-0005-0000-0000-0000EA910000}"/>
    <cellStyle name="Normal 5 17 8 2 9" xfId="37355" xr:uid="{00000000-0005-0000-0000-0000EB910000}"/>
    <cellStyle name="Normal 5 17 8 3" xfId="37356" xr:uid="{00000000-0005-0000-0000-0000EC910000}"/>
    <cellStyle name="Normal 5 17 8 3 10" xfId="37357" xr:uid="{00000000-0005-0000-0000-0000ED910000}"/>
    <cellStyle name="Normal 5 17 8 3 2" xfId="37358" xr:uid="{00000000-0005-0000-0000-0000EE910000}"/>
    <cellStyle name="Normal 5 17 8 3 3" xfId="37359" xr:uid="{00000000-0005-0000-0000-0000EF910000}"/>
    <cellStyle name="Normal 5 17 8 3 4" xfId="37360" xr:uid="{00000000-0005-0000-0000-0000F0910000}"/>
    <cellStyle name="Normal 5 17 8 3 5" xfId="37361" xr:uid="{00000000-0005-0000-0000-0000F1910000}"/>
    <cellStyle name="Normal 5 17 8 3 6" xfId="37362" xr:uid="{00000000-0005-0000-0000-0000F2910000}"/>
    <cellStyle name="Normal 5 17 8 3 7" xfId="37363" xr:uid="{00000000-0005-0000-0000-0000F3910000}"/>
    <cellStyle name="Normal 5 17 8 3 8" xfId="37364" xr:uid="{00000000-0005-0000-0000-0000F4910000}"/>
    <cellStyle name="Normal 5 17 8 3 9" xfId="37365" xr:uid="{00000000-0005-0000-0000-0000F5910000}"/>
    <cellStyle name="Normal 5 17 8 4" xfId="37366" xr:uid="{00000000-0005-0000-0000-0000F6910000}"/>
    <cellStyle name="Normal 5 17 8 4 10" xfId="37367" xr:uid="{00000000-0005-0000-0000-0000F7910000}"/>
    <cellStyle name="Normal 5 17 8 4 2" xfId="37368" xr:uid="{00000000-0005-0000-0000-0000F8910000}"/>
    <cellStyle name="Normal 5 17 8 4 3" xfId="37369" xr:uid="{00000000-0005-0000-0000-0000F9910000}"/>
    <cellStyle name="Normal 5 17 8 4 4" xfId="37370" xr:uid="{00000000-0005-0000-0000-0000FA910000}"/>
    <cellStyle name="Normal 5 17 8 4 5" xfId="37371" xr:uid="{00000000-0005-0000-0000-0000FB910000}"/>
    <cellStyle name="Normal 5 17 8 4 6" xfId="37372" xr:uid="{00000000-0005-0000-0000-0000FC910000}"/>
    <cellStyle name="Normal 5 17 8 4 7" xfId="37373" xr:uid="{00000000-0005-0000-0000-0000FD910000}"/>
    <cellStyle name="Normal 5 17 8 4 8" xfId="37374" xr:uid="{00000000-0005-0000-0000-0000FE910000}"/>
    <cellStyle name="Normal 5 17 8 4 9" xfId="37375" xr:uid="{00000000-0005-0000-0000-0000FF910000}"/>
    <cellStyle name="Normal 5 17 8 5" xfId="37376" xr:uid="{00000000-0005-0000-0000-000000920000}"/>
    <cellStyle name="Normal 5 17 8 5 10" xfId="37377" xr:uid="{00000000-0005-0000-0000-000001920000}"/>
    <cellStyle name="Normal 5 17 8 5 2" xfId="37378" xr:uid="{00000000-0005-0000-0000-000002920000}"/>
    <cellStyle name="Normal 5 17 8 5 3" xfId="37379" xr:uid="{00000000-0005-0000-0000-000003920000}"/>
    <cellStyle name="Normal 5 17 8 5 4" xfId="37380" xr:uid="{00000000-0005-0000-0000-000004920000}"/>
    <cellStyle name="Normal 5 17 8 5 5" xfId="37381" xr:uid="{00000000-0005-0000-0000-000005920000}"/>
    <cellStyle name="Normal 5 17 8 5 6" xfId="37382" xr:uid="{00000000-0005-0000-0000-000006920000}"/>
    <cellStyle name="Normal 5 17 8 5 7" xfId="37383" xr:uid="{00000000-0005-0000-0000-000007920000}"/>
    <cellStyle name="Normal 5 17 8 5 8" xfId="37384" xr:uid="{00000000-0005-0000-0000-000008920000}"/>
    <cellStyle name="Normal 5 17 8 5 9" xfId="37385" xr:uid="{00000000-0005-0000-0000-000009920000}"/>
    <cellStyle name="Normal 5 17 8 6" xfId="37386" xr:uid="{00000000-0005-0000-0000-00000A920000}"/>
    <cellStyle name="Normal 5 17 8 7" xfId="37387" xr:uid="{00000000-0005-0000-0000-00000B920000}"/>
    <cellStyle name="Normal 5 17 8 8" xfId="37388" xr:uid="{00000000-0005-0000-0000-00000C920000}"/>
    <cellStyle name="Normal 5 17 8 9" xfId="37389" xr:uid="{00000000-0005-0000-0000-00000D920000}"/>
    <cellStyle name="Normal 5 17 9" xfId="37390" xr:uid="{00000000-0005-0000-0000-00000E920000}"/>
    <cellStyle name="Normal 5 17 9 10" xfId="37391" xr:uid="{00000000-0005-0000-0000-00000F920000}"/>
    <cellStyle name="Normal 5 17 9 11" xfId="37392" xr:uid="{00000000-0005-0000-0000-000010920000}"/>
    <cellStyle name="Normal 5 17 9 12" xfId="37393" xr:uid="{00000000-0005-0000-0000-000011920000}"/>
    <cellStyle name="Normal 5 17 9 13" xfId="37394" xr:uid="{00000000-0005-0000-0000-000012920000}"/>
    <cellStyle name="Normal 5 17 9 14" xfId="37395" xr:uid="{00000000-0005-0000-0000-000013920000}"/>
    <cellStyle name="Normal 5 17 9 2" xfId="37396" xr:uid="{00000000-0005-0000-0000-000014920000}"/>
    <cellStyle name="Normal 5 17 9 2 10" xfId="37397" xr:uid="{00000000-0005-0000-0000-000015920000}"/>
    <cellStyle name="Normal 5 17 9 2 2" xfId="37398" xr:uid="{00000000-0005-0000-0000-000016920000}"/>
    <cellStyle name="Normal 5 17 9 2 3" xfId="37399" xr:uid="{00000000-0005-0000-0000-000017920000}"/>
    <cellStyle name="Normal 5 17 9 2 4" xfId="37400" xr:uid="{00000000-0005-0000-0000-000018920000}"/>
    <cellStyle name="Normal 5 17 9 2 5" xfId="37401" xr:uid="{00000000-0005-0000-0000-000019920000}"/>
    <cellStyle name="Normal 5 17 9 2 6" xfId="37402" xr:uid="{00000000-0005-0000-0000-00001A920000}"/>
    <cellStyle name="Normal 5 17 9 2 7" xfId="37403" xr:uid="{00000000-0005-0000-0000-00001B920000}"/>
    <cellStyle name="Normal 5 17 9 2 8" xfId="37404" xr:uid="{00000000-0005-0000-0000-00001C920000}"/>
    <cellStyle name="Normal 5 17 9 2 9" xfId="37405" xr:uid="{00000000-0005-0000-0000-00001D920000}"/>
    <cellStyle name="Normal 5 17 9 3" xfId="37406" xr:uid="{00000000-0005-0000-0000-00001E920000}"/>
    <cellStyle name="Normal 5 17 9 3 10" xfId="37407" xr:uid="{00000000-0005-0000-0000-00001F920000}"/>
    <cellStyle name="Normal 5 17 9 3 2" xfId="37408" xr:uid="{00000000-0005-0000-0000-000020920000}"/>
    <cellStyle name="Normal 5 17 9 3 3" xfId="37409" xr:uid="{00000000-0005-0000-0000-000021920000}"/>
    <cellStyle name="Normal 5 17 9 3 4" xfId="37410" xr:uid="{00000000-0005-0000-0000-000022920000}"/>
    <cellStyle name="Normal 5 17 9 3 5" xfId="37411" xr:uid="{00000000-0005-0000-0000-000023920000}"/>
    <cellStyle name="Normal 5 17 9 3 6" xfId="37412" xr:uid="{00000000-0005-0000-0000-000024920000}"/>
    <cellStyle name="Normal 5 17 9 3 7" xfId="37413" xr:uid="{00000000-0005-0000-0000-000025920000}"/>
    <cellStyle name="Normal 5 17 9 3 8" xfId="37414" xr:uid="{00000000-0005-0000-0000-000026920000}"/>
    <cellStyle name="Normal 5 17 9 3 9" xfId="37415" xr:uid="{00000000-0005-0000-0000-000027920000}"/>
    <cellStyle name="Normal 5 17 9 4" xfId="37416" xr:uid="{00000000-0005-0000-0000-000028920000}"/>
    <cellStyle name="Normal 5 17 9 4 10" xfId="37417" xr:uid="{00000000-0005-0000-0000-000029920000}"/>
    <cellStyle name="Normal 5 17 9 4 2" xfId="37418" xr:uid="{00000000-0005-0000-0000-00002A920000}"/>
    <cellStyle name="Normal 5 17 9 4 3" xfId="37419" xr:uid="{00000000-0005-0000-0000-00002B920000}"/>
    <cellStyle name="Normal 5 17 9 4 4" xfId="37420" xr:uid="{00000000-0005-0000-0000-00002C920000}"/>
    <cellStyle name="Normal 5 17 9 4 5" xfId="37421" xr:uid="{00000000-0005-0000-0000-00002D920000}"/>
    <cellStyle name="Normal 5 17 9 4 6" xfId="37422" xr:uid="{00000000-0005-0000-0000-00002E920000}"/>
    <cellStyle name="Normal 5 17 9 4 7" xfId="37423" xr:uid="{00000000-0005-0000-0000-00002F920000}"/>
    <cellStyle name="Normal 5 17 9 4 8" xfId="37424" xr:uid="{00000000-0005-0000-0000-000030920000}"/>
    <cellStyle name="Normal 5 17 9 4 9" xfId="37425" xr:uid="{00000000-0005-0000-0000-000031920000}"/>
    <cellStyle name="Normal 5 17 9 5" xfId="37426" xr:uid="{00000000-0005-0000-0000-000032920000}"/>
    <cellStyle name="Normal 5 17 9 5 10" xfId="37427" xr:uid="{00000000-0005-0000-0000-000033920000}"/>
    <cellStyle name="Normal 5 17 9 5 2" xfId="37428" xr:uid="{00000000-0005-0000-0000-000034920000}"/>
    <cellStyle name="Normal 5 17 9 5 3" xfId="37429" xr:uid="{00000000-0005-0000-0000-000035920000}"/>
    <cellStyle name="Normal 5 17 9 5 4" xfId="37430" xr:uid="{00000000-0005-0000-0000-000036920000}"/>
    <cellStyle name="Normal 5 17 9 5 5" xfId="37431" xr:uid="{00000000-0005-0000-0000-000037920000}"/>
    <cellStyle name="Normal 5 17 9 5 6" xfId="37432" xr:uid="{00000000-0005-0000-0000-000038920000}"/>
    <cellStyle name="Normal 5 17 9 5 7" xfId="37433" xr:uid="{00000000-0005-0000-0000-000039920000}"/>
    <cellStyle name="Normal 5 17 9 5 8" xfId="37434" xr:uid="{00000000-0005-0000-0000-00003A920000}"/>
    <cellStyle name="Normal 5 17 9 5 9" xfId="37435" xr:uid="{00000000-0005-0000-0000-00003B920000}"/>
    <cellStyle name="Normal 5 17 9 6" xfId="37436" xr:uid="{00000000-0005-0000-0000-00003C920000}"/>
    <cellStyle name="Normal 5 17 9 7" xfId="37437" xr:uid="{00000000-0005-0000-0000-00003D920000}"/>
    <cellStyle name="Normal 5 17 9 8" xfId="37438" xr:uid="{00000000-0005-0000-0000-00003E920000}"/>
    <cellStyle name="Normal 5 17 9 9" xfId="37439" xr:uid="{00000000-0005-0000-0000-00003F920000}"/>
    <cellStyle name="Normal 5 18" xfId="37440" xr:uid="{00000000-0005-0000-0000-000040920000}"/>
    <cellStyle name="Normal 5 18 2" xfId="37441" xr:uid="{00000000-0005-0000-0000-000041920000}"/>
    <cellStyle name="Normal 5 18 2 2" xfId="37442" xr:uid="{00000000-0005-0000-0000-000042920000}"/>
    <cellStyle name="Normal 5 18 3" xfId="37443" xr:uid="{00000000-0005-0000-0000-000043920000}"/>
    <cellStyle name="Normal 5 18 4" xfId="37444" xr:uid="{00000000-0005-0000-0000-000044920000}"/>
    <cellStyle name="Normal 5 19" xfId="37445" xr:uid="{00000000-0005-0000-0000-000045920000}"/>
    <cellStyle name="Normal 5 19 2" xfId="37446" xr:uid="{00000000-0005-0000-0000-000046920000}"/>
    <cellStyle name="Normal 5 19 2 2" xfId="37447" xr:uid="{00000000-0005-0000-0000-000047920000}"/>
    <cellStyle name="Normal 5 19 3" xfId="37448" xr:uid="{00000000-0005-0000-0000-000048920000}"/>
    <cellStyle name="Normal 5 19 4" xfId="37449" xr:uid="{00000000-0005-0000-0000-000049920000}"/>
    <cellStyle name="Normal 5 2" xfId="27" xr:uid="{00000000-0005-0000-0000-00001B000000}"/>
    <cellStyle name="Normal 5 2 10" xfId="37451" xr:uid="{00000000-0005-0000-0000-00004B920000}"/>
    <cellStyle name="Normal 5 2 11" xfId="37452" xr:uid="{00000000-0005-0000-0000-00004C920000}"/>
    <cellStyle name="Normal 5 2 12" xfId="37453" xr:uid="{00000000-0005-0000-0000-00004D920000}"/>
    <cellStyle name="Normal 5 2 13" xfId="37454" xr:uid="{00000000-0005-0000-0000-00004E920000}"/>
    <cellStyle name="Normal 5 2 14" xfId="37455" xr:uid="{00000000-0005-0000-0000-00004F920000}"/>
    <cellStyle name="Normal 5 2 15" xfId="37456" xr:uid="{00000000-0005-0000-0000-000050920000}"/>
    <cellStyle name="Normal 5 2 16" xfId="37457" xr:uid="{00000000-0005-0000-0000-000051920000}"/>
    <cellStyle name="Normal 5 2 17" xfId="37458" xr:uid="{00000000-0005-0000-0000-000052920000}"/>
    <cellStyle name="Normal 5 2 18" xfId="37459" xr:uid="{00000000-0005-0000-0000-000053920000}"/>
    <cellStyle name="Normal 5 2 19" xfId="37460" xr:uid="{00000000-0005-0000-0000-000054920000}"/>
    <cellStyle name="Normal 5 2 2" xfId="61" xr:uid="{00000000-0005-0000-0000-00003D000000}"/>
    <cellStyle name="Normal 5 2 2 2" xfId="37462" xr:uid="{00000000-0005-0000-0000-000056920000}"/>
    <cellStyle name="Normal 5 2 2 2 2" xfId="37463" xr:uid="{00000000-0005-0000-0000-000057920000}"/>
    <cellStyle name="Normal 5 2 2 3" xfId="37461" xr:uid="{00000000-0005-0000-0000-000055920000}"/>
    <cellStyle name="Normal 5 2 20" xfId="37464" xr:uid="{00000000-0005-0000-0000-000058920000}"/>
    <cellStyle name="Normal 5 2 21" xfId="37465" xr:uid="{00000000-0005-0000-0000-000059920000}"/>
    <cellStyle name="Normal 5 2 22" xfId="37466" xr:uid="{00000000-0005-0000-0000-00005A920000}"/>
    <cellStyle name="Normal 5 2 23" xfId="37467" xr:uid="{00000000-0005-0000-0000-00005B920000}"/>
    <cellStyle name="Normal 5 2 24" xfId="37468" xr:uid="{00000000-0005-0000-0000-00005C920000}"/>
    <cellStyle name="Normal 5 2 25" xfId="37469" xr:uid="{00000000-0005-0000-0000-00005D920000}"/>
    <cellStyle name="Normal 5 2 26" xfId="37470" xr:uid="{00000000-0005-0000-0000-00005E920000}"/>
    <cellStyle name="Normal 5 2 27" xfId="37471" xr:uid="{00000000-0005-0000-0000-00005F920000}"/>
    <cellStyle name="Normal 5 2 28" xfId="37472" xr:uid="{00000000-0005-0000-0000-000060920000}"/>
    <cellStyle name="Normal 5 2 29" xfId="37473" xr:uid="{00000000-0005-0000-0000-000061920000}"/>
    <cellStyle name="Normal 5 2 3" xfId="37474" xr:uid="{00000000-0005-0000-0000-000062920000}"/>
    <cellStyle name="Normal 5 2 30" xfId="37475" xr:uid="{00000000-0005-0000-0000-000063920000}"/>
    <cellStyle name="Normal 5 2 31" xfId="37476" xr:uid="{00000000-0005-0000-0000-000064920000}"/>
    <cellStyle name="Normal 5 2 32" xfId="37477" xr:uid="{00000000-0005-0000-0000-000065920000}"/>
    <cellStyle name="Normal 5 2 33" xfId="37478" xr:uid="{00000000-0005-0000-0000-000066920000}"/>
    <cellStyle name="Normal 5 2 34" xfId="37479" xr:uid="{00000000-0005-0000-0000-000067920000}"/>
    <cellStyle name="Normal 5 2 35" xfId="37480" xr:uid="{00000000-0005-0000-0000-000068920000}"/>
    <cellStyle name="Normal 5 2 36" xfId="37481" xr:uid="{00000000-0005-0000-0000-000069920000}"/>
    <cellStyle name="Normal 5 2 37" xfId="37482" xr:uid="{00000000-0005-0000-0000-00006A920000}"/>
    <cellStyle name="Normal 5 2 38" xfId="37483" xr:uid="{00000000-0005-0000-0000-00006B920000}"/>
    <cellStyle name="Normal 5 2 39" xfId="37484" xr:uid="{00000000-0005-0000-0000-00006C920000}"/>
    <cellStyle name="Normal 5 2 4" xfId="37485" xr:uid="{00000000-0005-0000-0000-00006D920000}"/>
    <cellStyle name="Normal 5 2 40" xfId="37486" xr:uid="{00000000-0005-0000-0000-00006E920000}"/>
    <cellStyle name="Normal 5 2 41" xfId="37487" xr:uid="{00000000-0005-0000-0000-00006F920000}"/>
    <cellStyle name="Normal 5 2 42" xfId="37488" xr:uid="{00000000-0005-0000-0000-000070920000}"/>
    <cellStyle name="Normal 5 2 43" xfId="37489" xr:uid="{00000000-0005-0000-0000-000071920000}"/>
    <cellStyle name="Normal 5 2 44" xfId="37490" xr:uid="{00000000-0005-0000-0000-000072920000}"/>
    <cellStyle name="Normal 5 2 45" xfId="37491" xr:uid="{00000000-0005-0000-0000-000073920000}"/>
    <cellStyle name="Normal 5 2 46" xfId="37492" xr:uid="{00000000-0005-0000-0000-000074920000}"/>
    <cellStyle name="Normal 5 2 47" xfId="37493" xr:uid="{00000000-0005-0000-0000-000075920000}"/>
    <cellStyle name="Normal 5 2 48" xfId="37494" xr:uid="{00000000-0005-0000-0000-000076920000}"/>
    <cellStyle name="Normal 5 2 49" xfId="37495" xr:uid="{00000000-0005-0000-0000-000077920000}"/>
    <cellStyle name="Normal 5 2 5" xfId="37496" xr:uid="{00000000-0005-0000-0000-000078920000}"/>
    <cellStyle name="Normal 5 2 50" xfId="37497" xr:uid="{00000000-0005-0000-0000-000079920000}"/>
    <cellStyle name="Normal 5 2 51" xfId="37498" xr:uid="{00000000-0005-0000-0000-00007A920000}"/>
    <cellStyle name="Normal 5 2 52" xfId="37499" xr:uid="{00000000-0005-0000-0000-00007B920000}"/>
    <cellStyle name="Normal 5 2 53" xfId="37500" xr:uid="{00000000-0005-0000-0000-00007C920000}"/>
    <cellStyle name="Normal 5 2 54" xfId="37501" xr:uid="{00000000-0005-0000-0000-00007D920000}"/>
    <cellStyle name="Normal 5 2 55" xfId="37502" xr:uid="{00000000-0005-0000-0000-00007E920000}"/>
    <cellStyle name="Normal 5 2 56" xfId="37503" xr:uid="{00000000-0005-0000-0000-00007F920000}"/>
    <cellStyle name="Normal 5 2 57" xfId="37504" xr:uid="{00000000-0005-0000-0000-000080920000}"/>
    <cellStyle name="Normal 5 2 58" xfId="37505" xr:uid="{00000000-0005-0000-0000-000081920000}"/>
    <cellStyle name="Normal 5 2 59" xfId="37506" xr:uid="{00000000-0005-0000-0000-000082920000}"/>
    <cellStyle name="Normal 5 2 6" xfId="37507" xr:uid="{00000000-0005-0000-0000-000083920000}"/>
    <cellStyle name="Normal 5 2 60" xfId="37508" xr:uid="{00000000-0005-0000-0000-000084920000}"/>
    <cellStyle name="Normal 5 2 61" xfId="37509" xr:uid="{00000000-0005-0000-0000-000085920000}"/>
    <cellStyle name="Normal 5 2 62" xfId="37510" xr:uid="{00000000-0005-0000-0000-000086920000}"/>
    <cellStyle name="Normal 5 2 63" xfId="37511" xr:uid="{00000000-0005-0000-0000-000087920000}"/>
    <cellStyle name="Normal 5 2 64" xfId="37512" xr:uid="{00000000-0005-0000-0000-000088920000}"/>
    <cellStyle name="Normal 5 2 65" xfId="37513" xr:uid="{00000000-0005-0000-0000-000089920000}"/>
    <cellStyle name="Normal 5 2 66" xfId="37514" xr:uid="{00000000-0005-0000-0000-00008A920000}"/>
    <cellStyle name="Normal 5 2 67" xfId="37515" xr:uid="{00000000-0005-0000-0000-00008B920000}"/>
    <cellStyle name="Normal 5 2 68" xfId="37516" xr:uid="{00000000-0005-0000-0000-00008C920000}"/>
    <cellStyle name="Normal 5 2 69" xfId="37517" xr:uid="{00000000-0005-0000-0000-00008D920000}"/>
    <cellStyle name="Normal 5 2 7" xfId="37518" xr:uid="{00000000-0005-0000-0000-00008E920000}"/>
    <cellStyle name="Normal 5 2 70" xfId="37519" xr:uid="{00000000-0005-0000-0000-00008F920000}"/>
    <cellStyle name="Normal 5 2 71" xfId="37520" xr:uid="{00000000-0005-0000-0000-000090920000}"/>
    <cellStyle name="Normal 5 2 72" xfId="37521" xr:uid="{00000000-0005-0000-0000-000091920000}"/>
    <cellStyle name="Normal 5 2 73" xfId="37522" xr:uid="{00000000-0005-0000-0000-000092920000}"/>
    <cellStyle name="Normal 5 2 74" xfId="37523" xr:uid="{00000000-0005-0000-0000-000093920000}"/>
    <cellStyle name="Normal 5 2 75" xfId="37524" xr:uid="{00000000-0005-0000-0000-000094920000}"/>
    <cellStyle name="Normal 5 2 76" xfId="37525" xr:uid="{00000000-0005-0000-0000-000095920000}"/>
    <cellStyle name="Normal 5 2 77" xfId="37526" xr:uid="{00000000-0005-0000-0000-000096920000}"/>
    <cellStyle name="Normal 5 2 78" xfId="37527" xr:uid="{00000000-0005-0000-0000-000097920000}"/>
    <cellStyle name="Normal 5 2 79" xfId="37528" xr:uid="{00000000-0005-0000-0000-000098920000}"/>
    <cellStyle name="Normal 5 2 8" xfId="37529" xr:uid="{00000000-0005-0000-0000-000099920000}"/>
    <cellStyle name="Normal 5 2 80" xfId="37530" xr:uid="{00000000-0005-0000-0000-00009A920000}"/>
    <cellStyle name="Normal 5 2 81" xfId="37531" xr:uid="{00000000-0005-0000-0000-00009B920000}"/>
    <cellStyle name="Normal 5 2 82" xfId="37532" xr:uid="{00000000-0005-0000-0000-00009C920000}"/>
    <cellStyle name="Normal 5 2 83" xfId="37450" xr:uid="{00000000-0005-0000-0000-00004A920000}"/>
    <cellStyle name="Normal 5 2 9" xfId="37533" xr:uid="{00000000-0005-0000-0000-00009D920000}"/>
    <cellStyle name="Normal 5 2_Enlaces" xfId="37534" xr:uid="{00000000-0005-0000-0000-00009E920000}"/>
    <cellStyle name="Normal 5 20" xfId="37535" xr:uid="{00000000-0005-0000-0000-00009F920000}"/>
    <cellStyle name="Normal 5 20 2" xfId="37536" xr:uid="{00000000-0005-0000-0000-0000A0920000}"/>
    <cellStyle name="Normal 5 20 2 2" xfId="37537" xr:uid="{00000000-0005-0000-0000-0000A1920000}"/>
    <cellStyle name="Normal 5 20 3" xfId="37538" xr:uid="{00000000-0005-0000-0000-0000A2920000}"/>
    <cellStyle name="Normal 5 20 4" xfId="37539" xr:uid="{00000000-0005-0000-0000-0000A3920000}"/>
    <cellStyle name="Normal 5 21" xfId="37540" xr:uid="{00000000-0005-0000-0000-0000A4920000}"/>
    <cellStyle name="Normal 5 21 2" xfId="37541" xr:uid="{00000000-0005-0000-0000-0000A5920000}"/>
    <cellStyle name="Normal 5 21 2 2" xfId="37542" xr:uid="{00000000-0005-0000-0000-0000A6920000}"/>
    <cellStyle name="Normal 5 21 3" xfId="37543" xr:uid="{00000000-0005-0000-0000-0000A7920000}"/>
    <cellStyle name="Normal 5 21 4" xfId="37544" xr:uid="{00000000-0005-0000-0000-0000A8920000}"/>
    <cellStyle name="Normal 5 22" xfId="37545" xr:uid="{00000000-0005-0000-0000-0000A9920000}"/>
    <cellStyle name="Normal 5 22 2" xfId="37546" xr:uid="{00000000-0005-0000-0000-0000AA920000}"/>
    <cellStyle name="Normal 5 22 3" xfId="37547" xr:uid="{00000000-0005-0000-0000-0000AB920000}"/>
    <cellStyle name="Normal 5 23" xfId="37548" xr:uid="{00000000-0005-0000-0000-0000AC920000}"/>
    <cellStyle name="Normal 5 24" xfId="37549" xr:uid="{00000000-0005-0000-0000-0000AD920000}"/>
    <cellStyle name="Normal 5 25" xfId="37550" xr:uid="{00000000-0005-0000-0000-0000AE920000}"/>
    <cellStyle name="Normal 5 26" xfId="37551" xr:uid="{00000000-0005-0000-0000-0000AF920000}"/>
    <cellStyle name="Normal 5 27" xfId="37552" xr:uid="{00000000-0005-0000-0000-0000B0920000}"/>
    <cellStyle name="Normal 5 28" xfId="37553" xr:uid="{00000000-0005-0000-0000-0000B1920000}"/>
    <cellStyle name="Normal 5 29" xfId="37554" xr:uid="{00000000-0005-0000-0000-0000B2920000}"/>
    <cellStyle name="Normal 5 3" xfId="62" xr:uid="{00000000-0005-0000-0000-00003E000000}"/>
    <cellStyle name="Normal 5 3 10" xfId="37556" xr:uid="{00000000-0005-0000-0000-0000B4920000}"/>
    <cellStyle name="Normal 5 3 11" xfId="37557" xr:uid="{00000000-0005-0000-0000-0000B5920000}"/>
    <cellStyle name="Normal 5 3 12" xfId="37558" xr:uid="{00000000-0005-0000-0000-0000B6920000}"/>
    <cellStyle name="Normal 5 3 13" xfId="37555" xr:uid="{00000000-0005-0000-0000-0000B3920000}"/>
    <cellStyle name="Normal 5 3 2" xfId="37559" xr:uid="{00000000-0005-0000-0000-0000B7920000}"/>
    <cellStyle name="Normal 5 3 3" xfId="37560" xr:uid="{00000000-0005-0000-0000-0000B8920000}"/>
    <cellStyle name="Normal 5 3 4" xfId="37561" xr:uid="{00000000-0005-0000-0000-0000B9920000}"/>
    <cellStyle name="Normal 5 3 4 2" xfId="37562" xr:uid="{00000000-0005-0000-0000-0000BA920000}"/>
    <cellStyle name="Normal 5 3 4 2 2" xfId="37563" xr:uid="{00000000-0005-0000-0000-0000BB920000}"/>
    <cellStyle name="Normal 5 3 4 3" xfId="37564" xr:uid="{00000000-0005-0000-0000-0000BC920000}"/>
    <cellStyle name="Normal 5 3 5" xfId="37565" xr:uid="{00000000-0005-0000-0000-0000BD920000}"/>
    <cellStyle name="Normal 5 3 6" xfId="37566" xr:uid="{00000000-0005-0000-0000-0000BE920000}"/>
    <cellStyle name="Normal 5 3 7" xfId="37567" xr:uid="{00000000-0005-0000-0000-0000BF920000}"/>
    <cellStyle name="Normal 5 3 7 2" xfId="37568" xr:uid="{00000000-0005-0000-0000-0000C0920000}"/>
    <cellStyle name="Normal 5 3 8" xfId="37569" xr:uid="{00000000-0005-0000-0000-0000C1920000}"/>
    <cellStyle name="Normal 5 3 9" xfId="37570" xr:uid="{00000000-0005-0000-0000-0000C2920000}"/>
    <cellStyle name="Normal 5 3_Implem" xfId="37571" xr:uid="{00000000-0005-0000-0000-0000C3920000}"/>
    <cellStyle name="Normal 5 30" xfId="37572" xr:uid="{00000000-0005-0000-0000-0000C4920000}"/>
    <cellStyle name="Normal 5 31" xfId="37573" xr:uid="{00000000-0005-0000-0000-0000C5920000}"/>
    <cellStyle name="Normal 5 32" xfId="37574" xr:uid="{00000000-0005-0000-0000-0000C6920000}"/>
    <cellStyle name="Normal 5 33" xfId="37575" xr:uid="{00000000-0005-0000-0000-0000C7920000}"/>
    <cellStyle name="Normal 5 34" xfId="37576" xr:uid="{00000000-0005-0000-0000-0000C8920000}"/>
    <cellStyle name="Normal 5 35" xfId="37577" xr:uid="{00000000-0005-0000-0000-0000C9920000}"/>
    <cellStyle name="Normal 5 36" xfId="37578" xr:uid="{00000000-0005-0000-0000-0000CA920000}"/>
    <cellStyle name="Normal 5 37" xfId="37579" xr:uid="{00000000-0005-0000-0000-0000CB920000}"/>
    <cellStyle name="Normal 5 38" xfId="37580" xr:uid="{00000000-0005-0000-0000-0000CC920000}"/>
    <cellStyle name="Normal 5 39" xfId="37581" xr:uid="{00000000-0005-0000-0000-0000CD920000}"/>
    <cellStyle name="Normal 5 4" xfId="41" xr:uid="{00000000-0005-0000-0000-000029000000}"/>
    <cellStyle name="Normal 5 4 2" xfId="37583" xr:uid="{00000000-0005-0000-0000-0000CF920000}"/>
    <cellStyle name="Normal 5 4 2 2" xfId="37584" xr:uid="{00000000-0005-0000-0000-0000D0920000}"/>
    <cellStyle name="Normal 5 4 3" xfId="37585" xr:uid="{00000000-0005-0000-0000-0000D1920000}"/>
    <cellStyle name="Normal 5 4 4" xfId="37586" xr:uid="{00000000-0005-0000-0000-0000D2920000}"/>
    <cellStyle name="Normal 5 4 5" xfId="37582" xr:uid="{00000000-0005-0000-0000-0000CE920000}"/>
    <cellStyle name="Normal 5 40" xfId="37587" xr:uid="{00000000-0005-0000-0000-0000D3920000}"/>
    <cellStyle name="Normal 5 41" xfId="37588" xr:uid="{00000000-0005-0000-0000-0000D4920000}"/>
    <cellStyle name="Normal 5 42" xfId="37589" xr:uid="{00000000-0005-0000-0000-0000D5920000}"/>
    <cellStyle name="Normal 5 43" xfId="37590" xr:uid="{00000000-0005-0000-0000-0000D6920000}"/>
    <cellStyle name="Normal 5 44" xfId="37591" xr:uid="{00000000-0005-0000-0000-0000D7920000}"/>
    <cellStyle name="Normal 5 45" xfId="37592" xr:uid="{00000000-0005-0000-0000-0000D8920000}"/>
    <cellStyle name="Normal 5 46" xfId="37593" xr:uid="{00000000-0005-0000-0000-0000D9920000}"/>
    <cellStyle name="Normal 5 47" xfId="37594" xr:uid="{00000000-0005-0000-0000-0000DA920000}"/>
    <cellStyle name="Normal 5 48" xfId="37595" xr:uid="{00000000-0005-0000-0000-0000DB920000}"/>
    <cellStyle name="Normal 5 49" xfId="37596" xr:uid="{00000000-0005-0000-0000-0000DC920000}"/>
    <cellStyle name="Normal 5 5" xfId="37597" xr:uid="{00000000-0005-0000-0000-0000DD920000}"/>
    <cellStyle name="Normal 5 5 2" xfId="37598" xr:uid="{00000000-0005-0000-0000-0000DE920000}"/>
    <cellStyle name="Normal 5 5 2 2" xfId="37599" xr:uid="{00000000-0005-0000-0000-0000DF920000}"/>
    <cellStyle name="Normal 5 5 3" xfId="37600" xr:uid="{00000000-0005-0000-0000-0000E0920000}"/>
    <cellStyle name="Normal 5 5 4" xfId="37601" xr:uid="{00000000-0005-0000-0000-0000E1920000}"/>
    <cellStyle name="Normal 5 50" xfId="37602" xr:uid="{00000000-0005-0000-0000-0000E2920000}"/>
    <cellStyle name="Normal 5 51" xfId="37603" xr:uid="{00000000-0005-0000-0000-0000E3920000}"/>
    <cellStyle name="Normal 5 52" xfId="37604" xr:uid="{00000000-0005-0000-0000-0000E4920000}"/>
    <cellStyle name="Normal 5 53" xfId="37605" xr:uid="{00000000-0005-0000-0000-0000E5920000}"/>
    <cellStyle name="Normal 5 54" xfId="37606" xr:uid="{00000000-0005-0000-0000-0000E6920000}"/>
    <cellStyle name="Normal 5 55" xfId="37607" xr:uid="{00000000-0005-0000-0000-0000E7920000}"/>
    <cellStyle name="Normal 5 56" xfId="37608" xr:uid="{00000000-0005-0000-0000-0000E8920000}"/>
    <cellStyle name="Normal 5 57" xfId="37609" xr:uid="{00000000-0005-0000-0000-0000E9920000}"/>
    <cellStyle name="Normal 5 58" xfId="37610" xr:uid="{00000000-0005-0000-0000-0000EA920000}"/>
    <cellStyle name="Normal 5 59" xfId="37611" xr:uid="{00000000-0005-0000-0000-0000EB920000}"/>
    <cellStyle name="Normal 5 6" xfId="37612" xr:uid="{00000000-0005-0000-0000-0000EC920000}"/>
    <cellStyle name="Normal 5 6 2" xfId="37613" xr:uid="{00000000-0005-0000-0000-0000ED920000}"/>
    <cellStyle name="Normal 5 6 2 2" xfId="37614" xr:uid="{00000000-0005-0000-0000-0000EE920000}"/>
    <cellStyle name="Normal 5 6 3" xfId="37615" xr:uid="{00000000-0005-0000-0000-0000EF920000}"/>
    <cellStyle name="Normal 5 6 4" xfId="37616" xr:uid="{00000000-0005-0000-0000-0000F0920000}"/>
    <cellStyle name="Normal 5 60" xfId="37617" xr:uid="{00000000-0005-0000-0000-0000F1920000}"/>
    <cellStyle name="Normal 5 7" xfId="37618" xr:uid="{00000000-0005-0000-0000-0000F2920000}"/>
    <cellStyle name="Normal 5 7 2" xfId="37619" xr:uid="{00000000-0005-0000-0000-0000F3920000}"/>
    <cellStyle name="Normal 5 7 2 2" xfId="37620" xr:uid="{00000000-0005-0000-0000-0000F4920000}"/>
    <cellStyle name="Normal 5 7 3" xfId="37621" xr:uid="{00000000-0005-0000-0000-0000F5920000}"/>
    <cellStyle name="Normal 5 7 4" xfId="37622" xr:uid="{00000000-0005-0000-0000-0000F6920000}"/>
    <cellStyle name="Normal 5 8" xfId="37623" xr:uid="{00000000-0005-0000-0000-0000F7920000}"/>
    <cellStyle name="Normal 5 8 2" xfId="37624" xr:uid="{00000000-0005-0000-0000-0000F8920000}"/>
    <cellStyle name="Normal 5 8 2 2" xfId="37625" xr:uid="{00000000-0005-0000-0000-0000F9920000}"/>
    <cellStyle name="Normal 5 8 3" xfId="37626" xr:uid="{00000000-0005-0000-0000-0000FA920000}"/>
    <cellStyle name="Normal 5 8 4" xfId="37627" xr:uid="{00000000-0005-0000-0000-0000FB920000}"/>
    <cellStyle name="Normal 5 9" xfId="37628" xr:uid="{00000000-0005-0000-0000-0000FC920000}"/>
    <cellStyle name="Normal 5 9 2" xfId="37629" xr:uid="{00000000-0005-0000-0000-0000FD920000}"/>
    <cellStyle name="Normal 5 9 2 2" xfId="37630" xr:uid="{00000000-0005-0000-0000-0000FE920000}"/>
    <cellStyle name="Normal 5 9 3" xfId="37631" xr:uid="{00000000-0005-0000-0000-0000FF920000}"/>
    <cellStyle name="Normal 5 9 4" xfId="37632" xr:uid="{00000000-0005-0000-0000-000000930000}"/>
    <cellStyle name="Normal 50" xfId="37633" xr:uid="{00000000-0005-0000-0000-000001930000}"/>
    <cellStyle name="Normal 50 10" xfId="37634" xr:uid="{00000000-0005-0000-0000-000002930000}"/>
    <cellStyle name="Normal 50 11" xfId="37635" xr:uid="{00000000-0005-0000-0000-000003930000}"/>
    <cellStyle name="Normal 50 12" xfId="37636" xr:uid="{00000000-0005-0000-0000-000004930000}"/>
    <cellStyle name="Normal 50 13" xfId="37637" xr:uid="{00000000-0005-0000-0000-000005930000}"/>
    <cellStyle name="Normal 50 14" xfId="37638" xr:uid="{00000000-0005-0000-0000-000006930000}"/>
    <cellStyle name="Normal 50 15" xfId="37639" xr:uid="{00000000-0005-0000-0000-000007930000}"/>
    <cellStyle name="Normal 50 16" xfId="37640" xr:uid="{00000000-0005-0000-0000-000008930000}"/>
    <cellStyle name="Normal 50 17" xfId="37641" xr:uid="{00000000-0005-0000-0000-000009930000}"/>
    <cellStyle name="Normal 50 18" xfId="37642" xr:uid="{00000000-0005-0000-0000-00000A930000}"/>
    <cellStyle name="Normal 50 19" xfId="37643" xr:uid="{00000000-0005-0000-0000-00000B930000}"/>
    <cellStyle name="Normal 50 2" xfId="37644" xr:uid="{00000000-0005-0000-0000-00000C930000}"/>
    <cellStyle name="Normal 50 2 2" xfId="37645" xr:uid="{00000000-0005-0000-0000-00000D930000}"/>
    <cellStyle name="Normal 50 20" xfId="37646" xr:uid="{00000000-0005-0000-0000-00000E930000}"/>
    <cellStyle name="Normal 50 21" xfId="37647" xr:uid="{00000000-0005-0000-0000-00000F930000}"/>
    <cellStyle name="Normal 50 22" xfId="37648" xr:uid="{00000000-0005-0000-0000-000010930000}"/>
    <cellStyle name="Normal 50 23" xfId="37649" xr:uid="{00000000-0005-0000-0000-000011930000}"/>
    <cellStyle name="Normal 50 24" xfId="37650" xr:uid="{00000000-0005-0000-0000-000012930000}"/>
    <cellStyle name="Normal 50 25" xfId="37651" xr:uid="{00000000-0005-0000-0000-000013930000}"/>
    <cellStyle name="Normal 50 26" xfId="37652" xr:uid="{00000000-0005-0000-0000-000014930000}"/>
    <cellStyle name="Normal 50 3" xfId="37653" xr:uid="{00000000-0005-0000-0000-000015930000}"/>
    <cellStyle name="Normal 50 3 2" xfId="37654" xr:uid="{00000000-0005-0000-0000-000016930000}"/>
    <cellStyle name="Normal 50 4" xfId="37655" xr:uid="{00000000-0005-0000-0000-000017930000}"/>
    <cellStyle name="Normal 50 4 2" xfId="37656" xr:uid="{00000000-0005-0000-0000-000018930000}"/>
    <cellStyle name="Normal 50 5" xfId="37657" xr:uid="{00000000-0005-0000-0000-000019930000}"/>
    <cellStyle name="Normal 50 5 2" xfId="37658" xr:uid="{00000000-0005-0000-0000-00001A930000}"/>
    <cellStyle name="Normal 50 6" xfId="37659" xr:uid="{00000000-0005-0000-0000-00001B930000}"/>
    <cellStyle name="Normal 50 7" xfId="37660" xr:uid="{00000000-0005-0000-0000-00001C930000}"/>
    <cellStyle name="Normal 50 8" xfId="37661" xr:uid="{00000000-0005-0000-0000-00001D930000}"/>
    <cellStyle name="Normal 50 9" xfId="37662" xr:uid="{00000000-0005-0000-0000-00001E930000}"/>
    <cellStyle name="Normal 51" xfId="37663" xr:uid="{00000000-0005-0000-0000-00001F930000}"/>
    <cellStyle name="Normal 52" xfId="37664" xr:uid="{00000000-0005-0000-0000-000020930000}"/>
    <cellStyle name="Normal 53" xfId="37665" xr:uid="{00000000-0005-0000-0000-000021930000}"/>
    <cellStyle name="Normal 54" xfId="37666" xr:uid="{00000000-0005-0000-0000-000022930000}"/>
    <cellStyle name="Normal 55" xfId="37667" xr:uid="{00000000-0005-0000-0000-000023930000}"/>
    <cellStyle name="Normal 56" xfId="37668" xr:uid="{00000000-0005-0000-0000-000024930000}"/>
    <cellStyle name="Normal 57" xfId="37669" xr:uid="{00000000-0005-0000-0000-000025930000}"/>
    <cellStyle name="Normal 58" xfId="37670" xr:uid="{00000000-0005-0000-0000-000026930000}"/>
    <cellStyle name="Normal 59" xfId="37671" xr:uid="{00000000-0005-0000-0000-000027930000}"/>
    <cellStyle name="Normal 6" xfId="43" xr:uid="{00000000-0005-0000-0000-00002B000000}"/>
    <cellStyle name="Normal 6 10" xfId="37673" xr:uid="{00000000-0005-0000-0000-000029930000}"/>
    <cellStyle name="Normal 6 11" xfId="37674" xr:uid="{00000000-0005-0000-0000-00002A930000}"/>
    <cellStyle name="Normal 6 12" xfId="37675" xr:uid="{00000000-0005-0000-0000-00002B930000}"/>
    <cellStyle name="Normal 6 13" xfId="37676" xr:uid="{00000000-0005-0000-0000-00002C930000}"/>
    <cellStyle name="Normal 6 14" xfId="37677" xr:uid="{00000000-0005-0000-0000-00002D930000}"/>
    <cellStyle name="Normal 6 15" xfId="37678" xr:uid="{00000000-0005-0000-0000-00002E930000}"/>
    <cellStyle name="Normal 6 16" xfId="37679" xr:uid="{00000000-0005-0000-0000-00002F930000}"/>
    <cellStyle name="Normal 6 17" xfId="37680" xr:uid="{00000000-0005-0000-0000-000030930000}"/>
    <cellStyle name="Normal 6 18" xfId="37681" xr:uid="{00000000-0005-0000-0000-000031930000}"/>
    <cellStyle name="Normal 6 19" xfId="37682" xr:uid="{00000000-0005-0000-0000-000032930000}"/>
    <cellStyle name="Normal 6 2" xfId="37683" xr:uid="{00000000-0005-0000-0000-000033930000}"/>
    <cellStyle name="Normal 6 2 10" xfId="37684" xr:uid="{00000000-0005-0000-0000-000034930000}"/>
    <cellStyle name="Normal 6 2 11" xfId="37685" xr:uid="{00000000-0005-0000-0000-000035930000}"/>
    <cellStyle name="Normal 6 2 12" xfId="37686" xr:uid="{00000000-0005-0000-0000-000036930000}"/>
    <cellStyle name="Normal 6 2 13" xfId="37687" xr:uid="{00000000-0005-0000-0000-000037930000}"/>
    <cellStyle name="Normal 6 2 14" xfId="37688" xr:uid="{00000000-0005-0000-0000-000038930000}"/>
    <cellStyle name="Normal 6 2 15" xfId="37689" xr:uid="{00000000-0005-0000-0000-000039930000}"/>
    <cellStyle name="Normal 6 2 16" xfId="37690" xr:uid="{00000000-0005-0000-0000-00003A930000}"/>
    <cellStyle name="Normal 6 2 17" xfId="37691" xr:uid="{00000000-0005-0000-0000-00003B930000}"/>
    <cellStyle name="Normal 6 2 18" xfId="37692" xr:uid="{00000000-0005-0000-0000-00003C930000}"/>
    <cellStyle name="Normal 6 2 19" xfId="37693" xr:uid="{00000000-0005-0000-0000-00003D930000}"/>
    <cellStyle name="Normal 6 2 2" xfId="37694" xr:uid="{00000000-0005-0000-0000-00003E930000}"/>
    <cellStyle name="Normal 6 2 20" xfId="37695" xr:uid="{00000000-0005-0000-0000-00003F930000}"/>
    <cellStyle name="Normal 6 2 21" xfId="37696" xr:uid="{00000000-0005-0000-0000-000040930000}"/>
    <cellStyle name="Normal 6 2 22" xfId="37697" xr:uid="{00000000-0005-0000-0000-000041930000}"/>
    <cellStyle name="Normal 6 2 23" xfId="37698" xr:uid="{00000000-0005-0000-0000-000042930000}"/>
    <cellStyle name="Normal 6 2 24" xfId="37699" xr:uid="{00000000-0005-0000-0000-000043930000}"/>
    <cellStyle name="Normal 6 2 25" xfId="37700" xr:uid="{00000000-0005-0000-0000-000044930000}"/>
    <cellStyle name="Normal 6 2 26" xfId="37701" xr:uid="{00000000-0005-0000-0000-000045930000}"/>
    <cellStyle name="Normal 6 2 27" xfId="37702" xr:uid="{00000000-0005-0000-0000-000046930000}"/>
    <cellStyle name="Normal 6 2 28" xfId="37703" xr:uid="{00000000-0005-0000-0000-000047930000}"/>
    <cellStyle name="Normal 6 2 29" xfId="37704" xr:uid="{00000000-0005-0000-0000-000048930000}"/>
    <cellStyle name="Normal 6 2 3" xfId="37705" xr:uid="{00000000-0005-0000-0000-000049930000}"/>
    <cellStyle name="Normal 6 2 30" xfId="37706" xr:uid="{00000000-0005-0000-0000-00004A930000}"/>
    <cellStyle name="Normal 6 2 31" xfId="37707" xr:uid="{00000000-0005-0000-0000-00004B930000}"/>
    <cellStyle name="Normal 6 2 32" xfId="37708" xr:uid="{00000000-0005-0000-0000-00004C930000}"/>
    <cellStyle name="Normal 6 2 33" xfId="37709" xr:uid="{00000000-0005-0000-0000-00004D930000}"/>
    <cellStyle name="Normal 6 2 34" xfId="37710" xr:uid="{00000000-0005-0000-0000-00004E930000}"/>
    <cellStyle name="Normal 6 2 35" xfId="37711" xr:uid="{00000000-0005-0000-0000-00004F930000}"/>
    <cellStyle name="Normal 6 2 36" xfId="37712" xr:uid="{00000000-0005-0000-0000-000050930000}"/>
    <cellStyle name="Normal 6 2 37" xfId="37713" xr:uid="{00000000-0005-0000-0000-000051930000}"/>
    <cellStyle name="Normal 6 2 38" xfId="37714" xr:uid="{00000000-0005-0000-0000-000052930000}"/>
    <cellStyle name="Normal 6 2 39" xfId="37715" xr:uid="{00000000-0005-0000-0000-000053930000}"/>
    <cellStyle name="Normal 6 2 4" xfId="37716" xr:uid="{00000000-0005-0000-0000-000054930000}"/>
    <cellStyle name="Normal 6 2 40" xfId="37717" xr:uid="{00000000-0005-0000-0000-000055930000}"/>
    <cellStyle name="Normal 6 2 41" xfId="37718" xr:uid="{00000000-0005-0000-0000-000056930000}"/>
    <cellStyle name="Normal 6 2 42" xfId="37719" xr:uid="{00000000-0005-0000-0000-000057930000}"/>
    <cellStyle name="Normal 6 2 43" xfId="37720" xr:uid="{00000000-0005-0000-0000-000058930000}"/>
    <cellStyle name="Normal 6 2 44" xfId="37721" xr:uid="{00000000-0005-0000-0000-000059930000}"/>
    <cellStyle name="Normal 6 2 45" xfId="37722" xr:uid="{00000000-0005-0000-0000-00005A930000}"/>
    <cellStyle name="Normal 6 2 46" xfId="37723" xr:uid="{00000000-0005-0000-0000-00005B930000}"/>
    <cellStyle name="Normal 6 2 47" xfId="37724" xr:uid="{00000000-0005-0000-0000-00005C930000}"/>
    <cellStyle name="Normal 6 2 48" xfId="37725" xr:uid="{00000000-0005-0000-0000-00005D930000}"/>
    <cellStyle name="Normal 6 2 49" xfId="37726" xr:uid="{00000000-0005-0000-0000-00005E930000}"/>
    <cellStyle name="Normal 6 2 5" xfId="37727" xr:uid="{00000000-0005-0000-0000-00005F930000}"/>
    <cellStyle name="Normal 6 2 50" xfId="37728" xr:uid="{00000000-0005-0000-0000-000060930000}"/>
    <cellStyle name="Normal 6 2 51" xfId="37729" xr:uid="{00000000-0005-0000-0000-000061930000}"/>
    <cellStyle name="Normal 6 2 52" xfId="37730" xr:uid="{00000000-0005-0000-0000-000062930000}"/>
    <cellStyle name="Normal 6 2 53" xfId="37731" xr:uid="{00000000-0005-0000-0000-000063930000}"/>
    <cellStyle name="Normal 6 2 54" xfId="37732" xr:uid="{00000000-0005-0000-0000-000064930000}"/>
    <cellStyle name="Normal 6 2 55" xfId="37733" xr:uid="{00000000-0005-0000-0000-000065930000}"/>
    <cellStyle name="Normal 6 2 56" xfId="37734" xr:uid="{00000000-0005-0000-0000-000066930000}"/>
    <cellStyle name="Normal 6 2 57" xfId="37735" xr:uid="{00000000-0005-0000-0000-000067930000}"/>
    <cellStyle name="Normal 6 2 58" xfId="37736" xr:uid="{00000000-0005-0000-0000-000068930000}"/>
    <cellStyle name="Normal 6 2 59" xfId="37737" xr:uid="{00000000-0005-0000-0000-000069930000}"/>
    <cellStyle name="Normal 6 2 6" xfId="37738" xr:uid="{00000000-0005-0000-0000-00006A930000}"/>
    <cellStyle name="Normal 6 2 60" xfId="37739" xr:uid="{00000000-0005-0000-0000-00006B930000}"/>
    <cellStyle name="Normal 6 2 61" xfId="37740" xr:uid="{00000000-0005-0000-0000-00006C930000}"/>
    <cellStyle name="Normal 6 2 62" xfId="37741" xr:uid="{00000000-0005-0000-0000-00006D930000}"/>
    <cellStyle name="Normal 6 2 63" xfId="37742" xr:uid="{00000000-0005-0000-0000-00006E930000}"/>
    <cellStyle name="Normal 6 2 64" xfId="37743" xr:uid="{00000000-0005-0000-0000-00006F930000}"/>
    <cellStyle name="Normal 6 2 65" xfId="37744" xr:uid="{00000000-0005-0000-0000-000070930000}"/>
    <cellStyle name="Normal 6 2 66" xfId="37745" xr:uid="{00000000-0005-0000-0000-000071930000}"/>
    <cellStyle name="Normal 6 2 67" xfId="37746" xr:uid="{00000000-0005-0000-0000-000072930000}"/>
    <cellStyle name="Normal 6 2 68" xfId="37747" xr:uid="{00000000-0005-0000-0000-000073930000}"/>
    <cellStyle name="Normal 6 2 69" xfId="37748" xr:uid="{00000000-0005-0000-0000-000074930000}"/>
    <cellStyle name="Normal 6 2 7" xfId="37749" xr:uid="{00000000-0005-0000-0000-000075930000}"/>
    <cellStyle name="Normal 6 2 70" xfId="37750" xr:uid="{00000000-0005-0000-0000-000076930000}"/>
    <cellStyle name="Normal 6 2 71" xfId="37751" xr:uid="{00000000-0005-0000-0000-000077930000}"/>
    <cellStyle name="Normal 6 2 72" xfId="37752" xr:uid="{00000000-0005-0000-0000-000078930000}"/>
    <cellStyle name="Normal 6 2 73" xfId="37753" xr:uid="{00000000-0005-0000-0000-000079930000}"/>
    <cellStyle name="Normal 6 2 74" xfId="37754" xr:uid="{00000000-0005-0000-0000-00007A930000}"/>
    <cellStyle name="Normal 6 2 75" xfId="37755" xr:uid="{00000000-0005-0000-0000-00007B930000}"/>
    <cellStyle name="Normal 6 2 76" xfId="37756" xr:uid="{00000000-0005-0000-0000-00007C930000}"/>
    <cellStyle name="Normal 6 2 77" xfId="37757" xr:uid="{00000000-0005-0000-0000-00007D930000}"/>
    <cellStyle name="Normal 6 2 78" xfId="37758" xr:uid="{00000000-0005-0000-0000-00007E930000}"/>
    <cellStyle name="Normal 6 2 79" xfId="37759" xr:uid="{00000000-0005-0000-0000-00007F930000}"/>
    <cellStyle name="Normal 6 2 8" xfId="37760" xr:uid="{00000000-0005-0000-0000-000080930000}"/>
    <cellStyle name="Normal 6 2 80" xfId="37761" xr:uid="{00000000-0005-0000-0000-000081930000}"/>
    <cellStyle name="Normal 6 2 81" xfId="37762" xr:uid="{00000000-0005-0000-0000-000082930000}"/>
    <cellStyle name="Normal 6 2 82" xfId="37763" xr:uid="{00000000-0005-0000-0000-000083930000}"/>
    <cellStyle name="Normal 6 2 83" xfId="37764" xr:uid="{00000000-0005-0000-0000-000084930000}"/>
    <cellStyle name="Normal 6 2 84" xfId="37765" xr:uid="{00000000-0005-0000-0000-000085930000}"/>
    <cellStyle name="Normal 6 2 85" xfId="37766" xr:uid="{00000000-0005-0000-0000-000086930000}"/>
    <cellStyle name="Normal 6 2 86" xfId="37767" xr:uid="{00000000-0005-0000-0000-000087930000}"/>
    <cellStyle name="Normal 6 2 9" xfId="37768" xr:uid="{00000000-0005-0000-0000-000088930000}"/>
    <cellStyle name="Normal 6 2_Xa Parametrización de Usuarios" xfId="37769" xr:uid="{00000000-0005-0000-0000-000089930000}"/>
    <cellStyle name="Normal 6 20" xfId="37770" xr:uid="{00000000-0005-0000-0000-00008A930000}"/>
    <cellStyle name="Normal 6 21" xfId="37771" xr:uid="{00000000-0005-0000-0000-00008B930000}"/>
    <cellStyle name="Normal 6 22" xfId="37772" xr:uid="{00000000-0005-0000-0000-00008C930000}"/>
    <cellStyle name="Normal 6 23" xfId="37773" xr:uid="{00000000-0005-0000-0000-00008D930000}"/>
    <cellStyle name="Normal 6 24" xfId="37774" xr:uid="{00000000-0005-0000-0000-00008E930000}"/>
    <cellStyle name="Normal 6 25" xfId="37775" xr:uid="{00000000-0005-0000-0000-00008F930000}"/>
    <cellStyle name="Normal 6 26" xfId="37776" xr:uid="{00000000-0005-0000-0000-000090930000}"/>
    <cellStyle name="Normal 6 27" xfId="37777" xr:uid="{00000000-0005-0000-0000-000091930000}"/>
    <cellStyle name="Normal 6 28" xfId="37778" xr:uid="{00000000-0005-0000-0000-000092930000}"/>
    <cellStyle name="Normal 6 29" xfId="37779" xr:uid="{00000000-0005-0000-0000-000093930000}"/>
    <cellStyle name="Normal 6 3" xfId="37780" xr:uid="{00000000-0005-0000-0000-000094930000}"/>
    <cellStyle name="Normal 6 3 10" xfId="37781" xr:uid="{00000000-0005-0000-0000-000095930000}"/>
    <cellStyle name="Normal 6 3 11" xfId="37782" xr:uid="{00000000-0005-0000-0000-000096930000}"/>
    <cellStyle name="Normal 6 3 12" xfId="37783" xr:uid="{00000000-0005-0000-0000-000097930000}"/>
    <cellStyle name="Normal 6 3 2" xfId="37784" xr:uid="{00000000-0005-0000-0000-000098930000}"/>
    <cellStyle name="Normal 6 3 3" xfId="37785" xr:uid="{00000000-0005-0000-0000-000099930000}"/>
    <cellStyle name="Normal 6 3 4" xfId="37786" xr:uid="{00000000-0005-0000-0000-00009A930000}"/>
    <cellStyle name="Normal 6 3 5" xfId="37787" xr:uid="{00000000-0005-0000-0000-00009B930000}"/>
    <cellStyle name="Normal 6 3 6" xfId="37788" xr:uid="{00000000-0005-0000-0000-00009C930000}"/>
    <cellStyle name="Normal 6 3 7" xfId="37789" xr:uid="{00000000-0005-0000-0000-00009D930000}"/>
    <cellStyle name="Normal 6 3 8" xfId="37790" xr:uid="{00000000-0005-0000-0000-00009E930000}"/>
    <cellStyle name="Normal 6 3 9" xfId="37791" xr:uid="{00000000-0005-0000-0000-00009F930000}"/>
    <cellStyle name="Normal 6 3_Xa Parametrización de Usuarios" xfId="37792" xr:uid="{00000000-0005-0000-0000-0000A0930000}"/>
    <cellStyle name="Normal 6 30" xfId="39189" xr:uid="{00000000-0005-0000-0000-000015990000}"/>
    <cellStyle name="Normal 6 31" xfId="37672" xr:uid="{00000000-0005-0000-0000-000028930000}"/>
    <cellStyle name="Normal 6 4" xfId="37793" xr:uid="{00000000-0005-0000-0000-0000A1930000}"/>
    <cellStyle name="Normal 6 5" xfId="37794" xr:uid="{00000000-0005-0000-0000-0000A2930000}"/>
    <cellStyle name="Normal 6 6" xfId="37795" xr:uid="{00000000-0005-0000-0000-0000A3930000}"/>
    <cellStyle name="Normal 6 7" xfId="37796" xr:uid="{00000000-0005-0000-0000-0000A4930000}"/>
    <cellStyle name="Normal 6 8" xfId="37797" xr:uid="{00000000-0005-0000-0000-0000A5930000}"/>
    <cellStyle name="Normal 6 9" xfId="37798" xr:uid="{00000000-0005-0000-0000-0000A6930000}"/>
    <cellStyle name="Normal 60" xfId="37799" xr:uid="{00000000-0005-0000-0000-0000A7930000}"/>
    <cellStyle name="Normal 61" xfId="37800" xr:uid="{00000000-0005-0000-0000-0000A8930000}"/>
    <cellStyle name="Normal 61 2" xfId="37801" xr:uid="{00000000-0005-0000-0000-0000A9930000}"/>
    <cellStyle name="Normal 61 2 2" xfId="37802" xr:uid="{00000000-0005-0000-0000-0000AA930000}"/>
    <cellStyle name="Normal 61 2 3" xfId="37803" xr:uid="{00000000-0005-0000-0000-0000AB930000}"/>
    <cellStyle name="Normal 61 3" xfId="37804" xr:uid="{00000000-0005-0000-0000-0000AC930000}"/>
    <cellStyle name="Normal 62" xfId="37805" xr:uid="{00000000-0005-0000-0000-0000AD930000}"/>
    <cellStyle name="Normal 62 2" xfId="37806" xr:uid="{00000000-0005-0000-0000-0000AE930000}"/>
    <cellStyle name="Normal 62 3" xfId="37807" xr:uid="{00000000-0005-0000-0000-0000AF930000}"/>
    <cellStyle name="Normal 62 4" xfId="39190" xr:uid="{00000000-0005-0000-0000-000016990000}"/>
    <cellStyle name="Normal 63" xfId="37808" xr:uid="{00000000-0005-0000-0000-0000B0930000}"/>
    <cellStyle name="Normal 63 2" xfId="37809" xr:uid="{00000000-0005-0000-0000-0000B1930000}"/>
    <cellStyle name="Normal 63 3" xfId="37810" xr:uid="{00000000-0005-0000-0000-0000B2930000}"/>
    <cellStyle name="Normal 63 4" xfId="37811" xr:uid="{00000000-0005-0000-0000-0000B3930000}"/>
    <cellStyle name="Normal 63 5" xfId="39191" xr:uid="{00000000-0005-0000-0000-000017990000}"/>
    <cellStyle name="Normal 64" xfId="37812" xr:uid="{00000000-0005-0000-0000-0000B4930000}"/>
    <cellStyle name="Normal 64 2" xfId="37813" xr:uid="{00000000-0005-0000-0000-0000B5930000}"/>
    <cellStyle name="Normal 64 3" xfId="37814" xr:uid="{00000000-0005-0000-0000-0000B6930000}"/>
    <cellStyle name="Normal 64 4" xfId="37815" xr:uid="{00000000-0005-0000-0000-0000B7930000}"/>
    <cellStyle name="Normal 64 5" xfId="39192" xr:uid="{00000000-0005-0000-0000-000018990000}"/>
    <cellStyle name="Normal 65" xfId="37816" xr:uid="{00000000-0005-0000-0000-0000B8930000}"/>
    <cellStyle name="Normal 65 2" xfId="37817" xr:uid="{00000000-0005-0000-0000-0000B9930000}"/>
    <cellStyle name="Normal 65 3" xfId="37818" xr:uid="{00000000-0005-0000-0000-0000BA930000}"/>
    <cellStyle name="Normal 66" xfId="37819" xr:uid="{00000000-0005-0000-0000-0000BB930000}"/>
    <cellStyle name="Normal 66 2" xfId="37820" xr:uid="{00000000-0005-0000-0000-0000BC930000}"/>
    <cellStyle name="Normal 66 3" xfId="37821" xr:uid="{00000000-0005-0000-0000-0000BD930000}"/>
    <cellStyle name="Normal 66 4" xfId="39193" xr:uid="{00000000-0005-0000-0000-000019990000}"/>
    <cellStyle name="Normal 67" xfId="37822" xr:uid="{00000000-0005-0000-0000-0000BE930000}"/>
    <cellStyle name="Normal 67 2" xfId="37823" xr:uid="{00000000-0005-0000-0000-0000BF930000}"/>
    <cellStyle name="Normal 67 3" xfId="39194" xr:uid="{00000000-0005-0000-0000-00001A990000}"/>
    <cellStyle name="Normal 68" xfId="37824" xr:uid="{00000000-0005-0000-0000-0000C0930000}"/>
    <cellStyle name="Normal 68 2" xfId="37825" xr:uid="{00000000-0005-0000-0000-0000C1930000}"/>
    <cellStyle name="Normal 68 3" xfId="39195" xr:uid="{00000000-0005-0000-0000-00001B990000}"/>
    <cellStyle name="Normal 69" xfId="37826" xr:uid="{00000000-0005-0000-0000-0000C2930000}"/>
    <cellStyle name="Normal 69 2" xfId="37827" xr:uid="{00000000-0005-0000-0000-0000C3930000}"/>
    <cellStyle name="Normal 69 3" xfId="37828" xr:uid="{00000000-0005-0000-0000-0000C4930000}"/>
    <cellStyle name="Normal 69 4" xfId="39196" xr:uid="{00000000-0005-0000-0000-00001C990000}"/>
    <cellStyle name="Normal 7" xfId="2" xr:uid="{00000000-0005-0000-0000-000002000000}"/>
    <cellStyle name="Normal 7 10" xfId="63" xr:uid="{00000000-0005-0000-0000-00003F000000}"/>
    <cellStyle name="Normal 7 11" xfId="37829" xr:uid="{00000000-0005-0000-0000-0000C5930000}"/>
    <cellStyle name="Normal 7 12" xfId="37830" xr:uid="{00000000-0005-0000-0000-0000C6930000}"/>
    <cellStyle name="Normal 7 13" xfId="37831" xr:uid="{00000000-0005-0000-0000-0000C7930000}"/>
    <cellStyle name="Normal 7 14" xfId="37832" xr:uid="{00000000-0005-0000-0000-0000C8930000}"/>
    <cellStyle name="Normal 7 15" xfId="37833" xr:uid="{00000000-0005-0000-0000-0000C9930000}"/>
    <cellStyle name="Normal 7 16" xfId="37834" xr:uid="{00000000-0005-0000-0000-0000CA930000}"/>
    <cellStyle name="Normal 7 17" xfId="37835" xr:uid="{00000000-0005-0000-0000-0000CB930000}"/>
    <cellStyle name="Normal 7 18" xfId="37836" xr:uid="{00000000-0005-0000-0000-0000CC930000}"/>
    <cellStyle name="Normal 7 19" xfId="37837" xr:uid="{00000000-0005-0000-0000-0000CD930000}"/>
    <cellStyle name="Normal 7 2" xfId="6" xr:uid="{00000000-0005-0000-0000-000006000000}"/>
    <cellStyle name="Normal 7 2 10" xfId="37838" xr:uid="{00000000-0005-0000-0000-0000CE930000}"/>
    <cellStyle name="Normal 7 2 11" xfId="37839" xr:uid="{00000000-0005-0000-0000-0000CF930000}"/>
    <cellStyle name="Normal 7 2 12" xfId="37840" xr:uid="{00000000-0005-0000-0000-0000D0930000}"/>
    <cellStyle name="Normal 7 2 13" xfId="37841" xr:uid="{00000000-0005-0000-0000-0000D1930000}"/>
    <cellStyle name="Normal 7 2 14" xfId="37842" xr:uid="{00000000-0005-0000-0000-0000D2930000}"/>
    <cellStyle name="Normal 7 2 15" xfId="37843" xr:uid="{00000000-0005-0000-0000-0000D3930000}"/>
    <cellStyle name="Normal 7 2 16" xfId="37844" xr:uid="{00000000-0005-0000-0000-0000D4930000}"/>
    <cellStyle name="Normal 7 2 17" xfId="37845" xr:uid="{00000000-0005-0000-0000-0000D5930000}"/>
    <cellStyle name="Normal 7 2 18" xfId="37846" xr:uid="{00000000-0005-0000-0000-0000D6930000}"/>
    <cellStyle name="Normal 7 2 19" xfId="37847" xr:uid="{00000000-0005-0000-0000-0000D7930000}"/>
    <cellStyle name="Normal 7 2 2" xfId="37848" xr:uid="{00000000-0005-0000-0000-0000D8930000}"/>
    <cellStyle name="Normal 7 2 2 2" xfId="37849" xr:uid="{00000000-0005-0000-0000-0000D9930000}"/>
    <cellStyle name="Normal 7 2 2 2 2" xfId="37850" xr:uid="{00000000-0005-0000-0000-0000DA930000}"/>
    <cellStyle name="Normal 7 2 20" xfId="37851" xr:uid="{00000000-0005-0000-0000-0000DB930000}"/>
    <cellStyle name="Normal 7 2 21" xfId="37852" xr:uid="{00000000-0005-0000-0000-0000DC930000}"/>
    <cellStyle name="Normal 7 2 22" xfId="37853" xr:uid="{00000000-0005-0000-0000-0000DD930000}"/>
    <cellStyle name="Normal 7 2 23" xfId="37854" xr:uid="{00000000-0005-0000-0000-0000DE930000}"/>
    <cellStyle name="Normal 7 2 24" xfId="37855" xr:uid="{00000000-0005-0000-0000-0000DF930000}"/>
    <cellStyle name="Normal 7 2 25" xfId="37856" xr:uid="{00000000-0005-0000-0000-0000E0930000}"/>
    <cellStyle name="Normal 7 2 26" xfId="37857" xr:uid="{00000000-0005-0000-0000-0000E1930000}"/>
    <cellStyle name="Normal 7 2 27" xfId="37858" xr:uid="{00000000-0005-0000-0000-0000E2930000}"/>
    <cellStyle name="Normal 7 2 28" xfId="37859" xr:uid="{00000000-0005-0000-0000-0000E3930000}"/>
    <cellStyle name="Normal 7 2 29" xfId="37860" xr:uid="{00000000-0005-0000-0000-0000E4930000}"/>
    <cellStyle name="Normal 7 2 3" xfId="37861" xr:uid="{00000000-0005-0000-0000-0000E5930000}"/>
    <cellStyle name="Normal 7 2 30" xfId="37862" xr:uid="{00000000-0005-0000-0000-0000E6930000}"/>
    <cellStyle name="Normal 7 2 31" xfId="37863" xr:uid="{00000000-0005-0000-0000-0000E7930000}"/>
    <cellStyle name="Normal 7 2 32" xfId="37864" xr:uid="{00000000-0005-0000-0000-0000E8930000}"/>
    <cellStyle name="Normal 7 2 33" xfId="37865" xr:uid="{00000000-0005-0000-0000-0000E9930000}"/>
    <cellStyle name="Normal 7 2 34" xfId="37866" xr:uid="{00000000-0005-0000-0000-0000EA930000}"/>
    <cellStyle name="Normal 7 2 35" xfId="37867" xr:uid="{00000000-0005-0000-0000-0000EB930000}"/>
    <cellStyle name="Normal 7 2 36" xfId="37868" xr:uid="{00000000-0005-0000-0000-0000EC930000}"/>
    <cellStyle name="Normal 7 2 37" xfId="37869" xr:uid="{00000000-0005-0000-0000-0000ED930000}"/>
    <cellStyle name="Normal 7 2 38" xfId="37870" xr:uid="{00000000-0005-0000-0000-0000EE930000}"/>
    <cellStyle name="Normal 7 2 39" xfId="37871" xr:uid="{00000000-0005-0000-0000-0000EF930000}"/>
    <cellStyle name="Normal 7 2 4" xfId="37872" xr:uid="{00000000-0005-0000-0000-0000F0930000}"/>
    <cellStyle name="Normal 7 2 40" xfId="37873" xr:uid="{00000000-0005-0000-0000-0000F1930000}"/>
    <cellStyle name="Normal 7 2 41" xfId="37874" xr:uid="{00000000-0005-0000-0000-0000F2930000}"/>
    <cellStyle name="Normal 7 2 42" xfId="37875" xr:uid="{00000000-0005-0000-0000-0000F3930000}"/>
    <cellStyle name="Normal 7 2 43" xfId="37876" xr:uid="{00000000-0005-0000-0000-0000F4930000}"/>
    <cellStyle name="Normal 7 2 44" xfId="37877" xr:uid="{00000000-0005-0000-0000-0000F5930000}"/>
    <cellStyle name="Normal 7 2 45" xfId="37878" xr:uid="{00000000-0005-0000-0000-0000F6930000}"/>
    <cellStyle name="Normal 7 2 46" xfId="37879" xr:uid="{00000000-0005-0000-0000-0000F7930000}"/>
    <cellStyle name="Normal 7 2 47" xfId="37880" xr:uid="{00000000-0005-0000-0000-0000F8930000}"/>
    <cellStyle name="Normal 7 2 48" xfId="37881" xr:uid="{00000000-0005-0000-0000-0000F9930000}"/>
    <cellStyle name="Normal 7 2 49" xfId="37882" xr:uid="{00000000-0005-0000-0000-0000FA930000}"/>
    <cellStyle name="Normal 7 2 5" xfId="37883" xr:uid="{00000000-0005-0000-0000-0000FB930000}"/>
    <cellStyle name="Normal 7 2 50" xfId="37884" xr:uid="{00000000-0005-0000-0000-0000FC930000}"/>
    <cellStyle name="Normal 7 2 51" xfId="37885" xr:uid="{00000000-0005-0000-0000-0000FD930000}"/>
    <cellStyle name="Normal 7 2 52" xfId="37886" xr:uid="{00000000-0005-0000-0000-0000FE930000}"/>
    <cellStyle name="Normal 7 2 53" xfId="37887" xr:uid="{00000000-0005-0000-0000-0000FF930000}"/>
    <cellStyle name="Normal 7 2 54" xfId="37888" xr:uid="{00000000-0005-0000-0000-000000940000}"/>
    <cellStyle name="Normal 7 2 55" xfId="37889" xr:uid="{00000000-0005-0000-0000-000001940000}"/>
    <cellStyle name="Normal 7 2 56" xfId="37890" xr:uid="{00000000-0005-0000-0000-000002940000}"/>
    <cellStyle name="Normal 7 2 57" xfId="37891" xr:uid="{00000000-0005-0000-0000-000003940000}"/>
    <cellStyle name="Normal 7 2 58" xfId="37892" xr:uid="{00000000-0005-0000-0000-000004940000}"/>
    <cellStyle name="Normal 7 2 59" xfId="37893" xr:uid="{00000000-0005-0000-0000-000005940000}"/>
    <cellStyle name="Normal 7 2 6" xfId="37894" xr:uid="{00000000-0005-0000-0000-000006940000}"/>
    <cellStyle name="Normal 7 2 60" xfId="37895" xr:uid="{00000000-0005-0000-0000-000007940000}"/>
    <cellStyle name="Normal 7 2 61" xfId="37896" xr:uid="{00000000-0005-0000-0000-000008940000}"/>
    <cellStyle name="Normal 7 2 62" xfId="37897" xr:uid="{00000000-0005-0000-0000-000009940000}"/>
    <cellStyle name="Normal 7 2 63" xfId="37898" xr:uid="{00000000-0005-0000-0000-00000A940000}"/>
    <cellStyle name="Normal 7 2 64" xfId="37899" xr:uid="{00000000-0005-0000-0000-00000B940000}"/>
    <cellStyle name="Normal 7 2 65" xfId="37900" xr:uid="{00000000-0005-0000-0000-00000C940000}"/>
    <cellStyle name="Normal 7 2 66" xfId="37901" xr:uid="{00000000-0005-0000-0000-00000D940000}"/>
    <cellStyle name="Normal 7 2 67" xfId="37902" xr:uid="{00000000-0005-0000-0000-00000E940000}"/>
    <cellStyle name="Normal 7 2 68" xfId="37903" xr:uid="{00000000-0005-0000-0000-00000F940000}"/>
    <cellStyle name="Normal 7 2 69" xfId="37904" xr:uid="{00000000-0005-0000-0000-000010940000}"/>
    <cellStyle name="Normal 7 2 7" xfId="37905" xr:uid="{00000000-0005-0000-0000-000011940000}"/>
    <cellStyle name="Normal 7 2 70" xfId="37906" xr:uid="{00000000-0005-0000-0000-000012940000}"/>
    <cellStyle name="Normal 7 2 71" xfId="37907" xr:uid="{00000000-0005-0000-0000-000013940000}"/>
    <cellStyle name="Normal 7 2 72" xfId="37908" xr:uid="{00000000-0005-0000-0000-000014940000}"/>
    <cellStyle name="Normal 7 2 73" xfId="37909" xr:uid="{00000000-0005-0000-0000-000015940000}"/>
    <cellStyle name="Normal 7 2 74" xfId="37910" xr:uid="{00000000-0005-0000-0000-000016940000}"/>
    <cellStyle name="Normal 7 2 75" xfId="37911" xr:uid="{00000000-0005-0000-0000-000017940000}"/>
    <cellStyle name="Normal 7 2 76" xfId="37912" xr:uid="{00000000-0005-0000-0000-000018940000}"/>
    <cellStyle name="Normal 7 2 77" xfId="37913" xr:uid="{00000000-0005-0000-0000-000019940000}"/>
    <cellStyle name="Normal 7 2 78" xfId="37914" xr:uid="{00000000-0005-0000-0000-00001A940000}"/>
    <cellStyle name="Normal 7 2 79" xfId="37915" xr:uid="{00000000-0005-0000-0000-00001B940000}"/>
    <cellStyle name="Normal 7 2 8" xfId="37916" xr:uid="{00000000-0005-0000-0000-00001C940000}"/>
    <cellStyle name="Normal 7 2 80" xfId="37917" xr:uid="{00000000-0005-0000-0000-00001D940000}"/>
    <cellStyle name="Normal 7 2 81" xfId="37918" xr:uid="{00000000-0005-0000-0000-00001E940000}"/>
    <cellStyle name="Normal 7 2 9" xfId="37919" xr:uid="{00000000-0005-0000-0000-00001F940000}"/>
    <cellStyle name="Normal 7 2_Enlaces" xfId="37920" xr:uid="{00000000-0005-0000-0000-000020940000}"/>
    <cellStyle name="Normal 7 20" xfId="37921" xr:uid="{00000000-0005-0000-0000-000021940000}"/>
    <cellStyle name="Normal 7 21" xfId="37922" xr:uid="{00000000-0005-0000-0000-000022940000}"/>
    <cellStyle name="Normal 7 22" xfId="37923" xr:uid="{00000000-0005-0000-0000-000023940000}"/>
    <cellStyle name="Normal 7 23" xfId="37924" xr:uid="{00000000-0005-0000-0000-000024940000}"/>
    <cellStyle name="Normal 7 24" xfId="37925" xr:uid="{00000000-0005-0000-0000-000025940000}"/>
    <cellStyle name="Normal 7 25" xfId="37926" xr:uid="{00000000-0005-0000-0000-000026940000}"/>
    <cellStyle name="Normal 7 26" xfId="37927" xr:uid="{00000000-0005-0000-0000-000027940000}"/>
    <cellStyle name="Normal 7 27" xfId="37928" xr:uid="{00000000-0005-0000-0000-000028940000}"/>
    <cellStyle name="Normal 7 28" xfId="37929" xr:uid="{00000000-0005-0000-0000-000029940000}"/>
    <cellStyle name="Normal 7 29" xfId="37930" xr:uid="{00000000-0005-0000-0000-00002A940000}"/>
    <cellStyle name="Normal 7 3" xfId="37931" xr:uid="{00000000-0005-0000-0000-00002B940000}"/>
    <cellStyle name="Normal 7 3 2" xfId="37932" xr:uid="{00000000-0005-0000-0000-00002C940000}"/>
    <cellStyle name="Normal 7 3 3" xfId="37933" xr:uid="{00000000-0005-0000-0000-00002D940000}"/>
    <cellStyle name="Normal 7 3 4" xfId="37934" xr:uid="{00000000-0005-0000-0000-00002E940000}"/>
    <cellStyle name="Normal 7 3 4 2" xfId="37935" xr:uid="{00000000-0005-0000-0000-00002F940000}"/>
    <cellStyle name="Normal 7 3 4 2 2" xfId="37936" xr:uid="{00000000-0005-0000-0000-000030940000}"/>
    <cellStyle name="Normal 7 3 4 3" xfId="37937" xr:uid="{00000000-0005-0000-0000-000031940000}"/>
    <cellStyle name="Normal 7 3 5" xfId="37938" xr:uid="{00000000-0005-0000-0000-000032940000}"/>
    <cellStyle name="Normal 7 3 6" xfId="37939" xr:uid="{00000000-0005-0000-0000-000033940000}"/>
    <cellStyle name="Normal 7 3 7" xfId="37940" xr:uid="{00000000-0005-0000-0000-000034940000}"/>
    <cellStyle name="Normal 7 3 7 2" xfId="37941" xr:uid="{00000000-0005-0000-0000-000035940000}"/>
    <cellStyle name="Normal 7 3_Implem" xfId="37942" xr:uid="{00000000-0005-0000-0000-000036940000}"/>
    <cellStyle name="Normal 7 30" xfId="37943" xr:uid="{00000000-0005-0000-0000-000037940000}"/>
    <cellStyle name="Normal 7 30 2" xfId="37944" xr:uid="{00000000-0005-0000-0000-000038940000}"/>
    <cellStyle name="Normal 7 31" xfId="37945" xr:uid="{00000000-0005-0000-0000-000039940000}"/>
    <cellStyle name="Normal 7 32" xfId="37946" xr:uid="{00000000-0005-0000-0000-00003A940000}"/>
    <cellStyle name="Normal 7 33" xfId="37947" xr:uid="{00000000-0005-0000-0000-00003B940000}"/>
    <cellStyle name="Normal 7 34" xfId="37948" xr:uid="{00000000-0005-0000-0000-00003C940000}"/>
    <cellStyle name="Normal 7 35" xfId="37949" xr:uid="{00000000-0005-0000-0000-00003D940000}"/>
    <cellStyle name="Normal 7 36" xfId="37950" xr:uid="{00000000-0005-0000-0000-00003E940000}"/>
    <cellStyle name="Normal 7 37" xfId="37951" xr:uid="{00000000-0005-0000-0000-00003F940000}"/>
    <cellStyle name="Normal 7 38" xfId="37952" xr:uid="{00000000-0005-0000-0000-000040940000}"/>
    <cellStyle name="Normal 7 39" xfId="37953" xr:uid="{00000000-0005-0000-0000-000041940000}"/>
    <cellStyle name="Normal 7 4" xfId="64" xr:uid="{00000000-0005-0000-0000-000040000000}"/>
    <cellStyle name="Normal 7 4 2" xfId="37954" xr:uid="{00000000-0005-0000-0000-000042940000}"/>
    <cellStyle name="Normal 7 40" xfId="37955" xr:uid="{00000000-0005-0000-0000-000043940000}"/>
    <cellStyle name="Normal 7 41" xfId="37956" xr:uid="{00000000-0005-0000-0000-000044940000}"/>
    <cellStyle name="Normal 7 42" xfId="37957" xr:uid="{00000000-0005-0000-0000-000045940000}"/>
    <cellStyle name="Normal 7 43" xfId="37958" xr:uid="{00000000-0005-0000-0000-000046940000}"/>
    <cellStyle name="Normal 7 44" xfId="37959" xr:uid="{00000000-0005-0000-0000-000047940000}"/>
    <cellStyle name="Normal 7 45" xfId="37960" xr:uid="{00000000-0005-0000-0000-000048940000}"/>
    <cellStyle name="Normal 7 46" xfId="37961" xr:uid="{00000000-0005-0000-0000-000049940000}"/>
    <cellStyle name="Normal 7 5" xfId="37962" xr:uid="{00000000-0005-0000-0000-00004A940000}"/>
    <cellStyle name="Normal 7 6" xfId="37963" xr:uid="{00000000-0005-0000-0000-00004B940000}"/>
    <cellStyle name="Normal 7 7" xfId="37964" xr:uid="{00000000-0005-0000-0000-00004C940000}"/>
    <cellStyle name="Normal 7 8" xfId="37965" xr:uid="{00000000-0005-0000-0000-00004D940000}"/>
    <cellStyle name="Normal 7 9" xfId="37966" xr:uid="{00000000-0005-0000-0000-00004E940000}"/>
    <cellStyle name="Normal 70" xfId="37967" xr:uid="{00000000-0005-0000-0000-00004F940000}"/>
    <cellStyle name="Normal 70 2" xfId="37968" xr:uid="{00000000-0005-0000-0000-000050940000}"/>
    <cellStyle name="Normal 71" xfId="37969" xr:uid="{00000000-0005-0000-0000-000051940000}"/>
    <cellStyle name="Normal 71 2" xfId="37970" xr:uid="{00000000-0005-0000-0000-000052940000}"/>
    <cellStyle name="Normal 72" xfId="37971" xr:uid="{00000000-0005-0000-0000-000053940000}"/>
    <cellStyle name="Normal 72 2" xfId="37972" xr:uid="{00000000-0005-0000-0000-000054940000}"/>
    <cellStyle name="Normal 72 3" xfId="37973" xr:uid="{00000000-0005-0000-0000-000055940000}"/>
    <cellStyle name="Normal 72 4" xfId="39197" xr:uid="{00000000-0005-0000-0000-00001D990000}"/>
    <cellStyle name="Normal 73" xfId="37974" xr:uid="{00000000-0005-0000-0000-000056940000}"/>
    <cellStyle name="Normal 73 2" xfId="37975" xr:uid="{00000000-0005-0000-0000-000057940000}"/>
    <cellStyle name="Normal 74" xfId="37976" xr:uid="{00000000-0005-0000-0000-000058940000}"/>
    <cellStyle name="Normal 74 2" xfId="37977" xr:uid="{00000000-0005-0000-0000-000059940000}"/>
    <cellStyle name="Normal 75" xfId="37978" xr:uid="{00000000-0005-0000-0000-00005A940000}"/>
    <cellStyle name="Normal 75 2" xfId="37979" xr:uid="{00000000-0005-0000-0000-00005B940000}"/>
    <cellStyle name="Normal 75 3" xfId="37980" xr:uid="{00000000-0005-0000-0000-00005C940000}"/>
    <cellStyle name="Normal 75 4" xfId="39198" xr:uid="{00000000-0005-0000-0000-00001E990000}"/>
    <cellStyle name="Normal 76" xfId="37981" xr:uid="{00000000-0005-0000-0000-00005D940000}"/>
    <cellStyle name="Normal 76 2" xfId="37982" xr:uid="{00000000-0005-0000-0000-00005E940000}"/>
    <cellStyle name="Normal 76 3" xfId="37983" xr:uid="{00000000-0005-0000-0000-00005F940000}"/>
    <cellStyle name="Normal 76 4" xfId="39199" xr:uid="{00000000-0005-0000-0000-00001F990000}"/>
    <cellStyle name="Normal 77" xfId="37984" xr:uid="{00000000-0005-0000-0000-000060940000}"/>
    <cellStyle name="Normal 77 2" xfId="37985" xr:uid="{00000000-0005-0000-0000-000061940000}"/>
    <cellStyle name="Normal 77 3" xfId="37986" xr:uid="{00000000-0005-0000-0000-000062940000}"/>
    <cellStyle name="Normal 77 4" xfId="39200" xr:uid="{00000000-0005-0000-0000-000020990000}"/>
    <cellStyle name="Normal 78" xfId="37987" xr:uid="{00000000-0005-0000-0000-000063940000}"/>
    <cellStyle name="Normal 78 2" xfId="37988" xr:uid="{00000000-0005-0000-0000-000064940000}"/>
    <cellStyle name="Normal 79" xfId="37989" xr:uid="{00000000-0005-0000-0000-000065940000}"/>
    <cellStyle name="Normal 79 2" xfId="37990" xr:uid="{00000000-0005-0000-0000-000066940000}"/>
    <cellStyle name="Normal 8" xfId="1" xr:uid="{00000000-0005-0000-0000-000001000000}"/>
    <cellStyle name="Normal 8 2" xfId="65" xr:uid="{00000000-0005-0000-0000-000041000000}"/>
    <cellStyle name="Normal 8 2 2" xfId="37993" xr:uid="{00000000-0005-0000-0000-000069940000}"/>
    <cellStyle name="Normal 8 2 2 2" xfId="37994" xr:uid="{00000000-0005-0000-0000-00006A940000}"/>
    <cellStyle name="Normal 8 2 3" xfId="37995" xr:uid="{00000000-0005-0000-0000-00006B940000}"/>
    <cellStyle name="Normal 8 2 3 2" xfId="37996" xr:uid="{00000000-0005-0000-0000-00006C940000}"/>
    <cellStyle name="Normal 8 2 4" xfId="37992" xr:uid="{00000000-0005-0000-0000-000068940000}"/>
    <cellStyle name="Normal 8 3" xfId="37" xr:uid="{00000000-0005-0000-0000-000025000000}"/>
    <cellStyle name="Normal 8 3 2" xfId="37997" xr:uid="{00000000-0005-0000-0000-00006D940000}"/>
    <cellStyle name="Normal 8 4" xfId="37998" xr:uid="{00000000-0005-0000-0000-00006E940000}"/>
    <cellStyle name="Normal 8 5" xfId="37999" xr:uid="{00000000-0005-0000-0000-00006F940000}"/>
    <cellStyle name="Normal 8 6" xfId="38000" xr:uid="{00000000-0005-0000-0000-000070940000}"/>
    <cellStyle name="Normal 8 7" xfId="38001" xr:uid="{00000000-0005-0000-0000-000071940000}"/>
    <cellStyle name="Normal 8 8" xfId="38002" xr:uid="{00000000-0005-0000-0000-000072940000}"/>
    <cellStyle name="Normal 8 8 2" xfId="38003" xr:uid="{00000000-0005-0000-0000-000073940000}"/>
    <cellStyle name="Normal 8 9" xfId="37991" xr:uid="{00000000-0005-0000-0000-000067940000}"/>
    <cellStyle name="Normal 80" xfId="38004" xr:uid="{00000000-0005-0000-0000-000074940000}"/>
    <cellStyle name="Normal 80 2" xfId="38005" xr:uid="{00000000-0005-0000-0000-000075940000}"/>
    <cellStyle name="Normal 80 3" xfId="38006" xr:uid="{00000000-0005-0000-0000-000076940000}"/>
    <cellStyle name="Normal 80 4" xfId="39201" xr:uid="{00000000-0005-0000-0000-000021990000}"/>
    <cellStyle name="Normal 81" xfId="3" xr:uid="{00000000-0005-0000-0000-000003000000}"/>
    <cellStyle name="Normal 81 2" xfId="38008" xr:uid="{00000000-0005-0000-0000-000078940000}"/>
    <cellStyle name="Normal 81 3" xfId="39202" xr:uid="{00000000-0005-0000-0000-000022990000}"/>
    <cellStyle name="Normal 81 4" xfId="38007" xr:uid="{00000000-0005-0000-0000-000077940000}"/>
    <cellStyle name="Normal 82" xfId="38009" xr:uid="{00000000-0005-0000-0000-000079940000}"/>
    <cellStyle name="Normal 82 2" xfId="38010" xr:uid="{00000000-0005-0000-0000-00007A940000}"/>
    <cellStyle name="Normal 83" xfId="38011" xr:uid="{00000000-0005-0000-0000-00007B940000}"/>
    <cellStyle name="Normal 83 2" xfId="38012" xr:uid="{00000000-0005-0000-0000-00007C940000}"/>
    <cellStyle name="Normal 83 3" xfId="38013" xr:uid="{00000000-0005-0000-0000-00007D940000}"/>
    <cellStyle name="Normal 83 4" xfId="39203" xr:uid="{00000000-0005-0000-0000-000023990000}"/>
    <cellStyle name="Normal 84" xfId="38014" xr:uid="{00000000-0005-0000-0000-00007E940000}"/>
    <cellStyle name="Normal 84 2" xfId="38015" xr:uid="{00000000-0005-0000-0000-00007F940000}"/>
    <cellStyle name="Normal 85" xfId="38016" xr:uid="{00000000-0005-0000-0000-000080940000}"/>
    <cellStyle name="Normal 85 2" xfId="38017" xr:uid="{00000000-0005-0000-0000-000081940000}"/>
    <cellStyle name="Normal 85 3" xfId="38018" xr:uid="{00000000-0005-0000-0000-000082940000}"/>
    <cellStyle name="Normal 86" xfId="38019" xr:uid="{00000000-0005-0000-0000-000083940000}"/>
    <cellStyle name="Normal 86 2" xfId="38020" xr:uid="{00000000-0005-0000-0000-000084940000}"/>
    <cellStyle name="Normal 86 3" xfId="38021" xr:uid="{00000000-0005-0000-0000-000085940000}"/>
    <cellStyle name="Normal 86 4" xfId="39204" xr:uid="{00000000-0005-0000-0000-000024990000}"/>
    <cellStyle name="Normal 87" xfId="38022" xr:uid="{00000000-0005-0000-0000-000086940000}"/>
    <cellStyle name="Normal 87 2" xfId="38023" xr:uid="{00000000-0005-0000-0000-000087940000}"/>
    <cellStyle name="Normal 88" xfId="38024" xr:uid="{00000000-0005-0000-0000-000088940000}"/>
    <cellStyle name="Normal 88 2" xfId="38025" xr:uid="{00000000-0005-0000-0000-000089940000}"/>
    <cellStyle name="Normal 88 3" xfId="38026" xr:uid="{00000000-0005-0000-0000-00008A940000}"/>
    <cellStyle name="Normal 88 4" xfId="39205" xr:uid="{00000000-0005-0000-0000-000025990000}"/>
    <cellStyle name="Normal 89" xfId="38027" xr:uid="{00000000-0005-0000-0000-00008B940000}"/>
    <cellStyle name="Normal 89 2" xfId="38028" xr:uid="{00000000-0005-0000-0000-00008C940000}"/>
    <cellStyle name="Normal 9" xfId="38" xr:uid="{00000000-0005-0000-0000-000026000000}"/>
    <cellStyle name="Normal 9 10" xfId="38030" xr:uid="{00000000-0005-0000-0000-00008E940000}"/>
    <cellStyle name="Normal 9 11" xfId="38031" xr:uid="{00000000-0005-0000-0000-00008F940000}"/>
    <cellStyle name="Normal 9 12" xfId="38032" xr:uid="{00000000-0005-0000-0000-000090940000}"/>
    <cellStyle name="Normal 9 13" xfId="38033" xr:uid="{00000000-0005-0000-0000-000091940000}"/>
    <cellStyle name="Normal 9 14" xfId="38034" xr:uid="{00000000-0005-0000-0000-000092940000}"/>
    <cellStyle name="Normal 9 15" xfId="38035" xr:uid="{00000000-0005-0000-0000-000093940000}"/>
    <cellStyle name="Normal 9 16" xfId="38036" xr:uid="{00000000-0005-0000-0000-000094940000}"/>
    <cellStyle name="Normal 9 17" xfId="38037" xr:uid="{00000000-0005-0000-0000-000095940000}"/>
    <cellStyle name="Normal 9 18" xfId="38038" xr:uid="{00000000-0005-0000-0000-000096940000}"/>
    <cellStyle name="Normal 9 19" xfId="38039" xr:uid="{00000000-0005-0000-0000-000097940000}"/>
    <cellStyle name="Normal 9 2" xfId="66" xr:uid="{00000000-0005-0000-0000-000042000000}"/>
    <cellStyle name="Normal 9 2 10" xfId="38041" xr:uid="{00000000-0005-0000-0000-000099940000}"/>
    <cellStyle name="Normal 9 2 11" xfId="38042" xr:uid="{00000000-0005-0000-0000-00009A940000}"/>
    <cellStyle name="Normal 9 2 12" xfId="38043" xr:uid="{00000000-0005-0000-0000-00009B940000}"/>
    <cellStyle name="Normal 9 2 13" xfId="38044" xr:uid="{00000000-0005-0000-0000-00009C940000}"/>
    <cellStyle name="Normal 9 2 14" xfId="38045" xr:uid="{00000000-0005-0000-0000-00009D940000}"/>
    <cellStyle name="Normal 9 2 15" xfId="38046" xr:uid="{00000000-0005-0000-0000-00009E940000}"/>
    <cellStyle name="Normal 9 2 16" xfId="38047" xr:uid="{00000000-0005-0000-0000-00009F940000}"/>
    <cellStyle name="Normal 9 2 17" xfId="38048" xr:uid="{00000000-0005-0000-0000-0000A0940000}"/>
    <cellStyle name="Normal 9 2 18" xfId="38049" xr:uid="{00000000-0005-0000-0000-0000A1940000}"/>
    <cellStyle name="Normal 9 2 19" xfId="38050" xr:uid="{00000000-0005-0000-0000-0000A2940000}"/>
    <cellStyle name="Normal 9 2 2" xfId="38051" xr:uid="{00000000-0005-0000-0000-0000A3940000}"/>
    <cellStyle name="Normal 9 2 2 2" xfId="38052" xr:uid="{00000000-0005-0000-0000-0000A4940000}"/>
    <cellStyle name="Normal 9 2 2 2 2" xfId="38053" xr:uid="{00000000-0005-0000-0000-0000A5940000}"/>
    <cellStyle name="Normal 9 2 20" xfId="38054" xr:uid="{00000000-0005-0000-0000-0000A6940000}"/>
    <cellStyle name="Normal 9 2 21" xfId="38055" xr:uid="{00000000-0005-0000-0000-0000A7940000}"/>
    <cellStyle name="Normal 9 2 22" xfId="38056" xr:uid="{00000000-0005-0000-0000-0000A8940000}"/>
    <cellStyle name="Normal 9 2 23" xfId="38057" xr:uid="{00000000-0005-0000-0000-0000A9940000}"/>
    <cellStyle name="Normal 9 2 24" xfId="38058" xr:uid="{00000000-0005-0000-0000-0000AA940000}"/>
    <cellStyle name="Normal 9 2 25" xfId="38059" xr:uid="{00000000-0005-0000-0000-0000AB940000}"/>
    <cellStyle name="Normal 9 2 26" xfId="38060" xr:uid="{00000000-0005-0000-0000-0000AC940000}"/>
    <cellStyle name="Normal 9 2 27" xfId="38061" xr:uid="{00000000-0005-0000-0000-0000AD940000}"/>
    <cellStyle name="Normal 9 2 28" xfId="38062" xr:uid="{00000000-0005-0000-0000-0000AE940000}"/>
    <cellStyle name="Normal 9 2 29" xfId="38063" xr:uid="{00000000-0005-0000-0000-0000AF940000}"/>
    <cellStyle name="Normal 9 2 3" xfId="38064" xr:uid="{00000000-0005-0000-0000-0000B0940000}"/>
    <cellStyle name="Normal 9 2 30" xfId="38065" xr:uid="{00000000-0005-0000-0000-0000B1940000}"/>
    <cellStyle name="Normal 9 2 31" xfId="38066" xr:uid="{00000000-0005-0000-0000-0000B2940000}"/>
    <cellStyle name="Normal 9 2 32" xfId="38067" xr:uid="{00000000-0005-0000-0000-0000B3940000}"/>
    <cellStyle name="Normal 9 2 33" xfId="38068" xr:uid="{00000000-0005-0000-0000-0000B4940000}"/>
    <cellStyle name="Normal 9 2 34" xfId="38069" xr:uid="{00000000-0005-0000-0000-0000B5940000}"/>
    <cellStyle name="Normal 9 2 35" xfId="38070" xr:uid="{00000000-0005-0000-0000-0000B6940000}"/>
    <cellStyle name="Normal 9 2 36" xfId="38071" xr:uid="{00000000-0005-0000-0000-0000B7940000}"/>
    <cellStyle name="Normal 9 2 37" xfId="38072" xr:uid="{00000000-0005-0000-0000-0000B8940000}"/>
    <cellStyle name="Normal 9 2 38" xfId="38073" xr:uid="{00000000-0005-0000-0000-0000B9940000}"/>
    <cellStyle name="Normal 9 2 39" xfId="38074" xr:uid="{00000000-0005-0000-0000-0000BA940000}"/>
    <cellStyle name="Normal 9 2 4" xfId="38075" xr:uid="{00000000-0005-0000-0000-0000BB940000}"/>
    <cellStyle name="Normal 9 2 40" xfId="38076" xr:uid="{00000000-0005-0000-0000-0000BC940000}"/>
    <cellStyle name="Normal 9 2 41" xfId="38077" xr:uid="{00000000-0005-0000-0000-0000BD940000}"/>
    <cellStyle name="Normal 9 2 42" xfId="38078" xr:uid="{00000000-0005-0000-0000-0000BE940000}"/>
    <cellStyle name="Normal 9 2 43" xfId="38079" xr:uid="{00000000-0005-0000-0000-0000BF940000}"/>
    <cellStyle name="Normal 9 2 44" xfId="38080" xr:uid="{00000000-0005-0000-0000-0000C0940000}"/>
    <cellStyle name="Normal 9 2 45" xfId="38081" xr:uid="{00000000-0005-0000-0000-0000C1940000}"/>
    <cellStyle name="Normal 9 2 46" xfId="38082" xr:uid="{00000000-0005-0000-0000-0000C2940000}"/>
    <cellStyle name="Normal 9 2 47" xfId="38083" xr:uid="{00000000-0005-0000-0000-0000C3940000}"/>
    <cellStyle name="Normal 9 2 48" xfId="38084" xr:uid="{00000000-0005-0000-0000-0000C4940000}"/>
    <cellStyle name="Normal 9 2 49" xfId="38085" xr:uid="{00000000-0005-0000-0000-0000C5940000}"/>
    <cellStyle name="Normal 9 2 5" xfId="38086" xr:uid="{00000000-0005-0000-0000-0000C6940000}"/>
    <cellStyle name="Normal 9 2 50" xfId="38087" xr:uid="{00000000-0005-0000-0000-0000C7940000}"/>
    <cellStyle name="Normal 9 2 51" xfId="38088" xr:uid="{00000000-0005-0000-0000-0000C8940000}"/>
    <cellStyle name="Normal 9 2 52" xfId="38089" xr:uid="{00000000-0005-0000-0000-0000C9940000}"/>
    <cellStyle name="Normal 9 2 53" xfId="38090" xr:uid="{00000000-0005-0000-0000-0000CA940000}"/>
    <cellStyle name="Normal 9 2 54" xfId="38091" xr:uid="{00000000-0005-0000-0000-0000CB940000}"/>
    <cellStyle name="Normal 9 2 55" xfId="38092" xr:uid="{00000000-0005-0000-0000-0000CC940000}"/>
    <cellStyle name="Normal 9 2 56" xfId="38093" xr:uid="{00000000-0005-0000-0000-0000CD940000}"/>
    <cellStyle name="Normal 9 2 57" xfId="38094" xr:uid="{00000000-0005-0000-0000-0000CE940000}"/>
    <cellStyle name="Normal 9 2 58" xfId="38095" xr:uid="{00000000-0005-0000-0000-0000CF940000}"/>
    <cellStyle name="Normal 9 2 59" xfId="38096" xr:uid="{00000000-0005-0000-0000-0000D0940000}"/>
    <cellStyle name="Normal 9 2 6" xfId="38097" xr:uid="{00000000-0005-0000-0000-0000D1940000}"/>
    <cellStyle name="Normal 9 2 60" xfId="38098" xr:uid="{00000000-0005-0000-0000-0000D2940000}"/>
    <cellStyle name="Normal 9 2 61" xfId="38099" xr:uid="{00000000-0005-0000-0000-0000D3940000}"/>
    <cellStyle name="Normal 9 2 62" xfId="38100" xr:uid="{00000000-0005-0000-0000-0000D4940000}"/>
    <cellStyle name="Normal 9 2 63" xfId="38101" xr:uid="{00000000-0005-0000-0000-0000D5940000}"/>
    <cellStyle name="Normal 9 2 64" xfId="38102" xr:uid="{00000000-0005-0000-0000-0000D6940000}"/>
    <cellStyle name="Normal 9 2 65" xfId="38103" xr:uid="{00000000-0005-0000-0000-0000D7940000}"/>
    <cellStyle name="Normal 9 2 66" xfId="38104" xr:uid="{00000000-0005-0000-0000-0000D8940000}"/>
    <cellStyle name="Normal 9 2 67" xfId="38105" xr:uid="{00000000-0005-0000-0000-0000D9940000}"/>
    <cellStyle name="Normal 9 2 68" xfId="38106" xr:uid="{00000000-0005-0000-0000-0000DA940000}"/>
    <cellStyle name="Normal 9 2 69" xfId="38107" xr:uid="{00000000-0005-0000-0000-0000DB940000}"/>
    <cellStyle name="Normal 9 2 7" xfId="38108" xr:uid="{00000000-0005-0000-0000-0000DC940000}"/>
    <cellStyle name="Normal 9 2 70" xfId="38109" xr:uid="{00000000-0005-0000-0000-0000DD940000}"/>
    <cellStyle name="Normal 9 2 71" xfId="38110" xr:uid="{00000000-0005-0000-0000-0000DE940000}"/>
    <cellStyle name="Normal 9 2 72" xfId="38111" xr:uid="{00000000-0005-0000-0000-0000DF940000}"/>
    <cellStyle name="Normal 9 2 73" xfId="38112" xr:uid="{00000000-0005-0000-0000-0000E0940000}"/>
    <cellStyle name="Normal 9 2 74" xfId="38113" xr:uid="{00000000-0005-0000-0000-0000E1940000}"/>
    <cellStyle name="Normal 9 2 75" xfId="38114" xr:uid="{00000000-0005-0000-0000-0000E2940000}"/>
    <cellStyle name="Normal 9 2 76" xfId="38115" xr:uid="{00000000-0005-0000-0000-0000E3940000}"/>
    <cellStyle name="Normal 9 2 77" xfId="38116" xr:uid="{00000000-0005-0000-0000-0000E4940000}"/>
    <cellStyle name="Normal 9 2 78" xfId="38117" xr:uid="{00000000-0005-0000-0000-0000E5940000}"/>
    <cellStyle name="Normal 9 2 79" xfId="38118" xr:uid="{00000000-0005-0000-0000-0000E6940000}"/>
    <cellStyle name="Normal 9 2 8" xfId="38119" xr:uid="{00000000-0005-0000-0000-0000E7940000}"/>
    <cellStyle name="Normal 9 2 80" xfId="38040" xr:uid="{00000000-0005-0000-0000-000098940000}"/>
    <cellStyle name="Normal 9 2 9" xfId="38120" xr:uid="{00000000-0005-0000-0000-0000E8940000}"/>
    <cellStyle name="Normal 9 2_Enlaces" xfId="38121" xr:uid="{00000000-0005-0000-0000-0000E9940000}"/>
    <cellStyle name="Normal 9 20" xfId="38122" xr:uid="{00000000-0005-0000-0000-0000EA940000}"/>
    <cellStyle name="Normal 9 20 2" xfId="38123" xr:uid="{00000000-0005-0000-0000-0000EB940000}"/>
    <cellStyle name="Normal 9 20 2 2" xfId="38124" xr:uid="{00000000-0005-0000-0000-0000EC940000}"/>
    <cellStyle name="Normal 9 20 2 3" xfId="38125" xr:uid="{00000000-0005-0000-0000-0000ED940000}"/>
    <cellStyle name="Normal 9 20 3" xfId="38126" xr:uid="{00000000-0005-0000-0000-0000EE940000}"/>
    <cellStyle name="Normal 9 20 4" xfId="38127" xr:uid="{00000000-0005-0000-0000-0000EF940000}"/>
    <cellStyle name="Normal 9 21" xfId="38128" xr:uid="{00000000-0005-0000-0000-0000F0940000}"/>
    <cellStyle name="Normal 9 21 2" xfId="38129" xr:uid="{00000000-0005-0000-0000-0000F1940000}"/>
    <cellStyle name="Normal 9 21 2 2" xfId="38130" xr:uid="{00000000-0005-0000-0000-0000F2940000}"/>
    <cellStyle name="Normal 9 21 2 3" xfId="38131" xr:uid="{00000000-0005-0000-0000-0000F3940000}"/>
    <cellStyle name="Normal 9 21 3" xfId="38132" xr:uid="{00000000-0005-0000-0000-0000F4940000}"/>
    <cellStyle name="Normal 9 21 4" xfId="38133" xr:uid="{00000000-0005-0000-0000-0000F5940000}"/>
    <cellStyle name="Normal 9 22" xfId="38134" xr:uid="{00000000-0005-0000-0000-0000F6940000}"/>
    <cellStyle name="Normal 9 22 2" xfId="38135" xr:uid="{00000000-0005-0000-0000-0000F7940000}"/>
    <cellStyle name="Normal 9 22 2 2" xfId="38136" xr:uid="{00000000-0005-0000-0000-0000F8940000}"/>
    <cellStyle name="Normal 9 22 2 3" xfId="38137" xr:uid="{00000000-0005-0000-0000-0000F9940000}"/>
    <cellStyle name="Normal 9 22 3" xfId="38138" xr:uid="{00000000-0005-0000-0000-0000FA940000}"/>
    <cellStyle name="Normal 9 22 4" xfId="38139" xr:uid="{00000000-0005-0000-0000-0000FB940000}"/>
    <cellStyle name="Normal 9 23" xfId="38140" xr:uid="{00000000-0005-0000-0000-0000FC940000}"/>
    <cellStyle name="Normal 9 23 2" xfId="38141" xr:uid="{00000000-0005-0000-0000-0000FD940000}"/>
    <cellStyle name="Normal 9 23 2 2" xfId="38142" xr:uid="{00000000-0005-0000-0000-0000FE940000}"/>
    <cellStyle name="Normal 9 23 2 3" xfId="38143" xr:uid="{00000000-0005-0000-0000-0000FF940000}"/>
    <cellStyle name="Normal 9 23 3" xfId="38144" xr:uid="{00000000-0005-0000-0000-000000950000}"/>
    <cellStyle name="Normal 9 23 4" xfId="38145" xr:uid="{00000000-0005-0000-0000-000001950000}"/>
    <cellStyle name="Normal 9 24" xfId="38146" xr:uid="{00000000-0005-0000-0000-000002950000}"/>
    <cellStyle name="Normal 9 24 2" xfId="38147" xr:uid="{00000000-0005-0000-0000-000003950000}"/>
    <cellStyle name="Normal 9 24 2 2" xfId="38148" xr:uid="{00000000-0005-0000-0000-000004950000}"/>
    <cellStyle name="Normal 9 24 2 3" xfId="38149" xr:uid="{00000000-0005-0000-0000-000005950000}"/>
    <cellStyle name="Normal 9 24 3" xfId="38150" xr:uid="{00000000-0005-0000-0000-000006950000}"/>
    <cellStyle name="Normal 9 24 4" xfId="38151" xr:uid="{00000000-0005-0000-0000-000007950000}"/>
    <cellStyle name="Normal 9 25" xfId="38152" xr:uid="{00000000-0005-0000-0000-000008950000}"/>
    <cellStyle name="Normal 9 25 2" xfId="38153" xr:uid="{00000000-0005-0000-0000-000009950000}"/>
    <cellStyle name="Normal 9 25 2 2" xfId="38154" xr:uid="{00000000-0005-0000-0000-00000A950000}"/>
    <cellStyle name="Normal 9 25 2 3" xfId="38155" xr:uid="{00000000-0005-0000-0000-00000B950000}"/>
    <cellStyle name="Normal 9 25 3" xfId="38156" xr:uid="{00000000-0005-0000-0000-00000C950000}"/>
    <cellStyle name="Normal 9 25 4" xfId="38157" xr:uid="{00000000-0005-0000-0000-00000D950000}"/>
    <cellStyle name="Normal 9 26" xfId="38158" xr:uid="{00000000-0005-0000-0000-00000E950000}"/>
    <cellStyle name="Normal 9 26 2" xfId="38159" xr:uid="{00000000-0005-0000-0000-00000F950000}"/>
    <cellStyle name="Normal 9 26 2 2" xfId="38160" xr:uid="{00000000-0005-0000-0000-000010950000}"/>
    <cellStyle name="Normal 9 26 2 3" xfId="38161" xr:uid="{00000000-0005-0000-0000-000011950000}"/>
    <cellStyle name="Normal 9 26 3" xfId="38162" xr:uid="{00000000-0005-0000-0000-000012950000}"/>
    <cellStyle name="Normal 9 26 4" xfId="38163" xr:uid="{00000000-0005-0000-0000-000013950000}"/>
    <cellStyle name="Normal 9 27" xfId="38164" xr:uid="{00000000-0005-0000-0000-000014950000}"/>
    <cellStyle name="Normal 9 27 2" xfId="38165" xr:uid="{00000000-0005-0000-0000-000015950000}"/>
    <cellStyle name="Normal 9 27 2 2" xfId="38166" xr:uid="{00000000-0005-0000-0000-000016950000}"/>
    <cellStyle name="Normal 9 27 2 3" xfId="38167" xr:uid="{00000000-0005-0000-0000-000017950000}"/>
    <cellStyle name="Normal 9 27 3" xfId="38168" xr:uid="{00000000-0005-0000-0000-000018950000}"/>
    <cellStyle name="Normal 9 27 4" xfId="38169" xr:uid="{00000000-0005-0000-0000-000019950000}"/>
    <cellStyle name="Normal 9 28" xfId="38170" xr:uid="{00000000-0005-0000-0000-00001A950000}"/>
    <cellStyle name="Normal 9 28 2" xfId="38171" xr:uid="{00000000-0005-0000-0000-00001B950000}"/>
    <cellStyle name="Normal 9 28 2 2" xfId="38172" xr:uid="{00000000-0005-0000-0000-00001C950000}"/>
    <cellStyle name="Normal 9 28 2 3" xfId="38173" xr:uid="{00000000-0005-0000-0000-00001D950000}"/>
    <cellStyle name="Normal 9 28 3" xfId="38174" xr:uid="{00000000-0005-0000-0000-00001E950000}"/>
    <cellStyle name="Normal 9 28 4" xfId="38175" xr:uid="{00000000-0005-0000-0000-00001F950000}"/>
    <cellStyle name="Normal 9 29" xfId="38176" xr:uid="{00000000-0005-0000-0000-000020950000}"/>
    <cellStyle name="Normal 9 29 2" xfId="38177" xr:uid="{00000000-0005-0000-0000-000021950000}"/>
    <cellStyle name="Normal 9 29 2 2" xfId="38178" xr:uid="{00000000-0005-0000-0000-000022950000}"/>
    <cellStyle name="Normal 9 29 2 3" xfId="38179" xr:uid="{00000000-0005-0000-0000-000023950000}"/>
    <cellStyle name="Normal 9 29 3" xfId="38180" xr:uid="{00000000-0005-0000-0000-000024950000}"/>
    <cellStyle name="Normal 9 29 4" xfId="38181" xr:uid="{00000000-0005-0000-0000-000025950000}"/>
    <cellStyle name="Normal 9 3" xfId="38182" xr:uid="{00000000-0005-0000-0000-000026950000}"/>
    <cellStyle name="Normal 9 3 2" xfId="38183" xr:uid="{00000000-0005-0000-0000-000027950000}"/>
    <cellStyle name="Normal 9 3 2 2" xfId="38184" xr:uid="{00000000-0005-0000-0000-000028950000}"/>
    <cellStyle name="Normal 9 3 2 2 2" xfId="38185" xr:uid="{00000000-0005-0000-0000-000029950000}"/>
    <cellStyle name="Normal 9 3 2 2 3" xfId="38186" xr:uid="{00000000-0005-0000-0000-00002A950000}"/>
    <cellStyle name="Normal 9 3 2 3" xfId="38187" xr:uid="{00000000-0005-0000-0000-00002B950000}"/>
    <cellStyle name="Normal 9 3 2 4" xfId="38188" xr:uid="{00000000-0005-0000-0000-00002C950000}"/>
    <cellStyle name="Normal 9 3 3" xfId="38189" xr:uid="{00000000-0005-0000-0000-00002D950000}"/>
    <cellStyle name="Normal 9 3 3 2" xfId="38190" xr:uid="{00000000-0005-0000-0000-00002E950000}"/>
    <cellStyle name="Normal 9 3 3 2 2" xfId="38191" xr:uid="{00000000-0005-0000-0000-00002F950000}"/>
    <cellStyle name="Normal 9 3 3 2 3" xfId="38192" xr:uid="{00000000-0005-0000-0000-000030950000}"/>
    <cellStyle name="Normal 9 3 3 3" xfId="38193" xr:uid="{00000000-0005-0000-0000-000031950000}"/>
    <cellStyle name="Normal 9 3 3 4" xfId="38194" xr:uid="{00000000-0005-0000-0000-000032950000}"/>
    <cellStyle name="Normal 9 3 4" xfId="38195" xr:uid="{00000000-0005-0000-0000-000033950000}"/>
    <cellStyle name="Normal 9 3 4 2" xfId="38196" xr:uid="{00000000-0005-0000-0000-000034950000}"/>
    <cellStyle name="Normal 9 3 4 2 2" xfId="38197" xr:uid="{00000000-0005-0000-0000-000035950000}"/>
    <cellStyle name="Normal 9 3 4 2 2 2" xfId="38198" xr:uid="{00000000-0005-0000-0000-000036950000}"/>
    <cellStyle name="Normal 9 3 4 2 2 2 2" xfId="38199" xr:uid="{00000000-0005-0000-0000-000037950000}"/>
    <cellStyle name="Normal 9 3 4 2 2 2 3" xfId="38200" xr:uid="{00000000-0005-0000-0000-000038950000}"/>
    <cellStyle name="Normal 9 3 4 2 2 3" xfId="38201" xr:uid="{00000000-0005-0000-0000-000039950000}"/>
    <cellStyle name="Normal 9 3 4 2 2 4" xfId="38202" xr:uid="{00000000-0005-0000-0000-00003A950000}"/>
    <cellStyle name="Normal 9 3 4 3" xfId="38203" xr:uid="{00000000-0005-0000-0000-00003B950000}"/>
    <cellStyle name="Normal 9 3 4 3 2" xfId="38204" xr:uid="{00000000-0005-0000-0000-00003C950000}"/>
    <cellStyle name="Normal 9 3 4 3 2 2" xfId="38205" xr:uid="{00000000-0005-0000-0000-00003D950000}"/>
    <cellStyle name="Normal 9 3 4 3 2 3" xfId="38206" xr:uid="{00000000-0005-0000-0000-00003E950000}"/>
    <cellStyle name="Normal 9 3 4 3 3" xfId="38207" xr:uid="{00000000-0005-0000-0000-00003F950000}"/>
    <cellStyle name="Normal 9 3 4 3 4" xfId="38208" xr:uid="{00000000-0005-0000-0000-000040950000}"/>
    <cellStyle name="Normal 9 3 4 4" xfId="38209" xr:uid="{00000000-0005-0000-0000-000041950000}"/>
    <cellStyle name="Normal 9 3 4 4 2" xfId="38210" xr:uid="{00000000-0005-0000-0000-000042950000}"/>
    <cellStyle name="Normal 9 3 4 4 3" xfId="38211" xr:uid="{00000000-0005-0000-0000-000043950000}"/>
    <cellStyle name="Normal 9 3 4 5" xfId="38212" xr:uid="{00000000-0005-0000-0000-000044950000}"/>
    <cellStyle name="Normal 9 3 5" xfId="38213" xr:uid="{00000000-0005-0000-0000-000045950000}"/>
    <cellStyle name="Normal 9 3 5 2" xfId="38214" xr:uid="{00000000-0005-0000-0000-000046950000}"/>
    <cellStyle name="Normal 9 3 5 2 2" xfId="38215" xr:uid="{00000000-0005-0000-0000-000047950000}"/>
    <cellStyle name="Normal 9 3 5 2 3" xfId="38216" xr:uid="{00000000-0005-0000-0000-000048950000}"/>
    <cellStyle name="Normal 9 3 5 3" xfId="38217" xr:uid="{00000000-0005-0000-0000-000049950000}"/>
    <cellStyle name="Normal 9 3 5 4" xfId="38218" xr:uid="{00000000-0005-0000-0000-00004A950000}"/>
    <cellStyle name="Normal 9 3 6" xfId="38219" xr:uid="{00000000-0005-0000-0000-00004B950000}"/>
    <cellStyle name="Normal 9 3 6 2" xfId="38220" xr:uid="{00000000-0005-0000-0000-00004C950000}"/>
    <cellStyle name="Normal 9 3 6 2 2" xfId="38221" xr:uid="{00000000-0005-0000-0000-00004D950000}"/>
    <cellStyle name="Normal 9 3 6 2 3" xfId="38222" xr:uid="{00000000-0005-0000-0000-00004E950000}"/>
    <cellStyle name="Normal 9 3 6 3" xfId="38223" xr:uid="{00000000-0005-0000-0000-00004F950000}"/>
    <cellStyle name="Normal 9 3 6 4" xfId="38224" xr:uid="{00000000-0005-0000-0000-000050950000}"/>
    <cellStyle name="Normal 9 3 7" xfId="38225" xr:uid="{00000000-0005-0000-0000-000051950000}"/>
    <cellStyle name="Normal 9 3 7 2" xfId="38226" xr:uid="{00000000-0005-0000-0000-000052950000}"/>
    <cellStyle name="Normal 9 3 7 3" xfId="38227" xr:uid="{00000000-0005-0000-0000-000053950000}"/>
    <cellStyle name="Normal 9 3 7 3 2" xfId="38228" xr:uid="{00000000-0005-0000-0000-000054950000}"/>
    <cellStyle name="Normal 9 3 7 3 3" xfId="38229" xr:uid="{00000000-0005-0000-0000-000055950000}"/>
    <cellStyle name="Normal 9 3 7 4" xfId="38230" xr:uid="{00000000-0005-0000-0000-000056950000}"/>
    <cellStyle name="Normal 9 3 8" xfId="38231" xr:uid="{00000000-0005-0000-0000-000057950000}"/>
    <cellStyle name="Normal 9 3 9" xfId="38232" xr:uid="{00000000-0005-0000-0000-000058950000}"/>
    <cellStyle name="Normal 9 3 9 2" xfId="38233" xr:uid="{00000000-0005-0000-0000-000059950000}"/>
    <cellStyle name="Normal 9 3 9 2 2" xfId="38234" xr:uid="{00000000-0005-0000-0000-00005A950000}"/>
    <cellStyle name="Normal 9 3 9 2 3" xfId="38235" xr:uid="{00000000-0005-0000-0000-00005B950000}"/>
    <cellStyle name="Normal 9 3 9 3" xfId="38236" xr:uid="{00000000-0005-0000-0000-00005C950000}"/>
    <cellStyle name="Normal 9 3 9 4" xfId="38237" xr:uid="{00000000-0005-0000-0000-00005D950000}"/>
    <cellStyle name="Normal 9 3_Implem" xfId="38238" xr:uid="{00000000-0005-0000-0000-00005E950000}"/>
    <cellStyle name="Normal 9 30" xfId="39188" xr:uid="{00000000-0005-0000-0000-000014990000}"/>
    <cellStyle name="Normal 9 31" xfId="38029" xr:uid="{00000000-0005-0000-0000-00008D940000}"/>
    <cellStyle name="Normal 9 4" xfId="38239" xr:uid="{00000000-0005-0000-0000-00005F950000}"/>
    <cellStyle name="Normal 9 4 2" xfId="38240" xr:uid="{00000000-0005-0000-0000-000060950000}"/>
    <cellStyle name="Normal 9 4 2 2" xfId="38241" xr:uid="{00000000-0005-0000-0000-000061950000}"/>
    <cellStyle name="Normal 9 4 2 3" xfId="38242" xr:uid="{00000000-0005-0000-0000-000062950000}"/>
    <cellStyle name="Normal 9 4 3" xfId="38243" xr:uid="{00000000-0005-0000-0000-000063950000}"/>
    <cellStyle name="Normal 9 4 4" xfId="38244" xr:uid="{00000000-0005-0000-0000-000064950000}"/>
    <cellStyle name="Normal 9 5" xfId="38245" xr:uid="{00000000-0005-0000-0000-000065950000}"/>
    <cellStyle name="Normal 9 5 2" xfId="38246" xr:uid="{00000000-0005-0000-0000-000066950000}"/>
    <cellStyle name="Normal 9 5 2 2" xfId="38247" xr:uid="{00000000-0005-0000-0000-000067950000}"/>
    <cellStyle name="Normal 9 5 2 3" xfId="38248" xr:uid="{00000000-0005-0000-0000-000068950000}"/>
    <cellStyle name="Normal 9 5 3" xfId="38249" xr:uid="{00000000-0005-0000-0000-000069950000}"/>
    <cellStyle name="Normal 9 5 4" xfId="38250" xr:uid="{00000000-0005-0000-0000-00006A950000}"/>
    <cellStyle name="Normal 9 6" xfId="38251" xr:uid="{00000000-0005-0000-0000-00006B950000}"/>
    <cellStyle name="Normal 9 6 2" xfId="38252" xr:uid="{00000000-0005-0000-0000-00006C950000}"/>
    <cellStyle name="Normal 9 6 2 2" xfId="38253" xr:uid="{00000000-0005-0000-0000-00006D950000}"/>
    <cellStyle name="Normal 9 6 2 3" xfId="38254" xr:uid="{00000000-0005-0000-0000-00006E950000}"/>
    <cellStyle name="Normal 9 6 3" xfId="38255" xr:uid="{00000000-0005-0000-0000-00006F950000}"/>
    <cellStyle name="Normal 9 6 4" xfId="38256" xr:uid="{00000000-0005-0000-0000-000070950000}"/>
    <cellStyle name="Normal 9 7" xfId="38257" xr:uid="{00000000-0005-0000-0000-000071950000}"/>
    <cellStyle name="Normal 9 7 2" xfId="38258" xr:uid="{00000000-0005-0000-0000-000072950000}"/>
    <cellStyle name="Normal 9 7 2 2" xfId="38259" xr:uid="{00000000-0005-0000-0000-000073950000}"/>
    <cellStyle name="Normal 9 7 2 3" xfId="38260" xr:uid="{00000000-0005-0000-0000-000074950000}"/>
    <cellStyle name="Normal 9 7 3" xfId="38261" xr:uid="{00000000-0005-0000-0000-000075950000}"/>
    <cellStyle name="Normal 9 7 4" xfId="38262" xr:uid="{00000000-0005-0000-0000-000076950000}"/>
    <cellStyle name="Normal 9 8" xfId="38263" xr:uid="{00000000-0005-0000-0000-000077950000}"/>
    <cellStyle name="Normal 9 8 2" xfId="38264" xr:uid="{00000000-0005-0000-0000-000078950000}"/>
    <cellStyle name="Normal 9 8 2 2" xfId="38265" xr:uid="{00000000-0005-0000-0000-000079950000}"/>
    <cellStyle name="Normal 9 8 2 3" xfId="38266" xr:uid="{00000000-0005-0000-0000-00007A950000}"/>
    <cellStyle name="Normal 9 8 3" xfId="38267" xr:uid="{00000000-0005-0000-0000-00007B950000}"/>
    <cellStyle name="Normal 9 8 4" xfId="38268" xr:uid="{00000000-0005-0000-0000-00007C950000}"/>
    <cellStyle name="Normal 9 9" xfId="38269" xr:uid="{00000000-0005-0000-0000-00007D950000}"/>
    <cellStyle name="Normal 9 9 2" xfId="38270" xr:uid="{00000000-0005-0000-0000-00007E950000}"/>
    <cellStyle name="Normal 9 9 2 2" xfId="38271" xr:uid="{00000000-0005-0000-0000-00007F950000}"/>
    <cellStyle name="Normal 9 9 2 3" xfId="38272" xr:uid="{00000000-0005-0000-0000-000080950000}"/>
    <cellStyle name="Normal 9 9 3" xfId="38273" xr:uid="{00000000-0005-0000-0000-000081950000}"/>
    <cellStyle name="Normal 9 9 4" xfId="38274" xr:uid="{00000000-0005-0000-0000-000082950000}"/>
    <cellStyle name="Normal 90" xfId="38275" xr:uid="{00000000-0005-0000-0000-000083950000}"/>
    <cellStyle name="Normal 90 2" xfId="38276" xr:uid="{00000000-0005-0000-0000-000084950000}"/>
    <cellStyle name="Normal 90 2 2" xfId="38277" xr:uid="{00000000-0005-0000-0000-000085950000}"/>
    <cellStyle name="Normal 90 2 2 2" xfId="38278" xr:uid="{00000000-0005-0000-0000-000086950000}"/>
    <cellStyle name="Normal 90 2 2 3" xfId="38279" xr:uid="{00000000-0005-0000-0000-000087950000}"/>
    <cellStyle name="Normal 90 2 3" xfId="38280" xr:uid="{00000000-0005-0000-0000-000088950000}"/>
    <cellStyle name="Normal 90 2 4" xfId="38281" xr:uid="{00000000-0005-0000-0000-000089950000}"/>
    <cellStyle name="Normal 90 3" xfId="38282" xr:uid="{00000000-0005-0000-0000-00008A950000}"/>
    <cellStyle name="Normal 90 3 2" xfId="38283" xr:uid="{00000000-0005-0000-0000-00008B950000}"/>
    <cellStyle name="Normal 90 3 3" xfId="38284" xr:uid="{00000000-0005-0000-0000-00008C950000}"/>
    <cellStyle name="Normal 90 4" xfId="38285" xr:uid="{00000000-0005-0000-0000-00008D950000}"/>
    <cellStyle name="Normal 90 5" xfId="38286" xr:uid="{00000000-0005-0000-0000-00008E950000}"/>
    <cellStyle name="Normal 91" xfId="38287" xr:uid="{00000000-0005-0000-0000-00008F950000}"/>
    <cellStyle name="Normal 91 2" xfId="38288" xr:uid="{00000000-0005-0000-0000-000090950000}"/>
    <cellStyle name="Normal 91 2 2" xfId="38289" xr:uid="{00000000-0005-0000-0000-000091950000}"/>
    <cellStyle name="Normal 91 2 2 2" xfId="38290" xr:uid="{00000000-0005-0000-0000-000092950000}"/>
    <cellStyle name="Normal 91 2 2 3" xfId="38291" xr:uid="{00000000-0005-0000-0000-000093950000}"/>
    <cellStyle name="Normal 91 2 3" xfId="38292" xr:uid="{00000000-0005-0000-0000-000094950000}"/>
    <cellStyle name="Normal 91 2 4" xfId="38293" xr:uid="{00000000-0005-0000-0000-000095950000}"/>
    <cellStyle name="Normal 91 3" xfId="38294" xr:uid="{00000000-0005-0000-0000-000096950000}"/>
    <cellStyle name="Normal 91 3 2" xfId="38295" xr:uid="{00000000-0005-0000-0000-000097950000}"/>
    <cellStyle name="Normal 91 3 3" xfId="38296" xr:uid="{00000000-0005-0000-0000-000098950000}"/>
    <cellStyle name="Normal 91 4" xfId="38297" xr:uid="{00000000-0005-0000-0000-000099950000}"/>
    <cellStyle name="Normal 91 5" xfId="38298" xr:uid="{00000000-0005-0000-0000-00009A950000}"/>
    <cellStyle name="Normal 92" xfId="38299" xr:uid="{00000000-0005-0000-0000-00009B950000}"/>
    <cellStyle name="Normal 92 2" xfId="38300" xr:uid="{00000000-0005-0000-0000-00009C950000}"/>
    <cellStyle name="Normal 92 2 2" xfId="38301" xr:uid="{00000000-0005-0000-0000-00009D950000}"/>
    <cellStyle name="Normal 92 2 2 2" xfId="38302" xr:uid="{00000000-0005-0000-0000-00009E950000}"/>
    <cellStyle name="Normal 92 2 2 3" xfId="38303" xr:uid="{00000000-0005-0000-0000-00009F950000}"/>
    <cellStyle name="Normal 92 2 3" xfId="38304" xr:uid="{00000000-0005-0000-0000-0000A0950000}"/>
    <cellStyle name="Normal 92 2 4" xfId="38305" xr:uid="{00000000-0005-0000-0000-0000A1950000}"/>
    <cellStyle name="Normal 92 3" xfId="38306" xr:uid="{00000000-0005-0000-0000-0000A2950000}"/>
    <cellStyle name="Normal 92 3 2" xfId="38307" xr:uid="{00000000-0005-0000-0000-0000A3950000}"/>
    <cellStyle name="Normal 92 3 3" xfId="38308" xr:uid="{00000000-0005-0000-0000-0000A4950000}"/>
    <cellStyle name="Normal 92 4" xfId="38309" xr:uid="{00000000-0005-0000-0000-0000A5950000}"/>
    <cellStyle name="Normal 92 5" xfId="38310" xr:uid="{00000000-0005-0000-0000-0000A6950000}"/>
    <cellStyle name="Normal 92 6" xfId="38311" xr:uid="{00000000-0005-0000-0000-0000A7950000}"/>
    <cellStyle name="Normal 92 7" xfId="39206" xr:uid="{00000000-0005-0000-0000-000026990000}"/>
    <cellStyle name="Normal 93" xfId="38312" xr:uid="{00000000-0005-0000-0000-0000A8950000}"/>
    <cellStyle name="Normal 93 2" xfId="38313" xr:uid="{00000000-0005-0000-0000-0000A9950000}"/>
    <cellStyle name="Normal 93 2 2" xfId="38314" xr:uid="{00000000-0005-0000-0000-0000AA950000}"/>
    <cellStyle name="Normal 93 2 2 2" xfId="38315" xr:uid="{00000000-0005-0000-0000-0000AB950000}"/>
    <cellStyle name="Normal 93 2 2 3" xfId="38316" xr:uid="{00000000-0005-0000-0000-0000AC950000}"/>
    <cellStyle name="Normal 93 2 3" xfId="38317" xr:uid="{00000000-0005-0000-0000-0000AD950000}"/>
    <cellStyle name="Normal 93 2 4" xfId="38318" xr:uid="{00000000-0005-0000-0000-0000AE950000}"/>
    <cellStyle name="Normal 93 3" xfId="38319" xr:uid="{00000000-0005-0000-0000-0000AF950000}"/>
    <cellStyle name="Normal 93 3 2" xfId="38320" xr:uid="{00000000-0005-0000-0000-0000B0950000}"/>
    <cellStyle name="Normal 93 3 3" xfId="38321" xr:uid="{00000000-0005-0000-0000-0000B1950000}"/>
    <cellStyle name="Normal 93 4" xfId="38322" xr:uid="{00000000-0005-0000-0000-0000B2950000}"/>
    <cellStyle name="Normal 93 5" xfId="38323" xr:uid="{00000000-0005-0000-0000-0000B3950000}"/>
    <cellStyle name="Normal 93 6" xfId="38324" xr:uid="{00000000-0005-0000-0000-0000B4950000}"/>
    <cellStyle name="Normal 93 7" xfId="39207" xr:uid="{00000000-0005-0000-0000-000027990000}"/>
    <cellStyle name="Normal 94" xfId="38325" xr:uid="{00000000-0005-0000-0000-0000B5950000}"/>
    <cellStyle name="Normal 94 2" xfId="38326" xr:uid="{00000000-0005-0000-0000-0000B6950000}"/>
    <cellStyle name="Normal 94 2 2" xfId="38327" xr:uid="{00000000-0005-0000-0000-0000B7950000}"/>
    <cellStyle name="Normal 94 2 2 2" xfId="38328" xr:uid="{00000000-0005-0000-0000-0000B8950000}"/>
    <cellStyle name="Normal 94 2 2 3" xfId="38329" xr:uid="{00000000-0005-0000-0000-0000B9950000}"/>
    <cellStyle name="Normal 94 2 3" xfId="38330" xr:uid="{00000000-0005-0000-0000-0000BA950000}"/>
    <cellStyle name="Normal 94 2 4" xfId="38331" xr:uid="{00000000-0005-0000-0000-0000BB950000}"/>
    <cellStyle name="Normal 94 3" xfId="38332" xr:uid="{00000000-0005-0000-0000-0000BC950000}"/>
    <cellStyle name="Normal 94 3 2" xfId="38333" xr:uid="{00000000-0005-0000-0000-0000BD950000}"/>
    <cellStyle name="Normal 94 3 3" xfId="38334" xr:uid="{00000000-0005-0000-0000-0000BE950000}"/>
    <cellStyle name="Normal 94 4" xfId="38335" xr:uid="{00000000-0005-0000-0000-0000BF950000}"/>
    <cellStyle name="Normal 94 5" xfId="38336" xr:uid="{00000000-0005-0000-0000-0000C0950000}"/>
    <cellStyle name="Normal 94 6" xfId="38337" xr:uid="{00000000-0005-0000-0000-0000C1950000}"/>
    <cellStyle name="Normal 95" xfId="38338" xr:uid="{00000000-0005-0000-0000-0000C2950000}"/>
    <cellStyle name="Normal 95 2" xfId="38339" xr:uid="{00000000-0005-0000-0000-0000C3950000}"/>
    <cellStyle name="Normal 95 2 2" xfId="38340" xr:uid="{00000000-0005-0000-0000-0000C4950000}"/>
    <cellStyle name="Normal 95 2 2 2" xfId="38341" xr:uid="{00000000-0005-0000-0000-0000C5950000}"/>
    <cellStyle name="Normal 95 2 2 3" xfId="38342" xr:uid="{00000000-0005-0000-0000-0000C6950000}"/>
    <cellStyle name="Normal 95 2 3" xfId="38343" xr:uid="{00000000-0005-0000-0000-0000C7950000}"/>
    <cellStyle name="Normal 95 2 4" xfId="38344" xr:uid="{00000000-0005-0000-0000-0000C8950000}"/>
    <cellStyle name="Normal 95 3" xfId="38345" xr:uid="{00000000-0005-0000-0000-0000C9950000}"/>
    <cellStyle name="Normal 95 3 2" xfId="38346" xr:uid="{00000000-0005-0000-0000-0000CA950000}"/>
    <cellStyle name="Normal 95 3 3" xfId="38347" xr:uid="{00000000-0005-0000-0000-0000CB950000}"/>
    <cellStyle name="Normal 95 4" xfId="38348" xr:uid="{00000000-0005-0000-0000-0000CC950000}"/>
    <cellStyle name="Normal 95 5" xfId="38349" xr:uid="{00000000-0005-0000-0000-0000CD950000}"/>
    <cellStyle name="Normal 96" xfId="38350" xr:uid="{00000000-0005-0000-0000-0000CE950000}"/>
    <cellStyle name="Normal 96 2" xfId="38351" xr:uid="{00000000-0005-0000-0000-0000CF950000}"/>
    <cellStyle name="Normal 96 2 2" xfId="38352" xr:uid="{00000000-0005-0000-0000-0000D0950000}"/>
    <cellStyle name="Normal 96 2 2 2" xfId="38353" xr:uid="{00000000-0005-0000-0000-0000D1950000}"/>
    <cellStyle name="Normal 96 2 2 3" xfId="38354" xr:uid="{00000000-0005-0000-0000-0000D2950000}"/>
    <cellStyle name="Normal 96 2 3" xfId="38355" xr:uid="{00000000-0005-0000-0000-0000D3950000}"/>
    <cellStyle name="Normal 96 2 4" xfId="38356" xr:uid="{00000000-0005-0000-0000-0000D4950000}"/>
    <cellStyle name="Normal 96 3" xfId="38357" xr:uid="{00000000-0005-0000-0000-0000D5950000}"/>
    <cellStyle name="Normal 96 3 2" xfId="38358" xr:uid="{00000000-0005-0000-0000-0000D6950000}"/>
    <cellStyle name="Normal 96 3 3" xfId="38359" xr:uid="{00000000-0005-0000-0000-0000D7950000}"/>
    <cellStyle name="Normal 96 4" xfId="38360" xr:uid="{00000000-0005-0000-0000-0000D8950000}"/>
    <cellStyle name="Normal 96 5" xfId="38361" xr:uid="{00000000-0005-0000-0000-0000D9950000}"/>
    <cellStyle name="Normal 96 6" xfId="38362" xr:uid="{00000000-0005-0000-0000-0000DA950000}"/>
    <cellStyle name="Normal 97" xfId="38363" xr:uid="{00000000-0005-0000-0000-0000DB950000}"/>
    <cellStyle name="Normal 97 2" xfId="38364" xr:uid="{00000000-0005-0000-0000-0000DC950000}"/>
    <cellStyle name="Normal 97 2 2" xfId="38365" xr:uid="{00000000-0005-0000-0000-0000DD950000}"/>
    <cellStyle name="Normal 97 2 2 2" xfId="38366" xr:uid="{00000000-0005-0000-0000-0000DE950000}"/>
    <cellStyle name="Normal 97 2 2 3" xfId="38367" xr:uid="{00000000-0005-0000-0000-0000DF950000}"/>
    <cellStyle name="Normal 97 2 3" xfId="38368" xr:uid="{00000000-0005-0000-0000-0000E0950000}"/>
    <cellStyle name="Normal 97 2 4" xfId="38369" xr:uid="{00000000-0005-0000-0000-0000E1950000}"/>
    <cellStyle name="Normal 97 3" xfId="38370" xr:uid="{00000000-0005-0000-0000-0000E2950000}"/>
    <cellStyle name="Normal 97 3 2" xfId="38371" xr:uid="{00000000-0005-0000-0000-0000E3950000}"/>
    <cellStyle name="Normal 97 3 3" xfId="38372" xr:uid="{00000000-0005-0000-0000-0000E4950000}"/>
    <cellStyle name="Normal 97 4" xfId="38373" xr:uid="{00000000-0005-0000-0000-0000E5950000}"/>
    <cellStyle name="Normal 97 5" xfId="38374" xr:uid="{00000000-0005-0000-0000-0000E6950000}"/>
    <cellStyle name="Normal 98" xfId="38375" xr:uid="{00000000-0005-0000-0000-0000E7950000}"/>
    <cellStyle name="Normal 98 2" xfId="38376" xr:uid="{00000000-0005-0000-0000-0000E8950000}"/>
    <cellStyle name="Normal 98 2 2" xfId="38377" xr:uid="{00000000-0005-0000-0000-0000E9950000}"/>
    <cellStyle name="Normal 98 2 2 2" xfId="38378" xr:uid="{00000000-0005-0000-0000-0000EA950000}"/>
    <cellStyle name="Normal 98 2 2 3" xfId="38379" xr:uid="{00000000-0005-0000-0000-0000EB950000}"/>
    <cellStyle name="Normal 98 2 3" xfId="38380" xr:uid="{00000000-0005-0000-0000-0000EC950000}"/>
    <cellStyle name="Normal 98 2 4" xfId="38381" xr:uid="{00000000-0005-0000-0000-0000ED950000}"/>
    <cellStyle name="Normal 98 3" xfId="38382" xr:uid="{00000000-0005-0000-0000-0000EE950000}"/>
    <cellStyle name="Normal 98 3 2" xfId="38383" xr:uid="{00000000-0005-0000-0000-0000EF950000}"/>
    <cellStyle name="Normal 98 3 3" xfId="38384" xr:uid="{00000000-0005-0000-0000-0000F0950000}"/>
    <cellStyle name="Normal 98 4" xfId="38385" xr:uid="{00000000-0005-0000-0000-0000F1950000}"/>
    <cellStyle name="Normal 98 5" xfId="38386" xr:uid="{00000000-0005-0000-0000-0000F2950000}"/>
    <cellStyle name="Normal 99" xfId="38387" xr:uid="{00000000-0005-0000-0000-0000F3950000}"/>
    <cellStyle name="Normal 99 2" xfId="38388" xr:uid="{00000000-0005-0000-0000-0000F4950000}"/>
    <cellStyle name="Normal 99 2 2" xfId="38389" xr:uid="{00000000-0005-0000-0000-0000F5950000}"/>
    <cellStyle name="Normal 99 2 2 2" xfId="38390" xr:uid="{00000000-0005-0000-0000-0000F6950000}"/>
    <cellStyle name="Normal 99 2 2 3" xfId="38391" xr:uid="{00000000-0005-0000-0000-0000F7950000}"/>
    <cellStyle name="Normal 99 2 3" xfId="38392" xr:uid="{00000000-0005-0000-0000-0000F8950000}"/>
    <cellStyle name="Normal 99 2 4" xfId="38393" xr:uid="{00000000-0005-0000-0000-0000F9950000}"/>
    <cellStyle name="Normal 99 3" xfId="38394" xr:uid="{00000000-0005-0000-0000-0000FA950000}"/>
    <cellStyle name="Normal 99 3 2" xfId="38395" xr:uid="{00000000-0005-0000-0000-0000FB950000}"/>
    <cellStyle name="Normal 99 3 3" xfId="38396" xr:uid="{00000000-0005-0000-0000-0000FC950000}"/>
    <cellStyle name="Normal 99 4" xfId="38397" xr:uid="{00000000-0005-0000-0000-0000FD950000}"/>
    <cellStyle name="Normal 99 5" xfId="38398" xr:uid="{00000000-0005-0000-0000-0000FE950000}"/>
    <cellStyle name="Normal 99 6" xfId="38399" xr:uid="{00000000-0005-0000-0000-0000FF950000}"/>
    <cellStyle name="Notas 10" xfId="38400" xr:uid="{00000000-0005-0000-0000-000000960000}"/>
    <cellStyle name="Notas 2" xfId="38401" xr:uid="{00000000-0005-0000-0000-000001960000}"/>
    <cellStyle name="Notas 2 2" xfId="38402" xr:uid="{00000000-0005-0000-0000-000002960000}"/>
    <cellStyle name="Notas 2 2 2" xfId="38403" xr:uid="{00000000-0005-0000-0000-000003960000}"/>
    <cellStyle name="Notas 2 2 2 2" xfId="38404" xr:uid="{00000000-0005-0000-0000-000004960000}"/>
    <cellStyle name="Notas 2 2 2 2 2" xfId="38405" xr:uid="{00000000-0005-0000-0000-000005960000}"/>
    <cellStyle name="Notas 2 2 2 2 2 2" xfId="38406" xr:uid="{00000000-0005-0000-0000-000006960000}"/>
    <cellStyle name="Notas 2 2 2 2 2 2 2" xfId="38407" xr:uid="{00000000-0005-0000-0000-000007960000}"/>
    <cellStyle name="Notas 2 2 2 2 2 2 3" xfId="38408" xr:uid="{00000000-0005-0000-0000-000008960000}"/>
    <cellStyle name="Notas 2 2 2 2 2 3" xfId="38409" xr:uid="{00000000-0005-0000-0000-000009960000}"/>
    <cellStyle name="Notas 2 2 2 2 2 4" xfId="38410" xr:uid="{00000000-0005-0000-0000-00000A960000}"/>
    <cellStyle name="Notas 2 2 2 2 3" xfId="38411" xr:uid="{00000000-0005-0000-0000-00000B960000}"/>
    <cellStyle name="Notas 2 2 2 2 3 2" xfId="38412" xr:uid="{00000000-0005-0000-0000-00000C960000}"/>
    <cellStyle name="Notas 2 2 2 2 3 3" xfId="38413" xr:uid="{00000000-0005-0000-0000-00000D960000}"/>
    <cellStyle name="Notas 2 2 2 2 4" xfId="38414" xr:uid="{00000000-0005-0000-0000-00000E960000}"/>
    <cellStyle name="Notas 2 2 2 2 5" xfId="38415" xr:uid="{00000000-0005-0000-0000-00000F960000}"/>
    <cellStyle name="Notas 2 2 2 3" xfId="38416" xr:uid="{00000000-0005-0000-0000-000010960000}"/>
    <cellStyle name="Notas 2 2 2 3 2" xfId="38417" xr:uid="{00000000-0005-0000-0000-000011960000}"/>
    <cellStyle name="Notas 2 2 2 3 3" xfId="38418" xr:uid="{00000000-0005-0000-0000-000012960000}"/>
    <cellStyle name="Notas 2 2 2 4" xfId="38419" xr:uid="{00000000-0005-0000-0000-000013960000}"/>
    <cellStyle name="Notas 2 2 2 5" xfId="38420" xr:uid="{00000000-0005-0000-0000-000014960000}"/>
    <cellStyle name="Notas 2 2 3" xfId="38421" xr:uid="{00000000-0005-0000-0000-000015960000}"/>
    <cellStyle name="Notas 2 2 3 2" xfId="38422" xr:uid="{00000000-0005-0000-0000-000016960000}"/>
    <cellStyle name="Notas 2 2 3 2 2" xfId="38423" xr:uid="{00000000-0005-0000-0000-000017960000}"/>
    <cellStyle name="Notas 2 2 3 2 3" xfId="38424" xr:uid="{00000000-0005-0000-0000-000018960000}"/>
    <cellStyle name="Notas 2 2 3 3" xfId="38425" xr:uid="{00000000-0005-0000-0000-000019960000}"/>
    <cellStyle name="Notas 2 2 3 4" xfId="38426" xr:uid="{00000000-0005-0000-0000-00001A960000}"/>
    <cellStyle name="Notas 2 2 4" xfId="38427" xr:uid="{00000000-0005-0000-0000-00001B960000}"/>
    <cellStyle name="Notas 2 2 4 2" xfId="38428" xr:uid="{00000000-0005-0000-0000-00001C960000}"/>
    <cellStyle name="Notas 2 2 4 2 2" xfId="38429" xr:uid="{00000000-0005-0000-0000-00001D960000}"/>
    <cellStyle name="Notas 2 2 4 2 3" xfId="38430" xr:uid="{00000000-0005-0000-0000-00001E960000}"/>
    <cellStyle name="Notas 2 2 4 3" xfId="38431" xr:uid="{00000000-0005-0000-0000-00001F960000}"/>
    <cellStyle name="Notas 2 2 4 4" xfId="38432" xr:uid="{00000000-0005-0000-0000-000020960000}"/>
    <cellStyle name="Notas 2 2 5" xfId="38433" xr:uid="{00000000-0005-0000-0000-000021960000}"/>
    <cellStyle name="Notas 2 2 5 2" xfId="38434" xr:uid="{00000000-0005-0000-0000-000022960000}"/>
    <cellStyle name="Notas 2 2 5 3" xfId="38435" xr:uid="{00000000-0005-0000-0000-000023960000}"/>
    <cellStyle name="Notas 2 2 6" xfId="38436" xr:uid="{00000000-0005-0000-0000-000024960000}"/>
    <cellStyle name="Notas 2 2 7" xfId="38437" xr:uid="{00000000-0005-0000-0000-000025960000}"/>
    <cellStyle name="Notas 2 3" xfId="38438" xr:uid="{00000000-0005-0000-0000-000026960000}"/>
    <cellStyle name="Notas 2 3 2" xfId="38439" xr:uid="{00000000-0005-0000-0000-000027960000}"/>
    <cellStyle name="Notas 2 3 2 2" xfId="38440" xr:uid="{00000000-0005-0000-0000-000028960000}"/>
    <cellStyle name="Notas 2 3 2 3" xfId="38441" xr:uid="{00000000-0005-0000-0000-000029960000}"/>
    <cellStyle name="Notas 2 3 3" xfId="38442" xr:uid="{00000000-0005-0000-0000-00002A960000}"/>
    <cellStyle name="Notas 2 3 4" xfId="38443" xr:uid="{00000000-0005-0000-0000-00002B960000}"/>
    <cellStyle name="Notas 2 4" xfId="38444" xr:uid="{00000000-0005-0000-0000-00002C960000}"/>
    <cellStyle name="Notas 2 4 2" xfId="38445" xr:uid="{00000000-0005-0000-0000-00002D960000}"/>
    <cellStyle name="Notas 2 4 2 2" xfId="38446" xr:uid="{00000000-0005-0000-0000-00002E960000}"/>
    <cellStyle name="Notas 2 4 2 3" xfId="38447" xr:uid="{00000000-0005-0000-0000-00002F960000}"/>
    <cellStyle name="Notas 2 4 3" xfId="38448" xr:uid="{00000000-0005-0000-0000-000030960000}"/>
    <cellStyle name="Notas 2 4 4" xfId="38449" xr:uid="{00000000-0005-0000-0000-000031960000}"/>
    <cellStyle name="Notas 2 5" xfId="38450" xr:uid="{00000000-0005-0000-0000-000032960000}"/>
    <cellStyle name="Notas 2 5 2" xfId="38451" xr:uid="{00000000-0005-0000-0000-000033960000}"/>
    <cellStyle name="Notas 2 5 2 2" xfId="38452" xr:uid="{00000000-0005-0000-0000-000034960000}"/>
    <cellStyle name="Notas 2 5 2 3" xfId="38453" xr:uid="{00000000-0005-0000-0000-000035960000}"/>
    <cellStyle name="Notas 2 5 3" xfId="38454" xr:uid="{00000000-0005-0000-0000-000036960000}"/>
    <cellStyle name="Notas 2 5 4" xfId="38455" xr:uid="{00000000-0005-0000-0000-000037960000}"/>
    <cellStyle name="Notas 2 6" xfId="38456" xr:uid="{00000000-0005-0000-0000-000038960000}"/>
    <cellStyle name="Notas 2 6 2" xfId="38457" xr:uid="{00000000-0005-0000-0000-000039960000}"/>
    <cellStyle name="Notas 2 6 3" xfId="38458" xr:uid="{00000000-0005-0000-0000-00003A960000}"/>
    <cellStyle name="Notas 2 7" xfId="38459" xr:uid="{00000000-0005-0000-0000-00003B960000}"/>
    <cellStyle name="Notas 2 8" xfId="38460" xr:uid="{00000000-0005-0000-0000-00003C960000}"/>
    <cellStyle name="Notas 3" xfId="38461" xr:uid="{00000000-0005-0000-0000-00003D960000}"/>
    <cellStyle name="Notas 3 2" xfId="38462" xr:uid="{00000000-0005-0000-0000-00003E960000}"/>
    <cellStyle name="Notas 3 2 2" xfId="38463" xr:uid="{00000000-0005-0000-0000-00003F960000}"/>
    <cellStyle name="Notas 3 2 2 2" xfId="38464" xr:uid="{00000000-0005-0000-0000-000040960000}"/>
    <cellStyle name="Notas 3 2 2 3" xfId="38465" xr:uid="{00000000-0005-0000-0000-000041960000}"/>
    <cellStyle name="Notas 3 2 3" xfId="38466" xr:uid="{00000000-0005-0000-0000-000042960000}"/>
    <cellStyle name="Notas 3 2 4" xfId="38467" xr:uid="{00000000-0005-0000-0000-000043960000}"/>
    <cellStyle name="Notas 3 2 5" xfId="38468" xr:uid="{00000000-0005-0000-0000-000044960000}"/>
    <cellStyle name="Notas 3 3" xfId="38469" xr:uid="{00000000-0005-0000-0000-000045960000}"/>
    <cellStyle name="Notas 3 3 2" xfId="38470" xr:uid="{00000000-0005-0000-0000-000046960000}"/>
    <cellStyle name="Notas 3 3 3" xfId="38471" xr:uid="{00000000-0005-0000-0000-000047960000}"/>
    <cellStyle name="Notas 3 4" xfId="38472" xr:uid="{00000000-0005-0000-0000-000048960000}"/>
    <cellStyle name="Notas 3 5" xfId="38473" xr:uid="{00000000-0005-0000-0000-000049960000}"/>
    <cellStyle name="Notas 4" xfId="38474" xr:uid="{00000000-0005-0000-0000-00004A960000}"/>
    <cellStyle name="Notas 4 2" xfId="38475" xr:uid="{00000000-0005-0000-0000-00004B960000}"/>
    <cellStyle name="Notas 4 2 2" xfId="38476" xr:uid="{00000000-0005-0000-0000-00004C960000}"/>
    <cellStyle name="Notas 4 2 3" xfId="38477" xr:uid="{00000000-0005-0000-0000-00004D960000}"/>
    <cellStyle name="Notas 4 3" xfId="38478" xr:uid="{00000000-0005-0000-0000-00004E960000}"/>
    <cellStyle name="Notas 4 4" xfId="38479" xr:uid="{00000000-0005-0000-0000-00004F960000}"/>
    <cellStyle name="Notas 5" xfId="38480" xr:uid="{00000000-0005-0000-0000-000050960000}"/>
    <cellStyle name="Notas 5 2" xfId="38481" xr:uid="{00000000-0005-0000-0000-000051960000}"/>
    <cellStyle name="Notas 5 2 2" xfId="38482" xr:uid="{00000000-0005-0000-0000-000052960000}"/>
    <cellStyle name="Notas 5 2 3" xfId="38483" xr:uid="{00000000-0005-0000-0000-000053960000}"/>
    <cellStyle name="Notas 5 3" xfId="38484" xr:uid="{00000000-0005-0000-0000-000054960000}"/>
    <cellStyle name="Notas 5 4" xfId="38485" xr:uid="{00000000-0005-0000-0000-000055960000}"/>
    <cellStyle name="Notas 6" xfId="38486" xr:uid="{00000000-0005-0000-0000-000056960000}"/>
    <cellStyle name="Notas 6 2" xfId="38487" xr:uid="{00000000-0005-0000-0000-000057960000}"/>
    <cellStyle name="Notas 6 2 2" xfId="38488" xr:uid="{00000000-0005-0000-0000-000058960000}"/>
    <cellStyle name="Notas 6 2 3" xfId="38489" xr:uid="{00000000-0005-0000-0000-000059960000}"/>
    <cellStyle name="Notas 6 3" xfId="38490" xr:uid="{00000000-0005-0000-0000-00005A960000}"/>
    <cellStyle name="Notas 6 4" xfId="38491" xr:uid="{00000000-0005-0000-0000-00005B960000}"/>
    <cellStyle name="Notas 7" xfId="38492" xr:uid="{00000000-0005-0000-0000-00005C960000}"/>
    <cellStyle name="Notas 7 2" xfId="38493" xr:uid="{00000000-0005-0000-0000-00005D960000}"/>
    <cellStyle name="Notas 7 2 2" xfId="38494" xr:uid="{00000000-0005-0000-0000-00005E960000}"/>
    <cellStyle name="Notas 7 2 3" xfId="38495" xr:uid="{00000000-0005-0000-0000-00005F960000}"/>
    <cellStyle name="Notas 7 3" xfId="38496" xr:uid="{00000000-0005-0000-0000-000060960000}"/>
    <cellStyle name="Notas 7 4" xfId="38497" xr:uid="{00000000-0005-0000-0000-000061960000}"/>
    <cellStyle name="Notas 8" xfId="38498" xr:uid="{00000000-0005-0000-0000-000062960000}"/>
    <cellStyle name="Notas 8 2" xfId="38499" xr:uid="{00000000-0005-0000-0000-000063960000}"/>
    <cellStyle name="Notas 8 2 2" xfId="38500" xr:uid="{00000000-0005-0000-0000-000064960000}"/>
    <cellStyle name="Notas 8 2 3" xfId="38501" xr:uid="{00000000-0005-0000-0000-000065960000}"/>
    <cellStyle name="Notas 8 3" xfId="38502" xr:uid="{00000000-0005-0000-0000-000066960000}"/>
    <cellStyle name="Notas 8 4" xfId="38503" xr:uid="{00000000-0005-0000-0000-000067960000}"/>
    <cellStyle name="Notas 9" xfId="38504" xr:uid="{00000000-0005-0000-0000-000068960000}"/>
    <cellStyle name="Notas 9 2" xfId="38505" xr:uid="{00000000-0005-0000-0000-000069960000}"/>
    <cellStyle name="Notas 9 2 2" xfId="38506" xr:uid="{00000000-0005-0000-0000-00006A960000}"/>
    <cellStyle name="Notas 9 2 3" xfId="38507" xr:uid="{00000000-0005-0000-0000-00006B960000}"/>
    <cellStyle name="Notas 9 3" xfId="38508" xr:uid="{00000000-0005-0000-0000-00006C960000}"/>
    <cellStyle name="Notas 9 4" xfId="38509" xr:uid="{00000000-0005-0000-0000-00006D960000}"/>
    <cellStyle name="Note" xfId="38510" xr:uid="{00000000-0005-0000-0000-00006E960000}"/>
    <cellStyle name="Note 10" xfId="38511" xr:uid="{00000000-0005-0000-0000-00006F960000}"/>
    <cellStyle name="Note 11" xfId="38512" xr:uid="{00000000-0005-0000-0000-000070960000}"/>
    <cellStyle name="Note 2" xfId="38513" xr:uid="{00000000-0005-0000-0000-000071960000}"/>
    <cellStyle name="Note 2 2" xfId="38514" xr:uid="{00000000-0005-0000-0000-000072960000}"/>
    <cellStyle name="Note 2 2 2" xfId="38515" xr:uid="{00000000-0005-0000-0000-000073960000}"/>
    <cellStyle name="Note 2 2 2 2" xfId="38516" xr:uid="{00000000-0005-0000-0000-000074960000}"/>
    <cellStyle name="Note 2 2 2 3" xfId="38517" xr:uid="{00000000-0005-0000-0000-000075960000}"/>
    <cellStyle name="Note 2 2 3" xfId="38518" xr:uid="{00000000-0005-0000-0000-000076960000}"/>
    <cellStyle name="Note 2 2 4" xfId="38519" xr:uid="{00000000-0005-0000-0000-000077960000}"/>
    <cellStyle name="Note 2 3" xfId="38520" xr:uid="{00000000-0005-0000-0000-000078960000}"/>
    <cellStyle name="Note 2 3 2" xfId="38521" xr:uid="{00000000-0005-0000-0000-000079960000}"/>
    <cellStyle name="Note 2 3 2 2" xfId="38522" xr:uid="{00000000-0005-0000-0000-00007A960000}"/>
    <cellStyle name="Note 2 3 2 3" xfId="38523" xr:uid="{00000000-0005-0000-0000-00007B960000}"/>
    <cellStyle name="Note 2 3 3" xfId="38524" xr:uid="{00000000-0005-0000-0000-00007C960000}"/>
    <cellStyle name="Note 2 3 4" xfId="38525" xr:uid="{00000000-0005-0000-0000-00007D960000}"/>
    <cellStyle name="Note 2 4" xfId="38526" xr:uid="{00000000-0005-0000-0000-00007E960000}"/>
    <cellStyle name="Note 2 4 2" xfId="38527" xr:uid="{00000000-0005-0000-0000-00007F960000}"/>
    <cellStyle name="Note 2 4 2 2" xfId="38528" xr:uid="{00000000-0005-0000-0000-000080960000}"/>
    <cellStyle name="Note 2 4 2 3" xfId="38529" xr:uid="{00000000-0005-0000-0000-000081960000}"/>
    <cellStyle name="Note 2 4 3" xfId="38530" xr:uid="{00000000-0005-0000-0000-000082960000}"/>
    <cellStyle name="Note 2 4 4" xfId="38531" xr:uid="{00000000-0005-0000-0000-000083960000}"/>
    <cellStyle name="Note 2 5" xfId="38532" xr:uid="{00000000-0005-0000-0000-000084960000}"/>
    <cellStyle name="Note 2 5 2" xfId="38533" xr:uid="{00000000-0005-0000-0000-000085960000}"/>
    <cellStyle name="Note 2 5 3" xfId="38534" xr:uid="{00000000-0005-0000-0000-000086960000}"/>
    <cellStyle name="Note 2 6" xfId="38535" xr:uid="{00000000-0005-0000-0000-000087960000}"/>
    <cellStyle name="Note 2 7" xfId="38536" xr:uid="{00000000-0005-0000-0000-000088960000}"/>
    <cellStyle name="Note 3" xfId="38537" xr:uid="{00000000-0005-0000-0000-000089960000}"/>
    <cellStyle name="Note 3 2" xfId="38538" xr:uid="{00000000-0005-0000-0000-00008A960000}"/>
    <cellStyle name="Note 3 2 2" xfId="38539" xr:uid="{00000000-0005-0000-0000-00008B960000}"/>
    <cellStyle name="Note 3 2 2 2" xfId="38540" xr:uid="{00000000-0005-0000-0000-00008C960000}"/>
    <cellStyle name="Note 3 2 2 3" xfId="38541" xr:uid="{00000000-0005-0000-0000-00008D960000}"/>
    <cellStyle name="Note 3 2 3" xfId="38542" xr:uid="{00000000-0005-0000-0000-00008E960000}"/>
    <cellStyle name="Note 3 2 4" xfId="38543" xr:uid="{00000000-0005-0000-0000-00008F960000}"/>
    <cellStyle name="Note 3 3" xfId="38544" xr:uid="{00000000-0005-0000-0000-000090960000}"/>
    <cellStyle name="Note 3 3 2" xfId="38545" xr:uid="{00000000-0005-0000-0000-000091960000}"/>
    <cellStyle name="Note 3 3 2 2" xfId="38546" xr:uid="{00000000-0005-0000-0000-000092960000}"/>
    <cellStyle name="Note 3 3 2 3" xfId="38547" xr:uid="{00000000-0005-0000-0000-000093960000}"/>
    <cellStyle name="Note 3 3 3" xfId="38548" xr:uid="{00000000-0005-0000-0000-000094960000}"/>
    <cellStyle name="Note 3 3 4" xfId="38549" xr:uid="{00000000-0005-0000-0000-000095960000}"/>
    <cellStyle name="Note 3 4" xfId="38550" xr:uid="{00000000-0005-0000-0000-000096960000}"/>
    <cellStyle name="Note 3 4 2" xfId="38551" xr:uid="{00000000-0005-0000-0000-000097960000}"/>
    <cellStyle name="Note 3 4 2 2" xfId="38552" xr:uid="{00000000-0005-0000-0000-000098960000}"/>
    <cellStyle name="Note 3 4 2 3" xfId="38553" xr:uid="{00000000-0005-0000-0000-000099960000}"/>
    <cellStyle name="Note 3 4 3" xfId="38554" xr:uid="{00000000-0005-0000-0000-00009A960000}"/>
    <cellStyle name="Note 3 4 4" xfId="38555" xr:uid="{00000000-0005-0000-0000-00009B960000}"/>
    <cellStyle name="Note 3 5" xfId="38556" xr:uid="{00000000-0005-0000-0000-00009C960000}"/>
    <cellStyle name="Note 3 5 2" xfId="38557" xr:uid="{00000000-0005-0000-0000-00009D960000}"/>
    <cellStyle name="Note 3 5 3" xfId="38558" xr:uid="{00000000-0005-0000-0000-00009E960000}"/>
    <cellStyle name="Note 3 6" xfId="38559" xr:uid="{00000000-0005-0000-0000-00009F960000}"/>
    <cellStyle name="Note 3 7" xfId="38560" xr:uid="{00000000-0005-0000-0000-0000A0960000}"/>
    <cellStyle name="Note 4" xfId="38561" xr:uid="{00000000-0005-0000-0000-0000A1960000}"/>
    <cellStyle name="Note 4 2" xfId="38562" xr:uid="{00000000-0005-0000-0000-0000A2960000}"/>
    <cellStyle name="Note 4 2 2" xfId="38563" xr:uid="{00000000-0005-0000-0000-0000A3960000}"/>
    <cellStyle name="Note 4 2 2 2" xfId="38564" xr:uid="{00000000-0005-0000-0000-0000A4960000}"/>
    <cellStyle name="Note 4 2 2 3" xfId="38565" xr:uid="{00000000-0005-0000-0000-0000A5960000}"/>
    <cellStyle name="Note 4 2 3" xfId="38566" xr:uid="{00000000-0005-0000-0000-0000A6960000}"/>
    <cellStyle name="Note 4 2 4" xfId="38567" xr:uid="{00000000-0005-0000-0000-0000A7960000}"/>
    <cellStyle name="Note 4 3" xfId="38568" xr:uid="{00000000-0005-0000-0000-0000A8960000}"/>
    <cellStyle name="Note 4 3 2" xfId="38569" xr:uid="{00000000-0005-0000-0000-0000A9960000}"/>
    <cellStyle name="Note 4 3 2 2" xfId="38570" xr:uid="{00000000-0005-0000-0000-0000AA960000}"/>
    <cellStyle name="Note 4 3 2 3" xfId="38571" xr:uid="{00000000-0005-0000-0000-0000AB960000}"/>
    <cellStyle name="Note 4 3 3" xfId="38572" xr:uid="{00000000-0005-0000-0000-0000AC960000}"/>
    <cellStyle name="Note 4 3 4" xfId="38573" xr:uid="{00000000-0005-0000-0000-0000AD960000}"/>
    <cellStyle name="Note 4 4" xfId="38574" xr:uid="{00000000-0005-0000-0000-0000AE960000}"/>
    <cellStyle name="Note 4 4 2" xfId="38575" xr:uid="{00000000-0005-0000-0000-0000AF960000}"/>
    <cellStyle name="Note 4 4 2 2" xfId="38576" xr:uid="{00000000-0005-0000-0000-0000B0960000}"/>
    <cellStyle name="Note 4 4 2 3" xfId="38577" xr:uid="{00000000-0005-0000-0000-0000B1960000}"/>
    <cellStyle name="Note 4 4 3" xfId="38578" xr:uid="{00000000-0005-0000-0000-0000B2960000}"/>
    <cellStyle name="Note 4 4 4" xfId="38579" xr:uid="{00000000-0005-0000-0000-0000B3960000}"/>
    <cellStyle name="Note 4 5" xfId="38580" xr:uid="{00000000-0005-0000-0000-0000B4960000}"/>
    <cellStyle name="Note 4 5 2" xfId="38581" xr:uid="{00000000-0005-0000-0000-0000B5960000}"/>
    <cellStyle name="Note 4 5 3" xfId="38582" xr:uid="{00000000-0005-0000-0000-0000B6960000}"/>
    <cellStyle name="Note 4 6" xfId="38583" xr:uid="{00000000-0005-0000-0000-0000B7960000}"/>
    <cellStyle name="Note 4 7" xfId="38584" xr:uid="{00000000-0005-0000-0000-0000B8960000}"/>
    <cellStyle name="Note 5" xfId="38585" xr:uid="{00000000-0005-0000-0000-0000B9960000}"/>
    <cellStyle name="Note 5 2" xfId="38586" xr:uid="{00000000-0005-0000-0000-0000BA960000}"/>
    <cellStyle name="Note 5 2 2" xfId="38587" xr:uid="{00000000-0005-0000-0000-0000BB960000}"/>
    <cellStyle name="Note 5 2 2 2" xfId="38588" xr:uid="{00000000-0005-0000-0000-0000BC960000}"/>
    <cellStyle name="Note 5 2 2 3" xfId="38589" xr:uid="{00000000-0005-0000-0000-0000BD960000}"/>
    <cellStyle name="Note 5 2 3" xfId="38590" xr:uid="{00000000-0005-0000-0000-0000BE960000}"/>
    <cellStyle name="Note 5 2 4" xfId="38591" xr:uid="{00000000-0005-0000-0000-0000BF960000}"/>
    <cellStyle name="Note 5 3" xfId="38592" xr:uid="{00000000-0005-0000-0000-0000C0960000}"/>
    <cellStyle name="Note 5 3 2" xfId="38593" xr:uid="{00000000-0005-0000-0000-0000C1960000}"/>
    <cellStyle name="Note 5 3 2 2" xfId="38594" xr:uid="{00000000-0005-0000-0000-0000C2960000}"/>
    <cellStyle name="Note 5 3 2 3" xfId="38595" xr:uid="{00000000-0005-0000-0000-0000C3960000}"/>
    <cellStyle name="Note 5 3 3" xfId="38596" xr:uid="{00000000-0005-0000-0000-0000C4960000}"/>
    <cellStyle name="Note 5 3 4" xfId="38597" xr:uid="{00000000-0005-0000-0000-0000C5960000}"/>
    <cellStyle name="Note 5 4" xfId="38598" xr:uid="{00000000-0005-0000-0000-0000C6960000}"/>
    <cellStyle name="Note 5 4 2" xfId="38599" xr:uid="{00000000-0005-0000-0000-0000C7960000}"/>
    <cellStyle name="Note 5 4 2 2" xfId="38600" xr:uid="{00000000-0005-0000-0000-0000C8960000}"/>
    <cellStyle name="Note 5 4 2 3" xfId="38601" xr:uid="{00000000-0005-0000-0000-0000C9960000}"/>
    <cellStyle name="Note 5 4 3" xfId="38602" xr:uid="{00000000-0005-0000-0000-0000CA960000}"/>
    <cellStyle name="Note 5 4 4" xfId="38603" xr:uid="{00000000-0005-0000-0000-0000CB960000}"/>
    <cellStyle name="Note 5 5" xfId="38604" xr:uid="{00000000-0005-0000-0000-0000CC960000}"/>
    <cellStyle name="Note 5 5 2" xfId="38605" xr:uid="{00000000-0005-0000-0000-0000CD960000}"/>
    <cellStyle name="Note 5 5 3" xfId="38606" xr:uid="{00000000-0005-0000-0000-0000CE960000}"/>
    <cellStyle name="Note 5 6" xfId="38607" xr:uid="{00000000-0005-0000-0000-0000CF960000}"/>
    <cellStyle name="Note 5 7" xfId="38608" xr:uid="{00000000-0005-0000-0000-0000D0960000}"/>
    <cellStyle name="Note 6" xfId="38609" xr:uid="{00000000-0005-0000-0000-0000D1960000}"/>
    <cellStyle name="Note 6 2" xfId="38610" xr:uid="{00000000-0005-0000-0000-0000D2960000}"/>
    <cellStyle name="Note 6 2 2" xfId="38611" xr:uid="{00000000-0005-0000-0000-0000D3960000}"/>
    <cellStyle name="Note 6 2 3" xfId="38612" xr:uid="{00000000-0005-0000-0000-0000D4960000}"/>
    <cellStyle name="Note 6 3" xfId="38613" xr:uid="{00000000-0005-0000-0000-0000D5960000}"/>
    <cellStyle name="Note 6 4" xfId="38614" xr:uid="{00000000-0005-0000-0000-0000D6960000}"/>
    <cellStyle name="Note 7" xfId="38615" xr:uid="{00000000-0005-0000-0000-0000D7960000}"/>
    <cellStyle name="Note 7 2" xfId="38616" xr:uid="{00000000-0005-0000-0000-0000D8960000}"/>
    <cellStyle name="Note 7 2 2" xfId="38617" xr:uid="{00000000-0005-0000-0000-0000D9960000}"/>
    <cellStyle name="Note 7 2 3" xfId="38618" xr:uid="{00000000-0005-0000-0000-0000DA960000}"/>
    <cellStyle name="Note 7 3" xfId="38619" xr:uid="{00000000-0005-0000-0000-0000DB960000}"/>
    <cellStyle name="Note 7 4" xfId="38620" xr:uid="{00000000-0005-0000-0000-0000DC960000}"/>
    <cellStyle name="Note 8" xfId="38621" xr:uid="{00000000-0005-0000-0000-0000DD960000}"/>
    <cellStyle name="Note 8 2" xfId="38622" xr:uid="{00000000-0005-0000-0000-0000DE960000}"/>
    <cellStyle name="Note 8 2 2" xfId="38623" xr:uid="{00000000-0005-0000-0000-0000DF960000}"/>
    <cellStyle name="Note 8 2 3" xfId="38624" xr:uid="{00000000-0005-0000-0000-0000E0960000}"/>
    <cellStyle name="Note 8 3" xfId="38625" xr:uid="{00000000-0005-0000-0000-0000E1960000}"/>
    <cellStyle name="Note 8 4" xfId="38626" xr:uid="{00000000-0005-0000-0000-0000E2960000}"/>
    <cellStyle name="Note 9" xfId="38627" xr:uid="{00000000-0005-0000-0000-0000E3960000}"/>
    <cellStyle name="Note 9 2" xfId="38628" xr:uid="{00000000-0005-0000-0000-0000E4960000}"/>
    <cellStyle name="Note 9 3" xfId="38629" xr:uid="{00000000-0005-0000-0000-0000E5960000}"/>
    <cellStyle name="Output" xfId="38630" xr:uid="{00000000-0005-0000-0000-0000E6960000}"/>
    <cellStyle name="Output 2" xfId="38631" xr:uid="{00000000-0005-0000-0000-0000E7960000}"/>
    <cellStyle name="Output 2 2" xfId="38632" xr:uid="{00000000-0005-0000-0000-0000E8960000}"/>
    <cellStyle name="Output 2 2 2" xfId="38633" xr:uid="{00000000-0005-0000-0000-0000E9960000}"/>
    <cellStyle name="Output 2 2 3" xfId="38634" xr:uid="{00000000-0005-0000-0000-0000EA960000}"/>
    <cellStyle name="Output 2 3" xfId="38635" xr:uid="{00000000-0005-0000-0000-0000EB960000}"/>
    <cellStyle name="Output 2 4" xfId="38636" xr:uid="{00000000-0005-0000-0000-0000EC960000}"/>
    <cellStyle name="Output 3" xfId="38637" xr:uid="{00000000-0005-0000-0000-0000ED960000}"/>
    <cellStyle name="Output 3 2" xfId="38638" xr:uid="{00000000-0005-0000-0000-0000EE960000}"/>
    <cellStyle name="Output 3 2 2" xfId="38639" xr:uid="{00000000-0005-0000-0000-0000EF960000}"/>
    <cellStyle name="Output 3 2 3" xfId="38640" xr:uid="{00000000-0005-0000-0000-0000F0960000}"/>
    <cellStyle name="Output 3 3" xfId="38641" xr:uid="{00000000-0005-0000-0000-0000F1960000}"/>
    <cellStyle name="Output 3 4" xfId="38642" xr:uid="{00000000-0005-0000-0000-0000F2960000}"/>
    <cellStyle name="Output 4" xfId="38643" xr:uid="{00000000-0005-0000-0000-0000F3960000}"/>
    <cellStyle name="Output 4 2" xfId="38644" xr:uid="{00000000-0005-0000-0000-0000F4960000}"/>
    <cellStyle name="Output 4 2 2" xfId="38645" xr:uid="{00000000-0005-0000-0000-0000F5960000}"/>
    <cellStyle name="Output 4 2 3" xfId="38646" xr:uid="{00000000-0005-0000-0000-0000F6960000}"/>
    <cellStyle name="Output 4 3" xfId="38647" xr:uid="{00000000-0005-0000-0000-0000F7960000}"/>
    <cellStyle name="Output 4 4" xfId="38648" xr:uid="{00000000-0005-0000-0000-0000F8960000}"/>
    <cellStyle name="Output 5" xfId="38649" xr:uid="{00000000-0005-0000-0000-0000F9960000}"/>
    <cellStyle name="Output 5 2" xfId="38650" xr:uid="{00000000-0005-0000-0000-0000FA960000}"/>
    <cellStyle name="Output 5 2 2" xfId="38651" xr:uid="{00000000-0005-0000-0000-0000FB960000}"/>
    <cellStyle name="Output 5 2 3" xfId="38652" xr:uid="{00000000-0005-0000-0000-0000FC960000}"/>
    <cellStyle name="Output 5 3" xfId="38653" xr:uid="{00000000-0005-0000-0000-0000FD960000}"/>
    <cellStyle name="Output 5 4" xfId="38654" xr:uid="{00000000-0005-0000-0000-0000FE960000}"/>
    <cellStyle name="Output 6" xfId="38655" xr:uid="{00000000-0005-0000-0000-0000FF960000}"/>
    <cellStyle name="Output 6 2" xfId="38656" xr:uid="{00000000-0005-0000-0000-000000970000}"/>
    <cellStyle name="Output 6 3" xfId="38657" xr:uid="{00000000-0005-0000-0000-000001970000}"/>
    <cellStyle name="Output 7" xfId="38658" xr:uid="{00000000-0005-0000-0000-000002970000}"/>
    <cellStyle name="Output 8" xfId="38659" xr:uid="{00000000-0005-0000-0000-000003970000}"/>
    <cellStyle name="Porcentaje 2" xfId="38660" xr:uid="{00000000-0005-0000-0000-000004970000}"/>
    <cellStyle name="Porcentual 2" xfId="38661" xr:uid="{00000000-0005-0000-0000-000005970000}"/>
    <cellStyle name="Porcentual 2 2" xfId="38662" xr:uid="{00000000-0005-0000-0000-000006970000}"/>
    <cellStyle name="Porcentual 2 2 2" xfId="38663" xr:uid="{00000000-0005-0000-0000-000007970000}"/>
    <cellStyle name="Porcentual 2 2 2 2" xfId="38664" xr:uid="{00000000-0005-0000-0000-000008970000}"/>
    <cellStyle name="Porcentual 2 2 2 3" xfId="38665" xr:uid="{00000000-0005-0000-0000-000009970000}"/>
    <cellStyle name="Porcentual 2 2 3" xfId="38666" xr:uid="{00000000-0005-0000-0000-00000A970000}"/>
    <cellStyle name="Porcentual 2 2 4" xfId="38667" xr:uid="{00000000-0005-0000-0000-00000B970000}"/>
    <cellStyle name="Porcentual 2 3" xfId="38668" xr:uid="{00000000-0005-0000-0000-00000C970000}"/>
    <cellStyle name="Porcentual 2 3 2" xfId="38669" xr:uid="{00000000-0005-0000-0000-00000D970000}"/>
    <cellStyle name="Porcentual 2 3 2 2" xfId="38670" xr:uid="{00000000-0005-0000-0000-00000E970000}"/>
    <cellStyle name="Porcentual 2 3 2 3" xfId="38671" xr:uid="{00000000-0005-0000-0000-00000F970000}"/>
    <cellStyle name="Porcentual 2 3 3" xfId="38672" xr:uid="{00000000-0005-0000-0000-000010970000}"/>
    <cellStyle name="Porcentual 2 3 4" xfId="38673" xr:uid="{00000000-0005-0000-0000-000011970000}"/>
    <cellStyle name="Porcentual 2 4" xfId="38674" xr:uid="{00000000-0005-0000-0000-000012970000}"/>
    <cellStyle name="Porcentual 2 4 2" xfId="38675" xr:uid="{00000000-0005-0000-0000-000013970000}"/>
    <cellStyle name="Porcentual 2 4 2 2" xfId="38676" xr:uid="{00000000-0005-0000-0000-000014970000}"/>
    <cellStyle name="Porcentual 2 4 2 3" xfId="38677" xr:uid="{00000000-0005-0000-0000-000015970000}"/>
    <cellStyle name="Porcentual 2 4 3" xfId="38678" xr:uid="{00000000-0005-0000-0000-000016970000}"/>
    <cellStyle name="Porcentual 2 4 4" xfId="38679" xr:uid="{00000000-0005-0000-0000-000017970000}"/>
    <cellStyle name="Porcentual 2 5" xfId="38680" xr:uid="{00000000-0005-0000-0000-000018970000}"/>
    <cellStyle name="Porcentual 2 5 2" xfId="38681" xr:uid="{00000000-0005-0000-0000-000019970000}"/>
    <cellStyle name="Porcentual 2 5 2 2" xfId="38682" xr:uid="{00000000-0005-0000-0000-00001A970000}"/>
    <cellStyle name="Porcentual 2 5 2 3" xfId="38683" xr:uid="{00000000-0005-0000-0000-00001B970000}"/>
    <cellStyle name="Porcentual 2 5 3" xfId="38684" xr:uid="{00000000-0005-0000-0000-00001C970000}"/>
    <cellStyle name="Porcentual 2 5 4" xfId="38685" xr:uid="{00000000-0005-0000-0000-00001D970000}"/>
    <cellStyle name="Salida 10" xfId="38686" xr:uid="{00000000-0005-0000-0000-00001E970000}"/>
    <cellStyle name="Salida 11" xfId="38687" xr:uid="{00000000-0005-0000-0000-00001F970000}"/>
    <cellStyle name="Salida 2" xfId="38688" xr:uid="{00000000-0005-0000-0000-000020970000}"/>
    <cellStyle name="Salida 2 2" xfId="38689" xr:uid="{00000000-0005-0000-0000-000021970000}"/>
    <cellStyle name="Salida 2 2 2" xfId="38690" xr:uid="{00000000-0005-0000-0000-000022970000}"/>
    <cellStyle name="Salida 2 2 3" xfId="38691" xr:uid="{00000000-0005-0000-0000-000023970000}"/>
    <cellStyle name="Salida 2 2 4" xfId="38692" xr:uid="{00000000-0005-0000-0000-000024970000}"/>
    <cellStyle name="Salida 2 3" xfId="38693" xr:uid="{00000000-0005-0000-0000-000025970000}"/>
    <cellStyle name="Salida 2 4" xfId="38694" xr:uid="{00000000-0005-0000-0000-000026970000}"/>
    <cellStyle name="Salida 3" xfId="38695" xr:uid="{00000000-0005-0000-0000-000027970000}"/>
    <cellStyle name="Salida 3 2" xfId="38696" xr:uid="{00000000-0005-0000-0000-000028970000}"/>
    <cellStyle name="Salida 3 2 2" xfId="38697" xr:uid="{00000000-0005-0000-0000-000029970000}"/>
    <cellStyle name="Salida 3 2 3" xfId="38698" xr:uid="{00000000-0005-0000-0000-00002A970000}"/>
    <cellStyle name="Salida 3 3" xfId="38699" xr:uid="{00000000-0005-0000-0000-00002B970000}"/>
    <cellStyle name="Salida 3 4" xfId="38700" xr:uid="{00000000-0005-0000-0000-00002C970000}"/>
    <cellStyle name="Salida 4" xfId="38701" xr:uid="{00000000-0005-0000-0000-00002D970000}"/>
    <cellStyle name="Salida 4 2" xfId="38702" xr:uid="{00000000-0005-0000-0000-00002E970000}"/>
    <cellStyle name="Salida 4 2 2" xfId="38703" xr:uid="{00000000-0005-0000-0000-00002F970000}"/>
    <cellStyle name="Salida 4 2 3" xfId="38704" xr:uid="{00000000-0005-0000-0000-000030970000}"/>
    <cellStyle name="Salida 4 3" xfId="38705" xr:uid="{00000000-0005-0000-0000-000031970000}"/>
    <cellStyle name="Salida 4 4" xfId="38706" xr:uid="{00000000-0005-0000-0000-000032970000}"/>
    <cellStyle name="Salida 5" xfId="38707" xr:uid="{00000000-0005-0000-0000-000033970000}"/>
    <cellStyle name="Salida 5 2" xfId="38708" xr:uid="{00000000-0005-0000-0000-000034970000}"/>
    <cellStyle name="Salida 5 2 2" xfId="38709" xr:uid="{00000000-0005-0000-0000-000035970000}"/>
    <cellStyle name="Salida 5 2 3" xfId="38710" xr:uid="{00000000-0005-0000-0000-000036970000}"/>
    <cellStyle name="Salida 5 3" xfId="38711" xr:uid="{00000000-0005-0000-0000-000037970000}"/>
    <cellStyle name="Salida 5 4" xfId="38712" xr:uid="{00000000-0005-0000-0000-000038970000}"/>
    <cellStyle name="Salida 6" xfId="38713" xr:uid="{00000000-0005-0000-0000-000039970000}"/>
    <cellStyle name="Salida 6 2" xfId="38714" xr:uid="{00000000-0005-0000-0000-00003A970000}"/>
    <cellStyle name="Salida 6 2 2" xfId="38715" xr:uid="{00000000-0005-0000-0000-00003B970000}"/>
    <cellStyle name="Salida 6 2 3" xfId="38716" xr:uid="{00000000-0005-0000-0000-00003C970000}"/>
    <cellStyle name="Salida 6 3" xfId="38717" xr:uid="{00000000-0005-0000-0000-00003D970000}"/>
    <cellStyle name="Salida 6 4" xfId="38718" xr:uid="{00000000-0005-0000-0000-00003E970000}"/>
    <cellStyle name="Salida 7" xfId="38719" xr:uid="{00000000-0005-0000-0000-00003F970000}"/>
    <cellStyle name="Salida 7 2" xfId="38720" xr:uid="{00000000-0005-0000-0000-000040970000}"/>
    <cellStyle name="Salida 7 2 2" xfId="38721" xr:uid="{00000000-0005-0000-0000-000041970000}"/>
    <cellStyle name="Salida 7 2 3" xfId="38722" xr:uid="{00000000-0005-0000-0000-000042970000}"/>
    <cellStyle name="Salida 7 3" xfId="38723" xr:uid="{00000000-0005-0000-0000-000043970000}"/>
    <cellStyle name="Salida 7 4" xfId="38724" xr:uid="{00000000-0005-0000-0000-000044970000}"/>
    <cellStyle name="Salida 8" xfId="38725" xr:uid="{00000000-0005-0000-0000-000045970000}"/>
    <cellStyle name="Salida 8 2" xfId="38726" xr:uid="{00000000-0005-0000-0000-000046970000}"/>
    <cellStyle name="Salida 8 2 2" xfId="38727" xr:uid="{00000000-0005-0000-0000-000047970000}"/>
    <cellStyle name="Salida 8 2 3" xfId="38728" xr:uid="{00000000-0005-0000-0000-000048970000}"/>
    <cellStyle name="Salida 8 3" xfId="38729" xr:uid="{00000000-0005-0000-0000-000049970000}"/>
    <cellStyle name="Salida 8 4" xfId="38730" xr:uid="{00000000-0005-0000-0000-00004A970000}"/>
    <cellStyle name="Salida 9" xfId="38731" xr:uid="{00000000-0005-0000-0000-00004B970000}"/>
    <cellStyle name="Salida 9 2" xfId="38732" xr:uid="{00000000-0005-0000-0000-00004C970000}"/>
    <cellStyle name="Salida 9 3" xfId="38733" xr:uid="{00000000-0005-0000-0000-00004D970000}"/>
    <cellStyle name="TableStyleLight1" xfId="38734" xr:uid="{00000000-0005-0000-0000-00004E970000}"/>
    <cellStyle name="TableStyleLight1 2" xfId="38735" xr:uid="{00000000-0005-0000-0000-00004F970000}"/>
    <cellStyle name="TableStyleLight1 2 2" xfId="38736" xr:uid="{00000000-0005-0000-0000-000050970000}"/>
    <cellStyle name="TableStyleLight1 2 3" xfId="38737" xr:uid="{00000000-0005-0000-0000-000051970000}"/>
    <cellStyle name="TableStyleLight1 3" xfId="38738" xr:uid="{00000000-0005-0000-0000-000052970000}"/>
    <cellStyle name="TableStyleLight1 4" xfId="38739" xr:uid="{00000000-0005-0000-0000-000053970000}"/>
    <cellStyle name="Texto de advertencia 10" xfId="38740" xr:uid="{00000000-0005-0000-0000-000054970000}"/>
    <cellStyle name="Texto de advertencia 10 2" xfId="38741" xr:uid="{00000000-0005-0000-0000-000055970000}"/>
    <cellStyle name="Texto de advertencia 10 3" xfId="38742" xr:uid="{00000000-0005-0000-0000-000056970000}"/>
    <cellStyle name="Texto de advertencia 11" xfId="38743" xr:uid="{00000000-0005-0000-0000-000057970000}"/>
    <cellStyle name="Texto de advertencia 12" xfId="38744" xr:uid="{00000000-0005-0000-0000-000058970000}"/>
    <cellStyle name="Texto de advertencia 2" xfId="38745" xr:uid="{00000000-0005-0000-0000-000059970000}"/>
    <cellStyle name="Texto de advertencia 2 2" xfId="38746" xr:uid="{00000000-0005-0000-0000-00005A970000}"/>
    <cellStyle name="Texto de advertencia 2 2 2" xfId="38747" xr:uid="{00000000-0005-0000-0000-00005B970000}"/>
    <cellStyle name="Texto de advertencia 2 2 2 2" xfId="38748" xr:uid="{00000000-0005-0000-0000-00005C970000}"/>
    <cellStyle name="Texto de advertencia 2 2 2 2 2" xfId="38749" xr:uid="{00000000-0005-0000-0000-00005D970000}"/>
    <cellStyle name="Texto de advertencia 2 2 2 2 2 2" xfId="38750" xr:uid="{00000000-0005-0000-0000-00005E970000}"/>
    <cellStyle name="Texto de advertencia 2 2 2 2 2 2 2" xfId="38751" xr:uid="{00000000-0005-0000-0000-00005F970000}"/>
    <cellStyle name="Texto de advertencia 2 2 2 2 2 2 3" xfId="38752" xr:uid="{00000000-0005-0000-0000-000060970000}"/>
    <cellStyle name="Texto de advertencia 2 2 2 2 2 3" xfId="38753" xr:uid="{00000000-0005-0000-0000-000061970000}"/>
    <cellStyle name="Texto de advertencia 2 2 2 2 2 4" xfId="38754" xr:uid="{00000000-0005-0000-0000-000062970000}"/>
    <cellStyle name="Texto de advertencia 2 2 2 2 3" xfId="38755" xr:uid="{00000000-0005-0000-0000-000063970000}"/>
    <cellStyle name="Texto de advertencia 2 2 2 2 3 2" xfId="38756" xr:uid="{00000000-0005-0000-0000-000064970000}"/>
    <cellStyle name="Texto de advertencia 2 2 2 2 3 3" xfId="38757" xr:uid="{00000000-0005-0000-0000-000065970000}"/>
    <cellStyle name="Texto de advertencia 2 2 2 2 4" xfId="38758" xr:uid="{00000000-0005-0000-0000-000066970000}"/>
    <cellStyle name="Texto de advertencia 2 2 2 2 5" xfId="38759" xr:uid="{00000000-0005-0000-0000-000067970000}"/>
    <cellStyle name="Texto de advertencia 2 2 2 3" xfId="38760" xr:uid="{00000000-0005-0000-0000-000068970000}"/>
    <cellStyle name="Texto de advertencia 2 2 2 3 2" xfId="38761" xr:uid="{00000000-0005-0000-0000-000069970000}"/>
    <cellStyle name="Texto de advertencia 2 2 2 3 3" xfId="38762" xr:uid="{00000000-0005-0000-0000-00006A970000}"/>
    <cellStyle name="Texto de advertencia 2 2 2 4" xfId="38763" xr:uid="{00000000-0005-0000-0000-00006B970000}"/>
    <cellStyle name="Texto de advertencia 2 2 2 5" xfId="38764" xr:uid="{00000000-0005-0000-0000-00006C970000}"/>
    <cellStyle name="Texto de advertencia 2 2 3" xfId="38765" xr:uid="{00000000-0005-0000-0000-00006D970000}"/>
    <cellStyle name="Texto de advertencia 2 2 3 2" xfId="38766" xr:uid="{00000000-0005-0000-0000-00006E970000}"/>
    <cellStyle name="Texto de advertencia 2 2 3 2 2" xfId="38767" xr:uid="{00000000-0005-0000-0000-00006F970000}"/>
    <cellStyle name="Texto de advertencia 2 2 3 2 3" xfId="38768" xr:uid="{00000000-0005-0000-0000-000070970000}"/>
    <cellStyle name="Texto de advertencia 2 2 3 3" xfId="38769" xr:uid="{00000000-0005-0000-0000-000071970000}"/>
    <cellStyle name="Texto de advertencia 2 2 3 4" xfId="38770" xr:uid="{00000000-0005-0000-0000-000072970000}"/>
    <cellStyle name="Texto de advertencia 2 2 4" xfId="38771" xr:uid="{00000000-0005-0000-0000-000073970000}"/>
    <cellStyle name="Texto de advertencia 2 2 4 2" xfId="38772" xr:uid="{00000000-0005-0000-0000-000074970000}"/>
    <cellStyle name="Texto de advertencia 2 2 4 2 2" xfId="38773" xr:uid="{00000000-0005-0000-0000-000075970000}"/>
    <cellStyle name="Texto de advertencia 2 2 4 2 3" xfId="38774" xr:uid="{00000000-0005-0000-0000-000076970000}"/>
    <cellStyle name="Texto de advertencia 2 2 4 3" xfId="38775" xr:uid="{00000000-0005-0000-0000-000077970000}"/>
    <cellStyle name="Texto de advertencia 2 2 4 4" xfId="38776" xr:uid="{00000000-0005-0000-0000-000078970000}"/>
    <cellStyle name="Texto de advertencia 2 2 5" xfId="38777" xr:uid="{00000000-0005-0000-0000-000079970000}"/>
    <cellStyle name="Texto de advertencia 2 2 5 2" xfId="38778" xr:uid="{00000000-0005-0000-0000-00007A970000}"/>
    <cellStyle name="Texto de advertencia 2 2 5 3" xfId="38779" xr:uid="{00000000-0005-0000-0000-00007B970000}"/>
    <cellStyle name="Texto de advertencia 2 2 6" xfId="38780" xr:uid="{00000000-0005-0000-0000-00007C970000}"/>
    <cellStyle name="Texto de advertencia 2 2 7" xfId="38781" xr:uid="{00000000-0005-0000-0000-00007D970000}"/>
    <cellStyle name="Texto de advertencia 2 3" xfId="38782" xr:uid="{00000000-0005-0000-0000-00007E970000}"/>
    <cellStyle name="Texto de advertencia 2 3 2" xfId="38783" xr:uid="{00000000-0005-0000-0000-00007F970000}"/>
    <cellStyle name="Texto de advertencia 2 3 2 2" xfId="38784" xr:uid="{00000000-0005-0000-0000-000080970000}"/>
    <cellStyle name="Texto de advertencia 2 3 2 3" xfId="38785" xr:uid="{00000000-0005-0000-0000-000081970000}"/>
    <cellStyle name="Texto de advertencia 2 3 3" xfId="38786" xr:uid="{00000000-0005-0000-0000-000082970000}"/>
    <cellStyle name="Texto de advertencia 2 3 4" xfId="38787" xr:uid="{00000000-0005-0000-0000-000083970000}"/>
    <cellStyle name="Texto de advertencia 2 4" xfId="38788" xr:uid="{00000000-0005-0000-0000-000084970000}"/>
    <cellStyle name="Texto de advertencia 2 4 2" xfId="38789" xr:uid="{00000000-0005-0000-0000-000085970000}"/>
    <cellStyle name="Texto de advertencia 2 4 2 2" xfId="38790" xr:uid="{00000000-0005-0000-0000-000086970000}"/>
    <cellStyle name="Texto de advertencia 2 4 2 3" xfId="38791" xr:uid="{00000000-0005-0000-0000-000087970000}"/>
    <cellStyle name="Texto de advertencia 2 4 3" xfId="38792" xr:uid="{00000000-0005-0000-0000-000088970000}"/>
    <cellStyle name="Texto de advertencia 2 4 4" xfId="38793" xr:uid="{00000000-0005-0000-0000-000089970000}"/>
    <cellStyle name="Texto de advertencia 2 5" xfId="38794" xr:uid="{00000000-0005-0000-0000-00008A970000}"/>
    <cellStyle name="Texto de advertencia 2 5 2" xfId="38795" xr:uid="{00000000-0005-0000-0000-00008B970000}"/>
    <cellStyle name="Texto de advertencia 2 5 3" xfId="38796" xr:uid="{00000000-0005-0000-0000-00008C970000}"/>
    <cellStyle name="Texto de advertencia 2 6" xfId="38797" xr:uid="{00000000-0005-0000-0000-00008D970000}"/>
    <cellStyle name="Texto de advertencia 2 7" xfId="38798" xr:uid="{00000000-0005-0000-0000-00008E970000}"/>
    <cellStyle name="Texto de advertencia 3" xfId="38799" xr:uid="{00000000-0005-0000-0000-00008F970000}"/>
    <cellStyle name="Texto de advertencia 3 2" xfId="38800" xr:uid="{00000000-0005-0000-0000-000090970000}"/>
    <cellStyle name="Texto de advertencia 3 2 2" xfId="38801" xr:uid="{00000000-0005-0000-0000-000091970000}"/>
    <cellStyle name="Texto de advertencia 3 2 3" xfId="38802" xr:uid="{00000000-0005-0000-0000-000092970000}"/>
    <cellStyle name="Texto de advertencia 3 3" xfId="38803" xr:uid="{00000000-0005-0000-0000-000093970000}"/>
    <cellStyle name="Texto de advertencia 3 4" xfId="38804" xr:uid="{00000000-0005-0000-0000-000094970000}"/>
    <cellStyle name="Texto de advertencia 4" xfId="38805" xr:uid="{00000000-0005-0000-0000-000095970000}"/>
    <cellStyle name="Texto de advertencia 4 2" xfId="38806" xr:uid="{00000000-0005-0000-0000-000096970000}"/>
    <cellStyle name="Texto de advertencia 4 2 2" xfId="38807" xr:uid="{00000000-0005-0000-0000-000097970000}"/>
    <cellStyle name="Texto de advertencia 4 2 3" xfId="38808" xr:uid="{00000000-0005-0000-0000-000098970000}"/>
    <cellStyle name="Texto de advertencia 4 3" xfId="38809" xr:uid="{00000000-0005-0000-0000-000099970000}"/>
    <cellStyle name="Texto de advertencia 4 4" xfId="38810" xr:uid="{00000000-0005-0000-0000-00009A970000}"/>
    <cellStyle name="Texto de advertencia 5" xfId="38811" xr:uid="{00000000-0005-0000-0000-00009B970000}"/>
    <cellStyle name="Texto de advertencia 5 2" xfId="38812" xr:uid="{00000000-0005-0000-0000-00009C970000}"/>
    <cellStyle name="Texto de advertencia 5 2 2" xfId="38813" xr:uid="{00000000-0005-0000-0000-00009D970000}"/>
    <cellStyle name="Texto de advertencia 5 2 3" xfId="38814" xr:uid="{00000000-0005-0000-0000-00009E970000}"/>
    <cellStyle name="Texto de advertencia 5 3" xfId="38815" xr:uid="{00000000-0005-0000-0000-00009F970000}"/>
    <cellStyle name="Texto de advertencia 5 4" xfId="38816" xr:uid="{00000000-0005-0000-0000-0000A0970000}"/>
    <cellStyle name="Texto de advertencia 6" xfId="38817" xr:uid="{00000000-0005-0000-0000-0000A1970000}"/>
    <cellStyle name="Texto de advertencia 6 2" xfId="38818" xr:uid="{00000000-0005-0000-0000-0000A2970000}"/>
    <cellStyle name="Texto de advertencia 6 2 2" xfId="38819" xr:uid="{00000000-0005-0000-0000-0000A3970000}"/>
    <cellStyle name="Texto de advertencia 6 2 3" xfId="38820" xr:uid="{00000000-0005-0000-0000-0000A4970000}"/>
    <cellStyle name="Texto de advertencia 6 3" xfId="38821" xr:uid="{00000000-0005-0000-0000-0000A5970000}"/>
    <cellStyle name="Texto de advertencia 6 4" xfId="38822" xr:uid="{00000000-0005-0000-0000-0000A6970000}"/>
    <cellStyle name="Texto de advertencia 7" xfId="38823" xr:uid="{00000000-0005-0000-0000-0000A7970000}"/>
    <cellStyle name="Texto de advertencia 7 2" xfId="38824" xr:uid="{00000000-0005-0000-0000-0000A8970000}"/>
    <cellStyle name="Texto de advertencia 7 2 2" xfId="38825" xr:uid="{00000000-0005-0000-0000-0000A9970000}"/>
    <cellStyle name="Texto de advertencia 7 2 3" xfId="38826" xr:uid="{00000000-0005-0000-0000-0000AA970000}"/>
    <cellStyle name="Texto de advertencia 7 3" xfId="38827" xr:uid="{00000000-0005-0000-0000-0000AB970000}"/>
    <cellStyle name="Texto de advertencia 7 4" xfId="38828" xr:uid="{00000000-0005-0000-0000-0000AC970000}"/>
    <cellStyle name="Texto de advertencia 8" xfId="38829" xr:uid="{00000000-0005-0000-0000-0000AD970000}"/>
    <cellStyle name="Texto de advertencia 8 2" xfId="38830" xr:uid="{00000000-0005-0000-0000-0000AE970000}"/>
    <cellStyle name="Texto de advertencia 8 2 2" xfId="38831" xr:uid="{00000000-0005-0000-0000-0000AF970000}"/>
    <cellStyle name="Texto de advertencia 8 2 3" xfId="38832" xr:uid="{00000000-0005-0000-0000-0000B0970000}"/>
    <cellStyle name="Texto de advertencia 8 3" xfId="38833" xr:uid="{00000000-0005-0000-0000-0000B1970000}"/>
    <cellStyle name="Texto de advertencia 8 4" xfId="38834" xr:uid="{00000000-0005-0000-0000-0000B2970000}"/>
    <cellStyle name="Texto de advertencia 9" xfId="38835" xr:uid="{00000000-0005-0000-0000-0000B3970000}"/>
    <cellStyle name="Texto de advertencia 9 2" xfId="38836" xr:uid="{00000000-0005-0000-0000-0000B4970000}"/>
    <cellStyle name="Texto de advertencia 9 2 2" xfId="38837" xr:uid="{00000000-0005-0000-0000-0000B5970000}"/>
    <cellStyle name="Texto de advertencia 9 2 3" xfId="38838" xr:uid="{00000000-0005-0000-0000-0000B6970000}"/>
    <cellStyle name="Texto de advertencia 9 3" xfId="38839" xr:uid="{00000000-0005-0000-0000-0000B7970000}"/>
    <cellStyle name="Texto de advertencia 9 4" xfId="38840" xr:uid="{00000000-0005-0000-0000-0000B8970000}"/>
    <cellStyle name="Texto explicativo 10" xfId="38841" xr:uid="{00000000-0005-0000-0000-0000B9970000}"/>
    <cellStyle name="Texto explicativo 11" xfId="38842" xr:uid="{00000000-0005-0000-0000-0000BA970000}"/>
    <cellStyle name="Texto explicativo 2" xfId="38843" xr:uid="{00000000-0005-0000-0000-0000BB970000}"/>
    <cellStyle name="Texto explicativo 2 2" xfId="38844" xr:uid="{00000000-0005-0000-0000-0000BC970000}"/>
    <cellStyle name="Texto explicativo 2 2 2" xfId="38845" xr:uid="{00000000-0005-0000-0000-0000BD970000}"/>
    <cellStyle name="Texto explicativo 2 2 3" xfId="38846" xr:uid="{00000000-0005-0000-0000-0000BE970000}"/>
    <cellStyle name="Texto explicativo 2 2 4" xfId="38847" xr:uid="{00000000-0005-0000-0000-0000BF970000}"/>
    <cellStyle name="Texto explicativo 2 3" xfId="38848" xr:uid="{00000000-0005-0000-0000-0000C0970000}"/>
    <cellStyle name="Texto explicativo 2 4" xfId="38849" xr:uid="{00000000-0005-0000-0000-0000C1970000}"/>
    <cellStyle name="Texto explicativo 3" xfId="38850" xr:uid="{00000000-0005-0000-0000-0000C2970000}"/>
    <cellStyle name="Texto explicativo 3 2" xfId="38851" xr:uid="{00000000-0005-0000-0000-0000C3970000}"/>
    <cellStyle name="Texto explicativo 3 2 2" xfId="38852" xr:uid="{00000000-0005-0000-0000-0000C4970000}"/>
    <cellStyle name="Texto explicativo 3 2 3" xfId="38853" xr:uid="{00000000-0005-0000-0000-0000C5970000}"/>
    <cellStyle name="Texto explicativo 3 3" xfId="38854" xr:uid="{00000000-0005-0000-0000-0000C6970000}"/>
    <cellStyle name="Texto explicativo 3 4" xfId="38855" xr:uid="{00000000-0005-0000-0000-0000C7970000}"/>
    <cellStyle name="Texto explicativo 4" xfId="38856" xr:uid="{00000000-0005-0000-0000-0000C8970000}"/>
    <cellStyle name="Texto explicativo 4 2" xfId="38857" xr:uid="{00000000-0005-0000-0000-0000C9970000}"/>
    <cellStyle name="Texto explicativo 4 2 2" xfId="38858" xr:uid="{00000000-0005-0000-0000-0000CA970000}"/>
    <cellStyle name="Texto explicativo 4 2 3" xfId="38859" xr:uid="{00000000-0005-0000-0000-0000CB970000}"/>
    <cellStyle name="Texto explicativo 4 3" xfId="38860" xr:uid="{00000000-0005-0000-0000-0000CC970000}"/>
    <cellStyle name="Texto explicativo 4 4" xfId="38861" xr:uid="{00000000-0005-0000-0000-0000CD970000}"/>
    <cellStyle name="Texto explicativo 5" xfId="38862" xr:uid="{00000000-0005-0000-0000-0000CE970000}"/>
    <cellStyle name="Texto explicativo 5 2" xfId="38863" xr:uid="{00000000-0005-0000-0000-0000CF970000}"/>
    <cellStyle name="Texto explicativo 5 2 2" xfId="38864" xr:uid="{00000000-0005-0000-0000-0000D0970000}"/>
    <cellStyle name="Texto explicativo 5 2 3" xfId="38865" xr:uid="{00000000-0005-0000-0000-0000D1970000}"/>
    <cellStyle name="Texto explicativo 5 3" xfId="38866" xr:uid="{00000000-0005-0000-0000-0000D2970000}"/>
    <cellStyle name="Texto explicativo 5 4" xfId="38867" xr:uid="{00000000-0005-0000-0000-0000D3970000}"/>
    <cellStyle name="Texto explicativo 6" xfId="38868" xr:uid="{00000000-0005-0000-0000-0000D4970000}"/>
    <cellStyle name="Texto explicativo 6 2" xfId="38869" xr:uid="{00000000-0005-0000-0000-0000D5970000}"/>
    <cellStyle name="Texto explicativo 6 2 2" xfId="38870" xr:uid="{00000000-0005-0000-0000-0000D6970000}"/>
    <cellStyle name="Texto explicativo 6 2 3" xfId="38871" xr:uid="{00000000-0005-0000-0000-0000D7970000}"/>
    <cellStyle name="Texto explicativo 6 3" xfId="38872" xr:uid="{00000000-0005-0000-0000-0000D8970000}"/>
    <cellStyle name="Texto explicativo 6 4" xfId="38873" xr:uid="{00000000-0005-0000-0000-0000D9970000}"/>
    <cellStyle name="Texto explicativo 7" xfId="38874" xr:uid="{00000000-0005-0000-0000-0000DA970000}"/>
    <cellStyle name="Texto explicativo 7 2" xfId="38875" xr:uid="{00000000-0005-0000-0000-0000DB970000}"/>
    <cellStyle name="Texto explicativo 7 2 2" xfId="38876" xr:uid="{00000000-0005-0000-0000-0000DC970000}"/>
    <cellStyle name="Texto explicativo 7 2 3" xfId="38877" xr:uid="{00000000-0005-0000-0000-0000DD970000}"/>
    <cellStyle name="Texto explicativo 7 3" xfId="38878" xr:uid="{00000000-0005-0000-0000-0000DE970000}"/>
    <cellStyle name="Texto explicativo 7 4" xfId="38879" xr:uid="{00000000-0005-0000-0000-0000DF970000}"/>
    <cellStyle name="Texto explicativo 8" xfId="38880" xr:uid="{00000000-0005-0000-0000-0000E0970000}"/>
    <cellStyle name="Texto explicativo 8 2" xfId="38881" xr:uid="{00000000-0005-0000-0000-0000E1970000}"/>
    <cellStyle name="Texto explicativo 8 2 2" xfId="38882" xr:uid="{00000000-0005-0000-0000-0000E2970000}"/>
    <cellStyle name="Texto explicativo 8 2 3" xfId="38883" xr:uid="{00000000-0005-0000-0000-0000E3970000}"/>
    <cellStyle name="Texto explicativo 8 3" xfId="38884" xr:uid="{00000000-0005-0000-0000-0000E4970000}"/>
    <cellStyle name="Texto explicativo 8 4" xfId="38885" xr:uid="{00000000-0005-0000-0000-0000E5970000}"/>
    <cellStyle name="Texto explicativo 9" xfId="38886" xr:uid="{00000000-0005-0000-0000-0000E6970000}"/>
    <cellStyle name="Texto explicativo 9 2" xfId="38887" xr:uid="{00000000-0005-0000-0000-0000E7970000}"/>
    <cellStyle name="Texto explicativo 9 3" xfId="38888" xr:uid="{00000000-0005-0000-0000-0000E8970000}"/>
    <cellStyle name="Title" xfId="38889" xr:uid="{00000000-0005-0000-0000-0000E9970000}"/>
    <cellStyle name="Title 2" xfId="38890" xr:uid="{00000000-0005-0000-0000-0000EA970000}"/>
    <cellStyle name="Title 2 2" xfId="38891" xr:uid="{00000000-0005-0000-0000-0000EB970000}"/>
    <cellStyle name="Title 2 2 2" xfId="38892" xr:uid="{00000000-0005-0000-0000-0000EC970000}"/>
    <cellStyle name="Title 2 2 3" xfId="38893" xr:uid="{00000000-0005-0000-0000-0000ED970000}"/>
    <cellStyle name="Title 2 3" xfId="38894" xr:uid="{00000000-0005-0000-0000-0000EE970000}"/>
    <cellStyle name="Title 2 4" xfId="38895" xr:uid="{00000000-0005-0000-0000-0000EF970000}"/>
    <cellStyle name="Title 3" xfId="38896" xr:uid="{00000000-0005-0000-0000-0000F0970000}"/>
    <cellStyle name="Title 3 2" xfId="38897" xr:uid="{00000000-0005-0000-0000-0000F1970000}"/>
    <cellStyle name="Title 3 2 2" xfId="38898" xr:uid="{00000000-0005-0000-0000-0000F2970000}"/>
    <cellStyle name="Title 3 2 3" xfId="38899" xr:uid="{00000000-0005-0000-0000-0000F3970000}"/>
    <cellStyle name="Title 3 3" xfId="38900" xr:uid="{00000000-0005-0000-0000-0000F4970000}"/>
    <cellStyle name="Title 3 4" xfId="38901" xr:uid="{00000000-0005-0000-0000-0000F5970000}"/>
    <cellStyle name="Title 4" xfId="38902" xr:uid="{00000000-0005-0000-0000-0000F6970000}"/>
    <cellStyle name="Title 4 2" xfId="38903" xr:uid="{00000000-0005-0000-0000-0000F7970000}"/>
    <cellStyle name="Title 4 2 2" xfId="38904" xr:uid="{00000000-0005-0000-0000-0000F8970000}"/>
    <cellStyle name="Title 4 2 3" xfId="38905" xr:uid="{00000000-0005-0000-0000-0000F9970000}"/>
    <cellStyle name="Title 4 3" xfId="38906" xr:uid="{00000000-0005-0000-0000-0000FA970000}"/>
    <cellStyle name="Title 4 4" xfId="38907" xr:uid="{00000000-0005-0000-0000-0000FB970000}"/>
    <cellStyle name="Title 5" xfId="38908" xr:uid="{00000000-0005-0000-0000-0000FC970000}"/>
    <cellStyle name="Title 5 2" xfId="38909" xr:uid="{00000000-0005-0000-0000-0000FD970000}"/>
    <cellStyle name="Title 5 2 2" xfId="38910" xr:uid="{00000000-0005-0000-0000-0000FE970000}"/>
    <cellStyle name="Title 5 2 3" xfId="38911" xr:uid="{00000000-0005-0000-0000-0000FF970000}"/>
    <cellStyle name="Title 5 3" xfId="38912" xr:uid="{00000000-0005-0000-0000-000000980000}"/>
    <cellStyle name="Title 5 4" xfId="38913" xr:uid="{00000000-0005-0000-0000-000001980000}"/>
    <cellStyle name="Title 6" xfId="38914" xr:uid="{00000000-0005-0000-0000-000002980000}"/>
    <cellStyle name="Title 6 2" xfId="38915" xr:uid="{00000000-0005-0000-0000-000003980000}"/>
    <cellStyle name="Title 6 3" xfId="38916" xr:uid="{00000000-0005-0000-0000-000004980000}"/>
    <cellStyle name="Title 7" xfId="38917" xr:uid="{00000000-0005-0000-0000-000005980000}"/>
    <cellStyle name="Title 8" xfId="38918" xr:uid="{00000000-0005-0000-0000-000006980000}"/>
    <cellStyle name="Título 1 10" xfId="38919" xr:uid="{00000000-0005-0000-0000-000007980000}"/>
    <cellStyle name="Título 1 11" xfId="38920" xr:uid="{00000000-0005-0000-0000-000008980000}"/>
    <cellStyle name="Título 1 2" xfId="38921" xr:uid="{00000000-0005-0000-0000-000009980000}"/>
    <cellStyle name="Título 1 2 2" xfId="38922" xr:uid="{00000000-0005-0000-0000-00000A980000}"/>
    <cellStyle name="Título 1 2 2 2" xfId="38923" xr:uid="{00000000-0005-0000-0000-00000B980000}"/>
    <cellStyle name="Título 1 2 2 3" xfId="38924" xr:uid="{00000000-0005-0000-0000-00000C980000}"/>
    <cellStyle name="Título 1 2 3" xfId="38925" xr:uid="{00000000-0005-0000-0000-00000D980000}"/>
    <cellStyle name="Título 1 2 4" xfId="38926" xr:uid="{00000000-0005-0000-0000-00000E980000}"/>
    <cellStyle name="Título 1 3" xfId="38927" xr:uid="{00000000-0005-0000-0000-00000F980000}"/>
    <cellStyle name="Título 1 3 2" xfId="38928" xr:uid="{00000000-0005-0000-0000-000010980000}"/>
    <cellStyle name="Título 1 3 2 2" xfId="38929" xr:uid="{00000000-0005-0000-0000-000011980000}"/>
    <cellStyle name="Título 1 3 2 3" xfId="38930" xr:uid="{00000000-0005-0000-0000-000012980000}"/>
    <cellStyle name="Título 1 3 3" xfId="38931" xr:uid="{00000000-0005-0000-0000-000013980000}"/>
    <cellStyle name="Título 1 3 4" xfId="38932" xr:uid="{00000000-0005-0000-0000-000014980000}"/>
    <cellStyle name="Título 1 4" xfId="38933" xr:uid="{00000000-0005-0000-0000-000015980000}"/>
    <cellStyle name="Título 1 4 2" xfId="38934" xr:uid="{00000000-0005-0000-0000-000016980000}"/>
    <cellStyle name="Título 1 4 2 2" xfId="38935" xr:uid="{00000000-0005-0000-0000-000017980000}"/>
    <cellStyle name="Título 1 4 2 3" xfId="38936" xr:uid="{00000000-0005-0000-0000-000018980000}"/>
    <cellStyle name="Título 1 4 3" xfId="38937" xr:uid="{00000000-0005-0000-0000-000019980000}"/>
    <cellStyle name="Título 1 4 4" xfId="38938" xr:uid="{00000000-0005-0000-0000-00001A980000}"/>
    <cellStyle name="Título 1 5" xfId="38939" xr:uid="{00000000-0005-0000-0000-00001B980000}"/>
    <cellStyle name="Título 1 5 2" xfId="38940" xr:uid="{00000000-0005-0000-0000-00001C980000}"/>
    <cellStyle name="Título 1 5 2 2" xfId="38941" xr:uid="{00000000-0005-0000-0000-00001D980000}"/>
    <cellStyle name="Título 1 5 2 3" xfId="38942" xr:uid="{00000000-0005-0000-0000-00001E980000}"/>
    <cellStyle name="Título 1 5 3" xfId="38943" xr:uid="{00000000-0005-0000-0000-00001F980000}"/>
    <cellStyle name="Título 1 5 4" xfId="38944" xr:uid="{00000000-0005-0000-0000-000020980000}"/>
    <cellStyle name="Título 1 6" xfId="38945" xr:uid="{00000000-0005-0000-0000-000021980000}"/>
    <cellStyle name="Título 1 6 2" xfId="38946" xr:uid="{00000000-0005-0000-0000-000022980000}"/>
    <cellStyle name="Título 1 6 2 2" xfId="38947" xr:uid="{00000000-0005-0000-0000-000023980000}"/>
    <cellStyle name="Título 1 6 2 3" xfId="38948" xr:uid="{00000000-0005-0000-0000-000024980000}"/>
    <cellStyle name="Título 1 6 3" xfId="38949" xr:uid="{00000000-0005-0000-0000-000025980000}"/>
    <cellStyle name="Título 1 6 4" xfId="38950" xr:uid="{00000000-0005-0000-0000-000026980000}"/>
    <cellStyle name="Título 1 7" xfId="38951" xr:uid="{00000000-0005-0000-0000-000027980000}"/>
    <cellStyle name="Título 1 7 2" xfId="38952" xr:uid="{00000000-0005-0000-0000-000028980000}"/>
    <cellStyle name="Título 1 7 2 2" xfId="38953" xr:uid="{00000000-0005-0000-0000-000029980000}"/>
    <cellStyle name="Título 1 7 2 3" xfId="38954" xr:uid="{00000000-0005-0000-0000-00002A980000}"/>
    <cellStyle name="Título 1 7 3" xfId="38955" xr:uid="{00000000-0005-0000-0000-00002B980000}"/>
    <cellStyle name="Título 1 7 4" xfId="38956" xr:uid="{00000000-0005-0000-0000-00002C980000}"/>
    <cellStyle name="Título 1 8" xfId="38957" xr:uid="{00000000-0005-0000-0000-00002D980000}"/>
    <cellStyle name="Título 1 8 2" xfId="38958" xr:uid="{00000000-0005-0000-0000-00002E980000}"/>
    <cellStyle name="Título 1 8 2 2" xfId="38959" xr:uid="{00000000-0005-0000-0000-00002F980000}"/>
    <cellStyle name="Título 1 8 2 3" xfId="38960" xr:uid="{00000000-0005-0000-0000-000030980000}"/>
    <cellStyle name="Título 1 8 3" xfId="38961" xr:uid="{00000000-0005-0000-0000-000031980000}"/>
    <cellStyle name="Título 1 8 4" xfId="38962" xr:uid="{00000000-0005-0000-0000-000032980000}"/>
    <cellStyle name="Título 1 9" xfId="38963" xr:uid="{00000000-0005-0000-0000-000033980000}"/>
    <cellStyle name="Título 1 9 2" xfId="38964" xr:uid="{00000000-0005-0000-0000-000034980000}"/>
    <cellStyle name="Título 1 9 3" xfId="38965" xr:uid="{00000000-0005-0000-0000-000035980000}"/>
    <cellStyle name="Título 10" xfId="38966" xr:uid="{00000000-0005-0000-0000-000036980000}"/>
    <cellStyle name="Título 10 2" xfId="38967" xr:uid="{00000000-0005-0000-0000-000037980000}"/>
    <cellStyle name="Título 10 2 2" xfId="38968" xr:uid="{00000000-0005-0000-0000-000038980000}"/>
    <cellStyle name="Título 10 2 3" xfId="38969" xr:uid="{00000000-0005-0000-0000-000039980000}"/>
    <cellStyle name="Título 10 3" xfId="38970" xr:uid="{00000000-0005-0000-0000-00003A980000}"/>
    <cellStyle name="Título 10 4" xfId="38971" xr:uid="{00000000-0005-0000-0000-00003B980000}"/>
    <cellStyle name="Título 11" xfId="38972" xr:uid="{00000000-0005-0000-0000-00003C980000}"/>
    <cellStyle name="Título 11 2" xfId="38973" xr:uid="{00000000-0005-0000-0000-00003D980000}"/>
    <cellStyle name="Título 11 3" xfId="38974" xr:uid="{00000000-0005-0000-0000-00003E980000}"/>
    <cellStyle name="Título 12" xfId="38975" xr:uid="{00000000-0005-0000-0000-00003F980000}"/>
    <cellStyle name="Título 13" xfId="38976" xr:uid="{00000000-0005-0000-0000-000040980000}"/>
    <cellStyle name="Título 2 10" xfId="38977" xr:uid="{00000000-0005-0000-0000-000041980000}"/>
    <cellStyle name="Título 2 11" xfId="38978" xr:uid="{00000000-0005-0000-0000-000042980000}"/>
    <cellStyle name="Título 2 2" xfId="38979" xr:uid="{00000000-0005-0000-0000-000043980000}"/>
    <cellStyle name="Título 2 2 2" xfId="38980" xr:uid="{00000000-0005-0000-0000-000044980000}"/>
    <cellStyle name="Título 2 2 2 2" xfId="38981" xr:uid="{00000000-0005-0000-0000-000045980000}"/>
    <cellStyle name="Título 2 2 2 3" xfId="38982" xr:uid="{00000000-0005-0000-0000-000046980000}"/>
    <cellStyle name="Título 2 2 2 4" xfId="38983" xr:uid="{00000000-0005-0000-0000-000047980000}"/>
    <cellStyle name="Título 2 2 3" xfId="38984" xr:uid="{00000000-0005-0000-0000-000048980000}"/>
    <cellStyle name="Título 2 2 4" xfId="38985" xr:uid="{00000000-0005-0000-0000-000049980000}"/>
    <cellStyle name="Título 2 3" xfId="38986" xr:uid="{00000000-0005-0000-0000-00004A980000}"/>
    <cellStyle name="Título 2 3 2" xfId="38987" xr:uid="{00000000-0005-0000-0000-00004B980000}"/>
    <cellStyle name="Título 2 3 2 2" xfId="38988" xr:uid="{00000000-0005-0000-0000-00004C980000}"/>
    <cellStyle name="Título 2 3 2 3" xfId="38989" xr:uid="{00000000-0005-0000-0000-00004D980000}"/>
    <cellStyle name="Título 2 3 3" xfId="38990" xr:uid="{00000000-0005-0000-0000-00004E980000}"/>
    <cellStyle name="Título 2 3 4" xfId="38991" xr:uid="{00000000-0005-0000-0000-00004F980000}"/>
    <cellStyle name="Título 2 4" xfId="38992" xr:uid="{00000000-0005-0000-0000-000050980000}"/>
    <cellStyle name="Título 2 4 2" xfId="38993" xr:uid="{00000000-0005-0000-0000-000051980000}"/>
    <cellStyle name="Título 2 4 2 2" xfId="38994" xr:uid="{00000000-0005-0000-0000-000052980000}"/>
    <cellStyle name="Título 2 4 2 3" xfId="38995" xr:uid="{00000000-0005-0000-0000-000053980000}"/>
    <cellStyle name="Título 2 4 3" xfId="38996" xr:uid="{00000000-0005-0000-0000-000054980000}"/>
    <cellStyle name="Título 2 4 4" xfId="38997" xr:uid="{00000000-0005-0000-0000-000055980000}"/>
    <cellStyle name="Título 2 5" xfId="38998" xr:uid="{00000000-0005-0000-0000-000056980000}"/>
    <cellStyle name="Título 2 5 2" xfId="38999" xr:uid="{00000000-0005-0000-0000-000057980000}"/>
    <cellStyle name="Título 2 5 2 2" xfId="39000" xr:uid="{00000000-0005-0000-0000-000058980000}"/>
    <cellStyle name="Título 2 5 2 3" xfId="39001" xr:uid="{00000000-0005-0000-0000-000059980000}"/>
    <cellStyle name="Título 2 5 3" xfId="39002" xr:uid="{00000000-0005-0000-0000-00005A980000}"/>
    <cellStyle name="Título 2 5 4" xfId="39003" xr:uid="{00000000-0005-0000-0000-00005B980000}"/>
    <cellStyle name="Título 2 6" xfId="39004" xr:uid="{00000000-0005-0000-0000-00005C980000}"/>
    <cellStyle name="Título 2 6 2" xfId="39005" xr:uid="{00000000-0005-0000-0000-00005D980000}"/>
    <cellStyle name="Título 2 6 2 2" xfId="39006" xr:uid="{00000000-0005-0000-0000-00005E980000}"/>
    <cellStyle name="Título 2 6 2 3" xfId="39007" xr:uid="{00000000-0005-0000-0000-00005F980000}"/>
    <cellStyle name="Título 2 6 3" xfId="39008" xr:uid="{00000000-0005-0000-0000-000060980000}"/>
    <cellStyle name="Título 2 6 4" xfId="39009" xr:uid="{00000000-0005-0000-0000-000061980000}"/>
    <cellStyle name="Título 2 7" xfId="39010" xr:uid="{00000000-0005-0000-0000-000062980000}"/>
    <cellStyle name="Título 2 7 2" xfId="39011" xr:uid="{00000000-0005-0000-0000-000063980000}"/>
    <cellStyle name="Título 2 7 2 2" xfId="39012" xr:uid="{00000000-0005-0000-0000-000064980000}"/>
    <cellStyle name="Título 2 7 2 3" xfId="39013" xr:uid="{00000000-0005-0000-0000-000065980000}"/>
    <cellStyle name="Título 2 7 3" xfId="39014" xr:uid="{00000000-0005-0000-0000-000066980000}"/>
    <cellStyle name="Título 2 7 4" xfId="39015" xr:uid="{00000000-0005-0000-0000-000067980000}"/>
    <cellStyle name="Título 2 8" xfId="39016" xr:uid="{00000000-0005-0000-0000-000068980000}"/>
    <cellStyle name="Título 2 8 2" xfId="39017" xr:uid="{00000000-0005-0000-0000-000069980000}"/>
    <cellStyle name="Título 2 8 2 2" xfId="39018" xr:uid="{00000000-0005-0000-0000-00006A980000}"/>
    <cellStyle name="Título 2 8 2 3" xfId="39019" xr:uid="{00000000-0005-0000-0000-00006B980000}"/>
    <cellStyle name="Título 2 8 3" xfId="39020" xr:uid="{00000000-0005-0000-0000-00006C980000}"/>
    <cellStyle name="Título 2 8 4" xfId="39021" xr:uid="{00000000-0005-0000-0000-00006D980000}"/>
    <cellStyle name="Título 2 9" xfId="39022" xr:uid="{00000000-0005-0000-0000-00006E980000}"/>
    <cellStyle name="Título 2 9 2" xfId="39023" xr:uid="{00000000-0005-0000-0000-00006F980000}"/>
    <cellStyle name="Título 2 9 3" xfId="39024" xr:uid="{00000000-0005-0000-0000-000070980000}"/>
    <cellStyle name="Título 3 10" xfId="39025" xr:uid="{00000000-0005-0000-0000-000071980000}"/>
    <cellStyle name="Título 3 11" xfId="39026" xr:uid="{00000000-0005-0000-0000-000072980000}"/>
    <cellStyle name="Título 3 2" xfId="39027" xr:uid="{00000000-0005-0000-0000-000073980000}"/>
    <cellStyle name="Título 3 2 2" xfId="39028" xr:uid="{00000000-0005-0000-0000-000074980000}"/>
    <cellStyle name="Título 3 2 2 2" xfId="39029" xr:uid="{00000000-0005-0000-0000-000075980000}"/>
    <cellStyle name="Título 3 2 2 3" xfId="39030" xr:uid="{00000000-0005-0000-0000-000076980000}"/>
    <cellStyle name="Título 3 2 2 4" xfId="39031" xr:uid="{00000000-0005-0000-0000-000077980000}"/>
    <cellStyle name="Título 3 2 3" xfId="39032" xr:uid="{00000000-0005-0000-0000-000078980000}"/>
    <cellStyle name="Título 3 2 4" xfId="39033" xr:uid="{00000000-0005-0000-0000-000079980000}"/>
    <cellStyle name="Título 3 3" xfId="39034" xr:uid="{00000000-0005-0000-0000-00007A980000}"/>
    <cellStyle name="Título 3 3 2" xfId="39035" xr:uid="{00000000-0005-0000-0000-00007B980000}"/>
    <cellStyle name="Título 3 3 2 2" xfId="39036" xr:uid="{00000000-0005-0000-0000-00007C980000}"/>
    <cellStyle name="Título 3 3 2 3" xfId="39037" xr:uid="{00000000-0005-0000-0000-00007D980000}"/>
    <cellStyle name="Título 3 3 3" xfId="39038" xr:uid="{00000000-0005-0000-0000-00007E980000}"/>
    <cellStyle name="Título 3 3 4" xfId="39039" xr:uid="{00000000-0005-0000-0000-00007F980000}"/>
    <cellStyle name="Título 3 4" xfId="39040" xr:uid="{00000000-0005-0000-0000-000080980000}"/>
    <cellStyle name="Título 3 4 2" xfId="39041" xr:uid="{00000000-0005-0000-0000-000081980000}"/>
    <cellStyle name="Título 3 4 2 2" xfId="39042" xr:uid="{00000000-0005-0000-0000-000082980000}"/>
    <cellStyle name="Título 3 4 2 3" xfId="39043" xr:uid="{00000000-0005-0000-0000-000083980000}"/>
    <cellStyle name="Título 3 4 3" xfId="39044" xr:uid="{00000000-0005-0000-0000-000084980000}"/>
    <cellStyle name="Título 3 4 4" xfId="39045" xr:uid="{00000000-0005-0000-0000-000085980000}"/>
    <cellStyle name="Título 3 5" xfId="39046" xr:uid="{00000000-0005-0000-0000-000086980000}"/>
    <cellStyle name="Título 3 5 2" xfId="39047" xr:uid="{00000000-0005-0000-0000-000087980000}"/>
    <cellStyle name="Título 3 5 2 2" xfId="39048" xr:uid="{00000000-0005-0000-0000-000088980000}"/>
    <cellStyle name="Título 3 5 2 3" xfId="39049" xr:uid="{00000000-0005-0000-0000-000089980000}"/>
    <cellStyle name="Título 3 5 3" xfId="39050" xr:uid="{00000000-0005-0000-0000-00008A980000}"/>
    <cellStyle name="Título 3 5 4" xfId="39051" xr:uid="{00000000-0005-0000-0000-00008B980000}"/>
    <cellStyle name="Título 3 6" xfId="39052" xr:uid="{00000000-0005-0000-0000-00008C980000}"/>
    <cellStyle name="Título 3 6 2" xfId="39053" xr:uid="{00000000-0005-0000-0000-00008D980000}"/>
    <cellStyle name="Título 3 6 2 2" xfId="39054" xr:uid="{00000000-0005-0000-0000-00008E980000}"/>
    <cellStyle name="Título 3 6 2 3" xfId="39055" xr:uid="{00000000-0005-0000-0000-00008F980000}"/>
    <cellStyle name="Título 3 6 3" xfId="39056" xr:uid="{00000000-0005-0000-0000-000090980000}"/>
    <cellStyle name="Título 3 6 4" xfId="39057" xr:uid="{00000000-0005-0000-0000-000091980000}"/>
    <cellStyle name="Título 3 7" xfId="39058" xr:uid="{00000000-0005-0000-0000-000092980000}"/>
    <cellStyle name="Título 3 7 2" xfId="39059" xr:uid="{00000000-0005-0000-0000-000093980000}"/>
    <cellStyle name="Título 3 7 2 2" xfId="39060" xr:uid="{00000000-0005-0000-0000-000094980000}"/>
    <cellStyle name="Título 3 7 2 3" xfId="39061" xr:uid="{00000000-0005-0000-0000-000095980000}"/>
    <cellStyle name="Título 3 7 3" xfId="39062" xr:uid="{00000000-0005-0000-0000-000096980000}"/>
    <cellStyle name="Título 3 7 4" xfId="39063" xr:uid="{00000000-0005-0000-0000-000097980000}"/>
    <cellStyle name="Título 3 8" xfId="39064" xr:uid="{00000000-0005-0000-0000-000098980000}"/>
    <cellStyle name="Título 3 8 2" xfId="39065" xr:uid="{00000000-0005-0000-0000-000099980000}"/>
    <cellStyle name="Título 3 8 2 2" xfId="39066" xr:uid="{00000000-0005-0000-0000-00009A980000}"/>
    <cellStyle name="Título 3 8 2 3" xfId="39067" xr:uid="{00000000-0005-0000-0000-00009B980000}"/>
    <cellStyle name="Título 3 8 3" xfId="39068" xr:uid="{00000000-0005-0000-0000-00009C980000}"/>
    <cellStyle name="Título 3 8 4" xfId="39069" xr:uid="{00000000-0005-0000-0000-00009D980000}"/>
    <cellStyle name="Título 3 9" xfId="39070" xr:uid="{00000000-0005-0000-0000-00009E980000}"/>
    <cellStyle name="Título 3 9 2" xfId="39071" xr:uid="{00000000-0005-0000-0000-00009F980000}"/>
    <cellStyle name="Título 3 9 3" xfId="39072" xr:uid="{00000000-0005-0000-0000-0000A0980000}"/>
    <cellStyle name="Título 4" xfId="39073" xr:uid="{00000000-0005-0000-0000-0000A1980000}"/>
    <cellStyle name="Título 4 2" xfId="39074" xr:uid="{00000000-0005-0000-0000-0000A2980000}"/>
    <cellStyle name="Título 4 2 2" xfId="39075" xr:uid="{00000000-0005-0000-0000-0000A3980000}"/>
    <cellStyle name="Título 4 2 3" xfId="39076" xr:uid="{00000000-0005-0000-0000-0000A4980000}"/>
    <cellStyle name="Título 4 2 4" xfId="39077" xr:uid="{00000000-0005-0000-0000-0000A5980000}"/>
    <cellStyle name="Título 4 3" xfId="39078" xr:uid="{00000000-0005-0000-0000-0000A6980000}"/>
    <cellStyle name="Título 4 4" xfId="39079" xr:uid="{00000000-0005-0000-0000-0000A7980000}"/>
    <cellStyle name="Título 5" xfId="39080" xr:uid="{00000000-0005-0000-0000-0000A8980000}"/>
    <cellStyle name="Título 5 2" xfId="39081" xr:uid="{00000000-0005-0000-0000-0000A9980000}"/>
    <cellStyle name="Título 5 2 2" xfId="39082" xr:uid="{00000000-0005-0000-0000-0000AA980000}"/>
    <cellStyle name="Título 5 2 3" xfId="39083" xr:uid="{00000000-0005-0000-0000-0000AB980000}"/>
    <cellStyle name="Título 5 2 4" xfId="39084" xr:uid="{00000000-0005-0000-0000-0000AC980000}"/>
    <cellStyle name="Título 5 3" xfId="39085" xr:uid="{00000000-0005-0000-0000-0000AD980000}"/>
    <cellStyle name="Título 5 4" xfId="39086" xr:uid="{00000000-0005-0000-0000-0000AE980000}"/>
    <cellStyle name="Título 6" xfId="39087" xr:uid="{00000000-0005-0000-0000-0000AF980000}"/>
    <cellStyle name="Título 6 2" xfId="39088" xr:uid="{00000000-0005-0000-0000-0000B0980000}"/>
    <cellStyle name="Título 6 2 2" xfId="39089" xr:uid="{00000000-0005-0000-0000-0000B1980000}"/>
    <cellStyle name="Título 6 2 3" xfId="39090" xr:uid="{00000000-0005-0000-0000-0000B2980000}"/>
    <cellStyle name="Título 6 3" xfId="39091" xr:uid="{00000000-0005-0000-0000-0000B3980000}"/>
    <cellStyle name="Título 6 4" xfId="39092" xr:uid="{00000000-0005-0000-0000-0000B4980000}"/>
    <cellStyle name="Título 7" xfId="39093" xr:uid="{00000000-0005-0000-0000-0000B5980000}"/>
    <cellStyle name="Título 7 2" xfId="39094" xr:uid="{00000000-0005-0000-0000-0000B6980000}"/>
    <cellStyle name="Título 7 2 2" xfId="39095" xr:uid="{00000000-0005-0000-0000-0000B7980000}"/>
    <cellStyle name="Título 7 2 3" xfId="39096" xr:uid="{00000000-0005-0000-0000-0000B8980000}"/>
    <cellStyle name="Título 7 3" xfId="39097" xr:uid="{00000000-0005-0000-0000-0000B9980000}"/>
    <cellStyle name="Título 7 4" xfId="39098" xr:uid="{00000000-0005-0000-0000-0000BA980000}"/>
    <cellStyle name="Título 8" xfId="39099" xr:uid="{00000000-0005-0000-0000-0000BB980000}"/>
    <cellStyle name="Título 8 2" xfId="39100" xr:uid="{00000000-0005-0000-0000-0000BC980000}"/>
    <cellStyle name="Título 8 2 2" xfId="39101" xr:uid="{00000000-0005-0000-0000-0000BD980000}"/>
    <cellStyle name="Título 8 2 3" xfId="39102" xr:uid="{00000000-0005-0000-0000-0000BE980000}"/>
    <cellStyle name="Título 8 3" xfId="39103" xr:uid="{00000000-0005-0000-0000-0000BF980000}"/>
    <cellStyle name="Título 8 4" xfId="39104" xr:uid="{00000000-0005-0000-0000-0000C0980000}"/>
    <cellStyle name="Título 9" xfId="39105" xr:uid="{00000000-0005-0000-0000-0000C1980000}"/>
    <cellStyle name="Título 9 2" xfId="39106" xr:uid="{00000000-0005-0000-0000-0000C2980000}"/>
    <cellStyle name="Título 9 2 2" xfId="39107" xr:uid="{00000000-0005-0000-0000-0000C3980000}"/>
    <cellStyle name="Título 9 2 3" xfId="39108" xr:uid="{00000000-0005-0000-0000-0000C4980000}"/>
    <cellStyle name="Título 9 3" xfId="39109" xr:uid="{00000000-0005-0000-0000-0000C5980000}"/>
    <cellStyle name="Título 9 4" xfId="39110" xr:uid="{00000000-0005-0000-0000-0000C6980000}"/>
    <cellStyle name="Total 2" xfId="39111" xr:uid="{00000000-0005-0000-0000-0000C7980000}"/>
    <cellStyle name="Total 2 2" xfId="39112" xr:uid="{00000000-0005-0000-0000-0000C8980000}"/>
    <cellStyle name="Total 2 2 2" xfId="39113" xr:uid="{00000000-0005-0000-0000-0000C9980000}"/>
    <cellStyle name="Total 2 2 3" xfId="39114" xr:uid="{00000000-0005-0000-0000-0000CA980000}"/>
    <cellStyle name="Total 2 3" xfId="39115" xr:uid="{00000000-0005-0000-0000-0000CB980000}"/>
    <cellStyle name="Total 2 4" xfId="39116" xr:uid="{00000000-0005-0000-0000-0000CC980000}"/>
    <cellStyle name="Total 3" xfId="39117" xr:uid="{00000000-0005-0000-0000-0000CD980000}"/>
    <cellStyle name="Total 3 2" xfId="39118" xr:uid="{00000000-0005-0000-0000-0000CE980000}"/>
    <cellStyle name="Total 3 2 2" xfId="39119" xr:uid="{00000000-0005-0000-0000-0000CF980000}"/>
    <cellStyle name="Total 3 2 3" xfId="39120" xr:uid="{00000000-0005-0000-0000-0000D0980000}"/>
    <cellStyle name="Total 3 3" xfId="39121" xr:uid="{00000000-0005-0000-0000-0000D1980000}"/>
    <cellStyle name="Total 3 4" xfId="39122" xr:uid="{00000000-0005-0000-0000-0000D2980000}"/>
    <cellStyle name="Total 4" xfId="39123" xr:uid="{00000000-0005-0000-0000-0000D3980000}"/>
    <cellStyle name="Total 4 2" xfId="39124" xr:uid="{00000000-0005-0000-0000-0000D4980000}"/>
    <cellStyle name="Total 4 2 2" xfId="39125" xr:uid="{00000000-0005-0000-0000-0000D5980000}"/>
    <cellStyle name="Total 4 2 3" xfId="39126" xr:uid="{00000000-0005-0000-0000-0000D6980000}"/>
    <cellStyle name="Total 4 3" xfId="39127" xr:uid="{00000000-0005-0000-0000-0000D7980000}"/>
    <cellStyle name="Total 4 4" xfId="39128" xr:uid="{00000000-0005-0000-0000-0000D8980000}"/>
    <cellStyle name="Total 5" xfId="39129" xr:uid="{00000000-0005-0000-0000-0000D9980000}"/>
    <cellStyle name="Total 5 2" xfId="39130" xr:uid="{00000000-0005-0000-0000-0000DA980000}"/>
    <cellStyle name="Total 5 3" xfId="39131" xr:uid="{00000000-0005-0000-0000-0000DB980000}"/>
    <cellStyle name="Total 6" xfId="39132" xr:uid="{00000000-0005-0000-0000-0000DC980000}"/>
    <cellStyle name="Total 7" xfId="39133" xr:uid="{00000000-0005-0000-0000-0000DD980000}"/>
    <cellStyle name="Warning Text" xfId="39134" xr:uid="{00000000-0005-0000-0000-0000DE980000}"/>
    <cellStyle name="Warning Text 2" xfId="39135" xr:uid="{00000000-0005-0000-0000-0000DF980000}"/>
    <cellStyle name="Warning Text 2 2" xfId="39136" xr:uid="{00000000-0005-0000-0000-0000E0980000}"/>
    <cellStyle name="Warning Text 2 2 2" xfId="39137" xr:uid="{00000000-0005-0000-0000-0000E1980000}"/>
    <cellStyle name="Warning Text 2 2 3" xfId="39138" xr:uid="{00000000-0005-0000-0000-0000E2980000}"/>
    <cellStyle name="Warning Text 2 3" xfId="39139" xr:uid="{00000000-0005-0000-0000-0000E3980000}"/>
    <cellStyle name="Warning Text 2 4" xfId="39140" xr:uid="{00000000-0005-0000-0000-0000E4980000}"/>
    <cellStyle name="Warning Text 3" xfId="39141" xr:uid="{00000000-0005-0000-0000-0000E5980000}"/>
    <cellStyle name="Warning Text 3 2" xfId="39142" xr:uid="{00000000-0005-0000-0000-0000E6980000}"/>
    <cellStyle name="Warning Text 3 2 2" xfId="39143" xr:uid="{00000000-0005-0000-0000-0000E7980000}"/>
    <cellStyle name="Warning Text 3 2 3" xfId="39144" xr:uid="{00000000-0005-0000-0000-0000E8980000}"/>
    <cellStyle name="Warning Text 3 3" xfId="39145" xr:uid="{00000000-0005-0000-0000-0000E9980000}"/>
    <cellStyle name="Warning Text 3 4" xfId="39146" xr:uid="{00000000-0005-0000-0000-0000EA980000}"/>
    <cellStyle name="Warning Text 4" xfId="39147" xr:uid="{00000000-0005-0000-0000-0000EB980000}"/>
    <cellStyle name="Warning Text 4 2" xfId="39148" xr:uid="{00000000-0005-0000-0000-0000EC980000}"/>
    <cellStyle name="Warning Text 4 2 2" xfId="39149" xr:uid="{00000000-0005-0000-0000-0000ED980000}"/>
    <cellStyle name="Warning Text 4 2 3" xfId="39150" xr:uid="{00000000-0005-0000-0000-0000EE980000}"/>
    <cellStyle name="Warning Text 4 3" xfId="39151" xr:uid="{00000000-0005-0000-0000-0000EF980000}"/>
    <cellStyle name="Warning Text 4 4" xfId="39152" xr:uid="{00000000-0005-0000-0000-0000F0980000}"/>
    <cellStyle name="Warning Text 5" xfId="39153" xr:uid="{00000000-0005-0000-0000-0000F1980000}"/>
    <cellStyle name="Warning Text 5 2" xfId="39154" xr:uid="{00000000-0005-0000-0000-0000F2980000}"/>
    <cellStyle name="Warning Text 5 2 2" xfId="39155" xr:uid="{00000000-0005-0000-0000-0000F3980000}"/>
    <cellStyle name="Warning Text 5 2 3" xfId="39156" xr:uid="{00000000-0005-0000-0000-0000F4980000}"/>
    <cellStyle name="Warning Text 5 3" xfId="39157" xr:uid="{00000000-0005-0000-0000-0000F5980000}"/>
    <cellStyle name="Warning Text 5 4" xfId="39158" xr:uid="{00000000-0005-0000-0000-0000F6980000}"/>
    <cellStyle name="Warning Text 6" xfId="39159" xr:uid="{00000000-0005-0000-0000-0000F7980000}"/>
    <cellStyle name="Warning Text 6 2" xfId="39160" xr:uid="{00000000-0005-0000-0000-0000F8980000}"/>
    <cellStyle name="Warning Text 6 3" xfId="39161" xr:uid="{00000000-0005-0000-0000-0000F9980000}"/>
    <cellStyle name="Warning Text 7" xfId="39162" xr:uid="{00000000-0005-0000-0000-0000FA980000}"/>
    <cellStyle name="Warning Text 8" xfId="39163" xr:uid="{00000000-0005-0000-0000-0000FB980000}"/>
    <cellStyle name="好" xfId="39164" xr:uid="{00000000-0005-0000-0000-0000FC980000}"/>
    <cellStyle name="差" xfId="39165" xr:uid="{00000000-0005-0000-0000-0000FD980000}"/>
    <cellStyle name="强调文字颜色 1" xfId="39166" xr:uid="{00000000-0005-0000-0000-0000FE980000}"/>
    <cellStyle name="强调文字颜色 2" xfId="39167" xr:uid="{00000000-0005-0000-0000-0000FF980000}"/>
    <cellStyle name="强调文字颜色 3" xfId="39168" xr:uid="{00000000-0005-0000-0000-000000990000}"/>
    <cellStyle name="强调文字颜色 4" xfId="39169" xr:uid="{00000000-0005-0000-0000-000001990000}"/>
    <cellStyle name="强调文字颜色 5" xfId="39170" xr:uid="{00000000-0005-0000-0000-000002990000}"/>
    <cellStyle name="强调文字颜色 6" xfId="39171" xr:uid="{00000000-0005-0000-0000-000003990000}"/>
    <cellStyle name="标题" xfId="39172" xr:uid="{00000000-0005-0000-0000-000004990000}"/>
    <cellStyle name="标题 1" xfId="39173" xr:uid="{00000000-0005-0000-0000-000005990000}"/>
    <cellStyle name="标题 2" xfId="39174" xr:uid="{00000000-0005-0000-0000-000006990000}"/>
    <cellStyle name="标题 3" xfId="39175" xr:uid="{00000000-0005-0000-0000-000007990000}"/>
    <cellStyle name="标题 4" xfId="39176" xr:uid="{00000000-0005-0000-0000-000008990000}"/>
    <cellStyle name="检查单元格" xfId="39177" xr:uid="{00000000-0005-0000-0000-000009990000}"/>
    <cellStyle name="汇总" xfId="39178" xr:uid="{00000000-0005-0000-0000-00000A990000}"/>
    <cellStyle name="注释" xfId="39179" xr:uid="{00000000-0005-0000-0000-00000B990000}"/>
    <cellStyle name="解释性文本" xfId="39180" xr:uid="{00000000-0005-0000-0000-00000C990000}"/>
    <cellStyle name="警告文本" xfId="39181" xr:uid="{00000000-0005-0000-0000-00000D990000}"/>
    <cellStyle name="计算" xfId="39182" xr:uid="{00000000-0005-0000-0000-00000E990000}"/>
    <cellStyle name="输入" xfId="39183" xr:uid="{00000000-0005-0000-0000-00000F990000}"/>
    <cellStyle name="输出" xfId="39184" xr:uid="{00000000-0005-0000-0000-000010990000}"/>
    <cellStyle name="适中" xfId="39185" xr:uid="{00000000-0005-0000-0000-000011990000}"/>
    <cellStyle name="链接单元格" xfId="39186" xr:uid="{00000000-0005-0000-0000-00001299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externalLink" Target="externalLinks/externalLink4.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pivotCacheDefinition" Target="pivotCache/pivotCacheDefinition4.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ineacomunicacionesco.sharepoint.com/Users/Adriana/AppData/Local/Microsoft/Windows/INetCache/Content.Outlook/CTVKRU3D/Entregables%20atraso%202015%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lineacomunicacionesco.sharepoint.com/personal/lini_hernandez_lineacom_co/Documents/DESCARGAS%207%20DE%20JULIO/FACTURACI&#211;N%202022/OCTUBRE/DATA%20V2/Informe%20Gestion%20CB%20BANCOLOMBIA%202022%20-%20ORDENES%20DE%20CAMBIO%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INCIDENTES\Informe%20Gesti&#243;n%20OC%20CB%20Redeban,%20con%20corte%20al%2030%20ab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row r="1">
          <cell r="B1" t="str">
            <v>Cerrado</v>
          </cell>
        </row>
        <row r="2">
          <cell r="BB2" t="str">
            <v>CAD</v>
          </cell>
        </row>
        <row r="3">
          <cell r="BB3" t="str">
            <v>DMA Barranquilla</v>
          </cell>
        </row>
        <row r="4">
          <cell r="BB4" t="str">
            <v>DMA Bogotá</v>
          </cell>
        </row>
        <row r="5">
          <cell r="BB5" t="str">
            <v xml:space="preserve">DMA Bucaramanga </v>
          </cell>
        </row>
        <row r="6">
          <cell r="BB6" t="str">
            <v>DMA Cali</v>
          </cell>
        </row>
        <row r="7">
          <cell r="BB7" t="str">
            <v>DMA Cartagena</v>
          </cell>
        </row>
        <row r="8">
          <cell r="BB8" t="str">
            <v>DMA Manizales</v>
          </cell>
        </row>
        <row r="9">
          <cell r="BB9" t="str">
            <v>DMA Medellin</v>
          </cell>
        </row>
        <row r="10">
          <cell r="BB10" t="str">
            <v xml:space="preserve">DMA MONTERIA </v>
          </cell>
        </row>
        <row r="11">
          <cell r="BB11" t="str">
            <v>DMA Pasto</v>
          </cell>
        </row>
        <row r="12">
          <cell r="BB12" t="str">
            <v>DMA Valledupar</v>
          </cell>
        </row>
        <row r="13">
          <cell r="BB13" t="str">
            <v>DMA Villavicencio</v>
          </cell>
        </row>
        <row r="14">
          <cell r="BB14" t="str">
            <v>ETB</v>
          </cell>
        </row>
        <row r="15">
          <cell r="BB15" t="str">
            <v>Línea de Comunicaciones</v>
          </cell>
        </row>
        <row r="16">
          <cell r="BB16" t="str">
            <v>Servicios para los clientes</v>
          </cell>
        </row>
        <row r="17">
          <cell r="BB17" t="str">
            <v>UNE</v>
          </cell>
        </row>
      </sheetData>
      <sheetData sheetId="4" refreshError="1"/>
      <sheetData sheetId="5"/>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row r="1">
          <cell r="U1" t="str">
            <v>Capacitación</v>
          </cell>
          <cell r="AO1" t="str">
            <v>Bancolombia</v>
          </cell>
          <cell r="AP1" t="str">
            <v>Red</v>
          </cell>
          <cell r="AQ1" t="str">
            <v>LíneaComunicaciones</v>
          </cell>
          <cell r="AR1" t="str">
            <v>NoAplica</v>
          </cell>
        </row>
      </sheetData>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139">
          <cell r="A1139" t="str">
            <v>AMAZONAS</v>
          </cell>
        </row>
        <row r="1140">
          <cell r="A1140" t="str">
            <v>ANTIOQUIA</v>
          </cell>
        </row>
        <row r="1141">
          <cell r="A1141" t="str">
            <v>ARAUCA</v>
          </cell>
        </row>
        <row r="1142">
          <cell r="A1142" t="str">
            <v>ATLANTICO</v>
          </cell>
        </row>
        <row r="1143">
          <cell r="A1143" t="str">
            <v>BOGOTA</v>
          </cell>
        </row>
        <row r="1144">
          <cell r="A1144" t="str">
            <v>BOLIVAR</v>
          </cell>
        </row>
        <row r="1145">
          <cell r="A1145" t="str">
            <v>BOYACA</v>
          </cell>
        </row>
        <row r="1146">
          <cell r="A1146" t="str">
            <v>CALDAS</v>
          </cell>
        </row>
        <row r="1147">
          <cell r="A1147" t="str">
            <v>CAQUETA</v>
          </cell>
        </row>
        <row r="1148">
          <cell r="A1148" t="str">
            <v>CASANARE</v>
          </cell>
        </row>
        <row r="1149">
          <cell r="A1149" t="str">
            <v>CAUCA</v>
          </cell>
        </row>
        <row r="1150">
          <cell r="A1150" t="str">
            <v>CESAR</v>
          </cell>
        </row>
        <row r="1151">
          <cell r="A1151" t="str">
            <v>CHOCO</v>
          </cell>
        </row>
        <row r="1152">
          <cell r="A1152" t="str">
            <v>CORDOBA</v>
          </cell>
        </row>
        <row r="1153">
          <cell r="A1153" t="str">
            <v>CUNDINAMARCA</v>
          </cell>
        </row>
        <row r="1154">
          <cell r="A1154" t="str">
            <v>GUAINIA</v>
          </cell>
        </row>
        <row r="1155">
          <cell r="A1155" t="str">
            <v>GUAJIRA</v>
          </cell>
        </row>
        <row r="1156">
          <cell r="A1156" t="str">
            <v>GUAVIARE</v>
          </cell>
        </row>
        <row r="1157">
          <cell r="A1157" t="str">
            <v>HUILA</v>
          </cell>
        </row>
        <row r="1158">
          <cell r="A1158" t="str">
            <v>MAGDALENA</v>
          </cell>
        </row>
        <row r="1159">
          <cell r="A1159" t="str">
            <v>META</v>
          </cell>
        </row>
        <row r="1160">
          <cell r="A1160" t="str">
            <v>NORTE_SANTANDER</v>
          </cell>
        </row>
        <row r="1161">
          <cell r="A1161" t="str">
            <v>NARIÑO</v>
          </cell>
        </row>
        <row r="1162">
          <cell r="A1162" t="str">
            <v>PUTUMAYO</v>
          </cell>
        </row>
        <row r="1163">
          <cell r="A1163" t="str">
            <v>QUINDIO</v>
          </cell>
        </row>
        <row r="1164">
          <cell r="A1164" t="str">
            <v>RISARALDA</v>
          </cell>
        </row>
        <row r="1165">
          <cell r="A1165" t="str">
            <v>SAN_ANDRES_PROV</v>
          </cell>
        </row>
        <row r="1166">
          <cell r="A1166" t="str">
            <v>SANTANDER</v>
          </cell>
        </row>
        <row r="1167">
          <cell r="A1167" t="str">
            <v>SUCRE</v>
          </cell>
        </row>
        <row r="1168">
          <cell r="A1168" t="str">
            <v>TOLIMA</v>
          </cell>
        </row>
        <row r="1169">
          <cell r="A1169" t="str">
            <v>VALLE</v>
          </cell>
        </row>
        <row r="1170">
          <cell r="A1170" t="str">
            <v>VAUPES</v>
          </cell>
        </row>
        <row r="1171">
          <cell r="A1171" t="str">
            <v>VICHADA</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desplegables"/>
      <sheetName val="Consolidado"/>
    </sheetNames>
    <sheetDataSet>
      <sheetData sheetId="0"/>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5233101854" createdVersion="8" refreshedVersion="8" minRefreshableVersion="3" recordCount="6" xr:uid="{87F5C266-88C1-4313-ABAA-2289D4952375}">
  <cacheSource type="worksheet">
    <worksheetSource ref="A1:AE1048576" sheet="ADECUCACIONES"/>
  </cacheSource>
  <cacheFields count="31">
    <cacheField name="CIUDAD SEDE" numFmtId="0">
      <sharedItems containsBlank="1"/>
    </cacheField>
    <cacheField name="ZONA" numFmtId="0">
      <sharedItems containsBlank="1" count="5">
        <s v="SUROCCIDENTE Y EJE CAFETERO"/>
        <s v="REMOTAS"/>
        <s v="COSTA"/>
        <s v="NOROCCIDENTE"/>
        <m/>
      </sharedItems>
    </cacheField>
    <cacheField name="CENTRO DE COSTOS LINEACOM" numFmtId="0">
      <sharedItems containsBlank="1" count="5">
        <s v="0004-0003"/>
        <s v="0004-0007"/>
        <s v="0004-0001"/>
        <s v="0004-0005"/>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1-27T08:00:00" maxDate="2025-12-24T08:00:00"/>
    </cacheField>
    <cacheField name="FECHA ULTIMA ACTUALIZACION" numFmtId="0">
      <sharedItems containsNonDate="0" containsDate="1" containsString="0" containsBlank="1" minDate="2025-12-02T10:04:00" maxDate="2025-12-30T11:21: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ACOMETIDA DATOS" numFmtId="0">
      <sharedItems containsString="0" containsBlank="1" containsNumber="1" containsInteger="1" minValue="0" maxValue="0"/>
    </cacheField>
    <cacheField name="ACOMETIDA ELECTRICA" numFmtId="0">
      <sharedItems containsString="0" containsBlank="1" containsNumber="1" containsInteger="1" minValue="0" maxValue="0"/>
    </cacheField>
    <cacheField name="SWITCH" numFmtId="0">
      <sharedItems containsString="0" containsBlank="1" containsNumber="1" containsInteger="1" minValue="0" maxValue="0"/>
    </cacheField>
    <cacheField name="ROUTER" numFmtId="0">
      <sharedItems containsString="0" containsBlank="1" containsNumber="1" containsInteger="1" minValue="0" maxValue="0"/>
    </cacheField>
    <cacheField name="VALOR DIAS ACTIVIDAD FACTURABLES" numFmtId="0">
      <sharedItems containsString="0" containsBlank="1" containsNumber="1" containsInteger="1" minValue="1" maxValue="1"/>
    </cacheField>
    <cacheField name="DIAS ACTIVIDAD FACTURABLES" numFmtId="0">
      <sharedItems containsString="0" containsBlank="1" containsNumber="1" containsInteger="1" minValue="44560" maxValue="464809"/>
    </cacheField>
    <cacheField name="VALOR TOTAL INSTALACION DE PUBLICIDAD" numFmtId="0">
      <sharedItems containsString="0" containsBlank="1" containsNumber="1" containsInteger="1" minValue="44560" maxValue="4648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5715277775" createdVersion="8" refreshedVersion="8" minRefreshableVersion="3" recordCount="93" xr:uid="{A438187E-5152-49A2-9ABE-8BE2B29FE51C}">
  <cacheSource type="worksheet">
    <worksheetSource ref="A1:AH1048576" sheet="INCIDENTES"/>
  </cacheSource>
  <cacheFields count="34">
    <cacheField name="CIUDAD SEDE" numFmtId="0">
      <sharedItems containsBlank="1"/>
    </cacheField>
    <cacheField name="ZONA" numFmtId="0">
      <sharedItems containsBlank="1" count="7">
        <s v="REMOTAS"/>
        <s v="SUROCCIDENTE Y EJE CAFETERO"/>
        <s v="NOROCCIDENTE"/>
        <s v="COSTA"/>
        <s v="SANTANDERES"/>
        <s v="CUNDINAMARCA"/>
        <m/>
      </sharedItems>
    </cacheField>
    <cacheField name="CENTRO DE COSTOS LINEACOM" numFmtId="0">
      <sharedItems containsBlank="1" count="8">
        <s v="0004-0007"/>
        <s v="0004-0003"/>
        <s v="0004-0005"/>
        <s v="0004-0001"/>
        <s v="0004-0008"/>
        <s v="0004-0004"/>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1-27T08:42:47" maxDate="2025-12-31T10:01:21"/>
    </cacheField>
    <cacheField name="FECHA CIERRE DEL TICKET (DD/MM/AAAA HH:MM)" numFmtId="0">
      <sharedItems containsNonDate="0" containsDate="1" containsString="0" containsBlank="1" minDate="2025-12-01T09:00:00" maxDate="2025-12-31T16:50:00"/>
    </cacheField>
    <cacheField name="ACOMETIDA" numFmtId="0">
      <sharedItems containsBlank="1"/>
    </cacheField>
    <cacheField name="GRUPO_FALLA" numFmtId="0">
      <sharedItems containsBlank="1"/>
    </cacheField>
    <cacheField name="CATEGORIA" numFmtId="0">
      <sharedItems containsBlank="1"/>
    </cacheField>
    <cacheField name="FALLA"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ACOMETIDA DATOS" numFmtId="0">
      <sharedItems containsString="0" containsBlank="1" containsNumber="1" containsInteger="1" minValue="0" maxValue="0"/>
    </cacheField>
    <cacheField name="ACOMETIDA ELÉCTRICA" numFmtId="0">
      <sharedItems containsString="0" containsBlank="1" containsNumber="1" containsInteger="1" minValue="0" maxValue="0"/>
    </cacheField>
    <cacheField name="SWITCH" numFmtId="0">
      <sharedItems containsString="0" containsBlank="1" containsNumber="1" containsInteger="1" minValue="0" maxValue="0"/>
    </cacheField>
    <cacheField name="ROUTER" numFmtId="0">
      <sharedItems containsString="0" containsBlank="1" containsNumber="1" containsInteger="1" minValue="0" maxValue="0"/>
    </cacheField>
    <cacheField name="VALOR DIAS ACTIVIDAD FACTURABLES" numFmtId="0">
      <sharedItems containsString="0" containsBlank="1" containsNumber="1" containsInteger="1" minValue="37905" maxValue="988463"/>
    </cacheField>
    <cacheField name="VALOR DIAS ACOMPAÑAMIENTO FACTURABLE" numFmtId="0">
      <sharedItems containsString="0" containsBlank="1" containsNumber="1" containsInteger="1" minValue="37905" maxValue="98846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6003587967" createdVersion="8" refreshedVersion="8" minRefreshableVersion="3" recordCount="8" xr:uid="{AAD47E28-060A-436C-BBAA-AF62E84559A7}">
  <cacheSource type="worksheet">
    <worksheetSource ref="A1:AG1048576" sheet="OC"/>
  </cacheSource>
  <cacheFields count="33">
    <cacheField name="CIUDAD SEDE" numFmtId="0">
      <sharedItems containsBlank="1"/>
    </cacheField>
    <cacheField name="ZONA" numFmtId="0">
      <sharedItems containsBlank="1" count="5">
        <s v="SANTANDERES"/>
        <s v="NOROCCIDENTE"/>
        <s v="CUNDINAMARCA"/>
        <s v="REMOTAS"/>
        <m/>
      </sharedItems>
    </cacheField>
    <cacheField name="CENTRO DE COSTOS LINEACOM" numFmtId="0">
      <sharedItems containsBlank="1" count="5">
        <s v="0004-0008"/>
        <s v="0004-0005"/>
        <s v="0004-0004"/>
        <s v="0004-0007"/>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2-03T17:11:00" maxDate="2025-12-23T16:58:00"/>
    </cacheField>
    <cacheField name="FECHA CIERRE DEL TICKET (DD/MM/AAAA HH:MM)" numFmtId="0">
      <sharedItems containsNonDate="0" containsDate="1" containsString="0" containsBlank="1" minDate="2025-12-10T09:42:00" maxDate="2025-12-29T12:14:00"/>
    </cacheField>
    <cacheField name="ACOMETIDA" numFmtId="0">
      <sharedItems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1"/>
    </cacheField>
    <cacheField name="SWITCH" numFmtId="0">
      <sharedItems containsString="0" containsBlank="1" containsNumber="1" containsInteger="1" minValue="0" maxValue="0"/>
    </cacheField>
    <cacheField name="ACOMETIDA DATOS" numFmtId="0">
      <sharedItems containsString="0" containsBlank="1" containsNumber="1" containsInteger="1" minValue="0" maxValue="0"/>
    </cacheField>
    <cacheField name="ACOMETIDA ELÉCTRICA" numFmtId="0">
      <sharedItems containsString="0" containsBlank="1" containsNumber="1" containsInteger="1" minValue="0" maxValue="0"/>
    </cacheField>
    <cacheField name="VALOR ACTIVIDAD" numFmtId="0">
      <sharedItems containsString="0" containsBlank="1" containsNumber="1" containsInteger="1" minValue="37905" maxValue="479590"/>
    </cacheField>
    <cacheField name="VALOR TOTAL" numFmtId="0">
      <sharedItems containsString="0" containsBlank="1" containsNumber="1" containsInteger="1" minValue="37905" maxValue="47959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36.65751967593" createdVersion="8" refreshedVersion="8" minRefreshableVersion="3" recordCount="46" xr:uid="{AAB41D25-BC54-4810-A3BF-F864D124B95F}">
  <cacheSource type="worksheet">
    <worksheetSource ref="C3:D49" sheet="Hoja1"/>
  </cacheSource>
  <cacheFields count="2">
    <cacheField name="CC" numFmtId="0">
      <sharedItems containsBlank="1" count="8">
        <s v="0004-0001"/>
        <m/>
        <s v="0004-0003"/>
        <s v="0004-0005"/>
        <s v="0004-0007"/>
        <s v="0004-0008"/>
        <s v="0004-0004"/>
        <s v="0004-0002"/>
      </sharedItems>
    </cacheField>
    <cacheField name="VALOR" numFmtId="0">
      <sharedItems containsString="0" containsBlank="1" containsNumber="1" containsInteger="1" minValue="37905" maxValue="50341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CALI"/>
    <x v="0"/>
    <x v="0"/>
    <s v="76001"/>
    <s v="TA-25-1330514"/>
    <s v="3007082238"/>
    <s v="APERTURA"/>
    <s v="CB CRECIMIENTO ALIANZA - OTRAS LISTAS"/>
    <s v="VALLE DEL CAUCA"/>
    <s v="CALI"/>
    <s v="PTM CALI DISTRIBUIDORA LA 23 S"/>
    <s v="REDEBAN"/>
    <s v="FO-25-1905019 | FO-25-1884065"/>
    <d v="2025-11-27T08:00:00"/>
    <d v="2025-12-18T11:05:00"/>
    <m/>
    <m/>
    <s v="CANCELADO | EJECUTADO/CANCELADO"/>
    <s v="[FO-25-1905019] 02/12/2025 ‎POR MOTIVO QUE EL CLIENTE TUVO DILIGENCIAS MÉDICAS, &quot;DIÓ A LUZ&quot; NO SE PODRÁ ATENDER LA INSTALACIÓN EL DÍA DE HOY, QUEDAMOS EN REPROGRAMAR DICHO SERVICIO. | 18/12/2025 ‎SE REALIZA COMUNICACIÓN CON LA SEÑORA ISABEL CRISTINA E INDICA QUE EL DÍA DE AYER 17 DE DICIEMBRE REALIZÓ EL PROCESO DE CANCELACIÓN PORQUE SE ENCUENTRA INDISPUESTA DE SALUD QUE PARA ENERO RETOMA LA SOLICITUD DE INSTALACIÓN CON PTM. || [FO-25-1884065] 26/11/2025 26-11 PROGRAMACION REALIZADA POR LA ALIANZA| INSTALACIÓN PROGRAMADA PARA EL 2025-11-28 | 28/11/2025 SE LLEGO A EL CB DESDE TEMPRANO, POR INCONVENIENTE CON LAS TERMINALES REDEBAN REALIZO CAMBIO DE LA MISMA A UNAS NUEVAS._x000a_‎SE CONFIGURA LA NUEVA TERMINAL COMO PURA POR SOLICITUD DE REDEBAN Y SIENDO LAS 17:00 LA TERMINAL AUN PRESENTA INCONVENIENTES, LAS CUALES AL REALIZAR PRUEBAS DA RECHAZOS GENERAL._x000a_‎SE INDAGO CON PTM Y BANCOLOMBIA POSIBLES BLOQUEO Y ANTES LAS ENTIDADES ESTA BIEN._x000a_‎CLIENTE INDICA QUE NO PUEDE SEGUIR CON EL PROCESO DESPUES DE LAS 5 POR MOTIVO DE SEGURIDAD DE LA ZONA Y SOLICITA LA REPROGRAMACIÓN PARA EL DIA MARTES._x000a_‎PD. POR SOLICITUD DE REDEBAN EQUIPO QUEDARIA CON TERMINAL PURA"/>
    <s v="SOPORTE TELEFONICO"/>
    <m/>
    <s v="TIPO I"/>
    <s v="TERRESTRE"/>
    <s v="TORRES GARCIA JENDRY JOSE"/>
    <n v="0"/>
    <n v="0"/>
    <n v="0"/>
    <n v="0"/>
    <n v="1"/>
    <n v="44560"/>
    <n v="44560"/>
  </r>
  <r>
    <s v="IBAGUE"/>
    <x v="1"/>
    <x v="1"/>
    <s v="73001"/>
    <s v="TA-25-1330683"/>
    <s v="3007082329"/>
    <s v="APERTURA"/>
    <s v="CB CRECIMIENTO ALIANZA - NUEVO"/>
    <s v="TOLIMA"/>
    <s v="IBAGUE"/>
    <s v="PTM  IBAGUE EL MANA DE LOS PLA"/>
    <s v="REDEBAN"/>
    <s v="FO-25-1898216 | FO-25-1884319"/>
    <d v="2025-11-27T08:00:00"/>
    <d v="2025-12-02T10:04:00"/>
    <m/>
    <m/>
    <s v="CANCELADO | EJECUTADO/CANCELADO"/>
    <s v="[FO-25-1898216] 02/12/2025 CONFIRMO LA CANCELACIÓN DE LA IMPLEMENTACIÓN DEL CB 82329 POR PARTE DEL USUARIO DEBIDO A QUE EN LA PLATAFORMA DE SOMOD BANCOLOMBIA NO LE FUNCIONA EL USUARIO Y CONTRASEÑA || [FO-25-1884319] 26/11/2025 26-11 PROGRAMACION REALIZADA POR LA ALIANZA| INSTALACIÓN PROGRAMADA PARA EL 2025-11-27 | 27/11/2025 SE VISITA DIRECCIÓN INDICADA DE INSTALACIÓN DE CB, SE VALIDA CORREO DE USUARIO PARA LA PLATAFORMA SOMOS BANCOLOMBIA . EVIDENCIA QUE PRESENTA INCONSISTENCIA . POR TAL MOTIVO NO ES POSIBLE EL INGRESO A SOMOS BANCOLOMBIA_x000a_EL CLIENTE MANIFIESTA NO RECIBIR LA INSTALACIÓN DEL CB YA QUE NO PUEDE VISUALIZAR LOS MOVIMIENTOS DE LA PLATAFORMA ESTAR SEGURA DE LA OPERATIVIDAD DEL CB_x000a_INFORMA QUE SE COMUNICARA CON EL PTM PARA CORRECCIÓN DE CORREO"/>
    <s v="SOPORTE TELEFONICO"/>
    <m/>
    <s v="TIPO I"/>
    <s v="TERRESTRE"/>
    <s v="GUTIERREZ  CAMILO ANDRES"/>
    <n v="0"/>
    <n v="0"/>
    <n v="0"/>
    <n v="0"/>
    <n v="1"/>
    <n v="44560"/>
    <n v="44560"/>
  </r>
  <r>
    <s v="VALLEDUPAR"/>
    <x v="2"/>
    <x v="2"/>
    <s v="44378"/>
    <s v="TA-25-1341466"/>
    <s v="3007057635"/>
    <s v="APERTURA"/>
    <s v="DATAFONO ADICIONAL - ALIANZA"/>
    <s v="LA GUAJIRA"/>
    <s v="HATONUEVO"/>
    <s v="MULTIPAGAS  HATONUEVO"/>
    <s v="REDEBAN"/>
    <s v="FO-25-1921921 | FO-25-1911535"/>
    <d v="2025-12-02T08:00:00"/>
    <d v="2025-12-06T10:55:00"/>
    <s v="ROBUSTO"/>
    <s v="MULTIPAGAS"/>
    <s v="EJECUTADO | EJECUTADO/CANCELADO"/>
    <s v="[FO-25-1921921] 09/12/2025 SE REALIZA INSTALACIÓN DE DATAFONO ADICIONAL, SE INSTALA DATAFONO, LECTOR, PINPAD Y MAGICBOX 2600, SE ENTREGAN 40 ROLLOS, SE BRINDA CAPACITACIÓN, SE REALIZAN PRUEBAS DE TRANSACCIONES, DEJANDO SERVICIO FUNCIONAL AL 100 % || [FO-25-1911535] 01/12/2025 01-12 SE REALIZA LLAMADA AL CLIENTE, SE HABLA CON LA SRA TATIANA TOLOZA SE VALIDA DIRECCIÓN OK, CANAL OK, DISPONIBILIDAD TOTAL, LLAMAR EL DÍA LA INSTALACIÓN PARA CONFIRMAR VISITA | 03/12/2025 SE LLEGA A SITIO, COMERCIO INDICA QUE PARA PODER INGRESAR SE NECESITA LA AUTORIZACIÓN Y VALIDACION DE BANCOLOMBIA, PROCEDEN A LLAMAR A LA LINEA PERO ESTA NO RESPONDEN, SE INTENTA POR OTROS MEDIOS COMO WPP Y TAMPOCO CONTESTAN, SE LE INDICA AL JEFE DEL MULTIPAGAS QUE VAMOS A REALIZAR UNA INSTALACIÓN DE UN DATAFONO ADICIONAL Y ESTE INDICA QUE SIN LA AUTORIZACIÓN DEL BANCO, NO ME PERMITEN EL INGRESO, SE INTENTA COMUNICAR CON LA LINEA DE BANCOLOMBIA EN UN LAPSO DE TIEMPO DE UNA HORA Y MEDIA, Y NUNCA CONTESTARON, ME COMUNICO CON EL COORDINADOR JOSE HERNÁNDEZ Y ESTE MANIFIESTA QUE SE TIENE QUE REAGENDAR LA VISITA Y QUE ME RETIRE DEL SITIO"/>
    <s v="VISITA TECNICA"/>
    <s v="AE007354"/>
    <s v="TIPO III"/>
    <s v="TERRESTRE"/>
    <s v="MONTES DIAZ JOHN FRED"/>
    <n v="0"/>
    <n v="0"/>
    <n v="0"/>
    <n v="0"/>
    <n v="1"/>
    <n v="222904"/>
    <n v="222904"/>
  </r>
  <r>
    <s v="MEDELLIN"/>
    <x v="3"/>
    <x v="3"/>
    <s v="5001"/>
    <s v="TA-25-1393500"/>
    <s v="3007082482"/>
    <s v="APERTURA"/>
    <s v="CB CRECIMIENTO ALIANZA - NUEVO"/>
    <s v="ANTIOQUIA"/>
    <s v="MEDELLIN"/>
    <s v="DISTRICOL JUGOS Y DOGS"/>
    <s v="REDEBAN"/>
    <s v="FO-25-1959693"/>
    <d v="2025-12-12T08:00:00"/>
    <d v="2025-12-12T16:50:00"/>
    <s v="AGREGADOR"/>
    <s v="DISTRICOL"/>
    <s v="EJECUTADO/CANCELADO"/>
    <s v="11/12/2025 11-12 PROGRAMACION REALIZADA POR LA ALIANZA| INSTALACIÓN PROGRAMADA PARA EL 2025-12-12 | 12/12/2025 LA DIRECCIÓN A LA QUE DEBO INSTALAR EL CB BANCARIO ESTÁ ERRADA, LA USUARIA INDICA QUE SE PASARON DE LOCAL HACE POCO"/>
    <s v="VISITA TECNICA"/>
    <m/>
    <s v="TIPO I"/>
    <s v="TERRESTRE"/>
    <s v="RUA ALVAREZ RICHARD ANDRES"/>
    <n v="0"/>
    <n v="0"/>
    <n v="0"/>
    <n v="0"/>
    <n v="1"/>
    <n v="44560"/>
    <n v="44560"/>
  </r>
  <r>
    <s v="MEDELLIN"/>
    <x v="3"/>
    <x v="3"/>
    <s v="5736"/>
    <s v="TA-25-1446323"/>
    <s v="3007082552"/>
    <s v="APERTURA"/>
    <s v="CB CRECIMIENTO ALIANZA - NUEVO"/>
    <s v="ANTIOQUIA"/>
    <s v="SEGOVIA"/>
    <s v="DISTRICOL MAYRA SEGOVIA"/>
    <s v="REDEBAN"/>
    <s v="FO-25-2050073 | FO-25-2024451"/>
    <d v="2025-12-24T08:00:00"/>
    <d v="2025-12-30T11:21:00"/>
    <s v="AGREGADOR"/>
    <s v="DISTRICOL"/>
    <s v="EJECUTADO | EJECUTADO/CANCELADO"/>
    <s v="[FO-25-2050073] 30/12/2025 SE TERMINA DE HACER IMPLEMENTACION OK SE INSTALAS PUBLICIDAD OK PRUEBAS EXITOSAS || [FO-25-2024451] 23/12/2025 23-12 PROGRAMACION REALIZADA POR LA ALIANZA| INSTALACIÓN PROGRAMADA PARA EL 2025-12-26 | 26/12/2025 NO SE ENCUENTRA TIQUETE EN TÉRMINAL POR ALTO FLUJO DE PASAJERO. EN TAQUILLA INFORMAN QUE YA ESTÁN SOBRE VENDIDOS SE LE INFORMA AL USUARIO | 29/12/2025 SE ATIENDE IMPLEMENTACION OK, SE CAPACITA EN MENÚ OPERATIVO, SOMOS BANCOLOMBIA OK, SE INICIALIZA EQUIPOS OK. NO SE INSTALA PUBLICIDAD YA QUE SE ENVIÓ DESDE EL DÍA VIERNES Y HOY LUNES LA OFICINA ESTÁ CERRADA. NOS INDICAN QUE PARA EL DÍA DE MAÑANA ABREN NUEVAMENTE. SE DEJA VISITA PARA MAÑANA INSTALAR PUBLICIDAD"/>
    <s v="VISITA TECNICA"/>
    <s v="OB007843"/>
    <s v="TIPO IV"/>
    <s v="TERRESTRE"/>
    <s v="DIAZ ZABALA FRANCIS DUBAN"/>
    <n v="0"/>
    <n v="0"/>
    <n v="0"/>
    <n v="0"/>
    <n v="1"/>
    <n v="464809"/>
    <n v="464809"/>
  </r>
  <r>
    <m/>
    <x v="4"/>
    <x v="4"/>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s v="VILLAVICENCIO"/>
    <x v="0"/>
    <x v="0"/>
    <s v="50313"/>
    <s v="3069845"/>
    <s v="3007050504"/>
    <s v="INCIDENTE"/>
    <s v="META"/>
    <s v="GRANADA"/>
    <s v="BARRIO ZONA RURAL GRANADA META"/>
    <s v="REDEBAN"/>
    <s v="FO-25-1895555"/>
    <d v="2025-11-27T08:42:47"/>
    <d v="2025-12-01T10:29:00"/>
    <s v="NO"/>
    <s v="USUARIO"/>
    <s v="MANTENIMIENTO"/>
    <s v="MANTENIMIENTO GENERAL"/>
    <s v="CB UNO A UNO"/>
    <s v="CB UNO A UNO"/>
    <m/>
    <s v="27/11/2025 SE ESCALA PARA VISITA. LLAMAR ANTES DE VISITAR, CONFIRMAR FALLA Y DATOS | 30/11/2025 CLIENTE INFORMA QUE NOS RECIBE EL LUNES YA QUE NO SE ENCUENTRA DISPONIBLE | 01/12/2025 SE REALIZA CONTACTO TELEFONICO CON EL CLIENTE Y SE LE INFORMA EL CAMBIO DE CONTRASEÑA Y QUEDAN OPERANDO OK"/>
    <s v="SOPORTE TELEFONICO"/>
    <m/>
    <s v="TIPO II"/>
    <s v="TERRESTRE"/>
    <s v="PEDREROS CONTRERAS MICHAEL STEVENS"/>
    <n v="0"/>
    <n v="0"/>
    <n v="0"/>
    <n v="0"/>
    <n v="0"/>
    <n v="37905"/>
    <n v="37905"/>
  </r>
  <r>
    <s v="IBAGUE"/>
    <x v="0"/>
    <x v="0"/>
    <s v="17495"/>
    <s v="3073674"/>
    <s v="3007067178"/>
    <s v="INCIDENTE"/>
    <s v="CALDAS"/>
    <s v="NORCASIA"/>
    <s v="DISTRICOL PAPE &amp; DET MIL IDEAS"/>
    <s v="REDEBAN"/>
    <s v="FO-25-1899864"/>
    <d v="2025-11-27T17:43:14"/>
    <d v="2025-12-04T12:38:00"/>
    <s v="NO"/>
    <s v="USUARIO"/>
    <s v="COMUNICACION"/>
    <s v="CONEXIONES DE COMERCIO"/>
    <s v="AGREGADOR"/>
    <s v="DISTRICOL"/>
    <m/>
    <s v="27/11/2025 SE ESCALA PARA VISITA. LLAMAR ANTES DE VISITAR, CONFIRMAR FALLA Y DATOS | 04/12/2025 SE LLAMA AL SEÑOR JOHAN CORTES, AL NÚMERO DE TELÉFONO 3128503919 Y ME INDICA QUE EL DATAFONO ESTÁ FUNCIONANDO CORRECTAMENTE. QUE PARECE QUE SOLO ERA BAJONES DE ENERGÍA."/>
    <s v="SOPORTE TELEFONICO"/>
    <m/>
    <s v="TIPO IV"/>
    <s v="TERRESTRE"/>
    <s v="VARGAS HERRERA JHON JAIRO"/>
    <n v="0"/>
    <n v="0"/>
    <n v="0"/>
    <n v="0"/>
    <n v="0"/>
    <n v="37905"/>
    <n v="37905"/>
  </r>
  <r>
    <s v="CALI"/>
    <x v="1"/>
    <x v="1"/>
    <s v="76834"/>
    <s v="3079308"/>
    <s v="3007068412"/>
    <s v="INCIDENTE"/>
    <s v="VALLE DEL CAUCA"/>
    <s v="TULUA"/>
    <s v="BARRIO MARACAIBO TULUA 4"/>
    <s v="REDEBAN"/>
    <s v="FO-25-1908630"/>
    <d v="2025-11-29T15:54:53"/>
    <d v="2025-12-01T09:00:00"/>
    <s v="NO"/>
    <s v="USUARIO"/>
    <s v="COMUNICACION"/>
    <s v="CONEXIONES DE COMERCIO"/>
    <s v="CB UNO A UNO"/>
    <s v="CB UNO A UNO"/>
    <m/>
    <s v="30/11/2025 SE ESCALA PARA VISITA. LLAMAR ANTES DE VISITAR, CONFIRMAR FALLA Y DATOS | 01/12/2025 SE HABLA CON LA SRA FANNY CASTRO E INDICA QUE YA EL EQUIPO ESTA OPERATIVO, QUE CONECTO EL DATAFONO A OTRO PUERTO Y REINICIO EL MODEM Y TODO QUEDO OK, CB OPERATIVO Y  OK, LA CLIENTA AUTORIZA CERRAR LA ORDEN"/>
    <s v="SOPORTE TELEFONICO"/>
    <m/>
    <s v="TIPO II"/>
    <s v="TERRESTRE"/>
    <s v="PAREDES CASTILLO DIEGO"/>
    <n v="0"/>
    <n v="0"/>
    <n v="0"/>
    <n v="0"/>
    <n v="0"/>
    <n v="37905"/>
    <n v="37905"/>
  </r>
  <r>
    <s v="MEDELLIN"/>
    <x v="2"/>
    <x v="2"/>
    <s v="5579"/>
    <s v="3082818"/>
    <s v="3007081068"/>
    <s v="INCIDENTE"/>
    <s v="ANTIOQUIA"/>
    <s v="PUERTO BERRIO"/>
    <s v="BARRIO CENTRO PUERTO BERRIO 9"/>
    <s v="REDEBAN"/>
    <s v="FO-25-1912127"/>
    <d v="2025-12-01T10:38:04"/>
    <d v="2025-12-03T13:41:00"/>
    <s v="NO"/>
    <s v="USUARIO"/>
    <s v="COMUNICACION"/>
    <s v="CONEXIONES DE COMERCIO"/>
    <s v="UNO A UNO"/>
    <s v="UNO A UNO"/>
    <s v="EJECUTADO"/>
    <s v="01/12/2025 SE ESCALA PARA VISITA. LLAMAR ANTES DE VISITAR, CONFIRMAR FALLA Y DATOS | 03/12/2025 SE HACE MANTENIMIENTO OK SE VALIDA CABLEADO DEL CLIENTE SE EVIDENCIA QUE TIENE DOS MULTIPUNTOS DE INTERNET MAL CONECTADOS, OCASIONADO LA INTERMITENCIA EN EL DATAFONO. SE ORGANIZA CABLE Y SE ENTREGA NUEVAMENTE DATAFONO FUNCIONANDO CORRECTAMENTE."/>
    <s v="VISITA TECNICA"/>
    <s v="SHZZZ029"/>
    <s v="TIPO III"/>
    <s v="TERRESTRE"/>
    <s v="DIAZ ZABALA FRANCIS DUBAN"/>
    <n v="1"/>
    <n v="0"/>
    <n v="0"/>
    <n v="0"/>
    <n v="0"/>
    <n v="275728"/>
    <n v="275728"/>
  </r>
  <r>
    <s v="MEDELLIN"/>
    <x v="2"/>
    <x v="2"/>
    <s v="5101"/>
    <s v="3083235"/>
    <s v="3007066781"/>
    <s v="INCIDENTE"/>
    <s v="ANTIOQUIA"/>
    <s v="CIUDAD BOLIVAR"/>
    <s v="BARRIO CIUDAD BOLIVAR CIUDAD B"/>
    <s v="REDEBAN"/>
    <s v="FO-25-1912725"/>
    <d v="2025-12-01T11:04:59"/>
    <d v="2025-12-02T12:14:00"/>
    <s v="NO"/>
    <s v="USUARIO"/>
    <s v="NO ENCIENDE"/>
    <s v="CONEXIONES DE COMERCIO"/>
    <s v="UNO A UNO"/>
    <s v="CB UNO A UNO"/>
    <s v="EJECUTADO"/>
    <s v="01/12/2025 SE ESCALA PARA VISITA. LLAMAR ANTES DE VISITAR, CONFIRMAR FALLA Y DATOS | 02/12/2025 SE VERIFICACION DE LA CONEXIÓN DEL CB SE CAMBIA DE TOMA DE ALIMENTACIÓN"/>
    <s v="VISITA TECNICA"/>
    <s v="3A0CZ741"/>
    <s v="TIPO II"/>
    <s v="TERRESTRE"/>
    <s v="CASTAÑEDA PALACIO CARLOS FELIPE"/>
    <n v="1"/>
    <n v="0"/>
    <n v="0"/>
    <n v="0"/>
    <n v="0"/>
    <n v="163814"/>
    <n v="163814"/>
  </r>
  <r>
    <s v="MEDELLIN"/>
    <x v="2"/>
    <x v="2"/>
    <s v="5308"/>
    <s v="3085365"/>
    <s v="3007082034"/>
    <s v="INCIDENTE"/>
    <s v="ANTIOQUIA"/>
    <s v="GIRARDOTA"/>
    <s v="DISTRICOL PELUQUERÍA CANINA"/>
    <s v="REDEBAN"/>
    <s v="FO-25-1914679"/>
    <d v="2025-12-01T14:40:50"/>
    <d v="2025-12-02T10:21:00"/>
    <s v="NO"/>
    <s v="USUARIO"/>
    <s v="COMUNICACION"/>
    <s v="CONEXIONES DE COMERCIO"/>
    <s v="AGREGADOR"/>
    <s v="DISTRICOL"/>
    <m/>
    <s v="01/12/2025 SE ESCALA PARA VISITA. LLAMAR ANTES DE VISITAR, CONFIRMAR FALLA Y DATOS | 02/12/2025 SE REALIZÓ LLAMADA TELEFÓNICA AL CORRESPONSAL BANCOLOMBIA PARA VERIFICAR EL ESTADO DEL INCIDENTE REPORTADO CON EL DATÁFONO. EL USUARIO INFORMÓ QUE EL DISPOSITIVO YA SE ENCUENTRA EN FUNCIONAMIENTO Y QUE NO ES NECESARIA LA VISITA TÉCNICA, DADO QUE LA FALLA ESTABA ASOCIADA A LA CONEXIÓN DE INTERNET DEL COMERCIO Y FUE SOLUCIONADA."/>
    <s v="SOPORTE TELEFONICO"/>
    <m/>
    <s v="TIPO I"/>
    <s v="TERRESTRE"/>
    <s v="MARTINEZ TOVAR OSCAR DAVID"/>
    <n v="0"/>
    <n v="0"/>
    <n v="0"/>
    <n v="0"/>
    <n v="0"/>
    <n v="37905"/>
    <n v="37905"/>
  </r>
  <r>
    <s v="MONTERIA"/>
    <x v="3"/>
    <x v="3"/>
    <s v="23675"/>
    <s v="3087575"/>
    <s v="3007079907"/>
    <s v="INCIDENTE"/>
    <s v="CORDOBA"/>
    <s v="SAN BERNARDO DEL VIENTO"/>
    <s v="DISTRICOL EL CAMPESINO GRANERO"/>
    <s v="REDEBAN"/>
    <s v="FO-25-1916922"/>
    <d v="2025-12-02T08:00:00"/>
    <d v="2025-12-02T12:08:00"/>
    <s v="NO"/>
    <s v="USUARIO"/>
    <s v="COMUNICACION"/>
    <s v="CONEXIONES DE COMERCIO"/>
    <s v="AGREGADOR"/>
    <s v="DISTRICOL"/>
    <s v="EJECUTADO"/>
    <s v="02/12/2025 SE ESCALA ACTIVIDAD PARA GESTION WOMPI | 02/12/2025 SE REALIZA VISITA TÉCNICA Y SE CORRIGE COMUNICACIÓN ETHERNET CON EL DATAFONO, IDENTIFICADO EL INCONVENIENTE EN EL PUERTO ETHERNET DEL MODEM DEL CLIENTE REALIZANDO CAMBIO DE PUERTO PARA ASÍ RESTABLECER NUEVAMENTE LA COMUNICACIÓN Y DEJAR EL SERVICIO OPERATIVO DANDO SOLUCIÓN AL PROBLEMA."/>
    <s v="VISITA TECNICA"/>
    <s v="SAUZZ956"/>
    <s v="TIPO II"/>
    <s v="TERRESTRE"/>
    <s v="CASSIANI PEREZ RAUL RAMIRO"/>
    <n v="1"/>
    <n v="0"/>
    <n v="0"/>
    <n v="0"/>
    <n v="0"/>
    <n v="163814"/>
    <n v="163814"/>
  </r>
  <r>
    <s v="CUCUTA"/>
    <x v="4"/>
    <x v="4"/>
    <s v="54001"/>
    <s v="3097841"/>
    <s v="3007061712"/>
    <s v="INCIDENTE"/>
    <s v="NORTE DE SANTANDER"/>
    <s v="CUCUTA"/>
    <s v="PTM CUCUTA VARIEDADES REYMAR 3"/>
    <s v="REDEBAN"/>
    <s v="FO-25-1926607"/>
    <d v="2025-12-03T14:11:49"/>
    <d v="2025-12-04T10:58:00"/>
    <s v="NO"/>
    <s v="USUARIO"/>
    <s v="MANTENIMIENTO"/>
    <s v="MANTENIMIENTO GENERAL"/>
    <s v="AGREGADOR"/>
    <s v="COMCARD - PTM"/>
    <s v="EJECUTADO"/>
    <s v="03/12/2025 SE ESCALA PARA VISITA. LLAMAR ANTES DE VISITAR, CONFIRMAR FALLA Y DATOS | 04/12/2025 SE ENCONTRÓ TAPA MAL CERRADA,SE REALIZA MANTENIMIENTO CIERRES Y PRUEBAS OK"/>
    <s v="VISITA TECNICA"/>
    <s v="FUA0L506 FUA0L603"/>
    <s v="TIPO I"/>
    <s v="TERRESTRE"/>
    <s v="DURAN ACOSTA FRANK YONNY"/>
    <n v="1"/>
    <n v="0"/>
    <n v="0"/>
    <n v="0"/>
    <n v="0"/>
    <n v="65960"/>
    <n v="65960"/>
  </r>
  <r>
    <s v="CALI"/>
    <x v="1"/>
    <x v="1"/>
    <s v="76001"/>
    <s v="3098032"/>
    <s v="3007040255"/>
    <s v="INCIDENTE"/>
    <s v="VALLE DEL CAUCA"/>
    <s v="CALI"/>
    <s v="PTM CALI MUNDO MOVIL"/>
    <s v="REDEBAN"/>
    <s v="FO-25-1926596"/>
    <d v="2025-12-03T14:31:35"/>
    <d v="2025-12-03T16:20:00"/>
    <s v="NO"/>
    <s v="USUARIO"/>
    <s v="COMUNICACION"/>
    <s v="CONEXIONES DE COMERCIO"/>
    <s v="AGREGADOR"/>
    <s v="COMCARD - PTM"/>
    <s v="EJECUTADO"/>
    <s v="03/12/2025 SE ESCALA PARA VISITA. LLAMAR ANTES DE VISITAR, CONFIRMAR FALLA Y DATOS | 03/12/2025 SE LLEGA AL COMERCIO SE ENCUENTRA QUE ESTÁ DESCONECTADO EL INTERNET DEL ROUTER SE CONECTA SE HACEN PRUEBAS EXITOSAS"/>
    <s v="VISITA TECNICA"/>
    <s v="AB0HZ961 UV001663"/>
    <s v="TIPO I"/>
    <s v="TERRESTRE"/>
    <s v="PALACIOS GOMEZ BRAHIAN ANDRES"/>
    <n v="1"/>
    <n v="0"/>
    <n v="0"/>
    <n v="0"/>
    <n v="0"/>
    <n v="65960"/>
    <n v="65960"/>
  </r>
  <r>
    <s v="IBAGUE"/>
    <x v="0"/>
    <x v="0"/>
    <s v="73585"/>
    <s v="3099382"/>
    <s v="3007032656"/>
    <s v="INCIDENTE"/>
    <s v="TOLIMA"/>
    <s v="PURIFICACION"/>
    <s v="BARRIO LOS CAMBULOS PURIFICACI"/>
    <s v="REDEBAN"/>
    <s v="FO-25-1927810"/>
    <d v="2025-12-04T08:00:00"/>
    <d v="2025-12-04T19:59:00"/>
    <s v="NO"/>
    <s v="USUARIO"/>
    <s v="NO ENCIENDE"/>
    <s v="CONEXIONES DE COMERCIO"/>
    <s v="CB UNO A UNO"/>
    <s v="CB UNO A UNO"/>
    <s v="EJECUTADO"/>
    <s v="03/12/2025 SE ESCALA PARA VISITA. LLAMAR ANTES DE VISITAR, CONFIRMAR FALLA Y DATOS | 04/12/2025 SE REALIZA VISITA AL PUNTO, SE CONECTA DE FORMA CORRECTA EL PINPAD ,EQUIPO FUNCIONA DE FORMA EXITOSA, CB OPERATIVO"/>
    <s v="VISITA TECNICA"/>
    <s v="BL01X782"/>
    <s v="TIPO II"/>
    <s v="TERRESTRE"/>
    <s v="DEVIA REINOSO JUAN CARLOS"/>
    <n v="1"/>
    <n v="0"/>
    <n v="0"/>
    <n v="0"/>
    <n v="0"/>
    <n v="163814"/>
    <n v="163814"/>
  </r>
  <r>
    <s v="BOGOTA"/>
    <x v="5"/>
    <x v="5"/>
    <s v="11001"/>
    <s v="3101986"/>
    <s v="3007076110"/>
    <s v="INCIDENTE"/>
    <s v="CUNDINAMARCA"/>
    <s v="BOGOTA"/>
    <s v="PTM BOGOTA HERRAJES E INSUMOS"/>
    <s v="REDEBAN"/>
    <s v="FO-25-1929961"/>
    <d v="2025-12-04T10:23:55"/>
    <d v="2025-12-05T10:14:00"/>
    <s v="NO"/>
    <s v="USUARIO"/>
    <s v="COMUNICACION"/>
    <s v="CONEXIONES DE COMERCIO"/>
    <s v="AGREGADOR"/>
    <s v="COMCARD - PTM"/>
    <s v="EJECUTADO"/>
    <s v="04/12/2025 SE ESCALA PARA VISITA. LLAMAR ANTES DE VISITAR, CONFIRMAR FALLA Y DATOS | 05/12/2025 EN CAMINO CLIENTE SOLICITA SER ATENDIDO DESPUÉS DE LAS 11 AM YA QUE SE ENCUENTRA EN DILIGENCIAS PERSONALES | 05/12/2025 FALLA EN EL CABLE DE RED DEL CLIENTE SE REALIZA REPARACIÓN CON PONCHADORA DEL TÉCNICO PRUEBAS OK NO TIENEN TARJETA PARA REALIZAR PRUEBAS DE ADQUIRENCIA"/>
    <s v="VISITA TECNICA"/>
    <s v="SX0GZ261 SX0HZ210"/>
    <s v="TIPO I"/>
    <s v="TERRESTRE"/>
    <s v="GOMEZ VEGA DAVID SNEYDER"/>
    <n v="1"/>
    <n v="0"/>
    <n v="0"/>
    <n v="0"/>
    <n v="0"/>
    <n v="65960"/>
    <n v="65960"/>
  </r>
  <r>
    <s v="BARRANQUILLA"/>
    <x v="3"/>
    <x v="3"/>
    <s v="8638"/>
    <s v="3101991"/>
    <s v="3007048428"/>
    <s v="INCIDENTE"/>
    <s v="ATLANTICO"/>
    <s v="SABANALARGA"/>
    <s v="PTM  SABANALARGA  MULTISERVICI"/>
    <s v="REDEBAN"/>
    <s v="FO-25-1929960"/>
    <d v="2025-12-04T10:25:10"/>
    <d v="2025-12-05T16:38:00"/>
    <s v="NO"/>
    <s v="ENTIDAD"/>
    <s v="ERROR DE TRANSACCIONES"/>
    <s v="TRANSACCION NO PERMITIDA"/>
    <s v="AGREGADOR"/>
    <s v="COMCARD - PTM"/>
    <s v="EJECUTADO"/>
    <s v="04/12/2025 SE ESCALA PARA VISITA. LLAMAR ANTES DE VISITAR, CONFIRMAR FALLA Y DATOS | 05/12/2025 DESPUÉS ESTAR HACIENDO PRUEBAS TODO EL DÍA,EL SEÑOR EDINSON SAMBONI DE SOPORTE RBM,  ME INFORMA LO SIGUIENTE _x000a__x000a_EL ERROR PROVIENE DE UN PROCESAMIENTO ERRADO EN EL TRASLADO DESDE LA ENTIDAD QUE GENERÓ ERROR EN LA PLATAFORMA DE BASE24 Y EL CASO ESTÁ EN PROCESO DE SOLUCIÓN EN NIVEL 3 CON TI, OPERACIONES Y BACKOFFICE._x000a_LA ENTIDAD PROCEDO MAL LOS PUNTOS_x000a_POR ORDEN DE SOPORTE RBM, NOS RETIRAMOS DEL SITIO _x000a_UNO DE LOS DATADONOS ERA MIXTO, Y SE DEJA PURO, CLIENTE TE DICE QUE NO USA LA FRANQUICIA,  LA TERMINAL MA00B931 CON LA PLACA 771708, SE ANULA POR ORDEN DE SOPORTE RBM_x000a_QUEDA A LA ESPERA DE LA SOLUCIÓN"/>
    <s v="VISITA TECNICA"/>
    <s v="IIRZZ937 -NA00K179"/>
    <s v="TIPO II"/>
    <s v="TERRESTRE"/>
    <s v="DE AVILA SIADES ALBERTO ENRIQUE"/>
    <n v="1"/>
    <n v="0"/>
    <n v="0"/>
    <n v="0"/>
    <n v="0"/>
    <n v="163814"/>
    <n v="163814"/>
  </r>
  <r>
    <s v="APARTADO"/>
    <x v="2"/>
    <x v="2"/>
    <s v="5837"/>
    <s v="3106177"/>
    <s v="3007038814"/>
    <s v="INCIDENTE"/>
    <s v="ANTIOQUIA"/>
    <s v="TURBO"/>
    <s v="PTM VARILOCHE ALL FASHION"/>
    <s v="REDEBAN"/>
    <s v="FO-25-1934649"/>
    <d v="2025-12-05T08:47:45"/>
    <d v="2025-12-05T11:03:00"/>
    <s v="NO"/>
    <s v="USUARIO"/>
    <s v="MANTENIMIENTO"/>
    <s v="MANTENIMIENTO GENERAL"/>
    <s v="AGREGADOR"/>
    <s v="COMCARD - PTM"/>
    <s v="EJECUTADO"/>
    <s v="05/12/2025 SE ESCALA PARA VISITA. LLAMAR ANTES DE VISITAR, CONFIRMAR FALLA Y DATOS | 05/12/2025 SE LE INDICA AL CLIENTE QUE LOS DATAFONOS DESK 2600 VIENEN CON FALLAS DE FABRICA, COMO EN ESTE CASO NOS TOCA CONVIVIR CON ELLA, SE LE EXPLICA AL CLIENTE COMO OPERAR LA IMPRESORA PARA QUE EL VOUCHER IMPRIMA BIEN HACIENDO PRESIÓN SOBRE LA TAPA."/>
    <s v="VISITA TECNICA"/>
    <s v="MAA00L465"/>
    <s v="TIPO II"/>
    <s v="TERRESTRE"/>
    <s v="CASTRO HENAO DANIEL ESTEBAN"/>
    <n v="1"/>
    <n v="0"/>
    <n v="0"/>
    <n v="0"/>
    <n v="0"/>
    <n v="163814"/>
    <n v="163814"/>
  </r>
  <r>
    <s v="VILLAVICENCIO"/>
    <x v="0"/>
    <x v="0"/>
    <s v="50568"/>
    <s v="3106528"/>
    <s v="3007050427"/>
    <s v="INCIDENTE"/>
    <s v="META"/>
    <s v="PUERTO GAITAN"/>
    <s v="PTM PUERTO GAITAN SERVI LA 18"/>
    <s v="REDEBAN"/>
    <s v="FO-25-1935156"/>
    <d v="2025-12-05T09:22:29"/>
    <d v="2025-12-09T16:46:00"/>
    <s v="NO"/>
    <s v="USUARIO"/>
    <s v="LECTOR DE BARRAS"/>
    <s v="CAPACITACION MANIPULACION DE COMERCIO"/>
    <s v="AGREGADOR"/>
    <s v="COMCARD - PTM"/>
    <s v="EJECUTADO"/>
    <s v="05/12/2025 SE ESCALA PARA VISITA. LLAMAR ANTES DE VISITAR, CONFIRMAR FALLA Y DATOS | 09/12/2025 SE VISITA EL CB POR SOLICITUD LECTORA DE BARRAS, SE LLEGA Y SE VERIFICA Y ESTABA MA CONECTADA SE CONECTA BIEN Y FUNCIONA CON NORMALIDAD SE REALIZAN PRUEBAS Y TODO OK"/>
    <s v="VISITA TECNICA"/>
    <s v="TR00W392"/>
    <s v="TIPO III"/>
    <s v="TERRESTRE"/>
    <s v="MOLINA CASTRO JAVIER ALBERTO"/>
    <n v="1"/>
    <n v="0"/>
    <n v="0"/>
    <n v="0"/>
    <n v="0"/>
    <n v="275728"/>
    <n v="275728"/>
  </r>
  <r>
    <s v="CALI"/>
    <x v="1"/>
    <x v="1"/>
    <s v="76109"/>
    <s v="3107267"/>
    <s v="3007010970"/>
    <s v="INCIDENTE"/>
    <s v="VALLE DEL CAUCA"/>
    <s v="BUENAVENTURA"/>
    <s v="BARRIO EL DORADO - BUENAVENTUR"/>
    <s v="REDEBAN"/>
    <s v="FO-25-1935702"/>
    <d v="2025-12-05T10:55:23"/>
    <d v="2025-12-06T12:21:00"/>
    <s v="NO"/>
    <s v="USUARIO"/>
    <s v="COMUNICACION"/>
    <s v="CANAL DEL COMERCIO"/>
    <s v="CB UNO A UNO"/>
    <s v="CB UNO A UNO"/>
    <m/>
    <s v="05/12/2025 SE ESCALA PARA VISITA. LLAMAR ANTES DE VISITAR, CONFIRMAR FALLA Y DATOS | 06/12/2025 SE VALIDA CON EL CLIENTE PERO SE ENCUENTRA PROBLEMAS CON EL CANAL DE INTERNET EL CUAL ESTA PRESENTANDO CAIDA Y ESO OCACIONA QUE EL DATAFONO TENGA CAIDAS, EL CANAL ES UN CANAL QUE EL CLIENTE TIENE HACE MUCHO INSTALADO POR BANCOLOMBIA, PERO SE LE INDICA QUE SOBRE ESTOS CANALES DEBE SOLICITAR SOPORTE A LA ENTIDAD. SE LE INFORMA QUE EN LO POSIBLE HAGA LA CONEXION CON UN CANAL PROPIO."/>
    <s v="SOPORTE TELEFONICO"/>
    <m/>
    <s v="TIPO III"/>
    <s v="TERRESTRE"/>
    <s v="HENAO CARDONA DIEGO FERNANDO"/>
    <n v="0"/>
    <n v="0"/>
    <n v="0"/>
    <n v="0"/>
    <n v="0"/>
    <n v="37905"/>
    <n v="37905"/>
  </r>
  <r>
    <s v="MEDELLIN"/>
    <x v="2"/>
    <x v="2"/>
    <s v="5237"/>
    <s v="3109370"/>
    <s v="3007034409"/>
    <s v="INCIDENTE"/>
    <s v="ANTIOQUIA"/>
    <s v="DON MATIAS"/>
    <s v="COMCARD DON MATIAS INT ZONE"/>
    <s v="REDEBAN"/>
    <s v="FO-25-1938040"/>
    <d v="2025-12-05T15:41:53"/>
    <d v="2025-12-06T09:09:00"/>
    <s v="NO"/>
    <s v="USUARIO"/>
    <s v="COMUNICACION"/>
    <s v="CANAL DEL COMERCIO"/>
    <s v="AGREGADOR"/>
    <s v="COMCARD - PTM"/>
    <m/>
    <s v="05/12/2025 SE ESCALA PARA VISITA. LLAMAR ANTES DE VISITAR, CONFIRMAR FALLA Y DATOS | 06/12/2025 SE LLAMA AL 3135404048 CLIENTE E INFORMA QUE LOS DATAFONO YA ESTÁN FUNCIONANDO BIEN Y NO NECESITA VISITA POR LO QUE SE CIERRA ACTIVIDAD"/>
    <s v="SOPORTE TELEFONICO"/>
    <m/>
    <s v="TIPO II"/>
    <s v="TERRESTRE"/>
    <s v="ALVAREZ ARENAS VICTOR HUGO"/>
    <n v="0"/>
    <n v="0"/>
    <n v="0"/>
    <n v="0"/>
    <n v="0"/>
    <n v="37905"/>
    <n v="37905"/>
  </r>
  <r>
    <s v="MEDELLIN"/>
    <x v="2"/>
    <x v="2"/>
    <s v="5237"/>
    <s v="3109371"/>
    <s v="3007055435"/>
    <s v="INCIDENTE"/>
    <s v="ANTIOQUIA"/>
    <s v="DON MATIAS"/>
    <s v="BARRIO DON MATIAS DONMATIAS 2"/>
    <s v="REDEBAN"/>
    <s v="FO-25-1938036"/>
    <d v="2025-12-05T15:42:57"/>
    <d v="2025-12-06T09:03:00"/>
    <s v="NO"/>
    <s v="USUARIO"/>
    <s v="COMUNICACION"/>
    <s v="CANAL DEL COMERCIO"/>
    <s v="CB UNO A UNO"/>
    <s v="CB UNO A UNO"/>
    <s v="EJECUTADO"/>
    <s v="05/12/2025 SE ESCALA PARA VISITA. LLAMAR ANTES DE VISITAR, CONFIRMAR FALLA Y DATOS | 06/12/2025 SE LLEGA AL PUNTO PERO CB YA ESTABA OPERATIVO PARECE SER QUE ERA EL CANAL DEL CLIENTE"/>
    <s v="VISITA TECNICA"/>
    <s v="9BGZZ206"/>
    <s v="TIPO II"/>
    <s v="TERRESTRE"/>
    <s v="ALVAREZ ARENAS VICTOR HUGO"/>
    <n v="1"/>
    <n v="0"/>
    <n v="0"/>
    <n v="0"/>
    <n v="0"/>
    <n v="163814"/>
    <n v="163814"/>
  </r>
  <r>
    <s v="MEDELLIN"/>
    <x v="2"/>
    <x v="2"/>
    <s v="5237"/>
    <s v="3109620"/>
    <s v="3007029892"/>
    <s v="INCIDENTE"/>
    <s v="ANTIOQUIA"/>
    <s v="DON MATIAS"/>
    <s v="BARRIO PARQUE 3 DONMATIAS"/>
    <s v="REDEBAN"/>
    <s v="FO-25-1938032"/>
    <d v="2025-12-05T15:50:58"/>
    <d v="2025-12-06T09:26:00"/>
    <s v="NO"/>
    <s v="USUARIO"/>
    <s v="COMUNICACION"/>
    <s v="CANAL DEL COMERCIO"/>
    <s v="CB UNO A UNO"/>
    <s v="CB UNO A UNO"/>
    <m/>
    <s v="05/12/2025 SE ESCALA PARA VISITA. LLAMAR ANTES DE VISITAR, CONFIRMAR FALLA Y DATOS | 06/12/2025 SE LLAMA AL 3193812221 SE HABLA CON RAÚL GONZÁLES EL CUAL INFORMA QUE HOY AMANECIÓ BIEN EL CB AL PARECER HUBO UNA FALLA DE CANAL EN EL PUEBLO Y QUE YA NO NECESITA VISITA POR LO QUE SE CIERRA LA TA"/>
    <s v="SOPORTE TELEFONICO"/>
    <m/>
    <s v="TIPO II"/>
    <s v="TERRESTRE"/>
    <s v="ALVAREZ ARENAS VICTOR HUGO"/>
    <n v="0"/>
    <n v="0"/>
    <n v="0"/>
    <n v="0"/>
    <n v="0"/>
    <n v="37905"/>
    <n v="37905"/>
  </r>
  <r>
    <s v="MEDELLIN"/>
    <x v="2"/>
    <x v="2"/>
    <s v="5890"/>
    <s v="3111188"/>
    <s v="3007047258"/>
    <s v="INCIDENTE"/>
    <s v="ANTIOQUIA"/>
    <s v="YOLOMBO"/>
    <s v="BARRIO EL HORMIGUERO YOLOMBO"/>
    <s v="REDEBAN"/>
    <s v="FO-25-1942691"/>
    <d v="2025-12-07T12:44:21"/>
    <d v="2025-12-09T09:18:00"/>
    <s v="NO"/>
    <s v="USUARIO"/>
    <s v="COMUNICACION"/>
    <s v="CONEXIONES DE COMERCIO"/>
    <s v="CB UNO A UNO"/>
    <s v="CB UNO A UNO"/>
    <m/>
    <s v="07/12/2025 SE ESCALA PARA VISITA. LLAMAR ANTES DE VISITAR, CONFIRMAR FALLA Y DATOS | 09/12/2025 EN COMUNICACIÓN CON LA SEÑORA BEATRIZ MANIFIESTA QUE YA EL EQUIPO ESTÁ OPERANDO CON NORMALIDAD. LA FALLA ERA UNA CAÍDA DEL INTERNET DEL COMERCIO_x000a_EQUIPO OPERANDO CON NORMALIDAD"/>
    <s v="SOPORTE TELEFONICO"/>
    <m/>
    <s v="TIPO II"/>
    <s v="TERRESTRE"/>
    <s v="DIAZ ZABALA FRANCIS DUBAN"/>
    <n v="0"/>
    <n v="0"/>
    <n v="0"/>
    <n v="0"/>
    <n v="0"/>
    <n v="37905"/>
    <n v="37905"/>
  </r>
  <r>
    <s v="MEDELLIN"/>
    <x v="2"/>
    <x v="2"/>
    <s v="5088"/>
    <s v="3111252"/>
    <s v="3007059337"/>
    <s v="INCIDENTE"/>
    <s v="ANTIOQUIA"/>
    <s v="BELLO"/>
    <s v="DISTRICOL TIENDA FERSAN"/>
    <s v="REDEBAN"/>
    <s v="FO-25-1942127"/>
    <d v="2025-12-06T17:38:06"/>
    <d v="2025-12-07T10:02:00"/>
    <s v="NO"/>
    <s v="USUARIO"/>
    <s v="LECTOR DE BARRAS"/>
    <s v="ERROR PAGOS PARCIALES DE FACTURAS"/>
    <s v="AGREGADOR"/>
    <s v="DISTRICOL"/>
    <m/>
    <s v="07/12/2025 SE ESCALA PARA VISITA. LLAMAR ANTES DE VISITAR, CONFIRMAR FALLA Y DATOS | 07/12/2025 SE REALIZÓ LLAMADA TELEFÓNICA AL CORRESPONSAL BANCOLOMBIA PARA CONFIRMAR EL INCIDENTE REPORTADO CON EL LECTOR DE CÓDIGOS DE BARRAS. EL USUARIO INFORMÓ QUE EL DÍA ANTERIOR EL DISPOSITIVO PRESENTÓ FALLAS AL MOMENTO DE LEER ALGUNAS FACTURAS; SIN EMBARGO, INDICÓ QUE EN LA FECHA ACTUAL EL LECTOR FUNCIONA DE MANERA NORMAL. POR TAL MOTIVO, EL USUARIO MANIFESTÓ QUE NO ES NECESARIA  UNA VISITA TÉCNICA."/>
    <s v="SOPORTE TELEFONICO"/>
    <m/>
    <s v="TIPO I"/>
    <s v="TERRESTRE"/>
    <s v="MARTINEZ TOVAR OSCAR DAVID"/>
    <n v="0"/>
    <n v="0"/>
    <n v="0"/>
    <n v="0"/>
    <n v="0"/>
    <n v="37905"/>
    <n v="37905"/>
  </r>
  <r>
    <s v="IBAGUE"/>
    <x v="0"/>
    <x v="0"/>
    <s v="73001"/>
    <s v="3113118"/>
    <s v="3007030812"/>
    <s v="INCIDENTE"/>
    <s v="TOLIMA"/>
    <s v="IBAGUE"/>
    <s v="BARRIO CADIZ 4"/>
    <s v="REDEBAN"/>
    <s v="FO-25-1945924"/>
    <d v="2025-12-09T08:24:38"/>
    <d v="2025-12-10T08:41:00"/>
    <s v="NO"/>
    <s v="ENTIDAD"/>
    <s v="ERROR DE TRANSACCIONES"/>
    <s v="TRANSACCION NO PERMITIDA"/>
    <s v="CB UNO A UNO"/>
    <s v="CB UNO A UNO"/>
    <m/>
    <s v="09/12/2025 SE ESCALA PARA VISITA. LLAMAR ANTES DE VISITAR, CONFIRMAR FALLA Y DATOS | 10/12/2025 SE COMUNICA AL NÚMERO 3015973051, EL SEÑOR WILFRIDO MORALES INDICA QUE ESTÁ PRESENTANDO ERROR EN TRANSACCIONES MARCA NO HABILITADA, DEBIDO A QUE NO FUE POSIBLE REALIZAR LA MIGRACIÓN A WOMPI POR TEMAS DE RAZÓN SOCIAL. SE LE RECOMIENDA AL CLIENTE QUE SE COMUNIQUE DIRECTAMENTE CON EL BANCO PARA QUE LE HABILITEN EL CB NUEVAMENTE. GESTIÓN TELEFÓNICA"/>
    <s v="SOPORTE TELEFONICO"/>
    <m/>
    <s v="TIPO I"/>
    <s v="TERRESTRE"/>
    <s v="BARRAGAN TAFUR EDWIN ESTEBAN"/>
    <n v="0"/>
    <n v="0"/>
    <n v="0"/>
    <n v="0"/>
    <n v="0"/>
    <n v="37905"/>
    <n v="37905"/>
  </r>
  <r>
    <s v="IBAGUE"/>
    <x v="0"/>
    <x v="0"/>
    <s v="73555"/>
    <s v="3114244"/>
    <s v="3007079015"/>
    <s v="INCIDENTE"/>
    <s v="TOLIMA"/>
    <s v="PLANADAS"/>
    <s v="PTM PLANADAS HUEVOS DEL SUR DI"/>
    <s v="REDEBAN"/>
    <s v="FO-25-1946837"/>
    <d v="2025-12-09T09:52:54"/>
    <d v="2025-12-12T09:21:00"/>
    <s v="NO"/>
    <s v="USUARIO"/>
    <s v="COMUNICACION"/>
    <s v="CONEXIONES DE COMERCIO"/>
    <s v="AGREGADOR"/>
    <s v="COMCARD - PTM"/>
    <s v="EJECUTADO"/>
    <s v="09/12/2025 SE ESCALA PARA VISITA. LLAMAR ANTES DE VISITAR, CONFIRMAR FALLA Y DATOS | 12/12/2025 SE REALIZA VISITA AL PUNTO, SE EVIDENCIA COMERCIO PRESENTA INTERMITENCIA EN EL INTERNET INSTALADO EN EL PUNTO, SE REVISAN CONEXIONES Y CABLES DEL EQUIPO Y ESTÁN EN BUEN ESTADO.EQUIPO OPERATIVO. PRUEBAS OK"/>
    <s v="VISITA TECNICA"/>
    <s v="SASZZ590 SASZZ754"/>
    <s v="TIPO IV"/>
    <s v="TERRESTRE"/>
    <s v="DEVIA REINOSO JUAN CARLOS"/>
    <n v="1"/>
    <n v="0"/>
    <n v="0"/>
    <n v="0"/>
    <n v="0"/>
    <n v="479590"/>
    <n v="479590"/>
  </r>
  <r>
    <s v="CALI"/>
    <x v="1"/>
    <x v="1"/>
    <s v="76001"/>
    <s v="3114593"/>
    <s v="3007082168"/>
    <s v="INCIDENTE"/>
    <s v="VALLE DEL CAUCA"/>
    <s v="CALI"/>
    <s v="PTM CALI VARIEDADES BLU"/>
    <s v="REDEBAN"/>
    <s v="FO-25-1947294"/>
    <d v="2025-12-09T10:23:50"/>
    <d v="2025-12-09T17:09:00"/>
    <s v="NO"/>
    <s v="HARDWARE"/>
    <s v="COMUNICACION"/>
    <s v="MENSAJE CABLE DE RED DESCONECTADO"/>
    <m/>
    <m/>
    <s v="EJECUTADO"/>
    <s v="09/12/2025 SE ESCALA PARA VISITA. LLAMAR ANTES DE VISITAR, CONFIRMAR FALLA Y DATOS | 09/12/2025 SE VISITA CORRESPONSAL Y SE REPARA CABLE DE RED DE ACOMETIDA DAÑADO.( PONCHADO) TRANSACCIÓNES DE PRUEBA  EXITOSAS."/>
    <s v="VISITA TECNICA"/>
    <s v="FB001822 FB001570"/>
    <s v="TIPO I"/>
    <s v="TERRESTRE"/>
    <s v="BOLAÑOS TABORDA JORGE ENRIQUE"/>
    <n v="0"/>
    <n v="0"/>
    <n v="0"/>
    <n v="0"/>
    <n v="0"/>
    <n v="306552"/>
    <n v="306552"/>
  </r>
  <r>
    <s v="CUCUTA"/>
    <x v="4"/>
    <x v="4"/>
    <s v="54498"/>
    <s v="3120323"/>
    <s v="3007029042"/>
    <s v="INCIDENTE"/>
    <s v="NORTE DE SANTANDER"/>
    <s v="OCAÑA"/>
    <s v="BARRIO CENTRO OCANA"/>
    <s v="REDEBAN"/>
    <s v="FO-25-1952613"/>
    <d v="2025-12-10T09:24:28"/>
    <d v="2025-12-11T10:43:00"/>
    <s v="NO"/>
    <s v="USUARIO"/>
    <s v="COMUNICACION"/>
    <s v="CONEXIONES DE COMERCIO"/>
    <s v="CB UNO A UNO"/>
    <s v="COOGUASIMALES"/>
    <s v="EJECUTADO"/>
    <s v="10/12/2025 SE ESCALA PARA VISITA. LLAMAR ANTES DE VISITAR, CONFIRMAR FALLA Y DATOS | 11/12/2025 SE REALIZA VISITA AL COMERCIO Y SE REVISAN CONEXIONES DEL CONEXIONES DEL DATAFONO Y PARÁMETROS TODO OK, SE EVIDENCIA QUE LA FALLA SON LAS CONEXIONES PARTE INTERNA DEL COMERCIO, SE HABLÓ CON LA SRA JEFE DEL ÁREA DEL PAGO FACIL, SRA BRENDA SUJEY  MANIFIESTA QUE LE DEJEMOS EL DATAFONO SIN CONEXIÓN A LA CAJA."/>
    <s v="VISITA TECNICA"/>
    <s v="BBBBF023"/>
    <s v="TIPO IV"/>
    <s v="TERRESTRE"/>
    <s v="MORA VEGA JEAMPIER"/>
    <n v="1"/>
    <n v="0"/>
    <n v="0"/>
    <n v="0"/>
    <n v="0"/>
    <n v="479590"/>
    <n v="479590"/>
  </r>
  <r>
    <s v="CALI"/>
    <x v="1"/>
    <x v="1"/>
    <s v="76892"/>
    <s v="3120999"/>
    <s v="3007021211"/>
    <s v="INCIDENTE"/>
    <s v="VALLE DEL CAUCA"/>
    <s v="YUMBO"/>
    <s v="BARRIO CENTRO VIII YUMBO"/>
    <s v="REDEBAN"/>
    <s v="FO-25-1953530"/>
    <d v="2025-12-10T10:53:34"/>
    <d v="2025-12-11T10:09:00"/>
    <s v="NO"/>
    <s v="USUARIO"/>
    <s v="USUARIOS"/>
    <s v="TAPA MAL ASEGURADA"/>
    <s v="CB UNO A UNO"/>
    <s v="CB UNO A UNO"/>
    <s v="EJECUTADO"/>
    <s v="10/12/2025 SE ESCALA PARA VISITA. LLAMAR ANTES DE VISITAR, CONFIRMAR FALLA Y DATOS | 11/12/2025 SE VISITA CORRESPONSAL Y SE ENCONTRÓ DATÁFONO EN BUEN ESTADO. IMPRIME CORRECTAMENTE. TRANSACCIONES DE PRUEBA EXITOSAS."/>
    <s v="VISITA TECNICA"/>
    <s v="9B2ZZ833"/>
    <s v="TIPO I"/>
    <s v="TERRESTRE"/>
    <s v="BOLAÑOS TABORDA JORGE ENRIQUE"/>
    <n v="1"/>
    <n v="0"/>
    <n v="0"/>
    <n v="0"/>
    <n v="0"/>
    <n v="65960"/>
    <n v="65960"/>
  </r>
  <r>
    <s v="APARTADO"/>
    <x v="2"/>
    <x v="2"/>
    <s v="5045"/>
    <s v="3125304"/>
    <s v="3007032310"/>
    <s v="INCIDENTE"/>
    <s v="ANTIOQUIA"/>
    <s v="APARTADO"/>
    <s v="PAGAFACIL APARTADO CENTRO II"/>
    <s v="REDEBAN"/>
    <s v="FO-25-1957611"/>
    <d v="2025-12-11T08:08:20"/>
    <d v="2025-12-11T15:31:00"/>
    <s v="NO"/>
    <s v="USUARIO"/>
    <s v="CIERRE"/>
    <s v="COMERCIO NO REALIZA CIERRE"/>
    <s v="ROBUSTO"/>
    <s v="PAGAFACIL"/>
    <s v="EJECUTADO"/>
    <s v="11/12/2025 SE ESCALA PARA VISITA. LLAMAR ANTES DE VISITAR, CONFIRMAR FALLA Y DATOS | 11/12/2025 SE REALIZA REPISADO DE PARAMETRO Y INICIALIZACION. DATAFONO QUEDA OPERATIVO."/>
    <s v="VISITA TECNICA"/>
    <s v="111JZ555"/>
    <s v="TIPO I"/>
    <s v="TERRESTRE"/>
    <s v="CASTRO HENAO DANIEL ESTEBAN"/>
    <n v="1"/>
    <n v="0"/>
    <n v="0"/>
    <n v="0"/>
    <n v="0"/>
    <n v="65960"/>
    <n v="65960"/>
  </r>
  <r>
    <s v="VILLAVICENCIO"/>
    <x v="0"/>
    <x v="0"/>
    <s v="50287"/>
    <s v="3126154"/>
    <s v="3007080450"/>
    <s v="INCIDENTE"/>
    <s v="META"/>
    <s v="FUENTE DE ORO"/>
    <s v="BARRIO CENTRO FUENTE DE ORO 5"/>
    <s v="REDEBAN"/>
    <s v="FO-25-1958710"/>
    <d v="2025-12-11T09:53:38"/>
    <d v="2025-12-12T12:34:00"/>
    <s v="NO"/>
    <s v="USUARIO"/>
    <s v="NO ENCIENDE"/>
    <s v="CONEXIONES DE COMERCIO"/>
    <s v="UNO A UNO"/>
    <s v="UNO A UNO"/>
    <s v="EJECUTADO"/>
    <s v="11/12/2025 SE ESCALA PARA VISITA. LLAMAR ANTES DE VISITAR, CONFIRMAR FALLA Y DATOS | 12/12/2025 SE REALIZA VISITA AL CB POR SOLICITUD DATÁFONO NO PRENDE LA USUARIA TATIANA GONZALES NOS  RECIBE LA VISITA,SE VERIFICA LAS CONEXIONES DEL COMERCIO Y DEL EQUIPO Y SE EVIDENCIA QUE NO SE ENCUENTRA BIEN CONECTADO EL CABLE FUENTE DE PODER, SE CONECTA BIEN Y EL EQUIPO ENCIENDE CON NORMALIDAD, PROCEDO A REALIZAR PRUEBAS Y TODO SALE CORRECTO SE DEJA FUNCIONAL DÁNDOLE SOLUCIÓN AL PROBLEMA QUE PRESENTABA EL USUARIO"/>
    <s v="VISITA TECNICA"/>
    <s v="SAZZZ799"/>
    <s v="TIPO III"/>
    <s v="TERRESTRE"/>
    <s v="MOLINA CASTRO JAVIER ALBERTO"/>
    <n v="1"/>
    <n v="0"/>
    <n v="0"/>
    <n v="0"/>
    <n v="0"/>
    <n v="275728"/>
    <n v="275728"/>
  </r>
  <r>
    <s v="TUNJA"/>
    <x v="4"/>
    <x v="4"/>
    <s v="15646"/>
    <s v="3127796"/>
    <s v="3007080299"/>
    <s v="INCIDENTE"/>
    <s v="BOYACA"/>
    <s v="SAMACA"/>
    <s v="BARRIO VEREDA CHURUVITA SAMACA"/>
    <s v="REDEBAN"/>
    <s v="FO-25-1960579"/>
    <d v="2025-12-11T13:59:09"/>
    <d v="2025-12-14T11:30:00"/>
    <s v="NO"/>
    <s v="USUARIO"/>
    <s v="COMUNICACION"/>
    <s v="CONEXIONES DE COMERCIO"/>
    <s v="UNO A UNO"/>
    <s v="UNO A UNO"/>
    <s v="EJECUTADO"/>
    <s v="11/12/2025 SE ESCALA PARA VISITA. LLAMAR ANTES DE VISITAR, CONFIRMAR FALLA Y DATOS | 13/12/2025 SE VISITA PUNTO EVIDENCIANDO QUE EL EQUIPO NO TIENE COMUNICACIÓN ROUTER REPETIDOR DESCONFIGURADO DEBIDO AL CAMBIO DE CLAVE DEL ROUTER PRINCIPAL SE PROCEDE A REALIZAR LAS CORRECCIONES CORRESPONDIENTES PRUEBAS EXITOSAS CLIENTE CONFORME."/>
    <s v="VISITA TECNICA"/>
    <s v="FAZZZ477"/>
    <s v="TIPO II"/>
    <s v="TERRESTRE"/>
    <s v="RODRIGUEZ MURCIA YERSON IVAN"/>
    <n v="1"/>
    <n v="0"/>
    <n v="0"/>
    <n v="0"/>
    <n v="0"/>
    <n v="163814"/>
    <n v="163814"/>
  </r>
  <r>
    <s v="CUCUTA"/>
    <x v="4"/>
    <x v="4"/>
    <s v="54498"/>
    <s v="3128766"/>
    <s v="3007029042"/>
    <s v="INCIDENTE"/>
    <s v="NORTE DE SANTANDER"/>
    <s v="OCAÑA"/>
    <s v="BARRIO CENTRO OCANA"/>
    <s v="REDEBAN"/>
    <s v="FO-25-1961434"/>
    <d v="2025-12-11T15:43:29"/>
    <d v="2025-12-12T09:01:00"/>
    <s v="NO"/>
    <s v="USUARIO"/>
    <s v="COMUNICACION"/>
    <s v="CONEXIONES DE COMERCIO"/>
    <s v="CB UNO A UNO"/>
    <s v="COOGUASIMALES"/>
    <s v="EJECUTADO"/>
    <s v="11/12/2025 SE ESCALA PARA VISITA. LLAMAR ANTES DE VISITAR, CONFIRMAR FALLA Y DATOS | 12/12/2025 SE REALIZA VISITA AL COMERCIO Y SE REALIZA INTEGRACIÓN A CAJA, SE REALIZAN PRUEBAS EXITOSAS"/>
    <s v="VISITA TECNICA"/>
    <s v="BBBBF023"/>
    <s v="TIPO IV"/>
    <s v="TERRESTRE"/>
    <s v="MORA VEGA JEAMPIER"/>
    <n v="1"/>
    <n v="0"/>
    <n v="0"/>
    <n v="0"/>
    <n v="0"/>
    <n v="479590"/>
    <n v="479590"/>
  </r>
  <r>
    <s v="BOGOTA"/>
    <x v="5"/>
    <x v="5"/>
    <s v="25754"/>
    <s v="3130682"/>
    <s v="3007072701"/>
    <s v="INCIDENTE"/>
    <s v="CUNDINAMARCA"/>
    <s v="SOACHA"/>
    <s v="PRADO VEGAS SOACHA 2"/>
    <s v="REDEBAN"/>
    <s v="FO-25-1964892"/>
    <d v="2025-12-12T09:07:11"/>
    <d v="2025-12-14T11:59:00"/>
    <s v="NO"/>
    <s v="USUARIO"/>
    <s v="COMUNICACION"/>
    <s v="CANAL DEL COMERCIO"/>
    <s v="CB UNO A UNO"/>
    <s v="CB UNO A UNO"/>
    <s v="EJECUTADO"/>
    <s v="12/12/2025 SE ESCALA PARA VISITA. LLAMAR ANTES DE VISITAR, CONFIRMAR FALLA Y DATOS | 13/12/2025 SE REALIZA LLAMADA A NÚMEROS REGISTRADOS 3183835633-3138784133 NO HAY CONTACTO, TÉCNICO REALIZARÁ DESPLAZAMIENTO A SITIO DEMORAS EN TRAFICO POR SALIDA DE CARROS DE BOGOTÁ POR SOACHA Y OBRAS DE TRANSMILENIO DEL MUNICIPIO | 13/12/2025 SE REALIZA VISITA TÉCNICA EN SITIO YA QUE NO HUBO CONTACTO PREVIO, ATIENDE DANNA NO INDICA APELLIDO DICE QUE NO TIENE CONOCIMIENTO DE LA VISITA Y QUE EL DATAFONO ESTÁ OPERANDO SIN PROBLEMAS NO ENTREGA SOPORTES Y NO FIRMA CONTROL SERVICIO ESTÁ OPERATIVO TÉCNICO NO MANIPULA TERMINAL"/>
    <s v="VISITA TECNICA"/>
    <s v="0"/>
    <s v="TIPO I"/>
    <s v="TERRESTRE"/>
    <s v="BUSTOS MORA DIEGO MANUEL"/>
    <n v="1"/>
    <n v="0"/>
    <n v="0"/>
    <n v="0"/>
    <n v="0"/>
    <n v="65960"/>
    <n v="65960"/>
  </r>
  <r>
    <s v="MEDELLIN"/>
    <x v="2"/>
    <x v="2"/>
    <s v="5001"/>
    <s v="3132042"/>
    <s v="3007015529"/>
    <s v="INCIDENTE"/>
    <s v="ANTIOQUIA"/>
    <s v="MEDELLIN"/>
    <s v="MULTIPAGAS LA MOTA"/>
    <s v="REDEBAN"/>
    <s v="FO-25-1965873"/>
    <d v="2025-12-12T11:26:58"/>
    <d v="2025-12-12T13:08:00"/>
    <s v="NO"/>
    <s v="USUARIO"/>
    <s v="COMUNICACION"/>
    <s v="CANAL DEL COMERCIO"/>
    <s v="ROBUSTO"/>
    <s v="MULTIPAGAS"/>
    <m/>
    <s v="12/12/2025 SE ESCALA PARA VISITA. LLAMAR ANTES DE VISITAR, CONFIRMAR FALLA Y DATOS | 12/12/2025 SE CONTACTA CON USUARIO ANDERSON DEL RIO - 3215189192 SE EVIDENCIA FALLA DEL INTERNET DEL COMERCIO, SE VERIFICA AJUSTES Y TODO OK, PRUEBAS DE CONEXIÓN OK, USUARIO INFORMA TRABAJAR SIN NOVEDAD, CB OPERATIVO"/>
    <s v="SOPORTE TELEFONICO"/>
    <m/>
    <s v="TIPO I"/>
    <s v="TERRESTRE"/>
    <s v="HERNANDEZ CHAVARRIA JUAN CAMILO"/>
    <n v="0"/>
    <n v="0"/>
    <n v="0"/>
    <n v="0"/>
    <n v="0"/>
    <n v="37905"/>
    <n v="37905"/>
  </r>
  <r>
    <s v="NEIVA"/>
    <x v="0"/>
    <x v="0"/>
    <s v="41551"/>
    <s v="3132225"/>
    <s v="3007017502"/>
    <s v="INCIDENTE"/>
    <s v="HUILA"/>
    <s v="PITALITO"/>
    <s v="CENTRO PITALITO HUILA"/>
    <s v="REDEBAN"/>
    <s v="FO-25-1966140"/>
    <d v="2025-12-12T12:00:32"/>
    <d v="2025-12-14T12:15:00"/>
    <s v="NO"/>
    <s v="USUARIO"/>
    <s v="COMUNICACION"/>
    <s v="CONEXIONES DE COMERCIO"/>
    <s v="CB UNO A UNO"/>
    <s v="CB UNO A UNO"/>
    <s v="EJECUTADO / CANCELADO"/>
    <s v="12/12/2025 SE ESCALA PARA VISITA. LLAMAR ANTES DE VISITAR, CONFIRMAR FALLA Y DATOS | 13/12/2025 SE LLEGA AL PUNTO, LA SEÑORITA CAROLINA MURCIA COMENTA QUE EL DATAFONO ESTÁ TRABAJANDO OK , ELLA MOVIÓ CABLES Y TRABAJO EL EQUIPO, NO HUBO NECESIDAD DE INGRESO A MANIPULAR EQUIPOS."/>
    <s v="VISITA TECNICA"/>
    <s v="00000"/>
    <s v="TIPO III"/>
    <s v="TERRESTRE"/>
    <s v="ANDRADE HERNANDEZ JUAN CARLOS"/>
    <n v="1"/>
    <n v="0"/>
    <n v="0"/>
    <n v="0"/>
    <n v="0"/>
    <n v="275728"/>
    <n v="275728"/>
  </r>
  <r>
    <s v="MEDELLIN"/>
    <x v="2"/>
    <x v="2"/>
    <s v="5631"/>
    <s v="3133920"/>
    <s v="3007069707"/>
    <s v="INCIDENTE"/>
    <s v="ANTIOQUIA"/>
    <s v="SABANETA"/>
    <s v="DISTRICOL  RESPLANDOR TODO PAR"/>
    <s v="REDEBAN"/>
    <s v="FO-25-1968243"/>
    <d v="2025-12-12T17:11:53"/>
    <d v="2025-12-14T10:40:00"/>
    <s v="NO"/>
    <s v="ENTIDAD"/>
    <s v="ERROR DE TRANSACCIONES"/>
    <s v="TRANSACCION NO PERMITIDA"/>
    <s v="AGREGADOR"/>
    <s v="DISTRICOL"/>
    <s v="EJECUTADO"/>
    <s v="12/12/2025 SE ESCALA PARA VISITA. LLAMAR ANTES DE VISITAR, CONFIRMAR FALLA Y DATOS | 13/12/2025 EQUIPO DESCONFIGURADO, SE VUELVE A CONFIGURAR PARAMETROS, PRUEBAS Y TODO OK"/>
    <s v="VISITA TECNICA"/>
    <s v="MN002473"/>
    <s v="TIPO I"/>
    <s v="TERRESTRE"/>
    <s v="HERNANDEZ CHAVARRIA JUAN CAMILO"/>
    <n v="1"/>
    <n v="0"/>
    <n v="0"/>
    <n v="0"/>
    <n v="0"/>
    <n v="65960"/>
    <n v="65960"/>
  </r>
  <r>
    <s v="APARTADO"/>
    <x v="2"/>
    <x v="2"/>
    <s v="5045"/>
    <s v="3134639"/>
    <s v="3007070262"/>
    <s v="INCIDENTE"/>
    <s v="ANTIOQUIA"/>
    <s v="APARTADO"/>
    <s v="DISTRICOL  AL NATURAL JUGS"/>
    <s v="REDEBAN"/>
    <s v="FO-25-1970121"/>
    <d v="2025-12-13T11:18:22"/>
    <d v="2025-12-15T13:58:00"/>
    <s v="NO"/>
    <s v="USUARIO"/>
    <s v="COMUNICACION"/>
    <s v="CANAL DEL COMERCIO"/>
    <s v="AGREGADOR"/>
    <s v="DISTRICOL"/>
    <m/>
    <s v="13/12/2025 SE ESCALA PARA VISITA. LLAMAR ANTES DE VISITAR, CONFIRMAR FALLA Y DATOS | 13/12/2025 SE RELAIZO CONTACTO TELEFONICO SE HABLO LA SEÑORA BEATRIZ EUGENIA VELAZQUEZ EN EL TELEFONO 3016249493 SE HACEN LA VALIDACIONES DE CONEXION DEL DATAFANO SE ENCUENTRA NORMAL, APARENTE PUERTO LAN DEL DATAFONO AVERIADO NNO SE ALCANZA A VISITAR, REDEBAN SOLO FUNCIONA PARA CAMBIOS HASTA LA 1PM | 15/12/2025 CLIENTE INDICA QUE NO TENÍA INTERNET EN SU COMERCIO, AL VERIFICAR EL SWICTH Y REINICIALO RETOMO EL INTERNET EN EL DATAFONO."/>
    <s v="SOPORTE TELEFONICO"/>
    <m/>
    <s v="TIPO I"/>
    <s v="TERRESTRE"/>
    <s v="CASTRO HENAO DANIEL ESTEBAN"/>
    <n v="0"/>
    <n v="0"/>
    <n v="0"/>
    <n v="0"/>
    <n v="0"/>
    <n v="37905"/>
    <n v="37905"/>
  </r>
  <r>
    <s v="BUCARAMANGA"/>
    <x v="4"/>
    <x v="4"/>
    <s v="68406"/>
    <s v="3134640"/>
    <s v="3007067508"/>
    <s v="INCIDENTE"/>
    <s v="SANTANDER"/>
    <s v="LEBRIJA"/>
    <s v="PTM LEBRIJA VARIEDADES LIYU"/>
    <s v="REDEBAN"/>
    <s v="FO-25-1970386"/>
    <d v="2025-12-13T11:20:45"/>
    <d v="2025-12-15T09:42:00"/>
    <s v="NO"/>
    <s v="USUARIO"/>
    <s v="LECTOR DE BARRAS"/>
    <s v="ERROR PAGOS PARCIALES DE FACTURAS"/>
    <s v="AGREGADOR"/>
    <s v="COMCARD - PTM"/>
    <m/>
    <s v="13/12/2025 SE ESCALA PARA VISITA. LLAMAR ANTES DE VISITAR, CONFIRMAR FALLA Y DATOS | 15/12/2025 EN COMUNICACIÓN CON LA SEÑORA YULITZA AL MOVIL 3203770878, INDICA QUE EL LECTOR DE CÓDIGO DE BARRAS ESTA OPERANDO CORRECTAMENTE, INDICA QUE NO REQUIERE DE LA VISITA TÉCNICA, SE LE INDICA QUE SE PROCEDE A CERRAR LA ORDEN QUÉ ANTE UNA NUEVA NOVEDAD DEBE SOLICITAR UNA NUEVA ORDEN."/>
    <s v="SOPORTE TELEFONICO"/>
    <m/>
    <s v="TIPO II"/>
    <s v="TERRESTRE"/>
    <s v="SANTOS GONZALEZ JOHAN FABIAN"/>
    <n v="0"/>
    <n v="0"/>
    <n v="0"/>
    <n v="0"/>
    <n v="0"/>
    <n v="37905"/>
    <n v="37905"/>
  </r>
  <r>
    <s v="IBAGUE"/>
    <x v="0"/>
    <x v="0"/>
    <s v="73616"/>
    <s v="3134646"/>
    <s v="3007028327"/>
    <s v="INCIDENTE"/>
    <s v="TOLIMA"/>
    <s v="RIOBLANCO"/>
    <s v="CENTRO HERRERA RIOBLANCO   TOL"/>
    <s v="REDEBAN"/>
    <s v="FO-25-1970375"/>
    <d v="2025-12-13T11:44:23"/>
    <d v="2025-12-22T09:45:00"/>
    <s v="NO"/>
    <s v="USUARIO"/>
    <s v="COMUNICACION"/>
    <s v="CONEXIONES DE COMERCIO"/>
    <s v="CB UNO A UNO"/>
    <s v="CB UNO A UNO"/>
    <m/>
    <s v="13/12/2025 SE ESCALA PARA VISITA. LLAMAR ANTES DE VISITAR, CONFIRMAR FALLA Y DATOS | 22/12/2025 SE LLAMA AL SEÑOR WILINTON GONZÁLEZ, AL NÚMERO 3209271925, ME INDICA QUE EL DATAFONO ESTÁ FUNCIONANDO CORRECTAMENTE Y QUE EL PROBLEMA DE LA IMPRESORA ERA EL ROLLO QUE ESTABA MALO, LO CAMBIO Y EL DATÁFONO ESTÁ IMPRIMIENDO BIEN."/>
    <s v="SOPORTE TELEFONICO"/>
    <m/>
    <s v="TIPO IV"/>
    <s v="TERRESTRE"/>
    <s v="VARGAS HERRERA JHON JAIRO"/>
    <n v="0"/>
    <n v="0"/>
    <n v="0"/>
    <n v="0"/>
    <n v="0"/>
    <n v="37905"/>
    <n v="37905"/>
  </r>
  <r>
    <s v="VILLAVICENCIO"/>
    <x v="0"/>
    <x v="0"/>
    <s v="95001"/>
    <s v="3134649"/>
    <s v="3007062794"/>
    <s v="INCIDENTE"/>
    <s v="GUAVIARE"/>
    <s v="SAN JOSE DEL GUAVIARE"/>
    <s v="BARRIO EL PORVENIR SAN JOSE DE"/>
    <s v="REDEBAN"/>
    <s v="FO-25-1970167"/>
    <d v="2025-12-13T11:49:23"/>
    <d v="2025-12-15T15:13:00"/>
    <s v="NO"/>
    <s v="USUARIO"/>
    <s v="COMUNICACION"/>
    <s v="CANAL DEL COMERCIO"/>
    <s v="CB UNO A UNO"/>
    <s v="CB UNO A UNO"/>
    <m/>
    <s v="13/12/2025 SE ESCALA PARA VISITA. LLAMAR ANTES DE VISITAR, CONFIRMAR FALLA Y DATOS | 15/12/2025 SE CONTACTA A LA SEÑORA YURLEY BARRETO CRISTANCHO 3222173240 AL NUMERO  SE REALIZA VALIDACION SE LE INDICA COMERCIO QUE DEBE LLAMAR A GESTION PARA RELIZAR BORRADO U OTRAS CONFUGURACIONES PARA QUE NO DESCONFIGURE O MANIPIULE CONFIGURACIONES DEL EQUIPO SEENTREGA OPERATIVO SIN NOVEDAS"/>
    <s v="SOPORTE TELEFONICO"/>
    <m/>
    <s v="TIPO IV"/>
    <s v="TERRESTRE"/>
    <s v="ROZO JIMENEZ EDGAR ARMANDO"/>
    <n v="0"/>
    <n v="0"/>
    <n v="0"/>
    <n v="0"/>
    <n v="0"/>
    <n v="37905"/>
    <n v="37905"/>
  </r>
  <r>
    <s v="IBAGUE"/>
    <x v="0"/>
    <x v="0"/>
    <s v="73585"/>
    <s v="3134694"/>
    <s v="3007047760"/>
    <s v="INCIDENTE"/>
    <s v="TOLIMA"/>
    <s v="PURIFICACION"/>
    <s v="BARRIO EL TRIANGULO PURIFICACI"/>
    <s v="REDEBAN"/>
    <s v="FO-25-1971818"/>
    <d v="2025-12-14T09:48:21"/>
    <d v="2025-12-16T09:43:00"/>
    <s v="NO"/>
    <s v="USUARIO"/>
    <s v="CIERRE"/>
    <s v="COMERCIO NO REALIZA CIERRE"/>
    <s v="CB UNO A UNO"/>
    <s v="CB UNO A UNO"/>
    <m/>
    <s v="14/12/2025 SE ESCALA PARA VISITA. LLAMAR ANTES DE VISITAR, CONFIRMAR FALLA Y DATOS | 16/12/2025 EN COMUNICACIÓN CON EL CLIENTE EL SEÑOR CÉSAR RODRÍGUEZ,AL NÚMERO +57 311 5152036, INDICA QUE NOS PUEDE RECIBIR SOLO HASTA  DESPUÉS DE LAS 2 DE LA TARDE YA QUE SE ENCUENTRA HACIENDO UNA DILIGENCIA FUERA DEL MUNICIPIO | 16/12/2025 EN COMUNICACIÓN CON EL CLIENTE VÍA TELEFÓNICA, EL SEÑOR CÉSAR RODRÍGUEZ VÍA +573115152036, SE CREA USUARIO SUPERVISOR PRUEBAS OK, CB OPERATIVO"/>
    <s v="SOPORTE TELEFONICO"/>
    <m/>
    <s v="TIPO II"/>
    <s v="TERRESTRE"/>
    <s v="DEVIA REINOSO JUAN CARLOS"/>
    <n v="0"/>
    <n v="0"/>
    <n v="0"/>
    <n v="0"/>
    <n v="0"/>
    <n v="37905"/>
    <n v="37905"/>
  </r>
  <r>
    <s v="CALI"/>
    <x v="1"/>
    <x v="1"/>
    <s v="76001"/>
    <s v="3134828"/>
    <s v="3007075926"/>
    <s v="INCIDENTE"/>
    <s v="VALLE DEL CAUCA"/>
    <s v="CALI"/>
    <s v="BARRIO COLSEGUROS CALI 1"/>
    <s v="REDEBAN"/>
    <s v="FO-25-1970362"/>
    <d v="2025-12-13T11:53:40"/>
    <d v="2025-12-15T11:05:00"/>
    <s v="NO"/>
    <s v="USUARIO"/>
    <s v="COMUNICACION"/>
    <s v="CANAL DEL COMERCIO"/>
    <s v="UNO A UNO"/>
    <s v="UNO A UNO"/>
    <s v="EJECUTADO / CANCELADO"/>
    <s v="13/12/2025 SE ESCALA PARA VISITA. LLAMAR ANTES DE VISITAR, CONFIRMAR FALLA Y DATOS | 14/12/2025 SE REALIZARA VISITA EL DIA LUNES YA QUE EL CLIENTE SOLO LABORA LOS SABADOS HASTA MEDIO DIA. Y NO LABORA LOS DIAS DOMINGO | 15/12/2025 SE LLEGA AL COMERCIO LA SEÑORA MARÍA PAULA INFORMA QUE EL EQUIPO YA ESTÁ BUENO NO PERMITEN INGRESO YA QUE NO HAY AUTORIZACIÓN TAMPOCO FIRMA LOS SOLAMENTE NOS COMPARTE UN RECIBO DEL DÍA DE HOY"/>
    <s v="VISITA TECNICA"/>
    <m/>
    <s v="TIPO I"/>
    <s v="TERRESTRE"/>
    <s v="PALACIOS GOMEZ BRAHIAN ANDRES"/>
    <n v="1"/>
    <n v="0"/>
    <n v="0"/>
    <n v="0"/>
    <n v="0"/>
    <n v="65960"/>
    <n v="65960"/>
  </r>
  <r>
    <s v="APARTADO"/>
    <x v="2"/>
    <x v="2"/>
    <s v="5172"/>
    <s v="3137415"/>
    <s v="3007038905"/>
    <s v="INCIDENTE"/>
    <s v="ANTIOQUIA"/>
    <s v="CHIGORODO"/>
    <s v="DISTRICOL CELULARES XIMENA"/>
    <s v="REDEBAN"/>
    <s v="FO-25-1974545"/>
    <d v="2025-12-15T10:23:41"/>
    <d v="2025-12-16T12:22:00"/>
    <s v="NO"/>
    <s v="USUARIO"/>
    <s v="MANTENIMIENTO"/>
    <s v="MANTENIMIENTO GENERAL"/>
    <s v="AGREGADOR"/>
    <s v="DISTRICOL"/>
    <s v="EJECUTADO"/>
    <s v="15/12/2025 SE ESCALA PARA VISITA. LLAMAR ANTES DE VISITAR, CONFIRMAR FALLA Y DATOS | 16/12/2025 SE CAPACITACIÓN AL CLIENTE EN EL USO DEL DATAFONO, COMO RETIRAR LA TIRILLA Y COMO REINICIAR DATAFONO CADA VEZ QUE SE BLOQUEE"/>
    <s v="VISITA TECNICA"/>
    <s v="HA007027"/>
    <s v="TIPO II"/>
    <s v="TERRESTRE"/>
    <s v="CASTRO HENAO DANIEL ESTEBAN"/>
    <n v="1"/>
    <n v="0"/>
    <n v="0"/>
    <n v="0"/>
    <n v="0"/>
    <n v="163814"/>
    <n v="163814"/>
  </r>
  <r>
    <s v="IBAGUE"/>
    <x v="0"/>
    <x v="0"/>
    <s v="17380"/>
    <s v="3137587"/>
    <s v="3007078708"/>
    <s v="INCIDENTE"/>
    <s v="CALDAS"/>
    <s v="LA DORADA"/>
    <s v="PTM LA DORADA D D MULTISERVICI"/>
    <s v="REDEBAN"/>
    <s v="FO-25-1974851"/>
    <d v="2025-12-15T10:57:20"/>
    <d v="2025-12-22T17:41:00"/>
    <s v="NO"/>
    <s v="USUARIO"/>
    <s v="NO ENCIENDE"/>
    <s v="CONEXIONES DE COMERCIO"/>
    <s v="AGREGADOR"/>
    <s v="COMCARD - PTM"/>
    <s v="EJECUTADO"/>
    <s v="15/12/2025 SE ESCALA PARA VISITA. LLAMAR ANTES DE VISITAR, CONFIRMAR FALLA Y DATOS | 22/12/2025 SE VISITA COMERCIO PERO INDICA QUE EL DATÁFONO YA ESTÁ EN BUEN FUNCIONAMIENTO SE VERIFICA TRANSACCIONES OK"/>
    <s v="VISITA TECNICA"/>
    <s v="A1RZZ258"/>
    <s v="TIPO III"/>
    <s v="TERRESTRE"/>
    <s v="LEAL POVEDA YOHAN SEBASTIAN"/>
    <n v="1"/>
    <n v="0"/>
    <n v="0"/>
    <n v="0"/>
    <n v="0"/>
    <n v="275728"/>
    <n v="275728"/>
  </r>
  <r>
    <s v="APARTADO"/>
    <x v="2"/>
    <x v="2"/>
    <s v="5045"/>
    <s v="3139291"/>
    <s v="3007061651"/>
    <s v="INCIDENTE"/>
    <s v="ANTIOQUIA"/>
    <s v="APARTADO"/>
    <s v="PAGAFACIL  PLAZA DEL RIO"/>
    <s v="REDEBAN"/>
    <s v="FO-25-1976527"/>
    <d v="2025-12-15T14:38:19"/>
    <d v="2025-12-16T09:45:00"/>
    <s v="NO"/>
    <s v="USUARIO"/>
    <s v="CIERRE"/>
    <s v="COMERCIO NO REALIZA CIERRE"/>
    <s v="ROBUSTO"/>
    <s v="PAGAFACIL"/>
    <s v="EJECUTADO"/>
    <s v="15/12/2025 SE ESCALA PARA VISITA. LLAMAR ANTES DE VISITAR, CONFIRMAR FALLA Y DATOS | 16/12/2025 SE VERIFICA DATAFONO DESK 2600, SE LE INDICA A CLIENTE QUE DEBE REINICIAR EL DATAFONO RETIRANDO BATERÍA Y CABLE DE DATOS PARA DARLE UN REINICIO PROFUNDO, DATAFONO SE ENCUENTRA OPERATIVO. EVIDENCIAS ADJUNTAS."/>
    <s v="VISITA TECNICA"/>
    <s v="FUA0K569"/>
    <s v="TIPO I"/>
    <s v="TERRESTRE"/>
    <s v="CASTRO HENAO DANIEL ESTEBAN"/>
    <n v="1"/>
    <n v="0"/>
    <n v="0"/>
    <n v="0"/>
    <n v="0"/>
    <n v="65960"/>
    <n v="65960"/>
  </r>
  <r>
    <s v="CUCUTA"/>
    <x v="4"/>
    <x v="4"/>
    <s v="54498"/>
    <s v="3139592"/>
    <s v="3007043390"/>
    <s v="INCIDENTE"/>
    <s v="NORTE DE SANTANDER"/>
    <s v="OCAÑA"/>
    <s v="PTM OCANA EL CAMPEON"/>
    <s v="REDEBAN"/>
    <s v="FO-25-1977118"/>
    <d v="2025-12-15T15:24:29"/>
    <d v="2025-12-23T11:40:00"/>
    <s v="NO"/>
    <s v="USUARIO"/>
    <s v="LECTOR DE BARRAS"/>
    <s v="CAPACITACION MANIPULACION DE COMERCIO"/>
    <s v="AGREGADOR"/>
    <s v="COMCARD - PTM"/>
    <m/>
    <s v="15/12/2025 SE ESCALA PARA VISITA. LLAMAR ANTES DE VISITAR, CONFIRMAR FALLA Y DATOS | 16/12/2025 SE REALIZA LLAMADA TELEFÓNICA AL NÚMERO 3132568932 SE HABLÓ CON LA SRA NATALIA, SE LE MANIFIESTA QUE POR MOTIVO DE PARO A NIVEL NACIONAL, NO SE ESTÁ VIAJANDO A LA ZONA DE OCAÑA, HASTA NUEVA ORDEN. | 23/12/2025 SE COMUNICA CON LA CLIENTE NATALIA ARIAS AL #3132568932, NOS INFORMA QUE LA FALLA DEL LECTOR DE BARRAS YA SE SOLUCIONO. CB OPERATIVO."/>
    <s v="SOPORTE TELEFONICO"/>
    <m/>
    <s v="TIPO IV"/>
    <s v="TERRESTRE"/>
    <s v="NARANJO AFANADOR RUBEN JESUS"/>
    <n v="0"/>
    <n v="0"/>
    <n v="0"/>
    <n v="0"/>
    <n v="0"/>
    <n v="37905"/>
    <n v="37905"/>
  </r>
  <r>
    <s v="SINCELEJO"/>
    <x v="3"/>
    <x v="3"/>
    <s v="70708"/>
    <s v="3140500"/>
    <s v="3007082064"/>
    <s v="INCIDENTE"/>
    <s v="SUCRE"/>
    <s v="SAN MARCOS"/>
    <s v="DISTRICOL DROGUERÍA FARMASUCRE"/>
    <s v="REDEBAN"/>
    <s v="FO-25-1978337"/>
    <d v="2025-12-15T16:27:05"/>
    <d v="2025-12-17T14:10:00"/>
    <s v="NO"/>
    <s v="USUARIO"/>
    <s v="USUARIOS"/>
    <s v="TAPA MAL ASEGURADA"/>
    <s v="AGREGADOR"/>
    <s v="DISTRICOL"/>
    <s v="EJECUTADO"/>
    <s v="15/12/2025 SE ESCALA PARA VISITA. LLAMAR ANTES DE VISITAR, CONFIRMAR FALLA Y DATOS | 17/12/2025 SE VISITA COMERCIO POR FALLA, YA QUE NO LE ESTABA IMPRIMIENDO LOS VOUCHER, SE VERIFICA Y SE EVIDENCIA TAPA MAL ASEGURADA, SE LE EXPLICA A LA ENCARGADA DEL FUNCIONAMIENTO, SE ENCUENTRA CON LA VERSIÓN 10.3, SE REALIZAN PRUEBAS OK."/>
    <s v="VISITA TECNICA"/>
    <s v="CA001882"/>
    <s v="TIPO III"/>
    <s v="TERRESTRE"/>
    <s v="CACERES HERNANDEZ ANDRES"/>
    <n v="1"/>
    <n v="0"/>
    <n v="0"/>
    <n v="0"/>
    <n v="0"/>
    <n v="275728"/>
    <n v="275728"/>
  </r>
  <r>
    <s v="CALI"/>
    <x v="1"/>
    <x v="1"/>
    <s v="19001"/>
    <s v="3141948"/>
    <s v="3007074737"/>
    <s v="INCIDENTE"/>
    <s v="CAUCA"/>
    <s v="POPAYAN"/>
    <s v="BARRIO SAN CAMILO POPAYAN 1"/>
    <s v="REDEBAN"/>
    <s v="FO-25-1980965"/>
    <d v="2025-12-16T08:58:43"/>
    <d v="2025-12-16T10:18:00"/>
    <s v="NO"/>
    <s v="USUARIO"/>
    <s v="MANTENIMIENTO"/>
    <s v="MANTENIMIENTO GENERAL"/>
    <s v="CB UNO A UNO"/>
    <s v="CB UNO A UNO"/>
    <m/>
    <s v="16/12/2025 SE PROCEDE A CERRAR CASO POR ROBO DE DATAFONO SE INTENTA COMUNICACION CON EL USUARIO PERO NO CONTESTA | 16/12/2025 SE PROCEDE A CERRAR CASO POR ROBO DE DATAFONO SE INTENTA COMUNICACION CON EL USUARIO PERO NO CONTESTA | 16/12/2025 SE PROCEDE A CERRAR CASO POR ROBO DE DATAFONO SE INTENTA COMUNICACION CON EL USUARIO PERO NO CONTESTA"/>
    <s v="SOPORTE TELEFONICO"/>
    <m/>
    <s v="TIPO III"/>
    <s v="TERRESTRE"/>
    <s v="HENAO CARDONA DIEGO FERNANDO"/>
    <n v="0"/>
    <n v="0"/>
    <n v="0"/>
    <n v="0"/>
    <n v="0"/>
    <n v="37905"/>
    <n v="37905"/>
  </r>
  <r>
    <s v="BUCARAMANGA"/>
    <x v="4"/>
    <x v="4"/>
    <s v="68307"/>
    <s v="3144980"/>
    <s v="3007040306"/>
    <s v="INCIDENTE"/>
    <s v="SANTANDER"/>
    <s v="GIRON"/>
    <s v="BARRIO CENTRO COMERCIAL CHIMIT"/>
    <s v="REDEBAN"/>
    <s v="FO-25-1983310"/>
    <d v="2025-12-16T14:47:44"/>
    <d v="2025-12-17T10:09:00"/>
    <s v="NO"/>
    <s v="USUARIO"/>
    <s v="COMUNICACION"/>
    <s v="CANAL DEL COMERCIO"/>
    <s v="UNO A UNO"/>
    <s v="CB UNO A UNO"/>
    <s v="EJECUTADO"/>
    <s v="16/12/2025 SE ESCALA PARA VISITA. LLAMAR ANTES DE VISITAR, CONFIRMAR FALLA Y DATOS | 17/12/2025 DATAFONO ARROJA CABLE DE RED DESCONECTADO, PROCEDE  VALIDAR CON OTRA CONEXIÓN Y FUNCIONA CORRECTAMENTE, SE LE INDICA AL CLIENTE QUE LA FALLA EN EL OPERADOR DE INTERNET, SE HACEN PRUEBAS OK"/>
    <s v="VISITA TECNICA"/>
    <s v="AA0JZ985"/>
    <s v="TIPO I"/>
    <s v="TERRESTRE"/>
    <s v="GELVEZ MOGOLLON JOSE ELISEO"/>
    <n v="1"/>
    <n v="0"/>
    <n v="0"/>
    <n v="0"/>
    <n v="0"/>
    <n v="65960"/>
    <n v="65960"/>
  </r>
  <r>
    <s v="BOGOTA"/>
    <x v="5"/>
    <x v="5"/>
    <s v="11001"/>
    <s v="3145077"/>
    <s v="3007058748"/>
    <s v="INCIDENTE"/>
    <s v="CUNDINAMARCA"/>
    <s v="BOGOTA"/>
    <s v="REVAL CADE LUCEROS"/>
    <s v="REDEBAN"/>
    <s v="FO-25-1983404"/>
    <d v="2025-12-16T14:57:39"/>
    <d v="2025-12-17T11:17:00"/>
    <s v="NO"/>
    <s v="USUARIO"/>
    <s v="COMUNICACION"/>
    <s v="CONEXIONES DE COMERCIO"/>
    <s v="ROBUSTO"/>
    <s v="REVAL"/>
    <s v="EJECUTADO"/>
    <s v="16/12/2025 SE ESCALA PARA VISITA. LLAMAR ANTES DE VISITAR, CONFIRMAR FALLA Y DATOS | 17/12/2025 SE REALIZA VISITA A COMERCIO, SE VALIDA CONEXIONES POR PARTE DEL COMERCIO, Y NO TENIA ACCESO A INTERNET, SE PROCEDE A REALIZAR CONEXIONES, DE REALIZAN PRUEBAS EXITOSAS SIN NOVEDAD."/>
    <s v="VISITA TECNICA"/>
    <s v="JA001232"/>
    <s v="TIPO I"/>
    <s v="TERRESTRE"/>
    <s v="ARIAS QUILINDO JULIAN"/>
    <n v="1"/>
    <n v="0"/>
    <n v="0"/>
    <n v="0"/>
    <n v="0"/>
    <n v="65960"/>
    <n v="65960"/>
  </r>
  <r>
    <s v="MEDELLIN"/>
    <x v="2"/>
    <x v="2"/>
    <s v="5212"/>
    <s v="3146554"/>
    <s v="3007030570"/>
    <s v="INCIDENTE"/>
    <s v="ANTIOQUIA"/>
    <s v="COPACABANA"/>
    <s v="ARRIO VILLA NUEVA COPACABANA"/>
    <s v="REDEBAN"/>
    <s v="FO-25-1985774"/>
    <d v="2025-12-17T08:00:00"/>
    <d v="2025-12-17T16:13:00"/>
    <s v="NO"/>
    <s v="USUARIO"/>
    <s v="COMUNICACION"/>
    <s v="CONEXIONES DE COMERCIO"/>
    <s v="CB UNO A UNO"/>
    <s v="CB UNO A UNO"/>
    <s v="EJECUTADO"/>
    <s v="17/12/2025 SE ESCALA PARA VISITA. LLAMAR ANTES DE VISITAR, CONFIRMAR FALLA Y DATOS | 17/12/2025 SE VERIFICAN CONEXIONES DEL COMERCIO Y SE IDENTIFICA EL CABLE DE RED MAL CONECTADO, SE DEJAN SERVICIOS FUNCIONANDO CORRECTAMENTE"/>
    <s v="VISITA TECNICA"/>
    <s v="BL01Y284"/>
    <s v="TIPO I"/>
    <s v="TERRESTRE"/>
    <s v="BARRIENTOS HERNANDEZ CRISTIAN HORACIO"/>
    <n v="1"/>
    <n v="0"/>
    <n v="0"/>
    <n v="0"/>
    <n v="0"/>
    <n v="65960"/>
    <n v="65960"/>
  </r>
  <r>
    <s v="CALI"/>
    <x v="1"/>
    <x v="1"/>
    <s v="76248"/>
    <s v="3146575"/>
    <s v="3007016798"/>
    <s v="INCIDENTE"/>
    <s v="VALLE DEL CAUCA"/>
    <s v="EL CERRITO"/>
    <s v="BARRIO LA ESTRELLA EL CERRITO"/>
    <s v="REDEBAN"/>
    <s v="FO-25-1985902"/>
    <d v="2025-12-17T08:00:00"/>
    <d v="2025-12-17T12:44:00"/>
    <s v="NO"/>
    <s v="USUARIO"/>
    <s v="USUARIOS"/>
    <s v="CREACION DE USUARIOS"/>
    <s v="CB UNO A UNO"/>
    <s v="CB UNO A UNO"/>
    <s v="EJECUTADO"/>
    <s v="17/12/2025 SE ESCALA PARA VISITA. LLAMAR ANTES DE VISITAR, CONFIRMAR FALLA Y DATOS | 17/12/2025 SE REALIZA VISITA TÉCNICA AL COMERCIO PARA REALIZAR CAMBIO DE CLAVE DE USUARIO YA QUE AL CLIENTE SE EL OLVIDO EL USUARIO PARA ENTRAR"/>
    <s v="VISITA TECNICA"/>
    <s v="JFZZZ742"/>
    <s v="TIPO II"/>
    <s v="TERRESTRE"/>
    <s v="ESCOBAR LENIS JUAN SEBASTIAN"/>
    <n v="1"/>
    <n v="0"/>
    <n v="0"/>
    <n v="0"/>
    <n v="0"/>
    <n v="163814"/>
    <n v="163814"/>
  </r>
  <r>
    <s v="PEREIRA"/>
    <x v="1"/>
    <x v="6"/>
    <s v="63001"/>
    <s v="3150587"/>
    <s v="3007018910"/>
    <s v="INCIDENTE"/>
    <s v="QUINDIO"/>
    <s v="ARMENIA"/>
    <s v="MULTIPAGAS ARMENIA"/>
    <s v="REDEBAN"/>
    <s v="FO-25-1992298"/>
    <d v="2025-12-17T15:44:26"/>
    <d v="2025-12-18T10:08:00"/>
    <s v="NO"/>
    <s v="USUARIO"/>
    <s v="MANTENIMIENTO"/>
    <s v="MANTENIMIENTO GENERAL"/>
    <s v="ROBUSTO"/>
    <s v="MULTIPAGAS"/>
    <s v="EJECUTADO"/>
    <s v="17/12/2025 SE ESCALA PARA VISITA. LLAMAR ANTES DE VISITAR, CONFIRMAR FALLA Y DATOS | 18/12/2025 SE VISITA COMERCIO SE REALIZÓ VERIFICACIÓN DE CONEXIONES, VERIFICACIÓN DE EQUIPOS, SE REALIZÓ PRUEBAS OK."/>
    <s v="VISITA TECNICA"/>
    <s v="GZ0OZ597"/>
    <s v="TIPO II"/>
    <s v="TERRESTRE"/>
    <s v="SANCHEZ SOLORZANO JUAN SEBASTIAN"/>
    <n v="1"/>
    <n v="0"/>
    <n v="0"/>
    <n v="0"/>
    <n v="0"/>
    <n v="163814"/>
    <n v="163814"/>
  </r>
  <r>
    <s v="APARTADO"/>
    <x v="2"/>
    <x v="2"/>
    <s v="5480"/>
    <s v="3150901"/>
    <s v="3007030310"/>
    <s v="INCIDENTE"/>
    <s v="ANTIOQUIA"/>
    <s v="MUTATA"/>
    <s v="BARRIO CALLE PRINCIPAL MUTATA"/>
    <s v="REDEBAN"/>
    <s v="FO-25-1992223"/>
    <d v="2025-12-17T15:43:15"/>
    <d v="2025-12-19T12:39:00"/>
    <s v="NO"/>
    <s v="USUARIO"/>
    <s v="MANTENIMIENTO"/>
    <s v="MANTENIMIENTO GENERAL"/>
    <s v="CB UNO A UNO"/>
    <s v="CB UNO A UNO"/>
    <s v="EJECUTADO"/>
    <s v="17/12/2025 SE ESCALA PARA VISITA. LLAMAR ANTES DE VISITAR, CONFIRMAR FALLA Y DATOS | 19/12/2025 SE REALIZA REPISADO DE PARÁMETROS Y QUEDA OK"/>
    <s v="VISITA TECNICA"/>
    <s v="BRZZZ288"/>
    <s v="TIPO II"/>
    <s v="TERRESTRE"/>
    <s v="CASTRO HENAO DANIEL ESTEBAN"/>
    <n v="1"/>
    <n v="0"/>
    <n v="0"/>
    <n v="0"/>
    <n v="0"/>
    <n v="163814"/>
    <n v="163814"/>
  </r>
  <r>
    <s v="MEDELLIN"/>
    <x v="2"/>
    <x v="2"/>
    <s v="5604"/>
    <s v="3153174"/>
    <s v="3007080457"/>
    <s v="INCIDENTE"/>
    <s v="ANTIOQUIA"/>
    <s v="REMEDIOS"/>
    <s v="BARRIO REMEDIOS REMEDIOS 1"/>
    <s v="REDEBAN"/>
    <s v="FO-25-1996041"/>
    <d v="2025-12-18T09:39:40"/>
    <d v="2025-12-18T18:05:00"/>
    <s v="NO"/>
    <s v="USUARIO"/>
    <s v="COMUNICACION"/>
    <s v="CANAL DEL COMERCIO"/>
    <s v="UNO A UNO"/>
    <s v="UNO A UNO"/>
    <s v="EJECUTADO"/>
    <s v="18/12/2025 SE ESCALA PARA VISITA. LLAMAR ANTES DE VISITAR, CONFIRMAR FALLA Y DATOS | 18/12/2025 SE VERIFICAN SERVICIOS Y CONEXIONES, SERVICIOS ESTÁN OK POSIBLE CAÍDA DEL CANAL DEL COMERCIO"/>
    <s v="VISITA TECNICA"/>
    <s v="SAZZZ791"/>
    <s v="TIPO IV"/>
    <s v="TERRESTRE"/>
    <s v="BARRIENTOS HERNANDEZ CRISTIAN HORACIO"/>
    <n v="1"/>
    <n v="0"/>
    <n v="0"/>
    <n v="0"/>
    <n v="0"/>
    <n v="479590"/>
    <n v="479590"/>
  </r>
  <r>
    <s v="VILLAVICENCIO"/>
    <x v="0"/>
    <x v="0"/>
    <s v="50313"/>
    <s v="3155311"/>
    <s v="3007076270"/>
    <s v="INCIDENTE"/>
    <s v="META"/>
    <s v="GRANADA"/>
    <s v="BARRIO BELEN GRANDA"/>
    <s v="REDEBAN"/>
    <s v="FO-25-1997120"/>
    <d v="2025-12-18T14:02:51"/>
    <d v="2025-12-18T16:18:00"/>
    <s v="NO"/>
    <s v="USUARIO"/>
    <s v="NO ENCIENDE"/>
    <s v="CONEXIONES DE COMERCIO"/>
    <s v="CB UNO A UNO"/>
    <s v="CB UNO A UNO"/>
    <s v="EJECUTADO"/>
    <s v="18/12/2025 SE ESCALA PARA VISITA. LLAMAR ANTES DE VISITAR, CONFIRMAR FALLA Y DATOS | 18/12/2025 SE AJUSTA CONEXIÓN DE CABLE DE PODER YA QUE DEBAJO DE LA VITRINA SE ENCONTRÓ DESCONECTADO SE LE INFORMA A LA PERSONA QUE ATIENDE AJUSTANDO LAS CONEXIONES Y ENTREGANDO OPERATIVO SIN NOVEDAD JANEY TRIANA"/>
    <s v="VISITA TECNICA"/>
    <s v="EG0OZ132"/>
    <s v="TIPO II"/>
    <s v="TERRESTRE"/>
    <s v="ROZO JIMENEZ EDGAR ARMANDO"/>
    <n v="1"/>
    <n v="0"/>
    <n v="0"/>
    <n v="0"/>
    <n v="0"/>
    <n v="163814"/>
    <n v="163814"/>
  </r>
  <r>
    <s v="PEREIRA"/>
    <x v="1"/>
    <x v="6"/>
    <s v="76828"/>
    <s v="3156309"/>
    <s v="3007011694"/>
    <s v="INCIDENTE"/>
    <s v="VALLE DEL CAUCA"/>
    <s v="TRUJILLO"/>
    <s v="TRUJILLO  VALLE DEL CAUCA"/>
    <s v="REDEBAN"/>
    <s v="FO-25-1998373"/>
    <d v="2025-12-18T16:06:05"/>
    <d v="2025-12-19T13:21:00"/>
    <s v="NO"/>
    <s v="USUARIO"/>
    <s v="MANTENIMIENTO"/>
    <s v="MANTENIMIENTO GENERAL"/>
    <s v="CB UNO A UNO"/>
    <s v="CB UNO A UNO"/>
    <s v="EJECUTADO"/>
    <s v="18/12/2025 SE ESCALA PARA VISITA. LLAMAR ANTES DE VISITAR, CONFIRMAR FALLA Y DATOS | 19/12/2025 VISITAMOS COMERCIO LA TAPA DE LA IMPRESORA ESTABA MAL PUESTA  LA AJUSTAMOS BIEN REALIZAMOS PRUEBAS OK DATÁFONO QUEDA FUNCIONANDO."/>
    <s v="VISITA TECNICA"/>
    <s v="JAAAD113"/>
    <s v="TIPO II"/>
    <s v="TERRESTRE"/>
    <s v="ARROYAVE CANO MANUEL GUILLERMO"/>
    <n v="1"/>
    <n v="0"/>
    <n v="0"/>
    <n v="0"/>
    <n v="0"/>
    <n v="163814"/>
    <n v="163814"/>
  </r>
  <r>
    <s v="MEDELLIN"/>
    <x v="2"/>
    <x v="2"/>
    <s v="5001"/>
    <s v="3156454"/>
    <s v="3007023659"/>
    <s v="INCIDENTE"/>
    <s v="ANTIOQUIA"/>
    <s v="MEDELLIN"/>
    <s v="COMCARD MEDELLIN SALVADOR BELL"/>
    <s v="REDEBAN"/>
    <s v="FO-25-1998588"/>
    <d v="2025-12-18T16:50:43"/>
    <d v="2025-12-19T16:08:00"/>
    <s v="NO"/>
    <s v="USUARIO"/>
    <s v="COMUNICACION"/>
    <s v="CANAL DEL COMERCIO"/>
    <s v="AGREGADOR"/>
    <s v="COMCARD - PTM"/>
    <s v="EJECUTADO"/>
    <s v="18/12/2025 SE ESCALA PARA VISITA. LLAMAR ANTES DE VISITAR, CONFIRMAR FALLA Y DATOS | 19/12/2025 SE VISITA Y SE ENCUENTRA OPERANDO NORMAL EL CANAL DEL COMERCIO ESTABA CAÍDO PRUEBAS OK"/>
    <s v="VISITA TECNICA"/>
    <s v="ABC0D992 NA001792"/>
    <s v="TIPO I"/>
    <s v="TERRESTRE"/>
    <s v="MARIN PIEDRAHITA JIMMY ALEXIS"/>
    <n v="1"/>
    <n v="0"/>
    <n v="0"/>
    <n v="0"/>
    <n v="0"/>
    <n v="65960"/>
    <n v="65960"/>
  </r>
  <r>
    <s v="APARTADO"/>
    <x v="2"/>
    <x v="2"/>
    <s v="27615"/>
    <s v="3156570"/>
    <s v="3007063236"/>
    <s v="INCIDENTE"/>
    <s v="CHOCO"/>
    <s v="RIOSUCIO"/>
    <s v="DISTRICOL TECNOCHUY 2"/>
    <s v="REDEBAN"/>
    <s v="FO-25-1999797"/>
    <d v="2025-12-19T08:00:00"/>
    <d v="2025-12-19T16:35:00"/>
    <s v="NO"/>
    <s v="USUARIO"/>
    <s v="MANTENIMIENTO"/>
    <s v="MANTENIMIENTO GENERAL"/>
    <s v="AGREGADOR"/>
    <s v="DISTRICOL"/>
    <s v="EJECUTADO"/>
    <s v="19/12/2025 SE ESCALA PARA VISITA. LLAMAR ANTES DE VISITAR, CONFIRMAR FALLA Y DATOS | 19/12/2025 SE VERIFICA IMPRESORA Y SE ENCUENTRA BUENA, SE IMPRIME VARIOS VOUCHER SE EVIDENCIA TODO OK"/>
    <s v="VISITA TECNICA"/>
    <s v="FUA00713"/>
    <s v="TIPO V"/>
    <s v="TERRESTRE/FLUVIAL"/>
    <s v="CASTRO HENAO DANIEL ESTEBAN"/>
    <n v="1"/>
    <n v="0"/>
    <n v="0"/>
    <n v="0"/>
    <n v="0"/>
    <n v="479590"/>
    <n v="479590"/>
  </r>
  <r>
    <s v="NEIVA"/>
    <x v="0"/>
    <x v="0"/>
    <s v="41551"/>
    <s v="3157851"/>
    <s v="3007079826"/>
    <s v="INCIDENTE"/>
    <s v="HUILA"/>
    <s v="PITALITO"/>
    <s v="BARRIO CALAMO PITALITO 3"/>
    <s v="REDEBAN"/>
    <s v="FO-25-2000550"/>
    <d v="2025-12-19T09:09:48"/>
    <d v="2025-12-19T11:10:00"/>
    <s v="NO"/>
    <s v="USUARIO"/>
    <s v="NO ENCIENDE"/>
    <s v="CONEXIONES DE COMERCIO"/>
    <s v="UNO A UNO"/>
    <s v="UNO A UNO"/>
    <s v="EJECUTADO"/>
    <s v="19/12/2025 SE ESCALA PARA VISITA. LLAMAR ANTES DE VISITAR, CONFIRMAR FALLA Y DATOS | 19/12/2025 SE REALIZA VISITA AL PUNTO, SE EVIDENCIA EQUIPO NO SE ENCUENTRA CONECTADO AL LA CORRIENTE CONTINUAMENTE POR ESE MOTIVO LA BATERÍA INTERNA DEL EQUIPO DSK2600 NO CARGA AL 100% ,ESTO HACE QUE AL MOMENTO QUE EL EQUIPO VA GENERAR VAUCHER SE QUEDA CORTA DE ENERGÍA . PRUEBAS OK, CB OPERATIVO. SE LE INDICA AL CLIENTE QUE DEBE VALIDAR SIEMPRE QUE LA BATERÍA ESTE CARGADA AL 100 % PARA QUE EL DATAFONO FUNCIONE DE FORMA ÓPTIMA ."/>
    <s v="VISITA TECNICA"/>
    <s v="F1XZZ058"/>
    <s v="TIPO III"/>
    <s v="TERRESTRE"/>
    <s v="DEVIA REINOSO JUAN CARLOS"/>
    <n v="1"/>
    <n v="0"/>
    <n v="0"/>
    <n v="0"/>
    <n v="0"/>
    <n v="275728"/>
    <n v="275728"/>
  </r>
  <r>
    <s v="NEIVA"/>
    <x v="0"/>
    <x v="0"/>
    <s v="18001"/>
    <s v="3158278"/>
    <s v="3007037490"/>
    <s v="INCIDENTE"/>
    <s v="CAQUETA"/>
    <s v="FLORENCIA"/>
    <s v="BARRIO CENTRO FLORENCIA 1"/>
    <s v="REDEBAN"/>
    <s v="FO-25-2001022"/>
    <d v="2025-12-19T09:54:06"/>
    <d v="2025-12-23T09:30:00"/>
    <s v="NO"/>
    <s v="USUARIO"/>
    <s v="NO ENCIENDE"/>
    <s v="CONEXIONES DE COMERCIO"/>
    <s v="UNO A UNO"/>
    <s v="CB UNO A UNO"/>
    <m/>
    <s v="19/12/2025 SE ESCALA PARA VISITA. LLAMAR ANTES DE VISITAR, CONFIRMAR FALLA Y DATOS | 23/12/2025 EN COMUNICACIÓN VÍA TELEFÓNICA CON EL SEÑOR DIEGO CARVAJAL AL NÚMERO 3208358585, INDICA QUE EL EQUIPO SE ENCUENTRA FUNCIONANDO DE MANERA NORMAL , QUE EL PROBLEMA QUE NO ENCENDÍA SE DEBIÓ A UNA MALA CONEXIÓN ,PERO QUE YA ESTÁ OPERANDO CON NORMALIDAD PIDE Y POR FAVOR SE CANCELA LA VISITA"/>
    <s v="SOPORTE TELEFONICO"/>
    <m/>
    <s v="TIPO IV"/>
    <s v="TERRESTRE"/>
    <s v="DEVIA REINOSO JUAN CARLOS"/>
    <n v="0"/>
    <n v="0"/>
    <n v="0"/>
    <n v="0"/>
    <n v="0"/>
    <n v="37905"/>
    <n v="37905"/>
  </r>
  <r>
    <s v="TUNJA"/>
    <x v="4"/>
    <x v="4"/>
    <s v="15047"/>
    <s v="3158628"/>
    <s v="3007039481"/>
    <s v="INCIDENTE"/>
    <s v="BOYACA"/>
    <s v="AQUITANIA"/>
    <s v="BARRIO PLAYA BLANCA AQUITANIA"/>
    <s v="REDEBAN"/>
    <s v="FO-25-2040746"/>
    <d v="2025-12-19T12:17:00"/>
    <d v="2025-12-27T14:56:00"/>
    <s v="NO"/>
    <s v="USUARIO"/>
    <s v="COMUNICACION"/>
    <s v="CANAL DEL COMERCIO"/>
    <s v="UNO A UNO"/>
    <s v="CB UNO A UNO"/>
    <s v="EJECUTADO"/>
    <s v="27/12/2025 CENTRO DE GESTION REALIZÓ EL CARGUE DE LA ORDEN CON FECHA VENCIDA , ES UNA TA QUE TUVIERON TA  QUE CREAR NUEVA ( TA-25-3158628)- YA QUE HABIAN CREADO UNA TA QUE BAJO  COMO OC  BASE   DATAGONO Y MA ORDEN TENIA QUE SER COMO INCIDENTE .SE VISITARA PUNTO CONFIRMADA VISITA CON EL SEÑOR YESID SANTOS . | 27/12/2025 SE REALIZA BORRADO DE EQUIPO CARGANDO VERSIÓN 9_90 , SE REALIZA VALIDACIONES DE CONEXIÓN EXITOSAMENTE , SE REALIZA CAMBIO DEL LECTOR DE BARRRAS POR DAÑO CABLE MAL ESTADO , SE CABIA CABLE TEF ENTORCHADO POR MANTENIMIENTO PREVENTIVO DEJANDO PRUEBAS OK ,SIN TELECARGA NO AUTORIZADA"/>
    <s v="VISITA TECNICA"/>
    <s v="GZ08Z101"/>
    <s v="TIPO III"/>
    <s v="TERRESTRE"/>
    <s v="ALVARADO MORENO CRISTHIAN"/>
    <n v="1"/>
    <n v="0"/>
    <n v="0"/>
    <n v="0"/>
    <n v="0"/>
    <n v="275728"/>
    <n v="275728"/>
  </r>
  <r>
    <s v="IBAGUE"/>
    <x v="0"/>
    <x v="0"/>
    <s v="73067"/>
    <s v="3159596"/>
    <s v="3007057307"/>
    <s v="INCIDENTE"/>
    <s v="TOLIMA"/>
    <s v="ATACO"/>
    <s v="BARRIO CORREGIMIENTO SANTIAGO"/>
    <s v="REDEBAN"/>
    <s v="FO-25-2006868"/>
    <d v="2025-12-19T13:43:43"/>
    <d v="2025-12-22T09:35:00"/>
    <s v="NO"/>
    <s v="USUARIO"/>
    <s v="COMUNICACION"/>
    <s v="CONEXIONES DE COMERCIO"/>
    <s v="UNO A UNO"/>
    <s v="CB UNO A UNO"/>
    <m/>
    <s v="19/12/2025 SE ESCALA PARA VISITA. LLAMAR ANTES DE VISITAR, CONFIRMAR FALLA Y DATOS | 22/12/2025 LLAMO A LA SEÑORA ARCILA MORENO, AL NÚMERO 3118056638 PARA EL MANTENIMIENTO DE CONEXIÓN A INTERNET Y ELLA ME INDICA QUE EL DATÁFONO ESTÁ FUNCIONANDO CORRECTAMENTE. QUE REINICIO EL MÓDEM Y QUE SE SOLUCIONO EL PROBLEMA DE INTERNET."/>
    <s v="SOPORTE TELEFONICO"/>
    <m/>
    <s v="TIPO III"/>
    <s v="TERRESTRE"/>
    <s v="VARGAS HERRERA JHON JAIRO"/>
    <n v="0"/>
    <n v="0"/>
    <n v="0"/>
    <n v="0"/>
    <n v="0"/>
    <n v="37905"/>
    <n v="37905"/>
  </r>
  <r>
    <s v="TUNJA"/>
    <x v="4"/>
    <x v="4"/>
    <s v="15248"/>
    <s v="3159658"/>
    <s v="3007011094"/>
    <s v="INCIDENTE"/>
    <s v="BOYACA"/>
    <s v="EL ESPINO"/>
    <s v="EL ESPINO - BOYACA"/>
    <s v="REDEBAN"/>
    <s v="FO-25-2006308"/>
    <d v="2025-12-19T13:25:50"/>
    <d v="2025-12-29T17:36:00"/>
    <s v="NO"/>
    <s v="USUARIO"/>
    <s v="COMUNICACION"/>
    <s v="CANAL DEL COMERCIO"/>
    <s v="CB UNO A UNO"/>
    <s v="CB UNO A UNO"/>
    <s v="CANCELADO"/>
    <s v="19/12/2025 SE ESCALA PARA VISITA. LLAMAR ANTES DE VISITAR, CONFIRMAR FALLA Y DATOS | 22/12/2025 SE REALIZA INTENTO DE COMUNICACION CON EL CLIENTE PARA VALIDAR LA FALLA YA QUE EN OCACIONES ANTERIORES LA FALLA QUE PRESENTA EL CLIENTE ES A CAUSA DE EL INTERNET DEL COMERCIO, POR LO CUAL NO SE PUEDE REALIZAR NINGUNA CORRECCION A LOS EQUIPOS, SE INTETARA COMUNICACION EN HORAS DE AM PARA VALIDAR LA FALLA Y CONFIRMAR LA VISITA YA QUE POR LEJANIA, ZONA EN ALERTA POR GRUPOS ARMADOS ILEGALES Y TRANSPORTE AL LUGAR ES COMPLICADO VISITAR. | 23/12/2025 SE REALIZA INTENTO DE COMUNICACION CON EL CLIENTE PARA VALIDAR LA FALLA YA QUE EN OCACIONES ANTERIORES LA FALLA QUE PRESENTA EL CLIENTE ES A CAUSA DE EL INTERNET DEL COMERCIO, POR LO CUAL NO SE PUEDE REALIZAR NINGUNA CORRECCION A LOS EQUIPOS, SE INTETARA COMUNICACION EN HORAS DE AM PARA VALIDAR LA FALLA Y CONFIRMAR LA VISITA YA QUE POR LEJANIA, ZONA EN ALERTA POR GRUPOS ARMADOS ILEGALES Y TRANSPORTE AL LUGAR ES COMPLICADO VISITAR. | 29/12/2025 DESPLAZAMIENTO HACIA SITIO CLIENTE CONFIRMA FUNCIONAMIENTO DE EQUIPO, FALLA QUE PRESENTA ES EN INTERNET SUMINISTRADO POR ENTIDAD PERO EQUIPO NO TIENE FALLA Y YA SE ENCUENTRA OPERANDO NORMALMENTE"/>
    <s v="VISITA TECNICA"/>
    <m/>
    <s v="TIPO IV"/>
    <s v="TERRESTRE"/>
    <s v="GONZALEZ GONZALEZ MARIO ALBERTO"/>
    <n v="1"/>
    <n v="0"/>
    <n v="0"/>
    <n v="0"/>
    <n v="0"/>
    <n v="479590"/>
    <n v="479590"/>
  </r>
  <r>
    <s v="VILLAVICENCIO"/>
    <x v="0"/>
    <x v="0"/>
    <s v="50006"/>
    <s v="3160158"/>
    <s v="3007080573"/>
    <s v="INCIDENTE"/>
    <s v="META"/>
    <s v="ACACIAS"/>
    <s v="BARRIO CENTRO ACACIAS 16"/>
    <s v="REDEBAN"/>
    <s v="FO-25-2007316"/>
    <d v="2025-12-19T14:46:42"/>
    <d v="2025-12-20T11:13:00"/>
    <s v="NO"/>
    <s v="USUARIO"/>
    <s v="MANTENIMIENTO"/>
    <s v="MANTENIMIENTO GENERAL"/>
    <s v="UNO A UNO"/>
    <s v="UNO A UNO"/>
    <s v="EJECUTADO / CANCELADO"/>
    <s v="19/12/2025 SE ESCALA PARA VISITA. LLAMAR ANTES DE VISITAR, CONFIRMAR FALLA Y DATOS | 20/12/2025 SE REALIZA VISTA AL CB, POR SOLICITUD DE PANTALLA BLOQUEADA SE LLEGA AL LUGAR PERO SE OBSERVA QUE SE ENCUENTRA CERRADO, SE LLAMA AL USUARIO FELIPE DÍAZ 3219620617 PERO NO CONTESTA NO ES POSIBLE REALIZAR LA VISITA"/>
    <s v="VISITA TECNICA"/>
    <s v="0"/>
    <s v="TIPO II"/>
    <s v="TERRESTRE"/>
    <s v="MOLINA CASTRO JAVIER ALBERTO"/>
    <n v="1"/>
    <n v="0"/>
    <n v="0"/>
    <n v="0"/>
    <n v="0"/>
    <n v="163814"/>
    <n v="163814"/>
  </r>
  <r>
    <s v="MEDELLIN"/>
    <x v="2"/>
    <x v="2"/>
    <s v="5034"/>
    <s v="3162097"/>
    <s v="3007058974"/>
    <s v="INCIDENTE"/>
    <s v="ANTIOQUIA"/>
    <s v="ANDES"/>
    <s v="BARRIO CENTRO ANDES 1"/>
    <s v="REDEBAN"/>
    <s v="FO-25-2011592"/>
    <d v="2025-12-20T16:40:10"/>
    <d v="2025-12-22T09:44:00"/>
    <s v="NO"/>
    <s v="USUARIO"/>
    <s v="LECTOR DE TARJETAS"/>
    <s v="OBSTRUCCION DEL LECTOR"/>
    <s v="CB UNO A UNO"/>
    <s v="CB UNO A UNO"/>
    <s v="EJECUTADO"/>
    <s v="21/12/2025 SE ESCALA PARA VISITA. LLAMAR ANTES DE VISITAR, CONFIRMAR FALLA Y DATOS | 22/12/2025 SE REALIZÓ LIMPIEZA DE LECTOR CHIP, PRUEBAS OK CB OPERATIVO"/>
    <s v="VISITA TECNICA"/>
    <s v="LA002189"/>
    <s v="TIPO III"/>
    <s v="TERRESTRE"/>
    <s v="CASTAÑEDA PALACIO CARLOS FELIPE"/>
    <n v="1"/>
    <n v="0"/>
    <n v="0"/>
    <n v="0"/>
    <n v="0"/>
    <n v="275728"/>
    <n v="275728"/>
  </r>
  <r>
    <s v="PEREIRA"/>
    <x v="1"/>
    <x v="6"/>
    <s v="17877"/>
    <s v="3163255"/>
    <s v="3007074680"/>
    <s v="INCIDENTE"/>
    <s v="CALDAS"/>
    <s v="VITERBO"/>
    <s v="PTM VITERBO PUNTO SERVIS VITER"/>
    <s v="REDEBAN"/>
    <s v="FO-25-2013504"/>
    <d v="2025-12-22T08:31:17"/>
    <d v="2025-12-22T09:13:00"/>
    <s v="NO"/>
    <s v="USUARIO"/>
    <s v="COMUNICACION"/>
    <s v="CANAL DEL COMERCIO"/>
    <s v="AGREGADOR"/>
    <s v="COMCARD - PTM"/>
    <m/>
    <s v="22/12/2025 SE ESCALA PARA VISITA. LLAMAR ANTES DE VISITAR, CONFIRMAR FALLA Y DATOS | 22/12/2025 EN COMUNICACIÓN CON LA SR DORIS INDICA QUE EL EQUIPO YA ESTA FUNCIONANDO CORRECTAMENTE, SE PROCEDE CON EL CIERRA DE LA ACTIVIDAD"/>
    <s v="SOPORTE TELEFONICO"/>
    <m/>
    <s v="TIPO II"/>
    <s v="TERRESTRE"/>
    <s v="HENAO CARDONA DIEGO FERNANDO"/>
    <n v="0"/>
    <n v="0"/>
    <n v="0"/>
    <n v="0"/>
    <n v="0"/>
    <n v="37905"/>
    <n v="37905"/>
  </r>
  <r>
    <s v="CALI"/>
    <x v="1"/>
    <x v="1"/>
    <s v="76001"/>
    <s v="3166264"/>
    <s v="3007078638"/>
    <s v="INCIDENTE"/>
    <s v="VALLE DEL CAUCA"/>
    <s v="CALI"/>
    <s v="DISTRICOL VMJ BOCHALEMA"/>
    <s v="REDEBAN"/>
    <s v="FO-25-2015902"/>
    <d v="2025-12-22T13:17:03"/>
    <d v="2025-12-23T11:30:00"/>
    <s v="NO"/>
    <s v="USUARIO"/>
    <s v="USUARIOS"/>
    <s v="MALA MANIPULACION POS"/>
    <s v="AGREGADOR"/>
    <s v="DISTRICOL"/>
    <m/>
    <s v="22/12/2025 SE ESCALA PARA VISITA. LLAMAR ANTES DE VISITAR, CONFIRMAR FALLA Y DATOS | 23/12/2025 SE LLAMA AL CLIENTE AL NÚMERO 3225887906 HABLO CON LA SEÑORA PATRICIA INFORMA EL DÍA DE AYER NO LE FUNCIONÓ LA CLAVE 1526 PARA IMPRIMIR DUPLICADOS, SE REALIZA SOPORTE TELEFÓNICO SOLICITÁNDOLE EL PROBLEMA Y EL CLIENTE INDICA QUE YA NO REQUIERE VISITA TÉCNICA"/>
    <s v="SOPORTE TELEFONICO"/>
    <m/>
    <s v="TIPO I"/>
    <s v="TERRESTRE"/>
    <s v="HERRERA MONAR GEOVANNY"/>
    <n v="0"/>
    <n v="0"/>
    <n v="0"/>
    <n v="0"/>
    <n v="0"/>
    <n v="37905"/>
    <n v="37905"/>
  </r>
  <r>
    <s v="MEDELLIN"/>
    <x v="2"/>
    <x v="2"/>
    <s v="5001"/>
    <s v="3171472"/>
    <s v="3007082268"/>
    <s v="INCIDENTE"/>
    <s v="ANTIOQUIA"/>
    <s v="MEDELLIN"/>
    <s v="DISTRICOL LLAVE MAGICA DISTRIB"/>
    <s v="REDEBAN"/>
    <s v="FO-25-2023553"/>
    <d v="2025-12-23T13:14:34"/>
    <d v="2025-12-23T14:56:00"/>
    <s v="NO"/>
    <s v="USUARIO"/>
    <s v="LECTOR DE BARRAS"/>
    <s v="CAPACITACION MANIPULACION DE COMERCIO"/>
    <m/>
    <m/>
    <s v="EJECUTADO"/>
    <s v="23/12/2025 SE ESCALA PARA VISITA. LLAMAR ANTES DE VISITAR, CONFIRMAR FALLA Y DATOS | 23/12/2025 SE LE EXPLICA AL USUARIO EL CORRECTO FUNCIONAMIENTO DE LA LECTORA Y LA POSICIÓN CORRECTA DEL LECTOR PRUEBAS EXITOSAS SERVICIO OPERATIVO"/>
    <s v="VISITA TECNICA"/>
    <s v="0B002009"/>
    <s v="TIPO I"/>
    <s v="TERRESTRE"/>
    <s v="RIOS CASTRILLON JUAN SEBASTIAN"/>
    <n v="1"/>
    <n v="0"/>
    <n v="0"/>
    <n v="0"/>
    <n v="0"/>
    <n v="65960"/>
    <n v="65960"/>
  </r>
  <r>
    <s v="PEREIRA"/>
    <x v="1"/>
    <x v="6"/>
    <s v="63001"/>
    <s v="3172074"/>
    <s v="3007033988"/>
    <s v="INCIDENTE"/>
    <s v="QUINDIO"/>
    <s v="ARMENIA"/>
    <s v="PAGAFACIL LA 14 ARMENIA"/>
    <s v="REDEBAN"/>
    <s v="FO-25-2024290"/>
    <d v="2025-12-23T14:46:52"/>
    <d v="2025-12-24T11:59:00"/>
    <s v="NO"/>
    <s v="USUARIO"/>
    <s v="MANTENIMIENTO"/>
    <s v="MANTENIMIENTO GENERAL"/>
    <s v="ROBUSTO"/>
    <s v="PAGAFACIL"/>
    <s v="EJECUTADO"/>
    <s v="23/12/2025 SE ESCALA PARA VISITA. LLAMAR ANTES DE VISITAR, CONFIRMAR FALLA Y DATOS | 24/12/2025 SE VISITA COMERCIO SE REALIZÓ VERIFICACIÓN DE CABLEADO Y DE EQUIPOS SE REALIZÓ PRUEBAS OK."/>
    <s v="VISITA TECNICA"/>
    <s v="1KZZZ682"/>
    <s v="TIPO II"/>
    <s v="TERRESTRE"/>
    <s v="SANCHEZ SOLORZANO JUAN SEBASTIAN"/>
    <n v="1"/>
    <n v="0"/>
    <n v="0"/>
    <n v="0"/>
    <n v="0"/>
    <n v="163814"/>
    <n v="163814"/>
  </r>
  <r>
    <s v="PEREIRA"/>
    <x v="1"/>
    <x v="6"/>
    <s v="76403"/>
    <s v="3172107"/>
    <s v="3007031089"/>
    <s v="INCIDENTE"/>
    <s v="VALLE DEL CAUCA"/>
    <s v="LA VICTORIA"/>
    <s v="BARRIO CENTRO 5"/>
    <s v="REDEBAN"/>
    <s v="FO-25-2024201"/>
    <d v="2025-12-23T14:43:43"/>
    <d v="2025-12-23T16:45:00"/>
    <s v="NO"/>
    <s v="USUARIO"/>
    <s v="COMUNICACION"/>
    <s v="CANAL DEL COMERCIO"/>
    <s v="CB UNO A UNO"/>
    <s v="CB UNO A UNO"/>
    <m/>
    <s v="23/12/2025 SE ESCALA PARA VISITA. LLAMAR ANTES DE VISITAR, CONFIRMAR FALLA Y DATOS | 23/12/2025 SE HABLA CON EL CLIENTE, EL SEÑOR ANDRES MANIFIESTA QUE EL DATAFONO LE ARROJA UN ERROR DE CONEXIÓN PERO TIENE EL ICONO DE LA RED EN VERDE, SE LE SOLITA REINICIAR EL ROUTER DE INTERNET DESDE EL RACK, EL CLIENTE REALIZA EL REINICIO DE SUS EQUIPOS Y REALIZA UNA PRUEBA EXITOSA"/>
    <s v="SOPORTE TELEFONICO"/>
    <m/>
    <s v="TIPO II"/>
    <s v="TERRESTRE"/>
    <s v="HENAO CARDONA DIEGO FERNANDO"/>
    <n v="0"/>
    <n v="0"/>
    <n v="0"/>
    <n v="0"/>
    <n v="0"/>
    <n v="37905"/>
    <n v="37905"/>
  </r>
  <r>
    <s v="PEREIRA"/>
    <x v="1"/>
    <x v="6"/>
    <s v="66170"/>
    <s v="3172424"/>
    <s v="3007079238"/>
    <s v="INCIDENTE"/>
    <s v="RISARALDA"/>
    <s v="DOSQUEBRADAS"/>
    <s v="DISTRICOL VARIEDADES MIFER"/>
    <s v="REDEBAN"/>
    <s v="FO-25-2024937"/>
    <d v="2025-12-23T15:28:00"/>
    <d v="2025-12-24T09:58:00"/>
    <s v="NO"/>
    <s v="USUARIO"/>
    <s v="MANTENIMIENTO"/>
    <s v="MANTENIMIENTO GENERAL"/>
    <s v="AGREGADOR"/>
    <s v="DISTRICOL"/>
    <s v="EJECUTADO"/>
    <s v="23/12/2025 SE ESCALA PARA VISITA. LLAMAR ANTES DE VISITAR, CONFIRMAR FALLA Y DATOS | 24/12/2025 VISITAMOS COMERCIO EL DATÁFONO NO IMPRIME LAS TRX DESCONECTAMOS Y CONECTAMOS LA BATERÍA DEL DATAFONO REALIZAMOS MOVIMIENTO A LA IMPRESORA TÉRMICA REALIZAMOS PRUEBAS OK LE EXPLICAMOS AL CLIENTE QUE DEBE HACER CUANDO EL DATAFONO PRESENTE EL MISMO INCONVENIENTE."/>
    <s v="VISITA TECNICA"/>
    <s v="A4WZZ115"/>
    <s v="TIPO I"/>
    <s v="TERRESTRE"/>
    <s v="ARROYAVE CANO MANUEL GUILLERMO"/>
    <n v="1"/>
    <n v="0"/>
    <n v="0"/>
    <n v="0"/>
    <n v="0"/>
    <n v="65960"/>
    <n v="65960"/>
  </r>
  <r>
    <s v="MEDELLIN"/>
    <x v="2"/>
    <x v="2"/>
    <s v="27361"/>
    <s v="3173413"/>
    <s v="3007067920"/>
    <s v="INCIDENTE"/>
    <s v="CHOCO"/>
    <s v="ISTMINA"/>
    <s v="BARRIO INDEPENDENCIA ISTMINA"/>
    <s v="REDEBAN"/>
    <s v="FO-25-2025560"/>
    <d v="2025-12-23T17:57:05"/>
    <d v="2025-12-26T09:06:00"/>
    <s v="NO"/>
    <s v="USUARIO"/>
    <s v="COMUNICACION"/>
    <s v="CONEXIONES DE COMERCIO"/>
    <s v="CB UNO A UNO"/>
    <s v="CB UNO A UNO"/>
    <m/>
    <s v="23/12/2025 SE ESCALA PARA VISITA. LLAMAR ANTES DE VISITAR, CONFIRMAR FALLA Y DATOS | 26/12/2025 SE REALIZA CONTACTO TELEFÓNICO CON LA CLIENTE Y REPORTA QUE EL CB YA SE ENCUENTRA OPERATIVO YA QUE LA ZONA ESTABA PRESENTANDO PROBLEMAS DE COMUNICACIÓN PERO YA ESTA FUNCIONANDO CON NORMALIDAD"/>
    <s v="SOPORTE TELEFONICO"/>
    <m/>
    <s v="TIPO V"/>
    <s v="AEREO"/>
    <s v="ROBLEDO DIAZ ANDRES FELIPE"/>
    <n v="0"/>
    <n v="0"/>
    <n v="0"/>
    <n v="0"/>
    <n v="0"/>
    <n v="37905"/>
    <n v="37905"/>
  </r>
  <r>
    <s v="MONTERIA"/>
    <x v="3"/>
    <x v="3"/>
    <s v="23660"/>
    <s v="3173658"/>
    <s v="3007037366"/>
    <s v="INCIDENTE"/>
    <s v="CORDOBA"/>
    <s v="SAHAGUN"/>
    <s v="ARRIO CENTRO SAHAGUN 1"/>
    <s v="REDEBAN"/>
    <s v="FO-25-2026234"/>
    <d v="2025-12-24T08:21:29"/>
    <d v="2025-12-26T12:24:00"/>
    <s v="NO"/>
    <s v="USUARIO"/>
    <s v="LECTOR DE TARJETAS"/>
    <s v="OBSTRUCCION DEL LECTOR"/>
    <s v="CB UNO A UNO"/>
    <s v="CB UNO A UNO"/>
    <s v="EJECUTADO"/>
    <s v="24/12/2025 SE ESCALA PARA VISITA. LLAMAR ANTES DE VISITAR, CONFIRMAR FALLA Y DATOS | 24/12/2025 SE REQUIERE CAMBIO DE EQUIPO Y NO HAY SOPORTE REDEBAN, SE REAGENDA PARA EL 26 DE DICIEMBRE. | 26/12/2025 SE VISITA SITIO SE VERIFICA INFORMACIÓN SE REALIZA PRIMEROS, SE REALIZA LIMPIEZA DEL LECTOR SE RETIRA LA OBSTRUCCIÓN , SE REALIZA PRUEBA TRX EXITOSA, TECLADO OK, IMPRESIÓN OK, SELLOS OK."/>
    <s v="VISITA TECNICA"/>
    <s v="AB00N078"/>
    <s v="TIPO II"/>
    <s v="TERRESTRE"/>
    <s v="SANTOS GUZMAN CHRISTIAN FELIPE"/>
    <n v="1"/>
    <n v="0"/>
    <n v="0"/>
    <n v="0"/>
    <n v="0"/>
    <n v="163814"/>
    <n v="163814"/>
  </r>
  <r>
    <s v="MEDELLIN"/>
    <x v="2"/>
    <x v="2"/>
    <s v="5001"/>
    <s v="3177110"/>
    <s v="3007041259"/>
    <s v="INCIDENTE"/>
    <s v="ANTIOQUIA"/>
    <s v="MEDELLIN"/>
    <s v="PTM MEDELLIN MONTESSORI"/>
    <s v="REDEBAN"/>
    <s v="FO-25-2029481"/>
    <d v="2025-12-26T08:36:51"/>
    <d v="2025-12-26T12:19:00"/>
    <s v="NO"/>
    <s v="USUARIO"/>
    <s v="COMUNICACION"/>
    <s v="CONEXIONES DE COMERCIO"/>
    <s v="AGREGADOR"/>
    <s v="COMCARD - PTM"/>
    <s v="EJECUTADO"/>
    <s v="26/12/2025 SE ESCALA PARA VISITA. LLAMAR ANTES DE VISITAR, CONFIRMAR FALLA Y DATOS | 26/12/2025 SE REORGANIZA ACOMETIDA DE CABLE DE DATOS, SE ANULA UNIÓN RJ45 SE QUITA BISEL SE PASA CABLEADO Y SE VUELVE A PONER BISEL SE HACEN PRUEBAS OK"/>
    <s v="VISITA TECNICA"/>
    <s v="AA0QZ372 IIHZZ255"/>
    <s v="TIPO I"/>
    <s v="TERRESTRE"/>
    <s v="MONTOYA VELEZ ANDRES FELIPE"/>
    <n v="1"/>
    <n v="0"/>
    <n v="0"/>
    <n v="0"/>
    <n v="0"/>
    <n v="65960"/>
    <n v="65960"/>
  </r>
  <r>
    <s v="CALI"/>
    <x v="1"/>
    <x v="1"/>
    <s v="76001"/>
    <s v="3177549"/>
    <s v="3007081938"/>
    <s v="INCIDENTE"/>
    <s v="VALLE DEL CAUCA"/>
    <s v="CALI"/>
    <s v="PTM CALI INTERLADO"/>
    <s v="REDEBAN"/>
    <s v="FO-25-2029780"/>
    <d v="2025-12-26T09:21:38"/>
    <d v="2025-12-26T10:54:00"/>
    <s v="NO"/>
    <s v="USUARIO"/>
    <s v="COMUNICACION"/>
    <s v="CONEXIONES DE COMERCIO"/>
    <s v="AGREGADOR"/>
    <s v="COMCARD - PTM"/>
    <s v="EJECUTADO / CANCELADO"/>
    <s v="26/12/2025 SE ESCALA PARA VISITA. LLAMAR ANTES DE VISITAR, CONFIRMAR FALLA Y DATOS | 26/12/2025 SE REALIZA LLAMADA TELEFÓNICA A LA SEÑORA ADRIANA DONDE ME INDICA QUE ESTÁ DE VIAJE Y NO PUEDE ATENDER LA APERTURA YA QUE ELLA NO ESTÁ PRESENTE, SE LE INFORMAR QUE SI TIENE ALGÚN PERSONAL ATENDIENDO EL NEGOCIO PARA HACER LA INSTALACIÓN PERO ME DICE QUE LA SEÑORA ADRIANA QUE LE GUSTARÁ PRESENCIAR LA INSTALACIÓN Y QUE EL DÍA DE HOY NO ME PUEDE ATENDER YA QUE NO SE ENCUENTRA EN LA CIUDAD Y QUIERE PRESENCIAR LA INSTALACIÓN DEL EQUIPO"/>
    <s v="VISITA TECNICA"/>
    <s v="DA005927"/>
    <s v="TIPO I"/>
    <s v="TERRESTRE"/>
    <s v="ESCOBAR LENIS JUAN SEBASTIAN"/>
    <n v="1"/>
    <n v="0"/>
    <n v="0"/>
    <n v="0"/>
    <n v="0"/>
    <n v="65960"/>
    <n v="65960"/>
  </r>
  <r>
    <s v="SINCELEJO"/>
    <x v="3"/>
    <x v="3"/>
    <s v="70713"/>
    <s v="3180857"/>
    <s v="3007038418"/>
    <s v="INCIDENTE"/>
    <s v="SUCRE"/>
    <s v="SAN ONOFRE"/>
    <s v="DISTRICOL PANADERIA LA ESPIGA"/>
    <s v="REDEBAN"/>
    <s v="FO-25-2040452"/>
    <d v="2025-12-27T10:48:05"/>
    <d v="2025-12-29T13:02:00"/>
    <s v="NO"/>
    <s v="USUARIO"/>
    <s v="LECTOR DE BARRAS"/>
    <s v="CAPACITACION MANIPULACION DE COMERCIO"/>
    <s v="AGREGADOR"/>
    <s v="DISTRICOL"/>
    <s v="EJECUTADO"/>
    <s v="27/12/2025 SE ESCALA PARA VISITA. LLAMAR ANTES DE VISITAR, CONFIRMAR FALLA Y DATOS | 28/12/2025 SE REQUIERE CAMBIO DE EQUIPO Y NO HAY SOPORTE REDEBAN SE REAGENDA PARA EL 29 DICIEMBRE A PARTIR DEL MEDIO DÍA. | 29/12/2025 SE VISITA SITIO, SE VERIFICA INFORMACIÓN, SE REALIZA PRIMEROS AUXILIOS, SE RECONFIGURA ESCÁNER, LECTURA OK, SE RETROALIMENTA AL ENCARGADO QUE LAS CÓDIGOS DE BARRAS IMPRESOS DEBEN  ESTAR NÍTIDOS PARA UNA LECTURA RAPIDA, SE REALIZA PRUEBA TRX EXITOSA."/>
    <s v="VISITA TECNICA"/>
    <s v="AA00X613"/>
    <s v="TIPO II"/>
    <s v="TERRESTRE"/>
    <s v="SANTOS GUZMAN CHRISTIAN FELIPE"/>
    <n v="1"/>
    <n v="0"/>
    <n v="0"/>
    <n v="0"/>
    <n v="0"/>
    <n v="163814"/>
    <n v="163814"/>
  </r>
  <r>
    <s v="CALI"/>
    <x v="1"/>
    <x v="1"/>
    <s v="19573"/>
    <s v="3180893"/>
    <s v="3007051873"/>
    <s v="INCIDENTE"/>
    <s v="CAUCA"/>
    <s v="PUERTO TEJADA"/>
    <s v="PTM PUERTO TEJADA  MISCELANEA"/>
    <s v="REDEBAN"/>
    <s v="FO-25-2041027"/>
    <d v="2025-12-27T12:27:46"/>
    <d v="2025-12-29T10:30:00"/>
    <s v="NO"/>
    <s v="USUARIO"/>
    <s v="COMUNICACION"/>
    <s v="CANAL DEL COMERCIO"/>
    <s v="AGREGADOR"/>
    <s v="COMCARD - PTM"/>
    <s v="EJECUTADO / CANCELADO"/>
    <s v="27/12/2025 SE ESCALA PARA VISITA. LLAMAR ANTES DE VISITAR, CONFIRMAR FALLA Y DATOS | 29/12/2025 SE LLEGA AL COMERCIO EL CUAL LA SEÑORA ALEJANDRA PASTRANA INDICA QUE EL EQUIPO ESTÁ FUNCIONANDO BIEN NO PERMITE LA MANIPULACIÓN Y REVISIÓN DEL EQUIPO YA QUE LA PERSONA ENCARGADA NO SE ENCUENTRA Y NO CONTESTA"/>
    <s v="VISITA TECNICA"/>
    <s v="BA0BZ027"/>
    <s v="TIPO II"/>
    <s v="TERRESTRE"/>
    <s v="PALACIOS GOMEZ BRAHIAN ANDRES"/>
    <n v="1"/>
    <n v="0"/>
    <n v="0"/>
    <n v="0"/>
    <n v="0"/>
    <n v="163814"/>
    <n v="163814"/>
  </r>
  <r>
    <s v="MEDELLIN"/>
    <x v="2"/>
    <x v="2"/>
    <s v="5360"/>
    <s v="3181348"/>
    <s v="3007074670"/>
    <s v="INCIDENTE"/>
    <s v="ANTIOQUIA"/>
    <s v="ITAGUI"/>
    <s v="PTM ITAGUI RAPITIENDA LA PLACI"/>
    <s v="REDEBAN"/>
    <s v="FO-25-2040453"/>
    <d v="2025-12-27T10:45:33"/>
    <d v="2025-12-27T12:22:00"/>
    <s v="NO"/>
    <s v="ENTIDAD"/>
    <s v="ERROR DE TRANSACCIONES"/>
    <s v="TRANSACCION NO PERMITIDA"/>
    <s v="AGREGADOR"/>
    <s v="COMCARD - PTM"/>
    <s v="EJECUTADO"/>
    <s v="27/12/2025 SE REALIZA VISITA TÉCNICA POR REPORTE DE POSIBLE BLOQUEO O CAÍDA DE LA ENTIDAD. AL MOMENTO DE LA ATENCIÓN, EL USUARIO NO CUENTA CON SUMINISTRO DE LUZ, POR LO CUAL NO ES POSIBLE VALIDAR EL FUNCIONAMIENTO DEL SERVICIO. SE INFORMA AL USUARIO QUE DEBE COMUNICARSE CON LA LÍNEA DE ATENCIÓN CORRESPONDIENTE PARA VALIDAR SI EXISTE BLOQUEO DE LA ENTIDAD; DE LO CONTRARIO, SI NO PRESENTA BLOQUEO, DEBERÁ VOLVER A COMUNICARSE PARA SOLICITAR UNA NUEVA VISITA UNA VEZ CUENTE CON SUMINISTRO ELÉCTRICO Y ASÍ PODER REALIZAR LAS VALIDACIONES CORRESPONDIENTES."/>
    <s v="VISITA TECNICA"/>
    <s v="EGQZZ162 LNPZZ494"/>
    <s v="TIPO I"/>
    <s v="TERRESTRE"/>
    <s v="HERNANDEZ CHAVARRIA JUAN CAMILO"/>
    <n v="1"/>
    <n v="0"/>
    <n v="0"/>
    <n v="0"/>
    <n v="0"/>
    <n v="65960"/>
    <n v="65960"/>
  </r>
  <r>
    <s v="MEDELLIN"/>
    <x v="2"/>
    <x v="2"/>
    <s v="5001"/>
    <s v="3181355"/>
    <s v="3007079925"/>
    <s v="INCIDENTE"/>
    <s v="ANTIOQUIA"/>
    <s v="MEDELLIN"/>
    <s v="DISTRICOL PALACIO DE LA LENCER"/>
    <s v="REDEBAN"/>
    <s v="FO-25-2040539"/>
    <d v="2025-12-27T10:55:02"/>
    <d v="2025-12-27T13:20:00"/>
    <s v="NO"/>
    <s v="USUARIO"/>
    <s v="LECTOR DE TARJETAS"/>
    <s v="OBSTRUCCION DEL LECTOR"/>
    <s v="AGREGADOR"/>
    <s v="DISTRICOL"/>
    <s v="EJECUTADO"/>
    <s v="27/12/2025 SE REALIZA LIMPIEZA DE LECTOR CHIP CON OBSTRUCCIÓN OK PRUEBAS OK NO TELECARGA"/>
    <s v="VISITA TECNICA"/>
    <s v="SAUZZ940"/>
    <s v="TIPO I"/>
    <s v="TERRESTRE"/>
    <s v="PAREJA ECHAVARRIA JHON DAVID"/>
    <n v="1"/>
    <n v="0"/>
    <n v="0"/>
    <n v="0"/>
    <n v="0"/>
    <n v="65960"/>
    <n v="65960"/>
  </r>
  <r>
    <s v="VALLEDUPAR"/>
    <x v="3"/>
    <x v="3"/>
    <s v="20001"/>
    <s v="3181616"/>
    <s v="3007069837"/>
    <s v="INCIDENTE"/>
    <s v="CESAR"/>
    <s v="VALLEDUPAR"/>
    <s v="PTM VALLEDUPAR DISTRIBUCIONES"/>
    <s v="REDEBAN"/>
    <s v="FO-25-2041643"/>
    <d v="2025-12-27T14:45:46"/>
    <d v="2025-12-28T11:47:00"/>
    <s v="NO"/>
    <s v="ENTIDAD"/>
    <s v="ERROR DE TRANSACCIONES"/>
    <s v="TRANSACCION NO PERMITIDA"/>
    <s v="AGREGADOR"/>
    <s v="COMCARD - PTM"/>
    <m/>
    <s v="27/12/2025 SE ESCALA PARA VISITA. LLAMAR ANTES DE VISITAR, CONFIRMAR FALLA Y DATOS | 28/12/2025 SE REALIZA GESTIÓN TELEFÓNICA ATIENDE LA SRA ANGIE  DIAZ LA CUAL NOS INDICA QUE EL DIA DE AYER EL DATÁFONO NO LE PERMITIA REALIZAR TX PERO EL DIA DE HOY ESTA FUNCIONANDO PERFECTAMENTE"/>
    <s v="SOPORTE TELEFONICO"/>
    <m/>
    <s v="TIPO I"/>
    <s v="TERRESTRE"/>
    <s v="MAESTRE MENGUAL EDGAR ENRIQUE"/>
    <n v="0"/>
    <n v="0"/>
    <n v="0"/>
    <n v="0"/>
    <n v="0"/>
    <n v="37905"/>
    <n v="37905"/>
  </r>
  <r>
    <s v="BOGOTA"/>
    <x v="5"/>
    <x v="5"/>
    <s v="25899"/>
    <s v="3181632"/>
    <s v="3007017931"/>
    <s v="INCIDENTE"/>
    <s v="CUNDINAMARCA"/>
    <s v="ZIPAQUIRA"/>
    <s v="BARRIO CENTRO VII ZIPAQUIRA"/>
    <s v="REDEBAN"/>
    <s v="FO-25-2042183"/>
    <d v="2025-12-28T08:00:00"/>
    <d v="2025-12-29T11:06:00"/>
    <s v="NO"/>
    <s v="USUARIO"/>
    <s v="CIERRE"/>
    <s v="COMERCIO NO REALIZA CIERRE"/>
    <s v="CB UNO A UNO"/>
    <s v="CB UNO A UNO"/>
    <s v="EJECUTADO / CANCELADO"/>
    <s v="28/12/2025 SE ESCALA PARA VISITA. LLAMAR ANTES DE VISITAR, CONFIRMAR FALLA Y DATOS | 29/12/2025 SE REALIZA VISITA DE CAMPO ENCONTRADO QUE COMERCIO ESTA CERRADO SE INTENTA COMUNICACIÓN A LA LÍNEA 3138162283 PERO NO HAY RESPUESTA, SE INFORMA A SUPERVISOR QUIEN AUTORIZA CIERRE DE SOLICITUD."/>
    <s v="VISITA TECNICA"/>
    <m/>
    <s v="TIPO II"/>
    <s v="TERRESTRE"/>
    <s v="LOZADA ROJAS CHRISTIAN ANDRES"/>
    <n v="1"/>
    <n v="0"/>
    <n v="0"/>
    <n v="0"/>
    <n v="0"/>
    <n v="163814"/>
    <n v="163814"/>
  </r>
  <r>
    <s v="MEDELLIN"/>
    <x v="2"/>
    <x v="2"/>
    <s v="5756"/>
    <s v="3181662"/>
    <s v="3007059025"/>
    <s v="INCIDENTE"/>
    <s v="ANTIOQUIA"/>
    <s v="SONSON"/>
    <s v="BARRIO SONSON SONSON 3"/>
    <s v="REDEBAN"/>
    <s v="FO-25-2043197"/>
    <d v="2025-12-28T14:39:07"/>
    <d v="2025-12-29T17:21:00"/>
    <s v="NO"/>
    <s v="USUARIO"/>
    <s v="USUARIOS"/>
    <s v="MALA MANIPULACION POS"/>
    <s v="CB UNO A UNO"/>
    <s v="CB UNO A UNO"/>
    <s v="EJECUTADO"/>
    <s v="28/12/2025 SE ESCALA PARA VISITA. LLAMAR ANTES DE VISITAR, CONFIRMAR FALLA Y DATOS | 29/12/2025 SE REVISA EQUIPO Y SE EVIDENCIA QUE LOS PARÁMETROS ESTABAN BORRADOS, PROCEDO A FORMATEAR EL EQUIPO E INICIALIZAR, EQUIPO QUEDA OK Y FUNCIONANDO CORRECTAMENTE"/>
    <s v="VISITA TECNICA"/>
    <s v="MA002184"/>
    <s v="TIPO III"/>
    <s v="TERRESTRE"/>
    <s v="RUA ALVAREZ RICHARD ANDRES"/>
    <n v="1"/>
    <n v="0"/>
    <n v="0"/>
    <n v="0"/>
    <n v="0"/>
    <n v="275728"/>
    <n v="275728"/>
  </r>
  <r>
    <s v="MEDELLIN"/>
    <x v="2"/>
    <x v="2"/>
    <s v="5670"/>
    <s v="3183256"/>
    <s v="3007048502"/>
    <s v="INCIDENTE"/>
    <s v="ANTIOQUIA"/>
    <s v="SAN ROQUE"/>
    <s v="BARRIO JUAN 23 SAN ROQUE"/>
    <s v="REDEBAN"/>
    <s v="FO-25-2045841"/>
    <d v="2025-12-29T09:26:00"/>
    <d v="2025-12-31T10:15:00"/>
    <s v="NO"/>
    <s v="USUARIO"/>
    <s v="COMUNICACION"/>
    <s v="CANAL DEL COMERCIO"/>
    <s v="CB UNO A UNO"/>
    <s v="CB UNO A UNO"/>
    <s v="EJECUTADO"/>
    <s v="29/12/2025 EN COMUNICACION CON EL SR OSCAR JARAMILLO AL NUMERO 3164197228   SE CONFIRMAR FALLA  DATAFONO NO RESIVE CONEXION A INTERNET Y DATOS CODIGO DEL PUNTO 48502 DIRECCION VRD SAN JOSE DEL BUS BARRIO JU . SE ESCALA PARA VISITA. | 31/12/2025 SE VISITA COMERCIO Y EL USUARIO NOS MANIFIESTA QUE PUSO UN INTENET NUEVO Y NO LE COGE EL INTERNET PERO CON EL ANTERIOR SI, SE HACEN VALIDACIONES DE CABLE DEL DATAFONO Y FUNCIONA CORRECTAMENTE SE REVISA EL MONDEN NUEVO DEL CLIENTE Y SE EVIDENCIA QUE LOS PUERTOS ESTÁN QUEDANDO YA QUE SE CONETA UNA CÁMARA Y UN COMPUTADOR Y QUEDAN SIN INTERNET. SE LE INDICA AL USUARIO QUE DEBE PEDIR LA REVISIÓN TÉCNICA DEL PROVEEDOR DE INTERNET. YA QUE EL EQUIPO ESTÁ OPERANDO CON NORMALIDAD CON OTRO MODEN"/>
    <s v="VISITA TECNICA"/>
    <s v="II00J449"/>
    <s v="TIPO III"/>
    <s v="TERRESTRE"/>
    <s v="DIAZ ZABALA FRANCIS DUBAN"/>
    <n v="1"/>
    <n v="0"/>
    <n v="0"/>
    <n v="0"/>
    <n v="0"/>
    <n v="275728"/>
    <n v="275728"/>
  </r>
  <r>
    <s v="MEDELLIN"/>
    <x v="2"/>
    <x v="2"/>
    <s v="27001"/>
    <s v="3183532"/>
    <s v="3007076854"/>
    <s v="INCIDENTE"/>
    <s v="CHOCO"/>
    <s v="QUIBDO"/>
    <s v="BARR CABI VIA YUTO QUIBDO"/>
    <s v="REDEBAN"/>
    <s v="FO-25-2045837"/>
    <d v="2025-12-29T09:43:51"/>
    <d v="2025-12-30T14:04:00"/>
    <s v="NO"/>
    <s v="USUARIO"/>
    <s v="MANTENIMIENTO"/>
    <s v="MANTENIMIENTO GENERAL"/>
    <s v="CB UNO A UNO"/>
    <s v="CB UNO A UNO"/>
    <s v="EJECUTADO"/>
    <s v="29/12/2025 EN COMUNICACION CON EL SR LORENA AL NUMERO 3142533824SE CONFIRMAR FALLA  DATAFONO ERROR DE CONEXION  Y DATOS CODIGO DEL PUNTO 76854 DIRECCION CABI VIA YUTO QUEBRADA DESECHO . SE ESCALA PARA VISITA. | 30/12/2025 SE REALIZA BORRADO DE VERSION, SE VUELVE A CARGAR, SE RELAIZAN PRUEBAS Y EL CB QUEDA OPERATIVO"/>
    <s v="VISITA TECNICA"/>
    <s v="108ZZ458"/>
    <s v="TIPO V"/>
    <s v="AEREO"/>
    <s v="ROBLEDO DIAZ ANDRES FELIPE"/>
    <n v="1"/>
    <n v="0"/>
    <n v="0"/>
    <n v="0"/>
    <n v="0"/>
    <n v="988463"/>
    <n v="988463"/>
  </r>
  <r>
    <s v="APARTADO"/>
    <x v="2"/>
    <x v="2"/>
    <s v="5147"/>
    <s v="3183904"/>
    <s v="3007070444"/>
    <s v="INCIDENTE"/>
    <s v="ANTIOQUIA"/>
    <s v="CAREPA"/>
    <s v="BARRIO CENTRO CAREPA"/>
    <s v="REDEBAN"/>
    <s v="FO-25-2045833"/>
    <d v="2025-12-29T10:03:25"/>
    <d v="2025-12-29T15:51:00"/>
    <s v="NO"/>
    <s v="USUARIO"/>
    <s v="MANTENIMIENTO"/>
    <s v="MANTENIMIENTO GENERAL"/>
    <s v="CB UNO A UNO"/>
    <s v="CB UNO A UNO"/>
    <s v="EJECUTADO"/>
    <s v="29/12/2025 SE ESCALA PARA VISITA. LLAMAR ANTES DE VISITAR, CONFIRMAR FALLA Y DATOS | 29/12/2025 SE REALIZA FORMATEO Y REPISADO DE PARÁMETROS EQUIPOS SE ENCUENTRA OPERATIVO."/>
    <s v="VISITA TECNICA"/>
    <s v="0N008851"/>
    <s v="TIPO I"/>
    <s v="TERRESTRE"/>
    <s v="CASTRO HENAO DANIEL ESTEBAN"/>
    <n v="1"/>
    <n v="0"/>
    <n v="0"/>
    <n v="0"/>
    <n v="0"/>
    <n v="65960"/>
    <n v="65960"/>
  </r>
  <r>
    <s v="MEDELLIN"/>
    <x v="2"/>
    <x v="2"/>
    <s v="5861"/>
    <s v="3184669"/>
    <s v="3007045982"/>
    <s v="INCIDENTE"/>
    <s v="ANTIOQUIA"/>
    <s v="VENECIA"/>
    <s v="BARRIO MALL POLLOS MARIO VENEC"/>
    <s v="REDEBAN"/>
    <s v="FO-25-2046366"/>
    <d v="2025-12-29T11:32:01"/>
    <d v="2025-12-30T16:38:00"/>
    <s v="NO"/>
    <s v="USUARIO"/>
    <s v="USUARIOS"/>
    <s v="CREACION DE USUARIOS"/>
    <s v="CB UNO A UNO"/>
    <s v="CB UNO A UNO"/>
    <m/>
    <s v="29/12/2025 SE ESCALA PARA VISITA. LLAMAR ANTES DE VISITAR, CONFIRMAR FALLA Y DATOS | 30/12/2025 SE LLAMA AL USUARIO E INDICA QUE YA SE LE HIZO EL CAMBIO DEL EQUIPO Y QUEDO OK"/>
    <s v="SOPORTE TELEFONICO"/>
    <m/>
    <s v="TIPO II"/>
    <s v="TERRESTRE"/>
    <s v="MONTOYA VELEZ ANDRES FELIPE"/>
    <n v="0"/>
    <n v="0"/>
    <n v="0"/>
    <n v="0"/>
    <n v="0"/>
    <n v="37905"/>
    <n v="37905"/>
  </r>
  <r>
    <s v="IBAGUE"/>
    <x v="0"/>
    <x v="0"/>
    <s v="73001"/>
    <s v="3185433"/>
    <s v="3007080605"/>
    <s v="INCIDENTE"/>
    <s v="TOLIMA"/>
    <s v="IBAGUE"/>
    <s v="BARRIO LA GAVIOTA IBAGUE 8"/>
    <s v="REDEBAN"/>
    <s v="FO-25-2046922"/>
    <d v="2025-12-29T13:13:18"/>
    <d v="2025-12-30T11:49:00"/>
    <s v="NO"/>
    <s v="USUARIO"/>
    <s v="NO ENCIENDE"/>
    <s v="CONEXIONES DE COMERCIO"/>
    <s v="UNO A UNO"/>
    <s v="UNO A UNO"/>
    <m/>
    <s v="29/12/2025 SE ESCALA PARA VISITA. LLAMAR ANTES DE VISITAR, CONFIRMAR FALLA Y DATOS | 30/12/2025 SE HABLA CON LA SEÑORA ALEJANDRA CEDIEL, POR EL NÚMERO DE TELÉFONO 3138388765, ME INDICA QUE EL DATÁFONO ESTÁ FUNCIONANDO CORRECTAMENTE E IMPRIME CORRECTAMENTE."/>
    <s v="SOPORTE TELEFONICO"/>
    <m/>
    <s v="TIPO I"/>
    <s v="TERRESTRE"/>
    <s v="VARGAS HERRERA JHON JAIRO"/>
    <n v="0"/>
    <n v="0"/>
    <n v="0"/>
    <n v="0"/>
    <n v="0"/>
    <n v="37905"/>
    <n v="37905"/>
  </r>
  <r>
    <s v="CALI"/>
    <x v="1"/>
    <x v="1"/>
    <s v="76892"/>
    <s v="3185446"/>
    <s v="3007021211"/>
    <s v="INCIDENTE"/>
    <s v="VALLE DEL CAUCA"/>
    <s v="YUMBO"/>
    <s v="BARRIO CENTRO VIII YUMBO"/>
    <s v="REDEBAN"/>
    <s v="FO-25-2047116"/>
    <d v="2025-12-29T13:44:58"/>
    <d v="2025-12-30T13:38:00"/>
    <s v="NO"/>
    <s v="USUARIO"/>
    <s v="USUARIOS"/>
    <s v="MALA MANIPULACION POS"/>
    <s v="CB UNO A UNO"/>
    <s v="CB UNO A UNO"/>
    <m/>
    <s v="29/12/2025 SE ESCALA PARA VISITA. LLAMAR ANTES DE VISITAR, CONFIRMAR FALLA Y DATOS | 30/12/2025 SE HABLA CON EL CLIENTE QUIEN INDICA QUE NO PUEDO REALIZAR EL CIERRE EL DIA DE AYER NO LE GENERO CIERRE LE SALIA ERROR EN LA CLAVE, SE REALIZA LLAMADA AL CLIENTE Y VALIDACION DEL PROCESO ADECUADO DE CIERRE, Y SE ENCUENTRA QUE EL CLIENTE ESTABA REALIZANDO MAL LA GESTION DEL CIERRE, PUES INGRESABA A BORRAR TRANSACCIONES Y DESPUES INGRESABA POR COMERCIO A REALIZAR EL CIERRE, SE LE EXPLICA LA MANERA ADECUADA DE REALIZAR EL CIERRE Y EL NO PROCEDER A BORRAR TRANSACCIONES SIN EL ACOMPAÑAMIENTO DE LA LINEA PERO EL DATAFONO ESTA OPERANDO NORMAL CON SUS USUARIOS."/>
    <s v="SOPORTE TELEFONICO"/>
    <m/>
    <s v="TIPO I"/>
    <s v="TERRESTRE"/>
    <s v="HENAO CARDONA DIEGO FERNANDO"/>
    <n v="0"/>
    <n v="0"/>
    <n v="0"/>
    <n v="0"/>
    <n v="0"/>
    <n v="37905"/>
    <n v="37905"/>
  </r>
  <r>
    <s v="MANIZALES"/>
    <x v="1"/>
    <x v="6"/>
    <s v="17001"/>
    <s v="3188457"/>
    <s v="3007018888"/>
    <s v="INCIDENTE"/>
    <s v="CALDAS"/>
    <s v="MANIZALES"/>
    <s v="MULTIPAGAS FUNDADORES"/>
    <s v="REDEBAN"/>
    <s v="FO-25-2051393"/>
    <d v="2025-12-30T09:21:56"/>
    <d v="2025-12-31T09:34:00"/>
    <s v="NO"/>
    <s v="USUARIO"/>
    <s v="COMUNICACION"/>
    <s v="CONEXIONES DE COMERCIO"/>
    <s v="ROBUSTO"/>
    <s v="MULTIPAGAS"/>
    <s v="EJECUTADO"/>
    <s v="30/12/2025 SE ESCALA PARA VISITA. LLAMAR ANTES DE VISITAR, CONFIRMAR FALLA Y DATOS | 31/12/2025 SE LLEGA A LUGAR DE LA VISITA EL CUAL INDICAN PODER ATENDER SOBRE LAS 9AM MIENTRAS ABREN Y DAN AUTORIZACIÓN DE INGRESO | 31/12/2025 SE REALIZA VISITA SE EVIDENCIA QUE CAJA DE CONEXIONES PARA EL CABLE ETHERNET PRESENTA FALLAS, SE PRUEBA EN OTRA CAJA DE ETHERNET Y SI DA CONEXIÓN SE HACEN PRUEBAS SERVICIO OK, SE LE EXPLICA AL USUARIO QUE SON SUS CONEXIONES"/>
    <s v="VISITA TECNICA"/>
    <s v="TZZZZ177"/>
    <s v="TIPO I"/>
    <s v="TERRESTRE"/>
    <s v="AGUIRRE HENAO RAUL EDUARDO"/>
    <n v="1"/>
    <n v="0"/>
    <n v="0"/>
    <n v="0"/>
    <n v="0"/>
    <n v="65960"/>
    <n v="65960"/>
  </r>
  <r>
    <s v="MANIZALES"/>
    <x v="1"/>
    <x v="6"/>
    <s v="17001"/>
    <s v="3191142"/>
    <s v="3007042332"/>
    <s v="INCIDENTE"/>
    <s v="CALDAS"/>
    <s v="MANIZALES"/>
    <s v="DISTRICOL MERQUEMAS ARANJUEZ"/>
    <s v="REDEBAN"/>
    <s v="FO-25-2055303"/>
    <d v="2025-12-30T17:07:04"/>
    <d v="2025-12-31T10:41:00"/>
    <s v="NO"/>
    <s v="USUARIO"/>
    <s v="USUARIOS"/>
    <s v="MALA MANIPULACION POS"/>
    <s v="AGREGADOR"/>
    <s v="DISTRICOL"/>
    <m/>
    <s v="31/12/2025 SE ESCALA PARA VISITA. LLAMAR ANTES DE VISITAR, CONFIRMAR FALLA Y DATOS | 31/12/2025 SE REALIZA LLAMADA CON USUARIO PARA VALIDAR FALLA, INDICA QUE NO LE ESTABA INGRESANDO LA CLAVE 1526 PARA CIERRES PERO HOY QUE DE REALIZAN PRUEBAS EN LLAMADA INDICA QUE YA LE ESTA FUNCIONANDO BIEN Y LO DEJA INGRESAR CON NORMALIDAD, AL PARECER LA ESTABA INGRESANDO MAL, SE HACEN PRUEBAS EN LLAMADA, SERVICIO OK"/>
    <s v="SOPORTE TELEFONICO"/>
    <m/>
    <s v="TIPO I"/>
    <s v="TERRESTRE"/>
    <s v="AGUIRRE HENAO RAUL EDUARDO"/>
    <n v="0"/>
    <n v="0"/>
    <n v="0"/>
    <n v="0"/>
    <n v="0"/>
    <n v="37905"/>
    <n v="37905"/>
  </r>
  <r>
    <s v="VALLEDUPAR"/>
    <x v="3"/>
    <x v="3"/>
    <s v="20001"/>
    <s v="3191492"/>
    <s v="3007032347"/>
    <s v="INCIDENTE"/>
    <s v="CESAR"/>
    <s v="VALLEDUPAR"/>
    <s v="MULTIPAGAS GUATAPURI"/>
    <s v="REDEBAN"/>
    <s v="FO-25-2056336"/>
    <d v="2025-12-31T10:01:21"/>
    <d v="2025-12-31T16:50:00"/>
    <s v="NO"/>
    <s v="USUARIO"/>
    <s v="LECTOR DE BARRAS"/>
    <s v="ERROR PAGOS PARCIALES DE FACTURAS"/>
    <s v="ROBUSTO"/>
    <s v="MULTIPAGAS"/>
    <m/>
    <s v="31/12/2025 SE ESCALA PARA VISITA. LLAMAR ANTES DE VISITAR, CONFIRMAR FALLA Y DATOS | 31/12/2025 SE REALIZA GESTIÓN TELEFÓNICA CLIENTE INDICA QUE EL LECTOR DE BARRAS YA LE ESTÁ FUNCIONANDO BIEN"/>
    <s v="SOPORTE TELEFONICO"/>
    <m/>
    <s v="TIPO I"/>
    <s v="TERRESTRE"/>
    <s v="MAESTRE MENGUAL EDGAR ENRIQUE"/>
    <n v="0"/>
    <n v="0"/>
    <n v="0"/>
    <n v="0"/>
    <n v="0"/>
    <n v="37905"/>
    <n v="37905"/>
  </r>
  <r>
    <s v="YOPAL"/>
    <x v="0"/>
    <x v="0"/>
    <s v="85001"/>
    <s v="TA-25-1364353"/>
    <s v="3007078773"/>
    <s v="INCIDENTE"/>
    <s v="CASANARE"/>
    <s v="YOPAL"/>
    <s v="DISTRICOL DROGUERIA DROVITAL S"/>
    <s v="REDEBAN"/>
    <s v="FO-25-1930783"/>
    <d v="2025-12-04T00:03:00"/>
    <d v="2025-12-04T13:32:00"/>
    <s v="NO"/>
    <s v="ENTIDAD"/>
    <s v="ERROR DE TRANSACCIONES"/>
    <s v="TRANSACCION NO PERMITIDA"/>
    <s v="AGREGADOR"/>
    <s v="DISTRICOL"/>
    <s v="EJECUTADO"/>
    <s v="04/12/2025 SE VISITA COMERCIO, SE REALIZA INICIALIZACION A LA NUEVA TERMINAL. PRUEBAS OK. OPERATIVO EL SERVICIO."/>
    <s v="VISITA TECNICA"/>
    <s v="AE005095"/>
    <s v="TIPO I"/>
    <s v="TERRESTRE"/>
    <s v="BERNAL ELAICA EDGAR ALEXIS"/>
    <n v="1"/>
    <n v="0"/>
    <n v="0"/>
    <n v="0"/>
    <n v="0"/>
    <n v="65960"/>
    <n v="65960"/>
  </r>
  <r>
    <s v="MEDELLIN"/>
    <x v="2"/>
    <x v="2"/>
    <s v="5237"/>
    <s v="TA-25-1423059"/>
    <s v="3007016764"/>
    <s v="INCIDENTE"/>
    <s v="ANTIOQUIA"/>
    <s v="DON MATIAS"/>
    <s v="BRR SANCHEZ DON MATIAS"/>
    <s v="REDEBAN"/>
    <s v="FO-25-1980415"/>
    <d v="2025-12-16T08:50:00"/>
    <d v="2025-12-16T15:34:00"/>
    <s v="NO"/>
    <s v="USUARIO"/>
    <s v="COMUNICACION"/>
    <s v="CONEXIONES DE COMERCIO"/>
    <s v="CB UNO A UNO"/>
    <s v="CB UNO A UNO"/>
    <s v="EJECUTADO"/>
    <s v="16/12/2025 SE REALIZA VISITA TÉCNICA AL CORRESPONSAL BANCOLOMBIA POR INCIDENTE REPORTADO CON EL DATÁFONO EL USUARIO CONFIRMA SU IDENTIFICACIÓN E INFORMA QUE EL EQUIPO PRESENTÓ UN ERROR DE CONEXIÓN PERO QUE LE HABÍAN REALIZADO UNOS PRIMEROS AUXILIOS Y CON ELLO FUNCIONÓ EL USUARIO AUTORIZA LA VERIFICACIÓN PARA DETERMINAR LA CAUSA DE LA NOVEDAD SE REVISA LA CONFIGURACIÓN Y TODO SE ENCUENTRA NORMAL SE EJECUTAN PRUEBAS QUE RESULTAN EXITOSAS IDENTIFICANDO QUE LA AFECTACIÓN CORRESPONDE A PROBLEMAS DE CONEXIÓN PROPIOS DEL COMERCIO"/>
    <s v="VISITA TECNICA"/>
    <s v="JEZZZ364"/>
    <s v="TIPO II"/>
    <s v="TERRESTRE"/>
    <s v="MARTINEZ TOVAR OSCAR DAVID"/>
    <n v="1"/>
    <n v="0"/>
    <n v="0"/>
    <n v="0"/>
    <n v="0"/>
    <n v="163814"/>
    <n v="163814"/>
  </r>
  <r>
    <s v="BUCARAMANGA"/>
    <x v="4"/>
    <x v="4"/>
    <s v="68276"/>
    <s v="TA-25-1445579"/>
    <s v="3007081858"/>
    <s v="INCIDENTE"/>
    <s v="SANTANDER"/>
    <s v="FLORIDABLANCA"/>
    <s v="PTM FLORIDABLANCA TIENDA LA AN"/>
    <s v="REDEBAN"/>
    <s v="FO-25-2022782"/>
    <d v="2025-12-23T08:28:00"/>
    <d v="2025-12-23T12:56:00"/>
    <s v="NO"/>
    <s v="USUARIO"/>
    <s v="MANTENIMIENTO"/>
    <s v="MANTENIMIENTO GENERAL"/>
    <s v="AGREGADOR"/>
    <s v="COMCARD - PTM"/>
    <m/>
    <s v="23/12/2025 SE ESTABLECE CONTACTO VÍA WHATSAPP AL NÚMERO 3228385680 CON  MARIELA MANCILLA CASTRO PARA VALIDAR HORARIO DE ATENCIÓN PARA INICIAR EL RESPECTIVO DESPLAZAMIENTO AL PUNTO EN COMUNICACIÓN CLIENTE NOS INDICA QUE SE COMUNICA A REALIZAR CONSULTA POR QUE EL DATAFONO NO LE IMPRIMIA LO CUAL SE DEBIA AL MAL POCISIONAMIENTO DEL ROLLO DEL DATAFONO NOS INDICA QUE TODO ESTA FUNCIONANDO BIEN Y NO REQUIERE EL SERVICIO TÉCNICO AGRADECE POR LA ATENCIÓN PRESTADA"/>
    <s v="SOPORTE TELEFONICO"/>
    <m/>
    <s v="TIPO I"/>
    <s v="TERRESTRE"/>
    <s v="REYES RAMIREZ DIEGO ALEXANDER"/>
    <n v="0"/>
    <n v="0"/>
    <n v="0"/>
    <n v="0"/>
    <n v="0"/>
    <n v="37905"/>
    <n v="37905"/>
  </r>
  <r>
    <m/>
    <x v="6"/>
    <x v="7"/>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TUNJA"/>
    <x v="0"/>
    <x v="0"/>
    <s v="15693"/>
    <s v="14463423"/>
    <s v="3007080298"/>
    <s v="OC TRASLADO"/>
    <s v="BOYACA"/>
    <s v="SANTA ROSA DE VITERBO"/>
    <s v="BARRIO CENTRO SANTA ROSA DE VITERBO 10"/>
    <s v="REDEBAN"/>
    <s v="FO-25-1938750 | FO-25-1930207"/>
    <d v="2025-12-03T17:11:00"/>
    <d v="2025-12-10T16:29:00"/>
    <s v="NO"/>
    <s v="TRASLADO"/>
    <s v="TRASLADO EXTERNO"/>
    <s v="UNO A UNO"/>
    <s v="UNO A UNO"/>
    <s v="EJECUTADO"/>
    <s v="EJECUTADO EXITOSO"/>
    <s v="[FO-25-1938750] 10/12/2025 SE REALIZÓ LA VISITA Y SE EJECUTARON LOS PROCEDIMIENTOS INDICADOS POR REDEBAN. SE FORMATEA EL EQUIPO, SE MONTA LA VERSIÓN CORRESPONDIENTE Y SE INSTALA EL SISTEMA OPERATIVO; SIN EMBARGO, EL PROCEDIMIENTO NO RESULTA EFECTIVO. SE ESCALA NUEVAMENTE EL CASO CON REDEBAN, DONDE PAOLA GARZÓN REALIZA EL DEBIDO ESCALAMIENTO CON OPERACIONES, QUIENES AUTORIZAN EL CAMBIO DE LA TERMINAL. SE DEJA INSTALADA LA TERMINAL DA006757 Y SE REALIZAN LAS RESPECTIVAS CONFIGURACIONES, OBTENIENDO PRUEBAS EXITOSAS. PROCEDIMIENTO REALIZADO POR PAOLA GARZÓN DE REDEBAN. CLIENTE CONFORME. || [FO-25-1930207] 04/12/2025 POR FAVOR, COMUNICARSE CON USUARIO PARA CONFIRMAR UBICACION, SOLICITUD Y PROGRAMAR VISITA TECNICA | 04/12/2025 SE ESTABLECE COMUNICACIÓN CON LA SEÑORA SANDRA RINCÓN AL NÚMERO DE CONTACTO 3135875987 CLIENTE INDICA QUE AÚN NO LE HAN REALIZADO LA INSTALACIÓN DEL PUNTO DE INTERNET EN LA NUEVA DIRECCIÓN INFORMA QUE SE VA A COMUNICAR CON EL PROVEEDOR DE INTERNET PARA COORDINAR LA INSTALACIÓN TAN PRONTO TENGA UNA RESPUESTA NO LA COMUNICA PARA PROGRAMAR LA VISITA PARA EL TRASLADO. | 05/12/2025 SE EJECUTA TRASLADO EXTERNO INSTALANDO EQUIPOS Y PUBLICIDAD NO ES POSIBLE EJECUTAR LA INICIALIZACION PRESENTA ERROR AL INICIALIZAR AL EQUIPO SE ESCALA A REDEBAN EL CASO INDICAN QUE EL ERROR PROVIENE DE UN PROCEDIMIENTO ERRADO EN EL TRASLADO DESDE LA ENTIDAD QUE GENERÓ ERROR EN LA PLATAFORMA DE BESE 24 EL CASO ESTÁ EN PROCESO DE SOLUCIÓN EN NIVEL 3 CON TI OPERACIONES Y BACKOFFICE AUTORIZAN RETIRARNOS DEL PUNTO DEJANDO EL CASO ABIERTO REPROGRAMAR VISITA."/>
    <s v="VISITA TECNICA"/>
    <s v="DA006757"/>
    <s v="TIPO II"/>
    <s v="TERRESTRE"/>
    <s v="RODRIGUEZ MURCIA YERSON IVAN"/>
    <n v="1"/>
    <n v="0"/>
    <n v="0"/>
    <n v="0"/>
    <n v="163814"/>
    <n v="163814"/>
  </r>
  <r>
    <s v="MEDELLIN"/>
    <x v="1"/>
    <x v="1"/>
    <s v="5138"/>
    <s v="14481176"/>
    <s v="3007070983"/>
    <s v="OC TRASLADO"/>
    <s v="ANTIOQUIA"/>
    <s v="CAÑASGORDAS"/>
    <s v="BARRIO CANASGORDAS CANASGORDA"/>
    <s v="REDEBAN"/>
    <s v="FO-25-1950930"/>
    <d v="2025-12-05T16:25:00"/>
    <d v="2025-12-11T23:15:00"/>
    <s v="NO"/>
    <s v="TRASLADO"/>
    <s v="TRASLADO EXTERNO"/>
    <s v="CB UNO A UNO"/>
    <s v="CB UNO A UNO"/>
    <s v="CANCELADO"/>
    <s v="PETICIÓN USUARIO"/>
    <s v="09/12/2025 POR FAVOR, COMUNICARSE CON USUARIO PARA CONFIRMAR UBICACION, SOLICITUD Y PROGRAMAR VISITA TECNICA"/>
    <s v="VISITA TECNICA"/>
    <m/>
    <s v="TIPO III"/>
    <s v="TERRESTRE"/>
    <s v="BARRIENTOS HERNANDEZ CRISTIAN HORACIO"/>
    <n v="1"/>
    <n v="0"/>
    <n v="0"/>
    <n v="0"/>
    <n v="275728"/>
    <n v="275728"/>
  </r>
  <r>
    <s v="BOGOTA"/>
    <x v="2"/>
    <x v="2"/>
    <s v="11001"/>
    <s v="14493357"/>
    <s v="3007043354"/>
    <s v="OC TRASLADO"/>
    <s v="CUNDINAMARCA"/>
    <s v="BOGOTA"/>
    <s v="BARRIO BOSA BRASIL BOGOTA 2"/>
    <s v="REDEBAN"/>
    <s v="FO-25-1950925"/>
    <d v="2025-12-05T16:25:00"/>
    <d v="2025-12-11T12:21:00"/>
    <s v="NO"/>
    <s v="TRASLADO"/>
    <s v="TRASLADO EXTERNO"/>
    <s v="CB UNO A UNO"/>
    <s v="CB UNO A UNO"/>
    <s v="EJECUTADO / CANCELADO"/>
    <s v="PETICIÓN USUARIO"/>
    <s v="09/12/2025 POR FAVOR, COMUNICARSE CON USUARIO PARA CONFIRMAR UBICACION, SOLICITUD Y PROGRAMAR VISITA TECNICA"/>
    <s v="VISITA TECNICA"/>
    <m/>
    <s v="TIPO I"/>
    <s v="TERRESTRE"/>
    <s v="HERNANDEZ NARANJO OSCAR EDUARDO"/>
    <n v="1"/>
    <n v="0"/>
    <n v="0"/>
    <n v="0"/>
    <n v="65960"/>
    <n v="65960"/>
  </r>
  <r>
    <s v="MEDELLIN"/>
    <x v="1"/>
    <x v="1"/>
    <s v="5001"/>
    <s v="14494063"/>
    <s v="3007037905"/>
    <s v="OC TRASLADO"/>
    <s v="ANTIOQUIA"/>
    <s v="MEDELLIN"/>
    <s v="BARRIO LOPEZ DE MESA MEDELLIN"/>
    <s v="REDEBAN"/>
    <s v="FO-25-1930242"/>
    <d v="2025-12-03T17:11:00"/>
    <d v="2025-12-10T09:42:00"/>
    <s v="NO"/>
    <s v="TRASLADO"/>
    <s v="TRASLADO INTERNO"/>
    <s v="CB UNO A UNO"/>
    <s v="CB UNO A UNO"/>
    <s v="EJECUTADO"/>
    <s v="PETICIÓN USUARIO"/>
    <s v="04/12/2025 POR FAVOR, COMUNICARSE CON USUARIO PARA CONFIRMAR UBICACION, SOLICITUD Y PROGRAMAR VISITA TECNICA | 10/12/2025 EN LA DESCRIPCIÓN DE SOLICITUD DE TRASLADO, NO HAY NINGÚN NÚMERO ANEXADO, POR LO TANTO, SE VISITA EL SITIO YA QUE DICE QUE EL MOVIMIENTO QUE HICIERON ES EN EL MISMO PUNTO. DESPUÉS DE VISITAR EL SITIO, QUIÉN YA ES EL NUEVO ADMINISTRADOR, INFORMA QUE EL CB LO QUITARON Y QUE NO SABEN ACERCA DE LA CONTINUIDAD DEL CB EN ALGUNA OTRA DIRECCIÓN Y COMO NO HAY UN NÚMERO DE CONTACTO, NO SE PUEDE VALIDAR."/>
    <s v="VISITA TECNICA"/>
    <s v="00000"/>
    <s v="TIPO I"/>
    <s v="TERRESTRE"/>
    <s v="MARIN PIEDRAHITA JIMMY ALEXIS"/>
    <n v="1"/>
    <n v="0"/>
    <n v="0"/>
    <n v="0"/>
    <n v="65960"/>
    <n v="65960"/>
  </r>
  <r>
    <s v="NEIVA"/>
    <x v="3"/>
    <x v="3"/>
    <s v="41001"/>
    <s v="14516194"/>
    <s v="3007081806"/>
    <s v="OC TRASLADO"/>
    <s v="HUILA"/>
    <s v="NEIVA"/>
    <s v="PTM NEIVA SERVICIOS PROFESIONA"/>
    <s v="REDEBAN"/>
    <s v="FO-25-1992654"/>
    <d v="2025-12-17T14:51:00"/>
    <d v="2025-12-20T08:42:00"/>
    <s v="NO"/>
    <s v="TRASLADO"/>
    <s v="TRASLADO EXTERNO"/>
    <s v="AGREGADOR"/>
    <s v="COMCARD - PTM"/>
    <m/>
    <s v="CANCELADO POR EL USUARIO"/>
    <s v="17/12/2025 SE  REALIZAN VARIOS INTLA GESTIONENTOS DE COMUNICACION CON LOS USUARIOS Y NO SE LOGRA ESTABLECER CONTACTO, PORFAVOR LLAMAR ANTES DE REALIZAR"/>
    <s v="SOPORTE TELEFONICO"/>
    <m/>
    <s v="TIPO I"/>
    <s v="TERRESTRE"/>
    <s v="DIAZ VARGAS JONATHAN MIGUEL"/>
    <n v="0"/>
    <n v="0"/>
    <n v="0"/>
    <n v="0"/>
    <n v="37905"/>
    <n v="37905"/>
  </r>
  <r>
    <s v="BOGOTA"/>
    <x v="2"/>
    <x v="2"/>
    <s v="25885"/>
    <s v="14536522"/>
    <s v="3007074206"/>
    <s v="OC TRASLADO"/>
    <s v="CUNDINAMARCA"/>
    <s v="YACOPI"/>
    <s v="BARRIO CENTRO YACOPÍ"/>
    <s v="REDEBAN"/>
    <s v="FO-25-2001064"/>
    <d v="2025-12-18T17:26:00"/>
    <d v="2025-12-24T08:22:00"/>
    <s v="NO"/>
    <s v="TRASLADO"/>
    <s v="TRASLADO EXTERNO"/>
    <s v="CB UNO A UNO"/>
    <s v="CB UNO A UNO"/>
    <s v="EJECUTADO / CANCELADO"/>
    <s v="PETICIÓN RED"/>
    <s v="19/12/2025 SE REALIZARON VARIOS INTENTOS PARA REALIZAR LA VERIFICACION Y ACTUALIZACION  DE DATOS AL NUMERO  AL NUMERO 3025865277 PERO EN NINGUNO DE LOS INTENTOS LA COMUNICACION FUE EXITOSA.PORFAVOR LLAMAR ANTES DE REALIZAR LA GESTION"/>
    <s v="VISITA TECNICA"/>
    <m/>
    <s v="TIPO IV"/>
    <s v="TERRESTRE"/>
    <s v="INFANTE SIERRA MANUEL FERNANDO"/>
    <n v="1"/>
    <n v="0"/>
    <n v="0"/>
    <n v="0"/>
    <n v="479590"/>
    <n v="479590"/>
  </r>
  <r>
    <s v="BOGOTA"/>
    <x v="2"/>
    <x v="2"/>
    <s v="11001"/>
    <s v="14576180"/>
    <s v="3007043354"/>
    <s v="OC TRASLADO"/>
    <s v="CUNDINAMARCA"/>
    <s v="BOGOTA"/>
    <s v="BARRIO BOSA BRASIL BOGOTA 2"/>
    <s v="REDEBAN"/>
    <s v="FO-25-2027033"/>
    <d v="2025-12-23T16:58:00"/>
    <d v="2025-12-29T12:14:00"/>
    <s v="NO"/>
    <s v="TRASLADO"/>
    <s v="TRASLADO EXTERNO"/>
    <s v="CB UNO A UNO"/>
    <s v="CB UNO A UNO"/>
    <s v="EJECUTADO / CANCELADO"/>
    <s v="DIRECCION ERRADA"/>
    <s v="24/12/2025 &quot;SE ESTABLECE  COMUNICACION CON LA SEÑORA BLANCA RAMIREZ CON NUMERO DE TELEFONO 3213815155.SE REALIZA CONFIRMACION DE DIRECCION DE LA DIRECCION EN LA CUAL QUEDARA INSTALADO  EL SERVICIO CR 88 I # 51 A 10 SUR CUNDINAMARCA"/>
    <s v="VISITA TECNICA"/>
    <m/>
    <s v="TIPO I"/>
    <s v="TERRESTRE"/>
    <s v="ALARCON AREVALO JOHAN STIVEN"/>
    <n v="1"/>
    <n v="0"/>
    <n v="0"/>
    <n v="0"/>
    <n v="65960"/>
    <n v="65960"/>
  </r>
  <r>
    <m/>
    <x v="4"/>
    <x v="4"/>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n v="222904"/>
  </r>
  <r>
    <x v="1"/>
    <m/>
  </r>
  <r>
    <x v="2"/>
    <n v="44560"/>
  </r>
  <r>
    <x v="1"/>
    <m/>
  </r>
  <r>
    <x v="3"/>
    <n v="509369"/>
  </r>
  <r>
    <x v="1"/>
    <m/>
  </r>
  <r>
    <x v="4"/>
    <n v="44560"/>
  </r>
  <r>
    <x v="1"/>
    <m/>
  </r>
  <r>
    <x v="1"/>
    <m/>
  </r>
  <r>
    <x v="1"/>
    <m/>
  </r>
  <r>
    <x v="1"/>
    <m/>
  </r>
  <r>
    <x v="1"/>
    <m/>
  </r>
  <r>
    <x v="1"/>
    <m/>
  </r>
  <r>
    <x v="1"/>
    <m/>
  </r>
  <r>
    <x v="1"/>
    <m/>
  </r>
  <r>
    <x v="1"/>
    <m/>
  </r>
  <r>
    <x v="0"/>
    <n v="1006794"/>
  </r>
  <r>
    <x v="1"/>
    <m/>
  </r>
  <r>
    <x v="2"/>
    <n v="1087545"/>
  </r>
  <r>
    <x v="1"/>
    <m/>
  </r>
  <r>
    <x v="3"/>
    <n v="5034184"/>
  </r>
  <r>
    <x v="1"/>
    <m/>
  </r>
  <r>
    <x v="4"/>
    <n v="2756777"/>
  </r>
  <r>
    <x v="1"/>
    <m/>
  </r>
  <r>
    <x v="5"/>
    <n v="2123947"/>
  </r>
  <r>
    <x v="1"/>
    <m/>
  </r>
  <r>
    <x v="6"/>
    <n v="361694"/>
  </r>
  <r>
    <x v="1"/>
    <m/>
  </r>
  <r>
    <x v="7"/>
    <n v="737077"/>
  </r>
  <r>
    <x v="1"/>
    <m/>
  </r>
  <r>
    <x v="1"/>
    <m/>
  </r>
  <r>
    <x v="1"/>
    <m/>
  </r>
  <r>
    <x v="1"/>
    <m/>
  </r>
  <r>
    <x v="1"/>
    <m/>
  </r>
  <r>
    <x v="1"/>
    <m/>
  </r>
  <r>
    <x v="1"/>
    <m/>
  </r>
  <r>
    <x v="1"/>
    <m/>
  </r>
  <r>
    <x v="1"/>
    <m/>
  </r>
  <r>
    <x v="1"/>
    <m/>
  </r>
  <r>
    <x v="3"/>
    <n v="341688"/>
  </r>
  <r>
    <x v="1"/>
    <m/>
  </r>
  <r>
    <x v="4"/>
    <n v="37905"/>
  </r>
  <r>
    <x v="1"/>
    <m/>
  </r>
  <r>
    <x v="5"/>
    <n v="163814"/>
  </r>
  <r>
    <x v="1"/>
    <m/>
  </r>
  <r>
    <x v="6"/>
    <n v="6115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BFD211-3828-4468-9FF7-08DD323835BC}" name="TablaDinámica8" cacheId="44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4:I12" firstHeaderRow="1" firstDataRow="1" firstDataCol="1"/>
  <pivotFields count="2">
    <pivotField axis="axisRow" showAll="0">
      <items count="9">
        <item x="0"/>
        <item x="7"/>
        <item x="2"/>
        <item x="6"/>
        <item x="3"/>
        <item x="4"/>
        <item x="5"/>
        <item h="1" x="1"/>
        <item t="default"/>
      </items>
    </pivotField>
    <pivotField dataField="1" showAll="0"/>
  </pivotFields>
  <rowFields count="1">
    <field x="0"/>
  </rowFields>
  <rowItems count="8">
    <i>
      <x/>
    </i>
    <i>
      <x v="1"/>
    </i>
    <i>
      <x v="2"/>
    </i>
    <i>
      <x v="3"/>
    </i>
    <i>
      <x v="4"/>
    </i>
    <i>
      <x v="5"/>
    </i>
    <i>
      <x v="6"/>
    </i>
    <i t="grand">
      <x/>
    </i>
  </rowItems>
  <colItems count="1">
    <i/>
  </colItems>
  <dataFields count="1">
    <dataField name="Suma de VALO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8BB08-E072-484A-AEE9-DF7701E12D26}" name="TablaDinámica7" cacheId="44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2:B51" firstHeaderRow="1" firstDataRow="1" firstDataCol="1"/>
  <pivotFields count="33">
    <pivotField showAll="0"/>
    <pivotField axis="axisRow" showAll="0">
      <items count="6">
        <item x="1"/>
        <item x="3"/>
        <item x="4"/>
        <item x="0"/>
        <item x="2"/>
        <item t="default"/>
      </items>
    </pivotField>
    <pivotField axis="axisRow" showAll="0">
      <items count="6">
        <item x="1"/>
        <item x="3"/>
        <item h="1" x="4"/>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9">
    <i>
      <x/>
    </i>
    <i r="1">
      <x/>
    </i>
    <i>
      <x v="1"/>
    </i>
    <i r="1">
      <x v="1"/>
    </i>
    <i>
      <x v="3"/>
    </i>
    <i r="1">
      <x v="3"/>
    </i>
    <i>
      <x v="4"/>
    </i>
    <i r="1">
      <x v="4"/>
    </i>
    <i t="grand">
      <x/>
    </i>
  </rowItems>
  <colItems count="1">
    <i/>
  </colItems>
  <dataFields count="1">
    <dataField name="Suma de VALOR TOTAL"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3F02A7-46CF-4614-8A68-E5F2AB2BDB96}" name="TablaDinámica6" cacheId="44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9:B34" firstHeaderRow="1" firstDataRow="1" firstDataCol="1"/>
  <pivotFields count="34">
    <pivotField showAll="0"/>
    <pivotField axis="axisRow" showAll="0">
      <items count="8">
        <item x="3"/>
        <item x="2"/>
        <item x="0"/>
        <item x="1"/>
        <item x="6"/>
        <item x="4"/>
        <item x="5"/>
        <item t="default"/>
      </items>
    </pivotField>
    <pivotField axis="axisRow" showAll="0">
      <items count="9">
        <item x="3"/>
        <item x="1"/>
        <item x="2"/>
        <item x="0"/>
        <item h="1" x="7"/>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15">
    <i>
      <x/>
    </i>
    <i r="1">
      <x/>
    </i>
    <i>
      <x v="1"/>
    </i>
    <i r="1">
      <x v="3"/>
    </i>
    <i>
      <x v="2"/>
    </i>
    <i r="1">
      <x v="1"/>
    </i>
    <i>
      <x v="3"/>
    </i>
    <i r="1">
      <x v="2"/>
    </i>
    <i>
      <x v="5"/>
    </i>
    <i r="1">
      <x v="5"/>
    </i>
    <i>
      <x v="6"/>
    </i>
    <i r="1">
      <x v="6"/>
    </i>
    <i>
      <x v="7"/>
    </i>
    <i r="1">
      <x v="3"/>
    </i>
    <i t="grand">
      <x/>
    </i>
  </rowItems>
  <colItems count="1">
    <i/>
  </colItems>
  <dataFields count="1">
    <dataField name="Suma de VALOR DIAS ACOMPAÑAMIENTO FACTURABLE"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5DF6AB-32B7-490B-8F18-D302A99076AB}" name="TablaDinámica5" cacheId="43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2" firstHeaderRow="1" firstDataRow="1" firstDataCol="1"/>
  <pivotFields count="31">
    <pivotField showAll="0"/>
    <pivotField axis="axisRow" showAll="0">
      <items count="6">
        <item x="2"/>
        <item x="3"/>
        <item x="1"/>
        <item x="0"/>
        <item x="4"/>
        <item t="default"/>
      </items>
    </pivotField>
    <pivotField axis="axisRow" showAll="0">
      <items count="6">
        <item x="2"/>
        <item x="0"/>
        <item x="3"/>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2"/>
    <field x="1"/>
  </rowFields>
  <rowItems count="9">
    <i>
      <x/>
    </i>
    <i r="1">
      <x/>
    </i>
    <i>
      <x v="1"/>
    </i>
    <i r="1">
      <x v="3"/>
    </i>
    <i>
      <x v="2"/>
    </i>
    <i r="1">
      <x v="1"/>
    </i>
    <i>
      <x v="3"/>
    </i>
    <i r="1">
      <x v="2"/>
    </i>
    <i t="grand">
      <x/>
    </i>
  </rowItems>
  <colItems count="1">
    <i/>
  </colItems>
  <dataFields count="1">
    <dataField name="Suma de VALOR TOTAL INSTALACION DE PUBLICIDAD"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0D56-2506-447C-8068-951CB418B89A}">
  <dimension ref="A1:L16"/>
  <sheetViews>
    <sheetView tabSelected="1" workbookViewId="0">
      <selection activeCell="L23" sqref="L23"/>
    </sheetView>
  </sheetViews>
  <sheetFormatPr baseColWidth="10" defaultRowHeight="13.2"/>
  <cols>
    <col min="1" max="1" width="14" style="16" bestFit="1" customWidth="1"/>
    <col min="2" max="2" width="11.5546875" style="16"/>
    <col min="3" max="3" width="15.6640625" style="16" bestFit="1" customWidth="1"/>
    <col min="4" max="4" width="11.88671875" style="16" bestFit="1" customWidth="1"/>
    <col min="5" max="5" width="11.5546875" style="16"/>
    <col min="6" max="6" width="18.44140625" style="16" bestFit="1" customWidth="1"/>
    <col min="7" max="7" width="31.33203125" style="16" bestFit="1" customWidth="1"/>
    <col min="8" max="11" width="11.5546875" style="16"/>
    <col min="12" max="12" width="12" style="16" bestFit="1" customWidth="1"/>
    <col min="13" max="16384" width="11.5546875" style="16"/>
  </cols>
  <sheetData>
    <row r="1" spans="1:12">
      <c r="A1" s="52" t="s">
        <v>950</v>
      </c>
      <c r="B1" s="53"/>
      <c r="C1" s="53"/>
      <c r="D1" s="53"/>
      <c r="E1" s="15"/>
      <c r="F1" s="54" t="s">
        <v>951</v>
      </c>
      <c r="G1" s="55"/>
      <c r="H1" s="55"/>
      <c r="I1" s="55"/>
      <c r="J1" s="56"/>
    </row>
    <row r="2" spans="1:12">
      <c r="A2" s="57" t="s">
        <v>952</v>
      </c>
      <c r="B2" s="57"/>
      <c r="C2" s="57"/>
      <c r="D2" s="57"/>
      <c r="E2" s="15"/>
      <c r="F2" s="58">
        <f>A3</f>
        <v>45992</v>
      </c>
      <c r="G2" s="59"/>
      <c r="H2" s="59"/>
      <c r="I2" s="59"/>
      <c r="J2" s="60"/>
    </row>
    <row r="3" spans="1:12">
      <c r="A3" s="61">
        <v>45992</v>
      </c>
      <c r="B3" s="57"/>
      <c r="C3" s="57"/>
      <c r="D3" s="57"/>
      <c r="E3" s="15"/>
      <c r="F3" s="18"/>
      <c r="G3" s="18"/>
      <c r="H3" s="18"/>
      <c r="I3" s="19"/>
      <c r="J3" s="19"/>
    </row>
    <row r="4" spans="1:12">
      <c r="A4" s="62"/>
      <c r="B4" s="62"/>
      <c r="C4" s="62"/>
      <c r="D4" s="62"/>
      <c r="E4" s="15"/>
      <c r="F4" s="21" t="s">
        <v>953</v>
      </c>
      <c r="G4" s="21" t="s">
        <v>954</v>
      </c>
      <c r="H4" s="22" t="s">
        <v>955</v>
      </c>
      <c r="I4" s="21" t="s">
        <v>956</v>
      </c>
      <c r="J4" s="23" t="s">
        <v>955</v>
      </c>
    </row>
    <row r="5" spans="1:12">
      <c r="A5" s="24" t="s">
        <v>953</v>
      </c>
      <c r="B5" s="17" t="s">
        <v>957</v>
      </c>
      <c r="C5" s="25" t="s">
        <v>958</v>
      </c>
      <c r="D5" s="24" t="s">
        <v>896</v>
      </c>
      <c r="F5" s="26" t="s">
        <v>959</v>
      </c>
      <c r="G5" s="26" t="s">
        <v>960</v>
      </c>
      <c r="H5" s="26">
        <f>440000+285800</f>
        <v>725800</v>
      </c>
      <c r="I5" s="27">
        <f t="shared" ref="I5:I11" si="0">H5*0.12</f>
        <v>87096</v>
      </c>
      <c r="J5" s="28">
        <f t="shared" ref="J5:J11" si="1">H5+I5</f>
        <v>812896</v>
      </c>
    </row>
    <row r="6" spans="1:12">
      <c r="A6" s="29" t="s">
        <v>961</v>
      </c>
      <c r="B6" s="20">
        <f>COUNTA(ADECUCACIONES!A:A)-1</f>
        <v>5</v>
      </c>
      <c r="C6" s="30">
        <v>0</v>
      </c>
      <c r="D6" s="31">
        <f>SUM(ADECUCACIONES!AE2:AE10000)</f>
        <v>821393</v>
      </c>
      <c r="F6" s="26" t="s">
        <v>970</v>
      </c>
      <c r="G6" s="26" t="s">
        <v>968</v>
      </c>
      <c r="H6" s="26">
        <v>451500</v>
      </c>
      <c r="I6" s="27">
        <f t="shared" si="0"/>
        <v>54180</v>
      </c>
      <c r="J6" s="28">
        <f t="shared" si="1"/>
        <v>505680</v>
      </c>
      <c r="L6" s="72"/>
    </row>
    <row r="7" spans="1:12">
      <c r="A7" s="29" t="s">
        <v>962</v>
      </c>
      <c r="B7" s="20">
        <f>COUNTA(INCIDENTES!A:A)-1</f>
        <v>92</v>
      </c>
      <c r="C7" s="30">
        <v>0</v>
      </c>
      <c r="D7" s="32">
        <f>SUM(INCIDENTES!AH2:AH9913)</f>
        <v>13108018</v>
      </c>
      <c r="F7" s="26" t="s">
        <v>971</v>
      </c>
      <c r="G7" s="26" t="s">
        <v>969</v>
      </c>
      <c r="H7" s="26">
        <v>507600</v>
      </c>
      <c r="I7" s="27">
        <f t="shared" si="0"/>
        <v>60912</v>
      </c>
      <c r="J7" s="28">
        <f t="shared" si="1"/>
        <v>568512</v>
      </c>
    </row>
    <row r="8" spans="1:12">
      <c r="A8" s="29" t="s">
        <v>963</v>
      </c>
      <c r="B8" s="20">
        <f>COUNTA(OC!A:A)-1</f>
        <v>7</v>
      </c>
      <c r="C8" s="30">
        <v>0</v>
      </c>
      <c r="D8" s="32">
        <f>SUM(OC!AG2:AG10000)</f>
        <v>1154917</v>
      </c>
      <c r="F8" s="33"/>
      <c r="G8" s="34"/>
      <c r="H8" s="35"/>
      <c r="I8" s="27">
        <f t="shared" si="0"/>
        <v>0</v>
      </c>
      <c r="J8" s="28">
        <f t="shared" si="1"/>
        <v>0</v>
      </c>
    </row>
    <row r="9" spans="1:12">
      <c r="A9" s="29" t="s">
        <v>964</v>
      </c>
      <c r="B9" s="20">
        <v>3</v>
      </c>
      <c r="C9" s="30">
        <v>0</v>
      </c>
      <c r="D9" s="32">
        <f>J12</f>
        <v>1887088</v>
      </c>
      <c r="F9" s="33"/>
      <c r="G9" s="34"/>
      <c r="H9" s="35"/>
      <c r="I9" s="27">
        <f t="shared" si="0"/>
        <v>0</v>
      </c>
      <c r="J9" s="28">
        <f t="shared" si="1"/>
        <v>0</v>
      </c>
    </row>
    <row r="10" spans="1:12">
      <c r="A10" s="43" t="s">
        <v>965</v>
      </c>
      <c r="B10" s="44"/>
      <c r="C10" s="45"/>
      <c r="D10" s="36">
        <f>SUM(D6:D9)</f>
        <v>16971416</v>
      </c>
      <c r="F10" s="33"/>
      <c r="G10" s="34"/>
      <c r="H10" s="35"/>
      <c r="I10" s="27">
        <f t="shared" si="0"/>
        <v>0</v>
      </c>
      <c r="J10" s="28">
        <f t="shared" si="1"/>
        <v>0</v>
      </c>
    </row>
    <row r="11" spans="1:12">
      <c r="A11" s="46" t="s">
        <v>966</v>
      </c>
      <c r="B11" s="47"/>
      <c r="C11" s="48"/>
      <c r="D11" s="37">
        <f>D10*0.19</f>
        <v>3224569.04</v>
      </c>
      <c r="F11" s="33"/>
      <c r="G11" s="34"/>
      <c r="H11" s="35"/>
      <c r="I11" s="27">
        <f t="shared" si="0"/>
        <v>0</v>
      </c>
      <c r="J11" s="28">
        <f t="shared" si="1"/>
        <v>0</v>
      </c>
    </row>
    <row r="12" spans="1:12">
      <c r="A12" s="49" t="s">
        <v>955</v>
      </c>
      <c r="B12" s="50"/>
      <c r="C12" s="51"/>
      <c r="D12" s="38">
        <f>D10+D11</f>
        <v>20195985.039999999</v>
      </c>
      <c r="E12" s="15"/>
      <c r="F12" s="39" t="s">
        <v>955</v>
      </c>
      <c r="G12" s="40"/>
      <c r="H12" s="41">
        <f>SUM(H5:H11)</f>
        <v>1684900</v>
      </c>
      <c r="I12" s="41">
        <f>SUM(I5:I11)</f>
        <v>202188</v>
      </c>
      <c r="J12" s="41">
        <f>SUM(J5:J11)</f>
        <v>1887088</v>
      </c>
    </row>
    <row r="16" spans="1:12">
      <c r="F16"/>
    </row>
  </sheetData>
  <mergeCells count="9">
    <mergeCell ref="A10:C10"/>
    <mergeCell ref="A11:C11"/>
    <mergeCell ref="A12:C12"/>
    <mergeCell ref="A1:D1"/>
    <mergeCell ref="F1:J1"/>
    <mergeCell ref="A2:D2"/>
    <mergeCell ref="F2:J2"/>
    <mergeCell ref="A3:D3"/>
    <mergeCell ref="A4:D4"/>
  </mergeCells>
  <conditionalFormatting sqref="F5:F7">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workbookViewId="0">
      <selection activeCell="D4" sqref="D4"/>
    </sheetView>
  </sheetViews>
  <sheetFormatPr baseColWidth="10" defaultColWidth="11.44140625" defaultRowHeight="13.2"/>
  <cols>
    <col min="1" max="1" width="20" style="3" bestFit="1" customWidth="1"/>
    <col min="2" max="2" width="25.44140625" style="3" bestFit="1" customWidth="1"/>
    <col min="3" max="3" width="18.109375" style="3" bestFit="1" customWidth="1"/>
    <col min="4" max="4" width="18" style="3" bestFit="1" customWidth="1"/>
    <col min="5" max="5" width="15.88671875" style="1" customWidth="1"/>
    <col min="6" max="6" width="11.44140625" style="1" customWidth="1"/>
    <col min="7" max="16384" width="11.44140625" style="1"/>
  </cols>
  <sheetData>
    <row r="1" spans="1:7">
      <c r="A1" s="63" t="s">
        <v>0</v>
      </c>
      <c r="B1" s="64"/>
      <c r="C1" s="64"/>
      <c r="D1" s="65"/>
      <c r="E1" s="8" t="s">
        <v>1</v>
      </c>
    </row>
    <row r="2" spans="1:7">
      <c r="A2" s="8" t="s">
        <v>2</v>
      </c>
      <c r="B2" s="8" t="s">
        <v>3</v>
      </c>
      <c r="C2" s="8" t="s">
        <v>4</v>
      </c>
      <c r="D2" s="8" t="s">
        <v>5</v>
      </c>
      <c r="E2" s="9">
        <v>5.1999999999999998E-2</v>
      </c>
    </row>
    <row r="3" spans="1:7">
      <c r="A3" s="4" t="s">
        <v>6</v>
      </c>
      <c r="B3" s="4" t="s">
        <v>7</v>
      </c>
      <c r="C3" s="10">
        <f>62700.07*(1+$E$2)</f>
        <v>65960.473639999997</v>
      </c>
      <c r="D3" s="10">
        <f>42357.4*(1+$E$2)</f>
        <v>44559.984800000006</v>
      </c>
      <c r="E3" s="2"/>
      <c r="F3" s="2"/>
      <c r="G3" s="2"/>
    </row>
    <row r="4" spans="1:7">
      <c r="A4" s="4" t="s">
        <v>8</v>
      </c>
      <c r="B4" s="4" t="s">
        <v>9</v>
      </c>
      <c r="C4" s="10">
        <f>155716.31*(1+$E$2)</f>
        <v>163813.55812</v>
      </c>
      <c r="D4" s="10">
        <f>127766.53*(1+$E$2)</f>
        <v>134410.38956000001</v>
      </c>
      <c r="E4" s="2"/>
      <c r="F4" s="2"/>
      <c r="G4" s="2"/>
    </row>
    <row r="5" spans="1:7">
      <c r="A5" s="4" t="s">
        <v>10</v>
      </c>
      <c r="B5" s="4" t="s">
        <v>11</v>
      </c>
      <c r="C5" s="10">
        <f>262099.22*(1+$E$2)</f>
        <v>275728.37943999999</v>
      </c>
      <c r="D5" s="10">
        <f>211886.19*(1+$E$2)</f>
        <v>222904.27188000001</v>
      </c>
      <c r="E5" s="2"/>
      <c r="F5" s="2"/>
      <c r="G5" s="2"/>
    </row>
    <row r="6" spans="1:7">
      <c r="A6" s="4" t="s">
        <v>12</v>
      </c>
      <c r="B6" s="4" t="s">
        <v>13</v>
      </c>
      <c r="C6" s="10">
        <f>455883.78*(1+$E$2)</f>
        <v>479589.73656000005</v>
      </c>
      <c r="D6" s="10">
        <f>441833.68*(1+$E$2)</f>
        <v>464809.03136000002</v>
      </c>
      <c r="E6" s="2"/>
      <c r="F6" s="2"/>
      <c r="G6" s="2"/>
    </row>
    <row r="7" spans="1:7">
      <c r="A7" s="4" t="s">
        <v>14</v>
      </c>
      <c r="B7" s="4" t="s">
        <v>15</v>
      </c>
      <c r="C7" s="10">
        <f>455883.78*(1+$E$2)</f>
        <v>479589.73656000005</v>
      </c>
      <c r="D7" s="10">
        <f>441833.68*(1+$E$2)</f>
        <v>464809.03136000002</v>
      </c>
      <c r="E7" s="2"/>
      <c r="F7" s="2"/>
      <c r="G7" s="2"/>
    </row>
    <row r="8" spans="1:7" ht="24" customHeight="1">
      <c r="A8" s="66" t="s">
        <v>16</v>
      </c>
      <c r="B8" s="64"/>
      <c r="C8" s="64"/>
      <c r="D8" s="65"/>
      <c r="E8" s="2"/>
    </row>
    <row r="9" spans="1:7">
      <c r="A9" s="5"/>
      <c r="B9" s="6"/>
      <c r="C9" s="6"/>
      <c r="D9" s="7"/>
    </row>
    <row r="10" spans="1:7">
      <c r="A10" s="4" t="s">
        <v>17</v>
      </c>
      <c r="B10" s="10">
        <f>36031.04*(1+$E$2)</f>
        <v>37904.65408</v>
      </c>
      <c r="C10" s="2"/>
      <c r="D10" s="2"/>
    </row>
    <row r="11" spans="1:7">
      <c r="A11" s="4" t="s">
        <v>18</v>
      </c>
      <c r="B11" s="10">
        <f>30182.1*(1+$E$2)</f>
        <v>31751.569199999998</v>
      </c>
      <c r="C11" s="2"/>
      <c r="D11" s="2"/>
    </row>
    <row r="12" spans="1:7">
      <c r="A12" s="4" t="s">
        <v>19</v>
      </c>
      <c r="B12" s="10">
        <f>15432.22*(1+$E$2)</f>
        <v>16234.69544</v>
      </c>
      <c r="C12" s="2"/>
      <c r="D12" s="2"/>
    </row>
    <row r="13" spans="1:7">
      <c r="A13" s="4" t="s">
        <v>20</v>
      </c>
      <c r="B13" s="10">
        <f>244669.03*(1+$E$2)</f>
        <v>257391.81956</v>
      </c>
      <c r="C13" s="2"/>
      <c r="D13" s="2"/>
    </row>
    <row r="14" spans="1:7">
      <c r="A14" s="4" t="s">
        <v>21</v>
      </c>
      <c r="B14" s="10">
        <f>291399.51*(1+$E$2)</f>
        <v>306552.28452000004</v>
      </c>
      <c r="C14" s="2"/>
      <c r="D14" s="2"/>
    </row>
    <row r="15" spans="1:7">
      <c r="A15" s="4" t="s">
        <v>22</v>
      </c>
      <c r="B15" s="11">
        <f>53547.34*(1+$E$2)</f>
        <v>56331.801679999997</v>
      </c>
      <c r="C15" s="2"/>
      <c r="D15" s="2"/>
    </row>
    <row r="16" spans="1:7">
      <c r="E16" s="2"/>
    </row>
  </sheetData>
  <mergeCells count="2">
    <mergeCell ref="A1:D1"/>
    <mergeCell ref="A8:D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D27D-24ED-4357-BC1B-2D7B2F2F731F}">
  <dimension ref="A2:I51"/>
  <sheetViews>
    <sheetView workbookViewId="0">
      <selection activeCell="I11" sqref="I11"/>
    </sheetView>
  </sheetViews>
  <sheetFormatPr baseColWidth="10" defaultRowHeight="13.2"/>
  <cols>
    <col min="1" max="1" width="19.88671875" bestFit="1" customWidth="1"/>
    <col min="2" max="2" width="22.44140625" bestFit="1" customWidth="1"/>
    <col min="8" max="8" width="17.33203125" bestFit="1" customWidth="1"/>
    <col min="9" max="9" width="15.77734375" bestFit="1" customWidth="1"/>
  </cols>
  <sheetData>
    <row r="2" spans="1:9">
      <c r="A2" s="71" t="s">
        <v>975</v>
      </c>
    </row>
    <row r="3" spans="1:9">
      <c r="A3" s="67" t="s">
        <v>972</v>
      </c>
      <c r="B3" t="s">
        <v>974</v>
      </c>
      <c r="C3" s="71" t="s">
        <v>980</v>
      </c>
      <c r="D3" s="71" t="s">
        <v>981</v>
      </c>
    </row>
    <row r="4" spans="1:9">
      <c r="A4" s="68" t="s">
        <v>86</v>
      </c>
      <c r="B4" s="70">
        <v>222904</v>
      </c>
      <c r="C4" t="str">
        <f>A4</f>
        <v>0004-0001</v>
      </c>
      <c r="D4">
        <f>B4</f>
        <v>222904</v>
      </c>
      <c r="H4" s="67" t="s">
        <v>972</v>
      </c>
      <c r="I4" t="s">
        <v>982</v>
      </c>
    </row>
    <row r="5" spans="1:9">
      <c r="A5" s="69" t="s">
        <v>85</v>
      </c>
      <c r="B5" s="70">
        <v>222904</v>
      </c>
      <c r="G5" s="71" t="s">
        <v>987</v>
      </c>
      <c r="H5" s="68" t="s">
        <v>86</v>
      </c>
      <c r="I5" s="70">
        <v>1229698</v>
      </c>
    </row>
    <row r="6" spans="1:9">
      <c r="A6" s="68" t="s">
        <v>56</v>
      </c>
      <c r="B6" s="70">
        <v>44560</v>
      </c>
      <c r="C6" t="str">
        <f>A6</f>
        <v>0004-0003</v>
      </c>
      <c r="D6">
        <f>B6</f>
        <v>44560</v>
      </c>
      <c r="G6" s="71" t="s">
        <v>983</v>
      </c>
      <c r="H6" s="68" t="s">
        <v>565</v>
      </c>
      <c r="I6" s="70">
        <v>737077</v>
      </c>
    </row>
    <row r="7" spans="1:9">
      <c r="A7" s="69" t="s">
        <v>55</v>
      </c>
      <c r="B7" s="70">
        <v>44560</v>
      </c>
      <c r="G7" s="71" t="s">
        <v>984</v>
      </c>
      <c r="H7" s="68" t="s">
        <v>56</v>
      </c>
      <c r="I7" s="70">
        <v>1132105</v>
      </c>
    </row>
    <row r="8" spans="1:9">
      <c r="A8" s="68" t="s">
        <v>105</v>
      </c>
      <c r="B8" s="70">
        <v>509369</v>
      </c>
      <c r="C8" t="str">
        <f>A8</f>
        <v>0004-0005</v>
      </c>
      <c r="D8">
        <f>B8</f>
        <v>509369</v>
      </c>
      <c r="G8" s="71" t="s">
        <v>988</v>
      </c>
      <c r="H8" s="68" t="s">
        <v>242</v>
      </c>
      <c r="I8" s="70">
        <v>973204</v>
      </c>
    </row>
    <row r="9" spans="1:9">
      <c r="A9" s="69" t="s">
        <v>104</v>
      </c>
      <c r="B9" s="70">
        <v>509369</v>
      </c>
      <c r="G9" s="71" t="s">
        <v>985</v>
      </c>
      <c r="H9" s="68" t="s">
        <v>105</v>
      </c>
      <c r="I9" s="70">
        <v>5885241</v>
      </c>
    </row>
    <row r="10" spans="1:9">
      <c r="A10" s="68" t="s">
        <v>74</v>
      </c>
      <c r="B10" s="70">
        <v>44560</v>
      </c>
      <c r="C10" t="str">
        <f>A10</f>
        <v>0004-0007</v>
      </c>
      <c r="D10">
        <f>B10</f>
        <v>44560</v>
      </c>
      <c r="G10" s="71" t="s">
        <v>986</v>
      </c>
      <c r="H10" s="68" t="s">
        <v>74</v>
      </c>
      <c r="I10" s="70">
        <v>2839242</v>
      </c>
    </row>
    <row r="11" spans="1:9">
      <c r="A11" s="69" t="s">
        <v>73</v>
      </c>
      <c r="B11" s="70">
        <v>44560</v>
      </c>
      <c r="G11" s="71" t="s">
        <v>989</v>
      </c>
      <c r="H11" s="68" t="s">
        <v>213</v>
      </c>
      <c r="I11" s="70">
        <v>2287761</v>
      </c>
    </row>
    <row r="12" spans="1:9">
      <c r="A12" s="68" t="s">
        <v>973</v>
      </c>
      <c r="B12" s="70">
        <v>821393</v>
      </c>
      <c r="H12" s="68" t="s">
        <v>973</v>
      </c>
      <c r="I12" s="70">
        <v>15084328</v>
      </c>
    </row>
    <row r="18" spans="1:4">
      <c r="A18" s="71" t="s">
        <v>976</v>
      </c>
    </row>
    <row r="19" spans="1:4">
      <c r="A19" s="67" t="s">
        <v>972</v>
      </c>
      <c r="B19" t="s">
        <v>977</v>
      </c>
    </row>
    <row r="20" spans="1:4">
      <c r="A20" s="68" t="s">
        <v>86</v>
      </c>
      <c r="B20" s="70">
        <v>1006794</v>
      </c>
      <c r="C20" t="str">
        <f>A20</f>
        <v>0004-0001</v>
      </c>
      <c r="D20">
        <f>B20</f>
        <v>1006794</v>
      </c>
    </row>
    <row r="21" spans="1:4">
      <c r="A21" s="69" t="s">
        <v>85</v>
      </c>
      <c r="B21" s="70">
        <v>1006794</v>
      </c>
    </row>
    <row r="22" spans="1:4">
      <c r="A22" s="68" t="s">
        <v>56</v>
      </c>
      <c r="B22" s="70">
        <v>1087545</v>
      </c>
      <c r="C22" t="str">
        <f>A22</f>
        <v>0004-0003</v>
      </c>
      <c r="D22">
        <f>B22</f>
        <v>1087545</v>
      </c>
    </row>
    <row r="23" spans="1:4">
      <c r="A23" s="69" t="s">
        <v>55</v>
      </c>
      <c r="B23" s="70">
        <v>1087545</v>
      </c>
    </row>
    <row r="24" spans="1:4">
      <c r="A24" s="68" t="s">
        <v>105</v>
      </c>
      <c r="B24" s="70">
        <v>5034184</v>
      </c>
      <c r="C24" t="str">
        <f>A24</f>
        <v>0004-0005</v>
      </c>
      <c r="D24">
        <f>B24</f>
        <v>5034184</v>
      </c>
    </row>
    <row r="25" spans="1:4">
      <c r="A25" s="69" t="s">
        <v>104</v>
      </c>
      <c r="B25" s="70">
        <v>5034184</v>
      </c>
    </row>
    <row r="26" spans="1:4">
      <c r="A26" s="68" t="s">
        <v>74</v>
      </c>
      <c r="B26" s="70">
        <v>2756777</v>
      </c>
      <c r="C26" t="str">
        <f>A26</f>
        <v>0004-0007</v>
      </c>
      <c r="D26">
        <f>B26</f>
        <v>2756777</v>
      </c>
    </row>
    <row r="27" spans="1:4">
      <c r="A27" s="69" t="s">
        <v>73</v>
      </c>
      <c r="B27" s="70">
        <v>2756777</v>
      </c>
    </row>
    <row r="28" spans="1:4">
      <c r="A28" s="68" t="s">
        <v>213</v>
      </c>
      <c r="B28" s="70">
        <v>2123947</v>
      </c>
      <c r="C28" t="str">
        <f>A28</f>
        <v>0004-0008</v>
      </c>
      <c r="D28">
        <f>B28</f>
        <v>2123947</v>
      </c>
    </row>
    <row r="29" spans="1:4">
      <c r="A29" s="69" t="s">
        <v>212</v>
      </c>
      <c r="B29" s="70">
        <v>2123947</v>
      </c>
    </row>
    <row r="30" spans="1:4">
      <c r="A30" s="68" t="s">
        <v>242</v>
      </c>
      <c r="B30" s="70">
        <v>361694</v>
      </c>
      <c r="C30" t="str">
        <f>A30</f>
        <v>0004-0004</v>
      </c>
      <c r="D30">
        <f>B30</f>
        <v>361694</v>
      </c>
    </row>
    <row r="31" spans="1:4">
      <c r="A31" s="69" t="s">
        <v>241</v>
      </c>
      <c r="B31" s="70">
        <v>361694</v>
      </c>
    </row>
    <row r="32" spans="1:4">
      <c r="A32" s="68" t="s">
        <v>565</v>
      </c>
      <c r="B32" s="70">
        <v>737077</v>
      </c>
      <c r="C32" t="str">
        <f>A32</f>
        <v>0004-0002</v>
      </c>
      <c r="D32">
        <f>B32</f>
        <v>737077</v>
      </c>
    </row>
    <row r="33" spans="1:4">
      <c r="A33" s="69" t="s">
        <v>55</v>
      </c>
      <c r="B33" s="70">
        <v>737077</v>
      </c>
    </row>
    <row r="34" spans="1:4">
      <c r="A34" s="68" t="s">
        <v>973</v>
      </c>
      <c r="B34" s="70">
        <v>13108018</v>
      </c>
    </row>
    <row r="41" spans="1:4">
      <c r="A41" s="71" t="s">
        <v>978</v>
      </c>
    </row>
    <row r="42" spans="1:4">
      <c r="A42" s="67" t="s">
        <v>972</v>
      </c>
      <c r="B42" t="s">
        <v>979</v>
      </c>
    </row>
    <row r="43" spans="1:4">
      <c r="A43" s="68" t="s">
        <v>105</v>
      </c>
      <c r="B43" s="70">
        <v>341688</v>
      </c>
      <c r="C43" t="str">
        <f>A43</f>
        <v>0004-0005</v>
      </c>
      <c r="D43">
        <f>B43</f>
        <v>341688</v>
      </c>
    </row>
    <row r="44" spans="1:4">
      <c r="A44" s="69" t="s">
        <v>104</v>
      </c>
      <c r="B44" s="70">
        <v>341688</v>
      </c>
    </row>
    <row r="45" spans="1:4">
      <c r="A45" s="68" t="s">
        <v>74</v>
      </c>
      <c r="B45" s="70">
        <v>37905</v>
      </c>
      <c r="C45" t="str">
        <f>A45</f>
        <v>0004-0007</v>
      </c>
      <c r="D45">
        <f>B45</f>
        <v>37905</v>
      </c>
    </row>
    <row r="46" spans="1:4">
      <c r="A46" s="69" t="s">
        <v>73</v>
      </c>
      <c r="B46" s="70">
        <v>37905</v>
      </c>
    </row>
    <row r="47" spans="1:4">
      <c r="A47" s="68" t="s">
        <v>213</v>
      </c>
      <c r="B47" s="70">
        <v>163814</v>
      </c>
      <c r="C47" t="str">
        <f>A47</f>
        <v>0004-0008</v>
      </c>
      <c r="D47">
        <f>B47</f>
        <v>163814</v>
      </c>
    </row>
    <row r="48" spans="1:4">
      <c r="A48" s="69" t="s">
        <v>212</v>
      </c>
      <c r="B48" s="70">
        <v>163814</v>
      </c>
    </row>
    <row r="49" spans="1:4">
      <c r="A49" s="68" t="s">
        <v>242</v>
      </c>
      <c r="B49" s="70">
        <v>611510</v>
      </c>
      <c r="C49" t="str">
        <f>A49</f>
        <v>0004-0004</v>
      </c>
      <c r="D49">
        <f>B49</f>
        <v>611510</v>
      </c>
    </row>
    <row r="50" spans="1:4">
      <c r="A50" s="69" t="s">
        <v>241</v>
      </c>
      <c r="B50" s="70">
        <v>611510</v>
      </c>
    </row>
    <row r="51" spans="1:4">
      <c r="A51" s="68" t="s">
        <v>973</v>
      </c>
      <c r="B51" s="70">
        <v>1154917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6"/>
  <sheetViews>
    <sheetView workbookViewId="0">
      <selection activeCell="X1" sqref="A1:XFD1048576"/>
    </sheetView>
  </sheetViews>
  <sheetFormatPr baseColWidth="10" defaultColWidth="8.88671875" defaultRowHeight="13.2"/>
  <cols>
    <col min="1" max="1" width="13" customWidth="1"/>
    <col min="2" max="2" width="29" customWidth="1"/>
    <col min="3" max="3" width="27" customWidth="1"/>
    <col min="4" max="4" width="13" customWidth="1"/>
    <col min="5" max="5" width="21" customWidth="1"/>
    <col min="6" max="6" width="12" customWidth="1"/>
    <col min="7" max="7" width="11" customWidth="1"/>
    <col min="8" max="8" width="39" customWidth="1"/>
    <col min="9" max="9" width="17" customWidth="1"/>
    <col min="10" max="10" width="11" customWidth="1"/>
    <col min="11" max="11" width="32" customWidth="1"/>
    <col min="12" max="12" width="10" customWidth="1"/>
    <col min="13" max="13" width="31" customWidth="1"/>
    <col min="14" max="14" width="21" customWidth="1"/>
    <col min="15" max="15" width="28" customWidth="1"/>
    <col min="16" max="16" width="11" customWidth="1"/>
    <col min="17" max="17" width="12" customWidth="1"/>
    <col min="18" max="18" width="33" customWidth="1"/>
    <col min="19" max="19" width="50" customWidth="1"/>
    <col min="20" max="20" width="20" customWidth="1"/>
    <col min="21" max="22" width="14" customWidth="1"/>
    <col min="23" max="23" width="18" customWidth="1"/>
    <col min="24" max="24" width="28" customWidth="1"/>
    <col min="25" max="25" width="17" customWidth="1"/>
    <col min="26" max="26" width="21" customWidth="1"/>
    <col min="27" max="28" width="10" customWidth="1"/>
    <col min="29" max="29" width="34" customWidth="1"/>
    <col min="30" max="30" width="28" customWidth="1"/>
    <col min="31" max="31" width="39" customWidth="1"/>
  </cols>
  <sheetData>
    <row r="1" spans="1:31" ht="27.6">
      <c r="A1" s="12" t="s">
        <v>23</v>
      </c>
      <c r="B1" s="12" t="s">
        <v>24</v>
      </c>
      <c r="C1" s="12" t="s">
        <v>25</v>
      </c>
      <c r="D1" s="12" t="s">
        <v>26</v>
      </c>
      <c r="E1" s="12" t="s">
        <v>27</v>
      </c>
      <c r="F1" s="12" t="s">
        <v>28</v>
      </c>
      <c r="G1" s="12" t="s">
        <v>29</v>
      </c>
      <c r="H1" s="12" t="s">
        <v>30</v>
      </c>
      <c r="I1" s="12" t="s">
        <v>31</v>
      </c>
      <c r="J1" s="12" t="s">
        <v>32</v>
      </c>
      <c r="K1" s="12" t="s">
        <v>33</v>
      </c>
      <c r="L1" s="12" t="s">
        <v>34</v>
      </c>
      <c r="M1" s="12" t="s">
        <v>35</v>
      </c>
      <c r="N1" s="12" t="s">
        <v>36</v>
      </c>
      <c r="O1" s="12" t="s">
        <v>37</v>
      </c>
      <c r="P1" s="12" t="s">
        <v>38</v>
      </c>
      <c r="Q1" s="12" t="s">
        <v>39</v>
      </c>
      <c r="R1" s="12" t="s">
        <v>40</v>
      </c>
      <c r="S1" s="12" t="s">
        <v>41</v>
      </c>
      <c r="T1" s="12" t="s">
        <v>42</v>
      </c>
      <c r="U1" s="12" t="s">
        <v>43</v>
      </c>
      <c r="V1" s="12" t="s">
        <v>44</v>
      </c>
      <c r="W1" s="12" t="s">
        <v>45</v>
      </c>
      <c r="X1" s="12" t="s">
        <v>46</v>
      </c>
      <c r="Y1" s="12" t="s">
        <v>47</v>
      </c>
      <c r="Z1" s="12" t="s">
        <v>48</v>
      </c>
      <c r="AA1" s="12" t="s">
        <v>49</v>
      </c>
      <c r="AB1" s="12" t="s">
        <v>50</v>
      </c>
      <c r="AC1" s="12" t="s">
        <v>51</v>
      </c>
      <c r="AD1" s="12" t="s">
        <v>52</v>
      </c>
      <c r="AE1" s="12" t="s">
        <v>53</v>
      </c>
    </row>
    <row r="2" spans="1:31">
      <c r="A2" t="s">
        <v>54</v>
      </c>
      <c r="B2" t="s">
        <v>55</v>
      </c>
      <c r="C2" t="s">
        <v>56</v>
      </c>
      <c r="D2" t="s">
        <v>57</v>
      </c>
      <c r="E2" t="s">
        <v>58</v>
      </c>
      <c r="F2" t="s">
        <v>59</v>
      </c>
      <c r="G2" t="s">
        <v>60</v>
      </c>
      <c r="H2" t="s">
        <v>61</v>
      </c>
      <c r="I2" t="s">
        <v>62</v>
      </c>
      <c r="J2" t="s">
        <v>54</v>
      </c>
      <c r="K2" t="s">
        <v>63</v>
      </c>
      <c r="L2" t="s">
        <v>64</v>
      </c>
      <c r="M2" t="s">
        <v>65</v>
      </c>
      <c r="N2" s="13">
        <v>45988.333333333343</v>
      </c>
      <c r="O2" s="13">
        <v>46009.461805555547</v>
      </c>
      <c r="R2" t="s">
        <v>66</v>
      </c>
      <c r="S2" t="s">
        <v>67</v>
      </c>
      <c r="T2" t="s">
        <v>68</v>
      </c>
      <c r="V2" t="s">
        <v>69</v>
      </c>
      <c r="W2" t="s">
        <v>70</v>
      </c>
      <c r="X2" t="s">
        <v>71</v>
      </c>
      <c r="Y2" s="14">
        <v>0</v>
      </c>
      <c r="Z2" s="14">
        <v>0</v>
      </c>
      <c r="AA2" s="14">
        <v>0</v>
      </c>
      <c r="AB2" s="14">
        <v>0</v>
      </c>
      <c r="AC2" s="14">
        <v>1</v>
      </c>
      <c r="AD2" s="14">
        <v>44560</v>
      </c>
      <c r="AE2" s="14">
        <v>44560</v>
      </c>
    </row>
    <row r="3" spans="1:31">
      <c r="A3" t="s">
        <v>72</v>
      </c>
      <c r="B3" t="s">
        <v>73</v>
      </c>
      <c r="C3" t="s">
        <v>74</v>
      </c>
      <c r="D3" t="s">
        <v>75</v>
      </c>
      <c r="E3" t="s">
        <v>76</v>
      </c>
      <c r="F3" t="s">
        <v>77</v>
      </c>
      <c r="G3" t="s">
        <v>60</v>
      </c>
      <c r="H3" t="s">
        <v>78</v>
      </c>
      <c r="I3" t="s">
        <v>79</v>
      </c>
      <c r="J3" t="s">
        <v>72</v>
      </c>
      <c r="K3" t="s">
        <v>80</v>
      </c>
      <c r="L3" t="s">
        <v>64</v>
      </c>
      <c r="M3" t="s">
        <v>81</v>
      </c>
      <c r="N3" s="13">
        <v>45988.333333333343</v>
      </c>
      <c r="O3" s="13">
        <v>45993.419444444437</v>
      </c>
      <c r="R3" t="s">
        <v>66</v>
      </c>
      <c r="S3" t="s">
        <v>82</v>
      </c>
      <c r="T3" t="s">
        <v>68</v>
      </c>
      <c r="V3" t="s">
        <v>69</v>
      </c>
      <c r="W3" t="s">
        <v>70</v>
      </c>
      <c r="X3" t="s">
        <v>83</v>
      </c>
      <c r="Y3" s="14">
        <v>0</v>
      </c>
      <c r="Z3" s="14">
        <v>0</v>
      </c>
      <c r="AA3" s="14">
        <v>0</v>
      </c>
      <c r="AB3" s="14">
        <v>0</v>
      </c>
      <c r="AC3" s="14">
        <v>1</v>
      </c>
      <c r="AD3" s="14">
        <v>44560</v>
      </c>
      <c r="AE3" s="14">
        <v>44560</v>
      </c>
    </row>
    <row r="4" spans="1:31">
      <c r="A4" t="s">
        <v>84</v>
      </c>
      <c r="B4" t="s">
        <v>85</v>
      </c>
      <c r="C4" t="s">
        <v>86</v>
      </c>
      <c r="D4" t="s">
        <v>87</v>
      </c>
      <c r="E4" t="s">
        <v>88</v>
      </c>
      <c r="F4" t="s">
        <v>89</v>
      </c>
      <c r="G4" t="s">
        <v>60</v>
      </c>
      <c r="H4" t="s">
        <v>90</v>
      </c>
      <c r="I4" t="s">
        <v>91</v>
      </c>
      <c r="J4" t="s">
        <v>92</v>
      </c>
      <c r="K4" t="s">
        <v>93</v>
      </c>
      <c r="L4" t="s">
        <v>64</v>
      </c>
      <c r="M4" t="s">
        <v>94</v>
      </c>
      <c r="N4" s="13">
        <v>45993.333333333343</v>
      </c>
      <c r="O4" s="13">
        <v>45997.454861111109</v>
      </c>
      <c r="P4" t="s">
        <v>95</v>
      </c>
      <c r="Q4" t="s">
        <v>96</v>
      </c>
      <c r="R4" t="s">
        <v>97</v>
      </c>
      <c r="S4" t="s">
        <v>98</v>
      </c>
      <c r="T4" t="s">
        <v>99</v>
      </c>
      <c r="U4" t="s">
        <v>100</v>
      </c>
      <c r="V4" t="s">
        <v>101</v>
      </c>
      <c r="W4" t="s">
        <v>70</v>
      </c>
      <c r="X4" t="s">
        <v>102</v>
      </c>
      <c r="Y4" s="14">
        <v>0</v>
      </c>
      <c r="Z4" s="14">
        <v>0</v>
      </c>
      <c r="AA4" s="14">
        <v>0</v>
      </c>
      <c r="AB4" s="14">
        <v>0</v>
      </c>
      <c r="AC4" s="14">
        <v>1</v>
      </c>
      <c r="AD4" s="14">
        <v>222904</v>
      </c>
      <c r="AE4" s="14">
        <v>222904</v>
      </c>
    </row>
    <row r="5" spans="1:31">
      <c r="A5" t="s">
        <v>103</v>
      </c>
      <c r="B5" t="s">
        <v>104</v>
      </c>
      <c r="C5" t="s">
        <v>105</v>
      </c>
      <c r="D5" t="s">
        <v>106</v>
      </c>
      <c r="E5" t="s">
        <v>107</v>
      </c>
      <c r="F5" t="s">
        <v>108</v>
      </c>
      <c r="G5" t="s">
        <v>60</v>
      </c>
      <c r="H5" t="s">
        <v>78</v>
      </c>
      <c r="I5" t="s">
        <v>109</v>
      </c>
      <c r="J5" t="s">
        <v>103</v>
      </c>
      <c r="K5" t="s">
        <v>110</v>
      </c>
      <c r="L5" t="s">
        <v>64</v>
      </c>
      <c r="M5" t="s">
        <v>111</v>
      </c>
      <c r="N5" s="13">
        <v>46003.333333333343</v>
      </c>
      <c r="O5" s="13">
        <v>46003.701388888891</v>
      </c>
      <c r="P5" t="s">
        <v>112</v>
      </c>
      <c r="Q5" t="s">
        <v>113</v>
      </c>
      <c r="R5" t="s">
        <v>114</v>
      </c>
      <c r="S5" t="s">
        <v>115</v>
      </c>
      <c r="T5" t="s">
        <v>99</v>
      </c>
      <c r="V5" t="s">
        <v>69</v>
      </c>
      <c r="W5" t="s">
        <v>70</v>
      </c>
      <c r="X5" t="s">
        <v>116</v>
      </c>
      <c r="Y5" s="14">
        <v>0</v>
      </c>
      <c r="Z5" s="14">
        <v>0</v>
      </c>
      <c r="AA5" s="14">
        <v>0</v>
      </c>
      <c r="AB5" s="14">
        <v>0</v>
      </c>
      <c r="AC5" s="14">
        <v>1</v>
      </c>
      <c r="AD5" s="14">
        <v>44560</v>
      </c>
      <c r="AE5" s="14">
        <v>44560</v>
      </c>
    </row>
    <row r="6" spans="1:31">
      <c r="A6" t="s">
        <v>103</v>
      </c>
      <c r="B6" t="s">
        <v>104</v>
      </c>
      <c r="C6" t="s">
        <v>105</v>
      </c>
      <c r="D6" t="s">
        <v>117</v>
      </c>
      <c r="E6" t="s">
        <v>118</v>
      </c>
      <c r="F6" t="s">
        <v>119</v>
      </c>
      <c r="G6" t="s">
        <v>60</v>
      </c>
      <c r="H6" t="s">
        <v>78</v>
      </c>
      <c r="I6" t="s">
        <v>109</v>
      </c>
      <c r="J6" t="s">
        <v>120</v>
      </c>
      <c r="K6" t="s">
        <v>121</v>
      </c>
      <c r="L6" t="s">
        <v>64</v>
      </c>
      <c r="M6" t="s">
        <v>122</v>
      </c>
      <c r="N6" s="13">
        <v>46015.333333333343</v>
      </c>
      <c r="O6" s="13">
        <v>46021.472916666673</v>
      </c>
      <c r="P6" t="s">
        <v>112</v>
      </c>
      <c r="Q6" t="s">
        <v>113</v>
      </c>
      <c r="R6" t="s">
        <v>97</v>
      </c>
      <c r="S6" t="s">
        <v>123</v>
      </c>
      <c r="T6" t="s">
        <v>99</v>
      </c>
      <c r="U6" t="s">
        <v>124</v>
      </c>
      <c r="V6" t="s">
        <v>125</v>
      </c>
      <c r="W6" t="s">
        <v>70</v>
      </c>
      <c r="X6" t="s">
        <v>126</v>
      </c>
      <c r="Y6" s="14">
        <v>0</v>
      </c>
      <c r="Z6" s="14">
        <v>0</v>
      </c>
      <c r="AA6" s="14">
        <v>0</v>
      </c>
      <c r="AB6" s="14">
        <v>0</v>
      </c>
      <c r="AC6" s="14">
        <v>1</v>
      </c>
      <c r="AD6" s="14">
        <v>464809</v>
      </c>
      <c r="AE6" s="14">
        <v>464809</v>
      </c>
    </row>
  </sheetData>
  <autoFilter ref="A1:AE6" xr:uid="{00000000-0009-0000-0000-000001000000}"/>
  <conditionalFormatting sqref="E1:E6 E14:E1048576">
    <cfRule type="duplicateValues" dxfId="0"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93"/>
  <sheetViews>
    <sheetView workbookViewId="0">
      <selection activeCell="AH1" sqref="AH1:AH1048576"/>
    </sheetView>
  </sheetViews>
  <sheetFormatPr baseColWidth="10" defaultColWidth="8.88671875" defaultRowHeight="13.2"/>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5" customWidth="1"/>
    <col min="10" max="10" width="32" customWidth="1"/>
    <col min="11" max="11" width="10" customWidth="1"/>
    <col min="12" max="12" width="15" customWidth="1"/>
    <col min="13" max="13" width="41" customWidth="1"/>
    <col min="14" max="14" width="44" customWidth="1"/>
    <col min="15" max="15" width="11" customWidth="1"/>
    <col min="16" max="16" width="13" customWidth="1"/>
    <col min="17" max="17" width="24" customWidth="1"/>
    <col min="18" max="18" width="39" customWidth="1"/>
    <col min="19" max="19" width="14" customWidth="1"/>
    <col min="20" max="20" width="15" customWidth="1"/>
    <col min="21" max="21" width="23" customWidth="1"/>
    <col min="22" max="22" width="50" customWidth="1"/>
    <col min="23" max="24" width="20" customWidth="1"/>
    <col min="25" max="25" width="14" customWidth="1"/>
    <col min="26" max="26" width="19" customWidth="1"/>
    <col min="27" max="27" width="39" customWidth="1"/>
    <col min="28" max="28" width="16" customWidth="1"/>
    <col min="29" max="29" width="17" customWidth="1"/>
    <col min="30" max="30" width="21" customWidth="1"/>
    <col min="31" max="32" width="10" customWidth="1"/>
    <col min="33" max="33" width="34" customWidth="1"/>
    <col min="34" max="34" width="39" customWidth="1"/>
  </cols>
  <sheetData>
    <row r="1" spans="1:34" ht="27.6">
      <c r="A1" s="12" t="s">
        <v>23</v>
      </c>
      <c r="B1" s="12" t="s">
        <v>24</v>
      </c>
      <c r="C1" s="12" t="s">
        <v>25</v>
      </c>
      <c r="D1" s="12" t="s">
        <v>26</v>
      </c>
      <c r="E1" s="12" t="s">
        <v>27</v>
      </c>
      <c r="F1" s="12" t="s">
        <v>28</v>
      </c>
      <c r="G1" s="12" t="s">
        <v>29</v>
      </c>
      <c r="H1" s="12" t="s">
        <v>31</v>
      </c>
      <c r="I1" s="12" t="s">
        <v>32</v>
      </c>
      <c r="J1" s="12" t="s">
        <v>33</v>
      </c>
      <c r="K1" s="12" t="s">
        <v>34</v>
      </c>
      <c r="L1" s="12" t="s">
        <v>35</v>
      </c>
      <c r="M1" s="12" t="s">
        <v>127</v>
      </c>
      <c r="N1" s="12" t="s">
        <v>128</v>
      </c>
      <c r="O1" s="12" t="s">
        <v>129</v>
      </c>
      <c r="P1" s="12" t="s">
        <v>130</v>
      </c>
      <c r="Q1" s="12" t="s">
        <v>131</v>
      </c>
      <c r="R1" s="12" t="s">
        <v>132</v>
      </c>
      <c r="S1" s="12" t="s">
        <v>38</v>
      </c>
      <c r="T1" s="12" t="s">
        <v>39</v>
      </c>
      <c r="U1" s="12" t="s">
        <v>40</v>
      </c>
      <c r="V1" s="12" t="s">
        <v>133</v>
      </c>
      <c r="W1" s="12" t="s">
        <v>42</v>
      </c>
      <c r="X1" s="12" t="s">
        <v>43</v>
      </c>
      <c r="Y1" s="12" t="s">
        <v>44</v>
      </c>
      <c r="Z1" s="12" t="s">
        <v>45</v>
      </c>
      <c r="AA1" s="12" t="s">
        <v>46</v>
      </c>
      <c r="AB1" s="12" t="s">
        <v>134</v>
      </c>
      <c r="AC1" s="12" t="s">
        <v>47</v>
      </c>
      <c r="AD1" s="12" t="s">
        <v>135</v>
      </c>
      <c r="AE1" s="12" t="s">
        <v>49</v>
      </c>
      <c r="AF1" s="12" t="s">
        <v>50</v>
      </c>
      <c r="AG1" s="12" t="s">
        <v>51</v>
      </c>
      <c r="AH1" s="42" t="s">
        <v>967</v>
      </c>
    </row>
    <row r="2" spans="1:34">
      <c r="A2" t="s">
        <v>136</v>
      </c>
      <c r="B2" t="s">
        <v>73</v>
      </c>
      <c r="C2" t="s">
        <v>74</v>
      </c>
      <c r="D2" t="s">
        <v>137</v>
      </c>
      <c r="E2" t="s">
        <v>138</v>
      </c>
      <c r="F2" t="s">
        <v>139</v>
      </c>
      <c r="G2" t="s">
        <v>140</v>
      </c>
      <c r="H2" t="s">
        <v>141</v>
      </c>
      <c r="I2" t="s">
        <v>142</v>
      </c>
      <c r="J2" t="s">
        <v>143</v>
      </c>
      <c r="K2" t="s">
        <v>64</v>
      </c>
      <c r="L2" t="s">
        <v>144</v>
      </c>
      <c r="M2" s="13">
        <v>45988.363043981481</v>
      </c>
      <c r="N2" s="13">
        <v>45992.436805555553</v>
      </c>
      <c r="O2" t="s">
        <v>145</v>
      </c>
      <c r="P2" t="s">
        <v>146</v>
      </c>
      <c r="Q2" t="s">
        <v>147</v>
      </c>
      <c r="R2" t="s">
        <v>148</v>
      </c>
      <c r="S2" t="s">
        <v>149</v>
      </c>
      <c r="T2" t="s">
        <v>149</v>
      </c>
      <c r="V2" t="s">
        <v>150</v>
      </c>
      <c r="W2" t="s">
        <v>68</v>
      </c>
      <c r="Y2" t="s">
        <v>151</v>
      </c>
      <c r="Z2" t="s">
        <v>70</v>
      </c>
      <c r="AA2" t="s">
        <v>152</v>
      </c>
      <c r="AB2" s="14">
        <v>0</v>
      </c>
      <c r="AC2" s="14">
        <v>0</v>
      </c>
      <c r="AD2" s="14">
        <v>0</v>
      </c>
      <c r="AE2" s="14">
        <v>0</v>
      </c>
      <c r="AF2" s="14">
        <v>0</v>
      </c>
      <c r="AG2" s="14">
        <v>37905</v>
      </c>
      <c r="AH2" s="14">
        <v>37905</v>
      </c>
    </row>
    <row r="3" spans="1:34">
      <c r="A3" t="s">
        <v>72</v>
      </c>
      <c r="B3" t="s">
        <v>73</v>
      </c>
      <c r="C3" t="s">
        <v>74</v>
      </c>
      <c r="D3" t="s">
        <v>153</v>
      </c>
      <c r="E3" t="s">
        <v>154</v>
      </c>
      <c r="F3" t="s">
        <v>155</v>
      </c>
      <c r="G3" t="s">
        <v>140</v>
      </c>
      <c r="H3" t="s">
        <v>156</v>
      </c>
      <c r="I3" t="s">
        <v>157</v>
      </c>
      <c r="J3" t="s">
        <v>158</v>
      </c>
      <c r="K3" t="s">
        <v>64</v>
      </c>
      <c r="L3" t="s">
        <v>159</v>
      </c>
      <c r="M3" s="13">
        <v>45988.738356481481</v>
      </c>
      <c r="N3" s="13">
        <v>45995.526388888888</v>
      </c>
      <c r="O3" t="s">
        <v>145</v>
      </c>
      <c r="P3" t="s">
        <v>146</v>
      </c>
      <c r="Q3" t="s">
        <v>160</v>
      </c>
      <c r="R3" t="s">
        <v>161</v>
      </c>
      <c r="S3" t="s">
        <v>112</v>
      </c>
      <c r="T3" t="s">
        <v>113</v>
      </c>
      <c r="V3" t="s">
        <v>162</v>
      </c>
      <c r="W3" t="s">
        <v>68</v>
      </c>
      <c r="Y3" t="s">
        <v>125</v>
      </c>
      <c r="Z3" t="s">
        <v>70</v>
      </c>
      <c r="AA3" t="s">
        <v>163</v>
      </c>
      <c r="AB3" s="14">
        <v>0</v>
      </c>
      <c r="AC3" s="14">
        <v>0</v>
      </c>
      <c r="AD3" s="14">
        <v>0</v>
      </c>
      <c r="AE3" s="14">
        <v>0</v>
      </c>
      <c r="AF3" s="14">
        <v>0</v>
      </c>
      <c r="AG3" s="14">
        <v>37905</v>
      </c>
      <c r="AH3" s="14">
        <v>37905</v>
      </c>
    </row>
    <row r="4" spans="1:34">
      <c r="A4" t="s">
        <v>54</v>
      </c>
      <c r="B4" t="s">
        <v>55</v>
      </c>
      <c r="C4" t="s">
        <v>56</v>
      </c>
      <c r="D4" t="s">
        <v>164</v>
      </c>
      <c r="E4" t="s">
        <v>165</v>
      </c>
      <c r="F4" t="s">
        <v>166</v>
      </c>
      <c r="G4" t="s">
        <v>140</v>
      </c>
      <c r="H4" t="s">
        <v>62</v>
      </c>
      <c r="I4" t="s">
        <v>167</v>
      </c>
      <c r="J4" t="s">
        <v>168</v>
      </c>
      <c r="K4" t="s">
        <v>64</v>
      </c>
      <c r="L4" t="s">
        <v>169</v>
      </c>
      <c r="M4" s="13">
        <v>45990.663113425922</v>
      </c>
      <c r="N4" s="13">
        <v>45992.375</v>
      </c>
      <c r="O4" t="s">
        <v>145</v>
      </c>
      <c r="P4" t="s">
        <v>146</v>
      </c>
      <c r="Q4" t="s">
        <v>160</v>
      </c>
      <c r="R4" t="s">
        <v>161</v>
      </c>
      <c r="S4" t="s">
        <v>149</v>
      </c>
      <c r="T4" t="s">
        <v>149</v>
      </c>
      <c r="V4" t="s">
        <v>170</v>
      </c>
      <c r="W4" t="s">
        <v>68</v>
      </c>
      <c r="Y4" t="s">
        <v>151</v>
      </c>
      <c r="Z4" t="s">
        <v>70</v>
      </c>
      <c r="AA4" t="s">
        <v>171</v>
      </c>
      <c r="AB4" s="14">
        <v>0</v>
      </c>
      <c r="AC4" s="14">
        <v>0</v>
      </c>
      <c r="AD4" s="14">
        <v>0</v>
      </c>
      <c r="AE4" s="14">
        <v>0</v>
      </c>
      <c r="AF4" s="14">
        <v>0</v>
      </c>
      <c r="AG4" s="14">
        <v>37905</v>
      </c>
      <c r="AH4" s="14">
        <v>37905</v>
      </c>
    </row>
    <row r="5" spans="1:34">
      <c r="A5" t="s">
        <v>103</v>
      </c>
      <c r="B5" t="s">
        <v>104</v>
      </c>
      <c r="C5" t="s">
        <v>105</v>
      </c>
      <c r="D5" t="s">
        <v>172</v>
      </c>
      <c r="E5" t="s">
        <v>173</v>
      </c>
      <c r="F5" t="s">
        <v>174</v>
      </c>
      <c r="G5" t="s">
        <v>140</v>
      </c>
      <c r="H5" t="s">
        <v>109</v>
      </c>
      <c r="I5" t="s">
        <v>175</v>
      </c>
      <c r="J5" t="s">
        <v>176</v>
      </c>
      <c r="K5" t="s">
        <v>64</v>
      </c>
      <c r="L5" t="s">
        <v>177</v>
      </c>
      <c r="M5" s="13">
        <v>45992.443101851852</v>
      </c>
      <c r="N5" s="13">
        <v>45994.570138888892</v>
      </c>
      <c r="O5" t="s">
        <v>145</v>
      </c>
      <c r="P5" t="s">
        <v>146</v>
      </c>
      <c r="Q5" t="s">
        <v>160</v>
      </c>
      <c r="R5" t="s">
        <v>161</v>
      </c>
      <c r="S5" t="s">
        <v>178</v>
      </c>
      <c r="T5" t="s">
        <v>178</v>
      </c>
      <c r="U5" t="s">
        <v>179</v>
      </c>
      <c r="V5" t="s">
        <v>180</v>
      </c>
      <c r="W5" t="s">
        <v>99</v>
      </c>
      <c r="X5" t="s">
        <v>181</v>
      </c>
      <c r="Y5" t="s">
        <v>101</v>
      </c>
      <c r="Z5" t="s">
        <v>70</v>
      </c>
      <c r="AA5" t="s">
        <v>126</v>
      </c>
      <c r="AB5" s="14">
        <v>1</v>
      </c>
      <c r="AC5" s="14">
        <v>0</v>
      </c>
      <c r="AD5" s="14">
        <v>0</v>
      </c>
      <c r="AE5" s="14">
        <v>0</v>
      </c>
      <c r="AF5" s="14">
        <v>0</v>
      </c>
      <c r="AG5" s="14">
        <v>275728</v>
      </c>
      <c r="AH5" s="14">
        <v>275728</v>
      </c>
    </row>
    <row r="6" spans="1:34">
      <c r="A6" t="s">
        <v>103</v>
      </c>
      <c r="B6" t="s">
        <v>104</v>
      </c>
      <c r="C6" t="s">
        <v>105</v>
      </c>
      <c r="D6" t="s">
        <v>182</v>
      </c>
      <c r="E6" t="s">
        <v>183</v>
      </c>
      <c r="F6" t="s">
        <v>184</v>
      </c>
      <c r="G6" t="s">
        <v>140</v>
      </c>
      <c r="H6" t="s">
        <v>109</v>
      </c>
      <c r="I6" t="s">
        <v>185</v>
      </c>
      <c r="J6" t="s">
        <v>186</v>
      </c>
      <c r="K6" t="s">
        <v>64</v>
      </c>
      <c r="L6" t="s">
        <v>187</v>
      </c>
      <c r="M6" s="13">
        <v>45992.461793981478</v>
      </c>
      <c r="N6" s="13">
        <v>45993.509722222218</v>
      </c>
      <c r="O6" t="s">
        <v>145</v>
      </c>
      <c r="P6" t="s">
        <v>146</v>
      </c>
      <c r="Q6" t="s">
        <v>188</v>
      </c>
      <c r="R6" t="s">
        <v>161</v>
      </c>
      <c r="S6" t="s">
        <v>178</v>
      </c>
      <c r="T6" t="s">
        <v>149</v>
      </c>
      <c r="U6" t="s">
        <v>179</v>
      </c>
      <c r="V6" t="s">
        <v>189</v>
      </c>
      <c r="W6" t="s">
        <v>99</v>
      </c>
      <c r="X6" t="s">
        <v>190</v>
      </c>
      <c r="Y6" t="s">
        <v>151</v>
      </c>
      <c r="Z6" t="s">
        <v>70</v>
      </c>
      <c r="AA6" t="s">
        <v>191</v>
      </c>
      <c r="AB6" s="14">
        <v>1</v>
      </c>
      <c r="AC6" s="14">
        <v>0</v>
      </c>
      <c r="AD6" s="14">
        <v>0</v>
      </c>
      <c r="AE6" s="14">
        <v>0</v>
      </c>
      <c r="AF6" s="14">
        <v>0</v>
      </c>
      <c r="AG6" s="14">
        <v>163814</v>
      </c>
      <c r="AH6" s="14">
        <v>163814</v>
      </c>
    </row>
    <row r="7" spans="1:34">
      <c r="A7" t="s">
        <v>103</v>
      </c>
      <c r="B7" t="s">
        <v>104</v>
      </c>
      <c r="C7" t="s">
        <v>105</v>
      </c>
      <c r="D7" t="s">
        <v>192</v>
      </c>
      <c r="E7" t="s">
        <v>193</v>
      </c>
      <c r="F7" t="s">
        <v>194</v>
      </c>
      <c r="G7" t="s">
        <v>140</v>
      </c>
      <c r="H7" t="s">
        <v>109</v>
      </c>
      <c r="I7" t="s">
        <v>195</v>
      </c>
      <c r="J7" t="s">
        <v>196</v>
      </c>
      <c r="K7" t="s">
        <v>64</v>
      </c>
      <c r="L7" t="s">
        <v>197</v>
      </c>
      <c r="M7" s="13">
        <v>45992.611689814818</v>
      </c>
      <c r="N7" s="13">
        <v>45993.431250000001</v>
      </c>
      <c r="O7" t="s">
        <v>145</v>
      </c>
      <c r="P7" t="s">
        <v>146</v>
      </c>
      <c r="Q7" t="s">
        <v>160</v>
      </c>
      <c r="R7" t="s">
        <v>161</v>
      </c>
      <c r="S7" t="s">
        <v>112</v>
      </c>
      <c r="T7" t="s">
        <v>113</v>
      </c>
      <c r="V7" t="s">
        <v>198</v>
      </c>
      <c r="W7" t="s">
        <v>68</v>
      </c>
      <c r="Y7" t="s">
        <v>69</v>
      </c>
      <c r="Z7" t="s">
        <v>70</v>
      </c>
      <c r="AA7" t="s">
        <v>199</v>
      </c>
      <c r="AB7" s="14">
        <v>0</v>
      </c>
      <c r="AC7" s="14">
        <v>0</v>
      </c>
      <c r="AD7" s="14">
        <v>0</v>
      </c>
      <c r="AE7" s="14">
        <v>0</v>
      </c>
      <c r="AF7" s="14">
        <v>0</v>
      </c>
      <c r="AG7" s="14">
        <v>37905</v>
      </c>
      <c r="AH7" s="14">
        <v>37905</v>
      </c>
    </row>
    <row r="8" spans="1:34">
      <c r="A8" t="s">
        <v>200</v>
      </c>
      <c r="B8" t="s">
        <v>85</v>
      </c>
      <c r="C8" t="s">
        <v>86</v>
      </c>
      <c r="D8" t="s">
        <v>201</v>
      </c>
      <c r="E8" t="s">
        <v>202</v>
      </c>
      <c r="F8" t="s">
        <v>203</v>
      </c>
      <c r="G8" t="s">
        <v>140</v>
      </c>
      <c r="H8" t="s">
        <v>204</v>
      </c>
      <c r="I8" t="s">
        <v>205</v>
      </c>
      <c r="J8" t="s">
        <v>206</v>
      </c>
      <c r="K8" t="s">
        <v>64</v>
      </c>
      <c r="L8" t="s">
        <v>207</v>
      </c>
      <c r="M8" s="13">
        <v>45993.333333333343</v>
      </c>
      <c r="N8" s="13">
        <v>45993.505555555559</v>
      </c>
      <c r="O8" t="s">
        <v>145</v>
      </c>
      <c r="P8" t="s">
        <v>146</v>
      </c>
      <c r="Q8" t="s">
        <v>160</v>
      </c>
      <c r="R8" t="s">
        <v>161</v>
      </c>
      <c r="S8" t="s">
        <v>112</v>
      </c>
      <c r="T8" t="s">
        <v>113</v>
      </c>
      <c r="U8" t="s">
        <v>179</v>
      </c>
      <c r="V8" t="s">
        <v>208</v>
      </c>
      <c r="W8" t="s">
        <v>99</v>
      </c>
      <c r="X8" t="s">
        <v>209</v>
      </c>
      <c r="Y8" t="s">
        <v>151</v>
      </c>
      <c r="Z8" t="s">
        <v>70</v>
      </c>
      <c r="AA8" t="s">
        <v>210</v>
      </c>
      <c r="AB8" s="14">
        <v>1</v>
      </c>
      <c r="AC8" s="14">
        <v>0</v>
      </c>
      <c r="AD8" s="14">
        <v>0</v>
      </c>
      <c r="AE8" s="14">
        <v>0</v>
      </c>
      <c r="AF8" s="14">
        <v>0</v>
      </c>
      <c r="AG8" s="14">
        <v>163814</v>
      </c>
      <c r="AH8" s="14">
        <v>163814</v>
      </c>
    </row>
    <row r="9" spans="1:34">
      <c r="A9" t="s">
        <v>211</v>
      </c>
      <c r="B9" t="s">
        <v>212</v>
      </c>
      <c r="C9" t="s">
        <v>213</v>
      </c>
      <c r="D9" t="s">
        <v>214</v>
      </c>
      <c r="E9" t="s">
        <v>215</v>
      </c>
      <c r="F9" t="s">
        <v>216</v>
      </c>
      <c r="G9" t="s">
        <v>140</v>
      </c>
      <c r="H9" t="s">
        <v>217</v>
      </c>
      <c r="I9" t="s">
        <v>211</v>
      </c>
      <c r="J9" t="s">
        <v>218</v>
      </c>
      <c r="K9" t="s">
        <v>64</v>
      </c>
      <c r="L9" t="s">
        <v>219</v>
      </c>
      <c r="M9" s="13">
        <v>45994.591539351852</v>
      </c>
      <c r="N9" s="13">
        <v>45995.456944444442</v>
      </c>
      <c r="O9" t="s">
        <v>145</v>
      </c>
      <c r="P9" t="s">
        <v>146</v>
      </c>
      <c r="Q9" t="s">
        <v>147</v>
      </c>
      <c r="R9" t="s">
        <v>148</v>
      </c>
      <c r="S9" t="s">
        <v>112</v>
      </c>
      <c r="T9" t="s">
        <v>220</v>
      </c>
      <c r="U9" t="s">
        <v>179</v>
      </c>
      <c r="V9" t="s">
        <v>221</v>
      </c>
      <c r="W9" t="s">
        <v>99</v>
      </c>
      <c r="X9" t="s">
        <v>222</v>
      </c>
      <c r="Y9" t="s">
        <v>69</v>
      </c>
      <c r="Z9" t="s">
        <v>70</v>
      </c>
      <c r="AA9" t="s">
        <v>223</v>
      </c>
      <c r="AB9" s="14">
        <v>1</v>
      </c>
      <c r="AC9" s="14">
        <v>0</v>
      </c>
      <c r="AD9" s="14">
        <v>0</v>
      </c>
      <c r="AE9" s="14">
        <v>0</v>
      </c>
      <c r="AF9" s="14">
        <v>0</v>
      </c>
      <c r="AG9" s="14">
        <v>65960</v>
      </c>
      <c r="AH9" s="14">
        <v>65960</v>
      </c>
    </row>
    <row r="10" spans="1:34">
      <c r="A10" t="s">
        <v>54</v>
      </c>
      <c r="B10" t="s">
        <v>55</v>
      </c>
      <c r="C10" t="s">
        <v>56</v>
      </c>
      <c r="D10" t="s">
        <v>57</v>
      </c>
      <c r="E10" t="s">
        <v>224</v>
      </c>
      <c r="F10" t="s">
        <v>225</v>
      </c>
      <c r="G10" t="s">
        <v>140</v>
      </c>
      <c r="H10" t="s">
        <v>62</v>
      </c>
      <c r="I10" t="s">
        <v>54</v>
      </c>
      <c r="J10" t="s">
        <v>226</v>
      </c>
      <c r="K10" t="s">
        <v>64</v>
      </c>
      <c r="L10" t="s">
        <v>227</v>
      </c>
      <c r="M10" s="13">
        <v>45994.605266203696</v>
      </c>
      <c r="N10" s="13">
        <v>45994.680555555547</v>
      </c>
      <c r="O10" t="s">
        <v>145</v>
      </c>
      <c r="P10" t="s">
        <v>146</v>
      </c>
      <c r="Q10" t="s">
        <v>160</v>
      </c>
      <c r="R10" t="s">
        <v>161</v>
      </c>
      <c r="S10" t="s">
        <v>112</v>
      </c>
      <c r="T10" t="s">
        <v>220</v>
      </c>
      <c r="U10" t="s">
        <v>179</v>
      </c>
      <c r="V10" t="s">
        <v>228</v>
      </c>
      <c r="W10" t="s">
        <v>99</v>
      </c>
      <c r="X10" t="s">
        <v>229</v>
      </c>
      <c r="Y10" t="s">
        <v>69</v>
      </c>
      <c r="Z10" t="s">
        <v>70</v>
      </c>
      <c r="AA10" t="s">
        <v>230</v>
      </c>
      <c r="AB10" s="14">
        <v>1</v>
      </c>
      <c r="AC10" s="14">
        <v>0</v>
      </c>
      <c r="AD10" s="14">
        <v>0</v>
      </c>
      <c r="AE10" s="14">
        <v>0</v>
      </c>
      <c r="AF10" s="14">
        <v>0</v>
      </c>
      <c r="AG10" s="14">
        <v>65960</v>
      </c>
      <c r="AH10" s="14">
        <v>65960</v>
      </c>
    </row>
    <row r="11" spans="1:34">
      <c r="A11" t="s">
        <v>72</v>
      </c>
      <c r="B11" t="s">
        <v>73</v>
      </c>
      <c r="C11" t="s">
        <v>74</v>
      </c>
      <c r="D11" t="s">
        <v>231</v>
      </c>
      <c r="E11" t="s">
        <v>232</v>
      </c>
      <c r="F11" t="s">
        <v>233</v>
      </c>
      <c r="G11" t="s">
        <v>140</v>
      </c>
      <c r="H11" t="s">
        <v>79</v>
      </c>
      <c r="I11" t="s">
        <v>234</v>
      </c>
      <c r="J11" t="s">
        <v>235</v>
      </c>
      <c r="K11" t="s">
        <v>64</v>
      </c>
      <c r="L11" t="s">
        <v>236</v>
      </c>
      <c r="M11" s="13">
        <v>45995.333333333343</v>
      </c>
      <c r="N11" s="13">
        <v>45995.832638888889</v>
      </c>
      <c r="O11" t="s">
        <v>145</v>
      </c>
      <c r="P11" t="s">
        <v>146</v>
      </c>
      <c r="Q11" t="s">
        <v>188</v>
      </c>
      <c r="R11" t="s">
        <v>161</v>
      </c>
      <c r="S11" t="s">
        <v>149</v>
      </c>
      <c r="T11" t="s">
        <v>149</v>
      </c>
      <c r="U11" t="s">
        <v>179</v>
      </c>
      <c r="V11" t="s">
        <v>237</v>
      </c>
      <c r="W11" t="s">
        <v>99</v>
      </c>
      <c r="X11" t="s">
        <v>238</v>
      </c>
      <c r="Y11" t="s">
        <v>151</v>
      </c>
      <c r="Z11" t="s">
        <v>70</v>
      </c>
      <c r="AA11" t="s">
        <v>239</v>
      </c>
      <c r="AB11" s="14">
        <v>1</v>
      </c>
      <c r="AC11" s="14">
        <v>0</v>
      </c>
      <c r="AD11" s="14">
        <v>0</v>
      </c>
      <c r="AE11" s="14">
        <v>0</v>
      </c>
      <c r="AF11" s="14">
        <v>0</v>
      </c>
      <c r="AG11" s="14">
        <v>163814</v>
      </c>
      <c r="AH11" s="14">
        <v>163814</v>
      </c>
    </row>
    <row r="12" spans="1:34">
      <c r="A12" t="s">
        <v>240</v>
      </c>
      <c r="B12" t="s">
        <v>241</v>
      </c>
      <c r="C12" t="s">
        <v>242</v>
      </c>
      <c r="D12" t="s">
        <v>243</v>
      </c>
      <c r="E12" t="s">
        <v>244</v>
      </c>
      <c r="F12" t="s">
        <v>245</v>
      </c>
      <c r="G12" t="s">
        <v>140</v>
      </c>
      <c r="H12" t="s">
        <v>241</v>
      </c>
      <c r="I12" t="s">
        <v>240</v>
      </c>
      <c r="J12" t="s">
        <v>246</v>
      </c>
      <c r="K12" t="s">
        <v>64</v>
      </c>
      <c r="L12" t="s">
        <v>247</v>
      </c>
      <c r="M12" s="13">
        <v>45995.433275462958</v>
      </c>
      <c r="N12" s="13">
        <v>45996.426388888889</v>
      </c>
      <c r="O12" t="s">
        <v>145</v>
      </c>
      <c r="P12" t="s">
        <v>146</v>
      </c>
      <c r="Q12" t="s">
        <v>160</v>
      </c>
      <c r="R12" t="s">
        <v>161</v>
      </c>
      <c r="S12" t="s">
        <v>112</v>
      </c>
      <c r="T12" t="s">
        <v>220</v>
      </c>
      <c r="U12" t="s">
        <v>179</v>
      </c>
      <c r="V12" t="s">
        <v>248</v>
      </c>
      <c r="W12" t="s">
        <v>99</v>
      </c>
      <c r="X12" t="s">
        <v>249</v>
      </c>
      <c r="Y12" t="s">
        <v>69</v>
      </c>
      <c r="Z12" t="s">
        <v>70</v>
      </c>
      <c r="AA12" t="s">
        <v>250</v>
      </c>
      <c r="AB12" s="14">
        <v>1</v>
      </c>
      <c r="AC12" s="14">
        <v>0</v>
      </c>
      <c r="AD12" s="14">
        <v>0</v>
      </c>
      <c r="AE12" s="14">
        <v>0</v>
      </c>
      <c r="AF12" s="14">
        <v>0</v>
      </c>
      <c r="AG12" s="14">
        <v>65960</v>
      </c>
      <c r="AH12" s="14">
        <v>65960</v>
      </c>
    </row>
    <row r="13" spans="1:34">
      <c r="A13" t="s">
        <v>251</v>
      </c>
      <c r="B13" t="s">
        <v>85</v>
      </c>
      <c r="C13" t="s">
        <v>86</v>
      </c>
      <c r="D13" t="s">
        <v>252</v>
      </c>
      <c r="E13" t="s">
        <v>253</v>
      </c>
      <c r="F13" t="s">
        <v>254</v>
      </c>
      <c r="G13" t="s">
        <v>140</v>
      </c>
      <c r="H13" t="s">
        <v>255</v>
      </c>
      <c r="I13" t="s">
        <v>256</v>
      </c>
      <c r="J13" t="s">
        <v>257</v>
      </c>
      <c r="K13" t="s">
        <v>64</v>
      </c>
      <c r="L13" t="s">
        <v>258</v>
      </c>
      <c r="M13" s="13">
        <v>45995.43414351852</v>
      </c>
      <c r="N13" s="13">
        <v>45996.693055555559</v>
      </c>
      <c r="O13" t="s">
        <v>145</v>
      </c>
      <c r="P13" t="s">
        <v>259</v>
      </c>
      <c r="Q13" t="s">
        <v>260</v>
      </c>
      <c r="R13" t="s">
        <v>261</v>
      </c>
      <c r="S13" t="s">
        <v>112</v>
      </c>
      <c r="T13" t="s">
        <v>220</v>
      </c>
      <c r="U13" t="s">
        <v>179</v>
      </c>
      <c r="V13" t="s">
        <v>262</v>
      </c>
      <c r="W13" t="s">
        <v>99</v>
      </c>
      <c r="X13" t="s">
        <v>263</v>
      </c>
      <c r="Y13" t="s">
        <v>151</v>
      </c>
      <c r="Z13" t="s">
        <v>70</v>
      </c>
      <c r="AA13" t="s">
        <v>264</v>
      </c>
      <c r="AB13" s="14">
        <v>1</v>
      </c>
      <c r="AC13" s="14">
        <v>0</v>
      </c>
      <c r="AD13" s="14">
        <v>0</v>
      </c>
      <c r="AE13" s="14">
        <v>0</v>
      </c>
      <c r="AF13" s="14">
        <v>0</v>
      </c>
      <c r="AG13" s="14">
        <v>163814</v>
      </c>
      <c r="AH13" s="14">
        <v>163814</v>
      </c>
    </row>
    <row r="14" spans="1:34">
      <c r="A14" t="s">
        <v>265</v>
      </c>
      <c r="B14" t="s">
        <v>104</v>
      </c>
      <c r="C14" t="s">
        <v>105</v>
      </c>
      <c r="D14" t="s">
        <v>266</v>
      </c>
      <c r="E14" t="s">
        <v>267</v>
      </c>
      <c r="F14" t="s">
        <v>268</v>
      </c>
      <c r="G14" t="s">
        <v>140</v>
      </c>
      <c r="H14" t="s">
        <v>109</v>
      </c>
      <c r="I14" t="s">
        <v>269</v>
      </c>
      <c r="J14" t="s">
        <v>270</v>
      </c>
      <c r="K14" t="s">
        <v>64</v>
      </c>
      <c r="L14" t="s">
        <v>271</v>
      </c>
      <c r="M14" s="13">
        <v>45996.366493055553</v>
      </c>
      <c r="N14" s="13">
        <v>45996.460416666669</v>
      </c>
      <c r="O14" t="s">
        <v>145</v>
      </c>
      <c r="P14" t="s">
        <v>146</v>
      </c>
      <c r="Q14" t="s">
        <v>147</v>
      </c>
      <c r="R14" t="s">
        <v>148</v>
      </c>
      <c r="S14" t="s">
        <v>112</v>
      </c>
      <c r="T14" t="s">
        <v>220</v>
      </c>
      <c r="U14" t="s">
        <v>179</v>
      </c>
      <c r="V14" t="s">
        <v>272</v>
      </c>
      <c r="W14" t="s">
        <v>99</v>
      </c>
      <c r="X14" t="s">
        <v>273</v>
      </c>
      <c r="Y14" t="s">
        <v>151</v>
      </c>
      <c r="Z14" t="s">
        <v>70</v>
      </c>
      <c r="AA14" t="s">
        <v>274</v>
      </c>
      <c r="AB14" s="14">
        <v>1</v>
      </c>
      <c r="AC14" s="14">
        <v>0</v>
      </c>
      <c r="AD14" s="14">
        <v>0</v>
      </c>
      <c r="AE14" s="14">
        <v>0</v>
      </c>
      <c r="AF14" s="14">
        <v>0</v>
      </c>
      <c r="AG14" s="14">
        <v>163814</v>
      </c>
      <c r="AH14" s="14">
        <v>163814</v>
      </c>
    </row>
    <row r="15" spans="1:34">
      <c r="A15" t="s">
        <v>136</v>
      </c>
      <c r="B15" t="s">
        <v>73</v>
      </c>
      <c r="C15" t="s">
        <v>74</v>
      </c>
      <c r="D15" t="s">
        <v>275</v>
      </c>
      <c r="E15" t="s">
        <v>276</v>
      </c>
      <c r="F15" t="s">
        <v>277</v>
      </c>
      <c r="G15" t="s">
        <v>140</v>
      </c>
      <c r="H15" t="s">
        <v>141</v>
      </c>
      <c r="I15" t="s">
        <v>278</v>
      </c>
      <c r="J15" t="s">
        <v>279</v>
      </c>
      <c r="K15" t="s">
        <v>64</v>
      </c>
      <c r="L15" t="s">
        <v>280</v>
      </c>
      <c r="M15" s="13">
        <v>45996.390613425923</v>
      </c>
      <c r="N15" s="13">
        <v>46000.698611111111</v>
      </c>
      <c r="O15" t="s">
        <v>145</v>
      </c>
      <c r="P15" t="s">
        <v>146</v>
      </c>
      <c r="Q15" t="s">
        <v>281</v>
      </c>
      <c r="R15" t="s">
        <v>282</v>
      </c>
      <c r="S15" t="s">
        <v>112</v>
      </c>
      <c r="T15" t="s">
        <v>220</v>
      </c>
      <c r="U15" t="s">
        <v>179</v>
      </c>
      <c r="V15" t="s">
        <v>283</v>
      </c>
      <c r="W15" t="s">
        <v>99</v>
      </c>
      <c r="X15" t="s">
        <v>284</v>
      </c>
      <c r="Y15" t="s">
        <v>101</v>
      </c>
      <c r="Z15" t="s">
        <v>70</v>
      </c>
      <c r="AA15" t="s">
        <v>285</v>
      </c>
      <c r="AB15" s="14">
        <v>1</v>
      </c>
      <c r="AC15" s="14">
        <v>0</v>
      </c>
      <c r="AD15" s="14">
        <v>0</v>
      </c>
      <c r="AE15" s="14">
        <v>0</v>
      </c>
      <c r="AF15" s="14">
        <v>0</v>
      </c>
      <c r="AG15" s="14">
        <v>275728</v>
      </c>
      <c r="AH15" s="14">
        <v>275728</v>
      </c>
    </row>
    <row r="16" spans="1:34">
      <c r="A16" t="s">
        <v>54</v>
      </c>
      <c r="B16" t="s">
        <v>55</v>
      </c>
      <c r="C16" t="s">
        <v>56</v>
      </c>
      <c r="D16" t="s">
        <v>286</v>
      </c>
      <c r="E16" t="s">
        <v>287</v>
      </c>
      <c r="F16" t="s">
        <v>288</v>
      </c>
      <c r="G16" t="s">
        <v>140</v>
      </c>
      <c r="H16" t="s">
        <v>62</v>
      </c>
      <c r="I16" t="s">
        <v>289</v>
      </c>
      <c r="J16" t="s">
        <v>290</v>
      </c>
      <c r="K16" t="s">
        <v>64</v>
      </c>
      <c r="L16" t="s">
        <v>291</v>
      </c>
      <c r="M16" s="13">
        <v>45996.455127314817</v>
      </c>
      <c r="N16" s="13">
        <v>45997.51458333333</v>
      </c>
      <c r="O16" t="s">
        <v>145</v>
      </c>
      <c r="P16" t="s">
        <v>146</v>
      </c>
      <c r="Q16" t="s">
        <v>160</v>
      </c>
      <c r="R16" t="s">
        <v>292</v>
      </c>
      <c r="S16" t="s">
        <v>149</v>
      </c>
      <c r="T16" t="s">
        <v>149</v>
      </c>
      <c r="V16" t="s">
        <v>293</v>
      </c>
      <c r="W16" t="s">
        <v>68</v>
      </c>
      <c r="Y16" t="s">
        <v>101</v>
      </c>
      <c r="Z16" t="s">
        <v>70</v>
      </c>
      <c r="AA16" t="s">
        <v>294</v>
      </c>
      <c r="AB16" s="14">
        <v>0</v>
      </c>
      <c r="AC16" s="14">
        <v>0</v>
      </c>
      <c r="AD16" s="14">
        <v>0</v>
      </c>
      <c r="AE16" s="14">
        <v>0</v>
      </c>
      <c r="AF16" s="14">
        <v>0</v>
      </c>
      <c r="AG16" s="14">
        <v>37905</v>
      </c>
      <c r="AH16" s="14">
        <v>37905</v>
      </c>
    </row>
    <row r="17" spans="1:34">
      <c r="A17" t="s">
        <v>103</v>
      </c>
      <c r="B17" t="s">
        <v>104</v>
      </c>
      <c r="C17" t="s">
        <v>105</v>
      </c>
      <c r="D17" t="s">
        <v>295</v>
      </c>
      <c r="E17" t="s">
        <v>296</v>
      </c>
      <c r="F17" t="s">
        <v>297</v>
      </c>
      <c r="G17" t="s">
        <v>140</v>
      </c>
      <c r="H17" t="s">
        <v>109</v>
      </c>
      <c r="I17" t="s">
        <v>298</v>
      </c>
      <c r="J17" t="s">
        <v>299</v>
      </c>
      <c r="K17" t="s">
        <v>64</v>
      </c>
      <c r="L17" t="s">
        <v>300</v>
      </c>
      <c r="M17" s="13">
        <v>45996.654085648152</v>
      </c>
      <c r="N17" s="13">
        <v>45997.381249999999</v>
      </c>
      <c r="O17" t="s">
        <v>145</v>
      </c>
      <c r="P17" t="s">
        <v>146</v>
      </c>
      <c r="Q17" t="s">
        <v>160</v>
      </c>
      <c r="R17" t="s">
        <v>292</v>
      </c>
      <c r="S17" t="s">
        <v>112</v>
      </c>
      <c r="T17" t="s">
        <v>220</v>
      </c>
      <c r="V17" t="s">
        <v>301</v>
      </c>
      <c r="W17" t="s">
        <v>68</v>
      </c>
      <c r="Y17" t="s">
        <v>151</v>
      </c>
      <c r="Z17" t="s">
        <v>70</v>
      </c>
      <c r="AA17" t="s">
        <v>302</v>
      </c>
      <c r="AB17" s="14">
        <v>0</v>
      </c>
      <c r="AC17" s="14">
        <v>0</v>
      </c>
      <c r="AD17" s="14">
        <v>0</v>
      </c>
      <c r="AE17" s="14">
        <v>0</v>
      </c>
      <c r="AF17" s="14">
        <v>0</v>
      </c>
      <c r="AG17" s="14">
        <v>37905</v>
      </c>
      <c r="AH17" s="14">
        <v>37905</v>
      </c>
    </row>
    <row r="18" spans="1:34">
      <c r="A18" t="s">
        <v>103</v>
      </c>
      <c r="B18" t="s">
        <v>104</v>
      </c>
      <c r="C18" t="s">
        <v>105</v>
      </c>
      <c r="D18" t="s">
        <v>295</v>
      </c>
      <c r="E18" t="s">
        <v>303</v>
      </c>
      <c r="F18" t="s">
        <v>304</v>
      </c>
      <c r="G18" t="s">
        <v>140</v>
      </c>
      <c r="H18" t="s">
        <v>109</v>
      </c>
      <c r="I18" t="s">
        <v>298</v>
      </c>
      <c r="J18" t="s">
        <v>305</v>
      </c>
      <c r="K18" t="s">
        <v>64</v>
      </c>
      <c r="L18" t="s">
        <v>306</v>
      </c>
      <c r="M18" s="13">
        <v>45996.654826388891</v>
      </c>
      <c r="N18" s="13">
        <v>45997.377083333333</v>
      </c>
      <c r="O18" t="s">
        <v>145</v>
      </c>
      <c r="P18" t="s">
        <v>146</v>
      </c>
      <c r="Q18" t="s">
        <v>160</v>
      </c>
      <c r="R18" t="s">
        <v>292</v>
      </c>
      <c r="S18" t="s">
        <v>149</v>
      </c>
      <c r="T18" t="s">
        <v>149</v>
      </c>
      <c r="U18" t="s">
        <v>179</v>
      </c>
      <c r="V18" t="s">
        <v>307</v>
      </c>
      <c r="W18" t="s">
        <v>99</v>
      </c>
      <c r="X18" t="s">
        <v>308</v>
      </c>
      <c r="Y18" t="s">
        <v>151</v>
      </c>
      <c r="Z18" t="s">
        <v>70</v>
      </c>
      <c r="AA18" t="s">
        <v>302</v>
      </c>
      <c r="AB18" s="14">
        <v>1</v>
      </c>
      <c r="AC18" s="14">
        <v>0</v>
      </c>
      <c r="AD18" s="14">
        <v>0</v>
      </c>
      <c r="AE18" s="14">
        <v>0</v>
      </c>
      <c r="AF18" s="14">
        <v>0</v>
      </c>
      <c r="AG18" s="14">
        <v>163814</v>
      </c>
      <c r="AH18" s="14">
        <v>163814</v>
      </c>
    </row>
    <row r="19" spans="1:34">
      <c r="A19" t="s">
        <v>103</v>
      </c>
      <c r="B19" t="s">
        <v>104</v>
      </c>
      <c r="C19" t="s">
        <v>105</v>
      </c>
      <c r="D19" t="s">
        <v>295</v>
      </c>
      <c r="E19" t="s">
        <v>309</v>
      </c>
      <c r="F19" t="s">
        <v>310</v>
      </c>
      <c r="G19" t="s">
        <v>140</v>
      </c>
      <c r="H19" t="s">
        <v>109</v>
      </c>
      <c r="I19" t="s">
        <v>298</v>
      </c>
      <c r="J19" t="s">
        <v>311</v>
      </c>
      <c r="K19" t="s">
        <v>64</v>
      </c>
      <c r="L19" t="s">
        <v>312</v>
      </c>
      <c r="M19" s="13">
        <v>45996.660393518519</v>
      </c>
      <c r="N19" s="13">
        <v>45997.393055555563</v>
      </c>
      <c r="O19" t="s">
        <v>145</v>
      </c>
      <c r="P19" t="s">
        <v>146</v>
      </c>
      <c r="Q19" t="s">
        <v>160</v>
      </c>
      <c r="R19" t="s">
        <v>292</v>
      </c>
      <c r="S19" t="s">
        <v>149</v>
      </c>
      <c r="T19" t="s">
        <v>149</v>
      </c>
      <c r="V19" t="s">
        <v>313</v>
      </c>
      <c r="W19" t="s">
        <v>68</v>
      </c>
      <c r="Y19" t="s">
        <v>151</v>
      </c>
      <c r="Z19" t="s">
        <v>70</v>
      </c>
      <c r="AA19" t="s">
        <v>302</v>
      </c>
      <c r="AB19" s="14">
        <v>0</v>
      </c>
      <c r="AC19" s="14">
        <v>0</v>
      </c>
      <c r="AD19" s="14">
        <v>0</v>
      </c>
      <c r="AE19" s="14">
        <v>0</v>
      </c>
      <c r="AF19" s="14">
        <v>0</v>
      </c>
      <c r="AG19" s="14">
        <v>37905</v>
      </c>
      <c r="AH19" s="14">
        <v>37905</v>
      </c>
    </row>
    <row r="20" spans="1:34">
      <c r="A20" t="s">
        <v>103</v>
      </c>
      <c r="B20" t="s">
        <v>104</v>
      </c>
      <c r="C20" t="s">
        <v>105</v>
      </c>
      <c r="D20" t="s">
        <v>314</v>
      </c>
      <c r="E20" t="s">
        <v>315</v>
      </c>
      <c r="F20" t="s">
        <v>316</v>
      </c>
      <c r="G20" t="s">
        <v>140</v>
      </c>
      <c r="H20" t="s">
        <v>109</v>
      </c>
      <c r="I20" t="s">
        <v>317</v>
      </c>
      <c r="J20" t="s">
        <v>318</v>
      </c>
      <c r="K20" t="s">
        <v>64</v>
      </c>
      <c r="L20" t="s">
        <v>319</v>
      </c>
      <c r="M20" s="13">
        <v>45998.530798611107</v>
      </c>
      <c r="N20" s="13">
        <v>46000.387499999997</v>
      </c>
      <c r="O20" t="s">
        <v>145</v>
      </c>
      <c r="P20" t="s">
        <v>146</v>
      </c>
      <c r="Q20" t="s">
        <v>160</v>
      </c>
      <c r="R20" t="s">
        <v>161</v>
      </c>
      <c r="S20" t="s">
        <v>149</v>
      </c>
      <c r="T20" t="s">
        <v>149</v>
      </c>
      <c r="V20" t="s">
        <v>320</v>
      </c>
      <c r="W20" t="s">
        <v>68</v>
      </c>
      <c r="Y20" t="s">
        <v>151</v>
      </c>
      <c r="Z20" t="s">
        <v>70</v>
      </c>
      <c r="AA20" t="s">
        <v>126</v>
      </c>
      <c r="AB20" s="14">
        <v>0</v>
      </c>
      <c r="AC20" s="14">
        <v>0</v>
      </c>
      <c r="AD20" s="14">
        <v>0</v>
      </c>
      <c r="AE20" s="14">
        <v>0</v>
      </c>
      <c r="AF20" s="14">
        <v>0</v>
      </c>
      <c r="AG20" s="14">
        <v>37905</v>
      </c>
      <c r="AH20" s="14">
        <v>37905</v>
      </c>
    </row>
    <row r="21" spans="1:34">
      <c r="A21" t="s">
        <v>103</v>
      </c>
      <c r="B21" t="s">
        <v>104</v>
      </c>
      <c r="C21" t="s">
        <v>105</v>
      </c>
      <c r="D21" t="s">
        <v>321</v>
      </c>
      <c r="E21" t="s">
        <v>322</v>
      </c>
      <c r="F21" t="s">
        <v>323</v>
      </c>
      <c r="G21" t="s">
        <v>140</v>
      </c>
      <c r="H21" t="s">
        <v>109</v>
      </c>
      <c r="I21" t="s">
        <v>324</v>
      </c>
      <c r="J21" t="s">
        <v>325</v>
      </c>
      <c r="K21" t="s">
        <v>64</v>
      </c>
      <c r="L21" t="s">
        <v>326</v>
      </c>
      <c r="M21" s="13">
        <v>45997.734791666669</v>
      </c>
      <c r="N21" s="13">
        <v>45998.418055555558</v>
      </c>
      <c r="O21" t="s">
        <v>145</v>
      </c>
      <c r="P21" t="s">
        <v>146</v>
      </c>
      <c r="Q21" t="s">
        <v>281</v>
      </c>
      <c r="R21" t="s">
        <v>327</v>
      </c>
      <c r="S21" t="s">
        <v>112</v>
      </c>
      <c r="T21" t="s">
        <v>113</v>
      </c>
      <c r="V21" t="s">
        <v>328</v>
      </c>
      <c r="W21" t="s">
        <v>68</v>
      </c>
      <c r="Y21" t="s">
        <v>69</v>
      </c>
      <c r="Z21" t="s">
        <v>70</v>
      </c>
      <c r="AA21" t="s">
        <v>199</v>
      </c>
      <c r="AB21" s="14">
        <v>0</v>
      </c>
      <c r="AC21" s="14">
        <v>0</v>
      </c>
      <c r="AD21" s="14">
        <v>0</v>
      </c>
      <c r="AE21" s="14">
        <v>0</v>
      </c>
      <c r="AF21" s="14">
        <v>0</v>
      </c>
      <c r="AG21" s="14">
        <v>37905</v>
      </c>
      <c r="AH21" s="14">
        <v>37905</v>
      </c>
    </row>
    <row r="22" spans="1:34">
      <c r="A22" t="s">
        <v>72</v>
      </c>
      <c r="B22" t="s">
        <v>73</v>
      </c>
      <c r="C22" t="s">
        <v>74</v>
      </c>
      <c r="D22" t="s">
        <v>75</v>
      </c>
      <c r="E22" t="s">
        <v>329</v>
      </c>
      <c r="F22" t="s">
        <v>330</v>
      </c>
      <c r="G22" t="s">
        <v>140</v>
      </c>
      <c r="H22" t="s">
        <v>79</v>
      </c>
      <c r="I22" t="s">
        <v>72</v>
      </c>
      <c r="J22" t="s">
        <v>331</v>
      </c>
      <c r="K22" t="s">
        <v>64</v>
      </c>
      <c r="L22" t="s">
        <v>332</v>
      </c>
      <c r="M22" s="13">
        <v>46000.350439814807</v>
      </c>
      <c r="N22" s="13">
        <v>46001.361805555563</v>
      </c>
      <c r="O22" t="s">
        <v>145</v>
      </c>
      <c r="P22" t="s">
        <v>259</v>
      </c>
      <c r="Q22" t="s">
        <v>260</v>
      </c>
      <c r="R22" t="s">
        <v>261</v>
      </c>
      <c r="S22" t="s">
        <v>149</v>
      </c>
      <c r="T22" t="s">
        <v>149</v>
      </c>
      <c r="V22" t="s">
        <v>333</v>
      </c>
      <c r="W22" t="s">
        <v>68</v>
      </c>
      <c r="Y22" t="s">
        <v>69</v>
      </c>
      <c r="Z22" t="s">
        <v>70</v>
      </c>
      <c r="AA22" t="s">
        <v>334</v>
      </c>
      <c r="AB22" s="14">
        <v>0</v>
      </c>
      <c r="AC22" s="14">
        <v>0</v>
      </c>
      <c r="AD22" s="14">
        <v>0</v>
      </c>
      <c r="AE22" s="14">
        <v>0</v>
      </c>
      <c r="AF22" s="14">
        <v>0</v>
      </c>
      <c r="AG22" s="14">
        <v>37905</v>
      </c>
      <c r="AH22" s="14">
        <v>37905</v>
      </c>
    </row>
    <row r="23" spans="1:34">
      <c r="A23" t="s">
        <v>72</v>
      </c>
      <c r="B23" t="s">
        <v>73</v>
      </c>
      <c r="C23" t="s">
        <v>74</v>
      </c>
      <c r="D23" t="s">
        <v>335</v>
      </c>
      <c r="E23" t="s">
        <v>336</v>
      </c>
      <c r="F23" t="s">
        <v>337</v>
      </c>
      <c r="G23" t="s">
        <v>140</v>
      </c>
      <c r="H23" t="s">
        <v>79</v>
      </c>
      <c r="I23" t="s">
        <v>338</v>
      </c>
      <c r="J23" t="s">
        <v>339</v>
      </c>
      <c r="K23" t="s">
        <v>64</v>
      </c>
      <c r="L23" t="s">
        <v>340</v>
      </c>
      <c r="M23" s="13">
        <v>46000.411736111113</v>
      </c>
      <c r="N23" s="13">
        <v>46003.38958333333</v>
      </c>
      <c r="O23" t="s">
        <v>145</v>
      </c>
      <c r="P23" t="s">
        <v>146</v>
      </c>
      <c r="Q23" t="s">
        <v>160</v>
      </c>
      <c r="R23" t="s">
        <v>161</v>
      </c>
      <c r="S23" t="s">
        <v>112</v>
      </c>
      <c r="T23" t="s">
        <v>220</v>
      </c>
      <c r="U23" t="s">
        <v>179</v>
      </c>
      <c r="V23" t="s">
        <v>341</v>
      </c>
      <c r="W23" t="s">
        <v>99</v>
      </c>
      <c r="X23" t="s">
        <v>342</v>
      </c>
      <c r="Y23" t="s">
        <v>125</v>
      </c>
      <c r="Z23" t="s">
        <v>70</v>
      </c>
      <c r="AA23" t="s">
        <v>239</v>
      </c>
      <c r="AB23" s="14">
        <v>1</v>
      </c>
      <c r="AC23" s="14">
        <v>0</v>
      </c>
      <c r="AD23" s="14">
        <v>0</v>
      </c>
      <c r="AE23" s="14">
        <v>0</v>
      </c>
      <c r="AF23" s="14">
        <v>0</v>
      </c>
      <c r="AG23" s="14">
        <v>479590</v>
      </c>
      <c r="AH23" s="14">
        <v>479590</v>
      </c>
    </row>
    <row r="24" spans="1:34">
      <c r="A24" t="s">
        <v>54</v>
      </c>
      <c r="B24" t="s">
        <v>55</v>
      </c>
      <c r="C24" t="s">
        <v>56</v>
      </c>
      <c r="D24" t="s">
        <v>57</v>
      </c>
      <c r="E24" t="s">
        <v>343</v>
      </c>
      <c r="F24" t="s">
        <v>344</v>
      </c>
      <c r="G24" t="s">
        <v>140</v>
      </c>
      <c r="H24" t="s">
        <v>62</v>
      </c>
      <c r="I24" t="s">
        <v>54</v>
      </c>
      <c r="J24" t="s">
        <v>345</v>
      </c>
      <c r="K24" t="s">
        <v>64</v>
      </c>
      <c r="L24" t="s">
        <v>346</v>
      </c>
      <c r="M24" s="13">
        <v>46000.433217592603</v>
      </c>
      <c r="N24" s="13">
        <v>46000.714583333327</v>
      </c>
      <c r="O24" t="s">
        <v>145</v>
      </c>
      <c r="P24" t="s">
        <v>347</v>
      </c>
      <c r="Q24" t="s">
        <v>160</v>
      </c>
      <c r="R24" t="s">
        <v>348</v>
      </c>
      <c r="U24" t="s">
        <v>179</v>
      </c>
      <c r="V24" t="s">
        <v>349</v>
      </c>
      <c r="W24" t="s">
        <v>99</v>
      </c>
      <c r="X24" t="s">
        <v>350</v>
      </c>
      <c r="Y24" t="s">
        <v>69</v>
      </c>
      <c r="Z24" t="s">
        <v>70</v>
      </c>
      <c r="AA24" t="s">
        <v>351</v>
      </c>
      <c r="AB24" s="14">
        <v>0</v>
      </c>
      <c r="AC24" s="14">
        <v>0</v>
      </c>
      <c r="AD24" s="14">
        <v>0</v>
      </c>
      <c r="AE24" s="14">
        <v>0</v>
      </c>
      <c r="AF24" s="14">
        <v>0</v>
      </c>
      <c r="AG24" s="14">
        <v>306552</v>
      </c>
      <c r="AH24" s="14">
        <v>306552</v>
      </c>
    </row>
    <row r="25" spans="1:34">
      <c r="A25" t="s">
        <v>211</v>
      </c>
      <c r="B25" t="s">
        <v>212</v>
      </c>
      <c r="C25" t="s">
        <v>213</v>
      </c>
      <c r="D25" t="s">
        <v>352</v>
      </c>
      <c r="E25" t="s">
        <v>353</v>
      </c>
      <c r="F25" t="s">
        <v>354</v>
      </c>
      <c r="G25" t="s">
        <v>140</v>
      </c>
      <c r="H25" t="s">
        <v>217</v>
      </c>
      <c r="I25" t="s">
        <v>355</v>
      </c>
      <c r="J25" t="s">
        <v>356</v>
      </c>
      <c r="K25" t="s">
        <v>64</v>
      </c>
      <c r="L25" t="s">
        <v>357</v>
      </c>
      <c r="M25" s="13">
        <v>46001.39199074074</v>
      </c>
      <c r="N25" s="13">
        <v>46002.446527777778</v>
      </c>
      <c r="O25" t="s">
        <v>145</v>
      </c>
      <c r="P25" t="s">
        <v>146</v>
      </c>
      <c r="Q25" t="s">
        <v>160</v>
      </c>
      <c r="R25" t="s">
        <v>161</v>
      </c>
      <c r="S25" t="s">
        <v>149</v>
      </c>
      <c r="T25" t="s">
        <v>358</v>
      </c>
      <c r="U25" t="s">
        <v>179</v>
      </c>
      <c r="V25" t="s">
        <v>359</v>
      </c>
      <c r="W25" t="s">
        <v>99</v>
      </c>
      <c r="X25" t="s">
        <v>360</v>
      </c>
      <c r="Y25" t="s">
        <v>125</v>
      </c>
      <c r="Z25" t="s">
        <v>70</v>
      </c>
      <c r="AA25" t="s">
        <v>361</v>
      </c>
      <c r="AB25" s="14">
        <v>1</v>
      </c>
      <c r="AC25" s="14">
        <v>0</v>
      </c>
      <c r="AD25" s="14">
        <v>0</v>
      </c>
      <c r="AE25" s="14">
        <v>0</v>
      </c>
      <c r="AF25" s="14">
        <v>0</v>
      </c>
      <c r="AG25" s="14">
        <v>479590</v>
      </c>
      <c r="AH25" s="14">
        <v>479590</v>
      </c>
    </row>
    <row r="26" spans="1:34">
      <c r="A26" t="s">
        <v>54</v>
      </c>
      <c r="B26" t="s">
        <v>55</v>
      </c>
      <c r="C26" t="s">
        <v>56</v>
      </c>
      <c r="D26" t="s">
        <v>362</v>
      </c>
      <c r="E26" t="s">
        <v>363</v>
      </c>
      <c r="F26" t="s">
        <v>364</v>
      </c>
      <c r="G26" t="s">
        <v>140</v>
      </c>
      <c r="H26" t="s">
        <v>62</v>
      </c>
      <c r="I26" t="s">
        <v>365</v>
      </c>
      <c r="J26" t="s">
        <v>366</v>
      </c>
      <c r="K26" t="s">
        <v>64</v>
      </c>
      <c r="L26" t="s">
        <v>367</v>
      </c>
      <c r="M26" s="13">
        <v>46001.453865740739</v>
      </c>
      <c r="N26" s="13">
        <v>46002.42291666667</v>
      </c>
      <c r="O26" t="s">
        <v>145</v>
      </c>
      <c r="P26" t="s">
        <v>146</v>
      </c>
      <c r="Q26" t="s">
        <v>368</v>
      </c>
      <c r="R26" t="s">
        <v>369</v>
      </c>
      <c r="S26" t="s">
        <v>149</v>
      </c>
      <c r="T26" t="s">
        <v>149</v>
      </c>
      <c r="U26" t="s">
        <v>179</v>
      </c>
      <c r="V26" t="s">
        <v>370</v>
      </c>
      <c r="W26" t="s">
        <v>99</v>
      </c>
      <c r="X26" t="s">
        <v>371</v>
      </c>
      <c r="Y26" t="s">
        <v>69</v>
      </c>
      <c r="Z26" t="s">
        <v>70</v>
      </c>
      <c r="AA26" t="s">
        <v>351</v>
      </c>
      <c r="AB26" s="14">
        <v>1</v>
      </c>
      <c r="AC26" s="14">
        <v>0</v>
      </c>
      <c r="AD26" s="14">
        <v>0</v>
      </c>
      <c r="AE26" s="14">
        <v>0</v>
      </c>
      <c r="AF26" s="14">
        <v>0</v>
      </c>
      <c r="AG26" s="14">
        <v>65960</v>
      </c>
      <c r="AH26" s="14">
        <v>65960</v>
      </c>
    </row>
    <row r="27" spans="1:34">
      <c r="A27" t="s">
        <v>265</v>
      </c>
      <c r="B27" t="s">
        <v>104</v>
      </c>
      <c r="C27" t="s">
        <v>105</v>
      </c>
      <c r="D27" t="s">
        <v>372</v>
      </c>
      <c r="E27" t="s">
        <v>373</v>
      </c>
      <c r="F27" t="s">
        <v>374</v>
      </c>
      <c r="G27" t="s">
        <v>140</v>
      </c>
      <c r="H27" t="s">
        <v>109</v>
      </c>
      <c r="I27" t="s">
        <v>265</v>
      </c>
      <c r="J27" t="s">
        <v>375</v>
      </c>
      <c r="K27" t="s">
        <v>64</v>
      </c>
      <c r="L27" t="s">
        <v>376</v>
      </c>
      <c r="M27" s="13">
        <v>46002.339120370372</v>
      </c>
      <c r="N27" s="13">
        <v>46002.646527777782</v>
      </c>
      <c r="O27" t="s">
        <v>145</v>
      </c>
      <c r="P27" t="s">
        <v>146</v>
      </c>
      <c r="Q27" t="s">
        <v>377</v>
      </c>
      <c r="R27" t="s">
        <v>378</v>
      </c>
      <c r="S27" t="s">
        <v>95</v>
      </c>
      <c r="T27" t="s">
        <v>379</v>
      </c>
      <c r="U27" t="s">
        <v>179</v>
      </c>
      <c r="V27" t="s">
        <v>380</v>
      </c>
      <c r="W27" t="s">
        <v>99</v>
      </c>
      <c r="X27" t="s">
        <v>381</v>
      </c>
      <c r="Y27" t="s">
        <v>69</v>
      </c>
      <c r="Z27" t="s">
        <v>70</v>
      </c>
      <c r="AA27" t="s">
        <v>274</v>
      </c>
      <c r="AB27" s="14">
        <v>1</v>
      </c>
      <c r="AC27" s="14">
        <v>0</v>
      </c>
      <c r="AD27" s="14">
        <v>0</v>
      </c>
      <c r="AE27" s="14">
        <v>0</v>
      </c>
      <c r="AF27" s="14">
        <v>0</v>
      </c>
      <c r="AG27" s="14">
        <v>65960</v>
      </c>
      <c r="AH27" s="14">
        <v>65960</v>
      </c>
    </row>
    <row r="28" spans="1:34">
      <c r="A28" t="s">
        <v>136</v>
      </c>
      <c r="B28" t="s">
        <v>73</v>
      </c>
      <c r="C28" t="s">
        <v>74</v>
      </c>
      <c r="D28" t="s">
        <v>382</v>
      </c>
      <c r="E28" t="s">
        <v>383</v>
      </c>
      <c r="F28" t="s">
        <v>384</v>
      </c>
      <c r="G28" t="s">
        <v>140</v>
      </c>
      <c r="H28" t="s">
        <v>141</v>
      </c>
      <c r="I28" t="s">
        <v>385</v>
      </c>
      <c r="J28" t="s">
        <v>386</v>
      </c>
      <c r="K28" t="s">
        <v>64</v>
      </c>
      <c r="L28" t="s">
        <v>387</v>
      </c>
      <c r="M28" s="13">
        <v>46002.412245370368</v>
      </c>
      <c r="N28" s="13">
        <v>46003.523611111108</v>
      </c>
      <c r="O28" t="s">
        <v>145</v>
      </c>
      <c r="P28" t="s">
        <v>146</v>
      </c>
      <c r="Q28" t="s">
        <v>188</v>
      </c>
      <c r="R28" t="s">
        <v>161</v>
      </c>
      <c r="S28" t="s">
        <v>178</v>
      </c>
      <c r="T28" t="s">
        <v>178</v>
      </c>
      <c r="U28" t="s">
        <v>179</v>
      </c>
      <c r="V28" t="s">
        <v>388</v>
      </c>
      <c r="W28" t="s">
        <v>99</v>
      </c>
      <c r="X28" t="s">
        <v>389</v>
      </c>
      <c r="Y28" t="s">
        <v>101</v>
      </c>
      <c r="Z28" t="s">
        <v>70</v>
      </c>
      <c r="AA28" t="s">
        <v>285</v>
      </c>
      <c r="AB28" s="14">
        <v>1</v>
      </c>
      <c r="AC28" s="14">
        <v>0</v>
      </c>
      <c r="AD28" s="14">
        <v>0</v>
      </c>
      <c r="AE28" s="14">
        <v>0</v>
      </c>
      <c r="AF28" s="14">
        <v>0</v>
      </c>
      <c r="AG28" s="14">
        <v>275728</v>
      </c>
      <c r="AH28" s="14">
        <v>275728</v>
      </c>
    </row>
    <row r="29" spans="1:34">
      <c r="A29" t="s">
        <v>390</v>
      </c>
      <c r="B29" t="s">
        <v>212</v>
      </c>
      <c r="C29" t="s">
        <v>213</v>
      </c>
      <c r="D29" t="s">
        <v>391</v>
      </c>
      <c r="E29" t="s">
        <v>392</v>
      </c>
      <c r="F29" t="s">
        <v>393</v>
      </c>
      <c r="G29" t="s">
        <v>140</v>
      </c>
      <c r="H29" t="s">
        <v>394</v>
      </c>
      <c r="I29" t="s">
        <v>395</v>
      </c>
      <c r="J29" t="s">
        <v>396</v>
      </c>
      <c r="K29" t="s">
        <v>64</v>
      </c>
      <c r="L29" t="s">
        <v>397</v>
      </c>
      <c r="M29" s="13">
        <v>46002.582743055558</v>
      </c>
      <c r="N29" s="13">
        <v>46005.479166666657</v>
      </c>
      <c r="O29" t="s">
        <v>145</v>
      </c>
      <c r="P29" t="s">
        <v>146</v>
      </c>
      <c r="Q29" t="s">
        <v>160</v>
      </c>
      <c r="R29" t="s">
        <v>161</v>
      </c>
      <c r="S29" t="s">
        <v>178</v>
      </c>
      <c r="T29" t="s">
        <v>178</v>
      </c>
      <c r="U29" t="s">
        <v>179</v>
      </c>
      <c r="V29" t="s">
        <v>398</v>
      </c>
      <c r="W29" t="s">
        <v>99</v>
      </c>
      <c r="X29" t="s">
        <v>399</v>
      </c>
      <c r="Y29" t="s">
        <v>151</v>
      </c>
      <c r="Z29" t="s">
        <v>70</v>
      </c>
      <c r="AA29" t="s">
        <v>400</v>
      </c>
      <c r="AB29" s="14">
        <v>1</v>
      </c>
      <c r="AC29" s="14">
        <v>0</v>
      </c>
      <c r="AD29" s="14">
        <v>0</v>
      </c>
      <c r="AE29" s="14">
        <v>0</v>
      </c>
      <c r="AF29" s="14">
        <v>0</v>
      </c>
      <c r="AG29" s="14">
        <v>163814</v>
      </c>
      <c r="AH29" s="14">
        <v>163814</v>
      </c>
    </row>
    <row r="30" spans="1:34">
      <c r="A30" t="s">
        <v>211</v>
      </c>
      <c r="B30" t="s">
        <v>212</v>
      </c>
      <c r="C30" t="s">
        <v>213</v>
      </c>
      <c r="D30" t="s">
        <v>352</v>
      </c>
      <c r="E30" t="s">
        <v>401</v>
      </c>
      <c r="F30" t="s">
        <v>354</v>
      </c>
      <c r="G30" t="s">
        <v>140</v>
      </c>
      <c r="H30" t="s">
        <v>217</v>
      </c>
      <c r="I30" t="s">
        <v>355</v>
      </c>
      <c r="J30" t="s">
        <v>356</v>
      </c>
      <c r="K30" t="s">
        <v>64</v>
      </c>
      <c r="L30" t="s">
        <v>402</v>
      </c>
      <c r="M30" s="13">
        <v>46002.65519675926</v>
      </c>
      <c r="N30" s="13">
        <v>46003.375694444447</v>
      </c>
      <c r="O30" t="s">
        <v>145</v>
      </c>
      <c r="P30" t="s">
        <v>146</v>
      </c>
      <c r="Q30" t="s">
        <v>160</v>
      </c>
      <c r="R30" t="s">
        <v>161</v>
      </c>
      <c r="S30" t="s">
        <v>149</v>
      </c>
      <c r="T30" t="s">
        <v>358</v>
      </c>
      <c r="U30" t="s">
        <v>179</v>
      </c>
      <c r="V30" t="s">
        <v>403</v>
      </c>
      <c r="W30" t="s">
        <v>99</v>
      </c>
      <c r="X30" t="s">
        <v>360</v>
      </c>
      <c r="Y30" t="s">
        <v>125</v>
      </c>
      <c r="Z30" t="s">
        <v>70</v>
      </c>
      <c r="AA30" t="s">
        <v>361</v>
      </c>
      <c r="AB30" s="14">
        <v>1</v>
      </c>
      <c r="AC30" s="14">
        <v>0</v>
      </c>
      <c r="AD30" s="14">
        <v>0</v>
      </c>
      <c r="AE30" s="14">
        <v>0</v>
      </c>
      <c r="AF30" s="14">
        <v>0</v>
      </c>
      <c r="AG30" s="14">
        <v>479590</v>
      </c>
      <c r="AH30" s="14">
        <v>479590</v>
      </c>
    </row>
    <row r="31" spans="1:34">
      <c r="A31" t="s">
        <v>240</v>
      </c>
      <c r="B31" t="s">
        <v>241</v>
      </c>
      <c r="C31" t="s">
        <v>242</v>
      </c>
      <c r="D31" t="s">
        <v>404</v>
      </c>
      <c r="E31" t="s">
        <v>405</v>
      </c>
      <c r="F31" t="s">
        <v>406</v>
      </c>
      <c r="G31" t="s">
        <v>140</v>
      </c>
      <c r="H31" t="s">
        <v>241</v>
      </c>
      <c r="I31" t="s">
        <v>407</v>
      </c>
      <c r="J31" t="s">
        <v>408</v>
      </c>
      <c r="K31" t="s">
        <v>64</v>
      </c>
      <c r="L31" t="s">
        <v>409</v>
      </c>
      <c r="M31" s="13">
        <v>46003.379988425928</v>
      </c>
      <c r="N31" s="13">
        <v>46005.499305555553</v>
      </c>
      <c r="O31" t="s">
        <v>145</v>
      </c>
      <c r="P31" t="s">
        <v>146</v>
      </c>
      <c r="Q31" t="s">
        <v>160</v>
      </c>
      <c r="R31" t="s">
        <v>292</v>
      </c>
      <c r="S31" t="s">
        <v>149</v>
      </c>
      <c r="T31" t="s">
        <v>149</v>
      </c>
      <c r="U31" t="s">
        <v>179</v>
      </c>
      <c r="V31" t="s">
        <v>410</v>
      </c>
      <c r="W31" t="s">
        <v>99</v>
      </c>
      <c r="X31" t="s">
        <v>411</v>
      </c>
      <c r="Y31" t="s">
        <v>69</v>
      </c>
      <c r="Z31" t="s">
        <v>70</v>
      </c>
      <c r="AA31" t="s">
        <v>412</v>
      </c>
      <c r="AB31" s="14">
        <v>1</v>
      </c>
      <c r="AC31" s="14">
        <v>0</v>
      </c>
      <c r="AD31" s="14">
        <v>0</v>
      </c>
      <c r="AE31" s="14">
        <v>0</v>
      </c>
      <c r="AF31" s="14">
        <v>0</v>
      </c>
      <c r="AG31" s="14">
        <v>65960</v>
      </c>
      <c r="AH31" s="14">
        <v>65960</v>
      </c>
    </row>
    <row r="32" spans="1:34">
      <c r="A32" t="s">
        <v>103</v>
      </c>
      <c r="B32" t="s">
        <v>104</v>
      </c>
      <c r="C32" t="s">
        <v>105</v>
      </c>
      <c r="D32" t="s">
        <v>106</v>
      </c>
      <c r="E32" t="s">
        <v>413</v>
      </c>
      <c r="F32" t="s">
        <v>414</v>
      </c>
      <c r="G32" t="s">
        <v>140</v>
      </c>
      <c r="H32" t="s">
        <v>109</v>
      </c>
      <c r="I32" t="s">
        <v>103</v>
      </c>
      <c r="J32" t="s">
        <v>415</v>
      </c>
      <c r="K32" t="s">
        <v>64</v>
      </c>
      <c r="L32" t="s">
        <v>416</v>
      </c>
      <c r="M32" s="13">
        <v>46003.477060185192</v>
      </c>
      <c r="N32" s="13">
        <v>46003.547222222223</v>
      </c>
      <c r="O32" t="s">
        <v>145</v>
      </c>
      <c r="P32" t="s">
        <v>146</v>
      </c>
      <c r="Q32" t="s">
        <v>160</v>
      </c>
      <c r="R32" t="s">
        <v>292</v>
      </c>
      <c r="S32" t="s">
        <v>95</v>
      </c>
      <c r="T32" t="s">
        <v>96</v>
      </c>
      <c r="V32" t="s">
        <v>417</v>
      </c>
      <c r="W32" t="s">
        <v>68</v>
      </c>
      <c r="Y32" t="s">
        <v>69</v>
      </c>
      <c r="Z32" t="s">
        <v>70</v>
      </c>
      <c r="AA32" t="s">
        <v>418</v>
      </c>
      <c r="AB32" s="14">
        <v>0</v>
      </c>
      <c r="AC32" s="14">
        <v>0</v>
      </c>
      <c r="AD32" s="14">
        <v>0</v>
      </c>
      <c r="AE32" s="14">
        <v>0</v>
      </c>
      <c r="AF32" s="14">
        <v>0</v>
      </c>
      <c r="AG32" s="14">
        <v>37905</v>
      </c>
      <c r="AH32" s="14">
        <v>37905</v>
      </c>
    </row>
    <row r="33" spans="1:34">
      <c r="A33" t="s">
        <v>419</v>
      </c>
      <c r="B33" t="s">
        <v>73</v>
      </c>
      <c r="C33" t="s">
        <v>74</v>
      </c>
      <c r="D33" t="s">
        <v>420</v>
      </c>
      <c r="E33" t="s">
        <v>421</v>
      </c>
      <c r="F33" t="s">
        <v>422</v>
      </c>
      <c r="G33" t="s">
        <v>140</v>
      </c>
      <c r="H33" t="s">
        <v>423</v>
      </c>
      <c r="I33" t="s">
        <v>424</v>
      </c>
      <c r="J33" t="s">
        <v>425</v>
      </c>
      <c r="K33" t="s">
        <v>64</v>
      </c>
      <c r="L33" t="s">
        <v>426</v>
      </c>
      <c r="M33" s="13">
        <v>46003.50037037037</v>
      </c>
      <c r="N33" s="13">
        <v>46005.510416666657</v>
      </c>
      <c r="O33" t="s">
        <v>145</v>
      </c>
      <c r="P33" t="s">
        <v>146</v>
      </c>
      <c r="Q33" t="s">
        <v>160</v>
      </c>
      <c r="R33" t="s">
        <v>161</v>
      </c>
      <c r="S33" t="s">
        <v>149</v>
      </c>
      <c r="T33" t="s">
        <v>149</v>
      </c>
      <c r="U33" t="s">
        <v>427</v>
      </c>
      <c r="V33" t="s">
        <v>428</v>
      </c>
      <c r="W33" t="s">
        <v>99</v>
      </c>
      <c r="X33" t="s">
        <v>429</v>
      </c>
      <c r="Y33" t="s">
        <v>101</v>
      </c>
      <c r="Z33" t="s">
        <v>70</v>
      </c>
      <c r="AA33" t="s">
        <v>430</v>
      </c>
      <c r="AB33" s="14">
        <v>1</v>
      </c>
      <c r="AC33" s="14">
        <v>0</v>
      </c>
      <c r="AD33" s="14">
        <v>0</v>
      </c>
      <c r="AE33" s="14">
        <v>0</v>
      </c>
      <c r="AF33" s="14">
        <v>0</v>
      </c>
      <c r="AG33" s="14">
        <v>275728</v>
      </c>
      <c r="AH33" s="14">
        <v>275728</v>
      </c>
    </row>
    <row r="34" spans="1:34">
      <c r="A34" t="s">
        <v>103</v>
      </c>
      <c r="B34" t="s">
        <v>104</v>
      </c>
      <c r="C34" t="s">
        <v>105</v>
      </c>
      <c r="D34" t="s">
        <v>431</v>
      </c>
      <c r="E34" t="s">
        <v>432</v>
      </c>
      <c r="F34" t="s">
        <v>433</v>
      </c>
      <c r="G34" t="s">
        <v>140</v>
      </c>
      <c r="H34" t="s">
        <v>109</v>
      </c>
      <c r="I34" t="s">
        <v>434</v>
      </c>
      <c r="J34" t="s">
        <v>435</v>
      </c>
      <c r="K34" t="s">
        <v>64</v>
      </c>
      <c r="L34" t="s">
        <v>436</v>
      </c>
      <c r="M34" s="13">
        <v>46003.716585648152</v>
      </c>
      <c r="N34" s="13">
        <v>46005.444444444453</v>
      </c>
      <c r="O34" t="s">
        <v>145</v>
      </c>
      <c r="P34" t="s">
        <v>259</v>
      </c>
      <c r="Q34" t="s">
        <v>260</v>
      </c>
      <c r="R34" t="s">
        <v>261</v>
      </c>
      <c r="S34" t="s">
        <v>112</v>
      </c>
      <c r="T34" t="s">
        <v>113</v>
      </c>
      <c r="U34" t="s">
        <v>179</v>
      </c>
      <c r="V34" t="s">
        <v>437</v>
      </c>
      <c r="W34" t="s">
        <v>99</v>
      </c>
      <c r="X34" t="s">
        <v>438</v>
      </c>
      <c r="Y34" t="s">
        <v>69</v>
      </c>
      <c r="Z34" t="s">
        <v>70</v>
      </c>
      <c r="AA34" t="s">
        <v>418</v>
      </c>
      <c r="AB34" s="14">
        <v>1</v>
      </c>
      <c r="AC34" s="14">
        <v>0</v>
      </c>
      <c r="AD34" s="14">
        <v>0</v>
      </c>
      <c r="AE34" s="14">
        <v>0</v>
      </c>
      <c r="AF34" s="14">
        <v>0</v>
      </c>
      <c r="AG34" s="14">
        <v>65960</v>
      </c>
      <c r="AH34" s="14">
        <v>65960</v>
      </c>
    </row>
    <row r="35" spans="1:34">
      <c r="A35" t="s">
        <v>265</v>
      </c>
      <c r="B35" t="s">
        <v>104</v>
      </c>
      <c r="C35" t="s">
        <v>105</v>
      </c>
      <c r="D35" t="s">
        <v>372</v>
      </c>
      <c r="E35" t="s">
        <v>439</v>
      </c>
      <c r="F35" t="s">
        <v>440</v>
      </c>
      <c r="G35" t="s">
        <v>140</v>
      </c>
      <c r="H35" t="s">
        <v>109</v>
      </c>
      <c r="I35" t="s">
        <v>265</v>
      </c>
      <c r="J35" t="s">
        <v>441</v>
      </c>
      <c r="K35" t="s">
        <v>64</v>
      </c>
      <c r="L35" t="s">
        <v>442</v>
      </c>
      <c r="M35" s="13">
        <v>46004.471087962957</v>
      </c>
      <c r="N35" s="13">
        <v>46006.581944444442</v>
      </c>
      <c r="O35" t="s">
        <v>145</v>
      </c>
      <c r="P35" t="s">
        <v>146</v>
      </c>
      <c r="Q35" t="s">
        <v>160</v>
      </c>
      <c r="R35" t="s">
        <v>292</v>
      </c>
      <c r="S35" t="s">
        <v>112</v>
      </c>
      <c r="T35" t="s">
        <v>113</v>
      </c>
      <c r="V35" t="s">
        <v>443</v>
      </c>
      <c r="W35" t="s">
        <v>68</v>
      </c>
      <c r="Y35" t="s">
        <v>69</v>
      </c>
      <c r="Z35" t="s">
        <v>70</v>
      </c>
      <c r="AA35" t="s">
        <v>274</v>
      </c>
      <c r="AB35" s="14">
        <v>0</v>
      </c>
      <c r="AC35" s="14">
        <v>0</v>
      </c>
      <c r="AD35" s="14">
        <v>0</v>
      </c>
      <c r="AE35" s="14">
        <v>0</v>
      </c>
      <c r="AF35" s="14">
        <v>0</v>
      </c>
      <c r="AG35" s="14">
        <v>37905</v>
      </c>
      <c r="AH35" s="14">
        <v>37905</v>
      </c>
    </row>
    <row r="36" spans="1:34">
      <c r="A36" t="s">
        <v>444</v>
      </c>
      <c r="B36" t="s">
        <v>212</v>
      </c>
      <c r="C36" t="s">
        <v>213</v>
      </c>
      <c r="D36" t="s">
        <v>445</v>
      </c>
      <c r="E36" t="s">
        <v>446</v>
      </c>
      <c r="F36" t="s">
        <v>447</v>
      </c>
      <c r="G36" t="s">
        <v>140</v>
      </c>
      <c r="H36" t="s">
        <v>448</v>
      </c>
      <c r="I36" t="s">
        <v>449</v>
      </c>
      <c r="J36" t="s">
        <v>450</v>
      </c>
      <c r="K36" t="s">
        <v>64</v>
      </c>
      <c r="L36" t="s">
        <v>451</v>
      </c>
      <c r="M36" s="13">
        <v>46004.472743055558</v>
      </c>
      <c r="N36" s="13">
        <v>46006.404166666667</v>
      </c>
      <c r="O36" t="s">
        <v>145</v>
      </c>
      <c r="P36" t="s">
        <v>146</v>
      </c>
      <c r="Q36" t="s">
        <v>281</v>
      </c>
      <c r="R36" t="s">
        <v>327</v>
      </c>
      <c r="S36" t="s">
        <v>112</v>
      </c>
      <c r="T36" t="s">
        <v>220</v>
      </c>
      <c r="V36" t="s">
        <v>452</v>
      </c>
      <c r="W36" t="s">
        <v>68</v>
      </c>
      <c r="Y36" t="s">
        <v>151</v>
      </c>
      <c r="Z36" t="s">
        <v>70</v>
      </c>
      <c r="AA36" t="s">
        <v>453</v>
      </c>
      <c r="AB36" s="14">
        <v>0</v>
      </c>
      <c r="AC36" s="14">
        <v>0</v>
      </c>
      <c r="AD36" s="14">
        <v>0</v>
      </c>
      <c r="AE36" s="14">
        <v>0</v>
      </c>
      <c r="AF36" s="14">
        <v>0</v>
      </c>
      <c r="AG36" s="14">
        <v>37905</v>
      </c>
      <c r="AH36" s="14">
        <v>37905</v>
      </c>
    </row>
    <row r="37" spans="1:34">
      <c r="A37" t="s">
        <v>72</v>
      </c>
      <c r="B37" t="s">
        <v>73</v>
      </c>
      <c r="C37" t="s">
        <v>74</v>
      </c>
      <c r="D37" t="s">
        <v>454</v>
      </c>
      <c r="E37" t="s">
        <v>455</v>
      </c>
      <c r="F37" t="s">
        <v>456</v>
      </c>
      <c r="G37" t="s">
        <v>140</v>
      </c>
      <c r="H37" t="s">
        <v>79</v>
      </c>
      <c r="I37" t="s">
        <v>457</v>
      </c>
      <c r="J37" t="s">
        <v>458</v>
      </c>
      <c r="K37" t="s">
        <v>64</v>
      </c>
      <c r="L37" t="s">
        <v>459</v>
      </c>
      <c r="M37" s="13">
        <v>46004.489155092589</v>
      </c>
      <c r="N37" s="13">
        <v>46013.40625</v>
      </c>
      <c r="O37" t="s">
        <v>145</v>
      </c>
      <c r="P37" t="s">
        <v>146</v>
      </c>
      <c r="Q37" t="s">
        <v>160</v>
      </c>
      <c r="R37" t="s">
        <v>161</v>
      </c>
      <c r="S37" t="s">
        <v>149</v>
      </c>
      <c r="T37" t="s">
        <v>149</v>
      </c>
      <c r="V37" t="s">
        <v>460</v>
      </c>
      <c r="W37" t="s">
        <v>68</v>
      </c>
      <c r="Y37" t="s">
        <v>125</v>
      </c>
      <c r="Z37" t="s">
        <v>70</v>
      </c>
      <c r="AA37" t="s">
        <v>163</v>
      </c>
      <c r="AB37" s="14">
        <v>0</v>
      </c>
      <c r="AC37" s="14">
        <v>0</v>
      </c>
      <c r="AD37" s="14">
        <v>0</v>
      </c>
      <c r="AE37" s="14">
        <v>0</v>
      </c>
      <c r="AF37" s="14">
        <v>0</v>
      </c>
      <c r="AG37" s="14">
        <v>37905</v>
      </c>
      <c r="AH37" s="14">
        <v>37905</v>
      </c>
    </row>
    <row r="38" spans="1:34">
      <c r="A38" t="s">
        <v>136</v>
      </c>
      <c r="B38" t="s">
        <v>73</v>
      </c>
      <c r="C38" t="s">
        <v>74</v>
      </c>
      <c r="D38" t="s">
        <v>461</v>
      </c>
      <c r="E38" t="s">
        <v>462</v>
      </c>
      <c r="F38" t="s">
        <v>463</v>
      </c>
      <c r="G38" t="s">
        <v>140</v>
      </c>
      <c r="H38" t="s">
        <v>464</v>
      </c>
      <c r="I38" t="s">
        <v>465</v>
      </c>
      <c r="J38" t="s">
        <v>466</v>
      </c>
      <c r="K38" t="s">
        <v>64</v>
      </c>
      <c r="L38" t="s">
        <v>467</v>
      </c>
      <c r="M38" s="13">
        <v>46004.492627314823</v>
      </c>
      <c r="N38" s="13">
        <v>46006.634027777778</v>
      </c>
      <c r="O38" t="s">
        <v>145</v>
      </c>
      <c r="P38" t="s">
        <v>146</v>
      </c>
      <c r="Q38" t="s">
        <v>160</v>
      </c>
      <c r="R38" t="s">
        <v>292</v>
      </c>
      <c r="S38" t="s">
        <v>149</v>
      </c>
      <c r="T38" t="s">
        <v>149</v>
      </c>
      <c r="V38" t="s">
        <v>468</v>
      </c>
      <c r="W38" t="s">
        <v>68</v>
      </c>
      <c r="Y38" t="s">
        <v>125</v>
      </c>
      <c r="Z38" t="s">
        <v>70</v>
      </c>
      <c r="AA38" t="s">
        <v>469</v>
      </c>
      <c r="AB38" s="14">
        <v>0</v>
      </c>
      <c r="AC38" s="14">
        <v>0</v>
      </c>
      <c r="AD38" s="14">
        <v>0</v>
      </c>
      <c r="AE38" s="14">
        <v>0</v>
      </c>
      <c r="AF38" s="14">
        <v>0</v>
      </c>
      <c r="AG38" s="14">
        <v>37905</v>
      </c>
      <c r="AH38" s="14">
        <v>37905</v>
      </c>
    </row>
    <row r="39" spans="1:34">
      <c r="A39" t="s">
        <v>72</v>
      </c>
      <c r="B39" t="s">
        <v>73</v>
      </c>
      <c r="C39" t="s">
        <v>74</v>
      </c>
      <c r="D39" t="s">
        <v>231</v>
      </c>
      <c r="E39" t="s">
        <v>470</v>
      </c>
      <c r="F39" t="s">
        <v>471</v>
      </c>
      <c r="G39" t="s">
        <v>140</v>
      </c>
      <c r="H39" t="s">
        <v>79</v>
      </c>
      <c r="I39" t="s">
        <v>234</v>
      </c>
      <c r="J39" t="s">
        <v>472</v>
      </c>
      <c r="K39" t="s">
        <v>64</v>
      </c>
      <c r="L39" t="s">
        <v>473</v>
      </c>
      <c r="M39" s="13">
        <v>46005.408576388887</v>
      </c>
      <c r="N39" s="13">
        <v>46007.404861111107</v>
      </c>
      <c r="O39" t="s">
        <v>145</v>
      </c>
      <c r="P39" t="s">
        <v>146</v>
      </c>
      <c r="Q39" t="s">
        <v>377</v>
      </c>
      <c r="R39" t="s">
        <v>378</v>
      </c>
      <c r="S39" t="s">
        <v>149</v>
      </c>
      <c r="T39" t="s">
        <v>149</v>
      </c>
      <c r="V39" t="s">
        <v>474</v>
      </c>
      <c r="W39" t="s">
        <v>68</v>
      </c>
      <c r="Y39" t="s">
        <v>151</v>
      </c>
      <c r="Z39" t="s">
        <v>70</v>
      </c>
      <c r="AA39" t="s">
        <v>239</v>
      </c>
      <c r="AB39" s="14">
        <v>0</v>
      </c>
      <c r="AC39" s="14">
        <v>0</v>
      </c>
      <c r="AD39" s="14">
        <v>0</v>
      </c>
      <c r="AE39" s="14">
        <v>0</v>
      </c>
      <c r="AF39" s="14">
        <v>0</v>
      </c>
      <c r="AG39" s="14">
        <v>37905</v>
      </c>
      <c r="AH39" s="14">
        <v>37905</v>
      </c>
    </row>
    <row r="40" spans="1:34">
      <c r="A40" t="s">
        <v>54</v>
      </c>
      <c r="B40" t="s">
        <v>55</v>
      </c>
      <c r="C40" t="s">
        <v>56</v>
      </c>
      <c r="D40" t="s">
        <v>57</v>
      </c>
      <c r="E40" t="s">
        <v>475</v>
      </c>
      <c r="F40" t="s">
        <v>476</v>
      </c>
      <c r="G40" t="s">
        <v>140</v>
      </c>
      <c r="H40" t="s">
        <v>62</v>
      </c>
      <c r="I40" t="s">
        <v>54</v>
      </c>
      <c r="J40" t="s">
        <v>477</v>
      </c>
      <c r="K40" t="s">
        <v>64</v>
      </c>
      <c r="L40" t="s">
        <v>478</v>
      </c>
      <c r="M40" s="13">
        <v>46004.49560185185</v>
      </c>
      <c r="N40" s="13">
        <v>46006.461805555547</v>
      </c>
      <c r="O40" t="s">
        <v>145</v>
      </c>
      <c r="P40" t="s">
        <v>146</v>
      </c>
      <c r="Q40" t="s">
        <v>160</v>
      </c>
      <c r="R40" t="s">
        <v>292</v>
      </c>
      <c r="S40" t="s">
        <v>178</v>
      </c>
      <c r="T40" t="s">
        <v>178</v>
      </c>
      <c r="U40" t="s">
        <v>427</v>
      </c>
      <c r="V40" t="s">
        <v>479</v>
      </c>
      <c r="W40" t="s">
        <v>99</v>
      </c>
      <c r="Y40" t="s">
        <v>69</v>
      </c>
      <c r="Z40" t="s">
        <v>70</v>
      </c>
      <c r="AA40" t="s">
        <v>230</v>
      </c>
      <c r="AB40" s="14">
        <v>1</v>
      </c>
      <c r="AC40" s="14">
        <v>0</v>
      </c>
      <c r="AD40" s="14">
        <v>0</v>
      </c>
      <c r="AE40" s="14">
        <v>0</v>
      </c>
      <c r="AF40" s="14">
        <v>0</v>
      </c>
      <c r="AG40" s="14">
        <v>65960</v>
      </c>
      <c r="AH40" s="14">
        <v>65960</v>
      </c>
    </row>
    <row r="41" spans="1:34">
      <c r="A41" t="s">
        <v>265</v>
      </c>
      <c r="B41" t="s">
        <v>104</v>
      </c>
      <c r="C41" t="s">
        <v>105</v>
      </c>
      <c r="D41" t="s">
        <v>480</v>
      </c>
      <c r="E41" t="s">
        <v>481</v>
      </c>
      <c r="F41" t="s">
        <v>482</v>
      </c>
      <c r="G41" t="s">
        <v>140</v>
      </c>
      <c r="H41" t="s">
        <v>109</v>
      </c>
      <c r="I41" t="s">
        <v>483</v>
      </c>
      <c r="J41" t="s">
        <v>484</v>
      </c>
      <c r="K41" t="s">
        <v>64</v>
      </c>
      <c r="L41" t="s">
        <v>485</v>
      </c>
      <c r="M41" s="13">
        <v>46006.433113425926</v>
      </c>
      <c r="N41" s="13">
        <v>46007.515277777777</v>
      </c>
      <c r="O41" t="s">
        <v>145</v>
      </c>
      <c r="P41" t="s">
        <v>146</v>
      </c>
      <c r="Q41" t="s">
        <v>147</v>
      </c>
      <c r="R41" t="s">
        <v>148</v>
      </c>
      <c r="S41" t="s">
        <v>112</v>
      </c>
      <c r="T41" t="s">
        <v>113</v>
      </c>
      <c r="U41" t="s">
        <v>179</v>
      </c>
      <c r="V41" t="s">
        <v>486</v>
      </c>
      <c r="W41" t="s">
        <v>99</v>
      </c>
      <c r="X41" t="s">
        <v>487</v>
      </c>
      <c r="Y41" t="s">
        <v>151</v>
      </c>
      <c r="Z41" t="s">
        <v>70</v>
      </c>
      <c r="AA41" t="s">
        <v>274</v>
      </c>
      <c r="AB41" s="14">
        <v>1</v>
      </c>
      <c r="AC41" s="14">
        <v>0</v>
      </c>
      <c r="AD41" s="14">
        <v>0</v>
      </c>
      <c r="AE41" s="14">
        <v>0</v>
      </c>
      <c r="AF41" s="14">
        <v>0</v>
      </c>
      <c r="AG41" s="14">
        <v>163814</v>
      </c>
      <c r="AH41" s="14">
        <v>163814</v>
      </c>
    </row>
    <row r="42" spans="1:34">
      <c r="A42" t="s">
        <v>72</v>
      </c>
      <c r="B42" t="s">
        <v>73</v>
      </c>
      <c r="C42" t="s">
        <v>74</v>
      </c>
      <c r="D42" t="s">
        <v>488</v>
      </c>
      <c r="E42" t="s">
        <v>489</v>
      </c>
      <c r="F42" t="s">
        <v>490</v>
      </c>
      <c r="G42" t="s">
        <v>140</v>
      </c>
      <c r="H42" t="s">
        <v>156</v>
      </c>
      <c r="I42" t="s">
        <v>491</v>
      </c>
      <c r="J42" t="s">
        <v>492</v>
      </c>
      <c r="K42" t="s">
        <v>64</v>
      </c>
      <c r="L42" t="s">
        <v>493</v>
      </c>
      <c r="M42" s="13">
        <v>46006.45648148148</v>
      </c>
      <c r="N42" s="13">
        <v>46013.736805555563</v>
      </c>
      <c r="O42" t="s">
        <v>145</v>
      </c>
      <c r="P42" t="s">
        <v>146</v>
      </c>
      <c r="Q42" t="s">
        <v>188</v>
      </c>
      <c r="R42" t="s">
        <v>161</v>
      </c>
      <c r="S42" t="s">
        <v>112</v>
      </c>
      <c r="T42" t="s">
        <v>220</v>
      </c>
      <c r="U42" t="s">
        <v>179</v>
      </c>
      <c r="V42" t="s">
        <v>494</v>
      </c>
      <c r="W42" t="s">
        <v>99</v>
      </c>
      <c r="X42" t="s">
        <v>495</v>
      </c>
      <c r="Y42" t="s">
        <v>101</v>
      </c>
      <c r="Z42" t="s">
        <v>70</v>
      </c>
      <c r="AA42" t="s">
        <v>496</v>
      </c>
      <c r="AB42" s="14">
        <v>1</v>
      </c>
      <c r="AC42" s="14">
        <v>0</v>
      </c>
      <c r="AD42" s="14">
        <v>0</v>
      </c>
      <c r="AE42" s="14">
        <v>0</v>
      </c>
      <c r="AF42" s="14">
        <v>0</v>
      </c>
      <c r="AG42" s="14">
        <v>275728</v>
      </c>
      <c r="AH42" s="14">
        <v>275728</v>
      </c>
    </row>
    <row r="43" spans="1:34">
      <c r="A43" t="s">
        <v>265</v>
      </c>
      <c r="B43" t="s">
        <v>104</v>
      </c>
      <c r="C43" t="s">
        <v>105</v>
      </c>
      <c r="D43" t="s">
        <v>372</v>
      </c>
      <c r="E43" t="s">
        <v>497</v>
      </c>
      <c r="F43" t="s">
        <v>498</v>
      </c>
      <c r="G43" t="s">
        <v>140</v>
      </c>
      <c r="H43" t="s">
        <v>109</v>
      </c>
      <c r="I43" t="s">
        <v>265</v>
      </c>
      <c r="J43" t="s">
        <v>499</v>
      </c>
      <c r="K43" t="s">
        <v>64</v>
      </c>
      <c r="L43" t="s">
        <v>500</v>
      </c>
      <c r="M43" s="13">
        <v>46006.609942129631</v>
      </c>
      <c r="N43" s="13">
        <v>46007.40625</v>
      </c>
      <c r="O43" t="s">
        <v>145</v>
      </c>
      <c r="P43" t="s">
        <v>146</v>
      </c>
      <c r="Q43" t="s">
        <v>377</v>
      </c>
      <c r="R43" t="s">
        <v>378</v>
      </c>
      <c r="S43" t="s">
        <v>95</v>
      </c>
      <c r="T43" t="s">
        <v>379</v>
      </c>
      <c r="U43" t="s">
        <v>179</v>
      </c>
      <c r="V43" t="s">
        <v>501</v>
      </c>
      <c r="W43" t="s">
        <v>99</v>
      </c>
      <c r="X43" t="s">
        <v>502</v>
      </c>
      <c r="Y43" t="s">
        <v>69</v>
      </c>
      <c r="Z43" t="s">
        <v>70</v>
      </c>
      <c r="AA43" t="s">
        <v>274</v>
      </c>
      <c r="AB43" s="14">
        <v>1</v>
      </c>
      <c r="AC43" s="14">
        <v>0</v>
      </c>
      <c r="AD43" s="14">
        <v>0</v>
      </c>
      <c r="AE43" s="14">
        <v>0</v>
      </c>
      <c r="AF43" s="14">
        <v>0</v>
      </c>
      <c r="AG43" s="14">
        <v>65960</v>
      </c>
      <c r="AH43" s="14">
        <v>65960</v>
      </c>
    </row>
    <row r="44" spans="1:34">
      <c r="A44" t="s">
        <v>211</v>
      </c>
      <c r="B44" t="s">
        <v>212</v>
      </c>
      <c r="C44" t="s">
        <v>213</v>
      </c>
      <c r="D44" t="s">
        <v>352</v>
      </c>
      <c r="E44" t="s">
        <v>503</v>
      </c>
      <c r="F44" t="s">
        <v>504</v>
      </c>
      <c r="G44" t="s">
        <v>140</v>
      </c>
      <c r="H44" t="s">
        <v>217</v>
      </c>
      <c r="I44" t="s">
        <v>355</v>
      </c>
      <c r="J44" t="s">
        <v>505</v>
      </c>
      <c r="K44" t="s">
        <v>64</v>
      </c>
      <c r="L44" t="s">
        <v>506</v>
      </c>
      <c r="M44" s="13">
        <v>46006.642002314817</v>
      </c>
      <c r="N44" s="13">
        <v>46014.486111111109</v>
      </c>
      <c r="O44" t="s">
        <v>145</v>
      </c>
      <c r="P44" t="s">
        <v>146</v>
      </c>
      <c r="Q44" t="s">
        <v>281</v>
      </c>
      <c r="R44" t="s">
        <v>282</v>
      </c>
      <c r="S44" t="s">
        <v>112</v>
      </c>
      <c r="T44" t="s">
        <v>220</v>
      </c>
      <c r="V44" t="s">
        <v>507</v>
      </c>
      <c r="W44" t="s">
        <v>68</v>
      </c>
      <c r="Y44" t="s">
        <v>125</v>
      </c>
      <c r="Z44" t="s">
        <v>70</v>
      </c>
      <c r="AA44" t="s">
        <v>508</v>
      </c>
      <c r="AB44" s="14">
        <v>0</v>
      </c>
      <c r="AC44" s="14">
        <v>0</v>
      </c>
      <c r="AD44" s="14">
        <v>0</v>
      </c>
      <c r="AE44" s="14">
        <v>0</v>
      </c>
      <c r="AF44" s="14">
        <v>0</v>
      </c>
      <c r="AG44" s="14">
        <v>37905</v>
      </c>
      <c r="AH44" s="14">
        <v>37905</v>
      </c>
    </row>
    <row r="45" spans="1:34">
      <c r="A45" t="s">
        <v>509</v>
      </c>
      <c r="B45" t="s">
        <v>85</v>
      </c>
      <c r="C45" t="s">
        <v>86</v>
      </c>
      <c r="D45" t="s">
        <v>510</v>
      </c>
      <c r="E45" t="s">
        <v>511</v>
      </c>
      <c r="F45" t="s">
        <v>512</v>
      </c>
      <c r="G45" t="s">
        <v>140</v>
      </c>
      <c r="H45" t="s">
        <v>513</v>
      </c>
      <c r="I45" t="s">
        <v>514</v>
      </c>
      <c r="J45" t="s">
        <v>515</v>
      </c>
      <c r="K45" t="s">
        <v>64</v>
      </c>
      <c r="L45" t="s">
        <v>516</v>
      </c>
      <c r="M45" s="13">
        <v>46006.685474537036</v>
      </c>
      <c r="N45" s="13">
        <v>46008.590277777781</v>
      </c>
      <c r="O45" t="s">
        <v>145</v>
      </c>
      <c r="P45" t="s">
        <v>146</v>
      </c>
      <c r="Q45" t="s">
        <v>368</v>
      </c>
      <c r="R45" t="s">
        <v>369</v>
      </c>
      <c r="S45" t="s">
        <v>112</v>
      </c>
      <c r="T45" t="s">
        <v>113</v>
      </c>
      <c r="U45" t="s">
        <v>179</v>
      </c>
      <c r="V45" t="s">
        <v>517</v>
      </c>
      <c r="W45" t="s">
        <v>99</v>
      </c>
      <c r="X45" t="s">
        <v>518</v>
      </c>
      <c r="Y45" t="s">
        <v>101</v>
      </c>
      <c r="Z45" t="s">
        <v>70</v>
      </c>
      <c r="AA45" t="s">
        <v>519</v>
      </c>
      <c r="AB45" s="14">
        <v>1</v>
      </c>
      <c r="AC45" s="14">
        <v>0</v>
      </c>
      <c r="AD45" s="14">
        <v>0</v>
      </c>
      <c r="AE45" s="14">
        <v>0</v>
      </c>
      <c r="AF45" s="14">
        <v>0</v>
      </c>
      <c r="AG45" s="14">
        <v>275728</v>
      </c>
      <c r="AH45" s="14">
        <v>275728</v>
      </c>
    </row>
    <row r="46" spans="1:34">
      <c r="A46" t="s">
        <v>54</v>
      </c>
      <c r="B46" t="s">
        <v>55</v>
      </c>
      <c r="C46" t="s">
        <v>56</v>
      </c>
      <c r="D46" t="s">
        <v>520</v>
      </c>
      <c r="E46" t="s">
        <v>521</v>
      </c>
      <c r="F46" t="s">
        <v>522</v>
      </c>
      <c r="G46" t="s">
        <v>140</v>
      </c>
      <c r="H46" t="s">
        <v>523</v>
      </c>
      <c r="I46" t="s">
        <v>524</v>
      </c>
      <c r="J46" t="s">
        <v>525</v>
      </c>
      <c r="K46" t="s">
        <v>64</v>
      </c>
      <c r="L46" t="s">
        <v>526</v>
      </c>
      <c r="M46" s="13">
        <v>46007.374108796299</v>
      </c>
      <c r="N46" s="13">
        <v>46007.429166666669</v>
      </c>
      <c r="O46" t="s">
        <v>145</v>
      </c>
      <c r="P46" t="s">
        <v>146</v>
      </c>
      <c r="Q46" t="s">
        <v>147</v>
      </c>
      <c r="R46" t="s">
        <v>148</v>
      </c>
      <c r="S46" t="s">
        <v>149</v>
      </c>
      <c r="T46" t="s">
        <v>149</v>
      </c>
      <c r="V46" t="s">
        <v>527</v>
      </c>
      <c r="W46" t="s">
        <v>68</v>
      </c>
      <c r="Y46" t="s">
        <v>101</v>
      </c>
      <c r="Z46" t="s">
        <v>70</v>
      </c>
      <c r="AA46" t="s">
        <v>294</v>
      </c>
      <c r="AB46" s="14">
        <v>0</v>
      </c>
      <c r="AC46" s="14">
        <v>0</v>
      </c>
      <c r="AD46" s="14">
        <v>0</v>
      </c>
      <c r="AE46" s="14">
        <v>0</v>
      </c>
      <c r="AF46" s="14">
        <v>0</v>
      </c>
      <c r="AG46" s="14">
        <v>37905</v>
      </c>
      <c r="AH46" s="14">
        <v>37905</v>
      </c>
    </row>
    <row r="47" spans="1:34">
      <c r="A47" t="s">
        <v>444</v>
      </c>
      <c r="B47" t="s">
        <v>212</v>
      </c>
      <c r="C47" t="s">
        <v>213</v>
      </c>
      <c r="D47" t="s">
        <v>528</v>
      </c>
      <c r="E47" t="s">
        <v>529</v>
      </c>
      <c r="F47" t="s">
        <v>530</v>
      </c>
      <c r="G47" t="s">
        <v>140</v>
      </c>
      <c r="H47" t="s">
        <v>448</v>
      </c>
      <c r="I47" t="s">
        <v>531</v>
      </c>
      <c r="J47" t="s">
        <v>532</v>
      </c>
      <c r="K47" t="s">
        <v>64</v>
      </c>
      <c r="L47" t="s">
        <v>533</v>
      </c>
      <c r="M47" s="13">
        <v>46007.616481481477</v>
      </c>
      <c r="N47" s="13">
        <v>46008.42291666667</v>
      </c>
      <c r="O47" t="s">
        <v>145</v>
      </c>
      <c r="P47" t="s">
        <v>146</v>
      </c>
      <c r="Q47" t="s">
        <v>160</v>
      </c>
      <c r="R47" t="s">
        <v>292</v>
      </c>
      <c r="S47" t="s">
        <v>178</v>
      </c>
      <c r="T47" t="s">
        <v>149</v>
      </c>
      <c r="U47" t="s">
        <v>179</v>
      </c>
      <c r="V47" t="s">
        <v>534</v>
      </c>
      <c r="W47" t="s">
        <v>99</v>
      </c>
      <c r="X47" t="s">
        <v>535</v>
      </c>
      <c r="Y47" t="s">
        <v>69</v>
      </c>
      <c r="Z47" t="s">
        <v>70</v>
      </c>
      <c r="AA47" t="s">
        <v>536</v>
      </c>
      <c r="AB47" s="14">
        <v>1</v>
      </c>
      <c r="AC47" s="14">
        <v>0</v>
      </c>
      <c r="AD47" s="14">
        <v>0</v>
      </c>
      <c r="AE47" s="14">
        <v>0</v>
      </c>
      <c r="AF47" s="14">
        <v>0</v>
      </c>
      <c r="AG47" s="14">
        <v>65960</v>
      </c>
      <c r="AH47" s="14">
        <v>65960</v>
      </c>
    </row>
    <row r="48" spans="1:34">
      <c r="A48" t="s">
        <v>240</v>
      </c>
      <c r="B48" t="s">
        <v>241</v>
      </c>
      <c r="C48" t="s">
        <v>242</v>
      </c>
      <c r="D48" t="s">
        <v>243</v>
      </c>
      <c r="E48" t="s">
        <v>537</v>
      </c>
      <c r="F48" t="s">
        <v>538</v>
      </c>
      <c r="G48" t="s">
        <v>140</v>
      </c>
      <c r="H48" t="s">
        <v>241</v>
      </c>
      <c r="I48" t="s">
        <v>240</v>
      </c>
      <c r="J48" t="s">
        <v>539</v>
      </c>
      <c r="K48" t="s">
        <v>64</v>
      </c>
      <c r="L48" t="s">
        <v>540</v>
      </c>
      <c r="M48" s="13">
        <v>46007.623368055552</v>
      </c>
      <c r="N48" s="13">
        <v>46008.470138888893</v>
      </c>
      <c r="O48" t="s">
        <v>145</v>
      </c>
      <c r="P48" t="s">
        <v>146</v>
      </c>
      <c r="Q48" t="s">
        <v>160</v>
      </c>
      <c r="R48" t="s">
        <v>161</v>
      </c>
      <c r="S48" t="s">
        <v>95</v>
      </c>
      <c r="T48" t="s">
        <v>541</v>
      </c>
      <c r="U48" t="s">
        <v>179</v>
      </c>
      <c r="V48" t="s">
        <v>542</v>
      </c>
      <c r="W48" t="s">
        <v>99</v>
      </c>
      <c r="X48" t="s">
        <v>543</v>
      </c>
      <c r="Y48" t="s">
        <v>69</v>
      </c>
      <c r="Z48" t="s">
        <v>70</v>
      </c>
      <c r="AA48" t="s">
        <v>544</v>
      </c>
      <c r="AB48" s="14">
        <v>1</v>
      </c>
      <c r="AC48" s="14">
        <v>0</v>
      </c>
      <c r="AD48" s="14">
        <v>0</v>
      </c>
      <c r="AE48" s="14">
        <v>0</v>
      </c>
      <c r="AF48" s="14">
        <v>0</v>
      </c>
      <c r="AG48" s="14">
        <v>65960</v>
      </c>
      <c r="AH48" s="14">
        <v>65960</v>
      </c>
    </row>
    <row r="49" spans="1:34">
      <c r="A49" t="s">
        <v>103</v>
      </c>
      <c r="B49" t="s">
        <v>104</v>
      </c>
      <c r="C49" t="s">
        <v>105</v>
      </c>
      <c r="D49" t="s">
        <v>545</v>
      </c>
      <c r="E49" t="s">
        <v>546</v>
      </c>
      <c r="F49" t="s">
        <v>547</v>
      </c>
      <c r="G49" t="s">
        <v>140</v>
      </c>
      <c r="H49" t="s">
        <v>109</v>
      </c>
      <c r="I49" t="s">
        <v>548</v>
      </c>
      <c r="J49" t="s">
        <v>549</v>
      </c>
      <c r="K49" t="s">
        <v>64</v>
      </c>
      <c r="L49" t="s">
        <v>550</v>
      </c>
      <c r="M49" s="13">
        <v>46008.333333333343</v>
      </c>
      <c r="N49" s="13">
        <v>46008.675694444442</v>
      </c>
      <c r="O49" t="s">
        <v>145</v>
      </c>
      <c r="P49" t="s">
        <v>146</v>
      </c>
      <c r="Q49" t="s">
        <v>160</v>
      </c>
      <c r="R49" t="s">
        <v>161</v>
      </c>
      <c r="S49" t="s">
        <v>149</v>
      </c>
      <c r="T49" t="s">
        <v>149</v>
      </c>
      <c r="U49" t="s">
        <v>179</v>
      </c>
      <c r="V49" t="s">
        <v>551</v>
      </c>
      <c r="W49" t="s">
        <v>99</v>
      </c>
      <c r="X49" t="s">
        <v>552</v>
      </c>
      <c r="Y49" t="s">
        <v>69</v>
      </c>
      <c r="Z49" t="s">
        <v>70</v>
      </c>
      <c r="AA49" t="s">
        <v>553</v>
      </c>
      <c r="AB49" s="14">
        <v>1</v>
      </c>
      <c r="AC49" s="14">
        <v>0</v>
      </c>
      <c r="AD49" s="14">
        <v>0</v>
      </c>
      <c r="AE49" s="14">
        <v>0</v>
      </c>
      <c r="AF49" s="14">
        <v>0</v>
      </c>
      <c r="AG49" s="14">
        <v>65960</v>
      </c>
      <c r="AH49" s="14">
        <v>65960</v>
      </c>
    </row>
    <row r="50" spans="1:34">
      <c r="A50" t="s">
        <v>54</v>
      </c>
      <c r="B50" t="s">
        <v>55</v>
      </c>
      <c r="C50" t="s">
        <v>56</v>
      </c>
      <c r="D50" t="s">
        <v>554</v>
      </c>
      <c r="E50" t="s">
        <v>555</v>
      </c>
      <c r="F50" t="s">
        <v>556</v>
      </c>
      <c r="G50" t="s">
        <v>140</v>
      </c>
      <c r="H50" t="s">
        <v>62</v>
      </c>
      <c r="I50" t="s">
        <v>557</v>
      </c>
      <c r="J50" t="s">
        <v>558</v>
      </c>
      <c r="K50" t="s">
        <v>64</v>
      </c>
      <c r="L50" t="s">
        <v>559</v>
      </c>
      <c r="M50" s="13">
        <v>46008.333333333343</v>
      </c>
      <c r="N50" s="13">
        <v>46008.530555555553</v>
      </c>
      <c r="O50" t="s">
        <v>145</v>
      </c>
      <c r="P50" t="s">
        <v>146</v>
      </c>
      <c r="Q50" t="s">
        <v>368</v>
      </c>
      <c r="R50" t="s">
        <v>560</v>
      </c>
      <c r="S50" t="s">
        <v>149</v>
      </c>
      <c r="T50" t="s">
        <v>149</v>
      </c>
      <c r="U50" t="s">
        <v>179</v>
      </c>
      <c r="V50" t="s">
        <v>561</v>
      </c>
      <c r="W50" t="s">
        <v>99</v>
      </c>
      <c r="X50" t="s">
        <v>562</v>
      </c>
      <c r="Y50" t="s">
        <v>151</v>
      </c>
      <c r="Z50" t="s">
        <v>70</v>
      </c>
      <c r="AA50" t="s">
        <v>563</v>
      </c>
      <c r="AB50" s="14">
        <v>1</v>
      </c>
      <c r="AC50" s="14">
        <v>0</v>
      </c>
      <c r="AD50" s="14">
        <v>0</v>
      </c>
      <c r="AE50" s="14">
        <v>0</v>
      </c>
      <c r="AF50" s="14">
        <v>0</v>
      </c>
      <c r="AG50" s="14">
        <v>163814</v>
      </c>
      <c r="AH50" s="14">
        <v>163814</v>
      </c>
    </row>
    <row r="51" spans="1:34">
      <c r="A51" t="s">
        <v>564</v>
      </c>
      <c r="B51" t="s">
        <v>55</v>
      </c>
      <c r="C51" t="s">
        <v>565</v>
      </c>
      <c r="D51" t="s">
        <v>566</v>
      </c>
      <c r="E51" t="s">
        <v>567</v>
      </c>
      <c r="F51" t="s">
        <v>568</v>
      </c>
      <c r="G51" t="s">
        <v>140</v>
      </c>
      <c r="H51" t="s">
        <v>569</v>
      </c>
      <c r="I51" t="s">
        <v>570</v>
      </c>
      <c r="J51" t="s">
        <v>571</v>
      </c>
      <c r="K51" t="s">
        <v>64</v>
      </c>
      <c r="L51" t="s">
        <v>572</v>
      </c>
      <c r="M51" s="13">
        <v>46008.655856481477</v>
      </c>
      <c r="N51" s="13">
        <v>46009.422222222223</v>
      </c>
      <c r="O51" t="s">
        <v>145</v>
      </c>
      <c r="P51" t="s">
        <v>146</v>
      </c>
      <c r="Q51" t="s">
        <v>147</v>
      </c>
      <c r="R51" t="s">
        <v>148</v>
      </c>
      <c r="S51" t="s">
        <v>95</v>
      </c>
      <c r="T51" t="s">
        <v>96</v>
      </c>
      <c r="U51" t="s">
        <v>179</v>
      </c>
      <c r="V51" t="s">
        <v>573</v>
      </c>
      <c r="W51" t="s">
        <v>99</v>
      </c>
      <c r="X51" t="s">
        <v>574</v>
      </c>
      <c r="Y51" t="s">
        <v>151</v>
      </c>
      <c r="Z51" t="s">
        <v>70</v>
      </c>
      <c r="AA51" t="s">
        <v>575</v>
      </c>
      <c r="AB51" s="14">
        <v>1</v>
      </c>
      <c r="AC51" s="14">
        <v>0</v>
      </c>
      <c r="AD51" s="14">
        <v>0</v>
      </c>
      <c r="AE51" s="14">
        <v>0</v>
      </c>
      <c r="AF51" s="14">
        <v>0</v>
      </c>
      <c r="AG51" s="14">
        <v>163814</v>
      </c>
      <c r="AH51" s="14">
        <v>163814</v>
      </c>
    </row>
    <row r="52" spans="1:34">
      <c r="A52" t="s">
        <v>265</v>
      </c>
      <c r="B52" t="s">
        <v>104</v>
      </c>
      <c r="C52" t="s">
        <v>105</v>
      </c>
      <c r="D52" t="s">
        <v>576</v>
      </c>
      <c r="E52" t="s">
        <v>577</v>
      </c>
      <c r="F52" t="s">
        <v>578</v>
      </c>
      <c r="G52" t="s">
        <v>140</v>
      </c>
      <c r="H52" t="s">
        <v>109</v>
      </c>
      <c r="I52" t="s">
        <v>579</v>
      </c>
      <c r="J52" t="s">
        <v>580</v>
      </c>
      <c r="K52" t="s">
        <v>64</v>
      </c>
      <c r="L52" t="s">
        <v>581</v>
      </c>
      <c r="M52" s="13">
        <v>46008.655034722222</v>
      </c>
      <c r="N52" s="13">
        <v>46010.527083333327</v>
      </c>
      <c r="O52" t="s">
        <v>145</v>
      </c>
      <c r="P52" t="s">
        <v>146</v>
      </c>
      <c r="Q52" t="s">
        <v>147</v>
      </c>
      <c r="R52" t="s">
        <v>148</v>
      </c>
      <c r="S52" t="s">
        <v>149</v>
      </c>
      <c r="T52" t="s">
        <v>149</v>
      </c>
      <c r="U52" t="s">
        <v>179</v>
      </c>
      <c r="V52" t="s">
        <v>582</v>
      </c>
      <c r="W52" t="s">
        <v>99</v>
      </c>
      <c r="X52" t="s">
        <v>583</v>
      </c>
      <c r="Y52" t="s">
        <v>151</v>
      </c>
      <c r="Z52" t="s">
        <v>70</v>
      </c>
      <c r="AA52" t="s">
        <v>274</v>
      </c>
      <c r="AB52" s="14">
        <v>1</v>
      </c>
      <c r="AC52" s="14">
        <v>0</v>
      </c>
      <c r="AD52" s="14">
        <v>0</v>
      </c>
      <c r="AE52" s="14">
        <v>0</v>
      </c>
      <c r="AF52" s="14">
        <v>0</v>
      </c>
      <c r="AG52" s="14">
        <v>163814</v>
      </c>
      <c r="AH52" s="14">
        <v>163814</v>
      </c>
    </row>
    <row r="53" spans="1:34">
      <c r="A53" t="s">
        <v>103</v>
      </c>
      <c r="B53" t="s">
        <v>104</v>
      </c>
      <c r="C53" t="s">
        <v>105</v>
      </c>
      <c r="D53" t="s">
        <v>584</v>
      </c>
      <c r="E53" t="s">
        <v>585</v>
      </c>
      <c r="F53" t="s">
        <v>586</v>
      </c>
      <c r="G53" t="s">
        <v>140</v>
      </c>
      <c r="H53" t="s">
        <v>109</v>
      </c>
      <c r="I53" t="s">
        <v>587</v>
      </c>
      <c r="J53" t="s">
        <v>588</v>
      </c>
      <c r="K53" t="s">
        <v>64</v>
      </c>
      <c r="L53" t="s">
        <v>589</v>
      </c>
      <c r="M53" s="13">
        <v>46009.402546296304</v>
      </c>
      <c r="N53" s="13">
        <v>46009.753472222219</v>
      </c>
      <c r="O53" t="s">
        <v>145</v>
      </c>
      <c r="P53" t="s">
        <v>146</v>
      </c>
      <c r="Q53" t="s">
        <v>160</v>
      </c>
      <c r="R53" t="s">
        <v>292</v>
      </c>
      <c r="S53" t="s">
        <v>178</v>
      </c>
      <c r="T53" t="s">
        <v>178</v>
      </c>
      <c r="U53" t="s">
        <v>179</v>
      </c>
      <c r="V53" t="s">
        <v>590</v>
      </c>
      <c r="W53" t="s">
        <v>99</v>
      </c>
      <c r="X53" t="s">
        <v>591</v>
      </c>
      <c r="Y53" t="s">
        <v>125</v>
      </c>
      <c r="Z53" t="s">
        <v>70</v>
      </c>
      <c r="AA53" t="s">
        <v>553</v>
      </c>
      <c r="AB53" s="14">
        <v>1</v>
      </c>
      <c r="AC53" s="14">
        <v>0</v>
      </c>
      <c r="AD53" s="14">
        <v>0</v>
      </c>
      <c r="AE53" s="14">
        <v>0</v>
      </c>
      <c r="AF53" s="14">
        <v>0</v>
      </c>
      <c r="AG53" s="14">
        <v>479590</v>
      </c>
      <c r="AH53" s="14">
        <v>479590</v>
      </c>
    </row>
    <row r="54" spans="1:34">
      <c r="A54" t="s">
        <v>136</v>
      </c>
      <c r="B54" t="s">
        <v>73</v>
      </c>
      <c r="C54" t="s">
        <v>74</v>
      </c>
      <c r="D54" t="s">
        <v>137</v>
      </c>
      <c r="E54" t="s">
        <v>592</v>
      </c>
      <c r="F54" t="s">
        <v>593</v>
      </c>
      <c r="G54" t="s">
        <v>140</v>
      </c>
      <c r="H54" t="s">
        <v>141</v>
      </c>
      <c r="I54" t="s">
        <v>142</v>
      </c>
      <c r="J54" t="s">
        <v>594</v>
      </c>
      <c r="K54" t="s">
        <v>64</v>
      </c>
      <c r="L54" t="s">
        <v>595</v>
      </c>
      <c r="M54" s="13">
        <v>46009.585312499999</v>
      </c>
      <c r="N54" s="13">
        <v>46009.679166666669</v>
      </c>
      <c r="O54" t="s">
        <v>145</v>
      </c>
      <c r="P54" t="s">
        <v>146</v>
      </c>
      <c r="Q54" t="s">
        <v>188</v>
      </c>
      <c r="R54" t="s">
        <v>161</v>
      </c>
      <c r="S54" t="s">
        <v>149</v>
      </c>
      <c r="T54" t="s">
        <v>149</v>
      </c>
      <c r="U54" t="s">
        <v>179</v>
      </c>
      <c r="V54" t="s">
        <v>596</v>
      </c>
      <c r="W54" t="s">
        <v>99</v>
      </c>
      <c r="X54" t="s">
        <v>597</v>
      </c>
      <c r="Y54" t="s">
        <v>151</v>
      </c>
      <c r="Z54" t="s">
        <v>70</v>
      </c>
      <c r="AA54" t="s">
        <v>469</v>
      </c>
      <c r="AB54" s="14">
        <v>1</v>
      </c>
      <c r="AC54" s="14">
        <v>0</v>
      </c>
      <c r="AD54" s="14">
        <v>0</v>
      </c>
      <c r="AE54" s="14">
        <v>0</v>
      </c>
      <c r="AF54" s="14">
        <v>0</v>
      </c>
      <c r="AG54" s="14">
        <v>163814</v>
      </c>
      <c r="AH54" s="14">
        <v>163814</v>
      </c>
    </row>
    <row r="55" spans="1:34">
      <c r="A55" t="s">
        <v>564</v>
      </c>
      <c r="B55" t="s">
        <v>55</v>
      </c>
      <c r="C55" t="s">
        <v>565</v>
      </c>
      <c r="D55" t="s">
        <v>598</v>
      </c>
      <c r="E55" t="s">
        <v>599</v>
      </c>
      <c r="F55" t="s">
        <v>600</v>
      </c>
      <c r="G55" t="s">
        <v>140</v>
      </c>
      <c r="H55" t="s">
        <v>62</v>
      </c>
      <c r="I55" t="s">
        <v>601</v>
      </c>
      <c r="J55" t="s">
        <v>602</v>
      </c>
      <c r="K55" t="s">
        <v>64</v>
      </c>
      <c r="L55" t="s">
        <v>603</v>
      </c>
      <c r="M55" s="13">
        <v>46009.670891203707</v>
      </c>
      <c r="N55" s="13">
        <v>46010.556250000001</v>
      </c>
      <c r="O55" t="s">
        <v>145</v>
      </c>
      <c r="P55" t="s">
        <v>146</v>
      </c>
      <c r="Q55" t="s">
        <v>147</v>
      </c>
      <c r="R55" t="s">
        <v>148</v>
      </c>
      <c r="S55" t="s">
        <v>149</v>
      </c>
      <c r="T55" t="s">
        <v>149</v>
      </c>
      <c r="U55" t="s">
        <v>179</v>
      </c>
      <c r="V55" t="s">
        <v>604</v>
      </c>
      <c r="W55" t="s">
        <v>99</v>
      </c>
      <c r="X55" t="s">
        <v>605</v>
      </c>
      <c r="Y55" t="s">
        <v>151</v>
      </c>
      <c r="Z55" t="s">
        <v>70</v>
      </c>
      <c r="AA55" t="s">
        <v>606</v>
      </c>
      <c r="AB55" s="14">
        <v>1</v>
      </c>
      <c r="AC55" s="14">
        <v>0</v>
      </c>
      <c r="AD55" s="14">
        <v>0</v>
      </c>
      <c r="AE55" s="14">
        <v>0</v>
      </c>
      <c r="AF55" s="14">
        <v>0</v>
      </c>
      <c r="AG55" s="14">
        <v>163814</v>
      </c>
      <c r="AH55" s="14">
        <v>163814</v>
      </c>
    </row>
    <row r="56" spans="1:34">
      <c r="A56" t="s">
        <v>103</v>
      </c>
      <c r="B56" t="s">
        <v>104</v>
      </c>
      <c r="C56" t="s">
        <v>105</v>
      </c>
      <c r="D56" t="s">
        <v>106</v>
      </c>
      <c r="E56" t="s">
        <v>607</v>
      </c>
      <c r="F56" t="s">
        <v>608</v>
      </c>
      <c r="G56" t="s">
        <v>140</v>
      </c>
      <c r="H56" t="s">
        <v>109</v>
      </c>
      <c r="I56" t="s">
        <v>103</v>
      </c>
      <c r="J56" t="s">
        <v>609</v>
      </c>
      <c r="K56" t="s">
        <v>64</v>
      </c>
      <c r="L56" t="s">
        <v>610</v>
      </c>
      <c r="M56" s="13">
        <v>46009.701886574083</v>
      </c>
      <c r="N56" s="13">
        <v>46010.672222222223</v>
      </c>
      <c r="O56" t="s">
        <v>145</v>
      </c>
      <c r="P56" t="s">
        <v>146</v>
      </c>
      <c r="Q56" t="s">
        <v>160</v>
      </c>
      <c r="R56" t="s">
        <v>292</v>
      </c>
      <c r="S56" t="s">
        <v>112</v>
      </c>
      <c r="T56" t="s">
        <v>220</v>
      </c>
      <c r="U56" t="s">
        <v>179</v>
      </c>
      <c r="V56" t="s">
        <v>611</v>
      </c>
      <c r="W56" t="s">
        <v>99</v>
      </c>
      <c r="X56" t="s">
        <v>612</v>
      </c>
      <c r="Y56" t="s">
        <v>69</v>
      </c>
      <c r="Z56" t="s">
        <v>70</v>
      </c>
      <c r="AA56" t="s">
        <v>613</v>
      </c>
      <c r="AB56" s="14">
        <v>1</v>
      </c>
      <c r="AC56" s="14">
        <v>0</v>
      </c>
      <c r="AD56" s="14">
        <v>0</v>
      </c>
      <c r="AE56" s="14">
        <v>0</v>
      </c>
      <c r="AF56" s="14">
        <v>0</v>
      </c>
      <c r="AG56" s="14">
        <v>65960</v>
      </c>
      <c r="AH56" s="14">
        <v>65960</v>
      </c>
    </row>
    <row r="57" spans="1:34">
      <c r="A57" t="s">
        <v>265</v>
      </c>
      <c r="B57" t="s">
        <v>104</v>
      </c>
      <c r="C57" t="s">
        <v>105</v>
      </c>
      <c r="D57" t="s">
        <v>614</v>
      </c>
      <c r="E57" t="s">
        <v>615</v>
      </c>
      <c r="F57" t="s">
        <v>616</v>
      </c>
      <c r="G57" t="s">
        <v>140</v>
      </c>
      <c r="H57" t="s">
        <v>617</v>
      </c>
      <c r="I57" t="s">
        <v>618</v>
      </c>
      <c r="J57" t="s">
        <v>619</v>
      </c>
      <c r="K57" t="s">
        <v>64</v>
      </c>
      <c r="L57" t="s">
        <v>620</v>
      </c>
      <c r="M57" s="13">
        <v>46010.333333333343</v>
      </c>
      <c r="N57" s="13">
        <v>46010.690972222219</v>
      </c>
      <c r="O57" t="s">
        <v>145</v>
      </c>
      <c r="P57" t="s">
        <v>146</v>
      </c>
      <c r="Q57" t="s">
        <v>147</v>
      </c>
      <c r="R57" t="s">
        <v>148</v>
      </c>
      <c r="S57" t="s">
        <v>112</v>
      </c>
      <c r="T57" t="s">
        <v>113</v>
      </c>
      <c r="U57" t="s">
        <v>179</v>
      </c>
      <c r="V57" t="s">
        <v>621</v>
      </c>
      <c r="W57" t="s">
        <v>99</v>
      </c>
      <c r="X57" t="s">
        <v>622</v>
      </c>
      <c r="Y57" t="s">
        <v>623</v>
      </c>
      <c r="Z57" t="s">
        <v>624</v>
      </c>
      <c r="AA57" t="s">
        <v>274</v>
      </c>
      <c r="AB57" s="14">
        <v>1</v>
      </c>
      <c r="AC57" s="14">
        <v>0</v>
      </c>
      <c r="AD57" s="14">
        <v>0</v>
      </c>
      <c r="AE57" s="14">
        <v>0</v>
      </c>
      <c r="AF57" s="14">
        <v>0</v>
      </c>
      <c r="AG57" s="14">
        <v>479590</v>
      </c>
      <c r="AH57" s="14">
        <v>479590</v>
      </c>
    </row>
    <row r="58" spans="1:34">
      <c r="A58" t="s">
        <v>419</v>
      </c>
      <c r="B58" t="s">
        <v>73</v>
      </c>
      <c r="C58" t="s">
        <v>74</v>
      </c>
      <c r="D58" t="s">
        <v>420</v>
      </c>
      <c r="E58" t="s">
        <v>625</v>
      </c>
      <c r="F58" t="s">
        <v>626</v>
      </c>
      <c r="G58" t="s">
        <v>140</v>
      </c>
      <c r="H58" t="s">
        <v>423</v>
      </c>
      <c r="I58" t="s">
        <v>424</v>
      </c>
      <c r="J58" t="s">
        <v>627</v>
      </c>
      <c r="K58" t="s">
        <v>64</v>
      </c>
      <c r="L58" t="s">
        <v>628</v>
      </c>
      <c r="M58" s="13">
        <v>46010.381805555553</v>
      </c>
      <c r="N58" s="13">
        <v>46010.465277777781</v>
      </c>
      <c r="O58" t="s">
        <v>145</v>
      </c>
      <c r="P58" t="s">
        <v>146</v>
      </c>
      <c r="Q58" t="s">
        <v>188</v>
      </c>
      <c r="R58" t="s">
        <v>161</v>
      </c>
      <c r="S58" t="s">
        <v>178</v>
      </c>
      <c r="T58" t="s">
        <v>178</v>
      </c>
      <c r="U58" t="s">
        <v>179</v>
      </c>
      <c r="V58" t="s">
        <v>629</v>
      </c>
      <c r="W58" t="s">
        <v>99</v>
      </c>
      <c r="X58" t="s">
        <v>630</v>
      </c>
      <c r="Y58" t="s">
        <v>101</v>
      </c>
      <c r="Z58" t="s">
        <v>70</v>
      </c>
      <c r="AA58" t="s">
        <v>239</v>
      </c>
      <c r="AB58" s="14">
        <v>1</v>
      </c>
      <c r="AC58" s="14">
        <v>0</v>
      </c>
      <c r="AD58" s="14">
        <v>0</v>
      </c>
      <c r="AE58" s="14">
        <v>0</v>
      </c>
      <c r="AF58" s="14">
        <v>0</v>
      </c>
      <c r="AG58" s="14">
        <v>275728</v>
      </c>
      <c r="AH58" s="14">
        <v>275728</v>
      </c>
    </row>
    <row r="59" spans="1:34">
      <c r="A59" t="s">
        <v>419</v>
      </c>
      <c r="B59" t="s">
        <v>73</v>
      </c>
      <c r="C59" t="s">
        <v>74</v>
      </c>
      <c r="D59" t="s">
        <v>631</v>
      </c>
      <c r="E59" t="s">
        <v>632</v>
      </c>
      <c r="F59" t="s">
        <v>633</v>
      </c>
      <c r="G59" t="s">
        <v>140</v>
      </c>
      <c r="H59" t="s">
        <v>634</v>
      </c>
      <c r="I59" t="s">
        <v>635</v>
      </c>
      <c r="J59" t="s">
        <v>636</v>
      </c>
      <c r="K59" t="s">
        <v>64</v>
      </c>
      <c r="L59" t="s">
        <v>637</v>
      </c>
      <c r="M59" s="13">
        <v>46010.412569444437</v>
      </c>
      <c r="N59" s="13">
        <v>46014.395833333343</v>
      </c>
      <c r="O59" t="s">
        <v>145</v>
      </c>
      <c r="P59" t="s">
        <v>146</v>
      </c>
      <c r="Q59" t="s">
        <v>188</v>
      </c>
      <c r="R59" t="s">
        <v>161</v>
      </c>
      <c r="S59" t="s">
        <v>178</v>
      </c>
      <c r="T59" t="s">
        <v>149</v>
      </c>
      <c r="V59" t="s">
        <v>638</v>
      </c>
      <c r="W59" t="s">
        <v>68</v>
      </c>
      <c r="Y59" t="s">
        <v>125</v>
      </c>
      <c r="Z59" t="s">
        <v>70</v>
      </c>
      <c r="AA59" t="s">
        <v>239</v>
      </c>
      <c r="AB59" s="14">
        <v>0</v>
      </c>
      <c r="AC59" s="14">
        <v>0</v>
      </c>
      <c r="AD59" s="14">
        <v>0</v>
      </c>
      <c r="AE59" s="14">
        <v>0</v>
      </c>
      <c r="AF59" s="14">
        <v>0</v>
      </c>
      <c r="AG59" s="14">
        <v>37905</v>
      </c>
      <c r="AH59" s="14">
        <v>37905</v>
      </c>
    </row>
    <row r="60" spans="1:34">
      <c r="A60" t="s">
        <v>390</v>
      </c>
      <c r="B60" t="s">
        <v>212</v>
      </c>
      <c r="C60" t="s">
        <v>213</v>
      </c>
      <c r="D60" t="s">
        <v>639</v>
      </c>
      <c r="E60" t="s">
        <v>640</v>
      </c>
      <c r="F60" t="s">
        <v>641</v>
      </c>
      <c r="G60" t="s">
        <v>140</v>
      </c>
      <c r="H60" t="s">
        <v>394</v>
      </c>
      <c r="I60" t="s">
        <v>642</v>
      </c>
      <c r="J60" t="s">
        <v>643</v>
      </c>
      <c r="K60" t="s">
        <v>64</v>
      </c>
      <c r="L60" t="s">
        <v>644</v>
      </c>
      <c r="M60" s="13">
        <v>46010.511805555558</v>
      </c>
      <c r="N60" s="13">
        <v>46018.62222222222</v>
      </c>
      <c r="O60" t="s">
        <v>145</v>
      </c>
      <c r="P60" t="s">
        <v>146</v>
      </c>
      <c r="Q60" t="s">
        <v>160</v>
      </c>
      <c r="R60" t="s">
        <v>292</v>
      </c>
      <c r="S60" t="s">
        <v>178</v>
      </c>
      <c r="T60" t="s">
        <v>149</v>
      </c>
      <c r="U60" t="s">
        <v>179</v>
      </c>
      <c r="V60" t="s">
        <v>645</v>
      </c>
      <c r="W60" t="s">
        <v>99</v>
      </c>
      <c r="X60" t="s">
        <v>646</v>
      </c>
      <c r="Y60" t="s">
        <v>101</v>
      </c>
      <c r="Z60" t="s">
        <v>70</v>
      </c>
      <c r="AA60" t="s">
        <v>647</v>
      </c>
      <c r="AB60" s="14">
        <v>1</v>
      </c>
      <c r="AC60" s="14">
        <v>0</v>
      </c>
      <c r="AD60" s="14">
        <v>0</v>
      </c>
      <c r="AE60" s="14">
        <v>0</v>
      </c>
      <c r="AF60" s="14">
        <v>0</v>
      </c>
      <c r="AG60" s="14">
        <v>275728</v>
      </c>
      <c r="AH60" s="14">
        <v>275728</v>
      </c>
    </row>
    <row r="61" spans="1:34">
      <c r="A61" t="s">
        <v>72</v>
      </c>
      <c r="B61" t="s">
        <v>73</v>
      </c>
      <c r="C61" t="s">
        <v>74</v>
      </c>
      <c r="D61" t="s">
        <v>648</v>
      </c>
      <c r="E61" t="s">
        <v>649</v>
      </c>
      <c r="F61" t="s">
        <v>650</v>
      </c>
      <c r="G61" t="s">
        <v>140</v>
      </c>
      <c r="H61" t="s">
        <v>79</v>
      </c>
      <c r="I61" t="s">
        <v>651</v>
      </c>
      <c r="J61" t="s">
        <v>652</v>
      </c>
      <c r="K61" t="s">
        <v>64</v>
      </c>
      <c r="L61" t="s">
        <v>653</v>
      </c>
      <c r="M61" s="13">
        <v>46010.572025462963</v>
      </c>
      <c r="N61" s="13">
        <v>46013.399305555547</v>
      </c>
      <c r="O61" t="s">
        <v>145</v>
      </c>
      <c r="P61" t="s">
        <v>146</v>
      </c>
      <c r="Q61" t="s">
        <v>160</v>
      </c>
      <c r="R61" t="s">
        <v>161</v>
      </c>
      <c r="S61" t="s">
        <v>178</v>
      </c>
      <c r="T61" t="s">
        <v>149</v>
      </c>
      <c r="V61" t="s">
        <v>654</v>
      </c>
      <c r="W61" t="s">
        <v>68</v>
      </c>
      <c r="Y61" t="s">
        <v>101</v>
      </c>
      <c r="Z61" t="s">
        <v>70</v>
      </c>
      <c r="AA61" t="s">
        <v>163</v>
      </c>
      <c r="AB61" s="14">
        <v>0</v>
      </c>
      <c r="AC61" s="14">
        <v>0</v>
      </c>
      <c r="AD61" s="14">
        <v>0</v>
      </c>
      <c r="AE61" s="14">
        <v>0</v>
      </c>
      <c r="AF61" s="14">
        <v>0</v>
      </c>
      <c r="AG61" s="14">
        <v>37905</v>
      </c>
      <c r="AH61" s="14">
        <v>37905</v>
      </c>
    </row>
    <row r="62" spans="1:34">
      <c r="A62" t="s">
        <v>390</v>
      </c>
      <c r="B62" t="s">
        <v>212</v>
      </c>
      <c r="C62" t="s">
        <v>213</v>
      </c>
      <c r="D62" t="s">
        <v>655</v>
      </c>
      <c r="E62" t="s">
        <v>656</v>
      </c>
      <c r="F62" t="s">
        <v>657</v>
      </c>
      <c r="G62" t="s">
        <v>140</v>
      </c>
      <c r="H62" t="s">
        <v>394</v>
      </c>
      <c r="I62" t="s">
        <v>658</v>
      </c>
      <c r="J62" t="s">
        <v>659</v>
      </c>
      <c r="K62" t="s">
        <v>64</v>
      </c>
      <c r="L62" t="s">
        <v>660</v>
      </c>
      <c r="M62" s="13">
        <v>46010.559606481482</v>
      </c>
      <c r="N62" s="13">
        <v>46020.73333333333</v>
      </c>
      <c r="O62" t="s">
        <v>145</v>
      </c>
      <c r="P62" t="s">
        <v>146</v>
      </c>
      <c r="Q62" t="s">
        <v>160</v>
      </c>
      <c r="R62" t="s">
        <v>292</v>
      </c>
      <c r="S62" t="s">
        <v>149</v>
      </c>
      <c r="T62" t="s">
        <v>149</v>
      </c>
      <c r="U62" t="s">
        <v>661</v>
      </c>
      <c r="V62" t="s">
        <v>662</v>
      </c>
      <c r="W62" t="s">
        <v>99</v>
      </c>
      <c r="Y62" t="s">
        <v>125</v>
      </c>
      <c r="Z62" t="s">
        <v>70</v>
      </c>
      <c r="AA62" t="s">
        <v>663</v>
      </c>
      <c r="AB62" s="14">
        <v>1</v>
      </c>
      <c r="AC62" s="14">
        <v>0</v>
      </c>
      <c r="AD62" s="14">
        <v>0</v>
      </c>
      <c r="AE62" s="14">
        <v>0</v>
      </c>
      <c r="AF62" s="14">
        <v>0</v>
      </c>
      <c r="AG62" s="14">
        <v>479590</v>
      </c>
      <c r="AH62" s="14">
        <v>479590</v>
      </c>
    </row>
    <row r="63" spans="1:34">
      <c r="A63" t="s">
        <v>136</v>
      </c>
      <c r="B63" t="s">
        <v>73</v>
      </c>
      <c r="C63" t="s">
        <v>74</v>
      </c>
      <c r="D63" t="s">
        <v>664</v>
      </c>
      <c r="E63" t="s">
        <v>665</v>
      </c>
      <c r="F63" t="s">
        <v>666</v>
      </c>
      <c r="G63" t="s">
        <v>140</v>
      </c>
      <c r="H63" t="s">
        <v>141</v>
      </c>
      <c r="I63" t="s">
        <v>667</v>
      </c>
      <c r="J63" t="s">
        <v>668</v>
      </c>
      <c r="K63" t="s">
        <v>64</v>
      </c>
      <c r="L63" t="s">
        <v>669</v>
      </c>
      <c r="M63" s="13">
        <v>46010.615763888891</v>
      </c>
      <c r="N63" s="13">
        <v>46011.467361111107</v>
      </c>
      <c r="O63" t="s">
        <v>145</v>
      </c>
      <c r="P63" t="s">
        <v>146</v>
      </c>
      <c r="Q63" t="s">
        <v>147</v>
      </c>
      <c r="R63" t="s">
        <v>148</v>
      </c>
      <c r="S63" t="s">
        <v>178</v>
      </c>
      <c r="T63" t="s">
        <v>178</v>
      </c>
      <c r="U63" t="s">
        <v>427</v>
      </c>
      <c r="V63" t="s">
        <v>670</v>
      </c>
      <c r="W63" t="s">
        <v>99</v>
      </c>
      <c r="X63" t="s">
        <v>411</v>
      </c>
      <c r="Y63" t="s">
        <v>151</v>
      </c>
      <c r="Z63" t="s">
        <v>70</v>
      </c>
      <c r="AA63" t="s">
        <v>285</v>
      </c>
      <c r="AB63" s="14">
        <v>1</v>
      </c>
      <c r="AC63" s="14">
        <v>0</v>
      </c>
      <c r="AD63" s="14">
        <v>0</v>
      </c>
      <c r="AE63" s="14">
        <v>0</v>
      </c>
      <c r="AF63" s="14">
        <v>0</v>
      </c>
      <c r="AG63" s="14">
        <v>163814</v>
      </c>
      <c r="AH63" s="14">
        <v>163814</v>
      </c>
    </row>
    <row r="64" spans="1:34">
      <c r="A64" t="s">
        <v>103</v>
      </c>
      <c r="B64" t="s">
        <v>104</v>
      </c>
      <c r="C64" t="s">
        <v>105</v>
      </c>
      <c r="D64" t="s">
        <v>671</v>
      </c>
      <c r="E64" t="s">
        <v>672</v>
      </c>
      <c r="F64" t="s">
        <v>673</v>
      </c>
      <c r="G64" t="s">
        <v>140</v>
      </c>
      <c r="H64" t="s">
        <v>109</v>
      </c>
      <c r="I64" t="s">
        <v>674</v>
      </c>
      <c r="J64" t="s">
        <v>675</v>
      </c>
      <c r="K64" t="s">
        <v>64</v>
      </c>
      <c r="L64" t="s">
        <v>676</v>
      </c>
      <c r="M64" s="13">
        <v>46011.694560185177</v>
      </c>
      <c r="N64" s="13">
        <v>46013.405555555553</v>
      </c>
      <c r="O64" t="s">
        <v>145</v>
      </c>
      <c r="P64" t="s">
        <v>146</v>
      </c>
      <c r="Q64" t="s">
        <v>677</v>
      </c>
      <c r="R64" t="s">
        <v>678</v>
      </c>
      <c r="S64" t="s">
        <v>149</v>
      </c>
      <c r="T64" t="s">
        <v>149</v>
      </c>
      <c r="U64" t="s">
        <v>179</v>
      </c>
      <c r="V64" t="s">
        <v>679</v>
      </c>
      <c r="W64" t="s">
        <v>99</v>
      </c>
      <c r="X64" t="s">
        <v>680</v>
      </c>
      <c r="Y64" t="s">
        <v>101</v>
      </c>
      <c r="Z64" t="s">
        <v>70</v>
      </c>
      <c r="AA64" t="s">
        <v>191</v>
      </c>
      <c r="AB64" s="14">
        <v>1</v>
      </c>
      <c r="AC64" s="14">
        <v>0</v>
      </c>
      <c r="AD64" s="14">
        <v>0</v>
      </c>
      <c r="AE64" s="14">
        <v>0</v>
      </c>
      <c r="AF64" s="14">
        <v>0</v>
      </c>
      <c r="AG64" s="14">
        <v>275728</v>
      </c>
      <c r="AH64" s="14">
        <v>275728</v>
      </c>
    </row>
    <row r="65" spans="1:34">
      <c r="A65" t="s">
        <v>564</v>
      </c>
      <c r="B65" t="s">
        <v>55</v>
      </c>
      <c r="C65" t="s">
        <v>565</v>
      </c>
      <c r="D65" t="s">
        <v>681</v>
      </c>
      <c r="E65" t="s">
        <v>682</v>
      </c>
      <c r="F65" t="s">
        <v>683</v>
      </c>
      <c r="G65" t="s">
        <v>140</v>
      </c>
      <c r="H65" t="s">
        <v>156</v>
      </c>
      <c r="I65" t="s">
        <v>684</v>
      </c>
      <c r="J65" t="s">
        <v>685</v>
      </c>
      <c r="K65" t="s">
        <v>64</v>
      </c>
      <c r="L65" t="s">
        <v>686</v>
      </c>
      <c r="M65" s="13">
        <v>46013.355057870373</v>
      </c>
      <c r="N65" s="13">
        <v>46013.384027777778</v>
      </c>
      <c r="O65" t="s">
        <v>145</v>
      </c>
      <c r="P65" t="s">
        <v>146</v>
      </c>
      <c r="Q65" t="s">
        <v>160</v>
      </c>
      <c r="R65" t="s">
        <v>292</v>
      </c>
      <c r="S65" t="s">
        <v>112</v>
      </c>
      <c r="T65" t="s">
        <v>220</v>
      </c>
      <c r="V65" t="s">
        <v>687</v>
      </c>
      <c r="W65" t="s">
        <v>68</v>
      </c>
      <c r="Y65" t="s">
        <v>151</v>
      </c>
      <c r="Z65" t="s">
        <v>70</v>
      </c>
      <c r="AA65" t="s">
        <v>294</v>
      </c>
      <c r="AB65" s="14">
        <v>0</v>
      </c>
      <c r="AC65" s="14">
        <v>0</v>
      </c>
      <c r="AD65" s="14">
        <v>0</v>
      </c>
      <c r="AE65" s="14">
        <v>0</v>
      </c>
      <c r="AF65" s="14">
        <v>0</v>
      </c>
      <c r="AG65" s="14">
        <v>37905</v>
      </c>
      <c r="AH65" s="14">
        <v>37905</v>
      </c>
    </row>
    <row r="66" spans="1:34">
      <c r="A66" t="s">
        <v>54</v>
      </c>
      <c r="B66" t="s">
        <v>55</v>
      </c>
      <c r="C66" t="s">
        <v>56</v>
      </c>
      <c r="D66" t="s">
        <v>57</v>
      </c>
      <c r="E66" t="s">
        <v>688</v>
      </c>
      <c r="F66" t="s">
        <v>689</v>
      </c>
      <c r="G66" t="s">
        <v>140</v>
      </c>
      <c r="H66" t="s">
        <v>62</v>
      </c>
      <c r="I66" t="s">
        <v>54</v>
      </c>
      <c r="J66" t="s">
        <v>690</v>
      </c>
      <c r="K66" t="s">
        <v>64</v>
      </c>
      <c r="L66" t="s">
        <v>691</v>
      </c>
      <c r="M66" s="13">
        <v>46013.553506944438</v>
      </c>
      <c r="N66" s="13">
        <v>46014.479166666657</v>
      </c>
      <c r="O66" t="s">
        <v>145</v>
      </c>
      <c r="P66" t="s">
        <v>146</v>
      </c>
      <c r="Q66" t="s">
        <v>368</v>
      </c>
      <c r="R66" t="s">
        <v>692</v>
      </c>
      <c r="S66" t="s">
        <v>112</v>
      </c>
      <c r="T66" t="s">
        <v>113</v>
      </c>
      <c r="V66" t="s">
        <v>693</v>
      </c>
      <c r="W66" t="s">
        <v>68</v>
      </c>
      <c r="Y66" t="s">
        <v>69</v>
      </c>
      <c r="Z66" t="s">
        <v>70</v>
      </c>
      <c r="AA66" t="s">
        <v>694</v>
      </c>
      <c r="AB66" s="14">
        <v>0</v>
      </c>
      <c r="AC66" s="14">
        <v>0</v>
      </c>
      <c r="AD66" s="14">
        <v>0</v>
      </c>
      <c r="AE66" s="14">
        <v>0</v>
      </c>
      <c r="AF66" s="14">
        <v>0</v>
      </c>
      <c r="AG66" s="14">
        <v>37905</v>
      </c>
      <c r="AH66" s="14">
        <v>37905</v>
      </c>
    </row>
    <row r="67" spans="1:34">
      <c r="A67" t="s">
        <v>103</v>
      </c>
      <c r="B67" t="s">
        <v>104</v>
      </c>
      <c r="C67" t="s">
        <v>105</v>
      </c>
      <c r="D67" t="s">
        <v>106</v>
      </c>
      <c r="E67" t="s">
        <v>695</v>
      </c>
      <c r="F67" t="s">
        <v>696</v>
      </c>
      <c r="G67" t="s">
        <v>140</v>
      </c>
      <c r="H67" t="s">
        <v>109</v>
      </c>
      <c r="I67" t="s">
        <v>103</v>
      </c>
      <c r="J67" t="s">
        <v>697</v>
      </c>
      <c r="K67" t="s">
        <v>64</v>
      </c>
      <c r="L67" t="s">
        <v>698</v>
      </c>
      <c r="M67" s="13">
        <v>46014.551782407398</v>
      </c>
      <c r="N67" s="13">
        <v>46014.62222222222</v>
      </c>
      <c r="O67" t="s">
        <v>145</v>
      </c>
      <c r="P67" t="s">
        <v>146</v>
      </c>
      <c r="Q67" t="s">
        <v>281</v>
      </c>
      <c r="R67" t="s">
        <v>282</v>
      </c>
      <c r="U67" t="s">
        <v>179</v>
      </c>
      <c r="V67" t="s">
        <v>699</v>
      </c>
      <c r="W67" t="s">
        <v>99</v>
      </c>
      <c r="X67" t="s">
        <v>700</v>
      </c>
      <c r="Y67" t="s">
        <v>69</v>
      </c>
      <c r="Z67" t="s">
        <v>70</v>
      </c>
      <c r="AA67" t="s">
        <v>701</v>
      </c>
      <c r="AB67" s="14">
        <v>1</v>
      </c>
      <c r="AC67" s="14">
        <v>0</v>
      </c>
      <c r="AD67" s="14">
        <v>0</v>
      </c>
      <c r="AE67" s="14">
        <v>0</v>
      </c>
      <c r="AF67" s="14">
        <v>0</v>
      </c>
      <c r="AG67" s="14">
        <v>65960</v>
      </c>
      <c r="AH67" s="14">
        <v>65960</v>
      </c>
    </row>
    <row r="68" spans="1:34">
      <c r="A68" t="s">
        <v>564</v>
      </c>
      <c r="B68" t="s">
        <v>55</v>
      </c>
      <c r="C68" t="s">
        <v>565</v>
      </c>
      <c r="D68" t="s">
        <v>566</v>
      </c>
      <c r="E68" t="s">
        <v>702</v>
      </c>
      <c r="F68" t="s">
        <v>703</v>
      </c>
      <c r="G68" t="s">
        <v>140</v>
      </c>
      <c r="H68" t="s">
        <v>569</v>
      </c>
      <c r="I68" t="s">
        <v>570</v>
      </c>
      <c r="J68" t="s">
        <v>704</v>
      </c>
      <c r="K68" t="s">
        <v>64</v>
      </c>
      <c r="L68" t="s">
        <v>705</v>
      </c>
      <c r="M68" s="13">
        <v>46014.615879629629</v>
      </c>
      <c r="N68" s="13">
        <v>46015.499305555553</v>
      </c>
      <c r="O68" t="s">
        <v>145</v>
      </c>
      <c r="P68" t="s">
        <v>146</v>
      </c>
      <c r="Q68" t="s">
        <v>147</v>
      </c>
      <c r="R68" t="s">
        <v>148</v>
      </c>
      <c r="S68" t="s">
        <v>95</v>
      </c>
      <c r="T68" t="s">
        <v>379</v>
      </c>
      <c r="U68" t="s">
        <v>179</v>
      </c>
      <c r="V68" t="s">
        <v>706</v>
      </c>
      <c r="W68" t="s">
        <v>99</v>
      </c>
      <c r="X68" t="s">
        <v>707</v>
      </c>
      <c r="Y68" t="s">
        <v>151</v>
      </c>
      <c r="Z68" t="s">
        <v>70</v>
      </c>
      <c r="AA68" t="s">
        <v>575</v>
      </c>
      <c r="AB68" s="14">
        <v>1</v>
      </c>
      <c r="AC68" s="14">
        <v>0</v>
      </c>
      <c r="AD68" s="14">
        <v>0</v>
      </c>
      <c r="AE68" s="14">
        <v>0</v>
      </c>
      <c r="AF68" s="14">
        <v>0</v>
      </c>
      <c r="AG68" s="14">
        <v>163814</v>
      </c>
      <c r="AH68" s="14">
        <v>163814</v>
      </c>
    </row>
    <row r="69" spans="1:34">
      <c r="A69" t="s">
        <v>564</v>
      </c>
      <c r="B69" t="s">
        <v>55</v>
      </c>
      <c r="C69" t="s">
        <v>565</v>
      </c>
      <c r="D69" t="s">
        <v>708</v>
      </c>
      <c r="E69" t="s">
        <v>709</v>
      </c>
      <c r="F69" t="s">
        <v>710</v>
      </c>
      <c r="G69" t="s">
        <v>140</v>
      </c>
      <c r="H69" t="s">
        <v>62</v>
      </c>
      <c r="I69" t="s">
        <v>711</v>
      </c>
      <c r="J69" t="s">
        <v>712</v>
      </c>
      <c r="K69" t="s">
        <v>64</v>
      </c>
      <c r="L69" t="s">
        <v>713</v>
      </c>
      <c r="M69" s="13">
        <v>46014.613692129627</v>
      </c>
      <c r="N69" s="13">
        <v>46014.697916666657</v>
      </c>
      <c r="O69" t="s">
        <v>145</v>
      </c>
      <c r="P69" t="s">
        <v>146</v>
      </c>
      <c r="Q69" t="s">
        <v>160</v>
      </c>
      <c r="R69" t="s">
        <v>292</v>
      </c>
      <c r="S69" t="s">
        <v>149</v>
      </c>
      <c r="T69" t="s">
        <v>149</v>
      </c>
      <c r="V69" t="s">
        <v>714</v>
      </c>
      <c r="W69" t="s">
        <v>68</v>
      </c>
      <c r="Y69" t="s">
        <v>151</v>
      </c>
      <c r="Z69" t="s">
        <v>70</v>
      </c>
      <c r="AA69" t="s">
        <v>294</v>
      </c>
      <c r="AB69" s="14">
        <v>0</v>
      </c>
      <c r="AC69" s="14">
        <v>0</v>
      </c>
      <c r="AD69" s="14">
        <v>0</v>
      </c>
      <c r="AE69" s="14">
        <v>0</v>
      </c>
      <c r="AF69" s="14">
        <v>0</v>
      </c>
      <c r="AG69" s="14">
        <v>37905</v>
      </c>
      <c r="AH69" s="14">
        <v>37905</v>
      </c>
    </row>
    <row r="70" spans="1:34">
      <c r="A70" t="s">
        <v>564</v>
      </c>
      <c r="B70" t="s">
        <v>55</v>
      </c>
      <c r="C70" t="s">
        <v>565</v>
      </c>
      <c r="D70" t="s">
        <v>715</v>
      </c>
      <c r="E70" t="s">
        <v>716</v>
      </c>
      <c r="F70" t="s">
        <v>717</v>
      </c>
      <c r="G70" t="s">
        <v>140</v>
      </c>
      <c r="H70" t="s">
        <v>718</v>
      </c>
      <c r="I70" t="s">
        <v>719</v>
      </c>
      <c r="J70" t="s">
        <v>720</v>
      </c>
      <c r="K70" t="s">
        <v>64</v>
      </c>
      <c r="L70" t="s">
        <v>721</v>
      </c>
      <c r="M70" s="13">
        <v>46014.644444444442</v>
      </c>
      <c r="N70" s="13">
        <v>46015.415277777778</v>
      </c>
      <c r="O70" t="s">
        <v>145</v>
      </c>
      <c r="P70" t="s">
        <v>146</v>
      </c>
      <c r="Q70" t="s">
        <v>147</v>
      </c>
      <c r="R70" t="s">
        <v>148</v>
      </c>
      <c r="S70" t="s">
        <v>112</v>
      </c>
      <c r="T70" t="s">
        <v>113</v>
      </c>
      <c r="U70" t="s">
        <v>179</v>
      </c>
      <c r="V70" t="s">
        <v>722</v>
      </c>
      <c r="W70" t="s">
        <v>99</v>
      </c>
      <c r="X70" t="s">
        <v>723</v>
      </c>
      <c r="Y70" t="s">
        <v>69</v>
      </c>
      <c r="Z70" t="s">
        <v>70</v>
      </c>
      <c r="AA70" t="s">
        <v>606</v>
      </c>
      <c r="AB70" s="14">
        <v>1</v>
      </c>
      <c r="AC70" s="14">
        <v>0</v>
      </c>
      <c r="AD70" s="14">
        <v>0</v>
      </c>
      <c r="AE70" s="14">
        <v>0</v>
      </c>
      <c r="AF70" s="14">
        <v>0</v>
      </c>
      <c r="AG70" s="14">
        <v>65960</v>
      </c>
      <c r="AH70" s="14">
        <v>65960</v>
      </c>
    </row>
    <row r="71" spans="1:34">
      <c r="A71" t="s">
        <v>103</v>
      </c>
      <c r="B71" t="s">
        <v>104</v>
      </c>
      <c r="C71" t="s">
        <v>105</v>
      </c>
      <c r="D71" t="s">
        <v>724</v>
      </c>
      <c r="E71" t="s">
        <v>725</v>
      </c>
      <c r="F71" t="s">
        <v>726</v>
      </c>
      <c r="G71" t="s">
        <v>140</v>
      </c>
      <c r="H71" t="s">
        <v>617</v>
      </c>
      <c r="I71" t="s">
        <v>727</v>
      </c>
      <c r="J71" t="s">
        <v>728</v>
      </c>
      <c r="K71" t="s">
        <v>64</v>
      </c>
      <c r="L71" t="s">
        <v>729</v>
      </c>
      <c r="M71" s="13">
        <v>46014.747974537036</v>
      </c>
      <c r="N71" s="13">
        <v>46017.379166666673</v>
      </c>
      <c r="O71" t="s">
        <v>145</v>
      </c>
      <c r="P71" t="s">
        <v>146</v>
      </c>
      <c r="Q71" t="s">
        <v>160</v>
      </c>
      <c r="R71" t="s">
        <v>161</v>
      </c>
      <c r="S71" t="s">
        <v>149</v>
      </c>
      <c r="T71" t="s">
        <v>149</v>
      </c>
      <c r="V71" t="s">
        <v>730</v>
      </c>
      <c r="W71" t="s">
        <v>68</v>
      </c>
      <c r="Y71" t="s">
        <v>623</v>
      </c>
      <c r="Z71" t="s">
        <v>731</v>
      </c>
      <c r="AA71" t="s">
        <v>732</v>
      </c>
      <c r="AB71" s="14">
        <v>0</v>
      </c>
      <c r="AC71" s="14">
        <v>0</v>
      </c>
      <c r="AD71" s="14">
        <v>0</v>
      </c>
      <c r="AE71" s="14">
        <v>0</v>
      </c>
      <c r="AF71" s="14">
        <v>0</v>
      </c>
      <c r="AG71" s="14">
        <v>37905</v>
      </c>
      <c r="AH71" s="14">
        <v>37905</v>
      </c>
    </row>
    <row r="72" spans="1:34">
      <c r="A72" t="s">
        <v>200</v>
      </c>
      <c r="B72" t="s">
        <v>85</v>
      </c>
      <c r="C72" t="s">
        <v>86</v>
      </c>
      <c r="D72" t="s">
        <v>733</v>
      </c>
      <c r="E72" t="s">
        <v>734</v>
      </c>
      <c r="F72" t="s">
        <v>735</v>
      </c>
      <c r="G72" t="s">
        <v>140</v>
      </c>
      <c r="H72" t="s">
        <v>204</v>
      </c>
      <c r="I72" t="s">
        <v>736</v>
      </c>
      <c r="J72" t="s">
        <v>737</v>
      </c>
      <c r="K72" t="s">
        <v>64</v>
      </c>
      <c r="L72" t="s">
        <v>738</v>
      </c>
      <c r="M72" s="13">
        <v>46015.348252314812</v>
      </c>
      <c r="N72" s="13">
        <v>46017.51666666667</v>
      </c>
      <c r="O72" t="s">
        <v>145</v>
      </c>
      <c r="P72" t="s">
        <v>146</v>
      </c>
      <c r="Q72" t="s">
        <v>677</v>
      </c>
      <c r="R72" t="s">
        <v>678</v>
      </c>
      <c r="S72" t="s">
        <v>149</v>
      </c>
      <c r="T72" t="s">
        <v>149</v>
      </c>
      <c r="U72" t="s">
        <v>179</v>
      </c>
      <c r="V72" t="s">
        <v>739</v>
      </c>
      <c r="W72" t="s">
        <v>99</v>
      </c>
      <c r="X72" t="s">
        <v>740</v>
      </c>
      <c r="Y72" t="s">
        <v>151</v>
      </c>
      <c r="Z72" t="s">
        <v>70</v>
      </c>
      <c r="AA72" t="s">
        <v>741</v>
      </c>
      <c r="AB72" s="14">
        <v>1</v>
      </c>
      <c r="AC72" s="14">
        <v>0</v>
      </c>
      <c r="AD72" s="14">
        <v>0</v>
      </c>
      <c r="AE72" s="14">
        <v>0</v>
      </c>
      <c r="AF72" s="14">
        <v>0</v>
      </c>
      <c r="AG72" s="14">
        <v>163814</v>
      </c>
      <c r="AH72" s="14">
        <v>163814</v>
      </c>
    </row>
    <row r="73" spans="1:34">
      <c r="A73" t="s">
        <v>103</v>
      </c>
      <c r="B73" t="s">
        <v>104</v>
      </c>
      <c r="C73" t="s">
        <v>105</v>
      </c>
      <c r="D73" t="s">
        <v>106</v>
      </c>
      <c r="E73" t="s">
        <v>742</v>
      </c>
      <c r="F73" t="s">
        <v>743</v>
      </c>
      <c r="G73" t="s">
        <v>140</v>
      </c>
      <c r="H73" t="s">
        <v>109</v>
      </c>
      <c r="I73" t="s">
        <v>103</v>
      </c>
      <c r="J73" t="s">
        <v>744</v>
      </c>
      <c r="K73" t="s">
        <v>64</v>
      </c>
      <c r="L73" t="s">
        <v>745</v>
      </c>
      <c r="M73" s="13">
        <v>46017.358923611107</v>
      </c>
      <c r="N73" s="13">
        <v>46017.513194444437</v>
      </c>
      <c r="O73" t="s">
        <v>145</v>
      </c>
      <c r="P73" t="s">
        <v>146</v>
      </c>
      <c r="Q73" t="s">
        <v>160</v>
      </c>
      <c r="R73" t="s">
        <v>161</v>
      </c>
      <c r="S73" t="s">
        <v>112</v>
      </c>
      <c r="T73" t="s">
        <v>220</v>
      </c>
      <c r="U73" t="s">
        <v>179</v>
      </c>
      <c r="V73" t="s">
        <v>746</v>
      </c>
      <c r="W73" t="s">
        <v>99</v>
      </c>
      <c r="X73" t="s">
        <v>747</v>
      </c>
      <c r="Y73" t="s">
        <v>69</v>
      </c>
      <c r="Z73" t="s">
        <v>70</v>
      </c>
      <c r="AA73" t="s">
        <v>748</v>
      </c>
      <c r="AB73" s="14">
        <v>1</v>
      </c>
      <c r="AC73" s="14">
        <v>0</v>
      </c>
      <c r="AD73" s="14">
        <v>0</v>
      </c>
      <c r="AE73" s="14">
        <v>0</v>
      </c>
      <c r="AF73" s="14">
        <v>0</v>
      </c>
      <c r="AG73" s="14">
        <v>65960</v>
      </c>
      <c r="AH73" s="14">
        <v>65960</v>
      </c>
    </row>
    <row r="74" spans="1:34">
      <c r="A74" t="s">
        <v>54</v>
      </c>
      <c r="B74" t="s">
        <v>55</v>
      </c>
      <c r="C74" t="s">
        <v>56</v>
      </c>
      <c r="D74" t="s">
        <v>57</v>
      </c>
      <c r="E74" t="s">
        <v>749</v>
      </c>
      <c r="F74" t="s">
        <v>750</v>
      </c>
      <c r="G74" t="s">
        <v>140</v>
      </c>
      <c r="H74" t="s">
        <v>62</v>
      </c>
      <c r="I74" t="s">
        <v>54</v>
      </c>
      <c r="J74" t="s">
        <v>751</v>
      </c>
      <c r="K74" t="s">
        <v>64</v>
      </c>
      <c r="L74" t="s">
        <v>752</v>
      </c>
      <c r="M74" s="13">
        <v>46017.390023148153</v>
      </c>
      <c r="N74" s="13">
        <v>46017.45416666667</v>
      </c>
      <c r="O74" t="s">
        <v>145</v>
      </c>
      <c r="P74" t="s">
        <v>146</v>
      </c>
      <c r="Q74" t="s">
        <v>160</v>
      </c>
      <c r="R74" t="s">
        <v>161</v>
      </c>
      <c r="S74" t="s">
        <v>112</v>
      </c>
      <c r="T74" t="s">
        <v>220</v>
      </c>
      <c r="U74" t="s">
        <v>427</v>
      </c>
      <c r="V74" t="s">
        <v>753</v>
      </c>
      <c r="W74" t="s">
        <v>99</v>
      </c>
      <c r="X74" t="s">
        <v>754</v>
      </c>
      <c r="Y74" t="s">
        <v>69</v>
      </c>
      <c r="Z74" t="s">
        <v>70</v>
      </c>
      <c r="AA74" t="s">
        <v>563</v>
      </c>
      <c r="AB74" s="14">
        <v>1</v>
      </c>
      <c r="AC74" s="14">
        <v>0</v>
      </c>
      <c r="AD74" s="14">
        <v>0</v>
      </c>
      <c r="AE74" s="14">
        <v>0</v>
      </c>
      <c r="AF74" s="14">
        <v>0</v>
      </c>
      <c r="AG74" s="14">
        <v>65960</v>
      </c>
      <c r="AH74" s="14">
        <v>65960</v>
      </c>
    </row>
    <row r="75" spans="1:34">
      <c r="A75" t="s">
        <v>509</v>
      </c>
      <c r="B75" t="s">
        <v>85</v>
      </c>
      <c r="C75" t="s">
        <v>86</v>
      </c>
      <c r="D75" t="s">
        <v>755</v>
      </c>
      <c r="E75" t="s">
        <v>756</v>
      </c>
      <c r="F75" t="s">
        <v>757</v>
      </c>
      <c r="G75" t="s">
        <v>140</v>
      </c>
      <c r="H75" t="s">
        <v>513</v>
      </c>
      <c r="I75" t="s">
        <v>758</v>
      </c>
      <c r="J75" t="s">
        <v>759</v>
      </c>
      <c r="K75" t="s">
        <v>64</v>
      </c>
      <c r="L75" t="s">
        <v>760</v>
      </c>
      <c r="M75" s="13">
        <v>46018.450057870366</v>
      </c>
      <c r="N75" s="13">
        <v>46020.543055555558</v>
      </c>
      <c r="O75" t="s">
        <v>145</v>
      </c>
      <c r="P75" t="s">
        <v>146</v>
      </c>
      <c r="Q75" t="s">
        <v>281</v>
      </c>
      <c r="R75" t="s">
        <v>282</v>
      </c>
      <c r="S75" t="s">
        <v>112</v>
      </c>
      <c r="T75" t="s">
        <v>113</v>
      </c>
      <c r="U75" t="s">
        <v>179</v>
      </c>
      <c r="V75" t="s">
        <v>761</v>
      </c>
      <c r="W75" t="s">
        <v>99</v>
      </c>
      <c r="X75" t="s">
        <v>762</v>
      </c>
      <c r="Y75" t="s">
        <v>151</v>
      </c>
      <c r="Z75" t="s">
        <v>70</v>
      </c>
      <c r="AA75" t="s">
        <v>741</v>
      </c>
      <c r="AB75" s="14">
        <v>1</v>
      </c>
      <c r="AC75" s="14">
        <v>0</v>
      </c>
      <c r="AD75" s="14">
        <v>0</v>
      </c>
      <c r="AE75" s="14">
        <v>0</v>
      </c>
      <c r="AF75" s="14">
        <v>0</v>
      </c>
      <c r="AG75" s="14">
        <v>163814</v>
      </c>
      <c r="AH75" s="14">
        <v>163814</v>
      </c>
    </row>
    <row r="76" spans="1:34">
      <c r="A76" t="s">
        <v>54</v>
      </c>
      <c r="B76" t="s">
        <v>55</v>
      </c>
      <c r="C76" t="s">
        <v>56</v>
      </c>
      <c r="D76" t="s">
        <v>763</v>
      </c>
      <c r="E76" t="s">
        <v>764</v>
      </c>
      <c r="F76" t="s">
        <v>765</v>
      </c>
      <c r="G76" t="s">
        <v>140</v>
      </c>
      <c r="H76" t="s">
        <v>523</v>
      </c>
      <c r="I76" t="s">
        <v>766</v>
      </c>
      <c r="J76" t="s">
        <v>767</v>
      </c>
      <c r="K76" t="s">
        <v>64</v>
      </c>
      <c r="L76" t="s">
        <v>768</v>
      </c>
      <c r="M76" s="13">
        <v>46018.519282407397</v>
      </c>
      <c r="N76" s="13">
        <v>46020.4375</v>
      </c>
      <c r="O76" t="s">
        <v>145</v>
      </c>
      <c r="P76" t="s">
        <v>146</v>
      </c>
      <c r="Q76" t="s">
        <v>160</v>
      </c>
      <c r="R76" t="s">
        <v>292</v>
      </c>
      <c r="S76" t="s">
        <v>112</v>
      </c>
      <c r="T76" t="s">
        <v>220</v>
      </c>
      <c r="U76" t="s">
        <v>427</v>
      </c>
      <c r="V76" t="s">
        <v>769</v>
      </c>
      <c r="W76" t="s">
        <v>99</v>
      </c>
      <c r="X76" t="s">
        <v>770</v>
      </c>
      <c r="Y76" t="s">
        <v>151</v>
      </c>
      <c r="Z76" t="s">
        <v>70</v>
      </c>
      <c r="AA76" t="s">
        <v>230</v>
      </c>
      <c r="AB76" s="14">
        <v>1</v>
      </c>
      <c r="AC76" s="14">
        <v>0</v>
      </c>
      <c r="AD76" s="14">
        <v>0</v>
      </c>
      <c r="AE76" s="14">
        <v>0</v>
      </c>
      <c r="AF76" s="14">
        <v>0</v>
      </c>
      <c r="AG76" s="14">
        <v>163814</v>
      </c>
      <c r="AH76" s="14">
        <v>163814</v>
      </c>
    </row>
    <row r="77" spans="1:34">
      <c r="A77" t="s">
        <v>103</v>
      </c>
      <c r="B77" t="s">
        <v>104</v>
      </c>
      <c r="C77" t="s">
        <v>105</v>
      </c>
      <c r="D77" t="s">
        <v>771</v>
      </c>
      <c r="E77" t="s">
        <v>772</v>
      </c>
      <c r="F77" t="s">
        <v>773</v>
      </c>
      <c r="G77" t="s">
        <v>140</v>
      </c>
      <c r="H77" t="s">
        <v>109</v>
      </c>
      <c r="I77" t="s">
        <v>774</v>
      </c>
      <c r="J77" t="s">
        <v>775</v>
      </c>
      <c r="K77" t="s">
        <v>64</v>
      </c>
      <c r="L77" t="s">
        <v>776</v>
      </c>
      <c r="M77" s="13">
        <v>46018.448298611111</v>
      </c>
      <c r="N77" s="13">
        <v>46018.515277777777</v>
      </c>
      <c r="O77" t="s">
        <v>145</v>
      </c>
      <c r="P77" t="s">
        <v>259</v>
      </c>
      <c r="Q77" t="s">
        <v>260</v>
      </c>
      <c r="R77" t="s">
        <v>261</v>
      </c>
      <c r="S77" t="s">
        <v>112</v>
      </c>
      <c r="T77" t="s">
        <v>220</v>
      </c>
      <c r="U77" t="s">
        <v>179</v>
      </c>
      <c r="V77" t="s">
        <v>777</v>
      </c>
      <c r="W77" t="s">
        <v>99</v>
      </c>
      <c r="X77" t="s">
        <v>778</v>
      </c>
      <c r="Y77" t="s">
        <v>69</v>
      </c>
      <c r="Z77" t="s">
        <v>70</v>
      </c>
      <c r="AA77" t="s">
        <v>418</v>
      </c>
      <c r="AB77" s="14">
        <v>1</v>
      </c>
      <c r="AC77" s="14">
        <v>0</v>
      </c>
      <c r="AD77" s="14">
        <v>0</v>
      </c>
      <c r="AE77" s="14">
        <v>0</v>
      </c>
      <c r="AF77" s="14">
        <v>0</v>
      </c>
      <c r="AG77" s="14">
        <v>65960</v>
      </c>
      <c r="AH77" s="14">
        <v>65960</v>
      </c>
    </row>
    <row r="78" spans="1:34">
      <c r="A78" t="s">
        <v>103</v>
      </c>
      <c r="B78" t="s">
        <v>104</v>
      </c>
      <c r="C78" t="s">
        <v>105</v>
      </c>
      <c r="D78" t="s">
        <v>106</v>
      </c>
      <c r="E78" t="s">
        <v>779</v>
      </c>
      <c r="F78" t="s">
        <v>780</v>
      </c>
      <c r="G78" t="s">
        <v>140</v>
      </c>
      <c r="H78" t="s">
        <v>109</v>
      </c>
      <c r="I78" t="s">
        <v>103</v>
      </c>
      <c r="J78" t="s">
        <v>781</v>
      </c>
      <c r="K78" t="s">
        <v>64</v>
      </c>
      <c r="L78" t="s">
        <v>782</v>
      </c>
      <c r="M78" s="13">
        <v>46018.454884259263</v>
      </c>
      <c r="N78" s="13">
        <v>46018.555555555547</v>
      </c>
      <c r="O78" t="s">
        <v>145</v>
      </c>
      <c r="P78" t="s">
        <v>146</v>
      </c>
      <c r="Q78" t="s">
        <v>677</v>
      </c>
      <c r="R78" t="s">
        <v>678</v>
      </c>
      <c r="S78" t="s">
        <v>112</v>
      </c>
      <c r="T78" t="s">
        <v>113</v>
      </c>
      <c r="U78" t="s">
        <v>179</v>
      </c>
      <c r="V78" t="s">
        <v>783</v>
      </c>
      <c r="W78" t="s">
        <v>99</v>
      </c>
      <c r="X78" t="s">
        <v>784</v>
      </c>
      <c r="Y78" t="s">
        <v>69</v>
      </c>
      <c r="Z78" t="s">
        <v>70</v>
      </c>
      <c r="AA78" t="s">
        <v>785</v>
      </c>
      <c r="AB78" s="14">
        <v>1</v>
      </c>
      <c r="AC78" s="14">
        <v>0</v>
      </c>
      <c r="AD78" s="14">
        <v>0</v>
      </c>
      <c r="AE78" s="14">
        <v>0</v>
      </c>
      <c r="AF78" s="14">
        <v>0</v>
      </c>
      <c r="AG78" s="14">
        <v>65960</v>
      </c>
      <c r="AH78" s="14">
        <v>65960</v>
      </c>
    </row>
    <row r="79" spans="1:34">
      <c r="A79" t="s">
        <v>84</v>
      </c>
      <c r="B79" t="s">
        <v>85</v>
      </c>
      <c r="C79" t="s">
        <v>86</v>
      </c>
      <c r="D79" t="s">
        <v>786</v>
      </c>
      <c r="E79" t="s">
        <v>787</v>
      </c>
      <c r="F79" t="s">
        <v>788</v>
      </c>
      <c r="G79" t="s">
        <v>140</v>
      </c>
      <c r="H79" t="s">
        <v>789</v>
      </c>
      <c r="I79" t="s">
        <v>84</v>
      </c>
      <c r="J79" t="s">
        <v>790</v>
      </c>
      <c r="K79" t="s">
        <v>64</v>
      </c>
      <c r="L79" t="s">
        <v>791</v>
      </c>
      <c r="M79" s="13">
        <v>46018.615115740737</v>
      </c>
      <c r="N79" s="13">
        <v>46019.490972222222</v>
      </c>
      <c r="O79" t="s">
        <v>145</v>
      </c>
      <c r="P79" t="s">
        <v>259</v>
      </c>
      <c r="Q79" t="s">
        <v>260</v>
      </c>
      <c r="R79" t="s">
        <v>261</v>
      </c>
      <c r="S79" t="s">
        <v>112</v>
      </c>
      <c r="T79" t="s">
        <v>220</v>
      </c>
      <c r="V79" t="s">
        <v>792</v>
      </c>
      <c r="W79" t="s">
        <v>68</v>
      </c>
      <c r="Y79" t="s">
        <v>69</v>
      </c>
      <c r="Z79" t="s">
        <v>70</v>
      </c>
      <c r="AA79" t="s">
        <v>793</v>
      </c>
      <c r="AB79" s="14">
        <v>0</v>
      </c>
      <c r="AC79" s="14">
        <v>0</v>
      </c>
      <c r="AD79" s="14">
        <v>0</v>
      </c>
      <c r="AE79" s="14">
        <v>0</v>
      </c>
      <c r="AF79" s="14">
        <v>0</v>
      </c>
      <c r="AG79" s="14">
        <v>37905</v>
      </c>
      <c r="AH79" s="14">
        <v>37905</v>
      </c>
    </row>
    <row r="80" spans="1:34">
      <c r="A80" t="s">
        <v>240</v>
      </c>
      <c r="B80" t="s">
        <v>241</v>
      </c>
      <c r="C80" t="s">
        <v>242</v>
      </c>
      <c r="D80" t="s">
        <v>794</v>
      </c>
      <c r="E80" t="s">
        <v>795</v>
      </c>
      <c r="F80" t="s">
        <v>796</v>
      </c>
      <c r="G80" t="s">
        <v>140</v>
      </c>
      <c r="H80" t="s">
        <v>241</v>
      </c>
      <c r="I80" t="s">
        <v>797</v>
      </c>
      <c r="J80" t="s">
        <v>798</v>
      </c>
      <c r="K80" t="s">
        <v>64</v>
      </c>
      <c r="L80" t="s">
        <v>799</v>
      </c>
      <c r="M80" s="13">
        <v>46019.333333333343</v>
      </c>
      <c r="N80" s="13">
        <v>46020.462500000001</v>
      </c>
      <c r="O80" t="s">
        <v>145</v>
      </c>
      <c r="P80" t="s">
        <v>146</v>
      </c>
      <c r="Q80" t="s">
        <v>377</v>
      </c>
      <c r="R80" t="s">
        <v>378</v>
      </c>
      <c r="S80" t="s">
        <v>149</v>
      </c>
      <c r="T80" t="s">
        <v>149</v>
      </c>
      <c r="U80" t="s">
        <v>427</v>
      </c>
      <c r="V80" t="s">
        <v>800</v>
      </c>
      <c r="W80" t="s">
        <v>99</v>
      </c>
      <c r="Y80" t="s">
        <v>151</v>
      </c>
      <c r="Z80" t="s">
        <v>70</v>
      </c>
      <c r="AA80" t="s">
        <v>801</v>
      </c>
      <c r="AB80" s="14">
        <v>1</v>
      </c>
      <c r="AC80" s="14">
        <v>0</v>
      </c>
      <c r="AD80" s="14">
        <v>0</v>
      </c>
      <c r="AE80" s="14">
        <v>0</v>
      </c>
      <c r="AF80" s="14">
        <v>0</v>
      </c>
      <c r="AG80" s="14">
        <v>163814</v>
      </c>
      <c r="AH80" s="14">
        <v>163814</v>
      </c>
    </row>
    <row r="81" spans="1:34">
      <c r="A81" t="s">
        <v>103</v>
      </c>
      <c r="B81" t="s">
        <v>104</v>
      </c>
      <c r="C81" t="s">
        <v>105</v>
      </c>
      <c r="D81" t="s">
        <v>802</v>
      </c>
      <c r="E81" t="s">
        <v>803</v>
      </c>
      <c r="F81" t="s">
        <v>804</v>
      </c>
      <c r="G81" t="s">
        <v>140</v>
      </c>
      <c r="H81" t="s">
        <v>109</v>
      </c>
      <c r="I81" t="s">
        <v>805</v>
      </c>
      <c r="J81" t="s">
        <v>806</v>
      </c>
      <c r="K81" t="s">
        <v>64</v>
      </c>
      <c r="L81" t="s">
        <v>807</v>
      </c>
      <c r="M81" s="13">
        <v>46019.610497685193</v>
      </c>
      <c r="N81" s="13">
        <v>46020.722916666673</v>
      </c>
      <c r="O81" t="s">
        <v>145</v>
      </c>
      <c r="P81" t="s">
        <v>146</v>
      </c>
      <c r="Q81" t="s">
        <v>368</v>
      </c>
      <c r="R81" t="s">
        <v>692</v>
      </c>
      <c r="S81" t="s">
        <v>149</v>
      </c>
      <c r="T81" t="s">
        <v>149</v>
      </c>
      <c r="U81" t="s">
        <v>179</v>
      </c>
      <c r="V81" t="s">
        <v>808</v>
      </c>
      <c r="W81" t="s">
        <v>99</v>
      </c>
      <c r="X81" t="s">
        <v>809</v>
      </c>
      <c r="Y81" t="s">
        <v>101</v>
      </c>
      <c r="Z81" t="s">
        <v>70</v>
      </c>
      <c r="AA81" t="s">
        <v>116</v>
      </c>
      <c r="AB81" s="14">
        <v>1</v>
      </c>
      <c r="AC81" s="14">
        <v>0</v>
      </c>
      <c r="AD81" s="14">
        <v>0</v>
      </c>
      <c r="AE81" s="14">
        <v>0</v>
      </c>
      <c r="AF81" s="14">
        <v>0</v>
      </c>
      <c r="AG81" s="14">
        <v>275728</v>
      </c>
      <c r="AH81" s="14">
        <v>275728</v>
      </c>
    </row>
    <row r="82" spans="1:34">
      <c r="A82" t="s">
        <v>103</v>
      </c>
      <c r="B82" t="s">
        <v>104</v>
      </c>
      <c r="C82" t="s">
        <v>105</v>
      </c>
      <c r="D82" t="s">
        <v>810</v>
      </c>
      <c r="E82" t="s">
        <v>811</v>
      </c>
      <c r="F82" t="s">
        <v>812</v>
      </c>
      <c r="G82" t="s">
        <v>140</v>
      </c>
      <c r="H82" t="s">
        <v>109</v>
      </c>
      <c r="I82" t="s">
        <v>813</v>
      </c>
      <c r="J82" t="s">
        <v>814</v>
      </c>
      <c r="K82" t="s">
        <v>64</v>
      </c>
      <c r="L82" t="s">
        <v>815</v>
      </c>
      <c r="M82" s="13">
        <v>46020.393055555563</v>
      </c>
      <c r="N82" s="13">
        <v>46022.427083333343</v>
      </c>
      <c r="O82" t="s">
        <v>145</v>
      </c>
      <c r="P82" t="s">
        <v>146</v>
      </c>
      <c r="Q82" t="s">
        <v>160</v>
      </c>
      <c r="R82" t="s">
        <v>292</v>
      </c>
      <c r="S82" t="s">
        <v>149</v>
      </c>
      <c r="T82" t="s">
        <v>149</v>
      </c>
      <c r="U82" t="s">
        <v>179</v>
      </c>
      <c r="V82" t="s">
        <v>816</v>
      </c>
      <c r="W82" t="s">
        <v>99</v>
      </c>
      <c r="X82" t="s">
        <v>817</v>
      </c>
      <c r="Y82" t="s">
        <v>101</v>
      </c>
      <c r="Z82" t="s">
        <v>70</v>
      </c>
      <c r="AA82" t="s">
        <v>126</v>
      </c>
      <c r="AB82" s="14">
        <v>1</v>
      </c>
      <c r="AC82" s="14">
        <v>0</v>
      </c>
      <c r="AD82" s="14">
        <v>0</v>
      </c>
      <c r="AE82" s="14">
        <v>0</v>
      </c>
      <c r="AF82" s="14">
        <v>0</v>
      </c>
      <c r="AG82" s="14">
        <v>275728</v>
      </c>
      <c r="AH82" s="14">
        <v>275728</v>
      </c>
    </row>
    <row r="83" spans="1:34">
      <c r="A83" t="s">
        <v>103</v>
      </c>
      <c r="B83" t="s">
        <v>104</v>
      </c>
      <c r="C83" t="s">
        <v>105</v>
      </c>
      <c r="D83" t="s">
        <v>818</v>
      </c>
      <c r="E83" t="s">
        <v>819</v>
      </c>
      <c r="F83" t="s">
        <v>820</v>
      </c>
      <c r="G83" t="s">
        <v>140</v>
      </c>
      <c r="H83" t="s">
        <v>617</v>
      </c>
      <c r="I83" t="s">
        <v>821</v>
      </c>
      <c r="J83" t="s">
        <v>822</v>
      </c>
      <c r="K83" t="s">
        <v>64</v>
      </c>
      <c r="L83" t="s">
        <v>823</v>
      </c>
      <c r="M83" s="13">
        <v>46020.405451388891</v>
      </c>
      <c r="N83" s="13">
        <v>46021.586111111108</v>
      </c>
      <c r="O83" t="s">
        <v>145</v>
      </c>
      <c r="P83" t="s">
        <v>146</v>
      </c>
      <c r="Q83" t="s">
        <v>147</v>
      </c>
      <c r="R83" t="s">
        <v>148</v>
      </c>
      <c r="S83" t="s">
        <v>149</v>
      </c>
      <c r="T83" t="s">
        <v>149</v>
      </c>
      <c r="U83" t="s">
        <v>179</v>
      </c>
      <c r="V83" t="s">
        <v>824</v>
      </c>
      <c r="W83" t="s">
        <v>99</v>
      </c>
      <c r="X83" t="s">
        <v>825</v>
      </c>
      <c r="Y83" t="s">
        <v>623</v>
      </c>
      <c r="Z83" t="s">
        <v>731</v>
      </c>
      <c r="AA83" t="s">
        <v>732</v>
      </c>
      <c r="AB83" s="14">
        <v>1</v>
      </c>
      <c r="AC83" s="14">
        <v>0</v>
      </c>
      <c r="AD83" s="14">
        <v>0</v>
      </c>
      <c r="AE83" s="14">
        <v>0</v>
      </c>
      <c r="AF83" s="14">
        <v>0</v>
      </c>
      <c r="AG83" s="14">
        <v>988463</v>
      </c>
      <c r="AH83" s="14">
        <v>988463</v>
      </c>
    </row>
    <row r="84" spans="1:34">
      <c r="A84" t="s">
        <v>265</v>
      </c>
      <c r="B84" t="s">
        <v>104</v>
      </c>
      <c r="C84" t="s">
        <v>105</v>
      </c>
      <c r="D84" t="s">
        <v>826</v>
      </c>
      <c r="E84" t="s">
        <v>827</v>
      </c>
      <c r="F84" t="s">
        <v>828</v>
      </c>
      <c r="G84" t="s">
        <v>140</v>
      </c>
      <c r="H84" t="s">
        <v>109</v>
      </c>
      <c r="I84" t="s">
        <v>829</v>
      </c>
      <c r="J84" t="s">
        <v>830</v>
      </c>
      <c r="K84" t="s">
        <v>64</v>
      </c>
      <c r="L84" t="s">
        <v>831</v>
      </c>
      <c r="M84" s="13">
        <v>46020.419039351851</v>
      </c>
      <c r="N84" s="13">
        <v>46020.660416666673</v>
      </c>
      <c r="O84" t="s">
        <v>145</v>
      </c>
      <c r="P84" t="s">
        <v>146</v>
      </c>
      <c r="Q84" t="s">
        <v>147</v>
      </c>
      <c r="R84" t="s">
        <v>148</v>
      </c>
      <c r="S84" t="s">
        <v>149</v>
      </c>
      <c r="T84" t="s">
        <v>149</v>
      </c>
      <c r="U84" t="s">
        <v>179</v>
      </c>
      <c r="V84" t="s">
        <v>832</v>
      </c>
      <c r="W84" t="s">
        <v>99</v>
      </c>
      <c r="X84" t="s">
        <v>833</v>
      </c>
      <c r="Y84" t="s">
        <v>69</v>
      </c>
      <c r="Z84" t="s">
        <v>70</v>
      </c>
      <c r="AA84" t="s">
        <v>274</v>
      </c>
      <c r="AB84" s="14">
        <v>1</v>
      </c>
      <c r="AC84" s="14">
        <v>0</v>
      </c>
      <c r="AD84" s="14">
        <v>0</v>
      </c>
      <c r="AE84" s="14">
        <v>0</v>
      </c>
      <c r="AF84" s="14">
        <v>0</v>
      </c>
      <c r="AG84" s="14">
        <v>65960</v>
      </c>
      <c r="AH84" s="14">
        <v>65960</v>
      </c>
    </row>
    <row r="85" spans="1:34">
      <c r="A85" t="s">
        <v>103</v>
      </c>
      <c r="B85" t="s">
        <v>104</v>
      </c>
      <c r="C85" t="s">
        <v>105</v>
      </c>
      <c r="D85" t="s">
        <v>834</v>
      </c>
      <c r="E85" t="s">
        <v>835</v>
      </c>
      <c r="F85" t="s">
        <v>836</v>
      </c>
      <c r="G85" t="s">
        <v>140</v>
      </c>
      <c r="H85" t="s">
        <v>109</v>
      </c>
      <c r="I85" t="s">
        <v>837</v>
      </c>
      <c r="J85" t="s">
        <v>838</v>
      </c>
      <c r="K85" t="s">
        <v>64</v>
      </c>
      <c r="L85" t="s">
        <v>839</v>
      </c>
      <c r="M85" s="13">
        <v>46020.480567129627</v>
      </c>
      <c r="N85" s="13">
        <v>46021.693055555559</v>
      </c>
      <c r="O85" t="s">
        <v>145</v>
      </c>
      <c r="P85" t="s">
        <v>146</v>
      </c>
      <c r="Q85" t="s">
        <v>368</v>
      </c>
      <c r="R85" t="s">
        <v>560</v>
      </c>
      <c r="S85" t="s">
        <v>149</v>
      </c>
      <c r="T85" t="s">
        <v>149</v>
      </c>
      <c r="V85" t="s">
        <v>840</v>
      </c>
      <c r="W85" t="s">
        <v>68</v>
      </c>
      <c r="Y85" t="s">
        <v>151</v>
      </c>
      <c r="Z85" t="s">
        <v>70</v>
      </c>
      <c r="AA85" t="s">
        <v>748</v>
      </c>
      <c r="AB85" s="14">
        <v>0</v>
      </c>
      <c r="AC85" s="14">
        <v>0</v>
      </c>
      <c r="AD85" s="14">
        <v>0</v>
      </c>
      <c r="AE85" s="14">
        <v>0</v>
      </c>
      <c r="AF85" s="14">
        <v>0</v>
      </c>
      <c r="AG85" s="14">
        <v>37905</v>
      </c>
      <c r="AH85" s="14">
        <v>37905</v>
      </c>
    </row>
    <row r="86" spans="1:34">
      <c r="A86" t="s">
        <v>72</v>
      </c>
      <c r="B86" t="s">
        <v>73</v>
      </c>
      <c r="C86" t="s">
        <v>74</v>
      </c>
      <c r="D86" t="s">
        <v>75</v>
      </c>
      <c r="E86" t="s">
        <v>841</v>
      </c>
      <c r="F86" t="s">
        <v>842</v>
      </c>
      <c r="G86" t="s">
        <v>140</v>
      </c>
      <c r="H86" t="s">
        <v>79</v>
      </c>
      <c r="I86" t="s">
        <v>72</v>
      </c>
      <c r="J86" t="s">
        <v>843</v>
      </c>
      <c r="K86" t="s">
        <v>64</v>
      </c>
      <c r="L86" t="s">
        <v>844</v>
      </c>
      <c r="M86" s="13">
        <v>46020.550902777781</v>
      </c>
      <c r="N86" s="13">
        <v>46021.492361111108</v>
      </c>
      <c r="O86" t="s">
        <v>145</v>
      </c>
      <c r="P86" t="s">
        <v>146</v>
      </c>
      <c r="Q86" t="s">
        <v>188</v>
      </c>
      <c r="R86" t="s">
        <v>161</v>
      </c>
      <c r="S86" t="s">
        <v>178</v>
      </c>
      <c r="T86" t="s">
        <v>178</v>
      </c>
      <c r="V86" t="s">
        <v>845</v>
      </c>
      <c r="W86" t="s">
        <v>68</v>
      </c>
      <c r="Y86" t="s">
        <v>69</v>
      </c>
      <c r="Z86" t="s">
        <v>70</v>
      </c>
      <c r="AA86" t="s">
        <v>163</v>
      </c>
      <c r="AB86" s="14">
        <v>0</v>
      </c>
      <c r="AC86" s="14">
        <v>0</v>
      </c>
      <c r="AD86" s="14">
        <v>0</v>
      </c>
      <c r="AE86" s="14">
        <v>0</v>
      </c>
      <c r="AF86" s="14">
        <v>0</v>
      </c>
      <c r="AG86" s="14">
        <v>37905</v>
      </c>
      <c r="AH86" s="14">
        <v>37905</v>
      </c>
    </row>
    <row r="87" spans="1:34">
      <c r="A87" t="s">
        <v>54</v>
      </c>
      <c r="B87" t="s">
        <v>55</v>
      </c>
      <c r="C87" t="s">
        <v>56</v>
      </c>
      <c r="D87" t="s">
        <v>362</v>
      </c>
      <c r="E87" t="s">
        <v>846</v>
      </c>
      <c r="F87" t="s">
        <v>364</v>
      </c>
      <c r="G87" t="s">
        <v>140</v>
      </c>
      <c r="H87" t="s">
        <v>62</v>
      </c>
      <c r="I87" t="s">
        <v>365</v>
      </c>
      <c r="J87" t="s">
        <v>366</v>
      </c>
      <c r="K87" t="s">
        <v>64</v>
      </c>
      <c r="L87" t="s">
        <v>847</v>
      </c>
      <c r="M87" s="13">
        <v>46020.572893518518</v>
      </c>
      <c r="N87" s="13">
        <v>46021.568055555559</v>
      </c>
      <c r="O87" t="s">
        <v>145</v>
      </c>
      <c r="P87" t="s">
        <v>146</v>
      </c>
      <c r="Q87" t="s">
        <v>368</v>
      </c>
      <c r="R87" t="s">
        <v>692</v>
      </c>
      <c r="S87" t="s">
        <v>149</v>
      </c>
      <c r="T87" t="s">
        <v>149</v>
      </c>
      <c r="V87" t="s">
        <v>848</v>
      </c>
      <c r="W87" t="s">
        <v>68</v>
      </c>
      <c r="Y87" t="s">
        <v>69</v>
      </c>
      <c r="Z87" t="s">
        <v>70</v>
      </c>
      <c r="AA87" t="s">
        <v>294</v>
      </c>
      <c r="AB87" s="14">
        <v>0</v>
      </c>
      <c r="AC87" s="14">
        <v>0</v>
      </c>
      <c r="AD87" s="14">
        <v>0</v>
      </c>
      <c r="AE87" s="14">
        <v>0</v>
      </c>
      <c r="AF87" s="14">
        <v>0</v>
      </c>
      <c r="AG87" s="14">
        <v>37905</v>
      </c>
      <c r="AH87" s="14">
        <v>37905</v>
      </c>
    </row>
    <row r="88" spans="1:34">
      <c r="A88" t="s">
        <v>849</v>
      </c>
      <c r="B88" t="s">
        <v>55</v>
      </c>
      <c r="C88" t="s">
        <v>565</v>
      </c>
      <c r="D88" t="s">
        <v>850</v>
      </c>
      <c r="E88" t="s">
        <v>851</v>
      </c>
      <c r="F88" t="s">
        <v>852</v>
      </c>
      <c r="G88" t="s">
        <v>140</v>
      </c>
      <c r="H88" t="s">
        <v>156</v>
      </c>
      <c r="I88" t="s">
        <v>849</v>
      </c>
      <c r="J88" t="s">
        <v>853</v>
      </c>
      <c r="K88" t="s">
        <v>64</v>
      </c>
      <c r="L88" t="s">
        <v>854</v>
      </c>
      <c r="M88" s="13">
        <v>46021.390231481477</v>
      </c>
      <c r="N88" s="13">
        <v>46022.398611111108</v>
      </c>
      <c r="O88" t="s">
        <v>145</v>
      </c>
      <c r="P88" t="s">
        <v>146</v>
      </c>
      <c r="Q88" t="s">
        <v>160</v>
      </c>
      <c r="R88" t="s">
        <v>161</v>
      </c>
      <c r="S88" t="s">
        <v>95</v>
      </c>
      <c r="T88" t="s">
        <v>96</v>
      </c>
      <c r="U88" t="s">
        <v>179</v>
      </c>
      <c r="V88" t="s">
        <v>855</v>
      </c>
      <c r="W88" t="s">
        <v>99</v>
      </c>
      <c r="X88" t="s">
        <v>856</v>
      </c>
      <c r="Y88" t="s">
        <v>69</v>
      </c>
      <c r="Z88" t="s">
        <v>70</v>
      </c>
      <c r="AA88" t="s">
        <v>857</v>
      </c>
      <c r="AB88" s="14">
        <v>1</v>
      </c>
      <c r="AC88" s="14">
        <v>0</v>
      </c>
      <c r="AD88" s="14">
        <v>0</v>
      </c>
      <c r="AE88" s="14">
        <v>0</v>
      </c>
      <c r="AF88" s="14">
        <v>0</v>
      </c>
      <c r="AG88" s="14">
        <v>65960</v>
      </c>
      <c r="AH88" s="14">
        <v>65960</v>
      </c>
    </row>
    <row r="89" spans="1:34">
      <c r="A89" t="s">
        <v>849</v>
      </c>
      <c r="B89" t="s">
        <v>55</v>
      </c>
      <c r="C89" t="s">
        <v>565</v>
      </c>
      <c r="D89" t="s">
        <v>850</v>
      </c>
      <c r="E89" t="s">
        <v>858</v>
      </c>
      <c r="F89" t="s">
        <v>859</v>
      </c>
      <c r="G89" t="s">
        <v>140</v>
      </c>
      <c r="H89" t="s">
        <v>156</v>
      </c>
      <c r="I89" t="s">
        <v>849</v>
      </c>
      <c r="J89" t="s">
        <v>860</v>
      </c>
      <c r="K89" t="s">
        <v>64</v>
      </c>
      <c r="L89" t="s">
        <v>861</v>
      </c>
      <c r="M89" s="13">
        <v>46021.713240740741</v>
      </c>
      <c r="N89" s="13">
        <v>46022.445138888892</v>
      </c>
      <c r="O89" t="s">
        <v>145</v>
      </c>
      <c r="P89" t="s">
        <v>146</v>
      </c>
      <c r="Q89" t="s">
        <v>368</v>
      </c>
      <c r="R89" t="s">
        <v>692</v>
      </c>
      <c r="S89" t="s">
        <v>112</v>
      </c>
      <c r="T89" t="s">
        <v>113</v>
      </c>
      <c r="V89" t="s">
        <v>862</v>
      </c>
      <c r="W89" t="s">
        <v>68</v>
      </c>
      <c r="Y89" t="s">
        <v>69</v>
      </c>
      <c r="Z89" t="s">
        <v>70</v>
      </c>
      <c r="AA89" t="s">
        <v>857</v>
      </c>
      <c r="AB89" s="14">
        <v>0</v>
      </c>
      <c r="AC89" s="14">
        <v>0</v>
      </c>
      <c r="AD89" s="14">
        <v>0</v>
      </c>
      <c r="AE89" s="14">
        <v>0</v>
      </c>
      <c r="AF89" s="14">
        <v>0</v>
      </c>
      <c r="AG89" s="14">
        <v>37905</v>
      </c>
      <c r="AH89" s="14">
        <v>37905</v>
      </c>
    </row>
    <row r="90" spans="1:34">
      <c r="A90" t="s">
        <v>84</v>
      </c>
      <c r="B90" t="s">
        <v>85</v>
      </c>
      <c r="C90" t="s">
        <v>86</v>
      </c>
      <c r="D90" t="s">
        <v>786</v>
      </c>
      <c r="E90" t="s">
        <v>863</v>
      </c>
      <c r="F90" t="s">
        <v>864</v>
      </c>
      <c r="G90" t="s">
        <v>140</v>
      </c>
      <c r="H90" t="s">
        <v>789</v>
      </c>
      <c r="I90" t="s">
        <v>84</v>
      </c>
      <c r="J90" t="s">
        <v>865</v>
      </c>
      <c r="K90" t="s">
        <v>64</v>
      </c>
      <c r="L90" t="s">
        <v>866</v>
      </c>
      <c r="M90" s="13">
        <v>46022.417604166672</v>
      </c>
      <c r="N90" s="13">
        <v>46022.701388888891</v>
      </c>
      <c r="O90" t="s">
        <v>145</v>
      </c>
      <c r="P90" t="s">
        <v>146</v>
      </c>
      <c r="Q90" t="s">
        <v>281</v>
      </c>
      <c r="R90" t="s">
        <v>327</v>
      </c>
      <c r="S90" t="s">
        <v>95</v>
      </c>
      <c r="T90" t="s">
        <v>96</v>
      </c>
      <c r="V90" t="s">
        <v>867</v>
      </c>
      <c r="W90" t="s">
        <v>68</v>
      </c>
      <c r="Y90" t="s">
        <v>69</v>
      </c>
      <c r="Z90" t="s">
        <v>70</v>
      </c>
      <c r="AA90" t="s">
        <v>793</v>
      </c>
      <c r="AB90" s="14">
        <v>0</v>
      </c>
      <c r="AC90" s="14">
        <v>0</v>
      </c>
      <c r="AD90" s="14">
        <v>0</v>
      </c>
      <c r="AE90" s="14">
        <v>0</v>
      </c>
      <c r="AF90" s="14">
        <v>0</v>
      </c>
      <c r="AG90" s="14">
        <v>37905</v>
      </c>
      <c r="AH90" s="14">
        <v>37905</v>
      </c>
    </row>
    <row r="91" spans="1:34">
      <c r="A91" t="s">
        <v>868</v>
      </c>
      <c r="B91" t="s">
        <v>73</v>
      </c>
      <c r="C91" t="s">
        <v>74</v>
      </c>
      <c r="D91" t="s">
        <v>869</v>
      </c>
      <c r="E91" t="s">
        <v>870</v>
      </c>
      <c r="F91" t="s">
        <v>871</v>
      </c>
      <c r="G91" t="s">
        <v>140</v>
      </c>
      <c r="H91" t="s">
        <v>872</v>
      </c>
      <c r="I91" t="s">
        <v>868</v>
      </c>
      <c r="J91" t="s">
        <v>873</v>
      </c>
      <c r="K91" t="s">
        <v>64</v>
      </c>
      <c r="L91" t="s">
        <v>874</v>
      </c>
      <c r="M91" s="13">
        <v>45995.002083333333</v>
      </c>
      <c r="N91" s="13">
        <v>45995.563888888893</v>
      </c>
      <c r="O91" t="s">
        <v>145</v>
      </c>
      <c r="P91" t="s">
        <v>259</v>
      </c>
      <c r="Q91" t="s">
        <v>260</v>
      </c>
      <c r="R91" t="s">
        <v>261</v>
      </c>
      <c r="S91" t="s">
        <v>112</v>
      </c>
      <c r="T91" t="s">
        <v>113</v>
      </c>
      <c r="U91" t="s">
        <v>179</v>
      </c>
      <c r="V91" t="s">
        <v>875</v>
      </c>
      <c r="W91" t="s">
        <v>99</v>
      </c>
      <c r="X91" t="s">
        <v>876</v>
      </c>
      <c r="Y91" t="s">
        <v>69</v>
      </c>
      <c r="Z91" t="s">
        <v>70</v>
      </c>
      <c r="AA91" t="s">
        <v>877</v>
      </c>
      <c r="AB91" s="14">
        <v>1</v>
      </c>
      <c r="AC91" s="14">
        <v>0</v>
      </c>
      <c r="AD91" s="14">
        <v>0</v>
      </c>
      <c r="AE91" s="14">
        <v>0</v>
      </c>
      <c r="AF91" s="14">
        <v>0</v>
      </c>
      <c r="AG91" s="14">
        <v>65960</v>
      </c>
      <c r="AH91" s="14">
        <v>65960</v>
      </c>
    </row>
    <row r="92" spans="1:34">
      <c r="A92" t="s">
        <v>103</v>
      </c>
      <c r="B92" t="s">
        <v>104</v>
      </c>
      <c r="C92" t="s">
        <v>105</v>
      </c>
      <c r="D92" t="s">
        <v>295</v>
      </c>
      <c r="E92" t="s">
        <v>878</v>
      </c>
      <c r="F92" t="s">
        <v>879</v>
      </c>
      <c r="G92" t="s">
        <v>140</v>
      </c>
      <c r="H92" t="s">
        <v>109</v>
      </c>
      <c r="I92" t="s">
        <v>298</v>
      </c>
      <c r="J92" t="s">
        <v>880</v>
      </c>
      <c r="K92" t="s">
        <v>64</v>
      </c>
      <c r="L92" t="s">
        <v>881</v>
      </c>
      <c r="M92" s="13">
        <v>46007.368055555547</v>
      </c>
      <c r="N92" s="13">
        <v>46007.648611111108</v>
      </c>
      <c r="O92" t="s">
        <v>145</v>
      </c>
      <c r="P92" t="s">
        <v>146</v>
      </c>
      <c r="Q92" t="s">
        <v>160</v>
      </c>
      <c r="R92" t="s">
        <v>161</v>
      </c>
      <c r="S92" t="s">
        <v>149</v>
      </c>
      <c r="T92" t="s">
        <v>149</v>
      </c>
      <c r="U92" t="s">
        <v>179</v>
      </c>
      <c r="V92" t="s">
        <v>882</v>
      </c>
      <c r="W92" t="s">
        <v>99</v>
      </c>
      <c r="X92" t="s">
        <v>883</v>
      </c>
      <c r="Y92" t="s">
        <v>151</v>
      </c>
      <c r="Z92" t="s">
        <v>70</v>
      </c>
      <c r="AA92" t="s">
        <v>199</v>
      </c>
      <c r="AB92" s="14">
        <v>1</v>
      </c>
      <c r="AC92" s="14">
        <v>0</v>
      </c>
      <c r="AD92" s="14">
        <v>0</v>
      </c>
      <c r="AE92" s="14">
        <v>0</v>
      </c>
      <c r="AF92" s="14">
        <v>0</v>
      </c>
      <c r="AG92" s="14">
        <v>163814</v>
      </c>
      <c r="AH92" s="14">
        <v>163814</v>
      </c>
    </row>
    <row r="93" spans="1:34">
      <c r="A93" t="s">
        <v>444</v>
      </c>
      <c r="B93" t="s">
        <v>212</v>
      </c>
      <c r="C93" t="s">
        <v>213</v>
      </c>
      <c r="D93" t="s">
        <v>884</v>
      </c>
      <c r="E93" t="s">
        <v>885</v>
      </c>
      <c r="F93" t="s">
        <v>886</v>
      </c>
      <c r="G93" t="s">
        <v>140</v>
      </c>
      <c r="H93" t="s">
        <v>448</v>
      </c>
      <c r="I93" t="s">
        <v>887</v>
      </c>
      <c r="J93" t="s">
        <v>888</v>
      </c>
      <c r="K93" t="s">
        <v>64</v>
      </c>
      <c r="L93" t="s">
        <v>889</v>
      </c>
      <c r="M93" s="13">
        <v>46014.352777777778</v>
      </c>
      <c r="N93" s="13">
        <v>46014.538888888892</v>
      </c>
      <c r="O93" t="s">
        <v>145</v>
      </c>
      <c r="P93" t="s">
        <v>146</v>
      </c>
      <c r="Q93" t="s">
        <v>147</v>
      </c>
      <c r="R93" t="s">
        <v>148</v>
      </c>
      <c r="S93" t="s">
        <v>112</v>
      </c>
      <c r="T93" t="s">
        <v>220</v>
      </c>
      <c r="V93" t="s">
        <v>890</v>
      </c>
      <c r="W93" t="s">
        <v>68</v>
      </c>
      <c r="Y93" t="s">
        <v>69</v>
      </c>
      <c r="Z93" t="s">
        <v>70</v>
      </c>
      <c r="AA93" t="s">
        <v>891</v>
      </c>
      <c r="AB93" s="14">
        <v>0</v>
      </c>
      <c r="AC93" s="14">
        <v>0</v>
      </c>
      <c r="AD93" s="14">
        <v>0</v>
      </c>
      <c r="AE93" s="14">
        <v>0</v>
      </c>
      <c r="AF93" s="14">
        <v>0</v>
      </c>
      <c r="AG93" s="14">
        <v>37905</v>
      </c>
      <c r="AH93" s="14">
        <v>37905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8"/>
  <sheetViews>
    <sheetView topLeftCell="V1" workbookViewId="0">
      <selection activeCell="AF1" sqref="AF1:AF1048576"/>
    </sheetView>
  </sheetViews>
  <sheetFormatPr baseColWidth="10" defaultColWidth="8.88671875" defaultRowHeight="13.2"/>
  <cols>
    <col min="1" max="1" width="13" customWidth="1"/>
    <col min="2" max="2" width="14" customWidth="1"/>
    <col min="3" max="3" width="27" customWidth="1"/>
    <col min="4" max="4" width="13" customWidth="1"/>
    <col min="5" max="5" width="21" customWidth="1"/>
    <col min="6" max="6" width="12" customWidth="1"/>
    <col min="7" max="7" width="13" customWidth="1"/>
    <col min="8" max="8" width="14" customWidth="1"/>
    <col min="9" max="9" width="23" customWidth="1"/>
    <col min="10" max="10" width="40" customWidth="1"/>
    <col min="11" max="11" width="10" customWidth="1"/>
    <col min="12" max="12" width="31" customWidth="1"/>
    <col min="13" max="13" width="41" customWidth="1"/>
    <col min="14" max="14" width="44" customWidth="1"/>
    <col min="15" max="16" width="11" customWidth="1"/>
    <col min="17" max="17" width="18" customWidth="1"/>
    <col min="18" max="18" width="14" customWidth="1"/>
    <col min="19" max="19" width="15" customWidth="1"/>
    <col min="20" max="20" width="23" customWidth="1"/>
    <col min="21" max="21" width="26" customWidth="1"/>
    <col min="22" max="22" width="50" customWidth="1"/>
    <col min="23" max="23" width="20" customWidth="1"/>
    <col min="24" max="25" width="14" customWidth="1"/>
    <col min="26" max="26" width="18" customWidth="1"/>
    <col min="27" max="27" width="39" customWidth="1"/>
    <col min="28" max="28" width="16" customWidth="1"/>
    <col min="29" max="29" width="10" customWidth="1"/>
    <col min="30" max="30" width="17" customWidth="1"/>
    <col min="31" max="31" width="21" customWidth="1"/>
    <col min="32" max="32" width="17" customWidth="1"/>
    <col min="33" max="33" width="13" customWidth="1"/>
  </cols>
  <sheetData>
    <row r="1" spans="1:33" ht="27.6">
      <c r="A1" s="12" t="s">
        <v>23</v>
      </c>
      <c r="B1" s="12" t="s">
        <v>24</v>
      </c>
      <c r="C1" s="12" t="s">
        <v>25</v>
      </c>
      <c r="D1" s="12" t="s">
        <v>26</v>
      </c>
      <c r="E1" s="12" t="s">
        <v>27</v>
      </c>
      <c r="F1" s="12" t="s">
        <v>28</v>
      </c>
      <c r="G1" s="12" t="s">
        <v>29</v>
      </c>
      <c r="H1" s="12" t="s">
        <v>31</v>
      </c>
      <c r="I1" s="12" t="s">
        <v>32</v>
      </c>
      <c r="J1" s="12" t="s">
        <v>33</v>
      </c>
      <c r="K1" s="12" t="s">
        <v>34</v>
      </c>
      <c r="L1" s="12" t="s">
        <v>35</v>
      </c>
      <c r="M1" s="12" t="s">
        <v>127</v>
      </c>
      <c r="N1" s="12" t="s">
        <v>128</v>
      </c>
      <c r="O1" s="12" t="s">
        <v>129</v>
      </c>
      <c r="P1" s="12" t="s">
        <v>892</v>
      </c>
      <c r="Q1" s="12" t="s">
        <v>893</v>
      </c>
      <c r="R1" s="12" t="s">
        <v>38</v>
      </c>
      <c r="S1" s="12" t="s">
        <v>39</v>
      </c>
      <c r="T1" s="12" t="s">
        <v>40</v>
      </c>
      <c r="U1" s="12" t="s">
        <v>894</v>
      </c>
      <c r="V1" s="12" t="s">
        <v>133</v>
      </c>
      <c r="W1" s="12" t="s">
        <v>42</v>
      </c>
      <c r="X1" s="12" t="s">
        <v>43</v>
      </c>
      <c r="Y1" s="12" t="s">
        <v>44</v>
      </c>
      <c r="Z1" s="12" t="s">
        <v>45</v>
      </c>
      <c r="AA1" s="12" t="s">
        <v>46</v>
      </c>
      <c r="AB1" s="12" t="s">
        <v>134</v>
      </c>
      <c r="AC1" s="12" t="s">
        <v>49</v>
      </c>
      <c r="AD1" s="12" t="s">
        <v>47</v>
      </c>
      <c r="AE1" s="12" t="s">
        <v>135</v>
      </c>
      <c r="AF1" s="12" t="s">
        <v>895</v>
      </c>
      <c r="AG1" s="12" t="s">
        <v>896</v>
      </c>
    </row>
    <row r="2" spans="1:33">
      <c r="A2" t="s">
        <v>390</v>
      </c>
      <c r="B2" t="s">
        <v>212</v>
      </c>
      <c r="C2" t="s">
        <v>213</v>
      </c>
      <c r="D2" t="s">
        <v>897</v>
      </c>
      <c r="E2" t="s">
        <v>898</v>
      </c>
      <c r="F2" t="s">
        <v>899</v>
      </c>
      <c r="G2" t="s">
        <v>900</v>
      </c>
      <c r="H2" t="s">
        <v>394</v>
      </c>
      <c r="I2" t="s">
        <v>901</v>
      </c>
      <c r="J2" t="s">
        <v>902</v>
      </c>
      <c r="K2" t="s">
        <v>64</v>
      </c>
      <c r="L2" t="s">
        <v>903</v>
      </c>
      <c r="M2" s="13">
        <v>45994.71597222222</v>
      </c>
      <c r="N2" s="13">
        <v>46001.686805555553</v>
      </c>
      <c r="O2" t="s">
        <v>145</v>
      </c>
      <c r="P2" t="s">
        <v>904</v>
      </c>
      <c r="Q2" t="s">
        <v>905</v>
      </c>
      <c r="R2" t="s">
        <v>178</v>
      </c>
      <c r="S2" t="s">
        <v>178</v>
      </c>
      <c r="T2" t="s">
        <v>179</v>
      </c>
      <c r="U2" t="s">
        <v>906</v>
      </c>
      <c r="V2" t="s">
        <v>907</v>
      </c>
      <c r="W2" t="s">
        <v>99</v>
      </c>
      <c r="X2" t="s">
        <v>908</v>
      </c>
      <c r="Y2" t="s">
        <v>151</v>
      </c>
      <c r="Z2" t="s">
        <v>70</v>
      </c>
      <c r="AA2" t="s">
        <v>400</v>
      </c>
      <c r="AB2" s="14">
        <v>1</v>
      </c>
      <c r="AC2" s="14">
        <v>0</v>
      </c>
      <c r="AD2" s="14">
        <v>0</v>
      </c>
      <c r="AE2" s="14">
        <v>0</v>
      </c>
      <c r="AF2" s="14">
        <v>163814</v>
      </c>
      <c r="AG2" s="14">
        <v>163814</v>
      </c>
    </row>
    <row r="3" spans="1:33">
      <c r="A3" t="s">
        <v>103</v>
      </c>
      <c r="B3" t="s">
        <v>104</v>
      </c>
      <c r="C3" t="s">
        <v>105</v>
      </c>
      <c r="D3" t="s">
        <v>909</v>
      </c>
      <c r="E3" t="s">
        <v>910</v>
      </c>
      <c r="F3" t="s">
        <v>911</v>
      </c>
      <c r="G3" t="s">
        <v>900</v>
      </c>
      <c r="H3" t="s">
        <v>109</v>
      </c>
      <c r="I3" t="s">
        <v>912</v>
      </c>
      <c r="J3" t="s">
        <v>913</v>
      </c>
      <c r="K3" t="s">
        <v>64</v>
      </c>
      <c r="L3" t="s">
        <v>914</v>
      </c>
      <c r="M3" s="13">
        <v>45996.684027777781</v>
      </c>
      <c r="N3" s="13">
        <v>46002.96875</v>
      </c>
      <c r="O3" t="s">
        <v>145</v>
      </c>
      <c r="P3" t="s">
        <v>904</v>
      </c>
      <c r="Q3" t="s">
        <v>905</v>
      </c>
      <c r="R3" t="s">
        <v>149</v>
      </c>
      <c r="S3" t="s">
        <v>149</v>
      </c>
      <c r="T3" t="s">
        <v>661</v>
      </c>
      <c r="U3" t="s">
        <v>915</v>
      </c>
      <c r="V3" t="s">
        <v>916</v>
      </c>
      <c r="W3" t="s">
        <v>99</v>
      </c>
      <c r="Y3" t="s">
        <v>101</v>
      </c>
      <c r="Z3" t="s">
        <v>70</v>
      </c>
      <c r="AA3" t="s">
        <v>553</v>
      </c>
      <c r="AB3" s="14">
        <v>1</v>
      </c>
      <c r="AC3" s="14">
        <v>0</v>
      </c>
      <c r="AD3" s="14">
        <v>0</v>
      </c>
      <c r="AE3" s="14">
        <v>0</v>
      </c>
      <c r="AF3" s="14">
        <v>275728</v>
      </c>
      <c r="AG3" s="14">
        <v>275728</v>
      </c>
    </row>
    <row r="4" spans="1:33">
      <c r="A4" t="s">
        <v>240</v>
      </c>
      <c r="B4" t="s">
        <v>241</v>
      </c>
      <c r="C4" t="s">
        <v>242</v>
      </c>
      <c r="D4" t="s">
        <v>243</v>
      </c>
      <c r="E4" t="s">
        <v>917</v>
      </c>
      <c r="F4" t="s">
        <v>918</v>
      </c>
      <c r="G4" t="s">
        <v>900</v>
      </c>
      <c r="H4" t="s">
        <v>241</v>
      </c>
      <c r="I4" t="s">
        <v>240</v>
      </c>
      <c r="J4" t="s">
        <v>919</v>
      </c>
      <c r="K4" t="s">
        <v>64</v>
      </c>
      <c r="L4" t="s">
        <v>920</v>
      </c>
      <c r="M4" s="13">
        <v>45996.684027777781</v>
      </c>
      <c r="N4" s="13">
        <v>46002.51458333333</v>
      </c>
      <c r="O4" t="s">
        <v>145</v>
      </c>
      <c r="P4" t="s">
        <v>904</v>
      </c>
      <c r="Q4" t="s">
        <v>905</v>
      </c>
      <c r="R4" t="s">
        <v>149</v>
      </c>
      <c r="S4" t="s">
        <v>149</v>
      </c>
      <c r="T4" t="s">
        <v>427</v>
      </c>
      <c r="U4" t="s">
        <v>915</v>
      </c>
      <c r="V4" t="s">
        <v>916</v>
      </c>
      <c r="W4" t="s">
        <v>99</v>
      </c>
      <c r="Y4" t="s">
        <v>69</v>
      </c>
      <c r="Z4" t="s">
        <v>70</v>
      </c>
      <c r="AA4" t="s">
        <v>921</v>
      </c>
      <c r="AB4" s="14">
        <v>1</v>
      </c>
      <c r="AC4" s="14">
        <v>0</v>
      </c>
      <c r="AD4" s="14">
        <v>0</v>
      </c>
      <c r="AE4" s="14">
        <v>0</v>
      </c>
      <c r="AF4" s="14">
        <v>65960</v>
      </c>
      <c r="AG4" s="14">
        <v>65960</v>
      </c>
    </row>
    <row r="5" spans="1:33">
      <c r="A5" t="s">
        <v>103</v>
      </c>
      <c r="B5" t="s">
        <v>104</v>
      </c>
      <c r="C5" t="s">
        <v>105</v>
      </c>
      <c r="D5" t="s">
        <v>106</v>
      </c>
      <c r="E5" t="s">
        <v>922</v>
      </c>
      <c r="F5" t="s">
        <v>923</v>
      </c>
      <c r="G5" t="s">
        <v>900</v>
      </c>
      <c r="H5" t="s">
        <v>109</v>
      </c>
      <c r="I5" t="s">
        <v>103</v>
      </c>
      <c r="J5" t="s">
        <v>924</v>
      </c>
      <c r="K5" t="s">
        <v>64</v>
      </c>
      <c r="L5" t="s">
        <v>925</v>
      </c>
      <c r="M5" s="13">
        <v>45994.71597222222</v>
      </c>
      <c r="N5" s="13">
        <v>46001.404166666667</v>
      </c>
      <c r="O5" t="s">
        <v>145</v>
      </c>
      <c r="P5" t="s">
        <v>904</v>
      </c>
      <c r="Q5" t="s">
        <v>926</v>
      </c>
      <c r="R5" t="s">
        <v>149</v>
      </c>
      <c r="S5" t="s">
        <v>149</v>
      </c>
      <c r="T5" t="s">
        <v>179</v>
      </c>
      <c r="U5" t="s">
        <v>915</v>
      </c>
      <c r="V5" t="s">
        <v>927</v>
      </c>
      <c r="W5" t="s">
        <v>99</v>
      </c>
      <c r="X5" t="s">
        <v>429</v>
      </c>
      <c r="Y5" t="s">
        <v>69</v>
      </c>
      <c r="Z5" t="s">
        <v>70</v>
      </c>
      <c r="AA5" t="s">
        <v>613</v>
      </c>
      <c r="AB5" s="14">
        <v>1</v>
      </c>
      <c r="AC5" s="14">
        <v>0</v>
      </c>
      <c r="AD5" s="14">
        <v>0</v>
      </c>
      <c r="AE5" s="14">
        <v>0</v>
      </c>
      <c r="AF5" s="14">
        <v>65960</v>
      </c>
      <c r="AG5" s="14">
        <v>65960</v>
      </c>
    </row>
    <row r="6" spans="1:33">
      <c r="A6" t="s">
        <v>419</v>
      </c>
      <c r="B6" t="s">
        <v>73</v>
      </c>
      <c r="C6" t="s">
        <v>74</v>
      </c>
      <c r="D6" t="s">
        <v>928</v>
      </c>
      <c r="E6" t="s">
        <v>929</v>
      </c>
      <c r="F6" t="s">
        <v>930</v>
      </c>
      <c r="G6" t="s">
        <v>900</v>
      </c>
      <c r="H6" t="s">
        <v>423</v>
      </c>
      <c r="I6" t="s">
        <v>419</v>
      </c>
      <c r="J6" t="s">
        <v>931</v>
      </c>
      <c r="K6" t="s">
        <v>64</v>
      </c>
      <c r="L6" t="s">
        <v>932</v>
      </c>
      <c r="M6" s="13">
        <v>46008.618750000001</v>
      </c>
      <c r="N6" s="13">
        <v>46011.362500000003</v>
      </c>
      <c r="O6" t="s">
        <v>145</v>
      </c>
      <c r="P6" t="s">
        <v>904</v>
      </c>
      <c r="Q6" t="s">
        <v>905</v>
      </c>
      <c r="R6" t="s">
        <v>112</v>
      </c>
      <c r="S6" t="s">
        <v>220</v>
      </c>
      <c r="U6" t="s">
        <v>933</v>
      </c>
      <c r="V6" t="s">
        <v>934</v>
      </c>
      <c r="W6" t="s">
        <v>68</v>
      </c>
      <c r="Y6" t="s">
        <v>69</v>
      </c>
      <c r="Z6" t="s">
        <v>70</v>
      </c>
      <c r="AA6" t="s">
        <v>935</v>
      </c>
      <c r="AB6" s="14">
        <v>0</v>
      </c>
      <c r="AC6" s="14">
        <v>0</v>
      </c>
      <c r="AD6" s="14">
        <v>0</v>
      </c>
      <c r="AE6" s="14">
        <v>0</v>
      </c>
      <c r="AF6" s="14">
        <v>37905</v>
      </c>
      <c r="AG6" s="14">
        <v>37905</v>
      </c>
    </row>
    <row r="7" spans="1:33">
      <c r="A7" t="s">
        <v>240</v>
      </c>
      <c r="B7" t="s">
        <v>241</v>
      </c>
      <c r="C7" t="s">
        <v>242</v>
      </c>
      <c r="D7" t="s">
        <v>936</v>
      </c>
      <c r="E7" t="s">
        <v>937</v>
      </c>
      <c r="F7" t="s">
        <v>938</v>
      </c>
      <c r="G7" t="s">
        <v>900</v>
      </c>
      <c r="H7" t="s">
        <v>241</v>
      </c>
      <c r="I7" t="s">
        <v>939</v>
      </c>
      <c r="J7" t="s">
        <v>940</v>
      </c>
      <c r="K7" t="s">
        <v>64</v>
      </c>
      <c r="L7" t="s">
        <v>941</v>
      </c>
      <c r="M7" s="13">
        <v>46009.726388888892</v>
      </c>
      <c r="N7" s="13">
        <v>46015.348611111112</v>
      </c>
      <c r="O7" t="s">
        <v>145</v>
      </c>
      <c r="P7" t="s">
        <v>904</v>
      </c>
      <c r="Q7" t="s">
        <v>905</v>
      </c>
      <c r="R7" t="s">
        <v>149</v>
      </c>
      <c r="S7" t="s">
        <v>149</v>
      </c>
      <c r="T7" t="s">
        <v>427</v>
      </c>
      <c r="U7" t="s">
        <v>942</v>
      </c>
      <c r="V7" t="s">
        <v>943</v>
      </c>
      <c r="W7" t="s">
        <v>99</v>
      </c>
      <c r="Y7" t="s">
        <v>125</v>
      </c>
      <c r="Z7" t="s">
        <v>70</v>
      </c>
      <c r="AA7" t="s">
        <v>944</v>
      </c>
      <c r="AB7" s="14">
        <v>1</v>
      </c>
      <c r="AC7" s="14">
        <v>0</v>
      </c>
      <c r="AD7" s="14">
        <v>0</v>
      </c>
      <c r="AE7" s="14">
        <v>0</v>
      </c>
      <c r="AF7" s="14">
        <v>479590</v>
      </c>
      <c r="AG7" s="14">
        <v>479590</v>
      </c>
    </row>
    <row r="8" spans="1:33">
      <c r="A8" t="s">
        <v>240</v>
      </c>
      <c r="B8" t="s">
        <v>241</v>
      </c>
      <c r="C8" t="s">
        <v>242</v>
      </c>
      <c r="D8" t="s">
        <v>243</v>
      </c>
      <c r="E8" t="s">
        <v>945</v>
      </c>
      <c r="F8" t="s">
        <v>918</v>
      </c>
      <c r="G8" t="s">
        <v>900</v>
      </c>
      <c r="H8" t="s">
        <v>241</v>
      </c>
      <c r="I8" t="s">
        <v>240</v>
      </c>
      <c r="J8" t="s">
        <v>919</v>
      </c>
      <c r="K8" t="s">
        <v>64</v>
      </c>
      <c r="L8" t="s">
        <v>946</v>
      </c>
      <c r="M8" s="13">
        <v>46014.706944444442</v>
      </c>
      <c r="N8" s="13">
        <v>46020.509722222218</v>
      </c>
      <c r="O8" t="s">
        <v>145</v>
      </c>
      <c r="P8" t="s">
        <v>904</v>
      </c>
      <c r="Q8" t="s">
        <v>905</v>
      </c>
      <c r="R8" t="s">
        <v>149</v>
      </c>
      <c r="S8" t="s">
        <v>149</v>
      </c>
      <c r="T8" t="s">
        <v>427</v>
      </c>
      <c r="U8" t="s">
        <v>947</v>
      </c>
      <c r="V8" t="s">
        <v>948</v>
      </c>
      <c r="W8" t="s">
        <v>99</v>
      </c>
      <c r="Y8" t="s">
        <v>69</v>
      </c>
      <c r="Z8" t="s">
        <v>70</v>
      </c>
      <c r="AA8" t="s">
        <v>949</v>
      </c>
      <c r="AB8" s="14">
        <v>1</v>
      </c>
      <c r="AC8" s="14">
        <v>0</v>
      </c>
      <c r="AD8" s="14">
        <v>0</v>
      </c>
      <c r="AE8" s="14">
        <v>0</v>
      </c>
      <c r="AF8" s="14">
        <v>65960</v>
      </c>
      <c r="AG8" s="14">
        <v>65960</v>
      </c>
    </row>
  </sheetData>
  <autoFilter ref="A1:AG8" xr:uid="{00000000-0009-0000-0000-000003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lcf76f155ced4ddcb4097134ff3c332f xmlns="648a81c2-4916-475b-a000-96bb15999f48">
      <Terms xmlns="http://schemas.microsoft.com/office/infopath/2007/PartnerControls"/>
    </lcf76f155ced4ddcb4097134ff3c332f>
    <TaxCatchAll xmlns="119b5519-82bb-48ea-a3c2-7e5a29ecf86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7D3108-A471-4A2C-A02F-2C26782E3713}">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B5D789CF-85E1-4BB6-BC3E-CE90ECBF14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74ECA8-B33C-49C7-B8FE-56D992D13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 LIQUIDACIONES</vt:lpstr>
      <vt:lpstr>BASE LIQUIDACION</vt:lpstr>
      <vt:lpstr>Hoja1</vt:lpstr>
      <vt:lpstr>ADECUCACIONES</vt:lpstr>
      <vt:lpstr>INCIDENTES</vt:lpstr>
      <vt:lpst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Suramericana</dc:creator>
  <cp:lastModifiedBy>Lini Jhojana Hernandez Mora</cp:lastModifiedBy>
  <dcterms:created xsi:type="dcterms:W3CDTF">2010-11-30T07:07:28Z</dcterms:created>
  <dcterms:modified xsi:type="dcterms:W3CDTF">2026-01-14T20:49:44Z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0x01010053B65F2A1E6B224C9C5044DE90DA3D05</vt:lpwstr>
  </property>
  <property fmtid="{D5CDD505-2E9C-101B-9397-08002B2CF9AE}" pid="3" name="MediaServiceImageTags">
    <vt:lpwstr/>
  </property>
</Properties>
</file>